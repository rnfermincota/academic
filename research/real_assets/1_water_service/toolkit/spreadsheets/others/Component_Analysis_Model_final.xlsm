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3.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drawings/drawing5.xml" ContentType="application/vnd.openxmlformats-officedocument.drawing+xml"/>
  <Override PartName="/xl/activeX/activeX17.xml" ContentType="application/vnd.ms-office.activeX+xml"/>
  <Override PartName="/xl/activeX/activeX17.bin" ContentType="application/vnd.ms-office.activeX"/>
  <Override PartName="/xl/charts/chart1.xml" ContentType="application/vnd.openxmlformats-officedocument.drawingml.chart+xml"/>
  <Override PartName="/xl/drawings/drawing6.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harts/chart2.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329" codeName="{7FF41506-D638-49D5-72EF-22EC70B826FC}"/>
  <workbookPr showInkAnnotation="0" updateLinks="never" codeName="ThisWorkbook" autoCompressPictures="0"/>
  <mc:AlternateContent xmlns:mc="http://schemas.openxmlformats.org/markup-compatibility/2006">
    <mc:Choice Requires="x15">
      <x15ac:absPath xmlns:x15ac="http://schemas.microsoft.com/office/spreadsheetml/2010/11/ac" url="C:\Users\Greg\Box Sync\World Bank\Water GP\PBC NRW\Castalia\Training Curriculum\Training Curricula w Backup_final\Training Curricula_draft final\"/>
    </mc:Choice>
  </mc:AlternateContent>
  <bookViews>
    <workbookView xWindow="-1100" yWindow="560" windowWidth="19110" windowHeight="10490" tabRatio="909" firstSheet="1" activeTab="1"/>
  </bookViews>
  <sheets>
    <sheet name="Unit Conversion Sheet" sheetId="13" state="hidden" r:id="rId1"/>
    <sheet name="Instructions" sheetId="21" r:id="rId2"/>
    <sheet name="Main Menu" sheetId="11" r:id="rId3"/>
    <sheet name="Start Page" sheetId="1" r:id="rId4"/>
    <sheet name="Summary" sheetId="20" r:id="rId5"/>
    <sheet name="AWWA-Water Balance Data Transf." sheetId="2" r:id="rId6"/>
    <sheet name="Performance Indicator Charts" sheetId="10" r:id="rId7"/>
    <sheet name="Real Losses Component Analysis" sheetId="14" r:id="rId8"/>
    <sheet name="Real Loss Components Chart" sheetId="18" r:id="rId9"/>
    <sheet name="Failure Frequency Analysis" sheetId="5" r:id="rId10"/>
    <sheet name="A-L-R Times Options" sheetId="7" r:id="rId11"/>
    <sheet name="Economic Intervention Frequency" sheetId="6" r:id="rId12"/>
    <sheet name="Pressure Management Options" sheetId="17" r:id="rId13"/>
    <sheet name="Glossary" sheetId="9" r:id="rId14"/>
    <sheet name="License" sheetId="8" r:id="rId15"/>
    <sheet name="Data 2012" sheetId="19" state="hidden" r:id="rId16"/>
  </sheets>
  <definedNames>
    <definedName name="_xlnm.Print_Area" localSheetId="10">'A-L-R Times Options'!$B$1:$H$52</definedName>
    <definedName name="_xlnm.Print_Area" localSheetId="5">'AWWA-Water Balance Data Transf.'!$B$1:$K$74</definedName>
    <definedName name="_xlnm.Print_Area" localSheetId="11">'Economic Intervention Frequency'!$B$1:$V$48</definedName>
    <definedName name="_xlnm.Print_Area" localSheetId="9">'Failure Frequency Analysis'!$B$1:$I$32</definedName>
    <definedName name="_xlnm.Print_Area" localSheetId="13">Glossary!$B$1:$K$150</definedName>
    <definedName name="_xlnm.Print_Area" localSheetId="1">Instructions!$A$1:$M$101</definedName>
    <definedName name="_xlnm.Print_Area" localSheetId="2">'Main Menu'!$B$1:$K$57</definedName>
    <definedName name="_xlnm.Print_Area" localSheetId="6">'Performance Indicator Charts'!$B$1:$Z$90</definedName>
    <definedName name="_xlnm.Print_Area" localSheetId="12">'Pressure Management Options'!$B$1:$G$49</definedName>
    <definedName name="_xlnm.Print_Area" localSheetId="8">'Real Loss Components Chart'!$B$1:$R$35</definedName>
    <definedName name="_xlnm.Print_Area" localSheetId="7">'Real Losses Component Analysis'!$B$1:$R$179</definedName>
    <definedName name="_xlnm.Print_Area" localSheetId="3">'Start Page'!$B$1:$XFD$60</definedName>
    <definedName name="_xlnm.Print_Area" localSheetId="4">Summary!$A$1:$G$57</definedName>
  </definedNames>
  <calcPr calcId="171027"/>
</workbook>
</file>

<file path=xl/calcChain.xml><?xml version="1.0" encoding="utf-8"?>
<calcChain xmlns="http://schemas.openxmlformats.org/spreadsheetml/2006/main">
  <c r="F61" i="2" l="1"/>
  <c r="R84" i="14"/>
  <c r="R56" i="14"/>
  <c r="P13" i="2" l="1"/>
  <c r="P23" i="2"/>
  <c r="D23" i="2" s="1"/>
  <c r="P28" i="2"/>
  <c r="D39" i="14"/>
  <c r="G39" i="14"/>
  <c r="F39" i="14"/>
  <c r="D40" i="14"/>
  <c r="G40" i="14"/>
  <c r="F40" i="14"/>
  <c r="D41" i="14"/>
  <c r="G41" i="14"/>
  <c r="F41" i="14"/>
  <c r="N59" i="14"/>
  <c r="N60" i="14"/>
  <c r="N64" i="14"/>
  <c r="N65" i="14"/>
  <c r="N66" i="14"/>
  <c r="N67" i="14"/>
  <c r="N68" i="14"/>
  <c r="N69" i="14"/>
  <c r="N70" i="14"/>
  <c r="N71" i="14"/>
  <c r="N72" i="14"/>
  <c r="N73" i="14"/>
  <c r="N74" i="14"/>
  <c r="N75" i="14"/>
  <c r="N76" i="14"/>
  <c r="N77" i="14"/>
  <c r="N86" i="14"/>
  <c r="N88" i="14"/>
  <c r="N89" i="14"/>
  <c r="N99" i="14"/>
  <c r="N117" i="14"/>
  <c r="N118" i="14"/>
  <c r="N119" i="14"/>
  <c r="M121" i="14"/>
  <c r="N121" i="14"/>
  <c r="N122" i="14"/>
  <c r="N123" i="14"/>
  <c r="N124" i="14"/>
  <c r="N125" i="14"/>
  <c r="N126" i="14"/>
  <c r="N127" i="14"/>
  <c r="N128" i="14"/>
  <c r="N129" i="14"/>
  <c r="N130" i="14"/>
  <c r="N131" i="14"/>
  <c r="N132" i="14"/>
  <c r="N133" i="14"/>
  <c r="N134" i="14"/>
  <c r="N135" i="14"/>
  <c r="N136" i="14"/>
  <c r="N145" i="14"/>
  <c r="N146" i="14"/>
  <c r="N147" i="14"/>
  <c r="N148" i="14"/>
  <c r="N149" i="14"/>
  <c r="N158" i="14"/>
  <c r="P22" i="2"/>
  <c r="F22" i="2"/>
  <c r="K35" i="1"/>
  <c r="D24" i="6"/>
  <c r="D23" i="6" s="1"/>
  <c r="D33" i="6"/>
  <c r="D35" i="6"/>
  <c r="D38" i="6"/>
  <c r="D7" i="6"/>
  <c r="F26" i="14"/>
  <c r="G26" i="14"/>
  <c r="G29" i="14"/>
  <c r="C12" i="14"/>
  <c r="C29" i="20" s="1"/>
  <c r="E39" i="14"/>
  <c r="E40" i="14"/>
  <c r="E41" i="14"/>
  <c r="D12" i="14"/>
  <c r="D29" i="20" s="1"/>
  <c r="G60" i="14"/>
  <c r="AD60" i="14"/>
  <c r="Y60" i="14"/>
  <c r="AB60" i="14"/>
  <c r="F60" i="14" s="1"/>
  <c r="L60" i="14"/>
  <c r="M60" i="14"/>
  <c r="G61" i="14"/>
  <c r="AD61" i="14"/>
  <c r="Y61" i="14"/>
  <c r="AB61" i="14"/>
  <c r="F61" i="14"/>
  <c r="G62" i="14"/>
  <c r="AD62" i="14"/>
  <c r="Y62" i="14"/>
  <c r="Z62" i="14" s="1"/>
  <c r="AB62" i="14"/>
  <c r="F62" i="14" s="1"/>
  <c r="L62" i="14"/>
  <c r="M62" i="14"/>
  <c r="N62" i="14" s="1"/>
  <c r="G64" i="14"/>
  <c r="AD64" i="14"/>
  <c r="Y64" i="14"/>
  <c r="AB64" i="14"/>
  <c r="F64" i="14" s="1"/>
  <c r="L64" i="14"/>
  <c r="M64" i="14"/>
  <c r="G66" i="14"/>
  <c r="AD66" i="14"/>
  <c r="Y66" i="14"/>
  <c r="AB66" i="14"/>
  <c r="F66" i="14"/>
  <c r="L66" i="14"/>
  <c r="M66" i="14"/>
  <c r="G67" i="14"/>
  <c r="AD67" i="14"/>
  <c r="Y67" i="14"/>
  <c r="AB67" i="14" s="1"/>
  <c r="F67" i="14" s="1"/>
  <c r="L67" i="14"/>
  <c r="M67" i="14"/>
  <c r="G77" i="14"/>
  <c r="AD77" i="14"/>
  <c r="F77" i="14"/>
  <c r="L77" i="14"/>
  <c r="M77" i="14"/>
  <c r="G86" i="14"/>
  <c r="AD86" i="14"/>
  <c r="AB86" i="14"/>
  <c r="F86" i="14" s="1"/>
  <c r="L86" i="14"/>
  <c r="M86" i="14"/>
  <c r="G87" i="14"/>
  <c r="AD87" i="14"/>
  <c r="AB87" i="14"/>
  <c r="F87" i="14"/>
  <c r="L87" i="14"/>
  <c r="M87" i="14"/>
  <c r="N87" i="14" s="1"/>
  <c r="G89" i="14"/>
  <c r="AD89" i="14"/>
  <c r="F89" i="14"/>
  <c r="L89" i="14"/>
  <c r="M89" i="14"/>
  <c r="G98" i="14"/>
  <c r="AD98" i="14"/>
  <c r="AB98" i="14"/>
  <c r="F98" i="14"/>
  <c r="L98" i="14"/>
  <c r="M98" i="14"/>
  <c r="N98" i="14" s="1"/>
  <c r="N100" i="14" s="1"/>
  <c r="D14" i="14" s="1"/>
  <c r="D31" i="20" s="1"/>
  <c r="G99" i="14"/>
  <c r="AD99" i="14"/>
  <c r="AB99" i="14"/>
  <c r="F99" i="14"/>
  <c r="L99" i="14"/>
  <c r="M99" i="14"/>
  <c r="E12" i="14"/>
  <c r="AJ127" i="14"/>
  <c r="AJ117" i="14"/>
  <c r="AJ118" i="14"/>
  <c r="AJ119" i="14"/>
  <c r="AI121" i="14"/>
  <c r="AJ121" i="14"/>
  <c r="AJ122" i="14"/>
  <c r="AJ123" i="14"/>
  <c r="AJ124" i="14"/>
  <c r="AJ125" i="14"/>
  <c r="AJ126" i="14"/>
  <c r="AJ128" i="14"/>
  <c r="AJ129" i="14"/>
  <c r="AJ130" i="14"/>
  <c r="AJ131" i="14"/>
  <c r="AJ132" i="14"/>
  <c r="AJ133" i="14"/>
  <c r="AJ134" i="14"/>
  <c r="AJ135" i="14"/>
  <c r="AJ136" i="14"/>
  <c r="AJ145" i="14"/>
  <c r="AJ146" i="14"/>
  <c r="AJ147" i="14"/>
  <c r="AJ148" i="14"/>
  <c r="AJ149" i="14"/>
  <c r="F42" i="7" s="1"/>
  <c r="F43" i="7" s="1"/>
  <c r="F48" i="7" s="1"/>
  <c r="F46" i="7"/>
  <c r="F47" i="7"/>
  <c r="AJ158" i="14"/>
  <c r="AI86" i="14"/>
  <c r="AJ86" i="14"/>
  <c r="AI87" i="14"/>
  <c r="AJ87" i="14"/>
  <c r="AJ88" i="14"/>
  <c r="AI89" i="14"/>
  <c r="AJ89" i="14"/>
  <c r="AJ90" i="14" s="1"/>
  <c r="E42" i="7" s="1"/>
  <c r="E40" i="7"/>
  <c r="AH86" i="14"/>
  <c r="AH87" i="14"/>
  <c r="AH90" i="14" s="1"/>
  <c r="AH88" i="14"/>
  <c r="AH89" i="14"/>
  <c r="E41" i="7"/>
  <c r="E46" i="7"/>
  <c r="AI98" i="14"/>
  <c r="AJ98" i="14"/>
  <c r="AJ100" i="14" s="1"/>
  <c r="E31" i="7" s="1"/>
  <c r="AI99" i="14"/>
  <c r="AJ99" i="14"/>
  <c r="E29" i="7"/>
  <c r="AH98" i="14"/>
  <c r="AH99" i="14"/>
  <c r="AH100" i="14"/>
  <c r="E30" i="7"/>
  <c r="E35" i="7"/>
  <c r="AJ59" i="14"/>
  <c r="AI60" i="14"/>
  <c r="AJ60" i="14"/>
  <c r="AI61" i="14"/>
  <c r="AJ61" i="14"/>
  <c r="AI62" i="14"/>
  <c r="AJ62" i="14"/>
  <c r="AI64" i="14"/>
  <c r="AJ64" i="14"/>
  <c r="AJ65" i="14"/>
  <c r="AI66" i="14"/>
  <c r="AJ66" i="14"/>
  <c r="AI67" i="14"/>
  <c r="AJ67" i="14"/>
  <c r="AJ68" i="14"/>
  <c r="AJ69" i="14"/>
  <c r="AJ70" i="14"/>
  <c r="AJ71" i="14"/>
  <c r="AJ72" i="14"/>
  <c r="AJ73" i="14"/>
  <c r="AJ74" i="14"/>
  <c r="AJ75" i="14"/>
  <c r="AJ76" i="14"/>
  <c r="AI77" i="14"/>
  <c r="AJ77" i="14"/>
  <c r="E18" i="7"/>
  <c r="AH58" i="14"/>
  <c r="AH59" i="14"/>
  <c r="AH60" i="14"/>
  <c r="AH61" i="14"/>
  <c r="AH62" i="14"/>
  <c r="AH63" i="14"/>
  <c r="AH64" i="14"/>
  <c r="AH65" i="14"/>
  <c r="AH66" i="14"/>
  <c r="AH67" i="14"/>
  <c r="AH68" i="14"/>
  <c r="AH69" i="14"/>
  <c r="AH70" i="14"/>
  <c r="AH71" i="14"/>
  <c r="AH72" i="14"/>
  <c r="AH73" i="14"/>
  <c r="AH74" i="14"/>
  <c r="AH75" i="14"/>
  <c r="AH76" i="14"/>
  <c r="AH77" i="14"/>
  <c r="E19" i="7"/>
  <c r="E24" i="7"/>
  <c r="P39" i="2"/>
  <c r="D39" i="2"/>
  <c r="K37" i="1"/>
  <c r="Y37" i="1"/>
  <c r="C18" i="7" s="1"/>
  <c r="C40" i="7"/>
  <c r="C29" i="7"/>
  <c r="E38" i="14"/>
  <c r="G38" i="14"/>
  <c r="E60" i="2"/>
  <c r="E20" i="20"/>
  <c r="E41" i="2"/>
  <c r="AE158" i="14" s="1"/>
  <c r="F47" i="20"/>
  <c r="B20" i="20"/>
  <c r="M158" i="14"/>
  <c r="AB157" i="14"/>
  <c r="F157" i="14"/>
  <c r="L157" i="14"/>
  <c r="G157" i="14"/>
  <c r="AD157" i="14"/>
  <c r="M157" i="14"/>
  <c r="N157" i="14" s="1"/>
  <c r="N159" i="14" s="1"/>
  <c r="E14" i="14" s="1"/>
  <c r="E31" i="20" s="1"/>
  <c r="M147" i="14"/>
  <c r="M146" i="14"/>
  <c r="M145" i="14"/>
  <c r="M88" i="14"/>
  <c r="F29" i="7"/>
  <c r="AH158" i="14"/>
  <c r="AH157" i="14"/>
  <c r="AH159" i="14"/>
  <c r="F30" i="7"/>
  <c r="F35" i="7" s="1"/>
  <c r="AB58" i="14"/>
  <c r="F58" i="14"/>
  <c r="G58" i="14"/>
  <c r="AI58" i="14"/>
  <c r="AJ58" i="14" s="1"/>
  <c r="Y63" i="14"/>
  <c r="AB63" i="14"/>
  <c r="F63" i="14"/>
  <c r="G63" i="14"/>
  <c r="AI63" i="14"/>
  <c r="AJ63" i="14" s="1"/>
  <c r="AI76" i="14"/>
  <c r="AD63" i="14"/>
  <c r="L63" i="14"/>
  <c r="M63" i="14"/>
  <c r="N63" i="14" s="1"/>
  <c r="Z147" i="14"/>
  <c r="AB147" i="14"/>
  <c r="F147" i="14"/>
  <c r="Z88" i="14"/>
  <c r="AB88" i="14"/>
  <c r="F88" i="14"/>
  <c r="Z46" i="14"/>
  <c r="Z44" i="14"/>
  <c r="Y46" i="14"/>
  <c r="Y44" i="14"/>
  <c r="Z45" i="14"/>
  <c r="Y45" i="14"/>
  <c r="X14" i="2"/>
  <c r="Y11" i="2"/>
  <c r="Y13" i="2"/>
  <c r="AA11" i="2"/>
  <c r="AA12" i="2"/>
  <c r="AC12" i="2"/>
  <c r="AA13" i="2"/>
  <c r="AC13" i="2" s="1"/>
  <c r="D17" i="13"/>
  <c r="AB14" i="2"/>
  <c r="Z11" i="2"/>
  <c r="Z12" i="2"/>
  <c r="Z13" i="2"/>
  <c r="L58" i="14"/>
  <c r="Z58" i="14"/>
  <c r="AD58" i="14"/>
  <c r="M58" i="14"/>
  <c r="N58" i="14" s="1"/>
  <c r="Z60" i="14"/>
  <c r="Z61" i="14"/>
  <c r="Z63" i="14"/>
  <c r="Z64" i="14"/>
  <c r="L68" i="14"/>
  <c r="Y68" i="14"/>
  <c r="Z68" i="14"/>
  <c r="AB68" i="14"/>
  <c r="F68" i="14"/>
  <c r="AD68" i="14"/>
  <c r="G68" i="14"/>
  <c r="M68" i="14"/>
  <c r="L69" i="14"/>
  <c r="Y69" i="14"/>
  <c r="Z69" i="14"/>
  <c r="AB69" i="14"/>
  <c r="F69" i="14"/>
  <c r="AD69" i="14"/>
  <c r="G69" i="14"/>
  <c r="M69" i="14"/>
  <c r="L76" i="14"/>
  <c r="M76" i="14"/>
  <c r="Z86" i="14"/>
  <c r="Z87" i="14"/>
  <c r="L88" i="14"/>
  <c r="AD88" i="14"/>
  <c r="G88" i="14"/>
  <c r="Z98" i="14"/>
  <c r="M117" i="14"/>
  <c r="L120" i="14"/>
  <c r="Z120" i="14"/>
  <c r="AB120" i="14"/>
  <c r="F120" i="14"/>
  <c r="AD120" i="14"/>
  <c r="G120" i="14"/>
  <c r="M120" i="14"/>
  <c r="N120" i="14" s="1"/>
  <c r="N137" i="14" s="1"/>
  <c r="L122" i="14"/>
  <c r="M122" i="14"/>
  <c r="L125" i="14"/>
  <c r="M125" i="14"/>
  <c r="L127" i="14"/>
  <c r="M127" i="14"/>
  <c r="L145" i="14"/>
  <c r="Z145" i="14"/>
  <c r="AB145" i="14"/>
  <c r="F145" i="14" s="1"/>
  <c r="AD145" i="14"/>
  <c r="G145" i="14"/>
  <c r="L146" i="14"/>
  <c r="Z146" i="14"/>
  <c r="AB146" i="14"/>
  <c r="F146" i="14"/>
  <c r="AD146" i="14"/>
  <c r="G146" i="14"/>
  <c r="L148" i="14"/>
  <c r="F148" i="14"/>
  <c r="G148" i="14"/>
  <c r="AD148" i="14"/>
  <c r="M148" i="14"/>
  <c r="Z157" i="14"/>
  <c r="H8" i="5"/>
  <c r="H9" i="5" s="1"/>
  <c r="G12" i="5" s="1"/>
  <c r="H7" i="5"/>
  <c r="H10" i="5"/>
  <c r="C8" i="5"/>
  <c r="C7" i="5"/>
  <c r="C9" i="5"/>
  <c r="A3" i="21"/>
  <c r="P44" i="14"/>
  <c r="A11" i="8"/>
  <c r="B150" i="9"/>
  <c r="B49" i="17"/>
  <c r="B48" i="6"/>
  <c r="B52" i="7"/>
  <c r="B32" i="5"/>
  <c r="B35" i="18"/>
  <c r="B162" i="14"/>
  <c r="B90" i="10"/>
  <c r="B74" i="2"/>
  <c r="A57" i="20"/>
  <c r="B60" i="1"/>
  <c r="Y76" i="14"/>
  <c r="E18" i="17"/>
  <c r="E29" i="17" s="1"/>
  <c r="A3" i="8"/>
  <c r="E53" i="20"/>
  <c r="D18" i="17"/>
  <c r="D30" i="17" s="1"/>
  <c r="E48" i="20" s="1"/>
  <c r="E47" i="20"/>
  <c r="E17" i="20"/>
  <c r="E18" i="20"/>
  <c r="E19" i="20"/>
  <c r="E21" i="20"/>
  <c r="E22" i="20"/>
  <c r="E43" i="6"/>
  <c r="E46" i="6"/>
  <c r="F44" i="20" s="1"/>
  <c r="F43" i="20"/>
  <c r="F42" i="20"/>
  <c r="E42" i="20"/>
  <c r="F39" i="20"/>
  <c r="I38" i="14"/>
  <c r="N57" i="14"/>
  <c r="G50" i="7" s="1"/>
  <c r="F38" i="20" s="1"/>
  <c r="AI88" i="14"/>
  <c r="AI68" i="14"/>
  <c r="AI69" i="14"/>
  <c r="AI145" i="14"/>
  <c r="AI146" i="14"/>
  <c r="AI148" i="14"/>
  <c r="F40" i="7"/>
  <c r="F41" i="7" s="1"/>
  <c r="AH145" i="14"/>
  <c r="AH146" i="14"/>
  <c r="AH148" i="14"/>
  <c r="AH147" i="14"/>
  <c r="AI157" i="14"/>
  <c r="AJ157" i="14" s="1"/>
  <c r="AJ159" i="14" s="1"/>
  <c r="F31" i="7" s="1"/>
  <c r="AI117" i="14"/>
  <c r="AI120" i="14"/>
  <c r="AJ120" i="14" s="1"/>
  <c r="AI122" i="14"/>
  <c r="AI125" i="14"/>
  <c r="AI127" i="14"/>
  <c r="F18" i="7"/>
  <c r="F19" i="7" s="1"/>
  <c r="F24" i="7" s="1"/>
  <c r="AH120" i="14"/>
  <c r="AH125" i="14"/>
  <c r="AH122" i="14"/>
  <c r="AH117" i="14"/>
  <c r="AH137" i="14" s="1"/>
  <c r="AH127" i="14"/>
  <c r="AH118" i="14"/>
  <c r="AH119" i="14"/>
  <c r="AH121" i="14"/>
  <c r="AH123" i="14"/>
  <c r="AH124" i="14"/>
  <c r="AH126" i="14"/>
  <c r="AH128" i="14"/>
  <c r="AH129" i="14"/>
  <c r="AH130" i="14"/>
  <c r="AH131" i="14"/>
  <c r="AH132" i="14"/>
  <c r="AH133" i="14"/>
  <c r="AH134" i="14"/>
  <c r="AH135" i="14"/>
  <c r="AH136" i="14"/>
  <c r="B57" i="11"/>
  <c r="P38" i="2"/>
  <c r="D57" i="2" s="1"/>
  <c r="D17" i="20" s="1"/>
  <c r="D24" i="13"/>
  <c r="P41" i="2"/>
  <c r="P20" i="2"/>
  <c r="P21" i="2"/>
  <c r="P45" i="2"/>
  <c r="P46" i="2"/>
  <c r="P47" i="2"/>
  <c r="C11" i="13"/>
  <c r="C11" i="14"/>
  <c r="C28" i="20" s="1"/>
  <c r="D11" i="14"/>
  <c r="D28" i="20" s="1"/>
  <c r="E11" i="14"/>
  <c r="E28" i="20" s="1"/>
  <c r="F11" i="14"/>
  <c r="F28" i="20"/>
  <c r="B29" i="20"/>
  <c r="E29" i="20"/>
  <c r="F12" i="14"/>
  <c r="F29" i="20" s="1"/>
  <c r="B30" i="20"/>
  <c r="B31" i="20"/>
  <c r="B32" i="20"/>
  <c r="B33" i="20"/>
  <c r="B34" i="20"/>
  <c r="B3" i="10"/>
  <c r="B14" i="11"/>
  <c r="B3" i="1"/>
  <c r="K34" i="1"/>
  <c r="B3" i="17"/>
  <c r="B3" i="6"/>
  <c r="B3" i="7"/>
  <c r="B3" i="18"/>
  <c r="B3" i="14"/>
  <c r="B3" i="2"/>
  <c r="E13" i="2"/>
  <c r="E18" i="2"/>
  <c r="Z274" i="10"/>
  <c r="AA274" i="10"/>
  <c r="Z334" i="10"/>
  <c r="AA334" i="10"/>
  <c r="Z66" i="10"/>
  <c r="AA66" i="10"/>
  <c r="R37" i="10" s="1"/>
  <c r="Y221" i="10"/>
  <c r="T20" i="10" s="1"/>
  <c r="Y162" i="10"/>
  <c r="Y132" i="10"/>
  <c r="M118" i="14"/>
  <c r="M119" i="14"/>
  <c r="M123" i="14"/>
  <c r="M124" i="14"/>
  <c r="M126" i="14"/>
  <c r="M128" i="14"/>
  <c r="M129" i="14"/>
  <c r="M130" i="14"/>
  <c r="M131" i="14"/>
  <c r="M132" i="14"/>
  <c r="M133" i="14"/>
  <c r="M134" i="14"/>
  <c r="M135" i="14"/>
  <c r="M136" i="14"/>
  <c r="M59" i="14"/>
  <c r="M65" i="14"/>
  <c r="M70" i="14"/>
  <c r="M71" i="14"/>
  <c r="M72" i="14"/>
  <c r="M73" i="14"/>
  <c r="M74" i="14"/>
  <c r="M75" i="14"/>
  <c r="L59" i="14"/>
  <c r="L65" i="14"/>
  <c r="L70" i="14"/>
  <c r="L71" i="14"/>
  <c r="L72" i="14"/>
  <c r="L73" i="14"/>
  <c r="L74" i="14"/>
  <c r="L75" i="14"/>
  <c r="B90" i="14"/>
  <c r="B149" i="14"/>
  <c r="B137" i="14"/>
  <c r="B78" i="14"/>
  <c r="Y21" i="1"/>
  <c r="Y251" i="10"/>
  <c r="Y281" i="10"/>
  <c r="AI118" i="14"/>
  <c r="AI119" i="14"/>
  <c r="AI123" i="14"/>
  <c r="AI124" i="14"/>
  <c r="AI126" i="14"/>
  <c r="AI128" i="14"/>
  <c r="AI129" i="14"/>
  <c r="AI130" i="14"/>
  <c r="AI131" i="14"/>
  <c r="AI132" i="14"/>
  <c r="AI133" i="14"/>
  <c r="AI134" i="14"/>
  <c r="AI135" i="14"/>
  <c r="AI136" i="14"/>
  <c r="AI59" i="14"/>
  <c r="AI65" i="14"/>
  <c r="AI70" i="14"/>
  <c r="AI71" i="14"/>
  <c r="AI72" i="14"/>
  <c r="AI73" i="14"/>
  <c r="AI74" i="14"/>
  <c r="AI75" i="14"/>
  <c r="Z164" i="10"/>
  <c r="AA164" i="10" s="1"/>
  <c r="Z165" i="10"/>
  <c r="AA165" i="10" s="1"/>
  <c r="Z168" i="10"/>
  <c r="AA168" i="10" s="1"/>
  <c r="Z169" i="10"/>
  <c r="AA169" i="10"/>
  <c r="Z170" i="10"/>
  <c r="AA170" i="10" s="1"/>
  <c r="Z171" i="10"/>
  <c r="AA171" i="10" s="1"/>
  <c r="Z172" i="10"/>
  <c r="AA172" i="10" s="1"/>
  <c r="Z173" i="10"/>
  <c r="AA173" i="10" s="1"/>
  <c r="Z174" i="10"/>
  <c r="AA174" i="10" s="1"/>
  <c r="Z175" i="10"/>
  <c r="AA175" i="10" s="1"/>
  <c r="Z176" i="10"/>
  <c r="AA176" i="10" s="1"/>
  <c r="Z177" i="10"/>
  <c r="AA177" i="10"/>
  <c r="Z178" i="10"/>
  <c r="AA178" i="10" s="1"/>
  <c r="Z179" i="10"/>
  <c r="AA179" i="10" s="1"/>
  <c r="Z180" i="10"/>
  <c r="AA180" i="10" s="1"/>
  <c r="Z181" i="10"/>
  <c r="AA181" i="10" s="1"/>
  <c r="Z182" i="10"/>
  <c r="AA182" i="10" s="1"/>
  <c r="Z183" i="10"/>
  <c r="AA183" i="10" s="1"/>
  <c r="Z184" i="10"/>
  <c r="AA184" i="10" s="1"/>
  <c r="Z185" i="10"/>
  <c r="AA185" i="10"/>
  <c r="Z186" i="10"/>
  <c r="AA186" i="10" s="1"/>
  <c r="Z187" i="10"/>
  <c r="AA187" i="10" s="1"/>
  <c r="Z188" i="10"/>
  <c r="AA188" i="10" s="1"/>
  <c r="Z189" i="10"/>
  <c r="AA189" i="10" s="1"/>
  <c r="Z167" i="10"/>
  <c r="AA167" i="10" s="1"/>
  <c r="Z166" i="10"/>
  <c r="AA166" i="10" s="1"/>
  <c r="AD147" i="14"/>
  <c r="L147" i="14"/>
  <c r="G147" i="14"/>
  <c r="AC157" i="14"/>
  <c r="F155" i="14"/>
  <c r="AC145" i="14"/>
  <c r="F143" i="14" s="1"/>
  <c r="AD158" i="14"/>
  <c r="AE157" i="14"/>
  <c r="AE148" i="14"/>
  <c r="AE146" i="14"/>
  <c r="AE145" i="14"/>
  <c r="AE136" i="14"/>
  <c r="AD136" i="14"/>
  <c r="AE135" i="14"/>
  <c r="AD135" i="14"/>
  <c r="AE134" i="14"/>
  <c r="AD134" i="14"/>
  <c r="AE133" i="14"/>
  <c r="AD133" i="14"/>
  <c r="AE132" i="14"/>
  <c r="AD132" i="14"/>
  <c r="AE131" i="14"/>
  <c r="AD131" i="14"/>
  <c r="AE130" i="14"/>
  <c r="AD130" i="14"/>
  <c r="AE129" i="14"/>
  <c r="AD129" i="14"/>
  <c r="AE128" i="14"/>
  <c r="AD128" i="14"/>
  <c r="AE127" i="14"/>
  <c r="AD127" i="14"/>
  <c r="AE126" i="14"/>
  <c r="AD126" i="14"/>
  <c r="AE125" i="14"/>
  <c r="AD125" i="14"/>
  <c r="AE124" i="14"/>
  <c r="AD124" i="14"/>
  <c r="AE123" i="14"/>
  <c r="AD123" i="14"/>
  <c r="AE122" i="14"/>
  <c r="AD122" i="14"/>
  <c r="AE121" i="14"/>
  <c r="AD121" i="14"/>
  <c r="AE120" i="14"/>
  <c r="AD119" i="14"/>
  <c r="AE118" i="14"/>
  <c r="AD118" i="14"/>
  <c r="AD117" i="14"/>
  <c r="AC117" i="14"/>
  <c r="F136" i="14"/>
  <c r="Z99" i="14"/>
  <c r="AC98" i="14"/>
  <c r="F96" i="14"/>
  <c r="AE99" i="14"/>
  <c r="AC86" i="14"/>
  <c r="F84" i="14" s="1"/>
  <c r="AC58" i="14"/>
  <c r="F56" i="14" s="1"/>
  <c r="R155" i="14"/>
  <c r="R143" i="14"/>
  <c r="R115" i="14"/>
  <c r="R96" i="14"/>
  <c r="AE89" i="14"/>
  <c r="AE88" i="14"/>
  <c r="AE86" i="14"/>
  <c r="AE59" i="14"/>
  <c r="AE61" i="14"/>
  <c r="AE62" i="14"/>
  <c r="AE63" i="14"/>
  <c r="AE65" i="14"/>
  <c r="AE66" i="14"/>
  <c r="AE67" i="14"/>
  <c r="AE69" i="14"/>
  <c r="AE70" i="14"/>
  <c r="AE71" i="14"/>
  <c r="AE73" i="14"/>
  <c r="AE74" i="14"/>
  <c r="AE75" i="14"/>
  <c r="AE77" i="14"/>
  <c r="AE58" i="14"/>
  <c r="S89" i="14"/>
  <c r="Z59" i="14"/>
  <c r="AB59" i="14"/>
  <c r="F59" i="14" s="1"/>
  <c r="G59" i="14"/>
  <c r="AD59" i="14"/>
  <c r="Z66" i="14"/>
  <c r="Z67" i="14"/>
  <c r="Y70" i="14"/>
  <c r="Z70" i="14" s="1"/>
  <c r="G70" i="14"/>
  <c r="AD70" i="14"/>
  <c r="L117" i="14"/>
  <c r="Z117" i="14"/>
  <c r="AB117" i="14"/>
  <c r="F117" i="14" s="1"/>
  <c r="G117" i="14"/>
  <c r="L118" i="14"/>
  <c r="Z118" i="14"/>
  <c r="AB118" i="14"/>
  <c r="F118" i="14"/>
  <c r="G118" i="14"/>
  <c r="L119" i="14"/>
  <c r="Z119" i="14"/>
  <c r="AB119" i="14"/>
  <c r="F119" i="14" s="1"/>
  <c r="G119" i="14"/>
  <c r="Z121" i="14"/>
  <c r="AB121" i="14"/>
  <c r="F121" i="14" s="1"/>
  <c r="G121" i="14"/>
  <c r="Z122" i="14"/>
  <c r="AB122" i="14"/>
  <c r="F122" i="14" s="1"/>
  <c r="G122" i="14"/>
  <c r="L123" i="14"/>
  <c r="Z123" i="14"/>
  <c r="AB123" i="14"/>
  <c r="F123" i="14"/>
  <c r="G123" i="14"/>
  <c r="Z125" i="14"/>
  <c r="AB125" i="14"/>
  <c r="F125" i="14"/>
  <c r="G125" i="14"/>
  <c r="L128" i="14"/>
  <c r="Z128" i="14"/>
  <c r="AB128" i="14"/>
  <c r="F128" i="14" s="1"/>
  <c r="G128" i="14"/>
  <c r="F115" i="14"/>
  <c r="AD76" i="14"/>
  <c r="AD65" i="14"/>
  <c r="AD71" i="14"/>
  <c r="AD72" i="14"/>
  <c r="AD73" i="14"/>
  <c r="AD74" i="14"/>
  <c r="AD75" i="14"/>
  <c r="Y65" i="14"/>
  <c r="Y71" i="14"/>
  <c r="Y72" i="14"/>
  <c r="Y73" i="14"/>
  <c r="AB73" i="14" s="1"/>
  <c r="F73" i="14" s="1"/>
  <c r="Y74" i="14"/>
  <c r="Y75" i="14"/>
  <c r="Z338" i="10"/>
  <c r="Y338" i="10"/>
  <c r="Z337" i="10"/>
  <c r="Y337" i="10"/>
  <c r="Z336" i="10"/>
  <c r="Y336" i="10"/>
  <c r="Z335" i="10"/>
  <c r="Y335" i="10"/>
  <c r="Y334" i="10"/>
  <c r="Z333" i="10"/>
  <c r="Y333" i="10"/>
  <c r="Z332" i="10"/>
  <c r="Y332" i="10"/>
  <c r="Z331" i="10"/>
  <c r="Y331" i="10"/>
  <c r="Z330" i="10"/>
  <c r="Y330" i="10"/>
  <c r="Z329" i="10"/>
  <c r="Y329" i="10"/>
  <c r="Z328" i="10"/>
  <c r="Y328" i="10"/>
  <c r="Z327" i="10"/>
  <c r="Y327" i="10"/>
  <c r="Z326" i="10"/>
  <c r="Y326" i="10"/>
  <c r="Z325" i="10"/>
  <c r="Y325" i="10"/>
  <c r="Z324" i="10"/>
  <c r="Y324" i="10"/>
  <c r="Z323" i="10"/>
  <c r="Y323" i="10"/>
  <c r="Z322" i="10"/>
  <c r="Y322" i="10"/>
  <c r="Z321" i="10"/>
  <c r="Y321" i="10"/>
  <c r="Z320" i="10"/>
  <c r="Y320" i="10"/>
  <c r="Z319" i="10"/>
  <c r="Y319" i="10"/>
  <c r="Z318" i="10"/>
  <c r="Y318" i="10"/>
  <c r="Z317" i="10"/>
  <c r="Y317" i="10"/>
  <c r="Z316" i="10"/>
  <c r="Y316" i="10"/>
  <c r="Z315" i="10"/>
  <c r="Y315" i="10"/>
  <c r="Z314" i="10"/>
  <c r="Y314" i="10"/>
  <c r="Z313" i="10"/>
  <c r="Y313" i="10"/>
  <c r="Z308" i="10"/>
  <c r="Y308" i="10"/>
  <c r="Z307" i="10"/>
  <c r="Y307" i="10"/>
  <c r="Z306" i="10"/>
  <c r="Y306" i="10"/>
  <c r="Z305" i="10"/>
  <c r="Y305" i="10"/>
  <c r="Z304" i="10"/>
  <c r="Y304" i="10"/>
  <c r="Z303" i="10"/>
  <c r="Y303" i="10"/>
  <c r="Z302" i="10"/>
  <c r="Y302" i="10"/>
  <c r="Z301" i="10"/>
  <c r="Y301" i="10"/>
  <c r="Z300" i="10"/>
  <c r="Y300" i="10"/>
  <c r="Z299" i="10"/>
  <c r="Y299" i="10"/>
  <c r="Z298" i="10"/>
  <c r="Y298" i="10"/>
  <c r="Z297" i="10"/>
  <c r="Y297" i="10"/>
  <c r="Z296" i="10"/>
  <c r="Y296" i="10"/>
  <c r="Z295" i="10"/>
  <c r="Y295" i="10"/>
  <c r="Z294" i="10"/>
  <c r="Y294" i="10"/>
  <c r="Z293" i="10"/>
  <c r="Y293" i="10"/>
  <c r="Z292" i="10"/>
  <c r="Y292" i="10"/>
  <c r="Z291" i="10"/>
  <c r="Y291" i="10"/>
  <c r="Z290" i="10"/>
  <c r="Y290" i="10"/>
  <c r="Z289" i="10"/>
  <c r="Y289" i="10"/>
  <c r="Z288" i="10"/>
  <c r="Y288" i="10"/>
  <c r="Z287" i="10"/>
  <c r="Y287" i="10"/>
  <c r="Z286" i="10"/>
  <c r="Y286" i="10"/>
  <c r="Z285" i="10"/>
  <c r="Y285" i="10"/>
  <c r="Z284" i="10"/>
  <c r="Y284" i="10"/>
  <c r="Z283" i="10"/>
  <c r="Y283" i="10"/>
  <c r="Z278" i="10"/>
  <c r="Y278" i="10"/>
  <c r="Z277" i="10"/>
  <c r="AA277" i="10" s="1"/>
  <c r="Y277" i="10"/>
  <c r="Z276" i="10"/>
  <c r="Y276" i="10"/>
  <c r="Z275" i="10"/>
  <c r="Y275" i="10"/>
  <c r="Y274" i="10"/>
  <c r="Z273" i="10"/>
  <c r="Y273" i="10"/>
  <c r="Z272" i="10"/>
  <c r="Y272" i="10"/>
  <c r="Z271" i="10"/>
  <c r="Y271" i="10"/>
  <c r="Z270" i="10"/>
  <c r="Y270" i="10"/>
  <c r="Z269" i="10"/>
  <c r="Y269" i="10"/>
  <c r="Z268" i="10"/>
  <c r="Y268" i="10"/>
  <c r="Z267" i="10"/>
  <c r="Y267" i="10"/>
  <c r="Z266" i="10"/>
  <c r="Y266" i="10"/>
  <c r="Z265" i="10"/>
  <c r="Y265" i="10"/>
  <c r="Z264" i="10"/>
  <c r="Y264" i="10"/>
  <c r="Z263" i="10"/>
  <c r="Y263" i="10"/>
  <c r="Z262" i="10"/>
  <c r="Y262" i="10"/>
  <c r="Z261" i="10"/>
  <c r="Y261" i="10"/>
  <c r="Z260" i="10"/>
  <c r="Y260" i="10"/>
  <c r="Z259" i="10"/>
  <c r="Y259" i="10"/>
  <c r="Z258" i="10"/>
  <c r="Y258" i="10"/>
  <c r="Z257" i="10"/>
  <c r="Y257" i="10"/>
  <c r="Z256" i="10"/>
  <c r="Y256" i="10"/>
  <c r="Z255" i="10"/>
  <c r="Y255" i="10"/>
  <c r="Z254" i="10"/>
  <c r="Y254" i="10"/>
  <c r="Z253" i="10"/>
  <c r="Y253" i="10"/>
  <c r="Z248" i="10"/>
  <c r="Y248" i="10"/>
  <c r="Z247" i="10"/>
  <c r="Y247" i="10"/>
  <c r="Z246" i="10"/>
  <c r="Y246" i="10"/>
  <c r="Z245" i="10"/>
  <c r="Y245" i="10"/>
  <c r="Z244" i="10"/>
  <c r="Y244" i="10"/>
  <c r="Z243" i="10"/>
  <c r="Y243" i="10"/>
  <c r="Z242" i="10"/>
  <c r="Y242" i="10"/>
  <c r="Z241" i="10"/>
  <c r="Y241" i="10"/>
  <c r="Z240" i="10"/>
  <c r="Y240" i="10"/>
  <c r="Z239" i="10"/>
  <c r="Y239" i="10"/>
  <c r="Z238" i="10"/>
  <c r="Y238" i="10"/>
  <c r="Z237" i="10"/>
  <c r="Y237" i="10"/>
  <c r="Z236" i="10"/>
  <c r="Y236" i="10"/>
  <c r="Z235" i="10"/>
  <c r="Y235" i="10"/>
  <c r="Z234" i="10"/>
  <c r="Y234" i="10"/>
  <c r="Z233" i="10"/>
  <c r="Y233" i="10"/>
  <c r="Z232" i="10"/>
  <c r="Y232" i="10"/>
  <c r="Z231" i="10"/>
  <c r="Y231" i="10"/>
  <c r="Z230" i="10"/>
  <c r="Y230" i="10"/>
  <c r="Z229" i="10"/>
  <c r="Y229" i="10"/>
  <c r="Z228" i="10"/>
  <c r="Y228" i="10"/>
  <c r="Z227" i="10"/>
  <c r="Y227" i="10"/>
  <c r="Z226" i="10"/>
  <c r="Y226" i="10"/>
  <c r="Z225" i="10"/>
  <c r="Y225" i="10"/>
  <c r="Z224" i="10"/>
  <c r="Y224" i="10"/>
  <c r="Z223" i="10"/>
  <c r="Y223" i="10"/>
  <c r="Z218" i="10"/>
  <c r="Y218" i="10"/>
  <c r="Z217" i="10"/>
  <c r="Y217" i="10"/>
  <c r="Z216" i="10"/>
  <c r="Y216" i="10"/>
  <c r="Z215" i="10"/>
  <c r="Y215" i="10"/>
  <c r="Z214" i="10"/>
  <c r="Y214" i="10"/>
  <c r="Z213" i="10"/>
  <c r="Y213" i="10"/>
  <c r="Z212" i="10"/>
  <c r="Y212" i="10"/>
  <c r="Z211" i="10"/>
  <c r="Y211" i="10"/>
  <c r="Z210" i="10"/>
  <c r="Y210" i="10"/>
  <c r="Z209" i="10"/>
  <c r="Y209" i="10"/>
  <c r="Z208" i="10"/>
  <c r="Y208" i="10"/>
  <c r="Z207" i="10"/>
  <c r="Y207" i="10"/>
  <c r="Z206" i="10"/>
  <c r="Y206" i="10"/>
  <c r="Z205" i="10"/>
  <c r="Y205" i="10"/>
  <c r="Z204" i="10"/>
  <c r="Y204" i="10"/>
  <c r="Z203" i="10"/>
  <c r="Y203" i="10"/>
  <c r="Z202" i="10"/>
  <c r="Y202" i="10"/>
  <c r="Z201" i="10"/>
  <c r="Y201" i="10"/>
  <c r="Z200" i="10"/>
  <c r="Y200" i="10"/>
  <c r="Z199" i="10"/>
  <c r="Y199" i="10"/>
  <c r="Z198" i="10"/>
  <c r="Y198" i="10"/>
  <c r="Z197" i="10"/>
  <c r="Y197" i="10"/>
  <c r="Z196" i="10"/>
  <c r="Y196" i="10"/>
  <c r="Z195" i="10"/>
  <c r="Y195" i="10"/>
  <c r="Z194" i="10"/>
  <c r="Y194" i="10"/>
  <c r="Z193" i="10"/>
  <c r="Y193" i="10"/>
  <c r="Y189" i="10"/>
  <c r="Y188" i="10"/>
  <c r="Y187" i="10"/>
  <c r="Y186" i="10"/>
  <c r="Y185" i="10"/>
  <c r="Y184" i="10"/>
  <c r="Y183" i="10"/>
  <c r="Y182" i="10"/>
  <c r="Y181" i="10"/>
  <c r="Y180" i="10"/>
  <c r="Y179" i="10"/>
  <c r="Y178" i="10"/>
  <c r="Y177" i="10"/>
  <c r="Y176" i="10"/>
  <c r="Y175" i="10"/>
  <c r="Y174" i="10"/>
  <c r="Y173" i="10"/>
  <c r="Y172" i="10"/>
  <c r="Y171" i="10"/>
  <c r="Y170" i="10"/>
  <c r="Y169" i="10"/>
  <c r="Y168" i="10"/>
  <c r="Y167" i="10"/>
  <c r="Y166" i="10"/>
  <c r="Y165" i="10"/>
  <c r="Y164" i="10"/>
  <c r="Z159" i="10"/>
  <c r="Y159" i="10"/>
  <c r="Z158" i="10"/>
  <c r="AA158" i="10" s="1"/>
  <c r="Y158" i="10"/>
  <c r="Z157" i="10"/>
  <c r="Y157" i="10"/>
  <c r="Z156" i="10"/>
  <c r="Y156" i="10"/>
  <c r="Z155" i="10"/>
  <c r="Y155" i="10"/>
  <c r="Z154" i="10"/>
  <c r="AA154" i="10" s="1"/>
  <c r="Y154" i="10"/>
  <c r="Z153" i="10"/>
  <c r="Y153" i="10"/>
  <c r="Z152" i="10"/>
  <c r="Y152" i="10"/>
  <c r="Z151" i="10"/>
  <c r="Y151" i="10"/>
  <c r="Z150" i="10"/>
  <c r="AA150" i="10" s="1"/>
  <c r="Y150" i="10"/>
  <c r="Z149" i="10"/>
  <c r="Y149" i="10"/>
  <c r="Z148" i="10"/>
  <c r="Y148" i="10"/>
  <c r="Z147" i="10"/>
  <c r="Y147" i="10"/>
  <c r="Z146" i="10"/>
  <c r="AA146" i="10" s="1"/>
  <c r="Y146" i="10"/>
  <c r="Z145" i="10"/>
  <c r="Y145" i="10"/>
  <c r="Z144" i="10"/>
  <c r="Y144" i="10"/>
  <c r="Z143" i="10"/>
  <c r="Y143" i="10"/>
  <c r="Z142" i="10"/>
  <c r="AA142" i="10" s="1"/>
  <c r="Y142" i="10"/>
  <c r="Z141" i="10"/>
  <c r="Y141" i="10"/>
  <c r="Z140" i="10"/>
  <c r="Y140" i="10"/>
  <c r="Z139" i="10"/>
  <c r="Y139" i="10"/>
  <c r="Z138" i="10"/>
  <c r="AA138" i="10" s="1"/>
  <c r="Y138" i="10"/>
  <c r="Z137" i="10"/>
  <c r="Y137" i="10"/>
  <c r="Z136" i="10"/>
  <c r="Y136" i="10"/>
  <c r="Z135" i="10"/>
  <c r="Y135" i="10"/>
  <c r="Z134" i="10"/>
  <c r="AA134" i="10" s="1"/>
  <c r="Y134" i="10"/>
  <c r="Z129" i="10"/>
  <c r="Y129" i="10"/>
  <c r="Z128" i="10"/>
  <c r="Y128" i="10"/>
  <c r="Z127" i="10"/>
  <c r="Y127" i="10"/>
  <c r="Z126" i="10"/>
  <c r="Y126" i="10"/>
  <c r="Z125" i="10"/>
  <c r="Y125" i="10"/>
  <c r="Z124" i="10"/>
  <c r="Y124" i="10"/>
  <c r="Z123" i="10"/>
  <c r="Y123" i="10"/>
  <c r="Z122" i="10"/>
  <c r="Y122" i="10"/>
  <c r="Z121" i="10"/>
  <c r="Y121" i="10"/>
  <c r="Z120" i="10"/>
  <c r="Y120" i="10"/>
  <c r="Z119" i="10"/>
  <c r="Y119" i="10"/>
  <c r="Z118" i="10"/>
  <c r="Y118" i="10"/>
  <c r="Z117" i="10"/>
  <c r="Y117" i="10"/>
  <c r="Z116" i="10"/>
  <c r="Y116" i="10"/>
  <c r="Z115" i="10"/>
  <c r="Y115" i="10"/>
  <c r="Z114" i="10"/>
  <c r="Y114" i="10"/>
  <c r="Z113" i="10"/>
  <c r="Y113" i="10"/>
  <c r="Z112" i="10"/>
  <c r="Y112" i="10"/>
  <c r="Z111" i="10"/>
  <c r="Y111" i="10"/>
  <c r="Z110" i="10"/>
  <c r="Y110" i="10"/>
  <c r="Z109" i="10"/>
  <c r="Y109" i="10"/>
  <c r="Z108" i="10"/>
  <c r="Y108" i="10"/>
  <c r="Z107" i="10"/>
  <c r="Y107" i="10"/>
  <c r="Z106" i="10"/>
  <c r="Y106" i="10"/>
  <c r="Z105" i="10"/>
  <c r="Y105" i="10"/>
  <c r="Z104" i="10"/>
  <c r="Y104" i="10"/>
  <c r="Z100" i="10"/>
  <c r="Y100" i="10"/>
  <c r="Z99" i="10"/>
  <c r="Y99" i="10"/>
  <c r="Z98" i="10"/>
  <c r="Y98" i="10"/>
  <c r="Z97" i="10"/>
  <c r="Y97" i="10"/>
  <c r="Z96" i="10"/>
  <c r="Y96" i="10"/>
  <c r="Z95" i="10"/>
  <c r="Y95" i="10"/>
  <c r="Z94" i="10"/>
  <c r="Y94" i="10"/>
  <c r="Z93" i="10"/>
  <c r="Y93" i="10"/>
  <c r="Z92" i="10"/>
  <c r="Y92" i="10"/>
  <c r="Z91" i="10"/>
  <c r="Y91" i="10"/>
  <c r="Z90" i="10"/>
  <c r="Y90" i="10"/>
  <c r="Z89" i="10"/>
  <c r="Y89" i="10"/>
  <c r="Z88" i="10"/>
  <c r="Y88" i="10"/>
  <c r="Z87" i="10"/>
  <c r="Y87" i="10"/>
  <c r="Z86" i="10"/>
  <c r="Y86" i="10"/>
  <c r="Z85" i="10"/>
  <c r="Y85" i="10"/>
  <c r="Z84" i="10"/>
  <c r="Y84" i="10"/>
  <c r="Z83" i="10"/>
  <c r="Y83" i="10"/>
  <c r="Z82" i="10"/>
  <c r="Y82" i="10"/>
  <c r="Z81" i="10"/>
  <c r="Y81" i="10"/>
  <c r="Z80" i="10"/>
  <c r="Y80" i="10"/>
  <c r="Z79" i="10"/>
  <c r="Y79" i="10"/>
  <c r="Z78" i="10"/>
  <c r="Y78" i="10"/>
  <c r="Z77" i="10"/>
  <c r="Y77" i="10"/>
  <c r="Z76" i="10"/>
  <c r="Y76" i="10"/>
  <c r="Z75" i="10"/>
  <c r="Y75" i="10"/>
  <c r="Z70" i="10"/>
  <c r="Y70" i="10"/>
  <c r="Z69" i="10"/>
  <c r="AA69" i="10" s="1"/>
  <c r="Y69" i="10"/>
  <c r="Z68" i="10"/>
  <c r="Y68" i="10"/>
  <c r="Z67" i="10"/>
  <c r="Y67" i="10"/>
  <c r="Y66" i="10"/>
  <c r="Z65" i="10"/>
  <c r="Y65" i="10"/>
  <c r="Z64" i="10"/>
  <c r="Y64" i="10"/>
  <c r="Z63" i="10"/>
  <c r="Y63" i="10"/>
  <c r="Z62" i="10"/>
  <c r="Y62" i="10"/>
  <c r="Z61" i="10"/>
  <c r="Y61" i="10"/>
  <c r="Z60" i="10"/>
  <c r="Y60" i="10"/>
  <c r="Z59" i="10"/>
  <c r="Y59" i="10"/>
  <c r="Z58" i="10"/>
  <c r="Y58" i="10"/>
  <c r="Z57" i="10"/>
  <c r="Y57" i="10"/>
  <c r="Z56" i="10"/>
  <c r="Y56" i="10"/>
  <c r="Z55" i="10"/>
  <c r="Y55" i="10"/>
  <c r="Z54" i="10"/>
  <c r="Y54" i="10"/>
  <c r="Z53" i="10"/>
  <c r="Y53" i="10"/>
  <c r="Z52" i="10"/>
  <c r="Y52" i="10"/>
  <c r="Z51" i="10"/>
  <c r="Y51" i="10"/>
  <c r="Z50" i="10"/>
  <c r="Y50" i="10"/>
  <c r="Z49" i="10"/>
  <c r="Y49" i="10"/>
  <c r="Z48" i="10"/>
  <c r="Y48" i="10"/>
  <c r="Z47" i="10"/>
  <c r="Y47" i="10"/>
  <c r="Z46" i="10"/>
  <c r="Y46" i="10"/>
  <c r="Z45" i="10"/>
  <c r="Y45" i="10"/>
  <c r="Z40" i="10"/>
  <c r="Y40" i="10"/>
  <c r="Z39" i="10"/>
  <c r="Y39" i="10"/>
  <c r="Z38" i="10"/>
  <c r="Y38" i="10"/>
  <c r="Z37" i="10"/>
  <c r="Y37" i="10"/>
  <c r="Z36" i="10"/>
  <c r="Y36" i="10"/>
  <c r="Z35" i="10"/>
  <c r="Y35" i="10"/>
  <c r="Z34" i="10"/>
  <c r="Y34" i="10"/>
  <c r="Z33" i="10"/>
  <c r="Y33" i="10"/>
  <c r="Z32" i="10"/>
  <c r="Y32" i="10"/>
  <c r="Z31" i="10"/>
  <c r="Y31" i="10"/>
  <c r="Z30" i="10"/>
  <c r="Y30" i="10"/>
  <c r="Z29" i="10"/>
  <c r="Y29" i="10"/>
  <c r="Z28" i="10"/>
  <c r="Y28" i="10"/>
  <c r="Z27" i="10"/>
  <c r="Y27" i="10"/>
  <c r="Z26" i="10"/>
  <c r="Y26" i="10"/>
  <c r="Z25" i="10"/>
  <c r="Y25" i="10"/>
  <c r="Z24" i="10"/>
  <c r="Y24" i="10"/>
  <c r="Z23" i="10"/>
  <c r="Y23" i="10"/>
  <c r="Z22" i="10"/>
  <c r="Y22" i="10"/>
  <c r="Z21" i="10"/>
  <c r="Y21" i="10"/>
  <c r="Z20" i="10"/>
  <c r="Y20" i="10"/>
  <c r="Z19" i="10"/>
  <c r="Y19" i="10"/>
  <c r="Z18" i="10"/>
  <c r="Y18" i="10"/>
  <c r="Z17" i="10"/>
  <c r="Y17" i="10"/>
  <c r="Z16" i="10"/>
  <c r="Y16" i="10"/>
  <c r="Z15" i="10"/>
  <c r="Y15" i="10"/>
  <c r="AI158" i="14"/>
  <c r="AI147" i="14"/>
  <c r="F28" i="2"/>
  <c r="F25" i="14"/>
  <c r="L25" i="14" s="1"/>
  <c r="D31" i="6"/>
  <c r="C11" i="5"/>
  <c r="B12" i="5"/>
  <c r="D28" i="6"/>
  <c r="D10" i="6"/>
  <c r="D8" i="6"/>
  <c r="C8" i="2"/>
  <c r="T16" i="10"/>
  <c r="B30" i="14"/>
  <c r="E25" i="14"/>
  <c r="G25" i="14"/>
  <c r="E31" i="6"/>
  <c r="T15" i="6"/>
  <c r="T19" i="6" s="1"/>
  <c r="V15" i="6" s="1"/>
  <c r="O22" i="13"/>
  <c r="O18" i="13"/>
  <c r="O19" i="13"/>
  <c r="E23" i="6"/>
  <c r="E42" i="6"/>
  <c r="E33" i="6"/>
  <c r="E30" i="6"/>
  <c r="E27" i="6"/>
  <c r="C23" i="6"/>
  <c r="E8" i="6"/>
  <c r="V16" i="5"/>
  <c r="V12" i="5"/>
  <c r="B58" i="14"/>
  <c r="E30" i="2"/>
  <c r="E19" i="17"/>
  <c r="E31" i="17" s="1"/>
  <c r="U15" i="17"/>
  <c r="C6" i="13"/>
  <c r="C44" i="13" s="1"/>
  <c r="AA223" i="10"/>
  <c r="AA224" i="10"/>
  <c r="AA225" i="10"/>
  <c r="AA226" i="10"/>
  <c r="AA227" i="10"/>
  <c r="AA228" i="10"/>
  <c r="AA229" i="10"/>
  <c r="AA230" i="10"/>
  <c r="AA231" i="10"/>
  <c r="AA232" i="10"/>
  <c r="AA233" i="10"/>
  <c r="AA234" i="10"/>
  <c r="AA235" i="10"/>
  <c r="AA236" i="10"/>
  <c r="AA237" i="10"/>
  <c r="AA238" i="10"/>
  <c r="AA239" i="10"/>
  <c r="AA240" i="10"/>
  <c r="AA241" i="10"/>
  <c r="AA242" i="10"/>
  <c r="AA243" i="10"/>
  <c r="AA244" i="10"/>
  <c r="AA245" i="10"/>
  <c r="AA246" i="10"/>
  <c r="AA247" i="10"/>
  <c r="AA248" i="10"/>
  <c r="C8" i="10"/>
  <c r="Q15" i="10"/>
  <c r="AA135" i="10"/>
  <c r="AA136" i="10"/>
  <c r="AA137" i="10"/>
  <c r="AA139" i="10"/>
  <c r="AA140" i="10"/>
  <c r="AA141" i="10"/>
  <c r="AA143" i="10"/>
  <c r="AA144" i="10"/>
  <c r="AA145" i="10"/>
  <c r="AA147" i="10"/>
  <c r="AA148" i="10"/>
  <c r="AA149" i="10"/>
  <c r="AA151" i="10"/>
  <c r="AA152" i="10"/>
  <c r="AA153" i="10"/>
  <c r="AA155" i="10"/>
  <c r="AA156" i="10"/>
  <c r="AA157" i="10"/>
  <c r="AA159" i="10"/>
  <c r="AA40" i="10"/>
  <c r="AA39" i="10"/>
  <c r="AA70" i="10"/>
  <c r="AA99" i="10"/>
  <c r="AA100" i="10"/>
  <c r="AA128" i="10"/>
  <c r="AA129" i="10"/>
  <c r="AA278" i="10"/>
  <c r="AA337" i="10"/>
  <c r="AA338" i="10"/>
  <c r="AA336" i="10"/>
  <c r="T18" i="10"/>
  <c r="T17" i="10"/>
  <c r="B158" i="14"/>
  <c r="B157" i="14"/>
  <c r="B99" i="14"/>
  <c r="B98" i="14"/>
  <c r="B135" i="14"/>
  <c r="B134" i="14"/>
  <c r="B133" i="14"/>
  <c r="B132" i="14"/>
  <c r="B131" i="14"/>
  <c r="B130" i="14"/>
  <c r="B129" i="14"/>
  <c r="B128" i="14"/>
  <c r="B127" i="14"/>
  <c r="B126" i="14"/>
  <c r="B125" i="14"/>
  <c r="B124" i="14"/>
  <c r="B123" i="14"/>
  <c r="B122" i="14"/>
  <c r="B121" i="14"/>
  <c r="B120" i="14"/>
  <c r="B119" i="14"/>
  <c r="B118" i="14"/>
  <c r="B117" i="14"/>
  <c r="B76" i="14"/>
  <c r="B75" i="14"/>
  <c r="B74" i="14"/>
  <c r="B73" i="14"/>
  <c r="B72" i="14"/>
  <c r="B71" i="14"/>
  <c r="B70" i="14"/>
  <c r="B69" i="14"/>
  <c r="B68" i="14"/>
  <c r="B67" i="14"/>
  <c r="B66" i="14"/>
  <c r="B65" i="14"/>
  <c r="B64" i="14"/>
  <c r="B63" i="14"/>
  <c r="B62" i="14"/>
  <c r="B61" i="14"/>
  <c r="B60" i="14"/>
  <c r="B59" i="14"/>
  <c r="Z158" i="14"/>
  <c r="AB158" i="14"/>
  <c r="F158" i="14" s="1"/>
  <c r="L158" i="14"/>
  <c r="G158" i="14"/>
  <c r="Z124" i="14"/>
  <c r="AB124" i="14"/>
  <c r="F124" i="14" s="1"/>
  <c r="L124" i="14"/>
  <c r="G124" i="14"/>
  <c r="Z126" i="14"/>
  <c r="AB126" i="14"/>
  <c r="F126" i="14" s="1"/>
  <c r="L126" i="14"/>
  <c r="G126" i="14"/>
  <c r="Z127" i="14"/>
  <c r="AB127" i="14"/>
  <c r="F127" i="14"/>
  <c r="G127" i="14"/>
  <c r="Z129" i="14"/>
  <c r="AB129" i="14"/>
  <c r="F129" i="14"/>
  <c r="G129" i="14"/>
  <c r="Z130" i="14"/>
  <c r="AB130" i="14"/>
  <c r="F130" i="14"/>
  <c r="L130" i="14"/>
  <c r="G130" i="14"/>
  <c r="Z131" i="14"/>
  <c r="AB131" i="14"/>
  <c r="F131" i="14" s="1"/>
  <c r="G131" i="14"/>
  <c r="Z132" i="14"/>
  <c r="AB132" i="14"/>
  <c r="F132" i="14" s="1"/>
  <c r="L132" i="14"/>
  <c r="G132" i="14"/>
  <c r="Z133" i="14"/>
  <c r="AB133" i="14"/>
  <c r="F133" i="14" s="1"/>
  <c r="L133" i="14"/>
  <c r="G133" i="14"/>
  <c r="Z134" i="14"/>
  <c r="AB134" i="14"/>
  <c r="F134" i="14"/>
  <c r="L134" i="14"/>
  <c r="G134" i="14"/>
  <c r="Z135" i="14"/>
  <c r="AB135" i="14"/>
  <c r="F135" i="14"/>
  <c r="L135" i="14"/>
  <c r="G135" i="14"/>
  <c r="L136" i="14"/>
  <c r="G136" i="14"/>
  <c r="Z65" i="14"/>
  <c r="AB65" i="14"/>
  <c r="F65" i="14"/>
  <c r="G65" i="14"/>
  <c r="Z71" i="14"/>
  <c r="AB71" i="14"/>
  <c r="F71" i="14"/>
  <c r="G71" i="14"/>
  <c r="Z72" i="14"/>
  <c r="AB72" i="14"/>
  <c r="F72" i="14"/>
  <c r="G72" i="14"/>
  <c r="Z73" i="14"/>
  <c r="G73" i="14"/>
  <c r="Z74" i="14"/>
  <c r="AB74" i="14"/>
  <c r="F74" i="14" s="1"/>
  <c r="G74" i="14"/>
  <c r="Z75" i="14"/>
  <c r="AB75" i="14"/>
  <c r="F75" i="14" s="1"/>
  <c r="G75" i="14"/>
  <c r="G76" i="14"/>
  <c r="AA193" i="10"/>
  <c r="AA195" i="10"/>
  <c r="AA197" i="10"/>
  <c r="AA199" i="10"/>
  <c r="AA201" i="10"/>
  <c r="AA203" i="10"/>
  <c r="AA205" i="10"/>
  <c r="AA207" i="10"/>
  <c r="AA209" i="10"/>
  <c r="AA211" i="10"/>
  <c r="AA213" i="10"/>
  <c r="AA215" i="10"/>
  <c r="Y192" i="10"/>
  <c r="T19" i="10"/>
  <c r="D67" i="13"/>
  <c r="C66" i="13"/>
  <c r="AA218" i="10"/>
  <c r="D66" i="13"/>
  <c r="E59" i="2"/>
  <c r="T22" i="10"/>
  <c r="T21" i="10"/>
  <c r="E61" i="2"/>
  <c r="AA254" i="10"/>
  <c r="AA255" i="10"/>
  <c r="AA256" i="10"/>
  <c r="AA257" i="10"/>
  <c r="AA258" i="10"/>
  <c r="AA259" i="10"/>
  <c r="AA260" i="10"/>
  <c r="AA261" i="10"/>
  <c r="AA262" i="10"/>
  <c r="AA263" i="10"/>
  <c r="AA264" i="10"/>
  <c r="AA265" i="10"/>
  <c r="AA266" i="10"/>
  <c r="AA267" i="10"/>
  <c r="AA268" i="10"/>
  <c r="AA269" i="10"/>
  <c r="AA270" i="10"/>
  <c r="AA271" i="10"/>
  <c r="AA272" i="10"/>
  <c r="AA273" i="10"/>
  <c r="AA275" i="10"/>
  <c r="AA276" i="10"/>
  <c r="AA253" i="10"/>
  <c r="C12" i="13"/>
  <c r="AA15" i="10"/>
  <c r="AA16" i="10"/>
  <c r="AA17" i="10"/>
  <c r="AA18" i="10"/>
  <c r="AA19" i="10"/>
  <c r="AA20" i="10"/>
  <c r="AA21" i="10"/>
  <c r="AA22" i="10"/>
  <c r="AA23" i="10"/>
  <c r="AA24" i="10"/>
  <c r="AA25" i="10"/>
  <c r="AA26" i="10"/>
  <c r="AA27" i="10"/>
  <c r="AA28" i="10"/>
  <c r="AA29" i="10"/>
  <c r="AA30" i="10"/>
  <c r="AA31" i="10"/>
  <c r="AA32" i="10"/>
  <c r="AA33" i="10"/>
  <c r="AA34" i="10"/>
  <c r="AA35" i="10"/>
  <c r="AA36" i="10"/>
  <c r="AA37" i="10"/>
  <c r="AA38" i="10"/>
  <c r="AA317" i="10"/>
  <c r="AA318" i="10"/>
  <c r="AA319" i="10"/>
  <c r="AA320" i="10"/>
  <c r="AA321" i="10"/>
  <c r="AA322" i="10"/>
  <c r="AA323" i="10"/>
  <c r="AA324" i="10"/>
  <c r="AA325" i="10"/>
  <c r="AA326" i="10"/>
  <c r="AA327" i="10"/>
  <c r="AA328" i="10"/>
  <c r="AA329" i="10"/>
  <c r="AA330" i="10"/>
  <c r="AA331" i="10"/>
  <c r="AA332" i="10"/>
  <c r="AA333" i="10"/>
  <c r="AA335" i="10"/>
  <c r="AA316" i="10"/>
  <c r="AA315" i="10"/>
  <c r="AA314" i="10"/>
  <c r="AA313" i="10"/>
  <c r="AA108" i="10"/>
  <c r="AA109" i="10"/>
  <c r="AA110" i="10"/>
  <c r="AA111" i="10"/>
  <c r="AA112" i="10"/>
  <c r="AA113" i="10"/>
  <c r="AA114" i="10"/>
  <c r="AA115" i="10"/>
  <c r="AA116" i="10"/>
  <c r="AA117" i="10"/>
  <c r="AA118" i="10"/>
  <c r="AA119" i="10"/>
  <c r="AA120" i="10"/>
  <c r="AA121" i="10"/>
  <c r="AA122" i="10"/>
  <c r="AA123" i="10"/>
  <c r="AA124" i="10"/>
  <c r="AA125" i="10"/>
  <c r="AA126" i="10"/>
  <c r="AA127" i="10"/>
  <c r="AA107" i="10"/>
  <c r="AA106" i="10"/>
  <c r="AA105" i="10"/>
  <c r="AA85" i="10"/>
  <c r="AA79" i="10"/>
  <c r="AA80" i="10"/>
  <c r="AA81" i="10"/>
  <c r="AA82" i="10"/>
  <c r="AA83" i="10"/>
  <c r="AA84" i="10"/>
  <c r="AA86" i="10"/>
  <c r="AA87" i="10"/>
  <c r="AA88" i="10"/>
  <c r="AA89" i="10"/>
  <c r="AA90" i="10"/>
  <c r="AA91" i="10"/>
  <c r="AA92" i="10"/>
  <c r="AA93" i="10"/>
  <c r="AA94" i="10"/>
  <c r="AA95" i="10"/>
  <c r="AA96" i="10"/>
  <c r="AA97" i="10"/>
  <c r="AA98" i="10"/>
  <c r="AA78" i="10"/>
  <c r="AA77" i="10"/>
  <c r="AA76" i="10"/>
  <c r="AA75" i="10"/>
  <c r="AA50" i="10"/>
  <c r="AA51" i="10"/>
  <c r="AA52" i="10"/>
  <c r="R23" i="10" s="1"/>
  <c r="AA53" i="10"/>
  <c r="R24" i="10" s="1"/>
  <c r="AA54" i="10"/>
  <c r="AA55" i="10"/>
  <c r="R26" i="10" s="1"/>
  <c r="AA56" i="10"/>
  <c r="R27" i="10" s="1"/>
  <c r="AA57" i="10"/>
  <c r="AA58" i="10"/>
  <c r="AA59" i="10"/>
  <c r="R30" i="10" s="1"/>
  <c r="AA60" i="10"/>
  <c r="R31" i="10" s="1"/>
  <c r="AA61" i="10"/>
  <c r="AA62" i="10"/>
  <c r="AA63" i="10"/>
  <c r="AA64" i="10"/>
  <c r="R35" i="10" s="1"/>
  <c r="AA65" i="10"/>
  <c r="AA67" i="10"/>
  <c r="AA68" i="10"/>
  <c r="R39" i="10" s="1"/>
  <c r="AA49" i="10"/>
  <c r="AA48" i="10"/>
  <c r="R19" i="10" s="1"/>
  <c r="AA47" i="10"/>
  <c r="AA46" i="10"/>
  <c r="R17" i="10" s="1"/>
  <c r="AA45" i="10"/>
  <c r="R16" i="10" s="1"/>
  <c r="V6" i="5"/>
  <c r="B6" i="5"/>
  <c r="G9" i="5"/>
  <c r="D8" i="5"/>
  <c r="O21" i="5"/>
  <c r="C10" i="5"/>
  <c r="D13" i="13"/>
  <c r="U31" i="2"/>
  <c r="C39" i="14"/>
  <c r="D57" i="14"/>
  <c r="D11" i="5"/>
  <c r="D10" i="5"/>
  <c r="D9" i="5"/>
  <c r="O13" i="5"/>
  <c r="E56" i="14"/>
  <c r="E58" i="14"/>
  <c r="E158" i="14"/>
  <c r="E157" i="14"/>
  <c r="F57" i="14"/>
  <c r="N156" i="14"/>
  <c r="G156" i="14"/>
  <c r="F156" i="14"/>
  <c r="E148" i="14"/>
  <c r="E147" i="14"/>
  <c r="E146" i="14"/>
  <c r="E145" i="14"/>
  <c r="F144" i="14"/>
  <c r="E136" i="14"/>
  <c r="E135" i="14"/>
  <c r="E134" i="14"/>
  <c r="E133" i="14"/>
  <c r="E132" i="14"/>
  <c r="E131" i="14"/>
  <c r="E130" i="14"/>
  <c r="E129" i="14"/>
  <c r="E128" i="14"/>
  <c r="E127" i="14"/>
  <c r="E126" i="14"/>
  <c r="E125" i="14"/>
  <c r="E124" i="14"/>
  <c r="E123" i="14"/>
  <c r="E122" i="14"/>
  <c r="E121" i="14"/>
  <c r="E120" i="14"/>
  <c r="E119" i="14"/>
  <c r="E118" i="14"/>
  <c r="E117" i="14"/>
  <c r="F116" i="14"/>
  <c r="D116" i="14"/>
  <c r="E115" i="14"/>
  <c r="E89" i="14"/>
  <c r="N97" i="14"/>
  <c r="G97" i="14"/>
  <c r="F97" i="14"/>
  <c r="E99" i="14"/>
  <c r="E98" i="14"/>
  <c r="AB45" i="14"/>
  <c r="F85" i="14"/>
  <c r="E88" i="14"/>
  <c r="E87" i="14"/>
  <c r="E86" i="14"/>
  <c r="N85" i="14"/>
  <c r="G85" i="14"/>
  <c r="E77" i="14"/>
  <c r="E76" i="14"/>
  <c r="E75" i="14"/>
  <c r="E74" i="14"/>
  <c r="E73" i="14"/>
  <c r="E72" i="14"/>
  <c r="E71" i="14"/>
  <c r="E70" i="14"/>
  <c r="E69" i="14"/>
  <c r="E68" i="14"/>
  <c r="E67" i="14"/>
  <c r="E66" i="14"/>
  <c r="E65" i="14"/>
  <c r="E64" i="14"/>
  <c r="E63" i="14"/>
  <c r="E62" i="14"/>
  <c r="E61" i="14"/>
  <c r="E60" i="14"/>
  <c r="E59" i="14"/>
  <c r="M57" i="14"/>
  <c r="G57" i="14"/>
  <c r="C41" i="14"/>
  <c r="L28" i="14"/>
  <c r="Y11" i="18"/>
  <c r="Y10" i="18"/>
  <c r="Y9" i="18"/>
  <c r="AA104" i="10"/>
  <c r="T23" i="10"/>
  <c r="T15" i="10"/>
  <c r="T14" i="10"/>
  <c r="T13" i="10"/>
  <c r="E62" i="2"/>
  <c r="E18" i="6"/>
  <c r="E58" i="2"/>
  <c r="E57" i="2"/>
  <c r="E47" i="2"/>
  <c r="E24" i="6" s="1"/>
  <c r="E45" i="2"/>
  <c r="P40" i="2"/>
  <c r="E40" i="2"/>
  <c r="E39" i="2"/>
  <c r="E9" i="6" s="1"/>
  <c r="P37" i="2"/>
  <c r="E37" i="2"/>
  <c r="E7" i="6" s="1"/>
  <c r="E26" i="2"/>
  <c r="E23" i="2"/>
  <c r="E20" i="2"/>
  <c r="P19" i="2"/>
  <c r="E19" i="2"/>
  <c r="P18" i="2"/>
  <c r="F49" i="13"/>
  <c r="C45" i="13"/>
  <c r="AA308" i="10"/>
  <c r="C19" i="13"/>
  <c r="P22" i="13" s="1"/>
  <c r="E13" i="13"/>
  <c r="C13" i="13"/>
  <c r="C18" i="13"/>
  <c r="F18" i="13"/>
  <c r="D12" i="13"/>
  <c r="F17" i="13"/>
  <c r="E11" i="13"/>
  <c r="B78" i="13"/>
  <c r="E78" i="13"/>
  <c r="R15" i="10"/>
  <c r="R44" i="10" s="1"/>
  <c r="R12" i="10"/>
  <c r="B60" i="2"/>
  <c r="E10" i="6"/>
  <c r="Y14" i="18"/>
  <c r="Y12" i="18"/>
  <c r="AA283" i="10"/>
  <c r="AA305" i="10"/>
  <c r="AA303" i="10"/>
  <c r="AA301" i="10"/>
  <c r="AA299" i="10"/>
  <c r="AA297" i="10"/>
  <c r="AA295" i="10"/>
  <c r="AA293" i="10"/>
  <c r="AA291" i="10"/>
  <c r="AA289" i="10"/>
  <c r="AA287" i="10"/>
  <c r="AA285" i="10"/>
  <c r="AA217" i="10"/>
  <c r="AA306" i="10"/>
  <c r="AA304" i="10"/>
  <c r="AA302" i="10"/>
  <c r="AA300" i="10"/>
  <c r="R33" i="10"/>
  <c r="AA298" i="10"/>
  <c r="AA296" i="10"/>
  <c r="R29" i="10"/>
  <c r="AA294" i="10"/>
  <c r="AA292" i="10"/>
  <c r="R25" i="10"/>
  <c r="AA290" i="10"/>
  <c r="AA288" i="10"/>
  <c r="R21" i="10"/>
  <c r="AA286" i="10"/>
  <c r="AA284" i="10"/>
  <c r="AA216" i="10"/>
  <c r="AA214" i="10"/>
  <c r="AA212" i="10"/>
  <c r="AA210" i="10"/>
  <c r="AA208" i="10"/>
  <c r="AA206" i="10"/>
  <c r="AA204" i="10"/>
  <c r="AA202" i="10"/>
  <c r="AA200" i="10"/>
  <c r="AA198" i="10"/>
  <c r="AA196" i="10"/>
  <c r="AA194" i="10"/>
  <c r="AA307" i="10"/>
  <c r="R40" i="10"/>
  <c r="R41" i="10"/>
  <c r="R38" i="10"/>
  <c r="R36" i="10"/>
  <c r="R34" i="10"/>
  <c r="R32" i="10"/>
  <c r="R28" i="10"/>
  <c r="R22" i="10"/>
  <c r="R18" i="10"/>
  <c r="Q41" i="10"/>
  <c r="Q40" i="10"/>
  <c r="Q39" i="10"/>
  <c r="Q38" i="10"/>
  <c r="Q37" i="10"/>
  <c r="Q36" i="10"/>
  <c r="Q35" i="10"/>
  <c r="Q34" i="10"/>
  <c r="Q33" i="10"/>
  <c r="Q32" i="10"/>
  <c r="Q31" i="10"/>
  <c r="Q30" i="10"/>
  <c r="Q29" i="10"/>
  <c r="Q28" i="10"/>
  <c r="Q27" i="10"/>
  <c r="Q26" i="10"/>
  <c r="Q25" i="10"/>
  <c r="Q24" i="10"/>
  <c r="Q23" i="10"/>
  <c r="Q22" i="10"/>
  <c r="Q21" i="10"/>
  <c r="Q20" i="10"/>
  <c r="Q19" i="10"/>
  <c r="Q18" i="10"/>
  <c r="Q17" i="10"/>
  <c r="Q16" i="10"/>
  <c r="E21" i="2"/>
  <c r="E28" i="2"/>
  <c r="E32" i="2"/>
  <c r="Z160" i="10"/>
  <c r="P61" i="2"/>
  <c r="L131" i="14"/>
  <c r="L129" i="14"/>
  <c r="Y190" i="10"/>
  <c r="Y309" i="10"/>
  <c r="Y101" i="10"/>
  <c r="Y219" i="10"/>
  <c r="Y160" i="10"/>
  <c r="Y41" i="10"/>
  <c r="G144" i="14"/>
  <c r="G116" i="14"/>
  <c r="R156" i="14"/>
  <c r="M116" i="14"/>
  <c r="M144" i="14"/>
  <c r="M156" i="14"/>
  <c r="G6" i="5"/>
  <c r="B9" i="5"/>
  <c r="Y71" i="10"/>
  <c r="Y130" i="10"/>
  <c r="Y279" i="10"/>
  <c r="Y339" i="10"/>
  <c r="Y249" i="10"/>
  <c r="M85" i="14"/>
  <c r="M97" i="14"/>
  <c r="AB57" i="14"/>
  <c r="N116" i="14"/>
  <c r="N144" i="14"/>
  <c r="AB144" i="14"/>
  <c r="AI149" i="14"/>
  <c r="AI159" i="14"/>
  <c r="Q42" i="10"/>
  <c r="AJ156" i="14"/>
  <c r="AI156" i="14"/>
  <c r="AJ144" i="14"/>
  <c r="AI144" i="14"/>
  <c r="AJ116" i="14"/>
  <c r="AI116" i="14"/>
  <c r="G47" i="7"/>
  <c r="G42" i="7"/>
  <c r="G36" i="7"/>
  <c r="G31" i="7"/>
  <c r="G25" i="7"/>
  <c r="G20" i="7"/>
  <c r="AJ85" i="14"/>
  <c r="AI85" i="14"/>
  <c r="AI90" i="14"/>
  <c r="AJ97" i="14"/>
  <c r="AI97" i="14"/>
  <c r="AI100" i="14"/>
  <c r="AJ57" i="14"/>
  <c r="AI57" i="14"/>
  <c r="P57" i="2"/>
  <c r="AA160" i="10"/>
  <c r="AC134" i="10"/>
  <c r="AC136" i="10"/>
  <c r="AC135" i="10"/>
  <c r="AI137" i="14"/>
  <c r="AI78" i="14"/>
  <c r="Z24" i="6" l="1"/>
  <c r="E14" i="6"/>
  <c r="Z23" i="6"/>
  <c r="E15" i="6"/>
  <c r="E13" i="6"/>
  <c r="E19" i="6"/>
  <c r="E16" i="6" s="1"/>
  <c r="R20" i="10"/>
  <c r="B79" i="13"/>
  <c r="R116" i="14"/>
  <c r="AB85" i="14"/>
  <c r="R57" i="14"/>
  <c r="AB156" i="14"/>
  <c r="AB97" i="14"/>
  <c r="E36" i="7"/>
  <c r="E32" i="7"/>
  <c r="E37" i="7" s="1"/>
  <c r="R97" i="14"/>
  <c r="E43" i="7"/>
  <c r="E48" i="7" s="1"/>
  <c r="E47" i="7"/>
  <c r="AB116" i="14"/>
  <c r="R85" i="14"/>
  <c r="F19" i="13"/>
  <c r="R144" i="14"/>
  <c r="Z76" i="14"/>
  <c r="AB76" i="14"/>
  <c r="F76" i="14" s="1"/>
  <c r="D61" i="2"/>
  <c r="D9" i="6"/>
  <c r="Y14" i="2"/>
  <c r="D37" i="6"/>
  <c r="D40" i="6"/>
  <c r="AB70" i="14"/>
  <c r="F70" i="14" s="1"/>
  <c r="D53" i="2"/>
  <c r="H11" i="5"/>
  <c r="AC11" i="2"/>
  <c r="AC14" i="2" s="1"/>
  <c r="AA14" i="2"/>
  <c r="AH78" i="14"/>
  <c r="D36" i="6"/>
  <c r="AH149" i="14"/>
  <c r="Z14" i="2"/>
  <c r="D26" i="2"/>
  <c r="AE76" i="14"/>
  <c r="AE72" i="14"/>
  <c r="AE68" i="14"/>
  <c r="AE64" i="14"/>
  <c r="AE60" i="14"/>
  <c r="AE87" i="14"/>
  <c r="AE98" i="14"/>
  <c r="AE117" i="14"/>
  <c r="AE119" i="14"/>
  <c r="AE147" i="14"/>
  <c r="B3" i="5"/>
  <c r="B3" i="9"/>
  <c r="A3" i="20"/>
  <c r="AJ137" i="14"/>
  <c r="F20" i="7" s="1"/>
  <c r="F25" i="7" s="1"/>
  <c r="F50" i="7" s="1"/>
  <c r="E38" i="20" s="1"/>
  <c r="N90" i="14"/>
  <c r="I39" i="14"/>
  <c r="F36" i="7"/>
  <c r="F32" i="7"/>
  <c r="F37" i="7" s="1"/>
  <c r="E13" i="14"/>
  <c r="N160" i="14"/>
  <c r="AJ78" i="14"/>
  <c r="E20" i="7" s="1"/>
  <c r="E25" i="7" s="1"/>
  <c r="E50" i="7" s="1"/>
  <c r="D38" i="20" s="1"/>
  <c r="E21" i="7"/>
  <c r="E26" i="7" s="1"/>
  <c r="E51" i="7" s="1"/>
  <c r="D39" i="20" s="1"/>
  <c r="C13" i="14"/>
  <c r="L121" i="14"/>
  <c r="L61" i="14"/>
  <c r="M61" i="14" s="1"/>
  <c r="N61" i="14" s="1"/>
  <c r="N78" i="14" s="1"/>
  <c r="I41" i="14"/>
  <c r="I40" i="14"/>
  <c r="F21" i="7" l="1"/>
  <c r="F26" i="7" s="1"/>
  <c r="F51" i="7" s="1"/>
  <c r="E39" i="20" s="1"/>
  <c r="D64" i="2"/>
  <c r="D21" i="20"/>
  <c r="B24" i="20" s="1"/>
  <c r="D19" i="6"/>
  <c r="Z279" i="10"/>
  <c r="AA279" i="10"/>
  <c r="F26" i="2"/>
  <c r="P26" i="2"/>
  <c r="D30" i="2" s="1"/>
  <c r="D42" i="6"/>
  <c r="D43" i="6" s="1"/>
  <c r="E43" i="20"/>
  <c r="D13" i="20"/>
  <c r="AA101" i="10"/>
  <c r="Z101" i="10"/>
  <c r="C14" i="14"/>
  <c r="G7" i="5"/>
  <c r="B7" i="5"/>
  <c r="E15" i="14"/>
  <c r="E30" i="20"/>
  <c r="D13" i="14"/>
  <c r="N101" i="14"/>
  <c r="D15" i="14"/>
  <c r="D30" i="20"/>
  <c r="C31" i="20"/>
  <c r="F14" i="14"/>
  <c r="F31" i="20" s="1"/>
  <c r="I42" i="14"/>
  <c r="C30" i="20"/>
  <c r="F13" i="14"/>
  <c r="F30" i="20" s="1"/>
  <c r="C15" i="14"/>
  <c r="AC254" i="10" l="1"/>
  <c r="AC253" i="10"/>
  <c r="AC255" i="10"/>
  <c r="F30" i="2"/>
  <c r="D19" i="17"/>
  <c r="F16" i="14"/>
  <c r="F33" i="20" s="1"/>
  <c r="P30" i="2"/>
  <c r="P62" i="2"/>
  <c r="D62" i="2" s="1"/>
  <c r="AC76" i="10"/>
  <c r="AC75" i="10"/>
  <c r="AC77" i="10"/>
  <c r="D15" i="6"/>
  <c r="X11" i="18"/>
  <c r="E32" i="20"/>
  <c r="D14" i="6"/>
  <c r="X10" i="18"/>
  <c r="D32" i="20"/>
  <c r="F15" i="14"/>
  <c r="D13" i="6"/>
  <c r="X9" i="18"/>
  <c r="C32" i="20"/>
  <c r="D59" i="2" l="1"/>
  <c r="D32" i="2"/>
  <c r="D52" i="2"/>
  <c r="D58" i="2"/>
  <c r="D54" i="2"/>
  <c r="D22" i="20"/>
  <c r="D18" i="6"/>
  <c r="Z309" i="10"/>
  <c r="AA309" i="10"/>
  <c r="P63" i="2"/>
  <c r="D63" i="2"/>
  <c r="D46" i="6"/>
  <c r="D44" i="6"/>
  <c r="F17" i="14"/>
  <c r="F32" i="20"/>
  <c r="Z190" i="10" l="1"/>
  <c r="AA190" i="10" s="1"/>
  <c r="D18" i="20"/>
  <c r="P58" i="2"/>
  <c r="D60" i="2" s="1"/>
  <c r="D12" i="20"/>
  <c r="AA71" i="10"/>
  <c r="Z71" i="10"/>
  <c r="D26" i="17"/>
  <c r="D23" i="20"/>
  <c r="AA339" i="10"/>
  <c r="D20" i="6"/>
  <c r="Z339" i="10"/>
  <c r="F32" i="2"/>
  <c r="P32" i="2"/>
  <c r="D51" i="2" s="1"/>
  <c r="AC283" i="10"/>
  <c r="AC285" i="10"/>
  <c r="AC284" i="10"/>
  <c r="D14" i="20"/>
  <c r="D20" i="17"/>
  <c r="AA130" i="10"/>
  <c r="Z130" i="10"/>
  <c r="D19" i="20"/>
  <c r="P59" i="2"/>
  <c r="AA219" i="10"/>
  <c r="Z219" i="10"/>
  <c r="Y24" i="6"/>
  <c r="E44" i="20"/>
  <c r="G17" i="14"/>
  <c r="D16" i="6"/>
  <c r="C47" i="6" s="1"/>
  <c r="X12" i="18"/>
  <c r="F34" i="20"/>
  <c r="E24" i="17" l="1"/>
  <c r="D31" i="17"/>
  <c r="E49" i="20" s="1"/>
  <c r="P60" i="2"/>
  <c r="Z249" i="10"/>
  <c r="AA249" i="10"/>
  <c r="D20" i="20"/>
  <c r="AC195" i="10"/>
  <c r="AC194" i="10"/>
  <c r="AC193" i="10"/>
  <c r="AC104" i="10"/>
  <c r="AC105" i="10"/>
  <c r="AC106" i="10"/>
  <c r="D11" i="20"/>
  <c r="Z41" i="10"/>
  <c r="AA41" i="10" s="1"/>
  <c r="AC314" i="10"/>
  <c r="AC313" i="10"/>
  <c r="AC315" i="10"/>
  <c r="R42" i="10"/>
  <c r="AC46" i="10"/>
  <c r="S17" i="10" s="1"/>
  <c r="AC47" i="10"/>
  <c r="S18" i="10" s="1"/>
  <c r="AC45" i="10"/>
  <c r="S16" i="10" s="1"/>
  <c r="AC165" i="10"/>
  <c r="AC164" i="10"/>
  <c r="AC166" i="10"/>
  <c r="Y23" i="6"/>
  <c r="AA24" i="6"/>
  <c r="X14" i="18"/>
  <c r="P42" i="10" l="1"/>
  <c r="P19" i="10"/>
  <c r="P38" i="10"/>
  <c r="P41" i="10"/>
  <c r="P27" i="10"/>
  <c r="P32" i="10"/>
  <c r="P24" i="10"/>
  <c r="P37" i="10"/>
  <c r="P36" i="10"/>
  <c r="P39" i="10"/>
  <c r="P33" i="10"/>
  <c r="P21" i="10"/>
  <c r="P23" i="10"/>
  <c r="P18" i="10"/>
  <c r="P28" i="10"/>
  <c r="P31" i="10"/>
  <c r="P25" i="10"/>
  <c r="P29" i="10"/>
  <c r="P40" i="10"/>
  <c r="P26" i="10"/>
  <c r="P30" i="10"/>
  <c r="P16" i="10"/>
  <c r="P20" i="10"/>
  <c r="P17" i="10"/>
  <c r="P35" i="10"/>
  <c r="P34" i="10"/>
  <c r="P22" i="10"/>
  <c r="AC16" i="10"/>
  <c r="AC17" i="10"/>
  <c r="AC15" i="10"/>
  <c r="U50" i="10"/>
  <c r="U62" i="10"/>
  <c r="U48" i="10"/>
  <c r="U57" i="10"/>
  <c r="U52" i="10"/>
  <c r="U47" i="10"/>
  <c r="U72" i="10"/>
  <c r="U51" i="10"/>
  <c r="U53" i="10"/>
  <c r="U54" i="10"/>
  <c r="U68" i="10"/>
  <c r="U55" i="10"/>
  <c r="U64" i="10"/>
  <c r="U46" i="10"/>
  <c r="U60" i="10"/>
  <c r="U66" i="10"/>
  <c r="U61" i="10"/>
  <c r="U59" i="10"/>
  <c r="U67" i="10"/>
  <c r="U65" i="10"/>
  <c r="U58" i="10"/>
  <c r="U69" i="10"/>
  <c r="U49" i="10"/>
  <c r="U56" i="10"/>
  <c r="U70" i="10"/>
  <c r="U71" i="10"/>
  <c r="U63" i="10"/>
  <c r="AC224" i="10"/>
  <c r="AC223" i="10"/>
  <c r="AC225" i="10"/>
  <c r="W59" i="10"/>
  <c r="W51" i="10"/>
  <c r="W68" i="10"/>
  <c r="W71" i="10"/>
  <c r="W66" i="10"/>
  <c r="W61" i="10"/>
  <c r="W56" i="10"/>
  <c r="W62" i="10"/>
  <c r="W63" i="10"/>
  <c r="W50" i="10"/>
  <c r="W64" i="10"/>
  <c r="W48" i="10"/>
  <c r="W60" i="10"/>
  <c r="W54" i="10"/>
  <c r="W46" i="10"/>
  <c r="W55" i="10"/>
  <c r="W69" i="10"/>
  <c r="W65" i="10"/>
  <c r="W49" i="10"/>
  <c r="W57" i="10"/>
  <c r="W47" i="10"/>
  <c r="W52" i="10"/>
  <c r="W53" i="10"/>
  <c r="W72" i="10"/>
  <c r="W70" i="10"/>
  <c r="W67" i="10"/>
  <c r="W58" i="10"/>
  <c r="V47" i="10"/>
  <c r="V46" i="10"/>
  <c r="V49" i="10"/>
  <c r="V58" i="10"/>
  <c r="V53" i="10"/>
  <c r="V48" i="10"/>
  <c r="V52" i="10"/>
  <c r="V65" i="10"/>
  <c r="V50" i="10"/>
  <c r="V64" i="10"/>
  <c r="V57" i="10"/>
  <c r="V68" i="10"/>
  <c r="V60" i="10"/>
  <c r="V69" i="10"/>
  <c r="V56" i="10"/>
  <c r="V62" i="10"/>
  <c r="V63" i="10"/>
  <c r="V70" i="10"/>
  <c r="V71" i="10"/>
  <c r="V67" i="10"/>
  <c r="V54" i="10"/>
  <c r="V66" i="10"/>
  <c r="V59" i="10"/>
  <c r="V51" i="10"/>
  <c r="V55" i="10"/>
  <c r="V61" i="10"/>
  <c r="V72" i="10"/>
  <c r="D32" i="17"/>
  <c r="Z10" i="18"/>
  <c r="Z11" i="18"/>
  <c r="Z9" i="18"/>
  <c r="Z12" i="18"/>
  <c r="E50" i="20" l="1"/>
  <c r="D36" i="17"/>
  <c r="E54" i="20" s="1"/>
  <c r="R53" i="10"/>
  <c r="Q67" i="10"/>
  <c r="S67" i="10" s="1"/>
  <c r="Q72" i="10"/>
  <c r="S72" i="10" s="1"/>
  <c r="R69" i="10"/>
  <c r="R61" i="10"/>
  <c r="R55" i="10"/>
  <c r="Q46" i="10"/>
  <c r="S46" i="10" s="1"/>
  <c r="R46" i="10"/>
  <c r="T46" i="10" s="1"/>
  <c r="Q56" i="10"/>
  <c r="S56" i="10" s="1"/>
  <c r="R63" i="10"/>
  <c r="R59" i="10"/>
  <c r="Q71" i="10"/>
  <c r="S71" i="10" s="1"/>
  <c r="R47" i="10"/>
  <c r="Q68" i="10"/>
  <c r="S68" i="10" s="1"/>
  <c r="R50" i="10"/>
  <c r="Q70" i="10"/>
  <c r="S70" i="10" s="1"/>
  <c r="Q51" i="10"/>
  <c r="S51" i="10" s="1"/>
  <c r="Q53" i="10"/>
  <c r="S53" i="10" s="1"/>
  <c r="Q61" i="10"/>
  <c r="S61" i="10" s="1"/>
  <c r="R54" i="10"/>
  <c r="Q66" i="10"/>
  <c r="S66" i="10" s="1"/>
  <c r="Q50" i="10"/>
  <c r="S50" i="10" s="1"/>
  <c r="Q47" i="10"/>
  <c r="S47" i="10" s="1"/>
  <c r="Q57" i="10"/>
  <c r="S57" i="10" s="1"/>
  <c r="Q48" i="10"/>
  <c r="S48" i="10" s="1"/>
  <c r="Q69" i="10"/>
  <c r="S69" i="10" s="1"/>
  <c r="R62" i="10"/>
  <c r="Q62" i="10"/>
  <c r="S62" i="10" s="1"/>
  <c r="Q58" i="10"/>
  <c r="S58" i="10" s="1"/>
  <c r="Q52" i="10"/>
  <c r="S52" i="10" s="1"/>
  <c r="R52" i="10"/>
  <c r="R70" i="10"/>
  <c r="T70" i="10" s="1"/>
  <c r="R58" i="10"/>
  <c r="T58" i="10" s="1"/>
  <c r="Q59" i="10"/>
  <c r="S59" i="10" s="1"/>
  <c r="R51" i="10"/>
  <c r="T51" i="10" s="1"/>
  <c r="R64" i="10"/>
  <c r="R68" i="10"/>
  <c r="T68" i="10" s="1"/>
  <c r="R65" i="10"/>
  <c r="T65" i="10" s="1"/>
  <c r="R48" i="10"/>
  <c r="T48" i="10" s="1"/>
  <c r="R66" i="10"/>
  <c r="T66" i="10" s="1"/>
  <c r="R67" i="10"/>
  <c r="T67" i="10" s="1"/>
  <c r="Q60" i="10"/>
  <c r="S60" i="10" s="1"/>
  <c r="Q49" i="10"/>
  <c r="S49" i="10" s="1"/>
  <c r="R57" i="10"/>
  <c r="T57" i="10" s="1"/>
  <c r="Q55" i="10"/>
  <c r="S55" i="10" s="1"/>
  <c r="R49" i="10"/>
  <c r="T49" i="10" s="1"/>
  <c r="Q54" i="10"/>
  <c r="S54" i="10" s="1"/>
  <c r="R71" i="10"/>
  <c r="T71" i="10" s="1"/>
  <c r="Q65" i="10"/>
  <c r="S65" i="10" s="1"/>
  <c r="R60" i="10"/>
  <c r="T60" i="10" s="1"/>
  <c r="R72" i="10"/>
  <c r="T72" i="10" s="1"/>
  <c r="Q64" i="10"/>
  <c r="S64" i="10" s="1"/>
  <c r="R56" i="10"/>
  <c r="T56" i="10" s="1"/>
  <c r="Q63" i="10"/>
  <c r="S63" i="10" s="1"/>
  <c r="Z14" i="18"/>
  <c r="W14" i="18" s="1"/>
  <c r="T63" i="10" l="1"/>
  <c r="T55" i="10"/>
  <c r="T47" i="10"/>
  <c r="T61" i="10"/>
  <c r="T53" i="10"/>
  <c r="T64" i="10"/>
  <c r="T54" i="10"/>
  <c r="T69" i="10"/>
  <c r="T52" i="10"/>
  <c r="T62" i="10"/>
  <c r="T50" i="10"/>
  <c r="T59" i="10"/>
</calcChain>
</file>

<file path=xl/sharedStrings.xml><?xml version="1.0" encoding="utf-8"?>
<sst xmlns="http://schemas.openxmlformats.org/spreadsheetml/2006/main" count="1738" uniqueCount="933">
  <si>
    <t>License</t>
  </si>
  <si>
    <t>Utility</t>
  </si>
  <si>
    <t>days</t>
  </si>
  <si>
    <t xml:space="preserve">PURPOSE: </t>
  </si>
  <si>
    <t>CELL COLOR CODING:</t>
  </si>
  <si>
    <t>Three cell colors have been used through out this spreadsheet based Model:</t>
  </si>
  <si>
    <t>Value to be entered by the user</t>
  </si>
  <si>
    <t>Recommended default value</t>
  </si>
  <si>
    <t>WATER AUDIT AND COMPONENT ANALYSIS DETAILS</t>
  </si>
  <si>
    <t>Audit and Component Analysis Period Start Date</t>
  </si>
  <si>
    <t>Audit and Component Analysis Period End Date</t>
  </si>
  <si>
    <t>Audit and Component Analysis Period Duration</t>
  </si>
  <si>
    <t>Million Gallons</t>
  </si>
  <si>
    <t>Megalitres (thousand cubic metres)</t>
  </si>
  <si>
    <t>Acre-feet</t>
  </si>
  <si>
    <t>Reporting Units:</t>
  </si>
  <si>
    <t>WATER SUPPLIED</t>
  </si>
  <si>
    <t>AUTHORIZED CONSUMPTION</t>
  </si>
  <si>
    <t>AUTHORIZED CONSUMPTION:</t>
  </si>
  <si>
    <t>WATER LOSSES</t>
  </si>
  <si>
    <t>SYSTEM DATA</t>
  </si>
  <si>
    <t xml:space="preserve">Number of active AND inactive service connections: </t>
  </si>
  <si>
    <t>COST DATA</t>
  </si>
  <si>
    <t>Customer retail unit cost (applied to Apparent Losses):</t>
  </si>
  <si>
    <t>Variable Production cost (applied to Real Losses):</t>
  </si>
  <si>
    <t>$/1,000 litres</t>
  </si>
  <si>
    <t>$/100 cubic feet (ccf)</t>
  </si>
  <si>
    <t>Non-revenue water as percent by cost of operating system:</t>
  </si>
  <si>
    <t>Annual cost of Apparent Losses:</t>
  </si>
  <si>
    <t>Annual cost of Real Losses:</t>
  </si>
  <si>
    <t>$/1000 gallons (US)</t>
  </si>
  <si>
    <t>$/1000 litres</t>
  </si>
  <si>
    <t>Million gallons (US)</t>
  </si>
  <si>
    <t>gallons / cubic foot</t>
  </si>
  <si>
    <t>sq feet / acre</t>
  </si>
  <si>
    <t>litres / gallon</t>
  </si>
  <si>
    <t>gallons / litre</t>
  </si>
  <si>
    <t>Used for cost drop box reference</t>
  </si>
  <si>
    <t>Variable Production Cost Units</t>
  </si>
  <si>
    <t>Customer Retail Cost Units</t>
  </si>
  <si>
    <t>Financial</t>
  </si>
  <si>
    <t>Operational Efficiency</t>
  </si>
  <si>
    <t>Apparent Losses per service connection per day</t>
  </si>
  <si>
    <t>Real Losses per service connection per day*</t>
  </si>
  <si>
    <t>Unavoidable Annual Real Losses (UARL)</t>
  </si>
  <si>
    <t>Current Annual Real Losses (CARL)</t>
  </si>
  <si>
    <t>Infrastructure Leakage Index (ILI) [CARL/UARL]</t>
  </si>
  <si>
    <t>Chart Data Source</t>
  </si>
  <si>
    <t>Ordered Chart Data</t>
  </si>
  <si>
    <t>Desired Order</t>
  </si>
  <si>
    <t>Rank</t>
  </si>
  <si>
    <t>Combo Headings</t>
  </si>
  <si>
    <t>Utility Name</t>
  </si>
  <si>
    <t>Miles</t>
  </si>
  <si>
    <t>Kilometers</t>
  </si>
  <si>
    <t>Gallons</t>
  </si>
  <si>
    <t>Megalitres</t>
  </si>
  <si>
    <t>Service Connection units</t>
  </si>
  <si>
    <t>gal/service con/day</t>
  </si>
  <si>
    <t>litres/service con/day</t>
  </si>
  <si>
    <t>conversion multiplier</t>
  </si>
  <si>
    <t>MG/Yr</t>
  </si>
  <si>
    <t>ML/Yr</t>
  </si>
  <si>
    <t>Acre-feet/Yr</t>
  </si>
  <si>
    <t>Original Values</t>
  </si>
  <si>
    <t>UARL Count Blank</t>
  </si>
  <si>
    <t>CARL Count Blank</t>
  </si>
  <si>
    <t>ILI Count Blank</t>
  </si>
  <si>
    <t>Billed Metered Count Blank</t>
  </si>
  <si>
    <t>Billed Unmetered Count Blank</t>
  </si>
  <si>
    <t>Authorized Consumption Count Blank</t>
  </si>
  <si>
    <t>Unbilled Unmetered Count Blank</t>
  </si>
  <si>
    <t>Total System Input Count Blank</t>
  </si>
  <si>
    <t>Water Losses Count Blank</t>
  </si>
  <si>
    <t>Apparent Losses Count Blank</t>
  </si>
  <si>
    <t>Real Losses Count Blank</t>
  </si>
  <si>
    <t>NRW Count Blank</t>
  </si>
  <si>
    <t>Connection density Count Blank</t>
  </si>
  <si>
    <t>Length of mains Count Blank</t>
  </si>
  <si>
    <t>Service Connections Count Blank</t>
  </si>
  <si>
    <t>Control Index</t>
  </si>
  <si>
    <t>Avg service length Count Blank</t>
  </si>
  <si>
    <t>Avg operating pressure Count Blank</t>
  </si>
  <si>
    <t>Annual Cost Count Blank</t>
  </si>
  <si>
    <t>Variable Production Count Blank</t>
  </si>
  <si>
    <t>Chart Values</t>
  </si>
  <si>
    <t>RL/serv con/day/psi Count Blank</t>
  </si>
  <si>
    <t>Ap Loss/serv con./day Count Blank</t>
  </si>
  <si>
    <t>RL/length main/day Count Blank</t>
  </si>
  <si>
    <t>RL/serv con/day Count Blank</t>
  </si>
  <si>
    <t>Length Units</t>
  </si>
  <si>
    <t>Unit</t>
  </si>
  <si>
    <t>Volume Multiplier</t>
  </si>
  <si>
    <t>Pressure Multiplier</t>
  </si>
  <si>
    <t>Pressure Units</t>
  </si>
  <si>
    <t>PSI</t>
  </si>
  <si>
    <t>m</t>
  </si>
  <si>
    <t>Instructions:</t>
  </si>
  <si>
    <t>Utility Name:</t>
  </si>
  <si>
    <t xml:space="preserve">Note: </t>
  </si>
  <si>
    <t>service connections</t>
  </si>
  <si>
    <t>System Component</t>
  </si>
  <si>
    <t>Background Leakage</t>
  </si>
  <si>
    <t>Reported Leaks</t>
  </si>
  <si>
    <t>Unreported Leaks</t>
  </si>
  <si>
    <t>Total</t>
  </si>
  <si>
    <t>Capacity</t>
  </si>
  <si>
    <t>Background Leakage Rate</t>
  </si>
  <si>
    <t>Annual Volume</t>
  </si>
  <si>
    <t>Services - Main to Curb-Stop</t>
  </si>
  <si>
    <t>Services - Curb-Stop to Meter</t>
  </si>
  <si>
    <t>Pressure Corrected Calculation</t>
  </si>
  <si>
    <t>Units</t>
  </si>
  <si>
    <t>Quantity</t>
  </si>
  <si>
    <t>Component UARL Values</t>
  </si>
  <si>
    <t>Infrastructure Condition Factor</t>
  </si>
  <si>
    <t>Average Pressure</t>
  </si>
  <si>
    <t>N1 (Leakage-Pressure Exponent) Value</t>
  </si>
  <si>
    <t>number</t>
  </si>
  <si>
    <t>Mains by Size</t>
  </si>
  <si>
    <t>Length of Main</t>
  </si>
  <si>
    <t>Failure Frequency</t>
  </si>
  <si>
    <t>Average Leak Duration</t>
  </si>
  <si>
    <t>Average Annual Loss per Leak</t>
  </si>
  <si>
    <t>Total Annual Loss</t>
  </si>
  <si>
    <t>Total Duration</t>
  </si>
  <si>
    <t>(days)</t>
  </si>
  <si>
    <t>Hydrants</t>
  </si>
  <si>
    <t>Valves</t>
  </si>
  <si>
    <t xml:space="preserve">NOTES: </t>
  </si>
  <si>
    <t>REAL LOSSES COMPONENT ANALYSIS</t>
  </si>
  <si>
    <t>Average Awareness Duration</t>
  </si>
  <si>
    <t>gpm</t>
  </si>
  <si>
    <t>lpm</t>
  </si>
  <si>
    <t>lpm/ML</t>
  </si>
  <si>
    <t>per MG</t>
  </si>
  <si>
    <t>per ML</t>
  </si>
  <si>
    <t>Reservoir Background Leakage</t>
  </si>
  <si>
    <t>Mains</t>
  </si>
  <si>
    <t>g/unit/d/psi</t>
  </si>
  <si>
    <t>(l/unit/d/metres (head))</t>
  </si>
  <si>
    <t>For Pressure Correction</t>
  </si>
  <si>
    <t>provide option for default flow are or individual flow rate</t>
  </si>
  <si>
    <t>Other Diameter</t>
  </si>
  <si>
    <t>Based on Select Preferred Volumetric Units for Audit and Component Analysis</t>
  </si>
  <si>
    <t>Service Connections by Size</t>
  </si>
  <si>
    <t>Total Number of Service Connections</t>
  </si>
  <si>
    <t>SUB-TOTAL REPORTED LEAKS ON SERVICE CONNECTIONS</t>
  </si>
  <si>
    <t xml:space="preserve">Total Length of Mains </t>
  </si>
  <si>
    <t>(service connections)</t>
  </si>
  <si>
    <t>(number / 1000 service connections / yr)</t>
  </si>
  <si>
    <t>Chart Title</t>
  </si>
  <si>
    <t>Y- Axis Legend</t>
  </si>
  <si>
    <t>INFRASTRUCTURE FAILURE FREQUENCY ANALYSIS</t>
  </si>
  <si>
    <t>Mains Failure Frequency Comparison</t>
  </si>
  <si>
    <t>per 100 miles</t>
  </si>
  <si>
    <t>per 100 km</t>
  </si>
  <si>
    <t>Service Connection Failure Frequency Comparison</t>
  </si>
  <si>
    <t>AWWA Unavoidable Annual Real Losses (UARL) Component of Reported Service Line Failures</t>
  </si>
  <si>
    <t xml:space="preserve">PAW Pittsburgh Division is comprised of the three PAW Districts, who utilize the same source of System Delivery or PWSID. They are: Pittsburgh District 110; McMurray District 210; and Mon Valley District 220. </t>
  </si>
  <si>
    <t>Master meter error adjustments are listed as zero on the reporting worksheet because they are constantly monitored and corrected directly in our SCADA data.  I don't try to pull them out separately.</t>
  </si>
  <si>
    <t>WSID 67003</t>
  </si>
  <si>
    <t>PWSID: CS0570002</t>
  </si>
  <si>
    <t>Comments</t>
  </si>
  <si>
    <t>COMMENTS</t>
  </si>
  <si>
    <t>Variable production cost (applied to Real Losses)</t>
  </si>
  <si>
    <t>Customer retail unit cost (applied to Apparent Losses)</t>
  </si>
  <si>
    <t>Total annual cost of operating water system</t>
  </si>
  <si>
    <t>Average operating pressure</t>
  </si>
  <si>
    <t>Average length of customer service line</t>
  </si>
  <si>
    <t>Number of active AND inactive service connections</t>
  </si>
  <si>
    <t>Length of mains</t>
  </si>
  <si>
    <t>Systematic data handling errors</t>
  </si>
  <si>
    <t>n/a</t>
  </si>
  <si>
    <t>Customer metering inaccuracies</t>
  </si>
  <si>
    <t>Unauthorized consumption</t>
  </si>
  <si>
    <t>Unbilled unmetered</t>
  </si>
  <si>
    <t>Unbilled metered</t>
  </si>
  <si>
    <t>Billed unmetered</t>
  </si>
  <si>
    <t>Billed metered</t>
  </si>
  <si>
    <t>Water exported</t>
  </si>
  <si>
    <t>Water imported</t>
  </si>
  <si>
    <t>Master meter error adjustment</t>
  </si>
  <si>
    <t>Volume from own sources</t>
  </si>
  <si>
    <t>GRADING</t>
  </si>
  <si>
    <t xml:space="preserve">     3: Water exported</t>
  </si>
  <si>
    <t xml:space="preserve">     3: Unauthorized consumption</t>
  </si>
  <si>
    <t xml:space="preserve">     3: Water imported</t>
  </si>
  <si>
    <t xml:space="preserve">     3: Systematic data handling errors</t>
  </si>
  <si>
    <t xml:space="preserve">     3: Customer metering inaccuracies</t>
  </si>
  <si>
    <t xml:space="preserve">     3: Billed metered</t>
  </si>
  <si>
    <t xml:space="preserve">     3: Volume from own sources</t>
  </si>
  <si>
    <t xml:space="preserve">     3: Customer retail unit cost (applied to Apparent Losses)</t>
  </si>
  <si>
    <t xml:space="preserve">     3: Master meter error adjustment</t>
  </si>
  <si>
    <t>Priority Area 3</t>
  </si>
  <si>
    <t xml:space="preserve">     2: Unauthorized consumption</t>
  </si>
  <si>
    <t xml:space="preserve">     2: Water exported</t>
  </si>
  <si>
    <t xml:space="preserve">     2: Master meter error adjustment</t>
  </si>
  <si>
    <t xml:space="preserve">     2: Customer metering inaccuracies</t>
  </si>
  <si>
    <t xml:space="preserve">     2: Billed metered</t>
  </si>
  <si>
    <t xml:space="preserve">     2: Water imported</t>
  </si>
  <si>
    <t xml:space="preserve">     2: Variable production cost (applied to Real Losses)</t>
  </si>
  <si>
    <t xml:space="preserve">     2: Billed unmetered</t>
  </si>
  <si>
    <t xml:space="preserve">     2: Systematic data handling errors</t>
  </si>
  <si>
    <t xml:space="preserve">     2: Volume from own sources</t>
  </si>
  <si>
    <t xml:space="preserve">     2: Customer retail unit cost (applied to Apparent Losses)</t>
  </si>
  <si>
    <t>Priority Area 2</t>
  </si>
  <si>
    <t xml:space="preserve">     1: Water imported</t>
  </si>
  <si>
    <t xml:space="preserve">     1: Volume from own sources</t>
  </si>
  <si>
    <t xml:space="preserve">     1: Master meter error adjustment</t>
  </si>
  <si>
    <t xml:space="preserve">     1: Customer metering inaccuracies</t>
  </si>
  <si>
    <t xml:space="preserve">     1: Variable production cost (applied to Real Losses)</t>
  </si>
  <si>
    <t>Priority Area 1</t>
  </si>
  <si>
    <t>Audit Score</t>
  </si>
  <si>
    <t>Audit Summary</t>
  </si>
  <si>
    <t>Infrastructure Leakage Index (ILI) [Real Losses/UARL]</t>
  </si>
  <si>
    <t>Not Valid</t>
  </si>
  <si>
    <t>Real Losses per service connection per day per psi pressure</t>
  </si>
  <si>
    <t>N/A</t>
  </si>
  <si>
    <t>Real Losses per length of main per day*</t>
  </si>
  <si>
    <t>Operational Efficiency Indicators</t>
  </si>
  <si>
    <t>Annual cost of Real Losses</t>
  </si>
  <si>
    <t>Annual cost of Apparent Losses</t>
  </si>
  <si>
    <t>Non-revenue water as percent by cost</t>
  </si>
  <si>
    <t>Non-revenue water as percent by volume</t>
  </si>
  <si>
    <t>Financial Indicators</t>
  </si>
  <si>
    <t>Performance Indicators</t>
  </si>
  <si>
    <t>Customer retail unit cost (units)</t>
  </si>
  <si>
    <t>Customer retail unit cost (applied to Apparent Losses</t>
  </si>
  <si>
    <t>Cost Data</t>
  </si>
  <si>
    <t>Connection density</t>
  </si>
  <si>
    <t>System Data</t>
  </si>
  <si>
    <t>NON-REVENUE WATER</t>
  </si>
  <si>
    <t>Non-Revenue Water</t>
  </si>
  <si>
    <t>Real Losses = (Water Losses - Apparent Losses)</t>
  </si>
  <si>
    <t>Apparent Losses</t>
  </si>
  <si>
    <t>Unauthorized consumption (1 = Default; 2 = Value)</t>
  </si>
  <si>
    <t>WATER LOSSES (Water Supplied - Authorized Consumption)</t>
  </si>
  <si>
    <t>Water Losses</t>
  </si>
  <si>
    <t>Unbilled unmetered (1 = Default; 2 = Value)</t>
  </si>
  <si>
    <t>Authorized Consumption</t>
  </si>
  <si>
    <t>Volume From Own Sources</t>
  </si>
  <si>
    <t>Volume Units</t>
  </si>
  <si>
    <t>Water Supplied</t>
  </si>
  <si>
    <t>Audit Data</t>
  </si>
  <si>
    <t>Telephone Ext</t>
  </si>
  <si>
    <t>615-449-2951</t>
  </si>
  <si>
    <t>302-576-3017</t>
  </si>
  <si>
    <t>(276) 628-7151</t>
  </si>
  <si>
    <t>414-479-8965</t>
  </si>
  <si>
    <t>913-895-5757</t>
  </si>
  <si>
    <t>505-896-8737</t>
  </si>
  <si>
    <t>215-685-4913</t>
  </si>
  <si>
    <t>724-743-3112</t>
  </si>
  <si>
    <t>407-836-6835</t>
  </si>
  <si>
    <t>702-259-8143</t>
  </si>
  <si>
    <t>902-869-4338</t>
  </si>
  <si>
    <t>202-7872173</t>
  </si>
  <si>
    <t>706-529-1204</t>
  </si>
  <si>
    <t>250-489-0240</t>
  </si>
  <si>
    <t>770-419-6244</t>
  </si>
  <si>
    <t>(770)479-1813</t>
  </si>
  <si>
    <t>403-268-1450</t>
  </si>
  <si>
    <t>205-288-1228</t>
  </si>
  <si>
    <t>704-825-0512</t>
  </si>
  <si>
    <t>512-972-0349</t>
  </si>
  <si>
    <t>512.304.0362</t>
  </si>
  <si>
    <t>310-458-8459</t>
  </si>
  <si>
    <t>Telephone</t>
  </si>
  <si>
    <t>cleauber@wwawc.com</t>
  </si>
  <si>
    <t>carnold@wilmingtonde.gov</t>
  </si>
  <si>
    <t>mosborne@wcsa-water.com</t>
  </si>
  <si>
    <t>jwojcehowicz@wauwatosa.net</t>
  </si>
  <si>
    <t>msunderson@waterone.org</t>
  </si>
  <si>
    <t>mwrage@ci.rio-rancho.nm.us</t>
  </si>
  <si>
    <t>george.kunkel@phila.gov</t>
  </si>
  <si>
    <t>anthony.emanuele@amwater.com</t>
  </si>
  <si>
    <t>Bob.Dudas@ocfl.net</t>
  </si>
  <si>
    <t>rmccord@lwcky.com</t>
  </si>
  <si>
    <t>cecelia.adair@lvvwd.com</t>
  </si>
  <si>
    <t>grahamm@halifaxwater.ca</t>
  </si>
  <si>
    <t>skhalil@dcwater.com</t>
  </si>
  <si>
    <t>doxford@dutil.com</t>
  </si>
  <si>
    <t>mcgowan@cranbrook.ca</t>
  </si>
  <si>
    <t>kathy.nguyen@cobbcounty.org</t>
  </si>
  <si>
    <t>dkubala@earthlink.net</t>
  </si>
  <si>
    <t>stacey.zhao@calgary.ca</t>
  </si>
  <si>
    <t>ray.sloan@bwwb.org</t>
  </si>
  <si>
    <t>cflowers@cityofbelmont.org</t>
  </si>
  <si>
    <t>dan.strub@ci.austin.tx.us</t>
  </si>
  <si>
    <t>mmathis@aquawsc.com</t>
  </si>
  <si>
    <t>ADMALDONADO@ABCWUA.ORG</t>
  </si>
  <si>
    <t>kimberly.ocain@smgov.net</t>
  </si>
  <si>
    <t>mark.ginty@gcww.cincinnati-oh.gov</t>
  </si>
  <si>
    <t>E-Mail</t>
  </si>
  <si>
    <t>Chris Leauber</t>
  </si>
  <si>
    <t>Colleen Arnold</t>
  </si>
  <si>
    <t>Mark J. Osborne</t>
  </si>
  <si>
    <t>James Wojcehowicz</t>
  </si>
  <si>
    <t>Mark Sunderson</t>
  </si>
  <si>
    <t>Kendra Rose</t>
  </si>
  <si>
    <t>Marian Wrage</t>
  </si>
  <si>
    <t>George Kunkel</t>
  </si>
  <si>
    <t>Anthony J Emanuele</t>
  </si>
  <si>
    <t>Robert J. Dudas</t>
  </si>
  <si>
    <t>Ralph McCord/ Tonya Taylor</t>
  </si>
  <si>
    <t>Cecelia Adair</t>
  </si>
  <si>
    <t>Grahma MacDonald</t>
  </si>
  <si>
    <t>Syed Khalil</t>
  </si>
  <si>
    <t>David A. Oxford</t>
  </si>
  <si>
    <t>Joe McGowan</t>
  </si>
  <si>
    <t>Kathy Nguyen</t>
  </si>
  <si>
    <t>David Kubala</t>
  </si>
  <si>
    <t>Stacey Zhao</t>
  </si>
  <si>
    <t>Ray Sloan</t>
  </si>
  <si>
    <t>Chuck Flowers</t>
  </si>
  <si>
    <t>Dan Strub</t>
  </si>
  <si>
    <t>Mark Mathis</t>
  </si>
  <si>
    <t>ANGELIQUE MALDONADO</t>
  </si>
  <si>
    <t>Kimberly O'Cain</t>
  </si>
  <si>
    <t>Mark Ginty</t>
  </si>
  <si>
    <t>Name of Contact Person</t>
  </si>
  <si>
    <t>End Date</t>
  </si>
  <si>
    <t>Start Date</t>
  </si>
  <si>
    <t>FY10/11</t>
  </si>
  <si>
    <t>FY2011</t>
  </si>
  <si>
    <t>FY10-11</t>
  </si>
  <si>
    <t>CY2011</t>
  </si>
  <si>
    <t>Reporting Year</t>
  </si>
  <si>
    <t>USA</t>
  </si>
  <si>
    <t>Canada</t>
  </si>
  <si>
    <t>U.S.A.</t>
  </si>
  <si>
    <t>US</t>
  </si>
  <si>
    <t>United States</t>
  </si>
  <si>
    <t>Country</t>
  </si>
  <si>
    <t>Water &amp; Wastewater Authority of Wilson County</t>
  </si>
  <si>
    <t>City of Wilmington, Delaware</t>
  </si>
  <si>
    <t>Washington County Service Authority</t>
  </si>
  <si>
    <t>City of Wauwatosa Water Utility</t>
  </si>
  <si>
    <t>Water District No. 1 of Johnson County</t>
  </si>
  <si>
    <t>Utilities Inc.</t>
  </si>
  <si>
    <t>City of Rio Rancho</t>
  </si>
  <si>
    <t>Philadelphia Water Department</t>
  </si>
  <si>
    <t>Pennsylvania American Water / Pittsburgh Division</t>
  </si>
  <si>
    <t>Orange County Utilities Department</t>
  </si>
  <si>
    <t xml:space="preserve">Louisville Water Company </t>
  </si>
  <si>
    <t>Las Vegas Valley Water District</t>
  </si>
  <si>
    <t>Halifax Regional Water Commission</t>
  </si>
  <si>
    <t>DC Water &amp; Sewer Authority</t>
  </si>
  <si>
    <t>Dalton Utilities</t>
  </si>
  <si>
    <t>City of Cranbrook, BC</t>
  </si>
  <si>
    <t>Cobb County Water System WSID 67003</t>
  </si>
  <si>
    <t>Cherokee County Water &amp; Sewerage Authority</t>
  </si>
  <si>
    <t>The City of Calgary</t>
  </si>
  <si>
    <t>Birmingham Water Works Board</t>
  </si>
  <si>
    <t>City of Belmont</t>
  </si>
  <si>
    <t>Austin Water Utility</t>
  </si>
  <si>
    <t>Aqua WSC</t>
  </si>
  <si>
    <t>ALBUQUERQUE BERNALILLO COUNTY WATER UTILITY</t>
  </si>
  <si>
    <t>City of Santa Monica</t>
  </si>
  <si>
    <t>Greater Cincinnati Water Works</t>
  </si>
  <si>
    <t>Name of City or Utility</t>
  </si>
  <si>
    <t>Administrative</t>
  </si>
  <si>
    <t>WCSA</t>
  </si>
  <si>
    <t>PWD</t>
  </si>
  <si>
    <t>PAW</t>
  </si>
  <si>
    <t>OCFL</t>
  </si>
  <si>
    <t>LWCKY</t>
  </si>
  <si>
    <t>LVVWD</t>
  </si>
  <si>
    <t>HRWC</t>
  </si>
  <si>
    <t>DCWATER</t>
  </si>
  <si>
    <t>DUTIL</t>
  </si>
  <si>
    <t>CCWSA</t>
  </si>
  <si>
    <t>BWWB</t>
  </si>
  <si>
    <t>AquaWSC</t>
  </si>
  <si>
    <t>ABCWUA</t>
  </si>
  <si>
    <t>GCWW</t>
  </si>
  <si>
    <t>Contact Information</t>
  </si>
  <si>
    <t>WDPW</t>
  </si>
  <si>
    <t>WWU</t>
  </si>
  <si>
    <t>JCW1</t>
  </si>
  <si>
    <t>UI</t>
  </si>
  <si>
    <t>RRW</t>
  </si>
  <si>
    <t>CBW</t>
  </si>
  <si>
    <t>CCWS</t>
  </si>
  <si>
    <t>CW</t>
  </si>
  <si>
    <t>BUD</t>
  </si>
  <si>
    <t>AW</t>
  </si>
  <si>
    <t>SMW</t>
  </si>
  <si>
    <t>Abbreviation</t>
  </si>
  <si>
    <t>WWAWC</t>
  </si>
  <si>
    <t>gal/mi/day</t>
  </si>
  <si>
    <t>litres/km/day</t>
  </si>
  <si>
    <t>volume/length multiplier</t>
  </si>
  <si>
    <t>MG</t>
  </si>
  <si>
    <t>ML</t>
  </si>
  <si>
    <t>litres/mi/day</t>
  </si>
  <si>
    <t>gal/mile/day</t>
  </si>
  <si>
    <t>gal/km/day</t>
  </si>
  <si>
    <t>actual units</t>
  </si>
  <si>
    <t>volume per service conn per day multipliers for ex util</t>
  </si>
  <si>
    <t>Enter avg flow rate</t>
  </si>
  <si>
    <t>Enter Avg Flow Rate</t>
  </si>
  <si>
    <t xml:space="preserve"> </t>
  </si>
  <si>
    <t>Combo Reference -&gt;</t>
  </si>
  <si>
    <t>$/1,000 gallons (US)</t>
  </si>
  <si>
    <t>Note:</t>
  </si>
  <si>
    <t>Existing Pressure Management Policy</t>
  </si>
  <si>
    <t>FAVAD N1 Value Used for Calculation of Real Loss Reduction Due to Reduction of Average System Pressure</t>
  </si>
  <si>
    <t>Current Average System Pressure</t>
  </si>
  <si>
    <t>Total Annual Real Losses</t>
  </si>
  <si>
    <t>Value of Real Losses</t>
  </si>
  <si>
    <t xml:space="preserve"> $/year </t>
  </si>
  <si>
    <t>ILI</t>
  </si>
  <si>
    <t>Alternative Pressure Management Policy</t>
  </si>
  <si>
    <t>Assumed Reduction in Average System Pressure</t>
  </si>
  <si>
    <t>Assumed % Reduction in Average System Pressure</t>
  </si>
  <si>
    <t>Real Loss Volume Saved Through Alternative Pressure Management Policy</t>
  </si>
  <si>
    <t>Value of Real Loss Volume Saved Through Alternative Pressure Management Policy</t>
  </si>
  <si>
    <t>$/Year</t>
  </si>
  <si>
    <t>Enter Estimated Cost of Implementing Alternative Pressure Management Policy</t>
  </si>
  <si>
    <t>$</t>
  </si>
  <si>
    <t>Years</t>
  </si>
  <si>
    <t>EVALUATION OF PRESSURE MANAGEMENT OPPORTUNITIES</t>
  </si>
  <si>
    <t>Average operating pressure:</t>
  </si>
  <si>
    <t>Total annual cost of operating the water system:</t>
  </si>
  <si>
    <t>Billed Metered Consumption</t>
  </si>
  <si>
    <t>Billed Unmetered Consumption</t>
  </si>
  <si>
    <t>Unbilled Metered Consumption</t>
  </si>
  <si>
    <t>Unbilled Unmetered Consumption</t>
  </si>
  <si>
    <t>Real Losses</t>
  </si>
  <si>
    <t>Length of Mains</t>
  </si>
  <si>
    <t>Number of Active AND Inactive Service Connections</t>
  </si>
  <si>
    <t>Average Length of Customer Service Line</t>
  </si>
  <si>
    <t>Average Operating Pressure</t>
  </si>
  <si>
    <t>Total Annual Cost of Operating the Water System</t>
  </si>
  <si>
    <t>Customer Retail Unit Cost (Applied to Apparent Losses)</t>
  </si>
  <si>
    <t>Variable Production Cost (Applied to Real Losses)</t>
  </si>
  <si>
    <t>Non-Revenue Water as Percent by Volume of Water Supplied</t>
  </si>
  <si>
    <t>Non-Revenue Water as Percent by Cost of Operating System</t>
  </si>
  <si>
    <t>Annual Cost of Apparent Losses</t>
  </si>
  <si>
    <t>Annual Cost of Real Losses</t>
  </si>
  <si>
    <t>Apparent Losses per Service Connection per Day</t>
  </si>
  <si>
    <t>Real Losses per Service Connection per Day</t>
  </si>
  <si>
    <t>Infrastructure Leakage Index (ILI)</t>
  </si>
  <si>
    <t>AWWA Water Audit Data Validity Score</t>
  </si>
  <si>
    <t xml:space="preserve">AWWA Water Audit Data Validity Score: </t>
  </si>
  <si>
    <t>Balancing Error - Hidden Losses</t>
  </si>
  <si>
    <t>Infrastructure Condition Factor (ICF)</t>
  </si>
  <si>
    <t>Average Failure Frequency in NA based on Literature Review - WaterRF 4379</t>
  </si>
  <si>
    <t>Failure Frequency for Optimized Distribution Systems (Friedman 2010)</t>
  </si>
  <si>
    <t>Pressure Management</t>
  </si>
  <si>
    <t>= billed metered + billed unmetered + unbilled metered + unbilled unmetered
The volume of water taken by registered customers, the water supplier, and others who are implicitly or explicitly authorized to do so by the water supplier, for residential, commercial, industrial, or agricultural purposes.  It also includes water exported across operational boundaries.  Authorized consumption also include water consumed in such activities as fire fighting and training, flushing of mains and sewers, street cleaning, watering of municipal gardens, public fountains, frost protection, building water, etc.  These may be billed or unbilled, metered or unmetered.</t>
  </si>
  <si>
    <t>Background Losses</t>
  </si>
  <si>
    <t>Volume of water input to that part of the water supply system to which the water balance calculation relates.  It is equal to the water volume derived from the water utility's own source waters plus water imported or purchased during the audit period plus or minus the net change in water storage where applicable (and significant).  This volume is the water that has been treated and pressurized to provide service to customers; therefore, it has attained a higher cost value than raw or untreated water coming from a water resource.</t>
  </si>
  <si>
    <t>= Apparent Losses + Real Losses +Unbilled Metered Consumption + Unbilled Unmetered Consumption
Those components of system input that are not billed and produce no revenue; equal to unbilled authorized consumption plus apparent losses plus real losses</t>
  </si>
  <si>
    <t>The volume of water lost from reported leaks, unreported leaks, background losses, and operator error (storage tank overflows) during the water audit reporting period.  The ratio of the CARL to the unavoidable annual real losses (UARL) is the infrastructure leakage index (ILI).</t>
  </si>
  <si>
    <t>Fixed and Variable Area Discharge Path (FAVAD) Model</t>
  </si>
  <si>
    <t>All billed consumption which is calculated based on estimates or norms but is not metered.  This might be a very small component in fully metered systems (for example billing based on estimates for the period a customer meter is out of order) but can be the key consumption component in systems without universal metering.  It does NOT include water sold to neighboring utilities (water exported) which is unmetered but billed</t>
  </si>
  <si>
    <t>= Number of connections / length of mains</t>
  </si>
  <si>
    <t>These costs include those for operations, maintenance and any annually incurred costs for long-term upkeep of the system, such as repayment of capital bonds for infrastructure expansion or improvement.  Typical costs include employee salaries and benefits, materials, equipment, insurance, fees, administrative costs and all other costs that exist to sustain the drinking water supply.  These costs should not include any costs to operate wastewater, biosolids or other systems outside of drinking water.</t>
  </si>
  <si>
    <t>The cost to produce and supply the next unit of water. (E.g., $/million gallons)  This cost is determined by calculating the summed unit costs for ground and surface water treatment and all power used for pumping from the source to the customer.  It should also include the unit cost of bulk water purchased as an import if applicable.</t>
  </si>
  <si>
    <t>Mains Failure Frequency Comparison Chart Titles</t>
  </si>
  <si>
    <t>Service Connection Failure Frequency Comparison Chart Titles</t>
  </si>
  <si>
    <t>PERFORMANCE INDICATOR COMPARISON</t>
  </si>
  <si>
    <t>GLOSSARY</t>
  </si>
  <si>
    <t>N1Value</t>
  </si>
  <si>
    <t>Y-Axis</t>
  </si>
  <si>
    <t>EVALUATION OF LOCATION AND REPAIR TIME REDUCTION OPTIONS</t>
  </si>
  <si>
    <t>Average location and repair duration</t>
  </si>
  <si>
    <t>Total Volume lost (stemming from location and repair duration )</t>
  </si>
  <si>
    <t>Total Cost of Volume lost (stemming from location and repair duration )</t>
  </si>
  <si>
    <t xml:space="preserve">Number of Leaks times Location and Repair Duration </t>
  </si>
  <si>
    <t>Sum</t>
  </si>
  <si>
    <t>Real Loss Volume per Leak Stemming From Location and Repair Duration</t>
  </si>
  <si>
    <t>sum</t>
  </si>
  <si>
    <t>Potential Related Savings in Leakage Volume</t>
  </si>
  <si>
    <t xml:space="preserve">Potential Related Savings in Leakage Volume Cost </t>
  </si>
  <si>
    <t>Total Potential Savings if Location and Repair Duration is Reduced as Simulated in the Above Sections</t>
  </si>
  <si>
    <t>CALCULATION OF ECONOMIC INTERVENTION FREQUENCY FOR PROACTIVE LEAK DETECTION</t>
  </si>
  <si>
    <t>Enter % of rigid pipes and service connections in system</t>
  </si>
  <si>
    <t>START PAGE</t>
  </si>
  <si>
    <t>Enter the required data from the AWWA WLCC Free Water Audit Software: Reporting Sheet to populate the Water Audit</t>
  </si>
  <si>
    <t>Use this sheet to evaluate if a reduction in location and repair times for reported and unreported leaks would provide an opportunity to reduce real losses</t>
  </si>
  <si>
    <t xml:space="preserve">Use this sheet to evaluate if pressure management and a reduction in average system pressure provides an opportunity to reduce real losses cost effectively </t>
  </si>
  <si>
    <t>Select your desired water loss performance indicator to be displayed in comparison to a North American water utility data set</t>
  </si>
  <si>
    <t>Carry out a Real Losses Component Analysis using this sheet</t>
  </si>
  <si>
    <t xml:space="preserve">Select Preferred Volumetric Units for AWWA Water Balance Results </t>
  </si>
  <si>
    <t>This sheet was designed to provide a simple way to simulate various scenarios of pressure reduction and the resulting savings in real losses.</t>
  </si>
  <si>
    <t>Real Loss Component</t>
  </si>
  <si>
    <t>Percentage</t>
  </si>
  <si>
    <t>Volume</t>
  </si>
  <si>
    <t>System Characteristics</t>
  </si>
  <si>
    <t>Number of Service Connections</t>
  </si>
  <si>
    <t>Service Connection Density</t>
  </si>
  <si>
    <t>Average System Pressure</t>
  </si>
  <si>
    <t>Water Balance Results</t>
  </si>
  <si>
    <t>Current Annual Real Losses</t>
  </si>
  <si>
    <t>TBL</t>
  </si>
  <si>
    <t>Current Annual Background Leakage</t>
  </si>
  <si>
    <t>CRL</t>
  </si>
  <si>
    <t>Unavoidable Annual Real Losses</t>
  </si>
  <si>
    <t>CV</t>
  </si>
  <si>
    <t>CI</t>
  </si>
  <si>
    <t>$/for entire system</t>
  </si>
  <si>
    <t>CI/CV</t>
  </si>
  <si>
    <t>EIF</t>
  </si>
  <si>
    <t>Economic Intervention Frequency - Average Leak Run Time</t>
  </si>
  <si>
    <t>%</t>
  </si>
  <si>
    <t>ABI</t>
  </si>
  <si>
    <t>$/year</t>
  </si>
  <si>
    <t>Economic Unreported Real Losses</t>
  </si>
  <si>
    <t>EUL</t>
  </si>
  <si>
    <t>PRL</t>
  </si>
  <si>
    <t>Real Losses from Current Reported Leakage</t>
  </si>
  <si>
    <t>CARL</t>
  </si>
  <si>
    <t>UARL</t>
  </si>
  <si>
    <t>Billed Metered:</t>
  </si>
  <si>
    <t>Billed Unmetered:</t>
  </si>
  <si>
    <t>Unbilled Metered:</t>
  </si>
  <si>
    <t>Unbilled Unmetered:</t>
  </si>
  <si>
    <t>WATER LOSSES:</t>
  </si>
  <si>
    <t>APPARENT LOSSES:</t>
  </si>
  <si>
    <t>REAL LOSSES:</t>
  </si>
  <si>
    <t>NON REVENUE WATER:</t>
  </si>
  <si>
    <t>Apparent Losses per service connection per day:</t>
  </si>
  <si>
    <t>Real Losses per service connection per day*:</t>
  </si>
  <si>
    <t>Real Losses per length of main per day:</t>
  </si>
  <si>
    <t>Unavoidable Annual Real Losses (UARL):</t>
  </si>
  <si>
    <t>Current Annual Real Losses (CARL):</t>
  </si>
  <si>
    <t>Infrastructure Leakage Index (ILI) [CARL/UARL]:</t>
  </si>
  <si>
    <t>Variable Cost of Real Losses</t>
  </si>
  <si>
    <t>Cost of comprehensive leak detection survey (excluding leak repair cost)</t>
  </si>
  <si>
    <t>Average Rate of Rise of Unreported Leakage</t>
  </si>
  <si>
    <t>Economic Intervention Frequency [0.789 * (CI/CV)/RR] ^0.5</t>
  </si>
  <si>
    <t>Economic Percentage of System to be Surveyed per Year</t>
  </si>
  <si>
    <t>Average Annual Budget for Intervention (Proactive Leak Detection)</t>
  </si>
  <si>
    <t>UL</t>
  </si>
  <si>
    <t>AF</t>
  </si>
  <si>
    <t>/AF</t>
  </si>
  <si>
    <t>/MG</t>
  </si>
  <si>
    <t>Component</t>
  </si>
  <si>
    <t xml:space="preserve">Volume </t>
  </si>
  <si>
    <t>km</t>
  </si>
  <si>
    <t>Components</t>
  </si>
  <si>
    <t>Service Con</t>
  </si>
  <si>
    <t>Curb Stop</t>
  </si>
  <si>
    <t>MG/yr</t>
  </si>
  <si>
    <t>ML/yr</t>
  </si>
  <si>
    <t>AF/yr</t>
  </si>
  <si>
    <t>Unreported Reservoir Leakage</t>
  </si>
  <si>
    <t>cell reference for group box</t>
  </si>
  <si>
    <t>Reservoirs</t>
  </si>
  <si>
    <t>Percentiles</t>
  </si>
  <si>
    <t>25th Percentile</t>
  </si>
  <si>
    <t>50th Percentile</t>
  </si>
  <si>
    <t>75th Percentile</t>
  </si>
  <si>
    <t xml:space="preserve">Enter the audit period and select reporting units </t>
  </si>
  <si>
    <t>Length of mains:</t>
  </si>
  <si>
    <t>Customer Retail Count Blank</t>
  </si>
  <si>
    <t>Performance Indicator:</t>
  </si>
  <si>
    <t xml:space="preserve">Instructions: </t>
  </si>
  <si>
    <t>Reported Reservoir Leakage and any recorded Reservoir and Tank Overflows</t>
  </si>
  <si>
    <t>SUMMARY: REAL LOSS COMPONENT ANALYSIS</t>
  </si>
  <si>
    <t xml:space="preserve">Average Leak Flow Rate </t>
  </si>
  <si>
    <t>Basic performance indicator that shows the amount of Non-Revenue Water as a percent of the total volume of water supplied to the distribution system (System Input Volume). This performance indicator has been labeled Fi36 by the International Water Association (IWA)
Fi36 = [(NRW Volume)/(Total SIV)] * 100%</t>
  </si>
  <si>
    <t>The cost associated to the Apparent Losses within a distribution system
Cost of Apparent Losses = (Apparent Losses Per Year) * (Customer Retail Cost of Water)</t>
  </si>
  <si>
    <t>The cost associated to the Real Losses within a distribution system.
Annual Cost or Real Losses - (Real Losses Per Year) * (Variable Production cost of Water)</t>
  </si>
  <si>
    <t>Performance indicator that displays the value of Non-Revenue Water as a percent of the annual cost of running the distribution system.  This performance indicator has been labeled Fi37 by the International Water Association (IWA)
Fi37 = {[(Real Losses + Unbilled Metered Consumption + Unbilled Unmetered Consumption) * Variable Production Cost of Water] + (Apparent Losses * Customer Retail Cost of Water)} / (Cost to Operate System)</t>
  </si>
  <si>
    <t>= real losses from top-down water balance - real losses from component analysis
The volume associated to Balancing Error - Hidden Losses represents the quantity of water lost by leaks that are not currently being detected and repaired.</t>
  </si>
  <si>
    <t>The average amount of water lost per leak based upon the assigned leak flow rate and the average leak duration
=(Leak Flow Rate) * (average leak duration)</t>
  </si>
  <si>
    <t>Total Annual Loss (Real Loss Component Analysis)</t>
  </si>
  <si>
    <t>The total annual water losses for a group of leaks based upon the Average Leak Duration and the Average Leak Flow Rate.
=(total number of leaks) * (average leak duration) *(average leak flow rate)</t>
  </si>
  <si>
    <t>Hidden Losses/Unreported Leakage Currently Running Undetected</t>
  </si>
  <si>
    <t>Total Background Leakage, Reported and Unreported leakage from Reservoirs</t>
  </si>
  <si>
    <t>Total Background Leakage on Mains and Services</t>
  </si>
  <si>
    <t>Total Annual Real Loss Volume Stemming From Location and Repair Duration</t>
  </si>
  <si>
    <t>UARL Background Leakage Values - at 70PSI  -- 49.2 meters head</t>
  </si>
  <si>
    <t>Select Infrastructure Condition Factor (ICF) based on age of distribution network</t>
  </si>
  <si>
    <t xml:space="preserve">Follow the instructions provided below in Step 1 to Step 4 to calculate the real loss volumes stemming from background leakage, reported leaks and unreported leaks </t>
  </si>
  <si>
    <t>Definition</t>
  </si>
  <si>
    <t>Source</t>
  </si>
  <si>
    <t>Real Losses per Service Connection per Day per Pressure (PSI or Meter Head)</t>
  </si>
  <si>
    <t>Term</t>
  </si>
  <si>
    <t>Non-revenue water as percent by volume of water supplied:</t>
  </si>
  <si>
    <t>Real Losses per Length of Main per Day</t>
  </si>
  <si>
    <t>Service connection density:</t>
  </si>
  <si>
    <t>Service Connections</t>
  </si>
  <si>
    <t>Total Annual Real Loss</t>
  </si>
  <si>
    <r>
      <rPr>
        <b/>
        <u/>
        <sz val="12"/>
        <rFont val="Swis721 BT"/>
        <family val="2"/>
      </rPr>
      <t>Step 1</t>
    </r>
    <r>
      <rPr>
        <b/>
        <sz val="12"/>
        <rFont val="Swis721 BT"/>
        <family val="2"/>
      </rPr>
      <t>: BACKGROUND LEAKAGE, REPORTED LEAKAGE AND UNREPORTED LEAKAGE FROM RESERVOIRS</t>
    </r>
  </si>
  <si>
    <t>months</t>
  </si>
  <si>
    <t>Pressure Management Opportunities</t>
  </si>
  <si>
    <t>Reservoir Background Leakage Rate</t>
  </si>
  <si>
    <t>Reservoir Capacity</t>
  </si>
  <si>
    <t>Ratio of Failure Frequency to UARL Break Frequency</t>
  </si>
  <si>
    <t>Cost of Comprehensive Leak Detection Survey</t>
  </si>
  <si>
    <t>Economic Intervention Frequency</t>
  </si>
  <si>
    <t>Economic Infrastructure Leakage Index</t>
  </si>
  <si>
    <t>Percent of Rigid Pipes and Service Connections</t>
  </si>
  <si>
    <t>Real Loss Volume Saved through Alternative Pressure Management Policy</t>
  </si>
  <si>
    <t>Estimated Cost of Implementing Alternative Pressure Management Policy</t>
  </si>
  <si>
    <t>Simple Payback Period for Implementing Alternative Pressure Management Policy</t>
  </si>
  <si>
    <t>Economic Infrastructure Leakage Index (ILI)</t>
  </si>
  <si>
    <t>Please enter the data in the blue cells below based on the AWWA WLCC Free Water Audit Software: Reporting Sheet.</t>
  </si>
  <si>
    <r>
      <rPr>
        <b/>
        <u/>
        <sz val="12"/>
        <rFont val="Swis721 BT"/>
        <family val="2"/>
      </rPr>
      <t>Step 2</t>
    </r>
    <r>
      <rPr>
        <b/>
        <sz val="12"/>
        <rFont val="Swis721 BT"/>
        <family val="2"/>
      </rPr>
      <t>: BACKGROUND LEAKAGE ON MAINS AND SERVICES</t>
    </r>
  </si>
  <si>
    <r>
      <rPr>
        <b/>
        <u/>
        <sz val="12"/>
        <rFont val="Swis721 BT"/>
        <family val="2"/>
      </rPr>
      <t>Step 4C</t>
    </r>
    <r>
      <rPr>
        <b/>
        <sz val="12"/>
        <rFont val="Swis721 BT"/>
        <family val="2"/>
      </rPr>
      <t>: UNREPORTED LEAKS ON SERVICE CONNECTIONS</t>
    </r>
  </si>
  <si>
    <t>Value is automatically filled in/calculated by Model</t>
  </si>
  <si>
    <t>Audit and Component Analysis Period Produced By:</t>
  </si>
  <si>
    <t>Audit and Component Analysis Period Description:</t>
  </si>
  <si>
    <t xml:space="preserve">Did your utility carry out proactive leak detection during the audit period? If NO then go to the Component Analysis Summary Table at the top of this sheet - If YES then provide the data requested in STEP 4A, 4B , and 4C </t>
  </si>
  <si>
    <t xml:space="preserve">Potentially Recoverable Leakage Through Proactive Leak Detection </t>
  </si>
  <si>
    <t>Potentially Recoverable Leakage</t>
  </si>
  <si>
    <t>Potentially Recoverable Leakage (CARL-CRL-EUL-TBL-UL)</t>
  </si>
  <si>
    <t>A generally effective method to optimize pressures in a water distribution system to minimize losses and surge impacts, while maintaining adequate water service, including fire-fighting flows.  Under appropriate conditions, pressure management is particularly effective in minimizing background losses.</t>
  </si>
  <si>
    <t>The rate at which leakage increases with time under a policy of passive leakage control, at a specified average system pressure; or the rate at which leakage increases with time between period of active leakage control interventions, such as leak surveys, at a specified average system pressure.  The rate of rise is not necessarily a linear variable as it can change quickly because of seasonal changing temperatures and other impacts.  This can be assessed from water balances in successive years (in the case of passive leakage control), or by analysis of night flows and or repair records (in the case of active leakage control).  It is usually expressed in volume per day in a year, or a volume per service connection per day in a year; or a volume per mile (or kilometer) of mains per day in a year.</t>
  </si>
  <si>
    <t xml:space="preserve">A theoretical value for evaluating system pressure reduction options.  Based upon this assumed reduction in Average System Pressure, users will be able to estimate the associated reduction in real losses in the system. </t>
  </si>
  <si>
    <t>The annual budget for proactive leak detection as calculated by the Economic Intervention Frequency model.</t>
  </si>
  <si>
    <t xml:space="preserve">Results of a literature review on reported mains failure frequencies.  </t>
  </si>
  <si>
    <t>The average amount of time that it takes a utility to locate and contain/shut-off or repair a leak.  In this model this is categorized by main size and water distribution appurtenance type (i.e. hydrant, service, etc.)</t>
  </si>
  <si>
    <t xml:space="preserve">The average flow rate of a leak on the given size of main, service connection and appurtenance type.  In the real loss component analysis sheet, the user has the choice of a default average leak flow rate or a system specific average leak flow rate by  size of main, service connection and appurtenance type. </t>
  </si>
  <si>
    <t xml:space="preserve">An initial approximation of the cost associated with achieving the assumed pressure reduction. </t>
  </si>
  <si>
    <t>The Failure Frequency is also referred to as the break frequency of a distribution system.  It is measured as the total number of breaks/leaks per length of mains or number of service connections.  
e.g. number of breaks/100 miles of main/year or number of breaks /1000 service connections/year</t>
  </si>
  <si>
    <t xml:space="preserve">Is the volume of real losses that is potentially recoverable by implementing the proactive leak detection survey schedule as calculated by the Economic Intervention Frequency model. </t>
  </si>
  <si>
    <t>A basic calculation of the payback period of an alternative pressure management policy based on the cost to implement an alternative pressure management strategy and the expected real loss reduction as a result of the policy.
=(Value of Real Loss Volume Saved Through Alternative Pressure Management Policy) / (Estimated Cost of Implementing Alternative Pressure Management Policy)</t>
  </si>
  <si>
    <t>Average Duration for Location and Repair/Shut-off Leak</t>
  </si>
  <si>
    <t>The average amount of time that it takes a utility to become aware, locate and repair/shut-off a leak.
=Awareness Duration + Location &amp; Duration of Repair/Shut-off</t>
  </si>
  <si>
    <t xml:space="preserve">The portion of unreported leakage in a water distribution network that is not cost effective to be reduced further by proactive leak detection at the current cost of undertaking leak surveys and the current cost of real losses. </t>
  </si>
  <si>
    <t xml:space="preserve">The percentage of pipe material and service connections in a distribution system that is of rigid (not flexible) material - e.g. cast iron, steel, copper, etc. </t>
  </si>
  <si>
    <t>The UARL component break frequency represents the technical/theoretical minimum failure frequency for a distribution system.  The ratio of failure frequency to UARL break frequency allows a utility to benchmark their failure frequency against the theoretical minimum failure frequency.
=(Utility Failure Frequency) / (UARL Break Frequency)</t>
  </si>
  <si>
    <t>Individual minor and small in volume water loss events that will continue to flow, with flow rates too low to be detected by sonic methods of an active leakage control program.</t>
  </si>
  <si>
    <t>Monetary value associated to the current volume of real losses in a distribution system based on the variable production cost applied to real losses.
= (Current Annual Real Losses) * (Variable Production Cost Applied to Real Losses)</t>
  </si>
  <si>
    <t>WATER SUPPLIED:</t>
  </si>
  <si>
    <r>
      <t xml:space="preserve">2012 Validated Water Audit Data
AWWA Water Loss Control Committee
</t>
    </r>
    <r>
      <rPr>
        <b/>
        <sz val="10"/>
        <color theme="1"/>
        <rFont val="Arial"/>
        <family val="2"/>
      </rPr>
      <t>Copyright © 2012, American Water Works Association. All Rights Reserved</t>
    </r>
  </si>
  <si>
    <t>PAWC-Pittsburgh</t>
  </si>
  <si>
    <t>Cincinnati OH</t>
  </si>
  <si>
    <t>Santa Montica CA</t>
  </si>
  <si>
    <t>Albuquerque NM</t>
  </si>
  <si>
    <t>Aqua TX</t>
  </si>
  <si>
    <t>Austin TX</t>
  </si>
  <si>
    <t>Belmont NC</t>
  </si>
  <si>
    <t>Birmingham AL</t>
  </si>
  <si>
    <t>Calgary CAN</t>
  </si>
  <si>
    <t>Cherokee Co GA</t>
  </si>
  <si>
    <t>Cobb Co GA</t>
  </si>
  <si>
    <t>Cranbrook BC</t>
  </si>
  <si>
    <t>Dalton GA</t>
  </si>
  <si>
    <t>DC WSA</t>
  </si>
  <si>
    <t>Halifax CAN</t>
  </si>
  <si>
    <t>Johnson Co KS</t>
  </si>
  <si>
    <t>Las Vegas NV</t>
  </si>
  <si>
    <t>Louisville KY</t>
  </si>
  <si>
    <t>Orange Co FL</t>
  </si>
  <si>
    <t>PAWC-Pittsburgh PA</t>
  </si>
  <si>
    <t>Philadelphia PA</t>
  </si>
  <si>
    <t>Rio Rancho NM</t>
  </si>
  <si>
    <t>Lexington SC</t>
  </si>
  <si>
    <t>Wauwatosa WI</t>
  </si>
  <si>
    <t>Washington Co VA</t>
  </si>
  <si>
    <t>Wilmington DE</t>
  </si>
  <si>
    <t>Wilson Co TN</t>
  </si>
  <si>
    <t>Sum for whether F56 states that its at 70/49.2 pressure or at system specific pressure)</t>
  </si>
  <si>
    <t>km / mi</t>
  </si>
  <si>
    <t xml:space="preserve">Losses in customer consumption attributed to inaccuracies associated with customer metering, systematic data handling error, plus unauthorized consumption (theft or illegal use of water).  Apparent losses represent paper losses that result in uncaptured revenue for the water utility and distortion of customer consumption data.  </t>
  </si>
  <si>
    <t>Performance indicator that normalizes the apparent losses within the distribution by the number of service connections.  This is considered one of the most reliable of the traditional performance indicators for apparent losses.  
Op24 = (Apparent Losses per Day) / (Service Connections)</t>
  </si>
  <si>
    <t>Awareness Duration is the average time from the occurrence of a leak until the water utility becomes aware of its existence.  The awareness time is influenced by the type of active leak detection policy.</t>
  </si>
  <si>
    <t>This is entered for unmetered services and in cold or other areas where meters are installed inside homes and buildings.  It is the length of customer service line either between the utility's service connection (often at the curb stop) and the meter, or to the building line (first point of customer consumption) if customers are unmetered.  Note that the length of service connection between the main and customer service line is owned by the utility and its length and potential leakage is account for in the UARL formula by the number of service connections.
What role does the "Average Length of Customer Service Line" parameter serve in the Water Audit?
In many water distribution systems the water utility has maintenance responsibility for a portion of the customer service piping from its connection point at the water main to the curb stop valve located midway to the customer building.  The customer is responsible to maintain the customer service piping from the curb stop to the building premises.  When leaks arise on customer service piping , water utilities respond faster to repair leaks than customers when the leak is on piping under their responsibility.  Leak durations are longer on the customer-maintained piping than the utility-maintained piping.  The total length of pipe maintained by customers is one of the components of the Unavoidable Annual Real Losses (UARL) equation and is determined by multiplying the average length of customer maintained pipe, Lp by the number of customer service connections.  Therefore this parameter is important to the calculation of the UARL and the Infrastructure Leakage Index (ILI).</t>
  </si>
  <si>
    <t>Individual water loss events (small leaks and weeps at pipe joints) that will continue to flow, with flow rates too low to be detected by sonic methods of an active leakage control program.  They can be detected either by chance or when they gradually worsen to the point that they are detected acoustically, become disruptive, and are detected as reported leaks.  Background Leakage is sensitive to pressure levels.</t>
  </si>
  <si>
    <t>All metered consumption which is billed.  This includes all groups of customers such as domestic, commercial, industrial or institutional.  It does NOT include water sold to neighboring utilities (water exported) which is metered and billed.  The metered consumption data can be taken directly from billing records for the water audit period.  The accuracy of yearly metered consumption data can be refined by including an adjustment to account for customer meter reading lag time, however additional analysis is necessary to determine the adjustment value, which may or may not be significant.</t>
  </si>
  <si>
    <t>The cost of undertaking a comprehensive leak survey per unit of network (e.g. $/mile or $/km)</t>
  </si>
  <si>
    <t xml:space="preserve">The Infrastructure Leakage Index (ILI) that could be achieved by implementing the proactive leak detection efforts as calculated by the Economic Intervention Frequency model. Note: it is not recommended to use the ILI as a target setting tool.  </t>
  </si>
  <si>
    <r>
      <t xml:space="preserve">The frequency of undertaking proactive leak detection surveys in a system as calculated by the Economic Intervention Frequency model. Note: The Economic Intervention Frequency model should be used to establish a </t>
    </r>
    <r>
      <rPr>
        <b/>
        <sz val="12"/>
        <color theme="1"/>
        <rFont val="Swis721 BT"/>
        <family val="2"/>
        <scheme val="minor"/>
      </rPr>
      <t>preliminary</t>
    </r>
    <r>
      <rPr>
        <sz val="12"/>
        <color theme="1"/>
        <rFont val="Swis721 BT"/>
        <family val="2"/>
        <scheme val="minor"/>
      </rPr>
      <t xml:space="preserve"> schedule for proactive leak detection surveys and needs to be updated and refined as the results of proactive leak detection surveys become available and the Rate of Rise of Unreported Leaks should be updated. Then the proactive leak detection schedule should be refined taking into consideration these findings. </t>
    </r>
  </si>
  <si>
    <t>A concept used to assess the relationship between pressure and discharges (leakage and consumption) from pressurized water pipes.  Losses from fixed area leakage paths (cracks in metal pipe) vary according to the square root of the system pressure during the leak, while discharges from variable area paths (splits in plastic pipe that extend with increasing pressure, and background losses) vary according to pressure to the power of 1.5.  As there will be a mixture of fixed and variable area leaks in any distribution system, loss rates vary with pressure to a power that normally lies between the limits of 0.5 and 1.5.  The simplest version of the FAVAD model, suitable for most practical predictions is:
leakage rate L (volume/unit time) varies with pressure^N1 or L1/L0 = (P1/P0)^N1
The higher the N1 value, the more sensitive existing leakage flow rates are to changes in pressure.  The FAVAD concepts allow accurate forecasting of the increase or decrease of leakage loss rates in a pipe system caused by changes in operating pressure.  The development of this model was the foundation for pressure management application that have been found to be very economical in reducing leakage, particularly background losses, under appropriate conditions.</t>
  </si>
  <si>
    <t xml:space="preserve">ILI is the performance indicator quantifying how well a distribution system is managed (maintained, repaired, rehabilitated) for the control of real (leakage) losses at the current operating pressure.  Mathematically, it is the ratio of current annual real losses (CARL) to unavoidable annual real losses (UARL) or ILI = CARL/UARL.   A low ILI value indicates that the water utility has managed its leakage down toward the level of the UARL, or the theoretical technical low limit of leakage achievable.  As a dimensionless indicator, ILI is a leading benchmarking leakage performance indicator used in international performance comparisons.  </t>
  </si>
  <si>
    <t xml:space="preserve">Volume of real losses that could be saved if the theoretical/alternative pressure management policy was implemented by the utility.  Due to the relationship between average system pressure and leakage losses, a decrease in leakage loss volume due to a decrease in average system pressure can be determined based upon the FAVAD discharge model.  </t>
  </si>
  <si>
    <t>Physical water losses from the pressurized system and the utility's storage tanks, up the  point of customer consumption, which is the customer meter in those utilities that meter their customers.  In unmetered systems, the delineation is the point at which the customer is responsible for customer service connection piping maintenance and repairs.  Real losses include leakage (the largest component by volume for most systems), storage tank overflow, or similar operator error.</t>
  </si>
  <si>
    <t>Performance indicator that normalizes the real losses within the distribution system by the length of main in the system.  This performance indicator should only be used for water utilities with a low density of service connections (such as rural systems), of less than 32 service connections per mile.
= (Real Losses per Day) / (Length of Main)</t>
  </si>
  <si>
    <t>Performance indicator that normalizes the real losses within the distribution by the number of service connections.  This is considered one of the most reliable of the traditional performance indicators for real losses, for all systems with service line densities of &gt;32/mile.  This performance Indicator has been labeled Op24 by the International Water Association.
Op24 = (Real Losses per Day)/(Service Connections)</t>
  </si>
  <si>
    <t xml:space="preserve">Real Losses per Service Connection per Day per PSI/Meter Head of pressure further improves upon the Real Losses per service connection per day performance indicator (Op24) by taking into account the average pressure of the distribution system.  </t>
  </si>
  <si>
    <t>Reported breaks are those events that are brought to the attention of the water utility by the general public or the water utility's own personnel.  A break or a leak that manifests itself at the surface will normally be reported to the water utility whether or not it causes a nuisance such as flooding.</t>
  </si>
  <si>
    <t xml:space="preserve">Reservoir leakage that was identified by utility personnel or a contractor during the audit period and Reservoir overflows that have been brought to the attention of the water utility by the general public or the water utility's own personnel.  Reported reservoir leakage is generally found by SCADA system overflow alerts or by causing a nuisance such as flooding. </t>
  </si>
  <si>
    <t>The sum of the capacities of all of finished water reservoirs attached to the distribution system.  This includes finished water reservoirs at the treatment plant in case the system input volume is metered before the finished water reservoirs. If the water balance is based on raw water meters at the water treatment plant then the raw water reservoirs need to be included in this capacity calculation as well.</t>
  </si>
  <si>
    <t>Service Connection</t>
  </si>
  <si>
    <t>A service connection is defined as "the pipe connecting the main to the measurement point or the customer curb stop, as applicable."  Where several registered customers or individually occupied premises share a physical connection, for example, apartment buildings, this will still be regarded as the one connection, irrespective of the configuration and number of customers on the premises.  The "number of service connections" variable (Nc) is required for the calculation of several performance indicators.  The Nc variable is also used to calculate the unavoidable annual real losses (UARL) in a system by taking into consideration the unavoidable leakage expected to occur on service connections between the main and curb stop or property line.  It is then added to the other components of UARL (on mains, and on pipes between the curb stop/property line and the customer meter) to calculate the total UARL</t>
  </si>
  <si>
    <t>Any kind of Authorized Consumption which is neither billed nor metered.  This component typically includes items such as fire fighting, flushing of mains and sewers, street cleaning, frost protection, etc.  In most water utilities it is a small component which is very often substantially overestimated.  It does NOT include water sold to neighboring utilities (water exported) which is unmetered and unbilled - an unlikely case.  This component has many sub-components of water use which are often tedious to identify and quantify.  Because of this, and the fact that it is usually a small portion of the water supplied, it is recommended that the auditor apply the default value of 1.25% of the volume from own sources.  Select the default percentage to enter this value.  If the water utility already has well validated data that gives a value substantially higher or the default approach is recommended for most water utilities.  
Note that a value of zero is not permitted, since all water utilities have some volume of water in this component occurring in their system.</t>
  </si>
  <si>
    <t xml:space="preserve">Reservoir leakage that has been brought to the attention to the utility through a dedicated program designed to identify unknown reservoir leaks. </t>
  </si>
  <si>
    <t>Monetary value associated to the reduction in real losses due to an alternative pressure management strategy.
=(Real Loss Savings due to alternative pressure management strategy) * (Variable Production Cost Applied to Real Losses)</t>
  </si>
  <si>
    <t>The difference of The system input volume and authorized consumption.  Water losses are considered as a total volume for The whole system, or for partial systems such as transmission or distribution systems, or individual zones.  Water losses consist of real losses plus apparent losses.</t>
  </si>
  <si>
    <t>Use this sheet to establish a preliminary schedule for proactive leak detection surveys</t>
  </si>
  <si>
    <t>Select Preferred Mains Length Units for AWWA Water Balance Results</t>
  </si>
  <si>
    <t xml:space="preserve">First enter the capacity of all distribution system reservoirs and tanks in use during the audit period. In case the system input volume is based on raw water meters located upstream of the Water Treatment Plant (WTP) then also include the capacity of the WTP reservoirs. Next select a reservoir background leakage rate - either the default value provided by the model or a utility specific flow rate. If reservoirs and tanks are well maintained and the utility does not suspect any background leakage from the reservoirs and tanks then enter zero as the utility specific flow rate.  In case a reservoir or tank was reported leaking or has overflowed, enter the estimated volume in cell G27 . If a proactive investigation/inspection of the system reservoirs and tanks has discovered a leaking reservoir or tank then enter the estimated annual volume lost in cell G28. </t>
  </si>
  <si>
    <t>Pressure for average leak flow rate depending on whether user utilized default flow rate or utility specific flow rate (which does not need to be pressure corrected)</t>
  </si>
  <si>
    <t>Average Failure Frequency in NA Based on Literature Review - WaterRF 4372</t>
  </si>
  <si>
    <t>Average Failure Frequency in North America Based on Literature Review - WaterRF 4372</t>
  </si>
  <si>
    <t>Percent Reduction</t>
  </si>
  <si>
    <t>What IF Location and Repair Duration is Reduced to</t>
  </si>
  <si>
    <t>System Description (e.g. Entire System, Zone A, etc.)</t>
  </si>
  <si>
    <t>Performance Indicator: Real Losses per length of mains per day [gal/mi/day]</t>
  </si>
  <si>
    <t>Performance Indicator: Real Losses per length of mains per day [litres/mi/day]</t>
  </si>
  <si>
    <t>Performance Indicator: Real Losses per length of mains per day [gal/km/day]</t>
  </si>
  <si>
    <t>Performance Indicator: Real Losses per length of mains per day [litres/km/day]</t>
  </si>
  <si>
    <t>Performance Indicator: Infrastructure Leakage Index (ILI) [CARL/UARL]</t>
  </si>
  <si>
    <t>Financial Indicator: Annual cost of Apparent Losses ($)</t>
  </si>
  <si>
    <t>System Appurtenances by Type</t>
  </si>
  <si>
    <t>Total Number of Appurtenances</t>
  </si>
  <si>
    <t>Mains and Appurtenances</t>
  </si>
  <si>
    <t>SUB-TOTAL REPORTED LEAKS ON SYSTEM APPURTENANCES</t>
  </si>
  <si>
    <t>Audit Year</t>
  </si>
  <si>
    <t>*Note: pipe length between curb stop and customer meter or point of first use for un-metered service connections</t>
  </si>
  <si>
    <r>
      <t>If the data validity of your AWWA Water Audit is less than</t>
    </r>
    <r>
      <rPr>
        <sz val="12"/>
        <rFont val="Swis721 BT"/>
        <family val="2"/>
      </rPr>
      <t xml:space="preserve"> </t>
    </r>
    <r>
      <rPr>
        <sz val="12"/>
        <color rgb="FFFF0000"/>
        <rFont val="Swis721 BT"/>
        <family val="2"/>
      </rPr>
      <t>51</t>
    </r>
    <r>
      <rPr>
        <sz val="12"/>
        <color theme="1"/>
        <rFont val="Swis721 BT"/>
        <family val="2"/>
      </rPr>
      <t xml:space="preserve"> it is recommended to improve the data validity of your AWWA Water Audit data before any of the results of the following economic analysis are considered for implementation. </t>
    </r>
  </si>
  <si>
    <t>Average length of customer service line*:</t>
  </si>
  <si>
    <t>Reported</t>
  </si>
  <si>
    <t>Unreported</t>
  </si>
  <si>
    <t>Total Potential Cost Savings if Location and Repair Duration is Reduced as Simulated in the Above Sections</t>
  </si>
  <si>
    <t>Reported and Unreported Failure Events</t>
  </si>
  <si>
    <t>Per Year</t>
  </si>
  <si>
    <t>Meters</t>
  </si>
  <si>
    <t>Other (e.g. Blow-offs, etc.)</t>
  </si>
  <si>
    <t>PERFORMANCE INDICATORS</t>
  </si>
  <si>
    <t>Real Losses as Calculated by Water Audit</t>
  </si>
  <si>
    <t>Performance Indicator: Non-revenue Water as Percent by Volume of Water Supplied (%)</t>
  </si>
  <si>
    <t>Performance Indicator: Non-revenue Water as Percent by Cost of Operating System (%)</t>
  </si>
  <si>
    <t>Financial Indicator: Annual Cost of Real Losses ($)</t>
  </si>
  <si>
    <t>RR</t>
  </si>
  <si>
    <t>Audit and Component Analysis Year</t>
  </si>
  <si>
    <t>AWWA Free Water Audit Software</t>
  </si>
  <si>
    <t>Data Validity Score produced by the AWWA Free Water Audit Software.  If the Data Validity Score is less than 51, it is recommended to improve the quality and accuracy of the data used to produce the AWWA Water Audit before any of the results from the economic analysis produced by this model are considered for implementation.</t>
  </si>
  <si>
    <t xml:space="preserve">Break frequency goal for an optimized system. Based on top quartile performance in AWWA (2007a) data. No more than 15 reported breaks and leaks per 100 miles of utility-controlled distribution and transmission piping per year. This includes breaks and leaks on appurtenances such as valves, blow-offs, fittings tapping sleeves/saddles and the connected tapping valves/corporation stops. It does not include service lines and appurtenances beyond the connecting point at the main, regardless of whether utility-owned/controlled or customer owned/controlled. Reported leaks and breaks include both emergency events (i.e., needing immediate response and repair) and non-emergency events (i.e., addressed during normally scheduled work hours) (Friedman 2010). </t>
  </si>
  <si>
    <t>ICF is the ratio between the actual level of background leakage in a zone or district metered area and the calculated unavoidable background leakage of a well maintained system. Several methods exist to quantify the ICF; the more accurate methods require more detailed field data and greater effort to calculate</t>
  </si>
  <si>
    <t>Length of all pipelines (except service connections) in the system starting from the point of potable water system input metering (for example at the outlet of the treatment plant).  It is also recommended to include in this measure the total length of fire hydrant lead pipe.  Hydrant lead pipe is the pipe branching from the water main to the fire hydrant.  Fire hydrant leads are typically of a sufficiently large size that is not more representative of a pipeline than a service connection.  The average length of hydrant leads across the entire system can be assumed if not known, and multiplied by the number of fire hydrants in the system, which can also be assumed if not known.  This value can then be added the total pipeline length.  Total length of mains can therefore be calculated as:
Length of Mains, miles = (total pipeline length, miles) + [ {(average fire hydrant lead length, ft) x (number of fire hydrants)} / 5,280 ft/mile ]
OR
Length of Mains, kilometres = (total pipeline length, km) + [ {(average fire hydrant lead length, km) x (number of fire hydrants)} / 1,000 metres/km ]</t>
  </si>
  <si>
    <t xml:space="preserve">The N1 value is used in the fixed area variable discharge (FAVAD) concepts to calculate pressure/leakage relationships
Leakage Rate L (volume/unit time) varies with pressure N1 or L1/L0 = (P1/P0)^N1
The higher the N1 value, the more sensitive existing leakage flow rates will be to changes in pressures. N1 factors range between 0.5 (corrosion holes only in metallic systems) and 1.5 with occasional values of up to 2.5 (splits in plastic pipe).  In distribution systems with a mix of pipe materials, N1 vales might be in the order of 1 to 1.15.  Therefore, a linear relationship can be assumed initially until N1 step tests are carries out to derive better data.
The model allows the user to choose between a default N1 value and a utility specific N1 value. </t>
  </si>
  <si>
    <t>Number of service connections main to curb stop.  Please note that this includes the actual number of distinct piping connections including fire connections whether active or inactive.  This may differ substantially from the number of Customers (or number of accounts).</t>
  </si>
  <si>
    <t>These leaks, usually hidden, are found only if a water utility has an active leakage control program, or when they worsen and appear in some fashion and become reported leaks.  With passive or very infrequent active leakage control, these leaks go undetected and run for long periods of time causing mounting water losses. Active leakage control interventions carried out at an economic frequency that varies with local circumstances, allows the volume lost from unreported leaks to be managed economically.</t>
  </si>
  <si>
    <t>State/Province</t>
  </si>
  <si>
    <t>©2013 Water Research Foundation. ALL RIGHTS RESERVED.</t>
  </si>
  <si>
    <t>MAIN MENU</t>
  </si>
  <si>
    <t>State or Province</t>
  </si>
  <si>
    <t>California</t>
  </si>
  <si>
    <t>New Mexico</t>
  </si>
  <si>
    <t>Texas</t>
  </si>
  <si>
    <t>Alabama</t>
  </si>
  <si>
    <t>Alberta</t>
  </si>
  <si>
    <t>British Colombia</t>
  </si>
  <si>
    <t>Nevada</t>
  </si>
  <si>
    <t>Kentucky</t>
  </si>
  <si>
    <t>Pennsylvania</t>
  </si>
  <si>
    <t>Delaware</t>
  </si>
  <si>
    <t>Tennessee</t>
  </si>
  <si>
    <t>Ohio</t>
  </si>
  <si>
    <t>Nova Scotia</t>
  </si>
  <si>
    <t>North Carolina</t>
  </si>
  <si>
    <t>Georgia</t>
  </si>
  <si>
    <t>Kansas</t>
  </si>
  <si>
    <t>South Carolina</t>
  </si>
  <si>
    <t>Wisconsin</t>
  </si>
  <si>
    <t>Virginia</t>
  </si>
  <si>
    <t>*The AWWA Validated Water Audit Data can be found at http://www.awwa.org/resources-tools/water-knowledge/water-loss-control.aspx</t>
  </si>
  <si>
    <t>Please select a performance indicator from the drop-down box to compare your utility's performance against the AWWA North American Validated Water Audit Data for 2012*. The performance indicator graph also displays the 25th, 50th and 75th percentile of the performance indicators data set.</t>
  </si>
  <si>
    <t>The average pressure may be approximated when coupling the preliminary water audit.  Once routine water auditing has been established, a more accurate assessment of average pressure should be pursued.  If the water utility infrastructure is recorded in a Geographical Information System (GIS) the average at many locations in the distribution system can be readily obtained.  If a GIS does not exist, a weighted average of pressure data can be calculated from water pressure measured at various fire hydrants scattered across a water distribution system.  A utility can also determine a reliable value for the average operating pressure if the water utility has a calibrated hydraulic model of the potable water distribution system.</t>
  </si>
  <si>
    <t>Metered Consumption which is for any reason unbilled.  This might  include metered consumption by the utility itself or water provided to institutions free of charge.  It does NOT include water sold to neighboring utilities (water exported) which is metered and billed</t>
  </si>
  <si>
    <t>REAL LOSSES COMPONENTS CHART</t>
  </si>
  <si>
    <t>WATER AUDIT PERFORMANCE INDICATORS</t>
  </si>
  <si>
    <t>REAL LOSS COMPONENT ANALYSIS RESULTS</t>
  </si>
  <si>
    <t>WaterRF 4372 COMPONENT ANALYSIS MODEL SUMMARY</t>
  </si>
  <si>
    <t>Macros must be enabled to properly use the WaterRF 4372 Component Analysis Modeling Software</t>
  </si>
  <si>
    <t>A chart summarizing the results in the Real Loss Component Analysis</t>
  </si>
  <si>
    <t>Glossary of all terms used in the WaterRF 4372 Component Analysis Model</t>
  </si>
  <si>
    <t>AWARNESS, LOCATION AND REPAIR TIME REDUCTION RESULTS</t>
  </si>
  <si>
    <t>Total Potential Savings if Location and Repair Duration is Reduced as Simulated on the A-L-R Times Options Sheet</t>
  </si>
  <si>
    <t>Total Potential Cost Savings if Location and Repair Duration is Reduced as Simulated on the A-L-R Times Options Sheet</t>
  </si>
  <si>
    <t>ECONOMIC INTERVENTION FREQUENCY FOR PROACTIVE LEAK DETECTION RESULTS</t>
  </si>
  <si>
    <t>Reported Failures</t>
  </si>
  <si>
    <t>Unreported Failures</t>
  </si>
  <si>
    <r>
      <rPr>
        <b/>
        <u/>
        <sz val="12"/>
        <rFont val="Swis721 BT"/>
        <family val="2"/>
      </rPr>
      <t>STEP 3</t>
    </r>
    <r>
      <rPr>
        <b/>
        <sz val="12"/>
        <rFont val="Swis721 BT"/>
        <family val="2"/>
      </rPr>
      <t>: REPORTED FAILURES</t>
    </r>
  </si>
  <si>
    <r>
      <rPr>
        <b/>
        <u/>
        <sz val="12"/>
        <rFont val="Swis721 BT"/>
        <family val="2"/>
      </rPr>
      <t>STEP 3A</t>
    </r>
    <r>
      <rPr>
        <b/>
        <sz val="12"/>
        <rFont val="Swis721 BT"/>
        <family val="2"/>
      </rPr>
      <t>: REPORTED FAILURES ON MAINS</t>
    </r>
  </si>
  <si>
    <r>
      <rPr>
        <b/>
        <u/>
        <sz val="12"/>
        <rFont val="Swis721 BT"/>
        <family val="2"/>
      </rPr>
      <t>STEP 3B</t>
    </r>
    <r>
      <rPr>
        <b/>
        <sz val="12"/>
        <rFont val="Swis721 BT"/>
        <family val="2"/>
      </rPr>
      <t>: REPORTED FAILURES ON DISTRIBUTION SYSTEM APPURTENANCES</t>
    </r>
  </si>
  <si>
    <r>
      <rPr>
        <b/>
        <u/>
        <sz val="12"/>
        <rFont val="Swis721 BT"/>
        <family val="2"/>
      </rPr>
      <t>STEP 3C</t>
    </r>
    <r>
      <rPr>
        <b/>
        <sz val="12"/>
        <rFont val="Swis721 BT"/>
        <family val="2"/>
      </rPr>
      <t>: REPORTED FAILURES ON SERVICE CONNECTIONS</t>
    </r>
  </si>
  <si>
    <r>
      <rPr>
        <b/>
        <u/>
        <sz val="12"/>
        <rFont val="Swis721 BT"/>
        <family val="2"/>
        <scheme val="minor"/>
      </rPr>
      <t>STEP 4</t>
    </r>
    <r>
      <rPr>
        <b/>
        <sz val="12"/>
        <rFont val="Swis721 BT"/>
        <family val="2"/>
        <scheme val="minor"/>
      </rPr>
      <t>: UNREPORTED FAILURES</t>
    </r>
  </si>
  <si>
    <r>
      <rPr>
        <b/>
        <u/>
        <sz val="12"/>
        <rFont val="Swis721 BT"/>
        <family val="2"/>
      </rPr>
      <t>STEP 4A</t>
    </r>
    <r>
      <rPr>
        <b/>
        <sz val="12"/>
        <rFont val="Swis721 BT"/>
        <family val="2"/>
      </rPr>
      <t>: UNREPORTED FAILURES ON MAINS</t>
    </r>
  </si>
  <si>
    <r>
      <rPr>
        <b/>
        <u/>
        <sz val="12"/>
        <rFont val="Swis721 BT"/>
        <family val="2"/>
      </rPr>
      <t>Step 4B</t>
    </r>
    <r>
      <rPr>
        <b/>
        <sz val="12"/>
        <rFont val="Swis721 BT"/>
        <family val="2"/>
      </rPr>
      <t>: UNREPORTED FAILURES ON DISTRIBUTION SYSTEM APPURTENANCES</t>
    </r>
  </si>
  <si>
    <t>GRAND TOTAL UNREPORTED FAILURES</t>
  </si>
  <si>
    <t>SUB-TOTAL UNREPORTED FAILURES ON SERVICE CONNECTIONS</t>
  </si>
  <si>
    <t>SUB-TOTAL UNREPORTED FAILURES ON SYSTEM APPURTENANCES</t>
  </si>
  <si>
    <t>SUB-TOTAL UNREPORTED FAILURES ON  MAINS</t>
  </si>
  <si>
    <t>GRAND TOTAL REPORTED FAILURES</t>
  </si>
  <si>
    <t>SUB-TOTAL REPORTED FAILURES ON  MAINS</t>
  </si>
  <si>
    <t>Unreported Failures Identified Through Existing Proactive Leak Detection Program</t>
  </si>
  <si>
    <t>Hidden Failures/Unreported Failures not Identified or Captured by Current Leakage Management Policy</t>
  </si>
  <si>
    <t>Julian Thornton, Reinhard Sturm and George Kunkel, P.E., Water Loss Control, (McGraw-Hill, 2008)</t>
  </si>
  <si>
    <r>
      <t xml:space="preserve">Julian Thornton, Reinhard Sturm and George Kunkel, P.E., </t>
    </r>
    <r>
      <rPr>
        <i/>
        <sz val="12"/>
        <color theme="1"/>
        <rFont val="Swis721 BT"/>
        <family val="2"/>
        <scheme val="minor"/>
      </rPr>
      <t>Water Loss Control</t>
    </r>
    <r>
      <rPr>
        <sz val="12"/>
        <color theme="1"/>
        <rFont val="Swis721 BT"/>
        <family val="2"/>
        <scheme val="minor"/>
      </rPr>
      <t>, (McGraw-Hill, 2008)</t>
    </r>
  </si>
  <si>
    <t>ALTERNATIVE PRESSURE MANAGEMENT SCENARIO RESULTS</t>
  </si>
  <si>
    <t>Resulting Pressure Management Program Payback Period</t>
  </si>
  <si>
    <t>Financial Savings from Pressure Management Program</t>
  </si>
  <si>
    <t>Estimated Real Loss Reduction from Pressure Management Program</t>
  </si>
  <si>
    <t>User-Estimated Cost of Pressure Reduction</t>
  </si>
  <si>
    <t>User-Inputted Reduction in Average System Pressure</t>
  </si>
  <si>
    <t>LICENSE</t>
  </si>
  <si>
    <t>Length Units Label</t>
  </si>
  <si>
    <t>Use What IF option in the blue highlighted cells to evaluate potential savings in real losses stemming from reducing the average location and repair time for each of the three infrastructure components for both reported and unreported failure events. Enter a target average location and repair duration (in days) and the model will calculate the resulting savings in leakage volume as well as the corresponding monetary savings. Undertake further cost benefit analysis if this analysis has shown potentially cost effective options for leakage loss reductions by reducing the current average location and repair times.</t>
  </si>
  <si>
    <t>Drinking water utilities supply water through underground piping systems.  Such systems - sooner or later - will incur failures in the form of leaks and breaks (ruptures) in distribution piping. Failures are categorized into three broad types: failures that occur on the primary water main piping , failures on customer service connection piping, and failures on appurtenances attached to water mains; including fire hydrants, valves and air valves or taps. This section "UNREPORTED FAILURES" of the model features a standardized calculation of the real loss volume stemming from failure events found through proactive leak detection programs. Unreported leaks and breaks (failure events) are defined as events that are usually hidden and are found only if a water utility has an active leakage control/leak detection program. Follow Steps 4A, 4B and 4C to calculate the real loss volume stemming from unreported leaks and breaks.</t>
  </si>
  <si>
    <t>Drinking water utilities supply water through underground piping systems.  Such systems - sooner or later - will incur failures in the form of leaks and breaks (ruptures) in distribution piping. Failures are categorized into three broad types: failures that occur on the primary water main piping , failures on customer service connection piping, and failures on appurtenances attached to water mains; including fire hydrants, valves and air valves or taps. This section "REPORTED FAILURES" of the model features a standardized calculation of the real loss volume stemming from failure events reported to the utility. Reported leaks and breaks (failure events) are defined as events that are brought to the attention of the water utility by the general public or other parties as a result of either water showing on the ground surface or other visible places, or of customer complaints. Follow Steps 3A,3B and 3C to calculate the real loss volume stemming from reported leaks and breaks.</t>
  </si>
  <si>
    <t>Percentage of the System to be Surveyed per Year</t>
  </si>
  <si>
    <t>Failures on Mains</t>
  </si>
  <si>
    <t>Service Line Failures</t>
  </si>
  <si>
    <t>Failures on System Appurtenances</t>
  </si>
  <si>
    <t>Evaluation of Pressure Management Opportunities looks at Results of Reduced Pressure on the Volume of Real Losses. Pressure Management has additional benefits and impacts such as:  reduced number of new infrastructure failures, reduced annual repair costs, extended infrastructure life, reduction in residential consumption (mainly for pressure dependent outdoor consumption such as irrigation) which are not quantified in this model. However, these additional benefits and impacts should be evaluated before implementing a new or updated pressure management policy. 
If this initial assessment of pressure management options indicates that pressure reduction could provide cost effective means of reducing and controlling real losses in the system then it is recommended to conduct a detailed pressure management study. Such a study should collect pressure data from the field, assess the presence of pressure transients, identify pressure zones with excessive pressures and prioritize pressure management in parts of the system where its most feasible. In addition a more detailed assessment of costs for implementing the new pressure management policy should be assessed.  This study should further consider the potential revenue impact a change in pressure management policy might have on residential consumption (mainly for pressure dependent outdoor consumption such as irrigation). Typical pressure management options include: introduction of pressure controlled areas, fixed outlet pressure control, time or demand based pressure control, transient control, altitude and level control at reservoirs and tanks etc. (see AWWA M36 for more details).</t>
  </si>
  <si>
    <r>
      <rPr>
        <i/>
        <sz val="12"/>
        <color theme="1"/>
        <rFont val="Swis721 BT"/>
        <family val="2"/>
        <scheme val="minor"/>
      </rPr>
      <t>Water Audits and Loss Control Programs; M36</t>
    </r>
    <r>
      <rPr>
        <sz val="12"/>
        <color theme="1"/>
        <rFont val="Swis721 BT"/>
        <family val="2"/>
        <scheme val="minor"/>
      </rPr>
      <t>, (Denver: AWWA, 2009)</t>
    </r>
  </si>
  <si>
    <t>Friedman, M., G. Kirmeyer, J. Lemieux, M. LeChevallier, S. Seidl, J. Routt. 2010. Criteria for Optimized Distribution Systems. Water Research Foundation, Denver, CO. # 4109</t>
  </si>
  <si>
    <r>
      <rPr>
        <b/>
        <sz val="12"/>
        <rFont val="Swis721 BT"/>
        <family val="2"/>
      </rPr>
      <t>Note:</t>
    </r>
    <r>
      <rPr>
        <sz val="12"/>
        <rFont val="Swis721 BT"/>
        <family val="2"/>
      </rPr>
      <t xml:space="preserve"> To the left you have the summary table of the real loss component analysis. Please enter the data in step 1 through 4 for the summary table to be populated. </t>
    </r>
  </si>
  <si>
    <t xml:space="preserve">Total Reservoir/Tank Capacity </t>
  </si>
  <si>
    <t>Date of Data Entry</t>
  </si>
  <si>
    <t>Model User's Name (e.g. John Smith)</t>
  </si>
  <si>
    <t xml:space="preserve">The background leakage volume from mains and service connections will be automatically calculated after selecting one of the default Infrastructure Condition Factors (ICF) based on infrastructure age or after a utility specific ICF has been selected and entered in cell P43. The level of background leakage tends to increase with infrastructure age and is higher for systems with higher pressure. The volume of background losses is generally a significant component of the total real loss volume, at times up to 50% of the total volume of real losses. Overestimating (ICF used in model is too high) or underestimating (ICF used in model is too low) the background leakage volume might lead to a real loss control strategy that is not truly optimized. Selecting the ICF based on general age of the distribution network should only be seen as a starting point. It is strongly recommended that over time a utility specific ICF is assessed and confirmed through field tests using one of the recommended approaches outlined in the AWWA M36 manual.  </t>
  </si>
  <si>
    <t>INSTRUCTIONS</t>
  </si>
  <si>
    <t>Start Page</t>
  </si>
  <si>
    <t>Summary</t>
  </si>
  <si>
    <t>AWWA - Water Balance Results</t>
  </si>
  <si>
    <t>Performance Indicator Charts</t>
  </si>
  <si>
    <t>Real Losses Component Analysis</t>
  </si>
  <si>
    <t>Real Loss Components Chart</t>
  </si>
  <si>
    <t>A-L-R Times Options</t>
  </si>
  <si>
    <t xml:space="preserve">The Economic Intervention Sheet was designed to establish a preliminary schedule for proactive leak detection surveys and the corresponding necessary budget. Once the results from consecutive leak surveys are available, the Rate of Rise of Unreported Leakage should be updated and the proactive leak detection schedule should be refined taking into consideration these findings. </t>
  </si>
  <si>
    <t>Pressure Management Options</t>
  </si>
  <si>
    <r>
      <rPr>
        <i/>
        <sz val="12"/>
        <color theme="1"/>
        <rFont val="Swis721 BT"/>
        <family val="2"/>
        <scheme val="minor"/>
      </rPr>
      <t>Utility</t>
    </r>
    <r>
      <rPr>
        <sz val="12"/>
        <color theme="1"/>
        <rFont val="Swis721 BT"/>
        <family val="2"/>
        <scheme val="minor"/>
      </rPr>
      <t xml:space="preserve"> - The name of the utility whose data is being inputted into the WaterRF 4372 Model Software</t>
    </r>
  </si>
  <si>
    <r>
      <rPr>
        <i/>
        <sz val="12"/>
        <color theme="1"/>
        <rFont val="Swis721 BT"/>
        <family val="2"/>
        <scheme val="minor"/>
      </rPr>
      <t>System Description</t>
    </r>
    <r>
      <rPr>
        <sz val="12"/>
        <color theme="1"/>
        <rFont val="Swis721 BT"/>
        <family val="2"/>
        <scheme val="minor"/>
      </rPr>
      <t xml:space="preserve"> - The portion of the system that is being analyzed using the WaterRF 4372 Model Software.  Examples may include "Entire System, "Zone 1A", "Potable Water Distribution System"</t>
    </r>
  </si>
  <si>
    <r>
      <rPr>
        <i/>
        <sz val="12"/>
        <color theme="1"/>
        <rFont val="Swis721 BT"/>
        <family val="2"/>
        <scheme val="minor"/>
      </rPr>
      <t>Date of Data Entry</t>
    </r>
    <r>
      <rPr>
        <sz val="12"/>
        <color theme="1"/>
        <rFont val="Swis721 BT"/>
        <family val="2"/>
        <scheme val="minor"/>
      </rPr>
      <t xml:space="preserve"> - The date which the utility's data was entered into the WaterRF 4372 Model Software.  This field has been included to allow utilities to maintain a version control of each model filled out for the utility.</t>
    </r>
  </si>
  <si>
    <r>
      <rPr>
        <i/>
        <sz val="12"/>
        <color theme="1"/>
        <rFont val="Swis721 BT"/>
        <family val="2"/>
        <scheme val="minor"/>
      </rPr>
      <t xml:space="preserve">Model User's Name </t>
    </r>
    <r>
      <rPr>
        <sz val="12"/>
        <color theme="1"/>
        <rFont val="Swis721 BT"/>
        <family val="2"/>
        <scheme val="minor"/>
      </rPr>
      <t>- The name of the user that is filling out the WaterRF 4372 Model Software. This field has been included to allow utilities to maintain a version control of each model filled out for the utility.</t>
    </r>
  </si>
  <si>
    <t>Water Supplied - This should be transposed from the "WATER SUPPLIED" field in the AWWA Free Water Audit Software.  In the AWWA Free Water Audit Software, this is calculated by summing the water produced accounting for the master meter measurement error and the water imported and subtracting the water exported.</t>
  </si>
  <si>
    <t xml:space="preserve">Apparent Losses - This should be transposed from the "Apparent Losses" field in the AWWA Free Water Audit Software.  </t>
  </si>
  <si>
    <t>Length of Mains - This should be transposed from the "Length of mains" field in the AWWA Free Water Audit Software</t>
  </si>
  <si>
    <r>
      <t>Billed Metered -</t>
    </r>
    <r>
      <rPr>
        <sz val="12"/>
        <color theme="1"/>
        <rFont val="Swis721 BT"/>
        <family val="2"/>
        <scheme val="minor"/>
      </rPr>
      <t>This should be transposed from the "Billed metered" field in the AWWA Free Water Audit Software.</t>
    </r>
  </si>
  <si>
    <r>
      <t>Unbilled Metered -</t>
    </r>
    <r>
      <rPr>
        <sz val="12"/>
        <color theme="1"/>
        <rFont val="Swis721 BT"/>
        <family val="2"/>
        <scheme val="minor"/>
      </rPr>
      <t>This should be transposed from the "Unbilled metered" Field in the AWWA free Water Audit Software.  This is also referred to as the Unbilled Metered Authorized Consumption.</t>
    </r>
  </si>
  <si>
    <r>
      <t xml:space="preserve">Billed Unmetered - </t>
    </r>
    <r>
      <rPr>
        <sz val="12"/>
        <color theme="1"/>
        <rFont val="Swis721 BT"/>
        <family val="2"/>
        <scheme val="minor"/>
      </rPr>
      <t>This should be transposed from the "Billed unmetered" field in the AWWA Free Water Audit Software.  This is also referred to as the Billed Unmetered Authorized Consumption.</t>
    </r>
  </si>
  <si>
    <r>
      <t xml:space="preserve">Unbilled Unmetered - </t>
    </r>
    <r>
      <rPr>
        <sz val="12"/>
        <color theme="1"/>
        <rFont val="Swis721 BT"/>
        <family val="2"/>
        <scheme val="minor"/>
      </rPr>
      <t>This should be transposed from the "Unbilled unmetered" field in the AWWA Free Water Audit Software.  This is also referred to as the Unbilled Unmetered Authorized Consumption.</t>
    </r>
  </si>
  <si>
    <t>Number of Active and Inactive Service Connections - This should be transposed from the "Number of active AND inactive service connections" field in the AWWA Free Water Audit Software.</t>
  </si>
  <si>
    <t>Average Length of Customer Service Line - This should be transposed from the "Average length of customer service line" field in the AWWA Free Water Audit Software.</t>
  </si>
  <si>
    <t>Average Operating Pressure - This should be transposed from the "Average operating pressure" field in the AWWA Free Water Audit Software.</t>
  </si>
  <si>
    <t>Total Annual Cost of Operating the System - This should be transposed from the "Total annual cost of operating water system" field in the AWWA Free Water Audit Software.</t>
  </si>
  <si>
    <t>Customer Retail Unit Cost (Applied to Apparent Losses) - This should be transposed from the "Customer retail unit cost (applied to Apparent Losses)" field in the AWWA Free Water Audit Software</t>
  </si>
  <si>
    <t>Variable Production Cost - This should be transposed from the "Variable Production Cost (applied to Real Losses)" field in the AWWA Free Water Audit Software</t>
  </si>
  <si>
    <r>
      <rPr>
        <i/>
        <sz val="12"/>
        <color theme="1"/>
        <rFont val="Swis721 BT"/>
        <family val="2"/>
        <scheme val="minor"/>
      </rPr>
      <t>Non-revenue water as percent of water supplied</t>
    </r>
    <r>
      <rPr>
        <sz val="12"/>
        <color theme="1"/>
        <rFont val="Swis721 BT"/>
        <family val="2"/>
        <scheme val="minor"/>
      </rPr>
      <t xml:space="preserve"> - This is automatically calculated by the model by dividing the "Non Revenue Water" field by the "WATER SUPPLIED" field</t>
    </r>
  </si>
  <si>
    <r>
      <rPr>
        <i/>
        <sz val="12"/>
        <color theme="1"/>
        <rFont val="Swis721 BT"/>
        <family val="2"/>
        <scheme val="minor"/>
      </rPr>
      <t>Apparent Losses per service connection per day</t>
    </r>
    <r>
      <rPr>
        <sz val="12"/>
        <color theme="1"/>
        <rFont val="Swis721 BT"/>
        <family val="2"/>
        <scheme val="minor"/>
      </rPr>
      <t xml:space="preserve"> - This is automatically calculated in the model by dividing the "Apparent Losses" field by the "Number of Active and Inactive Service Connections" Field</t>
    </r>
  </si>
  <si>
    <r>
      <rPr>
        <i/>
        <sz val="12"/>
        <color theme="1"/>
        <rFont val="Swis721 BT"/>
        <family val="2"/>
        <scheme val="minor"/>
      </rPr>
      <t>Annual cost of Apparent Losses</t>
    </r>
    <r>
      <rPr>
        <sz val="12"/>
        <color theme="1"/>
        <rFont val="Swis721 BT"/>
        <family val="2"/>
        <scheme val="minor"/>
      </rPr>
      <t xml:space="preserve"> - This is automatically calculated in the model by multiplying the "Customer Retail Unit Cost" field by the "Apparent Losses" field</t>
    </r>
  </si>
  <si>
    <r>
      <rPr>
        <i/>
        <sz val="12"/>
        <color theme="1"/>
        <rFont val="Swis721 BT"/>
        <family val="2"/>
        <scheme val="minor"/>
      </rPr>
      <t>Non-revenue water as percent of operating system</t>
    </r>
    <r>
      <rPr>
        <sz val="12"/>
        <color theme="1"/>
        <rFont val="Swis721 BT"/>
        <family val="2"/>
        <scheme val="minor"/>
      </rPr>
      <t xml:space="preserve"> - This is automatically calculated in the model by dividing the associated cost of each component of the "Non Revenue Water Field" by the "Total Annual Cost of Operating the System" field</t>
    </r>
  </si>
  <si>
    <r>
      <rPr>
        <i/>
        <sz val="12"/>
        <color theme="1"/>
        <rFont val="Swis721 BT"/>
        <family val="2"/>
        <scheme val="minor"/>
      </rPr>
      <t>Non Revenue Water</t>
    </r>
    <r>
      <rPr>
        <sz val="12"/>
        <color theme="1"/>
        <rFont val="Swis721 BT"/>
        <family val="2"/>
        <scheme val="minor"/>
      </rPr>
      <t xml:space="preserve"> - This is automatically calculated in the model by summing the "Real Losses" field, "Apparent Losses" field, "Unbilled Metered" field and the "Unbilled Unmetered" field</t>
    </r>
  </si>
  <si>
    <r>
      <rPr>
        <i/>
        <sz val="12"/>
        <color theme="1"/>
        <rFont val="Swis721 BT"/>
        <family val="2"/>
        <scheme val="minor"/>
      </rPr>
      <t>Real Losses</t>
    </r>
    <r>
      <rPr>
        <sz val="12"/>
        <color theme="1"/>
        <rFont val="Swis721 BT"/>
        <family val="2"/>
        <scheme val="minor"/>
      </rPr>
      <t xml:space="preserve"> - This is automatically calculated in the model by subtracting the "Apparent Losses" field from the "Water Losses" field</t>
    </r>
  </si>
  <si>
    <r>
      <rPr>
        <i/>
        <sz val="12"/>
        <color theme="1"/>
        <rFont val="Swis721 BT"/>
        <family val="2"/>
        <scheme val="minor"/>
      </rPr>
      <t>Authorized Consumption</t>
    </r>
    <r>
      <rPr>
        <sz val="12"/>
        <color theme="1"/>
        <rFont val="Swis721 BT"/>
        <family val="2"/>
        <scheme val="minor"/>
      </rPr>
      <t xml:space="preserve"> - This is automatically calculated in the model by summing all of the authorized consumption data entry fields, including "Billed Metered," "Billed Unmetered," "Unbilled Metered," and "Unbilled Unmetered"</t>
    </r>
  </si>
  <si>
    <r>
      <rPr>
        <i/>
        <sz val="12"/>
        <color theme="1"/>
        <rFont val="Swis721 BT"/>
        <family val="2"/>
        <scheme val="minor"/>
      </rPr>
      <t>Real Losses per length of main per day</t>
    </r>
    <r>
      <rPr>
        <sz val="12"/>
        <color theme="1"/>
        <rFont val="Swis721 BT"/>
        <family val="2"/>
        <scheme val="minor"/>
      </rPr>
      <t xml:space="preserve"> -  This is automatically calculated in the model by dividing the "Real Losses" by the "Length of Mains" field only if the service connection density is less than 32 service connections per mile of main (20 service connections per kilometer of main).</t>
    </r>
  </si>
  <si>
    <r>
      <rPr>
        <i/>
        <sz val="12"/>
        <color theme="1"/>
        <rFont val="Swis721 BT"/>
        <family val="2"/>
        <scheme val="minor"/>
      </rPr>
      <t>Real Losses per service connection per day per PSI of pressure</t>
    </r>
    <r>
      <rPr>
        <sz val="12"/>
        <color theme="1"/>
        <rFont val="Swis721 BT"/>
        <family val="2"/>
        <scheme val="minor"/>
      </rPr>
      <t xml:space="preserve"> - This is automatically calculated in the model by dividing the "Real Losses" field by "Number of Active and Inactive Service Connections" field and the "Average Operating Pressure" field.</t>
    </r>
  </si>
  <si>
    <r>
      <rPr>
        <i/>
        <sz val="12"/>
        <color theme="1"/>
        <rFont val="Swis721 BT"/>
        <family val="2"/>
        <scheme val="minor"/>
      </rPr>
      <t>Real Losses per service connection per day</t>
    </r>
    <r>
      <rPr>
        <sz val="12"/>
        <color theme="1"/>
        <rFont val="Swis721 BT"/>
        <family val="2"/>
        <scheme val="minor"/>
      </rPr>
      <t xml:space="preserve"> - This is automatically calculated in the model by dividing the "Real Losses" field by the "Number of Active and Inactive Service Connections" field.  If the service connection density is less than 32 service connections per mile of main then the "Real Losses per length of main per day" field is used instead.</t>
    </r>
  </si>
  <si>
    <t>-</t>
  </si>
  <si>
    <r>
      <rPr>
        <i/>
        <sz val="12"/>
        <color theme="1"/>
        <rFont val="Swis721 BT"/>
        <family val="2"/>
        <scheme val="minor"/>
      </rPr>
      <t>Current Annual Real Losses (CARL)</t>
    </r>
    <r>
      <rPr>
        <sz val="12"/>
        <color theme="1"/>
        <rFont val="Swis721 BT"/>
        <family val="2"/>
        <scheme val="minor"/>
      </rPr>
      <t xml:space="preserve"> - This is the amount of real losses calculated in the "REAL LOSSES" field if the audit period is one full year.</t>
    </r>
  </si>
  <si>
    <t xml:space="preserve">Next, the user should enter the proposed reduction in overall system pressure into cell D29 and the estimated cost to implement this pressure management policy to that level in cell D35.  The model will then calculated the estimated reduction in real losses and the monetary value of this reduction in real losses.  Based on the estimated cost to implement the pressure management policy, the model will calculate a simple payback period based on the monetary value of the reduction in real losses.  </t>
  </si>
  <si>
    <t>The majority of this sheet has already been filled is based upon previous inputs into the model.  To complete the economic intervention frequency calculation, two inputs are necessary, Cost per mile of leak detection services and the average rate of rise of unreported leakage for the distribution system being analyzed with the model.</t>
  </si>
  <si>
    <r>
      <rPr>
        <i/>
        <sz val="12"/>
        <rFont val="Swis721 BT"/>
        <family val="2"/>
      </rPr>
      <t xml:space="preserve">Step 1: </t>
    </r>
    <r>
      <rPr>
        <sz val="12"/>
        <rFont val="Swis721 BT"/>
        <family val="2"/>
      </rPr>
      <t xml:space="preserve">First enter the capacity of all distribution system reservoirs and tanks in use during the audit period. In case the system input volume is based on raw water meters located upstream of the Water Treatment Plant (WTP) then also include the capacity of the WTP reservoirs. Next select a reservoir background leakage rate - either the default value provided by the model or a utility specific flow rate. If reservoirs and tanks are well maintained and the utility does not suspect any background leakage from the reservoirs and tanks then enter zero as the utility specific flow rate.  In case a reservoir or tank was reported leaking or has overflowed, enter the estimated volume in cell G27 . If a proactive investigation/inspection of the system reservoirs and tanks has discovered a leaking reservoir or tank then enter the estimated annual volume lost in cell G28. </t>
    </r>
  </si>
  <si>
    <r>
      <rPr>
        <i/>
        <sz val="12"/>
        <rFont val="Swis721 BT"/>
        <family val="2"/>
      </rPr>
      <t xml:space="preserve">Step 2: </t>
    </r>
    <r>
      <rPr>
        <sz val="12"/>
        <rFont val="Swis721 BT"/>
        <family val="2"/>
      </rPr>
      <t>The background leakage volume from mains and service connections will be automatically calculated after selecting one of the default Infrastructure Condition Factors (ICF) based on infrastructure age or after a utility specific ICF has been selected and entered in cell P43. If a utility specific ICF is not available at this time, it is strongly recommended to assess the utility specific ICF through one of the recommended approaches outlined in the AWWA M36 manual.</t>
    </r>
  </si>
  <si>
    <r>
      <rPr>
        <i/>
        <sz val="12"/>
        <rFont val="Swis721 BT"/>
        <family val="2"/>
      </rPr>
      <t>Step 3A:</t>
    </r>
    <r>
      <rPr>
        <sz val="12"/>
        <rFont val="Swis721 BT"/>
        <family val="2"/>
      </rPr>
      <t xml:space="preserve"> Enter the total number of failures by main size that were reported to and repaired by the water utility during the audit period in cells C58 to C77. Next enter the total length of mains for each mains size group in cells D58 to D77  (Note: this information is not required for the real loss component analysis but serves to calculate failure frequencies by mains size). Next enter the average awareness duration for reported failure events by mains size in cells I58 to I77 (Awareness duration is the average time from the occurrence of the failure event until the water utility becomes aware of its existence). Next enter the average duration of locating and containing reported failure events by mains size in cells K58 to K77. Next select either the default average leak flow rate provided by the model in cells P58 to P77 or select and enter your own utility specific average leakage flow rates in cells Q58 to R77. </t>
    </r>
  </si>
  <si>
    <r>
      <rPr>
        <i/>
        <sz val="12"/>
        <rFont val="Swis721 BT"/>
        <family val="2"/>
      </rPr>
      <t xml:space="preserve">Step 3B: </t>
    </r>
    <r>
      <rPr>
        <sz val="12"/>
        <rFont val="Swis721 BT"/>
        <family val="2"/>
      </rPr>
      <t xml:space="preserve">Enter the total number of failures by distribution system appurtenance type that were reported to and repaired by the water utility during the audit period in cells C86 to C89. Next enter the total number of appurtenances for each system appurtenance group in cells D86 to D89  (Note: this information is not required for the real loss component analysis but serves to calculate failure frequencies by appurtenance type). Next enter the average awareness duration for reported failure events by system appurtenance type in cells I86 to I89 (Awareness duration is the average time from the occurrence of the failure event until the water utility becomes aware of its existence). Next enter the average duration of locating and containing reported failure events by system appurtenance type in cells K86 to K89. Next select either the default average leak flow rate provided by the model in cells P86 to P89 or select and enter your own utility specific average leakage flow rates in cells Q86 to R89. </t>
    </r>
  </si>
  <si>
    <r>
      <rPr>
        <i/>
        <sz val="12"/>
        <rFont val="Swis721 BT"/>
        <family val="2"/>
      </rPr>
      <t>Step 4A:</t>
    </r>
    <r>
      <rPr>
        <sz val="12"/>
        <rFont val="Swis721 BT"/>
        <family val="2"/>
      </rPr>
      <t xml:space="preserve"> Enter the total failures by main size that were detected and repaired through proactive leak detection during the audit period in cells C117 to C136. Next enter the total length of mains for each mains size group in cells D117 to D136  (Note: this information is not required for the real loss component analysis but serves to calculate failure frequencies by mains size). Next enter the average awareness duration for unreported failure events by mains size in cells I117 to I136 (If the entire distribution system is surveyed once a year the average awareness time is 365 days ÷ 2 = 182.5 days, if the system is surveyed twice a year then the average awareness time is 365 days ÷ 4 = 91.25 days and so on). Next enter the average duration of locating and containing unreported failure events by mains size in cells K117 to K136. Next select either the default average leak flow rate provided by the model in cells P117 to P136 or select and enter your own utility specific average leakage flow rates in cells Q117 to R136. </t>
    </r>
  </si>
  <si>
    <r>
      <rPr>
        <i/>
        <sz val="12"/>
        <rFont val="Swis721 BT"/>
        <family val="2"/>
      </rPr>
      <t xml:space="preserve">Step 4B: </t>
    </r>
    <r>
      <rPr>
        <sz val="12"/>
        <rFont val="Swis721 BT"/>
        <family val="2"/>
      </rPr>
      <t xml:space="preserve">Enter the total number of failures by distribution system appurtenance type that were detected and repaired through proactive leak detection during the audit period in cells C145 to C148. Next enter the total number of system appurtenances for each appurtenance type in cells D145 to D148 (Note: this information is not required for the real loss component analysis but serves to calculate failure frequencies by appurtenance type). Next enter the average awareness duration for unreported failure events by system appurtenance type in cells I145 to I148  (If the entire distribution system is surveyed once a year the average awareness time is 365 days ÷ 2 = 182.5 days, if the system is surveyed twice a year then the average awareness time is 365 days ÷ 4 = 91.25 days and so on). Next enter the average duration of locating and containing unreported failure events by system appurtenance type in cells K145 to K48. Next select either the default average leak flow rate provided by the model in cells P145 to P148 or select and enter your own utility specific average leakage flow rates in cells Q145 to R148. </t>
    </r>
  </si>
  <si>
    <r>
      <rPr>
        <i/>
        <sz val="12"/>
        <rFont val="Swis721 BT"/>
        <family val="2"/>
      </rPr>
      <t xml:space="preserve">Step 4C: </t>
    </r>
    <r>
      <rPr>
        <sz val="12"/>
        <rFont val="Swis721 BT"/>
        <family val="2"/>
      </rPr>
      <t xml:space="preserve">Enter the total number of failures by service connection size (&lt;1" or &gt;=1") that were detected and repaired through proactive leak detection during the audit period in cells C157 to C158. Next enter the total number of service connections for each service connection size group in cells D157 to D158  (Note: this information is not required for the real loss component analysis but serves to calculate failure frequencies by service connection size group). Next enter the average awareness duration for unreported failure events by  service connection size group in cells I157 to I158 (If the entire distribution system is surveyed once a year the average awareness time is 365 days ÷ 2 = 182.5 days, if the system is surveyed twice a year then the average awareness time is 365 days ÷ 4 = 91.25 days and so on). Next enter the average duration of locating and containing unreported failure events by service connection size group in cells K157 to K158. Next select either the default average leak flow rate provided by the model in cells P157 to P158 or select and enter your own utility specific average leakage flow rates in cells Q157 to R158. </t>
    </r>
  </si>
  <si>
    <t>Enter the start and end date of the audit period being analyzed by the WaterRF 4372 Model.  If no start and/or end dates are entered, the model will set a default audit period of 365 days.  The model will also allow the user to define a custom audit period (e.g. 3 months, 2 years, etc).</t>
  </si>
  <si>
    <t xml:space="preserve">In the blue user input cells, enter the basic details of the Utility including the Name, State, Country and a description of the system being analyzed by the model (i.e. Entire System, Zone 1).  An explanation of each data entry field follows:
</t>
  </si>
  <si>
    <t>In the blue boxes, transpose all of the requested inputs from the AWWA Free Water Audit Software into the model. All definitions of the inputs are available in the Glossary.  An explanation of each data entry field follows:</t>
  </si>
  <si>
    <r>
      <rPr>
        <i/>
        <sz val="12"/>
        <color theme="1"/>
        <rFont val="Swis721 BT"/>
        <family val="2"/>
        <scheme val="minor"/>
      </rPr>
      <t>Cost of Comprehensive Leak Detection Survey:</t>
    </r>
    <r>
      <rPr>
        <sz val="12"/>
        <color theme="1"/>
        <rFont val="Swis721 BT"/>
        <family val="2"/>
        <scheme val="minor"/>
      </rPr>
      <t xml:space="preserve"> In general, cost per mile of leak detection can vary significantly depending on working conditions, whether it is being done in house or by a contractor and other factors.  In general, detailed leak detection services, in which every service connection and distribution system appurtenance is sounded, costs between $250 - $500 per mile.  </t>
    </r>
  </si>
  <si>
    <t>The Real Losses Component Analysis sheet lets the user further analyze their system's real losses that were identified by the AWWA - Water Balance.  In the Real Losses Component Analysis the real losses are further broken down by system component (Reservoirs, Mains and Appurtenances, and Service Connections) and the type of leakage (Background, Reported and Unreported).  From this analysis the user will be able to determine the amount of recoverable real losses currently running undetected within the distribution system.</t>
  </si>
  <si>
    <r>
      <rPr>
        <i/>
        <sz val="12"/>
        <color theme="1"/>
        <rFont val="Swis721 BT"/>
        <family val="2"/>
        <scheme val="minor"/>
      </rPr>
      <t xml:space="preserve">State/Province </t>
    </r>
    <r>
      <rPr>
        <sz val="12"/>
        <color theme="1"/>
        <rFont val="Swis721 BT"/>
        <family val="2"/>
        <scheme val="minor"/>
      </rPr>
      <t>- The state or province where the utility whose data is being inputted into the WaterRF 4372 Model Software is located</t>
    </r>
  </si>
  <si>
    <r>
      <rPr>
        <i/>
        <sz val="12"/>
        <color theme="1"/>
        <rFont val="Swis721 BT"/>
        <family val="2"/>
        <scheme val="minor"/>
      </rPr>
      <t>Country</t>
    </r>
    <r>
      <rPr>
        <sz val="12"/>
        <color theme="1"/>
        <rFont val="Swis721 BT"/>
        <family val="2"/>
        <scheme val="minor"/>
      </rPr>
      <t xml:space="preserve"> - The country where the utility whose data is being inputted into the WaterRF 4372 Model Software is located</t>
    </r>
  </si>
  <si>
    <t>The white boxes are automatically calculated for the user.  These include both system characteristics and performance indicators.  Descriptions of each automatically calculated field follows:</t>
  </si>
  <si>
    <r>
      <rPr>
        <i/>
        <sz val="12"/>
        <color theme="1"/>
        <rFont val="Swis721 BT"/>
        <family val="2"/>
        <scheme val="minor"/>
      </rPr>
      <t>Service Connection Density</t>
    </r>
    <r>
      <rPr>
        <sz val="12"/>
        <color theme="1"/>
        <rFont val="Swis721 BT"/>
        <family val="2"/>
        <scheme val="minor"/>
      </rPr>
      <t xml:space="preserve"> - This is automatically calculated in the model by dividing the "Number of Active and Inactive Service Connections" field by the "Length of Mains" field</t>
    </r>
  </si>
  <si>
    <r>
      <rPr>
        <i/>
        <sz val="12"/>
        <color theme="1"/>
        <rFont val="Swis721 BT"/>
        <family val="2"/>
        <scheme val="minor"/>
      </rPr>
      <t>Annual cost of Real Losses</t>
    </r>
    <r>
      <rPr>
        <sz val="12"/>
        <color theme="1"/>
        <rFont val="Swis721 BT"/>
        <family val="2"/>
        <scheme val="minor"/>
      </rPr>
      <t xml:space="preserve"> - This is automatically calculated in the model by multiplying the "Variable Production Cost" by the "REAL LOSSES" field</t>
    </r>
  </si>
  <si>
    <r>
      <rPr>
        <i/>
        <sz val="12"/>
        <rFont val="Swis721 BT"/>
        <family val="2"/>
      </rPr>
      <t xml:space="preserve">Step 3C: </t>
    </r>
    <r>
      <rPr>
        <sz val="12"/>
        <rFont val="Swis721 BT"/>
        <family val="2"/>
      </rPr>
      <t xml:space="preserve">Enter the total number of failures by service connection size (&lt;1" or &gt;=1") that were reported to and repaired the water utility during the audit period in cells C98 to C99. Next enter the total number of service connections for each service connection size group in cells D98 to D99  (Note: this information is not required for the real loss component analysis but serves to calculate failure frequencies by service connection size group). Next enter the average awareness duration for reported failure events by  service connection size group in cells I98 to I99 (Awareness duration is the average time from the occurrence of the failure event until the water utility becomes aware of its existence). Next enter the average duration of locating and containing reported failure events by service connection size group in cells K89 to K99. Next select either the default average leak flow rate provided by the model in cells P98 to P99 or select and enter your own utility specific average leakage flow rates in cells Q98 to R99. </t>
    </r>
  </si>
  <si>
    <t>The results of the Real Losses Component Analysis are shown using a hybrid pie chart.  The chart shows the percentage of real losses attributed to background leakage, reported failures, and unreported failures.  The chart further examines unreported leakage by breaking it up into two components: 'Unreported Failures Identified through Existing Proactive Leak Detection Program' and 'Hidden Failures/Unreported Failures not Identified or Captured by Current Leakage Management Policy.'</t>
  </si>
  <si>
    <t>The Pressure Management Options sheet was designed to provide a simple way to simulate the possible reduction in leakage losses as a result of system wide pressure reduction.  The sheet uses the concept of Fixed and Variable Discharges concept to model the possible reduction of leakage losses by implementing a pressure reduction program.  Using the system data including average system pressure, cost of water and the percentage of rigid pipes (e.g. cast iron, ductile iron, etc.) a dollar value can be determined based on the water savings from a reduction in average system pressure.</t>
  </si>
  <si>
    <r>
      <rPr>
        <i/>
        <sz val="12"/>
        <rFont val="Swis721 BT"/>
        <family val="2"/>
      </rPr>
      <t xml:space="preserve">Step 4: </t>
    </r>
    <r>
      <rPr>
        <sz val="12"/>
        <rFont val="Swis721 BT"/>
        <family val="2"/>
      </rPr>
      <t>Drinking water utilities supply water through underground piping systems.  Such systems,sooner or later, will incur failures in the form of leaks and breaks (ruptures) in distribution piping. Failures are categorized into three broad types: failures that occur on the primary water main piping , failures on customer service connection piping, and failures on appurtenances attached to water mains; including fire hydrants, valves and air valves or taps. This section "UNREPORTED FAILURES" of the model features a standardized calculation of the real loss volume stemming from failure events found through proactive leak detection programs. Unreported leaks and breaks (failure events) are defined as events that are usually hidden and are found only if a water utility has an active leakage control/leak detection program. Follow Steps 4A, 4B and 4C to calculate the real loss volume stemming from unreported leaks and breaks.</t>
    </r>
  </si>
  <si>
    <t>For a full definition of any term used within the Model, simply click the term and you will be taken to the glossary</t>
  </si>
  <si>
    <t>Summary of the water audit performance indicators and the results of the Real Losses Component Analysis</t>
  </si>
  <si>
    <t>District of Colombia</t>
  </si>
  <si>
    <t xml:space="preserve">The calculated reductions in real losses are based on the FAVAD (Fixed and Variable Area Discharges) concept.  The effect of reducing the average system pressure is assessed using data in the white cells D18 to D20 which are automatically copied from the AWWA - Water Balance Results Sheet. Next enter if default N1 value is to be used or if system specific N1 value should be calculated using the following formula N1= 1.5 - (1-0.65/ILI) * Prig/100 (Source: Thornton, J. and Lambert, A., 2005. Progress in practical prediction of pressure: leakage, pressure: burst frequency and pressure: consumption relationships. In: Leakage 2005 Conference Proceedings. Halifax, Canada), which requires entering the percentage of rigid pipes (percentage of metal vs. plastic pipe) and service connections in the system in cell D25.  Next enter the targeted reduction in average system pressure in cell D29. Next the reduction in real losses and the related cost savings are calculated by the model. Next enter an initial best estimate for the cost of implementing this alternative pressure management policy in cell D35 to calculate a simple payback in years for this new pressure management policy. </t>
  </si>
  <si>
    <t>The Customer Retail Unit Cost represents the charge that customers pay for water service.  This unit cost is applied to the components of apparent loss, since these losses represent water reaching customers but not (fully) paid for.  It is important to compile these costs per the same unit cost basis as the volume measure included in the water audit.  For example, if all water volumes are measured in million gallons, then the unit cost should be dollars per million gallons ($/mil gal).  The software allows the user to select the units that are charged to customers and automatically converts these units to the units that appear in the "TOTAL SYSTEM INPUT VOLUME" box.  Since most water utilities have a rate structure that includes a variety of different costs based upon class of customer, a weighted average of individual costs and number of customer accounts in each class can be calculated to determine a single composite cost that should be entered into this cell.  Finally, the weighted average cost should also include additional charges for sewer, storm water or biosolids processing IF these charges are based upon the volume of potable water consumed.</t>
  </si>
  <si>
    <t>Real (leakage) losses in water utilities cannot be totally eliminated.  UARL represents the lowest loss technically achievable in a water utility based on its key characteristics.  UARL calculation is based on leakage data gathered from well-maintained and well-managed systems.  Equations for calculating UARL for individual systems were developed and tested by the International Water Association's Water Loss Task Force and published in 2000.  The equations take into account measured frequencies, flow rates and durations of background losses, reported leaks and unreported leaks, as well as the pressure-leakage relationship (assumed to be linear for most large systems).  A straightforward equation for UARL was developed.  This equation, expressed in gallons is given below (adjusting for units)
UARL(gal) = (5.4Lm + 0.15Nc + 7.5Lc) * P
Where:
Lm = length of water mains, mi
Nc = number of service connections
Lc = total length of private pipe, mi = Nc x average distance from curb stop to customer meter, Lp
P = average pressure in the system, PSI
The ratio of current annual real losses (CARL) to the UARL is the Infrastructure Leakage Index (ILI), which is a powerful leakage benchmarking performance indicator.</t>
  </si>
  <si>
    <t xml:space="preserve">In order to calculate a system specific Fixed and Variable Area Discharges (FAVAD) N1 value, the user must input the percentage of rigid (metallic) pipes in the distribution system.  Further explanation of the FAVAD concept is available in the Glossary and AWWA M36 Manual.  The model will then automatically calculate a 'System Specific N1' in cell E24.  This value represents the sensitivity of the relationship between pressure and leakage in a users system.  In general, systems with a large amount of non-rigid pipe will have a higher sensitivity to pressure and leakage than a system largely composed of rigid pipe based on the FAVAD concept principles.  </t>
  </si>
  <si>
    <t xml:space="preserve">This spreadsheet based "Model" was designed to provide North American (NA) water utilities with a utility-tested software tool to undertake a leakage component analysis and to identify economic options for real loss reduction through improved speed and quality of leak repair, proactive leak detection and pressure management. This Model was also designed to assist NA water utilities in evaluating options for implementing efficient and sustainable leakage control programs. The models results should only be seen as a preliminary starting point for proactive management of Real Losses. The preliminary Real Loss control strategy needs to be refined as more results become available. </t>
  </si>
  <si>
    <t>Select the volume and mains length units that are to be used throughout the model using the dropdown boxes.  For volume, the model can accommodate Million Gallons (MG), Acre-feet, and Megalitres (ML).  For mains length, the model can accommodate miles and kilometres.</t>
  </si>
  <si>
    <t>The summary page displays the performance/financial indicators from the AWWA - Water Balance Results sheet, the summary table from the Real Losses Component Analysis sheet, the results from the A-L-R Runtimes sheet, the results from the Economic Intervention Frequency sheet and the results from the Pressure Management Options sheet.  This sheet was designed to present the results of this software model on a single printed page.</t>
  </si>
  <si>
    <t xml:space="preserve">AWWA Water Audit Data Validity Score - This should be transposed from the "WATER AUDIT DATA VALIDITY SCORE" field in the AWWA Free Water Audit Software.  If the data validity of your AWWA Water Audit is less than 51 it is recommended to improve the data validity of your AWWA Water Audit data before any of the results of the following economic analysis are considered for implementation. </t>
  </si>
  <si>
    <r>
      <rPr>
        <i/>
        <sz val="12"/>
        <color theme="1"/>
        <rFont val="Swis721 BT"/>
        <family val="2"/>
        <scheme val="minor"/>
      </rPr>
      <t>Water Losses</t>
    </r>
    <r>
      <rPr>
        <sz val="12"/>
        <color theme="1"/>
        <rFont val="Swis721 BT"/>
        <family val="2"/>
        <scheme val="minor"/>
      </rPr>
      <t xml:space="preserve"> - This is automatically calculated in the model by subtracting the "AUTHORIZED CONSUMPTION" field from the "WATER SUPPLIED" field</t>
    </r>
  </si>
  <si>
    <r>
      <rPr>
        <i/>
        <sz val="12"/>
        <color theme="1"/>
        <rFont val="Swis721 BT"/>
        <family val="2"/>
        <scheme val="minor"/>
      </rPr>
      <t>Unavoidable Annual Real Losses (UARL)</t>
    </r>
    <r>
      <rPr>
        <sz val="12"/>
        <color theme="1"/>
        <rFont val="Swis721 BT"/>
        <family val="2"/>
        <scheme val="minor"/>
      </rPr>
      <t xml:space="preserve"> - This is automatically calculated based on the UARL formula, which is available in the Glossary and M36 Manual.  The M36 Manual recommends the use of the UARL for systems with more than 3,000 service connections and a service connection density greater than 16 connections per mile (10 connections per kilometer of main).</t>
    </r>
  </si>
  <si>
    <r>
      <rPr>
        <i/>
        <sz val="12"/>
        <color theme="1"/>
        <rFont val="Swis721 BT"/>
        <family val="2"/>
        <scheme val="minor"/>
      </rPr>
      <t>Infrastructure Leakage Index (ILI) [CARL/UARL]</t>
    </r>
    <r>
      <rPr>
        <sz val="12"/>
        <color theme="1"/>
        <rFont val="Swis721 BT"/>
        <family val="2"/>
        <scheme val="minor"/>
      </rPr>
      <t xml:space="preserve"> - This is automatically calculated in the model by dividing the "Current Annual Real Losses (CARL)" field by the "Unavoidable Annual Real Losses (UARL)" field.  The ILI is only calculated by the model if the audit period used is at least one full year.</t>
    </r>
  </si>
  <si>
    <t xml:space="preserve">The Performance Indicator Charts page was designed to allow the user to compare their AWWA Free Water Audit Software data to a validated set of water audits from North America.  The comparison data has been validated by the AWWA Water Loss Control Committee (WLCC) and is freely available on AWWA's website.  For ease of use, the user's results are distinguished by the orange bar.  It is important to note that not all of the available choices are Performance Indicators; some are System Characteristics defined by the  users infrastructure (i.e. length of mains, number of service connections, etc).  These have been distinguished in the title on the chart.  Once the AWWA - Water Balance Results sheet has been filled in, the user can use the combo box to select which performance indicator, financial indicator or system characteristic to be shown on the chart.  </t>
  </si>
  <si>
    <r>
      <rPr>
        <i/>
        <sz val="12"/>
        <color theme="1"/>
        <rFont val="Swis721 BT"/>
        <family val="2"/>
        <scheme val="minor"/>
      </rPr>
      <t>Summary: REAL LOSS COMPONENT ANALYSIS</t>
    </r>
    <r>
      <rPr>
        <sz val="12"/>
        <color theme="1"/>
        <rFont val="Swis721 BT"/>
        <family val="2"/>
        <scheme val="minor"/>
      </rPr>
      <t xml:space="preserve"> - This table summarizes the results of the entire Real Losses Component Analysis.  Combined with the information on the AWWA - Water Balance Results, the Model will automatically calculate the 'Hidden Losses/Unreported Leakage Currently Running Undetected.'  This represents the total amount of Unreported Leakage that could be recovered through a more aggressive water loss control program.  Based on these results, the user can then work with the A-L-R Times, the Economic Intervention Frequency and Pressure Management sheets to explore the benefits of each real loss intervention strategy for reducing real leakage losses.</t>
    </r>
  </si>
  <si>
    <r>
      <rPr>
        <i/>
        <sz val="12"/>
        <rFont val="Swis721 BT"/>
        <family val="2"/>
      </rPr>
      <t>Step 3:</t>
    </r>
    <r>
      <rPr>
        <sz val="12"/>
        <rFont val="Swis721 BT"/>
        <family val="2"/>
      </rPr>
      <t xml:space="preserve"> Drinking water utilities supply water through underground piping systems.  Such systems, sooner or later, will incur failures in the form of leaks and breaks (ruptures) in distribution piping. Failures are categorized into three broad types: failures that occur on the primary water main piping, failures on customer service connection piping, and failures on appurtenances attached to water mains; including fire hydrants, valves and air valves or taps. This section "REPORTED LEAKS AND BREAKS" of the model features a standardized calculation of the real loss volume stemming from failure events reported to the utility. Reported leaks and breaks (failure events) are defined as events that are brought to the attention of the water utility by the general public or other parties as a result of either water showing on the ground surface or other visible places, or of customer complaints. Follow Steps 3A,3B and 3C to calculate the real loss volume stemming from reported leaks and breaks.</t>
    </r>
  </si>
  <si>
    <t xml:space="preserve">This sheet was not designed to provide a robust determination of the payback of reducing average location and repair times.  It is a simplified cost calculation designed to stimulate further analysis if this initial review indicates potentially cost effective ways of reducing real losses. </t>
  </si>
  <si>
    <r>
      <rPr>
        <i/>
        <sz val="12"/>
        <color theme="1"/>
        <rFont val="Swis721 BT"/>
        <family val="2"/>
        <scheme val="minor"/>
      </rPr>
      <t>Average Rate of Rise of Unreported Leakage:</t>
    </r>
    <r>
      <rPr>
        <sz val="12"/>
        <color theme="1"/>
        <rFont val="Swis721 BT"/>
        <family val="2"/>
        <scheme val="minor"/>
      </rPr>
      <t xml:space="preserve"> The rate at which leakage increases with time under a policy of passive leakage control, at a specified average system pressure; or the rate at which leakage increases with time between period of active leakage control interventions, such as leak surveys, at a specified average system pressure.  The rate of rise is not necessarily a linear variable as it can change quickly because of seasonal changing temperatures and other impacts.  This can be assessed from water balances in successive years (in the case of passive leakage control), or by analysis of night flows and or repair records (in the case of active leakage control).  It is usually expressed in volume per day in a year, or a volume per service connection per day in a year; or a volume per mile (or kilometer) of mains per day in a year. The AWWA M36 Manual recommends assessing The Average Rate of Rise of Unreported Leakage either by comparing water balance results of several consecutive years and calculating the Average Rate of Rise of Unreported Leakage based on the increase n Real Loss volume from year to year (if utility does not employ proactive leak detection), or by analysis of District Metered Area night flow data or repair records of leaks detected through proactive leak detection (if utility employs proactive leakage control). Further details about how to assess the Average Rate of Rise of Unreported Leakage are provided in the AWWA M36 Manual. </t>
    </r>
  </si>
  <si>
    <t xml:space="preserve">This sheet was not designed to provide a robust determination of the payback of a pressure management program. It is a simplified cost calculation designed to stimulate further analysis if this initial review indicates potentially cost effective ways of reducing real losses. </t>
  </si>
  <si>
    <t>The WaterRF Model 4372 must be run in a Microsoft Windows environment with Excel 2003 or newer.  The Model will not function properly using any Macintosh versions of Microsoft Excel.</t>
  </si>
  <si>
    <r>
      <t xml:space="preserve">The worksheets contained in this spreadsheet can be accessed by clicking on the tabs located at the bottom of the spreadsheet screen or by clicking the desired button in the Main Menu worksheet.  </t>
    </r>
    <r>
      <rPr>
        <b/>
        <sz val="12"/>
        <color theme="1"/>
        <rFont val="Swis721 BT"/>
        <family val="2"/>
      </rPr>
      <t>Definitions can be accessed by directly clicking the term or navigating to the 'Glossary' tab.</t>
    </r>
  </si>
  <si>
    <t>g/km</t>
  </si>
  <si>
    <t>l/mi</t>
  </si>
  <si>
    <r>
      <t xml:space="preserve">Due to the limitations of using Microsoft Excel, users may experience growing buttons and/or combination boxes.  This is likely caused by a limitation of system resources.  If this occurs, the user should immediately close the model </t>
    </r>
    <r>
      <rPr>
        <b/>
        <u/>
        <sz val="11"/>
        <color theme="1"/>
        <rFont val="Swis721 BT"/>
        <family val="2"/>
        <scheme val="minor"/>
      </rPr>
      <t>without</t>
    </r>
    <r>
      <rPr>
        <b/>
        <sz val="11"/>
        <color theme="1"/>
        <rFont val="Swis721 BT"/>
        <family val="2"/>
        <scheme val="minor"/>
      </rPr>
      <t xml:space="preserve"> saving and close any other running programs and then reopen the model.</t>
    </r>
  </si>
  <si>
    <t>Complete set of instuctions for the WaterRF Component Analysis Modeling Software</t>
  </si>
  <si>
    <t>Number of Leaks &amp; Failures per Year</t>
  </si>
  <si>
    <t xml:space="preserve">Average Failure Flow Rate @ </t>
  </si>
  <si>
    <t>Average Failure Duration</t>
  </si>
  <si>
    <t>Average Annual Loss per Failure</t>
  </si>
  <si>
    <t>Use Default Average Failure Flow Rate</t>
  </si>
  <si>
    <t xml:space="preserve">Use Utility Specific Average Failure Flow Rate </t>
  </si>
  <si>
    <t>Average Failure Flow Rate @</t>
  </si>
  <si>
    <t>Average Duration for Location and Repair/Shutoff Failure</t>
  </si>
  <si>
    <t>Number of Failures per Year</t>
  </si>
  <si>
    <t>Number of Failures per 1000 Appurtenances</t>
  </si>
  <si>
    <t>Number of Failures per 1000 Service Connections</t>
  </si>
  <si>
    <t xml:space="preserve">Average Duration for Location and Repair/Shutoff Failure </t>
  </si>
  <si>
    <t>Development Team:
Reinhard Sturm - Water Systems Optimization, Inc
Timothy Wilson - Water Systems Optimization, Inc
Stephen Preston - Water Systems Optimization, Inc
Katherine Gasner - Water Systems Optimization, Inc
Mary Ann Dickinson - Alliance for Water Efficiency</t>
  </si>
  <si>
    <t>Comparison of your utility's mains and service line failure frequencies against industry averages and targets</t>
  </si>
  <si>
    <t>Failure Frequency Analysis</t>
  </si>
  <si>
    <r>
      <t xml:space="preserve">The results of the mains and service line failure frequency analysis are shown using the two column charts.  For the mains failure frequency, the user's data is compared to the average failure frequency in North America based on the literature review completed for the WaterRF 4372, </t>
    </r>
    <r>
      <rPr>
        <i/>
        <sz val="12"/>
        <color theme="1"/>
        <rFont val="Swis721 BT"/>
        <family val="2"/>
        <scheme val="minor"/>
      </rPr>
      <t xml:space="preserve">Effective Organization and Component Analysis of Water Utility Leakage Data </t>
    </r>
    <r>
      <rPr>
        <sz val="12"/>
        <color theme="1"/>
        <rFont val="Swis721 BT"/>
        <family val="2"/>
        <scheme val="minor"/>
      </rPr>
      <t xml:space="preserve">and the failure frequency for optimized distribution systems from the WaterRF project, </t>
    </r>
    <r>
      <rPr>
        <i/>
        <sz val="12"/>
        <color theme="1"/>
        <rFont val="Swis721 BT"/>
        <family val="2"/>
        <scheme val="minor"/>
      </rPr>
      <t>Criteria for Optimized Distribution Systems</t>
    </r>
    <r>
      <rPr>
        <sz val="12"/>
        <color theme="1"/>
        <rFont val="Swis721 BT"/>
        <family val="2"/>
        <scheme val="minor"/>
      </rPr>
      <t>.</t>
    </r>
    <r>
      <rPr>
        <i/>
        <sz val="12"/>
        <color theme="1"/>
        <rFont val="Swis721 BT"/>
        <family val="2"/>
        <scheme val="minor"/>
      </rPr>
      <t xml:space="preserve">
</t>
    </r>
    <r>
      <rPr>
        <sz val="12"/>
        <color theme="1"/>
        <rFont val="Swis721 BT"/>
        <family val="2"/>
        <scheme val="minor"/>
      </rPr>
      <t xml:space="preserve">For the service line failure frequency, the user's data is compared to the  tecnical minimum amount of service connection failures based on the Unavoidable Annual Real Losses (UARL) component for reported service line failures.  If the user's service connection failure frequency is less than the technical minimum, the Model will show a warning that the service line failures during the audit period may be erroneous. </t>
    </r>
  </si>
  <si>
    <t>As the input data is filled into the model, this sheet will populate with the results and recommendations from the Real Losses Component Analysis, A-L-R Times, Economic Intervention and Pressure Management tabs.  The performance indicators from the AWWA Free Water Audit Software have been added to show a brief review of the performance of the system being analyzed</t>
  </si>
  <si>
    <t>WaterRF 4372 Component Analysis of Real Losses Model developed by Water Systems Optimization, Inc for the Water Research Foundation and US EPA. December 2013</t>
  </si>
  <si>
    <t>Welcome to the WaterRF 4372 Component Analysis of Real Losses Software Model.  These instructions will provide a basic summary of each tab in this model.   Instructions are also available on each tab.  This spreadsheet based "Model" was designed to provide North American (NA) water utilities with a utility-tested software tool to undertake a leakage component analysis and to identify economic options for real loss reduction through improved speed and quality of leak repair, proactive leak detection and pressure management. This Model was also designed to assist NA water utilities in evaluating options for implementing efficient and sustainable leakage control programs. The models results should only be seen as a preliminary starting point for proactive management of Real Losses. The preliminary Real Loss control strategy needs to be refined as more results become available. 
It is important to acknowledge that the Model is only as useful and instructive as the quality of the user’s data inputs. Throughout the instructions provided in the Model (and throughout the WaterRF 4372 report), there is particular emphasis on the importance of data quality and validation.
Furthermore, it is important to highlight that the Model requires a significant amount of validated data and its "outputs" are meant to provide opportunities to test scenarios but do not represent concrete goals or hard and fast targets. The Model is a dynamic tool meant for guidance and not a mechanism for direct reporting like the AWWA Free Water Audit Software, or for regulatory target setting.</t>
  </si>
  <si>
    <t>Please enter the Data Validity Score calculated by the AWWA Free Water Audit Software</t>
  </si>
  <si>
    <t>WaterRF 4372: Real Loss Component Analysis: A Tool for Economic Water Loss Control</t>
  </si>
  <si>
    <t>AWWA - WATER BALANCE DATA TRANSFER</t>
  </si>
  <si>
    <t>©2014 Water Research Foundation. ALL RIGHTS RESERVED.</t>
  </si>
  <si>
    <r>
      <t>The white cells will be populated automatically.</t>
    </r>
    <r>
      <rPr>
        <i/>
        <sz val="12"/>
        <color theme="1"/>
        <rFont val="Swis721 BT"/>
      </rPr>
      <t xml:space="preserve"> </t>
    </r>
    <r>
      <rPr>
        <b/>
        <i/>
        <sz val="12"/>
        <color theme="1"/>
        <rFont val="Swis721 BT"/>
      </rPr>
      <t xml:space="preserve">Note: all blue cells need to be populated - if no volume was registered enter zero. </t>
    </r>
  </si>
  <si>
    <t>Enter the total number of failures by main size that were reported to and repaired by the water utility during the audit period in cells C58 to C77. Next enter the total length of mains for each mains size group in cells D58 to D77  (Note: this information is not required for the real loss component analysis but serves to calculate failure frequencies by mains size). Next enter the average awareness duration for reported failure events by mains size in cells I58 to I77 (Awareness duration is the average time from the occurrence of the failure event until the water utility becomes aware of its existence). Next enter the average duration of locating and containing reported failure events by mains size in cells K58 to K77. Next select either the default average leak flow rate provided by the model in cells P58 to P77 or select and enter your own utility specific average leakage flow rates in cells Q58 to R77. Average failure flow rates are based on AWWA M36 recommended flow rates and flow rates collected by the research team.</t>
  </si>
  <si>
    <t>Enter the total number of failures by distribution system appurtenance type that were reported to and repaired by the water utility during the audit period in cells C86 to C89. Next enter the total number of appurtenances for each system appurtenance group in cells D86 to D89  (Note: this information is not required for the real loss component analysis but serves to calculate failure frequencies by appurtenance type). Next enter the average awareness duration for reported failure events by system appurtenance type in cells I86 to I89 (Awareness duration is the average time from the occurrence of the failure event until the water utility becomes aware of its existence). Next enter the average duration of locating and containing reported failure events by system appurtenance type in cells K86 to K89. Next select either the default average leak flow rate provided by the model in cells P86 to P89 or select and enter your own utility specific average leakage flow rates in cells Q86 to R89. Average failure flow rates are based on AWWA M36 recommended flow rates and flow rates collected by the research team.</t>
  </si>
  <si>
    <t>Enter the total number of failures by service connection size (&lt;1" or &gt;=1") that were reported to and repaired the water utility during the audit period in cells C98 to C99. Next enter the total number of service connections for each service connection size group in cells D98 to D99  (Note: this information is not required for the real loss component analysis but serves to calculate failure frequencies by service connection size group). Next enter the average awareness duration for reported failure events by  service connection size group in cells I98 to I99 (Awareness duration is the average time from the occurrence of the failure event until the water utility becomes aware of its existence). Next enter the average duration of locating and containing reported failure events by service connection size group in cells K89 to K99. Next select either the default average leak flow rate provided by the model in cells P98 to P99 or select and enter your own utility specific average leakage flow rates in cells Q98 to R99. Average failure flow rates are based on AWWA M36 recommended flow rates and flow rates collected by the research team.</t>
  </si>
  <si>
    <t>Enter the total failures by main size that were detected and repaired through proactive leak detection during the audit period in cells C117 to C136. Next enter the total length of mains for each mains size group in cells D117 to D136  (Note: this information is not required for the real loss component analysis but serves to calculate failure frequencies by mains size). Next enter the average awareness duration for unreported failure events by mains size in cells I117 to I136 (If the entire distribution system is surveyed once a year the average awareness time is 365 days ÷ 2 = 182.5 days, if the system is surveyed twice a year then the average awareness time is 365 days ÷ 4 = 91.25 days and so on). Next enter the average duration of locating and containing unreported failure events by mains size in cells K117 to K136. Next select either the default average leak flow rate provided by the model in cells P117 to P136 or select and enter your own utility specific average leakage flow rates in cells Q117 to R136. Average failure flow rates are based on AWWA M36 recommended flow rates and flow rates collected by the research team.</t>
  </si>
  <si>
    <t>Enter the total number of failures by distribution system appurtenance type that were detected and repaired through proactive leak detection during the audit period in cells C145 to C148. Next enter the total number of system appurtenances for each appurtenance type in cells D145 to D148 (Note: this information is not required for the real loss component analysis but serves to calculate failure frequencies by appurtenance type). Next enter the average awareness duration for unreported failure events by system appurtenance type in cells I145 to I148  (If the entire distribution system is surveyed once a year the average awareness time is 365 days ÷ 2 = 182.5 days, if the system is surveyed twice a year then the average awareness time is 365 days ÷ 4 = 91.25 days and so on). Next enter the average duration of locating and containing unreported failure events by system appurtenance type in cells K145 to K48. Next select either the default average leak flow rate provided by the model in cells P145 to P148 or select and enter your own utility specific average leakage flow rates in cells Q145 to R148. Average failure flow rates are based on AWWA M36 recommended flow rates and flow rates collected by the research team.</t>
  </si>
  <si>
    <t>Enter the total number of failures by service connection size (&lt;1" or &gt;=1") that were detected and repaired through proactive leak detection during the audit period in cells C157 to C158. Next enter the total number of service connections for each service connection size group in cells D157 to D158  (Note: this information is not required for the real loss component analysis but serves to calculate failure frequencies by service connection size group). Next enter the average awareness duration for unreported failure events by  service connection size group in cells I157 to I158 (If the entire distribution system is surveyed once a year the average awareness time is 365 days ÷ 2 = 182.5 days, if the system is surveyed twice a year then the average awareness time is 365 days ÷ 4 = 91.25 days and so on). Next enter the average duration of locating and containing unreported failure events by service connection size group in cells K157 to K158. Next select either the default average leak flow rate provided by the model in cells P157 to P158 or select and enter your own utility specific average leakage flow rates in cells Q157 to R158. Average failure flow rates are based on AWWA M36 recommended flow rates and flow rates collected by the research team.</t>
  </si>
  <si>
    <r>
      <rPr>
        <i/>
        <sz val="12"/>
        <color theme="1"/>
        <rFont val="Swis721 BT"/>
        <scheme val="minor"/>
      </rPr>
      <t>Water Audits and Loss Control Programs; M36</t>
    </r>
    <r>
      <rPr>
        <sz val="12"/>
        <color theme="1"/>
        <rFont val="Swis721 BT"/>
        <family val="2"/>
        <scheme val="minor"/>
      </rPr>
      <t>, (Denver: AWWA, 2009)</t>
    </r>
  </si>
  <si>
    <t>Hidden Losses</t>
  </si>
  <si>
    <r>
      <rPr>
        <b/>
        <sz val="12"/>
        <color theme="1"/>
        <rFont val="Swis721 BT"/>
        <scheme val="minor"/>
      </rPr>
      <t xml:space="preserve">Instructions: </t>
    </r>
    <r>
      <rPr>
        <sz val="12"/>
        <color theme="1"/>
        <rFont val="Swis721 BT"/>
        <family val="2"/>
        <scheme val="minor"/>
      </rPr>
      <t xml:space="preserve">Use this sheet to establish a preliminary schedule for proactive leak detection surveys and the corresponding necessary budget. Once the results from consecutive leak surveys are available, the Rate of Rise of Unreported Leakage should be updated and the proactive leak detection schedule should be refined taking into consideration these findings. 
In order to establish a preliminary schedule for proactive leak detection or to review the currently utilized proactive leak detection schedule enter the cost for undertaking proactive leak detection ($/mile or $/km) in cell D31. Next enter the Average Rate of Rise of Unreported Leakage in cell D34. The Average Rate of Rise of Unreported Leakage is the rate at which leakage increases with time. The rate of rise is not necessarily linear since it can quickly change due to seasonal effects and other system specific impacts. The AWWA M36 Manual recommends assessing The Average Rate of Rise of Unreported Leakage either by comparing water balance results of several consecutive years and calculating the Average Rate of Rise of Unreported Leakage based on the increase in Real Loss volume from year to year (if utility does not employ proactive leak detection), or by analysis of District Metered Area night flow data or repair records of leaks detected through proactive leak detection (if utility employs proactive leakage control). Further details about how to assess the Average Rate of Rise of Unreported Leakage are provided in the AWWA M36 Manual. Note: kgal = 1,000 gallons. 
Please note that the calculations used to determine the Economic Intervention Frequency are not best fit for systems with Infrastructure Leakage Index values that approach 1. For such systems, it is advised to review the Economic Intervention Frequency and associated costs with caution.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</si>
</sst>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0">
    <numFmt numFmtId="6" formatCode="&quot;$&quot;#,##0_);[Red]\(&quot;$&quot;#,##0\)"/>
    <numFmt numFmtId="7" formatCode="&quot;$&quot;#,##0.00_);\(&quot;$&quot;#,##0.00\)"/>
    <numFmt numFmtId="44" formatCode="_(&quot;$&quot;* #,##0.00_);_(&quot;$&quot;* \(#,##0.00\);_(&quot;$&quot;* &quot;-&quot;??_);_(@_)"/>
    <numFmt numFmtId="43" formatCode="_(* #,##0.00_);_(* \(#,##0.00\);_(* &quot;-&quot;??_);_(@_)"/>
    <numFmt numFmtId="164" formatCode="mmmm\ dd\,\ yyyy"/>
    <numFmt numFmtId="165" formatCode="mm/yyyy"/>
    <numFmt numFmtId="166" formatCode="0.000"/>
    <numFmt numFmtId="167" formatCode="0.000000"/>
    <numFmt numFmtId="168" formatCode="_(* #,##0_);_(* \(#,##0\);_(* &quot;-&quot;??_);_(@_)"/>
    <numFmt numFmtId="169" formatCode="&quot;$&quot;#,##0"/>
    <numFmt numFmtId="170" formatCode="0.0"/>
    <numFmt numFmtId="171" formatCode="0.0%"/>
    <numFmt numFmtId="172" formatCode="#,##0.0"/>
    <numFmt numFmtId="173" formatCode="_-* #,##0.00_-;\-* #,##0.00_-;_-* &quot;-&quot;??_-;_-@_-"/>
    <numFmt numFmtId="174" formatCode="_-* #,##0.0000_-;\-* #,##0.0000_-;_-* &quot;-&quot;??_-;_-@_-"/>
    <numFmt numFmtId="175" formatCode="#,##0.00_ ;\-#,##0.00\ "/>
    <numFmt numFmtId="176" formatCode="_-* #,##0.0_-;\-* #,##0.0_-;_-* &quot;-&quot;??_-;_-@_-"/>
    <numFmt numFmtId="177" formatCode="_-* #,##0_-;\-* #,##0_-;_-* &quot;-&quot;??_-;_-@_-"/>
    <numFmt numFmtId="178" formatCode="#,##0.0_ ;\-#,##0.0\ "/>
    <numFmt numFmtId="179" formatCode="_(* #,##0.000_);_(* \(#,##0.000\);_(* &quot;-&quot;??_);_(@_)"/>
    <numFmt numFmtId="180" formatCode="_(* #,##0.0_);_(* \(#,##0.0\);_(* &quot;-&quot;??_);_(@_)"/>
    <numFmt numFmtId="181" formatCode="_(&quot;$&quot;* #,##0_);_(&quot;$&quot;* \(#,##0\);_(&quot;$&quot;* &quot;-&quot;??_);_(@_)"/>
    <numFmt numFmtId="182" formatCode="&quot;$&quot;#,##0.00"/>
    <numFmt numFmtId="183" formatCode="#,###;\-* #,###;_-* &quot;-&quot;??_-;_-@_-"/>
    <numFmt numFmtId="184" formatCode="#,##0.00;\-* #,##0.00;_-* &quot;-&quot;??_-;_-@_-"/>
    <numFmt numFmtId="185" formatCode="#,##0.0;\-* #,##0.0;_-* &quot;-&quot;??_-;_-@_-"/>
    <numFmt numFmtId="186" formatCode="yyyy"/>
    <numFmt numFmtId="187" formatCode="[$-409]mmmm\ d\,\ yyyy;@"/>
    <numFmt numFmtId="188" formatCode="#,##0.000;\-* #,##0.000;_-* &quot;-&quot;??_-;_-@_-"/>
    <numFmt numFmtId="189" formatCode="#,##0.000"/>
  </numFmts>
  <fonts count="81">
    <font>
      <sz val="12"/>
      <color theme="1"/>
      <name val="Swis721 BT"/>
      <family val="2"/>
      <scheme val="minor"/>
    </font>
    <font>
      <sz val="11"/>
      <color theme="1"/>
      <name val="Swis721 BT"/>
      <family val="2"/>
      <scheme val="minor"/>
    </font>
    <font>
      <sz val="11"/>
      <color theme="1"/>
      <name val="Swis721 BT"/>
      <family val="2"/>
      <scheme val="minor"/>
    </font>
    <font>
      <sz val="11"/>
      <color theme="1"/>
      <name val="Swis721 BT"/>
      <family val="2"/>
      <scheme val="minor"/>
    </font>
    <font>
      <sz val="11"/>
      <color theme="1"/>
      <name val="Swis721 BT"/>
      <family val="2"/>
      <scheme val="minor"/>
    </font>
    <font>
      <sz val="8"/>
      <name val="Swis721 BT"/>
      <family val="2"/>
      <scheme val="minor"/>
    </font>
    <font>
      <b/>
      <sz val="12"/>
      <color theme="1"/>
      <name val="Swis721 BT"/>
      <family val="2"/>
      <scheme val="minor"/>
    </font>
    <font>
      <u/>
      <sz val="10"/>
      <color indexed="12"/>
      <name val="Arial"/>
      <family val="2"/>
    </font>
    <font>
      <u/>
      <sz val="12"/>
      <color theme="11"/>
      <name val="Swis721 BT"/>
      <family val="2"/>
      <scheme val="minor"/>
    </font>
    <font>
      <sz val="12"/>
      <color theme="1"/>
      <name val="Swis721 BT"/>
      <family val="2"/>
      <scheme val="minor"/>
    </font>
    <font>
      <sz val="10"/>
      <name val="Arial"/>
      <family val="2"/>
    </font>
    <font>
      <b/>
      <sz val="10"/>
      <name val="Arial"/>
      <family val="2"/>
    </font>
    <font>
      <b/>
      <sz val="12"/>
      <color theme="1"/>
      <name val="Swis721 BT"/>
      <family val="2"/>
    </font>
    <font>
      <sz val="12"/>
      <color theme="1"/>
      <name val="Swis721 BT"/>
      <family val="2"/>
    </font>
    <font>
      <sz val="12"/>
      <color rgb="FFFF0000"/>
      <name val="Swis721 BT"/>
      <family val="2"/>
    </font>
    <font>
      <sz val="10"/>
      <color theme="1"/>
      <name val="Swis721 BT"/>
      <family val="2"/>
    </font>
    <font>
      <sz val="12"/>
      <name val="Swis721 BT"/>
      <family val="2"/>
    </font>
    <font>
      <b/>
      <sz val="12"/>
      <name val="Swis721 BT"/>
      <family val="2"/>
    </font>
    <font>
      <sz val="10"/>
      <name val="Swis721 BT"/>
      <family val="2"/>
    </font>
    <font>
      <b/>
      <sz val="10"/>
      <name val="Swis721 BT"/>
      <family val="2"/>
    </font>
    <font>
      <sz val="10"/>
      <color theme="0" tint="-0.14999847407452621"/>
      <name val="Swis721 BT"/>
      <family val="2"/>
    </font>
    <font>
      <sz val="10"/>
      <color indexed="12"/>
      <name val="Swis721 BT"/>
      <family val="2"/>
    </font>
    <font>
      <sz val="10"/>
      <color indexed="8"/>
      <name val="Swis721 BT"/>
      <family val="2"/>
    </font>
    <font>
      <b/>
      <sz val="10"/>
      <color theme="1"/>
      <name val="Swis721 BT"/>
      <family val="2"/>
    </font>
    <font>
      <sz val="11"/>
      <color theme="1"/>
      <name val="Swis721 BT"/>
      <family val="2"/>
    </font>
    <font>
      <u/>
      <sz val="11"/>
      <color theme="10"/>
      <name val="Swis721 BT"/>
      <family val="2"/>
      <scheme val="minor"/>
    </font>
    <font>
      <u/>
      <sz val="11"/>
      <color theme="11"/>
      <name val="Swis721 BT"/>
      <family val="2"/>
      <scheme val="minor"/>
    </font>
    <font>
      <b/>
      <sz val="11"/>
      <color theme="1"/>
      <name val="Swis721 BT"/>
      <family val="2"/>
    </font>
    <font>
      <b/>
      <i/>
      <sz val="11"/>
      <color theme="1"/>
      <name val="Swis721 BT"/>
      <family val="2"/>
    </font>
    <font>
      <sz val="11"/>
      <color theme="1"/>
      <name val="Swis721 BT"/>
      <family val="2"/>
    </font>
    <font>
      <b/>
      <sz val="10"/>
      <name val="Swis721 BT"/>
      <family val="2"/>
    </font>
    <font>
      <b/>
      <sz val="12"/>
      <color theme="1"/>
      <name val="Swis721 BT"/>
      <family val="2"/>
    </font>
    <font>
      <sz val="10"/>
      <color theme="1"/>
      <name val="Swis721 BT"/>
      <family val="2"/>
    </font>
    <font>
      <sz val="12"/>
      <color rgb="FFFF0000"/>
      <name val="Swis721 BT"/>
      <family val="2"/>
      <scheme val="minor"/>
    </font>
    <font>
      <sz val="12"/>
      <color indexed="8"/>
      <name val="Swis721 BT"/>
      <family val="2"/>
    </font>
    <font>
      <b/>
      <sz val="12"/>
      <name val="Swis721 BT"/>
      <family val="2"/>
    </font>
    <font>
      <b/>
      <sz val="12"/>
      <color indexed="9"/>
      <name val="Swis721 BT"/>
      <family val="2"/>
    </font>
    <font>
      <u/>
      <sz val="12"/>
      <color indexed="12"/>
      <name val="Swis721 BT"/>
      <family val="2"/>
    </font>
    <font>
      <b/>
      <sz val="12"/>
      <color indexed="12"/>
      <name val="Swis721 BT"/>
      <family val="2"/>
    </font>
    <font>
      <sz val="12"/>
      <color indexed="12"/>
      <name val="Swis721 BT"/>
      <family val="2"/>
    </font>
    <font>
      <u/>
      <sz val="12"/>
      <name val="Swis721 BT"/>
      <family val="2"/>
    </font>
    <font>
      <b/>
      <u/>
      <sz val="12"/>
      <name val="Swis721 BT"/>
      <family val="2"/>
    </font>
    <font>
      <sz val="12"/>
      <color theme="1"/>
      <name val="Swis721 BT"/>
      <family val="2"/>
    </font>
    <font>
      <sz val="12"/>
      <name val="Swis721 BT"/>
      <family val="2"/>
      <scheme val="minor"/>
    </font>
    <font>
      <b/>
      <sz val="12"/>
      <name val="Swis721 BT"/>
      <family val="2"/>
      <scheme val="minor"/>
    </font>
    <font>
      <b/>
      <u/>
      <sz val="12"/>
      <name val="Swis721 BT"/>
      <family val="2"/>
      <scheme val="minor"/>
    </font>
    <font>
      <b/>
      <sz val="14"/>
      <color theme="1"/>
      <name val="Arial"/>
      <family val="2"/>
    </font>
    <font>
      <b/>
      <sz val="10"/>
      <color theme="1"/>
      <name val="Arial"/>
      <family val="2"/>
    </font>
    <font>
      <b/>
      <sz val="12"/>
      <color theme="0"/>
      <name val="Swis721 BT"/>
      <family val="2"/>
    </font>
    <font>
      <sz val="12"/>
      <color theme="0"/>
      <name val="Swis721 BT"/>
      <family val="2"/>
    </font>
    <font>
      <sz val="12"/>
      <color theme="0" tint="-0.14999847407452621"/>
      <name val="Swis721 BT"/>
      <family val="2"/>
    </font>
    <font>
      <b/>
      <sz val="10"/>
      <color theme="0" tint="-0.14999847407452621"/>
      <name val="Swis721 BT"/>
      <family val="2"/>
    </font>
    <font>
      <sz val="12"/>
      <color theme="0" tint="-0.14999847407452621"/>
      <name val="Swis721 BT"/>
      <family val="2"/>
      <scheme val="minor"/>
    </font>
    <font>
      <b/>
      <sz val="12"/>
      <color theme="0" tint="-0.14999847407452621"/>
      <name val="Swis721 BT"/>
      <family val="2"/>
    </font>
    <font>
      <sz val="10"/>
      <name val="Swis721 BT"/>
      <family val="2"/>
      <scheme val="minor"/>
    </font>
    <font>
      <b/>
      <sz val="10"/>
      <name val="Swis721 BT"/>
      <family val="2"/>
      <scheme val="minor"/>
    </font>
    <font>
      <i/>
      <sz val="10"/>
      <name val="Swis721 BT"/>
      <family val="2"/>
    </font>
    <font>
      <sz val="10"/>
      <color rgb="FFFF0000"/>
      <name val="Swis721 BT"/>
      <family val="2"/>
    </font>
    <font>
      <sz val="11.5"/>
      <name val="Swis721 BT"/>
      <family val="2"/>
    </font>
    <font>
      <sz val="11"/>
      <color rgb="FF006100"/>
      <name val="Swis721 BT"/>
      <family val="2"/>
      <scheme val="minor"/>
    </font>
    <font>
      <b/>
      <sz val="14"/>
      <color rgb="FF006100"/>
      <name val="Swis721 BT"/>
      <family val="2"/>
      <scheme val="minor"/>
    </font>
    <font>
      <sz val="11"/>
      <name val="Swis721 BT"/>
      <family val="2"/>
      <scheme val="minor"/>
    </font>
    <font>
      <b/>
      <sz val="11"/>
      <color rgb="FF006100"/>
      <name val="Swis721 BT"/>
      <family val="2"/>
      <scheme val="minor"/>
    </font>
    <font>
      <sz val="10"/>
      <color theme="1"/>
      <name val="Swis721 BT"/>
      <family val="2"/>
      <scheme val="minor"/>
    </font>
    <font>
      <b/>
      <i/>
      <sz val="12"/>
      <name val="Swis721 BT"/>
      <family val="2"/>
    </font>
    <font>
      <b/>
      <i/>
      <sz val="12"/>
      <name val="Swis721 BT"/>
      <family val="2"/>
      <scheme val="minor"/>
    </font>
    <font>
      <b/>
      <sz val="11"/>
      <name val="Swis721 BT"/>
      <family val="2"/>
    </font>
    <font>
      <i/>
      <sz val="12"/>
      <color theme="1"/>
      <name val="Swis721 BT"/>
      <family val="2"/>
      <scheme val="minor"/>
    </font>
    <font>
      <b/>
      <sz val="12"/>
      <color rgb="FF006100"/>
      <name val="Swis721 BT"/>
      <family val="2"/>
      <scheme val="minor"/>
    </font>
    <font>
      <i/>
      <sz val="12"/>
      <name val="Swis721 BT"/>
      <family val="2"/>
    </font>
    <font>
      <b/>
      <sz val="11"/>
      <color theme="1"/>
      <name val="Swis721 BT"/>
      <family val="2"/>
      <scheme val="minor"/>
    </font>
    <font>
      <sz val="11"/>
      <color theme="0"/>
      <name val="Swis721 BT"/>
      <family val="2"/>
      <scheme val="minor"/>
    </font>
    <font>
      <b/>
      <sz val="11"/>
      <name val="Swis721 BT"/>
      <family val="2"/>
      <scheme val="minor"/>
    </font>
    <font>
      <b/>
      <u/>
      <sz val="11"/>
      <color theme="1"/>
      <name val="Swis721 BT"/>
      <family val="2"/>
      <scheme val="minor"/>
    </font>
    <font>
      <b/>
      <sz val="12"/>
      <color theme="1"/>
      <name val="Swis721 BT"/>
    </font>
    <font>
      <sz val="8"/>
      <color rgb="FF000000"/>
      <name val="Tahoma"/>
      <family val="2"/>
    </font>
    <font>
      <i/>
      <sz val="12"/>
      <color theme="1"/>
      <name val="Swis721 BT"/>
    </font>
    <font>
      <b/>
      <i/>
      <sz val="12"/>
      <color theme="1"/>
      <name val="Swis721 BT"/>
    </font>
    <font>
      <i/>
      <sz val="12"/>
      <color theme="1"/>
      <name val="Swis721 BT"/>
      <scheme val="minor"/>
    </font>
    <font>
      <sz val="12"/>
      <color theme="1"/>
      <name val="Swis721 BT"/>
      <scheme val="minor"/>
    </font>
    <font>
      <b/>
      <sz val="12"/>
      <color theme="1"/>
      <name val="Swis721 BT"/>
      <scheme val="minor"/>
    </font>
  </fonts>
  <fills count="18">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indexed="42"/>
        <bgColor indexed="64"/>
      </patternFill>
    </fill>
    <fill>
      <patternFill patternType="solid">
        <fgColor indexed="43"/>
        <bgColor indexed="64"/>
      </patternFill>
    </fill>
    <fill>
      <patternFill patternType="solid">
        <fgColor indexed="47"/>
        <bgColor indexed="64"/>
      </patternFill>
    </fill>
    <fill>
      <patternFill patternType="solid">
        <fgColor theme="0" tint="-0.14999847407452621"/>
        <bgColor indexed="64"/>
      </patternFill>
    </fill>
    <fill>
      <patternFill patternType="solid">
        <fgColor rgb="FFC6EFCE"/>
      </patternFill>
    </fill>
    <fill>
      <patternFill patternType="solid">
        <fgColor theme="4" tint="0.39997558519241921"/>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7" tint="0.59999389629810485"/>
        <bgColor indexed="65"/>
      </patternFill>
    </fill>
  </fills>
  <borders count="71">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bottom style="thin">
        <color auto="1"/>
      </bottom>
      <diagonal/>
    </border>
    <border>
      <left/>
      <right style="medium">
        <color indexed="64"/>
      </right>
      <top/>
      <bottom style="thin">
        <color auto="1"/>
      </bottom>
      <diagonal/>
    </border>
    <border>
      <left style="medium">
        <color indexed="64"/>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thin">
        <color auto="1"/>
      </right>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bottom/>
      <diagonal/>
    </border>
    <border>
      <left style="thin">
        <color auto="1"/>
      </left>
      <right style="medium">
        <color indexed="64"/>
      </right>
      <top/>
      <bottom/>
      <diagonal/>
    </border>
    <border>
      <left style="thin">
        <color auto="1"/>
      </left>
      <right style="medium">
        <color indexed="64"/>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diagonal/>
    </border>
    <border>
      <left style="thin">
        <color auto="1"/>
      </left>
      <right/>
      <top style="medium">
        <color indexed="64"/>
      </top>
      <bottom style="thin">
        <color auto="1"/>
      </bottom>
      <diagonal/>
    </border>
    <border>
      <left style="thin">
        <color auto="1"/>
      </left>
      <right/>
      <top style="thin">
        <color auto="1"/>
      </top>
      <bottom style="medium">
        <color indexed="64"/>
      </bottom>
      <diagonal/>
    </border>
    <border>
      <left style="thin">
        <color auto="1"/>
      </left>
      <right style="medium">
        <color indexed="64"/>
      </right>
      <top/>
      <bottom style="thin">
        <color auto="1"/>
      </bottom>
      <diagonal/>
    </border>
    <border>
      <left style="thin">
        <color auto="1"/>
      </left>
      <right/>
      <top style="medium">
        <color indexed="64"/>
      </top>
      <bottom/>
      <diagonal/>
    </border>
    <border>
      <left style="thin">
        <color auto="1"/>
      </left>
      <right/>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auto="1"/>
      </left>
      <right style="medium">
        <color indexed="64"/>
      </right>
      <top style="medium">
        <color indexed="64"/>
      </top>
      <bottom style="medium">
        <color indexed="64"/>
      </bottom>
      <diagonal/>
    </border>
    <border>
      <left style="thin">
        <color auto="1"/>
      </left>
      <right style="medium">
        <color indexed="64"/>
      </right>
      <top/>
      <bottom style="medium">
        <color indexed="64"/>
      </bottom>
      <diagonal/>
    </border>
    <border>
      <left style="thin">
        <color indexed="64"/>
      </left>
      <right style="thin">
        <color auto="1"/>
      </right>
      <top style="medium">
        <color indexed="64"/>
      </top>
      <bottom style="medium">
        <color indexed="64"/>
      </bottom>
      <diagonal/>
    </border>
    <border>
      <left/>
      <right style="thin">
        <color auto="1"/>
      </right>
      <top style="thin">
        <color auto="1"/>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s>
  <cellStyleXfs count="70">
    <xf numFmtId="0" fontId="0" fillId="0" borderId="0"/>
    <xf numFmtId="0" fontId="7" fillId="0" borderId="0" applyNumberFormat="0" applyFill="0" applyBorder="0" applyAlignment="0" applyProtection="0">
      <alignment vertical="top"/>
      <protection locked="0"/>
    </xf>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43" fontId="9" fillId="0" borderId="0" applyFont="0" applyFill="0" applyBorder="0" applyAlignment="0" applyProtection="0"/>
    <xf numFmtId="0" fontId="10" fillId="0" borderId="0"/>
    <xf numFmtId="43" fontId="10" fillId="0" borderId="0" applyFont="0" applyFill="0" applyBorder="0" applyAlignment="0" applyProtection="0"/>
    <xf numFmtId="164" fontId="10" fillId="0" borderId="0" applyFont="0" applyFill="0" applyBorder="0" applyAlignment="0" applyProtection="0"/>
    <xf numFmtId="9" fontId="10"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9" fontId="9" fillId="0" borderId="0" applyFont="0" applyFill="0" applyBorder="0" applyAlignment="0" applyProtection="0"/>
    <xf numFmtId="0" fontId="3" fillId="0" borderId="0"/>
    <xf numFmtId="44" fontId="10" fillId="0" borderId="0" applyFon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44" fontId="9"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0" borderId="0"/>
    <xf numFmtId="0" fontId="25" fillId="0" borderId="0" applyNumberFormat="0" applyFill="0" applyBorder="0" applyAlignment="0" applyProtection="0"/>
    <xf numFmtId="0" fontId="25" fillId="0" borderId="0" applyNumberFormat="0" applyFill="0" applyBorder="0" applyAlignment="0" applyProtection="0"/>
    <xf numFmtId="0" fontId="59" fillId="13" borderId="0" applyNumberFormat="0" applyBorder="0" applyAlignment="0" applyProtection="0"/>
    <xf numFmtId="0" fontId="71" fillId="14" borderId="0" applyNumberFormat="0" applyBorder="0" applyAlignment="0" applyProtection="0"/>
    <xf numFmtId="0" fontId="1" fillId="15" borderId="0" applyNumberFormat="0" applyBorder="0" applyAlignment="0" applyProtection="0"/>
    <xf numFmtId="0" fontId="71" fillId="16" borderId="0" applyNumberFormat="0" applyBorder="0" applyAlignment="0" applyProtection="0"/>
    <xf numFmtId="0" fontId="1" fillId="17" borderId="0" applyNumberFormat="0" applyBorder="0" applyAlignment="0" applyProtection="0"/>
  </cellStyleXfs>
  <cellXfs count="1291">
    <xf numFmtId="0" fontId="0" fillId="0" borderId="0" xfId="0"/>
    <xf numFmtId="0" fontId="13" fillId="0" borderId="0" xfId="0" applyFont="1"/>
    <xf numFmtId="0" fontId="10" fillId="11" borderId="0" xfId="19" applyFont="1" applyFill="1" applyProtection="1">
      <protection locked="0"/>
    </xf>
    <xf numFmtId="0" fontId="10" fillId="11" borderId="0" xfId="19" applyFont="1" applyFill="1" applyAlignment="1" applyProtection="1">
      <alignment wrapText="1"/>
      <protection locked="0"/>
    </xf>
    <xf numFmtId="0" fontId="12" fillId="2" borderId="17" xfId="0" applyFont="1" applyFill="1" applyBorder="1"/>
    <xf numFmtId="0" fontId="13" fillId="2" borderId="17" xfId="0" applyFont="1" applyFill="1" applyBorder="1"/>
    <xf numFmtId="0" fontId="12" fillId="2" borderId="0" xfId="0" applyFont="1" applyFill="1" applyBorder="1"/>
    <xf numFmtId="0" fontId="13" fillId="2" borderId="0" xfId="0" applyFont="1" applyFill="1" applyBorder="1"/>
    <xf numFmtId="0" fontId="13" fillId="2" borderId="0" xfId="0" applyFont="1" applyFill="1"/>
    <xf numFmtId="0" fontId="13" fillId="2" borderId="16" xfId="0" applyFont="1" applyFill="1" applyBorder="1"/>
    <xf numFmtId="0" fontId="13" fillId="2" borderId="18" xfId="0" applyFont="1" applyFill="1" applyBorder="1"/>
    <xf numFmtId="0" fontId="13" fillId="2" borderId="19" xfId="0" applyFont="1" applyFill="1" applyBorder="1"/>
    <xf numFmtId="0" fontId="13" fillId="2" borderId="20" xfId="0" applyFont="1" applyFill="1" applyBorder="1"/>
    <xf numFmtId="49" fontId="13" fillId="2" borderId="0" xfId="0" applyNumberFormat="1" applyFont="1" applyFill="1" applyBorder="1"/>
    <xf numFmtId="0" fontId="13" fillId="2" borderId="0" xfId="0" applyFont="1" applyFill="1" applyBorder="1" applyAlignment="1">
      <alignment horizontal="right" wrapText="1"/>
    </xf>
    <xf numFmtId="0" fontId="13" fillId="2" borderId="0" xfId="0" applyNumberFormat="1" applyFont="1" applyFill="1" applyBorder="1"/>
    <xf numFmtId="0" fontId="13" fillId="0" borderId="0" xfId="0" applyNumberFormat="1" applyFont="1"/>
    <xf numFmtId="0" fontId="13" fillId="2" borderId="21" xfId="0" applyFont="1" applyFill="1" applyBorder="1"/>
    <xf numFmtId="0" fontId="13" fillId="2" borderId="22" xfId="0" applyFont="1" applyFill="1" applyBorder="1"/>
    <xf numFmtId="0" fontId="13" fillId="2" borderId="23" xfId="0" applyFont="1" applyFill="1" applyBorder="1"/>
    <xf numFmtId="0" fontId="13" fillId="0" borderId="0" xfId="0" applyFont="1" applyAlignment="1">
      <alignment horizontal="right" wrapText="1"/>
    </xf>
    <xf numFmtId="1" fontId="13" fillId="2" borderId="0" xfId="0" applyNumberFormat="1" applyFont="1" applyFill="1" applyBorder="1" applyAlignment="1">
      <alignment horizontal="right" wrapText="1"/>
    </xf>
    <xf numFmtId="0" fontId="12" fillId="2" borderId="24" xfId="0" applyNumberFormat="1" applyFont="1" applyFill="1" applyBorder="1" applyAlignment="1">
      <alignment horizontal="center"/>
    </xf>
    <xf numFmtId="0" fontId="13" fillId="2" borderId="27" xfId="0" applyNumberFormat="1" applyFont="1" applyFill="1" applyBorder="1"/>
    <xf numFmtId="0" fontId="13" fillId="2" borderId="29" xfId="0" applyNumberFormat="1" applyFont="1" applyFill="1" applyBorder="1"/>
    <xf numFmtId="0" fontId="18" fillId="6" borderId="0" xfId="15" applyFont="1" applyFill="1" applyAlignment="1" applyProtection="1">
      <alignment vertical="center"/>
      <protection hidden="1"/>
    </xf>
    <xf numFmtId="0" fontId="18" fillId="2" borderId="0" xfId="15" applyFont="1" applyFill="1" applyBorder="1" applyAlignment="1" applyProtection="1">
      <alignment vertical="center"/>
      <protection hidden="1"/>
    </xf>
    <xf numFmtId="0" fontId="18" fillId="5" borderId="15" xfId="15" applyFont="1" applyFill="1" applyBorder="1" applyAlignment="1" applyProtection="1">
      <alignment horizontal="center" vertical="center" wrapText="1"/>
      <protection hidden="1"/>
    </xf>
    <xf numFmtId="0" fontId="18" fillId="2" borderId="4" xfId="15" applyFont="1" applyFill="1" applyBorder="1" applyAlignment="1" applyProtection="1">
      <alignment vertical="center"/>
      <protection hidden="1"/>
    </xf>
    <xf numFmtId="0" fontId="18" fillId="5" borderId="0" xfId="15" applyFont="1" applyFill="1" applyBorder="1" applyAlignment="1" applyProtection="1">
      <alignment vertical="center"/>
      <protection hidden="1"/>
    </xf>
    <xf numFmtId="0" fontId="18" fillId="5" borderId="13" xfId="15" applyFont="1" applyFill="1" applyBorder="1" applyAlignment="1" applyProtection="1">
      <alignment vertical="center" wrapText="1"/>
      <protection hidden="1"/>
    </xf>
    <xf numFmtId="0" fontId="19" fillId="5" borderId="0" xfId="15" applyFont="1" applyFill="1" applyBorder="1" applyAlignment="1" applyProtection="1">
      <alignment horizontal="right" vertical="center"/>
      <protection hidden="1"/>
    </xf>
    <xf numFmtId="0" fontId="18" fillId="0" borderId="4" xfId="15" applyFont="1" applyFill="1" applyBorder="1" applyAlignment="1" applyProtection="1">
      <alignment vertical="center"/>
      <protection hidden="1"/>
    </xf>
    <xf numFmtId="177" fontId="18" fillId="5" borderId="6" xfId="17" applyNumberFormat="1" applyFont="1" applyFill="1" applyBorder="1" applyAlignment="1" applyProtection="1">
      <alignment horizontal="center" vertical="center"/>
      <protection hidden="1"/>
    </xf>
    <xf numFmtId="173" fontId="18" fillId="5" borderId="6" xfId="17" applyNumberFormat="1" applyFont="1" applyFill="1" applyBorder="1" applyAlignment="1" applyProtection="1">
      <alignment horizontal="center" vertical="center"/>
      <protection hidden="1"/>
    </xf>
    <xf numFmtId="173" fontId="18" fillId="5" borderId="0" xfId="17" applyNumberFormat="1" applyFont="1" applyFill="1" applyBorder="1" applyAlignment="1" applyProtection="1">
      <alignment vertical="center"/>
      <protection hidden="1"/>
    </xf>
    <xf numFmtId="173" fontId="18" fillId="5" borderId="6" xfId="17" applyNumberFormat="1" applyFont="1" applyFill="1" applyBorder="1" applyAlignment="1" applyProtection="1">
      <alignment vertical="center"/>
      <protection hidden="1"/>
    </xf>
    <xf numFmtId="176" fontId="18" fillId="5" borderId="0" xfId="17" applyNumberFormat="1" applyFont="1" applyFill="1" applyBorder="1" applyAlignment="1" applyProtection="1">
      <alignment vertical="center"/>
      <protection hidden="1"/>
    </xf>
    <xf numFmtId="175" fontId="18" fillId="5" borderId="6" xfId="17" applyNumberFormat="1" applyFont="1" applyFill="1" applyBorder="1" applyAlignment="1" applyProtection="1">
      <alignment horizontal="center" vertical="center"/>
      <protection hidden="1"/>
    </xf>
    <xf numFmtId="0" fontId="18" fillId="5" borderId="6" xfId="15" applyFont="1" applyFill="1" applyBorder="1" applyAlignment="1" applyProtection="1">
      <alignment vertical="center"/>
      <protection hidden="1"/>
    </xf>
    <xf numFmtId="177" fontId="18" fillId="5" borderId="2" xfId="17" applyNumberFormat="1" applyFont="1" applyFill="1" applyBorder="1" applyAlignment="1" applyProtection="1">
      <alignment horizontal="center" vertical="center"/>
      <protection hidden="1"/>
    </xf>
    <xf numFmtId="173" fontId="18" fillId="5" borderId="2" xfId="17" applyNumberFormat="1" applyFont="1" applyFill="1" applyBorder="1" applyAlignment="1" applyProtection="1">
      <alignment horizontal="center" vertical="center"/>
      <protection hidden="1"/>
    </xf>
    <xf numFmtId="173" fontId="18" fillId="5" borderId="2" xfId="17" applyNumberFormat="1" applyFont="1" applyFill="1" applyBorder="1" applyAlignment="1" applyProtection="1">
      <alignment vertical="center"/>
      <protection hidden="1"/>
    </xf>
    <xf numFmtId="176" fontId="18" fillId="5" borderId="2" xfId="17" applyNumberFormat="1" applyFont="1" applyFill="1" applyBorder="1" applyAlignment="1" applyProtection="1">
      <alignment vertical="center"/>
      <protection hidden="1"/>
    </xf>
    <xf numFmtId="175" fontId="18" fillId="5" borderId="2" xfId="17" applyNumberFormat="1" applyFont="1" applyFill="1" applyBorder="1" applyAlignment="1" applyProtection="1">
      <alignment horizontal="center" vertical="center"/>
      <protection hidden="1"/>
    </xf>
    <xf numFmtId="0" fontId="18" fillId="5" borderId="2" xfId="15" applyFont="1" applyFill="1" applyBorder="1" applyAlignment="1" applyProtection="1">
      <alignment vertical="center"/>
      <protection hidden="1"/>
    </xf>
    <xf numFmtId="0" fontId="18" fillId="6" borderId="0" xfId="15" applyFont="1" applyFill="1" applyAlignment="1" applyProtection="1">
      <alignment horizontal="left" vertical="center"/>
      <protection hidden="1"/>
    </xf>
    <xf numFmtId="0" fontId="13" fillId="7" borderId="0" xfId="0" applyFont="1" applyFill="1"/>
    <xf numFmtId="0" fontId="18" fillId="2" borderId="17" xfId="15" applyFont="1" applyFill="1" applyBorder="1" applyAlignment="1" applyProtection="1">
      <alignment vertical="center"/>
      <protection hidden="1"/>
    </xf>
    <xf numFmtId="0" fontId="18" fillId="2" borderId="18" xfId="15" applyFont="1" applyFill="1" applyBorder="1" applyAlignment="1" applyProtection="1">
      <alignment vertical="center"/>
      <protection hidden="1"/>
    </xf>
    <xf numFmtId="0" fontId="18" fillId="2" borderId="19" xfId="15" applyFont="1" applyFill="1" applyBorder="1" applyAlignment="1" applyProtection="1">
      <alignment horizontal="left" vertical="center"/>
      <protection hidden="1"/>
    </xf>
    <xf numFmtId="0" fontId="18" fillId="2" borderId="20" xfId="15" applyFont="1" applyFill="1" applyBorder="1" applyAlignment="1" applyProtection="1">
      <alignment vertical="center"/>
      <protection hidden="1"/>
    </xf>
    <xf numFmtId="0" fontId="19" fillId="2" borderId="21" xfId="15" applyFont="1" applyFill="1" applyBorder="1" applyAlignment="1" applyProtection="1">
      <alignment vertical="center"/>
      <protection hidden="1"/>
    </xf>
    <xf numFmtId="0" fontId="18" fillId="2" borderId="22" xfId="15" applyFont="1" applyFill="1" applyBorder="1" applyAlignment="1" applyProtection="1">
      <alignment vertical="center"/>
      <protection hidden="1"/>
    </xf>
    <xf numFmtId="0" fontId="18" fillId="2" borderId="22" xfId="15" applyFont="1" applyFill="1" applyBorder="1" applyAlignment="1" applyProtection="1">
      <alignment horizontal="center" vertical="center"/>
      <protection hidden="1"/>
    </xf>
    <xf numFmtId="0" fontId="18" fillId="2" borderId="23" xfId="15" applyFont="1" applyFill="1" applyBorder="1" applyAlignment="1" applyProtection="1">
      <alignment vertical="center"/>
      <protection hidden="1"/>
    </xf>
    <xf numFmtId="0" fontId="18" fillId="2" borderId="16" xfId="15" applyFont="1" applyFill="1" applyBorder="1" applyAlignment="1" applyProtection="1">
      <alignment horizontal="left" vertical="center"/>
      <protection hidden="1"/>
    </xf>
    <xf numFmtId="0" fontId="18" fillId="2" borderId="21" xfId="15" applyFont="1" applyFill="1" applyBorder="1" applyAlignment="1" applyProtection="1">
      <alignment horizontal="left" vertical="center"/>
      <protection hidden="1"/>
    </xf>
    <xf numFmtId="0" fontId="18" fillId="5" borderId="19" xfId="15" applyFont="1" applyFill="1" applyBorder="1" applyAlignment="1" applyProtection="1">
      <alignment vertical="center"/>
      <protection hidden="1"/>
    </xf>
    <xf numFmtId="0" fontId="18" fillId="5" borderId="21" xfId="15" applyFont="1" applyFill="1" applyBorder="1" applyAlignment="1" applyProtection="1">
      <alignment vertical="center"/>
      <protection hidden="1"/>
    </xf>
    <xf numFmtId="0" fontId="18" fillId="5" borderId="22" xfId="15" applyFont="1" applyFill="1" applyBorder="1" applyAlignment="1" applyProtection="1">
      <alignment vertical="center"/>
      <protection hidden="1"/>
    </xf>
    <xf numFmtId="0" fontId="18" fillId="0" borderId="41" xfId="15" applyFont="1" applyBorder="1" applyAlignment="1" applyProtection="1">
      <alignment horizontal="center" vertical="center" wrapText="1"/>
      <protection hidden="1"/>
    </xf>
    <xf numFmtId="0" fontId="18" fillId="2" borderId="28" xfId="15" applyFont="1" applyFill="1" applyBorder="1" applyAlignment="1" applyProtection="1">
      <alignment horizontal="center" vertical="center" wrapText="1"/>
      <protection hidden="1"/>
    </xf>
    <xf numFmtId="0" fontId="18" fillId="2" borderId="44" xfId="15" applyFont="1" applyFill="1" applyBorder="1" applyAlignment="1" applyProtection="1">
      <alignment vertical="center"/>
      <protection hidden="1"/>
    </xf>
    <xf numFmtId="0" fontId="19" fillId="5" borderId="45" xfId="15" applyFont="1" applyFill="1" applyBorder="1" applyAlignment="1" applyProtection="1">
      <alignment horizontal="left" vertical="center"/>
      <protection hidden="1"/>
    </xf>
    <xf numFmtId="0" fontId="19" fillId="5" borderId="46" xfId="15" applyFont="1" applyFill="1" applyBorder="1" applyAlignment="1" applyProtection="1">
      <alignment vertical="center"/>
      <protection hidden="1"/>
    </xf>
    <xf numFmtId="0" fontId="18" fillId="2" borderId="34" xfId="15" applyFont="1" applyFill="1" applyBorder="1" applyAlignment="1" applyProtection="1">
      <alignment horizontal="left" vertical="center"/>
      <protection hidden="1"/>
    </xf>
    <xf numFmtId="177" fontId="18" fillId="2" borderId="2" xfId="17" applyNumberFormat="1" applyFont="1" applyFill="1" applyBorder="1" applyAlignment="1" applyProtection="1">
      <alignment horizontal="center" vertical="center"/>
      <protection hidden="1"/>
    </xf>
    <xf numFmtId="173" fontId="18" fillId="2" borderId="2" xfId="17" applyNumberFormat="1" applyFont="1" applyFill="1" applyBorder="1" applyAlignment="1" applyProtection="1">
      <alignment horizontal="center" vertical="center"/>
      <protection hidden="1"/>
    </xf>
    <xf numFmtId="173" fontId="18" fillId="2" borderId="2" xfId="17" applyNumberFormat="1" applyFont="1" applyFill="1" applyBorder="1" applyAlignment="1" applyProtection="1">
      <alignment vertical="center"/>
      <protection hidden="1"/>
    </xf>
    <xf numFmtId="176" fontId="18" fillId="2" borderId="2" xfId="17" applyNumberFormat="1" applyFont="1" applyFill="1" applyBorder="1" applyAlignment="1" applyProtection="1">
      <alignment vertical="center"/>
      <protection hidden="1"/>
    </xf>
    <xf numFmtId="175" fontId="18" fillId="2" borderId="2" xfId="17" applyNumberFormat="1" applyFont="1" applyFill="1" applyBorder="1" applyAlignment="1" applyProtection="1">
      <alignment horizontal="center" vertical="center"/>
      <protection hidden="1"/>
    </xf>
    <xf numFmtId="0" fontId="19" fillId="2" borderId="2" xfId="15" applyFont="1" applyFill="1" applyBorder="1" applyAlignment="1" applyProtection="1">
      <alignment horizontal="right" vertical="center"/>
      <protection hidden="1"/>
    </xf>
    <xf numFmtId="0" fontId="19" fillId="2" borderId="46" xfId="15" applyFont="1" applyFill="1" applyBorder="1" applyAlignment="1" applyProtection="1">
      <alignment vertical="center"/>
      <protection hidden="1"/>
    </xf>
    <xf numFmtId="0" fontId="19" fillId="2" borderId="45" xfId="15" applyFont="1" applyFill="1" applyBorder="1" applyAlignment="1" applyProtection="1">
      <alignment horizontal="right" vertical="center"/>
      <protection hidden="1"/>
    </xf>
    <xf numFmtId="0" fontId="19" fillId="2" borderId="22" xfId="15" applyFont="1" applyFill="1" applyBorder="1" applyAlignment="1" applyProtection="1">
      <alignment vertical="center"/>
      <protection hidden="1"/>
    </xf>
    <xf numFmtId="0" fontId="19" fillId="2" borderId="23" xfId="15" applyFont="1" applyFill="1" applyBorder="1" applyAlignment="1" applyProtection="1">
      <alignment vertical="center"/>
      <protection hidden="1"/>
    </xf>
    <xf numFmtId="0" fontId="18" fillId="2" borderId="16" xfId="15" applyFont="1" applyFill="1" applyBorder="1" applyAlignment="1" applyProtection="1">
      <alignment vertical="center"/>
      <protection hidden="1"/>
    </xf>
    <xf numFmtId="0" fontId="18" fillId="2" borderId="19" xfId="15" applyFont="1" applyFill="1" applyBorder="1" applyAlignment="1" applyProtection="1">
      <alignment vertical="center"/>
      <protection hidden="1"/>
    </xf>
    <xf numFmtId="0" fontId="13" fillId="7" borderId="0" xfId="0" applyNumberFormat="1" applyFont="1" applyFill="1"/>
    <xf numFmtId="0" fontId="13" fillId="7" borderId="0" xfId="0" applyFont="1" applyFill="1" applyAlignment="1">
      <alignment horizontal="right" wrapText="1"/>
    </xf>
    <xf numFmtId="0" fontId="13" fillId="2" borderId="47" xfId="0" applyFont="1" applyFill="1" applyBorder="1"/>
    <xf numFmtId="0" fontId="13" fillId="2" borderId="48" xfId="0" applyFont="1" applyFill="1" applyBorder="1"/>
    <xf numFmtId="0" fontId="13" fillId="2" borderId="0" xfId="0" applyNumberFormat="1" applyFont="1" applyFill="1" applyBorder="1" applyAlignment="1">
      <alignment horizontal="right" wrapText="1"/>
    </xf>
    <xf numFmtId="0" fontId="12" fillId="2" borderId="22" xfId="0" applyFont="1" applyFill="1" applyBorder="1"/>
    <xf numFmtId="0" fontId="12" fillId="2" borderId="21" xfId="0" applyFont="1" applyFill="1" applyBorder="1"/>
    <xf numFmtId="0" fontId="16" fillId="2" borderId="19" xfId="15" applyFont="1" applyFill="1" applyBorder="1" applyAlignment="1" applyProtection="1">
      <alignment horizontal="left" vertical="center"/>
      <protection hidden="1"/>
    </xf>
    <xf numFmtId="0" fontId="16" fillId="2" borderId="0" xfId="15" applyFont="1" applyFill="1" applyBorder="1" applyAlignment="1" applyProtection="1">
      <alignment vertical="center"/>
      <protection hidden="1"/>
    </xf>
    <xf numFmtId="0" fontId="17" fillId="2" borderId="21" xfId="15" applyFont="1" applyFill="1" applyBorder="1" applyAlignment="1" applyProtection="1">
      <alignment vertical="center"/>
      <protection hidden="1"/>
    </xf>
    <xf numFmtId="0" fontId="16" fillId="2" borderId="22" xfId="15" applyFont="1" applyFill="1" applyBorder="1" applyAlignment="1" applyProtection="1">
      <alignment vertical="center"/>
      <protection hidden="1"/>
    </xf>
    <xf numFmtId="0" fontId="16" fillId="2" borderId="22" xfId="15" applyFont="1" applyFill="1" applyBorder="1" applyAlignment="1" applyProtection="1">
      <alignment horizontal="center" vertical="center"/>
      <protection hidden="1"/>
    </xf>
    <xf numFmtId="0" fontId="13" fillId="2" borderId="49" xfId="0" applyFont="1" applyFill="1" applyBorder="1"/>
    <xf numFmtId="0" fontId="13" fillId="7" borderId="0" xfId="0" applyFont="1" applyFill="1" applyBorder="1"/>
    <xf numFmtId="0" fontId="13" fillId="2" borderId="0" xfId="0" applyFont="1" applyFill="1" applyBorder="1" applyAlignment="1">
      <alignment vertical="top" wrapText="1"/>
    </xf>
    <xf numFmtId="0" fontId="13" fillId="2" borderId="20" xfId="0" applyFont="1" applyFill="1" applyBorder="1" applyAlignment="1">
      <alignment vertical="top" wrapText="1"/>
    </xf>
    <xf numFmtId="0" fontId="13" fillId="7" borderId="0" xfId="0" applyFont="1" applyFill="1" applyAlignment="1">
      <alignment vertical="top" wrapText="1"/>
    </xf>
    <xf numFmtId="0" fontId="13" fillId="7" borderId="0" xfId="0" applyFont="1" applyFill="1" applyBorder="1" applyAlignment="1" applyProtection="1">
      <alignment wrapText="1"/>
    </xf>
    <xf numFmtId="0" fontId="13" fillId="7" borderId="0" xfId="0" applyFont="1" applyFill="1" applyBorder="1" applyAlignment="1" applyProtection="1"/>
    <xf numFmtId="0" fontId="13" fillId="7" borderId="0" xfId="0" applyFont="1" applyFill="1" applyBorder="1" applyAlignment="1" applyProtection="1">
      <alignment wrapText="1"/>
      <protection locked="0"/>
    </xf>
    <xf numFmtId="0" fontId="13" fillId="7" borderId="0" xfId="0" applyFont="1" applyFill="1" applyBorder="1" applyAlignment="1" applyProtection="1">
      <protection locked="0"/>
    </xf>
    <xf numFmtId="0" fontId="13" fillId="7" borderId="0" xfId="0" applyFont="1" applyFill="1" applyBorder="1" applyAlignment="1" applyProtection="1">
      <alignment shrinkToFit="1"/>
      <protection locked="0"/>
    </xf>
    <xf numFmtId="0" fontId="13" fillId="7" borderId="0" xfId="0" applyFont="1" applyFill="1" applyBorder="1" applyAlignment="1" applyProtection="1">
      <alignment vertical="center" wrapText="1"/>
    </xf>
    <xf numFmtId="0" fontId="13" fillId="7" borderId="0" xfId="0" applyFont="1" applyFill="1" applyBorder="1" applyAlignment="1" applyProtection="1">
      <alignment vertical="top" wrapText="1"/>
      <protection locked="0"/>
    </xf>
    <xf numFmtId="173" fontId="18" fillId="5" borderId="0" xfId="15" applyNumberFormat="1" applyFont="1" applyFill="1" applyBorder="1" applyAlignment="1" applyProtection="1">
      <alignment vertical="center"/>
      <protection hidden="1"/>
    </xf>
    <xf numFmtId="0" fontId="0" fillId="2" borderId="16" xfId="0" applyFill="1" applyBorder="1"/>
    <xf numFmtId="0" fontId="0" fillId="2" borderId="17" xfId="0" applyFill="1" applyBorder="1"/>
    <xf numFmtId="0" fontId="0" fillId="2" borderId="18" xfId="0" applyFill="1" applyBorder="1"/>
    <xf numFmtId="0" fontId="0" fillId="2" borderId="19" xfId="0" applyFill="1" applyBorder="1"/>
    <xf numFmtId="0" fontId="0" fillId="2" borderId="0" xfId="0" applyFill="1" applyBorder="1"/>
    <xf numFmtId="0" fontId="0" fillId="2" borderId="20" xfId="0" applyFill="1" applyBorder="1"/>
    <xf numFmtId="0" fontId="18" fillId="0" borderId="14" xfId="15" applyFont="1" applyBorder="1" applyAlignment="1" applyProtection="1">
      <alignment horizontal="center" vertical="center" wrapText="1"/>
      <protection hidden="1"/>
    </xf>
    <xf numFmtId="0" fontId="18" fillId="0" borderId="14" xfId="15" applyFont="1" applyBorder="1" applyAlignment="1" applyProtection="1">
      <alignment vertical="center"/>
      <protection hidden="1"/>
    </xf>
    <xf numFmtId="0" fontId="18" fillId="2" borderId="2" xfId="15" applyFont="1" applyFill="1" applyBorder="1" applyAlignment="1" applyProtection="1">
      <alignment vertical="center"/>
      <protection hidden="1"/>
    </xf>
    <xf numFmtId="0" fontId="18" fillId="2" borderId="6" xfId="15" applyFont="1" applyFill="1" applyBorder="1" applyAlignment="1" applyProtection="1">
      <alignment vertical="center"/>
      <protection hidden="1"/>
    </xf>
    <xf numFmtId="0" fontId="18" fillId="5" borderId="35" xfId="15" applyFont="1" applyFill="1" applyBorder="1" applyAlignment="1" applyProtection="1">
      <alignment vertical="center" wrapText="1"/>
      <protection hidden="1"/>
    </xf>
    <xf numFmtId="0" fontId="18" fillId="0" borderId="36" xfId="15" applyFont="1" applyBorder="1" applyAlignment="1" applyProtection="1">
      <alignment vertical="center" wrapText="1"/>
      <protection hidden="1"/>
    </xf>
    <xf numFmtId="0" fontId="18" fillId="0" borderId="15" xfId="15" applyFont="1" applyBorder="1" applyAlignment="1" applyProtection="1">
      <alignment vertical="center" wrapText="1"/>
      <protection hidden="1"/>
    </xf>
    <xf numFmtId="0" fontId="18" fillId="0" borderId="40" xfId="15" applyFont="1" applyBorder="1" applyAlignment="1" applyProtection="1">
      <alignment vertical="center" wrapText="1"/>
      <protection hidden="1"/>
    </xf>
    <xf numFmtId="0" fontId="18" fillId="0" borderId="15" xfId="15" applyFont="1" applyBorder="1" applyAlignment="1" applyProtection="1">
      <alignment horizontal="center" vertical="center"/>
      <protection hidden="1"/>
    </xf>
    <xf numFmtId="0" fontId="22" fillId="5" borderId="6" xfId="15" applyFont="1" applyFill="1" applyBorder="1" applyAlignment="1" applyProtection="1">
      <alignment vertical="center"/>
      <protection hidden="1"/>
    </xf>
    <xf numFmtId="0" fontId="18" fillId="0" borderId="17" xfId="15" applyFont="1" applyBorder="1" applyAlignment="1" applyProtection="1">
      <alignment vertical="center"/>
      <protection hidden="1"/>
    </xf>
    <xf numFmtId="0" fontId="19" fillId="5" borderId="17" xfId="15" applyFont="1" applyFill="1" applyBorder="1" applyAlignment="1" applyProtection="1">
      <alignment vertical="center" wrapText="1"/>
      <protection hidden="1"/>
    </xf>
    <xf numFmtId="0" fontId="18" fillId="2" borderId="61" xfId="15" applyFont="1" applyFill="1" applyBorder="1" applyAlignment="1" applyProtection="1">
      <alignment vertical="center"/>
      <protection hidden="1"/>
    </xf>
    <xf numFmtId="0" fontId="13" fillId="0" borderId="0" xfId="0" applyFont="1"/>
    <xf numFmtId="0" fontId="31" fillId="2" borderId="19" xfId="0" applyFont="1" applyFill="1" applyBorder="1" applyAlignment="1">
      <alignment horizontal="right" vertical="top"/>
    </xf>
    <xf numFmtId="0" fontId="31" fillId="2" borderId="19" xfId="0" applyFont="1" applyFill="1" applyBorder="1" applyAlignment="1">
      <alignment horizontal="right"/>
    </xf>
    <xf numFmtId="0" fontId="16" fillId="5" borderId="15" xfId="15" applyFont="1" applyFill="1" applyBorder="1" applyAlignment="1" applyProtection="1">
      <alignment horizontal="center" vertical="center" wrapText="1"/>
      <protection hidden="1"/>
    </xf>
    <xf numFmtId="2" fontId="16" fillId="2" borderId="0" xfId="15" applyNumberFormat="1" applyFont="1" applyFill="1" applyBorder="1" applyAlignment="1" applyProtection="1">
      <alignment horizontal="center" vertical="center"/>
      <protection hidden="1"/>
    </xf>
    <xf numFmtId="0" fontId="16" fillId="2" borderId="21" xfId="15" applyFont="1" applyFill="1" applyBorder="1" applyAlignment="1" applyProtection="1">
      <alignment horizontal="left" vertical="center"/>
      <protection hidden="1"/>
    </xf>
    <xf numFmtId="0" fontId="16" fillId="2" borderId="13" xfId="15" applyFont="1" applyFill="1" applyBorder="1" applyAlignment="1" applyProtection="1">
      <alignment horizontal="center" vertical="center" wrapText="1"/>
      <protection hidden="1"/>
    </xf>
    <xf numFmtId="0" fontId="34" fillId="2" borderId="13" xfId="15" applyFont="1" applyFill="1" applyBorder="1" applyAlignment="1" applyProtection="1">
      <alignment horizontal="center" vertical="center" wrapText="1"/>
      <protection hidden="1"/>
    </xf>
    <xf numFmtId="0" fontId="16" fillId="2" borderId="0" xfId="15" applyFont="1" applyFill="1" applyBorder="1" applyAlignment="1" applyProtection="1">
      <alignment horizontal="right" vertical="center"/>
      <protection hidden="1"/>
    </xf>
    <xf numFmtId="0" fontId="16" fillId="2" borderId="11" xfId="15" applyFont="1" applyFill="1" applyBorder="1" applyAlignment="1" applyProtection="1">
      <alignment vertical="center"/>
      <protection hidden="1"/>
    </xf>
    <xf numFmtId="0" fontId="16" fillId="4" borderId="4" xfId="15" applyFont="1" applyFill="1" applyBorder="1" applyAlignment="1" applyProtection="1">
      <alignment vertical="center"/>
      <protection hidden="1"/>
    </xf>
    <xf numFmtId="0" fontId="16" fillId="2" borderId="16" xfId="15" applyFont="1" applyFill="1" applyBorder="1" applyAlignment="1" applyProtection="1">
      <alignment vertical="center"/>
      <protection hidden="1"/>
    </xf>
    <xf numFmtId="0" fontId="16" fillId="2" borderId="17" xfId="15" applyFont="1" applyFill="1" applyBorder="1" applyAlignment="1" applyProtection="1">
      <alignment vertical="center"/>
      <protection hidden="1"/>
    </xf>
    <xf numFmtId="0" fontId="16" fillId="2" borderId="18" xfId="15" applyFont="1" applyFill="1" applyBorder="1" applyAlignment="1" applyProtection="1">
      <alignment vertical="center"/>
      <protection hidden="1"/>
    </xf>
    <xf numFmtId="0" fontId="16" fillId="7" borderId="0" xfId="15" applyFont="1" applyFill="1" applyAlignment="1" applyProtection="1">
      <alignment vertical="center"/>
      <protection hidden="1"/>
    </xf>
    <xf numFmtId="0" fontId="16" fillId="2" borderId="19" xfId="15" applyFont="1" applyFill="1" applyBorder="1" applyAlignment="1" applyProtection="1">
      <alignment vertical="center"/>
      <protection hidden="1"/>
    </xf>
    <xf numFmtId="0" fontId="16" fillId="2" borderId="20" xfId="15" applyFont="1" applyFill="1" applyBorder="1" applyAlignment="1" applyProtection="1">
      <alignment vertical="center"/>
      <protection hidden="1"/>
    </xf>
    <xf numFmtId="0" fontId="16" fillId="2" borderId="21" xfId="15" applyFont="1" applyFill="1" applyBorder="1" applyAlignment="1" applyProtection="1">
      <alignment vertical="center"/>
      <protection hidden="1"/>
    </xf>
    <xf numFmtId="0" fontId="16" fillId="2" borderId="23" xfId="15" applyFont="1" applyFill="1" applyBorder="1" applyAlignment="1" applyProtection="1">
      <alignment vertical="center"/>
      <protection hidden="1"/>
    </xf>
    <xf numFmtId="0" fontId="16" fillId="2" borderId="47" xfId="15" applyFont="1" applyFill="1" applyBorder="1" applyAlignment="1" applyProtection="1">
      <alignment vertical="center"/>
      <protection hidden="1"/>
    </xf>
    <xf numFmtId="0" fontId="16" fillId="2" borderId="49" xfId="15" applyFont="1" applyFill="1" applyBorder="1" applyAlignment="1" applyProtection="1">
      <alignment vertical="center"/>
      <protection hidden="1"/>
    </xf>
    <xf numFmtId="0" fontId="16" fillId="2" borderId="48" xfId="15" applyFont="1" applyFill="1" applyBorder="1" applyAlignment="1" applyProtection="1">
      <alignment vertical="center"/>
      <protection hidden="1"/>
    </xf>
    <xf numFmtId="0" fontId="9" fillId="2" borderId="47" xfId="0" applyFont="1" applyFill="1" applyBorder="1"/>
    <xf numFmtId="0" fontId="9" fillId="2" borderId="0" xfId="0" applyFont="1" applyFill="1" applyBorder="1"/>
    <xf numFmtId="0" fontId="9" fillId="2" borderId="20" xfId="0" applyFont="1" applyFill="1" applyBorder="1"/>
    <xf numFmtId="0" fontId="9" fillId="7" borderId="0" xfId="0" applyFont="1" applyFill="1"/>
    <xf numFmtId="0" fontId="9" fillId="2" borderId="49" xfId="0" applyFont="1" applyFill="1" applyBorder="1"/>
    <xf numFmtId="0" fontId="9" fillId="2" borderId="48" xfId="0" applyFont="1" applyFill="1" applyBorder="1"/>
    <xf numFmtId="0" fontId="9" fillId="7" borderId="0" xfId="0" applyFont="1" applyFill="1" applyBorder="1"/>
    <xf numFmtId="173" fontId="17" fillId="2" borderId="4" xfId="17" applyNumberFormat="1" applyFont="1" applyFill="1" applyBorder="1" applyAlignment="1" applyProtection="1">
      <alignment horizontal="right" vertical="center"/>
      <protection hidden="1"/>
    </xf>
    <xf numFmtId="177" fontId="18" fillId="2" borderId="15" xfId="17" applyNumberFormat="1" applyFont="1" applyFill="1" applyBorder="1" applyAlignment="1" applyProtection="1">
      <alignment vertical="center"/>
      <protection hidden="1"/>
    </xf>
    <xf numFmtId="175" fontId="18" fillId="2" borderId="15" xfId="17" applyNumberFormat="1" applyFont="1" applyFill="1" applyBorder="1" applyAlignment="1" applyProtection="1">
      <alignment horizontal="center" vertical="center"/>
      <protection hidden="1"/>
    </xf>
    <xf numFmtId="173" fontId="18" fillId="2" borderId="15" xfId="17" applyNumberFormat="1" applyFont="1" applyFill="1" applyBorder="1" applyAlignment="1" applyProtection="1">
      <alignment vertical="center"/>
      <protection hidden="1"/>
    </xf>
    <xf numFmtId="173" fontId="18" fillId="2" borderId="10" xfId="17" applyNumberFormat="1" applyFont="1" applyFill="1" applyBorder="1" applyAlignment="1" applyProtection="1">
      <alignment vertical="center"/>
      <protection hidden="1"/>
    </xf>
    <xf numFmtId="173" fontId="19" fillId="2" borderId="5" xfId="17" applyNumberFormat="1" applyFont="1" applyFill="1" applyBorder="1" applyAlignment="1" applyProtection="1">
      <alignment vertical="center"/>
      <protection hidden="1"/>
    </xf>
    <xf numFmtId="0" fontId="18" fillId="2" borderId="36" xfId="15" applyFont="1" applyFill="1" applyBorder="1" applyAlignment="1" applyProtection="1">
      <alignment vertical="center" wrapText="1"/>
      <protection hidden="1"/>
    </xf>
    <xf numFmtId="173" fontId="18" fillId="2" borderId="0" xfId="17" applyNumberFormat="1" applyFont="1" applyFill="1" applyBorder="1" applyAlignment="1" applyProtection="1">
      <alignment vertical="center"/>
      <protection hidden="1"/>
    </xf>
    <xf numFmtId="0" fontId="19" fillId="2" borderId="6" xfId="15" applyFont="1" applyFill="1" applyBorder="1" applyAlignment="1" applyProtection="1">
      <alignment horizontal="right" vertical="center"/>
      <protection hidden="1"/>
    </xf>
    <xf numFmtId="173" fontId="19" fillId="2" borderId="1" xfId="17" applyNumberFormat="1" applyFont="1" applyFill="1" applyBorder="1" applyAlignment="1" applyProtection="1">
      <alignment vertical="center"/>
      <protection hidden="1"/>
    </xf>
    <xf numFmtId="173" fontId="19" fillId="2" borderId="30" xfId="15" applyNumberFormat="1" applyFont="1" applyFill="1" applyBorder="1" applyAlignment="1" applyProtection="1">
      <alignment vertical="center"/>
      <protection hidden="1"/>
    </xf>
    <xf numFmtId="0" fontId="19" fillId="2" borderId="0" xfId="15" applyFont="1" applyFill="1" applyBorder="1" applyAlignment="1" applyProtection="1">
      <alignment horizontal="right" vertical="center"/>
      <protection hidden="1"/>
    </xf>
    <xf numFmtId="0" fontId="16" fillId="2" borderId="0"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6" fillId="2" borderId="0" xfId="0" applyFont="1" applyFill="1" applyBorder="1" applyProtection="1">
      <protection hidden="1"/>
    </xf>
    <xf numFmtId="0" fontId="16" fillId="2" borderId="0" xfId="0" applyFont="1" applyFill="1" applyBorder="1" applyAlignment="1" applyProtection="1">
      <protection hidden="1"/>
    </xf>
    <xf numFmtId="0" fontId="17" fillId="2" borderId="4" xfId="0" applyFont="1" applyFill="1" applyBorder="1" applyAlignment="1" applyProtection="1">
      <alignment horizontal="center" vertical="center"/>
      <protection hidden="1"/>
    </xf>
    <xf numFmtId="0" fontId="36" fillId="7" borderId="0" xfId="0" applyFont="1" applyFill="1" applyBorder="1" applyAlignment="1" applyProtection="1">
      <alignment vertical="top"/>
    </xf>
    <xf numFmtId="0" fontId="16" fillId="7" borderId="0" xfId="0" applyFont="1" applyFill="1" applyBorder="1" applyProtection="1"/>
    <xf numFmtId="0" fontId="37" fillId="7" borderId="0" xfId="0" applyFont="1" applyFill="1" applyBorder="1" applyAlignment="1" applyProtection="1">
      <alignment wrapText="1"/>
    </xf>
    <xf numFmtId="0" fontId="16" fillId="7" borderId="0" xfId="0" applyFont="1" applyFill="1" applyBorder="1" applyAlignment="1" applyProtection="1"/>
    <xf numFmtId="0" fontId="16" fillId="7" borderId="0" xfId="0" applyFont="1" applyFill="1" applyBorder="1" applyAlignment="1" applyProtection="1">
      <alignment wrapText="1"/>
    </xf>
    <xf numFmtId="0" fontId="37" fillId="7" borderId="0" xfId="0" applyFont="1" applyFill="1" applyBorder="1" applyAlignment="1" applyProtection="1">
      <alignment horizontal="left"/>
    </xf>
    <xf numFmtId="0" fontId="39" fillId="7" borderId="0" xfId="0" applyFont="1" applyFill="1" applyBorder="1" applyAlignment="1" applyProtection="1">
      <alignment horizontal="left"/>
    </xf>
    <xf numFmtId="0" fontId="40" fillId="7" borderId="0" xfId="0" applyFont="1" applyFill="1" applyBorder="1" applyAlignment="1" applyProtection="1">
      <alignment vertical="center"/>
    </xf>
    <xf numFmtId="0" fontId="39" fillId="7" borderId="0" xfId="0" applyFont="1" applyFill="1" applyBorder="1" applyAlignment="1" applyProtection="1">
      <alignment horizontal="right"/>
    </xf>
    <xf numFmtId="0" fontId="16" fillId="7" borderId="0" xfId="0" applyFont="1" applyFill="1" applyBorder="1" applyAlignment="1" applyProtection="1">
      <protection locked="0"/>
    </xf>
    <xf numFmtId="0" fontId="39" fillId="7" borderId="0" xfId="0" applyFont="1" applyFill="1" applyBorder="1" applyProtection="1"/>
    <xf numFmtId="0" fontId="16" fillId="7" borderId="0" xfId="0" applyFont="1" applyFill="1" applyBorder="1" applyAlignment="1" applyProtection="1">
      <alignment wrapText="1"/>
      <protection locked="0"/>
    </xf>
    <xf numFmtId="0" fontId="16" fillId="7" borderId="0" xfId="0" applyFont="1" applyFill="1" applyBorder="1" applyAlignment="1" applyProtection="1">
      <alignment horizontal="right"/>
    </xf>
    <xf numFmtId="1" fontId="16" fillId="7" borderId="0" xfId="0" applyNumberFormat="1" applyFont="1" applyFill="1" applyBorder="1" applyAlignment="1" applyProtection="1">
      <alignment horizontal="left"/>
    </xf>
    <xf numFmtId="0" fontId="16" fillId="7" borderId="0" xfId="0" applyFont="1" applyFill="1" applyBorder="1" applyAlignment="1" applyProtection="1">
      <alignment horizontal="center" vertical="center"/>
      <protection locked="0"/>
    </xf>
    <xf numFmtId="165" fontId="16" fillId="7" borderId="0" xfId="0" applyNumberFormat="1" applyFont="1" applyFill="1" applyBorder="1" applyAlignment="1" applyProtection="1">
      <alignment horizontal="center"/>
      <protection locked="0"/>
    </xf>
    <xf numFmtId="0" fontId="16" fillId="7" borderId="0" xfId="0" applyFont="1" applyFill="1" applyBorder="1" applyAlignment="1" applyProtection="1">
      <alignment horizontal="left" vertical="top"/>
    </xf>
    <xf numFmtId="0" fontId="37" fillId="7" borderId="0" xfId="1" applyFont="1" applyFill="1" applyBorder="1" applyAlignment="1" applyProtection="1">
      <alignment wrapText="1"/>
      <protection locked="0"/>
    </xf>
    <xf numFmtId="0" fontId="39" fillId="7" borderId="0" xfId="0" applyFont="1" applyFill="1" applyBorder="1" applyAlignment="1" applyProtection="1"/>
    <xf numFmtId="1" fontId="16" fillId="7" borderId="0" xfId="0" applyNumberFormat="1" applyFont="1" applyFill="1" applyBorder="1" applyAlignment="1" applyProtection="1">
      <protection locked="0"/>
    </xf>
    <xf numFmtId="0" fontId="16" fillId="7" borderId="0" xfId="0" applyFont="1" applyFill="1" applyBorder="1" applyAlignment="1" applyProtection="1">
      <alignment shrinkToFit="1"/>
      <protection locked="0"/>
    </xf>
    <xf numFmtId="0" fontId="17" fillId="7" borderId="0" xfId="0" applyFont="1" applyFill="1" applyBorder="1" applyAlignment="1" applyProtection="1">
      <alignment horizontal="center" vertical="center"/>
    </xf>
    <xf numFmtId="0" fontId="17" fillId="7" borderId="0" xfId="0" applyFont="1" applyFill="1" applyBorder="1" applyAlignment="1" applyProtection="1">
      <alignment horizontal="left" vertical="top"/>
    </xf>
    <xf numFmtId="0" fontId="16" fillId="7" borderId="0" xfId="0" applyFont="1" applyFill="1" applyBorder="1" applyAlignment="1" applyProtection="1">
      <alignment vertical="center"/>
    </xf>
    <xf numFmtId="0" fontId="16" fillId="7" borderId="0" xfId="0" applyFont="1" applyFill="1" applyBorder="1" applyAlignment="1" applyProtection="1">
      <alignment horizontal="left" vertical="center"/>
    </xf>
    <xf numFmtId="0" fontId="16" fillId="7" borderId="0" xfId="0" applyFont="1" applyFill="1" applyBorder="1" applyAlignment="1" applyProtection="1">
      <alignment vertical="center" wrapText="1"/>
    </xf>
    <xf numFmtId="0" fontId="40" fillId="7" borderId="0" xfId="0" applyFont="1" applyFill="1" applyBorder="1" applyAlignment="1" applyProtection="1">
      <alignment horizontal="right" vertical="top"/>
    </xf>
    <xf numFmtId="0" fontId="16" fillId="7" borderId="0" xfId="0" applyFont="1" applyFill="1" applyBorder="1" applyAlignment="1" applyProtection="1">
      <alignment vertical="top" wrapText="1"/>
      <protection locked="0"/>
    </xf>
    <xf numFmtId="0" fontId="16" fillId="7" borderId="0" xfId="0" applyFont="1" applyFill="1" applyBorder="1" applyAlignment="1" applyProtection="1">
      <alignment horizontal="right" vertical="center"/>
    </xf>
    <xf numFmtId="0" fontId="37" fillId="7" borderId="0" xfId="1" applyFont="1" applyFill="1" applyBorder="1" applyAlignment="1" applyProtection="1">
      <alignment vertical="center"/>
    </xf>
    <xf numFmtId="0" fontId="17" fillId="2" borderId="16" xfId="15" applyFont="1" applyFill="1" applyBorder="1" applyAlignment="1" applyProtection="1">
      <alignment vertical="center"/>
      <protection hidden="1"/>
    </xf>
    <xf numFmtId="0" fontId="17" fillId="2" borderId="17" xfId="15" applyFont="1" applyFill="1" applyBorder="1" applyAlignment="1" applyProtection="1">
      <alignment vertical="center"/>
      <protection hidden="1"/>
    </xf>
    <xf numFmtId="0" fontId="16" fillId="2" borderId="0" xfId="15" applyFont="1" applyFill="1" applyBorder="1" applyAlignment="1" applyProtection="1">
      <alignment vertical="top" wrapText="1"/>
      <protection hidden="1"/>
    </xf>
    <xf numFmtId="0" fontId="18" fillId="2" borderId="0" xfId="15" applyNumberFormat="1" applyFont="1" applyFill="1" applyBorder="1" applyAlignment="1" applyProtection="1">
      <alignment vertical="center"/>
      <protection hidden="1"/>
    </xf>
    <xf numFmtId="0" fontId="0" fillId="2" borderId="0" xfId="0" applyFill="1"/>
    <xf numFmtId="0" fontId="0" fillId="2" borderId="51" xfId="0" applyFill="1" applyBorder="1" applyAlignment="1">
      <alignment vertical="center" wrapText="1"/>
    </xf>
    <xf numFmtId="0" fontId="0" fillId="2" borderId="64" xfId="0" applyFill="1" applyBorder="1" applyAlignment="1">
      <alignment vertical="center"/>
    </xf>
    <xf numFmtId="0" fontId="0" fillId="2" borderId="51" xfId="0" quotePrefix="1" applyFill="1" applyBorder="1" applyAlignment="1">
      <alignment vertical="center" wrapText="1"/>
    </xf>
    <xf numFmtId="0" fontId="0" fillId="2" borderId="62" xfId="0" applyFill="1" applyBorder="1" applyAlignment="1">
      <alignment vertical="center" wrapText="1"/>
    </xf>
    <xf numFmtId="0" fontId="6" fillId="2" borderId="51" xfId="0" applyFont="1" applyFill="1" applyBorder="1" applyAlignment="1">
      <alignment horizontal="center" wrapText="1"/>
    </xf>
    <xf numFmtId="0" fontId="6" fillId="2" borderId="64" xfId="0" applyFont="1" applyFill="1" applyBorder="1" applyAlignment="1">
      <alignment horizontal="center" vertical="center"/>
    </xf>
    <xf numFmtId="0" fontId="6" fillId="2" borderId="62" xfId="0" applyFont="1" applyFill="1" applyBorder="1" applyAlignment="1">
      <alignment horizontal="center" wrapText="1"/>
    </xf>
    <xf numFmtId="0" fontId="0" fillId="2" borderId="0" xfId="0" applyFill="1" applyBorder="1" applyAlignment="1">
      <alignment vertical="center" wrapText="1"/>
    </xf>
    <xf numFmtId="0" fontId="0" fillId="2" borderId="0" xfId="0" applyFill="1" applyBorder="1" applyAlignment="1">
      <alignment vertical="center"/>
    </xf>
    <xf numFmtId="0" fontId="0" fillId="2" borderId="50" xfId="0" applyFill="1" applyBorder="1" applyAlignment="1">
      <alignment vertical="center" wrapText="1"/>
    </xf>
    <xf numFmtId="0" fontId="0" fillId="2" borderId="66" xfId="0" applyFill="1" applyBorder="1" applyAlignment="1">
      <alignment vertical="center" wrapText="1"/>
    </xf>
    <xf numFmtId="0" fontId="0" fillId="2" borderId="52" xfId="0" applyFill="1" applyBorder="1" applyAlignment="1">
      <alignment vertical="center"/>
    </xf>
    <xf numFmtId="0" fontId="0" fillId="2" borderId="47" xfId="0" applyFill="1" applyBorder="1"/>
    <xf numFmtId="0" fontId="0" fillId="2" borderId="49" xfId="0" applyFill="1" applyBorder="1"/>
    <xf numFmtId="0" fontId="0" fillId="2" borderId="49" xfId="0" applyFill="1" applyBorder="1" applyAlignment="1">
      <alignment horizontal="center"/>
    </xf>
    <xf numFmtId="0" fontId="0" fillId="2" borderId="17" xfId="0" applyFill="1" applyBorder="1" applyAlignment="1">
      <alignment wrapText="1"/>
    </xf>
    <xf numFmtId="0" fontId="0" fillId="2" borderId="0" xfId="0" applyFill="1" applyBorder="1" applyAlignment="1">
      <alignment wrapText="1"/>
    </xf>
    <xf numFmtId="0" fontId="0" fillId="2" borderId="0" xfId="0" quotePrefix="1" applyFill="1" applyBorder="1" applyAlignment="1">
      <alignment vertical="center" wrapText="1"/>
    </xf>
    <xf numFmtId="0" fontId="0" fillId="2" borderId="19" xfId="0" applyFill="1" applyBorder="1" applyAlignment="1">
      <alignment horizontal="center"/>
    </xf>
    <xf numFmtId="0" fontId="0" fillId="2" borderId="0" xfId="0" applyFill="1" applyBorder="1" applyAlignment="1">
      <alignment horizontal="center" vertical="center" wrapText="1"/>
    </xf>
    <xf numFmtId="0" fontId="0" fillId="2" borderId="0" xfId="0" applyFill="1" applyBorder="1" applyAlignment="1">
      <alignment horizontal="left" vertical="center" wrapText="1"/>
    </xf>
    <xf numFmtId="0" fontId="0" fillId="2" borderId="0" xfId="0" applyFill="1" applyBorder="1" applyAlignment="1">
      <alignment horizontal="center" vertical="center"/>
    </xf>
    <xf numFmtId="0" fontId="35" fillId="2" borderId="19" xfId="15" applyFont="1" applyFill="1" applyBorder="1" applyAlignment="1" applyProtection="1">
      <alignment horizontal="right" vertical="top" wrapText="1"/>
      <protection hidden="1"/>
    </xf>
    <xf numFmtId="0" fontId="16" fillId="2" borderId="27" xfId="15" applyFont="1" applyFill="1" applyBorder="1" applyAlignment="1" applyProtection="1">
      <alignment horizontal="left" vertical="center"/>
      <protection hidden="1"/>
    </xf>
    <xf numFmtId="0" fontId="43" fillId="2" borderId="35" xfId="15" applyFont="1" applyFill="1" applyBorder="1" applyAlignment="1" applyProtection="1">
      <alignment vertical="center" wrapText="1"/>
      <protection hidden="1"/>
    </xf>
    <xf numFmtId="0" fontId="43" fillId="2" borderId="14" xfId="15" applyFont="1" applyFill="1" applyBorder="1" applyAlignment="1" applyProtection="1">
      <alignment horizontal="center" vertical="center" wrapText="1"/>
      <protection hidden="1"/>
    </xf>
    <xf numFmtId="0" fontId="43" fillId="2" borderId="36" xfId="15" applyFont="1" applyFill="1" applyBorder="1" applyAlignment="1" applyProtection="1">
      <alignment vertical="center" wrapText="1"/>
      <protection hidden="1"/>
    </xf>
    <xf numFmtId="0" fontId="43" fillId="5" borderId="15" xfId="15" applyFont="1" applyFill="1" applyBorder="1" applyAlignment="1" applyProtection="1">
      <alignment horizontal="center" vertical="center" wrapText="1"/>
      <protection hidden="1"/>
    </xf>
    <xf numFmtId="0" fontId="43" fillId="2" borderId="14" xfId="1" applyFont="1" applyFill="1" applyBorder="1" applyAlignment="1" applyProtection="1">
      <alignment horizontal="center" vertical="center" wrapText="1"/>
      <protection hidden="1"/>
    </xf>
    <xf numFmtId="0" fontId="43" fillId="2" borderId="27" xfId="15" applyFont="1" applyFill="1" applyBorder="1" applyAlignment="1" applyProtection="1">
      <alignment horizontal="left" vertical="center"/>
      <protection hidden="1"/>
    </xf>
    <xf numFmtId="0" fontId="43" fillId="2" borderId="27" xfId="1" applyFont="1" applyFill="1" applyBorder="1" applyAlignment="1" applyProtection="1">
      <alignment horizontal="left" vertical="center"/>
      <protection hidden="1"/>
    </xf>
    <xf numFmtId="0" fontId="16" fillId="5" borderId="35" xfId="15" applyFont="1" applyFill="1" applyBorder="1" applyAlignment="1" applyProtection="1">
      <alignment vertical="center" wrapText="1"/>
      <protection hidden="1"/>
    </xf>
    <xf numFmtId="0" fontId="16" fillId="5" borderId="13" xfId="15" applyFont="1" applyFill="1" applyBorder="1" applyAlignment="1" applyProtection="1">
      <alignment vertical="center" wrapText="1"/>
      <protection hidden="1"/>
    </xf>
    <xf numFmtId="0" fontId="16" fillId="2" borderId="13" xfId="15" applyFont="1" applyFill="1" applyBorder="1" applyAlignment="1" applyProtection="1">
      <alignment vertical="center" wrapText="1"/>
      <protection hidden="1"/>
    </xf>
    <xf numFmtId="0" fontId="16" fillId="0" borderId="36" xfId="15" applyFont="1" applyBorder="1" applyAlignment="1" applyProtection="1">
      <alignment vertical="center" wrapText="1"/>
      <protection hidden="1"/>
    </xf>
    <xf numFmtId="0" fontId="16" fillId="0" borderId="15" xfId="15" applyFont="1" applyBorder="1" applyAlignment="1" applyProtection="1">
      <alignment vertical="center" wrapText="1"/>
      <protection hidden="1"/>
    </xf>
    <xf numFmtId="0" fontId="16" fillId="2" borderId="15" xfId="15" applyFont="1" applyFill="1" applyBorder="1" applyAlignment="1" applyProtection="1">
      <alignment horizontal="center" vertical="center" wrapText="1"/>
      <protection hidden="1"/>
    </xf>
    <xf numFmtId="0" fontId="17" fillId="2" borderId="19" xfId="15" applyFont="1" applyFill="1" applyBorder="1" applyAlignment="1" applyProtection="1">
      <alignment horizontal="right" vertical="top" wrapText="1"/>
      <protection hidden="1"/>
    </xf>
    <xf numFmtId="0" fontId="16" fillId="5" borderId="32" xfId="15" applyFont="1" applyFill="1" applyBorder="1" applyAlignment="1" applyProtection="1">
      <alignment vertical="center"/>
      <protection hidden="1"/>
    </xf>
    <xf numFmtId="0" fontId="16" fillId="5" borderId="11" xfId="15" applyFont="1" applyFill="1" applyBorder="1" applyAlignment="1" applyProtection="1">
      <alignment vertical="center"/>
      <protection hidden="1"/>
    </xf>
    <xf numFmtId="0" fontId="16" fillId="2" borderId="4" xfId="15" applyFont="1" applyFill="1" applyBorder="1" applyAlignment="1" applyProtection="1">
      <alignment vertical="center"/>
      <protection hidden="1"/>
    </xf>
    <xf numFmtId="0" fontId="16" fillId="2" borderId="27" xfId="1" applyFont="1" applyFill="1" applyBorder="1" applyAlignment="1" applyProtection="1">
      <alignment horizontal="left" vertical="center"/>
      <protection hidden="1"/>
    </xf>
    <xf numFmtId="9" fontId="16" fillId="2" borderId="0" xfId="18" applyFont="1" applyFill="1" applyBorder="1" applyAlignment="1" applyProtection="1">
      <alignment vertical="center"/>
      <protection hidden="1"/>
    </xf>
    <xf numFmtId="0" fontId="16" fillId="5" borderId="19" xfId="15" applyFont="1" applyFill="1" applyBorder="1" applyAlignment="1" applyProtection="1">
      <alignment horizontal="left" vertical="center"/>
      <protection hidden="1"/>
    </xf>
    <xf numFmtId="0" fontId="16" fillId="5" borderId="0" xfId="15" applyFont="1" applyFill="1" applyBorder="1" applyAlignment="1" applyProtection="1">
      <alignment vertical="center"/>
      <protection hidden="1"/>
    </xf>
    <xf numFmtId="0" fontId="18" fillId="2" borderId="42" xfId="1" applyFont="1" applyFill="1" applyBorder="1" applyAlignment="1" applyProtection="1">
      <alignment horizontal="center" vertical="center" wrapText="1"/>
      <protection hidden="1"/>
    </xf>
    <xf numFmtId="0" fontId="0" fillId="0" borderId="66" xfId="0" applyFill="1" applyBorder="1" applyAlignment="1">
      <alignment vertical="center" wrapText="1"/>
    </xf>
    <xf numFmtId="0" fontId="0" fillId="0" borderId="64" xfId="0" applyFill="1" applyBorder="1" applyAlignment="1">
      <alignment vertical="center"/>
    </xf>
    <xf numFmtId="1" fontId="10" fillId="0" borderId="0" xfId="0" applyNumberFormat="1" applyFont="1" applyProtection="1">
      <protection locked="0"/>
    </xf>
    <xf numFmtId="0" fontId="10" fillId="0" borderId="0" xfId="0" applyFont="1" applyProtection="1">
      <protection locked="0"/>
    </xf>
    <xf numFmtId="0" fontId="11" fillId="11" borderId="1" xfId="0" applyFont="1" applyFill="1" applyBorder="1" applyAlignment="1">
      <alignment horizontal="center" wrapText="1"/>
    </xf>
    <xf numFmtId="0" fontId="10" fillId="11" borderId="13" xfId="0" applyFont="1" applyFill="1" applyBorder="1" applyAlignment="1">
      <alignment wrapText="1"/>
    </xf>
    <xf numFmtId="0" fontId="11" fillId="11" borderId="0" xfId="0" applyFont="1" applyFill="1" applyAlignment="1" applyProtection="1">
      <alignment wrapText="1"/>
      <protection locked="0"/>
    </xf>
    <xf numFmtId="0" fontId="10" fillId="11" borderId="14" xfId="0" applyFont="1" applyFill="1" applyBorder="1"/>
    <xf numFmtId="0" fontId="10" fillId="11" borderId="0" xfId="0" applyFont="1" applyFill="1" applyProtection="1">
      <protection locked="0"/>
    </xf>
    <xf numFmtId="14" fontId="10" fillId="11" borderId="0" xfId="0" applyNumberFormat="1" applyFont="1" applyFill="1" applyProtection="1">
      <protection locked="0"/>
    </xf>
    <xf numFmtId="0" fontId="10" fillId="11" borderId="15" xfId="0" applyFont="1" applyFill="1" applyBorder="1"/>
    <xf numFmtId="0" fontId="10" fillId="0" borderId="0" xfId="0" applyFont="1"/>
    <xf numFmtId="0" fontId="10" fillId="10" borderId="0" xfId="0" applyFont="1" applyFill="1" applyProtection="1">
      <protection locked="0"/>
    </xf>
    <xf numFmtId="0" fontId="10" fillId="10" borderId="13" xfId="0" applyFont="1" applyFill="1" applyBorder="1" applyAlignment="1">
      <alignment horizontal="right"/>
    </xf>
    <xf numFmtId="0" fontId="10" fillId="10" borderId="0" xfId="0" applyFont="1" applyFill="1" applyAlignment="1" applyProtection="1">
      <alignment horizontal="left" vertical="center"/>
      <protection locked="0"/>
    </xf>
    <xf numFmtId="179" fontId="10" fillId="10" borderId="14" xfId="14" applyNumberFormat="1" applyFont="1" applyFill="1" applyBorder="1" applyAlignment="1">
      <alignment horizontal="right"/>
    </xf>
    <xf numFmtId="179" fontId="10" fillId="10" borderId="0" xfId="14" applyNumberFormat="1" applyFont="1" applyFill="1" applyProtection="1">
      <protection locked="0"/>
    </xf>
    <xf numFmtId="179" fontId="10" fillId="10" borderId="14" xfId="14" applyNumberFormat="1" applyFont="1" applyFill="1" applyBorder="1" applyAlignment="1" applyProtection="1">
      <alignment horizontal="right"/>
    </xf>
    <xf numFmtId="179" fontId="10" fillId="10" borderId="15" xfId="14" applyNumberFormat="1" applyFont="1" applyFill="1" applyBorder="1" applyAlignment="1" applyProtection="1">
      <alignment horizontal="right"/>
    </xf>
    <xf numFmtId="179" fontId="11" fillId="6" borderId="3" xfId="14" applyNumberFormat="1" applyFont="1" applyFill="1" applyBorder="1" applyAlignment="1" applyProtection="1">
      <alignment horizontal="right"/>
    </xf>
    <xf numFmtId="179" fontId="10" fillId="10" borderId="13" xfId="14" applyNumberFormat="1" applyFont="1" applyFill="1" applyBorder="1" applyAlignment="1" applyProtection="1">
      <alignment horizontal="right"/>
    </xf>
    <xf numFmtId="0" fontId="10" fillId="10" borderId="15" xfId="0" applyFont="1" applyFill="1" applyBorder="1" applyAlignment="1" applyProtection="1">
      <alignment horizontal="right"/>
    </xf>
    <xf numFmtId="179" fontId="11" fillId="6" borderId="4" xfId="14" applyNumberFormat="1" applyFont="1" applyFill="1" applyBorder="1" applyAlignment="1" applyProtection="1">
      <alignment horizontal="right"/>
    </xf>
    <xf numFmtId="179" fontId="11" fillId="10" borderId="13" xfId="14" applyNumberFormat="1" applyFont="1" applyFill="1" applyBorder="1" applyAlignment="1" applyProtection="1">
      <alignment horizontal="right"/>
    </xf>
    <xf numFmtId="0" fontId="10" fillId="10" borderId="14" xfId="0" applyFont="1" applyFill="1" applyBorder="1" applyAlignment="1" applyProtection="1">
      <alignment horizontal="right"/>
    </xf>
    <xf numFmtId="179" fontId="10" fillId="10" borderId="4" xfId="14" applyNumberFormat="1" applyFont="1" applyFill="1" applyBorder="1" applyAlignment="1" applyProtection="1">
      <alignment horizontal="center" vertical="center" wrapText="1"/>
    </xf>
    <xf numFmtId="179" fontId="11" fillId="6" borderId="4" xfId="14" applyNumberFormat="1" applyFont="1" applyFill="1" applyBorder="1" applyAlignment="1" applyProtection="1">
      <alignment horizontal="right" vertical="center"/>
    </xf>
    <xf numFmtId="168" fontId="10" fillId="10" borderId="13" xfId="14" applyNumberFormat="1" applyFont="1" applyFill="1" applyBorder="1" applyAlignment="1" applyProtection="1">
      <alignment horizontal="right"/>
    </xf>
    <xf numFmtId="168" fontId="10" fillId="10" borderId="0" xfId="14" applyNumberFormat="1" applyFont="1" applyFill="1" applyProtection="1">
      <protection locked="0"/>
    </xf>
    <xf numFmtId="168" fontId="10" fillId="10" borderId="14" xfId="14" applyNumberFormat="1" applyFont="1" applyFill="1" applyBorder="1" applyAlignment="1" applyProtection="1">
      <alignment horizontal="right"/>
    </xf>
    <xf numFmtId="180" fontId="10" fillId="10" borderId="14" xfId="14" applyNumberFormat="1" applyFont="1" applyFill="1" applyBorder="1" applyAlignment="1" applyProtection="1">
      <alignment horizontal="right"/>
    </xf>
    <xf numFmtId="180" fontId="10" fillId="10" borderId="0" xfId="14" applyNumberFormat="1" applyFont="1" applyFill="1" applyProtection="1">
      <protection locked="0"/>
    </xf>
    <xf numFmtId="169" fontId="10" fillId="10" borderId="13" xfId="0" applyNumberFormat="1" applyFont="1" applyFill="1" applyBorder="1" applyAlignment="1" applyProtection="1">
      <alignment horizontal="right"/>
    </xf>
    <xf numFmtId="169" fontId="10" fillId="10" borderId="0" xfId="0" applyNumberFormat="1" applyFont="1" applyFill="1" applyProtection="1">
      <protection locked="0"/>
    </xf>
    <xf numFmtId="7" fontId="10" fillId="10" borderId="0" xfId="0" applyNumberFormat="1" applyFont="1" applyFill="1" applyProtection="1">
      <protection locked="0"/>
    </xf>
    <xf numFmtId="0" fontId="10" fillId="9" borderId="0" xfId="0" applyFont="1" applyFill="1" applyProtection="1">
      <protection locked="0"/>
    </xf>
    <xf numFmtId="171" fontId="10" fillId="6" borderId="13" xfId="22" applyNumberFormat="1" applyFont="1" applyFill="1" applyBorder="1" applyAlignment="1" applyProtection="1">
      <alignment horizontal="right"/>
    </xf>
    <xf numFmtId="171" fontId="10" fillId="9" borderId="0" xfId="22" applyNumberFormat="1" applyFont="1" applyFill="1" applyProtection="1">
      <protection locked="0"/>
    </xf>
    <xf numFmtId="171" fontId="10" fillId="6" borderId="14" xfId="22" applyNumberFormat="1" applyFont="1" applyFill="1" applyBorder="1" applyAlignment="1" applyProtection="1">
      <alignment horizontal="right"/>
    </xf>
    <xf numFmtId="169" fontId="10" fillId="6" borderId="14" xfId="0" applyNumberFormat="1" applyFont="1" applyFill="1" applyBorder="1" applyAlignment="1" applyProtection="1">
      <alignment horizontal="right"/>
    </xf>
    <xf numFmtId="169" fontId="10" fillId="9" borderId="0" xfId="0" applyNumberFormat="1" applyFont="1" applyFill="1" applyProtection="1">
      <protection locked="0"/>
    </xf>
    <xf numFmtId="169" fontId="10" fillId="6" borderId="15" xfId="0" applyNumberFormat="1" applyFont="1" applyFill="1" applyBorder="1" applyAlignment="1" applyProtection="1">
      <alignment horizontal="right"/>
    </xf>
    <xf numFmtId="179" fontId="10" fillId="6" borderId="13" xfId="14" applyNumberFormat="1" applyFont="1" applyFill="1" applyBorder="1" applyAlignment="1" applyProtection="1">
      <alignment horizontal="right"/>
    </xf>
    <xf numFmtId="179" fontId="10" fillId="9" borderId="0" xfId="14" applyNumberFormat="1" applyFont="1" applyFill="1" applyProtection="1">
      <protection locked="0"/>
    </xf>
    <xf numFmtId="179" fontId="10" fillId="6" borderId="14" xfId="14" applyNumberFormat="1" applyFont="1" applyFill="1" applyBorder="1" applyAlignment="1" applyProtection="1">
      <alignment horizontal="right"/>
    </xf>
    <xf numFmtId="166" fontId="10" fillId="6" borderId="14" xfId="0" applyNumberFormat="1" applyFont="1" applyFill="1" applyBorder="1" applyAlignment="1" applyProtection="1">
      <alignment horizontal="right"/>
    </xf>
    <xf numFmtId="166" fontId="10" fillId="9" borderId="0" xfId="0" applyNumberFormat="1" applyFont="1" applyFill="1" applyProtection="1">
      <protection locked="0"/>
    </xf>
    <xf numFmtId="179" fontId="10" fillId="6" borderId="15" xfId="14" applyNumberFormat="1" applyFont="1" applyFill="1" applyBorder="1" applyAlignment="1" applyProtection="1">
      <alignment horizontal="right"/>
    </xf>
    <xf numFmtId="1" fontId="10" fillId="6" borderId="13" xfId="0" applyNumberFormat="1" applyFont="1" applyFill="1" applyBorder="1" applyAlignment="1" applyProtection="1">
      <alignment horizontal="right"/>
    </xf>
    <xf numFmtId="1" fontId="10" fillId="9" borderId="0" xfId="0" applyNumberFormat="1" applyFont="1" applyFill="1" applyProtection="1">
      <protection locked="0"/>
    </xf>
    <xf numFmtId="0" fontId="10" fillId="6" borderId="14" xfId="0" applyFont="1" applyFill="1" applyBorder="1" applyAlignment="1" applyProtection="1">
      <alignment horizontal="right"/>
    </xf>
    <xf numFmtId="0" fontId="10" fillId="6" borderId="15" xfId="0" applyFont="1" applyFill="1" applyBorder="1" applyAlignment="1" applyProtection="1">
      <alignment horizontal="right"/>
    </xf>
    <xf numFmtId="168" fontId="10" fillId="6" borderId="13" xfId="14" applyNumberFormat="1" applyFont="1" applyFill="1" applyBorder="1" applyAlignment="1" applyProtection="1">
      <alignment horizontal="right"/>
    </xf>
    <xf numFmtId="168" fontId="10" fillId="9" borderId="0" xfId="14" applyNumberFormat="1" applyFont="1" applyFill="1" applyProtection="1">
      <protection locked="0"/>
    </xf>
    <xf numFmtId="168" fontId="10" fillId="6" borderId="14" xfId="14" applyNumberFormat="1" applyFont="1" applyFill="1" applyBorder="1" applyAlignment="1" applyProtection="1">
      <alignment horizontal="right"/>
    </xf>
    <xf numFmtId="168" fontId="11" fillId="6" borderId="14" xfId="14" applyNumberFormat="1" applyFont="1" applyFill="1" applyBorder="1" applyAlignment="1" applyProtection="1">
      <alignment horizontal="right"/>
    </xf>
    <xf numFmtId="168" fontId="11" fillId="9" borderId="0" xfId="14" applyNumberFormat="1" applyFont="1" applyFill="1" applyProtection="1">
      <protection locked="0"/>
    </xf>
    <xf numFmtId="168" fontId="10" fillId="6" borderId="15" xfId="14" applyNumberFormat="1" applyFont="1" applyFill="1" applyBorder="1" applyAlignment="1" applyProtection="1">
      <alignment horizontal="right"/>
    </xf>
    <xf numFmtId="0" fontId="10" fillId="8" borderId="0" xfId="0" applyFont="1" applyFill="1" applyAlignment="1">
      <alignment vertical="center" wrapText="1"/>
    </xf>
    <xf numFmtId="168" fontId="10" fillId="6" borderId="15" xfId="14" applyNumberFormat="1" applyFont="1" applyFill="1" applyBorder="1" applyAlignment="1" applyProtection="1">
      <alignment horizontal="right" vertical="center" wrapText="1"/>
    </xf>
    <xf numFmtId="49" fontId="10" fillId="8" borderId="0" xfId="14" applyNumberFormat="1" applyFont="1" applyFill="1" applyAlignment="1" applyProtection="1">
      <alignment horizontal="left" vertical="top" wrapText="1"/>
      <protection locked="0"/>
    </xf>
    <xf numFmtId="0" fontId="10" fillId="11" borderId="14" xfId="0" applyFont="1" applyFill="1" applyBorder="1" applyAlignment="1">
      <alignment wrapText="1"/>
    </xf>
    <xf numFmtId="0" fontId="16" fillId="2" borderId="20" xfId="15" applyFont="1" applyFill="1" applyBorder="1" applyAlignment="1" applyProtection="1">
      <alignment vertical="top" wrapText="1"/>
      <protection hidden="1"/>
    </xf>
    <xf numFmtId="0" fontId="48" fillId="2" borderId="19" xfId="15" applyFont="1" applyFill="1" applyBorder="1" applyAlignment="1" applyProtection="1">
      <alignment horizontal="right" vertical="top"/>
      <protection hidden="1"/>
    </xf>
    <xf numFmtId="0" fontId="49" fillId="2" borderId="0" xfId="15" applyFont="1" applyFill="1" applyBorder="1" applyAlignment="1" applyProtection="1">
      <alignment vertical="top" wrapText="1"/>
      <protection hidden="1"/>
    </xf>
    <xf numFmtId="0" fontId="13" fillId="2" borderId="19" xfId="0" applyFont="1" applyFill="1" applyBorder="1"/>
    <xf numFmtId="0" fontId="13" fillId="2" borderId="0" xfId="0" applyFont="1" applyFill="1" applyBorder="1"/>
    <xf numFmtId="0" fontId="20" fillId="12" borderId="0" xfId="15" applyFont="1" applyFill="1" applyAlignment="1" applyProtection="1">
      <alignment vertical="center"/>
      <protection hidden="1"/>
    </xf>
    <xf numFmtId="0" fontId="51" fillId="12" borderId="0" xfId="15" applyFont="1" applyFill="1" applyAlignment="1" applyProtection="1">
      <alignment vertical="center"/>
      <protection hidden="1"/>
    </xf>
    <xf numFmtId="0" fontId="50" fillId="12" borderId="0" xfId="15" applyFont="1" applyFill="1" applyAlignment="1" applyProtection="1">
      <alignment vertical="center"/>
      <protection hidden="1"/>
    </xf>
    <xf numFmtId="0" fontId="17" fillId="2" borderId="19" xfId="15" applyFont="1" applyFill="1" applyBorder="1" applyAlignment="1" applyProtection="1">
      <alignment horizontal="left" vertical="center"/>
      <protection hidden="1"/>
    </xf>
    <xf numFmtId="0" fontId="13" fillId="7" borderId="0" xfId="0" applyFont="1" applyFill="1" applyBorder="1" applyAlignment="1" applyProtection="1">
      <alignment wrapText="1"/>
      <protection locked="0" hidden="1"/>
    </xf>
    <xf numFmtId="0" fontId="13" fillId="3" borderId="4" xfId="0" applyFont="1" applyFill="1" applyBorder="1" applyProtection="1">
      <protection locked="0"/>
    </xf>
    <xf numFmtId="0" fontId="16" fillId="12" borderId="0" xfId="0" applyFont="1" applyFill="1" applyBorder="1"/>
    <xf numFmtId="0" fontId="16" fillId="12" borderId="0" xfId="0" applyFont="1" applyFill="1"/>
    <xf numFmtId="0" fontId="16" fillId="12" borderId="0" xfId="0" applyNumberFormat="1" applyFont="1" applyFill="1" applyBorder="1"/>
    <xf numFmtId="0" fontId="17" fillId="12" borderId="0" xfId="0" applyFont="1" applyFill="1" applyBorder="1"/>
    <xf numFmtId="0" fontId="16" fillId="12" borderId="0" xfId="0" applyFont="1" applyFill="1" applyBorder="1" applyAlignment="1">
      <alignment horizontal="right" wrapText="1"/>
    </xf>
    <xf numFmtId="0" fontId="16" fillId="12" borderId="0" xfId="0" applyNumberFormat="1" applyFont="1" applyFill="1" applyBorder="1" applyAlignment="1">
      <alignment horizontal="right" wrapText="1"/>
    </xf>
    <xf numFmtId="0" fontId="16" fillId="12" borderId="0" xfId="0" applyFont="1" applyFill="1" applyBorder="1" applyAlignment="1">
      <alignment wrapText="1"/>
    </xf>
    <xf numFmtId="0" fontId="16" fillId="12" borderId="0" xfId="0" applyNumberFormat="1" applyFont="1" applyFill="1" applyBorder="1" applyAlignment="1">
      <alignment wrapText="1"/>
    </xf>
    <xf numFmtId="171" fontId="16" fillId="12" borderId="0" xfId="0" applyNumberFormat="1" applyFont="1" applyFill="1" applyBorder="1"/>
    <xf numFmtId="171" fontId="16" fillId="12" borderId="0" xfId="0" applyNumberFormat="1" applyFont="1" applyFill="1" applyBorder="1" applyAlignment="1">
      <alignment horizontal="right" wrapText="1"/>
    </xf>
    <xf numFmtId="9" fontId="16" fillId="12" borderId="0" xfId="0" applyNumberFormat="1" applyFont="1" applyFill="1" applyBorder="1"/>
    <xf numFmtId="10" fontId="16" fillId="12" borderId="0" xfId="0" applyNumberFormat="1" applyFont="1" applyFill="1" applyBorder="1"/>
    <xf numFmtId="49" fontId="16" fillId="12" borderId="0" xfId="0" applyNumberFormat="1" applyFont="1" applyFill="1" applyBorder="1"/>
    <xf numFmtId="0" fontId="17" fillId="12" borderId="0" xfId="0" applyFont="1" applyFill="1" applyBorder="1" applyAlignment="1">
      <alignment horizontal="right" wrapText="1"/>
    </xf>
    <xf numFmtId="0" fontId="16" fillId="12" borderId="0" xfId="0" applyFont="1" applyFill="1" applyBorder="1" applyAlignment="1">
      <alignment horizontal="left" wrapText="1"/>
    </xf>
    <xf numFmtId="1" fontId="16" fillId="12" borderId="0" xfId="0" applyNumberFormat="1" applyFont="1" applyFill="1" applyBorder="1" applyAlignment="1">
      <alignment horizontal="right" wrapText="1"/>
    </xf>
    <xf numFmtId="4" fontId="16" fillId="12" borderId="0" xfId="0" applyNumberFormat="1" applyFont="1" applyFill="1" applyBorder="1"/>
    <xf numFmtId="2" fontId="16" fillId="12" borderId="0" xfId="0" applyNumberFormat="1" applyFont="1" applyFill="1" applyBorder="1"/>
    <xf numFmtId="0" fontId="16" fillId="12" borderId="0" xfId="0" applyFont="1" applyFill="1" applyBorder="1" applyProtection="1">
      <protection locked="0"/>
    </xf>
    <xf numFmtId="0" fontId="13" fillId="2" borderId="4" xfId="0" applyFont="1" applyFill="1" applyBorder="1" applyProtection="1">
      <protection hidden="1"/>
    </xf>
    <xf numFmtId="2" fontId="13" fillId="2" borderId="4" xfId="0" applyNumberFormat="1" applyFont="1" applyFill="1" applyBorder="1" applyProtection="1">
      <protection hidden="1"/>
    </xf>
    <xf numFmtId="176" fontId="18" fillId="2" borderId="4" xfId="17" applyNumberFormat="1" applyFont="1" applyFill="1" applyBorder="1" applyAlignment="1" applyProtection="1">
      <alignment vertical="center"/>
      <protection hidden="1"/>
    </xf>
    <xf numFmtId="173" fontId="18" fillId="2" borderId="4" xfId="17" applyNumberFormat="1" applyFont="1" applyFill="1" applyBorder="1" applyAlignment="1" applyProtection="1">
      <alignment vertical="center"/>
      <protection hidden="1"/>
    </xf>
    <xf numFmtId="173" fontId="18" fillId="2" borderId="15" xfId="17" applyNumberFormat="1" applyFont="1" applyFill="1" applyBorder="1" applyAlignment="1" applyProtection="1">
      <alignment horizontal="center" vertical="center"/>
      <protection hidden="1"/>
    </xf>
    <xf numFmtId="0" fontId="16" fillId="0" borderId="15" xfId="0" applyFont="1" applyBorder="1" applyProtection="1">
      <protection hidden="1"/>
    </xf>
    <xf numFmtId="0" fontId="43" fillId="0" borderId="0" xfId="1" applyFont="1" applyBorder="1" applyAlignment="1" applyProtection="1">
      <alignment horizontal="center" vertical="center" wrapText="1"/>
      <protection hidden="1"/>
    </xf>
    <xf numFmtId="0" fontId="0" fillId="0" borderId="19" xfId="0" applyBorder="1" applyProtection="1">
      <protection hidden="1"/>
    </xf>
    <xf numFmtId="2" fontId="12" fillId="2" borderId="0" xfId="0" applyNumberFormat="1" applyFont="1" applyFill="1" applyBorder="1" applyAlignment="1" applyProtection="1">
      <alignment horizontal="center"/>
      <protection hidden="1"/>
    </xf>
    <xf numFmtId="0" fontId="16" fillId="2" borderId="4" xfId="0" applyFont="1" applyFill="1" applyBorder="1" applyProtection="1">
      <protection hidden="1"/>
    </xf>
    <xf numFmtId="178" fontId="16" fillId="2" borderId="4" xfId="17" applyNumberFormat="1" applyFont="1" applyFill="1" applyBorder="1" applyAlignment="1" applyProtection="1">
      <alignment horizontal="center" vertical="center"/>
      <protection hidden="1"/>
    </xf>
    <xf numFmtId="0" fontId="18" fillId="2" borderId="36" xfId="15" applyFont="1" applyFill="1" applyBorder="1" applyAlignment="1" applyProtection="1">
      <alignment horizontal="left" vertical="center"/>
      <protection hidden="1"/>
    </xf>
    <xf numFmtId="174" fontId="21" fillId="5" borderId="14" xfId="15" applyNumberFormat="1" applyFont="1" applyFill="1" applyBorder="1" applyAlignment="1" applyProtection="1">
      <alignment vertical="center"/>
      <protection hidden="1"/>
    </xf>
    <xf numFmtId="0" fontId="18" fillId="2" borderId="27" xfId="15" applyFont="1" applyFill="1" applyBorder="1" applyAlignment="1" applyProtection="1">
      <alignment horizontal="left" vertical="center"/>
      <protection hidden="1"/>
    </xf>
    <xf numFmtId="174" fontId="21" fillId="5" borderId="15" xfId="15" applyNumberFormat="1" applyFont="1" applyFill="1" applyBorder="1" applyAlignment="1" applyProtection="1">
      <alignment vertical="center"/>
      <protection hidden="1"/>
    </xf>
    <xf numFmtId="174" fontId="21" fillId="5" borderId="8" xfId="15" applyNumberFormat="1" applyFont="1" applyFill="1" applyBorder="1" applyAlignment="1" applyProtection="1">
      <alignment vertical="center"/>
      <protection hidden="1"/>
    </xf>
    <xf numFmtId="174" fontId="21" fillId="5" borderId="17" xfId="15" applyNumberFormat="1" applyFont="1" applyFill="1" applyBorder="1" applyAlignment="1" applyProtection="1">
      <alignment vertical="center"/>
      <protection hidden="1"/>
    </xf>
    <xf numFmtId="174" fontId="18" fillId="5" borderId="13" xfId="15" applyNumberFormat="1" applyFont="1" applyFill="1" applyBorder="1" applyAlignment="1" applyProtection="1">
      <alignment vertical="center"/>
      <protection hidden="1"/>
    </xf>
    <xf numFmtId="174" fontId="18" fillId="5" borderId="14" xfId="15" applyNumberFormat="1" applyFont="1" applyFill="1" applyBorder="1" applyAlignment="1" applyProtection="1">
      <alignment vertical="center"/>
      <protection hidden="1"/>
    </xf>
    <xf numFmtId="0" fontId="18" fillId="2" borderId="43" xfId="15" applyFont="1" applyFill="1" applyBorder="1" applyAlignment="1" applyProtection="1">
      <alignment horizontal="left" vertical="center"/>
      <protection hidden="1"/>
    </xf>
    <xf numFmtId="174" fontId="21" fillId="2" borderId="8" xfId="15" applyNumberFormat="1" applyFont="1" applyFill="1" applyBorder="1" applyAlignment="1" applyProtection="1">
      <alignment vertical="center"/>
      <protection hidden="1"/>
    </xf>
    <xf numFmtId="174" fontId="21" fillId="5" borderId="60" xfId="15" applyNumberFormat="1" applyFont="1" applyFill="1" applyBorder="1" applyAlignment="1" applyProtection="1">
      <alignment vertical="center"/>
      <protection hidden="1"/>
    </xf>
    <xf numFmtId="0" fontId="50" fillId="12" borderId="11" xfId="15" applyFont="1" applyFill="1" applyBorder="1" applyAlignment="1" applyProtection="1">
      <alignment vertical="center"/>
      <protection hidden="1"/>
    </xf>
    <xf numFmtId="0" fontId="12" fillId="2" borderId="16" xfId="0" applyFont="1" applyFill="1" applyBorder="1" applyProtection="1">
      <protection hidden="1"/>
    </xf>
    <xf numFmtId="0" fontId="12" fillId="2" borderId="17" xfId="0" applyFont="1" applyFill="1" applyBorder="1" applyProtection="1">
      <protection hidden="1"/>
    </xf>
    <xf numFmtId="0" fontId="50" fillId="12" borderId="0" xfId="0" applyFont="1" applyFill="1" applyProtection="1">
      <protection hidden="1"/>
    </xf>
    <xf numFmtId="0" fontId="50" fillId="12" borderId="11" xfId="0" applyFont="1" applyFill="1" applyBorder="1" applyProtection="1">
      <protection hidden="1"/>
    </xf>
    <xf numFmtId="0" fontId="13" fillId="2" borderId="19" xfId="0" applyFont="1" applyFill="1" applyBorder="1" applyProtection="1">
      <protection hidden="1"/>
    </xf>
    <xf numFmtId="0" fontId="13" fillId="2" borderId="16" xfId="0" applyFont="1" applyFill="1" applyBorder="1" applyProtection="1">
      <protection hidden="1"/>
    </xf>
    <xf numFmtId="0" fontId="13" fillId="2" borderId="17" xfId="0" applyFont="1" applyFill="1" applyBorder="1" applyProtection="1">
      <protection hidden="1"/>
    </xf>
    <xf numFmtId="0" fontId="13" fillId="2" borderId="18" xfId="0" applyFont="1" applyFill="1" applyBorder="1" applyProtection="1">
      <protection hidden="1"/>
    </xf>
    <xf numFmtId="49" fontId="12" fillId="2" borderId="19" xfId="0" applyNumberFormat="1" applyFont="1" applyFill="1" applyBorder="1" applyProtection="1">
      <protection hidden="1"/>
    </xf>
    <xf numFmtId="49" fontId="13" fillId="2" borderId="0" xfId="0" applyNumberFormat="1" applyFont="1" applyFill="1" applyBorder="1" applyProtection="1">
      <protection hidden="1"/>
    </xf>
    <xf numFmtId="0" fontId="13" fillId="2" borderId="0" xfId="0" applyFont="1" applyFill="1" applyBorder="1" applyProtection="1">
      <protection hidden="1"/>
    </xf>
    <xf numFmtId="49" fontId="12" fillId="2" borderId="0" xfId="0" applyNumberFormat="1" applyFont="1" applyFill="1" applyBorder="1" applyProtection="1">
      <protection hidden="1"/>
    </xf>
    <xf numFmtId="0" fontId="13" fillId="2" borderId="20" xfId="0" applyFont="1" applyFill="1" applyBorder="1" applyProtection="1">
      <protection hidden="1"/>
    </xf>
    <xf numFmtId="49" fontId="50" fillId="12" borderId="0" xfId="0" applyNumberFormat="1" applyFont="1" applyFill="1" applyProtection="1">
      <protection hidden="1"/>
    </xf>
    <xf numFmtId="0" fontId="13" fillId="2" borderId="39" xfId="0" applyFont="1" applyFill="1" applyBorder="1" applyAlignment="1" applyProtection="1">
      <alignment vertical="center"/>
      <protection hidden="1"/>
    </xf>
    <xf numFmtId="0" fontId="13" fillId="2" borderId="37" xfId="0" applyFont="1" applyFill="1" applyBorder="1" applyAlignment="1" applyProtection="1">
      <alignment vertical="center" wrapText="1"/>
      <protection hidden="1"/>
    </xf>
    <xf numFmtId="0" fontId="43" fillId="2" borderId="35" xfId="1" applyFont="1" applyFill="1" applyBorder="1" applyAlignment="1" applyProtection="1">
      <alignment vertical="center"/>
      <protection hidden="1"/>
    </xf>
    <xf numFmtId="0" fontId="13" fillId="2" borderId="42" xfId="0" applyFont="1" applyFill="1" applyBorder="1" applyAlignment="1" applyProtection="1">
      <alignment vertical="center"/>
      <protection hidden="1"/>
    </xf>
    <xf numFmtId="0" fontId="53" fillId="12" borderId="8" xfId="0" applyFont="1" applyFill="1" applyBorder="1" applyProtection="1">
      <protection hidden="1"/>
    </xf>
    <xf numFmtId="0" fontId="43" fillId="2" borderId="35" xfId="1" applyFont="1" applyFill="1" applyBorder="1" applyAlignment="1" applyProtection="1">
      <alignment vertical="top" wrapText="1"/>
      <protection hidden="1"/>
    </xf>
    <xf numFmtId="0" fontId="53" fillId="12" borderId="0" xfId="0" applyFont="1" applyFill="1" applyBorder="1" applyProtection="1">
      <protection hidden="1"/>
    </xf>
    <xf numFmtId="0" fontId="43" fillId="2" borderId="27" xfId="1" applyFont="1" applyFill="1" applyBorder="1" applyAlignment="1" applyProtection="1">
      <alignment vertical="center" wrapText="1"/>
      <protection hidden="1"/>
    </xf>
    <xf numFmtId="0" fontId="13" fillId="2" borderId="28" xfId="0" applyFont="1" applyFill="1" applyBorder="1" applyAlignment="1" applyProtection="1">
      <alignment vertical="center"/>
      <protection hidden="1"/>
    </xf>
    <xf numFmtId="0" fontId="14" fillId="2" borderId="19" xfId="0" applyFont="1" applyFill="1" applyBorder="1" applyProtection="1">
      <protection hidden="1"/>
    </xf>
    <xf numFmtId="1" fontId="50" fillId="12" borderId="0" xfId="0" applyNumberFormat="1" applyFont="1" applyFill="1" applyProtection="1">
      <protection hidden="1"/>
    </xf>
    <xf numFmtId="0" fontId="13" fillId="2" borderId="21" xfId="0" applyFont="1" applyFill="1" applyBorder="1" applyProtection="1">
      <protection hidden="1"/>
    </xf>
    <xf numFmtId="0" fontId="13" fillId="2" borderId="22" xfId="0" applyFont="1" applyFill="1" applyBorder="1" applyProtection="1">
      <protection hidden="1"/>
    </xf>
    <xf numFmtId="0" fontId="13" fillId="2" borderId="23" xfId="0" applyFont="1" applyFill="1" applyBorder="1" applyProtection="1">
      <protection hidden="1"/>
    </xf>
    <xf numFmtId="0" fontId="13" fillId="7" borderId="0" xfId="0" applyFont="1" applyFill="1" applyBorder="1" applyProtection="1">
      <protection hidden="1"/>
    </xf>
    <xf numFmtId="0" fontId="13" fillId="7" borderId="0" xfId="0" applyFont="1" applyFill="1" applyProtection="1">
      <protection hidden="1"/>
    </xf>
    <xf numFmtId="0" fontId="13" fillId="0" borderId="0" xfId="0" applyFont="1" applyProtection="1">
      <protection hidden="1"/>
    </xf>
    <xf numFmtId="0" fontId="0" fillId="7" borderId="0" xfId="0" applyFill="1" applyProtection="1">
      <protection hidden="1"/>
    </xf>
    <xf numFmtId="0" fontId="0" fillId="0" borderId="0" xfId="0" applyProtection="1">
      <protection hidden="1"/>
    </xf>
    <xf numFmtId="0" fontId="12" fillId="2" borderId="19" xfId="0" applyFont="1" applyFill="1" applyBorder="1" applyProtection="1">
      <protection hidden="1"/>
    </xf>
    <xf numFmtId="0" fontId="0" fillId="7" borderId="0" xfId="0" applyFill="1" applyBorder="1" applyProtection="1">
      <protection hidden="1"/>
    </xf>
    <xf numFmtId="0" fontId="12" fillId="2" borderId="21" xfId="0" applyFont="1" applyFill="1" applyBorder="1" applyProtection="1">
      <protection hidden="1"/>
    </xf>
    <xf numFmtId="0" fontId="12" fillId="2" borderId="22" xfId="0" applyFont="1" applyFill="1" applyBorder="1" applyProtection="1">
      <protection hidden="1"/>
    </xf>
    <xf numFmtId="0" fontId="12" fillId="2" borderId="19" xfId="0" applyFont="1" applyFill="1" applyBorder="1" applyAlignment="1" applyProtection="1">
      <alignment horizontal="right"/>
      <protection hidden="1"/>
    </xf>
    <xf numFmtId="0" fontId="42" fillId="2" borderId="19" xfId="0" applyFont="1" applyFill="1" applyBorder="1" applyProtection="1">
      <protection hidden="1"/>
    </xf>
    <xf numFmtId="0" fontId="13" fillId="7" borderId="0" xfId="0" applyFont="1" applyFill="1" applyBorder="1" applyAlignment="1" applyProtection="1">
      <alignment horizontal="left"/>
      <protection hidden="1"/>
    </xf>
    <xf numFmtId="0" fontId="13" fillId="2" borderId="19" xfId="0" applyFont="1" applyFill="1" applyBorder="1" applyAlignment="1" applyProtection="1">
      <alignment vertical="center"/>
      <protection hidden="1"/>
    </xf>
    <xf numFmtId="0" fontId="24" fillId="7" borderId="0" xfId="0" applyFont="1" applyFill="1" applyBorder="1" applyAlignment="1" applyProtection="1">
      <alignment vertical="center"/>
      <protection hidden="1"/>
    </xf>
    <xf numFmtId="0" fontId="42" fillId="7" borderId="0" xfId="0" applyFont="1" applyFill="1" applyBorder="1" applyProtection="1">
      <protection hidden="1"/>
    </xf>
    <xf numFmtId="0" fontId="13" fillId="7" borderId="0" xfId="0" applyFont="1" applyFill="1" applyBorder="1" applyAlignment="1" applyProtection="1">
      <alignment vertical="center"/>
      <protection hidden="1"/>
    </xf>
    <xf numFmtId="0" fontId="13" fillId="2" borderId="21" xfId="0" applyFont="1" applyFill="1" applyBorder="1" applyAlignment="1" applyProtection="1">
      <alignment vertical="center"/>
      <protection hidden="1"/>
    </xf>
    <xf numFmtId="0" fontId="13" fillId="2" borderId="22" xfId="0" applyFont="1" applyFill="1" applyBorder="1" applyAlignment="1" applyProtection="1">
      <alignment vertical="center"/>
      <protection hidden="1"/>
    </xf>
    <xf numFmtId="0" fontId="24" fillId="2" borderId="23" xfId="0" applyFont="1" applyFill="1" applyBorder="1" applyAlignment="1" applyProtection="1">
      <alignment vertical="center"/>
      <protection hidden="1"/>
    </xf>
    <xf numFmtId="0" fontId="31" fillId="2" borderId="0" xfId="0" applyFont="1" applyFill="1" applyBorder="1" applyAlignment="1" applyProtection="1">
      <alignment vertical="center"/>
      <protection hidden="1"/>
    </xf>
    <xf numFmtId="0" fontId="24" fillId="2" borderId="0" xfId="0" applyFont="1" applyFill="1" applyBorder="1" applyAlignment="1" applyProtection="1">
      <alignment vertical="center"/>
      <protection hidden="1"/>
    </xf>
    <xf numFmtId="0" fontId="24" fillId="2" borderId="20" xfId="0" applyFont="1" applyFill="1" applyBorder="1" applyAlignment="1" applyProtection="1">
      <alignment vertical="center"/>
      <protection hidden="1"/>
    </xf>
    <xf numFmtId="0" fontId="24" fillId="2" borderId="19" xfId="0" applyFont="1" applyFill="1" applyBorder="1" applyAlignment="1" applyProtection="1">
      <alignment vertical="center"/>
      <protection hidden="1"/>
    </xf>
    <xf numFmtId="0" fontId="28" fillId="2" borderId="16" xfId="0" applyFont="1" applyFill="1" applyBorder="1" applyAlignment="1" applyProtection="1">
      <alignment vertical="center"/>
      <protection hidden="1"/>
    </xf>
    <xf numFmtId="0" fontId="28" fillId="2" borderId="17" xfId="0" applyFont="1" applyFill="1" applyBorder="1" applyAlignment="1" applyProtection="1">
      <alignment vertical="center"/>
      <protection hidden="1"/>
    </xf>
    <xf numFmtId="0" fontId="24" fillId="2" borderId="17" xfId="0" applyFont="1" applyFill="1" applyBorder="1" applyAlignment="1" applyProtection="1">
      <alignment vertical="center"/>
      <protection hidden="1"/>
    </xf>
    <xf numFmtId="0" fontId="24" fillId="2" borderId="18" xfId="0" applyFont="1" applyFill="1" applyBorder="1" applyAlignment="1" applyProtection="1">
      <alignment vertical="center"/>
      <protection hidden="1"/>
    </xf>
    <xf numFmtId="0" fontId="24" fillId="2" borderId="4" xfId="0" applyFont="1" applyFill="1" applyBorder="1" applyAlignment="1" applyProtection="1">
      <alignment vertical="center"/>
      <protection hidden="1"/>
    </xf>
    <xf numFmtId="181" fontId="24" fillId="2" borderId="4" xfId="58" applyNumberFormat="1" applyFont="1" applyFill="1" applyBorder="1" applyAlignment="1" applyProtection="1">
      <alignment vertical="center"/>
      <protection hidden="1"/>
    </xf>
    <xf numFmtId="181" fontId="24" fillId="2" borderId="30" xfId="0" applyNumberFormat="1" applyFont="1" applyFill="1" applyBorder="1" applyAlignment="1" applyProtection="1">
      <alignment vertical="center"/>
      <protection hidden="1"/>
    </xf>
    <xf numFmtId="0" fontId="27" fillId="2" borderId="51" xfId="0" applyFont="1" applyFill="1" applyBorder="1" applyAlignment="1" applyProtection="1">
      <alignment vertical="center"/>
      <protection hidden="1"/>
    </xf>
    <xf numFmtId="0" fontId="27" fillId="2" borderId="52" xfId="0" applyFont="1" applyFill="1" applyBorder="1" applyAlignment="1" applyProtection="1">
      <alignment vertical="center"/>
      <protection hidden="1"/>
    </xf>
    <xf numFmtId="0" fontId="24" fillId="2" borderId="52" xfId="0" applyFont="1" applyFill="1" applyBorder="1" applyAlignment="1" applyProtection="1">
      <alignment vertical="center"/>
      <protection hidden="1"/>
    </xf>
    <xf numFmtId="0" fontId="0" fillId="2" borderId="16" xfId="0" applyFont="1" applyFill="1" applyBorder="1" applyProtection="1">
      <protection hidden="1"/>
    </xf>
    <xf numFmtId="0" fontId="0" fillId="2" borderId="17" xfId="0" applyFont="1" applyFill="1" applyBorder="1" applyProtection="1">
      <protection hidden="1"/>
    </xf>
    <xf numFmtId="0" fontId="0" fillId="2" borderId="18" xfId="0" applyFont="1" applyFill="1" applyBorder="1" applyProtection="1">
      <protection hidden="1"/>
    </xf>
    <xf numFmtId="0" fontId="52" fillId="12" borderId="0" xfId="0" applyFont="1" applyFill="1" applyProtection="1">
      <protection hidden="1"/>
    </xf>
    <xf numFmtId="0" fontId="0" fillId="7" borderId="0" xfId="0" applyFont="1" applyFill="1" applyProtection="1">
      <protection hidden="1"/>
    </xf>
    <xf numFmtId="0" fontId="0" fillId="2" borderId="19" xfId="0" applyFont="1" applyFill="1" applyBorder="1" applyProtection="1">
      <protection hidden="1"/>
    </xf>
    <xf numFmtId="0" fontId="0" fillId="2" borderId="0" xfId="0" applyFont="1" applyFill="1" applyBorder="1" applyProtection="1">
      <protection hidden="1"/>
    </xf>
    <xf numFmtId="0" fontId="0" fillId="2" borderId="20" xfId="0" applyFont="1" applyFill="1" applyBorder="1" applyProtection="1">
      <protection hidden="1"/>
    </xf>
    <xf numFmtId="0" fontId="0" fillId="2" borderId="21" xfId="0" applyFont="1" applyFill="1" applyBorder="1" applyProtection="1">
      <protection hidden="1"/>
    </xf>
    <xf numFmtId="0" fontId="6" fillId="2" borderId="21" xfId="0" applyFont="1" applyFill="1" applyBorder="1" applyProtection="1">
      <protection hidden="1"/>
    </xf>
    <xf numFmtId="0" fontId="6" fillId="2" borderId="22" xfId="0" applyFont="1" applyFill="1" applyBorder="1" applyProtection="1">
      <protection hidden="1"/>
    </xf>
    <xf numFmtId="0" fontId="0" fillId="2" borderId="22" xfId="0" applyFont="1" applyFill="1" applyBorder="1" applyProtection="1">
      <protection hidden="1"/>
    </xf>
    <xf numFmtId="0" fontId="0" fillId="2" borderId="23" xfId="0" applyFont="1" applyFill="1" applyBorder="1" applyProtection="1">
      <protection hidden="1"/>
    </xf>
    <xf numFmtId="0" fontId="0" fillId="2" borderId="47" xfId="0" applyFont="1" applyFill="1" applyBorder="1" applyProtection="1">
      <protection hidden="1"/>
    </xf>
    <xf numFmtId="0" fontId="0" fillId="2" borderId="49" xfId="0" applyFont="1" applyFill="1" applyBorder="1" applyProtection="1">
      <protection hidden="1"/>
    </xf>
    <xf numFmtId="0" fontId="0" fillId="2" borderId="6" xfId="0" applyFont="1" applyFill="1" applyBorder="1" applyProtection="1">
      <protection hidden="1"/>
    </xf>
    <xf numFmtId="0" fontId="6" fillId="2" borderId="6" xfId="0" applyFont="1" applyFill="1" applyBorder="1" applyProtection="1">
      <protection hidden="1"/>
    </xf>
    <xf numFmtId="0" fontId="0" fillId="2" borderId="7" xfId="0" applyFont="1" applyFill="1" applyBorder="1" applyProtection="1">
      <protection hidden="1"/>
    </xf>
    <xf numFmtId="0" fontId="43" fillId="2" borderId="0" xfId="1" applyFont="1" applyFill="1" applyBorder="1" applyAlignment="1" applyProtection="1">
      <alignment horizontal="left"/>
      <protection hidden="1"/>
    </xf>
    <xf numFmtId="4" fontId="0" fillId="2" borderId="4" xfId="0" applyNumberFormat="1" applyFont="1" applyFill="1" applyBorder="1" applyProtection="1">
      <protection hidden="1"/>
    </xf>
    <xf numFmtId="0" fontId="0" fillId="2" borderId="9" xfId="0" applyFont="1" applyFill="1" applyBorder="1" applyProtection="1">
      <protection hidden="1"/>
    </xf>
    <xf numFmtId="0" fontId="0" fillId="2" borderId="20" xfId="0" applyFont="1" applyFill="1" applyBorder="1" applyAlignment="1" applyProtection="1">
      <alignment vertical="top"/>
      <protection hidden="1"/>
    </xf>
    <xf numFmtId="3" fontId="0" fillId="2" borderId="4" xfId="0" applyNumberFormat="1" applyFont="1" applyFill="1" applyBorder="1" applyProtection="1">
      <protection hidden="1"/>
    </xf>
    <xf numFmtId="1" fontId="0" fillId="2" borderId="4" xfId="0" applyNumberFormat="1" applyFont="1" applyFill="1" applyBorder="1" applyProtection="1">
      <protection hidden="1"/>
    </xf>
    <xf numFmtId="0" fontId="43" fillId="2" borderId="11" xfId="1" applyFont="1" applyFill="1" applyBorder="1" applyAlignment="1" applyProtection="1">
      <alignment horizontal="left"/>
      <protection hidden="1"/>
    </xf>
    <xf numFmtId="0" fontId="0" fillId="2" borderId="12" xfId="0" applyFont="1" applyFill="1" applyBorder="1" applyProtection="1">
      <protection hidden="1"/>
    </xf>
    <xf numFmtId="0" fontId="43" fillId="2" borderId="0" xfId="1" applyFont="1" applyFill="1" applyBorder="1" applyAlignment="1" applyProtection="1">
      <alignment horizontal="left" vertical="top" wrapText="1"/>
      <protection hidden="1"/>
    </xf>
    <xf numFmtId="4" fontId="0" fillId="2" borderId="0" xfId="58" applyNumberFormat="1" applyFont="1" applyFill="1" applyBorder="1" applyProtection="1">
      <protection hidden="1"/>
    </xf>
    <xf numFmtId="0" fontId="33" fillId="2" borderId="0" xfId="0" applyFont="1" applyFill="1" applyBorder="1" applyProtection="1">
      <protection hidden="1"/>
    </xf>
    <xf numFmtId="0" fontId="0" fillId="2" borderId="0" xfId="0" applyFont="1" applyFill="1" applyBorder="1" applyAlignment="1" applyProtection="1">
      <alignment vertical="top"/>
      <protection hidden="1"/>
    </xf>
    <xf numFmtId="2" fontId="0" fillId="2" borderId="0" xfId="0" applyNumberFormat="1" applyFont="1" applyFill="1" applyBorder="1" applyProtection="1">
      <protection hidden="1"/>
    </xf>
    <xf numFmtId="0" fontId="43" fillId="2" borderId="0" xfId="1" applyFont="1" applyFill="1" applyBorder="1" applyAlignment="1" applyProtection="1">
      <alignment horizontal="right"/>
      <protection hidden="1"/>
    </xf>
    <xf numFmtId="3" fontId="0" fillId="2" borderId="4" xfId="58" applyNumberFormat="1" applyFont="1" applyFill="1" applyBorder="1" applyProtection="1">
      <protection hidden="1"/>
    </xf>
    <xf numFmtId="182" fontId="0" fillId="2" borderId="0" xfId="0" applyNumberFormat="1" applyFont="1" applyFill="1" applyBorder="1" applyProtection="1">
      <protection hidden="1"/>
    </xf>
    <xf numFmtId="4" fontId="0" fillId="2" borderId="4" xfId="58" applyNumberFormat="1" applyFont="1" applyFill="1" applyBorder="1" applyProtection="1">
      <protection hidden="1"/>
    </xf>
    <xf numFmtId="44" fontId="0" fillId="2" borderId="0" xfId="58" applyFont="1" applyFill="1" applyBorder="1" applyProtection="1">
      <protection hidden="1"/>
    </xf>
    <xf numFmtId="170" fontId="0" fillId="2" borderId="4" xfId="0" applyNumberFormat="1" applyFont="1" applyFill="1" applyBorder="1" applyProtection="1">
      <protection hidden="1"/>
    </xf>
    <xf numFmtId="0" fontId="0" fillId="2" borderId="9" xfId="0" applyFill="1" applyBorder="1" applyProtection="1">
      <protection hidden="1"/>
    </xf>
    <xf numFmtId="170" fontId="0" fillId="2" borderId="0" xfId="0" applyNumberFormat="1" applyFont="1" applyFill="1" applyBorder="1" applyProtection="1">
      <protection hidden="1"/>
    </xf>
    <xf numFmtId="1" fontId="0" fillId="2" borderId="0" xfId="0" applyNumberFormat="1" applyFont="1" applyFill="1" applyBorder="1" applyProtection="1">
      <protection hidden="1"/>
    </xf>
    <xf numFmtId="3" fontId="0" fillId="2" borderId="0" xfId="0" applyNumberFormat="1" applyFont="1" applyFill="1" applyBorder="1" applyProtection="1">
      <protection hidden="1"/>
    </xf>
    <xf numFmtId="0" fontId="43" fillId="2" borderId="11" xfId="1" applyFont="1" applyFill="1" applyBorder="1" applyAlignment="1" applyProtection="1">
      <alignment horizontal="right"/>
      <protection hidden="1"/>
    </xf>
    <xf numFmtId="168" fontId="0" fillId="2" borderId="0" xfId="14" applyNumberFormat="1" applyFont="1" applyFill="1" applyBorder="1" applyProtection="1">
      <protection hidden="1"/>
    </xf>
    <xf numFmtId="43" fontId="0" fillId="2" borderId="0" xfId="0" applyNumberFormat="1" applyFont="1" applyFill="1" applyBorder="1" applyProtection="1">
      <protection hidden="1"/>
    </xf>
    <xf numFmtId="0" fontId="0" fillId="2" borderId="48" xfId="0" applyFont="1" applyFill="1" applyBorder="1" applyProtection="1">
      <protection hidden="1"/>
    </xf>
    <xf numFmtId="0" fontId="0" fillId="7" borderId="19" xfId="0" applyFont="1" applyFill="1" applyBorder="1" applyProtection="1">
      <protection hidden="1"/>
    </xf>
    <xf numFmtId="0" fontId="0" fillId="7" borderId="0" xfId="0" applyFont="1" applyFill="1" applyBorder="1" applyProtection="1">
      <protection hidden="1"/>
    </xf>
    <xf numFmtId="180" fontId="0" fillId="7" borderId="0" xfId="0" applyNumberFormat="1" applyFont="1" applyFill="1" applyBorder="1" applyProtection="1">
      <protection hidden="1"/>
    </xf>
    <xf numFmtId="0" fontId="33" fillId="7" borderId="0" xfId="0" applyFont="1" applyFill="1" applyProtection="1">
      <protection hidden="1"/>
    </xf>
    <xf numFmtId="2" fontId="0" fillId="7" borderId="0" xfId="0" applyNumberFormat="1" applyFont="1" applyFill="1" applyProtection="1">
      <protection hidden="1"/>
    </xf>
    <xf numFmtId="43" fontId="0" fillId="7" borderId="0" xfId="14" applyFont="1" applyFill="1" applyProtection="1">
      <protection hidden="1"/>
    </xf>
    <xf numFmtId="4" fontId="0" fillId="3" borderId="4" xfId="58" applyNumberFormat="1" applyFont="1" applyFill="1" applyBorder="1" applyProtection="1">
      <protection locked="0"/>
    </xf>
    <xf numFmtId="4" fontId="0" fillId="3" borderId="4" xfId="0" applyNumberFormat="1" applyFont="1" applyFill="1" applyBorder="1" applyProtection="1">
      <protection locked="0"/>
    </xf>
    <xf numFmtId="0" fontId="13" fillId="2" borderId="49" xfId="0" applyFont="1" applyFill="1" applyBorder="1" applyProtection="1">
      <protection hidden="1"/>
    </xf>
    <xf numFmtId="0" fontId="15" fillId="2" borderId="0" xfId="0" applyFont="1" applyFill="1" applyBorder="1" applyProtection="1">
      <protection hidden="1"/>
    </xf>
    <xf numFmtId="0" fontId="15" fillId="2" borderId="20" xfId="0" applyFont="1" applyFill="1" applyBorder="1" applyProtection="1">
      <protection hidden="1"/>
    </xf>
    <xf numFmtId="0" fontId="15" fillId="7" borderId="0" xfId="0" applyFont="1" applyFill="1" applyProtection="1">
      <protection hidden="1"/>
    </xf>
    <xf numFmtId="0" fontId="32" fillId="2" borderId="0" xfId="0" applyFont="1" applyFill="1" applyBorder="1" applyAlignment="1" applyProtection="1">
      <alignment vertical="top" wrapText="1"/>
      <protection hidden="1"/>
    </xf>
    <xf numFmtId="0" fontId="18" fillId="2" borderId="11" xfId="0" applyFont="1" applyFill="1" applyBorder="1" applyAlignment="1" applyProtection="1">
      <alignment vertical="top" wrapText="1"/>
      <protection hidden="1"/>
    </xf>
    <xf numFmtId="0" fontId="23" fillId="2" borderId="0" xfId="0" applyFont="1" applyFill="1" applyBorder="1" applyAlignment="1" applyProtection="1">
      <alignment horizontal="left" wrapText="1"/>
      <protection hidden="1"/>
    </xf>
    <xf numFmtId="1" fontId="23" fillId="2" borderId="20" xfId="0" applyNumberFormat="1" applyFont="1" applyFill="1" applyBorder="1" applyProtection="1">
      <protection hidden="1"/>
    </xf>
    <xf numFmtId="0" fontId="18" fillId="2" borderId="5" xfId="0" applyFont="1" applyFill="1" applyBorder="1" applyProtection="1">
      <protection hidden="1"/>
    </xf>
    <xf numFmtId="0" fontId="18" fillId="2" borderId="6" xfId="0" applyFont="1" applyFill="1" applyBorder="1" applyProtection="1">
      <protection hidden="1"/>
    </xf>
    <xf numFmtId="0" fontId="18" fillId="2" borderId="7" xfId="0" applyFont="1" applyFill="1" applyBorder="1" applyProtection="1">
      <protection hidden="1"/>
    </xf>
    <xf numFmtId="0" fontId="18" fillId="2" borderId="8" xfId="0" applyFont="1" applyFill="1" applyBorder="1" applyProtection="1">
      <protection hidden="1"/>
    </xf>
    <xf numFmtId="0" fontId="19" fillId="2" borderId="0" xfId="0" applyFont="1" applyFill="1" applyBorder="1" applyProtection="1">
      <protection hidden="1"/>
    </xf>
    <xf numFmtId="0" fontId="18" fillId="2" borderId="9" xfId="0" applyFont="1" applyFill="1" applyBorder="1" applyProtection="1">
      <protection hidden="1"/>
    </xf>
    <xf numFmtId="0" fontId="18" fillId="2" borderId="0" xfId="0" applyFont="1" applyFill="1" applyBorder="1" applyProtection="1">
      <protection hidden="1"/>
    </xf>
    <xf numFmtId="0" fontId="18" fillId="2" borderId="8" xfId="1" applyFont="1" applyFill="1" applyBorder="1" applyAlignment="1" applyProtection="1">
      <protection hidden="1"/>
    </xf>
    <xf numFmtId="0" fontId="18" fillId="2" borderId="10" xfId="1" applyFont="1" applyFill="1" applyBorder="1" applyAlignment="1" applyProtection="1">
      <protection hidden="1"/>
    </xf>
    <xf numFmtId="0" fontId="18" fillId="2" borderId="12" xfId="0" applyFont="1" applyFill="1" applyBorder="1" applyProtection="1">
      <protection hidden="1"/>
    </xf>
    <xf numFmtId="0" fontId="18" fillId="2" borderId="0" xfId="1" applyFont="1" applyFill="1" applyBorder="1" applyAlignment="1" applyProtection="1">
      <alignment horizontal="right"/>
      <protection hidden="1"/>
    </xf>
    <xf numFmtId="0" fontId="19" fillId="2" borderId="6" xfId="0" applyFont="1" applyFill="1" applyBorder="1" applyProtection="1">
      <protection hidden="1"/>
    </xf>
    <xf numFmtId="9" fontId="18" fillId="2" borderId="4" xfId="0" applyNumberFormat="1" applyFont="1" applyFill="1" applyBorder="1" applyProtection="1">
      <protection hidden="1"/>
    </xf>
    <xf numFmtId="0" fontId="13" fillId="2" borderId="48" xfId="0" applyFont="1" applyFill="1" applyBorder="1" applyProtection="1">
      <protection hidden="1"/>
    </xf>
    <xf numFmtId="0" fontId="15" fillId="2" borderId="22" xfId="0" applyFont="1" applyFill="1" applyBorder="1" applyProtection="1">
      <protection hidden="1"/>
    </xf>
    <xf numFmtId="9" fontId="18" fillId="3" borderId="4" xfId="22" applyFont="1" applyFill="1" applyBorder="1" applyProtection="1">
      <protection locked="0"/>
    </xf>
    <xf numFmtId="168" fontId="18" fillId="3" borderId="4" xfId="14" applyNumberFormat="1" applyFont="1" applyFill="1" applyBorder="1" applyProtection="1">
      <protection locked="0"/>
    </xf>
    <xf numFmtId="0" fontId="20" fillId="4" borderId="0" xfId="15" applyFont="1" applyFill="1" applyBorder="1" applyAlignment="1" applyProtection="1">
      <alignment vertical="center"/>
      <protection hidden="1"/>
    </xf>
    <xf numFmtId="0" fontId="50" fillId="4" borderId="0" xfId="0" applyFont="1" applyFill="1" applyBorder="1" applyProtection="1">
      <protection hidden="1"/>
    </xf>
    <xf numFmtId="0" fontId="50" fillId="4" borderId="0" xfId="0" applyFont="1" applyFill="1" applyProtection="1">
      <protection hidden="1"/>
    </xf>
    <xf numFmtId="0" fontId="20" fillId="4" borderId="0" xfId="0" applyFont="1" applyFill="1" applyBorder="1" applyProtection="1">
      <protection hidden="1"/>
    </xf>
    <xf numFmtId="0" fontId="20" fillId="4" borderId="0" xfId="0" applyFont="1" applyFill="1" applyProtection="1">
      <protection hidden="1"/>
    </xf>
    <xf numFmtId="0" fontId="51" fillId="4" borderId="0" xfId="0" applyFont="1" applyFill="1" applyBorder="1" applyAlignment="1" applyProtection="1">
      <alignment horizontal="left" wrapText="1"/>
      <protection hidden="1"/>
    </xf>
    <xf numFmtId="0" fontId="51" fillId="4" borderId="0" xfId="0" applyFont="1" applyFill="1" applyBorder="1" applyAlignment="1" applyProtection="1">
      <alignment horizontal="left" wrapText="1"/>
      <protection locked="0" hidden="1"/>
    </xf>
    <xf numFmtId="0" fontId="51" fillId="4" borderId="0" xfId="0" applyFont="1" applyFill="1" applyBorder="1" applyProtection="1">
      <protection hidden="1"/>
    </xf>
    <xf numFmtId="1" fontId="50" fillId="4" borderId="0" xfId="0" applyNumberFormat="1" applyFont="1" applyFill="1" applyProtection="1">
      <protection hidden="1"/>
    </xf>
    <xf numFmtId="9" fontId="20" fillId="4" borderId="0" xfId="22" applyFont="1" applyFill="1" applyBorder="1" applyProtection="1">
      <protection hidden="1"/>
    </xf>
    <xf numFmtId="170" fontId="20" fillId="4" borderId="0" xfId="0" applyNumberFormat="1" applyFont="1" applyFill="1" applyBorder="1" applyProtection="1">
      <protection hidden="1"/>
    </xf>
    <xf numFmtId="3" fontId="20" fillId="4" borderId="0" xfId="0" applyNumberFormat="1" applyFont="1" applyFill="1" applyBorder="1" applyProtection="1">
      <protection hidden="1"/>
    </xf>
    <xf numFmtId="0" fontId="0" fillId="2" borderId="16" xfId="0" applyFill="1" applyBorder="1" applyProtection="1">
      <protection hidden="1"/>
    </xf>
    <xf numFmtId="0" fontId="0" fillId="2" borderId="17" xfId="0" applyFill="1" applyBorder="1" applyProtection="1">
      <protection hidden="1"/>
    </xf>
    <xf numFmtId="0" fontId="0" fillId="2" borderId="18" xfId="0" applyFill="1" applyBorder="1" applyProtection="1">
      <protection hidden="1"/>
    </xf>
    <xf numFmtId="0" fontId="0" fillId="2" borderId="19" xfId="0" applyFill="1" applyBorder="1" applyProtection="1">
      <protection hidden="1"/>
    </xf>
    <xf numFmtId="0" fontId="0" fillId="2" borderId="0" xfId="0" applyFill="1" applyBorder="1" applyProtection="1">
      <protection hidden="1"/>
    </xf>
    <xf numFmtId="0" fontId="0" fillId="2" borderId="20" xfId="0" applyFill="1" applyBorder="1" applyProtection="1">
      <protection hidden="1"/>
    </xf>
    <xf numFmtId="0" fontId="0" fillId="2" borderId="22" xfId="0" applyFill="1" applyBorder="1" applyProtection="1">
      <protection hidden="1"/>
    </xf>
    <xf numFmtId="0" fontId="0" fillId="2" borderId="23" xfId="0" applyFill="1" applyBorder="1" applyProtection="1">
      <protection hidden="1"/>
    </xf>
    <xf numFmtId="0" fontId="0" fillId="2" borderId="0" xfId="0" applyFill="1" applyBorder="1" applyAlignment="1" applyProtection="1">
      <alignment vertical="center"/>
      <protection hidden="1"/>
    </xf>
    <xf numFmtId="0" fontId="13" fillId="2" borderId="11" xfId="0" applyFont="1" applyFill="1" applyBorder="1" applyProtection="1">
      <protection hidden="1"/>
    </xf>
    <xf numFmtId="0" fontId="13" fillId="2" borderId="33" xfId="0" applyFont="1" applyFill="1" applyBorder="1" applyProtection="1">
      <protection hidden="1"/>
    </xf>
    <xf numFmtId="171" fontId="13" fillId="2" borderId="4" xfId="0" applyNumberFormat="1" applyFont="1" applyFill="1" applyBorder="1" applyProtection="1">
      <protection hidden="1"/>
    </xf>
    <xf numFmtId="0" fontId="13" fillId="2" borderId="0" xfId="0" applyFont="1" applyFill="1" applyBorder="1" applyAlignment="1" applyProtection="1">
      <alignment horizontal="center"/>
      <protection hidden="1"/>
    </xf>
    <xf numFmtId="0" fontId="13" fillId="2" borderId="20" xfId="0" applyFont="1" applyFill="1" applyBorder="1" applyAlignment="1" applyProtection="1">
      <alignment horizontal="center"/>
      <protection hidden="1"/>
    </xf>
    <xf numFmtId="169" fontId="13" fillId="2" borderId="4" xfId="0" applyNumberFormat="1" applyFont="1" applyFill="1" applyBorder="1" applyProtection="1">
      <protection hidden="1"/>
    </xf>
    <xf numFmtId="2" fontId="13" fillId="2" borderId="0" xfId="0" applyNumberFormat="1" applyFont="1" applyFill="1" applyBorder="1" applyProtection="1">
      <protection hidden="1"/>
    </xf>
    <xf numFmtId="4" fontId="13" fillId="2" borderId="0" xfId="0" applyNumberFormat="1" applyFont="1" applyFill="1" applyBorder="1" applyAlignment="1" applyProtection="1">
      <alignment horizontal="right"/>
      <protection hidden="1"/>
    </xf>
    <xf numFmtId="0" fontId="13" fillId="2" borderId="8" xfId="0" applyFont="1" applyFill="1" applyBorder="1" applyProtection="1">
      <protection hidden="1"/>
    </xf>
    <xf numFmtId="172" fontId="13" fillId="2" borderId="4" xfId="0" applyNumberFormat="1" applyFont="1" applyFill="1" applyBorder="1" applyAlignment="1" applyProtection="1">
      <alignment horizontal="right"/>
      <protection hidden="1"/>
    </xf>
    <xf numFmtId="4" fontId="13" fillId="2" borderId="0" xfId="0" applyNumberFormat="1" applyFont="1" applyFill="1" applyBorder="1" applyProtection="1">
      <protection hidden="1"/>
    </xf>
    <xf numFmtId="0" fontId="13" fillId="2" borderId="10" xfId="0" applyFont="1" applyFill="1" applyBorder="1" applyProtection="1">
      <protection hidden="1"/>
    </xf>
    <xf numFmtId="0" fontId="13" fillId="2" borderId="19" xfId="0" applyFont="1" applyFill="1" applyBorder="1" applyAlignment="1" applyProtection="1">
      <protection hidden="1"/>
    </xf>
    <xf numFmtId="0" fontId="31" fillId="2" borderId="19" xfId="0" applyFont="1" applyFill="1" applyBorder="1" applyAlignment="1" applyProtection="1">
      <alignment horizontal="right"/>
      <protection hidden="1"/>
    </xf>
    <xf numFmtId="44" fontId="13" fillId="2" borderId="0" xfId="0" applyNumberFormat="1" applyFont="1" applyFill="1" applyBorder="1" applyAlignment="1" applyProtection="1">
      <alignment horizontal="left"/>
      <protection hidden="1"/>
    </xf>
    <xf numFmtId="0" fontId="13" fillId="2" borderId="0" xfId="0" applyFont="1" applyFill="1" applyBorder="1" applyAlignment="1" applyProtection="1">
      <protection hidden="1"/>
    </xf>
    <xf numFmtId="4" fontId="13" fillId="2" borderId="11" xfId="0" applyNumberFormat="1" applyFont="1" applyFill="1" applyBorder="1" applyProtection="1">
      <protection hidden="1"/>
    </xf>
    <xf numFmtId="0" fontId="18" fillId="2" borderId="18" xfId="15" applyFont="1" applyFill="1" applyBorder="1" applyAlignment="1" applyProtection="1">
      <alignment vertical="center"/>
      <protection locked="0"/>
    </xf>
    <xf numFmtId="0" fontId="18" fillId="2" borderId="0" xfId="15" applyFont="1" applyFill="1" applyBorder="1" applyAlignment="1" applyProtection="1">
      <alignment vertical="center"/>
      <protection locked="0"/>
    </xf>
    <xf numFmtId="0" fontId="18" fillId="2" borderId="20" xfId="15" applyFont="1" applyFill="1" applyBorder="1" applyAlignment="1" applyProtection="1">
      <alignment vertical="center"/>
      <protection locked="0"/>
    </xf>
    <xf numFmtId="164" fontId="38" fillId="2" borderId="0" xfId="0" applyNumberFormat="1" applyFont="1" applyFill="1" applyBorder="1" applyAlignment="1" applyProtection="1">
      <alignment horizontal="left" vertical="center"/>
      <protection hidden="1"/>
    </xf>
    <xf numFmtId="0" fontId="38" fillId="2" borderId="0" xfId="0" applyNumberFormat="1" applyFont="1" applyFill="1" applyBorder="1" applyAlignment="1" applyProtection="1">
      <alignment horizontal="left" vertical="center"/>
      <protection hidden="1"/>
    </xf>
    <xf numFmtId="0" fontId="38" fillId="2" borderId="0" xfId="0" applyNumberFormat="1" applyFont="1" applyFill="1" applyBorder="1" applyAlignment="1" applyProtection="1">
      <alignment vertical="center"/>
      <protection hidden="1"/>
    </xf>
    <xf numFmtId="0" fontId="13" fillId="2" borderId="0" xfId="0" applyFont="1" applyFill="1" applyBorder="1" applyProtection="1">
      <protection hidden="1"/>
    </xf>
    <xf numFmtId="0" fontId="13" fillId="2" borderId="19" xfId="0" applyFont="1" applyFill="1" applyBorder="1" applyAlignment="1" applyProtection="1">
      <alignment horizontal="right"/>
      <protection hidden="1"/>
    </xf>
    <xf numFmtId="0" fontId="13" fillId="3" borderId="4" xfId="0" applyFont="1" applyFill="1" applyBorder="1" applyProtection="1">
      <protection hidden="1"/>
    </xf>
    <xf numFmtId="0" fontId="13" fillId="4" borderId="4" xfId="0" applyFont="1" applyFill="1" applyBorder="1" applyProtection="1">
      <protection hidden="1"/>
    </xf>
    <xf numFmtId="0" fontId="44" fillId="2" borderId="6" xfId="0" applyFont="1" applyFill="1" applyBorder="1" applyProtection="1">
      <protection hidden="1"/>
    </xf>
    <xf numFmtId="0" fontId="43" fillId="2" borderId="43" xfId="15" applyFont="1" applyFill="1" applyBorder="1" applyAlignment="1" applyProtection="1">
      <alignment vertical="center" wrapText="1"/>
      <protection hidden="1"/>
    </xf>
    <xf numFmtId="0" fontId="43" fillId="2" borderId="6" xfId="15" applyFont="1" applyFill="1" applyBorder="1" applyAlignment="1" applyProtection="1">
      <alignment vertical="center"/>
      <protection hidden="1"/>
    </xf>
    <xf numFmtId="0" fontId="43" fillId="2" borderId="7" xfId="15" applyFont="1" applyFill="1" applyBorder="1" applyAlignment="1" applyProtection="1">
      <alignment vertical="center"/>
      <protection hidden="1"/>
    </xf>
    <xf numFmtId="0" fontId="43" fillId="2" borderId="13" xfId="15" applyFont="1" applyFill="1" applyBorder="1" applyAlignment="1" applyProtection="1">
      <alignment horizontal="center" vertical="center" wrapText="1"/>
      <protection hidden="1"/>
    </xf>
    <xf numFmtId="0" fontId="43" fillId="2" borderId="32" xfId="15" applyFont="1" applyFill="1" applyBorder="1" applyAlignment="1" applyProtection="1">
      <alignment vertical="center"/>
      <protection hidden="1"/>
    </xf>
    <xf numFmtId="0" fontId="43" fillId="2" borderId="11" xfId="15" applyFont="1" applyFill="1" applyBorder="1" applyAlignment="1" applyProtection="1">
      <alignment vertical="center"/>
      <protection hidden="1"/>
    </xf>
    <xf numFmtId="0" fontId="43" fillId="2" borderId="12" xfId="15" applyFont="1" applyFill="1" applyBorder="1" applyAlignment="1" applyProtection="1">
      <alignment vertical="center"/>
      <protection hidden="1"/>
    </xf>
    <xf numFmtId="0" fontId="43" fillId="2" borderId="2" xfId="15" applyFont="1" applyFill="1" applyBorder="1" applyAlignment="1" applyProtection="1">
      <alignment vertical="center"/>
      <protection hidden="1"/>
    </xf>
    <xf numFmtId="0" fontId="43" fillId="2" borderId="3" xfId="15" applyFont="1" applyFill="1" applyBorder="1" applyAlignment="1" applyProtection="1">
      <alignment vertical="center"/>
      <protection hidden="1"/>
    </xf>
    <xf numFmtId="0" fontId="43" fillId="2" borderId="0" xfId="15" applyFont="1" applyFill="1" applyBorder="1" applyAlignment="1" applyProtection="1">
      <alignment vertical="center"/>
      <protection hidden="1"/>
    </xf>
    <xf numFmtId="0" fontId="43" fillId="2" borderId="4" xfId="0" applyFont="1" applyFill="1" applyBorder="1" applyProtection="1">
      <protection hidden="1"/>
    </xf>
    <xf numFmtId="0" fontId="43" fillId="2" borderId="19" xfId="15" applyFont="1" applyFill="1" applyBorder="1" applyAlignment="1" applyProtection="1">
      <alignment vertical="center"/>
      <protection hidden="1"/>
    </xf>
    <xf numFmtId="0" fontId="43" fillId="2" borderId="34" xfId="1" applyFont="1" applyFill="1" applyBorder="1" applyAlignment="1" applyProtection="1">
      <alignment vertical="center"/>
      <protection hidden="1"/>
    </xf>
    <xf numFmtId="0" fontId="43" fillId="2" borderId="32" xfId="1" applyFont="1" applyFill="1" applyBorder="1" applyAlignment="1" applyProtection="1">
      <alignment horizontal="left" vertical="center"/>
      <protection hidden="1"/>
    </xf>
    <xf numFmtId="0" fontId="18" fillId="0" borderId="15" xfId="0" applyFont="1" applyBorder="1" applyProtection="1">
      <protection hidden="1"/>
    </xf>
    <xf numFmtId="0" fontId="18" fillId="12" borderId="0" xfId="15" applyFont="1" applyFill="1" applyAlignment="1" applyProtection="1">
      <alignment vertical="center"/>
      <protection hidden="1"/>
    </xf>
    <xf numFmtId="0" fontId="18" fillId="12" borderId="3" xfId="15" applyFont="1" applyFill="1" applyBorder="1" applyAlignment="1" applyProtection="1">
      <alignment vertical="center"/>
      <protection locked="0" hidden="1"/>
    </xf>
    <xf numFmtId="0" fontId="18" fillId="12" borderId="13" xfId="15" applyFont="1" applyFill="1" applyBorder="1" applyAlignment="1" applyProtection="1">
      <alignment horizontal="center" vertical="center" wrapText="1"/>
      <protection hidden="1"/>
    </xf>
    <xf numFmtId="0" fontId="18" fillId="12" borderId="15" xfId="15" applyFont="1" applyFill="1" applyBorder="1" applyAlignment="1" applyProtection="1">
      <alignment horizontal="center" vertical="center" wrapText="1"/>
      <protection hidden="1"/>
    </xf>
    <xf numFmtId="0" fontId="18" fillId="12" borderId="4" xfId="15" applyFont="1" applyFill="1" applyBorder="1" applyAlignment="1" applyProtection="1">
      <alignment horizontal="left" vertical="center"/>
      <protection hidden="1"/>
    </xf>
    <xf numFmtId="0" fontId="16" fillId="12" borderId="4" xfId="0" applyFont="1" applyFill="1" applyBorder="1" applyProtection="1">
      <protection hidden="1"/>
    </xf>
    <xf numFmtId="0" fontId="19" fillId="12" borderId="4" xfId="15" applyFont="1" applyFill="1" applyBorder="1" applyAlignment="1" applyProtection="1">
      <alignment vertical="center"/>
      <protection hidden="1"/>
    </xf>
    <xf numFmtId="0" fontId="18" fillId="12" borderId="4" xfId="15" applyFont="1" applyFill="1" applyBorder="1" applyAlignment="1" applyProtection="1">
      <alignment vertical="center"/>
      <protection hidden="1"/>
    </xf>
    <xf numFmtId="173" fontId="18" fillId="12" borderId="4" xfId="17" applyNumberFormat="1" applyFont="1" applyFill="1" applyBorder="1" applyAlignment="1" applyProtection="1">
      <alignment vertical="center"/>
      <protection locked="0" hidden="1"/>
    </xf>
    <xf numFmtId="2" fontId="18" fillId="12" borderId="4" xfId="15" applyNumberFormat="1" applyFont="1" applyFill="1" applyBorder="1" applyAlignment="1" applyProtection="1">
      <alignment vertical="center"/>
      <protection hidden="1"/>
    </xf>
    <xf numFmtId="170" fontId="18" fillId="12" borderId="4" xfId="15" applyNumberFormat="1" applyFont="1" applyFill="1" applyBorder="1" applyAlignment="1" applyProtection="1">
      <alignment vertical="center"/>
      <protection hidden="1"/>
    </xf>
    <xf numFmtId="173" fontId="18" fillId="12" borderId="15" xfId="17" applyNumberFormat="1" applyFont="1" applyFill="1" applyBorder="1" applyAlignment="1" applyProtection="1">
      <alignment vertical="center"/>
      <protection hidden="1"/>
    </xf>
    <xf numFmtId="4" fontId="18" fillId="12" borderId="15" xfId="17" applyNumberFormat="1" applyFont="1" applyFill="1" applyBorder="1" applyAlignment="1" applyProtection="1">
      <alignment vertical="center"/>
      <protection hidden="1"/>
    </xf>
    <xf numFmtId="0" fontId="19" fillId="12" borderId="0" xfId="15" applyFont="1" applyFill="1" applyAlignment="1" applyProtection="1">
      <alignment vertical="center"/>
      <protection hidden="1"/>
    </xf>
    <xf numFmtId="173" fontId="19" fillId="12" borderId="0" xfId="15" applyNumberFormat="1" applyFont="1" applyFill="1" applyAlignment="1" applyProtection="1">
      <alignment vertical="center"/>
      <protection hidden="1"/>
    </xf>
    <xf numFmtId="177" fontId="18" fillId="12" borderId="15" xfId="17" applyNumberFormat="1" applyFont="1" applyFill="1" applyBorder="1" applyAlignment="1" applyProtection="1">
      <alignment vertical="center"/>
      <protection hidden="1"/>
    </xf>
    <xf numFmtId="0" fontId="18" fillId="12" borderId="0" xfId="15" applyFont="1" applyFill="1" applyBorder="1" applyAlignment="1" applyProtection="1">
      <alignment vertical="center"/>
      <protection hidden="1"/>
    </xf>
    <xf numFmtId="173" fontId="18" fillId="12" borderId="13" xfId="17" applyNumberFormat="1" applyFont="1" applyFill="1" applyBorder="1" applyAlignment="1" applyProtection="1">
      <alignment vertical="center"/>
      <protection locked="0" hidden="1"/>
    </xf>
    <xf numFmtId="2" fontId="18" fillId="12" borderId="13" xfId="15" applyNumberFormat="1" applyFont="1" applyFill="1" applyBorder="1" applyAlignment="1" applyProtection="1">
      <alignment vertical="center"/>
      <protection hidden="1"/>
    </xf>
    <xf numFmtId="170" fontId="18" fillId="12" borderId="13" xfId="15" applyNumberFormat="1" applyFont="1" applyFill="1" applyBorder="1" applyAlignment="1" applyProtection="1">
      <alignment vertical="center"/>
      <protection hidden="1"/>
    </xf>
    <xf numFmtId="173" fontId="18" fillId="12" borderId="0" xfId="17" applyNumberFormat="1" applyFont="1" applyFill="1" applyBorder="1" applyAlignment="1" applyProtection="1">
      <alignment vertical="center"/>
      <protection locked="0" hidden="1"/>
    </xf>
    <xf numFmtId="2" fontId="18" fillId="12" borderId="0" xfId="15" applyNumberFormat="1" applyFont="1" applyFill="1" applyBorder="1" applyAlignment="1" applyProtection="1">
      <alignment vertical="center"/>
      <protection hidden="1"/>
    </xf>
    <xf numFmtId="177" fontId="19" fillId="12" borderId="0" xfId="15" applyNumberFormat="1" applyFont="1" applyFill="1" applyAlignment="1" applyProtection="1">
      <alignment vertical="center"/>
      <protection hidden="1"/>
    </xf>
    <xf numFmtId="0" fontId="18" fillId="12" borderId="0" xfId="15" applyFont="1" applyFill="1" applyBorder="1" applyAlignment="1" applyProtection="1">
      <alignment vertical="center" wrapText="1"/>
      <protection hidden="1"/>
    </xf>
    <xf numFmtId="0" fontId="18" fillId="0" borderId="59" xfId="15" applyFont="1" applyBorder="1" applyAlignment="1" applyProtection="1">
      <alignment horizontal="center" vertical="center" wrapText="1"/>
      <protection hidden="1"/>
    </xf>
    <xf numFmtId="0" fontId="18" fillId="2" borderId="59" xfId="15" applyFont="1" applyFill="1" applyBorder="1" applyAlignment="1" applyProtection="1">
      <alignment horizontal="center" vertical="center" wrapText="1"/>
      <protection hidden="1"/>
    </xf>
    <xf numFmtId="0" fontId="16" fillId="12" borderId="0" xfId="15" applyFont="1" applyFill="1" applyAlignment="1" applyProtection="1">
      <alignment vertical="center"/>
      <protection hidden="1"/>
    </xf>
    <xf numFmtId="0" fontId="43" fillId="12" borderId="0" xfId="0" applyFont="1" applyFill="1"/>
    <xf numFmtId="0" fontId="43" fillId="12" borderId="0" xfId="0" applyFont="1" applyFill="1" applyBorder="1"/>
    <xf numFmtId="0" fontId="54" fillId="12" borderId="0" xfId="0" applyFont="1" applyFill="1" applyBorder="1"/>
    <xf numFmtId="0" fontId="55" fillId="12" borderId="0" xfId="0" applyFont="1" applyFill="1" applyBorder="1"/>
    <xf numFmtId="1" fontId="54" fillId="12" borderId="0" xfId="0" applyNumberFormat="1" applyFont="1" applyFill="1" applyBorder="1"/>
    <xf numFmtId="171" fontId="54" fillId="12" borderId="0" xfId="22" applyNumberFormat="1" applyFont="1" applyFill="1" applyBorder="1"/>
    <xf numFmtId="171" fontId="54" fillId="12" borderId="0" xfId="0" applyNumberFormat="1" applyFont="1" applyFill="1" applyBorder="1"/>
    <xf numFmtId="4" fontId="16" fillId="3" borderId="4" xfId="15" applyNumberFormat="1" applyFont="1" applyFill="1" applyBorder="1" applyAlignment="1" applyProtection="1">
      <alignment vertical="center"/>
      <protection locked="0"/>
    </xf>
    <xf numFmtId="4" fontId="43" fillId="3" borderId="4" xfId="0" applyNumberFormat="1" applyFont="1" applyFill="1" applyBorder="1" applyProtection="1">
      <protection locked="0"/>
    </xf>
    <xf numFmtId="0" fontId="16" fillId="12" borderId="0" xfId="0" applyFont="1" applyFill="1" applyProtection="1">
      <protection hidden="1"/>
    </xf>
    <xf numFmtId="0" fontId="16" fillId="12" borderId="24" xfId="0" applyFont="1" applyFill="1" applyBorder="1" applyProtection="1">
      <protection hidden="1"/>
    </xf>
    <xf numFmtId="0" fontId="16" fillId="12" borderId="25" xfId="0" applyFont="1" applyFill="1" applyBorder="1" applyProtection="1">
      <protection hidden="1"/>
    </xf>
    <xf numFmtId="0" fontId="16" fillId="12" borderId="57" xfId="0" applyFont="1" applyFill="1" applyBorder="1" applyProtection="1">
      <protection hidden="1"/>
    </xf>
    <xf numFmtId="0" fontId="16" fillId="12" borderId="26" xfId="0" applyFont="1" applyFill="1" applyBorder="1" applyProtection="1">
      <protection hidden="1"/>
    </xf>
    <xf numFmtId="0" fontId="17" fillId="12" borderId="29" xfId="0" applyFont="1" applyFill="1" applyBorder="1" applyProtection="1">
      <protection hidden="1"/>
    </xf>
    <xf numFmtId="0" fontId="16" fillId="12" borderId="30" xfId="0" applyFont="1" applyFill="1" applyBorder="1" applyProtection="1">
      <protection hidden="1"/>
    </xf>
    <xf numFmtId="0" fontId="16" fillId="12" borderId="58" xfId="0" applyFont="1" applyFill="1" applyBorder="1" applyProtection="1">
      <protection hidden="1"/>
    </xf>
    <xf numFmtId="0" fontId="16" fillId="12" borderId="31" xfId="0" applyFont="1" applyFill="1" applyBorder="1" applyProtection="1">
      <protection hidden="1"/>
    </xf>
    <xf numFmtId="0" fontId="16" fillId="12" borderId="54" xfId="0" applyFont="1" applyFill="1" applyBorder="1" applyProtection="1">
      <protection hidden="1"/>
    </xf>
    <xf numFmtId="0" fontId="16" fillId="12" borderId="55" xfId="0" applyFont="1" applyFill="1" applyBorder="1" applyProtection="1">
      <protection hidden="1"/>
    </xf>
    <xf numFmtId="0" fontId="16" fillId="12" borderId="19" xfId="0" applyFont="1" applyFill="1" applyBorder="1" applyProtection="1">
      <protection hidden="1"/>
    </xf>
    <xf numFmtId="0" fontId="16" fillId="12" borderId="0" xfId="0" applyFont="1" applyFill="1" applyBorder="1" applyProtection="1">
      <protection hidden="1"/>
    </xf>
    <xf numFmtId="0" fontId="16" fillId="12" borderId="20" xfId="0" applyFont="1" applyFill="1" applyBorder="1" applyProtection="1">
      <protection hidden="1"/>
    </xf>
    <xf numFmtId="0" fontId="16" fillId="12" borderId="56" xfId="0" applyFont="1" applyFill="1" applyBorder="1" applyProtection="1">
      <protection hidden="1"/>
    </xf>
    <xf numFmtId="0" fontId="16" fillId="12" borderId="53" xfId="0" applyFont="1" applyFill="1" applyBorder="1" applyProtection="1">
      <protection hidden="1"/>
    </xf>
    <xf numFmtId="2" fontId="16" fillId="12" borderId="50" xfId="0" applyNumberFormat="1" applyFont="1" applyFill="1" applyBorder="1" applyProtection="1">
      <protection hidden="1"/>
    </xf>
    <xf numFmtId="2" fontId="16" fillId="12" borderId="51" xfId="0" applyNumberFormat="1" applyFont="1" applyFill="1" applyBorder="1" applyProtection="1">
      <protection hidden="1"/>
    </xf>
    <xf numFmtId="2" fontId="16" fillId="12" borderId="52" xfId="0" applyNumberFormat="1" applyFont="1" applyFill="1" applyBorder="1" applyProtection="1">
      <protection hidden="1"/>
    </xf>
    <xf numFmtId="183" fontId="18" fillId="3" borderId="15" xfId="17" applyNumberFormat="1" applyFont="1" applyFill="1" applyBorder="1" applyAlignment="1" applyProtection="1">
      <alignment horizontal="center" vertical="center"/>
      <protection locked="0"/>
    </xf>
    <xf numFmtId="184" fontId="16" fillId="3" borderId="4" xfId="15" applyNumberFormat="1" applyFont="1" applyFill="1" applyBorder="1" applyAlignment="1" applyProtection="1">
      <alignment vertical="center"/>
      <protection locked="0" hidden="1"/>
    </xf>
    <xf numFmtId="185" fontId="16" fillId="3" borderId="4" xfId="15" applyNumberFormat="1" applyFont="1" applyFill="1" applyBorder="1" applyAlignment="1" applyProtection="1">
      <alignment vertical="center"/>
      <protection locked="0"/>
    </xf>
    <xf numFmtId="185" fontId="18" fillId="3" borderId="28" xfId="15" applyNumberFormat="1" applyFont="1" applyFill="1" applyBorder="1" applyAlignment="1" applyProtection="1">
      <alignment horizontal="center" vertical="center"/>
      <protection locked="0"/>
    </xf>
    <xf numFmtId="185" fontId="18" fillId="3" borderId="28" xfId="15" applyNumberFormat="1" applyFont="1" applyFill="1" applyBorder="1" applyAlignment="1" applyProtection="1">
      <alignment vertical="center"/>
      <protection locked="0"/>
    </xf>
    <xf numFmtId="185" fontId="18" fillId="3" borderId="15" xfId="17" applyNumberFormat="1" applyFont="1" applyFill="1" applyBorder="1" applyAlignment="1" applyProtection="1">
      <alignment horizontal="center" vertical="center"/>
      <protection locked="0"/>
    </xf>
    <xf numFmtId="183" fontId="16" fillId="2" borderId="4" xfId="17" applyNumberFormat="1" applyFont="1" applyFill="1" applyBorder="1" applyAlignment="1" applyProtection="1">
      <alignment horizontal="center" vertical="center"/>
      <protection hidden="1"/>
    </xf>
    <xf numFmtId="184" fontId="16" fillId="2" borderId="4" xfId="14" applyNumberFormat="1" applyFont="1" applyFill="1" applyBorder="1" applyProtection="1">
      <protection hidden="1"/>
    </xf>
    <xf numFmtId="184" fontId="13" fillId="2" borderId="4" xfId="14" applyNumberFormat="1" applyFont="1" applyFill="1" applyBorder="1" applyAlignment="1" applyProtection="1">
      <alignment horizontal="center"/>
      <protection hidden="1"/>
    </xf>
    <xf numFmtId="184" fontId="13" fillId="2" borderId="4" xfId="14" applyNumberFormat="1" applyFont="1" applyFill="1" applyBorder="1" applyAlignment="1" applyProtection="1">
      <alignment horizontal="center" vertical="center"/>
      <protection hidden="1"/>
    </xf>
    <xf numFmtId="184" fontId="12" fillId="2" borderId="4" xfId="14" applyNumberFormat="1" applyFont="1" applyFill="1" applyBorder="1" applyAlignment="1" applyProtection="1">
      <alignment horizontal="center"/>
      <protection hidden="1"/>
    </xf>
    <xf numFmtId="184" fontId="16" fillId="2" borderId="4" xfId="14" applyNumberFormat="1" applyFont="1" applyFill="1" applyBorder="1" applyAlignment="1" applyProtection="1">
      <alignment horizontal="center"/>
      <protection hidden="1"/>
    </xf>
    <xf numFmtId="184" fontId="17" fillId="2" borderId="4" xfId="14" applyNumberFormat="1" applyFont="1" applyFill="1" applyBorder="1" applyAlignment="1" applyProtection="1">
      <alignment horizontal="center"/>
      <protection hidden="1"/>
    </xf>
    <xf numFmtId="185" fontId="16" fillId="2" borderId="4" xfId="17" applyNumberFormat="1" applyFont="1" applyFill="1" applyBorder="1" applyAlignment="1" applyProtection="1">
      <alignment horizontal="center" vertical="center"/>
      <protection hidden="1"/>
    </xf>
    <xf numFmtId="185" fontId="16" fillId="2" borderId="4" xfId="15" applyNumberFormat="1" applyFont="1" applyFill="1" applyBorder="1" applyAlignment="1" applyProtection="1">
      <alignment horizontal="center" vertical="center"/>
      <protection hidden="1"/>
    </xf>
    <xf numFmtId="4" fontId="16" fillId="2" borderId="4" xfId="0" applyNumberFormat="1" applyFont="1" applyFill="1" applyBorder="1" applyProtection="1">
      <protection hidden="1"/>
    </xf>
    <xf numFmtId="183" fontId="24" fillId="2" borderId="4" xfId="0" applyNumberFormat="1" applyFont="1" applyFill="1" applyBorder="1" applyAlignment="1" applyProtection="1">
      <alignment vertical="center"/>
      <protection hidden="1"/>
    </xf>
    <xf numFmtId="185" fontId="24" fillId="2" borderId="4" xfId="0" applyNumberFormat="1" applyFont="1" applyFill="1" applyBorder="1" applyAlignment="1" applyProtection="1">
      <alignment vertical="center"/>
      <protection hidden="1"/>
    </xf>
    <xf numFmtId="184" fontId="13" fillId="3" borderId="4" xfId="0" applyNumberFormat="1" applyFont="1" applyFill="1" applyBorder="1" applyProtection="1">
      <protection locked="0"/>
    </xf>
    <xf numFmtId="185" fontId="13" fillId="3" borderId="4" xfId="0" applyNumberFormat="1" applyFont="1" applyFill="1" applyBorder="1" applyProtection="1">
      <protection locked="0"/>
    </xf>
    <xf numFmtId="184" fontId="13" fillId="2" borderId="0" xfId="0" applyNumberFormat="1" applyFont="1" applyFill="1" applyBorder="1" applyProtection="1">
      <protection hidden="1"/>
    </xf>
    <xf numFmtId="184" fontId="13" fillId="0" borderId="0" xfId="0" applyNumberFormat="1" applyFont="1" applyBorder="1" applyProtection="1">
      <protection hidden="1"/>
    </xf>
    <xf numFmtId="183" fontId="13" fillId="3" borderId="4" xfId="14" applyNumberFormat="1" applyFont="1" applyFill="1" applyBorder="1" applyProtection="1">
      <protection locked="0"/>
    </xf>
    <xf numFmtId="185" fontId="0" fillId="2" borderId="4" xfId="0" applyNumberFormat="1" applyFont="1" applyFill="1" applyBorder="1" applyProtection="1">
      <protection hidden="1"/>
    </xf>
    <xf numFmtId="183" fontId="0" fillId="2" borderId="4" xfId="0" applyNumberFormat="1" applyFont="1" applyFill="1" applyBorder="1" applyProtection="1">
      <protection hidden="1"/>
    </xf>
    <xf numFmtId="185" fontId="0" fillId="2" borderId="4" xfId="14" applyNumberFormat="1" applyFont="1" applyFill="1" applyBorder="1" applyProtection="1">
      <protection hidden="1"/>
    </xf>
    <xf numFmtId="184" fontId="0" fillId="2" borderId="4" xfId="0" applyNumberFormat="1" applyFont="1" applyFill="1" applyBorder="1" applyProtection="1">
      <protection hidden="1"/>
    </xf>
    <xf numFmtId="185" fontId="0" fillId="2" borderId="4" xfId="58" applyNumberFormat="1" applyFont="1" applyFill="1" applyBorder="1" applyProtection="1">
      <protection hidden="1"/>
    </xf>
    <xf numFmtId="185" fontId="18" fillId="2" borderId="4" xfId="0" applyNumberFormat="1" applyFont="1" applyFill="1" applyBorder="1" applyProtection="1">
      <protection hidden="1"/>
    </xf>
    <xf numFmtId="183" fontId="18" fillId="2" borderId="4" xfId="0" applyNumberFormat="1" applyFont="1" applyFill="1" applyBorder="1" applyProtection="1">
      <protection hidden="1"/>
    </xf>
    <xf numFmtId="185" fontId="18" fillId="4" borderId="4" xfId="0" applyNumberFormat="1" applyFont="1" applyFill="1" applyBorder="1" applyProtection="1">
      <protection hidden="1"/>
    </xf>
    <xf numFmtId="185" fontId="18" fillId="2" borderId="15" xfId="0" applyNumberFormat="1" applyFont="1" applyFill="1" applyBorder="1" applyProtection="1">
      <protection hidden="1"/>
    </xf>
    <xf numFmtId="185" fontId="18" fillId="3" borderId="4" xfId="0" applyNumberFormat="1" applyFont="1" applyFill="1" applyBorder="1" applyProtection="1">
      <protection locked="0"/>
    </xf>
    <xf numFmtId="185" fontId="18" fillId="2" borderId="4" xfId="14" applyNumberFormat="1" applyFont="1" applyFill="1" applyBorder="1" applyProtection="1">
      <protection hidden="1"/>
    </xf>
    <xf numFmtId="185" fontId="13" fillId="2" borderId="13" xfId="14" applyNumberFormat="1" applyFont="1" applyFill="1" applyBorder="1" applyAlignment="1" applyProtection="1">
      <alignment vertical="center"/>
      <protection hidden="1"/>
    </xf>
    <xf numFmtId="185" fontId="13" fillId="2" borderId="13" xfId="0" applyNumberFormat="1" applyFont="1" applyFill="1" applyBorder="1" applyAlignment="1" applyProtection="1">
      <alignment vertical="center"/>
      <protection hidden="1"/>
    </xf>
    <xf numFmtId="185" fontId="13" fillId="2" borderId="4" xfId="0" applyNumberFormat="1" applyFont="1" applyFill="1" applyBorder="1" applyAlignment="1" applyProtection="1">
      <alignment vertical="center"/>
      <protection hidden="1"/>
    </xf>
    <xf numFmtId="183" fontId="13" fillId="2" borderId="38" xfId="0" applyNumberFormat="1" applyFont="1" applyFill="1" applyBorder="1" applyAlignment="1" applyProtection="1">
      <alignment vertical="center"/>
      <protection hidden="1"/>
    </xf>
    <xf numFmtId="183" fontId="13" fillId="2" borderId="13" xfId="14" applyNumberFormat="1" applyFont="1" applyFill="1" applyBorder="1" applyAlignment="1" applyProtection="1">
      <alignment vertical="center"/>
      <protection hidden="1"/>
    </xf>
    <xf numFmtId="184" fontId="13" fillId="2" borderId="13" xfId="0" applyNumberFormat="1" applyFont="1" applyFill="1" applyBorder="1" applyAlignment="1" applyProtection="1">
      <alignment vertical="center"/>
      <protection hidden="1"/>
    </xf>
    <xf numFmtId="0" fontId="18" fillId="2" borderId="0" xfId="15" applyFont="1" applyFill="1" applyBorder="1" applyProtection="1">
      <protection hidden="1"/>
    </xf>
    <xf numFmtId="0" fontId="18" fillId="2" borderId="0" xfId="15" applyFont="1" applyFill="1" applyProtection="1">
      <protection hidden="1"/>
    </xf>
    <xf numFmtId="166" fontId="18" fillId="2" borderId="0" xfId="15" applyNumberFormat="1" applyFont="1" applyFill="1" applyBorder="1" applyProtection="1">
      <protection hidden="1"/>
    </xf>
    <xf numFmtId="170" fontId="18" fillId="2" borderId="0" xfId="15" applyNumberFormat="1" applyFont="1" applyFill="1" applyBorder="1" applyProtection="1">
      <protection hidden="1"/>
    </xf>
    <xf numFmtId="0" fontId="56" fillId="2" borderId="0" xfId="15" applyFont="1" applyFill="1" applyBorder="1" applyAlignment="1" applyProtection="1">
      <protection hidden="1"/>
    </xf>
    <xf numFmtId="0" fontId="18" fillId="2" borderId="0" xfId="15" quotePrefix="1" applyFont="1" applyFill="1" applyBorder="1" applyProtection="1">
      <protection hidden="1"/>
    </xf>
    <xf numFmtId="0" fontId="18" fillId="2" borderId="0" xfId="15" applyFont="1" applyFill="1" applyAlignment="1" applyProtection="1">
      <alignment horizontal="right"/>
      <protection hidden="1"/>
    </xf>
    <xf numFmtId="166" fontId="18" fillId="2" borderId="0" xfId="15" applyNumberFormat="1" applyFont="1" applyFill="1" applyProtection="1">
      <protection hidden="1"/>
    </xf>
    <xf numFmtId="167" fontId="18" fillId="2" borderId="0" xfId="15" applyNumberFormat="1" applyFont="1" applyFill="1" applyProtection="1">
      <protection hidden="1"/>
    </xf>
    <xf numFmtId="169" fontId="18" fillId="2" borderId="0" xfId="15" applyNumberFormat="1" applyFont="1" applyFill="1" applyProtection="1">
      <protection hidden="1"/>
    </xf>
    <xf numFmtId="0" fontId="18" fillId="2" borderId="0" xfId="15" applyFont="1" applyFill="1" applyBorder="1" applyAlignment="1" applyProtection="1">
      <alignment horizontal="center"/>
      <protection hidden="1"/>
    </xf>
    <xf numFmtId="0" fontId="18" fillId="2" borderId="0" xfId="15" quotePrefix="1" applyFont="1" applyFill="1" applyBorder="1" applyAlignment="1" applyProtection="1">
      <alignment horizontal="center"/>
      <protection hidden="1"/>
    </xf>
    <xf numFmtId="6" fontId="18" fillId="2" borderId="0" xfId="15" applyNumberFormat="1" applyFont="1" applyFill="1" applyBorder="1" applyProtection="1">
      <protection hidden="1"/>
    </xf>
    <xf numFmtId="168" fontId="18" fillId="2" borderId="0" xfId="16" applyNumberFormat="1" applyFont="1" applyFill="1" applyBorder="1" applyProtection="1">
      <protection hidden="1"/>
    </xf>
    <xf numFmtId="4" fontId="18" fillId="2" borderId="0" xfId="15" applyNumberFormat="1" applyFont="1" applyFill="1" applyBorder="1" applyProtection="1">
      <protection hidden="1"/>
    </xf>
    <xf numFmtId="0" fontId="18" fillId="2" borderId="0" xfId="15" applyNumberFormat="1" applyFont="1" applyFill="1" applyBorder="1" applyProtection="1">
      <protection hidden="1"/>
    </xf>
    <xf numFmtId="0" fontId="18" fillId="2" borderId="0" xfId="15" applyFont="1" applyFill="1" applyBorder="1" applyAlignment="1" applyProtection="1">
      <alignment horizontal="left"/>
      <protection hidden="1"/>
    </xf>
    <xf numFmtId="0" fontId="18" fillId="2" borderId="0" xfId="0" applyFont="1" applyFill="1" applyBorder="1" applyAlignment="1" applyProtection="1">
      <alignment wrapText="1"/>
    </xf>
    <xf numFmtId="2" fontId="18" fillId="2" borderId="0" xfId="15" applyNumberFormat="1" applyFont="1" applyFill="1" applyProtection="1">
      <protection hidden="1"/>
    </xf>
    <xf numFmtId="0" fontId="57" fillId="5" borderId="43" xfId="15" applyFont="1" applyFill="1" applyBorder="1" applyAlignment="1" applyProtection="1">
      <alignment vertical="center"/>
      <protection hidden="1"/>
    </xf>
    <xf numFmtId="0" fontId="12" fillId="2" borderId="26" xfId="0" applyFont="1" applyFill="1" applyBorder="1" applyAlignment="1">
      <alignment horizontal="center"/>
    </xf>
    <xf numFmtId="0" fontId="13" fillId="2" borderId="28" xfId="0" applyFont="1" applyFill="1" applyBorder="1" applyAlignment="1">
      <alignment horizontal="center"/>
    </xf>
    <xf numFmtId="0" fontId="13" fillId="2" borderId="31" xfId="0" applyFont="1" applyFill="1" applyBorder="1" applyAlignment="1">
      <alignment horizontal="center"/>
    </xf>
    <xf numFmtId="0" fontId="13" fillId="7" borderId="0" xfId="0" applyNumberFormat="1" applyFont="1" applyFill="1" applyBorder="1" applyAlignment="1" applyProtection="1">
      <alignment wrapText="1"/>
    </xf>
    <xf numFmtId="9" fontId="24" fillId="2" borderId="4" xfId="22" applyFont="1" applyFill="1" applyBorder="1" applyAlignment="1" applyProtection="1">
      <alignment vertical="center"/>
      <protection hidden="1"/>
    </xf>
    <xf numFmtId="0" fontId="24" fillId="3" borderId="4" xfId="0" applyFont="1" applyFill="1" applyBorder="1" applyAlignment="1" applyProtection="1">
      <alignment vertical="center"/>
      <protection locked="0"/>
    </xf>
    <xf numFmtId="184" fontId="18" fillId="3" borderId="15" xfId="17" applyNumberFormat="1" applyFont="1" applyFill="1" applyBorder="1" applyAlignment="1" applyProtection="1">
      <alignment vertical="center"/>
      <protection locked="0"/>
    </xf>
    <xf numFmtId="184" fontId="18" fillId="3" borderId="4" xfId="17" applyNumberFormat="1" applyFont="1" applyFill="1" applyBorder="1" applyAlignment="1" applyProtection="1">
      <alignment vertical="center"/>
      <protection locked="0"/>
    </xf>
    <xf numFmtId="184" fontId="18" fillId="3" borderId="0" xfId="17" applyNumberFormat="1" applyFont="1" applyFill="1" applyBorder="1" applyAlignment="1" applyProtection="1">
      <alignment vertical="center"/>
      <protection locked="0"/>
    </xf>
    <xf numFmtId="0" fontId="13" fillId="2" borderId="19" xfId="0" applyFont="1" applyFill="1" applyBorder="1" applyProtection="1">
      <protection hidden="1"/>
    </xf>
    <xf numFmtId="164" fontId="17" fillId="2" borderId="0" xfId="0" applyNumberFormat="1" applyFont="1" applyFill="1" applyBorder="1" applyAlignment="1" applyProtection="1">
      <alignment vertical="center"/>
      <protection locked="0"/>
    </xf>
    <xf numFmtId="0" fontId="28" fillId="2" borderId="17" xfId="0" applyFont="1" applyFill="1" applyBorder="1" applyAlignment="1" applyProtection="1">
      <alignment horizontal="center" vertical="center"/>
      <protection hidden="1"/>
    </xf>
    <xf numFmtId="185" fontId="24" fillId="2" borderId="13" xfId="0" applyNumberFormat="1" applyFont="1" applyFill="1" applyBorder="1" applyAlignment="1" applyProtection="1">
      <alignment vertical="center"/>
      <protection hidden="1"/>
    </xf>
    <xf numFmtId="0" fontId="24" fillId="2" borderId="13" xfId="0" applyFont="1" applyFill="1" applyBorder="1" applyAlignment="1" applyProtection="1">
      <alignment vertical="center"/>
      <protection hidden="1"/>
    </xf>
    <xf numFmtId="185" fontId="27" fillId="2" borderId="52" xfId="0" applyNumberFormat="1" applyFont="1" applyFill="1" applyBorder="1" applyAlignment="1" applyProtection="1">
      <alignment vertical="center"/>
      <protection hidden="1"/>
    </xf>
    <xf numFmtId="181" fontId="27" fillId="2" borderId="52" xfId="0" applyNumberFormat="1" applyFont="1" applyFill="1" applyBorder="1" applyAlignment="1" applyProtection="1">
      <alignment vertical="center"/>
      <protection hidden="1"/>
    </xf>
    <xf numFmtId="185" fontId="27" fillId="2" borderId="53" xfId="0" applyNumberFormat="1" applyFont="1" applyFill="1" applyBorder="1" applyAlignment="1" applyProtection="1">
      <alignment vertical="center"/>
      <protection hidden="1"/>
    </xf>
    <xf numFmtId="181" fontId="27" fillId="2" borderId="53" xfId="0" applyNumberFormat="1" applyFont="1" applyFill="1" applyBorder="1" applyAlignment="1" applyProtection="1">
      <alignment vertical="center"/>
      <protection hidden="1"/>
    </xf>
    <xf numFmtId="0" fontId="0" fillId="2" borderId="0" xfId="0" applyFill="1" applyProtection="1">
      <protection hidden="1"/>
    </xf>
    <xf numFmtId="0" fontId="12" fillId="2" borderId="19" xfId="0" applyFont="1" applyFill="1" applyBorder="1" applyAlignment="1" applyProtection="1">
      <alignment vertical="center"/>
      <protection hidden="1"/>
    </xf>
    <xf numFmtId="186" fontId="17" fillId="2" borderId="0" xfId="0" applyNumberFormat="1" applyFont="1" applyFill="1" applyBorder="1" applyAlignment="1" applyProtection="1">
      <alignment vertical="center"/>
      <protection locked="0"/>
    </xf>
    <xf numFmtId="0" fontId="13" fillId="2" borderId="19" xfId="0" applyFont="1" applyFill="1" applyBorder="1" applyProtection="1">
      <protection hidden="1"/>
    </xf>
    <xf numFmtId="0" fontId="13" fillId="2" borderId="0" xfId="0" applyFont="1" applyFill="1" applyBorder="1" applyProtection="1">
      <protection hidden="1"/>
    </xf>
    <xf numFmtId="0" fontId="43" fillId="2" borderId="0" xfId="0" applyFont="1" applyFill="1" applyBorder="1" applyProtection="1">
      <protection hidden="1"/>
    </xf>
    <xf numFmtId="0" fontId="43" fillId="2" borderId="0" xfId="0" applyFont="1" applyFill="1" applyBorder="1" applyAlignment="1" applyProtection="1">
      <alignment horizontal="right"/>
      <protection hidden="1"/>
    </xf>
    <xf numFmtId="0" fontId="44" fillId="2" borderId="0" xfId="0" applyFont="1" applyFill="1" applyBorder="1" applyAlignment="1" applyProtection="1">
      <alignment horizontal="right"/>
      <protection hidden="1"/>
    </xf>
    <xf numFmtId="184" fontId="17" fillId="2" borderId="4" xfId="14" applyNumberFormat="1" applyFont="1" applyFill="1" applyBorder="1" applyProtection="1">
      <protection hidden="1"/>
    </xf>
    <xf numFmtId="49" fontId="17" fillId="2" borderId="0" xfId="0" applyNumberFormat="1" applyFont="1" applyFill="1" applyBorder="1" applyAlignment="1" applyProtection="1">
      <alignment vertical="center" wrapText="1"/>
      <protection locked="0"/>
    </xf>
    <xf numFmtId="0" fontId="39" fillId="2" borderId="8" xfId="0" applyFont="1" applyFill="1" applyBorder="1" applyAlignment="1" applyProtection="1">
      <alignment vertical="top" wrapText="1"/>
      <protection locked="0"/>
    </xf>
    <xf numFmtId="0" fontId="39" fillId="2" borderId="0" xfId="0" applyFont="1" applyFill="1" applyBorder="1" applyAlignment="1" applyProtection="1">
      <alignment vertical="top" wrapText="1"/>
      <protection locked="0"/>
    </xf>
    <xf numFmtId="49" fontId="39" fillId="2" borderId="8" xfId="0" applyNumberFormat="1" applyFont="1" applyFill="1" applyBorder="1" applyAlignment="1" applyProtection="1">
      <alignment vertical="top" wrapText="1"/>
      <protection locked="0"/>
    </xf>
    <xf numFmtId="49" fontId="39" fillId="2" borderId="0" xfId="0" applyNumberFormat="1" applyFont="1" applyFill="1" applyBorder="1" applyAlignment="1" applyProtection="1">
      <alignment vertical="top" wrapText="1"/>
      <protection locked="0"/>
    </xf>
    <xf numFmtId="0" fontId="13" fillId="0" borderId="0" xfId="0" applyFont="1" applyBorder="1"/>
    <xf numFmtId="0" fontId="0" fillId="2" borderId="64" xfId="0" applyFill="1" applyBorder="1" applyAlignment="1">
      <alignment vertical="center" wrapText="1"/>
    </xf>
    <xf numFmtId="0" fontId="13" fillId="0" borderId="19" xfId="0" applyFont="1" applyBorder="1"/>
    <xf numFmtId="0" fontId="61" fillId="0" borderId="0" xfId="0" applyFont="1" applyBorder="1"/>
    <xf numFmtId="0" fontId="13" fillId="0" borderId="19" xfId="0" applyFont="1" applyBorder="1" applyProtection="1">
      <protection hidden="1"/>
    </xf>
    <xf numFmtId="0" fontId="13" fillId="0" borderId="0" xfId="0" applyFont="1" applyBorder="1" applyProtection="1">
      <protection hidden="1"/>
    </xf>
    <xf numFmtId="0" fontId="0" fillId="2" borderId="43" xfId="0" applyFont="1" applyFill="1" applyBorder="1" applyProtection="1">
      <protection hidden="1"/>
    </xf>
    <xf numFmtId="0" fontId="0" fillId="2" borderId="32" xfId="0" applyFont="1" applyFill="1" applyBorder="1" applyProtection="1">
      <protection hidden="1"/>
    </xf>
    <xf numFmtId="0" fontId="6" fillId="2" borderId="19" xfId="0" applyFont="1" applyFill="1" applyBorder="1" applyAlignment="1" applyProtection="1">
      <alignment horizontal="center"/>
      <protection hidden="1"/>
    </xf>
    <xf numFmtId="0" fontId="6" fillId="2" borderId="32" xfId="0" applyFont="1" applyFill="1" applyBorder="1" applyAlignment="1" applyProtection="1">
      <alignment horizontal="center"/>
      <protection hidden="1"/>
    </xf>
    <xf numFmtId="0" fontId="6" fillId="2" borderId="43" xfId="0" applyFont="1" applyFill="1" applyBorder="1" applyAlignment="1" applyProtection="1">
      <alignment horizontal="center"/>
      <protection hidden="1"/>
    </xf>
    <xf numFmtId="0" fontId="15" fillId="2" borderId="22" xfId="0" applyNumberFormat="1" applyFont="1" applyFill="1" applyBorder="1" applyAlignment="1" applyProtection="1">
      <alignment vertical="top" wrapText="1"/>
      <protection hidden="1"/>
    </xf>
    <xf numFmtId="0" fontId="54" fillId="2" borderId="23" xfId="0" applyFont="1" applyFill="1" applyBorder="1" applyAlignment="1" applyProtection="1">
      <alignment horizontal="right"/>
      <protection hidden="1"/>
    </xf>
    <xf numFmtId="0" fontId="14" fillId="2" borderId="0" xfId="0" applyFont="1" applyFill="1" applyBorder="1" applyAlignment="1" applyProtection="1">
      <alignment vertical="center"/>
      <protection hidden="1"/>
    </xf>
    <xf numFmtId="0" fontId="13" fillId="2" borderId="4" xfId="0" applyFont="1" applyFill="1" applyBorder="1" applyAlignment="1">
      <alignment horizontal="center"/>
    </xf>
    <xf numFmtId="0" fontId="12" fillId="2" borderId="25" xfId="0" applyFont="1" applyFill="1" applyBorder="1" applyAlignment="1">
      <alignment horizontal="center"/>
    </xf>
    <xf numFmtId="0" fontId="13" fillId="2" borderId="30" xfId="0" applyFont="1" applyFill="1" applyBorder="1" applyAlignment="1">
      <alignment horizontal="center"/>
    </xf>
    <xf numFmtId="184" fontId="12" fillId="2" borderId="28" xfId="14" applyNumberFormat="1" applyFont="1" applyFill="1" applyBorder="1" applyAlignment="1" applyProtection="1">
      <alignment horizontal="center"/>
      <protection hidden="1"/>
    </xf>
    <xf numFmtId="184" fontId="12" fillId="2" borderId="31" xfId="14" applyNumberFormat="1" applyFont="1" applyFill="1" applyBorder="1" applyAlignment="1" applyProtection="1">
      <alignment horizontal="center"/>
      <protection hidden="1"/>
    </xf>
    <xf numFmtId="0" fontId="13" fillId="2" borderId="69" xfId="0" applyFont="1" applyFill="1" applyBorder="1" applyProtection="1">
      <protection hidden="1"/>
    </xf>
    <xf numFmtId="0" fontId="13" fillId="2" borderId="70" xfId="0" applyFont="1" applyFill="1" applyBorder="1" applyProtection="1">
      <protection hidden="1"/>
    </xf>
    <xf numFmtId="2" fontId="13" fillId="2" borderId="20" xfId="0" applyNumberFormat="1" applyFont="1" applyFill="1" applyBorder="1" applyProtection="1">
      <protection hidden="1"/>
    </xf>
    <xf numFmtId="0" fontId="14" fillId="2" borderId="20" xfId="0" applyFont="1" applyFill="1" applyBorder="1" applyProtection="1">
      <protection hidden="1"/>
    </xf>
    <xf numFmtId="0" fontId="14" fillId="2" borderId="20" xfId="0" applyFont="1" applyFill="1" applyBorder="1" applyAlignment="1" applyProtection="1">
      <protection hidden="1"/>
    </xf>
    <xf numFmtId="0" fontId="43" fillId="2" borderId="4" xfId="15" applyFont="1" applyFill="1" applyBorder="1" applyAlignment="1" applyProtection="1">
      <alignment horizontal="center" vertical="center" wrapText="1"/>
      <protection hidden="1"/>
    </xf>
    <xf numFmtId="0" fontId="43" fillId="2" borderId="27" xfId="15" applyFont="1" applyFill="1" applyBorder="1" applyAlignment="1" applyProtection="1">
      <alignment vertical="center" wrapText="1"/>
      <protection hidden="1"/>
    </xf>
    <xf numFmtId="0" fontId="43" fillId="2" borderId="28" xfId="15" applyFont="1" applyFill="1" applyBorder="1" applyAlignment="1" applyProtection="1">
      <alignment horizontal="center" vertical="center" wrapText="1"/>
      <protection hidden="1"/>
    </xf>
    <xf numFmtId="0" fontId="0" fillId="2" borderId="27" xfId="0" applyFill="1" applyBorder="1" applyProtection="1">
      <protection hidden="1"/>
    </xf>
    <xf numFmtId="0" fontId="43" fillId="2" borderId="22" xfId="0" applyFont="1" applyFill="1" applyBorder="1" applyAlignment="1" applyProtection="1">
      <protection hidden="1"/>
    </xf>
    <xf numFmtId="0" fontId="14" fillId="2" borderId="21" xfId="0" applyFont="1" applyFill="1" applyBorder="1" applyAlignment="1" applyProtection="1">
      <protection hidden="1"/>
    </xf>
    <xf numFmtId="172" fontId="13" fillId="2" borderId="4" xfId="0" applyNumberFormat="1" applyFont="1" applyFill="1" applyBorder="1" applyProtection="1">
      <protection hidden="1"/>
    </xf>
    <xf numFmtId="4" fontId="13" fillId="2" borderId="4" xfId="0" applyNumberFormat="1" applyFont="1" applyFill="1" applyBorder="1" applyAlignment="1" applyProtection="1">
      <alignment horizontal="right"/>
      <protection hidden="1"/>
    </xf>
    <xf numFmtId="0" fontId="0" fillId="7" borderId="16" xfId="0" applyFill="1" applyBorder="1" applyProtection="1">
      <protection hidden="1"/>
    </xf>
    <xf numFmtId="0" fontId="0" fillId="7" borderId="19" xfId="0" applyFill="1" applyBorder="1" applyProtection="1">
      <protection hidden="1"/>
    </xf>
    <xf numFmtId="0" fontId="0" fillId="2" borderId="0" xfId="0" applyFill="1" applyBorder="1" applyAlignment="1" applyProtection="1">
      <protection hidden="1"/>
    </xf>
    <xf numFmtId="0" fontId="0" fillId="7" borderId="21" xfId="0" applyFill="1" applyBorder="1" applyProtection="1">
      <protection hidden="1"/>
    </xf>
    <xf numFmtId="0" fontId="54" fillId="0" borderId="22" xfId="0" applyFont="1" applyBorder="1" applyAlignment="1" applyProtection="1">
      <alignment horizontal="right"/>
      <protection hidden="1"/>
    </xf>
    <xf numFmtId="0" fontId="63" fillId="2" borderId="22" xfId="0" applyFont="1" applyFill="1" applyBorder="1" applyProtection="1">
      <protection hidden="1"/>
    </xf>
    <xf numFmtId="0" fontId="54" fillId="0" borderId="23" xfId="0" applyFont="1" applyBorder="1" applyAlignment="1" applyProtection="1">
      <alignment horizontal="right"/>
      <protection hidden="1"/>
    </xf>
    <xf numFmtId="0" fontId="12" fillId="2" borderId="16" xfId="0" applyFont="1" applyFill="1" applyBorder="1" applyAlignment="1" applyProtection="1">
      <alignment horizontal="right"/>
      <protection hidden="1"/>
    </xf>
    <xf numFmtId="0" fontId="13" fillId="2" borderId="17" xfId="0" applyFont="1" applyFill="1" applyBorder="1" applyAlignment="1">
      <alignment vertical="top" wrapText="1"/>
    </xf>
    <xf numFmtId="0" fontId="13" fillId="2" borderId="18" xfId="0" applyFont="1" applyFill="1" applyBorder="1" applyAlignment="1">
      <alignment vertical="top" wrapText="1"/>
    </xf>
    <xf numFmtId="14" fontId="15" fillId="2" borderId="21" xfId="0" applyNumberFormat="1" applyFont="1" applyFill="1" applyBorder="1" applyAlignment="1" applyProtection="1">
      <alignment horizontal="left"/>
      <protection hidden="1"/>
    </xf>
    <xf numFmtId="0" fontId="63" fillId="7" borderId="0" xfId="0" applyFont="1" applyFill="1" applyBorder="1"/>
    <xf numFmtId="0" fontId="63" fillId="7" borderId="0" xfId="0" applyFont="1" applyFill="1"/>
    <xf numFmtId="0" fontId="9" fillId="2" borderId="16" xfId="0" applyFont="1" applyFill="1" applyBorder="1"/>
    <xf numFmtId="0" fontId="9" fillId="2" borderId="17" xfId="0" applyFont="1" applyFill="1" applyBorder="1"/>
    <xf numFmtId="0" fontId="9" fillId="2" borderId="18" xfId="0" applyFont="1" applyFill="1" applyBorder="1"/>
    <xf numFmtId="0" fontId="9" fillId="2" borderId="19" xfId="0" applyFont="1" applyFill="1" applyBorder="1"/>
    <xf numFmtId="0" fontId="15" fillId="2" borderId="22" xfId="0" applyFont="1" applyFill="1" applyBorder="1" applyAlignment="1" applyProtection="1">
      <alignment vertical="center"/>
      <protection hidden="1"/>
    </xf>
    <xf numFmtId="14" fontId="54" fillId="2" borderId="21" xfId="0" applyNumberFormat="1" applyFont="1" applyFill="1" applyBorder="1" applyAlignment="1" applyProtection="1">
      <alignment horizontal="left"/>
      <protection hidden="1"/>
    </xf>
    <xf numFmtId="0" fontId="63" fillId="2" borderId="48" xfId="0" applyFont="1" applyFill="1" applyBorder="1"/>
    <xf numFmtId="0" fontId="19" fillId="2" borderId="11" xfId="1" applyFont="1" applyFill="1" applyBorder="1" applyAlignment="1" applyProtection="1">
      <alignment vertical="top" wrapText="1"/>
      <protection hidden="1"/>
    </xf>
    <xf numFmtId="0" fontId="43" fillId="12" borderId="0" xfId="0" applyFont="1" applyFill="1" applyProtection="1">
      <protection hidden="1"/>
    </xf>
    <xf numFmtId="0" fontId="43" fillId="12" borderId="0" xfId="0" applyFont="1" applyFill="1" applyBorder="1" applyProtection="1">
      <protection hidden="1"/>
    </xf>
    <xf numFmtId="181" fontId="24" fillId="2" borderId="31" xfId="0" applyNumberFormat="1" applyFont="1" applyFill="1" applyBorder="1" applyAlignment="1" applyProtection="1">
      <alignment vertical="center"/>
      <protection hidden="1"/>
    </xf>
    <xf numFmtId="185" fontId="24" fillId="2" borderId="4" xfId="0" applyNumberFormat="1" applyFont="1" applyFill="1" applyBorder="1" applyAlignment="1" applyProtection="1">
      <alignment vertical="center" wrapText="1"/>
      <protection hidden="1"/>
    </xf>
    <xf numFmtId="185" fontId="24" fillId="2" borderId="28" xfId="0" applyNumberFormat="1" applyFont="1" applyFill="1" applyBorder="1" applyAlignment="1" applyProtection="1">
      <alignment vertical="center" wrapText="1"/>
      <protection hidden="1"/>
    </xf>
    <xf numFmtId="0" fontId="33" fillId="2" borderId="6" xfId="0" applyFont="1" applyFill="1" applyBorder="1" applyProtection="1">
      <protection hidden="1"/>
    </xf>
    <xf numFmtId="0" fontId="63" fillId="2" borderId="22" xfId="0" applyFont="1" applyFill="1" applyBorder="1" applyAlignment="1" applyProtection="1">
      <alignment vertical="center" wrapText="1"/>
      <protection hidden="1"/>
    </xf>
    <xf numFmtId="0" fontId="63" fillId="2" borderId="22" xfId="0" applyFont="1" applyFill="1" applyBorder="1" applyAlignment="1" applyProtection="1">
      <alignment vertical="center"/>
      <protection hidden="1"/>
    </xf>
    <xf numFmtId="14" fontId="63" fillId="2" borderId="21" xfId="0" applyNumberFormat="1" applyFont="1" applyFill="1" applyBorder="1" applyAlignment="1" applyProtection="1">
      <alignment horizontal="left"/>
      <protection hidden="1"/>
    </xf>
    <xf numFmtId="0" fontId="15" fillId="2" borderId="22" xfId="0" applyNumberFormat="1" applyFont="1" applyFill="1" applyBorder="1" applyProtection="1">
      <protection hidden="1"/>
    </xf>
    <xf numFmtId="0" fontId="15" fillId="2" borderId="22" xfId="0" applyFont="1" applyFill="1" applyBorder="1" applyAlignment="1" applyProtection="1">
      <alignment horizontal="right" wrapText="1"/>
      <protection hidden="1"/>
    </xf>
    <xf numFmtId="0" fontId="54" fillId="0" borderId="22" xfId="0" applyFont="1" applyBorder="1" applyProtection="1">
      <protection hidden="1"/>
    </xf>
    <xf numFmtId="0" fontId="13" fillId="2" borderId="0" xfId="0" applyNumberFormat="1" applyFont="1" applyFill="1" applyBorder="1" applyProtection="1"/>
    <xf numFmtId="0" fontId="13" fillId="2" borderId="0" xfId="0" applyFont="1" applyFill="1" applyBorder="1" applyAlignment="1" applyProtection="1">
      <alignment horizontal="right" wrapText="1"/>
    </xf>
    <xf numFmtId="0" fontId="13" fillId="2" borderId="0" xfId="0" applyFont="1" applyFill="1" applyBorder="1" applyProtection="1"/>
    <xf numFmtId="0" fontId="0" fillId="12" borderId="0" xfId="0" applyFill="1" applyBorder="1" applyProtection="1">
      <protection hidden="1"/>
    </xf>
    <xf numFmtId="0" fontId="0" fillId="0" borderId="22" xfId="0" applyBorder="1" applyProtection="1">
      <protection hidden="1"/>
    </xf>
    <xf numFmtId="0" fontId="0" fillId="2" borderId="28" xfId="0" applyFill="1" applyBorder="1" applyAlignment="1" applyProtection="1">
      <alignment wrapText="1"/>
      <protection hidden="1"/>
    </xf>
    <xf numFmtId="1" fontId="0" fillId="2" borderId="4" xfId="0" applyNumberFormat="1" applyFill="1" applyBorder="1" applyProtection="1">
      <protection hidden="1"/>
    </xf>
    <xf numFmtId="1" fontId="0" fillId="2" borderId="28" xfId="0" applyNumberFormat="1" applyFill="1" applyBorder="1" applyProtection="1">
      <protection hidden="1"/>
    </xf>
    <xf numFmtId="3" fontId="0" fillId="2" borderId="4" xfId="0" applyNumberFormat="1" applyFill="1" applyBorder="1" applyProtection="1">
      <protection hidden="1"/>
    </xf>
    <xf numFmtId="3" fontId="0" fillId="2" borderId="28" xfId="0" applyNumberFormat="1" applyFill="1" applyBorder="1" applyProtection="1">
      <protection hidden="1"/>
    </xf>
    <xf numFmtId="0" fontId="0" fillId="2" borderId="31" xfId="0" applyFill="1" applyBorder="1" applyProtection="1">
      <protection hidden="1"/>
    </xf>
    <xf numFmtId="0" fontId="43" fillId="2" borderId="4" xfId="1" applyFont="1" applyFill="1" applyBorder="1" applyAlignment="1" applyProtection="1">
      <alignment horizontal="center" vertical="center" wrapText="1"/>
    </xf>
    <xf numFmtId="0" fontId="43" fillId="0" borderId="4" xfId="1" applyFont="1" applyBorder="1" applyAlignment="1" applyProtection="1">
      <alignment horizontal="center" vertical="center" wrapText="1"/>
    </xf>
    <xf numFmtId="0" fontId="18" fillId="0" borderId="22" xfId="0" applyFont="1" applyBorder="1" applyProtection="1">
      <protection hidden="1"/>
    </xf>
    <xf numFmtId="14" fontId="18" fillId="2" borderId="22" xfId="0" applyNumberFormat="1" applyFont="1" applyFill="1" applyBorder="1" applyProtection="1">
      <protection hidden="1"/>
    </xf>
    <xf numFmtId="0" fontId="18" fillId="2" borderId="22" xfId="0" applyFont="1" applyFill="1" applyBorder="1" applyProtection="1">
      <protection hidden="1"/>
    </xf>
    <xf numFmtId="0" fontId="16" fillId="7" borderId="0" xfId="0" applyFont="1" applyFill="1" applyBorder="1" applyProtection="1">
      <protection hidden="1"/>
    </xf>
    <xf numFmtId="0" fontId="16" fillId="7" borderId="0" xfId="0" applyFont="1" applyFill="1" applyBorder="1" applyAlignment="1" applyProtection="1">
      <alignment horizontal="right"/>
      <protection hidden="1"/>
    </xf>
    <xf numFmtId="0" fontId="39" fillId="7" borderId="0" xfId="0" applyFont="1" applyFill="1" applyBorder="1" applyProtection="1">
      <protection hidden="1"/>
    </xf>
    <xf numFmtId="0" fontId="39" fillId="7" borderId="0" xfId="0" applyFont="1" applyFill="1" applyBorder="1" applyAlignment="1" applyProtection="1">
      <alignment horizontal="right"/>
      <protection hidden="1"/>
    </xf>
    <xf numFmtId="1" fontId="16" fillId="7" borderId="0" xfId="0" applyNumberFormat="1" applyFont="1" applyFill="1" applyBorder="1" applyAlignment="1" applyProtection="1">
      <alignment horizontal="left"/>
      <protection hidden="1"/>
    </xf>
    <xf numFmtId="0" fontId="0" fillId="2" borderId="0" xfId="0" applyFill="1" applyAlignment="1" applyProtection="1">
      <alignment wrapText="1"/>
      <protection hidden="1"/>
    </xf>
    <xf numFmtId="0" fontId="0" fillId="2" borderId="0" xfId="0" applyFill="1" applyAlignment="1" applyProtection="1">
      <alignment vertical="center" wrapText="1"/>
      <protection hidden="1"/>
    </xf>
    <xf numFmtId="0" fontId="0" fillId="2" borderId="0" xfId="0" applyFill="1" applyAlignment="1" applyProtection="1">
      <alignment vertical="center"/>
      <protection hidden="1"/>
    </xf>
    <xf numFmtId="0" fontId="0" fillId="2" borderId="0" xfId="0" quotePrefix="1" applyFill="1" applyAlignment="1" applyProtection="1">
      <alignment wrapText="1"/>
      <protection hidden="1"/>
    </xf>
    <xf numFmtId="0" fontId="66" fillId="2" borderId="21" xfId="15" applyFont="1" applyFill="1" applyBorder="1" applyAlignment="1" applyProtection="1">
      <alignment vertical="center"/>
      <protection hidden="1"/>
    </xf>
    <xf numFmtId="9" fontId="16" fillId="2" borderId="4" xfId="0" applyNumberFormat="1" applyFont="1" applyFill="1" applyBorder="1" applyProtection="1">
      <protection hidden="1"/>
    </xf>
    <xf numFmtId="185" fontId="16" fillId="2" borderId="4" xfId="14" applyNumberFormat="1" applyFont="1" applyFill="1" applyBorder="1" applyProtection="1">
      <protection hidden="1"/>
    </xf>
    <xf numFmtId="183" fontId="16" fillId="2" borderId="4" xfId="0" applyNumberFormat="1" applyFont="1" applyFill="1" applyBorder="1" applyProtection="1">
      <protection hidden="1"/>
    </xf>
    <xf numFmtId="185" fontId="16" fillId="2" borderId="4" xfId="0" applyNumberFormat="1" applyFont="1" applyFill="1" applyBorder="1" applyProtection="1">
      <protection hidden="1"/>
    </xf>
    <xf numFmtId="0" fontId="16" fillId="2" borderId="28" xfId="0" applyFont="1" applyFill="1" applyBorder="1" applyProtection="1">
      <protection hidden="1"/>
    </xf>
    <xf numFmtId="0" fontId="16" fillId="2" borderId="19" xfId="0" applyFont="1" applyFill="1" applyBorder="1" applyProtection="1">
      <protection hidden="1"/>
    </xf>
    <xf numFmtId="0" fontId="9" fillId="2" borderId="0" xfId="0" applyFont="1" applyFill="1" applyBorder="1" applyProtection="1">
      <protection hidden="1"/>
    </xf>
    <xf numFmtId="0" fontId="16" fillId="2" borderId="20" xfId="0" applyFont="1" applyFill="1" applyBorder="1" applyProtection="1">
      <protection hidden="1"/>
    </xf>
    <xf numFmtId="185" fontId="16" fillId="2" borderId="30" xfId="0" applyNumberFormat="1" applyFont="1" applyFill="1" applyBorder="1" applyProtection="1">
      <protection hidden="1"/>
    </xf>
    <xf numFmtId="0" fontId="16" fillId="2" borderId="31" xfId="0" applyFont="1" applyFill="1" applyBorder="1" applyProtection="1">
      <protection hidden="1"/>
    </xf>
    <xf numFmtId="168" fontId="16" fillId="2" borderId="4" xfId="14" applyNumberFormat="1" applyFont="1" applyFill="1" applyBorder="1" applyProtection="1">
      <protection hidden="1"/>
    </xf>
    <xf numFmtId="0" fontId="0" fillId="0" borderId="0" xfId="0" applyBorder="1" applyAlignment="1" applyProtection="1">
      <alignment vertical="top" wrapText="1"/>
      <protection hidden="1"/>
    </xf>
    <xf numFmtId="0" fontId="0" fillId="0" borderId="0" xfId="0" applyBorder="1" applyAlignment="1" applyProtection="1">
      <alignment vertical="top"/>
      <protection hidden="1"/>
    </xf>
    <xf numFmtId="14" fontId="15" fillId="2" borderId="50" xfId="0" applyNumberFormat="1" applyFont="1" applyFill="1" applyBorder="1" applyAlignment="1" applyProtection="1">
      <alignment horizontal="left"/>
      <protection hidden="1"/>
    </xf>
    <xf numFmtId="0" fontId="15" fillId="2" borderId="51" xfId="0" applyNumberFormat="1" applyFont="1" applyFill="1" applyBorder="1" applyAlignment="1" applyProtection="1">
      <alignment vertical="top" wrapText="1"/>
      <protection hidden="1"/>
    </xf>
    <xf numFmtId="0" fontId="0" fillId="2" borderId="51" xfId="0" applyFill="1" applyBorder="1" applyProtection="1">
      <protection hidden="1"/>
    </xf>
    <xf numFmtId="0" fontId="54" fillId="2" borderId="52" xfId="0" applyFont="1" applyFill="1" applyBorder="1" applyAlignment="1" applyProtection="1">
      <alignment horizontal="right"/>
      <protection hidden="1"/>
    </xf>
    <xf numFmtId="0" fontId="0" fillId="2" borderId="20" xfId="0" applyFill="1" applyBorder="1" applyAlignment="1" applyProtection="1">
      <alignment vertical="top" wrapText="1"/>
      <protection hidden="1"/>
    </xf>
    <xf numFmtId="184" fontId="0" fillId="2" borderId="4" xfId="0" applyNumberFormat="1" applyFont="1" applyFill="1" applyBorder="1" applyAlignment="1" applyProtection="1">
      <alignment horizontal="right" vertical="center"/>
      <protection hidden="1"/>
    </xf>
    <xf numFmtId="4" fontId="0" fillId="2" borderId="30" xfId="0" applyNumberFormat="1" applyFill="1" applyBorder="1" applyProtection="1">
      <protection hidden="1"/>
    </xf>
    <xf numFmtId="0" fontId="16" fillId="2" borderId="23" xfId="15" applyFont="1" applyFill="1" applyBorder="1" applyAlignment="1" applyProtection="1">
      <alignment vertical="top" wrapText="1"/>
      <protection hidden="1"/>
    </xf>
    <xf numFmtId="170" fontId="16" fillId="4" borderId="4" xfId="15" applyNumberFormat="1" applyFont="1" applyFill="1" applyBorder="1" applyAlignment="1" applyProtection="1">
      <alignment vertical="center"/>
      <protection hidden="1"/>
    </xf>
    <xf numFmtId="0" fontId="16" fillId="0" borderId="0" xfId="15" applyNumberFormat="1" applyFont="1" applyFill="1" applyBorder="1" applyAlignment="1" applyProtection="1">
      <alignment vertical="top" wrapText="1"/>
      <protection hidden="1"/>
    </xf>
    <xf numFmtId="0" fontId="68" fillId="0" borderId="0" xfId="65" applyFont="1" applyFill="1" applyBorder="1" applyAlignment="1" applyProtection="1">
      <alignment vertical="center" wrapText="1"/>
      <protection hidden="1"/>
    </xf>
    <xf numFmtId="0" fontId="12" fillId="2" borderId="0" xfId="0" applyFont="1" applyFill="1" applyBorder="1" applyProtection="1">
      <protection hidden="1"/>
    </xf>
    <xf numFmtId="0" fontId="13" fillId="2" borderId="19" xfId="0" applyFont="1" applyFill="1" applyBorder="1" applyProtection="1">
      <protection hidden="1"/>
    </xf>
    <xf numFmtId="0" fontId="13" fillId="2" borderId="0" xfId="0" applyFont="1" applyFill="1" applyBorder="1" applyProtection="1">
      <protection hidden="1"/>
    </xf>
    <xf numFmtId="170" fontId="13" fillId="2" borderId="4" xfId="0" applyNumberFormat="1" applyFont="1" applyFill="1" applyBorder="1" applyAlignment="1" applyProtection="1">
      <alignment horizontal="right"/>
      <protection hidden="1"/>
    </xf>
    <xf numFmtId="4" fontId="13" fillId="2" borderId="1" xfId="0" applyNumberFormat="1" applyFont="1" applyFill="1" applyBorder="1" applyAlignment="1" applyProtection="1">
      <alignment horizontal="right"/>
      <protection hidden="1"/>
    </xf>
    <xf numFmtId="0" fontId="12" fillId="2" borderId="0" xfId="0" applyFont="1" applyFill="1" applyBorder="1" applyAlignment="1" applyProtection="1">
      <protection hidden="1"/>
    </xf>
    <xf numFmtId="0" fontId="16" fillId="12" borderId="17" xfId="0" applyFont="1" applyFill="1" applyBorder="1" applyProtection="1">
      <protection hidden="1"/>
    </xf>
    <xf numFmtId="0" fontId="50" fillId="12" borderId="17" xfId="0" applyFont="1" applyFill="1" applyBorder="1" applyProtection="1">
      <protection hidden="1"/>
    </xf>
    <xf numFmtId="0" fontId="50" fillId="12" borderId="18" xfId="0" applyFont="1" applyFill="1" applyBorder="1" applyProtection="1">
      <protection hidden="1"/>
    </xf>
    <xf numFmtId="0" fontId="50" fillId="12" borderId="0" xfId="0" applyFont="1" applyFill="1" applyBorder="1" applyProtection="1">
      <protection hidden="1"/>
    </xf>
    <xf numFmtId="0" fontId="50" fillId="12" borderId="20" xfId="0" applyFont="1" applyFill="1" applyBorder="1" applyProtection="1">
      <protection hidden="1"/>
    </xf>
    <xf numFmtId="0" fontId="12" fillId="2" borderId="20" xfId="0" applyFont="1" applyFill="1" applyBorder="1" applyAlignment="1" applyProtection="1">
      <protection hidden="1"/>
    </xf>
    <xf numFmtId="0" fontId="50" fillId="12" borderId="0" xfId="0" applyFont="1" applyFill="1" applyBorder="1" applyAlignment="1" applyProtection="1">
      <alignment wrapText="1"/>
      <protection hidden="1"/>
    </xf>
    <xf numFmtId="0" fontId="50" fillId="12" borderId="20" xfId="0" applyFont="1" applyFill="1" applyBorder="1" applyAlignment="1" applyProtection="1">
      <alignment wrapText="1"/>
      <protection hidden="1"/>
    </xf>
    <xf numFmtId="43" fontId="16" fillId="12" borderId="0" xfId="14" applyFont="1" applyFill="1" applyBorder="1" applyProtection="1">
      <protection hidden="1"/>
    </xf>
    <xf numFmtId="0" fontId="16" fillId="12" borderId="0" xfId="0" applyFont="1" applyFill="1" applyBorder="1" applyProtection="1">
      <protection locked="0" hidden="1"/>
    </xf>
    <xf numFmtId="0" fontId="13" fillId="7" borderId="19" xfId="0" applyFont="1" applyFill="1" applyBorder="1" applyProtection="1">
      <protection hidden="1"/>
    </xf>
    <xf numFmtId="0" fontId="13" fillId="0" borderId="21" xfId="0" applyFont="1" applyBorder="1" applyProtection="1">
      <protection hidden="1"/>
    </xf>
    <xf numFmtId="0" fontId="13" fillId="0" borderId="22" xfId="0" applyFont="1" applyBorder="1" applyProtection="1">
      <protection hidden="1"/>
    </xf>
    <xf numFmtId="0" fontId="16" fillId="12" borderId="22" xfId="0" applyFont="1" applyFill="1" applyBorder="1" applyProtection="1">
      <protection hidden="1"/>
    </xf>
    <xf numFmtId="0" fontId="50" fillId="12" borderId="22" xfId="0" applyFont="1" applyFill="1" applyBorder="1" applyProtection="1">
      <protection hidden="1"/>
    </xf>
    <xf numFmtId="0" fontId="50" fillId="12" borderId="23" xfId="0" applyFont="1" applyFill="1" applyBorder="1" applyProtection="1">
      <protection hidden="1"/>
    </xf>
    <xf numFmtId="188" fontId="13" fillId="3" borderId="4" xfId="0" applyNumberFormat="1" applyFont="1" applyFill="1" applyBorder="1" applyProtection="1">
      <protection locked="0"/>
    </xf>
    <xf numFmtId="189" fontId="13" fillId="2" borderId="4" xfId="0" applyNumberFormat="1" applyFont="1" applyFill="1" applyBorder="1" applyProtection="1">
      <protection hidden="1"/>
    </xf>
    <xf numFmtId="188" fontId="13" fillId="2" borderId="4" xfId="0" applyNumberFormat="1" applyFont="1" applyFill="1" applyBorder="1" applyProtection="1">
      <protection hidden="1"/>
    </xf>
    <xf numFmtId="185" fontId="13" fillId="2" borderId="4" xfId="0" applyNumberFormat="1" applyFont="1" applyFill="1" applyBorder="1" applyProtection="1">
      <protection hidden="1"/>
    </xf>
    <xf numFmtId="3" fontId="13" fillId="3" borderId="4" xfId="0" applyNumberFormat="1" applyFont="1" applyFill="1" applyBorder="1" applyProtection="1">
      <protection locked="0"/>
    </xf>
    <xf numFmtId="4" fontId="13" fillId="2" borderId="1" xfId="0" applyNumberFormat="1" applyFont="1" applyFill="1" applyBorder="1" applyProtection="1">
      <protection hidden="1"/>
    </xf>
    <xf numFmtId="0" fontId="13" fillId="2" borderId="0" xfId="0" applyFont="1" applyFill="1" applyBorder="1" applyProtection="1">
      <protection hidden="1"/>
    </xf>
    <xf numFmtId="170" fontId="16" fillId="2" borderId="4" xfId="0" applyNumberFormat="1" applyFont="1" applyFill="1" applyBorder="1" applyProtection="1">
      <protection hidden="1"/>
    </xf>
    <xf numFmtId="189" fontId="16" fillId="2" borderId="4" xfId="0" applyNumberFormat="1" applyFont="1" applyFill="1" applyBorder="1" applyProtection="1">
      <protection hidden="1"/>
    </xf>
    <xf numFmtId="0" fontId="13" fillId="2" borderId="0" xfId="0" applyFont="1" applyFill="1" applyBorder="1" applyProtection="1">
      <protection hidden="1"/>
    </xf>
    <xf numFmtId="0" fontId="18" fillId="5" borderId="13" xfId="15" applyFont="1" applyFill="1" applyBorder="1" applyAlignment="1" applyProtection="1">
      <alignment horizontal="center" vertical="center" wrapText="1"/>
      <protection hidden="1"/>
    </xf>
    <xf numFmtId="0" fontId="18" fillId="5" borderId="14" xfId="15" applyFont="1" applyFill="1" applyBorder="1" applyAlignment="1" applyProtection="1">
      <alignment horizontal="center" vertical="center" wrapText="1"/>
      <protection hidden="1"/>
    </xf>
    <xf numFmtId="0" fontId="18" fillId="5" borderId="13" xfId="1" applyFont="1" applyFill="1" applyBorder="1" applyAlignment="1" applyProtection="1">
      <alignment horizontal="center" vertical="center" wrapText="1"/>
      <protection hidden="1"/>
    </xf>
    <xf numFmtId="0" fontId="18" fillId="5" borderId="10" xfId="15" applyFont="1" applyFill="1" applyBorder="1" applyAlignment="1" applyProtection="1">
      <alignment horizontal="center" vertical="center" wrapText="1"/>
      <protection hidden="1"/>
    </xf>
    <xf numFmtId="0" fontId="16" fillId="2" borderId="13" xfId="1" applyFont="1" applyFill="1" applyBorder="1" applyAlignment="1" applyProtection="1">
      <alignment horizontal="center" vertical="center" wrapText="1"/>
      <protection hidden="1"/>
    </xf>
    <xf numFmtId="0" fontId="12" fillId="2" borderId="19" xfId="0" applyFont="1" applyFill="1" applyBorder="1" applyProtection="1">
      <protection hidden="1"/>
    </xf>
    <xf numFmtId="0" fontId="12" fillId="2" borderId="0" xfId="0" applyFont="1" applyFill="1" applyBorder="1" applyProtection="1">
      <protection hidden="1"/>
    </xf>
    <xf numFmtId="0" fontId="13" fillId="2" borderId="19" xfId="0" applyFont="1" applyFill="1" applyBorder="1" applyProtection="1">
      <protection hidden="1"/>
    </xf>
    <xf numFmtId="0" fontId="13" fillId="2" borderId="0" xfId="0" applyFont="1" applyFill="1" applyBorder="1" applyProtection="1">
      <protection hidden="1"/>
    </xf>
    <xf numFmtId="0" fontId="24" fillId="2" borderId="3" xfId="0" applyFont="1" applyFill="1" applyBorder="1" applyAlignment="1" applyProtection="1">
      <alignment vertical="center"/>
      <protection hidden="1"/>
    </xf>
    <xf numFmtId="0" fontId="24" fillId="2" borderId="22" xfId="0" applyFont="1" applyFill="1" applyBorder="1" applyAlignment="1" applyProtection="1">
      <alignment vertical="center"/>
      <protection hidden="1"/>
    </xf>
    <xf numFmtId="0" fontId="24" fillId="2" borderId="30" xfId="0" applyFont="1" applyFill="1" applyBorder="1" applyAlignment="1" applyProtection="1">
      <alignment vertical="center"/>
      <protection hidden="1"/>
    </xf>
    <xf numFmtId="0" fontId="0" fillId="2" borderId="0" xfId="0" applyFill="1" applyBorder="1" applyAlignment="1" applyProtection="1">
      <alignment horizontal="left" vertical="top" wrapText="1"/>
      <protection hidden="1"/>
    </xf>
    <xf numFmtId="0" fontId="18" fillId="6" borderId="0" xfId="15" applyFont="1" applyFill="1" applyBorder="1" applyAlignment="1" applyProtection="1">
      <alignment vertical="center"/>
      <protection hidden="1"/>
    </xf>
    <xf numFmtId="0" fontId="18" fillId="5" borderId="16" xfId="15" applyFont="1" applyFill="1" applyBorder="1" applyAlignment="1" applyProtection="1">
      <alignment vertical="center"/>
      <protection hidden="1"/>
    </xf>
    <xf numFmtId="0" fontId="16" fillId="5" borderId="19" xfId="15" applyFont="1" applyFill="1" applyBorder="1" applyAlignment="1" applyProtection="1">
      <alignment vertical="center"/>
      <protection hidden="1"/>
    </xf>
    <xf numFmtId="0" fontId="19" fillId="5" borderId="19" xfId="15" applyFont="1" applyFill="1" applyBorder="1" applyAlignment="1" applyProtection="1">
      <alignment vertical="center"/>
      <protection hidden="1"/>
    </xf>
    <xf numFmtId="0" fontId="30" fillId="5" borderId="19" xfId="15" applyFont="1" applyFill="1" applyBorder="1" applyAlignment="1" applyProtection="1">
      <alignment vertical="center"/>
      <protection hidden="1"/>
    </xf>
    <xf numFmtId="0" fontId="17" fillId="2" borderId="0" xfId="15" applyFont="1" applyFill="1" applyBorder="1" applyAlignment="1" applyProtection="1">
      <alignment vertical="center"/>
      <protection hidden="1"/>
    </xf>
    <xf numFmtId="0" fontId="17" fillId="2" borderId="20" xfId="15" applyFont="1" applyFill="1" applyBorder="1" applyAlignment="1" applyProtection="1">
      <alignment vertical="center"/>
      <protection hidden="1"/>
    </xf>
    <xf numFmtId="0" fontId="0" fillId="2" borderId="21" xfId="0" applyFill="1" applyBorder="1" applyProtection="1">
      <protection hidden="1"/>
    </xf>
    <xf numFmtId="0" fontId="24" fillId="7" borderId="20" xfId="0" applyFont="1" applyFill="1" applyBorder="1" applyAlignment="1" applyProtection="1">
      <alignment vertical="center"/>
      <protection hidden="1"/>
    </xf>
    <xf numFmtId="0" fontId="0" fillId="0" borderId="0" xfId="0" applyBorder="1" applyProtection="1">
      <protection hidden="1"/>
    </xf>
    <xf numFmtId="0" fontId="0" fillId="0" borderId="20" xfId="0" applyBorder="1" applyProtection="1">
      <protection hidden="1"/>
    </xf>
    <xf numFmtId="0" fontId="15" fillId="2" borderId="19" xfId="0" applyFont="1" applyFill="1" applyBorder="1" applyProtection="1">
      <protection hidden="1"/>
    </xf>
    <xf numFmtId="0" fontId="23" fillId="2" borderId="19" xfId="0" applyFont="1" applyFill="1" applyBorder="1" applyAlignment="1" applyProtection="1">
      <alignment horizontal="right" vertical="top"/>
      <protection hidden="1"/>
    </xf>
    <xf numFmtId="0" fontId="15" fillId="0" borderId="0" xfId="0" applyFont="1" applyBorder="1" applyAlignment="1" applyProtection="1">
      <alignment vertical="top"/>
      <protection hidden="1"/>
    </xf>
    <xf numFmtId="0" fontId="23" fillId="2" borderId="19" xfId="0" applyFont="1" applyFill="1" applyBorder="1" applyAlignment="1" applyProtection="1">
      <alignment horizontal="right" wrapText="1"/>
      <protection hidden="1"/>
    </xf>
    <xf numFmtId="14" fontId="15" fillId="0" borderId="21" xfId="0" applyNumberFormat="1" applyFont="1" applyBorder="1" applyAlignment="1" applyProtection="1">
      <alignment horizontal="left"/>
      <protection hidden="1"/>
    </xf>
    <xf numFmtId="0" fontId="9" fillId="2" borderId="20" xfId="0" applyFont="1" applyFill="1" applyBorder="1" applyProtection="1">
      <protection hidden="1"/>
    </xf>
    <xf numFmtId="0" fontId="18" fillId="5" borderId="14" xfId="15" applyFont="1" applyFill="1" applyBorder="1" applyAlignment="1" applyProtection="1">
      <alignment horizontal="center" vertical="center" wrapText="1"/>
      <protection hidden="1"/>
    </xf>
    <xf numFmtId="0" fontId="18" fillId="5" borderId="13" xfId="1" applyFont="1" applyFill="1" applyBorder="1" applyAlignment="1" applyProtection="1">
      <alignment horizontal="center" vertical="center" wrapText="1"/>
      <protection hidden="1"/>
    </xf>
    <xf numFmtId="0" fontId="16" fillId="2" borderId="0" xfId="15" applyNumberFormat="1" applyFont="1" applyFill="1" applyBorder="1" applyAlignment="1" applyProtection="1">
      <alignment vertical="top" wrapText="1"/>
      <protection hidden="1"/>
    </xf>
    <xf numFmtId="0" fontId="0" fillId="0" borderId="17" xfId="0" applyBorder="1" applyProtection="1">
      <protection hidden="1"/>
    </xf>
    <xf numFmtId="0" fontId="0" fillId="0" borderId="0" xfId="0" applyBorder="1" applyAlignment="1" applyProtection="1">
      <alignment vertical="center"/>
      <protection hidden="1"/>
    </xf>
    <xf numFmtId="0" fontId="71" fillId="16" borderId="51" xfId="68" applyBorder="1" applyAlignment="1" applyProtection="1">
      <alignment vertical="center"/>
      <protection hidden="1"/>
    </xf>
    <xf numFmtId="0" fontId="0" fillId="2" borderId="19" xfId="0" applyFill="1" applyBorder="1" applyAlignment="1" applyProtection="1">
      <alignment vertical="center"/>
      <protection hidden="1"/>
    </xf>
    <xf numFmtId="0" fontId="0" fillId="0" borderId="0" xfId="0" applyBorder="1" applyAlignment="1" applyProtection="1">
      <protection hidden="1"/>
    </xf>
    <xf numFmtId="0" fontId="0" fillId="2" borderId="19" xfId="0" applyFill="1" applyBorder="1" applyAlignment="1" applyProtection="1">
      <alignment horizontal="right" vertical="top"/>
      <protection hidden="1"/>
    </xf>
    <xf numFmtId="0" fontId="0" fillId="0" borderId="0" xfId="0" applyBorder="1" applyAlignment="1" applyProtection="1">
      <alignment horizontal="left" vertical="top"/>
      <protection hidden="1"/>
    </xf>
    <xf numFmtId="0" fontId="0" fillId="2" borderId="0" xfId="0" applyFill="1" applyBorder="1" applyAlignment="1" applyProtection="1">
      <alignment vertical="top" wrapText="1"/>
      <protection hidden="1"/>
    </xf>
    <xf numFmtId="0" fontId="0" fillId="2" borderId="19" xfId="0" applyFill="1" applyBorder="1" applyAlignment="1" applyProtection="1">
      <alignment horizontal="right" vertical="top" wrapText="1"/>
      <protection hidden="1"/>
    </xf>
    <xf numFmtId="0" fontId="0" fillId="0" borderId="0" xfId="0" applyBorder="1" applyAlignment="1" applyProtection="1">
      <alignment wrapText="1"/>
      <protection hidden="1"/>
    </xf>
    <xf numFmtId="0" fontId="0" fillId="0" borderId="0" xfId="0" applyFill="1" applyBorder="1" applyProtection="1">
      <protection hidden="1"/>
    </xf>
    <xf numFmtId="0" fontId="6" fillId="2" borderId="19" xfId="0" applyFont="1" applyFill="1" applyBorder="1" applyProtection="1">
      <protection hidden="1"/>
    </xf>
    <xf numFmtId="0" fontId="16" fillId="2" borderId="16" xfId="15" applyFont="1" applyFill="1" applyBorder="1" applyAlignment="1" applyProtection="1">
      <alignment horizontal="right" vertical="center"/>
      <protection locked="0"/>
    </xf>
    <xf numFmtId="0" fontId="0" fillId="12" borderId="17" xfId="0" applyFill="1" applyBorder="1" applyProtection="1">
      <protection hidden="1"/>
    </xf>
    <xf numFmtId="0" fontId="0" fillId="12" borderId="0" xfId="0" applyFill="1" applyBorder="1" applyAlignment="1" applyProtection="1">
      <alignment wrapText="1"/>
      <protection hidden="1"/>
    </xf>
    <xf numFmtId="0" fontId="17" fillId="2" borderId="19" xfId="15" applyFont="1" applyFill="1" applyBorder="1" applyAlignment="1" applyProtection="1">
      <alignment vertical="center"/>
      <protection hidden="1"/>
    </xf>
    <xf numFmtId="0" fontId="17" fillId="2" borderId="0" xfId="15" applyFont="1" applyFill="1" applyBorder="1" applyAlignment="1" applyProtection="1">
      <alignment vertical="center"/>
      <protection hidden="1"/>
    </xf>
    <xf numFmtId="170" fontId="43" fillId="12" borderId="0" xfId="0" applyNumberFormat="1" applyFont="1" applyFill="1" applyProtection="1">
      <protection hidden="1"/>
    </xf>
    <xf numFmtId="4" fontId="43" fillId="12" borderId="0" xfId="0" applyNumberFormat="1" applyFont="1" applyFill="1" applyBorder="1" applyProtection="1">
      <protection hidden="1"/>
    </xf>
    <xf numFmtId="9" fontId="43" fillId="12" borderId="0" xfId="22" applyFont="1" applyFill="1" applyBorder="1" applyProtection="1">
      <protection hidden="1"/>
    </xf>
    <xf numFmtId="170" fontId="43" fillId="12" borderId="0" xfId="0" applyNumberFormat="1" applyFont="1" applyFill="1" applyBorder="1" applyProtection="1">
      <protection hidden="1"/>
    </xf>
    <xf numFmtId="9" fontId="43" fillId="12" borderId="0" xfId="22" applyNumberFormat="1" applyFont="1" applyFill="1" applyBorder="1" applyProtection="1">
      <protection hidden="1"/>
    </xf>
    <xf numFmtId="0" fontId="79" fillId="2" borderId="64" xfId="0" applyFont="1" applyFill="1" applyBorder="1" applyAlignment="1">
      <alignment vertical="center" wrapText="1"/>
    </xf>
    <xf numFmtId="0" fontId="6" fillId="2" borderId="16" xfId="0" applyFont="1" applyFill="1" applyBorder="1" applyProtection="1">
      <protection hidden="1"/>
    </xf>
    <xf numFmtId="0" fontId="0" fillId="2" borderId="22" xfId="0" applyFill="1" applyBorder="1" applyProtection="1">
      <protection hidden="1"/>
    </xf>
    <xf numFmtId="0" fontId="0" fillId="2" borderId="23" xfId="0" applyFill="1" applyBorder="1" applyProtection="1">
      <protection hidden="1"/>
    </xf>
    <xf numFmtId="0" fontId="0" fillId="2" borderId="19" xfId="0" applyFill="1" applyBorder="1" applyAlignment="1" applyProtection="1">
      <alignment wrapText="1"/>
      <protection hidden="1"/>
    </xf>
    <xf numFmtId="0" fontId="0" fillId="2" borderId="0" xfId="0" applyFill="1" applyBorder="1" applyAlignment="1" applyProtection="1">
      <alignment wrapText="1"/>
      <protection hidden="1"/>
    </xf>
    <xf numFmtId="0" fontId="0" fillId="2" borderId="20" xfId="0" applyFill="1" applyBorder="1" applyAlignment="1" applyProtection="1">
      <alignment wrapText="1"/>
      <protection hidden="1"/>
    </xf>
    <xf numFmtId="0" fontId="12" fillId="2" borderId="19" xfId="0" applyFont="1" applyFill="1" applyBorder="1" applyProtection="1">
      <protection hidden="1"/>
    </xf>
    <xf numFmtId="0" fontId="0" fillId="2" borderId="4" xfId="0" applyFill="1" applyBorder="1" applyAlignment="1" applyProtection="1">
      <alignment horizontal="center" wrapText="1"/>
      <protection hidden="1"/>
    </xf>
    <xf numFmtId="0" fontId="13" fillId="2" borderId="0" xfId="0" applyFont="1" applyFill="1" applyBorder="1" applyProtection="1">
      <protection hidden="1"/>
    </xf>
    <xf numFmtId="0" fontId="56" fillId="2" borderId="0" xfId="15" applyFont="1" applyFill="1" applyBorder="1" applyAlignment="1" applyProtection="1">
      <alignment horizontal="center"/>
      <protection hidden="1"/>
    </xf>
    <xf numFmtId="0" fontId="0" fillId="2" borderId="0" xfId="0" applyFill="1" applyBorder="1" applyAlignment="1" applyProtection="1">
      <alignment vertical="top" wrapText="1"/>
      <protection hidden="1"/>
    </xf>
    <xf numFmtId="0" fontId="0" fillId="2" borderId="20" xfId="0" applyFill="1" applyBorder="1" applyAlignment="1" applyProtection="1">
      <alignment vertical="top" wrapText="1"/>
      <protection hidden="1"/>
    </xf>
    <xf numFmtId="0" fontId="0" fillId="2" borderId="19" xfId="0" applyFill="1" applyBorder="1" applyAlignment="1" applyProtection="1">
      <alignment wrapText="1"/>
      <protection hidden="1"/>
    </xf>
    <xf numFmtId="0" fontId="0" fillId="2" borderId="0" xfId="0" applyFill="1" applyBorder="1" applyAlignment="1" applyProtection="1">
      <alignment wrapText="1"/>
      <protection hidden="1"/>
    </xf>
    <xf numFmtId="0" fontId="0" fillId="2" borderId="20" xfId="0" applyFill="1" applyBorder="1" applyAlignment="1" applyProtection="1">
      <alignment wrapText="1"/>
      <protection hidden="1"/>
    </xf>
    <xf numFmtId="0" fontId="0" fillId="2" borderId="19" xfId="0" applyFill="1" applyBorder="1" applyAlignment="1" applyProtection="1">
      <alignment horizontal="left" vertical="top" wrapText="1"/>
      <protection hidden="1"/>
    </xf>
    <xf numFmtId="0" fontId="0" fillId="2" borderId="0" xfId="0" applyFill="1" applyBorder="1" applyAlignment="1" applyProtection="1">
      <alignment horizontal="left" vertical="top" wrapText="1"/>
      <protection hidden="1"/>
    </xf>
    <xf numFmtId="0" fontId="0" fillId="2" borderId="20" xfId="0" applyFill="1" applyBorder="1" applyAlignment="1" applyProtection="1">
      <alignment horizontal="left" vertical="top" wrapText="1"/>
      <protection hidden="1"/>
    </xf>
    <xf numFmtId="0" fontId="6" fillId="2" borderId="16" xfId="0" applyFont="1" applyFill="1" applyBorder="1" applyProtection="1">
      <protection hidden="1"/>
    </xf>
    <xf numFmtId="0" fontId="6" fillId="2" borderId="17" xfId="0" applyFont="1" applyFill="1" applyBorder="1" applyProtection="1">
      <protection hidden="1"/>
    </xf>
    <xf numFmtId="0" fontId="74" fillId="2" borderId="16" xfId="0" applyFont="1" applyFill="1" applyBorder="1" applyAlignment="1" applyProtection="1">
      <alignment horizontal="left" vertical="top" wrapText="1"/>
      <protection hidden="1"/>
    </xf>
    <xf numFmtId="0" fontId="74" fillId="2" borderId="17" xfId="0" applyFont="1" applyFill="1" applyBorder="1" applyAlignment="1" applyProtection="1">
      <alignment horizontal="left" vertical="top" wrapText="1"/>
      <protection hidden="1"/>
    </xf>
    <xf numFmtId="0" fontId="74" fillId="2" borderId="19" xfId="0" applyFont="1" applyFill="1" applyBorder="1" applyAlignment="1" applyProtection="1">
      <alignment horizontal="left" vertical="top" wrapText="1"/>
      <protection hidden="1"/>
    </xf>
    <xf numFmtId="0" fontId="74" fillId="2" borderId="0" xfId="0" applyFont="1" applyFill="1" applyBorder="1" applyAlignment="1" applyProtection="1">
      <alignment horizontal="left" vertical="top" wrapText="1"/>
      <protection hidden="1"/>
    </xf>
    <xf numFmtId="0" fontId="0" fillId="2" borderId="21" xfId="0" applyFill="1" applyBorder="1" applyProtection="1">
      <protection hidden="1"/>
    </xf>
    <xf numFmtId="0" fontId="0" fillId="2" borderId="22" xfId="0" applyFill="1" applyBorder="1" applyProtection="1">
      <protection hidden="1"/>
    </xf>
    <xf numFmtId="0" fontId="0" fillId="2" borderId="23" xfId="0" applyFill="1" applyBorder="1" applyProtection="1">
      <protection hidden="1"/>
    </xf>
    <xf numFmtId="0" fontId="6" fillId="2" borderId="18" xfId="0" applyFont="1" applyFill="1" applyBorder="1" applyProtection="1">
      <protection hidden="1"/>
    </xf>
    <xf numFmtId="0" fontId="0" fillId="2" borderId="21" xfId="0" applyFill="1" applyBorder="1" applyAlignment="1" applyProtection="1">
      <alignment horizontal="left" vertical="top" wrapText="1"/>
      <protection hidden="1"/>
    </xf>
    <xf numFmtId="0" fontId="0" fillId="2" borderId="22" xfId="0" applyFill="1" applyBorder="1" applyAlignment="1" applyProtection="1">
      <alignment horizontal="left" vertical="top" wrapText="1"/>
      <protection hidden="1"/>
    </xf>
    <xf numFmtId="0" fontId="0" fillId="2" borderId="23" xfId="0" applyFill="1" applyBorder="1" applyAlignment="1" applyProtection="1">
      <alignment horizontal="left" vertical="top" wrapText="1"/>
      <protection hidden="1"/>
    </xf>
    <xf numFmtId="0" fontId="0" fillId="2" borderId="19" xfId="0" applyNumberFormat="1" applyFill="1" applyBorder="1" applyAlignment="1" applyProtection="1">
      <alignment horizontal="left" vertical="top" wrapText="1"/>
      <protection hidden="1"/>
    </xf>
    <xf numFmtId="0" fontId="0" fillId="2" borderId="0" xfId="0" applyNumberFormat="1" applyFill="1" applyBorder="1" applyAlignment="1" applyProtection="1">
      <alignment horizontal="left" vertical="top" wrapText="1"/>
      <protection hidden="1"/>
    </xf>
    <xf numFmtId="0" fontId="0" fillId="2" borderId="20" xfId="0" applyNumberFormat="1" applyFill="1" applyBorder="1" applyAlignment="1" applyProtection="1">
      <alignment horizontal="left" vertical="top" wrapText="1"/>
      <protection hidden="1"/>
    </xf>
    <xf numFmtId="0" fontId="0" fillId="2" borderId="21" xfId="0" applyFill="1" applyBorder="1" applyAlignment="1" applyProtection="1">
      <alignment horizontal="right" vertical="top"/>
      <protection hidden="1"/>
    </xf>
    <xf numFmtId="0" fontId="0" fillId="2" borderId="22" xfId="0" applyFill="1" applyBorder="1" applyAlignment="1" applyProtection="1">
      <alignment horizontal="right" vertical="top"/>
      <protection hidden="1"/>
    </xf>
    <xf numFmtId="0" fontId="0" fillId="2" borderId="23" xfId="0" applyFill="1" applyBorder="1" applyAlignment="1" applyProtection="1">
      <alignment horizontal="right" vertical="top"/>
      <protection hidden="1"/>
    </xf>
    <xf numFmtId="0" fontId="16" fillId="2" borderId="0" xfId="15" applyNumberFormat="1" applyFont="1" applyFill="1" applyBorder="1" applyAlignment="1" applyProtection="1">
      <alignment vertical="top" wrapText="1"/>
      <protection hidden="1"/>
    </xf>
    <xf numFmtId="0" fontId="6" fillId="2" borderId="0" xfId="0" applyFont="1" applyFill="1" applyBorder="1" applyAlignment="1" applyProtection="1">
      <alignment horizontal="left" vertical="top" wrapText="1"/>
      <protection hidden="1"/>
    </xf>
    <xf numFmtId="0" fontId="6" fillId="2" borderId="20" xfId="0" applyFont="1" applyFill="1" applyBorder="1" applyAlignment="1" applyProtection="1">
      <alignment horizontal="left" vertical="top" wrapText="1"/>
      <protection hidden="1"/>
    </xf>
    <xf numFmtId="0" fontId="44" fillId="13" borderId="50" xfId="65" applyFont="1" applyBorder="1" applyAlignment="1" applyProtection="1">
      <alignment horizontal="center" vertical="center" wrapText="1"/>
      <protection hidden="1"/>
    </xf>
    <xf numFmtId="0" fontId="44" fillId="13" borderId="51" xfId="65" applyFont="1" applyBorder="1" applyAlignment="1" applyProtection="1">
      <alignment horizontal="center" vertical="center" wrapText="1"/>
      <protection hidden="1"/>
    </xf>
    <xf numFmtId="0" fontId="44" fillId="13" borderId="52" xfId="65" applyFont="1" applyBorder="1" applyAlignment="1" applyProtection="1">
      <alignment horizontal="center" vertical="center" wrapText="1"/>
      <protection hidden="1"/>
    </xf>
    <xf numFmtId="0" fontId="6" fillId="2" borderId="16" xfId="0" applyFont="1" applyFill="1" applyBorder="1" applyAlignment="1" applyProtection="1">
      <alignment horizontal="left"/>
      <protection hidden="1"/>
    </xf>
    <xf numFmtId="0" fontId="6" fillId="2" borderId="17" xfId="0" applyFont="1" applyFill="1" applyBorder="1" applyAlignment="1" applyProtection="1">
      <alignment horizontal="left"/>
      <protection hidden="1"/>
    </xf>
    <xf numFmtId="0" fontId="6" fillId="2" borderId="18" xfId="0" applyFont="1" applyFill="1" applyBorder="1" applyAlignment="1" applyProtection="1">
      <alignment horizontal="left"/>
      <protection hidden="1"/>
    </xf>
    <xf numFmtId="0" fontId="0" fillId="2" borderId="16" xfId="0" applyFill="1" applyBorder="1" applyAlignment="1" applyProtection="1">
      <alignment horizontal="left" vertical="top" wrapText="1"/>
      <protection hidden="1"/>
    </xf>
    <xf numFmtId="0" fontId="0" fillId="2" borderId="17" xfId="0" applyFill="1" applyBorder="1" applyAlignment="1" applyProtection="1">
      <alignment horizontal="left" vertical="top" wrapText="1"/>
      <protection hidden="1"/>
    </xf>
    <xf numFmtId="0" fontId="0" fillId="2" borderId="18" xfId="0" applyFill="1" applyBorder="1" applyAlignment="1" applyProtection="1">
      <alignment horizontal="left" vertical="top" wrapText="1"/>
      <protection hidden="1"/>
    </xf>
    <xf numFmtId="0" fontId="72" fillId="13" borderId="50" xfId="65" applyFont="1" applyBorder="1" applyAlignment="1" applyProtection="1">
      <alignment horizontal="center" vertical="center" wrapText="1"/>
      <protection hidden="1"/>
    </xf>
    <xf numFmtId="0" fontId="72" fillId="13" borderId="51" xfId="65" applyFont="1" applyBorder="1" applyAlignment="1" applyProtection="1">
      <alignment horizontal="center" vertical="center" wrapText="1"/>
      <protection hidden="1"/>
    </xf>
    <xf numFmtId="0" fontId="72" fillId="13" borderId="52" xfId="65" applyFont="1" applyBorder="1" applyAlignment="1" applyProtection="1">
      <alignment horizontal="center" vertical="center" wrapText="1"/>
      <protection hidden="1"/>
    </xf>
    <xf numFmtId="0" fontId="0" fillId="2" borderId="19" xfId="0" applyNumberFormat="1" applyFill="1" applyBorder="1" applyAlignment="1" applyProtection="1">
      <alignment wrapText="1"/>
      <protection hidden="1"/>
    </xf>
    <xf numFmtId="0" fontId="0" fillId="2" borderId="0" xfId="0" applyNumberFormat="1" applyFill="1" applyBorder="1" applyAlignment="1" applyProtection="1">
      <alignment wrapText="1"/>
      <protection hidden="1"/>
    </xf>
    <xf numFmtId="0" fontId="0" fillId="2" borderId="20" xfId="0" applyNumberFormat="1" applyFill="1" applyBorder="1" applyAlignment="1" applyProtection="1">
      <alignment wrapText="1"/>
      <protection hidden="1"/>
    </xf>
    <xf numFmtId="0" fontId="6" fillId="2" borderId="19" xfId="0" applyFont="1" applyFill="1" applyBorder="1" applyProtection="1">
      <protection hidden="1"/>
    </xf>
    <xf numFmtId="0" fontId="6" fillId="2" borderId="0" xfId="0" applyFont="1" applyFill="1" applyBorder="1" applyProtection="1">
      <protection hidden="1"/>
    </xf>
    <xf numFmtId="0" fontId="6" fillId="2" borderId="20" xfId="0" applyFont="1" applyFill="1" applyBorder="1" applyProtection="1">
      <protection hidden="1"/>
    </xf>
    <xf numFmtId="0" fontId="0" fillId="2" borderId="21" xfId="0" applyFill="1" applyBorder="1" applyAlignment="1" applyProtection="1">
      <protection hidden="1"/>
    </xf>
    <xf numFmtId="0" fontId="0" fillId="2" borderId="22" xfId="0" applyFill="1" applyBorder="1" applyAlignment="1" applyProtection="1">
      <protection hidden="1"/>
    </xf>
    <xf numFmtId="0" fontId="0" fillId="2" borderId="23" xfId="0" applyFill="1" applyBorder="1" applyAlignment="1" applyProtection="1">
      <protection hidden="1"/>
    </xf>
    <xf numFmtId="0" fontId="70" fillId="15" borderId="50" xfId="67" applyFont="1" applyBorder="1" applyAlignment="1" applyProtection="1">
      <alignment horizontal="center" vertical="center" wrapText="1"/>
      <protection hidden="1"/>
    </xf>
    <xf numFmtId="0" fontId="70" fillId="15" borderId="51" xfId="67" applyFont="1" applyBorder="1" applyAlignment="1" applyProtection="1">
      <alignment horizontal="center" vertical="center" wrapText="1"/>
      <protection hidden="1"/>
    </xf>
    <xf numFmtId="0" fontId="70" fillId="15" borderId="52" xfId="67" applyFont="1" applyBorder="1" applyAlignment="1" applyProtection="1">
      <alignment horizontal="center" vertical="center" wrapText="1"/>
      <protection hidden="1"/>
    </xf>
    <xf numFmtId="0" fontId="70" fillId="14" borderId="50" xfId="66" applyFont="1" applyBorder="1" applyAlignment="1" applyProtection="1">
      <alignment horizontal="center" vertical="center" wrapText="1"/>
      <protection hidden="1"/>
    </xf>
    <xf numFmtId="0" fontId="70" fillId="14" borderId="51" xfId="66" applyFont="1" applyBorder="1" applyAlignment="1" applyProtection="1">
      <alignment horizontal="center" vertical="center" wrapText="1"/>
      <protection hidden="1"/>
    </xf>
    <xf numFmtId="0" fontId="70" fillId="14" borderId="52" xfId="66" applyFont="1" applyBorder="1" applyAlignment="1" applyProtection="1">
      <alignment horizontal="center" vertical="center" wrapText="1"/>
      <protection hidden="1"/>
    </xf>
    <xf numFmtId="0" fontId="70" fillId="17" borderId="50" xfId="69" applyFont="1" applyBorder="1" applyAlignment="1" applyProtection="1">
      <alignment horizontal="center" vertical="center" wrapText="1"/>
      <protection hidden="1"/>
    </xf>
    <xf numFmtId="0" fontId="70" fillId="17" borderId="51" xfId="69" applyFont="1" applyBorder="1" applyAlignment="1" applyProtection="1">
      <alignment horizontal="center" vertical="center" wrapText="1"/>
      <protection hidden="1"/>
    </xf>
    <xf numFmtId="0" fontId="70" fillId="17" borderId="52" xfId="69" applyFont="1" applyBorder="1" applyAlignment="1" applyProtection="1">
      <alignment horizontal="center" vertical="center" wrapText="1"/>
      <protection hidden="1"/>
    </xf>
    <xf numFmtId="0" fontId="74" fillId="2" borderId="19" xfId="0" applyFont="1" applyFill="1" applyBorder="1" applyProtection="1">
      <protection hidden="1"/>
    </xf>
    <xf numFmtId="0" fontId="74" fillId="2" borderId="0" xfId="0" applyFont="1" applyFill="1" applyBorder="1" applyProtection="1">
      <protection hidden="1"/>
    </xf>
    <xf numFmtId="0" fontId="67" fillId="2" borderId="0" xfId="0" applyFont="1" applyFill="1" applyBorder="1" applyAlignment="1" applyProtection="1">
      <alignment vertical="top" wrapText="1"/>
      <protection hidden="1"/>
    </xf>
    <xf numFmtId="0" fontId="67" fillId="2" borderId="20" xfId="0" applyFont="1" applyFill="1" applyBorder="1" applyAlignment="1" applyProtection="1">
      <alignment vertical="top" wrapText="1"/>
      <protection hidden="1"/>
    </xf>
    <xf numFmtId="0" fontId="67" fillId="2" borderId="0" xfId="0" applyFont="1" applyFill="1" applyBorder="1" applyAlignment="1" applyProtection="1">
      <alignment horizontal="left" vertical="top" wrapText="1"/>
      <protection hidden="1"/>
    </xf>
    <xf numFmtId="0" fontId="67" fillId="2" borderId="0" xfId="0" applyFont="1" applyFill="1" applyBorder="1" applyAlignment="1" applyProtection="1">
      <alignment horizontal="left" vertical="top"/>
      <protection hidden="1"/>
    </xf>
    <xf numFmtId="0" fontId="67" fillId="2" borderId="20" xfId="0" applyFont="1" applyFill="1" applyBorder="1" applyAlignment="1" applyProtection="1">
      <alignment horizontal="left" vertical="top"/>
      <protection hidden="1"/>
    </xf>
    <xf numFmtId="0" fontId="6" fillId="2" borderId="19" xfId="0" applyFont="1" applyFill="1" applyBorder="1" applyAlignment="1" applyProtection="1">
      <alignment horizontal="left" vertical="top" wrapText="1"/>
      <protection hidden="1"/>
    </xf>
    <xf numFmtId="0" fontId="0" fillId="2" borderId="5" xfId="0" applyFill="1" applyBorder="1" applyAlignment="1" applyProtection="1">
      <alignment horizontal="left" vertical="center" wrapText="1"/>
      <protection hidden="1"/>
    </xf>
    <xf numFmtId="0" fontId="0" fillId="2" borderId="6" xfId="0" applyFill="1" applyBorder="1" applyAlignment="1" applyProtection="1">
      <alignment horizontal="left" vertical="center" wrapText="1"/>
      <protection hidden="1"/>
    </xf>
    <xf numFmtId="0" fontId="0" fillId="2" borderId="7" xfId="0" applyFill="1" applyBorder="1" applyAlignment="1" applyProtection="1">
      <alignment horizontal="left" vertical="center" wrapText="1"/>
      <protection hidden="1"/>
    </xf>
    <xf numFmtId="0" fontId="0" fillId="2" borderId="10" xfId="0" applyFill="1" applyBorder="1" applyAlignment="1" applyProtection="1">
      <alignment horizontal="left" vertical="center" wrapText="1"/>
      <protection hidden="1"/>
    </xf>
    <xf numFmtId="0" fontId="0" fillId="2" borderId="11" xfId="0" applyFill="1" applyBorder="1" applyAlignment="1" applyProtection="1">
      <alignment horizontal="left" vertical="center" wrapText="1"/>
      <protection hidden="1"/>
    </xf>
    <xf numFmtId="0" fontId="0" fillId="2" borderId="12" xfId="0" applyFill="1" applyBorder="1" applyAlignment="1" applyProtection="1">
      <alignment horizontal="left" vertical="center" wrapText="1"/>
      <protection hidden="1"/>
    </xf>
    <xf numFmtId="0" fontId="62" fillId="13" borderId="16" xfId="65" applyFont="1" applyBorder="1" applyAlignment="1" applyProtection="1">
      <alignment horizontal="center"/>
      <protection hidden="1"/>
    </xf>
    <xf numFmtId="0" fontId="62" fillId="13" borderId="17" xfId="65" applyFont="1" applyBorder="1" applyAlignment="1" applyProtection="1">
      <alignment horizontal="center"/>
      <protection hidden="1"/>
    </xf>
    <xf numFmtId="0" fontId="62" fillId="13" borderId="18" xfId="65" applyFont="1" applyBorder="1" applyAlignment="1" applyProtection="1">
      <alignment horizontal="center"/>
      <protection hidden="1"/>
    </xf>
    <xf numFmtId="14" fontId="63" fillId="2" borderId="21" xfId="0" applyNumberFormat="1" applyFont="1" applyFill="1" applyBorder="1" applyAlignment="1" applyProtection="1">
      <alignment horizontal="left"/>
      <protection hidden="1"/>
    </xf>
    <xf numFmtId="14" fontId="63" fillId="2" borderId="22" xfId="0" applyNumberFormat="1" applyFont="1" applyFill="1" applyBorder="1" applyAlignment="1" applyProtection="1">
      <alignment horizontal="left"/>
      <protection hidden="1"/>
    </xf>
    <xf numFmtId="0" fontId="0" fillId="0" borderId="6" xfId="0" applyBorder="1" applyAlignment="1">
      <alignment horizontal="left"/>
    </xf>
    <xf numFmtId="0" fontId="0" fillId="0" borderId="7" xfId="0" applyBorder="1" applyAlignment="1">
      <alignment horizontal="left"/>
    </xf>
    <xf numFmtId="0" fontId="0" fillId="0" borderId="10" xfId="0" applyBorder="1" applyAlignment="1">
      <alignment horizontal="left"/>
    </xf>
    <xf numFmtId="0" fontId="0" fillId="0" borderId="11" xfId="0" applyBorder="1" applyAlignment="1">
      <alignment horizontal="left"/>
    </xf>
    <xf numFmtId="0" fontId="0" fillId="0" borderId="12" xfId="0" applyBorder="1" applyAlignment="1">
      <alignment horizontal="left"/>
    </xf>
    <xf numFmtId="0" fontId="12" fillId="2" borderId="16" xfId="0" applyFont="1" applyFill="1" applyBorder="1" applyAlignment="1" applyProtection="1">
      <alignment horizontal="left" wrapText="1"/>
      <protection hidden="1"/>
    </xf>
    <xf numFmtId="0" fontId="12" fillId="2" borderId="17" xfId="0" applyFont="1" applyFill="1" applyBorder="1" applyAlignment="1" applyProtection="1">
      <alignment horizontal="left" wrapText="1"/>
      <protection hidden="1"/>
    </xf>
    <xf numFmtId="0" fontId="12" fillId="2" borderId="19" xfId="0" applyFont="1" applyFill="1" applyBorder="1" applyAlignment="1" applyProtection="1">
      <alignment horizontal="left" wrapText="1"/>
      <protection hidden="1"/>
    </xf>
    <xf numFmtId="0" fontId="12" fillId="2" borderId="0" xfId="0" applyFont="1" applyFill="1" applyBorder="1" applyAlignment="1" applyProtection="1">
      <alignment horizontal="left" wrapText="1"/>
      <protection hidden="1"/>
    </xf>
    <xf numFmtId="0" fontId="12" fillId="2" borderId="19" xfId="0" applyFont="1" applyFill="1" applyBorder="1" applyProtection="1">
      <protection hidden="1"/>
    </xf>
    <xf numFmtId="0" fontId="12" fillId="2" borderId="0" xfId="0" applyFont="1" applyFill="1" applyBorder="1" applyProtection="1">
      <protection hidden="1"/>
    </xf>
    <xf numFmtId="0" fontId="12" fillId="2" borderId="20" xfId="0" applyFont="1" applyFill="1" applyBorder="1" applyProtection="1">
      <protection hidden="1"/>
    </xf>
    <xf numFmtId="0" fontId="39" fillId="2" borderId="5" xfId="0" applyFont="1" applyFill="1" applyBorder="1" applyAlignment="1" applyProtection="1">
      <alignment horizontal="left" vertical="top" wrapText="1"/>
      <protection locked="0"/>
    </xf>
    <xf numFmtId="0" fontId="39" fillId="2" borderId="6" xfId="0" applyFont="1" applyFill="1" applyBorder="1" applyAlignment="1" applyProtection="1">
      <alignment horizontal="left" vertical="top" wrapText="1"/>
      <protection locked="0"/>
    </xf>
    <xf numFmtId="0" fontId="39" fillId="2" borderId="7" xfId="0" applyFont="1" applyFill="1" applyBorder="1" applyAlignment="1" applyProtection="1">
      <alignment horizontal="left" vertical="top" wrapText="1"/>
      <protection locked="0"/>
    </xf>
    <xf numFmtId="0" fontId="39" fillId="2" borderId="8" xfId="0" applyFont="1" applyFill="1" applyBorder="1" applyAlignment="1" applyProtection="1">
      <alignment horizontal="left" vertical="top" wrapText="1"/>
      <protection locked="0"/>
    </xf>
    <xf numFmtId="0" fontId="39" fillId="2" borderId="0" xfId="0" applyFont="1" applyFill="1" applyBorder="1" applyAlignment="1" applyProtection="1">
      <alignment horizontal="left" vertical="top" wrapText="1"/>
      <protection locked="0"/>
    </xf>
    <xf numFmtId="0" fontId="39" fillId="2" borderId="9" xfId="0" applyFont="1" applyFill="1" applyBorder="1" applyAlignment="1" applyProtection="1">
      <alignment horizontal="left" vertical="top" wrapText="1"/>
      <protection locked="0"/>
    </xf>
    <xf numFmtId="0" fontId="39" fillId="2" borderId="10" xfId="0" applyFont="1" applyFill="1" applyBorder="1" applyAlignment="1" applyProtection="1">
      <alignment horizontal="left" vertical="top" wrapText="1"/>
      <protection locked="0"/>
    </xf>
    <xf numFmtId="0" fontId="39" fillId="2" borderId="11" xfId="0" applyFont="1" applyFill="1" applyBorder="1" applyAlignment="1" applyProtection="1">
      <alignment horizontal="left" vertical="top" wrapText="1"/>
      <protection locked="0"/>
    </xf>
    <xf numFmtId="0" fontId="39" fillId="2" borderId="12" xfId="0" applyFont="1" applyFill="1" applyBorder="1" applyAlignment="1" applyProtection="1">
      <alignment horizontal="left" vertical="top" wrapText="1"/>
      <protection locked="0"/>
    </xf>
    <xf numFmtId="49" fontId="39" fillId="2" borderId="5" xfId="0" applyNumberFormat="1" applyFont="1" applyFill="1" applyBorder="1" applyAlignment="1" applyProtection="1">
      <alignment horizontal="left" vertical="top" wrapText="1"/>
      <protection locked="0"/>
    </xf>
    <xf numFmtId="49" fontId="39" fillId="2" borderId="6" xfId="0" applyNumberFormat="1" applyFont="1" applyFill="1" applyBorder="1" applyAlignment="1" applyProtection="1">
      <alignment horizontal="left" vertical="top" wrapText="1"/>
      <protection locked="0"/>
    </xf>
    <xf numFmtId="49" fontId="39" fillId="2" borderId="7" xfId="0" applyNumberFormat="1" applyFont="1" applyFill="1" applyBorder="1" applyAlignment="1" applyProtection="1">
      <alignment horizontal="left" vertical="top" wrapText="1"/>
      <protection locked="0"/>
    </xf>
    <xf numFmtId="49" fontId="39" fillId="2" borderId="8" xfId="0" applyNumberFormat="1" applyFont="1" applyFill="1" applyBorder="1" applyAlignment="1" applyProtection="1">
      <alignment horizontal="left" vertical="top" wrapText="1"/>
      <protection locked="0"/>
    </xf>
    <xf numFmtId="49" fontId="39" fillId="2" borderId="0" xfId="0" applyNumberFormat="1" applyFont="1" applyFill="1" applyBorder="1" applyAlignment="1" applyProtection="1">
      <alignment horizontal="left" vertical="top" wrapText="1"/>
      <protection locked="0"/>
    </xf>
    <xf numFmtId="49" fontId="39" fillId="2" borderId="9" xfId="0" applyNumberFormat="1" applyFont="1" applyFill="1" applyBorder="1" applyAlignment="1" applyProtection="1">
      <alignment horizontal="left" vertical="top" wrapText="1"/>
      <protection locked="0"/>
    </xf>
    <xf numFmtId="49" fontId="39" fillId="2" borderId="10" xfId="0" applyNumberFormat="1" applyFont="1" applyFill="1" applyBorder="1" applyAlignment="1" applyProtection="1">
      <alignment horizontal="left" vertical="top" wrapText="1"/>
      <protection locked="0"/>
    </xf>
    <xf numFmtId="49" fontId="39" fillId="2" borderId="11" xfId="0" applyNumberFormat="1" applyFont="1" applyFill="1" applyBorder="1" applyAlignment="1" applyProtection="1">
      <alignment horizontal="left" vertical="top" wrapText="1"/>
      <protection locked="0"/>
    </xf>
    <xf numFmtId="49" fontId="39" fillId="2" borderId="12" xfId="0" applyNumberFormat="1" applyFont="1" applyFill="1" applyBorder="1" applyAlignment="1" applyProtection="1">
      <alignment horizontal="left" vertical="top" wrapText="1"/>
      <protection locked="0"/>
    </xf>
    <xf numFmtId="0" fontId="62" fillId="13" borderId="50" xfId="65" applyFont="1" applyBorder="1" applyAlignment="1" applyProtection="1">
      <alignment horizontal="center"/>
      <protection hidden="1"/>
    </xf>
    <xf numFmtId="0" fontId="62" fillId="13" borderId="51" xfId="65" applyFont="1" applyBorder="1" applyAlignment="1" applyProtection="1">
      <alignment horizontal="center"/>
      <protection hidden="1"/>
    </xf>
    <xf numFmtId="0" fontId="13" fillId="2" borderId="17" xfId="0" applyFont="1" applyFill="1" applyBorder="1" applyAlignment="1" applyProtection="1">
      <alignment horizontal="left" wrapText="1"/>
      <protection hidden="1"/>
    </xf>
    <xf numFmtId="0" fontId="13" fillId="2" borderId="0" xfId="0" applyFont="1" applyFill="1" applyBorder="1" applyAlignment="1" applyProtection="1">
      <alignment horizontal="left" wrapText="1"/>
      <protection hidden="1"/>
    </xf>
    <xf numFmtId="0" fontId="13" fillId="2" borderId="0" xfId="0" applyFont="1" applyFill="1" applyBorder="1" applyAlignment="1" applyProtection="1">
      <alignment horizontal="left" vertical="top" wrapText="1"/>
      <protection hidden="1"/>
    </xf>
    <xf numFmtId="186" fontId="17" fillId="2" borderId="1" xfId="0" applyNumberFormat="1" applyFont="1" applyFill="1" applyBorder="1" applyAlignment="1" applyProtection="1">
      <alignment horizontal="center" vertical="center"/>
    </xf>
    <xf numFmtId="186" fontId="17" fillId="2" borderId="3" xfId="0" applyNumberFormat="1" applyFont="1" applyFill="1" applyBorder="1" applyAlignment="1" applyProtection="1">
      <alignment horizontal="center" vertical="center"/>
    </xf>
    <xf numFmtId="0" fontId="38" fillId="2" borderId="0" xfId="0" applyNumberFormat="1" applyFont="1" applyFill="1" applyBorder="1" applyAlignment="1" applyProtection="1">
      <alignment horizontal="center" vertical="center"/>
      <protection hidden="1"/>
    </xf>
    <xf numFmtId="49" fontId="17" fillId="3" borderId="1" xfId="0" applyNumberFormat="1" applyFont="1" applyFill="1" applyBorder="1" applyAlignment="1" applyProtection="1">
      <alignment horizontal="left" vertical="center" wrapText="1"/>
      <protection locked="0"/>
    </xf>
    <xf numFmtId="49" fontId="17" fillId="3" borderId="2" xfId="0" applyNumberFormat="1" applyFont="1" applyFill="1" applyBorder="1" applyAlignment="1" applyProtection="1">
      <alignment horizontal="left" vertical="center" wrapText="1"/>
      <protection locked="0"/>
    </xf>
    <xf numFmtId="49" fontId="17" fillId="3" borderId="3" xfId="0" applyNumberFormat="1" applyFont="1" applyFill="1" applyBorder="1" applyAlignment="1" applyProtection="1">
      <alignment horizontal="left" vertical="center" wrapText="1"/>
      <protection locked="0"/>
    </xf>
    <xf numFmtId="164" fontId="17" fillId="3" borderId="1" xfId="0" applyNumberFormat="1" applyFont="1" applyFill="1" applyBorder="1" applyAlignment="1" applyProtection="1">
      <alignment horizontal="left" vertical="center"/>
      <protection locked="0"/>
    </xf>
    <xf numFmtId="164" fontId="17" fillId="3" borderId="2" xfId="0" applyNumberFormat="1" applyFont="1" applyFill="1" applyBorder="1" applyAlignment="1" applyProtection="1">
      <alignment horizontal="left" vertical="center"/>
      <protection locked="0"/>
    </xf>
    <xf numFmtId="164" fontId="17" fillId="3" borderId="3" xfId="0" applyNumberFormat="1" applyFont="1" applyFill="1" applyBorder="1" applyAlignment="1" applyProtection="1">
      <alignment horizontal="left" vertical="center"/>
      <protection locked="0"/>
    </xf>
    <xf numFmtId="49" fontId="17" fillId="3" borderId="4" xfId="0" applyNumberFormat="1" applyFont="1" applyFill="1" applyBorder="1" applyAlignment="1" applyProtection="1">
      <alignment horizontal="left" vertical="center" wrapText="1"/>
      <protection locked="0"/>
    </xf>
    <xf numFmtId="187" fontId="17" fillId="3" borderId="1" xfId="0" applyNumberFormat="1" applyFont="1" applyFill="1" applyBorder="1" applyAlignment="1" applyProtection="1">
      <alignment horizontal="left" vertical="center" wrapText="1"/>
      <protection locked="0"/>
    </xf>
    <xf numFmtId="187" fontId="17" fillId="3" borderId="3" xfId="0" applyNumberFormat="1" applyFont="1" applyFill="1" applyBorder="1" applyAlignment="1" applyProtection="1">
      <alignment horizontal="left" vertical="center" wrapText="1"/>
      <protection locked="0"/>
    </xf>
    <xf numFmtId="0" fontId="12" fillId="2" borderId="16" xfId="0" applyFont="1" applyFill="1" applyBorder="1" applyAlignment="1" applyProtection="1">
      <alignment horizontal="left" vertical="top" wrapText="1"/>
      <protection hidden="1"/>
    </xf>
    <xf numFmtId="0" fontId="12" fillId="2" borderId="17" xfId="0" applyFont="1" applyFill="1" applyBorder="1" applyAlignment="1" applyProtection="1">
      <alignment horizontal="left" vertical="top" wrapText="1"/>
      <protection hidden="1"/>
    </xf>
    <xf numFmtId="0" fontId="12" fillId="2" borderId="19" xfId="0" applyFont="1" applyFill="1" applyBorder="1" applyAlignment="1" applyProtection="1">
      <alignment horizontal="left" vertical="top" wrapText="1"/>
      <protection hidden="1"/>
    </xf>
    <xf numFmtId="0" fontId="12" fillId="2" borderId="0" xfId="0" applyFont="1" applyFill="1" applyBorder="1" applyAlignment="1" applyProtection="1">
      <alignment horizontal="left" vertical="top" wrapText="1"/>
      <protection hidden="1"/>
    </xf>
    <xf numFmtId="0" fontId="43" fillId="2" borderId="19" xfId="1" applyFont="1" applyFill="1" applyBorder="1" applyAlignment="1" applyProtection="1">
      <alignment horizontal="right"/>
      <protection hidden="1"/>
    </xf>
    <xf numFmtId="0" fontId="43" fillId="2" borderId="9" xfId="1" applyFont="1" applyFill="1" applyBorder="1" applyAlignment="1" applyProtection="1">
      <alignment horizontal="right"/>
      <protection hidden="1"/>
    </xf>
    <xf numFmtId="0" fontId="64" fillId="2" borderId="27" xfId="15" applyFont="1" applyFill="1" applyBorder="1" applyAlignment="1" applyProtection="1">
      <alignment horizontal="right" vertical="center"/>
      <protection hidden="1"/>
    </xf>
    <xf numFmtId="0" fontId="64" fillId="2" borderId="4" xfId="15" applyFont="1" applyFill="1" applyBorder="1" applyAlignment="1" applyProtection="1">
      <alignment horizontal="right" vertical="center"/>
      <protection hidden="1"/>
    </xf>
    <xf numFmtId="0" fontId="65" fillId="2" borderId="29" xfId="1" applyFont="1" applyFill="1" applyBorder="1" applyAlignment="1" applyProtection="1">
      <alignment horizontal="right" vertical="center"/>
      <protection hidden="1"/>
    </xf>
    <xf numFmtId="0" fontId="65" fillId="2" borderId="30" xfId="1" applyFont="1" applyFill="1" applyBorder="1" applyAlignment="1" applyProtection="1">
      <alignment horizontal="right" vertical="center"/>
      <protection hidden="1"/>
    </xf>
    <xf numFmtId="0" fontId="24" fillId="2" borderId="45" xfId="0" applyFont="1" applyFill="1" applyBorder="1" applyAlignment="1" applyProtection="1">
      <alignment horizontal="left" vertical="center" wrapText="1"/>
      <protection hidden="1"/>
    </xf>
    <xf numFmtId="0" fontId="24" fillId="2" borderId="67" xfId="0" applyFont="1" applyFill="1" applyBorder="1" applyAlignment="1" applyProtection="1">
      <alignment horizontal="left" vertical="center" wrapText="1"/>
      <protection hidden="1"/>
    </xf>
    <xf numFmtId="0" fontId="0" fillId="2" borderId="27" xfId="0" applyFill="1" applyBorder="1" applyAlignment="1" applyProtection="1">
      <alignment horizontal="center" wrapText="1"/>
      <protection hidden="1"/>
    </xf>
    <xf numFmtId="0" fontId="0" fillId="2" borderId="4" xfId="0" applyFill="1" applyBorder="1" applyAlignment="1" applyProtection="1">
      <alignment horizontal="center" wrapText="1"/>
      <protection hidden="1"/>
    </xf>
    <xf numFmtId="0" fontId="0" fillId="2" borderId="0" xfId="0" applyFill="1" applyBorder="1" applyAlignment="1" applyProtection="1">
      <alignment horizontal="left" wrapText="1"/>
      <protection hidden="1"/>
    </xf>
    <xf numFmtId="0" fontId="43" fillId="2" borderId="19" xfId="0" applyFont="1" applyFill="1" applyBorder="1" applyProtection="1">
      <protection hidden="1"/>
    </xf>
    <xf numFmtId="0" fontId="43" fillId="2" borderId="0" xfId="0" applyFont="1" applyFill="1" applyBorder="1" applyProtection="1">
      <protection hidden="1"/>
    </xf>
    <xf numFmtId="0" fontId="44" fillId="2" borderId="19" xfId="0" applyFont="1" applyFill="1" applyBorder="1" applyAlignment="1" applyProtection="1">
      <alignment horizontal="right"/>
      <protection hidden="1"/>
    </xf>
    <xf numFmtId="0" fontId="44" fillId="2" borderId="0" xfId="0" applyFont="1" applyFill="1" applyBorder="1" applyAlignment="1" applyProtection="1">
      <alignment horizontal="right"/>
      <protection hidden="1"/>
    </xf>
    <xf numFmtId="0" fontId="17" fillId="2" borderId="16" xfId="15" applyFont="1" applyFill="1" applyBorder="1" applyAlignment="1" applyProtection="1">
      <alignment horizontal="left" vertical="center"/>
      <protection hidden="1"/>
    </xf>
    <xf numFmtId="0" fontId="17" fillId="2" borderId="17" xfId="15" applyFont="1" applyFill="1" applyBorder="1" applyAlignment="1" applyProtection="1">
      <alignment horizontal="left" vertical="center"/>
      <protection hidden="1"/>
    </xf>
    <xf numFmtId="0" fontId="17" fillId="2" borderId="18" xfId="15" applyFont="1" applyFill="1" applyBorder="1" applyAlignment="1" applyProtection="1">
      <alignment horizontal="left" vertical="center"/>
      <protection hidden="1"/>
    </xf>
    <xf numFmtId="0" fontId="24" fillId="2" borderId="27" xfId="0" applyFont="1" applyFill="1" applyBorder="1" applyAlignment="1" applyProtection="1">
      <alignment horizontal="left" vertical="center" wrapText="1"/>
      <protection hidden="1"/>
    </xf>
    <xf numFmtId="0" fontId="24" fillId="2" borderId="4" xfId="0" applyFont="1" applyFill="1" applyBorder="1" applyAlignment="1" applyProtection="1">
      <alignment horizontal="left" vertical="center" wrapText="1"/>
      <protection hidden="1"/>
    </xf>
    <xf numFmtId="0" fontId="0" fillId="2" borderId="27" xfId="0" applyFill="1" applyBorder="1" applyAlignment="1" applyProtection="1">
      <alignment horizontal="right"/>
      <protection hidden="1"/>
    </xf>
    <xf numFmtId="0" fontId="0" fillId="2" borderId="4" xfId="0" applyFill="1" applyBorder="1" applyAlignment="1" applyProtection="1">
      <alignment horizontal="right"/>
      <protection hidden="1"/>
    </xf>
    <xf numFmtId="0" fontId="0" fillId="2" borderId="27" xfId="0" applyFill="1" applyBorder="1" applyAlignment="1" applyProtection="1">
      <alignment horizontal="right"/>
    </xf>
    <xf numFmtId="0" fontId="0" fillId="2" borderId="4" xfId="0" applyFill="1" applyBorder="1" applyAlignment="1" applyProtection="1">
      <alignment horizontal="right"/>
    </xf>
    <xf numFmtId="0" fontId="16" fillId="2" borderId="27" xfId="1" applyFont="1" applyFill="1" applyBorder="1" applyAlignment="1" applyProtection="1">
      <alignment horizontal="right"/>
      <protection hidden="1"/>
    </xf>
    <xf numFmtId="0" fontId="16" fillId="2" borderId="4" xfId="1" applyFont="1" applyFill="1" applyBorder="1" applyAlignment="1" applyProtection="1">
      <alignment horizontal="right"/>
      <protection hidden="1"/>
    </xf>
    <xf numFmtId="0" fontId="16" fillId="2" borderId="29" xfId="1" applyFont="1" applyFill="1" applyBorder="1" applyAlignment="1" applyProtection="1">
      <alignment horizontal="right"/>
      <protection hidden="1"/>
    </xf>
    <xf numFmtId="0" fontId="16" fillId="2" borderId="30" xfId="1" applyFont="1" applyFill="1" applyBorder="1" applyAlignment="1" applyProtection="1">
      <alignment horizontal="right"/>
      <protection hidden="1"/>
    </xf>
    <xf numFmtId="0" fontId="0" fillId="2" borderId="29" xfId="0" applyFill="1" applyBorder="1" applyAlignment="1" applyProtection="1">
      <alignment horizontal="right"/>
    </xf>
    <xf numFmtId="0" fontId="0" fillId="2" borderId="30" xfId="0" applyFill="1" applyBorder="1" applyAlignment="1" applyProtection="1">
      <alignment horizontal="right"/>
    </xf>
    <xf numFmtId="0" fontId="44" fillId="2" borderId="68" xfId="0" applyFont="1" applyFill="1" applyBorder="1" applyAlignment="1" applyProtection="1">
      <alignment horizontal="left"/>
      <protection hidden="1"/>
    </xf>
    <xf numFmtId="0" fontId="44" fillId="2" borderId="69" xfId="0" applyFont="1" applyFill="1" applyBorder="1" applyAlignment="1" applyProtection="1">
      <alignment horizontal="left"/>
      <protection hidden="1"/>
    </xf>
    <xf numFmtId="0" fontId="44" fillId="2" borderId="43" xfId="0" applyFont="1" applyFill="1" applyBorder="1" applyAlignment="1" applyProtection="1">
      <alignment horizontal="right"/>
      <protection hidden="1"/>
    </xf>
    <xf numFmtId="0" fontId="44" fillId="2" borderId="6" xfId="0" applyFont="1" applyFill="1" applyBorder="1" applyAlignment="1" applyProtection="1">
      <alignment horizontal="right"/>
      <protection hidden="1"/>
    </xf>
    <xf numFmtId="0" fontId="14" fillId="2" borderId="0" xfId="0" applyFont="1" applyFill="1" applyBorder="1" applyAlignment="1" applyProtection="1">
      <alignment horizontal="left" vertical="top" wrapText="1"/>
      <protection hidden="1"/>
    </xf>
    <xf numFmtId="0" fontId="14" fillId="2" borderId="0" xfId="0" applyFont="1" applyFill="1" applyBorder="1" applyAlignment="1" applyProtection="1">
      <alignment horizontal="left" wrapText="1"/>
      <protection hidden="1"/>
    </xf>
    <xf numFmtId="0" fontId="14" fillId="2" borderId="20" xfId="0" applyFont="1" applyFill="1" applyBorder="1" applyAlignment="1" applyProtection="1">
      <alignment horizontal="left" wrapText="1"/>
      <protection hidden="1"/>
    </xf>
    <xf numFmtId="0" fontId="13" fillId="2" borderId="11" xfId="0" applyFont="1" applyFill="1" applyBorder="1" applyAlignment="1" applyProtection="1">
      <alignment horizontal="left" wrapText="1"/>
      <protection hidden="1"/>
    </xf>
    <xf numFmtId="0" fontId="44" fillId="2" borderId="32" xfId="0" applyFont="1" applyFill="1" applyBorder="1" applyAlignment="1" applyProtection="1">
      <alignment horizontal="left"/>
      <protection hidden="1"/>
    </xf>
    <xf numFmtId="0" fontId="44" fillId="2" borderId="11" xfId="0" applyFont="1" applyFill="1" applyBorder="1" applyAlignment="1" applyProtection="1">
      <alignment horizontal="left"/>
      <protection hidden="1"/>
    </xf>
    <xf numFmtId="0" fontId="43" fillId="2" borderId="43" xfId="0" applyFont="1" applyFill="1" applyBorder="1" applyProtection="1">
      <protection hidden="1"/>
    </xf>
    <xf numFmtId="0" fontId="43" fillId="2" borderId="6" xfId="0" applyFont="1" applyFill="1" applyBorder="1" applyProtection="1">
      <protection hidden="1"/>
    </xf>
    <xf numFmtId="0" fontId="14" fillId="2" borderId="11" xfId="0" applyFont="1" applyFill="1" applyBorder="1" applyAlignment="1" applyProtection="1">
      <alignment horizontal="left" vertical="top" wrapText="1"/>
      <protection hidden="1"/>
    </xf>
    <xf numFmtId="0" fontId="43" fillId="2" borderId="19" xfId="0" applyFont="1" applyFill="1" applyBorder="1" applyAlignment="1" applyProtection="1">
      <alignment horizontal="right"/>
      <protection hidden="1"/>
    </xf>
    <xf numFmtId="0" fontId="43" fillId="2" borderId="0" xfId="0" applyFont="1" applyFill="1" applyBorder="1" applyAlignment="1" applyProtection="1">
      <alignment horizontal="right"/>
      <protection hidden="1"/>
    </xf>
    <xf numFmtId="0" fontId="43" fillId="2" borderId="32" xfId="0" applyFont="1" applyFill="1" applyBorder="1" applyProtection="1">
      <protection hidden="1"/>
    </xf>
    <xf numFmtId="0" fontId="43" fillId="2" borderId="11" xfId="0" applyFont="1" applyFill="1" applyBorder="1" applyProtection="1">
      <protection hidden="1"/>
    </xf>
    <xf numFmtId="0" fontId="44" fillId="2" borderId="32" xfId="0" applyFont="1" applyFill="1" applyBorder="1" applyProtection="1">
      <protection hidden="1"/>
    </xf>
    <xf numFmtId="0" fontId="44" fillId="2" borderId="11" xfId="0" applyFont="1" applyFill="1" applyBorder="1" applyProtection="1">
      <protection hidden="1"/>
    </xf>
    <xf numFmtId="0" fontId="12" fillId="2" borderId="19" xfId="0" applyFont="1" applyFill="1" applyBorder="1" applyAlignment="1" applyProtection="1">
      <alignment horizontal="left"/>
      <protection hidden="1"/>
    </xf>
    <xf numFmtId="0" fontId="12" fillId="2" borderId="0" xfId="0" applyFont="1" applyFill="1" applyBorder="1" applyAlignment="1" applyProtection="1">
      <alignment horizontal="left"/>
      <protection hidden="1"/>
    </xf>
    <xf numFmtId="0" fontId="13" fillId="2" borderId="19" xfId="0" applyFont="1" applyFill="1" applyBorder="1" applyProtection="1">
      <protection hidden="1"/>
    </xf>
    <xf numFmtId="0" fontId="13" fillId="2" borderId="0" xfId="0" applyFont="1" applyFill="1" applyBorder="1" applyProtection="1">
      <protection hidden="1"/>
    </xf>
    <xf numFmtId="0" fontId="31" fillId="2" borderId="32" xfId="0" applyFont="1" applyFill="1" applyBorder="1" applyAlignment="1" applyProtection="1">
      <alignment horizontal="left"/>
      <protection hidden="1"/>
    </xf>
    <xf numFmtId="0" fontId="31" fillId="2" borderId="11" xfId="0" applyFont="1" applyFill="1" applyBorder="1" applyAlignment="1" applyProtection="1">
      <alignment horizontal="left"/>
      <protection hidden="1"/>
    </xf>
    <xf numFmtId="0" fontId="13" fillId="2" borderId="43" xfId="0" applyFont="1" applyFill="1" applyBorder="1" applyAlignment="1" applyProtection="1">
      <alignment horizontal="right"/>
      <protection hidden="1"/>
    </xf>
    <xf numFmtId="0" fontId="13" fillId="2" borderId="6" xfId="0" applyFont="1" applyFill="1" applyBorder="1" applyAlignment="1" applyProtection="1">
      <alignment horizontal="right"/>
      <protection hidden="1"/>
    </xf>
    <xf numFmtId="0" fontId="43" fillId="2" borderId="32" xfId="1" applyFont="1" applyFill="1" applyBorder="1" applyAlignment="1" applyProtection="1">
      <alignment horizontal="right"/>
      <protection hidden="1"/>
    </xf>
    <xf numFmtId="0" fontId="43" fillId="2" borderId="12" xfId="1" applyFont="1" applyFill="1" applyBorder="1" applyAlignment="1" applyProtection="1">
      <alignment horizontal="right"/>
      <protection hidden="1"/>
    </xf>
    <xf numFmtId="0" fontId="44" fillId="2" borderId="32" xfId="1" applyFont="1" applyFill="1" applyBorder="1" applyAlignment="1" applyProtection="1">
      <protection hidden="1"/>
    </xf>
    <xf numFmtId="0" fontId="44" fillId="2" borderId="11" xfId="1" applyFont="1" applyFill="1" applyBorder="1" applyAlignment="1" applyProtection="1">
      <protection hidden="1"/>
    </xf>
    <xf numFmtId="0" fontId="14" fillId="2" borderId="0" xfId="0" applyFont="1" applyFill="1" applyBorder="1" applyAlignment="1" applyProtection="1">
      <alignment horizontal="center" wrapText="1"/>
      <protection hidden="1"/>
    </xf>
    <xf numFmtId="0" fontId="14" fillId="2" borderId="20" xfId="0" applyFont="1" applyFill="1" applyBorder="1" applyAlignment="1" applyProtection="1">
      <alignment horizontal="center" wrapText="1"/>
      <protection hidden="1"/>
    </xf>
    <xf numFmtId="0" fontId="14" fillId="2" borderId="11" xfId="0" applyFont="1" applyFill="1" applyBorder="1" applyAlignment="1" applyProtection="1">
      <alignment horizontal="center" wrapText="1"/>
      <protection hidden="1"/>
    </xf>
    <xf numFmtId="0" fontId="14" fillId="2" borderId="33" xfId="0" applyFont="1" applyFill="1" applyBorder="1" applyAlignment="1" applyProtection="1">
      <alignment horizontal="center" wrapText="1"/>
      <protection hidden="1"/>
    </xf>
    <xf numFmtId="0" fontId="12" fillId="2" borderId="16" xfId="0" applyFont="1" applyFill="1" applyBorder="1" applyAlignment="1">
      <alignment horizontal="left" vertical="top" wrapText="1"/>
    </xf>
    <xf numFmtId="0" fontId="12" fillId="2" borderId="17" xfId="0" applyFont="1" applyFill="1" applyBorder="1" applyAlignment="1">
      <alignment horizontal="left" vertical="top" wrapText="1"/>
    </xf>
    <xf numFmtId="0" fontId="12" fillId="2" borderId="19" xfId="0" applyFont="1" applyFill="1" applyBorder="1" applyAlignment="1">
      <alignment horizontal="left" vertical="top" wrapText="1"/>
    </xf>
    <xf numFmtId="0" fontId="12" fillId="2" borderId="0" xfId="0" applyFont="1" applyFill="1" applyBorder="1" applyAlignment="1">
      <alignment horizontal="left" vertical="top" wrapText="1"/>
    </xf>
    <xf numFmtId="0" fontId="13" fillId="2" borderId="4" xfId="0" applyFont="1" applyFill="1" applyBorder="1" applyAlignment="1">
      <alignment horizontal="left"/>
    </xf>
    <xf numFmtId="0" fontId="13" fillId="2" borderId="1" xfId="0" applyFont="1" applyFill="1" applyBorder="1" applyAlignment="1">
      <alignment horizontal="left"/>
    </xf>
    <xf numFmtId="0" fontId="12" fillId="2" borderId="19" xfId="0" applyFont="1" applyFill="1" applyBorder="1"/>
    <xf numFmtId="0" fontId="12" fillId="2" borderId="0" xfId="0" applyFont="1" applyFill="1" applyBorder="1"/>
    <xf numFmtId="0" fontId="12" fillId="2" borderId="20" xfId="0" applyFont="1" applyFill="1" applyBorder="1"/>
    <xf numFmtId="0" fontId="13" fillId="2" borderId="0" xfId="0" applyFont="1" applyFill="1" applyBorder="1" applyAlignment="1">
      <alignment horizontal="left" vertical="top" wrapText="1"/>
    </xf>
    <xf numFmtId="0" fontId="13" fillId="2" borderId="20" xfId="0" applyFont="1" applyFill="1" applyBorder="1" applyAlignment="1">
      <alignment horizontal="left" vertical="top" wrapText="1"/>
    </xf>
    <xf numFmtId="0" fontId="31" fillId="2" borderId="19" xfId="0" applyFont="1" applyFill="1" applyBorder="1" applyAlignment="1">
      <alignment horizontal="right" wrapText="1"/>
    </xf>
    <xf numFmtId="0" fontId="13" fillId="2" borderId="30" xfId="0" applyFont="1" applyFill="1" applyBorder="1" applyAlignment="1">
      <alignment horizontal="left"/>
    </xf>
    <xf numFmtId="0" fontId="13" fillId="2" borderId="58" xfId="0" applyFont="1" applyFill="1" applyBorder="1" applyAlignment="1">
      <alignment horizontal="left"/>
    </xf>
    <xf numFmtId="0" fontId="12" fillId="2" borderId="25" xfId="0" applyFont="1" applyFill="1" applyBorder="1" applyAlignment="1">
      <alignment horizontal="center" wrapText="1"/>
    </xf>
    <xf numFmtId="0" fontId="12" fillId="2" borderId="57" xfId="0" applyFont="1" applyFill="1" applyBorder="1" applyAlignment="1">
      <alignment horizontal="center" wrapText="1"/>
    </xf>
    <xf numFmtId="14" fontId="18" fillId="2" borderId="19" xfId="15" applyNumberFormat="1" applyFont="1" applyFill="1" applyBorder="1" applyAlignment="1" applyProtection="1">
      <alignment horizontal="center" vertical="center"/>
      <protection hidden="1"/>
    </xf>
    <xf numFmtId="14" fontId="18" fillId="2" borderId="21" xfId="15" applyNumberFormat="1" applyFont="1" applyFill="1" applyBorder="1" applyAlignment="1" applyProtection="1">
      <alignment horizontal="center" vertical="center"/>
      <protection hidden="1"/>
    </xf>
    <xf numFmtId="0" fontId="18" fillId="2" borderId="17" xfId="15" applyFont="1" applyFill="1" applyBorder="1" applyAlignment="1" applyProtection="1">
      <alignment horizontal="left" vertical="top" wrapText="1"/>
      <protection locked="0"/>
    </xf>
    <xf numFmtId="0" fontId="18" fillId="2" borderId="0" xfId="15" applyFont="1" applyFill="1" applyBorder="1" applyAlignment="1" applyProtection="1">
      <alignment horizontal="left" vertical="top" wrapText="1"/>
      <protection locked="0"/>
    </xf>
    <xf numFmtId="0" fontId="14" fillId="2" borderId="0" xfId="15" applyFont="1" applyFill="1" applyBorder="1" applyAlignment="1" applyProtection="1">
      <alignment horizontal="left" vertical="top" wrapText="1"/>
      <protection hidden="1"/>
    </xf>
    <xf numFmtId="0" fontId="14" fillId="2" borderId="22" xfId="15" applyFont="1" applyFill="1" applyBorder="1" applyAlignment="1" applyProtection="1">
      <alignment horizontal="left" vertical="top" wrapText="1"/>
      <protection hidden="1"/>
    </xf>
    <xf numFmtId="0" fontId="16" fillId="2" borderId="0" xfId="15" applyFont="1" applyFill="1" applyBorder="1" applyAlignment="1" applyProtection="1">
      <alignment horizontal="left" vertical="center" wrapText="1"/>
      <protection hidden="1"/>
    </xf>
    <xf numFmtId="0" fontId="17" fillId="5" borderId="16" xfId="15" applyFont="1" applyFill="1" applyBorder="1" applyAlignment="1" applyProtection="1">
      <alignment horizontal="left" vertical="center" wrapText="1"/>
      <protection hidden="1"/>
    </xf>
    <xf numFmtId="0" fontId="17" fillId="5" borderId="17" xfId="15" applyFont="1" applyFill="1" applyBorder="1" applyAlignment="1" applyProtection="1">
      <alignment horizontal="left" vertical="center" wrapText="1"/>
      <protection hidden="1"/>
    </xf>
    <xf numFmtId="0" fontId="16" fillId="2" borderId="0" xfId="15" applyNumberFormat="1" applyFont="1" applyFill="1" applyBorder="1" applyAlignment="1" applyProtection="1">
      <alignment horizontal="left" vertical="top" wrapText="1"/>
      <protection hidden="1"/>
    </xf>
    <xf numFmtId="0" fontId="16" fillId="2" borderId="20" xfId="15" applyNumberFormat="1" applyFont="1" applyFill="1" applyBorder="1" applyAlignment="1" applyProtection="1">
      <alignment horizontal="left" vertical="top" wrapText="1"/>
      <protection hidden="1"/>
    </xf>
    <xf numFmtId="0" fontId="18" fillId="2" borderId="13" xfId="1" applyFont="1" applyFill="1" applyBorder="1" applyAlignment="1" applyProtection="1">
      <alignment horizontal="center" vertical="center" wrapText="1"/>
      <protection hidden="1"/>
    </xf>
    <xf numFmtId="0" fontId="18" fillId="2" borderId="14" xfId="1" applyFont="1" applyFill="1" applyBorder="1" applyAlignment="1" applyProtection="1">
      <alignment horizontal="center" vertical="center" wrapText="1"/>
      <protection hidden="1"/>
    </xf>
    <xf numFmtId="0" fontId="18" fillId="2" borderId="15" xfId="1" applyFont="1" applyFill="1" applyBorder="1" applyAlignment="1" applyProtection="1">
      <alignment horizontal="center" vertical="center" wrapText="1"/>
      <protection hidden="1"/>
    </xf>
    <xf numFmtId="0" fontId="18" fillId="5" borderId="1" xfId="15" applyFont="1" applyFill="1" applyBorder="1" applyAlignment="1" applyProtection="1">
      <alignment horizontal="center" vertical="center"/>
      <protection hidden="1"/>
    </xf>
    <xf numFmtId="0" fontId="18" fillId="5" borderId="2" xfId="15" applyFont="1" applyFill="1" applyBorder="1" applyAlignment="1" applyProtection="1">
      <alignment horizontal="center" vertical="center"/>
      <protection hidden="1"/>
    </xf>
    <xf numFmtId="0" fontId="18" fillId="5" borderId="3" xfId="15" applyFont="1" applyFill="1" applyBorder="1" applyAlignment="1" applyProtection="1">
      <alignment horizontal="center" vertical="center"/>
      <protection hidden="1"/>
    </xf>
    <xf numFmtId="184" fontId="18" fillId="3" borderId="1" xfId="17" applyNumberFormat="1" applyFont="1" applyFill="1" applyBorder="1" applyAlignment="1" applyProtection="1">
      <alignment vertical="center"/>
      <protection locked="0"/>
    </xf>
    <xf numFmtId="184" fontId="18" fillId="3" borderId="3" xfId="17" applyNumberFormat="1" applyFont="1" applyFill="1" applyBorder="1" applyAlignment="1" applyProtection="1">
      <alignment vertical="center"/>
      <protection locked="0"/>
    </xf>
    <xf numFmtId="0" fontId="18" fillId="12" borderId="14" xfId="15" applyFont="1" applyFill="1" applyBorder="1" applyAlignment="1" applyProtection="1">
      <alignment horizontal="center" vertical="center" wrapText="1"/>
      <protection hidden="1"/>
    </xf>
    <xf numFmtId="0" fontId="18" fillId="12" borderId="0" xfId="15" applyFont="1" applyFill="1" applyBorder="1" applyAlignment="1" applyProtection="1">
      <alignment horizontal="center" vertical="center" wrapText="1"/>
      <protection hidden="1"/>
    </xf>
    <xf numFmtId="0" fontId="18" fillId="2" borderId="1" xfId="15" applyFont="1" applyFill="1" applyBorder="1" applyAlignment="1" applyProtection="1">
      <alignment horizontal="right" vertical="center"/>
      <protection hidden="1"/>
    </xf>
    <xf numFmtId="0" fontId="18" fillId="2" borderId="3" xfId="15" applyFont="1" applyFill="1" applyBorder="1" applyAlignment="1" applyProtection="1">
      <alignment horizontal="right" vertical="center"/>
      <protection hidden="1"/>
    </xf>
    <xf numFmtId="0" fontId="18" fillId="12" borderId="0" xfId="15" applyFont="1" applyFill="1" applyAlignment="1" applyProtection="1">
      <alignment horizontal="center" vertical="center" wrapText="1"/>
      <protection hidden="1"/>
    </xf>
    <xf numFmtId="0" fontId="18" fillId="12" borderId="11" xfId="15" applyFont="1" applyFill="1" applyBorder="1" applyAlignment="1" applyProtection="1">
      <alignment horizontal="center" vertical="center" wrapText="1"/>
      <protection hidden="1"/>
    </xf>
    <xf numFmtId="0" fontId="18" fillId="5" borderId="13" xfId="1" applyFont="1" applyFill="1" applyBorder="1" applyAlignment="1" applyProtection="1">
      <alignment horizontal="center" vertical="center" wrapText="1"/>
      <protection hidden="1"/>
    </xf>
    <xf numFmtId="0" fontId="18" fillId="5" borderId="14" xfId="1" applyFont="1" applyFill="1" applyBorder="1" applyAlignment="1" applyProtection="1">
      <alignment horizontal="center" vertical="center" wrapText="1"/>
      <protection hidden="1"/>
    </xf>
    <xf numFmtId="0" fontId="18" fillId="5" borderId="10" xfId="15" applyFont="1" applyFill="1" applyBorder="1" applyAlignment="1" applyProtection="1">
      <alignment horizontal="center" vertical="center" wrapText="1"/>
      <protection hidden="1"/>
    </xf>
    <xf numFmtId="0" fontId="18" fillId="5" borderId="12" xfId="15" applyFont="1" applyFill="1" applyBorder="1" applyAlignment="1" applyProtection="1">
      <alignment horizontal="center" vertical="center" wrapText="1"/>
      <protection hidden="1"/>
    </xf>
    <xf numFmtId="0" fontId="60" fillId="13" borderId="50" xfId="65" applyFont="1" applyBorder="1" applyAlignment="1" applyProtection="1">
      <alignment horizontal="center" vertical="center" wrapText="1"/>
      <protection hidden="1"/>
    </xf>
    <xf numFmtId="0" fontId="60" fillId="13" borderId="51" xfId="65" applyFont="1" applyBorder="1" applyAlignment="1" applyProtection="1">
      <alignment horizontal="center" vertical="center" wrapText="1"/>
      <protection hidden="1"/>
    </xf>
    <xf numFmtId="0" fontId="60" fillId="13" borderId="52" xfId="65" applyFont="1" applyBorder="1" applyAlignment="1" applyProtection="1">
      <alignment horizontal="center" vertical="center" wrapText="1"/>
      <protection hidden="1"/>
    </xf>
    <xf numFmtId="0" fontId="18" fillId="5" borderId="13" xfId="15" applyFont="1" applyFill="1" applyBorder="1" applyAlignment="1" applyProtection="1">
      <alignment horizontal="center" vertical="center" wrapText="1"/>
      <protection hidden="1"/>
    </xf>
    <xf numFmtId="0" fontId="18" fillId="5" borderId="14" xfId="15" applyFont="1" applyFill="1" applyBorder="1" applyAlignment="1" applyProtection="1">
      <alignment horizontal="center" vertical="center" wrapText="1"/>
      <protection hidden="1"/>
    </xf>
    <xf numFmtId="0" fontId="17" fillId="5" borderId="16" xfId="15" applyFont="1" applyFill="1" applyBorder="1" applyAlignment="1" applyProtection="1">
      <alignment horizontal="left" vertical="top" wrapText="1"/>
      <protection hidden="1"/>
    </xf>
    <xf numFmtId="0" fontId="17" fillId="5" borderId="17" xfId="15" applyFont="1" applyFill="1" applyBorder="1" applyAlignment="1" applyProtection="1">
      <alignment horizontal="left" vertical="top" wrapText="1"/>
      <protection hidden="1"/>
    </xf>
    <xf numFmtId="184" fontId="18" fillId="3" borderId="1" xfId="17" applyNumberFormat="1" applyFont="1" applyFill="1" applyBorder="1" applyAlignment="1" applyProtection="1">
      <alignment horizontal="center" vertical="center"/>
      <protection locked="0"/>
    </xf>
    <xf numFmtId="184" fontId="18" fillId="3" borderId="3" xfId="17" applyNumberFormat="1" applyFont="1" applyFill="1" applyBorder="1" applyAlignment="1" applyProtection="1">
      <alignment horizontal="center" vertical="center"/>
      <protection locked="0"/>
    </xf>
    <xf numFmtId="0" fontId="18" fillId="5" borderId="5" xfId="1" applyFont="1" applyFill="1" applyBorder="1" applyAlignment="1" applyProtection="1">
      <alignment horizontal="center" vertical="center" wrapText="1"/>
      <protection hidden="1"/>
    </xf>
    <xf numFmtId="0" fontId="18" fillId="5" borderId="7" xfId="1" applyFont="1" applyFill="1" applyBorder="1" applyAlignment="1" applyProtection="1">
      <alignment horizontal="center" vertical="center" wrapText="1"/>
      <protection hidden="1"/>
    </xf>
    <xf numFmtId="0" fontId="17" fillId="2" borderId="0" xfId="1" applyFont="1" applyFill="1" applyBorder="1" applyAlignment="1" applyProtection="1">
      <alignment horizontal="left" vertical="center" wrapText="1"/>
      <protection hidden="1"/>
    </xf>
    <xf numFmtId="0" fontId="17" fillId="2" borderId="20" xfId="1" applyFont="1" applyFill="1" applyBorder="1" applyAlignment="1" applyProtection="1">
      <alignment horizontal="left" vertical="center" wrapText="1"/>
      <protection hidden="1"/>
    </xf>
    <xf numFmtId="0" fontId="58" fillId="0" borderId="1" xfId="0" applyFont="1" applyBorder="1" applyAlignment="1">
      <alignment horizontal="center" vertical="center"/>
    </xf>
    <xf numFmtId="0" fontId="58" fillId="0" borderId="3" xfId="0" applyFont="1" applyBorder="1" applyAlignment="1">
      <alignment horizontal="center" vertical="center"/>
    </xf>
    <xf numFmtId="0" fontId="17" fillId="2" borderId="16" xfId="1" applyFont="1" applyFill="1" applyBorder="1" applyAlignment="1" applyProtection="1">
      <alignment horizontal="left" vertical="center"/>
      <protection hidden="1"/>
    </xf>
    <xf numFmtId="0" fontId="17" fillId="2" borderId="17" xfId="1" applyFont="1" applyFill="1" applyBorder="1" applyAlignment="1" applyProtection="1">
      <alignment horizontal="left" vertical="center"/>
      <protection hidden="1"/>
    </xf>
    <xf numFmtId="0" fontId="17" fillId="2" borderId="16" xfId="15" applyFont="1" applyFill="1" applyBorder="1" applyAlignment="1" applyProtection="1">
      <alignment horizontal="left" vertical="center" wrapText="1"/>
      <protection hidden="1"/>
    </xf>
    <xf numFmtId="0" fontId="17" fillId="2" borderId="17" xfId="15" applyFont="1" applyFill="1" applyBorder="1" applyAlignment="1" applyProtection="1">
      <alignment horizontal="left" vertical="center" wrapText="1"/>
      <protection hidden="1"/>
    </xf>
    <xf numFmtId="0" fontId="18" fillId="5" borderId="13" xfId="15" applyFont="1" applyFill="1" applyBorder="1" applyAlignment="1" applyProtection="1">
      <alignment horizontal="center" vertical="center"/>
      <protection hidden="1"/>
    </xf>
    <xf numFmtId="0" fontId="18" fillId="5" borderId="14" xfId="15" applyFont="1" applyFill="1" applyBorder="1" applyAlignment="1" applyProtection="1">
      <alignment horizontal="center" vertical="center"/>
      <protection hidden="1"/>
    </xf>
    <xf numFmtId="0" fontId="14" fillId="2" borderId="0" xfId="15" applyFont="1" applyFill="1" applyBorder="1" applyAlignment="1" applyProtection="1">
      <alignment horizontal="center" vertical="center" wrapText="1"/>
      <protection hidden="1"/>
    </xf>
    <xf numFmtId="0" fontId="44" fillId="2" borderId="16" xfId="1" applyFont="1" applyFill="1" applyBorder="1" applyAlignment="1" applyProtection="1">
      <alignment horizontal="left" vertical="center"/>
      <protection hidden="1"/>
    </xf>
    <xf numFmtId="0" fontId="44" fillId="2" borderId="17" xfId="1" applyFont="1" applyFill="1" applyBorder="1" applyAlignment="1" applyProtection="1">
      <alignment horizontal="left" vertical="center"/>
      <protection hidden="1"/>
    </xf>
    <xf numFmtId="0" fontId="44" fillId="2" borderId="32" xfId="15" applyFont="1" applyFill="1" applyBorder="1" applyAlignment="1" applyProtection="1">
      <alignment horizontal="left" vertical="center" wrapText="1"/>
      <protection hidden="1"/>
    </xf>
    <xf numFmtId="0" fontId="44" fillId="2" borderId="11" xfId="15" applyFont="1" applyFill="1" applyBorder="1" applyAlignment="1" applyProtection="1">
      <alignment horizontal="left" vertical="center" wrapText="1"/>
      <protection hidden="1"/>
    </xf>
    <xf numFmtId="0" fontId="17" fillId="2" borderId="34" xfId="15" applyFont="1" applyFill="1" applyBorder="1" applyAlignment="1" applyProtection="1">
      <alignment horizontal="right" vertical="center"/>
      <protection hidden="1"/>
    </xf>
    <xf numFmtId="0" fontId="17" fillId="2" borderId="2" xfId="15" applyFont="1" applyFill="1" applyBorder="1" applyAlignment="1" applyProtection="1">
      <alignment horizontal="right" vertical="center"/>
      <protection hidden="1"/>
    </xf>
    <xf numFmtId="0" fontId="17" fillId="2" borderId="3" xfId="15" applyFont="1" applyFill="1" applyBorder="1" applyAlignment="1" applyProtection="1">
      <alignment horizontal="right" vertical="center"/>
      <protection hidden="1"/>
    </xf>
    <xf numFmtId="0" fontId="44" fillId="2" borderId="34" xfId="15" applyFont="1" applyFill="1" applyBorder="1" applyAlignment="1" applyProtection="1">
      <alignment horizontal="right" vertical="center"/>
      <protection hidden="1"/>
    </xf>
    <xf numFmtId="0" fontId="44" fillId="2" borderId="2" xfId="15" applyFont="1" applyFill="1" applyBorder="1" applyAlignment="1" applyProtection="1">
      <alignment horizontal="right" vertical="center"/>
      <protection hidden="1"/>
    </xf>
    <xf numFmtId="0" fontId="44" fillId="2" borderId="3" xfId="15" applyFont="1" applyFill="1" applyBorder="1" applyAlignment="1" applyProtection="1">
      <alignment horizontal="right" vertical="center"/>
      <protection hidden="1"/>
    </xf>
    <xf numFmtId="0" fontId="44" fillId="2" borderId="34" xfId="1" applyFont="1" applyFill="1" applyBorder="1" applyAlignment="1" applyProtection="1">
      <alignment horizontal="right" vertical="center"/>
      <protection hidden="1"/>
    </xf>
    <xf numFmtId="0" fontId="44" fillId="2" borderId="2" xfId="1" applyFont="1" applyFill="1" applyBorder="1" applyAlignment="1" applyProtection="1">
      <alignment horizontal="right" vertical="center"/>
      <protection hidden="1"/>
    </xf>
    <xf numFmtId="0" fontId="44" fillId="2" borderId="3" xfId="1" applyFont="1" applyFill="1" applyBorder="1" applyAlignment="1" applyProtection="1">
      <alignment horizontal="right" vertical="center"/>
      <protection hidden="1"/>
    </xf>
    <xf numFmtId="0" fontId="16" fillId="2" borderId="13" xfId="1" applyFont="1" applyFill="1" applyBorder="1" applyAlignment="1" applyProtection="1">
      <alignment horizontal="center" vertical="center" wrapText="1"/>
      <protection hidden="1"/>
    </xf>
    <xf numFmtId="0" fontId="16" fillId="2" borderId="15" xfId="1" applyFont="1" applyFill="1" applyBorder="1" applyAlignment="1" applyProtection="1">
      <alignment horizontal="center" vertical="center" wrapText="1"/>
      <protection hidden="1"/>
    </xf>
    <xf numFmtId="0" fontId="17" fillId="2" borderId="19" xfId="15" applyFont="1" applyFill="1" applyBorder="1" applyAlignment="1" applyProtection="1">
      <alignment vertical="center"/>
      <protection hidden="1"/>
    </xf>
    <xf numFmtId="0" fontId="17" fillId="2" borderId="0" xfId="15" applyFont="1" applyFill="1" applyBorder="1" applyAlignment="1" applyProtection="1">
      <alignment vertical="center"/>
      <protection hidden="1"/>
    </xf>
    <xf numFmtId="0" fontId="17" fillId="2" borderId="20" xfId="15" applyFont="1" applyFill="1" applyBorder="1" applyAlignment="1" applyProtection="1">
      <alignment vertical="center"/>
      <protection hidden="1"/>
    </xf>
    <xf numFmtId="0" fontId="17" fillId="2" borderId="21" xfId="15" applyFont="1" applyFill="1" applyBorder="1" applyAlignment="1" applyProtection="1">
      <alignment horizontal="left" vertical="center"/>
      <protection hidden="1"/>
    </xf>
    <xf numFmtId="0" fontId="17" fillId="2" borderId="22" xfId="15" applyFont="1" applyFill="1" applyBorder="1" applyAlignment="1" applyProtection="1">
      <alignment horizontal="left" vertical="center"/>
      <protection hidden="1"/>
    </xf>
    <xf numFmtId="0" fontId="18" fillId="2" borderId="4" xfId="15" applyFont="1" applyFill="1" applyBorder="1" applyAlignment="1" applyProtection="1">
      <alignment horizontal="right" vertical="center"/>
      <protection hidden="1"/>
    </xf>
    <xf numFmtId="0" fontId="18" fillId="2" borderId="13" xfId="15" applyFont="1" applyFill="1" applyBorder="1" applyAlignment="1" applyProtection="1">
      <alignment horizontal="center" vertical="center" wrapText="1"/>
      <protection hidden="1"/>
    </xf>
    <xf numFmtId="0" fontId="18" fillId="2" borderId="14" xfId="15" applyFont="1" applyFill="1" applyBorder="1" applyAlignment="1" applyProtection="1">
      <alignment horizontal="center" vertical="center" wrapText="1"/>
      <protection hidden="1"/>
    </xf>
    <xf numFmtId="0" fontId="17" fillId="2" borderId="19" xfId="15" applyFont="1" applyFill="1" applyBorder="1" applyAlignment="1" applyProtection="1">
      <alignment horizontal="left" vertical="center"/>
      <protection hidden="1"/>
    </xf>
    <xf numFmtId="0" fontId="17" fillId="2" borderId="0" xfId="15" applyFont="1" applyFill="1" applyBorder="1" applyAlignment="1" applyProtection="1">
      <alignment horizontal="left" vertical="center"/>
      <protection hidden="1"/>
    </xf>
    <xf numFmtId="0" fontId="53" fillId="12" borderId="8" xfId="0" applyFont="1" applyFill="1" applyBorder="1" applyAlignment="1" applyProtection="1">
      <alignment horizontal="left" wrapText="1"/>
      <protection hidden="1"/>
    </xf>
    <xf numFmtId="0" fontId="53" fillId="12" borderId="0" xfId="0" applyFont="1" applyFill="1" applyBorder="1" applyAlignment="1" applyProtection="1">
      <alignment horizontal="left" wrapText="1"/>
      <protection hidden="1"/>
    </xf>
    <xf numFmtId="0" fontId="24" fillId="2" borderId="34" xfId="0" applyFont="1" applyFill="1" applyBorder="1" applyAlignment="1" applyProtection="1">
      <alignment vertical="center"/>
      <protection hidden="1"/>
    </xf>
    <xf numFmtId="0" fontId="24" fillId="2" borderId="3" xfId="0" applyFont="1" applyFill="1" applyBorder="1" applyAlignment="1" applyProtection="1">
      <alignment vertical="center"/>
      <protection hidden="1"/>
    </xf>
    <xf numFmtId="0" fontId="24" fillId="2" borderId="43" xfId="0" applyFont="1" applyFill="1" applyBorder="1" applyAlignment="1" applyProtection="1">
      <alignment vertical="center"/>
      <protection hidden="1"/>
    </xf>
    <xf numFmtId="0" fontId="24" fillId="2" borderId="7" xfId="0" applyFont="1" applyFill="1" applyBorder="1" applyAlignment="1" applyProtection="1">
      <alignment vertical="center"/>
      <protection hidden="1"/>
    </xf>
    <xf numFmtId="0" fontId="24" fillId="2" borderId="27" xfId="0" applyFont="1" applyFill="1" applyBorder="1" applyAlignment="1" applyProtection="1">
      <alignment horizontal="left" vertical="center"/>
      <protection hidden="1"/>
    </xf>
    <xf numFmtId="0" fontId="24" fillId="2" borderId="4" xfId="0" applyFont="1" applyFill="1" applyBorder="1" applyAlignment="1" applyProtection="1">
      <alignment horizontal="left" vertical="center"/>
      <protection hidden="1"/>
    </xf>
    <xf numFmtId="0" fontId="29" fillId="2" borderId="3" xfId="0" applyFont="1" applyFill="1" applyBorder="1" applyAlignment="1" applyProtection="1">
      <alignment vertical="center"/>
      <protection hidden="1"/>
    </xf>
    <xf numFmtId="0" fontId="13" fillId="2" borderId="20" xfId="0" applyFont="1" applyFill="1" applyBorder="1" applyAlignment="1" applyProtection="1">
      <alignment horizontal="left" vertical="top" wrapText="1"/>
      <protection hidden="1"/>
    </xf>
    <xf numFmtId="0" fontId="24" fillId="2" borderId="6" xfId="0" applyFont="1" applyFill="1" applyBorder="1" applyAlignment="1" applyProtection="1">
      <alignment vertical="center"/>
      <protection hidden="1"/>
    </xf>
    <xf numFmtId="0" fontId="24" fillId="2" borderId="50" xfId="0" applyFont="1" applyFill="1" applyBorder="1" applyAlignment="1" applyProtection="1">
      <alignment vertical="center"/>
      <protection hidden="1"/>
    </xf>
    <xf numFmtId="0" fontId="24" fillId="2" borderId="51" xfId="0" applyFont="1" applyFill="1" applyBorder="1" applyAlignment="1" applyProtection="1">
      <alignment vertical="center"/>
      <protection hidden="1"/>
    </xf>
    <xf numFmtId="0" fontId="28" fillId="2" borderId="68" xfId="0" applyFont="1" applyFill="1" applyBorder="1" applyAlignment="1" applyProtection="1">
      <alignment vertical="center"/>
      <protection hidden="1"/>
    </xf>
    <xf numFmtId="0" fontId="28" fillId="2" borderId="69" xfId="0" applyFont="1" applyFill="1" applyBorder="1" applyAlignment="1" applyProtection="1">
      <alignment vertical="center"/>
      <protection hidden="1"/>
    </xf>
    <xf numFmtId="0" fontId="24" fillId="2" borderId="45" xfId="0" applyFont="1" applyFill="1" applyBorder="1" applyAlignment="1" applyProtection="1">
      <alignment vertical="center"/>
      <protection hidden="1"/>
    </xf>
    <xf numFmtId="0" fontId="24" fillId="2" borderId="67" xfId="0" applyFont="1" applyFill="1" applyBorder="1" applyAlignment="1" applyProtection="1">
      <alignment vertical="center"/>
      <protection hidden="1"/>
    </xf>
    <xf numFmtId="0" fontId="27" fillId="2" borderId="50" xfId="0" applyFont="1" applyFill="1" applyBorder="1" applyAlignment="1" applyProtection="1">
      <alignment vertical="center" wrapText="1"/>
      <protection hidden="1"/>
    </xf>
    <xf numFmtId="0" fontId="27" fillId="2" borderId="51" xfId="0" applyFont="1" applyFill="1" applyBorder="1" applyAlignment="1" applyProtection="1">
      <alignment vertical="center" wrapText="1"/>
      <protection hidden="1"/>
    </xf>
    <xf numFmtId="0" fontId="24" fillId="2" borderId="21" xfId="0" applyFont="1" applyFill="1" applyBorder="1" applyAlignment="1" applyProtection="1">
      <alignment vertical="center"/>
      <protection hidden="1"/>
    </xf>
    <xf numFmtId="0" fontId="24" fillId="2" borderId="22" xfId="0" applyFont="1" applyFill="1" applyBorder="1" applyAlignment="1" applyProtection="1">
      <alignment vertical="center"/>
      <protection hidden="1"/>
    </xf>
    <xf numFmtId="0" fontId="24" fillId="2" borderId="29" xfId="0" applyFont="1" applyFill="1" applyBorder="1" applyAlignment="1" applyProtection="1">
      <alignment vertical="center"/>
      <protection hidden="1"/>
    </xf>
    <xf numFmtId="0" fontId="24" fillId="2" borderId="30" xfId="0" applyFont="1" applyFill="1" applyBorder="1" applyAlignment="1" applyProtection="1">
      <alignment vertical="center"/>
      <protection hidden="1"/>
    </xf>
    <xf numFmtId="0" fontId="6" fillId="2" borderId="16" xfId="0" applyFont="1" applyFill="1" applyBorder="1" applyAlignment="1" applyProtection="1">
      <alignment horizontal="left" vertical="top" wrapText="1"/>
      <protection hidden="1"/>
    </xf>
    <xf numFmtId="0" fontId="6" fillId="2" borderId="17" xfId="0" applyFont="1" applyFill="1" applyBorder="1" applyAlignment="1" applyProtection="1">
      <alignment horizontal="left" vertical="top" wrapText="1"/>
      <protection hidden="1"/>
    </xf>
    <xf numFmtId="0" fontId="79" fillId="2" borderId="5" xfId="0" applyNumberFormat="1" applyFont="1" applyFill="1" applyBorder="1" applyAlignment="1" applyProtection="1">
      <alignment horizontal="left" vertical="top" wrapText="1"/>
      <protection hidden="1"/>
    </xf>
    <xf numFmtId="0" fontId="79" fillId="2" borderId="6" xfId="0" applyNumberFormat="1" applyFont="1" applyFill="1" applyBorder="1" applyAlignment="1" applyProtection="1">
      <alignment horizontal="left" vertical="top" wrapText="1"/>
      <protection hidden="1"/>
    </xf>
    <xf numFmtId="0" fontId="79" fillId="2" borderId="7" xfId="0" applyNumberFormat="1" applyFont="1" applyFill="1" applyBorder="1" applyAlignment="1" applyProtection="1">
      <alignment horizontal="left" vertical="top" wrapText="1"/>
      <protection hidden="1"/>
    </xf>
    <xf numFmtId="0" fontId="79" fillId="2" borderId="8" xfId="0" applyNumberFormat="1" applyFont="1" applyFill="1" applyBorder="1" applyAlignment="1" applyProtection="1">
      <alignment horizontal="left" vertical="top" wrapText="1"/>
      <protection hidden="1"/>
    </xf>
    <xf numFmtId="0" fontId="79" fillId="2" borderId="0" xfId="0" applyNumberFormat="1" applyFont="1" applyFill="1" applyBorder="1" applyAlignment="1" applyProtection="1">
      <alignment horizontal="left" vertical="top" wrapText="1"/>
      <protection hidden="1"/>
    </xf>
    <xf numFmtId="0" fontId="79" fillId="2" borderId="9" xfId="0" applyNumberFormat="1" applyFont="1" applyFill="1" applyBorder="1" applyAlignment="1" applyProtection="1">
      <alignment horizontal="left" vertical="top" wrapText="1"/>
      <protection hidden="1"/>
    </xf>
    <xf numFmtId="0" fontId="79" fillId="2" borderId="10" xfId="0" applyNumberFormat="1" applyFont="1" applyFill="1" applyBorder="1" applyAlignment="1" applyProtection="1">
      <alignment horizontal="left" vertical="top" wrapText="1"/>
      <protection hidden="1"/>
    </xf>
    <xf numFmtId="0" fontId="79" fillId="2" borderId="11" xfId="0" applyNumberFormat="1" applyFont="1" applyFill="1" applyBorder="1" applyAlignment="1" applyProtection="1">
      <alignment horizontal="left" vertical="top" wrapText="1"/>
      <protection hidden="1"/>
    </xf>
    <xf numFmtId="0" fontId="79" fillId="2" borderId="12" xfId="0" applyNumberFormat="1" applyFont="1" applyFill="1" applyBorder="1" applyAlignment="1" applyProtection="1">
      <alignment horizontal="left" vertical="top" wrapText="1"/>
      <protection hidden="1"/>
    </xf>
    <xf numFmtId="0" fontId="51" fillId="4" borderId="8" xfId="0" applyFont="1" applyFill="1" applyBorder="1" applyAlignment="1" applyProtection="1">
      <alignment horizontal="left" wrapText="1"/>
      <protection hidden="1"/>
    </xf>
    <xf numFmtId="0" fontId="51" fillId="4" borderId="0" xfId="0" applyFont="1" applyFill="1" applyBorder="1" applyAlignment="1" applyProtection="1">
      <alignment horizontal="left" wrapText="1"/>
      <protection hidden="1"/>
    </xf>
    <xf numFmtId="0" fontId="18" fillId="2" borderId="0" xfId="1" applyFont="1" applyFill="1" applyBorder="1" applyAlignment="1" applyProtection="1">
      <alignment horizontal="left" wrapText="1"/>
      <protection hidden="1"/>
    </xf>
    <xf numFmtId="0" fontId="18" fillId="2" borderId="0" xfId="0" applyFont="1" applyFill="1" applyBorder="1" applyAlignment="1" applyProtection="1">
      <alignment horizontal="left" vertical="top" wrapText="1"/>
      <protection hidden="1"/>
    </xf>
    <xf numFmtId="0" fontId="18" fillId="2" borderId="0" xfId="0" applyNumberFormat="1" applyFont="1" applyFill="1" applyBorder="1" applyAlignment="1" applyProtection="1">
      <alignment horizontal="left" vertical="top" wrapText="1"/>
      <protection hidden="1"/>
    </xf>
    <xf numFmtId="0" fontId="18" fillId="2" borderId="20" xfId="0" applyNumberFormat="1" applyFont="1" applyFill="1" applyBorder="1" applyAlignment="1" applyProtection="1">
      <alignment horizontal="left" vertical="top" wrapText="1"/>
      <protection hidden="1"/>
    </xf>
    <xf numFmtId="0" fontId="66" fillId="2" borderId="19" xfId="15" applyFont="1" applyFill="1" applyBorder="1" applyAlignment="1" applyProtection="1">
      <alignment vertical="center"/>
      <protection hidden="1"/>
    </xf>
    <xf numFmtId="0" fontId="66" fillId="2" borderId="0" xfId="15" applyFont="1" applyFill="1" applyBorder="1" applyAlignment="1" applyProtection="1">
      <alignment vertical="center"/>
      <protection hidden="1"/>
    </xf>
    <xf numFmtId="0" fontId="66" fillId="2" borderId="20" xfId="15" applyFont="1" applyFill="1" applyBorder="1" applyAlignment="1" applyProtection="1">
      <alignment vertical="center"/>
      <protection hidden="1"/>
    </xf>
    <xf numFmtId="0" fontId="0" fillId="2" borderId="37" xfId="0" applyFill="1" applyBorder="1" applyAlignment="1">
      <alignment horizontal="left" vertical="center" wrapText="1"/>
    </xf>
    <xf numFmtId="0" fontId="0" fillId="2" borderId="63" xfId="0" applyFill="1" applyBorder="1" applyAlignment="1">
      <alignment horizontal="left" vertical="center" wrapText="1"/>
    </xf>
    <xf numFmtId="0" fontId="0" fillId="2" borderId="17" xfId="0" applyFill="1" applyBorder="1" applyAlignment="1">
      <alignment horizontal="left" vertical="center" wrapText="1"/>
    </xf>
    <xf numFmtId="0" fontId="0" fillId="2" borderId="22" xfId="0" applyFill="1" applyBorder="1" applyAlignment="1">
      <alignment horizontal="left" vertical="center" wrapText="1"/>
    </xf>
    <xf numFmtId="0" fontId="79" fillId="2" borderId="39" xfId="0" applyFont="1" applyFill="1" applyBorder="1" applyAlignment="1">
      <alignment horizontal="left" vertical="center" wrapText="1"/>
    </xf>
    <xf numFmtId="0" fontId="0" fillId="2" borderId="65" xfId="0" applyFill="1" applyBorder="1" applyAlignment="1">
      <alignment horizontal="left" vertical="center" wrapText="1"/>
    </xf>
    <xf numFmtId="0" fontId="0" fillId="2" borderId="49" xfId="0" applyFill="1" applyBorder="1" applyAlignment="1">
      <alignment horizontal="center"/>
    </xf>
    <xf numFmtId="0" fontId="12" fillId="2" borderId="18" xfId="0" applyFont="1" applyFill="1" applyBorder="1" applyAlignment="1" applyProtection="1">
      <alignment horizontal="left" vertical="top" wrapText="1"/>
      <protection hidden="1"/>
    </xf>
    <xf numFmtId="0" fontId="12" fillId="2" borderId="20" xfId="0" applyFont="1" applyFill="1" applyBorder="1" applyAlignment="1" applyProtection="1">
      <alignment horizontal="left" vertical="top" wrapText="1"/>
      <protection hidden="1"/>
    </xf>
    <xf numFmtId="0" fontId="10" fillId="10" borderId="13" xfId="0" applyFont="1" applyFill="1" applyBorder="1" applyAlignment="1">
      <alignment horizontal="center" vertical="center" wrapText="1"/>
    </xf>
    <xf numFmtId="0" fontId="10" fillId="10" borderId="14" xfId="0" applyFont="1" applyFill="1" applyBorder="1" applyAlignment="1">
      <alignment horizontal="center" vertical="center" wrapText="1"/>
    </xf>
    <xf numFmtId="0" fontId="10" fillId="10" borderId="15" xfId="0" applyFont="1" applyFill="1" applyBorder="1" applyAlignment="1">
      <alignment horizontal="center" vertical="center" wrapText="1"/>
    </xf>
    <xf numFmtId="1" fontId="46" fillId="0" borderId="11" xfId="0" applyNumberFormat="1" applyFont="1" applyBorder="1" applyAlignment="1" applyProtection="1">
      <alignment horizontal="center" vertical="top" wrapText="1"/>
      <protection locked="0"/>
    </xf>
    <xf numFmtId="1" fontId="46" fillId="0" borderId="11" xfId="0" applyNumberFormat="1" applyFont="1" applyBorder="1" applyAlignment="1" applyProtection="1">
      <alignment horizontal="center" vertical="top"/>
      <protection locked="0"/>
    </xf>
    <xf numFmtId="0" fontId="10" fillId="11" borderId="13"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15" xfId="0" applyFont="1" applyFill="1" applyBorder="1" applyAlignment="1">
      <alignment horizontal="center" vertical="center"/>
    </xf>
    <xf numFmtId="0" fontId="11" fillId="10" borderId="1" xfId="0" applyFont="1" applyFill="1" applyBorder="1" applyAlignment="1">
      <alignment horizontal="center"/>
    </xf>
    <xf numFmtId="0" fontId="11" fillId="10" borderId="3" xfId="0" applyFont="1" applyFill="1" applyBorder="1" applyAlignment="1">
      <alignment horizontal="center"/>
    </xf>
    <xf numFmtId="0" fontId="10" fillId="10" borderId="14" xfId="0" applyFont="1" applyFill="1" applyBorder="1" applyAlignment="1">
      <alignment horizontal="center" vertical="center"/>
    </xf>
    <xf numFmtId="0" fontId="10" fillId="10" borderId="15" xfId="0" applyFont="1" applyFill="1" applyBorder="1" applyAlignment="1">
      <alignment horizontal="center" vertical="center"/>
    </xf>
    <xf numFmtId="168" fontId="10" fillId="9" borderId="13" xfId="14" applyNumberFormat="1" applyFont="1" applyFill="1" applyBorder="1" applyAlignment="1">
      <alignment horizontal="center" vertical="center"/>
    </xf>
    <xf numFmtId="168" fontId="10" fillId="9" borderId="14" xfId="14" applyNumberFormat="1" applyFont="1" applyFill="1" applyBorder="1" applyAlignment="1">
      <alignment horizontal="center" vertical="center"/>
    </xf>
    <xf numFmtId="168" fontId="10" fillId="9" borderId="15" xfId="14" applyNumberFormat="1" applyFont="1" applyFill="1" applyBorder="1" applyAlignment="1">
      <alignment horizontal="center" vertical="center"/>
    </xf>
    <xf numFmtId="0" fontId="10" fillId="10" borderId="13" xfId="0" applyFont="1" applyFill="1" applyBorder="1" applyAlignment="1">
      <alignment horizontal="center" vertical="center"/>
    </xf>
    <xf numFmtId="0" fontId="11" fillId="9" borderId="1" xfId="0" applyFont="1" applyFill="1" applyBorder="1" applyAlignment="1">
      <alignment horizontal="center"/>
    </xf>
    <xf numFmtId="0" fontId="11" fillId="9" borderId="3" xfId="0" applyFont="1" applyFill="1" applyBorder="1" applyAlignment="1">
      <alignment horizontal="center"/>
    </xf>
    <xf numFmtId="0" fontId="10" fillId="9" borderId="14" xfId="0" applyFont="1" applyFill="1" applyBorder="1" applyAlignment="1">
      <alignment horizontal="center" vertical="center" wrapText="1"/>
    </xf>
    <xf numFmtId="0" fontId="10" fillId="9" borderId="15" xfId="0" applyFont="1" applyFill="1" applyBorder="1" applyAlignment="1">
      <alignment horizontal="center" vertical="center" wrapText="1"/>
    </xf>
    <xf numFmtId="0" fontId="10" fillId="9" borderId="13" xfId="0" applyFont="1" applyFill="1" applyBorder="1" applyAlignment="1">
      <alignment horizontal="center" vertical="center" wrapText="1"/>
    </xf>
    <xf numFmtId="0" fontId="10" fillId="9" borderId="13" xfId="0" applyFont="1" applyFill="1" applyBorder="1" applyAlignment="1">
      <alignment horizontal="center" vertical="center"/>
    </xf>
    <xf numFmtId="0" fontId="10" fillId="9" borderId="14" xfId="0" applyFont="1" applyFill="1" applyBorder="1" applyAlignment="1">
      <alignment horizontal="center" vertical="center"/>
    </xf>
    <xf numFmtId="0" fontId="10" fillId="9" borderId="15" xfId="0" applyFont="1" applyFill="1" applyBorder="1" applyAlignment="1">
      <alignment horizontal="center" vertical="center"/>
    </xf>
  </cellXfs>
  <cellStyles count="70">
    <cellStyle name="40% - Accent2" xfId="67" builtinId="35"/>
    <cellStyle name="40% - Accent4" xfId="69" builtinId="43"/>
    <cellStyle name="60% - Accent1" xfId="66" builtinId="32"/>
    <cellStyle name="60% - Accent2" xfId="68" builtinId="36"/>
    <cellStyle name="Comma" xfId="14" builtinId="3"/>
    <cellStyle name="Comma 2" xfId="16"/>
    <cellStyle name="Comma 3" xfId="17"/>
    <cellStyle name="Comma 4" xfId="20"/>
    <cellStyle name="Comma 4 2" xfId="60"/>
    <cellStyle name="Currency" xfId="58" builtinId="4"/>
    <cellStyle name="Currency 2 2" xfId="24"/>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26"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Good" xfId="65" builtinId="26"/>
    <cellStyle name="Hyperlink" xfId="1" builtinId="8"/>
    <cellStyle name="Hyperlink 2" xfId="25" hidden="1"/>
    <cellStyle name="Hyperlink 2" xfId="27" hidden="1"/>
    <cellStyle name="Hyperlink 2" xfId="63" hidden="1"/>
    <cellStyle name="Hyperlink 2" xfId="64" hidden="1"/>
    <cellStyle name="Normal" xfId="0" builtinId="0"/>
    <cellStyle name="Normal 2" xfId="15"/>
    <cellStyle name="Normal 3" xfId="19"/>
    <cellStyle name="Normal 3 2" xfId="59"/>
    <cellStyle name="Normal 4" xfId="23"/>
    <cellStyle name="Normal 4 2" xfId="62"/>
    <cellStyle name="Percent" xfId="22" builtinId="5"/>
    <cellStyle name="Percent 2" xfId="18"/>
    <cellStyle name="Percent 3" xfId="21"/>
    <cellStyle name="Percent 3 2" xfId="61"/>
  </cellStyles>
  <dxfs count="13">
    <dxf>
      <font>
        <condense val="0"/>
        <extend val="0"/>
        <color indexed="10"/>
      </font>
    </dxf>
    <dxf>
      <font>
        <condense val="0"/>
        <extend val="0"/>
        <color rgb="FF9C0006"/>
      </font>
      <fill>
        <patternFill>
          <bgColor rgb="FFFFC7CE"/>
        </patternFill>
      </fill>
    </dxf>
    <dxf>
      <font>
        <condense val="0"/>
        <extend val="0"/>
        <color rgb="FF9C0006"/>
      </font>
      <fill>
        <patternFill>
          <bgColor rgb="FFFFC7CE"/>
        </patternFill>
      </fill>
    </dxf>
    <dxf>
      <fill>
        <patternFill>
          <bgColor theme="4"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50-EC42-11CE-9E0D-00AA006002F3}" ax:persistence="persistStreamInit" r:id="rId1"/>
</file>

<file path=xl/activeX/activeX19.xml><?xml version="1.0" encoding="utf-8"?>
<ax:ocx xmlns:ax="http://schemas.microsoft.com/office/2006/activeX" xmlns:r="http://schemas.openxmlformats.org/officeDocument/2006/relationships" ax:classid="{8BD21D50-EC42-11CE-9E0D-00AA006002F3}" ax:persistence="persistStreamInit" r:id="rId1"/>
</file>

<file path=xl/activeX/activeX20.xml><?xml version="1.0" encoding="utf-8"?>
<ax:ocx xmlns:ax="http://schemas.microsoft.com/office/2006/activeX" xmlns:r="http://schemas.openxmlformats.org/officeDocument/2006/relationships" ax:classid="{8BD21D50-EC42-11CE-9E0D-00AA006002F3}" ax:persistence="persistStreamInit" r:id="rId1"/>
</file>

<file path=xl/activeX/activeX21.xml><?xml version="1.0" encoding="utf-8"?>
<ax:ocx xmlns:ax="http://schemas.microsoft.com/office/2006/activeX" xmlns:r="http://schemas.openxmlformats.org/officeDocument/2006/relationships" ax:classid="{8BD21D50-EC42-11CE-9E0D-00AA006002F3}" ax:persistence="persistStreamInit" r:id="rId1"/>
</file>

<file path=xl/activeX/activeX22.xml><?xml version="1.0" encoding="utf-8"?>
<ax:ocx xmlns:ax="http://schemas.microsoft.com/office/2006/activeX" xmlns:r="http://schemas.openxmlformats.org/officeDocument/2006/relationships" ax:classid="{8BD21D50-EC42-11CE-9E0D-00AA006002F3}" ax:persistence="persistStreamInit" r:id="rId1"/>
</file>

<file path=xl/activeX/activeX23.xml><?xml version="1.0" encoding="utf-8"?>
<ax:ocx xmlns:ax="http://schemas.microsoft.com/office/2006/activeX" xmlns:r="http://schemas.openxmlformats.org/officeDocument/2006/relationships" ax:classid="{8BD21D50-EC42-11CE-9E0D-00AA006002F3}" ax:persistence="persistStreamInit" r:id="rId1"/>
</file>

<file path=xl/activeX/activeX24.xml><?xml version="1.0" encoding="utf-8"?>
<ax:ocx xmlns:ax="http://schemas.microsoft.com/office/2006/activeX" xmlns:r="http://schemas.openxmlformats.org/officeDocument/2006/relationships" ax:classid="{8BD21D50-EC42-11CE-9E0D-00AA006002F3}" ax:persistence="persistStreamInit" r:id="rId1"/>
</file>

<file path=xl/activeX/activeX25.xml><?xml version="1.0" encoding="utf-8"?>
<ax:ocx xmlns:ax="http://schemas.microsoft.com/office/2006/activeX" xmlns:r="http://schemas.openxmlformats.org/officeDocument/2006/relationships" ax:classid="{8BD21D50-EC42-11CE-9E0D-00AA006002F3}" ax:persistence="persistStreamInit" r:id="rId1"/>
</file>

<file path=xl/activeX/activeX26.xml><?xml version="1.0" encoding="utf-8"?>
<ax:ocx xmlns:ax="http://schemas.microsoft.com/office/2006/activeX" xmlns:r="http://schemas.openxmlformats.org/officeDocument/2006/relationships" ax:classid="{8BD21D50-EC42-11CE-9E0D-00AA006002F3}" ax:persistence="persistStreamInit" r:id="rId1"/>
</file>

<file path=xl/activeX/activeX27.xml><?xml version="1.0" encoding="utf-8"?>
<ax:ocx xmlns:ax="http://schemas.microsoft.com/office/2006/activeX" xmlns:r="http://schemas.openxmlformats.org/officeDocument/2006/relationships" ax:classid="{8BD21D50-EC42-11CE-9E0D-00AA006002F3}" ax:persistence="persistStreamInit" r:id="rId1"/>
</file>

<file path=xl/activeX/activeX28.xml><?xml version="1.0" encoding="utf-8"?>
<ax:ocx xmlns:ax="http://schemas.microsoft.com/office/2006/activeX" xmlns:r="http://schemas.openxmlformats.org/officeDocument/2006/relationships" ax:classid="{8BD21D50-EC42-11CE-9E0D-00AA006002F3}" ax:persistence="persistStreamInit" r:id="rId1"/>
</file>

<file path=xl/activeX/activeX29.xml><?xml version="1.0" encoding="utf-8"?>
<ax:ocx xmlns:ax="http://schemas.microsoft.com/office/2006/activeX" xmlns:r="http://schemas.openxmlformats.org/officeDocument/2006/relationships" ax:classid="{8BD21D50-EC42-11CE-9E0D-00AA006002F3}" ax:persistence="persistStreamInit" r:id="rId1"/>
</file>

<file path=xl/activeX/activeX30.xml><?xml version="1.0" encoding="utf-8"?>
<ax:ocx xmlns:ax="http://schemas.microsoft.com/office/2006/activeX" xmlns:r="http://schemas.openxmlformats.org/officeDocument/2006/relationships" ax:classid="{8BD21D50-EC42-11CE-9E0D-00AA006002F3}" ax:persistence="persistStreamInit" r:id="rId1"/>
</file>

<file path=xl/activeX/activeX31.xml><?xml version="1.0" encoding="utf-8"?>
<ax:ocx xmlns:ax="http://schemas.microsoft.com/office/2006/activeX" xmlns:r="http://schemas.openxmlformats.org/officeDocument/2006/relationships" ax:classid="{8BD21D50-EC42-11CE-9E0D-00AA006002F3}" ax:persistence="persistStreamInit" r:id="rId1"/>
</file>

<file path=xl/activeX/activeX32.xml><?xml version="1.0" encoding="utf-8"?>
<ax:ocx xmlns:ax="http://schemas.microsoft.com/office/2006/activeX" xmlns:r="http://schemas.openxmlformats.org/officeDocument/2006/relationships" ax:classid="{8BD21D50-EC42-11CE-9E0D-00AA006002F3}" ax:persistence="persistStreamInit" r:id="rId1"/>
</file>

<file path=xl/activeX/activeX33.xml><?xml version="1.0" encoding="utf-8"?>
<ax:ocx xmlns:ax="http://schemas.microsoft.com/office/2006/activeX" xmlns:r="http://schemas.openxmlformats.org/officeDocument/2006/relationships" ax:classid="{8BD21D50-EC42-11CE-9E0D-00AA006002F3}" ax:persistence="persistStreamInit" r:id="rId1"/>
</file>

<file path=xl/activeX/activeX34.xml><?xml version="1.0" encoding="utf-8"?>
<ax:ocx xmlns:ax="http://schemas.microsoft.com/office/2006/activeX" xmlns:r="http://schemas.openxmlformats.org/officeDocument/2006/relationships" ax:classid="{8BD21D50-EC42-11CE-9E0D-00AA006002F3}" ax:persistence="persistStreamInit" r:id="rId1"/>
</file>

<file path=xl/activeX/activeX35.xml><?xml version="1.0" encoding="utf-8"?>
<ax:ocx xmlns:ax="http://schemas.microsoft.com/office/2006/activeX" xmlns:r="http://schemas.openxmlformats.org/officeDocument/2006/relationships" ax:classid="{8BD21D50-EC42-11CE-9E0D-00AA006002F3}" ax:persistence="persistStreamInit" r:id="rId1"/>
</file>

<file path=xl/activeX/activeX36.xml><?xml version="1.0" encoding="utf-8"?>
<ax:ocx xmlns:ax="http://schemas.microsoft.com/office/2006/activeX" xmlns:r="http://schemas.openxmlformats.org/officeDocument/2006/relationships" ax:classid="{8BD21D50-EC42-11CE-9E0D-00AA006002F3}" ax:persistence="persistStreamInit" r:id="rId1"/>
</file>

<file path=xl/activeX/activeX37.xml><?xml version="1.0" encoding="utf-8"?>
<ax:ocx xmlns:ax="http://schemas.microsoft.com/office/2006/activeX" xmlns:r="http://schemas.openxmlformats.org/officeDocument/2006/relationships" ax:classid="{8BD21D50-EC42-11CE-9E0D-00AA006002F3}" ax:persistence="persistStreamInit" r:id="rId1"/>
</file>

<file path=xl/activeX/activeX38.xml><?xml version="1.0" encoding="utf-8"?>
<ax:ocx xmlns:ax="http://schemas.microsoft.com/office/2006/activeX" xmlns:r="http://schemas.openxmlformats.org/officeDocument/2006/relationships" ax:classid="{8BD21D50-EC42-11CE-9E0D-00AA006002F3}" ax:persistence="persistStreamInit" r:id="rId1"/>
</file>

<file path=xl/activeX/activeX39.xml><?xml version="1.0" encoding="utf-8"?>
<ax:ocx xmlns:ax="http://schemas.microsoft.com/office/2006/activeX" xmlns:r="http://schemas.openxmlformats.org/officeDocument/2006/relationships" ax:classid="{8BD21D50-EC42-11CE-9E0D-00AA006002F3}" ax:persistence="persistStreamInit" r:id="rId1"/>
</file>

<file path=xl/activeX/activeX40.xml><?xml version="1.0" encoding="utf-8"?>
<ax:ocx xmlns:ax="http://schemas.microsoft.com/office/2006/activeX" xmlns:r="http://schemas.openxmlformats.org/officeDocument/2006/relationships" ax:classid="{8BD21D50-EC42-11CE-9E0D-00AA006002F3}" ax:persistence="persistStreamInit" r:id="rId1"/>
</file>

<file path=xl/activeX/activeX41.xml><?xml version="1.0" encoding="utf-8"?>
<ax:ocx xmlns:ax="http://schemas.microsoft.com/office/2006/activeX" xmlns:r="http://schemas.openxmlformats.org/officeDocument/2006/relationships" ax:classid="{8BD21D50-EC42-11CE-9E0D-00AA006002F3}" ax:persistence="persistStreamInit" r:id="rId1"/>
</file>

<file path=xl/activeX/activeX42.xml><?xml version="1.0" encoding="utf-8"?>
<ax:ocx xmlns:ax="http://schemas.microsoft.com/office/2006/activeX" xmlns:r="http://schemas.openxmlformats.org/officeDocument/2006/relationships" ax:classid="{8BD21D50-EC42-11CE-9E0D-00AA006002F3}" ax:persistence="persistStreamInit" r:id="rId1"/>
</file>

<file path=xl/activeX/activeX43.xml><?xml version="1.0" encoding="utf-8"?>
<ax:ocx xmlns:ax="http://schemas.microsoft.com/office/2006/activeX" xmlns:r="http://schemas.openxmlformats.org/officeDocument/2006/relationships" ax:classid="{8BD21D50-EC42-11CE-9E0D-00AA006002F3}" ax:persistence="persistStreamInit" r:id="rId1"/>
</file>

<file path=xl/activeX/activeX44.xml><?xml version="1.0" encoding="utf-8"?>
<ax:ocx xmlns:ax="http://schemas.microsoft.com/office/2006/activeX" xmlns:r="http://schemas.openxmlformats.org/officeDocument/2006/relationships" ax:classid="{8BD21D50-EC42-11CE-9E0D-00AA006002F3}" ax:persistence="persistStreamInit" r:id="rId1"/>
</file>

<file path=xl/activeX/activeX45.xml><?xml version="1.0" encoding="utf-8"?>
<ax:ocx xmlns:ax="http://schemas.microsoft.com/office/2006/activeX" xmlns:r="http://schemas.openxmlformats.org/officeDocument/2006/relationships" ax:classid="{8BD21D50-EC42-11CE-9E0D-00AA006002F3}" ax:persistence="persistStreamInit" r:id="rId1"/>
</file>

<file path=xl/activeX/activeX46.xml><?xml version="1.0" encoding="utf-8"?>
<ax:ocx xmlns:ax="http://schemas.microsoft.com/office/2006/activeX" xmlns:r="http://schemas.openxmlformats.org/officeDocument/2006/relationships" ax:classid="{8BD21D50-EC42-11CE-9E0D-00AA006002F3}" ax:persistence="persistStreamInit" r:id="rId1"/>
</file>

<file path=xl/activeX/activeX47.xml><?xml version="1.0" encoding="utf-8"?>
<ax:ocx xmlns:ax="http://schemas.microsoft.com/office/2006/activeX" xmlns:r="http://schemas.openxmlformats.org/officeDocument/2006/relationships" ax:classid="{8BD21D50-EC42-11CE-9E0D-00AA006002F3}" ax:persistence="persistStreamInit" r:id="rId1"/>
</file>

<file path=xl/activeX/activeX48.xml><?xml version="1.0" encoding="utf-8"?>
<ax:ocx xmlns:ax="http://schemas.microsoft.com/office/2006/activeX" xmlns:r="http://schemas.openxmlformats.org/officeDocument/2006/relationships" ax:classid="{8BD21D50-EC42-11CE-9E0D-00AA006002F3}" ax:persistence="persistStreamInit" r:id="rId1"/>
</file>

<file path=xl/activeX/activeX49.xml><?xml version="1.0" encoding="utf-8"?>
<ax:ocx xmlns:ax="http://schemas.microsoft.com/office/2006/activeX" xmlns:r="http://schemas.openxmlformats.org/officeDocument/2006/relationships" ax:classid="{8BD21D50-EC42-11CE-9E0D-00AA006002F3}" ax:persistence="persistStreamInit" r:id="rId1"/>
</file>

<file path=xl/activeX/activeX50.xml><?xml version="1.0" encoding="utf-8"?>
<ax:ocx xmlns:ax="http://schemas.microsoft.com/office/2006/activeX" xmlns:r="http://schemas.openxmlformats.org/officeDocument/2006/relationships" ax:classid="{8BD21D50-EC42-11CE-9E0D-00AA006002F3}" ax:persistence="persistStreamInit" r:id="rId1"/>
</file>

<file path=xl/activeX/activeX51.xml><?xml version="1.0" encoding="utf-8"?>
<ax:ocx xmlns:ax="http://schemas.microsoft.com/office/2006/activeX" xmlns:r="http://schemas.openxmlformats.org/officeDocument/2006/relationships" ax:classid="{8BD21D50-EC42-11CE-9E0D-00AA006002F3}" ax:persistence="persistStreamInit" r:id="rId1"/>
</file>

<file path=xl/activeX/activeX52.xml><?xml version="1.0" encoding="utf-8"?>
<ax:ocx xmlns:ax="http://schemas.microsoft.com/office/2006/activeX" xmlns:r="http://schemas.openxmlformats.org/officeDocument/2006/relationships" ax:classid="{8BD21D50-EC42-11CE-9E0D-00AA006002F3}" ax:persistence="persistStreamInit" r:id="rId1"/>
</file>

<file path=xl/activeX/activeX53.xml><?xml version="1.0" encoding="utf-8"?>
<ax:ocx xmlns:ax="http://schemas.microsoft.com/office/2006/activeX" xmlns:r="http://schemas.openxmlformats.org/officeDocument/2006/relationships" ax:classid="{8BD21D50-EC42-11CE-9E0D-00AA006002F3}" ax:persistence="persistStreamInit" r:id="rId1"/>
</file>

<file path=xl/activeX/activeX54.xml><?xml version="1.0" encoding="utf-8"?>
<ax:ocx xmlns:ax="http://schemas.microsoft.com/office/2006/activeX" xmlns:r="http://schemas.openxmlformats.org/officeDocument/2006/relationships" ax:classid="{8BD21D50-EC42-11CE-9E0D-00AA006002F3}" ax:persistence="persistStreamInit" r:id="rId1"/>
</file>

<file path=xl/activeX/activeX55.xml><?xml version="1.0" encoding="utf-8"?>
<ax:ocx xmlns:ax="http://schemas.microsoft.com/office/2006/activeX" xmlns:r="http://schemas.openxmlformats.org/officeDocument/2006/relationships" ax:classid="{8BD21D50-EC42-11CE-9E0D-00AA006002F3}" ax:persistence="persistStreamInit" r:id="rId1"/>
</file>

<file path=xl/activeX/activeX56.xml><?xml version="1.0" encoding="utf-8"?>
<ax:ocx xmlns:ax="http://schemas.microsoft.com/office/2006/activeX" xmlns:r="http://schemas.openxmlformats.org/officeDocument/2006/relationships" ax:classid="{8BD21D50-EC42-11CE-9E0D-00AA006002F3}" ax:persistence="persistStreamInit" r:id="rId1"/>
</file>

<file path=xl/activeX/activeX57.xml><?xml version="1.0" encoding="utf-8"?>
<ax:ocx xmlns:ax="http://schemas.microsoft.com/office/2006/activeX" xmlns:r="http://schemas.openxmlformats.org/officeDocument/2006/relationships" ax:classid="{8BD21D50-EC42-11CE-9E0D-00AA006002F3}" ax:persistence="persistStreamInit" r:id="rId1"/>
</file>

<file path=xl/activeX/activeX58.xml><?xml version="1.0" encoding="utf-8"?>
<ax:ocx xmlns:ax="http://schemas.microsoft.com/office/2006/activeX" xmlns:r="http://schemas.openxmlformats.org/officeDocument/2006/relationships" ax:classid="{8BD21D50-EC42-11CE-9E0D-00AA006002F3}" ax:persistence="persistStreamInit" r:id="rId1"/>
</file>

<file path=xl/activeX/activeX59.xml><?xml version="1.0" encoding="utf-8"?>
<ax:ocx xmlns:ax="http://schemas.microsoft.com/office/2006/activeX" xmlns:r="http://schemas.openxmlformats.org/officeDocument/2006/relationships" ax:classid="{8BD21D50-EC42-11CE-9E0D-00AA006002F3}" ax:persistence="persistStreamInit" r:id="rId1"/>
</file>

<file path=xl/activeX/activeX60.xml><?xml version="1.0" encoding="utf-8"?>
<ax:ocx xmlns:ax="http://schemas.microsoft.com/office/2006/activeX" xmlns:r="http://schemas.openxmlformats.org/officeDocument/2006/relationships" ax:classid="{8BD21D50-EC42-11CE-9E0D-00AA006002F3}" ax:persistence="persistStreamInit" r:id="rId1"/>
</file>

<file path=xl/activeX/activeX61.xml><?xml version="1.0" encoding="utf-8"?>
<ax:ocx xmlns:ax="http://schemas.microsoft.com/office/2006/activeX" xmlns:r="http://schemas.openxmlformats.org/officeDocument/2006/relationships" ax:classid="{8BD21D50-EC42-11CE-9E0D-00AA006002F3}" ax:persistence="persistStreamInit" r:id="rId1"/>
</file>

<file path=xl/activeX/activeX62.xml><?xml version="1.0" encoding="utf-8"?>
<ax:ocx xmlns:ax="http://schemas.microsoft.com/office/2006/activeX" xmlns:r="http://schemas.openxmlformats.org/officeDocument/2006/relationships" ax:classid="{8BD21D50-EC42-11CE-9E0D-00AA006002F3}" ax:persistence="persistStreamInit" r:id="rId1"/>
</file>

<file path=xl/activeX/activeX63.xml><?xml version="1.0" encoding="utf-8"?>
<ax:ocx xmlns:ax="http://schemas.microsoft.com/office/2006/activeX" xmlns:r="http://schemas.openxmlformats.org/officeDocument/2006/relationships" ax:classid="{8BD21D50-EC42-11CE-9E0D-00AA006002F3}" ax:persistence="persistStreamInit" r:id="rId1"/>
</file>

<file path=xl/activeX/activeX64.xml><?xml version="1.0" encoding="utf-8"?>
<ax:ocx xmlns:ax="http://schemas.microsoft.com/office/2006/activeX" xmlns:r="http://schemas.openxmlformats.org/officeDocument/2006/relationships" ax:classid="{8BD21D50-EC42-11CE-9E0D-00AA006002F3}" ax:persistence="persistStreamInit" r:id="rId1"/>
</file>

<file path=xl/activeX/activeX65.xml><?xml version="1.0" encoding="utf-8"?>
<ax:ocx xmlns:ax="http://schemas.microsoft.com/office/2006/activeX" xmlns:r="http://schemas.openxmlformats.org/officeDocument/2006/relationships" ax:classid="{8BD21D50-EC42-11CE-9E0D-00AA006002F3}" ax:persistence="persistStreamInit" r:id="rId1"/>
</file>

<file path=xl/activeX/activeX66.xml><?xml version="1.0" encoding="utf-8"?>
<ax:ocx xmlns:ax="http://schemas.microsoft.com/office/2006/activeX" xmlns:r="http://schemas.openxmlformats.org/officeDocument/2006/relationships" ax:classid="{8BD21D50-EC42-11CE-9E0D-00AA006002F3}" ax:persistence="persistStreamInit" r:id="rId1"/>
</file>

<file path=xl/activeX/activeX67.xml><?xml version="1.0" encoding="utf-8"?>
<ax:ocx xmlns:ax="http://schemas.microsoft.com/office/2006/activeX" xmlns:r="http://schemas.openxmlformats.org/officeDocument/2006/relationships" ax:classid="{8BD21D50-EC42-11CE-9E0D-00AA006002F3}" ax:persistence="persistStreamInit" r:id="rId1"/>
</file>

<file path=xl/activeX/activeX68.xml><?xml version="1.0" encoding="utf-8"?>
<ax:ocx xmlns:ax="http://schemas.microsoft.com/office/2006/activeX" xmlns:r="http://schemas.openxmlformats.org/officeDocument/2006/relationships" ax:classid="{8BD21D50-EC42-11CE-9E0D-00AA006002F3}" ax:persistence="persistStreamInit" r:id="rId1"/>
</file>

<file path=xl/activeX/activeX69.xml><?xml version="1.0" encoding="utf-8"?>
<ax:ocx xmlns:ax="http://schemas.microsoft.com/office/2006/activeX" xmlns:r="http://schemas.openxmlformats.org/officeDocument/2006/relationships" ax:classid="{8BD21D50-EC42-11CE-9E0D-00AA006002F3}" ax:persistence="persistStreamInit" r:id="rId1"/>
</file>

<file path=xl/activeX/activeX70.xml><?xml version="1.0" encoding="utf-8"?>
<ax:ocx xmlns:ax="http://schemas.microsoft.com/office/2006/activeX" xmlns:r="http://schemas.openxmlformats.org/officeDocument/2006/relationships" ax:classid="{8BD21D50-EC42-11CE-9E0D-00AA006002F3}" ax:persistence="persistStreamInit" r:id="rId1"/>
</file>

<file path=xl/activeX/activeX71.xml><?xml version="1.0" encoding="utf-8"?>
<ax:ocx xmlns:ax="http://schemas.microsoft.com/office/2006/activeX" xmlns:r="http://schemas.openxmlformats.org/officeDocument/2006/relationships" ax:classid="{8BD21D50-EC42-11CE-9E0D-00AA006002F3}" ax:persistence="persistStreamInit" r:id="rId1"/>
</file>

<file path=xl/activeX/activeX72.xml><?xml version="1.0" encoding="utf-8"?>
<ax:ocx xmlns:ax="http://schemas.microsoft.com/office/2006/activeX" xmlns:r="http://schemas.openxmlformats.org/officeDocument/2006/relationships" ax:classid="{8BD21D50-EC42-11CE-9E0D-00AA006002F3}" ax:persistence="persistStreamInit" r:id="rId1"/>
</file>

<file path=xl/activeX/activeX73.xml><?xml version="1.0" encoding="utf-8"?>
<ax:ocx xmlns:ax="http://schemas.microsoft.com/office/2006/activeX" xmlns:r="http://schemas.openxmlformats.org/officeDocument/2006/relationships" ax:classid="{8BD21D50-EC42-11CE-9E0D-00AA006002F3}" ax:persistence="persistStreamInit" r:id="rId1"/>
</file>

<file path=xl/activeX/activeX74.xml><?xml version="1.0" encoding="utf-8"?>
<ax:ocx xmlns:ax="http://schemas.microsoft.com/office/2006/activeX" xmlns:r="http://schemas.openxmlformats.org/officeDocument/2006/relationships" ax:classid="{8BD21D50-EC42-11CE-9E0D-00AA006002F3}" ax:persistence="persistStreamInit" r:id="rId1"/>
</file>

<file path=xl/activeX/activeX75.xml><?xml version="1.0" encoding="utf-8"?>
<ax:ocx xmlns:ax="http://schemas.microsoft.com/office/2006/activeX" xmlns:r="http://schemas.openxmlformats.org/officeDocument/2006/relationships" ax:classid="{8BD21D50-EC42-11CE-9E0D-00AA006002F3}" ax:persistence="persistStreamInit" r:id="rId1"/>
</file>

<file path=xl/activeX/activeX76.xml><?xml version="1.0" encoding="utf-8"?>
<ax:ocx xmlns:ax="http://schemas.microsoft.com/office/2006/activeX" xmlns:r="http://schemas.openxmlformats.org/officeDocument/2006/relationships" ax:classid="{8BD21D50-EC42-11CE-9E0D-00AA006002F3}" ax:persistence="persistStreamInit" r:id="rId1"/>
</file>

<file path=xl/activeX/activeX77.xml><?xml version="1.0" encoding="utf-8"?>
<ax:ocx xmlns:ax="http://schemas.microsoft.com/office/2006/activeX" xmlns:r="http://schemas.openxmlformats.org/officeDocument/2006/relationships" ax:classid="{8BD21D50-EC42-11CE-9E0D-00AA006002F3}" ax:persistence="persistStreamInit" r:id="rId1"/>
</file>

<file path=xl/activeX/activeX78.xml><?xml version="1.0" encoding="utf-8"?>
<ax:ocx xmlns:ax="http://schemas.microsoft.com/office/2006/activeX" xmlns:r="http://schemas.openxmlformats.org/officeDocument/2006/relationships" ax:classid="{8BD21D50-EC42-11CE-9E0D-00AA006002F3}" ax:persistence="persistStreamInit" r:id="rId1"/>
</file>

<file path=xl/activeX/activeX79.xml><?xml version="1.0" encoding="utf-8"?>
<ax:ocx xmlns:ax="http://schemas.microsoft.com/office/2006/activeX" xmlns:r="http://schemas.openxmlformats.org/officeDocument/2006/relationships" ax:classid="{8BD21D50-EC42-11CE-9E0D-00AA006002F3}" ax:persistence="persistStreamInit" r:id="rId1"/>
</file>

<file path=xl/activeX/activeX80.xml><?xml version="1.0" encoding="utf-8"?>
<ax:ocx xmlns:ax="http://schemas.microsoft.com/office/2006/activeX" xmlns:r="http://schemas.openxmlformats.org/officeDocument/2006/relationships" ax:classid="{8BD21D50-EC42-11CE-9E0D-00AA006002F3}" ax:persistence="persistStreamInit" r:id="rId1"/>
</file>

<file path=xl/activeX/activeX81.xml><?xml version="1.0" encoding="utf-8"?>
<ax:ocx xmlns:ax="http://schemas.microsoft.com/office/2006/activeX" xmlns:r="http://schemas.openxmlformats.org/officeDocument/2006/relationships" ax:classid="{8BD21D50-EC42-11CE-9E0D-00AA006002F3}" ax:persistence="persistStreamInit" r:id="rId1"/>
</file>

<file path=xl/activeX/activeX82.xml><?xml version="1.0" encoding="utf-8"?>
<ax:ocx xmlns:ax="http://schemas.microsoft.com/office/2006/activeX" xmlns:r="http://schemas.openxmlformats.org/officeDocument/2006/relationships" ax:classid="{8BD21D50-EC42-11CE-9E0D-00AA006002F3}" ax:persistence="persistStreamInit" r:id="rId1"/>
</file>

<file path=xl/activeX/activeX83.xml><?xml version="1.0" encoding="utf-8"?>
<ax:ocx xmlns:ax="http://schemas.microsoft.com/office/2006/activeX" xmlns:r="http://schemas.openxmlformats.org/officeDocument/2006/relationships" ax:classid="{8BD21D50-EC42-11CE-9E0D-00AA006002F3}" ax:persistence="persistStreamInit" r:id="rId1"/>
</file>

<file path=xl/activeX/activeX84.xml><?xml version="1.0" encoding="utf-8"?>
<ax:ocx xmlns:ax="http://schemas.microsoft.com/office/2006/activeX" xmlns:r="http://schemas.openxmlformats.org/officeDocument/2006/relationships" ax:classid="{8BD21D50-EC42-11CE-9E0D-00AA006002F3}" ax:persistence="persistStreamInit" r:id="rId1"/>
</file>

<file path=xl/activeX/activeX85.xml><?xml version="1.0" encoding="utf-8"?>
<ax:ocx xmlns:ax="http://schemas.microsoft.com/office/2006/activeX" xmlns:r="http://schemas.openxmlformats.org/officeDocument/2006/relationships" ax:classid="{8BD21D50-EC42-11CE-9E0D-00AA006002F3}" ax:persistence="persistStreamInit" r:id="rId1"/>
</file>

<file path=xl/activeX/activeX86.xml><?xml version="1.0" encoding="utf-8"?>
<ax:ocx xmlns:ax="http://schemas.microsoft.com/office/2006/activeX" xmlns:r="http://schemas.openxmlformats.org/officeDocument/2006/relationships" ax:classid="{8BD21D50-EC42-11CE-9E0D-00AA006002F3}" ax:persistence="persistStreamInit" r:id="rId1"/>
</file>

<file path=xl/activeX/activeX87.xml><?xml version="1.0" encoding="utf-8"?>
<ax:ocx xmlns:ax="http://schemas.microsoft.com/office/2006/activeX" xmlns:r="http://schemas.openxmlformats.org/officeDocument/2006/relationships" ax:classid="{8BD21D50-EC42-11CE-9E0D-00AA006002F3}" ax:persistence="persistStreamInit" r:id="rId1"/>
</file>

<file path=xl/activeX/activeX88.xml><?xml version="1.0" encoding="utf-8"?>
<ax:ocx xmlns:ax="http://schemas.microsoft.com/office/2006/activeX" xmlns:r="http://schemas.openxmlformats.org/officeDocument/2006/relationships" ax:classid="{8BD21D50-EC42-11CE-9E0D-00AA006002F3}" ax:persistence="persistStreamInit" r:id="rId1"/>
</file>

<file path=xl/activeX/activeX89.xml><?xml version="1.0" encoding="utf-8"?>
<ax:ocx xmlns:ax="http://schemas.microsoft.com/office/2006/activeX" xmlns:r="http://schemas.openxmlformats.org/officeDocument/2006/relationships" ax:classid="{8BD21D50-EC42-11CE-9E0D-00AA006002F3}" ax:persistence="persistStreamInit" r:id="rId1"/>
</file>

<file path=xl/activeX/activeX90.xml><?xml version="1.0" encoding="utf-8"?>
<ax:ocx xmlns:ax="http://schemas.microsoft.com/office/2006/activeX" xmlns:r="http://schemas.openxmlformats.org/officeDocument/2006/relationships" ax:classid="{8BD21D50-EC42-11CE-9E0D-00AA006002F3}" ax:persistence="persistStreamInit" r:id="rId1"/>
</file>

<file path=xl/activeX/activeX91.xml><?xml version="1.0" encoding="utf-8"?>
<ax:ocx xmlns:ax="http://schemas.microsoft.com/office/2006/activeX" xmlns:r="http://schemas.openxmlformats.org/officeDocument/2006/relationships" ax:classid="{8BD21D50-EC42-11CE-9E0D-00AA006002F3}" ax:persistence="persistStreamInit" r:id="rId1"/>
</file>

<file path=xl/activeX/activeX92.xml><?xml version="1.0" encoding="utf-8"?>
<ax:ocx xmlns:ax="http://schemas.microsoft.com/office/2006/activeX" xmlns:r="http://schemas.openxmlformats.org/officeDocument/2006/relationships" ax:classid="{8BD21D50-EC42-11CE-9E0D-00AA006002F3}" ax:persistence="persistStreamInit" r:id="rId1"/>
</file>

<file path=xl/activeX/activeX93.xml><?xml version="1.0" encoding="utf-8"?>
<ax:ocx xmlns:ax="http://schemas.microsoft.com/office/2006/activeX" xmlns:r="http://schemas.openxmlformats.org/officeDocument/2006/relationships" ax:classid="{8BD21D50-EC42-11CE-9E0D-00AA006002F3}" ax:persistence="persistStreamInit" r:id="rId1"/>
</file>

<file path=xl/activeX/activeX94.xml><?xml version="1.0" encoding="utf-8"?>
<ax:ocx xmlns:ax="http://schemas.microsoft.com/office/2006/activeX" xmlns:r="http://schemas.openxmlformats.org/officeDocument/2006/relationships" ax:classid="{8BD21D50-EC42-11CE-9E0D-00AA006002F3}" ax:persistence="persistStreamInit" r:id="rId1"/>
</file>

<file path=xl/activeX/activeX95.xml><?xml version="1.0" encoding="utf-8"?>
<ax:ocx xmlns:ax="http://schemas.microsoft.com/office/2006/activeX" xmlns:r="http://schemas.openxmlformats.org/officeDocument/2006/relationships" ax:classid="{8BD21D50-EC42-11CE-9E0D-00AA006002F3}" ax:persistence="persistStreamInit" r:id="rId1"/>
</file>

<file path=xl/activeX/activeX96.xml><?xml version="1.0" encoding="utf-8"?>
<ax:ocx xmlns:ax="http://schemas.microsoft.com/office/2006/activeX" xmlns:r="http://schemas.openxmlformats.org/officeDocument/2006/relationships" ax:classid="{8BD21D50-EC42-11CE-9E0D-00AA006002F3}" ax:persistence="persistStreamInit" r:id="rId1"/>
</file>

<file path=xl/activeX/activeX97.xml><?xml version="1.0" encoding="utf-8"?>
<ax:ocx xmlns:ax="http://schemas.microsoft.com/office/2006/activeX" xmlns:r="http://schemas.openxmlformats.org/officeDocument/2006/relationships" ax:classid="{8BD21D50-EC42-11CE-9E0D-00AA006002F3}" ax:persistence="persistStreamInit" r:id="rId1"/>
</file>

<file path=xl/activeX/activeX98.xml><?xml version="1.0" encoding="utf-8"?>
<ax:ocx xmlns:ax="http://schemas.microsoft.com/office/2006/activeX" xmlns:r="http://schemas.openxmlformats.org/officeDocument/2006/relationships" ax:classid="{8BD21D50-EC42-11CE-9E0D-00AA006002F3}" ax:persistence="persistStreamInit" r:id="rId1"/>
</file>

<file path=xl/activeX/activeX99.xml><?xml version="1.0" encoding="utf-8"?>
<ax:ocx xmlns:ax="http://schemas.microsoft.com/office/2006/activeX" xmlns:r="http://schemas.openxmlformats.org/officeDocument/2006/relationships" ax:classid="{8BD21D50-EC42-11CE-9E0D-00AA006002F3}" ax:persistence="persistStreamInit" r:id="rId1"/>
</file>

<file path=xl/activeX/activeX100.xml><?xml version="1.0" encoding="utf-8"?>
<ax:ocx xmlns:ax="http://schemas.microsoft.com/office/2006/activeX" xmlns:r="http://schemas.openxmlformats.org/officeDocument/2006/relationships" ax:classid="{8BD21D50-EC42-11CE-9E0D-00AA006002F3}" ax:persistence="persistStreamInit" r:id="rId1"/>
</file>

<file path=xl/activeX/activeX101.xml><?xml version="1.0" encoding="utf-8"?>
<ax:ocx xmlns:ax="http://schemas.microsoft.com/office/2006/activeX" xmlns:r="http://schemas.openxmlformats.org/officeDocument/2006/relationships" ax:classid="{8BD21D50-EC42-11CE-9E0D-00AA006002F3}" ax:persistence="persistStreamInit" r:id="rId1"/>
</file>

<file path=xl/activeX/activeX102.xml><?xml version="1.0" encoding="utf-8"?>
<ax:ocx xmlns:ax="http://schemas.microsoft.com/office/2006/activeX" xmlns:r="http://schemas.openxmlformats.org/officeDocument/2006/relationships" ax:classid="{8BD21D50-EC42-11CE-9E0D-00AA006002F3}" ax:persistence="persistStreamInit" r:id="rId1"/>
</file>

<file path=xl/activeX/activeX103.xml><?xml version="1.0" encoding="utf-8"?>
<ax:ocx xmlns:ax="http://schemas.microsoft.com/office/2006/activeX" xmlns:r="http://schemas.openxmlformats.org/officeDocument/2006/relationships" ax:classid="{8BD21D50-EC42-11CE-9E0D-00AA006002F3}" ax:persistence="persistStreamInit" r:id="rId1"/>
</file>

<file path=xl/activeX/activeX104.xml><?xml version="1.0" encoding="utf-8"?>
<ax:ocx xmlns:ax="http://schemas.microsoft.com/office/2006/activeX" xmlns:r="http://schemas.openxmlformats.org/officeDocument/2006/relationships" ax:classid="{8BD21D50-EC42-11CE-9E0D-00AA006002F3}" ax:persistence="persistStreamInit" r:id="rId1"/>
</file>

<file path=xl/activeX/activeX105.xml><?xml version="1.0" encoding="utf-8"?>
<ax:ocx xmlns:ax="http://schemas.microsoft.com/office/2006/activeX" xmlns:r="http://schemas.openxmlformats.org/officeDocument/2006/relationships" ax:classid="{8BD21D50-EC42-11CE-9E0D-00AA006002F3}" ax:persistence="persistStreamInit" r:id="rId1"/>
</file>

<file path=xl/activeX/activeX106.xml><?xml version="1.0" encoding="utf-8"?>
<ax:ocx xmlns:ax="http://schemas.microsoft.com/office/2006/activeX" xmlns:r="http://schemas.openxmlformats.org/officeDocument/2006/relationships" ax:classid="{8BD21D50-EC42-11CE-9E0D-00AA006002F3}" ax:persistence="persistStreamInit" r:id="rId1"/>
</file>

<file path=xl/activeX/activeX107.xml><?xml version="1.0" encoding="utf-8"?>
<ax:ocx xmlns:ax="http://schemas.microsoft.com/office/2006/activeX" xmlns:r="http://schemas.openxmlformats.org/officeDocument/2006/relationships" ax:classid="{8BD21D50-EC42-11CE-9E0D-00AA006002F3}" ax:persistence="persistStreamInit" r:id="rId1"/>
</file>

<file path=xl/activeX/activeX108.xml><?xml version="1.0" encoding="utf-8"?>
<ax:ocx xmlns:ax="http://schemas.microsoft.com/office/2006/activeX" xmlns:r="http://schemas.openxmlformats.org/officeDocument/2006/relationships" ax:classid="{8BD21D50-EC42-11CE-9E0D-00AA006002F3}" ax:persistence="persistStreamInit" r:id="rId1"/>
</file>

<file path=xl/activeX/activeX109.xml><?xml version="1.0" encoding="utf-8"?>
<ax:ocx xmlns:ax="http://schemas.microsoft.com/office/2006/activeX" xmlns:r="http://schemas.openxmlformats.org/officeDocument/2006/relationships" ax:classid="{8BD21D50-EC42-11CE-9E0D-00AA006002F3}" ax:persistence="persistStreamInit" r:id="rId1"/>
</file>

<file path=xl/activeX/activeX110.xml><?xml version="1.0" encoding="utf-8"?>
<ax:ocx xmlns:ax="http://schemas.microsoft.com/office/2006/activeX" xmlns:r="http://schemas.openxmlformats.org/officeDocument/2006/relationships" ax:classid="{8BD21D50-EC42-11CE-9E0D-00AA006002F3}" ax:persistence="persistStreamInit" r:id="rId1"/>
</file>

<file path=xl/activeX/activeX111.xml><?xml version="1.0" encoding="utf-8"?>
<ax:ocx xmlns:ax="http://schemas.microsoft.com/office/2006/activeX" xmlns:r="http://schemas.openxmlformats.org/officeDocument/2006/relationships" ax:classid="{8BD21D50-EC42-11CE-9E0D-00AA006002F3}" ax:persistence="persistStreamInit" r:id="rId1"/>
</file>

<file path=xl/activeX/activeX112.xml><?xml version="1.0" encoding="utf-8"?>
<ax:ocx xmlns:ax="http://schemas.microsoft.com/office/2006/activeX" xmlns:r="http://schemas.openxmlformats.org/officeDocument/2006/relationships" ax:classid="{8BD21D50-EC42-11CE-9E0D-00AA006002F3}" ax:persistence="persistStreamInit" r:id="rId1"/>
</file>

<file path=xl/activeX/activeX113.xml><?xml version="1.0" encoding="utf-8"?>
<ax:ocx xmlns:ax="http://schemas.microsoft.com/office/2006/activeX" xmlns:r="http://schemas.openxmlformats.org/officeDocument/2006/relationships" ax:classid="{8BD21D50-EC42-11CE-9E0D-00AA006002F3}" ax:persistence="persistStreamInit" r:id="rId1"/>
</file>

<file path=xl/activeX/activeX114.xml><?xml version="1.0" encoding="utf-8"?>
<ax:ocx xmlns:ax="http://schemas.microsoft.com/office/2006/activeX" xmlns:r="http://schemas.openxmlformats.org/officeDocument/2006/relationships" ax:classid="{8BD21D50-EC42-11CE-9E0D-00AA006002F3}" ax:persistence="persistStreamInit" r:id="rId1"/>
</file>

<file path=xl/activeX/activeX115.xml><?xml version="1.0" encoding="utf-8"?>
<ax:ocx xmlns:ax="http://schemas.microsoft.com/office/2006/activeX" xmlns:r="http://schemas.openxmlformats.org/officeDocument/2006/relationships" ax:classid="{8BD21D50-EC42-11CE-9E0D-00AA006002F3}" ax:persistence="persistStreamInit" r:id="rId1"/>
</file>

<file path=xl/activeX/activeX116.xml><?xml version="1.0" encoding="utf-8"?>
<ax:ocx xmlns:ax="http://schemas.microsoft.com/office/2006/activeX" xmlns:r="http://schemas.openxmlformats.org/officeDocument/2006/relationships" ax:classid="{8BD21D50-EC42-11CE-9E0D-00AA006002F3}" ax:persistence="persistStreamInit" r:id="rId1"/>
</file>

<file path=xl/activeX/activeX117.xml><?xml version="1.0" encoding="utf-8"?>
<ax:ocx xmlns:ax="http://schemas.microsoft.com/office/2006/activeX" xmlns:r="http://schemas.openxmlformats.org/officeDocument/2006/relationships" ax:classid="{8BD21D50-EC42-11CE-9E0D-00AA006002F3}" ax:persistence="persistStreamInit" r:id="rId1"/>
</file>

<file path=xl/activeX/activeX118.xml><?xml version="1.0" encoding="utf-8"?>
<ax:ocx xmlns:ax="http://schemas.microsoft.com/office/2006/activeX" xmlns:r="http://schemas.openxmlformats.org/officeDocument/2006/relationships" ax:classid="{8BD21D50-EC42-11CE-9E0D-00AA006002F3}" ax:persistence="persistStreamInit" r:id="rId1"/>
</file>

<file path=xl/activeX/activeX119.xml><?xml version="1.0" encoding="utf-8"?>
<ax:ocx xmlns:ax="http://schemas.microsoft.com/office/2006/activeX" xmlns:r="http://schemas.openxmlformats.org/officeDocument/2006/relationships" ax:classid="{8BD21D50-EC42-11CE-9E0D-00AA006002F3}" ax:persistence="persistStreamInit" r:id="rId1"/>
</file>

<file path=xl/activeX/activeX120.xml><?xml version="1.0" encoding="utf-8"?>
<ax:ocx xmlns:ax="http://schemas.microsoft.com/office/2006/activeX" xmlns:r="http://schemas.openxmlformats.org/officeDocument/2006/relationships" ax:classid="{8BD21D50-EC42-11CE-9E0D-00AA006002F3}" ax:persistence="persistStreamInit" r:id="rId1"/>
</file>

<file path=xl/activeX/activeX121.xml><?xml version="1.0" encoding="utf-8"?>
<ax:ocx xmlns:ax="http://schemas.microsoft.com/office/2006/activeX" xmlns:r="http://schemas.openxmlformats.org/officeDocument/2006/relationships" ax:classid="{8BD21D50-EC42-11CE-9E0D-00AA006002F3}" ax:persistence="persistStreamInit" r:id="rId1"/>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Indicator Charts'!$R$12</c:f>
          <c:strCache>
            <c:ptCount val="1"/>
            <c:pt idx="0">
              <c:v>: Performance Indicator: Non-revenue Water as Percent by Cost of Operating System (%)</c:v>
            </c:pt>
          </c:strCache>
        </c:strRef>
      </c:tx>
      <c:overlay val="0"/>
    </c:title>
    <c:autoTitleDeleted val="0"/>
    <c:plotArea>
      <c:layout>
        <c:manualLayout>
          <c:layoutTarget val="inner"/>
          <c:xMode val="edge"/>
          <c:yMode val="edge"/>
          <c:x val="8.7357001195214043E-2"/>
          <c:y val="0.10603057969749932"/>
          <c:w val="0.90286612722699056"/>
          <c:h val="0.75006264370465836"/>
        </c:manualLayout>
      </c:layout>
      <c:barChart>
        <c:barDir val="col"/>
        <c:grouping val="stacked"/>
        <c:varyColors val="0"/>
        <c:ser>
          <c:idx val="0"/>
          <c:order val="0"/>
          <c:tx>
            <c:strRef>
              <c:f>'Performance Indicator Charts'!$R$15</c:f>
              <c:strCache>
                <c:ptCount val="1"/>
                <c:pt idx="0">
                  <c:v>Performance Indicator: Non-revenue Water as Percent by Cost of Operating System (%)</c:v>
                </c:pt>
              </c:strCache>
            </c:strRef>
          </c:tx>
          <c:invertIfNegative val="0"/>
          <c:cat>
            <c:strRef>
              <c:f>'Performance Indicator Charts'!$Q$46:$Q$72</c:f>
              <c:strCache>
                <c:ptCount val="26"/>
                <c:pt idx="0">
                  <c:v>PWD</c:v>
                </c:pt>
                <c:pt idx="1">
                  <c:v>DCWATER</c:v>
                </c:pt>
                <c:pt idx="2">
                  <c:v>ABCWUA</c:v>
                </c:pt>
                <c:pt idx="3">
                  <c:v>CBW</c:v>
                </c:pt>
                <c:pt idx="4">
                  <c:v>WDPW</c:v>
                </c:pt>
                <c:pt idx="5">
                  <c:v>DUTIL</c:v>
                </c:pt>
                <c:pt idx="6">
                  <c:v>PAW</c:v>
                </c:pt>
                <c:pt idx="7">
                  <c:v>WCSA</c:v>
                </c:pt>
                <c:pt idx="8">
                  <c:v>LWCKY</c:v>
                </c:pt>
                <c:pt idx="9">
                  <c:v>SMW</c:v>
                </c:pt>
                <c:pt idx="10">
                  <c:v>BWWB</c:v>
                </c:pt>
                <c:pt idx="11">
                  <c:v>GCWW</c:v>
                </c:pt>
                <c:pt idx="12">
                  <c:v>BUD</c:v>
                </c:pt>
                <c:pt idx="13">
                  <c:v>WWU</c:v>
                </c:pt>
                <c:pt idx="14">
                  <c:v>WWAWC</c:v>
                </c:pt>
                <c:pt idx="15">
                  <c:v>CCWS</c:v>
                </c:pt>
                <c:pt idx="16">
                  <c:v>OCFL</c:v>
                </c:pt>
                <c:pt idx="17">
                  <c:v>RRW</c:v>
                </c:pt>
                <c:pt idx="18">
                  <c:v>AquaWSC</c:v>
                </c:pt>
                <c:pt idx="19">
                  <c:v>LVVWD</c:v>
                </c:pt>
                <c:pt idx="20">
                  <c:v>CW</c:v>
                </c:pt>
                <c:pt idx="21">
                  <c:v>JCW1</c:v>
                </c:pt>
                <c:pt idx="22">
                  <c:v>CCWSA</c:v>
                </c:pt>
                <c:pt idx="23">
                  <c:v>AW</c:v>
                </c:pt>
                <c:pt idx="24">
                  <c:v>UI</c:v>
                </c:pt>
                <c:pt idx="25">
                  <c:v>HRWC</c:v>
                </c:pt>
              </c:strCache>
            </c:strRef>
          </c:cat>
          <c:val>
            <c:numRef>
              <c:f>'Performance Indicator Charts'!$T$46:$T$72</c:f>
              <c:numCache>
                <c:formatCode>0.0%</c:formatCode>
                <c:ptCount val="27"/>
                <c:pt idx="0">
                  <c:v>0.2720345235354299</c:v>
                </c:pt>
                <c:pt idx="1">
                  <c:v>0.2232320531939431</c:v>
                </c:pt>
                <c:pt idx="2">
                  <c:v>0.18346885466641644</c:v>
                </c:pt>
                <c:pt idx="3">
                  <c:v>0.1731120987115381</c:v>
                </c:pt>
                <c:pt idx="4">
                  <c:v>0.15958772958150386</c:v>
                </c:pt>
                <c:pt idx="5">
                  <c:v>0.1568100244972947</c:v>
                </c:pt>
                <c:pt idx="6">
                  <c:v>0.13475518119316801</c:v>
                </c:pt>
                <c:pt idx="7">
                  <c:v>0.11828471081883732</c:v>
                </c:pt>
                <c:pt idx="8">
                  <c:v>0.1176989963162906</c:v>
                </c:pt>
                <c:pt idx="9">
                  <c:v>0.10343609730267948</c:v>
                </c:pt>
                <c:pt idx="10">
                  <c:v>8.0128098157713046E-2</c:v>
                </c:pt>
                <c:pt idx="11">
                  <c:v>7.4798189712390759E-2</c:v>
                </c:pt>
                <c:pt idx="12">
                  <c:v>7.3848877396193613E-2</c:v>
                </c:pt>
                <c:pt idx="13">
                  <c:v>6.8718418089471614E-2</c:v>
                </c:pt>
                <c:pt idx="14">
                  <c:v>6.4933928431488888E-2</c:v>
                </c:pt>
                <c:pt idx="15">
                  <c:v>6.0467068781965269E-2</c:v>
                </c:pt>
                <c:pt idx="16">
                  <c:v>5.8586832845270831E-2</c:v>
                </c:pt>
                <c:pt idx="17">
                  <c:v>3.9475060471348258E-2</c:v>
                </c:pt>
                <c:pt idx="18">
                  <c:v>3.7429608637880564E-2</c:v>
                </c:pt>
                <c:pt idx="19">
                  <c:v>3.5597814842702989E-2</c:v>
                </c:pt>
                <c:pt idx="20">
                  <c:v>3.5175922547414272E-2</c:v>
                </c:pt>
                <c:pt idx="21">
                  <c:v>3.4245432844083046E-2</c:v>
                </c:pt>
                <c:pt idx="22">
                  <c:v>3.1045186320174407E-2</c:v>
                </c:pt>
                <c:pt idx="23">
                  <c:v>3.0108773415079341E-2</c:v>
                </c:pt>
                <c:pt idx="24">
                  <c:v>2.4846517858067945E-2</c:v>
                </c:pt>
                <c:pt idx="25">
                  <c:v>1.8244232455823815E-2</c:v>
                </c:pt>
                <c:pt idx="26">
                  <c:v>0</c:v>
                </c:pt>
              </c:numCache>
            </c:numRef>
          </c:val>
          <c:extLst>
            <c:ext xmlns:c16="http://schemas.microsoft.com/office/drawing/2014/chart" uri="{C3380CC4-5D6E-409C-BE32-E72D297353CC}">
              <c16:uniqueId val="{00000000-A2E2-4DFA-B2EB-E412B8AD7F30}"/>
            </c:ext>
          </c:extLst>
        </c:ser>
        <c:ser>
          <c:idx val="1"/>
          <c:order val="1"/>
          <c:tx>
            <c:v>Utility Specific Column</c:v>
          </c:tx>
          <c:spPr>
            <a:solidFill>
              <a:srgbClr val="F79646"/>
            </a:solidFill>
          </c:spPr>
          <c:invertIfNegative val="0"/>
          <c:cat>
            <c:strRef>
              <c:f>'Performance Indicator Charts'!$Q$46:$Q$72</c:f>
              <c:strCache>
                <c:ptCount val="26"/>
                <c:pt idx="0">
                  <c:v>PWD</c:v>
                </c:pt>
                <c:pt idx="1">
                  <c:v>DCWATER</c:v>
                </c:pt>
                <c:pt idx="2">
                  <c:v>ABCWUA</c:v>
                </c:pt>
                <c:pt idx="3">
                  <c:v>CBW</c:v>
                </c:pt>
                <c:pt idx="4">
                  <c:v>WDPW</c:v>
                </c:pt>
                <c:pt idx="5">
                  <c:v>DUTIL</c:v>
                </c:pt>
                <c:pt idx="6">
                  <c:v>PAW</c:v>
                </c:pt>
                <c:pt idx="7">
                  <c:v>WCSA</c:v>
                </c:pt>
                <c:pt idx="8">
                  <c:v>LWCKY</c:v>
                </c:pt>
                <c:pt idx="9">
                  <c:v>SMW</c:v>
                </c:pt>
                <c:pt idx="10">
                  <c:v>BWWB</c:v>
                </c:pt>
                <c:pt idx="11">
                  <c:v>GCWW</c:v>
                </c:pt>
                <c:pt idx="12">
                  <c:v>BUD</c:v>
                </c:pt>
                <c:pt idx="13">
                  <c:v>WWU</c:v>
                </c:pt>
                <c:pt idx="14">
                  <c:v>WWAWC</c:v>
                </c:pt>
                <c:pt idx="15">
                  <c:v>CCWS</c:v>
                </c:pt>
                <c:pt idx="16">
                  <c:v>OCFL</c:v>
                </c:pt>
                <c:pt idx="17">
                  <c:v>RRW</c:v>
                </c:pt>
                <c:pt idx="18">
                  <c:v>AquaWSC</c:v>
                </c:pt>
                <c:pt idx="19">
                  <c:v>LVVWD</c:v>
                </c:pt>
                <c:pt idx="20">
                  <c:v>CW</c:v>
                </c:pt>
                <c:pt idx="21">
                  <c:v>JCW1</c:v>
                </c:pt>
                <c:pt idx="22">
                  <c:v>CCWSA</c:v>
                </c:pt>
                <c:pt idx="23">
                  <c:v>AW</c:v>
                </c:pt>
                <c:pt idx="24">
                  <c:v>UI</c:v>
                </c:pt>
                <c:pt idx="25">
                  <c:v>HRWC</c:v>
                </c:pt>
              </c:strCache>
            </c:strRef>
          </c:cat>
          <c:val>
            <c:numRef>
              <c:f>'Performance Indicator Charts'!$S$46:$S$72</c:f>
              <c:numCache>
                <c:formatCode>General</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1-A2E2-4DFA-B2EB-E412B8AD7F30}"/>
            </c:ext>
          </c:extLst>
        </c:ser>
        <c:dLbls>
          <c:showLegendKey val="0"/>
          <c:showVal val="0"/>
          <c:showCatName val="0"/>
          <c:showSerName val="0"/>
          <c:showPercent val="0"/>
          <c:showBubbleSize val="0"/>
        </c:dLbls>
        <c:gapWidth val="150"/>
        <c:overlap val="100"/>
        <c:axId val="276783920"/>
        <c:axId val="276785096"/>
      </c:barChart>
      <c:lineChart>
        <c:grouping val="standard"/>
        <c:varyColors val="0"/>
        <c:ser>
          <c:idx val="4"/>
          <c:order val="2"/>
          <c:tx>
            <c:strRef>
              <c:f>'Performance Indicator Charts'!$W$45</c:f>
              <c:strCache>
                <c:ptCount val="1"/>
                <c:pt idx="0">
                  <c:v>75th Percentile</c:v>
                </c:pt>
              </c:strCache>
            </c:strRef>
          </c:tx>
          <c:spPr>
            <a:ln w="38100">
              <a:prstDash val="dash"/>
            </a:ln>
          </c:spPr>
          <c:marker>
            <c:symbol val="none"/>
          </c:marker>
          <c:cat>
            <c:strRef>
              <c:f>'Performance Indicator Charts'!$Q$46:$Q$72</c:f>
              <c:strCache>
                <c:ptCount val="26"/>
                <c:pt idx="0">
                  <c:v>PWD</c:v>
                </c:pt>
                <c:pt idx="1">
                  <c:v>DCWATER</c:v>
                </c:pt>
                <c:pt idx="2">
                  <c:v>ABCWUA</c:v>
                </c:pt>
                <c:pt idx="3">
                  <c:v>CBW</c:v>
                </c:pt>
                <c:pt idx="4">
                  <c:v>WDPW</c:v>
                </c:pt>
                <c:pt idx="5">
                  <c:v>DUTIL</c:v>
                </c:pt>
                <c:pt idx="6">
                  <c:v>PAW</c:v>
                </c:pt>
                <c:pt idx="7">
                  <c:v>WCSA</c:v>
                </c:pt>
                <c:pt idx="8">
                  <c:v>LWCKY</c:v>
                </c:pt>
                <c:pt idx="9">
                  <c:v>SMW</c:v>
                </c:pt>
                <c:pt idx="10">
                  <c:v>BWWB</c:v>
                </c:pt>
                <c:pt idx="11">
                  <c:v>GCWW</c:v>
                </c:pt>
                <c:pt idx="12">
                  <c:v>BUD</c:v>
                </c:pt>
                <c:pt idx="13">
                  <c:v>WWU</c:v>
                </c:pt>
                <c:pt idx="14">
                  <c:v>WWAWC</c:v>
                </c:pt>
                <c:pt idx="15">
                  <c:v>CCWS</c:v>
                </c:pt>
                <c:pt idx="16">
                  <c:v>OCFL</c:v>
                </c:pt>
                <c:pt idx="17">
                  <c:v>RRW</c:v>
                </c:pt>
                <c:pt idx="18">
                  <c:v>AquaWSC</c:v>
                </c:pt>
                <c:pt idx="19">
                  <c:v>LVVWD</c:v>
                </c:pt>
                <c:pt idx="20">
                  <c:v>CW</c:v>
                </c:pt>
                <c:pt idx="21">
                  <c:v>JCW1</c:v>
                </c:pt>
                <c:pt idx="22">
                  <c:v>CCWSA</c:v>
                </c:pt>
                <c:pt idx="23">
                  <c:v>AW</c:v>
                </c:pt>
                <c:pt idx="24">
                  <c:v>UI</c:v>
                </c:pt>
                <c:pt idx="25">
                  <c:v>HRWC</c:v>
                </c:pt>
              </c:strCache>
            </c:strRef>
          </c:cat>
          <c:val>
            <c:numRef>
              <c:f>'Performance Indicator Charts'!$W$46:$W$72</c:f>
              <c:numCache>
                <c:formatCode>General</c:formatCode>
                <c:ptCount val="27"/>
                <c:pt idx="0">
                  <c:v>0.12651994600600266</c:v>
                </c:pt>
                <c:pt idx="1">
                  <c:v>0.12651994600600266</c:v>
                </c:pt>
                <c:pt idx="2">
                  <c:v>0.12651994600600266</c:v>
                </c:pt>
                <c:pt idx="3">
                  <c:v>0.12651994600600266</c:v>
                </c:pt>
                <c:pt idx="4">
                  <c:v>0.12651994600600266</c:v>
                </c:pt>
                <c:pt idx="5">
                  <c:v>0.12651994600600266</c:v>
                </c:pt>
                <c:pt idx="6">
                  <c:v>0.12651994600600266</c:v>
                </c:pt>
                <c:pt idx="7">
                  <c:v>0.12651994600600266</c:v>
                </c:pt>
                <c:pt idx="8">
                  <c:v>0.12651994600600266</c:v>
                </c:pt>
                <c:pt idx="9">
                  <c:v>0.12651994600600266</c:v>
                </c:pt>
                <c:pt idx="10">
                  <c:v>0.12651994600600266</c:v>
                </c:pt>
                <c:pt idx="11">
                  <c:v>0.12651994600600266</c:v>
                </c:pt>
                <c:pt idx="12">
                  <c:v>0.12651994600600266</c:v>
                </c:pt>
                <c:pt idx="13">
                  <c:v>0.12651994600600266</c:v>
                </c:pt>
                <c:pt idx="14">
                  <c:v>0.12651994600600266</c:v>
                </c:pt>
                <c:pt idx="15">
                  <c:v>0.12651994600600266</c:v>
                </c:pt>
                <c:pt idx="16">
                  <c:v>0.12651994600600266</c:v>
                </c:pt>
                <c:pt idx="17">
                  <c:v>0.12651994600600266</c:v>
                </c:pt>
                <c:pt idx="18">
                  <c:v>0.12651994600600266</c:v>
                </c:pt>
                <c:pt idx="19">
                  <c:v>0.12651994600600266</c:v>
                </c:pt>
                <c:pt idx="20">
                  <c:v>0.12651994600600266</c:v>
                </c:pt>
                <c:pt idx="21">
                  <c:v>0.12651994600600266</c:v>
                </c:pt>
                <c:pt idx="22">
                  <c:v>0.12651994600600266</c:v>
                </c:pt>
                <c:pt idx="23">
                  <c:v>0.12651994600600266</c:v>
                </c:pt>
                <c:pt idx="24">
                  <c:v>0.12651994600600266</c:v>
                </c:pt>
                <c:pt idx="25">
                  <c:v>0.12651994600600266</c:v>
                </c:pt>
                <c:pt idx="26">
                  <c:v>0.12651994600600266</c:v>
                </c:pt>
              </c:numCache>
            </c:numRef>
          </c:val>
          <c:smooth val="0"/>
          <c:extLst>
            <c:ext xmlns:c16="http://schemas.microsoft.com/office/drawing/2014/chart" uri="{C3380CC4-5D6E-409C-BE32-E72D297353CC}">
              <c16:uniqueId val="{00000002-A2E2-4DFA-B2EB-E412B8AD7F30}"/>
            </c:ext>
          </c:extLst>
        </c:ser>
        <c:ser>
          <c:idx val="3"/>
          <c:order val="3"/>
          <c:tx>
            <c:strRef>
              <c:f>'Performance Indicator Charts'!$V$45</c:f>
              <c:strCache>
                <c:ptCount val="1"/>
                <c:pt idx="0">
                  <c:v>50th Percentile</c:v>
                </c:pt>
              </c:strCache>
            </c:strRef>
          </c:tx>
          <c:spPr>
            <a:ln w="38100">
              <a:prstDash val="dash"/>
            </a:ln>
          </c:spPr>
          <c:marker>
            <c:symbol val="none"/>
          </c:marker>
          <c:cat>
            <c:strRef>
              <c:f>'Performance Indicator Charts'!$Q$46:$Q$72</c:f>
              <c:strCache>
                <c:ptCount val="26"/>
                <c:pt idx="0">
                  <c:v>PWD</c:v>
                </c:pt>
                <c:pt idx="1">
                  <c:v>DCWATER</c:v>
                </c:pt>
                <c:pt idx="2">
                  <c:v>ABCWUA</c:v>
                </c:pt>
                <c:pt idx="3">
                  <c:v>CBW</c:v>
                </c:pt>
                <c:pt idx="4">
                  <c:v>WDPW</c:v>
                </c:pt>
                <c:pt idx="5">
                  <c:v>DUTIL</c:v>
                </c:pt>
                <c:pt idx="6">
                  <c:v>PAW</c:v>
                </c:pt>
                <c:pt idx="7">
                  <c:v>WCSA</c:v>
                </c:pt>
                <c:pt idx="8">
                  <c:v>LWCKY</c:v>
                </c:pt>
                <c:pt idx="9">
                  <c:v>SMW</c:v>
                </c:pt>
                <c:pt idx="10">
                  <c:v>BWWB</c:v>
                </c:pt>
                <c:pt idx="11">
                  <c:v>GCWW</c:v>
                </c:pt>
                <c:pt idx="12">
                  <c:v>BUD</c:v>
                </c:pt>
                <c:pt idx="13">
                  <c:v>WWU</c:v>
                </c:pt>
                <c:pt idx="14">
                  <c:v>WWAWC</c:v>
                </c:pt>
                <c:pt idx="15">
                  <c:v>CCWS</c:v>
                </c:pt>
                <c:pt idx="16">
                  <c:v>OCFL</c:v>
                </c:pt>
                <c:pt idx="17">
                  <c:v>RRW</c:v>
                </c:pt>
                <c:pt idx="18">
                  <c:v>AquaWSC</c:v>
                </c:pt>
                <c:pt idx="19">
                  <c:v>LVVWD</c:v>
                </c:pt>
                <c:pt idx="20">
                  <c:v>CW</c:v>
                </c:pt>
                <c:pt idx="21">
                  <c:v>JCW1</c:v>
                </c:pt>
                <c:pt idx="22">
                  <c:v>CCWSA</c:v>
                </c:pt>
                <c:pt idx="23">
                  <c:v>AW</c:v>
                </c:pt>
                <c:pt idx="24">
                  <c:v>UI</c:v>
                </c:pt>
                <c:pt idx="25">
                  <c:v>HRWC</c:v>
                </c:pt>
              </c:strCache>
            </c:strRef>
          </c:cat>
          <c:val>
            <c:numRef>
              <c:f>'Performance Indicator Charts'!$V$46:$V$72</c:f>
              <c:numCache>
                <c:formatCode>General</c:formatCode>
                <c:ptCount val="27"/>
                <c:pt idx="0">
                  <c:v>6.6826173260480251E-2</c:v>
                </c:pt>
                <c:pt idx="1">
                  <c:v>6.6826173260480251E-2</c:v>
                </c:pt>
                <c:pt idx="2">
                  <c:v>6.6826173260480251E-2</c:v>
                </c:pt>
                <c:pt idx="3">
                  <c:v>6.6826173260480251E-2</c:v>
                </c:pt>
                <c:pt idx="4">
                  <c:v>6.6826173260480251E-2</c:v>
                </c:pt>
                <c:pt idx="5">
                  <c:v>6.6826173260480251E-2</c:v>
                </c:pt>
                <c:pt idx="6">
                  <c:v>6.6826173260480251E-2</c:v>
                </c:pt>
                <c:pt idx="7">
                  <c:v>6.6826173260480251E-2</c:v>
                </c:pt>
                <c:pt idx="8">
                  <c:v>6.6826173260480251E-2</c:v>
                </c:pt>
                <c:pt idx="9">
                  <c:v>6.6826173260480251E-2</c:v>
                </c:pt>
                <c:pt idx="10">
                  <c:v>6.6826173260480251E-2</c:v>
                </c:pt>
                <c:pt idx="11">
                  <c:v>6.6826173260480251E-2</c:v>
                </c:pt>
                <c:pt idx="12">
                  <c:v>6.6826173260480251E-2</c:v>
                </c:pt>
                <c:pt idx="13">
                  <c:v>6.6826173260480251E-2</c:v>
                </c:pt>
                <c:pt idx="14">
                  <c:v>6.6826173260480251E-2</c:v>
                </c:pt>
                <c:pt idx="15">
                  <c:v>6.6826173260480251E-2</c:v>
                </c:pt>
                <c:pt idx="16">
                  <c:v>6.6826173260480251E-2</c:v>
                </c:pt>
                <c:pt idx="17">
                  <c:v>6.6826173260480251E-2</c:v>
                </c:pt>
                <c:pt idx="18">
                  <c:v>6.6826173260480251E-2</c:v>
                </c:pt>
                <c:pt idx="19">
                  <c:v>6.6826173260480251E-2</c:v>
                </c:pt>
                <c:pt idx="20">
                  <c:v>6.6826173260480251E-2</c:v>
                </c:pt>
                <c:pt idx="21">
                  <c:v>6.6826173260480251E-2</c:v>
                </c:pt>
                <c:pt idx="22">
                  <c:v>6.6826173260480251E-2</c:v>
                </c:pt>
                <c:pt idx="23">
                  <c:v>6.6826173260480251E-2</c:v>
                </c:pt>
                <c:pt idx="24">
                  <c:v>6.6826173260480251E-2</c:v>
                </c:pt>
                <c:pt idx="25">
                  <c:v>6.6826173260480251E-2</c:v>
                </c:pt>
                <c:pt idx="26">
                  <c:v>6.6826173260480251E-2</c:v>
                </c:pt>
              </c:numCache>
            </c:numRef>
          </c:val>
          <c:smooth val="0"/>
          <c:extLst>
            <c:ext xmlns:c16="http://schemas.microsoft.com/office/drawing/2014/chart" uri="{C3380CC4-5D6E-409C-BE32-E72D297353CC}">
              <c16:uniqueId val="{00000003-A2E2-4DFA-B2EB-E412B8AD7F30}"/>
            </c:ext>
          </c:extLst>
        </c:ser>
        <c:ser>
          <c:idx val="2"/>
          <c:order val="4"/>
          <c:tx>
            <c:strRef>
              <c:f>'Performance Indicator Charts'!$U$45</c:f>
              <c:strCache>
                <c:ptCount val="1"/>
                <c:pt idx="0">
                  <c:v>25th Percentile</c:v>
                </c:pt>
              </c:strCache>
            </c:strRef>
          </c:tx>
          <c:spPr>
            <a:ln w="38100">
              <a:prstDash val="dash"/>
            </a:ln>
          </c:spPr>
          <c:marker>
            <c:symbol val="none"/>
          </c:marker>
          <c:cat>
            <c:strRef>
              <c:f>'Performance Indicator Charts'!$Q$46:$Q$72</c:f>
              <c:strCache>
                <c:ptCount val="26"/>
                <c:pt idx="0">
                  <c:v>PWD</c:v>
                </c:pt>
                <c:pt idx="1">
                  <c:v>DCWATER</c:v>
                </c:pt>
                <c:pt idx="2">
                  <c:v>ABCWUA</c:v>
                </c:pt>
                <c:pt idx="3">
                  <c:v>CBW</c:v>
                </c:pt>
                <c:pt idx="4">
                  <c:v>WDPW</c:v>
                </c:pt>
                <c:pt idx="5">
                  <c:v>DUTIL</c:v>
                </c:pt>
                <c:pt idx="6">
                  <c:v>PAW</c:v>
                </c:pt>
                <c:pt idx="7">
                  <c:v>WCSA</c:v>
                </c:pt>
                <c:pt idx="8">
                  <c:v>LWCKY</c:v>
                </c:pt>
                <c:pt idx="9">
                  <c:v>SMW</c:v>
                </c:pt>
                <c:pt idx="10">
                  <c:v>BWWB</c:v>
                </c:pt>
                <c:pt idx="11">
                  <c:v>GCWW</c:v>
                </c:pt>
                <c:pt idx="12">
                  <c:v>BUD</c:v>
                </c:pt>
                <c:pt idx="13">
                  <c:v>WWU</c:v>
                </c:pt>
                <c:pt idx="14">
                  <c:v>WWAWC</c:v>
                </c:pt>
                <c:pt idx="15">
                  <c:v>CCWS</c:v>
                </c:pt>
                <c:pt idx="16">
                  <c:v>OCFL</c:v>
                </c:pt>
                <c:pt idx="17">
                  <c:v>RRW</c:v>
                </c:pt>
                <c:pt idx="18">
                  <c:v>AquaWSC</c:v>
                </c:pt>
                <c:pt idx="19">
                  <c:v>LVVWD</c:v>
                </c:pt>
                <c:pt idx="20">
                  <c:v>CW</c:v>
                </c:pt>
                <c:pt idx="21">
                  <c:v>JCW1</c:v>
                </c:pt>
                <c:pt idx="22">
                  <c:v>CCWSA</c:v>
                </c:pt>
                <c:pt idx="23">
                  <c:v>AW</c:v>
                </c:pt>
                <c:pt idx="24">
                  <c:v>UI</c:v>
                </c:pt>
                <c:pt idx="25">
                  <c:v>HRWC</c:v>
                </c:pt>
              </c:strCache>
            </c:strRef>
          </c:cat>
          <c:val>
            <c:numRef>
              <c:f>'Performance Indicator Charts'!$U$46:$U$72</c:f>
              <c:numCache>
                <c:formatCode>General</c:formatCode>
                <c:ptCount val="27"/>
                <c:pt idx="0">
                  <c:v>3.5597814842702989E-2</c:v>
                </c:pt>
                <c:pt idx="1">
                  <c:v>3.5597814842702989E-2</c:v>
                </c:pt>
                <c:pt idx="2">
                  <c:v>3.5597814842702989E-2</c:v>
                </c:pt>
                <c:pt idx="3">
                  <c:v>3.5597814842702989E-2</c:v>
                </c:pt>
                <c:pt idx="4">
                  <c:v>3.5597814842702989E-2</c:v>
                </c:pt>
                <c:pt idx="5">
                  <c:v>3.5597814842702989E-2</c:v>
                </c:pt>
                <c:pt idx="6">
                  <c:v>3.5597814842702989E-2</c:v>
                </c:pt>
                <c:pt idx="7">
                  <c:v>3.5597814842702989E-2</c:v>
                </c:pt>
                <c:pt idx="8">
                  <c:v>3.5597814842702989E-2</c:v>
                </c:pt>
                <c:pt idx="9">
                  <c:v>3.5597814842702989E-2</c:v>
                </c:pt>
                <c:pt idx="10">
                  <c:v>3.5597814842702989E-2</c:v>
                </c:pt>
                <c:pt idx="11">
                  <c:v>3.5597814842702989E-2</c:v>
                </c:pt>
                <c:pt idx="12">
                  <c:v>3.5597814842702989E-2</c:v>
                </c:pt>
                <c:pt idx="13">
                  <c:v>3.5597814842702989E-2</c:v>
                </c:pt>
                <c:pt idx="14">
                  <c:v>3.5597814842702989E-2</c:v>
                </c:pt>
                <c:pt idx="15">
                  <c:v>3.5597814842702989E-2</c:v>
                </c:pt>
                <c:pt idx="16">
                  <c:v>3.5597814842702989E-2</c:v>
                </c:pt>
                <c:pt idx="17">
                  <c:v>3.5597814842702989E-2</c:v>
                </c:pt>
                <c:pt idx="18">
                  <c:v>3.5597814842702989E-2</c:v>
                </c:pt>
                <c:pt idx="19">
                  <c:v>3.5597814842702989E-2</c:v>
                </c:pt>
                <c:pt idx="20">
                  <c:v>3.5597814842702989E-2</c:v>
                </c:pt>
                <c:pt idx="21">
                  <c:v>3.5597814842702989E-2</c:v>
                </c:pt>
                <c:pt idx="22">
                  <c:v>3.5597814842702989E-2</c:v>
                </c:pt>
                <c:pt idx="23">
                  <c:v>3.5597814842702989E-2</c:v>
                </c:pt>
                <c:pt idx="24">
                  <c:v>3.5597814842702989E-2</c:v>
                </c:pt>
                <c:pt idx="25">
                  <c:v>3.5597814842702989E-2</c:v>
                </c:pt>
                <c:pt idx="26">
                  <c:v>3.5597814842702989E-2</c:v>
                </c:pt>
              </c:numCache>
            </c:numRef>
          </c:val>
          <c:smooth val="0"/>
          <c:extLst>
            <c:ext xmlns:c16="http://schemas.microsoft.com/office/drawing/2014/chart" uri="{C3380CC4-5D6E-409C-BE32-E72D297353CC}">
              <c16:uniqueId val="{00000004-A2E2-4DFA-B2EB-E412B8AD7F30}"/>
            </c:ext>
          </c:extLst>
        </c:ser>
        <c:dLbls>
          <c:showLegendKey val="0"/>
          <c:showVal val="0"/>
          <c:showCatName val="0"/>
          <c:showSerName val="0"/>
          <c:showPercent val="0"/>
          <c:showBubbleSize val="0"/>
        </c:dLbls>
        <c:marker val="1"/>
        <c:smooth val="0"/>
        <c:axId val="276783920"/>
        <c:axId val="276785096"/>
      </c:lineChart>
      <c:catAx>
        <c:axId val="276783920"/>
        <c:scaling>
          <c:orientation val="minMax"/>
        </c:scaling>
        <c:delete val="0"/>
        <c:axPos val="b"/>
        <c:numFmt formatCode="General" sourceLinked="1"/>
        <c:majorTickMark val="out"/>
        <c:minorTickMark val="none"/>
        <c:tickLblPos val="nextTo"/>
        <c:txPr>
          <a:bodyPr rot="-3600000" vert="horz"/>
          <a:lstStyle/>
          <a:p>
            <a:pPr>
              <a:defRPr/>
            </a:pPr>
            <a:endParaRPr lang="en-US"/>
          </a:p>
        </c:txPr>
        <c:crossAx val="276785096"/>
        <c:crosses val="autoZero"/>
        <c:auto val="1"/>
        <c:lblAlgn val="ctr"/>
        <c:lblOffset val="100"/>
        <c:noMultiLvlLbl val="0"/>
      </c:catAx>
      <c:valAx>
        <c:axId val="276785096"/>
        <c:scaling>
          <c:orientation val="minMax"/>
        </c:scaling>
        <c:delete val="0"/>
        <c:axPos val="l"/>
        <c:majorGridlines/>
        <c:title>
          <c:tx>
            <c:strRef>
              <c:f>'Performance Indicator Charts'!$R$44</c:f>
              <c:strCache>
                <c:ptCount val="1"/>
                <c:pt idx="0">
                  <c:v>Performance Indicator: Non-revenue Water as Percent by Cost of Operating System (%)</c:v>
                </c:pt>
              </c:strCache>
            </c:strRef>
          </c:tx>
          <c:layout>
            <c:manualLayout>
              <c:xMode val="edge"/>
              <c:yMode val="edge"/>
              <c:x val="1.0679934111278112E-2"/>
              <c:y val="0.256824922017726"/>
            </c:manualLayout>
          </c:layout>
          <c:overlay val="0"/>
        </c:title>
        <c:numFmt formatCode="0.0%" sourceLinked="1"/>
        <c:majorTickMark val="out"/>
        <c:minorTickMark val="none"/>
        <c:tickLblPos val="nextTo"/>
        <c:crossAx val="276783920"/>
        <c:crosses val="autoZero"/>
        <c:crossBetween val="between"/>
      </c:valAx>
    </c:plotArea>
    <c:legend>
      <c:legendPos val="r"/>
      <c:legendEntry>
        <c:idx val="0"/>
        <c:delete val="1"/>
      </c:legendEntry>
      <c:legendEntry>
        <c:idx val="1"/>
        <c:delete val="1"/>
      </c:legendEntry>
      <c:legendEntry>
        <c:idx val="2"/>
        <c:txPr>
          <a:bodyPr/>
          <a:lstStyle/>
          <a:p>
            <a:pPr>
              <a:defRPr sz="1200"/>
            </a:pPr>
            <a:endParaRPr lang="en-US"/>
          </a:p>
        </c:txPr>
      </c:legendEntry>
      <c:legendEntry>
        <c:idx val="3"/>
        <c:txPr>
          <a:bodyPr/>
          <a:lstStyle/>
          <a:p>
            <a:pPr>
              <a:defRPr sz="1200"/>
            </a:pPr>
            <a:endParaRPr lang="en-US"/>
          </a:p>
        </c:txPr>
      </c:legendEntry>
      <c:legendEntry>
        <c:idx val="4"/>
        <c:txPr>
          <a:bodyPr/>
          <a:lstStyle/>
          <a:p>
            <a:pPr>
              <a:defRPr sz="1200"/>
            </a:pPr>
            <a:endParaRPr lang="en-US"/>
          </a:p>
        </c:txPr>
      </c:legendEntry>
      <c:layout>
        <c:manualLayout>
          <c:xMode val="edge"/>
          <c:yMode val="edge"/>
          <c:x val="0.83877411041210481"/>
          <c:y val="0.1062937760937947"/>
          <c:w val="0.15010558452380429"/>
          <c:h val="9.5996396115314728E-2"/>
        </c:manualLayout>
      </c:layout>
      <c:overlay val="1"/>
      <c:spPr>
        <a:solidFill>
          <a:schemeClr val="bg1"/>
        </a:solidFill>
        <a:ln>
          <a:solidFill>
            <a:schemeClr val="bg1">
              <a:lumMod val="50000"/>
            </a:schemeClr>
          </a:solidFill>
        </a:ln>
      </c:spPr>
    </c:legend>
    <c:plotVisOnly val="0"/>
    <c:dispBlanksAs val="gap"/>
    <c:showDLblsOverMax val="0"/>
  </c:chart>
  <c:txPr>
    <a:bodyPr/>
    <a:lstStyle/>
    <a:p>
      <a:pPr>
        <a:defRPr normalizeH="0" baseline="0">
          <a:latin typeface="Swis721 BT" pitchFamily="34" charset="0"/>
        </a:defRPr>
      </a:pPr>
      <a:endParaRPr lang="en-US"/>
    </a:p>
  </c:txPr>
  <c:printSettings>
    <c:headerFooter/>
    <c:pageMargins b="0.75000000000001465" l="0.70000000000000162" r="0.700000000000001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Real Loss Components</a:t>
            </a:r>
          </a:p>
        </c:rich>
      </c:tx>
      <c:overlay val="0"/>
    </c:title>
    <c:autoTitleDeleted val="0"/>
    <c:plotArea>
      <c:layout>
        <c:manualLayout>
          <c:layoutTarget val="inner"/>
          <c:xMode val="edge"/>
          <c:yMode val="edge"/>
          <c:x val="2.038796524223984E-2"/>
          <c:y val="0.16355684951145821"/>
          <c:w val="0.93574420816847392"/>
          <c:h val="0.82820334966553744"/>
        </c:manualLayout>
      </c:layout>
      <c:ofPieChart>
        <c:ofPieType val="bar"/>
        <c:varyColors val="1"/>
        <c:ser>
          <c:idx val="0"/>
          <c:order val="0"/>
          <c:tx>
            <c:strRef>
              <c:f>'Real Loss Components Chart'!$W$8</c:f>
              <c:strCache>
                <c:ptCount val="1"/>
                <c:pt idx="0">
                  <c:v>Real Loss Component</c:v>
                </c:pt>
              </c:strCache>
            </c:strRef>
          </c:tx>
          <c:dLbls>
            <c:dLbl>
              <c:idx val="1"/>
              <c:layout>
                <c:manualLayout>
                  <c:x val="9.5727833981201649E-3"/>
                  <c:y val="-3.1221813787681692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B3-4A0F-8611-A37338FC263E}"/>
                </c:ext>
              </c:extLst>
            </c:dLbl>
            <c:dLbl>
              <c:idx val="2"/>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0B3-4A0F-8611-A37338FC263E}"/>
                </c:ext>
              </c:extLst>
            </c:dLbl>
            <c:dLbl>
              <c:idx val="3"/>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0B3-4A0F-8611-A37338FC263E}"/>
                </c:ext>
              </c:extLst>
            </c:dLbl>
            <c:dLbl>
              <c:idx val="4"/>
              <c:delete val="1"/>
              <c:extLst>
                <c:ext xmlns:c15="http://schemas.microsoft.com/office/drawing/2012/chart" uri="{CE6537A1-D6FC-4f65-9D91-7224C49458BB}"/>
                <c:ext xmlns:c16="http://schemas.microsoft.com/office/drawing/2014/chart" uri="{C3380CC4-5D6E-409C-BE32-E72D297353CC}">
                  <c16:uniqueId val="{00000003-60B3-4A0F-8611-A37338FC263E}"/>
                </c:ext>
              </c:extLst>
            </c:dLbl>
            <c:spPr>
              <a:noFill/>
              <a:ln>
                <a:noFill/>
              </a:ln>
              <a:effectLst/>
            </c:spPr>
            <c:dLblPos val="bestFit"/>
            <c:showLegendKey val="0"/>
            <c:showVal val="1"/>
            <c:showCatName val="1"/>
            <c:showSerName val="0"/>
            <c:showPercent val="0"/>
            <c:showBubbleSize val="0"/>
            <c:showLeaderLines val="1"/>
            <c:extLst>
              <c:ext xmlns:c15="http://schemas.microsoft.com/office/drawing/2012/chart" uri="{CE6537A1-D6FC-4f65-9D91-7224C49458BB}"/>
            </c:extLst>
          </c:dLbls>
          <c:cat>
            <c:strRef>
              <c:f>'Real Loss Components Chart'!$W$9:$W$10</c:f>
              <c:strCache>
                <c:ptCount val="2"/>
                <c:pt idx="0">
                  <c:v>Background Leakage</c:v>
                </c:pt>
                <c:pt idx="1">
                  <c:v>Reported Failures</c:v>
                </c:pt>
              </c:strCache>
            </c:strRef>
          </c:cat>
          <c:val>
            <c:numRef>
              <c:f>'Real Loss Components Chart'!$Z$9:$Z$12</c:f>
              <c:numCache>
                <c:formatCode>0.0%</c:formatCode>
                <c:ptCount val="4"/>
                <c:pt idx="0">
                  <c:v>0</c:v>
                </c:pt>
                <c:pt idx="1">
                  <c:v>0</c:v>
                </c:pt>
                <c:pt idx="2">
                  <c:v>0</c:v>
                </c:pt>
                <c:pt idx="3">
                  <c:v>0</c:v>
                </c:pt>
              </c:numCache>
            </c:numRef>
          </c:val>
          <c:extLst>
            <c:ext xmlns:c16="http://schemas.microsoft.com/office/drawing/2014/chart" uri="{C3380CC4-5D6E-409C-BE32-E72D297353CC}">
              <c16:uniqueId val="{00000004-60B3-4A0F-8611-A37338FC263E}"/>
            </c:ext>
          </c:extLst>
        </c:ser>
        <c:dLbls>
          <c:showLegendKey val="0"/>
          <c:showVal val="1"/>
          <c:showCatName val="0"/>
          <c:showSerName val="0"/>
          <c:showPercent val="0"/>
          <c:showBubbleSize val="0"/>
          <c:showLeaderLines val="1"/>
        </c:dLbls>
        <c:gapWidth val="100"/>
        <c:secondPieSize val="75"/>
        <c:serLines/>
      </c:ofPieChart>
    </c:plotArea>
    <c:plotVisOnly val="0"/>
    <c:dispBlanksAs val="zero"/>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'Failure Frequency Analysis'!$O$10</c:f>
          <c:strCache>
            <c:ptCount val="1"/>
            <c:pt idx="0">
              <c:v>Mains Failure Frequency Comparison</c:v>
            </c:pt>
          </c:strCache>
        </c:strRef>
      </c:tx>
      <c:layout>
        <c:manualLayout>
          <c:xMode val="edge"/>
          <c:yMode val="edge"/>
          <c:x val="0.21138123172405096"/>
          <c:y val="0"/>
        </c:manualLayout>
      </c:layout>
      <c:overlay val="1"/>
    </c:title>
    <c:autoTitleDeleted val="0"/>
    <c:plotArea>
      <c:layout>
        <c:manualLayout>
          <c:layoutTarget val="inner"/>
          <c:xMode val="edge"/>
          <c:yMode val="edge"/>
          <c:x val="9.1610179672079545E-2"/>
          <c:y val="0.13522636165162921"/>
          <c:w val="0.78347628556380622"/>
          <c:h val="0.56013695469152502"/>
        </c:manualLayout>
      </c:layout>
      <c:barChart>
        <c:barDir val="col"/>
        <c:grouping val="clustered"/>
        <c:varyColors val="0"/>
        <c:ser>
          <c:idx val="0"/>
          <c:order val="0"/>
          <c:spPr>
            <a:solidFill>
              <a:schemeClr val="accent1"/>
            </a:solidFill>
          </c:spPr>
          <c:invertIfNegative val="0"/>
          <c:dPt>
            <c:idx val="0"/>
            <c:invertIfNegative val="0"/>
            <c:bubble3D val="0"/>
            <c:spPr>
              <a:solidFill>
                <a:schemeClr val="accent6"/>
              </a:solidFill>
            </c:spPr>
            <c:extLst>
              <c:ext xmlns:c16="http://schemas.microsoft.com/office/drawing/2014/chart" uri="{C3380CC4-5D6E-409C-BE32-E72D297353CC}">
                <c16:uniqueId val="{00000001-1D25-41AA-8069-91FC90F2369E}"/>
              </c:ext>
            </c:extLst>
          </c:dPt>
          <c:cat>
            <c:strRef>
              <c:f>'Failure Frequency Analysis'!$B$9:$B$11</c:f>
              <c:strCache>
                <c:ptCount val="3"/>
                <c:pt idx="0">
                  <c:v>Failure Frequency </c:v>
                </c:pt>
                <c:pt idx="1">
                  <c:v>Average Failure Frequency in North America Based on Literature Review - WaterRF 4372</c:v>
                </c:pt>
                <c:pt idx="2">
                  <c:v>Failure Frequency for Optimized Distribution Systems (Friedman 2010)</c:v>
                </c:pt>
              </c:strCache>
            </c:strRef>
          </c:cat>
          <c:val>
            <c:numRef>
              <c:f>'Failure Frequency Analysis'!$C$9:$C$11</c:f>
              <c:numCache>
                <c:formatCode>#,##0.0;\-* #,##0.0;_-* "-"??_-;_-@_-</c:formatCode>
                <c:ptCount val="3"/>
                <c:pt idx="0">
                  <c:v>0</c:v>
                </c:pt>
                <c:pt idx="1">
                  <c:v>25</c:v>
                </c:pt>
                <c:pt idx="2">
                  <c:v>15</c:v>
                </c:pt>
              </c:numCache>
            </c:numRef>
          </c:val>
          <c:extLst>
            <c:ext xmlns:c16="http://schemas.microsoft.com/office/drawing/2014/chart" uri="{C3380CC4-5D6E-409C-BE32-E72D297353CC}">
              <c16:uniqueId val="{00000002-1D25-41AA-8069-91FC90F2369E}"/>
            </c:ext>
          </c:extLst>
        </c:ser>
        <c:dLbls>
          <c:showLegendKey val="0"/>
          <c:showVal val="0"/>
          <c:showCatName val="0"/>
          <c:showSerName val="0"/>
          <c:showPercent val="0"/>
          <c:showBubbleSize val="0"/>
        </c:dLbls>
        <c:gapWidth val="150"/>
        <c:axId val="362486048"/>
        <c:axId val="362480168"/>
      </c:barChart>
      <c:catAx>
        <c:axId val="362486048"/>
        <c:scaling>
          <c:orientation val="minMax"/>
        </c:scaling>
        <c:delete val="0"/>
        <c:axPos val="b"/>
        <c:numFmt formatCode="General" sourceLinked="0"/>
        <c:majorTickMark val="out"/>
        <c:minorTickMark val="none"/>
        <c:tickLblPos val="nextTo"/>
        <c:crossAx val="362480168"/>
        <c:crosses val="autoZero"/>
        <c:auto val="1"/>
        <c:lblAlgn val="ctr"/>
        <c:lblOffset val="100"/>
        <c:noMultiLvlLbl val="0"/>
      </c:catAx>
      <c:valAx>
        <c:axId val="362480168"/>
        <c:scaling>
          <c:orientation val="minMax"/>
          <c:min val="0"/>
        </c:scaling>
        <c:delete val="0"/>
        <c:axPos val="l"/>
        <c:majorGridlines/>
        <c:title>
          <c:tx>
            <c:strRef>
              <c:f>'Failure Frequency Analysis'!$O$13</c:f>
              <c:strCache>
                <c:ptCount val="1"/>
                <c:pt idx="0">
                  <c:v>(number / 100miles / yr)</c:v>
                </c:pt>
              </c:strCache>
            </c:strRef>
          </c:tx>
          <c:layout>
            <c:manualLayout>
              <c:xMode val="edge"/>
              <c:yMode val="edge"/>
              <c:x val="7.490053486839769E-3"/>
              <c:y val="0.18798415466880064"/>
            </c:manualLayout>
          </c:layout>
          <c:overlay val="0"/>
          <c:txPr>
            <a:bodyPr rot="-5400000" vert="horz"/>
            <a:lstStyle/>
            <a:p>
              <a:pPr>
                <a:defRPr/>
              </a:pPr>
              <a:endParaRPr lang="en-US"/>
            </a:p>
          </c:txPr>
        </c:title>
        <c:numFmt formatCode="#,##0.0;\-* #,##0.0;_-* &quot;-&quot;??_-;_-@_-" sourceLinked="1"/>
        <c:majorTickMark val="out"/>
        <c:minorTickMark val="none"/>
        <c:tickLblPos val="nextTo"/>
        <c:crossAx val="362486048"/>
        <c:crosses val="autoZero"/>
        <c:crossBetween val="between"/>
      </c:valAx>
    </c:plotArea>
    <c:plotVisOnly val="1"/>
    <c:dispBlanksAs val="gap"/>
    <c:showDLblsOverMax val="0"/>
  </c:chart>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'Failure Frequency Analysis'!$O$18</c:f>
          <c:strCache>
            <c:ptCount val="1"/>
            <c:pt idx="0">
              <c:v>Service Connection Failure Frequency Comparison</c:v>
            </c:pt>
          </c:strCache>
        </c:strRef>
      </c:tx>
      <c:layout>
        <c:manualLayout>
          <c:xMode val="edge"/>
          <c:yMode val="edge"/>
          <c:x val="0.22244833710984288"/>
          <c:y val="1.1944446099041101E-2"/>
        </c:manualLayout>
      </c:layout>
      <c:overlay val="1"/>
    </c:title>
    <c:autoTitleDeleted val="0"/>
    <c:plotArea>
      <c:layout>
        <c:manualLayout>
          <c:layoutTarget val="inner"/>
          <c:xMode val="edge"/>
          <c:yMode val="edge"/>
          <c:x val="7.8698457385767001E-2"/>
          <c:y val="0.11744995794363663"/>
          <c:w val="0.81625669732326622"/>
          <c:h val="0.57155648045763219"/>
        </c:manualLayout>
      </c:layout>
      <c:barChart>
        <c:barDir val="col"/>
        <c:grouping val="clustered"/>
        <c:varyColors val="0"/>
        <c:ser>
          <c:idx val="0"/>
          <c:order val="0"/>
          <c:spPr>
            <a:solidFill>
              <a:schemeClr val="accent6"/>
            </a:solidFill>
          </c:spPr>
          <c:invertIfNegative val="0"/>
          <c:dPt>
            <c:idx val="1"/>
            <c:invertIfNegative val="0"/>
            <c:bubble3D val="0"/>
            <c:spPr>
              <a:solidFill>
                <a:schemeClr val="accent1"/>
              </a:solidFill>
            </c:spPr>
            <c:extLst>
              <c:ext xmlns:c16="http://schemas.microsoft.com/office/drawing/2014/chart" uri="{C3380CC4-5D6E-409C-BE32-E72D297353CC}">
                <c16:uniqueId val="{00000001-34AC-4241-9EC2-91C66A0CC9FA}"/>
              </c:ext>
            </c:extLst>
          </c:dPt>
          <c:cat>
            <c:strRef>
              <c:f>'Failure Frequency Analysis'!$G$9:$G$10</c:f>
              <c:strCache>
                <c:ptCount val="2"/>
                <c:pt idx="0">
                  <c:v>Service Connection Failure Frequency </c:v>
                </c:pt>
                <c:pt idx="1">
                  <c:v>AWWA Unavoidable Annual Real Losses (UARL) Component of Reported Service Line Failures</c:v>
                </c:pt>
              </c:strCache>
            </c:strRef>
          </c:cat>
          <c:val>
            <c:numRef>
              <c:f>'Failure Frequency Analysis'!$H$9:$H$10</c:f>
              <c:numCache>
                <c:formatCode>#,##0.00;\-* #,##0.00;_-* "-"??_-;_-@_-</c:formatCode>
                <c:ptCount val="2"/>
                <c:pt idx="0" formatCode="#,##0.0;\-* #,##0.0;_-* &quot;-&quot;??_-;_-@_-">
                  <c:v>0</c:v>
                </c:pt>
                <c:pt idx="1">
                  <c:v>2.25</c:v>
                </c:pt>
              </c:numCache>
            </c:numRef>
          </c:val>
          <c:extLst>
            <c:ext xmlns:c16="http://schemas.microsoft.com/office/drawing/2014/chart" uri="{C3380CC4-5D6E-409C-BE32-E72D297353CC}">
              <c16:uniqueId val="{00000002-34AC-4241-9EC2-91C66A0CC9FA}"/>
            </c:ext>
          </c:extLst>
        </c:ser>
        <c:dLbls>
          <c:showLegendKey val="0"/>
          <c:showVal val="0"/>
          <c:showCatName val="0"/>
          <c:showSerName val="0"/>
          <c:showPercent val="0"/>
          <c:showBubbleSize val="0"/>
        </c:dLbls>
        <c:gapWidth val="150"/>
        <c:axId val="362482520"/>
        <c:axId val="361864872"/>
      </c:barChart>
      <c:catAx>
        <c:axId val="362482520"/>
        <c:scaling>
          <c:orientation val="minMax"/>
        </c:scaling>
        <c:delete val="0"/>
        <c:axPos val="b"/>
        <c:numFmt formatCode="General" sourceLinked="0"/>
        <c:majorTickMark val="out"/>
        <c:minorTickMark val="none"/>
        <c:tickLblPos val="nextTo"/>
        <c:spPr>
          <a:ln>
            <a:solidFill>
              <a:sysClr val="windowText" lastClr="000000"/>
            </a:solidFill>
          </a:ln>
        </c:spPr>
        <c:txPr>
          <a:bodyPr rot="0" vert="horz"/>
          <a:lstStyle/>
          <a:p>
            <a:pPr>
              <a:defRPr/>
            </a:pPr>
            <a:endParaRPr lang="en-US"/>
          </a:p>
        </c:txPr>
        <c:crossAx val="361864872"/>
        <c:crosses val="autoZero"/>
        <c:auto val="1"/>
        <c:lblAlgn val="ctr"/>
        <c:lblOffset val="100"/>
        <c:noMultiLvlLbl val="0"/>
      </c:catAx>
      <c:valAx>
        <c:axId val="361864872"/>
        <c:scaling>
          <c:orientation val="minMax"/>
          <c:min val="0"/>
        </c:scaling>
        <c:delete val="0"/>
        <c:axPos val="l"/>
        <c:majorGridlines/>
        <c:title>
          <c:tx>
            <c:strRef>
              <c:f>'Failure Frequency Analysis'!$O$21</c:f>
              <c:strCache>
                <c:ptCount val="1"/>
                <c:pt idx="0">
                  <c:v>(number / 1000 service connections / yr)</c:v>
                </c:pt>
              </c:strCache>
            </c:strRef>
          </c:tx>
          <c:overlay val="0"/>
          <c:txPr>
            <a:bodyPr rot="-5400000" vert="horz"/>
            <a:lstStyle/>
            <a:p>
              <a:pPr>
                <a:defRPr/>
              </a:pPr>
              <a:endParaRPr lang="en-US"/>
            </a:p>
          </c:txPr>
        </c:title>
        <c:numFmt formatCode="#,##0.0;\-* #,##0.0;_-* &quot;-&quot;??_-;_-@_-" sourceLinked="1"/>
        <c:majorTickMark val="out"/>
        <c:minorTickMark val="none"/>
        <c:tickLblPos val="nextTo"/>
        <c:crossAx val="362482520"/>
        <c:crosses val="autoZero"/>
        <c:crossBetween val="between"/>
      </c:valAx>
    </c:plotArea>
    <c:plotVisOnly val="1"/>
    <c:dispBlanksAs val="gap"/>
    <c:showDLblsOverMax val="0"/>
  </c:chart>
  <c:spPr>
    <a:solidFill>
      <a:schemeClr val="lt1"/>
    </a:solidFill>
    <a:ln w="25400" cap="flat" cmpd="sng" algn="ctr">
      <a:solidFill>
        <a:schemeClr val="dk1"/>
      </a:solidFill>
      <a:prstDash val="solid"/>
    </a:ln>
    <a:effectLst/>
  </c:spPr>
  <c:txPr>
    <a:bodyPr/>
    <a:lstStyle/>
    <a:p>
      <a:pPr algn="ct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a:lstStyle/>
          <a:p>
            <a:pPr>
              <a:defRPr/>
            </a:pPr>
            <a:r>
              <a:rPr lang="en-US"/>
              <a:t>Current Annual Real Losses vs. Potentially Recoverable Leakage Through Proactive Leak Detection </a:t>
            </a:r>
          </a:p>
        </c:rich>
      </c:tx>
      <c:overlay val="0"/>
    </c:title>
    <c:autoTitleDeleted val="0"/>
    <c:view3D>
      <c:rotX val="0"/>
      <c:rotY val="0"/>
      <c:depthPercent val="100"/>
      <c:rAngAx val="0"/>
    </c:view3D>
    <c:floor>
      <c:thickness val="0"/>
    </c:floor>
    <c:sideWall>
      <c:thickness val="0"/>
    </c:sideWall>
    <c:backWall>
      <c:thickness val="0"/>
    </c:backWall>
    <c:plotArea>
      <c:layout>
        <c:manualLayout>
          <c:layoutTarget val="inner"/>
          <c:xMode val="edge"/>
          <c:yMode val="edge"/>
          <c:x val="0.1268305774278215"/>
          <c:y val="0.17801996146439247"/>
          <c:w val="0.62051335494827853"/>
          <c:h val="0.79400547316263981"/>
        </c:manualLayout>
      </c:layout>
      <c:bar3DChart>
        <c:barDir val="col"/>
        <c:grouping val="stacked"/>
        <c:varyColors val="0"/>
        <c:ser>
          <c:idx val="0"/>
          <c:order val="0"/>
          <c:spPr>
            <a:solidFill>
              <a:schemeClr val="accent5">
                <a:lumMod val="60000"/>
                <a:lumOff val="40000"/>
              </a:schemeClr>
            </a:solidFill>
          </c:spPr>
          <c:invertIfNegative val="0"/>
          <c:dPt>
            <c:idx val="0"/>
            <c:invertIfNegative val="0"/>
            <c:bubble3D val="0"/>
            <c:spPr>
              <a:solidFill>
                <a:schemeClr val="accent5">
                  <a:lumMod val="75000"/>
                </a:schemeClr>
              </a:solidFill>
            </c:spPr>
            <c:extLst>
              <c:ext xmlns:c16="http://schemas.microsoft.com/office/drawing/2014/chart" uri="{C3380CC4-5D6E-409C-BE32-E72D297353CC}">
                <c16:uniqueId val="{00000001-6613-4700-B3D1-D428CA57CA49}"/>
              </c:ext>
            </c:extLst>
          </c:dPt>
          <c:dLbls>
            <c:numFmt formatCode="#,##0.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'Economic Intervention Frequency'!$T$23:$T$24</c:f>
              <c:strCache>
                <c:ptCount val="2"/>
                <c:pt idx="0">
                  <c:v>Current Annual Real Losses</c:v>
                </c:pt>
                <c:pt idx="1">
                  <c:v>Potentially Recoverable Leakage Through Proactive Leak Detection </c:v>
                </c:pt>
              </c:strCache>
            </c:strRef>
          </c:cat>
          <c:val>
            <c:numRef>
              <c:f>'Economic Intervention Frequency'!$Y$23:$Y$24</c:f>
              <c:numCache>
                <c:formatCode>0.0</c:formatCode>
                <c:ptCount val="2"/>
                <c:pt idx="0" formatCode="#,##0.00">
                  <c:v>0</c:v>
                </c:pt>
                <c:pt idx="1">
                  <c:v>0</c:v>
                </c:pt>
              </c:numCache>
            </c:numRef>
          </c:val>
          <c:extLst>
            <c:ext xmlns:c16="http://schemas.microsoft.com/office/drawing/2014/chart" uri="{C3380CC4-5D6E-409C-BE32-E72D297353CC}">
              <c16:uniqueId val="{00000002-6613-4700-B3D1-D428CA57CA49}"/>
            </c:ext>
          </c:extLst>
        </c:ser>
        <c:dLbls>
          <c:showLegendKey val="0"/>
          <c:showVal val="0"/>
          <c:showCatName val="0"/>
          <c:showSerName val="0"/>
          <c:showPercent val="0"/>
          <c:showBubbleSize val="0"/>
        </c:dLbls>
        <c:gapWidth val="100"/>
        <c:shape val="cylinder"/>
        <c:axId val="224350816"/>
        <c:axId val="224345328"/>
        <c:axId val="0"/>
      </c:bar3DChart>
      <c:catAx>
        <c:axId val="224350816"/>
        <c:scaling>
          <c:orientation val="minMax"/>
        </c:scaling>
        <c:delete val="0"/>
        <c:axPos val="b"/>
        <c:numFmt formatCode="General" sourceLinked="0"/>
        <c:majorTickMark val="out"/>
        <c:minorTickMark val="none"/>
        <c:tickLblPos val="nextTo"/>
        <c:crossAx val="224345328"/>
        <c:crosses val="autoZero"/>
        <c:auto val="1"/>
        <c:lblAlgn val="ctr"/>
        <c:lblOffset val="100"/>
        <c:noMultiLvlLbl val="0"/>
      </c:catAx>
      <c:valAx>
        <c:axId val="224345328"/>
        <c:scaling>
          <c:orientation val="minMax"/>
          <c:min val="0"/>
        </c:scaling>
        <c:delete val="0"/>
        <c:axPos val="l"/>
        <c:majorGridlines/>
        <c:numFmt formatCode="#,##0.00" sourceLinked="1"/>
        <c:majorTickMark val="out"/>
        <c:minorTickMark val="none"/>
        <c:tickLblPos val="nextTo"/>
        <c:crossAx val="224350816"/>
        <c:crosses val="autoZero"/>
        <c:crossBetween val="between"/>
      </c:valAx>
    </c:plotArea>
    <c:legend>
      <c:legendPos val="r"/>
      <c:layout>
        <c:manualLayout>
          <c:xMode val="edge"/>
          <c:yMode val="edge"/>
          <c:x val="0.78604454413095659"/>
          <c:y val="0.30652934327658632"/>
          <c:w val="0.1902833609818432"/>
          <c:h val="0.32165707140819072"/>
        </c:manualLayout>
      </c:layout>
      <c:overlay val="0"/>
    </c:legend>
    <c:plotVisOnly val="0"/>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9.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hyperlink" Target="#Glossary!C111"/></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xml"/><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image" Target="../media/image13.emf"/><Relationship Id="rId3" Type="http://schemas.openxmlformats.org/officeDocument/2006/relationships/image" Target="../media/image10.emf"/><Relationship Id="rId7" Type="http://schemas.openxmlformats.org/officeDocument/2006/relationships/image" Target="../media/image6.emf"/><Relationship Id="rId12" Type="http://schemas.openxmlformats.org/officeDocument/2006/relationships/image" Target="../media/image1.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7.emf"/><Relationship Id="rId11" Type="http://schemas.openxmlformats.org/officeDocument/2006/relationships/image" Target="../media/image2.emf"/><Relationship Id="rId5" Type="http://schemas.openxmlformats.org/officeDocument/2006/relationships/image" Target="../media/image8.emf"/><Relationship Id="rId10" Type="http://schemas.openxmlformats.org/officeDocument/2006/relationships/image" Target="../media/image3.emf"/><Relationship Id="rId4" Type="http://schemas.openxmlformats.org/officeDocument/2006/relationships/image" Target="../media/image9.emf"/><Relationship Id="rId9"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image" Target="../media/image23.emf"/><Relationship Id="rId7" Type="http://schemas.openxmlformats.org/officeDocument/2006/relationships/image" Target="../media/image27.emf"/><Relationship Id="rId2" Type="http://schemas.openxmlformats.org/officeDocument/2006/relationships/image" Target="../media/image22.emf"/><Relationship Id="rId1" Type="http://schemas.openxmlformats.org/officeDocument/2006/relationships/image" Target="../media/image21.emf"/><Relationship Id="rId6" Type="http://schemas.openxmlformats.org/officeDocument/2006/relationships/image" Target="../media/image24.emf"/><Relationship Id="rId5" Type="http://schemas.openxmlformats.org/officeDocument/2006/relationships/image" Target="../media/image26.emf"/><Relationship Id="rId4" Type="http://schemas.openxmlformats.org/officeDocument/2006/relationships/image" Target="../media/image25.emf"/><Relationship Id="rId9" Type="http://schemas.openxmlformats.org/officeDocument/2006/relationships/image" Target="../media/image29.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31.emf"/></Relationships>
</file>

<file path=xl/drawings/drawing1.xml><?xml version="1.0" encoding="utf-8"?>
<xdr:wsDr xmlns:xdr="http://schemas.openxmlformats.org/drawingml/2006/spreadsheetDrawing" xmlns:a="http://schemas.openxmlformats.org/drawingml/2006/main">
  <xdr:twoCellAnchor>
    <xdr:from>
      <xdr:col>9</xdr:col>
      <xdr:colOff>1031874</xdr:colOff>
      <xdr:row>0</xdr:row>
      <xdr:rowOff>0</xdr:rowOff>
    </xdr:from>
    <xdr:to>
      <xdr:col>9</xdr:col>
      <xdr:colOff>1031874</xdr:colOff>
      <xdr:row>100</xdr:row>
      <xdr:rowOff>863599</xdr:rowOff>
    </xdr:to>
    <xdr:cxnSp macro="">
      <xdr:nvCxnSpPr>
        <xdr:cNvPr id="3" name="Straight Connector 2">
          <a:extLst>
            <a:ext uri="{FF2B5EF4-FFF2-40B4-BE49-F238E27FC236}">
              <a16:creationId xmlns:a16="http://schemas.microsoft.com/office/drawing/2014/main" id="{00000000-0008-0000-0100-000003000000}"/>
            </a:ext>
          </a:extLst>
        </xdr:cNvPr>
        <xdr:cNvCxnSpPr/>
      </xdr:nvCxnSpPr>
      <xdr:spPr>
        <a:xfrm flipV="1">
          <a:off x="8667749" y="0"/>
          <a:ext cx="0" cy="75269724"/>
        </a:xfrm>
        <a:prstGeom prst="line">
          <a:avLst/>
        </a:prstGeom>
        <a:ln w="19050">
          <a:solidFill>
            <a:sysClr val="windowText" lastClr="000000"/>
          </a:solidFill>
        </a:ln>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2</xdr:row>
      <xdr:rowOff>48521</xdr:rowOff>
    </xdr:from>
    <xdr:to>
      <xdr:col>6</xdr:col>
      <xdr:colOff>17685</xdr:colOff>
      <xdr:row>10</xdr:row>
      <xdr:rowOff>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352425" y="448571"/>
          <a:ext cx="3944102" cy="1551679"/>
        </a:xfrm>
        <a:prstGeom prst="rect">
          <a:avLst/>
        </a:prstGeom>
      </xdr:spPr>
    </xdr:pic>
    <xdr:clientData/>
  </xdr:twoCellAnchor>
  <xdr:twoCellAnchor editAs="oneCell">
    <xdr:from>
      <xdr:col>6</xdr:col>
      <xdr:colOff>789611</xdr:colOff>
      <xdr:row>3</xdr:row>
      <xdr:rowOff>74335</xdr:rowOff>
    </xdr:from>
    <xdr:to>
      <xdr:col>10</xdr:col>
      <xdr:colOff>1</xdr:colOff>
      <xdr:row>8</xdr:row>
      <xdr:rowOff>0</xdr:rowOff>
    </xdr:to>
    <xdr:pic>
      <xdr:nvPicPr>
        <xdr:cNvPr id="3" name="Picture 2" descr="EPA Logo_PMS2955.png">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4952036" y="674410"/>
          <a:ext cx="3020389" cy="925790"/>
        </a:xfrm>
        <a:prstGeom prst="rect">
          <a:avLst/>
        </a:prstGeom>
      </xdr:spPr>
    </xdr:pic>
    <xdr:clientData/>
  </xdr:twoCellAnchor>
  <xdr:twoCellAnchor>
    <xdr:from>
      <xdr:col>10</xdr:col>
      <xdr:colOff>349249</xdr:colOff>
      <xdr:row>0</xdr:row>
      <xdr:rowOff>0</xdr:rowOff>
    </xdr:from>
    <xdr:to>
      <xdr:col>10</xdr:col>
      <xdr:colOff>349249</xdr:colOff>
      <xdr:row>56</xdr:row>
      <xdr:rowOff>206374</xdr:rowOff>
    </xdr:to>
    <xdr:cxnSp macro="">
      <xdr:nvCxnSpPr>
        <xdr:cNvPr id="5" name="Straight Connector 4">
          <a:extLst>
            <a:ext uri="{FF2B5EF4-FFF2-40B4-BE49-F238E27FC236}">
              <a16:creationId xmlns:a16="http://schemas.microsoft.com/office/drawing/2014/main" id="{00000000-0008-0000-0200-000005000000}"/>
            </a:ext>
          </a:extLst>
        </xdr:cNvPr>
        <xdr:cNvCxnSpPr/>
      </xdr:nvCxnSpPr>
      <xdr:spPr>
        <a:xfrm>
          <a:off x="8318499" y="0"/>
          <a:ext cx="0" cy="11064874"/>
        </a:xfrm>
        <a:prstGeom prst="line">
          <a:avLst/>
        </a:prstGeom>
        <a:ln w="19050">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869950</xdr:colOff>
          <xdr:row>22</xdr:row>
          <xdr:rowOff>19050</xdr:rowOff>
        </xdr:to>
        <xdr:sp macro="" textlink="">
          <xdr:nvSpPr>
            <xdr:cNvPr id="11284" name="StartPage" descr="Start Page" hidden="1">
              <a:extLst>
                <a:ext uri="{63B3BB69-23CF-44E3-9099-C40C66FF867C}">
                  <a14:compatExt spid="_x0000_s11284"/>
                </a:ext>
                <a:ext uri="{FF2B5EF4-FFF2-40B4-BE49-F238E27FC236}">
                  <a16:creationId xmlns:a16="http://schemas.microsoft.com/office/drawing/2014/main" id="{00000000-0008-0000-0200-00001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0</xdr:rowOff>
        </xdr:from>
        <xdr:to>
          <xdr:col>3</xdr:col>
          <xdr:colOff>869950</xdr:colOff>
          <xdr:row>28</xdr:row>
          <xdr:rowOff>19050</xdr:rowOff>
        </xdr:to>
        <xdr:sp macro="" textlink="">
          <xdr:nvSpPr>
            <xdr:cNvPr id="11285" name="AWWAWB" hidden="1">
              <a:extLst>
                <a:ext uri="{63B3BB69-23CF-44E3-9099-C40C66FF867C}">
                  <a14:compatExt spid="_x0000_s11285"/>
                </a:ext>
                <a:ext uri="{FF2B5EF4-FFF2-40B4-BE49-F238E27FC236}">
                  <a16:creationId xmlns:a16="http://schemas.microsoft.com/office/drawing/2014/main" id="{00000000-0008-0000-0200-00001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29</xdr:row>
          <xdr:rowOff>0</xdr:rowOff>
        </xdr:from>
        <xdr:to>
          <xdr:col>3</xdr:col>
          <xdr:colOff>869950</xdr:colOff>
          <xdr:row>31</xdr:row>
          <xdr:rowOff>19050</xdr:rowOff>
        </xdr:to>
        <xdr:sp macro="" textlink="">
          <xdr:nvSpPr>
            <xdr:cNvPr id="11286" name="PISheet" hidden="1">
              <a:extLst>
                <a:ext uri="{63B3BB69-23CF-44E3-9099-C40C66FF867C}">
                  <a14:compatExt spid="_x0000_s11286"/>
                </a:ext>
                <a:ext uri="{FF2B5EF4-FFF2-40B4-BE49-F238E27FC236}">
                  <a16:creationId xmlns:a16="http://schemas.microsoft.com/office/drawing/2014/main" id="{00000000-0008-0000-0200-00001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869950</xdr:colOff>
          <xdr:row>34</xdr:row>
          <xdr:rowOff>19050</xdr:rowOff>
        </xdr:to>
        <xdr:sp macro="" textlink="">
          <xdr:nvSpPr>
            <xdr:cNvPr id="11287" name="RLSheet" hidden="1">
              <a:extLst>
                <a:ext uri="{63B3BB69-23CF-44E3-9099-C40C66FF867C}">
                  <a14:compatExt spid="_x0000_s11287"/>
                </a:ext>
                <a:ext uri="{FF2B5EF4-FFF2-40B4-BE49-F238E27FC236}">
                  <a16:creationId xmlns:a16="http://schemas.microsoft.com/office/drawing/2014/main" id="{00000000-0008-0000-0200-00001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0</xdr:rowOff>
        </xdr:from>
        <xdr:to>
          <xdr:col>3</xdr:col>
          <xdr:colOff>869950</xdr:colOff>
          <xdr:row>40</xdr:row>
          <xdr:rowOff>12700</xdr:rowOff>
        </xdr:to>
        <xdr:sp macro="" textlink="">
          <xdr:nvSpPr>
            <xdr:cNvPr id="11288" name="BreakFreqSheet" hidden="1">
              <a:extLst>
                <a:ext uri="{63B3BB69-23CF-44E3-9099-C40C66FF867C}">
                  <a14:compatExt spid="_x0000_s11288"/>
                </a:ext>
                <a:ext uri="{FF2B5EF4-FFF2-40B4-BE49-F238E27FC236}">
                  <a16:creationId xmlns:a16="http://schemas.microsoft.com/office/drawing/2014/main" id="{00000000-0008-0000-0200-00001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41</xdr:row>
          <xdr:rowOff>0</xdr:rowOff>
        </xdr:from>
        <xdr:to>
          <xdr:col>3</xdr:col>
          <xdr:colOff>869950</xdr:colOff>
          <xdr:row>43</xdr:row>
          <xdr:rowOff>12700</xdr:rowOff>
        </xdr:to>
        <xdr:sp macro="" textlink="">
          <xdr:nvSpPr>
            <xdr:cNvPr id="11289" name="ALRSheet" hidden="1">
              <a:extLst>
                <a:ext uri="{63B3BB69-23CF-44E3-9099-C40C66FF867C}">
                  <a14:compatExt spid="_x0000_s11289"/>
                </a:ext>
                <a:ext uri="{FF2B5EF4-FFF2-40B4-BE49-F238E27FC236}">
                  <a16:creationId xmlns:a16="http://schemas.microsoft.com/office/drawing/2014/main" id="{00000000-0008-0000-02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44</xdr:row>
          <xdr:rowOff>0</xdr:rowOff>
        </xdr:from>
        <xdr:to>
          <xdr:col>3</xdr:col>
          <xdr:colOff>869950</xdr:colOff>
          <xdr:row>46</xdr:row>
          <xdr:rowOff>12700</xdr:rowOff>
        </xdr:to>
        <xdr:sp macro="" textlink="">
          <xdr:nvSpPr>
            <xdr:cNvPr id="11290" name="EconInterSheet" hidden="1">
              <a:extLst>
                <a:ext uri="{63B3BB69-23CF-44E3-9099-C40C66FF867C}">
                  <a14:compatExt spid="_x0000_s11290"/>
                </a:ext>
                <a:ext uri="{FF2B5EF4-FFF2-40B4-BE49-F238E27FC236}">
                  <a16:creationId xmlns:a16="http://schemas.microsoft.com/office/drawing/2014/main" id="{00000000-0008-0000-0200-00001A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47</xdr:row>
          <xdr:rowOff>38100</xdr:rowOff>
        </xdr:from>
        <xdr:to>
          <xdr:col>3</xdr:col>
          <xdr:colOff>869950</xdr:colOff>
          <xdr:row>49</xdr:row>
          <xdr:rowOff>57150</xdr:rowOff>
        </xdr:to>
        <xdr:sp macro="" textlink="">
          <xdr:nvSpPr>
            <xdr:cNvPr id="11291" name="PressureMSheet" hidden="1">
              <a:extLst>
                <a:ext uri="{63B3BB69-23CF-44E3-9099-C40C66FF867C}">
                  <a14:compatExt spid="_x0000_s11291"/>
                </a:ext>
                <a:ext uri="{FF2B5EF4-FFF2-40B4-BE49-F238E27FC236}">
                  <a16:creationId xmlns:a16="http://schemas.microsoft.com/office/drawing/2014/main" id="{00000000-0008-0000-0200-00001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53</xdr:row>
          <xdr:rowOff>0</xdr:rowOff>
        </xdr:from>
        <xdr:to>
          <xdr:col>3</xdr:col>
          <xdr:colOff>869950</xdr:colOff>
          <xdr:row>55</xdr:row>
          <xdr:rowOff>19050</xdr:rowOff>
        </xdr:to>
        <xdr:sp macro="" textlink="">
          <xdr:nvSpPr>
            <xdr:cNvPr id="11292" name="LicenseSheet" hidden="1">
              <a:extLst>
                <a:ext uri="{63B3BB69-23CF-44E3-9099-C40C66FF867C}">
                  <a14:compatExt spid="_x0000_s11292"/>
                </a:ext>
                <a:ext uri="{FF2B5EF4-FFF2-40B4-BE49-F238E27FC236}">
                  <a16:creationId xmlns:a16="http://schemas.microsoft.com/office/drawing/2014/main" id="{00000000-0008-0000-02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3</xdr:col>
          <xdr:colOff>869950</xdr:colOff>
          <xdr:row>25</xdr:row>
          <xdr:rowOff>19050</xdr:rowOff>
        </xdr:to>
        <xdr:sp macro="" textlink="">
          <xdr:nvSpPr>
            <xdr:cNvPr id="11293" name="SummaryButton" descr="Start Page" hidden="1">
              <a:extLst>
                <a:ext uri="{63B3BB69-23CF-44E3-9099-C40C66FF867C}">
                  <a14:compatExt spid="_x0000_s11293"/>
                </a:ext>
                <a:ext uri="{FF2B5EF4-FFF2-40B4-BE49-F238E27FC236}">
                  <a16:creationId xmlns:a16="http://schemas.microsoft.com/office/drawing/2014/main" id="{00000000-0008-0000-0200-00001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35</xdr:row>
          <xdr:rowOff>0</xdr:rowOff>
        </xdr:from>
        <xdr:to>
          <xdr:col>3</xdr:col>
          <xdr:colOff>869950</xdr:colOff>
          <xdr:row>37</xdr:row>
          <xdr:rowOff>19050</xdr:rowOff>
        </xdr:to>
        <xdr:sp macro="" textlink="">
          <xdr:nvSpPr>
            <xdr:cNvPr id="11297" name="RLCompChart" descr="Start Page" hidden="1">
              <a:extLst>
                <a:ext uri="{63B3BB69-23CF-44E3-9099-C40C66FF867C}">
                  <a14:compatExt spid="_x0000_s11297"/>
                </a:ext>
                <a:ext uri="{FF2B5EF4-FFF2-40B4-BE49-F238E27FC236}">
                  <a16:creationId xmlns:a16="http://schemas.microsoft.com/office/drawing/2014/main" id="{00000000-0008-0000-02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869950</xdr:colOff>
          <xdr:row>52</xdr:row>
          <xdr:rowOff>19050</xdr:rowOff>
        </xdr:to>
        <xdr:sp macro="" textlink="">
          <xdr:nvSpPr>
            <xdr:cNvPr id="11298" name="Glossarybutton" descr="Start Page" hidden="1">
              <a:extLst>
                <a:ext uri="{63B3BB69-23CF-44E3-9099-C40C66FF867C}">
                  <a14:compatExt spid="_x0000_s11298"/>
                </a:ext>
                <a:ext uri="{FF2B5EF4-FFF2-40B4-BE49-F238E27FC236}">
                  <a16:creationId xmlns:a16="http://schemas.microsoft.com/office/drawing/2014/main" id="{00000000-0008-0000-02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869950</xdr:colOff>
          <xdr:row>19</xdr:row>
          <xdr:rowOff>19050</xdr:rowOff>
        </xdr:to>
        <xdr:sp macro="" textlink="">
          <xdr:nvSpPr>
            <xdr:cNvPr id="11299" name="InstructionsButton" descr="Start Page"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32</xdr:col>
      <xdr:colOff>361950</xdr:colOff>
      <xdr:row>34</xdr:row>
      <xdr:rowOff>333375</xdr:rowOff>
    </xdr:from>
    <xdr:to>
      <xdr:col>16384</xdr:col>
      <xdr:colOff>574557</xdr:colOff>
      <xdr:row>35</xdr:row>
      <xdr:rowOff>9146</xdr:rowOff>
    </xdr:to>
    <xdr:sp macro="" textlink="">
      <xdr:nvSpPr>
        <xdr:cNvPr id="8" name="Text Box 62">
          <a:extLst>
            <a:ext uri="{FF2B5EF4-FFF2-40B4-BE49-F238E27FC236}">
              <a16:creationId xmlns:a16="http://schemas.microsoft.com/office/drawing/2014/main" id="{00000000-0008-0000-0300-000008000000}"/>
            </a:ext>
          </a:extLst>
        </xdr:cNvPr>
        <xdr:cNvSpPr txBox="1">
          <a:spLocks noChangeArrowheads="1"/>
        </xdr:cNvSpPr>
      </xdr:nvSpPr>
      <xdr:spPr bwMode="auto">
        <a:xfrm>
          <a:off x="10369550" y="434975"/>
          <a:ext cx="663457" cy="152400"/>
        </a:xfrm>
        <a:prstGeom prst="rect">
          <a:avLst/>
        </a:prstGeom>
        <a:noFill/>
        <a:ln w="12700" algn="ctr">
          <a:noFill/>
          <a:miter lim="800000"/>
          <a:headEnd/>
          <a:tailEnd/>
        </a:ln>
        <a:effectLst/>
      </xdr:spPr>
      <xdr:txBody>
        <a:bodyPr vertOverflow="clip" wrap="square" lIns="27432" tIns="22860" rIns="0" bIns="0" anchor="t" upright="1"/>
        <a:lstStyle/>
        <a:p>
          <a:pPr algn="l" rtl="0">
            <a:defRPr sz="1000"/>
          </a:pPr>
          <a:r>
            <a:rPr lang="en-US" sz="800" b="0" i="0" u="none" strike="noStrike" baseline="0">
              <a:solidFill>
                <a:srgbClr val="FFFFFF"/>
              </a:solidFill>
              <a:latin typeface="Arial"/>
              <a:ea typeface="Arial"/>
              <a:cs typeface="Arial"/>
            </a:rPr>
            <a:t> WAS v4.2</a:t>
          </a:r>
        </a:p>
      </xdr:txBody>
    </xdr:sp>
    <xdr:clientData/>
  </xdr:twoCellAnchor>
  <xdr:twoCellAnchor>
    <xdr:from>
      <xdr:col>18</xdr:col>
      <xdr:colOff>111124</xdr:colOff>
      <xdr:row>0</xdr:row>
      <xdr:rowOff>0</xdr:rowOff>
    </xdr:from>
    <xdr:to>
      <xdr:col>18</xdr:col>
      <xdr:colOff>111124</xdr:colOff>
      <xdr:row>59</xdr:row>
      <xdr:rowOff>244474</xdr:rowOff>
    </xdr:to>
    <xdr:cxnSp macro="">
      <xdr:nvCxnSpPr>
        <xdr:cNvPr id="4" name="Straight Connector 3">
          <a:extLst>
            <a:ext uri="{FF2B5EF4-FFF2-40B4-BE49-F238E27FC236}">
              <a16:creationId xmlns:a16="http://schemas.microsoft.com/office/drawing/2014/main" id="{00000000-0008-0000-0300-000004000000}"/>
            </a:ext>
          </a:extLst>
        </xdr:cNvPr>
        <xdr:cNvCxnSpPr/>
      </xdr:nvCxnSpPr>
      <xdr:spPr>
        <a:xfrm flipH="1">
          <a:off x="14192249" y="0"/>
          <a:ext cx="0" cy="15008224"/>
        </a:xfrm>
        <a:prstGeom prst="line">
          <a:avLst/>
        </a:prstGeom>
        <a:ln w="19050">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10</xdr:col>
          <xdr:colOff>0</xdr:colOff>
          <xdr:row>38</xdr:row>
          <xdr:rowOff>0</xdr:rowOff>
        </xdr:from>
        <xdr:to>
          <xdr:col>13</xdr:col>
          <xdr:colOff>266700</xdr:colOff>
          <xdr:row>39</xdr:row>
          <xdr:rowOff>0</xdr:rowOff>
        </xdr:to>
        <xdr:sp macro="" textlink="">
          <xdr:nvSpPr>
            <xdr:cNvPr id="12291" name="VolumeUnits_ComboBox" hidden="1">
              <a:extLst>
                <a:ext uri="{63B3BB69-23CF-44E3-9099-C40C66FF867C}">
                  <a14:compatExt spid="_x0000_s12291"/>
                </a:ext>
                <a:ext uri="{FF2B5EF4-FFF2-40B4-BE49-F238E27FC236}">
                  <a16:creationId xmlns:a16="http://schemas.microsoft.com/office/drawing/2014/main" id="{00000000-0008-0000-03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40</xdr:row>
          <xdr:rowOff>0</xdr:rowOff>
        </xdr:from>
        <xdr:to>
          <xdr:col>13</xdr:col>
          <xdr:colOff>266700</xdr:colOff>
          <xdr:row>41</xdr:row>
          <xdr:rowOff>0</xdr:rowOff>
        </xdr:to>
        <xdr:sp macro="" textlink="">
          <xdr:nvSpPr>
            <xdr:cNvPr id="12292" name="LengthUnits_ComboBox" hidden="1">
              <a:extLst>
                <a:ext uri="{63B3BB69-23CF-44E3-9099-C40C66FF867C}">
                  <a14:compatExt spid="_x0000_s12292"/>
                </a:ext>
                <a:ext uri="{FF2B5EF4-FFF2-40B4-BE49-F238E27FC236}">
                  <a16:creationId xmlns:a16="http://schemas.microsoft.com/office/drawing/2014/main" id="{00000000-0008-0000-03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xdr:col>
      <xdr:colOff>1230655</xdr:colOff>
      <xdr:row>0</xdr:row>
      <xdr:rowOff>29633</xdr:rowOff>
    </xdr:from>
    <xdr:to>
      <xdr:col>10</xdr:col>
      <xdr:colOff>504824</xdr:colOff>
      <xdr:row>3</xdr:row>
      <xdr:rowOff>174625</xdr:rowOff>
    </xdr:to>
    <xdr:pic>
      <xdr:nvPicPr>
        <xdr:cNvPr id="5" name="Picture 4" descr="Screen Shot 2012-11-27 at 4.00.03 PM.png">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rcRect r="1040" b="4787"/>
        <a:stretch>
          <a:fillRect/>
        </a:stretch>
      </xdr:blipFill>
      <xdr:spPr>
        <a:xfrm>
          <a:off x="7437780" y="29633"/>
          <a:ext cx="4004919" cy="764117"/>
        </a:xfrm>
        <a:prstGeom prst="rect">
          <a:avLst/>
        </a:prstGeom>
      </xdr:spPr>
    </xdr:pic>
    <xdr:clientData/>
  </xdr:twoCellAnchor>
  <xdr:twoCellAnchor>
    <xdr:from>
      <xdr:col>10</xdr:col>
      <xdr:colOff>523874</xdr:colOff>
      <xdr:row>0</xdr:row>
      <xdr:rowOff>0</xdr:rowOff>
    </xdr:from>
    <xdr:to>
      <xdr:col>10</xdr:col>
      <xdr:colOff>523874</xdr:colOff>
      <xdr:row>73</xdr:row>
      <xdr:rowOff>206374</xdr:rowOff>
    </xdr:to>
    <xdr:cxnSp macro="">
      <xdr:nvCxnSpPr>
        <xdr:cNvPr id="4" name="Straight Connector 3">
          <a:extLst>
            <a:ext uri="{FF2B5EF4-FFF2-40B4-BE49-F238E27FC236}">
              <a16:creationId xmlns:a16="http://schemas.microsoft.com/office/drawing/2014/main" id="{00000000-0008-0000-0500-000004000000}"/>
            </a:ext>
          </a:extLst>
        </xdr:cNvPr>
        <xdr:cNvCxnSpPr/>
      </xdr:nvCxnSpPr>
      <xdr:spPr>
        <a:xfrm>
          <a:off x="11461749" y="0"/>
          <a:ext cx="0" cy="15112999"/>
        </a:xfrm>
        <a:prstGeom prst="line">
          <a:avLst/>
        </a:prstGeom>
        <a:ln w="19050">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4</xdr:col>
          <xdr:colOff>31750</xdr:colOff>
          <xdr:row>45</xdr:row>
          <xdr:rowOff>0</xdr:rowOff>
        </xdr:from>
        <xdr:to>
          <xdr:col>5</xdr:col>
          <xdr:colOff>793750</xdr:colOff>
          <xdr:row>46</xdr:row>
          <xdr:rowOff>0</xdr:rowOff>
        </xdr:to>
        <xdr:sp macro="" textlink="">
          <xdr:nvSpPr>
            <xdr:cNvPr id="13314" name="WaterCost_ComboBox" hidden="1">
              <a:extLst>
                <a:ext uri="{63B3BB69-23CF-44E3-9099-C40C66FF867C}">
                  <a14:compatExt spid="_x0000_s13314"/>
                </a:ext>
                <a:ext uri="{FF2B5EF4-FFF2-40B4-BE49-F238E27FC236}">
                  <a16:creationId xmlns:a16="http://schemas.microsoft.com/office/drawing/2014/main" id="{00000000-0008-0000-05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430895</xdr:colOff>
      <xdr:row>15</xdr:row>
      <xdr:rowOff>0</xdr:rowOff>
    </xdr:from>
    <xdr:to>
      <xdr:col>9</xdr:col>
      <xdr:colOff>403680</xdr:colOff>
      <xdr:row>58</xdr:row>
      <xdr:rowOff>202747</xdr:rowOff>
    </xdr:to>
    <xdr:graphicFrame macro="">
      <xdr:nvGraphicFramePr>
        <xdr:cNvPr id="3" name="PI Chart">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xdr:colOff>
      <xdr:row>0</xdr:row>
      <xdr:rowOff>0</xdr:rowOff>
    </xdr:from>
    <xdr:to>
      <xdr:col>10</xdr:col>
      <xdr:colOff>-1</xdr:colOff>
      <xdr:row>90</xdr:row>
      <xdr:rowOff>-1</xdr:rowOff>
    </xdr:to>
    <xdr:cxnSp macro="">
      <xdr:nvCxnSpPr>
        <xdr:cNvPr id="5" name="Straight Connector 4">
          <a:extLst>
            <a:ext uri="{FF2B5EF4-FFF2-40B4-BE49-F238E27FC236}">
              <a16:creationId xmlns:a16="http://schemas.microsoft.com/office/drawing/2014/main" id="{00000000-0008-0000-0600-000005000000}"/>
            </a:ext>
          </a:extLst>
        </xdr:cNvPr>
        <xdr:cNvCxnSpPr/>
      </xdr:nvCxnSpPr>
      <xdr:spPr>
        <a:xfrm>
          <a:off x="14458949" y="0"/>
          <a:ext cx="0" cy="19697699"/>
        </a:xfrm>
        <a:prstGeom prst="line">
          <a:avLst/>
        </a:prstGeom>
        <a:ln w="19050">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-1</xdr:colOff>
      <xdr:row>0</xdr:row>
      <xdr:rowOff>0</xdr:rowOff>
    </xdr:from>
    <xdr:to>
      <xdr:col>10</xdr:col>
      <xdr:colOff>-1</xdr:colOff>
      <xdr:row>90</xdr:row>
      <xdr:rowOff>-1</xdr:rowOff>
    </xdr:to>
    <xdr:cxnSp macro="">
      <xdr:nvCxnSpPr>
        <xdr:cNvPr id="6" name="Straight Connector 5">
          <a:extLst>
            <a:ext uri="{FF2B5EF4-FFF2-40B4-BE49-F238E27FC236}">
              <a16:creationId xmlns:a16="http://schemas.microsoft.com/office/drawing/2014/main" id="{00000000-0008-0000-0600-000006000000}"/>
            </a:ext>
          </a:extLst>
        </xdr:cNvPr>
        <xdr:cNvCxnSpPr/>
      </xdr:nvCxnSpPr>
      <xdr:spPr>
        <a:xfrm flipH="1">
          <a:off x="14458949" y="0"/>
          <a:ext cx="0" cy="19697699"/>
        </a:xfrm>
        <a:prstGeom prst="line">
          <a:avLst/>
        </a:prstGeom>
        <a:ln w="19050">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-1</xdr:colOff>
      <xdr:row>0</xdr:row>
      <xdr:rowOff>0</xdr:rowOff>
    </xdr:from>
    <xdr:to>
      <xdr:col>10</xdr:col>
      <xdr:colOff>-1</xdr:colOff>
      <xdr:row>90</xdr:row>
      <xdr:rowOff>-1</xdr:rowOff>
    </xdr:to>
    <xdr:cxnSp macro="">
      <xdr:nvCxnSpPr>
        <xdr:cNvPr id="10" name="Straight Connector 9">
          <a:extLst>
            <a:ext uri="{FF2B5EF4-FFF2-40B4-BE49-F238E27FC236}">
              <a16:creationId xmlns:a16="http://schemas.microsoft.com/office/drawing/2014/main" id="{00000000-0008-0000-0600-00000A000000}"/>
            </a:ext>
          </a:extLst>
        </xdr:cNvPr>
        <xdr:cNvCxnSpPr/>
      </xdr:nvCxnSpPr>
      <xdr:spPr>
        <a:xfrm flipH="1">
          <a:off x="14458949" y="0"/>
          <a:ext cx="0" cy="19697699"/>
        </a:xfrm>
        <a:prstGeom prst="line">
          <a:avLst/>
        </a:prstGeom>
        <a:ln w="19050">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-1</xdr:colOff>
      <xdr:row>0</xdr:row>
      <xdr:rowOff>0</xdr:rowOff>
    </xdr:from>
    <xdr:to>
      <xdr:col>10</xdr:col>
      <xdr:colOff>-1</xdr:colOff>
      <xdr:row>90</xdr:row>
      <xdr:rowOff>-1</xdr:rowOff>
    </xdr:to>
    <xdr:cxnSp macro="">
      <xdr:nvCxnSpPr>
        <xdr:cNvPr id="16" name="Straight Connector 15">
          <a:extLst>
            <a:ext uri="{FF2B5EF4-FFF2-40B4-BE49-F238E27FC236}">
              <a16:creationId xmlns:a16="http://schemas.microsoft.com/office/drawing/2014/main" id="{00000000-0008-0000-0600-000010000000}"/>
            </a:ext>
          </a:extLst>
        </xdr:cNvPr>
        <xdr:cNvCxnSpPr/>
      </xdr:nvCxnSpPr>
      <xdr:spPr>
        <a:xfrm>
          <a:off x="14458949" y="0"/>
          <a:ext cx="0" cy="19697699"/>
        </a:xfrm>
        <a:prstGeom prst="line">
          <a:avLst/>
        </a:prstGeom>
        <a:ln w="19050">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-1</xdr:colOff>
      <xdr:row>0</xdr:row>
      <xdr:rowOff>0</xdr:rowOff>
    </xdr:from>
    <xdr:to>
      <xdr:col>10</xdr:col>
      <xdr:colOff>-1</xdr:colOff>
      <xdr:row>90</xdr:row>
      <xdr:rowOff>-1</xdr:rowOff>
    </xdr:to>
    <xdr:cxnSp macro="">
      <xdr:nvCxnSpPr>
        <xdr:cNvPr id="26" name="Straight Connector 25">
          <a:extLst>
            <a:ext uri="{FF2B5EF4-FFF2-40B4-BE49-F238E27FC236}">
              <a16:creationId xmlns:a16="http://schemas.microsoft.com/office/drawing/2014/main" id="{00000000-0008-0000-0600-00001A000000}"/>
            </a:ext>
          </a:extLst>
        </xdr:cNvPr>
        <xdr:cNvCxnSpPr/>
      </xdr:nvCxnSpPr>
      <xdr:spPr>
        <a:xfrm flipH="1">
          <a:off x="14458949" y="0"/>
          <a:ext cx="0" cy="19697699"/>
        </a:xfrm>
        <a:prstGeom prst="line">
          <a:avLst/>
        </a:prstGeom>
        <a:ln w="19050">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895350</xdr:colOff>
      <xdr:row>0</xdr:row>
      <xdr:rowOff>0</xdr:rowOff>
    </xdr:from>
    <xdr:to>
      <xdr:col>9</xdr:col>
      <xdr:colOff>895350</xdr:colOff>
      <xdr:row>89</xdr:row>
      <xdr:rowOff>190500</xdr:rowOff>
    </xdr:to>
    <xdr:cxnSp macro="">
      <xdr:nvCxnSpPr>
        <xdr:cNvPr id="30" name="Straight Connector 29">
          <a:extLst>
            <a:ext uri="{FF2B5EF4-FFF2-40B4-BE49-F238E27FC236}">
              <a16:creationId xmlns:a16="http://schemas.microsoft.com/office/drawing/2014/main" id="{00000000-0008-0000-0600-00001E000000}"/>
            </a:ext>
          </a:extLst>
        </xdr:cNvPr>
        <xdr:cNvCxnSpPr/>
      </xdr:nvCxnSpPr>
      <xdr:spPr>
        <a:xfrm>
          <a:off x="14439900" y="0"/>
          <a:ext cx="0" cy="19678650"/>
        </a:xfrm>
        <a:prstGeom prst="line">
          <a:avLst/>
        </a:prstGeom>
        <a:ln w="19050">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38100</xdr:colOff>
          <xdr:row>9</xdr:row>
          <xdr:rowOff>95250</xdr:rowOff>
        </xdr:from>
        <xdr:to>
          <xdr:col>7</xdr:col>
          <xdr:colOff>266700</xdr:colOff>
          <xdr:row>11</xdr:row>
          <xdr:rowOff>0</xdr:rowOff>
        </xdr:to>
        <xdr:sp macro="" textlink="">
          <xdr:nvSpPr>
            <xdr:cNvPr id="18439" name="PI_ComboBox"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12</xdr:col>
      <xdr:colOff>105797</xdr:colOff>
      <xdr:row>40</xdr:row>
      <xdr:rowOff>31749</xdr:rowOff>
    </xdr:from>
    <xdr:to>
      <xdr:col>12</xdr:col>
      <xdr:colOff>634964</xdr:colOff>
      <xdr:row>41</xdr:row>
      <xdr:rowOff>63498</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3821797" y="10763249"/>
          <a:ext cx="529167" cy="2751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ln>
                <a:noFill/>
              </a:ln>
              <a:latin typeface="Verdana" pitchFamily="34" charset="0"/>
              <a:ea typeface="Verdana" pitchFamily="34" charset="0"/>
              <a:cs typeface="Verdana" pitchFamily="34" charset="0"/>
            </a:rPr>
            <a:t>OR</a:t>
          </a:r>
        </a:p>
      </xdr:txBody>
    </xdr:sp>
    <xdr:clientData/>
  </xdr:twoCellAnchor>
  <xdr:twoCellAnchor>
    <xdr:from>
      <xdr:col>7</xdr:col>
      <xdr:colOff>948516</xdr:colOff>
      <xdr:row>22</xdr:row>
      <xdr:rowOff>201221</xdr:rowOff>
    </xdr:from>
    <xdr:to>
      <xdr:col>12</xdr:col>
      <xdr:colOff>351878</xdr:colOff>
      <xdr:row>23</xdr:row>
      <xdr:rowOff>243408</xdr:rowOff>
    </xdr:to>
    <xdr:sp macro="" textlink="">
      <xdr:nvSpPr>
        <xdr:cNvPr id="5" name="TextBox 4">
          <a:hlinkClick xmlns:r="http://schemas.openxmlformats.org/officeDocument/2006/relationships" r:id="rId1" tooltip="Click for Definition"/>
          <a:extLst>
            <a:ext uri="{FF2B5EF4-FFF2-40B4-BE49-F238E27FC236}">
              <a16:creationId xmlns:a16="http://schemas.microsoft.com/office/drawing/2014/main" id="{00000000-0008-0000-0700-000005000000}"/>
            </a:ext>
          </a:extLst>
        </xdr:cNvPr>
        <xdr:cNvSpPr txBox="1"/>
      </xdr:nvSpPr>
      <xdr:spPr>
        <a:xfrm>
          <a:off x="9288183" y="5471721"/>
          <a:ext cx="4779695" cy="285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en-US" sz="1100" b="1">
              <a:latin typeface="Verdana" pitchFamily="34" charset="0"/>
              <a:ea typeface="Verdana" pitchFamily="34" charset="0"/>
              <a:cs typeface="Verdana" pitchFamily="34" charset="0"/>
            </a:rPr>
            <a:t>Select </a:t>
          </a:r>
          <a:r>
            <a:rPr lang="en-US" sz="1000" b="1">
              <a:latin typeface="Verdana" pitchFamily="34" charset="0"/>
              <a:ea typeface="Verdana" pitchFamily="34" charset="0"/>
              <a:cs typeface="Verdana" pitchFamily="34" charset="0"/>
            </a:rPr>
            <a:t>Reservoir Background </a:t>
          </a:r>
          <a:r>
            <a:rPr lang="en-US" sz="1100" b="1">
              <a:latin typeface="Verdana" pitchFamily="34" charset="0"/>
              <a:ea typeface="Verdana" pitchFamily="34" charset="0"/>
              <a:cs typeface="Verdana" pitchFamily="34" charset="0"/>
            </a:rPr>
            <a:t>Leakage Rate</a:t>
          </a:r>
        </a:p>
      </xdr:txBody>
    </xdr:sp>
    <xdr:clientData/>
  </xdr:twoCellAnchor>
  <xdr:twoCellAnchor>
    <xdr:from>
      <xdr:col>8</xdr:col>
      <xdr:colOff>83315</xdr:colOff>
      <xdr:row>24</xdr:row>
      <xdr:rowOff>211094</xdr:rowOff>
    </xdr:from>
    <xdr:to>
      <xdr:col>8</xdr:col>
      <xdr:colOff>941887</xdr:colOff>
      <xdr:row>26</xdr:row>
      <xdr:rowOff>0</xdr:rowOff>
    </xdr:to>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9460148" y="6804511"/>
          <a:ext cx="858572" cy="27573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latin typeface="Verdana" pitchFamily="34" charset="0"/>
              <a:ea typeface="Verdana" pitchFamily="34" charset="0"/>
              <a:cs typeface="Verdana" pitchFamily="34" charset="0"/>
            </a:rPr>
            <a:t>OR</a:t>
          </a:r>
        </a:p>
      </xdr:txBody>
    </xdr:sp>
    <xdr:clientData/>
  </xdr:twoCellAnchor>
  <xdr:twoCellAnchor editAs="oneCell">
    <xdr:from>
      <xdr:col>11</xdr:col>
      <xdr:colOff>780824</xdr:colOff>
      <xdr:row>0</xdr:row>
      <xdr:rowOff>19051</xdr:rowOff>
    </xdr:from>
    <xdr:to>
      <xdr:col>17</xdr:col>
      <xdr:colOff>723901</xdr:colOff>
      <xdr:row>3</xdr:row>
      <xdr:rowOff>173446</xdr:rowOff>
    </xdr:to>
    <xdr:pic>
      <xdr:nvPicPr>
        <xdr:cNvPr id="7" name="Picture 6" descr="Screen Shot 2012-11-27 at 4.00.03 PM.png">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a:srcRect r="1040" b="4787"/>
        <a:stretch>
          <a:fillRect/>
        </a:stretch>
      </xdr:blipFill>
      <xdr:spPr>
        <a:xfrm>
          <a:off x="11334524" y="19051"/>
          <a:ext cx="4048351" cy="754470"/>
        </a:xfrm>
        <a:prstGeom prst="rect">
          <a:avLst/>
        </a:prstGeom>
      </xdr:spPr>
    </xdr:pic>
    <xdr:clientData/>
  </xdr:twoCellAnchor>
  <xdr:twoCellAnchor>
    <xdr:from>
      <xdr:col>17</xdr:col>
      <xdr:colOff>857249</xdr:colOff>
      <xdr:row>0</xdr:row>
      <xdr:rowOff>0</xdr:rowOff>
    </xdr:from>
    <xdr:to>
      <xdr:col>17</xdr:col>
      <xdr:colOff>857249</xdr:colOff>
      <xdr:row>178</xdr:row>
      <xdr:rowOff>244928</xdr:rowOff>
    </xdr:to>
    <xdr:cxnSp macro="">
      <xdr:nvCxnSpPr>
        <xdr:cNvPr id="8" name="Straight Connector 7">
          <a:extLst>
            <a:ext uri="{FF2B5EF4-FFF2-40B4-BE49-F238E27FC236}">
              <a16:creationId xmlns:a16="http://schemas.microsoft.com/office/drawing/2014/main" id="{00000000-0008-0000-0700-000008000000}"/>
            </a:ext>
          </a:extLst>
        </xdr:cNvPr>
        <xdr:cNvCxnSpPr/>
      </xdr:nvCxnSpPr>
      <xdr:spPr>
        <a:xfrm>
          <a:off x="15539356" y="0"/>
          <a:ext cx="0" cy="54945642"/>
        </a:xfrm>
        <a:prstGeom prst="line">
          <a:avLst/>
        </a:prstGeom>
        <a:ln w="19050">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13</xdr:col>
          <xdr:colOff>908050</xdr:colOff>
          <xdr:row>8</xdr:row>
          <xdr:rowOff>0</xdr:rowOff>
        </xdr:from>
        <xdr:to>
          <xdr:col>17</xdr:col>
          <xdr:colOff>419100</xdr:colOff>
          <xdr:row>10</xdr:row>
          <xdr:rowOff>57150</xdr:rowOff>
        </xdr:to>
        <xdr:sp macro="" textlink="">
          <xdr:nvSpPr>
            <xdr:cNvPr id="19471" name="Group Box 15" hidden="1">
              <a:extLst>
                <a:ext uri="{63B3BB69-23CF-44E3-9099-C40C66FF867C}">
                  <a14:compatExt spid="_x0000_s19471"/>
                </a:ext>
                <a:ext uri="{FF2B5EF4-FFF2-40B4-BE49-F238E27FC236}">
                  <a16:creationId xmlns:a16="http://schemas.microsoft.com/office/drawing/2014/main" id="{00000000-0008-0000-0700-00000F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000000"/>
                  </a:solidFill>
                  <a:latin typeface="Tahoma"/>
                  <a:ea typeface="Tahoma"/>
                  <a:cs typeface="Tahoma"/>
                </a:rPr>
                <a:t>Group Box 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914400</xdr:colOff>
          <xdr:row>18</xdr:row>
          <xdr:rowOff>431800</xdr:rowOff>
        </xdr:from>
        <xdr:to>
          <xdr:col>11</xdr:col>
          <xdr:colOff>361950</xdr:colOff>
          <xdr:row>22</xdr:row>
          <xdr:rowOff>152400</xdr:rowOff>
        </xdr:to>
        <xdr:sp macro="" textlink="">
          <xdr:nvSpPr>
            <xdr:cNvPr id="19472" name="Group Box 16" hidden="1">
              <a:extLst>
                <a:ext uri="{63B3BB69-23CF-44E3-9099-C40C66FF867C}">
                  <a14:compatExt spid="_x0000_s19472"/>
                </a:ext>
                <a:ext uri="{FF2B5EF4-FFF2-40B4-BE49-F238E27FC236}">
                  <a16:creationId xmlns:a16="http://schemas.microsoft.com/office/drawing/2014/main" id="{00000000-0008-0000-0700-000010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000000"/>
                  </a:solidFill>
                  <a:latin typeface="Tahoma"/>
                  <a:ea typeface="Tahoma"/>
                  <a:cs typeface="Tahoma"/>
                </a:rPr>
                <a:t>Group Box 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819150</xdr:colOff>
          <xdr:row>56</xdr:row>
          <xdr:rowOff>127000</xdr:rowOff>
        </xdr:from>
        <xdr:to>
          <xdr:col>17</xdr:col>
          <xdr:colOff>361950</xdr:colOff>
          <xdr:row>58</xdr:row>
          <xdr:rowOff>31750</xdr:rowOff>
        </xdr:to>
        <xdr:sp macro="" textlink="">
          <xdr:nvSpPr>
            <xdr:cNvPr id="19508" name="Group Box 52" hidden="1">
              <a:extLst>
                <a:ext uri="{63B3BB69-23CF-44E3-9099-C40C66FF867C}">
                  <a14:compatExt spid="_x0000_s19508"/>
                </a:ext>
                <a:ext uri="{FF2B5EF4-FFF2-40B4-BE49-F238E27FC236}">
                  <a16:creationId xmlns:a16="http://schemas.microsoft.com/office/drawing/2014/main" id="{00000000-0008-0000-0700-000034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000000"/>
                  </a:solidFill>
                  <a:latin typeface="Tahoma"/>
                  <a:ea typeface="Tahoma"/>
                  <a:cs typeface="Tahoma"/>
                </a:rPr>
                <a:t>Group Box 52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800100</xdr:colOff>
          <xdr:row>64</xdr:row>
          <xdr:rowOff>298450</xdr:rowOff>
        </xdr:from>
        <xdr:to>
          <xdr:col>17</xdr:col>
          <xdr:colOff>546100</xdr:colOff>
          <xdr:row>66</xdr:row>
          <xdr:rowOff>107950</xdr:rowOff>
        </xdr:to>
        <xdr:sp macro="" textlink="">
          <xdr:nvSpPr>
            <xdr:cNvPr id="19509" name="Group Box 53" hidden="1">
              <a:extLst>
                <a:ext uri="{63B3BB69-23CF-44E3-9099-C40C66FF867C}">
                  <a14:compatExt spid="_x0000_s19509"/>
                </a:ext>
                <a:ext uri="{FF2B5EF4-FFF2-40B4-BE49-F238E27FC236}">
                  <a16:creationId xmlns:a16="http://schemas.microsoft.com/office/drawing/2014/main" id="{00000000-0008-0000-0700-000035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000000"/>
                  </a:solidFill>
                  <a:latin typeface="Tahoma"/>
                  <a:ea typeface="Tahoma"/>
                  <a:cs typeface="Tahoma"/>
                </a:rPr>
                <a:t>Group Box 53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742950</xdr:colOff>
          <xdr:row>31</xdr:row>
          <xdr:rowOff>165100</xdr:rowOff>
        </xdr:from>
        <xdr:to>
          <xdr:col>17</xdr:col>
          <xdr:colOff>438150</xdr:colOff>
          <xdr:row>33</xdr:row>
          <xdr:rowOff>50800</xdr:rowOff>
        </xdr:to>
        <xdr:sp macro="" textlink="">
          <xdr:nvSpPr>
            <xdr:cNvPr id="19530" name="Group Box 74" hidden="1">
              <a:extLst>
                <a:ext uri="{63B3BB69-23CF-44E3-9099-C40C66FF867C}">
                  <a14:compatExt spid="_x0000_s19530"/>
                </a:ext>
                <a:ext uri="{FF2B5EF4-FFF2-40B4-BE49-F238E27FC236}">
                  <a16:creationId xmlns:a16="http://schemas.microsoft.com/office/drawing/2014/main" id="{00000000-0008-0000-0700-00004A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000000"/>
                  </a:solidFill>
                  <a:latin typeface="Tahoma"/>
                  <a:ea typeface="Tahoma"/>
                  <a:cs typeface="Tahoma"/>
                </a:rPr>
                <a:t>Group Box 74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32</xdr:row>
          <xdr:rowOff>184150</xdr:rowOff>
        </xdr:from>
        <xdr:to>
          <xdr:col>17</xdr:col>
          <xdr:colOff>457200</xdr:colOff>
          <xdr:row>33</xdr:row>
          <xdr:rowOff>260350</xdr:rowOff>
        </xdr:to>
        <xdr:sp macro="" textlink="">
          <xdr:nvSpPr>
            <xdr:cNvPr id="19531" name="Group Box 75" hidden="1">
              <a:extLst>
                <a:ext uri="{63B3BB69-23CF-44E3-9099-C40C66FF867C}">
                  <a14:compatExt spid="_x0000_s19531"/>
                </a:ext>
                <a:ext uri="{FF2B5EF4-FFF2-40B4-BE49-F238E27FC236}">
                  <a16:creationId xmlns:a16="http://schemas.microsoft.com/office/drawing/2014/main" id="{00000000-0008-0000-0700-00004B4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000000"/>
                  </a:solidFill>
                  <a:latin typeface="Tahoma"/>
                  <a:ea typeface="Tahoma"/>
                  <a:cs typeface="Tahoma"/>
                </a:rPr>
                <a:t>Group Box 75</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24</xdr:row>
          <xdr:rowOff>0</xdr:rowOff>
        </xdr:from>
        <xdr:to>
          <xdr:col>10</xdr:col>
          <xdr:colOff>0</xdr:colOff>
          <xdr:row>25</xdr:row>
          <xdr:rowOff>0</xdr:rowOff>
        </xdr:to>
        <xdr:sp macro="" textlink="">
          <xdr:nvSpPr>
            <xdr:cNvPr id="19535" name="ResLevelDefault" hidden="1">
              <a:extLst>
                <a:ext uri="{63B3BB69-23CF-44E3-9099-C40C66FF867C}">
                  <a14:compatExt spid="_x0000_s19535"/>
                </a:ext>
                <a:ext uri="{FF2B5EF4-FFF2-40B4-BE49-F238E27FC236}">
                  <a16:creationId xmlns:a16="http://schemas.microsoft.com/office/drawing/2014/main" id="{00000000-0008-0000-0700-00004F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26</xdr:row>
          <xdr:rowOff>0</xdr:rowOff>
        </xdr:from>
        <xdr:to>
          <xdr:col>10</xdr:col>
          <xdr:colOff>0</xdr:colOff>
          <xdr:row>29</xdr:row>
          <xdr:rowOff>0</xdr:rowOff>
        </xdr:to>
        <xdr:sp macro="" textlink="">
          <xdr:nvSpPr>
            <xdr:cNvPr id="19536" name="ResLevelUser" hidden="1">
              <a:extLst>
                <a:ext uri="{63B3BB69-23CF-44E3-9099-C40C66FF867C}">
                  <a14:compatExt spid="_x0000_s19536"/>
                </a:ext>
                <a:ext uri="{FF2B5EF4-FFF2-40B4-BE49-F238E27FC236}">
                  <a16:creationId xmlns:a16="http://schemas.microsoft.com/office/drawing/2014/main" id="{00000000-0008-0000-0700-000050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412750</xdr:colOff>
          <xdr:row>37</xdr:row>
          <xdr:rowOff>0</xdr:rowOff>
        </xdr:from>
        <xdr:to>
          <xdr:col>15</xdr:col>
          <xdr:colOff>0</xdr:colOff>
          <xdr:row>38</xdr:row>
          <xdr:rowOff>0</xdr:rowOff>
        </xdr:to>
        <xdr:sp macro="" textlink="">
          <xdr:nvSpPr>
            <xdr:cNvPr id="19538" name="ICF_Young" hidden="1">
              <a:extLst>
                <a:ext uri="{63B3BB69-23CF-44E3-9099-C40C66FF867C}">
                  <a14:compatExt spid="_x0000_s19538"/>
                </a:ext>
                <a:ext uri="{FF2B5EF4-FFF2-40B4-BE49-F238E27FC236}">
                  <a16:creationId xmlns:a16="http://schemas.microsoft.com/office/drawing/2014/main" id="{00000000-0008-0000-0700-00005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412750</xdr:colOff>
          <xdr:row>39</xdr:row>
          <xdr:rowOff>0</xdr:rowOff>
        </xdr:from>
        <xdr:to>
          <xdr:col>15</xdr:col>
          <xdr:colOff>0</xdr:colOff>
          <xdr:row>40</xdr:row>
          <xdr:rowOff>0</xdr:rowOff>
        </xdr:to>
        <xdr:sp macro="" textlink="">
          <xdr:nvSpPr>
            <xdr:cNvPr id="19540" name="ICF_old" hidden="1">
              <a:extLst>
                <a:ext uri="{63B3BB69-23CF-44E3-9099-C40C66FF867C}">
                  <a14:compatExt spid="_x0000_s19540"/>
                </a:ext>
                <a:ext uri="{FF2B5EF4-FFF2-40B4-BE49-F238E27FC236}">
                  <a16:creationId xmlns:a16="http://schemas.microsoft.com/office/drawing/2014/main" id="{00000000-0008-0000-0700-00005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412750</xdr:colOff>
          <xdr:row>41</xdr:row>
          <xdr:rowOff>0</xdr:rowOff>
        </xdr:from>
        <xdr:to>
          <xdr:col>15</xdr:col>
          <xdr:colOff>0</xdr:colOff>
          <xdr:row>45</xdr:row>
          <xdr:rowOff>0</xdr:rowOff>
        </xdr:to>
        <xdr:sp macro="" textlink="">
          <xdr:nvSpPr>
            <xdr:cNvPr id="19541" name="ICF_Custom" hidden="1">
              <a:extLst>
                <a:ext uri="{63B3BB69-23CF-44E3-9099-C40C66FF867C}">
                  <a14:compatExt spid="_x0000_s19541"/>
                </a:ext>
                <a:ext uri="{FF2B5EF4-FFF2-40B4-BE49-F238E27FC236}">
                  <a16:creationId xmlns:a16="http://schemas.microsoft.com/office/drawing/2014/main" id="{00000000-0008-0000-0700-00005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412750</xdr:colOff>
          <xdr:row>38</xdr:row>
          <xdr:rowOff>0</xdr:rowOff>
        </xdr:from>
        <xdr:to>
          <xdr:col>15</xdr:col>
          <xdr:colOff>0</xdr:colOff>
          <xdr:row>39</xdr:row>
          <xdr:rowOff>0</xdr:rowOff>
        </xdr:to>
        <xdr:sp macro="" textlink="">
          <xdr:nvSpPr>
            <xdr:cNvPr id="19539" name="ICF_Medium" hidden="1">
              <a:extLst>
                <a:ext uri="{63B3BB69-23CF-44E3-9099-C40C66FF867C}">
                  <a14:compatExt spid="_x0000_s19539"/>
                </a:ext>
                <a:ext uri="{FF2B5EF4-FFF2-40B4-BE49-F238E27FC236}">
                  <a16:creationId xmlns:a16="http://schemas.microsoft.com/office/drawing/2014/main" id="{00000000-0008-0000-0700-00005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57</xdr:row>
          <xdr:rowOff>95250</xdr:rowOff>
        </xdr:from>
        <xdr:to>
          <xdr:col>16</xdr:col>
          <xdr:colOff>0</xdr:colOff>
          <xdr:row>58</xdr:row>
          <xdr:rowOff>0</xdr:rowOff>
        </xdr:to>
        <xdr:sp macro="" textlink="">
          <xdr:nvSpPr>
            <xdr:cNvPr id="19544" name="Rep_DM2_Avg" hidden="1">
              <a:extLst>
                <a:ext uri="{63B3BB69-23CF-44E3-9099-C40C66FF867C}">
                  <a14:compatExt spid="_x0000_s19544"/>
                </a:ext>
                <a:ext uri="{FF2B5EF4-FFF2-40B4-BE49-F238E27FC236}">
                  <a16:creationId xmlns:a16="http://schemas.microsoft.com/office/drawing/2014/main" id="{00000000-0008-0000-0700-000058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57</xdr:row>
          <xdr:rowOff>95250</xdr:rowOff>
        </xdr:from>
        <xdr:to>
          <xdr:col>17</xdr:col>
          <xdr:colOff>0</xdr:colOff>
          <xdr:row>58</xdr:row>
          <xdr:rowOff>0</xdr:rowOff>
        </xdr:to>
        <xdr:sp macro="" textlink="">
          <xdr:nvSpPr>
            <xdr:cNvPr id="19572" name="Rep_DM2_Util" hidden="1">
              <a:extLst>
                <a:ext uri="{63B3BB69-23CF-44E3-9099-C40C66FF867C}">
                  <a14:compatExt spid="_x0000_s19572"/>
                </a:ext>
                <a:ext uri="{FF2B5EF4-FFF2-40B4-BE49-F238E27FC236}">
                  <a16:creationId xmlns:a16="http://schemas.microsoft.com/office/drawing/2014/main" id="{00000000-0008-0000-0700-00007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58</xdr:row>
          <xdr:rowOff>95250</xdr:rowOff>
        </xdr:from>
        <xdr:to>
          <xdr:col>16</xdr:col>
          <xdr:colOff>0</xdr:colOff>
          <xdr:row>59</xdr:row>
          <xdr:rowOff>0</xdr:rowOff>
        </xdr:to>
        <xdr:sp macro="" textlink="">
          <xdr:nvSpPr>
            <xdr:cNvPr id="19573" name="Rep_DM3_Avg" hidden="1">
              <a:extLst>
                <a:ext uri="{63B3BB69-23CF-44E3-9099-C40C66FF867C}">
                  <a14:compatExt spid="_x0000_s19573"/>
                </a:ext>
                <a:ext uri="{FF2B5EF4-FFF2-40B4-BE49-F238E27FC236}">
                  <a16:creationId xmlns:a16="http://schemas.microsoft.com/office/drawing/2014/main" id="{00000000-0008-0000-0700-00007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58</xdr:row>
          <xdr:rowOff>95250</xdr:rowOff>
        </xdr:from>
        <xdr:to>
          <xdr:col>17</xdr:col>
          <xdr:colOff>0</xdr:colOff>
          <xdr:row>59</xdr:row>
          <xdr:rowOff>0</xdr:rowOff>
        </xdr:to>
        <xdr:sp macro="" textlink="">
          <xdr:nvSpPr>
            <xdr:cNvPr id="19574" name="Rep_DM3_Util" hidden="1">
              <a:extLst>
                <a:ext uri="{63B3BB69-23CF-44E3-9099-C40C66FF867C}">
                  <a14:compatExt spid="_x0000_s19574"/>
                </a:ext>
                <a:ext uri="{FF2B5EF4-FFF2-40B4-BE49-F238E27FC236}">
                  <a16:creationId xmlns:a16="http://schemas.microsoft.com/office/drawing/2014/main" id="{00000000-0008-0000-0700-00007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59</xdr:row>
          <xdr:rowOff>95250</xdr:rowOff>
        </xdr:from>
        <xdr:to>
          <xdr:col>16</xdr:col>
          <xdr:colOff>0</xdr:colOff>
          <xdr:row>60</xdr:row>
          <xdr:rowOff>0</xdr:rowOff>
        </xdr:to>
        <xdr:sp macro="" textlink="">
          <xdr:nvSpPr>
            <xdr:cNvPr id="19575" name="Rep_DM4_Avg" hidden="1">
              <a:extLst>
                <a:ext uri="{63B3BB69-23CF-44E3-9099-C40C66FF867C}">
                  <a14:compatExt spid="_x0000_s19575"/>
                </a:ext>
                <a:ext uri="{FF2B5EF4-FFF2-40B4-BE49-F238E27FC236}">
                  <a16:creationId xmlns:a16="http://schemas.microsoft.com/office/drawing/2014/main" id="{00000000-0008-0000-0700-00007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60</xdr:row>
          <xdr:rowOff>95250</xdr:rowOff>
        </xdr:from>
        <xdr:to>
          <xdr:col>16</xdr:col>
          <xdr:colOff>0</xdr:colOff>
          <xdr:row>61</xdr:row>
          <xdr:rowOff>0</xdr:rowOff>
        </xdr:to>
        <xdr:sp macro="" textlink="">
          <xdr:nvSpPr>
            <xdr:cNvPr id="19576" name="Rep_DM6_Avg" hidden="1">
              <a:extLst>
                <a:ext uri="{63B3BB69-23CF-44E3-9099-C40C66FF867C}">
                  <a14:compatExt spid="_x0000_s19576"/>
                </a:ext>
                <a:ext uri="{FF2B5EF4-FFF2-40B4-BE49-F238E27FC236}">
                  <a16:creationId xmlns:a16="http://schemas.microsoft.com/office/drawing/2014/main" id="{00000000-0008-0000-0700-000078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59</xdr:row>
          <xdr:rowOff>95250</xdr:rowOff>
        </xdr:from>
        <xdr:to>
          <xdr:col>17</xdr:col>
          <xdr:colOff>0</xdr:colOff>
          <xdr:row>60</xdr:row>
          <xdr:rowOff>0</xdr:rowOff>
        </xdr:to>
        <xdr:sp macro="" textlink="">
          <xdr:nvSpPr>
            <xdr:cNvPr id="19577" name="Rep_DM4_Util" hidden="1">
              <a:extLst>
                <a:ext uri="{63B3BB69-23CF-44E3-9099-C40C66FF867C}">
                  <a14:compatExt spid="_x0000_s19577"/>
                </a:ext>
                <a:ext uri="{FF2B5EF4-FFF2-40B4-BE49-F238E27FC236}">
                  <a16:creationId xmlns:a16="http://schemas.microsoft.com/office/drawing/2014/main" id="{00000000-0008-0000-0700-000079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60</xdr:row>
          <xdr:rowOff>95250</xdr:rowOff>
        </xdr:from>
        <xdr:to>
          <xdr:col>17</xdr:col>
          <xdr:colOff>0</xdr:colOff>
          <xdr:row>61</xdr:row>
          <xdr:rowOff>0</xdr:rowOff>
        </xdr:to>
        <xdr:sp macro="" textlink="">
          <xdr:nvSpPr>
            <xdr:cNvPr id="19578" name="Rep_DM6_Util" hidden="1">
              <a:extLst>
                <a:ext uri="{63B3BB69-23CF-44E3-9099-C40C66FF867C}">
                  <a14:compatExt spid="_x0000_s19578"/>
                </a:ext>
                <a:ext uri="{FF2B5EF4-FFF2-40B4-BE49-F238E27FC236}">
                  <a16:creationId xmlns:a16="http://schemas.microsoft.com/office/drawing/2014/main" id="{00000000-0008-0000-0700-00007A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63</xdr:row>
          <xdr:rowOff>95250</xdr:rowOff>
        </xdr:from>
        <xdr:to>
          <xdr:col>17</xdr:col>
          <xdr:colOff>0</xdr:colOff>
          <xdr:row>64</xdr:row>
          <xdr:rowOff>0</xdr:rowOff>
        </xdr:to>
        <xdr:sp macro="" textlink="">
          <xdr:nvSpPr>
            <xdr:cNvPr id="19579" name="Rep_DM12_Util" hidden="1">
              <a:extLst>
                <a:ext uri="{63B3BB69-23CF-44E3-9099-C40C66FF867C}">
                  <a14:compatExt spid="_x0000_s19579"/>
                </a:ext>
                <a:ext uri="{FF2B5EF4-FFF2-40B4-BE49-F238E27FC236}">
                  <a16:creationId xmlns:a16="http://schemas.microsoft.com/office/drawing/2014/main" id="{00000000-0008-0000-0700-00007B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62</xdr:row>
          <xdr:rowOff>95250</xdr:rowOff>
        </xdr:from>
        <xdr:to>
          <xdr:col>17</xdr:col>
          <xdr:colOff>0</xdr:colOff>
          <xdr:row>63</xdr:row>
          <xdr:rowOff>0</xdr:rowOff>
        </xdr:to>
        <xdr:sp macro="" textlink="">
          <xdr:nvSpPr>
            <xdr:cNvPr id="19580" name="Rep_DM10_Util" hidden="1">
              <a:extLst>
                <a:ext uri="{63B3BB69-23CF-44E3-9099-C40C66FF867C}">
                  <a14:compatExt spid="_x0000_s19580"/>
                </a:ext>
                <a:ext uri="{FF2B5EF4-FFF2-40B4-BE49-F238E27FC236}">
                  <a16:creationId xmlns:a16="http://schemas.microsoft.com/office/drawing/2014/main" id="{00000000-0008-0000-0700-00007C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62</xdr:row>
          <xdr:rowOff>95250</xdr:rowOff>
        </xdr:from>
        <xdr:to>
          <xdr:col>16</xdr:col>
          <xdr:colOff>0</xdr:colOff>
          <xdr:row>63</xdr:row>
          <xdr:rowOff>0</xdr:rowOff>
        </xdr:to>
        <xdr:sp macro="" textlink="">
          <xdr:nvSpPr>
            <xdr:cNvPr id="19581" name="Rep_DM10_Avg" hidden="1">
              <a:extLst>
                <a:ext uri="{63B3BB69-23CF-44E3-9099-C40C66FF867C}">
                  <a14:compatExt spid="_x0000_s19581"/>
                </a:ext>
                <a:ext uri="{FF2B5EF4-FFF2-40B4-BE49-F238E27FC236}">
                  <a16:creationId xmlns:a16="http://schemas.microsoft.com/office/drawing/2014/main" id="{00000000-0008-0000-0700-00007D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61</xdr:row>
          <xdr:rowOff>95250</xdr:rowOff>
        </xdr:from>
        <xdr:to>
          <xdr:col>17</xdr:col>
          <xdr:colOff>0</xdr:colOff>
          <xdr:row>62</xdr:row>
          <xdr:rowOff>0</xdr:rowOff>
        </xdr:to>
        <xdr:sp macro="" textlink="">
          <xdr:nvSpPr>
            <xdr:cNvPr id="19582" name="Rep_DM8_Util" hidden="1">
              <a:extLst>
                <a:ext uri="{63B3BB69-23CF-44E3-9099-C40C66FF867C}">
                  <a14:compatExt spid="_x0000_s19582"/>
                </a:ext>
                <a:ext uri="{FF2B5EF4-FFF2-40B4-BE49-F238E27FC236}">
                  <a16:creationId xmlns:a16="http://schemas.microsoft.com/office/drawing/2014/main" id="{00000000-0008-0000-0700-00007E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61</xdr:row>
          <xdr:rowOff>95250</xdr:rowOff>
        </xdr:from>
        <xdr:to>
          <xdr:col>16</xdr:col>
          <xdr:colOff>0</xdr:colOff>
          <xdr:row>62</xdr:row>
          <xdr:rowOff>0</xdr:rowOff>
        </xdr:to>
        <xdr:sp macro="" textlink="">
          <xdr:nvSpPr>
            <xdr:cNvPr id="19583" name="Rep_DM8_Avg" hidden="1">
              <a:extLst>
                <a:ext uri="{63B3BB69-23CF-44E3-9099-C40C66FF867C}">
                  <a14:compatExt spid="_x0000_s19583"/>
                </a:ext>
                <a:ext uri="{FF2B5EF4-FFF2-40B4-BE49-F238E27FC236}">
                  <a16:creationId xmlns:a16="http://schemas.microsoft.com/office/drawing/2014/main" id="{00000000-0008-0000-0700-00007F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69</xdr:row>
          <xdr:rowOff>95250</xdr:rowOff>
        </xdr:from>
        <xdr:to>
          <xdr:col>17</xdr:col>
          <xdr:colOff>0</xdr:colOff>
          <xdr:row>70</xdr:row>
          <xdr:rowOff>0</xdr:rowOff>
        </xdr:to>
        <xdr:sp macro="" textlink="">
          <xdr:nvSpPr>
            <xdr:cNvPr id="19584" name="Rep_DM30_Util" hidden="1">
              <a:extLst>
                <a:ext uri="{63B3BB69-23CF-44E3-9099-C40C66FF867C}">
                  <a14:compatExt spid="_x0000_s19584"/>
                </a:ext>
                <a:ext uri="{FF2B5EF4-FFF2-40B4-BE49-F238E27FC236}">
                  <a16:creationId xmlns:a16="http://schemas.microsoft.com/office/drawing/2014/main" id="{00000000-0008-0000-0700-000080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69</xdr:row>
          <xdr:rowOff>95250</xdr:rowOff>
        </xdr:from>
        <xdr:to>
          <xdr:col>16</xdr:col>
          <xdr:colOff>0</xdr:colOff>
          <xdr:row>70</xdr:row>
          <xdr:rowOff>0</xdr:rowOff>
        </xdr:to>
        <xdr:sp macro="" textlink="">
          <xdr:nvSpPr>
            <xdr:cNvPr id="19585" name="Rep_DM30_Avg" hidden="1">
              <a:extLst>
                <a:ext uri="{63B3BB69-23CF-44E3-9099-C40C66FF867C}">
                  <a14:compatExt spid="_x0000_s19585"/>
                </a:ext>
                <a:ext uri="{FF2B5EF4-FFF2-40B4-BE49-F238E27FC236}">
                  <a16:creationId xmlns:a16="http://schemas.microsoft.com/office/drawing/2014/main" id="{00000000-0008-0000-0700-00008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70</xdr:row>
          <xdr:rowOff>95250</xdr:rowOff>
        </xdr:from>
        <xdr:to>
          <xdr:col>17</xdr:col>
          <xdr:colOff>0</xdr:colOff>
          <xdr:row>71</xdr:row>
          <xdr:rowOff>0</xdr:rowOff>
        </xdr:to>
        <xdr:sp macro="" textlink="">
          <xdr:nvSpPr>
            <xdr:cNvPr id="19586" name="Rep_DM36_Util" hidden="1">
              <a:extLst>
                <a:ext uri="{63B3BB69-23CF-44E3-9099-C40C66FF867C}">
                  <a14:compatExt spid="_x0000_s19586"/>
                </a:ext>
                <a:ext uri="{FF2B5EF4-FFF2-40B4-BE49-F238E27FC236}">
                  <a16:creationId xmlns:a16="http://schemas.microsoft.com/office/drawing/2014/main" id="{00000000-0008-0000-0700-00008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70</xdr:row>
          <xdr:rowOff>95250</xdr:rowOff>
        </xdr:from>
        <xdr:to>
          <xdr:col>16</xdr:col>
          <xdr:colOff>0</xdr:colOff>
          <xdr:row>71</xdr:row>
          <xdr:rowOff>0</xdr:rowOff>
        </xdr:to>
        <xdr:sp macro="" textlink="">
          <xdr:nvSpPr>
            <xdr:cNvPr id="19587" name="Rep_DM36_Avg" hidden="1">
              <a:extLst>
                <a:ext uri="{63B3BB69-23CF-44E3-9099-C40C66FF867C}">
                  <a14:compatExt spid="_x0000_s19587"/>
                </a:ext>
                <a:ext uri="{FF2B5EF4-FFF2-40B4-BE49-F238E27FC236}">
                  <a16:creationId xmlns:a16="http://schemas.microsoft.com/office/drawing/2014/main" id="{00000000-0008-0000-0700-00008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71</xdr:row>
          <xdr:rowOff>95250</xdr:rowOff>
        </xdr:from>
        <xdr:to>
          <xdr:col>17</xdr:col>
          <xdr:colOff>0</xdr:colOff>
          <xdr:row>72</xdr:row>
          <xdr:rowOff>0</xdr:rowOff>
        </xdr:to>
        <xdr:sp macro="" textlink="">
          <xdr:nvSpPr>
            <xdr:cNvPr id="19588" name="Rep_DM42_Util" hidden="1">
              <a:extLst>
                <a:ext uri="{63B3BB69-23CF-44E3-9099-C40C66FF867C}">
                  <a14:compatExt spid="_x0000_s19588"/>
                </a:ext>
                <a:ext uri="{FF2B5EF4-FFF2-40B4-BE49-F238E27FC236}">
                  <a16:creationId xmlns:a16="http://schemas.microsoft.com/office/drawing/2014/main" id="{00000000-0008-0000-0700-00008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71</xdr:row>
          <xdr:rowOff>95250</xdr:rowOff>
        </xdr:from>
        <xdr:to>
          <xdr:col>16</xdr:col>
          <xdr:colOff>0</xdr:colOff>
          <xdr:row>72</xdr:row>
          <xdr:rowOff>0</xdr:rowOff>
        </xdr:to>
        <xdr:sp macro="" textlink="">
          <xdr:nvSpPr>
            <xdr:cNvPr id="19589" name="Rep_DM42_Avg" hidden="1">
              <a:extLst>
                <a:ext uri="{63B3BB69-23CF-44E3-9099-C40C66FF867C}">
                  <a14:compatExt spid="_x0000_s19589"/>
                </a:ext>
                <a:ext uri="{FF2B5EF4-FFF2-40B4-BE49-F238E27FC236}">
                  <a16:creationId xmlns:a16="http://schemas.microsoft.com/office/drawing/2014/main" id="{00000000-0008-0000-0700-00008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72</xdr:row>
          <xdr:rowOff>95250</xdr:rowOff>
        </xdr:from>
        <xdr:to>
          <xdr:col>17</xdr:col>
          <xdr:colOff>0</xdr:colOff>
          <xdr:row>73</xdr:row>
          <xdr:rowOff>0</xdr:rowOff>
        </xdr:to>
        <xdr:sp macro="" textlink="">
          <xdr:nvSpPr>
            <xdr:cNvPr id="19590" name="Rep_DM48_Util" hidden="1">
              <a:extLst>
                <a:ext uri="{63B3BB69-23CF-44E3-9099-C40C66FF867C}">
                  <a14:compatExt spid="_x0000_s19590"/>
                </a:ext>
                <a:ext uri="{FF2B5EF4-FFF2-40B4-BE49-F238E27FC236}">
                  <a16:creationId xmlns:a16="http://schemas.microsoft.com/office/drawing/2014/main" id="{00000000-0008-0000-0700-00008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72</xdr:row>
          <xdr:rowOff>95250</xdr:rowOff>
        </xdr:from>
        <xdr:to>
          <xdr:col>16</xdr:col>
          <xdr:colOff>0</xdr:colOff>
          <xdr:row>73</xdr:row>
          <xdr:rowOff>0</xdr:rowOff>
        </xdr:to>
        <xdr:sp macro="" textlink="">
          <xdr:nvSpPr>
            <xdr:cNvPr id="19591" name="Rep_DM48_Avg" hidden="1">
              <a:extLst>
                <a:ext uri="{63B3BB69-23CF-44E3-9099-C40C66FF867C}">
                  <a14:compatExt spid="_x0000_s19591"/>
                </a:ext>
                <a:ext uri="{FF2B5EF4-FFF2-40B4-BE49-F238E27FC236}">
                  <a16:creationId xmlns:a16="http://schemas.microsoft.com/office/drawing/2014/main" id="{00000000-0008-0000-0700-00008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73</xdr:row>
          <xdr:rowOff>95250</xdr:rowOff>
        </xdr:from>
        <xdr:to>
          <xdr:col>17</xdr:col>
          <xdr:colOff>0</xdr:colOff>
          <xdr:row>74</xdr:row>
          <xdr:rowOff>0</xdr:rowOff>
        </xdr:to>
        <xdr:sp macro="" textlink="">
          <xdr:nvSpPr>
            <xdr:cNvPr id="19592" name="Rep_DM54_Util" hidden="1">
              <a:extLst>
                <a:ext uri="{63B3BB69-23CF-44E3-9099-C40C66FF867C}">
                  <a14:compatExt spid="_x0000_s19592"/>
                </a:ext>
                <a:ext uri="{FF2B5EF4-FFF2-40B4-BE49-F238E27FC236}">
                  <a16:creationId xmlns:a16="http://schemas.microsoft.com/office/drawing/2014/main" id="{00000000-0008-0000-0700-000088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73</xdr:row>
          <xdr:rowOff>95250</xdr:rowOff>
        </xdr:from>
        <xdr:to>
          <xdr:col>16</xdr:col>
          <xdr:colOff>0</xdr:colOff>
          <xdr:row>74</xdr:row>
          <xdr:rowOff>0</xdr:rowOff>
        </xdr:to>
        <xdr:sp macro="" textlink="">
          <xdr:nvSpPr>
            <xdr:cNvPr id="19593" name="Rep_DM54_Avg" hidden="1">
              <a:extLst>
                <a:ext uri="{63B3BB69-23CF-44E3-9099-C40C66FF867C}">
                  <a14:compatExt spid="_x0000_s19593"/>
                </a:ext>
                <a:ext uri="{FF2B5EF4-FFF2-40B4-BE49-F238E27FC236}">
                  <a16:creationId xmlns:a16="http://schemas.microsoft.com/office/drawing/2014/main" id="{00000000-0008-0000-0700-000089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74</xdr:row>
          <xdr:rowOff>95250</xdr:rowOff>
        </xdr:from>
        <xdr:to>
          <xdr:col>17</xdr:col>
          <xdr:colOff>0</xdr:colOff>
          <xdr:row>75</xdr:row>
          <xdr:rowOff>0</xdr:rowOff>
        </xdr:to>
        <xdr:sp macro="" textlink="">
          <xdr:nvSpPr>
            <xdr:cNvPr id="19594" name="Rep_DM60_Util" hidden="1">
              <a:extLst>
                <a:ext uri="{63B3BB69-23CF-44E3-9099-C40C66FF867C}">
                  <a14:compatExt spid="_x0000_s19594"/>
                </a:ext>
                <a:ext uri="{FF2B5EF4-FFF2-40B4-BE49-F238E27FC236}">
                  <a16:creationId xmlns:a16="http://schemas.microsoft.com/office/drawing/2014/main" id="{00000000-0008-0000-0700-00008A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74</xdr:row>
          <xdr:rowOff>95250</xdr:rowOff>
        </xdr:from>
        <xdr:to>
          <xdr:col>16</xdr:col>
          <xdr:colOff>0</xdr:colOff>
          <xdr:row>75</xdr:row>
          <xdr:rowOff>0</xdr:rowOff>
        </xdr:to>
        <xdr:sp macro="" textlink="">
          <xdr:nvSpPr>
            <xdr:cNvPr id="19595" name="Rep_DM60_Avg" hidden="1">
              <a:extLst>
                <a:ext uri="{63B3BB69-23CF-44E3-9099-C40C66FF867C}">
                  <a14:compatExt spid="_x0000_s19595"/>
                </a:ext>
                <a:ext uri="{FF2B5EF4-FFF2-40B4-BE49-F238E27FC236}">
                  <a16:creationId xmlns:a16="http://schemas.microsoft.com/office/drawing/2014/main" id="{00000000-0008-0000-0700-00008B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75</xdr:row>
          <xdr:rowOff>95250</xdr:rowOff>
        </xdr:from>
        <xdr:to>
          <xdr:col>17</xdr:col>
          <xdr:colOff>0</xdr:colOff>
          <xdr:row>76</xdr:row>
          <xdr:rowOff>0</xdr:rowOff>
        </xdr:to>
        <xdr:sp macro="" textlink="">
          <xdr:nvSpPr>
            <xdr:cNvPr id="19596" name="Rep_DMG60_Util" hidden="1">
              <a:extLst>
                <a:ext uri="{63B3BB69-23CF-44E3-9099-C40C66FF867C}">
                  <a14:compatExt spid="_x0000_s19596"/>
                </a:ext>
                <a:ext uri="{FF2B5EF4-FFF2-40B4-BE49-F238E27FC236}">
                  <a16:creationId xmlns:a16="http://schemas.microsoft.com/office/drawing/2014/main" id="{00000000-0008-0000-0700-00008C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75</xdr:row>
          <xdr:rowOff>95250</xdr:rowOff>
        </xdr:from>
        <xdr:to>
          <xdr:col>16</xdr:col>
          <xdr:colOff>0</xdr:colOff>
          <xdr:row>76</xdr:row>
          <xdr:rowOff>0</xdr:rowOff>
        </xdr:to>
        <xdr:sp macro="" textlink="">
          <xdr:nvSpPr>
            <xdr:cNvPr id="19597" name="Rep_DMG60_Avg" hidden="1">
              <a:extLst>
                <a:ext uri="{63B3BB69-23CF-44E3-9099-C40C66FF867C}">
                  <a14:compatExt spid="_x0000_s19597"/>
                </a:ext>
                <a:ext uri="{FF2B5EF4-FFF2-40B4-BE49-F238E27FC236}">
                  <a16:creationId xmlns:a16="http://schemas.microsoft.com/office/drawing/2014/main" id="{00000000-0008-0000-0700-00008D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64</xdr:row>
          <xdr:rowOff>95250</xdr:rowOff>
        </xdr:from>
        <xdr:to>
          <xdr:col>16</xdr:col>
          <xdr:colOff>0</xdr:colOff>
          <xdr:row>65</xdr:row>
          <xdr:rowOff>0</xdr:rowOff>
        </xdr:to>
        <xdr:sp macro="" textlink="">
          <xdr:nvSpPr>
            <xdr:cNvPr id="19599" name="Rep_DM14_Avg" hidden="1">
              <a:extLst>
                <a:ext uri="{63B3BB69-23CF-44E3-9099-C40C66FF867C}">
                  <a14:compatExt spid="_x0000_s19599"/>
                </a:ext>
                <a:ext uri="{FF2B5EF4-FFF2-40B4-BE49-F238E27FC236}">
                  <a16:creationId xmlns:a16="http://schemas.microsoft.com/office/drawing/2014/main" id="{00000000-0008-0000-0700-00008F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65</xdr:row>
          <xdr:rowOff>95250</xdr:rowOff>
        </xdr:from>
        <xdr:to>
          <xdr:col>17</xdr:col>
          <xdr:colOff>0</xdr:colOff>
          <xdr:row>66</xdr:row>
          <xdr:rowOff>0</xdr:rowOff>
        </xdr:to>
        <xdr:sp macro="" textlink="">
          <xdr:nvSpPr>
            <xdr:cNvPr id="19600" name="Rep_DM16_Util" hidden="1">
              <a:extLst>
                <a:ext uri="{63B3BB69-23CF-44E3-9099-C40C66FF867C}">
                  <a14:compatExt spid="_x0000_s19600"/>
                </a:ext>
                <a:ext uri="{FF2B5EF4-FFF2-40B4-BE49-F238E27FC236}">
                  <a16:creationId xmlns:a16="http://schemas.microsoft.com/office/drawing/2014/main" id="{00000000-0008-0000-0700-000090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64</xdr:row>
          <xdr:rowOff>95250</xdr:rowOff>
        </xdr:from>
        <xdr:to>
          <xdr:col>17</xdr:col>
          <xdr:colOff>0</xdr:colOff>
          <xdr:row>65</xdr:row>
          <xdr:rowOff>0</xdr:rowOff>
        </xdr:to>
        <xdr:sp macro="" textlink="">
          <xdr:nvSpPr>
            <xdr:cNvPr id="19601" name="Rep_DM14_Util" hidden="1">
              <a:extLst>
                <a:ext uri="{63B3BB69-23CF-44E3-9099-C40C66FF867C}">
                  <a14:compatExt spid="_x0000_s19601"/>
                </a:ext>
                <a:ext uri="{FF2B5EF4-FFF2-40B4-BE49-F238E27FC236}">
                  <a16:creationId xmlns:a16="http://schemas.microsoft.com/office/drawing/2014/main" id="{00000000-0008-0000-0700-00009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65</xdr:row>
          <xdr:rowOff>95250</xdr:rowOff>
        </xdr:from>
        <xdr:to>
          <xdr:col>16</xdr:col>
          <xdr:colOff>0</xdr:colOff>
          <xdr:row>66</xdr:row>
          <xdr:rowOff>0</xdr:rowOff>
        </xdr:to>
        <xdr:sp macro="" textlink="">
          <xdr:nvSpPr>
            <xdr:cNvPr id="19602" name="Rep_DM16_Avg" hidden="1">
              <a:extLst>
                <a:ext uri="{63B3BB69-23CF-44E3-9099-C40C66FF867C}">
                  <a14:compatExt spid="_x0000_s19602"/>
                </a:ext>
                <a:ext uri="{FF2B5EF4-FFF2-40B4-BE49-F238E27FC236}">
                  <a16:creationId xmlns:a16="http://schemas.microsoft.com/office/drawing/2014/main" id="{00000000-0008-0000-0700-00009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66</xdr:row>
          <xdr:rowOff>95250</xdr:rowOff>
        </xdr:from>
        <xdr:to>
          <xdr:col>16</xdr:col>
          <xdr:colOff>0</xdr:colOff>
          <xdr:row>67</xdr:row>
          <xdr:rowOff>0</xdr:rowOff>
        </xdr:to>
        <xdr:sp macro="" textlink="">
          <xdr:nvSpPr>
            <xdr:cNvPr id="19603" name="Rep_DM18_Avg" hidden="1">
              <a:extLst>
                <a:ext uri="{63B3BB69-23CF-44E3-9099-C40C66FF867C}">
                  <a14:compatExt spid="_x0000_s19603"/>
                </a:ext>
                <a:ext uri="{FF2B5EF4-FFF2-40B4-BE49-F238E27FC236}">
                  <a16:creationId xmlns:a16="http://schemas.microsoft.com/office/drawing/2014/main" id="{00000000-0008-0000-0700-00009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66</xdr:row>
          <xdr:rowOff>95250</xdr:rowOff>
        </xdr:from>
        <xdr:to>
          <xdr:col>17</xdr:col>
          <xdr:colOff>0</xdr:colOff>
          <xdr:row>67</xdr:row>
          <xdr:rowOff>0</xdr:rowOff>
        </xdr:to>
        <xdr:sp macro="" textlink="">
          <xdr:nvSpPr>
            <xdr:cNvPr id="19604" name="Rep_DM18_Util" hidden="1">
              <a:extLst>
                <a:ext uri="{63B3BB69-23CF-44E3-9099-C40C66FF867C}">
                  <a14:compatExt spid="_x0000_s19604"/>
                </a:ext>
                <a:ext uri="{FF2B5EF4-FFF2-40B4-BE49-F238E27FC236}">
                  <a16:creationId xmlns:a16="http://schemas.microsoft.com/office/drawing/2014/main" id="{00000000-0008-0000-0700-00009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67</xdr:row>
          <xdr:rowOff>95250</xdr:rowOff>
        </xdr:from>
        <xdr:to>
          <xdr:col>16</xdr:col>
          <xdr:colOff>0</xdr:colOff>
          <xdr:row>68</xdr:row>
          <xdr:rowOff>0</xdr:rowOff>
        </xdr:to>
        <xdr:sp macro="" textlink="">
          <xdr:nvSpPr>
            <xdr:cNvPr id="19605" name="Rep_DM20_Avg" hidden="1">
              <a:extLst>
                <a:ext uri="{63B3BB69-23CF-44E3-9099-C40C66FF867C}">
                  <a14:compatExt spid="_x0000_s19605"/>
                </a:ext>
                <a:ext uri="{FF2B5EF4-FFF2-40B4-BE49-F238E27FC236}">
                  <a16:creationId xmlns:a16="http://schemas.microsoft.com/office/drawing/2014/main" id="{00000000-0008-0000-0700-00009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67</xdr:row>
          <xdr:rowOff>95250</xdr:rowOff>
        </xdr:from>
        <xdr:to>
          <xdr:col>17</xdr:col>
          <xdr:colOff>0</xdr:colOff>
          <xdr:row>68</xdr:row>
          <xdr:rowOff>0</xdr:rowOff>
        </xdr:to>
        <xdr:sp macro="" textlink="">
          <xdr:nvSpPr>
            <xdr:cNvPr id="19606" name="Rep_DM20_Util" hidden="1">
              <a:extLst>
                <a:ext uri="{63B3BB69-23CF-44E3-9099-C40C66FF867C}">
                  <a14:compatExt spid="_x0000_s19606"/>
                </a:ext>
                <a:ext uri="{FF2B5EF4-FFF2-40B4-BE49-F238E27FC236}">
                  <a16:creationId xmlns:a16="http://schemas.microsoft.com/office/drawing/2014/main" id="{00000000-0008-0000-0700-00009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68</xdr:row>
          <xdr:rowOff>95250</xdr:rowOff>
        </xdr:from>
        <xdr:to>
          <xdr:col>16</xdr:col>
          <xdr:colOff>0</xdr:colOff>
          <xdr:row>69</xdr:row>
          <xdr:rowOff>0</xdr:rowOff>
        </xdr:to>
        <xdr:sp macro="" textlink="">
          <xdr:nvSpPr>
            <xdr:cNvPr id="19607" name="Rep_DM24_Avg" hidden="1">
              <a:extLst>
                <a:ext uri="{63B3BB69-23CF-44E3-9099-C40C66FF867C}">
                  <a14:compatExt spid="_x0000_s19607"/>
                </a:ext>
                <a:ext uri="{FF2B5EF4-FFF2-40B4-BE49-F238E27FC236}">
                  <a16:creationId xmlns:a16="http://schemas.microsoft.com/office/drawing/2014/main" id="{00000000-0008-0000-0700-00009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68</xdr:row>
          <xdr:rowOff>95250</xdr:rowOff>
        </xdr:from>
        <xdr:to>
          <xdr:col>17</xdr:col>
          <xdr:colOff>0</xdr:colOff>
          <xdr:row>69</xdr:row>
          <xdr:rowOff>0</xdr:rowOff>
        </xdr:to>
        <xdr:sp macro="" textlink="">
          <xdr:nvSpPr>
            <xdr:cNvPr id="19608" name="Rep_DM24_Util" hidden="1">
              <a:extLst>
                <a:ext uri="{63B3BB69-23CF-44E3-9099-C40C66FF867C}">
                  <a14:compatExt spid="_x0000_s19608"/>
                </a:ext>
                <a:ext uri="{FF2B5EF4-FFF2-40B4-BE49-F238E27FC236}">
                  <a16:creationId xmlns:a16="http://schemas.microsoft.com/office/drawing/2014/main" id="{00000000-0008-0000-0700-000098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86</xdr:row>
          <xdr:rowOff>95250</xdr:rowOff>
        </xdr:from>
        <xdr:to>
          <xdr:col>16</xdr:col>
          <xdr:colOff>0</xdr:colOff>
          <xdr:row>87</xdr:row>
          <xdr:rowOff>0</xdr:rowOff>
        </xdr:to>
        <xdr:sp macro="" textlink="">
          <xdr:nvSpPr>
            <xdr:cNvPr id="19610" name="Rep_V_Avg" hidden="1">
              <a:extLst>
                <a:ext uri="{63B3BB69-23CF-44E3-9099-C40C66FF867C}">
                  <a14:compatExt spid="_x0000_s19610"/>
                </a:ext>
                <a:ext uri="{FF2B5EF4-FFF2-40B4-BE49-F238E27FC236}">
                  <a16:creationId xmlns:a16="http://schemas.microsoft.com/office/drawing/2014/main" id="{00000000-0008-0000-0700-00009A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86</xdr:row>
          <xdr:rowOff>95250</xdr:rowOff>
        </xdr:from>
        <xdr:to>
          <xdr:col>17</xdr:col>
          <xdr:colOff>0</xdr:colOff>
          <xdr:row>87</xdr:row>
          <xdr:rowOff>0</xdr:rowOff>
        </xdr:to>
        <xdr:sp macro="" textlink="">
          <xdr:nvSpPr>
            <xdr:cNvPr id="19611" name="Rep_V_Util" hidden="1">
              <a:extLst>
                <a:ext uri="{63B3BB69-23CF-44E3-9099-C40C66FF867C}">
                  <a14:compatExt spid="_x0000_s19611"/>
                </a:ext>
                <a:ext uri="{FF2B5EF4-FFF2-40B4-BE49-F238E27FC236}">
                  <a16:creationId xmlns:a16="http://schemas.microsoft.com/office/drawing/2014/main" id="{00000000-0008-0000-0700-00009B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156</xdr:row>
          <xdr:rowOff>88900</xdr:rowOff>
        </xdr:from>
        <xdr:to>
          <xdr:col>16</xdr:col>
          <xdr:colOff>0</xdr:colOff>
          <xdr:row>156</xdr:row>
          <xdr:rowOff>241300</xdr:rowOff>
        </xdr:to>
        <xdr:sp macro="" textlink="">
          <xdr:nvSpPr>
            <xdr:cNvPr id="19612" name="Urep_Serv_SM1_Avg" hidden="1">
              <a:extLst>
                <a:ext uri="{63B3BB69-23CF-44E3-9099-C40C66FF867C}">
                  <a14:compatExt spid="_x0000_s19612"/>
                </a:ext>
                <a:ext uri="{FF2B5EF4-FFF2-40B4-BE49-F238E27FC236}">
                  <a16:creationId xmlns:a16="http://schemas.microsoft.com/office/drawing/2014/main" id="{00000000-0008-0000-0700-00009C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87</xdr:row>
          <xdr:rowOff>95250</xdr:rowOff>
        </xdr:from>
        <xdr:to>
          <xdr:col>17</xdr:col>
          <xdr:colOff>0</xdr:colOff>
          <xdr:row>88</xdr:row>
          <xdr:rowOff>0</xdr:rowOff>
        </xdr:to>
        <xdr:sp macro="" textlink="">
          <xdr:nvSpPr>
            <xdr:cNvPr id="19613" name="Rep_BO_Util" hidden="1">
              <a:extLst>
                <a:ext uri="{63B3BB69-23CF-44E3-9099-C40C66FF867C}">
                  <a14:compatExt spid="_x0000_s19613"/>
                </a:ext>
                <a:ext uri="{FF2B5EF4-FFF2-40B4-BE49-F238E27FC236}">
                  <a16:creationId xmlns:a16="http://schemas.microsoft.com/office/drawing/2014/main" id="{00000000-0008-0000-0700-00009D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98</xdr:row>
          <xdr:rowOff>95250</xdr:rowOff>
        </xdr:from>
        <xdr:to>
          <xdr:col>16</xdr:col>
          <xdr:colOff>0</xdr:colOff>
          <xdr:row>99</xdr:row>
          <xdr:rowOff>0</xdr:rowOff>
        </xdr:to>
        <xdr:sp macro="" textlink="">
          <xdr:nvSpPr>
            <xdr:cNvPr id="19614" name="Rep_Serv_GR1_Avg" hidden="1">
              <a:extLst>
                <a:ext uri="{63B3BB69-23CF-44E3-9099-C40C66FF867C}">
                  <a14:compatExt spid="_x0000_s19614"/>
                </a:ext>
                <a:ext uri="{FF2B5EF4-FFF2-40B4-BE49-F238E27FC236}">
                  <a16:creationId xmlns:a16="http://schemas.microsoft.com/office/drawing/2014/main" id="{00000000-0008-0000-0700-00009E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87</xdr:row>
          <xdr:rowOff>95250</xdr:rowOff>
        </xdr:from>
        <xdr:to>
          <xdr:col>16</xdr:col>
          <xdr:colOff>0</xdr:colOff>
          <xdr:row>88</xdr:row>
          <xdr:rowOff>0</xdr:rowOff>
        </xdr:to>
        <xdr:sp macro="" textlink="">
          <xdr:nvSpPr>
            <xdr:cNvPr id="19615" name="Rep_BO_Avg" hidden="1">
              <a:extLst>
                <a:ext uri="{63B3BB69-23CF-44E3-9099-C40C66FF867C}">
                  <a14:compatExt spid="_x0000_s19615"/>
                </a:ext>
                <a:ext uri="{FF2B5EF4-FFF2-40B4-BE49-F238E27FC236}">
                  <a16:creationId xmlns:a16="http://schemas.microsoft.com/office/drawing/2014/main" id="{00000000-0008-0000-0700-00009F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63</xdr:row>
          <xdr:rowOff>95250</xdr:rowOff>
        </xdr:from>
        <xdr:to>
          <xdr:col>16</xdr:col>
          <xdr:colOff>0</xdr:colOff>
          <xdr:row>64</xdr:row>
          <xdr:rowOff>0</xdr:rowOff>
        </xdr:to>
        <xdr:sp macro="" textlink="">
          <xdr:nvSpPr>
            <xdr:cNvPr id="19616" name="Rep_DM12_Avg" hidden="1">
              <a:extLst>
                <a:ext uri="{63B3BB69-23CF-44E3-9099-C40C66FF867C}">
                  <a14:compatExt spid="_x0000_s19616"/>
                </a:ext>
                <a:ext uri="{FF2B5EF4-FFF2-40B4-BE49-F238E27FC236}">
                  <a16:creationId xmlns:a16="http://schemas.microsoft.com/office/drawing/2014/main" id="{00000000-0008-0000-0700-0000A0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116</xdr:row>
          <xdr:rowOff>95250</xdr:rowOff>
        </xdr:from>
        <xdr:to>
          <xdr:col>16</xdr:col>
          <xdr:colOff>0</xdr:colOff>
          <xdr:row>117</xdr:row>
          <xdr:rowOff>0</xdr:rowOff>
        </xdr:to>
        <xdr:sp macro="" textlink="">
          <xdr:nvSpPr>
            <xdr:cNvPr id="19617" name="Urep_DM2_Avg" hidden="1">
              <a:extLst>
                <a:ext uri="{63B3BB69-23CF-44E3-9099-C40C66FF867C}">
                  <a14:compatExt spid="_x0000_s19617"/>
                </a:ext>
                <a:ext uri="{FF2B5EF4-FFF2-40B4-BE49-F238E27FC236}">
                  <a16:creationId xmlns:a16="http://schemas.microsoft.com/office/drawing/2014/main" id="{00000000-0008-0000-0700-0000A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116</xdr:row>
          <xdr:rowOff>95250</xdr:rowOff>
        </xdr:from>
        <xdr:to>
          <xdr:col>17</xdr:col>
          <xdr:colOff>0</xdr:colOff>
          <xdr:row>117</xdr:row>
          <xdr:rowOff>0</xdr:rowOff>
        </xdr:to>
        <xdr:sp macro="" textlink="">
          <xdr:nvSpPr>
            <xdr:cNvPr id="19618" name="Urep_DM2_Util" hidden="1">
              <a:extLst>
                <a:ext uri="{63B3BB69-23CF-44E3-9099-C40C66FF867C}">
                  <a14:compatExt spid="_x0000_s19618"/>
                </a:ext>
                <a:ext uri="{FF2B5EF4-FFF2-40B4-BE49-F238E27FC236}">
                  <a16:creationId xmlns:a16="http://schemas.microsoft.com/office/drawing/2014/main" id="{00000000-0008-0000-0700-0000A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117</xdr:row>
          <xdr:rowOff>95250</xdr:rowOff>
        </xdr:from>
        <xdr:to>
          <xdr:col>16</xdr:col>
          <xdr:colOff>0</xdr:colOff>
          <xdr:row>118</xdr:row>
          <xdr:rowOff>0</xdr:rowOff>
        </xdr:to>
        <xdr:sp macro="" textlink="">
          <xdr:nvSpPr>
            <xdr:cNvPr id="19619" name="Urep_DM3_Avg" hidden="1">
              <a:extLst>
                <a:ext uri="{63B3BB69-23CF-44E3-9099-C40C66FF867C}">
                  <a14:compatExt spid="_x0000_s19619"/>
                </a:ext>
                <a:ext uri="{FF2B5EF4-FFF2-40B4-BE49-F238E27FC236}">
                  <a16:creationId xmlns:a16="http://schemas.microsoft.com/office/drawing/2014/main" id="{00000000-0008-0000-0700-0000A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117</xdr:row>
          <xdr:rowOff>95250</xdr:rowOff>
        </xdr:from>
        <xdr:to>
          <xdr:col>17</xdr:col>
          <xdr:colOff>0</xdr:colOff>
          <xdr:row>118</xdr:row>
          <xdr:rowOff>0</xdr:rowOff>
        </xdr:to>
        <xdr:sp macro="" textlink="">
          <xdr:nvSpPr>
            <xdr:cNvPr id="19620" name="Urep_DM3_Util" hidden="1">
              <a:extLst>
                <a:ext uri="{63B3BB69-23CF-44E3-9099-C40C66FF867C}">
                  <a14:compatExt spid="_x0000_s19620"/>
                </a:ext>
                <a:ext uri="{FF2B5EF4-FFF2-40B4-BE49-F238E27FC236}">
                  <a16:creationId xmlns:a16="http://schemas.microsoft.com/office/drawing/2014/main" id="{00000000-0008-0000-0700-0000A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118</xdr:row>
          <xdr:rowOff>88900</xdr:rowOff>
        </xdr:from>
        <xdr:to>
          <xdr:col>16</xdr:col>
          <xdr:colOff>0</xdr:colOff>
          <xdr:row>118</xdr:row>
          <xdr:rowOff>241300</xdr:rowOff>
        </xdr:to>
        <xdr:sp macro="" textlink="">
          <xdr:nvSpPr>
            <xdr:cNvPr id="19621" name="Urep_DM4_Avg" hidden="1">
              <a:extLst>
                <a:ext uri="{63B3BB69-23CF-44E3-9099-C40C66FF867C}">
                  <a14:compatExt spid="_x0000_s19621"/>
                </a:ext>
                <a:ext uri="{FF2B5EF4-FFF2-40B4-BE49-F238E27FC236}">
                  <a16:creationId xmlns:a16="http://schemas.microsoft.com/office/drawing/2014/main" id="{00000000-0008-0000-0700-0000A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119</xdr:row>
          <xdr:rowOff>95250</xdr:rowOff>
        </xdr:from>
        <xdr:to>
          <xdr:col>16</xdr:col>
          <xdr:colOff>0</xdr:colOff>
          <xdr:row>120</xdr:row>
          <xdr:rowOff>0</xdr:rowOff>
        </xdr:to>
        <xdr:sp macro="" textlink="">
          <xdr:nvSpPr>
            <xdr:cNvPr id="19622" name="Urep_DM6_Avg" hidden="1">
              <a:extLst>
                <a:ext uri="{63B3BB69-23CF-44E3-9099-C40C66FF867C}">
                  <a14:compatExt spid="_x0000_s19622"/>
                </a:ext>
                <a:ext uri="{FF2B5EF4-FFF2-40B4-BE49-F238E27FC236}">
                  <a16:creationId xmlns:a16="http://schemas.microsoft.com/office/drawing/2014/main" id="{00000000-0008-0000-0700-0000A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118</xdr:row>
          <xdr:rowOff>88900</xdr:rowOff>
        </xdr:from>
        <xdr:to>
          <xdr:col>17</xdr:col>
          <xdr:colOff>0</xdr:colOff>
          <xdr:row>118</xdr:row>
          <xdr:rowOff>241300</xdr:rowOff>
        </xdr:to>
        <xdr:sp macro="" textlink="">
          <xdr:nvSpPr>
            <xdr:cNvPr id="19623" name="Urep_DM4_Util" hidden="1">
              <a:extLst>
                <a:ext uri="{63B3BB69-23CF-44E3-9099-C40C66FF867C}">
                  <a14:compatExt spid="_x0000_s19623"/>
                </a:ext>
                <a:ext uri="{FF2B5EF4-FFF2-40B4-BE49-F238E27FC236}">
                  <a16:creationId xmlns:a16="http://schemas.microsoft.com/office/drawing/2014/main" id="{00000000-0008-0000-0700-0000A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119</xdr:row>
          <xdr:rowOff>95250</xdr:rowOff>
        </xdr:from>
        <xdr:to>
          <xdr:col>17</xdr:col>
          <xdr:colOff>0</xdr:colOff>
          <xdr:row>120</xdr:row>
          <xdr:rowOff>0</xdr:rowOff>
        </xdr:to>
        <xdr:sp macro="" textlink="">
          <xdr:nvSpPr>
            <xdr:cNvPr id="19624" name="Urep_DM6_Util" hidden="1">
              <a:extLst>
                <a:ext uri="{63B3BB69-23CF-44E3-9099-C40C66FF867C}">
                  <a14:compatExt spid="_x0000_s19624"/>
                </a:ext>
                <a:ext uri="{FF2B5EF4-FFF2-40B4-BE49-F238E27FC236}">
                  <a16:creationId xmlns:a16="http://schemas.microsoft.com/office/drawing/2014/main" id="{00000000-0008-0000-0700-0000A8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122</xdr:row>
          <xdr:rowOff>95250</xdr:rowOff>
        </xdr:from>
        <xdr:to>
          <xdr:col>17</xdr:col>
          <xdr:colOff>0</xdr:colOff>
          <xdr:row>123</xdr:row>
          <xdr:rowOff>0</xdr:rowOff>
        </xdr:to>
        <xdr:sp macro="" textlink="">
          <xdr:nvSpPr>
            <xdr:cNvPr id="19625" name="Urep_DM12_Util" hidden="1">
              <a:extLst>
                <a:ext uri="{63B3BB69-23CF-44E3-9099-C40C66FF867C}">
                  <a14:compatExt spid="_x0000_s19625"/>
                </a:ext>
                <a:ext uri="{FF2B5EF4-FFF2-40B4-BE49-F238E27FC236}">
                  <a16:creationId xmlns:a16="http://schemas.microsoft.com/office/drawing/2014/main" id="{00000000-0008-0000-0700-0000A9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121</xdr:row>
          <xdr:rowOff>95250</xdr:rowOff>
        </xdr:from>
        <xdr:to>
          <xdr:col>17</xdr:col>
          <xdr:colOff>0</xdr:colOff>
          <xdr:row>122</xdr:row>
          <xdr:rowOff>0</xdr:rowOff>
        </xdr:to>
        <xdr:sp macro="" textlink="">
          <xdr:nvSpPr>
            <xdr:cNvPr id="19626" name="Urep_DM10_Util" hidden="1">
              <a:extLst>
                <a:ext uri="{63B3BB69-23CF-44E3-9099-C40C66FF867C}">
                  <a14:compatExt spid="_x0000_s19626"/>
                </a:ext>
                <a:ext uri="{FF2B5EF4-FFF2-40B4-BE49-F238E27FC236}">
                  <a16:creationId xmlns:a16="http://schemas.microsoft.com/office/drawing/2014/main" id="{00000000-0008-0000-0700-0000AA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121</xdr:row>
          <xdr:rowOff>95250</xdr:rowOff>
        </xdr:from>
        <xdr:to>
          <xdr:col>16</xdr:col>
          <xdr:colOff>0</xdr:colOff>
          <xdr:row>122</xdr:row>
          <xdr:rowOff>0</xdr:rowOff>
        </xdr:to>
        <xdr:sp macro="" textlink="">
          <xdr:nvSpPr>
            <xdr:cNvPr id="19627" name="Urep_DM10_Avg" hidden="1">
              <a:extLst>
                <a:ext uri="{63B3BB69-23CF-44E3-9099-C40C66FF867C}">
                  <a14:compatExt spid="_x0000_s19627"/>
                </a:ext>
                <a:ext uri="{FF2B5EF4-FFF2-40B4-BE49-F238E27FC236}">
                  <a16:creationId xmlns:a16="http://schemas.microsoft.com/office/drawing/2014/main" id="{00000000-0008-0000-0700-0000AB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120</xdr:row>
          <xdr:rowOff>95250</xdr:rowOff>
        </xdr:from>
        <xdr:to>
          <xdr:col>17</xdr:col>
          <xdr:colOff>0</xdr:colOff>
          <xdr:row>121</xdr:row>
          <xdr:rowOff>0</xdr:rowOff>
        </xdr:to>
        <xdr:sp macro="" textlink="">
          <xdr:nvSpPr>
            <xdr:cNvPr id="19628" name="Urep_DM8_Util" hidden="1">
              <a:extLst>
                <a:ext uri="{63B3BB69-23CF-44E3-9099-C40C66FF867C}">
                  <a14:compatExt spid="_x0000_s19628"/>
                </a:ext>
                <a:ext uri="{FF2B5EF4-FFF2-40B4-BE49-F238E27FC236}">
                  <a16:creationId xmlns:a16="http://schemas.microsoft.com/office/drawing/2014/main" id="{00000000-0008-0000-0700-0000AC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120</xdr:row>
          <xdr:rowOff>95250</xdr:rowOff>
        </xdr:from>
        <xdr:to>
          <xdr:col>16</xdr:col>
          <xdr:colOff>0</xdr:colOff>
          <xdr:row>121</xdr:row>
          <xdr:rowOff>0</xdr:rowOff>
        </xdr:to>
        <xdr:sp macro="" textlink="">
          <xdr:nvSpPr>
            <xdr:cNvPr id="19629" name="Urep_DM8_Avg" hidden="1">
              <a:extLst>
                <a:ext uri="{63B3BB69-23CF-44E3-9099-C40C66FF867C}">
                  <a14:compatExt spid="_x0000_s19629"/>
                </a:ext>
                <a:ext uri="{FF2B5EF4-FFF2-40B4-BE49-F238E27FC236}">
                  <a16:creationId xmlns:a16="http://schemas.microsoft.com/office/drawing/2014/main" id="{00000000-0008-0000-0700-0000AD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128</xdr:row>
          <xdr:rowOff>95250</xdr:rowOff>
        </xdr:from>
        <xdr:to>
          <xdr:col>17</xdr:col>
          <xdr:colOff>0</xdr:colOff>
          <xdr:row>129</xdr:row>
          <xdr:rowOff>0</xdr:rowOff>
        </xdr:to>
        <xdr:sp macro="" textlink="">
          <xdr:nvSpPr>
            <xdr:cNvPr id="19630" name="Urep_DM30_Util" hidden="1">
              <a:extLst>
                <a:ext uri="{63B3BB69-23CF-44E3-9099-C40C66FF867C}">
                  <a14:compatExt spid="_x0000_s19630"/>
                </a:ext>
                <a:ext uri="{FF2B5EF4-FFF2-40B4-BE49-F238E27FC236}">
                  <a16:creationId xmlns:a16="http://schemas.microsoft.com/office/drawing/2014/main" id="{00000000-0008-0000-0700-0000AE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128</xdr:row>
          <xdr:rowOff>95250</xdr:rowOff>
        </xdr:from>
        <xdr:to>
          <xdr:col>16</xdr:col>
          <xdr:colOff>0</xdr:colOff>
          <xdr:row>129</xdr:row>
          <xdr:rowOff>0</xdr:rowOff>
        </xdr:to>
        <xdr:sp macro="" textlink="">
          <xdr:nvSpPr>
            <xdr:cNvPr id="19631" name="Urep_DM30_Avg" hidden="1">
              <a:extLst>
                <a:ext uri="{63B3BB69-23CF-44E3-9099-C40C66FF867C}">
                  <a14:compatExt spid="_x0000_s19631"/>
                </a:ext>
                <a:ext uri="{FF2B5EF4-FFF2-40B4-BE49-F238E27FC236}">
                  <a16:creationId xmlns:a16="http://schemas.microsoft.com/office/drawing/2014/main" id="{00000000-0008-0000-0700-0000AF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129</xdr:row>
          <xdr:rowOff>95250</xdr:rowOff>
        </xdr:from>
        <xdr:to>
          <xdr:col>17</xdr:col>
          <xdr:colOff>0</xdr:colOff>
          <xdr:row>130</xdr:row>
          <xdr:rowOff>0</xdr:rowOff>
        </xdr:to>
        <xdr:sp macro="" textlink="">
          <xdr:nvSpPr>
            <xdr:cNvPr id="19632" name="Urep_DM36_Util" hidden="1">
              <a:extLst>
                <a:ext uri="{63B3BB69-23CF-44E3-9099-C40C66FF867C}">
                  <a14:compatExt spid="_x0000_s19632"/>
                </a:ext>
                <a:ext uri="{FF2B5EF4-FFF2-40B4-BE49-F238E27FC236}">
                  <a16:creationId xmlns:a16="http://schemas.microsoft.com/office/drawing/2014/main" id="{00000000-0008-0000-0700-0000B0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129</xdr:row>
          <xdr:rowOff>95250</xdr:rowOff>
        </xdr:from>
        <xdr:to>
          <xdr:col>16</xdr:col>
          <xdr:colOff>0</xdr:colOff>
          <xdr:row>130</xdr:row>
          <xdr:rowOff>0</xdr:rowOff>
        </xdr:to>
        <xdr:sp macro="" textlink="">
          <xdr:nvSpPr>
            <xdr:cNvPr id="19633" name="Urep_DM36_Avg" hidden="1">
              <a:extLst>
                <a:ext uri="{63B3BB69-23CF-44E3-9099-C40C66FF867C}">
                  <a14:compatExt spid="_x0000_s19633"/>
                </a:ext>
                <a:ext uri="{FF2B5EF4-FFF2-40B4-BE49-F238E27FC236}">
                  <a16:creationId xmlns:a16="http://schemas.microsoft.com/office/drawing/2014/main" id="{00000000-0008-0000-0700-0000B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130</xdr:row>
          <xdr:rowOff>95250</xdr:rowOff>
        </xdr:from>
        <xdr:to>
          <xdr:col>17</xdr:col>
          <xdr:colOff>0</xdr:colOff>
          <xdr:row>131</xdr:row>
          <xdr:rowOff>0</xdr:rowOff>
        </xdr:to>
        <xdr:sp macro="" textlink="">
          <xdr:nvSpPr>
            <xdr:cNvPr id="19634" name="Urep_DM42_Util" hidden="1">
              <a:extLst>
                <a:ext uri="{63B3BB69-23CF-44E3-9099-C40C66FF867C}">
                  <a14:compatExt spid="_x0000_s19634"/>
                </a:ext>
                <a:ext uri="{FF2B5EF4-FFF2-40B4-BE49-F238E27FC236}">
                  <a16:creationId xmlns:a16="http://schemas.microsoft.com/office/drawing/2014/main" id="{00000000-0008-0000-0700-0000B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130</xdr:row>
          <xdr:rowOff>95250</xdr:rowOff>
        </xdr:from>
        <xdr:to>
          <xdr:col>16</xdr:col>
          <xdr:colOff>0</xdr:colOff>
          <xdr:row>131</xdr:row>
          <xdr:rowOff>0</xdr:rowOff>
        </xdr:to>
        <xdr:sp macro="" textlink="">
          <xdr:nvSpPr>
            <xdr:cNvPr id="19635" name="Urep_DM42_Avg" hidden="1">
              <a:extLst>
                <a:ext uri="{63B3BB69-23CF-44E3-9099-C40C66FF867C}">
                  <a14:compatExt spid="_x0000_s19635"/>
                </a:ext>
                <a:ext uri="{FF2B5EF4-FFF2-40B4-BE49-F238E27FC236}">
                  <a16:creationId xmlns:a16="http://schemas.microsoft.com/office/drawing/2014/main" id="{00000000-0008-0000-0700-0000B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131</xdr:row>
          <xdr:rowOff>95250</xdr:rowOff>
        </xdr:from>
        <xdr:to>
          <xdr:col>17</xdr:col>
          <xdr:colOff>0</xdr:colOff>
          <xdr:row>132</xdr:row>
          <xdr:rowOff>0</xdr:rowOff>
        </xdr:to>
        <xdr:sp macro="" textlink="">
          <xdr:nvSpPr>
            <xdr:cNvPr id="19636" name="Urep_DM48_Util" hidden="1">
              <a:extLst>
                <a:ext uri="{63B3BB69-23CF-44E3-9099-C40C66FF867C}">
                  <a14:compatExt spid="_x0000_s19636"/>
                </a:ext>
                <a:ext uri="{FF2B5EF4-FFF2-40B4-BE49-F238E27FC236}">
                  <a16:creationId xmlns:a16="http://schemas.microsoft.com/office/drawing/2014/main" id="{00000000-0008-0000-0700-0000B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131</xdr:row>
          <xdr:rowOff>95250</xdr:rowOff>
        </xdr:from>
        <xdr:to>
          <xdr:col>16</xdr:col>
          <xdr:colOff>0</xdr:colOff>
          <xdr:row>132</xdr:row>
          <xdr:rowOff>0</xdr:rowOff>
        </xdr:to>
        <xdr:sp macro="" textlink="">
          <xdr:nvSpPr>
            <xdr:cNvPr id="19637" name="Urep_DM48_Avg" hidden="1">
              <a:extLst>
                <a:ext uri="{63B3BB69-23CF-44E3-9099-C40C66FF867C}">
                  <a14:compatExt spid="_x0000_s19637"/>
                </a:ext>
                <a:ext uri="{FF2B5EF4-FFF2-40B4-BE49-F238E27FC236}">
                  <a16:creationId xmlns:a16="http://schemas.microsoft.com/office/drawing/2014/main" id="{00000000-0008-0000-0700-0000B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132</xdr:row>
          <xdr:rowOff>95250</xdr:rowOff>
        </xdr:from>
        <xdr:to>
          <xdr:col>17</xdr:col>
          <xdr:colOff>0</xdr:colOff>
          <xdr:row>133</xdr:row>
          <xdr:rowOff>0</xdr:rowOff>
        </xdr:to>
        <xdr:sp macro="" textlink="">
          <xdr:nvSpPr>
            <xdr:cNvPr id="19638" name="Urep_DM54_Util" hidden="1">
              <a:extLst>
                <a:ext uri="{63B3BB69-23CF-44E3-9099-C40C66FF867C}">
                  <a14:compatExt spid="_x0000_s19638"/>
                </a:ext>
                <a:ext uri="{FF2B5EF4-FFF2-40B4-BE49-F238E27FC236}">
                  <a16:creationId xmlns:a16="http://schemas.microsoft.com/office/drawing/2014/main" id="{00000000-0008-0000-0700-0000B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132</xdr:row>
          <xdr:rowOff>95250</xdr:rowOff>
        </xdr:from>
        <xdr:to>
          <xdr:col>16</xdr:col>
          <xdr:colOff>0</xdr:colOff>
          <xdr:row>133</xdr:row>
          <xdr:rowOff>0</xdr:rowOff>
        </xdr:to>
        <xdr:sp macro="" textlink="">
          <xdr:nvSpPr>
            <xdr:cNvPr id="19639" name="Urep_DM54_Avg" hidden="1">
              <a:extLst>
                <a:ext uri="{63B3BB69-23CF-44E3-9099-C40C66FF867C}">
                  <a14:compatExt spid="_x0000_s19639"/>
                </a:ext>
                <a:ext uri="{FF2B5EF4-FFF2-40B4-BE49-F238E27FC236}">
                  <a16:creationId xmlns:a16="http://schemas.microsoft.com/office/drawing/2014/main" id="{00000000-0008-0000-0700-0000B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133</xdr:row>
          <xdr:rowOff>95250</xdr:rowOff>
        </xdr:from>
        <xdr:to>
          <xdr:col>17</xdr:col>
          <xdr:colOff>0</xdr:colOff>
          <xdr:row>134</xdr:row>
          <xdr:rowOff>0</xdr:rowOff>
        </xdr:to>
        <xdr:sp macro="" textlink="">
          <xdr:nvSpPr>
            <xdr:cNvPr id="19640" name="Urep_DM60_Util" hidden="1">
              <a:extLst>
                <a:ext uri="{63B3BB69-23CF-44E3-9099-C40C66FF867C}">
                  <a14:compatExt spid="_x0000_s19640"/>
                </a:ext>
                <a:ext uri="{FF2B5EF4-FFF2-40B4-BE49-F238E27FC236}">
                  <a16:creationId xmlns:a16="http://schemas.microsoft.com/office/drawing/2014/main" id="{00000000-0008-0000-0700-0000B8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133</xdr:row>
          <xdr:rowOff>95250</xdr:rowOff>
        </xdr:from>
        <xdr:to>
          <xdr:col>16</xdr:col>
          <xdr:colOff>0</xdr:colOff>
          <xdr:row>134</xdr:row>
          <xdr:rowOff>0</xdr:rowOff>
        </xdr:to>
        <xdr:sp macro="" textlink="">
          <xdr:nvSpPr>
            <xdr:cNvPr id="19641" name="Urep_DM60_Avg" hidden="1">
              <a:extLst>
                <a:ext uri="{63B3BB69-23CF-44E3-9099-C40C66FF867C}">
                  <a14:compatExt spid="_x0000_s19641"/>
                </a:ext>
                <a:ext uri="{FF2B5EF4-FFF2-40B4-BE49-F238E27FC236}">
                  <a16:creationId xmlns:a16="http://schemas.microsoft.com/office/drawing/2014/main" id="{00000000-0008-0000-0700-0000B9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134</xdr:row>
          <xdr:rowOff>95250</xdr:rowOff>
        </xdr:from>
        <xdr:to>
          <xdr:col>17</xdr:col>
          <xdr:colOff>0</xdr:colOff>
          <xdr:row>135</xdr:row>
          <xdr:rowOff>0</xdr:rowOff>
        </xdr:to>
        <xdr:sp macro="" textlink="">
          <xdr:nvSpPr>
            <xdr:cNvPr id="19642" name="Urep_DMG60_Util" hidden="1">
              <a:extLst>
                <a:ext uri="{63B3BB69-23CF-44E3-9099-C40C66FF867C}">
                  <a14:compatExt spid="_x0000_s19642"/>
                </a:ext>
                <a:ext uri="{FF2B5EF4-FFF2-40B4-BE49-F238E27FC236}">
                  <a16:creationId xmlns:a16="http://schemas.microsoft.com/office/drawing/2014/main" id="{00000000-0008-0000-0700-0000BA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134</xdr:row>
          <xdr:rowOff>95250</xdr:rowOff>
        </xdr:from>
        <xdr:to>
          <xdr:col>16</xdr:col>
          <xdr:colOff>0</xdr:colOff>
          <xdr:row>135</xdr:row>
          <xdr:rowOff>0</xdr:rowOff>
        </xdr:to>
        <xdr:sp macro="" textlink="">
          <xdr:nvSpPr>
            <xdr:cNvPr id="19643" name="Urep_DMG60_Avg" hidden="1">
              <a:extLst>
                <a:ext uri="{63B3BB69-23CF-44E3-9099-C40C66FF867C}">
                  <a14:compatExt spid="_x0000_s19643"/>
                </a:ext>
                <a:ext uri="{FF2B5EF4-FFF2-40B4-BE49-F238E27FC236}">
                  <a16:creationId xmlns:a16="http://schemas.microsoft.com/office/drawing/2014/main" id="{00000000-0008-0000-0700-0000BB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123</xdr:row>
          <xdr:rowOff>95250</xdr:rowOff>
        </xdr:from>
        <xdr:to>
          <xdr:col>16</xdr:col>
          <xdr:colOff>0</xdr:colOff>
          <xdr:row>124</xdr:row>
          <xdr:rowOff>0</xdr:rowOff>
        </xdr:to>
        <xdr:sp macro="" textlink="">
          <xdr:nvSpPr>
            <xdr:cNvPr id="19644" name="Urep_DM14_Avg" hidden="1">
              <a:extLst>
                <a:ext uri="{63B3BB69-23CF-44E3-9099-C40C66FF867C}">
                  <a14:compatExt spid="_x0000_s19644"/>
                </a:ext>
                <a:ext uri="{FF2B5EF4-FFF2-40B4-BE49-F238E27FC236}">
                  <a16:creationId xmlns:a16="http://schemas.microsoft.com/office/drawing/2014/main" id="{00000000-0008-0000-0700-0000BC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124</xdr:row>
          <xdr:rowOff>95250</xdr:rowOff>
        </xdr:from>
        <xdr:to>
          <xdr:col>17</xdr:col>
          <xdr:colOff>0</xdr:colOff>
          <xdr:row>125</xdr:row>
          <xdr:rowOff>0</xdr:rowOff>
        </xdr:to>
        <xdr:sp macro="" textlink="">
          <xdr:nvSpPr>
            <xdr:cNvPr id="19645" name="Urep_DM16_Util" hidden="1">
              <a:extLst>
                <a:ext uri="{63B3BB69-23CF-44E3-9099-C40C66FF867C}">
                  <a14:compatExt spid="_x0000_s19645"/>
                </a:ext>
                <a:ext uri="{FF2B5EF4-FFF2-40B4-BE49-F238E27FC236}">
                  <a16:creationId xmlns:a16="http://schemas.microsoft.com/office/drawing/2014/main" id="{00000000-0008-0000-0700-0000BD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123</xdr:row>
          <xdr:rowOff>95250</xdr:rowOff>
        </xdr:from>
        <xdr:to>
          <xdr:col>17</xdr:col>
          <xdr:colOff>0</xdr:colOff>
          <xdr:row>124</xdr:row>
          <xdr:rowOff>0</xdr:rowOff>
        </xdr:to>
        <xdr:sp macro="" textlink="">
          <xdr:nvSpPr>
            <xdr:cNvPr id="19646" name="Urep_DM14_Util" hidden="1">
              <a:extLst>
                <a:ext uri="{63B3BB69-23CF-44E3-9099-C40C66FF867C}">
                  <a14:compatExt spid="_x0000_s19646"/>
                </a:ext>
                <a:ext uri="{FF2B5EF4-FFF2-40B4-BE49-F238E27FC236}">
                  <a16:creationId xmlns:a16="http://schemas.microsoft.com/office/drawing/2014/main" id="{00000000-0008-0000-0700-0000BE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124</xdr:row>
          <xdr:rowOff>95250</xdr:rowOff>
        </xdr:from>
        <xdr:to>
          <xdr:col>16</xdr:col>
          <xdr:colOff>0</xdr:colOff>
          <xdr:row>125</xdr:row>
          <xdr:rowOff>0</xdr:rowOff>
        </xdr:to>
        <xdr:sp macro="" textlink="">
          <xdr:nvSpPr>
            <xdr:cNvPr id="19647" name="Urep_DM16_Avg" hidden="1">
              <a:extLst>
                <a:ext uri="{63B3BB69-23CF-44E3-9099-C40C66FF867C}">
                  <a14:compatExt spid="_x0000_s19647"/>
                </a:ext>
                <a:ext uri="{FF2B5EF4-FFF2-40B4-BE49-F238E27FC236}">
                  <a16:creationId xmlns:a16="http://schemas.microsoft.com/office/drawing/2014/main" id="{00000000-0008-0000-0700-0000BF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125</xdr:row>
          <xdr:rowOff>95250</xdr:rowOff>
        </xdr:from>
        <xdr:to>
          <xdr:col>16</xdr:col>
          <xdr:colOff>0</xdr:colOff>
          <xdr:row>126</xdr:row>
          <xdr:rowOff>0</xdr:rowOff>
        </xdr:to>
        <xdr:sp macro="" textlink="">
          <xdr:nvSpPr>
            <xdr:cNvPr id="19648" name="Urep_DM18_Avg" hidden="1">
              <a:extLst>
                <a:ext uri="{63B3BB69-23CF-44E3-9099-C40C66FF867C}">
                  <a14:compatExt spid="_x0000_s19648"/>
                </a:ext>
                <a:ext uri="{FF2B5EF4-FFF2-40B4-BE49-F238E27FC236}">
                  <a16:creationId xmlns:a16="http://schemas.microsoft.com/office/drawing/2014/main" id="{00000000-0008-0000-0700-0000C0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125</xdr:row>
          <xdr:rowOff>95250</xdr:rowOff>
        </xdr:from>
        <xdr:to>
          <xdr:col>17</xdr:col>
          <xdr:colOff>0</xdr:colOff>
          <xdr:row>126</xdr:row>
          <xdr:rowOff>0</xdr:rowOff>
        </xdr:to>
        <xdr:sp macro="" textlink="">
          <xdr:nvSpPr>
            <xdr:cNvPr id="19649" name="Urep_DM18_Util" hidden="1">
              <a:extLst>
                <a:ext uri="{63B3BB69-23CF-44E3-9099-C40C66FF867C}">
                  <a14:compatExt spid="_x0000_s19649"/>
                </a:ext>
                <a:ext uri="{FF2B5EF4-FFF2-40B4-BE49-F238E27FC236}">
                  <a16:creationId xmlns:a16="http://schemas.microsoft.com/office/drawing/2014/main" id="{00000000-0008-0000-0700-0000C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126</xdr:row>
          <xdr:rowOff>95250</xdr:rowOff>
        </xdr:from>
        <xdr:to>
          <xdr:col>16</xdr:col>
          <xdr:colOff>0</xdr:colOff>
          <xdr:row>127</xdr:row>
          <xdr:rowOff>0</xdr:rowOff>
        </xdr:to>
        <xdr:sp macro="" textlink="">
          <xdr:nvSpPr>
            <xdr:cNvPr id="19650" name="Urep_DM20_Avg" hidden="1">
              <a:extLst>
                <a:ext uri="{63B3BB69-23CF-44E3-9099-C40C66FF867C}">
                  <a14:compatExt spid="_x0000_s19650"/>
                </a:ext>
                <a:ext uri="{FF2B5EF4-FFF2-40B4-BE49-F238E27FC236}">
                  <a16:creationId xmlns:a16="http://schemas.microsoft.com/office/drawing/2014/main" id="{00000000-0008-0000-0700-0000C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126</xdr:row>
          <xdr:rowOff>95250</xdr:rowOff>
        </xdr:from>
        <xdr:to>
          <xdr:col>17</xdr:col>
          <xdr:colOff>0</xdr:colOff>
          <xdr:row>127</xdr:row>
          <xdr:rowOff>0</xdr:rowOff>
        </xdr:to>
        <xdr:sp macro="" textlink="">
          <xdr:nvSpPr>
            <xdr:cNvPr id="19651" name="Urep_DM20_Util" hidden="1">
              <a:extLst>
                <a:ext uri="{63B3BB69-23CF-44E3-9099-C40C66FF867C}">
                  <a14:compatExt spid="_x0000_s19651"/>
                </a:ext>
                <a:ext uri="{FF2B5EF4-FFF2-40B4-BE49-F238E27FC236}">
                  <a16:creationId xmlns:a16="http://schemas.microsoft.com/office/drawing/2014/main" id="{00000000-0008-0000-0700-0000C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127</xdr:row>
          <xdr:rowOff>95250</xdr:rowOff>
        </xdr:from>
        <xdr:to>
          <xdr:col>16</xdr:col>
          <xdr:colOff>0</xdr:colOff>
          <xdr:row>128</xdr:row>
          <xdr:rowOff>0</xdr:rowOff>
        </xdr:to>
        <xdr:sp macro="" textlink="">
          <xdr:nvSpPr>
            <xdr:cNvPr id="19652" name="Urep_DM24_Avg" hidden="1">
              <a:extLst>
                <a:ext uri="{63B3BB69-23CF-44E3-9099-C40C66FF867C}">
                  <a14:compatExt spid="_x0000_s19652"/>
                </a:ext>
                <a:ext uri="{FF2B5EF4-FFF2-40B4-BE49-F238E27FC236}">
                  <a16:creationId xmlns:a16="http://schemas.microsoft.com/office/drawing/2014/main" id="{00000000-0008-0000-0700-0000C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127</xdr:row>
          <xdr:rowOff>95250</xdr:rowOff>
        </xdr:from>
        <xdr:to>
          <xdr:col>17</xdr:col>
          <xdr:colOff>0</xdr:colOff>
          <xdr:row>128</xdr:row>
          <xdr:rowOff>0</xdr:rowOff>
        </xdr:to>
        <xdr:sp macro="" textlink="">
          <xdr:nvSpPr>
            <xdr:cNvPr id="19653" name="Urep_DM24_Util" hidden="1">
              <a:extLst>
                <a:ext uri="{63B3BB69-23CF-44E3-9099-C40C66FF867C}">
                  <a14:compatExt spid="_x0000_s19653"/>
                </a:ext>
                <a:ext uri="{FF2B5EF4-FFF2-40B4-BE49-F238E27FC236}">
                  <a16:creationId xmlns:a16="http://schemas.microsoft.com/office/drawing/2014/main" id="{00000000-0008-0000-0700-0000C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122</xdr:row>
          <xdr:rowOff>95250</xdr:rowOff>
        </xdr:from>
        <xdr:to>
          <xdr:col>16</xdr:col>
          <xdr:colOff>0</xdr:colOff>
          <xdr:row>123</xdr:row>
          <xdr:rowOff>0</xdr:rowOff>
        </xdr:to>
        <xdr:sp macro="" textlink="">
          <xdr:nvSpPr>
            <xdr:cNvPr id="19654" name="Urep_DM12_Avg" hidden="1">
              <a:extLst>
                <a:ext uri="{63B3BB69-23CF-44E3-9099-C40C66FF867C}">
                  <a14:compatExt spid="_x0000_s19654"/>
                </a:ext>
                <a:ext uri="{FF2B5EF4-FFF2-40B4-BE49-F238E27FC236}">
                  <a16:creationId xmlns:a16="http://schemas.microsoft.com/office/drawing/2014/main" id="{00000000-0008-0000-0700-0000C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144</xdr:row>
          <xdr:rowOff>95250</xdr:rowOff>
        </xdr:from>
        <xdr:to>
          <xdr:col>16</xdr:col>
          <xdr:colOff>0</xdr:colOff>
          <xdr:row>145</xdr:row>
          <xdr:rowOff>0</xdr:rowOff>
        </xdr:to>
        <xdr:sp macro="" textlink="">
          <xdr:nvSpPr>
            <xdr:cNvPr id="19655" name="Urep_Hyd_Avg" hidden="1">
              <a:extLst>
                <a:ext uri="{63B3BB69-23CF-44E3-9099-C40C66FF867C}">
                  <a14:compatExt spid="_x0000_s19655"/>
                </a:ext>
                <a:ext uri="{FF2B5EF4-FFF2-40B4-BE49-F238E27FC236}">
                  <a16:creationId xmlns:a16="http://schemas.microsoft.com/office/drawing/2014/main" id="{00000000-0008-0000-0700-0000C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144</xdr:row>
          <xdr:rowOff>95250</xdr:rowOff>
        </xdr:from>
        <xdr:to>
          <xdr:col>17</xdr:col>
          <xdr:colOff>0</xdr:colOff>
          <xdr:row>145</xdr:row>
          <xdr:rowOff>0</xdr:rowOff>
        </xdr:to>
        <xdr:sp macro="" textlink="">
          <xdr:nvSpPr>
            <xdr:cNvPr id="19656" name="Urep_Hyd_Util" hidden="1">
              <a:extLst>
                <a:ext uri="{63B3BB69-23CF-44E3-9099-C40C66FF867C}">
                  <a14:compatExt spid="_x0000_s19656"/>
                </a:ext>
                <a:ext uri="{FF2B5EF4-FFF2-40B4-BE49-F238E27FC236}">
                  <a16:creationId xmlns:a16="http://schemas.microsoft.com/office/drawing/2014/main" id="{00000000-0008-0000-0700-0000C8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145</xdr:row>
          <xdr:rowOff>95250</xdr:rowOff>
        </xdr:from>
        <xdr:to>
          <xdr:col>16</xdr:col>
          <xdr:colOff>0</xdr:colOff>
          <xdr:row>146</xdr:row>
          <xdr:rowOff>0</xdr:rowOff>
        </xdr:to>
        <xdr:sp macro="" textlink="">
          <xdr:nvSpPr>
            <xdr:cNvPr id="19657" name="URep_V_Avg" hidden="1">
              <a:extLst>
                <a:ext uri="{63B3BB69-23CF-44E3-9099-C40C66FF867C}">
                  <a14:compatExt spid="_x0000_s19657"/>
                </a:ext>
                <a:ext uri="{FF2B5EF4-FFF2-40B4-BE49-F238E27FC236}">
                  <a16:creationId xmlns:a16="http://schemas.microsoft.com/office/drawing/2014/main" id="{00000000-0008-0000-0700-0000C9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145</xdr:row>
          <xdr:rowOff>95250</xdr:rowOff>
        </xdr:from>
        <xdr:to>
          <xdr:col>17</xdr:col>
          <xdr:colOff>0</xdr:colOff>
          <xdr:row>146</xdr:row>
          <xdr:rowOff>0</xdr:rowOff>
        </xdr:to>
        <xdr:sp macro="" textlink="">
          <xdr:nvSpPr>
            <xdr:cNvPr id="19658" name="Urep_V_Util" hidden="1">
              <a:extLst>
                <a:ext uri="{63B3BB69-23CF-44E3-9099-C40C66FF867C}">
                  <a14:compatExt spid="_x0000_s19658"/>
                </a:ext>
                <a:ext uri="{FF2B5EF4-FFF2-40B4-BE49-F238E27FC236}">
                  <a16:creationId xmlns:a16="http://schemas.microsoft.com/office/drawing/2014/main" id="{00000000-0008-0000-0700-0000CA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146</xdr:row>
          <xdr:rowOff>95250</xdr:rowOff>
        </xdr:from>
        <xdr:to>
          <xdr:col>16</xdr:col>
          <xdr:colOff>0</xdr:colOff>
          <xdr:row>147</xdr:row>
          <xdr:rowOff>0</xdr:rowOff>
        </xdr:to>
        <xdr:sp macro="" textlink="">
          <xdr:nvSpPr>
            <xdr:cNvPr id="19659" name="Urep_BO_Avg" hidden="1">
              <a:extLst>
                <a:ext uri="{63B3BB69-23CF-44E3-9099-C40C66FF867C}">
                  <a14:compatExt spid="_x0000_s19659"/>
                </a:ext>
                <a:ext uri="{FF2B5EF4-FFF2-40B4-BE49-F238E27FC236}">
                  <a16:creationId xmlns:a16="http://schemas.microsoft.com/office/drawing/2014/main" id="{00000000-0008-0000-0700-0000CB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146</xdr:row>
          <xdr:rowOff>95250</xdr:rowOff>
        </xdr:from>
        <xdr:to>
          <xdr:col>17</xdr:col>
          <xdr:colOff>0</xdr:colOff>
          <xdr:row>147</xdr:row>
          <xdr:rowOff>0</xdr:rowOff>
        </xdr:to>
        <xdr:sp macro="" textlink="">
          <xdr:nvSpPr>
            <xdr:cNvPr id="19660" name="Urep_BO_Util" hidden="1">
              <a:extLst>
                <a:ext uri="{63B3BB69-23CF-44E3-9099-C40C66FF867C}">
                  <a14:compatExt spid="_x0000_s19660"/>
                </a:ext>
                <a:ext uri="{FF2B5EF4-FFF2-40B4-BE49-F238E27FC236}">
                  <a16:creationId xmlns:a16="http://schemas.microsoft.com/office/drawing/2014/main" id="{00000000-0008-0000-0700-0000CC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156</xdr:row>
          <xdr:rowOff>88900</xdr:rowOff>
        </xdr:from>
        <xdr:to>
          <xdr:col>17</xdr:col>
          <xdr:colOff>0</xdr:colOff>
          <xdr:row>156</xdr:row>
          <xdr:rowOff>241300</xdr:rowOff>
        </xdr:to>
        <xdr:sp macro="" textlink="">
          <xdr:nvSpPr>
            <xdr:cNvPr id="19661" name="Urep_Serv_SM1_Util" hidden="1">
              <a:extLst>
                <a:ext uri="{63B3BB69-23CF-44E3-9099-C40C66FF867C}">
                  <a14:compatExt spid="_x0000_s19661"/>
                </a:ext>
                <a:ext uri="{FF2B5EF4-FFF2-40B4-BE49-F238E27FC236}">
                  <a16:creationId xmlns:a16="http://schemas.microsoft.com/office/drawing/2014/main" id="{00000000-0008-0000-0700-0000CD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157</xdr:row>
          <xdr:rowOff>88900</xdr:rowOff>
        </xdr:from>
        <xdr:to>
          <xdr:col>16</xdr:col>
          <xdr:colOff>0</xdr:colOff>
          <xdr:row>157</xdr:row>
          <xdr:rowOff>241300</xdr:rowOff>
        </xdr:to>
        <xdr:sp macro="" textlink="">
          <xdr:nvSpPr>
            <xdr:cNvPr id="19662" name="Urep_Serv_GR1_Avg" hidden="1">
              <a:extLst>
                <a:ext uri="{63B3BB69-23CF-44E3-9099-C40C66FF867C}">
                  <a14:compatExt spid="_x0000_s19662"/>
                </a:ext>
                <a:ext uri="{FF2B5EF4-FFF2-40B4-BE49-F238E27FC236}">
                  <a16:creationId xmlns:a16="http://schemas.microsoft.com/office/drawing/2014/main" id="{00000000-0008-0000-0700-0000CE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157</xdr:row>
          <xdr:rowOff>88900</xdr:rowOff>
        </xdr:from>
        <xdr:to>
          <xdr:col>17</xdr:col>
          <xdr:colOff>0</xdr:colOff>
          <xdr:row>157</xdr:row>
          <xdr:rowOff>241300</xdr:rowOff>
        </xdr:to>
        <xdr:sp macro="" textlink="">
          <xdr:nvSpPr>
            <xdr:cNvPr id="19663" name="Urep_Serv_GR1_Util" hidden="1">
              <a:extLst>
                <a:ext uri="{63B3BB69-23CF-44E3-9099-C40C66FF867C}">
                  <a14:compatExt spid="_x0000_s19663"/>
                </a:ext>
                <a:ext uri="{FF2B5EF4-FFF2-40B4-BE49-F238E27FC236}">
                  <a16:creationId xmlns:a16="http://schemas.microsoft.com/office/drawing/2014/main" id="{00000000-0008-0000-0700-0000CF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98</xdr:row>
          <xdr:rowOff>95250</xdr:rowOff>
        </xdr:from>
        <xdr:to>
          <xdr:col>17</xdr:col>
          <xdr:colOff>0</xdr:colOff>
          <xdr:row>99</xdr:row>
          <xdr:rowOff>0</xdr:rowOff>
        </xdr:to>
        <xdr:sp macro="" textlink="">
          <xdr:nvSpPr>
            <xdr:cNvPr id="19664" name="Rep_Serv_GR1_Util" hidden="1">
              <a:extLst>
                <a:ext uri="{63B3BB69-23CF-44E3-9099-C40C66FF867C}">
                  <a14:compatExt spid="_x0000_s19664"/>
                </a:ext>
                <a:ext uri="{FF2B5EF4-FFF2-40B4-BE49-F238E27FC236}">
                  <a16:creationId xmlns:a16="http://schemas.microsoft.com/office/drawing/2014/main" id="{00000000-0008-0000-0700-0000D0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97</xdr:row>
          <xdr:rowOff>95250</xdr:rowOff>
        </xdr:from>
        <xdr:to>
          <xdr:col>16</xdr:col>
          <xdr:colOff>0</xdr:colOff>
          <xdr:row>98</xdr:row>
          <xdr:rowOff>0</xdr:rowOff>
        </xdr:to>
        <xdr:sp macro="" textlink="">
          <xdr:nvSpPr>
            <xdr:cNvPr id="19665" name="Rep_Serv_SM1_Avg" hidden="1">
              <a:extLst>
                <a:ext uri="{63B3BB69-23CF-44E3-9099-C40C66FF867C}">
                  <a14:compatExt spid="_x0000_s19665"/>
                </a:ext>
                <a:ext uri="{FF2B5EF4-FFF2-40B4-BE49-F238E27FC236}">
                  <a16:creationId xmlns:a16="http://schemas.microsoft.com/office/drawing/2014/main" id="{00000000-0008-0000-0700-0000D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97</xdr:row>
          <xdr:rowOff>95250</xdr:rowOff>
        </xdr:from>
        <xdr:to>
          <xdr:col>17</xdr:col>
          <xdr:colOff>0</xdr:colOff>
          <xdr:row>98</xdr:row>
          <xdr:rowOff>0</xdr:rowOff>
        </xdr:to>
        <xdr:sp macro="" textlink="">
          <xdr:nvSpPr>
            <xdr:cNvPr id="19666" name="Rep_Serv_SM1_Util" hidden="1">
              <a:extLst>
                <a:ext uri="{63B3BB69-23CF-44E3-9099-C40C66FF867C}">
                  <a14:compatExt spid="_x0000_s19666"/>
                </a:ext>
                <a:ext uri="{FF2B5EF4-FFF2-40B4-BE49-F238E27FC236}">
                  <a16:creationId xmlns:a16="http://schemas.microsoft.com/office/drawing/2014/main" id="{00000000-0008-0000-0700-0000D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85</xdr:row>
          <xdr:rowOff>95250</xdr:rowOff>
        </xdr:from>
        <xdr:to>
          <xdr:col>17</xdr:col>
          <xdr:colOff>0</xdr:colOff>
          <xdr:row>86</xdr:row>
          <xdr:rowOff>0</xdr:rowOff>
        </xdr:to>
        <xdr:sp macro="" textlink="">
          <xdr:nvSpPr>
            <xdr:cNvPr id="19667" name="Rep_Hyd_Util" hidden="1">
              <a:extLst>
                <a:ext uri="{63B3BB69-23CF-44E3-9099-C40C66FF867C}">
                  <a14:compatExt spid="_x0000_s19667"/>
                </a:ext>
                <a:ext uri="{FF2B5EF4-FFF2-40B4-BE49-F238E27FC236}">
                  <a16:creationId xmlns:a16="http://schemas.microsoft.com/office/drawing/2014/main" id="{00000000-0008-0000-0700-0000D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527050</xdr:colOff>
          <xdr:row>85</xdr:row>
          <xdr:rowOff>88900</xdr:rowOff>
        </xdr:from>
        <xdr:to>
          <xdr:col>16</xdr:col>
          <xdr:colOff>0</xdr:colOff>
          <xdr:row>86</xdr:row>
          <xdr:rowOff>0</xdr:rowOff>
        </xdr:to>
        <xdr:sp macro="" textlink="">
          <xdr:nvSpPr>
            <xdr:cNvPr id="19668" name="Rep_Hyd_Avg" hidden="1">
              <a:extLst>
                <a:ext uri="{63B3BB69-23CF-44E3-9099-C40C66FF867C}">
                  <a14:compatExt spid="_x0000_s19668"/>
                </a:ext>
                <a:ext uri="{FF2B5EF4-FFF2-40B4-BE49-F238E27FC236}">
                  <a16:creationId xmlns:a16="http://schemas.microsoft.com/office/drawing/2014/main" id="{00000000-0008-0000-0700-0000D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xdr:col>
      <xdr:colOff>190499</xdr:colOff>
      <xdr:row>4</xdr:row>
      <xdr:rowOff>119062</xdr:rowOff>
    </xdr:from>
    <xdr:to>
      <xdr:col>17</xdr:col>
      <xdr:colOff>381000</xdr:colOff>
      <xdr:row>34</xdr:row>
      <xdr:rowOff>59531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502228</xdr:colOff>
      <xdr:row>15</xdr:row>
      <xdr:rowOff>89835</xdr:rowOff>
    </xdr:from>
    <xdr:to>
      <xdr:col>15</xdr:col>
      <xdr:colOff>288997</xdr:colOff>
      <xdr:row>16</xdr:row>
      <xdr:rowOff>112569</xdr:rowOff>
    </xdr:to>
    <xdr:sp macro="" textlink="$Z$11">
      <xdr:nvSpPr>
        <xdr:cNvPr id="4" name="TextBox 3">
          <a:extLst>
            <a:ext uri="{FF2B5EF4-FFF2-40B4-BE49-F238E27FC236}">
              <a16:creationId xmlns:a16="http://schemas.microsoft.com/office/drawing/2014/main" id="{00000000-0008-0000-0800-000004000000}"/>
            </a:ext>
          </a:extLst>
        </xdr:cNvPr>
        <xdr:cNvSpPr txBox="1"/>
      </xdr:nvSpPr>
      <xdr:spPr>
        <a:xfrm>
          <a:off x="10633364" y="3077221"/>
          <a:ext cx="548769" cy="2218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fld id="{56E38CE7-908F-4D60-9BB0-80DF43BBD65C}" type="TxLink">
            <a:rPr lang="en-US" sz="1000" b="0" i="0" u="none" strike="noStrike">
              <a:solidFill>
                <a:srgbClr val="000000"/>
              </a:solidFill>
              <a:latin typeface="Swis721 BT"/>
            </a:rPr>
            <a:pPr/>
            <a:t> </a:t>
          </a:fld>
          <a:endParaRPr lang="en-US" sz="1000"/>
        </a:p>
      </xdr:txBody>
    </xdr:sp>
    <xdr:clientData/>
  </xdr:twoCellAnchor>
  <xdr:twoCellAnchor>
    <xdr:from>
      <xdr:col>14</xdr:col>
      <xdr:colOff>491403</xdr:colOff>
      <xdr:row>26</xdr:row>
      <xdr:rowOff>58452</xdr:rowOff>
    </xdr:from>
    <xdr:to>
      <xdr:col>17</xdr:col>
      <xdr:colOff>110403</xdr:colOff>
      <xdr:row>29</xdr:row>
      <xdr:rowOff>164523</xdr:rowOff>
    </xdr:to>
    <xdr:sp macro="" textlink="$W$12">
      <xdr:nvSpPr>
        <xdr:cNvPr id="5" name="TextBox 4">
          <a:extLst>
            <a:ext uri="{FF2B5EF4-FFF2-40B4-BE49-F238E27FC236}">
              <a16:creationId xmlns:a16="http://schemas.microsoft.com/office/drawing/2014/main" id="{00000000-0008-0000-0800-000005000000}"/>
            </a:ext>
          </a:extLst>
        </xdr:cNvPr>
        <xdr:cNvSpPr txBox="1"/>
      </xdr:nvSpPr>
      <xdr:spPr>
        <a:xfrm>
          <a:off x="10622539" y="5236588"/>
          <a:ext cx="1905000" cy="7035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fld id="{AC28ED6C-897A-4A66-8E16-C71478E924E0}" type="TxLink">
            <a:rPr lang="en-US" sz="1000" b="0" i="0" u="none" strike="noStrike">
              <a:solidFill>
                <a:srgbClr val="000000"/>
              </a:solidFill>
              <a:latin typeface="Swis721 BT"/>
            </a:rPr>
            <a:pPr/>
            <a:t>Hidden Losses</a:t>
          </a:fld>
          <a:endParaRPr lang="en-US" sz="1000"/>
        </a:p>
      </xdr:txBody>
    </xdr:sp>
    <xdr:clientData/>
  </xdr:twoCellAnchor>
  <xdr:twoCellAnchor>
    <xdr:from>
      <xdr:col>14</xdr:col>
      <xdr:colOff>491404</xdr:colOff>
      <xdr:row>29</xdr:row>
      <xdr:rowOff>167770</xdr:rowOff>
    </xdr:from>
    <xdr:to>
      <xdr:col>15</xdr:col>
      <xdr:colOff>324716</xdr:colOff>
      <xdr:row>31</xdr:row>
      <xdr:rowOff>28142</xdr:rowOff>
    </xdr:to>
    <xdr:sp macro="" textlink="$Z$12">
      <xdr:nvSpPr>
        <xdr:cNvPr id="6" name="TextBox 5">
          <a:extLst>
            <a:ext uri="{FF2B5EF4-FFF2-40B4-BE49-F238E27FC236}">
              <a16:creationId xmlns:a16="http://schemas.microsoft.com/office/drawing/2014/main" id="{00000000-0008-0000-0800-000006000000}"/>
            </a:ext>
          </a:extLst>
        </xdr:cNvPr>
        <xdr:cNvSpPr txBox="1"/>
      </xdr:nvSpPr>
      <xdr:spPr>
        <a:xfrm>
          <a:off x="10622540" y="5943384"/>
          <a:ext cx="595312" cy="2586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fld id="{F831EBB0-FB62-46FC-91B8-745D6B99EC0F}" type="TxLink">
            <a:rPr lang="en-US" sz="1000" b="0" i="0" u="none" strike="noStrike">
              <a:solidFill>
                <a:srgbClr val="000000"/>
              </a:solidFill>
              <a:latin typeface="Swis721 BT"/>
            </a:rPr>
            <a:pPr/>
            <a:t> </a:t>
          </a:fld>
          <a:endParaRPr lang="en-US" sz="1000"/>
        </a:p>
      </xdr:txBody>
    </xdr:sp>
    <xdr:clientData/>
  </xdr:twoCellAnchor>
  <xdr:twoCellAnchor>
    <xdr:from>
      <xdr:col>17</xdr:col>
      <xdr:colOff>761999</xdr:colOff>
      <xdr:row>0</xdr:row>
      <xdr:rowOff>0</xdr:rowOff>
    </xdr:from>
    <xdr:to>
      <xdr:col>17</xdr:col>
      <xdr:colOff>761999</xdr:colOff>
      <xdr:row>34</xdr:row>
      <xdr:rowOff>365124</xdr:rowOff>
    </xdr:to>
    <xdr:cxnSp macro="">
      <xdr:nvCxnSpPr>
        <xdr:cNvPr id="8" name="Straight Connector 7">
          <a:extLst>
            <a:ext uri="{FF2B5EF4-FFF2-40B4-BE49-F238E27FC236}">
              <a16:creationId xmlns:a16="http://schemas.microsoft.com/office/drawing/2014/main" id="{00000000-0008-0000-0800-000008000000}"/>
            </a:ext>
          </a:extLst>
        </xdr:cNvPr>
        <xdr:cNvCxnSpPr/>
      </xdr:nvCxnSpPr>
      <xdr:spPr>
        <a:xfrm>
          <a:off x="12953999" y="0"/>
          <a:ext cx="0" cy="7381874"/>
        </a:xfrm>
        <a:prstGeom prst="line">
          <a:avLst/>
        </a:prstGeom>
        <a:ln w="19050">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8.xml><?xml version="1.0" encoding="utf-8"?>
<c:userShapes xmlns:c="http://schemas.openxmlformats.org/drawingml/2006/chart">
  <cdr:relSizeAnchor xmlns:cdr="http://schemas.openxmlformats.org/drawingml/2006/chartDrawing">
    <cdr:from>
      <cdr:x>0.825</cdr:x>
      <cdr:y>0.27129</cdr:y>
    </cdr:from>
    <cdr:to>
      <cdr:x>0.98182</cdr:x>
      <cdr:y>0.38526</cdr:y>
    </cdr:to>
    <cdr:sp macro="" textlink="'Real Loss Components Chart'!$W$11">
      <cdr:nvSpPr>
        <cdr:cNvPr id="2" name="TextBox 1">
          <a:extLst xmlns:a="http://schemas.openxmlformats.org/drawingml/2006/main">
            <a:ext uri="{FF2B5EF4-FFF2-40B4-BE49-F238E27FC236}">
              <a16:creationId xmlns:a16="http://schemas.microsoft.com/office/drawing/2014/main" id="{06685970-F22D-4A27-BE5F-5A38A3F4072A}"/>
            </a:ext>
          </a:extLst>
        </cdr:cNvPr>
        <cdr:cNvSpPr txBox="1"/>
      </cdr:nvSpPr>
      <cdr:spPr>
        <a:xfrm xmlns:a="http://schemas.openxmlformats.org/drawingml/2006/main">
          <a:off x="10215563" y="1534272"/>
          <a:ext cx="1941824" cy="644572"/>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fld id="{573AF8C9-5A82-42A3-95AD-543ECCEA5E44}" type="TxLink">
            <a:rPr lang="en-US" sz="1000" b="0" i="0" u="none" strike="noStrike">
              <a:solidFill>
                <a:srgbClr val="000000"/>
              </a:solidFill>
              <a:latin typeface="Swis721 BT"/>
            </a:rPr>
            <a:pPr/>
            <a:t>Unreported Failures</a:t>
          </a:fld>
          <a:endParaRPr lang="en-US" sz="1000"/>
        </a:p>
      </cdr:txBody>
    </cdr:sp>
  </cdr:relSizeAnchor>
</c:userShapes>
</file>

<file path=xl/drawings/drawing9.xml><?xml version="1.0" encoding="utf-8"?>
<xdr:wsDr xmlns:xdr="http://schemas.openxmlformats.org/drawingml/2006/spreadsheetDrawing" xmlns:a="http://schemas.openxmlformats.org/drawingml/2006/main">
  <xdr:twoCellAnchor>
    <xdr:from>
      <xdr:col>1</xdr:col>
      <xdr:colOff>0</xdr:colOff>
      <xdr:row>12</xdr:row>
      <xdr:rowOff>0</xdr:rowOff>
    </xdr:from>
    <xdr:to>
      <xdr:col>4</xdr:col>
      <xdr:colOff>0</xdr:colOff>
      <xdr:row>30</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12</xdr:row>
      <xdr:rowOff>0</xdr:rowOff>
    </xdr:from>
    <xdr:to>
      <xdr:col>9</xdr:col>
      <xdr:colOff>0</xdr:colOff>
      <xdr:row>30</xdr:row>
      <xdr:rowOff>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57150</xdr:colOff>
      <xdr:row>0</xdr:row>
      <xdr:rowOff>19050</xdr:rowOff>
    </xdr:from>
    <xdr:to>
      <xdr:col>8</xdr:col>
      <xdr:colOff>3227917</xdr:colOff>
      <xdr:row>3</xdr:row>
      <xdr:rowOff>179225</xdr:rowOff>
    </xdr:to>
    <xdr:pic>
      <xdr:nvPicPr>
        <xdr:cNvPr id="4" name="Picture 3" descr="Screen Shot 2012-11-27 at 4.00.03 PM.png">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a:srcRect r="899" b="5317"/>
        <a:stretch>
          <a:fillRect/>
        </a:stretch>
      </xdr:blipFill>
      <xdr:spPr>
        <a:xfrm>
          <a:off x="14430375" y="19050"/>
          <a:ext cx="4008967" cy="760250"/>
        </a:xfrm>
        <a:prstGeom prst="rect">
          <a:avLst/>
        </a:prstGeom>
      </xdr:spPr>
    </xdr:pic>
    <xdr:clientData/>
  </xdr:twoCellAnchor>
  <xdr:twoCellAnchor>
    <xdr:from>
      <xdr:col>8</xdr:col>
      <xdr:colOff>3270249</xdr:colOff>
      <xdr:row>0</xdr:row>
      <xdr:rowOff>0</xdr:rowOff>
    </xdr:from>
    <xdr:to>
      <xdr:col>8</xdr:col>
      <xdr:colOff>3270249</xdr:colOff>
      <xdr:row>31</xdr:row>
      <xdr:rowOff>196849</xdr:rowOff>
    </xdr:to>
    <xdr:cxnSp macro="">
      <xdr:nvCxnSpPr>
        <xdr:cNvPr id="6" name="Straight Connector 5">
          <a:extLst>
            <a:ext uri="{FF2B5EF4-FFF2-40B4-BE49-F238E27FC236}">
              <a16:creationId xmlns:a16="http://schemas.microsoft.com/office/drawing/2014/main" id="{00000000-0008-0000-0900-000006000000}"/>
            </a:ext>
          </a:extLst>
        </xdr:cNvPr>
        <xdr:cNvCxnSpPr/>
      </xdr:nvCxnSpPr>
      <xdr:spPr>
        <a:xfrm flipH="1">
          <a:off x="18478499" y="0"/>
          <a:ext cx="0" cy="7737474"/>
        </a:xfrm>
        <a:prstGeom prst="line">
          <a:avLst/>
        </a:prstGeom>
        <a:ln w="19050">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414791</xdr:colOff>
      <xdr:row>4</xdr:row>
      <xdr:rowOff>42333</xdr:rowOff>
    </xdr:from>
    <xdr:to>
      <xdr:col>3</xdr:col>
      <xdr:colOff>3067050</xdr:colOff>
      <xdr:row>7</xdr:row>
      <xdr:rowOff>142875</xdr:rowOff>
    </xdr:to>
    <xdr:pic>
      <xdr:nvPicPr>
        <xdr:cNvPr id="3" name="Picture 2" descr="Screen Shot 2012-11-27 at 4.00.03 PM.png">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rcRect r="1040" b="4787"/>
        <a:stretch>
          <a:fillRect/>
        </a:stretch>
      </xdr:blipFill>
      <xdr:spPr>
        <a:xfrm>
          <a:off x="414791" y="851958"/>
          <a:ext cx="4071484" cy="757767"/>
        </a:xfrm>
        <a:prstGeom prst="rect">
          <a:avLst/>
        </a:prstGeom>
      </xdr:spPr>
    </xdr:pic>
    <xdr:clientData/>
  </xdr:twoCellAnchor>
  <xdr:twoCellAnchor>
    <xdr:from>
      <xdr:col>8</xdr:col>
      <xdr:colOff>-1</xdr:colOff>
      <xdr:row>0</xdr:row>
      <xdr:rowOff>0</xdr:rowOff>
    </xdr:from>
    <xdr:to>
      <xdr:col>8</xdr:col>
      <xdr:colOff>-1</xdr:colOff>
      <xdr:row>51</xdr:row>
      <xdr:rowOff>503463</xdr:rowOff>
    </xdr:to>
    <xdr:cxnSp macro="">
      <xdr:nvCxnSpPr>
        <xdr:cNvPr id="5" name="Straight Connector 4">
          <a:extLst>
            <a:ext uri="{FF2B5EF4-FFF2-40B4-BE49-F238E27FC236}">
              <a16:creationId xmlns:a16="http://schemas.microsoft.com/office/drawing/2014/main" id="{00000000-0008-0000-0A00-000005000000}"/>
            </a:ext>
          </a:extLst>
        </xdr:cNvPr>
        <xdr:cNvCxnSpPr/>
      </xdr:nvCxnSpPr>
      <xdr:spPr>
        <a:xfrm>
          <a:off x="8626928" y="0"/>
          <a:ext cx="0" cy="12028713"/>
        </a:xfrm>
        <a:prstGeom prst="line">
          <a:avLst/>
        </a:prstGeom>
        <a:ln w="19050">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-1</xdr:colOff>
      <xdr:row>0</xdr:row>
      <xdr:rowOff>0</xdr:rowOff>
    </xdr:from>
    <xdr:to>
      <xdr:col>8</xdr:col>
      <xdr:colOff>-1</xdr:colOff>
      <xdr:row>51</xdr:row>
      <xdr:rowOff>503463</xdr:rowOff>
    </xdr:to>
    <xdr:cxnSp macro="">
      <xdr:nvCxnSpPr>
        <xdr:cNvPr id="10" name="Straight Connector 9">
          <a:extLst>
            <a:ext uri="{FF2B5EF4-FFF2-40B4-BE49-F238E27FC236}">
              <a16:creationId xmlns:a16="http://schemas.microsoft.com/office/drawing/2014/main" id="{00000000-0008-0000-0A00-00000A000000}"/>
            </a:ext>
          </a:extLst>
        </xdr:cNvPr>
        <xdr:cNvCxnSpPr/>
      </xdr:nvCxnSpPr>
      <xdr:spPr>
        <a:xfrm>
          <a:off x="8626928" y="0"/>
          <a:ext cx="0" cy="12028713"/>
        </a:xfrm>
        <a:prstGeom prst="line">
          <a:avLst/>
        </a:prstGeom>
        <a:ln w="19050">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841374</xdr:colOff>
      <xdr:row>0</xdr:row>
      <xdr:rowOff>0</xdr:rowOff>
    </xdr:from>
    <xdr:to>
      <xdr:col>7</xdr:col>
      <xdr:colOff>841374</xdr:colOff>
      <xdr:row>51</xdr:row>
      <xdr:rowOff>507999</xdr:rowOff>
    </xdr:to>
    <xdr:cxnSp macro="">
      <xdr:nvCxnSpPr>
        <xdr:cNvPr id="15" name="Straight Connector 14">
          <a:extLst>
            <a:ext uri="{FF2B5EF4-FFF2-40B4-BE49-F238E27FC236}">
              <a16:creationId xmlns:a16="http://schemas.microsoft.com/office/drawing/2014/main" id="{00000000-0008-0000-0A00-00000F000000}"/>
            </a:ext>
          </a:extLst>
        </xdr:cNvPr>
        <xdr:cNvCxnSpPr/>
      </xdr:nvCxnSpPr>
      <xdr:spPr>
        <a:xfrm>
          <a:off x="8620124" y="0"/>
          <a:ext cx="0" cy="12128499"/>
        </a:xfrm>
        <a:prstGeom prst="line">
          <a:avLst/>
        </a:prstGeom>
        <a:ln w="19050">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21</xdr:row>
      <xdr:rowOff>0</xdr:rowOff>
    </xdr:from>
    <xdr:to>
      <xdr:col>14</xdr:col>
      <xdr:colOff>0</xdr:colOff>
      <xdr:row>46</xdr:row>
      <xdr:rowOff>0</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889000</xdr:colOff>
      <xdr:row>0</xdr:row>
      <xdr:rowOff>47625</xdr:rowOff>
    </xdr:from>
    <xdr:to>
      <xdr:col>14</xdr:col>
      <xdr:colOff>468522</xdr:colOff>
      <xdr:row>3</xdr:row>
      <xdr:rowOff>194397</xdr:rowOff>
    </xdr:to>
    <xdr:pic>
      <xdr:nvPicPr>
        <xdr:cNvPr id="3" name="Picture 2" descr="Screen Shot 2012-11-27 at 4.00.03 PM.png">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rcRect r="1100" b="5798"/>
        <a:stretch>
          <a:fillRect/>
        </a:stretch>
      </xdr:blipFill>
      <xdr:spPr>
        <a:xfrm>
          <a:off x="16764000" y="47625"/>
          <a:ext cx="3961022" cy="734147"/>
        </a:xfrm>
        <a:prstGeom prst="rect">
          <a:avLst/>
        </a:prstGeom>
      </xdr:spPr>
    </xdr:pic>
    <xdr:clientData/>
  </xdr:twoCellAnchor>
  <xdr:twoCellAnchor>
    <xdr:from>
      <xdr:col>14</xdr:col>
      <xdr:colOff>634999</xdr:colOff>
      <xdr:row>0</xdr:row>
      <xdr:rowOff>0</xdr:rowOff>
    </xdr:from>
    <xdr:to>
      <xdr:col>14</xdr:col>
      <xdr:colOff>634999</xdr:colOff>
      <xdr:row>47</xdr:row>
      <xdr:rowOff>412749</xdr:rowOff>
    </xdr:to>
    <xdr:cxnSp macro="">
      <xdr:nvCxnSpPr>
        <xdr:cNvPr id="6" name="Straight Connector 5">
          <a:extLst>
            <a:ext uri="{FF2B5EF4-FFF2-40B4-BE49-F238E27FC236}">
              <a16:creationId xmlns:a16="http://schemas.microsoft.com/office/drawing/2014/main" id="{00000000-0008-0000-0B00-000006000000}"/>
            </a:ext>
          </a:extLst>
        </xdr:cNvPr>
        <xdr:cNvCxnSpPr/>
      </xdr:nvCxnSpPr>
      <xdr:spPr>
        <a:xfrm>
          <a:off x="20891499" y="0"/>
          <a:ext cx="0" cy="10271124"/>
        </a:xfrm>
        <a:prstGeom prst="line">
          <a:avLst/>
        </a:prstGeom>
        <a:ln w="19050">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editAs="oneCell">
    <xdr:from>
      <xdr:col>3</xdr:col>
      <xdr:colOff>1390651</xdr:colOff>
      <xdr:row>0</xdr:row>
      <xdr:rowOff>34600</xdr:rowOff>
    </xdr:from>
    <xdr:to>
      <xdr:col>6</xdr:col>
      <xdr:colOff>819149</xdr:colOff>
      <xdr:row>3</xdr:row>
      <xdr:rowOff>133350</xdr:rowOff>
    </xdr:to>
    <xdr:pic>
      <xdr:nvPicPr>
        <xdr:cNvPr id="2" name="Picture 1" descr="Screen Shot 2012-11-27 at 4.00.03 PM.png">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rcRect r="922" b="4725"/>
        <a:stretch>
          <a:fillRect/>
        </a:stretch>
      </xdr:blipFill>
      <xdr:spPr>
        <a:xfrm>
          <a:off x="7124701" y="34600"/>
          <a:ext cx="3771899" cy="698825"/>
        </a:xfrm>
        <a:prstGeom prst="rect">
          <a:avLst/>
        </a:prstGeom>
      </xdr:spPr>
    </xdr:pic>
    <xdr:clientData/>
  </xdr:twoCellAnchor>
  <xdr:twoCellAnchor>
    <xdr:from>
      <xdr:col>6</xdr:col>
      <xdr:colOff>841374</xdr:colOff>
      <xdr:row>0</xdr:row>
      <xdr:rowOff>0</xdr:rowOff>
    </xdr:from>
    <xdr:to>
      <xdr:col>6</xdr:col>
      <xdr:colOff>841374</xdr:colOff>
      <xdr:row>48</xdr:row>
      <xdr:rowOff>412749</xdr:rowOff>
    </xdr:to>
    <xdr:cxnSp macro="">
      <xdr:nvCxnSpPr>
        <xdr:cNvPr id="4" name="Straight Connector 3">
          <a:extLst>
            <a:ext uri="{FF2B5EF4-FFF2-40B4-BE49-F238E27FC236}">
              <a16:creationId xmlns:a16="http://schemas.microsoft.com/office/drawing/2014/main" id="{00000000-0008-0000-0C00-000004000000}"/>
            </a:ext>
          </a:extLst>
        </xdr:cNvPr>
        <xdr:cNvCxnSpPr/>
      </xdr:nvCxnSpPr>
      <xdr:spPr>
        <a:xfrm>
          <a:off x="11096624" y="0"/>
          <a:ext cx="0" cy="10302874"/>
        </a:xfrm>
        <a:prstGeom prst="line">
          <a:avLst/>
        </a:prstGeom>
        <a:ln w="19050">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xdr:col>
          <xdr:colOff>1009650</xdr:colOff>
          <xdr:row>22</xdr:row>
          <xdr:rowOff>0</xdr:rowOff>
        </xdr:from>
        <xdr:to>
          <xdr:col>4</xdr:col>
          <xdr:colOff>19050</xdr:colOff>
          <xdr:row>23</xdr:row>
          <xdr:rowOff>19050</xdr:rowOff>
        </xdr:to>
        <xdr:sp macro="" textlink="">
          <xdr:nvSpPr>
            <xdr:cNvPr id="20482" name="Default_N1" hidden="1">
              <a:extLst>
                <a:ext uri="{63B3BB69-23CF-44E3-9099-C40C66FF867C}">
                  <a14:compatExt spid="_x0000_s20482"/>
                </a:ext>
                <a:ext uri="{FF2B5EF4-FFF2-40B4-BE49-F238E27FC236}">
                  <a16:creationId xmlns:a16="http://schemas.microsoft.com/office/drawing/2014/main" id="{00000000-0008-0000-0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23</xdr:row>
          <xdr:rowOff>0</xdr:rowOff>
        </xdr:from>
        <xdr:to>
          <xdr:col>4</xdr:col>
          <xdr:colOff>19050</xdr:colOff>
          <xdr:row>24</xdr:row>
          <xdr:rowOff>0</xdr:rowOff>
        </xdr:to>
        <xdr:sp macro="" textlink="">
          <xdr:nvSpPr>
            <xdr:cNvPr id="20483" name="Sys_Sp_N1" hidden="1">
              <a:extLst>
                <a:ext uri="{63B3BB69-23CF-44E3-9099-C40C66FF867C}">
                  <a14:compatExt spid="_x0000_s20483"/>
                </a:ext>
                <a:ext uri="{FF2B5EF4-FFF2-40B4-BE49-F238E27FC236}">
                  <a16:creationId xmlns:a16="http://schemas.microsoft.com/office/drawing/2014/main" id="{00000000-0008-0000-0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10</xdr:col>
      <xdr:colOff>142874</xdr:colOff>
      <xdr:row>0</xdr:row>
      <xdr:rowOff>0</xdr:rowOff>
    </xdr:from>
    <xdr:to>
      <xdr:col>10</xdr:col>
      <xdr:colOff>142874</xdr:colOff>
      <xdr:row>149</xdr:row>
      <xdr:rowOff>206374</xdr:rowOff>
    </xdr:to>
    <xdr:cxnSp macro="">
      <xdr:nvCxnSpPr>
        <xdr:cNvPr id="3" name="Straight Connector 2">
          <a:extLst>
            <a:ext uri="{FF2B5EF4-FFF2-40B4-BE49-F238E27FC236}">
              <a16:creationId xmlns:a16="http://schemas.microsoft.com/office/drawing/2014/main" id="{00000000-0008-0000-0D00-000003000000}"/>
            </a:ext>
          </a:extLst>
        </xdr:cNvPr>
        <xdr:cNvCxnSpPr/>
      </xdr:nvCxnSpPr>
      <xdr:spPr>
        <a:xfrm>
          <a:off x="13350874" y="0"/>
          <a:ext cx="0" cy="129016124"/>
        </a:xfrm>
        <a:prstGeom prst="line">
          <a:avLst/>
        </a:prstGeom>
        <a:ln w="19050">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1904999</xdr:colOff>
      <xdr:row>0</xdr:row>
      <xdr:rowOff>0</xdr:rowOff>
    </xdr:from>
    <xdr:to>
      <xdr:col>6</xdr:col>
      <xdr:colOff>1904999</xdr:colOff>
      <xdr:row>10</xdr:row>
      <xdr:rowOff>206374</xdr:rowOff>
    </xdr:to>
    <xdr:cxnSp macro="">
      <xdr:nvCxnSpPr>
        <xdr:cNvPr id="3" name="Straight Connector 2">
          <a:extLst>
            <a:ext uri="{FF2B5EF4-FFF2-40B4-BE49-F238E27FC236}">
              <a16:creationId xmlns:a16="http://schemas.microsoft.com/office/drawing/2014/main" id="{00000000-0008-0000-0E00-000003000000}"/>
            </a:ext>
          </a:extLst>
        </xdr:cNvPr>
        <xdr:cNvCxnSpPr/>
      </xdr:nvCxnSpPr>
      <xdr:spPr>
        <a:xfrm flipH="1">
          <a:off x="7143749" y="0"/>
          <a:ext cx="0" cy="2968624"/>
        </a:xfrm>
        <a:prstGeom prst="line">
          <a:avLst/>
        </a:prstGeom>
        <a:ln w="19050">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ustom 1">
      <a:majorFont>
        <a:latin typeface="Swis721 BT"/>
        <a:ea typeface=""/>
        <a:cs typeface=""/>
      </a:majorFont>
      <a:minorFont>
        <a:latin typeface="Swis721 BT"/>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17.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5.xml"/><Relationship Id="rId5" Type="http://schemas.openxmlformats.org/officeDocument/2006/relationships/image" Target="../media/image16.emf"/><Relationship Id="rId4" Type="http://schemas.openxmlformats.org/officeDocument/2006/relationships/control" Target="../activeX/activeX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8.emf"/><Relationship Id="rId4" Type="http://schemas.openxmlformats.org/officeDocument/2006/relationships/control" Target="../activeX/activeX1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20.emf"/><Relationship Id="rId4" Type="http://schemas.openxmlformats.org/officeDocument/2006/relationships/control" Target="../activeX/activeX17.xml"/></Relationships>
</file>

<file path=xl/worksheets/_rels/sheet8.xml.rels><?xml version="1.0" encoding="UTF-8" standalone="yes"?>
<Relationships xmlns="http://schemas.openxmlformats.org/package/2006/relationships"><Relationship Id="rId26" Type="http://schemas.openxmlformats.org/officeDocument/2006/relationships/control" Target="../activeX/activeX32.xml"/><Relationship Id="rId117" Type="http://schemas.openxmlformats.org/officeDocument/2006/relationships/ctrlProp" Target="../ctrlProps/ctrlProp3.xml"/><Relationship Id="rId21" Type="http://schemas.openxmlformats.org/officeDocument/2006/relationships/control" Target="../activeX/activeX27.xml"/><Relationship Id="rId42" Type="http://schemas.openxmlformats.org/officeDocument/2006/relationships/control" Target="../activeX/activeX48.xml"/><Relationship Id="rId47" Type="http://schemas.openxmlformats.org/officeDocument/2006/relationships/control" Target="../activeX/activeX53.xml"/><Relationship Id="rId63" Type="http://schemas.openxmlformats.org/officeDocument/2006/relationships/control" Target="../activeX/activeX69.xml"/><Relationship Id="rId68" Type="http://schemas.openxmlformats.org/officeDocument/2006/relationships/control" Target="../activeX/activeX74.xml"/><Relationship Id="rId84" Type="http://schemas.openxmlformats.org/officeDocument/2006/relationships/control" Target="../activeX/activeX90.xml"/><Relationship Id="rId89" Type="http://schemas.openxmlformats.org/officeDocument/2006/relationships/control" Target="../activeX/activeX95.xml"/><Relationship Id="rId112" Type="http://schemas.openxmlformats.org/officeDocument/2006/relationships/control" Target="../activeX/activeX118.xml"/><Relationship Id="rId16" Type="http://schemas.openxmlformats.org/officeDocument/2006/relationships/control" Target="../activeX/activeX24.xml"/><Relationship Id="rId107" Type="http://schemas.openxmlformats.org/officeDocument/2006/relationships/control" Target="../activeX/activeX113.xml"/><Relationship Id="rId11" Type="http://schemas.openxmlformats.org/officeDocument/2006/relationships/image" Target="../media/image24.emf"/><Relationship Id="rId24" Type="http://schemas.openxmlformats.org/officeDocument/2006/relationships/control" Target="../activeX/activeX30.xml"/><Relationship Id="rId32" Type="http://schemas.openxmlformats.org/officeDocument/2006/relationships/control" Target="../activeX/activeX38.xml"/><Relationship Id="rId37" Type="http://schemas.openxmlformats.org/officeDocument/2006/relationships/control" Target="../activeX/activeX43.xml"/><Relationship Id="rId40" Type="http://schemas.openxmlformats.org/officeDocument/2006/relationships/control" Target="../activeX/activeX46.xml"/><Relationship Id="rId45" Type="http://schemas.openxmlformats.org/officeDocument/2006/relationships/control" Target="../activeX/activeX51.xml"/><Relationship Id="rId53" Type="http://schemas.openxmlformats.org/officeDocument/2006/relationships/control" Target="../activeX/activeX59.xml"/><Relationship Id="rId58" Type="http://schemas.openxmlformats.org/officeDocument/2006/relationships/control" Target="../activeX/activeX64.xml"/><Relationship Id="rId66" Type="http://schemas.openxmlformats.org/officeDocument/2006/relationships/control" Target="../activeX/activeX72.xml"/><Relationship Id="rId74" Type="http://schemas.openxmlformats.org/officeDocument/2006/relationships/control" Target="../activeX/activeX80.xml"/><Relationship Id="rId79" Type="http://schemas.openxmlformats.org/officeDocument/2006/relationships/control" Target="../activeX/activeX85.xml"/><Relationship Id="rId87" Type="http://schemas.openxmlformats.org/officeDocument/2006/relationships/control" Target="../activeX/activeX93.xml"/><Relationship Id="rId102" Type="http://schemas.openxmlformats.org/officeDocument/2006/relationships/control" Target="../activeX/activeX108.xml"/><Relationship Id="rId110" Type="http://schemas.openxmlformats.org/officeDocument/2006/relationships/control" Target="../activeX/activeX116.xml"/><Relationship Id="rId115" Type="http://schemas.openxmlformats.org/officeDocument/2006/relationships/ctrlProp" Target="../ctrlProps/ctrlProp1.xml"/><Relationship Id="rId5" Type="http://schemas.openxmlformats.org/officeDocument/2006/relationships/image" Target="../media/image21.emf"/><Relationship Id="rId61" Type="http://schemas.openxmlformats.org/officeDocument/2006/relationships/control" Target="../activeX/activeX67.xml"/><Relationship Id="rId82" Type="http://schemas.openxmlformats.org/officeDocument/2006/relationships/control" Target="../activeX/activeX88.xml"/><Relationship Id="rId90" Type="http://schemas.openxmlformats.org/officeDocument/2006/relationships/control" Target="../activeX/activeX96.xml"/><Relationship Id="rId95" Type="http://schemas.openxmlformats.org/officeDocument/2006/relationships/control" Target="../activeX/activeX101.xml"/><Relationship Id="rId19" Type="http://schemas.openxmlformats.org/officeDocument/2006/relationships/image" Target="../media/image28.emf"/><Relationship Id="rId14" Type="http://schemas.openxmlformats.org/officeDocument/2006/relationships/control" Target="../activeX/activeX23.xml"/><Relationship Id="rId22" Type="http://schemas.openxmlformats.org/officeDocument/2006/relationships/control" Target="../activeX/activeX28.xml"/><Relationship Id="rId27" Type="http://schemas.openxmlformats.org/officeDocument/2006/relationships/control" Target="../activeX/activeX33.xml"/><Relationship Id="rId30" Type="http://schemas.openxmlformats.org/officeDocument/2006/relationships/control" Target="../activeX/activeX36.xml"/><Relationship Id="rId35" Type="http://schemas.openxmlformats.org/officeDocument/2006/relationships/control" Target="../activeX/activeX41.xml"/><Relationship Id="rId43" Type="http://schemas.openxmlformats.org/officeDocument/2006/relationships/control" Target="../activeX/activeX49.xml"/><Relationship Id="rId48" Type="http://schemas.openxmlformats.org/officeDocument/2006/relationships/control" Target="../activeX/activeX54.xml"/><Relationship Id="rId56" Type="http://schemas.openxmlformats.org/officeDocument/2006/relationships/control" Target="../activeX/activeX62.xml"/><Relationship Id="rId64" Type="http://schemas.openxmlformats.org/officeDocument/2006/relationships/control" Target="../activeX/activeX70.xml"/><Relationship Id="rId69" Type="http://schemas.openxmlformats.org/officeDocument/2006/relationships/control" Target="../activeX/activeX75.xml"/><Relationship Id="rId77" Type="http://schemas.openxmlformats.org/officeDocument/2006/relationships/control" Target="../activeX/activeX83.xml"/><Relationship Id="rId100" Type="http://schemas.openxmlformats.org/officeDocument/2006/relationships/control" Target="../activeX/activeX106.xml"/><Relationship Id="rId105" Type="http://schemas.openxmlformats.org/officeDocument/2006/relationships/control" Target="../activeX/activeX111.xml"/><Relationship Id="rId113" Type="http://schemas.openxmlformats.org/officeDocument/2006/relationships/control" Target="../activeX/activeX119.xml"/><Relationship Id="rId118" Type="http://schemas.openxmlformats.org/officeDocument/2006/relationships/ctrlProp" Target="../ctrlProps/ctrlProp4.xml"/><Relationship Id="rId8" Type="http://schemas.openxmlformats.org/officeDocument/2006/relationships/control" Target="../activeX/activeX20.xml"/><Relationship Id="rId51" Type="http://schemas.openxmlformats.org/officeDocument/2006/relationships/control" Target="../activeX/activeX57.xml"/><Relationship Id="rId72" Type="http://schemas.openxmlformats.org/officeDocument/2006/relationships/control" Target="../activeX/activeX78.xml"/><Relationship Id="rId80" Type="http://schemas.openxmlformats.org/officeDocument/2006/relationships/control" Target="../activeX/activeX86.xml"/><Relationship Id="rId85" Type="http://schemas.openxmlformats.org/officeDocument/2006/relationships/control" Target="../activeX/activeX91.xml"/><Relationship Id="rId93" Type="http://schemas.openxmlformats.org/officeDocument/2006/relationships/control" Target="../activeX/activeX99.xml"/><Relationship Id="rId98" Type="http://schemas.openxmlformats.org/officeDocument/2006/relationships/control" Target="../activeX/activeX104.xml"/><Relationship Id="rId3" Type="http://schemas.openxmlformats.org/officeDocument/2006/relationships/vmlDrawing" Target="../drawings/vmlDrawing5.vml"/><Relationship Id="rId12" Type="http://schemas.openxmlformats.org/officeDocument/2006/relationships/control" Target="../activeX/activeX22.xml"/><Relationship Id="rId17" Type="http://schemas.openxmlformats.org/officeDocument/2006/relationships/image" Target="../media/image27.emf"/><Relationship Id="rId25" Type="http://schemas.openxmlformats.org/officeDocument/2006/relationships/control" Target="../activeX/activeX31.xml"/><Relationship Id="rId33" Type="http://schemas.openxmlformats.org/officeDocument/2006/relationships/control" Target="../activeX/activeX39.xml"/><Relationship Id="rId38" Type="http://schemas.openxmlformats.org/officeDocument/2006/relationships/control" Target="../activeX/activeX44.xml"/><Relationship Id="rId46" Type="http://schemas.openxmlformats.org/officeDocument/2006/relationships/control" Target="../activeX/activeX52.xml"/><Relationship Id="rId59" Type="http://schemas.openxmlformats.org/officeDocument/2006/relationships/control" Target="../activeX/activeX65.xml"/><Relationship Id="rId67" Type="http://schemas.openxmlformats.org/officeDocument/2006/relationships/control" Target="../activeX/activeX73.xml"/><Relationship Id="rId103" Type="http://schemas.openxmlformats.org/officeDocument/2006/relationships/control" Target="../activeX/activeX109.xml"/><Relationship Id="rId108" Type="http://schemas.openxmlformats.org/officeDocument/2006/relationships/control" Target="../activeX/activeX114.xml"/><Relationship Id="rId116" Type="http://schemas.openxmlformats.org/officeDocument/2006/relationships/ctrlProp" Target="../ctrlProps/ctrlProp2.xml"/><Relationship Id="rId20" Type="http://schemas.openxmlformats.org/officeDocument/2006/relationships/control" Target="../activeX/activeX26.xml"/><Relationship Id="rId41" Type="http://schemas.openxmlformats.org/officeDocument/2006/relationships/control" Target="../activeX/activeX47.xml"/><Relationship Id="rId54" Type="http://schemas.openxmlformats.org/officeDocument/2006/relationships/control" Target="../activeX/activeX60.xml"/><Relationship Id="rId62" Type="http://schemas.openxmlformats.org/officeDocument/2006/relationships/control" Target="../activeX/activeX68.xml"/><Relationship Id="rId70" Type="http://schemas.openxmlformats.org/officeDocument/2006/relationships/control" Target="../activeX/activeX76.xml"/><Relationship Id="rId75" Type="http://schemas.openxmlformats.org/officeDocument/2006/relationships/control" Target="../activeX/activeX81.xml"/><Relationship Id="rId83" Type="http://schemas.openxmlformats.org/officeDocument/2006/relationships/control" Target="../activeX/activeX89.xml"/><Relationship Id="rId88" Type="http://schemas.openxmlformats.org/officeDocument/2006/relationships/control" Target="../activeX/activeX94.xml"/><Relationship Id="rId91" Type="http://schemas.openxmlformats.org/officeDocument/2006/relationships/control" Target="../activeX/activeX97.xml"/><Relationship Id="rId96" Type="http://schemas.openxmlformats.org/officeDocument/2006/relationships/control" Target="../activeX/activeX102.xml"/><Relationship Id="rId111" Type="http://schemas.openxmlformats.org/officeDocument/2006/relationships/control" Target="../activeX/activeX117.xml"/><Relationship Id="rId1" Type="http://schemas.openxmlformats.org/officeDocument/2006/relationships/printerSettings" Target="../printerSettings/printerSettings7.bin"/><Relationship Id="rId6" Type="http://schemas.openxmlformats.org/officeDocument/2006/relationships/control" Target="../activeX/activeX19.xml"/><Relationship Id="rId15" Type="http://schemas.openxmlformats.org/officeDocument/2006/relationships/image" Target="../media/image26.emf"/><Relationship Id="rId23" Type="http://schemas.openxmlformats.org/officeDocument/2006/relationships/control" Target="../activeX/activeX29.xml"/><Relationship Id="rId28" Type="http://schemas.openxmlformats.org/officeDocument/2006/relationships/control" Target="../activeX/activeX34.xml"/><Relationship Id="rId36" Type="http://schemas.openxmlformats.org/officeDocument/2006/relationships/control" Target="../activeX/activeX42.xml"/><Relationship Id="rId49" Type="http://schemas.openxmlformats.org/officeDocument/2006/relationships/control" Target="../activeX/activeX55.xml"/><Relationship Id="rId57" Type="http://schemas.openxmlformats.org/officeDocument/2006/relationships/control" Target="../activeX/activeX63.xml"/><Relationship Id="rId106" Type="http://schemas.openxmlformats.org/officeDocument/2006/relationships/control" Target="../activeX/activeX112.xml"/><Relationship Id="rId114" Type="http://schemas.openxmlformats.org/officeDocument/2006/relationships/image" Target="../media/image29.emf"/><Relationship Id="rId119" Type="http://schemas.openxmlformats.org/officeDocument/2006/relationships/ctrlProp" Target="../ctrlProps/ctrlProp5.xml"/><Relationship Id="rId10" Type="http://schemas.openxmlformats.org/officeDocument/2006/relationships/control" Target="../activeX/activeX21.xml"/><Relationship Id="rId31" Type="http://schemas.openxmlformats.org/officeDocument/2006/relationships/control" Target="../activeX/activeX37.xml"/><Relationship Id="rId44" Type="http://schemas.openxmlformats.org/officeDocument/2006/relationships/control" Target="../activeX/activeX50.xml"/><Relationship Id="rId52" Type="http://schemas.openxmlformats.org/officeDocument/2006/relationships/control" Target="../activeX/activeX58.xml"/><Relationship Id="rId60" Type="http://schemas.openxmlformats.org/officeDocument/2006/relationships/control" Target="../activeX/activeX66.xml"/><Relationship Id="rId65" Type="http://schemas.openxmlformats.org/officeDocument/2006/relationships/control" Target="../activeX/activeX71.xml"/><Relationship Id="rId73" Type="http://schemas.openxmlformats.org/officeDocument/2006/relationships/control" Target="../activeX/activeX79.xml"/><Relationship Id="rId78" Type="http://schemas.openxmlformats.org/officeDocument/2006/relationships/control" Target="../activeX/activeX84.xml"/><Relationship Id="rId81" Type="http://schemas.openxmlformats.org/officeDocument/2006/relationships/control" Target="../activeX/activeX87.xml"/><Relationship Id="rId86" Type="http://schemas.openxmlformats.org/officeDocument/2006/relationships/control" Target="../activeX/activeX92.xml"/><Relationship Id="rId94" Type="http://schemas.openxmlformats.org/officeDocument/2006/relationships/control" Target="../activeX/activeX100.xml"/><Relationship Id="rId99" Type="http://schemas.openxmlformats.org/officeDocument/2006/relationships/control" Target="../activeX/activeX105.xml"/><Relationship Id="rId101" Type="http://schemas.openxmlformats.org/officeDocument/2006/relationships/control" Target="../activeX/activeX107.xml"/><Relationship Id="rId4" Type="http://schemas.openxmlformats.org/officeDocument/2006/relationships/control" Target="../activeX/activeX18.xml"/><Relationship Id="rId9" Type="http://schemas.openxmlformats.org/officeDocument/2006/relationships/image" Target="../media/image23.emf"/><Relationship Id="rId13" Type="http://schemas.openxmlformats.org/officeDocument/2006/relationships/image" Target="../media/image25.emf"/><Relationship Id="rId18" Type="http://schemas.openxmlformats.org/officeDocument/2006/relationships/control" Target="../activeX/activeX25.xml"/><Relationship Id="rId39" Type="http://schemas.openxmlformats.org/officeDocument/2006/relationships/control" Target="../activeX/activeX45.xml"/><Relationship Id="rId109" Type="http://schemas.openxmlformats.org/officeDocument/2006/relationships/control" Target="../activeX/activeX115.xml"/><Relationship Id="rId34" Type="http://schemas.openxmlformats.org/officeDocument/2006/relationships/control" Target="../activeX/activeX40.xml"/><Relationship Id="rId50" Type="http://schemas.openxmlformats.org/officeDocument/2006/relationships/control" Target="../activeX/activeX56.xml"/><Relationship Id="rId55" Type="http://schemas.openxmlformats.org/officeDocument/2006/relationships/control" Target="../activeX/activeX61.xml"/><Relationship Id="rId76" Type="http://schemas.openxmlformats.org/officeDocument/2006/relationships/control" Target="../activeX/activeX82.xml"/><Relationship Id="rId97" Type="http://schemas.openxmlformats.org/officeDocument/2006/relationships/control" Target="../activeX/activeX103.xml"/><Relationship Id="rId104" Type="http://schemas.openxmlformats.org/officeDocument/2006/relationships/control" Target="../activeX/activeX110.xml"/><Relationship Id="rId120" Type="http://schemas.openxmlformats.org/officeDocument/2006/relationships/ctrlProp" Target="../ctrlProps/ctrlProp6.xml"/><Relationship Id="rId7" Type="http://schemas.openxmlformats.org/officeDocument/2006/relationships/image" Target="../media/image22.emf"/><Relationship Id="rId71" Type="http://schemas.openxmlformats.org/officeDocument/2006/relationships/control" Target="../activeX/activeX77.xml"/><Relationship Id="rId92" Type="http://schemas.openxmlformats.org/officeDocument/2006/relationships/control" Target="../activeX/activeX98.xml"/><Relationship Id="rId2" Type="http://schemas.openxmlformats.org/officeDocument/2006/relationships/drawing" Target="../drawings/drawing6.xml"/><Relationship Id="rId29" Type="http://schemas.openxmlformats.org/officeDocument/2006/relationships/control" Target="../activeX/activeX3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31.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121.xml"/><Relationship Id="rId5" Type="http://schemas.openxmlformats.org/officeDocument/2006/relationships/image" Target="../media/image30.emf"/><Relationship Id="rId4" Type="http://schemas.openxmlformats.org/officeDocument/2006/relationships/control" Target="../activeX/activeX12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P79"/>
  <sheetViews>
    <sheetView workbookViewId="0">
      <selection activeCell="C5" sqref="C5"/>
    </sheetView>
  </sheetViews>
  <sheetFormatPr defaultColWidth="9" defaultRowHeight="12.5"/>
  <cols>
    <col min="1" max="1" width="1.53515625" style="664" bestFit="1" customWidth="1"/>
    <col min="2" max="2" width="29.07421875" style="664" customWidth="1"/>
    <col min="3" max="3" width="22.3046875" style="664" customWidth="1"/>
    <col min="4" max="4" width="16.07421875" style="664" customWidth="1"/>
    <col min="5" max="5" width="11.765625" style="664" customWidth="1"/>
    <col min="6" max="6" width="7.3046875" style="664" customWidth="1"/>
    <col min="7" max="7" width="11.3046875" style="664" customWidth="1"/>
    <col min="8" max="8" width="14.765625" style="664" customWidth="1"/>
    <col min="9" max="9" width="5.3046875" style="664" customWidth="1"/>
    <col min="10" max="10" width="29.3046875" style="664" customWidth="1"/>
    <col min="11" max="11" width="3.765625" style="664" customWidth="1"/>
    <col min="12" max="12" width="8" style="664" customWidth="1"/>
    <col min="13" max="14" width="29.3046875" style="664" customWidth="1"/>
    <col min="15" max="15" width="16.69140625" style="664" customWidth="1"/>
    <col min="16" max="16" width="29.3046875" style="664" customWidth="1"/>
    <col min="17" max="257" width="9" style="664"/>
    <col min="258" max="258" width="25" style="664" customWidth="1"/>
    <col min="259" max="259" width="15.69140625" style="664" customWidth="1"/>
    <col min="260" max="260" width="18.07421875" style="664" bestFit="1" customWidth="1"/>
    <col min="261" max="261" width="9.765625" style="664" bestFit="1" customWidth="1"/>
    <col min="262" max="262" width="4.84375" style="664" customWidth="1"/>
    <col min="263" max="263" width="9.84375" style="664" customWidth="1"/>
    <col min="264" max="264" width="13" style="664" customWidth="1"/>
    <col min="265" max="265" width="4.53515625" style="664" customWidth="1"/>
    <col min="266" max="266" width="25.84375" style="664" bestFit="1" customWidth="1"/>
    <col min="267" max="267" width="3.23046875" style="664" customWidth="1"/>
    <col min="268" max="268" width="7" style="664" customWidth="1"/>
    <col min="269" max="270" width="25.84375" style="664" bestFit="1" customWidth="1"/>
    <col min="271" max="271" width="14.69140625" style="664" bestFit="1" customWidth="1"/>
    <col min="272" max="272" width="25.84375" style="664" bestFit="1" customWidth="1"/>
    <col min="273" max="513" width="9" style="664"/>
    <col min="514" max="514" width="25" style="664" customWidth="1"/>
    <col min="515" max="515" width="15.69140625" style="664" customWidth="1"/>
    <col min="516" max="516" width="18.07421875" style="664" bestFit="1" customWidth="1"/>
    <col min="517" max="517" width="9.765625" style="664" bestFit="1" customWidth="1"/>
    <col min="518" max="518" width="4.84375" style="664" customWidth="1"/>
    <col min="519" max="519" width="9.84375" style="664" customWidth="1"/>
    <col min="520" max="520" width="13" style="664" customWidth="1"/>
    <col min="521" max="521" width="4.53515625" style="664" customWidth="1"/>
    <col min="522" max="522" width="25.84375" style="664" bestFit="1" customWidth="1"/>
    <col min="523" max="523" width="3.23046875" style="664" customWidth="1"/>
    <col min="524" max="524" width="7" style="664" customWidth="1"/>
    <col min="525" max="526" width="25.84375" style="664" bestFit="1" customWidth="1"/>
    <col min="527" max="527" width="14.69140625" style="664" bestFit="1" customWidth="1"/>
    <col min="528" max="528" width="25.84375" style="664" bestFit="1" customWidth="1"/>
    <col min="529" max="769" width="9" style="664"/>
    <col min="770" max="770" width="25" style="664" customWidth="1"/>
    <col min="771" max="771" width="15.69140625" style="664" customWidth="1"/>
    <col min="772" max="772" width="18.07421875" style="664" bestFit="1" customWidth="1"/>
    <col min="773" max="773" width="9.765625" style="664" bestFit="1" customWidth="1"/>
    <col min="774" max="774" width="4.84375" style="664" customWidth="1"/>
    <col min="775" max="775" width="9.84375" style="664" customWidth="1"/>
    <col min="776" max="776" width="13" style="664" customWidth="1"/>
    <col min="777" max="777" width="4.53515625" style="664" customWidth="1"/>
    <col min="778" max="778" width="25.84375" style="664" bestFit="1" customWidth="1"/>
    <col min="779" max="779" width="3.23046875" style="664" customWidth="1"/>
    <col min="780" max="780" width="7" style="664" customWidth="1"/>
    <col min="781" max="782" width="25.84375" style="664" bestFit="1" customWidth="1"/>
    <col min="783" max="783" width="14.69140625" style="664" bestFit="1" customWidth="1"/>
    <col min="784" max="784" width="25.84375" style="664" bestFit="1" customWidth="1"/>
    <col min="785" max="1025" width="9" style="664"/>
    <col min="1026" max="1026" width="25" style="664" customWidth="1"/>
    <col min="1027" max="1027" width="15.69140625" style="664" customWidth="1"/>
    <col min="1028" max="1028" width="18.07421875" style="664" bestFit="1" customWidth="1"/>
    <col min="1029" max="1029" width="9.765625" style="664" bestFit="1" customWidth="1"/>
    <col min="1030" max="1030" width="4.84375" style="664" customWidth="1"/>
    <col min="1031" max="1031" width="9.84375" style="664" customWidth="1"/>
    <col min="1032" max="1032" width="13" style="664" customWidth="1"/>
    <col min="1033" max="1033" width="4.53515625" style="664" customWidth="1"/>
    <col min="1034" max="1034" width="25.84375" style="664" bestFit="1" customWidth="1"/>
    <col min="1035" max="1035" width="3.23046875" style="664" customWidth="1"/>
    <col min="1036" max="1036" width="7" style="664" customWidth="1"/>
    <col min="1037" max="1038" width="25.84375" style="664" bestFit="1" customWidth="1"/>
    <col min="1039" max="1039" width="14.69140625" style="664" bestFit="1" customWidth="1"/>
    <col min="1040" max="1040" width="25.84375" style="664" bestFit="1" customWidth="1"/>
    <col min="1041" max="1281" width="9" style="664"/>
    <col min="1282" max="1282" width="25" style="664" customWidth="1"/>
    <col min="1283" max="1283" width="15.69140625" style="664" customWidth="1"/>
    <col min="1284" max="1284" width="18.07421875" style="664" bestFit="1" customWidth="1"/>
    <col min="1285" max="1285" width="9.765625" style="664" bestFit="1" customWidth="1"/>
    <col min="1286" max="1286" width="4.84375" style="664" customWidth="1"/>
    <col min="1287" max="1287" width="9.84375" style="664" customWidth="1"/>
    <col min="1288" max="1288" width="13" style="664" customWidth="1"/>
    <col min="1289" max="1289" width="4.53515625" style="664" customWidth="1"/>
    <col min="1290" max="1290" width="25.84375" style="664" bestFit="1" customWidth="1"/>
    <col min="1291" max="1291" width="3.23046875" style="664" customWidth="1"/>
    <col min="1292" max="1292" width="7" style="664" customWidth="1"/>
    <col min="1293" max="1294" width="25.84375" style="664" bestFit="1" customWidth="1"/>
    <col min="1295" max="1295" width="14.69140625" style="664" bestFit="1" customWidth="1"/>
    <col min="1296" max="1296" width="25.84375" style="664" bestFit="1" customWidth="1"/>
    <col min="1297" max="1537" width="9" style="664"/>
    <col min="1538" max="1538" width="25" style="664" customWidth="1"/>
    <col min="1539" max="1539" width="15.69140625" style="664" customWidth="1"/>
    <col min="1540" max="1540" width="18.07421875" style="664" bestFit="1" customWidth="1"/>
    <col min="1541" max="1541" width="9.765625" style="664" bestFit="1" customWidth="1"/>
    <col min="1542" max="1542" width="4.84375" style="664" customWidth="1"/>
    <col min="1543" max="1543" width="9.84375" style="664" customWidth="1"/>
    <col min="1544" max="1544" width="13" style="664" customWidth="1"/>
    <col min="1545" max="1545" width="4.53515625" style="664" customWidth="1"/>
    <col min="1546" max="1546" width="25.84375" style="664" bestFit="1" customWidth="1"/>
    <col min="1547" max="1547" width="3.23046875" style="664" customWidth="1"/>
    <col min="1548" max="1548" width="7" style="664" customWidth="1"/>
    <col min="1549" max="1550" width="25.84375" style="664" bestFit="1" customWidth="1"/>
    <col min="1551" max="1551" width="14.69140625" style="664" bestFit="1" customWidth="1"/>
    <col min="1552" max="1552" width="25.84375" style="664" bestFit="1" customWidth="1"/>
    <col min="1553" max="1793" width="9" style="664"/>
    <col min="1794" max="1794" width="25" style="664" customWidth="1"/>
    <col min="1795" max="1795" width="15.69140625" style="664" customWidth="1"/>
    <col min="1796" max="1796" width="18.07421875" style="664" bestFit="1" customWidth="1"/>
    <col min="1797" max="1797" width="9.765625" style="664" bestFit="1" customWidth="1"/>
    <col min="1798" max="1798" width="4.84375" style="664" customWidth="1"/>
    <col min="1799" max="1799" width="9.84375" style="664" customWidth="1"/>
    <col min="1800" max="1800" width="13" style="664" customWidth="1"/>
    <col min="1801" max="1801" width="4.53515625" style="664" customWidth="1"/>
    <col min="1802" max="1802" width="25.84375" style="664" bestFit="1" customWidth="1"/>
    <col min="1803" max="1803" width="3.23046875" style="664" customWidth="1"/>
    <col min="1804" max="1804" width="7" style="664" customWidth="1"/>
    <col min="1805" max="1806" width="25.84375" style="664" bestFit="1" customWidth="1"/>
    <col min="1807" max="1807" width="14.69140625" style="664" bestFit="1" customWidth="1"/>
    <col min="1808" max="1808" width="25.84375" style="664" bestFit="1" customWidth="1"/>
    <col min="1809" max="2049" width="9" style="664"/>
    <col min="2050" max="2050" width="25" style="664" customWidth="1"/>
    <col min="2051" max="2051" width="15.69140625" style="664" customWidth="1"/>
    <col min="2052" max="2052" width="18.07421875" style="664" bestFit="1" customWidth="1"/>
    <col min="2053" max="2053" width="9.765625" style="664" bestFit="1" customWidth="1"/>
    <col min="2054" max="2054" width="4.84375" style="664" customWidth="1"/>
    <col min="2055" max="2055" width="9.84375" style="664" customWidth="1"/>
    <col min="2056" max="2056" width="13" style="664" customWidth="1"/>
    <col min="2057" max="2057" width="4.53515625" style="664" customWidth="1"/>
    <col min="2058" max="2058" width="25.84375" style="664" bestFit="1" customWidth="1"/>
    <col min="2059" max="2059" width="3.23046875" style="664" customWidth="1"/>
    <col min="2060" max="2060" width="7" style="664" customWidth="1"/>
    <col min="2061" max="2062" width="25.84375" style="664" bestFit="1" customWidth="1"/>
    <col min="2063" max="2063" width="14.69140625" style="664" bestFit="1" customWidth="1"/>
    <col min="2064" max="2064" width="25.84375" style="664" bestFit="1" customWidth="1"/>
    <col min="2065" max="2305" width="9" style="664"/>
    <col min="2306" max="2306" width="25" style="664" customWidth="1"/>
    <col min="2307" max="2307" width="15.69140625" style="664" customWidth="1"/>
    <col min="2308" max="2308" width="18.07421875" style="664" bestFit="1" customWidth="1"/>
    <col min="2309" max="2309" width="9.765625" style="664" bestFit="1" customWidth="1"/>
    <col min="2310" max="2310" width="4.84375" style="664" customWidth="1"/>
    <col min="2311" max="2311" width="9.84375" style="664" customWidth="1"/>
    <col min="2312" max="2312" width="13" style="664" customWidth="1"/>
    <col min="2313" max="2313" width="4.53515625" style="664" customWidth="1"/>
    <col min="2314" max="2314" width="25.84375" style="664" bestFit="1" customWidth="1"/>
    <col min="2315" max="2315" width="3.23046875" style="664" customWidth="1"/>
    <col min="2316" max="2316" width="7" style="664" customWidth="1"/>
    <col min="2317" max="2318" width="25.84375" style="664" bestFit="1" customWidth="1"/>
    <col min="2319" max="2319" width="14.69140625" style="664" bestFit="1" customWidth="1"/>
    <col min="2320" max="2320" width="25.84375" style="664" bestFit="1" customWidth="1"/>
    <col min="2321" max="2561" width="9" style="664"/>
    <col min="2562" max="2562" width="25" style="664" customWidth="1"/>
    <col min="2563" max="2563" width="15.69140625" style="664" customWidth="1"/>
    <col min="2564" max="2564" width="18.07421875" style="664" bestFit="1" customWidth="1"/>
    <col min="2565" max="2565" width="9.765625" style="664" bestFit="1" customWidth="1"/>
    <col min="2566" max="2566" width="4.84375" style="664" customWidth="1"/>
    <col min="2567" max="2567" width="9.84375" style="664" customWidth="1"/>
    <col min="2568" max="2568" width="13" style="664" customWidth="1"/>
    <col min="2569" max="2569" width="4.53515625" style="664" customWidth="1"/>
    <col min="2570" max="2570" width="25.84375" style="664" bestFit="1" customWidth="1"/>
    <col min="2571" max="2571" width="3.23046875" style="664" customWidth="1"/>
    <col min="2572" max="2572" width="7" style="664" customWidth="1"/>
    <col min="2573" max="2574" width="25.84375" style="664" bestFit="1" customWidth="1"/>
    <col min="2575" max="2575" width="14.69140625" style="664" bestFit="1" customWidth="1"/>
    <col min="2576" max="2576" width="25.84375" style="664" bestFit="1" customWidth="1"/>
    <col min="2577" max="2817" width="9" style="664"/>
    <col min="2818" max="2818" width="25" style="664" customWidth="1"/>
    <col min="2819" max="2819" width="15.69140625" style="664" customWidth="1"/>
    <col min="2820" max="2820" width="18.07421875" style="664" bestFit="1" customWidth="1"/>
    <col min="2821" max="2821" width="9.765625" style="664" bestFit="1" customWidth="1"/>
    <col min="2822" max="2822" width="4.84375" style="664" customWidth="1"/>
    <col min="2823" max="2823" width="9.84375" style="664" customWidth="1"/>
    <col min="2824" max="2824" width="13" style="664" customWidth="1"/>
    <col min="2825" max="2825" width="4.53515625" style="664" customWidth="1"/>
    <col min="2826" max="2826" width="25.84375" style="664" bestFit="1" customWidth="1"/>
    <col min="2827" max="2827" width="3.23046875" style="664" customWidth="1"/>
    <col min="2828" max="2828" width="7" style="664" customWidth="1"/>
    <col min="2829" max="2830" width="25.84375" style="664" bestFit="1" customWidth="1"/>
    <col min="2831" max="2831" width="14.69140625" style="664" bestFit="1" customWidth="1"/>
    <col min="2832" max="2832" width="25.84375" style="664" bestFit="1" customWidth="1"/>
    <col min="2833" max="3073" width="9" style="664"/>
    <col min="3074" max="3074" width="25" style="664" customWidth="1"/>
    <col min="3075" max="3075" width="15.69140625" style="664" customWidth="1"/>
    <col min="3076" max="3076" width="18.07421875" style="664" bestFit="1" customWidth="1"/>
    <col min="3077" max="3077" width="9.765625" style="664" bestFit="1" customWidth="1"/>
    <col min="3078" max="3078" width="4.84375" style="664" customWidth="1"/>
    <col min="3079" max="3079" width="9.84375" style="664" customWidth="1"/>
    <col min="3080" max="3080" width="13" style="664" customWidth="1"/>
    <col min="3081" max="3081" width="4.53515625" style="664" customWidth="1"/>
    <col min="3082" max="3082" width="25.84375" style="664" bestFit="1" customWidth="1"/>
    <col min="3083" max="3083" width="3.23046875" style="664" customWidth="1"/>
    <col min="3084" max="3084" width="7" style="664" customWidth="1"/>
    <col min="3085" max="3086" width="25.84375" style="664" bestFit="1" customWidth="1"/>
    <col min="3087" max="3087" width="14.69140625" style="664" bestFit="1" customWidth="1"/>
    <col min="3088" max="3088" width="25.84375" style="664" bestFit="1" customWidth="1"/>
    <col min="3089" max="3329" width="9" style="664"/>
    <col min="3330" max="3330" width="25" style="664" customWidth="1"/>
    <col min="3331" max="3331" width="15.69140625" style="664" customWidth="1"/>
    <col min="3332" max="3332" width="18.07421875" style="664" bestFit="1" customWidth="1"/>
    <col min="3333" max="3333" width="9.765625" style="664" bestFit="1" customWidth="1"/>
    <col min="3334" max="3334" width="4.84375" style="664" customWidth="1"/>
    <col min="3335" max="3335" width="9.84375" style="664" customWidth="1"/>
    <col min="3336" max="3336" width="13" style="664" customWidth="1"/>
    <col min="3337" max="3337" width="4.53515625" style="664" customWidth="1"/>
    <col min="3338" max="3338" width="25.84375" style="664" bestFit="1" customWidth="1"/>
    <col min="3339" max="3339" width="3.23046875" style="664" customWidth="1"/>
    <col min="3340" max="3340" width="7" style="664" customWidth="1"/>
    <col min="3341" max="3342" width="25.84375" style="664" bestFit="1" customWidth="1"/>
    <col min="3343" max="3343" width="14.69140625" style="664" bestFit="1" customWidth="1"/>
    <col min="3344" max="3344" width="25.84375" style="664" bestFit="1" customWidth="1"/>
    <col min="3345" max="3585" width="9" style="664"/>
    <col min="3586" max="3586" width="25" style="664" customWidth="1"/>
    <col min="3587" max="3587" width="15.69140625" style="664" customWidth="1"/>
    <col min="3588" max="3588" width="18.07421875" style="664" bestFit="1" customWidth="1"/>
    <col min="3589" max="3589" width="9.765625" style="664" bestFit="1" customWidth="1"/>
    <col min="3590" max="3590" width="4.84375" style="664" customWidth="1"/>
    <col min="3591" max="3591" width="9.84375" style="664" customWidth="1"/>
    <col min="3592" max="3592" width="13" style="664" customWidth="1"/>
    <col min="3593" max="3593" width="4.53515625" style="664" customWidth="1"/>
    <col min="3594" max="3594" width="25.84375" style="664" bestFit="1" customWidth="1"/>
    <col min="3595" max="3595" width="3.23046875" style="664" customWidth="1"/>
    <col min="3596" max="3596" width="7" style="664" customWidth="1"/>
    <col min="3597" max="3598" width="25.84375" style="664" bestFit="1" customWidth="1"/>
    <col min="3599" max="3599" width="14.69140625" style="664" bestFit="1" customWidth="1"/>
    <col min="3600" max="3600" width="25.84375" style="664" bestFit="1" customWidth="1"/>
    <col min="3601" max="3841" width="9" style="664"/>
    <col min="3842" max="3842" width="25" style="664" customWidth="1"/>
    <col min="3843" max="3843" width="15.69140625" style="664" customWidth="1"/>
    <col min="3844" max="3844" width="18.07421875" style="664" bestFit="1" customWidth="1"/>
    <col min="3845" max="3845" width="9.765625" style="664" bestFit="1" customWidth="1"/>
    <col min="3846" max="3846" width="4.84375" style="664" customWidth="1"/>
    <col min="3847" max="3847" width="9.84375" style="664" customWidth="1"/>
    <col min="3848" max="3848" width="13" style="664" customWidth="1"/>
    <col min="3849" max="3849" width="4.53515625" style="664" customWidth="1"/>
    <col min="3850" max="3850" width="25.84375" style="664" bestFit="1" customWidth="1"/>
    <col min="3851" max="3851" width="3.23046875" style="664" customWidth="1"/>
    <col min="3852" max="3852" width="7" style="664" customWidth="1"/>
    <col min="3853" max="3854" width="25.84375" style="664" bestFit="1" customWidth="1"/>
    <col min="3855" max="3855" width="14.69140625" style="664" bestFit="1" customWidth="1"/>
    <col min="3856" max="3856" width="25.84375" style="664" bestFit="1" customWidth="1"/>
    <col min="3857" max="4097" width="9" style="664"/>
    <col min="4098" max="4098" width="25" style="664" customWidth="1"/>
    <col min="4099" max="4099" width="15.69140625" style="664" customWidth="1"/>
    <col min="4100" max="4100" width="18.07421875" style="664" bestFit="1" customWidth="1"/>
    <col min="4101" max="4101" width="9.765625" style="664" bestFit="1" customWidth="1"/>
    <col min="4102" max="4102" width="4.84375" style="664" customWidth="1"/>
    <col min="4103" max="4103" width="9.84375" style="664" customWidth="1"/>
    <col min="4104" max="4104" width="13" style="664" customWidth="1"/>
    <col min="4105" max="4105" width="4.53515625" style="664" customWidth="1"/>
    <col min="4106" max="4106" width="25.84375" style="664" bestFit="1" customWidth="1"/>
    <col min="4107" max="4107" width="3.23046875" style="664" customWidth="1"/>
    <col min="4108" max="4108" width="7" style="664" customWidth="1"/>
    <col min="4109" max="4110" width="25.84375" style="664" bestFit="1" customWidth="1"/>
    <col min="4111" max="4111" width="14.69140625" style="664" bestFit="1" customWidth="1"/>
    <col min="4112" max="4112" width="25.84375" style="664" bestFit="1" customWidth="1"/>
    <col min="4113" max="4353" width="9" style="664"/>
    <col min="4354" max="4354" width="25" style="664" customWidth="1"/>
    <col min="4355" max="4355" width="15.69140625" style="664" customWidth="1"/>
    <col min="4356" max="4356" width="18.07421875" style="664" bestFit="1" customWidth="1"/>
    <col min="4357" max="4357" width="9.765625" style="664" bestFit="1" customWidth="1"/>
    <col min="4358" max="4358" width="4.84375" style="664" customWidth="1"/>
    <col min="4359" max="4359" width="9.84375" style="664" customWidth="1"/>
    <col min="4360" max="4360" width="13" style="664" customWidth="1"/>
    <col min="4361" max="4361" width="4.53515625" style="664" customWidth="1"/>
    <col min="4362" max="4362" width="25.84375" style="664" bestFit="1" customWidth="1"/>
    <col min="4363" max="4363" width="3.23046875" style="664" customWidth="1"/>
    <col min="4364" max="4364" width="7" style="664" customWidth="1"/>
    <col min="4365" max="4366" width="25.84375" style="664" bestFit="1" customWidth="1"/>
    <col min="4367" max="4367" width="14.69140625" style="664" bestFit="1" customWidth="1"/>
    <col min="4368" max="4368" width="25.84375" style="664" bestFit="1" customWidth="1"/>
    <col min="4369" max="4609" width="9" style="664"/>
    <col min="4610" max="4610" width="25" style="664" customWidth="1"/>
    <col min="4611" max="4611" width="15.69140625" style="664" customWidth="1"/>
    <col min="4612" max="4612" width="18.07421875" style="664" bestFit="1" customWidth="1"/>
    <col min="4613" max="4613" width="9.765625" style="664" bestFit="1" customWidth="1"/>
    <col min="4614" max="4614" width="4.84375" style="664" customWidth="1"/>
    <col min="4615" max="4615" width="9.84375" style="664" customWidth="1"/>
    <col min="4616" max="4616" width="13" style="664" customWidth="1"/>
    <col min="4617" max="4617" width="4.53515625" style="664" customWidth="1"/>
    <col min="4618" max="4618" width="25.84375" style="664" bestFit="1" customWidth="1"/>
    <col min="4619" max="4619" width="3.23046875" style="664" customWidth="1"/>
    <col min="4620" max="4620" width="7" style="664" customWidth="1"/>
    <col min="4621" max="4622" width="25.84375" style="664" bestFit="1" customWidth="1"/>
    <col min="4623" max="4623" width="14.69140625" style="664" bestFit="1" customWidth="1"/>
    <col min="4624" max="4624" width="25.84375" style="664" bestFit="1" customWidth="1"/>
    <col min="4625" max="4865" width="9" style="664"/>
    <col min="4866" max="4866" width="25" style="664" customWidth="1"/>
    <col min="4867" max="4867" width="15.69140625" style="664" customWidth="1"/>
    <col min="4868" max="4868" width="18.07421875" style="664" bestFit="1" customWidth="1"/>
    <col min="4869" max="4869" width="9.765625" style="664" bestFit="1" customWidth="1"/>
    <col min="4870" max="4870" width="4.84375" style="664" customWidth="1"/>
    <col min="4871" max="4871" width="9.84375" style="664" customWidth="1"/>
    <col min="4872" max="4872" width="13" style="664" customWidth="1"/>
    <col min="4873" max="4873" width="4.53515625" style="664" customWidth="1"/>
    <col min="4874" max="4874" width="25.84375" style="664" bestFit="1" customWidth="1"/>
    <col min="4875" max="4875" width="3.23046875" style="664" customWidth="1"/>
    <col min="4876" max="4876" width="7" style="664" customWidth="1"/>
    <col min="4877" max="4878" width="25.84375" style="664" bestFit="1" customWidth="1"/>
    <col min="4879" max="4879" width="14.69140625" style="664" bestFit="1" customWidth="1"/>
    <col min="4880" max="4880" width="25.84375" style="664" bestFit="1" customWidth="1"/>
    <col min="4881" max="5121" width="9" style="664"/>
    <col min="5122" max="5122" width="25" style="664" customWidth="1"/>
    <col min="5123" max="5123" width="15.69140625" style="664" customWidth="1"/>
    <col min="5124" max="5124" width="18.07421875" style="664" bestFit="1" customWidth="1"/>
    <col min="5125" max="5125" width="9.765625" style="664" bestFit="1" customWidth="1"/>
    <col min="5126" max="5126" width="4.84375" style="664" customWidth="1"/>
    <col min="5127" max="5127" width="9.84375" style="664" customWidth="1"/>
    <col min="5128" max="5128" width="13" style="664" customWidth="1"/>
    <col min="5129" max="5129" width="4.53515625" style="664" customWidth="1"/>
    <col min="5130" max="5130" width="25.84375" style="664" bestFit="1" customWidth="1"/>
    <col min="5131" max="5131" width="3.23046875" style="664" customWidth="1"/>
    <col min="5132" max="5132" width="7" style="664" customWidth="1"/>
    <col min="5133" max="5134" width="25.84375" style="664" bestFit="1" customWidth="1"/>
    <col min="5135" max="5135" width="14.69140625" style="664" bestFit="1" customWidth="1"/>
    <col min="5136" max="5136" width="25.84375" style="664" bestFit="1" customWidth="1"/>
    <col min="5137" max="5377" width="9" style="664"/>
    <col min="5378" max="5378" width="25" style="664" customWidth="1"/>
    <col min="5379" max="5379" width="15.69140625" style="664" customWidth="1"/>
    <col min="5380" max="5380" width="18.07421875" style="664" bestFit="1" customWidth="1"/>
    <col min="5381" max="5381" width="9.765625" style="664" bestFit="1" customWidth="1"/>
    <col min="5382" max="5382" width="4.84375" style="664" customWidth="1"/>
    <col min="5383" max="5383" width="9.84375" style="664" customWidth="1"/>
    <col min="5384" max="5384" width="13" style="664" customWidth="1"/>
    <col min="5385" max="5385" width="4.53515625" style="664" customWidth="1"/>
    <col min="5386" max="5386" width="25.84375" style="664" bestFit="1" customWidth="1"/>
    <col min="5387" max="5387" width="3.23046875" style="664" customWidth="1"/>
    <col min="5388" max="5388" width="7" style="664" customWidth="1"/>
    <col min="5389" max="5390" width="25.84375" style="664" bestFit="1" customWidth="1"/>
    <col min="5391" max="5391" width="14.69140625" style="664" bestFit="1" customWidth="1"/>
    <col min="5392" max="5392" width="25.84375" style="664" bestFit="1" customWidth="1"/>
    <col min="5393" max="5633" width="9" style="664"/>
    <col min="5634" max="5634" width="25" style="664" customWidth="1"/>
    <col min="5635" max="5635" width="15.69140625" style="664" customWidth="1"/>
    <col min="5636" max="5636" width="18.07421875" style="664" bestFit="1" customWidth="1"/>
    <col min="5637" max="5637" width="9.765625" style="664" bestFit="1" customWidth="1"/>
    <col min="5638" max="5638" width="4.84375" style="664" customWidth="1"/>
    <col min="5639" max="5639" width="9.84375" style="664" customWidth="1"/>
    <col min="5640" max="5640" width="13" style="664" customWidth="1"/>
    <col min="5641" max="5641" width="4.53515625" style="664" customWidth="1"/>
    <col min="5642" max="5642" width="25.84375" style="664" bestFit="1" customWidth="1"/>
    <col min="5643" max="5643" width="3.23046875" style="664" customWidth="1"/>
    <col min="5644" max="5644" width="7" style="664" customWidth="1"/>
    <col min="5645" max="5646" width="25.84375" style="664" bestFit="1" customWidth="1"/>
    <col min="5647" max="5647" width="14.69140625" style="664" bestFit="1" customWidth="1"/>
    <col min="5648" max="5648" width="25.84375" style="664" bestFit="1" customWidth="1"/>
    <col min="5649" max="5889" width="9" style="664"/>
    <col min="5890" max="5890" width="25" style="664" customWidth="1"/>
    <col min="5891" max="5891" width="15.69140625" style="664" customWidth="1"/>
    <col min="5892" max="5892" width="18.07421875" style="664" bestFit="1" customWidth="1"/>
    <col min="5893" max="5893" width="9.765625" style="664" bestFit="1" customWidth="1"/>
    <col min="5894" max="5894" width="4.84375" style="664" customWidth="1"/>
    <col min="5895" max="5895" width="9.84375" style="664" customWidth="1"/>
    <col min="5896" max="5896" width="13" style="664" customWidth="1"/>
    <col min="5897" max="5897" width="4.53515625" style="664" customWidth="1"/>
    <col min="5898" max="5898" width="25.84375" style="664" bestFit="1" customWidth="1"/>
    <col min="5899" max="5899" width="3.23046875" style="664" customWidth="1"/>
    <col min="5900" max="5900" width="7" style="664" customWidth="1"/>
    <col min="5901" max="5902" width="25.84375" style="664" bestFit="1" customWidth="1"/>
    <col min="5903" max="5903" width="14.69140625" style="664" bestFit="1" customWidth="1"/>
    <col min="5904" max="5904" width="25.84375" style="664" bestFit="1" customWidth="1"/>
    <col min="5905" max="6145" width="9" style="664"/>
    <col min="6146" max="6146" width="25" style="664" customWidth="1"/>
    <col min="6147" max="6147" width="15.69140625" style="664" customWidth="1"/>
    <col min="6148" max="6148" width="18.07421875" style="664" bestFit="1" customWidth="1"/>
    <col min="6149" max="6149" width="9.765625" style="664" bestFit="1" customWidth="1"/>
    <col min="6150" max="6150" width="4.84375" style="664" customWidth="1"/>
    <col min="6151" max="6151" width="9.84375" style="664" customWidth="1"/>
    <col min="6152" max="6152" width="13" style="664" customWidth="1"/>
    <col min="6153" max="6153" width="4.53515625" style="664" customWidth="1"/>
    <col min="6154" max="6154" width="25.84375" style="664" bestFit="1" customWidth="1"/>
    <col min="6155" max="6155" width="3.23046875" style="664" customWidth="1"/>
    <col min="6156" max="6156" width="7" style="664" customWidth="1"/>
    <col min="6157" max="6158" width="25.84375" style="664" bestFit="1" customWidth="1"/>
    <col min="6159" max="6159" width="14.69140625" style="664" bestFit="1" customWidth="1"/>
    <col min="6160" max="6160" width="25.84375" style="664" bestFit="1" customWidth="1"/>
    <col min="6161" max="6401" width="9" style="664"/>
    <col min="6402" max="6402" width="25" style="664" customWidth="1"/>
    <col min="6403" max="6403" width="15.69140625" style="664" customWidth="1"/>
    <col min="6404" max="6404" width="18.07421875" style="664" bestFit="1" customWidth="1"/>
    <col min="6405" max="6405" width="9.765625" style="664" bestFit="1" customWidth="1"/>
    <col min="6406" max="6406" width="4.84375" style="664" customWidth="1"/>
    <col min="6407" max="6407" width="9.84375" style="664" customWidth="1"/>
    <col min="6408" max="6408" width="13" style="664" customWidth="1"/>
    <col min="6409" max="6409" width="4.53515625" style="664" customWidth="1"/>
    <col min="6410" max="6410" width="25.84375" style="664" bestFit="1" customWidth="1"/>
    <col min="6411" max="6411" width="3.23046875" style="664" customWidth="1"/>
    <col min="6412" max="6412" width="7" style="664" customWidth="1"/>
    <col min="6413" max="6414" width="25.84375" style="664" bestFit="1" customWidth="1"/>
    <col min="6415" max="6415" width="14.69140625" style="664" bestFit="1" customWidth="1"/>
    <col min="6416" max="6416" width="25.84375" style="664" bestFit="1" customWidth="1"/>
    <col min="6417" max="6657" width="9" style="664"/>
    <col min="6658" max="6658" width="25" style="664" customWidth="1"/>
    <col min="6659" max="6659" width="15.69140625" style="664" customWidth="1"/>
    <col min="6660" max="6660" width="18.07421875" style="664" bestFit="1" customWidth="1"/>
    <col min="6661" max="6661" width="9.765625" style="664" bestFit="1" customWidth="1"/>
    <col min="6662" max="6662" width="4.84375" style="664" customWidth="1"/>
    <col min="6663" max="6663" width="9.84375" style="664" customWidth="1"/>
    <col min="6664" max="6664" width="13" style="664" customWidth="1"/>
    <col min="6665" max="6665" width="4.53515625" style="664" customWidth="1"/>
    <col min="6666" max="6666" width="25.84375" style="664" bestFit="1" customWidth="1"/>
    <col min="6667" max="6667" width="3.23046875" style="664" customWidth="1"/>
    <col min="6668" max="6668" width="7" style="664" customWidth="1"/>
    <col min="6669" max="6670" width="25.84375" style="664" bestFit="1" customWidth="1"/>
    <col min="6671" max="6671" width="14.69140625" style="664" bestFit="1" customWidth="1"/>
    <col min="6672" max="6672" width="25.84375" style="664" bestFit="1" customWidth="1"/>
    <col min="6673" max="6913" width="9" style="664"/>
    <col min="6914" max="6914" width="25" style="664" customWidth="1"/>
    <col min="6915" max="6915" width="15.69140625" style="664" customWidth="1"/>
    <col min="6916" max="6916" width="18.07421875" style="664" bestFit="1" customWidth="1"/>
    <col min="6917" max="6917" width="9.765625" style="664" bestFit="1" customWidth="1"/>
    <col min="6918" max="6918" width="4.84375" style="664" customWidth="1"/>
    <col min="6919" max="6919" width="9.84375" style="664" customWidth="1"/>
    <col min="6920" max="6920" width="13" style="664" customWidth="1"/>
    <col min="6921" max="6921" width="4.53515625" style="664" customWidth="1"/>
    <col min="6922" max="6922" width="25.84375" style="664" bestFit="1" customWidth="1"/>
    <col min="6923" max="6923" width="3.23046875" style="664" customWidth="1"/>
    <col min="6924" max="6924" width="7" style="664" customWidth="1"/>
    <col min="6925" max="6926" width="25.84375" style="664" bestFit="1" customWidth="1"/>
    <col min="6927" max="6927" width="14.69140625" style="664" bestFit="1" customWidth="1"/>
    <col min="6928" max="6928" width="25.84375" style="664" bestFit="1" customWidth="1"/>
    <col min="6929" max="7169" width="9" style="664"/>
    <col min="7170" max="7170" width="25" style="664" customWidth="1"/>
    <col min="7171" max="7171" width="15.69140625" style="664" customWidth="1"/>
    <col min="7172" max="7172" width="18.07421875" style="664" bestFit="1" customWidth="1"/>
    <col min="7173" max="7173" width="9.765625" style="664" bestFit="1" customWidth="1"/>
    <col min="7174" max="7174" width="4.84375" style="664" customWidth="1"/>
    <col min="7175" max="7175" width="9.84375" style="664" customWidth="1"/>
    <col min="7176" max="7176" width="13" style="664" customWidth="1"/>
    <col min="7177" max="7177" width="4.53515625" style="664" customWidth="1"/>
    <col min="7178" max="7178" width="25.84375" style="664" bestFit="1" customWidth="1"/>
    <col min="7179" max="7179" width="3.23046875" style="664" customWidth="1"/>
    <col min="7180" max="7180" width="7" style="664" customWidth="1"/>
    <col min="7181" max="7182" width="25.84375" style="664" bestFit="1" customWidth="1"/>
    <col min="7183" max="7183" width="14.69140625" style="664" bestFit="1" customWidth="1"/>
    <col min="7184" max="7184" width="25.84375" style="664" bestFit="1" customWidth="1"/>
    <col min="7185" max="7425" width="9" style="664"/>
    <col min="7426" max="7426" width="25" style="664" customWidth="1"/>
    <col min="7427" max="7427" width="15.69140625" style="664" customWidth="1"/>
    <col min="7428" max="7428" width="18.07421875" style="664" bestFit="1" customWidth="1"/>
    <col min="7429" max="7429" width="9.765625" style="664" bestFit="1" customWidth="1"/>
    <col min="7430" max="7430" width="4.84375" style="664" customWidth="1"/>
    <col min="7431" max="7431" width="9.84375" style="664" customWidth="1"/>
    <col min="7432" max="7432" width="13" style="664" customWidth="1"/>
    <col min="7433" max="7433" width="4.53515625" style="664" customWidth="1"/>
    <col min="7434" max="7434" width="25.84375" style="664" bestFit="1" customWidth="1"/>
    <col min="7435" max="7435" width="3.23046875" style="664" customWidth="1"/>
    <col min="7436" max="7436" width="7" style="664" customWidth="1"/>
    <col min="7437" max="7438" width="25.84375" style="664" bestFit="1" customWidth="1"/>
    <col min="7439" max="7439" width="14.69140625" style="664" bestFit="1" customWidth="1"/>
    <col min="7440" max="7440" width="25.84375" style="664" bestFit="1" customWidth="1"/>
    <col min="7441" max="7681" width="9" style="664"/>
    <col min="7682" max="7682" width="25" style="664" customWidth="1"/>
    <col min="7683" max="7683" width="15.69140625" style="664" customWidth="1"/>
    <col min="7684" max="7684" width="18.07421875" style="664" bestFit="1" customWidth="1"/>
    <col min="7685" max="7685" width="9.765625" style="664" bestFit="1" customWidth="1"/>
    <col min="7686" max="7686" width="4.84375" style="664" customWidth="1"/>
    <col min="7687" max="7687" width="9.84375" style="664" customWidth="1"/>
    <col min="7688" max="7688" width="13" style="664" customWidth="1"/>
    <col min="7689" max="7689" width="4.53515625" style="664" customWidth="1"/>
    <col min="7690" max="7690" width="25.84375" style="664" bestFit="1" customWidth="1"/>
    <col min="7691" max="7691" width="3.23046875" style="664" customWidth="1"/>
    <col min="7692" max="7692" width="7" style="664" customWidth="1"/>
    <col min="7693" max="7694" width="25.84375" style="664" bestFit="1" customWidth="1"/>
    <col min="7695" max="7695" width="14.69140625" style="664" bestFit="1" customWidth="1"/>
    <col min="7696" max="7696" width="25.84375" style="664" bestFit="1" customWidth="1"/>
    <col min="7697" max="7937" width="9" style="664"/>
    <col min="7938" max="7938" width="25" style="664" customWidth="1"/>
    <col min="7939" max="7939" width="15.69140625" style="664" customWidth="1"/>
    <col min="7940" max="7940" width="18.07421875" style="664" bestFit="1" customWidth="1"/>
    <col min="7941" max="7941" width="9.765625" style="664" bestFit="1" customWidth="1"/>
    <col min="7942" max="7942" width="4.84375" style="664" customWidth="1"/>
    <col min="7943" max="7943" width="9.84375" style="664" customWidth="1"/>
    <col min="7944" max="7944" width="13" style="664" customWidth="1"/>
    <col min="7945" max="7945" width="4.53515625" style="664" customWidth="1"/>
    <col min="7946" max="7946" width="25.84375" style="664" bestFit="1" customWidth="1"/>
    <col min="7947" max="7947" width="3.23046875" style="664" customWidth="1"/>
    <col min="7948" max="7948" width="7" style="664" customWidth="1"/>
    <col min="7949" max="7950" width="25.84375" style="664" bestFit="1" customWidth="1"/>
    <col min="7951" max="7951" width="14.69140625" style="664" bestFit="1" customWidth="1"/>
    <col min="7952" max="7952" width="25.84375" style="664" bestFit="1" customWidth="1"/>
    <col min="7953" max="8193" width="9" style="664"/>
    <col min="8194" max="8194" width="25" style="664" customWidth="1"/>
    <col min="8195" max="8195" width="15.69140625" style="664" customWidth="1"/>
    <col min="8196" max="8196" width="18.07421875" style="664" bestFit="1" customWidth="1"/>
    <col min="8197" max="8197" width="9.765625" style="664" bestFit="1" customWidth="1"/>
    <col min="8198" max="8198" width="4.84375" style="664" customWidth="1"/>
    <col min="8199" max="8199" width="9.84375" style="664" customWidth="1"/>
    <col min="8200" max="8200" width="13" style="664" customWidth="1"/>
    <col min="8201" max="8201" width="4.53515625" style="664" customWidth="1"/>
    <col min="8202" max="8202" width="25.84375" style="664" bestFit="1" customWidth="1"/>
    <col min="8203" max="8203" width="3.23046875" style="664" customWidth="1"/>
    <col min="8204" max="8204" width="7" style="664" customWidth="1"/>
    <col min="8205" max="8206" width="25.84375" style="664" bestFit="1" customWidth="1"/>
    <col min="8207" max="8207" width="14.69140625" style="664" bestFit="1" customWidth="1"/>
    <col min="8208" max="8208" width="25.84375" style="664" bestFit="1" customWidth="1"/>
    <col min="8209" max="8449" width="9" style="664"/>
    <col min="8450" max="8450" width="25" style="664" customWidth="1"/>
    <col min="8451" max="8451" width="15.69140625" style="664" customWidth="1"/>
    <col min="8452" max="8452" width="18.07421875" style="664" bestFit="1" customWidth="1"/>
    <col min="8453" max="8453" width="9.765625" style="664" bestFit="1" customWidth="1"/>
    <col min="8454" max="8454" width="4.84375" style="664" customWidth="1"/>
    <col min="8455" max="8455" width="9.84375" style="664" customWidth="1"/>
    <col min="8456" max="8456" width="13" style="664" customWidth="1"/>
    <col min="8457" max="8457" width="4.53515625" style="664" customWidth="1"/>
    <col min="8458" max="8458" width="25.84375" style="664" bestFit="1" customWidth="1"/>
    <col min="8459" max="8459" width="3.23046875" style="664" customWidth="1"/>
    <col min="8460" max="8460" width="7" style="664" customWidth="1"/>
    <col min="8461" max="8462" width="25.84375" style="664" bestFit="1" customWidth="1"/>
    <col min="8463" max="8463" width="14.69140625" style="664" bestFit="1" customWidth="1"/>
    <col min="8464" max="8464" width="25.84375" style="664" bestFit="1" customWidth="1"/>
    <col min="8465" max="8705" width="9" style="664"/>
    <col min="8706" max="8706" width="25" style="664" customWidth="1"/>
    <col min="8707" max="8707" width="15.69140625" style="664" customWidth="1"/>
    <col min="8708" max="8708" width="18.07421875" style="664" bestFit="1" customWidth="1"/>
    <col min="8709" max="8709" width="9.765625" style="664" bestFit="1" customWidth="1"/>
    <col min="8710" max="8710" width="4.84375" style="664" customWidth="1"/>
    <col min="8711" max="8711" width="9.84375" style="664" customWidth="1"/>
    <col min="8712" max="8712" width="13" style="664" customWidth="1"/>
    <col min="8713" max="8713" width="4.53515625" style="664" customWidth="1"/>
    <col min="8714" max="8714" width="25.84375" style="664" bestFit="1" customWidth="1"/>
    <col min="8715" max="8715" width="3.23046875" style="664" customWidth="1"/>
    <col min="8716" max="8716" width="7" style="664" customWidth="1"/>
    <col min="8717" max="8718" width="25.84375" style="664" bestFit="1" customWidth="1"/>
    <col min="8719" max="8719" width="14.69140625" style="664" bestFit="1" customWidth="1"/>
    <col min="8720" max="8720" width="25.84375" style="664" bestFit="1" customWidth="1"/>
    <col min="8721" max="8961" width="9" style="664"/>
    <col min="8962" max="8962" width="25" style="664" customWidth="1"/>
    <col min="8963" max="8963" width="15.69140625" style="664" customWidth="1"/>
    <col min="8964" max="8964" width="18.07421875" style="664" bestFit="1" customWidth="1"/>
    <col min="8965" max="8965" width="9.765625" style="664" bestFit="1" customWidth="1"/>
    <col min="8966" max="8966" width="4.84375" style="664" customWidth="1"/>
    <col min="8967" max="8967" width="9.84375" style="664" customWidth="1"/>
    <col min="8968" max="8968" width="13" style="664" customWidth="1"/>
    <col min="8969" max="8969" width="4.53515625" style="664" customWidth="1"/>
    <col min="8970" max="8970" width="25.84375" style="664" bestFit="1" customWidth="1"/>
    <col min="8971" max="8971" width="3.23046875" style="664" customWidth="1"/>
    <col min="8972" max="8972" width="7" style="664" customWidth="1"/>
    <col min="8973" max="8974" width="25.84375" style="664" bestFit="1" customWidth="1"/>
    <col min="8975" max="8975" width="14.69140625" style="664" bestFit="1" customWidth="1"/>
    <col min="8976" max="8976" width="25.84375" style="664" bestFit="1" customWidth="1"/>
    <col min="8977" max="9217" width="9" style="664"/>
    <col min="9218" max="9218" width="25" style="664" customWidth="1"/>
    <col min="9219" max="9219" width="15.69140625" style="664" customWidth="1"/>
    <col min="9220" max="9220" width="18.07421875" style="664" bestFit="1" customWidth="1"/>
    <col min="9221" max="9221" width="9.765625" style="664" bestFit="1" customWidth="1"/>
    <col min="9222" max="9222" width="4.84375" style="664" customWidth="1"/>
    <col min="9223" max="9223" width="9.84375" style="664" customWidth="1"/>
    <col min="9224" max="9224" width="13" style="664" customWidth="1"/>
    <col min="9225" max="9225" width="4.53515625" style="664" customWidth="1"/>
    <col min="9226" max="9226" width="25.84375" style="664" bestFit="1" customWidth="1"/>
    <col min="9227" max="9227" width="3.23046875" style="664" customWidth="1"/>
    <col min="9228" max="9228" width="7" style="664" customWidth="1"/>
    <col min="9229" max="9230" width="25.84375" style="664" bestFit="1" customWidth="1"/>
    <col min="9231" max="9231" width="14.69140625" style="664" bestFit="1" customWidth="1"/>
    <col min="9232" max="9232" width="25.84375" style="664" bestFit="1" customWidth="1"/>
    <col min="9233" max="9473" width="9" style="664"/>
    <col min="9474" max="9474" width="25" style="664" customWidth="1"/>
    <col min="9475" max="9475" width="15.69140625" style="664" customWidth="1"/>
    <col min="9476" max="9476" width="18.07421875" style="664" bestFit="1" customWidth="1"/>
    <col min="9477" max="9477" width="9.765625" style="664" bestFit="1" customWidth="1"/>
    <col min="9478" max="9478" width="4.84375" style="664" customWidth="1"/>
    <col min="9479" max="9479" width="9.84375" style="664" customWidth="1"/>
    <col min="9480" max="9480" width="13" style="664" customWidth="1"/>
    <col min="9481" max="9481" width="4.53515625" style="664" customWidth="1"/>
    <col min="9482" max="9482" width="25.84375" style="664" bestFit="1" customWidth="1"/>
    <col min="9483" max="9483" width="3.23046875" style="664" customWidth="1"/>
    <col min="9484" max="9484" width="7" style="664" customWidth="1"/>
    <col min="9485" max="9486" width="25.84375" style="664" bestFit="1" customWidth="1"/>
    <col min="9487" max="9487" width="14.69140625" style="664" bestFit="1" customWidth="1"/>
    <col min="9488" max="9488" width="25.84375" style="664" bestFit="1" customWidth="1"/>
    <col min="9489" max="9729" width="9" style="664"/>
    <col min="9730" max="9730" width="25" style="664" customWidth="1"/>
    <col min="9731" max="9731" width="15.69140625" style="664" customWidth="1"/>
    <col min="9732" max="9732" width="18.07421875" style="664" bestFit="1" customWidth="1"/>
    <col min="9733" max="9733" width="9.765625" style="664" bestFit="1" customWidth="1"/>
    <col min="9734" max="9734" width="4.84375" style="664" customWidth="1"/>
    <col min="9735" max="9735" width="9.84375" style="664" customWidth="1"/>
    <col min="9736" max="9736" width="13" style="664" customWidth="1"/>
    <col min="9737" max="9737" width="4.53515625" style="664" customWidth="1"/>
    <col min="9738" max="9738" width="25.84375" style="664" bestFit="1" customWidth="1"/>
    <col min="9739" max="9739" width="3.23046875" style="664" customWidth="1"/>
    <col min="9740" max="9740" width="7" style="664" customWidth="1"/>
    <col min="9741" max="9742" width="25.84375" style="664" bestFit="1" customWidth="1"/>
    <col min="9743" max="9743" width="14.69140625" style="664" bestFit="1" customWidth="1"/>
    <col min="9744" max="9744" width="25.84375" style="664" bestFit="1" customWidth="1"/>
    <col min="9745" max="9985" width="9" style="664"/>
    <col min="9986" max="9986" width="25" style="664" customWidth="1"/>
    <col min="9987" max="9987" width="15.69140625" style="664" customWidth="1"/>
    <col min="9988" max="9988" width="18.07421875" style="664" bestFit="1" customWidth="1"/>
    <col min="9989" max="9989" width="9.765625" style="664" bestFit="1" customWidth="1"/>
    <col min="9990" max="9990" width="4.84375" style="664" customWidth="1"/>
    <col min="9991" max="9991" width="9.84375" style="664" customWidth="1"/>
    <col min="9992" max="9992" width="13" style="664" customWidth="1"/>
    <col min="9993" max="9993" width="4.53515625" style="664" customWidth="1"/>
    <col min="9994" max="9994" width="25.84375" style="664" bestFit="1" customWidth="1"/>
    <col min="9995" max="9995" width="3.23046875" style="664" customWidth="1"/>
    <col min="9996" max="9996" width="7" style="664" customWidth="1"/>
    <col min="9997" max="9998" width="25.84375" style="664" bestFit="1" customWidth="1"/>
    <col min="9999" max="9999" width="14.69140625" style="664" bestFit="1" customWidth="1"/>
    <col min="10000" max="10000" width="25.84375" style="664" bestFit="1" customWidth="1"/>
    <col min="10001" max="10241" width="9" style="664"/>
    <col min="10242" max="10242" width="25" style="664" customWidth="1"/>
    <col min="10243" max="10243" width="15.69140625" style="664" customWidth="1"/>
    <col min="10244" max="10244" width="18.07421875" style="664" bestFit="1" customWidth="1"/>
    <col min="10245" max="10245" width="9.765625" style="664" bestFit="1" customWidth="1"/>
    <col min="10246" max="10246" width="4.84375" style="664" customWidth="1"/>
    <col min="10247" max="10247" width="9.84375" style="664" customWidth="1"/>
    <col min="10248" max="10248" width="13" style="664" customWidth="1"/>
    <col min="10249" max="10249" width="4.53515625" style="664" customWidth="1"/>
    <col min="10250" max="10250" width="25.84375" style="664" bestFit="1" customWidth="1"/>
    <col min="10251" max="10251" width="3.23046875" style="664" customWidth="1"/>
    <col min="10252" max="10252" width="7" style="664" customWidth="1"/>
    <col min="10253" max="10254" width="25.84375" style="664" bestFit="1" customWidth="1"/>
    <col min="10255" max="10255" width="14.69140625" style="664" bestFit="1" customWidth="1"/>
    <col min="10256" max="10256" width="25.84375" style="664" bestFit="1" customWidth="1"/>
    <col min="10257" max="10497" width="9" style="664"/>
    <col min="10498" max="10498" width="25" style="664" customWidth="1"/>
    <col min="10499" max="10499" width="15.69140625" style="664" customWidth="1"/>
    <col min="10500" max="10500" width="18.07421875" style="664" bestFit="1" customWidth="1"/>
    <col min="10501" max="10501" width="9.765625" style="664" bestFit="1" customWidth="1"/>
    <col min="10502" max="10502" width="4.84375" style="664" customWidth="1"/>
    <col min="10503" max="10503" width="9.84375" style="664" customWidth="1"/>
    <col min="10504" max="10504" width="13" style="664" customWidth="1"/>
    <col min="10505" max="10505" width="4.53515625" style="664" customWidth="1"/>
    <col min="10506" max="10506" width="25.84375" style="664" bestFit="1" customWidth="1"/>
    <col min="10507" max="10507" width="3.23046875" style="664" customWidth="1"/>
    <col min="10508" max="10508" width="7" style="664" customWidth="1"/>
    <col min="10509" max="10510" width="25.84375" style="664" bestFit="1" customWidth="1"/>
    <col min="10511" max="10511" width="14.69140625" style="664" bestFit="1" customWidth="1"/>
    <col min="10512" max="10512" width="25.84375" style="664" bestFit="1" customWidth="1"/>
    <col min="10513" max="10753" width="9" style="664"/>
    <col min="10754" max="10754" width="25" style="664" customWidth="1"/>
    <col min="10755" max="10755" width="15.69140625" style="664" customWidth="1"/>
    <col min="10756" max="10756" width="18.07421875" style="664" bestFit="1" customWidth="1"/>
    <col min="10757" max="10757" width="9.765625" style="664" bestFit="1" customWidth="1"/>
    <col min="10758" max="10758" width="4.84375" style="664" customWidth="1"/>
    <col min="10759" max="10759" width="9.84375" style="664" customWidth="1"/>
    <col min="10760" max="10760" width="13" style="664" customWidth="1"/>
    <col min="10761" max="10761" width="4.53515625" style="664" customWidth="1"/>
    <col min="10762" max="10762" width="25.84375" style="664" bestFit="1" customWidth="1"/>
    <col min="10763" max="10763" width="3.23046875" style="664" customWidth="1"/>
    <col min="10764" max="10764" width="7" style="664" customWidth="1"/>
    <col min="10765" max="10766" width="25.84375" style="664" bestFit="1" customWidth="1"/>
    <col min="10767" max="10767" width="14.69140625" style="664" bestFit="1" customWidth="1"/>
    <col min="10768" max="10768" width="25.84375" style="664" bestFit="1" customWidth="1"/>
    <col min="10769" max="11009" width="9" style="664"/>
    <col min="11010" max="11010" width="25" style="664" customWidth="1"/>
    <col min="11011" max="11011" width="15.69140625" style="664" customWidth="1"/>
    <col min="11012" max="11012" width="18.07421875" style="664" bestFit="1" customWidth="1"/>
    <col min="11013" max="11013" width="9.765625" style="664" bestFit="1" customWidth="1"/>
    <col min="11014" max="11014" width="4.84375" style="664" customWidth="1"/>
    <col min="11015" max="11015" width="9.84375" style="664" customWidth="1"/>
    <col min="11016" max="11016" width="13" style="664" customWidth="1"/>
    <col min="11017" max="11017" width="4.53515625" style="664" customWidth="1"/>
    <col min="11018" max="11018" width="25.84375" style="664" bestFit="1" customWidth="1"/>
    <col min="11019" max="11019" width="3.23046875" style="664" customWidth="1"/>
    <col min="11020" max="11020" width="7" style="664" customWidth="1"/>
    <col min="11021" max="11022" width="25.84375" style="664" bestFit="1" customWidth="1"/>
    <col min="11023" max="11023" width="14.69140625" style="664" bestFit="1" customWidth="1"/>
    <col min="11024" max="11024" width="25.84375" style="664" bestFit="1" customWidth="1"/>
    <col min="11025" max="11265" width="9" style="664"/>
    <col min="11266" max="11266" width="25" style="664" customWidth="1"/>
    <col min="11267" max="11267" width="15.69140625" style="664" customWidth="1"/>
    <col min="11268" max="11268" width="18.07421875" style="664" bestFit="1" customWidth="1"/>
    <col min="11269" max="11269" width="9.765625" style="664" bestFit="1" customWidth="1"/>
    <col min="11270" max="11270" width="4.84375" style="664" customWidth="1"/>
    <col min="11271" max="11271" width="9.84375" style="664" customWidth="1"/>
    <col min="11272" max="11272" width="13" style="664" customWidth="1"/>
    <col min="11273" max="11273" width="4.53515625" style="664" customWidth="1"/>
    <col min="11274" max="11274" width="25.84375" style="664" bestFit="1" customWidth="1"/>
    <col min="11275" max="11275" width="3.23046875" style="664" customWidth="1"/>
    <col min="11276" max="11276" width="7" style="664" customWidth="1"/>
    <col min="11277" max="11278" width="25.84375" style="664" bestFit="1" customWidth="1"/>
    <col min="11279" max="11279" width="14.69140625" style="664" bestFit="1" customWidth="1"/>
    <col min="11280" max="11280" width="25.84375" style="664" bestFit="1" customWidth="1"/>
    <col min="11281" max="11521" width="9" style="664"/>
    <col min="11522" max="11522" width="25" style="664" customWidth="1"/>
    <col min="11523" max="11523" width="15.69140625" style="664" customWidth="1"/>
    <col min="11524" max="11524" width="18.07421875" style="664" bestFit="1" customWidth="1"/>
    <col min="11525" max="11525" width="9.765625" style="664" bestFit="1" customWidth="1"/>
    <col min="11526" max="11526" width="4.84375" style="664" customWidth="1"/>
    <col min="11527" max="11527" width="9.84375" style="664" customWidth="1"/>
    <col min="11528" max="11528" width="13" style="664" customWidth="1"/>
    <col min="11529" max="11529" width="4.53515625" style="664" customWidth="1"/>
    <col min="11530" max="11530" width="25.84375" style="664" bestFit="1" customWidth="1"/>
    <col min="11531" max="11531" width="3.23046875" style="664" customWidth="1"/>
    <col min="11532" max="11532" width="7" style="664" customWidth="1"/>
    <col min="11533" max="11534" width="25.84375" style="664" bestFit="1" customWidth="1"/>
    <col min="11535" max="11535" width="14.69140625" style="664" bestFit="1" customWidth="1"/>
    <col min="11536" max="11536" width="25.84375" style="664" bestFit="1" customWidth="1"/>
    <col min="11537" max="11777" width="9" style="664"/>
    <col min="11778" max="11778" width="25" style="664" customWidth="1"/>
    <col min="11779" max="11779" width="15.69140625" style="664" customWidth="1"/>
    <col min="11780" max="11780" width="18.07421875" style="664" bestFit="1" customWidth="1"/>
    <col min="11781" max="11781" width="9.765625" style="664" bestFit="1" customWidth="1"/>
    <col min="11782" max="11782" width="4.84375" style="664" customWidth="1"/>
    <col min="11783" max="11783" width="9.84375" style="664" customWidth="1"/>
    <col min="11784" max="11784" width="13" style="664" customWidth="1"/>
    <col min="11785" max="11785" width="4.53515625" style="664" customWidth="1"/>
    <col min="11786" max="11786" width="25.84375" style="664" bestFit="1" customWidth="1"/>
    <col min="11787" max="11787" width="3.23046875" style="664" customWidth="1"/>
    <col min="11788" max="11788" width="7" style="664" customWidth="1"/>
    <col min="11789" max="11790" width="25.84375" style="664" bestFit="1" customWidth="1"/>
    <col min="11791" max="11791" width="14.69140625" style="664" bestFit="1" customWidth="1"/>
    <col min="11792" max="11792" width="25.84375" style="664" bestFit="1" customWidth="1"/>
    <col min="11793" max="12033" width="9" style="664"/>
    <col min="12034" max="12034" width="25" style="664" customWidth="1"/>
    <col min="12035" max="12035" width="15.69140625" style="664" customWidth="1"/>
    <col min="12036" max="12036" width="18.07421875" style="664" bestFit="1" customWidth="1"/>
    <col min="12037" max="12037" width="9.765625" style="664" bestFit="1" customWidth="1"/>
    <col min="12038" max="12038" width="4.84375" style="664" customWidth="1"/>
    <col min="12039" max="12039" width="9.84375" style="664" customWidth="1"/>
    <col min="12040" max="12040" width="13" style="664" customWidth="1"/>
    <col min="12041" max="12041" width="4.53515625" style="664" customWidth="1"/>
    <col min="12042" max="12042" width="25.84375" style="664" bestFit="1" customWidth="1"/>
    <col min="12043" max="12043" width="3.23046875" style="664" customWidth="1"/>
    <col min="12044" max="12044" width="7" style="664" customWidth="1"/>
    <col min="12045" max="12046" width="25.84375" style="664" bestFit="1" customWidth="1"/>
    <col min="12047" max="12047" width="14.69140625" style="664" bestFit="1" customWidth="1"/>
    <col min="12048" max="12048" width="25.84375" style="664" bestFit="1" customWidth="1"/>
    <col min="12049" max="12289" width="9" style="664"/>
    <col min="12290" max="12290" width="25" style="664" customWidth="1"/>
    <col min="12291" max="12291" width="15.69140625" style="664" customWidth="1"/>
    <col min="12292" max="12292" width="18.07421875" style="664" bestFit="1" customWidth="1"/>
    <col min="12293" max="12293" width="9.765625" style="664" bestFit="1" customWidth="1"/>
    <col min="12294" max="12294" width="4.84375" style="664" customWidth="1"/>
    <col min="12295" max="12295" width="9.84375" style="664" customWidth="1"/>
    <col min="12296" max="12296" width="13" style="664" customWidth="1"/>
    <col min="12297" max="12297" width="4.53515625" style="664" customWidth="1"/>
    <col min="12298" max="12298" width="25.84375" style="664" bestFit="1" customWidth="1"/>
    <col min="12299" max="12299" width="3.23046875" style="664" customWidth="1"/>
    <col min="12300" max="12300" width="7" style="664" customWidth="1"/>
    <col min="12301" max="12302" width="25.84375" style="664" bestFit="1" customWidth="1"/>
    <col min="12303" max="12303" width="14.69140625" style="664" bestFit="1" customWidth="1"/>
    <col min="12304" max="12304" width="25.84375" style="664" bestFit="1" customWidth="1"/>
    <col min="12305" max="12545" width="9" style="664"/>
    <col min="12546" max="12546" width="25" style="664" customWidth="1"/>
    <col min="12547" max="12547" width="15.69140625" style="664" customWidth="1"/>
    <col min="12548" max="12548" width="18.07421875" style="664" bestFit="1" customWidth="1"/>
    <col min="12549" max="12549" width="9.765625" style="664" bestFit="1" customWidth="1"/>
    <col min="12550" max="12550" width="4.84375" style="664" customWidth="1"/>
    <col min="12551" max="12551" width="9.84375" style="664" customWidth="1"/>
    <col min="12552" max="12552" width="13" style="664" customWidth="1"/>
    <col min="12553" max="12553" width="4.53515625" style="664" customWidth="1"/>
    <col min="12554" max="12554" width="25.84375" style="664" bestFit="1" customWidth="1"/>
    <col min="12555" max="12555" width="3.23046875" style="664" customWidth="1"/>
    <col min="12556" max="12556" width="7" style="664" customWidth="1"/>
    <col min="12557" max="12558" width="25.84375" style="664" bestFit="1" customWidth="1"/>
    <col min="12559" max="12559" width="14.69140625" style="664" bestFit="1" customWidth="1"/>
    <col min="12560" max="12560" width="25.84375" style="664" bestFit="1" customWidth="1"/>
    <col min="12561" max="12801" width="9" style="664"/>
    <col min="12802" max="12802" width="25" style="664" customWidth="1"/>
    <col min="12803" max="12803" width="15.69140625" style="664" customWidth="1"/>
    <col min="12804" max="12804" width="18.07421875" style="664" bestFit="1" customWidth="1"/>
    <col min="12805" max="12805" width="9.765625" style="664" bestFit="1" customWidth="1"/>
    <col min="12806" max="12806" width="4.84375" style="664" customWidth="1"/>
    <col min="12807" max="12807" width="9.84375" style="664" customWidth="1"/>
    <col min="12808" max="12808" width="13" style="664" customWidth="1"/>
    <col min="12809" max="12809" width="4.53515625" style="664" customWidth="1"/>
    <col min="12810" max="12810" width="25.84375" style="664" bestFit="1" customWidth="1"/>
    <col min="12811" max="12811" width="3.23046875" style="664" customWidth="1"/>
    <col min="12812" max="12812" width="7" style="664" customWidth="1"/>
    <col min="12813" max="12814" width="25.84375" style="664" bestFit="1" customWidth="1"/>
    <col min="12815" max="12815" width="14.69140625" style="664" bestFit="1" customWidth="1"/>
    <col min="12816" max="12816" width="25.84375" style="664" bestFit="1" customWidth="1"/>
    <col min="12817" max="13057" width="9" style="664"/>
    <col min="13058" max="13058" width="25" style="664" customWidth="1"/>
    <col min="13059" max="13059" width="15.69140625" style="664" customWidth="1"/>
    <col min="13060" max="13060" width="18.07421875" style="664" bestFit="1" customWidth="1"/>
    <col min="13061" max="13061" width="9.765625" style="664" bestFit="1" customWidth="1"/>
    <col min="13062" max="13062" width="4.84375" style="664" customWidth="1"/>
    <col min="13063" max="13063" width="9.84375" style="664" customWidth="1"/>
    <col min="13064" max="13064" width="13" style="664" customWidth="1"/>
    <col min="13065" max="13065" width="4.53515625" style="664" customWidth="1"/>
    <col min="13066" max="13066" width="25.84375" style="664" bestFit="1" customWidth="1"/>
    <col min="13067" max="13067" width="3.23046875" style="664" customWidth="1"/>
    <col min="13068" max="13068" width="7" style="664" customWidth="1"/>
    <col min="13069" max="13070" width="25.84375" style="664" bestFit="1" customWidth="1"/>
    <col min="13071" max="13071" width="14.69140625" style="664" bestFit="1" customWidth="1"/>
    <col min="13072" max="13072" width="25.84375" style="664" bestFit="1" customWidth="1"/>
    <col min="13073" max="13313" width="9" style="664"/>
    <col min="13314" max="13314" width="25" style="664" customWidth="1"/>
    <col min="13315" max="13315" width="15.69140625" style="664" customWidth="1"/>
    <col min="13316" max="13316" width="18.07421875" style="664" bestFit="1" customWidth="1"/>
    <col min="13317" max="13317" width="9.765625" style="664" bestFit="1" customWidth="1"/>
    <col min="13318" max="13318" width="4.84375" style="664" customWidth="1"/>
    <col min="13319" max="13319" width="9.84375" style="664" customWidth="1"/>
    <col min="13320" max="13320" width="13" style="664" customWidth="1"/>
    <col min="13321" max="13321" width="4.53515625" style="664" customWidth="1"/>
    <col min="13322" max="13322" width="25.84375" style="664" bestFit="1" customWidth="1"/>
    <col min="13323" max="13323" width="3.23046875" style="664" customWidth="1"/>
    <col min="13324" max="13324" width="7" style="664" customWidth="1"/>
    <col min="13325" max="13326" width="25.84375" style="664" bestFit="1" customWidth="1"/>
    <col min="13327" max="13327" width="14.69140625" style="664" bestFit="1" customWidth="1"/>
    <col min="13328" max="13328" width="25.84375" style="664" bestFit="1" customWidth="1"/>
    <col min="13329" max="13569" width="9" style="664"/>
    <col min="13570" max="13570" width="25" style="664" customWidth="1"/>
    <col min="13571" max="13571" width="15.69140625" style="664" customWidth="1"/>
    <col min="13572" max="13572" width="18.07421875" style="664" bestFit="1" customWidth="1"/>
    <col min="13573" max="13573" width="9.765625" style="664" bestFit="1" customWidth="1"/>
    <col min="13574" max="13574" width="4.84375" style="664" customWidth="1"/>
    <col min="13575" max="13575" width="9.84375" style="664" customWidth="1"/>
    <col min="13576" max="13576" width="13" style="664" customWidth="1"/>
    <col min="13577" max="13577" width="4.53515625" style="664" customWidth="1"/>
    <col min="13578" max="13578" width="25.84375" style="664" bestFit="1" customWidth="1"/>
    <col min="13579" max="13579" width="3.23046875" style="664" customWidth="1"/>
    <col min="13580" max="13580" width="7" style="664" customWidth="1"/>
    <col min="13581" max="13582" width="25.84375" style="664" bestFit="1" customWidth="1"/>
    <col min="13583" max="13583" width="14.69140625" style="664" bestFit="1" customWidth="1"/>
    <col min="13584" max="13584" width="25.84375" style="664" bestFit="1" customWidth="1"/>
    <col min="13585" max="13825" width="9" style="664"/>
    <col min="13826" max="13826" width="25" style="664" customWidth="1"/>
    <col min="13827" max="13827" width="15.69140625" style="664" customWidth="1"/>
    <col min="13828" max="13828" width="18.07421875" style="664" bestFit="1" customWidth="1"/>
    <col min="13829" max="13829" width="9.765625" style="664" bestFit="1" customWidth="1"/>
    <col min="13830" max="13830" width="4.84375" style="664" customWidth="1"/>
    <col min="13831" max="13831" width="9.84375" style="664" customWidth="1"/>
    <col min="13832" max="13832" width="13" style="664" customWidth="1"/>
    <col min="13833" max="13833" width="4.53515625" style="664" customWidth="1"/>
    <col min="13834" max="13834" width="25.84375" style="664" bestFit="1" customWidth="1"/>
    <col min="13835" max="13835" width="3.23046875" style="664" customWidth="1"/>
    <col min="13836" max="13836" width="7" style="664" customWidth="1"/>
    <col min="13837" max="13838" width="25.84375" style="664" bestFit="1" customWidth="1"/>
    <col min="13839" max="13839" width="14.69140625" style="664" bestFit="1" customWidth="1"/>
    <col min="13840" max="13840" width="25.84375" style="664" bestFit="1" customWidth="1"/>
    <col min="13841" max="14081" width="9" style="664"/>
    <col min="14082" max="14082" width="25" style="664" customWidth="1"/>
    <col min="14083" max="14083" width="15.69140625" style="664" customWidth="1"/>
    <col min="14084" max="14084" width="18.07421875" style="664" bestFit="1" customWidth="1"/>
    <col min="14085" max="14085" width="9.765625" style="664" bestFit="1" customWidth="1"/>
    <col min="14086" max="14086" width="4.84375" style="664" customWidth="1"/>
    <col min="14087" max="14087" width="9.84375" style="664" customWidth="1"/>
    <col min="14088" max="14088" width="13" style="664" customWidth="1"/>
    <col min="14089" max="14089" width="4.53515625" style="664" customWidth="1"/>
    <col min="14090" max="14090" width="25.84375" style="664" bestFit="1" customWidth="1"/>
    <col min="14091" max="14091" width="3.23046875" style="664" customWidth="1"/>
    <col min="14092" max="14092" width="7" style="664" customWidth="1"/>
    <col min="14093" max="14094" width="25.84375" style="664" bestFit="1" customWidth="1"/>
    <col min="14095" max="14095" width="14.69140625" style="664" bestFit="1" customWidth="1"/>
    <col min="14096" max="14096" width="25.84375" style="664" bestFit="1" customWidth="1"/>
    <col min="14097" max="14337" width="9" style="664"/>
    <col min="14338" max="14338" width="25" style="664" customWidth="1"/>
    <col min="14339" max="14339" width="15.69140625" style="664" customWidth="1"/>
    <col min="14340" max="14340" width="18.07421875" style="664" bestFit="1" customWidth="1"/>
    <col min="14341" max="14341" width="9.765625" style="664" bestFit="1" customWidth="1"/>
    <col min="14342" max="14342" width="4.84375" style="664" customWidth="1"/>
    <col min="14343" max="14343" width="9.84375" style="664" customWidth="1"/>
    <col min="14344" max="14344" width="13" style="664" customWidth="1"/>
    <col min="14345" max="14345" width="4.53515625" style="664" customWidth="1"/>
    <col min="14346" max="14346" width="25.84375" style="664" bestFit="1" customWidth="1"/>
    <col min="14347" max="14347" width="3.23046875" style="664" customWidth="1"/>
    <col min="14348" max="14348" width="7" style="664" customWidth="1"/>
    <col min="14349" max="14350" width="25.84375" style="664" bestFit="1" customWidth="1"/>
    <col min="14351" max="14351" width="14.69140625" style="664" bestFit="1" customWidth="1"/>
    <col min="14352" max="14352" width="25.84375" style="664" bestFit="1" customWidth="1"/>
    <col min="14353" max="14593" width="9" style="664"/>
    <col min="14594" max="14594" width="25" style="664" customWidth="1"/>
    <col min="14595" max="14595" width="15.69140625" style="664" customWidth="1"/>
    <col min="14596" max="14596" width="18.07421875" style="664" bestFit="1" customWidth="1"/>
    <col min="14597" max="14597" width="9.765625" style="664" bestFit="1" customWidth="1"/>
    <col min="14598" max="14598" width="4.84375" style="664" customWidth="1"/>
    <col min="14599" max="14599" width="9.84375" style="664" customWidth="1"/>
    <col min="14600" max="14600" width="13" style="664" customWidth="1"/>
    <col min="14601" max="14601" width="4.53515625" style="664" customWidth="1"/>
    <col min="14602" max="14602" width="25.84375" style="664" bestFit="1" customWidth="1"/>
    <col min="14603" max="14603" width="3.23046875" style="664" customWidth="1"/>
    <col min="14604" max="14604" width="7" style="664" customWidth="1"/>
    <col min="14605" max="14606" width="25.84375" style="664" bestFit="1" customWidth="1"/>
    <col min="14607" max="14607" width="14.69140625" style="664" bestFit="1" customWidth="1"/>
    <col min="14608" max="14608" width="25.84375" style="664" bestFit="1" customWidth="1"/>
    <col min="14609" max="14849" width="9" style="664"/>
    <col min="14850" max="14850" width="25" style="664" customWidth="1"/>
    <col min="14851" max="14851" width="15.69140625" style="664" customWidth="1"/>
    <col min="14852" max="14852" width="18.07421875" style="664" bestFit="1" customWidth="1"/>
    <col min="14853" max="14853" width="9.765625" style="664" bestFit="1" customWidth="1"/>
    <col min="14854" max="14854" width="4.84375" style="664" customWidth="1"/>
    <col min="14855" max="14855" width="9.84375" style="664" customWidth="1"/>
    <col min="14856" max="14856" width="13" style="664" customWidth="1"/>
    <col min="14857" max="14857" width="4.53515625" style="664" customWidth="1"/>
    <col min="14858" max="14858" width="25.84375" style="664" bestFit="1" customWidth="1"/>
    <col min="14859" max="14859" width="3.23046875" style="664" customWidth="1"/>
    <col min="14860" max="14860" width="7" style="664" customWidth="1"/>
    <col min="14861" max="14862" width="25.84375" style="664" bestFit="1" customWidth="1"/>
    <col min="14863" max="14863" width="14.69140625" style="664" bestFit="1" customWidth="1"/>
    <col min="14864" max="14864" width="25.84375" style="664" bestFit="1" customWidth="1"/>
    <col min="14865" max="15105" width="9" style="664"/>
    <col min="15106" max="15106" width="25" style="664" customWidth="1"/>
    <col min="15107" max="15107" width="15.69140625" style="664" customWidth="1"/>
    <col min="15108" max="15108" width="18.07421875" style="664" bestFit="1" customWidth="1"/>
    <col min="15109" max="15109" width="9.765625" style="664" bestFit="1" customWidth="1"/>
    <col min="15110" max="15110" width="4.84375" style="664" customWidth="1"/>
    <col min="15111" max="15111" width="9.84375" style="664" customWidth="1"/>
    <col min="15112" max="15112" width="13" style="664" customWidth="1"/>
    <col min="15113" max="15113" width="4.53515625" style="664" customWidth="1"/>
    <col min="15114" max="15114" width="25.84375" style="664" bestFit="1" customWidth="1"/>
    <col min="15115" max="15115" width="3.23046875" style="664" customWidth="1"/>
    <col min="15116" max="15116" width="7" style="664" customWidth="1"/>
    <col min="15117" max="15118" width="25.84375" style="664" bestFit="1" customWidth="1"/>
    <col min="15119" max="15119" width="14.69140625" style="664" bestFit="1" customWidth="1"/>
    <col min="15120" max="15120" width="25.84375" style="664" bestFit="1" customWidth="1"/>
    <col min="15121" max="15361" width="9" style="664"/>
    <col min="15362" max="15362" width="25" style="664" customWidth="1"/>
    <col min="15363" max="15363" width="15.69140625" style="664" customWidth="1"/>
    <col min="15364" max="15364" width="18.07421875" style="664" bestFit="1" customWidth="1"/>
    <col min="15365" max="15365" width="9.765625" style="664" bestFit="1" customWidth="1"/>
    <col min="15366" max="15366" width="4.84375" style="664" customWidth="1"/>
    <col min="15367" max="15367" width="9.84375" style="664" customWidth="1"/>
    <col min="15368" max="15368" width="13" style="664" customWidth="1"/>
    <col min="15369" max="15369" width="4.53515625" style="664" customWidth="1"/>
    <col min="15370" max="15370" width="25.84375" style="664" bestFit="1" customWidth="1"/>
    <col min="15371" max="15371" width="3.23046875" style="664" customWidth="1"/>
    <col min="15372" max="15372" width="7" style="664" customWidth="1"/>
    <col min="15373" max="15374" width="25.84375" style="664" bestFit="1" customWidth="1"/>
    <col min="15375" max="15375" width="14.69140625" style="664" bestFit="1" customWidth="1"/>
    <col min="15376" max="15376" width="25.84375" style="664" bestFit="1" customWidth="1"/>
    <col min="15377" max="15617" width="9" style="664"/>
    <col min="15618" max="15618" width="25" style="664" customWidth="1"/>
    <col min="15619" max="15619" width="15.69140625" style="664" customWidth="1"/>
    <col min="15620" max="15620" width="18.07421875" style="664" bestFit="1" customWidth="1"/>
    <col min="15621" max="15621" width="9.765625" style="664" bestFit="1" customWidth="1"/>
    <col min="15622" max="15622" width="4.84375" style="664" customWidth="1"/>
    <col min="15623" max="15623" width="9.84375" style="664" customWidth="1"/>
    <col min="15624" max="15624" width="13" style="664" customWidth="1"/>
    <col min="15625" max="15625" width="4.53515625" style="664" customWidth="1"/>
    <col min="15626" max="15626" width="25.84375" style="664" bestFit="1" customWidth="1"/>
    <col min="15627" max="15627" width="3.23046875" style="664" customWidth="1"/>
    <col min="15628" max="15628" width="7" style="664" customWidth="1"/>
    <col min="15629" max="15630" width="25.84375" style="664" bestFit="1" customWidth="1"/>
    <col min="15631" max="15631" width="14.69140625" style="664" bestFit="1" customWidth="1"/>
    <col min="15632" max="15632" width="25.84375" style="664" bestFit="1" customWidth="1"/>
    <col min="15633" max="15873" width="9" style="664"/>
    <col min="15874" max="15874" width="25" style="664" customWidth="1"/>
    <col min="15875" max="15875" width="15.69140625" style="664" customWidth="1"/>
    <col min="15876" max="15876" width="18.07421875" style="664" bestFit="1" customWidth="1"/>
    <col min="15877" max="15877" width="9.765625" style="664" bestFit="1" customWidth="1"/>
    <col min="15878" max="15878" width="4.84375" style="664" customWidth="1"/>
    <col min="15879" max="15879" width="9.84375" style="664" customWidth="1"/>
    <col min="15880" max="15880" width="13" style="664" customWidth="1"/>
    <col min="15881" max="15881" width="4.53515625" style="664" customWidth="1"/>
    <col min="15882" max="15882" width="25.84375" style="664" bestFit="1" customWidth="1"/>
    <col min="15883" max="15883" width="3.23046875" style="664" customWidth="1"/>
    <col min="15884" max="15884" width="7" style="664" customWidth="1"/>
    <col min="15885" max="15886" width="25.84375" style="664" bestFit="1" customWidth="1"/>
    <col min="15887" max="15887" width="14.69140625" style="664" bestFit="1" customWidth="1"/>
    <col min="15888" max="15888" width="25.84375" style="664" bestFit="1" customWidth="1"/>
    <col min="15889" max="16129" width="9" style="664"/>
    <col min="16130" max="16130" width="25" style="664" customWidth="1"/>
    <col min="16131" max="16131" width="15.69140625" style="664" customWidth="1"/>
    <col min="16132" max="16132" width="18.07421875" style="664" bestFit="1" customWidth="1"/>
    <col min="16133" max="16133" width="9.765625" style="664" bestFit="1" customWidth="1"/>
    <col min="16134" max="16134" width="4.84375" style="664" customWidth="1"/>
    <col min="16135" max="16135" width="9.84375" style="664" customWidth="1"/>
    <col min="16136" max="16136" width="13" style="664" customWidth="1"/>
    <col min="16137" max="16137" width="4.53515625" style="664" customWidth="1"/>
    <col min="16138" max="16138" width="25.84375" style="664" bestFit="1" customWidth="1"/>
    <col min="16139" max="16139" width="3.23046875" style="664" customWidth="1"/>
    <col min="16140" max="16140" width="7" style="664" customWidth="1"/>
    <col min="16141" max="16142" width="25.84375" style="664" bestFit="1" customWidth="1"/>
    <col min="16143" max="16143" width="14.69140625" style="664" bestFit="1" customWidth="1"/>
    <col min="16144" max="16144" width="25.84375" style="664" bestFit="1" customWidth="1"/>
    <col min="16145" max="16384" width="9" style="664"/>
  </cols>
  <sheetData>
    <row r="1" spans="1:9">
      <c r="A1" s="663"/>
      <c r="B1" s="663"/>
      <c r="C1" s="663"/>
    </row>
    <row r="2" spans="1:9">
      <c r="A2" s="663"/>
      <c r="B2" s="663"/>
      <c r="C2" s="663"/>
    </row>
    <row r="3" spans="1:9">
      <c r="A3" s="663"/>
      <c r="B3" s="663" t="s">
        <v>33</v>
      </c>
      <c r="C3" s="665">
        <v>7.4805194500000001</v>
      </c>
    </row>
    <row r="4" spans="1:9">
      <c r="A4" s="663"/>
      <c r="B4" s="663" t="s">
        <v>34</v>
      </c>
      <c r="C4" s="666">
        <v>43560</v>
      </c>
    </row>
    <row r="5" spans="1:9">
      <c r="A5" s="663"/>
      <c r="B5" s="663" t="s">
        <v>35</v>
      </c>
      <c r="C5" s="665">
        <v>3.7854117999999999</v>
      </c>
    </row>
    <row r="6" spans="1:9">
      <c r="A6" s="663"/>
      <c r="B6" s="663" t="s">
        <v>36</v>
      </c>
      <c r="C6" s="665">
        <f>1/C5</f>
        <v>0.26417205124155846</v>
      </c>
    </row>
    <row r="7" spans="1:9">
      <c r="A7" s="663"/>
      <c r="B7" s="664" t="s">
        <v>661</v>
      </c>
      <c r="C7" s="664">
        <v>1.60934</v>
      </c>
    </row>
    <row r="8" spans="1:9" ht="13">
      <c r="A8" s="663"/>
      <c r="B8" s="663"/>
      <c r="C8" s="927" t="s">
        <v>39</v>
      </c>
      <c r="D8" s="927"/>
      <c r="E8" s="927"/>
      <c r="F8" s="663"/>
    </row>
    <row r="9" spans="1:9">
      <c r="A9" s="663"/>
      <c r="B9" s="663"/>
      <c r="C9" s="663">
        <v>1</v>
      </c>
      <c r="D9" s="663">
        <v>2</v>
      </c>
      <c r="E9" s="663">
        <v>3</v>
      </c>
      <c r="F9" s="663"/>
    </row>
    <row r="10" spans="1:9" ht="13">
      <c r="A10" s="663"/>
      <c r="B10" s="667" t="s">
        <v>38</v>
      </c>
      <c r="C10" s="663" t="s">
        <v>26</v>
      </c>
      <c r="D10" s="663" t="s">
        <v>30</v>
      </c>
      <c r="E10" s="663" t="s">
        <v>31</v>
      </c>
      <c r="F10" s="663"/>
      <c r="H10" s="664" t="s">
        <v>37</v>
      </c>
    </row>
    <row r="11" spans="1:9">
      <c r="A11" s="663">
        <v>1</v>
      </c>
      <c r="B11" s="663" t="s">
        <v>32</v>
      </c>
      <c r="C11" s="665">
        <f>1000000/(C3*100)</f>
        <v>1336.8055610095364</v>
      </c>
      <c r="D11" s="665">
        <v>1000</v>
      </c>
      <c r="E11" s="665">
        <f>1000/C6</f>
        <v>3785.4117999999999</v>
      </c>
      <c r="F11" s="668"/>
      <c r="H11" s="664" t="s">
        <v>26</v>
      </c>
    </row>
    <row r="12" spans="1:9">
      <c r="A12" s="663">
        <v>2</v>
      </c>
      <c r="B12" s="663" t="s">
        <v>13</v>
      </c>
      <c r="C12" s="665">
        <f>1000000/C5/(C3*100)</f>
        <v>353.14666716301156</v>
      </c>
      <c r="D12" s="665">
        <f>1000/C5</f>
        <v>264.17205124155845</v>
      </c>
      <c r="E12" s="665">
        <v>1000</v>
      </c>
      <c r="F12" s="663"/>
      <c r="H12" s="664" t="s">
        <v>30</v>
      </c>
    </row>
    <row r="13" spans="1:9">
      <c r="A13" s="663">
        <v>3</v>
      </c>
      <c r="B13" s="663" t="s">
        <v>14</v>
      </c>
      <c r="C13" s="665">
        <f>C4/100</f>
        <v>435.6</v>
      </c>
      <c r="D13" s="665">
        <f>C4*C3/1000</f>
        <v>325.851427242</v>
      </c>
      <c r="E13" s="665">
        <f>C4*C3*C5/1000</f>
        <v>1233.4818377287083</v>
      </c>
      <c r="F13" s="663"/>
      <c r="H13" s="664" t="s">
        <v>31</v>
      </c>
      <c r="I13" s="669"/>
    </row>
    <row r="14" spans="1:9">
      <c r="A14" s="663"/>
      <c r="I14" s="669"/>
    </row>
    <row r="15" spans="1:9">
      <c r="A15" s="663"/>
      <c r="G15" s="665"/>
      <c r="H15" s="663"/>
      <c r="I15" s="669"/>
    </row>
    <row r="16" spans="1:9">
      <c r="C16" s="664" t="s">
        <v>32</v>
      </c>
      <c r="D16" s="664" t="s">
        <v>13</v>
      </c>
      <c r="E16" s="664" t="s">
        <v>14</v>
      </c>
      <c r="F16" s="664" t="s">
        <v>55</v>
      </c>
      <c r="G16" s="665"/>
      <c r="H16" s="663"/>
      <c r="I16" s="669"/>
    </row>
    <row r="17" spans="1:16">
      <c r="A17" s="664">
        <v>1</v>
      </c>
      <c r="B17" s="664" t="s">
        <v>32</v>
      </c>
      <c r="C17" s="670">
        <v>1</v>
      </c>
      <c r="D17" s="670">
        <f>C5</f>
        <v>3.7854117999999999</v>
      </c>
      <c r="E17" s="671">
        <v>3.0688832897372298</v>
      </c>
      <c r="F17" s="664">
        <f>10^6</f>
        <v>1000000</v>
      </c>
      <c r="I17" s="669"/>
    </row>
    <row r="18" spans="1:16">
      <c r="A18" s="664">
        <v>2</v>
      </c>
      <c r="B18" s="664" t="s">
        <v>13</v>
      </c>
      <c r="C18" s="670">
        <f>1/D17</f>
        <v>0.26417205124155846</v>
      </c>
      <c r="D18" s="670">
        <v>1</v>
      </c>
      <c r="E18" s="670">
        <v>0.8107131936708255</v>
      </c>
      <c r="F18" s="664">
        <f>C18*10^6</f>
        <v>264172.05124155845</v>
      </c>
      <c r="I18" s="669"/>
      <c r="O18" s="664">
        <f>1/E17</f>
        <v>0.32585142724199984</v>
      </c>
    </row>
    <row r="19" spans="1:16">
      <c r="A19" s="664">
        <v>3</v>
      </c>
      <c r="B19" s="664" t="s">
        <v>14</v>
      </c>
      <c r="C19" s="671">
        <f>325851.427242/1000000</f>
        <v>0.325851427242</v>
      </c>
      <c r="D19" s="670">
        <v>1.2334818377287082</v>
      </c>
      <c r="E19" s="670">
        <v>1</v>
      </c>
      <c r="F19" s="664">
        <f>C19*10^6</f>
        <v>325851.42724200001</v>
      </c>
      <c r="I19" s="669"/>
      <c r="O19" s="664">
        <f>O18*E17</f>
        <v>1</v>
      </c>
    </row>
    <row r="20" spans="1:16">
      <c r="B20" s="669"/>
      <c r="C20" s="663"/>
      <c r="I20" s="669"/>
      <c r="P20" s="671"/>
    </row>
    <row r="21" spans="1:16">
      <c r="O21" s="664">
        <v>1000</v>
      </c>
    </row>
    <row r="22" spans="1:16">
      <c r="C22" s="669"/>
      <c r="D22" s="672"/>
      <c r="O22" s="664">
        <f>O21/E17</f>
        <v>325.85142724199983</v>
      </c>
      <c r="P22" s="664">
        <f>C19*E17</f>
        <v>1.0000000000000004</v>
      </c>
    </row>
    <row r="23" spans="1:16" s="663" customFormat="1">
      <c r="C23" s="663" t="s">
        <v>57</v>
      </c>
      <c r="D23" s="663" t="s">
        <v>60</v>
      </c>
    </row>
    <row r="24" spans="1:16" s="663" customFormat="1">
      <c r="A24" s="663">
        <v>1</v>
      </c>
      <c r="B24" s="663" t="s">
        <v>32</v>
      </c>
      <c r="C24" s="663" t="s">
        <v>58</v>
      </c>
      <c r="D24" s="664">
        <f>10^6</f>
        <v>1000000</v>
      </c>
      <c r="J24" s="673"/>
      <c r="O24" s="663" t="s">
        <v>543</v>
      </c>
    </row>
    <row r="25" spans="1:16" s="663" customFormat="1">
      <c r="A25" s="663">
        <v>2</v>
      </c>
      <c r="B25" s="663" t="s">
        <v>56</v>
      </c>
      <c r="C25" s="663" t="s">
        <v>59</v>
      </c>
      <c r="D25" s="663">
        <v>1000000</v>
      </c>
      <c r="J25" s="673"/>
      <c r="K25" s="673"/>
      <c r="M25" s="673"/>
      <c r="N25" s="663" t="s">
        <v>53</v>
      </c>
    </row>
    <row r="26" spans="1:16" s="663" customFormat="1">
      <c r="A26" s="663">
        <v>3</v>
      </c>
      <c r="B26" s="663" t="s">
        <v>14</v>
      </c>
      <c r="C26" s="663" t="s">
        <v>58</v>
      </c>
      <c r="D26" s="664">
        <v>325851.42724200001</v>
      </c>
      <c r="I26" s="673"/>
      <c r="K26" s="674"/>
      <c r="M26" s="673"/>
    </row>
    <row r="27" spans="1:16" s="663" customFormat="1">
      <c r="L27" s="668"/>
    </row>
    <row r="28" spans="1:16" s="663" customFormat="1"/>
    <row r="29" spans="1:16" s="663" customFormat="1">
      <c r="A29" s="663">
        <v>1</v>
      </c>
      <c r="B29" s="663" t="s">
        <v>12</v>
      </c>
      <c r="C29" s="663" t="s">
        <v>61</v>
      </c>
      <c r="G29" s="675"/>
    </row>
    <row r="30" spans="1:16" s="663" customFormat="1">
      <c r="A30" s="663">
        <v>2</v>
      </c>
      <c r="B30" s="663" t="s">
        <v>56</v>
      </c>
      <c r="C30" s="663" t="s">
        <v>62</v>
      </c>
    </row>
    <row r="31" spans="1:16" s="663" customFormat="1">
      <c r="A31" s="663">
        <v>3</v>
      </c>
      <c r="B31" s="663" t="s">
        <v>14</v>
      </c>
      <c r="C31" s="663" t="s">
        <v>63</v>
      </c>
    </row>
    <row r="32" spans="1:16" s="663" customFormat="1"/>
    <row r="33" spans="1:4" s="663" customFormat="1">
      <c r="C33" s="676"/>
    </row>
    <row r="34" spans="1:4" s="663" customFormat="1">
      <c r="B34" s="663" t="s">
        <v>90</v>
      </c>
      <c r="C34" s="663" t="s">
        <v>53</v>
      </c>
      <c r="D34" s="677" t="s">
        <v>54</v>
      </c>
    </row>
    <row r="35" spans="1:4" s="663" customFormat="1">
      <c r="C35" s="663">
        <v>1</v>
      </c>
      <c r="D35" s="678">
        <v>2</v>
      </c>
    </row>
    <row r="36" spans="1:4" s="663" customFormat="1">
      <c r="A36" s="663">
        <v>1</v>
      </c>
      <c r="B36" s="663" t="s">
        <v>32</v>
      </c>
      <c r="C36" s="663" t="s">
        <v>391</v>
      </c>
      <c r="D36" s="663" t="s">
        <v>398</v>
      </c>
    </row>
    <row r="37" spans="1:4" s="663" customFormat="1">
      <c r="A37" s="663">
        <v>2</v>
      </c>
      <c r="B37" s="663" t="s">
        <v>56</v>
      </c>
      <c r="C37" s="663" t="s">
        <v>396</v>
      </c>
      <c r="D37" s="663" t="s">
        <v>392</v>
      </c>
    </row>
    <row r="38" spans="1:4" s="663" customFormat="1">
      <c r="A38" s="663">
        <v>3</v>
      </c>
      <c r="B38" s="663" t="s">
        <v>14</v>
      </c>
      <c r="C38" s="679" t="s">
        <v>397</v>
      </c>
      <c r="D38" s="663" t="s">
        <v>398</v>
      </c>
    </row>
    <row r="39" spans="1:4" s="663" customFormat="1"/>
    <row r="40" spans="1:4" s="663" customFormat="1"/>
    <row r="41" spans="1:4" s="663" customFormat="1"/>
    <row r="42" spans="1:4" s="663" customFormat="1">
      <c r="B42" s="663" t="s">
        <v>91</v>
      </c>
      <c r="C42" s="663" t="s">
        <v>92</v>
      </c>
    </row>
    <row r="43" spans="1:4" s="663" customFormat="1">
      <c r="A43" s="663">
        <v>1</v>
      </c>
      <c r="B43" s="680" t="s">
        <v>12</v>
      </c>
      <c r="C43" s="663">
        <v>1</v>
      </c>
    </row>
    <row r="44" spans="1:4" s="663" customFormat="1">
      <c r="A44" s="663">
        <v>2</v>
      </c>
      <c r="B44" s="680" t="s">
        <v>13</v>
      </c>
      <c r="C44" s="665">
        <f>1/C6</f>
        <v>3.7854117999999999</v>
      </c>
    </row>
    <row r="45" spans="1:4" s="663" customFormat="1">
      <c r="A45" s="663">
        <v>3</v>
      </c>
      <c r="B45" s="680" t="s">
        <v>14</v>
      </c>
      <c r="C45" s="663">
        <f>10^6/(C3*C4)</f>
        <v>3.068883289737228</v>
      </c>
    </row>
    <row r="46" spans="1:4" s="663" customFormat="1"/>
    <row r="47" spans="1:4" s="663" customFormat="1">
      <c r="B47" s="663" t="s">
        <v>91</v>
      </c>
      <c r="C47" s="663" t="s">
        <v>93</v>
      </c>
      <c r="D47" s="663" t="s">
        <v>94</v>
      </c>
    </row>
    <row r="48" spans="1:4" s="663" customFormat="1">
      <c r="A48" s="663">
        <v>1</v>
      </c>
      <c r="B48" s="680" t="s">
        <v>12</v>
      </c>
      <c r="C48" s="663">
        <v>1</v>
      </c>
      <c r="D48" s="663" t="s">
        <v>95</v>
      </c>
    </row>
    <row r="49" spans="1:6" s="663" customFormat="1">
      <c r="A49" s="663">
        <v>2</v>
      </c>
      <c r="B49" s="680" t="s">
        <v>13</v>
      </c>
      <c r="C49" s="663">
        <v>1.4218999999999999</v>
      </c>
      <c r="D49" s="663" t="s">
        <v>96</v>
      </c>
      <c r="F49" s="666">
        <f>70/C49</f>
        <v>49.229903650045713</v>
      </c>
    </row>
    <row r="50" spans="1:6" s="663" customFormat="1">
      <c r="A50" s="663">
        <v>3</v>
      </c>
      <c r="B50" s="680" t="s">
        <v>14</v>
      </c>
      <c r="C50" s="663">
        <v>1</v>
      </c>
      <c r="D50" s="663" t="s">
        <v>95</v>
      </c>
    </row>
    <row r="51" spans="1:6" s="663" customFormat="1"/>
    <row r="52" spans="1:6" s="663" customFormat="1">
      <c r="B52" s="663" t="s">
        <v>91</v>
      </c>
      <c r="C52" s="663" t="s">
        <v>393</v>
      </c>
    </row>
    <row r="53" spans="1:6" s="663" customFormat="1">
      <c r="A53" s="663">
        <v>1</v>
      </c>
      <c r="B53" s="663" t="s">
        <v>391</v>
      </c>
      <c r="C53" s="663">
        <v>1</v>
      </c>
    </row>
    <row r="54" spans="1:6" s="663" customFormat="1">
      <c r="A54" s="663">
        <v>2</v>
      </c>
      <c r="B54" s="663" t="s">
        <v>392</v>
      </c>
      <c r="C54" s="663">
        <v>2.3521399999999999</v>
      </c>
    </row>
    <row r="55" spans="1:6" s="663" customFormat="1">
      <c r="A55" s="663">
        <v>3</v>
      </c>
      <c r="B55" s="663" t="s">
        <v>391</v>
      </c>
      <c r="C55" s="663">
        <v>1</v>
      </c>
    </row>
    <row r="56" spans="1:6" s="663" customFormat="1"/>
    <row r="57" spans="1:6" s="663" customFormat="1"/>
    <row r="58" spans="1:6" s="663" customFormat="1">
      <c r="B58" s="663" t="s">
        <v>400</v>
      </c>
      <c r="D58" s="663" t="s">
        <v>399</v>
      </c>
    </row>
    <row r="59" spans="1:6" s="663" customFormat="1">
      <c r="A59" s="663">
        <v>1</v>
      </c>
      <c r="B59" s="663" t="s">
        <v>394</v>
      </c>
      <c r="C59" s="663">
        <v>1</v>
      </c>
      <c r="D59" s="663" t="s">
        <v>58</v>
      </c>
    </row>
    <row r="60" spans="1:6" s="663" customFormat="1">
      <c r="A60" s="663">
        <v>2</v>
      </c>
      <c r="B60" s="663" t="s">
        <v>395</v>
      </c>
      <c r="C60" s="663">
        <v>3.875</v>
      </c>
      <c r="D60" s="663" t="s">
        <v>59</v>
      </c>
    </row>
    <row r="61" spans="1:6" s="663" customFormat="1">
      <c r="A61" s="663">
        <v>3</v>
      </c>
      <c r="B61" s="663" t="s">
        <v>14</v>
      </c>
      <c r="C61" s="663">
        <v>1</v>
      </c>
      <c r="D61" s="663" t="s">
        <v>58</v>
      </c>
    </row>
    <row r="62" spans="1:6" s="663" customFormat="1"/>
    <row r="63" spans="1:6" s="663" customFormat="1">
      <c r="B63" s="663" t="s">
        <v>90</v>
      </c>
      <c r="C63" s="663" t="s">
        <v>53</v>
      </c>
      <c r="D63" s="677" t="s">
        <v>54</v>
      </c>
    </row>
    <row r="64" spans="1:6" s="663" customFormat="1">
      <c r="C64" s="663">
        <v>1</v>
      </c>
      <c r="D64" s="678">
        <v>2</v>
      </c>
    </row>
    <row r="65" spans="1:5" s="663" customFormat="1">
      <c r="A65" s="663">
        <v>1</v>
      </c>
      <c r="B65" s="663" t="s">
        <v>32</v>
      </c>
      <c r="C65" s="663">
        <v>1</v>
      </c>
      <c r="D65" s="663">
        <v>1.60934</v>
      </c>
    </row>
    <row r="66" spans="1:5" s="663" customFormat="1">
      <c r="A66" s="663">
        <v>2</v>
      </c>
      <c r="B66" s="663" t="s">
        <v>56</v>
      </c>
      <c r="C66" s="663">
        <f>1/C6</f>
        <v>3.7854117999999999</v>
      </c>
      <c r="D66" s="663">
        <f>C66*1.60934</f>
        <v>6.0920146262119994</v>
      </c>
    </row>
    <row r="67" spans="1:5" s="663" customFormat="1">
      <c r="A67" s="663">
        <v>3</v>
      </c>
      <c r="B67" s="663" t="s">
        <v>14</v>
      </c>
      <c r="C67" s="679">
        <v>1</v>
      </c>
      <c r="D67" s="663">
        <f>C67*1.60934</f>
        <v>1.60934</v>
      </c>
    </row>
    <row r="68" spans="1:5" s="663" customFormat="1"/>
    <row r="69" spans="1:5" s="663" customFormat="1">
      <c r="B69" s="663" t="s">
        <v>796</v>
      </c>
      <c r="C69" s="663" t="s">
        <v>53</v>
      </c>
      <c r="D69" s="677" t="s">
        <v>54</v>
      </c>
    </row>
    <row r="70" spans="1:5" s="663" customFormat="1">
      <c r="C70" s="663">
        <v>1</v>
      </c>
      <c r="D70" s="678">
        <v>2</v>
      </c>
    </row>
    <row r="71" spans="1:5" s="663" customFormat="1">
      <c r="A71" s="663">
        <v>1</v>
      </c>
      <c r="B71" s="663" t="s">
        <v>32</v>
      </c>
      <c r="C71" s="679" t="s">
        <v>696</v>
      </c>
      <c r="D71" s="679" t="s">
        <v>698</v>
      </c>
    </row>
    <row r="72" spans="1:5" s="663" customFormat="1">
      <c r="A72" s="663">
        <v>2</v>
      </c>
      <c r="B72" s="663" t="s">
        <v>56</v>
      </c>
      <c r="C72" s="663" t="s">
        <v>697</v>
      </c>
      <c r="D72" s="663" t="s">
        <v>699</v>
      </c>
    </row>
    <row r="73" spans="1:5" s="663" customFormat="1">
      <c r="A73" s="663">
        <v>3</v>
      </c>
      <c r="B73" s="663" t="s">
        <v>14</v>
      </c>
      <c r="C73" s="679" t="s">
        <v>696</v>
      </c>
      <c r="D73" s="663" t="s">
        <v>698</v>
      </c>
    </row>
    <row r="74" spans="1:5" s="663" customFormat="1">
      <c r="D74" s="664"/>
    </row>
    <row r="76" spans="1:5">
      <c r="B76" s="664" t="s">
        <v>137</v>
      </c>
    </row>
    <row r="77" spans="1:5">
      <c r="A77" s="664">
        <v>1</v>
      </c>
      <c r="B77" s="664">
        <v>0.25</v>
      </c>
      <c r="C77" s="664" t="s">
        <v>132</v>
      </c>
      <c r="D77" s="664" t="s">
        <v>135</v>
      </c>
      <c r="E77" s="664">
        <v>1</v>
      </c>
    </row>
    <row r="78" spans="1:5">
      <c r="A78" s="664">
        <v>2</v>
      </c>
      <c r="B78" s="681">
        <f>B77*C5</f>
        <v>0.94635294999999997</v>
      </c>
      <c r="C78" s="664" t="s">
        <v>133</v>
      </c>
      <c r="D78" s="664" t="s">
        <v>136</v>
      </c>
      <c r="E78" s="664">
        <f>E77*C5</f>
        <v>3.7854117999999999</v>
      </c>
    </row>
    <row r="79" spans="1:5">
      <c r="A79" s="664">
        <v>3</v>
      </c>
      <c r="B79" s="664">
        <f>B78/E78</f>
        <v>0.25</v>
      </c>
      <c r="C79" s="664" t="s">
        <v>134</v>
      </c>
    </row>
  </sheetData>
  <mergeCells count="1">
    <mergeCell ref="C8:E8"/>
  </mergeCells>
  <dataValidations disablePrompts="1" count="3">
    <dataValidation type="list" allowBlank="1" showInputMessage="1" showErrorMessage="1" sqref="D917537 D852001 D786465 D720929 D655393 D589857 D524321 D458785 D393249 D327713 D262177 D196641 D131105 D65569 D983056 D917520 D851984 D786448 D720912 D655376 D589840 D524304 D458768 D393232 D327696 D262160 D196624 D131088 D65552 D983073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IZ36 SV36 ACR36 AMN36 AWJ36 BGF36 BQB36 BZX36 CJT36 CTP36 DDL36 DNH36 DXD36 EGZ36 EQV36 FAR36 FKN36 FUJ36 GEF36 GOB36 GXX36 HHT36 HRP36 IBL36 ILH36 IVD36 JEZ36 JOV36 JYR36 KIN36 KSJ36 LCF36 LMB36 LVX36 MFT36 MPP36 MZL36 NJH36 NTD36 OCZ36 OMV36 OWR36 PGN36 PQJ36 QAF36 QKB36 QTX36 RDT36 RNP36 RXL36 SHH36 SRD36 TAZ36 TKV36 TUR36 UEN36 UOJ36 UYF36 VIB36 VRX36 WBT36 WLP36 WVL36 IZ65572 SV65572 ACR65572 AMN65572 AWJ65572 BGF65572 BQB65572 BZX65572 CJT65572 CTP65572 DDL65572 DNH65572 DXD65572 EGZ65572 EQV65572 FAR65572 FKN65572 FUJ65572 GEF65572 GOB65572 GXX65572 HHT65572 HRP65572 IBL65572 ILH65572 IVD65572 JEZ65572 JOV65572 JYR65572 KIN65572 KSJ65572 LCF65572 LMB65572 LVX65572 MFT65572 MPP65572 MZL65572 NJH65572 NTD65572 OCZ65572 OMV65572 OWR65572 PGN65572 PQJ65572 QAF65572 QKB65572 QTX65572 RDT65572 RNP65572 RXL65572 SHH65572 SRD65572 TAZ65572 TKV65572 TUR65572 UEN65572 UOJ65572 UYF65572 VIB65572 VRX65572 WBT65572 WLP65572 WVL65572 IZ131108 SV131108 ACR131108 AMN131108 AWJ131108 BGF131108 BQB131108 BZX131108 CJT131108 CTP131108 DDL131108 DNH131108 DXD131108 EGZ131108 EQV131108 FAR131108 FKN131108 FUJ131108 GEF131108 GOB131108 GXX131108 HHT131108 HRP131108 IBL131108 ILH131108 IVD131108 JEZ131108 JOV131108 JYR131108 KIN131108 KSJ131108 LCF131108 LMB131108 LVX131108 MFT131108 MPP131108 MZL131108 NJH131108 NTD131108 OCZ131108 OMV131108 OWR131108 PGN131108 PQJ131108 QAF131108 QKB131108 QTX131108 RDT131108 RNP131108 RXL131108 SHH131108 SRD131108 TAZ131108 TKV131108 TUR131108 UEN131108 UOJ131108 UYF131108 VIB131108 VRX131108 WBT131108 WLP131108 WVL131108 IZ196644 SV196644 ACR196644 AMN196644 AWJ196644 BGF196644 BQB196644 BZX196644 CJT196644 CTP196644 DDL196644 DNH196644 DXD196644 EGZ196644 EQV196644 FAR196644 FKN196644 FUJ196644 GEF196644 GOB196644 GXX196644 HHT196644 HRP196644 IBL196644 ILH196644 IVD196644 JEZ196644 JOV196644 JYR196644 KIN196644 KSJ196644 LCF196644 LMB196644 LVX196644 MFT196644 MPP196644 MZL196644 NJH196644 NTD196644 OCZ196644 OMV196644 OWR196644 PGN196644 PQJ196644 QAF196644 QKB196644 QTX196644 RDT196644 RNP196644 RXL196644 SHH196644 SRD196644 TAZ196644 TKV196644 TUR196644 UEN196644 UOJ196644 UYF196644 VIB196644 VRX196644 WBT196644 WLP196644 WVL196644 IZ262180 SV262180 ACR262180 AMN262180 AWJ262180 BGF262180 BQB262180 BZX262180 CJT262180 CTP262180 DDL262180 DNH262180 DXD262180 EGZ262180 EQV262180 FAR262180 FKN262180 FUJ262180 GEF262180 GOB262180 GXX262180 HHT262180 HRP262180 IBL262180 ILH262180 IVD262180 JEZ262180 JOV262180 JYR262180 KIN262180 KSJ262180 LCF262180 LMB262180 LVX262180 MFT262180 MPP262180 MZL262180 NJH262180 NTD262180 OCZ262180 OMV262180 OWR262180 PGN262180 PQJ262180 QAF262180 QKB262180 QTX262180 RDT262180 RNP262180 RXL262180 SHH262180 SRD262180 TAZ262180 TKV262180 TUR262180 UEN262180 UOJ262180 UYF262180 VIB262180 VRX262180 WBT262180 WLP262180 WVL262180 IZ327716 SV327716 ACR327716 AMN327716 AWJ327716 BGF327716 BQB327716 BZX327716 CJT327716 CTP327716 DDL327716 DNH327716 DXD327716 EGZ327716 EQV327716 FAR327716 FKN327716 FUJ327716 GEF327716 GOB327716 GXX327716 HHT327716 HRP327716 IBL327716 ILH327716 IVD327716 JEZ327716 JOV327716 JYR327716 KIN327716 KSJ327716 LCF327716 LMB327716 LVX327716 MFT327716 MPP327716 MZL327716 NJH327716 NTD327716 OCZ327716 OMV327716 OWR327716 PGN327716 PQJ327716 QAF327716 QKB327716 QTX327716 RDT327716 RNP327716 RXL327716 SHH327716 SRD327716 TAZ327716 TKV327716 TUR327716 UEN327716 UOJ327716 UYF327716 VIB327716 VRX327716 WBT327716 WLP327716 WVL327716 IZ393252 SV393252 ACR393252 AMN393252 AWJ393252 BGF393252 BQB393252 BZX393252 CJT393252 CTP393252 DDL393252 DNH393252 DXD393252 EGZ393252 EQV393252 FAR393252 FKN393252 FUJ393252 GEF393252 GOB393252 GXX393252 HHT393252 HRP393252 IBL393252 ILH393252 IVD393252 JEZ393252 JOV393252 JYR393252 KIN393252 KSJ393252 LCF393252 LMB393252 LVX393252 MFT393252 MPP393252 MZL393252 NJH393252 NTD393252 OCZ393252 OMV393252 OWR393252 PGN393252 PQJ393252 QAF393252 QKB393252 QTX393252 RDT393252 RNP393252 RXL393252 SHH393252 SRD393252 TAZ393252 TKV393252 TUR393252 UEN393252 UOJ393252 UYF393252 VIB393252 VRX393252 WBT393252 WLP393252 WVL393252 IZ458788 SV458788 ACR458788 AMN458788 AWJ458788 BGF458788 BQB458788 BZX458788 CJT458788 CTP458788 DDL458788 DNH458788 DXD458788 EGZ458788 EQV458788 FAR458788 FKN458788 FUJ458788 GEF458788 GOB458788 GXX458788 HHT458788 HRP458788 IBL458788 ILH458788 IVD458788 JEZ458788 JOV458788 JYR458788 KIN458788 KSJ458788 LCF458788 LMB458788 LVX458788 MFT458788 MPP458788 MZL458788 NJH458788 NTD458788 OCZ458788 OMV458788 OWR458788 PGN458788 PQJ458788 QAF458788 QKB458788 QTX458788 RDT458788 RNP458788 RXL458788 SHH458788 SRD458788 TAZ458788 TKV458788 TUR458788 UEN458788 UOJ458788 UYF458788 VIB458788 VRX458788 WBT458788 WLP458788 WVL458788 IZ524324 SV524324 ACR524324 AMN524324 AWJ524324 BGF524324 BQB524324 BZX524324 CJT524324 CTP524324 DDL524324 DNH524324 DXD524324 EGZ524324 EQV524324 FAR524324 FKN524324 FUJ524324 GEF524324 GOB524324 GXX524324 HHT524324 HRP524324 IBL524324 ILH524324 IVD524324 JEZ524324 JOV524324 JYR524324 KIN524324 KSJ524324 LCF524324 LMB524324 LVX524324 MFT524324 MPP524324 MZL524324 NJH524324 NTD524324 OCZ524324 OMV524324 OWR524324 PGN524324 PQJ524324 QAF524324 QKB524324 QTX524324 RDT524324 RNP524324 RXL524324 SHH524324 SRD524324 TAZ524324 TKV524324 TUR524324 UEN524324 UOJ524324 UYF524324 VIB524324 VRX524324 WBT524324 WLP524324 WVL524324 IZ589860 SV589860 ACR589860 AMN589860 AWJ589860 BGF589860 BQB589860 BZX589860 CJT589860 CTP589860 DDL589860 DNH589860 DXD589860 EGZ589860 EQV589860 FAR589860 FKN589860 FUJ589860 GEF589860 GOB589860 GXX589860 HHT589860 HRP589860 IBL589860 ILH589860 IVD589860 JEZ589860 JOV589860 JYR589860 KIN589860 KSJ589860 LCF589860 LMB589860 LVX589860 MFT589860 MPP589860 MZL589860 NJH589860 NTD589860 OCZ589860 OMV589860 OWR589860 PGN589860 PQJ589860 QAF589860 QKB589860 QTX589860 RDT589860 RNP589860 RXL589860 SHH589860 SRD589860 TAZ589860 TKV589860 TUR589860 UEN589860 UOJ589860 UYF589860 VIB589860 VRX589860 WBT589860 WLP589860 WVL589860 IZ655396 SV655396 ACR655396 AMN655396 AWJ655396 BGF655396 BQB655396 BZX655396 CJT655396 CTP655396 DDL655396 DNH655396 DXD655396 EGZ655396 EQV655396 FAR655396 FKN655396 FUJ655396 GEF655396 GOB655396 GXX655396 HHT655396 HRP655396 IBL655396 ILH655396 IVD655396 JEZ655396 JOV655396 JYR655396 KIN655396 KSJ655396 LCF655396 LMB655396 LVX655396 MFT655396 MPP655396 MZL655396 NJH655396 NTD655396 OCZ655396 OMV655396 OWR655396 PGN655396 PQJ655396 QAF655396 QKB655396 QTX655396 RDT655396 RNP655396 RXL655396 SHH655396 SRD655396 TAZ655396 TKV655396 TUR655396 UEN655396 UOJ655396 UYF655396 VIB655396 VRX655396 WBT655396 WLP655396 WVL655396 IZ720932 SV720932 ACR720932 AMN720932 AWJ720932 BGF720932 BQB720932 BZX720932 CJT720932 CTP720932 DDL720932 DNH720932 DXD720932 EGZ720932 EQV720932 FAR720932 FKN720932 FUJ720932 GEF720932 GOB720932 GXX720932 HHT720932 HRP720932 IBL720932 ILH720932 IVD720932 JEZ720932 JOV720932 JYR720932 KIN720932 KSJ720932 LCF720932 LMB720932 LVX720932 MFT720932 MPP720932 MZL720932 NJH720932 NTD720932 OCZ720932 OMV720932 OWR720932 PGN720932 PQJ720932 QAF720932 QKB720932 QTX720932 RDT720932 RNP720932 RXL720932 SHH720932 SRD720932 TAZ720932 TKV720932 TUR720932 UEN720932 UOJ720932 UYF720932 VIB720932 VRX720932 WBT720932 WLP720932 WVL720932 IZ786468 SV786468 ACR786468 AMN786468 AWJ786468 BGF786468 BQB786468 BZX786468 CJT786468 CTP786468 DDL786468 DNH786468 DXD786468 EGZ786468 EQV786468 FAR786468 FKN786468 FUJ786468 GEF786468 GOB786468 GXX786468 HHT786468 HRP786468 IBL786468 ILH786468 IVD786468 JEZ786468 JOV786468 JYR786468 KIN786468 KSJ786468 LCF786468 LMB786468 LVX786468 MFT786468 MPP786468 MZL786468 NJH786468 NTD786468 OCZ786468 OMV786468 OWR786468 PGN786468 PQJ786468 QAF786468 QKB786468 QTX786468 RDT786468 RNP786468 RXL786468 SHH786468 SRD786468 TAZ786468 TKV786468 TUR786468 UEN786468 UOJ786468 UYF786468 VIB786468 VRX786468 WBT786468 WLP786468 WVL786468 IZ852004 SV852004 ACR852004 AMN852004 AWJ852004 BGF852004 BQB852004 BZX852004 CJT852004 CTP852004 DDL852004 DNH852004 DXD852004 EGZ852004 EQV852004 FAR852004 FKN852004 FUJ852004 GEF852004 GOB852004 GXX852004 HHT852004 HRP852004 IBL852004 ILH852004 IVD852004 JEZ852004 JOV852004 JYR852004 KIN852004 KSJ852004 LCF852004 LMB852004 LVX852004 MFT852004 MPP852004 MZL852004 NJH852004 NTD852004 OCZ852004 OMV852004 OWR852004 PGN852004 PQJ852004 QAF852004 QKB852004 QTX852004 RDT852004 RNP852004 RXL852004 SHH852004 SRD852004 TAZ852004 TKV852004 TUR852004 UEN852004 UOJ852004 UYF852004 VIB852004 VRX852004 WBT852004 WLP852004 WVL852004 IZ917540 SV917540 ACR917540 AMN917540 AWJ917540 BGF917540 BQB917540 BZX917540 CJT917540 CTP917540 DDL917540 DNH917540 DXD917540 EGZ917540 EQV917540 FAR917540 FKN917540 FUJ917540 GEF917540 GOB917540 GXX917540 HHT917540 HRP917540 IBL917540 ILH917540 IVD917540 JEZ917540 JOV917540 JYR917540 KIN917540 KSJ917540 LCF917540 LMB917540 LVX917540 MFT917540 MPP917540 MZL917540 NJH917540 NTD917540 OCZ917540 OMV917540 OWR917540 PGN917540 PQJ917540 QAF917540 QKB917540 QTX917540 RDT917540 RNP917540 RXL917540 SHH917540 SRD917540 TAZ917540 TKV917540 TUR917540 UEN917540 UOJ917540 UYF917540 VIB917540 VRX917540 WBT917540 WLP917540 WVL917540 IZ983076 SV983076 ACR983076 AMN983076 AWJ983076 BGF983076 BQB983076 BZX983076 CJT983076 CTP983076 DDL983076 DNH983076 DXD983076 EGZ983076 EQV983076 FAR983076 FKN983076 FUJ983076 GEF983076 GOB983076 GXX983076 HHT983076 HRP983076 IBL983076 ILH983076 IVD983076 JEZ983076 JOV983076 JYR983076 KIN983076 KSJ983076 LCF983076 LMB983076 LVX983076 MFT983076 MPP983076 MZL983076 NJH983076 NTD983076 OCZ983076 OMV983076 OWR983076 PGN983076 PQJ983076 QAF983076 QKB983076 QTX983076 RDT983076 RNP983076 RXL983076 SHH983076 SRD983076 TAZ983076 TKV983076 TUR983076 UEN983076 UOJ983076 UYF983076 VIB983076 VRX983076 WBT983076 WLP983076 WVL983076 IZ18">
      <formula1>"million gallons (US),thousand cubic meters,acre-feet"</formula1>
    </dataValidation>
    <dataValidation type="list" allowBlank="1" showInputMessage="1" showErrorMessage="1" sqref="D917535 D851999 D786463 D720927 D655391 D589855 D524319 D458783 D393247 D327711 D262175 D196639 D131103 D65567 D983058 D917522 D851986 D786450 D720914 D655378 D589842 D524306 D458770 D393234 D327698 D262162 D196626 D131090 D65554 D983071 IZ20 SV20 ACR20 AMN20 AWJ20 BGF20 BQB20 BZX20 CJT20 CTP20 DDL20 DNH20 DXD20 EGZ20 EQV20 FAR20 FKN20 FUJ20 GEF20 GOB20 GXX20 HHT20 HRP20 IBL20 ILH20 IVD20 JEZ20 JOV20 JYR20 KIN20 KSJ20 LCF20 LMB20 LVX20 MFT20 MPP20 MZL20 NJH20 NTD20 OCZ20 OMV20 OWR20 PGN20 PQJ20 QAF20 QKB20 QTX20 RDT20 RNP20 RXL20 SHH20 SRD20 TAZ20 TKV20 TUR20 UEN20 UOJ20 UYF20 VIB20 VRX20 WBT20 WLP20 WVL20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IZ33 SV33 ACR33 AMN33 AWJ33 BGF33 BQB33 BZX33 CJT33 CTP33 DDL33 DNH33 DXD33 EGZ33 EQV33 FAR33 FKN33 FUJ33 GEF33 GOB33 GXX33 HHT33 HRP33 IBL33 ILH33 IVD33 JEZ33 JOV33 JYR33 KIN33 KSJ33 LCF33 LMB33 LVX33 MFT33 MPP33 MZL33 NJH33 NTD33 OCZ33 OMV33 OWR33 PGN33 PQJ33 QAF33 QKB33 QTX33 RDT33 RNP33 RXL33 SHH33 SRD33 TAZ33 TKV33 TUR33 UEN33 UOJ33 UYF33 VIB33 VRX33 WBT33 WLP33 WVL33 IZ65570 SV65570 ACR65570 AMN65570 AWJ65570 BGF65570 BQB65570 BZX65570 CJT65570 CTP65570 DDL65570 DNH65570 DXD65570 EGZ65570 EQV65570 FAR65570 FKN65570 FUJ65570 GEF65570 GOB65570 GXX65570 HHT65570 HRP65570 IBL65570 ILH65570 IVD65570 JEZ65570 JOV65570 JYR65570 KIN65570 KSJ65570 LCF65570 LMB65570 LVX65570 MFT65570 MPP65570 MZL65570 NJH65570 NTD65570 OCZ65570 OMV65570 OWR65570 PGN65570 PQJ65570 QAF65570 QKB65570 QTX65570 RDT65570 RNP65570 RXL65570 SHH65570 SRD65570 TAZ65570 TKV65570 TUR65570 UEN65570 UOJ65570 UYF65570 VIB65570 VRX65570 WBT65570 WLP65570 WVL65570 IZ131106 SV131106 ACR131106 AMN131106 AWJ131106 BGF131106 BQB131106 BZX131106 CJT131106 CTP131106 DDL131106 DNH131106 DXD131106 EGZ131106 EQV131106 FAR131106 FKN131106 FUJ131106 GEF131106 GOB131106 GXX131106 HHT131106 HRP131106 IBL131106 ILH131106 IVD131106 JEZ131106 JOV131106 JYR131106 KIN131106 KSJ131106 LCF131106 LMB131106 LVX131106 MFT131106 MPP131106 MZL131106 NJH131106 NTD131106 OCZ131106 OMV131106 OWR131106 PGN131106 PQJ131106 QAF131106 QKB131106 QTX131106 RDT131106 RNP131106 RXL131106 SHH131106 SRD131106 TAZ131106 TKV131106 TUR131106 UEN131106 UOJ131106 UYF131106 VIB131106 VRX131106 WBT131106 WLP131106 WVL131106 IZ196642 SV196642 ACR196642 AMN196642 AWJ196642 BGF196642 BQB196642 BZX196642 CJT196642 CTP196642 DDL196642 DNH196642 DXD196642 EGZ196642 EQV196642 FAR196642 FKN196642 FUJ196642 GEF196642 GOB196642 GXX196642 HHT196642 HRP196642 IBL196642 ILH196642 IVD196642 JEZ196642 JOV196642 JYR196642 KIN196642 KSJ196642 LCF196642 LMB196642 LVX196642 MFT196642 MPP196642 MZL196642 NJH196642 NTD196642 OCZ196642 OMV196642 OWR196642 PGN196642 PQJ196642 QAF196642 QKB196642 QTX196642 RDT196642 RNP196642 RXL196642 SHH196642 SRD196642 TAZ196642 TKV196642 TUR196642 UEN196642 UOJ196642 UYF196642 VIB196642 VRX196642 WBT196642 WLP196642 WVL196642 IZ262178 SV262178 ACR262178 AMN262178 AWJ262178 BGF262178 BQB262178 BZX262178 CJT262178 CTP262178 DDL262178 DNH262178 DXD262178 EGZ262178 EQV262178 FAR262178 FKN262178 FUJ262178 GEF262178 GOB262178 GXX262178 HHT262178 HRP262178 IBL262178 ILH262178 IVD262178 JEZ262178 JOV262178 JYR262178 KIN262178 KSJ262178 LCF262178 LMB262178 LVX262178 MFT262178 MPP262178 MZL262178 NJH262178 NTD262178 OCZ262178 OMV262178 OWR262178 PGN262178 PQJ262178 QAF262178 QKB262178 QTX262178 RDT262178 RNP262178 RXL262178 SHH262178 SRD262178 TAZ262178 TKV262178 TUR262178 UEN262178 UOJ262178 UYF262178 VIB262178 VRX262178 WBT262178 WLP262178 WVL262178 IZ327714 SV327714 ACR327714 AMN327714 AWJ327714 BGF327714 BQB327714 BZX327714 CJT327714 CTP327714 DDL327714 DNH327714 DXD327714 EGZ327714 EQV327714 FAR327714 FKN327714 FUJ327714 GEF327714 GOB327714 GXX327714 HHT327714 HRP327714 IBL327714 ILH327714 IVD327714 JEZ327714 JOV327714 JYR327714 KIN327714 KSJ327714 LCF327714 LMB327714 LVX327714 MFT327714 MPP327714 MZL327714 NJH327714 NTD327714 OCZ327714 OMV327714 OWR327714 PGN327714 PQJ327714 QAF327714 QKB327714 QTX327714 RDT327714 RNP327714 RXL327714 SHH327714 SRD327714 TAZ327714 TKV327714 TUR327714 UEN327714 UOJ327714 UYF327714 VIB327714 VRX327714 WBT327714 WLP327714 WVL327714 IZ393250 SV393250 ACR393250 AMN393250 AWJ393250 BGF393250 BQB393250 BZX393250 CJT393250 CTP393250 DDL393250 DNH393250 DXD393250 EGZ393250 EQV393250 FAR393250 FKN393250 FUJ393250 GEF393250 GOB393250 GXX393250 HHT393250 HRP393250 IBL393250 ILH393250 IVD393250 JEZ393250 JOV393250 JYR393250 KIN393250 KSJ393250 LCF393250 LMB393250 LVX393250 MFT393250 MPP393250 MZL393250 NJH393250 NTD393250 OCZ393250 OMV393250 OWR393250 PGN393250 PQJ393250 QAF393250 QKB393250 QTX393250 RDT393250 RNP393250 RXL393250 SHH393250 SRD393250 TAZ393250 TKV393250 TUR393250 UEN393250 UOJ393250 UYF393250 VIB393250 VRX393250 WBT393250 WLP393250 WVL393250 IZ458786 SV458786 ACR458786 AMN458786 AWJ458786 BGF458786 BQB458786 BZX458786 CJT458786 CTP458786 DDL458786 DNH458786 DXD458786 EGZ458786 EQV458786 FAR458786 FKN458786 FUJ458786 GEF458786 GOB458786 GXX458786 HHT458786 HRP458786 IBL458786 ILH458786 IVD458786 JEZ458786 JOV458786 JYR458786 KIN458786 KSJ458786 LCF458786 LMB458786 LVX458786 MFT458786 MPP458786 MZL458786 NJH458786 NTD458786 OCZ458786 OMV458786 OWR458786 PGN458786 PQJ458786 QAF458786 QKB458786 QTX458786 RDT458786 RNP458786 RXL458786 SHH458786 SRD458786 TAZ458786 TKV458786 TUR458786 UEN458786 UOJ458786 UYF458786 VIB458786 VRX458786 WBT458786 WLP458786 WVL458786 IZ524322 SV524322 ACR524322 AMN524322 AWJ524322 BGF524322 BQB524322 BZX524322 CJT524322 CTP524322 DDL524322 DNH524322 DXD524322 EGZ524322 EQV524322 FAR524322 FKN524322 FUJ524322 GEF524322 GOB524322 GXX524322 HHT524322 HRP524322 IBL524322 ILH524322 IVD524322 JEZ524322 JOV524322 JYR524322 KIN524322 KSJ524322 LCF524322 LMB524322 LVX524322 MFT524322 MPP524322 MZL524322 NJH524322 NTD524322 OCZ524322 OMV524322 OWR524322 PGN524322 PQJ524322 QAF524322 QKB524322 QTX524322 RDT524322 RNP524322 RXL524322 SHH524322 SRD524322 TAZ524322 TKV524322 TUR524322 UEN524322 UOJ524322 UYF524322 VIB524322 VRX524322 WBT524322 WLP524322 WVL524322 IZ589858 SV589858 ACR589858 AMN589858 AWJ589858 BGF589858 BQB589858 BZX589858 CJT589858 CTP589858 DDL589858 DNH589858 DXD589858 EGZ589858 EQV589858 FAR589858 FKN589858 FUJ589858 GEF589858 GOB589858 GXX589858 HHT589858 HRP589858 IBL589858 ILH589858 IVD589858 JEZ589858 JOV589858 JYR589858 KIN589858 KSJ589858 LCF589858 LMB589858 LVX589858 MFT589858 MPP589858 MZL589858 NJH589858 NTD589858 OCZ589858 OMV589858 OWR589858 PGN589858 PQJ589858 QAF589858 QKB589858 QTX589858 RDT589858 RNP589858 RXL589858 SHH589858 SRD589858 TAZ589858 TKV589858 TUR589858 UEN589858 UOJ589858 UYF589858 VIB589858 VRX589858 WBT589858 WLP589858 WVL589858 IZ655394 SV655394 ACR655394 AMN655394 AWJ655394 BGF655394 BQB655394 BZX655394 CJT655394 CTP655394 DDL655394 DNH655394 DXD655394 EGZ655394 EQV655394 FAR655394 FKN655394 FUJ655394 GEF655394 GOB655394 GXX655394 HHT655394 HRP655394 IBL655394 ILH655394 IVD655394 JEZ655394 JOV655394 JYR655394 KIN655394 KSJ655394 LCF655394 LMB655394 LVX655394 MFT655394 MPP655394 MZL655394 NJH655394 NTD655394 OCZ655394 OMV655394 OWR655394 PGN655394 PQJ655394 QAF655394 QKB655394 QTX655394 RDT655394 RNP655394 RXL655394 SHH655394 SRD655394 TAZ655394 TKV655394 TUR655394 UEN655394 UOJ655394 UYF655394 VIB655394 VRX655394 WBT655394 WLP655394 WVL655394 IZ720930 SV720930 ACR720930 AMN720930 AWJ720930 BGF720930 BQB720930 BZX720930 CJT720930 CTP720930 DDL720930 DNH720930 DXD720930 EGZ720930 EQV720930 FAR720930 FKN720930 FUJ720930 GEF720930 GOB720930 GXX720930 HHT720930 HRP720930 IBL720930 ILH720930 IVD720930 JEZ720930 JOV720930 JYR720930 KIN720930 KSJ720930 LCF720930 LMB720930 LVX720930 MFT720930 MPP720930 MZL720930 NJH720930 NTD720930 OCZ720930 OMV720930 OWR720930 PGN720930 PQJ720930 QAF720930 QKB720930 QTX720930 RDT720930 RNP720930 RXL720930 SHH720930 SRD720930 TAZ720930 TKV720930 TUR720930 UEN720930 UOJ720930 UYF720930 VIB720930 VRX720930 WBT720930 WLP720930 WVL720930 IZ786466 SV786466 ACR786466 AMN786466 AWJ786466 BGF786466 BQB786466 BZX786466 CJT786466 CTP786466 DDL786466 DNH786466 DXD786466 EGZ786466 EQV786466 FAR786466 FKN786466 FUJ786466 GEF786466 GOB786466 GXX786466 HHT786466 HRP786466 IBL786466 ILH786466 IVD786466 JEZ786466 JOV786466 JYR786466 KIN786466 KSJ786466 LCF786466 LMB786466 LVX786466 MFT786466 MPP786466 MZL786466 NJH786466 NTD786466 OCZ786466 OMV786466 OWR786466 PGN786466 PQJ786466 QAF786466 QKB786466 QTX786466 RDT786466 RNP786466 RXL786466 SHH786466 SRD786466 TAZ786466 TKV786466 TUR786466 UEN786466 UOJ786466 UYF786466 VIB786466 VRX786466 WBT786466 WLP786466 WVL786466 IZ852002 SV852002 ACR852002 AMN852002 AWJ852002 BGF852002 BQB852002 BZX852002 CJT852002 CTP852002 DDL852002 DNH852002 DXD852002 EGZ852002 EQV852002 FAR852002 FKN852002 FUJ852002 GEF852002 GOB852002 GXX852002 HHT852002 HRP852002 IBL852002 ILH852002 IVD852002 JEZ852002 JOV852002 JYR852002 KIN852002 KSJ852002 LCF852002 LMB852002 LVX852002 MFT852002 MPP852002 MZL852002 NJH852002 NTD852002 OCZ852002 OMV852002 OWR852002 PGN852002 PQJ852002 QAF852002 QKB852002 QTX852002 RDT852002 RNP852002 RXL852002 SHH852002 SRD852002 TAZ852002 TKV852002 TUR852002 UEN852002 UOJ852002 UYF852002 VIB852002 VRX852002 WBT852002 WLP852002 WVL852002 IZ917538 SV917538 ACR917538 AMN917538 AWJ917538 BGF917538 BQB917538 BZX917538 CJT917538 CTP917538 DDL917538 DNH917538 DXD917538 EGZ917538 EQV917538 FAR917538 FKN917538 FUJ917538 GEF917538 GOB917538 GXX917538 HHT917538 HRP917538 IBL917538 ILH917538 IVD917538 JEZ917538 JOV917538 JYR917538 KIN917538 KSJ917538 LCF917538 LMB917538 LVX917538 MFT917538 MPP917538 MZL917538 NJH917538 NTD917538 OCZ917538 OMV917538 OWR917538 PGN917538 PQJ917538 QAF917538 QKB917538 QTX917538 RDT917538 RNP917538 RXL917538 SHH917538 SRD917538 TAZ917538 TKV917538 TUR917538 UEN917538 UOJ917538 UYF917538 VIB917538 VRX917538 WBT917538 WLP917538 WVL917538 IZ983074 SV983074 ACR983074 AMN983074 AWJ983074 BGF983074 BQB983074 BZX983074 CJT983074 CTP983074 DDL983074 DNH983074 DXD983074 EGZ983074 EQV983074 FAR983074 FKN983074 FUJ983074 GEF983074 GOB983074 GXX983074 HHT983074 HRP983074 IBL983074 ILH983074 IVD983074 JEZ983074 JOV983074 JYR983074 KIN983074 KSJ983074 LCF983074 LMB983074 LVX983074 MFT983074 MPP983074 MZL983074 NJH983074 NTD983074 OCZ983074 OMV983074 OWR983074 PGN983074 PQJ983074 QAF983074 QKB983074 QTX983074 RDT983074 RNP983074 RXL983074 SHH983074 SRD983074 TAZ983074 TKV983074 TUR983074 UEN983074 UOJ983074 UYF983074 VIB983074 VRX983074 WBT983074 WLP983074 WVL983074 D32">
      <formula1>"$/1000 gallons (US),$/1000 litres,$/100 cubic feet (ccf)"</formula1>
    </dataValidation>
    <dataValidation type="list" allowBlank="1" showInputMessage="1" showErrorMessage="1" sqref="J25 JI24 TE24 ADA24 AMW24 AWS24 BGO24 BQK24 CAG24 CKC24 CTY24 DDU24 DNQ24 DXM24 EHI24 ERE24 FBA24 FKW24 FUS24 GEO24 GOK24 GYG24 HIC24 HRY24 IBU24 ILQ24 IVM24 JFI24 JPE24 JZA24 KIW24 KSS24 LCO24 LMK24 LWG24 MGC24 MPY24 MZU24 NJQ24 NTM24 ODI24 ONE24 OXA24 PGW24 PQS24 QAO24 QKK24 QUG24 REC24 RNY24 RXU24 SHQ24 SRM24 TBI24 TLE24 TVA24 UEW24 UOS24 UYO24 VIK24 VSG24 WCC24 WLY24 WVU24 M65561 JI65561 TE65561 ADA65561 AMW65561 AWS65561 BGO65561 BQK65561 CAG65561 CKC65561 CTY65561 DDU65561 DNQ65561 DXM65561 EHI65561 ERE65561 FBA65561 FKW65561 FUS65561 GEO65561 GOK65561 GYG65561 HIC65561 HRY65561 IBU65561 ILQ65561 IVM65561 JFI65561 JPE65561 JZA65561 KIW65561 KSS65561 LCO65561 LMK65561 LWG65561 MGC65561 MPY65561 MZU65561 NJQ65561 NTM65561 ODI65561 ONE65561 OXA65561 PGW65561 PQS65561 QAO65561 QKK65561 QUG65561 REC65561 RNY65561 RXU65561 SHQ65561 SRM65561 TBI65561 TLE65561 TVA65561 UEW65561 UOS65561 UYO65561 VIK65561 VSG65561 WCC65561 WLY65561 WVU65561 M131097 JI131097 TE131097 ADA131097 AMW131097 AWS131097 BGO131097 BQK131097 CAG131097 CKC131097 CTY131097 DDU131097 DNQ131097 DXM131097 EHI131097 ERE131097 FBA131097 FKW131097 FUS131097 GEO131097 GOK131097 GYG131097 HIC131097 HRY131097 IBU131097 ILQ131097 IVM131097 JFI131097 JPE131097 JZA131097 KIW131097 KSS131097 LCO131097 LMK131097 LWG131097 MGC131097 MPY131097 MZU131097 NJQ131097 NTM131097 ODI131097 ONE131097 OXA131097 PGW131097 PQS131097 QAO131097 QKK131097 QUG131097 REC131097 RNY131097 RXU131097 SHQ131097 SRM131097 TBI131097 TLE131097 TVA131097 UEW131097 UOS131097 UYO131097 VIK131097 VSG131097 WCC131097 WLY131097 WVU131097 M196633 JI196633 TE196633 ADA196633 AMW196633 AWS196633 BGO196633 BQK196633 CAG196633 CKC196633 CTY196633 DDU196633 DNQ196633 DXM196633 EHI196633 ERE196633 FBA196633 FKW196633 FUS196633 GEO196633 GOK196633 GYG196633 HIC196633 HRY196633 IBU196633 ILQ196633 IVM196633 JFI196633 JPE196633 JZA196633 KIW196633 KSS196633 LCO196633 LMK196633 LWG196633 MGC196633 MPY196633 MZU196633 NJQ196633 NTM196633 ODI196633 ONE196633 OXA196633 PGW196633 PQS196633 QAO196633 QKK196633 QUG196633 REC196633 RNY196633 RXU196633 SHQ196633 SRM196633 TBI196633 TLE196633 TVA196633 UEW196633 UOS196633 UYO196633 VIK196633 VSG196633 WCC196633 WLY196633 WVU196633 M262169 JI262169 TE262169 ADA262169 AMW262169 AWS262169 BGO262169 BQK262169 CAG262169 CKC262169 CTY262169 DDU262169 DNQ262169 DXM262169 EHI262169 ERE262169 FBA262169 FKW262169 FUS262169 GEO262169 GOK262169 GYG262169 HIC262169 HRY262169 IBU262169 ILQ262169 IVM262169 JFI262169 JPE262169 JZA262169 KIW262169 KSS262169 LCO262169 LMK262169 LWG262169 MGC262169 MPY262169 MZU262169 NJQ262169 NTM262169 ODI262169 ONE262169 OXA262169 PGW262169 PQS262169 QAO262169 QKK262169 QUG262169 REC262169 RNY262169 RXU262169 SHQ262169 SRM262169 TBI262169 TLE262169 TVA262169 UEW262169 UOS262169 UYO262169 VIK262169 VSG262169 WCC262169 WLY262169 WVU262169 M327705 JI327705 TE327705 ADA327705 AMW327705 AWS327705 BGO327705 BQK327705 CAG327705 CKC327705 CTY327705 DDU327705 DNQ327705 DXM327705 EHI327705 ERE327705 FBA327705 FKW327705 FUS327705 GEO327705 GOK327705 GYG327705 HIC327705 HRY327705 IBU327705 ILQ327705 IVM327705 JFI327705 JPE327705 JZA327705 KIW327705 KSS327705 LCO327705 LMK327705 LWG327705 MGC327705 MPY327705 MZU327705 NJQ327705 NTM327705 ODI327705 ONE327705 OXA327705 PGW327705 PQS327705 QAO327705 QKK327705 QUG327705 REC327705 RNY327705 RXU327705 SHQ327705 SRM327705 TBI327705 TLE327705 TVA327705 UEW327705 UOS327705 UYO327705 VIK327705 VSG327705 WCC327705 WLY327705 WVU327705 M393241 JI393241 TE393241 ADA393241 AMW393241 AWS393241 BGO393241 BQK393241 CAG393241 CKC393241 CTY393241 DDU393241 DNQ393241 DXM393241 EHI393241 ERE393241 FBA393241 FKW393241 FUS393241 GEO393241 GOK393241 GYG393241 HIC393241 HRY393241 IBU393241 ILQ393241 IVM393241 JFI393241 JPE393241 JZA393241 KIW393241 KSS393241 LCO393241 LMK393241 LWG393241 MGC393241 MPY393241 MZU393241 NJQ393241 NTM393241 ODI393241 ONE393241 OXA393241 PGW393241 PQS393241 QAO393241 QKK393241 QUG393241 REC393241 RNY393241 RXU393241 SHQ393241 SRM393241 TBI393241 TLE393241 TVA393241 UEW393241 UOS393241 UYO393241 VIK393241 VSG393241 WCC393241 WLY393241 WVU393241 M458777 JI458777 TE458777 ADA458777 AMW458777 AWS458777 BGO458777 BQK458777 CAG458777 CKC458777 CTY458777 DDU458777 DNQ458777 DXM458777 EHI458777 ERE458777 FBA458777 FKW458777 FUS458777 GEO458777 GOK458777 GYG458777 HIC458777 HRY458777 IBU458777 ILQ458777 IVM458777 JFI458777 JPE458777 JZA458777 KIW458777 KSS458777 LCO458777 LMK458777 LWG458777 MGC458777 MPY458777 MZU458777 NJQ458777 NTM458777 ODI458777 ONE458777 OXA458777 PGW458777 PQS458777 QAO458777 QKK458777 QUG458777 REC458777 RNY458777 RXU458777 SHQ458777 SRM458777 TBI458777 TLE458777 TVA458777 UEW458777 UOS458777 UYO458777 VIK458777 VSG458777 WCC458777 WLY458777 WVU458777 M524313 JI524313 TE524313 ADA524313 AMW524313 AWS524313 BGO524313 BQK524313 CAG524313 CKC524313 CTY524313 DDU524313 DNQ524313 DXM524313 EHI524313 ERE524313 FBA524313 FKW524313 FUS524313 GEO524313 GOK524313 GYG524313 HIC524313 HRY524313 IBU524313 ILQ524313 IVM524313 JFI524313 JPE524313 JZA524313 KIW524313 KSS524313 LCO524313 LMK524313 LWG524313 MGC524313 MPY524313 MZU524313 NJQ524313 NTM524313 ODI524313 ONE524313 OXA524313 PGW524313 PQS524313 QAO524313 QKK524313 QUG524313 REC524313 RNY524313 RXU524313 SHQ524313 SRM524313 TBI524313 TLE524313 TVA524313 UEW524313 UOS524313 UYO524313 VIK524313 VSG524313 WCC524313 WLY524313 WVU524313 M589849 JI589849 TE589849 ADA589849 AMW589849 AWS589849 BGO589849 BQK589849 CAG589849 CKC589849 CTY589849 DDU589849 DNQ589849 DXM589849 EHI589849 ERE589849 FBA589849 FKW589849 FUS589849 GEO589849 GOK589849 GYG589849 HIC589849 HRY589849 IBU589849 ILQ589849 IVM589849 JFI589849 JPE589849 JZA589849 KIW589849 KSS589849 LCO589849 LMK589849 LWG589849 MGC589849 MPY589849 MZU589849 NJQ589849 NTM589849 ODI589849 ONE589849 OXA589849 PGW589849 PQS589849 QAO589849 QKK589849 QUG589849 REC589849 RNY589849 RXU589849 SHQ589849 SRM589849 TBI589849 TLE589849 TVA589849 UEW589849 UOS589849 UYO589849 VIK589849 VSG589849 WCC589849 WLY589849 WVU589849 M655385 JI655385 TE655385 ADA655385 AMW655385 AWS655385 BGO655385 BQK655385 CAG655385 CKC655385 CTY655385 DDU655385 DNQ655385 DXM655385 EHI655385 ERE655385 FBA655385 FKW655385 FUS655385 GEO655385 GOK655385 GYG655385 HIC655385 HRY655385 IBU655385 ILQ655385 IVM655385 JFI655385 JPE655385 JZA655385 KIW655385 KSS655385 LCO655385 LMK655385 LWG655385 MGC655385 MPY655385 MZU655385 NJQ655385 NTM655385 ODI655385 ONE655385 OXA655385 PGW655385 PQS655385 QAO655385 QKK655385 QUG655385 REC655385 RNY655385 RXU655385 SHQ655385 SRM655385 TBI655385 TLE655385 TVA655385 UEW655385 UOS655385 UYO655385 VIK655385 VSG655385 WCC655385 WLY655385 WVU655385 M720921 JI720921 TE720921 ADA720921 AMW720921 AWS720921 BGO720921 BQK720921 CAG720921 CKC720921 CTY720921 DDU720921 DNQ720921 DXM720921 EHI720921 ERE720921 FBA720921 FKW720921 FUS720921 GEO720921 GOK720921 GYG720921 HIC720921 HRY720921 IBU720921 ILQ720921 IVM720921 JFI720921 JPE720921 JZA720921 KIW720921 KSS720921 LCO720921 LMK720921 LWG720921 MGC720921 MPY720921 MZU720921 NJQ720921 NTM720921 ODI720921 ONE720921 OXA720921 PGW720921 PQS720921 QAO720921 QKK720921 QUG720921 REC720921 RNY720921 RXU720921 SHQ720921 SRM720921 TBI720921 TLE720921 TVA720921 UEW720921 UOS720921 UYO720921 VIK720921 VSG720921 WCC720921 WLY720921 WVU720921 M786457 JI786457 TE786457 ADA786457 AMW786457 AWS786457 BGO786457 BQK786457 CAG786457 CKC786457 CTY786457 DDU786457 DNQ786457 DXM786457 EHI786457 ERE786457 FBA786457 FKW786457 FUS786457 GEO786457 GOK786457 GYG786457 HIC786457 HRY786457 IBU786457 ILQ786457 IVM786457 JFI786457 JPE786457 JZA786457 KIW786457 KSS786457 LCO786457 LMK786457 LWG786457 MGC786457 MPY786457 MZU786457 NJQ786457 NTM786457 ODI786457 ONE786457 OXA786457 PGW786457 PQS786457 QAO786457 QKK786457 QUG786457 REC786457 RNY786457 RXU786457 SHQ786457 SRM786457 TBI786457 TLE786457 TVA786457 UEW786457 UOS786457 UYO786457 VIK786457 VSG786457 WCC786457 WLY786457 WVU786457 M851993 JI851993 TE851993 ADA851993 AMW851993 AWS851993 BGO851993 BQK851993 CAG851993 CKC851993 CTY851993 DDU851993 DNQ851993 DXM851993 EHI851993 ERE851993 FBA851993 FKW851993 FUS851993 GEO851993 GOK851993 GYG851993 HIC851993 HRY851993 IBU851993 ILQ851993 IVM851993 JFI851993 JPE851993 JZA851993 KIW851993 KSS851993 LCO851993 LMK851993 LWG851993 MGC851993 MPY851993 MZU851993 NJQ851993 NTM851993 ODI851993 ONE851993 OXA851993 PGW851993 PQS851993 QAO851993 QKK851993 QUG851993 REC851993 RNY851993 RXU851993 SHQ851993 SRM851993 TBI851993 TLE851993 TVA851993 UEW851993 UOS851993 UYO851993 VIK851993 VSG851993 WCC851993 WLY851993 WVU851993 M917529 JI917529 TE917529 ADA917529 AMW917529 AWS917529 BGO917529 BQK917529 CAG917529 CKC917529 CTY917529 DDU917529 DNQ917529 DXM917529 EHI917529 ERE917529 FBA917529 FKW917529 FUS917529 GEO917529 GOK917529 GYG917529 HIC917529 HRY917529 IBU917529 ILQ917529 IVM917529 JFI917529 JPE917529 JZA917529 KIW917529 KSS917529 LCO917529 LMK917529 LWG917529 MGC917529 MPY917529 MZU917529 NJQ917529 NTM917529 ODI917529 ONE917529 OXA917529 PGW917529 PQS917529 QAO917529 QKK917529 QUG917529 REC917529 RNY917529 RXU917529 SHQ917529 SRM917529 TBI917529 TLE917529 TVA917529 UEW917529 UOS917529 UYO917529 VIK917529 VSG917529 WCC917529 WLY917529 WVU917529 M983065 JI983065 TE983065 ADA983065 AMW983065 AWS983065 BGO983065 BQK983065 CAG983065 CKC983065 CTY983065 DDU983065 DNQ983065 DXM983065 EHI983065 ERE983065 FBA983065 FKW983065 FUS983065 GEO983065 GOK983065 GYG983065 HIC983065 HRY983065 IBU983065 ILQ983065 IVM983065 JFI983065 JPE983065 JZA983065 KIW983065 KSS983065 LCO983065 LMK983065 LWG983065 MGC983065 MPY983065 MZU983065 NJQ983065 NTM983065 ODI983065 ONE983065 OXA983065 PGW983065 PQS983065 QAO983065 QKK983065 QUG983065 REC983065 RNY983065 RXU983065 SHQ983065 SRM983065 TBI983065 TLE983065 TVA983065 UEW983065 UOS983065 UYO983065 VIK983065 VSG983065 WCC983065 WLY983065 WVU983065 JF24 TB24 ACX24 AMT24 AWP24 BGL24 BQH24 CAD24 CJZ24 CTV24 DDR24 DNN24 DXJ24 EHF24 ERB24 FAX24 FKT24 FUP24 GEL24 GOH24 GYD24 HHZ24 HRV24 IBR24 ILN24 IVJ24 JFF24 JPB24 JYX24 KIT24 KSP24 LCL24 LMH24 LWD24 MFZ24 MPV24 MZR24 NJN24 NTJ24 ODF24 ONB24 OWX24 PGT24 PQP24 QAL24 QKH24 QUD24 RDZ24 RNV24 RXR24 SHN24 SRJ24 TBF24 TLB24 TUX24 UET24 UOP24 UYL24 VIH24 VSD24 WBZ24 WLV24 WVR24 JF65561 TB65561 ACX65561 AMT65561 AWP65561 BGL65561 BQH65561 CAD65561 CJZ65561 CTV65561 DDR65561 DNN65561 DXJ65561 EHF65561 ERB65561 FAX65561 FKT65561 FUP65561 GEL65561 GOH65561 GYD65561 HHZ65561 HRV65561 IBR65561 ILN65561 IVJ65561 JFF65561 JPB65561 JYX65561 KIT65561 KSP65561 LCL65561 LMH65561 LWD65561 MFZ65561 MPV65561 MZR65561 NJN65561 NTJ65561 ODF65561 ONB65561 OWX65561 PGT65561 PQP65561 QAL65561 QKH65561 QUD65561 RDZ65561 RNV65561 RXR65561 SHN65561 SRJ65561 TBF65561 TLB65561 TUX65561 UET65561 UOP65561 UYL65561 VIH65561 VSD65561 WBZ65561 WLV65561 WVR65561 JF131097 TB131097 ACX131097 AMT131097 AWP131097 BGL131097 BQH131097 CAD131097 CJZ131097 CTV131097 DDR131097 DNN131097 DXJ131097 EHF131097 ERB131097 FAX131097 FKT131097 FUP131097 GEL131097 GOH131097 GYD131097 HHZ131097 HRV131097 IBR131097 ILN131097 IVJ131097 JFF131097 JPB131097 JYX131097 KIT131097 KSP131097 LCL131097 LMH131097 LWD131097 MFZ131097 MPV131097 MZR131097 NJN131097 NTJ131097 ODF131097 ONB131097 OWX131097 PGT131097 PQP131097 QAL131097 QKH131097 QUD131097 RDZ131097 RNV131097 RXR131097 SHN131097 SRJ131097 TBF131097 TLB131097 TUX131097 UET131097 UOP131097 UYL131097 VIH131097 VSD131097 WBZ131097 WLV131097 WVR131097 JF196633 TB196633 ACX196633 AMT196633 AWP196633 BGL196633 BQH196633 CAD196633 CJZ196633 CTV196633 DDR196633 DNN196633 DXJ196633 EHF196633 ERB196633 FAX196633 FKT196633 FUP196633 GEL196633 GOH196633 GYD196633 HHZ196633 HRV196633 IBR196633 ILN196633 IVJ196633 JFF196633 JPB196633 JYX196633 KIT196633 KSP196633 LCL196633 LMH196633 LWD196633 MFZ196633 MPV196633 MZR196633 NJN196633 NTJ196633 ODF196633 ONB196633 OWX196633 PGT196633 PQP196633 QAL196633 QKH196633 QUD196633 RDZ196633 RNV196633 RXR196633 SHN196633 SRJ196633 TBF196633 TLB196633 TUX196633 UET196633 UOP196633 UYL196633 VIH196633 VSD196633 WBZ196633 WLV196633 WVR196633 JF262169 TB262169 ACX262169 AMT262169 AWP262169 BGL262169 BQH262169 CAD262169 CJZ262169 CTV262169 DDR262169 DNN262169 DXJ262169 EHF262169 ERB262169 FAX262169 FKT262169 FUP262169 GEL262169 GOH262169 GYD262169 HHZ262169 HRV262169 IBR262169 ILN262169 IVJ262169 JFF262169 JPB262169 JYX262169 KIT262169 KSP262169 LCL262169 LMH262169 LWD262169 MFZ262169 MPV262169 MZR262169 NJN262169 NTJ262169 ODF262169 ONB262169 OWX262169 PGT262169 PQP262169 QAL262169 QKH262169 QUD262169 RDZ262169 RNV262169 RXR262169 SHN262169 SRJ262169 TBF262169 TLB262169 TUX262169 UET262169 UOP262169 UYL262169 VIH262169 VSD262169 WBZ262169 WLV262169 WVR262169 JF327705 TB327705 ACX327705 AMT327705 AWP327705 BGL327705 BQH327705 CAD327705 CJZ327705 CTV327705 DDR327705 DNN327705 DXJ327705 EHF327705 ERB327705 FAX327705 FKT327705 FUP327705 GEL327705 GOH327705 GYD327705 HHZ327705 HRV327705 IBR327705 ILN327705 IVJ327705 JFF327705 JPB327705 JYX327705 KIT327705 KSP327705 LCL327705 LMH327705 LWD327705 MFZ327705 MPV327705 MZR327705 NJN327705 NTJ327705 ODF327705 ONB327705 OWX327705 PGT327705 PQP327705 QAL327705 QKH327705 QUD327705 RDZ327705 RNV327705 RXR327705 SHN327705 SRJ327705 TBF327705 TLB327705 TUX327705 UET327705 UOP327705 UYL327705 VIH327705 VSD327705 WBZ327705 WLV327705 WVR327705 JF393241 TB393241 ACX393241 AMT393241 AWP393241 BGL393241 BQH393241 CAD393241 CJZ393241 CTV393241 DDR393241 DNN393241 DXJ393241 EHF393241 ERB393241 FAX393241 FKT393241 FUP393241 GEL393241 GOH393241 GYD393241 HHZ393241 HRV393241 IBR393241 ILN393241 IVJ393241 JFF393241 JPB393241 JYX393241 KIT393241 KSP393241 LCL393241 LMH393241 LWD393241 MFZ393241 MPV393241 MZR393241 NJN393241 NTJ393241 ODF393241 ONB393241 OWX393241 PGT393241 PQP393241 QAL393241 QKH393241 QUD393241 RDZ393241 RNV393241 RXR393241 SHN393241 SRJ393241 TBF393241 TLB393241 TUX393241 UET393241 UOP393241 UYL393241 VIH393241 VSD393241 WBZ393241 WLV393241 WVR393241 JF458777 TB458777 ACX458777 AMT458777 AWP458777 BGL458777 BQH458777 CAD458777 CJZ458777 CTV458777 DDR458777 DNN458777 DXJ458777 EHF458777 ERB458777 FAX458777 FKT458777 FUP458777 GEL458777 GOH458777 GYD458777 HHZ458777 HRV458777 IBR458777 ILN458777 IVJ458777 JFF458777 JPB458777 JYX458777 KIT458777 KSP458777 LCL458777 LMH458777 LWD458777 MFZ458777 MPV458777 MZR458777 NJN458777 NTJ458777 ODF458777 ONB458777 OWX458777 PGT458777 PQP458777 QAL458777 QKH458777 QUD458777 RDZ458777 RNV458777 RXR458777 SHN458777 SRJ458777 TBF458777 TLB458777 TUX458777 UET458777 UOP458777 UYL458777 VIH458777 VSD458777 WBZ458777 WLV458777 WVR458777 JF524313 TB524313 ACX524313 AMT524313 AWP524313 BGL524313 BQH524313 CAD524313 CJZ524313 CTV524313 DDR524313 DNN524313 DXJ524313 EHF524313 ERB524313 FAX524313 FKT524313 FUP524313 GEL524313 GOH524313 GYD524313 HHZ524313 HRV524313 IBR524313 ILN524313 IVJ524313 JFF524313 JPB524313 JYX524313 KIT524313 KSP524313 LCL524313 LMH524313 LWD524313 MFZ524313 MPV524313 MZR524313 NJN524313 NTJ524313 ODF524313 ONB524313 OWX524313 PGT524313 PQP524313 QAL524313 QKH524313 QUD524313 RDZ524313 RNV524313 RXR524313 SHN524313 SRJ524313 TBF524313 TLB524313 TUX524313 UET524313 UOP524313 UYL524313 VIH524313 VSD524313 WBZ524313 WLV524313 WVR524313 JF589849 TB589849 ACX589849 AMT589849 AWP589849 BGL589849 BQH589849 CAD589849 CJZ589849 CTV589849 DDR589849 DNN589849 DXJ589849 EHF589849 ERB589849 FAX589849 FKT589849 FUP589849 GEL589849 GOH589849 GYD589849 HHZ589849 HRV589849 IBR589849 ILN589849 IVJ589849 JFF589849 JPB589849 JYX589849 KIT589849 KSP589849 LCL589849 LMH589849 LWD589849 MFZ589849 MPV589849 MZR589849 NJN589849 NTJ589849 ODF589849 ONB589849 OWX589849 PGT589849 PQP589849 QAL589849 QKH589849 QUD589849 RDZ589849 RNV589849 RXR589849 SHN589849 SRJ589849 TBF589849 TLB589849 TUX589849 UET589849 UOP589849 UYL589849 VIH589849 VSD589849 WBZ589849 WLV589849 WVR589849 JF655385 TB655385 ACX655385 AMT655385 AWP655385 BGL655385 BQH655385 CAD655385 CJZ655385 CTV655385 DDR655385 DNN655385 DXJ655385 EHF655385 ERB655385 FAX655385 FKT655385 FUP655385 GEL655385 GOH655385 GYD655385 HHZ655385 HRV655385 IBR655385 ILN655385 IVJ655385 JFF655385 JPB655385 JYX655385 KIT655385 KSP655385 LCL655385 LMH655385 LWD655385 MFZ655385 MPV655385 MZR655385 NJN655385 NTJ655385 ODF655385 ONB655385 OWX655385 PGT655385 PQP655385 QAL655385 QKH655385 QUD655385 RDZ655385 RNV655385 RXR655385 SHN655385 SRJ655385 TBF655385 TLB655385 TUX655385 UET655385 UOP655385 UYL655385 VIH655385 VSD655385 WBZ655385 WLV655385 WVR655385 JF720921 TB720921 ACX720921 AMT720921 AWP720921 BGL720921 BQH720921 CAD720921 CJZ720921 CTV720921 DDR720921 DNN720921 DXJ720921 EHF720921 ERB720921 FAX720921 FKT720921 FUP720921 GEL720921 GOH720921 GYD720921 HHZ720921 HRV720921 IBR720921 ILN720921 IVJ720921 JFF720921 JPB720921 JYX720921 KIT720921 KSP720921 LCL720921 LMH720921 LWD720921 MFZ720921 MPV720921 MZR720921 NJN720921 NTJ720921 ODF720921 ONB720921 OWX720921 PGT720921 PQP720921 QAL720921 QKH720921 QUD720921 RDZ720921 RNV720921 RXR720921 SHN720921 SRJ720921 TBF720921 TLB720921 TUX720921 UET720921 UOP720921 UYL720921 VIH720921 VSD720921 WBZ720921 WLV720921 WVR720921 JF786457 TB786457 ACX786457 AMT786457 AWP786457 BGL786457 BQH786457 CAD786457 CJZ786457 CTV786457 DDR786457 DNN786457 DXJ786457 EHF786457 ERB786457 FAX786457 FKT786457 FUP786457 GEL786457 GOH786457 GYD786457 HHZ786457 HRV786457 IBR786457 ILN786457 IVJ786457 JFF786457 JPB786457 JYX786457 KIT786457 KSP786457 LCL786457 LMH786457 LWD786457 MFZ786457 MPV786457 MZR786457 NJN786457 NTJ786457 ODF786457 ONB786457 OWX786457 PGT786457 PQP786457 QAL786457 QKH786457 QUD786457 RDZ786457 RNV786457 RXR786457 SHN786457 SRJ786457 TBF786457 TLB786457 TUX786457 UET786457 UOP786457 UYL786457 VIH786457 VSD786457 WBZ786457 WLV786457 WVR786457 JF851993 TB851993 ACX851993 AMT851993 AWP851993 BGL851993 BQH851993 CAD851993 CJZ851993 CTV851993 DDR851993 DNN851993 DXJ851993 EHF851993 ERB851993 FAX851993 FKT851993 FUP851993 GEL851993 GOH851993 GYD851993 HHZ851993 HRV851993 IBR851993 ILN851993 IVJ851993 JFF851993 JPB851993 JYX851993 KIT851993 KSP851993 LCL851993 LMH851993 LWD851993 MFZ851993 MPV851993 MZR851993 NJN851993 NTJ851993 ODF851993 ONB851993 OWX851993 PGT851993 PQP851993 QAL851993 QKH851993 QUD851993 RDZ851993 RNV851993 RXR851993 SHN851993 SRJ851993 TBF851993 TLB851993 TUX851993 UET851993 UOP851993 UYL851993 VIH851993 VSD851993 WBZ851993 WLV851993 WVR851993 JF917529 TB917529 ACX917529 AMT917529 AWP917529 BGL917529 BQH917529 CAD917529 CJZ917529 CTV917529 DDR917529 DNN917529 DXJ917529 EHF917529 ERB917529 FAX917529 FKT917529 FUP917529 GEL917529 GOH917529 GYD917529 HHZ917529 HRV917529 IBR917529 ILN917529 IVJ917529 JFF917529 JPB917529 JYX917529 KIT917529 KSP917529 LCL917529 LMH917529 LWD917529 MFZ917529 MPV917529 MZR917529 NJN917529 NTJ917529 ODF917529 ONB917529 OWX917529 PGT917529 PQP917529 QAL917529 QKH917529 QUD917529 RDZ917529 RNV917529 RXR917529 SHN917529 SRJ917529 TBF917529 TLB917529 TUX917529 UET917529 UOP917529 UYL917529 VIH917529 VSD917529 WBZ917529 WLV917529 WVR917529 JF983065 TB983065 ACX983065 AMT983065 AWP983065 BGL983065 BQH983065 CAD983065 CJZ983065 CTV983065 DDR983065 DNN983065 DXJ983065 EHF983065 ERB983065 FAX983065 FKT983065 FUP983065 GEL983065 GOH983065 GYD983065 HHZ983065 HRV983065 IBR983065 ILN983065 IVJ983065 JFF983065 JPB983065 JYX983065 KIT983065 KSP983065 LCL983065 LMH983065 LWD983065 MFZ983065 MPV983065 MZR983065 NJN983065 NTJ983065 ODF983065 ONB983065 OWX983065 PGT983065 PQP983065 QAL983065 QKH983065 QUD983065 RDZ983065 RNV983065 RXR983065 SHN983065 SRJ983065 TBF983065 TLB983065 TUX983065 UET983065 UOP983065 UYL983065 VIH983065 VSD983065 WBZ983065 WLV983065 WVR983065 J983064 J917528 J851992 J786456 J720920 J655384 J589848 J524312 J458776 J393240 J327704 J262168 J196632 J131096 J65560 M26">
      <formula1>"Million Gallons (US),Megalitres (thousand cubic metres),Acre-feet"</formula1>
    </dataValidation>
  </dataValidations>
  <pageMargins left="0.75" right="0.75" top="1" bottom="1" header="0.5" footer="0.5"/>
  <pageSetup orientation="portrait" horizontalDpi="4294967293"/>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structions"/>
  <dimension ref="A1:XFC101"/>
  <sheetViews>
    <sheetView tabSelected="1" zoomScale="80" zoomScaleNormal="80" workbookViewId="0">
      <selection activeCell="A5" sqref="A5:J7"/>
    </sheetView>
  </sheetViews>
  <sheetFormatPr defaultColWidth="0" defaultRowHeight="15.5" zeroHeight="1"/>
  <cols>
    <col min="1" max="1" width="8.84375" style="884" customWidth="1"/>
    <col min="2" max="2" width="11.07421875" style="884" customWidth="1"/>
    <col min="3" max="3" width="10.84375" style="884" customWidth="1"/>
    <col min="4" max="4" width="8.84375" style="884" customWidth="1"/>
    <col min="5" max="5" width="10.53515625" style="884" customWidth="1"/>
    <col min="6" max="6" width="8.84375" style="884" customWidth="1"/>
    <col min="7" max="7" width="11.4609375" style="884" customWidth="1"/>
    <col min="8" max="8" width="8.84375" style="884" customWidth="1"/>
    <col min="9" max="9" width="9.4609375" style="884" customWidth="1"/>
    <col min="10" max="10" width="12.07421875" style="884" customWidth="1"/>
    <col min="11" max="18" width="0" style="884" hidden="1" customWidth="1"/>
    <col min="19" max="16383" width="8.84375" style="884" hidden="1"/>
    <col min="16384" max="16384" width="6.84375" style="884" hidden="1" customWidth="1"/>
  </cols>
  <sheetData>
    <row r="1" spans="1:10" s="895" customFormat="1" ht="15.75" customHeight="1">
      <c r="A1" s="938" t="s">
        <v>920</v>
      </c>
      <c r="B1" s="939"/>
      <c r="C1" s="939"/>
      <c r="D1" s="939"/>
      <c r="E1" s="939"/>
      <c r="F1" s="939"/>
      <c r="G1" s="939"/>
      <c r="H1" s="939"/>
      <c r="I1" s="939"/>
      <c r="J1" s="518"/>
    </row>
    <row r="2" spans="1:10" ht="15.75" customHeight="1">
      <c r="A2" s="940"/>
      <c r="B2" s="941"/>
      <c r="C2" s="941"/>
      <c r="D2" s="941"/>
      <c r="E2" s="941"/>
      <c r="F2" s="941"/>
      <c r="G2" s="941"/>
      <c r="H2" s="941"/>
      <c r="I2" s="941"/>
      <c r="J2" s="521"/>
    </row>
    <row r="3" spans="1:10" s="988" customFormat="1">
      <c r="A3" s="988" t="str">
        <f>IF('Start Page'!$Y$37="","",IF('Start Page'!$K$37="Partial Audit Period","Water Audit: "&amp;'Start Page'!$D$26&amp;", "&amp;'Start Page'!$H$26&amp;", "&amp;'Start Page'!$K$26&amp;", "&amp;'Start Page'!$Y$37,"Water Audit: "&amp;'Start Page'!$D$26&amp;", "&amp;'Start Page'!$H$26&amp;", "&amp;'Start Page'!$K$26&amp;", "&amp;YEAR('Start Page'!$Y$37)))</f>
        <v/>
      </c>
      <c r="B3" s="989"/>
      <c r="C3" s="989"/>
      <c r="D3" s="989"/>
      <c r="E3" s="989"/>
      <c r="F3" s="989"/>
      <c r="G3" s="989"/>
      <c r="H3" s="989"/>
      <c r="I3" s="989"/>
      <c r="J3" s="989"/>
    </row>
    <row r="4" spans="1:10" ht="16" thickBot="1">
      <c r="A4" s="400" t="s">
        <v>812</v>
      </c>
      <c r="B4" s="401"/>
      <c r="C4" s="391"/>
      <c r="D4" s="522"/>
      <c r="E4" s="522"/>
      <c r="F4" s="522"/>
      <c r="G4" s="522"/>
      <c r="H4" s="522"/>
      <c r="I4" s="522"/>
      <c r="J4" s="523"/>
    </row>
    <row r="5" spans="1:10" ht="93" customHeight="1">
      <c r="A5" s="964" t="s">
        <v>918</v>
      </c>
      <c r="B5" s="965"/>
      <c r="C5" s="965"/>
      <c r="D5" s="965"/>
      <c r="E5" s="965"/>
      <c r="F5" s="965"/>
      <c r="G5" s="965"/>
      <c r="H5" s="965"/>
      <c r="I5" s="965"/>
      <c r="J5" s="966"/>
    </row>
    <row r="6" spans="1:10" ht="93" customHeight="1">
      <c r="A6" s="933"/>
      <c r="B6" s="934"/>
      <c r="C6" s="934"/>
      <c r="D6" s="934"/>
      <c r="E6" s="934"/>
      <c r="F6" s="934"/>
      <c r="G6" s="934"/>
      <c r="H6" s="934"/>
      <c r="I6" s="934"/>
      <c r="J6" s="935"/>
    </row>
    <row r="7" spans="1:10" ht="93" customHeight="1" thickBot="1">
      <c r="A7" s="946"/>
      <c r="B7" s="947"/>
      <c r="C7" s="947"/>
      <c r="D7" s="947"/>
      <c r="E7" s="947"/>
      <c r="F7" s="947"/>
      <c r="G7" s="947"/>
      <c r="H7" s="947"/>
      <c r="I7" s="947"/>
      <c r="J7" s="948"/>
    </row>
    <row r="8" spans="1:10" ht="51.75" customHeight="1" thickBot="1">
      <c r="A8" s="985" t="s">
        <v>894</v>
      </c>
      <c r="B8" s="986"/>
      <c r="C8" s="986"/>
      <c r="D8" s="986"/>
      <c r="E8" s="986"/>
      <c r="F8" s="986"/>
      <c r="G8" s="986"/>
      <c r="H8" s="986"/>
      <c r="I8" s="986"/>
      <c r="J8" s="987"/>
    </row>
    <row r="9" spans="1:10" s="896" customFormat="1" ht="39.75" customHeight="1" thickBot="1">
      <c r="A9" s="967" t="s">
        <v>763</v>
      </c>
      <c r="B9" s="968"/>
      <c r="C9" s="968"/>
      <c r="D9" s="968"/>
      <c r="E9" s="968"/>
      <c r="F9" s="968"/>
      <c r="G9" s="968"/>
      <c r="H9" s="968"/>
      <c r="I9" s="968"/>
      <c r="J9" s="969"/>
    </row>
    <row r="10" spans="1:10" s="896" customFormat="1" ht="65.25" customHeight="1" thickBot="1">
      <c r="A10" s="979" t="s">
        <v>898</v>
      </c>
      <c r="B10" s="980"/>
      <c r="C10" s="980"/>
      <c r="D10" s="980"/>
      <c r="E10" s="980"/>
      <c r="F10" s="980"/>
      <c r="G10" s="980"/>
      <c r="H10" s="980"/>
      <c r="I10" s="980"/>
      <c r="J10" s="981"/>
    </row>
    <row r="11" spans="1:10" s="897" customFormat="1" ht="43.5" customHeight="1" thickBot="1">
      <c r="A11" s="982" t="s">
        <v>874</v>
      </c>
      <c r="B11" s="983"/>
      <c r="C11" s="983"/>
      <c r="D11" s="983"/>
      <c r="E11" s="983"/>
      <c r="F11" s="983"/>
      <c r="G11" s="983"/>
      <c r="H11" s="983"/>
      <c r="I11" s="983"/>
      <c r="J11" s="984"/>
    </row>
    <row r="12" spans="1:10" s="896" customFormat="1">
      <c r="A12" s="898"/>
      <c r="B12" s="524"/>
      <c r="C12" s="524"/>
      <c r="D12" s="524"/>
      <c r="E12" s="524"/>
      <c r="F12" s="524"/>
      <c r="G12" s="524"/>
      <c r="H12" s="524"/>
      <c r="I12" s="524"/>
      <c r="J12" s="524"/>
    </row>
    <row r="13" spans="1:10">
      <c r="A13" s="973" t="s">
        <v>813</v>
      </c>
      <c r="B13" s="974"/>
      <c r="C13" s="974"/>
      <c r="D13" s="974"/>
      <c r="E13" s="974"/>
      <c r="F13" s="974"/>
      <c r="G13" s="974"/>
      <c r="H13" s="974"/>
      <c r="I13" s="974"/>
      <c r="J13" s="975"/>
    </row>
    <row r="14" spans="1:10" s="899" customFormat="1" ht="53.25" customHeight="1">
      <c r="A14" s="933" t="s">
        <v>861</v>
      </c>
      <c r="B14" s="934"/>
      <c r="C14" s="934"/>
      <c r="D14" s="934"/>
      <c r="E14" s="934"/>
      <c r="F14" s="934"/>
      <c r="G14" s="934"/>
      <c r="H14" s="934"/>
      <c r="I14" s="934"/>
      <c r="J14" s="935"/>
    </row>
    <row r="15" spans="1:10" ht="19.5" customHeight="1">
      <c r="A15" s="900" t="s">
        <v>849</v>
      </c>
      <c r="B15" s="934" t="s">
        <v>822</v>
      </c>
      <c r="C15" s="934"/>
      <c r="D15" s="934"/>
      <c r="E15" s="934"/>
      <c r="F15" s="934"/>
      <c r="G15" s="934"/>
      <c r="H15" s="934"/>
      <c r="I15" s="934"/>
      <c r="J15" s="935"/>
    </row>
    <row r="16" spans="1:10" ht="37.5" customHeight="1">
      <c r="A16" s="900" t="s">
        <v>849</v>
      </c>
      <c r="B16" s="934" t="s">
        <v>865</v>
      </c>
      <c r="C16" s="934"/>
      <c r="D16" s="934"/>
      <c r="E16" s="934"/>
      <c r="F16" s="934"/>
      <c r="G16" s="934"/>
      <c r="H16" s="934"/>
      <c r="I16" s="934"/>
      <c r="J16" s="935"/>
    </row>
    <row r="17" spans="1:10" ht="35.25" customHeight="1">
      <c r="A17" s="900" t="s">
        <v>849</v>
      </c>
      <c r="B17" s="934" t="s">
        <v>866</v>
      </c>
      <c r="C17" s="934"/>
      <c r="D17" s="934"/>
      <c r="E17" s="934"/>
      <c r="F17" s="934"/>
      <c r="G17" s="934"/>
      <c r="H17" s="934"/>
      <c r="I17" s="934"/>
      <c r="J17" s="935"/>
    </row>
    <row r="18" spans="1:10" ht="39" customHeight="1">
      <c r="A18" s="900" t="s">
        <v>849</v>
      </c>
      <c r="B18" s="934" t="s">
        <v>823</v>
      </c>
      <c r="C18" s="934"/>
      <c r="D18" s="934"/>
      <c r="E18" s="934"/>
      <c r="F18" s="934"/>
      <c r="G18" s="934"/>
      <c r="H18" s="934"/>
      <c r="I18" s="934"/>
      <c r="J18" s="935"/>
    </row>
    <row r="19" spans="1:10" ht="40.5" customHeight="1">
      <c r="A19" s="900" t="s">
        <v>849</v>
      </c>
      <c r="B19" s="934" t="s">
        <v>824</v>
      </c>
      <c r="C19" s="934"/>
      <c r="D19" s="934"/>
      <c r="E19" s="934"/>
      <c r="F19" s="934"/>
      <c r="G19" s="934"/>
      <c r="H19" s="934"/>
      <c r="I19" s="934"/>
      <c r="J19" s="935"/>
    </row>
    <row r="20" spans="1:10" ht="42" customHeight="1">
      <c r="A20" s="900" t="s">
        <v>849</v>
      </c>
      <c r="B20" s="934" t="s">
        <v>825</v>
      </c>
      <c r="C20" s="934"/>
      <c r="D20" s="934"/>
      <c r="E20" s="934"/>
      <c r="F20" s="934"/>
      <c r="G20" s="934"/>
      <c r="H20" s="934"/>
      <c r="I20" s="934"/>
      <c r="J20" s="935"/>
    </row>
    <row r="21" spans="1:10" s="899" customFormat="1" ht="53.25" customHeight="1">
      <c r="A21" s="949" t="s">
        <v>860</v>
      </c>
      <c r="B21" s="950"/>
      <c r="C21" s="950"/>
      <c r="D21" s="950"/>
      <c r="E21" s="950"/>
      <c r="F21" s="950"/>
      <c r="G21" s="950"/>
      <c r="H21" s="950"/>
      <c r="I21" s="950"/>
      <c r="J21" s="951"/>
    </row>
    <row r="22" spans="1:10" ht="49.5" customHeight="1">
      <c r="A22" s="970" t="s">
        <v>882</v>
      </c>
      <c r="B22" s="971"/>
      <c r="C22" s="971"/>
      <c r="D22" s="971"/>
      <c r="E22" s="971"/>
      <c r="F22" s="971"/>
      <c r="G22" s="971"/>
      <c r="H22" s="971"/>
      <c r="I22" s="971"/>
      <c r="J22" s="972"/>
    </row>
    <row r="23" spans="1:10" ht="16" thickBot="1">
      <c r="A23" s="976"/>
      <c r="B23" s="977"/>
      <c r="C23" s="977"/>
      <c r="D23" s="977"/>
      <c r="E23" s="977"/>
      <c r="F23" s="977"/>
      <c r="G23" s="977"/>
      <c r="H23" s="977"/>
      <c r="I23" s="977"/>
      <c r="J23" s="978"/>
    </row>
    <row r="24" spans="1:10" ht="28.5" customHeight="1">
      <c r="A24" s="961" t="s">
        <v>814</v>
      </c>
      <c r="B24" s="962"/>
      <c r="C24" s="962"/>
      <c r="D24" s="962"/>
      <c r="E24" s="962"/>
      <c r="F24" s="962"/>
      <c r="G24" s="962"/>
      <c r="H24" s="962"/>
      <c r="I24" s="962"/>
      <c r="J24" s="963"/>
    </row>
    <row r="25" spans="1:10" s="901" customFormat="1" ht="69" customHeight="1">
      <c r="A25" s="933" t="s">
        <v>883</v>
      </c>
      <c r="B25" s="934"/>
      <c r="C25" s="934"/>
      <c r="D25" s="934"/>
      <c r="E25" s="934"/>
      <c r="F25" s="934"/>
      <c r="G25" s="934"/>
      <c r="H25" s="934"/>
      <c r="I25" s="934"/>
      <c r="J25" s="935"/>
    </row>
    <row r="26" spans="1:10" ht="16" thickBot="1">
      <c r="A26" s="942"/>
      <c r="B26" s="943"/>
      <c r="C26" s="943"/>
      <c r="D26" s="943"/>
      <c r="E26" s="943"/>
      <c r="F26" s="943"/>
      <c r="G26" s="943"/>
      <c r="H26" s="943"/>
      <c r="I26" s="943"/>
      <c r="J26" s="944"/>
    </row>
    <row r="27" spans="1:10" ht="32.25" customHeight="1">
      <c r="A27" s="936" t="s">
        <v>815</v>
      </c>
      <c r="B27" s="937"/>
      <c r="C27" s="937"/>
      <c r="D27" s="937"/>
      <c r="E27" s="937"/>
      <c r="F27" s="937"/>
      <c r="G27" s="937"/>
      <c r="H27" s="937"/>
      <c r="I27" s="937"/>
      <c r="J27" s="945"/>
    </row>
    <row r="28" spans="1:10" ht="54" customHeight="1">
      <c r="A28" s="933" t="s">
        <v>862</v>
      </c>
      <c r="B28" s="934"/>
      <c r="C28" s="934"/>
      <c r="D28" s="934"/>
      <c r="E28" s="934"/>
      <c r="F28" s="934"/>
      <c r="G28" s="934"/>
      <c r="H28" s="934"/>
      <c r="I28" s="934"/>
      <c r="J28" s="935"/>
    </row>
    <row r="29" spans="1:10" ht="69" customHeight="1">
      <c r="A29" s="900" t="s">
        <v>849</v>
      </c>
      <c r="B29" s="928" t="s">
        <v>826</v>
      </c>
      <c r="C29" s="928"/>
      <c r="D29" s="928"/>
      <c r="E29" s="928"/>
      <c r="F29" s="928"/>
      <c r="G29" s="928"/>
      <c r="H29" s="928"/>
      <c r="I29" s="928"/>
      <c r="J29" s="929"/>
    </row>
    <row r="30" spans="1:10" ht="39" customHeight="1">
      <c r="A30" s="900" t="s">
        <v>849</v>
      </c>
      <c r="B30" s="990" t="s">
        <v>829</v>
      </c>
      <c r="C30" s="990"/>
      <c r="D30" s="990"/>
      <c r="E30" s="990"/>
      <c r="F30" s="990"/>
      <c r="G30" s="990"/>
      <c r="H30" s="990"/>
      <c r="I30" s="990"/>
      <c r="J30" s="991"/>
    </row>
    <row r="31" spans="1:10" ht="40.5" customHeight="1">
      <c r="A31" s="900" t="s">
        <v>849</v>
      </c>
      <c r="B31" s="990" t="s">
        <v>831</v>
      </c>
      <c r="C31" s="990"/>
      <c r="D31" s="990"/>
      <c r="E31" s="990"/>
      <c r="F31" s="990"/>
      <c r="G31" s="990"/>
      <c r="H31" s="990"/>
      <c r="I31" s="990"/>
      <c r="J31" s="991"/>
    </row>
    <row r="32" spans="1:10" ht="42.75" customHeight="1">
      <c r="A32" s="900" t="s">
        <v>849</v>
      </c>
      <c r="B32" s="990" t="s">
        <v>830</v>
      </c>
      <c r="C32" s="990"/>
      <c r="D32" s="990"/>
      <c r="E32" s="990"/>
      <c r="F32" s="990"/>
      <c r="G32" s="990"/>
      <c r="H32" s="990"/>
      <c r="I32" s="990"/>
      <c r="J32" s="991"/>
    </row>
    <row r="33" spans="1:10" ht="43.5" customHeight="1">
      <c r="A33" s="900" t="s">
        <v>849</v>
      </c>
      <c r="B33" s="992" t="s">
        <v>832</v>
      </c>
      <c r="C33" s="993"/>
      <c r="D33" s="993"/>
      <c r="E33" s="993"/>
      <c r="F33" s="993"/>
      <c r="G33" s="993"/>
      <c r="H33" s="993"/>
      <c r="I33" s="993"/>
      <c r="J33" s="994"/>
    </row>
    <row r="34" spans="1:10" ht="39.75" customHeight="1">
      <c r="A34" s="900" t="s">
        <v>849</v>
      </c>
      <c r="B34" s="928" t="s">
        <v>827</v>
      </c>
      <c r="C34" s="928"/>
      <c r="D34" s="928"/>
      <c r="E34" s="928"/>
      <c r="F34" s="928"/>
      <c r="G34" s="928"/>
      <c r="H34" s="928"/>
      <c r="I34" s="928"/>
      <c r="J34" s="929"/>
    </row>
    <row r="35" spans="1:10" ht="37.5" customHeight="1">
      <c r="A35" s="900" t="s">
        <v>849</v>
      </c>
      <c r="B35" s="928" t="s">
        <v>828</v>
      </c>
      <c r="C35" s="928"/>
      <c r="D35" s="928"/>
      <c r="E35" s="928"/>
      <c r="F35" s="928"/>
      <c r="G35" s="928"/>
      <c r="H35" s="928"/>
      <c r="I35" s="928"/>
      <c r="J35" s="929"/>
    </row>
    <row r="36" spans="1:10" ht="42" customHeight="1">
      <c r="A36" s="900" t="s">
        <v>849</v>
      </c>
      <c r="B36" s="928" t="s">
        <v>833</v>
      </c>
      <c r="C36" s="928"/>
      <c r="D36" s="928"/>
      <c r="E36" s="928"/>
      <c r="F36" s="928"/>
      <c r="G36" s="928"/>
      <c r="H36" s="928"/>
      <c r="I36" s="928"/>
      <c r="J36" s="929"/>
    </row>
    <row r="37" spans="1:10" ht="40.5" customHeight="1">
      <c r="A37" s="900" t="s">
        <v>849</v>
      </c>
      <c r="B37" s="928" t="s">
        <v>834</v>
      </c>
      <c r="C37" s="928"/>
      <c r="D37" s="928"/>
      <c r="E37" s="928"/>
      <c r="F37" s="928"/>
      <c r="G37" s="928"/>
      <c r="H37" s="928"/>
      <c r="I37" s="928"/>
      <c r="J37" s="929"/>
    </row>
    <row r="38" spans="1:10" ht="39" customHeight="1">
      <c r="A38" s="900" t="s">
        <v>849</v>
      </c>
      <c r="B38" s="928" t="s">
        <v>835</v>
      </c>
      <c r="C38" s="928"/>
      <c r="D38" s="928"/>
      <c r="E38" s="928"/>
      <c r="F38" s="928"/>
      <c r="G38" s="928"/>
      <c r="H38" s="928"/>
      <c r="I38" s="928"/>
      <c r="J38" s="929"/>
    </row>
    <row r="39" spans="1:10" ht="39" customHeight="1">
      <c r="A39" s="900" t="s">
        <v>849</v>
      </c>
      <c r="B39" s="928" t="s">
        <v>836</v>
      </c>
      <c r="C39" s="928"/>
      <c r="D39" s="928"/>
      <c r="E39" s="928"/>
      <c r="F39" s="928"/>
      <c r="G39" s="928"/>
      <c r="H39" s="928"/>
      <c r="I39" s="928"/>
      <c r="J39" s="929"/>
    </row>
    <row r="40" spans="1:10" ht="39.75" customHeight="1">
      <c r="A40" s="900" t="s">
        <v>849</v>
      </c>
      <c r="B40" s="928" t="s">
        <v>837</v>
      </c>
      <c r="C40" s="928"/>
      <c r="D40" s="928"/>
      <c r="E40" s="928"/>
      <c r="F40" s="928"/>
      <c r="G40" s="928"/>
      <c r="H40" s="928"/>
      <c r="I40" s="928"/>
      <c r="J40" s="929"/>
    </row>
    <row r="41" spans="1:10" ht="43.5" customHeight="1">
      <c r="A41" s="900" t="s">
        <v>849</v>
      </c>
      <c r="B41" s="934" t="s">
        <v>838</v>
      </c>
      <c r="C41" s="934"/>
      <c r="D41" s="934"/>
      <c r="E41" s="934"/>
      <c r="F41" s="934"/>
      <c r="G41" s="934"/>
      <c r="H41" s="934"/>
      <c r="I41" s="934"/>
      <c r="J41" s="935"/>
    </row>
    <row r="42" spans="1:10" ht="77.25" customHeight="1">
      <c r="A42" s="900" t="s">
        <v>849</v>
      </c>
      <c r="B42" s="928" t="s">
        <v>884</v>
      </c>
      <c r="C42" s="928"/>
      <c r="D42" s="928"/>
      <c r="E42" s="928"/>
      <c r="F42" s="928"/>
      <c r="G42" s="928"/>
      <c r="H42" s="928"/>
      <c r="I42" s="928"/>
      <c r="J42" s="929"/>
    </row>
    <row r="43" spans="1:10" ht="12.75" customHeight="1">
      <c r="A43" s="900"/>
      <c r="B43" s="902"/>
      <c r="C43" s="902"/>
      <c r="D43" s="902"/>
      <c r="E43" s="902"/>
      <c r="F43" s="902"/>
      <c r="G43" s="902"/>
      <c r="H43" s="902"/>
      <c r="I43" s="902"/>
      <c r="J43" s="823"/>
    </row>
    <row r="44" spans="1:10" s="899" customFormat="1" ht="41.25" customHeight="1">
      <c r="A44" s="933" t="s">
        <v>867</v>
      </c>
      <c r="B44" s="934"/>
      <c r="C44" s="934"/>
      <c r="D44" s="934"/>
      <c r="E44" s="934"/>
      <c r="F44" s="934"/>
      <c r="G44" s="934"/>
      <c r="H44" s="934"/>
      <c r="I44" s="934"/>
      <c r="J44" s="935"/>
    </row>
    <row r="45" spans="1:10" ht="57" customHeight="1">
      <c r="A45" s="903" t="s">
        <v>849</v>
      </c>
      <c r="B45" s="928" t="s">
        <v>845</v>
      </c>
      <c r="C45" s="928"/>
      <c r="D45" s="928"/>
      <c r="E45" s="928"/>
      <c r="F45" s="928"/>
      <c r="G45" s="928"/>
      <c r="H45" s="928"/>
      <c r="I45" s="928"/>
      <c r="J45" s="929"/>
    </row>
    <row r="46" spans="1:10" ht="41.25" customHeight="1">
      <c r="A46" s="903" t="s">
        <v>849</v>
      </c>
      <c r="B46" s="928" t="s">
        <v>885</v>
      </c>
      <c r="C46" s="928"/>
      <c r="D46" s="928"/>
      <c r="E46" s="928"/>
      <c r="F46" s="928"/>
      <c r="G46" s="928"/>
      <c r="H46" s="928"/>
      <c r="I46" s="928"/>
      <c r="J46" s="929"/>
    </row>
    <row r="47" spans="1:10" ht="40.5" customHeight="1">
      <c r="A47" s="903" t="s">
        <v>849</v>
      </c>
      <c r="B47" s="928" t="s">
        <v>844</v>
      </c>
      <c r="C47" s="928"/>
      <c r="D47" s="928"/>
      <c r="E47" s="928"/>
      <c r="F47" s="928"/>
      <c r="G47" s="928"/>
      <c r="H47" s="928"/>
      <c r="I47" s="928"/>
      <c r="J47" s="929"/>
    </row>
    <row r="48" spans="1:10" ht="39" customHeight="1">
      <c r="A48" s="903" t="s">
        <v>849</v>
      </c>
      <c r="B48" s="928" t="s">
        <v>843</v>
      </c>
      <c r="C48" s="928"/>
      <c r="D48" s="928"/>
      <c r="E48" s="928"/>
      <c r="F48" s="928"/>
      <c r="G48" s="928"/>
      <c r="H48" s="928"/>
      <c r="I48" s="928"/>
      <c r="J48" s="929"/>
    </row>
    <row r="49" spans="1:13" ht="39.75" customHeight="1">
      <c r="A49" s="903" t="s">
        <v>849</v>
      </c>
      <c r="B49" s="928" t="s">
        <v>868</v>
      </c>
      <c r="C49" s="928"/>
      <c r="D49" s="928"/>
      <c r="E49" s="928"/>
      <c r="F49" s="928"/>
      <c r="G49" s="928"/>
      <c r="H49" s="928"/>
      <c r="I49" s="928"/>
      <c r="J49" s="929"/>
    </row>
    <row r="50" spans="1:13" ht="37.5" customHeight="1">
      <c r="A50" s="903" t="s">
        <v>849</v>
      </c>
      <c r="B50" s="928" t="s">
        <v>839</v>
      </c>
      <c r="C50" s="928"/>
      <c r="D50" s="928"/>
      <c r="E50" s="928"/>
      <c r="F50" s="928"/>
      <c r="G50" s="928"/>
      <c r="H50" s="928"/>
      <c r="I50" s="928"/>
      <c r="J50" s="929"/>
    </row>
    <row r="51" spans="1:13" ht="54.75" customHeight="1">
      <c r="A51" s="903" t="s">
        <v>849</v>
      </c>
      <c r="B51" s="928" t="s">
        <v>842</v>
      </c>
      <c r="C51" s="928"/>
      <c r="D51" s="928"/>
      <c r="E51" s="928"/>
      <c r="F51" s="928"/>
      <c r="G51" s="928"/>
      <c r="H51" s="928"/>
      <c r="I51" s="928"/>
      <c r="J51" s="929"/>
    </row>
    <row r="52" spans="1:13" ht="40.5" customHeight="1">
      <c r="A52" s="903" t="s">
        <v>849</v>
      </c>
      <c r="B52" s="928" t="s">
        <v>841</v>
      </c>
      <c r="C52" s="928"/>
      <c r="D52" s="928"/>
      <c r="E52" s="928"/>
      <c r="F52" s="928"/>
      <c r="G52" s="928"/>
      <c r="H52" s="928"/>
      <c r="I52" s="928"/>
      <c r="J52" s="929"/>
    </row>
    <row r="53" spans="1:13" ht="37.5" customHeight="1">
      <c r="A53" s="903" t="s">
        <v>849</v>
      </c>
      <c r="B53" s="928" t="s">
        <v>869</v>
      </c>
      <c r="C53" s="928"/>
      <c r="D53" s="928"/>
      <c r="E53" s="928"/>
      <c r="F53" s="928"/>
      <c r="G53" s="928"/>
      <c r="H53" s="928"/>
      <c r="I53" s="928"/>
      <c r="J53" s="929"/>
    </row>
    <row r="54" spans="1:13" ht="39.75" customHeight="1">
      <c r="A54" s="903" t="s">
        <v>849</v>
      </c>
      <c r="B54" s="928" t="s">
        <v>840</v>
      </c>
      <c r="C54" s="928"/>
      <c r="D54" s="928"/>
      <c r="E54" s="928"/>
      <c r="F54" s="928"/>
      <c r="G54" s="928"/>
      <c r="H54" s="928"/>
      <c r="I54" s="928"/>
      <c r="J54" s="929"/>
    </row>
    <row r="55" spans="1:13" ht="72.75" customHeight="1">
      <c r="A55" s="903" t="s">
        <v>849</v>
      </c>
      <c r="B55" s="928" t="s">
        <v>848</v>
      </c>
      <c r="C55" s="928"/>
      <c r="D55" s="928"/>
      <c r="E55" s="928"/>
      <c r="F55" s="928"/>
      <c r="G55" s="928"/>
      <c r="H55" s="928"/>
      <c r="I55" s="928"/>
      <c r="J55" s="929"/>
    </row>
    <row r="56" spans="1:13" ht="59.25" customHeight="1">
      <c r="A56" s="903" t="s">
        <v>849</v>
      </c>
      <c r="B56" s="934" t="s">
        <v>846</v>
      </c>
      <c r="C56" s="934"/>
      <c r="D56" s="934"/>
      <c r="E56" s="934"/>
      <c r="F56" s="934"/>
      <c r="G56" s="934"/>
      <c r="H56" s="934"/>
      <c r="I56" s="934"/>
      <c r="J56" s="935"/>
    </row>
    <row r="57" spans="1:13" ht="57" customHeight="1">
      <c r="A57" s="900" t="s">
        <v>849</v>
      </c>
      <c r="B57" s="928" t="s">
        <v>847</v>
      </c>
      <c r="C57" s="928"/>
      <c r="D57" s="928"/>
      <c r="E57" s="928"/>
      <c r="F57" s="928"/>
      <c r="G57" s="928"/>
      <c r="H57" s="928"/>
      <c r="I57" s="928"/>
      <c r="J57" s="929"/>
    </row>
    <row r="58" spans="1:13" ht="72.75" customHeight="1">
      <c r="A58" s="900" t="s">
        <v>849</v>
      </c>
      <c r="B58" s="928" t="s">
        <v>886</v>
      </c>
      <c r="C58" s="928"/>
      <c r="D58" s="928"/>
      <c r="E58" s="928"/>
      <c r="F58" s="928"/>
      <c r="G58" s="928"/>
      <c r="H58" s="928"/>
      <c r="I58" s="928"/>
      <c r="J58" s="929"/>
    </row>
    <row r="59" spans="1:13" ht="39" customHeight="1">
      <c r="A59" s="900" t="s">
        <v>849</v>
      </c>
      <c r="B59" s="928" t="s">
        <v>850</v>
      </c>
      <c r="C59" s="928"/>
      <c r="D59" s="928"/>
      <c r="E59" s="928"/>
      <c r="F59" s="928"/>
      <c r="G59" s="928"/>
      <c r="H59" s="928"/>
      <c r="I59" s="928"/>
      <c r="J59" s="929"/>
    </row>
    <row r="60" spans="1:13" ht="59.25" customHeight="1">
      <c r="A60" s="900" t="s">
        <v>849</v>
      </c>
      <c r="B60" s="928" t="s">
        <v>887</v>
      </c>
      <c r="C60" s="928"/>
      <c r="D60" s="928"/>
      <c r="E60" s="928"/>
      <c r="F60" s="928"/>
      <c r="G60" s="928"/>
      <c r="H60" s="928"/>
      <c r="I60" s="928"/>
      <c r="J60" s="929"/>
    </row>
    <row r="61" spans="1:13" ht="16" thickBot="1">
      <c r="A61" s="942"/>
      <c r="B61" s="943"/>
      <c r="C61" s="943"/>
      <c r="D61" s="943"/>
      <c r="E61" s="943"/>
      <c r="F61" s="943"/>
      <c r="G61" s="943"/>
      <c r="H61" s="943"/>
      <c r="I61" s="943"/>
      <c r="J61" s="944"/>
    </row>
    <row r="62" spans="1:13" ht="29.25" customHeight="1">
      <c r="A62" s="936" t="s">
        <v>816</v>
      </c>
      <c r="B62" s="937"/>
      <c r="C62" s="937"/>
      <c r="D62" s="937"/>
      <c r="E62" s="937"/>
      <c r="F62" s="937"/>
      <c r="G62" s="937"/>
      <c r="H62" s="937"/>
      <c r="I62" s="937"/>
      <c r="J62" s="945"/>
    </row>
    <row r="63" spans="1:13" ht="135" customHeight="1">
      <c r="A63" s="933" t="s">
        <v>888</v>
      </c>
      <c r="B63" s="934"/>
      <c r="C63" s="934"/>
      <c r="D63" s="934"/>
      <c r="E63" s="934"/>
      <c r="F63" s="934"/>
      <c r="G63" s="934"/>
      <c r="H63" s="934"/>
      <c r="I63" s="934"/>
      <c r="J63" s="935"/>
      <c r="K63" s="904"/>
      <c r="L63" s="904"/>
      <c r="M63" s="904"/>
    </row>
    <row r="64" spans="1:13" ht="16" thickBot="1">
      <c r="A64" s="930"/>
      <c r="B64" s="931"/>
      <c r="C64" s="931"/>
      <c r="D64" s="931"/>
      <c r="E64" s="931"/>
      <c r="F64" s="931"/>
      <c r="G64" s="931"/>
      <c r="H64" s="931"/>
      <c r="I64" s="931"/>
      <c r="J64" s="932"/>
      <c r="K64" s="904"/>
      <c r="L64" s="904"/>
      <c r="M64" s="904"/>
    </row>
    <row r="65" spans="1:18" s="895" customFormat="1" ht="21.75" customHeight="1">
      <c r="A65" s="936" t="s">
        <v>817</v>
      </c>
      <c r="B65" s="937"/>
      <c r="C65" s="937"/>
      <c r="D65" s="937"/>
      <c r="E65" s="937"/>
      <c r="F65" s="937"/>
      <c r="G65" s="937"/>
      <c r="H65" s="937"/>
      <c r="I65" s="937"/>
      <c r="J65" s="937"/>
    </row>
    <row r="66" spans="1:18" ht="91.5" customHeight="1">
      <c r="A66" s="933" t="s">
        <v>864</v>
      </c>
      <c r="B66" s="934"/>
      <c r="C66" s="934"/>
      <c r="D66" s="934"/>
      <c r="E66" s="934"/>
      <c r="F66" s="934"/>
      <c r="G66" s="934"/>
      <c r="H66" s="934"/>
      <c r="I66" s="934"/>
      <c r="J66" s="934"/>
      <c r="K66" s="904"/>
      <c r="L66" s="904"/>
    </row>
    <row r="67" spans="1:18" ht="119.25" customHeight="1">
      <c r="A67" s="900" t="s">
        <v>849</v>
      </c>
      <c r="B67" s="928" t="s">
        <v>889</v>
      </c>
      <c r="C67" s="928"/>
      <c r="D67" s="928"/>
      <c r="E67" s="928"/>
      <c r="F67" s="928"/>
      <c r="G67" s="928"/>
      <c r="H67" s="928"/>
      <c r="I67" s="928"/>
      <c r="J67" s="928"/>
      <c r="K67" s="904"/>
      <c r="L67" s="904"/>
    </row>
    <row r="68" spans="1:18" ht="136.5" customHeight="1">
      <c r="A68" s="900" t="s">
        <v>849</v>
      </c>
      <c r="B68" s="955" t="s">
        <v>853</v>
      </c>
      <c r="C68" s="955"/>
      <c r="D68" s="955"/>
      <c r="E68" s="955"/>
      <c r="F68" s="955"/>
      <c r="G68" s="955"/>
      <c r="H68" s="955"/>
      <c r="I68" s="955"/>
      <c r="J68" s="955"/>
      <c r="K68" s="828"/>
      <c r="L68" s="828"/>
      <c r="M68" s="828"/>
      <c r="N68" s="828"/>
      <c r="O68" s="828"/>
      <c r="P68" s="828"/>
      <c r="Q68" s="905"/>
      <c r="R68" s="905"/>
    </row>
    <row r="69" spans="1:18" ht="86.25" customHeight="1">
      <c r="A69" s="900" t="s">
        <v>849</v>
      </c>
      <c r="B69" s="955" t="s">
        <v>854</v>
      </c>
      <c r="C69" s="955"/>
      <c r="D69" s="955"/>
      <c r="E69" s="955"/>
      <c r="F69" s="955"/>
      <c r="G69" s="955"/>
      <c r="H69" s="955"/>
      <c r="I69" s="955"/>
      <c r="J69" s="955"/>
      <c r="K69" s="828"/>
      <c r="L69" s="828"/>
      <c r="M69" s="828"/>
      <c r="N69" s="828"/>
      <c r="O69" s="828"/>
      <c r="P69" s="828"/>
      <c r="Q69" s="905"/>
      <c r="R69" s="905"/>
    </row>
    <row r="70" spans="1:18" ht="180.75" customHeight="1">
      <c r="A70" s="900" t="s">
        <v>849</v>
      </c>
      <c r="B70" s="955" t="s">
        <v>890</v>
      </c>
      <c r="C70" s="955"/>
      <c r="D70" s="955"/>
      <c r="E70" s="955"/>
      <c r="F70" s="955"/>
      <c r="G70" s="955"/>
      <c r="H70" s="955"/>
      <c r="I70" s="955"/>
      <c r="J70" s="955"/>
      <c r="K70" s="828"/>
      <c r="L70" s="828"/>
      <c r="M70" s="828"/>
      <c r="N70" s="828"/>
      <c r="O70" s="828"/>
      <c r="P70" s="828"/>
      <c r="Q70" s="905"/>
      <c r="R70" s="905"/>
    </row>
    <row r="71" spans="1:18" ht="13.5" customHeight="1">
      <c r="A71" s="900"/>
      <c r="B71" s="894"/>
      <c r="C71" s="894"/>
      <c r="D71" s="894"/>
      <c r="E71" s="894"/>
      <c r="F71" s="894"/>
      <c r="G71" s="894"/>
      <c r="H71" s="894"/>
      <c r="I71" s="894"/>
      <c r="J71" s="894"/>
      <c r="K71" s="828"/>
      <c r="L71" s="828"/>
      <c r="M71" s="828"/>
      <c r="N71" s="828"/>
      <c r="O71" s="828"/>
      <c r="P71" s="828"/>
      <c r="Q71" s="905"/>
      <c r="R71" s="905"/>
    </row>
    <row r="72" spans="1:18" ht="156.75" customHeight="1">
      <c r="A72" s="900" t="s">
        <v>849</v>
      </c>
      <c r="B72" s="955" t="s">
        <v>855</v>
      </c>
      <c r="C72" s="955"/>
      <c r="D72" s="955"/>
      <c r="E72" s="955"/>
      <c r="F72" s="955"/>
      <c r="G72" s="955"/>
      <c r="H72" s="955"/>
      <c r="I72" s="955"/>
      <c r="J72" s="955"/>
      <c r="K72" s="828"/>
      <c r="L72" s="828"/>
      <c r="M72" s="828"/>
      <c r="N72" s="828"/>
      <c r="O72" s="828"/>
      <c r="P72" s="828"/>
      <c r="Q72" s="905"/>
      <c r="R72" s="905"/>
    </row>
    <row r="73" spans="1:18" ht="170.25" customHeight="1">
      <c r="A73" s="900" t="s">
        <v>849</v>
      </c>
      <c r="B73" s="955" t="s">
        <v>856</v>
      </c>
      <c r="C73" s="955"/>
      <c r="D73" s="955"/>
      <c r="E73" s="955"/>
      <c r="F73" s="955"/>
      <c r="G73" s="955"/>
      <c r="H73" s="955"/>
      <c r="I73" s="955"/>
      <c r="J73" s="955"/>
      <c r="K73" s="828"/>
      <c r="L73" s="828"/>
      <c r="M73" s="828"/>
      <c r="N73" s="828"/>
      <c r="O73" s="828"/>
      <c r="P73" s="828"/>
      <c r="Q73" s="905"/>
      <c r="R73" s="905"/>
    </row>
    <row r="74" spans="1:18" ht="174" customHeight="1" thickBot="1">
      <c r="A74" s="900" t="s">
        <v>849</v>
      </c>
      <c r="B74" s="955" t="s">
        <v>870</v>
      </c>
      <c r="C74" s="955"/>
      <c r="D74" s="955"/>
      <c r="E74" s="955"/>
      <c r="F74" s="955"/>
      <c r="G74" s="955"/>
      <c r="H74" s="955"/>
      <c r="I74" s="955"/>
      <c r="J74" s="955"/>
      <c r="K74" s="828"/>
      <c r="L74" s="828"/>
      <c r="M74" s="828"/>
      <c r="N74" s="828"/>
      <c r="O74" s="828"/>
      <c r="P74" s="828"/>
      <c r="Q74" s="905"/>
      <c r="R74" s="905"/>
    </row>
    <row r="75" spans="1:18" ht="71.25" customHeight="1" thickBot="1">
      <c r="A75" s="958" t="s">
        <v>609</v>
      </c>
      <c r="B75" s="959"/>
      <c r="C75" s="959"/>
      <c r="D75" s="959"/>
      <c r="E75" s="959"/>
      <c r="F75" s="959"/>
      <c r="G75" s="959"/>
      <c r="H75" s="959"/>
      <c r="I75" s="959"/>
      <c r="J75" s="960"/>
      <c r="K75" s="829"/>
      <c r="L75" s="829"/>
      <c r="M75" s="829"/>
      <c r="N75" s="829"/>
      <c r="O75" s="829"/>
      <c r="P75" s="829"/>
      <c r="Q75" s="829"/>
      <c r="R75" s="905"/>
    </row>
    <row r="76" spans="1:18" s="520" customFormat="1" ht="158.25" customHeight="1">
      <c r="A76" s="900" t="s">
        <v>849</v>
      </c>
      <c r="B76" s="955" t="s">
        <v>873</v>
      </c>
      <c r="C76" s="955"/>
      <c r="D76" s="955"/>
      <c r="E76" s="955"/>
      <c r="F76" s="955"/>
      <c r="G76" s="955"/>
      <c r="H76" s="955"/>
      <c r="I76" s="955"/>
      <c r="J76" s="955"/>
      <c r="K76" s="894"/>
      <c r="L76" s="894"/>
      <c r="M76" s="894"/>
      <c r="N76" s="894"/>
      <c r="O76" s="894"/>
      <c r="P76" s="894"/>
    </row>
    <row r="77" spans="1:18" s="955" customFormat="1" ht="177" customHeight="1">
      <c r="A77" s="900" t="s">
        <v>849</v>
      </c>
      <c r="B77" s="955" t="s">
        <v>857</v>
      </c>
    </row>
    <row r="78" spans="1:18" s="520" customFormat="1" ht="189" customHeight="1">
      <c r="A78" s="900" t="s">
        <v>849</v>
      </c>
      <c r="B78" s="955" t="s">
        <v>858</v>
      </c>
      <c r="C78" s="955"/>
      <c r="D78" s="955"/>
      <c r="E78" s="955"/>
      <c r="F78" s="955"/>
      <c r="G78" s="955"/>
      <c r="H78" s="955"/>
      <c r="I78" s="955"/>
      <c r="J78" s="955"/>
      <c r="K78" s="894"/>
      <c r="L78" s="894"/>
      <c r="M78" s="894"/>
      <c r="N78" s="894"/>
      <c r="O78" s="894"/>
      <c r="P78" s="894"/>
    </row>
    <row r="79" spans="1:18" s="520" customFormat="1" ht="189.75" customHeight="1">
      <c r="A79" s="900" t="s">
        <v>849</v>
      </c>
      <c r="B79" s="955" t="s">
        <v>859</v>
      </c>
      <c r="C79" s="955"/>
      <c r="D79" s="955"/>
      <c r="E79" s="955"/>
      <c r="F79" s="955"/>
      <c r="G79" s="955"/>
      <c r="H79" s="955"/>
      <c r="I79" s="955"/>
      <c r="J79" s="955"/>
      <c r="K79" s="894"/>
      <c r="L79" s="894"/>
      <c r="M79" s="894"/>
      <c r="N79" s="894"/>
      <c r="O79" s="894"/>
      <c r="P79" s="894"/>
    </row>
    <row r="80" spans="1:18" s="522" customFormat="1" ht="16" thickBot="1">
      <c r="A80" s="942"/>
      <c r="B80" s="943"/>
      <c r="C80" s="943"/>
      <c r="D80" s="943"/>
      <c r="E80" s="943"/>
      <c r="F80" s="943"/>
      <c r="G80" s="943"/>
      <c r="H80" s="943"/>
      <c r="I80" s="943"/>
      <c r="J80" s="943"/>
    </row>
    <row r="81" spans="1:10" s="520" customFormat="1" ht="25.5" customHeight="1">
      <c r="A81" s="936" t="s">
        <v>818</v>
      </c>
      <c r="B81" s="937"/>
      <c r="C81" s="937"/>
      <c r="D81" s="937"/>
      <c r="E81" s="937"/>
      <c r="F81" s="937"/>
      <c r="G81" s="937"/>
      <c r="H81" s="937"/>
      <c r="I81" s="937"/>
      <c r="J81" s="945"/>
    </row>
    <row r="82" spans="1:10" s="520" customFormat="1" ht="86.25" customHeight="1">
      <c r="A82" s="933" t="s">
        <v>871</v>
      </c>
      <c r="B82" s="956"/>
      <c r="C82" s="956"/>
      <c r="D82" s="956"/>
      <c r="E82" s="956"/>
      <c r="F82" s="956"/>
      <c r="G82" s="956"/>
      <c r="H82" s="956"/>
      <c r="I82" s="956"/>
      <c r="J82" s="957"/>
    </row>
    <row r="83" spans="1:10" s="520" customFormat="1" ht="16" thickBot="1">
      <c r="A83" s="942"/>
      <c r="B83" s="943"/>
      <c r="C83" s="943"/>
      <c r="D83" s="943"/>
      <c r="E83" s="943"/>
      <c r="F83" s="943"/>
      <c r="G83" s="943"/>
      <c r="H83" s="943"/>
      <c r="I83" s="943"/>
      <c r="J83" s="944"/>
    </row>
    <row r="84" spans="1:10" s="520" customFormat="1">
      <c r="A84" s="906" t="s">
        <v>914</v>
      </c>
      <c r="J84" s="521"/>
    </row>
    <row r="85" spans="1:10" s="520" customFormat="1" ht="146.25" customHeight="1">
      <c r="A85" s="933" t="s">
        <v>915</v>
      </c>
      <c r="B85" s="934"/>
      <c r="C85" s="934"/>
      <c r="D85" s="934"/>
      <c r="E85" s="934"/>
      <c r="F85" s="934"/>
      <c r="G85" s="934"/>
      <c r="H85" s="934"/>
      <c r="I85" s="934"/>
      <c r="J85" s="935"/>
    </row>
    <row r="86" spans="1:10" s="520" customFormat="1" ht="16" thickBot="1">
      <c r="A86" s="519"/>
      <c r="J86" s="521"/>
    </row>
    <row r="87" spans="1:10" s="520" customFormat="1" ht="23.25" customHeight="1">
      <c r="A87" s="936" t="s">
        <v>819</v>
      </c>
      <c r="B87" s="937"/>
      <c r="C87" s="937"/>
      <c r="D87" s="937"/>
      <c r="E87" s="937"/>
      <c r="F87" s="937"/>
      <c r="G87" s="937"/>
      <c r="H87" s="937"/>
      <c r="I87" s="937"/>
      <c r="J87" s="945"/>
    </row>
    <row r="88" spans="1:10" s="520" customFormat="1" ht="102" customHeight="1">
      <c r="A88" s="949" t="s">
        <v>797</v>
      </c>
      <c r="B88" s="950"/>
      <c r="C88" s="950"/>
      <c r="D88" s="950"/>
      <c r="E88" s="950"/>
      <c r="F88" s="950"/>
      <c r="G88" s="950"/>
      <c r="H88" s="950"/>
      <c r="I88" s="950"/>
      <c r="J88" s="951"/>
    </row>
    <row r="89" spans="1:10" s="520" customFormat="1" ht="53.25" customHeight="1">
      <c r="A89" s="933" t="s">
        <v>891</v>
      </c>
      <c r="B89" s="934"/>
      <c r="C89" s="934"/>
      <c r="D89" s="934"/>
      <c r="E89" s="934"/>
      <c r="F89" s="934"/>
      <c r="G89" s="934"/>
      <c r="H89" s="934"/>
      <c r="I89" s="934"/>
      <c r="J89" s="935"/>
    </row>
    <row r="90" spans="1:10" s="520" customFormat="1" ht="16" thickBot="1">
      <c r="A90" s="946"/>
      <c r="B90" s="947"/>
      <c r="C90" s="947"/>
      <c r="D90" s="947"/>
      <c r="E90" s="947"/>
      <c r="F90" s="947"/>
      <c r="G90" s="947"/>
      <c r="H90" s="947"/>
      <c r="I90" s="947"/>
      <c r="J90" s="948"/>
    </row>
    <row r="91" spans="1:10" s="520" customFormat="1" ht="23.25" customHeight="1">
      <c r="A91" s="936" t="s">
        <v>596</v>
      </c>
      <c r="B91" s="937"/>
      <c r="C91" s="937"/>
      <c r="D91" s="937"/>
      <c r="E91" s="937"/>
      <c r="F91" s="937"/>
      <c r="G91" s="937"/>
      <c r="H91" s="937"/>
      <c r="I91" s="937"/>
      <c r="J91" s="945"/>
    </row>
    <row r="92" spans="1:10" s="902" customFormat="1" ht="72" customHeight="1">
      <c r="A92" s="949" t="s">
        <v>820</v>
      </c>
      <c r="B92" s="950"/>
      <c r="C92" s="950"/>
      <c r="D92" s="950"/>
      <c r="E92" s="950"/>
      <c r="F92" s="950"/>
      <c r="G92" s="950"/>
      <c r="H92" s="950"/>
      <c r="I92" s="950"/>
      <c r="J92" s="951"/>
    </row>
    <row r="93" spans="1:10" s="902" customFormat="1" ht="60.75" customHeight="1">
      <c r="A93" s="949" t="s">
        <v>852</v>
      </c>
      <c r="B93" s="950"/>
      <c r="C93" s="950"/>
      <c r="D93" s="950"/>
      <c r="E93" s="950"/>
      <c r="F93" s="950"/>
      <c r="G93" s="950"/>
      <c r="H93" s="950"/>
      <c r="I93" s="950"/>
      <c r="J93" s="951"/>
    </row>
    <row r="94" spans="1:10" s="520" customFormat="1" ht="73.5" customHeight="1">
      <c r="A94" s="900" t="s">
        <v>849</v>
      </c>
      <c r="B94" s="928" t="s">
        <v>863</v>
      </c>
      <c r="C94" s="928"/>
      <c r="D94" s="928"/>
      <c r="E94" s="928"/>
      <c r="F94" s="928"/>
      <c r="G94" s="928"/>
      <c r="H94" s="928"/>
      <c r="I94" s="928"/>
      <c r="J94" s="929"/>
    </row>
    <row r="95" spans="1:10" s="520" customFormat="1" ht="233.25" customHeight="1">
      <c r="A95" s="900" t="s">
        <v>849</v>
      </c>
      <c r="B95" s="928" t="s">
        <v>892</v>
      </c>
      <c r="C95" s="928"/>
      <c r="D95" s="928"/>
      <c r="E95" s="928"/>
      <c r="F95" s="928"/>
      <c r="G95" s="928"/>
      <c r="H95" s="928"/>
      <c r="I95" s="928"/>
      <c r="J95" s="929"/>
    </row>
    <row r="96" spans="1:10" s="520" customFormat="1" ht="16" thickBot="1">
      <c r="A96" s="952"/>
      <c r="B96" s="953"/>
      <c r="C96" s="953"/>
      <c r="D96" s="953"/>
      <c r="E96" s="953"/>
      <c r="F96" s="953"/>
      <c r="G96" s="953"/>
      <c r="H96" s="953"/>
      <c r="I96" s="953"/>
      <c r="J96" s="954"/>
    </row>
    <row r="97" spans="1:10" s="520" customFormat="1" ht="23.25" customHeight="1">
      <c r="A97" s="936" t="s">
        <v>821</v>
      </c>
      <c r="B97" s="937"/>
      <c r="C97" s="937"/>
      <c r="D97" s="937"/>
      <c r="E97" s="937"/>
      <c r="F97" s="937"/>
      <c r="G97" s="937"/>
      <c r="H97" s="937"/>
      <c r="I97" s="937"/>
      <c r="J97" s="945"/>
    </row>
    <row r="98" spans="1:10" s="520" customFormat="1" ht="101.25" customHeight="1">
      <c r="A98" s="933" t="s">
        <v>872</v>
      </c>
      <c r="B98" s="934"/>
      <c r="C98" s="934"/>
      <c r="D98" s="934"/>
      <c r="E98" s="934"/>
      <c r="F98" s="934"/>
      <c r="G98" s="934"/>
      <c r="H98" s="934"/>
      <c r="I98" s="934"/>
      <c r="J98" s="935"/>
    </row>
    <row r="99" spans="1:10" s="520" customFormat="1" ht="106.5" customHeight="1">
      <c r="A99" s="933" t="s">
        <v>880</v>
      </c>
      <c r="B99" s="934"/>
      <c r="C99" s="934"/>
      <c r="D99" s="934"/>
      <c r="E99" s="934"/>
      <c r="F99" s="934"/>
      <c r="G99" s="934"/>
      <c r="H99" s="934"/>
      <c r="I99" s="934"/>
      <c r="J99" s="935"/>
    </row>
    <row r="100" spans="1:10" s="520" customFormat="1" ht="87.75" customHeight="1">
      <c r="A100" s="933" t="s">
        <v>851</v>
      </c>
      <c r="B100" s="934"/>
      <c r="C100" s="934"/>
      <c r="D100" s="934"/>
      <c r="E100" s="934"/>
      <c r="F100" s="934"/>
      <c r="G100" s="934"/>
      <c r="H100" s="934"/>
      <c r="I100" s="934"/>
      <c r="J100" s="935"/>
    </row>
    <row r="101" spans="1:10" s="522" customFormat="1" ht="68.25" customHeight="1" thickBot="1">
      <c r="A101" s="946" t="s">
        <v>893</v>
      </c>
      <c r="B101" s="947"/>
      <c r="C101" s="947"/>
      <c r="D101" s="947"/>
      <c r="E101" s="947"/>
      <c r="F101" s="947"/>
      <c r="G101" s="947"/>
      <c r="H101" s="947"/>
      <c r="I101" s="947"/>
      <c r="J101" s="948"/>
    </row>
  </sheetData>
  <sheetProtection algorithmName="SHA-512" hashValue="VxuHTgK7mBWZFu8bPi3YbtHrWZl2X4mUOlunlxcCPV1kW956sOh7dyexvl1AA+y/nek6rgbbQZp5DNKHGVjhKQ==" saltValue="C5Kmm9scJLG8Zj3fZYhLAA==" spinCount="100000" sheet="1" objects="1" scenarios="1"/>
  <mergeCells count="92">
    <mergeCell ref="B39:J39"/>
    <mergeCell ref="B40:J40"/>
    <mergeCell ref="B41:J41"/>
    <mergeCell ref="B50:J50"/>
    <mergeCell ref="B51:J51"/>
    <mergeCell ref="B47:J47"/>
    <mergeCell ref="B48:J48"/>
    <mergeCell ref="B49:J49"/>
    <mergeCell ref="B42:J42"/>
    <mergeCell ref="B34:J34"/>
    <mergeCell ref="B35:J35"/>
    <mergeCell ref="B36:J36"/>
    <mergeCell ref="B37:J37"/>
    <mergeCell ref="B38:J38"/>
    <mergeCell ref="B29:J29"/>
    <mergeCell ref="B30:J30"/>
    <mergeCell ref="B31:J31"/>
    <mergeCell ref="B32:J32"/>
    <mergeCell ref="B33:J33"/>
    <mergeCell ref="A23:J23"/>
    <mergeCell ref="A10:J10"/>
    <mergeCell ref="A11:J11"/>
    <mergeCell ref="A8:J8"/>
    <mergeCell ref="A3:XFD3"/>
    <mergeCell ref="B52:J52"/>
    <mergeCell ref="A24:J24"/>
    <mergeCell ref="A5:J7"/>
    <mergeCell ref="A9:J9"/>
    <mergeCell ref="A22:J22"/>
    <mergeCell ref="A14:J14"/>
    <mergeCell ref="A21:J21"/>
    <mergeCell ref="B15:J15"/>
    <mergeCell ref="B16:J16"/>
    <mergeCell ref="B17:J17"/>
    <mergeCell ref="B18:J18"/>
    <mergeCell ref="B19:J19"/>
    <mergeCell ref="B20:J20"/>
    <mergeCell ref="A13:J13"/>
    <mergeCell ref="B45:J45"/>
    <mergeCell ref="B46:J46"/>
    <mergeCell ref="B78:J78"/>
    <mergeCell ref="B67:J67"/>
    <mergeCell ref="B68:J68"/>
    <mergeCell ref="A99:J99"/>
    <mergeCell ref="A93:J93"/>
    <mergeCell ref="A81:J81"/>
    <mergeCell ref="A87:J87"/>
    <mergeCell ref="A80:J80"/>
    <mergeCell ref="A83:J83"/>
    <mergeCell ref="A82:J82"/>
    <mergeCell ref="A85:J85"/>
    <mergeCell ref="B76:J76"/>
    <mergeCell ref="B77:XFD77"/>
    <mergeCell ref="B74:J74"/>
    <mergeCell ref="B79:J79"/>
    <mergeCell ref="A75:J75"/>
    <mergeCell ref="A61:J61"/>
    <mergeCell ref="B69:J69"/>
    <mergeCell ref="B70:J70"/>
    <mergeCell ref="B72:J72"/>
    <mergeCell ref="B73:J73"/>
    <mergeCell ref="A63:J63"/>
    <mergeCell ref="A62:J62"/>
    <mergeCell ref="A66:J66"/>
    <mergeCell ref="A100:J100"/>
    <mergeCell ref="A101:J101"/>
    <mergeCell ref="A88:J88"/>
    <mergeCell ref="A92:J92"/>
    <mergeCell ref="A98:J98"/>
    <mergeCell ref="A89:J89"/>
    <mergeCell ref="B95:J95"/>
    <mergeCell ref="A97:J97"/>
    <mergeCell ref="A96:J96"/>
    <mergeCell ref="B94:J94"/>
    <mergeCell ref="A91:J91"/>
    <mergeCell ref="A90:J90"/>
    <mergeCell ref="B60:J60"/>
    <mergeCell ref="A64:J64"/>
    <mergeCell ref="A28:J28"/>
    <mergeCell ref="A65:J65"/>
    <mergeCell ref="A1:I2"/>
    <mergeCell ref="B53:J53"/>
    <mergeCell ref="B54:J54"/>
    <mergeCell ref="B57:J57"/>
    <mergeCell ref="B58:J58"/>
    <mergeCell ref="B59:J59"/>
    <mergeCell ref="A25:J25"/>
    <mergeCell ref="B55:J55"/>
    <mergeCell ref="A44:J44"/>
    <mergeCell ref="B56:J56"/>
    <mergeCell ref="A26:J26"/>
    <mergeCell ref="A27:J27"/>
  </mergeCells>
  <pageMargins left="0.7" right="0.7" top="0.75" bottom="0.75" header="0.3" footer="0.3"/>
  <pageSetup scale="71" fitToHeight="7" orientation="portrait" r:id="rId1"/>
  <rowBreaks count="7" manualBreakCount="7">
    <brk id="23" max="12" man="1"/>
    <brk id="42" max="12" man="1"/>
    <brk id="61" max="12" man="1"/>
    <brk id="70" max="12" man="1"/>
    <brk id="74" max="12" man="1"/>
    <brk id="80" max="12" man="1"/>
    <brk id="96" max="12" man="1"/>
  </rowBreak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ainMenu">
    <pageSetUpPr fitToPage="1"/>
  </sheetPr>
  <dimension ref="A1:K58"/>
  <sheetViews>
    <sheetView topLeftCell="B1" zoomScale="70" zoomScaleNormal="70" zoomScalePageLayoutView="75" workbookViewId="0">
      <selection activeCell="E18" sqref="E18:J19"/>
    </sheetView>
  </sheetViews>
  <sheetFormatPr defaultColWidth="0" defaultRowHeight="15.5" zeroHeight="1"/>
  <cols>
    <col min="1" max="1" width="4.07421875" style="396" hidden="1" customWidth="1"/>
    <col min="2" max="2" width="2.23046875" style="396" customWidth="1"/>
    <col min="3" max="3" width="11.07421875" style="396" customWidth="1"/>
    <col min="4" max="4" width="12.4609375" style="396" customWidth="1"/>
    <col min="5" max="10" width="11.07421875" style="396" customWidth="1"/>
    <col min="11" max="11" width="4.07421875" style="396" customWidth="1"/>
    <col min="12" max="16383" width="11.07421875" style="396" hidden="1"/>
    <col min="16384" max="16384" width="11.07421875" style="396" hidden="1" customWidth="1"/>
  </cols>
  <sheetData>
    <row r="1" spans="2:11">
      <c r="B1" s="516"/>
      <c r="C1" s="517"/>
      <c r="D1" s="517"/>
      <c r="E1" s="517"/>
      <c r="F1" s="517"/>
      <c r="G1" s="517"/>
      <c r="H1" s="517"/>
      <c r="I1" s="517"/>
      <c r="J1" s="517"/>
      <c r="K1" s="518"/>
    </row>
    <row r="2" spans="2:11">
      <c r="B2" s="519"/>
      <c r="C2" s="520"/>
      <c r="D2" s="520"/>
      <c r="E2" s="520"/>
      <c r="F2" s="520"/>
      <c r="G2" s="520"/>
      <c r="H2" s="520"/>
      <c r="I2" s="520"/>
      <c r="J2" s="520"/>
      <c r="K2" s="521"/>
    </row>
    <row r="3" spans="2:11">
      <c r="B3" s="519"/>
      <c r="C3" s="520"/>
      <c r="D3" s="520"/>
      <c r="E3" s="520"/>
      <c r="F3" s="520"/>
      <c r="G3" s="520"/>
      <c r="H3" s="520"/>
      <c r="I3" s="520"/>
      <c r="J3" s="520"/>
      <c r="K3" s="521"/>
    </row>
    <row r="4" spans="2:11">
      <c r="B4" s="519"/>
      <c r="C4" s="520"/>
      <c r="D4" s="520"/>
      <c r="E4" s="520"/>
      <c r="F4" s="520"/>
      <c r="G4" s="520"/>
      <c r="H4" s="520"/>
      <c r="I4" s="520"/>
      <c r="J4" s="520"/>
      <c r="K4" s="521"/>
    </row>
    <row r="5" spans="2:11">
      <c r="B5" s="519"/>
      <c r="C5" s="520"/>
      <c r="D5" s="520"/>
      <c r="E5" s="520"/>
      <c r="F5" s="520"/>
      <c r="G5" s="520"/>
      <c r="H5" s="520"/>
      <c r="I5" s="520"/>
      <c r="J5" s="520"/>
      <c r="K5" s="521"/>
    </row>
    <row r="6" spans="2:11">
      <c r="B6" s="519"/>
      <c r="C6" s="520"/>
      <c r="D6" s="520"/>
      <c r="E6" s="520"/>
      <c r="F6" s="520"/>
      <c r="G6" s="520"/>
      <c r="H6" s="520"/>
      <c r="I6" s="520"/>
      <c r="J6" s="520"/>
      <c r="K6" s="521"/>
    </row>
    <row r="7" spans="2:11">
      <c r="B7" s="519"/>
      <c r="C7" s="520"/>
      <c r="D7" s="520"/>
      <c r="E7" s="520"/>
      <c r="F7" s="520"/>
      <c r="G7" s="520"/>
      <c r="H7" s="520"/>
      <c r="I7" s="520"/>
      <c r="J7" s="520"/>
      <c r="K7" s="521"/>
    </row>
    <row r="8" spans="2:11">
      <c r="B8" s="519"/>
      <c r="C8" s="520"/>
      <c r="D8" s="520"/>
      <c r="E8" s="520"/>
      <c r="F8" s="520"/>
      <c r="G8" s="520"/>
      <c r="H8" s="520"/>
      <c r="I8" s="520"/>
      <c r="J8" s="520"/>
      <c r="K8" s="521"/>
    </row>
    <row r="9" spans="2:11">
      <c r="B9" s="519"/>
      <c r="C9" s="520"/>
      <c r="D9" s="520"/>
      <c r="E9" s="520"/>
      <c r="F9" s="520"/>
      <c r="G9" s="520"/>
      <c r="H9" s="520"/>
      <c r="I9" s="520"/>
      <c r="J9" s="520"/>
      <c r="K9" s="521"/>
    </row>
    <row r="10" spans="2:11">
      <c r="B10" s="519"/>
      <c r="C10" s="520"/>
      <c r="D10" s="520"/>
      <c r="E10" s="520"/>
      <c r="F10" s="520"/>
      <c r="G10" s="520"/>
      <c r="H10" s="520"/>
      <c r="I10" s="520"/>
      <c r="J10" s="520"/>
      <c r="K10" s="521"/>
    </row>
    <row r="11" spans="2:11">
      <c r="B11" s="519"/>
      <c r="C11" s="520"/>
      <c r="D11" s="520"/>
      <c r="E11" s="520"/>
      <c r="F11" s="520"/>
      <c r="G11" s="520"/>
      <c r="H11" s="520"/>
      <c r="I11" s="520"/>
      <c r="J11" s="520"/>
      <c r="K11" s="521"/>
    </row>
    <row r="12" spans="2:11" ht="15.75" customHeight="1">
      <c r="B12" s="995" t="s">
        <v>920</v>
      </c>
      <c r="C12" s="956"/>
      <c r="D12" s="956"/>
      <c r="E12" s="956"/>
      <c r="F12" s="956"/>
      <c r="G12" s="956"/>
      <c r="H12" s="956"/>
      <c r="I12" s="956"/>
      <c r="J12" s="956"/>
      <c r="K12" s="521"/>
    </row>
    <row r="13" spans="2:11" ht="15.75" customHeight="1">
      <c r="B13" s="995"/>
      <c r="C13" s="956"/>
      <c r="D13" s="956"/>
      <c r="E13" s="956"/>
      <c r="F13" s="956"/>
      <c r="G13" s="956"/>
      <c r="H13" s="956"/>
      <c r="I13" s="956"/>
      <c r="J13" s="956"/>
      <c r="K13" s="521"/>
    </row>
    <row r="14" spans="2:11">
      <c r="B14" s="973" t="str">
        <f>IF('Start Page'!$Y$37="","",IF('Start Page'!$K$37="Partial Audit Period","Water Audit: "&amp;'Start Page'!$D$26&amp;", "&amp;'Start Page'!$H$26&amp;", "&amp;'Start Page'!$K$26&amp;", "&amp;'Start Page'!$Y$37,"Water Audit: "&amp;'Start Page'!$D$26&amp;", "&amp;'Start Page'!$H$26&amp;", "&amp;'Start Page'!$K$26&amp;", "&amp;YEAR('Start Page'!$Y$37)))</f>
        <v/>
      </c>
      <c r="C14" s="974"/>
      <c r="D14" s="974"/>
      <c r="E14" s="974"/>
      <c r="F14" s="974"/>
      <c r="G14" s="974"/>
      <c r="H14" s="974"/>
      <c r="I14" s="974"/>
      <c r="J14" s="974"/>
      <c r="K14" s="975"/>
    </row>
    <row r="15" spans="2:11" ht="16" thickBot="1">
      <c r="B15" s="435" t="s">
        <v>734</v>
      </c>
      <c r="C15" s="522"/>
      <c r="D15" s="522"/>
      <c r="E15" s="522"/>
      <c r="F15" s="522"/>
      <c r="G15" s="522"/>
      <c r="H15" s="522"/>
      <c r="I15" s="522"/>
      <c r="J15" s="522"/>
      <c r="K15" s="523"/>
    </row>
    <row r="16" spans="2:11" ht="16" thickBot="1">
      <c r="B16" s="1002" t="s">
        <v>763</v>
      </c>
      <c r="C16" s="1003"/>
      <c r="D16" s="1003"/>
      <c r="E16" s="1003"/>
      <c r="F16" s="1003"/>
      <c r="G16" s="1003"/>
      <c r="H16" s="1003"/>
      <c r="I16" s="1003"/>
      <c r="J16" s="1003"/>
      <c r="K16" s="1004"/>
    </row>
    <row r="17" spans="1:11">
      <c r="A17" s="747"/>
      <c r="B17" s="104"/>
      <c r="C17" s="517"/>
      <c r="D17" s="517"/>
      <c r="E17" s="517"/>
      <c r="F17" s="517"/>
      <c r="G17" s="517"/>
      <c r="H17" s="517"/>
      <c r="I17" s="517"/>
      <c r="J17" s="517"/>
      <c r="K17" s="518"/>
    </row>
    <row r="18" spans="1:11">
      <c r="A18" s="748"/>
      <c r="B18" s="107"/>
      <c r="C18" s="520"/>
      <c r="D18" s="520"/>
      <c r="E18" s="996" t="s">
        <v>899</v>
      </c>
      <c r="F18" s="997"/>
      <c r="G18" s="997"/>
      <c r="H18" s="997"/>
      <c r="I18" s="997"/>
      <c r="J18" s="998"/>
      <c r="K18" s="521"/>
    </row>
    <row r="19" spans="1:11">
      <c r="A19" s="748"/>
      <c r="B19" s="107"/>
      <c r="C19" s="520"/>
      <c r="D19" s="520"/>
      <c r="E19" s="999"/>
      <c r="F19" s="1000"/>
      <c r="G19" s="1000"/>
      <c r="H19" s="1000"/>
      <c r="I19" s="1000"/>
      <c r="J19" s="1001"/>
      <c r="K19" s="521"/>
    </row>
    <row r="20" spans="1:11">
      <c r="A20" s="748"/>
      <c r="B20" s="107"/>
      <c r="C20" s="520"/>
      <c r="D20" s="520"/>
      <c r="E20" s="520"/>
      <c r="F20" s="520"/>
      <c r="G20" s="520"/>
      <c r="H20" s="520"/>
      <c r="I20" s="520"/>
      <c r="J20" s="520"/>
      <c r="K20" s="521"/>
    </row>
    <row r="21" spans="1:11">
      <c r="A21" s="748"/>
      <c r="B21" s="519"/>
      <c r="C21" s="520"/>
      <c r="D21" s="520"/>
      <c r="E21" s="996" t="s">
        <v>557</v>
      </c>
      <c r="F21" s="997"/>
      <c r="G21" s="997"/>
      <c r="H21" s="997"/>
      <c r="I21" s="997"/>
      <c r="J21" s="998"/>
      <c r="K21" s="521"/>
    </row>
    <row r="22" spans="1:11">
      <c r="A22" s="748"/>
      <c r="B22" s="519"/>
      <c r="C22" s="520"/>
      <c r="D22" s="520"/>
      <c r="E22" s="999"/>
      <c r="F22" s="1000"/>
      <c r="G22" s="1000"/>
      <c r="H22" s="1000"/>
      <c r="I22" s="1000"/>
      <c r="J22" s="1001"/>
      <c r="K22" s="521"/>
    </row>
    <row r="23" spans="1:11">
      <c r="A23" s="748"/>
      <c r="B23" s="519"/>
      <c r="C23" s="520"/>
      <c r="D23" s="520"/>
      <c r="E23" s="524"/>
      <c r="F23" s="524"/>
      <c r="G23" s="524"/>
      <c r="H23" s="524"/>
      <c r="I23" s="524"/>
      <c r="J23" s="524"/>
      <c r="K23" s="521"/>
    </row>
    <row r="24" spans="1:11" ht="15" customHeight="1">
      <c r="A24" s="748"/>
      <c r="B24" s="519"/>
      <c r="C24" s="520"/>
      <c r="D24" s="520"/>
      <c r="E24" s="996" t="s">
        <v>875</v>
      </c>
      <c r="F24" s="997"/>
      <c r="G24" s="997"/>
      <c r="H24" s="997"/>
      <c r="I24" s="997"/>
      <c r="J24" s="998"/>
      <c r="K24" s="521"/>
    </row>
    <row r="25" spans="1:11">
      <c r="A25" s="748"/>
      <c r="B25" s="519"/>
      <c r="C25" s="520"/>
      <c r="D25" s="520"/>
      <c r="E25" s="999"/>
      <c r="F25" s="1000"/>
      <c r="G25" s="1000"/>
      <c r="H25" s="1000"/>
      <c r="I25" s="1000"/>
      <c r="J25" s="1001"/>
      <c r="K25" s="521"/>
    </row>
    <row r="26" spans="1:11">
      <c r="A26" s="748"/>
      <c r="B26" s="519"/>
      <c r="C26" s="520"/>
      <c r="D26" s="520"/>
      <c r="E26" s="749"/>
      <c r="F26" s="749"/>
      <c r="G26" s="749"/>
      <c r="H26" s="749"/>
      <c r="I26" s="749"/>
      <c r="J26" s="749"/>
      <c r="K26" s="521"/>
    </row>
    <row r="27" spans="1:11" ht="15" customHeight="1">
      <c r="A27" s="748"/>
      <c r="B27" s="519"/>
      <c r="C27" s="520"/>
      <c r="D27" s="520"/>
      <c r="E27" s="996" t="s">
        <v>482</v>
      </c>
      <c r="F27" s="997"/>
      <c r="G27" s="997"/>
      <c r="H27" s="997"/>
      <c r="I27" s="997"/>
      <c r="J27" s="998"/>
      <c r="K27" s="521"/>
    </row>
    <row r="28" spans="1:11">
      <c r="A28" s="748"/>
      <c r="B28" s="519"/>
      <c r="C28" s="520"/>
      <c r="D28" s="520"/>
      <c r="E28" s="999"/>
      <c r="F28" s="1000"/>
      <c r="G28" s="1000"/>
      <c r="H28" s="1000"/>
      <c r="I28" s="1000"/>
      <c r="J28" s="1001"/>
      <c r="K28" s="521"/>
    </row>
    <row r="29" spans="1:11">
      <c r="A29" s="748"/>
      <c r="B29" s="519"/>
      <c r="C29" s="520"/>
      <c r="D29" s="520"/>
      <c r="E29" s="524"/>
      <c r="F29" s="524"/>
      <c r="G29" s="524"/>
      <c r="H29" s="524"/>
      <c r="I29" s="524"/>
      <c r="J29" s="524"/>
      <c r="K29" s="521"/>
    </row>
    <row r="30" spans="1:11" ht="15" customHeight="1">
      <c r="A30" s="748"/>
      <c r="B30" s="519"/>
      <c r="C30" s="520"/>
      <c r="D30" s="520"/>
      <c r="E30" s="996" t="s">
        <v>485</v>
      </c>
      <c r="F30" s="997"/>
      <c r="G30" s="997"/>
      <c r="H30" s="997"/>
      <c r="I30" s="997"/>
      <c r="J30" s="998"/>
      <c r="K30" s="521"/>
    </row>
    <row r="31" spans="1:11">
      <c r="A31" s="748"/>
      <c r="B31" s="519"/>
      <c r="C31" s="520"/>
      <c r="D31" s="520"/>
      <c r="E31" s="999"/>
      <c r="F31" s="1000"/>
      <c r="G31" s="1000"/>
      <c r="H31" s="1000"/>
      <c r="I31" s="1000"/>
      <c r="J31" s="1001"/>
      <c r="K31" s="521"/>
    </row>
    <row r="32" spans="1:11">
      <c r="A32" s="748"/>
      <c r="B32" s="519"/>
      <c r="C32" s="520"/>
      <c r="D32" s="520"/>
      <c r="E32" s="524"/>
      <c r="F32" s="524"/>
      <c r="G32" s="524"/>
      <c r="H32" s="524"/>
      <c r="I32" s="524"/>
      <c r="J32" s="524"/>
      <c r="K32" s="521"/>
    </row>
    <row r="33" spans="1:11" ht="15" customHeight="1">
      <c r="A33" s="748"/>
      <c r="B33" s="519"/>
      <c r="C33" s="520"/>
      <c r="D33" s="520"/>
      <c r="E33" s="996" t="s">
        <v>486</v>
      </c>
      <c r="F33" s="997"/>
      <c r="G33" s="997"/>
      <c r="H33" s="997"/>
      <c r="I33" s="997"/>
      <c r="J33" s="998"/>
      <c r="K33" s="521"/>
    </row>
    <row r="34" spans="1:11">
      <c r="A34" s="748"/>
      <c r="B34" s="519"/>
      <c r="C34" s="520"/>
      <c r="D34" s="520"/>
      <c r="E34" s="999"/>
      <c r="F34" s="1000"/>
      <c r="G34" s="1000"/>
      <c r="H34" s="1000"/>
      <c r="I34" s="1000"/>
      <c r="J34" s="1001"/>
      <c r="K34" s="521"/>
    </row>
    <row r="35" spans="1:11">
      <c r="A35" s="748"/>
      <c r="B35" s="519"/>
      <c r="C35" s="520"/>
      <c r="D35" s="520"/>
      <c r="E35" s="524"/>
      <c r="F35" s="524"/>
      <c r="G35" s="524"/>
      <c r="H35" s="524"/>
      <c r="I35" s="524"/>
      <c r="J35" s="524"/>
      <c r="K35" s="521"/>
    </row>
    <row r="36" spans="1:11" ht="15" customHeight="1">
      <c r="A36" s="748"/>
      <c r="B36" s="519"/>
      <c r="C36" s="520"/>
      <c r="D36" s="520"/>
      <c r="E36" s="996" t="s">
        <v>764</v>
      </c>
      <c r="F36" s="997"/>
      <c r="G36" s="997"/>
      <c r="H36" s="997"/>
      <c r="I36" s="997"/>
      <c r="J36" s="998"/>
      <c r="K36" s="521"/>
    </row>
    <row r="37" spans="1:11">
      <c r="A37" s="748"/>
      <c r="B37" s="519"/>
      <c r="C37" s="520"/>
      <c r="D37" s="520"/>
      <c r="E37" s="999"/>
      <c r="F37" s="1000"/>
      <c r="G37" s="1000"/>
      <c r="H37" s="1000"/>
      <c r="I37" s="1000"/>
      <c r="J37" s="1001"/>
      <c r="K37" s="521"/>
    </row>
    <row r="38" spans="1:11">
      <c r="A38" s="748"/>
      <c r="B38" s="519"/>
      <c r="C38" s="520"/>
      <c r="D38" s="520"/>
      <c r="E38" s="520"/>
      <c r="F38" s="520"/>
      <c r="G38" s="520"/>
      <c r="H38" s="520"/>
      <c r="I38" s="520"/>
      <c r="J38" s="520"/>
      <c r="K38" s="521"/>
    </row>
    <row r="39" spans="1:11" ht="15.75" customHeight="1">
      <c r="A39" s="748"/>
      <c r="B39" s="519"/>
      <c r="C39" s="520"/>
      <c r="D39" s="520"/>
      <c r="E39" s="996" t="s">
        <v>913</v>
      </c>
      <c r="F39" s="1007"/>
      <c r="G39" s="1007"/>
      <c r="H39" s="1007"/>
      <c r="I39" s="1007"/>
      <c r="J39" s="1008"/>
      <c r="K39" s="521"/>
    </row>
    <row r="40" spans="1:11">
      <c r="A40" s="748"/>
      <c r="B40" s="519"/>
      <c r="C40" s="520"/>
      <c r="D40" s="520"/>
      <c r="E40" s="1009"/>
      <c r="F40" s="1010"/>
      <c r="G40" s="1010"/>
      <c r="H40" s="1010"/>
      <c r="I40" s="1010"/>
      <c r="J40" s="1011"/>
      <c r="K40" s="521"/>
    </row>
    <row r="41" spans="1:11">
      <c r="A41" s="748"/>
      <c r="B41" s="519"/>
      <c r="C41" s="520"/>
      <c r="D41" s="520"/>
      <c r="E41" s="524"/>
      <c r="F41" s="524"/>
      <c r="G41" s="524"/>
      <c r="H41" s="524"/>
      <c r="I41" s="524"/>
      <c r="J41" s="524"/>
      <c r="K41" s="521"/>
    </row>
    <row r="42" spans="1:11" ht="15.75" customHeight="1">
      <c r="A42" s="748"/>
      <c r="B42" s="519"/>
      <c r="C42" s="520"/>
      <c r="D42" s="520"/>
      <c r="E42" s="996" t="s">
        <v>483</v>
      </c>
      <c r="F42" s="997"/>
      <c r="G42" s="997"/>
      <c r="H42" s="997"/>
      <c r="I42" s="997"/>
      <c r="J42" s="998"/>
      <c r="K42" s="521"/>
    </row>
    <row r="43" spans="1:11">
      <c r="A43" s="748"/>
      <c r="B43" s="519"/>
      <c r="C43" s="520"/>
      <c r="D43" s="520"/>
      <c r="E43" s="999"/>
      <c r="F43" s="1000"/>
      <c r="G43" s="1000"/>
      <c r="H43" s="1000"/>
      <c r="I43" s="1000"/>
      <c r="J43" s="1001"/>
      <c r="K43" s="521"/>
    </row>
    <row r="44" spans="1:11">
      <c r="A44" s="748"/>
      <c r="B44" s="519"/>
      <c r="C44" s="520"/>
      <c r="D44" s="520"/>
      <c r="E44" s="524"/>
      <c r="F44" s="524"/>
      <c r="G44" s="524"/>
      <c r="H44" s="524"/>
      <c r="I44" s="524"/>
      <c r="J44" s="524"/>
      <c r="K44" s="521"/>
    </row>
    <row r="45" spans="1:11" ht="15.75" customHeight="1">
      <c r="A45" s="748"/>
      <c r="B45" s="519"/>
      <c r="C45" s="520"/>
      <c r="D45" s="520"/>
      <c r="E45" s="996" t="s">
        <v>687</v>
      </c>
      <c r="F45" s="997"/>
      <c r="G45" s="997"/>
      <c r="H45" s="997"/>
      <c r="I45" s="997"/>
      <c r="J45" s="998"/>
      <c r="K45" s="521"/>
    </row>
    <row r="46" spans="1:11">
      <c r="A46" s="748"/>
      <c r="B46" s="519"/>
      <c r="C46" s="520"/>
      <c r="D46" s="520"/>
      <c r="E46" s="999"/>
      <c r="F46" s="1000"/>
      <c r="G46" s="1000"/>
      <c r="H46" s="1000"/>
      <c r="I46" s="1000"/>
      <c r="J46" s="1001"/>
      <c r="K46" s="521"/>
    </row>
    <row r="47" spans="1:11">
      <c r="A47" s="748"/>
      <c r="B47" s="519"/>
      <c r="C47" s="520"/>
      <c r="D47" s="520"/>
      <c r="E47" s="524"/>
      <c r="F47" s="524"/>
      <c r="G47" s="524"/>
      <c r="H47" s="524"/>
      <c r="I47" s="524"/>
      <c r="J47" s="524"/>
      <c r="K47" s="521"/>
    </row>
    <row r="48" spans="1:11">
      <c r="A48" s="748"/>
      <c r="B48" s="519"/>
      <c r="C48" s="520"/>
      <c r="D48" s="520"/>
      <c r="E48" s="996" t="s">
        <v>484</v>
      </c>
      <c r="F48" s="997"/>
      <c r="G48" s="997"/>
      <c r="H48" s="997"/>
      <c r="I48" s="997"/>
      <c r="J48" s="998"/>
      <c r="K48" s="521"/>
    </row>
    <row r="49" spans="1:11">
      <c r="A49" s="748"/>
      <c r="B49" s="519"/>
      <c r="C49" s="520"/>
      <c r="D49" s="520"/>
      <c r="E49" s="999"/>
      <c r="F49" s="1000"/>
      <c r="G49" s="1000"/>
      <c r="H49" s="1000"/>
      <c r="I49" s="1000"/>
      <c r="J49" s="1001"/>
      <c r="K49" s="521"/>
    </row>
    <row r="50" spans="1:11">
      <c r="A50" s="748"/>
      <c r="B50" s="519"/>
      <c r="C50" s="520"/>
      <c r="D50" s="520"/>
      <c r="E50" s="524"/>
      <c r="F50" s="524"/>
      <c r="G50" s="524"/>
      <c r="H50" s="524"/>
      <c r="I50" s="524"/>
      <c r="J50" s="524"/>
      <c r="K50" s="521"/>
    </row>
    <row r="51" spans="1:11">
      <c r="A51" s="748"/>
      <c r="B51" s="519"/>
      <c r="C51" s="520"/>
      <c r="D51" s="520"/>
      <c r="E51" s="996" t="s">
        <v>765</v>
      </c>
      <c r="F51" s="997"/>
      <c r="G51" s="997"/>
      <c r="H51" s="997"/>
      <c r="I51" s="997"/>
      <c r="J51" s="998"/>
      <c r="K51" s="521"/>
    </row>
    <row r="52" spans="1:11">
      <c r="A52" s="748"/>
      <c r="B52" s="519"/>
      <c r="C52" s="520"/>
      <c r="D52" s="520"/>
      <c r="E52" s="999"/>
      <c r="F52" s="1000"/>
      <c r="G52" s="1000"/>
      <c r="H52" s="1000"/>
      <c r="I52" s="1000"/>
      <c r="J52" s="1001"/>
      <c r="K52" s="521"/>
    </row>
    <row r="53" spans="1:11">
      <c r="A53" s="748"/>
      <c r="B53" s="519"/>
      <c r="C53" s="520"/>
      <c r="D53" s="520"/>
      <c r="E53" s="520"/>
      <c r="F53" s="520"/>
      <c r="G53" s="520"/>
      <c r="H53" s="520"/>
      <c r="I53" s="520"/>
      <c r="J53" s="520"/>
      <c r="K53" s="521"/>
    </row>
    <row r="54" spans="1:11">
      <c r="A54" s="748"/>
      <c r="B54" s="519"/>
      <c r="C54" s="520"/>
      <c r="D54" s="520"/>
      <c r="E54" s="996" t="s">
        <v>0</v>
      </c>
      <c r="F54" s="997"/>
      <c r="G54" s="997"/>
      <c r="H54" s="997"/>
      <c r="I54" s="997"/>
      <c r="J54" s="998"/>
      <c r="K54" s="521"/>
    </row>
    <row r="55" spans="1:11">
      <c r="A55" s="748"/>
      <c r="B55" s="519"/>
      <c r="C55" s="520"/>
      <c r="D55" s="520"/>
      <c r="E55" s="999"/>
      <c r="F55" s="1000"/>
      <c r="G55" s="1000"/>
      <c r="H55" s="1000"/>
      <c r="I55" s="1000"/>
      <c r="J55" s="1001"/>
      <c r="K55" s="521"/>
    </row>
    <row r="56" spans="1:11">
      <c r="A56" s="748"/>
      <c r="B56" s="519"/>
      <c r="C56" s="520"/>
      <c r="D56" s="520"/>
      <c r="E56" s="520"/>
      <c r="F56" s="520"/>
      <c r="G56" s="520"/>
      <c r="H56" s="520"/>
      <c r="I56" s="520"/>
      <c r="J56" s="520"/>
      <c r="K56" s="521"/>
    </row>
    <row r="57" spans="1:11" ht="16" thickBot="1">
      <c r="A57" s="750"/>
      <c r="B57" s="1005">
        <f ca="1">TODAY()</f>
        <v>43210</v>
      </c>
      <c r="C57" s="1006"/>
      <c r="D57" s="752"/>
      <c r="E57" s="752"/>
      <c r="F57" s="752"/>
      <c r="G57" s="752"/>
      <c r="H57" s="752"/>
      <c r="I57" s="752"/>
      <c r="J57" s="752"/>
      <c r="K57" s="753" t="s">
        <v>922</v>
      </c>
    </row>
    <row r="58" spans="1:11" hidden="1"/>
  </sheetData>
  <sheetProtection algorithmName="SHA-512" hashValue="mP1g5cgjpBKVHswaDHto1cZDdkr5JtuEem1oxbA7F1u/GwQgZooI9tRpNsr2CiJzONVx7njVWilZx41vJOxPzA==" saltValue="ZUQZPLcCx4ey/T4cAujpGw==" spinCount="100000" sheet="1" objects="1" scenarios="1"/>
  <mergeCells count="17">
    <mergeCell ref="B57:C57"/>
    <mergeCell ref="E39:J40"/>
    <mergeCell ref="E24:J25"/>
    <mergeCell ref="E48:J49"/>
    <mergeCell ref="E45:J46"/>
    <mergeCell ref="E42:J43"/>
    <mergeCell ref="E36:J37"/>
    <mergeCell ref="E33:J34"/>
    <mergeCell ref="E30:J31"/>
    <mergeCell ref="E27:J28"/>
    <mergeCell ref="B12:J13"/>
    <mergeCell ref="B14:K14"/>
    <mergeCell ref="E51:J52"/>
    <mergeCell ref="E54:J55"/>
    <mergeCell ref="B16:K16"/>
    <mergeCell ref="E21:J22"/>
    <mergeCell ref="E18:J19"/>
  </mergeCells>
  <printOptions horizontalCentered="1" verticalCentered="1"/>
  <pageMargins left="0.5" right="0.5" top="0.5" bottom="0.5" header="0.5" footer="0.5"/>
  <pageSetup paperSize="9" scale="80" orientation="portrait" horizontalDpi="4294967292" verticalDpi="4294967292" r:id="rId1"/>
  <drawing r:id="rId2"/>
  <legacyDrawing r:id="rId3"/>
  <controls>
    <mc:AlternateContent xmlns:mc="http://schemas.openxmlformats.org/markup-compatibility/2006">
      <mc:Choice Requires="x14">
        <control shapeId="11298" r:id="rId4" name="Glossarybutton">
          <controlPr defaultSize="0" autoLine="0" altText="Start Page" r:id="rId5">
            <anchor moveWithCells="1">
              <from>
                <xdr:col>2</xdr:col>
                <xdr:colOff>0</xdr:colOff>
                <xdr:row>50</xdr:row>
                <xdr:rowOff>0</xdr:rowOff>
              </from>
              <to>
                <xdr:col>4</xdr:col>
                <xdr:colOff>196850</xdr:colOff>
                <xdr:row>52</xdr:row>
                <xdr:rowOff>76200</xdr:rowOff>
              </to>
            </anchor>
          </controlPr>
        </control>
      </mc:Choice>
      <mc:Fallback>
        <control shapeId="11298" r:id="rId4" name="Glossarybutton"/>
      </mc:Fallback>
    </mc:AlternateContent>
    <mc:AlternateContent xmlns:mc="http://schemas.openxmlformats.org/markup-compatibility/2006">
      <mc:Choice Requires="x14">
        <control shapeId="11297" r:id="rId6" name="RLCompChart">
          <controlPr defaultSize="0" autoLine="0" altText="Start Page" r:id="rId7">
            <anchor moveWithCells="1">
              <from>
                <xdr:col>2</xdr:col>
                <xdr:colOff>0</xdr:colOff>
                <xdr:row>35</xdr:row>
                <xdr:rowOff>0</xdr:rowOff>
              </from>
              <to>
                <xdr:col>4</xdr:col>
                <xdr:colOff>196850</xdr:colOff>
                <xdr:row>37</xdr:row>
                <xdr:rowOff>82550</xdr:rowOff>
              </to>
            </anchor>
          </controlPr>
        </control>
      </mc:Choice>
      <mc:Fallback>
        <control shapeId="11297" r:id="rId6" name="RLCompChart"/>
      </mc:Fallback>
    </mc:AlternateContent>
    <mc:AlternateContent xmlns:mc="http://schemas.openxmlformats.org/markup-compatibility/2006">
      <mc:Choice Requires="x14">
        <control shapeId="11293" r:id="rId8" name="SummaryButton">
          <controlPr defaultSize="0" autoLine="0" altText="Start Page" r:id="rId9">
            <anchor moveWithCells="1">
              <from>
                <xdr:col>2</xdr:col>
                <xdr:colOff>0</xdr:colOff>
                <xdr:row>23</xdr:row>
                <xdr:rowOff>0</xdr:rowOff>
              </from>
              <to>
                <xdr:col>4</xdr:col>
                <xdr:colOff>196850</xdr:colOff>
                <xdr:row>25</xdr:row>
                <xdr:rowOff>82550</xdr:rowOff>
              </to>
            </anchor>
          </controlPr>
        </control>
      </mc:Choice>
      <mc:Fallback>
        <control shapeId="11293" r:id="rId8" name="SummaryButton"/>
      </mc:Fallback>
    </mc:AlternateContent>
    <mc:AlternateContent xmlns:mc="http://schemas.openxmlformats.org/markup-compatibility/2006">
      <mc:Choice Requires="x14">
        <control shapeId="11292" r:id="rId10" name="LicenseSheet">
          <controlPr defaultSize="0" autoLine="0" r:id="rId11">
            <anchor moveWithCells="1">
              <from>
                <xdr:col>2</xdr:col>
                <xdr:colOff>0</xdr:colOff>
                <xdr:row>53</xdr:row>
                <xdr:rowOff>0</xdr:rowOff>
              </from>
              <to>
                <xdr:col>4</xdr:col>
                <xdr:colOff>196850</xdr:colOff>
                <xdr:row>55</xdr:row>
                <xdr:rowOff>76200</xdr:rowOff>
              </to>
            </anchor>
          </controlPr>
        </control>
      </mc:Choice>
      <mc:Fallback>
        <control shapeId="11292" r:id="rId10" name="LicenseSheet"/>
      </mc:Fallback>
    </mc:AlternateContent>
    <mc:AlternateContent xmlns:mc="http://schemas.openxmlformats.org/markup-compatibility/2006">
      <mc:Choice Requires="x14">
        <control shapeId="11291" r:id="rId12" name="PressureMSheet">
          <controlPr defaultSize="0" autoLine="0" r:id="rId13">
            <anchor moveWithCells="1">
              <from>
                <xdr:col>2</xdr:col>
                <xdr:colOff>0</xdr:colOff>
                <xdr:row>47</xdr:row>
                <xdr:rowOff>38100</xdr:rowOff>
              </from>
              <to>
                <xdr:col>4</xdr:col>
                <xdr:colOff>196850</xdr:colOff>
                <xdr:row>49</xdr:row>
                <xdr:rowOff>114300</xdr:rowOff>
              </to>
            </anchor>
          </controlPr>
        </control>
      </mc:Choice>
      <mc:Fallback>
        <control shapeId="11291" r:id="rId12" name="PressureMSheet"/>
      </mc:Fallback>
    </mc:AlternateContent>
    <mc:AlternateContent xmlns:mc="http://schemas.openxmlformats.org/markup-compatibility/2006">
      <mc:Choice Requires="x14">
        <control shapeId="11290" r:id="rId14" name="EconInterSheet">
          <controlPr defaultSize="0" autoLine="0" r:id="rId15">
            <anchor moveWithCells="1">
              <from>
                <xdr:col>2</xdr:col>
                <xdr:colOff>0</xdr:colOff>
                <xdr:row>44</xdr:row>
                <xdr:rowOff>0</xdr:rowOff>
              </from>
              <to>
                <xdr:col>4</xdr:col>
                <xdr:colOff>196850</xdr:colOff>
                <xdr:row>46</xdr:row>
                <xdr:rowOff>76200</xdr:rowOff>
              </to>
            </anchor>
          </controlPr>
        </control>
      </mc:Choice>
      <mc:Fallback>
        <control shapeId="11290" r:id="rId14" name="EconInterSheet"/>
      </mc:Fallback>
    </mc:AlternateContent>
    <mc:AlternateContent xmlns:mc="http://schemas.openxmlformats.org/markup-compatibility/2006">
      <mc:Choice Requires="x14">
        <control shapeId="11289" r:id="rId16" name="ALRSheet">
          <controlPr defaultSize="0" autoLine="0" r:id="rId17">
            <anchor moveWithCells="1">
              <from>
                <xdr:col>2</xdr:col>
                <xdr:colOff>0</xdr:colOff>
                <xdr:row>41</xdr:row>
                <xdr:rowOff>0</xdr:rowOff>
              </from>
              <to>
                <xdr:col>4</xdr:col>
                <xdr:colOff>196850</xdr:colOff>
                <xdr:row>43</xdr:row>
                <xdr:rowOff>76200</xdr:rowOff>
              </to>
            </anchor>
          </controlPr>
        </control>
      </mc:Choice>
      <mc:Fallback>
        <control shapeId="11289" r:id="rId16" name="ALRSheet"/>
      </mc:Fallback>
    </mc:AlternateContent>
    <mc:AlternateContent xmlns:mc="http://schemas.openxmlformats.org/markup-compatibility/2006">
      <mc:Choice Requires="x14">
        <control shapeId="11288" r:id="rId18" name="BreakFreqSheet">
          <controlPr defaultSize="0" autoLine="0" r:id="rId19">
            <anchor moveWithCells="1">
              <from>
                <xdr:col>2</xdr:col>
                <xdr:colOff>0</xdr:colOff>
                <xdr:row>38</xdr:row>
                <xdr:rowOff>0</xdr:rowOff>
              </from>
              <to>
                <xdr:col>4</xdr:col>
                <xdr:colOff>196850</xdr:colOff>
                <xdr:row>40</xdr:row>
                <xdr:rowOff>76200</xdr:rowOff>
              </to>
            </anchor>
          </controlPr>
        </control>
      </mc:Choice>
      <mc:Fallback>
        <control shapeId="11288" r:id="rId18" name="BreakFreqSheet"/>
      </mc:Fallback>
    </mc:AlternateContent>
    <mc:AlternateContent xmlns:mc="http://schemas.openxmlformats.org/markup-compatibility/2006">
      <mc:Choice Requires="x14">
        <control shapeId="11287" r:id="rId20" name="RLSheet">
          <controlPr defaultSize="0" autoLine="0" r:id="rId21">
            <anchor moveWithCells="1">
              <from>
                <xdr:col>2</xdr:col>
                <xdr:colOff>0</xdr:colOff>
                <xdr:row>32</xdr:row>
                <xdr:rowOff>0</xdr:rowOff>
              </from>
              <to>
                <xdr:col>4</xdr:col>
                <xdr:colOff>196850</xdr:colOff>
                <xdr:row>34</xdr:row>
                <xdr:rowOff>82550</xdr:rowOff>
              </to>
            </anchor>
          </controlPr>
        </control>
      </mc:Choice>
      <mc:Fallback>
        <control shapeId="11287" r:id="rId20" name="RLSheet"/>
      </mc:Fallback>
    </mc:AlternateContent>
    <mc:AlternateContent xmlns:mc="http://schemas.openxmlformats.org/markup-compatibility/2006">
      <mc:Choice Requires="x14">
        <control shapeId="11286" r:id="rId22" name="PISheet">
          <controlPr defaultSize="0" autoLine="0" r:id="rId23">
            <anchor moveWithCells="1">
              <from>
                <xdr:col>2</xdr:col>
                <xdr:colOff>0</xdr:colOff>
                <xdr:row>29</xdr:row>
                <xdr:rowOff>0</xdr:rowOff>
              </from>
              <to>
                <xdr:col>4</xdr:col>
                <xdr:colOff>196850</xdr:colOff>
                <xdr:row>31</xdr:row>
                <xdr:rowOff>82550</xdr:rowOff>
              </to>
            </anchor>
          </controlPr>
        </control>
      </mc:Choice>
      <mc:Fallback>
        <control shapeId="11286" r:id="rId22" name="PISheet"/>
      </mc:Fallback>
    </mc:AlternateContent>
    <mc:AlternateContent xmlns:mc="http://schemas.openxmlformats.org/markup-compatibility/2006">
      <mc:Choice Requires="x14">
        <control shapeId="11285" r:id="rId24" name="AWWAWB">
          <controlPr defaultSize="0" autoLine="0" r:id="rId25">
            <anchor moveWithCells="1">
              <from>
                <xdr:col>2</xdr:col>
                <xdr:colOff>0</xdr:colOff>
                <xdr:row>26</xdr:row>
                <xdr:rowOff>0</xdr:rowOff>
              </from>
              <to>
                <xdr:col>4</xdr:col>
                <xdr:colOff>196850</xdr:colOff>
                <xdr:row>28</xdr:row>
                <xdr:rowOff>82550</xdr:rowOff>
              </to>
            </anchor>
          </controlPr>
        </control>
      </mc:Choice>
      <mc:Fallback>
        <control shapeId="11285" r:id="rId24" name="AWWAWB"/>
      </mc:Fallback>
    </mc:AlternateContent>
    <mc:AlternateContent xmlns:mc="http://schemas.openxmlformats.org/markup-compatibility/2006">
      <mc:Choice Requires="x14">
        <control shapeId="11284" r:id="rId26" name="StartPage">
          <controlPr defaultSize="0" autoLine="0" altText="Start Page" r:id="rId27">
            <anchor moveWithCells="1">
              <from>
                <xdr:col>2</xdr:col>
                <xdr:colOff>0</xdr:colOff>
                <xdr:row>20</xdr:row>
                <xdr:rowOff>0</xdr:rowOff>
              </from>
              <to>
                <xdr:col>4</xdr:col>
                <xdr:colOff>196850</xdr:colOff>
                <xdr:row>22</xdr:row>
                <xdr:rowOff>76200</xdr:rowOff>
              </to>
            </anchor>
          </controlPr>
        </control>
      </mc:Choice>
      <mc:Fallback>
        <control shapeId="11284" r:id="rId26" name="StartPage"/>
      </mc:Fallback>
    </mc:AlternateContent>
    <mc:AlternateContent xmlns:mc="http://schemas.openxmlformats.org/markup-compatibility/2006">
      <mc:Choice Requires="x14">
        <control shapeId="11299" r:id="rId28" name="InstructionsButton">
          <controlPr defaultSize="0" autoLine="0" altText="Start Page" r:id="rId29">
            <anchor moveWithCells="1">
              <from>
                <xdr:col>2</xdr:col>
                <xdr:colOff>0</xdr:colOff>
                <xdr:row>17</xdr:row>
                <xdr:rowOff>0</xdr:rowOff>
              </from>
              <to>
                <xdr:col>4</xdr:col>
                <xdr:colOff>196850</xdr:colOff>
                <xdr:row>19</xdr:row>
                <xdr:rowOff>76200</xdr:rowOff>
              </to>
            </anchor>
          </controlPr>
        </control>
      </mc:Choice>
      <mc:Fallback>
        <control shapeId="11299" r:id="rId28" name="Instructions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art">
    <pageSetUpPr fitToPage="1"/>
  </sheetPr>
  <dimension ref="A1:XFC90"/>
  <sheetViews>
    <sheetView topLeftCell="B1" zoomScale="70" zoomScaleNormal="70" zoomScalePageLayoutView="75" workbookViewId="0">
      <selection activeCell="H39" sqref="H39"/>
    </sheetView>
  </sheetViews>
  <sheetFormatPr defaultColWidth="0" defaultRowHeight="15.5" zeroHeight="1"/>
  <cols>
    <col min="1" max="1" width="2.23046875" style="123" hidden="1" customWidth="1"/>
    <col min="2" max="2" width="21.765625" style="123" customWidth="1"/>
    <col min="3" max="3" width="3.69140625" style="123" customWidth="1"/>
    <col min="4" max="4" width="11.07421875" style="123" customWidth="1"/>
    <col min="5" max="5" width="16.84375" style="123" customWidth="1"/>
    <col min="6" max="6" width="11.07421875" style="123" customWidth="1"/>
    <col min="7" max="7" width="5.84375" style="123" customWidth="1"/>
    <col min="8" max="8" width="11.07421875" style="123" customWidth="1"/>
    <col min="9" max="9" width="17.4609375" style="123" customWidth="1"/>
    <col min="10" max="10" width="5.84375" style="123" customWidth="1"/>
    <col min="11" max="11" width="11.07421875" style="123" customWidth="1"/>
    <col min="12" max="12" width="19.07421875" style="123" customWidth="1"/>
    <col min="13" max="14" width="11.07421875" style="123" customWidth="1"/>
    <col min="15" max="15" width="2.84375" style="123" customWidth="1"/>
    <col min="16" max="19" width="1.3046875" style="123" customWidth="1"/>
    <col min="20" max="21" width="8.84375" style="123" hidden="1" customWidth="1"/>
    <col min="22" max="24" width="11.07421875" style="123" hidden="1" customWidth="1"/>
    <col min="25" max="25" width="35" style="123" hidden="1" customWidth="1"/>
    <col min="26" max="28" width="11.07421875" style="123" hidden="1" customWidth="1"/>
    <col min="29" max="31" width="8.84375" style="123" hidden="1" customWidth="1"/>
    <col min="32" max="32" width="11.07421875" style="123" hidden="1" customWidth="1"/>
    <col min="33" max="16384" width="8.84375" style="123" hidden="1"/>
  </cols>
  <sheetData>
    <row r="1" spans="1:36" ht="15.75" customHeight="1">
      <c r="A1" s="9"/>
      <c r="B1" s="1012" t="s">
        <v>920</v>
      </c>
      <c r="C1" s="1013"/>
      <c r="D1" s="1013"/>
      <c r="E1" s="1013"/>
      <c r="F1" s="1013"/>
      <c r="G1" s="1013"/>
      <c r="H1" s="1013"/>
      <c r="I1" s="1013"/>
      <c r="J1" s="1013"/>
      <c r="K1" s="1013"/>
      <c r="L1" s="1013"/>
      <c r="M1" s="1013"/>
      <c r="N1" s="1013"/>
      <c r="O1" s="371"/>
      <c r="P1" s="371"/>
      <c r="Q1" s="5"/>
      <c r="R1" s="5"/>
      <c r="S1" s="10"/>
      <c r="T1" s="47"/>
      <c r="U1" s="47"/>
      <c r="V1" s="47"/>
      <c r="W1" s="47"/>
      <c r="X1" s="47"/>
      <c r="Y1" s="47"/>
      <c r="Z1" s="47"/>
      <c r="AA1" s="47"/>
      <c r="AB1" s="47"/>
      <c r="AC1" s="47"/>
      <c r="AD1" s="47"/>
      <c r="AE1" s="47"/>
      <c r="AF1" s="47"/>
      <c r="AG1" s="47"/>
      <c r="AH1" s="47"/>
      <c r="AI1" s="47"/>
      <c r="AJ1" s="47"/>
    </row>
    <row r="2" spans="1:36" ht="15.75" customHeight="1">
      <c r="A2" s="11"/>
      <c r="B2" s="1014"/>
      <c r="C2" s="1015"/>
      <c r="D2" s="1015"/>
      <c r="E2" s="1015"/>
      <c r="F2" s="1015"/>
      <c r="G2" s="1015"/>
      <c r="H2" s="1015"/>
      <c r="I2" s="1015"/>
      <c r="J2" s="1015"/>
      <c r="K2" s="1015"/>
      <c r="L2" s="1015"/>
      <c r="M2" s="1015"/>
      <c r="N2" s="1015"/>
      <c r="O2" s="548"/>
      <c r="P2" s="548"/>
      <c r="Q2" s="7"/>
      <c r="R2" s="7"/>
      <c r="S2" s="12"/>
      <c r="T2" s="47"/>
      <c r="U2" s="47"/>
      <c r="V2" s="47"/>
      <c r="W2" s="47"/>
      <c r="X2" s="47"/>
      <c r="Y2" s="47"/>
      <c r="Z2" s="47"/>
      <c r="AA2" s="47"/>
      <c r="AB2" s="47"/>
      <c r="AC2" s="47"/>
      <c r="AD2" s="47"/>
      <c r="AE2" s="47"/>
      <c r="AF2" s="47"/>
      <c r="AG2" s="47"/>
      <c r="AH2" s="47"/>
      <c r="AI2" s="47"/>
      <c r="AJ2" s="47"/>
    </row>
    <row r="3" spans="1:36" ht="15.75" customHeight="1">
      <c r="A3" s="11"/>
      <c r="B3" s="1016" t="str">
        <f>IF($Y$37="","",IF($K$37="Partial Audit Period","Water Audit: "&amp;$D$26&amp;", "&amp;$H$26&amp;", "&amp;$K$26&amp;", "&amp;$Y$37,"Water Audit: "&amp;$D$26&amp;", "&amp;$H$26&amp;", "&amp;$K$26&amp;", "&amp;YEAR($Y$37)))</f>
        <v/>
      </c>
      <c r="C3" s="1017"/>
      <c r="D3" s="1017"/>
      <c r="E3" s="1017"/>
      <c r="F3" s="1017"/>
      <c r="G3" s="1017"/>
      <c r="H3" s="1017"/>
      <c r="I3" s="1017"/>
      <c r="J3" s="1017"/>
      <c r="K3" s="1017"/>
      <c r="L3" s="1017"/>
      <c r="M3" s="1017"/>
      <c r="N3" s="1017"/>
      <c r="O3" s="1017"/>
      <c r="P3" s="1017"/>
      <c r="Q3" s="1017"/>
      <c r="R3" s="1017"/>
      <c r="S3" s="1018"/>
      <c r="T3" s="47"/>
      <c r="U3" s="47"/>
      <c r="V3" s="47"/>
      <c r="W3" s="47"/>
      <c r="X3" s="47"/>
      <c r="Y3" s="47"/>
      <c r="Z3" s="47"/>
      <c r="AA3" s="47"/>
      <c r="AB3" s="47"/>
      <c r="AC3" s="47"/>
      <c r="AD3" s="47"/>
      <c r="AE3" s="47"/>
      <c r="AF3" s="47"/>
      <c r="AG3" s="47"/>
      <c r="AH3" s="47"/>
      <c r="AI3" s="47"/>
      <c r="AJ3" s="47"/>
    </row>
    <row r="4" spans="1:36" ht="15.75" customHeight="1" thickBot="1">
      <c r="A4" s="17"/>
      <c r="B4" s="398" t="s">
        <v>481</v>
      </c>
      <c r="C4" s="705"/>
      <c r="D4" s="705"/>
      <c r="E4" s="705"/>
      <c r="F4" s="705"/>
      <c r="G4" s="705"/>
      <c r="H4" s="705"/>
      <c r="I4" s="705"/>
      <c r="J4" s="705"/>
      <c r="K4" s="705"/>
      <c r="L4" s="705"/>
      <c r="M4" s="705"/>
      <c r="N4" s="705"/>
      <c r="O4" s="705"/>
      <c r="P4" s="705"/>
      <c r="Q4" s="316"/>
      <c r="R4" s="316"/>
      <c r="S4" s="12"/>
      <c r="T4" s="47"/>
      <c r="U4" s="47"/>
      <c r="V4" s="47"/>
      <c r="W4" s="47"/>
      <c r="X4" s="47"/>
      <c r="Y4" s="47"/>
      <c r="Z4" s="47"/>
      <c r="AA4" s="47"/>
      <c r="AB4" s="47"/>
      <c r="AC4" s="47"/>
      <c r="AD4" s="47"/>
      <c r="AE4" s="47"/>
      <c r="AF4" s="47"/>
      <c r="AG4" s="47"/>
      <c r="AH4" s="47"/>
      <c r="AI4" s="47"/>
      <c r="AJ4" s="47"/>
    </row>
    <row r="5" spans="1:36" s="1037" customFormat="1" ht="15.75" customHeight="1" thickBot="1">
      <c r="A5" s="81"/>
      <c r="B5" s="1037" t="s">
        <v>763</v>
      </c>
      <c r="C5" s="1038"/>
      <c r="D5" s="1038"/>
      <c r="E5" s="1038"/>
      <c r="F5" s="1038"/>
      <c r="G5" s="1038"/>
      <c r="H5" s="1038"/>
      <c r="I5" s="1038"/>
      <c r="J5" s="1038"/>
      <c r="K5" s="1038"/>
      <c r="L5" s="1038"/>
      <c r="M5" s="1038"/>
      <c r="N5" s="1038"/>
      <c r="O5" s="1038"/>
      <c r="P5" s="1038"/>
      <c r="Q5" s="1038"/>
      <c r="R5" s="1038"/>
      <c r="S5" s="1038"/>
      <c r="T5" s="1038"/>
      <c r="U5" s="1038"/>
      <c r="V5" s="1038"/>
      <c r="W5" s="1038"/>
      <c r="X5" s="1038"/>
      <c r="Y5" s="1038"/>
      <c r="Z5" s="1038"/>
      <c r="AA5" s="1038"/>
      <c r="AB5" s="1038"/>
      <c r="AC5" s="1038"/>
      <c r="AD5" s="1038"/>
      <c r="AE5" s="1038"/>
      <c r="AF5" s="1038"/>
      <c r="AG5" s="1038"/>
      <c r="AH5" s="1038"/>
      <c r="AI5" s="1038"/>
      <c r="AJ5" s="1038"/>
    </row>
    <row r="6" spans="1:36" ht="33.75" customHeight="1">
      <c r="A6" s="91"/>
      <c r="B6" s="754" t="s">
        <v>3</v>
      </c>
      <c r="C6" s="1039" t="s">
        <v>881</v>
      </c>
      <c r="D6" s="1039"/>
      <c r="E6" s="1039"/>
      <c r="F6" s="1039"/>
      <c r="G6" s="1039"/>
      <c r="H6" s="1039"/>
      <c r="I6" s="1039"/>
      <c r="J6" s="1039"/>
      <c r="K6" s="1039"/>
      <c r="L6" s="1039"/>
      <c r="M6" s="1039"/>
      <c r="N6" s="1039"/>
      <c r="O6" s="1039"/>
      <c r="P6" s="1039"/>
      <c r="Q6" s="755"/>
      <c r="R6" s="755"/>
      <c r="S6" s="756"/>
      <c r="T6" s="95"/>
      <c r="U6" s="47"/>
      <c r="V6" s="47"/>
      <c r="W6" s="47"/>
      <c r="X6" s="47"/>
      <c r="Y6" s="47"/>
      <c r="Z6" s="47"/>
      <c r="AA6" s="47"/>
      <c r="AB6" s="47"/>
      <c r="AC6" s="47"/>
      <c r="AD6" s="47"/>
      <c r="AE6" s="47"/>
      <c r="AF6" s="47"/>
      <c r="AG6" s="47"/>
      <c r="AH6" s="47"/>
      <c r="AI6" s="47"/>
      <c r="AJ6" s="47"/>
    </row>
    <row r="7" spans="1:36" ht="20.149999999999999" customHeight="1">
      <c r="A7" s="91"/>
      <c r="B7" s="549"/>
      <c r="C7" s="1040"/>
      <c r="D7" s="1040"/>
      <c r="E7" s="1040"/>
      <c r="F7" s="1040"/>
      <c r="G7" s="1040"/>
      <c r="H7" s="1040"/>
      <c r="I7" s="1040"/>
      <c r="J7" s="1040"/>
      <c r="K7" s="1040"/>
      <c r="L7" s="1040"/>
      <c r="M7" s="1040"/>
      <c r="N7" s="1040"/>
      <c r="O7" s="1040"/>
      <c r="P7" s="1040"/>
      <c r="Q7" s="93"/>
      <c r="R7" s="93"/>
      <c r="S7" s="94"/>
      <c r="T7" s="95"/>
      <c r="U7" s="47"/>
      <c r="V7" s="47"/>
      <c r="W7" s="47"/>
      <c r="X7" s="47"/>
      <c r="Y7" s="47"/>
      <c r="Z7" s="47"/>
      <c r="AA7" s="47"/>
      <c r="AB7" s="47"/>
      <c r="AC7" s="47"/>
      <c r="AD7" s="47"/>
      <c r="AE7" s="47"/>
      <c r="AF7" s="47"/>
      <c r="AG7" s="47"/>
      <c r="AH7" s="47"/>
      <c r="AI7" s="47"/>
      <c r="AJ7" s="47"/>
    </row>
    <row r="8" spans="1:36" ht="25.5" customHeight="1">
      <c r="A8" s="91"/>
      <c r="B8" s="549"/>
      <c r="C8" s="1040"/>
      <c r="D8" s="1040"/>
      <c r="E8" s="1040"/>
      <c r="F8" s="1040"/>
      <c r="G8" s="1040"/>
      <c r="H8" s="1040"/>
      <c r="I8" s="1040"/>
      <c r="J8" s="1040"/>
      <c r="K8" s="1040"/>
      <c r="L8" s="1040"/>
      <c r="M8" s="1040"/>
      <c r="N8" s="1040"/>
      <c r="O8" s="1040"/>
      <c r="P8" s="1040"/>
      <c r="Q8" s="93"/>
      <c r="R8" s="93"/>
      <c r="S8" s="94"/>
      <c r="T8" s="95"/>
      <c r="U8" s="47"/>
      <c r="V8" s="47"/>
      <c r="W8" s="47"/>
      <c r="X8" s="47"/>
      <c r="Y8" s="47"/>
      <c r="Z8" s="47"/>
      <c r="AA8" s="47"/>
      <c r="AB8" s="47"/>
      <c r="AC8" s="47"/>
      <c r="AD8" s="47"/>
      <c r="AE8" s="47"/>
      <c r="AF8" s="47"/>
      <c r="AG8" s="47"/>
      <c r="AH8" s="47"/>
      <c r="AI8" s="47"/>
      <c r="AJ8" s="47"/>
    </row>
    <row r="9" spans="1:36" ht="20.149999999999999" customHeight="1">
      <c r="A9" s="91"/>
      <c r="B9" s="549"/>
      <c r="C9" s="705"/>
      <c r="D9" s="705"/>
      <c r="E9" s="705"/>
      <c r="F9" s="705"/>
      <c r="G9" s="705"/>
      <c r="H9" s="705"/>
      <c r="I9" s="705"/>
      <c r="J9" s="705"/>
      <c r="K9" s="705"/>
      <c r="L9" s="705"/>
      <c r="M9" s="705"/>
      <c r="N9" s="705"/>
      <c r="O9" s="705"/>
      <c r="P9" s="705"/>
      <c r="Q9" s="316"/>
      <c r="R9" s="316"/>
      <c r="S9" s="12"/>
      <c r="T9" s="47"/>
      <c r="U9" s="47"/>
      <c r="V9" s="47"/>
      <c r="W9" s="47"/>
      <c r="X9" s="47"/>
      <c r="Y9" s="47"/>
      <c r="Z9" s="47"/>
      <c r="AA9" s="47"/>
      <c r="AB9" s="47"/>
      <c r="AC9" s="47"/>
      <c r="AD9" s="47"/>
      <c r="AE9" s="47"/>
      <c r="AF9" s="47"/>
      <c r="AG9" s="47"/>
      <c r="AH9" s="47"/>
      <c r="AI9" s="47"/>
      <c r="AJ9" s="47"/>
    </row>
    <row r="10" spans="1:36" ht="20.149999999999999" customHeight="1">
      <c r="A10" s="91"/>
      <c r="B10" s="402"/>
      <c r="C10" s="1041" t="s">
        <v>895</v>
      </c>
      <c r="D10" s="1041"/>
      <c r="E10" s="1041"/>
      <c r="F10" s="1041"/>
      <c r="G10" s="1041"/>
      <c r="H10" s="1041"/>
      <c r="I10" s="1041"/>
      <c r="J10" s="1041"/>
      <c r="K10" s="1041"/>
      <c r="L10" s="1041"/>
      <c r="M10" s="1041"/>
      <c r="N10" s="1041"/>
      <c r="O10" s="1041"/>
      <c r="P10" s="1041"/>
      <c r="Q10" s="316"/>
      <c r="R10" s="316"/>
      <c r="S10" s="12"/>
      <c r="T10" s="47"/>
      <c r="U10" s="47"/>
      <c r="V10" s="47"/>
      <c r="W10" s="47"/>
      <c r="X10" s="47"/>
      <c r="Y10" s="47"/>
      <c r="Z10" s="47"/>
      <c r="AA10" s="47"/>
      <c r="AB10" s="47"/>
      <c r="AC10" s="47"/>
      <c r="AD10" s="47"/>
      <c r="AE10" s="47"/>
      <c r="AF10" s="47"/>
      <c r="AG10" s="47"/>
      <c r="AH10" s="47"/>
      <c r="AI10" s="47"/>
      <c r="AJ10" s="47"/>
    </row>
    <row r="11" spans="1:36" ht="20.149999999999999" customHeight="1">
      <c r="A11" s="91"/>
      <c r="B11" s="549"/>
      <c r="C11" s="1041"/>
      <c r="D11" s="1041"/>
      <c r="E11" s="1041"/>
      <c r="F11" s="1041"/>
      <c r="G11" s="1041"/>
      <c r="H11" s="1041"/>
      <c r="I11" s="1041"/>
      <c r="J11" s="1041"/>
      <c r="K11" s="1041"/>
      <c r="L11" s="1041"/>
      <c r="M11" s="1041"/>
      <c r="N11" s="1041"/>
      <c r="O11" s="1041"/>
      <c r="P11" s="1041"/>
      <c r="Q11" s="316"/>
      <c r="R11" s="316"/>
      <c r="S11" s="12"/>
      <c r="T11" s="47"/>
      <c r="U11" s="47"/>
      <c r="V11" s="47"/>
      <c r="W11" s="47"/>
      <c r="X11" s="47"/>
      <c r="Y11" s="47"/>
      <c r="Z11" s="47"/>
      <c r="AA11" s="47"/>
      <c r="AB11" s="47"/>
      <c r="AC11" s="47"/>
      <c r="AD11" s="47"/>
      <c r="AE11" s="47"/>
      <c r="AF11" s="47"/>
      <c r="AG11" s="47"/>
      <c r="AH11" s="47"/>
      <c r="AI11" s="47"/>
      <c r="AJ11" s="47"/>
    </row>
    <row r="12" spans="1:36" ht="20.149999999999999" customHeight="1">
      <c r="A12" s="91"/>
      <c r="B12" s="549"/>
      <c r="C12" s="705"/>
      <c r="D12" s="705"/>
      <c r="E12" s="705"/>
      <c r="F12" s="705"/>
      <c r="G12" s="705"/>
      <c r="H12" s="705"/>
      <c r="I12" s="705"/>
      <c r="J12" s="705"/>
      <c r="K12" s="705"/>
      <c r="L12" s="705"/>
      <c r="M12" s="705"/>
      <c r="N12" s="705"/>
      <c r="O12" s="705"/>
      <c r="P12" s="705"/>
      <c r="Q12" s="316"/>
      <c r="R12" s="316"/>
      <c r="S12" s="12"/>
      <c r="T12" s="47"/>
      <c r="U12" s="47"/>
      <c r="V12" s="47"/>
      <c r="W12" s="47"/>
      <c r="X12" s="47"/>
      <c r="Y12" s="47"/>
      <c r="Z12" s="47"/>
      <c r="AA12" s="47"/>
      <c r="AB12" s="47"/>
      <c r="AC12" s="47"/>
      <c r="AD12" s="47"/>
      <c r="AE12" s="47"/>
      <c r="AF12" s="47"/>
      <c r="AG12" s="47"/>
      <c r="AH12" s="47"/>
      <c r="AI12" s="47"/>
      <c r="AJ12" s="47"/>
    </row>
    <row r="13" spans="1:36" ht="20.149999999999999" customHeight="1">
      <c r="A13" s="91"/>
      <c r="B13" s="402" t="s">
        <v>4</v>
      </c>
      <c r="C13" s="705" t="s">
        <v>5</v>
      </c>
      <c r="D13" s="705"/>
      <c r="E13" s="705"/>
      <c r="F13" s="705"/>
      <c r="G13" s="705"/>
      <c r="H13" s="705"/>
      <c r="I13" s="705"/>
      <c r="J13" s="705"/>
      <c r="K13" s="705"/>
      <c r="L13" s="705"/>
      <c r="M13" s="705"/>
      <c r="N13" s="705"/>
      <c r="O13" s="705"/>
      <c r="P13" s="705"/>
      <c r="Q13" s="316"/>
      <c r="R13" s="316"/>
      <c r="S13" s="12"/>
      <c r="T13" s="47"/>
      <c r="U13" s="47"/>
      <c r="V13" s="47"/>
      <c r="W13" s="47"/>
      <c r="X13" s="47"/>
      <c r="Y13" s="47"/>
      <c r="Z13" s="47"/>
      <c r="AA13" s="47"/>
      <c r="AB13" s="47"/>
      <c r="AC13" s="47"/>
      <c r="AD13" s="47"/>
      <c r="AE13" s="47"/>
      <c r="AF13" s="47"/>
      <c r="AG13" s="47"/>
      <c r="AH13" s="47"/>
      <c r="AI13" s="47"/>
      <c r="AJ13" s="47"/>
    </row>
    <row r="14" spans="1:36" ht="20.149999999999999" customHeight="1">
      <c r="A14" s="91"/>
      <c r="B14" s="704"/>
      <c r="C14" s="705"/>
      <c r="D14" s="705"/>
      <c r="E14" s="705"/>
      <c r="F14" s="705"/>
      <c r="G14" s="705"/>
      <c r="H14" s="705"/>
      <c r="I14" s="705"/>
      <c r="J14" s="705"/>
      <c r="K14" s="705"/>
      <c r="L14" s="705"/>
      <c r="M14" s="705"/>
      <c r="N14" s="705"/>
      <c r="O14" s="705"/>
      <c r="P14" s="705"/>
      <c r="Q14" s="316"/>
      <c r="R14" s="316"/>
      <c r="S14" s="12"/>
      <c r="T14" s="47"/>
      <c r="U14" s="47"/>
      <c r="V14" s="47"/>
      <c r="W14" s="47"/>
      <c r="X14" s="47"/>
      <c r="Y14" s="47"/>
      <c r="Z14" s="47"/>
      <c r="AA14" s="47"/>
      <c r="AB14" s="47"/>
      <c r="AC14" s="47"/>
      <c r="AD14" s="47"/>
      <c r="AE14" s="47"/>
      <c r="AF14" s="47"/>
      <c r="AG14" s="47"/>
      <c r="AH14" s="47"/>
      <c r="AI14" s="47"/>
      <c r="AJ14" s="47"/>
    </row>
    <row r="15" spans="1:36" ht="20.149999999999999" customHeight="1">
      <c r="A15" s="91"/>
      <c r="B15" s="704"/>
      <c r="C15" s="316"/>
      <c r="D15" s="550"/>
      <c r="E15" s="705" t="s">
        <v>6</v>
      </c>
      <c r="F15" s="705"/>
      <c r="G15" s="705"/>
      <c r="H15" s="705"/>
      <c r="I15" s="705"/>
      <c r="J15" s="705"/>
      <c r="K15" s="705"/>
      <c r="L15" s="705"/>
      <c r="M15" s="705"/>
      <c r="N15" s="705"/>
      <c r="O15" s="705"/>
      <c r="P15" s="705"/>
      <c r="Q15" s="316"/>
      <c r="R15" s="316"/>
      <c r="S15" s="12"/>
      <c r="T15" s="47"/>
      <c r="U15" s="47"/>
      <c r="V15" s="47"/>
      <c r="W15" s="47"/>
      <c r="X15" s="47"/>
      <c r="Y15" s="47"/>
      <c r="Z15" s="47"/>
      <c r="AA15" s="47"/>
      <c r="AB15" s="47"/>
      <c r="AC15" s="47"/>
      <c r="AD15" s="47"/>
      <c r="AE15" s="47"/>
      <c r="AF15" s="47"/>
      <c r="AG15" s="47"/>
      <c r="AH15" s="47"/>
      <c r="AI15" s="47"/>
      <c r="AJ15" s="47"/>
    </row>
    <row r="16" spans="1:36" ht="20.149999999999999" customHeight="1">
      <c r="A16" s="91"/>
      <c r="B16" s="704"/>
      <c r="C16" s="316"/>
      <c r="D16" s="705"/>
      <c r="E16" s="705"/>
      <c r="F16" s="705"/>
      <c r="G16" s="705"/>
      <c r="H16" s="705"/>
      <c r="I16" s="705"/>
      <c r="J16" s="705"/>
      <c r="K16" s="705"/>
      <c r="L16" s="705"/>
      <c r="M16" s="705"/>
      <c r="N16" s="705"/>
      <c r="O16" s="705"/>
      <c r="P16" s="705"/>
      <c r="Q16" s="316"/>
      <c r="R16" s="316"/>
      <c r="S16" s="12"/>
      <c r="T16" s="47"/>
      <c r="U16" s="47"/>
      <c r="V16" s="47"/>
      <c r="W16" s="47"/>
      <c r="X16" s="47"/>
      <c r="Y16" s="47"/>
      <c r="Z16" s="47"/>
      <c r="AA16" s="47"/>
      <c r="AB16" s="47"/>
      <c r="AC16" s="47"/>
      <c r="AD16" s="47"/>
      <c r="AE16" s="47"/>
      <c r="AF16" s="47"/>
      <c r="AG16" s="47"/>
      <c r="AH16" s="47"/>
      <c r="AI16" s="47"/>
      <c r="AJ16" s="47"/>
    </row>
    <row r="17" spans="1:36" ht="20.149999999999999" customHeight="1">
      <c r="A17" s="91"/>
      <c r="B17" s="704"/>
      <c r="C17" s="316"/>
      <c r="D17" s="342"/>
      <c r="E17" s="705" t="s">
        <v>606</v>
      </c>
      <c r="F17" s="705"/>
      <c r="G17" s="705"/>
      <c r="H17" s="705"/>
      <c r="I17" s="705"/>
      <c r="J17" s="705"/>
      <c r="K17" s="705"/>
      <c r="L17" s="705"/>
      <c r="M17" s="705"/>
      <c r="N17" s="705"/>
      <c r="O17" s="705"/>
      <c r="P17" s="705"/>
      <c r="Q17" s="316"/>
      <c r="R17" s="316"/>
      <c r="S17" s="12"/>
      <c r="T17" s="47"/>
      <c r="U17" s="47"/>
      <c r="V17" s="47"/>
      <c r="W17" s="47"/>
      <c r="X17" s="47"/>
      <c r="Y17" s="47"/>
      <c r="Z17" s="47"/>
      <c r="AA17" s="47"/>
      <c r="AB17" s="47"/>
      <c r="AC17" s="47"/>
      <c r="AD17" s="47"/>
      <c r="AE17" s="47"/>
      <c r="AF17" s="47"/>
      <c r="AG17" s="47"/>
      <c r="AH17" s="47"/>
      <c r="AI17" s="47"/>
      <c r="AJ17" s="47"/>
    </row>
    <row r="18" spans="1:36" ht="20.149999999999999" customHeight="1">
      <c r="A18" s="91"/>
      <c r="B18" s="704"/>
      <c r="C18" s="316"/>
      <c r="D18" s="705"/>
      <c r="E18" s="705"/>
      <c r="F18" s="705"/>
      <c r="G18" s="705"/>
      <c r="H18" s="705"/>
      <c r="I18" s="705"/>
      <c r="J18" s="705"/>
      <c r="K18" s="705"/>
      <c r="L18" s="705"/>
      <c r="M18" s="705"/>
      <c r="N18" s="705"/>
      <c r="O18" s="705"/>
      <c r="P18" s="705"/>
      <c r="Q18" s="316"/>
      <c r="R18" s="316"/>
      <c r="S18" s="12"/>
      <c r="T18" s="47"/>
      <c r="U18" s="47"/>
      <c r="V18" s="47"/>
      <c r="W18" s="47"/>
      <c r="X18" s="47"/>
      <c r="Y18" s="47"/>
      <c r="Z18" s="47"/>
      <c r="AA18" s="47"/>
      <c r="AB18" s="47"/>
      <c r="AC18" s="47"/>
      <c r="AD18" s="47"/>
      <c r="AE18" s="47"/>
      <c r="AF18" s="47"/>
      <c r="AG18" s="47"/>
      <c r="AH18" s="47"/>
      <c r="AI18" s="47"/>
      <c r="AJ18" s="47"/>
    </row>
    <row r="19" spans="1:36" ht="20.149999999999999" customHeight="1">
      <c r="A19" s="91"/>
      <c r="B19" s="704"/>
      <c r="C19" s="316"/>
      <c r="D19" s="551"/>
      <c r="E19" s="705" t="s">
        <v>7</v>
      </c>
      <c r="F19" s="705"/>
      <c r="G19" s="705"/>
      <c r="H19" s="705"/>
      <c r="I19" s="705"/>
      <c r="J19" s="705"/>
      <c r="K19" s="705"/>
      <c r="L19" s="705"/>
      <c r="M19" s="705"/>
      <c r="N19" s="705"/>
      <c r="O19" s="705"/>
      <c r="P19" s="705"/>
      <c r="Q19" s="316"/>
      <c r="R19" s="316"/>
      <c r="S19" s="12"/>
      <c r="T19" s="47"/>
      <c r="U19" s="47"/>
      <c r="V19" s="47"/>
      <c r="W19" s="47"/>
      <c r="X19" s="47"/>
      <c r="Y19" s="47"/>
      <c r="Z19" s="47"/>
      <c r="AA19" s="47"/>
      <c r="AB19" s="47"/>
      <c r="AC19" s="47"/>
      <c r="AD19" s="47"/>
      <c r="AE19" s="47"/>
      <c r="AF19" s="47"/>
      <c r="AG19" s="47"/>
      <c r="AH19" s="47"/>
      <c r="AI19" s="47"/>
      <c r="AJ19" s="47"/>
    </row>
    <row r="20" spans="1:36" ht="12" customHeight="1">
      <c r="A20" s="91"/>
      <c r="B20" s="704"/>
      <c r="C20" s="705"/>
      <c r="D20" s="705"/>
      <c r="E20" s="705"/>
      <c r="F20" s="705"/>
      <c r="G20" s="705"/>
      <c r="H20" s="705"/>
      <c r="I20" s="705"/>
      <c r="J20" s="705"/>
      <c r="K20" s="705"/>
      <c r="L20" s="705"/>
      <c r="M20" s="705"/>
      <c r="N20" s="705"/>
      <c r="O20" s="705"/>
      <c r="P20" s="705"/>
      <c r="Q20" s="316"/>
      <c r="R20" s="316"/>
      <c r="S20" s="12"/>
      <c r="T20" s="47"/>
      <c r="U20" s="47"/>
      <c r="V20" s="47"/>
      <c r="W20" s="47"/>
      <c r="X20" s="47"/>
      <c r="Y20" s="47" t="s">
        <v>52</v>
      </c>
      <c r="Z20" s="47"/>
      <c r="AA20" s="47"/>
      <c r="AB20" s="47"/>
      <c r="AC20" s="47"/>
      <c r="AD20" s="47"/>
      <c r="AE20" s="47"/>
      <c r="AF20" s="47"/>
      <c r="AG20" s="47"/>
      <c r="AH20" s="47"/>
      <c r="AI20" s="47"/>
      <c r="AJ20" s="47"/>
    </row>
    <row r="21" spans="1:36" ht="10.5" customHeight="1">
      <c r="A21" s="91"/>
      <c r="B21" s="704"/>
      <c r="C21" s="705"/>
      <c r="D21" s="705"/>
      <c r="E21" s="705"/>
      <c r="F21" s="705"/>
      <c r="G21" s="705"/>
      <c r="H21" s="705"/>
      <c r="I21" s="705"/>
      <c r="J21" s="705"/>
      <c r="K21" s="705"/>
      <c r="L21" s="705"/>
      <c r="M21" s="705"/>
      <c r="N21" s="705"/>
      <c r="O21" s="705"/>
      <c r="P21" s="705"/>
      <c r="Q21" s="316"/>
      <c r="R21" s="316"/>
      <c r="S21" s="12"/>
      <c r="T21" s="47"/>
      <c r="U21" s="47"/>
      <c r="V21" s="47"/>
      <c r="W21" s="47"/>
      <c r="X21" s="47"/>
      <c r="Y21" s="79" t="str">
        <f>IF(D26="","",D26)</f>
        <v/>
      </c>
      <c r="Z21" s="47"/>
      <c r="AA21" s="47"/>
      <c r="AB21" s="47"/>
      <c r="AC21" s="47"/>
      <c r="AD21" s="47"/>
      <c r="AE21" s="47"/>
      <c r="AF21" s="47"/>
      <c r="AG21" s="47"/>
      <c r="AH21" s="47"/>
      <c r="AI21" s="47"/>
      <c r="AJ21" s="47"/>
    </row>
    <row r="22" spans="1:36" ht="20.149999999999999" customHeight="1">
      <c r="A22" s="91"/>
      <c r="B22" s="315"/>
      <c r="C22" s="705"/>
      <c r="D22" s="705"/>
      <c r="E22" s="705"/>
      <c r="F22" s="705"/>
      <c r="G22" s="705"/>
      <c r="H22" s="705"/>
      <c r="I22" s="705"/>
      <c r="J22" s="705"/>
      <c r="K22" s="316"/>
      <c r="L22" s="316"/>
      <c r="M22" s="316"/>
      <c r="N22" s="316"/>
      <c r="O22" s="316"/>
      <c r="P22" s="316"/>
      <c r="Q22" s="316"/>
      <c r="R22" s="316"/>
      <c r="S22" s="12"/>
      <c r="T22" s="47"/>
      <c r="U22" s="47"/>
      <c r="V22" s="47"/>
      <c r="W22" s="47"/>
      <c r="X22" s="47"/>
      <c r="Y22" s="47"/>
      <c r="Z22" s="47"/>
      <c r="AA22" s="47"/>
      <c r="AB22" s="47"/>
      <c r="AC22" s="47"/>
      <c r="AD22" s="47"/>
      <c r="AE22" s="47"/>
      <c r="AF22" s="47"/>
      <c r="AG22" s="47"/>
      <c r="AH22" s="47"/>
      <c r="AI22" s="47"/>
      <c r="AJ22" s="47"/>
    </row>
    <row r="23" spans="1:36" ht="20.149999999999999" customHeight="1">
      <c r="A23" s="91"/>
      <c r="B23" s="717"/>
      <c r="C23" s="164"/>
      <c r="D23" s="165" t="s">
        <v>8</v>
      </c>
      <c r="E23" s="164"/>
      <c r="F23" s="164"/>
      <c r="G23" s="164"/>
      <c r="H23" s="164"/>
      <c r="I23" s="164"/>
      <c r="J23" s="164"/>
      <c r="K23" s="164"/>
      <c r="L23" s="164"/>
      <c r="M23" s="164"/>
      <c r="N23" s="316"/>
      <c r="O23" s="316"/>
      <c r="P23" s="316"/>
      <c r="Q23" s="316"/>
      <c r="R23" s="316"/>
      <c r="S23" s="12"/>
      <c r="T23" s="47"/>
      <c r="U23" s="47"/>
      <c r="V23" s="47"/>
      <c r="W23" s="47"/>
      <c r="X23" s="47"/>
      <c r="Y23" s="47"/>
      <c r="Z23" s="47"/>
      <c r="AA23" s="47"/>
      <c r="AB23" s="47"/>
      <c r="AC23" s="47"/>
      <c r="AD23" s="47"/>
      <c r="AE23" s="47"/>
      <c r="AF23" s="47"/>
      <c r="AG23" s="47"/>
      <c r="AH23" s="47"/>
      <c r="AI23" s="47"/>
      <c r="AJ23" s="47"/>
    </row>
    <row r="24" spans="1:36" ht="20.149999999999999" customHeight="1">
      <c r="A24" s="91"/>
      <c r="B24" s="315"/>
      <c r="C24" s="166"/>
      <c r="D24" s="166"/>
      <c r="E24" s="166"/>
      <c r="F24" s="166"/>
      <c r="G24" s="166"/>
      <c r="H24" s="166"/>
      <c r="I24" s="166"/>
      <c r="J24" s="166"/>
      <c r="K24" s="166"/>
      <c r="L24" s="166"/>
      <c r="M24" s="166"/>
      <c r="N24" s="13"/>
      <c r="O24" s="316"/>
      <c r="P24" s="316"/>
      <c r="Q24" s="316"/>
      <c r="R24" s="316"/>
      <c r="S24" s="12"/>
      <c r="T24" s="47"/>
      <c r="U24" s="47"/>
      <c r="V24" s="47"/>
      <c r="W24" s="47"/>
      <c r="X24" s="47"/>
      <c r="Y24" s="47"/>
      <c r="Z24" s="47"/>
      <c r="AA24" s="47"/>
      <c r="AB24" s="47"/>
      <c r="AC24" s="47"/>
      <c r="AD24" s="47"/>
      <c r="AE24" s="47"/>
      <c r="AF24" s="47"/>
      <c r="AG24" s="47"/>
      <c r="AH24" s="47"/>
      <c r="AI24" s="47"/>
      <c r="AJ24" s="47"/>
    </row>
    <row r="25" spans="1:36" ht="20.149999999999999" customHeight="1">
      <c r="A25" s="91"/>
      <c r="B25" s="315"/>
      <c r="C25" s="164"/>
      <c r="D25" s="164" t="s">
        <v>1</v>
      </c>
      <c r="E25" s="164"/>
      <c r="F25" s="164"/>
      <c r="G25" s="164"/>
      <c r="H25" s="164" t="s">
        <v>732</v>
      </c>
      <c r="I25" s="715"/>
      <c r="J25" s="164"/>
      <c r="K25" s="164" t="s">
        <v>334</v>
      </c>
      <c r="L25" s="164"/>
      <c r="M25" s="164"/>
      <c r="N25" s="316"/>
      <c r="O25" s="316"/>
      <c r="P25" s="316"/>
      <c r="Q25" s="316"/>
      <c r="R25" s="316"/>
      <c r="S25" s="12"/>
      <c r="T25" s="47"/>
      <c r="U25" s="47"/>
      <c r="V25" s="47"/>
      <c r="W25" s="47"/>
      <c r="X25" s="47"/>
      <c r="Y25" s="47"/>
      <c r="Z25" s="47"/>
      <c r="AA25" s="47"/>
      <c r="AB25" s="47"/>
      <c r="AC25" s="47"/>
      <c r="AD25" s="47"/>
      <c r="AE25" s="47"/>
      <c r="AF25" s="47"/>
      <c r="AG25" s="47"/>
      <c r="AH25" s="47"/>
      <c r="AI25" s="47"/>
      <c r="AJ25" s="47"/>
    </row>
    <row r="26" spans="1:36" ht="20.149999999999999" customHeight="1">
      <c r="A26" s="91"/>
      <c r="B26" s="315"/>
      <c r="C26" s="166"/>
      <c r="D26" s="1045"/>
      <c r="E26" s="1046"/>
      <c r="F26" s="1047"/>
      <c r="G26" s="710"/>
      <c r="H26" s="1045"/>
      <c r="I26" s="1047"/>
      <c r="J26" s="710"/>
      <c r="K26" s="1045"/>
      <c r="L26" s="1047"/>
      <c r="M26" s="166"/>
      <c r="N26" s="316"/>
      <c r="O26" s="316"/>
      <c r="P26" s="13"/>
      <c r="Q26" s="316"/>
      <c r="R26" s="316"/>
      <c r="S26" s="12"/>
      <c r="T26" s="47"/>
      <c r="U26" s="47"/>
      <c r="V26" s="47"/>
      <c r="W26" s="47"/>
      <c r="X26" s="47"/>
      <c r="Y26" s="47"/>
      <c r="Z26" s="47"/>
      <c r="AA26" s="47"/>
      <c r="AB26" s="47"/>
      <c r="AC26" s="47"/>
      <c r="AD26" s="47"/>
      <c r="AE26" s="47"/>
      <c r="AF26" s="47"/>
      <c r="AG26" s="47"/>
      <c r="AH26" s="47"/>
      <c r="AI26" s="47"/>
      <c r="AJ26" s="47"/>
    </row>
    <row r="27" spans="1:36" ht="20.149999999999999" customHeight="1">
      <c r="A27" s="91"/>
      <c r="B27" s="315"/>
      <c r="C27" s="166"/>
      <c r="D27" s="167"/>
      <c r="E27" s="167"/>
      <c r="F27" s="166"/>
      <c r="G27" s="166"/>
      <c r="H27" s="166"/>
      <c r="I27" s="166"/>
      <c r="J27" s="166"/>
      <c r="K27" s="166"/>
      <c r="L27" s="166"/>
      <c r="M27" s="166"/>
      <c r="N27" s="316"/>
      <c r="O27" s="316"/>
      <c r="P27" s="316"/>
      <c r="Q27" s="316"/>
      <c r="R27" s="316"/>
      <c r="S27" s="12"/>
      <c r="T27" s="47"/>
      <c r="U27" s="47"/>
      <c r="V27" s="47"/>
      <c r="W27" s="47"/>
      <c r="X27" s="47"/>
      <c r="Y27" s="47"/>
      <c r="Z27" s="47"/>
      <c r="AA27" s="47"/>
      <c r="AB27" s="47"/>
      <c r="AC27" s="47"/>
      <c r="AD27" s="47"/>
      <c r="AE27" s="47"/>
      <c r="AF27" s="47"/>
      <c r="AG27" s="47"/>
      <c r="AH27" s="47"/>
      <c r="AI27" s="47"/>
      <c r="AJ27" s="47"/>
    </row>
    <row r="28" spans="1:36" ht="20.149999999999999" customHeight="1">
      <c r="A28" s="91"/>
      <c r="B28" s="315"/>
      <c r="C28" s="164"/>
      <c r="D28" s="164" t="s">
        <v>695</v>
      </c>
      <c r="E28" s="164"/>
      <c r="F28" s="164"/>
      <c r="G28" s="164"/>
      <c r="H28" s="164" t="s">
        <v>809</v>
      </c>
      <c r="I28" s="164"/>
      <c r="J28" s="164"/>
      <c r="K28" s="164" t="s">
        <v>810</v>
      </c>
      <c r="L28" s="164"/>
      <c r="M28" s="164"/>
      <c r="N28" s="316"/>
      <c r="O28" s="316"/>
      <c r="P28" s="316"/>
      <c r="Q28" s="316"/>
      <c r="R28" s="316"/>
      <c r="S28" s="12"/>
      <c r="T28" s="47"/>
      <c r="U28" s="47"/>
      <c r="V28" s="47"/>
      <c r="W28" s="47"/>
      <c r="X28" s="47"/>
      <c r="Y28" s="47"/>
      <c r="Z28" s="47"/>
      <c r="AA28" s="47"/>
      <c r="AB28" s="47"/>
      <c r="AC28" s="47"/>
      <c r="AD28" s="47"/>
      <c r="AE28" s="47"/>
      <c r="AF28" s="47"/>
      <c r="AG28" s="47"/>
      <c r="AH28" s="47"/>
      <c r="AI28" s="47"/>
      <c r="AJ28" s="47"/>
    </row>
    <row r="29" spans="1:36" ht="20.149999999999999" customHeight="1">
      <c r="A29" s="91"/>
      <c r="B29" s="315"/>
      <c r="C29" s="166"/>
      <c r="D29" s="1051"/>
      <c r="E29" s="1051"/>
      <c r="F29" s="1051"/>
      <c r="G29" s="710"/>
      <c r="H29" s="1052"/>
      <c r="I29" s="1053"/>
      <c r="J29" s="710"/>
      <c r="K29" s="1045"/>
      <c r="L29" s="1047"/>
      <c r="M29" s="166"/>
      <c r="N29" s="316"/>
      <c r="O29" s="316"/>
      <c r="P29" s="316"/>
      <c r="Q29" s="316"/>
      <c r="R29" s="316"/>
      <c r="S29" s="12"/>
      <c r="T29" s="47"/>
      <c r="U29" s="47"/>
      <c r="V29" s="47"/>
      <c r="W29" s="47"/>
      <c r="X29" s="47"/>
      <c r="Y29" s="47"/>
      <c r="Z29" s="47"/>
      <c r="AA29" s="47"/>
      <c r="AB29" s="47"/>
      <c r="AC29" s="47"/>
      <c r="AD29" s="47"/>
      <c r="AE29" s="47"/>
      <c r="AF29" s="47"/>
      <c r="AG29" s="47"/>
      <c r="AH29" s="47"/>
      <c r="AI29" s="47"/>
      <c r="AJ29" s="47"/>
    </row>
    <row r="30" spans="1:36" ht="20.149999999999999" customHeight="1">
      <c r="A30" s="91"/>
      <c r="B30" s="315"/>
      <c r="C30" s="166"/>
      <c r="D30" s="167"/>
      <c r="E30" s="167"/>
      <c r="F30" s="166"/>
      <c r="G30" s="166"/>
      <c r="H30" s="166"/>
      <c r="I30" s="166"/>
      <c r="J30" s="166"/>
      <c r="K30" s="166"/>
      <c r="L30" s="166"/>
      <c r="M30" s="166"/>
      <c r="N30" s="316"/>
      <c r="O30" s="316"/>
      <c r="P30" s="316"/>
      <c r="Q30" s="316"/>
      <c r="R30" s="316"/>
      <c r="S30" s="12"/>
      <c r="T30" s="47"/>
      <c r="U30" s="47"/>
      <c r="V30" s="47"/>
      <c r="W30" s="47"/>
      <c r="X30" s="47"/>
      <c r="Y30" s="47"/>
      <c r="Z30" s="47"/>
      <c r="AA30" s="47"/>
      <c r="AB30" s="47"/>
      <c r="AC30" s="47"/>
      <c r="AD30" s="47"/>
      <c r="AE30" s="47"/>
      <c r="AF30" s="47"/>
      <c r="AG30" s="47"/>
      <c r="AH30" s="47"/>
      <c r="AI30" s="47"/>
      <c r="AJ30" s="47"/>
    </row>
    <row r="31" spans="1:36" ht="20.149999999999999" customHeight="1">
      <c r="A31" s="91"/>
      <c r="B31" s="315"/>
      <c r="C31" s="164"/>
      <c r="D31" s="164" t="s">
        <v>9</v>
      </c>
      <c r="E31" s="705"/>
      <c r="F31" s="705"/>
      <c r="G31" s="705"/>
      <c r="H31" s="705"/>
      <c r="I31" s="316"/>
      <c r="J31" s="316"/>
      <c r="K31" s="1048"/>
      <c r="L31" s="1049"/>
      <c r="M31" s="1049"/>
      <c r="N31" s="1050"/>
      <c r="O31" s="693"/>
      <c r="P31" s="693"/>
      <c r="Q31" s="693"/>
      <c r="R31" s="693"/>
      <c r="S31" s="12"/>
      <c r="T31" s="47"/>
      <c r="U31" s="47"/>
      <c r="V31" s="47"/>
      <c r="W31" s="47"/>
      <c r="X31" s="47"/>
      <c r="Y31" s="47"/>
      <c r="Z31" s="47"/>
      <c r="AA31" s="47"/>
      <c r="AB31" s="47"/>
      <c r="AC31" s="47"/>
      <c r="AD31" s="47"/>
      <c r="AE31" s="47"/>
      <c r="AF31" s="47"/>
      <c r="AG31" s="47"/>
      <c r="AH31" s="47"/>
      <c r="AI31" s="47"/>
      <c r="AJ31" s="47"/>
    </row>
    <row r="32" spans="1:36" ht="20.149999999999999" customHeight="1">
      <c r="A32" s="91"/>
      <c r="B32" s="315"/>
      <c r="C32" s="164"/>
      <c r="D32" s="164"/>
      <c r="E32" s="164"/>
      <c r="F32" s="705"/>
      <c r="G32" s="705"/>
      <c r="H32" s="705"/>
      <c r="I32" s="316"/>
      <c r="J32" s="316"/>
      <c r="K32" s="164"/>
      <c r="L32" s="164"/>
      <c r="M32" s="164"/>
      <c r="N32" s="164"/>
      <c r="O32" s="316"/>
      <c r="P32" s="316"/>
      <c r="Q32" s="316"/>
      <c r="R32" s="316"/>
      <c r="S32" s="12"/>
      <c r="T32" s="47"/>
      <c r="U32" s="47"/>
      <c r="V32" s="47"/>
      <c r="W32" s="47"/>
      <c r="X32" s="47"/>
      <c r="Y32" s="47"/>
      <c r="Z32" s="47"/>
      <c r="AA32" s="47"/>
      <c r="AB32" s="47"/>
      <c r="AC32" s="47"/>
      <c r="AD32" s="47"/>
      <c r="AE32" s="47"/>
      <c r="AF32" s="47"/>
      <c r="AG32" s="47"/>
      <c r="AH32" s="47"/>
      <c r="AI32" s="47"/>
      <c r="AJ32" s="47"/>
    </row>
    <row r="33" spans="1:36" ht="20.149999999999999" customHeight="1">
      <c r="A33" s="91"/>
      <c r="B33" s="315"/>
      <c r="C33" s="164"/>
      <c r="D33" s="164" t="s">
        <v>10</v>
      </c>
      <c r="E33" s="705"/>
      <c r="F33" s="705"/>
      <c r="G33" s="705"/>
      <c r="H33" s="705"/>
      <c r="I33" s="316"/>
      <c r="J33" s="316"/>
      <c r="K33" s="1048"/>
      <c r="L33" s="1049"/>
      <c r="M33" s="1049"/>
      <c r="N33" s="1050"/>
      <c r="O33" s="693"/>
      <c r="P33" s="693"/>
      <c r="Q33" s="693"/>
      <c r="R33" s="693"/>
      <c r="S33" s="12"/>
      <c r="T33" s="47"/>
      <c r="U33" s="47"/>
      <c r="V33" s="92"/>
      <c r="W33" s="92"/>
      <c r="X33" s="92"/>
      <c r="Y33" s="92"/>
      <c r="Z33" s="92"/>
      <c r="AA33" s="92"/>
      <c r="AB33" s="92"/>
      <c r="AC33" s="92"/>
      <c r="AD33" s="92"/>
      <c r="AE33" s="92"/>
      <c r="AF33" s="92"/>
      <c r="AG33" s="92"/>
      <c r="AH33" s="92"/>
      <c r="AI33" s="92"/>
      <c r="AJ33" s="47"/>
    </row>
    <row r="34" spans="1:36" ht="20.149999999999999" customHeight="1">
      <c r="A34" s="91"/>
      <c r="B34" s="315"/>
      <c r="C34" s="164"/>
      <c r="D34" s="164"/>
      <c r="E34" s="164"/>
      <c r="F34" s="705"/>
      <c r="G34" s="705"/>
      <c r="H34" s="705"/>
      <c r="I34" s="316"/>
      <c r="J34" s="316"/>
      <c r="K34" s="728" t="str">
        <f>IF(AND(ISBLANK(K31)=FALSE,ISBLANK(K33)=TRUE),"DEFAULT COMPONENT ANALYSIS DURATION SET TO 365 DAYS","")</f>
        <v/>
      </c>
      <c r="L34" s="164"/>
      <c r="M34" s="164"/>
      <c r="N34" s="164"/>
      <c r="O34" s="316"/>
      <c r="P34" s="316"/>
      <c r="Q34" s="316"/>
      <c r="R34" s="316"/>
      <c r="S34" s="12"/>
      <c r="T34" s="47"/>
      <c r="U34" s="47"/>
      <c r="V34" s="92"/>
      <c r="W34" s="92"/>
      <c r="X34" s="92"/>
      <c r="Y34" s="92"/>
      <c r="Z34" s="92"/>
      <c r="AA34" s="92"/>
      <c r="AB34" s="92"/>
      <c r="AC34" s="92"/>
      <c r="AD34" s="92"/>
      <c r="AE34" s="92"/>
      <c r="AF34" s="92"/>
      <c r="AG34" s="92"/>
      <c r="AH34" s="92"/>
      <c r="AI34" s="92"/>
      <c r="AJ34" s="47"/>
    </row>
    <row r="35" spans="1:36" ht="20.149999999999999" customHeight="1">
      <c r="A35" s="91"/>
      <c r="B35" s="315"/>
      <c r="C35" s="164"/>
      <c r="D35" s="164" t="s">
        <v>11</v>
      </c>
      <c r="E35" s="705"/>
      <c r="F35" s="705"/>
      <c r="G35" s="705"/>
      <c r="H35" s="705"/>
      <c r="I35" s="316"/>
      <c r="J35" s="316"/>
      <c r="K35" s="168">
        <f>IF(K33="",365,IF(K31="",365,K33-K31+1))</f>
        <v>365</v>
      </c>
      <c r="L35" s="164" t="s">
        <v>2</v>
      </c>
      <c r="M35" s="164"/>
      <c r="N35" s="164"/>
      <c r="O35" s="316"/>
      <c r="P35" s="316"/>
      <c r="Q35" s="316"/>
      <c r="R35" s="316"/>
      <c r="S35" s="12"/>
      <c r="T35" s="47"/>
      <c r="U35" s="47"/>
      <c r="V35" s="169"/>
      <c r="W35" s="169"/>
      <c r="X35" s="169"/>
      <c r="Y35" s="169"/>
      <c r="Z35" s="169"/>
      <c r="AA35" s="169"/>
      <c r="AB35" s="169"/>
      <c r="AC35" s="169"/>
      <c r="AD35" s="169"/>
      <c r="AE35" s="169"/>
      <c r="AF35" s="169"/>
      <c r="AG35" s="169"/>
      <c r="AH35" s="169"/>
      <c r="AI35" s="92"/>
      <c r="AJ35" s="47"/>
    </row>
    <row r="36" spans="1:36" ht="20.149999999999999" customHeight="1">
      <c r="A36" s="91"/>
      <c r="B36" s="315"/>
      <c r="C36" s="164"/>
      <c r="D36" s="164"/>
      <c r="E36" s="164"/>
      <c r="F36" s="705"/>
      <c r="G36" s="705"/>
      <c r="H36" s="705"/>
      <c r="I36" s="316"/>
      <c r="J36" s="316"/>
      <c r="K36" s="164"/>
      <c r="L36" s="164"/>
      <c r="M36" s="164"/>
      <c r="N36" s="164"/>
      <c r="O36" s="316"/>
      <c r="P36" s="316"/>
      <c r="Q36" s="316"/>
      <c r="R36" s="316"/>
      <c r="S36" s="12"/>
      <c r="T36" s="47"/>
      <c r="U36" s="47"/>
      <c r="V36" s="170"/>
      <c r="W36" s="170"/>
      <c r="X36" s="96"/>
      <c r="Y36" s="321">
        <v>1</v>
      </c>
      <c r="Z36" s="170"/>
      <c r="AA36" s="170"/>
      <c r="AB36" s="170"/>
      <c r="AC36" s="170"/>
      <c r="AD36" s="170"/>
      <c r="AE36" s="170"/>
      <c r="AF36" s="170"/>
      <c r="AG36" s="170"/>
      <c r="AH36" s="170"/>
      <c r="AI36" s="92"/>
      <c r="AJ36" s="47"/>
    </row>
    <row r="37" spans="1:36" ht="20.149999999999999" customHeight="1">
      <c r="A37" s="91"/>
      <c r="B37" s="315"/>
      <c r="C37" s="164"/>
      <c r="D37" s="164" t="s">
        <v>723</v>
      </c>
      <c r="E37" s="705"/>
      <c r="F37" s="705"/>
      <c r="G37" s="705"/>
      <c r="H37" s="705"/>
      <c r="I37" s="316"/>
      <c r="J37" s="316"/>
      <c r="K37" s="1042" t="str">
        <f>IF(K33="","",IF(K35&lt;365,"Partial Audit Period",K33))</f>
        <v/>
      </c>
      <c r="L37" s="1043"/>
      <c r="M37" s="703"/>
      <c r="N37" s="703"/>
      <c r="O37" s="703"/>
      <c r="P37" s="703"/>
      <c r="Q37" s="703"/>
      <c r="R37" s="693"/>
      <c r="S37" s="12"/>
      <c r="T37" s="47"/>
      <c r="U37" s="47"/>
      <c r="V37" s="171"/>
      <c r="W37" s="96"/>
      <c r="X37" s="96"/>
      <c r="Y37" s="686" t="str">
        <f>IF(K37="","",K37)</f>
        <v/>
      </c>
      <c r="Z37" s="96"/>
      <c r="AA37" s="96"/>
      <c r="AB37" s="96"/>
      <c r="AC37" s="96"/>
      <c r="AD37" s="96"/>
      <c r="AE37" s="96"/>
      <c r="AF37" s="96"/>
      <c r="AG37" s="97"/>
      <c r="AH37" s="97"/>
      <c r="AI37" s="92"/>
      <c r="AJ37" s="47"/>
    </row>
    <row r="38" spans="1:36" ht="20.149999999999999" customHeight="1">
      <c r="A38" s="91"/>
      <c r="B38" s="315"/>
      <c r="C38" s="164"/>
      <c r="D38" s="164"/>
      <c r="E38" s="705"/>
      <c r="F38" s="705"/>
      <c r="G38" s="705"/>
      <c r="H38" s="705"/>
      <c r="I38" s="316"/>
      <c r="J38" s="316"/>
      <c r="K38" s="545"/>
      <c r="L38" s="545"/>
      <c r="M38" s="545"/>
      <c r="N38" s="545"/>
      <c r="O38" s="545"/>
      <c r="P38" s="545"/>
      <c r="Q38" s="545"/>
      <c r="R38" s="545"/>
      <c r="S38" s="12"/>
      <c r="T38" s="47"/>
      <c r="U38" s="47"/>
      <c r="V38" s="171"/>
      <c r="W38" s="96"/>
      <c r="X38" s="96"/>
      <c r="Y38" s="96"/>
      <c r="Z38" s="96"/>
      <c r="AA38" s="96"/>
      <c r="AB38" s="96"/>
      <c r="AC38" s="96"/>
      <c r="AD38" s="96"/>
      <c r="AE38" s="96"/>
      <c r="AF38" s="96"/>
      <c r="AG38" s="97"/>
      <c r="AH38" s="97"/>
      <c r="AI38" s="92"/>
      <c r="AJ38" s="47"/>
    </row>
    <row r="39" spans="1:36" ht="20.149999999999999" customHeight="1">
      <c r="A39" s="91"/>
      <c r="B39" s="315"/>
      <c r="C39" s="164"/>
      <c r="D39" s="164" t="s">
        <v>487</v>
      </c>
      <c r="E39" s="705"/>
      <c r="F39" s="705"/>
      <c r="G39" s="705"/>
      <c r="H39" s="705"/>
      <c r="I39" s="316"/>
      <c r="J39" s="316"/>
      <c r="K39" s="546"/>
      <c r="L39" s="547"/>
      <c r="M39" s="547"/>
      <c r="N39" s="547"/>
      <c r="O39" s="547"/>
      <c r="P39" s="547"/>
      <c r="Q39" s="547"/>
      <c r="R39" s="547"/>
      <c r="S39" s="12"/>
      <c r="T39" s="47"/>
      <c r="U39" s="47"/>
      <c r="V39" s="171"/>
      <c r="W39" s="96"/>
      <c r="X39" s="96">
        <v>1</v>
      </c>
      <c r="Y39" s="96" t="s">
        <v>12</v>
      </c>
      <c r="Z39" s="96"/>
      <c r="AA39" s="96"/>
      <c r="AB39" s="96"/>
      <c r="AC39" s="96"/>
      <c r="AD39" s="96"/>
      <c r="AE39" s="96"/>
      <c r="AF39" s="96"/>
      <c r="AG39" s="97"/>
      <c r="AH39" s="97"/>
      <c r="AI39" s="92"/>
      <c r="AJ39" s="47"/>
    </row>
    <row r="40" spans="1:36" ht="20.149999999999999" customHeight="1">
      <c r="A40" s="91"/>
      <c r="B40" s="315"/>
      <c r="C40" s="164"/>
      <c r="D40" s="164"/>
      <c r="E40" s="705"/>
      <c r="F40" s="705"/>
      <c r="G40" s="705"/>
      <c r="H40" s="705"/>
      <c r="I40" s="316"/>
      <c r="J40" s="316"/>
      <c r="K40" s="546"/>
      <c r="L40" s="547"/>
      <c r="M40" s="547"/>
      <c r="N40" s="547"/>
      <c r="O40" s="547"/>
      <c r="P40" s="547"/>
      <c r="Q40" s="547"/>
      <c r="R40" s="547"/>
      <c r="S40" s="12"/>
      <c r="T40" s="47"/>
      <c r="U40" s="47"/>
      <c r="V40" s="171"/>
      <c r="W40" s="96"/>
      <c r="X40" s="96">
        <v>2</v>
      </c>
      <c r="Y40" s="96" t="s">
        <v>13</v>
      </c>
      <c r="Z40" s="96"/>
      <c r="AA40" s="96"/>
      <c r="AB40" s="96"/>
      <c r="AC40" s="96"/>
      <c r="AD40" s="96"/>
      <c r="AE40" s="96"/>
      <c r="AF40" s="96"/>
      <c r="AG40" s="97"/>
      <c r="AH40" s="97"/>
      <c r="AI40" s="92"/>
      <c r="AJ40" s="47"/>
    </row>
    <row r="41" spans="1:36" ht="20.149999999999999" customHeight="1">
      <c r="A41" s="91"/>
      <c r="B41" s="315"/>
      <c r="C41" s="164"/>
      <c r="D41" s="164" t="s">
        <v>688</v>
      </c>
      <c r="E41" s="705"/>
      <c r="F41" s="705"/>
      <c r="G41" s="705"/>
      <c r="H41" s="705"/>
      <c r="I41" s="316"/>
      <c r="J41" s="316"/>
      <c r="K41" s="546"/>
      <c r="L41" s="547"/>
      <c r="M41" s="547"/>
      <c r="N41" s="547"/>
      <c r="O41" s="547"/>
      <c r="P41" s="547"/>
      <c r="Q41" s="547"/>
      <c r="R41" s="547"/>
      <c r="S41" s="12"/>
      <c r="T41" s="47"/>
      <c r="U41" s="47"/>
      <c r="V41" s="171"/>
      <c r="W41" s="96"/>
      <c r="X41" s="96">
        <v>3</v>
      </c>
      <c r="Y41" s="96" t="s">
        <v>14</v>
      </c>
      <c r="Z41" s="96"/>
      <c r="AA41" s="96"/>
      <c r="AB41" s="96"/>
      <c r="AC41" s="96"/>
      <c r="AD41" s="96"/>
      <c r="AE41" s="96"/>
      <c r="AF41" s="96"/>
      <c r="AG41" s="97"/>
      <c r="AH41" s="97"/>
      <c r="AI41" s="92"/>
      <c r="AJ41" s="47"/>
    </row>
    <row r="42" spans="1:36" ht="20.149999999999999" customHeight="1">
      <c r="A42" s="91"/>
      <c r="B42" s="315"/>
      <c r="C42" s="166"/>
      <c r="D42" s="166"/>
      <c r="E42" s="166"/>
      <c r="F42" s="166"/>
      <c r="G42" s="166"/>
      <c r="H42" s="166"/>
      <c r="I42" s="166"/>
      <c r="J42" s="166"/>
      <c r="K42" s="1044"/>
      <c r="L42" s="1044"/>
      <c r="M42" s="1044"/>
      <c r="N42" s="1044"/>
      <c r="O42" s="1044"/>
      <c r="P42" s="1044"/>
      <c r="Q42" s="1044"/>
      <c r="R42" s="1044"/>
      <c r="S42" s="12"/>
      <c r="T42" s="47"/>
      <c r="U42" s="47"/>
      <c r="V42" s="96"/>
      <c r="W42" s="96"/>
      <c r="X42" s="47"/>
      <c r="Y42" s="321">
        <v>1</v>
      </c>
      <c r="Z42" s="47"/>
      <c r="AA42" s="96"/>
      <c r="AB42" s="96"/>
      <c r="AC42" s="96"/>
      <c r="AD42" s="96"/>
      <c r="AE42" s="96"/>
      <c r="AF42" s="96"/>
      <c r="AG42" s="97"/>
      <c r="AH42" s="97"/>
      <c r="AI42" s="92"/>
      <c r="AJ42" s="47"/>
    </row>
    <row r="43" spans="1:36" ht="20.149999999999999" customHeight="1">
      <c r="A43" s="91"/>
      <c r="B43" s="315"/>
      <c r="C43" s="164"/>
      <c r="D43" s="164" t="s">
        <v>608</v>
      </c>
      <c r="E43" s="164"/>
      <c r="F43" s="164"/>
      <c r="G43" s="164"/>
      <c r="H43" s="164"/>
      <c r="I43" s="164"/>
      <c r="J43" s="164"/>
      <c r="K43" s="164"/>
      <c r="L43" s="164"/>
      <c r="M43" s="164"/>
      <c r="N43" s="316"/>
      <c r="O43" s="316"/>
      <c r="P43" s="316"/>
      <c r="Q43" s="316"/>
      <c r="R43" s="316"/>
      <c r="S43" s="12"/>
      <c r="T43" s="92"/>
      <c r="U43" s="170"/>
      <c r="V43" s="170"/>
      <c r="W43" s="170"/>
      <c r="X43" s="96">
        <v>1</v>
      </c>
      <c r="Y43" s="96" t="s">
        <v>53</v>
      </c>
      <c r="Z43" s="170"/>
      <c r="AA43" s="170"/>
      <c r="AB43" s="170"/>
      <c r="AC43" s="170"/>
      <c r="AD43" s="170"/>
      <c r="AE43" s="170"/>
      <c r="AF43" s="170"/>
      <c r="AG43" s="170"/>
      <c r="AH43" s="170"/>
      <c r="AI43" s="92"/>
      <c r="AJ43" s="47"/>
    </row>
    <row r="44" spans="1:36" ht="20.149999999999999" customHeight="1">
      <c r="A44" s="91"/>
      <c r="B44" s="315"/>
      <c r="C44" s="166"/>
      <c r="D44" s="1019"/>
      <c r="E44" s="1020"/>
      <c r="F44" s="1020"/>
      <c r="G44" s="1020"/>
      <c r="H44" s="1020"/>
      <c r="I44" s="1020"/>
      <c r="J44" s="1020"/>
      <c r="K44" s="1020"/>
      <c r="L44" s="1020"/>
      <c r="M44" s="1020"/>
      <c r="N44" s="1021"/>
      <c r="O44" s="712"/>
      <c r="P44" s="712"/>
      <c r="Q44" s="712"/>
      <c r="R44" s="712"/>
      <c r="S44" s="12"/>
      <c r="T44" s="92"/>
      <c r="U44" s="172"/>
      <c r="V44" s="171"/>
      <c r="W44" s="96"/>
      <c r="X44" s="96">
        <v>2</v>
      </c>
      <c r="Y44" s="96" t="s">
        <v>54</v>
      </c>
      <c r="Z44" s="96"/>
      <c r="AA44" s="96"/>
      <c r="AB44" s="96"/>
      <c r="AC44" s="96"/>
      <c r="AD44" s="96"/>
      <c r="AE44" s="96"/>
      <c r="AF44" s="96"/>
      <c r="AG44" s="97"/>
      <c r="AH44" s="173"/>
      <c r="AI44" s="92"/>
      <c r="AJ44" s="47"/>
    </row>
    <row r="45" spans="1:36" ht="20.149999999999999" customHeight="1">
      <c r="A45" s="91"/>
      <c r="B45" s="315"/>
      <c r="C45" s="166"/>
      <c r="D45" s="1022"/>
      <c r="E45" s="1023"/>
      <c r="F45" s="1023"/>
      <c r="G45" s="1023"/>
      <c r="H45" s="1023"/>
      <c r="I45" s="1023"/>
      <c r="J45" s="1023"/>
      <c r="K45" s="1023"/>
      <c r="L45" s="1023"/>
      <c r="M45" s="1023"/>
      <c r="N45" s="1024"/>
      <c r="O45" s="712"/>
      <c r="P45" s="712"/>
      <c r="Q45" s="712"/>
      <c r="R45" s="712"/>
      <c r="S45" s="12"/>
      <c r="T45" s="92"/>
      <c r="U45" s="173"/>
      <c r="V45" s="96"/>
      <c r="W45" s="96"/>
      <c r="X45" s="96"/>
      <c r="Y45" s="96"/>
      <c r="Z45" s="96"/>
      <c r="AA45" s="96"/>
      <c r="AB45" s="96"/>
      <c r="AC45" s="96"/>
      <c r="AD45" s="96"/>
      <c r="AE45" s="96"/>
      <c r="AF45" s="96"/>
      <c r="AG45" s="97"/>
      <c r="AH45" s="173"/>
      <c r="AI45" s="92"/>
      <c r="AJ45" s="47"/>
    </row>
    <row r="46" spans="1:36" ht="20.149999999999999" customHeight="1">
      <c r="A46" s="91"/>
      <c r="B46" s="315"/>
      <c r="C46" s="164"/>
      <c r="D46" s="1022"/>
      <c r="E46" s="1023"/>
      <c r="F46" s="1023"/>
      <c r="G46" s="1023"/>
      <c r="H46" s="1023"/>
      <c r="I46" s="1023"/>
      <c r="J46" s="1023"/>
      <c r="K46" s="1023"/>
      <c r="L46" s="1023"/>
      <c r="M46" s="1023"/>
      <c r="N46" s="1024"/>
      <c r="O46" s="712"/>
      <c r="P46" s="712"/>
      <c r="Q46" s="712"/>
      <c r="R46" s="712"/>
      <c r="S46" s="12"/>
      <c r="T46" s="92"/>
      <c r="U46" s="170"/>
      <c r="V46" s="170"/>
      <c r="W46" s="170"/>
      <c r="X46" s="96"/>
      <c r="Y46" s="96"/>
      <c r="Z46" s="170"/>
      <c r="AA46" s="170"/>
      <c r="AB46" s="170"/>
      <c r="AC46" s="170"/>
      <c r="AD46" s="170"/>
      <c r="AE46" s="170"/>
      <c r="AF46" s="170"/>
      <c r="AG46" s="170"/>
      <c r="AH46" s="170"/>
      <c r="AI46" s="92"/>
      <c r="AJ46" s="47"/>
    </row>
    <row r="47" spans="1:36" ht="20.149999999999999" customHeight="1">
      <c r="A47" s="91"/>
      <c r="B47" s="315"/>
      <c r="C47" s="166"/>
      <c r="D47" s="1022"/>
      <c r="E47" s="1023"/>
      <c r="F47" s="1023"/>
      <c r="G47" s="1023"/>
      <c r="H47" s="1023"/>
      <c r="I47" s="1023"/>
      <c r="J47" s="1023"/>
      <c r="K47" s="1023"/>
      <c r="L47" s="1023"/>
      <c r="M47" s="1023"/>
      <c r="N47" s="1024"/>
      <c r="O47" s="712"/>
      <c r="P47" s="712"/>
      <c r="Q47" s="712"/>
      <c r="R47" s="712"/>
      <c r="S47" s="12"/>
      <c r="T47" s="92"/>
      <c r="U47" s="170"/>
      <c r="V47" s="174"/>
      <c r="W47" s="170"/>
      <c r="X47" s="96"/>
      <c r="Y47" s="96"/>
      <c r="Z47" s="170"/>
      <c r="AA47" s="170"/>
      <c r="AB47" s="170"/>
      <c r="AC47" s="170"/>
      <c r="AD47" s="170"/>
      <c r="AE47" s="170"/>
      <c r="AF47" s="170"/>
      <c r="AG47" s="170"/>
      <c r="AH47" s="170"/>
      <c r="AI47" s="92"/>
      <c r="AJ47" s="47"/>
    </row>
    <row r="48" spans="1:36" ht="20.149999999999999" customHeight="1">
      <c r="A48" s="91"/>
      <c r="B48" s="315"/>
      <c r="C48" s="166"/>
      <c r="D48" s="1022"/>
      <c r="E48" s="1023"/>
      <c r="F48" s="1023"/>
      <c r="G48" s="1023"/>
      <c r="H48" s="1023"/>
      <c r="I48" s="1023"/>
      <c r="J48" s="1023"/>
      <c r="K48" s="1023"/>
      <c r="L48" s="1023"/>
      <c r="M48" s="1023"/>
      <c r="N48" s="1024"/>
      <c r="O48" s="712"/>
      <c r="P48" s="712"/>
      <c r="Q48" s="712"/>
      <c r="R48" s="712"/>
      <c r="S48" s="12"/>
      <c r="T48" s="92"/>
      <c r="U48" s="170"/>
      <c r="V48" s="175"/>
      <c r="W48" s="170"/>
      <c r="X48" s="170"/>
      <c r="Y48" s="170"/>
      <c r="Z48" s="170"/>
      <c r="AA48" s="170"/>
      <c r="AB48" s="170"/>
      <c r="AC48" s="170"/>
      <c r="AD48" s="170"/>
      <c r="AE48" s="170"/>
      <c r="AF48" s="170"/>
      <c r="AG48" s="170"/>
      <c r="AH48" s="170"/>
      <c r="AI48" s="92"/>
      <c r="AJ48" s="47"/>
    </row>
    <row r="49" spans="1:16383" ht="20.149999999999999" customHeight="1">
      <c r="A49" s="91"/>
      <c r="B49" s="315"/>
      <c r="C49" s="316"/>
      <c r="D49" s="1025"/>
      <c r="E49" s="1026"/>
      <c r="F49" s="1026"/>
      <c r="G49" s="1026"/>
      <c r="H49" s="1026"/>
      <c r="I49" s="1026"/>
      <c r="J49" s="1026"/>
      <c r="K49" s="1026"/>
      <c r="L49" s="1026"/>
      <c r="M49" s="1026"/>
      <c r="N49" s="1027"/>
      <c r="O49" s="711"/>
      <c r="P49" s="712"/>
      <c r="Q49" s="712"/>
      <c r="R49" s="712"/>
      <c r="S49" s="12"/>
      <c r="T49" s="92"/>
      <c r="U49" s="170"/>
      <c r="V49" s="170"/>
      <c r="W49" s="170"/>
      <c r="X49" s="170"/>
      <c r="Y49" s="170"/>
      <c r="Z49" s="170"/>
      <c r="AA49" s="170"/>
      <c r="AB49" s="170"/>
      <c r="AC49" s="170"/>
      <c r="AD49" s="170"/>
      <c r="AE49" s="170"/>
      <c r="AF49" s="170"/>
      <c r="AG49" s="170"/>
      <c r="AH49" s="170"/>
      <c r="AI49" s="92"/>
      <c r="AJ49" s="47"/>
    </row>
    <row r="50" spans="1:16383" ht="20.149999999999999" customHeight="1">
      <c r="A50" s="91"/>
      <c r="B50" s="315"/>
      <c r="C50" s="316"/>
      <c r="D50" s="164" t="s">
        <v>607</v>
      </c>
      <c r="E50" s="164"/>
      <c r="F50" s="164"/>
      <c r="G50" s="164"/>
      <c r="H50" s="164"/>
      <c r="I50" s="164"/>
      <c r="J50" s="164"/>
      <c r="K50" s="164"/>
      <c r="L50" s="164"/>
      <c r="M50" s="164"/>
      <c r="N50" s="316"/>
      <c r="O50" s="316"/>
      <c r="P50" s="316"/>
      <c r="Q50" s="316"/>
      <c r="R50" s="316"/>
      <c r="S50" s="12"/>
      <c r="T50" s="92"/>
      <c r="U50" s="170"/>
      <c r="V50" s="170"/>
      <c r="W50" s="170"/>
      <c r="X50" s="170"/>
      <c r="Y50" s="170"/>
      <c r="Z50" s="170"/>
      <c r="AA50" s="170"/>
      <c r="AB50" s="170"/>
      <c r="AC50" s="170"/>
      <c r="AD50" s="170"/>
      <c r="AE50" s="170"/>
      <c r="AF50" s="170"/>
      <c r="AG50" s="170"/>
      <c r="AH50" s="170"/>
      <c r="AI50" s="92"/>
      <c r="AJ50" s="92"/>
      <c r="AK50" s="715"/>
      <c r="AL50" s="715"/>
      <c r="AM50" s="715"/>
      <c r="AN50" s="715"/>
      <c r="AO50" s="715"/>
      <c r="AP50" s="715"/>
      <c r="AQ50" s="715"/>
      <c r="AR50" s="715"/>
      <c r="AS50" s="715"/>
      <c r="AT50" s="715"/>
      <c r="AU50" s="715"/>
      <c r="AV50" s="715"/>
      <c r="AW50" s="715"/>
      <c r="AX50" s="715"/>
      <c r="AY50" s="715"/>
      <c r="AZ50" s="715"/>
      <c r="BA50" s="715"/>
      <c r="BB50" s="715"/>
      <c r="BC50" s="715"/>
      <c r="BD50" s="715"/>
      <c r="BE50" s="715"/>
      <c r="BF50" s="715"/>
      <c r="BG50" s="715"/>
      <c r="BH50" s="715"/>
      <c r="BI50" s="715"/>
      <c r="BJ50" s="715"/>
      <c r="BK50" s="715"/>
      <c r="BL50" s="715"/>
      <c r="BM50" s="715"/>
      <c r="BN50" s="715"/>
      <c r="BO50" s="715"/>
      <c r="BP50" s="715"/>
      <c r="BQ50" s="715"/>
      <c r="BR50" s="715"/>
      <c r="BS50" s="715"/>
      <c r="BT50" s="715"/>
      <c r="BU50" s="715"/>
      <c r="BV50" s="715"/>
      <c r="BW50" s="715"/>
      <c r="BX50" s="715"/>
      <c r="BY50" s="715"/>
      <c r="BZ50" s="715"/>
      <c r="CA50" s="715"/>
      <c r="CB50" s="715"/>
      <c r="CC50" s="715"/>
      <c r="CD50" s="715"/>
      <c r="CE50" s="715"/>
      <c r="CF50" s="715"/>
      <c r="CG50" s="715"/>
      <c r="CH50" s="715"/>
      <c r="CI50" s="715"/>
      <c r="CJ50" s="715"/>
      <c r="CK50" s="715"/>
      <c r="CL50" s="715"/>
      <c r="CM50" s="715"/>
      <c r="CN50" s="715"/>
      <c r="CO50" s="715"/>
      <c r="CP50" s="715"/>
      <c r="CQ50" s="715"/>
      <c r="CR50" s="715"/>
      <c r="CS50" s="715"/>
      <c r="CT50" s="715"/>
      <c r="CU50" s="715"/>
      <c r="CV50" s="715"/>
      <c r="CW50" s="715"/>
      <c r="CX50" s="715"/>
      <c r="CY50" s="715"/>
      <c r="CZ50" s="715"/>
      <c r="DA50" s="715"/>
      <c r="DB50" s="715"/>
      <c r="DC50" s="715"/>
      <c r="DD50" s="715"/>
      <c r="DE50" s="715"/>
      <c r="DF50" s="715"/>
      <c r="DG50" s="715"/>
      <c r="DH50" s="715"/>
      <c r="DI50" s="715"/>
      <c r="DJ50" s="715"/>
      <c r="DK50" s="715"/>
      <c r="DL50" s="715"/>
      <c r="DM50" s="715"/>
      <c r="DN50" s="715"/>
      <c r="DO50" s="715"/>
      <c r="DP50" s="715"/>
      <c r="DQ50" s="715"/>
      <c r="DR50" s="715"/>
      <c r="DS50" s="715"/>
      <c r="DT50" s="715"/>
      <c r="DU50" s="715"/>
      <c r="DV50" s="715"/>
      <c r="DW50" s="715"/>
      <c r="DX50" s="715"/>
      <c r="DY50" s="715"/>
      <c r="DZ50" s="715"/>
      <c r="EA50" s="715"/>
      <c r="EB50" s="715"/>
      <c r="EC50" s="715"/>
      <c r="ED50" s="715"/>
      <c r="EE50" s="715"/>
      <c r="EF50" s="715"/>
      <c r="EG50" s="715"/>
      <c r="EH50" s="715"/>
      <c r="EI50" s="715"/>
      <c r="EJ50" s="715"/>
      <c r="EK50" s="715"/>
      <c r="EL50" s="715"/>
      <c r="EM50" s="715"/>
      <c r="EN50" s="715"/>
      <c r="EO50" s="715"/>
      <c r="EP50" s="715"/>
      <c r="EQ50" s="715"/>
      <c r="ER50" s="715"/>
      <c r="ES50" s="715"/>
      <c r="ET50" s="715"/>
      <c r="EU50" s="715"/>
      <c r="EV50" s="715"/>
      <c r="EW50" s="715"/>
      <c r="EX50" s="715"/>
      <c r="EY50" s="715"/>
      <c r="EZ50" s="715"/>
      <c r="FA50" s="715"/>
      <c r="FB50" s="715"/>
      <c r="FC50" s="715"/>
      <c r="FD50" s="715"/>
      <c r="FE50" s="715"/>
      <c r="FF50" s="715"/>
      <c r="FG50" s="715"/>
      <c r="FH50" s="715"/>
      <c r="FI50" s="715"/>
      <c r="FJ50" s="715"/>
      <c r="FK50" s="715"/>
      <c r="FL50" s="715"/>
      <c r="FM50" s="715"/>
      <c r="FN50" s="715"/>
      <c r="FO50" s="715"/>
      <c r="FP50" s="715"/>
      <c r="FQ50" s="715"/>
      <c r="FR50" s="715"/>
      <c r="FS50" s="715"/>
      <c r="FT50" s="715"/>
      <c r="FU50" s="715"/>
      <c r="FV50" s="715"/>
      <c r="FW50" s="715"/>
      <c r="FX50" s="715"/>
      <c r="FY50" s="715"/>
      <c r="FZ50" s="715"/>
      <c r="GA50" s="715"/>
      <c r="GB50" s="715"/>
      <c r="GC50" s="715"/>
      <c r="GD50" s="715"/>
      <c r="GE50" s="715"/>
      <c r="GF50" s="715"/>
      <c r="GG50" s="715"/>
      <c r="GH50" s="715"/>
      <c r="GI50" s="715"/>
      <c r="GJ50" s="715"/>
      <c r="GK50" s="715"/>
      <c r="GL50" s="715"/>
      <c r="GM50" s="715"/>
      <c r="GN50" s="715"/>
      <c r="GO50" s="715"/>
      <c r="GP50" s="715"/>
      <c r="GQ50" s="715"/>
      <c r="GR50" s="715"/>
      <c r="GS50" s="715"/>
      <c r="GT50" s="715"/>
      <c r="GU50" s="715"/>
      <c r="GV50" s="715"/>
      <c r="GW50" s="715"/>
      <c r="GX50" s="715"/>
      <c r="GY50" s="715"/>
      <c r="GZ50" s="715"/>
      <c r="HA50" s="715"/>
      <c r="HB50" s="715"/>
      <c r="HC50" s="715"/>
      <c r="HD50" s="715"/>
      <c r="HE50" s="715"/>
      <c r="HF50" s="715"/>
      <c r="HG50" s="715"/>
      <c r="HH50" s="715"/>
      <c r="HI50" s="715"/>
      <c r="HJ50" s="715"/>
      <c r="HK50" s="715"/>
      <c r="HL50" s="715"/>
      <c r="HM50" s="715"/>
      <c r="HN50" s="715"/>
      <c r="HO50" s="715"/>
      <c r="HP50" s="715"/>
      <c r="HQ50" s="715"/>
      <c r="HR50" s="715"/>
      <c r="HS50" s="715"/>
      <c r="HT50" s="715"/>
      <c r="HU50" s="715"/>
      <c r="HV50" s="715"/>
      <c r="HW50" s="715"/>
      <c r="HX50" s="715"/>
      <c r="HY50" s="715"/>
      <c r="HZ50" s="715"/>
      <c r="IA50" s="715"/>
      <c r="IB50" s="715"/>
      <c r="IC50" s="715"/>
      <c r="ID50" s="715"/>
      <c r="IE50" s="715"/>
      <c r="IF50" s="715"/>
      <c r="IG50" s="715"/>
      <c r="IH50" s="715"/>
      <c r="II50" s="715"/>
      <c r="IJ50" s="715"/>
      <c r="IK50" s="715"/>
      <c r="IL50" s="715"/>
      <c r="IM50" s="715"/>
      <c r="IN50" s="715"/>
      <c r="IO50" s="715"/>
      <c r="IP50" s="715"/>
      <c r="IQ50" s="715"/>
      <c r="IR50" s="715"/>
      <c r="IS50" s="715"/>
      <c r="IT50" s="715"/>
      <c r="IU50" s="715"/>
      <c r="IV50" s="715"/>
      <c r="IW50" s="715"/>
      <c r="IX50" s="715"/>
      <c r="IY50" s="715"/>
      <c r="IZ50" s="715"/>
      <c r="JA50" s="715"/>
      <c r="JB50" s="715"/>
      <c r="JC50" s="715"/>
      <c r="JD50" s="715"/>
      <c r="JE50" s="715"/>
      <c r="JF50" s="715"/>
      <c r="JG50" s="715"/>
      <c r="JH50" s="715"/>
      <c r="JI50" s="715"/>
      <c r="JJ50" s="715"/>
      <c r="JK50" s="715"/>
      <c r="JL50" s="715"/>
      <c r="JM50" s="715"/>
      <c r="JN50" s="715"/>
      <c r="JO50" s="715"/>
      <c r="JP50" s="715"/>
      <c r="JQ50" s="715"/>
      <c r="JR50" s="715"/>
      <c r="JS50" s="715"/>
      <c r="JT50" s="715"/>
      <c r="JU50" s="715"/>
      <c r="JV50" s="715"/>
      <c r="JW50" s="715"/>
      <c r="JX50" s="715"/>
      <c r="JY50" s="715"/>
      <c r="JZ50" s="715"/>
      <c r="KA50" s="715"/>
      <c r="KB50" s="715"/>
      <c r="KC50" s="715"/>
      <c r="KD50" s="715"/>
      <c r="KE50" s="715"/>
      <c r="KF50" s="715"/>
      <c r="KG50" s="715"/>
      <c r="KH50" s="715"/>
      <c r="KI50" s="715"/>
      <c r="KJ50" s="715"/>
      <c r="KK50" s="715"/>
      <c r="KL50" s="715"/>
      <c r="KM50" s="715"/>
      <c r="KN50" s="715"/>
      <c r="KO50" s="715"/>
      <c r="KP50" s="715"/>
      <c r="KQ50" s="715"/>
      <c r="KR50" s="715"/>
      <c r="KS50" s="715"/>
      <c r="KT50" s="715"/>
      <c r="KU50" s="715"/>
      <c r="KV50" s="715"/>
      <c r="KW50" s="715"/>
      <c r="KX50" s="715"/>
      <c r="KY50" s="715"/>
      <c r="KZ50" s="715"/>
      <c r="LA50" s="715"/>
      <c r="LB50" s="715"/>
      <c r="LC50" s="715"/>
      <c r="LD50" s="715"/>
      <c r="LE50" s="715"/>
      <c r="LF50" s="715"/>
      <c r="LG50" s="715"/>
      <c r="LH50" s="715"/>
      <c r="LI50" s="715"/>
      <c r="LJ50" s="715"/>
      <c r="LK50" s="715"/>
      <c r="LL50" s="715"/>
      <c r="LM50" s="715"/>
      <c r="LN50" s="715"/>
      <c r="LO50" s="715"/>
      <c r="LP50" s="715"/>
      <c r="LQ50" s="715"/>
      <c r="LR50" s="715"/>
      <c r="LS50" s="715"/>
      <c r="LT50" s="715"/>
      <c r="LU50" s="715"/>
      <c r="LV50" s="715"/>
      <c r="LW50" s="715"/>
      <c r="LX50" s="715"/>
      <c r="LY50" s="715"/>
      <c r="LZ50" s="715"/>
      <c r="MA50" s="715"/>
      <c r="MB50" s="715"/>
      <c r="MC50" s="715"/>
      <c r="MD50" s="715"/>
      <c r="ME50" s="715"/>
      <c r="MF50" s="715"/>
      <c r="MG50" s="715"/>
      <c r="MH50" s="715"/>
      <c r="MI50" s="715"/>
      <c r="MJ50" s="715"/>
      <c r="MK50" s="715"/>
      <c r="ML50" s="715"/>
      <c r="MM50" s="715"/>
      <c r="MN50" s="715"/>
      <c r="MO50" s="715"/>
      <c r="MP50" s="715"/>
      <c r="MQ50" s="715"/>
      <c r="MR50" s="715"/>
      <c r="MS50" s="715"/>
      <c r="MT50" s="715"/>
      <c r="MU50" s="715"/>
      <c r="MV50" s="715"/>
      <c r="MW50" s="715"/>
      <c r="MX50" s="715"/>
      <c r="MY50" s="715"/>
      <c r="MZ50" s="715"/>
      <c r="NA50" s="715"/>
      <c r="NB50" s="715"/>
      <c r="NC50" s="715"/>
      <c r="ND50" s="715"/>
      <c r="NE50" s="715"/>
      <c r="NF50" s="715"/>
      <c r="NG50" s="715"/>
      <c r="NH50" s="715"/>
      <c r="NI50" s="715"/>
      <c r="NJ50" s="715"/>
      <c r="NK50" s="715"/>
      <c r="NL50" s="715"/>
      <c r="NM50" s="715"/>
      <c r="NN50" s="715"/>
      <c r="NO50" s="715"/>
      <c r="NP50" s="715"/>
      <c r="NQ50" s="715"/>
      <c r="NR50" s="715"/>
      <c r="NS50" s="715"/>
      <c r="NT50" s="715"/>
      <c r="NU50" s="715"/>
      <c r="NV50" s="715"/>
      <c r="NW50" s="715"/>
      <c r="NX50" s="715"/>
      <c r="NY50" s="715"/>
      <c r="NZ50" s="715"/>
      <c r="OA50" s="715"/>
      <c r="OB50" s="715"/>
      <c r="OC50" s="715"/>
      <c r="OD50" s="715"/>
      <c r="OE50" s="715"/>
      <c r="OF50" s="715"/>
      <c r="OG50" s="715"/>
      <c r="OH50" s="715"/>
      <c r="OI50" s="715"/>
      <c r="OJ50" s="715"/>
      <c r="OK50" s="715"/>
      <c r="OL50" s="715"/>
      <c r="OM50" s="715"/>
      <c r="ON50" s="715"/>
      <c r="OO50" s="715"/>
      <c r="OP50" s="715"/>
      <c r="OQ50" s="715"/>
      <c r="OR50" s="715"/>
      <c r="OS50" s="715"/>
      <c r="OT50" s="715"/>
      <c r="OU50" s="715"/>
      <c r="OV50" s="715"/>
      <c r="OW50" s="715"/>
      <c r="OX50" s="715"/>
      <c r="OY50" s="715"/>
      <c r="OZ50" s="715"/>
      <c r="PA50" s="715"/>
      <c r="PB50" s="715"/>
      <c r="PC50" s="715"/>
      <c r="PD50" s="715"/>
      <c r="PE50" s="715"/>
      <c r="PF50" s="715"/>
      <c r="PG50" s="715"/>
      <c r="PH50" s="715"/>
      <c r="PI50" s="715"/>
      <c r="PJ50" s="715"/>
      <c r="PK50" s="715"/>
      <c r="PL50" s="715"/>
      <c r="PM50" s="715"/>
      <c r="PN50" s="715"/>
      <c r="PO50" s="715"/>
      <c r="PP50" s="715"/>
      <c r="PQ50" s="715"/>
      <c r="PR50" s="715"/>
      <c r="PS50" s="715"/>
      <c r="PT50" s="715"/>
      <c r="PU50" s="715"/>
      <c r="PV50" s="715"/>
      <c r="PW50" s="715"/>
      <c r="PX50" s="715"/>
      <c r="PY50" s="715"/>
      <c r="PZ50" s="715"/>
      <c r="QA50" s="715"/>
      <c r="QB50" s="715"/>
      <c r="QC50" s="715"/>
      <c r="QD50" s="715"/>
      <c r="QE50" s="715"/>
      <c r="QF50" s="715"/>
      <c r="QG50" s="715"/>
      <c r="QH50" s="715"/>
      <c r="QI50" s="715"/>
      <c r="QJ50" s="715"/>
      <c r="QK50" s="715"/>
      <c r="QL50" s="715"/>
      <c r="QM50" s="715"/>
      <c r="QN50" s="715"/>
      <c r="QO50" s="715"/>
      <c r="QP50" s="715"/>
      <c r="QQ50" s="715"/>
      <c r="QR50" s="715"/>
      <c r="QS50" s="715"/>
      <c r="QT50" s="715"/>
      <c r="QU50" s="715"/>
      <c r="QV50" s="715"/>
      <c r="QW50" s="715"/>
      <c r="QX50" s="715"/>
      <c r="QY50" s="715"/>
      <c r="QZ50" s="715"/>
      <c r="RA50" s="715"/>
      <c r="RB50" s="715"/>
      <c r="RC50" s="715"/>
      <c r="RD50" s="715"/>
      <c r="RE50" s="715"/>
      <c r="RF50" s="715"/>
      <c r="RG50" s="715"/>
      <c r="RH50" s="715"/>
      <c r="RI50" s="715"/>
      <c r="RJ50" s="715"/>
      <c r="RK50" s="715"/>
      <c r="RL50" s="715"/>
      <c r="RM50" s="715"/>
      <c r="RN50" s="715"/>
      <c r="RO50" s="715"/>
      <c r="RP50" s="715"/>
      <c r="RQ50" s="715"/>
      <c r="RR50" s="715"/>
      <c r="RS50" s="715"/>
      <c r="RT50" s="715"/>
      <c r="RU50" s="715"/>
      <c r="RV50" s="715"/>
      <c r="RW50" s="715"/>
      <c r="RX50" s="715"/>
      <c r="RY50" s="715"/>
      <c r="RZ50" s="715"/>
      <c r="SA50" s="715"/>
      <c r="SB50" s="715"/>
      <c r="SC50" s="715"/>
      <c r="SD50" s="715"/>
      <c r="SE50" s="715"/>
      <c r="SF50" s="715"/>
      <c r="SG50" s="715"/>
      <c r="SH50" s="715"/>
      <c r="SI50" s="715"/>
      <c r="SJ50" s="715"/>
      <c r="SK50" s="715"/>
      <c r="SL50" s="715"/>
      <c r="SM50" s="715"/>
      <c r="SN50" s="715"/>
      <c r="SO50" s="715"/>
      <c r="SP50" s="715"/>
      <c r="SQ50" s="715"/>
      <c r="SR50" s="715"/>
      <c r="SS50" s="715"/>
      <c r="ST50" s="715"/>
      <c r="SU50" s="715"/>
      <c r="SV50" s="715"/>
      <c r="SW50" s="715"/>
      <c r="SX50" s="715"/>
      <c r="SY50" s="715"/>
      <c r="SZ50" s="715"/>
      <c r="TA50" s="715"/>
      <c r="TB50" s="715"/>
      <c r="TC50" s="715"/>
      <c r="TD50" s="715"/>
      <c r="TE50" s="715"/>
      <c r="TF50" s="715"/>
      <c r="TG50" s="715"/>
      <c r="TH50" s="715"/>
      <c r="TI50" s="715"/>
      <c r="TJ50" s="715"/>
      <c r="TK50" s="715"/>
      <c r="TL50" s="715"/>
      <c r="TM50" s="715"/>
      <c r="TN50" s="715"/>
      <c r="TO50" s="715"/>
      <c r="TP50" s="715"/>
      <c r="TQ50" s="715"/>
      <c r="TR50" s="715"/>
      <c r="TS50" s="715"/>
      <c r="TT50" s="715"/>
      <c r="TU50" s="715"/>
      <c r="TV50" s="715"/>
      <c r="TW50" s="715"/>
      <c r="TX50" s="715"/>
      <c r="TY50" s="715"/>
      <c r="TZ50" s="715"/>
      <c r="UA50" s="715"/>
      <c r="UB50" s="715"/>
      <c r="UC50" s="715"/>
      <c r="UD50" s="715"/>
      <c r="UE50" s="715"/>
      <c r="UF50" s="715"/>
      <c r="UG50" s="715"/>
      <c r="UH50" s="715"/>
      <c r="UI50" s="715"/>
      <c r="UJ50" s="715"/>
      <c r="UK50" s="715"/>
      <c r="UL50" s="715"/>
      <c r="UM50" s="715"/>
      <c r="UN50" s="715"/>
      <c r="UO50" s="715"/>
      <c r="UP50" s="715"/>
      <c r="UQ50" s="715"/>
      <c r="UR50" s="715"/>
      <c r="US50" s="715"/>
      <c r="UT50" s="715"/>
      <c r="UU50" s="715"/>
      <c r="UV50" s="715"/>
      <c r="UW50" s="715"/>
      <c r="UX50" s="715"/>
      <c r="UY50" s="715"/>
      <c r="UZ50" s="715"/>
      <c r="VA50" s="715"/>
      <c r="VB50" s="715"/>
      <c r="VC50" s="715"/>
      <c r="VD50" s="715"/>
      <c r="VE50" s="715"/>
      <c r="VF50" s="715"/>
      <c r="VG50" s="715"/>
      <c r="VH50" s="715"/>
      <c r="VI50" s="715"/>
      <c r="VJ50" s="715"/>
      <c r="VK50" s="715"/>
      <c r="VL50" s="715"/>
      <c r="VM50" s="715"/>
      <c r="VN50" s="715"/>
      <c r="VO50" s="715"/>
      <c r="VP50" s="715"/>
      <c r="VQ50" s="715"/>
      <c r="VR50" s="715"/>
      <c r="VS50" s="715"/>
      <c r="VT50" s="715"/>
      <c r="VU50" s="715"/>
      <c r="VV50" s="715"/>
      <c r="VW50" s="715"/>
      <c r="VX50" s="715"/>
      <c r="VY50" s="715"/>
      <c r="VZ50" s="715"/>
      <c r="WA50" s="715"/>
      <c r="WB50" s="715"/>
      <c r="WC50" s="715"/>
      <c r="WD50" s="715"/>
      <c r="WE50" s="715"/>
      <c r="WF50" s="715"/>
      <c r="WG50" s="715"/>
      <c r="WH50" s="715"/>
      <c r="WI50" s="715"/>
      <c r="WJ50" s="715"/>
      <c r="WK50" s="715"/>
      <c r="WL50" s="715"/>
      <c r="WM50" s="715"/>
      <c r="WN50" s="715"/>
      <c r="WO50" s="715"/>
      <c r="WP50" s="715"/>
      <c r="WQ50" s="715"/>
      <c r="WR50" s="715"/>
      <c r="WS50" s="715"/>
      <c r="WT50" s="715"/>
      <c r="WU50" s="715"/>
      <c r="WV50" s="715"/>
      <c r="WW50" s="715"/>
      <c r="WX50" s="715"/>
      <c r="WY50" s="715"/>
      <c r="WZ50" s="715"/>
      <c r="XA50" s="715"/>
      <c r="XB50" s="715"/>
      <c r="XC50" s="715"/>
      <c r="XD50" s="715"/>
      <c r="XE50" s="715"/>
      <c r="XF50" s="715"/>
      <c r="XG50" s="715"/>
      <c r="XH50" s="715"/>
      <c r="XI50" s="715"/>
      <c r="XJ50" s="715"/>
      <c r="XK50" s="715"/>
      <c r="XL50" s="715"/>
      <c r="XM50" s="715"/>
      <c r="XN50" s="715"/>
      <c r="XO50" s="715"/>
      <c r="XP50" s="715"/>
      <c r="XQ50" s="715"/>
      <c r="XR50" s="715"/>
      <c r="XS50" s="715"/>
      <c r="XT50" s="715"/>
      <c r="XU50" s="715"/>
      <c r="XV50" s="715"/>
      <c r="XW50" s="715"/>
      <c r="XX50" s="715"/>
      <c r="XY50" s="715"/>
      <c r="XZ50" s="715"/>
      <c r="YA50" s="715"/>
      <c r="YB50" s="715"/>
      <c r="YC50" s="715"/>
      <c r="YD50" s="715"/>
      <c r="YE50" s="715"/>
      <c r="YF50" s="715"/>
      <c r="YG50" s="715"/>
      <c r="YH50" s="715"/>
      <c r="YI50" s="715"/>
      <c r="YJ50" s="715"/>
      <c r="YK50" s="715"/>
      <c r="YL50" s="715"/>
      <c r="YM50" s="715"/>
      <c r="YN50" s="715"/>
      <c r="YO50" s="715"/>
      <c r="YP50" s="715"/>
      <c r="YQ50" s="715"/>
      <c r="YR50" s="715"/>
      <c r="YS50" s="715"/>
      <c r="YT50" s="715"/>
      <c r="YU50" s="715"/>
      <c r="YV50" s="715"/>
      <c r="YW50" s="715"/>
      <c r="YX50" s="715"/>
      <c r="YY50" s="715"/>
      <c r="YZ50" s="715"/>
      <c r="ZA50" s="715"/>
      <c r="ZB50" s="715"/>
      <c r="ZC50" s="715"/>
      <c r="ZD50" s="715"/>
      <c r="ZE50" s="715"/>
      <c r="ZF50" s="715"/>
      <c r="ZG50" s="715"/>
      <c r="ZH50" s="715"/>
      <c r="ZI50" s="715"/>
      <c r="ZJ50" s="715"/>
      <c r="ZK50" s="715"/>
      <c r="ZL50" s="715"/>
      <c r="ZM50" s="715"/>
      <c r="ZN50" s="715"/>
      <c r="ZO50" s="715"/>
      <c r="ZP50" s="715"/>
      <c r="ZQ50" s="715"/>
      <c r="ZR50" s="715"/>
      <c r="ZS50" s="715"/>
      <c r="ZT50" s="715"/>
      <c r="ZU50" s="715"/>
      <c r="ZV50" s="715"/>
      <c r="ZW50" s="715"/>
      <c r="ZX50" s="715"/>
      <c r="ZY50" s="715"/>
      <c r="ZZ50" s="715"/>
      <c r="AAA50" s="715"/>
      <c r="AAB50" s="715"/>
      <c r="AAC50" s="715"/>
      <c r="AAD50" s="715"/>
      <c r="AAE50" s="715"/>
      <c r="AAF50" s="715"/>
      <c r="AAG50" s="715"/>
      <c r="AAH50" s="715"/>
      <c r="AAI50" s="715"/>
      <c r="AAJ50" s="715"/>
      <c r="AAK50" s="715"/>
      <c r="AAL50" s="715"/>
      <c r="AAM50" s="715"/>
      <c r="AAN50" s="715"/>
      <c r="AAO50" s="715"/>
      <c r="AAP50" s="715"/>
      <c r="AAQ50" s="715"/>
      <c r="AAR50" s="715"/>
      <c r="AAS50" s="715"/>
      <c r="AAT50" s="715"/>
      <c r="AAU50" s="715"/>
      <c r="AAV50" s="715"/>
      <c r="AAW50" s="715"/>
      <c r="AAX50" s="715"/>
      <c r="AAY50" s="715"/>
      <c r="AAZ50" s="715"/>
      <c r="ABA50" s="715"/>
      <c r="ABB50" s="715"/>
      <c r="ABC50" s="715"/>
      <c r="ABD50" s="715"/>
      <c r="ABE50" s="715"/>
      <c r="ABF50" s="715"/>
      <c r="ABG50" s="715"/>
      <c r="ABH50" s="715"/>
      <c r="ABI50" s="715"/>
      <c r="ABJ50" s="715"/>
      <c r="ABK50" s="715"/>
      <c r="ABL50" s="715"/>
      <c r="ABM50" s="715"/>
      <c r="ABN50" s="715"/>
      <c r="ABO50" s="715"/>
      <c r="ABP50" s="715"/>
      <c r="ABQ50" s="715"/>
      <c r="ABR50" s="715"/>
      <c r="ABS50" s="715"/>
      <c r="ABT50" s="715"/>
      <c r="ABU50" s="715"/>
      <c r="ABV50" s="715"/>
      <c r="ABW50" s="715"/>
      <c r="ABX50" s="715"/>
      <c r="ABY50" s="715"/>
      <c r="ABZ50" s="715"/>
      <c r="ACA50" s="715"/>
      <c r="ACB50" s="715"/>
      <c r="ACC50" s="715"/>
      <c r="ACD50" s="715"/>
      <c r="ACE50" s="715"/>
      <c r="ACF50" s="715"/>
      <c r="ACG50" s="715"/>
      <c r="ACH50" s="715"/>
      <c r="ACI50" s="715"/>
      <c r="ACJ50" s="715"/>
      <c r="ACK50" s="715"/>
      <c r="ACL50" s="715"/>
      <c r="ACM50" s="715"/>
      <c r="ACN50" s="715"/>
      <c r="ACO50" s="715"/>
      <c r="ACP50" s="715"/>
      <c r="ACQ50" s="715"/>
      <c r="ACR50" s="715"/>
      <c r="ACS50" s="715"/>
      <c r="ACT50" s="715"/>
      <c r="ACU50" s="715"/>
      <c r="ACV50" s="715"/>
      <c r="ACW50" s="715"/>
      <c r="ACX50" s="715"/>
      <c r="ACY50" s="715"/>
      <c r="ACZ50" s="715"/>
      <c r="ADA50" s="715"/>
      <c r="ADB50" s="715"/>
      <c r="ADC50" s="715"/>
      <c r="ADD50" s="715"/>
      <c r="ADE50" s="715"/>
      <c r="ADF50" s="715"/>
      <c r="ADG50" s="715"/>
      <c r="ADH50" s="715"/>
      <c r="ADI50" s="715"/>
      <c r="ADJ50" s="715"/>
      <c r="ADK50" s="715"/>
      <c r="ADL50" s="715"/>
      <c r="ADM50" s="715"/>
      <c r="ADN50" s="715"/>
      <c r="ADO50" s="715"/>
      <c r="ADP50" s="715"/>
      <c r="ADQ50" s="715"/>
      <c r="ADR50" s="715"/>
      <c r="ADS50" s="715"/>
      <c r="ADT50" s="715"/>
      <c r="ADU50" s="715"/>
      <c r="ADV50" s="715"/>
      <c r="ADW50" s="715"/>
      <c r="ADX50" s="715"/>
      <c r="ADY50" s="715"/>
      <c r="ADZ50" s="715"/>
      <c r="AEA50" s="715"/>
      <c r="AEB50" s="715"/>
      <c r="AEC50" s="715"/>
      <c r="AED50" s="715"/>
      <c r="AEE50" s="715"/>
      <c r="AEF50" s="715"/>
      <c r="AEG50" s="715"/>
      <c r="AEH50" s="715"/>
      <c r="AEI50" s="715"/>
      <c r="AEJ50" s="715"/>
      <c r="AEK50" s="715"/>
      <c r="AEL50" s="715"/>
      <c r="AEM50" s="715"/>
      <c r="AEN50" s="715"/>
      <c r="AEO50" s="715"/>
      <c r="AEP50" s="715"/>
      <c r="AEQ50" s="715"/>
      <c r="AER50" s="715"/>
      <c r="AES50" s="715"/>
      <c r="AET50" s="715"/>
      <c r="AEU50" s="715"/>
      <c r="AEV50" s="715"/>
      <c r="AEW50" s="715"/>
      <c r="AEX50" s="715"/>
      <c r="AEY50" s="715"/>
      <c r="AEZ50" s="715"/>
      <c r="AFA50" s="715"/>
      <c r="AFB50" s="715"/>
      <c r="AFC50" s="715"/>
      <c r="AFD50" s="715"/>
      <c r="AFE50" s="715"/>
      <c r="AFF50" s="715"/>
      <c r="AFG50" s="715"/>
      <c r="AFH50" s="715"/>
      <c r="AFI50" s="715"/>
      <c r="AFJ50" s="715"/>
      <c r="AFK50" s="715"/>
      <c r="AFL50" s="715"/>
      <c r="AFM50" s="715"/>
      <c r="AFN50" s="715"/>
      <c r="AFO50" s="715"/>
      <c r="AFP50" s="715"/>
      <c r="AFQ50" s="715"/>
      <c r="AFR50" s="715"/>
      <c r="AFS50" s="715"/>
      <c r="AFT50" s="715"/>
      <c r="AFU50" s="715"/>
      <c r="AFV50" s="715"/>
      <c r="AFW50" s="715"/>
      <c r="AFX50" s="715"/>
      <c r="AFY50" s="715"/>
      <c r="AFZ50" s="715"/>
      <c r="AGA50" s="715"/>
      <c r="AGB50" s="715"/>
      <c r="AGC50" s="715"/>
      <c r="AGD50" s="715"/>
      <c r="AGE50" s="715"/>
      <c r="AGF50" s="715"/>
      <c r="AGG50" s="715"/>
      <c r="AGH50" s="715"/>
      <c r="AGI50" s="715"/>
      <c r="AGJ50" s="715"/>
      <c r="AGK50" s="715"/>
      <c r="AGL50" s="715"/>
      <c r="AGM50" s="715"/>
      <c r="AGN50" s="715"/>
      <c r="AGO50" s="715"/>
      <c r="AGP50" s="715"/>
      <c r="AGQ50" s="715"/>
      <c r="AGR50" s="715"/>
      <c r="AGS50" s="715"/>
      <c r="AGT50" s="715"/>
      <c r="AGU50" s="715"/>
      <c r="AGV50" s="715"/>
      <c r="AGW50" s="715"/>
      <c r="AGX50" s="715"/>
      <c r="AGY50" s="715"/>
      <c r="AGZ50" s="715"/>
      <c r="AHA50" s="715"/>
      <c r="AHB50" s="715"/>
      <c r="AHC50" s="715"/>
      <c r="AHD50" s="715"/>
      <c r="AHE50" s="715"/>
      <c r="AHF50" s="715"/>
      <c r="AHG50" s="715"/>
      <c r="AHH50" s="715"/>
      <c r="AHI50" s="715"/>
      <c r="AHJ50" s="715"/>
      <c r="AHK50" s="715"/>
      <c r="AHL50" s="715"/>
      <c r="AHM50" s="715"/>
      <c r="AHN50" s="715"/>
      <c r="AHO50" s="715"/>
      <c r="AHP50" s="715"/>
      <c r="AHQ50" s="715"/>
      <c r="AHR50" s="715"/>
      <c r="AHS50" s="715"/>
      <c r="AHT50" s="715"/>
      <c r="AHU50" s="715"/>
      <c r="AHV50" s="715"/>
      <c r="AHW50" s="715"/>
      <c r="AHX50" s="715"/>
      <c r="AHY50" s="715"/>
      <c r="AHZ50" s="715"/>
      <c r="AIA50" s="715"/>
      <c r="AIB50" s="715"/>
      <c r="AIC50" s="715"/>
      <c r="AID50" s="715"/>
      <c r="AIE50" s="715"/>
      <c r="AIF50" s="715"/>
      <c r="AIG50" s="715"/>
      <c r="AIH50" s="715"/>
      <c r="AII50" s="715"/>
      <c r="AIJ50" s="715"/>
      <c r="AIK50" s="715"/>
      <c r="AIL50" s="715"/>
      <c r="AIM50" s="715"/>
      <c r="AIN50" s="715"/>
      <c r="AIO50" s="715"/>
      <c r="AIP50" s="715"/>
      <c r="AIQ50" s="715"/>
      <c r="AIR50" s="715"/>
      <c r="AIS50" s="715"/>
      <c r="AIT50" s="715"/>
      <c r="AIU50" s="715"/>
      <c r="AIV50" s="715"/>
      <c r="AIW50" s="715"/>
      <c r="AIX50" s="715"/>
      <c r="AIY50" s="715"/>
      <c r="AIZ50" s="715"/>
      <c r="AJA50" s="715"/>
      <c r="AJB50" s="715"/>
      <c r="AJC50" s="715"/>
      <c r="AJD50" s="715"/>
      <c r="AJE50" s="715"/>
      <c r="AJF50" s="715"/>
      <c r="AJG50" s="715"/>
      <c r="AJH50" s="715"/>
      <c r="AJI50" s="715"/>
      <c r="AJJ50" s="715"/>
      <c r="AJK50" s="715"/>
      <c r="AJL50" s="715"/>
      <c r="AJM50" s="715"/>
      <c r="AJN50" s="715"/>
      <c r="AJO50" s="715"/>
      <c r="AJP50" s="715"/>
      <c r="AJQ50" s="715"/>
      <c r="AJR50" s="715"/>
      <c r="AJS50" s="715"/>
      <c r="AJT50" s="715"/>
      <c r="AJU50" s="715"/>
      <c r="AJV50" s="715"/>
      <c r="AJW50" s="715"/>
      <c r="AJX50" s="715"/>
      <c r="AJY50" s="715"/>
      <c r="AJZ50" s="715"/>
      <c r="AKA50" s="715"/>
      <c r="AKB50" s="715"/>
      <c r="AKC50" s="715"/>
      <c r="AKD50" s="715"/>
      <c r="AKE50" s="715"/>
      <c r="AKF50" s="715"/>
      <c r="AKG50" s="715"/>
      <c r="AKH50" s="715"/>
      <c r="AKI50" s="715"/>
      <c r="AKJ50" s="715"/>
      <c r="AKK50" s="715"/>
      <c r="AKL50" s="715"/>
      <c r="AKM50" s="715"/>
      <c r="AKN50" s="715"/>
      <c r="AKO50" s="715"/>
      <c r="AKP50" s="715"/>
      <c r="AKQ50" s="715"/>
      <c r="AKR50" s="715"/>
      <c r="AKS50" s="715"/>
      <c r="AKT50" s="715"/>
      <c r="AKU50" s="715"/>
      <c r="AKV50" s="715"/>
      <c r="AKW50" s="715"/>
      <c r="AKX50" s="715"/>
      <c r="AKY50" s="715"/>
      <c r="AKZ50" s="715"/>
      <c r="ALA50" s="715"/>
      <c r="ALB50" s="715"/>
      <c r="ALC50" s="715"/>
      <c r="ALD50" s="715"/>
      <c r="ALE50" s="715"/>
      <c r="ALF50" s="715"/>
      <c r="ALG50" s="715"/>
      <c r="ALH50" s="715"/>
      <c r="ALI50" s="715"/>
      <c r="ALJ50" s="715"/>
      <c r="ALK50" s="715"/>
      <c r="ALL50" s="715"/>
      <c r="ALM50" s="715"/>
      <c r="ALN50" s="715"/>
      <c r="ALO50" s="715"/>
      <c r="ALP50" s="715"/>
      <c r="ALQ50" s="715"/>
      <c r="ALR50" s="715"/>
      <c r="ALS50" s="715"/>
      <c r="ALT50" s="715"/>
      <c r="ALU50" s="715"/>
      <c r="ALV50" s="715"/>
      <c r="ALW50" s="715"/>
      <c r="ALX50" s="715"/>
      <c r="ALY50" s="715"/>
      <c r="ALZ50" s="715"/>
      <c r="AMA50" s="715"/>
      <c r="AMB50" s="715"/>
      <c r="AMC50" s="715"/>
      <c r="AMD50" s="715"/>
      <c r="AME50" s="715"/>
      <c r="AMF50" s="715"/>
      <c r="AMG50" s="715"/>
      <c r="AMH50" s="715"/>
      <c r="AMI50" s="715"/>
      <c r="AMJ50" s="715"/>
      <c r="AMK50" s="715"/>
      <c r="AML50" s="715"/>
      <c r="AMM50" s="715"/>
      <c r="AMN50" s="715"/>
      <c r="AMO50" s="715"/>
      <c r="AMP50" s="715"/>
      <c r="AMQ50" s="715"/>
      <c r="AMR50" s="715"/>
      <c r="AMS50" s="715"/>
      <c r="AMT50" s="715"/>
      <c r="AMU50" s="715"/>
      <c r="AMV50" s="715"/>
      <c r="AMW50" s="715"/>
      <c r="AMX50" s="715"/>
      <c r="AMY50" s="715"/>
      <c r="AMZ50" s="715"/>
      <c r="ANA50" s="715"/>
      <c r="ANB50" s="715"/>
      <c r="ANC50" s="715"/>
      <c r="AND50" s="715"/>
      <c r="ANE50" s="715"/>
      <c r="ANF50" s="715"/>
      <c r="ANG50" s="715"/>
      <c r="ANH50" s="715"/>
      <c r="ANI50" s="715"/>
      <c r="ANJ50" s="715"/>
      <c r="ANK50" s="715"/>
      <c r="ANL50" s="715"/>
      <c r="ANM50" s="715"/>
      <c r="ANN50" s="715"/>
      <c r="ANO50" s="715"/>
      <c r="ANP50" s="715"/>
      <c r="ANQ50" s="715"/>
      <c r="ANR50" s="715"/>
      <c r="ANS50" s="715"/>
      <c r="ANT50" s="715"/>
      <c r="ANU50" s="715"/>
      <c r="ANV50" s="715"/>
      <c r="ANW50" s="715"/>
      <c r="ANX50" s="715"/>
      <c r="ANY50" s="715"/>
      <c r="ANZ50" s="715"/>
      <c r="AOA50" s="715"/>
      <c r="AOB50" s="715"/>
      <c r="AOC50" s="715"/>
      <c r="AOD50" s="715"/>
      <c r="AOE50" s="715"/>
      <c r="AOF50" s="715"/>
      <c r="AOG50" s="715"/>
      <c r="AOH50" s="715"/>
      <c r="AOI50" s="715"/>
      <c r="AOJ50" s="715"/>
      <c r="AOK50" s="715"/>
      <c r="AOL50" s="715"/>
      <c r="AOM50" s="715"/>
      <c r="AON50" s="715"/>
      <c r="AOO50" s="715"/>
      <c r="AOP50" s="715"/>
      <c r="AOQ50" s="715"/>
      <c r="AOR50" s="715"/>
      <c r="AOS50" s="715"/>
      <c r="AOT50" s="715"/>
      <c r="AOU50" s="715"/>
      <c r="AOV50" s="715"/>
      <c r="AOW50" s="715"/>
      <c r="AOX50" s="715"/>
      <c r="AOY50" s="715"/>
      <c r="AOZ50" s="715"/>
      <c r="APA50" s="715"/>
      <c r="APB50" s="715"/>
      <c r="APC50" s="715"/>
      <c r="APD50" s="715"/>
      <c r="APE50" s="715"/>
      <c r="APF50" s="715"/>
      <c r="APG50" s="715"/>
      <c r="APH50" s="715"/>
      <c r="API50" s="715"/>
      <c r="APJ50" s="715"/>
      <c r="APK50" s="715"/>
      <c r="APL50" s="715"/>
      <c r="APM50" s="715"/>
      <c r="APN50" s="715"/>
      <c r="APO50" s="715"/>
      <c r="APP50" s="715"/>
      <c r="APQ50" s="715"/>
      <c r="APR50" s="715"/>
      <c r="APS50" s="715"/>
      <c r="APT50" s="715"/>
      <c r="APU50" s="715"/>
      <c r="APV50" s="715"/>
      <c r="APW50" s="715"/>
      <c r="APX50" s="715"/>
      <c r="APY50" s="715"/>
      <c r="APZ50" s="715"/>
      <c r="AQA50" s="715"/>
      <c r="AQB50" s="715"/>
      <c r="AQC50" s="715"/>
      <c r="AQD50" s="715"/>
      <c r="AQE50" s="715"/>
      <c r="AQF50" s="715"/>
      <c r="AQG50" s="715"/>
      <c r="AQH50" s="715"/>
      <c r="AQI50" s="715"/>
      <c r="AQJ50" s="715"/>
      <c r="AQK50" s="715"/>
      <c r="AQL50" s="715"/>
      <c r="AQM50" s="715"/>
      <c r="AQN50" s="715"/>
      <c r="AQO50" s="715"/>
      <c r="AQP50" s="715"/>
      <c r="AQQ50" s="715"/>
      <c r="AQR50" s="715"/>
      <c r="AQS50" s="715"/>
      <c r="AQT50" s="715"/>
      <c r="AQU50" s="715"/>
      <c r="AQV50" s="715"/>
      <c r="AQW50" s="715"/>
      <c r="AQX50" s="715"/>
      <c r="AQY50" s="715"/>
      <c r="AQZ50" s="715"/>
      <c r="ARA50" s="715"/>
      <c r="ARB50" s="715"/>
      <c r="ARC50" s="715"/>
      <c r="ARD50" s="715"/>
      <c r="ARE50" s="715"/>
      <c r="ARF50" s="715"/>
      <c r="ARG50" s="715"/>
      <c r="ARH50" s="715"/>
      <c r="ARI50" s="715"/>
      <c r="ARJ50" s="715"/>
      <c r="ARK50" s="715"/>
      <c r="ARL50" s="715"/>
      <c r="ARM50" s="715"/>
      <c r="ARN50" s="715"/>
      <c r="ARO50" s="715"/>
      <c r="ARP50" s="715"/>
      <c r="ARQ50" s="715"/>
      <c r="ARR50" s="715"/>
      <c r="ARS50" s="715"/>
      <c r="ART50" s="715"/>
      <c r="ARU50" s="715"/>
      <c r="ARV50" s="715"/>
      <c r="ARW50" s="715"/>
      <c r="ARX50" s="715"/>
      <c r="ARY50" s="715"/>
      <c r="ARZ50" s="715"/>
      <c r="ASA50" s="715"/>
      <c r="ASB50" s="715"/>
      <c r="ASC50" s="715"/>
      <c r="ASD50" s="715"/>
      <c r="ASE50" s="715"/>
      <c r="ASF50" s="715"/>
      <c r="ASG50" s="715"/>
      <c r="ASH50" s="715"/>
      <c r="ASI50" s="715"/>
      <c r="ASJ50" s="715"/>
      <c r="ASK50" s="715"/>
      <c r="ASL50" s="715"/>
      <c r="ASM50" s="715"/>
      <c r="ASN50" s="715"/>
      <c r="ASO50" s="715"/>
      <c r="ASP50" s="715"/>
      <c r="ASQ50" s="715"/>
      <c r="ASR50" s="715"/>
      <c r="ASS50" s="715"/>
      <c r="AST50" s="715"/>
      <c r="ASU50" s="715"/>
      <c r="ASV50" s="715"/>
      <c r="ASW50" s="715"/>
      <c r="ASX50" s="715"/>
      <c r="ASY50" s="715"/>
      <c r="ASZ50" s="715"/>
      <c r="ATA50" s="715"/>
      <c r="ATB50" s="715"/>
      <c r="ATC50" s="715"/>
      <c r="ATD50" s="715"/>
      <c r="ATE50" s="715"/>
      <c r="ATF50" s="715"/>
      <c r="ATG50" s="715"/>
      <c r="ATH50" s="715"/>
      <c r="ATI50" s="715"/>
      <c r="ATJ50" s="715"/>
      <c r="ATK50" s="715"/>
      <c r="ATL50" s="715"/>
      <c r="ATM50" s="715"/>
      <c r="ATN50" s="715"/>
      <c r="ATO50" s="715"/>
      <c r="ATP50" s="715"/>
      <c r="ATQ50" s="715"/>
      <c r="ATR50" s="715"/>
      <c r="ATS50" s="715"/>
      <c r="ATT50" s="715"/>
      <c r="ATU50" s="715"/>
      <c r="ATV50" s="715"/>
      <c r="ATW50" s="715"/>
      <c r="ATX50" s="715"/>
      <c r="ATY50" s="715"/>
      <c r="ATZ50" s="715"/>
      <c r="AUA50" s="715"/>
      <c r="AUB50" s="715"/>
      <c r="AUC50" s="715"/>
      <c r="AUD50" s="715"/>
      <c r="AUE50" s="715"/>
      <c r="AUF50" s="715"/>
      <c r="AUG50" s="715"/>
      <c r="AUH50" s="715"/>
      <c r="AUI50" s="715"/>
      <c r="AUJ50" s="715"/>
      <c r="AUK50" s="715"/>
      <c r="AUL50" s="715"/>
      <c r="AUM50" s="715"/>
      <c r="AUN50" s="715"/>
      <c r="AUO50" s="715"/>
      <c r="AUP50" s="715"/>
      <c r="AUQ50" s="715"/>
      <c r="AUR50" s="715"/>
      <c r="AUS50" s="715"/>
      <c r="AUT50" s="715"/>
      <c r="AUU50" s="715"/>
      <c r="AUV50" s="715"/>
      <c r="AUW50" s="715"/>
      <c r="AUX50" s="715"/>
      <c r="AUY50" s="715"/>
      <c r="AUZ50" s="715"/>
      <c r="AVA50" s="715"/>
      <c r="AVB50" s="715"/>
      <c r="AVC50" s="715"/>
      <c r="AVD50" s="715"/>
      <c r="AVE50" s="715"/>
      <c r="AVF50" s="715"/>
      <c r="AVG50" s="715"/>
      <c r="AVH50" s="715"/>
      <c r="AVI50" s="715"/>
      <c r="AVJ50" s="715"/>
      <c r="AVK50" s="715"/>
      <c r="AVL50" s="715"/>
      <c r="AVM50" s="715"/>
      <c r="AVN50" s="715"/>
      <c r="AVO50" s="715"/>
      <c r="AVP50" s="715"/>
      <c r="AVQ50" s="715"/>
      <c r="AVR50" s="715"/>
      <c r="AVS50" s="715"/>
      <c r="AVT50" s="715"/>
      <c r="AVU50" s="715"/>
      <c r="AVV50" s="715"/>
      <c r="AVW50" s="715"/>
      <c r="AVX50" s="715"/>
      <c r="AVY50" s="715"/>
      <c r="AVZ50" s="715"/>
      <c r="AWA50" s="715"/>
      <c r="AWB50" s="715"/>
      <c r="AWC50" s="715"/>
      <c r="AWD50" s="715"/>
      <c r="AWE50" s="715"/>
      <c r="AWF50" s="715"/>
      <c r="AWG50" s="715"/>
      <c r="AWH50" s="715"/>
      <c r="AWI50" s="715"/>
      <c r="AWJ50" s="715"/>
      <c r="AWK50" s="715"/>
      <c r="AWL50" s="715"/>
      <c r="AWM50" s="715"/>
      <c r="AWN50" s="715"/>
      <c r="AWO50" s="715"/>
      <c r="AWP50" s="715"/>
      <c r="AWQ50" s="715"/>
      <c r="AWR50" s="715"/>
      <c r="AWS50" s="715"/>
      <c r="AWT50" s="715"/>
      <c r="AWU50" s="715"/>
      <c r="AWV50" s="715"/>
      <c r="AWW50" s="715"/>
      <c r="AWX50" s="715"/>
      <c r="AWY50" s="715"/>
      <c r="AWZ50" s="715"/>
      <c r="AXA50" s="715"/>
      <c r="AXB50" s="715"/>
      <c r="AXC50" s="715"/>
      <c r="AXD50" s="715"/>
      <c r="AXE50" s="715"/>
      <c r="AXF50" s="715"/>
      <c r="AXG50" s="715"/>
      <c r="AXH50" s="715"/>
      <c r="AXI50" s="715"/>
      <c r="AXJ50" s="715"/>
      <c r="AXK50" s="715"/>
      <c r="AXL50" s="715"/>
      <c r="AXM50" s="715"/>
      <c r="AXN50" s="715"/>
      <c r="AXO50" s="715"/>
      <c r="AXP50" s="715"/>
      <c r="AXQ50" s="715"/>
      <c r="AXR50" s="715"/>
      <c r="AXS50" s="715"/>
      <c r="AXT50" s="715"/>
      <c r="AXU50" s="715"/>
      <c r="AXV50" s="715"/>
      <c r="AXW50" s="715"/>
      <c r="AXX50" s="715"/>
      <c r="AXY50" s="715"/>
      <c r="AXZ50" s="715"/>
      <c r="AYA50" s="715"/>
      <c r="AYB50" s="715"/>
      <c r="AYC50" s="715"/>
      <c r="AYD50" s="715"/>
      <c r="AYE50" s="715"/>
      <c r="AYF50" s="715"/>
      <c r="AYG50" s="715"/>
      <c r="AYH50" s="715"/>
      <c r="AYI50" s="715"/>
      <c r="AYJ50" s="715"/>
      <c r="AYK50" s="715"/>
      <c r="AYL50" s="715"/>
      <c r="AYM50" s="715"/>
      <c r="AYN50" s="715"/>
      <c r="AYO50" s="715"/>
      <c r="AYP50" s="715"/>
      <c r="AYQ50" s="715"/>
      <c r="AYR50" s="715"/>
      <c r="AYS50" s="715"/>
      <c r="AYT50" s="715"/>
      <c r="AYU50" s="715"/>
      <c r="AYV50" s="715"/>
      <c r="AYW50" s="715"/>
      <c r="AYX50" s="715"/>
      <c r="AYY50" s="715"/>
      <c r="AYZ50" s="715"/>
      <c r="AZA50" s="715"/>
      <c r="AZB50" s="715"/>
      <c r="AZC50" s="715"/>
      <c r="AZD50" s="715"/>
      <c r="AZE50" s="715"/>
      <c r="AZF50" s="715"/>
      <c r="AZG50" s="715"/>
      <c r="AZH50" s="715"/>
      <c r="AZI50" s="715"/>
      <c r="AZJ50" s="715"/>
      <c r="AZK50" s="715"/>
      <c r="AZL50" s="715"/>
      <c r="AZM50" s="715"/>
      <c r="AZN50" s="715"/>
      <c r="AZO50" s="715"/>
      <c r="AZP50" s="715"/>
      <c r="AZQ50" s="715"/>
      <c r="AZR50" s="715"/>
      <c r="AZS50" s="715"/>
      <c r="AZT50" s="715"/>
      <c r="AZU50" s="715"/>
      <c r="AZV50" s="715"/>
      <c r="AZW50" s="715"/>
      <c r="AZX50" s="715"/>
      <c r="AZY50" s="715"/>
      <c r="AZZ50" s="715"/>
      <c r="BAA50" s="715"/>
      <c r="BAB50" s="715"/>
      <c r="BAC50" s="715"/>
      <c r="BAD50" s="715"/>
      <c r="BAE50" s="715"/>
      <c r="BAF50" s="715"/>
      <c r="BAG50" s="715"/>
      <c r="BAH50" s="715"/>
      <c r="BAI50" s="715"/>
      <c r="BAJ50" s="715"/>
      <c r="BAK50" s="715"/>
      <c r="BAL50" s="715"/>
      <c r="BAM50" s="715"/>
      <c r="BAN50" s="715"/>
      <c r="BAO50" s="715"/>
      <c r="BAP50" s="715"/>
      <c r="BAQ50" s="715"/>
      <c r="BAR50" s="715"/>
      <c r="BAS50" s="715"/>
      <c r="BAT50" s="715"/>
      <c r="BAU50" s="715"/>
      <c r="BAV50" s="715"/>
      <c r="BAW50" s="715"/>
      <c r="BAX50" s="715"/>
      <c r="BAY50" s="715"/>
      <c r="BAZ50" s="715"/>
      <c r="BBA50" s="715"/>
      <c r="BBB50" s="715"/>
      <c r="BBC50" s="715"/>
      <c r="BBD50" s="715"/>
      <c r="BBE50" s="715"/>
      <c r="BBF50" s="715"/>
      <c r="BBG50" s="715"/>
      <c r="BBH50" s="715"/>
      <c r="BBI50" s="715"/>
      <c r="BBJ50" s="715"/>
      <c r="BBK50" s="715"/>
      <c r="BBL50" s="715"/>
      <c r="BBM50" s="715"/>
      <c r="BBN50" s="715"/>
      <c r="BBO50" s="715"/>
      <c r="BBP50" s="715"/>
      <c r="BBQ50" s="715"/>
      <c r="BBR50" s="715"/>
      <c r="BBS50" s="715"/>
      <c r="BBT50" s="715"/>
      <c r="BBU50" s="715"/>
      <c r="BBV50" s="715"/>
      <c r="BBW50" s="715"/>
      <c r="BBX50" s="715"/>
      <c r="BBY50" s="715"/>
      <c r="BBZ50" s="715"/>
      <c r="BCA50" s="715"/>
      <c r="BCB50" s="715"/>
      <c r="BCC50" s="715"/>
      <c r="BCD50" s="715"/>
      <c r="BCE50" s="715"/>
      <c r="BCF50" s="715"/>
      <c r="BCG50" s="715"/>
      <c r="BCH50" s="715"/>
      <c r="BCI50" s="715"/>
      <c r="BCJ50" s="715"/>
      <c r="BCK50" s="715"/>
      <c r="BCL50" s="715"/>
      <c r="BCM50" s="715"/>
      <c r="BCN50" s="715"/>
      <c r="BCO50" s="715"/>
      <c r="BCP50" s="715"/>
      <c r="BCQ50" s="715"/>
      <c r="BCR50" s="715"/>
      <c r="BCS50" s="715"/>
      <c r="BCT50" s="715"/>
      <c r="BCU50" s="715"/>
      <c r="BCV50" s="715"/>
      <c r="BCW50" s="715"/>
      <c r="BCX50" s="715"/>
      <c r="BCY50" s="715"/>
      <c r="BCZ50" s="715"/>
      <c r="BDA50" s="715"/>
      <c r="BDB50" s="715"/>
      <c r="BDC50" s="715"/>
      <c r="BDD50" s="715"/>
      <c r="BDE50" s="715"/>
      <c r="BDF50" s="715"/>
      <c r="BDG50" s="715"/>
      <c r="BDH50" s="715"/>
      <c r="BDI50" s="715"/>
      <c r="BDJ50" s="715"/>
      <c r="BDK50" s="715"/>
      <c r="BDL50" s="715"/>
      <c r="BDM50" s="715"/>
      <c r="BDN50" s="715"/>
      <c r="BDO50" s="715"/>
      <c r="BDP50" s="715"/>
      <c r="BDQ50" s="715"/>
      <c r="BDR50" s="715"/>
      <c r="BDS50" s="715"/>
      <c r="BDT50" s="715"/>
      <c r="BDU50" s="715"/>
      <c r="BDV50" s="715"/>
      <c r="BDW50" s="715"/>
      <c r="BDX50" s="715"/>
      <c r="BDY50" s="715"/>
      <c r="BDZ50" s="715"/>
      <c r="BEA50" s="715"/>
      <c r="BEB50" s="715"/>
      <c r="BEC50" s="715"/>
      <c r="BED50" s="715"/>
      <c r="BEE50" s="715"/>
      <c r="BEF50" s="715"/>
      <c r="BEG50" s="715"/>
      <c r="BEH50" s="715"/>
      <c r="BEI50" s="715"/>
      <c r="BEJ50" s="715"/>
      <c r="BEK50" s="715"/>
      <c r="BEL50" s="715"/>
      <c r="BEM50" s="715"/>
      <c r="BEN50" s="715"/>
      <c r="BEO50" s="715"/>
      <c r="BEP50" s="715"/>
      <c r="BEQ50" s="715"/>
      <c r="BER50" s="715"/>
      <c r="BES50" s="715"/>
      <c r="BET50" s="715"/>
      <c r="BEU50" s="715"/>
      <c r="BEV50" s="715"/>
      <c r="BEW50" s="715"/>
      <c r="BEX50" s="715"/>
      <c r="BEY50" s="715"/>
      <c r="BEZ50" s="715"/>
      <c r="BFA50" s="715"/>
      <c r="BFB50" s="715"/>
      <c r="BFC50" s="715"/>
      <c r="BFD50" s="715"/>
      <c r="BFE50" s="715"/>
      <c r="BFF50" s="715"/>
      <c r="BFG50" s="715"/>
      <c r="BFH50" s="715"/>
      <c r="BFI50" s="715"/>
      <c r="BFJ50" s="715"/>
      <c r="BFK50" s="715"/>
      <c r="BFL50" s="715"/>
      <c r="BFM50" s="715"/>
      <c r="BFN50" s="715"/>
      <c r="BFO50" s="715"/>
      <c r="BFP50" s="715"/>
      <c r="BFQ50" s="715"/>
      <c r="BFR50" s="715"/>
      <c r="BFS50" s="715"/>
      <c r="BFT50" s="715"/>
      <c r="BFU50" s="715"/>
      <c r="BFV50" s="715"/>
      <c r="BFW50" s="715"/>
      <c r="BFX50" s="715"/>
      <c r="BFY50" s="715"/>
      <c r="BFZ50" s="715"/>
      <c r="BGA50" s="715"/>
      <c r="BGB50" s="715"/>
      <c r="BGC50" s="715"/>
      <c r="BGD50" s="715"/>
      <c r="BGE50" s="715"/>
      <c r="BGF50" s="715"/>
      <c r="BGG50" s="715"/>
      <c r="BGH50" s="715"/>
      <c r="BGI50" s="715"/>
      <c r="BGJ50" s="715"/>
      <c r="BGK50" s="715"/>
      <c r="BGL50" s="715"/>
      <c r="BGM50" s="715"/>
      <c r="BGN50" s="715"/>
      <c r="BGO50" s="715"/>
      <c r="BGP50" s="715"/>
      <c r="BGQ50" s="715"/>
      <c r="BGR50" s="715"/>
      <c r="BGS50" s="715"/>
      <c r="BGT50" s="715"/>
      <c r="BGU50" s="715"/>
      <c r="BGV50" s="715"/>
      <c r="BGW50" s="715"/>
      <c r="BGX50" s="715"/>
      <c r="BGY50" s="715"/>
      <c r="BGZ50" s="715"/>
      <c r="BHA50" s="715"/>
      <c r="BHB50" s="715"/>
      <c r="BHC50" s="715"/>
      <c r="BHD50" s="715"/>
      <c r="BHE50" s="715"/>
      <c r="BHF50" s="715"/>
      <c r="BHG50" s="715"/>
      <c r="BHH50" s="715"/>
      <c r="BHI50" s="715"/>
      <c r="BHJ50" s="715"/>
      <c r="BHK50" s="715"/>
      <c r="BHL50" s="715"/>
      <c r="BHM50" s="715"/>
      <c r="BHN50" s="715"/>
      <c r="BHO50" s="715"/>
      <c r="BHP50" s="715"/>
      <c r="BHQ50" s="715"/>
      <c r="BHR50" s="715"/>
      <c r="BHS50" s="715"/>
      <c r="BHT50" s="715"/>
      <c r="BHU50" s="715"/>
      <c r="BHV50" s="715"/>
      <c r="BHW50" s="715"/>
      <c r="BHX50" s="715"/>
      <c r="BHY50" s="715"/>
      <c r="BHZ50" s="715"/>
      <c r="BIA50" s="715"/>
      <c r="BIB50" s="715"/>
      <c r="BIC50" s="715"/>
      <c r="BID50" s="715"/>
      <c r="BIE50" s="715"/>
      <c r="BIF50" s="715"/>
      <c r="BIG50" s="715"/>
      <c r="BIH50" s="715"/>
      <c r="BII50" s="715"/>
      <c r="BIJ50" s="715"/>
      <c r="BIK50" s="715"/>
      <c r="BIL50" s="715"/>
      <c r="BIM50" s="715"/>
      <c r="BIN50" s="715"/>
      <c r="BIO50" s="715"/>
      <c r="BIP50" s="715"/>
      <c r="BIQ50" s="715"/>
      <c r="BIR50" s="715"/>
      <c r="BIS50" s="715"/>
      <c r="BIT50" s="715"/>
      <c r="BIU50" s="715"/>
      <c r="BIV50" s="715"/>
      <c r="BIW50" s="715"/>
      <c r="BIX50" s="715"/>
      <c r="BIY50" s="715"/>
      <c r="BIZ50" s="715"/>
      <c r="BJA50" s="715"/>
      <c r="BJB50" s="715"/>
      <c r="BJC50" s="715"/>
      <c r="BJD50" s="715"/>
      <c r="BJE50" s="715"/>
      <c r="BJF50" s="715"/>
      <c r="BJG50" s="715"/>
      <c r="BJH50" s="715"/>
      <c r="BJI50" s="715"/>
      <c r="BJJ50" s="715"/>
      <c r="BJK50" s="715"/>
      <c r="BJL50" s="715"/>
      <c r="BJM50" s="715"/>
      <c r="BJN50" s="715"/>
      <c r="BJO50" s="715"/>
      <c r="BJP50" s="715"/>
      <c r="BJQ50" s="715"/>
      <c r="BJR50" s="715"/>
      <c r="BJS50" s="715"/>
      <c r="BJT50" s="715"/>
      <c r="BJU50" s="715"/>
      <c r="BJV50" s="715"/>
      <c r="BJW50" s="715"/>
      <c r="BJX50" s="715"/>
      <c r="BJY50" s="715"/>
      <c r="BJZ50" s="715"/>
      <c r="BKA50" s="715"/>
      <c r="BKB50" s="715"/>
      <c r="BKC50" s="715"/>
      <c r="BKD50" s="715"/>
      <c r="BKE50" s="715"/>
      <c r="BKF50" s="715"/>
      <c r="BKG50" s="715"/>
      <c r="BKH50" s="715"/>
      <c r="BKI50" s="715"/>
      <c r="BKJ50" s="715"/>
      <c r="BKK50" s="715"/>
      <c r="BKL50" s="715"/>
      <c r="BKM50" s="715"/>
      <c r="BKN50" s="715"/>
      <c r="BKO50" s="715"/>
      <c r="BKP50" s="715"/>
      <c r="BKQ50" s="715"/>
      <c r="BKR50" s="715"/>
      <c r="BKS50" s="715"/>
      <c r="BKT50" s="715"/>
      <c r="BKU50" s="715"/>
      <c r="BKV50" s="715"/>
      <c r="BKW50" s="715"/>
      <c r="BKX50" s="715"/>
      <c r="BKY50" s="715"/>
      <c r="BKZ50" s="715"/>
      <c r="BLA50" s="715"/>
      <c r="BLB50" s="715"/>
      <c r="BLC50" s="715"/>
      <c r="BLD50" s="715"/>
      <c r="BLE50" s="715"/>
      <c r="BLF50" s="715"/>
      <c r="BLG50" s="715"/>
      <c r="BLH50" s="715"/>
      <c r="BLI50" s="715"/>
      <c r="BLJ50" s="715"/>
      <c r="BLK50" s="715"/>
      <c r="BLL50" s="715"/>
      <c r="BLM50" s="715"/>
      <c r="BLN50" s="715"/>
      <c r="BLO50" s="715"/>
      <c r="BLP50" s="715"/>
      <c r="BLQ50" s="715"/>
      <c r="BLR50" s="715"/>
      <c r="BLS50" s="715"/>
      <c r="BLT50" s="715"/>
      <c r="BLU50" s="715"/>
      <c r="BLV50" s="715"/>
      <c r="BLW50" s="715"/>
      <c r="BLX50" s="715"/>
      <c r="BLY50" s="715"/>
      <c r="BLZ50" s="715"/>
      <c r="BMA50" s="715"/>
      <c r="BMB50" s="715"/>
      <c r="BMC50" s="715"/>
      <c r="BMD50" s="715"/>
      <c r="BME50" s="715"/>
      <c r="BMF50" s="715"/>
      <c r="BMG50" s="715"/>
      <c r="BMH50" s="715"/>
      <c r="BMI50" s="715"/>
      <c r="BMJ50" s="715"/>
      <c r="BMK50" s="715"/>
      <c r="BML50" s="715"/>
      <c r="BMM50" s="715"/>
      <c r="BMN50" s="715"/>
      <c r="BMO50" s="715"/>
      <c r="BMP50" s="715"/>
      <c r="BMQ50" s="715"/>
      <c r="BMR50" s="715"/>
      <c r="BMS50" s="715"/>
      <c r="BMT50" s="715"/>
      <c r="BMU50" s="715"/>
      <c r="BMV50" s="715"/>
      <c r="BMW50" s="715"/>
      <c r="BMX50" s="715"/>
      <c r="BMY50" s="715"/>
      <c r="BMZ50" s="715"/>
      <c r="BNA50" s="715"/>
      <c r="BNB50" s="715"/>
      <c r="BNC50" s="715"/>
      <c r="BND50" s="715"/>
      <c r="BNE50" s="715"/>
      <c r="BNF50" s="715"/>
      <c r="BNG50" s="715"/>
      <c r="BNH50" s="715"/>
      <c r="BNI50" s="715"/>
      <c r="BNJ50" s="715"/>
      <c r="BNK50" s="715"/>
      <c r="BNL50" s="715"/>
      <c r="BNM50" s="715"/>
      <c r="BNN50" s="715"/>
      <c r="BNO50" s="715"/>
      <c r="BNP50" s="715"/>
      <c r="BNQ50" s="715"/>
      <c r="BNR50" s="715"/>
      <c r="BNS50" s="715"/>
      <c r="BNT50" s="715"/>
      <c r="BNU50" s="715"/>
      <c r="BNV50" s="715"/>
      <c r="BNW50" s="715"/>
      <c r="BNX50" s="715"/>
      <c r="BNY50" s="715"/>
      <c r="BNZ50" s="715"/>
      <c r="BOA50" s="715"/>
      <c r="BOB50" s="715"/>
      <c r="BOC50" s="715"/>
      <c r="BOD50" s="715"/>
      <c r="BOE50" s="715"/>
      <c r="BOF50" s="715"/>
      <c r="BOG50" s="715"/>
      <c r="BOH50" s="715"/>
      <c r="BOI50" s="715"/>
      <c r="BOJ50" s="715"/>
      <c r="BOK50" s="715"/>
      <c r="BOL50" s="715"/>
      <c r="BOM50" s="715"/>
      <c r="BON50" s="715"/>
      <c r="BOO50" s="715"/>
      <c r="BOP50" s="715"/>
      <c r="BOQ50" s="715"/>
      <c r="BOR50" s="715"/>
      <c r="BOS50" s="715"/>
      <c r="BOT50" s="715"/>
      <c r="BOU50" s="715"/>
      <c r="BOV50" s="715"/>
      <c r="BOW50" s="715"/>
      <c r="BOX50" s="715"/>
      <c r="BOY50" s="715"/>
      <c r="BOZ50" s="715"/>
      <c r="BPA50" s="715"/>
      <c r="BPB50" s="715"/>
      <c r="BPC50" s="715"/>
      <c r="BPD50" s="715"/>
      <c r="BPE50" s="715"/>
      <c r="BPF50" s="715"/>
      <c r="BPG50" s="715"/>
      <c r="BPH50" s="715"/>
      <c r="BPI50" s="715"/>
      <c r="BPJ50" s="715"/>
      <c r="BPK50" s="715"/>
      <c r="BPL50" s="715"/>
      <c r="BPM50" s="715"/>
      <c r="BPN50" s="715"/>
      <c r="BPO50" s="715"/>
      <c r="BPP50" s="715"/>
      <c r="BPQ50" s="715"/>
      <c r="BPR50" s="715"/>
      <c r="BPS50" s="715"/>
      <c r="BPT50" s="715"/>
      <c r="BPU50" s="715"/>
      <c r="BPV50" s="715"/>
      <c r="BPW50" s="715"/>
      <c r="BPX50" s="715"/>
      <c r="BPY50" s="715"/>
      <c r="BPZ50" s="715"/>
      <c r="BQA50" s="715"/>
      <c r="BQB50" s="715"/>
      <c r="BQC50" s="715"/>
      <c r="BQD50" s="715"/>
      <c r="BQE50" s="715"/>
      <c r="BQF50" s="715"/>
      <c r="BQG50" s="715"/>
      <c r="BQH50" s="715"/>
      <c r="BQI50" s="715"/>
      <c r="BQJ50" s="715"/>
      <c r="BQK50" s="715"/>
      <c r="BQL50" s="715"/>
      <c r="BQM50" s="715"/>
      <c r="BQN50" s="715"/>
      <c r="BQO50" s="715"/>
      <c r="BQP50" s="715"/>
      <c r="BQQ50" s="715"/>
      <c r="BQR50" s="715"/>
      <c r="BQS50" s="715"/>
      <c r="BQT50" s="715"/>
      <c r="BQU50" s="715"/>
      <c r="BQV50" s="715"/>
      <c r="BQW50" s="715"/>
      <c r="BQX50" s="715"/>
      <c r="BQY50" s="715"/>
      <c r="BQZ50" s="715"/>
      <c r="BRA50" s="715"/>
      <c r="BRB50" s="715"/>
      <c r="BRC50" s="715"/>
      <c r="BRD50" s="715"/>
      <c r="BRE50" s="715"/>
      <c r="BRF50" s="715"/>
      <c r="BRG50" s="715"/>
      <c r="BRH50" s="715"/>
      <c r="BRI50" s="715"/>
      <c r="BRJ50" s="715"/>
      <c r="BRK50" s="715"/>
      <c r="BRL50" s="715"/>
      <c r="BRM50" s="715"/>
      <c r="BRN50" s="715"/>
      <c r="BRO50" s="715"/>
      <c r="BRP50" s="715"/>
      <c r="BRQ50" s="715"/>
      <c r="BRR50" s="715"/>
      <c r="BRS50" s="715"/>
      <c r="BRT50" s="715"/>
      <c r="BRU50" s="715"/>
      <c r="BRV50" s="715"/>
      <c r="BRW50" s="715"/>
      <c r="BRX50" s="715"/>
      <c r="BRY50" s="715"/>
      <c r="BRZ50" s="715"/>
      <c r="BSA50" s="715"/>
      <c r="BSB50" s="715"/>
      <c r="BSC50" s="715"/>
      <c r="BSD50" s="715"/>
      <c r="BSE50" s="715"/>
      <c r="BSF50" s="715"/>
      <c r="BSG50" s="715"/>
      <c r="BSH50" s="715"/>
      <c r="BSI50" s="715"/>
      <c r="BSJ50" s="715"/>
      <c r="BSK50" s="715"/>
      <c r="BSL50" s="715"/>
      <c r="BSM50" s="715"/>
      <c r="BSN50" s="715"/>
      <c r="BSO50" s="715"/>
      <c r="BSP50" s="715"/>
      <c r="BSQ50" s="715"/>
      <c r="BSR50" s="715"/>
      <c r="BSS50" s="715"/>
      <c r="BST50" s="715"/>
      <c r="BSU50" s="715"/>
      <c r="BSV50" s="715"/>
      <c r="BSW50" s="715"/>
      <c r="BSX50" s="715"/>
      <c r="BSY50" s="715"/>
      <c r="BSZ50" s="715"/>
      <c r="BTA50" s="715"/>
      <c r="BTB50" s="715"/>
      <c r="BTC50" s="715"/>
      <c r="BTD50" s="715"/>
      <c r="BTE50" s="715"/>
      <c r="BTF50" s="715"/>
      <c r="BTG50" s="715"/>
      <c r="BTH50" s="715"/>
      <c r="BTI50" s="715"/>
      <c r="BTJ50" s="715"/>
      <c r="BTK50" s="715"/>
      <c r="BTL50" s="715"/>
      <c r="BTM50" s="715"/>
      <c r="BTN50" s="715"/>
      <c r="BTO50" s="715"/>
      <c r="BTP50" s="715"/>
      <c r="BTQ50" s="715"/>
      <c r="BTR50" s="715"/>
      <c r="BTS50" s="715"/>
      <c r="BTT50" s="715"/>
      <c r="BTU50" s="715"/>
      <c r="BTV50" s="715"/>
      <c r="BTW50" s="715"/>
      <c r="BTX50" s="715"/>
      <c r="BTY50" s="715"/>
      <c r="BTZ50" s="715"/>
      <c r="BUA50" s="715"/>
      <c r="BUB50" s="715"/>
      <c r="BUC50" s="715"/>
      <c r="BUD50" s="715"/>
      <c r="BUE50" s="715"/>
      <c r="BUF50" s="715"/>
      <c r="BUG50" s="715"/>
      <c r="BUH50" s="715"/>
      <c r="BUI50" s="715"/>
      <c r="BUJ50" s="715"/>
      <c r="BUK50" s="715"/>
      <c r="BUL50" s="715"/>
      <c r="BUM50" s="715"/>
      <c r="BUN50" s="715"/>
      <c r="BUO50" s="715"/>
      <c r="BUP50" s="715"/>
      <c r="BUQ50" s="715"/>
      <c r="BUR50" s="715"/>
      <c r="BUS50" s="715"/>
      <c r="BUT50" s="715"/>
      <c r="BUU50" s="715"/>
      <c r="BUV50" s="715"/>
      <c r="BUW50" s="715"/>
      <c r="BUX50" s="715"/>
      <c r="BUY50" s="715"/>
      <c r="BUZ50" s="715"/>
      <c r="BVA50" s="715"/>
      <c r="BVB50" s="715"/>
      <c r="BVC50" s="715"/>
      <c r="BVD50" s="715"/>
      <c r="BVE50" s="715"/>
      <c r="BVF50" s="715"/>
      <c r="BVG50" s="715"/>
      <c r="BVH50" s="715"/>
      <c r="BVI50" s="715"/>
      <c r="BVJ50" s="715"/>
      <c r="BVK50" s="715"/>
      <c r="BVL50" s="715"/>
      <c r="BVM50" s="715"/>
      <c r="BVN50" s="715"/>
      <c r="BVO50" s="715"/>
      <c r="BVP50" s="715"/>
      <c r="BVQ50" s="715"/>
      <c r="BVR50" s="715"/>
      <c r="BVS50" s="715"/>
      <c r="BVT50" s="715"/>
      <c r="BVU50" s="715"/>
      <c r="BVV50" s="715"/>
      <c r="BVW50" s="715"/>
      <c r="BVX50" s="715"/>
      <c r="BVY50" s="715"/>
      <c r="BVZ50" s="715"/>
      <c r="BWA50" s="715"/>
      <c r="BWB50" s="715"/>
      <c r="BWC50" s="715"/>
      <c r="BWD50" s="715"/>
      <c r="BWE50" s="715"/>
      <c r="BWF50" s="715"/>
      <c r="BWG50" s="715"/>
      <c r="BWH50" s="715"/>
      <c r="BWI50" s="715"/>
      <c r="BWJ50" s="715"/>
      <c r="BWK50" s="715"/>
      <c r="BWL50" s="715"/>
      <c r="BWM50" s="715"/>
      <c r="BWN50" s="715"/>
      <c r="BWO50" s="715"/>
      <c r="BWP50" s="715"/>
      <c r="BWQ50" s="715"/>
      <c r="BWR50" s="715"/>
      <c r="BWS50" s="715"/>
      <c r="BWT50" s="715"/>
      <c r="BWU50" s="715"/>
      <c r="BWV50" s="715"/>
      <c r="BWW50" s="715"/>
      <c r="BWX50" s="715"/>
      <c r="BWY50" s="715"/>
      <c r="BWZ50" s="715"/>
      <c r="BXA50" s="715"/>
      <c r="BXB50" s="715"/>
      <c r="BXC50" s="715"/>
      <c r="BXD50" s="715"/>
      <c r="BXE50" s="715"/>
      <c r="BXF50" s="715"/>
      <c r="BXG50" s="715"/>
      <c r="BXH50" s="715"/>
      <c r="BXI50" s="715"/>
      <c r="BXJ50" s="715"/>
      <c r="BXK50" s="715"/>
      <c r="BXL50" s="715"/>
      <c r="BXM50" s="715"/>
      <c r="BXN50" s="715"/>
      <c r="BXO50" s="715"/>
      <c r="BXP50" s="715"/>
      <c r="BXQ50" s="715"/>
      <c r="BXR50" s="715"/>
      <c r="BXS50" s="715"/>
      <c r="BXT50" s="715"/>
      <c r="BXU50" s="715"/>
      <c r="BXV50" s="715"/>
      <c r="BXW50" s="715"/>
      <c r="BXX50" s="715"/>
      <c r="BXY50" s="715"/>
      <c r="BXZ50" s="715"/>
      <c r="BYA50" s="715"/>
      <c r="BYB50" s="715"/>
      <c r="BYC50" s="715"/>
      <c r="BYD50" s="715"/>
      <c r="BYE50" s="715"/>
      <c r="BYF50" s="715"/>
      <c r="BYG50" s="715"/>
      <c r="BYH50" s="715"/>
      <c r="BYI50" s="715"/>
      <c r="BYJ50" s="715"/>
      <c r="BYK50" s="715"/>
      <c r="BYL50" s="715"/>
      <c r="BYM50" s="715"/>
      <c r="BYN50" s="715"/>
      <c r="BYO50" s="715"/>
      <c r="BYP50" s="715"/>
      <c r="BYQ50" s="715"/>
      <c r="BYR50" s="715"/>
      <c r="BYS50" s="715"/>
      <c r="BYT50" s="715"/>
      <c r="BYU50" s="715"/>
      <c r="BYV50" s="715"/>
      <c r="BYW50" s="715"/>
      <c r="BYX50" s="715"/>
      <c r="BYY50" s="715"/>
      <c r="BYZ50" s="715"/>
      <c r="BZA50" s="715"/>
      <c r="BZB50" s="715"/>
      <c r="BZC50" s="715"/>
      <c r="BZD50" s="715"/>
      <c r="BZE50" s="715"/>
      <c r="BZF50" s="715"/>
      <c r="BZG50" s="715"/>
      <c r="BZH50" s="715"/>
      <c r="BZI50" s="715"/>
      <c r="BZJ50" s="715"/>
      <c r="BZK50" s="715"/>
      <c r="BZL50" s="715"/>
      <c r="BZM50" s="715"/>
      <c r="BZN50" s="715"/>
      <c r="BZO50" s="715"/>
      <c r="BZP50" s="715"/>
      <c r="BZQ50" s="715"/>
      <c r="BZR50" s="715"/>
      <c r="BZS50" s="715"/>
      <c r="BZT50" s="715"/>
      <c r="BZU50" s="715"/>
      <c r="BZV50" s="715"/>
      <c r="BZW50" s="715"/>
      <c r="BZX50" s="715"/>
      <c r="BZY50" s="715"/>
      <c r="BZZ50" s="715"/>
      <c r="CAA50" s="715"/>
      <c r="CAB50" s="715"/>
      <c r="CAC50" s="715"/>
      <c r="CAD50" s="715"/>
      <c r="CAE50" s="715"/>
      <c r="CAF50" s="715"/>
      <c r="CAG50" s="715"/>
      <c r="CAH50" s="715"/>
      <c r="CAI50" s="715"/>
      <c r="CAJ50" s="715"/>
      <c r="CAK50" s="715"/>
      <c r="CAL50" s="715"/>
      <c r="CAM50" s="715"/>
      <c r="CAN50" s="715"/>
      <c r="CAO50" s="715"/>
      <c r="CAP50" s="715"/>
      <c r="CAQ50" s="715"/>
      <c r="CAR50" s="715"/>
      <c r="CAS50" s="715"/>
      <c r="CAT50" s="715"/>
      <c r="CAU50" s="715"/>
      <c r="CAV50" s="715"/>
      <c r="CAW50" s="715"/>
      <c r="CAX50" s="715"/>
      <c r="CAY50" s="715"/>
      <c r="CAZ50" s="715"/>
      <c r="CBA50" s="715"/>
      <c r="CBB50" s="715"/>
      <c r="CBC50" s="715"/>
      <c r="CBD50" s="715"/>
      <c r="CBE50" s="715"/>
      <c r="CBF50" s="715"/>
      <c r="CBG50" s="715"/>
      <c r="CBH50" s="715"/>
      <c r="CBI50" s="715"/>
      <c r="CBJ50" s="715"/>
      <c r="CBK50" s="715"/>
      <c r="CBL50" s="715"/>
      <c r="CBM50" s="715"/>
      <c r="CBN50" s="715"/>
      <c r="CBO50" s="715"/>
      <c r="CBP50" s="715"/>
      <c r="CBQ50" s="715"/>
      <c r="CBR50" s="715"/>
      <c r="CBS50" s="715"/>
      <c r="CBT50" s="715"/>
      <c r="CBU50" s="715"/>
      <c r="CBV50" s="715"/>
      <c r="CBW50" s="715"/>
      <c r="CBX50" s="715"/>
      <c r="CBY50" s="715"/>
      <c r="CBZ50" s="715"/>
      <c r="CCA50" s="715"/>
      <c r="CCB50" s="715"/>
      <c r="CCC50" s="715"/>
      <c r="CCD50" s="715"/>
      <c r="CCE50" s="715"/>
      <c r="CCF50" s="715"/>
      <c r="CCG50" s="715"/>
      <c r="CCH50" s="715"/>
      <c r="CCI50" s="715"/>
      <c r="CCJ50" s="715"/>
      <c r="CCK50" s="715"/>
      <c r="CCL50" s="715"/>
      <c r="CCM50" s="715"/>
      <c r="CCN50" s="715"/>
      <c r="CCO50" s="715"/>
      <c r="CCP50" s="715"/>
      <c r="CCQ50" s="715"/>
      <c r="CCR50" s="715"/>
      <c r="CCS50" s="715"/>
      <c r="CCT50" s="715"/>
      <c r="CCU50" s="715"/>
      <c r="CCV50" s="715"/>
      <c r="CCW50" s="715"/>
      <c r="CCX50" s="715"/>
      <c r="CCY50" s="715"/>
      <c r="CCZ50" s="715"/>
      <c r="CDA50" s="715"/>
      <c r="CDB50" s="715"/>
      <c r="CDC50" s="715"/>
      <c r="CDD50" s="715"/>
      <c r="CDE50" s="715"/>
      <c r="CDF50" s="715"/>
      <c r="CDG50" s="715"/>
      <c r="CDH50" s="715"/>
      <c r="CDI50" s="715"/>
      <c r="CDJ50" s="715"/>
      <c r="CDK50" s="715"/>
      <c r="CDL50" s="715"/>
      <c r="CDM50" s="715"/>
      <c r="CDN50" s="715"/>
      <c r="CDO50" s="715"/>
      <c r="CDP50" s="715"/>
      <c r="CDQ50" s="715"/>
      <c r="CDR50" s="715"/>
      <c r="CDS50" s="715"/>
      <c r="CDT50" s="715"/>
      <c r="CDU50" s="715"/>
      <c r="CDV50" s="715"/>
      <c r="CDW50" s="715"/>
      <c r="CDX50" s="715"/>
      <c r="CDY50" s="715"/>
      <c r="CDZ50" s="715"/>
      <c r="CEA50" s="715"/>
      <c r="CEB50" s="715"/>
      <c r="CEC50" s="715"/>
      <c r="CED50" s="715"/>
      <c r="CEE50" s="715"/>
      <c r="CEF50" s="715"/>
      <c r="CEG50" s="715"/>
      <c r="CEH50" s="715"/>
      <c r="CEI50" s="715"/>
      <c r="CEJ50" s="715"/>
      <c r="CEK50" s="715"/>
      <c r="CEL50" s="715"/>
      <c r="CEM50" s="715"/>
      <c r="CEN50" s="715"/>
      <c r="CEO50" s="715"/>
      <c r="CEP50" s="715"/>
      <c r="CEQ50" s="715"/>
      <c r="CER50" s="715"/>
      <c r="CES50" s="715"/>
      <c r="CET50" s="715"/>
      <c r="CEU50" s="715"/>
      <c r="CEV50" s="715"/>
      <c r="CEW50" s="715"/>
      <c r="CEX50" s="715"/>
      <c r="CEY50" s="715"/>
      <c r="CEZ50" s="715"/>
      <c r="CFA50" s="715"/>
      <c r="CFB50" s="715"/>
      <c r="CFC50" s="715"/>
      <c r="CFD50" s="715"/>
      <c r="CFE50" s="715"/>
      <c r="CFF50" s="715"/>
      <c r="CFG50" s="715"/>
      <c r="CFH50" s="715"/>
      <c r="CFI50" s="715"/>
      <c r="CFJ50" s="715"/>
      <c r="CFK50" s="715"/>
      <c r="CFL50" s="715"/>
      <c r="CFM50" s="715"/>
      <c r="CFN50" s="715"/>
      <c r="CFO50" s="715"/>
      <c r="CFP50" s="715"/>
      <c r="CFQ50" s="715"/>
      <c r="CFR50" s="715"/>
      <c r="CFS50" s="715"/>
      <c r="CFT50" s="715"/>
      <c r="CFU50" s="715"/>
      <c r="CFV50" s="715"/>
      <c r="CFW50" s="715"/>
      <c r="CFX50" s="715"/>
      <c r="CFY50" s="715"/>
      <c r="CFZ50" s="715"/>
      <c r="CGA50" s="715"/>
      <c r="CGB50" s="715"/>
      <c r="CGC50" s="715"/>
      <c r="CGD50" s="715"/>
      <c r="CGE50" s="715"/>
      <c r="CGF50" s="715"/>
      <c r="CGG50" s="715"/>
      <c r="CGH50" s="715"/>
      <c r="CGI50" s="715"/>
      <c r="CGJ50" s="715"/>
      <c r="CGK50" s="715"/>
      <c r="CGL50" s="715"/>
      <c r="CGM50" s="715"/>
      <c r="CGN50" s="715"/>
      <c r="CGO50" s="715"/>
      <c r="CGP50" s="715"/>
      <c r="CGQ50" s="715"/>
      <c r="CGR50" s="715"/>
      <c r="CGS50" s="715"/>
      <c r="CGT50" s="715"/>
      <c r="CGU50" s="715"/>
      <c r="CGV50" s="715"/>
      <c r="CGW50" s="715"/>
      <c r="CGX50" s="715"/>
      <c r="CGY50" s="715"/>
      <c r="CGZ50" s="715"/>
      <c r="CHA50" s="715"/>
      <c r="CHB50" s="715"/>
      <c r="CHC50" s="715"/>
      <c r="CHD50" s="715"/>
      <c r="CHE50" s="715"/>
      <c r="CHF50" s="715"/>
      <c r="CHG50" s="715"/>
      <c r="CHH50" s="715"/>
      <c r="CHI50" s="715"/>
      <c r="CHJ50" s="715"/>
      <c r="CHK50" s="715"/>
      <c r="CHL50" s="715"/>
      <c r="CHM50" s="715"/>
      <c r="CHN50" s="715"/>
      <c r="CHO50" s="715"/>
      <c r="CHP50" s="715"/>
      <c r="CHQ50" s="715"/>
      <c r="CHR50" s="715"/>
      <c r="CHS50" s="715"/>
      <c r="CHT50" s="715"/>
      <c r="CHU50" s="715"/>
      <c r="CHV50" s="715"/>
      <c r="CHW50" s="715"/>
      <c r="CHX50" s="715"/>
      <c r="CHY50" s="715"/>
      <c r="CHZ50" s="715"/>
      <c r="CIA50" s="715"/>
      <c r="CIB50" s="715"/>
      <c r="CIC50" s="715"/>
      <c r="CID50" s="715"/>
      <c r="CIE50" s="715"/>
      <c r="CIF50" s="715"/>
      <c r="CIG50" s="715"/>
      <c r="CIH50" s="715"/>
      <c r="CII50" s="715"/>
      <c r="CIJ50" s="715"/>
      <c r="CIK50" s="715"/>
      <c r="CIL50" s="715"/>
      <c r="CIM50" s="715"/>
      <c r="CIN50" s="715"/>
      <c r="CIO50" s="715"/>
      <c r="CIP50" s="715"/>
      <c r="CIQ50" s="715"/>
      <c r="CIR50" s="715"/>
      <c r="CIS50" s="715"/>
      <c r="CIT50" s="715"/>
      <c r="CIU50" s="715"/>
      <c r="CIV50" s="715"/>
      <c r="CIW50" s="715"/>
      <c r="CIX50" s="715"/>
      <c r="CIY50" s="715"/>
      <c r="CIZ50" s="715"/>
      <c r="CJA50" s="715"/>
      <c r="CJB50" s="715"/>
      <c r="CJC50" s="715"/>
      <c r="CJD50" s="715"/>
      <c r="CJE50" s="715"/>
      <c r="CJF50" s="715"/>
      <c r="CJG50" s="715"/>
      <c r="CJH50" s="715"/>
      <c r="CJI50" s="715"/>
      <c r="CJJ50" s="715"/>
      <c r="CJK50" s="715"/>
      <c r="CJL50" s="715"/>
      <c r="CJM50" s="715"/>
      <c r="CJN50" s="715"/>
      <c r="CJO50" s="715"/>
      <c r="CJP50" s="715"/>
      <c r="CJQ50" s="715"/>
      <c r="CJR50" s="715"/>
      <c r="CJS50" s="715"/>
      <c r="CJT50" s="715"/>
      <c r="CJU50" s="715"/>
      <c r="CJV50" s="715"/>
      <c r="CJW50" s="715"/>
      <c r="CJX50" s="715"/>
      <c r="CJY50" s="715"/>
      <c r="CJZ50" s="715"/>
      <c r="CKA50" s="715"/>
      <c r="CKB50" s="715"/>
      <c r="CKC50" s="715"/>
      <c r="CKD50" s="715"/>
      <c r="CKE50" s="715"/>
      <c r="CKF50" s="715"/>
      <c r="CKG50" s="715"/>
      <c r="CKH50" s="715"/>
      <c r="CKI50" s="715"/>
      <c r="CKJ50" s="715"/>
      <c r="CKK50" s="715"/>
      <c r="CKL50" s="715"/>
      <c r="CKM50" s="715"/>
      <c r="CKN50" s="715"/>
      <c r="CKO50" s="715"/>
      <c r="CKP50" s="715"/>
      <c r="CKQ50" s="715"/>
      <c r="CKR50" s="715"/>
      <c r="CKS50" s="715"/>
      <c r="CKT50" s="715"/>
      <c r="CKU50" s="715"/>
      <c r="CKV50" s="715"/>
      <c r="CKW50" s="715"/>
      <c r="CKX50" s="715"/>
      <c r="CKY50" s="715"/>
      <c r="CKZ50" s="715"/>
      <c r="CLA50" s="715"/>
      <c r="CLB50" s="715"/>
      <c r="CLC50" s="715"/>
      <c r="CLD50" s="715"/>
      <c r="CLE50" s="715"/>
      <c r="CLF50" s="715"/>
      <c r="CLG50" s="715"/>
      <c r="CLH50" s="715"/>
      <c r="CLI50" s="715"/>
      <c r="CLJ50" s="715"/>
      <c r="CLK50" s="715"/>
      <c r="CLL50" s="715"/>
      <c r="CLM50" s="715"/>
      <c r="CLN50" s="715"/>
      <c r="CLO50" s="715"/>
      <c r="CLP50" s="715"/>
      <c r="CLQ50" s="715"/>
      <c r="CLR50" s="715"/>
      <c r="CLS50" s="715"/>
      <c r="CLT50" s="715"/>
      <c r="CLU50" s="715"/>
      <c r="CLV50" s="715"/>
      <c r="CLW50" s="715"/>
      <c r="CLX50" s="715"/>
      <c r="CLY50" s="715"/>
      <c r="CLZ50" s="715"/>
      <c r="CMA50" s="715"/>
      <c r="CMB50" s="715"/>
      <c r="CMC50" s="715"/>
      <c r="CMD50" s="715"/>
      <c r="CME50" s="715"/>
      <c r="CMF50" s="715"/>
      <c r="CMG50" s="715"/>
      <c r="CMH50" s="715"/>
      <c r="CMI50" s="715"/>
      <c r="CMJ50" s="715"/>
      <c r="CMK50" s="715"/>
      <c r="CML50" s="715"/>
      <c r="CMM50" s="715"/>
      <c r="CMN50" s="715"/>
      <c r="CMO50" s="715"/>
      <c r="CMP50" s="715"/>
      <c r="CMQ50" s="715"/>
      <c r="CMR50" s="715"/>
      <c r="CMS50" s="715"/>
      <c r="CMT50" s="715"/>
      <c r="CMU50" s="715"/>
      <c r="CMV50" s="715"/>
      <c r="CMW50" s="715"/>
      <c r="CMX50" s="715"/>
      <c r="CMY50" s="715"/>
      <c r="CMZ50" s="715"/>
      <c r="CNA50" s="715"/>
      <c r="CNB50" s="715"/>
      <c r="CNC50" s="715"/>
      <c r="CND50" s="715"/>
      <c r="CNE50" s="715"/>
      <c r="CNF50" s="715"/>
      <c r="CNG50" s="715"/>
      <c r="CNH50" s="715"/>
      <c r="CNI50" s="715"/>
      <c r="CNJ50" s="715"/>
      <c r="CNK50" s="715"/>
      <c r="CNL50" s="715"/>
      <c r="CNM50" s="715"/>
      <c r="CNN50" s="715"/>
      <c r="CNO50" s="715"/>
      <c r="CNP50" s="715"/>
      <c r="CNQ50" s="715"/>
      <c r="CNR50" s="715"/>
      <c r="CNS50" s="715"/>
      <c r="CNT50" s="715"/>
      <c r="CNU50" s="715"/>
      <c r="CNV50" s="715"/>
      <c r="CNW50" s="715"/>
      <c r="CNX50" s="715"/>
      <c r="CNY50" s="715"/>
      <c r="CNZ50" s="715"/>
      <c r="COA50" s="715"/>
      <c r="COB50" s="715"/>
      <c r="COC50" s="715"/>
      <c r="COD50" s="715"/>
      <c r="COE50" s="715"/>
      <c r="COF50" s="715"/>
      <c r="COG50" s="715"/>
      <c r="COH50" s="715"/>
      <c r="COI50" s="715"/>
      <c r="COJ50" s="715"/>
      <c r="COK50" s="715"/>
      <c r="COL50" s="715"/>
      <c r="COM50" s="715"/>
      <c r="CON50" s="715"/>
      <c r="COO50" s="715"/>
      <c r="COP50" s="715"/>
      <c r="COQ50" s="715"/>
      <c r="COR50" s="715"/>
      <c r="COS50" s="715"/>
      <c r="COT50" s="715"/>
      <c r="COU50" s="715"/>
      <c r="COV50" s="715"/>
      <c r="COW50" s="715"/>
      <c r="COX50" s="715"/>
      <c r="COY50" s="715"/>
      <c r="COZ50" s="715"/>
      <c r="CPA50" s="715"/>
      <c r="CPB50" s="715"/>
      <c r="CPC50" s="715"/>
      <c r="CPD50" s="715"/>
      <c r="CPE50" s="715"/>
      <c r="CPF50" s="715"/>
      <c r="CPG50" s="715"/>
      <c r="CPH50" s="715"/>
      <c r="CPI50" s="715"/>
      <c r="CPJ50" s="715"/>
      <c r="CPK50" s="715"/>
      <c r="CPL50" s="715"/>
      <c r="CPM50" s="715"/>
      <c r="CPN50" s="715"/>
      <c r="CPO50" s="715"/>
      <c r="CPP50" s="715"/>
      <c r="CPQ50" s="715"/>
      <c r="CPR50" s="715"/>
      <c r="CPS50" s="715"/>
      <c r="CPT50" s="715"/>
      <c r="CPU50" s="715"/>
      <c r="CPV50" s="715"/>
      <c r="CPW50" s="715"/>
      <c r="CPX50" s="715"/>
      <c r="CPY50" s="715"/>
      <c r="CPZ50" s="715"/>
      <c r="CQA50" s="715"/>
      <c r="CQB50" s="715"/>
      <c r="CQC50" s="715"/>
      <c r="CQD50" s="715"/>
      <c r="CQE50" s="715"/>
      <c r="CQF50" s="715"/>
      <c r="CQG50" s="715"/>
      <c r="CQH50" s="715"/>
      <c r="CQI50" s="715"/>
      <c r="CQJ50" s="715"/>
      <c r="CQK50" s="715"/>
      <c r="CQL50" s="715"/>
      <c r="CQM50" s="715"/>
      <c r="CQN50" s="715"/>
      <c r="CQO50" s="715"/>
      <c r="CQP50" s="715"/>
      <c r="CQQ50" s="715"/>
      <c r="CQR50" s="715"/>
      <c r="CQS50" s="715"/>
      <c r="CQT50" s="715"/>
      <c r="CQU50" s="715"/>
      <c r="CQV50" s="715"/>
      <c r="CQW50" s="715"/>
      <c r="CQX50" s="715"/>
      <c r="CQY50" s="715"/>
      <c r="CQZ50" s="715"/>
      <c r="CRA50" s="715"/>
      <c r="CRB50" s="715"/>
      <c r="CRC50" s="715"/>
      <c r="CRD50" s="715"/>
      <c r="CRE50" s="715"/>
      <c r="CRF50" s="715"/>
      <c r="CRG50" s="715"/>
      <c r="CRH50" s="715"/>
      <c r="CRI50" s="715"/>
      <c r="CRJ50" s="715"/>
      <c r="CRK50" s="715"/>
      <c r="CRL50" s="715"/>
      <c r="CRM50" s="715"/>
      <c r="CRN50" s="715"/>
      <c r="CRO50" s="715"/>
      <c r="CRP50" s="715"/>
      <c r="CRQ50" s="715"/>
      <c r="CRR50" s="715"/>
      <c r="CRS50" s="715"/>
      <c r="CRT50" s="715"/>
      <c r="CRU50" s="715"/>
      <c r="CRV50" s="715"/>
      <c r="CRW50" s="715"/>
      <c r="CRX50" s="715"/>
      <c r="CRY50" s="715"/>
      <c r="CRZ50" s="715"/>
      <c r="CSA50" s="715"/>
      <c r="CSB50" s="715"/>
      <c r="CSC50" s="715"/>
      <c r="CSD50" s="715"/>
      <c r="CSE50" s="715"/>
      <c r="CSF50" s="715"/>
      <c r="CSG50" s="715"/>
      <c r="CSH50" s="715"/>
      <c r="CSI50" s="715"/>
      <c r="CSJ50" s="715"/>
      <c r="CSK50" s="715"/>
      <c r="CSL50" s="715"/>
      <c r="CSM50" s="715"/>
      <c r="CSN50" s="715"/>
      <c r="CSO50" s="715"/>
      <c r="CSP50" s="715"/>
      <c r="CSQ50" s="715"/>
      <c r="CSR50" s="715"/>
      <c r="CSS50" s="715"/>
      <c r="CST50" s="715"/>
      <c r="CSU50" s="715"/>
      <c r="CSV50" s="715"/>
      <c r="CSW50" s="715"/>
      <c r="CSX50" s="715"/>
      <c r="CSY50" s="715"/>
      <c r="CSZ50" s="715"/>
      <c r="CTA50" s="715"/>
      <c r="CTB50" s="715"/>
      <c r="CTC50" s="715"/>
      <c r="CTD50" s="715"/>
      <c r="CTE50" s="715"/>
      <c r="CTF50" s="715"/>
      <c r="CTG50" s="715"/>
      <c r="CTH50" s="715"/>
      <c r="CTI50" s="715"/>
      <c r="CTJ50" s="715"/>
      <c r="CTK50" s="715"/>
      <c r="CTL50" s="715"/>
      <c r="CTM50" s="715"/>
      <c r="CTN50" s="715"/>
      <c r="CTO50" s="715"/>
      <c r="CTP50" s="715"/>
      <c r="CTQ50" s="715"/>
      <c r="CTR50" s="715"/>
      <c r="CTS50" s="715"/>
      <c r="CTT50" s="715"/>
      <c r="CTU50" s="715"/>
      <c r="CTV50" s="715"/>
      <c r="CTW50" s="715"/>
      <c r="CTX50" s="715"/>
      <c r="CTY50" s="715"/>
      <c r="CTZ50" s="715"/>
      <c r="CUA50" s="715"/>
      <c r="CUB50" s="715"/>
      <c r="CUC50" s="715"/>
      <c r="CUD50" s="715"/>
      <c r="CUE50" s="715"/>
      <c r="CUF50" s="715"/>
      <c r="CUG50" s="715"/>
      <c r="CUH50" s="715"/>
      <c r="CUI50" s="715"/>
      <c r="CUJ50" s="715"/>
      <c r="CUK50" s="715"/>
      <c r="CUL50" s="715"/>
      <c r="CUM50" s="715"/>
      <c r="CUN50" s="715"/>
      <c r="CUO50" s="715"/>
      <c r="CUP50" s="715"/>
      <c r="CUQ50" s="715"/>
      <c r="CUR50" s="715"/>
      <c r="CUS50" s="715"/>
      <c r="CUT50" s="715"/>
      <c r="CUU50" s="715"/>
      <c r="CUV50" s="715"/>
      <c r="CUW50" s="715"/>
      <c r="CUX50" s="715"/>
      <c r="CUY50" s="715"/>
      <c r="CUZ50" s="715"/>
      <c r="CVA50" s="715"/>
      <c r="CVB50" s="715"/>
      <c r="CVC50" s="715"/>
      <c r="CVD50" s="715"/>
      <c r="CVE50" s="715"/>
      <c r="CVF50" s="715"/>
      <c r="CVG50" s="715"/>
      <c r="CVH50" s="715"/>
      <c r="CVI50" s="715"/>
      <c r="CVJ50" s="715"/>
      <c r="CVK50" s="715"/>
      <c r="CVL50" s="715"/>
      <c r="CVM50" s="715"/>
      <c r="CVN50" s="715"/>
      <c r="CVO50" s="715"/>
      <c r="CVP50" s="715"/>
      <c r="CVQ50" s="715"/>
      <c r="CVR50" s="715"/>
      <c r="CVS50" s="715"/>
      <c r="CVT50" s="715"/>
      <c r="CVU50" s="715"/>
      <c r="CVV50" s="715"/>
      <c r="CVW50" s="715"/>
      <c r="CVX50" s="715"/>
      <c r="CVY50" s="715"/>
      <c r="CVZ50" s="715"/>
      <c r="CWA50" s="715"/>
      <c r="CWB50" s="715"/>
      <c r="CWC50" s="715"/>
      <c r="CWD50" s="715"/>
      <c r="CWE50" s="715"/>
      <c r="CWF50" s="715"/>
      <c r="CWG50" s="715"/>
      <c r="CWH50" s="715"/>
      <c r="CWI50" s="715"/>
      <c r="CWJ50" s="715"/>
      <c r="CWK50" s="715"/>
      <c r="CWL50" s="715"/>
      <c r="CWM50" s="715"/>
      <c r="CWN50" s="715"/>
      <c r="CWO50" s="715"/>
      <c r="CWP50" s="715"/>
      <c r="CWQ50" s="715"/>
      <c r="CWR50" s="715"/>
      <c r="CWS50" s="715"/>
      <c r="CWT50" s="715"/>
      <c r="CWU50" s="715"/>
      <c r="CWV50" s="715"/>
      <c r="CWW50" s="715"/>
      <c r="CWX50" s="715"/>
      <c r="CWY50" s="715"/>
      <c r="CWZ50" s="715"/>
      <c r="CXA50" s="715"/>
      <c r="CXB50" s="715"/>
      <c r="CXC50" s="715"/>
      <c r="CXD50" s="715"/>
      <c r="CXE50" s="715"/>
      <c r="CXF50" s="715"/>
      <c r="CXG50" s="715"/>
      <c r="CXH50" s="715"/>
      <c r="CXI50" s="715"/>
      <c r="CXJ50" s="715"/>
      <c r="CXK50" s="715"/>
      <c r="CXL50" s="715"/>
      <c r="CXM50" s="715"/>
      <c r="CXN50" s="715"/>
      <c r="CXO50" s="715"/>
      <c r="CXP50" s="715"/>
      <c r="CXQ50" s="715"/>
      <c r="CXR50" s="715"/>
      <c r="CXS50" s="715"/>
      <c r="CXT50" s="715"/>
      <c r="CXU50" s="715"/>
      <c r="CXV50" s="715"/>
      <c r="CXW50" s="715"/>
      <c r="CXX50" s="715"/>
      <c r="CXY50" s="715"/>
      <c r="CXZ50" s="715"/>
      <c r="CYA50" s="715"/>
      <c r="CYB50" s="715"/>
      <c r="CYC50" s="715"/>
      <c r="CYD50" s="715"/>
      <c r="CYE50" s="715"/>
      <c r="CYF50" s="715"/>
      <c r="CYG50" s="715"/>
      <c r="CYH50" s="715"/>
      <c r="CYI50" s="715"/>
      <c r="CYJ50" s="715"/>
      <c r="CYK50" s="715"/>
      <c r="CYL50" s="715"/>
      <c r="CYM50" s="715"/>
      <c r="CYN50" s="715"/>
      <c r="CYO50" s="715"/>
      <c r="CYP50" s="715"/>
      <c r="CYQ50" s="715"/>
      <c r="CYR50" s="715"/>
      <c r="CYS50" s="715"/>
      <c r="CYT50" s="715"/>
      <c r="CYU50" s="715"/>
      <c r="CYV50" s="715"/>
      <c r="CYW50" s="715"/>
      <c r="CYX50" s="715"/>
      <c r="CYY50" s="715"/>
      <c r="CYZ50" s="715"/>
      <c r="CZA50" s="715"/>
      <c r="CZB50" s="715"/>
      <c r="CZC50" s="715"/>
      <c r="CZD50" s="715"/>
      <c r="CZE50" s="715"/>
      <c r="CZF50" s="715"/>
      <c r="CZG50" s="715"/>
      <c r="CZH50" s="715"/>
      <c r="CZI50" s="715"/>
      <c r="CZJ50" s="715"/>
      <c r="CZK50" s="715"/>
      <c r="CZL50" s="715"/>
      <c r="CZM50" s="715"/>
      <c r="CZN50" s="715"/>
      <c r="CZO50" s="715"/>
      <c r="CZP50" s="715"/>
      <c r="CZQ50" s="715"/>
      <c r="CZR50" s="715"/>
      <c r="CZS50" s="715"/>
      <c r="CZT50" s="715"/>
      <c r="CZU50" s="715"/>
      <c r="CZV50" s="715"/>
      <c r="CZW50" s="715"/>
      <c r="CZX50" s="715"/>
      <c r="CZY50" s="715"/>
      <c r="CZZ50" s="715"/>
      <c r="DAA50" s="715"/>
      <c r="DAB50" s="715"/>
      <c r="DAC50" s="715"/>
      <c r="DAD50" s="715"/>
      <c r="DAE50" s="715"/>
      <c r="DAF50" s="715"/>
      <c r="DAG50" s="715"/>
      <c r="DAH50" s="715"/>
      <c r="DAI50" s="715"/>
      <c r="DAJ50" s="715"/>
      <c r="DAK50" s="715"/>
      <c r="DAL50" s="715"/>
      <c r="DAM50" s="715"/>
      <c r="DAN50" s="715"/>
      <c r="DAO50" s="715"/>
      <c r="DAP50" s="715"/>
      <c r="DAQ50" s="715"/>
      <c r="DAR50" s="715"/>
      <c r="DAS50" s="715"/>
      <c r="DAT50" s="715"/>
      <c r="DAU50" s="715"/>
      <c r="DAV50" s="715"/>
      <c r="DAW50" s="715"/>
      <c r="DAX50" s="715"/>
      <c r="DAY50" s="715"/>
      <c r="DAZ50" s="715"/>
      <c r="DBA50" s="715"/>
      <c r="DBB50" s="715"/>
      <c r="DBC50" s="715"/>
      <c r="DBD50" s="715"/>
      <c r="DBE50" s="715"/>
      <c r="DBF50" s="715"/>
      <c r="DBG50" s="715"/>
      <c r="DBH50" s="715"/>
      <c r="DBI50" s="715"/>
      <c r="DBJ50" s="715"/>
      <c r="DBK50" s="715"/>
      <c r="DBL50" s="715"/>
      <c r="DBM50" s="715"/>
      <c r="DBN50" s="715"/>
      <c r="DBO50" s="715"/>
      <c r="DBP50" s="715"/>
      <c r="DBQ50" s="715"/>
      <c r="DBR50" s="715"/>
      <c r="DBS50" s="715"/>
      <c r="DBT50" s="715"/>
      <c r="DBU50" s="715"/>
      <c r="DBV50" s="715"/>
      <c r="DBW50" s="715"/>
      <c r="DBX50" s="715"/>
      <c r="DBY50" s="715"/>
      <c r="DBZ50" s="715"/>
      <c r="DCA50" s="715"/>
      <c r="DCB50" s="715"/>
      <c r="DCC50" s="715"/>
      <c r="DCD50" s="715"/>
      <c r="DCE50" s="715"/>
      <c r="DCF50" s="715"/>
      <c r="DCG50" s="715"/>
      <c r="DCH50" s="715"/>
      <c r="DCI50" s="715"/>
      <c r="DCJ50" s="715"/>
      <c r="DCK50" s="715"/>
      <c r="DCL50" s="715"/>
      <c r="DCM50" s="715"/>
      <c r="DCN50" s="715"/>
      <c r="DCO50" s="715"/>
      <c r="DCP50" s="715"/>
      <c r="DCQ50" s="715"/>
      <c r="DCR50" s="715"/>
      <c r="DCS50" s="715"/>
      <c r="DCT50" s="715"/>
      <c r="DCU50" s="715"/>
      <c r="DCV50" s="715"/>
      <c r="DCW50" s="715"/>
      <c r="DCX50" s="715"/>
      <c r="DCY50" s="715"/>
      <c r="DCZ50" s="715"/>
      <c r="DDA50" s="715"/>
      <c r="DDB50" s="715"/>
      <c r="DDC50" s="715"/>
      <c r="DDD50" s="715"/>
      <c r="DDE50" s="715"/>
      <c r="DDF50" s="715"/>
      <c r="DDG50" s="715"/>
      <c r="DDH50" s="715"/>
      <c r="DDI50" s="715"/>
      <c r="DDJ50" s="715"/>
      <c r="DDK50" s="715"/>
      <c r="DDL50" s="715"/>
      <c r="DDM50" s="715"/>
      <c r="DDN50" s="715"/>
      <c r="DDO50" s="715"/>
      <c r="DDP50" s="715"/>
      <c r="DDQ50" s="715"/>
      <c r="DDR50" s="715"/>
      <c r="DDS50" s="715"/>
      <c r="DDT50" s="715"/>
      <c r="DDU50" s="715"/>
      <c r="DDV50" s="715"/>
      <c r="DDW50" s="715"/>
      <c r="DDX50" s="715"/>
      <c r="DDY50" s="715"/>
      <c r="DDZ50" s="715"/>
      <c r="DEA50" s="715"/>
      <c r="DEB50" s="715"/>
      <c r="DEC50" s="715"/>
      <c r="DED50" s="715"/>
      <c r="DEE50" s="715"/>
      <c r="DEF50" s="715"/>
      <c r="DEG50" s="715"/>
      <c r="DEH50" s="715"/>
      <c r="DEI50" s="715"/>
      <c r="DEJ50" s="715"/>
      <c r="DEK50" s="715"/>
      <c r="DEL50" s="715"/>
      <c r="DEM50" s="715"/>
      <c r="DEN50" s="715"/>
      <c r="DEO50" s="715"/>
      <c r="DEP50" s="715"/>
      <c r="DEQ50" s="715"/>
      <c r="DER50" s="715"/>
      <c r="DES50" s="715"/>
      <c r="DET50" s="715"/>
      <c r="DEU50" s="715"/>
      <c r="DEV50" s="715"/>
      <c r="DEW50" s="715"/>
      <c r="DEX50" s="715"/>
      <c r="DEY50" s="715"/>
      <c r="DEZ50" s="715"/>
      <c r="DFA50" s="715"/>
      <c r="DFB50" s="715"/>
      <c r="DFC50" s="715"/>
      <c r="DFD50" s="715"/>
      <c r="DFE50" s="715"/>
      <c r="DFF50" s="715"/>
      <c r="DFG50" s="715"/>
      <c r="DFH50" s="715"/>
      <c r="DFI50" s="715"/>
      <c r="DFJ50" s="715"/>
      <c r="DFK50" s="715"/>
      <c r="DFL50" s="715"/>
      <c r="DFM50" s="715"/>
      <c r="DFN50" s="715"/>
      <c r="DFO50" s="715"/>
      <c r="DFP50" s="715"/>
      <c r="DFQ50" s="715"/>
      <c r="DFR50" s="715"/>
      <c r="DFS50" s="715"/>
      <c r="DFT50" s="715"/>
      <c r="DFU50" s="715"/>
      <c r="DFV50" s="715"/>
      <c r="DFW50" s="715"/>
      <c r="DFX50" s="715"/>
      <c r="DFY50" s="715"/>
      <c r="DFZ50" s="715"/>
      <c r="DGA50" s="715"/>
      <c r="DGB50" s="715"/>
      <c r="DGC50" s="715"/>
      <c r="DGD50" s="715"/>
      <c r="DGE50" s="715"/>
      <c r="DGF50" s="715"/>
      <c r="DGG50" s="715"/>
      <c r="DGH50" s="715"/>
      <c r="DGI50" s="715"/>
      <c r="DGJ50" s="715"/>
      <c r="DGK50" s="715"/>
      <c r="DGL50" s="715"/>
      <c r="DGM50" s="715"/>
      <c r="DGN50" s="715"/>
      <c r="DGO50" s="715"/>
      <c r="DGP50" s="715"/>
      <c r="DGQ50" s="715"/>
      <c r="DGR50" s="715"/>
      <c r="DGS50" s="715"/>
      <c r="DGT50" s="715"/>
      <c r="DGU50" s="715"/>
      <c r="DGV50" s="715"/>
      <c r="DGW50" s="715"/>
      <c r="DGX50" s="715"/>
      <c r="DGY50" s="715"/>
      <c r="DGZ50" s="715"/>
      <c r="DHA50" s="715"/>
      <c r="DHB50" s="715"/>
      <c r="DHC50" s="715"/>
      <c r="DHD50" s="715"/>
      <c r="DHE50" s="715"/>
      <c r="DHF50" s="715"/>
      <c r="DHG50" s="715"/>
      <c r="DHH50" s="715"/>
      <c r="DHI50" s="715"/>
      <c r="DHJ50" s="715"/>
      <c r="DHK50" s="715"/>
      <c r="DHL50" s="715"/>
      <c r="DHM50" s="715"/>
      <c r="DHN50" s="715"/>
      <c r="DHO50" s="715"/>
      <c r="DHP50" s="715"/>
      <c r="DHQ50" s="715"/>
      <c r="DHR50" s="715"/>
      <c r="DHS50" s="715"/>
      <c r="DHT50" s="715"/>
      <c r="DHU50" s="715"/>
      <c r="DHV50" s="715"/>
      <c r="DHW50" s="715"/>
      <c r="DHX50" s="715"/>
      <c r="DHY50" s="715"/>
      <c r="DHZ50" s="715"/>
      <c r="DIA50" s="715"/>
      <c r="DIB50" s="715"/>
      <c r="DIC50" s="715"/>
      <c r="DID50" s="715"/>
      <c r="DIE50" s="715"/>
      <c r="DIF50" s="715"/>
      <c r="DIG50" s="715"/>
      <c r="DIH50" s="715"/>
      <c r="DII50" s="715"/>
      <c r="DIJ50" s="715"/>
      <c r="DIK50" s="715"/>
      <c r="DIL50" s="715"/>
      <c r="DIM50" s="715"/>
      <c r="DIN50" s="715"/>
      <c r="DIO50" s="715"/>
      <c r="DIP50" s="715"/>
      <c r="DIQ50" s="715"/>
      <c r="DIR50" s="715"/>
      <c r="DIS50" s="715"/>
      <c r="DIT50" s="715"/>
      <c r="DIU50" s="715"/>
      <c r="DIV50" s="715"/>
      <c r="DIW50" s="715"/>
      <c r="DIX50" s="715"/>
      <c r="DIY50" s="715"/>
      <c r="DIZ50" s="715"/>
      <c r="DJA50" s="715"/>
      <c r="DJB50" s="715"/>
      <c r="DJC50" s="715"/>
      <c r="DJD50" s="715"/>
      <c r="DJE50" s="715"/>
      <c r="DJF50" s="715"/>
      <c r="DJG50" s="715"/>
      <c r="DJH50" s="715"/>
      <c r="DJI50" s="715"/>
      <c r="DJJ50" s="715"/>
      <c r="DJK50" s="715"/>
      <c r="DJL50" s="715"/>
      <c r="DJM50" s="715"/>
      <c r="DJN50" s="715"/>
      <c r="DJO50" s="715"/>
      <c r="DJP50" s="715"/>
      <c r="DJQ50" s="715"/>
      <c r="DJR50" s="715"/>
      <c r="DJS50" s="715"/>
      <c r="DJT50" s="715"/>
      <c r="DJU50" s="715"/>
      <c r="DJV50" s="715"/>
      <c r="DJW50" s="715"/>
      <c r="DJX50" s="715"/>
      <c r="DJY50" s="715"/>
      <c r="DJZ50" s="715"/>
      <c r="DKA50" s="715"/>
      <c r="DKB50" s="715"/>
      <c r="DKC50" s="715"/>
      <c r="DKD50" s="715"/>
      <c r="DKE50" s="715"/>
      <c r="DKF50" s="715"/>
      <c r="DKG50" s="715"/>
      <c r="DKH50" s="715"/>
      <c r="DKI50" s="715"/>
      <c r="DKJ50" s="715"/>
      <c r="DKK50" s="715"/>
      <c r="DKL50" s="715"/>
      <c r="DKM50" s="715"/>
      <c r="DKN50" s="715"/>
      <c r="DKO50" s="715"/>
      <c r="DKP50" s="715"/>
      <c r="DKQ50" s="715"/>
      <c r="DKR50" s="715"/>
      <c r="DKS50" s="715"/>
      <c r="DKT50" s="715"/>
      <c r="DKU50" s="715"/>
      <c r="DKV50" s="715"/>
      <c r="DKW50" s="715"/>
      <c r="DKX50" s="715"/>
      <c r="DKY50" s="715"/>
      <c r="DKZ50" s="715"/>
      <c r="DLA50" s="715"/>
      <c r="DLB50" s="715"/>
      <c r="DLC50" s="715"/>
      <c r="DLD50" s="715"/>
      <c r="DLE50" s="715"/>
      <c r="DLF50" s="715"/>
      <c r="DLG50" s="715"/>
      <c r="DLH50" s="715"/>
      <c r="DLI50" s="715"/>
      <c r="DLJ50" s="715"/>
      <c r="DLK50" s="715"/>
      <c r="DLL50" s="715"/>
      <c r="DLM50" s="715"/>
      <c r="DLN50" s="715"/>
      <c r="DLO50" s="715"/>
      <c r="DLP50" s="715"/>
      <c r="DLQ50" s="715"/>
      <c r="DLR50" s="715"/>
      <c r="DLS50" s="715"/>
      <c r="DLT50" s="715"/>
      <c r="DLU50" s="715"/>
      <c r="DLV50" s="715"/>
      <c r="DLW50" s="715"/>
      <c r="DLX50" s="715"/>
      <c r="DLY50" s="715"/>
      <c r="DLZ50" s="715"/>
      <c r="DMA50" s="715"/>
      <c r="DMB50" s="715"/>
      <c r="DMC50" s="715"/>
      <c r="DMD50" s="715"/>
      <c r="DME50" s="715"/>
      <c r="DMF50" s="715"/>
      <c r="DMG50" s="715"/>
      <c r="DMH50" s="715"/>
      <c r="DMI50" s="715"/>
      <c r="DMJ50" s="715"/>
      <c r="DMK50" s="715"/>
      <c r="DML50" s="715"/>
      <c r="DMM50" s="715"/>
      <c r="DMN50" s="715"/>
      <c r="DMO50" s="715"/>
      <c r="DMP50" s="715"/>
      <c r="DMQ50" s="715"/>
      <c r="DMR50" s="715"/>
      <c r="DMS50" s="715"/>
      <c r="DMT50" s="715"/>
      <c r="DMU50" s="715"/>
      <c r="DMV50" s="715"/>
      <c r="DMW50" s="715"/>
      <c r="DMX50" s="715"/>
      <c r="DMY50" s="715"/>
      <c r="DMZ50" s="715"/>
      <c r="DNA50" s="715"/>
      <c r="DNB50" s="715"/>
      <c r="DNC50" s="715"/>
      <c r="DND50" s="715"/>
      <c r="DNE50" s="715"/>
      <c r="DNF50" s="715"/>
      <c r="DNG50" s="715"/>
      <c r="DNH50" s="715"/>
      <c r="DNI50" s="715"/>
      <c r="DNJ50" s="715"/>
      <c r="DNK50" s="715"/>
      <c r="DNL50" s="715"/>
      <c r="DNM50" s="715"/>
      <c r="DNN50" s="715"/>
      <c r="DNO50" s="715"/>
      <c r="DNP50" s="715"/>
      <c r="DNQ50" s="715"/>
      <c r="DNR50" s="715"/>
      <c r="DNS50" s="715"/>
      <c r="DNT50" s="715"/>
      <c r="DNU50" s="715"/>
      <c r="DNV50" s="715"/>
      <c r="DNW50" s="715"/>
      <c r="DNX50" s="715"/>
      <c r="DNY50" s="715"/>
      <c r="DNZ50" s="715"/>
      <c r="DOA50" s="715"/>
      <c r="DOB50" s="715"/>
      <c r="DOC50" s="715"/>
      <c r="DOD50" s="715"/>
      <c r="DOE50" s="715"/>
      <c r="DOF50" s="715"/>
      <c r="DOG50" s="715"/>
      <c r="DOH50" s="715"/>
      <c r="DOI50" s="715"/>
      <c r="DOJ50" s="715"/>
      <c r="DOK50" s="715"/>
      <c r="DOL50" s="715"/>
      <c r="DOM50" s="715"/>
      <c r="DON50" s="715"/>
      <c r="DOO50" s="715"/>
      <c r="DOP50" s="715"/>
      <c r="DOQ50" s="715"/>
      <c r="DOR50" s="715"/>
      <c r="DOS50" s="715"/>
      <c r="DOT50" s="715"/>
      <c r="DOU50" s="715"/>
      <c r="DOV50" s="715"/>
      <c r="DOW50" s="715"/>
      <c r="DOX50" s="715"/>
      <c r="DOY50" s="715"/>
      <c r="DOZ50" s="715"/>
      <c r="DPA50" s="715"/>
      <c r="DPB50" s="715"/>
      <c r="DPC50" s="715"/>
      <c r="DPD50" s="715"/>
      <c r="DPE50" s="715"/>
      <c r="DPF50" s="715"/>
      <c r="DPG50" s="715"/>
      <c r="DPH50" s="715"/>
      <c r="DPI50" s="715"/>
      <c r="DPJ50" s="715"/>
      <c r="DPK50" s="715"/>
      <c r="DPL50" s="715"/>
      <c r="DPM50" s="715"/>
      <c r="DPN50" s="715"/>
      <c r="DPO50" s="715"/>
      <c r="DPP50" s="715"/>
      <c r="DPQ50" s="715"/>
      <c r="DPR50" s="715"/>
      <c r="DPS50" s="715"/>
      <c r="DPT50" s="715"/>
      <c r="DPU50" s="715"/>
      <c r="DPV50" s="715"/>
      <c r="DPW50" s="715"/>
      <c r="DPX50" s="715"/>
      <c r="DPY50" s="715"/>
      <c r="DPZ50" s="715"/>
      <c r="DQA50" s="715"/>
      <c r="DQB50" s="715"/>
      <c r="DQC50" s="715"/>
      <c r="DQD50" s="715"/>
      <c r="DQE50" s="715"/>
      <c r="DQF50" s="715"/>
      <c r="DQG50" s="715"/>
      <c r="DQH50" s="715"/>
      <c r="DQI50" s="715"/>
      <c r="DQJ50" s="715"/>
      <c r="DQK50" s="715"/>
      <c r="DQL50" s="715"/>
      <c r="DQM50" s="715"/>
      <c r="DQN50" s="715"/>
      <c r="DQO50" s="715"/>
      <c r="DQP50" s="715"/>
      <c r="DQQ50" s="715"/>
      <c r="DQR50" s="715"/>
      <c r="DQS50" s="715"/>
      <c r="DQT50" s="715"/>
      <c r="DQU50" s="715"/>
      <c r="DQV50" s="715"/>
      <c r="DQW50" s="715"/>
      <c r="DQX50" s="715"/>
      <c r="DQY50" s="715"/>
      <c r="DQZ50" s="715"/>
      <c r="DRA50" s="715"/>
      <c r="DRB50" s="715"/>
      <c r="DRC50" s="715"/>
      <c r="DRD50" s="715"/>
      <c r="DRE50" s="715"/>
      <c r="DRF50" s="715"/>
      <c r="DRG50" s="715"/>
      <c r="DRH50" s="715"/>
      <c r="DRI50" s="715"/>
      <c r="DRJ50" s="715"/>
      <c r="DRK50" s="715"/>
      <c r="DRL50" s="715"/>
      <c r="DRM50" s="715"/>
      <c r="DRN50" s="715"/>
      <c r="DRO50" s="715"/>
      <c r="DRP50" s="715"/>
      <c r="DRQ50" s="715"/>
      <c r="DRR50" s="715"/>
      <c r="DRS50" s="715"/>
      <c r="DRT50" s="715"/>
      <c r="DRU50" s="715"/>
      <c r="DRV50" s="715"/>
      <c r="DRW50" s="715"/>
      <c r="DRX50" s="715"/>
      <c r="DRY50" s="715"/>
      <c r="DRZ50" s="715"/>
      <c r="DSA50" s="715"/>
      <c r="DSB50" s="715"/>
      <c r="DSC50" s="715"/>
      <c r="DSD50" s="715"/>
      <c r="DSE50" s="715"/>
      <c r="DSF50" s="715"/>
      <c r="DSG50" s="715"/>
      <c r="DSH50" s="715"/>
      <c r="DSI50" s="715"/>
      <c r="DSJ50" s="715"/>
      <c r="DSK50" s="715"/>
      <c r="DSL50" s="715"/>
      <c r="DSM50" s="715"/>
      <c r="DSN50" s="715"/>
      <c r="DSO50" s="715"/>
      <c r="DSP50" s="715"/>
      <c r="DSQ50" s="715"/>
      <c r="DSR50" s="715"/>
      <c r="DSS50" s="715"/>
      <c r="DST50" s="715"/>
      <c r="DSU50" s="715"/>
      <c r="DSV50" s="715"/>
      <c r="DSW50" s="715"/>
      <c r="DSX50" s="715"/>
      <c r="DSY50" s="715"/>
      <c r="DSZ50" s="715"/>
      <c r="DTA50" s="715"/>
      <c r="DTB50" s="715"/>
      <c r="DTC50" s="715"/>
      <c r="DTD50" s="715"/>
      <c r="DTE50" s="715"/>
      <c r="DTF50" s="715"/>
      <c r="DTG50" s="715"/>
      <c r="DTH50" s="715"/>
      <c r="DTI50" s="715"/>
      <c r="DTJ50" s="715"/>
      <c r="DTK50" s="715"/>
      <c r="DTL50" s="715"/>
      <c r="DTM50" s="715"/>
      <c r="DTN50" s="715"/>
      <c r="DTO50" s="715"/>
      <c r="DTP50" s="715"/>
      <c r="DTQ50" s="715"/>
      <c r="DTR50" s="715"/>
      <c r="DTS50" s="715"/>
      <c r="DTT50" s="715"/>
      <c r="DTU50" s="715"/>
      <c r="DTV50" s="715"/>
      <c r="DTW50" s="715"/>
      <c r="DTX50" s="715"/>
      <c r="DTY50" s="715"/>
      <c r="DTZ50" s="715"/>
      <c r="DUA50" s="715"/>
      <c r="DUB50" s="715"/>
      <c r="DUC50" s="715"/>
      <c r="DUD50" s="715"/>
      <c r="DUE50" s="715"/>
      <c r="DUF50" s="715"/>
      <c r="DUG50" s="715"/>
      <c r="DUH50" s="715"/>
      <c r="DUI50" s="715"/>
      <c r="DUJ50" s="715"/>
      <c r="DUK50" s="715"/>
      <c r="DUL50" s="715"/>
      <c r="DUM50" s="715"/>
      <c r="DUN50" s="715"/>
      <c r="DUO50" s="715"/>
      <c r="DUP50" s="715"/>
      <c r="DUQ50" s="715"/>
      <c r="DUR50" s="715"/>
      <c r="DUS50" s="715"/>
      <c r="DUT50" s="715"/>
      <c r="DUU50" s="715"/>
      <c r="DUV50" s="715"/>
      <c r="DUW50" s="715"/>
      <c r="DUX50" s="715"/>
      <c r="DUY50" s="715"/>
      <c r="DUZ50" s="715"/>
      <c r="DVA50" s="715"/>
      <c r="DVB50" s="715"/>
      <c r="DVC50" s="715"/>
      <c r="DVD50" s="715"/>
      <c r="DVE50" s="715"/>
      <c r="DVF50" s="715"/>
      <c r="DVG50" s="715"/>
      <c r="DVH50" s="715"/>
      <c r="DVI50" s="715"/>
      <c r="DVJ50" s="715"/>
      <c r="DVK50" s="715"/>
      <c r="DVL50" s="715"/>
      <c r="DVM50" s="715"/>
      <c r="DVN50" s="715"/>
      <c r="DVO50" s="715"/>
      <c r="DVP50" s="715"/>
      <c r="DVQ50" s="715"/>
      <c r="DVR50" s="715"/>
      <c r="DVS50" s="715"/>
      <c r="DVT50" s="715"/>
      <c r="DVU50" s="715"/>
      <c r="DVV50" s="715"/>
      <c r="DVW50" s="715"/>
      <c r="DVX50" s="715"/>
      <c r="DVY50" s="715"/>
      <c r="DVZ50" s="715"/>
      <c r="DWA50" s="715"/>
      <c r="DWB50" s="715"/>
      <c r="DWC50" s="715"/>
      <c r="DWD50" s="715"/>
      <c r="DWE50" s="715"/>
      <c r="DWF50" s="715"/>
      <c r="DWG50" s="715"/>
      <c r="DWH50" s="715"/>
      <c r="DWI50" s="715"/>
      <c r="DWJ50" s="715"/>
      <c r="DWK50" s="715"/>
      <c r="DWL50" s="715"/>
      <c r="DWM50" s="715"/>
      <c r="DWN50" s="715"/>
      <c r="DWO50" s="715"/>
      <c r="DWP50" s="715"/>
      <c r="DWQ50" s="715"/>
      <c r="DWR50" s="715"/>
      <c r="DWS50" s="715"/>
      <c r="DWT50" s="715"/>
      <c r="DWU50" s="715"/>
      <c r="DWV50" s="715"/>
      <c r="DWW50" s="715"/>
      <c r="DWX50" s="715"/>
      <c r="DWY50" s="715"/>
      <c r="DWZ50" s="715"/>
      <c r="DXA50" s="715"/>
      <c r="DXB50" s="715"/>
      <c r="DXC50" s="715"/>
      <c r="DXD50" s="715"/>
      <c r="DXE50" s="715"/>
      <c r="DXF50" s="715"/>
      <c r="DXG50" s="715"/>
      <c r="DXH50" s="715"/>
      <c r="DXI50" s="715"/>
      <c r="DXJ50" s="715"/>
      <c r="DXK50" s="715"/>
      <c r="DXL50" s="715"/>
      <c r="DXM50" s="715"/>
      <c r="DXN50" s="715"/>
      <c r="DXO50" s="715"/>
      <c r="DXP50" s="715"/>
      <c r="DXQ50" s="715"/>
      <c r="DXR50" s="715"/>
      <c r="DXS50" s="715"/>
      <c r="DXT50" s="715"/>
      <c r="DXU50" s="715"/>
      <c r="DXV50" s="715"/>
      <c r="DXW50" s="715"/>
      <c r="DXX50" s="715"/>
      <c r="DXY50" s="715"/>
      <c r="DXZ50" s="715"/>
      <c r="DYA50" s="715"/>
      <c r="DYB50" s="715"/>
      <c r="DYC50" s="715"/>
      <c r="DYD50" s="715"/>
      <c r="DYE50" s="715"/>
      <c r="DYF50" s="715"/>
      <c r="DYG50" s="715"/>
      <c r="DYH50" s="715"/>
      <c r="DYI50" s="715"/>
      <c r="DYJ50" s="715"/>
      <c r="DYK50" s="715"/>
      <c r="DYL50" s="715"/>
      <c r="DYM50" s="715"/>
      <c r="DYN50" s="715"/>
      <c r="DYO50" s="715"/>
      <c r="DYP50" s="715"/>
      <c r="DYQ50" s="715"/>
      <c r="DYR50" s="715"/>
      <c r="DYS50" s="715"/>
      <c r="DYT50" s="715"/>
      <c r="DYU50" s="715"/>
      <c r="DYV50" s="715"/>
      <c r="DYW50" s="715"/>
      <c r="DYX50" s="715"/>
      <c r="DYY50" s="715"/>
      <c r="DYZ50" s="715"/>
      <c r="DZA50" s="715"/>
      <c r="DZB50" s="715"/>
      <c r="DZC50" s="715"/>
      <c r="DZD50" s="715"/>
      <c r="DZE50" s="715"/>
      <c r="DZF50" s="715"/>
      <c r="DZG50" s="715"/>
      <c r="DZH50" s="715"/>
      <c r="DZI50" s="715"/>
      <c r="DZJ50" s="715"/>
      <c r="DZK50" s="715"/>
      <c r="DZL50" s="715"/>
      <c r="DZM50" s="715"/>
      <c r="DZN50" s="715"/>
      <c r="DZO50" s="715"/>
      <c r="DZP50" s="715"/>
      <c r="DZQ50" s="715"/>
      <c r="DZR50" s="715"/>
      <c r="DZS50" s="715"/>
      <c r="DZT50" s="715"/>
      <c r="DZU50" s="715"/>
      <c r="DZV50" s="715"/>
      <c r="DZW50" s="715"/>
      <c r="DZX50" s="715"/>
      <c r="DZY50" s="715"/>
      <c r="DZZ50" s="715"/>
      <c r="EAA50" s="715"/>
      <c r="EAB50" s="715"/>
      <c r="EAC50" s="715"/>
      <c r="EAD50" s="715"/>
      <c r="EAE50" s="715"/>
      <c r="EAF50" s="715"/>
      <c r="EAG50" s="715"/>
      <c r="EAH50" s="715"/>
      <c r="EAI50" s="715"/>
      <c r="EAJ50" s="715"/>
      <c r="EAK50" s="715"/>
      <c r="EAL50" s="715"/>
      <c r="EAM50" s="715"/>
      <c r="EAN50" s="715"/>
      <c r="EAO50" s="715"/>
      <c r="EAP50" s="715"/>
      <c r="EAQ50" s="715"/>
      <c r="EAR50" s="715"/>
      <c r="EAS50" s="715"/>
      <c r="EAT50" s="715"/>
      <c r="EAU50" s="715"/>
      <c r="EAV50" s="715"/>
      <c r="EAW50" s="715"/>
      <c r="EAX50" s="715"/>
      <c r="EAY50" s="715"/>
      <c r="EAZ50" s="715"/>
      <c r="EBA50" s="715"/>
      <c r="EBB50" s="715"/>
      <c r="EBC50" s="715"/>
      <c r="EBD50" s="715"/>
      <c r="EBE50" s="715"/>
      <c r="EBF50" s="715"/>
      <c r="EBG50" s="715"/>
      <c r="EBH50" s="715"/>
      <c r="EBI50" s="715"/>
      <c r="EBJ50" s="715"/>
      <c r="EBK50" s="715"/>
      <c r="EBL50" s="715"/>
      <c r="EBM50" s="715"/>
      <c r="EBN50" s="715"/>
      <c r="EBO50" s="715"/>
      <c r="EBP50" s="715"/>
      <c r="EBQ50" s="715"/>
      <c r="EBR50" s="715"/>
      <c r="EBS50" s="715"/>
      <c r="EBT50" s="715"/>
      <c r="EBU50" s="715"/>
      <c r="EBV50" s="715"/>
      <c r="EBW50" s="715"/>
      <c r="EBX50" s="715"/>
      <c r="EBY50" s="715"/>
      <c r="EBZ50" s="715"/>
      <c r="ECA50" s="715"/>
      <c r="ECB50" s="715"/>
      <c r="ECC50" s="715"/>
      <c r="ECD50" s="715"/>
      <c r="ECE50" s="715"/>
      <c r="ECF50" s="715"/>
      <c r="ECG50" s="715"/>
      <c r="ECH50" s="715"/>
      <c r="ECI50" s="715"/>
      <c r="ECJ50" s="715"/>
      <c r="ECK50" s="715"/>
      <c r="ECL50" s="715"/>
      <c r="ECM50" s="715"/>
      <c r="ECN50" s="715"/>
      <c r="ECO50" s="715"/>
      <c r="ECP50" s="715"/>
      <c r="ECQ50" s="715"/>
      <c r="ECR50" s="715"/>
      <c r="ECS50" s="715"/>
      <c r="ECT50" s="715"/>
      <c r="ECU50" s="715"/>
      <c r="ECV50" s="715"/>
      <c r="ECW50" s="715"/>
      <c r="ECX50" s="715"/>
      <c r="ECY50" s="715"/>
      <c r="ECZ50" s="715"/>
      <c r="EDA50" s="715"/>
      <c r="EDB50" s="715"/>
      <c r="EDC50" s="715"/>
      <c r="EDD50" s="715"/>
      <c r="EDE50" s="715"/>
      <c r="EDF50" s="715"/>
      <c r="EDG50" s="715"/>
      <c r="EDH50" s="715"/>
      <c r="EDI50" s="715"/>
      <c r="EDJ50" s="715"/>
      <c r="EDK50" s="715"/>
      <c r="EDL50" s="715"/>
      <c r="EDM50" s="715"/>
      <c r="EDN50" s="715"/>
      <c r="EDO50" s="715"/>
      <c r="EDP50" s="715"/>
      <c r="EDQ50" s="715"/>
      <c r="EDR50" s="715"/>
      <c r="EDS50" s="715"/>
      <c r="EDT50" s="715"/>
      <c r="EDU50" s="715"/>
      <c r="EDV50" s="715"/>
      <c r="EDW50" s="715"/>
      <c r="EDX50" s="715"/>
      <c r="EDY50" s="715"/>
      <c r="EDZ50" s="715"/>
      <c r="EEA50" s="715"/>
      <c r="EEB50" s="715"/>
      <c r="EEC50" s="715"/>
      <c r="EED50" s="715"/>
      <c r="EEE50" s="715"/>
      <c r="EEF50" s="715"/>
      <c r="EEG50" s="715"/>
      <c r="EEH50" s="715"/>
      <c r="EEI50" s="715"/>
      <c r="EEJ50" s="715"/>
      <c r="EEK50" s="715"/>
      <c r="EEL50" s="715"/>
      <c r="EEM50" s="715"/>
      <c r="EEN50" s="715"/>
      <c r="EEO50" s="715"/>
      <c r="EEP50" s="715"/>
      <c r="EEQ50" s="715"/>
      <c r="EER50" s="715"/>
      <c r="EES50" s="715"/>
      <c r="EET50" s="715"/>
      <c r="EEU50" s="715"/>
      <c r="EEV50" s="715"/>
      <c r="EEW50" s="715"/>
      <c r="EEX50" s="715"/>
      <c r="EEY50" s="715"/>
      <c r="EEZ50" s="715"/>
      <c r="EFA50" s="715"/>
      <c r="EFB50" s="715"/>
      <c r="EFC50" s="715"/>
      <c r="EFD50" s="715"/>
      <c r="EFE50" s="715"/>
      <c r="EFF50" s="715"/>
      <c r="EFG50" s="715"/>
      <c r="EFH50" s="715"/>
      <c r="EFI50" s="715"/>
      <c r="EFJ50" s="715"/>
      <c r="EFK50" s="715"/>
      <c r="EFL50" s="715"/>
      <c r="EFM50" s="715"/>
      <c r="EFN50" s="715"/>
      <c r="EFO50" s="715"/>
      <c r="EFP50" s="715"/>
      <c r="EFQ50" s="715"/>
      <c r="EFR50" s="715"/>
      <c r="EFS50" s="715"/>
      <c r="EFT50" s="715"/>
      <c r="EFU50" s="715"/>
      <c r="EFV50" s="715"/>
      <c r="EFW50" s="715"/>
      <c r="EFX50" s="715"/>
      <c r="EFY50" s="715"/>
      <c r="EFZ50" s="715"/>
      <c r="EGA50" s="715"/>
      <c r="EGB50" s="715"/>
      <c r="EGC50" s="715"/>
      <c r="EGD50" s="715"/>
      <c r="EGE50" s="715"/>
      <c r="EGF50" s="715"/>
      <c r="EGG50" s="715"/>
      <c r="EGH50" s="715"/>
      <c r="EGI50" s="715"/>
      <c r="EGJ50" s="715"/>
      <c r="EGK50" s="715"/>
      <c r="EGL50" s="715"/>
      <c r="EGM50" s="715"/>
      <c r="EGN50" s="715"/>
      <c r="EGO50" s="715"/>
      <c r="EGP50" s="715"/>
      <c r="EGQ50" s="715"/>
      <c r="EGR50" s="715"/>
      <c r="EGS50" s="715"/>
      <c r="EGT50" s="715"/>
      <c r="EGU50" s="715"/>
      <c r="EGV50" s="715"/>
      <c r="EGW50" s="715"/>
      <c r="EGX50" s="715"/>
      <c r="EGY50" s="715"/>
      <c r="EGZ50" s="715"/>
      <c r="EHA50" s="715"/>
      <c r="EHB50" s="715"/>
      <c r="EHC50" s="715"/>
      <c r="EHD50" s="715"/>
      <c r="EHE50" s="715"/>
      <c r="EHF50" s="715"/>
      <c r="EHG50" s="715"/>
      <c r="EHH50" s="715"/>
      <c r="EHI50" s="715"/>
      <c r="EHJ50" s="715"/>
      <c r="EHK50" s="715"/>
      <c r="EHL50" s="715"/>
      <c r="EHM50" s="715"/>
      <c r="EHN50" s="715"/>
      <c r="EHO50" s="715"/>
      <c r="EHP50" s="715"/>
      <c r="EHQ50" s="715"/>
      <c r="EHR50" s="715"/>
      <c r="EHS50" s="715"/>
      <c r="EHT50" s="715"/>
      <c r="EHU50" s="715"/>
      <c r="EHV50" s="715"/>
      <c r="EHW50" s="715"/>
      <c r="EHX50" s="715"/>
      <c r="EHY50" s="715"/>
      <c r="EHZ50" s="715"/>
      <c r="EIA50" s="715"/>
      <c r="EIB50" s="715"/>
      <c r="EIC50" s="715"/>
      <c r="EID50" s="715"/>
      <c r="EIE50" s="715"/>
      <c r="EIF50" s="715"/>
      <c r="EIG50" s="715"/>
      <c r="EIH50" s="715"/>
      <c r="EII50" s="715"/>
      <c r="EIJ50" s="715"/>
      <c r="EIK50" s="715"/>
      <c r="EIL50" s="715"/>
      <c r="EIM50" s="715"/>
      <c r="EIN50" s="715"/>
      <c r="EIO50" s="715"/>
      <c r="EIP50" s="715"/>
      <c r="EIQ50" s="715"/>
      <c r="EIR50" s="715"/>
      <c r="EIS50" s="715"/>
      <c r="EIT50" s="715"/>
      <c r="EIU50" s="715"/>
      <c r="EIV50" s="715"/>
      <c r="EIW50" s="715"/>
      <c r="EIX50" s="715"/>
      <c r="EIY50" s="715"/>
      <c r="EIZ50" s="715"/>
      <c r="EJA50" s="715"/>
      <c r="EJB50" s="715"/>
      <c r="EJC50" s="715"/>
      <c r="EJD50" s="715"/>
      <c r="EJE50" s="715"/>
      <c r="EJF50" s="715"/>
      <c r="EJG50" s="715"/>
      <c r="EJH50" s="715"/>
      <c r="EJI50" s="715"/>
      <c r="EJJ50" s="715"/>
      <c r="EJK50" s="715"/>
      <c r="EJL50" s="715"/>
      <c r="EJM50" s="715"/>
      <c r="EJN50" s="715"/>
      <c r="EJO50" s="715"/>
      <c r="EJP50" s="715"/>
      <c r="EJQ50" s="715"/>
      <c r="EJR50" s="715"/>
      <c r="EJS50" s="715"/>
      <c r="EJT50" s="715"/>
      <c r="EJU50" s="715"/>
      <c r="EJV50" s="715"/>
      <c r="EJW50" s="715"/>
      <c r="EJX50" s="715"/>
      <c r="EJY50" s="715"/>
      <c r="EJZ50" s="715"/>
      <c r="EKA50" s="715"/>
      <c r="EKB50" s="715"/>
      <c r="EKC50" s="715"/>
      <c r="EKD50" s="715"/>
      <c r="EKE50" s="715"/>
      <c r="EKF50" s="715"/>
      <c r="EKG50" s="715"/>
      <c r="EKH50" s="715"/>
      <c r="EKI50" s="715"/>
      <c r="EKJ50" s="715"/>
      <c r="EKK50" s="715"/>
      <c r="EKL50" s="715"/>
      <c r="EKM50" s="715"/>
      <c r="EKN50" s="715"/>
      <c r="EKO50" s="715"/>
      <c r="EKP50" s="715"/>
      <c r="EKQ50" s="715"/>
      <c r="EKR50" s="715"/>
      <c r="EKS50" s="715"/>
      <c r="EKT50" s="715"/>
      <c r="EKU50" s="715"/>
      <c r="EKV50" s="715"/>
      <c r="EKW50" s="715"/>
      <c r="EKX50" s="715"/>
      <c r="EKY50" s="715"/>
      <c r="EKZ50" s="715"/>
      <c r="ELA50" s="715"/>
      <c r="ELB50" s="715"/>
      <c r="ELC50" s="715"/>
      <c r="ELD50" s="715"/>
      <c r="ELE50" s="715"/>
      <c r="ELF50" s="715"/>
      <c r="ELG50" s="715"/>
      <c r="ELH50" s="715"/>
      <c r="ELI50" s="715"/>
      <c r="ELJ50" s="715"/>
      <c r="ELK50" s="715"/>
      <c r="ELL50" s="715"/>
      <c r="ELM50" s="715"/>
      <c r="ELN50" s="715"/>
      <c r="ELO50" s="715"/>
      <c r="ELP50" s="715"/>
      <c r="ELQ50" s="715"/>
      <c r="ELR50" s="715"/>
      <c r="ELS50" s="715"/>
      <c r="ELT50" s="715"/>
      <c r="ELU50" s="715"/>
      <c r="ELV50" s="715"/>
      <c r="ELW50" s="715"/>
      <c r="ELX50" s="715"/>
      <c r="ELY50" s="715"/>
      <c r="ELZ50" s="715"/>
      <c r="EMA50" s="715"/>
      <c r="EMB50" s="715"/>
      <c r="EMC50" s="715"/>
      <c r="EMD50" s="715"/>
      <c r="EME50" s="715"/>
      <c r="EMF50" s="715"/>
      <c r="EMG50" s="715"/>
      <c r="EMH50" s="715"/>
      <c r="EMI50" s="715"/>
      <c r="EMJ50" s="715"/>
      <c r="EMK50" s="715"/>
      <c r="EML50" s="715"/>
      <c r="EMM50" s="715"/>
      <c r="EMN50" s="715"/>
      <c r="EMO50" s="715"/>
      <c r="EMP50" s="715"/>
      <c r="EMQ50" s="715"/>
      <c r="EMR50" s="715"/>
      <c r="EMS50" s="715"/>
      <c r="EMT50" s="715"/>
      <c r="EMU50" s="715"/>
      <c r="EMV50" s="715"/>
      <c r="EMW50" s="715"/>
      <c r="EMX50" s="715"/>
      <c r="EMY50" s="715"/>
      <c r="EMZ50" s="715"/>
      <c r="ENA50" s="715"/>
      <c r="ENB50" s="715"/>
      <c r="ENC50" s="715"/>
      <c r="END50" s="715"/>
      <c r="ENE50" s="715"/>
      <c r="ENF50" s="715"/>
      <c r="ENG50" s="715"/>
      <c r="ENH50" s="715"/>
      <c r="ENI50" s="715"/>
      <c r="ENJ50" s="715"/>
      <c r="ENK50" s="715"/>
      <c r="ENL50" s="715"/>
      <c r="ENM50" s="715"/>
      <c r="ENN50" s="715"/>
      <c r="ENO50" s="715"/>
      <c r="ENP50" s="715"/>
      <c r="ENQ50" s="715"/>
      <c r="ENR50" s="715"/>
      <c r="ENS50" s="715"/>
      <c r="ENT50" s="715"/>
      <c r="ENU50" s="715"/>
      <c r="ENV50" s="715"/>
      <c r="ENW50" s="715"/>
      <c r="ENX50" s="715"/>
      <c r="ENY50" s="715"/>
      <c r="ENZ50" s="715"/>
      <c r="EOA50" s="715"/>
      <c r="EOB50" s="715"/>
      <c r="EOC50" s="715"/>
      <c r="EOD50" s="715"/>
      <c r="EOE50" s="715"/>
      <c r="EOF50" s="715"/>
      <c r="EOG50" s="715"/>
      <c r="EOH50" s="715"/>
      <c r="EOI50" s="715"/>
      <c r="EOJ50" s="715"/>
      <c r="EOK50" s="715"/>
      <c r="EOL50" s="715"/>
      <c r="EOM50" s="715"/>
      <c r="EON50" s="715"/>
      <c r="EOO50" s="715"/>
      <c r="EOP50" s="715"/>
      <c r="EOQ50" s="715"/>
      <c r="EOR50" s="715"/>
      <c r="EOS50" s="715"/>
      <c r="EOT50" s="715"/>
      <c r="EOU50" s="715"/>
      <c r="EOV50" s="715"/>
      <c r="EOW50" s="715"/>
      <c r="EOX50" s="715"/>
      <c r="EOY50" s="715"/>
      <c r="EOZ50" s="715"/>
      <c r="EPA50" s="715"/>
      <c r="EPB50" s="715"/>
      <c r="EPC50" s="715"/>
      <c r="EPD50" s="715"/>
      <c r="EPE50" s="715"/>
      <c r="EPF50" s="715"/>
      <c r="EPG50" s="715"/>
      <c r="EPH50" s="715"/>
      <c r="EPI50" s="715"/>
      <c r="EPJ50" s="715"/>
      <c r="EPK50" s="715"/>
      <c r="EPL50" s="715"/>
      <c r="EPM50" s="715"/>
      <c r="EPN50" s="715"/>
      <c r="EPO50" s="715"/>
      <c r="EPP50" s="715"/>
      <c r="EPQ50" s="715"/>
      <c r="EPR50" s="715"/>
      <c r="EPS50" s="715"/>
      <c r="EPT50" s="715"/>
      <c r="EPU50" s="715"/>
      <c r="EPV50" s="715"/>
      <c r="EPW50" s="715"/>
      <c r="EPX50" s="715"/>
      <c r="EPY50" s="715"/>
      <c r="EPZ50" s="715"/>
      <c r="EQA50" s="715"/>
      <c r="EQB50" s="715"/>
      <c r="EQC50" s="715"/>
      <c r="EQD50" s="715"/>
      <c r="EQE50" s="715"/>
      <c r="EQF50" s="715"/>
      <c r="EQG50" s="715"/>
      <c r="EQH50" s="715"/>
      <c r="EQI50" s="715"/>
      <c r="EQJ50" s="715"/>
      <c r="EQK50" s="715"/>
      <c r="EQL50" s="715"/>
      <c r="EQM50" s="715"/>
      <c r="EQN50" s="715"/>
      <c r="EQO50" s="715"/>
      <c r="EQP50" s="715"/>
      <c r="EQQ50" s="715"/>
      <c r="EQR50" s="715"/>
      <c r="EQS50" s="715"/>
      <c r="EQT50" s="715"/>
      <c r="EQU50" s="715"/>
      <c r="EQV50" s="715"/>
      <c r="EQW50" s="715"/>
      <c r="EQX50" s="715"/>
      <c r="EQY50" s="715"/>
      <c r="EQZ50" s="715"/>
      <c r="ERA50" s="715"/>
      <c r="ERB50" s="715"/>
      <c r="ERC50" s="715"/>
      <c r="ERD50" s="715"/>
      <c r="ERE50" s="715"/>
      <c r="ERF50" s="715"/>
      <c r="ERG50" s="715"/>
      <c r="ERH50" s="715"/>
      <c r="ERI50" s="715"/>
      <c r="ERJ50" s="715"/>
      <c r="ERK50" s="715"/>
      <c r="ERL50" s="715"/>
      <c r="ERM50" s="715"/>
      <c r="ERN50" s="715"/>
      <c r="ERO50" s="715"/>
      <c r="ERP50" s="715"/>
      <c r="ERQ50" s="715"/>
      <c r="ERR50" s="715"/>
      <c r="ERS50" s="715"/>
      <c r="ERT50" s="715"/>
      <c r="ERU50" s="715"/>
      <c r="ERV50" s="715"/>
      <c r="ERW50" s="715"/>
      <c r="ERX50" s="715"/>
      <c r="ERY50" s="715"/>
      <c r="ERZ50" s="715"/>
      <c r="ESA50" s="715"/>
      <c r="ESB50" s="715"/>
      <c r="ESC50" s="715"/>
      <c r="ESD50" s="715"/>
      <c r="ESE50" s="715"/>
      <c r="ESF50" s="715"/>
      <c r="ESG50" s="715"/>
      <c r="ESH50" s="715"/>
      <c r="ESI50" s="715"/>
      <c r="ESJ50" s="715"/>
      <c r="ESK50" s="715"/>
      <c r="ESL50" s="715"/>
      <c r="ESM50" s="715"/>
      <c r="ESN50" s="715"/>
      <c r="ESO50" s="715"/>
      <c r="ESP50" s="715"/>
      <c r="ESQ50" s="715"/>
      <c r="ESR50" s="715"/>
      <c r="ESS50" s="715"/>
      <c r="EST50" s="715"/>
      <c r="ESU50" s="715"/>
      <c r="ESV50" s="715"/>
      <c r="ESW50" s="715"/>
      <c r="ESX50" s="715"/>
      <c r="ESY50" s="715"/>
      <c r="ESZ50" s="715"/>
      <c r="ETA50" s="715"/>
      <c r="ETB50" s="715"/>
      <c r="ETC50" s="715"/>
      <c r="ETD50" s="715"/>
      <c r="ETE50" s="715"/>
      <c r="ETF50" s="715"/>
      <c r="ETG50" s="715"/>
      <c r="ETH50" s="715"/>
      <c r="ETI50" s="715"/>
      <c r="ETJ50" s="715"/>
      <c r="ETK50" s="715"/>
      <c r="ETL50" s="715"/>
      <c r="ETM50" s="715"/>
      <c r="ETN50" s="715"/>
      <c r="ETO50" s="715"/>
      <c r="ETP50" s="715"/>
      <c r="ETQ50" s="715"/>
      <c r="ETR50" s="715"/>
      <c r="ETS50" s="715"/>
      <c r="ETT50" s="715"/>
      <c r="ETU50" s="715"/>
      <c r="ETV50" s="715"/>
      <c r="ETW50" s="715"/>
      <c r="ETX50" s="715"/>
      <c r="ETY50" s="715"/>
      <c r="ETZ50" s="715"/>
      <c r="EUA50" s="715"/>
      <c r="EUB50" s="715"/>
      <c r="EUC50" s="715"/>
      <c r="EUD50" s="715"/>
      <c r="EUE50" s="715"/>
      <c r="EUF50" s="715"/>
      <c r="EUG50" s="715"/>
      <c r="EUH50" s="715"/>
      <c r="EUI50" s="715"/>
      <c r="EUJ50" s="715"/>
      <c r="EUK50" s="715"/>
      <c r="EUL50" s="715"/>
      <c r="EUM50" s="715"/>
      <c r="EUN50" s="715"/>
      <c r="EUO50" s="715"/>
      <c r="EUP50" s="715"/>
      <c r="EUQ50" s="715"/>
      <c r="EUR50" s="715"/>
      <c r="EUS50" s="715"/>
      <c r="EUT50" s="715"/>
      <c r="EUU50" s="715"/>
      <c r="EUV50" s="715"/>
      <c r="EUW50" s="715"/>
      <c r="EUX50" s="715"/>
      <c r="EUY50" s="715"/>
      <c r="EUZ50" s="715"/>
      <c r="EVA50" s="715"/>
      <c r="EVB50" s="715"/>
      <c r="EVC50" s="715"/>
      <c r="EVD50" s="715"/>
      <c r="EVE50" s="715"/>
      <c r="EVF50" s="715"/>
      <c r="EVG50" s="715"/>
      <c r="EVH50" s="715"/>
      <c r="EVI50" s="715"/>
      <c r="EVJ50" s="715"/>
      <c r="EVK50" s="715"/>
      <c r="EVL50" s="715"/>
      <c r="EVM50" s="715"/>
      <c r="EVN50" s="715"/>
      <c r="EVO50" s="715"/>
      <c r="EVP50" s="715"/>
      <c r="EVQ50" s="715"/>
      <c r="EVR50" s="715"/>
      <c r="EVS50" s="715"/>
      <c r="EVT50" s="715"/>
      <c r="EVU50" s="715"/>
      <c r="EVV50" s="715"/>
      <c r="EVW50" s="715"/>
      <c r="EVX50" s="715"/>
      <c r="EVY50" s="715"/>
      <c r="EVZ50" s="715"/>
      <c r="EWA50" s="715"/>
      <c r="EWB50" s="715"/>
      <c r="EWC50" s="715"/>
      <c r="EWD50" s="715"/>
      <c r="EWE50" s="715"/>
      <c r="EWF50" s="715"/>
      <c r="EWG50" s="715"/>
      <c r="EWH50" s="715"/>
      <c r="EWI50" s="715"/>
      <c r="EWJ50" s="715"/>
      <c r="EWK50" s="715"/>
      <c r="EWL50" s="715"/>
      <c r="EWM50" s="715"/>
      <c r="EWN50" s="715"/>
      <c r="EWO50" s="715"/>
      <c r="EWP50" s="715"/>
      <c r="EWQ50" s="715"/>
      <c r="EWR50" s="715"/>
      <c r="EWS50" s="715"/>
      <c r="EWT50" s="715"/>
      <c r="EWU50" s="715"/>
      <c r="EWV50" s="715"/>
      <c r="EWW50" s="715"/>
      <c r="EWX50" s="715"/>
      <c r="EWY50" s="715"/>
      <c r="EWZ50" s="715"/>
      <c r="EXA50" s="715"/>
      <c r="EXB50" s="715"/>
      <c r="EXC50" s="715"/>
      <c r="EXD50" s="715"/>
      <c r="EXE50" s="715"/>
      <c r="EXF50" s="715"/>
      <c r="EXG50" s="715"/>
      <c r="EXH50" s="715"/>
      <c r="EXI50" s="715"/>
      <c r="EXJ50" s="715"/>
      <c r="EXK50" s="715"/>
      <c r="EXL50" s="715"/>
      <c r="EXM50" s="715"/>
      <c r="EXN50" s="715"/>
      <c r="EXO50" s="715"/>
      <c r="EXP50" s="715"/>
      <c r="EXQ50" s="715"/>
      <c r="EXR50" s="715"/>
      <c r="EXS50" s="715"/>
      <c r="EXT50" s="715"/>
      <c r="EXU50" s="715"/>
      <c r="EXV50" s="715"/>
      <c r="EXW50" s="715"/>
      <c r="EXX50" s="715"/>
      <c r="EXY50" s="715"/>
      <c r="EXZ50" s="715"/>
      <c r="EYA50" s="715"/>
      <c r="EYB50" s="715"/>
      <c r="EYC50" s="715"/>
      <c r="EYD50" s="715"/>
      <c r="EYE50" s="715"/>
      <c r="EYF50" s="715"/>
      <c r="EYG50" s="715"/>
      <c r="EYH50" s="715"/>
      <c r="EYI50" s="715"/>
      <c r="EYJ50" s="715"/>
      <c r="EYK50" s="715"/>
      <c r="EYL50" s="715"/>
      <c r="EYM50" s="715"/>
      <c r="EYN50" s="715"/>
      <c r="EYO50" s="715"/>
      <c r="EYP50" s="715"/>
      <c r="EYQ50" s="715"/>
      <c r="EYR50" s="715"/>
      <c r="EYS50" s="715"/>
      <c r="EYT50" s="715"/>
      <c r="EYU50" s="715"/>
      <c r="EYV50" s="715"/>
      <c r="EYW50" s="715"/>
      <c r="EYX50" s="715"/>
      <c r="EYY50" s="715"/>
      <c r="EYZ50" s="715"/>
      <c r="EZA50" s="715"/>
      <c r="EZB50" s="715"/>
      <c r="EZC50" s="715"/>
      <c r="EZD50" s="715"/>
      <c r="EZE50" s="715"/>
      <c r="EZF50" s="715"/>
      <c r="EZG50" s="715"/>
      <c r="EZH50" s="715"/>
      <c r="EZI50" s="715"/>
      <c r="EZJ50" s="715"/>
      <c r="EZK50" s="715"/>
      <c r="EZL50" s="715"/>
      <c r="EZM50" s="715"/>
      <c r="EZN50" s="715"/>
      <c r="EZO50" s="715"/>
      <c r="EZP50" s="715"/>
      <c r="EZQ50" s="715"/>
      <c r="EZR50" s="715"/>
      <c r="EZS50" s="715"/>
      <c r="EZT50" s="715"/>
      <c r="EZU50" s="715"/>
      <c r="EZV50" s="715"/>
      <c r="EZW50" s="715"/>
      <c r="EZX50" s="715"/>
      <c r="EZY50" s="715"/>
      <c r="EZZ50" s="715"/>
      <c r="FAA50" s="715"/>
      <c r="FAB50" s="715"/>
      <c r="FAC50" s="715"/>
      <c r="FAD50" s="715"/>
      <c r="FAE50" s="715"/>
      <c r="FAF50" s="715"/>
      <c r="FAG50" s="715"/>
      <c r="FAH50" s="715"/>
      <c r="FAI50" s="715"/>
      <c r="FAJ50" s="715"/>
      <c r="FAK50" s="715"/>
      <c r="FAL50" s="715"/>
      <c r="FAM50" s="715"/>
      <c r="FAN50" s="715"/>
      <c r="FAO50" s="715"/>
      <c r="FAP50" s="715"/>
      <c r="FAQ50" s="715"/>
      <c r="FAR50" s="715"/>
      <c r="FAS50" s="715"/>
      <c r="FAT50" s="715"/>
      <c r="FAU50" s="715"/>
      <c r="FAV50" s="715"/>
      <c r="FAW50" s="715"/>
      <c r="FAX50" s="715"/>
      <c r="FAY50" s="715"/>
      <c r="FAZ50" s="715"/>
      <c r="FBA50" s="715"/>
      <c r="FBB50" s="715"/>
      <c r="FBC50" s="715"/>
      <c r="FBD50" s="715"/>
      <c r="FBE50" s="715"/>
      <c r="FBF50" s="715"/>
      <c r="FBG50" s="715"/>
      <c r="FBH50" s="715"/>
      <c r="FBI50" s="715"/>
      <c r="FBJ50" s="715"/>
      <c r="FBK50" s="715"/>
      <c r="FBL50" s="715"/>
      <c r="FBM50" s="715"/>
      <c r="FBN50" s="715"/>
      <c r="FBO50" s="715"/>
      <c r="FBP50" s="715"/>
      <c r="FBQ50" s="715"/>
      <c r="FBR50" s="715"/>
      <c r="FBS50" s="715"/>
      <c r="FBT50" s="715"/>
      <c r="FBU50" s="715"/>
      <c r="FBV50" s="715"/>
      <c r="FBW50" s="715"/>
      <c r="FBX50" s="715"/>
      <c r="FBY50" s="715"/>
      <c r="FBZ50" s="715"/>
      <c r="FCA50" s="715"/>
      <c r="FCB50" s="715"/>
      <c r="FCC50" s="715"/>
      <c r="FCD50" s="715"/>
      <c r="FCE50" s="715"/>
      <c r="FCF50" s="715"/>
      <c r="FCG50" s="715"/>
      <c r="FCH50" s="715"/>
      <c r="FCI50" s="715"/>
      <c r="FCJ50" s="715"/>
      <c r="FCK50" s="715"/>
      <c r="FCL50" s="715"/>
      <c r="FCM50" s="715"/>
      <c r="FCN50" s="715"/>
      <c r="FCO50" s="715"/>
      <c r="FCP50" s="715"/>
      <c r="FCQ50" s="715"/>
      <c r="FCR50" s="715"/>
      <c r="FCS50" s="715"/>
      <c r="FCT50" s="715"/>
      <c r="FCU50" s="715"/>
      <c r="FCV50" s="715"/>
      <c r="FCW50" s="715"/>
      <c r="FCX50" s="715"/>
      <c r="FCY50" s="715"/>
      <c r="FCZ50" s="715"/>
      <c r="FDA50" s="715"/>
      <c r="FDB50" s="715"/>
      <c r="FDC50" s="715"/>
      <c r="FDD50" s="715"/>
      <c r="FDE50" s="715"/>
      <c r="FDF50" s="715"/>
      <c r="FDG50" s="715"/>
      <c r="FDH50" s="715"/>
      <c r="FDI50" s="715"/>
      <c r="FDJ50" s="715"/>
      <c r="FDK50" s="715"/>
      <c r="FDL50" s="715"/>
      <c r="FDM50" s="715"/>
      <c r="FDN50" s="715"/>
      <c r="FDO50" s="715"/>
      <c r="FDP50" s="715"/>
      <c r="FDQ50" s="715"/>
      <c r="FDR50" s="715"/>
      <c r="FDS50" s="715"/>
      <c r="FDT50" s="715"/>
      <c r="FDU50" s="715"/>
      <c r="FDV50" s="715"/>
      <c r="FDW50" s="715"/>
      <c r="FDX50" s="715"/>
      <c r="FDY50" s="715"/>
      <c r="FDZ50" s="715"/>
      <c r="FEA50" s="715"/>
      <c r="FEB50" s="715"/>
      <c r="FEC50" s="715"/>
      <c r="FED50" s="715"/>
      <c r="FEE50" s="715"/>
      <c r="FEF50" s="715"/>
      <c r="FEG50" s="715"/>
      <c r="FEH50" s="715"/>
      <c r="FEI50" s="715"/>
      <c r="FEJ50" s="715"/>
      <c r="FEK50" s="715"/>
      <c r="FEL50" s="715"/>
      <c r="FEM50" s="715"/>
      <c r="FEN50" s="715"/>
      <c r="FEO50" s="715"/>
      <c r="FEP50" s="715"/>
      <c r="FEQ50" s="715"/>
      <c r="FER50" s="715"/>
      <c r="FES50" s="715"/>
      <c r="FET50" s="715"/>
      <c r="FEU50" s="715"/>
      <c r="FEV50" s="715"/>
      <c r="FEW50" s="715"/>
      <c r="FEX50" s="715"/>
      <c r="FEY50" s="715"/>
      <c r="FEZ50" s="715"/>
      <c r="FFA50" s="715"/>
      <c r="FFB50" s="715"/>
      <c r="FFC50" s="715"/>
      <c r="FFD50" s="715"/>
      <c r="FFE50" s="715"/>
      <c r="FFF50" s="715"/>
      <c r="FFG50" s="715"/>
      <c r="FFH50" s="715"/>
      <c r="FFI50" s="715"/>
      <c r="FFJ50" s="715"/>
      <c r="FFK50" s="715"/>
      <c r="FFL50" s="715"/>
      <c r="FFM50" s="715"/>
      <c r="FFN50" s="715"/>
      <c r="FFO50" s="715"/>
      <c r="FFP50" s="715"/>
      <c r="FFQ50" s="715"/>
      <c r="FFR50" s="715"/>
      <c r="FFS50" s="715"/>
      <c r="FFT50" s="715"/>
      <c r="FFU50" s="715"/>
      <c r="FFV50" s="715"/>
      <c r="FFW50" s="715"/>
      <c r="FFX50" s="715"/>
      <c r="FFY50" s="715"/>
      <c r="FFZ50" s="715"/>
      <c r="FGA50" s="715"/>
      <c r="FGB50" s="715"/>
      <c r="FGC50" s="715"/>
      <c r="FGD50" s="715"/>
      <c r="FGE50" s="715"/>
      <c r="FGF50" s="715"/>
      <c r="FGG50" s="715"/>
      <c r="FGH50" s="715"/>
      <c r="FGI50" s="715"/>
      <c r="FGJ50" s="715"/>
      <c r="FGK50" s="715"/>
      <c r="FGL50" s="715"/>
      <c r="FGM50" s="715"/>
      <c r="FGN50" s="715"/>
      <c r="FGO50" s="715"/>
      <c r="FGP50" s="715"/>
      <c r="FGQ50" s="715"/>
      <c r="FGR50" s="715"/>
      <c r="FGS50" s="715"/>
      <c r="FGT50" s="715"/>
      <c r="FGU50" s="715"/>
      <c r="FGV50" s="715"/>
      <c r="FGW50" s="715"/>
      <c r="FGX50" s="715"/>
      <c r="FGY50" s="715"/>
      <c r="FGZ50" s="715"/>
      <c r="FHA50" s="715"/>
      <c r="FHB50" s="715"/>
      <c r="FHC50" s="715"/>
      <c r="FHD50" s="715"/>
      <c r="FHE50" s="715"/>
      <c r="FHF50" s="715"/>
      <c r="FHG50" s="715"/>
      <c r="FHH50" s="715"/>
      <c r="FHI50" s="715"/>
      <c r="FHJ50" s="715"/>
      <c r="FHK50" s="715"/>
      <c r="FHL50" s="715"/>
      <c r="FHM50" s="715"/>
      <c r="FHN50" s="715"/>
      <c r="FHO50" s="715"/>
      <c r="FHP50" s="715"/>
      <c r="FHQ50" s="715"/>
      <c r="FHR50" s="715"/>
      <c r="FHS50" s="715"/>
      <c r="FHT50" s="715"/>
      <c r="FHU50" s="715"/>
      <c r="FHV50" s="715"/>
      <c r="FHW50" s="715"/>
      <c r="FHX50" s="715"/>
      <c r="FHY50" s="715"/>
      <c r="FHZ50" s="715"/>
      <c r="FIA50" s="715"/>
      <c r="FIB50" s="715"/>
      <c r="FIC50" s="715"/>
      <c r="FID50" s="715"/>
      <c r="FIE50" s="715"/>
      <c r="FIF50" s="715"/>
      <c r="FIG50" s="715"/>
      <c r="FIH50" s="715"/>
      <c r="FII50" s="715"/>
      <c r="FIJ50" s="715"/>
      <c r="FIK50" s="715"/>
      <c r="FIL50" s="715"/>
      <c r="FIM50" s="715"/>
      <c r="FIN50" s="715"/>
      <c r="FIO50" s="715"/>
      <c r="FIP50" s="715"/>
      <c r="FIQ50" s="715"/>
      <c r="FIR50" s="715"/>
      <c r="FIS50" s="715"/>
      <c r="FIT50" s="715"/>
      <c r="FIU50" s="715"/>
      <c r="FIV50" s="715"/>
      <c r="FIW50" s="715"/>
      <c r="FIX50" s="715"/>
      <c r="FIY50" s="715"/>
      <c r="FIZ50" s="715"/>
      <c r="FJA50" s="715"/>
      <c r="FJB50" s="715"/>
      <c r="FJC50" s="715"/>
      <c r="FJD50" s="715"/>
      <c r="FJE50" s="715"/>
      <c r="FJF50" s="715"/>
      <c r="FJG50" s="715"/>
      <c r="FJH50" s="715"/>
      <c r="FJI50" s="715"/>
      <c r="FJJ50" s="715"/>
      <c r="FJK50" s="715"/>
      <c r="FJL50" s="715"/>
      <c r="FJM50" s="715"/>
      <c r="FJN50" s="715"/>
      <c r="FJO50" s="715"/>
      <c r="FJP50" s="715"/>
      <c r="FJQ50" s="715"/>
      <c r="FJR50" s="715"/>
      <c r="FJS50" s="715"/>
      <c r="FJT50" s="715"/>
      <c r="FJU50" s="715"/>
      <c r="FJV50" s="715"/>
      <c r="FJW50" s="715"/>
      <c r="FJX50" s="715"/>
      <c r="FJY50" s="715"/>
      <c r="FJZ50" s="715"/>
      <c r="FKA50" s="715"/>
      <c r="FKB50" s="715"/>
      <c r="FKC50" s="715"/>
      <c r="FKD50" s="715"/>
      <c r="FKE50" s="715"/>
      <c r="FKF50" s="715"/>
      <c r="FKG50" s="715"/>
      <c r="FKH50" s="715"/>
      <c r="FKI50" s="715"/>
      <c r="FKJ50" s="715"/>
      <c r="FKK50" s="715"/>
      <c r="FKL50" s="715"/>
      <c r="FKM50" s="715"/>
      <c r="FKN50" s="715"/>
      <c r="FKO50" s="715"/>
      <c r="FKP50" s="715"/>
      <c r="FKQ50" s="715"/>
      <c r="FKR50" s="715"/>
      <c r="FKS50" s="715"/>
      <c r="FKT50" s="715"/>
      <c r="FKU50" s="715"/>
      <c r="FKV50" s="715"/>
      <c r="FKW50" s="715"/>
      <c r="FKX50" s="715"/>
      <c r="FKY50" s="715"/>
      <c r="FKZ50" s="715"/>
      <c r="FLA50" s="715"/>
      <c r="FLB50" s="715"/>
      <c r="FLC50" s="715"/>
      <c r="FLD50" s="715"/>
      <c r="FLE50" s="715"/>
      <c r="FLF50" s="715"/>
      <c r="FLG50" s="715"/>
      <c r="FLH50" s="715"/>
      <c r="FLI50" s="715"/>
      <c r="FLJ50" s="715"/>
      <c r="FLK50" s="715"/>
      <c r="FLL50" s="715"/>
      <c r="FLM50" s="715"/>
      <c r="FLN50" s="715"/>
      <c r="FLO50" s="715"/>
      <c r="FLP50" s="715"/>
      <c r="FLQ50" s="715"/>
      <c r="FLR50" s="715"/>
      <c r="FLS50" s="715"/>
      <c r="FLT50" s="715"/>
      <c r="FLU50" s="715"/>
      <c r="FLV50" s="715"/>
      <c r="FLW50" s="715"/>
      <c r="FLX50" s="715"/>
      <c r="FLY50" s="715"/>
      <c r="FLZ50" s="715"/>
      <c r="FMA50" s="715"/>
      <c r="FMB50" s="715"/>
      <c r="FMC50" s="715"/>
      <c r="FMD50" s="715"/>
      <c r="FME50" s="715"/>
      <c r="FMF50" s="715"/>
      <c r="FMG50" s="715"/>
      <c r="FMH50" s="715"/>
      <c r="FMI50" s="715"/>
      <c r="FMJ50" s="715"/>
      <c r="FMK50" s="715"/>
      <c r="FML50" s="715"/>
      <c r="FMM50" s="715"/>
      <c r="FMN50" s="715"/>
      <c r="FMO50" s="715"/>
      <c r="FMP50" s="715"/>
      <c r="FMQ50" s="715"/>
      <c r="FMR50" s="715"/>
      <c r="FMS50" s="715"/>
      <c r="FMT50" s="715"/>
      <c r="FMU50" s="715"/>
      <c r="FMV50" s="715"/>
      <c r="FMW50" s="715"/>
      <c r="FMX50" s="715"/>
      <c r="FMY50" s="715"/>
      <c r="FMZ50" s="715"/>
      <c r="FNA50" s="715"/>
      <c r="FNB50" s="715"/>
      <c r="FNC50" s="715"/>
      <c r="FND50" s="715"/>
      <c r="FNE50" s="715"/>
      <c r="FNF50" s="715"/>
      <c r="FNG50" s="715"/>
      <c r="FNH50" s="715"/>
      <c r="FNI50" s="715"/>
      <c r="FNJ50" s="715"/>
      <c r="FNK50" s="715"/>
      <c r="FNL50" s="715"/>
      <c r="FNM50" s="715"/>
      <c r="FNN50" s="715"/>
      <c r="FNO50" s="715"/>
      <c r="FNP50" s="715"/>
      <c r="FNQ50" s="715"/>
      <c r="FNR50" s="715"/>
      <c r="FNS50" s="715"/>
      <c r="FNT50" s="715"/>
      <c r="FNU50" s="715"/>
      <c r="FNV50" s="715"/>
      <c r="FNW50" s="715"/>
      <c r="FNX50" s="715"/>
      <c r="FNY50" s="715"/>
      <c r="FNZ50" s="715"/>
      <c r="FOA50" s="715"/>
      <c r="FOB50" s="715"/>
      <c r="FOC50" s="715"/>
      <c r="FOD50" s="715"/>
      <c r="FOE50" s="715"/>
      <c r="FOF50" s="715"/>
      <c r="FOG50" s="715"/>
      <c r="FOH50" s="715"/>
      <c r="FOI50" s="715"/>
      <c r="FOJ50" s="715"/>
      <c r="FOK50" s="715"/>
      <c r="FOL50" s="715"/>
      <c r="FOM50" s="715"/>
      <c r="FON50" s="715"/>
      <c r="FOO50" s="715"/>
      <c r="FOP50" s="715"/>
      <c r="FOQ50" s="715"/>
      <c r="FOR50" s="715"/>
      <c r="FOS50" s="715"/>
      <c r="FOT50" s="715"/>
      <c r="FOU50" s="715"/>
      <c r="FOV50" s="715"/>
      <c r="FOW50" s="715"/>
      <c r="FOX50" s="715"/>
      <c r="FOY50" s="715"/>
      <c r="FOZ50" s="715"/>
      <c r="FPA50" s="715"/>
      <c r="FPB50" s="715"/>
      <c r="FPC50" s="715"/>
      <c r="FPD50" s="715"/>
      <c r="FPE50" s="715"/>
      <c r="FPF50" s="715"/>
      <c r="FPG50" s="715"/>
      <c r="FPH50" s="715"/>
      <c r="FPI50" s="715"/>
      <c r="FPJ50" s="715"/>
      <c r="FPK50" s="715"/>
      <c r="FPL50" s="715"/>
      <c r="FPM50" s="715"/>
      <c r="FPN50" s="715"/>
      <c r="FPO50" s="715"/>
      <c r="FPP50" s="715"/>
      <c r="FPQ50" s="715"/>
      <c r="FPR50" s="715"/>
      <c r="FPS50" s="715"/>
      <c r="FPT50" s="715"/>
      <c r="FPU50" s="715"/>
      <c r="FPV50" s="715"/>
      <c r="FPW50" s="715"/>
      <c r="FPX50" s="715"/>
      <c r="FPY50" s="715"/>
      <c r="FPZ50" s="715"/>
      <c r="FQA50" s="715"/>
      <c r="FQB50" s="715"/>
      <c r="FQC50" s="715"/>
      <c r="FQD50" s="715"/>
      <c r="FQE50" s="715"/>
      <c r="FQF50" s="715"/>
      <c r="FQG50" s="715"/>
      <c r="FQH50" s="715"/>
      <c r="FQI50" s="715"/>
      <c r="FQJ50" s="715"/>
      <c r="FQK50" s="715"/>
      <c r="FQL50" s="715"/>
      <c r="FQM50" s="715"/>
      <c r="FQN50" s="715"/>
      <c r="FQO50" s="715"/>
      <c r="FQP50" s="715"/>
      <c r="FQQ50" s="715"/>
      <c r="FQR50" s="715"/>
      <c r="FQS50" s="715"/>
      <c r="FQT50" s="715"/>
      <c r="FQU50" s="715"/>
      <c r="FQV50" s="715"/>
      <c r="FQW50" s="715"/>
      <c r="FQX50" s="715"/>
      <c r="FQY50" s="715"/>
      <c r="FQZ50" s="715"/>
      <c r="FRA50" s="715"/>
      <c r="FRB50" s="715"/>
      <c r="FRC50" s="715"/>
      <c r="FRD50" s="715"/>
      <c r="FRE50" s="715"/>
      <c r="FRF50" s="715"/>
      <c r="FRG50" s="715"/>
      <c r="FRH50" s="715"/>
      <c r="FRI50" s="715"/>
      <c r="FRJ50" s="715"/>
      <c r="FRK50" s="715"/>
      <c r="FRL50" s="715"/>
      <c r="FRM50" s="715"/>
      <c r="FRN50" s="715"/>
      <c r="FRO50" s="715"/>
      <c r="FRP50" s="715"/>
      <c r="FRQ50" s="715"/>
      <c r="FRR50" s="715"/>
      <c r="FRS50" s="715"/>
      <c r="FRT50" s="715"/>
      <c r="FRU50" s="715"/>
      <c r="FRV50" s="715"/>
      <c r="FRW50" s="715"/>
      <c r="FRX50" s="715"/>
      <c r="FRY50" s="715"/>
      <c r="FRZ50" s="715"/>
      <c r="FSA50" s="715"/>
      <c r="FSB50" s="715"/>
      <c r="FSC50" s="715"/>
      <c r="FSD50" s="715"/>
      <c r="FSE50" s="715"/>
      <c r="FSF50" s="715"/>
      <c r="FSG50" s="715"/>
      <c r="FSH50" s="715"/>
      <c r="FSI50" s="715"/>
      <c r="FSJ50" s="715"/>
      <c r="FSK50" s="715"/>
      <c r="FSL50" s="715"/>
      <c r="FSM50" s="715"/>
      <c r="FSN50" s="715"/>
      <c r="FSO50" s="715"/>
      <c r="FSP50" s="715"/>
      <c r="FSQ50" s="715"/>
      <c r="FSR50" s="715"/>
      <c r="FSS50" s="715"/>
      <c r="FST50" s="715"/>
      <c r="FSU50" s="715"/>
      <c r="FSV50" s="715"/>
      <c r="FSW50" s="715"/>
      <c r="FSX50" s="715"/>
      <c r="FSY50" s="715"/>
      <c r="FSZ50" s="715"/>
      <c r="FTA50" s="715"/>
      <c r="FTB50" s="715"/>
      <c r="FTC50" s="715"/>
      <c r="FTD50" s="715"/>
      <c r="FTE50" s="715"/>
      <c r="FTF50" s="715"/>
      <c r="FTG50" s="715"/>
      <c r="FTH50" s="715"/>
      <c r="FTI50" s="715"/>
      <c r="FTJ50" s="715"/>
      <c r="FTK50" s="715"/>
      <c r="FTL50" s="715"/>
      <c r="FTM50" s="715"/>
      <c r="FTN50" s="715"/>
      <c r="FTO50" s="715"/>
      <c r="FTP50" s="715"/>
      <c r="FTQ50" s="715"/>
      <c r="FTR50" s="715"/>
      <c r="FTS50" s="715"/>
      <c r="FTT50" s="715"/>
      <c r="FTU50" s="715"/>
      <c r="FTV50" s="715"/>
      <c r="FTW50" s="715"/>
      <c r="FTX50" s="715"/>
      <c r="FTY50" s="715"/>
      <c r="FTZ50" s="715"/>
      <c r="FUA50" s="715"/>
      <c r="FUB50" s="715"/>
      <c r="FUC50" s="715"/>
      <c r="FUD50" s="715"/>
      <c r="FUE50" s="715"/>
      <c r="FUF50" s="715"/>
      <c r="FUG50" s="715"/>
      <c r="FUH50" s="715"/>
      <c r="FUI50" s="715"/>
      <c r="FUJ50" s="715"/>
      <c r="FUK50" s="715"/>
      <c r="FUL50" s="715"/>
      <c r="FUM50" s="715"/>
      <c r="FUN50" s="715"/>
      <c r="FUO50" s="715"/>
      <c r="FUP50" s="715"/>
      <c r="FUQ50" s="715"/>
      <c r="FUR50" s="715"/>
      <c r="FUS50" s="715"/>
      <c r="FUT50" s="715"/>
      <c r="FUU50" s="715"/>
      <c r="FUV50" s="715"/>
      <c r="FUW50" s="715"/>
      <c r="FUX50" s="715"/>
      <c r="FUY50" s="715"/>
      <c r="FUZ50" s="715"/>
      <c r="FVA50" s="715"/>
      <c r="FVB50" s="715"/>
      <c r="FVC50" s="715"/>
      <c r="FVD50" s="715"/>
      <c r="FVE50" s="715"/>
      <c r="FVF50" s="715"/>
      <c r="FVG50" s="715"/>
      <c r="FVH50" s="715"/>
      <c r="FVI50" s="715"/>
      <c r="FVJ50" s="715"/>
      <c r="FVK50" s="715"/>
      <c r="FVL50" s="715"/>
      <c r="FVM50" s="715"/>
      <c r="FVN50" s="715"/>
      <c r="FVO50" s="715"/>
      <c r="FVP50" s="715"/>
      <c r="FVQ50" s="715"/>
      <c r="FVR50" s="715"/>
      <c r="FVS50" s="715"/>
      <c r="FVT50" s="715"/>
      <c r="FVU50" s="715"/>
      <c r="FVV50" s="715"/>
      <c r="FVW50" s="715"/>
      <c r="FVX50" s="715"/>
      <c r="FVY50" s="715"/>
      <c r="FVZ50" s="715"/>
      <c r="FWA50" s="715"/>
      <c r="FWB50" s="715"/>
      <c r="FWC50" s="715"/>
      <c r="FWD50" s="715"/>
      <c r="FWE50" s="715"/>
      <c r="FWF50" s="715"/>
      <c r="FWG50" s="715"/>
      <c r="FWH50" s="715"/>
      <c r="FWI50" s="715"/>
      <c r="FWJ50" s="715"/>
      <c r="FWK50" s="715"/>
      <c r="FWL50" s="715"/>
      <c r="FWM50" s="715"/>
      <c r="FWN50" s="715"/>
      <c r="FWO50" s="715"/>
      <c r="FWP50" s="715"/>
      <c r="FWQ50" s="715"/>
      <c r="FWR50" s="715"/>
      <c r="FWS50" s="715"/>
      <c r="FWT50" s="715"/>
      <c r="FWU50" s="715"/>
      <c r="FWV50" s="715"/>
      <c r="FWW50" s="715"/>
      <c r="FWX50" s="715"/>
      <c r="FWY50" s="715"/>
      <c r="FWZ50" s="715"/>
      <c r="FXA50" s="715"/>
      <c r="FXB50" s="715"/>
      <c r="FXC50" s="715"/>
      <c r="FXD50" s="715"/>
      <c r="FXE50" s="715"/>
      <c r="FXF50" s="715"/>
      <c r="FXG50" s="715"/>
      <c r="FXH50" s="715"/>
      <c r="FXI50" s="715"/>
      <c r="FXJ50" s="715"/>
      <c r="FXK50" s="715"/>
      <c r="FXL50" s="715"/>
      <c r="FXM50" s="715"/>
      <c r="FXN50" s="715"/>
      <c r="FXO50" s="715"/>
      <c r="FXP50" s="715"/>
      <c r="FXQ50" s="715"/>
      <c r="FXR50" s="715"/>
      <c r="FXS50" s="715"/>
      <c r="FXT50" s="715"/>
      <c r="FXU50" s="715"/>
      <c r="FXV50" s="715"/>
      <c r="FXW50" s="715"/>
      <c r="FXX50" s="715"/>
      <c r="FXY50" s="715"/>
      <c r="FXZ50" s="715"/>
      <c r="FYA50" s="715"/>
      <c r="FYB50" s="715"/>
      <c r="FYC50" s="715"/>
      <c r="FYD50" s="715"/>
      <c r="FYE50" s="715"/>
      <c r="FYF50" s="715"/>
      <c r="FYG50" s="715"/>
      <c r="FYH50" s="715"/>
      <c r="FYI50" s="715"/>
      <c r="FYJ50" s="715"/>
      <c r="FYK50" s="715"/>
      <c r="FYL50" s="715"/>
      <c r="FYM50" s="715"/>
      <c r="FYN50" s="715"/>
      <c r="FYO50" s="715"/>
      <c r="FYP50" s="715"/>
      <c r="FYQ50" s="715"/>
      <c r="FYR50" s="715"/>
      <c r="FYS50" s="715"/>
      <c r="FYT50" s="715"/>
      <c r="FYU50" s="715"/>
      <c r="FYV50" s="715"/>
      <c r="FYW50" s="715"/>
      <c r="FYX50" s="715"/>
      <c r="FYY50" s="715"/>
      <c r="FYZ50" s="715"/>
      <c r="FZA50" s="715"/>
      <c r="FZB50" s="715"/>
      <c r="FZC50" s="715"/>
      <c r="FZD50" s="715"/>
      <c r="FZE50" s="715"/>
      <c r="FZF50" s="715"/>
      <c r="FZG50" s="715"/>
      <c r="FZH50" s="715"/>
      <c r="FZI50" s="715"/>
      <c r="FZJ50" s="715"/>
      <c r="FZK50" s="715"/>
      <c r="FZL50" s="715"/>
      <c r="FZM50" s="715"/>
      <c r="FZN50" s="715"/>
      <c r="FZO50" s="715"/>
      <c r="FZP50" s="715"/>
      <c r="FZQ50" s="715"/>
      <c r="FZR50" s="715"/>
      <c r="FZS50" s="715"/>
      <c r="FZT50" s="715"/>
      <c r="FZU50" s="715"/>
      <c r="FZV50" s="715"/>
      <c r="FZW50" s="715"/>
      <c r="FZX50" s="715"/>
      <c r="FZY50" s="715"/>
      <c r="FZZ50" s="715"/>
      <c r="GAA50" s="715"/>
      <c r="GAB50" s="715"/>
      <c r="GAC50" s="715"/>
      <c r="GAD50" s="715"/>
      <c r="GAE50" s="715"/>
      <c r="GAF50" s="715"/>
      <c r="GAG50" s="715"/>
      <c r="GAH50" s="715"/>
      <c r="GAI50" s="715"/>
      <c r="GAJ50" s="715"/>
      <c r="GAK50" s="715"/>
      <c r="GAL50" s="715"/>
      <c r="GAM50" s="715"/>
      <c r="GAN50" s="715"/>
      <c r="GAO50" s="715"/>
      <c r="GAP50" s="715"/>
      <c r="GAQ50" s="715"/>
      <c r="GAR50" s="715"/>
      <c r="GAS50" s="715"/>
      <c r="GAT50" s="715"/>
      <c r="GAU50" s="715"/>
      <c r="GAV50" s="715"/>
      <c r="GAW50" s="715"/>
      <c r="GAX50" s="715"/>
      <c r="GAY50" s="715"/>
      <c r="GAZ50" s="715"/>
      <c r="GBA50" s="715"/>
      <c r="GBB50" s="715"/>
      <c r="GBC50" s="715"/>
      <c r="GBD50" s="715"/>
      <c r="GBE50" s="715"/>
      <c r="GBF50" s="715"/>
      <c r="GBG50" s="715"/>
      <c r="GBH50" s="715"/>
      <c r="GBI50" s="715"/>
      <c r="GBJ50" s="715"/>
      <c r="GBK50" s="715"/>
      <c r="GBL50" s="715"/>
      <c r="GBM50" s="715"/>
      <c r="GBN50" s="715"/>
      <c r="GBO50" s="715"/>
      <c r="GBP50" s="715"/>
      <c r="GBQ50" s="715"/>
      <c r="GBR50" s="715"/>
      <c r="GBS50" s="715"/>
      <c r="GBT50" s="715"/>
      <c r="GBU50" s="715"/>
      <c r="GBV50" s="715"/>
      <c r="GBW50" s="715"/>
      <c r="GBX50" s="715"/>
      <c r="GBY50" s="715"/>
      <c r="GBZ50" s="715"/>
      <c r="GCA50" s="715"/>
      <c r="GCB50" s="715"/>
      <c r="GCC50" s="715"/>
      <c r="GCD50" s="715"/>
      <c r="GCE50" s="715"/>
      <c r="GCF50" s="715"/>
      <c r="GCG50" s="715"/>
      <c r="GCH50" s="715"/>
      <c r="GCI50" s="715"/>
      <c r="GCJ50" s="715"/>
      <c r="GCK50" s="715"/>
      <c r="GCL50" s="715"/>
      <c r="GCM50" s="715"/>
      <c r="GCN50" s="715"/>
      <c r="GCO50" s="715"/>
      <c r="GCP50" s="715"/>
      <c r="GCQ50" s="715"/>
      <c r="GCR50" s="715"/>
      <c r="GCS50" s="715"/>
      <c r="GCT50" s="715"/>
      <c r="GCU50" s="715"/>
      <c r="GCV50" s="715"/>
      <c r="GCW50" s="715"/>
      <c r="GCX50" s="715"/>
      <c r="GCY50" s="715"/>
      <c r="GCZ50" s="715"/>
      <c r="GDA50" s="715"/>
      <c r="GDB50" s="715"/>
      <c r="GDC50" s="715"/>
      <c r="GDD50" s="715"/>
      <c r="GDE50" s="715"/>
      <c r="GDF50" s="715"/>
      <c r="GDG50" s="715"/>
      <c r="GDH50" s="715"/>
      <c r="GDI50" s="715"/>
      <c r="GDJ50" s="715"/>
      <c r="GDK50" s="715"/>
      <c r="GDL50" s="715"/>
      <c r="GDM50" s="715"/>
      <c r="GDN50" s="715"/>
      <c r="GDO50" s="715"/>
      <c r="GDP50" s="715"/>
      <c r="GDQ50" s="715"/>
      <c r="GDR50" s="715"/>
      <c r="GDS50" s="715"/>
      <c r="GDT50" s="715"/>
      <c r="GDU50" s="715"/>
      <c r="GDV50" s="715"/>
      <c r="GDW50" s="715"/>
      <c r="GDX50" s="715"/>
      <c r="GDY50" s="715"/>
      <c r="GDZ50" s="715"/>
      <c r="GEA50" s="715"/>
      <c r="GEB50" s="715"/>
      <c r="GEC50" s="715"/>
      <c r="GED50" s="715"/>
      <c r="GEE50" s="715"/>
      <c r="GEF50" s="715"/>
      <c r="GEG50" s="715"/>
      <c r="GEH50" s="715"/>
      <c r="GEI50" s="715"/>
      <c r="GEJ50" s="715"/>
      <c r="GEK50" s="715"/>
      <c r="GEL50" s="715"/>
      <c r="GEM50" s="715"/>
      <c r="GEN50" s="715"/>
      <c r="GEO50" s="715"/>
      <c r="GEP50" s="715"/>
      <c r="GEQ50" s="715"/>
      <c r="GER50" s="715"/>
      <c r="GES50" s="715"/>
      <c r="GET50" s="715"/>
      <c r="GEU50" s="715"/>
      <c r="GEV50" s="715"/>
      <c r="GEW50" s="715"/>
      <c r="GEX50" s="715"/>
      <c r="GEY50" s="715"/>
      <c r="GEZ50" s="715"/>
      <c r="GFA50" s="715"/>
      <c r="GFB50" s="715"/>
      <c r="GFC50" s="715"/>
      <c r="GFD50" s="715"/>
      <c r="GFE50" s="715"/>
      <c r="GFF50" s="715"/>
      <c r="GFG50" s="715"/>
      <c r="GFH50" s="715"/>
      <c r="GFI50" s="715"/>
      <c r="GFJ50" s="715"/>
      <c r="GFK50" s="715"/>
      <c r="GFL50" s="715"/>
      <c r="GFM50" s="715"/>
      <c r="GFN50" s="715"/>
      <c r="GFO50" s="715"/>
      <c r="GFP50" s="715"/>
      <c r="GFQ50" s="715"/>
      <c r="GFR50" s="715"/>
      <c r="GFS50" s="715"/>
      <c r="GFT50" s="715"/>
      <c r="GFU50" s="715"/>
      <c r="GFV50" s="715"/>
      <c r="GFW50" s="715"/>
      <c r="GFX50" s="715"/>
      <c r="GFY50" s="715"/>
      <c r="GFZ50" s="715"/>
      <c r="GGA50" s="715"/>
      <c r="GGB50" s="715"/>
      <c r="GGC50" s="715"/>
      <c r="GGD50" s="715"/>
      <c r="GGE50" s="715"/>
      <c r="GGF50" s="715"/>
      <c r="GGG50" s="715"/>
      <c r="GGH50" s="715"/>
      <c r="GGI50" s="715"/>
      <c r="GGJ50" s="715"/>
      <c r="GGK50" s="715"/>
      <c r="GGL50" s="715"/>
      <c r="GGM50" s="715"/>
      <c r="GGN50" s="715"/>
      <c r="GGO50" s="715"/>
      <c r="GGP50" s="715"/>
      <c r="GGQ50" s="715"/>
      <c r="GGR50" s="715"/>
      <c r="GGS50" s="715"/>
      <c r="GGT50" s="715"/>
      <c r="GGU50" s="715"/>
      <c r="GGV50" s="715"/>
      <c r="GGW50" s="715"/>
      <c r="GGX50" s="715"/>
      <c r="GGY50" s="715"/>
      <c r="GGZ50" s="715"/>
      <c r="GHA50" s="715"/>
      <c r="GHB50" s="715"/>
      <c r="GHC50" s="715"/>
      <c r="GHD50" s="715"/>
      <c r="GHE50" s="715"/>
      <c r="GHF50" s="715"/>
      <c r="GHG50" s="715"/>
      <c r="GHH50" s="715"/>
      <c r="GHI50" s="715"/>
      <c r="GHJ50" s="715"/>
      <c r="GHK50" s="715"/>
      <c r="GHL50" s="715"/>
      <c r="GHM50" s="715"/>
      <c r="GHN50" s="715"/>
      <c r="GHO50" s="715"/>
      <c r="GHP50" s="715"/>
      <c r="GHQ50" s="715"/>
      <c r="GHR50" s="715"/>
      <c r="GHS50" s="715"/>
      <c r="GHT50" s="715"/>
      <c r="GHU50" s="715"/>
      <c r="GHV50" s="715"/>
      <c r="GHW50" s="715"/>
      <c r="GHX50" s="715"/>
      <c r="GHY50" s="715"/>
      <c r="GHZ50" s="715"/>
      <c r="GIA50" s="715"/>
      <c r="GIB50" s="715"/>
      <c r="GIC50" s="715"/>
      <c r="GID50" s="715"/>
      <c r="GIE50" s="715"/>
      <c r="GIF50" s="715"/>
      <c r="GIG50" s="715"/>
      <c r="GIH50" s="715"/>
      <c r="GII50" s="715"/>
      <c r="GIJ50" s="715"/>
      <c r="GIK50" s="715"/>
      <c r="GIL50" s="715"/>
      <c r="GIM50" s="715"/>
      <c r="GIN50" s="715"/>
      <c r="GIO50" s="715"/>
      <c r="GIP50" s="715"/>
      <c r="GIQ50" s="715"/>
      <c r="GIR50" s="715"/>
      <c r="GIS50" s="715"/>
      <c r="GIT50" s="715"/>
      <c r="GIU50" s="715"/>
      <c r="GIV50" s="715"/>
      <c r="GIW50" s="715"/>
      <c r="GIX50" s="715"/>
      <c r="GIY50" s="715"/>
      <c r="GIZ50" s="715"/>
      <c r="GJA50" s="715"/>
      <c r="GJB50" s="715"/>
      <c r="GJC50" s="715"/>
      <c r="GJD50" s="715"/>
      <c r="GJE50" s="715"/>
      <c r="GJF50" s="715"/>
      <c r="GJG50" s="715"/>
      <c r="GJH50" s="715"/>
      <c r="GJI50" s="715"/>
      <c r="GJJ50" s="715"/>
      <c r="GJK50" s="715"/>
      <c r="GJL50" s="715"/>
      <c r="GJM50" s="715"/>
      <c r="GJN50" s="715"/>
      <c r="GJO50" s="715"/>
      <c r="GJP50" s="715"/>
      <c r="GJQ50" s="715"/>
      <c r="GJR50" s="715"/>
      <c r="GJS50" s="715"/>
      <c r="GJT50" s="715"/>
      <c r="GJU50" s="715"/>
      <c r="GJV50" s="715"/>
      <c r="GJW50" s="715"/>
      <c r="GJX50" s="715"/>
      <c r="GJY50" s="715"/>
      <c r="GJZ50" s="715"/>
      <c r="GKA50" s="715"/>
      <c r="GKB50" s="715"/>
      <c r="GKC50" s="715"/>
      <c r="GKD50" s="715"/>
      <c r="GKE50" s="715"/>
      <c r="GKF50" s="715"/>
      <c r="GKG50" s="715"/>
      <c r="GKH50" s="715"/>
      <c r="GKI50" s="715"/>
      <c r="GKJ50" s="715"/>
      <c r="GKK50" s="715"/>
      <c r="GKL50" s="715"/>
      <c r="GKM50" s="715"/>
      <c r="GKN50" s="715"/>
      <c r="GKO50" s="715"/>
      <c r="GKP50" s="715"/>
      <c r="GKQ50" s="715"/>
      <c r="GKR50" s="715"/>
      <c r="GKS50" s="715"/>
      <c r="GKT50" s="715"/>
      <c r="GKU50" s="715"/>
      <c r="GKV50" s="715"/>
      <c r="GKW50" s="715"/>
      <c r="GKX50" s="715"/>
      <c r="GKY50" s="715"/>
      <c r="GKZ50" s="715"/>
      <c r="GLA50" s="715"/>
      <c r="GLB50" s="715"/>
      <c r="GLC50" s="715"/>
      <c r="GLD50" s="715"/>
      <c r="GLE50" s="715"/>
      <c r="GLF50" s="715"/>
      <c r="GLG50" s="715"/>
      <c r="GLH50" s="715"/>
      <c r="GLI50" s="715"/>
      <c r="GLJ50" s="715"/>
      <c r="GLK50" s="715"/>
      <c r="GLL50" s="715"/>
      <c r="GLM50" s="715"/>
      <c r="GLN50" s="715"/>
      <c r="GLO50" s="715"/>
      <c r="GLP50" s="715"/>
      <c r="GLQ50" s="715"/>
      <c r="GLR50" s="715"/>
      <c r="GLS50" s="715"/>
      <c r="GLT50" s="715"/>
      <c r="GLU50" s="715"/>
      <c r="GLV50" s="715"/>
      <c r="GLW50" s="715"/>
      <c r="GLX50" s="715"/>
      <c r="GLY50" s="715"/>
      <c r="GLZ50" s="715"/>
      <c r="GMA50" s="715"/>
      <c r="GMB50" s="715"/>
      <c r="GMC50" s="715"/>
      <c r="GMD50" s="715"/>
      <c r="GME50" s="715"/>
      <c r="GMF50" s="715"/>
      <c r="GMG50" s="715"/>
      <c r="GMH50" s="715"/>
      <c r="GMI50" s="715"/>
      <c r="GMJ50" s="715"/>
      <c r="GMK50" s="715"/>
      <c r="GML50" s="715"/>
      <c r="GMM50" s="715"/>
      <c r="GMN50" s="715"/>
      <c r="GMO50" s="715"/>
      <c r="GMP50" s="715"/>
      <c r="GMQ50" s="715"/>
      <c r="GMR50" s="715"/>
      <c r="GMS50" s="715"/>
      <c r="GMT50" s="715"/>
      <c r="GMU50" s="715"/>
      <c r="GMV50" s="715"/>
      <c r="GMW50" s="715"/>
      <c r="GMX50" s="715"/>
      <c r="GMY50" s="715"/>
      <c r="GMZ50" s="715"/>
      <c r="GNA50" s="715"/>
      <c r="GNB50" s="715"/>
      <c r="GNC50" s="715"/>
      <c r="GND50" s="715"/>
      <c r="GNE50" s="715"/>
      <c r="GNF50" s="715"/>
      <c r="GNG50" s="715"/>
      <c r="GNH50" s="715"/>
      <c r="GNI50" s="715"/>
      <c r="GNJ50" s="715"/>
      <c r="GNK50" s="715"/>
      <c r="GNL50" s="715"/>
      <c r="GNM50" s="715"/>
      <c r="GNN50" s="715"/>
      <c r="GNO50" s="715"/>
      <c r="GNP50" s="715"/>
      <c r="GNQ50" s="715"/>
      <c r="GNR50" s="715"/>
      <c r="GNS50" s="715"/>
      <c r="GNT50" s="715"/>
      <c r="GNU50" s="715"/>
      <c r="GNV50" s="715"/>
      <c r="GNW50" s="715"/>
      <c r="GNX50" s="715"/>
      <c r="GNY50" s="715"/>
      <c r="GNZ50" s="715"/>
      <c r="GOA50" s="715"/>
      <c r="GOB50" s="715"/>
      <c r="GOC50" s="715"/>
      <c r="GOD50" s="715"/>
      <c r="GOE50" s="715"/>
      <c r="GOF50" s="715"/>
      <c r="GOG50" s="715"/>
      <c r="GOH50" s="715"/>
      <c r="GOI50" s="715"/>
      <c r="GOJ50" s="715"/>
      <c r="GOK50" s="715"/>
      <c r="GOL50" s="715"/>
      <c r="GOM50" s="715"/>
      <c r="GON50" s="715"/>
      <c r="GOO50" s="715"/>
      <c r="GOP50" s="715"/>
      <c r="GOQ50" s="715"/>
      <c r="GOR50" s="715"/>
      <c r="GOS50" s="715"/>
      <c r="GOT50" s="715"/>
      <c r="GOU50" s="715"/>
      <c r="GOV50" s="715"/>
      <c r="GOW50" s="715"/>
      <c r="GOX50" s="715"/>
      <c r="GOY50" s="715"/>
      <c r="GOZ50" s="715"/>
      <c r="GPA50" s="715"/>
      <c r="GPB50" s="715"/>
      <c r="GPC50" s="715"/>
      <c r="GPD50" s="715"/>
      <c r="GPE50" s="715"/>
      <c r="GPF50" s="715"/>
      <c r="GPG50" s="715"/>
      <c r="GPH50" s="715"/>
      <c r="GPI50" s="715"/>
      <c r="GPJ50" s="715"/>
      <c r="GPK50" s="715"/>
      <c r="GPL50" s="715"/>
      <c r="GPM50" s="715"/>
      <c r="GPN50" s="715"/>
      <c r="GPO50" s="715"/>
      <c r="GPP50" s="715"/>
      <c r="GPQ50" s="715"/>
      <c r="GPR50" s="715"/>
      <c r="GPS50" s="715"/>
      <c r="GPT50" s="715"/>
      <c r="GPU50" s="715"/>
      <c r="GPV50" s="715"/>
      <c r="GPW50" s="715"/>
      <c r="GPX50" s="715"/>
      <c r="GPY50" s="715"/>
      <c r="GPZ50" s="715"/>
      <c r="GQA50" s="715"/>
      <c r="GQB50" s="715"/>
      <c r="GQC50" s="715"/>
      <c r="GQD50" s="715"/>
      <c r="GQE50" s="715"/>
      <c r="GQF50" s="715"/>
      <c r="GQG50" s="715"/>
      <c r="GQH50" s="715"/>
      <c r="GQI50" s="715"/>
      <c r="GQJ50" s="715"/>
      <c r="GQK50" s="715"/>
      <c r="GQL50" s="715"/>
      <c r="GQM50" s="715"/>
      <c r="GQN50" s="715"/>
      <c r="GQO50" s="715"/>
      <c r="GQP50" s="715"/>
      <c r="GQQ50" s="715"/>
      <c r="GQR50" s="715"/>
      <c r="GQS50" s="715"/>
      <c r="GQT50" s="715"/>
      <c r="GQU50" s="715"/>
      <c r="GQV50" s="715"/>
      <c r="GQW50" s="715"/>
      <c r="GQX50" s="715"/>
      <c r="GQY50" s="715"/>
      <c r="GQZ50" s="715"/>
      <c r="GRA50" s="715"/>
      <c r="GRB50" s="715"/>
      <c r="GRC50" s="715"/>
      <c r="GRD50" s="715"/>
      <c r="GRE50" s="715"/>
      <c r="GRF50" s="715"/>
      <c r="GRG50" s="715"/>
      <c r="GRH50" s="715"/>
      <c r="GRI50" s="715"/>
      <c r="GRJ50" s="715"/>
      <c r="GRK50" s="715"/>
      <c r="GRL50" s="715"/>
      <c r="GRM50" s="715"/>
      <c r="GRN50" s="715"/>
      <c r="GRO50" s="715"/>
      <c r="GRP50" s="715"/>
      <c r="GRQ50" s="715"/>
      <c r="GRR50" s="715"/>
      <c r="GRS50" s="715"/>
      <c r="GRT50" s="715"/>
      <c r="GRU50" s="715"/>
      <c r="GRV50" s="715"/>
      <c r="GRW50" s="715"/>
      <c r="GRX50" s="715"/>
      <c r="GRY50" s="715"/>
      <c r="GRZ50" s="715"/>
      <c r="GSA50" s="715"/>
      <c r="GSB50" s="715"/>
      <c r="GSC50" s="715"/>
      <c r="GSD50" s="715"/>
      <c r="GSE50" s="715"/>
      <c r="GSF50" s="715"/>
      <c r="GSG50" s="715"/>
      <c r="GSH50" s="715"/>
      <c r="GSI50" s="715"/>
      <c r="GSJ50" s="715"/>
      <c r="GSK50" s="715"/>
      <c r="GSL50" s="715"/>
      <c r="GSM50" s="715"/>
      <c r="GSN50" s="715"/>
      <c r="GSO50" s="715"/>
      <c r="GSP50" s="715"/>
      <c r="GSQ50" s="715"/>
      <c r="GSR50" s="715"/>
      <c r="GSS50" s="715"/>
      <c r="GST50" s="715"/>
      <c r="GSU50" s="715"/>
      <c r="GSV50" s="715"/>
      <c r="GSW50" s="715"/>
      <c r="GSX50" s="715"/>
      <c r="GSY50" s="715"/>
      <c r="GSZ50" s="715"/>
      <c r="GTA50" s="715"/>
      <c r="GTB50" s="715"/>
      <c r="GTC50" s="715"/>
      <c r="GTD50" s="715"/>
      <c r="GTE50" s="715"/>
      <c r="GTF50" s="715"/>
      <c r="GTG50" s="715"/>
      <c r="GTH50" s="715"/>
      <c r="GTI50" s="715"/>
      <c r="GTJ50" s="715"/>
      <c r="GTK50" s="715"/>
      <c r="GTL50" s="715"/>
      <c r="GTM50" s="715"/>
      <c r="GTN50" s="715"/>
      <c r="GTO50" s="715"/>
      <c r="GTP50" s="715"/>
      <c r="GTQ50" s="715"/>
      <c r="GTR50" s="715"/>
      <c r="GTS50" s="715"/>
      <c r="GTT50" s="715"/>
      <c r="GTU50" s="715"/>
      <c r="GTV50" s="715"/>
      <c r="GTW50" s="715"/>
      <c r="GTX50" s="715"/>
      <c r="GTY50" s="715"/>
      <c r="GTZ50" s="715"/>
      <c r="GUA50" s="715"/>
      <c r="GUB50" s="715"/>
      <c r="GUC50" s="715"/>
      <c r="GUD50" s="715"/>
      <c r="GUE50" s="715"/>
      <c r="GUF50" s="715"/>
      <c r="GUG50" s="715"/>
      <c r="GUH50" s="715"/>
      <c r="GUI50" s="715"/>
      <c r="GUJ50" s="715"/>
      <c r="GUK50" s="715"/>
      <c r="GUL50" s="715"/>
      <c r="GUM50" s="715"/>
      <c r="GUN50" s="715"/>
      <c r="GUO50" s="715"/>
      <c r="GUP50" s="715"/>
      <c r="GUQ50" s="715"/>
      <c r="GUR50" s="715"/>
      <c r="GUS50" s="715"/>
      <c r="GUT50" s="715"/>
      <c r="GUU50" s="715"/>
      <c r="GUV50" s="715"/>
      <c r="GUW50" s="715"/>
      <c r="GUX50" s="715"/>
      <c r="GUY50" s="715"/>
      <c r="GUZ50" s="715"/>
      <c r="GVA50" s="715"/>
      <c r="GVB50" s="715"/>
      <c r="GVC50" s="715"/>
      <c r="GVD50" s="715"/>
      <c r="GVE50" s="715"/>
      <c r="GVF50" s="715"/>
      <c r="GVG50" s="715"/>
      <c r="GVH50" s="715"/>
      <c r="GVI50" s="715"/>
      <c r="GVJ50" s="715"/>
      <c r="GVK50" s="715"/>
      <c r="GVL50" s="715"/>
      <c r="GVM50" s="715"/>
      <c r="GVN50" s="715"/>
      <c r="GVO50" s="715"/>
      <c r="GVP50" s="715"/>
      <c r="GVQ50" s="715"/>
      <c r="GVR50" s="715"/>
      <c r="GVS50" s="715"/>
      <c r="GVT50" s="715"/>
      <c r="GVU50" s="715"/>
      <c r="GVV50" s="715"/>
      <c r="GVW50" s="715"/>
      <c r="GVX50" s="715"/>
      <c r="GVY50" s="715"/>
      <c r="GVZ50" s="715"/>
      <c r="GWA50" s="715"/>
      <c r="GWB50" s="715"/>
      <c r="GWC50" s="715"/>
      <c r="GWD50" s="715"/>
      <c r="GWE50" s="715"/>
      <c r="GWF50" s="715"/>
      <c r="GWG50" s="715"/>
      <c r="GWH50" s="715"/>
      <c r="GWI50" s="715"/>
      <c r="GWJ50" s="715"/>
      <c r="GWK50" s="715"/>
      <c r="GWL50" s="715"/>
      <c r="GWM50" s="715"/>
      <c r="GWN50" s="715"/>
      <c r="GWO50" s="715"/>
      <c r="GWP50" s="715"/>
      <c r="GWQ50" s="715"/>
      <c r="GWR50" s="715"/>
      <c r="GWS50" s="715"/>
      <c r="GWT50" s="715"/>
      <c r="GWU50" s="715"/>
      <c r="GWV50" s="715"/>
      <c r="GWW50" s="715"/>
      <c r="GWX50" s="715"/>
      <c r="GWY50" s="715"/>
      <c r="GWZ50" s="715"/>
      <c r="GXA50" s="715"/>
      <c r="GXB50" s="715"/>
      <c r="GXC50" s="715"/>
      <c r="GXD50" s="715"/>
      <c r="GXE50" s="715"/>
      <c r="GXF50" s="715"/>
      <c r="GXG50" s="715"/>
      <c r="GXH50" s="715"/>
      <c r="GXI50" s="715"/>
      <c r="GXJ50" s="715"/>
      <c r="GXK50" s="715"/>
      <c r="GXL50" s="715"/>
      <c r="GXM50" s="715"/>
      <c r="GXN50" s="715"/>
      <c r="GXO50" s="715"/>
      <c r="GXP50" s="715"/>
      <c r="GXQ50" s="715"/>
      <c r="GXR50" s="715"/>
      <c r="GXS50" s="715"/>
      <c r="GXT50" s="715"/>
      <c r="GXU50" s="715"/>
      <c r="GXV50" s="715"/>
      <c r="GXW50" s="715"/>
      <c r="GXX50" s="715"/>
      <c r="GXY50" s="715"/>
      <c r="GXZ50" s="715"/>
      <c r="GYA50" s="715"/>
      <c r="GYB50" s="715"/>
      <c r="GYC50" s="715"/>
      <c r="GYD50" s="715"/>
      <c r="GYE50" s="715"/>
      <c r="GYF50" s="715"/>
      <c r="GYG50" s="715"/>
      <c r="GYH50" s="715"/>
      <c r="GYI50" s="715"/>
      <c r="GYJ50" s="715"/>
      <c r="GYK50" s="715"/>
      <c r="GYL50" s="715"/>
      <c r="GYM50" s="715"/>
      <c r="GYN50" s="715"/>
      <c r="GYO50" s="715"/>
      <c r="GYP50" s="715"/>
      <c r="GYQ50" s="715"/>
      <c r="GYR50" s="715"/>
      <c r="GYS50" s="715"/>
      <c r="GYT50" s="715"/>
      <c r="GYU50" s="715"/>
      <c r="GYV50" s="715"/>
      <c r="GYW50" s="715"/>
      <c r="GYX50" s="715"/>
      <c r="GYY50" s="715"/>
      <c r="GYZ50" s="715"/>
      <c r="GZA50" s="715"/>
      <c r="GZB50" s="715"/>
      <c r="GZC50" s="715"/>
      <c r="GZD50" s="715"/>
      <c r="GZE50" s="715"/>
      <c r="GZF50" s="715"/>
      <c r="GZG50" s="715"/>
      <c r="GZH50" s="715"/>
      <c r="GZI50" s="715"/>
      <c r="GZJ50" s="715"/>
      <c r="GZK50" s="715"/>
      <c r="GZL50" s="715"/>
      <c r="GZM50" s="715"/>
      <c r="GZN50" s="715"/>
      <c r="GZO50" s="715"/>
      <c r="GZP50" s="715"/>
      <c r="GZQ50" s="715"/>
      <c r="GZR50" s="715"/>
      <c r="GZS50" s="715"/>
      <c r="GZT50" s="715"/>
      <c r="GZU50" s="715"/>
      <c r="GZV50" s="715"/>
      <c r="GZW50" s="715"/>
      <c r="GZX50" s="715"/>
      <c r="GZY50" s="715"/>
      <c r="GZZ50" s="715"/>
      <c r="HAA50" s="715"/>
      <c r="HAB50" s="715"/>
      <c r="HAC50" s="715"/>
      <c r="HAD50" s="715"/>
      <c r="HAE50" s="715"/>
      <c r="HAF50" s="715"/>
      <c r="HAG50" s="715"/>
      <c r="HAH50" s="715"/>
      <c r="HAI50" s="715"/>
      <c r="HAJ50" s="715"/>
      <c r="HAK50" s="715"/>
      <c r="HAL50" s="715"/>
      <c r="HAM50" s="715"/>
      <c r="HAN50" s="715"/>
      <c r="HAO50" s="715"/>
      <c r="HAP50" s="715"/>
      <c r="HAQ50" s="715"/>
      <c r="HAR50" s="715"/>
      <c r="HAS50" s="715"/>
      <c r="HAT50" s="715"/>
      <c r="HAU50" s="715"/>
      <c r="HAV50" s="715"/>
      <c r="HAW50" s="715"/>
      <c r="HAX50" s="715"/>
      <c r="HAY50" s="715"/>
      <c r="HAZ50" s="715"/>
      <c r="HBA50" s="715"/>
      <c r="HBB50" s="715"/>
      <c r="HBC50" s="715"/>
      <c r="HBD50" s="715"/>
      <c r="HBE50" s="715"/>
      <c r="HBF50" s="715"/>
      <c r="HBG50" s="715"/>
      <c r="HBH50" s="715"/>
      <c r="HBI50" s="715"/>
      <c r="HBJ50" s="715"/>
      <c r="HBK50" s="715"/>
      <c r="HBL50" s="715"/>
      <c r="HBM50" s="715"/>
      <c r="HBN50" s="715"/>
      <c r="HBO50" s="715"/>
      <c r="HBP50" s="715"/>
      <c r="HBQ50" s="715"/>
      <c r="HBR50" s="715"/>
      <c r="HBS50" s="715"/>
      <c r="HBT50" s="715"/>
      <c r="HBU50" s="715"/>
      <c r="HBV50" s="715"/>
      <c r="HBW50" s="715"/>
      <c r="HBX50" s="715"/>
      <c r="HBY50" s="715"/>
      <c r="HBZ50" s="715"/>
      <c r="HCA50" s="715"/>
      <c r="HCB50" s="715"/>
      <c r="HCC50" s="715"/>
      <c r="HCD50" s="715"/>
      <c r="HCE50" s="715"/>
      <c r="HCF50" s="715"/>
      <c r="HCG50" s="715"/>
      <c r="HCH50" s="715"/>
      <c r="HCI50" s="715"/>
      <c r="HCJ50" s="715"/>
      <c r="HCK50" s="715"/>
      <c r="HCL50" s="715"/>
      <c r="HCM50" s="715"/>
      <c r="HCN50" s="715"/>
      <c r="HCO50" s="715"/>
      <c r="HCP50" s="715"/>
      <c r="HCQ50" s="715"/>
      <c r="HCR50" s="715"/>
      <c r="HCS50" s="715"/>
      <c r="HCT50" s="715"/>
      <c r="HCU50" s="715"/>
      <c r="HCV50" s="715"/>
      <c r="HCW50" s="715"/>
      <c r="HCX50" s="715"/>
      <c r="HCY50" s="715"/>
      <c r="HCZ50" s="715"/>
      <c r="HDA50" s="715"/>
      <c r="HDB50" s="715"/>
      <c r="HDC50" s="715"/>
      <c r="HDD50" s="715"/>
      <c r="HDE50" s="715"/>
      <c r="HDF50" s="715"/>
      <c r="HDG50" s="715"/>
      <c r="HDH50" s="715"/>
      <c r="HDI50" s="715"/>
      <c r="HDJ50" s="715"/>
      <c r="HDK50" s="715"/>
      <c r="HDL50" s="715"/>
      <c r="HDM50" s="715"/>
      <c r="HDN50" s="715"/>
      <c r="HDO50" s="715"/>
      <c r="HDP50" s="715"/>
      <c r="HDQ50" s="715"/>
      <c r="HDR50" s="715"/>
      <c r="HDS50" s="715"/>
      <c r="HDT50" s="715"/>
      <c r="HDU50" s="715"/>
      <c r="HDV50" s="715"/>
      <c r="HDW50" s="715"/>
      <c r="HDX50" s="715"/>
      <c r="HDY50" s="715"/>
      <c r="HDZ50" s="715"/>
      <c r="HEA50" s="715"/>
      <c r="HEB50" s="715"/>
      <c r="HEC50" s="715"/>
      <c r="HED50" s="715"/>
      <c r="HEE50" s="715"/>
      <c r="HEF50" s="715"/>
      <c r="HEG50" s="715"/>
      <c r="HEH50" s="715"/>
      <c r="HEI50" s="715"/>
      <c r="HEJ50" s="715"/>
      <c r="HEK50" s="715"/>
      <c r="HEL50" s="715"/>
      <c r="HEM50" s="715"/>
      <c r="HEN50" s="715"/>
      <c r="HEO50" s="715"/>
      <c r="HEP50" s="715"/>
      <c r="HEQ50" s="715"/>
      <c r="HER50" s="715"/>
      <c r="HES50" s="715"/>
      <c r="HET50" s="715"/>
      <c r="HEU50" s="715"/>
      <c r="HEV50" s="715"/>
      <c r="HEW50" s="715"/>
      <c r="HEX50" s="715"/>
      <c r="HEY50" s="715"/>
      <c r="HEZ50" s="715"/>
      <c r="HFA50" s="715"/>
      <c r="HFB50" s="715"/>
      <c r="HFC50" s="715"/>
      <c r="HFD50" s="715"/>
      <c r="HFE50" s="715"/>
      <c r="HFF50" s="715"/>
      <c r="HFG50" s="715"/>
      <c r="HFH50" s="715"/>
      <c r="HFI50" s="715"/>
      <c r="HFJ50" s="715"/>
      <c r="HFK50" s="715"/>
      <c r="HFL50" s="715"/>
      <c r="HFM50" s="715"/>
      <c r="HFN50" s="715"/>
      <c r="HFO50" s="715"/>
      <c r="HFP50" s="715"/>
      <c r="HFQ50" s="715"/>
      <c r="HFR50" s="715"/>
      <c r="HFS50" s="715"/>
      <c r="HFT50" s="715"/>
      <c r="HFU50" s="715"/>
      <c r="HFV50" s="715"/>
      <c r="HFW50" s="715"/>
      <c r="HFX50" s="715"/>
      <c r="HFY50" s="715"/>
      <c r="HFZ50" s="715"/>
      <c r="HGA50" s="715"/>
      <c r="HGB50" s="715"/>
      <c r="HGC50" s="715"/>
      <c r="HGD50" s="715"/>
      <c r="HGE50" s="715"/>
      <c r="HGF50" s="715"/>
      <c r="HGG50" s="715"/>
      <c r="HGH50" s="715"/>
      <c r="HGI50" s="715"/>
      <c r="HGJ50" s="715"/>
      <c r="HGK50" s="715"/>
      <c r="HGL50" s="715"/>
      <c r="HGM50" s="715"/>
      <c r="HGN50" s="715"/>
      <c r="HGO50" s="715"/>
      <c r="HGP50" s="715"/>
      <c r="HGQ50" s="715"/>
      <c r="HGR50" s="715"/>
      <c r="HGS50" s="715"/>
      <c r="HGT50" s="715"/>
      <c r="HGU50" s="715"/>
      <c r="HGV50" s="715"/>
      <c r="HGW50" s="715"/>
      <c r="HGX50" s="715"/>
      <c r="HGY50" s="715"/>
      <c r="HGZ50" s="715"/>
      <c r="HHA50" s="715"/>
      <c r="HHB50" s="715"/>
      <c r="HHC50" s="715"/>
      <c r="HHD50" s="715"/>
      <c r="HHE50" s="715"/>
      <c r="HHF50" s="715"/>
      <c r="HHG50" s="715"/>
      <c r="HHH50" s="715"/>
      <c r="HHI50" s="715"/>
      <c r="HHJ50" s="715"/>
      <c r="HHK50" s="715"/>
      <c r="HHL50" s="715"/>
      <c r="HHM50" s="715"/>
      <c r="HHN50" s="715"/>
      <c r="HHO50" s="715"/>
      <c r="HHP50" s="715"/>
      <c r="HHQ50" s="715"/>
      <c r="HHR50" s="715"/>
      <c r="HHS50" s="715"/>
      <c r="HHT50" s="715"/>
      <c r="HHU50" s="715"/>
      <c r="HHV50" s="715"/>
      <c r="HHW50" s="715"/>
      <c r="HHX50" s="715"/>
      <c r="HHY50" s="715"/>
      <c r="HHZ50" s="715"/>
      <c r="HIA50" s="715"/>
      <c r="HIB50" s="715"/>
      <c r="HIC50" s="715"/>
      <c r="HID50" s="715"/>
      <c r="HIE50" s="715"/>
      <c r="HIF50" s="715"/>
      <c r="HIG50" s="715"/>
      <c r="HIH50" s="715"/>
      <c r="HII50" s="715"/>
      <c r="HIJ50" s="715"/>
      <c r="HIK50" s="715"/>
      <c r="HIL50" s="715"/>
      <c r="HIM50" s="715"/>
      <c r="HIN50" s="715"/>
      <c r="HIO50" s="715"/>
      <c r="HIP50" s="715"/>
      <c r="HIQ50" s="715"/>
      <c r="HIR50" s="715"/>
      <c r="HIS50" s="715"/>
      <c r="HIT50" s="715"/>
      <c r="HIU50" s="715"/>
      <c r="HIV50" s="715"/>
      <c r="HIW50" s="715"/>
      <c r="HIX50" s="715"/>
      <c r="HIY50" s="715"/>
      <c r="HIZ50" s="715"/>
      <c r="HJA50" s="715"/>
      <c r="HJB50" s="715"/>
      <c r="HJC50" s="715"/>
      <c r="HJD50" s="715"/>
      <c r="HJE50" s="715"/>
      <c r="HJF50" s="715"/>
      <c r="HJG50" s="715"/>
      <c r="HJH50" s="715"/>
      <c r="HJI50" s="715"/>
      <c r="HJJ50" s="715"/>
      <c r="HJK50" s="715"/>
      <c r="HJL50" s="715"/>
      <c r="HJM50" s="715"/>
      <c r="HJN50" s="715"/>
      <c r="HJO50" s="715"/>
      <c r="HJP50" s="715"/>
      <c r="HJQ50" s="715"/>
      <c r="HJR50" s="715"/>
      <c r="HJS50" s="715"/>
      <c r="HJT50" s="715"/>
      <c r="HJU50" s="715"/>
      <c r="HJV50" s="715"/>
      <c r="HJW50" s="715"/>
      <c r="HJX50" s="715"/>
      <c r="HJY50" s="715"/>
      <c r="HJZ50" s="715"/>
      <c r="HKA50" s="715"/>
      <c r="HKB50" s="715"/>
      <c r="HKC50" s="715"/>
      <c r="HKD50" s="715"/>
      <c r="HKE50" s="715"/>
      <c r="HKF50" s="715"/>
      <c r="HKG50" s="715"/>
      <c r="HKH50" s="715"/>
      <c r="HKI50" s="715"/>
      <c r="HKJ50" s="715"/>
      <c r="HKK50" s="715"/>
      <c r="HKL50" s="715"/>
      <c r="HKM50" s="715"/>
      <c r="HKN50" s="715"/>
      <c r="HKO50" s="715"/>
      <c r="HKP50" s="715"/>
      <c r="HKQ50" s="715"/>
      <c r="HKR50" s="715"/>
      <c r="HKS50" s="715"/>
      <c r="HKT50" s="715"/>
      <c r="HKU50" s="715"/>
      <c r="HKV50" s="715"/>
      <c r="HKW50" s="715"/>
      <c r="HKX50" s="715"/>
      <c r="HKY50" s="715"/>
      <c r="HKZ50" s="715"/>
      <c r="HLA50" s="715"/>
      <c r="HLB50" s="715"/>
      <c r="HLC50" s="715"/>
      <c r="HLD50" s="715"/>
      <c r="HLE50" s="715"/>
      <c r="HLF50" s="715"/>
      <c r="HLG50" s="715"/>
      <c r="HLH50" s="715"/>
      <c r="HLI50" s="715"/>
      <c r="HLJ50" s="715"/>
      <c r="HLK50" s="715"/>
      <c r="HLL50" s="715"/>
      <c r="HLM50" s="715"/>
      <c r="HLN50" s="715"/>
      <c r="HLO50" s="715"/>
      <c r="HLP50" s="715"/>
      <c r="HLQ50" s="715"/>
      <c r="HLR50" s="715"/>
      <c r="HLS50" s="715"/>
      <c r="HLT50" s="715"/>
      <c r="HLU50" s="715"/>
      <c r="HLV50" s="715"/>
      <c r="HLW50" s="715"/>
      <c r="HLX50" s="715"/>
      <c r="HLY50" s="715"/>
      <c r="HLZ50" s="715"/>
      <c r="HMA50" s="715"/>
      <c r="HMB50" s="715"/>
      <c r="HMC50" s="715"/>
      <c r="HMD50" s="715"/>
      <c r="HME50" s="715"/>
      <c r="HMF50" s="715"/>
      <c r="HMG50" s="715"/>
      <c r="HMH50" s="715"/>
      <c r="HMI50" s="715"/>
      <c r="HMJ50" s="715"/>
      <c r="HMK50" s="715"/>
      <c r="HML50" s="715"/>
      <c r="HMM50" s="715"/>
      <c r="HMN50" s="715"/>
      <c r="HMO50" s="715"/>
      <c r="HMP50" s="715"/>
      <c r="HMQ50" s="715"/>
      <c r="HMR50" s="715"/>
      <c r="HMS50" s="715"/>
      <c r="HMT50" s="715"/>
      <c r="HMU50" s="715"/>
      <c r="HMV50" s="715"/>
      <c r="HMW50" s="715"/>
      <c r="HMX50" s="715"/>
      <c r="HMY50" s="715"/>
      <c r="HMZ50" s="715"/>
      <c r="HNA50" s="715"/>
      <c r="HNB50" s="715"/>
      <c r="HNC50" s="715"/>
      <c r="HND50" s="715"/>
      <c r="HNE50" s="715"/>
      <c r="HNF50" s="715"/>
      <c r="HNG50" s="715"/>
      <c r="HNH50" s="715"/>
      <c r="HNI50" s="715"/>
      <c r="HNJ50" s="715"/>
      <c r="HNK50" s="715"/>
      <c r="HNL50" s="715"/>
      <c r="HNM50" s="715"/>
      <c r="HNN50" s="715"/>
      <c r="HNO50" s="715"/>
      <c r="HNP50" s="715"/>
      <c r="HNQ50" s="715"/>
      <c r="HNR50" s="715"/>
      <c r="HNS50" s="715"/>
      <c r="HNT50" s="715"/>
      <c r="HNU50" s="715"/>
      <c r="HNV50" s="715"/>
      <c r="HNW50" s="715"/>
      <c r="HNX50" s="715"/>
      <c r="HNY50" s="715"/>
      <c r="HNZ50" s="715"/>
      <c r="HOA50" s="715"/>
      <c r="HOB50" s="715"/>
      <c r="HOC50" s="715"/>
      <c r="HOD50" s="715"/>
      <c r="HOE50" s="715"/>
      <c r="HOF50" s="715"/>
      <c r="HOG50" s="715"/>
      <c r="HOH50" s="715"/>
      <c r="HOI50" s="715"/>
      <c r="HOJ50" s="715"/>
      <c r="HOK50" s="715"/>
      <c r="HOL50" s="715"/>
      <c r="HOM50" s="715"/>
      <c r="HON50" s="715"/>
      <c r="HOO50" s="715"/>
      <c r="HOP50" s="715"/>
      <c r="HOQ50" s="715"/>
      <c r="HOR50" s="715"/>
      <c r="HOS50" s="715"/>
      <c r="HOT50" s="715"/>
      <c r="HOU50" s="715"/>
      <c r="HOV50" s="715"/>
      <c r="HOW50" s="715"/>
      <c r="HOX50" s="715"/>
      <c r="HOY50" s="715"/>
      <c r="HOZ50" s="715"/>
      <c r="HPA50" s="715"/>
      <c r="HPB50" s="715"/>
      <c r="HPC50" s="715"/>
      <c r="HPD50" s="715"/>
      <c r="HPE50" s="715"/>
      <c r="HPF50" s="715"/>
      <c r="HPG50" s="715"/>
      <c r="HPH50" s="715"/>
      <c r="HPI50" s="715"/>
      <c r="HPJ50" s="715"/>
      <c r="HPK50" s="715"/>
      <c r="HPL50" s="715"/>
      <c r="HPM50" s="715"/>
      <c r="HPN50" s="715"/>
      <c r="HPO50" s="715"/>
      <c r="HPP50" s="715"/>
      <c r="HPQ50" s="715"/>
      <c r="HPR50" s="715"/>
      <c r="HPS50" s="715"/>
      <c r="HPT50" s="715"/>
      <c r="HPU50" s="715"/>
      <c r="HPV50" s="715"/>
      <c r="HPW50" s="715"/>
      <c r="HPX50" s="715"/>
      <c r="HPY50" s="715"/>
      <c r="HPZ50" s="715"/>
      <c r="HQA50" s="715"/>
      <c r="HQB50" s="715"/>
      <c r="HQC50" s="715"/>
      <c r="HQD50" s="715"/>
      <c r="HQE50" s="715"/>
      <c r="HQF50" s="715"/>
      <c r="HQG50" s="715"/>
      <c r="HQH50" s="715"/>
      <c r="HQI50" s="715"/>
      <c r="HQJ50" s="715"/>
      <c r="HQK50" s="715"/>
      <c r="HQL50" s="715"/>
      <c r="HQM50" s="715"/>
      <c r="HQN50" s="715"/>
      <c r="HQO50" s="715"/>
      <c r="HQP50" s="715"/>
      <c r="HQQ50" s="715"/>
      <c r="HQR50" s="715"/>
      <c r="HQS50" s="715"/>
      <c r="HQT50" s="715"/>
      <c r="HQU50" s="715"/>
      <c r="HQV50" s="715"/>
      <c r="HQW50" s="715"/>
      <c r="HQX50" s="715"/>
      <c r="HQY50" s="715"/>
      <c r="HQZ50" s="715"/>
      <c r="HRA50" s="715"/>
      <c r="HRB50" s="715"/>
      <c r="HRC50" s="715"/>
      <c r="HRD50" s="715"/>
      <c r="HRE50" s="715"/>
      <c r="HRF50" s="715"/>
      <c r="HRG50" s="715"/>
      <c r="HRH50" s="715"/>
      <c r="HRI50" s="715"/>
      <c r="HRJ50" s="715"/>
      <c r="HRK50" s="715"/>
      <c r="HRL50" s="715"/>
      <c r="HRM50" s="715"/>
      <c r="HRN50" s="715"/>
      <c r="HRO50" s="715"/>
      <c r="HRP50" s="715"/>
      <c r="HRQ50" s="715"/>
      <c r="HRR50" s="715"/>
      <c r="HRS50" s="715"/>
      <c r="HRT50" s="715"/>
      <c r="HRU50" s="715"/>
      <c r="HRV50" s="715"/>
      <c r="HRW50" s="715"/>
      <c r="HRX50" s="715"/>
      <c r="HRY50" s="715"/>
      <c r="HRZ50" s="715"/>
      <c r="HSA50" s="715"/>
      <c r="HSB50" s="715"/>
      <c r="HSC50" s="715"/>
      <c r="HSD50" s="715"/>
      <c r="HSE50" s="715"/>
      <c r="HSF50" s="715"/>
      <c r="HSG50" s="715"/>
      <c r="HSH50" s="715"/>
      <c r="HSI50" s="715"/>
      <c r="HSJ50" s="715"/>
      <c r="HSK50" s="715"/>
      <c r="HSL50" s="715"/>
      <c r="HSM50" s="715"/>
      <c r="HSN50" s="715"/>
      <c r="HSO50" s="715"/>
      <c r="HSP50" s="715"/>
      <c r="HSQ50" s="715"/>
      <c r="HSR50" s="715"/>
      <c r="HSS50" s="715"/>
      <c r="HST50" s="715"/>
      <c r="HSU50" s="715"/>
      <c r="HSV50" s="715"/>
      <c r="HSW50" s="715"/>
      <c r="HSX50" s="715"/>
      <c r="HSY50" s="715"/>
      <c r="HSZ50" s="715"/>
      <c r="HTA50" s="715"/>
      <c r="HTB50" s="715"/>
      <c r="HTC50" s="715"/>
      <c r="HTD50" s="715"/>
      <c r="HTE50" s="715"/>
      <c r="HTF50" s="715"/>
      <c r="HTG50" s="715"/>
      <c r="HTH50" s="715"/>
      <c r="HTI50" s="715"/>
      <c r="HTJ50" s="715"/>
      <c r="HTK50" s="715"/>
      <c r="HTL50" s="715"/>
      <c r="HTM50" s="715"/>
      <c r="HTN50" s="715"/>
      <c r="HTO50" s="715"/>
      <c r="HTP50" s="715"/>
      <c r="HTQ50" s="715"/>
      <c r="HTR50" s="715"/>
      <c r="HTS50" s="715"/>
      <c r="HTT50" s="715"/>
      <c r="HTU50" s="715"/>
      <c r="HTV50" s="715"/>
      <c r="HTW50" s="715"/>
      <c r="HTX50" s="715"/>
      <c r="HTY50" s="715"/>
      <c r="HTZ50" s="715"/>
      <c r="HUA50" s="715"/>
      <c r="HUB50" s="715"/>
      <c r="HUC50" s="715"/>
      <c r="HUD50" s="715"/>
      <c r="HUE50" s="715"/>
      <c r="HUF50" s="715"/>
      <c r="HUG50" s="715"/>
      <c r="HUH50" s="715"/>
      <c r="HUI50" s="715"/>
      <c r="HUJ50" s="715"/>
      <c r="HUK50" s="715"/>
      <c r="HUL50" s="715"/>
      <c r="HUM50" s="715"/>
      <c r="HUN50" s="715"/>
      <c r="HUO50" s="715"/>
      <c r="HUP50" s="715"/>
      <c r="HUQ50" s="715"/>
      <c r="HUR50" s="715"/>
      <c r="HUS50" s="715"/>
      <c r="HUT50" s="715"/>
      <c r="HUU50" s="715"/>
      <c r="HUV50" s="715"/>
      <c r="HUW50" s="715"/>
      <c r="HUX50" s="715"/>
      <c r="HUY50" s="715"/>
      <c r="HUZ50" s="715"/>
      <c r="HVA50" s="715"/>
      <c r="HVB50" s="715"/>
      <c r="HVC50" s="715"/>
      <c r="HVD50" s="715"/>
      <c r="HVE50" s="715"/>
      <c r="HVF50" s="715"/>
      <c r="HVG50" s="715"/>
      <c r="HVH50" s="715"/>
      <c r="HVI50" s="715"/>
      <c r="HVJ50" s="715"/>
      <c r="HVK50" s="715"/>
      <c r="HVL50" s="715"/>
      <c r="HVM50" s="715"/>
      <c r="HVN50" s="715"/>
      <c r="HVO50" s="715"/>
      <c r="HVP50" s="715"/>
      <c r="HVQ50" s="715"/>
      <c r="HVR50" s="715"/>
      <c r="HVS50" s="715"/>
      <c r="HVT50" s="715"/>
      <c r="HVU50" s="715"/>
      <c r="HVV50" s="715"/>
      <c r="HVW50" s="715"/>
      <c r="HVX50" s="715"/>
      <c r="HVY50" s="715"/>
      <c r="HVZ50" s="715"/>
      <c r="HWA50" s="715"/>
      <c r="HWB50" s="715"/>
      <c r="HWC50" s="715"/>
      <c r="HWD50" s="715"/>
      <c r="HWE50" s="715"/>
      <c r="HWF50" s="715"/>
      <c r="HWG50" s="715"/>
      <c r="HWH50" s="715"/>
      <c r="HWI50" s="715"/>
      <c r="HWJ50" s="715"/>
      <c r="HWK50" s="715"/>
      <c r="HWL50" s="715"/>
      <c r="HWM50" s="715"/>
      <c r="HWN50" s="715"/>
      <c r="HWO50" s="715"/>
      <c r="HWP50" s="715"/>
      <c r="HWQ50" s="715"/>
      <c r="HWR50" s="715"/>
      <c r="HWS50" s="715"/>
      <c r="HWT50" s="715"/>
      <c r="HWU50" s="715"/>
      <c r="HWV50" s="715"/>
      <c r="HWW50" s="715"/>
      <c r="HWX50" s="715"/>
      <c r="HWY50" s="715"/>
      <c r="HWZ50" s="715"/>
      <c r="HXA50" s="715"/>
      <c r="HXB50" s="715"/>
      <c r="HXC50" s="715"/>
      <c r="HXD50" s="715"/>
      <c r="HXE50" s="715"/>
      <c r="HXF50" s="715"/>
      <c r="HXG50" s="715"/>
      <c r="HXH50" s="715"/>
      <c r="HXI50" s="715"/>
      <c r="HXJ50" s="715"/>
      <c r="HXK50" s="715"/>
      <c r="HXL50" s="715"/>
      <c r="HXM50" s="715"/>
      <c r="HXN50" s="715"/>
      <c r="HXO50" s="715"/>
      <c r="HXP50" s="715"/>
      <c r="HXQ50" s="715"/>
      <c r="HXR50" s="715"/>
      <c r="HXS50" s="715"/>
      <c r="HXT50" s="715"/>
      <c r="HXU50" s="715"/>
      <c r="HXV50" s="715"/>
      <c r="HXW50" s="715"/>
      <c r="HXX50" s="715"/>
      <c r="HXY50" s="715"/>
      <c r="HXZ50" s="715"/>
      <c r="HYA50" s="715"/>
      <c r="HYB50" s="715"/>
      <c r="HYC50" s="715"/>
      <c r="HYD50" s="715"/>
      <c r="HYE50" s="715"/>
      <c r="HYF50" s="715"/>
      <c r="HYG50" s="715"/>
      <c r="HYH50" s="715"/>
      <c r="HYI50" s="715"/>
      <c r="HYJ50" s="715"/>
      <c r="HYK50" s="715"/>
      <c r="HYL50" s="715"/>
      <c r="HYM50" s="715"/>
      <c r="HYN50" s="715"/>
      <c r="HYO50" s="715"/>
      <c r="HYP50" s="715"/>
      <c r="HYQ50" s="715"/>
      <c r="HYR50" s="715"/>
      <c r="HYS50" s="715"/>
      <c r="HYT50" s="715"/>
      <c r="HYU50" s="715"/>
      <c r="HYV50" s="715"/>
      <c r="HYW50" s="715"/>
      <c r="HYX50" s="715"/>
      <c r="HYY50" s="715"/>
      <c r="HYZ50" s="715"/>
      <c r="HZA50" s="715"/>
      <c r="HZB50" s="715"/>
      <c r="HZC50" s="715"/>
      <c r="HZD50" s="715"/>
      <c r="HZE50" s="715"/>
      <c r="HZF50" s="715"/>
      <c r="HZG50" s="715"/>
      <c r="HZH50" s="715"/>
      <c r="HZI50" s="715"/>
      <c r="HZJ50" s="715"/>
      <c r="HZK50" s="715"/>
      <c r="HZL50" s="715"/>
      <c r="HZM50" s="715"/>
      <c r="HZN50" s="715"/>
      <c r="HZO50" s="715"/>
      <c r="HZP50" s="715"/>
      <c r="HZQ50" s="715"/>
      <c r="HZR50" s="715"/>
      <c r="HZS50" s="715"/>
      <c r="HZT50" s="715"/>
      <c r="HZU50" s="715"/>
      <c r="HZV50" s="715"/>
      <c r="HZW50" s="715"/>
      <c r="HZX50" s="715"/>
      <c r="HZY50" s="715"/>
      <c r="HZZ50" s="715"/>
      <c r="IAA50" s="715"/>
      <c r="IAB50" s="715"/>
      <c r="IAC50" s="715"/>
      <c r="IAD50" s="715"/>
      <c r="IAE50" s="715"/>
      <c r="IAF50" s="715"/>
      <c r="IAG50" s="715"/>
      <c r="IAH50" s="715"/>
      <c r="IAI50" s="715"/>
      <c r="IAJ50" s="715"/>
      <c r="IAK50" s="715"/>
      <c r="IAL50" s="715"/>
      <c r="IAM50" s="715"/>
      <c r="IAN50" s="715"/>
      <c r="IAO50" s="715"/>
      <c r="IAP50" s="715"/>
      <c r="IAQ50" s="715"/>
      <c r="IAR50" s="715"/>
      <c r="IAS50" s="715"/>
      <c r="IAT50" s="715"/>
      <c r="IAU50" s="715"/>
      <c r="IAV50" s="715"/>
      <c r="IAW50" s="715"/>
      <c r="IAX50" s="715"/>
      <c r="IAY50" s="715"/>
      <c r="IAZ50" s="715"/>
      <c r="IBA50" s="715"/>
      <c r="IBB50" s="715"/>
      <c r="IBC50" s="715"/>
      <c r="IBD50" s="715"/>
      <c r="IBE50" s="715"/>
      <c r="IBF50" s="715"/>
      <c r="IBG50" s="715"/>
      <c r="IBH50" s="715"/>
      <c r="IBI50" s="715"/>
      <c r="IBJ50" s="715"/>
      <c r="IBK50" s="715"/>
      <c r="IBL50" s="715"/>
      <c r="IBM50" s="715"/>
      <c r="IBN50" s="715"/>
      <c r="IBO50" s="715"/>
      <c r="IBP50" s="715"/>
      <c r="IBQ50" s="715"/>
      <c r="IBR50" s="715"/>
      <c r="IBS50" s="715"/>
      <c r="IBT50" s="715"/>
      <c r="IBU50" s="715"/>
      <c r="IBV50" s="715"/>
      <c r="IBW50" s="715"/>
      <c r="IBX50" s="715"/>
      <c r="IBY50" s="715"/>
      <c r="IBZ50" s="715"/>
      <c r="ICA50" s="715"/>
      <c r="ICB50" s="715"/>
      <c r="ICC50" s="715"/>
      <c r="ICD50" s="715"/>
      <c r="ICE50" s="715"/>
      <c r="ICF50" s="715"/>
      <c r="ICG50" s="715"/>
      <c r="ICH50" s="715"/>
      <c r="ICI50" s="715"/>
      <c r="ICJ50" s="715"/>
      <c r="ICK50" s="715"/>
      <c r="ICL50" s="715"/>
      <c r="ICM50" s="715"/>
      <c r="ICN50" s="715"/>
      <c r="ICO50" s="715"/>
      <c r="ICP50" s="715"/>
      <c r="ICQ50" s="715"/>
      <c r="ICR50" s="715"/>
      <c r="ICS50" s="715"/>
      <c r="ICT50" s="715"/>
      <c r="ICU50" s="715"/>
      <c r="ICV50" s="715"/>
      <c r="ICW50" s="715"/>
      <c r="ICX50" s="715"/>
      <c r="ICY50" s="715"/>
      <c r="ICZ50" s="715"/>
      <c r="IDA50" s="715"/>
      <c r="IDB50" s="715"/>
      <c r="IDC50" s="715"/>
      <c r="IDD50" s="715"/>
      <c r="IDE50" s="715"/>
      <c r="IDF50" s="715"/>
      <c r="IDG50" s="715"/>
      <c r="IDH50" s="715"/>
      <c r="IDI50" s="715"/>
      <c r="IDJ50" s="715"/>
      <c r="IDK50" s="715"/>
      <c r="IDL50" s="715"/>
      <c r="IDM50" s="715"/>
      <c r="IDN50" s="715"/>
      <c r="IDO50" s="715"/>
      <c r="IDP50" s="715"/>
      <c r="IDQ50" s="715"/>
      <c r="IDR50" s="715"/>
      <c r="IDS50" s="715"/>
      <c r="IDT50" s="715"/>
      <c r="IDU50" s="715"/>
      <c r="IDV50" s="715"/>
      <c r="IDW50" s="715"/>
      <c r="IDX50" s="715"/>
      <c r="IDY50" s="715"/>
      <c r="IDZ50" s="715"/>
      <c r="IEA50" s="715"/>
      <c r="IEB50" s="715"/>
      <c r="IEC50" s="715"/>
      <c r="IED50" s="715"/>
      <c r="IEE50" s="715"/>
      <c r="IEF50" s="715"/>
      <c r="IEG50" s="715"/>
      <c r="IEH50" s="715"/>
      <c r="IEI50" s="715"/>
      <c r="IEJ50" s="715"/>
      <c r="IEK50" s="715"/>
      <c r="IEL50" s="715"/>
      <c r="IEM50" s="715"/>
      <c r="IEN50" s="715"/>
      <c r="IEO50" s="715"/>
      <c r="IEP50" s="715"/>
      <c r="IEQ50" s="715"/>
      <c r="IER50" s="715"/>
      <c r="IES50" s="715"/>
      <c r="IET50" s="715"/>
      <c r="IEU50" s="715"/>
      <c r="IEV50" s="715"/>
      <c r="IEW50" s="715"/>
      <c r="IEX50" s="715"/>
      <c r="IEY50" s="715"/>
      <c r="IEZ50" s="715"/>
      <c r="IFA50" s="715"/>
      <c r="IFB50" s="715"/>
      <c r="IFC50" s="715"/>
      <c r="IFD50" s="715"/>
      <c r="IFE50" s="715"/>
      <c r="IFF50" s="715"/>
      <c r="IFG50" s="715"/>
      <c r="IFH50" s="715"/>
      <c r="IFI50" s="715"/>
      <c r="IFJ50" s="715"/>
      <c r="IFK50" s="715"/>
      <c r="IFL50" s="715"/>
      <c r="IFM50" s="715"/>
      <c r="IFN50" s="715"/>
      <c r="IFO50" s="715"/>
      <c r="IFP50" s="715"/>
      <c r="IFQ50" s="715"/>
      <c r="IFR50" s="715"/>
      <c r="IFS50" s="715"/>
      <c r="IFT50" s="715"/>
      <c r="IFU50" s="715"/>
      <c r="IFV50" s="715"/>
      <c r="IFW50" s="715"/>
      <c r="IFX50" s="715"/>
      <c r="IFY50" s="715"/>
      <c r="IFZ50" s="715"/>
      <c r="IGA50" s="715"/>
      <c r="IGB50" s="715"/>
      <c r="IGC50" s="715"/>
      <c r="IGD50" s="715"/>
      <c r="IGE50" s="715"/>
      <c r="IGF50" s="715"/>
      <c r="IGG50" s="715"/>
      <c r="IGH50" s="715"/>
      <c r="IGI50" s="715"/>
      <c r="IGJ50" s="715"/>
      <c r="IGK50" s="715"/>
      <c r="IGL50" s="715"/>
      <c r="IGM50" s="715"/>
      <c r="IGN50" s="715"/>
      <c r="IGO50" s="715"/>
      <c r="IGP50" s="715"/>
      <c r="IGQ50" s="715"/>
      <c r="IGR50" s="715"/>
      <c r="IGS50" s="715"/>
      <c r="IGT50" s="715"/>
      <c r="IGU50" s="715"/>
      <c r="IGV50" s="715"/>
      <c r="IGW50" s="715"/>
      <c r="IGX50" s="715"/>
      <c r="IGY50" s="715"/>
      <c r="IGZ50" s="715"/>
      <c r="IHA50" s="715"/>
      <c r="IHB50" s="715"/>
      <c r="IHC50" s="715"/>
      <c r="IHD50" s="715"/>
      <c r="IHE50" s="715"/>
      <c r="IHF50" s="715"/>
      <c r="IHG50" s="715"/>
      <c r="IHH50" s="715"/>
      <c r="IHI50" s="715"/>
      <c r="IHJ50" s="715"/>
      <c r="IHK50" s="715"/>
      <c r="IHL50" s="715"/>
      <c r="IHM50" s="715"/>
      <c r="IHN50" s="715"/>
      <c r="IHO50" s="715"/>
      <c r="IHP50" s="715"/>
      <c r="IHQ50" s="715"/>
      <c r="IHR50" s="715"/>
      <c r="IHS50" s="715"/>
      <c r="IHT50" s="715"/>
      <c r="IHU50" s="715"/>
      <c r="IHV50" s="715"/>
      <c r="IHW50" s="715"/>
      <c r="IHX50" s="715"/>
      <c r="IHY50" s="715"/>
      <c r="IHZ50" s="715"/>
      <c r="IIA50" s="715"/>
      <c r="IIB50" s="715"/>
      <c r="IIC50" s="715"/>
      <c r="IID50" s="715"/>
      <c r="IIE50" s="715"/>
      <c r="IIF50" s="715"/>
      <c r="IIG50" s="715"/>
      <c r="IIH50" s="715"/>
      <c r="III50" s="715"/>
      <c r="IIJ50" s="715"/>
      <c r="IIK50" s="715"/>
      <c r="IIL50" s="715"/>
      <c r="IIM50" s="715"/>
      <c r="IIN50" s="715"/>
      <c r="IIO50" s="715"/>
      <c r="IIP50" s="715"/>
      <c r="IIQ50" s="715"/>
      <c r="IIR50" s="715"/>
      <c r="IIS50" s="715"/>
      <c r="IIT50" s="715"/>
      <c r="IIU50" s="715"/>
      <c r="IIV50" s="715"/>
      <c r="IIW50" s="715"/>
      <c r="IIX50" s="715"/>
      <c r="IIY50" s="715"/>
      <c r="IIZ50" s="715"/>
      <c r="IJA50" s="715"/>
      <c r="IJB50" s="715"/>
      <c r="IJC50" s="715"/>
      <c r="IJD50" s="715"/>
      <c r="IJE50" s="715"/>
      <c r="IJF50" s="715"/>
      <c r="IJG50" s="715"/>
      <c r="IJH50" s="715"/>
      <c r="IJI50" s="715"/>
      <c r="IJJ50" s="715"/>
      <c r="IJK50" s="715"/>
      <c r="IJL50" s="715"/>
      <c r="IJM50" s="715"/>
      <c r="IJN50" s="715"/>
      <c r="IJO50" s="715"/>
      <c r="IJP50" s="715"/>
      <c r="IJQ50" s="715"/>
      <c r="IJR50" s="715"/>
      <c r="IJS50" s="715"/>
      <c r="IJT50" s="715"/>
      <c r="IJU50" s="715"/>
      <c r="IJV50" s="715"/>
      <c r="IJW50" s="715"/>
      <c r="IJX50" s="715"/>
      <c r="IJY50" s="715"/>
      <c r="IJZ50" s="715"/>
      <c r="IKA50" s="715"/>
      <c r="IKB50" s="715"/>
      <c r="IKC50" s="715"/>
      <c r="IKD50" s="715"/>
      <c r="IKE50" s="715"/>
      <c r="IKF50" s="715"/>
      <c r="IKG50" s="715"/>
      <c r="IKH50" s="715"/>
      <c r="IKI50" s="715"/>
      <c r="IKJ50" s="715"/>
      <c r="IKK50" s="715"/>
      <c r="IKL50" s="715"/>
      <c r="IKM50" s="715"/>
      <c r="IKN50" s="715"/>
      <c r="IKO50" s="715"/>
      <c r="IKP50" s="715"/>
      <c r="IKQ50" s="715"/>
      <c r="IKR50" s="715"/>
      <c r="IKS50" s="715"/>
      <c r="IKT50" s="715"/>
      <c r="IKU50" s="715"/>
      <c r="IKV50" s="715"/>
      <c r="IKW50" s="715"/>
      <c r="IKX50" s="715"/>
      <c r="IKY50" s="715"/>
      <c r="IKZ50" s="715"/>
      <c r="ILA50" s="715"/>
      <c r="ILB50" s="715"/>
      <c r="ILC50" s="715"/>
      <c r="ILD50" s="715"/>
      <c r="ILE50" s="715"/>
      <c r="ILF50" s="715"/>
      <c r="ILG50" s="715"/>
      <c r="ILH50" s="715"/>
      <c r="ILI50" s="715"/>
      <c r="ILJ50" s="715"/>
      <c r="ILK50" s="715"/>
      <c r="ILL50" s="715"/>
      <c r="ILM50" s="715"/>
      <c r="ILN50" s="715"/>
      <c r="ILO50" s="715"/>
      <c r="ILP50" s="715"/>
      <c r="ILQ50" s="715"/>
      <c r="ILR50" s="715"/>
      <c r="ILS50" s="715"/>
      <c r="ILT50" s="715"/>
      <c r="ILU50" s="715"/>
      <c r="ILV50" s="715"/>
      <c r="ILW50" s="715"/>
      <c r="ILX50" s="715"/>
      <c r="ILY50" s="715"/>
      <c r="ILZ50" s="715"/>
      <c r="IMA50" s="715"/>
      <c r="IMB50" s="715"/>
      <c r="IMC50" s="715"/>
      <c r="IMD50" s="715"/>
      <c r="IME50" s="715"/>
      <c r="IMF50" s="715"/>
      <c r="IMG50" s="715"/>
      <c r="IMH50" s="715"/>
      <c r="IMI50" s="715"/>
      <c r="IMJ50" s="715"/>
      <c r="IMK50" s="715"/>
      <c r="IML50" s="715"/>
      <c r="IMM50" s="715"/>
      <c r="IMN50" s="715"/>
      <c r="IMO50" s="715"/>
      <c r="IMP50" s="715"/>
      <c r="IMQ50" s="715"/>
      <c r="IMR50" s="715"/>
      <c r="IMS50" s="715"/>
      <c r="IMT50" s="715"/>
      <c r="IMU50" s="715"/>
      <c r="IMV50" s="715"/>
      <c r="IMW50" s="715"/>
      <c r="IMX50" s="715"/>
      <c r="IMY50" s="715"/>
      <c r="IMZ50" s="715"/>
      <c r="INA50" s="715"/>
      <c r="INB50" s="715"/>
      <c r="INC50" s="715"/>
      <c r="IND50" s="715"/>
      <c r="INE50" s="715"/>
      <c r="INF50" s="715"/>
      <c r="ING50" s="715"/>
      <c r="INH50" s="715"/>
      <c r="INI50" s="715"/>
      <c r="INJ50" s="715"/>
      <c r="INK50" s="715"/>
      <c r="INL50" s="715"/>
      <c r="INM50" s="715"/>
      <c r="INN50" s="715"/>
      <c r="INO50" s="715"/>
      <c r="INP50" s="715"/>
      <c r="INQ50" s="715"/>
      <c r="INR50" s="715"/>
      <c r="INS50" s="715"/>
      <c r="INT50" s="715"/>
      <c r="INU50" s="715"/>
      <c r="INV50" s="715"/>
      <c r="INW50" s="715"/>
      <c r="INX50" s="715"/>
      <c r="INY50" s="715"/>
      <c r="INZ50" s="715"/>
      <c r="IOA50" s="715"/>
      <c r="IOB50" s="715"/>
      <c r="IOC50" s="715"/>
      <c r="IOD50" s="715"/>
      <c r="IOE50" s="715"/>
      <c r="IOF50" s="715"/>
      <c r="IOG50" s="715"/>
      <c r="IOH50" s="715"/>
      <c r="IOI50" s="715"/>
      <c r="IOJ50" s="715"/>
      <c r="IOK50" s="715"/>
      <c r="IOL50" s="715"/>
      <c r="IOM50" s="715"/>
      <c r="ION50" s="715"/>
      <c r="IOO50" s="715"/>
      <c r="IOP50" s="715"/>
      <c r="IOQ50" s="715"/>
      <c r="IOR50" s="715"/>
      <c r="IOS50" s="715"/>
      <c r="IOT50" s="715"/>
      <c r="IOU50" s="715"/>
      <c r="IOV50" s="715"/>
      <c r="IOW50" s="715"/>
      <c r="IOX50" s="715"/>
      <c r="IOY50" s="715"/>
      <c r="IOZ50" s="715"/>
      <c r="IPA50" s="715"/>
      <c r="IPB50" s="715"/>
      <c r="IPC50" s="715"/>
      <c r="IPD50" s="715"/>
      <c r="IPE50" s="715"/>
      <c r="IPF50" s="715"/>
      <c r="IPG50" s="715"/>
      <c r="IPH50" s="715"/>
      <c r="IPI50" s="715"/>
      <c r="IPJ50" s="715"/>
      <c r="IPK50" s="715"/>
      <c r="IPL50" s="715"/>
      <c r="IPM50" s="715"/>
      <c r="IPN50" s="715"/>
      <c r="IPO50" s="715"/>
      <c r="IPP50" s="715"/>
      <c r="IPQ50" s="715"/>
      <c r="IPR50" s="715"/>
      <c r="IPS50" s="715"/>
      <c r="IPT50" s="715"/>
      <c r="IPU50" s="715"/>
      <c r="IPV50" s="715"/>
      <c r="IPW50" s="715"/>
      <c r="IPX50" s="715"/>
      <c r="IPY50" s="715"/>
      <c r="IPZ50" s="715"/>
      <c r="IQA50" s="715"/>
      <c r="IQB50" s="715"/>
      <c r="IQC50" s="715"/>
      <c r="IQD50" s="715"/>
      <c r="IQE50" s="715"/>
      <c r="IQF50" s="715"/>
      <c r="IQG50" s="715"/>
      <c r="IQH50" s="715"/>
      <c r="IQI50" s="715"/>
      <c r="IQJ50" s="715"/>
      <c r="IQK50" s="715"/>
      <c r="IQL50" s="715"/>
      <c r="IQM50" s="715"/>
      <c r="IQN50" s="715"/>
      <c r="IQO50" s="715"/>
      <c r="IQP50" s="715"/>
      <c r="IQQ50" s="715"/>
      <c r="IQR50" s="715"/>
      <c r="IQS50" s="715"/>
      <c r="IQT50" s="715"/>
      <c r="IQU50" s="715"/>
      <c r="IQV50" s="715"/>
      <c r="IQW50" s="715"/>
      <c r="IQX50" s="715"/>
      <c r="IQY50" s="715"/>
      <c r="IQZ50" s="715"/>
      <c r="IRA50" s="715"/>
      <c r="IRB50" s="715"/>
      <c r="IRC50" s="715"/>
      <c r="IRD50" s="715"/>
      <c r="IRE50" s="715"/>
      <c r="IRF50" s="715"/>
      <c r="IRG50" s="715"/>
      <c r="IRH50" s="715"/>
      <c r="IRI50" s="715"/>
      <c r="IRJ50" s="715"/>
      <c r="IRK50" s="715"/>
      <c r="IRL50" s="715"/>
      <c r="IRM50" s="715"/>
      <c r="IRN50" s="715"/>
      <c r="IRO50" s="715"/>
      <c r="IRP50" s="715"/>
      <c r="IRQ50" s="715"/>
      <c r="IRR50" s="715"/>
      <c r="IRS50" s="715"/>
      <c r="IRT50" s="715"/>
      <c r="IRU50" s="715"/>
      <c r="IRV50" s="715"/>
      <c r="IRW50" s="715"/>
      <c r="IRX50" s="715"/>
      <c r="IRY50" s="715"/>
      <c r="IRZ50" s="715"/>
      <c r="ISA50" s="715"/>
      <c r="ISB50" s="715"/>
      <c r="ISC50" s="715"/>
      <c r="ISD50" s="715"/>
      <c r="ISE50" s="715"/>
      <c r="ISF50" s="715"/>
      <c r="ISG50" s="715"/>
      <c r="ISH50" s="715"/>
      <c r="ISI50" s="715"/>
      <c r="ISJ50" s="715"/>
      <c r="ISK50" s="715"/>
      <c r="ISL50" s="715"/>
      <c r="ISM50" s="715"/>
      <c r="ISN50" s="715"/>
      <c r="ISO50" s="715"/>
      <c r="ISP50" s="715"/>
      <c r="ISQ50" s="715"/>
      <c r="ISR50" s="715"/>
      <c r="ISS50" s="715"/>
      <c r="IST50" s="715"/>
      <c r="ISU50" s="715"/>
      <c r="ISV50" s="715"/>
      <c r="ISW50" s="715"/>
      <c r="ISX50" s="715"/>
      <c r="ISY50" s="715"/>
      <c r="ISZ50" s="715"/>
      <c r="ITA50" s="715"/>
      <c r="ITB50" s="715"/>
      <c r="ITC50" s="715"/>
      <c r="ITD50" s="715"/>
      <c r="ITE50" s="715"/>
      <c r="ITF50" s="715"/>
      <c r="ITG50" s="715"/>
      <c r="ITH50" s="715"/>
      <c r="ITI50" s="715"/>
      <c r="ITJ50" s="715"/>
      <c r="ITK50" s="715"/>
      <c r="ITL50" s="715"/>
      <c r="ITM50" s="715"/>
      <c r="ITN50" s="715"/>
      <c r="ITO50" s="715"/>
      <c r="ITP50" s="715"/>
      <c r="ITQ50" s="715"/>
      <c r="ITR50" s="715"/>
      <c r="ITS50" s="715"/>
      <c r="ITT50" s="715"/>
      <c r="ITU50" s="715"/>
      <c r="ITV50" s="715"/>
      <c r="ITW50" s="715"/>
      <c r="ITX50" s="715"/>
      <c r="ITY50" s="715"/>
      <c r="ITZ50" s="715"/>
      <c r="IUA50" s="715"/>
      <c r="IUB50" s="715"/>
      <c r="IUC50" s="715"/>
      <c r="IUD50" s="715"/>
      <c r="IUE50" s="715"/>
      <c r="IUF50" s="715"/>
      <c r="IUG50" s="715"/>
      <c r="IUH50" s="715"/>
      <c r="IUI50" s="715"/>
      <c r="IUJ50" s="715"/>
      <c r="IUK50" s="715"/>
      <c r="IUL50" s="715"/>
      <c r="IUM50" s="715"/>
      <c r="IUN50" s="715"/>
      <c r="IUO50" s="715"/>
      <c r="IUP50" s="715"/>
      <c r="IUQ50" s="715"/>
      <c r="IUR50" s="715"/>
      <c r="IUS50" s="715"/>
      <c r="IUT50" s="715"/>
      <c r="IUU50" s="715"/>
      <c r="IUV50" s="715"/>
      <c r="IUW50" s="715"/>
      <c r="IUX50" s="715"/>
      <c r="IUY50" s="715"/>
      <c r="IUZ50" s="715"/>
      <c r="IVA50" s="715"/>
      <c r="IVB50" s="715"/>
      <c r="IVC50" s="715"/>
      <c r="IVD50" s="715"/>
      <c r="IVE50" s="715"/>
      <c r="IVF50" s="715"/>
      <c r="IVG50" s="715"/>
      <c r="IVH50" s="715"/>
      <c r="IVI50" s="715"/>
      <c r="IVJ50" s="715"/>
      <c r="IVK50" s="715"/>
      <c r="IVL50" s="715"/>
      <c r="IVM50" s="715"/>
      <c r="IVN50" s="715"/>
      <c r="IVO50" s="715"/>
      <c r="IVP50" s="715"/>
      <c r="IVQ50" s="715"/>
      <c r="IVR50" s="715"/>
      <c r="IVS50" s="715"/>
      <c r="IVT50" s="715"/>
      <c r="IVU50" s="715"/>
      <c r="IVV50" s="715"/>
      <c r="IVW50" s="715"/>
      <c r="IVX50" s="715"/>
      <c r="IVY50" s="715"/>
      <c r="IVZ50" s="715"/>
      <c r="IWA50" s="715"/>
      <c r="IWB50" s="715"/>
      <c r="IWC50" s="715"/>
      <c r="IWD50" s="715"/>
      <c r="IWE50" s="715"/>
      <c r="IWF50" s="715"/>
      <c r="IWG50" s="715"/>
      <c r="IWH50" s="715"/>
      <c r="IWI50" s="715"/>
      <c r="IWJ50" s="715"/>
      <c r="IWK50" s="715"/>
      <c r="IWL50" s="715"/>
      <c r="IWM50" s="715"/>
      <c r="IWN50" s="715"/>
      <c r="IWO50" s="715"/>
      <c r="IWP50" s="715"/>
      <c r="IWQ50" s="715"/>
      <c r="IWR50" s="715"/>
      <c r="IWS50" s="715"/>
      <c r="IWT50" s="715"/>
      <c r="IWU50" s="715"/>
      <c r="IWV50" s="715"/>
      <c r="IWW50" s="715"/>
      <c r="IWX50" s="715"/>
      <c r="IWY50" s="715"/>
      <c r="IWZ50" s="715"/>
      <c r="IXA50" s="715"/>
      <c r="IXB50" s="715"/>
      <c r="IXC50" s="715"/>
      <c r="IXD50" s="715"/>
      <c r="IXE50" s="715"/>
      <c r="IXF50" s="715"/>
      <c r="IXG50" s="715"/>
      <c r="IXH50" s="715"/>
      <c r="IXI50" s="715"/>
      <c r="IXJ50" s="715"/>
      <c r="IXK50" s="715"/>
      <c r="IXL50" s="715"/>
      <c r="IXM50" s="715"/>
      <c r="IXN50" s="715"/>
      <c r="IXO50" s="715"/>
      <c r="IXP50" s="715"/>
      <c r="IXQ50" s="715"/>
      <c r="IXR50" s="715"/>
      <c r="IXS50" s="715"/>
      <c r="IXT50" s="715"/>
      <c r="IXU50" s="715"/>
      <c r="IXV50" s="715"/>
      <c r="IXW50" s="715"/>
      <c r="IXX50" s="715"/>
      <c r="IXY50" s="715"/>
      <c r="IXZ50" s="715"/>
      <c r="IYA50" s="715"/>
      <c r="IYB50" s="715"/>
      <c r="IYC50" s="715"/>
      <c r="IYD50" s="715"/>
      <c r="IYE50" s="715"/>
      <c r="IYF50" s="715"/>
      <c r="IYG50" s="715"/>
      <c r="IYH50" s="715"/>
      <c r="IYI50" s="715"/>
      <c r="IYJ50" s="715"/>
      <c r="IYK50" s="715"/>
      <c r="IYL50" s="715"/>
      <c r="IYM50" s="715"/>
      <c r="IYN50" s="715"/>
      <c r="IYO50" s="715"/>
      <c r="IYP50" s="715"/>
      <c r="IYQ50" s="715"/>
      <c r="IYR50" s="715"/>
      <c r="IYS50" s="715"/>
      <c r="IYT50" s="715"/>
      <c r="IYU50" s="715"/>
      <c r="IYV50" s="715"/>
      <c r="IYW50" s="715"/>
      <c r="IYX50" s="715"/>
      <c r="IYY50" s="715"/>
      <c r="IYZ50" s="715"/>
      <c r="IZA50" s="715"/>
      <c r="IZB50" s="715"/>
      <c r="IZC50" s="715"/>
      <c r="IZD50" s="715"/>
      <c r="IZE50" s="715"/>
      <c r="IZF50" s="715"/>
      <c r="IZG50" s="715"/>
      <c r="IZH50" s="715"/>
      <c r="IZI50" s="715"/>
      <c r="IZJ50" s="715"/>
      <c r="IZK50" s="715"/>
      <c r="IZL50" s="715"/>
      <c r="IZM50" s="715"/>
      <c r="IZN50" s="715"/>
      <c r="IZO50" s="715"/>
      <c r="IZP50" s="715"/>
      <c r="IZQ50" s="715"/>
      <c r="IZR50" s="715"/>
      <c r="IZS50" s="715"/>
      <c r="IZT50" s="715"/>
      <c r="IZU50" s="715"/>
      <c r="IZV50" s="715"/>
      <c r="IZW50" s="715"/>
      <c r="IZX50" s="715"/>
      <c r="IZY50" s="715"/>
      <c r="IZZ50" s="715"/>
      <c r="JAA50" s="715"/>
      <c r="JAB50" s="715"/>
      <c r="JAC50" s="715"/>
      <c r="JAD50" s="715"/>
      <c r="JAE50" s="715"/>
      <c r="JAF50" s="715"/>
      <c r="JAG50" s="715"/>
      <c r="JAH50" s="715"/>
      <c r="JAI50" s="715"/>
      <c r="JAJ50" s="715"/>
      <c r="JAK50" s="715"/>
      <c r="JAL50" s="715"/>
      <c r="JAM50" s="715"/>
      <c r="JAN50" s="715"/>
      <c r="JAO50" s="715"/>
      <c r="JAP50" s="715"/>
      <c r="JAQ50" s="715"/>
      <c r="JAR50" s="715"/>
      <c r="JAS50" s="715"/>
      <c r="JAT50" s="715"/>
      <c r="JAU50" s="715"/>
      <c r="JAV50" s="715"/>
      <c r="JAW50" s="715"/>
      <c r="JAX50" s="715"/>
      <c r="JAY50" s="715"/>
      <c r="JAZ50" s="715"/>
      <c r="JBA50" s="715"/>
      <c r="JBB50" s="715"/>
      <c r="JBC50" s="715"/>
      <c r="JBD50" s="715"/>
      <c r="JBE50" s="715"/>
      <c r="JBF50" s="715"/>
      <c r="JBG50" s="715"/>
      <c r="JBH50" s="715"/>
      <c r="JBI50" s="715"/>
      <c r="JBJ50" s="715"/>
      <c r="JBK50" s="715"/>
      <c r="JBL50" s="715"/>
      <c r="JBM50" s="715"/>
      <c r="JBN50" s="715"/>
      <c r="JBO50" s="715"/>
      <c r="JBP50" s="715"/>
      <c r="JBQ50" s="715"/>
      <c r="JBR50" s="715"/>
      <c r="JBS50" s="715"/>
      <c r="JBT50" s="715"/>
      <c r="JBU50" s="715"/>
      <c r="JBV50" s="715"/>
      <c r="JBW50" s="715"/>
      <c r="JBX50" s="715"/>
      <c r="JBY50" s="715"/>
      <c r="JBZ50" s="715"/>
      <c r="JCA50" s="715"/>
      <c r="JCB50" s="715"/>
      <c r="JCC50" s="715"/>
      <c r="JCD50" s="715"/>
      <c r="JCE50" s="715"/>
      <c r="JCF50" s="715"/>
      <c r="JCG50" s="715"/>
      <c r="JCH50" s="715"/>
      <c r="JCI50" s="715"/>
      <c r="JCJ50" s="715"/>
      <c r="JCK50" s="715"/>
      <c r="JCL50" s="715"/>
      <c r="JCM50" s="715"/>
      <c r="JCN50" s="715"/>
      <c r="JCO50" s="715"/>
      <c r="JCP50" s="715"/>
      <c r="JCQ50" s="715"/>
      <c r="JCR50" s="715"/>
      <c r="JCS50" s="715"/>
      <c r="JCT50" s="715"/>
      <c r="JCU50" s="715"/>
      <c r="JCV50" s="715"/>
      <c r="JCW50" s="715"/>
      <c r="JCX50" s="715"/>
      <c r="JCY50" s="715"/>
      <c r="JCZ50" s="715"/>
      <c r="JDA50" s="715"/>
      <c r="JDB50" s="715"/>
      <c r="JDC50" s="715"/>
      <c r="JDD50" s="715"/>
      <c r="JDE50" s="715"/>
      <c r="JDF50" s="715"/>
      <c r="JDG50" s="715"/>
      <c r="JDH50" s="715"/>
      <c r="JDI50" s="715"/>
      <c r="JDJ50" s="715"/>
      <c r="JDK50" s="715"/>
      <c r="JDL50" s="715"/>
      <c r="JDM50" s="715"/>
      <c r="JDN50" s="715"/>
      <c r="JDO50" s="715"/>
      <c r="JDP50" s="715"/>
      <c r="JDQ50" s="715"/>
      <c r="JDR50" s="715"/>
      <c r="JDS50" s="715"/>
      <c r="JDT50" s="715"/>
      <c r="JDU50" s="715"/>
      <c r="JDV50" s="715"/>
      <c r="JDW50" s="715"/>
      <c r="JDX50" s="715"/>
      <c r="JDY50" s="715"/>
      <c r="JDZ50" s="715"/>
      <c r="JEA50" s="715"/>
      <c r="JEB50" s="715"/>
      <c r="JEC50" s="715"/>
      <c r="JED50" s="715"/>
      <c r="JEE50" s="715"/>
      <c r="JEF50" s="715"/>
      <c r="JEG50" s="715"/>
      <c r="JEH50" s="715"/>
      <c r="JEI50" s="715"/>
      <c r="JEJ50" s="715"/>
      <c r="JEK50" s="715"/>
      <c r="JEL50" s="715"/>
      <c r="JEM50" s="715"/>
      <c r="JEN50" s="715"/>
      <c r="JEO50" s="715"/>
      <c r="JEP50" s="715"/>
      <c r="JEQ50" s="715"/>
      <c r="JER50" s="715"/>
      <c r="JES50" s="715"/>
      <c r="JET50" s="715"/>
      <c r="JEU50" s="715"/>
      <c r="JEV50" s="715"/>
      <c r="JEW50" s="715"/>
      <c r="JEX50" s="715"/>
      <c r="JEY50" s="715"/>
      <c r="JEZ50" s="715"/>
      <c r="JFA50" s="715"/>
      <c r="JFB50" s="715"/>
      <c r="JFC50" s="715"/>
      <c r="JFD50" s="715"/>
      <c r="JFE50" s="715"/>
      <c r="JFF50" s="715"/>
      <c r="JFG50" s="715"/>
      <c r="JFH50" s="715"/>
      <c r="JFI50" s="715"/>
      <c r="JFJ50" s="715"/>
      <c r="JFK50" s="715"/>
      <c r="JFL50" s="715"/>
      <c r="JFM50" s="715"/>
      <c r="JFN50" s="715"/>
      <c r="JFO50" s="715"/>
      <c r="JFP50" s="715"/>
      <c r="JFQ50" s="715"/>
      <c r="JFR50" s="715"/>
      <c r="JFS50" s="715"/>
      <c r="JFT50" s="715"/>
      <c r="JFU50" s="715"/>
      <c r="JFV50" s="715"/>
      <c r="JFW50" s="715"/>
      <c r="JFX50" s="715"/>
      <c r="JFY50" s="715"/>
      <c r="JFZ50" s="715"/>
      <c r="JGA50" s="715"/>
      <c r="JGB50" s="715"/>
      <c r="JGC50" s="715"/>
      <c r="JGD50" s="715"/>
      <c r="JGE50" s="715"/>
      <c r="JGF50" s="715"/>
      <c r="JGG50" s="715"/>
      <c r="JGH50" s="715"/>
      <c r="JGI50" s="715"/>
      <c r="JGJ50" s="715"/>
      <c r="JGK50" s="715"/>
      <c r="JGL50" s="715"/>
      <c r="JGM50" s="715"/>
      <c r="JGN50" s="715"/>
      <c r="JGO50" s="715"/>
      <c r="JGP50" s="715"/>
      <c r="JGQ50" s="715"/>
      <c r="JGR50" s="715"/>
      <c r="JGS50" s="715"/>
      <c r="JGT50" s="715"/>
      <c r="JGU50" s="715"/>
      <c r="JGV50" s="715"/>
      <c r="JGW50" s="715"/>
      <c r="JGX50" s="715"/>
      <c r="JGY50" s="715"/>
      <c r="JGZ50" s="715"/>
      <c r="JHA50" s="715"/>
      <c r="JHB50" s="715"/>
      <c r="JHC50" s="715"/>
      <c r="JHD50" s="715"/>
      <c r="JHE50" s="715"/>
      <c r="JHF50" s="715"/>
      <c r="JHG50" s="715"/>
      <c r="JHH50" s="715"/>
      <c r="JHI50" s="715"/>
      <c r="JHJ50" s="715"/>
      <c r="JHK50" s="715"/>
      <c r="JHL50" s="715"/>
      <c r="JHM50" s="715"/>
      <c r="JHN50" s="715"/>
      <c r="JHO50" s="715"/>
      <c r="JHP50" s="715"/>
      <c r="JHQ50" s="715"/>
      <c r="JHR50" s="715"/>
      <c r="JHS50" s="715"/>
      <c r="JHT50" s="715"/>
      <c r="JHU50" s="715"/>
      <c r="JHV50" s="715"/>
      <c r="JHW50" s="715"/>
      <c r="JHX50" s="715"/>
      <c r="JHY50" s="715"/>
      <c r="JHZ50" s="715"/>
      <c r="JIA50" s="715"/>
      <c r="JIB50" s="715"/>
      <c r="JIC50" s="715"/>
      <c r="JID50" s="715"/>
      <c r="JIE50" s="715"/>
      <c r="JIF50" s="715"/>
      <c r="JIG50" s="715"/>
      <c r="JIH50" s="715"/>
      <c r="JII50" s="715"/>
      <c r="JIJ50" s="715"/>
      <c r="JIK50" s="715"/>
      <c r="JIL50" s="715"/>
      <c r="JIM50" s="715"/>
      <c r="JIN50" s="715"/>
      <c r="JIO50" s="715"/>
      <c r="JIP50" s="715"/>
      <c r="JIQ50" s="715"/>
      <c r="JIR50" s="715"/>
      <c r="JIS50" s="715"/>
      <c r="JIT50" s="715"/>
      <c r="JIU50" s="715"/>
      <c r="JIV50" s="715"/>
      <c r="JIW50" s="715"/>
      <c r="JIX50" s="715"/>
      <c r="JIY50" s="715"/>
      <c r="JIZ50" s="715"/>
      <c r="JJA50" s="715"/>
      <c r="JJB50" s="715"/>
      <c r="JJC50" s="715"/>
      <c r="JJD50" s="715"/>
      <c r="JJE50" s="715"/>
      <c r="JJF50" s="715"/>
      <c r="JJG50" s="715"/>
      <c r="JJH50" s="715"/>
      <c r="JJI50" s="715"/>
      <c r="JJJ50" s="715"/>
      <c r="JJK50" s="715"/>
      <c r="JJL50" s="715"/>
      <c r="JJM50" s="715"/>
      <c r="JJN50" s="715"/>
      <c r="JJO50" s="715"/>
      <c r="JJP50" s="715"/>
      <c r="JJQ50" s="715"/>
      <c r="JJR50" s="715"/>
      <c r="JJS50" s="715"/>
      <c r="JJT50" s="715"/>
      <c r="JJU50" s="715"/>
      <c r="JJV50" s="715"/>
      <c r="JJW50" s="715"/>
      <c r="JJX50" s="715"/>
      <c r="JJY50" s="715"/>
      <c r="JJZ50" s="715"/>
      <c r="JKA50" s="715"/>
      <c r="JKB50" s="715"/>
      <c r="JKC50" s="715"/>
      <c r="JKD50" s="715"/>
      <c r="JKE50" s="715"/>
      <c r="JKF50" s="715"/>
      <c r="JKG50" s="715"/>
      <c r="JKH50" s="715"/>
      <c r="JKI50" s="715"/>
      <c r="JKJ50" s="715"/>
      <c r="JKK50" s="715"/>
      <c r="JKL50" s="715"/>
      <c r="JKM50" s="715"/>
      <c r="JKN50" s="715"/>
      <c r="JKO50" s="715"/>
      <c r="JKP50" s="715"/>
      <c r="JKQ50" s="715"/>
      <c r="JKR50" s="715"/>
      <c r="JKS50" s="715"/>
      <c r="JKT50" s="715"/>
      <c r="JKU50" s="715"/>
      <c r="JKV50" s="715"/>
      <c r="JKW50" s="715"/>
      <c r="JKX50" s="715"/>
      <c r="JKY50" s="715"/>
      <c r="JKZ50" s="715"/>
      <c r="JLA50" s="715"/>
      <c r="JLB50" s="715"/>
      <c r="JLC50" s="715"/>
      <c r="JLD50" s="715"/>
      <c r="JLE50" s="715"/>
      <c r="JLF50" s="715"/>
      <c r="JLG50" s="715"/>
      <c r="JLH50" s="715"/>
      <c r="JLI50" s="715"/>
      <c r="JLJ50" s="715"/>
      <c r="JLK50" s="715"/>
      <c r="JLL50" s="715"/>
      <c r="JLM50" s="715"/>
      <c r="JLN50" s="715"/>
      <c r="JLO50" s="715"/>
      <c r="JLP50" s="715"/>
      <c r="JLQ50" s="715"/>
      <c r="JLR50" s="715"/>
      <c r="JLS50" s="715"/>
      <c r="JLT50" s="715"/>
      <c r="JLU50" s="715"/>
      <c r="JLV50" s="715"/>
      <c r="JLW50" s="715"/>
      <c r="JLX50" s="715"/>
      <c r="JLY50" s="715"/>
      <c r="JLZ50" s="715"/>
      <c r="JMA50" s="715"/>
      <c r="JMB50" s="715"/>
      <c r="JMC50" s="715"/>
      <c r="JMD50" s="715"/>
      <c r="JME50" s="715"/>
      <c r="JMF50" s="715"/>
      <c r="JMG50" s="715"/>
      <c r="JMH50" s="715"/>
      <c r="JMI50" s="715"/>
      <c r="JMJ50" s="715"/>
      <c r="JMK50" s="715"/>
      <c r="JML50" s="715"/>
      <c r="JMM50" s="715"/>
      <c r="JMN50" s="715"/>
      <c r="JMO50" s="715"/>
      <c r="JMP50" s="715"/>
      <c r="JMQ50" s="715"/>
      <c r="JMR50" s="715"/>
      <c r="JMS50" s="715"/>
      <c r="JMT50" s="715"/>
      <c r="JMU50" s="715"/>
      <c r="JMV50" s="715"/>
      <c r="JMW50" s="715"/>
      <c r="JMX50" s="715"/>
      <c r="JMY50" s="715"/>
      <c r="JMZ50" s="715"/>
      <c r="JNA50" s="715"/>
      <c r="JNB50" s="715"/>
      <c r="JNC50" s="715"/>
      <c r="JND50" s="715"/>
      <c r="JNE50" s="715"/>
      <c r="JNF50" s="715"/>
      <c r="JNG50" s="715"/>
      <c r="JNH50" s="715"/>
      <c r="JNI50" s="715"/>
      <c r="JNJ50" s="715"/>
      <c r="JNK50" s="715"/>
      <c r="JNL50" s="715"/>
      <c r="JNM50" s="715"/>
      <c r="JNN50" s="715"/>
      <c r="JNO50" s="715"/>
      <c r="JNP50" s="715"/>
      <c r="JNQ50" s="715"/>
      <c r="JNR50" s="715"/>
      <c r="JNS50" s="715"/>
      <c r="JNT50" s="715"/>
      <c r="JNU50" s="715"/>
      <c r="JNV50" s="715"/>
      <c r="JNW50" s="715"/>
      <c r="JNX50" s="715"/>
      <c r="JNY50" s="715"/>
      <c r="JNZ50" s="715"/>
      <c r="JOA50" s="715"/>
      <c r="JOB50" s="715"/>
      <c r="JOC50" s="715"/>
      <c r="JOD50" s="715"/>
      <c r="JOE50" s="715"/>
      <c r="JOF50" s="715"/>
      <c r="JOG50" s="715"/>
      <c r="JOH50" s="715"/>
      <c r="JOI50" s="715"/>
      <c r="JOJ50" s="715"/>
      <c r="JOK50" s="715"/>
      <c r="JOL50" s="715"/>
      <c r="JOM50" s="715"/>
      <c r="JON50" s="715"/>
      <c r="JOO50" s="715"/>
      <c r="JOP50" s="715"/>
      <c r="JOQ50" s="715"/>
      <c r="JOR50" s="715"/>
      <c r="JOS50" s="715"/>
      <c r="JOT50" s="715"/>
      <c r="JOU50" s="715"/>
      <c r="JOV50" s="715"/>
      <c r="JOW50" s="715"/>
      <c r="JOX50" s="715"/>
      <c r="JOY50" s="715"/>
      <c r="JOZ50" s="715"/>
      <c r="JPA50" s="715"/>
      <c r="JPB50" s="715"/>
      <c r="JPC50" s="715"/>
      <c r="JPD50" s="715"/>
      <c r="JPE50" s="715"/>
      <c r="JPF50" s="715"/>
      <c r="JPG50" s="715"/>
      <c r="JPH50" s="715"/>
      <c r="JPI50" s="715"/>
      <c r="JPJ50" s="715"/>
      <c r="JPK50" s="715"/>
      <c r="JPL50" s="715"/>
      <c r="JPM50" s="715"/>
      <c r="JPN50" s="715"/>
      <c r="JPO50" s="715"/>
      <c r="JPP50" s="715"/>
      <c r="JPQ50" s="715"/>
      <c r="JPR50" s="715"/>
      <c r="JPS50" s="715"/>
      <c r="JPT50" s="715"/>
      <c r="JPU50" s="715"/>
      <c r="JPV50" s="715"/>
      <c r="JPW50" s="715"/>
      <c r="JPX50" s="715"/>
      <c r="JPY50" s="715"/>
      <c r="JPZ50" s="715"/>
      <c r="JQA50" s="715"/>
      <c r="JQB50" s="715"/>
      <c r="JQC50" s="715"/>
      <c r="JQD50" s="715"/>
      <c r="JQE50" s="715"/>
      <c r="JQF50" s="715"/>
      <c r="JQG50" s="715"/>
      <c r="JQH50" s="715"/>
      <c r="JQI50" s="715"/>
      <c r="JQJ50" s="715"/>
      <c r="JQK50" s="715"/>
      <c r="JQL50" s="715"/>
      <c r="JQM50" s="715"/>
      <c r="JQN50" s="715"/>
      <c r="JQO50" s="715"/>
      <c r="JQP50" s="715"/>
      <c r="JQQ50" s="715"/>
      <c r="JQR50" s="715"/>
      <c r="JQS50" s="715"/>
      <c r="JQT50" s="715"/>
      <c r="JQU50" s="715"/>
      <c r="JQV50" s="715"/>
      <c r="JQW50" s="715"/>
      <c r="JQX50" s="715"/>
      <c r="JQY50" s="715"/>
      <c r="JQZ50" s="715"/>
      <c r="JRA50" s="715"/>
      <c r="JRB50" s="715"/>
      <c r="JRC50" s="715"/>
      <c r="JRD50" s="715"/>
      <c r="JRE50" s="715"/>
      <c r="JRF50" s="715"/>
      <c r="JRG50" s="715"/>
      <c r="JRH50" s="715"/>
      <c r="JRI50" s="715"/>
      <c r="JRJ50" s="715"/>
      <c r="JRK50" s="715"/>
      <c r="JRL50" s="715"/>
      <c r="JRM50" s="715"/>
      <c r="JRN50" s="715"/>
      <c r="JRO50" s="715"/>
      <c r="JRP50" s="715"/>
      <c r="JRQ50" s="715"/>
      <c r="JRR50" s="715"/>
      <c r="JRS50" s="715"/>
      <c r="JRT50" s="715"/>
      <c r="JRU50" s="715"/>
      <c r="JRV50" s="715"/>
      <c r="JRW50" s="715"/>
      <c r="JRX50" s="715"/>
      <c r="JRY50" s="715"/>
      <c r="JRZ50" s="715"/>
      <c r="JSA50" s="715"/>
      <c r="JSB50" s="715"/>
      <c r="JSC50" s="715"/>
      <c r="JSD50" s="715"/>
      <c r="JSE50" s="715"/>
      <c r="JSF50" s="715"/>
      <c r="JSG50" s="715"/>
      <c r="JSH50" s="715"/>
      <c r="JSI50" s="715"/>
      <c r="JSJ50" s="715"/>
      <c r="JSK50" s="715"/>
      <c r="JSL50" s="715"/>
      <c r="JSM50" s="715"/>
      <c r="JSN50" s="715"/>
      <c r="JSO50" s="715"/>
      <c r="JSP50" s="715"/>
      <c r="JSQ50" s="715"/>
      <c r="JSR50" s="715"/>
      <c r="JSS50" s="715"/>
      <c r="JST50" s="715"/>
      <c r="JSU50" s="715"/>
      <c r="JSV50" s="715"/>
      <c r="JSW50" s="715"/>
      <c r="JSX50" s="715"/>
      <c r="JSY50" s="715"/>
      <c r="JSZ50" s="715"/>
      <c r="JTA50" s="715"/>
      <c r="JTB50" s="715"/>
      <c r="JTC50" s="715"/>
      <c r="JTD50" s="715"/>
      <c r="JTE50" s="715"/>
      <c r="JTF50" s="715"/>
      <c r="JTG50" s="715"/>
      <c r="JTH50" s="715"/>
      <c r="JTI50" s="715"/>
      <c r="JTJ50" s="715"/>
      <c r="JTK50" s="715"/>
      <c r="JTL50" s="715"/>
      <c r="JTM50" s="715"/>
      <c r="JTN50" s="715"/>
      <c r="JTO50" s="715"/>
      <c r="JTP50" s="715"/>
      <c r="JTQ50" s="715"/>
      <c r="JTR50" s="715"/>
      <c r="JTS50" s="715"/>
      <c r="JTT50" s="715"/>
      <c r="JTU50" s="715"/>
      <c r="JTV50" s="715"/>
      <c r="JTW50" s="715"/>
      <c r="JTX50" s="715"/>
      <c r="JTY50" s="715"/>
      <c r="JTZ50" s="715"/>
      <c r="JUA50" s="715"/>
      <c r="JUB50" s="715"/>
      <c r="JUC50" s="715"/>
      <c r="JUD50" s="715"/>
      <c r="JUE50" s="715"/>
      <c r="JUF50" s="715"/>
      <c r="JUG50" s="715"/>
      <c r="JUH50" s="715"/>
      <c r="JUI50" s="715"/>
      <c r="JUJ50" s="715"/>
      <c r="JUK50" s="715"/>
      <c r="JUL50" s="715"/>
      <c r="JUM50" s="715"/>
      <c r="JUN50" s="715"/>
      <c r="JUO50" s="715"/>
      <c r="JUP50" s="715"/>
      <c r="JUQ50" s="715"/>
      <c r="JUR50" s="715"/>
      <c r="JUS50" s="715"/>
      <c r="JUT50" s="715"/>
      <c r="JUU50" s="715"/>
      <c r="JUV50" s="715"/>
      <c r="JUW50" s="715"/>
      <c r="JUX50" s="715"/>
      <c r="JUY50" s="715"/>
      <c r="JUZ50" s="715"/>
      <c r="JVA50" s="715"/>
      <c r="JVB50" s="715"/>
      <c r="JVC50" s="715"/>
      <c r="JVD50" s="715"/>
      <c r="JVE50" s="715"/>
      <c r="JVF50" s="715"/>
      <c r="JVG50" s="715"/>
      <c r="JVH50" s="715"/>
      <c r="JVI50" s="715"/>
      <c r="JVJ50" s="715"/>
      <c r="JVK50" s="715"/>
      <c r="JVL50" s="715"/>
      <c r="JVM50" s="715"/>
      <c r="JVN50" s="715"/>
      <c r="JVO50" s="715"/>
      <c r="JVP50" s="715"/>
      <c r="JVQ50" s="715"/>
      <c r="JVR50" s="715"/>
      <c r="JVS50" s="715"/>
      <c r="JVT50" s="715"/>
      <c r="JVU50" s="715"/>
      <c r="JVV50" s="715"/>
      <c r="JVW50" s="715"/>
      <c r="JVX50" s="715"/>
      <c r="JVY50" s="715"/>
      <c r="JVZ50" s="715"/>
      <c r="JWA50" s="715"/>
      <c r="JWB50" s="715"/>
      <c r="JWC50" s="715"/>
      <c r="JWD50" s="715"/>
      <c r="JWE50" s="715"/>
      <c r="JWF50" s="715"/>
      <c r="JWG50" s="715"/>
      <c r="JWH50" s="715"/>
      <c r="JWI50" s="715"/>
      <c r="JWJ50" s="715"/>
      <c r="JWK50" s="715"/>
      <c r="JWL50" s="715"/>
      <c r="JWM50" s="715"/>
      <c r="JWN50" s="715"/>
      <c r="JWO50" s="715"/>
      <c r="JWP50" s="715"/>
      <c r="JWQ50" s="715"/>
      <c r="JWR50" s="715"/>
      <c r="JWS50" s="715"/>
      <c r="JWT50" s="715"/>
      <c r="JWU50" s="715"/>
      <c r="JWV50" s="715"/>
      <c r="JWW50" s="715"/>
      <c r="JWX50" s="715"/>
      <c r="JWY50" s="715"/>
      <c r="JWZ50" s="715"/>
      <c r="JXA50" s="715"/>
      <c r="JXB50" s="715"/>
      <c r="JXC50" s="715"/>
      <c r="JXD50" s="715"/>
      <c r="JXE50" s="715"/>
      <c r="JXF50" s="715"/>
      <c r="JXG50" s="715"/>
      <c r="JXH50" s="715"/>
      <c r="JXI50" s="715"/>
      <c r="JXJ50" s="715"/>
      <c r="JXK50" s="715"/>
      <c r="JXL50" s="715"/>
      <c r="JXM50" s="715"/>
      <c r="JXN50" s="715"/>
      <c r="JXO50" s="715"/>
      <c r="JXP50" s="715"/>
      <c r="JXQ50" s="715"/>
      <c r="JXR50" s="715"/>
      <c r="JXS50" s="715"/>
      <c r="JXT50" s="715"/>
      <c r="JXU50" s="715"/>
      <c r="JXV50" s="715"/>
      <c r="JXW50" s="715"/>
      <c r="JXX50" s="715"/>
      <c r="JXY50" s="715"/>
      <c r="JXZ50" s="715"/>
      <c r="JYA50" s="715"/>
      <c r="JYB50" s="715"/>
      <c r="JYC50" s="715"/>
      <c r="JYD50" s="715"/>
      <c r="JYE50" s="715"/>
      <c r="JYF50" s="715"/>
      <c r="JYG50" s="715"/>
      <c r="JYH50" s="715"/>
      <c r="JYI50" s="715"/>
      <c r="JYJ50" s="715"/>
      <c r="JYK50" s="715"/>
      <c r="JYL50" s="715"/>
      <c r="JYM50" s="715"/>
      <c r="JYN50" s="715"/>
      <c r="JYO50" s="715"/>
      <c r="JYP50" s="715"/>
      <c r="JYQ50" s="715"/>
      <c r="JYR50" s="715"/>
      <c r="JYS50" s="715"/>
      <c r="JYT50" s="715"/>
      <c r="JYU50" s="715"/>
      <c r="JYV50" s="715"/>
      <c r="JYW50" s="715"/>
      <c r="JYX50" s="715"/>
      <c r="JYY50" s="715"/>
      <c r="JYZ50" s="715"/>
      <c r="JZA50" s="715"/>
      <c r="JZB50" s="715"/>
      <c r="JZC50" s="715"/>
      <c r="JZD50" s="715"/>
      <c r="JZE50" s="715"/>
      <c r="JZF50" s="715"/>
      <c r="JZG50" s="715"/>
      <c r="JZH50" s="715"/>
      <c r="JZI50" s="715"/>
      <c r="JZJ50" s="715"/>
      <c r="JZK50" s="715"/>
      <c r="JZL50" s="715"/>
      <c r="JZM50" s="715"/>
      <c r="JZN50" s="715"/>
      <c r="JZO50" s="715"/>
      <c r="JZP50" s="715"/>
      <c r="JZQ50" s="715"/>
      <c r="JZR50" s="715"/>
      <c r="JZS50" s="715"/>
      <c r="JZT50" s="715"/>
      <c r="JZU50" s="715"/>
      <c r="JZV50" s="715"/>
      <c r="JZW50" s="715"/>
      <c r="JZX50" s="715"/>
      <c r="JZY50" s="715"/>
      <c r="JZZ50" s="715"/>
      <c r="KAA50" s="715"/>
      <c r="KAB50" s="715"/>
      <c r="KAC50" s="715"/>
      <c r="KAD50" s="715"/>
      <c r="KAE50" s="715"/>
      <c r="KAF50" s="715"/>
      <c r="KAG50" s="715"/>
      <c r="KAH50" s="715"/>
      <c r="KAI50" s="715"/>
      <c r="KAJ50" s="715"/>
      <c r="KAK50" s="715"/>
      <c r="KAL50" s="715"/>
      <c r="KAM50" s="715"/>
      <c r="KAN50" s="715"/>
      <c r="KAO50" s="715"/>
      <c r="KAP50" s="715"/>
      <c r="KAQ50" s="715"/>
      <c r="KAR50" s="715"/>
      <c r="KAS50" s="715"/>
      <c r="KAT50" s="715"/>
      <c r="KAU50" s="715"/>
      <c r="KAV50" s="715"/>
      <c r="KAW50" s="715"/>
      <c r="KAX50" s="715"/>
      <c r="KAY50" s="715"/>
      <c r="KAZ50" s="715"/>
      <c r="KBA50" s="715"/>
      <c r="KBB50" s="715"/>
      <c r="KBC50" s="715"/>
      <c r="KBD50" s="715"/>
      <c r="KBE50" s="715"/>
      <c r="KBF50" s="715"/>
      <c r="KBG50" s="715"/>
      <c r="KBH50" s="715"/>
      <c r="KBI50" s="715"/>
      <c r="KBJ50" s="715"/>
      <c r="KBK50" s="715"/>
      <c r="KBL50" s="715"/>
      <c r="KBM50" s="715"/>
      <c r="KBN50" s="715"/>
      <c r="KBO50" s="715"/>
      <c r="KBP50" s="715"/>
      <c r="KBQ50" s="715"/>
      <c r="KBR50" s="715"/>
      <c r="KBS50" s="715"/>
      <c r="KBT50" s="715"/>
      <c r="KBU50" s="715"/>
      <c r="KBV50" s="715"/>
      <c r="KBW50" s="715"/>
      <c r="KBX50" s="715"/>
      <c r="KBY50" s="715"/>
      <c r="KBZ50" s="715"/>
      <c r="KCA50" s="715"/>
      <c r="KCB50" s="715"/>
      <c r="KCC50" s="715"/>
      <c r="KCD50" s="715"/>
      <c r="KCE50" s="715"/>
      <c r="KCF50" s="715"/>
      <c r="KCG50" s="715"/>
      <c r="KCH50" s="715"/>
      <c r="KCI50" s="715"/>
      <c r="KCJ50" s="715"/>
      <c r="KCK50" s="715"/>
      <c r="KCL50" s="715"/>
      <c r="KCM50" s="715"/>
      <c r="KCN50" s="715"/>
      <c r="KCO50" s="715"/>
      <c r="KCP50" s="715"/>
      <c r="KCQ50" s="715"/>
      <c r="KCR50" s="715"/>
      <c r="KCS50" s="715"/>
      <c r="KCT50" s="715"/>
      <c r="KCU50" s="715"/>
      <c r="KCV50" s="715"/>
      <c r="KCW50" s="715"/>
      <c r="KCX50" s="715"/>
      <c r="KCY50" s="715"/>
      <c r="KCZ50" s="715"/>
      <c r="KDA50" s="715"/>
      <c r="KDB50" s="715"/>
      <c r="KDC50" s="715"/>
      <c r="KDD50" s="715"/>
      <c r="KDE50" s="715"/>
      <c r="KDF50" s="715"/>
      <c r="KDG50" s="715"/>
      <c r="KDH50" s="715"/>
      <c r="KDI50" s="715"/>
      <c r="KDJ50" s="715"/>
      <c r="KDK50" s="715"/>
      <c r="KDL50" s="715"/>
      <c r="KDM50" s="715"/>
      <c r="KDN50" s="715"/>
      <c r="KDO50" s="715"/>
      <c r="KDP50" s="715"/>
      <c r="KDQ50" s="715"/>
      <c r="KDR50" s="715"/>
      <c r="KDS50" s="715"/>
      <c r="KDT50" s="715"/>
      <c r="KDU50" s="715"/>
      <c r="KDV50" s="715"/>
      <c r="KDW50" s="715"/>
      <c r="KDX50" s="715"/>
      <c r="KDY50" s="715"/>
      <c r="KDZ50" s="715"/>
      <c r="KEA50" s="715"/>
      <c r="KEB50" s="715"/>
      <c r="KEC50" s="715"/>
      <c r="KED50" s="715"/>
      <c r="KEE50" s="715"/>
      <c r="KEF50" s="715"/>
      <c r="KEG50" s="715"/>
      <c r="KEH50" s="715"/>
      <c r="KEI50" s="715"/>
      <c r="KEJ50" s="715"/>
      <c r="KEK50" s="715"/>
      <c r="KEL50" s="715"/>
      <c r="KEM50" s="715"/>
      <c r="KEN50" s="715"/>
      <c r="KEO50" s="715"/>
      <c r="KEP50" s="715"/>
      <c r="KEQ50" s="715"/>
      <c r="KER50" s="715"/>
      <c r="KES50" s="715"/>
      <c r="KET50" s="715"/>
      <c r="KEU50" s="715"/>
      <c r="KEV50" s="715"/>
      <c r="KEW50" s="715"/>
      <c r="KEX50" s="715"/>
      <c r="KEY50" s="715"/>
      <c r="KEZ50" s="715"/>
      <c r="KFA50" s="715"/>
      <c r="KFB50" s="715"/>
      <c r="KFC50" s="715"/>
      <c r="KFD50" s="715"/>
      <c r="KFE50" s="715"/>
      <c r="KFF50" s="715"/>
      <c r="KFG50" s="715"/>
      <c r="KFH50" s="715"/>
      <c r="KFI50" s="715"/>
      <c r="KFJ50" s="715"/>
      <c r="KFK50" s="715"/>
      <c r="KFL50" s="715"/>
      <c r="KFM50" s="715"/>
      <c r="KFN50" s="715"/>
      <c r="KFO50" s="715"/>
      <c r="KFP50" s="715"/>
      <c r="KFQ50" s="715"/>
      <c r="KFR50" s="715"/>
      <c r="KFS50" s="715"/>
      <c r="KFT50" s="715"/>
      <c r="KFU50" s="715"/>
      <c r="KFV50" s="715"/>
      <c r="KFW50" s="715"/>
      <c r="KFX50" s="715"/>
      <c r="KFY50" s="715"/>
      <c r="KFZ50" s="715"/>
      <c r="KGA50" s="715"/>
      <c r="KGB50" s="715"/>
      <c r="KGC50" s="715"/>
      <c r="KGD50" s="715"/>
      <c r="KGE50" s="715"/>
      <c r="KGF50" s="715"/>
      <c r="KGG50" s="715"/>
      <c r="KGH50" s="715"/>
      <c r="KGI50" s="715"/>
      <c r="KGJ50" s="715"/>
      <c r="KGK50" s="715"/>
      <c r="KGL50" s="715"/>
      <c r="KGM50" s="715"/>
      <c r="KGN50" s="715"/>
      <c r="KGO50" s="715"/>
      <c r="KGP50" s="715"/>
      <c r="KGQ50" s="715"/>
      <c r="KGR50" s="715"/>
      <c r="KGS50" s="715"/>
      <c r="KGT50" s="715"/>
      <c r="KGU50" s="715"/>
      <c r="KGV50" s="715"/>
      <c r="KGW50" s="715"/>
      <c r="KGX50" s="715"/>
      <c r="KGY50" s="715"/>
      <c r="KGZ50" s="715"/>
      <c r="KHA50" s="715"/>
      <c r="KHB50" s="715"/>
      <c r="KHC50" s="715"/>
      <c r="KHD50" s="715"/>
      <c r="KHE50" s="715"/>
      <c r="KHF50" s="715"/>
      <c r="KHG50" s="715"/>
      <c r="KHH50" s="715"/>
      <c r="KHI50" s="715"/>
      <c r="KHJ50" s="715"/>
      <c r="KHK50" s="715"/>
      <c r="KHL50" s="715"/>
      <c r="KHM50" s="715"/>
      <c r="KHN50" s="715"/>
      <c r="KHO50" s="715"/>
      <c r="KHP50" s="715"/>
      <c r="KHQ50" s="715"/>
      <c r="KHR50" s="715"/>
      <c r="KHS50" s="715"/>
      <c r="KHT50" s="715"/>
      <c r="KHU50" s="715"/>
      <c r="KHV50" s="715"/>
      <c r="KHW50" s="715"/>
      <c r="KHX50" s="715"/>
      <c r="KHY50" s="715"/>
      <c r="KHZ50" s="715"/>
      <c r="KIA50" s="715"/>
      <c r="KIB50" s="715"/>
      <c r="KIC50" s="715"/>
      <c r="KID50" s="715"/>
      <c r="KIE50" s="715"/>
      <c r="KIF50" s="715"/>
      <c r="KIG50" s="715"/>
      <c r="KIH50" s="715"/>
      <c r="KII50" s="715"/>
      <c r="KIJ50" s="715"/>
      <c r="KIK50" s="715"/>
      <c r="KIL50" s="715"/>
      <c r="KIM50" s="715"/>
      <c r="KIN50" s="715"/>
      <c r="KIO50" s="715"/>
      <c r="KIP50" s="715"/>
      <c r="KIQ50" s="715"/>
      <c r="KIR50" s="715"/>
      <c r="KIS50" s="715"/>
      <c r="KIT50" s="715"/>
      <c r="KIU50" s="715"/>
      <c r="KIV50" s="715"/>
      <c r="KIW50" s="715"/>
      <c r="KIX50" s="715"/>
      <c r="KIY50" s="715"/>
      <c r="KIZ50" s="715"/>
      <c r="KJA50" s="715"/>
      <c r="KJB50" s="715"/>
      <c r="KJC50" s="715"/>
      <c r="KJD50" s="715"/>
      <c r="KJE50" s="715"/>
      <c r="KJF50" s="715"/>
      <c r="KJG50" s="715"/>
      <c r="KJH50" s="715"/>
      <c r="KJI50" s="715"/>
      <c r="KJJ50" s="715"/>
      <c r="KJK50" s="715"/>
      <c r="KJL50" s="715"/>
      <c r="KJM50" s="715"/>
      <c r="KJN50" s="715"/>
      <c r="KJO50" s="715"/>
      <c r="KJP50" s="715"/>
      <c r="KJQ50" s="715"/>
      <c r="KJR50" s="715"/>
      <c r="KJS50" s="715"/>
      <c r="KJT50" s="715"/>
      <c r="KJU50" s="715"/>
      <c r="KJV50" s="715"/>
      <c r="KJW50" s="715"/>
      <c r="KJX50" s="715"/>
      <c r="KJY50" s="715"/>
      <c r="KJZ50" s="715"/>
      <c r="KKA50" s="715"/>
      <c r="KKB50" s="715"/>
      <c r="KKC50" s="715"/>
      <c r="KKD50" s="715"/>
      <c r="KKE50" s="715"/>
      <c r="KKF50" s="715"/>
      <c r="KKG50" s="715"/>
      <c r="KKH50" s="715"/>
      <c r="KKI50" s="715"/>
      <c r="KKJ50" s="715"/>
      <c r="KKK50" s="715"/>
      <c r="KKL50" s="715"/>
      <c r="KKM50" s="715"/>
      <c r="KKN50" s="715"/>
      <c r="KKO50" s="715"/>
      <c r="KKP50" s="715"/>
      <c r="KKQ50" s="715"/>
      <c r="KKR50" s="715"/>
      <c r="KKS50" s="715"/>
      <c r="KKT50" s="715"/>
      <c r="KKU50" s="715"/>
      <c r="KKV50" s="715"/>
      <c r="KKW50" s="715"/>
      <c r="KKX50" s="715"/>
      <c r="KKY50" s="715"/>
      <c r="KKZ50" s="715"/>
      <c r="KLA50" s="715"/>
      <c r="KLB50" s="715"/>
      <c r="KLC50" s="715"/>
      <c r="KLD50" s="715"/>
      <c r="KLE50" s="715"/>
      <c r="KLF50" s="715"/>
      <c r="KLG50" s="715"/>
      <c r="KLH50" s="715"/>
      <c r="KLI50" s="715"/>
      <c r="KLJ50" s="715"/>
      <c r="KLK50" s="715"/>
      <c r="KLL50" s="715"/>
      <c r="KLM50" s="715"/>
      <c r="KLN50" s="715"/>
      <c r="KLO50" s="715"/>
      <c r="KLP50" s="715"/>
      <c r="KLQ50" s="715"/>
      <c r="KLR50" s="715"/>
      <c r="KLS50" s="715"/>
      <c r="KLT50" s="715"/>
      <c r="KLU50" s="715"/>
      <c r="KLV50" s="715"/>
      <c r="KLW50" s="715"/>
      <c r="KLX50" s="715"/>
      <c r="KLY50" s="715"/>
      <c r="KLZ50" s="715"/>
      <c r="KMA50" s="715"/>
      <c r="KMB50" s="715"/>
      <c r="KMC50" s="715"/>
      <c r="KMD50" s="715"/>
      <c r="KME50" s="715"/>
      <c r="KMF50" s="715"/>
      <c r="KMG50" s="715"/>
      <c r="KMH50" s="715"/>
      <c r="KMI50" s="715"/>
      <c r="KMJ50" s="715"/>
      <c r="KMK50" s="715"/>
      <c r="KML50" s="715"/>
      <c r="KMM50" s="715"/>
      <c r="KMN50" s="715"/>
      <c r="KMO50" s="715"/>
      <c r="KMP50" s="715"/>
      <c r="KMQ50" s="715"/>
      <c r="KMR50" s="715"/>
      <c r="KMS50" s="715"/>
      <c r="KMT50" s="715"/>
      <c r="KMU50" s="715"/>
      <c r="KMV50" s="715"/>
      <c r="KMW50" s="715"/>
      <c r="KMX50" s="715"/>
      <c r="KMY50" s="715"/>
      <c r="KMZ50" s="715"/>
      <c r="KNA50" s="715"/>
      <c r="KNB50" s="715"/>
      <c r="KNC50" s="715"/>
      <c r="KND50" s="715"/>
      <c r="KNE50" s="715"/>
      <c r="KNF50" s="715"/>
      <c r="KNG50" s="715"/>
      <c r="KNH50" s="715"/>
      <c r="KNI50" s="715"/>
      <c r="KNJ50" s="715"/>
      <c r="KNK50" s="715"/>
      <c r="KNL50" s="715"/>
      <c r="KNM50" s="715"/>
      <c r="KNN50" s="715"/>
      <c r="KNO50" s="715"/>
      <c r="KNP50" s="715"/>
      <c r="KNQ50" s="715"/>
      <c r="KNR50" s="715"/>
      <c r="KNS50" s="715"/>
      <c r="KNT50" s="715"/>
      <c r="KNU50" s="715"/>
      <c r="KNV50" s="715"/>
      <c r="KNW50" s="715"/>
      <c r="KNX50" s="715"/>
      <c r="KNY50" s="715"/>
      <c r="KNZ50" s="715"/>
      <c r="KOA50" s="715"/>
      <c r="KOB50" s="715"/>
      <c r="KOC50" s="715"/>
      <c r="KOD50" s="715"/>
      <c r="KOE50" s="715"/>
      <c r="KOF50" s="715"/>
      <c r="KOG50" s="715"/>
      <c r="KOH50" s="715"/>
      <c r="KOI50" s="715"/>
      <c r="KOJ50" s="715"/>
      <c r="KOK50" s="715"/>
      <c r="KOL50" s="715"/>
      <c r="KOM50" s="715"/>
      <c r="KON50" s="715"/>
      <c r="KOO50" s="715"/>
      <c r="KOP50" s="715"/>
      <c r="KOQ50" s="715"/>
      <c r="KOR50" s="715"/>
      <c r="KOS50" s="715"/>
      <c r="KOT50" s="715"/>
      <c r="KOU50" s="715"/>
      <c r="KOV50" s="715"/>
      <c r="KOW50" s="715"/>
      <c r="KOX50" s="715"/>
      <c r="KOY50" s="715"/>
      <c r="KOZ50" s="715"/>
      <c r="KPA50" s="715"/>
      <c r="KPB50" s="715"/>
      <c r="KPC50" s="715"/>
      <c r="KPD50" s="715"/>
      <c r="KPE50" s="715"/>
      <c r="KPF50" s="715"/>
      <c r="KPG50" s="715"/>
      <c r="KPH50" s="715"/>
      <c r="KPI50" s="715"/>
      <c r="KPJ50" s="715"/>
      <c r="KPK50" s="715"/>
      <c r="KPL50" s="715"/>
      <c r="KPM50" s="715"/>
      <c r="KPN50" s="715"/>
      <c r="KPO50" s="715"/>
      <c r="KPP50" s="715"/>
      <c r="KPQ50" s="715"/>
      <c r="KPR50" s="715"/>
      <c r="KPS50" s="715"/>
      <c r="KPT50" s="715"/>
      <c r="KPU50" s="715"/>
      <c r="KPV50" s="715"/>
      <c r="KPW50" s="715"/>
      <c r="KPX50" s="715"/>
      <c r="KPY50" s="715"/>
      <c r="KPZ50" s="715"/>
      <c r="KQA50" s="715"/>
      <c r="KQB50" s="715"/>
      <c r="KQC50" s="715"/>
      <c r="KQD50" s="715"/>
      <c r="KQE50" s="715"/>
      <c r="KQF50" s="715"/>
      <c r="KQG50" s="715"/>
      <c r="KQH50" s="715"/>
      <c r="KQI50" s="715"/>
      <c r="KQJ50" s="715"/>
      <c r="KQK50" s="715"/>
      <c r="KQL50" s="715"/>
      <c r="KQM50" s="715"/>
      <c r="KQN50" s="715"/>
      <c r="KQO50" s="715"/>
      <c r="KQP50" s="715"/>
      <c r="KQQ50" s="715"/>
      <c r="KQR50" s="715"/>
      <c r="KQS50" s="715"/>
      <c r="KQT50" s="715"/>
      <c r="KQU50" s="715"/>
      <c r="KQV50" s="715"/>
      <c r="KQW50" s="715"/>
      <c r="KQX50" s="715"/>
      <c r="KQY50" s="715"/>
      <c r="KQZ50" s="715"/>
      <c r="KRA50" s="715"/>
      <c r="KRB50" s="715"/>
      <c r="KRC50" s="715"/>
      <c r="KRD50" s="715"/>
      <c r="KRE50" s="715"/>
      <c r="KRF50" s="715"/>
      <c r="KRG50" s="715"/>
      <c r="KRH50" s="715"/>
      <c r="KRI50" s="715"/>
      <c r="KRJ50" s="715"/>
      <c r="KRK50" s="715"/>
      <c r="KRL50" s="715"/>
      <c r="KRM50" s="715"/>
      <c r="KRN50" s="715"/>
      <c r="KRO50" s="715"/>
      <c r="KRP50" s="715"/>
      <c r="KRQ50" s="715"/>
      <c r="KRR50" s="715"/>
      <c r="KRS50" s="715"/>
      <c r="KRT50" s="715"/>
      <c r="KRU50" s="715"/>
      <c r="KRV50" s="715"/>
      <c r="KRW50" s="715"/>
      <c r="KRX50" s="715"/>
      <c r="KRY50" s="715"/>
      <c r="KRZ50" s="715"/>
      <c r="KSA50" s="715"/>
      <c r="KSB50" s="715"/>
      <c r="KSC50" s="715"/>
      <c r="KSD50" s="715"/>
      <c r="KSE50" s="715"/>
      <c r="KSF50" s="715"/>
      <c r="KSG50" s="715"/>
      <c r="KSH50" s="715"/>
      <c r="KSI50" s="715"/>
      <c r="KSJ50" s="715"/>
      <c r="KSK50" s="715"/>
      <c r="KSL50" s="715"/>
      <c r="KSM50" s="715"/>
      <c r="KSN50" s="715"/>
      <c r="KSO50" s="715"/>
      <c r="KSP50" s="715"/>
      <c r="KSQ50" s="715"/>
      <c r="KSR50" s="715"/>
      <c r="KSS50" s="715"/>
      <c r="KST50" s="715"/>
      <c r="KSU50" s="715"/>
      <c r="KSV50" s="715"/>
      <c r="KSW50" s="715"/>
      <c r="KSX50" s="715"/>
      <c r="KSY50" s="715"/>
      <c r="KSZ50" s="715"/>
      <c r="KTA50" s="715"/>
      <c r="KTB50" s="715"/>
      <c r="KTC50" s="715"/>
      <c r="KTD50" s="715"/>
      <c r="KTE50" s="715"/>
      <c r="KTF50" s="715"/>
      <c r="KTG50" s="715"/>
      <c r="KTH50" s="715"/>
      <c r="KTI50" s="715"/>
      <c r="KTJ50" s="715"/>
      <c r="KTK50" s="715"/>
      <c r="KTL50" s="715"/>
      <c r="KTM50" s="715"/>
      <c r="KTN50" s="715"/>
      <c r="KTO50" s="715"/>
      <c r="KTP50" s="715"/>
      <c r="KTQ50" s="715"/>
      <c r="KTR50" s="715"/>
      <c r="KTS50" s="715"/>
      <c r="KTT50" s="715"/>
      <c r="KTU50" s="715"/>
      <c r="KTV50" s="715"/>
      <c r="KTW50" s="715"/>
      <c r="KTX50" s="715"/>
      <c r="KTY50" s="715"/>
      <c r="KTZ50" s="715"/>
      <c r="KUA50" s="715"/>
      <c r="KUB50" s="715"/>
      <c r="KUC50" s="715"/>
      <c r="KUD50" s="715"/>
      <c r="KUE50" s="715"/>
      <c r="KUF50" s="715"/>
      <c r="KUG50" s="715"/>
      <c r="KUH50" s="715"/>
      <c r="KUI50" s="715"/>
      <c r="KUJ50" s="715"/>
      <c r="KUK50" s="715"/>
      <c r="KUL50" s="715"/>
      <c r="KUM50" s="715"/>
      <c r="KUN50" s="715"/>
      <c r="KUO50" s="715"/>
      <c r="KUP50" s="715"/>
      <c r="KUQ50" s="715"/>
      <c r="KUR50" s="715"/>
      <c r="KUS50" s="715"/>
      <c r="KUT50" s="715"/>
      <c r="KUU50" s="715"/>
      <c r="KUV50" s="715"/>
      <c r="KUW50" s="715"/>
      <c r="KUX50" s="715"/>
      <c r="KUY50" s="715"/>
      <c r="KUZ50" s="715"/>
      <c r="KVA50" s="715"/>
      <c r="KVB50" s="715"/>
      <c r="KVC50" s="715"/>
      <c r="KVD50" s="715"/>
      <c r="KVE50" s="715"/>
      <c r="KVF50" s="715"/>
      <c r="KVG50" s="715"/>
      <c r="KVH50" s="715"/>
      <c r="KVI50" s="715"/>
      <c r="KVJ50" s="715"/>
      <c r="KVK50" s="715"/>
      <c r="KVL50" s="715"/>
      <c r="KVM50" s="715"/>
      <c r="KVN50" s="715"/>
      <c r="KVO50" s="715"/>
      <c r="KVP50" s="715"/>
      <c r="KVQ50" s="715"/>
      <c r="KVR50" s="715"/>
      <c r="KVS50" s="715"/>
      <c r="KVT50" s="715"/>
      <c r="KVU50" s="715"/>
      <c r="KVV50" s="715"/>
      <c r="KVW50" s="715"/>
      <c r="KVX50" s="715"/>
      <c r="KVY50" s="715"/>
      <c r="KVZ50" s="715"/>
      <c r="KWA50" s="715"/>
      <c r="KWB50" s="715"/>
      <c r="KWC50" s="715"/>
      <c r="KWD50" s="715"/>
      <c r="KWE50" s="715"/>
      <c r="KWF50" s="715"/>
      <c r="KWG50" s="715"/>
      <c r="KWH50" s="715"/>
      <c r="KWI50" s="715"/>
      <c r="KWJ50" s="715"/>
      <c r="KWK50" s="715"/>
      <c r="KWL50" s="715"/>
      <c r="KWM50" s="715"/>
      <c r="KWN50" s="715"/>
      <c r="KWO50" s="715"/>
      <c r="KWP50" s="715"/>
      <c r="KWQ50" s="715"/>
      <c r="KWR50" s="715"/>
      <c r="KWS50" s="715"/>
      <c r="KWT50" s="715"/>
      <c r="KWU50" s="715"/>
      <c r="KWV50" s="715"/>
      <c r="KWW50" s="715"/>
      <c r="KWX50" s="715"/>
      <c r="KWY50" s="715"/>
      <c r="KWZ50" s="715"/>
      <c r="KXA50" s="715"/>
      <c r="KXB50" s="715"/>
      <c r="KXC50" s="715"/>
      <c r="KXD50" s="715"/>
      <c r="KXE50" s="715"/>
      <c r="KXF50" s="715"/>
      <c r="KXG50" s="715"/>
      <c r="KXH50" s="715"/>
      <c r="KXI50" s="715"/>
      <c r="KXJ50" s="715"/>
      <c r="KXK50" s="715"/>
      <c r="KXL50" s="715"/>
      <c r="KXM50" s="715"/>
      <c r="KXN50" s="715"/>
      <c r="KXO50" s="715"/>
      <c r="KXP50" s="715"/>
      <c r="KXQ50" s="715"/>
      <c r="KXR50" s="715"/>
      <c r="KXS50" s="715"/>
      <c r="KXT50" s="715"/>
      <c r="KXU50" s="715"/>
      <c r="KXV50" s="715"/>
      <c r="KXW50" s="715"/>
      <c r="KXX50" s="715"/>
      <c r="KXY50" s="715"/>
      <c r="KXZ50" s="715"/>
      <c r="KYA50" s="715"/>
      <c r="KYB50" s="715"/>
      <c r="KYC50" s="715"/>
      <c r="KYD50" s="715"/>
      <c r="KYE50" s="715"/>
      <c r="KYF50" s="715"/>
      <c r="KYG50" s="715"/>
      <c r="KYH50" s="715"/>
      <c r="KYI50" s="715"/>
      <c r="KYJ50" s="715"/>
      <c r="KYK50" s="715"/>
      <c r="KYL50" s="715"/>
      <c r="KYM50" s="715"/>
      <c r="KYN50" s="715"/>
      <c r="KYO50" s="715"/>
      <c r="KYP50" s="715"/>
      <c r="KYQ50" s="715"/>
      <c r="KYR50" s="715"/>
      <c r="KYS50" s="715"/>
      <c r="KYT50" s="715"/>
      <c r="KYU50" s="715"/>
      <c r="KYV50" s="715"/>
      <c r="KYW50" s="715"/>
      <c r="KYX50" s="715"/>
      <c r="KYY50" s="715"/>
      <c r="KYZ50" s="715"/>
      <c r="KZA50" s="715"/>
      <c r="KZB50" s="715"/>
      <c r="KZC50" s="715"/>
      <c r="KZD50" s="715"/>
      <c r="KZE50" s="715"/>
      <c r="KZF50" s="715"/>
      <c r="KZG50" s="715"/>
      <c r="KZH50" s="715"/>
      <c r="KZI50" s="715"/>
      <c r="KZJ50" s="715"/>
      <c r="KZK50" s="715"/>
      <c r="KZL50" s="715"/>
      <c r="KZM50" s="715"/>
      <c r="KZN50" s="715"/>
      <c r="KZO50" s="715"/>
      <c r="KZP50" s="715"/>
      <c r="KZQ50" s="715"/>
      <c r="KZR50" s="715"/>
      <c r="KZS50" s="715"/>
      <c r="KZT50" s="715"/>
      <c r="KZU50" s="715"/>
      <c r="KZV50" s="715"/>
      <c r="KZW50" s="715"/>
      <c r="KZX50" s="715"/>
      <c r="KZY50" s="715"/>
      <c r="KZZ50" s="715"/>
      <c r="LAA50" s="715"/>
      <c r="LAB50" s="715"/>
      <c r="LAC50" s="715"/>
      <c r="LAD50" s="715"/>
      <c r="LAE50" s="715"/>
      <c r="LAF50" s="715"/>
      <c r="LAG50" s="715"/>
      <c r="LAH50" s="715"/>
      <c r="LAI50" s="715"/>
      <c r="LAJ50" s="715"/>
      <c r="LAK50" s="715"/>
      <c r="LAL50" s="715"/>
      <c r="LAM50" s="715"/>
      <c r="LAN50" s="715"/>
      <c r="LAO50" s="715"/>
      <c r="LAP50" s="715"/>
      <c r="LAQ50" s="715"/>
      <c r="LAR50" s="715"/>
      <c r="LAS50" s="715"/>
      <c r="LAT50" s="715"/>
      <c r="LAU50" s="715"/>
      <c r="LAV50" s="715"/>
      <c r="LAW50" s="715"/>
      <c r="LAX50" s="715"/>
      <c r="LAY50" s="715"/>
      <c r="LAZ50" s="715"/>
      <c r="LBA50" s="715"/>
      <c r="LBB50" s="715"/>
      <c r="LBC50" s="715"/>
      <c r="LBD50" s="715"/>
      <c r="LBE50" s="715"/>
      <c r="LBF50" s="715"/>
      <c r="LBG50" s="715"/>
      <c r="LBH50" s="715"/>
      <c r="LBI50" s="715"/>
      <c r="LBJ50" s="715"/>
      <c r="LBK50" s="715"/>
      <c r="LBL50" s="715"/>
      <c r="LBM50" s="715"/>
      <c r="LBN50" s="715"/>
      <c r="LBO50" s="715"/>
      <c r="LBP50" s="715"/>
      <c r="LBQ50" s="715"/>
      <c r="LBR50" s="715"/>
      <c r="LBS50" s="715"/>
      <c r="LBT50" s="715"/>
      <c r="LBU50" s="715"/>
      <c r="LBV50" s="715"/>
      <c r="LBW50" s="715"/>
      <c r="LBX50" s="715"/>
      <c r="LBY50" s="715"/>
      <c r="LBZ50" s="715"/>
      <c r="LCA50" s="715"/>
      <c r="LCB50" s="715"/>
      <c r="LCC50" s="715"/>
      <c r="LCD50" s="715"/>
      <c r="LCE50" s="715"/>
      <c r="LCF50" s="715"/>
      <c r="LCG50" s="715"/>
      <c r="LCH50" s="715"/>
      <c r="LCI50" s="715"/>
      <c r="LCJ50" s="715"/>
      <c r="LCK50" s="715"/>
      <c r="LCL50" s="715"/>
      <c r="LCM50" s="715"/>
      <c r="LCN50" s="715"/>
      <c r="LCO50" s="715"/>
      <c r="LCP50" s="715"/>
      <c r="LCQ50" s="715"/>
      <c r="LCR50" s="715"/>
      <c r="LCS50" s="715"/>
      <c r="LCT50" s="715"/>
      <c r="LCU50" s="715"/>
      <c r="LCV50" s="715"/>
      <c r="LCW50" s="715"/>
      <c r="LCX50" s="715"/>
      <c r="LCY50" s="715"/>
      <c r="LCZ50" s="715"/>
      <c r="LDA50" s="715"/>
      <c r="LDB50" s="715"/>
      <c r="LDC50" s="715"/>
      <c r="LDD50" s="715"/>
      <c r="LDE50" s="715"/>
      <c r="LDF50" s="715"/>
      <c r="LDG50" s="715"/>
      <c r="LDH50" s="715"/>
      <c r="LDI50" s="715"/>
      <c r="LDJ50" s="715"/>
      <c r="LDK50" s="715"/>
      <c r="LDL50" s="715"/>
      <c r="LDM50" s="715"/>
      <c r="LDN50" s="715"/>
      <c r="LDO50" s="715"/>
      <c r="LDP50" s="715"/>
      <c r="LDQ50" s="715"/>
      <c r="LDR50" s="715"/>
      <c r="LDS50" s="715"/>
      <c r="LDT50" s="715"/>
      <c r="LDU50" s="715"/>
      <c r="LDV50" s="715"/>
      <c r="LDW50" s="715"/>
      <c r="LDX50" s="715"/>
      <c r="LDY50" s="715"/>
      <c r="LDZ50" s="715"/>
      <c r="LEA50" s="715"/>
      <c r="LEB50" s="715"/>
      <c r="LEC50" s="715"/>
      <c r="LED50" s="715"/>
      <c r="LEE50" s="715"/>
      <c r="LEF50" s="715"/>
      <c r="LEG50" s="715"/>
      <c r="LEH50" s="715"/>
      <c r="LEI50" s="715"/>
      <c r="LEJ50" s="715"/>
      <c r="LEK50" s="715"/>
      <c r="LEL50" s="715"/>
      <c r="LEM50" s="715"/>
      <c r="LEN50" s="715"/>
      <c r="LEO50" s="715"/>
      <c r="LEP50" s="715"/>
      <c r="LEQ50" s="715"/>
      <c r="LER50" s="715"/>
      <c r="LES50" s="715"/>
      <c r="LET50" s="715"/>
      <c r="LEU50" s="715"/>
      <c r="LEV50" s="715"/>
      <c r="LEW50" s="715"/>
      <c r="LEX50" s="715"/>
      <c r="LEY50" s="715"/>
      <c r="LEZ50" s="715"/>
      <c r="LFA50" s="715"/>
      <c r="LFB50" s="715"/>
      <c r="LFC50" s="715"/>
      <c r="LFD50" s="715"/>
      <c r="LFE50" s="715"/>
      <c r="LFF50" s="715"/>
      <c r="LFG50" s="715"/>
      <c r="LFH50" s="715"/>
      <c r="LFI50" s="715"/>
      <c r="LFJ50" s="715"/>
      <c r="LFK50" s="715"/>
      <c r="LFL50" s="715"/>
      <c r="LFM50" s="715"/>
      <c r="LFN50" s="715"/>
      <c r="LFO50" s="715"/>
      <c r="LFP50" s="715"/>
      <c r="LFQ50" s="715"/>
      <c r="LFR50" s="715"/>
      <c r="LFS50" s="715"/>
      <c r="LFT50" s="715"/>
      <c r="LFU50" s="715"/>
      <c r="LFV50" s="715"/>
      <c r="LFW50" s="715"/>
      <c r="LFX50" s="715"/>
      <c r="LFY50" s="715"/>
      <c r="LFZ50" s="715"/>
      <c r="LGA50" s="715"/>
      <c r="LGB50" s="715"/>
      <c r="LGC50" s="715"/>
      <c r="LGD50" s="715"/>
      <c r="LGE50" s="715"/>
      <c r="LGF50" s="715"/>
      <c r="LGG50" s="715"/>
      <c r="LGH50" s="715"/>
      <c r="LGI50" s="715"/>
      <c r="LGJ50" s="715"/>
      <c r="LGK50" s="715"/>
      <c r="LGL50" s="715"/>
      <c r="LGM50" s="715"/>
      <c r="LGN50" s="715"/>
      <c r="LGO50" s="715"/>
      <c r="LGP50" s="715"/>
      <c r="LGQ50" s="715"/>
      <c r="LGR50" s="715"/>
      <c r="LGS50" s="715"/>
      <c r="LGT50" s="715"/>
      <c r="LGU50" s="715"/>
      <c r="LGV50" s="715"/>
      <c r="LGW50" s="715"/>
      <c r="LGX50" s="715"/>
      <c r="LGY50" s="715"/>
      <c r="LGZ50" s="715"/>
      <c r="LHA50" s="715"/>
      <c r="LHB50" s="715"/>
      <c r="LHC50" s="715"/>
      <c r="LHD50" s="715"/>
      <c r="LHE50" s="715"/>
      <c r="LHF50" s="715"/>
      <c r="LHG50" s="715"/>
      <c r="LHH50" s="715"/>
      <c r="LHI50" s="715"/>
      <c r="LHJ50" s="715"/>
      <c r="LHK50" s="715"/>
      <c r="LHL50" s="715"/>
      <c r="LHM50" s="715"/>
      <c r="LHN50" s="715"/>
      <c r="LHO50" s="715"/>
      <c r="LHP50" s="715"/>
      <c r="LHQ50" s="715"/>
      <c r="LHR50" s="715"/>
      <c r="LHS50" s="715"/>
      <c r="LHT50" s="715"/>
      <c r="LHU50" s="715"/>
      <c r="LHV50" s="715"/>
      <c r="LHW50" s="715"/>
      <c r="LHX50" s="715"/>
      <c r="LHY50" s="715"/>
      <c r="LHZ50" s="715"/>
      <c r="LIA50" s="715"/>
      <c r="LIB50" s="715"/>
      <c r="LIC50" s="715"/>
      <c r="LID50" s="715"/>
      <c r="LIE50" s="715"/>
      <c r="LIF50" s="715"/>
      <c r="LIG50" s="715"/>
      <c r="LIH50" s="715"/>
      <c r="LII50" s="715"/>
      <c r="LIJ50" s="715"/>
      <c r="LIK50" s="715"/>
      <c r="LIL50" s="715"/>
      <c r="LIM50" s="715"/>
      <c r="LIN50" s="715"/>
      <c r="LIO50" s="715"/>
      <c r="LIP50" s="715"/>
      <c r="LIQ50" s="715"/>
      <c r="LIR50" s="715"/>
      <c r="LIS50" s="715"/>
      <c r="LIT50" s="715"/>
      <c r="LIU50" s="715"/>
      <c r="LIV50" s="715"/>
      <c r="LIW50" s="715"/>
      <c r="LIX50" s="715"/>
      <c r="LIY50" s="715"/>
      <c r="LIZ50" s="715"/>
      <c r="LJA50" s="715"/>
      <c r="LJB50" s="715"/>
      <c r="LJC50" s="715"/>
      <c r="LJD50" s="715"/>
      <c r="LJE50" s="715"/>
      <c r="LJF50" s="715"/>
      <c r="LJG50" s="715"/>
      <c r="LJH50" s="715"/>
      <c r="LJI50" s="715"/>
      <c r="LJJ50" s="715"/>
      <c r="LJK50" s="715"/>
      <c r="LJL50" s="715"/>
      <c r="LJM50" s="715"/>
      <c r="LJN50" s="715"/>
      <c r="LJO50" s="715"/>
      <c r="LJP50" s="715"/>
      <c r="LJQ50" s="715"/>
      <c r="LJR50" s="715"/>
      <c r="LJS50" s="715"/>
      <c r="LJT50" s="715"/>
      <c r="LJU50" s="715"/>
      <c r="LJV50" s="715"/>
      <c r="LJW50" s="715"/>
      <c r="LJX50" s="715"/>
      <c r="LJY50" s="715"/>
      <c r="LJZ50" s="715"/>
      <c r="LKA50" s="715"/>
      <c r="LKB50" s="715"/>
      <c r="LKC50" s="715"/>
      <c r="LKD50" s="715"/>
      <c r="LKE50" s="715"/>
      <c r="LKF50" s="715"/>
      <c r="LKG50" s="715"/>
      <c r="LKH50" s="715"/>
      <c r="LKI50" s="715"/>
      <c r="LKJ50" s="715"/>
      <c r="LKK50" s="715"/>
      <c r="LKL50" s="715"/>
      <c r="LKM50" s="715"/>
      <c r="LKN50" s="715"/>
      <c r="LKO50" s="715"/>
      <c r="LKP50" s="715"/>
      <c r="LKQ50" s="715"/>
      <c r="LKR50" s="715"/>
      <c r="LKS50" s="715"/>
      <c r="LKT50" s="715"/>
      <c r="LKU50" s="715"/>
      <c r="LKV50" s="715"/>
      <c r="LKW50" s="715"/>
      <c r="LKX50" s="715"/>
      <c r="LKY50" s="715"/>
      <c r="LKZ50" s="715"/>
      <c r="LLA50" s="715"/>
      <c r="LLB50" s="715"/>
      <c r="LLC50" s="715"/>
      <c r="LLD50" s="715"/>
      <c r="LLE50" s="715"/>
      <c r="LLF50" s="715"/>
      <c r="LLG50" s="715"/>
      <c r="LLH50" s="715"/>
      <c r="LLI50" s="715"/>
      <c r="LLJ50" s="715"/>
      <c r="LLK50" s="715"/>
      <c r="LLL50" s="715"/>
      <c r="LLM50" s="715"/>
      <c r="LLN50" s="715"/>
      <c r="LLO50" s="715"/>
      <c r="LLP50" s="715"/>
      <c r="LLQ50" s="715"/>
      <c r="LLR50" s="715"/>
      <c r="LLS50" s="715"/>
      <c r="LLT50" s="715"/>
      <c r="LLU50" s="715"/>
      <c r="LLV50" s="715"/>
      <c r="LLW50" s="715"/>
      <c r="LLX50" s="715"/>
      <c r="LLY50" s="715"/>
      <c r="LLZ50" s="715"/>
      <c r="LMA50" s="715"/>
      <c r="LMB50" s="715"/>
      <c r="LMC50" s="715"/>
      <c r="LMD50" s="715"/>
      <c r="LME50" s="715"/>
      <c r="LMF50" s="715"/>
      <c r="LMG50" s="715"/>
      <c r="LMH50" s="715"/>
      <c r="LMI50" s="715"/>
      <c r="LMJ50" s="715"/>
      <c r="LMK50" s="715"/>
      <c r="LML50" s="715"/>
      <c r="LMM50" s="715"/>
      <c r="LMN50" s="715"/>
      <c r="LMO50" s="715"/>
      <c r="LMP50" s="715"/>
      <c r="LMQ50" s="715"/>
      <c r="LMR50" s="715"/>
      <c r="LMS50" s="715"/>
      <c r="LMT50" s="715"/>
      <c r="LMU50" s="715"/>
      <c r="LMV50" s="715"/>
      <c r="LMW50" s="715"/>
      <c r="LMX50" s="715"/>
      <c r="LMY50" s="715"/>
      <c r="LMZ50" s="715"/>
      <c r="LNA50" s="715"/>
      <c r="LNB50" s="715"/>
      <c r="LNC50" s="715"/>
      <c r="LND50" s="715"/>
      <c r="LNE50" s="715"/>
      <c r="LNF50" s="715"/>
      <c r="LNG50" s="715"/>
      <c r="LNH50" s="715"/>
      <c r="LNI50" s="715"/>
      <c r="LNJ50" s="715"/>
      <c r="LNK50" s="715"/>
      <c r="LNL50" s="715"/>
      <c r="LNM50" s="715"/>
      <c r="LNN50" s="715"/>
      <c r="LNO50" s="715"/>
      <c r="LNP50" s="715"/>
      <c r="LNQ50" s="715"/>
      <c r="LNR50" s="715"/>
      <c r="LNS50" s="715"/>
      <c r="LNT50" s="715"/>
      <c r="LNU50" s="715"/>
      <c r="LNV50" s="715"/>
      <c r="LNW50" s="715"/>
      <c r="LNX50" s="715"/>
      <c r="LNY50" s="715"/>
      <c r="LNZ50" s="715"/>
      <c r="LOA50" s="715"/>
      <c r="LOB50" s="715"/>
      <c r="LOC50" s="715"/>
      <c r="LOD50" s="715"/>
      <c r="LOE50" s="715"/>
      <c r="LOF50" s="715"/>
      <c r="LOG50" s="715"/>
      <c r="LOH50" s="715"/>
      <c r="LOI50" s="715"/>
      <c r="LOJ50" s="715"/>
      <c r="LOK50" s="715"/>
      <c r="LOL50" s="715"/>
      <c r="LOM50" s="715"/>
      <c r="LON50" s="715"/>
      <c r="LOO50" s="715"/>
      <c r="LOP50" s="715"/>
      <c r="LOQ50" s="715"/>
      <c r="LOR50" s="715"/>
      <c r="LOS50" s="715"/>
      <c r="LOT50" s="715"/>
      <c r="LOU50" s="715"/>
      <c r="LOV50" s="715"/>
      <c r="LOW50" s="715"/>
      <c r="LOX50" s="715"/>
      <c r="LOY50" s="715"/>
      <c r="LOZ50" s="715"/>
      <c r="LPA50" s="715"/>
      <c r="LPB50" s="715"/>
      <c r="LPC50" s="715"/>
      <c r="LPD50" s="715"/>
      <c r="LPE50" s="715"/>
      <c r="LPF50" s="715"/>
      <c r="LPG50" s="715"/>
      <c r="LPH50" s="715"/>
      <c r="LPI50" s="715"/>
      <c r="LPJ50" s="715"/>
      <c r="LPK50" s="715"/>
      <c r="LPL50" s="715"/>
      <c r="LPM50" s="715"/>
      <c r="LPN50" s="715"/>
      <c r="LPO50" s="715"/>
      <c r="LPP50" s="715"/>
      <c r="LPQ50" s="715"/>
      <c r="LPR50" s="715"/>
      <c r="LPS50" s="715"/>
      <c r="LPT50" s="715"/>
      <c r="LPU50" s="715"/>
      <c r="LPV50" s="715"/>
      <c r="LPW50" s="715"/>
      <c r="LPX50" s="715"/>
      <c r="LPY50" s="715"/>
      <c r="LPZ50" s="715"/>
      <c r="LQA50" s="715"/>
      <c r="LQB50" s="715"/>
      <c r="LQC50" s="715"/>
      <c r="LQD50" s="715"/>
      <c r="LQE50" s="715"/>
      <c r="LQF50" s="715"/>
      <c r="LQG50" s="715"/>
      <c r="LQH50" s="715"/>
      <c r="LQI50" s="715"/>
      <c r="LQJ50" s="715"/>
      <c r="LQK50" s="715"/>
      <c r="LQL50" s="715"/>
      <c r="LQM50" s="715"/>
      <c r="LQN50" s="715"/>
      <c r="LQO50" s="715"/>
      <c r="LQP50" s="715"/>
      <c r="LQQ50" s="715"/>
      <c r="LQR50" s="715"/>
      <c r="LQS50" s="715"/>
      <c r="LQT50" s="715"/>
      <c r="LQU50" s="715"/>
      <c r="LQV50" s="715"/>
      <c r="LQW50" s="715"/>
      <c r="LQX50" s="715"/>
      <c r="LQY50" s="715"/>
      <c r="LQZ50" s="715"/>
      <c r="LRA50" s="715"/>
      <c r="LRB50" s="715"/>
      <c r="LRC50" s="715"/>
      <c r="LRD50" s="715"/>
      <c r="LRE50" s="715"/>
      <c r="LRF50" s="715"/>
      <c r="LRG50" s="715"/>
      <c r="LRH50" s="715"/>
      <c r="LRI50" s="715"/>
      <c r="LRJ50" s="715"/>
      <c r="LRK50" s="715"/>
      <c r="LRL50" s="715"/>
      <c r="LRM50" s="715"/>
      <c r="LRN50" s="715"/>
      <c r="LRO50" s="715"/>
      <c r="LRP50" s="715"/>
      <c r="LRQ50" s="715"/>
      <c r="LRR50" s="715"/>
      <c r="LRS50" s="715"/>
      <c r="LRT50" s="715"/>
      <c r="LRU50" s="715"/>
      <c r="LRV50" s="715"/>
      <c r="LRW50" s="715"/>
      <c r="LRX50" s="715"/>
      <c r="LRY50" s="715"/>
      <c r="LRZ50" s="715"/>
      <c r="LSA50" s="715"/>
      <c r="LSB50" s="715"/>
      <c r="LSC50" s="715"/>
      <c r="LSD50" s="715"/>
      <c r="LSE50" s="715"/>
      <c r="LSF50" s="715"/>
      <c r="LSG50" s="715"/>
      <c r="LSH50" s="715"/>
      <c r="LSI50" s="715"/>
      <c r="LSJ50" s="715"/>
      <c r="LSK50" s="715"/>
      <c r="LSL50" s="715"/>
      <c r="LSM50" s="715"/>
      <c r="LSN50" s="715"/>
      <c r="LSO50" s="715"/>
      <c r="LSP50" s="715"/>
      <c r="LSQ50" s="715"/>
      <c r="LSR50" s="715"/>
      <c r="LSS50" s="715"/>
      <c r="LST50" s="715"/>
      <c r="LSU50" s="715"/>
      <c r="LSV50" s="715"/>
      <c r="LSW50" s="715"/>
      <c r="LSX50" s="715"/>
      <c r="LSY50" s="715"/>
      <c r="LSZ50" s="715"/>
      <c r="LTA50" s="715"/>
      <c r="LTB50" s="715"/>
      <c r="LTC50" s="715"/>
      <c r="LTD50" s="715"/>
      <c r="LTE50" s="715"/>
      <c r="LTF50" s="715"/>
      <c r="LTG50" s="715"/>
      <c r="LTH50" s="715"/>
      <c r="LTI50" s="715"/>
      <c r="LTJ50" s="715"/>
      <c r="LTK50" s="715"/>
      <c r="LTL50" s="715"/>
      <c r="LTM50" s="715"/>
      <c r="LTN50" s="715"/>
      <c r="LTO50" s="715"/>
      <c r="LTP50" s="715"/>
      <c r="LTQ50" s="715"/>
      <c r="LTR50" s="715"/>
      <c r="LTS50" s="715"/>
      <c r="LTT50" s="715"/>
      <c r="LTU50" s="715"/>
      <c r="LTV50" s="715"/>
      <c r="LTW50" s="715"/>
      <c r="LTX50" s="715"/>
      <c r="LTY50" s="715"/>
      <c r="LTZ50" s="715"/>
      <c r="LUA50" s="715"/>
      <c r="LUB50" s="715"/>
      <c r="LUC50" s="715"/>
      <c r="LUD50" s="715"/>
      <c r="LUE50" s="715"/>
      <c r="LUF50" s="715"/>
      <c r="LUG50" s="715"/>
      <c r="LUH50" s="715"/>
      <c r="LUI50" s="715"/>
      <c r="LUJ50" s="715"/>
      <c r="LUK50" s="715"/>
      <c r="LUL50" s="715"/>
      <c r="LUM50" s="715"/>
      <c r="LUN50" s="715"/>
      <c r="LUO50" s="715"/>
      <c r="LUP50" s="715"/>
      <c r="LUQ50" s="715"/>
      <c r="LUR50" s="715"/>
      <c r="LUS50" s="715"/>
      <c r="LUT50" s="715"/>
      <c r="LUU50" s="715"/>
      <c r="LUV50" s="715"/>
      <c r="LUW50" s="715"/>
      <c r="LUX50" s="715"/>
      <c r="LUY50" s="715"/>
      <c r="LUZ50" s="715"/>
      <c r="LVA50" s="715"/>
      <c r="LVB50" s="715"/>
      <c r="LVC50" s="715"/>
      <c r="LVD50" s="715"/>
      <c r="LVE50" s="715"/>
      <c r="LVF50" s="715"/>
      <c r="LVG50" s="715"/>
      <c r="LVH50" s="715"/>
      <c r="LVI50" s="715"/>
      <c r="LVJ50" s="715"/>
      <c r="LVK50" s="715"/>
      <c r="LVL50" s="715"/>
      <c r="LVM50" s="715"/>
      <c r="LVN50" s="715"/>
      <c r="LVO50" s="715"/>
      <c r="LVP50" s="715"/>
      <c r="LVQ50" s="715"/>
      <c r="LVR50" s="715"/>
      <c r="LVS50" s="715"/>
      <c r="LVT50" s="715"/>
      <c r="LVU50" s="715"/>
      <c r="LVV50" s="715"/>
      <c r="LVW50" s="715"/>
      <c r="LVX50" s="715"/>
      <c r="LVY50" s="715"/>
      <c r="LVZ50" s="715"/>
      <c r="LWA50" s="715"/>
      <c r="LWB50" s="715"/>
      <c r="LWC50" s="715"/>
      <c r="LWD50" s="715"/>
      <c r="LWE50" s="715"/>
      <c r="LWF50" s="715"/>
      <c r="LWG50" s="715"/>
      <c r="LWH50" s="715"/>
      <c r="LWI50" s="715"/>
      <c r="LWJ50" s="715"/>
      <c r="LWK50" s="715"/>
      <c r="LWL50" s="715"/>
      <c r="LWM50" s="715"/>
      <c r="LWN50" s="715"/>
      <c r="LWO50" s="715"/>
      <c r="LWP50" s="715"/>
      <c r="LWQ50" s="715"/>
      <c r="LWR50" s="715"/>
      <c r="LWS50" s="715"/>
      <c r="LWT50" s="715"/>
      <c r="LWU50" s="715"/>
      <c r="LWV50" s="715"/>
      <c r="LWW50" s="715"/>
      <c r="LWX50" s="715"/>
      <c r="LWY50" s="715"/>
      <c r="LWZ50" s="715"/>
      <c r="LXA50" s="715"/>
      <c r="LXB50" s="715"/>
      <c r="LXC50" s="715"/>
      <c r="LXD50" s="715"/>
      <c r="LXE50" s="715"/>
      <c r="LXF50" s="715"/>
      <c r="LXG50" s="715"/>
      <c r="LXH50" s="715"/>
      <c r="LXI50" s="715"/>
      <c r="LXJ50" s="715"/>
      <c r="LXK50" s="715"/>
      <c r="LXL50" s="715"/>
      <c r="LXM50" s="715"/>
      <c r="LXN50" s="715"/>
      <c r="LXO50" s="715"/>
      <c r="LXP50" s="715"/>
      <c r="LXQ50" s="715"/>
      <c r="LXR50" s="715"/>
      <c r="LXS50" s="715"/>
      <c r="LXT50" s="715"/>
      <c r="LXU50" s="715"/>
      <c r="LXV50" s="715"/>
      <c r="LXW50" s="715"/>
      <c r="LXX50" s="715"/>
      <c r="LXY50" s="715"/>
      <c r="LXZ50" s="715"/>
      <c r="LYA50" s="715"/>
      <c r="LYB50" s="715"/>
      <c r="LYC50" s="715"/>
      <c r="LYD50" s="715"/>
      <c r="LYE50" s="715"/>
      <c r="LYF50" s="715"/>
      <c r="LYG50" s="715"/>
      <c r="LYH50" s="715"/>
      <c r="LYI50" s="715"/>
      <c r="LYJ50" s="715"/>
      <c r="LYK50" s="715"/>
      <c r="LYL50" s="715"/>
      <c r="LYM50" s="715"/>
      <c r="LYN50" s="715"/>
      <c r="LYO50" s="715"/>
      <c r="LYP50" s="715"/>
      <c r="LYQ50" s="715"/>
      <c r="LYR50" s="715"/>
      <c r="LYS50" s="715"/>
      <c r="LYT50" s="715"/>
      <c r="LYU50" s="715"/>
      <c r="LYV50" s="715"/>
      <c r="LYW50" s="715"/>
      <c r="LYX50" s="715"/>
      <c r="LYY50" s="715"/>
      <c r="LYZ50" s="715"/>
      <c r="LZA50" s="715"/>
      <c r="LZB50" s="715"/>
      <c r="LZC50" s="715"/>
      <c r="LZD50" s="715"/>
      <c r="LZE50" s="715"/>
      <c r="LZF50" s="715"/>
      <c r="LZG50" s="715"/>
      <c r="LZH50" s="715"/>
      <c r="LZI50" s="715"/>
      <c r="LZJ50" s="715"/>
      <c r="LZK50" s="715"/>
      <c r="LZL50" s="715"/>
      <c r="LZM50" s="715"/>
      <c r="LZN50" s="715"/>
      <c r="LZO50" s="715"/>
      <c r="LZP50" s="715"/>
      <c r="LZQ50" s="715"/>
      <c r="LZR50" s="715"/>
      <c r="LZS50" s="715"/>
      <c r="LZT50" s="715"/>
      <c r="LZU50" s="715"/>
      <c r="LZV50" s="715"/>
      <c r="LZW50" s="715"/>
      <c r="LZX50" s="715"/>
      <c r="LZY50" s="715"/>
      <c r="LZZ50" s="715"/>
      <c r="MAA50" s="715"/>
      <c r="MAB50" s="715"/>
      <c r="MAC50" s="715"/>
      <c r="MAD50" s="715"/>
      <c r="MAE50" s="715"/>
      <c r="MAF50" s="715"/>
      <c r="MAG50" s="715"/>
      <c r="MAH50" s="715"/>
      <c r="MAI50" s="715"/>
      <c r="MAJ50" s="715"/>
      <c r="MAK50" s="715"/>
      <c r="MAL50" s="715"/>
      <c r="MAM50" s="715"/>
      <c r="MAN50" s="715"/>
      <c r="MAO50" s="715"/>
      <c r="MAP50" s="715"/>
      <c r="MAQ50" s="715"/>
      <c r="MAR50" s="715"/>
      <c r="MAS50" s="715"/>
      <c r="MAT50" s="715"/>
      <c r="MAU50" s="715"/>
      <c r="MAV50" s="715"/>
      <c r="MAW50" s="715"/>
      <c r="MAX50" s="715"/>
      <c r="MAY50" s="715"/>
      <c r="MAZ50" s="715"/>
      <c r="MBA50" s="715"/>
      <c r="MBB50" s="715"/>
      <c r="MBC50" s="715"/>
      <c r="MBD50" s="715"/>
      <c r="MBE50" s="715"/>
      <c r="MBF50" s="715"/>
      <c r="MBG50" s="715"/>
      <c r="MBH50" s="715"/>
      <c r="MBI50" s="715"/>
      <c r="MBJ50" s="715"/>
      <c r="MBK50" s="715"/>
      <c r="MBL50" s="715"/>
      <c r="MBM50" s="715"/>
      <c r="MBN50" s="715"/>
      <c r="MBO50" s="715"/>
      <c r="MBP50" s="715"/>
      <c r="MBQ50" s="715"/>
      <c r="MBR50" s="715"/>
      <c r="MBS50" s="715"/>
      <c r="MBT50" s="715"/>
      <c r="MBU50" s="715"/>
      <c r="MBV50" s="715"/>
      <c r="MBW50" s="715"/>
      <c r="MBX50" s="715"/>
      <c r="MBY50" s="715"/>
      <c r="MBZ50" s="715"/>
      <c r="MCA50" s="715"/>
      <c r="MCB50" s="715"/>
      <c r="MCC50" s="715"/>
      <c r="MCD50" s="715"/>
      <c r="MCE50" s="715"/>
      <c r="MCF50" s="715"/>
      <c r="MCG50" s="715"/>
      <c r="MCH50" s="715"/>
      <c r="MCI50" s="715"/>
      <c r="MCJ50" s="715"/>
      <c r="MCK50" s="715"/>
      <c r="MCL50" s="715"/>
      <c r="MCM50" s="715"/>
      <c r="MCN50" s="715"/>
      <c r="MCO50" s="715"/>
      <c r="MCP50" s="715"/>
      <c r="MCQ50" s="715"/>
      <c r="MCR50" s="715"/>
      <c r="MCS50" s="715"/>
      <c r="MCT50" s="715"/>
      <c r="MCU50" s="715"/>
      <c r="MCV50" s="715"/>
      <c r="MCW50" s="715"/>
      <c r="MCX50" s="715"/>
      <c r="MCY50" s="715"/>
      <c r="MCZ50" s="715"/>
      <c r="MDA50" s="715"/>
      <c r="MDB50" s="715"/>
      <c r="MDC50" s="715"/>
      <c r="MDD50" s="715"/>
      <c r="MDE50" s="715"/>
      <c r="MDF50" s="715"/>
      <c r="MDG50" s="715"/>
      <c r="MDH50" s="715"/>
      <c r="MDI50" s="715"/>
      <c r="MDJ50" s="715"/>
      <c r="MDK50" s="715"/>
      <c r="MDL50" s="715"/>
      <c r="MDM50" s="715"/>
      <c r="MDN50" s="715"/>
      <c r="MDO50" s="715"/>
      <c r="MDP50" s="715"/>
      <c r="MDQ50" s="715"/>
      <c r="MDR50" s="715"/>
      <c r="MDS50" s="715"/>
      <c r="MDT50" s="715"/>
      <c r="MDU50" s="715"/>
      <c r="MDV50" s="715"/>
      <c r="MDW50" s="715"/>
      <c r="MDX50" s="715"/>
      <c r="MDY50" s="715"/>
      <c r="MDZ50" s="715"/>
      <c r="MEA50" s="715"/>
      <c r="MEB50" s="715"/>
      <c r="MEC50" s="715"/>
      <c r="MED50" s="715"/>
      <c r="MEE50" s="715"/>
      <c r="MEF50" s="715"/>
      <c r="MEG50" s="715"/>
      <c r="MEH50" s="715"/>
      <c r="MEI50" s="715"/>
      <c r="MEJ50" s="715"/>
      <c r="MEK50" s="715"/>
      <c r="MEL50" s="715"/>
      <c r="MEM50" s="715"/>
      <c r="MEN50" s="715"/>
      <c r="MEO50" s="715"/>
      <c r="MEP50" s="715"/>
      <c r="MEQ50" s="715"/>
      <c r="MER50" s="715"/>
      <c r="MES50" s="715"/>
      <c r="MET50" s="715"/>
      <c r="MEU50" s="715"/>
      <c r="MEV50" s="715"/>
      <c r="MEW50" s="715"/>
      <c r="MEX50" s="715"/>
      <c r="MEY50" s="715"/>
      <c r="MEZ50" s="715"/>
      <c r="MFA50" s="715"/>
      <c r="MFB50" s="715"/>
      <c r="MFC50" s="715"/>
      <c r="MFD50" s="715"/>
      <c r="MFE50" s="715"/>
      <c r="MFF50" s="715"/>
      <c r="MFG50" s="715"/>
      <c r="MFH50" s="715"/>
      <c r="MFI50" s="715"/>
      <c r="MFJ50" s="715"/>
      <c r="MFK50" s="715"/>
      <c r="MFL50" s="715"/>
      <c r="MFM50" s="715"/>
      <c r="MFN50" s="715"/>
      <c r="MFO50" s="715"/>
      <c r="MFP50" s="715"/>
      <c r="MFQ50" s="715"/>
      <c r="MFR50" s="715"/>
      <c r="MFS50" s="715"/>
      <c r="MFT50" s="715"/>
      <c r="MFU50" s="715"/>
      <c r="MFV50" s="715"/>
      <c r="MFW50" s="715"/>
      <c r="MFX50" s="715"/>
      <c r="MFY50" s="715"/>
      <c r="MFZ50" s="715"/>
      <c r="MGA50" s="715"/>
      <c r="MGB50" s="715"/>
      <c r="MGC50" s="715"/>
      <c r="MGD50" s="715"/>
      <c r="MGE50" s="715"/>
      <c r="MGF50" s="715"/>
      <c r="MGG50" s="715"/>
      <c r="MGH50" s="715"/>
      <c r="MGI50" s="715"/>
      <c r="MGJ50" s="715"/>
      <c r="MGK50" s="715"/>
      <c r="MGL50" s="715"/>
      <c r="MGM50" s="715"/>
      <c r="MGN50" s="715"/>
      <c r="MGO50" s="715"/>
      <c r="MGP50" s="715"/>
      <c r="MGQ50" s="715"/>
      <c r="MGR50" s="715"/>
      <c r="MGS50" s="715"/>
      <c r="MGT50" s="715"/>
      <c r="MGU50" s="715"/>
      <c r="MGV50" s="715"/>
      <c r="MGW50" s="715"/>
      <c r="MGX50" s="715"/>
      <c r="MGY50" s="715"/>
      <c r="MGZ50" s="715"/>
      <c r="MHA50" s="715"/>
      <c r="MHB50" s="715"/>
      <c r="MHC50" s="715"/>
      <c r="MHD50" s="715"/>
      <c r="MHE50" s="715"/>
      <c r="MHF50" s="715"/>
      <c r="MHG50" s="715"/>
      <c r="MHH50" s="715"/>
      <c r="MHI50" s="715"/>
      <c r="MHJ50" s="715"/>
      <c r="MHK50" s="715"/>
      <c r="MHL50" s="715"/>
      <c r="MHM50" s="715"/>
      <c r="MHN50" s="715"/>
      <c r="MHO50" s="715"/>
      <c r="MHP50" s="715"/>
      <c r="MHQ50" s="715"/>
      <c r="MHR50" s="715"/>
      <c r="MHS50" s="715"/>
      <c r="MHT50" s="715"/>
      <c r="MHU50" s="715"/>
      <c r="MHV50" s="715"/>
      <c r="MHW50" s="715"/>
      <c r="MHX50" s="715"/>
      <c r="MHY50" s="715"/>
      <c r="MHZ50" s="715"/>
      <c r="MIA50" s="715"/>
      <c r="MIB50" s="715"/>
      <c r="MIC50" s="715"/>
      <c r="MID50" s="715"/>
      <c r="MIE50" s="715"/>
      <c r="MIF50" s="715"/>
      <c r="MIG50" s="715"/>
      <c r="MIH50" s="715"/>
      <c r="MII50" s="715"/>
      <c r="MIJ50" s="715"/>
      <c r="MIK50" s="715"/>
      <c r="MIL50" s="715"/>
      <c r="MIM50" s="715"/>
      <c r="MIN50" s="715"/>
      <c r="MIO50" s="715"/>
      <c r="MIP50" s="715"/>
      <c r="MIQ50" s="715"/>
      <c r="MIR50" s="715"/>
      <c r="MIS50" s="715"/>
      <c r="MIT50" s="715"/>
      <c r="MIU50" s="715"/>
      <c r="MIV50" s="715"/>
      <c r="MIW50" s="715"/>
      <c r="MIX50" s="715"/>
      <c r="MIY50" s="715"/>
      <c r="MIZ50" s="715"/>
      <c r="MJA50" s="715"/>
      <c r="MJB50" s="715"/>
      <c r="MJC50" s="715"/>
      <c r="MJD50" s="715"/>
      <c r="MJE50" s="715"/>
      <c r="MJF50" s="715"/>
      <c r="MJG50" s="715"/>
      <c r="MJH50" s="715"/>
      <c r="MJI50" s="715"/>
      <c r="MJJ50" s="715"/>
      <c r="MJK50" s="715"/>
      <c r="MJL50" s="715"/>
      <c r="MJM50" s="715"/>
      <c r="MJN50" s="715"/>
      <c r="MJO50" s="715"/>
      <c r="MJP50" s="715"/>
      <c r="MJQ50" s="715"/>
      <c r="MJR50" s="715"/>
      <c r="MJS50" s="715"/>
      <c r="MJT50" s="715"/>
      <c r="MJU50" s="715"/>
      <c r="MJV50" s="715"/>
      <c r="MJW50" s="715"/>
      <c r="MJX50" s="715"/>
      <c r="MJY50" s="715"/>
      <c r="MJZ50" s="715"/>
      <c r="MKA50" s="715"/>
      <c r="MKB50" s="715"/>
      <c r="MKC50" s="715"/>
      <c r="MKD50" s="715"/>
      <c r="MKE50" s="715"/>
      <c r="MKF50" s="715"/>
      <c r="MKG50" s="715"/>
      <c r="MKH50" s="715"/>
      <c r="MKI50" s="715"/>
      <c r="MKJ50" s="715"/>
      <c r="MKK50" s="715"/>
      <c r="MKL50" s="715"/>
      <c r="MKM50" s="715"/>
      <c r="MKN50" s="715"/>
      <c r="MKO50" s="715"/>
      <c r="MKP50" s="715"/>
      <c r="MKQ50" s="715"/>
      <c r="MKR50" s="715"/>
      <c r="MKS50" s="715"/>
      <c r="MKT50" s="715"/>
      <c r="MKU50" s="715"/>
      <c r="MKV50" s="715"/>
      <c r="MKW50" s="715"/>
      <c r="MKX50" s="715"/>
      <c r="MKY50" s="715"/>
      <c r="MKZ50" s="715"/>
      <c r="MLA50" s="715"/>
      <c r="MLB50" s="715"/>
      <c r="MLC50" s="715"/>
      <c r="MLD50" s="715"/>
      <c r="MLE50" s="715"/>
      <c r="MLF50" s="715"/>
      <c r="MLG50" s="715"/>
      <c r="MLH50" s="715"/>
      <c r="MLI50" s="715"/>
      <c r="MLJ50" s="715"/>
      <c r="MLK50" s="715"/>
      <c r="MLL50" s="715"/>
      <c r="MLM50" s="715"/>
      <c r="MLN50" s="715"/>
      <c r="MLO50" s="715"/>
      <c r="MLP50" s="715"/>
      <c r="MLQ50" s="715"/>
      <c r="MLR50" s="715"/>
      <c r="MLS50" s="715"/>
      <c r="MLT50" s="715"/>
      <c r="MLU50" s="715"/>
      <c r="MLV50" s="715"/>
      <c r="MLW50" s="715"/>
      <c r="MLX50" s="715"/>
      <c r="MLY50" s="715"/>
      <c r="MLZ50" s="715"/>
      <c r="MMA50" s="715"/>
      <c r="MMB50" s="715"/>
      <c r="MMC50" s="715"/>
      <c r="MMD50" s="715"/>
      <c r="MME50" s="715"/>
      <c r="MMF50" s="715"/>
      <c r="MMG50" s="715"/>
      <c r="MMH50" s="715"/>
      <c r="MMI50" s="715"/>
      <c r="MMJ50" s="715"/>
      <c r="MMK50" s="715"/>
      <c r="MML50" s="715"/>
      <c r="MMM50" s="715"/>
      <c r="MMN50" s="715"/>
      <c r="MMO50" s="715"/>
      <c r="MMP50" s="715"/>
      <c r="MMQ50" s="715"/>
      <c r="MMR50" s="715"/>
      <c r="MMS50" s="715"/>
      <c r="MMT50" s="715"/>
      <c r="MMU50" s="715"/>
      <c r="MMV50" s="715"/>
      <c r="MMW50" s="715"/>
      <c r="MMX50" s="715"/>
      <c r="MMY50" s="715"/>
      <c r="MMZ50" s="715"/>
      <c r="MNA50" s="715"/>
      <c r="MNB50" s="715"/>
      <c r="MNC50" s="715"/>
      <c r="MND50" s="715"/>
      <c r="MNE50" s="715"/>
      <c r="MNF50" s="715"/>
      <c r="MNG50" s="715"/>
      <c r="MNH50" s="715"/>
      <c r="MNI50" s="715"/>
      <c r="MNJ50" s="715"/>
      <c r="MNK50" s="715"/>
      <c r="MNL50" s="715"/>
      <c r="MNM50" s="715"/>
      <c r="MNN50" s="715"/>
      <c r="MNO50" s="715"/>
      <c r="MNP50" s="715"/>
      <c r="MNQ50" s="715"/>
      <c r="MNR50" s="715"/>
      <c r="MNS50" s="715"/>
      <c r="MNT50" s="715"/>
      <c r="MNU50" s="715"/>
      <c r="MNV50" s="715"/>
      <c r="MNW50" s="715"/>
      <c r="MNX50" s="715"/>
      <c r="MNY50" s="715"/>
      <c r="MNZ50" s="715"/>
      <c r="MOA50" s="715"/>
      <c r="MOB50" s="715"/>
      <c r="MOC50" s="715"/>
      <c r="MOD50" s="715"/>
      <c r="MOE50" s="715"/>
      <c r="MOF50" s="715"/>
      <c r="MOG50" s="715"/>
      <c r="MOH50" s="715"/>
      <c r="MOI50" s="715"/>
      <c r="MOJ50" s="715"/>
      <c r="MOK50" s="715"/>
      <c r="MOL50" s="715"/>
      <c r="MOM50" s="715"/>
      <c r="MON50" s="715"/>
      <c r="MOO50" s="715"/>
      <c r="MOP50" s="715"/>
      <c r="MOQ50" s="715"/>
      <c r="MOR50" s="715"/>
      <c r="MOS50" s="715"/>
      <c r="MOT50" s="715"/>
      <c r="MOU50" s="715"/>
      <c r="MOV50" s="715"/>
      <c r="MOW50" s="715"/>
      <c r="MOX50" s="715"/>
      <c r="MOY50" s="715"/>
      <c r="MOZ50" s="715"/>
      <c r="MPA50" s="715"/>
      <c r="MPB50" s="715"/>
      <c r="MPC50" s="715"/>
      <c r="MPD50" s="715"/>
      <c r="MPE50" s="715"/>
      <c r="MPF50" s="715"/>
      <c r="MPG50" s="715"/>
      <c r="MPH50" s="715"/>
      <c r="MPI50" s="715"/>
      <c r="MPJ50" s="715"/>
      <c r="MPK50" s="715"/>
      <c r="MPL50" s="715"/>
      <c r="MPM50" s="715"/>
      <c r="MPN50" s="715"/>
      <c r="MPO50" s="715"/>
      <c r="MPP50" s="715"/>
      <c r="MPQ50" s="715"/>
      <c r="MPR50" s="715"/>
      <c r="MPS50" s="715"/>
      <c r="MPT50" s="715"/>
      <c r="MPU50" s="715"/>
      <c r="MPV50" s="715"/>
      <c r="MPW50" s="715"/>
      <c r="MPX50" s="715"/>
      <c r="MPY50" s="715"/>
      <c r="MPZ50" s="715"/>
      <c r="MQA50" s="715"/>
      <c r="MQB50" s="715"/>
      <c r="MQC50" s="715"/>
      <c r="MQD50" s="715"/>
      <c r="MQE50" s="715"/>
      <c r="MQF50" s="715"/>
      <c r="MQG50" s="715"/>
      <c r="MQH50" s="715"/>
      <c r="MQI50" s="715"/>
      <c r="MQJ50" s="715"/>
      <c r="MQK50" s="715"/>
      <c r="MQL50" s="715"/>
      <c r="MQM50" s="715"/>
      <c r="MQN50" s="715"/>
      <c r="MQO50" s="715"/>
      <c r="MQP50" s="715"/>
      <c r="MQQ50" s="715"/>
      <c r="MQR50" s="715"/>
      <c r="MQS50" s="715"/>
      <c r="MQT50" s="715"/>
      <c r="MQU50" s="715"/>
      <c r="MQV50" s="715"/>
      <c r="MQW50" s="715"/>
      <c r="MQX50" s="715"/>
      <c r="MQY50" s="715"/>
      <c r="MQZ50" s="715"/>
      <c r="MRA50" s="715"/>
      <c r="MRB50" s="715"/>
      <c r="MRC50" s="715"/>
      <c r="MRD50" s="715"/>
      <c r="MRE50" s="715"/>
      <c r="MRF50" s="715"/>
      <c r="MRG50" s="715"/>
      <c r="MRH50" s="715"/>
      <c r="MRI50" s="715"/>
      <c r="MRJ50" s="715"/>
      <c r="MRK50" s="715"/>
      <c r="MRL50" s="715"/>
      <c r="MRM50" s="715"/>
      <c r="MRN50" s="715"/>
      <c r="MRO50" s="715"/>
      <c r="MRP50" s="715"/>
      <c r="MRQ50" s="715"/>
      <c r="MRR50" s="715"/>
      <c r="MRS50" s="715"/>
      <c r="MRT50" s="715"/>
      <c r="MRU50" s="715"/>
      <c r="MRV50" s="715"/>
      <c r="MRW50" s="715"/>
      <c r="MRX50" s="715"/>
      <c r="MRY50" s="715"/>
      <c r="MRZ50" s="715"/>
      <c r="MSA50" s="715"/>
      <c r="MSB50" s="715"/>
      <c r="MSC50" s="715"/>
      <c r="MSD50" s="715"/>
      <c r="MSE50" s="715"/>
      <c r="MSF50" s="715"/>
      <c r="MSG50" s="715"/>
      <c r="MSH50" s="715"/>
      <c r="MSI50" s="715"/>
      <c r="MSJ50" s="715"/>
      <c r="MSK50" s="715"/>
      <c r="MSL50" s="715"/>
      <c r="MSM50" s="715"/>
      <c r="MSN50" s="715"/>
      <c r="MSO50" s="715"/>
      <c r="MSP50" s="715"/>
      <c r="MSQ50" s="715"/>
      <c r="MSR50" s="715"/>
      <c r="MSS50" s="715"/>
      <c r="MST50" s="715"/>
      <c r="MSU50" s="715"/>
      <c r="MSV50" s="715"/>
      <c r="MSW50" s="715"/>
      <c r="MSX50" s="715"/>
      <c r="MSY50" s="715"/>
      <c r="MSZ50" s="715"/>
      <c r="MTA50" s="715"/>
      <c r="MTB50" s="715"/>
      <c r="MTC50" s="715"/>
      <c r="MTD50" s="715"/>
      <c r="MTE50" s="715"/>
      <c r="MTF50" s="715"/>
      <c r="MTG50" s="715"/>
      <c r="MTH50" s="715"/>
      <c r="MTI50" s="715"/>
      <c r="MTJ50" s="715"/>
      <c r="MTK50" s="715"/>
      <c r="MTL50" s="715"/>
      <c r="MTM50" s="715"/>
      <c r="MTN50" s="715"/>
      <c r="MTO50" s="715"/>
      <c r="MTP50" s="715"/>
      <c r="MTQ50" s="715"/>
      <c r="MTR50" s="715"/>
      <c r="MTS50" s="715"/>
      <c r="MTT50" s="715"/>
      <c r="MTU50" s="715"/>
      <c r="MTV50" s="715"/>
      <c r="MTW50" s="715"/>
      <c r="MTX50" s="715"/>
      <c r="MTY50" s="715"/>
      <c r="MTZ50" s="715"/>
      <c r="MUA50" s="715"/>
      <c r="MUB50" s="715"/>
      <c r="MUC50" s="715"/>
      <c r="MUD50" s="715"/>
      <c r="MUE50" s="715"/>
      <c r="MUF50" s="715"/>
      <c r="MUG50" s="715"/>
      <c r="MUH50" s="715"/>
      <c r="MUI50" s="715"/>
      <c r="MUJ50" s="715"/>
      <c r="MUK50" s="715"/>
      <c r="MUL50" s="715"/>
      <c r="MUM50" s="715"/>
      <c r="MUN50" s="715"/>
      <c r="MUO50" s="715"/>
      <c r="MUP50" s="715"/>
      <c r="MUQ50" s="715"/>
      <c r="MUR50" s="715"/>
      <c r="MUS50" s="715"/>
      <c r="MUT50" s="715"/>
      <c r="MUU50" s="715"/>
      <c r="MUV50" s="715"/>
      <c r="MUW50" s="715"/>
      <c r="MUX50" s="715"/>
      <c r="MUY50" s="715"/>
      <c r="MUZ50" s="715"/>
      <c r="MVA50" s="715"/>
      <c r="MVB50" s="715"/>
      <c r="MVC50" s="715"/>
      <c r="MVD50" s="715"/>
      <c r="MVE50" s="715"/>
      <c r="MVF50" s="715"/>
      <c r="MVG50" s="715"/>
      <c r="MVH50" s="715"/>
      <c r="MVI50" s="715"/>
      <c r="MVJ50" s="715"/>
      <c r="MVK50" s="715"/>
      <c r="MVL50" s="715"/>
      <c r="MVM50" s="715"/>
      <c r="MVN50" s="715"/>
      <c r="MVO50" s="715"/>
      <c r="MVP50" s="715"/>
      <c r="MVQ50" s="715"/>
      <c r="MVR50" s="715"/>
      <c r="MVS50" s="715"/>
      <c r="MVT50" s="715"/>
      <c r="MVU50" s="715"/>
      <c r="MVV50" s="715"/>
      <c r="MVW50" s="715"/>
      <c r="MVX50" s="715"/>
      <c r="MVY50" s="715"/>
      <c r="MVZ50" s="715"/>
      <c r="MWA50" s="715"/>
      <c r="MWB50" s="715"/>
      <c r="MWC50" s="715"/>
      <c r="MWD50" s="715"/>
      <c r="MWE50" s="715"/>
      <c r="MWF50" s="715"/>
      <c r="MWG50" s="715"/>
      <c r="MWH50" s="715"/>
      <c r="MWI50" s="715"/>
      <c r="MWJ50" s="715"/>
      <c r="MWK50" s="715"/>
      <c r="MWL50" s="715"/>
      <c r="MWM50" s="715"/>
      <c r="MWN50" s="715"/>
      <c r="MWO50" s="715"/>
      <c r="MWP50" s="715"/>
      <c r="MWQ50" s="715"/>
      <c r="MWR50" s="715"/>
      <c r="MWS50" s="715"/>
      <c r="MWT50" s="715"/>
      <c r="MWU50" s="715"/>
      <c r="MWV50" s="715"/>
      <c r="MWW50" s="715"/>
      <c r="MWX50" s="715"/>
      <c r="MWY50" s="715"/>
      <c r="MWZ50" s="715"/>
      <c r="MXA50" s="715"/>
      <c r="MXB50" s="715"/>
      <c r="MXC50" s="715"/>
      <c r="MXD50" s="715"/>
      <c r="MXE50" s="715"/>
      <c r="MXF50" s="715"/>
      <c r="MXG50" s="715"/>
      <c r="MXH50" s="715"/>
      <c r="MXI50" s="715"/>
      <c r="MXJ50" s="715"/>
      <c r="MXK50" s="715"/>
      <c r="MXL50" s="715"/>
      <c r="MXM50" s="715"/>
      <c r="MXN50" s="715"/>
      <c r="MXO50" s="715"/>
      <c r="MXP50" s="715"/>
      <c r="MXQ50" s="715"/>
      <c r="MXR50" s="715"/>
      <c r="MXS50" s="715"/>
      <c r="MXT50" s="715"/>
      <c r="MXU50" s="715"/>
      <c r="MXV50" s="715"/>
      <c r="MXW50" s="715"/>
      <c r="MXX50" s="715"/>
      <c r="MXY50" s="715"/>
      <c r="MXZ50" s="715"/>
      <c r="MYA50" s="715"/>
      <c r="MYB50" s="715"/>
      <c r="MYC50" s="715"/>
      <c r="MYD50" s="715"/>
      <c r="MYE50" s="715"/>
      <c r="MYF50" s="715"/>
      <c r="MYG50" s="715"/>
      <c r="MYH50" s="715"/>
      <c r="MYI50" s="715"/>
      <c r="MYJ50" s="715"/>
      <c r="MYK50" s="715"/>
      <c r="MYL50" s="715"/>
      <c r="MYM50" s="715"/>
      <c r="MYN50" s="715"/>
      <c r="MYO50" s="715"/>
      <c r="MYP50" s="715"/>
      <c r="MYQ50" s="715"/>
      <c r="MYR50" s="715"/>
      <c r="MYS50" s="715"/>
      <c r="MYT50" s="715"/>
      <c r="MYU50" s="715"/>
      <c r="MYV50" s="715"/>
      <c r="MYW50" s="715"/>
      <c r="MYX50" s="715"/>
      <c r="MYY50" s="715"/>
      <c r="MYZ50" s="715"/>
      <c r="MZA50" s="715"/>
      <c r="MZB50" s="715"/>
      <c r="MZC50" s="715"/>
      <c r="MZD50" s="715"/>
      <c r="MZE50" s="715"/>
      <c r="MZF50" s="715"/>
      <c r="MZG50" s="715"/>
      <c r="MZH50" s="715"/>
      <c r="MZI50" s="715"/>
      <c r="MZJ50" s="715"/>
      <c r="MZK50" s="715"/>
      <c r="MZL50" s="715"/>
      <c r="MZM50" s="715"/>
      <c r="MZN50" s="715"/>
      <c r="MZO50" s="715"/>
      <c r="MZP50" s="715"/>
      <c r="MZQ50" s="715"/>
      <c r="MZR50" s="715"/>
      <c r="MZS50" s="715"/>
      <c r="MZT50" s="715"/>
      <c r="MZU50" s="715"/>
      <c r="MZV50" s="715"/>
      <c r="MZW50" s="715"/>
      <c r="MZX50" s="715"/>
      <c r="MZY50" s="715"/>
      <c r="MZZ50" s="715"/>
      <c r="NAA50" s="715"/>
      <c r="NAB50" s="715"/>
      <c r="NAC50" s="715"/>
      <c r="NAD50" s="715"/>
      <c r="NAE50" s="715"/>
      <c r="NAF50" s="715"/>
      <c r="NAG50" s="715"/>
      <c r="NAH50" s="715"/>
      <c r="NAI50" s="715"/>
      <c r="NAJ50" s="715"/>
      <c r="NAK50" s="715"/>
      <c r="NAL50" s="715"/>
      <c r="NAM50" s="715"/>
      <c r="NAN50" s="715"/>
      <c r="NAO50" s="715"/>
      <c r="NAP50" s="715"/>
      <c r="NAQ50" s="715"/>
      <c r="NAR50" s="715"/>
      <c r="NAS50" s="715"/>
      <c r="NAT50" s="715"/>
      <c r="NAU50" s="715"/>
      <c r="NAV50" s="715"/>
      <c r="NAW50" s="715"/>
      <c r="NAX50" s="715"/>
      <c r="NAY50" s="715"/>
      <c r="NAZ50" s="715"/>
      <c r="NBA50" s="715"/>
      <c r="NBB50" s="715"/>
      <c r="NBC50" s="715"/>
      <c r="NBD50" s="715"/>
      <c r="NBE50" s="715"/>
      <c r="NBF50" s="715"/>
      <c r="NBG50" s="715"/>
      <c r="NBH50" s="715"/>
      <c r="NBI50" s="715"/>
      <c r="NBJ50" s="715"/>
      <c r="NBK50" s="715"/>
      <c r="NBL50" s="715"/>
      <c r="NBM50" s="715"/>
      <c r="NBN50" s="715"/>
      <c r="NBO50" s="715"/>
      <c r="NBP50" s="715"/>
      <c r="NBQ50" s="715"/>
      <c r="NBR50" s="715"/>
      <c r="NBS50" s="715"/>
      <c r="NBT50" s="715"/>
      <c r="NBU50" s="715"/>
      <c r="NBV50" s="715"/>
      <c r="NBW50" s="715"/>
      <c r="NBX50" s="715"/>
      <c r="NBY50" s="715"/>
      <c r="NBZ50" s="715"/>
      <c r="NCA50" s="715"/>
      <c r="NCB50" s="715"/>
      <c r="NCC50" s="715"/>
      <c r="NCD50" s="715"/>
      <c r="NCE50" s="715"/>
      <c r="NCF50" s="715"/>
      <c r="NCG50" s="715"/>
      <c r="NCH50" s="715"/>
      <c r="NCI50" s="715"/>
      <c r="NCJ50" s="715"/>
      <c r="NCK50" s="715"/>
      <c r="NCL50" s="715"/>
      <c r="NCM50" s="715"/>
      <c r="NCN50" s="715"/>
      <c r="NCO50" s="715"/>
      <c r="NCP50" s="715"/>
      <c r="NCQ50" s="715"/>
      <c r="NCR50" s="715"/>
      <c r="NCS50" s="715"/>
      <c r="NCT50" s="715"/>
      <c r="NCU50" s="715"/>
      <c r="NCV50" s="715"/>
      <c r="NCW50" s="715"/>
      <c r="NCX50" s="715"/>
      <c r="NCY50" s="715"/>
      <c r="NCZ50" s="715"/>
      <c r="NDA50" s="715"/>
      <c r="NDB50" s="715"/>
      <c r="NDC50" s="715"/>
      <c r="NDD50" s="715"/>
      <c r="NDE50" s="715"/>
      <c r="NDF50" s="715"/>
      <c r="NDG50" s="715"/>
      <c r="NDH50" s="715"/>
      <c r="NDI50" s="715"/>
      <c r="NDJ50" s="715"/>
      <c r="NDK50" s="715"/>
      <c r="NDL50" s="715"/>
      <c r="NDM50" s="715"/>
      <c r="NDN50" s="715"/>
      <c r="NDO50" s="715"/>
      <c r="NDP50" s="715"/>
      <c r="NDQ50" s="715"/>
      <c r="NDR50" s="715"/>
      <c r="NDS50" s="715"/>
      <c r="NDT50" s="715"/>
      <c r="NDU50" s="715"/>
      <c r="NDV50" s="715"/>
      <c r="NDW50" s="715"/>
      <c r="NDX50" s="715"/>
      <c r="NDY50" s="715"/>
      <c r="NDZ50" s="715"/>
      <c r="NEA50" s="715"/>
      <c r="NEB50" s="715"/>
      <c r="NEC50" s="715"/>
      <c r="NED50" s="715"/>
      <c r="NEE50" s="715"/>
      <c r="NEF50" s="715"/>
      <c r="NEG50" s="715"/>
      <c r="NEH50" s="715"/>
      <c r="NEI50" s="715"/>
      <c r="NEJ50" s="715"/>
      <c r="NEK50" s="715"/>
      <c r="NEL50" s="715"/>
      <c r="NEM50" s="715"/>
      <c r="NEN50" s="715"/>
      <c r="NEO50" s="715"/>
      <c r="NEP50" s="715"/>
      <c r="NEQ50" s="715"/>
      <c r="NER50" s="715"/>
      <c r="NES50" s="715"/>
      <c r="NET50" s="715"/>
      <c r="NEU50" s="715"/>
      <c r="NEV50" s="715"/>
      <c r="NEW50" s="715"/>
      <c r="NEX50" s="715"/>
      <c r="NEY50" s="715"/>
      <c r="NEZ50" s="715"/>
      <c r="NFA50" s="715"/>
      <c r="NFB50" s="715"/>
      <c r="NFC50" s="715"/>
      <c r="NFD50" s="715"/>
      <c r="NFE50" s="715"/>
      <c r="NFF50" s="715"/>
      <c r="NFG50" s="715"/>
      <c r="NFH50" s="715"/>
      <c r="NFI50" s="715"/>
      <c r="NFJ50" s="715"/>
      <c r="NFK50" s="715"/>
      <c r="NFL50" s="715"/>
      <c r="NFM50" s="715"/>
      <c r="NFN50" s="715"/>
      <c r="NFO50" s="715"/>
      <c r="NFP50" s="715"/>
      <c r="NFQ50" s="715"/>
      <c r="NFR50" s="715"/>
      <c r="NFS50" s="715"/>
      <c r="NFT50" s="715"/>
      <c r="NFU50" s="715"/>
      <c r="NFV50" s="715"/>
      <c r="NFW50" s="715"/>
      <c r="NFX50" s="715"/>
      <c r="NFY50" s="715"/>
      <c r="NFZ50" s="715"/>
      <c r="NGA50" s="715"/>
      <c r="NGB50" s="715"/>
      <c r="NGC50" s="715"/>
      <c r="NGD50" s="715"/>
      <c r="NGE50" s="715"/>
      <c r="NGF50" s="715"/>
      <c r="NGG50" s="715"/>
      <c r="NGH50" s="715"/>
      <c r="NGI50" s="715"/>
      <c r="NGJ50" s="715"/>
      <c r="NGK50" s="715"/>
      <c r="NGL50" s="715"/>
      <c r="NGM50" s="715"/>
      <c r="NGN50" s="715"/>
      <c r="NGO50" s="715"/>
      <c r="NGP50" s="715"/>
      <c r="NGQ50" s="715"/>
      <c r="NGR50" s="715"/>
      <c r="NGS50" s="715"/>
      <c r="NGT50" s="715"/>
      <c r="NGU50" s="715"/>
      <c r="NGV50" s="715"/>
      <c r="NGW50" s="715"/>
      <c r="NGX50" s="715"/>
      <c r="NGY50" s="715"/>
      <c r="NGZ50" s="715"/>
      <c r="NHA50" s="715"/>
      <c r="NHB50" s="715"/>
      <c r="NHC50" s="715"/>
      <c r="NHD50" s="715"/>
      <c r="NHE50" s="715"/>
      <c r="NHF50" s="715"/>
      <c r="NHG50" s="715"/>
      <c r="NHH50" s="715"/>
      <c r="NHI50" s="715"/>
      <c r="NHJ50" s="715"/>
      <c r="NHK50" s="715"/>
      <c r="NHL50" s="715"/>
      <c r="NHM50" s="715"/>
      <c r="NHN50" s="715"/>
      <c r="NHO50" s="715"/>
      <c r="NHP50" s="715"/>
      <c r="NHQ50" s="715"/>
      <c r="NHR50" s="715"/>
      <c r="NHS50" s="715"/>
      <c r="NHT50" s="715"/>
      <c r="NHU50" s="715"/>
      <c r="NHV50" s="715"/>
      <c r="NHW50" s="715"/>
      <c r="NHX50" s="715"/>
      <c r="NHY50" s="715"/>
      <c r="NHZ50" s="715"/>
      <c r="NIA50" s="715"/>
      <c r="NIB50" s="715"/>
      <c r="NIC50" s="715"/>
      <c r="NID50" s="715"/>
      <c r="NIE50" s="715"/>
      <c r="NIF50" s="715"/>
      <c r="NIG50" s="715"/>
      <c r="NIH50" s="715"/>
      <c r="NII50" s="715"/>
      <c r="NIJ50" s="715"/>
      <c r="NIK50" s="715"/>
      <c r="NIL50" s="715"/>
      <c r="NIM50" s="715"/>
      <c r="NIN50" s="715"/>
      <c r="NIO50" s="715"/>
      <c r="NIP50" s="715"/>
      <c r="NIQ50" s="715"/>
      <c r="NIR50" s="715"/>
      <c r="NIS50" s="715"/>
      <c r="NIT50" s="715"/>
      <c r="NIU50" s="715"/>
      <c r="NIV50" s="715"/>
      <c r="NIW50" s="715"/>
      <c r="NIX50" s="715"/>
      <c r="NIY50" s="715"/>
      <c r="NIZ50" s="715"/>
      <c r="NJA50" s="715"/>
      <c r="NJB50" s="715"/>
      <c r="NJC50" s="715"/>
      <c r="NJD50" s="715"/>
      <c r="NJE50" s="715"/>
      <c r="NJF50" s="715"/>
      <c r="NJG50" s="715"/>
      <c r="NJH50" s="715"/>
      <c r="NJI50" s="715"/>
      <c r="NJJ50" s="715"/>
      <c r="NJK50" s="715"/>
      <c r="NJL50" s="715"/>
      <c r="NJM50" s="715"/>
      <c r="NJN50" s="715"/>
      <c r="NJO50" s="715"/>
      <c r="NJP50" s="715"/>
      <c r="NJQ50" s="715"/>
      <c r="NJR50" s="715"/>
      <c r="NJS50" s="715"/>
      <c r="NJT50" s="715"/>
      <c r="NJU50" s="715"/>
      <c r="NJV50" s="715"/>
      <c r="NJW50" s="715"/>
      <c r="NJX50" s="715"/>
      <c r="NJY50" s="715"/>
      <c r="NJZ50" s="715"/>
      <c r="NKA50" s="715"/>
      <c r="NKB50" s="715"/>
      <c r="NKC50" s="715"/>
      <c r="NKD50" s="715"/>
      <c r="NKE50" s="715"/>
      <c r="NKF50" s="715"/>
      <c r="NKG50" s="715"/>
      <c r="NKH50" s="715"/>
      <c r="NKI50" s="715"/>
      <c r="NKJ50" s="715"/>
      <c r="NKK50" s="715"/>
      <c r="NKL50" s="715"/>
      <c r="NKM50" s="715"/>
      <c r="NKN50" s="715"/>
      <c r="NKO50" s="715"/>
      <c r="NKP50" s="715"/>
      <c r="NKQ50" s="715"/>
      <c r="NKR50" s="715"/>
      <c r="NKS50" s="715"/>
      <c r="NKT50" s="715"/>
      <c r="NKU50" s="715"/>
      <c r="NKV50" s="715"/>
      <c r="NKW50" s="715"/>
      <c r="NKX50" s="715"/>
      <c r="NKY50" s="715"/>
      <c r="NKZ50" s="715"/>
      <c r="NLA50" s="715"/>
      <c r="NLB50" s="715"/>
      <c r="NLC50" s="715"/>
      <c r="NLD50" s="715"/>
      <c r="NLE50" s="715"/>
      <c r="NLF50" s="715"/>
      <c r="NLG50" s="715"/>
      <c r="NLH50" s="715"/>
      <c r="NLI50" s="715"/>
      <c r="NLJ50" s="715"/>
      <c r="NLK50" s="715"/>
      <c r="NLL50" s="715"/>
      <c r="NLM50" s="715"/>
      <c r="NLN50" s="715"/>
      <c r="NLO50" s="715"/>
      <c r="NLP50" s="715"/>
      <c r="NLQ50" s="715"/>
      <c r="NLR50" s="715"/>
      <c r="NLS50" s="715"/>
      <c r="NLT50" s="715"/>
      <c r="NLU50" s="715"/>
      <c r="NLV50" s="715"/>
      <c r="NLW50" s="715"/>
      <c r="NLX50" s="715"/>
      <c r="NLY50" s="715"/>
      <c r="NLZ50" s="715"/>
      <c r="NMA50" s="715"/>
      <c r="NMB50" s="715"/>
      <c r="NMC50" s="715"/>
      <c r="NMD50" s="715"/>
      <c r="NME50" s="715"/>
      <c r="NMF50" s="715"/>
      <c r="NMG50" s="715"/>
      <c r="NMH50" s="715"/>
      <c r="NMI50" s="715"/>
      <c r="NMJ50" s="715"/>
      <c r="NMK50" s="715"/>
      <c r="NML50" s="715"/>
      <c r="NMM50" s="715"/>
      <c r="NMN50" s="715"/>
      <c r="NMO50" s="715"/>
      <c r="NMP50" s="715"/>
      <c r="NMQ50" s="715"/>
      <c r="NMR50" s="715"/>
      <c r="NMS50" s="715"/>
      <c r="NMT50" s="715"/>
      <c r="NMU50" s="715"/>
      <c r="NMV50" s="715"/>
      <c r="NMW50" s="715"/>
      <c r="NMX50" s="715"/>
      <c r="NMY50" s="715"/>
      <c r="NMZ50" s="715"/>
      <c r="NNA50" s="715"/>
      <c r="NNB50" s="715"/>
      <c r="NNC50" s="715"/>
      <c r="NND50" s="715"/>
      <c r="NNE50" s="715"/>
      <c r="NNF50" s="715"/>
      <c r="NNG50" s="715"/>
      <c r="NNH50" s="715"/>
      <c r="NNI50" s="715"/>
      <c r="NNJ50" s="715"/>
      <c r="NNK50" s="715"/>
      <c r="NNL50" s="715"/>
      <c r="NNM50" s="715"/>
      <c r="NNN50" s="715"/>
      <c r="NNO50" s="715"/>
      <c r="NNP50" s="715"/>
      <c r="NNQ50" s="715"/>
      <c r="NNR50" s="715"/>
      <c r="NNS50" s="715"/>
      <c r="NNT50" s="715"/>
      <c r="NNU50" s="715"/>
      <c r="NNV50" s="715"/>
      <c r="NNW50" s="715"/>
      <c r="NNX50" s="715"/>
      <c r="NNY50" s="715"/>
      <c r="NNZ50" s="715"/>
      <c r="NOA50" s="715"/>
      <c r="NOB50" s="715"/>
      <c r="NOC50" s="715"/>
      <c r="NOD50" s="715"/>
      <c r="NOE50" s="715"/>
      <c r="NOF50" s="715"/>
      <c r="NOG50" s="715"/>
      <c r="NOH50" s="715"/>
      <c r="NOI50" s="715"/>
      <c r="NOJ50" s="715"/>
      <c r="NOK50" s="715"/>
      <c r="NOL50" s="715"/>
      <c r="NOM50" s="715"/>
      <c r="NON50" s="715"/>
      <c r="NOO50" s="715"/>
      <c r="NOP50" s="715"/>
      <c r="NOQ50" s="715"/>
      <c r="NOR50" s="715"/>
      <c r="NOS50" s="715"/>
      <c r="NOT50" s="715"/>
      <c r="NOU50" s="715"/>
      <c r="NOV50" s="715"/>
      <c r="NOW50" s="715"/>
      <c r="NOX50" s="715"/>
      <c r="NOY50" s="715"/>
      <c r="NOZ50" s="715"/>
      <c r="NPA50" s="715"/>
      <c r="NPB50" s="715"/>
      <c r="NPC50" s="715"/>
      <c r="NPD50" s="715"/>
      <c r="NPE50" s="715"/>
      <c r="NPF50" s="715"/>
      <c r="NPG50" s="715"/>
      <c r="NPH50" s="715"/>
      <c r="NPI50" s="715"/>
      <c r="NPJ50" s="715"/>
      <c r="NPK50" s="715"/>
      <c r="NPL50" s="715"/>
      <c r="NPM50" s="715"/>
      <c r="NPN50" s="715"/>
      <c r="NPO50" s="715"/>
      <c r="NPP50" s="715"/>
      <c r="NPQ50" s="715"/>
      <c r="NPR50" s="715"/>
      <c r="NPS50" s="715"/>
      <c r="NPT50" s="715"/>
      <c r="NPU50" s="715"/>
      <c r="NPV50" s="715"/>
      <c r="NPW50" s="715"/>
      <c r="NPX50" s="715"/>
      <c r="NPY50" s="715"/>
      <c r="NPZ50" s="715"/>
      <c r="NQA50" s="715"/>
      <c r="NQB50" s="715"/>
      <c r="NQC50" s="715"/>
      <c r="NQD50" s="715"/>
      <c r="NQE50" s="715"/>
      <c r="NQF50" s="715"/>
      <c r="NQG50" s="715"/>
      <c r="NQH50" s="715"/>
      <c r="NQI50" s="715"/>
      <c r="NQJ50" s="715"/>
      <c r="NQK50" s="715"/>
      <c r="NQL50" s="715"/>
      <c r="NQM50" s="715"/>
      <c r="NQN50" s="715"/>
      <c r="NQO50" s="715"/>
      <c r="NQP50" s="715"/>
      <c r="NQQ50" s="715"/>
      <c r="NQR50" s="715"/>
      <c r="NQS50" s="715"/>
      <c r="NQT50" s="715"/>
      <c r="NQU50" s="715"/>
      <c r="NQV50" s="715"/>
      <c r="NQW50" s="715"/>
      <c r="NQX50" s="715"/>
      <c r="NQY50" s="715"/>
      <c r="NQZ50" s="715"/>
      <c r="NRA50" s="715"/>
      <c r="NRB50" s="715"/>
      <c r="NRC50" s="715"/>
      <c r="NRD50" s="715"/>
      <c r="NRE50" s="715"/>
      <c r="NRF50" s="715"/>
      <c r="NRG50" s="715"/>
      <c r="NRH50" s="715"/>
      <c r="NRI50" s="715"/>
      <c r="NRJ50" s="715"/>
      <c r="NRK50" s="715"/>
      <c r="NRL50" s="715"/>
      <c r="NRM50" s="715"/>
      <c r="NRN50" s="715"/>
      <c r="NRO50" s="715"/>
      <c r="NRP50" s="715"/>
      <c r="NRQ50" s="715"/>
      <c r="NRR50" s="715"/>
      <c r="NRS50" s="715"/>
      <c r="NRT50" s="715"/>
      <c r="NRU50" s="715"/>
      <c r="NRV50" s="715"/>
      <c r="NRW50" s="715"/>
      <c r="NRX50" s="715"/>
      <c r="NRY50" s="715"/>
      <c r="NRZ50" s="715"/>
      <c r="NSA50" s="715"/>
      <c r="NSB50" s="715"/>
      <c r="NSC50" s="715"/>
      <c r="NSD50" s="715"/>
      <c r="NSE50" s="715"/>
      <c r="NSF50" s="715"/>
      <c r="NSG50" s="715"/>
      <c r="NSH50" s="715"/>
      <c r="NSI50" s="715"/>
      <c r="NSJ50" s="715"/>
      <c r="NSK50" s="715"/>
      <c r="NSL50" s="715"/>
      <c r="NSM50" s="715"/>
      <c r="NSN50" s="715"/>
      <c r="NSO50" s="715"/>
      <c r="NSP50" s="715"/>
      <c r="NSQ50" s="715"/>
      <c r="NSR50" s="715"/>
      <c r="NSS50" s="715"/>
      <c r="NST50" s="715"/>
      <c r="NSU50" s="715"/>
      <c r="NSV50" s="715"/>
      <c r="NSW50" s="715"/>
      <c r="NSX50" s="715"/>
      <c r="NSY50" s="715"/>
      <c r="NSZ50" s="715"/>
      <c r="NTA50" s="715"/>
      <c r="NTB50" s="715"/>
      <c r="NTC50" s="715"/>
      <c r="NTD50" s="715"/>
      <c r="NTE50" s="715"/>
      <c r="NTF50" s="715"/>
      <c r="NTG50" s="715"/>
      <c r="NTH50" s="715"/>
      <c r="NTI50" s="715"/>
      <c r="NTJ50" s="715"/>
      <c r="NTK50" s="715"/>
      <c r="NTL50" s="715"/>
      <c r="NTM50" s="715"/>
      <c r="NTN50" s="715"/>
      <c r="NTO50" s="715"/>
      <c r="NTP50" s="715"/>
      <c r="NTQ50" s="715"/>
      <c r="NTR50" s="715"/>
      <c r="NTS50" s="715"/>
      <c r="NTT50" s="715"/>
      <c r="NTU50" s="715"/>
      <c r="NTV50" s="715"/>
      <c r="NTW50" s="715"/>
      <c r="NTX50" s="715"/>
      <c r="NTY50" s="715"/>
      <c r="NTZ50" s="715"/>
      <c r="NUA50" s="715"/>
      <c r="NUB50" s="715"/>
      <c r="NUC50" s="715"/>
      <c r="NUD50" s="715"/>
      <c r="NUE50" s="715"/>
      <c r="NUF50" s="715"/>
      <c r="NUG50" s="715"/>
      <c r="NUH50" s="715"/>
      <c r="NUI50" s="715"/>
      <c r="NUJ50" s="715"/>
      <c r="NUK50" s="715"/>
      <c r="NUL50" s="715"/>
      <c r="NUM50" s="715"/>
      <c r="NUN50" s="715"/>
      <c r="NUO50" s="715"/>
      <c r="NUP50" s="715"/>
      <c r="NUQ50" s="715"/>
      <c r="NUR50" s="715"/>
      <c r="NUS50" s="715"/>
      <c r="NUT50" s="715"/>
      <c r="NUU50" s="715"/>
      <c r="NUV50" s="715"/>
      <c r="NUW50" s="715"/>
      <c r="NUX50" s="715"/>
      <c r="NUY50" s="715"/>
      <c r="NUZ50" s="715"/>
      <c r="NVA50" s="715"/>
      <c r="NVB50" s="715"/>
      <c r="NVC50" s="715"/>
      <c r="NVD50" s="715"/>
      <c r="NVE50" s="715"/>
      <c r="NVF50" s="715"/>
      <c r="NVG50" s="715"/>
      <c r="NVH50" s="715"/>
      <c r="NVI50" s="715"/>
      <c r="NVJ50" s="715"/>
      <c r="NVK50" s="715"/>
      <c r="NVL50" s="715"/>
      <c r="NVM50" s="715"/>
      <c r="NVN50" s="715"/>
      <c r="NVO50" s="715"/>
      <c r="NVP50" s="715"/>
      <c r="NVQ50" s="715"/>
      <c r="NVR50" s="715"/>
      <c r="NVS50" s="715"/>
      <c r="NVT50" s="715"/>
      <c r="NVU50" s="715"/>
      <c r="NVV50" s="715"/>
      <c r="NVW50" s="715"/>
      <c r="NVX50" s="715"/>
      <c r="NVY50" s="715"/>
      <c r="NVZ50" s="715"/>
      <c r="NWA50" s="715"/>
      <c r="NWB50" s="715"/>
      <c r="NWC50" s="715"/>
      <c r="NWD50" s="715"/>
      <c r="NWE50" s="715"/>
      <c r="NWF50" s="715"/>
      <c r="NWG50" s="715"/>
      <c r="NWH50" s="715"/>
      <c r="NWI50" s="715"/>
      <c r="NWJ50" s="715"/>
      <c r="NWK50" s="715"/>
      <c r="NWL50" s="715"/>
      <c r="NWM50" s="715"/>
      <c r="NWN50" s="715"/>
      <c r="NWO50" s="715"/>
      <c r="NWP50" s="715"/>
      <c r="NWQ50" s="715"/>
      <c r="NWR50" s="715"/>
      <c r="NWS50" s="715"/>
      <c r="NWT50" s="715"/>
      <c r="NWU50" s="715"/>
      <c r="NWV50" s="715"/>
      <c r="NWW50" s="715"/>
      <c r="NWX50" s="715"/>
      <c r="NWY50" s="715"/>
      <c r="NWZ50" s="715"/>
      <c r="NXA50" s="715"/>
      <c r="NXB50" s="715"/>
      <c r="NXC50" s="715"/>
      <c r="NXD50" s="715"/>
      <c r="NXE50" s="715"/>
      <c r="NXF50" s="715"/>
      <c r="NXG50" s="715"/>
      <c r="NXH50" s="715"/>
      <c r="NXI50" s="715"/>
      <c r="NXJ50" s="715"/>
      <c r="NXK50" s="715"/>
      <c r="NXL50" s="715"/>
      <c r="NXM50" s="715"/>
      <c r="NXN50" s="715"/>
      <c r="NXO50" s="715"/>
      <c r="NXP50" s="715"/>
      <c r="NXQ50" s="715"/>
      <c r="NXR50" s="715"/>
      <c r="NXS50" s="715"/>
      <c r="NXT50" s="715"/>
      <c r="NXU50" s="715"/>
      <c r="NXV50" s="715"/>
      <c r="NXW50" s="715"/>
      <c r="NXX50" s="715"/>
      <c r="NXY50" s="715"/>
      <c r="NXZ50" s="715"/>
      <c r="NYA50" s="715"/>
      <c r="NYB50" s="715"/>
      <c r="NYC50" s="715"/>
      <c r="NYD50" s="715"/>
      <c r="NYE50" s="715"/>
      <c r="NYF50" s="715"/>
      <c r="NYG50" s="715"/>
      <c r="NYH50" s="715"/>
      <c r="NYI50" s="715"/>
      <c r="NYJ50" s="715"/>
      <c r="NYK50" s="715"/>
      <c r="NYL50" s="715"/>
      <c r="NYM50" s="715"/>
      <c r="NYN50" s="715"/>
      <c r="NYO50" s="715"/>
      <c r="NYP50" s="715"/>
      <c r="NYQ50" s="715"/>
      <c r="NYR50" s="715"/>
      <c r="NYS50" s="715"/>
      <c r="NYT50" s="715"/>
      <c r="NYU50" s="715"/>
      <c r="NYV50" s="715"/>
      <c r="NYW50" s="715"/>
      <c r="NYX50" s="715"/>
      <c r="NYY50" s="715"/>
      <c r="NYZ50" s="715"/>
      <c r="NZA50" s="715"/>
      <c r="NZB50" s="715"/>
      <c r="NZC50" s="715"/>
      <c r="NZD50" s="715"/>
      <c r="NZE50" s="715"/>
      <c r="NZF50" s="715"/>
      <c r="NZG50" s="715"/>
      <c r="NZH50" s="715"/>
      <c r="NZI50" s="715"/>
      <c r="NZJ50" s="715"/>
      <c r="NZK50" s="715"/>
      <c r="NZL50" s="715"/>
      <c r="NZM50" s="715"/>
      <c r="NZN50" s="715"/>
      <c r="NZO50" s="715"/>
      <c r="NZP50" s="715"/>
      <c r="NZQ50" s="715"/>
      <c r="NZR50" s="715"/>
      <c r="NZS50" s="715"/>
      <c r="NZT50" s="715"/>
      <c r="NZU50" s="715"/>
      <c r="NZV50" s="715"/>
      <c r="NZW50" s="715"/>
      <c r="NZX50" s="715"/>
      <c r="NZY50" s="715"/>
      <c r="NZZ50" s="715"/>
      <c r="OAA50" s="715"/>
      <c r="OAB50" s="715"/>
      <c r="OAC50" s="715"/>
      <c r="OAD50" s="715"/>
      <c r="OAE50" s="715"/>
      <c r="OAF50" s="715"/>
      <c r="OAG50" s="715"/>
      <c r="OAH50" s="715"/>
      <c r="OAI50" s="715"/>
      <c r="OAJ50" s="715"/>
      <c r="OAK50" s="715"/>
      <c r="OAL50" s="715"/>
      <c r="OAM50" s="715"/>
      <c r="OAN50" s="715"/>
      <c r="OAO50" s="715"/>
      <c r="OAP50" s="715"/>
      <c r="OAQ50" s="715"/>
      <c r="OAR50" s="715"/>
      <c r="OAS50" s="715"/>
      <c r="OAT50" s="715"/>
      <c r="OAU50" s="715"/>
      <c r="OAV50" s="715"/>
      <c r="OAW50" s="715"/>
      <c r="OAX50" s="715"/>
      <c r="OAY50" s="715"/>
      <c r="OAZ50" s="715"/>
      <c r="OBA50" s="715"/>
      <c r="OBB50" s="715"/>
      <c r="OBC50" s="715"/>
      <c r="OBD50" s="715"/>
      <c r="OBE50" s="715"/>
      <c r="OBF50" s="715"/>
      <c r="OBG50" s="715"/>
      <c r="OBH50" s="715"/>
      <c r="OBI50" s="715"/>
      <c r="OBJ50" s="715"/>
      <c r="OBK50" s="715"/>
      <c r="OBL50" s="715"/>
      <c r="OBM50" s="715"/>
      <c r="OBN50" s="715"/>
      <c r="OBO50" s="715"/>
      <c r="OBP50" s="715"/>
      <c r="OBQ50" s="715"/>
      <c r="OBR50" s="715"/>
      <c r="OBS50" s="715"/>
      <c r="OBT50" s="715"/>
      <c r="OBU50" s="715"/>
      <c r="OBV50" s="715"/>
      <c r="OBW50" s="715"/>
      <c r="OBX50" s="715"/>
      <c r="OBY50" s="715"/>
      <c r="OBZ50" s="715"/>
      <c r="OCA50" s="715"/>
      <c r="OCB50" s="715"/>
      <c r="OCC50" s="715"/>
      <c r="OCD50" s="715"/>
      <c r="OCE50" s="715"/>
      <c r="OCF50" s="715"/>
      <c r="OCG50" s="715"/>
      <c r="OCH50" s="715"/>
      <c r="OCI50" s="715"/>
      <c r="OCJ50" s="715"/>
      <c r="OCK50" s="715"/>
      <c r="OCL50" s="715"/>
      <c r="OCM50" s="715"/>
      <c r="OCN50" s="715"/>
      <c r="OCO50" s="715"/>
      <c r="OCP50" s="715"/>
      <c r="OCQ50" s="715"/>
      <c r="OCR50" s="715"/>
      <c r="OCS50" s="715"/>
      <c r="OCT50" s="715"/>
      <c r="OCU50" s="715"/>
      <c r="OCV50" s="715"/>
      <c r="OCW50" s="715"/>
      <c r="OCX50" s="715"/>
      <c r="OCY50" s="715"/>
      <c r="OCZ50" s="715"/>
      <c r="ODA50" s="715"/>
      <c r="ODB50" s="715"/>
      <c r="ODC50" s="715"/>
      <c r="ODD50" s="715"/>
      <c r="ODE50" s="715"/>
      <c r="ODF50" s="715"/>
      <c r="ODG50" s="715"/>
      <c r="ODH50" s="715"/>
      <c r="ODI50" s="715"/>
      <c r="ODJ50" s="715"/>
      <c r="ODK50" s="715"/>
      <c r="ODL50" s="715"/>
      <c r="ODM50" s="715"/>
      <c r="ODN50" s="715"/>
      <c r="ODO50" s="715"/>
      <c r="ODP50" s="715"/>
      <c r="ODQ50" s="715"/>
      <c r="ODR50" s="715"/>
      <c r="ODS50" s="715"/>
      <c r="ODT50" s="715"/>
      <c r="ODU50" s="715"/>
      <c r="ODV50" s="715"/>
      <c r="ODW50" s="715"/>
      <c r="ODX50" s="715"/>
      <c r="ODY50" s="715"/>
      <c r="ODZ50" s="715"/>
      <c r="OEA50" s="715"/>
      <c r="OEB50" s="715"/>
      <c r="OEC50" s="715"/>
      <c r="OED50" s="715"/>
      <c r="OEE50" s="715"/>
      <c r="OEF50" s="715"/>
      <c r="OEG50" s="715"/>
      <c r="OEH50" s="715"/>
      <c r="OEI50" s="715"/>
      <c r="OEJ50" s="715"/>
      <c r="OEK50" s="715"/>
      <c r="OEL50" s="715"/>
      <c r="OEM50" s="715"/>
      <c r="OEN50" s="715"/>
      <c r="OEO50" s="715"/>
      <c r="OEP50" s="715"/>
      <c r="OEQ50" s="715"/>
      <c r="OER50" s="715"/>
      <c r="OES50" s="715"/>
      <c r="OET50" s="715"/>
      <c r="OEU50" s="715"/>
      <c r="OEV50" s="715"/>
      <c r="OEW50" s="715"/>
      <c r="OEX50" s="715"/>
      <c r="OEY50" s="715"/>
      <c r="OEZ50" s="715"/>
      <c r="OFA50" s="715"/>
      <c r="OFB50" s="715"/>
      <c r="OFC50" s="715"/>
      <c r="OFD50" s="715"/>
      <c r="OFE50" s="715"/>
      <c r="OFF50" s="715"/>
      <c r="OFG50" s="715"/>
      <c r="OFH50" s="715"/>
      <c r="OFI50" s="715"/>
      <c r="OFJ50" s="715"/>
      <c r="OFK50" s="715"/>
      <c r="OFL50" s="715"/>
      <c r="OFM50" s="715"/>
      <c r="OFN50" s="715"/>
      <c r="OFO50" s="715"/>
      <c r="OFP50" s="715"/>
      <c r="OFQ50" s="715"/>
      <c r="OFR50" s="715"/>
      <c r="OFS50" s="715"/>
      <c r="OFT50" s="715"/>
      <c r="OFU50" s="715"/>
      <c r="OFV50" s="715"/>
      <c r="OFW50" s="715"/>
      <c r="OFX50" s="715"/>
      <c r="OFY50" s="715"/>
      <c r="OFZ50" s="715"/>
      <c r="OGA50" s="715"/>
      <c r="OGB50" s="715"/>
      <c r="OGC50" s="715"/>
      <c r="OGD50" s="715"/>
      <c r="OGE50" s="715"/>
      <c r="OGF50" s="715"/>
      <c r="OGG50" s="715"/>
      <c r="OGH50" s="715"/>
      <c r="OGI50" s="715"/>
      <c r="OGJ50" s="715"/>
      <c r="OGK50" s="715"/>
      <c r="OGL50" s="715"/>
      <c r="OGM50" s="715"/>
      <c r="OGN50" s="715"/>
      <c r="OGO50" s="715"/>
      <c r="OGP50" s="715"/>
      <c r="OGQ50" s="715"/>
      <c r="OGR50" s="715"/>
      <c r="OGS50" s="715"/>
      <c r="OGT50" s="715"/>
      <c r="OGU50" s="715"/>
      <c r="OGV50" s="715"/>
      <c r="OGW50" s="715"/>
      <c r="OGX50" s="715"/>
      <c r="OGY50" s="715"/>
      <c r="OGZ50" s="715"/>
      <c r="OHA50" s="715"/>
      <c r="OHB50" s="715"/>
      <c r="OHC50" s="715"/>
      <c r="OHD50" s="715"/>
      <c r="OHE50" s="715"/>
      <c r="OHF50" s="715"/>
      <c r="OHG50" s="715"/>
      <c r="OHH50" s="715"/>
      <c r="OHI50" s="715"/>
      <c r="OHJ50" s="715"/>
      <c r="OHK50" s="715"/>
      <c r="OHL50" s="715"/>
      <c r="OHM50" s="715"/>
      <c r="OHN50" s="715"/>
      <c r="OHO50" s="715"/>
      <c r="OHP50" s="715"/>
      <c r="OHQ50" s="715"/>
      <c r="OHR50" s="715"/>
      <c r="OHS50" s="715"/>
      <c r="OHT50" s="715"/>
      <c r="OHU50" s="715"/>
      <c r="OHV50" s="715"/>
      <c r="OHW50" s="715"/>
      <c r="OHX50" s="715"/>
      <c r="OHY50" s="715"/>
      <c r="OHZ50" s="715"/>
      <c r="OIA50" s="715"/>
      <c r="OIB50" s="715"/>
      <c r="OIC50" s="715"/>
      <c r="OID50" s="715"/>
      <c r="OIE50" s="715"/>
      <c r="OIF50" s="715"/>
      <c r="OIG50" s="715"/>
      <c r="OIH50" s="715"/>
      <c r="OII50" s="715"/>
      <c r="OIJ50" s="715"/>
      <c r="OIK50" s="715"/>
      <c r="OIL50" s="715"/>
      <c r="OIM50" s="715"/>
      <c r="OIN50" s="715"/>
      <c r="OIO50" s="715"/>
      <c r="OIP50" s="715"/>
      <c r="OIQ50" s="715"/>
      <c r="OIR50" s="715"/>
      <c r="OIS50" s="715"/>
      <c r="OIT50" s="715"/>
      <c r="OIU50" s="715"/>
      <c r="OIV50" s="715"/>
      <c r="OIW50" s="715"/>
      <c r="OIX50" s="715"/>
      <c r="OIY50" s="715"/>
      <c r="OIZ50" s="715"/>
      <c r="OJA50" s="715"/>
      <c r="OJB50" s="715"/>
      <c r="OJC50" s="715"/>
      <c r="OJD50" s="715"/>
      <c r="OJE50" s="715"/>
      <c r="OJF50" s="715"/>
      <c r="OJG50" s="715"/>
      <c r="OJH50" s="715"/>
      <c r="OJI50" s="715"/>
      <c r="OJJ50" s="715"/>
      <c r="OJK50" s="715"/>
      <c r="OJL50" s="715"/>
      <c r="OJM50" s="715"/>
      <c r="OJN50" s="715"/>
      <c r="OJO50" s="715"/>
      <c r="OJP50" s="715"/>
      <c r="OJQ50" s="715"/>
      <c r="OJR50" s="715"/>
      <c r="OJS50" s="715"/>
      <c r="OJT50" s="715"/>
      <c r="OJU50" s="715"/>
      <c r="OJV50" s="715"/>
      <c r="OJW50" s="715"/>
      <c r="OJX50" s="715"/>
      <c r="OJY50" s="715"/>
      <c r="OJZ50" s="715"/>
      <c r="OKA50" s="715"/>
      <c r="OKB50" s="715"/>
      <c r="OKC50" s="715"/>
      <c r="OKD50" s="715"/>
      <c r="OKE50" s="715"/>
      <c r="OKF50" s="715"/>
      <c r="OKG50" s="715"/>
      <c r="OKH50" s="715"/>
      <c r="OKI50" s="715"/>
      <c r="OKJ50" s="715"/>
      <c r="OKK50" s="715"/>
      <c r="OKL50" s="715"/>
      <c r="OKM50" s="715"/>
      <c r="OKN50" s="715"/>
      <c r="OKO50" s="715"/>
      <c r="OKP50" s="715"/>
      <c r="OKQ50" s="715"/>
      <c r="OKR50" s="715"/>
      <c r="OKS50" s="715"/>
      <c r="OKT50" s="715"/>
      <c r="OKU50" s="715"/>
      <c r="OKV50" s="715"/>
      <c r="OKW50" s="715"/>
      <c r="OKX50" s="715"/>
      <c r="OKY50" s="715"/>
      <c r="OKZ50" s="715"/>
      <c r="OLA50" s="715"/>
      <c r="OLB50" s="715"/>
      <c r="OLC50" s="715"/>
      <c r="OLD50" s="715"/>
      <c r="OLE50" s="715"/>
      <c r="OLF50" s="715"/>
      <c r="OLG50" s="715"/>
      <c r="OLH50" s="715"/>
      <c r="OLI50" s="715"/>
      <c r="OLJ50" s="715"/>
      <c r="OLK50" s="715"/>
      <c r="OLL50" s="715"/>
      <c r="OLM50" s="715"/>
      <c r="OLN50" s="715"/>
      <c r="OLO50" s="715"/>
      <c r="OLP50" s="715"/>
      <c r="OLQ50" s="715"/>
      <c r="OLR50" s="715"/>
      <c r="OLS50" s="715"/>
      <c r="OLT50" s="715"/>
      <c r="OLU50" s="715"/>
      <c r="OLV50" s="715"/>
      <c r="OLW50" s="715"/>
      <c r="OLX50" s="715"/>
      <c r="OLY50" s="715"/>
      <c r="OLZ50" s="715"/>
      <c r="OMA50" s="715"/>
      <c r="OMB50" s="715"/>
      <c r="OMC50" s="715"/>
      <c r="OMD50" s="715"/>
      <c r="OME50" s="715"/>
      <c r="OMF50" s="715"/>
      <c r="OMG50" s="715"/>
      <c r="OMH50" s="715"/>
      <c r="OMI50" s="715"/>
      <c r="OMJ50" s="715"/>
      <c r="OMK50" s="715"/>
      <c r="OML50" s="715"/>
      <c r="OMM50" s="715"/>
      <c r="OMN50" s="715"/>
      <c r="OMO50" s="715"/>
      <c r="OMP50" s="715"/>
      <c r="OMQ50" s="715"/>
      <c r="OMR50" s="715"/>
      <c r="OMS50" s="715"/>
      <c r="OMT50" s="715"/>
      <c r="OMU50" s="715"/>
      <c r="OMV50" s="715"/>
      <c r="OMW50" s="715"/>
      <c r="OMX50" s="715"/>
      <c r="OMY50" s="715"/>
      <c r="OMZ50" s="715"/>
      <c r="ONA50" s="715"/>
      <c r="ONB50" s="715"/>
      <c r="ONC50" s="715"/>
      <c r="OND50" s="715"/>
      <c r="ONE50" s="715"/>
      <c r="ONF50" s="715"/>
      <c r="ONG50" s="715"/>
      <c r="ONH50" s="715"/>
      <c r="ONI50" s="715"/>
      <c r="ONJ50" s="715"/>
      <c r="ONK50" s="715"/>
      <c r="ONL50" s="715"/>
      <c r="ONM50" s="715"/>
      <c r="ONN50" s="715"/>
      <c r="ONO50" s="715"/>
      <c r="ONP50" s="715"/>
      <c r="ONQ50" s="715"/>
      <c r="ONR50" s="715"/>
      <c r="ONS50" s="715"/>
      <c r="ONT50" s="715"/>
      <c r="ONU50" s="715"/>
      <c r="ONV50" s="715"/>
      <c r="ONW50" s="715"/>
      <c r="ONX50" s="715"/>
      <c r="ONY50" s="715"/>
      <c r="ONZ50" s="715"/>
      <c r="OOA50" s="715"/>
      <c r="OOB50" s="715"/>
      <c r="OOC50" s="715"/>
      <c r="OOD50" s="715"/>
      <c r="OOE50" s="715"/>
      <c r="OOF50" s="715"/>
      <c r="OOG50" s="715"/>
      <c r="OOH50" s="715"/>
      <c r="OOI50" s="715"/>
      <c r="OOJ50" s="715"/>
      <c r="OOK50" s="715"/>
      <c r="OOL50" s="715"/>
      <c r="OOM50" s="715"/>
      <c r="OON50" s="715"/>
      <c r="OOO50" s="715"/>
      <c r="OOP50" s="715"/>
      <c r="OOQ50" s="715"/>
      <c r="OOR50" s="715"/>
      <c r="OOS50" s="715"/>
      <c r="OOT50" s="715"/>
      <c r="OOU50" s="715"/>
      <c r="OOV50" s="715"/>
      <c r="OOW50" s="715"/>
      <c r="OOX50" s="715"/>
      <c r="OOY50" s="715"/>
      <c r="OOZ50" s="715"/>
      <c r="OPA50" s="715"/>
      <c r="OPB50" s="715"/>
      <c r="OPC50" s="715"/>
      <c r="OPD50" s="715"/>
      <c r="OPE50" s="715"/>
      <c r="OPF50" s="715"/>
      <c r="OPG50" s="715"/>
      <c r="OPH50" s="715"/>
      <c r="OPI50" s="715"/>
      <c r="OPJ50" s="715"/>
      <c r="OPK50" s="715"/>
      <c r="OPL50" s="715"/>
      <c r="OPM50" s="715"/>
      <c r="OPN50" s="715"/>
      <c r="OPO50" s="715"/>
      <c r="OPP50" s="715"/>
      <c r="OPQ50" s="715"/>
      <c r="OPR50" s="715"/>
      <c r="OPS50" s="715"/>
      <c r="OPT50" s="715"/>
      <c r="OPU50" s="715"/>
      <c r="OPV50" s="715"/>
      <c r="OPW50" s="715"/>
      <c r="OPX50" s="715"/>
      <c r="OPY50" s="715"/>
      <c r="OPZ50" s="715"/>
      <c r="OQA50" s="715"/>
      <c r="OQB50" s="715"/>
      <c r="OQC50" s="715"/>
      <c r="OQD50" s="715"/>
      <c r="OQE50" s="715"/>
      <c r="OQF50" s="715"/>
      <c r="OQG50" s="715"/>
      <c r="OQH50" s="715"/>
      <c r="OQI50" s="715"/>
      <c r="OQJ50" s="715"/>
      <c r="OQK50" s="715"/>
      <c r="OQL50" s="715"/>
      <c r="OQM50" s="715"/>
      <c r="OQN50" s="715"/>
      <c r="OQO50" s="715"/>
      <c r="OQP50" s="715"/>
      <c r="OQQ50" s="715"/>
      <c r="OQR50" s="715"/>
      <c r="OQS50" s="715"/>
      <c r="OQT50" s="715"/>
      <c r="OQU50" s="715"/>
      <c r="OQV50" s="715"/>
      <c r="OQW50" s="715"/>
      <c r="OQX50" s="715"/>
      <c r="OQY50" s="715"/>
      <c r="OQZ50" s="715"/>
      <c r="ORA50" s="715"/>
      <c r="ORB50" s="715"/>
      <c r="ORC50" s="715"/>
      <c r="ORD50" s="715"/>
      <c r="ORE50" s="715"/>
      <c r="ORF50" s="715"/>
      <c r="ORG50" s="715"/>
      <c r="ORH50" s="715"/>
      <c r="ORI50" s="715"/>
      <c r="ORJ50" s="715"/>
      <c r="ORK50" s="715"/>
      <c r="ORL50" s="715"/>
      <c r="ORM50" s="715"/>
      <c r="ORN50" s="715"/>
      <c r="ORO50" s="715"/>
      <c r="ORP50" s="715"/>
      <c r="ORQ50" s="715"/>
      <c r="ORR50" s="715"/>
      <c r="ORS50" s="715"/>
      <c r="ORT50" s="715"/>
      <c r="ORU50" s="715"/>
      <c r="ORV50" s="715"/>
      <c r="ORW50" s="715"/>
      <c r="ORX50" s="715"/>
      <c r="ORY50" s="715"/>
      <c r="ORZ50" s="715"/>
      <c r="OSA50" s="715"/>
      <c r="OSB50" s="715"/>
      <c r="OSC50" s="715"/>
      <c r="OSD50" s="715"/>
      <c r="OSE50" s="715"/>
      <c r="OSF50" s="715"/>
      <c r="OSG50" s="715"/>
      <c r="OSH50" s="715"/>
      <c r="OSI50" s="715"/>
      <c r="OSJ50" s="715"/>
      <c r="OSK50" s="715"/>
      <c r="OSL50" s="715"/>
      <c r="OSM50" s="715"/>
      <c r="OSN50" s="715"/>
      <c r="OSO50" s="715"/>
      <c r="OSP50" s="715"/>
      <c r="OSQ50" s="715"/>
      <c r="OSR50" s="715"/>
      <c r="OSS50" s="715"/>
      <c r="OST50" s="715"/>
      <c r="OSU50" s="715"/>
      <c r="OSV50" s="715"/>
      <c r="OSW50" s="715"/>
      <c r="OSX50" s="715"/>
      <c r="OSY50" s="715"/>
      <c r="OSZ50" s="715"/>
      <c r="OTA50" s="715"/>
      <c r="OTB50" s="715"/>
      <c r="OTC50" s="715"/>
      <c r="OTD50" s="715"/>
      <c r="OTE50" s="715"/>
      <c r="OTF50" s="715"/>
      <c r="OTG50" s="715"/>
      <c r="OTH50" s="715"/>
      <c r="OTI50" s="715"/>
      <c r="OTJ50" s="715"/>
      <c r="OTK50" s="715"/>
      <c r="OTL50" s="715"/>
      <c r="OTM50" s="715"/>
      <c r="OTN50" s="715"/>
      <c r="OTO50" s="715"/>
      <c r="OTP50" s="715"/>
      <c r="OTQ50" s="715"/>
      <c r="OTR50" s="715"/>
      <c r="OTS50" s="715"/>
      <c r="OTT50" s="715"/>
      <c r="OTU50" s="715"/>
      <c r="OTV50" s="715"/>
      <c r="OTW50" s="715"/>
      <c r="OTX50" s="715"/>
      <c r="OTY50" s="715"/>
      <c r="OTZ50" s="715"/>
      <c r="OUA50" s="715"/>
      <c r="OUB50" s="715"/>
      <c r="OUC50" s="715"/>
      <c r="OUD50" s="715"/>
      <c r="OUE50" s="715"/>
      <c r="OUF50" s="715"/>
      <c r="OUG50" s="715"/>
      <c r="OUH50" s="715"/>
      <c r="OUI50" s="715"/>
      <c r="OUJ50" s="715"/>
      <c r="OUK50" s="715"/>
      <c r="OUL50" s="715"/>
      <c r="OUM50" s="715"/>
      <c r="OUN50" s="715"/>
      <c r="OUO50" s="715"/>
      <c r="OUP50" s="715"/>
      <c r="OUQ50" s="715"/>
      <c r="OUR50" s="715"/>
      <c r="OUS50" s="715"/>
      <c r="OUT50" s="715"/>
      <c r="OUU50" s="715"/>
      <c r="OUV50" s="715"/>
      <c r="OUW50" s="715"/>
      <c r="OUX50" s="715"/>
      <c r="OUY50" s="715"/>
      <c r="OUZ50" s="715"/>
      <c r="OVA50" s="715"/>
      <c r="OVB50" s="715"/>
      <c r="OVC50" s="715"/>
      <c r="OVD50" s="715"/>
      <c r="OVE50" s="715"/>
      <c r="OVF50" s="715"/>
      <c r="OVG50" s="715"/>
      <c r="OVH50" s="715"/>
      <c r="OVI50" s="715"/>
      <c r="OVJ50" s="715"/>
      <c r="OVK50" s="715"/>
      <c r="OVL50" s="715"/>
      <c r="OVM50" s="715"/>
      <c r="OVN50" s="715"/>
      <c r="OVO50" s="715"/>
      <c r="OVP50" s="715"/>
      <c r="OVQ50" s="715"/>
      <c r="OVR50" s="715"/>
      <c r="OVS50" s="715"/>
      <c r="OVT50" s="715"/>
      <c r="OVU50" s="715"/>
      <c r="OVV50" s="715"/>
      <c r="OVW50" s="715"/>
      <c r="OVX50" s="715"/>
      <c r="OVY50" s="715"/>
      <c r="OVZ50" s="715"/>
      <c r="OWA50" s="715"/>
      <c r="OWB50" s="715"/>
      <c r="OWC50" s="715"/>
      <c r="OWD50" s="715"/>
      <c r="OWE50" s="715"/>
      <c r="OWF50" s="715"/>
      <c r="OWG50" s="715"/>
      <c r="OWH50" s="715"/>
      <c r="OWI50" s="715"/>
      <c r="OWJ50" s="715"/>
      <c r="OWK50" s="715"/>
      <c r="OWL50" s="715"/>
      <c r="OWM50" s="715"/>
      <c r="OWN50" s="715"/>
      <c r="OWO50" s="715"/>
      <c r="OWP50" s="715"/>
      <c r="OWQ50" s="715"/>
      <c r="OWR50" s="715"/>
      <c r="OWS50" s="715"/>
      <c r="OWT50" s="715"/>
      <c r="OWU50" s="715"/>
      <c r="OWV50" s="715"/>
      <c r="OWW50" s="715"/>
      <c r="OWX50" s="715"/>
      <c r="OWY50" s="715"/>
      <c r="OWZ50" s="715"/>
      <c r="OXA50" s="715"/>
      <c r="OXB50" s="715"/>
      <c r="OXC50" s="715"/>
      <c r="OXD50" s="715"/>
      <c r="OXE50" s="715"/>
      <c r="OXF50" s="715"/>
      <c r="OXG50" s="715"/>
      <c r="OXH50" s="715"/>
      <c r="OXI50" s="715"/>
      <c r="OXJ50" s="715"/>
      <c r="OXK50" s="715"/>
      <c r="OXL50" s="715"/>
      <c r="OXM50" s="715"/>
      <c r="OXN50" s="715"/>
      <c r="OXO50" s="715"/>
      <c r="OXP50" s="715"/>
      <c r="OXQ50" s="715"/>
      <c r="OXR50" s="715"/>
      <c r="OXS50" s="715"/>
      <c r="OXT50" s="715"/>
      <c r="OXU50" s="715"/>
      <c r="OXV50" s="715"/>
      <c r="OXW50" s="715"/>
      <c r="OXX50" s="715"/>
      <c r="OXY50" s="715"/>
      <c r="OXZ50" s="715"/>
      <c r="OYA50" s="715"/>
      <c r="OYB50" s="715"/>
      <c r="OYC50" s="715"/>
      <c r="OYD50" s="715"/>
      <c r="OYE50" s="715"/>
      <c r="OYF50" s="715"/>
      <c r="OYG50" s="715"/>
      <c r="OYH50" s="715"/>
      <c r="OYI50" s="715"/>
      <c r="OYJ50" s="715"/>
      <c r="OYK50" s="715"/>
      <c r="OYL50" s="715"/>
      <c r="OYM50" s="715"/>
      <c r="OYN50" s="715"/>
      <c r="OYO50" s="715"/>
      <c r="OYP50" s="715"/>
      <c r="OYQ50" s="715"/>
      <c r="OYR50" s="715"/>
      <c r="OYS50" s="715"/>
      <c r="OYT50" s="715"/>
      <c r="OYU50" s="715"/>
      <c r="OYV50" s="715"/>
      <c r="OYW50" s="715"/>
      <c r="OYX50" s="715"/>
      <c r="OYY50" s="715"/>
      <c r="OYZ50" s="715"/>
      <c r="OZA50" s="715"/>
      <c r="OZB50" s="715"/>
      <c r="OZC50" s="715"/>
      <c r="OZD50" s="715"/>
      <c r="OZE50" s="715"/>
      <c r="OZF50" s="715"/>
      <c r="OZG50" s="715"/>
      <c r="OZH50" s="715"/>
      <c r="OZI50" s="715"/>
      <c r="OZJ50" s="715"/>
      <c r="OZK50" s="715"/>
      <c r="OZL50" s="715"/>
      <c r="OZM50" s="715"/>
      <c r="OZN50" s="715"/>
      <c r="OZO50" s="715"/>
      <c r="OZP50" s="715"/>
      <c r="OZQ50" s="715"/>
      <c r="OZR50" s="715"/>
      <c r="OZS50" s="715"/>
      <c r="OZT50" s="715"/>
      <c r="OZU50" s="715"/>
      <c r="OZV50" s="715"/>
      <c r="OZW50" s="715"/>
      <c r="OZX50" s="715"/>
      <c r="OZY50" s="715"/>
      <c r="OZZ50" s="715"/>
      <c r="PAA50" s="715"/>
      <c r="PAB50" s="715"/>
      <c r="PAC50" s="715"/>
      <c r="PAD50" s="715"/>
      <c r="PAE50" s="715"/>
      <c r="PAF50" s="715"/>
      <c r="PAG50" s="715"/>
      <c r="PAH50" s="715"/>
      <c r="PAI50" s="715"/>
      <c r="PAJ50" s="715"/>
      <c r="PAK50" s="715"/>
      <c r="PAL50" s="715"/>
      <c r="PAM50" s="715"/>
      <c r="PAN50" s="715"/>
      <c r="PAO50" s="715"/>
      <c r="PAP50" s="715"/>
      <c r="PAQ50" s="715"/>
      <c r="PAR50" s="715"/>
      <c r="PAS50" s="715"/>
      <c r="PAT50" s="715"/>
      <c r="PAU50" s="715"/>
      <c r="PAV50" s="715"/>
      <c r="PAW50" s="715"/>
      <c r="PAX50" s="715"/>
      <c r="PAY50" s="715"/>
      <c r="PAZ50" s="715"/>
      <c r="PBA50" s="715"/>
      <c r="PBB50" s="715"/>
      <c r="PBC50" s="715"/>
      <c r="PBD50" s="715"/>
      <c r="PBE50" s="715"/>
      <c r="PBF50" s="715"/>
      <c r="PBG50" s="715"/>
      <c r="PBH50" s="715"/>
      <c r="PBI50" s="715"/>
      <c r="PBJ50" s="715"/>
      <c r="PBK50" s="715"/>
      <c r="PBL50" s="715"/>
      <c r="PBM50" s="715"/>
      <c r="PBN50" s="715"/>
      <c r="PBO50" s="715"/>
      <c r="PBP50" s="715"/>
      <c r="PBQ50" s="715"/>
      <c r="PBR50" s="715"/>
      <c r="PBS50" s="715"/>
      <c r="PBT50" s="715"/>
      <c r="PBU50" s="715"/>
      <c r="PBV50" s="715"/>
      <c r="PBW50" s="715"/>
      <c r="PBX50" s="715"/>
      <c r="PBY50" s="715"/>
      <c r="PBZ50" s="715"/>
      <c r="PCA50" s="715"/>
      <c r="PCB50" s="715"/>
      <c r="PCC50" s="715"/>
      <c r="PCD50" s="715"/>
      <c r="PCE50" s="715"/>
      <c r="PCF50" s="715"/>
      <c r="PCG50" s="715"/>
      <c r="PCH50" s="715"/>
      <c r="PCI50" s="715"/>
      <c r="PCJ50" s="715"/>
      <c r="PCK50" s="715"/>
      <c r="PCL50" s="715"/>
      <c r="PCM50" s="715"/>
      <c r="PCN50" s="715"/>
      <c r="PCO50" s="715"/>
      <c r="PCP50" s="715"/>
      <c r="PCQ50" s="715"/>
      <c r="PCR50" s="715"/>
      <c r="PCS50" s="715"/>
      <c r="PCT50" s="715"/>
      <c r="PCU50" s="715"/>
      <c r="PCV50" s="715"/>
      <c r="PCW50" s="715"/>
      <c r="PCX50" s="715"/>
      <c r="PCY50" s="715"/>
      <c r="PCZ50" s="715"/>
      <c r="PDA50" s="715"/>
      <c r="PDB50" s="715"/>
      <c r="PDC50" s="715"/>
      <c r="PDD50" s="715"/>
      <c r="PDE50" s="715"/>
      <c r="PDF50" s="715"/>
      <c r="PDG50" s="715"/>
      <c r="PDH50" s="715"/>
      <c r="PDI50" s="715"/>
      <c r="PDJ50" s="715"/>
      <c r="PDK50" s="715"/>
      <c r="PDL50" s="715"/>
      <c r="PDM50" s="715"/>
      <c r="PDN50" s="715"/>
      <c r="PDO50" s="715"/>
      <c r="PDP50" s="715"/>
      <c r="PDQ50" s="715"/>
      <c r="PDR50" s="715"/>
      <c r="PDS50" s="715"/>
      <c r="PDT50" s="715"/>
      <c r="PDU50" s="715"/>
      <c r="PDV50" s="715"/>
      <c r="PDW50" s="715"/>
      <c r="PDX50" s="715"/>
      <c r="PDY50" s="715"/>
      <c r="PDZ50" s="715"/>
      <c r="PEA50" s="715"/>
      <c r="PEB50" s="715"/>
      <c r="PEC50" s="715"/>
      <c r="PED50" s="715"/>
      <c r="PEE50" s="715"/>
      <c r="PEF50" s="715"/>
      <c r="PEG50" s="715"/>
      <c r="PEH50" s="715"/>
      <c r="PEI50" s="715"/>
      <c r="PEJ50" s="715"/>
      <c r="PEK50" s="715"/>
      <c r="PEL50" s="715"/>
      <c r="PEM50" s="715"/>
      <c r="PEN50" s="715"/>
      <c r="PEO50" s="715"/>
      <c r="PEP50" s="715"/>
      <c r="PEQ50" s="715"/>
      <c r="PER50" s="715"/>
      <c r="PES50" s="715"/>
      <c r="PET50" s="715"/>
      <c r="PEU50" s="715"/>
      <c r="PEV50" s="715"/>
      <c r="PEW50" s="715"/>
      <c r="PEX50" s="715"/>
      <c r="PEY50" s="715"/>
      <c r="PEZ50" s="715"/>
      <c r="PFA50" s="715"/>
      <c r="PFB50" s="715"/>
      <c r="PFC50" s="715"/>
      <c r="PFD50" s="715"/>
      <c r="PFE50" s="715"/>
      <c r="PFF50" s="715"/>
      <c r="PFG50" s="715"/>
      <c r="PFH50" s="715"/>
      <c r="PFI50" s="715"/>
      <c r="PFJ50" s="715"/>
      <c r="PFK50" s="715"/>
      <c r="PFL50" s="715"/>
      <c r="PFM50" s="715"/>
      <c r="PFN50" s="715"/>
      <c r="PFO50" s="715"/>
      <c r="PFP50" s="715"/>
      <c r="PFQ50" s="715"/>
      <c r="PFR50" s="715"/>
      <c r="PFS50" s="715"/>
      <c r="PFT50" s="715"/>
      <c r="PFU50" s="715"/>
      <c r="PFV50" s="715"/>
      <c r="PFW50" s="715"/>
      <c r="PFX50" s="715"/>
      <c r="PFY50" s="715"/>
      <c r="PFZ50" s="715"/>
      <c r="PGA50" s="715"/>
      <c r="PGB50" s="715"/>
      <c r="PGC50" s="715"/>
      <c r="PGD50" s="715"/>
      <c r="PGE50" s="715"/>
      <c r="PGF50" s="715"/>
      <c r="PGG50" s="715"/>
      <c r="PGH50" s="715"/>
      <c r="PGI50" s="715"/>
      <c r="PGJ50" s="715"/>
      <c r="PGK50" s="715"/>
      <c r="PGL50" s="715"/>
      <c r="PGM50" s="715"/>
      <c r="PGN50" s="715"/>
      <c r="PGO50" s="715"/>
      <c r="PGP50" s="715"/>
      <c r="PGQ50" s="715"/>
      <c r="PGR50" s="715"/>
      <c r="PGS50" s="715"/>
      <c r="PGT50" s="715"/>
      <c r="PGU50" s="715"/>
      <c r="PGV50" s="715"/>
      <c r="PGW50" s="715"/>
      <c r="PGX50" s="715"/>
      <c r="PGY50" s="715"/>
      <c r="PGZ50" s="715"/>
      <c r="PHA50" s="715"/>
      <c r="PHB50" s="715"/>
      <c r="PHC50" s="715"/>
      <c r="PHD50" s="715"/>
      <c r="PHE50" s="715"/>
      <c r="PHF50" s="715"/>
      <c r="PHG50" s="715"/>
      <c r="PHH50" s="715"/>
      <c r="PHI50" s="715"/>
      <c r="PHJ50" s="715"/>
      <c r="PHK50" s="715"/>
      <c r="PHL50" s="715"/>
      <c r="PHM50" s="715"/>
      <c r="PHN50" s="715"/>
      <c r="PHO50" s="715"/>
      <c r="PHP50" s="715"/>
      <c r="PHQ50" s="715"/>
      <c r="PHR50" s="715"/>
      <c r="PHS50" s="715"/>
      <c r="PHT50" s="715"/>
      <c r="PHU50" s="715"/>
      <c r="PHV50" s="715"/>
      <c r="PHW50" s="715"/>
      <c r="PHX50" s="715"/>
      <c r="PHY50" s="715"/>
      <c r="PHZ50" s="715"/>
      <c r="PIA50" s="715"/>
      <c r="PIB50" s="715"/>
      <c r="PIC50" s="715"/>
      <c r="PID50" s="715"/>
      <c r="PIE50" s="715"/>
      <c r="PIF50" s="715"/>
      <c r="PIG50" s="715"/>
      <c r="PIH50" s="715"/>
      <c r="PII50" s="715"/>
      <c r="PIJ50" s="715"/>
      <c r="PIK50" s="715"/>
      <c r="PIL50" s="715"/>
      <c r="PIM50" s="715"/>
      <c r="PIN50" s="715"/>
      <c r="PIO50" s="715"/>
      <c r="PIP50" s="715"/>
      <c r="PIQ50" s="715"/>
      <c r="PIR50" s="715"/>
      <c r="PIS50" s="715"/>
      <c r="PIT50" s="715"/>
      <c r="PIU50" s="715"/>
      <c r="PIV50" s="715"/>
      <c r="PIW50" s="715"/>
      <c r="PIX50" s="715"/>
      <c r="PIY50" s="715"/>
      <c r="PIZ50" s="715"/>
      <c r="PJA50" s="715"/>
      <c r="PJB50" s="715"/>
      <c r="PJC50" s="715"/>
      <c r="PJD50" s="715"/>
      <c r="PJE50" s="715"/>
      <c r="PJF50" s="715"/>
      <c r="PJG50" s="715"/>
      <c r="PJH50" s="715"/>
      <c r="PJI50" s="715"/>
      <c r="PJJ50" s="715"/>
      <c r="PJK50" s="715"/>
      <c r="PJL50" s="715"/>
      <c r="PJM50" s="715"/>
      <c r="PJN50" s="715"/>
      <c r="PJO50" s="715"/>
      <c r="PJP50" s="715"/>
      <c r="PJQ50" s="715"/>
      <c r="PJR50" s="715"/>
      <c r="PJS50" s="715"/>
      <c r="PJT50" s="715"/>
      <c r="PJU50" s="715"/>
      <c r="PJV50" s="715"/>
      <c r="PJW50" s="715"/>
      <c r="PJX50" s="715"/>
      <c r="PJY50" s="715"/>
      <c r="PJZ50" s="715"/>
      <c r="PKA50" s="715"/>
      <c r="PKB50" s="715"/>
      <c r="PKC50" s="715"/>
      <c r="PKD50" s="715"/>
      <c r="PKE50" s="715"/>
      <c r="PKF50" s="715"/>
      <c r="PKG50" s="715"/>
      <c r="PKH50" s="715"/>
      <c r="PKI50" s="715"/>
      <c r="PKJ50" s="715"/>
      <c r="PKK50" s="715"/>
      <c r="PKL50" s="715"/>
      <c r="PKM50" s="715"/>
      <c r="PKN50" s="715"/>
      <c r="PKO50" s="715"/>
      <c r="PKP50" s="715"/>
      <c r="PKQ50" s="715"/>
      <c r="PKR50" s="715"/>
      <c r="PKS50" s="715"/>
      <c r="PKT50" s="715"/>
      <c r="PKU50" s="715"/>
      <c r="PKV50" s="715"/>
      <c r="PKW50" s="715"/>
      <c r="PKX50" s="715"/>
      <c r="PKY50" s="715"/>
      <c r="PKZ50" s="715"/>
      <c r="PLA50" s="715"/>
      <c r="PLB50" s="715"/>
      <c r="PLC50" s="715"/>
      <c r="PLD50" s="715"/>
      <c r="PLE50" s="715"/>
      <c r="PLF50" s="715"/>
      <c r="PLG50" s="715"/>
      <c r="PLH50" s="715"/>
      <c r="PLI50" s="715"/>
      <c r="PLJ50" s="715"/>
      <c r="PLK50" s="715"/>
      <c r="PLL50" s="715"/>
      <c r="PLM50" s="715"/>
      <c r="PLN50" s="715"/>
      <c r="PLO50" s="715"/>
      <c r="PLP50" s="715"/>
      <c r="PLQ50" s="715"/>
      <c r="PLR50" s="715"/>
      <c r="PLS50" s="715"/>
      <c r="PLT50" s="715"/>
      <c r="PLU50" s="715"/>
      <c r="PLV50" s="715"/>
      <c r="PLW50" s="715"/>
      <c r="PLX50" s="715"/>
      <c r="PLY50" s="715"/>
      <c r="PLZ50" s="715"/>
      <c r="PMA50" s="715"/>
      <c r="PMB50" s="715"/>
      <c r="PMC50" s="715"/>
      <c r="PMD50" s="715"/>
      <c r="PME50" s="715"/>
      <c r="PMF50" s="715"/>
      <c r="PMG50" s="715"/>
      <c r="PMH50" s="715"/>
      <c r="PMI50" s="715"/>
      <c r="PMJ50" s="715"/>
      <c r="PMK50" s="715"/>
      <c r="PML50" s="715"/>
      <c r="PMM50" s="715"/>
      <c r="PMN50" s="715"/>
      <c r="PMO50" s="715"/>
      <c r="PMP50" s="715"/>
      <c r="PMQ50" s="715"/>
      <c r="PMR50" s="715"/>
      <c r="PMS50" s="715"/>
      <c r="PMT50" s="715"/>
      <c r="PMU50" s="715"/>
      <c r="PMV50" s="715"/>
      <c r="PMW50" s="715"/>
      <c r="PMX50" s="715"/>
      <c r="PMY50" s="715"/>
      <c r="PMZ50" s="715"/>
      <c r="PNA50" s="715"/>
      <c r="PNB50" s="715"/>
      <c r="PNC50" s="715"/>
      <c r="PND50" s="715"/>
      <c r="PNE50" s="715"/>
      <c r="PNF50" s="715"/>
      <c r="PNG50" s="715"/>
      <c r="PNH50" s="715"/>
      <c r="PNI50" s="715"/>
      <c r="PNJ50" s="715"/>
      <c r="PNK50" s="715"/>
      <c r="PNL50" s="715"/>
      <c r="PNM50" s="715"/>
      <c r="PNN50" s="715"/>
      <c r="PNO50" s="715"/>
      <c r="PNP50" s="715"/>
      <c r="PNQ50" s="715"/>
      <c r="PNR50" s="715"/>
      <c r="PNS50" s="715"/>
      <c r="PNT50" s="715"/>
      <c r="PNU50" s="715"/>
      <c r="PNV50" s="715"/>
      <c r="PNW50" s="715"/>
      <c r="PNX50" s="715"/>
      <c r="PNY50" s="715"/>
      <c r="PNZ50" s="715"/>
      <c r="POA50" s="715"/>
      <c r="POB50" s="715"/>
      <c r="POC50" s="715"/>
      <c r="POD50" s="715"/>
      <c r="POE50" s="715"/>
      <c r="POF50" s="715"/>
      <c r="POG50" s="715"/>
      <c r="POH50" s="715"/>
      <c r="POI50" s="715"/>
      <c r="POJ50" s="715"/>
      <c r="POK50" s="715"/>
      <c r="POL50" s="715"/>
      <c r="POM50" s="715"/>
      <c r="PON50" s="715"/>
      <c r="POO50" s="715"/>
      <c r="POP50" s="715"/>
      <c r="POQ50" s="715"/>
      <c r="POR50" s="715"/>
      <c r="POS50" s="715"/>
      <c r="POT50" s="715"/>
      <c r="POU50" s="715"/>
      <c r="POV50" s="715"/>
      <c r="POW50" s="715"/>
      <c r="POX50" s="715"/>
      <c r="POY50" s="715"/>
      <c r="POZ50" s="715"/>
      <c r="PPA50" s="715"/>
      <c r="PPB50" s="715"/>
      <c r="PPC50" s="715"/>
      <c r="PPD50" s="715"/>
      <c r="PPE50" s="715"/>
      <c r="PPF50" s="715"/>
      <c r="PPG50" s="715"/>
      <c r="PPH50" s="715"/>
      <c r="PPI50" s="715"/>
      <c r="PPJ50" s="715"/>
      <c r="PPK50" s="715"/>
      <c r="PPL50" s="715"/>
      <c r="PPM50" s="715"/>
      <c r="PPN50" s="715"/>
      <c r="PPO50" s="715"/>
      <c r="PPP50" s="715"/>
      <c r="PPQ50" s="715"/>
      <c r="PPR50" s="715"/>
      <c r="PPS50" s="715"/>
      <c r="PPT50" s="715"/>
      <c r="PPU50" s="715"/>
      <c r="PPV50" s="715"/>
      <c r="PPW50" s="715"/>
      <c r="PPX50" s="715"/>
      <c r="PPY50" s="715"/>
      <c r="PPZ50" s="715"/>
      <c r="PQA50" s="715"/>
      <c r="PQB50" s="715"/>
      <c r="PQC50" s="715"/>
      <c r="PQD50" s="715"/>
      <c r="PQE50" s="715"/>
      <c r="PQF50" s="715"/>
      <c r="PQG50" s="715"/>
      <c r="PQH50" s="715"/>
      <c r="PQI50" s="715"/>
      <c r="PQJ50" s="715"/>
      <c r="PQK50" s="715"/>
      <c r="PQL50" s="715"/>
      <c r="PQM50" s="715"/>
      <c r="PQN50" s="715"/>
      <c r="PQO50" s="715"/>
      <c r="PQP50" s="715"/>
      <c r="PQQ50" s="715"/>
      <c r="PQR50" s="715"/>
      <c r="PQS50" s="715"/>
      <c r="PQT50" s="715"/>
      <c r="PQU50" s="715"/>
      <c r="PQV50" s="715"/>
      <c r="PQW50" s="715"/>
      <c r="PQX50" s="715"/>
      <c r="PQY50" s="715"/>
      <c r="PQZ50" s="715"/>
      <c r="PRA50" s="715"/>
      <c r="PRB50" s="715"/>
      <c r="PRC50" s="715"/>
      <c r="PRD50" s="715"/>
      <c r="PRE50" s="715"/>
      <c r="PRF50" s="715"/>
      <c r="PRG50" s="715"/>
      <c r="PRH50" s="715"/>
      <c r="PRI50" s="715"/>
      <c r="PRJ50" s="715"/>
      <c r="PRK50" s="715"/>
      <c r="PRL50" s="715"/>
      <c r="PRM50" s="715"/>
      <c r="PRN50" s="715"/>
      <c r="PRO50" s="715"/>
      <c r="PRP50" s="715"/>
      <c r="PRQ50" s="715"/>
      <c r="PRR50" s="715"/>
      <c r="PRS50" s="715"/>
      <c r="PRT50" s="715"/>
      <c r="PRU50" s="715"/>
      <c r="PRV50" s="715"/>
      <c r="PRW50" s="715"/>
      <c r="PRX50" s="715"/>
      <c r="PRY50" s="715"/>
      <c r="PRZ50" s="715"/>
      <c r="PSA50" s="715"/>
      <c r="PSB50" s="715"/>
      <c r="PSC50" s="715"/>
      <c r="PSD50" s="715"/>
      <c r="PSE50" s="715"/>
      <c r="PSF50" s="715"/>
      <c r="PSG50" s="715"/>
      <c r="PSH50" s="715"/>
      <c r="PSI50" s="715"/>
      <c r="PSJ50" s="715"/>
      <c r="PSK50" s="715"/>
      <c r="PSL50" s="715"/>
      <c r="PSM50" s="715"/>
      <c r="PSN50" s="715"/>
      <c r="PSO50" s="715"/>
      <c r="PSP50" s="715"/>
      <c r="PSQ50" s="715"/>
      <c r="PSR50" s="715"/>
      <c r="PSS50" s="715"/>
      <c r="PST50" s="715"/>
      <c r="PSU50" s="715"/>
      <c r="PSV50" s="715"/>
      <c r="PSW50" s="715"/>
      <c r="PSX50" s="715"/>
      <c r="PSY50" s="715"/>
      <c r="PSZ50" s="715"/>
      <c r="PTA50" s="715"/>
      <c r="PTB50" s="715"/>
      <c r="PTC50" s="715"/>
      <c r="PTD50" s="715"/>
      <c r="PTE50" s="715"/>
      <c r="PTF50" s="715"/>
      <c r="PTG50" s="715"/>
      <c r="PTH50" s="715"/>
      <c r="PTI50" s="715"/>
      <c r="PTJ50" s="715"/>
      <c r="PTK50" s="715"/>
      <c r="PTL50" s="715"/>
      <c r="PTM50" s="715"/>
      <c r="PTN50" s="715"/>
      <c r="PTO50" s="715"/>
      <c r="PTP50" s="715"/>
      <c r="PTQ50" s="715"/>
      <c r="PTR50" s="715"/>
      <c r="PTS50" s="715"/>
      <c r="PTT50" s="715"/>
      <c r="PTU50" s="715"/>
      <c r="PTV50" s="715"/>
      <c r="PTW50" s="715"/>
      <c r="PTX50" s="715"/>
      <c r="PTY50" s="715"/>
      <c r="PTZ50" s="715"/>
      <c r="PUA50" s="715"/>
      <c r="PUB50" s="715"/>
      <c r="PUC50" s="715"/>
      <c r="PUD50" s="715"/>
      <c r="PUE50" s="715"/>
      <c r="PUF50" s="715"/>
      <c r="PUG50" s="715"/>
      <c r="PUH50" s="715"/>
      <c r="PUI50" s="715"/>
      <c r="PUJ50" s="715"/>
      <c r="PUK50" s="715"/>
      <c r="PUL50" s="715"/>
      <c r="PUM50" s="715"/>
      <c r="PUN50" s="715"/>
      <c r="PUO50" s="715"/>
      <c r="PUP50" s="715"/>
      <c r="PUQ50" s="715"/>
      <c r="PUR50" s="715"/>
      <c r="PUS50" s="715"/>
      <c r="PUT50" s="715"/>
      <c r="PUU50" s="715"/>
      <c r="PUV50" s="715"/>
      <c r="PUW50" s="715"/>
      <c r="PUX50" s="715"/>
      <c r="PUY50" s="715"/>
      <c r="PUZ50" s="715"/>
      <c r="PVA50" s="715"/>
      <c r="PVB50" s="715"/>
      <c r="PVC50" s="715"/>
      <c r="PVD50" s="715"/>
      <c r="PVE50" s="715"/>
      <c r="PVF50" s="715"/>
      <c r="PVG50" s="715"/>
      <c r="PVH50" s="715"/>
      <c r="PVI50" s="715"/>
      <c r="PVJ50" s="715"/>
      <c r="PVK50" s="715"/>
      <c r="PVL50" s="715"/>
      <c r="PVM50" s="715"/>
      <c r="PVN50" s="715"/>
      <c r="PVO50" s="715"/>
      <c r="PVP50" s="715"/>
      <c r="PVQ50" s="715"/>
      <c r="PVR50" s="715"/>
      <c r="PVS50" s="715"/>
      <c r="PVT50" s="715"/>
      <c r="PVU50" s="715"/>
      <c r="PVV50" s="715"/>
      <c r="PVW50" s="715"/>
      <c r="PVX50" s="715"/>
      <c r="PVY50" s="715"/>
      <c r="PVZ50" s="715"/>
      <c r="PWA50" s="715"/>
      <c r="PWB50" s="715"/>
      <c r="PWC50" s="715"/>
      <c r="PWD50" s="715"/>
      <c r="PWE50" s="715"/>
      <c r="PWF50" s="715"/>
      <c r="PWG50" s="715"/>
      <c r="PWH50" s="715"/>
      <c r="PWI50" s="715"/>
      <c r="PWJ50" s="715"/>
      <c r="PWK50" s="715"/>
      <c r="PWL50" s="715"/>
      <c r="PWM50" s="715"/>
      <c r="PWN50" s="715"/>
      <c r="PWO50" s="715"/>
      <c r="PWP50" s="715"/>
      <c r="PWQ50" s="715"/>
      <c r="PWR50" s="715"/>
      <c r="PWS50" s="715"/>
      <c r="PWT50" s="715"/>
      <c r="PWU50" s="715"/>
      <c r="PWV50" s="715"/>
      <c r="PWW50" s="715"/>
      <c r="PWX50" s="715"/>
      <c r="PWY50" s="715"/>
      <c r="PWZ50" s="715"/>
      <c r="PXA50" s="715"/>
      <c r="PXB50" s="715"/>
      <c r="PXC50" s="715"/>
      <c r="PXD50" s="715"/>
      <c r="PXE50" s="715"/>
      <c r="PXF50" s="715"/>
      <c r="PXG50" s="715"/>
      <c r="PXH50" s="715"/>
      <c r="PXI50" s="715"/>
      <c r="PXJ50" s="715"/>
      <c r="PXK50" s="715"/>
      <c r="PXL50" s="715"/>
      <c r="PXM50" s="715"/>
      <c r="PXN50" s="715"/>
      <c r="PXO50" s="715"/>
      <c r="PXP50" s="715"/>
      <c r="PXQ50" s="715"/>
      <c r="PXR50" s="715"/>
      <c r="PXS50" s="715"/>
      <c r="PXT50" s="715"/>
      <c r="PXU50" s="715"/>
      <c r="PXV50" s="715"/>
      <c r="PXW50" s="715"/>
      <c r="PXX50" s="715"/>
      <c r="PXY50" s="715"/>
      <c r="PXZ50" s="715"/>
      <c r="PYA50" s="715"/>
      <c r="PYB50" s="715"/>
      <c r="PYC50" s="715"/>
      <c r="PYD50" s="715"/>
      <c r="PYE50" s="715"/>
      <c r="PYF50" s="715"/>
      <c r="PYG50" s="715"/>
      <c r="PYH50" s="715"/>
      <c r="PYI50" s="715"/>
      <c r="PYJ50" s="715"/>
      <c r="PYK50" s="715"/>
      <c r="PYL50" s="715"/>
      <c r="PYM50" s="715"/>
      <c r="PYN50" s="715"/>
      <c r="PYO50" s="715"/>
      <c r="PYP50" s="715"/>
      <c r="PYQ50" s="715"/>
      <c r="PYR50" s="715"/>
      <c r="PYS50" s="715"/>
      <c r="PYT50" s="715"/>
      <c r="PYU50" s="715"/>
      <c r="PYV50" s="715"/>
      <c r="PYW50" s="715"/>
      <c r="PYX50" s="715"/>
      <c r="PYY50" s="715"/>
      <c r="PYZ50" s="715"/>
      <c r="PZA50" s="715"/>
      <c r="PZB50" s="715"/>
      <c r="PZC50" s="715"/>
      <c r="PZD50" s="715"/>
      <c r="PZE50" s="715"/>
      <c r="PZF50" s="715"/>
      <c r="PZG50" s="715"/>
      <c r="PZH50" s="715"/>
      <c r="PZI50" s="715"/>
      <c r="PZJ50" s="715"/>
      <c r="PZK50" s="715"/>
      <c r="PZL50" s="715"/>
      <c r="PZM50" s="715"/>
      <c r="PZN50" s="715"/>
      <c r="PZO50" s="715"/>
      <c r="PZP50" s="715"/>
      <c r="PZQ50" s="715"/>
      <c r="PZR50" s="715"/>
      <c r="PZS50" s="715"/>
      <c r="PZT50" s="715"/>
      <c r="PZU50" s="715"/>
      <c r="PZV50" s="715"/>
      <c r="PZW50" s="715"/>
      <c r="PZX50" s="715"/>
      <c r="PZY50" s="715"/>
      <c r="PZZ50" s="715"/>
      <c r="QAA50" s="715"/>
      <c r="QAB50" s="715"/>
      <c r="QAC50" s="715"/>
      <c r="QAD50" s="715"/>
      <c r="QAE50" s="715"/>
      <c r="QAF50" s="715"/>
      <c r="QAG50" s="715"/>
      <c r="QAH50" s="715"/>
      <c r="QAI50" s="715"/>
      <c r="QAJ50" s="715"/>
      <c r="QAK50" s="715"/>
      <c r="QAL50" s="715"/>
      <c r="QAM50" s="715"/>
      <c r="QAN50" s="715"/>
      <c r="QAO50" s="715"/>
      <c r="QAP50" s="715"/>
      <c r="QAQ50" s="715"/>
      <c r="QAR50" s="715"/>
      <c r="QAS50" s="715"/>
      <c r="QAT50" s="715"/>
      <c r="QAU50" s="715"/>
      <c r="QAV50" s="715"/>
      <c r="QAW50" s="715"/>
      <c r="QAX50" s="715"/>
      <c r="QAY50" s="715"/>
      <c r="QAZ50" s="715"/>
      <c r="QBA50" s="715"/>
      <c r="QBB50" s="715"/>
      <c r="QBC50" s="715"/>
      <c r="QBD50" s="715"/>
      <c r="QBE50" s="715"/>
      <c r="QBF50" s="715"/>
      <c r="QBG50" s="715"/>
      <c r="QBH50" s="715"/>
      <c r="QBI50" s="715"/>
      <c r="QBJ50" s="715"/>
      <c r="QBK50" s="715"/>
      <c r="QBL50" s="715"/>
      <c r="QBM50" s="715"/>
      <c r="QBN50" s="715"/>
      <c r="QBO50" s="715"/>
      <c r="QBP50" s="715"/>
      <c r="QBQ50" s="715"/>
      <c r="QBR50" s="715"/>
      <c r="QBS50" s="715"/>
      <c r="QBT50" s="715"/>
      <c r="QBU50" s="715"/>
      <c r="QBV50" s="715"/>
      <c r="QBW50" s="715"/>
      <c r="QBX50" s="715"/>
      <c r="QBY50" s="715"/>
      <c r="QBZ50" s="715"/>
      <c r="QCA50" s="715"/>
      <c r="QCB50" s="715"/>
      <c r="QCC50" s="715"/>
      <c r="QCD50" s="715"/>
      <c r="QCE50" s="715"/>
      <c r="QCF50" s="715"/>
      <c r="QCG50" s="715"/>
      <c r="QCH50" s="715"/>
      <c r="QCI50" s="715"/>
      <c r="QCJ50" s="715"/>
      <c r="QCK50" s="715"/>
      <c r="QCL50" s="715"/>
      <c r="QCM50" s="715"/>
      <c r="QCN50" s="715"/>
      <c r="QCO50" s="715"/>
      <c r="QCP50" s="715"/>
      <c r="QCQ50" s="715"/>
      <c r="QCR50" s="715"/>
      <c r="QCS50" s="715"/>
      <c r="QCT50" s="715"/>
      <c r="QCU50" s="715"/>
      <c r="QCV50" s="715"/>
      <c r="QCW50" s="715"/>
      <c r="QCX50" s="715"/>
      <c r="QCY50" s="715"/>
      <c r="QCZ50" s="715"/>
      <c r="QDA50" s="715"/>
      <c r="QDB50" s="715"/>
      <c r="QDC50" s="715"/>
      <c r="QDD50" s="715"/>
      <c r="QDE50" s="715"/>
      <c r="QDF50" s="715"/>
      <c r="QDG50" s="715"/>
      <c r="QDH50" s="715"/>
      <c r="QDI50" s="715"/>
      <c r="QDJ50" s="715"/>
      <c r="QDK50" s="715"/>
      <c r="QDL50" s="715"/>
      <c r="QDM50" s="715"/>
      <c r="QDN50" s="715"/>
      <c r="QDO50" s="715"/>
      <c r="QDP50" s="715"/>
      <c r="QDQ50" s="715"/>
      <c r="QDR50" s="715"/>
      <c r="QDS50" s="715"/>
      <c r="QDT50" s="715"/>
      <c r="QDU50" s="715"/>
      <c r="QDV50" s="715"/>
      <c r="QDW50" s="715"/>
      <c r="QDX50" s="715"/>
      <c r="QDY50" s="715"/>
      <c r="QDZ50" s="715"/>
      <c r="QEA50" s="715"/>
      <c r="QEB50" s="715"/>
      <c r="QEC50" s="715"/>
      <c r="QED50" s="715"/>
      <c r="QEE50" s="715"/>
      <c r="QEF50" s="715"/>
      <c r="QEG50" s="715"/>
      <c r="QEH50" s="715"/>
      <c r="QEI50" s="715"/>
      <c r="QEJ50" s="715"/>
      <c r="QEK50" s="715"/>
      <c r="QEL50" s="715"/>
      <c r="QEM50" s="715"/>
      <c r="QEN50" s="715"/>
      <c r="QEO50" s="715"/>
      <c r="QEP50" s="715"/>
      <c r="QEQ50" s="715"/>
      <c r="QER50" s="715"/>
      <c r="QES50" s="715"/>
      <c r="QET50" s="715"/>
      <c r="QEU50" s="715"/>
      <c r="QEV50" s="715"/>
      <c r="QEW50" s="715"/>
      <c r="QEX50" s="715"/>
      <c r="QEY50" s="715"/>
      <c r="QEZ50" s="715"/>
      <c r="QFA50" s="715"/>
      <c r="QFB50" s="715"/>
      <c r="QFC50" s="715"/>
      <c r="QFD50" s="715"/>
      <c r="QFE50" s="715"/>
      <c r="QFF50" s="715"/>
      <c r="QFG50" s="715"/>
      <c r="QFH50" s="715"/>
      <c r="QFI50" s="715"/>
      <c r="QFJ50" s="715"/>
      <c r="QFK50" s="715"/>
      <c r="QFL50" s="715"/>
      <c r="QFM50" s="715"/>
      <c r="QFN50" s="715"/>
      <c r="QFO50" s="715"/>
      <c r="QFP50" s="715"/>
      <c r="QFQ50" s="715"/>
      <c r="QFR50" s="715"/>
      <c r="QFS50" s="715"/>
      <c r="QFT50" s="715"/>
      <c r="QFU50" s="715"/>
      <c r="QFV50" s="715"/>
      <c r="QFW50" s="715"/>
      <c r="QFX50" s="715"/>
      <c r="QFY50" s="715"/>
      <c r="QFZ50" s="715"/>
      <c r="QGA50" s="715"/>
      <c r="QGB50" s="715"/>
      <c r="QGC50" s="715"/>
      <c r="QGD50" s="715"/>
      <c r="QGE50" s="715"/>
      <c r="QGF50" s="715"/>
      <c r="QGG50" s="715"/>
      <c r="QGH50" s="715"/>
      <c r="QGI50" s="715"/>
      <c r="QGJ50" s="715"/>
      <c r="QGK50" s="715"/>
      <c r="QGL50" s="715"/>
      <c r="QGM50" s="715"/>
      <c r="QGN50" s="715"/>
      <c r="QGO50" s="715"/>
      <c r="QGP50" s="715"/>
      <c r="QGQ50" s="715"/>
      <c r="QGR50" s="715"/>
      <c r="QGS50" s="715"/>
      <c r="QGT50" s="715"/>
      <c r="QGU50" s="715"/>
      <c r="QGV50" s="715"/>
      <c r="QGW50" s="715"/>
      <c r="QGX50" s="715"/>
      <c r="QGY50" s="715"/>
      <c r="QGZ50" s="715"/>
      <c r="QHA50" s="715"/>
      <c r="QHB50" s="715"/>
      <c r="QHC50" s="715"/>
      <c r="QHD50" s="715"/>
      <c r="QHE50" s="715"/>
      <c r="QHF50" s="715"/>
      <c r="QHG50" s="715"/>
      <c r="QHH50" s="715"/>
      <c r="QHI50" s="715"/>
      <c r="QHJ50" s="715"/>
      <c r="QHK50" s="715"/>
      <c r="QHL50" s="715"/>
      <c r="QHM50" s="715"/>
      <c r="QHN50" s="715"/>
      <c r="QHO50" s="715"/>
      <c r="QHP50" s="715"/>
      <c r="QHQ50" s="715"/>
      <c r="QHR50" s="715"/>
      <c r="QHS50" s="715"/>
      <c r="QHT50" s="715"/>
      <c r="QHU50" s="715"/>
      <c r="QHV50" s="715"/>
      <c r="QHW50" s="715"/>
      <c r="QHX50" s="715"/>
      <c r="QHY50" s="715"/>
      <c r="QHZ50" s="715"/>
      <c r="QIA50" s="715"/>
      <c r="QIB50" s="715"/>
      <c r="QIC50" s="715"/>
      <c r="QID50" s="715"/>
      <c r="QIE50" s="715"/>
      <c r="QIF50" s="715"/>
      <c r="QIG50" s="715"/>
      <c r="QIH50" s="715"/>
      <c r="QII50" s="715"/>
      <c r="QIJ50" s="715"/>
      <c r="QIK50" s="715"/>
      <c r="QIL50" s="715"/>
      <c r="QIM50" s="715"/>
      <c r="QIN50" s="715"/>
      <c r="QIO50" s="715"/>
      <c r="QIP50" s="715"/>
      <c r="QIQ50" s="715"/>
      <c r="QIR50" s="715"/>
      <c r="QIS50" s="715"/>
      <c r="QIT50" s="715"/>
      <c r="QIU50" s="715"/>
      <c r="QIV50" s="715"/>
      <c r="QIW50" s="715"/>
      <c r="QIX50" s="715"/>
      <c r="QIY50" s="715"/>
      <c r="QIZ50" s="715"/>
      <c r="QJA50" s="715"/>
      <c r="QJB50" s="715"/>
      <c r="QJC50" s="715"/>
      <c r="QJD50" s="715"/>
      <c r="QJE50" s="715"/>
      <c r="QJF50" s="715"/>
      <c r="QJG50" s="715"/>
      <c r="QJH50" s="715"/>
      <c r="QJI50" s="715"/>
      <c r="QJJ50" s="715"/>
      <c r="QJK50" s="715"/>
      <c r="QJL50" s="715"/>
      <c r="QJM50" s="715"/>
      <c r="QJN50" s="715"/>
      <c r="QJO50" s="715"/>
      <c r="QJP50" s="715"/>
      <c r="QJQ50" s="715"/>
      <c r="QJR50" s="715"/>
      <c r="QJS50" s="715"/>
      <c r="QJT50" s="715"/>
      <c r="QJU50" s="715"/>
      <c r="QJV50" s="715"/>
      <c r="QJW50" s="715"/>
      <c r="QJX50" s="715"/>
      <c r="QJY50" s="715"/>
      <c r="QJZ50" s="715"/>
      <c r="QKA50" s="715"/>
      <c r="QKB50" s="715"/>
      <c r="QKC50" s="715"/>
      <c r="QKD50" s="715"/>
      <c r="QKE50" s="715"/>
      <c r="QKF50" s="715"/>
      <c r="QKG50" s="715"/>
      <c r="QKH50" s="715"/>
      <c r="QKI50" s="715"/>
      <c r="QKJ50" s="715"/>
      <c r="QKK50" s="715"/>
      <c r="QKL50" s="715"/>
      <c r="QKM50" s="715"/>
      <c r="QKN50" s="715"/>
      <c r="QKO50" s="715"/>
      <c r="QKP50" s="715"/>
      <c r="QKQ50" s="715"/>
      <c r="QKR50" s="715"/>
      <c r="QKS50" s="715"/>
      <c r="QKT50" s="715"/>
      <c r="QKU50" s="715"/>
      <c r="QKV50" s="715"/>
      <c r="QKW50" s="715"/>
      <c r="QKX50" s="715"/>
      <c r="QKY50" s="715"/>
      <c r="QKZ50" s="715"/>
      <c r="QLA50" s="715"/>
      <c r="QLB50" s="715"/>
      <c r="QLC50" s="715"/>
      <c r="QLD50" s="715"/>
      <c r="QLE50" s="715"/>
      <c r="QLF50" s="715"/>
      <c r="QLG50" s="715"/>
      <c r="QLH50" s="715"/>
      <c r="QLI50" s="715"/>
      <c r="QLJ50" s="715"/>
      <c r="QLK50" s="715"/>
      <c r="QLL50" s="715"/>
      <c r="QLM50" s="715"/>
      <c r="QLN50" s="715"/>
      <c r="QLO50" s="715"/>
      <c r="QLP50" s="715"/>
      <c r="QLQ50" s="715"/>
      <c r="QLR50" s="715"/>
      <c r="QLS50" s="715"/>
      <c r="QLT50" s="715"/>
      <c r="QLU50" s="715"/>
      <c r="QLV50" s="715"/>
      <c r="QLW50" s="715"/>
      <c r="QLX50" s="715"/>
      <c r="QLY50" s="715"/>
      <c r="QLZ50" s="715"/>
      <c r="QMA50" s="715"/>
      <c r="QMB50" s="715"/>
      <c r="QMC50" s="715"/>
      <c r="QMD50" s="715"/>
      <c r="QME50" s="715"/>
      <c r="QMF50" s="715"/>
      <c r="QMG50" s="715"/>
      <c r="QMH50" s="715"/>
      <c r="QMI50" s="715"/>
      <c r="QMJ50" s="715"/>
      <c r="QMK50" s="715"/>
      <c r="QML50" s="715"/>
      <c r="QMM50" s="715"/>
      <c r="QMN50" s="715"/>
      <c r="QMO50" s="715"/>
      <c r="QMP50" s="715"/>
      <c r="QMQ50" s="715"/>
      <c r="QMR50" s="715"/>
      <c r="QMS50" s="715"/>
      <c r="QMT50" s="715"/>
      <c r="QMU50" s="715"/>
      <c r="QMV50" s="715"/>
      <c r="QMW50" s="715"/>
      <c r="QMX50" s="715"/>
      <c r="QMY50" s="715"/>
      <c r="QMZ50" s="715"/>
      <c r="QNA50" s="715"/>
      <c r="QNB50" s="715"/>
      <c r="QNC50" s="715"/>
      <c r="QND50" s="715"/>
      <c r="QNE50" s="715"/>
      <c r="QNF50" s="715"/>
      <c r="QNG50" s="715"/>
      <c r="QNH50" s="715"/>
      <c r="QNI50" s="715"/>
      <c r="QNJ50" s="715"/>
      <c r="QNK50" s="715"/>
      <c r="QNL50" s="715"/>
      <c r="QNM50" s="715"/>
      <c r="QNN50" s="715"/>
      <c r="QNO50" s="715"/>
      <c r="QNP50" s="715"/>
      <c r="QNQ50" s="715"/>
      <c r="QNR50" s="715"/>
      <c r="QNS50" s="715"/>
      <c r="QNT50" s="715"/>
      <c r="QNU50" s="715"/>
      <c r="QNV50" s="715"/>
      <c r="QNW50" s="715"/>
      <c r="QNX50" s="715"/>
      <c r="QNY50" s="715"/>
      <c r="QNZ50" s="715"/>
      <c r="QOA50" s="715"/>
      <c r="QOB50" s="715"/>
      <c r="QOC50" s="715"/>
      <c r="QOD50" s="715"/>
      <c r="QOE50" s="715"/>
      <c r="QOF50" s="715"/>
      <c r="QOG50" s="715"/>
      <c r="QOH50" s="715"/>
      <c r="QOI50" s="715"/>
      <c r="QOJ50" s="715"/>
      <c r="QOK50" s="715"/>
      <c r="QOL50" s="715"/>
      <c r="QOM50" s="715"/>
      <c r="QON50" s="715"/>
      <c r="QOO50" s="715"/>
      <c r="QOP50" s="715"/>
      <c r="QOQ50" s="715"/>
      <c r="QOR50" s="715"/>
      <c r="QOS50" s="715"/>
      <c r="QOT50" s="715"/>
      <c r="QOU50" s="715"/>
      <c r="QOV50" s="715"/>
      <c r="QOW50" s="715"/>
      <c r="QOX50" s="715"/>
      <c r="QOY50" s="715"/>
      <c r="QOZ50" s="715"/>
      <c r="QPA50" s="715"/>
      <c r="QPB50" s="715"/>
      <c r="QPC50" s="715"/>
      <c r="QPD50" s="715"/>
      <c r="QPE50" s="715"/>
      <c r="QPF50" s="715"/>
      <c r="QPG50" s="715"/>
      <c r="QPH50" s="715"/>
      <c r="QPI50" s="715"/>
      <c r="QPJ50" s="715"/>
      <c r="QPK50" s="715"/>
      <c r="QPL50" s="715"/>
      <c r="QPM50" s="715"/>
      <c r="QPN50" s="715"/>
      <c r="QPO50" s="715"/>
      <c r="QPP50" s="715"/>
      <c r="QPQ50" s="715"/>
      <c r="QPR50" s="715"/>
      <c r="QPS50" s="715"/>
      <c r="QPT50" s="715"/>
      <c r="QPU50" s="715"/>
      <c r="QPV50" s="715"/>
      <c r="QPW50" s="715"/>
      <c r="QPX50" s="715"/>
      <c r="QPY50" s="715"/>
      <c r="QPZ50" s="715"/>
      <c r="QQA50" s="715"/>
      <c r="QQB50" s="715"/>
      <c r="QQC50" s="715"/>
      <c r="QQD50" s="715"/>
      <c r="QQE50" s="715"/>
      <c r="QQF50" s="715"/>
      <c r="QQG50" s="715"/>
      <c r="QQH50" s="715"/>
      <c r="QQI50" s="715"/>
      <c r="QQJ50" s="715"/>
      <c r="QQK50" s="715"/>
      <c r="QQL50" s="715"/>
      <c r="QQM50" s="715"/>
      <c r="QQN50" s="715"/>
      <c r="QQO50" s="715"/>
      <c r="QQP50" s="715"/>
      <c r="QQQ50" s="715"/>
      <c r="QQR50" s="715"/>
      <c r="QQS50" s="715"/>
      <c r="QQT50" s="715"/>
      <c r="QQU50" s="715"/>
      <c r="QQV50" s="715"/>
      <c r="QQW50" s="715"/>
      <c r="QQX50" s="715"/>
      <c r="QQY50" s="715"/>
      <c r="QQZ50" s="715"/>
      <c r="QRA50" s="715"/>
      <c r="QRB50" s="715"/>
      <c r="QRC50" s="715"/>
      <c r="QRD50" s="715"/>
      <c r="QRE50" s="715"/>
      <c r="QRF50" s="715"/>
      <c r="QRG50" s="715"/>
      <c r="QRH50" s="715"/>
      <c r="QRI50" s="715"/>
      <c r="QRJ50" s="715"/>
      <c r="QRK50" s="715"/>
      <c r="QRL50" s="715"/>
      <c r="QRM50" s="715"/>
      <c r="QRN50" s="715"/>
      <c r="QRO50" s="715"/>
      <c r="QRP50" s="715"/>
      <c r="QRQ50" s="715"/>
      <c r="QRR50" s="715"/>
      <c r="QRS50" s="715"/>
      <c r="QRT50" s="715"/>
      <c r="QRU50" s="715"/>
      <c r="QRV50" s="715"/>
      <c r="QRW50" s="715"/>
      <c r="QRX50" s="715"/>
      <c r="QRY50" s="715"/>
      <c r="QRZ50" s="715"/>
      <c r="QSA50" s="715"/>
      <c r="QSB50" s="715"/>
      <c r="QSC50" s="715"/>
      <c r="QSD50" s="715"/>
      <c r="QSE50" s="715"/>
      <c r="QSF50" s="715"/>
      <c r="QSG50" s="715"/>
      <c r="QSH50" s="715"/>
      <c r="QSI50" s="715"/>
      <c r="QSJ50" s="715"/>
      <c r="QSK50" s="715"/>
      <c r="QSL50" s="715"/>
      <c r="QSM50" s="715"/>
      <c r="QSN50" s="715"/>
      <c r="QSO50" s="715"/>
      <c r="QSP50" s="715"/>
      <c r="QSQ50" s="715"/>
      <c r="QSR50" s="715"/>
      <c r="QSS50" s="715"/>
      <c r="QST50" s="715"/>
      <c r="QSU50" s="715"/>
      <c r="QSV50" s="715"/>
      <c r="QSW50" s="715"/>
      <c r="QSX50" s="715"/>
      <c r="QSY50" s="715"/>
      <c r="QSZ50" s="715"/>
      <c r="QTA50" s="715"/>
      <c r="QTB50" s="715"/>
      <c r="QTC50" s="715"/>
      <c r="QTD50" s="715"/>
      <c r="QTE50" s="715"/>
      <c r="QTF50" s="715"/>
      <c r="QTG50" s="715"/>
      <c r="QTH50" s="715"/>
      <c r="QTI50" s="715"/>
      <c r="QTJ50" s="715"/>
      <c r="QTK50" s="715"/>
      <c r="QTL50" s="715"/>
      <c r="QTM50" s="715"/>
      <c r="QTN50" s="715"/>
      <c r="QTO50" s="715"/>
      <c r="QTP50" s="715"/>
      <c r="QTQ50" s="715"/>
      <c r="QTR50" s="715"/>
      <c r="QTS50" s="715"/>
      <c r="QTT50" s="715"/>
      <c r="QTU50" s="715"/>
      <c r="QTV50" s="715"/>
      <c r="QTW50" s="715"/>
      <c r="QTX50" s="715"/>
      <c r="QTY50" s="715"/>
      <c r="QTZ50" s="715"/>
      <c r="QUA50" s="715"/>
      <c r="QUB50" s="715"/>
      <c r="QUC50" s="715"/>
      <c r="QUD50" s="715"/>
      <c r="QUE50" s="715"/>
      <c r="QUF50" s="715"/>
      <c r="QUG50" s="715"/>
      <c r="QUH50" s="715"/>
      <c r="QUI50" s="715"/>
      <c r="QUJ50" s="715"/>
      <c r="QUK50" s="715"/>
      <c r="QUL50" s="715"/>
      <c r="QUM50" s="715"/>
      <c r="QUN50" s="715"/>
      <c r="QUO50" s="715"/>
      <c r="QUP50" s="715"/>
      <c r="QUQ50" s="715"/>
      <c r="QUR50" s="715"/>
      <c r="QUS50" s="715"/>
      <c r="QUT50" s="715"/>
      <c r="QUU50" s="715"/>
      <c r="QUV50" s="715"/>
      <c r="QUW50" s="715"/>
      <c r="QUX50" s="715"/>
      <c r="QUY50" s="715"/>
      <c r="QUZ50" s="715"/>
      <c r="QVA50" s="715"/>
      <c r="QVB50" s="715"/>
      <c r="QVC50" s="715"/>
      <c r="QVD50" s="715"/>
      <c r="QVE50" s="715"/>
      <c r="QVF50" s="715"/>
      <c r="QVG50" s="715"/>
      <c r="QVH50" s="715"/>
      <c r="QVI50" s="715"/>
      <c r="QVJ50" s="715"/>
      <c r="QVK50" s="715"/>
      <c r="QVL50" s="715"/>
      <c r="QVM50" s="715"/>
      <c r="QVN50" s="715"/>
      <c r="QVO50" s="715"/>
      <c r="QVP50" s="715"/>
      <c r="QVQ50" s="715"/>
      <c r="QVR50" s="715"/>
      <c r="QVS50" s="715"/>
      <c r="QVT50" s="715"/>
      <c r="QVU50" s="715"/>
      <c r="QVV50" s="715"/>
      <c r="QVW50" s="715"/>
      <c r="QVX50" s="715"/>
      <c r="QVY50" s="715"/>
      <c r="QVZ50" s="715"/>
      <c r="QWA50" s="715"/>
      <c r="QWB50" s="715"/>
      <c r="QWC50" s="715"/>
      <c r="QWD50" s="715"/>
      <c r="QWE50" s="715"/>
      <c r="QWF50" s="715"/>
      <c r="QWG50" s="715"/>
      <c r="QWH50" s="715"/>
      <c r="QWI50" s="715"/>
      <c r="QWJ50" s="715"/>
      <c r="QWK50" s="715"/>
      <c r="QWL50" s="715"/>
      <c r="QWM50" s="715"/>
      <c r="QWN50" s="715"/>
      <c r="QWO50" s="715"/>
      <c r="QWP50" s="715"/>
      <c r="QWQ50" s="715"/>
      <c r="QWR50" s="715"/>
      <c r="QWS50" s="715"/>
      <c r="QWT50" s="715"/>
      <c r="QWU50" s="715"/>
      <c r="QWV50" s="715"/>
      <c r="QWW50" s="715"/>
      <c r="QWX50" s="715"/>
      <c r="QWY50" s="715"/>
      <c r="QWZ50" s="715"/>
      <c r="QXA50" s="715"/>
      <c r="QXB50" s="715"/>
      <c r="QXC50" s="715"/>
      <c r="QXD50" s="715"/>
      <c r="QXE50" s="715"/>
      <c r="QXF50" s="715"/>
      <c r="QXG50" s="715"/>
      <c r="QXH50" s="715"/>
      <c r="QXI50" s="715"/>
      <c r="QXJ50" s="715"/>
      <c r="QXK50" s="715"/>
      <c r="QXL50" s="715"/>
      <c r="QXM50" s="715"/>
      <c r="QXN50" s="715"/>
      <c r="QXO50" s="715"/>
      <c r="QXP50" s="715"/>
      <c r="QXQ50" s="715"/>
      <c r="QXR50" s="715"/>
      <c r="QXS50" s="715"/>
      <c r="QXT50" s="715"/>
      <c r="QXU50" s="715"/>
      <c r="QXV50" s="715"/>
      <c r="QXW50" s="715"/>
      <c r="QXX50" s="715"/>
      <c r="QXY50" s="715"/>
      <c r="QXZ50" s="715"/>
      <c r="QYA50" s="715"/>
      <c r="QYB50" s="715"/>
      <c r="QYC50" s="715"/>
      <c r="QYD50" s="715"/>
      <c r="QYE50" s="715"/>
      <c r="QYF50" s="715"/>
      <c r="QYG50" s="715"/>
      <c r="QYH50" s="715"/>
      <c r="QYI50" s="715"/>
      <c r="QYJ50" s="715"/>
      <c r="QYK50" s="715"/>
      <c r="QYL50" s="715"/>
      <c r="QYM50" s="715"/>
      <c r="QYN50" s="715"/>
      <c r="QYO50" s="715"/>
      <c r="QYP50" s="715"/>
      <c r="QYQ50" s="715"/>
      <c r="QYR50" s="715"/>
      <c r="QYS50" s="715"/>
      <c r="QYT50" s="715"/>
      <c r="QYU50" s="715"/>
      <c r="QYV50" s="715"/>
      <c r="QYW50" s="715"/>
      <c r="QYX50" s="715"/>
      <c r="QYY50" s="715"/>
      <c r="QYZ50" s="715"/>
      <c r="QZA50" s="715"/>
      <c r="QZB50" s="715"/>
      <c r="QZC50" s="715"/>
      <c r="QZD50" s="715"/>
      <c r="QZE50" s="715"/>
      <c r="QZF50" s="715"/>
      <c r="QZG50" s="715"/>
      <c r="QZH50" s="715"/>
      <c r="QZI50" s="715"/>
      <c r="QZJ50" s="715"/>
      <c r="QZK50" s="715"/>
      <c r="QZL50" s="715"/>
      <c r="QZM50" s="715"/>
      <c r="QZN50" s="715"/>
      <c r="QZO50" s="715"/>
      <c r="QZP50" s="715"/>
      <c r="QZQ50" s="715"/>
      <c r="QZR50" s="715"/>
      <c r="QZS50" s="715"/>
      <c r="QZT50" s="715"/>
      <c r="QZU50" s="715"/>
      <c r="QZV50" s="715"/>
      <c r="QZW50" s="715"/>
      <c r="QZX50" s="715"/>
      <c r="QZY50" s="715"/>
      <c r="QZZ50" s="715"/>
      <c r="RAA50" s="715"/>
      <c r="RAB50" s="715"/>
      <c r="RAC50" s="715"/>
      <c r="RAD50" s="715"/>
      <c r="RAE50" s="715"/>
      <c r="RAF50" s="715"/>
      <c r="RAG50" s="715"/>
      <c r="RAH50" s="715"/>
      <c r="RAI50" s="715"/>
      <c r="RAJ50" s="715"/>
      <c r="RAK50" s="715"/>
      <c r="RAL50" s="715"/>
      <c r="RAM50" s="715"/>
      <c r="RAN50" s="715"/>
      <c r="RAO50" s="715"/>
      <c r="RAP50" s="715"/>
      <c r="RAQ50" s="715"/>
      <c r="RAR50" s="715"/>
      <c r="RAS50" s="715"/>
      <c r="RAT50" s="715"/>
      <c r="RAU50" s="715"/>
      <c r="RAV50" s="715"/>
      <c r="RAW50" s="715"/>
      <c r="RAX50" s="715"/>
      <c r="RAY50" s="715"/>
      <c r="RAZ50" s="715"/>
      <c r="RBA50" s="715"/>
      <c r="RBB50" s="715"/>
      <c r="RBC50" s="715"/>
      <c r="RBD50" s="715"/>
      <c r="RBE50" s="715"/>
      <c r="RBF50" s="715"/>
      <c r="RBG50" s="715"/>
      <c r="RBH50" s="715"/>
      <c r="RBI50" s="715"/>
      <c r="RBJ50" s="715"/>
      <c r="RBK50" s="715"/>
      <c r="RBL50" s="715"/>
      <c r="RBM50" s="715"/>
      <c r="RBN50" s="715"/>
      <c r="RBO50" s="715"/>
      <c r="RBP50" s="715"/>
      <c r="RBQ50" s="715"/>
      <c r="RBR50" s="715"/>
      <c r="RBS50" s="715"/>
      <c r="RBT50" s="715"/>
      <c r="RBU50" s="715"/>
      <c r="RBV50" s="715"/>
      <c r="RBW50" s="715"/>
      <c r="RBX50" s="715"/>
      <c r="RBY50" s="715"/>
      <c r="RBZ50" s="715"/>
      <c r="RCA50" s="715"/>
      <c r="RCB50" s="715"/>
      <c r="RCC50" s="715"/>
      <c r="RCD50" s="715"/>
      <c r="RCE50" s="715"/>
      <c r="RCF50" s="715"/>
      <c r="RCG50" s="715"/>
      <c r="RCH50" s="715"/>
      <c r="RCI50" s="715"/>
      <c r="RCJ50" s="715"/>
      <c r="RCK50" s="715"/>
      <c r="RCL50" s="715"/>
      <c r="RCM50" s="715"/>
      <c r="RCN50" s="715"/>
      <c r="RCO50" s="715"/>
      <c r="RCP50" s="715"/>
      <c r="RCQ50" s="715"/>
      <c r="RCR50" s="715"/>
      <c r="RCS50" s="715"/>
      <c r="RCT50" s="715"/>
      <c r="RCU50" s="715"/>
      <c r="RCV50" s="715"/>
      <c r="RCW50" s="715"/>
      <c r="RCX50" s="715"/>
      <c r="RCY50" s="715"/>
      <c r="RCZ50" s="715"/>
      <c r="RDA50" s="715"/>
      <c r="RDB50" s="715"/>
      <c r="RDC50" s="715"/>
      <c r="RDD50" s="715"/>
      <c r="RDE50" s="715"/>
      <c r="RDF50" s="715"/>
      <c r="RDG50" s="715"/>
      <c r="RDH50" s="715"/>
      <c r="RDI50" s="715"/>
      <c r="RDJ50" s="715"/>
      <c r="RDK50" s="715"/>
      <c r="RDL50" s="715"/>
      <c r="RDM50" s="715"/>
      <c r="RDN50" s="715"/>
      <c r="RDO50" s="715"/>
      <c r="RDP50" s="715"/>
      <c r="RDQ50" s="715"/>
      <c r="RDR50" s="715"/>
      <c r="RDS50" s="715"/>
      <c r="RDT50" s="715"/>
      <c r="RDU50" s="715"/>
      <c r="RDV50" s="715"/>
      <c r="RDW50" s="715"/>
      <c r="RDX50" s="715"/>
      <c r="RDY50" s="715"/>
      <c r="RDZ50" s="715"/>
      <c r="REA50" s="715"/>
      <c r="REB50" s="715"/>
      <c r="REC50" s="715"/>
      <c r="RED50" s="715"/>
      <c r="REE50" s="715"/>
      <c r="REF50" s="715"/>
      <c r="REG50" s="715"/>
      <c r="REH50" s="715"/>
      <c r="REI50" s="715"/>
      <c r="REJ50" s="715"/>
      <c r="REK50" s="715"/>
      <c r="REL50" s="715"/>
      <c r="REM50" s="715"/>
      <c r="REN50" s="715"/>
      <c r="REO50" s="715"/>
      <c r="REP50" s="715"/>
      <c r="REQ50" s="715"/>
      <c r="RER50" s="715"/>
      <c r="RES50" s="715"/>
      <c r="RET50" s="715"/>
      <c r="REU50" s="715"/>
      <c r="REV50" s="715"/>
      <c r="REW50" s="715"/>
      <c r="REX50" s="715"/>
      <c r="REY50" s="715"/>
      <c r="REZ50" s="715"/>
      <c r="RFA50" s="715"/>
      <c r="RFB50" s="715"/>
      <c r="RFC50" s="715"/>
      <c r="RFD50" s="715"/>
      <c r="RFE50" s="715"/>
      <c r="RFF50" s="715"/>
      <c r="RFG50" s="715"/>
      <c r="RFH50" s="715"/>
      <c r="RFI50" s="715"/>
      <c r="RFJ50" s="715"/>
      <c r="RFK50" s="715"/>
      <c r="RFL50" s="715"/>
      <c r="RFM50" s="715"/>
      <c r="RFN50" s="715"/>
      <c r="RFO50" s="715"/>
      <c r="RFP50" s="715"/>
      <c r="RFQ50" s="715"/>
      <c r="RFR50" s="715"/>
      <c r="RFS50" s="715"/>
      <c r="RFT50" s="715"/>
      <c r="RFU50" s="715"/>
      <c r="RFV50" s="715"/>
      <c r="RFW50" s="715"/>
      <c r="RFX50" s="715"/>
      <c r="RFY50" s="715"/>
      <c r="RFZ50" s="715"/>
      <c r="RGA50" s="715"/>
      <c r="RGB50" s="715"/>
      <c r="RGC50" s="715"/>
      <c r="RGD50" s="715"/>
      <c r="RGE50" s="715"/>
      <c r="RGF50" s="715"/>
      <c r="RGG50" s="715"/>
      <c r="RGH50" s="715"/>
      <c r="RGI50" s="715"/>
      <c r="RGJ50" s="715"/>
      <c r="RGK50" s="715"/>
      <c r="RGL50" s="715"/>
      <c r="RGM50" s="715"/>
      <c r="RGN50" s="715"/>
      <c r="RGO50" s="715"/>
      <c r="RGP50" s="715"/>
      <c r="RGQ50" s="715"/>
      <c r="RGR50" s="715"/>
      <c r="RGS50" s="715"/>
      <c r="RGT50" s="715"/>
      <c r="RGU50" s="715"/>
      <c r="RGV50" s="715"/>
      <c r="RGW50" s="715"/>
      <c r="RGX50" s="715"/>
      <c r="RGY50" s="715"/>
      <c r="RGZ50" s="715"/>
      <c r="RHA50" s="715"/>
      <c r="RHB50" s="715"/>
      <c r="RHC50" s="715"/>
      <c r="RHD50" s="715"/>
      <c r="RHE50" s="715"/>
      <c r="RHF50" s="715"/>
      <c r="RHG50" s="715"/>
      <c r="RHH50" s="715"/>
      <c r="RHI50" s="715"/>
      <c r="RHJ50" s="715"/>
      <c r="RHK50" s="715"/>
      <c r="RHL50" s="715"/>
      <c r="RHM50" s="715"/>
      <c r="RHN50" s="715"/>
      <c r="RHO50" s="715"/>
      <c r="RHP50" s="715"/>
      <c r="RHQ50" s="715"/>
      <c r="RHR50" s="715"/>
      <c r="RHS50" s="715"/>
      <c r="RHT50" s="715"/>
      <c r="RHU50" s="715"/>
      <c r="RHV50" s="715"/>
      <c r="RHW50" s="715"/>
      <c r="RHX50" s="715"/>
      <c r="RHY50" s="715"/>
      <c r="RHZ50" s="715"/>
      <c r="RIA50" s="715"/>
      <c r="RIB50" s="715"/>
      <c r="RIC50" s="715"/>
      <c r="RID50" s="715"/>
      <c r="RIE50" s="715"/>
      <c r="RIF50" s="715"/>
      <c r="RIG50" s="715"/>
      <c r="RIH50" s="715"/>
      <c r="RII50" s="715"/>
      <c r="RIJ50" s="715"/>
      <c r="RIK50" s="715"/>
      <c r="RIL50" s="715"/>
      <c r="RIM50" s="715"/>
      <c r="RIN50" s="715"/>
      <c r="RIO50" s="715"/>
      <c r="RIP50" s="715"/>
      <c r="RIQ50" s="715"/>
      <c r="RIR50" s="715"/>
      <c r="RIS50" s="715"/>
      <c r="RIT50" s="715"/>
      <c r="RIU50" s="715"/>
      <c r="RIV50" s="715"/>
      <c r="RIW50" s="715"/>
      <c r="RIX50" s="715"/>
      <c r="RIY50" s="715"/>
      <c r="RIZ50" s="715"/>
      <c r="RJA50" s="715"/>
      <c r="RJB50" s="715"/>
      <c r="RJC50" s="715"/>
      <c r="RJD50" s="715"/>
      <c r="RJE50" s="715"/>
      <c r="RJF50" s="715"/>
      <c r="RJG50" s="715"/>
      <c r="RJH50" s="715"/>
      <c r="RJI50" s="715"/>
      <c r="RJJ50" s="715"/>
      <c r="RJK50" s="715"/>
      <c r="RJL50" s="715"/>
      <c r="RJM50" s="715"/>
      <c r="RJN50" s="715"/>
      <c r="RJO50" s="715"/>
      <c r="RJP50" s="715"/>
      <c r="RJQ50" s="715"/>
      <c r="RJR50" s="715"/>
      <c r="RJS50" s="715"/>
      <c r="RJT50" s="715"/>
      <c r="RJU50" s="715"/>
      <c r="RJV50" s="715"/>
      <c r="RJW50" s="715"/>
      <c r="RJX50" s="715"/>
      <c r="RJY50" s="715"/>
      <c r="RJZ50" s="715"/>
      <c r="RKA50" s="715"/>
      <c r="RKB50" s="715"/>
      <c r="RKC50" s="715"/>
      <c r="RKD50" s="715"/>
      <c r="RKE50" s="715"/>
      <c r="RKF50" s="715"/>
      <c r="RKG50" s="715"/>
      <c r="RKH50" s="715"/>
      <c r="RKI50" s="715"/>
      <c r="RKJ50" s="715"/>
      <c r="RKK50" s="715"/>
      <c r="RKL50" s="715"/>
      <c r="RKM50" s="715"/>
      <c r="RKN50" s="715"/>
      <c r="RKO50" s="715"/>
      <c r="RKP50" s="715"/>
      <c r="RKQ50" s="715"/>
      <c r="RKR50" s="715"/>
      <c r="RKS50" s="715"/>
      <c r="RKT50" s="715"/>
      <c r="RKU50" s="715"/>
      <c r="RKV50" s="715"/>
      <c r="RKW50" s="715"/>
      <c r="RKX50" s="715"/>
      <c r="RKY50" s="715"/>
      <c r="RKZ50" s="715"/>
      <c r="RLA50" s="715"/>
      <c r="RLB50" s="715"/>
      <c r="RLC50" s="715"/>
      <c r="RLD50" s="715"/>
      <c r="RLE50" s="715"/>
      <c r="RLF50" s="715"/>
      <c r="RLG50" s="715"/>
      <c r="RLH50" s="715"/>
      <c r="RLI50" s="715"/>
      <c r="RLJ50" s="715"/>
      <c r="RLK50" s="715"/>
      <c r="RLL50" s="715"/>
      <c r="RLM50" s="715"/>
      <c r="RLN50" s="715"/>
      <c r="RLO50" s="715"/>
      <c r="RLP50" s="715"/>
      <c r="RLQ50" s="715"/>
      <c r="RLR50" s="715"/>
      <c r="RLS50" s="715"/>
      <c r="RLT50" s="715"/>
      <c r="RLU50" s="715"/>
      <c r="RLV50" s="715"/>
      <c r="RLW50" s="715"/>
      <c r="RLX50" s="715"/>
      <c r="RLY50" s="715"/>
      <c r="RLZ50" s="715"/>
      <c r="RMA50" s="715"/>
      <c r="RMB50" s="715"/>
      <c r="RMC50" s="715"/>
      <c r="RMD50" s="715"/>
      <c r="RME50" s="715"/>
      <c r="RMF50" s="715"/>
      <c r="RMG50" s="715"/>
      <c r="RMH50" s="715"/>
      <c r="RMI50" s="715"/>
      <c r="RMJ50" s="715"/>
      <c r="RMK50" s="715"/>
      <c r="RML50" s="715"/>
      <c r="RMM50" s="715"/>
      <c r="RMN50" s="715"/>
      <c r="RMO50" s="715"/>
      <c r="RMP50" s="715"/>
      <c r="RMQ50" s="715"/>
      <c r="RMR50" s="715"/>
      <c r="RMS50" s="715"/>
      <c r="RMT50" s="715"/>
      <c r="RMU50" s="715"/>
      <c r="RMV50" s="715"/>
      <c r="RMW50" s="715"/>
      <c r="RMX50" s="715"/>
      <c r="RMY50" s="715"/>
      <c r="RMZ50" s="715"/>
      <c r="RNA50" s="715"/>
      <c r="RNB50" s="715"/>
      <c r="RNC50" s="715"/>
      <c r="RND50" s="715"/>
      <c r="RNE50" s="715"/>
      <c r="RNF50" s="715"/>
      <c r="RNG50" s="715"/>
      <c r="RNH50" s="715"/>
      <c r="RNI50" s="715"/>
      <c r="RNJ50" s="715"/>
      <c r="RNK50" s="715"/>
      <c r="RNL50" s="715"/>
      <c r="RNM50" s="715"/>
      <c r="RNN50" s="715"/>
      <c r="RNO50" s="715"/>
      <c r="RNP50" s="715"/>
      <c r="RNQ50" s="715"/>
      <c r="RNR50" s="715"/>
      <c r="RNS50" s="715"/>
      <c r="RNT50" s="715"/>
      <c r="RNU50" s="715"/>
      <c r="RNV50" s="715"/>
      <c r="RNW50" s="715"/>
      <c r="RNX50" s="715"/>
      <c r="RNY50" s="715"/>
      <c r="RNZ50" s="715"/>
      <c r="ROA50" s="715"/>
      <c r="ROB50" s="715"/>
      <c r="ROC50" s="715"/>
      <c r="ROD50" s="715"/>
      <c r="ROE50" s="715"/>
      <c r="ROF50" s="715"/>
      <c r="ROG50" s="715"/>
      <c r="ROH50" s="715"/>
      <c r="ROI50" s="715"/>
      <c r="ROJ50" s="715"/>
      <c r="ROK50" s="715"/>
      <c r="ROL50" s="715"/>
      <c r="ROM50" s="715"/>
      <c r="RON50" s="715"/>
      <c r="ROO50" s="715"/>
      <c r="ROP50" s="715"/>
      <c r="ROQ50" s="715"/>
      <c r="ROR50" s="715"/>
      <c r="ROS50" s="715"/>
      <c r="ROT50" s="715"/>
      <c r="ROU50" s="715"/>
      <c r="ROV50" s="715"/>
      <c r="ROW50" s="715"/>
      <c r="ROX50" s="715"/>
      <c r="ROY50" s="715"/>
      <c r="ROZ50" s="715"/>
      <c r="RPA50" s="715"/>
      <c r="RPB50" s="715"/>
      <c r="RPC50" s="715"/>
      <c r="RPD50" s="715"/>
      <c r="RPE50" s="715"/>
      <c r="RPF50" s="715"/>
      <c r="RPG50" s="715"/>
      <c r="RPH50" s="715"/>
      <c r="RPI50" s="715"/>
      <c r="RPJ50" s="715"/>
      <c r="RPK50" s="715"/>
      <c r="RPL50" s="715"/>
      <c r="RPM50" s="715"/>
      <c r="RPN50" s="715"/>
      <c r="RPO50" s="715"/>
      <c r="RPP50" s="715"/>
      <c r="RPQ50" s="715"/>
      <c r="RPR50" s="715"/>
      <c r="RPS50" s="715"/>
      <c r="RPT50" s="715"/>
      <c r="RPU50" s="715"/>
      <c r="RPV50" s="715"/>
      <c r="RPW50" s="715"/>
      <c r="RPX50" s="715"/>
      <c r="RPY50" s="715"/>
      <c r="RPZ50" s="715"/>
      <c r="RQA50" s="715"/>
      <c r="RQB50" s="715"/>
      <c r="RQC50" s="715"/>
      <c r="RQD50" s="715"/>
      <c r="RQE50" s="715"/>
      <c r="RQF50" s="715"/>
      <c r="RQG50" s="715"/>
      <c r="RQH50" s="715"/>
      <c r="RQI50" s="715"/>
      <c r="RQJ50" s="715"/>
      <c r="RQK50" s="715"/>
      <c r="RQL50" s="715"/>
      <c r="RQM50" s="715"/>
      <c r="RQN50" s="715"/>
      <c r="RQO50" s="715"/>
      <c r="RQP50" s="715"/>
      <c r="RQQ50" s="715"/>
      <c r="RQR50" s="715"/>
      <c r="RQS50" s="715"/>
      <c r="RQT50" s="715"/>
      <c r="RQU50" s="715"/>
      <c r="RQV50" s="715"/>
      <c r="RQW50" s="715"/>
      <c r="RQX50" s="715"/>
      <c r="RQY50" s="715"/>
      <c r="RQZ50" s="715"/>
      <c r="RRA50" s="715"/>
      <c r="RRB50" s="715"/>
      <c r="RRC50" s="715"/>
      <c r="RRD50" s="715"/>
      <c r="RRE50" s="715"/>
      <c r="RRF50" s="715"/>
      <c r="RRG50" s="715"/>
      <c r="RRH50" s="715"/>
      <c r="RRI50" s="715"/>
      <c r="RRJ50" s="715"/>
      <c r="RRK50" s="715"/>
      <c r="RRL50" s="715"/>
      <c r="RRM50" s="715"/>
      <c r="RRN50" s="715"/>
      <c r="RRO50" s="715"/>
      <c r="RRP50" s="715"/>
      <c r="RRQ50" s="715"/>
      <c r="RRR50" s="715"/>
      <c r="RRS50" s="715"/>
      <c r="RRT50" s="715"/>
      <c r="RRU50" s="715"/>
      <c r="RRV50" s="715"/>
      <c r="RRW50" s="715"/>
      <c r="RRX50" s="715"/>
      <c r="RRY50" s="715"/>
      <c r="RRZ50" s="715"/>
      <c r="RSA50" s="715"/>
      <c r="RSB50" s="715"/>
      <c r="RSC50" s="715"/>
      <c r="RSD50" s="715"/>
      <c r="RSE50" s="715"/>
      <c r="RSF50" s="715"/>
      <c r="RSG50" s="715"/>
      <c r="RSH50" s="715"/>
      <c r="RSI50" s="715"/>
      <c r="RSJ50" s="715"/>
      <c r="RSK50" s="715"/>
      <c r="RSL50" s="715"/>
      <c r="RSM50" s="715"/>
      <c r="RSN50" s="715"/>
      <c r="RSO50" s="715"/>
      <c r="RSP50" s="715"/>
      <c r="RSQ50" s="715"/>
      <c r="RSR50" s="715"/>
      <c r="RSS50" s="715"/>
      <c r="RST50" s="715"/>
      <c r="RSU50" s="715"/>
      <c r="RSV50" s="715"/>
      <c r="RSW50" s="715"/>
      <c r="RSX50" s="715"/>
      <c r="RSY50" s="715"/>
      <c r="RSZ50" s="715"/>
      <c r="RTA50" s="715"/>
      <c r="RTB50" s="715"/>
      <c r="RTC50" s="715"/>
      <c r="RTD50" s="715"/>
      <c r="RTE50" s="715"/>
      <c r="RTF50" s="715"/>
      <c r="RTG50" s="715"/>
      <c r="RTH50" s="715"/>
      <c r="RTI50" s="715"/>
      <c r="RTJ50" s="715"/>
      <c r="RTK50" s="715"/>
      <c r="RTL50" s="715"/>
      <c r="RTM50" s="715"/>
      <c r="RTN50" s="715"/>
      <c r="RTO50" s="715"/>
      <c r="RTP50" s="715"/>
      <c r="RTQ50" s="715"/>
      <c r="RTR50" s="715"/>
      <c r="RTS50" s="715"/>
      <c r="RTT50" s="715"/>
      <c r="RTU50" s="715"/>
      <c r="RTV50" s="715"/>
      <c r="RTW50" s="715"/>
      <c r="RTX50" s="715"/>
      <c r="RTY50" s="715"/>
      <c r="RTZ50" s="715"/>
      <c r="RUA50" s="715"/>
      <c r="RUB50" s="715"/>
      <c r="RUC50" s="715"/>
      <c r="RUD50" s="715"/>
      <c r="RUE50" s="715"/>
      <c r="RUF50" s="715"/>
      <c r="RUG50" s="715"/>
      <c r="RUH50" s="715"/>
      <c r="RUI50" s="715"/>
      <c r="RUJ50" s="715"/>
      <c r="RUK50" s="715"/>
      <c r="RUL50" s="715"/>
      <c r="RUM50" s="715"/>
      <c r="RUN50" s="715"/>
      <c r="RUO50" s="715"/>
      <c r="RUP50" s="715"/>
      <c r="RUQ50" s="715"/>
      <c r="RUR50" s="715"/>
      <c r="RUS50" s="715"/>
      <c r="RUT50" s="715"/>
      <c r="RUU50" s="715"/>
      <c r="RUV50" s="715"/>
      <c r="RUW50" s="715"/>
      <c r="RUX50" s="715"/>
      <c r="RUY50" s="715"/>
      <c r="RUZ50" s="715"/>
      <c r="RVA50" s="715"/>
      <c r="RVB50" s="715"/>
      <c r="RVC50" s="715"/>
      <c r="RVD50" s="715"/>
      <c r="RVE50" s="715"/>
      <c r="RVF50" s="715"/>
      <c r="RVG50" s="715"/>
      <c r="RVH50" s="715"/>
      <c r="RVI50" s="715"/>
      <c r="RVJ50" s="715"/>
      <c r="RVK50" s="715"/>
      <c r="RVL50" s="715"/>
      <c r="RVM50" s="715"/>
      <c r="RVN50" s="715"/>
      <c r="RVO50" s="715"/>
      <c r="RVP50" s="715"/>
      <c r="RVQ50" s="715"/>
      <c r="RVR50" s="715"/>
      <c r="RVS50" s="715"/>
      <c r="RVT50" s="715"/>
      <c r="RVU50" s="715"/>
      <c r="RVV50" s="715"/>
      <c r="RVW50" s="715"/>
      <c r="RVX50" s="715"/>
      <c r="RVY50" s="715"/>
      <c r="RVZ50" s="715"/>
      <c r="RWA50" s="715"/>
      <c r="RWB50" s="715"/>
      <c r="RWC50" s="715"/>
      <c r="RWD50" s="715"/>
      <c r="RWE50" s="715"/>
      <c r="RWF50" s="715"/>
      <c r="RWG50" s="715"/>
      <c r="RWH50" s="715"/>
      <c r="RWI50" s="715"/>
      <c r="RWJ50" s="715"/>
      <c r="RWK50" s="715"/>
      <c r="RWL50" s="715"/>
      <c r="RWM50" s="715"/>
      <c r="RWN50" s="715"/>
      <c r="RWO50" s="715"/>
      <c r="RWP50" s="715"/>
      <c r="RWQ50" s="715"/>
      <c r="RWR50" s="715"/>
      <c r="RWS50" s="715"/>
      <c r="RWT50" s="715"/>
      <c r="RWU50" s="715"/>
      <c r="RWV50" s="715"/>
      <c r="RWW50" s="715"/>
      <c r="RWX50" s="715"/>
      <c r="RWY50" s="715"/>
      <c r="RWZ50" s="715"/>
      <c r="RXA50" s="715"/>
      <c r="RXB50" s="715"/>
      <c r="RXC50" s="715"/>
      <c r="RXD50" s="715"/>
      <c r="RXE50" s="715"/>
      <c r="RXF50" s="715"/>
      <c r="RXG50" s="715"/>
      <c r="RXH50" s="715"/>
      <c r="RXI50" s="715"/>
      <c r="RXJ50" s="715"/>
      <c r="RXK50" s="715"/>
      <c r="RXL50" s="715"/>
      <c r="RXM50" s="715"/>
      <c r="RXN50" s="715"/>
      <c r="RXO50" s="715"/>
      <c r="RXP50" s="715"/>
      <c r="RXQ50" s="715"/>
      <c r="RXR50" s="715"/>
      <c r="RXS50" s="715"/>
      <c r="RXT50" s="715"/>
      <c r="RXU50" s="715"/>
      <c r="RXV50" s="715"/>
      <c r="RXW50" s="715"/>
      <c r="RXX50" s="715"/>
      <c r="RXY50" s="715"/>
      <c r="RXZ50" s="715"/>
      <c r="RYA50" s="715"/>
      <c r="RYB50" s="715"/>
      <c r="RYC50" s="715"/>
      <c r="RYD50" s="715"/>
      <c r="RYE50" s="715"/>
      <c r="RYF50" s="715"/>
      <c r="RYG50" s="715"/>
      <c r="RYH50" s="715"/>
      <c r="RYI50" s="715"/>
      <c r="RYJ50" s="715"/>
      <c r="RYK50" s="715"/>
      <c r="RYL50" s="715"/>
      <c r="RYM50" s="715"/>
      <c r="RYN50" s="715"/>
      <c r="RYO50" s="715"/>
      <c r="RYP50" s="715"/>
      <c r="RYQ50" s="715"/>
      <c r="RYR50" s="715"/>
      <c r="RYS50" s="715"/>
      <c r="RYT50" s="715"/>
      <c r="RYU50" s="715"/>
      <c r="RYV50" s="715"/>
      <c r="RYW50" s="715"/>
      <c r="RYX50" s="715"/>
      <c r="RYY50" s="715"/>
      <c r="RYZ50" s="715"/>
      <c r="RZA50" s="715"/>
      <c r="RZB50" s="715"/>
      <c r="RZC50" s="715"/>
      <c r="RZD50" s="715"/>
      <c r="RZE50" s="715"/>
      <c r="RZF50" s="715"/>
      <c r="RZG50" s="715"/>
      <c r="RZH50" s="715"/>
      <c r="RZI50" s="715"/>
      <c r="RZJ50" s="715"/>
      <c r="RZK50" s="715"/>
      <c r="RZL50" s="715"/>
      <c r="RZM50" s="715"/>
      <c r="RZN50" s="715"/>
      <c r="RZO50" s="715"/>
      <c r="RZP50" s="715"/>
      <c r="RZQ50" s="715"/>
      <c r="RZR50" s="715"/>
      <c r="RZS50" s="715"/>
      <c r="RZT50" s="715"/>
      <c r="RZU50" s="715"/>
      <c r="RZV50" s="715"/>
      <c r="RZW50" s="715"/>
      <c r="RZX50" s="715"/>
      <c r="RZY50" s="715"/>
      <c r="RZZ50" s="715"/>
      <c r="SAA50" s="715"/>
      <c r="SAB50" s="715"/>
      <c r="SAC50" s="715"/>
      <c r="SAD50" s="715"/>
      <c r="SAE50" s="715"/>
      <c r="SAF50" s="715"/>
      <c r="SAG50" s="715"/>
      <c r="SAH50" s="715"/>
      <c r="SAI50" s="715"/>
      <c r="SAJ50" s="715"/>
      <c r="SAK50" s="715"/>
      <c r="SAL50" s="715"/>
      <c r="SAM50" s="715"/>
      <c r="SAN50" s="715"/>
      <c r="SAO50" s="715"/>
      <c r="SAP50" s="715"/>
      <c r="SAQ50" s="715"/>
      <c r="SAR50" s="715"/>
      <c r="SAS50" s="715"/>
      <c r="SAT50" s="715"/>
      <c r="SAU50" s="715"/>
      <c r="SAV50" s="715"/>
      <c r="SAW50" s="715"/>
      <c r="SAX50" s="715"/>
      <c r="SAY50" s="715"/>
      <c r="SAZ50" s="715"/>
      <c r="SBA50" s="715"/>
      <c r="SBB50" s="715"/>
      <c r="SBC50" s="715"/>
      <c r="SBD50" s="715"/>
      <c r="SBE50" s="715"/>
      <c r="SBF50" s="715"/>
      <c r="SBG50" s="715"/>
      <c r="SBH50" s="715"/>
      <c r="SBI50" s="715"/>
      <c r="SBJ50" s="715"/>
      <c r="SBK50" s="715"/>
      <c r="SBL50" s="715"/>
      <c r="SBM50" s="715"/>
      <c r="SBN50" s="715"/>
      <c r="SBO50" s="715"/>
      <c r="SBP50" s="715"/>
      <c r="SBQ50" s="715"/>
      <c r="SBR50" s="715"/>
      <c r="SBS50" s="715"/>
      <c r="SBT50" s="715"/>
      <c r="SBU50" s="715"/>
      <c r="SBV50" s="715"/>
      <c r="SBW50" s="715"/>
      <c r="SBX50" s="715"/>
      <c r="SBY50" s="715"/>
      <c r="SBZ50" s="715"/>
      <c r="SCA50" s="715"/>
      <c r="SCB50" s="715"/>
      <c r="SCC50" s="715"/>
      <c r="SCD50" s="715"/>
      <c r="SCE50" s="715"/>
      <c r="SCF50" s="715"/>
      <c r="SCG50" s="715"/>
      <c r="SCH50" s="715"/>
      <c r="SCI50" s="715"/>
      <c r="SCJ50" s="715"/>
      <c r="SCK50" s="715"/>
      <c r="SCL50" s="715"/>
      <c r="SCM50" s="715"/>
      <c r="SCN50" s="715"/>
      <c r="SCO50" s="715"/>
      <c r="SCP50" s="715"/>
      <c r="SCQ50" s="715"/>
      <c r="SCR50" s="715"/>
      <c r="SCS50" s="715"/>
      <c r="SCT50" s="715"/>
      <c r="SCU50" s="715"/>
      <c r="SCV50" s="715"/>
      <c r="SCW50" s="715"/>
      <c r="SCX50" s="715"/>
      <c r="SCY50" s="715"/>
      <c r="SCZ50" s="715"/>
      <c r="SDA50" s="715"/>
      <c r="SDB50" s="715"/>
      <c r="SDC50" s="715"/>
      <c r="SDD50" s="715"/>
      <c r="SDE50" s="715"/>
      <c r="SDF50" s="715"/>
      <c r="SDG50" s="715"/>
      <c r="SDH50" s="715"/>
      <c r="SDI50" s="715"/>
      <c r="SDJ50" s="715"/>
      <c r="SDK50" s="715"/>
      <c r="SDL50" s="715"/>
      <c r="SDM50" s="715"/>
      <c r="SDN50" s="715"/>
      <c r="SDO50" s="715"/>
      <c r="SDP50" s="715"/>
      <c r="SDQ50" s="715"/>
      <c r="SDR50" s="715"/>
      <c r="SDS50" s="715"/>
      <c r="SDT50" s="715"/>
      <c r="SDU50" s="715"/>
      <c r="SDV50" s="715"/>
      <c r="SDW50" s="715"/>
      <c r="SDX50" s="715"/>
      <c r="SDY50" s="715"/>
      <c r="SDZ50" s="715"/>
      <c r="SEA50" s="715"/>
      <c r="SEB50" s="715"/>
      <c r="SEC50" s="715"/>
      <c r="SED50" s="715"/>
      <c r="SEE50" s="715"/>
      <c r="SEF50" s="715"/>
      <c r="SEG50" s="715"/>
      <c r="SEH50" s="715"/>
      <c r="SEI50" s="715"/>
      <c r="SEJ50" s="715"/>
      <c r="SEK50" s="715"/>
      <c r="SEL50" s="715"/>
      <c r="SEM50" s="715"/>
      <c r="SEN50" s="715"/>
      <c r="SEO50" s="715"/>
      <c r="SEP50" s="715"/>
      <c r="SEQ50" s="715"/>
      <c r="SER50" s="715"/>
      <c r="SES50" s="715"/>
      <c r="SET50" s="715"/>
      <c r="SEU50" s="715"/>
      <c r="SEV50" s="715"/>
      <c r="SEW50" s="715"/>
      <c r="SEX50" s="715"/>
      <c r="SEY50" s="715"/>
      <c r="SEZ50" s="715"/>
      <c r="SFA50" s="715"/>
      <c r="SFB50" s="715"/>
      <c r="SFC50" s="715"/>
      <c r="SFD50" s="715"/>
      <c r="SFE50" s="715"/>
      <c r="SFF50" s="715"/>
      <c r="SFG50" s="715"/>
      <c r="SFH50" s="715"/>
      <c r="SFI50" s="715"/>
      <c r="SFJ50" s="715"/>
      <c r="SFK50" s="715"/>
      <c r="SFL50" s="715"/>
      <c r="SFM50" s="715"/>
      <c r="SFN50" s="715"/>
      <c r="SFO50" s="715"/>
      <c r="SFP50" s="715"/>
      <c r="SFQ50" s="715"/>
      <c r="SFR50" s="715"/>
      <c r="SFS50" s="715"/>
      <c r="SFT50" s="715"/>
      <c r="SFU50" s="715"/>
      <c r="SFV50" s="715"/>
      <c r="SFW50" s="715"/>
      <c r="SFX50" s="715"/>
      <c r="SFY50" s="715"/>
      <c r="SFZ50" s="715"/>
      <c r="SGA50" s="715"/>
      <c r="SGB50" s="715"/>
      <c r="SGC50" s="715"/>
      <c r="SGD50" s="715"/>
      <c r="SGE50" s="715"/>
      <c r="SGF50" s="715"/>
      <c r="SGG50" s="715"/>
      <c r="SGH50" s="715"/>
      <c r="SGI50" s="715"/>
      <c r="SGJ50" s="715"/>
      <c r="SGK50" s="715"/>
      <c r="SGL50" s="715"/>
      <c r="SGM50" s="715"/>
      <c r="SGN50" s="715"/>
      <c r="SGO50" s="715"/>
      <c r="SGP50" s="715"/>
      <c r="SGQ50" s="715"/>
      <c r="SGR50" s="715"/>
      <c r="SGS50" s="715"/>
      <c r="SGT50" s="715"/>
      <c r="SGU50" s="715"/>
      <c r="SGV50" s="715"/>
      <c r="SGW50" s="715"/>
      <c r="SGX50" s="715"/>
      <c r="SGY50" s="715"/>
      <c r="SGZ50" s="715"/>
      <c r="SHA50" s="715"/>
      <c r="SHB50" s="715"/>
      <c r="SHC50" s="715"/>
      <c r="SHD50" s="715"/>
      <c r="SHE50" s="715"/>
      <c r="SHF50" s="715"/>
      <c r="SHG50" s="715"/>
      <c r="SHH50" s="715"/>
      <c r="SHI50" s="715"/>
      <c r="SHJ50" s="715"/>
      <c r="SHK50" s="715"/>
      <c r="SHL50" s="715"/>
      <c r="SHM50" s="715"/>
      <c r="SHN50" s="715"/>
      <c r="SHO50" s="715"/>
      <c r="SHP50" s="715"/>
      <c r="SHQ50" s="715"/>
      <c r="SHR50" s="715"/>
      <c r="SHS50" s="715"/>
      <c r="SHT50" s="715"/>
      <c r="SHU50" s="715"/>
      <c r="SHV50" s="715"/>
      <c r="SHW50" s="715"/>
      <c r="SHX50" s="715"/>
      <c r="SHY50" s="715"/>
      <c r="SHZ50" s="715"/>
      <c r="SIA50" s="715"/>
      <c r="SIB50" s="715"/>
      <c r="SIC50" s="715"/>
      <c r="SID50" s="715"/>
      <c r="SIE50" s="715"/>
      <c r="SIF50" s="715"/>
      <c r="SIG50" s="715"/>
      <c r="SIH50" s="715"/>
      <c r="SII50" s="715"/>
      <c r="SIJ50" s="715"/>
      <c r="SIK50" s="715"/>
      <c r="SIL50" s="715"/>
      <c r="SIM50" s="715"/>
      <c r="SIN50" s="715"/>
      <c r="SIO50" s="715"/>
      <c r="SIP50" s="715"/>
      <c r="SIQ50" s="715"/>
      <c r="SIR50" s="715"/>
      <c r="SIS50" s="715"/>
      <c r="SIT50" s="715"/>
      <c r="SIU50" s="715"/>
      <c r="SIV50" s="715"/>
      <c r="SIW50" s="715"/>
      <c r="SIX50" s="715"/>
      <c r="SIY50" s="715"/>
      <c r="SIZ50" s="715"/>
      <c r="SJA50" s="715"/>
      <c r="SJB50" s="715"/>
      <c r="SJC50" s="715"/>
      <c r="SJD50" s="715"/>
      <c r="SJE50" s="715"/>
      <c r="SJF50" s="715"/>
      <c r="SJG50" s="715"/>
      <c r="SJH50" s="715"/>
      <c r="SJI50" s="715"/>
      <c r="SJJ50" s="715"/>
      <c r="SJK50" s="715"/>
      <c r="SJL50" s="715"/>
      <c r="SJM50" s="715"/>
      <c r="SJN50" s="715"/>
      <c r="SJO50" s="715"/>
      <c r="SJP50" s="715"/>
      <c r="SJQ50" s="715"/>
      <c r="SJR50" s="715"/>
      <c r="SJS50" s="715"/>
      <c r="SJT50" s="715"/>
      <c r="SJU50" s="715"/>
      <c r="SJV50" s="715"/>
      <c r="SJW50" s="715"/>
      <c r="SJX50" s="715"/>
      <c r="SJY50" s="715"/>
      <c r="SJZ50" s="715"/>
      <c r="SKA50" s="715"/>
      <c r="SKB50" s="715"/>
      <c r="SKC50" s="715"/>
      <c r="SKD50" s="715"/>
      <c r="SKE50" s="715"/>
      <c r="SKF50" s="715"/>
      <c r="SKG50" s="715"/>
      <c r="SKH50" s="715"/>
      <c r="SKI50" s="715"/>
      <c r="SKJ50" s="715"/>
      <c r="SKK50" s="715"/>
      <c r="SKL50" s="715"/>
      <c r="SKM50" s="715"/>
      <c r="SKN50" s="715"/>
      <c r="SKO50" s="715"/>
      <c r="SKP50" s="715"/>
      <c r="SKQ50" s="715"/>
      <c r="SKR50" s="715"/>
      <c r="SKS50" s="715"/>
      <c r="SKT50" s="715"/>
      <c r="SKU50" s="715"/>
      <c r="SKV50" s="715"/>
      <c r="SKW50" s="715"/>
      <c r="SKX50" s="715"/>
      <c r="SKY50" s="715"/>
      <c r="SKZ50" s="715"/>
      <c r="SLA50" s="715"/>
      <c r="SLB50" s="715"/>
      <c r="SLC50" s="715"/>
      <c r="SLD50" s="715"/>
      <c r="SLE50" s="715"/>
      <c r="SLF50" s="715"/>
      <c r="SLG50" s="715"/>
      <c r="SLH50" s="715"/>
      <c r="SLI50" s="715"/>
      <c r="SLJ50" s="715"/>
      <c r="SLK50" s="715"/>
      <c r="SLL50" s="715"/>
      <c r="SLM50" s="715"/>
      <c r="SLN50" s="715"/>
      <c r="SLO50" s="715"/>
      <c r="SLP50" s="715"/>
      <c r="SLQ50" s="715"/>
      <c r="SLR50" s="715"/>
      <c r="SLS50" s="715"/>
      <c r="SLT50" s="715"/>
      <c r="SLU50" s="715"/>
      <c r="SLV50" s="715"/>
      <c r="SLW50" s="715"/>
      <c r="SLX50" s="715"/>
      <c r="SLY50" s="715"/>
      <c r="SLZ50" s="715"/>
      <c r="SMA50" s="715"/>
      <c r="SMB50" s="715"/>
      <c r="SMC50" s="715"/>
      <c r="SMD50" s="715"/>
      <c r="SME50" s="715"/>
      <c r="SMF50" s="715"/>
      <c r="SMG50" s="715"/>
      <c r="SMH50" s="715"/>
      <c r="SMI50" s="715"/>
      <c r="SMJ50" s="715"/>
      <c r="SMK50" s="715"/>
      <c r="SML50" s="715"/>
      <c r="SMM50" s="715"/>
      <c r="SMN50" s="715"/>
      <c r="SMO50" s="715"/>
      <c r="SMP50" s="715"/>
      <c r="SMQ50" s="715"/>
      <c r="SMR50" s="715"/>
      <c r="SMS50" s="715"/>
      <c r="SMT50" s="715"/>
      <c r="SMU50" s="715"/>
      <c r="SMV50" s="715"/>
      <c r="SMW50" s="715"/>
      <c r="SMX50" s="715"/>
      <c r="SMY50" s="715"/>
      <c r="SMZ50" s="715"/>
      <c r="SNA50" s="715"/>
      <c r="SNB50" s="715"/>
      <c r="SNC50" s="715"/>
      <c r="SND50" s="715"/>
      <c r="SNE50" s="715"/>
      <c r="SNF50" s="715"/>
      <c r="SNG50" s="715"/>
      <c r="SNH50" s="715"/>
      <c r="SNI50" s="715"/>
      <c r="SNJ50" s="715"/>
      <c r="SNK50" s="715"/>
      <c r="SNL50" s="715"/>
      <c r="SNM50" s="715"/>
      <c r="SNN50" s="715"/>
      <c r="SNO50" s="715"/>
      <c r="SNP50" s="715"/>
      <c r="SNQ50" s="715"/>
      <c r="SNR50" s="715"/>
      <c r="SNS50" s="715"/>
      <c r="SNT50" s="715"/>
      <c r="SNU50" s="715"/>
      <c r="SNV50" s="715"/>
      <c r="SNW50" s="715"/>
      <c r="SNX50" s="715"/>
      <c r="SNY50" s="715"/>
      <c r="SNZ50" s="715"/>
      <c r="SOA50" s="715"/>
      <c r="SOB50" s="715"/>
      <c r="SOC50" s="715"/>
      <c r="SOD50" s="715"/>
      <c r="SOE50" s="715"/>
      <c r="SOF50" s="715"/>
      <c r="SOG50" s="715"/>
      <c r="SOH50" s="715"/>
      <c r="SOI50" s="715"/>
      <c r="SOJ50" s="715"/>
      <c r="SOK50" s="715"/>
      <c r="SOL50" s="715"/>
      <c r="SOM50" s="715"/>
      <c r="SON50" s="715"/>
      <c r="SOO50" s="715"/>
      <c r="SOP50" s="715"/>
      <c r="SOQ50" s="715"/>
      <c r="SOR50" s="715"/>
      <c r="SOS50" s="715"/>
      <c r="SOT50" s="715"/>
      <c r="SOU50" s="715"/>
      <c r="SOV50" s="715"/>
      <c r="SOW50" s="715"/>
      <c r="SOX50" s="715"/>
      <c r="SOY50" s="715"/>
      <c r="SOZ50" s="715"/>
      <c r="SPA50" s="715"/>
      <c r="SPB50" s="715"/>
      <c r="SPC50" s="715"/>
      <c r="SPD50" s="715"/>
      <c r="SPE50" s="715"/>
      <c r="SPF50" s="715"/>
      <c r="SPG50" s="715"/>
      <c r="SPH50" s="715"/>
      <c r="SPI50" s="715"/>
      <c r="SPJ50" s="715"/>
      <c r="SPK50" s="715"/>
      <c r="SPL50" s="715"/>
      <c r="SPM50" s="715"/>
      <c r="SPN50" s="715"/>
      <c r="SPO50" s="715"/>
      <c r="SPP50" s="715"/>
      <c r="SPQ50" s="715"/>
      <c r="SPR50" s="715"/>
      <c r="SPS50" s="715"/>
      <c r="SPT50" s="715"/>
      <c r="SPU50" s="715"/>
      <c r="SPV50" s="715"/>
      <c r="SPW50" s="715"/>
      <c r="SPX50" s="715"/>
      <c r="SPY50" s="715"/>
      <c r="SPZ50" s="715"/>
      <c r="SQA50" s="715"/>
      <c r="SQB50" s="715"/>
      <c r="SQC50" s="715"/>
      <c r="SQD50" s="715"/>
      <c r="SQE50" s="715"/>
      <c r="SQF50" s="715"/>
      <c r="SQG50" s="715"/>
      <c r="SQH50" s="715"/>
      <c r="SQI50" s="715"/>
      <c r="SQJ50" s="715"/>
      <c r="SQK50" s="715"/>
      <c r="SQL50" s="715"/>
      <c r="SQM50" s="715"/>
      <c r="SQN50" s="715"/>
      <c r="SQO50" s="715"/>
      <c r="SQP50" s="715"/>
      <c r="SQQ50" s="715"/>
      <c r="SQR50" s="715"/>
      <c r="SQS50" s="715"/>
      <c r="SQT50" s="715"/>
      <c r="SQU50" s="715"/>
      <c r="SQV50" s="715"/>
      <c r="SQW50" s="715"/>
      <c r="SQX50" s="715"/>
      <c r="SQY50" s="715"/>
      <c r="SQZ50" s="715"/>
      <c r="SRA50" s="715"/>
      <c r="SRB50" s="715"/>
      <c r="SRC50" s="715"/>
      <c r="SRD50" s="715"/>
      <c r="SRE50" s="715"/>
      <c r="SRF50" s="715"/>
      <c r="SRG50" s="715"/>
      <c r="SRH50" s="715"/>
      <c r="SRI50" s="715"/>
      <c r="SRJ50" s="715"/>
      <c r="SRK50" s="715"/>
      <c r="SRL50" s="715"/>
      <c r="SRM50" s="715"/>
      <c r="SRN50" s="715"/>
      <c r="SRO50" s="715"/>
      <c r="SRP50" s="715"/>
      <c r="SRQ50" s="715"/>
      <c r="SRR50" s="715"/>
      <c r="SRS50" s="715"/>
      <c r="SRT50" s="715"/>
      <c r="SRU50" s="715"/>
      <c r="SRV50" s="715"/>
      <c r="SRW50" s="715"/>
      <c r="SRX50" s="715"/>
      <c r="SRY50" s="715"/>
      <c r="SRZ50" s="715"/>
      <c r="SSA50" s="715"/>
      <c r="SSB50" s="715"/>
      <c r="SSC50" s="715"/>
      <c r="SSD50" s="715"/>
      <c r="SSE50" s="715"/>
      <c r="SSF50" s="715"/>
      <c r="SSG50" s="715"/>
      <c r="SSH50" s="715"/>
      <c r="SSI50" s="715"/>
      <c r="SSJ50" s="715"/>
      <c r="SSK50" s="715"/>
      <c r="SSL50" s="715"/>
      <c r="SSM50" s="715"/>
      <c r="SSN50" s="715"/>
      <c r="SSO50" s="715"/>
      <c r="SSP50" s="715"/>
      <c r="SSQ50" s="715"/>
      <c r="SSR50" s="715"/>
      <c r="SSS50" s="715"/>
      <c r="SST50" s="715"/>
      <c r="SSU50" s="715"/>
      <c r="SSV50" s="715"/>
      <c r="SSW50" s="715"/>
      <c r="SSX50" s="715"/>
      <c r="SSY50" s="715"/>
      <c r="SSZ50" s="715"/>
      <c r="STA50" s="715"/>
      <c r="STB50" s="715"/>
      <c r="STC50" s="715"/>
      <c r="STD50" s="715"/>
      <c r="STE50" s="715"/>
      <c r="STF50" s="715"/>
      <c r="STG50" s="715"/>
      <c r="STH50" s="715"/>
      <c r="STI50" s="715"/>
      <c r="STJ50" s="715"/>
      <c r="STK50" s="715"/>
      <c r="STL50" s="715"/>
      <c r="STM50" s="715"/>
      <c r="STN50" s="715"/>
      <c r="STO50" s="715"/>
      <c r="STP50" s="715"/>
      <c r="STQ50" s="715"/>
      <c r="STR50" s="715"/>
      <c r="STS50" s="715"/>
      <c r="STT50" s="715"/>
      <c r="STU50" s="715"/>
      <c r="STV50" s="715"/>
      <c r="STW50" s="715"/>
      <c r="STX50" s="715"/>
      <c r="STY50" s="715"/>
      <c r="STZ50" s="715"/>
      <c r="SUA50" s="715"/>
      <c r="SUB50" s="715"/>
      <c r="SUC50" s="715"/>
      <c r="SUD50" s="715"/>
      <c r="SUE50" s="715"/>
      <c r="SUF50" s="715"/>
      <c r="SUG50" s="715"/>
      <c r="SUH50" s="715"/>
      <c r="SUI50" s="715"/>
      <c r="SUJ50" s="715"/>
      <c r="SUK50" s="715"/>
      <c r="SUL50" s="715"/>
      <c r="SUM50" s="715"/>
      <c r="SUN50" s="715"/>
      <c r="SUO50" s="715"/>
      <c r="SUP50" s="715"/>
      <c r="SUQ50" s="715"/>
      <c r="SUR50" s="715"/>
      <c r="SUS50" s="715"/>
      <c r="SUT50" s="715"/>
      <c r="SUU50" s="715"/>
      <c r="SUV50" s="715"/>
      <c r="SUW50" s="715"/>
      <c r="SUX50" s="715"/>
      <c r="SUY50" s="715"/>
      <c r="SUZ50" s="715"/>
      <c r="SVA50" s="715"/>
      <c r="SVB50" s="715"/>
      <c r="SVC50" s="715"/>
      <c r="SVD50" s="715"/>
      <c r="SVE50" s="715"/>
      <c r="SVF50" s="715"/>
      <c r="SVG50" s="715"/>
      <c r="SVH50" s="715"/>
      <c r="SVI50" s="715"/>
      <c r="SVJ50" s="715"/>
      <c r="SVK50" s="715"/>
      <c r="SVL50" s="715"/>
      <c r="SVM50" s="715"/>
      <c r="SVN50" s="715"/>
      <c r="SVO50" s="715"/>
      <c r="SVP50" s="715"/>
      <c r="SVQ50" s="715"/>
      <c r="SVR50" s="715"/>
      <c r="SVS50" s="715"/>
      <c r="SVT50" s="715"/>
      <c r="SVU50" s="715"/>
      <c r="SVV50" s="715"/>
      <c r="SVW50" s="715"/>
      <c r="SVX50" s="715"/>
      <c r="SVY50" s="715"/>
      <c r="SVZ50" s="715"/>
      <c r="SWA50" s="715"/>
      <c r="SWB50" s="715"/>
      <c r="SWC50" s="715"/>
      <c r="SWD50" s="715"/>
      <c r="SWE50" s="715"/>
      <c r="SWF50" s="715"/>
      <c r="SWG50" s="715"/>
      <c r="SWH50" s="715"/>
      <c r="SWI50" s="715"/>
      <c r="SWJ50" s="715"/>
      <c r="SWK50" s="715"/>
      <c r="SWL50" s="715"/>
      <c r="SWM50" s="715"/>
      <c r="SWN50" s="715"/>
      <c r="SWO50" s="715"/>
      <c r="SWP50" s="715"/>
      <c r="SWQ50" s="715"/>
      <c r="SWR50" s="715"/>
      <c r="SWS50" s="715"/>
      <c r="SWT50" s="715"/>
      <c r="SWU50" s="715"/>
      <c r="SWV50" s="715"/>
      <c r="SWW50" s="715"/>
      <c r="SWX50" s="715"/>
      <c r="SWY50" s="715"/>
      <c r="SWZ50" s="715"/>
      <c r="SXA50" s="715"/>
      <c r="SXB50" s="715"/>
      <c r="SXC50" s="715"/>
      <c r="SXD50" s="715"/>
      <c r="SXE50" s="715"/>
      <c r="SXF50" s="715"/>
      <c r="SXG50" s="715"/>
      <c r="SXH50" s="715"/>
      <c r="SXI50" s="715"/>
      <c r="SXJ50" s="715"/>
      <c r="SXK50" s="715"/>
      <c r="SXL50" s="715"/>
      <c r="SXM50" s="715"/>
      <c r="SXN50" s="715"/>
      <c r="SXO50" s="715"/>
      <c r="SXP50" s="715"/>
      <c r="SXQ50" s="715"/>
      <c r="SXR50" s="715"/>
      <c r="SXS50" s="715"/>
      <c r="SXT50" s="715"/>
      <c r="SXU50" s="715"/>
      <c r="SXV50" s="715"/>
      <c r="SXW50" s="715"/>
      <c r="SXX50" s="715"/>
      <c r="SXY50" s="715"/>
      <c r="SXZ50" s="715"/>
      <c r="SYA50" s="715"/>
      <c r="SYB50" s="715"/>
      <c r="SYC50" s="715"/>
      <c r="SYD50" s="715"/>
      <c r="SYE50" s="715"/>
      <c r="SYF50" s="715"/>
      <c r="SYG50" s="715"/>
      <c r="SYH50" s="715"/>
      <c r="SYI50" s="715"/>
      <c r="SYJ50" s="715"/>
      <c r="SYK50" s="715"/>
      <c r="SYL50" s="715"/>
      <c r="SYM50" s="715"/>
      <c r="SYN50" s="715"/>
      <c r="SYO50" s="715"/>
      <c r="SYP50" s="715"/>
      <c r="SYQ50" s="715"/>
      <c r="SYR50" s="715"/>
      <c r="SYS50" s="715"/>
      <c r="SYT50" s="715"/>
      <c r="SYU50" s="715"/>
      <c r="SYV50" s="715"/>
      <c r="SYW50" s="715"/>
      <c r="SYX50" s="715"/>
      <c r="SYY50" s="715"/>
      <c r="SYZ50" s="715"/>
      <c r="SZA50" s="715"/>
      <c r="SZB50" s="715"/>
      <c r="SZC50" s="715"/>
      <c r="SZD50" s="715"/>
      <c r="SZE50" s="715"/>
      <c r="SZF50" s="715"/>
      <c r="SZG50" s="715"/>
      <c r="SZH50" s="715"/>
      <c r="SZI50" s="715"/>
      <c r="SZJ50" s="715"/>
      <c r="SZK50" s="715"/>
      <c r="SZL50" s="715"/>
      <c r="SZM50" s="715"/>
      <c r="SZN50" s="715"/>
      <c r="SZO50" s="715"/>
      <c r="SZP50" s="715"/>
      <c r="SZQ50" s="715"/>
      <c r="SZR50" s="715"/>
      <c r="SZS50" s="715"/>
      <c r="SZT50" s="715"/>
      <c r="SZU50" s="715"/>
      <c r="SZV50" s="715"/>
      <c r="SZW50" s="715"/>
      <c r="SZX50" s="715"/>
      <c r="SZY50" s="715"/>
      <c r="SZZ50" s="715"/>
      <c r="TAA50" s="715"/>
      <c r="TAB50" s="715"/>
      <c r="TAC50" s="715"/>
      <c r="TAD50" s="715"/>
      <c r="TAE50" s="715"/>
      <c r="TAF50" s="715"/>
      <c r="TAG50" s="715"/>
      <c r="TAH50" s="715"/>
      <c r="TAI50" s="715"/>
      <c r="TAJ50" s="715"/>
      <c r="TAK50" s="715"/>
      <c r="TAL50" s="715"/>
      <c r="TAM50" s="715"/>
      <c r="TAN50" s="715"/>
      <c r="TAO50" s="715"/>
      <c r="TAP50" s="715"/>
      <c r="TAQ50" s="715"/>
      <c r="TAR50" s="715"/>
      <c r="TAS50" s="715"/>
      <c r="TAT50" s="715"/>
      <c r="TAU50" s="715"/>
      <c r="TAV50" s="715"/>
      <c r="TAW50" s="715"/>
      <c r="TAX50" s="715"/>
      <c r="TAY50" s="715"/>
      <c r="TAZ50" s="715"/>
      <c r="TBA50" s="715"/>
      <c r="TBB50" s="715"/>
      <c r="TBC50" s="715"/>
      <c r="TBD50" s="715"/>
      <c r="TBE50" s="715"/>
      <c r="TBF50" s="715"/>
      <c r="TBG50" s="715"/>
      <c r="TBH50" s="715"/>
      <c r="TBI50" s="715"/>
      <c r="TBJ50" s="715"/>
      <c r="TBK50" s="715"/>
      <c r="TBL50" s="715"/>
      <c r="TBM50" s="715"/>
      <c r="TBN50" s="715"/>
      <c r="TBO50" s="715"/>
      <c r="TBP50" s="715"/>
      <c r="TBQ50" s="715"/>
      <c r="TBR50" s="715"/>
      <c r="TBS50" s="715"/>
      <c r="TBT50" s="715"/>
      <c r="TBU50" s="715"/>
      <c r="TBV50" s="715"/>
      <c r="TBW50" s="715"/>
      <c r="TBX50" s="715"/>
      <c r="TBY50" s="715"/>
      <c r="TBZ50" s="715"/>
      <c r="TCA50" s="715"/>
      <c r="TCB50" s="715"/>
      <c r="TCC50" s="715"/>
      <c r="TCD50" s="715"/>
      <c r="TCE50" s="715"/>
      <c r="TCF50" s="715"/>
      <c r="TCG50" s="715"/>
      <c r="TCH50" s="715"/>
      <c r="TCI50" s="715"/>
      <c r="TCJ50" s="715"/>
      <c r="TCK50" s="715"/>
      <c r="TCL50" s="715"/>
      <c r="TCM50" s="715"/>
      <c r="TCN50" s="715"/>
      <c r="TCO50" s="715"/>
      <c r="TCP50" s="715"/>
      <c r="TCQ50" s="715"/>
      <c r="TCR50" s="715"/>
      <c r="TCS50" s="715"/>
      <c r="TCT50" s="715"/>
      <c r="TCU50" s="715"/>
      <c r="TCV50" s="715"/>
      <c r="TCW50" s="715"/>
      <c r="TCX50" s="715"/>
      <c r="TCY50" s="715"/>
      <c r="TCZ50" s="715"/>
      <c r="TDA50" s="715"/>
      <c r="TDB50" s="715"/>
      <c r="TDC50" s="715"/>
      <c r="TDD50" s="715"/>
      <c r="TDE50" s="715"/>
      <c r="TDF50" s="715"/>
      <c r="TDG50" s="715"/>
      <c r="TDH50" s="715"/>
      <c r="TDI50" s="715"/>
      <c r="TDJ50" s="715"/>
      <c r="TDK50" s="715"/>
      <c r="TDL50" s="715"/>
      <c r="TDM50" s="715"/>
      <c r="TDN50" s="715"/>
      <c r="TDO50" s="715"/>
      <c r="TDP50" s="715"/>
      <c r="TDQ50" s="715"/>
      <c r="TDR50" s="715"/>
      <c r="TDS50" s="715"/>
      <c r="TDT50" s="715"/>
      <c r="TDU50" s="715"/>
      <c r="TDV50" s="715"/>
      <c r="TDW50" s="715"/>
      <c r="TDX50" s="715"/>
      <c r="TDY50" s="715"/>
      <c r="TDZ50" s="715"/>
      <c r="TEA50" s="715"/>
      <c r="TEB50" s="715"/>
      <c r="TEC50" s="715"/>
      <c r="TED50" s="715"/>
      <c r="TEE50" s="715"/>
      <c r="TEF50" s="715"/>
      <c r="TEG50" s="715"/>
      <c r="TEH50" s="715"/>
      <c r="TEI50" s="715"/>
      <c r="TEJ50" s="715"/>
      <c r="TEK50" s="715"/>
      <c r="TEL50" s="715"/>
      <c r="TEM50" s="715"/>
      <c r="TEN50" s="715"/>
      <c r="TEO50" s="715"/>
      <c r="TEP50" s="715"/>
      <c r="TEQ50" s="715"/>
      <c r="TER50" s="715"/>
      <c r="TES50" s="715"/>
      <c r="TET50" s="715"/>
      <c r="TEU50" s="715"/>
      <c r="TEV50" s="715"/>
      <c r="TEW50" s="715"/>
      <c r="TEX50" s="715"/>
      <c r="TEY50" s="715"/>
      <c r="TEZ50" s="715"/>
      <c r="TFA50" s="715"/>
      <c r="TFB50" s="715"/>
      <c r="TFC50" s="715"/>
      <c r="TFD50" s="715"/>
      <c r="TFE50" s="715"/>
      <c r="TFF50" s="715"/>
      <c r="TFG50" s="715"/>
      <c r="TFH50" s="715"/>
      <c r="TFI50" s="715"/>
      <c r="TFJ50" s="715"/>
      <c r="TFK50" s="715"/>
      <c r="TFL50" s="715"/>
      <c r="TFM50" s="715"/>
      <c r="TFN50" s="715"/>
      <c r="TFO50" s="715"/>
      <c r="TFP50" s="715"/>
      <c r="TFQ50" s="715"/>
      <c r="TFR50" s="715"/>
      <c r="TFS50" s="715"/>
      <c r="TFT50" s="715"/>
      <c r="TFU50" s="715"/>
      <c r="TFV50" s="715"/>
      <c r="TFW50" s="715"/>
      <c r="TFX50" s="715"/>
      <c r="TFY50" s="715"/>
      <c r="TFZ50" s="715"/>
      <c r="TGA50" s="715"/>
      <c r="TGB50" s="715"/>
      <c r="TGC50" s="715"/>
      <c r="TGD50" s="715"/>
      <c r="TGE50" s="715"/>
      <c r="TGF50" s="715"/>
      <c r="TGG50" s="715"/>
      <c r="TGH50" s="715"/>
      <c r="TGI50" s="715"/>
      <c r="TGJ50" s="715"/>
      <c r="TGK50" s="715"/>
      <c r="TGL50" s="715"/>
      <c r="TGM50" s="715"/>
      <c r="TGN50" s="715"/>
      <c r="TGO50" s="715"/>
      <c r="TGP50" s="715"/>
      <c r="TGQ50" s="715"/>
      <c r="TGR50" s="715"/>
      <c r="TGS50" s="715"/>
      <c r="TGT50" s="715"/>
      <c r="TGU50" s="715"/>
      <c r="TGV50" s="715"/>
      <c r="TGW50" s="715"/>
      <c r="TGX50" s="715"/>
      <c r="TGY50" s="715"/>
      <c r="TGZ50" s="715"/>
      <c r="THA50" s="715"/>
      <c r="THB50" s="715"/>
      <c r="THC50" s="715"/>
      <c r="THD50" s="715"/>
      <c r="THE50" s="715"/>
      <c r="THF50" s="715"/>
      <c r="THG50" s="715"/>
      <c r="THH50" s="715"/>
      <c r="THI50" s="715"/>
      <c r="THJ50" s="715"/>
      <c r="THK50" s="715"/>
      <c r="THL50" s="715"/>
      <c r="THM50" s="715"/>
      <c r="THN50" s="715"/>
      <c r="THO50" s="715"/>
      <c r="THP50" s="715"/>
      <c r="THQ50" s="715"/>
      <c r="THR50" s="715"/>
      <c r="THS50" s="715"/>
      <c r="THT50" s="715"/>
      <c r="THU50" s="715"/>
      <c r="THV50" s="715"/>
      <c r="THW50" s="715"/>
      <c r="THX50" s="715"/>
      <c r="THY50" s="715"/>
      <c r="THZ50" s="715"/>
      <c r="TIA50" s="715"/>
      <c r="TIB50" s="715"/>
      <c r="TIC50" s="715"/>
      <c r="TID50" s="715"/>
      <c r="TIE50" s="715"/>
      <c r="TIF50" s="715"/>
      <c r="TIG50" s="715"/>
      <c r="TIH50" s="715"/>
      <c r="TII50" s="715"/>
      <c r="TIJ50" s="715"/>
      <c r="TIK50" s="715"/>
      <c r="TIL50" s="715"/>
      <c r="TIM50" s="715"/>
      <c r="TIN50" s="715"/>
      <c r="TIO50" s="715"/>
      <c r="TIP50" s="715"/>
      <c r="TIQ50" s="715"/>
      <c r="TIR50" s="715"/>
      <c r="TIS50" s="715"/>
      <c r="TIT50" s="715"/>
      <c r="TIU50" s="715"/>
      <c r="TIV50" s="715"/>
      <c r="TIW50" s="715"/>
      <c r="TIX50" s="715"/>
      <c r="TIY50" s="715"/>
      <c r="TIZ50" s="715"/>
      <c r="TJA50" s="715"/>
      <c r="TJB50" s="715"/>
      <c r="TJC50" s="715"/>
      <c r="TJD50" s="715"/>
      <c r="TJE50" s="715"/>
      <c r="TJF50" s="715"/>
      <c r="TJG50" s="715"/>
      <c r="TJH50" s="715"/>
      <c r="TJI50" s="715"/>
      <c r="TJJ50" s="715"/>
      <c r="TJK50" s="715"/>
      <c r="TJL50" s="715"/>
      <c r="TJM50" s="715"/>
      <c r="TJN50" s="715"/>
      <c r="TJO50" s="715"/>
      <c r="TJP50" s="715"/>
      <c r="TJQ50" s="715"/>
      <c r="TJR50" s="715"/>
      <c r="TJS50" s="715"/>
      <c r="TJT50" s="715"/>
      <c r="TJU50" s="715"/>
      <c r="TJV50" s="715"/>
      <c r="TJW50" s="715"/>
      <c r="TJX50" s="715"/>
      <c r="TJY50" s="715"/>
      <c r="TJZ50" s="715"/>
      <c r="TKA50" s="715"/>
      <c r="TKB50" s="715"/>
      <c r="TKC50" s="715"/>
      <c r="TKD50" s="715"/>
      <c r="TKE50" s="715"/>
      <c r="TKF50" s="715"/>
      <c r="TKG50" s="715"/>
      <c r="TKH50" s="715"/>
      <c r="TKI50" s="715"/>
      <c r="TKJ50" s="715"/>
      <c r="TKK50" s="715"/>
      <c r="TKL50" s="715"/>
      <c r="TKM50" s="715"/>
      <c r="TKN50" s="715"/>
      <c r="TKO50" s="715"/>
      <c r="TKP50" s="715"/>
      <c r="TKQ50" s="715"/>
      <c r="TKR50" s="715"/>
      <c r="TKS50" s="715"/>
      <c r="TKT50" s="715"/>
      <c r="TKU50" s="715"/>
      <c r="TKV50" s="715"/>
      <c r="TKW50" s="715"/>
      <c r="TKX50" s="715"/>
      <c r="TKY50" s="715"/>
      <c r="TKZ50" s="715"/>
      <c r="TLA50" s="715"/>
      <c r="TLB50" s="715"/>
      <c r="TLC50" s="715"/>
      <c r="TLD50" s="715"/>
      <c r="TLE50" s="715"/>
      <c r="TLF50" s="715"/>
      <c r="TLG50" s="715"/>
      <c r="TLH50" s="715"/>
      <c r="TLI50" s="715"/>
      <c r="TLJ50" s="715"/>
      <c r="TLK50" s="715"/>
      <c r="TLL50" s="715"/>
      <c r="TLM50" s="715"/>
      <c r="TLN50" s="715"/>
      <c r="TLO50" s="715"/>
      <c r="TLP50" s="715"/>
      <c r="TLQ50" s="715"/>
      <c r="TLR50" s="715"/>
      <c r="TLS50" s="715"/>
      <c r="TLT50" s="715"/>
      <c r="TLU50" s="715"/>
      <c r="TLV50" s="715"/>
      <c r="TLW50" s="715"/>
      <c r="TLX50" s="715"/>
      <c r="TLY50" s="715"/>
      <c r="TLZ50" s="715"/>
      <c r="TMA50" s="715"/>
      <c r="TMB50" s="715"/>
      <c r="TMC50" s="715"/>
      <c r="TMD50" s="715"/>
      <c r="TME50" s="715"/>
      <c r="TMF50" s="715"/>
      <c r="TMG50" s="715"/>
      <c r="TMH50" s="715"/>
      <c r="TMI50" s="715"/>
      <c r="TMJ50" s="715"/>
      <c r="TMK50" s="715"/>
      <c r="TML50" s="715"/>
      <c r="TMM50" s="715"/>
      <c r="TMN50" s="715"/>
      <c r="TMO50" s="715"/>
      <c r="TMP50" s="715"/>
      <c r="TMQ50" s="715"/>
      <c r="TMR50" s="715"/>
      <c r="TMS50" s="715"/>
      <c r="TMT50" s="715"/>
      <c r="TMU50" s="715"/>
      <c r="TMV50" s="715"/>
      <c r="TMW50" s="715"/>
      <c r="TMX50" s="715"/>
      <c r="TMY50" s="715"/>
      <c r="TMZ50" s="715"/>
      <c r="TNA50" s="715"/>
      <c r="TNB50" s="715"/>
      <c r="TNC50" s="715"/>
      <c r="TND50" s="715"/>
      <c r="TNE50" s="715"/>
      <c r="TNF50" s="715"/>
      <c r="TNG50" s="715"/>
      <c r="TNH50" s="715"/>
      <c r="TNI50" s="715"/>
      <c r="TNJ50" s="715"/>
      <c r="TNK50" s="715"/>
      <c r="TNL50" s="715"/>
      <c r="TNM50" s="715"/>
      <c r="TNN50" s="715"/>
      <c r="TNO50" s="715"/>
      <c r="TNP50" s="715"/>
      <c r="TNQ50" s="715"/>
      <c r="TNR50" s="715"/>
      <c r="TNS50" s="715"/>
      <c r="TNT50" s="715"/>
      <c r="TNU50" s="715"/>
      <c r="TNV50" s="715"/>
      <c r="TNW50" s="715"/>
      <c r="TNX50" s="715"/>
      <c r="TNY50" s="715"/>
      <c r="TNZ50" s="715"/>
      <c r="TOA50" s="715"/>
      <c r="TOB50" s="715"/>
      <c r="TOC50" s="715"/>
      <c r="TOD50" s="715"/>
      <c r="TOE50" s="715"/>
      <c r="TOF50" s="715"/>
      <c r="TOG50" s="715"/>
      <c r="TOH50" s="715"/>
      <c r="TOI50" s="715"/>
      <c r="TOJ50" s="715"/>
      <c r="TOK50" s="715"/>
      <c r="TOL50" s="715"/>
      <c r="TOM50" s="715"/>
      <c r="TON50" s="715"/>
      <c r="TOO50" s="715"/>
      <c r="TOP50" s="715"/>
      <c r="TOQ50" s="715"/>
      <c r="TOR50" s="715"/>
      <c r="TOS50" s="715"/>
      <c r="TOT50" s="715"/>
      <c r="TOU50" s="715"/>
      <c r="TOV50" s="715"/>
      <c r="TOW50" s="715"/>
      <c r="TOX50" s="715"/>
      <c r="TOY50" s="715"/>
      <c r="TOZ50" s="715"/>
      <c r="TPA50" s="715"/>
      <c r="TPB50" s="715"/>
      <c r="TPC50" s="715"/>
      <c r="TPD50" s="715"/>
      <c r="TPE50" s="715"/>
      <c r="TPF50" s="715"/>
      <c r="TPG50" s="715"/>
      <c r="TPH50" s="715"/>
      <c r="TPI50" s="715"/>
      <c r="TPJ50" s="715"/>
      <c r="TPK50" s="715"/>
      <c r="TPL50" s="715"/>
      <c r="TPM50" s="715"/>
      <c r="TPN50" s="715"/>
      <c r="TPO50" s="715"/>
      <c r="TPP50" s="715"/>
      <c r="TPQ50" s="715"/>
      <c r="TPR50" s="715"/>
      <c r="TPS50" s="715"/>
      <c r="TPT50" s="715"/>
      <c r="TPU50" s="715"/>
      <c r="TPV50" s="715"/>
      <c r="TPW50" s="715"/>
      <c r="TPX50" s="715"/>
      <c r="TPY50" s="715"/>
      <c r="TPZ50" s="715"/>
      <c r="TQA50" s="715"/>
      <c r="TQB50" s="715"/>
      <c r="TQC50" s="715"/>
      <c r="TQD50" s="715"/>
      <c r="TQE50" s="715"/>
      <c r="TQF50" s="715"/>
      <c r="TQG50" s="715"/>
      <c r="TQH50" s="715"/>
      <c r="TQI50" s="715"/>
      <c r="TQJ50" s="715"/>
      <c r="TQK50" s="715"/>
      <c r="TQL50" s="715"/>
      <c r="TQM50" s="715"/>
      <c r="TQN50" s="715"/>
      <c r="TQO50" s="715"/>
      <c r="TQP50" s="715"/>
      <c r="TQQ50" s="715"/>
      <c r="TQR50" s="715"/>
      <c r="TQS50" s="715"/>
      <c r="TQT50" s="715"/>
      <c r="TQU50" s="715"/>
      <c r="TQV50" s="715"/>
      <c r="TQW50" s="715"/>
      <c r="TQX50" s="715"/>
      <c r="TQY50" s="715"/>
      <c r="TQZ50" s="715"/>
      <c r="TRA50" s="715"/>
      <c r="TRB50" s="715"/>
      <c r="TRC50" s="715"/>
      <c r="TRD50" s="715"/>
      <c r="TRE50" s="715"/>
      <c r="TRF50" s="715"/>
      <c r="TRG50" s="715"/>
      <c r="TRH50" s="715"/>
      <c r="TRI50" s="715"/>
      <c r="TRJ50" s="715"/>
      <c r="TRK50" s="715"/>
      <c r="TRL50" s="715"/>
      <c r="TRM50" s="715"/>
      <c r="TRN50" s="715"/>
      <c r="TRO50" s="715"/>
      <c r="TRP50" s="715"/>
      <c r="TRQ50" s="715"/>
      <c r="TRR50" s="715"/>
      <c r="TRS50" s="715"/>
      <c r="TRT50" s="715"/>
      <c r="TRU50" s="715"/>
      <c r="TRV50" s="715"/>
      <c r="TRW50" s="715"/>
      <c r="TRX50" s="715"/>
      <c r="TRY50" s="715"/>
      <c r="TRZ50" s="715"/>
      <c r="TSA50" s="715"/>
      <c r="TSB50" s="715"/>
      <c r="TSC50" s="715"/>
      <c r="TSD50" s="715"/>
      <c r="TSE50" s="715"/>
      <c r="TSF50" s="715"/>
      <c r="TSG50" s="715"/>
      <c r="TSH50" s="715"/>
      <c r="TSI50" s="715"/>
      <c r="TSJ50" s="715"/>
      <c r="TSK50" s="715"/>
      <c r="TSL50" s="715"/>
      <c r="TSM50" s="715"/>
      <c r="TSN50" s="715"/>
      <c r="TSO50" s="715"/>
      <c r="TSP50" s="715"/>
      <c r="TSQ50" s="715"/>
      <c r="TSR50" s="715"/>
      <c r="TSS50" s="715"/>
      <c r="TST50" s="715"/>
      <c r="TSU50" s="715"/>
      <c r="TSV50" s="715"/>
      <c r="TSW50" s="715"/>
      <c r="TSX50" s="715"/>
      <c r="TSY50" s="715"/>
      <c r="TSZ50" s="715"/>
      <c r="TTA50" s="715"/>
      <c r="TTB50" s="715"/>
      <c r="TTC50" s="715"/>
      <c r="TTD50" s="715"/>
      <c r="TTE50" s="715"/>
      <c r="TTF50" s="715"/>
      <c r="TTG50" s="715"/>
      <c r="TTH50" s="715"/>
      <c r="TTI50" s="715"/>
      <c r="TTJ50" s="715"/>
      <c r="TTK50" s="715"/>
      <c r="TTL50" s="715"/>
      <c r="TTM50" s="715"/>
      <c r="TTN50" s="715"/>
      <c r="TTO50" s="715"/>
      <c r="TTP50" s="715"/>
      <c r="TTQ50" s="715"/>
      <c r="TTR50" s="715"/>
      <c r="TTS50" s="715"/>
      <c r="TTT50" s="715"/>
      <c r="TTU50" s="715"/>
      <c r="TTV50" s="715"/>
      <c r="TTW50" s="715"/>
      <c r="TTX50" s="715"/>
      <c r="TTY50" s="715"/>
      <c r="TTZ50" s="715"/>
      <c r="TUA50" s="715"/>
      <c r="TUB50" s="715"/>
      <c r="TUC50" s="715"/>
      <c r="TUD50" s="715"/>
      <c r="TUE50" s="715"/>
      <c r="TUF50" s="715"/>
      <c r="TUG50" s="715"/>
      <c r="TUH50" s="715"/>
      <c r="TUI50" s="715"/>
      <c r="TUJ50" s="715"/>
      <c r="TUK50" s="715"/>
      <c r="TUL50" s="715"/>
      <c r="TUM50" s="715"/>
      <c r="TUN50" s="715"/>
      <c r="TUO50" s="715"/>
      <c r="TUP50" s="715"/>
      <c r="TUQ50" s="715"/>
      <c r="TUR50" s="715"/>
      <c r="TUS50" s="715"/>
      <c r="TUT50" s="715"/>
      <c r="TUU50" s="715"/>
      <c r="TUV50" s="715"/>
      <c r="TUW50" s="715"/>
      <c r="TUX50" s="715"/>
      <c r="TUY50" s="715"/>
      <c r="TUZ50" s="715"/>
      <c r="TVA50" s="715"/>
      <c r="TVB50" s="715"/>
      <c r="TVC50" s="715"/>
      <c r="TVD50" s="715"/>
      <c r="TVE50" s="715"/>
      <c r="TVF50" s="715"/>
      <c r="TVG50" s="715"/>
      <c r="TVH50" s="715"/>
      <c r="TVI50" s="715"/>
      <c r="TVJ50" s="715"/>
      <c r="TVK50" s="715"/>
      <c r="TVL50" s="715"/>
      <c r="TVM50" s="715"/>
      <c r="TVN50" s="715"/>
      <c r="TVO50" s="715"/>
      <c r="TVP50" s="715"/>
      <c r="TVQ50" s="715"/>
      <c r="TVR50" s="715"/>
      <c r="TVS50" s="715"/>
      <c r="TVT50" s="715"/>
      <c r="TVU50" s="715"/>
      <c r="TVV50" s="715"/>
      <c r="TVW50" s="715"/>
      <c r="TVX50" s="715"/>
      <c r="TVY50" s="715"/>
      <c r="TVZ50" s="715"/>
      <c r="TWA50" s="715"/>
      <c r="TWB50" s="715"/>
      <c r="TWC50" s="715"/>
      <c r="TWD50" s="715"/>
      <c r="TWE50" s="715"/>
      <c r="TWF50" s="715"/>
      <c r="TWG50" s="715"/>
      <c r="TWH50" s="715"/>
      <c r="TWI50" s="715"/>
      <c r="TWJ50" s="715"/>
      <c r="TWK50" s="715"/>
      <c r="TWL50" s="715"/>
      <c r="TWM50" s="715"/>
      <c r="TWN50" s="715"/>
      <c r="TWO50" s="715"/>
      <c r="TWP50" s="715"/>
      <c r="TWQ50" s="715"/>
      <c r="TWR50" s="715"/>
      <c r="TWS50" s="715"/>
      <c r="TWT50" s="715"/>
      <c r="TWU50" s="715"/>
      <c r="TWV50" s="715"/>
      <c r="TWW50" s="715"/>
      <c r="TWX50" s="715"/>
      <c r="TWY50" s="715"/>
      <c r="TWZ50" s="715"/>
      <c r="TXA50" s="715"/>
      <c r="TXB50" s="715"/>
      <c r="TXC50" s="715"/>
      <c r="TXD50" s="715"/>
      <c r="TXE50" s="715"/>
      <c r="TXF50" s="715"/>
      <c r="TXG50" s="715"/>
      <c r="TXH50" s="715"/>
      <c r="TXI50" s="715"/>
      <c r="TXJ50" s="715"/>
      <c r="TXK50" s="715"/>
      <c r="TXL50" s="715"/>
      <c r="TXM50" s="715"/>
      <c r="TXN50" s="715"/>
      <c r="TXO50" s="715"/>
      <c r="TXP50" s="715"/>
      <c r="TXQ50" s="715"/>
      <c r="TXR50" s="715"/>
      <c r="TXS50" s="715"/>
      <c r="TXT50" s="715"/>
      <c r="TXU50" s="715"/>
      <c r="TXV50" s="715"/>
      <c r="TXW50" s="715"/>
      <c r="TXX50" s="715"/>
      <c r="TXY50" s="715"/>
      <c r="TXZ50" s="715"/>
      <c r="TYA50" s="715"/>
      <c r="TYB50" s="715"/>
      <c r="TYC50" s="715"/>
      <c r="TYD50" s="715"/>
      <c r="TYE50" s="715"/>
      <c r="TYF50" s="715"/>
      <c r="TYG50" s="715"/>
      <c r="TYH50" s="715"/>
      <c r="TYI50" s="715"/>
      <c r="TYJ50" s="715"/>
      <c r="TYK50" s="715"/>
      <c r="TYL50" s="715"/>
      <c r="TYM50" s="715"/>
      <c r="TYN50" s="715"/>
      <c r="TYO50" s="715"/>
      <c r="TYP50" s="715"/>
      <c r="TYQ50" s="715"/>
      <c r="TYR50" s="715"/>
      <c r="TYS50" s="715"/>
      <c r="TYT50" s="715"/>
      <c r="TYU50" s="715"/>
      <c r="TYV50" s="715"/>
      <c r="TYW50" s="715"/>
      <c r="TYX50" s="715"/>
      <c r="TYY50" s="715"/>
      <c r="TYZ50" s="715"/>
      <c r="TZA50" s="715"/>
      <c r="TZB50" s="715"/>
      <c r="TZC50" s="715"/>
      <c r="TZD50" s="715"/>
      <c r="TZE50" s="715"/>
      <c r="TZF50" s="715"/>
      <c r="TZG50" s="715"/>
      <c r="TZH50" s="715"/>
      <c r="TZI50" s="715"/>
      <c r="TZJ50" s="715"/>
      <c r="TZK50" s="715"/>
      <c r="TZL50" s="715"/>
      <c r="TZM50" s="715"/>
      <c r="TZN50" s="715"/>
      <c r="TZO50" s="715"/>
      <c r="TZP50" s="715"/>
      <c r="TZQ50" s="715"/>
      <c r="TZR50" s="715"/>
      <c r="TZS50" s="715"/>
      <c r="TZT50" s="715"/>
      <c r="TZU50" s="715"/>
      <c r="TZV50" s="715"/>
      <c r="TZW50" s="715"/>
      <c r="TZX50" s="715"/>
      <c r="TZY50" s="715"/>
      <c r="TZZ50" s="715"/>
      <c r="UAA50" s="715"/>
      <c r="UAB50" s="715"/>
      <c r="UAC50" s="715"/>
      <c r="UAD50" s="715"/>
      <c r="UAE50" s="715"/>
      <c r="UAF50" s="715"/>
      <c r="UAG50" s="715"/>
      <c r="UAH50" s="715"/>
      <c r="UAI50" s="715"/>
      <c r="UAJ50" s="715"/>
      <c r="UAK50" s="715"/>
      <c r="UAL50" s="715"/>
      <c r="UAM50" s="715"/>
      <c r="UAN50" s="715"/>
      <c r="UAO50" s="715"/>
      <c r="UAP50" s="715"/>
      <c r="UAQ50" s="715"/>
      <c r="UAR50" s="715"/>
      <c r="UAS50" s="715"/>
      <c r="UAT50" s="715"/>
      <c r="UAU50" s="715"/>
      <c r="UAV50" s="715"/>
      <c r="UAW50" s="715"/>
      <c r="UAX50" s="715"/>
      <c r="UAY50" s="715"/>
      <c r="UAZ50" s="715"/>
      <c r="UBA50" s="715"/>
      <c r="UBB50" s="715"/>
      <c r="UBC50" s="715"/>
      <c r="UBD50" s="715"/>
      <c r="UBE50" s="715"/>
      <c r="UBF50" s="715"/>
      <c r="UBG50" s="715"/>
      <c r="UBH50" s="715"/>
      <c r="UBI50" s="715"/>
      <c r="UBJ50" s="715"/>
      <c r="UBK50" s="715"/>
      <c r="UBL50" s="715"/>
      <c r="UBM50" s="715"/>
      <c r="UBN50" s="715"/>
      <c r="UBO50" s="715"/>
      <c r="UBP50" s="715"/>
      <c r="UBQ50" s="715"/>
      <c r="UBR50" s="715"/>
      <c r="UBS50" s="715"/>
      <c r="UBT50" s="715"/>
      <c r="UBU50" s="715"/>
      <c r="UBV50" s="715"/>
      <c r="UBW50" s="715"/>
      <c r="UBX50" s="715"/>
      <c r="UBY50" s="715"/>
      <c r="UBZ50" s="715"/>
      <c r="UCA50" s="715"/>
      <c r="UCB50" s="715"/>
      <c r="UCC50" s="715"/>
      <c r="UCD50" s="715"/>
      <c r="UCE50" s="715"/>
      <c r="UCF50" s="715"/>
      <c r="UCG50" s="715"/>
      <c r="UCH50" s="715"/>
      <c r="UCI50" s="715"/>
      <c r="UCJ50" s="715"/>
      <c r="UCK50" s="715"/>
      <c r="UCL50" s="715"/>
      <c r="UCM50" s="715"/>
      <c r="UCN50" s="715"/>
      <c r="UCO50" s="715"/>
      <c r="UCP50" s="715"/>
      <c r="UCQ50" s="715"/>
      <c r="UCR50" s="715"/>
      <c r="UCS50" s="715"/>
      <c r="UCT50" s="715"/>
      <c r="UCU50" s="715"/>
      <c r="UCV50" s="715"/>
      <c r="UCW50" s="715"/>
      <c r="UCX50" s="715"/>
      <c r="UCY50" s="715"/>
      <c r="UCZ50" s="715"/>
      <c r="UDA50" s="715"/>
      <c r="UDB50" s="715"/>
      <c r="UDC50" s="715"/>
      <c r="UDD50" s="715"/>
      <c r="UDE50" s="715"/>
      <c r="UDF50" s="715"/>
      <c r="UDG50" s="715"/>
      <c r="UDH50" s="715"/>
      <c r="UDI50" s="715"/>
      <c r="UDJ50" s="715"/>
      <c r="UDK50" s="715"/>
      <c r="UDL50" s="715"/>
      <c r="UDM50" s="715"/>
      <c r="UDN50" s="715"/>
      <c r="UDO50" s="715"/>
      <c r="UDP50" s="715"/>
      <c r="UDQ50" s="715"/>
      <c r="UDR50" s="715"/>
      <c r="UDS50" s="715"/>
      <c r="UDT50" s="715"/>
      <c r="UDU50" s="715"/>
      <c r="UDV50" s="715"/>
      <c r="UDW50" s="715"/>
      <c r="UDX50" s="715"/>
      <c r="UDY50" s="715"/>
      <c r="UDZ50" s="715"/>
      <c r="UEA50" s="715"/>
      <c r="UEB50" s="715"/>
      <c r="UEC50" s="715"/>
      <c r="UED50" s="715"/>
      <c r="UEE50" s="715"/>
      <c r="UEF50" s="715"/>
      <c r="UEG50" s="715"/>
      <c r="UEH50" s="715"/>
      <c r="UEI50" s="715"/>
      <c r="UEJ50" s="715"/>
      <c r="UEK50" s="715"/>
      <c r="UEL50" s="715"/>
      <c r="UEM50" s="715"/>
      <c r="UEN50" s="715"/>
      <c r="UEO50" s="715"/>
      <c r="UEP50" s="715"/>
      <c r="UEQ50" s="715"/>
      <c r="UER50" s="715"/>
      <c r="UES50" s="715"/>
      <c r="UET50" s="715"/>
      <c r="UEU50" s="715"/>
      <c r="UEV50" s="715"/>
      <c r="UEW50" s="715"/>
      <c r="UEX50" s="715"/>
      <c r="UEY50" s="715"/>
      <c r="UEZ50" s="715"/>
      <c r="UFA50" s="715"/>
      <c r="UFB50" s="715"/>
      <c r="UFC50" s="715"/>
      <c r="UFD50" s="715"/>
      <c r="UFE50" s="715"/>
      <c r="UFF50" s="715"/>
      <c r="UFG50" s="715"/>
      <c r="UFH50" s="715"/>
      <c r="UFI50" s="715"/>
      <c r="UFJ50" s="715"/>
      <c r="UFK50" s="715"/>
      <c r="UFL50" s="715"/>
      <c r="UFM50" s="715"/>
      <c r="UFN50" s="715"/>
      <c r="UFO50" s="715"/>
      <c r="UFP50" s="715"/>
      <c r="UFQ50" s="715"/>
      <c r="UFR50" s="715"/>
      <c r="UFS50" s="715"/>
      <c r="UFT50" s="715"/>
      <c r="UFU50" s="715"/>
      <c r="UFV50" s="715"/>
      <c r="UFW50" s="715"/>
      <c r="UFX50" s="715"/>
      <c r="UFY50" s="715"/>
      <c r="UFZ50" s="715"/>
      <c r="UGA50" s="715"/>
      <c r="UGB50" s="715"/>
      <c r="UGC50" s="715"/>
      <c r="UGD50" s="715"/>
      <c r="UGE50" s="715"/>
      <c r="UGF50" s="715"/>
      <c r="UGG50" s="715"/>
      <c r="UGH50" s="715"/>
      <c r="UGI50" s="715"/>
      <c r="UGJ50" s="715"/>
      <c r="UGK50" s="715"/>
      <c r="UGL50" s="715"/>
      <c r="UGM50" s="715"/>
      <c r="UGN50" s="715"/>
      <c r="UGO50" s="715"/>
      <c r="UGP50" s="715"/>
      <c r="UGQ50" s="715"/>
      <c r="UGR50" s="715"/>
      <c r="UGS50" s="715"/>
      <c r="UGT50" s="715"/>
      <c r="UGU50" s="715"/>
      <c r="UGV50" s="715"/>
      <c r="UGW50" s="715"/>
      <c r="UGX50" s="715"/>
      <c r="UGY50" s="715"/>
      <c r="UGZ50" s="715"/>
      <c r="UHA50" s="715"/>
      <c r="UHB50" s="715"/>
      <c r="UHC50" s="715"/>
      <c r="UHD50" s="715"/>
      <c r="UHE50" s="715"/>
      <c r="UHF50" s="715"/>
      <c r="UHG50" s="715"/>
      <c r="UHH50" s="715"/>
      <c r="UHI50" s="715"/>
      <c r="UHJ50" s="715"/>
      <c r="UHK50" s="715"/>
      <c r="UHL50" s="715"/>
      <c r="UHM50" s="715"/>
      <c r="UHN50" s="715"/>
      <c r="UHO50" s="715"/>
      <c r="UHP50" s="715"/>
      <c r="UHQ50" s="715"/>
      <c r="UHR50" s="715"/>
      <c r="UHS50" s="715"/>
      <c r="UHT50" s="715"/>
      <c r="UHU50" s="715"/>
      <c r="UHV50" s="715"/>
      <c r="UHW50" s="715"/>
      <c r="UHX50" s="715"/>
      <c r="UHY50" s="715"/>
      <c r="UHZ50" s="715"/>
      <c r="UIA50" s="715"/>
      <c r="UIB50" s="715"/>
      <c r="UIC50" s="715"/>
      <c r="UID50" s="715"/>
      <c r="UIE50" s="715"/>
      <c r="UIF50" s="715"/>
      <c r="UIG50" s="715"/>
      <c r="UIH50" s="715"/>
      <c r="UII50" s="715"/>
      <c r="UIJ50" s="715"/>
      <c r="UIK50" s="715"/>
      <c r="UIL50" s="715"/>
      <c r="UIM50" s="715"/>
      <c r="UIN50" s="715"/>
      <c r="UIO50" s="715"/>
      <c r="UIP50" s="715"/>
      <c r="UIQ50" s="715"/>
      <c r="UIR50" s="715"/>
      <c r="UIS50" s="715"/>
      <c r="UIT50" s="715"/>
      <c r="UIU50" s="715"/>
      <c r="UIV50" s="715"/>
      <c r="UIW50" s="715"/>
      <c r="UIX50" s="715"/>
      <c r="UIY50" s="715"/>
      <c r="UIZ50" s="715"/>
      <c r="UJA50" s="715"/>
      <c r="UJB50" s="715"/>
      <c r="UJC50" s="715"/>
      <c r="UJD50" s="715"/>
      <c r="UJE50" s="715"/>
      <c r="UJF50" s="715"/>
      <c r="UJG50" s="715"/>
      <c r="UJH50" s="715"/>
      <c r="UJI50" s="715"/>
      <c r="UJJ50" s="715"/>
      <c r="UJK50" s="715"/>
      <c r="UJL50" s="715"/>
      <c r="UJM50" s="715"/>
      <c r="UJN50" s="715"/>
      <c r="UJO50" s="715"/>
      <c r="UJP50" s="715"/>
      <c r="UJQ50" s="715"/>
      <c r="UJR50" s="715"/>
      <c r="UJS50" s="715"/>
      <c r="UJT50" s="715"/>
      <c r="UJU50" s="715"/>
      <c r="UJV50" s="715"/>
      <c r="UJW50" s="715"/>
      <c r="UJX50" s="715"/>
      <c r="UJY50" s="715"/>
      <c r="UJZ50" s="715"/>
      <c r="UKA50" s="715"/>
      <c r="UKB50" s="715"/>
      <c r="UKC50" s="715"/>
      <c r="UKD50" s="715"/>
      <c r="UKE50" s="715"/>
      <c r="UKF50" s="715"/>
      <c r="UKG50" s="715"/>
      <c r="UKH50" s="715"/>
      <c r="UKI50" s="715"/>
      <c r="UKJ50" s="715"/>
      <c r="UKK50" s="715"/>
      <c r="UKL50" s="715"/>
      <c r="UKM50" s="715"/>
      <c r="UKN50" s="715"/>
      <c r="UKO50" s="715"/>
      <c r="UKP50" s="715"/>
      <c r="UKQ50" s="715"/>
      <c r="UKR50" s="715"/>
      <c r="UKS50" s="715"/>
      <c r="UKT50" s="715"/>
      <c r="UKU50" s="715"/>
      <c r="UKV50" s="715"/>
      <c r="UKW50" s="715"/>
      <c r="UKX50" s="715"/>
      <c r="UKY50" s="715"/>
      <c r="UKZ50" s="715"/>
      <c r="ULA50" s="715"/>
      <c r="ULB50" s="715"/>
      <c r="ULC50" s="715"/>
      <c r="ULD50" s="715"/>
      <c r="ULE50" s="715"/>
      <c r="ULF50" s="715"/>
      <c r="ULG50" s="715"/>
      <c r="ULH50" s="715"/>
      <c r="ULI50" s="715"/>
      <c r="ULJ50" s="715"/>
      <c r="ULK50" s="715"/>
      <c r="ULL50" s="715"/>
      <c r="ULM50" s="715"/>
      <c r="ULN50" s="715"/>
      <c r="ULO50" s="715"/>
      <c r="ULP50" s="715"/>
      <c r="ULQ50" s="715"/>
      <c r="ULR50" s="715"/>
      <c r="ULS50" s="715"/>
      <c r="ULT50" s="715"/>
      <c r="ULU50" s="715"/>
      <c r="ULV50" s="715"/>
      <c r="ULW50" s="715"/>
      <c r="ULX50" s="715"/>
      <c r="ULY50" s="715"/>
      <c r="ULZ50" s="715"/>
      <c r="UMA50" s="715"/>
      <c r="UMB50" s="715"/>
      <c r="UMC50" s="715"/>
      <c r="UMD50" s="715"/>
      <c r="UME50" s="715"/>
      <c r="UMF50" s="715"/>
      <c r="UMG50" s="715"/>
      <c r="UMH50" s="715"/>
      <c r="UMI50" s="715"/>
      <c r="UMJ50" s="715"/>
      <c r="UMK50" s="715"/>
      <c r="UML50" s="715"/>
      <c r="UMM50" s="715"/>
      <c r="UMN50" s="715"/>
      <c r="UMO50" s="715"/>
      <c r="UMP50" s="715"/>
      <c r="UMQ50" s="715"/>
      <c r="UMR50" s="715"/>
      <c r="UMS50" s="715"/>
      <c r="UMT50" s="715"/>
      <c r="UMU50" s="715"/>
      <c r="UMV50" s="715"/>
      <c r="UMW50" s="715"/>
      <c r="UMX50" s="715"/>
      <c r="UMY50" s="715"/>
      <c r="UMZ50" s="715"/>
      <c r="UNA50" s="715"/>
      <c r="UNB50" s="715"/>
      <c r="UNC50" s="715"/>
      <c r="UND50" s="715"/>
      <c r="UNE50" s="715"/>
      <c r="UNF50" s="715"/>
      <c r="UNG50" s="715"/>
      <c r="UNH50" s="715"/>
      <c r="UNI50" s="715"/>
      <c r="UNJ50" s="715"/>
      <c r="UNK50" s="715"/>
      <c r="UNL50" s="715"/>
      <c r="UNM50" s="715"/>
      <c r="UNN50" s="715"/>
      <c r="UNO50" s="715"/>
      <c r="UNP50" s="715"/>
      <c r="UNQ50" s="715"/>
      <c r="UNR50" s="715"/>
      <c r="UNS50" s="715"/>
      <c r="UNT50" s="715"/>
      <c r="UNU50" s="715"/>
      <c r="UNV50" s="715"/>
      <c r="UNW50" s="715"/>
      <c r="UNX50" s="715"/>
      <c r="UNY50" s="715"/>
      <c r="UNZ50" s="715"/>
      <c r="UOA50" s="715"/>
      <c r="UOB50" s="715"/>
      <c r="UOC50" s="715"/>
      <c r="UOD50" s="715"/>
      <c r="UOE50" s="715"/>
      <c r="UOF50" s="715"/>
      <c r="UOG50" s="715"/>
      <c r="UOH50" s="715"/>
      <c r="UOI50" s="715"/>
      <c r="UOJ50" s="715"/>
      <c r="UOK50" s="715"/>
      <c r="UOL50" s="715"/>
      <c r="UOM50" s="715"/>
      <c r="UON50" s="715"/>
      <c r="UOO50" s="715"/>
      <c r="UOP50" s="715"/>
      <c r="UOQ50" s="715"/>
      <c r="UOR50" s="715"/>
      <c r="UOS50" s="715"/>
      <c r="UOT50" s="715"/>
      <c r="UOU50" s="715"/>
      <c r="UOV50" s="715"/>
      <c r="UOW50" s="715"/>
      <c r="UOX50" s="715"/>
      <c r="UOY50" s="715"/>
      <c r="UOZ50" s="715"/>
      <c r="UPA50" s="715"/>
      <c r="UPB50" s="715"/>
      <c r="UPC50" s="715"/>
      <c r="UPD50" s="715"/>
      <c r="UPE50" s="715"/>
      <c r="UPF50" s="715"/>
      <c r="UPG50" s="715"/>
      <c r="UPH50" s="715"/>
      <c r="UPI50" s="715"/>
      <c r="UPJ50" s="715"/>
      <c r="UPK50" s="715"/>
      <c r="UPL50" s="715"/>
      <c r="UPM50" s="715"/>
      <c r="UPN50" s="715"/>
      <c r="UPO50" s="715"/>
      <c r="UPP50" s="715"/>
      <c r="UPQ50" s="715"/>
      <c r="UPR50" s="715"/>
      <c r="UPS50" s="715"/>
      <c r="UPT50" s="715"/>
      <c r="UPU50" s="715"/>
      <c r="UPV50" s="715"/>
      <c r="UPW50" s="715"/>
      <c r="UPX50" s="715"/>
      <c r="UPY50" s="715"/>
      <c r="UPZ50" s="715"/>
      <c r="UQA50" s="715"/>
      <c r="UQB50" s="715"/>
      <c r="UQC50" s="715"/>
      <c r="UQD50" s="715"/>
      <c r="UQE50" s="715"/>
      <c r="UQF50" s="715"/>
      <c r="UQG50" s="715"/>
      <c r="UQH50" s="715"/>
      <c r="UQI50" s="715"/>
      <c r="UQJ50" s="715"/>
      <c r="UQK50" s="715"/>
      <c r="UQL50" s="715"/>
      <c r="UQM50" s="715"/>
      <c r="UQN50" s="715"/>
      <c r="UQO50" s="715"/>
      <c r="UQP50" s="715"/>
      <c r="UQQ50" s="715"/>
      <c r="UQR50" s="715"/>
      <c r="UQS50" s="715"/>
      <c r="UQT50" s="715"/>
      <c r="UQU50" s="715"/>
      <c r="UQV50" s="715"/>
      <c r="UQW50" s="715"/>
      <c r="UQX50" s="715"/>
      <c r="UQY50" s="715"/>
      <c r="UQZ50" s="715"/>
      <c r="URA50" s="715"/>
      <c r="URB50" s="715"/>
      <c r="URC50" s="715"/>
      <c r="URD50" s="715"/>
      <c r="URE50" s="715"/>
      <c r="URF50" s="715"/>
      <c r="URG50" s="715"/>
      <c r="URH50" s="715"/>
      <c r="URI50" s="715"/>
      <c r="URJ50" s="715"/>
      <c r="URK50" s="715"/>
      <c r="URL50" s="715"/>
      <c r="URM50" s="715"/>
      <c r="URN50" s="715"/>
      <c r="URO50" s="715"/>
      <c r="URP50" s="715"/>
      <c r="URQ50" s="715"/>
      <c r="URR50" s="715"/>
      <c r="URS50" s="715"/>
      <c r="URT50" s="715"/>
      <c r="URU50" s="715"/>
      <c r="URV50" s="715"/>
      <c r="URW50" s="715"/>
      <c r="URX50" s="715"/>
      <c r="URY50" s="715"/>
      <c r="URZ50" s="715"/>
      <c r="USA50" s="715"/>
      <c r="USB50" s="715"/>
      <c r="USC50" s="715"/>
      <c r="USD50" s="715"/>
      <c r="USE50" s="715"/>
      <c r="USF50" s="715"/>
      <c r="USG50" s="715"/>
      <c r="USH50" s="715"/>
      <c r="USI50" s="715"/>
      <c r="USJ50" s="715"/>
      <c r="USK50" s="715"/>
      <c r="USL50" s="715"/>
      <c r="USM50" s="715"/>
      <c r="USN50" s="715"/>
      <c r="USO50" s="715"/>
      <c r="USP50" s="715"/>
      <c r="USQ50" s="715"/>
      <c r="USR50" s="715"/>
      <c r="USS50" s="715"/>
      <c r="UST50" s="715"/>
      <c r="USU50" s="715"/>
      <c r="USV50" s="715"/>
      <c r="USW50" s="715"/>
      <c r="USX50" s="715"/>
      <c r="USY50" s="715"/>
      <c r="USZ50" s="715"/>
      <c r="UTA50" s="715"/>
      <c r="UTB50" s="715"/>
      <c r="UTC50" s="715"/>
      <c r="UTD50" s="715"/>
      <c r="UTE50" s="715"/>
      <c r="UTF50" s="715"/>
      <c r="UTG50" s="715"/>
      <c r="UTH50" s="715"/>
      <c r="UTI50" s="715"/>
      <c r="UTJ50" s="715"/>
      <c r="UTK50" s="715"/>
      <c r="UTL50" s="715"/>
      <c r="UTM50" s="715"/>
      <c r="UTN50" s="715"/>
      <c r="UTO50" s="715"/>
      <c r="UTP50" s="715"/>
      <c r="UTQ50" s="715"/>
      <c r="UTR50" s="715"/>
      <c r="UTS50" s="715"/>
      <c r="UTT50" s="715"/>
      <c r="UTU50" s="715"/>
      <c r="UTV50" s="715"/>
      <c r="UTW50" s="715"/>
      <c r="UTX50" s="715"/>
      <c r="UTY50" s="715"/>
      <c r="UTZ50" s="715"/>
      <c r="UUA50" s="715"/>
      <c r="UUB50" s="715"/>
      <c r="UUC50" s="715"/>
      <c r="UUD50" s="715"/>
      <c r="UUE50" s="715"/>
      <c r="UUF50" s="715"/>
      <c r="UUG50" s="715"/>
      <c r="UUH50" s="715"/>
      <c r="UUI50" s="715"/>
      <c r="UUJ50" s="715"/>
      <c r="UUK50" s="715"/>
      <c r="UUL50" s="715"/>
      <c r="UUM50" s="715"/>
      <c r="UUN50" s="715"/>
      <c r="UUO50" s="715"/>
      <c r="UUP50" s="715"/>
      <c r="UUQ50" s="715"/>
      <c r="UUR50" s="715"/>
      <c r="UUS50" s="715"/>
      <c r="UUT50" s="715"/>
      <c r="UUU50" s="715"/>
      <c r="UUV50" s="715"/>
      <c r="UUW50" s="715"/>
      <c r="UUX50" s="715"/>
      <c r="UUY50" s="715"/>
      <c r="UUZ50" s="715"/>
      <c r="UVA50" s="715"/>
      <c r="UVB50" s="715"/>
      <c r="UVC50" s="715"/>
      <c r="UVD50" s="715"/>
      <c r="UVE50" s="715"/>
      <c r="UVF50" s="715"/>
      <c r="UVG50" s="715"/>
      <c r="UVH50" s="715"/>
      <c r="UVI50" s="715"/>
      <c r="UVJ50" s="715"/>
      <c r="UVK50" s="715"/>
      <c r="UVL50" s="715"/>
      <c r="UVM50" s="715"/>
      <c r="UVN50" s="715"/>
      <c r="UVO50" s="715"/>
      <c r="UVP50" s="715"/>
      <c r="UVQ50" s="715"/>
      <c r="UVR50" s="715"/>
      <c r="UVS50" s="715"/>
      <c r="UVT50" s="715"/>
      <c r="UVU50" s="715"/>
      <c r="UVV50" s="715"/>
      <c r="UVW50" s="715"/>
      <c r="UVX50" s="715"/>
      <c r="UVY50" s="715"/>
      <c r="UVZ50" s="715"/>
      <c r="UWA50" s="715"/>
      <c r="UWB50" s="715"/>
      <c r="UWC50" s="715"/>
      <c r="UWD50" s="715"/>
      <c r="UWE50" s="715"/>
      <c r="UWF50" s="715"/>
      <c r="UWG50" s="715"/>
      <c r="UWH50" s="715"/>
      <c r="UWI50" s="715"/>
      <c r="UWJ50" s="715"/>
      <c r="UWK50" s="715"/>
      <c r="UWL50" s="715"/>
      <c r="UWM50" s="715"/>
      <c r="UWN50" s="715"/>
      <c r="UWO50" s="715"/>
      <c r="UWP50" s="715"/>
      <c r="UWQ50" s="715"/>
      <c r="UWR50" s="715"/>
      <c r="UWS50" s="715"/>
      <c r="UWT50" s="715"/>
      <c r="UWU50" s="715"/>
      <c r="UWV50" s="715"/>
      <c r="UWW50" s="715"/>
      <c r="UWX50" s="715"/>
      <c r="UWY50" s="715"/>
      <c r="UWZ50" s="715"/>
      <c r="UXA50" s="715"/>
      <c r="UXB50" s="715"/>
      <c r="UXC50" s="715"/>
      <c r="UXD50" s="715"/>
      <c r="UXE50" s="715"/>
      <c r="UXF50" s="715"/>
      <c r="UXG50" s="715"/>
      <c r="UXH50" s="715"/>
      <c r="UXI50" s="715"/>
      <c r="UXJ50" s="715"/>
      <c r="UXK50" s="715"/>
      <c r="UXL50" s="715"/>
      <c r="UXM50" s="715"/>
      <c r="UXN50" s="715"/>
      <c r="UXO50" s="715"/>
      <c r="UXP50" s="715"/>
      <c r="UXQ50" s="715"/>
      <c r="UXR50" s="715"/>
      <c r="UXS50" s="715"/>
      <c r="UXT50" s="715"/>
      <c r="UXU50" s="715"/>
      <c r="UXV50" s="715"/>
      <c r="UXW50" s="715"/>
      <c r="UXX50" s="715"/>
      <c r="UXY50" s="715"/>
      <c r="UXZ50" s="715"/>
      <c r="UYA50" s="715"/>
      <c r="UYB50" s="715"/>
      <c r="UYC50" s="715"/>
      <c r="UYD50" s="715"/>
      <c r="UYE50" s="715"/>
      <c r="UYF50" s="715"/>
      <c r="UYG50" s="715"/>
      <c r="UYH50" s="715"/>
      <c r="UYI50" s="715"/>
      <c r="UYJ50" s="715"/>
      <c r="UYK50" s="715"/>
      <c r="UYL50" s="715"/>
      <c r="UYM50" s="715"/>
      <c r="UYN50" s="715"/>
      <c r="UYO50" s="715"/>
      <c r="UYP50" s="715"/>
      <c r="UYQ50" s="715"/>
      <c r="UYR50" s="715"/>
      <c r="UYS50" s="715"/>
      <c r="UYT50" s="715"/>
      <c r="UYU50" s="715"/>
      <c r="UYV50" s="715"/>
      <c r="UYW50" s="715"/>
      <c r="UYX50" s="715"/>
      <c r="UYY50" s="715"/>
      <c r="UYZ50" s="715"/>
      <c r="UZA50" s="715"/>
      <c r="UZB50" s="715"/>
      <c r="UZC50" s="715"/>
      <c r="UZD50" s="715"/>
      <c r="UZE50" s="715"/>
      <c r="UZF50" s="715"/>
      <c r="UZG50" s="715"/>
      <c r="UZH50" s="715"/>
      <c r="UZI50" s="715"/>
      <c r="UZJ50" s="715"/>
      <c r="UZK50" s="715"/>
      <c r="UZL50" s="715"/>
      <c r="UZM50" s="715"/>
      <c r="UZN50" s="715"/>
      <c r="UZO50" s="715"/>
      <c r="UZP50" s="715"/>
      <c r="UZQ50" s="715"/>
      <c r="UZR50" s="715"/>
      <c r="UZS50" s="715"/>
      <c r="UZT50" s="715"/>
      <c r="UZU50" s="715"/>
      <c r="UZV50" s="715"/>
      <c r="UZW50" s="715"/>
      <c r="UZX50" s="715"/>
      <c r="UZY50" s="715"/>
      <c r="UZZ50" s="715"/>
      <c r="VAA50" s="715"/>
      <c r="VAB50" s="715"/>
      <c r="VAC50" s="715"/>
      <c r="VAD50" s="715"/>
      <c r="VAE50" s="715"/>
      <c r="VAF50" s="715"/>
      <c r="VAG50" s="715"/>
      <c r="VAH50" s="715"/>
      <c r="VAI50" s="715"/>
      <c r="VAJ50" s="715"/>
      <c r="VAK50" s="715"/>
      <c r="VAL50" s="715"/>
      <c r="VAM50" s="715"/>
      <c r="VAN50" s="715"/>
      <c r="VAO50" s="715"/>
      <c r="VAP50" s="715"/>
      <c r="VAQ50" s="715"/>
      <c r="VAR50" s="715"/>
      <c r="VAS50" s="715"/>
      <c r="VAT50" s="715"/>
      <c r="VAU50" s="715"/>
      <c r="VAV50" s="715"/>
      <c r="VAW50" s="715"/>
      <c r="VAX50" s="715"/>
      <c r="VAY50" s="715"/>
      <c r="VAZ50" s="715"/>
      <c r="VBA50" s="715"/>
      <c r="VBB50" s="715"/>
      <c r="VBC50" s="715"/>
      <c r="VBD50" s="715"/>
      <c r="VBE50" s="715"/>
      <c r="VBF50" s="715"/>
      <c r="VBG50" s="715"/>
      <c r="VBH50" s="715"/>
      <c r="VBI50" s="715"/>
      <c r="VBJ50" s="715"/>
      <c r="VBK50" s="715"/>
      <c r="VBL50" s="715"/>
      <c r="VBM50" s="715"/>
      <c r="VBN50" s="715"/>
      <c r="VBO50" s="715"/>
      <c r="VBP50" s="715"/>
      <c r="VBQ50" s="715"/>
      <c r="VBR50" s="715"/>
      <c r="VBS50" s="715"/>
      <c r="VBT50" s="715"/>
      <c r="VBU50" s="715"/>
      <c r="VBV50" s="715"/>
      <c r="VBW50" s="715"/>
      <c r="VBX50" s="715"/>
      <c r="VBY50" s="715"/>
      <c r="VBZ50" s="715"/>
      <c r="VCA50" s="715"/>
      <c r="VCB50" s="715"/>
      <c r="VCC50" s="715"/>
      <c r="VCD50" s="715"/>
      <c r="VCE50" s="715"/>
      <c r="VCF50" s="715"/>
      <c r="VCG50" s="715"/>
      <c r="VCH50" s="715"/>
      <c r="VCI50" s="715"/>
      <c r="VCJ50" s="715"/>
      <c r="VCK50" s="715"/>
      <c r="VCL50" s="715"/>
      <c r="VCM50" s="715"/>
      <c r="VCN50" s="715"/>
      <c r="VCO50" s="715"/>
      <c r="VCP50" s="715"/>
      <c r="VCQ50" s="715"/>
      <c r="VCR50" s="715"/>
      <c r="VCS50" s="715"/>
      <c r="VCT50" s="715"/>
      <c r="VCU50" s="715"/>
      <c r="VCV50" s="715"/>
      <c r="VCW50" s="715"/>
      <c r="VCX50" s="715"/>
      <c r="VCY50" s="715"/>
      <c r="VCZ50" s="715"/>
      <c r="VDA50" s="715"/>
      <c r="VDB50" s="715"/>
      <c r="VDC50" s="715"/>
      <c r="VDD50" s="715"/>
      <c r="VDE50" s="715"/>
      <c r="VDF50" s="715"/>
      <c r="VDG50" s="715"/>
      <c r="VDH50" s="715"/>
      <c r="VDI50" s="715"/>
      <c r="VDJ50" s="715"/>
      <c r="VDK50" s="715"/>
      <c r="VDL50" s="715"/>
      <c r="VDM50" s="715"/>
      <c r="VDN50" s="715"/>
      <c r="VDO50" s="715"/>
      <c r="VDP50" s="715"/>
      <c r="VDQ50" s="715"/>
      <c r="VDR50" s="715"/>
      <c r="VDS50" s="715"/>
      <c r="VDT50" s="715"/>
      <c r="VDU50" s="715"/>
      <c r="VDV50" s="715"/>
      <c r="VDW50" s="715"/>
      <c r="VDX50" s="715"/>
      <c r="VDY50" s="715"/>
      <c r="VDZ50" s="715"/>
      <c r="VEA50" s="715"/>
      <c r="VEB50" s="715"/>
      <c r="VEC50" s="715"/>
      <c r="VED50" s="715"/>
      <c r="VEE50" s="715"/>
      <c r="VEF50" s="715"/>
      <c r="VEG50" s="715"/>
      <c r="VEH50" s="715"/>
      <c r="VEI50" s="715"/>
      <c r="VEJ50" s="715"/>
      <c r="VEK50" s="715"/>
      <c r="VEL50" s="715"/>
      <c r="VEM50" s="715"/>
      <c r="VEN50" s="715"/>
      <c r="VEO50" s="715"/>
      <c r="VEP50" s="715"/>
      <c r="VEQ50" s="715"/>
      <c r="VER50" s="715"/>
      <c r="VES50" s="715"/>
      <c r="VET50" s="715"/>
      <c r="VEU50" s="715"/>
      <c r="VEV50" s="715"/>
      <c r="VEW50" s="715"/>
      <c r="VEX50" s="715"/>
      <c r="VEY50" s="715"/>
      <c r="VEZ50" s="715"/>
      <c r="VFA50" s="715"/>
      <c r="VFB50" s="715"/>
      <c r="VFC50" s="715"/>
      <c r="VFD50" s="715"/>
      <c r="VFE50" s="715"/>
      <c r="VFF50" s="715"/>
      <c r="VFG50" s="715"/>
      <c r="VFH50" s="715"/>
      <c r="VFI50" s="715"/>
      <c r="VFJ50" s="715"/>
      <c r="VFK50" s="715"/>
      <c r="VFL50" s="715"/>
      <c r="VFM50" s="715"/>
      <c r="VFN50" s="715"/>
      <c r="VFO50" s="715"/>
      <c r="VFP50" s="715"/>
      <c r="VFQ50" s="715"/>
      <c r="VFR50" s="715"/>
      <c r="VFS50" s="715"/>
      <c r="VFT50" s="715"/>
      <c r="VFU50" s="715"/>
      <c r="VFV50" s="715"/>
      <c r="VFW50" s="715"/>
      <c r="VFX50" s="715"/>
      <c r="VFY50" s="715"/>
      <c r="VFZ50" s="715"/>
      <c r="VGA50" s="715"/>
      <c r="VGB50" s="715"/>
      <c r="VGC50" s="715"/>
      <c r="VGD50" s="715"/>
      <c r="VGE50" s="715"/>
      <c r="VGF50" s="715"/>
      <c r="VGG50" s="715"/>
      <c r="VGH50" s="715"/>
      <c r="VGI50" s="715"/>
      <c r="VGJ50" s="715"/>
      <c r="VGK50" s="715"/>
      <c r="VGL50" s="715"/>
      <c r="VGM50" s="715"/>
      <c r="VGN50" s="715"/>
      <c r="VGO50" s="715"/>
      <c r="VGP50" s="715"/>
      <c r="VGQ50" s="715"/>
      <c r="VGR50" s="715"/>
      <c r="VGS50" s="715"/>
      <c r="VGT50" s="715"/>
      <c r="VGU50" s="715"/>
      <c r="VGV50" s="715"/>
      <c r="VGW50" s="715"/>
      <c r="VGX50" s="715"/>
      <c r="VGY50" s="715"/>
      <c r="VGZ50" s="715"/>
      <c r="VHA50" s="715"/>
      <c r="VHB50" s="715"/>
      <c r="VHC50" s="715"/>
      <c r="VHD50" s="715"/>
      <c r="VHE50" s="715"/>
      <c r="VHF50" s="715"/>
      <c r="VHG50" s="715"/>
      <c r="VHH50" s="715"/>
      <c r="VHI50" s="715"/>
      <c r="VHJ50" s="715"/>
      <c r="VHK50" s="715"/>
      <c r="VHL50" s="715"/>
      <c r="VHM50" s="715"/>
      <c r="VHN50" s="715"/>
      <c r="VHO50" s="715"/>
      <c r="VHP50" s="715"/>
      <c r="VHQ50" s="715"/>
      <c r="VHR50" s="715"/>
      <c r="VHS50" s="715"/>
      <c r="VHT50" s="715"/>
      <c r="VHU50" s="715"/>
      <c r="VHV50" s="715"/>
      <c r="VHW50" s="715"/>
      <c r="VHX50" s="715"/>
      <c r="VHY50" s="715"/>
      <c r="VHZ50" s="715"/>
      <c r="VIA50" s="715"/>
      <c r="VIB50" s="715"/>
      <c r="VIC50" s="715"/>
      <c r="VID50" s="715"/>
      <c r="VIE50" s="715"/>
      <c r="VIF50" s="715"/>
      <c r="VIG50" s="715"/>
      <c r="VIH50" s="715"/>
      <c r="VII50" s="715"/>
      <c r="VIJ50" s="715"/>
      <c r="VIK50" s="715"/>
      <c r="VIL50" s="715"/>
      <c r="VIM50" s="715"/>
      <c r="VIN50" s="715"/>
      <c r="VIO50" s="715"/>
      <c r="VIP50" s="715"/>
      <c r="VIQ50" s="715"/>
      <c r="VIR50" s="715"/>
      <c r="VIS50" s="715"/>
      <c r="VIT50" s="715"/>
      <c r="VIU50" s="715"/>
      <c r="VIV50" s="715"/>
      <c r="VIW50" s="715"/>
      <c r="VIX50" s="715"/>
      <c r="VIY50" s="715"/>
      <c r="VIZ50" s="715"/>
      <c r="VJA50" s="715"/>
      <c r="VJB50" s="715"/>
      <c r="VJC50" s="715"/>
      <c r="VJD50" s="715"/>
      <c r="VJE50" s="715"/>
      <c r="VJF50" s="715"/>
      <c r="VJG50" s="715"/>
      <c r="VJH50" s="715"/>
      <c r="VJI50" s="715"/>
      <c r="VJJ50" s="715"/>
      <c r="VJK50" s="715"/>
      <c r="VJL50" s="715"/>
      <c r="VJM50" s="715"/>
      <c r="VJN50" s="715"/>
      <c r="VJO50" s="715"/>
      <c r="VJP50" s="715"/>
      <c r="VJQ50" s="715"/>
      <c r="VJR50" s="715"/>
      <c r="VJS50" s="715"/>
      <c r="VJT50" s="715"/>
      <c r="VJU50" s="715"/>
      <c r="VJV50" s="715"/>
      <c r="VJW50" s="715"/>
      <c r="VJX50" s="715"/>
      <c r="VJY50" s="715"/>
      <c r="VJZ50" s="715"/>
      <c r="VKA50" s="715"/>
      <c r="VKB50" s="715"/>
      <c r="VKC50" s="715"/>
      <c r="VKD50" s="715"/>
      <c r="VKE50" s="715"/>
      <c r="VKF50" s="715"/>
      <c r="VKG50" s="715"/>
      <c r="VKH50" s="715"/>
      <c r="VKI50" s="715"/>
      <c r="VKJ50" s="715"/>
      <c r="VKK50" s="715"/>
      <c r="VKL50" s="715"/>
      <c r="VKM50" s="715"/>
      <c r="VKN50" s="715"/>
      <c r="VKO50" s="715"/>
      <c r="VKP50" s="715"/>
      <c r="VKQ50" s="715"/>
      <c r="VKR50" s="715"/>
      <c r="VKS50" s="715"/>
      <c r="VKT50" s="715"/>
      <c r="VKU50" s="715"/>
      <c r="VKV50" s="715"/>
      <c r="VKW50" s="715"/>
      <c r="VKX50" s="715"/>
      <c r="VKY50" s="715"/>
      <c r="VKZ50" s="715"/>
      <c r="VLA50" s="715"/>
      <c r="VLB50" s="715"/>
      <c r="VLC50" s="715"/>
      <c r="VLD50" s="715"/>
      <c r="VLE50" s="715"/>
      <c r="VLF50" s="715"/>
      <c r="VLG50" s="715"/>
      <c r="VLH50" s="715"/>
      <c r="VLI50" s="715"/>
      <c r="VLJ50" s="715"/>
      <c r="VLK50" s="715"/>
      <c r="VLL50" s="715"/>
      <c r="VLM50" s="715"/>
      <c r="VLN50" s="715"/>
      <c r="VLO50" s="715"/>
      <c r="VLP50" s="715"/>
      <c r="VLQ50" s="715"/>
      <c r="VLR50" s="715"/>
      <c r="VLS50" s="715"/>
      <c r="VLT50" s="715"/>
      <c r="VLU50" s="715"/>
      <c r="VLV50" s="715"/>
      <c r="VLW50" s="715"/>
      <c r="VLX50" s="715"/>
      <c r="VLY50" s="715"/>
      <c r="VLZ50" s="715"/>
      <c r="VMA50" s="715"/>
      <c r="VMB50" s="715"/>
      <c r="VMC50" s="715"/>
      <c r="VMD50" s="715"/>
      <c r="VME50" s="715"/>
      <c r="VMF50" s="715"/>
      <c r="VMG50" s="715"/>
      <c r="VMH50" s="715"/>
      <c r="VMI50" s="715"/>
      <c r="VMJ50" s="715"/>
      <c r="VMK50" s="715"/>
      <c r="VML50" s="715"/>
      <c r="VMM50" s="715"/>
      <c r="VMN50" s="715"/>
      <c r="VMO50" s="715"/>
      <c r="VMP50" s="715"/>
      <c r="VMQ50" s="715"/>
      <c r="VMR50" s="715"/>
      <c r="VMS50" s="715"/>
      <c r="VMT50" s="715"/>
      <c r="VMU50" s="715"/>
      <c r="VMV50" s="715"/>
      <c r="VMW50" s="715"/>
      <c r="VMX50" s="715"/>
      <c r="VMY50" s="715"/>
      <c r="VMZ50" s="715"/>
      <c r="VNA50" s="715"/>
      <c r="VNB50" s="715"/>
      <c r="VNC50" s="715"/>
      <c r="VND50" s="715"/>
      <c r="VNE50" s="715"/>
      <c r="VNF50" s="715"/>
      <c r="VNG50" s="715"/>
      <c r="VNH50" s="715"/>
      <c r="VNI50" s="715"/>
      <c r="VNJ50" s="715"/>
      <c r="VNK50" s="715"/>
      <c r="VNL50" s="715"/>
      <c r="VNM50" s="715"/>
      <c r="VNN50" s="715"/>
      <c r="VNO50" s="715"/>
      <c r="VNP50" s="715"/>
      <c r="VNQ50" s="715"/>
      <c r="VNR50" s="715"/>
      <c r="VNS50" s="715"/>
      <c r="VNT50" s="715"/>
      <c r="VNU50" s="715"/>
      <c r="VNV50" s="715"/>
      <c r="VNW50" s="715"/>
      <c r="VNX50" s="715"/>
      <c r="VNY50" s="715"/>
      <c r="VNZ50" s="715"/>
      <c r="VOA50" s="715"/>
      <c r="VOB50" s="715"/>
      <c r="VOC50" s="715"/>
      <c r="VOD50" s="715"/>
      <c r="VOE50" s="715"/>
      <c r="VOF50" s="715"/>
      <c r="VOG50" s="715"/>
      <c r="VOH50" s="715"/>
      <c r="VOI50" s="715"/>
      <c r="VOJ50" s="715"/>
      <c r="VOK50" s="715"/>
      <c r="VOL50" s="715"/>
      <c r="VOM50" s="715"/>
      <c r="VON50" s="715"/>
      <c r="VOO50" s="715"/>
      <c r="VOP50" s="715"/>
      <c r="VOQ50" s="715"/>
      <c r="VOR50" s="715"/>
      <c r="VOS50" s="715"/>
      <c r="VOT50" s="715"/>
      <c r="VOU50" s="715"/>
      <c r="VOV50" s="715"/>
      <c r="VOW50" s="715"/>
      <c r="VOX50" s="715"/>
      <c r="VOY50" s="715"/>
      <c r="VOZ50" s="715"/>
      <c r="VPA50" s="715"/>
      <c r="VPB50" s="715"/>
      <c r="VPC50" s="715"/>
      <c r="VPD50" s="715"/>
      <c r="VPE50" s="715"/>
      <c r="VPF50" s="715"/>
      <c r="VPG50" s="715"/>
      <c r="VPH50" s="715"/>
      <c r="VPI50" s="715"/>
      <c r="VPJ50" s="715"/>
      <c r="VPK50" s="715"/>
      <c r="VPL50" s="715"/>
      <c r="VPM50" s="715"/>
      <c r="VPN50" s="715"/>
      <c r="VPO50" s="715"/>
      <c r="VPP50" s="715"/>
      <c r="VPQ50" s="715"/>
      <c r="VPR50" s="715"/>
      <c r="VPS50" s="715"/>
      <c r="VPT50" s="715"/>
      <c r="VPU50" s="715"/>
      <c r="VPV50" s="715"/>
      <c r="VPW50" s="715"/>
      <c r="VPX50" s="715"/>
      <c r="VPY50" s="715"/>
      <c r="VPZ50" s="715"/>
      <c r="VQA50" s="715"/>
      <c r="VQB50" s="715"/>
      <c r="VQC50" s="715"/>
      <c r="VQD50" s="715"/>
      <c r="VQE50" s="715"/>
      <c r="VQF50" s="715"/>
      <c r="VQG50" s="715"/>
      <c r="VQH50" s="715"/>
      <c r="VQI50" s="715"/>
      <c r="VQJ50" s="715"/>
      <c r="VQK50" s="715"/>
      <c r="VQL50" s="715"/>
      <c r="VQM50" s="715"/>
      <c r="VQN50" s="715"/>
      <c r="VQO50" s="715"/>
      <c r="VQP50" s="715"/>
      <c r="VQQ50" s="715"/>
      <c r="VQR50" s="715"/>
      <c r="VQS50" s="715"/>
      <c r="VQT50" s="715"/>
      <c r="VQU50" s="715"/>
      <c r="VQV50" s="715"/>
      <c r="VQW50" s="715"/>
      <c r="VQX50" s="715"/>
      <c r="VQY50" s="715"/>
      <c r="VQZ50" s="715"/>
      <c r="VRA50" s="715"/>
      <c r="VRB50" s="715"/>
      <c r="VRC50" s="715"/>
      <c r="VRD50" s="715"/>
      <c r="VRE50" s="715"/>
      <c r="VRF50" s="715"/>
      <c r="VRG50" s="715"/>
      <c r="VRH50" s="715"/>
      <c r="VRI50" s="715"/>
      <c r="VRJ50" s="715"/>
      <c r="VRK50" s="715"/>
      <c r="VRL50" s="715"/>
      <c r="VRM50" s="715"/>
      <c r="VRN50" s="715"/>
      <c r="VRO50" s="715"/>
      <c r="VRP50" s="715"/>
      <c r="VRQ50" s="715"/>
      <c r="VRR50" s="715"/>
      <c r="VRS50" s="715"/>
      <c r="VRT50" s="715"/>
      <c r="VRU50" s="715"/>
      <c r="VRV50" s="715"/>
      <c r="VRW50" s="715"/>
      <c r="VRX50" s="715"/>
      <c r="VRY50" s="715"/>
      <c r="VRZ50" s="715"/>
      <c r="VSA50" s="715"/>
      <c r="VSB50" s="715"/>
      <c r="VSC50" s="715"/>
      <c r="VSD50" s="715"/>
      <c r="VSE50" s="715"/>
      <c r="VSF50" s="715"/>
      <c r="VSG50" s="715"/>
      <c r="VSH50" s="715"/>
      <c r="VSI50" s="715"/>
      <c r="VSJ50" s="715"/>
      <c r="VSK50" s="715"/>
      <c r="VSL50" s="715"/>
      <c r="VSM50" s="715"/>
      <c r="VSN50" s="715"/>
      <c r="VSO50" s="715"/>
      <c r="VSP50" s="715"/>
      <c r="VSQ50" s="715"/>
      <c r="VSR50" s="715"/>
      <c r="VSS50" s="715"/>
      <c r="VST50" s="715"/>
      <c r="VSU50" s="715"/>
      <c r="VSV50" s="715"/>
      <c r="VSW50" s="715"/>
      <c r="VSX50" s="715"/>
      <c r="VSY50" s="715"/>
      <c r="VSZ50" s="715"/>
      <c r="VTA50" s="715"/>
      <c r="VTB50" s="715"/>
      <c r="VTC50" s="715"/>
      <c r="VTD50" s="715"/>
      <c r="VTE50" s="715"/>
      <c r="VTF50" s="715"/>
      <c r="VTG50" s="715"/>
      <c r="VTH50" s="715"/>
      <c r="VTI50" s="715"/>
      <c r="VTJ50" s="715"/>
      <c r="VTK50" s="715"/>
      <c r="VTL50" s="715"/>
      <c r="VTM50" s="715"/>
      <c r="VTN50" s="715"/>
      <c r="VTO50" s="715"/>
      <c r="VTP50" s="715"/>
      <c r="VTQ50" s="715"/>
      <c r="VTR50" s="715"/>
      <c r="VTS50" s="715"/>
      <c r="VTT50" s="715"/>
      <c r="VTU50" s="715"/>
      <c r="VTV50" s="715"/>
      <c r="VTW50" s="715"/>
      <c r="VTX50" s="715"/>
      <c r="VTY50" s="715"/>
      <c r="VTZ50" s="715"/>
      <c r="VUA50" s="715"/>
      <c r="VUB50" s="715"/>
      <c r="VUC50" s="715"/>
      <c r="VUD50" s="715"/>
      <c r="VUE50" s="715"/>
      <c r="VUF50" s="715"/>
      <c r="VUG50" s="715"/>
      <c r="VUH50" s="715"/>
      <c r="VUI50" s="715"/>
      <c r="VUJ50" s="715"/>
      <c r="VUK50" s="715"/>
      <c r="VUL50" s="715"/>
      <c r="VUM50" s="715"/>
      <c r="VUN50" s="715"/>
      <c r="VUO50" s="715"/>
      <c r="VUP50" s="715"/>
      <c r="VUQ50" s="715"/>
      <c r="VUR50" s="715"/>
      <c r="VUS50" s="715"/>
      <c r="VUT50" s="715"/>
      <c r="VUU50" s="715"/>
      <c r="VUV50" s="715"/>
      <c r="VUW50" s="715"/>
      <c r="VUX50" s="715"/>
      <c r="VUY50" s="715"/>
      <c r="VUZ50" s="715"/>
      <c r="VVA50" s="715"/>
      <c r="VVB50" s="715"/>
      <c r="VVC50" s="715"/>
      <c r="VVD50" s="715"/>
      <c r="VVE50" s="715"/>
      <c r="VVF50" s="715"/>
      <c r="VVG50" s="715"/>
      <c r="VVH50" s="715"/>
      <c r="VVI50" s="715"/>
      <c r="VVJ50" s="715"/>
      <c r="VVK50" s="715"/>
      <c r="VVL50" s="715"/>
      <c r="VVM50" s="715"/>
      <c r="VVN50" s="715"/>
      <c r="VVO50" s="715"/>
      <c r="VVP50" s="715"/>
      <c r="VVQ50" s="715"/>
      <c r="VVR50" s="715"/>
      <c r="VVS50" s="715"/>
      <c r="VVT50" s="715"/>
      <c r="VVU50" s="715"/>
      <c r="VVV50" s="715"/>
      <c r="VVW50" s="715"/>
      <c r="VVX50" s="715"/>
      <c r="VVY50" s="715"/>
      <c r="VVZ50" s="715"/>
      <c r="VWA50" s="715"/>
      <c r="VWB50" s="715"/>
      <c r="VWC50" s="715"/>
      <c r="VWD50" s="715"/>
      <c r="VWE50" s="715"/>
      <c r="VWF50" s="715"/>
      <c r="VWG50" s="715"/>
      <c r="VWH50" s="715"/>
      <c r="VWI50" s="715"/>
      <c r="VWJ50" s="715"/>
      <c r="VWK50" s="715"/>
      <c r="VWL50" s="715"/>
      <c r="VWM50" s="715"/>
      <c r="VWN50" s="715"/>
      <c r="VWO50" s="715"/>
      <c r="VWP50" s="715"/>
      <c r="VWQ50" s="715"/>
      <c r="VWR50" s="715"/>
      <c r="VWS50" s="715"/>
      <c r="VWT50" s="715"/>
      <c r="VWU50" s="715"/>
      <c r="VWV50" s="715"/>
      <c r="VWW50" s="715"/>
      <c r="VWX50" s="715"/>
      <c r="VWY50" s="715"/>
      <c r="VWZ50" s="715"/>
      <c r="VXA50" s="715"/>
      <c r="VXB50" s="715"/>
      <c r="VXC50" s="715"/>
      <c r="VXD50" s="715"/>
      <c r="VXE50" s="715"/>
      <c r="VXF50" s="715"/>
      <c r="VXG50" s="715"/>
      <c r="VXH50" s="715"/>
      <c r="VXI50" s="715"/>
      <c r="VXJ50" s="715"/>
      <c r="VXK50" s="715"/>
      <c r="VXL50" s="715"/>
      <c r="VXM50" s="715"/>
      <c r="VXN50" s="715"/>
      <c r="VXO50" s="715"/>
      <c r="VXP50" s="715"/>
      <c r="VXQ50" s="715"/>
      <c r="VXR50" s="715"/>
      <c r="VXS50" s="715"/>
      <c r="VXT50" s="715"/>
      <c r="VXU50" s="715"/>
      <c r="VXV50" s="715"/>
      <c r="VXW50" s="715"/>
      <c r="VXX50" s="715"/>
      <c r="VXY50" s="715"/>
      <c r="VXZ50" s="715"/>
      <c r="VYA50" s="715"/>
      <c r="VYB50" s="715"/>
      <c r="VYC50" s="715"/>
      <c r="VYD50" s="715"/>
      <c r="VYE50" s="715"/>
      <c r="VYF50" s="715"/>
      <c r="VYG50" s="715"/>
      <c r="VYH50" s="715"/>
      <c r="VYI50" s="715"/>
      <c r="VYJ50" s="715"/>
      <c r="VYK50" s="715"/>
      <c r="VYL50" s="715"/>
      <c r="VYM50" s="715"/>
      <c r="VYN50" s="715"/>
      <c r="VYO50" s="715"/>
      <c r="VYP50" s="715"/>
      <c r="VYQ50" s="715"/>
      <c r="VYR50" s="715"/>
      <c r="VYS50" s="715"/>
      <c r="VYT50" s="715"/>
      <c r="VYU50" s="715"/>
      <c r="VYV50" s="715"/>
      <c r="VYW50" s="715"/>
      <c r="VYX50" s="715"/>
      <c r="VYY50" s="715"/>
      <c r="VYZ50" s="715"/>
      <c r="VZA50" s="715"/>
      <c r="VZB50" s="715"/>
      <c r="VZC50" s="715"/>
      <c r="VZD50" s="715"/>
      <c r="VZE50" s="715"/>
      <c r="VZF50" s="715"/>
      <c r="VZG50" s="715"/>
      <c r="VZH50" s="715"/>
      <c r="VZI50" s="715"/>
      <c r="VZJ50" s="715"/>
      <c r="VZK50" s="715"/>
      <c r="VZL50" s="715"/>
      <c r="VZM50" s="715"/>
      <c r="VZN50" s="715"/>
      <c r="VZO50" s="715"/>
      <c r="VZP50" s="715"/>
      <c r="VZQ50" s="715"/>
      <c r="VZR50" s="715"/>
      <c r="VZS50" s="715"/>
      <c r="VZT50" s="715"/>
      <c r="VZU50" s="715"/>
      <c r="VZV50" s="715"/>
      <c r="VZW50" s="715"/>
      <c r="VZX50" s="715"/>
      <c r="VZY50" s="715"/>
      <c r="VZZ50" s="715"/>
      <c r="WAA50" s="715"/>
      <c r="WAB50" s="715"/>
      <c r="WAC50" s="715"/>
      <c r="WAD50" s="715"/>
      <c r="WAE50" s="715"/>
      <c r="WAF50" s="715"/>
      <c r="WAG50" s="715"/>
      <c r="WAH50" s="715"/>
      <c r="WAI50" s="715"/>
      <c r="WAJ50" s="715"/>
      <c r="WAK50" s="715"/>
      <c r="WAL50" s="715"/>
      <c r="WAM50" s="715"/>
      <c r="WAN50" s="715"/>
      <c r="WAO50" s="715"/>
      <c r="WAP50" s="715"/>
      <c r="WAQ50" s="715"/>
      <c r="WAR50" s="715"/>
      <c r="WAS50" s="715"/>
      <c r="WAT50" s="715"/>
      <c r="WAU50" s="715"/>
      <c r="WAV50" s="715"/>
      <c r="WAW50" s="715"/>
      <c r="WAX50" s="715"/>
      <c r="WAY50" s="715"/>
      <c r="WAZ50" s="715"/>
      <c r="WBA50" s="715"/>
      <c r="WBB50" s="715"/>
      <c r="WBC50" s="715"/>
      <c r="WBD50" s="715"/>
      <c r="WBE50" s="715"/>
      <c r="WBF50" s="715"/>
      <c r="WBG50" s="715"/>
      <c r="WBH50" s="715"/>
      <c r="WBI50" s="715"/>
      <c r="WBJ50" s="715"/>
      <c r="WBK50" s="715"/>
      <c r="WBL50" s="715"/>
      <c r="WBM50" s="715"/>
      <c r="WBN50" s="715"/>
      <c r="WBO50" s="715"/>
      <c r="WBP50" s="715"/>
      <c r="WBQ50" s="715"/>
      <c r="WBR50" s="715"/>
      <c r="WBS50" s="715"/>
      <c r="WBT50" s="715"/>
      <c r="WBU50" s="715"/>
      <c r="WBV50" s="715"/>
      <c r="WBW50" s="715"/>
      <c r="WBX50" s="715"/>
      <c r="WBY50" s="715"/>
      <c r="WBZ50" s="715"/>
      <c r="WCA50" s="715"/>
      <c r="WCB50" s="715"/>
      <c r="WCC50" s="715"/>
      <c r="WCD50" s="715"/>
      <c r="WCE50" s="715"/>
      <c r="WCF50" s="715"/>
      <c r="WCG50" s="715"/>
      <c r="WCH50" s="715"/>
      <c r="WCI50" s="715"/>
      <c r="WCJ50" s="715"/>
      <c r="WCK50" s="715"/>
      <c r="WCL50" s="715"/>
      <c r="WCM50" s="715"/>
      <c r="WCN50" s="715"/>
      <c r="WCO50" s="715"/>
      <c r="WCP50" s="715"/>
      <c r="WCQ50" s="715"/>
      <c r="WCR50" s="715"/>
      <c r="WCS50" s="715"/>
      <c r="WCT50" s="715"/>
      <c r="WCU50" s="715"/>
      <c r="WCV50" s="715"/>
      <c r="WCW50" s="715"/>
      <c r="WCX50" s="715"/>
      <c r="WCY50" s="715"/>
      <c r="WCZ50" s="715"/>
      <c r="WDA50" s="715"/>
      <c r="WDB50" s="715"/>
      <c r="WDC50" s="715"/>
      <c r="WDD50" s="715"/>
      <c r="WDE50" s="715"/>
      <c r="WDF50" s="715"/>
      <c r="WDG50" s="715"/>
      <c r="WDH50" s="715"/>
      <c r="WDI50" s="715"/>
      <c r="WDJ50" s="715"/>
      <c r="WDK50" s="715"/>
      <c r="WDL50" s="715"/>
      <c r="WDM50" s="715"/>
      <c r="WDN50" s="715"/>
      <c r="WDO50" s="715"/>
      <c r="WDP50" s="715"/>
      <c r="WDQ50" s="715"/>
      <c r="WDR50" s="715"/>
      <c r="WDS50" s="715"/>
      <c r="WDT50" s="715"/>
      <c r="WDU50" s="715"/>
      <c r="WDV50" s="715"/>
      <c r="WDW50" s="715"/>
      <c r="WDX50" s="715"/>
      <c r="WDY50" s="715"/>
      <c r="WDZ50" s="715"/>
      <c r="WEA50" s="715"/>
      <c r="WEB50" s="715"/>
      <c r="WEC50" s="715"/>
      <c r="WED50" s="715"/>
      <c r="WEE50" s="715"/>
      <c r="WEF50" s="715"/>
      <c r="WEG50" s="715"/>
      <c r="WEH50" s="715"/>
      <c r="WEI50" s="715"/>
      <c r="WEJ50" s="715"/>
      <c r="WEK50" s="715"/>
      <c r="WEL50" s="715"/>
      <c r="WEM50" s="715"/>
      <c r="WEN50" s="715"/>
      <c r="WEO50" s="715"/>
      <c r="WEP50" s="715"/>
      <c r="WEQ50" s="715"/>
      <c r="WER50" s="715"/>
      <c r="WES50" s="715"/>
      <c r="WET50" s="715"/>
      <c r="WEU50" s="715"/>
      <c r="WEV50" s="715"/>
      <c r="WEW50" s="715"/>
      <c r="WEX50" s="715"/>
      <c r="WEY50" s="715"/>
      <c r="WEZ50" s="715"/>
      <c r="WFA50" s="715"/>
      <c r="WFB50" s="715"/>
      <c r="WFC50" s="715"/>
      <c r="WFD50" s="715"/>
      <c r="WFE50" s="715"/>
      <c r="WFF50" s="715"/>
      <c r="WFG50" s="715"/>
      <c r="WFH50" s="715"/>
      <c r="WFI50" s="715"/>
      <c r="WFJ50" s="715"/>
      <c r="WFK50" s="715"/>
      <c r="WFL50" s="715"/>
      <c r="WFM50" s="715"/>
      <c r="WFN50" s="715"/>
      <c r="WFO50" s="715"/>
      <c r="WFP50" s="715"/>
      <c r="WFQ50" s="715"/>
      <c r="WFR50" s="715"/>
      <c r="WFS50" s="715"/>
      <c r="WFT50" s="715"/>
      <c r="WFU50" s="715"/>
      <c r="WFV50" s="715"/>
      <c r="WFW50" s="715"/>
      <c r="WFX50" s="715"/>
      <c r="WFY50" s="715"/>
      <c r="WFZ50" s="715"/>
      <c r="WGA50" s="715"/>
      <c r="WGB50" s="715"/>
      <c r="WGC50" s="715"/>
      <c r="WGD50" s="715"/>
      <c r="WGE50" s="715"/>
      <c r="WGF50" s="715"/>
      <c r="WGG50" s="715"/>
      <c r="WGH50" s="715"/>
      <c r="WGI50" s="715"/>
      <c r="WGJ50" s="715"/>
      <c r="WGK50" s="715"/>
      <c r="WGL50" s="715"/>
      <c r="WGM50" s="715"/>
      <c r="WGN50" s="715"/>
      <c r="WGO50" s="715"/>
      <c r="WGP50" s="715"/>
      <c r="WGQ50" s="715"/>
      <c r="WGR50" s="715"/>
      <c r="WGS50" s="715"/>
      <c r="WGT50" s="715"/>
      <c r="WGU50" s="715"/>
      <c r="WGV50" s="715"/>
      <c r="WGW50" s="715"/>
      <c r="WGX50" s="715"/>
      <c r="WGY50" s="715"/>
      <c r="WGZ50" s="715"/>
      <c r="WHA50" s="715"/>
      <c r="WHB50" s="715"/>
      <c r="WHC50" s="715"/>
      <c r="WHD50" s="715"/>
      <c r="WHE50" s="715"/>
      <c r="WHF50" s="715"/>
      <c r="WHG50" s="715"/>
      <c r="WHH50" s="715"/>
      <c r="WHI50" s="715"/>
      <c r="WHJ50" s="715"/>
      <c r="WHK50" s="715"/>
      <c r="WHL50" s="715"/>
      <c r="WHM50" s="715"/>
      <c r="WHN50" s="715"/>
      <c r="WHO50" s="715"/>
      <c r="WHP50" s="715"/>
      <c r="WHQ50" s="715"/>
      <c r="WHR50" s="715"/>
      <c r="WHS50" s="715"/>
      <c r="WHT50" s="715"/>
      <c r="WHU50" s="715"/>
      <c r="WHV50" s="715"/>
      <c r="WHW50" s="715"/>
      <c r="WHX50" s="715"/>
      <c r="WHY50" s="715"/>
      <c r="WHZ50" s="715"/>
      <c r="WIA50" s="715"/>
      <c r="WIB50" s="715"/>
      <c r="WIC50" s="715"/>
      <c r="WID50" s="715"/>
      <c r="WIE50" s="715"/>
      <c r="WIF50" s="715"/>
      <c r="WIG50" s="715"/>
      <c r="WIH50" s="715"/>
      <c r="WII50" s="715"/>
      <c r="WIJ50" s="715"/>
      <c r="WIK50" s="715"/>
      <c r="WIL50" s="715"/>
      <c r="WIM50" s="715"/>
      <c r="WIN50" s="715"/>
      <c r="WIO50" s="715"/>
      <c r="WIP50" s="715"/>
      <c r="WIQ50" s="715"/>
      <c r="WIR50" s="715"/>
      <c r="WIS50" s="715"/>
      <c r="WIT50" s="715"/>
      <c r="WIU50" s="715"/>
      <c r="WIV50" s="715"/>
      <c r="WIW50" s="715"/>
      <c r="WIX50" s="715"/>
      <c r="WIY50" s="715"/>
      <c r="WIZ50" s="715"/>
      <c r="WJA50" s="715"/>
      <c r="WJB50" s="715"/>
      <c r="WJC50" s="715"/>
      <c r="WJD50" s="715"/>
      <c r="WJE50" s="715"/>
      <c r="WJF50" s="715"/>
      <c r="WJG50" s="715"/>
      <c r="WJH50" s="715"/>
      <c r="WJI50" s="715"/>
      <c r="WJJ50" s="715"/>
      <c r="WJK50" s="715"/>
      <c r="WJL50" s="715"/>
      <c r="WJM50" s="715"/>
      <c r="WJN50" s="715"/>
      <c r="WJO50" s="715"/>
      <c r="WJP50" s="715"/>
      <c r="WJQ50" s="715"/>
      <c r="WJR50" s="715"/>
      <c r="WJS50" s="715"/>
      <c r="WJT50" s="715"/>
      <c r="WJU50" s="715"/>
      <c r="WJV50" s="715"/>
      <c r="WJW50" s="715"/>
      <c r="WJX50" s="715"/>
      <c r="WJY50" s="715"/>
      <c r="WJZ50" s="715"/>
      <c r="WKA50" s="715"/>
      <c r="WKB50" s="715"/>
      <c r="WKC50" s="715"/>
      <c r="WKD50" s="715"/>
      <c r="WKE50" s="715"/>
      <c r="WKF50" s="715"/>
      <c r="WKG50" s="715"/>
      <c r="WKH50" s="715"/>
      <c r="WKI50" s="715"/>
      <c r="WKJ50" s="715"/>
      <c r="WKK50" s="715"/>
      <c r="WKL50" s="715"/>
      <c r="WKM50" s="715"/>
      <c r="WKN50" s="715"/>
      <c r="WKO50" s="715"/>
      <c r="WKP50" s="715"/>
      <c r="WKQ50" s="715"/>
      <c r="WKR50" s="715"/>
      <c r="WKS50" s="715"/>
      <c r="WKT50" s="715"/>
      <c r="WKU50" s="715"/>
      <c r="WKV50" s="715"/>
      <c r="WKW50" s="715"/>
      <c r="WKX50" s="715"/>
      <c r="WKY50" s="715"/>
      <c r="WKZ50" s="715"/>
      <c r="WLA50" s="715"/>
      <c r="WLB50" s="715"/>
      <c r="WLC50" s="715"/>
      <c r="WLD50" s="715"/>
      <c r="WLE50" s="715"/>
      <c r="WLF50" s="715"/>
      <c r="WLG50" s="715"/>
      <c r="WLH50" s="715"/>
      <c r="WLI50" s="715"/>
      <c r="WLJ50" s="715"/>
      <c r="WLK50" s="715"/>
      <c r="WLL50" s="715"/>
      <c r="WLM50" s="715"/>
      <c r="WLN50" s="715"/>
      <c r="WLO50" s="715"/>
      <c r="WLP50" s="715"/>
      <c r="WLQ50" s="715"/>
      <c r="WLR50" s="715"/>
      <c r="WLS50" s="715"/>
      <c r="WLT50" s="715"/>
      <c r="WLU50" s="715"/>
      <c r="WLV50" s="715"/>
      <c r="WLW50" s="715"/>
      <c r="WLX50" s="715"/>
      <c r="WLY50" s="715"/>
      <c r="WLZ50" s="715"/>
      <c r="WMA50" s="715"/>
      <c r="WMB50" s="715"/>
      <c r="WMC50" s="715"/>
      <c r="WMD50" s="715"/>
      <c r="WME50" s="715"/>
      <c r="WMF50" s="715"/>
      <c r="WMG50" s="715"/>
      <c r="WMH50" s="715"/>
      <c r="WMI50" s="715"/>
      <c r="WMJ50" s="715"/>
      <c r="WMK50" s="715"/>
      <c r="WML50" s="715"/>
      <c r="WMM50" s="715"/>
      <c r="WMN50" s="715"/>
      <c r="WMO50" s="715"/>
      <c r="WMP50" s="715"/>
      <c r="WMQ50" s="715"/>
      <c r="WMR50" s="715"/>
      <c r="WMS50" s="715"/>
      <c r="WMT50" s="715"/>
      <c r="WMU50" s="715"/>
      <c r="WMV50" s="715"/>
      <c r="WMW50" s="715"/>
      <c r="WMX50" s="715"/>
      <c r="WMY50" s="715"/>
      <c r="WMZ50" s="715"/>
      <c r="WNA50" s="715"/>
      <c r="WNB50" s="715"/>
      <c r="WNC50" s="715"/>
      <c r="WND50" s="715"/>
      <c r="WNE50" s="715"/>
      <c r="WNF50" s="715"/>
      <c r="WNG50" s="715"/>
      <c r="WNH50" s="715"/>
      <c r="WNI50" s="715"/>
      <c r="WNJ50" s="715"/>
      <c r="WNK50" s="715"/>
      <c r="WNL50" s="715"/>
      <c r="WNM50" s="715"/>
      <c r="WNN50" s="715"/>
      <c r="WNO50" s="715"/>
      <c r="WNP50" s="715"/>
      <c r="WNQ50" s="715"/>
      <c r="WNR50" s="715"/>
      <c r="WNS50" s="715"/>
      <c r="WNT50" s="715"/>
      <c r="WNU50" s="715"/>
      <c r="WNV50" s="715"/>
      <c r="WNW50" s="715"/>
      <c r="WNX50" s="715"/>
      <c r="WNY50" s="715"/>
      <c r="WNZ50" s="715"/>
      <c r="WOA50" s="715"/>
      <c r="WOB50" s="715"/>
      <c r="WOC50" s="715"/>
      <c r="WOD50" s="715"/>
      <c r="WOE50" s="715"/>
      <c r="WOF50" s="715"/>
      <c r="WOG50" s="715"/>
      <c r="WOH50" s="715"/>
      <c r="WOI50" s="715"/>
      <c r="WOJ50" s="715"/>
      <c r="WOK50" s="715"/>
      <c r="WOL50" s="715"/>
      <c r="WOM50" s="715"/>
      <c r="WON50" s="715"/>
      <c r="WOO50" s="715"/>
      <c r="WOP50" s="715"/>
      <c r="WOQ50" s="715"/>
      <c r="WOR50" s="715"/>
      <c r="WOS50" s="715"/>
      <c r="WOT50" s="715"/>
      <c r="WOU50" s="715"/>
      <c r="WOV50" s="715"/>
      <c r="WOW50" s="715"/>
      <c r="WOX50" s="715"/>
      <c r="WOY50" s="715"/>
      <c r="WOZ50" s="715"/>
      <c r="WPA50" s="715"/>
      <c r="WPB50" s="715"/>
      <c r="WPC50" s="715"/>
      <c r="WPD50" s="715"/>
      <c r="WPE50" s="715"/>
      <c r="WPF50" s="715"/>
      <c r="WPG50" s="715"/>
      <c r="WPH50" s="715"/>
      <c r="WPI50" s="715"/>
      <c r="WPJ50" s="715"/>
      <c r="WPK50" s="715"/>
      <c r="WPL50" s="715"/>
      <c r="WPM50" s="715"/>
      <c r="WPN50" s="715"/>
      <c r="WPO50" s="715"/>
      <c r="WPP50" s="715"/>
      <c r="WPQ50" s="715"/>
      <c r="WPR50" s="715"/>
      <c r="WPS50" s="715"/>
      <c r="WPT50" s="715"/>
      <c r="WPU50" s="715"/>
      <c r="WPV50" s="715"/>
      <c r="WPW50" s="715"/>
      <c r="WPX50" s="715"/>
      <c r="WPY50" s="715"/>
      <c r="WPZ50" s="715"/>
      <c r="WQA50" s="715"/>
      <c r="WQB50" s="715"/>
      <c r="WQC50" s="715"/>
      <c r="WQD50" s="715"/>
      <c r="WQE50" s="715"/>
      <c r="WQF50" s="715"/>
      <c r="WQG50" s="715"/>
      <c r="WQH50" s="715"/>
      <c r="WQI50" s="715"/>
      <c r="WQJ50" s="715"/>
      <c r="WQK50" s="715"/>
      <c r="WQL50" s="715"/>
      <c r="WQM50" s="715"/>
      <c r="WQN50" s="715"/>
      <c r="WQO50" s="715"/>
      <c r="WQP50" s="715"/>
      <c r="WQQ50" s="715"/>
      <c r="WQR50" s="715"/>
      <c r="WQS50" s="715"/>
      <c r="WQT50" s="715"/>
      <c r="WQU50" s="715"/>
      <c r="WQV50" s="715"/>
      <c r="WQW50" s="715"/>
      <c r="WQX50" s="715"/>
      <c r="WQY50" s="715"/>
      <c r="WQZ50" s="715"/>
      <c r="WRA50" s="715"/>
      <c r="WRB50" s="715"/>
      <c r="WRC50" s="715"/>
      <c r="WRD50" s="715"/>
      <c r="WRE50" s="715"/>
      <c r="WRF50" s="715"/>
      <c r="WRG50" s="715"/>
      <c r="WRH50" s="715"/>
      <c r="WRI50" s="715"/>
      <c r="WRJ50" s="715"/>
      <c r="WRK50" s="715"/>
      <c r="WRL50" s="715"/>
      <c r="WRM50" s="715"/>
      <c r="WRN50" s="715"/>
      <c r="WRO50" s="715"/>
      <c r="WRP50" s="715"/>
      <c r="WRQ50" s="715"/>
      <c r="WRR50" s="715"/>
      <c r="WRS50" s="715"/>
      <c r="WRT50" s="715"/>
      <c r="WRU50" s="715"/>
      <c r="WRV50" s="715"/>
      <c r="WRW50" s="715"/>
      <c r="WRX50" s="715"/>
      <c r="WRY50" s="715"/>
      <c r="WRZ50" s="715"/>
      <c r="WSA50" s="715"/>
      <c r="WSB50" s="715"/>
      <c r="WSC50" s="715"/>
      <c r="WSD50" s="715"/>
      <c r="WSE50" s="715"/>
      <c r="WSF50" s="715"/>
      <c r="WSG50" s="715"/>
      <c r="WSH50" s="715"/>
      <c r="WSI50" s="715"/>
      <c r="WSJ50" s="715"/>
      <c r="WSK50" s="715"/>
      <c r="WSL50" s="715"/>
      <c r="WSM50" s="715"/>
      <c r="WSN50" s="715"/>
      <c r="WSO50" s="715"/>
      <c r="WSP50" s="715"/>
      <c r="WSQ50" s="715"/>
      <c r="WSR50" s="715"/>
      <c r="WSS50" s="715"/>
      <c r="WST50" s="715"/>
      <c r="WSU50" s="715"/>
      <c r="WSV50" s="715"/>
      <c r="WSW50" s="715"/>
      <c r="WSX50" s="715"/>
      <c r="WSY50" s="715"/>
      <c r="WSZ50" s="715"/>
      <c r="WTA50" s="715"/>
      <c r="WTB50" s="715"/>
      <c r="WTC50" s="715"/>
      <c r="WTD50" s="715"/>
      <c r="WTE50" s="715"/>
      <c r="WTF50" s="715"/>
      <c r="WTG50" s="715"/>
      <c r="WTH50" s="715"/>
      <c r="WTI50" s="715"/>
      <c r="WTJ50" s="715"/>
      <c r="WTK50" s="715"/>
      <c r="WTL50" s="715"/>
      <c r="WTM50" s="715"/>
      <c r="WTN50" s="715"/>
      <c r="WTO50" s="715"/>
      <c r="WTP50" s="715"/>
      <c r="WTQ50" s="715"/>
      <c r="WTR50" s="715"/>
      <c r="WTS50" s="715"/>
      <c r="WTT50" s="715"/>
      <c r="WTU50" s="715"/>
      <c r="WTV50" s="715"/>
      <c r="WTW50" s="715"/>
      <c r="WTX50" s="715"/>
      <c r="WTY50" s="715"/>
      <c r="WTZ50" s="715"/>
      <c r="WUA50" s="715"/>
      <c r="WUB50" s="715"/>
      <c r="WUC50" s="715"/>
      <c r="WUD50" s="715"/>
      <c r="WUE50" s="715"/>
      <c r="WUF50" s="715"/>
      <c r="WUG50" s="715"/>
      <c r="WUH50" s="715"/>
      <c r="WUI50" s="715"/>
      <c r="WUJ50" s="715"/>
      <c r="WUK50" s="715"/>
      <c r="WUL50" s="715"/>
      <c r="WUM50" s="715"/>
      <c r="WUN50" s="715"/>
      <c r="WUO50" s="715"/>
      <c r="WUP50" s="715"/>
      <c r="WUQ50" s="715"/>
      <c r="WUR50" s="715"/>
      <c r="WUS50" s="715"/>
      <c r="WUT50" s="715"/>
      <c r="WUU50" s="715"/>
      <c r="WUV50" s="715"/>
      <c r="WUW50" s="715"/>
      <c r="WUX50" s="715"/>
      <c r="WUY50" s="715"/>
      <c r="WUZ50" s="715"/>
      <c r="WVA50" s="715"/>
      <c r="WVB50" s="715"/>
      <c r="WVC50" s="715"/>
      <c r="WVD50" s="715"/>
      <c r="WVE50" s="715"/>
      <c r="WVF50" s="715"/>
      <c r="WVG50" s="715"/>
      <c r="WVH50" s="715"/>
      <c r="WVI50" s="715"/>
      <c r="WVJ50" s="715"/>
      <c r="WVK50" s="715"/>
      <c r="WVL50" s="715"/>
      <c r="WVM50" s="715"/>
      <c r="WVN50" s="715"/>
      <c r="WVO50" s="715"/>
      <c r="WVP50" s="715"/>
      <c r="WVQ50" s="715"/>
      <c r="WVR50" s="715"/>
      <c r="WVS50" s="715"/>
      <c r="WVT50" s="715"/>
      <c r="WVU50" s="715"/>
      <c r="WVV50" s="715"/>
      <c r="WVW50" s="715"/>
      <c r="WVX50" s="715"/>
      <c r="WVY50" s="715"/>
      <c r="WVZ50" s="715"/>
      <c r="WWA50" s="715"/>
      <c r="WWB50" s="715"/>
      <c r="WWC50" s="715"/>
      <c r="WWD50" s="715"/>
      <c r="WWE50" s="715"/>
      <c r="WWF50" s="715"/>
      <c r="WWG50" s="715"/>
      <c r="WWH50" s="715"/>
      <c r="WWI50" s="715"/>
      <c r="WWJ50" s="715"/>
      <c r="WWK50" s="715"/>
      <c r="WWL50" s="715"/>
      <c r="WWM50" s="715"/>
      <c r="WWN50" s="715"/>
      <c r="WWO50" s="715"/>
      <c r="WWP50" s="715"/>
      <c r="WWQ50" s="715"/>
      <c r="WWR50" s="715"/>
      <c r="WWS50" s="715"/>
      <c r="WWT50" s="715"/>
      <c r="WWU50" s="715"/>
      <c r="WWV50" s="715"/>
      <c r="WWW50" s="715"/>
      <c r="WWX50" s="715"/>
      <c r="WWY50" s="715"/>
      <c r="WWZ50" s="715"/>
      <c r="WXA50" s="715"/>
      <c r="WXB50" s="715"/>
      <c r="WXC50" s="715"/>
      <c r="WXD50" s="715"/>
      <c r="WXE50" s="715"/>
      <c r="WXF50" s="715"/>
      <c r="WXG50" s="715"/>
      <c r="WXH50" s="715"/>
      <c r="WXI50" s="715"/>
      <c r="WXJ50" s="715"/>
      <c r="WXK50" s="715"/>
      <c r="WXL50" s="715"/>
      <c r="WXM50" s="715"/>
      <c r="WXN50" s="715"/>
      <c r="WXO50" s="715"/>
      <c r="WXP50" s="715"/>
      <c r="WXQ50" s="715"/>
      <c r="WXR50" s="715"/>
      <c r="WXS50" s="715"/>
      <c r="WXT50" s="715"/>
      <c r="WXU50" s="715"/>
      <c r="WXV50" s="715"/>
      <c r="WXW50" s="715"/>
      <c r="WXX50" s="715"/>
      <c r="WXY50" s="715"/>
      <c r="WXZ50" s="715"/>
      <c r="WYA50" s="715"/>
      <c r="WYB50" s="715"/>
      <c r="WYC50" s="715"/>
      <c r="WYD50" s="715"/>
      <c r="WYE50" s="715"/>
      <c r="WYF50" s="715"/>
      <c r="WYG50" s="715"/>
      <c r="WYH50" s="715"/>
      <c r="WYI50" s="715"/>
      <c r="WYJ50" s="715"/>
      <c r="WYK50" s="715"/>
      <c r="WYL50" s="715"/>
      <c r="WYM50" s="715"/>
      <c r="WYN50" s="715"/>
      <c r="WYO50" s="715"/>
      <c r="WYP50" s="715"/>
      <c r="WYQ50" s="715"/>
      <c r="WYR50" s="715"/>
      <c r="WYS50" s="715"/>
      <c r="WYT50" s="715"/>
      <c r="WYU50" s="715"/>
      <c r="WYV50" s="715"/>
      <c r="WYW50" s="715"/>
      <c r="WYX50" s="715"/>
      <c r="WYY50" s="715"/>
      <c r="WYZ50" s="715"/>
      <c r="WZA50" s="715"/>
      <c r="WZB50" s="715"/>
      <c r="WZC50" s="715"/>
      <c r="WZD50" s="715"/>
      <c r="WZE50" s="715"/>
      <c r="WZF50" s="715"/>
      <c r="WZG50" s="715"/>
      <c r="WZH50" s="715"/>
      <c r="WZI50" s="715"/>
      <c r="WZJ50" s="715"/>
      <c r="WZK50" s="715"/>
      <c r="WZL50" s="715"/>
      <c r="WZM50" s="715"/>
      <c r="WZN50" s="715"/>
      <c r="WZO50" s="715"/>
      <c r="WZP50" s="715"/>
      <c r="WZQ50" s="715"/>
      <c r="WZR50" s="715"/>
      <c r="WZS50" s="715"/>
      <c r="WZT50" s="715"/>
      <c r="WZU50" s="715"/>
      <c r="WZV50" s="715"/>
      <c r="WZW50" s="715"/>
      <c r="WZX50" s="715"/>
      <c r="WZY50" s="715"/>
      <c r="WZZ50" s="715"/>
      <c r="XAA50" s="715"/>
      <c r="XAB50" s="715"/>
      <c r="XAC50" s="715"/>
      <c r="XAD50" s="715"/>
      <c r="XAE50" s="715"/>
      <c r="XAF50" s="715"/>
      <c r="XAG50" s="715"/>
      <c r="XAH50" s="715"/>
      <c r="XAI50" s="715"/>
      <c r="XAJ50" s="715"/>
      <c r="XAK50" s="715"/>
      <c r="XAL50" s="715"/>
      <c r="XAM50" s="715"/>
      <c r="XAN50" s="715"/>
      <c r="XAO50" s="715"/>
      <c r="XAP50" s="715"/>
      <c r="XAQ50" s="715"/>
      <c r="XAR50" s="715"/>
      <c r="XAS50" s="715"/>
      <c r="XAT50" s="715"/>
      <c r="XAU50" s="715"/>
      <c r="XAV50" s="715"/>
      <c r="XAW50" s="715"/>
      <c r="XAX50" s="715"/>
      <c r="XAY50" s="715"/>
      <c r="XAZ50" s="715"/>
      <c r="XBA50" s="715"/>
      <c r="XBB50" s="715"/>
      <c r="XBC50" s="715"/>
      <c r="XBD50" s="715"/>
      <c r="XBE50" s="715"/>
      <c r="XBF50" s="715"/>
      <c r="XBG50" s="715"/>
      <c r="XBH50" s="715"/>
      <c r="XBI50" s="715"/>
      <c r="XBJ50" s="715"/>
      <c r="XBK50" s="715"/>
      <c r="XBL50" s="715"/>
      <c r="XBM50" s="715"/>
      <c r="XBN50" s="715"/>
      <c r="XBO50" s="715"/>
      <c r="XBP50" s="715"/>
      <c r="XBQ50" s="715"/>
      <c r="XBR50" s="715"/>
      <c r="XBS50" s="715"/>
      <c r="XBT50" s="715"/>
      <c r="XBU50" s="715"/>
      <c r="XBV50" s="715"/>
      <c r="XBW50" s="715"/>
      <c r="XBX50" s="715"/>
      <c r="XBY50" s="715"/>
      <c r="XBZ50" s="715"/>
      <c r="XCA50" s="715"/>
      <c r="XCB50" s="715"/>
      <c r="XCC50" s="715"/>
      <c r="XCD50" s="715"/>
      <c r="XCE50" s="715"/>
      <c r="XCF50" s="715"/>
      <c r="XCG50" s="715"/>
      <c r="XCH50" s="715"/>
      <c r="XCI50" s="715"/>
      <c r="XCJ50" s="715"/>
      <c r="XCK50" s="715"/>
      <c r="XCL50" s="715"/>
      <c r="XCM50" s="715"/>
      <c r="XCN50" s="715"/>
      <c r="XCO50" s="715"/>
      <c r="XCP50" s="715"/>
      <c r="XCQ50" s="715"/>
      <c r="XCR50" s="715"/>
      <c r="XCS50" s="715"/>
      <c r="XCT50" s="715"/>
      <c r="XCU50" s="715"/>
      <c r="XCV50" s="715"/>
      <c r="XCW50" s="715"/>
      <c r="XCX50" s="715"/>
      <c r="XCY50" s="715"/>
      <c r="XCZ50" s="715"/>
      <c r="XDA50" s="715"/>
      <c r="XDB50" s="715"/>
      <c r="XDC50" s="715"/>
      <c r="XDD50" s="715"/>
      <c r="XDE50" s="715"/>
      <c r="XDF50" s="715"/>
      <c r="XDG50" s="715"/>
      <c r="XDH50" s="715"/>
      <c r="XDI50" s="715"/>
      <c r="XDJ50" s="715"/>
      <c r="XDK50" s="715"/>
      <c r="XDL50" s="715"/>
      <c r="XDM50" s="715"/>
      <c r="XDN50" s="715"/>
      <c r="XDO50" s="715"/>
      <c r="XDP50" s="715"/>
      <c r="XDQ50" s="715"/>
      <c r="XDR50" s="715"/>
      <c r="XDS50" s="715"/>
      <c r="XDT50" s="715"/>
      <c r="XDU50" s="715"/>
      <c r="XDV50" s="715"/>
      <c r="XDW50" s="715"/>
      <c r="XDX50" s="715"/>
      <c r="XDY50" s="715"/>
      <c r="XDZ50" s="715"/>
      <c r="XEA50" s="715"/>
      <c r="XEB50" s="715"/>
      <c r="XEC50" s="715"/>
      <c r="XED50" s="715"/>
      <c r="XEE50" s="715"/>
      <c r="XEF50" s="715"/>
      <c r="XEG50" s="715"/>
      <c r="XEH50" s="715"/>
      <c r="XEI50" s="715"/>
      <c r="XEJ50" s="715"/>
      <c r="XEK50" s="715"/>
      <c r="XEL50" s="715"/>
      <c r="XEM50" s="715"/>
      <c r="XEN50" s="715"/>
      <c r="XEO50" s="715"/>
      <c r="XEP50" s="715"/>
      <c r="XEQ50" s="715"/>
      <c r="XER50" s="715"/>
      <c r="XES50" s="715"/>
      <c r="XET50" s="715"/>
      <c r="XEU50" s="715"/>
      <c r="XEV50" s="715"/>
      <c r="XEW50" s="715"/>
      <c r="XEX50" s="715"/>
      <c r="XEY50" s="715"/>
      <c r="XEZ50" s="715"/>
      <c r="XFA50" s="715"/>
      <c r="XFB50" s="715"/>
      <c r="XFC50" s="715"/>
    </row>
    <row r="51" spans="1:16383" ht="20.149999999999999" customHeight="1">
      <c r="A51" s="91"/>
      <c r="B51" s="315"/>
      <c r="C51" s="316"/>
      <c r="D51" s="1028"/>
      <c r="E51" s="1029"/>
      <c r="F51" s="1029"/>
      <c r="G51" s="1029"/>
      <c r="H51" s="1029"/>
      <c r="I51" s="1029"/>
      <c r="J51" s="1029"/>
      <c r="K51" s="1029"/>
      <c r="L51" s="1029"/>
      <c r="M51" s="1029"/>
      <c r="N51" s="1030"/>
      <c r="O51" s="714"/>
      <c r="P51" s="714"/>
      <c r="Q51" s="714"/>
      <c r="R51" s="714"/>
      <c r="S51" s="12"/>
      <c r="T51" s="92"/>
      <c r="U51" s="170"/>
      <c r="V51" s="170"/>
      <c r="W51" s="170"/>
      <c r="X51" s="170"/>
      <c r="Y51" s="170"/>
      <c r="Z51" s="170"/>
      <c r="AA51" s="170"/>
      <c r="AB51" s="170"/>
      <c r="AC51" s="170"/>
      <c r="AD51" s="170"/>
      <c r="AE51" s="170"/>
      <c r="AF51" s="170"/>
      <c r="AG51" s="170"/>
      <c r="AH51" s="170"/>
      <c r="AI51" s="92"/>
      <c r="AJ51" s="47"/>
    </row>
    <row r="52" spans="1:16383" ht="20.149999999999999" customHeight="1">
      <c r="A52" s="91"/>
      <c r="B52" s="315"/>
      <c r="C52" s="316"/>
      <c r="D52" s="1031"/>
      <c r="E52" s="1032"/>
      <c r="F52" s="1032"/>
      <c r="G52" s="1032"/>
      <c r="H52" s="1032"/>
      <c r="I52" s="1032"/>
      <c r="J52" s="1032"/>
      <c r="K52" s="1032"/>
      <c r="L52" s="1032"/>
      <c r="M52" s="1032"/>
      <c r="N52" s="1033"/>
      <c r="O52" s="714"/>
      <c r="P52" s="714"/>
      <c r="Q52" s="714"/>
      <c r="R52" s="714"/>
      <c r="S52" s="12"/>
      <c r="T52" s="92"/>
      <c r="U52" s="170"/>
      <c r="V52" s="170"/>
      <c r="W52" s="170"/>
      <c r="X52" s="170"/>
      <c r="Y52" s="170"/>
      <c r="Z52" s="170"/>
      <c r="AA52" s="170"/>
      <c r="AB52" s="170"/>
      <c r="AC52" s="170"/>
      <c r="AD52" s="170"/>
      <c r="AE52" s="170"/>
      <c r="AF52" s="170"/>
      <c r="AG52" s="170"/>
      <c r="AH52" s="170"/>
      <c r="AI52" s="92"/>
      <c r="AJ52" s="47"/>
    </row>
    <row r="53" spans="1:16383" ht="20.149999999999999" customHeight="1">
      <c r="A53" s="91"/>
      <c r="B53" s="315"/>
      <c r="C53" s="316"/>
      <c r="D53" s="1031"/>
      <c r="E53" s="1032"/>
      <c r="F53" s="1032"/>
      <c r="G53" s="1032"/>
      <c r="H53" s="1032"/>
      <c r="I53" s="1032"/>
      <c r="J53" s="1032"/>
      <c r="K53" s="1032"/>
      <c r="L53" s="1032"/>
      <c r="M53" s="1032"/>
      <c r="N53" s="1033"/>
      <c r="O53" s="714"/>
      <c r="P53" s="714"/>
      <c r="Q53" s="714"/>
      <c r="R53" s="714"/>
      <c r="S53" s="12"/>
      <c r="T53" s="92"/>
      <c r="U53" s="170"/>
      <c r="V53" s="176"/>
      <c r="W53" s="170"/>
      <c r="X53" s="170"/>
      <c r="Y53" s="170"/>
      <c r="Z53" s="170"/>
      <c r="AA53" s="170"/>
      <c r="AB53" s="170"/>
      <c r="AC53" s="170"/>
      <c r="AD53" s="170"/>
      <c r="AE53" s="170"/>
      <c r="AF53" s="170"/>
      <c r="AG53" s="170"/>
      <c r="AH53" s="170"/>
      <c r="AI53" s="92"/>
      <c r="AJ53" s="47"/>
    </row>
    <row r="54" spans="1:16383" ht="20.149999999999999" customHeight="1">
      <c r="A54" s="91"/>
      <c r="B54" s="315"/>
      <c r="C54" s="316"/>
      <c r="D54" s="1031"/>
      <c r="E54" s="1032"/>
      <c r="F54" s="1032"/>
      <c r="G54" s="1032"/>
      <c r="H54" s="1032"/>
      <c r="I54" s="1032"/>
      <c r="J54" s="1032"/>
      <c r="K54" s="1032"/>
      <c r="L54" s="1032"/>
      <c r="M54" s="1032"/>
      <c r="N54" s="1033"/>
      <c r="O54" s="714"/>
      <c r="P54" s="714"/>
      <c r="Q54" s="714"/>
      <c r="R54" s="714"/>
      <c r="S54" s="12"/>
      <c r="T54" s="92"/>
      <c r="U54" s="170"/>
      <c r="V54" s="170"/>
      <c r="W54" s="170"/>
      <c r="X54" s="170"/>
      <c r="Y54" s="170"/>
      <c r="Z54" s="170"/>
      <c r="AA54" s="170"/>
      <c r="AB54" s="170"/>
      <c r="AC54" s="170"/>
      <c r="AD54" s="170"/>
      <c r="AE54" s="170"/>
      <c r="AF54" s="170"/>
      <c r="AG54" s="170"/>
      <c r="AH54" s="170"/>
      <c r="AI54" s="92"/>
      <c r="AJ54" s="47"/>
    </row>
    <row r="55" spans="1:16383" ht="20.149999999999999" customHeight="1">
      <c r="A55" s="91"/>
      <c r="B55" s="315"/>
      <c r="C55" s="316"/>
      <c r="D55" s="1031"/>
      <c r="E55" s="1032"/>
      <c r="F55" s="1032"/>
      <c r="G55" s="1032"/>
      <c r="H55" s="1032"/>
      <c r="I55" s="1032"/>
      <c r="J55" s="1032"/>
      <c r="K55" s="1032"/>
      <c r="L55" s="1032"/>
      <c r="M55" s="1032"/>
      <c r="N55" s="1033"/>
      <c r="O55" s="714"/>
      <c r="P55" s="714"/>
      <c r="Q55" s="714"/>
      <c r="R55" s="714"/>
      <c r="S55" s="12"/>
      <c r="T55" s="92"/>
      <c r="U55" s="170"/>
      <c r="V55" s="177"/>
      <c r="W55" s="178"/>
      <c r="X55" s="178"/>
      <c r="Y55" s="178"/>
      <c r="Z55" s="178"/>
      <c r="AA55" s="170"/>
      <c r="AB55" s="179"/>
      <c r="AC55" s="180"/>
      <c r="AD55" s="98"/>
      <c r="AE55" s="98"/>
      <c r="AF55" s="98"/>
      <c r="AG55" s="170"/>
      <c r="AH55" s="170"/>
      <c r="AI55" s="92"/>
      <c r="AJ55" s="47"/>
    </row>
    <row r="56" spans="1:16383" ht="20.149999999999999" customHeight="1">
      <c r="A56" s="91"/>
      <c r="B56" s="315"/>
      <c r="C56" s="316"/>
      <c r="D56" s="1031"/>
      <c r="E56" s="1032"/>
      <c r="F56" s="1032"/>
      <c r="G56" s="1032"/>
      <c r="H56" s="1032"/>
      <c r="I56" s="1032"/>
      <c r="J56" s="1032"/>
      <c r="K56" s="1032"/>
      <c r="L56" s="1032"/>
      <c r="M56" s="1032"/>
      <c r="N56" s="1033"/>
      <c r="O56" s="714"/>
      <c r="P56" s="714"/>
      <c r="Q56" s="714"/>
      <c r="R56" s="714"/>
      <c r="S56" s="12"/>
      <c r="T56" s="92"/>
      <c r="U56" s="170"/>
      <c r="V56" s="181"/>
      <c r="W56" s="170"/>
      <c r="X56" s="170"/>
      <c r="Y56" s="170"/>
      <c r="Z56" s="170"/>
      <c r="AA56" s="170"/>
      <c r="AB56" s="179"/>
      <c r="AC56" s="179"/>
      <c r="AD56" s="170"/>
      <c r="AE56" s="177"/>
      <c r="AF56" s="182"/>
      <c r="AG56" s="170"/>
      <c r="AH56" s="170"/>
      <c r="AI56" s="92"/>
      <c r="AJ56" s="47"/>
    </row>
    <row r="57" spans="1:16383" ht="20.149999999999999" customHeight="1">
      <c r="A57" s="91"/>
      <c r="B57" s="315"/>
      <c r="C57" s="316"/>
      <c r="D57" s="1034"/>
      <c r="E57" s="1035"/>
      <c r="F57" s="1035"/>
      <c r="G57" s="1035"/>
      <c r="H57" s="1035"/>
      <c r="I57" s="1035"/>
      <c r="J57" s="1035"/>
      <c r="K57" s="1035"/>
      <c r="L57" s="1035"/>
      <c r="M57" s="1035"/>
      <c r="N57" s="1036"/>
      <c r="O57" s="713"/>
      <c r="P57" s="714"/>
      <c r="Q57" s="714"/>
      <c r="R57" s="714"/>
      <c r="S57" s="12"/>
      <c r="T57" s="92"/>
      <c r="U57" s="170"/>
      <c r="V57" s="177"/>
      <c r="W57" s="183"/>
      <c r="X57" s="170"/>
      <c r="Y57" s="177"/>
      <c r="Z57" s="184"/>
      <c r="AA57" s="170"/>
      <c r="AB57" s="179"/>
      <c r="AC57" s="177"/>
      <c r="AD57" s="184"/>
      <c r="AE57" s="177"/>
      <c r="AF57" s="170"/>
      <c r="AG57" s="170"/>
      <c r="AH57" s="170"/>
      <c r="AI57" s="92"/>
      <c r="AJ57" s="47"/>
    </row>
    <row r="58" spans="1:16383" ht="20.149999999999999" customHeight="1">
      <c r="A58" s="91"/>
      <c r="B58" s="315"/>
      <c r="C58" s="316"/>
      <c r="D58" s="316"/>
      <c r="E58" s="316"/>
      <c r="F58" s="316"/>
      <c r="G58" s="316"/>
      <c r="H58" s="316"/>
      <c r="I58" s="316"/>
      <c r="J58" s="316"/>
      <c r="K58" s="316"/>
      <c r="L58" s="316"/>
      <c r="M58" s="316"/>
      <c r="N58" s="316"/>
      <c r="O58" s="316"/>
      <c r="P58" s="316"/>
      <c r="Q58" s="316"/>
      <c r="R58" s="316"/>
      <c r="S58" s="12"/>
      <c r="T58" s="92"/>
      <c r="U58" s="170"/>
      <c r="V58" s="185"/>
      <c r="W58" s="170"/>
      <c r="X58" s="170"/>
      <c r="Y58" s="170"/>
      <c r="Z58" s="170"/>
      <c r="AA58" s="170"/>
      <c r="AB58" s="179"/>
      <c r="AC58" s="179"/>
      <c r="AD58" s="170"/>
      <c r="AE58" s="179"/>
      <c r="AF58" s="179"/>
      <c r="AG58" s="170"/>
      <c r="AH58" s="170"/>
      <c r="AI58" s="92"/>
      <c r="AJ58" s="47"/>
    </row>
    <row r="59" spans="1:16383" ht="20.149999999999999" customHeight="1">
      <c r="A59" s="91"/>
      <c r="B59" s="315"/>
      <c r="C59" s="316"/>
      <c r="D59" s="316"/>
      <c r="E59" s="316"/>
      <c r="F59" s="316"/>
      <c r="G59" s="316"/>
      <c r="H59" s="316"/>
      <c r="I59" s="316"/>
      <c r="J59" s="316"/>
      <c r="K59" s="316"/>
      <c r="L59" s="316"/>
      <c r="M59" s="316"/>
      <c r="N59" s="316"/>
      <c r="O59" s="316"/>
      <c r="P59" s="316"/>
      <c r="Q59" s="316"/>
      <c r="R59" s="316"/>
      <c r="S59" s="12"/>
      <c r="T59" s="92"/>
      <c r="U59" s="170"/>
      <c r="V59" s="177"/>
      <c r="W59" s="178"/>
      <c r="X59" s="99"/>
      <c r="Y59" s="177"/>
      <c r="Z59" s="186"/>
      <c r="AA59" s="98"/>
      <c r="AB59" s="98"/>
      <c r="AC59" s="98"/>
      <c r="AD59" s="187"/>
      <c r="AE59" s="97"/>
      <c r="AF59" s="188"/>
      <c r="AG59" s="99"/>
      <c r="AH59" s="170"/>
      <c r="AI59" s="92"/>
      <c r="AJ59" s="47"/>
    </row>
    <row r="60" spans="1:16383" s="395" customFormat="1" ht="20.149999999999999" customHeight="1" thickBot="1">
      <c r="A60" s="82"/>
      <c r="B60" s="757" t="str">
        <f>IF($H$29="","",$H$29)</f>
        <v/>
      </c>
      <c r="C60" s="501"/>
      <c r="D60" s="501"/>
      <c r="E60" s="501"/>
      <c r="F60" s="501"/>
      <c r="G60" s="501"/>
      <c r="H60" s="501"/>
      <c r="I60" s="501"/>
      <c r="J60" s="501"/>
      <c r="K60" s="501"/>
      <c r="L60" s="779"/>
      <c r="M60" s="793"/>
      <c r="N60" s="794"/>
      <c r="O60" s="795"/>
      <c r="P60" s="795"/>
      <c r="Q60" s="795"/>
      <c r="R60" s="795"/>
      <c r="S60" s="753" t="s">
        <v>922</v>
      </c>
      <c r="T60" s="393"/>
      <c r="U60" s="796"/>
      <c r="V60" s="797"/>
      <c r="W60" s="796"/>
      <c r="X60" s="796"/>
      <c r="Y60" s="796"/>
      <c r="Z60" s="796"/>
      <c r="AA60" s="796"/>
      <c r="AB60" s="798"/>
      <c r="AC60" s="798"/>
      <c r="AD60" s="796"/>
      <c r="AE60" s="799"/>
      <c r="AF60" s="800"/>
      <c r="AG60" s="796"/>
      <c r="AH60" s="796"/>
      <c r="AI60" s="393"/>
      <c r="AJ60" s="394"/>
    </row>
    <row r="61" spans="1:16383" hidden="1">
      <c r="A61" s="47"/>
      <c r="B61" s="47"/>
      <c r="C61" s="47"/>
      <c r="D61" s="47"/>
      <c r="E61" s="47"/>
      <c r="F61" s="47"/>
      <c r="G61" s="47"/>
      <c r="H61" s="47"/>
      <c r="I61" s="47"/>
      <c r="J61" s="47"/>
      <c r="K61" s="47"/>
      <c r="L61" s="47"/>
      <c r="M61" s="47"/>
      <c r="N61" s="47"/>
      <c r="O61" s="47"/>
      <c r="P61" s="47"/>
      <c r="Q61" s="47"/>
      <c r="R61" s="47"/>
      <c r="S61" s="47"/>
      <c r="T61" s="92"/>
      <c r="U61" s="170"/>
      <c r="V61" s="175"/>
      <c r="W61" s="170"/>
      <c r="X61" s="170"/>
      <c r="Y61" s="170"/>
      <c r="Z61" s="189"/>
      <c r="AA61" s="100"/>
      <c r="AB61" s="100"/>
      <c r="AC61" s="100"/>
      <c r="AD61" s="170"/>
      <c r="AE61" s="177"/>
      <c r="AF61" s="182"/>
      <c r="AG61" s="170"/>
      <c r="AH61" s="170"/>
      <c r="AI61" s="92"/>
      <c r="AJ61" s="47"/>
    </row>
    <row r="62" spans="1:16383" hidden="1">
      <c r="A62" s="47"/>
      <c r="B62" s="47"/>
      <c r="C62" s="47"/>
      <c r="D62" s="47"/>
      <c r="E62" s="47"/>
      <c r="F62" s="47"/>
      <c r="G62" s="47"/>
      <c r="H62" s="47"/>
      <c r="I62" s="47"/>
      <c r="J62" s="47"/>
      <c r="K62" s="47"/>
      <c r="L62" s="47"/>
      <c r="M62" s="47"/>
      <c r="N62" s="47"/>
      <c r="O62" s="47"/>
      <c r="P62" s="47"/>
      <c r="Q62" s="47"/>
      <c r="R62" s="47"/>
      <c r="S62" s="47"/>
      <c r="T62" s="92"/>
      <c r="U62" s="170"/>
      <c r="V62" s="181"/>
      <c r="W62" s="170"/>
      <c r="X62" s="170"/>
      <c r="Y62" s="170"/>
      <c r="Z62" s="170"/>
      <c r="AA62" s="170"/>
      <c r="AB62" s="179"/>
      <c r="AC62" s="179"/>
      <c r="AD62" s="170"/>
      <c r="AE62" s="177"/>
      <c r="AF62" s="182"/>
      <c r="AG62" s="170"/>
      <c r="AH62" s="170"/>
      <c r="AI62" s="92"/>
      <c r="AJ62" s="47"/>
    </row>
    <row r="63" spans="1:16383" hidden="1">
      <c r="A63" s="47"/>
      <c r="B63" s="47"/>
      <c r="C63" s="47"/>
      <c r="D63" s="47"/>
      <c r="E63" s="47"/>
      <c r="F63" s="47"/>
      <c r="G63" s="47"/>
      <c r="H63" s="47"/>
      <c r="I63" s="47"/>
      <c r="J63" s="47"/>
      <c r="K63" s="47"/>
      <c r="L63" s="47"/>
      <c r="M63" s="47"/>
      <c r="N63" s="47"/>
      <c r="O63" s="47"/>
      <c r="P63" s="47"/>
      <c r="Q63" s="47"/>
      <c r="R63" s="47"/>
      <c r="S63" s="47"/>
      <c r="T63" s="92"/>
      <c r="U63" s="190"/>
      <c r="V63" s="191"/>
      <c r="W63" s="170"/>
      <c r="X63" s="170"/>
      <c r="Y63" s="170"/>
      <c r="Z63" s="192"/>
      <c r="AA63" s="170"/>
      <c r="AB63" s="170"/>
      <c r="AC63" s="170"/>
      <c r="AD63" s="170"/>
      <c r="AE63" s="170"/>
      <c r="AF63" s="170"/>
      <c r="AG63" s="170"/>
      <c r="AH63" s="170"/>
      <c r="AI63" s="92"/>
      <c r="AJ63" s="47"/>
    </row>
    <row r="64" spans="1:16383" hidden="1">
      <c r="A64" s="47"/>
      <c r="B64" s="47"/>
      <c r="C64" s="47"/>
      <c r="D64" s="47"/>
      <c r="E64" s="47"/>
      <c r="F64" s="47"/>
      <c r="G64" s="47"/>
      <c r="H64" s="47"/>
      <c r="I64" s="47"/>
      <c r="J64" s="47"/>
      <c r="K64" s="47"/>
      <c r="L64" s="47"/>
      <c r="M64" s="47"/>
      <c r="N64" s="47"/>
      <c r="O64" s="47"/>
      <c r="P64" s="47"/>
      <c r="Q64" s="47"/>
      <c r="R64" s="47"/>
      <c r="S64" s="47"/>
      <c r="T64" s="92"/>
      <c r="U64" s="193"/>
      <c r="V64" s="193"/>
      <c r="W64" s="194"/>
      <c r="X64" s="194"/>
      <c r="Y64" s="194"/>
      <c r="Z64" s="194"/>
      <c r="AA64" s="194"/>
      <c r="AB64" s="194"/>
      <c r="AC64" s="194"/>
      <c r="AD64" s="194"/>
      <c r="AE64" s="194"/>
      <c r="AF64" s="194"/>
      <c r="AG64" s="101"/>
      <c r="AH64" s="170"/>
      <c r="AI64" s="92"/>
      <c r="AJ64" s="47"/>
    </row>
    <row r="65" spans="1:36" hidden="1">
      <c r="A65" s="47"/>
      <c r="B65" s="47"/>
      <c r="C65" s="47"/>
      <c r="D65" s="47"/>
      <c r="E65" s="47"/>
      <c r="F65" s="47"/>
      <c r="G65" s="47"/>
      <c r="H65" s="47"/>
      <c r="I65" s="47"/>
      <c r="J65" s="47"/>
      <c r="K65" s="47"/>
      <c r="L65" s="47"/>
      <c r="M65" s="47"/>
      <c r="N65" s="47"/>
      <c r="O65" s="47"/>
      <c r="P65" s="47"/>
      <c r="Q65" s="47"/>
      <c r="R65" s="47"/>
      <c r="S65" s="47"/>
      <c r="T65" s="92"/>
      <c r="U65" s="193"/>
      <c r="V65" s="193"/>
      <c r="W65" s="170"/>
      <c r="X65" s="170"/>
      <c r="Y65" s="170"/>
      <c r="Z65" s="170"/>
      <c r="AA65" s="170"/>
      <c r="AB65" s="170"/>
      <c r="AC65" s="170"/>
      <c r="AD65" s="170"/>
      <c r="AE65" s="170"/>
      <c r="AF65" s="170"/>
      <c r="AG65" s="170"/>
      <c r="AH65" s="170"/>
      <c r="AI65" s="92"/>
      <c r="AJ65" s="47"/>
    </row>
    <row r="66" spans="1:36" hidden="1">
      <c r="A66" s="47"/>
      <c r="B66" s="47"/>
      <c r="C66" s="47"/>
      <c r="D66" s="47"/>
      <c r="E66" s="47"/>
      <c r="F66" s="47"/>
      <c r="G66" s="47"/>
      <c r="H66" s="47"/>
      <c r="I66" s="47"/>
      <c r="J66" s="47"/>
      <c r="K66" s="47"/>
      <c r="L66" s="47"/>
      <c r="M66" s="47"/>
      <c r="N66" s="47"/>
      <c r="O66" s="47"/>
      <c r="P66" s="47"/>
      <c r="Q66" s="47"/>
      <c r="R66" s="47"/>
      <c r="S66" s="47"/>
      <c r="T66" s="92"/>
      <c r="U66" s="193"/>
      <c r="V66" s="193"/>
      <c r="W66" s="194"/>
      <c r="X66" s="194"/>
      <c r="Y66" s="194"/>
      <c r="Z66" s="194"/>
      <c r="AA66" s="194"/>
      <c r="AB66" s="194"/>
      <c r="AC66" s="194"/>
      <c r="AD66" s="194"/>
      <c r="AE66" s="194"/>
      <c r="AF66" s="194"/>
      <c r="AG66" s="101"/>
      <c r="AH66" s="170"/>
      <c r="AI66" s="92"/>
      <c r="AJ66" s="47"/>
    </row>
    <row r="67" spans="1:36" hidden="1">
      <c r="A67" s="47"/>
      <c r="B67" s="47"/>
      <c r="C67" s="47"/>
      <c r="D67" s="47"/>
      <c r="E67" s="47"/>
      <c r="F67" s="47"/>
      <c r="G67" s="47"/>
      <c r="H67" s="47"/>
      <c r="I67" s="47"/>
      <c r="J67" s="47"/>
      <c r="K67" s="47"/>
      <c r="L67" s="47"/>
      <c r="M67" s="47"/>
      <c r="N67" s="47"/>
      <c r="O67" s="47"/>
      <c r="P67" s="47"/>
      <c r="Q67" s="47"/>
      <c r="R67" s="47"/>
      <c r="S67" s="47"/>
      <c r="T67" s="92"/>
      <c r="U67" s="193"/>
      <c r="V67" s="193"/>
      <c r="W67" s="170"/>
      <c r="X67" s="170"/>
      <c r="Y67" s="170"/>
      <c r="Z67" s="170"/>
      <c r="AA67" s="170"/>
      <c r="AB67" s="170"/>
      <c r="AC67" s="170"/>
      <c r="AD67" s="170"/>
      <c r="AE67" s="170"/>
      <c r="AF67" s="170"/>
      <c r="AG67" s="170"/>
      <c r="AH67" s="170"/>
      <c r="AI67" s="92"/>
      <c r="AJ67" s="47"/>
    </row>
    <row r="68" spans="1:36" hidden="1">
      <c r="A68" s="47"/>
      <c r="B68" s="47"/>
      <c r="C68" s="47"/>
      <c r="D68" s="47"/>
      <c r="E68" s="47"/>
      <c r="F68" s="47"/>
      <c r="G68" s="47"/>
      <c r="H68" s="47"/>
      <c r="I68" s="47"/>
      <c r="J68" s="47"/>
      <c r="K68" s="47"/>
      <c r="L68" s="47"/>
      <c r="M68" s="47"/>
      <c r="N68" s="47"/>
      <c r="O68" s="47"/>
      <c r="P68" s="47"/>
      <c r="Q68" s="47"/>
      <c r="R68" s="47"/>
      <c r="S68" s="47"/>
      <c r="T68" s="92"/>
      <c r="U68" s="193"/>
      <c r="V68" s="193"/>
      <c r="W68" s="194"/>
      <c r="X68" s="194"/>
      <c r="Y68" s="194"/>
      <c r="Z68" s="194"/>
      <c r="AA68" s="194"/>
      <c r="AB68" s="194"/>
      <c r="AC68" s="194"/>
      <c r="AD68" s="194"/>
      <c r="AE68" s="194"/>
      <c r="AF68" s="194"/>
      <c r="AG68" s="101"/>
      <c r="AH68" s="170"/>
      <c r="AI68" s="92"/>
      <c r="AJ68" s="47"/>
    </row>
    <row r="69" spans="1:36" hidden="1">
      <c r="A69" s="47"/>
      <c r="B69" s="47"/>
      <c r="C69" s="47"/>
      <c r="D69" s="47"/>
      <c r="E69" s="47"/>
      <c r="F69" s="47"/>
      <c r="G69" s="47"/>
      <c r="H69" s="47"/>
      <c r="I69" s="47"/>
      <c r="J69" s="47"/>
      <c r="K69" s="47"/>
      <c r="L69" s="47"/>
      <c r="M69" s="47"/>
      <c r="N69" s="47"/>
      <c r="O69" s="47"/>
      <c r="P69" s="47"/>
      <c r="Q69" s="47"/>
      <c r="R69" s="47"/>
      <c r="S69" s="47"/>
      <c r="T69" s="92"/>
      <c r="U69" s="193"/>
      <c r="V69" s="193"/>
      <c r="W69" s="170"/>
      <c r="X69" s="170"/>
      <c r="Y69" s="170"/>
      <c r="Z69" s="170"/>
      <c r="AA69" s="170"/>
      <c r="AB69" s="170"/>
      <c r="AC69" s="170"/>
      <c r="AD69" s="170"/>
      <c r="AE69" s="170"/>
      <c r="AF69" s="170"/>
      <c r="AG69" s="170"/>
      <c r="AH69" s="170"/>
      <c r="AI69" s="92"/>
      <c r="AJ69" s="47"/>
    </row>
    <row r="70" spans="1:36" hidden="1">
      <c r="A70" s="47"/>
      <c r="B70" s="47"/>
      <c r="C70" s="47"/>
      <c r="D70" s="47"/>
      <c r="E70" s="47"/>
      <c r="F70" s="47"/>
      <c r="G70" s="47"/>
      <c r="H70" s="47"/>
      <c r="I70" s="47"/>
      <c r="J70" s="47"/>
      <c r="K70" s="47"/>
      <c r="L70" s="47"/>
      <c r="M70" s="47"/>
      <c r="N70" s="47"/>
      <c r="O70" s="47"/>
      <c r="P70" s="47"/>
      <c r="Q70" s="47"/>
      <c r="R70" s="47"/>
      <c r="S70" s="47"/>
      <c r="T70" s="92"/>
      <c r="U70" s="193"/>
      <c r="V70" s="193"/>
      <c r="W70" s="194"/>
      <c r="X70" s="194"/>
      <c r="Y70" s="194"/>
      <c r="Z70" s="194"/>
      <c r="AA70" s="194"/>
      <c r="AB70" s="194"/>
      <c r="AC70" s="194"/>
      <c r="AD70" s="194"/>
      <c r="AE70" s="194"/>
      <c r="AF70" s="194"/>
      <c r="AG70" s="101"/>
      <c r="AH70" s="170"/>
      <c r="AI70" s="92"/>
      <c r="AJ70" s="47"/>
    </row>
    <row r="71" spans="1:36" hidden="1">
      <c r="A71" s="47"/>
      <c r="B71" s="47"/>
      <c r="C71" s="47"/>
      <c r="D71" s="47"/>
      <c r="E71" s="47"/>
      <c r="F71" s="47"/>
      <c r="G71" s="47"/>
      <c r="H71" s="47"/>
      <c r="I71" s="47"/>
      <c r="J71" s="47"/>
      <c r="K71" s="47"/>
      <c r="L71" s="47"/>
      <c r="M71" s="47"/>
      <c r="N71" s="47"/>
      <c r="O71" s="47"/>
      <c r="P71" s="47"/>
      <c r="Q71" s="47"/>
      <c r="R71" s="47"/>
      <c r="S71" s="47"/>
      <c r="T71" s="92"/>
      <c r="U71" s="193"/>
      <c r="V71" s="193"/>
      <c r="W71" s="194"/>
      <c r="X71" s="194"/>
      <c r="Y71" s="194"/>
      <c r="Z71" s="194"/>
      <c r="AA71" s="194"/>
      <c r="AB71" s="194"/>
      <c r="AC71" s="194"/>
      <c r="AD71" s="194"/>
      <c r="AE71" s="194"/>
      <c r="AF71" s="194"/>
      <c r="AG71" s="194"/>
      <c r="AH71" s="170"/>
      <c r="AI71" s="92"/>
      <c r="AJ71" s="47"/>
    </row>
    <row r="72" spans="1:36" hidden="1">
      <c r="A72" s="47"/>
      <c r="B72" s="47"/>
      <c r="C72" s="47"/>
      <c r="D72" s="47"/>
      <c r="E72" s="47"/>
      <c r="F72" s="47"/>
      <c r="G72" s="47"/>
      <c r="H72" s="47"/>
      <c r="I72" s="47"/>
      <c r="J72" s="47"/>
      <c r="K72" s="47"/>
      <c r="L72" s="47"/>
      <c r="M72" s="47"/>
      <c r="N72" s="47"/>
      <c r="O72" s="47"/>
      <c r="P72" s="47"/>
      <c r="Q72" s="47"/>
      <c r="R72" s="47"/>
      <c r="S72" s="47"/>
      <c r="T72" s="92"/>
      <c r="U72" s="193"/>
      <c r="V72" s="193"/>
      <c r="W72" s="194"/>
      <c r="X72" s="194"/>
      <c r="Y72" s="194"/>
      <c r="Z72" s="194"/>
      <c r="AA72" s="194"/>
      <c r="AB72" s="194"/>
      <c r="AC72" s="194"/>
      <c r="AD72" s="194"/>
      <c r="AE72" s="194"/>
      <c r="AF72" s="194"/>
      <c r="AG72" s="101"/>
      <c r="AH72" s="170"/>
      <c r="AI72" s="92"/>
      <c r="AJ72" s="47"/>
    </row>
    <row r="73" spans="1:36" hidden="1">
      <c r="A73" s="47"/>
      <c r="B73" s="47"/>
      <c r="C73" s="47"/>
      <c r="D73" s="47"/>
      <c r="E73" s="47"/>
      <c r="F73" s="47"/>
      <c r="G73" s="47"/>
      <c r="H73" s="47"/>
      <c r="I73" s="47"/>
      <c r="J73" s="47"/>
      <c r="K73" s="47"/>
      <c r="L73" s="47"/>
      <c r="M73" s="47"/>
      <c r="N73" s="47"/>
      <c r="O73" s="47"/>
      <c r="P73" s="47"/>
      <c r="Q73" s="47"/>
      <c r="R73" s="47"/>
      <c r="S73" s="47"/>
      <c r="T73" s="92"/>
      <c r="U73" s="193"/>
      <c r="V73" s="193"/>
      <c r="W73" s="170"/>
      <c r="X73" s="170"/>
      <c r="Y73" s="170"/>
      <c r="Z73" s="170"/>
      <c r="AA73" s="170"/>
      <c r="AB73" s="170"/>
      <c r="AC73" s="170"/>
      <c r="AD73" s="170"/>
      <c r="AE73" s="170"/>
      <c r="AF73" s="170"/>
      <c r="AG73" s="170"/>
      <c r="AH73" s="170"/>
      <c r="AI73" s="92"/>
      <c r="AJ73" s="47"/>
    </row>
    <row r="74" spans="1:36" hidden="1">
      <c r="A74" s="47"/>
      <c r="B74" s="47"/>
      <c r="C74" s="47"/>
      <c r="D74" s="47"/>
      <c r="E74" s="47"/>
      <c r="F74" s="47"/>
      <c r="G74" s="47"/>
      <c r="H74" s="47"/>
      <c r="I74" s="47"/>
      <c r="J74" s="47"/>
      <c r="K74" s="47"/>
      <c r="L74" s="47"/>
      <c r="M74" s="47"/>
      <c r="N74" s="47"/>
      <c r="O74" s="47"/>
      <c r="P74" s="47"/>
      <c r="Q74" s="47"/>
      <c r="R74" s="47"/>
      <c r="S74" s="47"/>
      <c r="T74" s="92"/>
      <c r="U74" s="193"/>
      <c r="V74" s="193"/>
      <c r="W74" s="194"/>
      <c r="X74" s="194"/>
      <c r="Y74" s="194"/>
      <c r="Z74" s="194"/>
      <c r="AA74" s="194"/>
      <c r="AB74" s="194"/>
      <c r="AC74" s="194"/>
      <c r="AD74" s="194"/>
      <c r="AE74" s="194"/>
      <c r="AF74" s="194"/>
      <c r="AG74" s="101"/>
      <c r="AH74" s="170"/>
      <c r="AI74" s="92"/>
      <c r="AJ74" s="47"/>
    </row>
    <row r="75" spans="1:36" hidden="1">
      <c r="A75" s="47"/>
      <c r="B75" s="47"/>
      <c r="C75" s="47"/>
      <c r="D75" s="47"/>
      <c r="E75" s="47"/>
      <c r="F75" s="47"/>
      <c r="G75" s="47"/>
      <c r="H75" s="47"/>
      <c r="I75" s="47"/>
      <c r="J75" s="47"/>
      <c r="K75" s="47"/>
      <c r="L75" s="47"/>
      <c r="M75" s="47"/>
      <c r="N75" s="47"/>
      <c r="O75" s="47"/>
      <c r="P75" s="47"/>
      <c r="Q75" s="47"/>
      <c r="R75" s="47"/>
      <c r="S75" s="47"/>
      <c r="T75" s="92"/>
      <c r="U75" s="193"/>
      <c r="V75" s="193"/>
      <c r="W75" s="170"/>
      <c r="X75" s="170"/>
      <c r="Y75" s="170"/>
      <c r="Z75" s="170"/>
      <c r="AA75" s="170"/>
      <c r="AB75" s="170"/>
      <c r="AC75" s="170"/>
      <c r="AD75" s="170"/>
      <c r="AE75" s="170"/>
      <c r="AF75" s="170"/>
      <c r="AG75" s="170"/>
      <c r="AH75" s="170"/>
      <c r="AI75" s="92"/>
      <c r="AJ75" s="47"/>
    </row>
    <row r="76" spans="1:36" hidden="1">
      <c r="A76" s="47"/>
      <c r="B76" s="47"/>
      <c r="C76" s="47"/>
      <c r="D76" s="47"/>
      <c r="E76" s="47"/>
      <c r="F76" s="47"/>
      <c r="G76" s="47"/>
      <c r="H76" s="47"/>
      <c r="I76" s="47"/>
      <c r="J76" s="47"/>
      <c r="K76" s="47"/>
      <c r="L76" s="47"/>
      <c r="M76" s="47"/>
      <c r="N76" s="47"/>
      <c r="O76" s="47"/>
      <c r="P76" s="47"/>
      <c r="Q76" s="47"/>
      <c r="R76" s="47"/>
      <c r="S76" s="47"/>
      <c r="T76" s="92"/>
      <c r="U76" s="193"/>
      <c r="V76" s="193"/>
      <c r="W76" s="194"/>
      <c r="X76" s="194"/>
      <c r="Y76" s="194"/>
      <c r="Z76" s="194"/>
      <c r="AA76" s="194"/>
      <c r="AB76" s="194"/>
      <c r="AC76" s="194"/>
      <c r="AD76" s="194"/>
      <c r="AE76" s="194"/>
      <c r="AF76" s="194"/>
      <c r="AG76" s="101"/>
      <c r="AH76" s="170"/>
      <c r="AI76" s="92"/>
      <c r="AJ76" s="47"/>
    </row>
    <row r="77" spans="1:36" hidden="1">
      <c r="A77" s="47"/>
      <c r="B77" s="47"/>
      <c r="C77" s="47"/>
      <c r="D77" s="47"/>
      <c r="E77" s="47"/>
      <c r="F77" s="47"/>
      <c r="G77" s="47"/>
      <c r="H77" s="47"/>
      <c r="I77" s="47"/>
      <c r="J77" s="47"/>
      <c r="K77" s="47"/>
      <c r="L77" s="47"/>
      <c r="M77" s="47"/>
      <c r="N77" s="47"/>
      <c r="O77" s="47"/>
      <c r="P77" s="47"/>
      <c r="Q77" s="47"/>
      <c r="R77" s="47"/>
      <c r="S77" s="47"/>
      <c r="T77" s="92"/>
      <c r="U77" s="193"/>
      <c r="V77" s="193"/>
      <c r="W77" s="194"/>
      <c r="X77" s="194"/>
      <c r="Y77" s="194"/>
      <c r="Z77" s="194"/>
      <c r="AA77" s="194"/>
      <c r="AB77" s="194"/>
      <c r="AC77" s="194"/>
      <c r="AD77" s="194"/>
      <c r="AE77" s="194"/>
      <c r="AF77" s="194"/>
      <c r="AG77" s="194"/>
      <c r="AH77" s="170"/>
      <c r="AI77" s="92"/>
      <c r="AJ77" s="47"/>
    </row>
    <row r="78" spans="1:36" hidden="1">
      <c r="A78" s="47"/>
      <c r="B78" s="47"/>
      <c r="C78" s="47"/>
      <c r="D78" s="47"/>
      <c r="E78" s="47"/>
      <c r="F78" s="47"/>
      <c r="G78" s="47"/>
      <c r="H78" s="47"/>
      <c r="I78" s="47"/>
      <c r="J78" s="47"/>
      <c r="K78" s="47"/>
      <c r="L78" s="47"/>
      <c r="M78" s="47"/>
      <c r="N78" s="47"/>
      <c r="O78" s="47"/>
      <c r="P78" s="47"/>
      <c r="Q78" s="47"/>
      <c r="R78" s="47"/>
      <c r="S78" s="47"/>
      <c r="T78" s="92"/>
      <c r="U78" s="193"/>
      <c r="V78" s="195"/>
      <c r="W78" s="196"/>
      <c r="X78" s="102"/>
      <c r="Y78" s="102"/>
      <c r="Z78" s="102"/>
      <c r="AA78" s="102"/>
      <c r="AB78" s="102"/>
      <c r="AC78" s="102"/>
      <c r="AD78" s="102"/>
      <c r="AE78" s="102"/>
      <c r="AF78" s="102"/>
      <c r="AG78" s="102"/>
      <c r="AH78" s="170"/>
      <c r="AI78" s="92"/>
      <c r="AJ78" s="47"/>
    </row>
    <row r="79" spans="1:36" hidden="1">
      <c r="A79" s="47"/>
      <c r="B79" s="47"/>
      <c r="C79" s="47"/>
      <c r="D79" s="47"/>
      <c r="E79" s="47"/>
      <c r="F79" s="47"/>
      <c r="G79" s="47"/>
      <c r="H79" s="47"/>
      <c r="I79" s="47"/>
      <c r="J79" s="47"/>
      <c r="K79" s="47"/>
      <c r="L79" s="47"/>
      <c r="M79" s="47"/>
      <c r="N79" s="47"/>
      <c r="O79" s="47"/>
      <c r="P79" s="47"/>
      <c r="Q79" s="47"/>
      <c r="R79" s="47"/>
      <c r="S79" s="47"/>
      <c r="T79" s="92"/>
      <c r="U79" s="193"/>
      <c r="V79" s="193"/>
      <c r="W79" s="102"/>
      <c r="X79" s="102"/>
      <c r="Y79" s="102"/>
      <c r="Z79" s="102"/>
      <c r="AA79" s="102"/>
      <c r="AB79" s="102"/>
      <c r="AC79" s="102"/>
      <c r="AD79" s="102"/>
      <c r="AE79" s="102"/>
      <c r="AF79" s="102"/>
      <c r="AG79" s="102"/>
      <c r="AH79" s="170"/>
      <c r="AI79" s="92"/>
      <c r="AJ79" s="47"/>
    </row>
    <row r="80" spans="1:36" hidden="1">
      <c r="A80" s="47"/>
      <c r="B80" s="47"/>
      <c r="C80" s="47"/>
      <c r="D80" s="47"/>
      <c r="E80" s="47"/>
      <c r="F80" s="47"/>
      <c r="G80" s="47"/>
      <c r="H80" s="47"/>
      <c r="I80" s="47"/>
      <c r="J80" s="47"/>
      <c r="K80" s="47"/>
      <c r="L80" s="47"/>
      <c r="M80" s="47"/>
      <c r="N80" s="47"/>
      <c r="O80" s="47"/>
      <c r="P80" s="47"/>
      <c r="Q80" s="47"/>
      <c r="R80" s="47"/>
      <c r="S80" s="47"/>
      <c r="T80" s="92"/>
      <c r="U80" s="193"/>
      <c r="V80" s="193"/>
      <c r="W80" s="102"/>
      <c r="X80" s="102"/>
      <c r="Y80" s="102"/>
      <c r="Z80" s="102"/>
      <c r="AA80" s="102"/>
      <c r="AB80" s="102"/>
      <c r="AC80" s="102"/>
      <c r="AD80" s="102"/>
      <c r="AE80" s="102"/>
      <c r="AF80" s="102"/>
      <c r="AG80" s="102"/>
      <c r="AH80" s="170"/>
      <c r="AI80" s="92"/>
      <c r="AJ80" s="47"/>
    </row>
    <row r="81" spans="1:36" hidden="1">
      <c r="A81" s="47"/>
      <c r="B81" s="47"/>
      <c r="C81" s="47"/>
      <c r="D81" s="47"/>
      <c r="E81" s="47"/>
      <c r="F81" s="47"/>
      <c r="G81" s="47"/>
      <c r="H81" s="47"/>
      <c r="I81" s="47"/>
      <c r="J81" s="47"/>
      <c r="K81" s="47"/>
      <c r="L81" s="47"/>
      <c r="M81" s="47"/>
      <c r="N81" s="47"/>
      <c r="O81" s="47"/>
      <c r="P81" s="47"/>
      <c r="Q81" s="47"/>
      <c r="R81" s="47"/>
      <c r="S81" s="47"/>
      <c r="T81" s="92"/>
      <c r="U81" s="193"/>
      <c r="V81" s="193"/>
      <c r="W81" s="102"/>
      <c r="X81" s="102"/>
      <c r="Y81" s="102"/>
      <c r="Z81" s="102"/>
      <c r="AA81" s="102"/>
      <c r="AB81" s="102"/>
      <c r="AC81" s="102"/>
      <c r="AD81" s="102"/>
      <c r="AE81" s="102"/>
      <c r="AF81" s="102"/>
      <c r="AG81" s="102"/>
      <c r="AH81" s="170"/>
      <c r="AI81" s="92"/>
      <c r="AJ81" s="47"/>
    </row>
    <row r="82" spans="1:36" hidden="1">
      <c r="A82" s="47"/>
      <c r="B82" s="47"/>
      <c r="C82" s="47"/>
      <c r="D82" s="47"/>
      <c r="E82" s="47"/>
      <c r="F82" s="47"/>
      <c r="G82" s="47"/>
      <c r="H82" s="47"/>
      <c r="I82" s="47"/>
      <c r="J82" s="47"/>
      <c r="K82" s="47"/>
      <c r="L82" s="47"/>
      <c r="M82" s="47"/>
      <c r="N82" s="47"/>
      <c r="O82" s="47"/>
      <c r="P82" s="47"/>
      <c r="Q82" s="47"/>
      <c r="R82" s="47"/>
      <c r="S82" s="47"/>
      <c r="T82" s="92"/>
      <c r="U82" s="193"/>
      <c r="V82" s="197"/>
      <c r="W82" s="193"/>
      <c r="X82" s="194"/>
      <c r="Y82" s="194"/>
      <c r="Z82" s="194"/>
      <c r="AA82" s="194"/>
      <c r="AB82" s="194"/>
      <c r="AC82" s="194"/>
      <c r="AD82" s="197"/>
      <c r="AE82" s="198"/>
      <c r="AF82" s="194"/>
      <c r="AG82" s="194"/>
      <c r="AH82" s="170"/>
      <c r="AI82" s="92"/>
      <c r="AJ82" s="47"/>
    </row>
    <row r="83" spans="1:36" hidden="1">
      <c r="A83" s="47"/>
      <c r="B83" s="47"/>
      <c r="C83" s="47"/>
      <c r="D83" s="47"/>
      <c r="E83" s="47"/>
      <c r="F83" s="47"/>
      <c r="G83" s="47"/>
      <c r="H83" s="47"/>
      <c r="I83" s="47"/>
      <c r="J83" s="47"/>
      <c r="K83" s="47"/>
      <c r="L83" s="47"/>
      <c r="M83" s="47"/>
      <c r="N83" s="47"/>
      <c r="O83" s="47"/>
      <c r="P83" s="47"/>
      <c r="Q83" s="47"/>
      <c r="R83" s="47"/>
      <c r="S83" s="47"/>
      <c r="T83" s="92"/>
      <c r="U83" s="170"/>
      <c r="V83" s="170"/>
      <c r="W83" s="170"/>
      <c r="X83" s="170"/>
      <c r="Y83" s="170"/>
      <c r="Z83" s="170"/>
      <c r="AA83" s="170"/>
      <c r="AB83" s="170"/>
      <c r="AC83" s="170"/>
      <c r="AD83" s="170"/>
      <c r="AE83" s="170"/>
      <c r="AF83" s="170"/>
      <c r="AG83" s="170"/>
      <c r="AH83" s="170"/>
      <c r="AI83" s="92"/>
      <c r="AJ83" s="47"/>
    </row>
    <row r="84" spans="1:36" hidden="1">
      <c r="A84" s="47"/>
      <c r="B84" s="47"/>
      <c r="C84" s="47"/>
      <c r="D84" s="47"/>
      <c r="E84" s="47"/>
      <c r="F84" s="47"/>
      <c r="G84" s="47"/>
      <c r="H84" s="47"/>
      <c r="I84" s="47"/>
      <c r="J84" s="47"/>
      <c r="K84" s="47"/>
      <c r="L84" s="47"/>
      <c r="M84" s="47"/>
      <c r="N84" s="47"/>
      <c r="O84" s="47"/>
      <c r="P84" s="47"/>
      <c r="Q84" s="47"/>
      <c r="R84" s="47"/>
      <c r="S84" s="47"/>
      <c r="T84" s="92"/>
      <c r="U84" s="92"/>
      <c r="V84" s="92"/>
      <c r="W84" s="92"/>
      <c r="X84" s="92"/>
      <c r="Y84" s="92"/>
      <c r="Z84" s="92"/>
      <c r="AA84" s="92"/>
      <c r="AB84" s="92"/>
      <c r="AC84" s="92"/>
      <c r="AD84" s="92"/>
      <c r="AE84" s="92"/>
      <c r="AF84" s="92"/>
      <c r="AG84" s="92"/>
      <c r="AH84" s="92"/>
      <c r="AI84" s="92"/>
      <c r="AJ84" s="47"/>
    </row>
    <row r="85" spans="1:36" hidden="1">
      <c r="A85" s="47"/>
      <c r="B85" s="47"/>
      <c r="C85" s="47"/>
      <c r="D85" s="47"/>
      <c r="E85" s="47"/>
      <c r="F85" s="47"/>
      <c r="G85" s="47"/>
      <c r="H85" s="47"/>
      <c r="I85" s="47"/>
      <c r="J85" s="47"/>
      <c r="K85" s="47"/>
      <c r="L85" s="47"/>
      <c r="M85" s="47"/>
      <c r="N85" s="47"/>
      <c r="O85" s="47"/>
      <c r="P85" s="47"/>
      <c r="Q85" s="47"/>
      <c r="R85" s="47"/>
      <c r="S85" s="47"/>
      <c r="T85" s="92"/>
      <c r="U85" s="92"/>
      <c r="V85" s="92"/>
      <c r="W85" s="92"/>
      <c r="X85" s="92"/>
      <c r="Y85" s="92"/>
      <c r="Z85" s="92"/>
      <c r="AA85" s="92"/>
      <c r="AB85" s="92"/>
      <c r="AC85" s="92"/>
      <c r="AD85" s="92"/>
      <c r="AE85" s="92"/>
      <c r="AF85" s="92"/>
      <c r="AG85" s="92"/>
      <c r="AH85" s="92"/>
      <c r="AI85" s="92"/>
      <c r="AJ85" s="47"/>
    </row>
    <row r="86" spans="1:36" hidden="1">
      <c r="A86" s="47"/>
      <c r="B86" s="47"/>
      <c r="C86" s="47"/>
      <c r="D86" s="47"/>
      <c r="E86" s="47"/>
      <c r="F86" s="47"/>
      <c r="G86" s="47"/>
      <c r="H86" s="47"/>
      <c r="I86" s="47"/>
      <c r="J86" s="47"/>
      <c r="K86" s="47"/>
      <c r="L86" s="47"/>
      <c r="M86" s="47"/>
      <c r="N86" s="47"/>
      <c r="O86" s="47"/>
      <c r="P86" s="47"/>
      <c r="Q86" s="47"/>
      <c r="R86" s="47"/>
      <c r="S86" s="47"/>
      <c r="T86" s="92"/>
      <c r="U86" s="92"/>
      <c r="V86" s="92"/>
      <c r="W86" s="92"/>
      <c r="X86" s="92"/>
      <c r="Y86" s="92"/>
      <c r="Z86" s="92"/>
      <c r="AA86" s="92"/>
      <c r="AB86" s="92"/>
      <c r="AC86" s="92"/>
      <c r="AD86" s="92"/>
      <c r="AE86" s="92"/>
      <c r="AF86" s="92"/>
      <c r="AG86" s="92"/>
      <c r="AH86" s="92"/>
      <c r="AI86" s="92"/>
      <c r="AJ86" s="47"/>
    </row>
    <row r="87" spans="1:36" hidden="1">
      <c r="A87" s="47"/>
      <c r="B87" s="47"/>
      <c r="C87" s="47"/>
      <c r="D87" s="47"/>
      <c r="E87" s="47"/>
      <c r="F87" s="47"/>
      <c r="G87" s="47"/>
      <c r="H87" s="47"/>
      <c r="I87" s="47"/>
      <c r="J87" s="47"/>
      <c r="K87" s="47"/>
      <c r="L87" s="47"/>
      <c r="M87" s="47"/>
      <c r="N87" s="47"/>
      <c r="O87" s="47"/>
      <c r="P87" s="47"/>
      <c r="Q87" s="47"/>
      <c r="R87" s="47"/>
      <c r="S87" s="47"/>
      <c r="T87" s="92"/>
      <c r="U87" s="92"/>
      <c r="V87" s="92"/>
      <c r="W87" s="92"/>
      <c r="X87" s="92"/>
      <c r="Y87" s="92"/>
      <c r="Z87" s="92"/>
      <c r="AA87" s="92"/>
      <c r="AB87" s="92"/>
      <c r="AC87" s="92"/>
      <c r="AD87" s="92"/>
      <c r="AE87" s="92"/>
      <c r="AF87" s="92"/>
      <c r="AG87" s="92"/>
      <c r="AH87" s="92"/>
      <c r="AI87" s="92"/>
      <c r="AJ87" s="47"/>
    </row>
    <row r="88" spans="1:36" hidden="1">
      <c r="A88" s="47"/>
      <c r="B88" s="47"/>
      <c r="C88" s="47"/>
      <c r="D88" s="47"/>
      <c r="E88" s="47"/>
      <c r="F88" s="47"/>
      <c r="G88" s="47"/>
      <c r="H88" s="47"/>
      <c r="I88" s="47"/>
      <c r="J88" s="47"/>
      <c r="K88" s="47"/>
      <c r="L88" s="47"/>
      <c r="M88" s="47"/>
      <c r="N88" s="47"/>
      <c r="O88" s="47"/>
      <c r="P88" s="47"/>
      <c r="Q88" s="47"/>
      <c r="R88" s="47"/>
      <c r="S88" s="47"/>
      <c r="T88" s="92"/>
      <c r="U88" s="92"/>
      <c r="V88" s="92"/>
      <c r="W88" s="92"/>
      <c r="X88" s="92"/>
      <c r="Y88" s="92"/>
      <c r="Z88" s="92"/>
      <c r="AA88" s="92"/>
      <c r="AB88" s="92"/>
      <c r="AC88" s="92"/>
      <c r="AD88" s="92"/>
      <c r="AE88" s="92"/>
      <c r="AF88" s="92"/>
      <c r="AG88" s="92"/>
      <c r="AH88" s="92"/>
      <c r="AI88" s="92"/>
      <c r="AJ88" s="47"/>
    </row>
    <row r="89" spans="1:36" hidden="1">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row>
    <row r="90" spans="1:36" hidden="1">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row>
  </sheetData>
  <sheetProtection algorithmName="SHA-512" hashValue="72VyWV4JMfZ7wr3tYik2/1O5TPztSkxFniwF4nMb9gdC8LBCf2blB8iME+FnTSNP8kS+/MffhTNlEgI8dT+Chw==" saltValue="DJxRf0wGlDpGCgoZ+JshgA==" spinCount="100000" sheet="1" objects="1" scenarios="1"/>
  <mergeCells count="17">
    <mergeCell ref="H29:I29"/>
    <mergeCell ref="B1:N2"/>
    <mergeCell ref="B3:S3"/>
    <mergeCell ref="D44:N49"/>
    <mergeCell ref="D51:N57"/>
    <mergeCell ref="B5:XFD5"/>
    <mergeCell ref="C6:P8"/>
    <mergeCell ref="C10:P11"/>
    <mergeCell ref="K37:L37"/>
    <mergeCell ref="K42:R42"/>
    <mergeCell ref="D26:F26"/>
    <mergeCell ref="H26:I26"/>
    <mergeCell ref="K26:L26"/>
    <mergeCell ref="K31:N31"/>
    <mergeCell ref="K33:N33"/>
    <mergeCell ref="D29:F29"/>
    <mergeCell ref="K29:L29"/>
  </mergeCells>
  <dataValidations disablePrompts="1" count="1">
    <dataValidation type="list" allowBlank="1" showInputMessage="1" showErrorMessage="1" errorTitle="Water Balance Units" error="You have not entered a valid option" promptTitle="Water Balance Units" prompt="Please choose from the following units" sqref="Z61:AC61">
      <formula1>"Million gallons (US),Megalitres (thousand cubic metres),Acre-feet"</formula1>
    </dataValidation>
  </dataValidations>
  <printOptions horizontalCentered="1" verticalCentered="1"/>
  <pageMargins left="0.5" right="0.5" top="0.5" bottom="0.5" header="0.5" footer="0.5"/>
  <pageSetup paperSize="9" scale="66" fitToHeight="0" orientation="landscape" horizontalDpi="4294967292" verticalDpi="4294967292" r:id="rId1"/>
  <ignoredErrors>
    <ignoredError sqref="K37 K34 B60" emptyCellReference="1"/>
  </ignoredErrors>
  <drawing r:id="rId2"/>
  <legacyDrawing r:id="rId3"/>
  <controls>
    <mc:AlternateContent xmlns:mc="http://schemas.openxmlformats.org/markup-compatibility/2006">
      <mc:Choice Requires="x14">
        <control shapeId="12292" r:id="rId4" name="LengthUnits_ComboBox">
          <controlPr defaultSize="0" autoLine="0" autoPict="0" listFillRange="'Start Page'!Y43:Y44" r:id="rId5">
            <anchor moveWithCells="1">
              <from>
                <xdr:col>10</xdr:col>
                <xdr:colOff>0</xdr:colOff>
                <xdr:row>40</xdr:row>
                <xdr:rowOff>0</xdr:rowOff>
              </from>
              <to>
                <xdr:col>13</xdr:col>
                <xdr:colOff>266700</xdr:colOff>
                <xdr:row>41</xdr:row>
                <xdr:rowOff>0</xdr:rowOff>
              </to>
            </anchor>
          </controlPr>
        </control>
      </mc:Choice>
      <mc:Fallback>
        <control shapeId="12292" r:id="rId4" name="LengthUnits_ComboBox"/>
      </mc:Fallback>
    </mc:AlternateContent>
    <mc:AlternateContent xmlns:mc="http://schemas.openxmlformats.org/markup-compatibility/2006">
      <mc:Choice Requires="x14">
        <control shapeId="12291" r:id="rId6" name="VolumeUnits_ComboBox">
          <controlPr defaultSize="0" autoLine="0" autoPict="0" listFillRange="'Start Page'!Y39:Y41" r:id="rId7">
            <anchor moveWithCells="1">
              <from>
                <xdr:col>10</xdr:col>
                <xdr:colOff>0</xdr:colOff>
                <xdr:row>38</xdr:row>
                <xdr:rowOff>0</xdr:rowOff>
              </from>
              <to>
                <xdr:col>13</xdr:col>
                <xdr:colOff>266700</xdr:colOff>
                <xdr:row>39</xdr:row>
                <xdr:rowOff>0</xdr:rowOff>
              </to>
            </anchor>
          </controlPr>
        </control>
      </mc:Choice>
      <mc:Fallback>
        <control shapeId="12291" r:id="rId6" name="VolumeUnits_ComboBox"/>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mmary">
    <pageSetUpPr fitToPage="1"/>
  </sheetPr>
  <dimension ref="A1:Q59"/>
  <sheetViews>
    <sheetView zoomScale="80" zoomScaleNormal="80" workbookViewId="0">
      <selection activeCell="D21" sqref="D21"/>
    </sheetView>
  </sheetViews>
  <sheetFormatPr defaultColWidth="0" defaultRowHeight="15.5" zeroHeight="1"/>
  <cols>
    <col min="1" max="1" width="3.765625" style="349" customWidth="1"/>
    <col min="2" max="2" width="33.69140625" style="884" customWidth="1"/>
    <col min="3" max="3" width="26.07421875" style="884" customWidth="1"/>
    <col min="4" max="4" width="12.84375" style="884" customWidth="1"/>
    <col min="5" max="5" width="12.4609375" style="884" customWidth="1"/>
    <col min="6" max="6" width="16.3046875" style="884" customWidth="1"/>
    <col min="7" max="7" width="3.23046875" style="884" customWidth="1"/>
    <col min="8" max="8" width="7.421875E-2" style="520" customWidth="1"/>
    <col min="9" max="16384" width="9.84375" style="884" hidden="1"/>
  </cols>
  <sheetData>
    <row r="1" spans="1:17" s="895" customFormat="1" ht="15.75" customHeight="1">
      <c r="A1" s="1054" t="s">
        <v>920</v>
      </c>
      <c r="B1" s="1055"/>
      <c r="C1" s="1055"/>
      <c r="D1" s="1055"/>
      <c r="E1" s="1055"/>
      <c r="F1" s="1055"/>
      <c r="G1" s="518"/>
      <c r="H1" s="517"/>
      <c r="I1" s="908"/>
      <c r="J1" s="908"/>
      <c r="K1" s="908"/>
      <c r="L1" s="908"/>
      <c r="M1" s="908"/>
      <c r="N1" s="908"/>
      <c r="O1" s="908"/>
      <c r="P1" s="908"/>
      <c r="Q1" s="908"/>
    </row>
    <row r="2" spans="1:17" ht="15.75" customHeight="1">
      <c r="A2" s="1056"/>
      <c r="B2" s="1057"/>
      <c r="C2" s="1057"/>
      <c r="D2" s="1057"/>
      <c r="E2" s="1057"/>
      <c r="F2" s="1057"/>
      <c r="G2" s="521"/>
      <c r="I2" s="783"/>
      <c r="J2" s="783"/>
      <c r="K2" s="783"/>
      <c r="L2" s="783"/>
      <c r="M2" s="783"/>
      <c r="N2" s="783"/>
      <c r="O2" s="783"/>
      <c r="P2" s="783"/>
      <c r="Q2" s="783"/>
    </row>
    <row r="3" spans="1:17">
      <c r="A3" s="1016" t="str">
        <f>IF('Start Page'!$Y$37="","",IF('Start Page'!$K$37="Partial Audit Period","Water Audit: "&amp;'Start Page'!$D$26&amp;", "&amp;'Start Page'!$H$26&amp;", "&amp;'Start Page'!$K$26&amp;", "&amp;'Start Page'!$Y$37,"Water Audit: "&amp;'Start Page'!$D$26&amp;", "&amp;'Start Page'!$H$26&amp;", "&amp;'Start Page'!$K$26&amp;", "&amp;YEAR('Start Page'!$Y$37)))</f>
        <v/>
      </c>
      <c r="B3" s="1017"/>
      <c r="C3" s="1017"/>
      <c r="D3" s="1017"/>
      <c r="E3" s="1017"/>
      <c r="F3" s="1017"/>
      <c r="G3" s="1018"/>
      <c r="I3" s="783"/>
      <c r="J3" s="783"/>
      <c r="K3" s="783"/>
      <c r="L3" s="783"/>
      <c r="M3" s="783"/>
      <c r="N3" s="783"/>
      <c r="O3" s="783"/>
      <c r="P3" s="783"/>
      <c r="Q3" s="783"/>
    </row>
    <row r="4" spans="1:17" ht="16" thickBot="1">
      <c r="A4" s="400" t="s">
        <v>762</v>
      </c>
      <c r="B4" s="919"/>
      <c r="C4" s="919"/>
      <c r="D4" s="919"/>
      <c r="E4" s="919"/>
      <c r="F4" s="919"/>
      <c r="G4" s="920"/>
      <c r="I4" s="783"/>
      <c r="J4" s="783"/>
      <c r="K4" s="783"/>
      <c r="L4" s="783"/>
      <c r="M4" s="783"/>
      <c r="N4" s="783"/>
      <c r="O4" s="783"/>
      <c r="P4" s="783"/>
      <c r="Q4" s="783"/>
    </row>
    <row r="5" spans="1:17">
      <c r="A5" s="924"/>
      <c r="B5" s="520"/>
      <c r="C5" s="520"/>
      <c r="D5" s="520"/>
      <c r="E5" s="520"/>
      <c r="F5" s="520"/>
      <c r="G5" s="521"/>
      <c r="I5" s="783"/>
      <c r="J5" s="783"/>
      <c r="K5" s="783"/>
      <c r="L5" s="783"/>
      <c r="M5" s="783"/>
      <c r="N5" s="783"/>
      <c r="O5" s="783"/>
      <c r="P5" s="783"/>
      <c r="Q5" s="783"/>
    </row>
    <row r="6" spans="1:17" ht="64.5" customHeight="1">
      <c r="A6" s="924"/>
      <c r="B6" s="1068" t="s">
        <v>916</v>
      </c>
      <c r="C6" s="1068"/>
      <c r="D6" s="1068"/>
      <c r="E6" s="1068"/>
      <c r="F6" s="1068"/>
      <c r="G6" s="521"/>
      <c r="I6" s="783"/>
      <c r="J6" s="783"/>
      <c r="K6" s="783"/>
      <c r="L6" s="783"/>
      <c r="M6" s="783"/>
      <c r="N6" s="783"/>
      <c r="O6" s="783"/>
      <c r="P6" s="783"/>
      <c r="Q6" s="783"/>
    </row>
    <row r="7" spans="1:17" ht="16" thickBot="1">
      <c r="A7" s="924"/>
      <c r="B7" s="520"/>
      <c r="C7" s="520"/>
      <c r="D7" s="520"/>
      <c r="E7" s="520"/>
      <c r="F7" s="520"/>
      <c r="G7" s="521"/>
      <c r="I7" s="783"/>
      <c r="J7" s="783"/>
      <c r="K7" s="783"/>
      <c r="L7" s="783"/>
      <c r="M7" s="783"/>
      <c r="N7" s="783"/>
      <c r="O7" s="783"/>
      <c r="P7" s="783"/>
      <c r="Q7" s="783"/>
    </row>
    <row r="8" spans="1:17" ht="16" thickBot="1">
      <c r="A8" s="516"/>
      <c r="B8" s="517"/>
      <c r="C8" s="517"/>
      <c r="D8" s="517"/>
      <c r="E8" s="517"/>
      <c r="F8" s="517"/>
      <c r="G8" s="518"/>
      <c r="I8" s="783"/>
      <c r="J8" s="783"/>
      <c r="K8" s="783"/>
      <c r="L8" s="783"/>
      <c r="M8" s="783"/>
      <c r="N8" s="783"/>
      <c r="O8" s="783"/>
      <c r="P8" s="783"/>
      <c r="Q8" s="783"/>
    </row>
    <row r="9" spans="1:17">
      <c r="A9" s="519"/>
      <c r="B9" s="1088" t="s">
        <v>760</v>
      </c>
      <c r="C9" s="1089"/>
      <c r="D9" s="734"/>
      <c r="E9" s="734"/>
      <c r="F9" s="735"/>
      <c r="G9" s="377"/>
      <c r="I9" s="783"/>
      <c r="J9" s="783"/>
      <c r="K9" s="783"/>
      <c r="L9" s="783"/>
      <c r="M9" s="783"/>
      <c r="N9" s="783"/>
      <c r="O9" s="783"/>
      <c r="P9" s="783"/>
      <c r="Q9" s="783"/>
    </row>
    <row r="10" spans="1:17">
      <c r="A10" s="519"/>
      <c r="B10" s="1090" t="s">
        <v>40</v>
      </c>
      <c r="C10" s="1091"/>
      <c r="D10" s="926"/>
      <c r="E10" s="926"/>
      <c r="F10" s="377"/>
      <c r="G10" s="377"/>
      <c r="I10" s="783"/>
      <c r="J10" s="783"/>
      <c r="K10" s="783"/>
      <c r="L10" s="783"/>
      <c r="M10" s="783"/>
      <c r="N10" s="783"/>
      <c r="O10" s="783"/>
      <c r="P10" s="783"/>
      <c r="Q10" s="783"/>
    </row>
    <row r="11" spans="1:17">
      <c r="A11" s="519"/>
      <c r="B11" s="1058" t="s">
        <v>584</v>
      </c>
      <c r="C11" s="1059"/>
      <c r="D11" s="527" t="str">
        <f>'AWWA-Water Balance Data Transf.'!D51</f>
        <v/>
      </c>
      <c r="E11" s="926"/>
      <c r="F11" s="377"/>
      <c r="G11" s="377"/>
      <c r="I11" s="783"/>
      <c r="J11" s="783"/>
      <c r="K11" s="783"/>
      <c r="L11" s="783"/>
      <c r="M11" s="783"/>
      <c r="N11" s="783"/>
      <c r="O11" s="783"/>
      <c r="P11" s="783"/>
      <c r="Q11" s="783"/>
    </row>
    <row r="12" spans="1:17">
      <c r="A12" s="519"/>
      <c r="B12" s="1058" t="s">
        <v>27</v>
      </c>
      <c r="C12" s="1059"/>
      <c r="D12" s="527" t="str">
        <f>'AWWA-Water Balance Data Transf.'!D52</f>
        <v/>
      </c>
      <c r="E12" s="926"/>
      <c r="F12" s="377"/>
      <c r="G12" s="529"/>
      <c r="I12" s="783"/>
      <c r="J12" s="783"/>
      <c r="K12" s="783"/>
      <c r="L12" s="783"/>
      <c r="M12" s="783"/>
      <c r="N12" s="783"/>
      <c r="O12" s="783"/>
      <c r="P12" s="783"/>
      <c r="Q12" s="783"/>
    </row>
    <row r="13" spans="1:17">
      <c r="A13" s="519"/>
      <c r="B13" s="1058" t="s">
        <v>28</v>
      </c>
      <c r="C13" s="1059"/>
      <c r="D13" s="530" t="str">
        <f>'AWWA-Water Balance Data Transf.'!D53</f>
        <v/>
      </c>
      <c r="E13" s="926"/>
      <c r="F13" s="377"/>
      <c r="G13" s="736"/>
      <c r="I13" s="783"/>
      <c r="J13" s="783"/>
      <c r="K13" s="783"/>
      <c r="L13" s="783"/>
      <c r="M13" s="783"/>
      <c r="N13" s="783"/>
      <c r="O13" s="783"/>
      <c r="P13" s="783"/>
      <c r="Q13" s="783"/>
    </row>
    <row r="14" spans="1:17">
      <c r="A14" s="519"/>
      <c r="B14" s="1058" t="s">
        <v>29</v>
      </c>
      <c r="C14" s="1059"/>
      <c r="D14" s="530" t="str">
        <f>'AWWA-Water Balance Data Transf.'!D54</f>
        <v/>
      </c>
      <c r="E14" s="926"/>
      <c r="F14" s="377"/>
      <c r="G14" s="377"/>
      <c r="I14" s="783"/>
      <c r="J14" s="783"/>
      <c r="K14" s="783"/>
      <c r="L14" s="783"/>
      <c r="M14" s="783"/>
      <c r="N14" s="783"/>
      <c r="O14" s="783"/>
      <c r="P14" s="783"/>
      <c r="Q14" s="783"/>
    </row>
    <row r="15" spans="1:17" ht="6.75" customHeight="1">
      <c r="A15" s="519"/>
      <c r="B15" s="1069"/>
      <c r="C15" s="1070"/>
      <c r="D15" s="926"/>
      <c r="E15" s="926"/>
      <c r="F15" s="377"/>
      <c r="G15" s="377"/>
      <c r="I15" s="783"/>
      <c r="J15" s="783"/>
      <c r="K15" s="783"/>
      <c r="L15" s="783"/>
      <c r="M15" s="783"/>
      <c r="N15" s="783"/>
      <c r="O15" s="783"/>
      <c r="P15" s="783"/>
      <c r="Q15" s="783"/>
    </row>
    <row r="16" spans="1:17">
      <c r="A16" s="519"/>
      <c r="B16" s="1071" t="s">
        <v>41</v>
      </c>
      <c r="C16" s="1072"/>
      <c r="D16" s="926"/>
      <c r="E16" s="926"/>
      <c r="F16" s="377"/>
      <c r="G16" s="377"/>
      <c r="I16" s="783"/>
      <c r="J16" s="783"/>
      <c r="K16" s="783"/>
      <c r="L16" s="783"/>
      <c r="M16" s="783"/>
      <c r="N16" s="783"/>
      <c r="O16" s="783"/>
      <c r="P16" s="783"/>
      <c r="Q16" s="783"/>
    </row>
    <row r="17" spans="1:17">
      <c r="A17" s="519"/>
      <c r="B17" s="1058" t="s">
        <v>525</v>
      </c>
      <c r="C17" s="1059"/>
      <c r="D17" s="745" t="str">
        <f>'AWWA-Water Balance Data Transf.'!D57</f>
        <v/>
      </c>
      <c r="E17" s="533" t="str">
        <f>IF('Start Page'!$Y$36=1,"gal/service conn/day",IF('Start Page'!$Y$36=2,"litres/service conn/day", IF('Start Page'!$Y$36=3,"gal/service conn/day")))</f>
        <v>gal/service conn/day</v>
      </c>
      <c r="F17" s="377"/>
      <c r="G17" s="377"/>
      <c r="I17" s="783"/>
      <c r="J17" s="783"/>
      <c r="K17" s="783"/>
      <c r="L17" s="783"/>
      <c r="M17" s="783"/>
      <c r="N17" s="783"/>
      <c r="O17" s="783"/>
      <c r="P17" s="783"/>
      <c r="Q17" s="783"/>
    </row>
    <row r="18" spans="1:17">
      <c r="A18" s="519"/>
      <c r="B18" s="1058" t="s">
        <v>526</v>
      </c>
      <c r="C18" s="1059"/>
      <c r="D18" s="534" t="str">
        <f>'AWWA-Water Balance Data Transf.'!D58</f>
        <v/>
      </c>
      <c r="E18" s="533" t="str">
        <f>IF('Start Page'!$Y$36=1,"gal/service conn/day",IF('Start Page'!$Y$36=2,"litres/service conn/day", IF('Start Page'!$Y$36=3,"gal/service conn/day")))</f>
        <v>gal/service conn/day</v>
      </c>
      <c r="F18" s="377"/>
      <c r="G18" s="377"/>
      <c r="I18" s="783"/>
      <c r="J18" s="783"/>
      <c r="K18" s="783"/>
      <c r="L18" s="783"/>
      <c r="M18" s="783"/>
      <c r="N18" s="783"/>
      <c r="O18" s="783"/>
      <c r="P18" s="783"/>
      <c r="Q18" s="783"/>
    </row>
    <row r="19" spans="1:17">
      <c r="A19" s="519"/>
      <c r="B19" s="1058" t="s">
        <v>527</v>
      </c>
      <c r="C19" s="1059"/>
      <c r="D19" s="534" t="str">
        <f>'AWWA-Water Balance Data Transf.'!D59</f>
        <v/>
      </c>
      <c r="E19" s="926" t="str">
        <f>INDEX('Unit Conversion Sheet'!$C$36:$D$38,MATCH('Start Page'!$Y$36,'Unit Conversion Sheet'!$A$36:$A$38,0),MATCH('Start Page'!$Y$42,'Unit Conversion Sheet'!$C$35:$D$35,0))</f>
        <v>gal/mi/day</v>
      </c>
      <c r="F19" s="377"/>
      <c r="G19" s="377"/>
      <c r="I19" s="783"/>
      <c r="J19" s="783"/>
      <c r="K19" s="783"/>
      <c r="L19" s="783"/>
      <c r="M19" s="783"/>
      <c r="N19" s="783"/>
      <c r="O19" s="783"/>
      <c r="P19" s="783"/>
      <c r="Q19" s="783"/>
    </row>
    <row r="20" spans="1:17">
      <c r="A20" s="519"/>
      <c r="B20" s="1058" t="str">
        <f>"Real Losses per service connection per day per "&amp;$F$47&amp; " pressure:"</f>
        <v>Real Losses per service connection per day per PSI pressure:</v>
      </c>
      <c r="C20" s="1059"/>
      <c r="D20" s="534" t="str">
        <f>'AWWA-Water Balance Data Transf.'!D60</f>
        <v>N/A</v>
      </c>
      <c r="E20" s="533" t="str">
        <f>IF('Start Page'!$Y$36=1,"gal/service conn/day/psi",IF('Start Page'!$Y$36=2,"litres/service conn/day/mH", IF('Start Page'!$Y$36=3,"gal/service conn/day/psi")))</f>
        <v>gal/service conn/day/psi</v>
      </c>
      <c r="F20" s="377"/>
      <c r="G20" s="377"/>
      <c r="I20" s="783"/>
      <c r="J20" s="783"/>
      <c r="K20" s="783"/>
      <c r="L20" s="783"/>
      <c r="M20" s="783"/>
      <c r="N20" s="783"/>
      <c r="O20" s="783"/>
      <c r="P20" s="783"/>
      <c r="Q20" s="783"/>
    </row>
    <row r="21" spans="1:17">
      <c r="A21" s="519"/>
      <c r="B21" s="1058" t="s">
        <v>528</v>
      </c>
      <c r="C21" s="1059"/>
      <c r="D21" s="746" t="str">
        <f>'AWWA-Water Balance Data Transf.'!D61</f>
        <v>N/A</v>
      </c>
      <c r="E21" s="533" t="str">
        <f>IF('Start Page'!$Y$36=1,"MG/Yr",IF('Start Page'!$Y$36=2,"ML/Yr", IF('Start Page'!$Y$36=3,"Acre-feet/Yr")))</f>
        <v>MG/Yr</v>
      </c>
      <c r="F21" s="377"/>
      <c r="G21" s="737"/>
      <c r="I21" s="783"/>
      <c r="J21" s="783"/>
      <c r="K21" s="783"/>
      <c r="L21" s="783"/>
      <c r="M21" s="783"/>
      <c r="N21" s="783"/>
      <c r="O21" s="783"/>
      <c r="P21" s="783"/>
      <c r="Q21" s="783"/>
    </row>
    <row r="22" spans="1:17">
      <c r="A22" s="519"/>
      <c r="B22" s="1058" t="s">
        <v>529</v>
      </c>
      <c r="C22" s="1059"/>
      <c r="D22" s="746" t="str">
        <f>'AWWA-Water Balance Data Transf.'!D62</f>
        <v/>
      </c>
      <c r="E22" s="533" t="str">
        <f>IF('Start Page'!$Y$36=1,"MG/Yr",IF('Start Page'!$Y$36=2,"ML/Yr", IF('Start Page'!$Y$36=3,"Acre-feet/Yr")))</f>
        <v>MG/Yr</v>
      </c>
      <c r="F22" s="377"/>
      <c r="G22" s="377"/>
      <c r="I22" s="783"/>
      <c r="J22" s="783"/>
      <c r="K22" s="783"/>
      <c r="L22" s="783"/>
      <c r="M22" s="783"/>
      <c r="N22" s="783"/>
      <c r="O22" s="783"/>
      <c r="P22" s="783"/>
      <c r="Q22" s="783"/>
    </row>
    <row r="23" spans="1:17">
      <c r="A23" s="519"/>
      <c r="B23" s="1058" t="s">
        <v>530</v>
      </c>
      <c r="C23" s="1059"/>
      <c r="D23" s="833" t="str">
        <f>'AWWA-Water Balance Data Transf.'!D63</f>
        <v/>
      </c>
      <c r="E23" s="926"/>
      <c r="F23" s="738"/>
      <c r="G23" s="738"/>
      <c r="I23" s="783"/>
      <c r="J23" s="783"/>
      <c r="K23" s="783"/>
      <c r="L23" s="783"/>
      <c r="M23" s="783"/>
      <c r="N23" s="783"/>
      <c r="O23" s="783"/>
      <c r="P23" s="783"/>
      <c r="Q23" s="783"/>
    </row>
    <row r="24" spans="1:17" ht="6.75" customHeight="1" thickBot="1">
      <c r="A24" s="519"/>
      <c r="B24" s="744" t="str">
        <f>IF(ISERROR(1/D21),"",IF(D22/D21&gt;1,"",IF((D22/D21)&lt;1,"PLEASE CHEK DATA ENTRY - ILI SHOULD BE &gt;1 - ALL OTHER PERFORMANCE INDICATORS ARE ALSO HIGHLY QUESTIONABLE")))</f>
        <v/>
      </c>
      <c r="C24" s="743"/>
      <c r="D24" s="784"/>
      <c r="E24" s="391"/>
      <c r="F24" s="392"/>
      <c r="G24" s="377"/>
      <c r="I24" s="783"/>
      <c r="J24" s="783"/>
      <c r="K24" s="783"/>
      <c r="L24" s="783"/>
      <c r="M24" s="783"/>
      <c r="N24" s="783"/>
      <c r="O24" s="783"/>
      <c r="P24" s="783"/>
      <c r="Q24" s="783"/>
    </row>
    <row r="25" spans="1:17" ht="16" thickBot="1">
      <c r="A25" s="519"/>
      <c r="B25" s="520"/>
      <c r="C25" s="520"/>
      <c r="D25" s="520"/>
      <c r="E25" s="520"/>
      <c r="F25" s="520"/>
      <c r="G25" s="521"/>
      <c r="I25" s="783"/>
      <c r="J25" s="783"/>
      <c r="K25" s="783"/>
      <c r="L25" s="783"/>
      <c r="M25" s="783"/>
      <c r="N25" s="783"/>
      <c r="O25" s="783"/>
      <c r="P25" s="783"/>
      <c r="Q25" s="783"/>
    </row>
    <row r="26" spans="1:17">
      <c r="A26" s="519"/>
      <c r="B26" s="1073" t="s">
        <v>761</v>
      </c>
      <c r="C26" s="1074"/>
      <c r="D26" s="1074"/>
      <c r="E26" s="1074"/>
      <c r="F26" s="1075"/>
      <c r="G26" s="521"/>
      <c r="I26" s="783"/>
      <c r="J26" s="783"/>
      <c r="K26" s="783"/>
      <c r="L26" s="783"/>
      <c r="M26" s="783"/>
      <c r="N26" s="783"/>
      <c r="O26" s="783"/>
      <c r="P26" s="783"/>
      <c r="Q26" s="783"/>
    </row>
    <row r="27" spans="1:17" ht="31">
      <c r="A27" s="519"/>
      <c r="B27" s="228" t="s">
        <v>101</v>
      </c>
      <c r="C27" s="791" t="s">
        <v>102</v>
      </c>
      <c r="D27" s="791" t="s">
        <v>770</v>
      </c>
      <c r="E27" s="792" t="s">
        <v>771</v>
      </c>
      <c r="F27" s="741" t="s">
        <v>105</v>
      </c>
      <c r="G27" s="521"/>
      <c r="I27" s="783"/>
      <c r="J27" s="783"/>
      <c r="K27" s="783"/>
      <c r="L27" s="783"/>
      <c r="M27" s="783"/>
      <c r="N27" s="783"/>
      <c r="O27" s="783"/>
      <c r="P27" s="783"/>
      <c r="Q27" s="783"/>
    </row>
    <row r="28" spans="1:17">
      <c r="A28" s="519"/>
      <c r="B28" s="740"/>
      <c r="C28" s="739" t="str">
        <f>'Real Losses Component Analysis'!C11</f>
        <v>(MG)</v>
      </c>
      <c r="D28" s="739" t="str">
        <f>'Real Losses Component Analysis'!D11</f>
        <v>(MG)</v>
      </c>
      <c r="E28" s="739" t="str">
        <f>'Real Losses Component Analysis'!E11</f>
        <v>(MG)</v>
      </c>
      <c r="F28" s="741" t="str">
        <f>'Real Losses Component Analysis'!F11</f>
        <v>(MG)</v>
      </c>
      <c r="G28" s="521"/>
      <c r="I28" s="783"/>
      <c r="J28" s="783"/>
      <c r="K28" s="783"/>
      <c r="L28" s="783"/>
      <c r="M28" s="783"/>
      <c r="N28" s="783"/>
      <c r="O28" s="783"/>
      <c r="P28" s="783"/>
      <c r="Q28" s="783"/>
    </row>
    <row r="29" spans="1:17">
      <c r="A29" s="519"/>
      <c r="B29" s="233" t="str">
        <f>'Real Losses Component Analysis'!B12</f>
        <v>Reservoirs</v>
      </c>
      <c r="C29" s="631">
        <f>'Real Losses Component Analysis'!C12</f>
        <v>0</v>
      </c>
      <c r="D29" s="631">
        <f>'Real Losses Component Analysis'!D12</f>
        <v>0</v>
      </c>
      <c r="E29" s="632">
        <f>'Real Losses Component Analysis'!E12</f>
        <v>0</v>
      </c>
      <c r="F29" s="732">
        <f>'Real Losses Component Analysis'!F12</f>
        <v>0</v>
      </c>
      <c r="G29" s="521"/>
      <c r="I29" s="783"/>
      <c r="J29" s="783"/>
      <c r="K29" s="783"/>
      <c r="L29" s="783"/>
      <c r="M29" s="783"/>
      <c r="N29" s="783"/>
      <c r="O29" s="783"/>
      <c r="P29" s="783"/>
      <c r="Q29" s="783"/>
    </row>
    <row r="30" spans="1:17">
      <c r="A30" s="519"/>
      <c r="B30" s="233" t="str">
        <f>'Real Losses Component Analysis'!B13</f>
        <v>Mains and Appurtenances</v>
      </c>
      <c r="C30" s="631">
        <f>'Real Losses Component Analysis'!C13</f>
        <v>0</v>
      </c>
      <c r="D30" s="631">
        <f>'Real Losses Component Analysis'!D13</f>
        <v>0</v>
      </c>
      <c r="E30" s="634">
        <f>'Real Losses Component Analysis'!E13</f>
        <v>0</v>
      </c>
      <c r="F30" s="732">
        <f>'Real Losses Component Analysis'!F13</f>
        <v>0</v>
      </c>
      <c r="G30" s="521"/>
      <c r="I30" s="783"/>
      <c r="J30" s="783"/>
      <c r="K30" s="783"/>
      <c r="L30" s="783"/>
      <c r="M30" s="783"/>
      <c r="N30" s="783"/>
      <c r="O30" s="783"/>
      <c r="P30" s="783"/>
      <c r="Q30" s="783"/>
    </row>
    <row r="31" spans="1:17">
      <c r="A31" s="519"/>
      <c r="B31" s="234" t="str">
        <f>'Real Losses Component Analysis'!B14</f>
        <v>Service Connections</v>
      </c>
      <c r="C31" s="631">
        <f>'Real Losses Component Analysis'!C14</f>
        <v>0</v>
      </c>
      <c r="D31" s="631">
        <f>'Real Losses Component Analysis'!D14</f>
        <v>0</v>
      </c>
      <c r="E31" s="634">
        <f>'Real Losses Component Analysis'!E14</f>
        <v>0</v>
      </c>
      <c r="F31" s="732">
        <f>'Real Losses Component Analysis'!F14</f>
        <v>0</v>
      </c>
      <c r="G31" s="521"/>
      <c r="I31" s="783"/>
      <c r="J31" s="783"/>
      <c r="K31" s="783"/>
      <c r="L31" s="783"/>
      <c r="M31" s="783"/>
      <c r="N31" s="783"/>
      <c r="O31" s="783"/>
      <c r="P31" s="783"/>
      <c r="Q31" s="783"/>
    </row>
    <row r="32" spans="1:17">
      <c r="A32" s="519"/>
      <c r="B32" s="742" t="str">
        <f>'Real Losses Component Analysis'!B15</f>
        <v>Total Annual Real Loss</v>
      </c>
      <c r="C32" s="633">
        <f>'Real Losses Component Analysis'!C15</f>
        <v>0</v>
      </c>
      <c r="D32" s="633">
        <f>'Real Losses Component Analysis'!D15</f>
        <v>0</v>
      </c>
      <c r="E32" s="635">
        <f>'Real Losses Component Analysis'!E15</f>
        <v>0</v>
      </c>
      <c r="F32" s="732">
        <f>'Real Losses Component Analysis'!F15</f>
        <v>0</v>
      </c>
      <c r="G32" s="521"/>
      <c r="I32" s="783"/>
      <c r="J32" s="783"/>
      <c r="K32" s="783"/>
      <c r="L32" s="783"/>
      <c r="M32" s="783"/>
      <c r="N32" s="783"/>
      <c r="O32" s="783"/>
      <c r="P32" s="783"/>
      <c r="Q32" s="783"/>
    </row>
    <row r="33" spans="1:17">
      <c r="A33" s="519"/>
      <c r="B33" s="1060" t="str">
        <f>'Real Losses Component Analysis'!B16</f>
        <v>Real Losses as Calculated by Water Audit</v>
      </c>
      <c r="C33" s="1061"/>
      <c r="D33" s="1061"/>
      <c r="E33" s="1061"/>
      <c r="F33" s="732">
        <f>'Real Losses Component Analysis'!F16</f>
        <v>0</v>
      </c>
      <c r="G33" s="521"/>
      <c r="I33" s="783"/>
      <c r="J33" s="783"/>
      <c r="K33" s="783"/>
      <c r="L33" s="783"/>
      <c r="M33" s="783"/>
      <c r="N33" s="783"/>
      <c r="O33" s="783"/>
      <c r="P33" s="783"/>
      <c r="Q33" s="783"/>
    </row>
    <row r="34" spans="1:17" ht="16" thickBot="1">
      <c r="A34" s="519"/>
      <c r="B34" s="1062" t="str">
        <f>'Real Losses Component Analysis'!B17</f>
        <v>Hidden Losses/Unreported Leakage Currently Running Undetected</v>
      </c>
      <c r="C34" s="1063"/>
      <c r="D34" s="1063"/>
      <c r="E34" s="1063"/>
      <c r="F34" s="733">
        <f>'Real Losses Component Analysis'!F17</f>
        <v>0</v>
      </c>
      <c r="G34" s="521"/>
      <c r="I34" s="783"/>
      <c r="J34" s="783"/>
      <c r="K34" s="783"/>
      <c r="L34" s="783"/>
      <c r="M34" s="783"/>
      <c r="N34" s="783"/>
      <c r="O34" s="783"/>
      <c r="P34" s="783"/>
      <c r="Q34" s="783"/>
    </row>
    <row r="35" spans="1:17" ht="16" thickBot="1">
      <c r="A35" s="519"/>
      <c r="B35" s="520"/>
      <c r="C35" s="520"/>
      <c r="D35" s="520"/>
      <c r="E35" s="520"/>
      <c r="F35" s="520"/>
      <c r="G35" s="521"/>
      <c r="I35" s="783"/>
      <c r="J35" s="783"/>
      <c r="K35" s="783"/>
      <c r="L35" s="783"/>
      <c r="M35" s="783"/>
      <c r="N35" s="783"/>
      <c r="O35" s="783"/>
      <c r="P35" s="783"/>
      <c r="Q35" s="783"/>
    </row>
    <row r="36" spans="1:17">
      <c r="A36" s="519"/>
      <c r="B36" s="918" t="s">
        <v>766</v>
      </c>
      <c r="C36" s="517"/>
      <c r="D36" s="517"/>
      <c r="E36" s="517"/>
      <c r="F36" s="518"/>
      <c r="G36" s="521"/>
      <c r="I36" s="783"/>
      <c r="J36" s="783"/>
      <c r="K36" s="783"/>
      <c r="L36" s="783"/>
      <c r="M36" s="783"/>
      <c r="N36" s="783"/>
      <c r="O36" s="783"/>
      <c r="P36" s="783"/>
      <c r="Q36" s="783"/>
    </row>
    <row r="37" spans="1:17" s="904" customFormat="1" ht="31.5" customHeight="1">
      <c r="A37" s="921"/>
      <c r="B37" s="1066"/>
      <c r="C37" s="1067"/>
      <c r="D37" s="925" t="s">
        <v>770</v>
      </c>
      <c r="E37" s="925" t="s">
        <v>771</v>
      </c>
      <c r="F37" s="785"/>
      <c r="G37" s="923"/>
      <c r="H37" s="922"/>
      <c r="I37" s="909"/>
      <c r="J37" s="909"/>
      <c r="K37" s="909"/>
      <c r="L37" s="909"/>
      <c r="M37" s="909"/>
      <c r="N37" s="909"/>
      <c r="O37" s="909"/>
      <c r="P37" s="909"/>
      <c r="Q37" s="909"/>
    </row>
    <row r="38" spans="1:17" ht="31.5" customHeight="1">
      <c r="A38" s="519"/>
      <c r="B38" s="1076" t="s">
        <v>767</v>
      </c>
      <c r="C38" s="1077"/>
      <c r="D38" s="771">
        <f>'A-L-R Times Options'!E50</f>
        <v>0</v>
      </c>
      <c r="E38" s="771">
        <f>'A-L-R Times Options'!F50</f>
        <v>0</v>
      </c>
      <c r="F38" s="772" t="str">
        <f>'A-L-R Times Options'!G50</f>
        <v>(MG)</v>
      </c>
      <c r="G38" s="521"/>
      <c r="I38" s="783"/>
      <c r="J38" s="783"/>
      <c r="K38" s="783"/>
      <c r="L38" s="783"/>
      <c r="M38" s="783"/>
      <c r="N38" s="783"/>
      <c r="O38" s="783"/>
      <c r="P38" s="783"/>
      <c r="Q38" s="783"/>
    </row>
    <row r="39" spans="1:17" ht="31.5" customHeight="1" thickBot="1">
      <c r="A39" s="519"/>
      <c r="B39" s="1064" t="s">
        <v>768</v>
      </c>
      <c r="C39" s="1065"/>
      <c r="D39" s="422">
        <f>'A-L-R Times Options'!E51</f>
        <v>0</v>
      </c>
      <c r="E39" s="422">
        <f>'A-L-R Times Options'!F51</f>
        <v>0</v>
      </c>
      <c r="F39" s="770" t="str">
        <f>'A-L-R Times Options'!G51</f>
        <v>Per Year</v>
      </c>
      <c r="G39" s="521"/>
      <c r="I39" s="783"/>
      <c r="J39" s="783"/>
      <c r="K39" s="783"/>
      <c r="L39" s="783"/>
      <c r="M39" s="783"/>
      <c r="N39" s="783"/>
      <c r="O39" s="783"/>
      <c r="P39" s="783"/>
      <c r="Q39" s="783"/>
    </row>
    <row r="40" spans="1:17" ht="16" thickBot="1">
      <c r="A40" s="519"/>
      <c r="B40" s="520"/>
      <c r="C40" s="520"/>
      <c r="D40" s="520"/>
      <c r="E40" s="520"/>
      <c r="F40" s="520"/>
      <c r="G40" s="521"/>
      <c r="I40" s="783"/>
      <c r="J40" s="783"/>
      <c r="K40" s="783"/>
      <c r="L40" s="783"/>
      <c r="M40" s="783"/>
      <c r="N40" s="783"/>
      <c r="O40" s="783"/>
      <c r="P40" s="783"/>
      <c r="Q40" s="783"/>
    </row>
    <row r="41" spans="1:17">
      <c r="A41" s="519"/>
      <c r="B41" s="918" t="s">
        <v>769</v>
      </c>
      <c r="C41" s="517"/>
      <c r="D41" s="517"/>
      <c r="E41" s="517"/>
      <c r="F41" s="518"/>
      <c r="G41" s="521"/>
      <c r="I41" s="783"/>
      <c r="J41" s="783"/>
      <c r="K41" s="783"/>
      <c r="L41" s="783"/>
      <c r="M41" s="783"/>
      <c r="N41" s="783"/>
      <c r="O41" s="783"/>
      <c r="P41" s="783"/>
      <c r="Q41" s="783"/>
    </row>
    <row r="42" spans="1:17">
      <c r="A42" s="519"/>
      <c r="B42" s="1078" t="s">
        <v>800</v>
      </c>
      <c r="C42" s="1079"/>
      <c r="D42" s="1079"/>
      <c r="E42" s="786" t="str">
        <f>'Economic Intervention Frequency'!D38</f>
        <v/>
      </c>
      <c r="F42" s="787" t="str">
        <f>'Economic Intervention Frequency'!E38</f>
        <v>%</v>
      </c>
      <c r="G42" s="521"/>
      <c r="I42" s="783"/>
      <c r="J42" s="783"/>
      <c r="K42" s="783"/>
      <c r="L42" s="783"/>
      <c r="M42" s="783"/>
      <c r="N42" s="783"/>
      <c r="O42" s="783"/>
      <c r="P42" s="783"/>
      <c r="Q42" s="783"/>
    </row>
    <row r="43" spans="1:17">
      <c r="A43" s="519"/>
      <c r="B43" s="1080" t="s">
        <v>536</v>
      </c>
      <c r="C43" s="1081"/>
      <c r="D43" s="1081"/>
      <c r="E43" s="788" t="str">
        <f>'Economic Intervention Frequency'!D40</f>
        <v/>
      </c>
      <c r="F43" s="789" t="str">
        <f>'Economic Intervention Frequency'!E40</f>
        <v>$/year</v>
      </c>
      <c r="G43" s="521"/>
      <c r="I43" s="783"/>
      <c r="J43" s="783"/>
      <c r="K43" s="783"/>
      <c r="L43" s="783"/>
      <c r="M43" s="783"/>
      <c r="N43" s="783"/>
      <c r="O43" s="783"/>
      <c r="P43" s="783"/>
      <c r="Q43" s="783"/>
    </row>
    <row r="44" spans="1:17" ht="16" thickBot="1">
      <c r="A44" s="519"/>
      <c r="B44" s="1086" t="s">
        <v>611</v>
      </c>
      <c r="C44" s="1087"/>
      <c r="D44" s="1087"/>
      <c r="E44" s="825" t="str">
        <f>'Economic Intervention Frequency'!D46</f>
        <v/>
      </c>
      <c r="F44" s="790" t="str">
        <f>'Economic Intervention Frequency'!E46</f>
        <v>MG/year</v>
      </c>
      <c r="G44" s="521"/>
      <c r="I44" s="783"/>
      <c r="J44" s="783"/>
      <c r="K44" s="783"/>
      <c r="L44" s="783"/>
      <c r="M44" s="783"/>
      <c r="N44" s="783"/>
      <c r="O44" s="783"/>
      <c r="P44" s="783"/>
      <c r="Q44" s="783"/>
    </row>
    <row r="45" spans="1:17" ht="16" thickBot="1">
      <c r="A45" s="519"/>
      <c r="B45" s="520"/>
      <c r="C45" s="520"/>
      <c r="D45" s="520"/>
      <c r="E45" s="520"/>
      <c r="F45" s="520"/>
      <c r="G45" s="521"/>
      <c r="I45" s="783"/>
      <c r="J45" s="783"/>
      <c r="K45" s="783"/>
      <c r="L45" s="783"/>
      <c r="M45" s="783"/>
      <c r="N45" s="783"/>
      <c r="O45" s="783"/>
      <c r="P45" s="783"/>
      <c r="Q45" s="783"/>
    </row>
    <row r="46" spans="1:17">
      <c r="A46" s="519"/>
      <c r="B46" s="936" t="s">
        <v>789</v>
      </c>
      <c r="C46" s="937"/>
      <c r="D46" s="937"/>
      <c r="E46" s="517"/>
      <c r="F46" s="518"/>
      <c r="G46" s="521"/>
      <c r="I46" s="783"/>
      <c r="J46" s="783"/>
      <c r="K46" s="783"/>
      <c r="L46" s="783"/>
      <c r="M46" s="783"/>
      <c r="N46" s="783"/>
      <c r="O46" s="783"/>
      <c r="P46" s="783"/>
      <c r="Q46" s="783"/>
    </row>
    <row r="47" spans="1:17">
      <c r="A47" s="519"/>
      <c r="B47" s="1082" t="s">
        <v>794</v>
      </c>
      <c r="C47" s="1083"/>
      <c r="D47" s="1083"/>
      <c r="E47" s="809">
        <f>'Pressure Management Options'!D29</f>
        <v>0</v>
      </c>
      <c r="F47" s="810" t="str">
        <f>'AWWA-Water Balance Data Transf.'!E41</f>
        <v>PSI</v>
      </c>
      <c r="G47" s="891"/>
    </row>
    <row r="48" spans="1:17">
      <c r="A48" s="519"/>
      <c r="B48" s="1082" t="s">
        <v>416</v>
      </c>
      <c r="C48" s="1083"/>
      <c r="D48" s="1083"/>
      <c r="E48" s="806" t="str">
        <f>'Pressure Management Options'!D30</f>
        <v/>
      </c>
      <c r="F48" s="810"/>
      <c r="G48" s="891"/>
      <c r="I48" s="783"/>
      <c r="J48" s="783"/>
      <c r="K48" s="783"/>
      <c r="L48" s="783"/>
      <c r="M48" s="783"/>
      <c r="N48" s="783"/>
      <c r="O48" s="783"/>
      <c r="P48" s="783"/>
      <c r="Q48" s="783"/>
    </row>
    <row r="49" spans="1:17">
      <c r="A49" s="519"/>
      <c r="B49" s="1082" t="s">
        <v>792</v>
      </c>
      <c r="C49" s="1083"/>
      <c r="D49" s="1083"/>
      <c r="E49" s="807" t="str">
        <f>'Pressure Management Options'!D31</f>
        <v/>
      </c>
      <c r="F49" s="810" t="s">
        <v>61</v>
      </c>
      <c r="G49" s="891"/>
      <c r="I49" s="783"/>
      <c r="J49" s="783"/>
      <c r="K49" s="783"/>
      <c r="L49" s="783"/>
      <c r="M49" s="783"/>
      <c r="N49" s="783"/>
      <c r="O49" s="783"/>
      <c r="P49" s="783"/>
      <c r="Q49" s="783"/>
    </row>
    <row r="50" spans="1:17">
      <c r="A50" s="519"/>
      <c r="B50" s="1082" t="s">
        <v>791</v>
      </c>
      <c r="C50" s="1083"/>
      <c r="D50" s="1083"/>
      <c r="E50" s="808" t="str">
        <f>'Pressure Management Options'!D32</f>
        <v/>
      </c>
      <c r="F50" s="810" t="s">
        <v>419</v>
      </c>
      <c r="G50" s="891"/>
      <c r="I50" s="783"/>
      <c r="J50" s="783"/>
      <c r="K50" s="783"/>
      <c r="L50" s="783"/>
      <c r="M50" s="783"/>
      <c r="N50" s="783"/>
      <c r="O50" s="783"/>
      <c r="P50" s="783"/>
      <c r="Q50" s="783"/>
    </row>
    <row r="51" spans="1:17" ht="7.5" customHeight="1">
      <c r="A51" s="519"/>
      <c r="B51" s="811"/>
      <c r="C51" s="812"/>
      <c r="D51" s="812"/>
      <c r="E51" s="166"/>
      <c r="F51" s="813"/>
      <c r="G51" s="891"/>
      <c r="I51" s="783"/>
      <c r="J51" s="783"/>
      <c r="K51" s="783"/>
      <c r="L51" s="783"/>
      <c r="M51" s="783"/>
      <c r="N51" s="783"/>
      <c r="O51" s="783"/>
      <c r="P51" s="783"/>
      <c r="Q51" s="783"/>
    </row>
    <row r="52" spans="1:17" ht="9" customHeight="1">
      <c r="A52" s="519"/>
      <c r="B52" s="811"/>
      <c r="C52" s="812"/>
      <c r="D52" s="812"/>
      <c r="E52" s="166"/>
      <c r="F52" s="813"/>
      <c r="G52" s="891"/>
      <c r="I52" s="783"/>
      <c r="J52" s="783"/>
      <c r="K52" s="783"/>
      <c r="L52" s="783"/>
      <c r="M52" s="783"/>
      <c r="N52" s="783"/>
      <c r="O52" s="783"/>
      <c r="P52" s="783"/>
      <c r="Q52" s="783"/>
    </row>
    <row r="53" spans="1:17">
      <c r="A53" s="519"/>
      <c r="B53" s="1082" t="s">
        <v>793</v>
      </c>
      <c r="C53" s="1083"/>
      <c r="D53" s="1083"/>
      <c r="E53" s="816">
        <f>'Pressure Management Options'!D35</f>
        <v>0</v>
      </c>
      <c r="F53" s="810" t="s">
        <v>421</v>
      </c>
      <c r="G53" s="891"/>
    </row>
    <row r="54" spans="1:17" ht="16" thickBot="1">
      <c r="A54" s="519"/>
      <c r="B54" s="1084" t="s">
        <v>790</v>
      </c>
      <c r="C54" s="1085"/>
      <c r="D54" s="1085"/>
      <c r="E54" s="814" t="str">
        <f>'Pressure Management Options'!D36</f>
        <v/>
      </c>
      <c r="F54" s="815" t="s">
        <v>422</v>
      </c>
      <c r="G54" s="891"/>
      <c r="I54" s="783"/>
      <c r="J54" s="783"/>
      <c r="K54" s="783"/>
      <c r="L54" s="783"/>
      <c r="M54" s="783"/>
      <c r="N54" s="783"/>
      <c r="O54" s="783"/>
      <c r="P54" s="783"/>
      <c r="Q54" s="783"/>
    </row>
    <row r="55" spans="1:17">
      <c r="A55" s="519"/>
      <c r="B55" s="812"/>
      <c r="C55" s="812"/>
      <c r="D55" s="812"/>
      <c r="E55" s="812"/>
      <c r="F55" s="812"/>
      <c r="G55" s="891"/>
      <c r="I55" s="783"/>
      <c r="J55" s="783"/>
      <c r="K55" s="783"/>
      <c r="L55" s="783"/>
      <c r="M55" s="783"/>
      <c r="N55" s="783"/>
      <c r="O55" s="783"/>
      <c r="P55" s="783"/>
      <c r="Q55" s="783"/>
    </row>
    <row r="56" spans="1:17">
      <c r="A56" s="519"/>
      <c r="B56" s="520"/>
      <c r="C56" s="520"/>
      <c r="D56" s="520"/>
      <c r="E56" s="520"/>
      <c r="F56" s="520"/>
      <c r="G56" s="521"/>
      <c r="I56" s="783"/>
      <c r="J56" s="783"/>
      <c r="K56" s="783"/>
      <c r="L56" s="783"/>
      <c r="M56" s="783"/>
      <c r="N56" s="783"/>
      <c r="O56" s="783"/>
      <c r="P56" s="783"/>
      <c r="Q56" s="783"/>
    </row>
    <row r="57" spans="1:17" ht="14.25" customHeight="1" thickBot="1">
      <c r="A57" s="1005" t="str">
        <f>IF('Start Page'!$H$29="","",'Start Page'!$H$29)</f>
        <v/>
      </c>
      <c r="B57" s="1006"/>
      <c r="C57" s="752"/>
      <c r="D57" s="752"/>
      <c r="E57" s="752"/>
      <c r="F57" s="752"/>
      <c r="G57" s="753" t="s">
        <v>922</v>
      </c>
      <c r="I57" s="783"/>
      <c r="J57" s="783"/>
      <c r="K57" s="783"/>
      <c r="L57" s="783"/>
      <c r="M57" s="783"/>
      <c r="N57" s="783"/>
      <c r="O57" s="783"/>
      <c r="P57" s="783"/>
      <c r="Q57" s="783"/>
    </row>
    <row r="58" spans="1:17" hidden="1"/>
    <row r="59" spans="1:17" hidden="1"/>
  </sheetData>
  <sheetProtection algorithmName="SHA-512" hashValue="cW831WZqvjLW7eYSDNuE/LQTEtLmQjYId8REG5x6LEaU5gypY9YJNMZ3mShJc3FlH04BYjUgi9qqPdsBFknayw==" saltValue="m1hj5ZQvbY5ZGcmriTpN8g==" spinCount="100000" sheet="1" objects="1" scenarios="1"/>
  <mergeCells count="35">
    <mergeCell ref="B9:C9"/>
    <mergeCell ref="B10:C10"/>
    <mergeCell ref="B11:C11"/>
    <mergeCell ref="B12:C12"/>
    <mergeCell ref="B13:C13"/>
    <mergeCell ref="A57:B57"/>
    <mergeCell ref="B23:C23"/>
    <mergeCell ref="B26:F26"/>
    <mergeCell ref="B38:C38"/>
    <mergeCell ref="B42:D42"/>
    <mergeCell ref="B43:D43"/>
    <mergeCell ref="B53:D53"/>
    <mergeCell ref="B54:D54"/>
    <mergeCell ref="B48:D48"/>
    <mergeCell ref="B49:D49"/>
    <mergeCell ref="B50:D50"/>
    <mergeCell ref="B46:D46"/>
    <mergeCell ref="B44:D44"/>
    <mergeCell ref="B47:D47"/>
    <mergeCell ref="A1:F2"/>
    <mergeCell ref="B22:C22"/>
    <mergeCell ref="B33:E33"/>
    <mergeCell ref="B34:E34"/>
    <mergeCell ref="B39:C39"/>
    <mergeCell ref="B37:C37"/>
    <mergeCell ref="B19:C19"/>
    <mergeCell ref="B20:C20"/>
    <mergeCell ref="B17:C17"/>
    <mergeCell ref="B21:C21"/>
    <mergeCell ref="A3:G3"/>
    <mergeCell ref="B18:C18"/>
    <mergeCell ref="B6:F6"/>
    <mergeCell ref="B14:C14"/>
    <mergeCell ref="B15:C15"/>
    <mergeCell ref="B16:C16"/>
  </mergeCells>
  <conditionalFormatting sqref="F33 D11:D12 D14 D22 D18:D20">
    <cfRule type="cellIs" dxfId="12" priority="4" operator="lessThan">
      <formula>0</formula>
    </cfRule>
  </conditionalFormatting>
  <conditionalFormatting sqref="D23">
    <cfRule type="cellIs" dxfId="11" priority="2" operator="lessThan">
      <formula>1</formula>
    </cfRule>
    <cfRule type="cellIs" dxfId="10" priority="3" operator="equal">
      <formula>1</formula>
    </cfRule>
  </conditionalFormatting>
  <hyperlinks>
    <hyperlink ref="B11" location="Glossary!C85" tooltip="Click for Definition" display="Non-revenue water as percent by volume of water supplied:"/>
    <hyperlink ref="B12" location="Glossary!C83" tooltip="Click for Definition" display="Non-revenue water as percent by cost of operating system:"/>
    <hyperlink ref="B13" location="Glossary!C10" tooltip="Click for Definition" display="Annual cost of Apparent Losses:"/>
    <hyperlink ref="B14" location="Glossary!C12" tooltip="Click for Definition" display="Annual cost of Real Losses:"/>
    <hyperlink ref="B17" location="Glossary!C16" tooltip="Click for Definition" display="Apparent Losses per service connection per day:"/>
    <hyperlink ref="B18" location="Glossary!C105" tooltip="Click for Definition" display="Real Losses per service connection per day*:"/>
    <hyperlink ref="B19" location="Glossary!C103" tooltip="Click for Definition" display="Real Losses per length of main per day:"/>
    <hyperlink ref="B20" location="Glossary!C107" tooltip="Click for definition" display="Glossary!C107"/>
    <hyperlink ref="B21" location="Glossary!C133" tooltip="Click for Definition" display="Unavoidable Annual Real Losses (UARL):"/>
    <hyperlink ref="B22" location="Glossary!C55" tooltip="Click for Definition" display="Current Annual Real Losses (CARL):"/>
    <hyperlink ref="B23" location="Glossary!C75" tooltip="Click for Definition" display="Infrastructure Leakage Index (ILI) [CARL/UARL]:"/>
    <hyperlink ref="B21:C21" location="Glossary!C127" tooltip="Click for Definition" display="Unavoidable Annual Real Losses (UARL):"/>
    <hyperlink ref="B20:C20" location="Glossary!C105" tooltip="Click for definition" display="Glossary!C105"/>
    <hyperlink ref="B19:C19" location="Glossary!C101" tooltip="Click for Definition" display="Real Losses per length of main per day:"/>
    <hyperlink ref="D27" location="Glossary!C107" tooltip="Click for Definition" display="Reported Leaks"/>
    <hyperlink ref="C27" location="Glossary!C45" tooltip="Click for Definition" display="Background Leakage"/>
    <hyperlink ref="E27" location="Glossary!C136" tooltip="Click for Definition" display="Unreported Leaks"/>
    <hyperlink ref="B47" location="Glossary!C18" tooltip="Click for Definition" display="Assumed Reduction in Average System Pressure"/>
    <hyperlink ref="B48" location="Glossary!C18" tooltip="Click for Definition" display="Assumed % Reduction in Average System Pressure"/>
    <hyperlink ref="B50" location="Glossary!C140" tooltip="Click for Definition" display="Value of Real Loss Volume Saved Through Alternative Pressure Management Policy"/>
    <hyperlink ref="B49" location="Glossary!C97" tooltip="Click for Definition" display="Real Loss Volume Saved Through Alternative Pressure Management Policy"/>
    <hyperlink ref="B54" location="Glossary!C119" tooltip="Click for Definition" display="Simple Payback Period for Implementing Alternative Pressure Management Policy"/>
    <hyperlink ref="B53" location="Glossary!C65" tooltip="Click for Definition" display="Enter Estimated Cost of Implementing Alternative Pressure Management Policy"/>
  </hyperlinks>
  <pageMargins left="0.5" right="0.5" top="0.5" bottom="0.5" header="0.3" footer="0.3"/>
  <pageSetup scale="73" orientation="portrait" r:id="rId1"/>
  <ignoredErrors>
    <ignoredError sqref="A57 E47 E53" emptyCellReference="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wwaWaterBalance">
    <pageSetUpPr autoPageBreaks="0" fitToPage="1"/>
  </sheetPr>
  <dimension ref="A1:XFC99"/>
  <sheetViews>
    <sheetView topLeftCell="B1" zoomScale="80" zoomScaleNormal="80" zoomScalePageLayoutView="75" workbookViewId="0">
      <selection activeCell="D13" sqref="D13"/>
    </sheetView>
  </sheetViews>
  <sheetFormatPr defaultColWidth="0" defaultRowHeight="15.5" zeroHeight="1"/>
  <cols>
    <col min="1" max="1" width="2.23046875" style="395" hidden="1" customWidth="1"/>
    <col min="2" max="2" width="24.3046875" style="395" customWidth="1"/>
    <col min="3" max="3" width="29.765625" style="395" customWidth="1"/>
    <col min="4" max="4" width="18.3046875" style="395" customWidth="1"/>
    <col min="5" max="5" width="14.53515625" style="395" customWidth="1"/>
    <col min="6" max="6" width="11.07421875" style="395" customWidth="1"/>
    <col min="7" max="7" width="7.765625" style="395" customWidth="1"/>
    <col min="8" max="8" width="6.53515625" style="395" customWidth="1"/>
    <col min="9" max="9" width="11.23046875" style="395" customWidth="1"/>
    <col min="10" max="10" width="3.84375" style="395" customWidth="1"/>
    <col min="11" max="11" width="6.07421875" style="395" customWidth="1"/>
    <col min="12" max="12" width="30" style="395" hidden="1" customWidth="1"/>
    <col min="13" max="15" width="4.765625" style="604" hidden="1" customWidth="1"/>
    <col min="16" max="16" width="5.765625" style="604" hidden="1" customWidth="1"/>
    <col min="17" max="17" width="7" style="604" hidden="1" customWidth="1"/>
    <col min="18" max="18" width="25.765625" style="604" hidden="1" customWidth="1"/>
    <col min="19" max="20" width="11.07421875" style="604" hidden="1" customWidth="1"/>
    <col min="21" max="21" width="20.3046875" style="604" hidden="1" customWidth="1"/>
    <col min="22" max="22" width="11.07421875" style="604" hidden="1" customWidth="1"/>
    <col min="23" max="23" width="11.3046875" style="604" hidden="1" customWidth="1"/>
    <col min="24" max="30" width="11.07421875" style="604" hidden="1" customWidth="1"/>
    <col min="31" max="37" width="11.07421875" style="367" hidden="1" customWidth="1"/>
    <col min="38" max="16380" width="8.84375" style="367" hidden="1"/>
    <col min="16381" max="16381" width="3.23046875" style="367" hidden="1" customWidth="1"/>
    <col min="16382" max="16382" width="3.07421875" style="367" hidden="1" customWidth="1"/>
    <col min="16383" max="16383" width="2.3046875" style="367" hidden="1" customWidth="1"/>
    <col min="16384" max="16384" width="1.765625" style="367" hidden="1" customWidth="1"/>
  </cols>
  <sheetData>
    <row r="1" spans="1:37" ht="15.75" customHeight="1">
      <c r="A1" s="370"/>
      <c r="B1" s="1054" t="s">
        <v>920</v>
      </c>
      <c r="C1" s="1055"/>
      <c r="D1" s="1055"/>
      <c r="E1" s="1055"/>
      <c r="F1" s="366"/>
      <c r="G1" s="366"/>
      <c r="H1" s="371"/>
      <c r="I1" s="371"/>
      <c r="J1" s="371"/>
      <c r="K1" s="371"/>
      <c r="L1" s="372"/>
      <c r="M1" s="836"/>
      <c r="N1" s="836"/>
      <c r="O1" s="836"/>
      <c r="P1" s="836"/>
      <c r="Q1" s="836"/>
      <c r="R1" s="836"/>
      <c r="S1" s="836"/>
      <c r="T1" s="836"/>
      <c r="U1" s="836"/>
      <c r="V1" s="836"/>
      <c r="W1" s="836"/>
      <c r="X1" s="836"/>
      <c r="Y1" s="836"/>
      <c r="Z1" s="836"/>
      <c r="AA1" s="836"/>
      <c r="AB1" s="836"/>
      <c r="AC1" s="836"/>
      <c r="AD1" s="836"/>
      <c r="AE1" s="837"/>
      <c r="AF1" s="837"/>
      <c r="AG1" s="837"/>
      <c r="AH1" s="837"/>
      <c r="AI1" s="837"/>
      <c r="AJ1" s="837"/>
      <c r="AK1" s="838"/>
    </row>
    <row r="2" spans="1:37" ht="15.75" customHeight="1">
      <c r="A2" s="831"/>
      <c r="B2" s="1056"/>
      <c r="C2" s="1057"/>
      <c r="D2" s="1057"/>
      <c r="E2" s="1057"/>
      <c r="F2" s="830"/>
      <c r="G2" s="830"/>
      <c r="H2" s="832"/>
      <c r="I2" s="832"/>
      <c r="J2" s="832"/>
      <c r="K2" s="832"/>
      <c r="L2" s="377"/>
      <c r="M2" s="616"/>
      <c r="N2" s="616"/>
      <c r="O2" s="616"/>
      <c r="P2" s="616"/>
      <c r="Q2" s="616"/>
      <c r="R2" s="616"/>
      <c r="S2" s="616"/>
      <c r="T2" s="616"/>
      <c r="U2" s="616"/>
      <c r="V2" s="616"/>
      <c r="W2" s="616"/>
      <c r="X2" s="616"/>
      <c r="Y2" s="616"/>
      <c r="Z2" s="616"/>
      <c r="AA2" s="616"/>
      <c r="AB2" s="616"/>
      <c r="AC2" s="616"/>
      <c r="AD2" s="616"/>
      <c r="AE2" s="839"/>
      <c r="AF2" s="839"/>
      <c r="AG2" s="839"/>
      <c r="AH2" s="839"/>
      <c r="AI2" s="839"/>
      <c r="AJ2" s="839"/>
      <c r="AK2" s="840"/>
    </row>
    <row r="3" spans="1:37" s="835" customFormat="1" ht="15.75" customHeight="1">
      <c r="A3" s="831"/>
      <c r="B3" s="1107" t="str">
        <f>IF('Start Page'!$Y$37="","",IF('Start Page'!$K$37="Partial Audit Period","Water Audit: "&amp;'Start Page'!$D$26&amp;", "&amp;'Start Page'!$H$26&amp;", "&amp;'Start Page'!$K$26&amp;", "&amp;'Start Page'!$Y$37,"Water Audit: "&amp;'Start Page'!$D$26&amp;", "&amp;'Start Page'!$H$26&amp;", "&amp;'Start Page'!$K$26&amp;", "&amp;YEAR('Start Page'!$Y$37)))</f>
        <v/>
      </c>
      <c r="C3" s="1108"/>
      <c r="D3" s="1108"/>
      <c r="E3" s="1108"/>
      <c r="F3" s="1108"/>
      <c r="G3" s="1108"/>
      <c r="H3" s="1108"/>
      <c r="I3" s="1108"/>
      <c r="J3" s="1108"/>
      <c r="K3" s="1108"/>
      <c r="AK3" s="841"/>
    </row>
    <row r="4" spans="1:37" ht="15.75" customHeight="1" thickBot="1">
      <c r="A4" s="390"/>
      <c r="B4" s="400" t="s">
        <v>921</v>
      </c>
      <c r="C4" s="401"/>
      <c r="D4" s="391"/>
      <c r="E4" s="391"/>
      <c r="F4" s="391"/>
      <c r="G4" s="391"/>
      <c r="H4" s="391"/>
      <c r="I4" s="391"/>
      <c r="J4" s="391"/>
      <c r="K4" s="391"/>
      <c r="L4" s="392"/>
      <c r="M4" s="616"/>
      <c r="N4" s="616"/>
      <c r="O4" s="616"/>
      <c r="P4" s="616"/>
      <c r="Q4" s="616"/>
      <c r="R4" s="616"/>
      <c r="S4" s="616"/>
      <c r="T4" s="616"/>
      <c r="U4" s="616"/>
      <c r="V4" s="616"/>
      <c r="W4" s="616"/>
      <c r="X4" s="616"/>
      <c r="Y4" s="616"/>
      <c r="Z4" s="616"/>
      <c r="AA4" s="616"/>
      <c r="AB4" s="616"/>
      <c r="AC4" s="616"/>
      <c r="AD4" s="616"/>
      <c r="AE4" s="839"/>
      <c r="AF4" s="839"/>
      <c r="AG4" s="839"/>
      <c r="AH4" s="839"/>
      <c r="AI4" s="839"/>
      <c r="AJ4" s="839"/>
      <c r="AK4" s="840"/>
    </row>
    <row r="5" spans="1:37">
      <c r="A5" s="370"/>
      <c r="B5" s="370"/>
      <c r="C5" s="371"/>
      <c r="D5" s="371"/>
      <c r="E5" s="371"/>
      <c r="F5" s="371"/>
      <c r="G5" s="371"/>
      <c r="H5" s="371"/>
      <c r="I5" s="371"/>
      <c r="J5" s="371"/>
      <c r="K5" s="372"/>
      <c r="L5" s="377"/>
      <c r="M5" s="616"/>
      <c r="N5" s="616"/>
      <c r="O5" s="616"/>
      <c r="P5" s="616"/>
      <c r="Q5" s="616"/>
      <c r="R5" s="616"/>
      <c r="S5" s="616"/>
      <c r="T5" s="616"/>
      <c r="U5" s="616"/>
      <c r="V5" s="616"/>
      <c r="W5" s="616"/>
      <c r="X5" s="616"/>
      <c r="Y5" s="616"/>
      <c r="Z5" s="616"/>
      <c r="AA5" s="616"/>
      <c r="AB5" s="616"/>
      <c r="AC5" s="616"/>
      <c r="AD5" s="616"/>
      <c r="AE5" s="839"/>
      <c r="AF5" s="839"/>
      <c r="AG5" s="839"/>
      <c r="AH5" s="839"/>
      <c r="AI5" s="839"/>
      <c r="AJ5" s="839"/>
      <c r="AK5" s="840"/>
    </row>
    <row r="6" spans="1:37">
      <c r="A6" s="704"/>
      <c r="B6" s="402" t="s">
        <v>561</v>
      </c>
      <c r="C6" s="832" t="s">
        <v>603</v>
      </c>
      <c r="D6" s="832"/>
      <c r="E6" s="832"/>
      <c r="F6" s="832"/>
      <c r="G6" s="832"/>
      <c r="H6" s="832"/>
      <c r="I6" s="832"/>
      <c r="J6" s="832"/>
      <c r="K6" s="377"/>
      <c r="L6" s="377"/>
      <c r="M6" s="616"/>
      <c r="N6" s="616"/>
      <c r="O6" s="616"/>
      <c r="P6" s="616"/>
      <c r="Q6" s="616"/>
      <c r="R6" s="616"/>
      <c r="S6" s="616"/>
      <c r="T6" s="616"/>
      <c r="U6" s="616"/>
      <c r="V6" s="616"/>
      <c r="W6" s="616"/>
      <c r="X6" s="616"/>
      <c r="Y6" s="616"/>
      <c r="Z6" s="616"/>
      <c r="AA6" s="616"/>
      <c r="AB6" s="616"/>
      <c r="AC6" s="616"/>
      <c r="AD6" s="616"/>
      <c r="AE6" s="839"/>
      <c r="AF6" s="839"/>
      <c r="AG6" s="839"/>
      <c r="AH6" s="839"/>
      <c r="AI6" s="839"/>
      <c r="AJ6" s="839"/>
      <c r="AK6" s="840"/>
    </row>
    <row r="7" spans="1:37" ht="16" thickBot="1">
      <c r="A7" s="704"/>
      <c r="B7" s="537"/>
      <c r="C7" s="858" t="s">
        <v>923</v>
      </c>
      <c r="D7" s="832"/>
      <c r="E7" s="832"/>
      <c r="F7" s="832"/>
      <c r="G7" s="832"/>
      <c r="H7" s="832"/>
      <c r="I7" s="832"/>
      <c r="J7" s="832"/>
      <c r="K7" s="377"/>
      <c r="L7" s="377"/>
      <c r="M7" s="616"/>
      <c r="N7" s="616"/>
      <c r="O7" s="616"/>
      <c r="P7" s="616"/>
      <c r="Q7" s="616"/>
      <c r="R7" s="616"/>
      <c r="S7" s="616"/>
      <c r="T7" s="616"/>
      <c r="U7" s="616"/>
      <c r="V7" s="616"/>
      <c r="W7" s="616"/>
      <c r="X7" s="616"/>
      <c r="Y7" s="616"/>
      <c r="Z7" s="616"/>
      <c r="AA7" s="616"/>
      <c r="AB7" s="616"/>
      <c r="AC7" s="616"/>
      <c r="AD7" s="616"/>
      <c r="AE7" s="839"/>
      <c r="AF7" s="839"/>
      <c r="AG7" s="839"/>
      <c r="AH7" s="839"/>
      <c r="AI7" s="839"/>
      <c r="AJ7" s="839"/>
      <c r="AK7" s="840"/>
    </row>
    <row r="8" spans="1:37" ht="20.25" customHeight="1">
      <c r="A8" s="704"/>
      <c r="B8" s="538" t="s">
        <v>15</v>
      </c>
      <c r="C8" s="539" t="str">
        <f>IF('Start Page'!$Y$36=1,"MG",IF('Start Page'!$Y$36=2,"ML", IF('Start Page'!$Y$36=3,"Acre-feet")))</f>
        <v>MG</v>
      </c>
      <c r="D8" s="832"/>
      <c r="E8" s="832"/>
      <c r="F8" s="832"/>
      <c r="G8" s="832"/>
      <c r="H8" s="832"/>
      <c r="I8" s="832"/>
      <c r="J8" s="832"/>
      <c r="K8" s="377"/>
      <c r="L8" s="377"/>
      <c r="M8" s="616"/>
      <c r="N8" s="616"/>
      <c r="O8" s="616"/>
      <c r="P8" s="616"/>
      <c r="Q8" s="616"/>
      <c r="R8" s="616"/>
      <c r="S8" s="616"/>
      <c r="T8" s="616"/>
      <c r="U8" s="616"/>
      <c r="V8" s="616"/>
      <c r="W8" s="616"/>
      <c r="X8" s="605" t="s">
        <v>516</v>
      </c>
      <c r="Y8" s="606"/>
      <c r="Z8" s="607"/>
      <c r="AA8" s="605"/>
      <c r="AB8" s="606"/>
      <c r="AC8" s="608"/>
      <c r="AD8" s="616"/>
      <c r="AE8" s="842"/>
      <c r="AF8" s="842"/>
      <c r="AG8" s="842"/>
      <c r="AH8" s="842"/>
      <c r="AI8" s="842"/>
      <c r="AJ8" s="842"/>
      <c r="AK8" s="843"/>
    </row>
    <row r="9" spans="1:37" ht="9" customHeight="1" thickBot="1">
      <c r="A9" s="704"/>
      <c r="B9" s="537"/>
      <c r="C9" s="540"/>
      <c r="D9" s="832"/>
      <c r="E9" s="832"/>
      <c r="F9" s="832"/>
      <c r="G9" s="832"/>
      <c r="H9" s="832"/>
      <c r="I9" s="832"/>
      <c r="J9" s="832"/>
      <c r="K9" s="377"/>
      <c r="L9" s="377"/>
      <c r="M9" s="616"/>
      <c r="N9" s="616"/>
      <c r="O9" s="616"/>
      <c r="P9" s="616"/>
      <c r="Q9" s="616"/>
      <c r="R9" s="616"/>
      <c r="S9" s="616"/>
      <c r="T9" s="616"/>
      <c r="U9" s="616"/>
      <c r="V9" s="616"/>
      <c r="W9" s="616"/>
      <c r="X9" s="609" t="s">
        <v>53</v>
      </c>
      <c r="Y9" s="610"/>
      <c r="Z9" s="611"/>
      <c r="AA9" s="609" t="s">
        <v>543</v>
      </c>
      <c r="AB9" s="610"/>
      <c r="AC9" s="612"/>
      <c r="AD9" s="616"/>
      <c r="AE9" s="842"/>
      <c r="AF9" s="842"/>
      <c r="AG9" s="842"/>
      <c r="AH9" s="842"/>
      <c r="AI9" s="842"/>
      <c r="AJ9" s="842"/>
      <c r="AK9" s="843"/>
    </row>
    <row r="10" spans="1:37" ht="7.5" customHeight="1">
      <c r="A10" s="704"/>
      <c r="B10" s="1109"/>
      <c r="C10" s="1110"/>
      <c r="D10" s="832"/>
      <c r="E10" s="832"/>
      <c r="F10" s="832"/>
      <c r="G10" s="832"/>
      <c r="H10" s="832"/>
      <c r="I10" s="832"/>
      <c r="J10" s="832"/>
      <c r="K10" s="377"/>
      <c r="L10" s="377"/>
      <c r="M10" s="616"/>
      <c r="N10" s="616"/>
      <c r="O10" s="616"/>
      <c r="P10" s="616"/>
      <c r="Q10" s="616"/>
      <c r="R10" s="616"/>
      <c r="S10" s="616"/>
      <c r="T10" s="616"/>
      <c r="U10" s="616"/>
      <c r="V10" s="616"/>
      <c r="W10" s="613" t="s">
        <v>544</v>
      </c>
      <c r="X10" s="605" t="s">
        <v>547</v>
      </c>
      <c r="Y10" s="606" t="s">
        <v>548</v>
      </c>
      <c r="Z10" s="607" t="s">
        <v>549</v>
      </c>
      <c r="AA10" s="605" t="s">
        <v>547</v>
      </c>
      <c r="AB10" s="606" t="s">
        <v>548</v>
      </c>
      <c r="AC10" s="608" t="s">
        <v>549</v>
      </c>
      <c r="AD10" s="616"/>
      <c r="AE10" s="842"/>
      <c r="AF10" s="842"/>
      <c r="AG10" s="842"/>
      <c r="AH10" s="842"/>
      <c r="AI10" s="842"/>
      <c r="AJ10" s="842"/>
      <c r="AK10" s="843"/>
    </row>
    <row r="11" spans="1:37">
      <c r="A11" s="704"/>
      <c r="B11" s="1111" t="s">
        <v>16</v>
      </c>
      <c r="C11" s="1112"/>
      <c r="D11" s="525"/>
      <c r="E11" s="525"/>
      <c r="F11" s="525"/>
      <c r="G11" s="525"/>
      <c r="H11" s="525"/>
      <c r="I11" s="525"/>
      <c r="J11" s="525"/>
      <c r="K11" s="526"/>
      <c r="L11" s="526"/>
      <c r="M11" s="616"/>
      <c r="N11" s="616"/>
      <c r="O11" s="616"/>
      <c r="P11" s="616"/>
      <c r="Q11" s="616"/>
      <c r="R11" s="616"/>
      <c r="S11" s="616"/>
      <c r="T11" s="616"/>
      <c r="U11" s="616"/>
      <c r="V11" s="616"/>
      <c r="W11" s="614" t="s">
        <v>138</v>
      </c>
      <c r="X11" s="615">
        <v>5.41</v>
      </c>
      <c r="Y11" s="616">
        <f>AB11*'Unit Conversion Sheet'!$C$7</f>
        <v>28.968119999999999</v>
      </c>
      <c r="Z11" s="616">
        <f>X11</f>
        <v>5.41</v>
      </c>
      <c r="AA11" s="615">
        <f>X11/'Unit Conversion Sheet'!$D$65</f>
        <v>3.3616265052754546</v>
      </c>
      <c r="AB11" s="616">
        <v>18</v>
      </c>
      <c r="AC11" s="617">
        <f>AA11</f>
        <v>3.3616265052754546</v>
      </c>
      <c r="AD11" s="616"/>
      <c r="AE11" s="842"/>
      <c r="AF11" s="842"/>
      <c r="AG11" s="842"/>
      <c r="AH11" s="842"/>
      <c r="AI11" s="842"/>
      <c r="AJ11" s="842"/>
      <c r="AK11" s="843"/>
    </row>
    <row r="12" spans="1:37">
      <c r="A12" s="704"/>
      <c r="B12" s="1113"/>
      <c r="C12" s="1114"/>
      <c r="D12" s="832"/>
      <c r="E12" s="832"/>
      <c r="F12" s="832"/>
      <c r="G12" s="832"/>
      <c r="H12" s="832"/>
      <c r="I12" s="832"/>
      <c r="J12" s="832"/>
      <c r="K12" s="377"/>
      <c r="L12" s="377"/>
      <c r="M12" s="616"/>
      <c r="N12" s="616"/>
      <c r="O12" s="616"/>
      <c r="P12" s="616"/>
      <c r="Q12" s="616"/>
      <c r="R12" s="616"/>
      <c r="S12" s="616"/>
      <c r="T12" s="616"/>
      <c r="U12" s="616"/>
      <c r="V12" s="616"/>
      <c r="W12" s="614" t="s">
        <v>545</v>
      </c>
      <c r="X12" s="615">
        <v>0.15</v>
      </c>
      <c r="Y12" s="616">
        <v>0.8</v>
      </c>
      <c r="Z12" s="616">
        <f>X12</f>
        <v>0.15</v>
      </c>
      <c r="AA12" s="615">
        <f>X12</f>
        <v>0.15</v>
      </c>
      <c r="AB12" s="616">
        <v>0.8</v>
      </c>
      <c r="AC12" s="617">
        <f>AA12</f>
        <v>0.15</v>
      </c>
      <c r="AD12" s="616"/>
      <c r="AE12" s="842"/>
      <c r="AF12" s="842"/>
      <c r="AG12" s="842"/>
      <c r="AH12" s="842"/>
      <c r="AI12" s="842"/>
      <c r="AJ12" s="842"/>
      <c r="AK12" s="843"/>
    </row>
    <row r="13" spans="1:37" ht="16" thickBot="1">
      <c r="A13" s="704"/>
      <c r="B13" s="1115" t="s">
        <v>631</v>
      </c>
      <c r="C13" s="1116"/>
      <c r="D13" s="852">
        <v>0</v>
      </c>
      <c r="E13" s="525" t="str">
        <f>IF('Start Page'!$Y$36=1,"MG/Yr",IF('Start Page'!$Y$36=2,"ML/Yr", IF('Start Page'!$Y$36=3,"Acre-feet/Yr")))</f>
        <v>MG/Yr</v>
      </c>
      <c r="F13" s="525"/>
      <c r="G13" s="525"/>
      <c r="H13" s="525"/>
      <c r="I13" s="525"/>
      <c r="J13" s="525"/>
      <c r="K13" s="526"/>
      <c r="L13" s="526"/>
      <c r="M13" s="616"/>
      <c r="N13" s="616"/>
      <c r="O13" s="616"/>
      <c r="P13" s="616">
        <f>COUNTBLANK(D13)</f>
        <v>0</v>
      </c>
      <c r="Q13" s="616" t="s">
        <v>72</v>
      </c>
      <c r="R13" s="616"/>
      <c r="S13" s="616"/>
      <c r="T13" s="616"/>
      <c r="U13" s="616"/>
      <c r="V13" s="616"/>
      <c r="W13" s="618" t="s">
        <v>546</v>
      </c>
      <c r="X13" s="615">
        <v>7.5</v>
      </c>
      <c r="Y13" s="616">
        <f>AB13*'Unit Conversion Sheet'!$C$7</f>
        <v>40.233499999999999</v>
      </c>
      <c r="Z13" s="616">
        <f>X13</f>
        <v>7.5</v>
      </c>
      <c r="AA13" s="615">
        <f>X13/'Unit Conversion Sheet'!$D$65</f>
        <v>4.6602955248735505</v>
      </c>
      <c r="AB13" s="616">
        <v>25</v>
      </c>
      <c r="AC13" s="617">
        <f>AA13</f>
        <v>4.6602955248735505</v>
      </c>
      <c r="AD13" s="616"/>
      <c r="AE13" s="842"/>
      <c r="AF13" s="842"/>
      <c r="AG13" s="842"/>
      <c r="AH13" s="842"/>
      <c r="AI13" s="842"/>
      <c r="AJ13" s="842"/>
      <c r="AK13" s="843"/>
    </row>
    <row r="14" spans="1:37" ht="16" thickBot="1">
      <c r="A14" s="704"/>
      <c r="B14" s="1098"/>
      <c r="C14" s="1099"/>
      <c r="D14" s="535"/>
      <c r="E14" s="832"/>
      <c r="F14" s="832"/>
      <c r="G14" s="832"/>
      <c r="H14" s="832"/>
      <c r="I14" s="832"/>
      <c r="J14" s="832"/>
      <c r="K14" s="377"/>
      <c r="L14" s="377"/>
      <c r="M14" s="616"/>
      <c r="N14" s="616"/>
      <c r="O14" s="616"/>
      <c r="P14" s="616"/>
      <c r="Q14" s="616"/>
      <c r="R14" s="616"/>
      <c r="S14" s="616"/>
      <c r="T14" s="616"/>
      <c r="U14" s="616"/>
      <c r="V14" s="616"/>
      <c r="W14" s="619" t="s">
        <v>516</v>
      </c>
      <c r="X14" s="620">
        <f>'Start Page'!K35*(X11*$D$37+X12*$D$38+X13*$D$40*$D$38/5280)*$D$41/10^6</f>
        <v>0</v>
      </c>
      <c r="Y14" s="621">
        <f>'Start Page'!K35*(Y11*$D$37+Y12*$D$38+Y13*$D$40*$D$38/5280)*$D$41/10^6</f>
        <v>0</v>
      </c>
      <c r="Z14" s="621">
        <f>'Start Page'!K35*'Unit Conversion Sheet'!$E$17*(Z11*$D$37+Z12*$D$38+Z13*$D$40*$D$38/5280)*$D$41/10^6</f>
        <v>0</v>
      </c>
      <c r="AA14" s="620">
        <f>'Start Page'!K35*(AA11*$D$37+AA12*$D$38+AA13*$D$40*$D$38/1000)*$D$41/10^6</f>
        <v>0</v>
      </c>
      <c r="AB14" s="621">
        <f>'Start Page'!K35*(AB11*$D$37+AB12*$D$38+AB13*$D$40*$D$38/1000)*$D$41/10^6</f>
        <v>0</v>
      </c>
      <c r="AC14" s="622">
        <f>'Start Page'!K35*'Unit Conversion Sheet'!D17*(AC11*$D$37+AC12*$D$38+AC13*$D$40*$D$38/1000)*$D$41/10^6</f>
        <v>0</v>
      </c>
      <c r="AD14" s="616"/>
      <c r="AE14" s="842"/>
      <c r="AF14" s="842"/>
      <c r="AG14" s="842"/>
      <c r="AH14" s="842"/>
      <c r="AI14" s="842"/>
      <c r="AJ14" s="842"/>
      <c r="AK14" s="843"/>
    </row>
    <row r="15" spans="1:37">
      <c r="A15" s="704"/>
      <c r="B15" s="1069"/>
      <c r="C15" s="1070"/>
      <c r="D15" s="535"/>
      <c r="E15" s="832"/>
      <c r="F15" s="832"/>
      <c r="G15" s="832"/>
      <c r="H15" s="832"/>
      <c r="I15" s="832"/>
      <c r="J15" s="832"/>
      <c r="K15" s="377"/>
      <c r="L15" s="377"/>
      <c r="M15" s="616"/>
      <c r="N15" s="616"/>
      <c r="O15" s="616"/>
      <c r="P15" s="616"/>
      <c r="Q15" s="616"/>
      <c r="R15" s="616"/>
      <c r="S15" s="616"/>
      <c r="T15" s="616"/>
      <c r="U15" s="616"/>
      <c r="V15" s="616"/>
      <c r="W15" s="616"/>
      <c r="X15" s="616"/>
      <c r="Y15" s="616"/>
      <c r="Z15" s="616"/>
      <c r="AA15" s="616"/>
      <c r="AB15" s="616"/>
      <c r="AC15" s="616"/>
      <c r="AD15" s="616"/>
      <c r="AE15" s="842"/>
      <c r="AF15" s="842"/>
      <c r="AG15" s="842"/>
      <c r="AH15" s="842"/>
      <c r="AI15" s="842"/>
      <c r="AJ15" s="842"/>
      <c r="AK15" s="843"/>
    </row>
    <row r="16" spans="1:37">
      <c r="A16" s="704"/>
      <c r="B16" s="1117" t="s">
        <v>17</v>
      </c>
      <c r="C16" s="1118"/>
      <c r="D16" s="541"/>
      <c r="E16" s="525"/>
      <c r="F16" s="525"/>
      <c r="G16" s="525"/>
      <c r="H16" s="525"/>
      <c r="I16" s="525"/>
      <c r="J16" s="525"/>
      <c r="K16" s="526"/>
      <c r="L16" s="526"/>
      <c r="M16" s="616"/>
      <c r="N16" s="616"/>
      <c r="O16" s="616"/>
      <c r="P16" s="616"/>
      <c r="Q16" s="616"/>
      <c r="R16" s="616"/>
      <c r="S16" s="616"/>
      <c r="T16" s="616"/>
      <c r="U16" s="616"/>
      <c r="V16" s="616"/>
      <c r="W16" s="616"/>
      <c r="X16" s="616"/>
      <c r="Y16" s="616"/>
      <c r="Z16" s="616"/>
      <c r="AA16" s="616"/>
      <c r="AB16" s="616"/>
      <c r="AC16" s="616"/>
      <c r="AD16" s="616"/>
      <c r="AE16" s="842"/>
      <c r="AF16" s="842"/>
      <c r="AG16" s="842"/>
      <c r="AH16" s="842"/>
      <c r="AI16" s="842"/>
      <c r="AJ16" s="842"/>
      <c r="AK16" s="843"/>
    </row>
    <row r="17" spans="1:37">
      <c r="A17" s="704"/>
      <c r="B17" s="1098"/>
      <c r="C17" s="1099"/>
      <c r="D17" s="535"/>
      <c r="E17" s="832"/>
      <c r="F17" s="832"/>
      <c r="G17" s="832"/>
      <c r="H17" s="832"/>
      <c r="I17" s="832"/>
      <c r="J17" s="832"/>
      <c r="K17" s="377"/>
      <c r="L17" s="377"/>
      <c r="M17" s="616"/>
      <c r="N17" s="616"/>
      <c r="O17" s="616"/>
      <c r="P17" s="616"/>
      <c r="Q17" s="616"/>
      <c r="R17" s="616"/>
      <c r="S17" s="616"/>
      <c r="T17" s="616"/>
      <c r="U17" s="616"/>
      <c r="V17" s="616"/>
      <c r="W17" s="616"/>
      <c r="X17" s="616"/>
      <c r="Y17" s="616"/>
      <c r="Z17" s="616"/>
      <c r="AA17" s="616"/>
      <c r="AB17" s="616"/>
      <c r="AC17" s="616"/>
      <c r="AD17" s="616"/>
      <c r="AE17" s="842"/>
      <c r="AF17" s="842"/>
      <c r="AG17" s="842"/>
      <c r="AH17" s="842"/>
      <c r="AI17" s="842"/>
      <c r="AJ17" s="842"/>
      <c r="AK17" s="843"/>
    </row>
    <row r="18" spans="1:37">
      <c r="A18" s="704"/>
      <c r="B18" s="1058" t="s">
        <v>517</v>
      </c>
      <c r="C18" s="1059"/>
      <c r="D18" s="852">
        <v>0</v>
      </c>
      <c r="E18" s="832" t="str">
        <f>$E$13</f>
        <v>MG/Yr</v>
      </c>
      <c r="F18" s="832"/>
      <c r="G18" s="832"/>
      <c r="H18" s="832"/>
      <c r="I18" s="832"/>
      <c r="J18" s="832"/>
      <c r="K18" s="377"/>
      <c r="L18" s="377"/>
      <c r="M18" s="616"/>
      <c r="N18" s="616"/>
      <c r="O18" s="616"/>
      <c r="P18" s="616">
        <f>COUNTBLANK(D18)</f>
        <v>0</v>
      </c>
      <c r="Q18" s="616" t="s">
        <v>68</v>
      </c>
      <c r="R18" s="616"/>
      <c r="S18" s="616"/>
      <c r="T18" s="616"/>
      <c r="U18" s="616"/>
      <c r="V18" s="616"/>
      <c r="W18" s="616"/>
      <c r="X18" s="616"/>
      <c r="Y18" s="616"/>
      <c r="Z18" s="616"/>
      <c r="AA18" s="616"/>
      <c r="AB18" s="616"/>
      <c r="AC18" s="616"/>
      <c r="AD18" s="616"/>
      <c r="AE18" s="842"/>
      <c r="AF18" s="842"/>
      <c r="AG18" s="842"/>
      <c r="AH18" s="842"/>
      <c r="AI18" s="842"/>
      <c r="AJ18" s="842"/>
      <c r="AK18" s="843"/>
    </row>
    <row r="19" spans="1:37">
      <c r="A19" s="704"/>
      <c r="B19" s="1058" t="s">
        <v>518</v>
      </c>
      <c r="C19" s="1059"/>
      <c r="D19" s="852">
        <v>0</v>
      </c>
      <c r="E19" s="832" t="str">
        <f>$E$13</f>
        <v>MG/Yr</v>
      </c>
      <c r="F19" s="832"/>
      <c r="G19" s="832"/>
      <c r="H19" s="832"/>
      <c r="I19" s="832"/>
      <c r="J19" s="832"/>
      <c r="K19" s="377"/>
      <c r="L19" s="377"/>
      <c r="M19" s="616"/>
      <c r="N19" s="616"/>
      <c r="O19" s="616"/>
      <c r="P19" s="616">
        <f>COUNTBLANK(D19)</f>
        <v>0</v>
      </c>
      <c r="Q19" s="616" t="s">
        <v>69</v>
      </c>
      <c r="R19" s="616"/>
      <c r="S19" s="616"/>
      <c r="T19" s="616"/>
      <c r="U19" s="616"/>
      <c r="V19" s="616"/>
      <c r="W19" s="616"/>
      <c r="X19" s="616"/>
      <c r="Y19" s="616"/>
      <c r="Z19" s="616"/>
      <c r="AA19" s="616"/>
      <c r="AB19" s="616"/>
      <c r="AC19" s="616"/>
      <c r="AD19" s="616"/>
      <c r="AE19" s="842"/>
      <c r="AF19" s="842"/>
      <c r="AG19" s="842"/>
      <c r="AH19" s="842"/>
      <c r="AI19" s="842"/>
      <c r="AJ19" s="842"/>
      <c r="AK19" s="843"/>
    </row>
    <row r="20" spans="1:37">
      <c r="A20" s="704"/>
      <c r="B20" s="1058" t="s">
        <v>519</v>
      </c>
      <c r="C20" s="1059"/>
      <c r="D20" s="852">
        <v>0</v>
      </c>
      <c r="E20" s="832" t="str">
        <f>$E$13</f>
        <v>MG/Yr</v>
      </c>
      <c r="F20" s="832"/>
      <c r="G20" s="832"/>
      <c r="H20" s="832"/>
      <c r="I20" s="832"/>
      <c r="J20" s="832"/>
      <c r="K20" s="377"/>
      <c r="L20" s="377"/>
      <c r="M20" s="616"/>
      <c r="N20" s="616"/>
      <c r="O20" s="616"/>
      <c r="P20" s="616">
        <f>COUNTBLANK(D20)</f>
        <v>0</v>
      </c>
      <c r="Q20" s="616" t="s">
        <v>68</v>
      </c>
      <c r="R20" s="616"/>
      <c r="S20" s="616"/>
      <c r="T20" s="616"/>
      <c r="U20" s="616"/>
      <c r="V20" s="616"/>
      <c r="W20" s="616"/>
      <c r="X20" s="616"/>
      <c r="Y20" s="616"/>
      <c r="Z20" s="616"/>
      <c r="AA20" s="616"/>
      <c r="AB20" s="616"/>
      <c r="AC20" s="616"/>
      <c r="AD20" s="616"/>
      <c r="AE20" s="842"/>
      <c r="AF20" s="842"/>
      <c r="AG20" s="842"/>
      <c r="AH20" s="842"/>
      <c r="AI20" s="842"/>
      <c r="AJ20" s="842"/>
      <c r="AK20" s="843"/>
    </row>
    <row r="21" spans="1:37">
      <c r="A21" s="704"/>
      <c r="B21" s="1058" t="s">
        <v>520</v>
      </c>
      <c r="C21" s="1059"/>
      <c r="D21" s="852">
        <v>0</v>
      </c>
      <c r="E21" s="832" t="str">
        <f>$E$13</f>
        <v>MG/Yr</v>
      </c>
      <c r="F21" s="832"/>
      <c r="G21" s="832"/>
      <c r="H21" s="832"/>
      <c r="I21" s="832"/>
      <c r="J21" s="832"/>
      <c r="K21" s="377"/>
      <c r="L21" s="377"/>
      <c r="M21" s="616"/>
      <c r="N21" s="616"/>
      <c r="O21" s="616"/>
      <c r="P21" s="616">
        <f>COUNTBLANK(D21)</f>
        <v>0</v>
      </c>
      <c r="Q21" s="616" t="s">
        <v>71</v>
      </c>
      <c r="R21" s="616"/>
      <c r="S21" s="616"/>
      <c r="T21" s="616"/>
      <c r="U21" s="616"/>
      <c r="V21" s="616"/>
      <c r="W21" s="616"/>
      <c r="X21" s="616"/>
      <c r="Y21" s="616"/>
      <c r="Z21" s="616"/>
      <c r="AA21" s="616"/>
      <c r="AB21" s="616"/>
      <c r="AC21" s="616"/>
      <c r="AD21" s="616"/>
      <c r="AE21" s="842"/>
      <c r="AF21" s="842"/>
      <c r="AG21" s="842"/>
      <c r="AH21" s="842"/>
      <c r="AI21" s="842"/>
      <c r="AJ21" s="842"/>
      <c r="AK21" s="843"/>
    </row>
    <row r="22" spans="1:37">
      <c r="A22" s="704"/>
      <c r="B22" s="1069"/>
      <c r="C22" s="1070"/>
      <c r="D22" s="535"/>
      <c r="E22" s="832"/>
      <c r="F22" s="1119" t="str">
        <f>IF(D23="","",IF(D23&lt;=D13,"",IF(D23&gt;D13,"PLEASE CHECK DATA ENTRY - AUTHORIZED CONSUMPTION MUST BE LESS THAN SYSTEM INPUT VOLUME","")))</f>
        <v/>
      </c>
      <c r="G22" s="1119"/>
      <c r="H22" s="1119"/>
      <c r="I22" s="1119"/>
      <c r="J22" s="1119"/>
      <c r="K22" s="1120"/>
      <c r="L22" s="377"/>
      <c r="M22" s="616"/>
      <c r="N22" s="616"/>
      <c r="O22" s="616"/>
      <c r="P22" s="616">
        <f>COUNTBLANK(D22)</f>
        <v>1</v>
      </c>
      <c r="Q22" s="616"/>
      <c r="R22" s="616"/>
      <c r="S22" s="616"/>
      <c r="T22" s="616"/>
      <c r="U22" s="616"/>
      <c r="V22" s="616"/>
      <c r="W22" s="616"/>
      <c r="X22" s="616"/>
      <c r="Y22" s="616"/>
      <c r="Z22" s="616"/>
      <c r="AA22" s="616"/>
      <c r="AB22" s="616"/>
      <c r="AC22" s="616"/>
      <c r="AD22" s="616"/>
      <c r="AE22" s="842"/>
      <c r="AF22" s="842"/>
      <c r="AG22" s="842"/>
      <c r="AH22" s="842"/>
      <c r="AI22" s="842"/>
      <c r="AJ22" s="842"/>
      <c r="AK22" s="843"/>
    </row>
    <row r="23" spans="1:37">
      <c r="A23" s="704"/>
      <c r="B23" s="1115" t="s">
        <v>18</v>
      </c>
      <c r="C23" s="1116"/>
      <c r="D23" s="853">
        <f>IF(P23&gt;0,"",SUM(D18:D21))</f>
        <v>0</v>
      </c>
      <c r="E23" s="536" t="str">
        <f>$E$13</f>
        <v>MG/Yr</v>
      </c>
      <c r="F23" s="1121"/>
      <c r="G23" s="1121"/>
      <c r="H23" s="1121"/>
      <c r="I23" s="1121"/>
      <c r="J23" s="1121"/>
      <c r="K23" s="1122"/>
      <c r="L23" s="526"/>
      <c r="M23" s="616"/>
      <c r="N23" s="616"/>
      <c r="O23" s="616"/>
      <c r="P23" s="616">
        <f>COUNTBLANK(D18:D21)</f>
        <v>0</v>
      </c>
      <c r="Q23" s="616" t="s">
        <v>70</v>
      </c>
      <c r="R23" s="616"/>
      <c r="S23" s="616"/>
      <c r="T23" s="616"/>
      <c r="U23" s="616"/>
      <c r="V23" s="616"/>
      <c r="W23" s="616"/>
      <c r="X23" s="616"/>
      <c r="Y23" s="616"/>
      <c r="Z23" s="616"/>
      <c r="AA23" s="616"/>
      <c r="AB23" s="616"/>
      <c r="AC23" s="616"/>
      <c r="AD23" s="616"/>
      <c r="AE23" s="842"/>
      <c r="AF23" s="842"/>
      <c r="AG23" s="842"/>
      <c r="AH23" s="842"/>
      <c r="AI23" s="842"/>
      <c r="AJ23" s="842"/>
      <c r="AK23" s="843"/>
    </row>
    <row r="24" spans="1:37">
      <c r="A24" s="704"/>
      <c r="B24" s="1098"/>
      <c r="C24" s="1099"/>
      <c r="D24" s="535"/>
      <c r="E24" s="832"/>
      <c r="F24" s="832"/>
      <c r="G24" s="832"/>
      <c r="H24" s="832"/>
      <c r="I24" s="832"/>
      <c r="J24" s="832"/>
      <c r="K24" s="377"/>
      <c r="L24" s="377"/>
      <c r="M24" s="616"/>
      <c r="N24" s="616"/>
      <c r="O24" s="616"/>
      <c r="P24" s="616"/>
      <c r="Q24" s="616"/>
      <c r="R24" s="616"/>
      <c r="S24" s="616"/>
      <c r="T24" s="616"/>
      <c r="U24" s="616"/>
      <c r="V24" s="616"/>
      <c r="W24" s="616"/>
      <c r="X24" s="616"/>
      <c r="Y24" s="616"/>
      <c r="Z24" s="616"/>
      <c r="AA24" s="616"/>
      <c r="AB24" s="616"/>
      <c r="AC24" s="616"/>
      <c r="AD24" s="616"/>
      <c r="AE24" s="839"/>
      <c r="AF24" s="839"/>
      <c r="AG24" s="839"/>
      <c r="AH24" s="839"/>
      <c r="AI24" s="839"/>
      <c r="AJ24" s="839"/>
      <c r="AK24" s="840"/>
    </row>
    <row r="25" spans="1:37">
      <c r="A25" s="704"/>
      <c r="B25" s="1069"/>
      <c r="C25" s="1070"/>
      <c r="D25" s="535"/>
      <c r="E25" s="832"/>
      <c r="F25" s="832"/>
      <c r="G25" s="832"/>
      <c r="H25" s="832"/>
      <c r="I25" s="832"/>
      <c r="J25" s="832"/>
      <c r="K25" s="377"/>
      <c r="L25" s="377"/>
      <c r="M25" s="616"/>
      <c r="N25" s="616"/>
      <c r="O25" s="616"/>
      <c r="P25" s="616"/>
      <c r="Q25" s="616"/>
      <c r="R25" s="616"/>
      <c r="S25" s="616"/>
      <c r="T25" s="616"/>
      <c r="U25" s="616"/>
      <c r="V25" s="616"/>
      <c r="W25" s="616"/>
      <c r="X25" s="616"/>
      <c r="Y25" s="616"/>
      <c r="Z25" s="616"/>
      <c r="AA25" s="616"/>
      <c r="AB25" s="616"/>
      <c r="AC25" s="616"/>
      <c r="AD25" s="616"/>
      <c r="AE25" s="839"/>
      <c r="AF25" s="839"/>
      <c r="AG25" s="839"/>
      <c r="AH25" s="839"/>
      <c r="AI25" s="839"/>
      <c r="AJ25" s="839"/>
      <c r="AK25" s="840"/>
    </row>
    <row r="26" spans="1:37">
      <c r="A26" s="704"/>
      <c r="B26" s="1058" t="s">
        <v>521</v>
      </c>
      <c r="C26" s="1059"/>
      <c r="D26" s="854">
        <f>IF(SUM(P23,P13)&gt;0,"",D13-D23)</f>
        <v>0</v>
      </c>
      <c r="E26" s="832" t="str">
        <f>$E$13</f>
        <v>MG/Yr</v>
      </c>
      <c r="F26" s="1092" t="str">
        <f>IF(D26&gt;=0,"",IF(D26&lt;0,"PLEASE CHEK DATA ENTRY - WATER LOSSES NEED TO BE &gt;0",""))</f>
        <v/>
      </c>
      <c r="G26" s="1092"/>
      <c r="H26" s="1092"/>
      <c r="I26" s="1092"/>
      <c r="J26" s="1092"/>
      <c r="K26" s="377"/>
      <c r="L26" s="377"/>
      <c r="M26" s="616"/>
      <c r="N26" s="616"/>
      <c r="O26" s="616"/>
      <c r="P26" s="616">
        <f>COUNTBLANK(D26)</f>
        <v>0</v>
      </c>
      <c r="Q26" s="616" t="s">
        <v>73</v>
      </c>
      <c r="R26" s="616"/>
      <c r="S26" s="616"/>
      <c r="T26" s="616"/>
      <c r="U26" s="616"/>
      <c r="V26" s="616"/>
      <c r="W26" s="616"/>
      <c r="X26" s="616"/>
      <c r="Y26" s="616"/>
      <c r="Z26" s="616"/>
      <c r="AA26" s="616"/>
      <c r="AB26" s="616"/>
      <c r="AC26" s="616"/>
      <c r="AD26" s="616"/>
      <c r="AE26" s="839"/>
      <c r="AF26" s="839"/>
      <c r="AG26" s="839"/>
      <c r="AH26" s="839"/>
      <c r="AI26" s="839"/>
      <c r="AJ26" s="839"/>
      <c r="AK26" s="840"/>
    </row>
    <row r="27" spans="1:37">
      <c r="A27" s="704"/>
      <c r="B27" s="1101"/>
      <c r="C27" s="1102"/>
      <c r="D27" s="643"/>
      <c r="E27" s="832"/>
      <c r="F27" s="1092"/>
      <c r="G27" s="1092"/>
      <c r="H27" s="1092"/>
      <c r="I27" s="1092"/>
      <c r="J27" s="1092"/>
      <c r="K27" s="377"/>
      <c r="L27" s="377"/>
      <c r="M27" s="616"/>
      <c r="N27" s="616"/>
      <c r="O27" s="616"/>
      <c r="P27" s="616"/>
      <c r="Q27" s="616"/>
      <c r="R27" s="616"/>
      <c r="S27" s="616"/>
      <c r="T27" s="616"/>
      <c r="U27" s="616"/>
      <c r="V27" s="616"/>
      <c r="W27" s="616"/>
      <c r="X27" s="616"/>
      <c r="Y27" s="616"/>
      <c r="Z27" s="616"/>
      <c r="AA27" s="616"/>
      <c r="AB27" s="616"/>
      <c r="AC27" s="616"/>
      <c r="AD27" s="616"/>
      <c r="AE27" s="839"/>
      <c r="AF27" s="839"/>
      <c r="AG27" s="839"/>
      <c r="AH27" s="839"/>
      <c r="AI27" s="839"/>
      <c r="AJ27" s="839"/>
      <c r="AK27" s="840"/>
    </row>
    <row r="28" spans="1:37">
      <c r="A28" s="704"/>
      <c r="B28" s="1058" t="s">
        <v>522</v>
      </c>
      <c r="C28" s="1059"/>
      <c r="D28" s="852"/>
      <c r="E28" s="832" t="str">
        <f>$E$13</f>
        <v>MG/Yr</v>
      </c>
      <c r="F28" s="1092" t="str">
        <f>IF(D28&gt;=0,"",IF(D28&lt;=0,"PLEASE CHEK DATA ENTRY - APPARENT LOSSES NEED TO BE &gt;0"))</f>
        <v/>
      </c>
      <c r="G28" s="1092"/>
      <c r="H28" s="1092"/>
      <c r="I28" s="1092"/>
      <c r="J28" s="832"/>
      <c r="K28" s="377"/>
      <c r="L28" s="377"/>
      <c r="M28" s="616"/>
      <c r="N28" s="616"/>
      <c r="O28" s="616"/>
      <c r="P28" s="616">
        <f>COUNTBLANK(D28)</f>
        <v>1</v>
      </c>
      <c r="Q28" s="616" t="s">
        <v>74</v>
      </c>
      <c r="R28" s="616"/>
      <c r="S28" s="616"/>
      <c r="T28" s="616"/>
      <c r="U28" s="616"/>
      <c r="V28" s="616"/>
      <c r="W28" s="616"/>
      <c r="X28" s="616"/>
      <c r="Y28" s="616"/>
      <c r="Z28" s="616"/>
      <c r="AA28" s="616"/>
      <c r="AB28" s="616"/>
      <c r="AC28" s="616"/>
      <c r="AD28" s="616"/>
      <c r="AE28" s="839"/>
      <c r="AF28" s="839"/>
      <c r="AG28" s="839"/>
      <c r="AH28" s="839"/>
      <c r="AI28" s="839"/>
      <c r="AJ28" s="839"/>
      <c r="AK28" s="840"/>
    </row>
    <row r="29" spans="1:37">
      <c r="A29" s="704"/>
      <c r="B29" s="1101"/>
      <c r="C29" s="1102"/>
      <c r="D29" s="643"/>
      <c r="E29" s="832"/>
      <c r="F29" s="1092"/>
      <c r="G29" s="1092"/>
      <c r="H29" s="1092"/>
      <c r="I29" s="1092"/>
      <c r="J29" s="832"/>
      <c r="K29" s="377"/>
      <c r="L29" s="377"/>
      <c r="M29" s="616"/>
      <c r="N29" s="616"/>
      <c r="O29" s="616"/>
      <c r="P29" s="616"/>
      <c r="Q29" s="616"/>
      <c r="R29" s="616"/>
      <c r="S29" s="616"/>
      <c r="T29" s="616"/>
      <c r="U29" s="616"/>
      <c r="V29" s="616"/>
      <c r="W29" s="616"/>
      <c r="X29" s="616"/>
      <c r="Y29" s="616"/>
      <c r="Z29" s="616"/>
      <c r="AA29" s="616"/>
      <c r="AB29" s="616"/>
      <c r="AC29" s="616"/>
      <c r="AD29" s="616"/>
      <c r="AE29" s="839"/>
      <c r="AF29" s="839"/>
      <c r="AG29" s="839"/>
      <c r="AH29" s="839"/>
      <c r="AI29" s="839"/>
      <c r="AJ29" s="839"/>
      <c r="AK29" s="840"/>
    </row>
    <row r="30" spans="1:37">
      <c r="A30" s="704"/>
      <c r="B30" s="1058" t="s">
        <v>523</v>
      </c>
      <c r="C30" s="1059"/>
      <c r="D30" s="854" t="str">
        <f>IF(SUM(P28,P26)&gt;0,"",D26-D28)</f>
        <v/>
      </c>
      <c r="E30" s="832" t="str">
        <f>$E$13</f>
        <v>MG/Yr</v>
      </c>
      <c r="F30" s="1092" t="str">
        <f>IF(D30&gt;0,"",IF(D30&lt;=0,"PLEASE CHECK DATA ENTRY - REAL LOSSES NEED TO BE &gt;0"))</f>
        <v/>
      </c>
      <c r="G30" s="1092"/>
      <c r="H30" s="1092"/>
      <c r="I30" s="1092"/>
      <c r="J30" s="832"/>
      <c r="K30" s="377"/>
      <c r="L30" s="377"/>
      <c r="M30" s="616"/>
      <c r="N30" s="616"/>
      <c r="O30" s="616"/>
      <c r="P30" s="616">
        <f>COUNTBLANK(D30)</f>
        <v>1</v>
      </c>
      <c r="Q30" s="616" t="s">
        <v>75</v>
      </c>
      <c r="R30" s="616"/>
      <c r="S30" s="616"/>
      <c r="T30" s="616"/>
      <c r="U30" s="616"/>
      <c r="V30" s="616"/>
      <c r="W30" s="616"/>
      <c r="X30" s="616"/>
      <c r="Y30" s="616"/>
      <c r="Z30" s="616"/>
      <c r="AA30" s="616"/>
      <c r="AB30" s="616"/>
      <c r="AC30" s="616"/>
      <c r="AD30" s="616"/>
      <c r="AE30" s="839"/>
      <c r="AF30" s="839"/>
      <c r="AG30" s="839"/>
      <c r="AH30" s="839"/>
      <c r="AI30" s="839"/>
      <c r="AJ30" s="839"/>
      <c r="AK30" s="840"/>
    </row>
    <row r="31" spans="1:37">
      <c r="A31" s="704"/>
      <c r="B31" s="1101"/>
      <c r="C31" s="1102"/>
      <c r="D31" s="644"/>
      <c r="E31" s="832"/>
      <c r="F31" s="1092"/>
      <c r="G31" s="1092"/>
      <c r="H31" s="1092"/>
      <c r="I31" s="1092"/>
      <c r="J31" s="832"/>
      <c r="K31" s="377"/>
      <c r="L31" s="377"/>
      <c r="M31" s="616"/>
      <c r="N31" s="616"/>
      <c r="O31" s="616"/>
      <c r="P31" s="616"/>
      <c r="Q31" s="616"/>
      <c r="R31" s="616"/>
      <c r="S31" s="616"/>
      <c r="T31" s="616"/>
      <c r="U31" s="616">
        <f>INDEX('Unit Conversion Sheet'!$C$11:$E$13,MATCH('Start Page'!$Y$36,'Unit Conversion Sheet'!$A$11:$A$13,0),MATCH('AWWA-Water Balance Data Transf.'!$V$43,'Unit Conversion Sheet'!$C$9:$E$9,0))</f>
        <v>1000</v>
      </c>
      <c r="V31" s="616"/>
      <c r="W31" s="616"/>
      <c r="X31" s="616"/>
      <c r="Y31" s="616"/>
      <c r="Z31" s="616"/>
      <c r="AA31" s="616"/>
      <c r="AB31" s="616"/>
      <c r="AC31" s="616"/>
      <c r="AD31" s="616"/>
      <c r="AE31" s="839"/>
      <c r="AF31" s="839"/>
      <c r="AG31" s="839"/>
      <c r="AH31" s="839"/>
      <c r="AI31" s="839"/>
      <c r="AJ31" s="839"/>
      <c r="AK31" s="840"/>
    </row>
    <row r="32" spans="1:37">
      <c r="A32" s="704"/>
      <c r="B32" s="1058" t="s">
        <v>524</v>
      </c>
      <c r="C32" s="1059"/>
      <c r="D32" s="854" t="str">
        <f>IF(SUM(P20,P21,P28,P30)&gt;0,"",D20+D21+D28+D30)</f>
        <v/>
      </c>
      <c r="E32" s="832" t="str">
        <f>$E$13</f>
        <v>MG/Yr</v>
      </c>
      <c r="F32" s="1092" t="str">
        <f>IF(D32&gt;0,"",IF(D32&lt;=0,"PLEASE CHECK DATA ENTRY - NON REVENUE WATER NEEDS TO BE &gt;0"))</f>
        <v/>
      </c>
      <c r="G32" s="1092"/>
      <c r="H32" s="1092"/>
      <c r="I32" s="1092"/>
      <c r="J32" s="1092"/>
      <c r="K32" s="377"/>
      <c r="L32" s="377"/>
      <c r="M32" s="616"/>
      <c r="N32" s="616"/>
      <c r="O32" s="616"/>
      <c r="P32" s="616">
        <f>COUNTBLANK(D32)</f>
        <v>1</v>
      </c>
      <c r="Q32" s="616" t="s">
        <v>76</v>
      </c>
      <c r="R32" s="616"/>
      <c r="S32" s="616"/>
      <c r="T32" s="616"/>
      <c r="U32" s="616"/>
      <c r="V32" s="616"/>
      <c r="W32" s="616"/>
      <c r="X32" s="616"/>
      <c r="Y32" s="616"/>
      <c r="Z32" s="616"/>
      <c r="AA32" s="616"/>
      <c r="AB32" s="616"/>
      <c r="AC32" s="616"/>
      <c r="AD32" s="616"/>
      <c r="AE32" s="839"/>
      <c r="AF32" s="839"/>
      <c r="AG32" s="839"/>
      <c r="AH32" s="839"/>
      <c r="AI32" s="839"/>
      <c r="AJ32" s="839"/>
      <c r="AK32" s="840"/>
    </row>
    <row r="33" spans="1:37">
      <c r="A33" s="704"/>
      <c r="B33" s="1103"/>
      <c r="C33" s="1104"/>
      <c r="D33" s="541"/>
      <c r="E33" s="525"/>
      <c r="F33" s="1100"/>
      <c r="G33" s="1100"/>
      <c r="H33" s="1100"/>
      <c r="I33" s="1100"/>
      <c r="J33" s="1100"/>
      <c r="K33" s="526"/>
      <c r="L33" s="526"/>
      <c r="M33" s="616"/>
      <c r="N33" s="616"/>
      <c r="O33" s="616"/>
      <c r="P33" s="616"/>
      <c r="Q33" s="616"/>
      <c r="R33" s="616"/>
      <c r="S33" s="616"/>
      <c r="T33" s="616"/>
      <c r="U33" s="616"/>
      <c r="V33" s="616"/>
      <c r="W33" s="616"/>
      <c r="X33" s="616"/>
      <c r="Y33" s="616"/>
      <c r="Z33" s="616"/>
      <c r="AA33" s="616"/>
      <c r="AB33" s="616"/>
      <c r="AC33" s="616"/>
      <c r="AD33" s="616"/>
      <c r="AE33" s="839"/>
      <c r="AF33" s="839"/>
      <c r="AG33" s="839"/>
      <c r="AH33" s="839"/>
      <c r="AI33" s="839"/>
      <c r="AJ33" s="839"/>
      <c r="AK33" s="840"/>
    </row>
    <row r="34" spans="1:37">
      <c r="A34" s="704"/>
      <c r="B34" s="1098"/>
      <c r="C34" s="1099"/>
      <c r="D34" s="535"/>
      <c r="E34" s="832"/>
      <c r="F34" s="832"/>
      <c r="G34" s="832"/>
      <c r="H34" s="832"/>
      <c r="I34" s="832"/>
      <c r="J34" s="832"/>
      <c r="K34" s="377"/>
      <c r="L34" s="377"/>
      <c r="M34" s="616"/>
      <c r="N34" s="616"/>
      <c r="O34" s="616"/>
      <c r="P34" s="616"/>
      <c r="Q34" s="616"/>
      <c r="R34" s="616"/>
      <c r="S34" s="616"/>
      <c r="T34" s="616"/>
      <c r="U34" s="616"/>
      <c r="V34" s="616"/>
      <c r="W34" s="616"/>
      <c r="X34" s="616"/>
      <c r="Y34" s="616"/>
      <c r="Z34" s="616"/>
      <c r="AA34" s="616"/>
      <c r="AB34" s="616"/>
      <c r="AC34" s="616"/>
      <c r="AD34" s="616"/>
      <c r="AE34" s="839"/>
      <c r="AF34" s="839"/>
      <c r="AG34" s="839"/>
      <c r="AH34" s="839"/>
      <c r="AI34" s="839"/>
      <c r="AJ34" s="839"/>
      <c r="AK34" s="840"/>
    </row>
    <row r="35" spans="1:37">
      <c r="A35" s="704"/>
      <c r="B35" s="1105" t="s">
        <v>20</v>
      </c>
      <c r="C35" s="1106"/>
      <c r="D35" s="541"/>
      <c r="E35" s="525"/>
      <c r="F35" s="525"/>
      <c r="G35" s="525"/>
      <c r="H35" s="525"/>
      <c r="I35" s="525"/>
      <c r="J35" s="525"/>
      <c r="K35" s="526"/>
      <c r="L35" s="526"/>
      <c r="M35" s="616"/>
      <c r="N35" s="616"/>
      <c r="O35" s="616"/>
      <c r="P35" s="616"/>
      <c r="Q35" s="616"/>
      <c r="R35" s="616"/>
      <c r="S35" s="616"/>
      <c r="T35" s="616"/>
      <c r="U35" s="616"/>
      <c r="V35" s="616"/>
      <c r="W35" s="616"/>
      <c r="X35" s="616"/>
      <c r="Y35" s="616"/>
      <c r="Z35" s="616"/>
      <c r="AA35" s="616"/>
      <c r="AB35" s="616"/>
      <c r="AC35" s="616"/>
      <c r="AD35" s="616"/>
      <c r="AE35" s="839"/>
      <c r="AF35" s="839"/>
      <c r="AG35" s="839"/>
      <c r="AH35" s="839"/>
      <c r="AI35" s="839"/>
      <c r="AJ35" s="839"/>
      <c r="AK35" s="840"/>
    </row>
    <row r="36" spans="1:37">
      <c r="A36" s="704"/>
      <c r="B36" s="1098"/>
      <c r="C36" s="1099"/>
      <c r="D36" s="535"/>
      <c r="E36" s="832"/>
      <c r="F36" s="832"/>
      <c r="G36" s="832"/>
      <c r="H36" s="832"/>
      <c r="I36" s="832"/>
      <c r="J36" s="832"/>
      <c r="K36" s="377"/>
      <c r="L36" s="377"/>
      <c r="M36" s="616"/>
      <c r="N36" s="616"/>
      <c r="O36" s="616"/>
      <c r="P36" s="616"/>
      <c r="Q36" s="616"/>
      <c r="R36" s="616"/>
      <c r="S36" s="616"/>
      <c r="T36" s="616"/>
      <c r="U36" s="616"/>
      <c r="V36" s="616"/>
      <c r="W36" s="616"/>
      <c r="X36" s="616"/>
      <c r="Y36" s="616"/>
      <c r="Z36" s="616"/>
      <c r="AA36" s="616"/>
      <c r="AB36" s="616"/>
      <c r="AC36" s="616"/>
      <c r="AD36" s="616"/>
      <c r="AE36" s="839"/>
      <c r="AF36" s="839"/>
      <c r="AG36" s="839"/>
      <c r="AH36" s="839"/>
      <c r="AI36" s="839"/>
      <c r="AJ36" s="839"/>
      <c r="AK36" s="840"/>
    </row>
    <row r="37" spans="1:37">
      <c r="A37" s="704"/>
      <c r="B37" s="1058" t="s">
        <v>558</v>
      </c>
      <c r="C37" s="1059"/>
      <c r="D37" s="642">
        <v>0</v>
      </c>
      <c r="E37" s="832" t="str">
        <f>IF('Start Page'!$Y$42=1,"miles",IF('Start Page'!$Y$42=2,"kilometers"))</f>
        <v>miles</v>
      </c>
      <c r="F37" s="832"/>
      <c r="G37" s="832"/>
      <c r="H37" s="832"/>
      <c r="I37" s="832"/>
      <c r="J37" s="832"/>
      <c r="K37" s="377"/>
      <c r="L37" s="377"/>
      <c r="M37" s="616"/>
      <c r="N37" s="616"/>
      <c r="O37" s="616"/>
      <c r="P37" s="616">
        <f>COUNTBLANK(D37)</f>
        <v>0</v>
      </c>
      <c r="Q37" s="616" t="s">
        <v>78</v>
      </c>
      <c r="R37" s="616"/>
      <c r="S37" s="616"/>
      <c r="T37" s="616"/>
      <c r="U37" s="616"/>
      <c r="V37" s="616"/>
      <c r="W37" s="616"/>
      <c r="X37" s="616"/>
      <c r="Y37" s="616"/>
      <c r="Z37" s="616"/>
      <c r="AA37" s="616"/>
      <c r="AB37" s="616"/>
      <c r="AC37" s="616"/>
      <c r="AD37" s="616"/>
      <c r="AE37" s="839"/>
      <c r="AF37" s="839"/>
      <c r="AG37" s="839"/>
      <c r="AH37" s="839"/>
      <c r="AI37" s="839"/>
      <c r="AJ37" s="839"/>
      <c r="AK37" s="840"/>
    </row>
    <row r="38" spans="1:37">
      <c r="A38" s="704"/>
      <c r="B38" s="1058" t="s">
        <v>21</v>
      </c>
      <c r="C38" s="1059"/>
      <c r="D38" s="645">
        <v>0</v>
      </c>
      <c r="E38" s="832" t="s">
        <v>100</v>
      </c>
      <c r="F38" s="832"/>
      <c r="G38" s="832"/>
      <c r="H38" s="832"/>
      <c r="I38" s="832"/>
      <c r="J38" s="832"/>
      <c r="K38" s="377"/>
      <c r="L38" s="377"/>
      <c r="M38" s="616"/>
      <c r="N38" s="616"/>
      <c r="O38" s="616"/>
      <c r="P38" s="616">
        <f>COUNTBLANK(D38)</f>
        <v>0</v>
      </c>
      <c r="Q38" s="616" t="s">
        <v>79</v>
      </c>
      <c r="R38" s="616"/>
      <c r="S38" s="616"/>
      <c r="T38" s="616"/>
      <c r="U38" s="616"/>
      <c r="V38" s="616"/>
      <c r="W38" s="616"/>
      <c r="X38" s="616"/>
      <c r="Y38" s="616"/>
      <c r="Z38" s="616"/>
      <c r="AA38" s="616"/>
      <c r="AB38" s="616"/>
      <c r="AC38" s="616"/>
      <c r="AD38" s="616"/>
      <c r="AE38" s="839"/>
      <c r="AF38" s="839"/>
      <c r="AG38" s="839"/>
      <c r="AH38" s="839"/>
      <c r="AI38" s="839"/>
      <c r="AJ38" s="839"/>
      <c r="AK38" s="840"/>
    </row>
    <row r="39" spans="1:37">
      <c r="A39" s="704"/>
      <c r="B39" s="1058" t="s">
        <v>586</v>
      </c>
      <c r="C39" s="1059"/>
      <c r="D39" s="855" t="str">
        <f>IF(ISERROR(IF(P39&gt;0,"",SUM(D38:D38)/D37)),"",IF(P39&gt;0,"",SUM(D38:D38)/D37))</f>
        <v/>
      </c>
      <c r="E39" s="832" t="str">
        <f>IF('Start Page'!$Y$42=1,"conn./mile main",IF('Start Page'!$Y$42=2,"conn./kilometer main"))</f>
        <v>conn./mile main</v>
      </c>
      <c r="F39" s="832"/>
      <c r="G39" s="832"/>
      <c r="H39" s="832"/>
      <c r="I39" s="832"/>
      <c r="J39" s="832"/>
      <c r="K39" s="377"/>
      <c r="L39" s="377"/>
      <c r="M39" s="616"/>
      <c r="N39" s="616"/>
      <c r="O39" s="616"/>
      <c r="P39" s="616">
        <f>COUNTBLANK(D37:D38)</f>
        <v>0</v>
      </c>
      <c r="Q39" s="616" t="s">
        <v>77</v>
      </c>
      <c r="R39" s="616"/>
      <c r="S39" s="616"/>
      <c r="T39" s="616"/>
      <c r="U39" s="844"/>
      <c r="V39" s="616"/>
      <c r="W39" s="616"/>
      <c r="X39" s="616"/>
      <c r="Y39" s="616"/>
      <c r="Z39" s="616"/>
      <c r="AA39" s="616"/>
      <c r="AB39" s="616"/>
      <c r="AC39" s="616"/>
      <c r="AD39" s="616"/>
      <c r="AE39" s="839"/>
      <c r="AF39" s="839"/>
      <c r="AG39" s="839"/>
      <c r="AH39" s="839"/>
      <c r="AI39" s="839"/>
      <c r="AJ39" s="839"/>
      <c r="AK39" s="840"/>
    </row>
    <row r="40" spans="1:37">
      <c r="A40" s="704"/>
      <c r="B40" s="1058" t="s">
        <v>709</v>
      </c>
      <c r="C40" s="1059"/>
      <c r="D40" s="642">
        <v>0</v>
      </c>
      <c r="E40" s="832" t="str">
        <f>IF('Start Page'!$Y$42=1,"feet",IF('Start Page'!$Y$42=2,"metres"))</f>
        <v>feet</v>
      </c>
      <c r="F40" s="832"/>
      <c r="G40" s="832"/>
      <c r="H40" s="832"/>
      <c r="I40" s="832"/>
      <c r="J40" s="832"/>
      <c r="K40" s="377"/>
      <c r="L40" s="377"/>
      <c r="M40" s="616"/>
      <c r="N40" s="616"/>
      <c r="O40" s="616"/>
      <c r="P40" s="616">
        <f>COUNTBLANK(D40)</f>
        <v>0</v>
      </c>
      <c r="Q40" s="616" t="s">
        <v>81</v>
      </c>
      <c r="R40" s="616"/>
      <c r="S40" s="616"/>
      <c r="T40" s="616"/>
      <c r="U40" s="616"/>
      <c r="V40" s="616"/>
      <c r="W40" s="616"/>
      <c r="X40" s="616"/>
      <c r="Y40" s="616"/>
      <c r="Z40" s="616"/>
      <c r="AA40" s="616"/>
      <c r="AB40" s="616"/>
      <c r="AC40" s="616"/>
      <c r="AD40" s="616"/>
      <c r="AE40" s="839"/>
      <c r="AF40" s="839"/>
      <c r="AG40" s="839"/>
      <c r="AH40" s="839"/>
      <c r="AI40" s="839"/>
      <c r="AJ40" s="839"/>
      <c r="AK40" s="840"/>
    </row>
    <row r="41" spans="1:37">
      <c r="A41" s="704"/>
      <c r="B41" s="1058" t="s">
        <v>424</v>
      </c>
      <c r="C41" s="1059"/>
      <c r="D41" s="642">
        <v>0</v>
      </c>
      <c r="E41" s="832" t="str">
        <f>IF('Start Page'!$Y$36=1,"PSI",IF('Start Page'!$Y$36=2,"metres (head)", IF('Start Page'!$Y$36=3,"PSI")))</f>
        <v>PSI</v>
      </c>
      <c r="F41" s="832"/>
      <c r="G41" s="832"/>
      <c r="H41" s="832"/>
      <c r="I41" s="832"/>
      <c r="J41" s="832"/>
      <c r="K41" s="377"/>
      <c r="L41" s="377"/>
      <c r="M41" s="616"/>
      <c r="N41" s="616"/>
      <c r="O41" s="616"/>
      <c r="P41" s="616">
        <f>COUNTBLANK(D41)</f>
        <v>0</v>
      </c>
      <c r="Q41" s="616" t="s">
        <v>82</v>
      </c>
      <c r="R41" s="616"/>
      <c r="S41" s="616"/>
      <c r="T41" s="616"/>
      <c r="U41" s="616"/>
      <c r="V41" s="616">
        <v>3</v>
      </c>
      <c r="W41" s="616"/>
      <c r="X41" s="616"/>
      <c r="Y41" s="616"/>
      <c r="Z41" s="616"/>
      <c r="AA41" s="616"/>
      <c r="AB41" s="616"/>
      <c r="AC41" s="616"/>
      <c r="AD41" s="616"/>
      <c r="AE41" s="839"/>
      <c r="AF41" s="839"/>
      <c r="AG41" s="839"/>
      <c r="AH41" s="839"/>
      <c r="AI41" s="839"/>
      <c r="AJ41" s="839"/>
      <c r="AK41" s="840"/>
    </row>
    <row r="42" spans="1:37">
      <c r="A42" s="704"/>
      <c r="B42" s="1069"/>
      <c r="C42" s="1070"/>
      <c r="D42" s="1040" t="s">
        <v>707</v>
      </c>
      <c r="E42" s="1040"/>
      <c r="F42" s="1040"/>
      <c r="G42" s="1040"/>
      <c r="H42" s="1040"/>
      <c r="I42" s="1040"/>
      <c r="J42" s="832"/>
      <c r="K42" s="377"/>
      <c r="L42" s="377"/>
      <c r="M42" s="616"/>
      <c r="N42" s="616"/>
      <c r="O42" s="616"/>
      <c r="P42" s="616"/>
      <c r="Q42" s="616"/>
      <c r="R42" s="616"/>
      <c r="S42" s="616"/>
      <c r="T42" s="616"/>
      <c r="U42" s="616"/>
      <c r="V42" s="616"/>
      <c r="W42" s="616"/>
      <c r="X42" s="616"/>
      <c r="Y42" s="616"/>
      <c r="Z42" s="616"/>
      <c r="AA42" s="616"/>
      <c r="AB42" s="616"/>
      <c r="AC42" s="616"/>
      <c r="AD42" s="616"/>
      <c r="AE42" s="839"/>
      <c r="AF42" s="839"/>
      <c r="AG42" s="839"/>
      <c r="AH42" s="839"/>
      <c r="AI42" s="839"/>
      <c r="AJ42" s="839"/>
      <c r="AK42" s="840"/>
    </row>
    <row r="43" spans="1:37">
      <c r="A43" s="704"/>
      <c r="B43" s="1096" t="s">
        <v>22</v>
      </c>
      <c r="C43" s="1097"/>
      <c r="D43" s="1095"/>
      <c r="E43" s="1095"/>
      <c r="F43" s="1095"/>
      <c r="G43" s="1095"/>
      <c r="H43" s="1095"/>
      <c r="I43" s="1095"/>
      <c r="J43" s="525"/>
      <c r="K43" s="526"/>
      <c r="L43" s="526"/>
      <c r="M43" s="616"/>
      <c r="N43" s="616"/>
      <c r="O43" s="616"/>
      <c r="P43" s="616"/>
      <c r="Q43" s="616"/>
      <c r="R43" s="616"/>
      <c r="S43" s="616"/>
      <c r="T43" s="616"/>
      <c r="U43" s="616" t="s">
        <v>80</v>
      </c>
      <c r="V43" s="845">
        <v>2</v>
      </c>
      <c r="W43" s="616"/>
      <c r="X43" s="616"/>
      <c r="Y43" s="616"/>
      <c r="Z43" s="616"/>
      <c r="AA43" s="616"/>
      <c r="AB43" s="616"/>
      <c r="AC43" s="616"/>
      <c r="AD43" s="616"/>
      <c r="AE43" s="839"/>
      <c r="AF43" s="839"/>
      <c r="AG43" s="839"/>
      <c r="AH43" s="839"/>
      <c r="AI43" s="839"/>
      <c r="AJ43" s="839"/>
      <c r="AK43" s="840"/>
    </row>
    <row r="44" spans="1:37">
      <c r="A44" s="704"/>
      <c r="B44" s="1098"/>
      <c r="C44" s="1099"/>
      <c r="D44" s="535"/>
      <c r="E44" s="832"/>
      <c r="F44" s="832"/>
      <c r="G44" s="832"/>
      <c r="H44" s="832"/>
      <c r="I44" s="832"/>
      <c r="J44" s="832"/>
      <c r="K44" s="377"/>
      <c r="L44" s="377"/>
      <c r="M44" s="616"/>
      <c r="N44" s="616"/>
      <c r="O44" s="616"/>
      <c r="P44" s="616"/>
      <c r="Q44" s="616"/>
      <c r="R44" s="616"/>
      <c r="S44" s="616"/>
      <c r="T44" s="616"/>
      <c r="U44" s="616"/>
      <c r="V44" s="616"/>
      <c r="W44" s="616"/>
      <c r="X44" s="616"/>
      <c r="Y44" s="616"/>
      <c r="Z44" s="616"/>
      <c r="AA44" s="616"/>
      <c r="AB44" s="616"/>
      <c r="AC44" s="616"/>
      <c r="AD44" s="616"/>
      <c r="AE44" s="839"/>
      <c r="AF44" s="839"/>
      <c r="AG44" s="839"/>
      <c r="AH44" s="839"/>
      <c r="AI44" s="839"/>
      <c r="AJ44" s="839"/>
      <c r="AK44" s="840"/>
    </row>
    <row r="45" spans="1:37">
      <c r="A45" s="704"/>
      <c r="B45" s="1058" t="s">
        <v>425</v>
      </c>
      <c r="C45" s="1059"/>
      <c r="D45" s="856"/>
      <c r="E45" s="832" t="str">
        <f>IF('Start Page'!$Y$36=1,"$/Year",IF('Start Page'!$Y$36=2,"$/Year", IF('Start Page'!$Y$36=3,"$/Year")))</f>
        <v>$/Year</v>
      </c>
      <c r="F45" s="832"/>
      <c r="G45" s="832"/>
      <c r="H45" s="832"/>
      <c r="I45" s="832"/>
      <c r="J45" s="832"/>
      <c r="K45" s="377"/>
      <c r="L45" s="377"/>
      <c r="M45" s="616"/>
      <c r="N45" s="616"/>
      <c r="O45" s="616"/>
      <c r="P45" s="616">
        <f>COUNTBLANK(D45)</f>
        <v>1</v>
      </c>
      <c r="Q45" s="616" t="s">
        <v>83</v>
      </c>
      <c r="R45" s="616"/>
      <c r="S45" s="616"/>
      <c r="T45" s="616">
        <v>1</v>
      </c>
      <c r="U45" s="616" t="s">
        <v>26</v>
      </c>
      <c r="V45" s="616"/>
      <c r="W45" s="616"/>
      <c r="X45" s="616"/>
      <c r="Y45" s="616"/>
      <c r="Z45" s="616"/>
      <c r="AA45" s="616"/>
      <c r="AB45" s="616"/>
      <c r="AC45" s="616"/>
      <c r="AD45" s="616"/>
      <c r="AE45" s="839"/>
      <c r="AF45" s="839"/>
      <c r="AG45" s="839"/>
      <c r="AH45" s="839"/>
      <c r="AI45" s="839"/>
      <c r="AJ45" s="839"/>
      <c r="AK45" s="840"/>
    </row>
    <row r="46" spans="1:37">
      <c r="A46" s="704"/>
      <c r="B46" s="1058" t="s">
        <v>23</v>
      </c>
      <c r="C46" s="1059"/>
      <c r="D46" s="641">
        <v>0</v>
      </c>
      <c r="E46" s="832"/>
      <c r="F46" s="832"/>
      <c r="G46" s="832"/>
      <c r="H46" s="832"/>
      <c r="I46" s="832"/>
      <c r="J46" s="832"/>
      <c r="K46" s="377"/>
      <c r="L46" s="377"/>
      <c r="M46" s="616"/>
      <c r="N46" s="616"/>
      <c r="O46" s="616"/>
      <c r="P46" s="616">
        <f>COUNTBLANK(D46)</f>
        <v>0</v>
      </c>
      <c r="Q46" s="616" t="s">
        <v>559</v>
      </c>
      <c r="R46" s="616"/>
      <c r="S46" s="616"/>
      <c r="T46" s="616">
        <v>2</v>
      </c>
      <c r="U46" s="616" t="s">
        <v>405</v>
      </c>
      <c r="V46" s="616"/>
      <c r="W46" s="616"/>
      <c r="X46" s="616"/>
      <c r="Y46" s="616"/>
      <c r="Z46" s="616"/>
      <c r="AA46" s="616"/>
      <c r="AB46" s="616"/>
      <c r="AC46" s="616"/>
      <c r="AD46" s="616"/>
      <c r="AE46" s="839"/>
      <c r="AF46" s="839"/>
      <c r="AG46" s="839"/>
      <c r="AH46" s="839"/>
      <c r="AI46" s="839"/>
      <c r="AJ46" s="839"/>
      <c r="AK46" s="840"/>
    </row>
    <row r="47" spans="1:37">
      <c r="A47" s="704"/>
      <c r="B47" s="1058" t="s">
        <v>24</v>
      </c>
      <c r="C47" s="1059"/>
      <c r="D47" s="641">
        <v>0</v>
      </c>
      <c r="E47" s="832" t="str">
        <f>IF('Start Page'!$Y$36=1,"$/MG",IF('Start Page'!$Y$36=2,"$/ML", IF('Start Page'!$Y$36=3,"$/Acre-ft")))</f>
        <v>$/MG</v>
      </c>
      <c r="F47" s="832"/>
      <c r="G47" s="832"/>
      <c r="H47" s="832"/>
      <c r="I47" s="832"/>
      <c r="J47" s="832"/>
      <c r="K47" s="377"/>
      <c r="L47" s="377"/>
      <c r="M47" s="616"/>
      <c r="N47" s="616"/>
      <c r="O47" s="616"/>
      <c r="P47" s="616">
        <f>COUNTBLANK(D47)</f>
        <v>0</v>
      </c>
      <c r="Q47" s="616" t="s">
        <v>84</v>
      </c>
      <c r="R47" s="616"/>
      <c r="S47" s="616"/>
      <c r="T47" s="616">
        <v>3</v>
      </c>
      <c r="U47" s="616" t="s">
        <v>25</v>
      </c>
      <c r="V47" s="616"/>
      <c r="W47" s="616"/>
      <c r="X47" s="616"/>
      <c r="Y47" s="616"/>
      <c r="Z47" s="616"/>
      <c r="AA47" s="616"/>
      <c r="AB47" s="616"/>
      <c r="AC47" s="616"/>
      <c r="AD47" s="616"/>
      <c r="AE47" s="839"/>
      <c r="AF47" s="839"/>
      <c r="AG47" s="839"/>
      <c r="AH47" s="839"/>
      <c r="AI47" s="839"/>
      <c r="AJ47" s="839"/>
      <c r="AK47" s="840"/>
    </row>
    <row r="48" spans="1:37">
      <c r="A48" s="704"/>
      <c r="B48" s="1101"/>
      <c r="C48" s="1102"/>
      <c r="D48" s="832"/>
      <c r="E48" s="832"/>
      <c r="F48" s="832"/>
      <c r="G48" s="832"/>
      <c r="H48" s="832"/>
      <c r="I48" s="832"/>
      <c r="J48" s="832"/>
      <c r="K48" s="377"/>
      <c r="L48" s="377"/>
      <c r="M48" s="616"/>
      <c r="N48" s="616"/>
      <c r="O48" s="616"/>
      <c r="P48" s="616"/>
      <c r="Q48" s="616"/>
      <c r="R48" s="616"/>
      <c r="S48" s="616"/>
      <c r="T48" s="616"/>
      <c r="U48" s="616"/>
      <c r="V48" s="616"/>
      <c r="W48" s="616"/>
      <c r="X48" s="616"/>
      <c r="Y48" s="616"/>
      <c r="Z48" s="616"/>
      <c r="AA48" s="616"/>
      <c r="AB48" s="616"/>
      <c r="AC48" s="616"/>
      <c r="AD48" s="616"/>
      <c r="AE48" s="839"/>
      <c r="AF48" s="839"/>
      <c r="AG48" s="839"/>
      <c r="AH48" s="839"/>
      <c r="AI48" s="839"/>
      <c r="AJ48" s="839"/>
      <c r="AK48" s="840"/>
    </row>
    <row r="49" spans="1:37">
      <c r="A49" s="704"/>
      <c r="B49" s="1096" t="s">
        <v>717</v>
      </c>
      <c r="C49" s="1097"/>
      <c r="D49" s="525"/>
      <c r="E49" s="525"/>
      <c r="F49" s="525"/>
      <c r="G49" s="525"/>
      <c r="H49" s="525"/>
      <c r="I49" s="525"/>
      <c r="J49" s="525"/>
      <c r="K49" s="526"/>
      <c r="L49" s="526"/>
      <c r="M49" s="616"/>
      <c r="N49" s="616"/>
      <c r="O49" s="616"/>
      <c r="P49" s="616"/>
      <c r="Q49" s="616"/>
      <c r="R49" s="616"/>
      <c r="S49" s="616"/>
      <c r="T49" s="616"/>
      <c r="U49" s="616"/>
      <c r="V49" s="616"/>
      <c r="W49" s="616"/>
      <c r="X49" s="616"/>
      <c r="Y49" s="616"/>
      <c r="Z49" s="616"/>
      <c r="AA49" s="616"/>
      <c r="AB49" s="616"/>
      <c r="AC49" s="616"/>
      <c r="AD49" s="616"/>
      <c r="AE49" s="839"/>
      <c r="AF49" s="839"/>
      <c r="AG49" s="839"/>
      <c r="AH49" s="839"/>
      <c r="AI49" s="839"/>
      <c r="AJ49" s="839"/>
      <c r="AK49" s="840"/>
    </row>
    <row r="50" spans="1:37">
      <c r="A50" s="704"/>
      <c r="B50" s="1090" t="s">
        <v>40</v>
      </c>
      <c r="C50" s="1091"/>
      <c r="D50" s="832"/>
      <c r="E50" s="832"/>
      <c r="F50" s="832"/>
      <c r="G50" s="832"/>
      <c r="H50" s="832"/>
      <c r="I50" s="832"/>
      <c r="J50" s="832"/>
      <c r="K50" s="377"/>
      <c r="L50" s="377"/>
      <c r="M50" s="616"/>
      <c r="N50" s="616"/>
      <c r="O50" s="616"/>
      <c r="P50" s="616"/>
      <c r="Q50" s="616"/>
      <c r="R50" s="616"/>
      <c r="S50" s="616"/>
      <c r="T50" s="616"/>
      <c r="U50" s="616"/>
      <c r="V50" s="616"/>
      <c r="W50" s="616"/>
      <c r="X50" s="616"/>
      <c r="Y50" s="616"/>
      <c r="Z50" s="616"/>
      <c r="AA50" s="616"/>
      <c r="AB50" s="616"/>
      <c r="AC50" s="616"/>
      <c r="AD50" s="616"/>
      <c r="AE50" s="839"/>
      <c r="AF50" s="839"/>
      <c r="AG50" s="839"/>
      <c r="AH50" s="839"/>
      <c r="AI50" s="839"/>
      <c r="AJ50" s="839"/>
      <c r="AK50" s="840"/>
    </row>
    <row r="51" spans="1:37">
      <c r="A51" s="704"/>
      <c r="B51" s="1058" t="s">
        <v>584</v>
      </c>
      <c r="C51" s="1059"/>
      <c r="D51" s="527" t="str">
        <f>IF(ISERROR(IF(SUM(P32,P13)&gt;0,"",D32/D13)),"",IF(SUM(P32,P13)&gt;0,"",D32/D13))</f>
        <v/>
      </c>
      <c r="E51" s="832"/>
      <c r="F51" s="832"/>
      <c r="G51" s="832"/>
      <c r="H51" s="832"/>
      <c r="I51" s="832"/>
      <c r="J51" s="832"/>
      <c r="K51" s="377"/>
      <c r="L51" s="377"/>
      <c r="M51" s="616"/>
      <c r="N51" s="616"/>
      <c r="O51" s="616"/>
      <c r="P51" s="616"/>
      <c r="Q51" s="616"/>
      <c r="R51" s="616"/>
      <c r="S51" s="616"/>
      <c r="T51" s="616"/>
      <c r="U51" s="616"/>
      <c r="V51" s="616"/>
      <c r="W51" s="616"/>
      <c r="X51" s="616"/>
      <c r="Y51" s="616"/>
      <c r="Z51" s="616"/>
      <c r="AA51" s="616"/>
      <c r="AB51" s="616"/>
      <c r="AC51" s="616"/>
      <c r="AD51" s="616"/>
      <c r="AE51" s="839"/>
      <c r="AF51" s="839"/>
      <c r="AG51" s="839"/>
      <c r="AH51" s="839"/>
      <c r="AI51" s="839"/>
      <c r="AJ51" s="839"/>
      <c r="AK51" s="840"/>
    </row>
    <row r="52" spans="1:37">
      <c r="A52" s="704"/>
      <c r="B52" s="1058" t="s">
        <v>27</v>
      </c>
      <c r="C52" s="1059"/>
      <c r="D52" s="527" t="str">
        <f>IF(ISERROR(IF(SUM(P45:P47,P30,P28,P21,P20)&gt;0,"",IF(ISERROR(1/D45),"",(((D20+D21+D30)*D47)+(D28*D46*INDEX('Unit Conversion Sheet'!$C$11:$E$13,MATCH('Start Page'!$Y$36,'Unit Conversion Sheet'!$A$11:$A$13,0),MATCH('AWWA-Water Balance Data Transf.'!$V$43,'Unit Conversion Sheet'!$C$9:$E$9,0))))/'AWWA-Water Balance Data Transf.'!$D$45))),"",IF(SUM(P45:P47,P30,P28,P21,P20)&gt;0,"",IF(ISERROR(1/D45),"",(((D20+D21+D30)*D47)+(D28*D46*INDEX('Unit Conversion Sheet'!$C$11:$E$13,MATCH('Start Page'!$Y$36,'Unit Conversion Sheet'!$A$11:$A$13,0),MATCH('AWWA-Water Balance Data Transf.'!$V$43,'Unit Conversion Sheet'!$C$9:$E$9,0))))/'AWWA-Water Balance Data Transf.'!$D$45)))</f>
        <v/>
      </c>
      <c r="E52" s="832"/>
      <c r="F52" s="832"/>
      <c r="G52" s="528"/>
      <c r="H52" s="528"/>
      <c r="I52" s="528"/>
      <c r="J52" s="528"/>
      <c r="K52" s="529"/>
      <c r="L52" s="529"/>
      <c r="M52" s="616"/>
      <c r="N52" s="616"/>
      <c r="O52" s="616"/>
      <c r="P52" s="616"/>
      <c r="Q52" s="616"/>
      <c r="R52" s="616"/>
      <c r="S52" s="616"/>
      <c r="T52" s="616"/>
      <c r="U52" s="616"/>
      <c r="V52" s="616"/>
      <c r="W52" s="616"/>
      <c r="X52" s="616"/>
      <c r="Y52" s="616"/>
      <c r="Z52" s="616"/>
      <c r="AA52" s="616"/>
      <c r="AB52" s="616"/>
      <c r="AC52" s="616"/>
      <c r="AD52" s="616"/>
      <c r="AE52" s="839"/>
      <c r="AF52" s="839"/>
      <c r="AG52" s="839"/>
      <c r="AH52" s="839"/>
      <c r="AI52" s="839"/>
      <c r="AJ52" s="839"/>
      <c r="AK52" s="840"/>
    </row>
    <row r="53" spans="1:37">
      <c r="A53" s="704"/>
      <c r="B53" s="1058" t="s">
        <v>28</v>
      </c>
      <c r="C53" s="1059"/>
      <c r="D53" s="530" t="str">
        <f>IF(ISERROR(IF(SUM(P46,P28)&gt;0,"",D28*D46*INDEX('Unit Conversion Sheet'!$C$11:$E$13,MATCH('Start Page'!$Y$36,'Unit Conversion Sheet'!$A$11:$A$13,0),MATCH('AWWA-Water Balance Data Transf.'!$V$43,'Unit Conversion Sheet'!$C$9:$E$9,0)))),"",IF(SUM(P46,P28)&gt;0,"",D28*D46*INDEX('Unit Conversion Sheet'!$C$11:$E$13,MATCH('Start Page'!$Y$36,'Unit Conversion Sheet'!$A$11:$A$13,0),MATCH('AWWA-Water Balance Data Transf.'!$V$43,'Unit Conversion Sheet'!$C$9:$E$9,0))))</f>
        <v/>
      </c>
      <c r="E53" s="832"/>
      <c r="F53" s="832"/>
      <c r="G53" s="531"/>
      <c r="H53" s="832"/>
      <c r="I53" s="832"/>
      <c r="J53" s="832"/>
      <c r="K53" s="377"/>
      <c r="L53" s="377"/>
      <c r="M53" s="616"/>
      <c r="N53" s="616"/>
      <c r="O53" s="616"/>
      <c r="P53" s="616"/>
      <c r="Q53" s="616"/>
      <c r="R53" s="616"/>
      <c r="S53" s="616"/>
      <c r="T53" s="616"/>
      <c r="U53" s="616"/>
      <c r="V53" s="616"/>
      <c r="W53" s="616"/>
      <c r="X53" s="616"/>
      <c r="Y53" s="616"/>
      <c r="Z53" s="616"/>
      <c r="AA53" s="616"/>
      <c r="AB53" s="616"/>
      <c r="AC53" s="616"/>
      <c r="AD53" s="616"/>
      <c r="AE53" s="839"/>
      <c r="AF53" s="839"/>
      <c r="AG53" s="839"/>
      <c r="AH53" s="839"/>
      <c r="AI53" s="839"/>
      <c r="AJ53" s="839"/>
      <c r="AK53" s="840"/>
    </row>
    <row r="54" spans="1:37">
      <c r="A54" s="704"/>
      <c r="B54" s="1058" t="s">
        <v>29</v>
      </c>
      <c r="C54" s="1059"/>
      <c r="D54" s="530" t="str">
        <f>IF(ISERROR(IF(SUM(P47,P30)&gt;0,"",D30*D47)),"",IF(SUM(P47,P30)&gt;0,"",D30*D47))</f>
        <v/>
      </c>
      <c r="E54" s="832"/>
      <c r="F54" s="832"/>
      <c r="G54" s="832"/>
      <c r="H54" s="832"/>
      <c r="I54" s="832"/>
      <c r="J54" s="832"/>
      <c r="K54" s="377"/>
      <c r="L54" s="377"/>
      <c r="M54" s="616"/>
      <c r="N54" s="616"/>
      <c r="O54" s="616"/>
      <c r="P54" s="616"/>
      <c r="Q54" s="616"/>
      <c r="R54" s="616"/>
      <c r="S54" s="616"/>
      <c r="T54" s="616"/>
      <c r="U54" s="616"/>
      <c r="V54" s="616"/>
      <c r="W54" s="616"/>
      <c r="X54" s="616"/>
      <c r="Y54" s="616"/>
      <c r="Z54" s="616"/>
      <c r="AA54" s="616"/>
      <c r="AB54" s="616"/>
      <c r="AC54" s="616"/>
      <c r="AD54" s="616"/>
      <c r="AE54" s="839"/>
      <c r="AF54" s="839"/>
      <c r="AG54" s="839"/>
      <c r="AH54" s="839"/>
      <c r="AI54" s="839"/>
      <c r="AJ54" s="839"/>
      <c r="AK54" s="840"/>
    </row>
    <row r="55" spans="1:37">
      <c r="A55" s="704"/>
      <c r="B55" s="1069"/>
      <c r="C55" s="1070"/>
      <c r="D55" s="832"/>
      <c r="E55" s="832"/>
      <c r="F55" s="832"/>
      <c r="G55" s="832"/>
      <c r="H55" s="832"/>
      <c r="I55" s="532"/>
      <c r="J55" s="832"/>
      <c r="K55" s="377"/>
      <c r="L55" s="377"/>
      <c r="M55" s="616"/>
      <c r="N55" s="616"/>
      <c r="O55" s="616"/>
      <c r="P55" s="616"/>
      <c r="Q55" s="616"/>
      <c r="R55" s="616"/>
      <c r="S55" s="616"/>
      <c r="T55" s="616"/>
      <c r="U55" s="616"/>
      <c r="V55" s="616"/>
      <c r="W55" s="616"/>
      <c r="X55" s="616"/>
      <c r="Y55" s="616"/>
      <c r="Z55" s="616"/>
      <c r="AA55" s="616"/>
      <c r="AB55" s="616"/>
      <c r="AC55" s="616"/>
      <c r="AD55" s="616"/>
      <c r="AE55" s="839"/>
      <c r="AF55" s="839"/>
      <c r="AG55" s="839"/>
      <c r="AH55" s="839"/>
      <c r="AI55" s="839"/>
      <c r="AJ55" s="839"/>
      <c r="AK55" s="840"/>
    </row>
    <row r="56" spans="1:37">
      <c r="A56" s="704"/>
      <c r="B56" s="1071" t="s">
        <v>41</v>
      </c>
      <c r="C56" s="1072"/>
      <c r="D56" s="832"/>
      <c r="E56" s="832"/>
      <c r="F56" s="832"/>
      <c r="G56" s="832"/>
      <c r="H56" s="832"/>
      <c r="I56" s="832"/>
      <c r="J56" s="832"/>
      <c r="K56" s="377"/>
      <c r="L56" s="377"/>
      <c r="M56" s="616"/>
      <c r="N56" s="616"/>
      <c r="O56" s="616"/>
      <c r="P56" s="616"/>
      <c r="Q56" s="616"/>
      <c r="R56" s="616"/>
      <c r="S56" s="616"/>
      <c r="T56" s="616"/>
      <c r="U56" s="616"/>
      <c r="V56" s="616"/>
      <c r="W56" s="616"/>
      <c r="X56" s="616"/>
      <c r="Y56" s="616"/>
      <c r="Z56" s="616"/>
      <c r="AA56" s="616"/>
      <c r="AB56" s="616"/>
      <c r="AC56" s="616"/>
      <c r="AD56" s="616"/>
      <c r="AE56" s="839"/>
      <c r="AF56" s="839"/>
      <c r="AG56" s="839"/>
      <c r="AH56" s="839"/>
      <c r="AI56" s="839"/>
      <c r="AJ56" s="839"/>
      <c r="AK56" s="840"/>
    </row>
    <row r="57" spans="1:37">
      <c r="A57" s="704"/>
      <c r="B57" s="1058" t="s">
        <v>525</v>
      </c>
      <c r="C57" s="1059"/>
      <c r="D57" s="857" t="str">
        <f>IF(ISERROR(IF(SUM(P38,P28)&gt;0,"",IF(D38="","",$D$28*CHOOSE('Start Page'!$Y$36,'Unit Conversion Sheet'!$D$24,'Unit Conversion Sheet'!$D$25,'Unit Conversion Sheet'!$D$26)/('Start Page'!$K$35*$D$38)))),"",IF(D28="","",IF(D38="","",$D$28*CHOOSE('Start Page'!$Y$36,'Unit Conversion Sheet'!$D$24,'Unit Conversion Sheet'!$D$25,'Unit Conversion Sheet'!$D$26)/('Start Page'!$K$35*$D$38))))</f>
        <v/>
      </c>
      <c r="E57" s="533" t="str">
        <f>IF('Start Page'!$Y$36=1,"gal/service conn/day",IF('Start Page'!$Y$36=2,"litres/service conn/day", IF('Start Page'!$Y$36=3,"gal/service conn/day")))</f>
        <v>gal/service conn/day</v>
      </c>
      <c r="F57" s="832"/>
      <c r="G57" s="832"/>
      <c r="H57" s="832"/>
      <c r="I57" s="832"/>
      <c r="J57" s="832"/>
      <c r="K57" s="377"/>
      <c r="L57" s="377"/>
      <c r="M57" s="616"/>
      <c r="N57" s="616"/>
      <c r="O57" s="616"/>
      <c r="P57" s="616">
        <f>COUNTBLANK(D57)</f>
        <v>1</v>
      </c>
      <c r="Q57" s="616" t="s">
        <v>87</v>
      </c>
      <c r="R57" s="616"/>
      <c r="S57" s="616"/>
      <c r="T57" s="616"/>
      <c r="U57" s="616"/>
      <c r="V57" s="616"/>
      <c r="W57" s="616"/>
      <c r="X57" s="616"/>
      <c r="Y57" s="616"/>
      <c r="Z57" s="616"/>
      <c r="AA57" s="616"/>
      <c r="AB57" s="616"/>
      <c r="AC57" s="616"/>
      <c r="AD57" s="616"/>
      <c r="AE57" s="839"/>
      <c r="AF57" s="839"/>
      <c r="AG57" s="839"/>
      <c r="AH57" s="839"/>
      <c r="AI57" s="839"/>
      <c r="AJ57" s="839"/>
      <c r="AK57" s="840"/>
    </row>
    <row r="58" spans="1:37">
      <c r="A58" s="704"/>
      <c r="B58" s="1058" t="s">
        <v>526</v>
      </c>
      <c r="C58" s="1059"/>
      <c r="D58" s="834" t="str">
        <f>IF(ISERROR(IF(SUM(P39,P38,P30)&gt;0,"",IF(D39&lt;=32,"N/A",$D$30*CHOOSE('Start Page'!$Y$36,'Unit Conversion Sheet'!$D$24,'Unit Conversion Sheet'!$D$25,'Unit Conversion Sheet'!$D$26)/('Start Page'!$K$35*$D$38)))),"",IF(D39="","",IF(D39&lt;=32,"N/A",$D$30*CHOOSE('Start Page'!$Y$36,'Unit Conversion Sheet'!$D$24,'Unit Conversion Sheet'!$D$25,'Unit Conversion Sheet'!$D$26)/('Start Page'!$K$35*$D$38))))</f>
        <v/>
      </c>
      <c r="E58" s="533" t="str">
        <f>IF('Start Page'!$Y$36=1,"gal/service conn/day",IF('Start Page'!$Y$36=2,"litres/service conn/day", IF('Start Page'!$Y$36=3,"gal/service conn/day")))</f>
        <v>gal/service conn/day</v>
      </c>
      <c r="F58" s="832"/>
      <c r="G58" s="832"/>
      <c r="H58" s="832"/>
      <c r="I58" s="832"/>
      <c r="J58" s="832"/>
      <c r="K58" s="377"/>
      <c r="L58" s="377"/>
      <c r="M58" s="616"/>
      <c r="N58" s="616"/>
      <c r="O58" s="616"/>
      <c r="P58" s="616">
        <f>COUNTBLANK(D58)</f>
        <v>1</v>
      </c>
      <c r="Q58" s="616" t="s">
        <v>89</v>
      </c>
      <c r="R58" s="616"/>
      <c r="S58" s="616"/>
      <c r="T58" s="616"/>
      <c r="U58" s="616"/>
      <c r="V58" s="616"/>
      <c r="W58" s="616"/>
      <c r="X58" s="616"/>
      <c r="Y58" s="616"/>
      <c r="Z58" s="616"/>
      <c r="AA58" s="616"/>
      <c r="AB58" s="616"/>
      <c r="AC58" s="616"/>
      <c r="AD58" s="616"/>
      <c r="AE58" s="839"/>
      <c r="AF58" s="839"/>
      <c r="AG58" s="839"/>
      <c r="AH58" s="839"/>
      <c r="AI58" s="839"/>
      <c r="AJ58" s="839"/>
      <c r="AK58" s="840"/>
    </row>
    <row r="59" spans="1:37">
      <c r="A59" s="704"/>
      <c r="B59" s="1058" t="s">
        <v>527</v>
      </c>
      <c r="C59" s="1059"/>
      <c r="D59" s="534" t="str">
        <f>IF(ISERROR(IF(SUM(P39,P30)&gt;0,"",IF(D39&gt;=32,"N/A",$D$30*CHOOSE('Start Page'!$Y$36,'Unit Conversion Sheet'!$D$24,'Unit Conversion Sheet'!$D$25,'Unit Conversion Sheet'!$D$26)/('Start Page'!$K$35*$D$37)))),"",IF(SUM(P39,P30)&gt;0,"",IF(D39&gt;=32,"N/A",$D$30*CHOOSE('Start Page'!$Y$36,'Unit Conversion Sheet'!$D$24,'Unit Conversion Sheet'!$D$25,'Unit Conversion Sheet'!$D$26)/('Start Page'!$K$35*$D$37))))</f>
        <v/>
      </c>
      <c r="E59" s="832" t="str">
        <f>INDEX('Unit Conversion Sheet'!$C$36:$D$38,MATCH('Start Page'!$Y$36,'Unit Conversion Sheet'!$A$36:$A$38,0),MATCH('Start Page'!$Y$42,'Unit Conversion Sheet'!$C$35:$D$35,0))</f>
        <v>gal/mi/day</v>
      </c>
      <c r="F59" s="832"/>
      <c r="G59" s="832"/>
      <c r="H59" s="832"/>
      <c r="I59" s="832"/>
      <c r="J59" s="832"/>
      <c r="K59" s="377"/>
      <c r="L59" s="377"/>
      <c r="M59" s="616"/>
      <c r="N59" s="616"/>
      <c r="O59" s="616"/>
      <c r="P59" s="616">
        <f>COUNTBLANK(D59)</f>
        <v>1</v>
      </c>
      <c r="Q59" s="616" t="s">
        <v>88</v>
      </c>
      <c r="R59" s="616"/>
      <c r="S59" s="616"/>
      <c r="T59" s="616"/>
      <c r="U59" s="616"/>
      <c r="V59" s="616"/>
      <c r="W59" s="616"/>
      <c r="X59" s="616"/>
      <c r="Y59" s="616"/>
      <c r="Z59" s="616"/>
      <c r="AA59" s="616"/>
      <c r="AB59" s="616"/>
      <c r="AC59" s="616"/>
      <c r="AD59" s="616"/>
      <c r="AE59" s="839"/>
      <c r="AF59" s="839"/>
      <c r="AG59" s="839"/>
      <c r="AH59" s="839"/>
      <c r="AI59" s="839"/>
      <c r="AJ59" s="839"/>
      <c r="AK59" s="840"/>
    </row>
    <row r="60" spans="1:37">
      <c r="A60" s="704"/>
      <c r="B60" s="1058" t="str">
        <f>"Real Losses per service connection per day per "&amp;$E$41&amp; " pressure:"</f>
        <v>Real Losses per service connection per day per PSI pressure:</v>
      </c>
      <c r="C60" s="1059"/>
      <c r="D60" s="834" t="str">
        <f>IF(SUM(P58,P41)&gt;0,"N/A",IF(ISERROR(D58/D41),"N/A",D58/D41))</f>
        <v>N/A</v>
      </c>
      <c r="E60" s="533" t="str">
        <f>IF('Start Page'!$Y$36=1,"gal/service conn/day/psi",IF('Start Page'!$Y$36=2,"litres/service conn/day/mH", IF('Start Page'!$Y$36=3,"gal/service conn/day/psi")))</f>
        <v>gal/service conn/day/psi</v>
      </c>
      <c r="F60" s="832"/>
      <c r="G60" s="832"/>
      <c r="H60" s="832"/>
      <c r="I60" s="832"/>
      <c r="J60" s="832"/>
      <c r="K60" s="377"/>
      <c r="L60" s="377"/>
      <c r="M60" s="616"/>
      <c r="N60" s="616"/>
      <c r="O60" s="616"/>
      <c r="P60" s="616">
        <f>COUNTBLANK(D60)</f>
        <v>0</v>
      </c>
      <c r="Q60" s="616" t="s">
        <v>86</v>
      </c>
      <c r="R60" s="616"/>
      <c r="S60" s="616"/>
      <c r="T60" s="616"/>
      <c r="U60" s="616"/>
      <c r="V60" s="616"/>
      <c r="W60" s="616"/>
      <c r="X60" s="616"/>
      <c r="Y60" s="616"/>
      <c r="Z60" s="616"/>
      <c r="AA60" s="616"/>
      <c r="AB60" s="616"/>
      <c r="AC60" s="616"/>
      <c r="AD60" s="616"/>
      <c r="AE60" s="839"/>
      <c r="AF60" s="839"/>
      <c r="AG60" s="839"/>
      <c r="AH60" s="839"/>
      <c r="AI60" s="839"/>
      <c r="AJ60" s="839"/>
      <c r="AK60" s="840"/>
    </row>
    <row r="61" spans="1:37">
      <c r="A61" s="704"/>
      <c r="B61" s="1058" t="s">
        <v>528</v>
      </c>
      <c r="C61" s="1059"/>
      <c r="D61" s="834" t="str">
        <f>IF('Start Page'!K35&lt;365,"N/A",IF($D$38="","",IF(OR($D$38&lt;3000,D39&lt;16),"N/A",IF(ISERROR(IF(AND('Start Page'!$Y$36=1,'Start Page'!$Y$42=1),X14,IF(AND('Start Page'!$Y$36=2,'Start Page'!$Y$42=1),Y14,IF(AND('Start Page'!$Y$36=3,'Start Page'!$Y$42=1),Z14,IF(AND('Start Page'!$Y$36=1,'Start Page'!$Y$42=2),AA14,IF(AND('Start Page'!$Y$36=2,'Start Page'!$Y$42=2),AB14,IF(AND('Start Page'!$Y$36=3,'Start Page'!$Y$42=2),AC14,""))))))),"",IF(AND('Start Page'!$Y$36=1,'Start Page'!$Y$42=1),X14,IF(AND('Start Page'!$Y$36=2,'Start Page'!$Y$42=1),Y14,IF(AND('Start Page'!$Y$36=3,'Start Page'!$Y$42=1),Z14,IF(AND('Start Page'!$Y$36=1,'Start Page'!$Y$42=2),AA14,IF(AND('Start Page'!$Y$36=2,'Start Page'!$Y$42=2),AB14,IF(AND('Start Page'!$Y$36=3,'Start Page'!$Y$42=2),AC14,""))))))))))</f>
        <v>N/A</v>
      </c>
      <c r="E61" s="533" t="str">
        <f>IF('Start Page'!$Y$36=1,"MG/Yr",IF('Start Page'!$Y$36=2,"ML/Yr", IF('Start Page'!$Y$36=3,"Acre-feet/Yr")))</f>
        <v>MG/Yr</v>
      </c>
      <c r="F61" s="1093" t="str">
        <f>IF(D13=0,"",IF(D13="","",IF('Start Page'!K35&lt;365,"UARL, CARL, &amp; ILI ARE NOT CALCULATED BECAUSE UARL AND CARL CALCULATIONS SHOULD BE BASED ON AT LEAST A FULL AUDIT YEAR (365 days)",IF(AND(D61="N/A",OR(D39&lt;16,D38&lt;3000)), "UARL CANNOT BE CALCULATED: NUMBER OF SERVICE CONNECTIONS, LENGTH OF MAINS OR AVERAGE PRESSURE MAY BE TOO SMALL",""))))</f>
        <v/>
      </c>
      <c r="G61" s="1093"/>
      <c r="H61" s="1093"/>
      <c r="I61" s="1093"/>
      <c r="J61" s="1093"/>
      <c r="K61" s="1094"/>
      <c r="L61" s="377"/>
      <c r="M61" s="616"/>
      <c r="N61" s="616"/>
      <c r="O61" s="616"/>
      <c r="P61" s="616">
        <f>COUNTBLANK(D37:D41)</f>
        <v>1</v>
      </c>
      <c r="Q61" s="616" t="s">
        <v>65</v>
      </c>
      <c r="R61" s="616"/>
      <c r="S61" s="616"/>
      <c r="T61" s="616"/>
      <c r="U61" s="616"/>
      <c r="V61" s="616"/>
      <c r="W61" s="616"/>
      <c r="X61" s="616"/>
      <c r="Y61" s="616"/>
      <c r="Z61" s="616"/>
      <c r="AA61" s="616"/>
      <c r="AB61" s="616"/>
      <c r="AC61" s="616"/>
      <c r="AD61" s="616"/>
      <c r="AE61" s="839"/>
      <c r="AF61" s="839"/>
      <c r="AG61" s="839"/>
      <c r="AH61" s="839"/>
      <c r="AI61" s="839"/>
      <c r="AJ61" s="839"/>
      <c r="AK61" s="840"/>
    </row>
    <row r="62" spans="1:37">
      <c r="A62" s="704"/>
      <c r="B62" s="1058" t="s">
        <v>529</v>
      </c>
      <c r="C62" s="1059"/>
      <c r="D62" s="834" t="str">
        <f>IF('Start Page'!K35&lt;365,"N/A",IF(P62&gt;0,"",D30))</f>
        <v/>
      </c>
      <c r="E62" s="533" t="str">
        <f>IF('Start Page'!$Y$36=1,"MG/Yr",IF('Start Page'!$Y$36=2,"ML/Yr", IF('Start Page'!$Y$36=3,"Acre-feet/Yr")))</f>
        <v>MG/Yr</v>
      </c>
      <c r="F62" s="1093"/>
      <c r="G62" s="1093"/>
      <c r="H62" s="1093"/>
      <c r="I62" s="1093"/>
      <c r="J62" s="1093"/>
      <c r="K62" s="1094"/>
      <c r="L62" s="377"/>
      <c r="M62" s="616"/>
      <c r="N62" s="616"/>
      <c r="O62" s="616"/>
      <c r="P62" s="616">
        <f>COUNTBLANK(D30)</f>
        <v>1</v>
      </c>
      <c r="Q62" s="616" t="s">
        <v>66</v>
      </c>
      <c r="R62" s="616"/>
      <c r="S62" s="616"/>
      <c r="T62" s="616"/>
      <c r="U62" s="616"/>
      <c r="V62" s="616"/>
      <c r="W62" s="616"/>
      <c r="X62" s="616"/>
      <c r="Y62" s="616"/>
      <c r="Z62" s="616"/>
      <c r="AA62" s="616"/>
      <c r="AB62" s="616"/>
      <c r="AC62" s="616"/>
      <c r="AD62" s="616"/>
      <c r="AE62" s="839"/>
      <c r="AF62" s="839"/>
      <c r="AG62" s="839"/>
      <c r="AH62" s="839"/>
      <c r="AI62" s="839"/>
      <c r="AJ62" s="839"/>
      <c r="AK62" s="840"/>
    </row>
    <row r="63" spans="1:37">
      <c r="A63" s="704"/>
      <c r="B63" s="1058" t="s">
        <v>530</v>
      </c>
      <c r="C63" s="1059"/>
      <c r="D63" s="833" t="str">
        <f>IF(AND(D61="N/A",D62="N/A"),"N/A",IF(ISERROR(IF(P63&gt;0,"",D62/D61)),"",IF(P63&gt;0,"",D62/D61)))</f>
        <v/>
      </c>
      <c r="E63" s="720"/>
      <c r="F63" s="1093"/>
      <c r="G63" s="1093"/>
      <c r="H63" s="1093"/>
      <c r="I63" s="1093"/>
      <c r="J63" s="1093"/>
      <c r="K63" s="1094"/>
      <c r="L63" s="377"/>
      <c r="M63" s="616"/>
      <c r="N63" s="616"/>
      <c r="O63" s="616"/>
      <c r="P63" s="616">
        <f>COUNTBLANK(D61:D62)</f>
        <v>1</v>
      </c>
      <c r="Q63" s="616" t="s">
        <v>67</v>
      </c>
      <c r="R63" s="616"/>
      <c r="S63" s="616"/>
      <c r="T63" s="616"/>
      <c r="U63" s="616"/>
      <c r="V63" s="616"/>
      <c r="W63" s="616"/>
      <c r="X63" s="616"/>
      <c r="Y63" s="616"/>
      <c r="Z63" s="616"/>
      <c r="AA63" s="616"/>
      <c r="AB63" s="616"/>
      <c r="AC63" s="616"/>
      <c r="AD63" s="616"/>
      <c r="AE63" s="839"/>
      <c r="AF63" s="839"/>
      <c r="AG63" s="839"/>
      <c r="AH63" s="839"/>
      <c r="AI63" s="839"/>
      <c r="AJ63" s="839"/>
      <c r="AK63" s="840"/>
    </row>
    <row r="64" spans="1:37">
      <c r="A64" s="704"/>
      <c r="B64" s="1069"/>
      <c r="C64" s="1070"/>
      <c r="D64" s="1092" t="str">
        <f>IF(ISERROR(1/D61),"",IF(D62/D61&gt;1,"",IF((D62/D61)&lt;1,"PLEASE CHEK DATA ENTRY - ILI SHOULD BE &gt;1 - ALL OTHER PERFORMANCE INDICATORS ARE ALSO QUESTIONABLE")))</f>
        <v/>
      </c>
      <c r="E64" s="1092"/>
      <c r="F64" s="1092"/>
      <c r="G64" s="1092"/>
      <c r="H64" s="1092"/>
      <c r="I64" s="1092"/>
      <c r="J64" s="1092"/>
      <c r="K64" s="377"/>
      <c r="L64" s="377"/>
      <c r="M64" s="616"/>
      <c r="N64" s="616"/>
      <c r="O64" s="616"/>
      <c r="P64" s="616"/>
      <c r="Q64" s="616"/>
      <c r="R64" s="616"/>
      <c r="S64" s="616"/>
      <c r="T64" s="616"/>
      <c r="U64" s="616"/>
      <c r="V64" s="616"/>
      <c r="W64" s="616"/>
      <c r="X64" s="616"/>
      <c r="Y64" s="616"/>
      <c r="Z64" s="616"/>
      <c r="AA64" s="616"/>
      <c r="AB64" s="616"/>
      <c r="AC64" s="616"/>
      <c r="AD64" s="616"/>
      <c r="AE64" s="839"/>
      <c r="AF64" s="839"/>
      <c r="AG64" s="839"/>
      <c r="AH64" s="839"/>
      <c r="AI64" s="839"/>
      <c r="AJ64" s="839"/>
      <c r="AK64" s="840"/>
    </row>
    <row r="65" spans="1:37">
      <c r="A65" s="704"/>
      <c r="B65" s="1069"/>
      <c r="C65" s="1070"/>
      <c r="D65" s="1092"/>
      <c r="E65" s="1092"/>
      <c r="F65" s="1092"/>
      <c r="G65" s="1092"/>
      <c r="H65" s="1092"/>
      <c r="I65" s="1092"/>
      <c r="J65" s="1092"/>
      <c r="K65" s="377"/>
      <c r="L65" s="377"/>
      <c r="M65" s="616"/>
      <c r="N65" s="616"/>
      <c r="O65" s="616"/>
      <c r="P65" s="616"/>
      <c r="Q65" s="616"/>
      <c r="R65" s="616"/>
      <c r="S65" s="616"/>
      <c r="T65" s="616"/>
      <c r="U65" s="616"/>
      <c r="V65" s="616"/>
      <c r="W65" s="616"/>
      <c r="X65" s="616"/>
      <c r="Y65" s="616"/>
      <c r="Z65" s="616"/>
      <c r="AA65" s="616"/>
      <c r="AB65" s="616"/>
      <c r="AC65" s="616"/>
      <c r="AD65" s="616"/>
      <c r="AE65" s="839"/>
      <c r="AF65" s="839"/>
      <c r="AG65" s="839"/>
      <c r="AH65" s="839"/>
      <c r="AI65" s="839"/>
      <c r="AJ65" s="839"/>
      <c r="AK65" s="840"/>
    </row>
    <row r="66" spans="1:37">
      <c r="A66" s="704"/>
      <c r="B66" s="1058" t="s">
        <v>446</v>
      </c>
      <c r="C66" s="1059"/>
      <c r="D66" s="322"/>
      <c r="E66" s="720"/>
      <c r="F66" s="832"/>
      <c r="G66" s="832"/>
      <c r="H66" s="832"/>
      <c r="I66" s="832"/>
      <c r="J66" s="832"/>
      <c r="K66" s="377"/>
      <c r="L66" s="377"/>
      <c r="M66" s="616"/>
      <c r="N66" s="616"/>
      <c r="O66" s="616"/>
      <c r="P66" s="616"/>
      <c r="Q66" s="616"/>
      <c r="R66" s="616"/>
      <c r="S66" s="616"/>
      <c r="T66" s="616"/>
      <c r="U66" s="616"/>
      <c r="V66" s="616"/>
      <c r="W66" s="616"/>
      <c r="X66" s="616"/>
      <c r="Y66" s="616"/>
      <c r="Z66" s="616"/>
      <c r="AA66" s="616"/>
      <c r="AB66" s="616"/>
      <c r="AC66" s="616"/>
      <c r="AD66" s="616"/>
      <c r="AE66" s="839"/>
      <c r="AF66" s="839"/>
      <c r="AG66" s="839"/>
      <c r="AH66" s="839"/>
      <c r="AI66" s="839"/>
      <c r="AJ66" s="839"/>
      <c r="AK66" s="840"/>
    </row>
    <row r="67" spans="1:37">
      <c r="A67" s="704"/>
      <c r="B67" s="1069"/>
      <c r="C67" s="1070"/>
      <c r="D67" s="1041" t="s">
        <v>919</v>
      </c>
      <c r="E67" s="1041"/>
      <c r="F67" s="1041"/>
      <c r="G67" s="1041"/>
      <c r="H67" s="1041"/>
      <c r="I67" s="1041"/>
      <c r="J67" s="1041"/>
      <c r="K67" s="377"/>
      <c r="L67" s="377"/>
      <c r="M67" s="616"/>
      <c r="N67" s="616"/>
      <c r="O67" s="616"/>
      <c r="P67" s="616"/>
      <c r="Q67" s="616"/>
      <c r="R67" s="616"/>
      <c r="S67" s="616"/>
      <c r="T67" s="616"/>
      <c r="U67" s="616"/>
      <c r="V67" s="616"/>
      <c r="W67" s="616"/>
      <c r="X67" s="616"/>
      <c r="Y67" s="616"/>
      <c r="Z67" s="616"/>
      <c r="AA67" s="616"/>
      <c r="AB67" s="616"/>
      <c r="AC67" s="616"/>
      <c r="AD67" s="616"/>
      <c r="AE67" s="839"/>
      <c r="AF67" s="839"/>
      <c r="AG67" s="839"/>
      <c r="AH67" s="839"/>
      <c r="AI67" s="839"/>
      <c r="AJ67" s="839"/>
      <c r="AK67" s="840"/>
    </row>
    <row r="68" spans="1:37" ht="15.75" customHeight="1">
      <c r="A68" s="704"/>
      <c r="B68" s="831"/>
      <c r="C68" s="832"/>
      <c r="D68" s="1041"/>
      <c r="E68" s="1041"/>
      <c r="F68" s="1041"/>
      <c r="G68" s="1041"/>
      <c r="H68" s="1041"/>
      <c r="I68" s="1041"/>
      <c r="J68" s="1041"/>
      <c r="K68" s="377"/>
      <c r="L68" s="377"/>
      <c r="M68" s="616"/>
      <c r="N68" s="616"/>
      <c r="O68" s="616"/>
      <c r="P68" s="616"/>
      <c r="Q68" s="616"/>
      <c r="R68" s="616"/>
      <c r="S68" s="616"/>
      <c r="T68" s="616"/>
      <c r="U68" s="616"/>
      <c r="V68" s="616"/>
      <c r="W68" s="616"/>
      <c r="X68" s="616"/>
      <c r="Y68" s="616"/>
      <c r="Z68" s="616"/>
      <c r="AA68" s="616"/>
      <c r="AB68" s="616"/>
      <c r="AC68" s="616"/>
      <c r="AD68" s="616"/>
      <c r="AE68" s="839"/>
      <c r="AF68" s="839"/>
      <c r="AG68" s="839"/>
      <c r="AH68" s="839"/>
      <c r="AI68" s="839"/>
      <c r="AJ68" s="839"/>
      <c r="AK68" s="840"/>
    </row>
    <row r="69" spans="1:37">
      <c r="A69" s="704"/>
      <c r="B69" s="1071" t="s">
        <v>99</v>
      </c>
      <c r="C69" s="1072"/>
      <c r="D69" s="1040" t="s">
        <v>708</v>
      </c>
      <c r="E69" s="1040"/>
      <c r="F69" s="1040"/>
      <c r="G69" s="1040"/>
      <c r="H69" s="1040"/>
      <c r="I69" s="1040"/>
      <c r="J69" s="832"/>
      <c r="K69" s="377"/>
      <c r="L69" s="377"/>
      <c r="M69" s="616"/>
      <c r="N69" s="616"/>
      <c r="O69" s="616"/>
      <c r="P69" s="616"/>
      <c r="Q69" s="616"/>
      <c r="R69" s="616"/>
      <c r="S69" s="616"/>
      <c r="T69" s="616"/>
      <c r="U69" s="616"/>
      <c r="V69" s="616"/>
      <c r="W69" s="616"/>
      <c r="X69" s="616"/>
      <c r="Y69" s="616"/>
      <c r="Z69" s="616"/>
      <c r="AA69" s="616"/>
      <c r="AB69" s="616"/>
      <c r="AC69" s="616"/>
      <c r="AD69" s="616"/>
      <c r="AE69" s="839"/>
      <c r="AF69" s="839"/>
      <c r="AG69" s="839"/>
      <c r="AH69" s="839"/>
      <c r="AI69" s="839"/>
      <c r="AJ69" s="839"/>
      <c r="AK69" s="840"/>
    </row>
    <row r="70" spans="1:37">
      <c r="A70" s="704"/>
      <c r="B70" s="1069"/>
      <c r="C70" s="1070"/>
      <c r="D70" s="1040"/>
      <c r="E70" s="1040"/>
      <c r="F70" s="1040"/>
      <c r="G70" s="1040"/>
      <c r="H70" s="1040"/>
      <c r="I70" s="1040"/>
      <c r="J70" s="832"/>
      <c r="K70" s="377"/>
      <c r="L70" s="377"/>
      <c r="M70" s="616"/>
      <c r="N70" s="616"/>
      <c r="O70" s="616"/>
      <c r="P70" s="616"/>
      <c r="Q70" s="616"/>
      <c r="R70" s="616"/>
      <c r="S70" s="616"/>
      <c r="T70" s="616"/>
      <c r="U70" s="616"/>
      <c r="V70" s="616"/>
      <c r="W70" s="616"/>
      <c r="X70" s="616"/>
      <c r="Y70" s="616"/>
      <c r="Z70" s="616"/>
      <c r="AA70" s="616"/>
      <c r="AB70" s="616"/>
      <c r="AC70" s="616"/>
      <c r="AD70" s="616"/>
      <c r="AE70" s="839"/>
      <c r="AF70" s="839"/>
      <c r="AG70" s="839"/>
      <c r="AH70" s="839"/>
      <c r="AI70" s="839"/>
      <c r="AJ70" s="839"/>
      <c r="AK70" s="840"/>
    </row>
    <row r="71" spans="1:37">
      <c r="A71" s="704"/>
      <c r="B71" s="831"/>
      <c r="C71" s="832"/>
      <c r="D71" s="1040"/>
      <c r="E71" s="1040"/>
      <c r="F71" s="1040"/>
      <c r="G71" s="1040"/>
      <c r="H71" s="1040"/>
      <c r="I71" s="1040"/>
      <c r="J71" s="832"/>
      <c r="K71" s="377"/>
      <c r="L71" s="377"/>
      <c r="M71" s="616"/>
      <c r="N71" s="616"/>
      <c r="O71" s="616"/>
      <c r="P71" s="616"/>
      <c r="Q71" s="616"/>
      <c r="R71" s="616"/>
      <c r="S71" s="616"/>
      <c r="T71" s="616"/>
      <c r="U71" s="616"/>
      <c r="V71" s="616"/>
      <c r="W71" s="616"/>
      <c r="X71" s="616"/>
      <c r="Y71" s="616"/>
      <c r="Z71" s="616"/>
      <c r="AA71" s="616"/>
      <c r="AB71" s="616"/>
      <c r="AC71" s="616"/>
      <c r="AD71" s="616"/>
      <c r="AE71" s="839"/>
      <c r="AF71" s="839"/>
      <c r="AG71" s="839"/>
      <c r="AH71" s="839"/>
      <c r="AI71" s="839"/>
      <c r="AJ71" s="839"/>
      <c r="AK71" s="840"/>
    </row>
    <row r="72" spans="1:37" ht="16" thickBot="1">
      <c r="A72" s="719"/>
      <c r="B72" s="831"/>
      <c r="C72" s="832"/>
      <c r="D72" s="832"/>
      <c r="E72" s="718"/>
      <c r="F72" s="832"/>
      <c r="G72" s="832"/>
      <c r="H72" s="832"/>
      <c r="I72" s="832"/>
      <c r="J72" s="832"/>
      <c r="K72" s="377"/>
      <c r="L72" s="392"/>
      <c r="M72" s="616"/>
      <c r="N72" s="616"/>
      <c r="O72" s="616"/>
      <c r="P72" s="616"/>
      <c r="Q72" s="616"/>
      <c r="R72" s="616"/>
      <c r="S72" s="616"/>
      <c r="T72" s="616"/>
      <c r="U72" s="616"/>
      <c r="V72" s="616"/>
      <c r="W72" s="616"/>
      <c r="X72" s="616"/>
      <c r="Y72" s="616"/>
      <c r="Z72" s="616"/>
      <c r="AA72" s="616"/>
      <c r="AB72" s="616"/>
      <c r="AC72" s="616"/>
      <c r="AD72" s="616"/>
      <c r="AE72" s="839"/>
      <c r="AF72" s="839"/>
      <c r="AG72" s="839"/>
      <c r="AH72" s="839"/>
      <c r="AI72" s="839"/>
      <c r="AJ72" s="839"/>
      <c r="AK72" s="840"/>
    </row>
    <row r="73" spans="1:37">
      <c r="A73" s="394"/>
      <c r="B73" s="831"/>
      <c r="C73" s="832"/>
      <c r="D73" s="832"/>
      <c r="E73" s="832"/>
      <c r="F73" s="832"/>
      <c r="G73" s="832"/>
      <c r="H73" s="832"/>
      <c r="I73" s="832"/>
      <c r="J73" s="832"/>
      <c r="K73" s="377"/>
      <c r="L73" s="393"/>
      <c r="M73" s="616"/>
      <c r="N73" s="616"/>
      <c r="O73" s="616"/>
      <c r="P73" s="616"/>
      <c r="Q73" s="616"/>
      <c r="R73" s="616"/>
      <c r="S73" s="616"/>
      <c r="T73" s="616"/>
      <c r="U73" s="616"/>
      <c r="V73" s="616"/>
      <c r="W73" s="616"/>
      <c r="X73" s="616"/>
      <c r="Y73" s="616"/>
      <c r="Z73" s="616"/>
      <c r="AA73" s="616"/>
      <c r="AB73" s="616"/>
      <c r="AC73" s="616"/>
      <c r="AD73" s="616"/>
      <c r="AE73" s="839"/>
      <c r="AF73" s="839"/>
      <c r="AG73" s="839"/>
      <c r="AH73" s="839"/>
      <c r="AI73" s="839"/>
      <c r="AJ73" s="839"/>
      <c r="AK73" s="840"/>
    </row>
    <row r="74" spans="1:37" ht="16" thickBot="1">
      <c r="A74" s="394"/>
      <c r="B74" s="757" t="str">
        <f>IF('Start Page'!$H$29="","",'Start Page'!$H$29)</f>
        <v/>
      </c>
      <c r="C74" s="501"/>
      <c r="D74" s="501"/>
      <c r="E74" s="501"/>
      <c r="F74" s="779"/>
      <c r="G74" s="501"/>
      <c r="H74" s="501"/>
      <c r="I74" s="501"/>
      <c r="J74" s="501"/>
      <c r="K74" s="751" t="s">
        <v>922</v>
      </c>
      <c r="L74" s="393"/>
      <c r="M74" s="616"/>
      <c r="N74" s="616"/>
      <c r="O74" s="616"/>
      <c r="P74" s="616"/>
      <c r="Q74" s="616"/>
      <c r="R74" s="616"/>
      <c r="S74" s="616"/>
      <c r="T74" s="616"/>
      <c r="U74" s="616"/>
      <c r="V74" s="616"/>
      <c r="W74" s="616"/>
      <c r="X74" s="616"/>
      <c r="Y74" s="616"/>
      <c r="Z74" s="616"/>
      <c r="AA74" s="616"/>
      <c r="AB74" s="616"/>
      <c r="AC74" s="616"/>
      <c r="AD74" s="616"/>
      <c r="AE74" s="839"/>
      <c r="AF74" s="839"/>
      <c r="AG74" s="839"/>
      <c r="AH74" s="839"/>
      <c r="AI74" s="839"/>
      <c r="AJ74" s="839"/>
      <c r="AK74" s="840"/>
    </row>
    <row r="75" spans="1:37" hidden="1">
      <c r="A75" s="394"/>
      <c r="B75" s="846"/>
      <c r="C75" s="393"/>
      <c r="D75" s="393"/>
      <c r="E75" s="393"/>
      <c r="F75" s="393"/>
      <c r="G75" s="393"/>
      <c r="H75" s="393"/>
      <c r="I75" s="393"/>
      <c r="J75" s="393"/>
      <c r="K75" s="393"/>
      <c r="L75" s="393"/>
      <c r="M75" s="616"/>
      <c r="N75" s="616"/>
      <c r="O75" s="616"/>
      <c r="P75" s="616"/>
      <c r="Q75" s="616"/>
      <c r="R75" s="616"/>
      <c r="S75" s="616"/>
      <c r="T75" s="616"/>
      <c r="U75" s="616"/>
      <c r="V75" s="616"/>
      <c r="W75" s="616"/>
      <c r="X75" s="616"/>
      <c r="Y75" s="616"/>
      <c r="Z75" s="616"/>
      <c r="AA75" s="616"/>
      <c r="AB75" s="616"/>
      <c r="AC75" s="616"/>
      <c r="AD75" s="616"/>
      <c r="AE75" s="839"/>
      <c r="AF75" s="839"/>
      <c r="AG75" s="839"/>
      <c r="AH75" s="839"/>
      <c r="AI75" s="839"/>
      <c r="AJ75" s="839"/>
      <c r="AK75" s="840"/>
    </row>
    <row r="76" spans="1:37" hidden="1">
      <c r="A76" s="394"/>
      <c r="B76" s="846"/>
      <c r="C76" s="393"/>
      <c r="D76" s="393"/>
      <c r="E76" s="393"/>
      <c r="F76" s="393"/>
      <c r="G76" s="393"/>
      <c r="H76" s="393"/>
      <c r="I76" s="393"/>
      <c r="J76" s="393"/>
      <c r="K76" s="393"/>
      <c r="L76" s="393"/>
      <c r="M76" s="616"/>
      <c r="N76" s="616"/>
      <c r="O76" s="616"/>
      <c r="P76" s="616"/>
      <c r="Q76" s="616"/>
      <c r="R76" s="616"/>
      <c r="S76" s="616"/>
      <c r="T76" s="616"/>
      <c r="U76" s="616"/>
      <c r="V76" s="616"/>
      <c r="W76" s="616"/>
      <c r="X76" s="616"/>
      <c r="Y76" s="616"/>
      <c r="Z76" s="616"/>
      <c r="AA76" s="616"/>
      <c r="AB76" s="616"/>
      <c r="AC76" s="616"/>
      <c r="AD76" s="616"/>
      <c r="AE76" s="839"/>
      <c r="AF76" s="839"/>
      <c r="AG76" s="839"/>
      <c r="AH76" s="839"/>
      <c r="AI76" s="839"/>
      <c r="AJ76" s="839"/>
      <c r="AK76" s="840"/>
    </row>
    <row r="77" spans="1:37" hidden="1">
      <c r="A77" s="394"/>
      <c r="B77" s="846"/>
      <c r="C77" s="393"/>
      <c r="D77" s="393"/>
      <c r="E77" s="393"/>
      <c r="F77" s="393"/>
      <c r="G77" s="393"/>
      <c r="H77" s="393"/>
      <c r="I77" s="393"/>
      <c r="J77" s="393"/>
      <c r="K77" s="393"/>
      <c r="L77" s="393"/>
      <c r="M77" s="616"/>
      <c r="N77" s="616"/>
      <c r="O77" s="616"/>
      <c r="P77" s="616"/>
      <c r="Q77" s="616"/>
      <c r="R77" s="616"/>
      <c r="S77" s="616"/>
      <c r="T77" s="616"/>
      <c r="U77" s="616"/>
      <c r="V77" s="616"/>
      <c r="W77" s="616"/>
      <c r="X77" s="616"/>
      <c r="Y77" s="616"/>
      <c r="Z77" s="616"/>
      <c r="AA77" s="616"/>
      <c r="AB77" s="616"/>
      <c r="AC77" s="616"/>
      <c r="AD77" s="616"/>
      <c r="AE77" s="839"/>
      <c r="AF77" s="839"/>
      <c r="AG77" s="839"/>
      <c r="AH77" s="839"/>
      <c r="AI77" s="839"/>
      <c r="AJ77" s="839"/>
      <c r="AK77" s="840"/>
    </row>
    <row r="78" spans="1:37" hidden="1">
      <c r="A78" s="394"/>
      <c r="B78" s="846"/>
      <c r="C78" s="393"/>
      <c r="D78" s="393"/>
      <c r="E78" s="393"/>
      <c r="F78" s="393"/>
      <c r="G78" s="393"/>
      <c r="H78" s="393"/>
      <c r="I78" s="393"/>
      <c r="J78" s="393"/>
      <c r="K78" s="393"/>
      <c r="L78" s="393"/>
      <c r="M78" s="616"/>
      <c r="N78" s="616"/>
      <c r="O78" s="616"/>
      <c r="P78" s="616"/>
      <c r="Q78" s="616"/>
      <c r="R78" s="616"/>
      <c r="S78" s="616"/>
      <c r="T78" s="616"/>
      <c r="U78" s="616"/>
      <c r="V78" s="616"/>
      <c r="W78" s="616"/>
      <c r="X78" s="616"/>
      <c r="Y78" s="616"/>
      <c r="Z78" s="616"/>
      <c r="AA78" s="616"/>
      <c r="AB78" s="616"/>
      <c r="AC78" s="616"/>
      <c r="AD78" s="616"/>
      <c r="AE78" s="839"/>
      <c r="AF78" s="839"/>
      <c r="AG78" s="839"/>
      <c r="AH78" s="839"/>
      <c r="AI78" s="839"/>
      <c r="AJ78" s="839"/>
      <c r="AK78" s="840"/>
    </row>
    <row r="79" spans="1:37" hidden="1">
      <c r="A79" s="394"/>
      <c r="B79" s="846"/>
      <c r="C79" s="393"/>
      <c r="D79" s="393"/>
      <c r="E79" s="393"/>
      <c r="F79" s="393"/>
      <c r="G79" s="393"/>
      <c r="H79" s="393"/>
      <c r="I79" s="393"/>
      <c r="J79" s="393"/>
      <c r="K79" s="393"/>
      <c r="L79" s="393"/>
      <c r="M79" s="616"/>
      <c r="N79" s="616"/>
      <c r="O79" s="616"/>
      <c r="P79" s="616"/>
      <c r="Q79" s="616"/>
      <c r="R79" s="616"/>
      <c r="S79" s="616"/>
      <c r="T79" s="616"/>
      <c r="U79" s="616"/>
      <c r="V79" s="616"/>
      <c r="W79" s="616"/>
      <c r="X79" s="616"/>
      <c r="Y79" s="616"/>
      <c r="Z79" s="616"/>
      <c r="AA79" s="616"/>
      <c r="AB79" s="616"/>
      <c r="AC79" s="616"/>
      <c r="AD79" s="616"/>
      <c r="AE79" s="839"/>
      <c r="AF79" s="839"/>
      <c r="AG79" s="839"/>
      <c r="AH79" s="839"/>
      <c r="AI79" s="839"/>
      <c r="AJ79" s="839"/>
      <c r="AK79" s="840"/>
    </row>
    <row r="80" spans="1:37" hidden="1">
      <c r="A80" s="394"/>
      <c r="B80" s="846"/>
      <c r="C80" s="393"/>
      <c r="D80" s="393"/>
      <c r="E80" s="393"/>
      <c r="F80" s="393"/>
      <c r="G80" s="393"/>
      <c r="H80" s="393"/>
      <c r="I80" s="393"/>
      <c r="J80" s="393"/>
      <c r="K80" s="393"/>
      <c r="L80" s="393"/>
      <c r="M80" s="616"/>
      <c r="N80" s="616"/>
      <c r="O80" s="616"/>
      <c r="P80" s="616"/>
      <c r="Q80" s="616"/>
      <c r="R80" s="616"/>
      <c r="S80" s="616"/>
      <c r="T80" s="616"/>
      <c r="U80" s="616"/>
      <c r="V80" s="616"/>
      <c r="W80" s="616"/>
      <c r="X80" s="616"/>
      <c r="Y80" s="616"/>
      <c r="Z80" s="616"/>
      <c r="AA80" s="616"/>
      <c r="AB80" s="616"/>
      <c r="AC80" s="616"/>
      <c r="AD80" s="616"/>
      <c r="AE80" s="839"/>
      <c r="AF80" s="839"/>
      <c r="AG80" s="839"/>
      <c r="AH80" s="839"/>
      <c r="AI80" s="839"/>
      <c r="AJ80" s="839"/>
      <c r="AK80" s="840"/>
    </row>
    <row r="81" spans="1:37" hidden="1">
      <c r="A81" s="394"/>
      <c r="B81" s="846"/>
      <c r="C81" s="393"/>
      <c r="D81" s="393"/>
      <c r="E81" s="393"/>
      <c r="F81" s="393"/>
      <c r="G81" s="393"/>
      <c r="H81" s="393"/>
      <c r="I81" s="393"/>
      <c r="J81" s="393"/>
      <c r="K81" s="393"/>
      <c r="L81" s="393"/>
      <c r="M81" s="616"/>
      <c r="N81" s="616"/>
      <c r="O81" s="616"/>
      <c r="P81" s="616"/>
      <c r="Q81" s="616"/>
      <c r="R81" s="616"/>
      <c r="S81" s="616"/>
      <c r="T81" s="616"/>
      <c r="U81" s="616"/>
      <c r="V81" s="616"/>
      <c r="W81" s="616"/>
      <c r="X81" s="616"/>
      <c r="Y81" s="616"/>
      <c r="Z81" s="616"/>
      <c r="AA81" s="616"/>
      <c r="AB81" s="616"/>
      <c r="AC81" s="616"/>
      <c r="AD81" s="616"/>
      <c r="AE81" s="839"/>
      <c r="AF81" s="839"/>
      <c r="AG81" s="839"/>
      <c r="AH81" s="839"/>
      <c r="AI81" s="839"/>
      <c r="AJ81" s="839"/>
      <c r="AK81" s="840"/>
    </row>
    <row r="82" spans="1:37" hidden="1">
      <c r="A82" s="394"/>
      <c r="B82" s="846"/>
      <c r="C82" s="393"/>
      <c r="D82" s="393"/>
      <c r="E82" s="393"/>
      <c r="F82" s="393"/>
      <c r="G82" s="393"/>
      <c r="H82" s="393"/>
      <c r="I82" s="393"/>
      <c r="J82" s="393"/>
      <c r="K82" s="393"/>
      <c r="L82" s="393"/>
      <c r="M82" s="616"/>
      <c r="N82" s="616"/>
      <c r="O82" s="616"/>
      <c r="P82" s="616"/>
      <c r="Q82" s="616"/>
      <c r="R82" s="616"/>
      <c r="S82" s="616"/>
      <c r="T82" s="616"/>
      <c r="U82" s="616"/>
      <c r="V82" s="616"/>
      <c r="W82" s="616"/>
      <c r="X82" s="616"/>
      <c r="Y82" s="616"/>
      <c r="Z82" s="616"/>
      <c r="AA82" s="616"/>
      <c r="AB82" s="616"/>
      <c r="AC82" s="616"/>
      <c r="AD82" s="616"/>
      <c r="AE82" s="839"/>
      <c r="AF82" s="839"/>
      <c r="AG82" s="839"/>
      <c r="AH82" s="839"/>
      <c r="AI82" s="839"/>
      <c r="AJ82" s="839"/>
      <c r="AK82" s="840"/>
    </row>
    <row r="83" spans="1:37" hidden="1">
      <c r="A83" s="394"/>
      <c r="B83" s="846"/>
      <c r="C83" s="393"/>
      <c r="D83" s="393"/>
      <c r="E83" s="393"/>
      <c r="F83" s="393"/>
      <c r="G83" s="393"/>
      <c r="H83" s="393"/>
      <c r="I83" s="393"/>
      <c r="J83" s="393"/>
      <c r="K83" s="393"/>
      <c r="L83" s="393"/>
      <c r="M83" s="616"/>
      <c r="N83" s="616"/>
      <c r="O83" s="616"/>
      <c r="P83" s="616"/>
      <c r="Q83" s="616"/>
      <c r="R83" s="616"/>
      <c r="S83" s="616"/>
      <c r="T83" s="616"/>
      <c r="U83" s="616"/>
      <c r="V83" s="616"/>
      <c r="W83" s="616"/>
      <c r="X83" s="616"/>
      <c r="Y83" s="616"/>
      <c r="Z83" s="616"/>
      <c r="AA83" s="616"/>
      <c r="AB83" s="616"/>
      <c r="AC83" s="616"/>
      <c r="AD83" s="616"/>
      <c r="AE83" s="839"/>
      <c r="AF83" s="839"/>
      <c r="AG83" s="839"/>
      <c r="AH83" s="839"/>
      <c r="AI83" s="839"/>
      <c r="AJ83" s="839"/>
      <c r="AK83" s="840"/>
    </row>
    <row r="84" spans="1:37" hidden="1">
      <c r="A84" s="394"/>
      <c r="B84" s="846"/>
      <c r="C84" s="393"/>
      <c r="D84" s="393"/>
      <c r="E84" s="393"/>
      <c r="F84" s="393"/>
      <c r="G84" s="393"/>
      <c r="H84" s="393"/>
      <c r="I84" s="393"/>
      <c r="J84" s="393"/>
      <c r="K84" s="393"/>
      <c r="L84" s="393"/>
      <c r="M84" s="616"/>
      <c r="N84" s="616"/>
      <c r="O84" s="616"/>
      <c r="P84" s="616"/>
      <c r="Q84" s="616"/>
      <c r="R84" s="616"/>
      <c r="S84" s="616"/>
      <c r="T84" s="616"/>
      <c r="U84" s="616"/>
      <c r="V84" s="616"/>
      <c r="W84" s="616"/>
      <c r="X84" s="616"/>
      <c r="Y84" s="616"/>
      <c r="Z84" s="616"/>
      <c r="AA84" s="616"/>
      <c r="AB84" s="616"/>
      <c r="AC84" s="616"/>
      <c r="AD84" s="616"/>
      <c r="AE84" s="839"/>
      <c r="AF84" s="839"/>
      <c r="AG84" s="839"/>
      <c r="AH84" s="839"/>
      <c r="AI84" s="839"/>
      <c r="AJ84" s="839"/>
      <c r="AK84" s="840"/>
    </row>
    <row r="85" spans="1:37" hidden="1">
      <c r="A85" s="394"/>
      <c r="B85" s="846"/>
      <c r="C85" s="393"/>
      <c r="D85" s="393"/>
      <c r="E85" s="393"/>
      <c r="F85" s="393"/>
      <c r="G85" s="393"/>
      <c r="H85" s="393"/>
      <c r="I85" s="393"/>
      <c r="J85" s="393"/>
      <c r="K85" s="393"/>
      <c r="L85" s="393"/>
      <c r="M85" s="616"/>
      <c r="N85" s="616"/>
      <c r="O85" s="616"/>
      <c r="P85" s="616"/>
      <c r="Q85" s="616"/>
      <c r="R85" s="616"/>
      <c r="S85" s="616"/>
      <c r="T85" s="616"/>
      <c r="U85" s="616"/>
      <c r="V85" s="616"/>
      <c r="W85" s="616"/>
      <c r="X85" s="616"/>
      <c r="Y85" s="616"/>
      <c r="Z85" s="616"/>
      <c r="AA85" s="616"/>
      <c r="AB85" s="616"/>
      <c r="AC85" s="616"/>
      <c r="AD85" s="616"/>
      <c r="AE85" s="839"/>
      <c r="AF85" s="839"/>
      <c r="AG85" s="839"/>
      <c r="AH85" s="839"/>
      <c r="AI85" s="839"/>
      <c r="AJ85" s="839"/>
      <c r="AK85" s="840"/>
    </row>
    <row r="86" spans="1:37" hidden="1">
      <c r="A86" s="394"/>
      <c r="B86" s="846"/>
      <c r="C86" s="393"/>
      <c r="D86" s="393"/>
      <c r="E86" s="393"/>
      <c r="F86" s="393"/>
      <c r="G86" s="393"/>
      <c r="H86" s="393"/>
      <c r="I86" s="393"/>
      <c r="J86" s="393"/>
      <c r="K86" s="393"/>
      <c r="L86" s="393"/>
      <c r="M86" s="616"/>
      <c r="N86" s="616"/>
      <c r="O86" s="616"/>
      <c r="P86" s="616"/>
      <c r="Q86" s="616"/>
      <c r="R86" s="616"/>
      <c r="S86" s="616"/>
      <c r="T86" s="616"/>
      <c r="U86" s="616"/>
      <c r="V86" s="616"/>
      <c r="W86" s="616"/>
      <c r="X86" s="616"/>
      <c r="Y86" s="616"/>
      <c r="Z86" s="616"/>
      <c r="AA86" s="616"/>
      <c r="AB86" s="616"/>
      <c r="AC86" s="616"/>
      <c r="AD86" s="616"/>
      <c r="AE86" s="839"/>
      <c r="AF86" s="839"/>
      <c r="AG86" s="839"/>
      <c r="AH86" s="839"/>
      <c r="AI86" s="839"/>
      <c r="AJ86" s="839"/>
      <c r="AK86" s="840"/>
    </row>
    <row r="87" spans="1:37" hidden="1">
      <c r="A87" s="394"/>
      <c r="B87" s="846"/>
      <c r="C87" s="393"/>
      <c r="D87" s="393"/>
      <c r="E87" s="393"/>
      <c r="F87" s="393"/>
      <c r="G87" s="393"/>
      <c r="H87" s="393"/>
      <c r="I87" s="393"/>
      <c r="J87" s="393"/>
      <c r="K87" s="393"/>
      <c r="L87" s="393"/>
      <c r="M87" s="616"/>
      <c r="N87" s="616"/>
      <c r="O87" s="616"/>
      <c r="P87" s="616"/>
      <c r="Q87" s="616"/>
      <c r="R87" s="616"/>
      <c r="S87" s="616"/>
      <c r="T87" s="616"/>
      <c r="U87" s="616"/>
      <c r="V87" s="616"/>
      <c r="W87" s="616"/>
      <c r="X87" s="616"/>
      <c r="Y87" s="616"/>
      <c r="Z87" s="616"/>
      <c r="AA87" s="616"/>
      <c r="AB87" s="616"/>
      <c r="AC87" s="616"/>
      <c r="AD87" s="616"/>
      <c r="AE87" s="839"/>
      <c r="AF87" s="839"/>
      <c r="AG87" s="839"/>
      <c r="AH87" s="839"/>
      <c r="AI87" s="839"/>
      <c r="AJ87" s="839"/>
      <c r="AK87" s="840"/>
    </row>
    <row r="88" spans="1:37" hidden="1">
      <c r="A88" s="394"/>
      <c r="B88" s="846"/>
      <c r="C88" s="393"/>
      <c r="D88" s="393"/>
      <c r="E88" s="393"/>
      <c r="F88" s="393"/>
      <c r="G88" s="393"/>
      <c r="H88" s="393"/>
      <c r="I88" s="393"/>
      <c r="J88" s="393"/>
      <c r="K88" s="393"/>
      <c r="L88" s="393"/>
      <c r="M88" s="616"/>
      <c r="N88" s="616"/>
      <c r="O88" s="616"/>
      <c r="P88" s="616"/>
      <c r="Q88" s="616"/>
      <c r="R88" s="616"/>
      <c r="S88" s="616"/>
      <c r="T88" s="616"/>
      <c r="U88" s="616"/>
      <c r="V88" s="616"/>
      <c r="W88" s="616"/>
      <c r="X88" s="616"/>
      <c r="Y88" s="616"/>
      <c r="Z88" s="616"/>
      <c r="AA88" s="616"/>
      <c r="AB88" s="616"/>
      <c r="AC88" s="616"/>
      <c r="AD88" s="616"/>
      <c r="AE88" s="839"/>
      <c r="AF88" s="839"/>
      <c r="AG88" s="839"/>
      <c r="AH88" s="839"/>
      <c r="AI88" s="839"/>
      <c r="AJ88" s="839"/>
      <c r="AK88" s="840"/>
    </row>
    <row r="89" spans="1:37" hidden="1">
      <c r="A89" s="394"/>
      <c r="B89" s="846"/>
      <c r="C89" s="393"/>
      <c r="D89" s="393"/>
      <c r="E89" s="393"/>
      <c r="F89" s="393"/>
      <c r="G89" s="393"/>
      <c r="H89" s="393"/>
      <c r="I89" s="393"/>
      <c r="J89" s="393"/>
      <c r="K89" s="393"/>
      <c r="L89" s="393"/>
      <c r="M89" s="616"/>
      <c r="N89" s="616"/>
      <c r="O89" s="616"/>
      <c r="P89" s="616"/>
      <c r="Q89" s="616"/>
      <c r="R89" s="616"/>
      <c r="S89" s="616"/>
      <c r="T89" s="616"/>
      <c r="U89" s="616"/>
      <c r="V89" s="616"/>
      <c r="W89" s="616"/>
      <c r="X89" s="616"/>
      <c r="Y89" s="616"/>
      <c r="Z89" s="616"/>
      <c r="AA89" s="616"/>
      <c r="AB89" s="616"/>
      <c r="AC89" s="616"/>
      <c r="AD89" s="616"/>
      <c r="AE89" s="839"/>
      <c r="AF89" s="839"/>
      <c r="AG89" s="839"/>
      <c r="AH89" s="839"/>
      <c r="AI89" s="839"/>
      <c r="AJ89" s="839"/>
      <c r="AK89" s="840"/>
    </row>
    <row r="90" spans="1:37" hidden="1">
      <c r="A90" s="394"/>
      <c r="B90" s="846"/>
      <c r="C90" s="393"/>
      <c r="D90" s="393"/>
      <c r="E90" s="393"/>
      <c r="F90" s="393"/>
      <c r="G90" s="393"/>
      <c r="H90" s="393"/>
      <c r="I90" s="393"/>
      <c r="J90" s="393"/>
      <c r="K90" s="393"/>
      <c r="L90" s="393"/>
      <c r="M90" s="616"/>
      <c r="N90" s="616"/>
      <c r="O90" s="616"/>
      <c r="P90" s="616"/>
      <c r="Q90" s="616"/>
      <c r="R90" s="616"/>
      <c r="S90" s="616"/>
      <c r="T90" s="616"/>
      <c r="U90" s="616"/>
      <c r="V90" s="616"/>
      <c r="W90" s="616"/>
      <c r="X90" s="616"/>
      <c r="Y90" s="616"/>
      <c r="Z90" s="616"/>
      <c r="AA90" s="616"/>
      <c r="AB90" s="616"/>
      <c r="AC90" s="616"/>
      <c r="AD90" s="616"/>
      <c r="AE90" s="839"/>
      <c r="AF90" s="839"/>
      <c r="AG90" s="839"/>
      <c r="AH90" s="839"/>
      <c r="AI90" s="839"/>
      <c r="AJ90" s="839"/>
      <c r="AK90" s="840"/>
    </row>
    <row r="91" spans="1:37" hidden="1">
      <c r="A91" s="394"/>
      <c r="B91" s="846"/>
      <c r="C91" s="393"/>
      <c r="D91" s="393"/>
      <c r="E91" s="393"/>
      <c r="F91" s="393"/>
      <c r="G91" s="393"/>
      <c r="H91" s="393"/>
      <c r="I91" s="393"/>
      <c r="J91" s="393"/>
      <c r="K91" s="393"/>
      <c r="L91" s="393"/>
      <c r="M91" s="616"/>
      <c r="N91" s="616"/>
      <c r="O91" s="616"/>
      <c r="P91" s="616"/>
      <c r="Q91" s="616"/>
      <c r="R91" s="616"/>
      <c r="S91" s="616"/>
      <c r="T91" s="616"/>
      <c r="U91" s="616"/>
      <c r="V91" s="616"/>
      <c r="W91" s="616"/>
      <c r="X91" s="616"/>
      <c r="Y91" s="616"/>
      <c r="Z91" s="616"/>
      <c r="AA91" s="616"/>
      <c r="AB91" s="616"/>
      <c r="AC91" s="616"/>
      <c r="AD91" s="616"/>
      <c r="AE91" s="839"/>
      <c r="AF91" s="839"/>
      <c r="AG91" s="839"/>
      <c r="AH91" s="839"/>
      <c r="AI91" s="839"/>
      <c r="AJ91" s="839"/>
      <c r="AK91" s="840"/>
    </row>
    <row r="92" spans="1:37" hidden="1">
      <c r="A92" s="394"/>
      <c r="B92" s="846"/>
      <c r="C92" s="393"/>
      <c r="D92" s="393"/>
      <c r="E92" s="393"/>
      <c r="F92" s="393"/>
      <c r="G92" s="393"/>
      <c r="H92" s="393"/>
      <c r="I92" s="393"/>
      <c r="J92" s="393"/>
      <c r="K92" s="393"/>
      <c r="L92" s="393"/>
      <c r="M92" s="616"/>
      <c r="N92" s="616"/>
      <c r="O92" s="616"/>
      <c r="P92" s="616"/>
      <c r="Q92" s="616"/>
      <c r="R92" s="616"/>
      <c r="S92" s="616"/>
      <c r="T92" s="616"/>
      <c r="U92" s="616"/>
      <c r="V92" s="616"/>
      <c r="W92" s="616"/>
      <c r="X92" s="616"/>
      <c r="Y92" s="616"/>
      <c r="Z92" s="616"/>
      <c r="AA92" s="616"/>
      <c r="AB92" s="616"/>
      <c r="AC92" s="616"/>
      <c r="AD92" s="616"/>
      <c r="AE92" s="839"/>
      <c r="AF92" s="839"/>
      <c r="AG92" s="839"/>
      <c r="AH92" s="839"/>
      <c r="AI92" s="839"/>
      <c r="AJ92" s="839"/>
      <c r="AK92" s="840"/>
    </row>
    <row r="93" spans="1:37" hidden="1">
      <c r="A93" s="394"/>
      <c r="B93" s="846"/>
      <c r="C93" s="393"/>
      <c r="D93" s="393"/>
      <c r="E93" s="393"/>
      <c r="F93" s="393"/>
      <c r="G93" s="393"/>
      <c r="H93" s="393"/>
      <c r="I93" s="393"/>
      <c r="J93" s="393"/>
      <c r="K93" s="393"/>
      <c r="L93" s="393"/>
      <c r="M93" s="616"/>
      <c r="N93" s="616"/>
      <c r="O93" s="616"/>
      <c r="P93" s="616"/>
      <c r="Q93" s="616"/>
      <c r="R93" s="616"/>
      <c r="S93" s="616"/>
      <c r="T93" s="616"/>
      <c r="U93" s="616"/>
      <c r="V93" s="616"/>
      <c r="W93" s="616"/>
      <c r="X93" s="616"/>
      <c r="Y93" s="616"/>
      <c r="Z93" s="616"/>
      <c r="AA93" s="616"/>
      <c r="AB93" s="616"/>
      <c r="AC93" s="616"/>
      <c r="AD93" s="616"/>
      <c r="AE93" s="839"/>
      <c r="AF93" s="839"/>
      <c r="AG93" s="839"/>
      <c r="AH93" s="839"/>
      <c r="AI93" s="839"/>
      <c r="AJ93" s="839"/>
      <c r="AK93" s="840"/>
    </row>
    <row r="94" spans="1:37" hidden="1">
      <c r="A94" s="394"/>
      <c r="B94" s="846"/>
      <c r="C94" s="393"/>
      <c r="D94" s="393"/>
      <c r="E94" s="393"/>
      <c r="F94" s="393"/>
      <c r="G94" s="393"/>
      <c r="H94" s="393"/>
      <c r="I94" s="393"/>
      <c r="J94" s="393"/>
      <c r="K94" s="393"/>
      <c r="L94" s="393"/>
      <c r="M94" s="616"/>
      <c r="N94" s="616"/>
      <c r="O94" s="616"/>
      <c r="P94" s="616"/>
      <c r="Q94" s="616"/>
      <c r="R94" s="616"/>
      <c r="S94" s="616"/>
      <c r="T94" s="616"/>
      <c r="U94" s="616"/>
      <c r="V94" s="616"/>
      <c r="W94" s="616"/>
      <c r="X94" s="616"/>
      <c r="Y94" s="616"/>
      <c r="Z94" s="616"/>
      <c r="AA94" s="616"/>
      <c r="AB94" s="616"/>
      <c r="AC94" s="616"/>
      <c r="AD94" s="616"/>
      <c r="AE94" s="839"/>
      <c r="AF94" s="839"/>
      <c r="AG94" s="839"/>
      <c r="AH94" s="839"/>
      <c r="AI94" s="839"/>
      <c r="AJ94" s="839"/>
      <c r="AK94" s="840"/>
    </row>
    <row r="95" spans="1:37" hidden="1">
      <c r="A95" s="394"/>
      <c r="B95" s="846"/>
      <c r="C95" s="393"/>
      <c r="D95" s="393"/>
      <c r="E95" s="393"/>
      <c r="F95" s="393"/>
      <c r="G95" s="393"/>
      <c r="H95" s="393"/>
      <c r="I95" s="393"/>
      <c r="J95" s="393"/>
      <c r="K95" s="393"/>
      <c r="L95" s="393"/>
      <c r="M95" s="616"/>
      <c r="N95" s="616"/>
      <c r="O95" s="616"/>
      <c r="P95" s="616"/>
      <c r="Q95" s="616"/>
      <c r="R95" s="616"/>
      <c r="S95" s="616"/>
      <c r="T95" s="616"/>
      <c r="U95" s="616"/>
      <c r="V95" s="616"/>
      <c r="W95" s="616"/>
      <c r="X95" s="616"/>
      <c r="Y95" s="616"/>
      <c r="Z95" s="616"/>
      <c r="AA95" s="616"/>
      <c r="AB95" s="616"/>
      <c r="AC95" s="616"/>
      <c r="AD95" s="616"/>
      <c r="AE95" s="839"/>
      <c r="AF95" s="839"/>
      <c r="AG95" s="839"/>
      <c r="AH95" s="839"/>
      <c r="AI95" s="839"/>
      <c r="AJ95" s="839"/>
      <c r="AK95" s="840"/>
    </row>
    <row r="96" spans="1:37" hidden="1">
      <c r="A96" s="394"/>
      <c r="B96" s="846"/>
      <c r="C96" s="393"/>
      <c r="D96" s="393"/>
      <c r="E96" s="393"/>
      <c r="F96" s="393"/>
      <c r="G96" s="393"/>
      <c r="H96" s="393"/>
      <c r="I96" s="393"/>
      <c r="J96" s="393"/>
      <c r="K96" s="393"/>
      <c r="L96" s="393"/>
      <c r="M96" s="616"/>
      <c r="N96" s="616"/>
      <c r="O96" s="616"/>
      <c r="P96" s="616"/>
      <c r="Q96" s="616"/>
      <c r="R96" s="616"/>
      <c r="S96" s="616"/>
      <c r="T96" s="616"/>
      <c r="U96" s="616"/>
      <c r="V96" s="616"/>
      <c r="W96" s="616"/>
      <c r="X96" s="616"/>
      <c r="Y96" s="616"/>
      <c r="Z96" s="616"/>
      <c r="AA96" s="616"/>
      <c r="AB96" s="616"/>
      <c r="AC96" s="616"/>
      <c r="AD96" s="616"/>
      <c r="AE96" s="839"/>
      <c r="AF96" s="839"/>
      <c r="AG96" s="839"/>
      <c r="AH96" s="839"/>
      <c r="AI96" s="839"/>
      <c r="AJ96" s="839"/>
      <c r="AK96" s="840"/>
    </row>
    <row r="97" spans="1:37" hidden="1">
      <c r="A97" s="394"/>
      <c r="B97" s="846"/>
      <c r="C97" s="393"/>
      <c r="D97" s="393"/>
      <c r="E97" s="393"/>
      <c r="F97" s="393"/>
      <c r="G97" s="393"/>
      <c r="H97" s="393"/>
      <c r="I97" s="393"/>
      <c r="J97" s="393"/>
      <c r="K97" s="393"/>
      <c r="L97" s="393"/>
      <c r="M97" s="616"/>
      <c r="N97" s="616"/>
      <c r="O97" s="616"/>
      <c r="P97" s="616"/>
      <c r="Q97" s="616"/>
      <c r="R97" s="616"/>
      <c r="S97" s="616"/>
      <c r="T97" s="616"/>
      <c r="U97" s="616"/>
      <c r="V97" s="616"/>
      <c r="W97" s="616"/>
      <c r="X97" s="616"/>
      <c r="Y97" s="616"/>
      <c r="Z97" s="616"/>
      <c r="AA97" s="616"/>
      <c r="AB97" s="616"/>
      <c r="AC97" s="616"/>
      <c r="AD97" s="616"/>
      <c r="AE97" s="839"/>
      <c r="AF97" s="839"/>
      <c r="AG97" s="839"/>
      <c r="AH97" s="839"/>
      <c r="AI97" s="839"/>
      <c r="AJ97" s="839"/>
      <c r="AK97" s="840"/>
    </row>
    <row r="98" spans="1:37" hidden="1">
      <c r="A98" s="394"/>
      <c r="B98" s="846"/>
      <c r="C98" s="393"/>
      <c r="D98" s="393"/>
      <c r="E98" s="393"/>
      <c r="F98" s="393"/>
      <c r="G98" s="393"/>
      <c r="H98" s="393"/>
      <c r="I98" s="393"/>
      <c r="J98" s="393"/>
      <c r="K98" s="393"/>
      <c r="L98" s="393"/>
      <c r="M98" s="616"/>
      <c r="N98" s="616"/>
      <c r="O98" s="616"/>
      <c r="P98" s="616"/>
      <c r="Q98" s="616"/>
      <c r="R98" s="616"/>
      <c r="S98" s="616"/>
      <c r="T98" s="616"/>
      <c r="U98" s="616"/>
      <c r="V98" s="616"/>
      <c r="W98" s="616"/>
      <c r="X98" s="616"/>
      <c r="Y98" s="616"/>
      <c r="Z98" s="616"/>
      <c r="AA98" s="616"/>
      <c r="AB98" s="616"/>
      <c r="AC98" s="616"/>
      <c r="AD98" s="616"/>
      <c r="AE98" s="839"/>
      <c r="AF98" s="839"/>
      <c r="AG98" s="839"/>
      <c r="AH98" s="839"/>
      <c r="AI98" s="839"/>
      <c r="AJ98" s="839"/>
      <c r="AK98" s="840"/>
    </row>
    <row r="99" spans="1:37" ht="16" hidden="1" thickBot="1">
      <c r="A99" s="394"/>
      <c r="B99" s="847"/>
      <c r="C99" s="848"/>
      <c r="D99" s="848"/>
      <c r="E99" s="848"/>
      <c r="F99" s="848"/>
      <c r="G99" s="848"/>
      <c r="H99" s="848"/>
      <c r="I99" s="848"/>
      <c r="J99" s="848"/>
      <c r="K99" s="848"/>
      <c r="L99" s="848"/>
      <c r="M99" s="849"/>
      <c r="N99" s="849"/>
      <c r="O99" s="849"/>
      <c r="P99" s="849"/>
      <c r="Q99" s="849"/>
      <c r="R99" s="849"/>
      <c r="S99" s="849"/>
      <c r="T99" s="849"/>
      <c r="U99" s="849"/>
      <c r="V99" s="849"/>
      <c r="W99" s="849"/>
      <c r="X99" s="849"/>
      <c r="Y99" s="849"/>
      <c r="Z99" s="849"/>
      <c r="AA99" s="849"/>
      <c r="AB99" s="849"/>
      <c r="AC99" s="849"/>
      <c r="AD99" s="849"/>
      <c r="AE99" s="850"/>
      <c r="AF99" s="850"/>
      <c r="AG99" s="850"/>
      <c r="AH99" s="850"/>
      <c r="AI99" s="850"/>
      <c r="AJ99" s="850"/>
      <c r="AK99" s="851"/>
    </row>
  </sheetData>
  <sheetProtection algorithmName="SHA-512" hashValue="Okslim6k4YBWSeJBWkBcNlNozlV9T4qjAkVySmDJ3hY64sI/xA2nvsFZ4V6pth1ks1PR+6oSdGrYqC5t8BMvcA==" saltValue="l2B70sYT4BMViFUoD833hQ==" spinCount="100000" sheet="1" objects="1" scenarios="1"/>
  <mergeCells count="72">
    <mergeCell ref="B3:K3"/>
    <mergeCell ref="B22:C22"/>
    <mergeCell ref="B17:C17"/>
    <mergeCell ref="B10:C10"/>
    <mergeCell ref="B11:C11"/>
    <mergeCell ref="B12:C12"/>
    <mergeCell ref="B13:C13"/>
    <mergeCell ref="B14:C14"/>
    <mergeCell ref="B15:C15"/>
    <mergeCell ref="B16:C16"/>
    <mergeCell ref="B18:C18"/>
    <mergeCell ref="B19:C19"/>
    <mergeCell ref="B20:C20"/>
    <mergeCell ref="B21:C21"/>
    <mergeCell ref="F22:K23"/>
    <mergeCell ref="B23:C23"/>
    <mergeCell ref="B37:C37"/>
    <mergeCell ref="B38:C38"/>
    <mergeCell ref="B39:C39"/>
    <mergeCell ref="B40:C40"/>
    <mergeCell ref="B24:C24"/>
    <mergeCell ref="B25:C25"/>
    <mergeCell ref="B26:C26"/>
    <mergeCell ref="B27:C27"/>
    <mergeCell ref="B28:C28"/>
    <mergeCell ref="B32:C32"/>
    <mergeCell ref="B33:C33"/>
    <mergeCell ref="B34:C34"/>
    <mergeCell ref="B35:C35"/>
    <mergeCell ref="B36:C36"/>
    <mergeCell ref="B29:C29"/>
    <mergeCell ref="B61:C61"/>
    <mergeCell ref="B62:C62"/>
    <mergeCell ref="B63:C63"/>
    <mergeCell ref="B64:C64"/>
    <mergeCell ref="B48:C48"/>
    <mergeCell ref="B49:C49"/>
    <mergeCell ref="B50:C50"/>
    <mergeCell ref="B51:C51"/>
    <mergeCell ref="B52:C52"/>
    <mergeCell ref="B41:C41"/>
    <mergeCell ref="B30:C30"/>
    <mergeCell ref="B31:C31"/>
    <mergeCell ref="D69:I71"/>
    <mergeCell ref="B66:C66"/>
    <mergeCell ref="B67:C67"/>
    <mergeCell ref="B69:C69"/>
    <mergeCell ref="B70:C70"/>
    <mergeCell ref="B65:C65"/>
    <mergeCell ref="B54:C54"/>
    <mergeCell ref="B55:C55"/>
    <mergeCell ref="B56:C56"/>
    <mergeCell ref="B57:C57"/>
    <mergeCell ref="B58:C58"/>
    <mergeCell ref="B59:C59"/>
    <mergeCell ref="B60:C60"/>
    <mergeCell ref="B1:E2"/>
    <mergeCell ref="F28:I29"/>
    <mergeCell ref="F26:J27"/>
    <mergeCell ref="D67:J68"/>
    <mergeCell ref="F61:K63"/>
    <mergeCell ref="D42:I43"/>
    <mergeCell ref="D64:J65"/>
    <mergeCell ref="B53:C53"/>
    <mergeCell ref="B42:C42"/>
    <mergeCell ref="B43:C43"/>
    <mergeCell ref="B44:C44"/>
    <mergeCell ref="B45:C45"/>
    <mergeCell ref="B46:C46"/>
    <mergeCell ref="B47:C47"/>
    <mergeCell ref="F30:I31"/>
    <mergeCell ref="F32:J33"/>
  </mergeCells>
  <conditionalFormatting sqref="D63">
    <cfRule type="cellIs" dxfId="9" priority="10" operator="lessThan">
      <formula>1</formula>
    </cfRule>
    <cfRule type="cellIs" dxfId="8" priority="19" operator="equal">
      <formula>1</formula>
    </cfRule>
  </conditionalFormatting>
  <conditionalFormatting sqref="D26">
    <cfRule type="cellIs" dxfId="7" priority="16" operator="lessThan">
      <formula>0</formula>
    </cfRule>
    <cfRule type="cellIs" dxfId="6" priority="18" operator="equal">
      <formula>"NA()"</formula>
    </cfRule>
  </conditionalFormatting>
  <conditionalFormatting sqref="H53 D51:D52 D54 D62 D58:D60 D30 D32">
    <cfRule type="cellIs" dxfId="5" priority="17" operator="lessThan">
      <formula>0</formula>
    </cfRule>
  </conditionalFormatting>
  <conditionalFormatting sqref="D23">
    <cfRule type="cellIs" dxfId="4" priority="6" operator="greaterThan">
      <formula>$D$13</formula>
    </cfRule>
  </conditionalFormatting>
  <conditionalFormatting sqref="D66">
    <cfRule type="cellIs" dxfId="3" priority="1" operator="equal">
      <formula>""</formula>
    </cfRule>
    <cfRule type="cellIs" dxfId="2" priority="2" operator="lessThan">
      <formula>51</formula>
    </cfRule>
  </conditionalFormatting>
  <hyperlinks>
    <hyperlink ref="B18" location="Glossary!C49" tooltip="Click for Definition" display="Billed Metered:"/>
    <hyperlink ref="B19" location="Glossary!C51" tooltip="Click for Definition" display="Billed Unmetered:"/>
    <hyperlink ref="B20" location="Glossary!C136" tooltip="Click for Definition" display="Unbilled Metered:"/>
    <hyperlink ref="B21" location="Glossary!C138" tooltip="Click for Definition" display="Unbilled Unmetered:"/>
    <hyperlink ref="B26" location="Glossary!C150" tooltip="Click for Definition" display="WATER LOSSES:"/>
    <hyperlink ref="B28" location="Glossary!C14" tooltip="Click for Definition" display="APPARENT LOSSES:"/>
    <hyperlink ref="B30" location="Glossary!C101" tooltip="Click for Definition" display="REAL LOSSES:"/>
    <hyperlink ref="B32" location="Glossary!C81" tooltip="Click for Definition" display="NON REVENUE WATER:"/>
    <hyperlink ref="B37" location="Glossary!C77" tooltip="Click for Definition" display="Length of mains:"/>
    <hyperlink ref="B38" location="Glossary!C87" tooltip="Click for Definition" display="Number of active AND inactive service connections: "/>
    <hyperlink ref="B39" location="Glossary!C119" tooltip="Click for Definition" display="Service connection density:"/>
    <hyperlink ref="B13" location="Glossary!C131" tooltip="Click for Definition" display="TOTAL SYSTEM INPUT VOLUME:"/>
    <hyperlink ref="B40" location="Glossary!C36" tooltip="Click for Definition" display="Average length of customer service line:"/>
    <hyperlink ref="B41" location="Glossary!C39" tooltip="Click for Definition" display="Average operating pressure:"/>
    <hyperlink ref="B45" location="Glossary!C127" tooltip="Click for Definition" display="Total annual cost of operating the water system:"/>
    <hyperlink ref="B46" location="Glossary!C57" tooltip="Click for Definition" display="Customer retail unit cost (applied to Apparent Losses):"/>
    <hyperlink ref="B47" location="Glossary!C148" tooltip="Click for Definition" display="Variable Production cost (applied to Real Losses):"/>
    <hyperlink ref="B51" location="Glossary!C85" tooltip="Click for Definition" display="Non-revenue water as percent by volume of water supplied:"/>
    <hyperlink ref="B52" location="Glossary!C83" tooltip="Click for Definition" display="Non-revenue water as percent by cost of operating system:"/>
    <hyperlink ref="B53" location="Glossary!C10" tooltip="Click for Definition" display="Annual cost of Apparent Losses:"/>
    <hyperlink ref="B54" location="Glossary!C12" tooltip="Click for Definition" display="Annual cost of Real Losses:"/>
    <hyperlink ref="B57" location="Glossary!C16" tooltip="Click for Definition" display="Apparent Losses per service connection per day:"/>
    <hyperlink ref="B58" location="Glossary!C105" tooltip="Click for Definition" display="Real Losses per service connection per day*:"/>
    <hyperlink ref="B59" location="Glossary!C103" tooltip="Click for Definition" display="Real Losses per length of main per day:"/>
    <hyperlink ref="B60" location="Glossary!C107" tooltip="Click for definition" display="Glossary!C107"/>
    <hyperlink ref="B61" location="Glossary!C133" tooltip="Click for Definition" display="Unavoidable Annual Real Losses (UARL):"/>
    <hyperlink ref="B62" location="Glossary!C55" tooltip="Click for Definition" display="Current Annual Real Losses (CARL):"/>
    <hyperlink ref="B63" location="Glossary!C75" tooltip="Click for Definition" display="Infrastructure Leakage Index (ILI) [CARL/UARL]:"/>
    <hyperlink ref="B66" location="Glossary!C43" tooltip="Click for Definition" display="AWWA Water Audit Data Validity Score: "/>
    <hyperlink ref="B23" location="Glossary!C20" tooltip="Click for Definition" display="AUTHORIZED CONSUMPTION:"/>
    <hyperlink ref="B16" location="Glossary!C20" tooltip="Click for Definition" display="AUTHORIZED CONSUMPTION"/>
    <hyperlink ref="B61:C61" location="Glossary!C127" tooltip="Click for Definition" display="Unavoidable Annual Real Losses (UARL):"/>
    <hyperlink ref="B60:C60" location="Glossary!C105" tooltip="Click for definition" display="Glossary!C105"/>
    <hyperlink ref="B59:C59" location="Glossary!C101" tooltip="Click for Definition" display="Real Losses per length of main per day:"/>
    <hyperlink ref="B47:C47" location="Glossary!C142" tooltip="Click for Definition" display="Variable Production cost (applied to Real Losses):"/>
    <hyperlink ref="B45:C45" location="Glossary!C121" tooltip="Click for Definition" display="Total annual cost of operating the water system:"/>
    <hyperlink ref="B39:C39" location="Glossary!C117" tooltip="Click for Definition" display="Service connection density:"/>
    <hyperlink ref="B32:C32" location="Glossary!C81" tooltip="Click for Definition" display="NON REVENUE WATER:"/>
    <hyperlink ref="B30:C30" location="Glossary!C99" tooltip="Click for Definition" display="REAL LOSSES:"/>
    <hyperlink ref="B26:C26" location="Glossary!C144" tooltip="Click for Definition" display="WATER LOSSES:"/>
    <hyperlink ref="B21:C21" location="Glossary!C132" tooltip="Click for Definition" display="Unbilled Unmetered:"/>
    <hyperlink ref="B20:C20" location="Glossary!C130" tooltip="Click for Definition" display="Unbilled Metered:"/>
  </hyperlinks>
  <printOptions horizontalCentered="1" verticalCentered="1"/>
  <pageMargins left="0.5" right="0.5" top="0.5" bottom="0.5" header="0.5" footer="0.5"/>
  <pageSetup paperSize="9" scale="61" orientation="portrait" horizontalDpi="4294967292" verticalDpi="4294967292" r:id="rId1"/>
  <ignoredErrors>
    <ignoredError sqref="AA12" formula="1"/>
    <ignoredError sqref="D51:D59 D23 F28 D29:D36 D39 D61 D25:D27" emptyCellReference="1"/>
  </ignoredErrors>
  <drawing r:id="rId2"/>
  <legacyDrawing r:id="rId3"/>
  <controls>
    <mc:AlternateContent xmlns:mc="http://schemas.openxmlformats.org/markup-compatibility/2006">
      <mc:Choice Requires="x14">
        <control shapeId="13314" r:id="rId4" name="WaterCost_ComboBox">
          <controlPr defaultSize="0" autoLine="0" autoPict="0" listFillRange="'AWWA-Water Balance Data Transf.'!U45:U47" r:id="rId5">
            <anchor moveWithCells="1">
              <from>
                <xdr:col>4</xdr:col>
                <xdr:colOff>31750</xdr:colOff>
                <xdr:row>45</xdr:row>
                <xdr:rowOff>0</xdr:rowOff>
              </from>
              <to>
                <xdr:col>5</xdr:col>
                <xdr:colOff>793750</xdr:colOff>
                <xdr:row>46</xdr:row>
                <xdr:rowOff>0</xdr:rowOff>
              </to>
            </anchor>
          </controlPr>
        </control>
      </mc:Choice>
      <mc:Fallback>
        <control shapeId="13314" r:id="rId4" name="WaterCost_ComboBox"/>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Icharts">
    <pageSetUpPr autoPageBreaks="0" fitToPage="1"/>
  </sheetPr>
  <dimension ref="A1:AF339"/>
  <sheetViews>
    <sheetView topLeftCell="B1" zoomScale="70" zoomScaleNormal="70" zoomScaleSheetLayoutView="50" zoomScalePageLayoutView="75" workbookViewId="0">
      <selection activeCell="B1" sqref="B1:H2"/>
    </sheetView>
  </sheetViews>
  <sheetFormatPr defaultColWidth="0" defaultRowHeight="15.5" zeroHeight="1"/>
  <cols>
    <col min="1" max="1" width="2.23046875" style="1" hidden="1" customWidth="1"/>
    <col min="2" max="2" width="14.84375" style="1" customWidth="1"/>
    <col min="3" max="3" width="20.84375" style="16" customWidth="1"/>
    <col min="4" max="6" width="21.765625" style="20" customWidth="1"/>
    <col min="7" max="7" width="18.69140625" style="1" customWidth="1"/>
    <col min="8" max="9" width="19.07421875" style="1" customWidth="1"/>
    <col min="10" max="10" width="10.53515625" style="1" customWidth="1"/>
    <col min="11" max="16" width="19.07421875" style="323" hidden="1" customWidth="1"/>
    <col min="17" max="17" width="22.4609375" style="323" hidden="1" customWidth="1"/>
    <col min="18" max="18" width="11.765625" style="323" hidden="1" customWidth="1"/>
    <col min="19" max="19" width="12.765625" style="323" hidden="1" customWidth="1"/>
    <col min="20" max="26" width="11.07421875" style="323" hidden="1" customWidth="1"/>
    <col min="27" max="27" width="12.53515625" style="323" hidden="1" customWidth="1"/>
    <col min="28" max="28" width="11.07421875" style="323" hidden="1" customWidth="1"/>
    <col min="29" max="29" width="15.84375" style="323" hidden="1" customWidth="1"/>
    <col min="30" max="32" width="11.07421875" style="323" hidden="1" customWidth="1"/>
    <col min="33" max="16384" width="8.84375" style="324" hidden="1"/>
  </cols>
  <sheetData>
    <row r="1" spans="1:29" ht="15.75" customHeight="1">
      <c r="A1" s="9"/>
      <c r="B1" s="1123" t="s">
        <v>920</v>
      </c>
      <c r="C1" s="1124"/>
      <c r="D1" s="1124"/>
      <c r="E1" s="1124"/>
      <c r="F1" s="1124"/>
      <c r="G1" s="1124"/>
      <c r="H1" s="1124"/>
      <c r="I1" s="5"/>
      <c r="J1" s="10"/>
    </row>
    <row r="2" spans="1:29" ht="15.75" customHeight="1">
      <c r="A2" s="11"/>
      <c r="B2" s="1125"/>
      <c r="C2" s="1126"/>
      <c r="D2" s="1126"/>
      <c r="E2" s="1126"/>
      <c r="F2" s="1126"/>
      <c r="G2" s="1126"/>
      <c r="H2" s="1126"/>
      <c r="I2" s="316"/>
      <c r="J2" s="12"/>
    </row>
    <row r="3" spans="1:29" ht="15.75" customHeight="1">
      <c r="A3" s="11"/>
      <c r="B3" s="1129" t="str">
        <f>IF('Start Page'!$Y$37="","",IF('Start Page'!$K$37="Partial Audit Period","Water Audit: "&amp;'Start Page'!$D$26&amp;", "&amp;'Start Page'!$H$26&amp;", "&amp;'Start Page'!$K$26&amp;", "&amp;'Start Page'!$Y$37,"Water Audit: "&amp;'Start Page'!$D$26&amp;", "&amp;'Start Page'!$H$26&amp;", "&amp;'Start Page'!$K$26&amp;", "&amp;YEAR('Start Page'!$Y$37)))</f>
        <v/>
      </c>
      <c r="C3" s="1130"/>
      <c r="D3" s="1130"/>
      <c r="E3" s="1130"/>
      <c r="F3" s="1130"/>
      <c r="G3" s="1130"/>
      <c r="H3" s="1130"/>
      <c r="I3" s="1130"/>
      <c r="J3" s="1131"/>
    </row>
    <row r="4" spans="1:29" ht="15.75" customHeight="1" thickBot="1">
      <c r="A4" s="17"/>
      <c r="B4" s="85" t="s">
        <v>464</v>
      </c>
      <c r="C4" s="84"/>
      <c r="D4" s="84"/>
      <c r="E4" s="84"/>
      <c r="F4" s="84"/>
      <c r="G4" s="84"/>
      <c r="H4" s="18"/>
      <c r="I4" s="18"/>
      <c r="J4" s="19"/>
    </row>
    <row r="5" spans="1:29">
      <c r="A5" s="8"/>
      <c r="B5" s="315"/>
      <c r="C5" s="6"/>
      <c r="D5" s="6"/>
      <c r="E5" s="6"/>
      <c r="F5" s="6"/>
      <c r="G5" s="6"/>
      <c r="H5" s="316"/>
      <c r="I5" s="316"/>
      <c r="J5" s="12"/>
    </row>
    <row r="6" spans="1:29" ht="34.5" customHeight="1">
      <c r="A6" s="8"/>
      <c r="B6" s="124" t="s">
        <v>97</v>
      </c>
      <c r="C6" s="1132" t="s">
        <v>756</v>
      </c>
      <c r="D6" s="1132"/>
      <c r="E6" s="1132"/>
      <c r="F6" s="1132"/>
      <c r="G6" s="1132"/>
      <c r="H6" s="1132"/>
      <c r="I6" s="1132"/>
      <c r="J6" s="1133"/>
    </row>
    <row r="7" spans="1:29">
      <c r="A7" s="8"/>
      <c r="B7" s="315"/>
      <c r="C7" s="6"/>
      <c r="D7" s="6"/>
      <c r="E7" s="6"/>
      <c r="F7" s="6"/>
      <c r="G7" s="6"/>
      <c r="H7" s="316"/>
      <c r="I7" s="316"/>
      <c r="J7" s="12"/>
    </row>
    <row r="8" spans="1:29">
      <c r="A8" s="8"/>
      <c r="B8" s="125" t="s">
        <v>98</v>
      </c>
      <c r="C8" s="13" t="str">
        <f>'Start Page'!Y21</f>
        <v/>
      </c>
      <c r="D8" s="14"/>
      <c r="E8" s="14"/>
      <c r="F8" s="14"/>
      <c r="G8" s="316"/>
      <c r="H8" s="316"/>
      <c r="I8" s="316"/>
      <c r="J8" s="12"/>
      <c r="P8" s="323" t="s">
        <v>404</v>
      </c>
      <c r="Q8" s="341">
        <v>2</v>
      </c>
    </row>
    <row r="9" spans="1:29">
      <c r="A9" s="8"/>
      <c r="B9" s="315"/>
      <c r="C9" s="15"/>
      <c r="D9" s="14"/>
      <c r="E9" s="14"/>
      <c r="F9" s="14"/>
      <c r="G9" s="316"/>
      <c r="H9" s="316"/>
      <c r="I9" s="316"/>
      <c r="J9" s="12"/>
    </row>
    <row r="10" spans="1:29">
      <c r="A10" s="8"/>
      <c r="B10" s="1134" t="s">
        <v>560</v>
      </c>
      <c r="C10" s="15"/>
      <c r="D10" s="14"/>
      <c r="E10" s="14"/>
      <c r="F10" s="14"/>
      <c r="G10" s="316"/>
      <c r="H10" s="316"/>
      <c r="I10" s="316"/>
      <c r="J10" s="12"/>
    </row>
    <row r="11" spans="1:29">
      <c r="A11" s="8"/>
      <c r="B11" s="1134"/>
      <c r="C11" s="15"/>
      <c r="D11" s="14"/>
      <c r="E11" s="14"/>
      <c r="F11" s="14"/>
      <c r="G11" s="316"/>
      <c r="H11" s="316"/>
      <c r="I11" s="316"/>
      <c r="J11" s="12"/>
      <c r="L11" s="325"/>
    </row>
    <row r="12" spans="1:29">
      <c r="A12" s="8"/>
      <c r="B12" s="315"/>
      <c r="C12" s="83"/>
      <c r="D12" s="14"/>
      <c r="E12" s="14"/>
      <c r="F12" s="14"/>
      <c r="G12" s="316"/>
      <c r="H12" s="316"/>
      <c r="I12" s="316"/>
      <c r="J12" s="12"/>
      <c r="Q12" s="323" t="s">
        <v>151</v>
      </c>
      <c r="R12" s="323" t="str">
        <f>CONCATENATE(C8,": ",R44)</f>
        <v>: Performance Indicator: Non-revenue Water as Percent by Cost of Operating System (%)</v>
      </c>
      <c r="T12" s="323" t="s">
        <v>51</v>
      </c>
    </row>
    <row r="13" spans="1:29" ht="15.75" customHeight="1">
      <c r="A13" s="8"/>
      <c r="B13" s="315"/>
      <c r="C13" s="15"/>
      <c r="D13" s="14"/>
      <c r="E13" s="14"/>
      <c r="F13" s="14"/>
      <c r="G13" s="316"/>
      <c r="H13" s="316"/>
      <c r="I13" s="316"/>
      <c r="J13" s="12"/>
      <c r="P13" s="326" t="s">
        <v>47</v>
      </c>
      <c r="T13" s="327" t="str">
        <f>Y13</f>
        <v>Performance Indicator: Non-revenue Water as Percent by Volume of Water Supplied (%)</v>
      </c>
      <c r="U13" s="327"/>
      <c r="V13" s="327"/>
      <c r="W13" s="327"/>
      <c r="Y13" s="328" t="s">
        <v>719</v>
      </c>
      <c r="Z13" s="327"/>
      <c r="AA13" s="327"/>
    </row>
    <row r="14" spans="1:29" ht="15.75" customHeight="1">
      <c r="A14" s="8"/>
      <c r="B14" s="315"/>
      <c r="C14" s="15"/>
      <c r="D14" s="14"/>
      <c r="E14" s="14"/>
      <c r="F14" s="14"/>
      <c r="G14" s="316"/>
      <c r="H14" s="316"/>
      <c r="I14" s="316"/>
      <c r="J14" s="12"/>
      <c r="Q14" s="329"/>
      <c r="T14" s="327" t="str">
        <f>Y43</f>
        <v>Performance Indicator: Non-revenue Water as Percent by Cost of Operating System (%)</v>
      </c>
      <c r="U14" s="327"/>
      <c r="V14" s="327"/>
      <c r="W14" s="327"/>
      <c r="Y14" s="330" t="s">
        <v>1</v>
      </c>
      <c r="Z14" s="327" t="s">
        <v>64</v>
      </c>
      <c r="AA14" s="327" t="s">
        <v>85</v>
      </c>
      <c r="AB14" s="327" t="s">
        <v>553</v>
      </c>
    </row>
    <row r="15" spans="1:29" ht="15.75" customHeight="1">
      <c r="A15" s="8"/>
      <c r="B15" s="315"/>
      <c r="C15" s="15"/>
      <c r="D15" s="14"/>
      <c r="E15" s="14"/>
      <c r="F15" s="14"/>
      <c r="G15" s="14"/>
      <c r="H15" s="316"/>
      <c r="I15" s="316"/>
      <c r="J15" s="12"/>
      <c r="P15" s="323" t="s">
        <v>50</v>
      </c>
      <c r="Q15" s="323" t="str">
        <f>CHOOSE(Q8,Y$44,Y$74,Y$103,Y$133,Y$163,Y$222,Y$252,Y$282,Y$312)</f>
        <v>Utility</v>
      </c>
      <c r="R15" s="329" t="str">
        <f>CHOOSE($Q$8,$Y$13,$Y$43,$Y$73,$Y$102,$Y$132,$Y$162,$Y$192,$Y$221,$Y$251,$Y$281,$Y$311)</f>
        <v>Performance Indicator: Non-revenue Water as Percent by Cost of Operating System (%)</v>
      </c>
      <c r="S15" s="323" t="s">
        <v>553</v>
      </c>
      <c r="T15" s="327" t="str">
        <f>Y73</f>
        <v>Financial Indicator: Annual cost of Apparent Losses ($)</v>
      </c>
      <c r="U15" s="327"/>
      <c r="V15" s="327"/>
      <c r="W15" s="327"/>
      <c r="Y15" s="325" t="str">
        <f>'Data 2012'!$D$6</f>
        <v>GCWW</v>
      </c>
      <c r="Z15" s="331">
        <f>'Data 2012'!$D$49</f>
        <v>0.20064562174177289</v>
      </c>
      <c r="AA15" s="332">
        <f>IF(ISERROR(Z15),"",Z15)</f>
        <v>0.20064562174177289</v>
      </c>
      <c r="AB15" s="333">
        <v>0.25</v>
      </c>
      <c r="AC15" s="334">
        <f>PERCENTILE(AA15:AA41,AB15)</f>
        <v>0.11317696468996172</v>
      </c>
    </row>
    <row r="16" spans="1:29" ht="15.75" customHeight="1">
      <c r="A16" s="8"/>
      <c r="B16" s="315"/>
      <c r="C16" s="15"/>
      <c r="D16" s="14"/>
      <c r="E16" s="14"/>
      <c r="F16" s="14"/>
      <c r="G16" s="316"/>
      <c r="H16" s="316"/>
      <c r="I16" s="316"/>
      <c r="J16" s="12"/>
      <c r="P16" s="323">
        <f t="shared" ref="P16:P42" si="0">RANK(R16,$R$16:$R$42)</f>
        <v>12</v>
      </c>
      <c r="Q16" s="323" t="str">
        <f t="shared" ref="Q16:Q42" si="1">CHOOSE($Q$8,$Y15,$Y45,$Y75,$Y104,$Y134,$Y164,$Y193,$Y223,$Y253,$Y283,$Y313)</f>
        <v>GCWW</v>
      </c>
      <c r="R16" s="323">
        <f t="shared" ref="R16:R42" si="2">CHOOSE(Q$8,$AA15,$AA45,$AA75,$AA104,$AA134,$AA164,$AA193,$AA223,$AA253,$AA283,$AA313)</f>
        <v>7.4798189712390759E-2</v>
      </c>
      <c r="S16" s="323">
        <f>CHOOSE(Q$8,$AC15,$AC45,$AC75,$AC104,$AC134,$AC164,$AC193,$AC223,$AC253,$AC283,$AC313)</f>
        <v>3.5597814842702989E-2</v>
      </c>
      <c r="T16" s="327" t="str">
        <f>Y102</f>
        <v>Financial Indicator: Annual Cost of Real Losses ($)</v>
      </c>
      <c r="U16" s="327"/>
      <c r="V16" s="327"/>
      <c r="W16" s="327"/>
      <c r="Y16" s="325" t="str">
        <f>'Data 2012'!$E$6</f>
        <v>SMW</v>
      </c>
      <c r="Z16" s="331">
        <f>'Data 2012'!$E$49</f>
        <v>9.8430922311519051E-2</v>
      </c>
      <c r="AA16" s="332">
        <f t="shared" ref="AA16:AA40" si="3">IF(ISERROR(Z16),"",Z16)</f>
        <v>9.8430922311519051E-2</v>
      </c>
      <c r="AB16" s="333">
        <v>0.5</v>
      </c>
      <c r="AC16" s="334">
        <f t="shared" ref="AC16:AC17" si="4">PERCENTILE(AA16:AA42,AB16)</f>
        <v>0.13540488160654321</v>
      </c>
    </row>
    <row r="17" spans="1:29" ht="15.75" customHeight="1">
      <c r="A17" s="8"/>
      <c r="B17" s="315"/>
      <c r="C17" s="15"/>
      <c r="D17" s="14"/>
      <c r="E17" s="14"/>
      <c r="F17" s="14"/>
      <c r="G17" s="316"/>
      <c r="H17" s="316"/>
      <c r="I17" s="316"/>
      <c r="J17" s="12"/>
      <c r="P17" s="323">
        <f t="shared" si="0"/>
        <v>10</v>
      </c>
      <c r="Q17" s="323" t="str">
        <f t="shared" si="1"/>
        <v>SMW</v>
      </c>
      <c r="R17" s="323">
        <f t="shared" si="2"/>
        <v>0.10343609730267948</v>
      </c>
      <c r="S17" s="323">
        <f t="shared" ref="S17:S18" si="5">CHOOSE(Q$8,$AC16,$AC46,$AC76,$AC105,$AC135,$AC165,$AC194,$AC224,$AC254,$AC284,$AC314)</f>
        <v>6.6826173260480251E-2</v>
      </c>
      <c r="T17" s="327" t="str">
        <f>Y132</f>
        <v>Performance Indicator: Apparent Losses per Service Connection per Day [gal/service con./day]</v>
      </c>
      <c r="U17" s="327"/>
      <c r="V17" s="327"/>
      <c r="W17" s="327"/>
      <c r="Y17" s="325" t="str">
        <f>'Data 2012'!$F$6</f>
        <v>ABCWUA</v>
      </c>
      <c r="Z17" s="331">
        <f>'Data 2012'!$F$49</f>
        <v>0.10511802387420864</v>
      </c>
      <c r="AA17" s="332">
        <f t="shared" si="3"/>
        <v>0.10511802387420864</v>
      </c>
      <c r="AB17" s="333">
        <v>0.75</v>
      </c>
      <c r="AC17" s="334">
        <f t="shared" si="4"/>
        <v>0.25092569483384686</v>
      </c>
    </row>
    <row r="18" spans="1:29" ht="15.75" customHeight="1">
      <c r="A18" s="8"/>
      <c r="B18" s="315"/>
      <c r="C18" s="15"/>
      <c r="D18" s="14"/>
      <c r="E18" s="14"/>
      <c r="F18" s="14"/>
      <c r="G18" s="316"/>
      <c r="H18" s="316"/>
      <c r="I18" s="316"/>
      <c r="J18" s="12"/>
      <c r="P18" s="323">
        <f t="shared" si="0"/>
        <v>3</v>
      </c>
      <c r="Q18" s="323" t="str">
        <f t="shared" si="1"/>
        <v>ABCWUA</v>
      </c>
      <c r="R18" s="323">
        <f t="shared" si="2"/>
        <v>0.18346885466641644</v>
      </c>
      <c r="S18" s="323">
        <f t="shared" si="5"/>
        <v>0.12651994600600266</v>
      </c>
      <c r="T18" s="327" t="str">
        <f>Y162</f>
        <v>Performance Indicator: Real Losses per Service Connection per Day [gal/service con./day]</v>
      </c>
      <c r="U18" s="327"/>
      <c r="V18" s="327"/>
      <c r="W18" s="327"/>
      <c r="Y18" s="325" t="str">
        <f>'Data 2012'!$G$6</f>
        <v>AquaWSC</v>
      </c>
      <c r="Z18" s="331">
        <f>'Data 2012'!$G$49</f>
        <v>0.19199387025370329</v>
      </c>
      <c r="AA18" s="332">
        <f t="shared" si="3"/>
        <v>0.19199387025370329</v>
      </c>
    </row>
    <row r="19" spans="1:29" ht="15.75" customHeight="1">
      <c r="A19" s="8"/>
      <c r="B19" s="315"/>
      <c r="C19" s="15"/>
      <c r="D19" s="14"/>
      <c r="E19" s="14"/>
      <c r="F19" s="14"/>
      <c r="G19" s="316"/>
      <c r="H19" s="316"/>
      <c r="I19" s="316"/>
      <c r="J19" s="12"/>
      <c r="P19" s="323">
        <f t="shared" si="0"/>
        <v>19</v>
      </c>
      <c r="Q19" s="323" t="str">
        <f t="shared" si="1"/>
        <v>AquaWSC</v>
      </c>
      <c r="R19" s="323">
        <f t="shared" si="2"/>
        <v>3.7429608637880564E-2</v>
      </c>
      <c r="T19" s="323" t="str">
        <f>Y192</f>
        <v>Performance Indicator: Real Losses per length of mains per day [gal/mi/day]</v>
      </c>
      <c r="Y19" s="325" t="str">
        <f>'Data 2012'!$H$6</f>
        <v>AW</v>
      </c>
      <c r="Z19" s="331">
        <f>'Data 2012'!$H$49</f>
        <v>0.11031636801814795</v>
      </c>
      <c r="AA19" s="332">
        <f t="shared" si="3"/>
        <v>0.11031636801814795</v>
      </c>
    </row>
    <row r="20" spans="1:29" ht="15.75" customHeight="1">
      <c r="A20" s="8"/>
      <c r="B20" s="315"/>
      <c r="C20" s="15"/>
      <c r="D20" s="14"/>
      <c r="E20" s="14"/>
      <c r="F20" s="14"/>
      <c r="G20" s="316"/>
      <c r="H20" s="316"/>
      <c r="I20" s="316"/>
      <c r="J20" s="12"/>
      <c r="P20" s="323">
        <f t="shared" si="0"/>
        <v>24</v>
      </c>
      <c r="Q20" s="323" t="str">
        <f t="shared" si="1"/>
        <v>AW</v>
      </c>
      <c r="R20" s="323">
        <f t="shared" si="2"/>
        <v>3.0108773415079341E-2</v>
      </c>
      <c r="T20" s="327" t="str">
        <f>Y221</f>
        <v>Performance Indicator: Real Losses per Service Connections per PSI [gal/service con./day/PSI]</v>
      </c>
      <c r="U20" s="327"/>
      <c r="V20" s="327"/>
      <c r="W20" s="327"/>
      <c r="Y20" s="325" t="str">
        <f>'Data 2012'!$I$6</f>
        <v>BUD</v>
      </c>
      <c r="Z20" s="331">
        <f>'Data 2012'!$I$49</f>
        <v>0.30124840788179308</v>
      </c>
      <c r="AA20" s="332">
        <f t="shared" si="3"/>
        <v>0.30124840788179308</v>
      </c>
    </row>
    <row r="21" spans="1:29" ht="15.75" customHeight="1">
      <c r="A21" s="8"/>
      <c r="B21" s="315"/>
      <c r="C21" s="15"/>
      <c r="D21" s="14"/>
      <c r="E21" s="14"/>
      <c r="F21" s="14"/>
      <c r="G21" s="316"/>
      <c r="H21" s="316"/>
      <c r="I21" s="316"/>
      <c r="J21" s="12"/>
      <c r="P21" s="323">
        <f t="shared" si="0"/>
        <v>13</v>
      </c>
      <c r="Q21" s="323" t="str">
        <f t="shared" si="1"/>
        <v>BUD</v>
      </c>
      <c r="R21" s="323">
        <f t="shared" si="2"/>
        <v>7.3848877396193613E-2</v>
      </c>
      <c r="T21" s="327" t="str">
        <f>Y251</f>
        <v>System Characteristic: Unavoidable Annual Real Losses [MG/Yr]</v>
      </c>
      <c r="U21" s="327"/>
      <c r="V21" s="327"/>
      <c r="W21" s="327"/>
      <c r="Y21" s="325" t="str">
        <f>'Data 2012'!$J$6</f>
        <v>BWWB</v>
      </c>
      <c r="Z21" s="331">
        <f>'Data 2012'!$J$49</f>
        <v>0.28988261982505559</v>
      </c>
      <c r="AA21" s="332">
        <f t="shared" si="3"/>
        <v>0.28988261982505559</v>
      </c>
    </row>
    <row r="22" spans="1:29" ht="15.75" customHeight="1">
      <c r="A22" s="8"/>
      <c r="B22" s="315"/>
      <c r="C22" s="15"/>
      <c r="D22" s="14"/>
      <c r="E22" s="14"/>
      <c r="F22" s="14"/>
      <c r="G22" s="14"/>
      <c r="H22" s="316"/>
      <c r="I22" s="316"/>
      <c r="J22" s="12"/>
      <c r="P22" s="323">
        <f t="shared" si="0"/>
        <v>11</v>
      </c>
      <c r="Q22" s="323" t="str">
        <f t="shared" si="1"/>
        <v>BWWB</v>
      </c>
      <c r="R22" s="323">
        <f t="shared" si="2"/>
        <v>8.0128098157713046E-2</v>
      </c>
      <c r="T22" s="327" t="str">
        <f>Y281</f>
        <v>Performance Indicator: Current Annual Real Losses [MG/Yr]</v>
      </c>
      <c r="U22" s="327"/>
      <c r="V22" s="327"/>
      <c r="W22" s="327"/>
      <c r="Y22" s="325" t="str">
        <f>'Data 2012'!$K$6</f>
        <v>CW</v>
      </c>
      <c r="Z22" s="331">
        <f>'Data 2012'!$K$49</f>
        <v>0.13008329165002241</v>
      </c>
      <c r="AA22" s="332">
        <f t="shared" si="3"/>
        <v>0.13008329165002241</v>
      </c>
    </row>
    <row r="23" spans="1:29" ht="15.75" customHeight="1">
      <c r="A23" s="8"/>
      <c r="B23" s="315"/>
      <c r="C23" s="15"/>
      <c r="D23" s="14"/>
      <c r="E23" s="14"/>
      <c r="F23" s="14"/>
      <c r="G23" s="316"/>
      <c r="H23" s="316"/>
      <c r="I23" s="316"/>
      <c r="J23" s="12"/>
      <c r="P23" s="323">
        <f t="shared" si="0"/>
        <v>21</v>
      </c>
      <c r="Q23" s="323" t="str">
        <f t="shared" si="1"/>
        <v>CW</v>
      </c>
      <c r="R23" s="323">
        <f t="shared" si="2"/>
        <v>3.5175922547414272E-2</v>
      </c>
      <c r="T23" s="327" t="str">
        <f>Y311</f>
        <v>Performance Indicator: Infrastructure Leakage Index (ILI) [CARL/UARL]</v>
      </c>
      <c r="U23" s="327"/>
      <c r="V23" s="327"/>
      <c r="W23" s="327"/>
      <c r="Y23" s="325" t="str">
        <f>'Data 2012'!$L$6</f>
        <v>CCWSA</v>
      </c>
      <c r="Z23" s="331">
        <f>'Data 2012'!$L$49</f>
        <v>0.13540488160654321</v>
      </c>
      <c r="AA23" s="332">
        <f t="shared" si="3"/>
        <v>0.13540488160654321</v>
      </c>
    </row>
    <row r="24" spans="1:29">
      <c r="A24" s="8"/>
      <c r="B24" s="315"/>
      <c r="C24" s="15"/>
      <c r="D24" s="14"/>
      <c r="E24" s="14"/>
      <c r="F24" s="14"/>
      <c r="G24" s="316"/>
      <c r="H24" s="316"/>
      <c r="I24" s="316"/>
      <c r="J24" s="12"/>
      <c r="P24" s="323">
        <f t="shared" si="0"/>
        <v>23</v>
      </c>
      <c r="Q24" s="323" t="str">
        <f t="shared" si="1"/>
        <v>CCWSA</v>
      </c>
      <c r="R24" s="323">
        <f t="shared" si="2"/>
        <v>3.1045186320174407E-2</v>
      </c>
      <c r="Y24" s="325" t="str">
        <f>'Data 2012'!$M$6</f>
        <v>CCWS</v>
      </c>
      <c r="Z24" s="331">
        <f>'Data 2012'!$M$49</f>
        <v>8.0401629623519363E-2</v>
      </c>
      <c r="AA24" s="332">
        <f t="shared" si="3"/>
        <v>8.0401629623519363E-2</v>
      </c>
    </row>
    <row r="25" spans="1:29">
      <c r="A25" s="8"/>
      <c r="B25" s="315"/>
      <c r="C25" s="15"/>
      <c r="D25" s="14"/>
      <c r="E25" s="14"/>
      <c r="F25" s="14"/>
      <c r="G25" s="316"/>
      <c r="H25" s="316"/>
      <c r="I25" s="316"/>
      <c r="J25" s="12"/>
      <c r="P25" s="323">
        <f t="shared" si="0"/>
        <v>16</v>
      </c>
      <c r="Q25" s="323" t="str">
        <f t="shared" si="1"/>
        <v>CCWS</v>
      </c>
      <c r="R25" s="323">
        <f t="shared" si="2"/>
        <v>6.0467068781965269E-2</v>
      </c>
      <c r="Y25" s="325" t="str">
        <f>'Data 2012'!$N$6</f>
        <v>CBW</v>
      </c>
      <c r="Z25" s="331">
        <f>'Data 2012'!$N$49</f>
        <v>0.2379400531701106</v>
      </c>
      <c r="AA25" s="332">
        <f t="shared" si="3"/>
        <v>0.2379400531701106</v>
      </c>
    </row>
    <row r="26" spans="1:29">
      <c r="A26" s="8"/>
      <c r="B26" s="315"/>
      <c r="C26" s="15"/>
      <c r="D26" s="14"/>
      <c r="E26" s="14"/>
      <c r="F26" s="14"/>
      <c r="G26" s="316"/>
      <c r="H26" s="316"/>
      <c r="I26" s="316"/>
      <c r="J26" s="12"/>
      <c r="P26" s="323">
        <f t="shared" si="0"/>
        <v>4</v>
      </c>
      <c r="Q26" s="323" t="str">
        <f t="shared" si="1"/>
        <v>CBW</v>
      </c>
      <c r="R26" s="323">
        <f t="shared" si="2"/>
        <v>0.1731120987115381</v>
      </c>
      <c r="Y26" s="325" t="str">
        <f>'Data 2012'!$O$6</f>
        <v>DUTIL</v>
      </c>
      <c r="Z26" s="331">
        <f>'Data 2012'!$O$49</f>
        <v>0.13443908111140193</v>
      </c>
      <c r="AA26" s="332">
        <f t="shared" si="3"/>
        <v>0.13443908111140193</v>
      </c>
    </row>
    <row r="27" spans="1:29">
      <c r="A27" s="8"/>
      <c r="B27" s="315"/>
      <c r="C27" s="15"/>
      <c r="D27" s="14"/>
      <c r="E27" s="14"/>
      <c r="F27" s="14"/>
      <c r="G27" s="316"/>
      <c r="H27" s="316"/>
      <c r="I27" s="316"/>
      <c r="J27" s="12"/>
      <c r="P27" s="323">
        <f t="shared" si="0"/>
        <v>6</v>
      </c>
      <c r="Q27" s="323" t="str">
        <f t="shared" si="1"/>
        <v>DUTIL</v>
      </c>
      <c r="R27" s="323">
        <f t="shared" si="2"/>
        <v>0.1568100244972947</v>
      </c>
      <c r="Y27" s="325" t="str">
        <f>'Data 2012'!$P$6</f>
        <v>DCWATER</v>
      </c>
      <c r="Z27" s="331">
        <f>'Data 2012'!$P$49</f>
        <v>0.22676681879423363</v>
      </c>
      <c r="AA27" s="332">
        <f t="shared" si="3"/>
        <v>0.22676681879423363</v>
      </c>
    </row>
    <row r="28" spans="1:29">
      <c r="A28" s="8"/>
      <c r="B28" s="315"/>
      <c r="C28" s="15"/>
      <c r="D28" s="14"/>
      <c r="E28" s="14"/>
      <c r="F28" s="14"/>
      <c r="G28" s="316"/>
      <c r="H28" s="316"/>
      <c r="I28" s="316"/>
      <c r="J28" s="12"/>
      <c r="P28" s="323">
        <f t="shared" si="0"/>
        <v>2</v>
      </c>
      <c r="Q28" s="323" t="str">
        <f t="shared" si="1"/>
        <v>DCWATER</v>
      </c>
      <c r="R28" s="323">
        <f t="shared" si="2"/>
        <v>0.2232320531939431</v>
      </c>
      <c r="Y28" s="325" t="str">
        <f>'Data 2012'!$Q$6</f>
        <v>HRWC</v>
      </c>
      <c r="Z28" s="331">
        <f>'Data 2012'!$Q$49</f>
        <v>0.1695040925845365</v>
      </c>
      <c r="AA28" s="332">
        <f t="shared" si="3"/>
        <v>0.1695040925845365</v>
      </c>
    </row>
    <row r="29" spans="1:29">
      <c r="A29" s="8"/>
      <c r="B29" s="315"/>
      <c r="C29" s="15"/>
      <c r="D29" s="14"/>
      <c r="E29" s="14"/>
      <c r="F29" s="14"/>
      <c r="G29" s="316"/>
      <c r="H29" s="316"/>
      <c r="I29" s="316"/>
      <c r="J29" s="12"/>
      <c r="P29" s="323">
        <f t="shared" si="0"/>
        <v>26</v>
      </c>
      <c r="Q29" s="323" t="str">
        <f t="shared" si="1"/>
        <v>HRWC</v>
      </c>
      <c r="R29" s="323">
        <f t="shared" si="2"/>
        <v>1.8244232455823815E-2</v>
      </c>
      <c r="Y29" s="325" t="str">
        <f>'Data 2012'!$R$6</f>
        <v>JCW1</v>
      </c>
      <c r="Z29" s="331">
        <f>'Data 2012'!$R$49</f>
        <v>0.12175875470540304</v>
      </c>
      <c r="AA29" s="332">
        <f t="shared" si="3"/>
        <v>0.12175875470540304</v>
      </c>
    </row>
    <row r="30" spans="1:29">
      <c r="A30" s="8"/>
      <c r="B30" s="315"/>
      <c r="C30" s="15"/>
      <c r="D30" s="14"/>
      <c r="E30" s="14"/>
      <c r="F30" s="14"/>
      <c r="G30" s="316"/>
      <c r="H30" s="316"/>
      <c r="I30" s="316"/>
      <c r="J30" s="12"/>
      <c r="P30" s="323">
        <f t="shared" si="0"/>
        <v>22</v>
      </c>
      <c r="Q30" s="323" t="str">
        <f t="shared" si="1"/>
        <v>JCW1</v>
      </c>
      <c r="R30" s="323">
        <f t="shared" si="2"/>
        <v>3.4245432844083046E-2</v>
      </c>
      <c r="Y30" s="325" t="str">
        <f>'Data 2012'!$S$6</f>
        <v>LVVWD</v>
      </c>
      <c r="Z30" s="331">
        <f>'Data 2012'!$S$49</f>
        <v>5.0773752487113806E-2</v>
      </c>
      <c r="AA30" s="332">
        <f t="shared" si="3"/>
        <v>5.0773752487113806E-2</v>
      </c>
    </row>
    <row r="31" spans="1:29">
      <c r="A31" s="8"/>
      <c r="B31" s="315"/>
      <c r="C31" s="15"/>
      <c r="D31" s="14"/>
      <c r="E31" s="14"/>
      <c r="F31" s="14"/>
      <c r="G31" s="316"/>
      <c r="H31" s="316"/>
      <c r="I31" s="316"/>
      <c r="J31" s="12"/>
      <c r="P31" s="323">
        <f t="shared" si="0"/>
        <v>20</v>
      </c>
      <c r="Q31" s="323" t="str">
        <f t="shared" si="1"/>
        <v>LVVWD</v>
      </c>
      <c r="R31" s="323">
        <f t="shared" si="2"/>
        <v>3.5597814842702989E-2</v>
      </c>
      <c r="Y31" s="325" t="str">
        <f>'Data 2012'!$T$6</f>
        <v>LWCKY</v>
      </c>
      <c r="Z31" s="331">
        <f>'Data 2012'!$T$49</f>
        <v>0.2284719460697987</v>
      </c>
      <c r="AA31" s="332">
        <f t="shared" si="3"/>
        <v>0.2284719460697987</v>
      </c>
    </row>
    <row r="32" spans="1:29">
      <c r="A32" s="8"/>
      <c r="B32" s="315"/>
      <c r="C32" s="15"/>
      <c r="D32" s="14"/>
      <c r="E32" s="14"/>
      <c r="F32" s="14"/>
      <c r="G32" s="316"/>
      <c r="H32" s="316"/>
      <c r="I32" s="316"/>
      <c r="J32" s="12"/>
      <c r="P32" s="323">
        <f t="shared" si="0"/>
        <v>9</v>
      </c>
      <c r="Q32" s="323" t="str">
        <f t="shared" si="1"/>
        <v>LWCKY</v>
      </c>
      <c r="R32" s="323">
        <f t="shared" si="2"/>
        <v>0.1176989963162906</v>
      </c>
      <c r="Y32" s="325" t="str">
        <f>'Data 2012'!$U$6</f>
        <v>OCFL</v>
      </c>
      <c r="Z32" s="331">
        <f>'Data 2012'!$U$49</f>
        <v>5.93108396099256E-2</v>
      </c>
      <c r="AA32" s="332">
        <f t="shared" si="3"/>
        <v>5.93108396099256E-2</v>
      </c>
    </row>
    <row r="33" spans="1:29">
      <c r="A33" s="8"/>
      <c r="B33" s="315"/>
      <c r="C33" s="15"/>
      <c r="D33" s="14"/>
      <c r="E33" s="14"/>
      <c r="F33" s="14"/>
      <c r="G33" s="316"/>
      <c r="H33" s="316"/>
      <c r="I33" s="316"/>
      <c r="J33" s="12"/>
      <c r="P33" s="323">
        <f t="shared" si="0"/>
        <v>17</v>
      </c>
      <c r="Q33" s="323" t="str">
        <f t="shared" si="1"/>
        <v>OCFL</v>
      </c>
      <c r="R33" s="323">
        <f t="shared" si="2"/>
        <v>5.8586832845270831E-2</v>
      </c>
      <c r="Y33" s="325" t="str">
        <f>'Data 2012'!$V$6</f>
        <v>PAW</v>
      </c>
      <c r="Z33" s="331">
        <f>'Data 2012'!$V$49</f>
        <v>0.41342384544180349</v>
      </c>
      <c r="AA33" s="332">
        <f t="shared" si="3"/>
        <v>0.41342384544180349</v>
      </c>
    </row>
    <row r="34" spans="1:29">
      <c r="A34" s="8"/>
      <c r="B34" s="315"/>
      <c r="C34" s="15"/>
      <c r="D34" s="14"/>
      <c r="E34" s="14"/>
      <c r="F34" s="21"/>
      <c r="G34" s="316"/>
      <c r="H34" s="316"/>
      <c r="I34" s="316"/>
      <c r="J34" s="12"/>
      <c r="P34" s="323">
        <f t="shared" si="0"/>
        <v>7</v>
      </c>
      <c r="Q34" s="323" t="str">
        <f t="shared" si="1"/>
        <v>PAW</v>
      </c>
      <c r="R34" s="323">
        <f t="shared" si="2"/>
        <v>0.13475518119316801</v>
      </c>
      <c r="Y34" s="325" t="str">
        <f>'Data 2012'!$W$6</f>
        <v>PWD</v>
      </c>
      <c r="Z34" s="331">
        <f>'Data 2012'!$W$49</f>
        <v>0.39694555916777352</v>
      </c>
      <c r="AA34" s="332">
        <f t="shared" si="3"/>
        <v>0.39694555916777352</v>
      </c>
    </row>
    <row r="35" spans="1:29">
      <c r="A35" s="8"/>
      <c r="B35" s="315"/>
      <c r="C35" s="15"/>
      <c r="D35" s="14"/>
      <c r="E35" s="14"/>
      <c r="F35" s="14"/>
      <c r="G35" s="316"/>
      <c r="H35" s="316"/>
      <c r="I35" s="316"/>
      <c r="J35" s="12"/>
      <c r="P35" s="323">
        <f t="shared" si="0"/>
        <v>1</v>
      </c>
      <c r="Q35" s="323" t="str">
        <f t="shared" si="1"/>
        <v>PWD</v>
      </c>
      <c r="R35" s="323">
        <f t="shared" si="2"/>
        <v>0.2720345235354299</v>
      </c>
      <c r="Y35" s="325" t="str">
        <f>'Data 2012'!$X$6</f>
        <v>RRW</v>
      </c>
      <c r="Z35" s="331">
        <f>'Data 2012'!$X$49</f>
        <v>0.12762313496517905</v>
      </c>
      <c r="AA35" s="332">
        <f t="shared" si="3"/>
        <v>0.12762313496517905</v>
      </c>
    </row>
    <row r="36" spans="1:29">
      <c r="A36" s="8"/>
      <c r="B36" s="315"/>
      <c r="C36" s="15"/>
      <c r="D36" s="14"/>
      <c r="E36" s="14"/>
      <c r="F36" s="14"/>
      <c r="G36" s="316"/>
      <c r="H36" s="316"/>
      <c r="I36" s="316"/>
      <c r="J36" s="12"/>
      <c r="P36" s="323">
        <f t="shared" si="0"/>
        <v>18</v>
      </c>
      <c r="Q36" s="323" t="str">
        <f t="shared" si="1"/>
        <v>RRW</v>
      </c>
      <c r="R36" s="323">
        <f t="shared" si="2"/>
        <v>3.9475060471348258E-2</v>
      </c>
      <c r="Y36" s="325" t="str">
        <f>'Data 2012'!$Y$6</f>
        <v>UI</v>
      </c>
      <c r="Z36" s="331">
        <f>'Data 2012'!$Y$49</f>
        <v>7.9869564033439491E-2</v>
      </c>
      <c r="AA36" s="332">
        <f t="shared" si="3"/>
        <v>7.9869564033439491E-2</v>
      </c>
    </row>
    <row r="37" spans="1:29">
      <c r="A37" s="8"/>
      <c r="B37" s="315"/>
      <c r="C37" s="15"/>
      <c r="D37" s="14"/>
      <c r="E37" s="14"/>
      <c r="F37" s="14"/>
      <c r="G37" s="316"/>
      <c r="H37" s="316"/>
      <c r="I37" s="316"/>
      <c r="J37" s="12"/>
      <c r="P37" s="323">
        <f t="shared" si="0"/>
        <v>25</v>
      </c>
      <c r="Q37" s="323" t="str">
        <f t="shared" si="1"/>
        <v>UI</v>
      </c>
      <c r="R37" s="323">
        <f>CHOOSE(Q$8,$AA36,$AA66,$AA96,$AA125,$AA155,$AA185,$AA214,$AA244,$AA274,$AA304,$AA334)</f>
        <v>2.4846517858067945E-2</v>
      </c>
      <c r="Y37" s="325" t="str">
        <f>'Data 2012'!$Z$6</f>
        <v>WWU</v>
      </c>
      <c r="Z37" s="331">
        <f>'Data 2012'!$Z$49</f>
        <v>0.13468013468013468</v>
      </c>
      <c r="AA37" s="332">
        <f t="shared" si="3"/>
        <v>0.13468013468013468</v>
      </c>
    </row>
    <row r="38" spans="1:29" ht="15.75" customHeight="1">
      <c r="A38" s="8"/>
      <c r="B38" s="315"/>
      <c r="C38" s="15"/>
      <c r="D38" s="14"/>
      <c r="E38" s="14"/>
      <c r="F38" s="14"/>
      <c r="G38" s="316"/>
      <c r="H38" s="316"/>
      <c r="I38" s="316"/>
      <c r="J38" s="12"/>
      <c r="P38" s="323">
        <f t="shared" si="0"/>
        <v>14</v>
      </c>
      <c r="Q38" s="323" t="str">
        <f t="shared" si="1"/>
        <v>WWU</v>
      </c>
      <c r="R38" s="323">
        <f t="shared" si="2"/>
        <v>6.8718418089471614E-2</v>
      </c>
      <c r="Y38" s="325" t="str">
        <f>'Data 2012'!$AA$6</f>
        <v>WCSA</v>
      </c>
      <c r="Z38" s="331">
        <f>'Data 2012'!$AA$49</f>
        <v>0.48681604431913944</v>
      </c>
      <c r="AA38" s="332">
        <f t="shared" si="3"/>
        <v>0.48681604431913944</v>
      </c>
    </row>
    <row r="39" spans="1:29" ht="15.75" customHeight="1">
      <c r="A39" s="8"/>
      <c r="B39" s="315"/>
      <c r="C39" s="15"/>
      <c r="D39" s="14"/>
      <c r="E39" s="14"/>
      <c r="F39" s="14"/>
      <c r="G39" s="316"/>
      <c r="H39" s="316"/>
      <c r="I39" s="316"/>
      <c r="J39" s="12"/>
      <c r="P39" s="323">
        <f t="shared" si="0"/>
        <v>8</v>
      </c>
      <c r="Q39" s="323" t="str">
        <f t="shared" si="1"/>
        <v>WCSA</v>
      </c>
      <c r="R39" s="323">
        <f t="shared" si="2"/>
        <v>0.11828471081883732</v>
      </c>
      <c r="Y39" s="325" t="str">
        <f>'Data 2012'!$AB$6</f>
        <v>WDPW</v>
      </c>
      <c r="Z39" s="331">
        <f>'Data 2012'!$AB$49</f>
        <v>0.47280773485832506</v>
      </c>
      <c r="AA39" s="332">
        <f t="shared" si="3"/>
        <v>0.47280773485832506</v>
      </c>
    </row>
    <row r="40" spans="1:29" ht="15.75" customHeight="1">
      <c r="A40" s="8"/>
      <c r="B40" s="315"/>
      <c r="C40" s="15"/>
      <c r="D40" s="14"/>
      <c r="E40" s="14"/>
      <c r="F40" s="14"/>
      <c r="G40" s="316"/>
      <c r="H40" s="316"/>
      <c r="I40" s="316"/>
      <c r="J40" s="12"/>
      <c r="P40" s="323">
        <f t="shared" si="0"/>
        <v>5</v>
      </c>
      <c r="Q40" s="323" t="str">
        <f t="shared" si="1"/>
        <v>WDPW</v>
      </c>
      <c r="R40" s="323">
        <f t="shared" si="2"/>
        <v>0.15958772958150386</v>
      </c>
      <c r="Y40" s="325" t="str">
        <f>'Data 2012'!$AC$6</f>
        <v>WWAWC</v>
      </c>
      <c r="Z40" s="331">
        <f>'Data 2012'!$AC$49</f>
        <v>0.1927222691873757</v>
      </c>
      <c r="AA40" s="332">
        <f t="shared" si="3"/>
        <v>0.1927222691873757</v>
      </c>
    </row>
    <row r="41" spans="1:29" ht="15.75" customHeight="1">
      <c r="A41" s="8"/>
      <c r="B41" s="315"/>
      <c r="C41" s="15"/>
      <c r="D41" s="14"/>
      <c r="E41" s="14"/>
      <c r="F41" s="14"/>
      <c r="G41" s="316"/>
      <c r="H41" s="316" t="s">
        <v>403</v>
      </c>
      <c r="I41" s="316"/>
      <c r="J41" s="12"/>
      <c r="P41" s="323">
        <f t="shared" si="0"/>
        <v>15</v>
      </c>
      <c r="Q41" s="323" t="str">
        <f t="shared" si="1"/>
        <v>WWAWC</v>
      </c>
      <c r="R41" s="323">
        <f t="shared" si="2"/>
        <v>6.4933928431488888E-2</v>
      </c>
      <c r="Y41" s="335" t="str">
        <f>$C$8</f>
        <v/>
      </c>
      <c r="Z41" s="331" t="str">
        <f>'AWWA-Water Balance Data Transf.'!$D$51</f>
        <v/>
      </c>
      <c r="AA41" s="332" t="str">
        <f>Z41</f>
        <v/>
      </c>
    </row>
    <row r="42" spans="1:29" ht="15.75" customHeight="1">
      <c r="A42" s="8"/>
      <c r="B42" s="315"/>
      <c r="C42" s="15"/>
      <c r="D42" s="14"/>
      <c r="E42" s="14"/>
      <c r="F42" s="14"/>
      <c r="G42" s="316"/>
      <c r="H42" s="316"/>
      <c r="I42" s="316"/>
      <c r="J42" s="12"/>
      <c r="P42" s="323" t="e">
        <f t="shared" si="0"/>
        <v>#VALUE!</v>
      </c>
      <c r="Q42" s="323" t="str">
        <f t="shared" si="1"/>
        <v/>
      </c>
      <c r="R42" s="323" t="str">
        <f t="shared" si="2"/>
        <v/>
      </c>
    </row>
    <row r="43" spans="1:29" ht="15.75" customHeight="1">
      <c r="A43" s="8"/>
      <c r="B43" s="315"/>
      <c r="C43" s="15"/>
      <c r="D43" s="14"/>
      <c r="E43" s="14"/>
      <c r="F43" s="14"/>
      <c r="G43" s="316"/>
      <c r="H43" s="316"/>
      <c r="I43" s="316"/>
      <c r="J43" s="12"/>
      <c r="Y43" s="328" t="s">
        <v>720</v>
      </c>
      <c r="Z43" s="327"/>
      <c r="AA43" s="327"/>
    </row>
    <row r="44" spans="1:29" ht="15.75" customHeight="1">
      <c r="A44" s="8"/>
      <c r="B44" s="315"/>
      <c r="C44" s="15"/>
      <c r="D44" s="14"/>
      <c r="E44" s="14"/>
      <c r="F44" s="14"/>
      <c r="G44" s="316"/>
      <c r="H44" s="316"/>
      <c r="I44" s="316"/>
      <c r="J44" s="12"/>
      <c r="P44" s="336" t="s">
        <v>48</v>
      </c>
      <c r="Q44" s="327" t="s">
        <v>467</v>
      </c>
      <c r="R44" s="323" t="str">
        <f>R15</f>
        <v>Performance Indicator: Non-revenue Water as Percent by Cost of Operating System (%)</v>
      </c>
      <c r="Y44" s="330" t="s">
        <v>1</v>
      </c>
      <c r="Z44" s="327" t="s">
        <v>64</v>
      </c>
      <c r="AA44" s="327" t="s">
        <v>85</v>
      </c>
      <c r="AB44" s="327" t="s">
        <v>553</v>
      </c>
    </row>
    <row r="45" spans="1:29" ht="15.75" customHeight="1">
      <c r="A45" s="8"/>
      <c r="B45" s="315"/>
      <c r="C45" s="15"/>
      <c r="D45" s="14"/>
      <c r="E45" s="14"/>
      <c r="F45" s="14"/>
      <c r="G45" s="316"/>
      <c r="H45" s="316"/>
      <c r="I45" s="316"/>
      <c r="J45" s="12"/>
      <c r="P45" s="323" t="s">
        <v>49</v>
      </c>
      <c r="Q45" s="327"/>
      <c r="U45" s="323" t="s">
        <v>554</v>
      </c>
      <c r="V45" s="323" t="s">
        <v>555</v>
      </c>
      <c r="W45" s="323" t="s">
        <v>556</v>
      </c>
      <c r="Y45" s="325" t="str">
        <f>'Data 2012'!$D$6</f>
        <v>GCWW</v>
      </c>
      <c r="Z45" s="331">
        <f>'Data 2012'!$D$50</f>
        <v>7.4798189712390759E-2</v>
      </c>
      <c r="AA45" s="332">
        <f>IF(ISERROR(Z45),"",Z45)</f>
        <v>7.4798189712390759E-2</v>
      </c>
      <c r="AB45" s="333">
        <v>0.25</v>
      </c>
      <c r="AC45" s="334">
        <f>PERCENTILE(AA46:AA72,AB45)</f>
        <v>3.5597814842702989E-2</v>
      </c>
    </row>
    <row r="46" spans="1:29" ht="15.75" customHeight="1">
      <c r="A46" s="8"/>
      <c r="B46" s="315"/>
      <c r="C46" s="15"/>
      <c r="D46" s="14"/>
      <c r="E46" s="14"/>
      <c r="F46" s="14"/>
      <c r="G46" s="316"/>
      <c r="H46" s="316"/>
      <c r="I46" s="316"/>
      <c r="J46" s="12"/>
      <c r="P46" s="323">
        <v>1</v>
      </c>
      <c r="Q46" s="329" t="str">
        <f>IF(ISERROR(VLOOKUP(P46,$P$16:$R$42,2,FALSE)),"",VLOOKUP(P46,$P$16:$R$42,2,FALSE))</f>
        <v>PWD</v>
      </c>
      <c r="R46" s="329">
        <f t="shared" ref="R46:R72" si="6">IF(ISERROR(VLOOKUP($P46,$P$16:$R$42,3,FALSE)),"",VLOOKUP($P46,$P$16:$R$42,3,FALSE))</f>
        <v>0.2720345235354299</v>
      </c>
      <c r="S46" s="325">
        <f t="shared" ref="S46:S72" si="7">IF(Q46=$Q$42,$R$42,0)</f>
        <v>0</v>
      </c>
      <c r="T46" s="331">
        <f>R46-S46</f>
        <v>0.2720345235354299</v>
      </c>
      <c r="U46" s="323">
        <f>$S$16</f>
        <v>3.5597814842702989E-2</v>
      </c>
      <c r="V46" s="323">
        <f>$S$17</f>
        <v>6.6826173260480251E-2</v>
      </c>
      <c r="W46" s="323">
        <f>$S$18</f>
        <v>0.12651994600600266</v>
      </c>
      <c r="Y46" s="325" t="str">
        <f>'Data 2012'!$E$6</f>
        <v>SMW</v>
      </c>
      <c r="Z46" s="331">
        <f>'Data 2012'!$E$50</f>
        <v>0.10343609730267948</v>
      </c>
      <c r="AA46" s="332">
        <f t="shared" ref="AA46:AA70" si="8">IF(ISERROR(Z46),"",Z46)</f>
        <v>0.10343609730267948</v>
      </c>
      <c r="AB46" s="333">
        <v>0.5</v>
      </c>
      <c r="AC46" s="334">
        <f>PERCENTILE(AA47:AA73,AB46)</f>
        <v>6.6826173260480251E-2</v>
      </c>
    </row>
    <row r="47" spans="1:29" ht="15.75" customHeight="1">
      <c r="A47" s="8"/>
      <c r="B47" s="315"/>
      <c r="C47" s="15"/>
      <c r="D47" s="14"/>
      <c r="E47" s="14"/>
      <c r="F47" s="14"/>
      <c r="G47" s="316"/>
      <c r="H47" s="316"/>
      <c r="I47" s="316"/>
      <c r="J47" s="12"/>
      <c r="P47" s="323">
        <v>2</v>
      </c>
      <c r="Q47" s="329" t="str">
        <f>IF(ISERROR(VLOOKUP(P47,$P$16:$R$42,2,FALSE)),"",VLOOKUP(P47,$P$16:$R$42,2,FALSE))</f>
        <v>DCWATER</v>
      </c>
      <c r="R47" s="329">
        <f t="shared" si="6"/>
        <v>0.2232320531939431</v>
      </c>
      <c r="S47" s="323">
        <f t="shared" si="7"/>
        <v>0</v>
      </c>
      <c r="T47" s="331">
        <f t="shared" ref="T47:T72" si="9">R47-S47</f>
        <v>0.2232320531939431</v>
      </c>
      <c r="U47" s="323">
        <f t="shared" ref="U47:U72" si="10">$S$16</f>
        <v>3.5597814842702989E-2</v>
      </c>
      <c r="V47" s="323">
        <f t="shared" ref="V47:V72" si="11">$S$17</f>
        <v>6.6826173260480251E-2</v>
      </c>
      <c r="W47" s="323">
        <f t="shared" ref="W47:W72" si="12">$S$18</f>
        <v>0.12651994600600266</v>
      </c>
      <c r="Y47" s="325" t="str">
        <f>'Data 2012'!$F$6</f>
        <v>ABCWUA</v>
      </c>
      <c r="Z47" s="331">
        <f>'Data 2012'!$F$50</f>
        <v>0.18346885466641644</v>
      </c>
      <c r="AA47" s="332">
        <f t="shared" si="8"/>
        <v>0.18346885466641644</v>
      </c>
      <c r="AB47" s="333">
        <v>0.75</v>
      </c>
      <c r="AC47" s="334">
        <f>PERCENTILE(AA48:AA74,AB47)</f>
        <v>0.12651994600600266</v>
      </c>
    </row>
    <row r="48" spans="1:29" ht="15.75" customHeight="1">
      <c r="A48" s="8"/>
      <c r="B48" s="315"/>
      <c r="C48" s="15"/>
      <c r="D48" s="14"/>
      <c r="E48" s="14"/>
      <c r="F48" s="14"/>
      <c r="G48" s="316"/>
      <c r="H48" s="316"/>
      <c r="I48" s="316"/>
      <c r="J48" s="12"/>
      <c r="P48" s="323">
        <v>3</v>
      </c>
      <c r="Q48" s="329" t="str">
        <f t="shared" ref="Q48:Q72" si="13">IF(ISERROR(VLOOKUP(P48,$P$16:$R$42,2,FALSE)),"",VLOOKUP(P48,$P$15:$R$42,2,FALSE))</f>
        <v>ABCWUA</v>
      </c>
      <c r="R48" s="329">
        <f t="shared" si="6"/>
        <v>0.18346885466641644</v>
      </c>
      <c r="S48" s="323">
        <f t="shared" si="7"/>
        <v>0</v>
      </c>
      <c r="T48" s="331">
        <f t="shared" si="9"/>
        <v>0.18346885466641644</v>
      </c>
      <c r="U48" s="323">
        <f t="shared" si="10"/>
        <v>3.5597814842702989E-2</v>
      </c>
      <c r="V48" s="323">
        <f t="shared" si="11"/>
        <v>6.6826173260480251E-2</v>
      </c>
      <c r="W48" s="323">
        <f t="shared" si="12"/>
        <v>0.12651994600600266</v>
      </c>
      <c r="Y48" s="325" t="str">
        <f>'Data 2012'!$G$6</f>
        <v>AquaWSC</v>
      </c>
      <c r="Z48" s="331">
        <f>'Data 2012'!$G$50</f>
        <v>3.7429608637880564E-2</v>
      </c>
      <c r="AA48" s="332">
        <f t="shared" si="8"/>
        <v>3.7429608637880564E-2</v>
      </c>
    </row>
    <row r="49" spans="1:27" ht="15.75" customHeight="1">
      <c r="A49" s="8"/>
      <c r="B49" s="315"/>
      <c r="C49" s="15"/>
      <c r="D49" s="14"/>
      <c r="E49" s="14"/>
      <c r="F49" s="14"/>
      <c r="G49" s="316"/>
      <c r="H49" s="316"/>
      <c r="I49" s="316"/>
      <c r="J49" s="12"/>
      <c r="P49" s="323">
        <v>4</v>
      </c>
      <c r="Q49" s="329" t="str">
        <f t="shared" si="13"/>
        <v>CBW</v>
      </c>
      <c r="R49" s="329">
        <f t="shared" si="6"/>
        <v>0.1731120987115381</v>
      </c>
      <c r="S49" s="323">
        <f t="shared" si="7"/>
        <v>0</v>
      </c>
      <c r="T49" s="331">
        <f t="shared" si="9"/>
        <v>0.1731120987115381</v>
      </c>
      <c r="U49" s="323">
        <f t="shared" si="10"/>
        <v>3.5597814842702989E-2</v>
      </c>
      <c r="V49" s="323">
        <f t="shared" si="11"/>
        <v>6.6826173260480251E-2</v>
      </c>
      <c r="W49" s="323">
        <f t="shared" si="12"/>
        <v>0.12651994600600266</v>
      </c>
      <c r="Y49" s="325" t="str">
        <f>'Data 2012'!$H$6</f>
        <v>AW</v>
      </c>
      <c r="Z49" s="331">
        <f>'Data 2012'!$H$50</f>
        <v>3.0108773415079341E-2</v>
      </c>
      <c r="AA49" s="332">
        <f t="shared" si="8"/>
        <v>3.0108773415079341E-2</v>
      </c>
    </row>
    <row r="50" spans="1:27" ht="15.75" customHeight="1">
      <c r="A50" s="8"/>
      <c r="B50" s="315"/>
      <c r="C50" s="15"/>
      <c r="D50" s="14"/>
      <c r="E50" s="14"/>
      <c r="F50" s="14"/>
      <c r="G50" s="316"/>
      <c r="H50" s="316"/>
      <c r="I50" s="316"/>
      <c r="J50" s="12"/>
      <c r="P50" s="323">
        <v>5</v>
      </c>
      <c r="Q50" s="329" t="str">
        <f t="shared" si="13"/>
        <v>WDPW</v>
      </c>
      <c r="R50" s="329">
        <f t="shared" si="6"/>
        <v>0.15958772958150386</v>
      </c>
      <c r="S50" s="323">
        <f t="shared" si="7"/>
        <v>0</v>
      </c>
      <c r="T50" s="331">
        <f t="shared" si="9"/>
        <v>0.15958772958150386</v>
      </c>
      <c r="U50" s="323">
        <f t="shared" si="10"/>
        <v>3.5597814842702989E-2</v>
      </c>
      <c r="V50" s="323">
        <f t="shared" si="11"/>
        <v>6.6826173260480251E-2</v>
      </c>
      <c r="W50" s="323">
        <f t="shared" si="12"/>
        <v>0.12651994600600266</v>
      </c>
      <c r="Y50" s="325" t="str">
        <f>'Data 2012'!$I$6</f>
        <v>BUD</v>
      </c>
      <c r="Z50" s="331">
        <f>'Data 2012'!$I$50</f>
        <v>7.3848877396193613E-2</v>
      </c>
      <c r="AA50" s="332">
        <f t="shared" si="8"/>
        <v>7.3848877396193613E-2</v>
      </c>
    </row>
    <row r="51" spans="1:27" ht="15.75" customHeight="1">
      <c r="A51" s="8"/>
      <c r="B51" s="315"/>
      <c r="C51" s="15"/>
      <c r="D51" s="14"/>
      <c r="E51" s="14"/>
      <c r="F51" s="14"/>
      <c r="G51" s="316"/>
      <c r="H51" s="316"/>
      <c r="I51" s="316"/>
      <c r="J51" s="12"/>
      <c r="P51" s="323">
        <v>6</v>
      </c>
      <c r="Q51" s="329" t="str">
        <f t="shared" si="13"/>
        <v>DUTIL</v>
      </c>
      <c r="R51" s="329">
        <f t="shared" si="6"/>
        <v>0.1568100244972947</v>
      </c>
      <c r="S51" s="323">
        <f t="shared" si="7"/>
        <v>0</v>
      </c>
      <c r="T51" s="331">
        <f t="shared" si="9"/>
        <v>0.1568100244972947</v>
      </c>
      <c r="U51" s="323">
        <f t="shared" si="10"/>
        <v>3.5597814842702989E-2</v>
      </c>
      <c r="V51" s="323">
        <f t="shared" si="11"/>
        <v>6.6826173260480251E-2</v>
      </c>
      <c r="W51" s="323">
        <f t="shared" si="12"/>
        <v>0.12651994600600266</v>
      </c>
      <c r="Y51" s="325" t="str">
        <f>'Data 2012'!$J$6</f>
        <v>BWWB</v>
      </c>
      <c r="Z51" s="331">
        <f>'Data 2012'!$J$50</f>
        <v>8.0128098157713046E-2</v>
      </c>
      <c r="AA51" s="332">
        <f t="shared" si="8"/>
        <v>8.0128098157713046E-2</v>
      </c>
    </row>
    <row r="52" spans="1:27" ht="15.75" customHeight="1">
      <c r="A52" s="8"/>
      <c r="B52" s="315"/>
      <c r="C52" s="15"/>
      <c r="D52" s="14"/>
      <c r="E52" s="14"/>
      <c r="F52" s="14"/>
      <c r="G52" s="316"/>
      <c r="H52" s="316"/>
      <c r="I52" s="316"/>
      <c r="J52" s="12"/>
      <c r="P52" s="323">
        <v>7</v>
      </c>
      <c r="Q52" s="329" t="str">
        <f t="shared" si="13"/>
        <v>PAW</v>
      </c>
      <c r="R52" s="329">
        <f t="shared" si="6"/>
        <v>0.13475518119316801</v>
      </c>
      <c r="S52" s="323">
        <f t="shared" si="7"/>
        <v>0</v>
      </c>
      <c r="T52" s="331">
        <f t="shared" si="9"/>
        <v>0.13475518119316801</v>
      </c>
      <c r="U52" s="323">
        <f t="shared" si="10"/>
        <v>3.5597814842702989E-2</v>
      </c>
      <c r="V52" s="323">
        <f t="shared" si="11"/>
        <v>6.6826173260480251E-2</v>
      </c>
      <c r="W52" s="323">
        <f t="shared" si="12"/>
        <v>0.12651994600600266</v>
      </c>
      <c r="Y52" s="325" t="str">
        <f>'Data 2012'!$K$6</f>
        <v>CW</v>
      </c>
      <c r="Z52" s="331">
        <f>'Data 2012'!$K$50</f>
        <v>3.5175922547414272E-2</v>
      </c>
      <c r="AA52" s="332">
        <f t="shared" si="8"/>
        <v>3.5175922547414272E-2</v>
      </c>
    </row>
    <row r="53" spans="1:27" ht="15.75" customHeight="1">
      <c r="A53" s="8"/>
      <c r="B53" s="315"/>
      <c r="C53" s="15"/>
      <c r="D53" s="14"/>
      <c r="E53" s="14"/>
      <c r="F53" s="14"/>
      <c r="G53" s="316"/>
      <c r="H53" s="316"/>
      <c r="I53" s="316"/>
      <c r="J53" s="12"/>
      <c r="P53" s="323">
        <v>8</v>
      </c>
      <c r="Q53" s="329" t="str">
        <f t="shared" si="13"/>
        <v>WCSA</v>
      </c>
      <c r="R53" s="329">
        <f t="shared" si="6"/>
        <v>0.11828471081883732</v>
      </c>
      <c r="S53" s="323">
        <f t="shared" si="7"/>
        <v>0</v>
      </c>
      <c r="T53" s="331">
        <f t="shared" si="9"/>
        <v>0.11828471081883732</v>
      </c>
      <c r="U53" s="323">
        <f t="shared" si="10"/>
        <v>3.5597814842702989E-2</v>
      </c>
      <c r="V53" s="323">
        <f t="shared" si="11"/>
        <v>6.6826173260480251E-2</v>
      </c>
      <c r="W53" s="323">
        <f t="shared" si="12"/>
        <v>0.12651994600600266</v>
      </c>
      <c r="Y53" s="325" t="str">
        <f>'Data 2012'!$L$6</f>
        <v>CCWSA</v>
      </c>
      <c r="Z53" s="331">
        <f>'Data 2012'!$L$50</f>
        <v>3.1045186320174407E-2</v>
      </c>
      <c r="AA53" s="332">
        <f t="shared" si="8"/>
        <v>3.1045186320174407E-2</v>
      </c>
    </row>
    <row r="54" spans="1:27" ht="15.75" customHeight="1">
      <c r="A54" s="8"/>
      <c r="B54" s="315"/>
      <c r="C54" s="15"/>
      <c r="D54" s="14"/>
      <c r="E54" s="14"/>
      <c r="F54" s="14"/>
      <c r="G54" s="316"/>
      <c r="H54" s="316"/>
      <c r="I54" s="316"/>
      <c r="J54" s="12"/>
      <c r="P54" s="323">
        <v>9</v>
      </c>
      <c r="Q54" s="329" t="str">
        <f t="shared" si="13"/>
        <v>LWCKY</v>
      </c>
      <c r="R54" s="329">
        <f t="shared" si="6"/>
        <v>0.1176989963162906</v>
      </c>
      <c r="S54" s="323">
        <f t="shared" si="7"/>
        <v>0</v>
      </c>
      <c r="T54" s="331">
        <f t="shared" si="9"/>
        <v>0.1176989963162906</v>
      </c>
      <c r="U54" s="323">
        <f t="shared" si="10"/>
        <v>3.5597814842702989E-2</v>
      </c>
      <c r="V54" s="323">
        <f t="shared" si="11"/>
        <v>6.6826173260480251E-2</v>
      </c>
      <c r="W54" s="323">
        <f t="shared" si="12"/>
        <v>0.12651994600600266</v>
      </c>
      <c r="Y54" s="325" t="str">
        <f>'Data 2012'!$M$6</f>
        <v>CCWS</v>
      </c>
      <c r="Z54" s="331">
        <f>'Data 2012'!$M$50</f>
        <v>6.0467068781965269E-2</v>
      </c>
      <c r="AA54" s="332">
        <f t="shared" si="8"/>
        <v>6.0467068781965269E-2</v>
      </c>
    </row>
    <row r="55" spans="1:27" ht="15.75" customHeight="1">
      <c r="A55" s="8"/>
      <c r="B55" s="315"/>
      <c r="C55" s="15"/>
      <c r="D55" s="14"/>
      <c r="E55" s="14"/>
      <c r="F55" s="14"/>
      <c r="G55" s="316"/>
      <c r="H55" s="316"/>
      <c r="I55" s="316"/>
      <c r="J55" s="12"/>
      <c r="P55" s="323">
        <v>10</v>
      </c>
      <c r="Q55" s="329" t="str">
        <f t="shared" si="13"/>
        <v>SMW</v>
      </c>
      <c r="R55" s="329">
        <f t="shared" si="6"/>
        <v>0.10343609730267948</v>
      </c>
      <c r="S55" s="323">
        <f t="shared" si="7"/>
        <v>0</v>
      </c>
      <c r="T55" s="331">
        <f t="shared" si="9"/>
        <v>0.10343609730267948</v>
      </c>
      <c r="U55" s="323">
        <f t="shared" si="10"/>
        <v>3.5597814842702989E-2</v>
      </c>
      <c r="V55" s="323">
        <f t="shared" si="11"/>
        <v>6.6826173260480251E-2</v>
      </c>
      <c r="W55" s="323">
        <f t="shared" si="12"/>
        <v>0.12651994600600266</v>
      </c>
      <c r="Y55" s="325" t="str">
        <f>'Data 2012'!$N$6</f>
        <v>CBW</v>
      </c>
      <c r="Z55" s="331">
        <f>'Data 2012'!$N$50</f>
        <v>0.1731120987115381</v>
      </c>
      <c r="AA55" s="332">
        <f t="shared" si="8"/>
        <v>0.1731120987115381</v>
      </c>
    </row>
    <row r="56" spans="1:27" ht="15.75" customHeight="1">
      <c r="A56" s="8"/>
      <c r="B56" s="315"/>
      <c r="C56" s="15"/>
      <c r="D56" s="14"/>
      <c r="E56" s="14"/>
      <c r="F56" s="14"/>
      <c r="G56" s="316"/>
      <c r="H56" s="316"/>
      <c r="I56" s="316"/>
      <c r="J56" s="12"/>
      <c r="P56" s="323">
        <v>11</v>
      </c>
      <c r="Q56" s="329" t="str">
        <f t="shared" si="13"/>
        <v>BWWB</v>
      </c>
      <c r="R56" s="329">
        <f t="shared" si="6"/>
        <v>8.0128098157713046E-2</v>
      </c>
      <c r="S56" s="323">
        <f t="shared" si="7"/>
        <v>0</v>
      </c>
      <c r="T56" s="331">
        <f t="shared" si="9"/>
        <v>8.0128098157713046E-2</v>
      </c>
      <c r="U56" s="323">
        <f t="shared" si="10"/>
        <v>3.5597814842702989E-2</v>
      </c>
      <c r="V56" s="323">
        <f t="shared" si="11"/>
        <v>6.6826173260480251E-2</v>
      </c>
      <c r="W56" s="323">
        <f t="shared" si="12"/>
        <v>0.12651994600600266</v>
      </c>
      <c r="Y56" s="325" t="str">
        <f>'Data 2012'!$O$6</f>
        <v>DUTIL</v>
      </c>
      <c r="Z56" s="331">
        <f>'Data 2012'!$O$50</f>
        <v>0.1568100244972947</v>
      </c>
      <c r="AA56" s="332">
        <f t="shared" si="8"/>
        <v>0.1568100244972947</v>
      </c>
    </row>
    <row r="57" spans="1:27" ht="15.75" customHeight="1">
      <c r="A57" s="8"/>
      <c r="B57" s="315"/>
      <c r="C57" s="15"/>
      <c r="D57" s="14"/>
      <c r="E57" s="14"/>
      <c r="F57" s="14"/>
      <c r="G57" s="316"/>
      <c r="H57" s="316"/>
      <c r="I57" s="316"/>
      <c r="J57" s="12"/>
      <c r="P57" s="323">
        <v>12</v>
      </c>
      <c r="Q57" s="329" t="str">
        <f t="shared" si="13"/>
        <v>GCWW</v>
      </c>
      <c r="R57" s="329">
        <f t="shared" si="6"/>
        <v>7.4798189712390759E-2</v>
      </c>
      <c r="S57" s="323">
        <f t="shared" si="7"/>
        <v>0</v>
      </c>
      <c r="T57" s="331">
        <f t="shared" si="9"/>
        <v>7.4798189712390759E-2</v>
      </c>
      <c r="U57" s="323">
        <f t="shared" si="10"/>
        <v>3.5597814842702989E-2</v>
      </c>
      <c r="V57" s="323">
        <f t="shared" si="11"/>
        <v>6.6826173260480251E-2</v>
      </c>
      <c r="W57" s="323">
        <f t="shared" si="12"/>
        <v>0.12651994600600266</v>
      </c>
      <c r="Y57" s="325" t="str">
        <f>'Data 2012'!$P$6</f>
        <v>DCWATER</v>
      </c>
      <c r="Z57" s="331">
        <f>'Data 2012'!$P$50</f>
        <v>0.2232320531939431</v>
      </c>
      <c r="AA57" s="332">
        <f t="shared" si="8"/>
        <v>0.2232320531939431</v>
      </c>
    </row>
    <row r="58" spans="1:27" ht="15.75" customHeight="1">
      <c r="A58" s="8"/>
      <c r="B58" s="315"/>
      <c r="C58" s="15"/>
      <c r="D58" s="14"/>
      <c r="E58" s="14"/>
      <c r="F58" s="14"/>
      <c r="G58" s="316"/>
      <c r="H58" s="316"/>
      <c r="I58" s="316"/>
      <c r="J58" s="12"/>
      <c r="P58" s="323">
        <v>13</v>
      </c>
      <c r="Q58" s="329" t="str">
        <f t="shared" si="13"/>
        <v>BUD</v>
      </c>
      <c r="R58" s="329">
        <f t="shared" si="6"/>
        <v>7.3848877396193613E-2</v>
      </c>
      <c r="S58" s="323">
        <f t="shared" si="7"/>
        <v>0</v>
      </c>
      <c r="T58" s="331">
        <f t="shared" si="9"/>
        <v>7.3848877396193613E-2</v>
      </c>
      <c r="U58" s="323">
        <f t="shared" si="10"/>
        <v>3.5597814842702989E-2</v>
      </c>
      <c r="V58" s="323">
        <f t="shared" si="11"/>
        <v>6.6826173260480251E-2</v>
      </c>
      <c r="W58" s="323">
        <f t="shared" si="12"/>
        <v>0.12651994600600266</v>
      </c>
      <c r="Y58" s="325" t="str">
        <f>'Data 2012'!$Q$6</f>
        <v>HRWC</v>
      </c>
      <c r="Z58" s="331">
        <f>'Data 2012'!$Q$50</f>
        <v>1.8244232455823815E-2</v>
      </c>
      <c r="AA58" s="332">
        <f t="shared" si="8"/>
        <v>1.8244232455823815E-2</v>
      </c>
    </row>
    <row r="59" spans="1:27" ht="15.75" customHeight="1">
      <c r="A59" s="8"/>
      <c r="B59" s="315"/>
      <c r="C59" s="15"/>
      <c r="D59" s="14"/>
      <c r="E59" s="14"/>
      <c r="F59" s="14"/>
      <c r="G59" s="316"/>
      <c r="H59" s="316"/>
      <c r="I59" s="316"/>
      <c r="J59" s="12"/>
      <c r="P59" s="323">
        <v>14</v>
      </c>
      <c r="Q59" s="329" t="str">
        <f t="shared" si="13"/>
        <v>WWU</v>
      </c>
      <c r="R59" s="329">
        <f t="shared" si="6"/>
        <v>6.8718418089471614E-2</v>
      </c>
      <c r="S59" s="323">
        <f t="shared" si="7"/>
        <v>0</v>
      </c>
      <c r="T59" s="331">
        <f t="shared" si="9"/>
        <v>6.8718418089471614E-2</v>
      </c>
      <c r="U59" s="323">
        <f t="shared" si="10"/>
        <v>3.5597814842702989E-2</v>
      </c>
      <c r="V59" s="323">
        <f t="shared" si="11"/>
        <v>6.6826173260480251E-2</v>
      </c>
      <c r="W59" s="323">
        <f t="shared" si="12"/>
        <v>0.12651994600600266</v>
      </c>
      <c r="Y59" s="325" t="str">
        <f>'Data 2012'!$R$6</f>
        <v>JCW1</v>
      </c>
      <c r="Z59" s="331">
        <f>'Data 2012'!$R$50</f>
        <v>3.4245432844083046E-2</v>
      </c>
      <c r="AA59" s="332">
        <f t="shared" si="8"/>
        <v>3.4245432844083046E-2</v>
      </c>
    </row>
    <row r="60" spans="1:27" ht="15.75" customHeight="1">
      <c r="A60" s="8"/>
      <c r="B60" s="315"/>
      <c r="C60" s="15"/>
      <c r="D60" s="14"/>
      <c r="E60" s="14"/>
      <c r="F60" s="14"/>
      <c r="G60" s="316"/>
      <c r="H60" s="316"/>
      <c r="I60" s="316"/>
      <c r="J60" s="12"/>
      <c r="P60" s="323">
        <v>15</v>
      </c>
      <c r="Q60" s="329" t="str">
        <f t="shared" si="13"/>
        <v>WWAWC</v>
      </c>
      <c r="R60" s="329">
        <f t="shared" si="6"/>
        <v>6.4933928431488888E-2</v>
      </c>
      <c r="S60" s="323">
        <f t="shared" si="7"/>
        <v>0</v>
      </c>
      <c r="T60" s="331">
        <f t="shared" si="9"/>
        <v>6.4933928431488888E-2</v>
      </c>
      <c r="U60" s="323">
        <f t="shared" si="10"/>
        <v>3.5597814842702989E-2</v>
      </c>
      <c r="V60" s="323">
        <f t="shared" si="11"/>
        <v>6.6826173260480251E-2</v>
      </c>
      <c r="W60" s="323">
        <f t="shared" si="12"/>
        <v>0.12651994600600266</v>
      </c>
      <c r="Y60" s="325" t="str">
        <f>'Data 2012'!$S$6</f>
        <v>LVVWD</v>
      </c>
      <c r="Z60" s="331">
        <f>'Data 2012'!$S$50</f>
        <v>3.5597814842702989E-2</v>
      </c>
      <c r="AA60" s="332">
        <f t="shared" si="8"/>
        <v>3.5597814842702989E-2</v>
      </c>
    </row>
    <row r="61" spans="1:27" ht="16" thickBot="1">
      <c r="A61" s="8"/>
      <c r="B61" s="315"/>
      <c r="C61" s="15"/>
      <c r="D61" s="14"/>
      <c r="E61" s="14"/>
      <c r="F61" s="14"/>
      <c r="G61" s="316"/>
      <c r="H61" s="316"/>
      <c r="I61" s="316"/>
      <c r="J61" s="12"/>
      <c r="P61" s="323">
        <v>16</v>
      </c>
      <c r="Q61" s="329" t="str">
        <f t="shared" si="13"/>
        <v>CCWS</v>
      </c>
      <c r="R61" s="329">
        <f t="shared" si="6"/>
        <v>6.0467068781965269E-2</v>
      </c>
      <c r="S61" s="323">
        <f t="shared" si="7"/>
        <v>0</v>
      </c>
      <c r="T61" s="331">
        <f t="shared" si="9"/>
        <v>6.0467068781965269E-2</v>
      </c>
      <c r="U61" s="323">
        <f t="shared" si="10"/>
        <v>3.5597814842702989E-2</v>
      </c>
      <c r="V61" s="323">
        <f t="shared" si="11"/>
        <v>6.6826173260480251E-2</v>
      </c>
      <c r="W61" s="323">
        <f t="shared" si="12"/>
        <v>0.12651994600600266</v>
      </c>
      <c r="Y61" s="325" t="str">
        <f>'Data 2012'!$T$6</f>
        <v>LWCKY</v>
      </c>
      <c r="Z61" s="331">
        <f>'Data 2012'!$T$50</f>
        <v>0.1176989963162906</v>
      </c>
      <c r="AA61" s="332">
        <f t="shared" si="8"/>
        <v>0.1176989963162906</v>
      </c>
    </row>
    <row r="62" spans="1:27" ht="18" customHeight="1">
      <c r="A62" s="8"/>
      <c r="B62" s="315"/>
      <c r="C62" s="22" t="s">
        <v>389</v>
      </c>
      <c r="D62" s="1137" t="s">
        <v>52</v>
      </c>
      <c r="E62" s="1137"/>
      <c r="F62" s="1138"/>
      <c r="G62" s="730" t="s">
        <v>735</v>
      </c>
      <c r="H62" s="730" t="s">
        <v>334</v>
      </c>
      <c r="I62" s="683" t="s">
        <v>706</v>
      </c>
      <c r="J62" s="12"/>
      <c r="P62" s="323">
        <v>17</v>
      </c>
      <c r="Q62" s="329" t="str">
        <f t="shared" si="13"/>
        <v>OCFL</v>
      </c>
      <c r="R62" s="329">
        <f t="shared" si="6"/>
        <v>5.8586832845270831E-2</v>
      </c>
      <c r="S62" s="323">
        <f t="shared" si="7"/>
        <v>0</v>
      </c>
      <c r="T62" s="331">
        <f t="shared" si="9"/>
        <v>5.8586832845270831E-2</v>
      </c>
      <c r="U62" s="323">
        <f t="shared" si="10"/>
        <v>3.5597814842702989E-2</v>
      </c>
      <c r="V62" s="323">
        <f t="shared" si="11"/>
        <v>6.6826173260480251E-2</v>
      </c>
      <c r="W62" s="323">
        <f t="shared" si="12"/>
        <v>0.12651994600600266</v>
      </c>
      <c r="Y62" s="325" t="str">
        <f>'Data 2012'!$U$6</f>
        <v>OCFL</v>
      </c>
      <c r="Z62" s="331">
        <f>'Data 2012'!$U$50</f>
        <v>5.8586832845270831E-2</v>
      </c>
      <c r="AA62" s="332">
        <f t="shared" si="8"/>
        <v>5.8586832845270831E-2</v>
      </c>
    </row>
    <row r="63" spans="1:27" ht="18" customHeight="1">
      <c r="A63" s="8"/>
      <c r="B63" s="315"/>
      <c r="C63" s="23" t="s">
        <v>376</v>
      </c>
      <c r="D63" s="1127" t="s">
        <v>360</v>
      </c>
      <c r="E63" s="1127"/>
      <c r="F63" s="1128"/>
      <c r="G63" s="729" t="s">
        <v>747</v>
      </c>
      <c r="H63" s="729" t="s">
        <v>329</v>
      </c>
      <c r="I63" s="684">
        <v>2010</v>
      </c>
      <c r="J63" s="12"/>
      <c r="P63" s="323">
        <v>18</v>
      </c>
      <c r="Q63" s="329" t="str">
        <f t="shared" si="13"/>
        <v>RRW</v>
      </c>
      <c r="R63" s="329">
        <f t="shared" si="6"/>
        <v>3.9475060471348258E-2</v>
      </c>
      <c r="S63" s="323">
        <f t="shared" si="7"/>
        <v>0</v>
      </c>
      <c r="T63" s="331">
        <f t="shared" si="9"/>
        <v>3.9475060471348258E-2</v>
      </c>
      <c r="U63" s="323">
        <f t="shared" si="10"/>
        <v>3.5597814842702989E-2</v>
      </c>
      <c r="V63" s="323">
        <f t="shared" si="11"/>
        <v>6.6826173260480251E-2</v>
      </c>
      <c r="W63" s="323">
        <f t="shared" si="12"/>
        <v>0.12651994600600266</v>
      </c>
      <c r="Y63" s="325" t="str">
        <f>'Data 2012'!$V$6</f>
        <v>PAW</v>
      </c>
      <c r="Z63" s="331">
        <f>'Data 2012'!$V$50</f>
        <v>0.13475518119316801</v>
      </c>
      <c r="AA63" s="332">
        <f t="shared" si="8"/>
        <v>0.13475518119316801</v>
      </c>
    </row>
    <row r="64" spans="1:27" ht="18" customHeight="1">
      <c r="A64" s="8"/>
      <c r="B64" s="315"/>
      <c r="C64" s="23" t="s">
        <v>388</v>
      </c>
      <c r="D64" s="1127" t="s">
        <v>359</v>
      </c>
      <c r="E64" s="1127"/>
      <c r="F64" s="1128"/>
      <c r="G64" s="729" t="s">
        <v>736</v>
      </c>
      <c r="H64" s="729" t="s">
        <v>329</v>
      </c>
      <c r="I64" s="684">
        <v>2010</v>
      </c>
      <c r="J64" s="12"/>
      <c r="P64" s="323">
        <v>19</v>
      </c>
      <c r="Q64" s="329" t="str">
        <f t="shared" si="13"/>
        <v>AquaWSC</v>
      </c>
      <c r="R64" s="329">
        <f t="shared" si="6"/>
        <v>3.7429608637880564E-2</v>
      </c>
      <c r="S64" s="323">
        <f t="shared" si="7"/>
        <v>0</v>
      </c>
      <c r="T64" s="331">
        <f t="shared" si="9"/>
        <v>3.7429608637880564E-2</v>
      </c>
      <c r="U64" s="323">
        <f t="shared" si="10"/>
        <v>3.5597814842702989E-2</v>
      </c>
      <c r="V64" s="323">
        <f t="shared" si="11"/>
        <v>6.6826173260480251E-2</v>
      </c>
      <c r="W64" s="323">
        <f t="shared" si="12"/>
        <v>0.12651994600600266</v>
      </c>
      <c r="Y64" s="325" t="str">
        <f>'Data 2012'!$W$6</f>
        <v>PWD</v>
      </c>
      <c r="Z64" s="331">
        <f>'Data 2012'!$W$50</f>
        <v>0.2720345235354299</v>
      </c>
      <c r="AA64" s="332">
        <f t="shared" si="8"/>
        <v>0.2720345235354299</v>
      </c>
    </row>
    <row r="65" spans="1:29" ht="18" customHeight="1">
      <c r="A65" s="8"/>
      <c r="B65" s="315"/>
      <c r="C65" s="23" t="s">
        <v>375</v>
      </c>
      <c r="D65" s="1127" t="s">
        <v>358</v>
      </c>
      <c r="E65" s="1127"/>
      <c r="F65" s="1128"/>
      <c r="G65" s="729" t="s">
        <v>737</v>
      </c>
      <c r="H65" s="729" t="s">
        <v>329</v>
      </c>
      <c r="I65" s="684">
        <v>2011</v>
      </c>
      <c r="J65" s="12"/>
      <c r="P65" s="323">
        <v>20</v>
      </c>
      <c r="Q65" s="329" t="str">
        <f t="shared" si="13"/>
        <v>LVVWD</v>
      </c>
      <c r="R65" s="329">
        <f t="shared" si="6"/>
        <v>3.5597814842702989E-2</v>
      </c>
      <c r="S65" s="323">
        <f t="shared" si="7"/>
        <v>0</v>
      </c>
      <c r="T65" s="331">
        <f t="shared" si="9"/>
        <v>3.5597814842702989E-2</v>
      </c>
      <c r="U65" s="323">
        <f t="shared" si="10"/>
        <v>3.5597814842702989E-2</v>
      </c>
      <c r="V65" s="323">
        <f t="shared" si="11"/>
        <v>6.6826173260480251E-2</v>
      </c>
      <c r="W65" s="323">
        <f t="shared" si="12"/>
        <v>0.12651994600600266</v>
      </c>
      <c r="Y65" s="325" t="str">
        <f>'Data 2012'!$X$6</f>
        <v>RRW</v>
      </c>
      <c r="Z65" s="331">
        <f>'Data 2012'!$X$50</f>
        <v>3.9475060471348258E-2</v>
      </c>
      <c r="AA65" s="332">
        <f t="shared" si="8"/>
        <v>3.9475060471348258E-2</v>
      </c>
    </row>
    <row r="66" spans="1:29" ht="18" customHeight="1">
      <c r="A66" s="8"/>
      <c r="B66" s="315"/>
      <c r="C66" s="23" t="s">
        <v>374</v>
      </c>
      <c r="D66" s="1127" t="s">
        <v>357</v>
      </c>
      <c r="E66" s="1127"/>
      <c r="F66" s="1128"/>
      <c r="G66" s="729" t="s">
        <v>738</v>
      </c>
      <c r="H66" s="729" t="s">
        <v>329</v>
      </c>
      <c r="I66" s="684">
        <v>2011</v>
      </c>
      <c r="J66" s="12"/>
      <c r="P66" s="323">
        <v>21</v>
      </c>
      <c r="Q66" s="329" t="str">
        <f t="shared" si="13"/>
        <v>CW</v>
      </c>
      <c r="R66" s="329">
        <f t="shared" si="6"/>
        <v>3.5175922547414272E-2</v>
      </c>
      <c r="S66" s="323">
        <f t="shared" si="7"/>
        <v>0</v>
      </c>
      <c r="T66" s="331">
        <f t="shared" si="9"/>
        <v>3.5175922547414272E-2</v>
      </c>
      <c r="U66" s="323">
        <f t="shared" si="10"/>
        <v>3.5597814842702989E-2</v>
      </c>
      <c r="V66" s="323">
        <f t="shared" si="11"/>
        <v>6.6826173260480251E-2</v>
      </c>
      <c r="W66" s="323">
        <f t="shared" si="12"/>
        <v>0.12651994600600266</v>
      </c>
      <c r="Y66" s="325" t="str">
        <f>'Data 2012'!$Y$6</f>
        <v>UI</v>
      </c>
      <c r="Z66" s="331">
        <f>'Data 2012'!$Y$50</f>
        <v>2.4846517858067945E-2</v>
      </c>
      <c r="AA66" s="332">
        <f t="shared" si="8"/>
        <v>2.4846517858067945E-2</v>
      </c>
    </row>
    <row r="67" spans="1:29" ht="18" customHeight="1">
      <c r="A67" s="8"/>
      <c r="B67" s="315"/>
      <c r="C67" s="23" t="s">
        <v>387</v>
      </c>
      <c r="D67" s="1127" t="s">
        <v>356</v>
      </c>
      <c r="E67" s="1127"/>
      <c r="F67" s="1128"/>
      <c r="G67" s="729" t="s">
        <v>738</v>
      </c>
      <c r="H67" s="729" t="s">
        <v>329</v>
      </c>
      <c r="I67" s="684">
        <v>2011</v>
      </c>
      <c r="J67" s="12"/>
      <c r="P67" s="323">
        <v>22</v>
      </c>
      <c r="Q67" s="329" t="str">
        <f t="shared" si="13"/>
        <v>JCW1</v>
      </c>
      <c r="R67" s="329">
        <f t="shared" si="6"/>
        <v>3.4245432844083046E-2</v>
      </c>
      <c r="S67" s="323">
        <f t="shared" si="7"/>
        <v>0</v>
      </c>
      <c r="T67" s="331">
        <f t="shared" si="9"/>
        <v>3.4245432844083046E-2</v>
      </c>
      <c r="U67" s="323">
        <f t="shared" si="10"/>
        <v>3.5597814842702989E-2</v>
      </c>
      <c r="V67" s="323">
        <f t="shared" si="11"/>
        <v>6.6826173260480251E-2</v>
      </c>
      <c r="W67" s="323">
        <f t="shared" si="12"/>
        <v>0.12651994600600266</v>
      </c>
      <c r="Y67" s="325" t="str">
        <f>'Data 2012'!$Z$6</f>
        <v>WWU</v>
      </c>
      <c r="Z67" s="331">
        <f>'Data 2012'!$Z$50</f>
        <v>6.8718418089471614E-2</v>
      </c>
      <c r="AA67" s="332">
        <f t="shared" si="8"/>
        <v>6.8718418089471614E-2</v>
      </c>
    </row>
    <row r="68" spans="1:29" ht="18" customHeight="1">
      <c r="A68" s="8"/>
      <c r="B68" s="315"/>
      <c r="C68" s="23" t="s">
        <v>386</v>
      </c>
      <c r="D68" s="1127" t="s">
        <v>355</v>
      </c>
      <c r="E68" s="1127"/>
      <c r="F68" s="1128"/>
      <c r="G68" s="729" t="s">
        <v>749</v>
      </c>
      <c r="H68" s="729" t="s">
        <v>329</v>
      </c>
      <c r="I68" s="684">
        <v>2011</v>
      </c>
      <c r="J68" s="12"/>
      <c r="P68" s="323">
        <v>23</v>
      </c>
      <c r="Q68" s="329" t="str">
        <f t="shared" si="13"/>
        <v>CCWSA</v>
      </c>
      <c r="R68" s="329">
        <f t="shared" si="6"/>
        <v>3.1045186320174407E-2</v>
      </c>
      <c r="S68" s="323">
        <f t="shared" si="7"/>
        <v>0</v>
      </c>
      <c r="T68" s="331">
        <f t="shared" si="9"/>
        <v>3.1045186320174407E-2</v>
      </c>
      <c r="U68" s="323">
        <f t="shared" si="10"/>
        <v>3.5597814842702989E-2</v>
      </c>
      <c r="V68" s="323">
        <f t="shared" si="11"/>
        <v>6.6826173260480251E-2</v>
      </c>
      <c r="W68" s="323">
        <f t="shared" si="12"/>
        <v>0.12651994600600266</v>
      </c>
      <c r="Y68" s="325" t="str">
        <f>'Data 2012'!$AA$6</f>
        <v>WCSA</v>
      </c>
      <c r="Z68" s="331">
        <f>'Data 2012'!$AA$50</f>
        <v>0.11828471081883732</v>
      </c>
      <c r="AA68" s="332">
        <f t="shared" si="8"/>
        <v>0.11828471081883732</v>
      </c>
    </row>
    <row r="69" spans="1:29" ht="18" customHeight="1">
      <c r="A69" s="8"/>
      <c r="B69" s="315"/>
      <c r="C69" s="23" t="s">
        <v>373</v>
      </c>
      <c r="D69" s="1127" t="s">
        <v>354</v>
      </c>
      <c r="E69" s="1127"/>
      <c r="F69" s="1128"/>
      <c r="G69" s="729" t="s">
        <v>739</v>
      </c>
      <c r="H69" s="729" t="s">
        <v>329</v>
      </c>
      <c r="I69" s="684">
        <v>2011</v>
      </c>
      <c r="J69" s="12"/>
      <c r="P69" s="323">
        <v>24</v>
      </c>
      <c r="Q69" s="329" t="str">
        <f t="shared" si="13"/>
        <v>AW</v>
      </c>
      <c r="R69" s="329">
        <f t="shared" si="6"/>
        <v>3.0108773415079341E-2</v>
      </c>
      <c r="S69" s="323">
        <f t="shared" si="7"/>
        <v>0</v>
      </c>
      <c r="T69" s="331">
        <f t="shared" si="9"/>
        <v>3.0108773415079341E-2</v>
      </c>
      <c r="U69" s="323">
        <f t="shared" si="10"/>
        <v>3.5597814842702989E-2</v>
      </c>
      <c r="V69" s="323">
        <f t="shared" si="11"/>
        <v>6.6826173260480251E-2</v>
      </c>
      <c r="W69" s="323">
        <f t="shared" si="12"/>
        <v>0.12651994600600266</v>
      </c>
      <c r="Y69" s="325" t="str">
        <f>'Data 2012'!$AB$6</f>
        <v>WDPW</v>
      </c>
      <c r="Z69" s="331">
        <f>'Data 2012'!$AB$50</f>
        <v>0.15958772958150386</v>
      </c>
      <c r="AA69" s="332">
        <f t="shared" si="8"/>
        <v>0.15958772958150386</v>
      </c>
    </row>
    <row r="70" spans="1:29" ht="18" customHeight="1">
      <c r="A70" s="8"/>
      <c r="B70" s="315"/>
      <c r="C70" s="23" t="s">
        <v>385</v>
      </c>
      <c r="D70" s="1127" t="s">
        <v>353</v>
      </c>
      <c r="E70" s="1127"/>
      <c r="F70" s="1128"/>
      <c r="G70" s="729" t="s">
        <v>740</v>
      </c>
      <c r="H70" s="729" t="s">
        <v>330</v>
      </c>
      <c r="I70" s="684">
        <v>2011</v>
      </c>
      <c r="J70" s="12"/>
      <c r="P70" s="323">
        <v>25</v>
      </c>
      <c r="Q70" s="329" t="str">
        <f t="shared" si="13"/>
        <v>UI</v>
      </c>
      <c r="R70" s="329">
        <f t="shared" si="6"/>
        <v>2.4846517858067945E-2</v>
      </c>
      <c r="S70" s="323">
        <f t="shared" si="7"/>
        <v>0</v>
      </c>
      <c r="T70" s="331">
        <f t="shared" si="9"/>
        <v>2.4846517858067945E-2</v>
      </c>
      <c r="U70" s="323">
        <f t="shared" si="10"/>
        <v>3.5597814842702989E-2</v>
      </c>
      <c r="V70" s="323">
        <f t="shared" si="11"/>
        <v>6.6826173260480251E-2</v>
      </c>
      <c r="W70" s="323">
        <f t="shared" si="12"/>
        <v>0.12651994600600266</v>
      </c>
      <c r="Y70" s="325" t="str">
        <f>'Data 2012'!$AC$6</f>
        <v>WWAWC</v>
      </c>
      <c r="Z70" s="331">
        <f>'Data 2012'!$AC$50</f>
        <v>6.4933928431488888E-2</v>
      </c>
      <c r="AA70" s="332">
        <f t="shared" si="8"/>
        <v>6.4933928431488888E-2</v>
      </c>
    </row>
    <row r="71" spans="1:29" ht="18" customHeight="1">
      <c r="A71" s="8"/>
      <c r="B71" s="315"/>
      <c r="C71" s="23" t="s">
        <v>372</v>
      </c>
      <c r="D71" s="1127" t="s">
        <v>352</v>
      </c>
      <c r="E71" s="1127"/>
      <c r="F71" s="1128"/>
      <c r="G71" s="729" t="s">
        <v>750</v>
      </c>
      <c r="H71" s="729" t="s">
        <v>329</v>
      </c>
      <c r="I71" s="684">
        <v>2011</v>
      </c>
      <c r="J71" s="12"/>
      <c r="P71" s="323">
        <v>26</v>
      </c>
      <c r="Q71" s="329" t="str">
        <f t="shared" si="13"/>
        <v>HRWC</v>
      </c>
      <c r="R71" s="329">
        <f t="shared" si="6"/>
        <v>1.8244232455823815E-2</v>
      </c>
      <c r="S71" s="323">
        <f t="shared" si="7"/>
        <v>0</v>
      </c>
      <c r="T71" s="331">
        <f t="shared" si="9"/>
        <v>1.8244232455823815E-2</v>
      </c>
      <c r="U71" s="323">
        <f t="shared" si="10"/>
        <v>3.5597814842702989E-2</v>
      </c>
      <c r="V71" s="323">
        <f t="shared" si="11"/>
        <v>6.6826173260480251E-2</v>
      </c>
      <c r="W71" s="323">
        <f t="shared" si="12"/>
        <v>0.12651994600600266</v>
      </c>
      <c r="Y71" s="335" t="str">
        <f>$C$8</f>
        <v/>
      </c>
      <c r="Z71" s="333" t="str">
        <f>'AWWA-Water Balance Data Transf.'!$D$52</f>
        <v/>
      </c>
      <c r="AA71" s="333" t="str">
        <f>'AWWA-Water Balance Data Transf.'!$D$52</f>
        <v/>
      </c>
    </row>
    <row r="72" spans="1:29" ht="18" customHeight="1">
      <c r="A72" s="8"/>
      <c r="B72" s="315"/>
      <c r="C72" s="23" t="s">
        <v>384</v>
      </c>
      <c r="D72" s="1127" t="s">
        <v>351</v>
      </c>
      <c r="E72" s="1127"/>
      <c r="F72" s="1128"/>
      <c r="G72" s="729" t="s">
        <v>750</v>
      </c>
      <c r="H72" s="729" t="s">
        <v>329</v>
      </c>
      <c r="I72" s="684">
        <v>2001</v>
      </c>
      <c r="J72" s="12"/>
      <c r="P72" s="323">
        <v>27</v>
      </c>
      <c r="Q72" s="337" t="str">
        <f t="shared" si="13"/>
        <v/>
      </c>
      <c r="R72" s="329" t="str">
        <f t="shared" si="6"/>
        <v/>
      </c>
      <c r="S72" s="323" t="str">
        <f t="shared" si="7"/>
        <v/>
      </c>
      <c r="T72" s="331" t="e">
        <f t="shared" si="9"/>
        <v>#VALUE!</v>
      </c>
      <c r="U72" s="323">
        <f t="shared" si="10"/>
        <v>3.5597814842702989E-2</v>
      </c>
      <c r="V72" s="323">
        <f t="shared" si="11"/>
        <v>6.6826173260480251E-2</v>
      </c>
      <c r="W72" s="323">
        <f t="shared" si="12"/>
        <v>0.12651994600600266</v>
      </c>
    </row>
    <row r="73" spans="1:29" ht="18" customHeight="1">
      <c r="A73" s="8"/>
      <c r="B73" s="315"/>
      <c r="C73" s="23" t="s">
        <v>383</v>
      </c>
      <c r="D73" s="1127" t="s">
        <v>350</v>
      </c>
      <c r="E73" s="1127"/>
      <c r="F73" s="1128"/>
      <c r="G73" s="729" t="s">
        <v>741</v>
      </c>
      <c r="H73" s="729" t="s">
        <v>330</v>
      </c>
      <c r="I73" s="684">
        <v>2011</v>
      </c>
      <c r="J73" s="12"/>
      <c r="Y73" s="328" t="s">
        <v>701</v>
      </c>
      <c r="Z73" s="327"/>
      <c r="AA73" s="327"/>
    </row>
    <row r="74" spans="1:29" ht="18" customHeight="1">
      <c r="A74" s="8"/>
      <c r="B74" s="315"/>
      <c r="C74" s="23" t="s">
        <v>371</v>
      </c>
      <c r="D74" s="1127" t="s">
        <v>349</v>
      </c>
      <c r="E74" s="1127"/>
      <c r="F74" s="1128"/>
      <c r="G74" s="729" t="s">
        <v>750</v>
      </c>
      <c r="H74" s="729" t="s">
        <v>329</v>
      </c>
      <c r="I74" s="684">
        <v>2011</v>
      </c>
      <c r="J74" s="12"/>
      <c r="Y74" s="330" t="s">
        <v>1</v>
      </c>
      <c r="Z74" s="327" t="s">
        <v>64</v>
      </c>
      <c r="AA74" s="327" t="s">
        <v>85</v>
      </c>
      <c r="AB74" s="327" t="s">
        <v>553</v>
      </c>
    </row>
    <row r="75" spans="1:29" ht="18" customHeight="1">
      <c r="A75" s="8"/>
      <c r="B75" s="315"/>
      <c r="C75" s="23" t="s">
        <v>370</v>
      </c>
      <c r="D75" s="1127" t="s">
        <v>348</v>
      </c>
      <c r="E75" s="1127"/>
      <c r="F75" s="1128"/>
      <c r="G75" s="729" t="s">
        <v>876</v>
      </c>
      <c r="H75" s="729" t="s">
        <v>329</v>
      </c>
      <c r="I75" s="684">
        <v>2011</v>
      </c>
      <c r="J75" s="12"/>
      <c r="Y75" s="325" t="str">
        <f>'Data 2012'!$D$6</f>
        <v>GCWW</v>
      </c>
      <c r="Z75" s="325">
        <f>'Data 2012'!$D$51</f>
        <v>5110562.3600000003</v>
      </c>
      <c r="AA75" s="327">
        <f>Z75</f>
        <v>5110562.3600000003</v>
      </c>
      <c r="AB75" s="333">
        <v>0.25</v>
      </c>
      <c r="AC75" s="325">
        <f>PERCENTILE(AA75:AA101,AB75)</f>
        <v>225208.9025</v>
      </c>
    </row>
    <row r="76" spans="1:29" ht="18" customHeight="1">
      <c r="A76" s="8"/>
      <c r="B76" s="315"/>
      <c r="C76" s="23" t="s">
        <v>369</v>
      </c>
      <c r="D76" s="1127" t="s">
        <v>347</v>
      </c>
      <c r="E76" s="1127"/>
      <c r="F76" s="1128"/>
      <c r="G76" s="729" t="s">
        <v>748</v>
      </c>
      <c r="H76" s="729" t="s">
        <v>330</v>
      </c>
      <c r="I76" s="684">
        <v>2010</v>
      </c>
      <c r="J76" s="12"/>
      <c r="Y76" s="325" t="str">
        <f>'Data 2012'!$E$6</f>
        <v>SMW</v>
      </c>
      <c r="Z76" s="325">
        <f>'Data 2012'!$E$51</f>
        <v>716257.76</v>
      </c>
      <c r="AA76" s="327">
        <f>Z76</f>
        <v>716257.76</v>
      </c>
      <c r="AB76" s="333">
        <v>0.5</v>
      </c>
      <c r="AC76" s="325">
        <f t="shared" ref="AC76:AC77" si="14">PERCENTILE(AA76:AA102,AB76)</f>
        <v>1255600.73</v>
      </c>
    </row>
    <row r="77" spans="1:29" ht="18" customHeight="1">
      <c r="A77" s="8"/>
      <c r="B77" s="315"/>
      <c r="C77" s="23" t="s">
        <v>368</v>
      </c>
      <c r="D77" s="1127" t="s">
        <v>346</v>
      </c>
      <c r="E77" s="1127"/>
      <c r="F77" s="1128"/>
      <c r="G77" s="729" t="s">
        <v>742</v>
      </c>
      <c r="H77" s="729" t="s">
        <v>329</v>
      </c>
      <c r="I77" s="684">
        <v>2011</v>
      </c>
      <c r="J77" s="12"/>
      <c r="Y77" s="325" t="str">
        <f>'Data 2012'!$F$6</f>
        <v>ABCWUA</v>
      </c>
      <c r="Z77" s="325">
        <f>'Data 2012'!$F$51</f>
        <v>3054328.9</v>
      </c>
      <c r="AA77" s="327">
        <f>Z77</f>
        <v>3054328.9</v>
      </c>
      <c r="AB77" s="333">
        <v>0.75</v>
      </c>
      <c r="AC77" s="325">
        <f t="shared" si="14"/>
        <v>4402040.4400000004</v>
      </c>
    </row>
    <row r="78" spans="1:29" ht="18" customHeight="1">
      <c r="A78" s="8"/>
      <c r="B78" s="315"/>
      <c r="C78" s="23" t="s">
        <v>367</v>
      </c>
      <c r="D78" s="1127" t="s">
        <v>345</v>
      </c>
      <c r="E78" s="1127"/>
      <c r="F78" s="1128"/>
      <c r="G78" s="729" t="s">
        <v>743</v>
      </c>
      <c r="H78" s="729" t="s">
        <v>329</v>
      </c>
      <c r="I78" s="684">
        <v>2011</v>
      </c>
      <c r="J78" s="12"/>
      <c r="Y78" s="325" t="str">
        <f>'Data 2012'!$G$6</f>
        <v>AquaWSC</v>
      </c>
      <c r="Z78" s="325">
        <f>'Data 2012'!$G$51</f>
        <v>209241.62</v>
      </c>
      <c r="AA78" s="327">
        <f>Z78</f>
        <v>209241.62</v>
      </c>
    </row>
    <row r="79" spans="1:29" ht="18" customHeight="1">
      <c r="A79" s="8"/>
      <c r="B79" s="315"/>
      <c r="C79" s="23" t="s">
        <v>366</v>
      </c>
      <c r="D79" s="1127" t="s">
        <v>344</v>
      </c>
      <c r="E79" s="1127"/>
      <c r="F79" s="1128"/>
      <c r="G79" s="729" t="s">
        <v>736</v>
      </c>
      <c r="H79" s="729" t="s">
        <v>329</v>
      </c>
      <c r="I79" s="684">
        <v>2011</v>
      </c>
      <c r="J79" s="12"/>
      <c r="Y79" s="325" t="str">
        <f>'Data 2012'!$H$6</f>
        <v>AW</v>
      </c>
      <c r="Z79" s="325">
        <f>'Data 2012'!$H$51</f>
        <v>4376960.28</v>
      </c>
      <c r="AA79" s="327">
        <f t="shared" ref="AA79:AA100" si="15">Z79</f>
        <v>4376960.28</v>
      </c>
    </row>
    <row r="80" spans="1:29" ht="18" customHeight="1">
      <c r="A80" s="8"/>
      <c r="B80" s="315"/>
      <c r="C80" s="23" t="s">
        <v>365</v>
      </c>
      <c r="D80" s="1127" t="s">
        <v>343</v>
      </c>
      <c r="E80" s="1127"/>
      <c r="F80" s="1128"/>
      <c r="G80" s="729" t="s">
        <v>744</v>
      </c>
      <c r="H80" s="729" t="s">
        <v>329</v>
      </c>
      <c r="I80" s="684">
        <v>2011</v>
      </c>
      <c r="J80" s="12"/>
      <c r="Y80" s="325" t="str">
        <f>'Data 2012'!$I$6</f>
        <v>BUD</v>
      </c>
      <c r="Z80" s="325">
        <f>'Data 2012'!$I$51</f>
        <v>172820.97</v>
      </c>
      <c r="AA80" s="327">
        <f t="shared" si="15"/>
        <v>172820.97</v>
      </c>
    </row>
    <row r="81" spans="1:27" ht="18" customHeight="1">
      <c r="A81" s="8"/>
      <c r="B81" s="315"/>
      <c r="C81" s="23" t="s">
        <v>364</v>
      </c>
      <c r="D81" s="1127" t="s">
        <v>342</v>
      </c>
      <c r="E81" s="1127"/>
      <c r="F81" s="1128"/>
      <c r="G81" s="729" t="s">
        <v>744</v>
      </c>
      <c r="H81" s="729" t="s">
        <v>329</v>
      </c>
      <c r="I81" s="684">
        <v>2011</v>
      </c>
      <c r="J81" s="12"/>
      <c r="Y81" s="325" t="str">
        <f>'Data 2012'!$J$6</f>
        <v>BWWB</v>
      </c>
      <c r="Z81" s="325">
        <f>'Data 2012'!$J$51</f>
        <v>3787341.46</v>
      </c>
      <c r="AA81" s="327">
        <f t="shared" si="15"/>
        <v>3787341.46</v>
      </c>
    </row>
    <row r="82" spans="1:27" ht="18" customHeight="1">
      <c r="A82" s="8"/>
      <c r="B82" s="315"/>
      <c r="C82" s="23" t="s">
        <v>382</v>
      </c>
      <c r="D82" s="1127" t="s">
        <v>341</v>
      </c>
      <c r="E82" s="1127"/>
      <c r="F82" s="1128"/>
      <c r="G82" s="729" t="s">
        <v>737</v>
      </c>
      <c r="H82" s="729" t="s">
        <v>329</v>
      </c>
      <c r="I82" s="684">
        <v>2011</v>
      </c>
      <c r="J82" s="12"/>
      <c r="Y82" s="325" t="str">
        <f>'Data 2012'!$K$6</f>
        <v>CW</v>
      </c>
      <c r="Z82" s="325">
        <f>'Data 2012'!$K$51</f>
        <v>4477280.92</v>
      </c>
      <c r="AA82" s="327">
        <f t="shared" si="15"/>
        <v>4477280.92</v>
      </c>
    </row>
    <row r="83" spans="1:27" ht="18" customHeight="1">
      <c r="A83" s="8"/>
      <c r="B83" s="315"/>
      <c r="C83" s="23" t="s">
        <v>381</v>
      </c>
      <c r="D83" s="1127" t="s">
        <v>340</v>
      </c>
      <c r="E83" s="1127"/>
      <c r="F83" s="1128"/>
      <c r="G83" s="729" t="s">
        <v>752</v>
      </c>
      <c r="H83" s="729" t="s">
        <v>329</v>
      </c>
      <c r="I83" s="684">
        <v>2011</v>
      </c>
      <c r="J83" s="12"/>
      <c r="Y83" s="325" t="str">
        <f>'Data 2012'!$L$6</f>
        <v>CCWSA</v>
      </c>
      <c r="Z83" s="325">
        <f>'Data 2012'!$L$51</f>
        <v>790545.95</v>
      </c>
      <c r="AA83" s="327">
        <f t="shared" si="15"/>
        <v>790545.95</v>
      </c>
    </row>
    <row r="84" spans="1:27" ht="18" customHeight="1">
      <c r="A84" s="8"/>
      <c r="B84" s="315"/>
      <c r="C84" s="23" t="s">
        <v>380</v>
      </c>
      <c r="D84" s="1127" t="s">
        <v>339</v>
      </c>
      <c r="E84" s="1127"/>
      <c r="F84" s="1128"/>
      <c r="G84" s="729" t="s">
        <v>751</v>
      </c>
      <c r="H84" s="729" t="s">
        <v>329</v>
      </c>
      <c r="I84" s="684">
        <v>2011</v>
      </c>
      <c r="J84" s="12"/>
      <c r="Y84" s="325" t="str">
        <f>'Data 2012'!$M$6</f>
        <v>CCWS</v>
      </c>
      <c r="Z84" s="325">
        <f>'Data 2012'!$M$51</f>
        <v>1563003.33</v>
      </c>
      <c r="AA84" s="327">
        <f t="shared" si="15"/>
        <v>1563003.33</v>
      </c>
    </row>
    <row r="85" spans="1:27" ht="18" customHeight="1">
      <c r="A85" s="8"/>
      <c r="B85" s="315"/>
      <c r="C85" s="23" t="s">
        <v>379</v>
      </c>
      <c r="D85" s="1127" t="s">
        <v>338</v>
      </c>
      <c r="E85" s="1127"/>
      <c r="F85" s="1128"/>
      <c r="G85" s="729" t="s">
        <v>753</v>
      </c>
      <c r="H85" s="729" t="s">
        <v>329</v>
      </c>
      <c r="I85" s="684">
        <v>2011</v>
      </c>
      <c r="J85" s="12"/>
      <c r="Y85" s="325" t="str">
        <f>'Data 2012'!$N$6</f>
        <v>CBW</v>
      </c>
      <c r="Z85" s="325">
        <f>'Data 2012'!$N$51</f>
        <v>0</v>
      </c>
      <c r="AA85" s="327">
        <f t="shared" si="15"/>
        <v>0</v>
      </c>
    </row>
    <row r="86" spans="1:27" ht="18" customHeight="1">
      <c r="A86" s="8"/>
      <c r="B86" s="315"/>
      <c r="C86" s="23" t="s">
        <v>363</v>
      </c>
      <c r="D86" s="1127" t="s">
        <v>337</v>
      </c>
      <c r="E86" s="1127"/>
      <c r="F86" s="1128"/>
      <c r="G86" s="729" t="s">
        <v>754</v>
      </c>
      <c r="H86" s="729" t="s">
        <v>329</v>
      </c>
      <c r="I86" s="684">
        <v>2011</v>
      </c>
      <c r="J86" s="12"/>
      <c r="Y86" s="325" t="str">
        <f>'Data 2012'!$O$6</f>
        <v>DUTIL</v>
      </c>
      <c r="Z86" s="325">
        <f>'Data 2012'!$O$51</f>
        <v>1006521.93</v>
      </c>
      <c r="AA86" s="327">
        <f t="shared" si="15"/>
        <v>1006521.93</v>
      </c>
    </row>
    <row r="87" spans="1:27" ht="18" customHeight="1">
      <c r="A87" s="8"/>
      <c r="B87" s="315"/>
      <c r="C87" s="23" t="s">
        <v>378</v>
      </c>
      <c r="D87" s="1127" t="s">
        <v>336</v>
      </c>
      <c r="E87" s="1127"/>
      <c r="F87" s="1128"/>
      <c r="G87" s="729" t="s">
        <v>745</v>
      </c>
      <c r="H87" s="729" t="s">
        <v>329</v>
      </c>
      <c r="I87" s="684">
        <v>2011</v>
      </c>
      <c r="J87" s="12"/>
      <c r="Y87" s="325" t="str">
        <f>'Data 2012'!$P$6</f>
        <v>DCWATER</v>
      </c>
      <c r="Z87" s="325">
        <f>'Data 2012'!$P$51</f>
        <v>9872897.2599999998</v>
      </c>
      <c r="AA87" s="327">
        <f t="shared" si="15"/>
        <v>9872897.2599999998</v>
      </c>
    </row>
    <row r="88" spans="1:27" ht="18" customHeight="1" thickBot="1">
      <c r="A88" s="8"/>
      <c r="B88" s="315"/>
      <c r="C88" s="24" t="s">
        <v>390</v>
      </c>
      <c r="D88" s="1135" t="s">
        <v>335</v>
      </c>
      <c r="E88" s="1135"/>
      <c r="F88" s="1136"/>
      <c r="G88" s="731" t="s">
        <v>746</v>
      </c>
      <c r="H88" s="731" t="s">
        <v>329</v>
      </c>
      <c r="I88" s="685">
        <v>2010</v>
      </c>
      <c r="J88" s="12"/>
      <c r="Y88" s="325" t="str">
        <f>'Data 2012'!$Q$6</f>
        <v>HRWC</v>
      </c>
      <c r="Z88" s="325">
        <f>'Data 2012'!$Q$51</f>
        <v>250913.66</v>
      </c>
      <c r="AA88" s="327">
        <f t="shared" si="15"/>
        <v>250913.66</v>
      </c>
    </row>
    <row r="89" spans="1:27" ht="24" customHeight="1">
      <c r="A89" s="8"/>
      <c r="B89" s="704"/>
      <c r="C89" s="780" t="s">
        <v>755</v>
      </c>
      <c r="D89" s="781"/>
      <c r="E89" s="781"/>
      <c r="F89" s="781"/>
      <c r="G89" s="782"/>
      <c r="H89" s="782"/>
      <c r="I89" s="782"/>
      <c r="J89" s="377"/>
      <c r="Y89" s="325" t="str">
        <f>'Data 2012'!$R$6</f>
        <v>JCW1</v>
      </c>
      <c r="Z89" s="325">
        <f>'Data 2012'!$R$51</f>
        <v>1867161.43</v>
      </c>
      <c r="AA89" s="327">
        <f t="shared" si="15"/>
        <v>1867161.43</v>
      </c>
    </row>
    <row r="90" spans="1:27" ht="16" thickBot="1">
      <c r="A90" s="8"/>
      <c r="B90" s="757" t="str">
        <f>IF('Start Page'!$H$29="","",'Start Page'!$H$29)</f>
        <v/>
      </c>
      <c r="C90" s="777"/>
      <c r="D90" s="778"/>
      <c r="E90" s="778"/>
      <c r="F90" s="778"/>
      <c r="G90" s="501"/>
      <c r="H90" s="779"/>
      <c r="I90" s="501"/>
      <c r="J90" s="751" t="s">
        <v>922</v>
      </c>
      <c r="Y90" s="325" t="str">
        <f>'Data 2012'!$S$6</f>
        <v>LVVWD</v>
      </c>
      <c r="Z90" s="325">
        <f>'Data 2012'!$S$51</f>
        <v>5522565.9900000002</v>
      </c>
      <c r="AA90" s="327">
        <f t="shared" si="15"/>
        <v>5522565.9900000002</v>
      </c>
    </row>
    <row r="91" spans="1:27" hidden="1">
      <c r="A91" s="47"/>
      <c r="B91" s="47"/>
      <c r="C91" s="79"/>
      <c r="D91" s="80"/>
      <c r="E91" s="80"/>
      <c r="F91" s="80"/>
      <c r="G91" s="47"/>
      <c r="H91" s="47"/>
      <c r="I91" s="47"/>
      <c r="J91" s="47"/>
      <c r="Y91" s="325" t="str">
        <f>'Data 2012'!$T$6</f>
        <v>LWCKY</v>
      </c>
      <c r="Z91" s="325">
        <f>'Data 2012'!$T$51</f>
        <v>5986632.9400000004</v>
      </c>
      <c r="AA91" s="327">
        <f t="shared" si="15"/>
        <v>5986632.9400000004</v>
      </c>
    </row>
    <row r="92" spans="1:27" hidden="1">
      <c r="A92" s="47"/>
      <c r="B92" s="47"/>
      <c r="C92" s="79"/>
      <c r="D92" s="80"/>
      <c r="E92" s="80"/>
      <c r="F92" s="80"/>
      <c r="G92" s="47"/>
      <c r="H92" s="47"/>
      <c r="I92" s="47"/>
      <c r="J92" s="47"/>
      <c r="Y92" s="325" t="str">
        <f>'Data 2012'!$U$6</f>
        <v>OCFL</v>
      </c>
      <c r="Z92" s="325">
        <f>'Data 2012'!$U$51</f>
        <v>1255600.73</v>
      </c>
      <c r="AA92" s="327">
        <f t="shared" si="15"/>
        <v>1255600.73</v>
      </c>
    </row>
    <row r="93" spans="1:27" hidden="1">
      <c r="A93" s="47"/>
      <c r="B93" s="47"/>
      <c r="C93" s="79"/>
      <c r="D93" s="80"/>
      <c r="E93" s="80"/>
      <c r="F93" s="80"/>
      <c r="G93" s="47"/>
      <c r="H93" s="47"/>
      <c r="I93" s="47"/>
      <c r="J93" s="47"/>
      <c r="Y93" s="325" t="str">
        <f>'Data 2012'!$V$6</f>
        <v>PAW</v>
      </c>
      <c r="Z93" s="325">
        <f>'Data 2012'!$V$51</f>
        <v>6046889.9100000001</v>
      </c>
      <c r="AA93" s="327">
        <f t="shared" si="15"/>
        <v>6046889.9100000001</v>
      </c>
    </row>
    <row r="94" spans="1:27" hidden="1">
      <c r="A94" s="47"/>
      <c r="B94" s="47"/>
      <c r="C94" s="79"/>
      <c r="D94" s="80"/>
      <c r="E94" s="80"/>
      <c r="F94" s="80"/>
      <c r="G94" s="47"/>
      <c r="H94" s="47"/>
      <c r="I94" s="47"/>
      <c r="J94" s="47"/>
      <c r="Y94" s="325" t="str">
        <f>'Data 2012'!$W$6</f>
        <v>PWD</v>
      </c>
      <c r="Z94" s="325">
        <f>'Data 2012'!$W$51</f>
        <v>54210000</v>
      </c>
      <c r="AA94" s="327">
        <f t="shared" si="15"/>
        <v>54210000</v>
      </c>
    </row>
    <row r="95" spans="1:27" hidden="1">
      <c r="A95" s="47"/>
      <c r="B95" s="47"/>
      <c r="C95" s="79"/>
      <c r="D95" s="80"/>
      <c r="E95" s="80"/>
      <c r="F95" s="80"/>
      <c r="G95" s="47"/>
      <c r="H95" s="47"/>
      <c r="I95" s="47"/>
      <c r="J95" s="47"/>
      <c r="Y95" s="325" t="str">
        <f>'Data 2012'!$X$6</f>
        <v>RRW</v>
      </c>
      <c r="Z95" s="325">
        <f>'Data 2012'!$X$51</f>
        <v>454613.7</v>
      </c>
      <c r="AA95" s="327">
        <f t="shared" si="15"/>
        <v>454613.7</v>
      </c>
    </row>
    <row r="96" spans="1:27" hidden="1">
      <c r="A96" s="47"/>
      <c r="B96" s="47"/>
      <c r="C96" s="79"/>
      <c r="D96" s="80"/>
      <c r="E96" s="80"/>
      <c r="F96" s="80"/>
      <c r="G96" s="47"/>
      <c r="H96" s="47"/>
      <c r="I96" s="47"/>
      <c r="J96" s="47"/>
      <c r="Y96" s="325" t="str">
        <f>'Data 2012'!$Y$6</f>
        <v>UI</v>
      </c>
      <c r="Z96" s="325">
        <f>'Data 2012'!$Y$51</f>
        <v>1030.54</v>
      </c>
      <c r="AA96" s="327">
        <f t="shared" si="15"/>
        <v>1030.54</v>
      </c>
    </row>
    <row r="97" spans="1:29" hidden="1">
      <c r="A97" s="47"/>
      <c r="B97" s="47"/>
      <c r="C97" s="79"/>
      <c r="D97" s="80"/>
      <c r="E97" s="80"/>
      <c r="F97" s="80"/>
      <c r="G97" s="47"/>
      <c r="H97" s="47"/>
      <c r="I97" s="47"/>
      <c r="J97" s="47"/>
      <c r="Y97" s="325" t="str">
        <f>'Data 2012'!$Z$6</f>
        <v>WWU</v>
      </c>
      <c r="Z97" s="325">
        <f>'Data 2012'!$Z$51</f>
        <v>158242</v>
      </c>
      <c r="AA97" s="327">
        <f t="shared" si="15"/>
        <v>158242</v>
      </c>
    </row>
    <row r="98" spans="1:29" hidden="1">
      <c r="A98" s="47"/>
      <c r="B98" s="47"/>
      <c r="C98" s="79"/>
      <c r="D98" s="80"/>
      <c r="E98" s="80"/>
      <c r="F98" s="80"/>
      <c r="G98" s="47"/>
      <c r="H98" s="47"/>
      <c r="I98" s="47"/>
      <c r="J98" s="47"/>
      <c r="Y98" s="325" t="str">
        <f>'Data 2012'!$AA$6</f>
        <v>WCSA</v>
      </c>
      <c r="Z98" s="325">
        <f>'Data 2012'!$AA$51</f>
        <v>216640.65</v>
      </c>
      <c r="AA98" s="327">
        <f t="shared" si="15"/>
        <v>216640.65</v>
      </c>
    </row>
    <row r="99" spans="1:29" hidden="1">
      <c r="A99" s="47"/>
      <c r="B99" s="47"/>
      <c r="C99" s="79"/>
      <c r="D99" s="80"/>
      <c r="E99" s="80"/>
      <c r="F99" s="80"/>
      <c r="G99" s="47"/>
      <c r="H99" s="47"/>
      <c r="I99" s="47"/>
      <c r="J99" s="47"/>
      <c r="Y99" s="325" t="str">
        <f>'Data 2012'!$AB$6</f>
        <v>WDPW</v>
      </c>
      <c r="Z99" s="325">
        <f>'Data 2012'!$AB$51</f>
        <v>3323019.47</v>
      </c>
      <c r="AA99" s="327">
        <f t="shared" si="15"/>
        <v>3323019.47</v>
      </c>
    </row>
    <row r="100" spans="1:29" hidden="1">
      <c r="A100" s="47"/>
      <c r="B100" s="47"/>
      <c r="C100" s="79"/>
      <c r="D100" s="80"/>
      <c r="E100" s="80"/>
      <c r="F100" s="80"/>
      <c r="G100" s="47"/>
      <c r="H100" s="47"/>
      <c r="I100" s="47"/>
      <c r="J100" s="47"/>
      <c r="Y100" s="325" t="str">
        <f>'Data 2012'!$AC$6</f>
        <v>WWAWC</v>
      </c>
      <c r="Z100" s="325">
        <f>'Data 2012'!$AC$51</f>
        <v>54662.82</v>
      </c>
      <c r="AA100" s="327">
        <f t="shared" si="15"/>
        <v>54662.82</v>
      </c>
    </row>
    <row r="101" spans="1:29" hidden="1">
      <c r="A101" s="47"/>
      <c r="B101" s="47"/>
      <c r="C101" s="79"/>
      <c r="D101" s="80"/>
      <c r="E101" s="80"/>
      <c r="F101" s="80"/>
      <c r="G101" s="47"/>
      <c r="H101" s="47"/>
      <c r="I101" s="47"/>
      <c r="J101" s="47"/>
      <c r="Y101" s="335" t="str">
        <f>$C$8</f>
        <v/>
      </c>
      <c r="Z101" s="323" t="str">
        <f>'AWWA-Water Balance Data Transf.'!$D$53</f>
        <v/>
      </c>
      <c r="AA101" s="323" t="str">
        <f>'AWWA-Water Balance Data Transf.'!$D$53</f>
        <v/>
      </c>
    </row>
    <row r="102" spans="1:29" ht="93" hidden="1">
      <c r="A102" s="47"/>
      <c r="B102" s="47"/>
      <c r="C102" s="79"/>
      <c r="D102" s="80"/>
      <c r="E102" s="80"/>
      <c r="F102" s="80"/>
      <c r="G102" s="47"/>
      <c r="H102" s="47"/>
      <c r="I102" s="47"/>
      <c r="J102" s="47"/>
      <c r="Y102" s="328" t="s">
        <v>721</v>
      </c>
      <c r="Z102" s="327"/>
      <c r="AA102" s="327"/>
    </row>
    <row r="103" spans="1:29" ht="31" hidden="1">
      <c r="A103" s="47"/>
      <c r="B103" s="47"/>
      <c r="C103" s="79"/>
      <c r="D103" s="80"/>
      <c r="E103" s="80"/>
      <c r="F103" s="80"/>
      <c r="G103" s="47"/>
      <c r="H103" s="47"/>
      <c r="I103" s="47"/>
      <c r="J103" s="47"/>
      <c r="Y103" s="330" t="s">
        <v>1</v>
      </c>
      <c r="Z103" s="327" t="s">
        <v>64</v>
      </c>
      <c r="AA103" s="327" t="s">
        <v>85</v>
      </c>
      <c r="AB103" s="327" t="s">
        <v>553</v>
      </c>
    </row>
    <row r="104" spans="1:29" hidden="1">
      <c r="Y104" s="325" t="str">
        <f>'Data 2012'!$D$6</f>
        <v>GCWW</v>
      </c>
      <c r="Z104" s="325">
        <f>'Data 2012'!$D$52</f>
        <v>2320966.27</v>
      </c>
      <c r="AA104" s="327">
        <f>Z104</f>
        <v>2320966.27</v>
      </c>
      <c r="AB104" s="333">
        <v>0.25</v>
      </c>
      <c r="AC104" s="325">
        <f>PERCENTILE(AA104:AA130,AB104)</f>
        <v>182073.01250000001</v>
      </c>
    </row>
    <row r="105" spans="1:29" hidden="1">
      <c r="Y105" s="325" t="str">
        <f>'Data 2012'!$E$6</f>
        <v>SMW</v>
      </c>
      <c r="Z105" s="325">
        <f>'Data 2012'!$E$52</f>
        <v>629688.84</v>
      </c>
      <c r="AA105" s="327">
        <f>Z105</f>
        <v>629688.84</v>
      </c>
      <c r="AB105" s="333">
        <v>0.5</v>
      </c>
      <c r="AC105" s="325">
        <f t="shared" ref="AC105:AC106" si="16">PERCENTILE(AA105:AA131,AB105)</f>
        <v>629688.84</v>
      </c>
    </row>
    <row r="106" spans="1:29" hidden="1">
      <c r="Y106" s="325" t="str">
        <f>'Data 2012'!$F$6</f>
        <v>ABCWUA</v>
      </c>
      <c r="Z106" s="325">
        <f>'Data 2012'!$F$52</f>
        <v>549835.67000000004</v>
      </c>
      <c r="AA106" s="327">
        <f>Z106</f>
        <v>549835.67000000004</v>
      </c>
      <c r="AB106" s="333">
        <v>0.75</v>
      </c>
      <c r="AC106" s="325">
        <f t="shared" si="16"/>
        <v>1892959.0649999999</v>
      </c>
    </row>
    <row r="107" spans="1:29" hidden="1">
      <c r="Y107" s="325" t="str">
        <f>'Data 2012'!$G$6</f>
        <v>AquaWSC</v>
      </c>
      <c r="Z107" s="325">
        <f>'Data 2012'!$G$52</f>
        <v>175014.88</v>
      </c>
      <c r="AA107" s="327">
        <f>Z107</f>
        <v>175014.88</v>
      </c>
    </row>
    <row r="108" spans="1:29" hidden="1">
      <c r="Y108" s="325" t="str">
        <f>'Data 2012'!$H$6</f>
        <v>AW</v>
      </c>
      <c r="Z108" s="325">
        <f>'Data 2012'!$H$52</f>
        <v>1429629.83</v>
      </c>
      <c r="AA108" s="327">
        <f t="shared" ref="AA108:AA129" si="17">Z108</f>
        <v>1429629.83</v>
      </c>
    </row>
    <row r="109" spans="1:29" hidden="1">
      <c r="Y109" s="325" t="str">
        <f>'Data 2012'!$I$6</f>
        <v>BUD</v>
      </c>
      <c r="Z109" s="325">
        <f>'Data 2012'!$I$52</f>
        <v>34976.019999999997</v>
      </c>
      <c r="AA109" s="327">
        <f t="shared" si="17"/>
        <v>34976.019999999997</v>
      </c>
    </row>
    <row r="110" spans="1:29" hidden="1">
      <c r="Y110" s="325" t="str">
        <f>'Data 2012'!$J$6</f>
        <v>BWWB</v>
      </c>
      <c r="Z110" s="325">
        <f>'Data 2012'!$J$52</f>
        <v>3078997.58</v>
      </c>
      <c r="AA110" s="327">
        <f t="shared" si="17"/>
        <v>3078997.58</v>
      </c>
    </row>
    <row r="111" spans="1:29" hidden="1">
      <c r="Y111" s="325" t="str">
        <f>'Data 2012'!$K$6</f>
        <v>CW</v>
      </c>
      <c r="Z111" s="325">
        <f>'Data 2012'!$K$52</f>
        <v>1000041.28</v>
      </c>
      <c r="AA111" s="327">
        <f t="shared" si="17"/>
        <v>1000041.28</v>
      </c>
    </row>
    <row r="112" spans="1:29" hidden="1">
      <c r="Y112" s="325" t="str">
        <f>'Data 2012'!$L$6</f>
        <v>CCWSA</v>
      </c>
      <c r="Z112" s="325">
        <f>'Data 2012'!$L$52</f>
        <v>145965.01999999999</v>
      </c>
      <c r="AA112" s="327">
        <f t="shared" si="17"/>
        <v>145965.01999999999</v>
      </c>
    </row>
    <row r="113" spans="25:27" hidden="1">
      <c r="Y113" s="325" t="str">
        <f>'Data 2012'!$M$6</f>
        <v>CCWS</v>
      </c>
      <c r="Z113" s="325">
        <f>'Data 2012'!$M$52</f>
        <v>2819008.8</v>
      </c>
      <c r="AA113" s="327">
        <f t="shared" si="17"/>
        <v>2819008.8</v>
      </c>
    </row>
    <row r="114" spans="25:27" hidden="1">
      <c r="Y114" s="325" t="str">
        <f>'Data 2012'!$N$6</f>
        <v>CBW</v>
      </c>
      <c r="Z114" s="325">
        <f>'Data 2012'!$N$52</f>
        <v>163921.22</v>
      </c>
      <c r="AA114" s="327">
        <f t="shared" si="17"/>
        <v>163921.22</v>
      </c>
    </row>
    <row r="115" spans="25:27" hidden="1">
      <c r="Y115" s="325" t="str">
        <f>'Data 2012'!$O$6</f>
        <v>DUTIL</v>
      </c>
      <c r="Z115" s="325">
        <f>'Data 2012'!$O$52</f>
        <v>1584275.82</v>
      </c>
      <c r="AA115" s="327">
        <f t="shared" si="17"/>
        <v>1584275.82</v>
      </c>
    </row>
    <row r="116" spans="25:27" hidden="1">
      <c r="Y116" s="325" t="str">
        <f>'Data 2012'!$P$6</f>
        <v>DCWATER</v>
      </c>
      <c r="Z116" s="325">
        <f>'Data 2012'!$P$52</f>
        <v>4226872</v>
      </c>
      <c r="AA116" s="327">
        <f t="shared" si="17"/>
        <v>4226872</v>
      </c>
    </row>
    <row r="117" spans="25:27" hidden="1">
      <c r="Y117" s="325" t="str">
        <f>'Data 2012'!$Q$6</f>
        <v>HRWC</v>
      </c>
      <c r="Z117" s="325">
        <f>'Data 2012'!$Q$52</f>
        <v>361617.71</v>
      </c>
      <c r="AA117" s="327">
        <f t="shared" si="17"/>
        <v>361617.71</v>
      </c>
    </row>
    <row r="118" spans="25:27" hidden="1">
      <c r="Y118" s="325" t="str">
        <f>'Data 2012'!$R$6</f>
        <v>JCW1</v>
      </c>
      <c r="Z118" s="325">
        <f>'Data 2012'!$R$52</f>
        <v>966285.98</v>
      </c>
      <c r="AA118" s="327">
        <f t="shared" si="17"/>
        <v>966285.98</v>
      </c>
    </row>
    <row r="119" spans="25:27" hidden="1">
      <c r="Y119" s="325" t="str">
        <f>'Data 2012'!$S$6</f>
        <v>LVVWD</v>
      </c>
      <c r="Z119" s="325">
        <f>'Data 2012'!$S$52</f>
        <v>3328416.88</v>
      </c>
      <c r="AA119" s="327">
        <f t="shared" si="17"/>
        <v>3328416.88</v>
      </c>
    </row>
    <row r="120" spans="25:27" hidden="1">
      <c r="Y120" s="325" t="str">
        <f>'Data 2012'!$T$6</f>
        <v>LWCKY</v>
      </c>
      <c r="Z120" s="325">
        <f>'Data 2012'!$T$52</f>
        <v>850824.65</v>
      </c>
      <c r="AA120" s="327">
        <f t="shared" si="17"/>
        <v>850824.65</v>
      </c>
    </row>
    <row r="121" spans="25:27" hidden="1">
      <c r="Y121" s="325" t="str">
        <f>'Data 2012'!$U$6</f>
        <v>OCFL</v>
      </c>
      <c r="Z121" s="325">
        <f>'Data 2012'!$U$52</f>
        <v>162863.82999999999</v>
      </c>
      <c r="AA121" s="327">
        <f t="shared" si="17"/>
        <v>162863.82999999999</v>
      </c>
    </row>
    <row r="122" spans="25:27" hidden="1">
      <c r="Y122" s="325" t="str">
        <f>'Data 2012'!$V$6</f>
        <v>PAW</v>
      </c>
      <c r="Z122" s="325">
        <f>'Data 2012'!$V$52</f>
        <v>3199885.79</v>
      </c>
      <c r="AA122" s="327">
        <f t="shared" si="17"/>
        <v>3199885.79</v>
      </c>
    </row>
    <row r="123" spans="25:27" hidden="1">
      <c r="Y123" s="325" t="str">
        <f>'Data 2012'!$W$6</f>
        <v>PWD</v>
      </c>
      <c r="Z123" s="325">
        <f>'Data 2012'!$W$52</f>
        <v>6628223.0999999996</v>
      </c>
      <c r="AA123" s="327">
        <f t="shared" si="17"/>
        <v>6628223.0999999996</v>
      </c>
    </row>
    <row r="124" spans="25:27" hidden="1">
      <c r="Y124" s="325" t="str">
        <f>'Data 2012'!$X$6</f>
        <v>RRW</v>
      </c>
      <c r="Z124" s="325">
        <f>'Data 2012'!$X$52</f>
        <v>203247.41</v>
      </c>
      <c r="AA124" s="327">
        <f t="shared" si="17"/>
        <v>203247.41</v>
      </c>
    </row>
    <row r="125" spans="25:27" hidden="1">
      <c r="Y125" s="325" t="str">
        <f>'Data 2012'!$Y$6</f>
        <v>UI</v>
      </c>
      <c r="Z125" s="325">
        <f>'Data 2012'!$Y$52</f>
        <v>212.84</v>
      </c>
      <c r="AA125" s="327">
        <f t="shared" si="17"/>
        <v>212.84</v>
      </c>
    </row>
    <row r="126" spans="25:27" hidden="1">
      <c r="Y126" s="325" t="str">
        <f>'Data 2012'!$Z$6</f>
        <v>WWU</v>
      </c>
      <c r="Z126" s="325">
        <f>'Data 2012'!$Z$52</f>
        <v>216332.77</v>
      </c>
      <c r="AA126" s="327">
        <f t="shared" si="17"/>
        <v>216332.77</v>
      </c>
    </row>
    <row r="127" spans="25:27" hidden="1">
      <c r="Y127" s="325" t="str">
        <f>'Data 2012'!$AA$6</f>
        <v>WCSA</v>
      </c>
      <c r="Z127" s="325">
        <f>'Data 2012'!$AA$52</f>
        <v>880047.57</v>
      </c>
      <c r="AA127" s="327">
        <f t="shared" si="17"/>
        <v>880047.57</v>
      </c>
    </row>
    <row r="128" spans="25:27" hidden="1">
      <c r="Y128" s="325" t="str">
        <f>'Data 2012'!$AB$6</f>
        <v>WDPW</v>
      </c>
      <c r="Z128" s="325">
        <f>'Data 2012'!$AB$52</f>
        <v>609208.59</v>
      </c>
      <c r="AA128" s="327">
        <f t="shared" si="17"/>
        <v>609208.59</v>
      </c>
    </row>
    <row r="129" spans="25:29" hidden="1">
      <c r="Y129" s="325" t="str">
        <f>'Data 2012'!$AC$6</f>
        <v>WWAWC</v>
      </c>
      <c r="Z129" s="325">
        <f>'Data 2012'!$AC$52</f>
        <v>152350.04999999999</v>
      </c>
      <c r="AA129" s="327">
        <f t="shared" si="17"/>
        <v>152350.04999999999</v>
      </c>
    </row>
    <row r="130" spans="25:29" hidden="1">
      <c r="Y130" s="335" t="str">
        <f>$C$8</f>
        <v/>
      </c>
      <c r="Z130" s="323" t="str">
        <f>'AWWA-Water Balance Data Transf.'!$D$54</f>
        <v/>
      </c>
      <c r="AA130" s="323" t="str">
        <f>'AWWA-Water Balance Data Transf.'!$D$54</f>
        <v/>
      </c>
    </row>
    <row r="131" spans="25:29" hidden="1"/>
    <row r="132" spans="25:29" ht="139.5" hidden="1">
      <c r="Y132" s="328" t="str">
        <f>IF('Start Page'!$Y$36=2,"Performance Indicator: Apparent Losses per Service Connection per Day [litres/service con./day]","Performance Indicator: Apparent Losses per Service Connection per Day [gal/service con./day]")</f>
        <v>Performance Indicator: Apparent Losses per Service Connection per Day [gal/service con./day]</v>
      </c>
      <c r="Z132" s="327"/>
      <c r="AA132" s="327"/>
    </row>
    <row r="133" spans="25:29" ht="31" hidden="1">
      <c r="Y133" s="330" t="s">
        <v>1</v>
      </c>
      <c r="Z133" s="327" t="s">
        <v>64</v>
      </c>
      <c r="AA133" s="327" t="s">
        <v>85</v>
      </c>
      <c r="AB133" s="327" t="s">
        <v>553</v>
      </c>
    </row>
    <row r="134" spans="25:29" hidden="1">
      <c r="Y134" s="325" t="str">
        <f>'Data 2012'!$D$6</f>
        <v>GCWW</v>
      </c>
      <c r="Z134" s="325">
        <f>'Data 2012'!$D$53</f>
        <v>19.013006972268485</v>
      </c>
      <c r="AA134" s="327">
        <f>IF('Start Page'!$Y$36=2,Z134*VLOOKUP('Start Page'!$Y$36,'Unit Conversion Sheet'!$A$43:$C$45,3),Z134)</f>
        <v>19.013006972268485</v>
      </c>
      <c r="AB134" s="333">
        <v>0.25</v>
      </c>
      <c r="AC134" s="325">
        <f>PERCENTILE(AA134:AA160,AB134)</f>
        <v>6.5526417649492981</v>
      </c>
    </row>
    <row r="135" spans="25:29" hidden="1">
      <c r="Y135" s="325" t="str">
        <f>'Data 2012'!$E$6</f>
        <v>SMW</v>
      </c>
      <c r="Z135" s="325">
        <f>'Data 2012'!$E$53</f>
        <v>13.708557504429798</v>
      </c>
      <c r="AA135" s="327">
        <f>IF('Start Page'!$Y$36=2,Z135*VLOOKUP('Start Page'!$Y$36,'Unit Conversion Sheet'!$A$43:$C$45,3),Z135)</f>
        <v>13.708557504429798</v>
      </c>
      <c r="AB135" s="333">
        <v>0.5</v>
      </c>
      <c r="AC135" s="325">
        <f t="shared" ref="AC135:AC136" si="18">PERCENTILE(AA135:AA161,AB135)</f>
        <v>10.25712984199604</v>
      </c>
    </row>
    <row r="136" spans="25:29" hidden="1">
      <c r="Y136" s="325" t="str">
        <f>'Data 2012'!$F$6</f>
        <v>ABCWUA</v>
      </c>
      <c r="Z136" s="325">
        <f>'Data 2012'!$F$53</f>
        <v>12.484608145078179</v>
      </c>
      <c r="AA136" s="327">
        <f>IF('Start Page'!$Y$36=2,Z136*VLOOKUP('Start Page'!$Y$36,'Unit Conversion Sheet'!$A$43:$C$45,3),Z136)</f>
        <v>12.484608145078179</v>
      </c>
      <c r="AB136" s="333">
        <v>0.75</v>
      </c>
      <c r="AC136" s="325">
        <f t="shared" si="18"/>
        <v>13.452741068917188</v>
      </c>
    </row>
    <row r="137" spans="25:29" hidden="1">
      <c r="Y137" s="325" t="str">
        <f>'Data 2012'!$G$6</f>
        <v>AquaWSC</v>
      </c>
      <c r="Z137" s="325">
        <f>'Data 2012'!$G$53</f>
        <v>7.9380712164277654</v>
      </c>
      <c r="AA137" s="327">
        <f>IF('Start Page'!$Y$36=2,Z137*VLOOKUP('Start Page'!$Y$36,'Unit Conversion Sheet'!$A$43:$C$45,3),Z137)</f>
        <v>7.9380712164277654</v>
      </c>
    </row>
    <row r="138" spans="25:29" hidden="1">
      <c r="Y138" s="325" t="str">
        <f>'Data 2012'!$H$6</f>
        <v>AW</v>
      </c>
      <c r="Z138" s="325">
        <f>'Data 2012'!$H$53</f>
        <v>13.742793603127614</v>
      </c>
      <c r="AA138" s="327">
        <f>IF('Start Page'!$Y$36=2,Z138*VLOOKUP('Start Page'!$Y$36,'Unit Conversion Sheet'!$A$43:$C$45,3),Z138)</f>
        <v>13.742793603127614</v>
      </c>
    </row>
    <row r="139" spans="25:29" hidden="1">
      <c r="Y139" s="325" t="str">
        <f>'Data 2012'!$I$6</f>
        <v>BUD</v>
      </c>
      <c r="Z139" s="325">
        <f>'Data 2012'!$I$53</f>
        <v>13.356056890847045</v>
      </c>
      <c r="AA139" s="327">
        <f>IF('Start Page'!$Y$36=2,Z139*VLOOKUP('Start Page'!$Y$36,'Unit Conversion Sheet'!$A$43:$C$45,3),Z139)</f>
        <v>13.356056890847045</v>
      </c>
    </row>
    <row r="140" spans="25:29" hidden="1">
      <c r="Y140" s="325" t="str">
        <f>'Data 2012'!$J$6</f>
        <v>BWWB</v>
      </c>
      <c r="Z140" s="325">
        <f>'Data 2012'!$J$53</f>
        <v>10.938176623343995</v>
      </c>
      <c r="AA140" s="327">
        <f>IF('Start Page'!$Y$36=2,Z140*VLOOKUP('Start Page'!$Y$36,'Unit Conversion Sheet'!$A$43:$C$45,3),Z140)</f>
        <v>10.938176623343995</v>
      </c>
    </row>
    <row r="141" spans="25:29" hidden="1">
      <c r="Y141" s="325" t="str">
        <f>'Data 2012'!$K$6</f>
        <v>CW</v>
      </c>
      <c r="Z141" s="325">
        <f>'Data 2012'!$K$53</f>
        <v>7.9761685398153999</v>
      </c>
      <c r="AA141" s="327">
        <f>IF('Start Page'!$Y$36=2,Z141*VLOOKUP('Start Page'!$Y$36,'Unit Conversion Sheet'!$A$43:$C$45,3),Z141)</f>
        <v>7.9761685398153999</v>
      </c>
    </row>
    <row r="142" spans="25:29" hidden="1">
      <c r="Y142" s="325" t="str">
        <f>'Data 2012'!$L$6</f>
        <v>CCWSA</v>
      </c>
      <c r="Z142" s="325">
        <f>'Data 2012'!$L$53</f>
        <v>5.9377429570525573</v>
      </c>
      <c r="AA142" s="327">
        <f>IF('Start Page'!$Y$36=2,Z142*VLOOKUP('Start Page'!$Y$36,'Unit Conversion Sheet'!$A$43:$C$45,3),Z142)</f>
        <v>5.9377429570525573</v>
      </c>
    </row>
    <row r="143" spans="25:29" hidden="1">
      <c r="Y143" s="325" t="str">
        <f>'Data 2012'!$M$6</f>
        <v>CCWS</v>
      </c>
      <c r="Z143" s="325">
        <f>'Data 2012'!$M$53</f>
        <v>5.2853077115783744</v>
      </c>
      <c r="AA143" s="327">
        <f>IF('Start Page'!$Y$36=2,Z143*VLOOKUP('Start Page'!$Y$36,'Unit Conversion Sheet'!$A$43:$C$45,3),Z143)</f>
        <v>5.2853077115783744</v>
      </c>
    </row>
    <row r="144" spans="25:29" hidden="1">
      <c r="Y144" s="325" t="str">
        <f>'Data 2012'!$N$6</f>
        <v>CBW</v>
      </c>
      <c r="Z144" s="325">
        <f>'Data 2012'!$N$53</f>
        <v>1.2415971904463314</v>
      </c>
      <c r="AA144" s="327">
        <f>IF('Start Page'!$Y$36=2,Z144*VLOOKUP('Start Page'!$Y$36,'Unit Conversion Sheet'!$A$43:$C$45,3),Z144)</f>
        <v>1.2415971904463314</v>
      </c>
    </row>
    <row r="145" spans="25:27" hidden="1">
      <c r="Y145" s="325" t="str">
        <f>'Data 2012'!$O$6</f>
        <v>DUTIL</v>
      </c>
      <c r="Z145" s="325">
        <f>'Data 2012'!$O$53</f>
        <v>18.429022346990074</v>
      </c>
      <c r="AA145" s="327">
        <f>IF('Start Page'!$Y$36=2,Z145*VLOOKUP('Start Page'!$Y$36,'Unit Conversion Sheet'!$A$43:$C$45,3),Z145)</f>
        <v>18.429022346990074</v>
      </c>
    </row>
    <row r="146" spans="25:27" hidden="1">
      <c r="Y146" s="325" t="str">
        <f>'Data 2012'!$P$6</f>
        <v>DCWATER</v>
      </c>
      <c r="Z146" s="325">
        <f>'Data 2012'!$P$53</f>
        <v>48.89230927094556</v>
      </c>
      <c r="AA146" s="327">
        <f>IF('Start Page'!$Y$36=2,Z146*VLOOKUP('Start Page'!$Y$36,'Unit Conversion Sheet'!$A$43:$C$45,3),Z146)</f>
        <v>48.89230927094556</v>
      </c>
    </row>
    <row r="147" spans="25:27" hidden="1">
      <c r="Y147" s="325" t="str">
        <f>'Data 2012'!$Q$6</f>
        <v>HRWC</v>
      </c>
      <c r="Z147" s="325">
        <f>'Data 2012'!$Q$53</f>
        <v>5.2402169917716819</v>
      </c>
      <c r="AA147" s="327">
        <f>IF('Start Page'!$Y$36=2,Z147*VLOOKUP('Start Page'!$Y$36,'Unit Conversion Sheet'!$A$43:$C$45,3),Z147)</f>
        <v>5.2402169917716819</v>
      </c>
    </row>
    <row r="148" spans="25:27" hidden="1">
      <c r="Y148" s="325" t="str">
        <f>'Data 2012'!$R$6</f>
        <v>JCW1</v>
      </c>
      <c r="Z148" s="325">
        <f>'Data 2012'!$R$53</f>
        <v>10.25712984199604</v>
      </c>
      <c r="AA148" s="327">
        <f>IF('Start Page'!$Y$36=2,Z148*VLOOKUP('Start Page'!$Y$36,'Unit Conversion Sheet'!$A$43:$C$45,3),Z148)</f>
        <v>10.25712984199604</v>
      </c>
    </row>
    <row r="149" spans="25:27" hidden="1">
      <c r="Y149" s="325" t="str">
        <f>'Data 2012'!$S$6</f>
        <v>LVVWD</v>
      </c>
      <c r="Z149" s="325">
        <f>'Data 2012'!$S$53</f>
        <v>11.01641256699587</v>
      </c>
      <c r="AA149" s="327">
        <f>IF('Start Page'!$Y$36=2,Z149*VLOOKUP('Start Page'!$Y$36,'Unit Conversion Sheet'!$A$43:$C$45,3),Z149)</f>
        <v>11.01641256699587</v>
      </c>
    </row>
    <row r="150" spans="25:27" hidden="1">
      <c r="Y150" s="325" t="str">
        <f>'Data 2012'!$T$6</f>
        <v>LWCKY</v>
      </c>
      <c r="Z150" s="325">
        <f>'Data 2012'!$T$53</f>
        <v>19.595045350556024</v>
      </c>
      <c r="AA150" s="327">
        <f>IF('Start Page'!$Y$36=2,Z150*VLOOKUP('Start Page'!$Y$36,'Unit Conversion Sheet'!$A$43:$C$45,3),Z150)</f>
        <v>19.595045350556024</v>
      </c>
    </row>
    <row r="151" spans="25:27" hidden="1">
      <c r="Y151" s="325" t="str">
        <f>'Data 2012'!$U$6</f>
        <v>OCFL</v>
      </c>
      <c r="Z151" s="325">
        <f>'Data 2012'!$U$53</f>
        <v>7.6630773319872096</v>
      </c>
      <c r="AA151" s="327">
        <f>IF('Start Page'!$Y$36=2,Z151*VLOOKUP('Start Page'!$Y$36,'Unit Conversion Sheet'!$A$43:$C$45,3),Z151)</f>
        <v>7.6630773319872096</v>
      </c>
    </row>
    <row r="152" spans="25:27" hidden="1">
      <c r="Y152" s="325" t="str">
        <f>'Data 2012'!$V$6</f>
        <v>PAW</v>
      </c>
      <c r="Z152" s="325">
        <f>'Data 2012'!$V$53</f>
        <v>7.4761709025543572</v>
      </c>
      <c r="AA152" s="327">
        <f>IF('Start Page'!$Y$36=2,Z152*VLOOKUP('Start Page'!$Y$36,'Unit Conversion Sheet'!$A$43:$C$45,3),Z152)</f>
        <v>7.4761709025543572</v>
      </c>
    </row>
    <row r="153" spans="25:27" hidden="1">
      <c r="Y153" s="325" t="str">
        <f>'Data 2012'!$W$6</f>
        <v>PWD</v>
      </c>
      <c r="Z153" s="325">
        <f>'Data 2012'!$W$53</f>
        <v>43.571221667832702</v>
      </c>
      <c r="AA153" s="327">
        <f>IF('Start Page'!$Y$36=2,Z153*VLOOKUP('Start Page'!$Y$36,'Unit Conversion Sheet'!$A$43:$C$45,3),Z153)</f>
        <v>43.571221667832702</v>
      </c>
    </row>
    <row r="154" spans="25:27" hidden="1">
      <c r="Y154" s="325" t="str">
        <f>'Data 2012'!$X$6</f>
        <v>RRW</v>
      </c>
      <c r="Z154" s="325">
        <f>'Data 2012'!$X$53</f>
        <v>12.193660908992545</v>
      </c>
      <c r="AA154" s="327">
        <f>IF('Start Page'!$Y$36=2,Z154*VLOOKUP('Start Page'!$Y$36,'Unit Conversion Sheet'!$A$43:$C$45,3),Z154)</f>
        <v>12.193660908992545</v>
      </c>
    </row>
    <row r="155" spans="25:27" hidden="1">
      <c r="Y155" s="325" t="str">
        <f>'Data 2012'!$Y$6</f>
        <v>UI</v>
      </c>
      <c r="Z155" s="325">
        <f>'Data 2012'!$Y$53</f>
        <v>3.7914817133060041</v>
      </c>
      <c r="AA155" s="327">
        <f>IF('Start Page'!$Y$36=2,Z155*VLOOKUP('Start Page'!$Y$36,'Unit Conversion Sheet'!$A$43:$C$45,3),Z155)</f>
        <v>3.7914817133060041</v>
      </c>
    </row>
    <row r="156" spans="25:27" hidden="1">
      <c r="Y156" s="325" t="str">
        <f>'Data 2012'!$Z$6</f>
        <v>WWU</v>
      </c>
      <c r="Z156" s="325">
        <f>'Data 2012'!$Z$53</f>
        <v>8.4709479019181906</v>
      </c>
      <c r="AA156" s="327">
        <f>IF('Start Page'!$Y$36=2,Z156*VLOOKUP('Start Page'!$Y$36,'Unit Conversion Sheet'!$A$43:$C$45,3),Z156)</f>
        <v>8.4709479019181906</v>
      </c>
    </row>
    <row r="157" spans="25:27" hidden="1">
      <c r="Y157" s="325" t="str">
        <f>'Data 2012'!$AA$6</f>
        <v>WCSA</v>
      </c>
      <c r="Z157" s="325">
        <f>'Data 2012'!$AA$53</f>
        <v>6.2447987190809444</v>
      </c>
      <c r="AA157" s="327">
        <f>IF('Start Page'!$Y$36=2,Z157*VLOOKUP('Start Page'!$Y$36,'Unit Conversion Sheet'!$A$43:$C$45,3),Z157)</f>
        <v>6.2447987190809444</v>
      </c>
    </row>
    <row r="158" spans="25:27" hidden="1">
      <c r="Y158" s="325" t="str">
        <f>'Data 2012'!$AB$6</f>
        <v>WDPW</v>
      </c>
      <c r="Z158" s="325">
        <f>'Data 2012'!$AB$53</f>
        <v>57.674596939769806</v>
      </c>
      <c r="AA158" s="327">
        <f>IF('Start Page'!$Y$36=2,Z158*VLOOKUP('Start Page'!$Y$36,'Unit Conversion Sheet'!$A$43:$C$45,3),Z158)</f>
        <v>57.674596939769806</v>
      </c>
    </row>
    <row r="159" spans="25:27" hidden="1">
      <c r="Y159" s="325" t="str">
        <f>'Data 2012'!$AC$6</f>
        <v>WWAWC</v>
      </c>
      <c r="Z159" s="325">
        <f>'Data 2012'!$AC$53</f>
        <v>2.5526723112872132</v>
      </c>
      <c r="AA159" s="327">
        <f>IF('Start Page'!$Y$36=2,Z159*VLOOKUP('Start Page'!$Y$36,'Unit Conversion Sheet'!$A$43:$C$45,3),Z159)</f>
        <v>2.5526723112872132</v>
      </c>
    </row>
    <row r="160" spans="25:27" hidden="1">
      <c r="Y160" s="335" t="str">
        <f>$C$8</f>
        <v/>
      </c>
      <c r="Z160" s="323" t="str">
        <f>'AWWA-Water Balance Data Transf.'!$D$57</f>
        <v/>
      </c>
      <c r="AA160" s="323" t="str">
        <f>'AWWA-Water Balance Data Transf.'!$D$57</f>
        <v/>
      </c>
    </row>
    <row r="161" spans="25:29" hidden="1"/>
    <row r="162" spans="25:29" ht="139.5" hidden="1">
      <c r="Y162" s="328" t="str">
        <f>IF('Start Page'!$Y$36=2,"Performance Indicator: Real Losses per Service Connection per Day [litres/service con./day]","Performance Indicator: Real Losses per Service Connection per Day [gal/service con./day]")</f>
        <v>Performance Indicator: Real Losses per Service Connection per Day [gal/service con./day]</v>
      </c>
      <c r="Z162" s="327"/>
      <c r="AA162" s="327"/>
    </row>
    <row r="163" spans="25:29" ht="31" hidden="1">
      <c r="Y163" s="330" t="s">
        <v>1</v>
      </c>
      <c r="Z163" s="327" t="s">
        <v>64</v>
      </c>
      <c r="AA163" s="327" t="s">
        <v>85</v>
      </c>
      <c r="AB163" s="327" t="s">
        <v>553</v>
      </c>
    </row>
    <row r="164" spans="25:29" hidden="1">
      <c r="Y164" s="325" t="str">
        <f>'Data 2012'!$D$6</f>
        <v>GCWW</v>
      </c>
      <c r="Z164" s="325">
        <f>'Data 2012'!$D$54</f>
        <v>57.373271994254438</v>
      </c>
      <c r="AA164" s="327">
        <f>IF(ISERROR(IF('Start Page'!$Y$36=2,Z164*VLOOKUP('Start Page'!$Y$36,'Unit Conversion Sheet'!$A$43:$C$45,3),Z164)),"",IF('Start Page'!$Y$36=2,Z164*VLOOKUP('Start Page'!$Y$36,'Unit Conversion Sheet'!$A$43:$C$45,3),Z164))</f>
        <v>57.373271994254438</v>
      </c>
      <c r="AB164" s="333">
        <v>0.25</v>
      </c>
      <c r="AC164" s="325">
        <f>PERCENTILE(AA164:AA190,AB164)</f>
        <v>27.521738163899421</v>
      </c>
    </row>
    <row r="165" spans="25:29" hidden="1">
      <c r="Y165" s="325" t="str">
        <f>'Data 2012'!$E$6</f>
        <v>SMW</v>
      </c>
      <c r="Z165" s="325">
        <f>'Data 2012'!$E$54</f>
        <v>42.450580707369731</v>
      </c>
      <c r="AA165" s="327">
        <f>IF(ISERROR(IF('Start Page'!$Y$36=2,Z165*VLOOKUP('Start Page'!$Y$36,'Unit Conversion Sheet'!$A$43:$C$45,3),Z165)),"",IF('Start Page'!$Y$36=2,Z165*VLOOKUP('Start Page'!$Y$36,'Unit Conversion Sheet'!$A$43:$C$45,3),Z165))</f>
        <v>42.450580707369731</v>
      </c>
      <c r="AB165" s="333">
        <v>0.5</v>
      </c>
      <c r="AC165" s="325">
        <f t="shared" ref="AC165:AC166" si="19">PERCENTILE(AA165:AA191,AB165)</f>
        <v>42.319342992157402</v>
      </c>
    </row>
    <row r="166" spans="25:29" hidden="1">
      <c r="Y166" s="325" t="str">
        <f>'Data 2012'!$F$6</f>
        <v>ABCWUA</v>
      </c>
      <c r="Z166" s="325">
        <f>'Data 2012'!$F$54</f>
        <v>24.054657480901277</v>
      </c>
      <c r="AA166" s="327">
        <f>IF(ISERROR(IF('Start Page'!$Y$36=2,Z166*VLOOKUP('Start Page'!$Y$36,'Unit Conversion Sheet'!$A$43:$C$45,3),Z166)),"",IF('Start Page'!$Y$36=2,Z166*VLOOKUP('Start Page'!$Y$36,'Unit Conversion Sheet'!$A$43:$C$45,3),Z166))</f>
        <v>24.054657480901277</v>
      </c>
      <c r="AB166" s="333">
        <v>0.75</v>
      </c>
      <c r="AC166" s="325">
        <f t="shared" si="19"/>
        <v>99.452214740962191</v>
      </c>
    </row>
    <row r="167" spans="25:29" hidden="1">
      <c r="Y167" s="325" t="str">
        <f>'Data 2012'!$G$6</f>
        <v>AquaWSC</v>
      </c>
      <c r="Z167" s="325" t="str">
        <f>'Data 2012'!$G$54</f>
        <v>N/A</v>
      </c>
      <c r="AA167" s="327" t="str">
        <f>IF(ISERROR(IF('Start Page'!$Y$36=2,Z167*VLOOKUP('Start Page'!$Y$36,'Unit Conversion Sheet'!$A$43:$C$45,3),Z167)),"",IF('Start Page'!$Y$36=2,Z167*VLOOKUP('Start Page'!$Y$36,'Unit Conversion Sheet'!$A$43:$C$45,3),Z167))</f>
        <v>N/A</v>
      </c>
    </row>
    <row r="168" spans="25:29" hidden="1">
      <c r="Y168" s="325" t="str">
        <f>'Data 2012'!$H$6</f>
        <v>AW</v>
      </c>
      <c r="Z168" s="325">
        <f>'Data 2012'!$H$54</f>
        <v>56.041441216634951</v>
      </c>
      <c r="AA168" s="327">
        <f>IF(ISERROR(IF('Start Page'!$Y$36=2,Z168*VLOOKUP('Start Page'!$Y$36,'Unit Conversion Sheet'!$A$43:$C$45,3),Z168)),"",IF('Start Page'!$Y$36=2,Z168*VLOOKUP('Start Page'!$Y$36,'Unit Conversion Sheet'!$A$43:$C$45,3),Z168))</f>
        <v>56.041441216634951</v>
      </c>
    </row>
    <row r="169" spans="25:29" hidden="1">
      <c r="Y169" s="325" t="str">
        <f>'Data 2012'!$I$6</f>
        <v>BUD</v>
      </c>
      <c r="Z169" s="325">
        <f>'Data 2012'!$I$54</f>
        <v>76.786317949115869</v>
      </c>
      <c r="AA169" s="327">
        <f>IF(ISERROR(IF('Start Page'!$Y$36=2,Z169*VLOOKUP('Start Page'!$Y$36,'Unit Conversion Sheet'!$A$43:$C$45,3),Z169)),"",IF('Start Page'!$Y$36=2,Z169*VLOOKUP('Start Page'!$Y$36,'Unit Conversion Sheet'!$A$43:$C$45,3),Z169))</f>
        <v>76.786317949115869</v>
      </c>
    </row>
    <row r="170" spans="25:29" hidden="1">
      <c r="Y170" s="325" t="str">
        <f>'Data 2012'!$J$6</f>
        <v>BWWB</v>
      </c>
      <c r="Z170" s="325">
        <f>'Data 2012'!$J$54</f>
        <v>109.38926119198554</v>
      </c>
      <c r="AA170" s="327">
        <f>IF(ISERROR(IF('Start Page'!$Y$36=2,Z170*VLOOKUP('Start Page'!$Y$36,'Unit Conversion Sheet'!$A$43:$C$45,3),Z170)),"",IF('Start Page'!$Y$36=2,Z170*VLOOKUP('Start Page'!$Y$36,'Unit Conversion Sheet'!$A$43:$C$45,3),Z170))</f>
        <v>109.38926119198554</v>
      </c>
    </row>
    <row r="171" spans="25:29" hidden="1">
      <c r="Y171" s="325" t="str">
        <f>'Data 2012'!$K$6</f>
        <v>CW</v>
      </c>
      <c r="Z171" s="325">
        <f>'Data 2012'!$K$54</f>
        <v>39.9632374327105</v>
      </c>
      <c r="AA171" s="327">
        <f>IF(ISERROR(IF('Start Page'!$Y$36=2,Z171*VLOOKUP('Start Page'!$Y$36,'Unit Conversion Sheet'!$A$43:$C$45,3),Z171)),"",IF('Start Page'!$Y$36=2,Z171*VLOOKUP('Start Page'!$Y$36,'Unit Conversion Sheet'!$A$43:$C$45,3),Z171))</f>
        <v>39.9632374327105</v>
      </c>
    </row>
    <row r="172" spans="25:29" hidden="1">
      <c r="Y172" s="325" t="str">
        <f>'Data 2012'!$L$6</f>
        <v>CCWSA</v>
      </c>
      <c r="Z172" s="325">
        <f>'Data 2012'!$L$54</f>
        <v>20.255208745248876</v>
      </c>
      <c r="AA172" s="327">
        <f>IF(ISERROR(IF('Start Page'!$Y$36=2,Z172*VLOOKUP('Start Page'!$Y$36,'Unit Conversion Sheet'!$A$43:$C$45,3),Z172)),"",IF('Start Page'!$Y$36=2,Z172*VLOOKUP('Start Page'!$Y$36,'Unit Conversion Sheet'!$A$43:$C$45,3),Z172))</f>
        <v>20.255208745248876</v>
      </c>
    </row>
    <row r="173" spans="25:29" hidden="1">
      <c r="Y173" s="325" t="str">
        <f>'Data 2012'!$M$6</f>
        <v>CCWS</v>
      </c>
      <c r="Z173" s="325">
        <f>'Data 2012'!$M$54</f>
        <v>20.163213855173197</v>
      </c>
      <c r="AA173" s="327">
        <f>IF(ISERROR(IF('Start Page'!$Y$36=2,Z173*VLOOKUP('Start Page'!$Y$36,'Unit Conversion Sheet'!$A$43:$C$45,3),Z173)),"",IF('Start Page'!$Y$36=2,Z173*VLOOKUP('Start Page'!$Y$36,'Unit Conversion Sheet'!$A$43:$C$45,3),Z173))</f>
        <v>20.163213855173197</v>
      </c>
    </row>
    <row r="174" spans="25:29" hidden="1">
      <c r="Y174" s="325" t="str">
        <f>'Data 2012'!$N$6</f>
        <v>CBW</v>
      </c>
      <c r="Z174" s="325">
        <f>'Data 2012'!$N$54</f>
        <v>110.72069746158603</v>
      </c>
      <c r="AA174" s="327">
        <f>IF(ISERROR(IF('Start Page'!$Y$36=2,Z174*VLOOKUP('Start Page'!$Y$36,'Unit Conversion Sheet'!$A$43:$C$45,3),Z174)),"",IF('Start Page'!$Y$36=2,Z174*VLOOKUP('Start Page'!$Y$36,'Unit Conversion Sheet'!$A$43:$C$45,3),Z174))</f>
        <v>110.72069746158603</v>
      </c>
    </row>
    <row r="175" spans="25:29" hidden="1">
      <c r="Y175" s="325" t="str">
        <f>'Data 2012'!$O$6</f>
        <v>DUTIL</v>
      </c>
      <c r="Z175" s="325">
        <f>'Data 2012'!$O$54</f>
        <v>48.267091373949185</v>
      </c>
      <c r="AA175" s="327">
        <f>IF(ISERROR(IF('Start Page'!$Y$36=2,Z175*VLOOKUP('Start Page'!$Y$36,'Unit Conversion Sheet'!$A$43:$C$45,3),Z175)),"",IF('Start Page'!$Y$36=2,Z175*VLOOKUP('Start Page'!$Y$36,'Unit Conversion Sheet'!$A$43:$C$45,3),Z175))</f>
        <v>48.267091373949185</v>
      </c>
    </row>
    <row r="176" spans="25:29" hidden="1">
      <c r="Y176" s="325" t="str">
        <f>'Data 2012'!$P$6</f>
        <v>DCWATER</v>
      </c>
      <c r="Z176" s="325">
        <f>'Data 2012'!$P$54</f>
        <v>111.78492637627615</v>
      </c>
      <c r="AA176" s="327">
        <f>IF(ISERROR(IF('Start Page'!$Y$36=2,Z176*VLOOKUP('Start Page'!$Y$36,'Unit Conversion Sheet'!$A$43:$C$45,3),Z176)),"",IF('Start Page'!$Y$36=2,Z176*VLOOKUP('Start Page'!$Y$36,'Unit Conversion Sheet'!$A$43:$C$45,3),Z176))</f>
        <v>111.78492637627615</v>
      </c>
    </row>
    <row r="177" spans="25:28" hidden="1">
      <c r="Y177" s="325" t="str">
        <f>'Data 2012'!$Q$6</f>
        <v>HRWC</v>
      </c>
      <c r="Z177" s="325">
        <f>'Data 2012'!$Q$54</f>
        <v>57.760502012363133</v>
      </c>
      <c r="AA177" s="327">
        <f>IF(ISERROR(IF('Start Page'!$Y$36=2,Z177*VLOOKUP('Start Page'!$Y$36,'Unit Conversion Sheet'!$A$43:$C$45,3),Z177)),"",IF('Start Page'!$Y$36=2,Z177*VLOOKUP('Start Page'!$Y$36,'Unit Conversion Sheet'!$A$43:$C$45,3),Z177))</f>
        <v>57.760502012363133</v>
      </c>
    </row>
    <row r="178" spans="25:28" hidden="1">
      <c r="Y178" s="325" t="str">
        <f>'Data 2012'!$R$6</f>
        <v>JCW1</v>
      </c>
      <c r="Z178" s="325">
        <f>'Data 2012'!$R$54</f>
        <v>38.79635366522335</v>
      </c>
      <c r="AA178" s="327">
        <f>IF(ISERROR(IF('Start Page'!$Y$36=2,Z178*VLOOKUP('Start Page'!$Y$36,'Unit Conversion Sheet'!$A$43:$C$45,3),Z178)),"",IF('Start Page'!$Y$36=2,Z178*VLOOKUP('Start Page'!$Y$36,'Unit Conversion Sheet'!$A$43:$C$45,3),Z178))</f>
        <v>38.79635366522335</v>
      </c>
    </row>
    <row r="179" spans="25:28" hidden="1">
      <c r="Y179" s="325" t="str">
        <f>'Data 2012'!$S$6</f>
        <v>LVVWD</v>
      </c>
      <c r="Z179" s="325">
        <f>'Data 2012'!$S$54</f>
        <v>25.030111370680359</v>
      </c>
      <c r="AA179" s="327">
        <f>IF(ISERROR(IF('Start Page'!$Y$36=2,Z179*VLOOKUP('Start Page'!$Y$36,'Unit Conversion Sheet'!$A$43:$C$45,3),Z179)),"",IF('Start Page'!$Y$36=2,Z179*VLOOKUP('Start Page'!$Y$36,'Unit Conversion Sheet'!$A$43:$C$45,3),Z179))</f>
        <v>25.030111370680359</v>
      </c>
    </row>
    <row r="180" spans="25:28" hidden="1">
      <c r="Y180" s="325" t="str">
        <f>'Data 2012'!$T$6</f>
        <v>LWCKY</v>
      </c>
      <c r="Z180" s="325">
        <f>'Data 2012'!$T$54</f>
        <v>42.188105276945066</v>
      </c>
      <c r="AA180" s="327">
        <f>IF(ISERROR(IF('Start Page'!$Y$36=2,Z180*VLOOKUP('Start Page'!$Y$36,'Unit Conversion Sheet'!$A$43:$C$45,3),Z180)),"",IF('Start Page'!$Y$36=2,Z180*VLOOKUP('Start Page'!$Y$36,'Unit Conversion Sheet'!$A$43:$C$45,3),Z180))</f>
        <v>42.188105276945066</v>
      </c>
    </row>
    <row r="181" spans="25:28" hidden="1">
      <c r="Y181" s="325" t="str">
        <f>'Data 2012'!$U$6</f>
        <v>OCFL</v>
      </c>
      <c r="Z181" s="325">
        <f>'Data 2012'!$U$54</f>
        <v>18.92532057844446</v>
      </c>
      <c r="AA181" s="327">
        <f>IF(ISERROR(IF('Start Page'!$Y$36=2,Z181*VLOOKUP('Start Page'!$Y$36,'Unit Conversion Sheet'!$A$43:$C$45,3),Z181)),"",IF('Start Page'!$Y$36=2,Z181*VLOOKUP('Start Page'!$Y$36,'Unit Conversion Sheet'!$A$43:$C$45,3),Z181))</f>
        <v>18.92532057844446</v>
      </c>
    </row>
    <row r="182" spans="25:28" hidden="1">
      <c r="Y182" s="325" t="str">
        <f>'Data 2012'!$V$6</f>
        <v>PAW</v>
      </c>
      <c r="Z182" s="325">
        <f>'Data 2012'!$V$54</f>
        <v>99.452214740962191</v>
      </c>
      <c r="AA182" s="327">
        <f>IF(ISERROR(IF('Start Page'!$Y$36=2,Z182*VLOOKUP('Start Page'!$Y$36,'Unit Conversion Sheet'!$A$43:$C$45,3),Z182)),"",IF('Start Page'!$Y$36=2,Z182*VLOOKUP('Start Page'!$Y$36,'Unit Conversion Sheet'!$A$43:$C$45,3),Z182))</f>
        <v>99.452214740962191</v>
      </c>
    </row>
    <row r="183" spans="25:28" hidden="1">
      <c r="Y183" s="325" t="str">
        <f>'Data 2012'!$W$6</f>
        <v>PWD</v>
      </c>
      <c r="Z183" s="325">
        <f>'Data 2012'!$W$54</f>
        <v>127.04824904160948</v>
      </c>
      <c r="AA183" s="327">
        <f>IF(ISERROR(IF('Start Page'!$Y$36=2,Z183*VLOOKUP('Start Page'!$Y$36,'Unit Conversion Sheet'!$A$43:$C$45,3),Z183)),"",IF('Start Page'!$Y$36=2,Z183*VLOOKUP('Start Page'!$Y$36,'Unit Conversion Sheet'!$A$43:$C$45,3),Z183))</f>
        <v>127.04824904160948</v>
      </c>
    </row>
    <row r="184" spans="25:28" hidden="1">
      <c r="Y184" s="325" t="str">
        <f>'Data 2012'!$X$6</f>
        <v>RRW</v>
      </c>
      <c r="Z184" s="325">
        <f>'Data 2012'!$X$54</f>
        <v>33.699967663860527</v>
      </c>
      <c r="AA184" s="327">
        <f>IF(ISERROR(IF('Start Page'!$Y$36=2,Z184*VLOOKUP('Start Page'!$Y$36,'Unit Conversion Sheet'!$A$43:$C$45,3),Z184)),"",IF('Start Page'!$Y$36=2,Z184*VLOOKUP('Start Page'!$Y$36,'Unit Conversion Sheet'!$A$43:$C$45,3),Z184))</f>
        <v>33.699967663860527</v>
      </c>
    </row>
    <row r="185" spans="25:28" hidden="1">
      <c r="Y185" s="325" t="str">
        <f>'Data 2012'!$Y$6</f>
        <v>UI</v>
      </c>
      <c r="Z185" s="325">
        <f>'Data 2012'!$Y$54</f>
        <v>8.2051845492712712</v>
      </c>
      <c r="AA185" s="327">
        <f>IF(ISERROR(IF('Start Page'!$Y$36=2,Z185*VLOOKUP('Start Page'!$Y$36,'Unit Conversion Sheet'!$A$43:$C$45,3),Z185)),"",IF('Start Page'!$Y$36=2,Z185*VLOOKUP('Start Page'!$Y$36,'Unit Conversion Sheet'!$A$43:$C$45,3),Z185))</f>
        <v>8.2051845492712712</v>
      </c>
    </row>
    <row r="186" spans="25:28" hidden="1">
      <c r="Y186" s="325" t="str">
        <f>'Data 2012'!$Z$6</f>
        <v>WWU</v>
      </c>
      <c r="Z186" s="325">
        <f>'Data 2012'!$Z$54</f>
        <v>30.013364957118483</v>
      </c>
      <c r="AA186" s="327">
        <f>IF(ISERROR(IF('Start Page'!$Y$36=2,Z186*VLOOKUP('Start Page'!$Y$36,'Unit Conversion Sheet'!$A$43:$C$45,3),Z186)),"",IF('Start Page'!$Y$36=2,Z186*VLOOKUP('Start Page'!$Y$36,'Unit Conversion Sheet'!$A$43:$C$45,3),Z186))</f>
        <v>30.013364957118483</v>
      </c>
    </row>
    <row r="187" spans="25:28" hidden="1">
      <c r="Y187" s="325" t="str">
        <f>'Data 2012'!$AA$6</f>
        <v>WCSA</v>
      </c>
      <c r="Z187" s="325" t="str">
        <f>'Data 2012'!$AA$54</f>
        <v>N/A</v>
      </c>
      <c r="AA187" s="327" t="str">
        <f>IF(ISERROR(IF('Start Page'!$Y$36=2,Z187*VLOOKUP('Start Page'!$Y$36,'Unit Conversion Sheet'!$A$43:$C$45,3),Z187)),"",IF('Start Page'!$Y$36=2,Z187*VLOOKUP('Start Page'!$Y$36,'Unit Conversion Sheet'!$A$43:$C$45,3),Z187))</f>
        <v>N/A</v>
      </c>
    </row>
    <row r="188" spans="25:28" hidden="1">
      <c r="Y188" s="325" t="str">
        <f>'Data 2012'!$AB$6</f>
        <v>WDPW</v>
      </c>
      <c r="Z188" s="325">
        <f>'Data 2012'!$AB$54</f>
        <v>156.07013888802095</v>
      </c>
      <c r="AA188" s="327">
        <f>IF(ISERROR(IF('Start Page'!$Y$36=2,Z188*VLOOKUP('Start Page'!$Y$36,'Unit Conversion Sheet'!$A$43:$C$45,3),Z188)),"",IF('Start Page'!$Y$36=2,Z188*VLOOKUP('Start Page'!$Y$36,'Unit Conversion Sheet'!$A$43:$C$45,3),Z188))</f>
        <v>156.07013888802095</v>
      </c>
    </row>
    <row r="189" spans="25:28" hidden="1">
      <c r="Y189" s="325" t="str">
        <f>'Data 2012'!$AC$6</f>
        <v>WWAWC</v>
      </c>
      <c r="Z189" s="325" t="str">
        <f>'Data 2012'!$AC$54</f>
        <v>N/A</v>
      </c>
      <c r="AA189" s="327" t="str">
        <f>IF(ISERROR(IF('Start Page'!$Y$36=2,Z189*VLOOKUP('Start Page'!$Y$36,'Unit Conversion Sheet'!$A$43:$C$45,3),Z189)),"",IF('Start Page'!$Y$36=2,Z189*VLOOKUP('Start Page'!$Y$36,'Unit Conversion Sheet'!$A$43:$C$45,3),Z189))</f>
        <v>N/A</v>
      </c>
    </row>
    <row r="190" spans="25:28" hidden="1">
      <c r="Y190" s="335" t="str">
        <f>$C$8</f>
        <v/>
      </c>
      <c r="Z190" s="323" t="str">
        <f>'AWWA-Water Balance Data Transf.'!$D$58</f>
        <v/>
      </c>
      <c r="AA190" s="327" t="str">
        <f>IF(ISERROR(IF('Start Page'!$Y$36=2,Z190*VLOOKUP('Start Page'!$Y$36,'Unit Conversion Sheet'!$A$43:$C$45,3),Z190)),"",IF('Start Page'!$Y$36=2,Z190*VLOOKUP('Start Page'!$Y$36,'Unit Conversion Sheet'!$A$43:$C$45,3),Z190))</f>
        <v/>
      </c>
    </row>
    <row r="191" spans="25:28" hidden="1"/>
    <row r="192" spans="25:28" ht="124" hidden="1">
      <c r="Y192" s="329" t="str">
        <f>INDEX('Unit Conversion Sheet'!$C$71:$D$73,MATCH('Start Page'!$Y$36,'Unit Conversion Sheet'!$A$36:$A$38,0),MATCH('Start Page'!$Y$42,'Unit Conversion Sheet'!$C$35:$D$35,0))</f>
        <v>Performance Indicator: Real Losses per length of mains per day [gal/mi/day]</v>
      </c>
      <c r="Z192" s="327" t="s">
        <v>64</v>
      </c>
      <c r="AA192" s="327" t="s">
        <v>85</v>
      </c>
      <c r="AB192" s="327" t="s">
        <v>553</v>
      </c>
    </row>
    <row r="193" spans="25:29" hidden="1">
      <c r="Y193" s="325" t="str">
        <f>'Data 2012'!$D$6</f>
        <v>GCWW</v>
      </c>
      <c r="Z193" s="325" t="str">
        <f>'Data 2012'!$D$55</f>
        <v>N/A</v>
      </c>
      <c r="AA193" s="323" t="str">
        <f>IF(ISERROR(Z193*INDEX('Unit Conversion Sheet'!$C$64:$D$67,MATCH('Start Page'!$Y$36,'Unit Conversion Sheet'!$A$36:$A$38,0),MATCH('Start Page'!$Y$42,'Unit Conversion Sheet'!$C$35:$D$35,0))),"",Z193*INDEX('Unit Conversion Sheet'!$C$64:$D$67,MATCH('Start Page'!$Y$36,'Unit Conversion Sheet'!$A$36:$A$38,0),MATCH('Start Page'!$Y$42,'Unit Conversion Sheet'!$C$35:$D$35,0)))</f>
        <v/>
      </c>
      <c r="AB193" s="333">
        <v>0.25</v>
      </c>
      <c r="AC193" s="325">
        <f>PERCENTILE(AA193:AA219,AB193)</f>
        <v>641.56923735352075</v>
      </c>
    </row>
    <row r="194" spans="25:29" hidden="1">
      <c r="Y194" s="325" t="str">
        <f>'Data 2012'!$E$6</f>
        <v>SMW</v>
      </c>
      <c r="Z194" s="325" t="str">
        <f>'Data 2012'!$E$55</f>
        <v>N/A</v>
      </c>
      <c r="AA194" s="323" t="str">
        <f>IF(ISERROR(Z194*INDEX('Unit Conversion Sheet'!$C$64:$D$67,MATCH('Start Page'!$Y$36,'Unit Conversion Sheet'!$A$36:$A$38,0),MATCH('Start Page'!$Y$42,'Unit Conversion Sheet'!$C$35:$D$35,0))),"",Z194*INDEX('Unit Conversion Sheet'!$C$64:$D$67,MATCH('Start Page'!$Y$36,'Unit Conversion Sheet'!$A$36:$A$38,0),MATCH('Start Page'!$Y$42,'Unit Conversion Sheet'!$C$35:$D$35,0)))</f>
        <v/>
      </c>
      <c r="AB194" s="333">
        <v>0.5</v>
      </c>
      <c r="AC194" s="325">
        <f t="shared" ref="AC194:AC195" si="20">PERCENTILE(AA194:AA220,AB194)</f>
        <v>709.32097688293265</v>
      </c>
    </row>
    <row r="195" spans="25:29" hidden="1">
      <c r="Y195" s="325" t="str">
        <f>'Data 2012'!$F$6</f>
        <v>ABCWUA</v>
      </c>
      <c r="Z195" s="325" t="str">
        <f>'Data 2012'!$F$55</f>
        <v>N/A</v>
      </c>
      <c r="AA195" s="323" t="str">
        <f>IF(ISERROR(Z195*INDEX('Unit Conversion Sheet'!$C$64:$D$67,MATCH('Start Page'!$Y$36,'Unit Conversion Sheet'!$A$36:$A$38,0),MATCH('Start Page'!$Y$42,'Unit Conversion Sheet'!$C$35:$D$35,0))),"",Z195*INDEX('Unit Conversion Sheet'!$C$64:$D$67,MATCH('Start Page'!$Y$36,'Unit Conversion Sheet'!$A$36:$A$38,0),MATCH('Start Page'!$Y$42,'Unit Conversion Sheet'!$C$35:$D$35,0)))</f>
        <v/>
      </c>
      <c r="AB195" s="333">
        <v>0.75</v>
      </c>
      <c r="AC195" s="325">
        <f t="shared" si="20"/>
        <v>2612.5835024025027</v>
      </c>
    </row>
    <row r="196" spans="25:29" hidden="1">
      <c r="Y196" s="325" t="str">
        <f>'Data 2012'!$G$6</f>
        <v>AquaWSC</v>
      </c>
      <c r="Z196" s="325">
        <f>'Data 2012'!$G$55</f>
        <v>709.32097688293265</v>
      </c>
      <c r="AA196" s="323">
        <f>IF(ISERROR(Z196*INDEX('Unit Conversion Sheet'!$C$64:$D$67,MATCH('Start Page'!$Y$36,'Unit Conversion Sheet'!$A$36:$A$38,0),MATCH('Start Page'!$Y$42,'Unit Conversion Sheet'!$C$35:$D$35,0))),"",Z196*INDEX('Unit Conversion Sheet'!$C$64:$D$67,MATCH('Start Page'!$Y$36,'Unit Conversion Sheet'!$A$36:$A$38,0),MATCH('Start Page'!$Y$42,'Unit Conversion Sheet'!$C$35:$D$35,0)))</f>
        <v>709.32097688293265</v>
      </c>
    </row>
    <row r="197" spans="25:29" hidden="1">
      <c r="Y197" s="325" t="str">
        <f>'Data 2012'!$H$6</f>
        <v>AW</v>
      </c>
      <c r="Z197" s="325" t="str">
        <f>'Data 2012'!$H$55</f>
        <v>N/A</v>
      </c>
      <c r="AA197" s="323" t="str">
        <f>IF(ISERROR(Z197*INDEX('Unit Conversion Sheet'!$C$64:$D$67,MATCH('Start Page'!$Y$36,'Unit Conversion Sheet'!$A$36:$A$38,0),MATCH('Start Page'!$Y$42,'Unit Conversion Sheet'!$C$35:$D$35,0))),"",Z197*INDEX('Unit Conversion Sheet'!$C$64:$D$67,MATCH('Start Page'!$Y$36,'Unit Conversion Sheet'!$A$36:$A$38,0),MATCH('Start Page'!$Y$42,'Unit Conversion Sheet'!$C$35:$D$35,0)))</f>
        <v/>
      </c>
    </row>
    <row r="198" spans="25:29" hidden="1">
      <c r="Y198" s="325" t="str">
        <f>'Data 2012'!$I$6</f>
        <v>BUD</v>
      </c>
      <c r="Z198" s="325" t="str">
        <f>'Data 2012'!$I$55</f>
        <v>N/A</v>
      </c>
      <c r="AA198" s="323" t="str">
        <f>IF(ISERROR(Z198*INDEX('Unit Conversion Sheet'!$C$64:$D$67,MATCH('Start Page'!$Y$36,'Unit Conversion Sheet'!$A$36:$A$38,0),MATCH('Start Page'!$Y$42,'Unit Conversion Sheet'!$C$35:$D$35,0))),"",Z198*INDEX('Unit Conversion Sheet'!$C$64:$D$67,MATCH('Start Page'!$Y$36,'Unit Conversion Sheet'!$A$36:$A$38,0),MATCH('Start Page'!$Y$42,'Unit Conversion Sheet'!$C$35:$D$35,0)))</f>
        <v/>
      </c>
    </row>
    <row r="199" spans="25:29" hidden="1">
      <c r="Y199" s="325" t="str">
        <f>'Data 2012'!$J$6</f>
        <v>BWWB</v>
      </c>
      <c r="Z199" s="325" t="str">
        <f>'Data 2012'!$J$55</f>
        <v>N/A</v>
      </c>
      <c r="AA199" s="323" t="str">
        <f>IF(ISERROR(Z199*INDEX('Unit Conversion Sheet'!$C$64:$D$67,MATCH('Start Page'!$Y$36,'Unit Conversion Sheet'!$A$36:$A$38,0),MATCH('Start Page'!$Y$42,'Unit Conversion Sheet'!$C$35:$D$35,0))),"",Z199*INDEX('Unit Conversion Sheet'!$C$64:$D$67,MATCH('Start Page'!$Y$36,'Unit Conversion Sheet'!$A$36:$A$38,0),MATCH('Start Page'!$Y$42,'Unit Conversion Sheet'!$C$35:$D$35,0)))</f>
        <v/>
      </c>
    </row>
    <row r="200" spans="25:29" hidden="1">
      <c r="Y200" s="325" t="str">
        <f>'Data 2012'!$K$6</f>
        <v>CW</v>
      </c>
      <c r="Z200" s="325" t="str">
        <f>'Data 2012'!$K$55</f>
        <v>N/A</v>
      </c>
      <c r="AA200" s="323" t="str">
        <f>IF(ISERROR(Z200*INDEX('Unit Conversion Sheet'!$C$64:$D$67,MATCH('Start Page'!$Y$36,'Unit Conversion Sheet'!$A$36:$A$38,0),MATCH('Start Page'!$Y$42,'Unit Conversion Sheet'!$C$35:$D$35,0))),"",Z200*INDEX('Unit Conversion Sheet'!$C$64:$D$67,MATCH('Start Page'!$Y$36,'Unit Conversion Sheet'!$A$36:$A$38,0),MATCH('Start Page'!$Y$42,'Unit Conversion Sheet'!$C$35:$D$35,0)))</f>
        <v/>
      </c>
    </row>
    <row r="201" spans="25:29" hidden="1">
      <c r="Y201" s="325" t="str">
        <f>'Data 2012'!$L$6</f>
        <v>CCWSA</v>
      </c>
      <c r="Z201" s="325" t="str">
        <f>'Data 2012'!$L$55</f>
        <v>N/A</v>
      </c>
      <c r="AA201" s="323" t="str">
        <f>IF(ISERROR(Z201*INDEX('Unit Conversion Sheet'!$C$64:$D$67,MATCH('Start Page'!$Y$36,'Unit Conversion Sheet'!$A$36:$A$38,0),MATCH('Start Page'!$Y$42,'Unit Conversion Sheet'!$C$35:$D$35,0))),"",Z201*INDEX('Unit Conversion Sheet'!$C$64:$D$67,MATCH('Start Page'!$Y$36,'Unit Conversion Sheet'!$A$36:$A$38,0),MATCH('Start Page'!$Y$42,'Unit Conversion Sheet'!$C$35:$D$35,0)))</f>
        <v/>
      </c>
    </row>
    <row r="202" spans="25:29" hidden="1">
      <c r="Y202" s="325" t="str">
        <f>'Data 2012'!$M$6</f>
        <v>CCWS</v>
      </c>
      <c r="Z202" s="325" t="str">
        <f>'Data 2012'!$M$55</f>
        <v>N/A</v>
      </c>
      <c r="AA202" s="323" t="str">
        <f>IF(ISERROR(Z202*INDEX('Unit Conversion Sheet'!$C$64:$D$67,MATCH('Start Page'!$Y$36,'Unit Conversion Sheet'!$A$36:$A$38,0),MATCH('Start Page'!$Y$42,'Unit Conversion Sheet'!$C$35:$D$35,0))),"",Z202*INDEX('Unit Conversion Sheet'!$C$64:$D$67,MATCH('Start Page'!$Y$36,'Unit Conversion Sheet'!$A$36:$A$38,0),MATCH('Start Page'!$Y$42,'Unit Conversion Sheet'!$C$35:$D$35,0)))</f>
        <v/>
      </c>
    </row>
    <row r="203" spans="25:29" hidden="1">
      <c r="Y203" s="325" t="str">
        <f>'Data 2012'!$N$6</f>
        <v>CBW</v>
      </c>
      <c r="Z203" s="325" t="str">
        <f>'Data 2012'!$N$55</f>
        <v>N/A</v>
      </c>
      <c r="AA203" s="323" t="str">
        <f>IF(ISERROR(Z203*INDEX('Unit Conversion Sheet'!$C$64:$D$67,MATCH('Start Page'!$Y$36,'Unit Conversion Sheet'!$A$36:$A$38,0),MATCH('Start Page'!$Y$42,'Unit Conversion Sheet'!$C$35:$D$35,0))),"",Z203*INDEX('Unit Conversion Sheet'!$C$64:$D$67,MATCH('Start Page'!$Y$36,'Unit Conversion Sheet'!$A$36:$A$38,0),MATCH('Start Page'!$Y$42,'Unit Conversion Sheet'!$C$35:$D$35,0)))</f>
        <v/>
      </c>
    </row>
    <row r="204" spans="25:29" hidden="1">
      <c r="Y204" s="325" t="str">
        <f>'Data 2012'!$O$6</f>
        <v>DUTIL</v>
      </c>
      <c r="Z204" s="325" t="str">
        <f>'Data 2012'!$O$55</f>
        <v>N/A</v>
      </c>
      <c r="AA204" s="323" t="str">
        <f>IF(ISERROR(Z204*INDEX('Unit Conversion Sheet'!$C$64:$D$67,MATCH('Start Page'!$Y$36,'Unit Conversion Sheet'!$A$36:$A$38,0),MATCH('Start Page'!$Y$42,'Unit Conversion Sheet'!$C$35:$D$35,0))),"",Z204*INDEX('Unit Conversion Sheet'!$C$64:$D$67,MATCH('Start Page'!$Y$36,'Unit Conversion Sheet'!$A$36:$A$38,0),MATCH('Start Page'!$Y$42,'Unit Conversion Sheet'!$C$35:$D$35,0)))</f>
        <v/>
      </c>
    </row>
    <row r="205" spans="25:29" hidden="1">
      <c r="Y205" s="325" t="str">
        <f>'Data 2012'!$P$6</f>
        <v>DCWATER</v>
      </c>
      <c r="Z205" s="325" t="str">
        <f>'Data 2012'!$P$55</f>
        <v>N/A</v>
      </c>
      <c r="AA205" s="323" t="str">
        <f>IF(ISERROR(Z205*INDEX('Unit Conversion Sheet'!$C$64:$D$67,MATCH('Start Page'!$Y$36,'Unit Conversion Sheet'!$A$36:$A$38,0),MATCH('Start Page'!$Y$42,'Unit Conversion Sheet'!$C$35:$D$35,0))),"",Z205*INDEX('Unit Conversion Sheet'!$C$64:$D$67,MATCH('Start Page'!$Y$36,'Unit Conversion Sheet'!$A$36:$A$38,0),MATCH('Start Page'!$Y$42,'Unit Conversion Sheet'!$C$35:$D$35,0)))</f>
        <v/>
      </c>
    </row>
    <row r="206" spans="25:29" hidden="1">
      <c r="Y206" s="325" t="str">
        <f>'Data 2012'!$Q$6</f>
        <v>HRWC</v>
      </c>
      <c r="Z206" s="325" t="str">
        <f>'Data 2012'!$Q$55</f>
        <v>N/A</v>
      </c>
      <c r="AA206" s="323" t="str">
        <f>IF(ISERROR(Z206*INDEX('Unit Conversion Sheet'!$C$64:$D$67,MATCH('Start Page'!$Y$36,'Unit Conversion Sheet'!$A$36:$A$38,0),MATCH('Start Page'!$Y$42,'Unit Conversion Sheet'!$C$35:$D$35,0))),"",Z206*INDEX('Unit Conversion Sheet'!$C$64:$D$67,MATCH('Start Page'!$Y$36,'Unit Conversion Sheet'!$A$36:$A$38,0),MATCH('Start Page'!$Y$42,'Unit Conversion Sheet'!$C$35:$D$35,0)))</f>
        <v/>
      </c>
    </row>
    <row r="207" spans="25:29" hidden="1">
      <c r="Y207" s="325" t="str">
        <f>'Data 2012'!$R$6</f>
        <v>JCW1</v>
      </c>
      <c r="Z207" s="325" t="str">
        <f>'Data 2012'!$R$55</f>
        <v>N/A</v>
      </c>
      <c r="AA207" s="323" t="str">
        <f>IF(ISERROR(Z207*INDEX('Unit Conversion Sheet'!$C$64:$D$67,MATCH('Start Page'!$Y$36,'Unit Conversion Sheet'!$A$36:$A$38,0),MATCH('Start Page'!$Y$42,'Unit Conversion Sheet'!$C$35:$D$35,0))),"",Z207*INDEX('Unit Conversion Sheet'!$C$64:$D$67,MATCH('Start Page'!$Y$36,'Unit Conversion Sheet'!$A$36:$A$38,0),MATCH('Start Page'!$Y$42,'Unit Conversion Sheet'!$C$35:$D$35,0)))</f>
        <v/>
      </c>
    </row>
    <row r="208" spans="25:29" hidden="1">
      <c r="Y208" s="325" t="str">
        <f>'Data 2012'!$S$6</f>
        <v>LVVWD</v>
      </c>
      <c r="Z208" s="325" t="str">
        <f>'Data 2012'!$S$55</f>
        <v>N/A</v>
      </c>
      <c r="AA208" s="323" t="str">
        <f>IF(ISERROR(Z208*INDEX('Unit Conversion Sheet'!$C$64:$D$67,MATCH('Start Page'!$Y$36,'Unit Conversion Sheet'!$A$36:$A$38,0),MATCH('Start Page'!$Y$42,'Unit Conversion Sheet'!$C$35:$D$35,0))),"",Z208*INDEX('Unit Conversion Sheet'!$C$64:$D$67,MATCH('Start Page'!$Y$36,'Unit Conversion Sheet'!$A$36:$A$38,0),MATCH('Start Page'!$Y$42,'Unit Conversion Sheet'!$C$35:$D$35,0)))</f>
        <v/>
      </c>
    </row>
    <row r="209" spans="25:29" hidden="1">
      <c r="Y209" s="325" t="str">
        <f>'Data 2012'!$T$6</f>
        <v>LWCKY</v>
      </c>
      <c r="Z209" s="325" t="str">
        <f>'Data 2012'!$T$55</f>
        <v>N/A</v>
      </c>
      <c r="AA209" s="323" t="str">
        <f>IF(ISERROR(Z209*INDEX('Unit Conversion Sheet'!$C$64:$D$67,MATCH('Start Page'!$Y$36,'Unit Conversion Sheet'!$A$36:$A$38,0),MATCH('Start Page'!$Y$42,'Unit Conversion Sheet'!$C$35:$D$35,0))),"",Z209*INDEX('Unit Conversion Sheet'!$C$64:$D$67,MATCH('Start Page'!$Y$36,'Unit Conversion Sheet'!$A$36:$A$38,0),MATCH('Start Page'!$Y$42,'Unit Conversion Sheet'!$C$35:$D$35,0)))</f>
        <v/>
      </c>
    </row>
    <row r="210" spans="25:29" hidden="1">
      <c r="Y210" s="325" t="str">
        <f>'Data 2012'!$U$6</f>
        <v>OCFL</v>
      </c>
      <c r="Z210" s="325" t="str">
        <f>'Data 2012'!$U$55</f>
        <v>N/A</v>
      </c>
      <c r="AA210" s="323" t="str">
        <f>IF(ISERROR(Z210*INDEX('Unit Conversion Sheet'!$C$64:$D$67,MATCH('Start Page'!$Y$36,'Unit Conversion Sheet'!$A$36:$A$38,0),MATCH('Start Page'!$Y$42,'Unit Conversion Sheet'!$C$35:$D$35,0))),"",Z210*INDEX('Unit Conversion Sheet'!$C$64:$D$67,MATCH('Start Page'!$Y$36,'Unit Conversion Sheet'!$A$36:$A$38,0),MATCH('Start Page'!$Y$42,'Unit Conversion Sheet'!$C$35:$D$35,0)))</f>
        <v/>
      </c>
    </row>
    <row r="211" spans="25:29" hidden="1">
      <c r="Y211" s="325" t="str">
        <f>'Data 2012'!$V$6</f>
        <v>PAW</v>
      </c>
      <c r="Z211" s="325" t="str">
        <f>'Data 2012'!$V$55</f>
        <v>N/A</v>
      </c>
      <c r="AA211" s="323" t="str">
        <f>IF(ISERROR(Z211*INDEX('Unit Conversion Sheet'!$C$64:$D$67,MATCH('Start Page'!$Y$36,'Unit Conversion Sheet'!$A$36:$A$38,0),MATCH('Start Page'!$Y$42,'Unit Conversion Sheet'!$C$35:$D$35,0))),"",Z211*INDEX('Unit Conversion Sheet'!$C$64:$D$67,MATCH('Start Page'!$Y$36,'Unit Conversion Sheet'!$A$36:$A$38,0),MATCH('Start Page'!$Y$42,'Unit Conversion Sheet'!$C$35:$D$35,0)))</f>
        <v/>
      </c>
    </row>
    <row r="212" spans="25:29" hidden="1">
      <c r="Y212" s="325" t="str">
        <f>'Data 2012'!$W$6</f>
        <v>PWD</v>
      </c>
      <c r="Z212" s="325" t="str">
        <f>'Data 2012'!$W$55</f>
        <v>N/A</v>
      </c>
      <c r="AA212" s="323" t="str">
        <f>IF(ISERROR(Z212*INDEX('Unit Conversion Sheet'!$C$64:$D$67,MATCH('Start Page'!$Y$36,'Unit Conversion Sheet'!$A$36:$A$38,0),MATCH('Start Page'!$Y$42,'Unit Conversion Sheet'!$C$35:$D$35,0))),"",Z212*INDEX('Unit Conversion Sheet'!$C$64:$D$67,MATCH('Start Page'!$Y$36,'Unit Conversion Sheet'!$A$36:$A$38,0),MATCH('Start Page'!$Y$42,'Unit Conversion Sheet'!$C$35:$D$35,0)))</f>
        <v/>
      </c>
    </row>
    <row r="213" spans="25:29" hidden="1">
      <c r="Y213" s="325" t="str">
        <f>'Data 2012'!$X$6</f>
        <v>RRW</v>
      </c>
      <c r="Z213" s="325" t="str">
        <f>'Data 2012'!$X$55</f>
        <v>N/A</v>
      </c>
      <c r="AA213" s="323" t="str">
        <f>IF(ISERROR(Z213*INDEX('Unit Conversion Sheet'!$C$64:$D$67,MATCH('Start Page'!$Y$36,'Unit Conversion Sheet'!$A$36:$A$38,0),MATCH('Start Page'!$Y$42,'Unit Conversion Sheet'!$C$35:$D$35,0))),"",Z213*INDEX('Unit Conversion Sheet'!$C$64:$D$67,MATCH('Start Page'!$Y$36,'Unit Conversion Sheet'!$A$36:$A$38,0),MATCH('Start Page'!$Y$42,'Unit Conversion Sheet'!$C$35:$D$35,0)))</f>
        <v/>
      </c>
    </row>
    <row r="214" spans="25:29" hidden="1">
      <c r="Y214" s="325" t="str">
        <f>'Data 2012'!$Y$6</f>
        <v>UI</v>
      </c>
      <c r="Z214" s="325" t="str">
        <f>'Data 2012'!$Y$55</f>
        <v>N/A</v>
      </c>
      <c r="AA214" s="323" t="str">
        <f>IF(ISERROR(Z214*INDEX('Unit Conversion Sheet'!$C$64:$D$67,MATCH('Start Page'!$Y$36,'Unit Conversion Sheet'!$A$36:$A$38,0),MATCH('Start Page'!$Y$42,'Unit Conversion Sheet'!$C$35:$D$35,0))),"",Z214*INDEX('Unit Conversion Sheet'!$C$64:$D$67,MATCH('Start Page'!$Y$36,'Unit Conversion Sheet'!$A$36:$A$38,0),MATCH('Start Page'!$Y$42,'Unit Conversion Sheet'!$C$35:$D$35,0)))</f>
        <v/>
      </c>
    </row>
    <row r="215" spans="25:29" hidden="1">
      <c r="Y215" s="325" t="str">
        <f>'Data 2012'!$Z$6</f>
        <v>WWU</v>
      </c>
      <c r="Z215" s="325" t="str">
        <f>'Data 2012'!$Z$55</f>
        <v>N/A</v>
      </c>
      <c r="AA215" s="323" t="str">
        <f>IF(ISERROR(Z215*INDEX('Unit Conversion Sheet'!$C$64:$D$67,MATCH('Start Page'!$Y$36,'Unit Conversion Sheet'!$A$36:$A$38,0),MATCH('Start Page'!$Y$42,'Unit Conversion Sheet'!$C$35:$D$35,0))),"",Z215*INDEX('Unit Conversion Sheet'!$C$64:$D$67,MATCH('Start Page'!$Y$36,'Unit Conversion Sheet'!$A$36:$A$38,0),MATCH('Start Page'!$Y$42,'Unit Conversion Sheet'!$C$35:$D$35,0)))</f>
        <v/>
      </c>
    </row>
    <row r="216" spans="25:29" hidden="1">
      <c r="Y216" s="325" t="str">
        <f>'Data 2012'!$AA$6</f>
        <v>WCSA</v>
      </c>
      <c r="Z216" s="325">
        <f>'Data 2012'!$AA$55</f>
        <v>4515.8460279220726</v>
      </c>
      <c r="AA216" s="323">
        <f>IF(ISERROR(Z216*INDEX('Unit Conversion Sheet'!$C$64:$D$67,MATCH('Start Page'!$Y$36,'Unit Conversion Sheet'!$A$36:$A$38,0),MATCH('Start Page'!$Y$42,'Unit Conversion Sheet'!$C$35:$D$35,0))),"",Z216*INDEX('Unit Conversion Sheet'!$C$64:$D$67,MATCH('Start Page'!$Y$36,'Unit Conversion Sheet'!$A$36:$A$38,0),MATCH('Start Page'!$Y$42,'Unit Conversion Sheet'!$C$35:$D$35,0)))</f>
        <v>4515.8460279220726</v>
      </c>
    </row>
    <row r="217" spans="25:29" hidden="1">
      <c r="Y217" s="325" t="str">
        <f>'Data 2012'!$AB$6</f>
        <v>WDPW</v>
      </c>
      <c r="Z217" s="325" t="str">
        <f>'Data 2012'!$AB$55</f>
        <v>N/A</v>
      </c>
      <c r="AA217" s="323" t="str">
        <f>IF(ISERROR(Z217*INDEX('Unit Conversion Sheet'!$C$64:$D$67,MATCH('Start Page'!$Y$36,'Unit Conversion Sheet'!$A$36:$A$38,0),MATCH('Start Page'!$Y$42,'Unit Conversion Sheet'!$C$35:$D$35,0))),"",Z217*INDEX('Unit Conversion Sheet'!$C$64:$D$67,MATCH('Start Page'!$Y$36,'Unit Conversion Sheet'!$A$36:$A$38,0),MATCH('Start Page'!$Y$42,'Unit Conversion Sheet'!$C$35:$D$35,0)))</f>
        <v/>
      </c>
    </row>
    <row r="218" spans="25:29" hidden="1">
      <c r="Y218" s="325" t="str">
        <f>'Data 2012'!$AC$6</f>
        <v>WWAWC</v>
      </c>
      <c r="Z218" s="325">
        <f>'Data 2012'!$AC$55</f>
        <v>573.81749782410884</v>
      </c>
      <c r="AA218" s="323">
        <f>IF(ISERROR(Z218*INDEX('Unit Conversion Sheet'!$C$64:$D$67,MATCH('Start Page'!$Y$36,'Unit Conversion Sheet'!$A$36:$A$38,0),MATCH('Start Page'!$Y$42,'Unit Conversion Sheet'!$C$35:$D$35,0))),"",Z218*INDEX('Unit Conversion Sheet'!$C$64:$D$67,MATCH('Start Page'!$Y$36,'Unit Conversion Sheet'!$A$36:$A$38,0),MATCH('Start Page'!$Y$42,'Unit Conversion Sheet'!$C$35:$D$35,0)))</f>
        <v>573.81749782410884</v>
      </c>
    </row>
    <row r="219" spans="25:29" hidden="1">
      <c r="Y219" s="335" t="str">
        <f>$C$8</f>
        <v/>
      </c>
      <c r="Z219" s="323" t="str">
        <f>'AWWA-Water Balance Data Transf.'!$D$59</f>
        <v/>
      </c>
      <c r="AA219" s="323" t="str">
        <f>'AWWA-Water Balance Data Transf.'!$D$59</f>
        <v/>
      </c>
    </row>
    <row r="220" spans="25:29" hidden="1"/>
    <row r="221" spans="25:29" ht="155" hidden="1">
      <c r="Y221" s="328" t="str">
        <f>IF('Start Page'!$Y$36=2,"Performance Indicator: Real Losses per Service Connection per Meter Head [litres/service con./day/m]","Performance Indicator: Real Losses per Service Connections per PSI [gal/service con./day/PSI]")</f>
        <v>Performance Indicator: Real Losses per Service Connections per PSI [gal/service con./day/PSI]</v>
      </c>
      <c r="Z221" s="327"/>
      <c r="AA221" s="338"/>
    </row>
    <row r="222" spans="25:29" ht="31" hidden="1">
      <c r="Y222" s="330" t="s">
        <v>1</v>
      </c>
      <c r="Z222" s="327" t="s">
        <v>64</v>
      </c>
      <c r="AA222" s="327" t="s">
        <v>85</v>
      </c>
      <c r="AB222" s="327" t="s">
        <v>553</v>
      </c>
    </row>
    <row r="223" spans="25:29" hidden="1">
      <c r="Y223" s="325" t="str">
        <f>'Data 2012'!$D$6</f>
        <v>GCWW</v>
      </c>
      <c r="Z223" s="325">
        <f>'Data 2012'!$D$56</f>
        <v>0.60776771180354272</v>
      </c>
      <c r="AA223" s="327">
        <f>IF('Start Page'!$Y$36=2,Z223*VLOOKUP('Start Page'!$Y$36,'Unit Conversion Sheet'!$A$43:$C$45,3)*VLOOKUP('Start Page'!$Y$36,'Unit Conversion Sheet'!$A$48:$C$50,3),Z223)</f>
        <v>0.60776771180354272</v>
      </c>
      <c r="AB223" s="333">
        <v>0.25</v>
      </c>
      <c r="AC223" s="325">
        <f>PERCENTILE(AA223:AA249,AB223)</f>
        <v>0.3249432779142164</v>
      </c>
    </row>
    <row r="224" spans="25:29" hidden="1">
      <c r="Y224" s="325" t="str">
        <f>'Data 2012'!$E$6</f>
        <v>SMW</v>
      </c>
      <c r="Z224" s="325">
        <f>'Data 2012'!$E$56</f>
        <v>0.70750967845616219</v>
      </c>
      <c r="AA224" s="327">
        <f>IF('Start Page'!$Y$36=2,Z224*VLOOKUP('Start Page'!$Y$36,'Unit Conversion Sheet'!$A$43:$C$45,3)*VLOOKUP('Start Page'!$Y$36,'Unit Conversion Sheet'!$A$48:$C$50,3),Z224)</f>
        <v>0.70750967845616219</v>
      </c>
      <c r="AB224" s="333">
        <v>0.5</v>
      </c>
      <c r="AC224" s="325">
        <f t="shared" ref="AC224:AC225" si="21">PERCENTILE(AA224:AA250,AB224)</f>
        <v>0.54087314457621882</v>
      </c>
    </row>
    <row r="225" spans="25:29" hidden="1">
      <c r="Y225" s="325" t="str">
        <f>'Data 2012'!$F$6</f>
        <v>ABCWUA</v>
      </c>
      <c r="Z225" s="325">
        <f>'Data 2012'!$F$56</f>
        <v>0.32072876641201703</v>
      </c>
      <c r="AA225" s="327">
        <f>IF('Start Page'!$Y$36=2,Z225*VLOOKUP('Start Page'!$Y$36,'Unit Conversion Sheet'!$A$43:$C$45,3)*VLOOKUP('Start Page'!$Y$36,'Unit Conversion Sheet'!$A$48:$C$50,3),Z225)</f>
        <v>0.32072876641201703</v>
      </c>
      <c r="AB225" s="333">
        <v>0.75</v>
      </c>
      <c r="AC225" s="325">
        <f t="shared" si="21"/>
        <v>0.92177705614399352</v>
      </c>
    </row>
    <row r="226" spans="25:29" hidden="1">
      <c r="Y226" s="325" t="str">
        <f>'Data 2012'!$G$6</f>
        <v>AquaWSC</v>
      </c>
      <c r="Z226" s="325">
        <f>'Data 2012'!$G$56</f>
        <v>0</v>
      </c>
      <c r="AA226" s="327">
        <f>IF('Start Page'!$Y$36=2,Z226*VLOOKUP('Start Page'!$Y$36,'Unit Conversion Sheet'!$A$43:$C$45,3)*VLOOKUP('Start Page'!$Y$36,'Unit Conversion Sheet'!$A$48:$C$50,3),Z226)</f>
        <v>0</v>
      </c>
    </row>
    <row r="227" spans="25:29" hidden="1">
      <c r="Y227" s="325" t="str">
        <f>'Data 2012'!$H$6</f>
        <v>AW</v>
      </c>
      <c r="Z227" s="325">
        <f>'Data 2012'!$H$56</f>
        <v>0.72498630293188815</v>
      </c>
      <c r="AA227" s="327">
        <f>IF('Start Page'!$Y$36=2,Z227*VLOOKUP('Start Page'!$Y$36,'Unit Conversion Sheet'!$A$43:$C$45,3)*VLOOKUP('Start Page'!$Y$36,'Unit Conversion Sheet'!$A$48:$C$50,3),Z227)</f>
        <v>0.72498630293188815</v>
      </c>
    </row>
    <row r="228" spans="25:29" hidden="1">
      <c r="Y228" s="325" t="str">
        <f>'Data 2012'!$I$6</f>
        <v>BUD</v>
      </c>
      <c r="Z228" s="325">
        <f>'Data 2012'!$I$56</f>
        <v>1.1813279684479365</v>
      </c>
      <c r="AA228" s="327">
        <f>IF('Start Page'!$Y$36=2,Z228*VLOOKUP('Start Page'!$Y$36,'Unit Conversion Sheet'!$A$43:$C$45,3)*VLOOKUP('Start Page'!$Y$36,'Unit Conversion Sheet'!$A$48:$C$50,3),Z228)</f>
        <v>1.1813279684479365</v>
      </c>
    </row>
    <row r="229" spans="25:29" hidden="1">
      <c r="Y229" s="325" t="str">
        <f>'Data 2012'!$J$6</f>
        <v>BWWB</v>
      </c>
      <c r="Z229" s="325">
        <f>'Data 2012'!$J$56</f>
        <v>0.97477509527700534</v>
      </c>
      <c r="AA229" s="327">
        <f>IF('Start Page'!$Y$36=2,Z229*VLOOKUP('Start Page'!$Y$36,'Unit Conversion Sheet'!$A$43:$C$45,3)*VLOOKUP('Start Page'!$Y$36,'Unit Conversion Sheet'!$A$48:$C$50,3),Z229)</f>
        <v>0.97477509527700534</v>
      </c>
    </row>
    <row r="230" spans="25:29" hidden="1">
      <c r="Y230" s="325" t="str">
        <f>'Data 2012'!$K$6</f>
        <v>CW</v>
      </c>
      <c r="Z230" s="325">
        <f>'Data 2012'!$K$56</f>
        <v>0.55403230308695772</v>
      </c>
      <c r="AA230" s="327">
        <f>IF('Start Page'!$Y$36=2,Z230*VLOOKUP('Start Page'!$Y$36,'Unit Conversion Sheet'!$A$43:$C$45,3)*VLOOKUP('Start Page'!$Y$36,'Unit Conversion Sheet'!$A$48:$C$50,3),Z230)</f>
        <v>0.55403230308695772</v>
      </c>
    </row>
    <row r="231" spans="25:29" hidden="1">
      <c r="Y231" s="325" t="str">
        <f>'Data 2012'!$L$6</f>
        <v>CCWSA</v>
      </c>
      <c r="Z231" s="325">
        <f>'Data 2012'!$L$56</f>
        <v>0.33758681242081462</v>
      </c>
      <c r="AA231" s="327">
        <f>IF('Start Page'!$Y$36=2,Z231*VLOOKUP('Start Page'!$Y$36,'Unit Conversion Sheet'!$A$43:$C$45,3)*VLOOKUP('Start Page'!$Y$36,'Unit Conversion Sheet'!$A$48:$C$50,3),Z231)</f>
        <v>0.33758681242081462</v>
      </c>
    </row>
    <row r="232" spans="25:29" hidden="1">
      <c r="Y232" s="325" t="str">
        <f>'Data 2012'!$M$6</f>
        <v>CCWS</v>
      </c>
      <c r="Z232" s="325">
        <f>'Data 2012'!$M$56</f>
        <v>0.25204017318966498</v>
      </c>
      <c r="AA232" s="327">
        <f>IF('Start Page'!$Y$36=2,Z232*VLOOKUP('Start Page'!$Y$36,'Unit Conversion Sheet'!$A$43:$C$45,3)*VLOOKUP('Start Page'!$Y$36,'Unit Conversion Sheet'!$A$48:$C$50,3),Z232)</f>
        <v>0.25204017318966498</v>
      </c>
    </row>
    <row r="233" spans="25:29" hidden="1">
      <c r="Y233" s="325" t="str">
        <f>'Data 2012'!$N$6</f>
        <v>CBW</v>
      </c>
      <c r="Z233" s="325">
        <f>'Data 2012'!$N$56</f>
        <v>1.4255407050444986</v>
      </c>
      <c r="AA233" s="327">
        <f>IF('Start Page'!$Y$36=2,Z233*VLOOKUP('Start Page'!$Y$36,'Unit Conversion Sheet'!$A$43:$C$45,3)*VLOOKUP('Start Page'!$Y$36,'Unit Conversion Sheet'!$A$48:$C$50,3),Z233)</f>
        <v>1.4255407050444986</v>
      </c>
    </row>
    <row r="234" spans="25:29" hidden="1">
      <c r="Y234" s="325" t="str">
        <f>'Data 2012'!$O$6</f>
        <v>DUTIL</v>
      </c>
      <c r="Z234" s="325">
        <f>'Data 2012'!$O$56</f>
        <v>0.46679972315231316</v>
      </c>
      <c r="AA234" s="327">
        <f>IF('Start Page'!$Y$36=2,Z234*VLOOKUP('Start Page'!$Y$36,'Unit Conversion Sheet'!$A$43:$C$45,3)*VLOOKUP('Start Page'!$Y$36,'Unit Conversion Sheet'!$A$48:$C$50,3),Z234)</f>
        <v>0.46679972315231316</v>
      </c>
    </row>
    <row r="235" spans="25:29" hidden="1">
      <c r="Y235" s="325" t="str">
        <f>'Data 2012'!$P$6</f>
        <v>DCWATER</v>
      </c>
      <c r="Z235" s="325">
        <f>'Data 2012'!$P$56</f>
        <v>1.5969275196610877</v>
      </c>
      <c r="AA235" s="327">
        <f>IF('Start Page'!$Y$36=2,Z235*VLOOKUP('Start Page'!$Y$36,'Unit Conversion Sheet'!$A$43:$C$45,3)*VLOOKUP('Start Page'!$Y$36,'Unit Conversion Sheet'!$A$48:$C$50,3),Z235)</f>
        <v>1.5969275196610877</v>
      </c>
    </row>
    <row r="236" spans="25:29" hidden="1">
      <c r="Y236" s="325" t="str">
        <f>'Data 2012'!$Q$6</f>
        <v>HRWC</v>
      </c>
      <c r="Z236" s="325">
        <f>'Data 2012'!$Q$56</f>
        <v>0.77631469726633096</v>
      </c>
      <c r="AA236" s="327">
        <f>IF('Start Page'!$Y$36=2,Z236*VLOOKUP('Start Page'!$Y$36,'Unit Conversion Sheet'!$A$43:$C$45,3)*VLOOKUP('Start Page'!$Y$36,'Unit Conversion Sheet'!$A$48:$C$50,3),Z236)</f>
        <v>0.77631469726633096</v>
      </c>
    </row>
    <row r="237" spans="25:29" hidden="1">
      <c r="Y237" s="325" t="str">
        <f>'Data 2012'!$R$6</f>
        <v>JCW1</v>
      </c>
      <c r="Z237" s="325">
        <f>'Data 2012'!$R$56</f>
        <v>0.4305921605463191</v>
      </c>
      <c r="AA237" s="327">
        <f>IF('Start Page'!$Y$36=2,Z237*VLOOKUP('Start Page'!$Y$36,'Unit Conversion Sheet'!$A$43:$C$45,3)*VLOOKUP('Start Page'!$Y$36,'Unit Conversion Sheet'!$A$48:$C$50,3),Z237)</f>
        <v>0.4305921605463191</v>
      </c>
    </row>
    <row r="238" spans="25:29" hidden="1">
      <c r="Y238" s="325" t="str">
        <f>'Data 2012'!$S$6</f>
        <v>LVVWD</v>
      </c>
      <c r="Z238" s="325">
        <f>'Data 2012'!$S$56</f>
        <v>0.35757301958114801</v>
      </c>
      <c r="AA238" s="327">
        <f>IF('Start Page'!$Y$36=2,Z238*VLOOKUP('Start Page'!$Y$36,'Unit Conversion Sheet'!$A$43:$C$45,3)*VLOOKUP('Start Page'!$Y$36,'Unit Conversion Sheet'!$A$48:$C$50,3),Z238)</f>
        <v>0.35757301958114801</v>
      </c>
    </row>
    <row r="239" spans="25:29" hidden="1">
      <c r="Y239" s="325" t="str">
        <f>'Data 2012'!$T$6</f>
        <v>LWCKY</v>
      </c>
      <c r="Z239" s="325">
        <f>'Data 2012'!$T$56</f>
        <v>0.54087314457621882</v>
      </c>
      <c r="AA239" s="327">
        <f>IF('Start Page'!$Y$36=2,Z239*VLOOKUP('Start Page'!$Y$36,'Unit Conversion Sheet'!$A$43:$C$45,3)*VLOOKUP('Start Page'!$Y$36,'Unit Conversion Sheet'!$A$48:$C$50,3),Z239)</f>
        <v>0.54087314457621882</v>
      </c>
    </row>
    <row r="240" spans="25:29" hidden="1">
      <c r="Y240" s="325" t="str">
        <f>'Data 2012'!$U$6</f>
        <v>OCFL</v>
      </c>
      <c r="Z240" s="325">
        <f>'Data 2012'!$U$56</f>
        <v>0.31542200964074102</v>
      </c>
      <c r="AA240" s="327">
        <f>IF('Start Page'!$Y$36=2,Z240*VLOOKUP('Start Page'!$Y$36,'Unit Conversion Sheet'!$A$43:$C$45,3)*VLOOKUP('Start Page'!$Y$36,'Unit Conversion Sheet'!$A$48:$C$50,3),Z240)</f>
        <v>0.31542200964074102</v>
      </c>
    </row>
    <row r="241" spans="25:29" hidden="1">
      <c r="Y241" s="325" t="str">
        <f>'Data 2012'!$V$6</f>
        <v>PAW</v>
      </c>
      <c r="Z241" s="325">
        <f>'Data 2012'!$V$56</f>
        <v>0.90411104309965629</v>
      </c>
      <c r="AA241" s="327">
        <f>IF('Start Page'!$Y$36=2,Z241*VLOOKUP('Start Page'!$Y$36,'Unit Conversion Sheet'!$A$43:$C$45,3)*VLOOKUP('Start Page'!$Y$36,'Unit Conversion Sheet'!$A$48:$C$50,3),Z241)</f>
        <v>0.90411104309965629</v>
      </c>
    </row>
    <row r="242" spans="25:29" hidden="1">
      <c r="Y242" s="325" t="str">
        <f>'Data 2012'!$W$6</f>
        <v>PWD</v>
      </c>
      <c r="Z242" s="325">
        <f>'Data 2012'!$W$56</f>
        <v>2.3099681643928998</v>
      </c>
      <c r="AA242" s="327">
        <f>IF('Start Page'!$Y$36=2,Z242*VLOOKUP('Start Page'!$Y$36,'Unit Conversion Sheet'!$A$43:$C$45,3)*VLOOKUP('Start Page'!$Y$36,'Unit Conversion Sheet'!$A$48:$C$50,3),Z242)</f>
        <v>2.3099681643928998</v>
      </c>
    </row>
    <row r="243" spans="25:29" hidden="1">
      <c r="Y243" s="325" t="str">
        <f>'Data 2012'!$X$6</f>
        <v>RRW</v>
      </c>
      <c r="Z243" s="325">
        <f>'Data 2012'!$X$56</f>
        <v>0.51846104098246959</v>
      </c>
      <c r="AA243" s="327">
        <f>IF('Start Page'!$Y$36=2,Z243*VLOOKUP('Start Page'!$Y$36,'Unit Conversion Sheet'!$A$43:$C$45,3)*VLOOKUP('Start Page'!$Y$36,'Unit Conversion Sheet'!$A$48:$C$50,3),Z243)</f>
        <v>0.51846104098246959</v>
      </c>
    </row>
    <row r="244" spans="25:29" hidden="1">
      <c r="Y244" s="325" t="str">
        <f>'Data 2012'!$Y$6</f>
        <v>UI</v>
      </c>
      <c r="Z244" s="325">
        <f>'Data 2012'!$Y$56</f>
        <v>0.13675307582118784</v>
      </c>
      <c r="AA244" s="327">
        <f>IF('Start Page'!$Y$36=2,Z244*VLOOKUP('Start Page'!$Y$36,'Unit Conversion Sheet'!$A$43:$C$45,3)*VLOOKUP('Start Page'!$Y$36,'Unit Conversion Sheet'!$A$48:$C$50,3),Z244)</f>
        <v>0.13675307582118784</v>
      </c>
    </row>
    <row r="245" spans="25:29" hidden="1">
      <c r="Y245" s="325" t="str">
        <f>'Data 2012'!$Z$6</f>
        <v>WWU</v>
      </c>
      <c r="Z245" s="325">
        <f>'Data 2012'!$Z$56</f>
        <v>0.60026729914236965</v>
      </c>
      <c r="AA245" s="327">
        <f>IF('Start Page'!$Y$36=2,Z245*VLOOKUP('Start Page'!$Y$36,'Unit Conversion Sheet'!$A$43:$C$45,3)*VLOOKUP('Start Page'!$Y$36,'Unit Conversion Sheet'!$A$48:$C$50,3),Z245)</f>
        <v>0.60026729914236965</v>
      </c>
    </row>
    <row r="246" spans="25:29" hidden="1">
      <c r="Y246" s="325" t="str">
        <f>'Data 2012'!$AA$6</f>
        <v>WCSA</v>
      </c>
      <c r="Z246" s="325">
        <f>'Data 2012'!$AA$56</f>
        <v>0</v>
      </c>
      <c r="AA246" s="327">
        <f>IF('Start Page'!$Y$36=2,Z246*VLOOKUP('Start Page'!$Y$36,'Unit Conversion Sheet'!$A$43:$C$45,3)*VLOOKUP('Start Page'!$Y$36,'Unit Conversion Sheet'!$A$48:$C$50,3),Z246)</f>
        <v>0</v>
      </c>
    </row>
    <row r="247" spans="25:29" hidden="1">
      <c r="Y247" s="325" t="str">
        <f>'Data 2012'!$AB$6</f>
        <v>WDPW</v>
      </c>
      <c r="Z247" s="325">
        <f>'Data 2012'!$AB$56</f>
        <v>3.121402777760419</v>
      </c>
      <c r="AA247" s="327">
        <f>IF('Start Page'!$Y$36=2,Z247*VLOOKUP('Start Page'!$Y$36,'Unit Conversion Sheet'!$A$43:$C$45,3)*VLOOKUP('Start Page'!$Y$36,'Unit Conversion Sheet'!$A$48:$C$50,3),Z247)</f>
        <v>3.121402777760419</v>
      </c>
    </row>
    <row r="248" spans="25:29" hidden="1">
      <c r="Y248" s="325" t="str">
        <f>'Data 2012'!$AC$6</f>
        <v>WWAWC</v>
      </c>
      <c r="Z248" s="325">
        <f>'Data 2012'!$AC$56</f>
        <v>0</v>
      </c>
      <c r="AA248" s="327">
        <f>IF('Start Page'!$Y$36=2,Z248*VLOOKUP('Start Page'!$Y$36,'Unit Conversion Sheet'!$A$43:$C$45,3)*VLOOKUP('Start Page'!$Y$36,'Unit Conversion Sheet'!$A$48:$C$50,3),Z248)</f>
        <v>0</v>
      </c>
    </row>
    <row r="249" spans="25:29" hidden="1">
      <c r="Y249" s="335" t="str">
        <f>$C$8</f>
        <v/>
      </c>
      <c r="Z249" s="323" t="str">
        <f>'AWWA-Water Balance Data Transf.'!$D$60</f>
        <v>N/A</v>
      </c>
      <c r="AA249" s="323" t="str">
        <f>'AWWA-Water Balance Data Transf.'!$D$60</f>
        <v>N/A</v>
      </c>
    </row>
    <row r="250" spans="25:29" hidden="1"/>
    <row r="251" spans="25:29" ht="124" hidden="1">
      <c r="Y251" s="329" t="str">
        <f>IF('Start Page'!$Y$36=1,"System Characteristic: Unavoidable Annual Real Losses [MG/Yr]",IF('Start Page'!$Y$36=2,"System Characteristic: Unavoidable Annual Real Losses [ML/Yr]", IF('Start Page'!$Y$36=3,"Unavoidable Annual Real Losses [Acre-feet/Yr]")))</f>
        <v>System Characteristic: Unavoidable Annual Real Losses [MG/Yr]</v>
      </c>
      <c r="Z251" s="327"/>
      <c r="AA251" s="327"/>
    </row>
    <row r="252" spans="25:29" ht="31" hidden="1">
      <c r="Y252" s="330" t="s">
        <v>1</v>
      </c>
      <c r="Z252" s="327" t="s">
        <v>64</v>
      </c>
      <c r="AA252" s="327" t="s">
        <v>85</v>
      </c>
      <c r="AB252" s="327" t="s">
        <v>553</v>
      </c>
    </row>
    <row r="253" spans="25:29" hidden="1">
      <c r="Y253" s="325" t="str">
        <f>'Data 2012'!$D$6</f>
        <v>GCWW</v>
      </c>
      <c r="Z253" s="325">
        <f>'Data 2012'!$D$57</f>
        <v>2182.3348364136368</v>
      </c>
      <c r="AA253" s="327">
        <f>IF(ISERROR(IF('Start Page'!$Y$36=1,Z253,Z253*VLOOKUP('Start Page'!$Y$36,'Unit Conversion Sheet'!$A$43:$C$45,3))),"",IF('Start Page'!$Y$36=1,Z253,Z253*VLOOKUP('Start Page'!$Y$36,'Unit Conversion Sheet'!$A$43:$C$45,3)))</f>
        <v>2182.3348364136368</v>
      </c>
      <c r="AB253" s="333">
        <v>0.25</v>
      </c>
      <c r="AC253" s="325">
        <f>PERCENTILE(AA253:AA279,AB253)</f>
        <v>162.56276676136363</v>
      </c>
    </row>
    <row r="254" spans="25:29" hidden="1">
      <c r="Y254" s="325" t="str">
        <f>'Data 2012'!$E$6</f>
        <v>SMW</v>
      </c>
      <c r="Z254" s="325">
        <f>'Data 2012'!$E$57</f>
        <v>82.915589999999995</v>
      </c>
      <c r="AA254" s="327">
        <f>IF(ISERROR(IF('Start Page'!$Y$36=1,Z254,Z254*VLOOKUP('Start Page'!$Y$36,'Unit Conversion Sheet'!$A$43:$C$45,3))),"",IF('Start Page'!$Y$36=1,Z254,Z254*VLOOKUP('Start Page'!$Y$36,'Unit Conversion Sheet'!$A$43:$C$45,3)))</f>
        <v>82.915589999999995</v>
      </c>
      <c r="AB254" s="333">
        <v>0.5</v>
      </c>
      <c r="AC254" s="325">
        <f t="shared" ref="AC254:AC255" si="22">PERCENTILE(AA254:AA280,AB254)</f>
        <v>538.81279359406722</v>
      </c>
    </row>
    <row r="255" spans="25:29" hidden="1">
      <c r="Y255" s="325" t="str">
        <f>'Data 2012'!$F$6</f>
        <v>ABCWUA</v>
      </c>
      <c r="Z255" s="325">
        <f>'Data 2012'!$F$57</f>
        <v>1336.9558072125001</v>
      </c>
      <c r="AA255" s="327">
        <f>IF(ISERROR(IF('Start Page'!$Y$36=1,Z255,Z255*VLOOKUP('Start Page'!$Y$36,'Unit Conversion Sheet'!$A$43:$C$45,3))),"",IF('Start Page'!$Y$36=1,Z255,Z255*VLOOKUP('Start Page'!$Y$36,'Unit Conversion Sheet'!$A$43:$C$45,3)))</f>
        <v>1336.9558072125001</v>
      </c>
      <c r="AB255" s="333">
        <v>0.75</v>
      </c>
      <c r="AC255" s="325">
        <f t="shared" si="22"/>
        <v>1676.957920265</v>
      </c>
    </row>
    <row r="256" spans="25:29" hidden="1">
      <c r="Y256" s="325" t="str">
        <f>'Data 2012'!$G$6</f>
        <v>AquaWSC</v>
      </c>
      <c r="Z256" s="325">
        <f>'Data 2012'!$G$57</f>
        <v>225.85278374999999</v>
      </c>
      <c r="AA256" s="327">
        <f>IF(ISERROR(IF('Start Page'!$Y$36=1,Z256,Z256*VLOOKUP('Start Page'!$Y$36,'Unit Conversion Sheet'!$A$43:$C$45,3))),"",IF('Start Page'!$Y$36=1,Z256,Z256*VLOOKUP('Start Page'!$Y$36,'Unit Conversion Sheet'!$A$43:$C$45,3)))</f>
        <v>225.85278374999999</v>
      </c>
    </row>
    <row r="257" spans="25:27" hidden="1">
      <c r="Y257" s="325" t="str">
        <f>'Data 2012'!$H$6</f>
        <v>AW</v>
      </c>
      <c r="Z257" s="325">
        <f>'Data 2012'!$H$57</f>
        <v>1453.32155923</v>
      </c>
      <c r="AA257" s="327">
        <f>IF(ISERROR(IF('Start Page'!$Y$36=1,Z257,Z257*VLOOKUP('Start Page'!$Y$36,'Unit Conversion Sheet'!$A$43:$C$45,3))),"",IF('Start Page'!$Y$36=1,Z257,Z257*VLOOKUP('Start Page'!$Y$36,'Unit Conversion Sheet'!$A$43:$C$45,3)))</f>
        <v>1453.32155923</v>
      </c>
    </row>
    <row r="258" spans="25:27" hidden="1">
      <c r="Y258" s="325" t="str">
        <f>'Data 2012'!$I$6</f>
        <v>BUD</v>
      </c>
      <c r="Z258" s="325">
        <f>'Data 2012'!$I$57</f>
        <v>28.642006250000001</v>
      </c>
      <c r="AA258" s="327">
        <f>IF(ISERROR(IF('Start Page'!$Y$36=1,Z258,Z258*VLOOKUP('Start Page'!$Y$36,'Unit Conversion Sheet'!$A$43:$C$45,3))),"",IF('Start Page'!$Y$36=1,Z258,Z258*VLOOKUP('Start Page'!$Y$36,'Unit Conversion Sheet'!$A$43:$C$45,3)))</f>
        <v>28.642006250000001</v>
      </c>
    </row>
    <row r="259" spans="25:27" hidden="1">
      <c r="Y259" s="325" t="str">
        <f>'Data 2012'!$J$6</f>
        <v>BWWB</v>
      </c>
      <c r="Z259" s="325">
        <f>'Data 2012'!$J$57</f>
        <v>2275.7263934685693</v>
      </c>
      <c r="AA259" s="327">
        <f>IF(ISERROR(IF('Start Page'!$Y$36=1,Z259,Z259*VLOOKUP('Start Page'!$Y$36,'Unit Conversion Sheet'!$A$43:$C$45,3))),"",IF('Start Page'!$Y$36=1,Z259,Z259*VLOOKUP('Start Page'!$Y$36,'Unit Conversion Sheet'!$A$43:$C$45,3)))</f>
        <v>2275.7263934685693</v>
      </c>
    </row>
    <row r="260" spans="25:27" hidden="1">
      <c r="Y260" s="325" t="str">
        <f>'Data 2012'!$K$6</f>
        <v>CW</v>
      </c>
      <c r="Z260" s="325">
        <f>'Data 2012'!$K$57</f>
        <v>2022.2454638590914</v>
      </c>
      <c r="AA260" s="327">
        <f>IF(ISERROR(IF('Start Page'!$Y$36=1,Z260,Z260*VLOOKUP('Start Page'!$Y$36,'Unit Conversion Sheet'!$A$43:$C$45,3))),"",IF('Start Page'!$Y$36=1,Z260,Z260*VLOOKUP('Start Page'!$Y$36,'Unit Conversion Sheet'!$A$43:$C$45,3)))</f>
        <v>2022.2454638590914</v>
      </c>
    </row>
    <row r="261" spans="25:27" hidden="1">
      <c r="Y261" s="325" t="str">
        <f>'Data 2012'!$L$6</f>
        <v>CCWSA</v>
      </c>
      <c r="Z261" s="325">
        <f>'Data 2012'!$L$57</f>
        <v>346.79620169999998</v>
      </c>
      <c r="AA261" s="327">
        <f>IF(ISERROR(IF('Start Page'!$Y$36=1,Z261,Z261*VLOOKUP('Start Page'!$Y$36,'Unit Conversion Sheet'!$A$43:$C$45,3))),"",IF('Start Page'!$Y$36=1,Z261,Z261*VLOOKUP('Start Page'!$Y$36,'Unit Conversion Sheet'!$A$43:$C$45,3)))</f>
        <v>346.79620169999998</v>
      </c>
    </row>
    <row r="262" spans="25:27" hidden="1">
      <c r="Y262" s="325" t="str">
        <f>'Data 2012'!$M$6</f>
        <v>CCWS</v>
      </c>
      <c r="Z262" s="325">
        <f>'Data 2012'!$M$57</f>
        <v>1233.6284599999999</v>
      </c>
      <c r="AA262" s="327">
        <f>IF(ISERROR(IF('Start Page'!$Y$36=1,Z262,Z262*VLOOKUP('Start Page'!$Y$36,'Unit Conversion Sheet'!$A$43:$C$45,3))),"",IF('Start Page'!$Y$36=1,Z262,Z262*VLOOKUP('Start Page'!$Y$36,'Unit Conversion Sheet'!$A$43:$C$45,3)))</f>
        <v>1233.6284599999999</v>
      </c>
    </row>
    <row r="263" spans="25:27" hidden="1">
      <c r="Y263" s="325" t="str">
        <f>'Data 2012'!$N$6</f>
        <v>CBW</v>
      </c>
      <c r="Z263" s="325">
        <f>'Data 2012'!$N$57</f>
        <v>53.477021344898937</v>
      </c>
      <c r="AA263" s="327">
        <f>IF(ISERROR(IF('Start Page'!$Y$36=1,Z263,Z263*VLOOKUP('Start Page'!$Y$36,'Unit Conversion Sheet'!$A$43:$C$45,3))),"",IF('Start Page'!$Y$36=1,Z263,Z263*VLOOKUP('Start Page'!$Y$36,'Unit Conversion Sheet'!$A$43:$C$45,3)))</f>
        <v>53.477021344898937</v>
      </c>
    </row>
    <row r="264" spans="25:27" hidden="1">
      <c r="Y264" s="325" t="str">
        <f>'Data 2012'!$O$6</f>
        <v>DUTIL</v>
      </c>
      <c r="Z264" s="325">
        <f>'Data 2012'!$O$57</f>
        <v>487.91223998769999</v>
      </c>
      <c r="AA264" s="327">
        <f>IF(ISERROR(IF('Start Page'!$Y$36=1,Z264,Z264*VLOOKUP('Start Page'!$Y$36,'Unit Conversion Sheet'!$A$43:$C$45,3))),"",IF('Start Page'!$Y$36=1,Z264,Z264*VLOOKUP('Start Page'!$Y$36,'Unit Conversion Sheet'!$A$43:$C$45,3)))</f>
        <v>487.91223998769999</v>
      </c>
    </row>
    <row r="265" spans="25:27" hidden="1">
      <c r="Y265" s="325" t="str">
        <f>'Data 2012'!$P$6</f>
        <v>DCWATER</v>
      </c>
      <c r="Z265" s="325">
        <f>'Data 2012'!$P$57</f>
        <v>761.22900596590898</v>
      </c>
      <c r="AA265" s="327">
        <f>IF(ISERROR(IF('Start Page'!$Y$36=1,Z265,Z265*VLOOKUP('Start Page'!$Y$36,'Unit Conversion Sheet'!$A$43:$C$45,3))),"",IF('Start Page'!$Y$36=1,Z265,Z265*VLOOKUP('Start Page'!$Y$36,'Unit Conversion Sheet'!$A$43:$C$45,3)))</f>
        <v>761.22900596590898</v>
      </c>
    </row>
    <row r="266" spans="25:27" hidden="1">
      <c r="Y266" s="325" t="str">
        <f>'Data 2012'!$Q$6</f>
        <v>HRWC</v>
      </c>
      <c r="Z266" s="325">
        <f>'Data 2012'!$Q$57</f>
        <v>566.05407018813457</v>
      </c>
      <c r="AA266" s="327">
        <f>IF(ISERROR(IF('Start Page'!$Y$36=1,Z266,Z266*VLOOKUP('Start Page'!$Y$36,'Unit Conversion Sheet'!$A$43:$C$45,3))),"",IF('Start Page'!$Y$36=1,Z266,Z266*VLOOKUP('Start Page'!$Y$36,'Unit Conversion Sheet'!$A$43:$C$45,3)))</f>
        <v>566.05407018813457</v>
      </c>
    </row>
    <row r="267" spans="25:27" hidden="1">
      <c r="Y267" s="325" t="str">
        <f>'Data 2012'!$R$6</f>
        <v>JCW1</v>
      </c>
      <c r="Z267" s="325">
        <f>'Data 2012'!$R$57</f>
        <v>1136.4788083785002</v>
      </c>
      <c r="AA267" s="327">
        <f>IF(ISERROR(IF('Start Page'!$Y$36=1,Z267,Z267*VLOOKUP('Start Page'!$Y$36,'Unit Conversion Sheet'!$A$43:$C$45,3))),"",IF('Start Page'!$Y$36=1,Z267,Z267*VLOOKUP('Start Page'!$Y$36,'Unit Conversion Sheet'!$A$43:$C$45,3)))</f>
        <v>1136.4788083785002</v>
      </c>
    </row>
    <row r="268" spans="25:27" hidden="1">
      <c r="Y268" s="325" t="str">
        <f>'Data 2012'!$S$6</f>
        <v>LVVWD</v>
      </c>
      <c r="Z268" s="325">
        <f>'Data 2012'!$S$57</f>
        <v>2133.1861075000002</v>
      </c>
      <c r="AA268" s="327">
        <f>IF(ISERROR(IF('Start Page'!$Y$36=1,Z268,Z268*VLOOKUP('Start Page'!$Y$36,'Unit Conversion Sheet'!$A$43:$C$45,3))),"",IF('Start Page'!$Y$36=1,Z268,Z268*VLOOKUP('Start Page'!$Y$36,'Unit Conversion Sheet'!$A$43:$C$45,3)))</f>
        <v>2133.1861075000002</v>
      </c>
    </row>
    <row r="269" spans="25:27" hidden="1">
      <c r="Y269" s="325" t="str">
        <f>'Data 2012'!$T$6</f>
        <v>LWCKY</v>
      </c>
      <c r="Z269" s="325">
        <f>'Data 2012'!$T$57</f>
        <v>1900.5942812999999</v>
      </c>
      <c r="AA269" s="327">
        <f>IF(ISERROR(IF('Start Page'!$Y$36=1,Z269,Z269*VLOOKUP('Start Page'!$Y$36,'Unit Conversion Sheet'!$A$43:$C$45,3))),"",IF('Start Page'!$Y$36=1,Z269,Z269*VLOOKUP('Start Page'!$Y$36,'Unit Conversion Sheet'!$A$43:$C$45,3)))</f>
        <v>1900.5942812999999</v>
      </c>
    </row>
    <row r="270" spans="25:27" hidden="1">
      <c r="Y270" s="325" t="str">
        <f>'Data 2012'!$U$6</f>
        <v>OCFL</v>
      </c>
      <c r="Z270" s="325">
        <f>'Data 2012'!$U$57</f>
        <v>511.57151699999997</v>
      </c>
      <c r="AA270" s="327">
        <f>IF(ISERROR(IF('Start Page'!$Y$36=1,Z270,Z270*VLOOKUP('Start Page'!$Y$36,'Unit Conversion Sheet'!$A$43:$C$45,3))),"",IF('Start Page'!$Y$36=1,Z270,Z270*VLOOKUP('Start Page'!$Y$36,'Unit Conversion Sheet'!$A$43:$C$45,3)))</f>
        <v>511.57151699999997</v>
      </c>
    </row>
    <row r="271" spans="25:27" hidden="1">
      <c r="Y271" s="325" t="str">
        <f>'Data 2012'!$V$6</f>
        <v>PAW</v>
      </c>
      <c r="Z271" s="325">
        <f>'Data 2012'!$V$57</f>
        <v>2670.3403794631254</v>
      </c>
      <c r="AA271" s="327">
        <f>IF(ISERROR(IF('Start Page'!$Y$36=1,Z271,Z271*VLOOKUP('Start Page'!$Y$36,'Unit Conversion Sheet'!$A$43:$C$45,3))),"",IF('Start Page'!$Y$36=1,Z271,Z271*VLOOKUP('Start Page'!$Y$36,'Unit Conversion Sheet'!$A$43:$C$45,3)))</f>
        <v>2670.3403794631254</v>
      </c>
    </row>
    <row r="272" spans="25:27" hidden="1">
      <c r="Y272" s="325" t="str">
        <f>'Data 2012'!$W$6</f>
        <v>PWD</v>
      </c>
      <c r="Z272" s="325">
        <f>'Data 2012'!$W$57</f>
        <v>2101.6717839375001</v>
      </c>
      <c r="AA272" s="327">
        <f>IF(ISERROR(IF('Start Page'!$Y$36=1,Z272,Z272*VLOOKUP('Start Page'!$Y$36,'Unit Conversion Sheet'!$A$43:$C$45,3))),"",IF('Start Page'!$Y$36=1,Z272,Z272*VLOOKUP('Start Page'!$Y$36,'Unit Conversion Sheet'!$A$43:$C$45,3)))</f>
        <v>2101.6717839375001</v>
      </c>
    </row>
    <row r="273" spans="25:29" hidden="1">
      <c r="Y273" s="325" t="str">
        <f>'Data 2012'!$X$6</f>
        <v>RRW</v>
      </c>
      <c r="Z273" s="325">
        <f>'Data 2012'!$X$57</f>
        <v>161.57270674999998</v>
      </c>
      <c r="AA273" s="327">
        <f>IF(ISERROR(IF('Start Page'!$Y$36=1,Z273,Z273*VLOOKUP('Start Page'!$Y$36,'Unit Conversion Sheet'!$A$43:$C$45,3))),"",IF('Start Page'!$Y$36=1,Z273,Z273*VLOOKUP('Start Page'!$Y$36,'Unit Conversion Sheet'!$A$43:$C$45,3)))</f>
        <v>161.57270674999998</v>
      </c>
    </row>
    <row r="274" spans="25:29" hidden="1">
      <c r="Y274" s="325" t="str">
        <f>'Data 2012'!$Y$6</f>
        <v>UI</v>
      </c>
      <c r="Z274" s="325" t="str">
        <f>'Data 2012'!$Y$57</f>
        <v>Not Valid</v>
      </c>
      <c r="AA274" s="327" t="str">
        <f>IF(ISERROR(IF('Start Page'!$Y$36=1,Z274,Z274*VLOOKUP('Start Page'!$Y$36,'Unit Conversion Sheet'!$A$43:$C$45,3))),"",IF('Start Page'!$Y$36=1,Z274,Z274*VLOOKUP('Start Page'!$Y$36,'Unit Conversion Sheet'!$A$43:$C$45,3)))</f>
        <v>Not Valid</v>
      </c>
    </row>
    <row r="275" spans="25:29" hidden="1">
      <c r="Y275" s="325" t="str">
        <f>'Data 2012'!$Z$6</f>
        <v>WWU</v>
      </c>
      <c r="Z275" s="325">
        <f>'Data 2012'!$Z$57</f>
        <v>78.260066431818188</v>
      </c>
      <c r="AA275" s="327">
        <f>IF(ISERROR(IF('Start Page'!$Y$36=1,Z275,Z275*VLOOKUP('Start Page'!$Y$36,'Unit Conversion Sheet'!$A$43:$C$45,3))),"",IF('Start Page'!$Y$36=1,Z275,Z275*VLOOKUP('Start Page'!$Y$36,'Unit Conversion Sheet'!$A$43:$C$45,3)))</f>
        <v>78.260066431818188</v>
      </c>
    </row>
    <row r="276" spans="25:29" hidden="1">
      <c r="Y276" s="325" t="str">
        <f>'Data 2012'!$AA$6</f>
        <v>WCSA</v>
      </c>
      <c r="Z276" s="325">
        <f>'Data 2012'!$AA$57</f>
        <v>286.24614000000003</v>
      </c>
      <c r="AA276" s="327">
        <f>IF(ISERROR(IF('Start Page'!$Y$36=1,Z276,Z276*VLOOKUP('Start Page'!$Y$36,'Unit Conversion Sheet'!$A$43:$C$45,3))),"",IF('Start Page'!$Y$36=1,Z276,Z276*VLOOKUP('Start Page'!$Y$36,'Unit Conversion Sheet'!$A$43:$C$45,3)))</f>
        <v>286.24614000000003</v>
      </c>
    </row>
    <row r="277" spans="25:29" hidden="1">
      <c r="Y277" s="325" t="str">
        <f>'Data 2012'!$AB$6</f>
        <v>WDPW</v>
      </c>
      <c r="Z277" s="325">
        <f>'Data 2012'!$AB$57</f>
        <v>162.56276676136363</v>
      </c>
      <c r="AA277" s="327">
        <f>IF(ISERROR(IF('Start Page'!$Y$36=1,Z277,Z277*VLOOKUP('Start Page'!$Y$36,'Unit Conversion Sheet'!$A$43:$C$45,3))),"",IF('Start Page'!$Y$36=1,Z277,Z277*VLOOKUP('Start Page'!$Y$36,'Unit Conversion Sheet'!$A$43:$C$45,3)))</f>
        <v>162.56276676136363</v>
      </c>
    </row>
    <row r="278" spans="25:29" hidden="1">
      <c r="Y278" s="325" t="str">
        <f>'Data 2012'!$AC$6</f>
        <v>WWAWC</v>
      </c>
      <c r="Z278" s="325">
        <f>'Data 2012'!$AC$57</f>
        <v>61.148523000000004</v>
      </c>
      <c r="AA278" s="327">
        <f>IF(ISERROR(IF('Start Page'!$Y$36=1,Z278,Z278*VLOOKUP('Start Page'!$Y$36,'Unit Conversion Sheet'!$A$43:$C$45,3))),"",IF('Start Page'!$Y$36=1,Z278,Z278*VLOOKUP('Start Page'!$Y$36,'Unit Conversion Sheet'!$A$43:$C$45,3)))</f>
        <v>61.148523000000004</v>
      </c>
    </row>
    <row r="279" spans="25:29" hidden="1">
      <c r="Y279" s="335" t="str">
        <f>$C$8</f>
        <v/>
      </c>
      <c r="Z279" s="339" t="str">
        <f>'AWWA-Water Balance Data Transf.'!$D$61</f>
        <v>N/A</v>
      </c>
      <c r="AA279" s="339" t="str">
        <f>'AWWA-Water Balance Data Transf.'!$D$61</f>
        <v>N/A</v>
      </c>
    </row>
    <row r="280" spans="25:29" hidden="1"/>
    <row r="281" spans="25:29" ht="108.5" hidden="1">
      <c r="Y281" s="329" t="str">
        <f>IF('Start Page'!$Y$36=1,"Performance Indicator: Current Annual Real Losses [MG/Yr]",IF('Start Page'!$Y$36=2,"Performance Indicator: Current Annual Real Losses [ML/Yr]", IF('Start Page'!$Y$36=3,"Current Annual Real Losses [Acre-feet/Yr]")))</f>
        <v>Performance Indicator: Current Annual Real Losses [MG/Yr]</v>
      </c>
      <c r="Z281" s="327"/>
      <c r="AA281" s="327"/>
    </row>
    <row r="282" spans="25:29" ht="31" hidden="1">
      <c r="Y282" s="330" t="s">
        <v>1</v>
      </c>
      <c r="Z282" s="327" t="s">
        <v>64</v>
      </c>
      <c r="AA282" s="327" t="s">
        <v>85</v>
      </c>
      <c r="AB282" s="327" t="s">
        <v>553</v>
      </c>
    </row>
    <row r="283" spans="25:29" hidden="1">
      <c r="Y283" s="325" t="str">
        <f>'Data 2012'!$D$6</f>
        <v>GCWW</v>
      </c>
      <c r="Z283" s="325">
        <f>'Data 2012'!$D$35</f>
        <v>5157.7028181818096</v>
      </c>
      <c r="AA283" s="327">
        <f>IF('Start Page'!$Y$36=1,Z283,Z283*VLOOKUP('Start Page'!$Y$36,'Unit Conversion Sheet'!$A$43:$C$45,3))</f>
        <v>5157.7028181818096</v>
      </c>
      <c r="AB283" s="333">
        <v>0.25</v>
      </c>
      <c r="AC283" s="325">
        <f>PERCENTILE(AA283:AA309,AB283)</f>
        <v>389.33355002989401</v>
      </c>
    </row>
    <row r="284" spans="25:29" hidden="1">
      <c r="Y284" s="325" t="str">
        <f>'Data 2012'!$E$6</f>
        <v>SMW</v>
      </c>
      <c r="Z284" s="325">
        <f>'Data 2012'!$E$35</f>
        <v>276.5296625678161</v>
      </c>
      <c r="AA284" s="327">
        <f>IF('Start Page'!$Y$36=1,Z284,Z284*VLOOKUP('Start Page'!$Y$36,'Unit Conversion Sheet'!$A$43:$C$45,3))</f>
        <v>276.5296625678161</v>
      </c>
      <c r="AB284" s="333">
        <v>0.5</v>
      </c>
      <c r="AC284" s="325">
        <f t="shared" ref="AC284:AC285" si="23">PERCENTILE(AA284:AA310,AB284)</f>
        <v>1369.7238379591834</v>
      </c>
    </row>
    <row r="285" spans="25:29" hidden="1">
      <c r="Y285" s="325" t="str">
        <f>'Data 2012'!$F$6</f>
        <v>ABCWUA</v>
      </c>
      <c r="Z285" s="325">
        <f>'Data 2012'!$F$35</f>
        <v>1790.995656678162</v>
      </c>
      <c r="AA285" s="327">
        <f>IF('Start Page'!$Y$36=1,Z285,Z285*VLOOKUP('Start Page'!$Y$36,'Unit Conversion Sheet'!$A$43:$C$45,3))</f>
        <v>1790.995656678162</v>
      </c>
      <c r="AB285" s="333">
        <v>0.75</v>
      </c>
      <c r="AC285" s="325">
        <f t="shared" si="23"/>
        <v>4303.7482513045106</v>
      </c>
    </row>
    <row r="286" spans="25:29" hidden="1">
      <c r="Y286" s="325" t="str">
        <f>'Data 2012'!$G$6</f>
        <v>AquaWSC</v>
      </c>
      <c r="Z286" s="325">
        <f>'Data 2012'!$G$35</f>
        <v>411.65442893400996</v>
      </c>
      <c r="AA286" s="327">
        <f>IF('Start Page'!$Y$36=1,Z286,Z286*VLOOKUP('Start Page'!$Y$36,'Unit Conversion Sheet'!$A$43:$C$45,3))</f>
        <v>411.65442893400996</v>
      </c>
    </row>
    <row r="287" spans="25:29" hidden="1">
      <c r="Y287" s="325" t="str">
        <f>'Data 2012'!$H$6</f>
        <v>AW</v>
      </c>
      <c r="Z287" s="325">
        <f>'Data 2012'!$H$35</f>
        <v>4332.2116000000024</v>
      </c>
      <c r="AA287" s="327">
        <f>IF('Start Page'!$Y$36=1,Z287,Z287*VLOOKUP('Start Page'!$Y$36,'Unit Conversion Sheet'!$A$43:$C$45,3))</f>
        <v>4332.2116000000024</v>
      </c>
    </row>
    <row r="288" spans="25:29" hidden="1">
      <c r="Y288" s="325" t="str">
        <f>'Data 2012'!$I$6</f>
        <v>BUD</v>
      </c>
      <c r="Z288" s="325">
        <f>'Data 2012'!$I$35</f>
        <v>129.54082196969694</v>
      </c>
      <c r="AA288" s="327">
        <f>IF('Start Page'!$Y$36=1,Z288,Z288*VLOOKUP('Start Page'!$Y$36,'Unit Conversion Sheet'!$A$43:$C$45,3))</f>
        <v>129.54082196969694</v>
      </c>
    </row>
    <row r="289" spans="25:27" hidden="1">
      <c r="Y289" s="325" t="str">
        <f>'Data 2012'!$J$6</f>
        <v>BWWB</v>
      </c>
      <c r="Z289" s="325">
        <f>'Data 2012'!$J$35</f>
        <v>9052.1478723271357</v>
      </c>
      <c r="AA289" s="327">
        <f>IF('Start Page'!$Y$36=1,Z289,Z289*VLOOKUP('Start Page'!$Y$36,'Unit Conversion Sheet'!$A$43:$C$45,3))</f>
        <v>9052.1478723271357</v>
      </c>
    </row>
    <row r="290" spans="25:27" hidden="1">
      <c r="Y290" s="325" t="str">
        <f>'Data 2012'!$K$6</f>
        <v>CW</v>
      </c>
      <c r="Z290" s="325">
        <f>'Data 2012'!$K$35</f>
        <v>4294.2604684060134</v>
      </c>
      <c r="AA290" s="327">
        <f>IF('Start Page'!$Y$36=1,Z290,Z290*VLOOKUP('Start Page'!$Y$36,'Unit Conversion Sheet'!$A$43:$C$45,3))</f>
        <v>4294.2604684060134</v>
      </c>
    </row>
    <row r="291" spans="25:27" hidden="1">
      <c r="Y291" s="325" t="str">
        <f>'Data 2012'!$L$6</f>
        <v>CCWSA</v>
      </c>
      <c r="Z291" s="325">
        <f>'Data 2012'!$L$35</f>
        <v>453.23713382653114</v>
      </c>
      <c r="AA291" s="327">
        <f>IF('Start Page'!$Y$36=1,Z291,Z291*VLOOKUP('Start Page'!$Y$36,'Unit Conversion Sheet'!$A$43:$C$45,3))</f>
        <v>453.23713382653114</v>
      </c>
    </row>
    <row r="292" spans="25:27" hidden="1">
      <c r="Y292" s="325" t="str">
        <f>'Data 2012'!$M$6</f>
        <v>CCWS</v>
      </c>
      <c r="Z292" s="325">
        <f>'Data 2012'!$M$35</f>
        <v>1299.0823977538093</v>
      </c>
      <c r="AA292" s="327">
        <f>IF('Start Page'!$Y$36=1,Z292,Z292*VLOOKUP('Start Page'!$Y$36,'Unit Conversion Sheet'!$A$43:$C$45,3))</f>
        <v>1299.0823977538093</v>
      </c>
    </row>
    <row r="293" spans="25:27" hidden="1">
      <c r="Y293" s="325" t="str">
        <f>'Data 2012'!$N$6</f>
        <v>CBW</v>
      </c>
      <c r="Z293" s="325">
        <f>'Data 2012'!$N$35</f>
        <v>270.64622647858823</v>
      </c>
      <c r="AA293" s="327">
        <f>IF('Start Page'!$Y$36=1,Z293,Z293*VLOOKUP('Start Page'!$Y$36,'Unit Conversion Sheet'!$A$43:$C$45,3))</f>
        <v>270.64622647858823</v>
      </c>
    </row>
    <row r="294" spans="25:27" hidden="1">
      <c r="Y294" s="325" t="str">
        <f>'Data 2012'!$O$6</f>
        <v>DUTIL</v>
      </c>
      <c r="Z294" s="325">
        <f>'Data 2012'!$O$35</f>
        <v>718.30023506700945</v>
      </c>
      <c r="AA294" s="327">
        <f>IF('Start Page'!$Y$36=1,Z294,Z294*VLOOKUP('Start Page'!$Y$36,'Unit Conversion Sheet'!$A$43:$C$45,3))</f>
        <v>718.30023506700945</v>
      </c>
    </row>
    <row r="295" spans="25:27" hidden="1">
      <c r="Y295" s="325" t="str">
        <f>'Data 2012'!$P$6</f>
        <v>DCWATER</v>
      </c>
      <c r="Z295" s="325">
        <f>'Data 2012'!$P$35</f>
        <v>5446.9999999999964</v>
      </c>
      <c r="AA295" s="327">
        <f>IF('Start Page'!$Y$36=1,Z295,Z295*VLOOKUP('Start Page'!$Y$36,'Unit Conversion Sheet'!$A$43:$C$45,3))</f>
        <v>5446.9999999999964</v>
      </c>
    </row>
    <row r="296" spans="25:27" hidden="1">
      <c r="Y296" s="325" t="str">
        <f>'Data 2012'!$Q$6</f>
        <v>HRWC</v>
      </c>
      <c r="Z296" s="325">
        <f>'Data 2012'!$Q$35</f>
        <v>1769.0606417911822</v>
      </c>
      <c r="AA296" s="327">
        <f>IF('Start Page'!$Y$36=1,Z296,Z296*VLOOKUP('Start Page'!$Y$36,'Unit Conversion Sheet'!$A$43:$C$45,3))</f>
        <v>1769.0606417911822</v>
      </c>
    </row>
    <row r="297" spans="25:27" hidden="1">
      <c r="Y297" s="325" t="str">
        <f>'Data 2012'!$R$6</f>
        <v>JCW1</v>
      </c>
      <c r="Z297" s="325">
        <f>'Data 2012'!$R$35</f>
        <v>1924.3358043492917</v>
      </c>
      <c r="AA297" s="327">
        <f>IF('Start Page'!$Y$36=1,Z297,Z297*VLOOKUP('Start Page'!$Y$36,'Unit Conversion Sheet'!$A$43:$C$45,3))</f>
        <v>1924.3358043492917</v>
      </c>
    </row>
    <row r="298" spans="25:27" hidden="1">
      <c r="Y298" s="325" t="str">
        <f>'Data 2012'!$S$6</f>
        <v>LVVWD</v>
      </c>
      <c r="Z298" s="325">
        <f>'Data 2012'!$S$35</f>
        <v>3605.6557499999908</v>
      </c>
      <c r="AA298" s="327">
        <f>IF('Start Page'!$Y$36=1,Z298,Z298*VLOOKUP('Start Page'!$Y$36,'Unit Conversion Sheet'!$A$43:$C$45,3))</f>
        <v>3605.6557499999908</v>
      </c>
    </row>
    <row r="299" spans="25:27" hidden="1">
      <c r="Y299" s="325" t="str">
        <f>'Data 2012'!$T$6</f>
        <v>LWCKY</v>
      </c>
      <c r="Z299" s="325">
        <f>'Data 2012'!$T$35</f>
        <v>4554.4919999999984</v>
      </c>
      <c r="AA299" s="327">
        <f>IF('Start Page'!$Y$36=1,Z299,Z299*VLOOKUP('Start Page'!$Y$36,'Unit Conversion Sheet'!$A$43:$C$45,3))</f>
        <v>4554.4919999999984</v>
      </c>
    </row>
    <row r="300" spans="25:27" hidden="1">
      <c r="Y300" s="325" t="str">
        <f>'Data 2012'!$U$6</f>
        <v>OCFL</v>
      </c>
      <c r="Z300" s="325">
        <f>'Data 2012'!$U$35</f>
        <v>651.45533358585817</v>
      </c>
      <c r="AA300" s="327">
        <f>IF('Start Page'!$Y$36=1,Z300,Z300*VLOOKUP('Start Page'!$Y$36,'Unit Conversion Sheet'!$A$43:$C$45,3))</f>
        <v>651.45533358585817</v>
      </c>
    </row>
    <row r="301" spans="25:27" hidden="1">
      <c r="Y301" s="325" t="str">
        <f>'Data 2012'!$V$6</f>
        <v>PAW</v>
      </c>
      <c r="Z301" s="325">
        <f>'Data 2012'!$V$35</f>
        <v>8839.4635162820505</v>
      </c>
      <c r="AA301" s="327">
        <f>IF('Start Page'!$Y$36=1,Z301,Z301*VLOOKUP('Start Page'!$Y$36,'Unit Conversion Sheet'!$A$43:$C$45,3))</f>
        <v>8839.4635162820505</v>
      </c>
    </row>
    <row r="302" spans="25:27" hidden="1">
      <c r="Y302" s="325" t="str">
        <f>'Data 2012'!$W$6</f>
        <v>PWD</v>
      </c>
      <c r="Z302" s="325">
        <f>'Data 2012'!$W$35</f>
        <v>24318.400000000009</v>
      </c>
      <c r="AA302" s="327">
        <f>IF('Start Page'!$Y$36=1,Z302,Z302*VLOOKUP('Start Page'!$Y$36,'Unit Conversion Sheet'!$A$43:$C$45,3))</f>
        <v>24318.400000000009</v>
      </c>
    </row>
    <row r="303" spans="25:27" hidden="1">
      <c r="Y303" s="325" t="str">
        <f>'Data 2012'!$X$6</f>
        <v>RRW</v>
      </c>
      <c r="Z303" s="325">
        <f>'Data 2012'!$X$35</f>
        <v>381.89325706185537</v>
      </c>
      <c r="AA303" s="327">
        <f>IF('Start Page'!$Y$36=1,Z303,Z303*VLOOKUP('Start Page'!$Y$36,'Unit Conversion Sheet'!$A$43:$C$45,3))</f>
        <v>381.89325706185537</v>
      </c>
    </row>
    <row r="304" spans="25:27" hidden="1">
      <c r="Y304" s="325" t="str">
        <f>'Data 2012'!$Y$6</f>
        <v>UI</v>
      </c>
      <c r="Z304" s="325">
        <f>'Data 2012'!$Y$35</f>
        <v>0.33842283673469353</v>
      </c>
      <c r="AA304" s="327">
        <f>IF('Start Page'!$Y$36=1,Z304,Z304*VLOOKUP('Start Page'!$Y$36,'Unit Conversion Sheet'!$A$43:$C$45,3))</f>
        <v>0.33842283673469353</v>
      </c>
    </row>
    <row r="305" spans="25:29" hidden="1">
      <c r="Y305" s="325" t="str">
        <f>'Data 2012'!$Z$6</f>
        <v>WWU</v>
      </c>
      <c r="Z305" s="325">
        <f>'Data 2012'!$Z$35</f>
        <v>169.80061224489782</v>
      </c>
      <c r="AA305" s="327">
        <f>IF('Start Page'!$Y$36=1,Z305,Z305*VLOOKUP('Start Page'!$Y$36,'Unit Conversion Sheet'!$A$43:$C$45,3))</f>
        <v>169.80061224489782</v>
      </c>
    </row>
    <row r="306" spans="25:29" hidden="1">
      <c r="Y306" s="325" t="str">
        <f>'Data 2012'!$AA$6</f>
        <v>WCSA</v>
      </c>
      <c r="Z306" s="325">
        <f>'Data 2012'!$AA$35</f>
        <v>1369.7238379591834</v>
      </c>
      <c r="AA306" s="327">
        <f>IF('Start Page'!$Y$36=1,Z306,Z306*VLOOKUP('Start Page'!$Y$36,'Unit Conversion Sheet'!$A$43:$C$45,3))</f>
        <v>1369.7238379591834</v>
      </c>
    </row>
    <row r="307" spans="25:29" hidden="1">
      <c r="Y307" s="325" t="str">
        <f>'Data 2012'!$AB$6</f>
        <v>WDPW</v>
      </c>
      <c r="Z307" s="325">
        <f>'Data 2012'!$AB$35</f>
        <v>2135.9251980263161</v>
      </c>
      <c r="AA307" s="327">
        <f>IF('Start Page'!$Y$36=1,Z307,Z307*VLOOKUP('Start Page'!$Y$36,'Unit Conversion Sheet'!$A$43:$C$45,3))</f>
        <v>2135.9251980263161</v>
      </c>
    </row>
    <row r="308" spans="25:29" hidden="1">
      <c r="Y308" s="325" t="str">
        <f>'Data 2012'!$AC$6</f>
        <v>WWAWC</v>
      </c>
      <c r="Z308" s="325">
        <f>'Data 2012'!$AC$35</f>
        <v>67.440770519267517</v>
      </c>
      <c r="AA308" s="327">
        <f>IF('Start Page'!$Y$36=1,Z308,Z308*VLOOKUP('Start Page'!$Y$36,'Unit Conversion Sheet'!$A$43:$C$45,3))</f>
        <v>67.440770519267517</v>
      </c>
    </row>
    <row r="309" spans="25:29" hidden="1">
      <c r="Y309" s="335" t="str">
        <f>$C$8</f>
        <v/>
      </c>
      <c r="Z309" s="339" t="str">
        <f>'AWWA-Water Balance Data Transf.'!$D$62</f>
        <v/>
      </c>
      <c r="AA309" s="339" t="str">
        <f>'AWWA-Water Balance Data Transf.'!$D$62</f>
        <v/>
      </c>
    </row>
    <row r="310" spans="25:29" hidden="1"/>
    <row r="311" spans="25:29" ht="108.5" hidden="1">
      <c r="Y311" s="328" t="s">
        <v>700</v>
      </c>
      <c r="Z311" s="327"/>
      <c r="AA311" s="327"/>
    </row>
    <row r="312" spans="25:29" ht="31" hidden="1">
      <c r="Y312" s="330" t="s">
        <v>1</v>
      </c>
      <c r="Z312" s="327" t="s">
        <v>64</v>
      </c>
      <c r="AA312" s="327" t="s">
        <v>85</v>
      </c>
      <c r="AB312" s="327" t="s">
        <v>553</v>
      </c>
    </row>
    <row r="313" spans="25:29" hidden="1">
      <c r="Y313" s="325" t="str">
        <f>'Data 2012'!$D$6</f>
        <v>GCWW</v>
      </c>
      <c r="Z313" s="325">
        <f>'Data 2012'!$D$58</f>
        <v>2.363387474791804</v>
      </c>
      <c r="AA313" s="327">
        <f>Z313</f>
        <v>2.363387474791804</v>
      </c>
      <c r="AB313" s="333">
        <v>0.25</v>
      </c>
      <c r="AC313" s="325">
        <f>PERCENTILE(AA313:AA339,AB313)</f>
        <v>1.5267105437099182</v>
      </c>
    </row>
    <row r="314" spans="25:29" hidden="1">
      <c r="Y314" s="325" t="str">
        <f>'Data 2012'!$E$6</f>
        <v>SMW</v>
      </c>
      <c r="Z314" s="325">
        <f>'Data 2012'!$E$58</f>
        <v>3.3350744120353739</v>
      </c>
      <c r="AA314" s="327">
        <f>Z314</f>
        <v>3.3350744120353739</v>
      </c>
      <c r="AB314" s="333">
        <v>0.5</v>
      </c>
      <c r="AC314" s="325">
        <f t="shared" ref="AC314:AC315" si="24">PERCENTILE(AA314:AA340,AB314)</f>
        <v>2.363600045722793</v>
      </c>
    </row>
    <row r="315" spans="25:29" hidden="1">
      <c r="Y315" s="325" t="str">
        <f>'Data 2012'!$F$6</f>
        <v>ABCWUA</v>
      </c>
      <c r="Z315" s="325">
        <f>'Data 2012'!$F$58</f>
        <v>1.3396072233773508</v>
      </c>
      <c r="AA315" s="327">
        <f>Z315</f>
        <v>1.3396072233773508</v>
      </c>
      <c r="AB315" s="333">
        <v>0.75</v>
      </c>
      <c r="AC315" s="325">
        <f t="shared" si="24"/>
        <v>4.113961175648452</v>
      </c>
    </row>
    <row r="316" spans="25:29" hidden="1">
      <c r="Y316" s="325" t="str">
        <f>'Data 2012'!$G$6</f>
        <v>AquaWSC</v>
      </c>
      <c r="Z316" s="325">
        <f>'Data 2012'!$G$58</f>
        <v>1.8226670581562401</v>
      </c>
      <c r="AA316" s="327">
        <f>Z316</f>
        <v>1.8226670581562401</v>
      </c>
    </row>
    <row r="317" spans="25:29" hidden="1">
      <c r="Y317" s="325" t="str">
        <f>'Data 2012'!$H$6</f>
        <v>AW</v>
      </c>
      <c r="Z317" s="325">
        <f>'Data 2012'!$H$58</f>
        <v>2.9809036909184075</v>
      </c>
      <c r="AA317" s="327">
        <f t="shared" ref="AA317:AA338" si="25">Z317</f>
        <v>2.9809036909184075</v>
      </c>
    </row>
    <row r="318" spans="25:29" hidden="1">
      <c r="Y318" s="325" t="str">
        <f>'Data 2012'!$I$6</f>
        <v>BUD</v>
      </c>
      <c r="Z318" s="325">
        <f>'Data 2012'!$I$58</f>
        <v>4.5227565708563775</v>
      </c>
      <c r="AA318" s="327">
        <f t="shared" si="25"/>
        <v>4.5227565708563775</v>
      </c>
    </row>
    <row r="319" spans="25:29" hidden="1">
      <c r="Y319" s="325" t="str">
        <f>'Data 2012'!$J$6</f>
        <v>BWWB</v>
      </c>
      <c r="Z319" s="325">
        <f>'Data 2012'!$J$58</f>
        <v>3.9776960439124762</v>
      </c>
      <c r="AA319" s="327">
        <f t="shared" si="25"/>
        <v>3.9776960439124762</v>
      </c>
    </row>
    <row r="320" spans="25:29" hidden="1">
      <c r="Y320" s="325" t="str">
        <f>'Data 2012'!$K$6</f>
        <v>CW</v>
      </c>
      <c r="Z320" s="325">
        <f>'Data 2012'!$K$58</f>
        <v>2.1235109907039624</v>
      </c>
      <c r="AA320" s="327">
        <f t="shared" si="25"/>
        <v>2.1235109907039624</v>
      </c>
    </row>
    <row r="321" spans="25:27" hidden="1">
      <c r="Y321" s="325" t="str">
        <f>'Data 2012'!$L$6</f>
        <v>CCWSA</v>
      </c>
      <c r="Z321" s="325">
        <f>'Data 2012'!$L$58</f>
        <v>1.3069264646058871</v>
      </c>
      <c r="AA321" s="327">
        <f t="shared" si="25"/>
        <v>1.3069264646058871</v>
      </c>
    </row>
    <row r="322" spans="25:27" hidden="1">
      <c r="Y322" s="325" t="str">
        <f>'Data 2012'!$M$6</f>
        <v>CCWS</v>
      </c>
      <c r="Z322" s="325">
        <f>'Data 2012'!$M$58</f>
        <v>1.0530580639764175</v>
      </c>
      <c r="AA322" s="327">
        <f t="shared" si="25"/>
        <v>1.0530580639764175</v>
      </c>
    </row>
    <row r="323" spans="25:27" hidden="1">
      <c r="Y323" s="325" t="str">
        <f>'Data 2012'!$N$6</f>
        <v>CBW</v>
      </c>
      <c r="Z323" s="325">
        <f>'Data 2012'!$N$58</f>
        <v>5.0609817015248666</v>
      </c>
      <c r="AA323" s="327">
        <f t="shared" si="25"/>
        <v>5.0609817015248666</v>
      </c>
    </row>
    <row r="324" spans="25:27" hidden="1">
      <c r="Y324" s="325" t="str">
        <f>'Data 2012'!$O$6</f>
        <v>DUTIL</v>
      </c>
      <c r="Z324" s="325">
        <f>'Data 2012'!$O$58</f>
        <v>1.4721914643607166</v>
      </c>
      <c r="AA324" s="327">
        <f t="shared" si="25"/>
        <v>1.4721914643607166</v>
      </c>
    </row>
    <row r="325" spans="25:27" hidden="1">
      <c r="Y325" s="325" t="str">
        <f>'Data 2012'!$P$6</f>
        <v>DCWATER</v>
      </c>
      <c r="Z325" s="325">
        <f>'Data 2012'!$P$58</f>
        <v>7.1555339553678747</v>
      </c>
      <c r="AA325" s="327">
        <f t="shared" si="25"/>
        <v>7.1555339553678747</v>
      </c>
    </row>
    <row r="326" spans="25:27" hidden="1">
      <c r="Y326" s="325" t="str">
        <f>'Data 2012'!$Q$6</f>
        <v>HRWC</v>
      </c>
      <c r="Z326" s="325">
        <f>'Data 2012'!$Q$58</f>
        <v>3.1252502807783267</v>
      </c>
      <c r="AA326" s="327">
        <f t="shared" si="25"/>
        <v>3.1252502807783267</v>
      </c>
    </row>
    <row r="327" spans="25:27" hidden="1">
      <c r="Y327" s="325" t="str">
        <f>'Data 2012'!$R$6</f>
        <v>JCW1</v>
      </c>
      <c r="Z327" s="325">
        <f>'Data 2012'!$R$58</f>
        <v>1.6932438952336353</v>
      </c>
      <c r="AA327" s="327">
        <f t="shared" si="25"/>
        <v>1.6932438952336353</v>
      </c>
    </row>
    <row r="328" spans="25:27" hidden="1">
      <c r="Y328" s="325" t="str">
        <f>'Data 2012'!$S$6</f>
        <v>LVVWD</v>
      </c>
      <c r="Z328" s="325">
        <f>'Data 2012'!$S$58</f>
        <v>1.6902677817575233</v>
      </c>
      <c r="AA328" s="327">
        <f t="shared" si="25"/>
        <v>1.6902677817575233</v>
      </c>
    </row>
    <row r="329" spans="25:27" hidden="1">
      <c r="Y329" s="325" t="str">
        <f>'Data 2012'!$T$6</f>
        <v>LWCKY</v>
      </c>
      <c r="Z329" s="325">
        <f>'Data 2012'!$T$58</f>
        <v>2.3963515226851793</v>
      </c>
      <c r="AA329" s="327">
        <f t="shared" si="25"/>
        <v>2.3963515226851793</v>
      </c>
    </row>
    <row r="330" spans="25:27" hidden="1">
      <c r="Y330" s="325" t="str">
        <f>'Data 2012'!$U$6</f>
        <v>OCFL</v>
      </c>
      <c r="Z330" s="325">
        <f>'Data 2012'!$U$58</f>
        <v>1.2734394154822701</v>
      </c>
      <c r="AA330" s="327">
        <f t="shared" si="25"/>
        <v>1.2734394154822701</v>
      </c>
    </row>
    <row r="331" spans="25:27" hidden="1">
      <c r="Y331" s="325" t="str">
        <f>'Data 2012'!$V$6</f>
        <v>PAW</v>
      </c>
      <c r="Z331" s="325">
        <f>'Data 2012'!$V$58</f>
        <v>3.3102384940376903</v>
      </c>
      <c r="AA331" s="327">
        <f t="shared" si="25"/>
        <v>3.3102384940376903</v>
      </c>
    </row>
    <row r="332" spans="25:27" hidden="1">
      <c r="Y332" s="325" t="str">
        <f>'Data 2012'!$W$6</f>
        <v>PWD</v>
      </c>
      <c r="Z332" s="325">
        <f>'Data 2012'!$W$58</f>
        <v>11.570978963441798</v>
      </c>
      <c r="AA332" s="327">
        <f t="shared" si="25"/>
        <v>11.570978963441798</v>
      </c>
    </row>
    <row r="333" spans="25:27" hidden="1">
      <c r="Y333" s="325" t="str">
        <f>'Data 2012'!$X$6</f>
        <v>RRW</v>
      </c>
      <c r="Z333" s="325">
        <f>'Data 2012'!$X$58</f>
        <v>2.363600045722793</v>
      </c>
      <c r="AA333" s="327">
        <f t="shared" si="25"/>
        <v>2.363600045722793</v>
      </c>
    </row>
    <row r="334" spans="25:27" hidden="1">
      <c r="Y334" s="325" t="str">
        <f>'Data 2012'!$Y$6</f>
        <v>UI</v>
      </c>
      <c r="Z334" s="325">
        <f>'Data 2012'!$Y$58</f>
        <v>0</v>
      </c>
      <c r="AA334" s="327">
        <f t="shared" si="25"/>
        <v>0</v>
      </c>
    </row>
    <row r="335" spans="25:27" hidden="1">
      <c r="Y335" s="325" t="str">
        <f>'Data 2012'!$Z$6</f>
        <v>WWU</v>
      </c>
      <c r="Z335" s="325">
        <f>'Data 2012'!$Z$58</f>
        <v>2.1696967557883644</v>
      </c>
      <c r="AA335" s="327">
        <f t="shared" si="25"/>
        <v>2.1696967557883644</v>
      </c>
    </row>
    <row r="336" spans="25:27" hidden="1">
      <c r="Y336" s="325" t="str">
        <f>'Data 2012'!$AA$6</f>
        <v>WCSA</v>
      </c>
      <c r="Z336" s="325">
        <f>'Data 2012'!$AA$58</f>
        <v>4.7851259687176331</v>
      </c>
      <c r="AA336" s="327">
        <f t="shared" si="25"/>
        <v>4.7851259687176331</v>
      </c>
    </row>
    <row r="337" spans="25:27" hidden="1">
      <c r="Y337" s="325" t="str">
        <f>'Data 2012'!$AB$6</f>
        <v>WDPW</v>
      </c>
      <c r="Z337" s="323">
        <f>'Data 2012'!$AB$58</f>
        <v>13.139080003244398</v>
      </c>
      <c r="AA337" s="327">
        <f t="shared" si="25"/>
        <v>13.139080003244398</v>
      </c>
    </row>
    <row r="338" spans="25:27" hidden="1">
      <c r="Y338" s="325" t="str">
        <f>'Data 2012'!$AC$6</f>
        <v>WWAWC</v>
      </c>
      <c r="Z338" s="323">
        <f>'Data 2012'!$AC$58</f>
        <v>1.1029010548507854</v>
      </c>
      <c r="AA338" s="327">
        <f t="shared" si="25"/>
        <v>1.1029010548507854</v>
      </c>
    </row>
    <row r="339" spans="25:27" hidden="1">
      <c r="Y339" s="335" t="str">
        <f>$C$8</f>
        <v/>
      </c>
      <c r="Z339" s="340" t="str">
        <f>'AWWA-Water Balance Data Transf.'!$D$63</f>
        <v/>
      </c>
      <c r="AA339" s="340" t="str">
        <f>'AWWA-Water Balance Data Transf.'!$D$63</f>
        <v/>
      </c>
    </row>
  </sheetData>
  <sheetProtection algorithmName="SHA-512" hashValue="syQ4A7gjnYiP4/ynVZn+QJ/OQ/BiyPvSKzjOsFgefsSK0ONHq8LZENtAT+c+Z4Vk/VrUKLu3f7ozi5MjSy5A7A==" saltValue="1wODuGGDik6wBjLxCua4pQ==" spinCount="100000" sheet="1" objects="1" scenarios="1"/>
  <mergeCells count="31">
    <mergeCell ref="C6:J6"/>
    <mergeCell ref="B10:B11"/>
    <mergeCell ref="D87:F87"/>
    <mergeCell ref="D88:F88"/>
    <mergeCell ref="D62:F62"/>
    <mergeCell ref="D81:F81"/>
    <mergeCell ref="D82:F82"/>
    <mergeCell ref="D83:F83"/>
    <mergeCell ref="D84:F84"/>
    <mergeCell ref="D85:F85"/>
    <mergeCell ref="D86:F86"/>
    <mergeCell ref="D75:F75"/>
    <mergeCell ref="D76:F76"/>
    <mergeCell ref="D77:F77"/>
    <mergeCell ref="D78:F78"/>
    <mergeCell ref="B1:H2"/>
    <mergeCell ref="D79:F79"/>
    <mergeCell ref="D80:F80"/>
    <mergeCell ref="D74:F74"/>
    <mergeCell ref="D68:F68"/>
    <mergeCell ref="D63:F63"/>
    <mergeCell ref="D64:F64"/>
    <mergeCell ref="D65:F65"/>
    <mergeCell ref="D66:F66"/>
    <mergeCell ref="D67:F67"/>
    <mergeCell ref="D69:F69"/>
    <mergeCell ref="D70:F70"/>
    <mergeCell ref="D71:F71"/>
    <mergeCell ref="D72:F72"/>
    <mergeCell ref="D73:F73"/>
    <mergeCell ref="B3:J3"/>
  </mergeCells>
  <phoneticPr fontId="5" type="noConversion"/>
  <printOptions horizontalCentered="1" verticalCentered="1"/>
  <pageMargins left="0.25" right="0.25" top="0.75" bottom="0.75" header="0.3" footer="0.3"/>
  <pageSetup paperSize="9" scale="47" orientation="portrait" horizontalDpi="4294967292" verticalDpi="4294967292" r:id="rId1"/>
  <ignoredErrors>
    <ignoredError sqref="B90" emptyCellReference="1"/>
  </ignoredErrors>
  <drawing r:id="rId2"/>
  <legacyDrawing r:id="rId3"/>
  <controls>
    <mc:AlternateContent xmlns:mc="http://schemas.openxmlformats.org/markup-compatibility/2006">
      <mc:Choice Requires="x14">
        <control shapeId="18439" r:id="rId4" name="PI_ComboBox">
          <controlPr defaultSize="0" autoLine="0" autoPict="0" listFillRange="'Performance Indicator Charts'!T13:T23" r:id="rId5">
            <anchor moveWithCells="1">
              <from>
                <xdr:col>2</xdr:col>
                <xdr:colOff>38100</xdr:colOff>
                <xdr:row>9</xdr:row>
                <xdr:rowOff>95250</xdr:rowOff>
              </from>
              <to>
                <xdr:col>7</xdr:col>
                <xdr:colOff>266700</xdr:colOff>
                <xdr:row>11</xdr:row>
                <xdr:rowOff>0</xdr:rowOff>
              </to>
            </anchor>
          </controlPr>
        </control>
      </mc:Choice>
      <mc:Fallback>
        <control shapeId="18439" r:id="rId4" name="PI_ComboBox"/>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LComp"/>
  <dimension ref="A1:AM180"/>
  <sheetViews>
    <sheetView showGridLines="0" topLeftCell="B1" zoomScale="60" zoomScaleNormal="60" zoomScalePageLayoutView="75" workbookViewId="0">
      <selection activeCell="R158" sqref="R158"/>
    </sheetView>
  </sheetViews>
  <sheetFormatPr defaultColWidth="0" defaultRowHeight="12.5" zeroHeight="1"/>
  <cols>
    <col min="1" max="1" width="2.23046875" style="25" hidden="1" customWidth="1"/>
    <col min="2" max="2" width="25" style="46" customWidth="1"/>
    <col min="3" max="3" width="11.53515625" style="25" customWidth="1"/>
    <col min="4" max="4" width="12.07421875" style="25" customWidth="1"/>
    <col min="5" max="5" width="11.69140625" style="25" customWidth="1"/>
    <col min="6" max="6" width="13.07421875" style="25" customWidth="1"/>
    <col min="7" max="7" width="10.3046875" style="25" customWidth="1"/>
    <col min="8" max="8" width="15.4609375" style="25" customWidth="1"/>
    <col min="9" max="9" width="12.07421875" style="25" customWidth="1"/>
    <col min="10" max="10" width="8.765625" style="25" customWidth="1"/>
    <col min="11" max="11" width="7.23046875" style="25" customWidth="1"/>
    <col min="12" max="12" width="9.765625" style="25" customWidth="1"/>
    <col min="13" max="13" width="8.3046875" style="25" customWidth="1"/>
    <col min="14" max="14" width="9.07421875" style="25" customWidth="1"/>
    <col min="15" max="15" width="4.765625" style="25" customWidth="1"/>
    <col min="16" max="16" width="7.84375" style="25" customWidth="1"/>
    <col min="17" max="17" width="8" style="25" customWidth="1"/>
    <col min="18" max="18" width="10" style="25" customWidth="1"/>
    <col min="19" max="19" width="10.07421875" style="568" hidden="1" customWidth="1"/>
    <col min="20" max="23" width="7.765625" style="568" hidden="1" customWidth="1"/>
    <col min="24" max="24" width="24.84375" style="568" hidden="1" customWidth="1"/>
    <col min="25" max="25" width="15.69140625" style="568" hidden="1" customWidth="1"/>
    <col min="26" max="26" width="12.84375" style="568" hidden="1" customWidth="1"/>
    <col min="27" max="27" width="7.765625" style="568" hidden="1" customWidth="1"/>
    <col min="28" max="28" width="11.765625" style="568" hidden="1" customWidth="1"/>
    <col min="29" max="29" width="15.07421875" style="568" hidden="1" customWidth="1"/>
    <col min="30" max="33" width="7.765625" style="568" hidden="1" customWidth="1"/>
    <col min="34" max="34" width="10.3046875" style="568" hidden="1" customWidth="1"/>
    <col min="35" max="35" width="16.84375" style="568" hidden="1" customWidth="1"/>
    <col min="36" max="36" width="11.53515625" style="568" hidden="1" customWidth="1"/>
    <col min="37" max="39" width="7.765625" style="568" hidden="1" customWidth="1"/>
    <col min="40" max="16384" width="7.765625" style="317" hidden="1"/>
  </cols>
  <sheetData>
    <row r="1" spans="1:18" ht="15.75" customHeight="1">
      <c r="A1" s="77"/>
      <c r="B1" s="1054" t="s">
        <v>920</v>
      </c>
      <c r="C1" s="1055"/>
      <c r="D1" s="1055"/>
      <c r="E1" s="1055"/>
      <c r="F1" s="1055"/>
      <c r="G1" s="1055"/>
      <c r="H1" s="1055"/>
      <c r="I1" s="1055"/>
      <c r="J1" s="1055"/>
      <c r="K1" s="1055"/>
      <c r="L1" s="48"/>
      <c r="M1" s="48"/>
      <c r="N1" s="48"/>
      <c r="O1" s="48"/>
      <c r="P1" s="48"/>
      <c r="Q1" s="48"/>
      <c r="R1" s="49"/>
    </row>
    <row r="2" spans="1:18" ht="15.75" customHeight="1">
      <c r="A2" s="78"/>
      <c r="B2" s="1056"/>
      <c r="C2" s="1057"/>
      <c r="D2" s="1057"/>
      <c r="E2" s="1057"/>
      <c r="F2" s="1057"/>
      <c r="G2" s="1057"/>
      <c r="H2" s="1057"/>
      <c r="I2" s="1057"/>
      <c r="J2" s="1057"/>
      <c r="K2" s="1057"/>
      <c r="L2" s="26"/>
      <c r="M2" s="26"/>
      <c r="N2" s="202"/>
      <c r="O2" s="26"/>
      <c r="P2" s="26"/>
      <c r="Q2" s="26"/>
      <c r="R2" s="51"/>
    </row>
    <row r="3" spans="1:18" ht="15.75" customHeight="1">
      <c r="A3" s="58"/>
      <c r="B3" s="1205" t="str">
        <f>IF('Start Page'!$Y$37="","",IF('Start Page'!$K$37="Partial Audit Period","Water Audit: "&amp;'Start Page'!$D$26&amp;", "&amp;'Start Page'!$H$26&amp;", "&amp;'Start Page'!$K$26&amp;", "&amp;'Start Page'!$Y$37,"Water Audit: "&amp;'Start Page'!$D$26&amp;", "&amp;'Start Page'!$H$26&amp;", "&amp;'Start Page'!$K$26&amp;", "&amp;YEAR('Start Page'!$Y$37)))</f>
        <v/>
      </c>
      <c r="C3" s="1206"/>
      <c r="D3" s="1206"/>
      <c r="E3" s="1206"/>
      <c r="F3" s="1206"/>
      <c r="G3" s="1206"/>
      <c r="H3" s="1206"/>
      <c r="I3" s="1206"/>
      <c r="J3" s="1206"/>
      <c r="K3" s="1206"/>
      <c r="L3" s="1206"/>
      <c r="M3" s="1206"/>
      <c r="N3" s="1206"/>
      <c r="O3" s="1206"/>
      <c r="P3" s="1206"/>
      <c r="Q3" s="1206"/>
      <c r="R3" s="1207"/>
    </row>
    <row r="4" spans="1:18" ht="15.75" customHeight="1" thickBot="1">
      <c r="A4" s="58"/>
      <c r="B4" s="1208" t="s">
        <v>130</v>
      </c>
      <c r="C4" s="1209"/>
      <c r="D4" s="1209"/>
      <c r="E4" s="1209"/>
      <c r="F4" s="1209"/>
      <c r="G4" s="53"/>
      <c r="H4" s="53"/>
      <c r="I4" s="53"/>
      <c r="J4" s="53"/>
      <c r="K4" s="53"/>
      <c r="L4" s="53"/>
      <c r="M4" s="53"/>
      <c r="N4" s="53"/>
      <c r="O4" s="53"/>
      <c r="P4" s="53"/>
      <c r="Q4" s="53"/>
      <c r="R4" s="55"/>
    </row>
    <row r="5" spans="1:18" ht="15" customHeight="1" thickBot="1">
      <c r="A5" s="876"/>
      <c r="B5" s="77"/>
      <c r="C5" s="48"/>
      <c r="D5" s="48"/>
      <c r="E5" s="48"/>
      <c r="F5" s="48"/>
      <c r="G5" s="48"/>
      <c r="H5" s="48"/>
      <c r="I5" s="48"/>
      <c r="J5" s="48"/>
      <c r="K5" s="48"/>
      <c r="L5" s="48"/>
      <c r="M5" s="48"/>
      <c r="N5" s="48"/>
      <c r="O5" s="48"/>
      <c r="P5" s="48"/>
      <c r="Q5" s="48"/>
      <c r="R5" s="49"/>
    </row>
    <row r="6" spans="1:18" ht="15.5">
      <c r="A6" s="58"/>
      <c r="B6" s="1073" t="s">
        <v>563</v>
      </c>
      <c r="C6" s="1074"/>
      <c r="D6" s="1074"/>
      <c r="E6" s="1074"/>
      <c r="F6" s="1074"/>
      <c r="G6" s="200"/>
      <c r="H6" s="200"/>
      <c r="I6" s="200"/>
      <c r="J6" s="48"/>
      <c r="K6" s="48"/>
      <c r="L6" s="48"/>
      <c r="M6" s="48"/>
      <c r="N6" s="48"/>
      <c r="O6" s="48"/>
      <c r="P6" s="48"/>
      <c r="Q6" s="48"/>
      <c r="R6" s="49"/>
    </row>
    <row r="7" spans="1:18" ht="10" customHeight="1">
      <c r="A7" s="58"/>
      <c r="B7" s="50"/>
      <c r="C7" s="26"/>
      <c r="D7" s="26"/>
      <c r="E7" s="26"/>
      <c r="F7" s="26"/>
      <c r="G7" s="26"/>
      <c r="H7" s="26"/>
      <c r="I7" s="26"/>
      <c r="J7" s="26"/>
      <c r="K7" s="26"/>
      <c r="L7" s="26"/>
      <c r="M7" s="26"/>
      <c r="N7" s="26"/>
      <c r="O7" s="26"/>
      <c r="P7" s="26"/>
      <c r="Q7" s="26"/>
      <c r="R7" s="51"/>
    </row>
    <row r="8" spans="1:18" ht="20.149999999999999" customHeight="1">
      <c r="A8" s="58"/>
      <c r="B8" s="313" t="s">
        <v>561</v>
      </c>
      <c r="C8" s="314" t="s">
        <v>579</v>
      </c>
      <c r="D8" s="314"/>
      <c r="E8" s="314"/>
      <c r="F8" s="314"/>
      <c r="G8" s="314"/>
      <c r="H8" s="314"/>
      <c r="I8" s="314"/>
      <c r="J8" s="314"/>
      <c r="K8" s="314"/>
      <c r="L8" s="314"/>
      <c r="M8" s="314"/>
      <c r="N8" s="314"/>
      <c r="O8" s="314"/>
      <c r="P8" s="314"/>
      <c r="Q8" s="314"/>
      <c r="R8" s="312"/>
    </row>
    <row r="9" spans="1:18" ht="20.149999999999999" customHeight="1">
      <c r="A9" s="58"/>
      <c r="B9" s="1192"/>
      <c r="C9" s="1193"/>
      <c r="D9" s="1193"/>
      <c r="E9" s="1193"/>
      <c r="F9" s="1193"/>
      <c r="G9" s="87"/>
      <c r="H9" s="26"/>
      <c r="I9" s="26"/>
      <c r="J9" s="201"/>
      <c r="K9" s="201"/>
      <c r="L9" s="201"/>
      <c r="M9" s="201"/>
      <c r="N9" s="201"/>
      <c r="O9" s="201"/>
      <c r="P9" s="201"/>
      <c r="Q9" s="201"/>
      <c r="R9" s="51"/>
    </row>
    <row r="10" spans="1:18" ht="40.5" customHeight="1">
      <c r="A10" s="58"/>
      <c r="B10" s="228" t="s">
        <v>101</v>
      </c>
      <c r="C10" s="232" t="s">
        <v>102</v>
      </c>
      <c r="D10" s="232" t="s">
        <v>770</v>
      </c>
      <c r="E10" s="348" t="s">
        <v>771</v>
      </c>
      <c r="F10" s="229" t="s">
        <v>105</v>
      </c>
      <c r="G10" s="87"/>
      <c r="H10" s="1145" t="s">
        <v>807</v>
      </c>
      <c r="I10" s="1145"/>
      <c r="J10" s="1145"/>
      <c r="K10" s="1145"/>
      <c r="L10" s="1145"/>
      <c r="M10" s="1145"/>
      <c r="N10" s="26"/>
      <c r="O10" s="26"/>
      <c r="P10" s="26"/>
      <c r="Q10" s="26"/>
      <c r="R10" s="51"/>
    </row>
    <row r="11" spans="1:18" ht="20.149999999999999" customHeight="1">
      <c r="A11" s="58"/>
      <c r="B11" s="230"/>
      <c r="C11" s="231" t="str">
        <f>IF('Start Page'!$Y$36=1,"(MG)",IF('Start Page'!$Y$36=2,"(ML)",IF('Start Page'!$Y$36=3,"(Acre-feet)")))</f>
        <v>(MG)</v>
      </c>
      <c r="D11" s="231" t="str">
        <f>IF('Start Page'!$Y$36=1,"(MG)",IF('Start Page'!$Y$36=2,"(ML)",IF('Start Page'!$Y$36=3,"(Acre-feet)")))</f>
        <v>(MG)</v>
      </c>
      <c r="E11" s="231" t="str">
        <f>IF('Start Page'!$Y$36=1,"(MG)",IF('Start Page'!$Y$36=2,"(ML)",IF('Start Page'!$Y$36=3,"(Acre-feet)")))</f>
        <v>(MG)</v>
      </c>
      <c r="F11" s="231" t="str">
        <f>IF('Start Page'!$Y$36=1,"(MG)",IF('Start Page'!$Y$36=2,"(ML)",IF('Start Page'!$Y$36=3,"(Acre-feet)")))</f>
        <v>(MG)</v>
      </c>
      <c r="G11" s="87"/>
      <c r="H11" s="1145"/>
      <c r="I11" s="1145"/>
      <c r="J11" s="1145"/>
      <c r="K11" s="1145"/>
      <c r="L11" s="1145"/>
      <c r="M11" s="1145"/>
      <c r="N11" s="26"/>
      <c r="O11" s="26"/>
      <c r="P11" s="26"/>
      <c r="Q11" s="26"/>
      <c r="R11" s="51"/>
    </row>
    <row r="12" spans="1:18" ht="20.149999999999999" customHeight="1">
      <c r="A12" s="58"/>
      <c r="B12" s="233" t="s">
        <v>552</v>
      </c>
      <c r="C12" s="631">
        <f>G29</f>
        <v>0</v>
      </c>
      <c r="D12" s="631">
        <f>G27</f>
        <v>0</v>
      </c>
      <c r="E12" s="632">
        <f>G28</f>
        <v>0</v>
      </c>
      <c r="F12" s="633">
        <f>SUM(C12:E12)</f>
        <v>0</v>
      </c>
      <c r="G12" s="87"/>
      <c r="H12" s="26"/>
      <c r="I12" s="26"/>
      <c r="J12" s="26"/>
      <c r="K12" s="26"/>
      <c r="L12" s="26"/>
      <c r="M12" s="26"/>
      <c r="N12" s="26"/>
      <c r="O12" s="26"/>
      <c r="P12" s="26"/>
      <c r="Q12" s="26"/>
      <c r="R12" s="51"/>
    </row>
    <row r="13" spans="1:18" ht="20.149999999999999" customHeight="1">
      <c r="A13" s="58"/>
      <c r="B13" s="233" t="s">
        <v>704</v>
      </c>
      <c r="C13" s="631">
        <f>I39</f>
        <v>0</v>
      </c>
      <c r="D13" s="631">
        <f>N78+N90</f>
        <v>0</v>
      </c>
      <c r="E13" s="634">
        <f>N137+N149</f>
        <v>0</v>
      </c>
      <c r="F13" s="633">
        <f t="shared" ref="F13" si="0">SUM(C13:E13)</f>
        <v>0</v>
      </c>
      <c r="G13" s="87"/>
      <c r="H13" s="26"/>
      <c r="I13" s="26"/>
      <c r="J13" s="26"/>
      <c r="K13" s="26"/>
      <c r="L13" s="26"/>
      <c r="M13" s="26"/>
      <c r="N13" s="26"/>
      <c r="O13" s="26"/>
      <c r="P13" s="26"/>
      <c r="Q13" s="26"/>
      <c r="R13" s="51"/>
    </row>
    <row r="14" spans="1:18" ht="20.149999999999999" customHeight="1">
      <c r="A14" s="58"/>
      <c r="B14" s="234" t="s">
        <v>587</v>
      </c>
      <c r="C14" s="631">
        <f>I40+I41</f>
        <v>0</v>
      </c>
      <c r="D14" s="631">
        <f>N100</f>
        <v>0</v>
      </c>
      <c r="E14" s="634">
        <f>N159</f>
        <v>0</v>
      </c>
      <c r="F14" s="633">
        <f>SUM(C14:E14)</f>
        <v>0</v>
      </c>
      <c r="G14" s="87"/>
      <c r="H14" s="87"/>
      <c r="I14" s="87"/>
      <c r="J14" s="26"/>
      <c r="K14" s="26"/>
      <c r="L14" s="26"/>
      <c r="M14" s="26"/>
      <c r="N14" s="26"/>
      <c r="O14" s="26"/>
      <c r="P14" s="26"/>
      <c r="Q14" s="26"/>
      <c r="R14" s="51"/>
    </row>
    <row r="15" spans="1:18" ht="20.149999999999999" customHeight="1">
      <c r="A15" s="58"/>
      <c r="B15" s="349" t="s">
        <v>588</v>
      </c>
      <c r="C15" s="633">
        <f>C12+C13+C14</f>
        <v>0</v>
      </c>
      <c r="D15" s="633">
        <f>D12+D13+D14</f>
        <v>0</v>
      </c>
      <c r="E15" s="635">
        <f>E12+E13+E14</f>
        <v>0</v>
      </c>
      <c r="F15" s="633">
        <f>SUM(C15:E15)</f>
        <v>0</v>
      </c>
      <c r="G15" s="87"/>
      <c r="H15" s="87"/>
      <c r="I15" s="87"/>
      <c r="J15" s="26"/>
      <c r="K15" s="26"/>
      <c r="L15" s="26"/>
      <c r="M15" s="26"/>
      <c r="N15" s="26"/>
      <c r="O15" s="26"/>
      <c r="P15" s="26"/>
      <c r="Q15" s="26"/>
      <c r="R15" s="51"/>
    </row>
    <row r="16" spans="1:18" ht="20.149999999999999" customHeight="1">
      <c r="A16" s="58"/>
      <c r="B16" s="1194" t="s">
        <v>718</v>
      </c>
      <c r="C16" s="1195"/>
      <c r="D16" s="1195"/>
      <c r="E16" s="1196"/>
      <c r="F16" s="633">
        <f>IF('AWWA-Water Balance Data Transf.'!D30="",0,'AWWA-Water Balance Data Transf.'!D30)</f>
        <v>0</v>
      </c>
      <c r="G16" s="87"/>
      <c r="H16" s="87"/>
      <c r="I16" s="87"/>
      <c r="J16" s="26"/>
      <c r="K16" s="26"/>
      <c r="L16" s="26"/>
      <c r="M16" s="26"/>
      <c r="N16" s="26"/>
      <c r="O16" s="26"/>
      <c r="P16" s="26"/>
      <c r="Q16" s="26"/>
      <c r="R16" s="51"/>
    </row>
    <row r="17" spans="1:20" ht="20.149999999999999" customHeight="1">
      <c r="A17" s="58"/>
      <c r="B17" s="1200" t="s">
        <v>573</v>
      </c>
      <c r="C17" s="1201"/>
      <c r="D17" s="1201"/>
      <c r="E17" s="1202"/>
      <c r="F17" s="633">
        <f>F16-F15</f>
        <v>0</v>
      </c>
      <c r="G17" s="1189" t="str">
        <f>IF(F17&lt;0, "BALANCING ERROR NEEDS TO BE &gt;0 - CHECK WATER BALANCE DATA, COMPONENT ANALYSIS RESULTS, ICF USED MIGHT BE TOO HIGH","")</f>
        <v/>
      </c>
      <c r="H17" s="1189"/>
      <c r="I17" s="1189"/>
      <c r="J17" s="1189"/>
      <c r="K17" s="1189"/>
      <c r="L17" s="1189"/>
      <c r="M17" s="1189"/>
      <c r="N17" s="1189"/>
      <c r="O17" s="1189"/>
      <c r="P17" s="1189"/>
      <c r="Q17" s="26"/>
      <c r="R17" s="51"/>
    </row>
    <row r="18" spans="1:20" ht="20.149999999999999" customHeight="1">
      <c r="A18" s="58"/>
      <c r="B18" s="320"/>
      <c r="C18" s="127"/>
      <c r="D18" s="127"/>
      <c r="E18" s="127"/>
      <c r="F18" s="350"/>
      <c r="G18" s="1189"/>
      <c r="H18" s="1189"/>
      <c r="I18" s="1189"/>
      <c r="J18" s="1189"/>
      <c r="K18" s="1189"/>
      <c r="L18" s="1189"/>
      <c r="M18" s="1189"/>
      <c r="N18" s="1189"/>
      <c r="O18" s="1189"/>
      <c r="P18" s="1189"/>
      <c r="Q18" s="26"/>
      <c r="R18" s="51"/>
    </row>
    <row r="19" spans="1:20" ht="20.149999999999999" customHeight="1" thickBot="1">
      <c r="A19" s="58"/>
      <c r="B19" s="128"/>
      <c r="C19" s="89"/>
      <c r="D19" s="89"/>
      <c r="E19" s="89"/>
      <c r="F19" s="89"/>
      <c r="G19" s="89"/>
      <c r="H19" s="89"/>
      <c r="I19" s="89"/>
      <c r="J19" s="53"/>
      <c r="K19" s="53"/>
      <c r="L19" s="53"/>
      <c r="M19" s="53"/>
      <c r="N19" s="53"/>
      <c r="O19" s="53"/>
      <c r="P19" s="53"/>
      <c r="Q19" s="53"/>
      <c r="R19" s="55"/>
    </row>
    <row r="20" spans="1:20" ht="20.149999999999999" customHeight="1">
      <c r="A20" s="58"/>
      <c r="B20" s="199" t="s">
        <v>589</v>
      </c>
      <c r="C20" s="200"/>
      <c r="D20" s="200"/>
      <c r="E20" s="200"/>
      <c r="F20" s="200"/>
      <c r="G20" s="200"/>
      <c r="H20" s="48"/>
      <c r="I20" s="48"/>
      <c r="J20" s="48"/>
      <c r="K20" s="48"/>
      <c r="L20" s="48"/>
      <c r="M20" s="48"/>
      <c r="N20" s="48"/>
      <c r="O20" s="48"/>
      <c r="P20" s="48"/>
      <c r="Q20" s="48"/>
      <c r="R20" s="49"/>
    </row>
    <row r="21" spans="1:20" ht="10" customHeight="1">
      <c r="A21" s="58"/>
      <c r="B21" s="50"/>
      <c r="C21" s="26"/>
      <c r="D21" s="26"/>
      <c r="E21" s="26"/>
      <c r="F21" s="26"/>
      <c r="G21" s="26"/>
      <c r="H21" s="26"/>
      <c r="I21" s="26"/>
      <c r="J21" s="26"/>
      <c r="K21" s="26"/>
      <c r="L21" s="26"/>
      <c r="M21" s="26"/>
      <c r="N21" s="26"/>
      <c r="O21" s="26"/>
      <c r="P21" s="26"/>
      <c r="Q21" s="26"/>
      <c r="R21" s="51"/>
    </row>
    <row r="22" spans="1:20" ht="82.5" customHeight="1">
      <c r="A22" s="58"/>
      <c r="B22" s="226" t="s">
        <v>561</v>
      </c>
      <c r="C22" s="1148" t="s">
        <v>689</v>
      </c>
      <c r="D22" s="1148"/>
      <c r="E22" s="1148"/>
      <c r="F22" s="1148"/>
      <c r="G22" s="1148"/>
      <c r="H22" s="1148"/>
      <c r="I22" s="1148"/>
      <c r="J22" s="1148"/>
      <c r="K22" s="1148"/>
      <c r="L22" s="1148"/>
      <c r="M22" s="1148"/>
      <c r="N22" s="1148"/>
      <c r="O22" s="1148"/>
      <c r="P22" s="1148"/>
      <c r="Q22" s="1148"/>
      <c r="R22" s="1149"/>
    </row>
    <row r="23" spans="1:20" ht="20.149999999999999" customHeight="1">
      <c r="A23" s="58"/>
      <c r="B23" s="50"/>
      <c r="C23" s="26"/>
      <c r="D23" s="26"/>
      <c r="E23" s="26"/>
      <c r="F23" s="26"/>
      <c r="G23" s="26"/>
      <c r="H23" s="26"/>
      <c r="I23" s="26"/>
      <c r="J23" s="26"/>
      <c r="K23" s="26"/>
      <c r="L23" s="26"/>
      <c r="M23" s="26"/>
      <c r="N23" s="26" t="s">
        <v>403</v>
      </c>
      <c r="O23" s="26"/>
      <c r="P23" s="26"/>
      <c r="Q23" s="26"/>
      <c r="R23" s="51"/>
    </row>
    <row r="24" spans="1:20" ht="31">
      <c r="A24" s="58"/>
      <c r="B24" s="553"/>
      <c r="C24" s="554"/>
      <c r="D24" s="555"/>
      <c r="E24" s="556" t="s">
        <v>106</v>
      </c>
      <c r="F24" s="556" t="s">
        <v>107</v>
      </c>
      <c r="G24" s="130" t="s">
        <v>108</v>
      </c>
      <c r="H24" s="87"/>
      <c r="I24" s="131"/>
      <c r="J24" s="87"/>
      <c r="K24" s="87"/>
      <c r="L24" s="87"/>
      <c r="M24" s="26"/>
      <c r="N24" s="26"/>
      <c r="O24" s="26"/>
      <c r="P24" s="26"/>
      <c r="Q24" s="26"/>
      <c r="R24" s="51"/>
    </row>
    <row r="25" spans="1:20" ht="20.149999999999999" customHeight="1">
      <c r="A25" s="58"/>
      <c r="B25" s="557"/>
      <c r="C25" s="558"/>
      <c r="D25" s="559"/>
      <c r="E25" s="231" t="str">
        <f>IF('Start Page'!$Y$36=1,"(MG)",IF('Start Page'!$Y$36=2,"(ML)",IF('Start Page'!$Y$36=3,"(MG)")))</f>
        <v>(MG)</v>
      </c>
      <c r="F25" s="231" t="str">
        <f>IF('Start Page'!$Y$36=1,"(gpm/MG)",IF('Start Page'!$Y$36=2,"(l/min/ML)",IF('Start Page'!$Y$36=3,"(gpm/MG)")))</f>
        <v>(gpm/MG)</v>
      </c>
      <c r="G25" s="126" t="str">
        <f>IF('Start Page'!$Y$36=1,"(MG)",IF('Start Page'!$Y$36=2,"(ML)",IF('Start Page'!$Y$36=3,"(Acre-feet)")))</f>
        <v>(MG)</v>
      </c>
      <c r="H25" s="87"/>
      <c r="I25" s="87"/>
      <c r="J25" s="87"/>
      <c r="K25" s="133">
        <v>0.25</v>
      </c>
      <c r="L25" s="87" t="str">
        <f>F25</f>
        <v>(gpm/MG)</v>
      </c>
      <c r="M25" s="26"/>
      <c r="N25" s="26"/>
      <c r="O25" s="26"/>
      <c r="P25" s="26"/>
      <c r="Q25" s="26"/>
      <c r="R25" s="51"/>
    </row>
    <row r="26" spans="1:20" ht="20.149999999999999" customHeight="1">
      <c r="A26" s="58"/>
      <c r="B26" s="565" t="s">
        <v>808</v>
      </c>
      <c r="C26" s="560"/>
      <c r="D26" s="561"/>
      <c r="E26" s="603"/>
      <c r="F26" s="563">
        <f>IF(S26=1,K25,IF(S26=2,K28))</f>
        <v>0.25</v>
      </c>
      <c r="G26" s="343">
        <f>IF('Start Page'!$Y$36 = 3,'Unit Conversion Sheet'!E17*E26*F26*60*24*'Start Page'!K35/10^6,E26*F26*60*24*'Start Page'!K35/10^6)</f>
        <v>0</v>
      </c>
      <c r="H26" s="87"/>
      <c r="I26" s="87"/>
      <c r="J26" s="87"/>
      <c r="K26" s="87"/>
      <c r="L26" s="87"/>
      <c r="M26" s="26"/>
      <c r="N26" s="26"/>
      <c r="O26" s="26"/>
      <c r="P26" s="26"/>
      <c r="Q26" s="26"/>
      <c r="R26" s="51"/>
      <c r="S26" s="569">
        <v>1</v>
      </c>
      <c r="T26" s="568" t="s">
        <v>551</v>
      </c>
    </row>
    <row r="27" spans="1:20" ht="20.149999999999999" customHeight="1">
      <c r="A27" s="58"/>
      <c r="B27" s="565" t="s">
        <v>562</v>
      </c>
      <c r="C27" s="560"/>
      <c r="D27" s="560"/>
      <c r="E27" s="560"/>
      <c r="F27" s="560"/>
      <c r="G27" s="602"/>
      <c r="H27" s="87"/>
      <c r="I27" s="87"/>
      <c r="J27" s="87"/>
      <c r="K27" s="87"/>
      <c r="L27" s="87"/>
      <c r="M27" s="26"/>
      <c r="N27" s="26"/>
      <c r="O27" s="26"/>
      <c r="P27" s="26"/>
      <c r="Q27" s="26"/>
      <c r="R27" s="51"/>
    </row>
    <row r="28" spans="1:20" ht="20.149999999999999" customHeight="1">
      <c r="A28" s="58"/>
      <c r="B28" s="566" t="s">
        <v>550</v>
      </c>
      <c r="C28" s="558"/>
      <c r="D28" s="558"/>
      <c r="E28" s="558"/>
      <c r="F28" s="558"/>
      <c r="G28" s="602"/>
      <c r="H28" s="87"/>
      <c r="I28" s="87"/>
      <c r="J28" s="87"/>
      <c r="K28" s="624">
        <v>0</v>
      </c>
      <c r="L28" s="87" t="str">
        <f>F25</f>
        <v>(gpm/MG)</v>
      </c>
      <c r="M28" s="26"/>
      <c r="N28" s="26"/>
      <c r="O28" s="26"/>
      <c r="P28" s="26"/>
      <c r="Q28" s="26"/>
      <c r="R28" s="51"/>
    </row>
    <row r="29" spans="1:20" ht="20.149999999999999" customHeight="1">
      <c r="A29" s="58"/>
      <c r="B29" s="1197" t="s">
        <v>574</v>
      </c>
      <c r="C29" s="1198"/>
      <c r="D29" s="1198"/>
      <c r="E29" s="1198"/>
      <c r="F29" s="1199"/>
      <c r="G29" s="152">
        <f>SUM(G26:G28)</f>
        <v>0</v>
      </c>
      <c r="H29" s="87"/>
      <c r="I29" s="87"/>
      <c r="J29" s="87"/>
      <c r="K29" s="87"/>
      <c r="L29" s="87"/>
      <c r="M29" s="26"/>
      <c r="N29" s="26"/>
      <c r="O29" s="26"/>
      <c r="P29" s="26"/>
      <c r="Q29" s="26"/>
      <c r="R29" s="51"/>
    </row>
    <row r="30" spans="1:20" ht="20.149999999999999" customHeight="1">
      <c r="A30" s="58"/>
      <c r="B30" s="564" t="str">
        <f>IF('Start Page'!Y36=3,"SYSTEM INPUT VOLUME REPORTED IN ACRE-FEET, BACKGROUND LEAKAGE THEREFORE SHOWN IN ACRE-FEET","")</f>
        <v/>
      </c>
      <c r="C30" s="562"/>
      <c r="D30" s="562"/>
      <c r="E30" s="562"/>
      <c r="F30" s="562"/>
      <c r="G30" s="26"/>
      <c r="H30" s="26"/>
      <c r="I30" s="26"/>
      <c r="J30" s="26"/>
      <c r="K30" s="26"/>
      <c r="L30" s="26"/>
      <c r="M30" s="26"/>
      <c r="N30" s="26"/>
      <c r="O30" s="26"/>
      <c r="P30" s="26"/>
      <c r="Q30" s="26"/>
      <c r="R30" s="51"/>
    </row>
    <row r="31" spans="1:20" ht="20.149999999999999" customHeight="1" thickBot="1">
      <c r="A31" s="58"/>
      <c r="B31" s="128"/>
      <c r="C31" s="89"/>
      <c r="D31" s="89"/>
      <c r="E31" s="89"/>
      <c r="F31" s="89"/>
      <c r="G31" s="89"/>
      <c r="H31" s="89"/>
      <c r="I31" s="53"/>
      <c r="J31" s="53"/>
      <c r="K31" s="53"/>
      <c r="L31" s="53"/>
      <c r="M31" s="53"/>
      <c r="N31" s="53"/>
      <c r="O31" s="53"/>
      <c r="P31" s="53"/>
      <c r="Q31" s="53"/>
      <c r="R31" s="55"/>
    </row>
    <row r="32" spans="1:20" ht="20.149999999999999" customHeight="1">
      <c r="A32" s="58"/>
      <c r="B32" s="1183" t="s">
        <v>604</v>
      </c>
      <c r="C32" s="1184"/>
      <c r="D32" s="1184"/>
      <c r="E32" s="1184"/>
      <c r="F32" s="1184"/>
      <c r="G32" s="1184"/>
      <c r="H32" s="1184"/>
      <c r="I32" s="48"/>
      <c r="J32" s="48"/>
      <c r="K32" s="48"/>
      <c r="L32" s="48"/>
      <c r="M32" s="48"/>
      <c r="N32" s="48"/>
      <c r="O32" s="48"/>
      <c r="P32" s="48"/>
      <c r="Q32" s="48"/>
      <c r="R32" s="49"/>
    </row>
    <row r="33" spans="1:29" ht="10" customHeight="1">
      <c r="A33" s="58"/>
      <c r="B33" s="50"/>
      <c r="C33" s="26"/>
      <c r="D33" s="26"/>
      <c r="E33" s="26"/>
      <c r="F33" s="26"/>
      <c r="G33" s="26"/>
      <c r="H33" s="26"/>
      <c r="I33" s="26"/>
      <c r="J33" s="26"/>
      <c r="K33" s="26"/>
      <c r="L33" s="26"/>
      <c r="M33" s="26"/>
      <c r="N33" s="26"/>
      <c r="O33" s="26"/>
      <c r="P33" s="26"/>
      <c r="Q33" s="26"/>
      <c r="R33" s="51"/>
    </row>
    <row r="34" spans="1:29" ht="95.25" customHeight="1">
      <c r="A34" s="58"/>
      <c r="B34" s="241" t="s">
        <v>561</v>
      </c>
      <c r="C34" s="1148" t="s">
        <v>811</v>
      </c>
      <c r="D34" s="1148"/>
      <c r="E34" s="1148"/>
      <c r="F34" s="1148"/>
      <c r="G34" s="1148"/>
      <c r="H34" s="1148"/>
      <c r="I34" s="1148"/>
      <c r="J34" s="1148"/>
      <c r="K34" s="1148"/>
      <c r="L34" s="1148"/>
      <c r="M34" s="1148"/>
      <c r="N34" s="1148"/>
      <c r="O34" s="1148"/>
      <c r="P34" s="1148"/>
      <c r="Q34" s="1148"/>
      <c r="R34" s="1149"/>
    </row>
    <row r="35" spans="1:29" ht="20.149999999999999" customHeight="1">
      <c r="A35" s="58"/>
      <c r="B35" s="86"/>
      <c r="C35" s="87"/>
      <c r="D35" s="87"/>
      <c r="E35" s="87"/>
      <c r="F35" s="87"/>
      <c r="G35" s="87"/>
      <c r="H35" s="87"/>
      <c r="I35" s="87"/>
      <c r="J35" s="87"/>
      <c r="K35" s="87"/>
      <c r="L35" s="87"/>
      <c r="M35" s="87"/>
      <c r="N35" s="87"/>
      <c r="O35" s="87"/>
      <c r="P35" s="87"/>
      <c r="Q35" s="87"/>
      <c r="R35" s="139"/>
    </row>
    <row r="36" spans="1:29" ht="20.149999999999999" customHeight="1">
      <c r="A36" s="58"/>
      <c r="B36" s="242"/>
      <c r="C36" s="243"/>
      <c r="D36" s="243"/>
      <c r="E36" s="243"/>
      <c r="F36" s="132"/>
      <c r="G36" s="132"/>
      <c r="H36" s="1181" t="s">
        <v>111</v>
      </c>
      <c r="I36" s="1182"/>
      <c r="J36" s="87"/>
      <c r="K36" s="87"/>
      <c r="L36" s="87"/>
      <c r="M36" s="87"/>
      <c r="N36" s="87"/>
      <c r="O36" s="87"/>
      <c r="P36" s="87"/>
      <c r="Q36" s="87"/>
      <c r="R36" s="139"/>
      <c r="X36" s="568" t="s">
        <v>577</v>
      </c>
    </row>
    <row r="37" spans="1:29" ht="46.5">
      <c r="A37" s="58"/>
      <c r="B37" s="235" t="s">
        <v>101</v>
      </c>
      <c r="C37" s="236" t="s">
        <v>112</v>
      </c>
      <c r="D37" s="237" t="s">
        <v>113</v>
      </c>
      <c r="E37" s="866" t="s">
        <v>114</v>
      </c>
      <c r="F37" s="1203" t="s">
        <v>115</v>
      </c>
      <c r="G37" s="866" t="s">
        <v>116</v>
      </c>
      <c r="H37" s="1203" t="s">
        <v>117</v>
      </c>
      <c r="I37" s="129" t="s">
        <v>108</v>
      </c>
      <c r="J37" s="87"/>
      <c r="K37" s="87"/>
      <c r="L37" s="1179" t="s">
        <v>578</v>
      </c>
      <c r="M37" s="1179"/>
      <c r="N37" s="1179"/>
      <c r="O37" s="1179"/>
      <c r="P37" s="1179"/>
      <c r="Q37" s="1179"/>
      <c r="R37" s="1180"/>
      <c r="Y37" s="570" t="s">
        <v>114</v>
      </c>
      <c r="Z37" s="570" t="s">
        <v>114</v>
      </c>
      <c r="AB37" s="568" t="s">
        <v>141</v>
      </c>
    </row>
    <row r="38" spans="1:29" ht="19.5" customHeight="1">
      <c r="A38" s="58"/>
      <c r="B38" s="238"/>
      <c r="C38" s="239"/>
      <c r="D38" s="239"/>
      <c r="E38" s="126" t="str">
        <f>IF('Start Page'!$Y$36=1,"(g/unit/d/psi)",IF('Start Page'!$Y$36=2,"(l/unit/d/mH)", IF('Start Page'!$Y$36=3,"(g/unit/d/psi)")))</f>
        <v>(g/unit/d/psi)</v>
      </c>
      <c r="F38" s="1204"/>
      <c r="G38" s="240" t="str">
        <f>IF('Start Page'!$Y$36=1,"(psi)",IF('Start Page'!$Y$36=2,"mH", IF('Start Page'!$Y$36=3,"(psi)")))</f>
        <v>(psi)</v>
      </c>
      <c r="H38" s="1204"/>
      <c r="I38" s="240" t="str">
        <f>IF('Start Page'!$Y$36=1,"(MG)",IF('Start Page'!$Y$36=2,"(ML)",IF('Start Page'!$Y$36=3,"Acre-feet")))</f>
        <v>(MG)</v>
      </c>
      <c r="J38" s="87"/>
      <c r="K38" s="87"/>
      <c r="L38" s="87"/>
      <c r="M38" s="87"/>
      <c r="N38" s="87"/>
      <c r="O38" s="87"/>
      <c r="P38" s="827">
        <v>1</v>
      </c>
      <c r="Q38" s="87"/>
      <c r="R38" s="139"/>
      <c r="S38" s="569">
        <v>1</v>
      </c>
      <c r="T38" s="568" t="s">
        <v>551</v>
      </c>
      <c r="Y38" s="571" t="s">
        <v>139</v>
      </c>
      <c r="Z38" s="571" t="s">
        <v>140</v>
      </c>
      <c r="AB38" s="571" t="s">
        <v>139</v>
      </c>
      <c r="AC38" s="571" t="s">
        <v>140</v>
      </c>
    </row>
    <row r="39" spans="1:29" ht="20.149999999999999" customHeight="1">
      <c r="A39" s="58"/>
      <c r="B39" s="227" t="s">
        <v>138</v>
      </c>
      <c r="C39" s="244" t="str">
        <f>IF('Start Page'!$Y$42=1,"miles",IF('Start Page'!$Y$42=2,"kilometers"))</f>
        <v>miles</v>
      </c>
      <c r="D39" s="636">
        <f>'AWWA-Water Balance Data Transf.'!D37</f>
        <v>0</v>
      </c>
      <c r="E39" s="638">
        <f>IF(AND('Start Page'!$Y$36=1,'Start Page'!$Y$42=2),Y44,IF(AND('Start Page'!$Y$36=2,'Start Page'!$Y$42=2),Z39,IF(AND('Start Page'!$Y$36=3,'Start Page'!$Y$42=2),Y44,IF(AND('Start Page'!$Y$36=1,'Start Page'!$Y$42=1),Y39,IF(AND('Start Page'!$Y$36=2,'Start Page'!$Y$42=1),Z44,IF(AND('Start Page'!$Y$36=3,'Start Page'!$Y$42=1),Y39))))))</f>
        <v>2.87</v>
      </c>
      <c r="F39" s="352">
        <f>IF($S$38=1,$P$38,IF($S$38=2,$P$39,IF($S$38=3,$P$40,IF($S$38=4,$P$43))))</f>
        <v>1</v>
      </c>
      <c r="G39" s="859">
        <f>'AWWA-Water Balance Data Transf.'!$D$41</f>
        <v>0</v>
      </c>
      <c r="H39" s="351">
        <v>1.5</v>
      </c>
      <c r="I39" s="630">
        <f>IF('Start Page'!$Y$36=1,($E39*$D39*'Start Page'!$K$35*$AB$39*$F39/10^6)*(($G39/$AB$39)^$H39),IF('Start Page'!$Y$36=2,($E39*$D39*'Start Page'!$K$35*$AC$39*$F39/10^6)*(($G39/$AC$39)^$H39),IF('Start Page'!$Y$36=3,('Unit Conversion Sheet'!E17*$E39*$D39*'Start Page'!$K$35*$AB$39*$F39/10^6)*(($G39/$AB$39)^$H39))))</f>
        <v>0</v>
      </c>
      <c r="J39" s="87"/>
      <c r="K39" s="87"/>
      <c r="L39" s="87"/>
      <c r="M39" s="87"/>
      <c r="N39" s="87"/>
      <c r="O39" s="87"/>
      <c r="P39" s="133">
        <v>1.5</v>
      </c>
      <c r="Q39" s="87"/>
      <c r="R39" s="139"/>
      <c r="X39" s="572" t="s">
        <v>138</v>
      </c>
      <c r="Y39" s="573">
        <v>2.87</v>
      </c>
      <c r="Z39" s="573">
        <v>9.6</v>
      </c>
      <c r="AB39" s="568">
        <v>70</v>
      </c>
      <c r="AC39" s="568">
        <v>49.2</v>
      </c>
    </row>
    <row r="40" spans="1:29" ht="20.149999999999999" customHeight="1">
      <c r="A40" s="58"/>
      <c r="B40" s="245" t="s">
        <v>109</v>
      </c>
      <c r="C40" s="244" t="s">
        <v>118</v>
      </c>
      <c r="D40" s="629">
        <f>'AWWA-Water Balance Data Transf.'!D38</f>
        <v>0</v>
      </c>
      <c r="E40" s="860">
        <f>IF(AND('Start Page'!$Y$36=1,'Start Page'!$Y$42=2),Y45,IF(AND('Start Page'!$Y$36=2,'Start Page'!$Y$42=2),Z40,IF(AND('Start Page'!$Y$36=3,'Start Page'!$Y$42=2),Y45,IF(AND('Start Page'!$Y$36=1,'Start Page'!$Y$42=1),Y40,IF(AND('Start Page'!$Y$36=2,'Start Page'!$Y$42=1),Z45,IF(AND('Start Page'!$Y$36=3,'Start Page'!$Y$42=1),Y40))))))</f>
        <v>0.112</v>
      </c>
      <c r="F40" s="352">
        <f>IF($S$38=1,$P$38,IF($S$38=2,$P$39,IF($S$38=3,$P$40,IF($S$38=4,$P$43))))</f>
        <v>1</v>
      </c>
      <c r="G40" s="859">
        <f>'AWWA-Water Balance Data Transf.'!$D$41</f>
        <v>0</v>
      </c>
      <c r="H40" s="351">
        <v>1.5</v>
      </c>
      <c r="I40" s="630">
        <f>IF('Start Page'!$Y$36=1,($E40*$D40*'Start Page'!$K$35*$AB$39*$F40/10^6)*(($G40/$AB$39)^$H40),IF('Start Page'!$Y$36=2,($E40*$D40*'Start Page'!$K$35*$AC$39*$F40/10^6)*(($G40/$AC$39)^$H40),IF('Start Page'!$Y$36=3,('Unit Conversion Sheet'!E17*$E40*$D40*'Start Page'!$K$35*$AB$39*$F40/10^6)*(($G40/$AB$39)^$H40))))</f>
        <v>0</v>
      </c>
      <c r="J40" s="87"/>
      <c r="K40" s="87"/>
      <c r="L40" s="87"/>
      <c r="M40" s="87"/>
      <c r="N40" s="87"/>
      <c r="O40" s="87"/>
      <c r="P40" s="133">
        <v>2.5</v>
      </c>
      <c r="Q40" s="87"/>
      <c r="R40" s="139"/>
      <c r="X40" s="572" t="s">
        <v>109</v>
      </c>
      <c r="Y40" s="573">
        <v>0.112</v>
      </c>
      <c r="Z40" s="573">
        <v>0.6</v>
      </c>
    </row>
    <row r="41" spans="1:29" ht="20.149999999999999" customHeight="1">
      <c r="A41" s="58"/>
      <c r="B41" s="245" t="s">
        <v>110</v>
      </c>
      <c r="C41" s="244" t="str">
        <f>IF('Start Page'!$Y$42=1,"miles",IF('Start Page'!$Y$42=2,"kilometers"))</f>
        <v>miles</v>
      </c>
      <c r="D41" s="637">
        <f>IF('Start Page'!Y42=1,'AWWA-Water Balance Data Transf.'!D38*'AWWA-Water Balance Data Transf.'!D40/5280,IF('Start Page'!Y42=2,'AWWA-Water Balance Data Transf.'!D38*'AWWA-Water Balance Data Transf.'!D40/1000))</f>
        <v>0</v>
      </c>
      <c r="E41" s="638">
        <f>IF(AND('Start Page'!$Y$36=1,'Start Page'!$Y$42=2),Y46,IF(AND('Start Page'!$Y$36=2,'Start Page'!$Y$42=2),Z41,IF(AND('Start Page'!$Y$36=3,'Start Page'!$Y$42=2),Y46,IF(AND('Start Page'!$Y$36=1,'Start Page'!$Y$42=1),Y41,IF(AND('Start Page'!$Y$36=2,'Start Page'!$Y$42=1),Z46,IF(AND('Start Page'!$Y$36=3,'Start Page'!$Y$42=1),Y41))))))</f>
        <v>4.78</v>
      </c>
      <c r="F41" s="352">
        <f>IF($S$38=1,$P$38,IF($S$38=2,$P$39,IF($S$38=3,$P$40,IF($S$38=4,$P$43))))</f>
        <v>1</v>
      </c>
      <c r="G41" s="859">
        <f>'AWWA-Water Balance Data Transf.'!$D$41</f>
        <v>0</v>
      </c>
      <c r="H41" s="351">
        <v>1.5</v>
      </c>
      <c r="I41" s="630">
        <f>IF('Start Page'!$Y$36=1,($E41*$D41*'Start Page'!$K$35*$AB$39*$F41/10^6)*(($G41/$AB$39)^$H41),IF('Start Page'!$Y$36=2,($E41*$D41*'Start Page'!$K$35*$AC$39*$F41/10^6)*(($G41/$AC$39)^$H41),IF('Start Page'!$Y$36=3,('Unit Conversion Sheet'!E17*$E41*$D41*'Start Page'!$K$35*$AB$39*$F41/10^6)*(($G41/$AB$39)^$H41))))</f>
        <v>0</v>
      </c>
      <c r="J41" s="87"/>
      <c r="K41" s="87"/>
      <c r="L41" s="87"/>
      <c r="M41" s="87"/>
      <c r="N41" s="87"/>
      <c r="O41" s="87"/>
      <c r="P41" s="87"/>
      <c r="Q41" s="87"/>
      <c r="R41" s="139"/>
      <c r="X41" s="572" t="s">
        <v>110</v>
      </c>
      <c r="Y41" s="573">
        <v>4.78</v>
      </c>
      <c r="Z41" s="573">
        <v>16</v>
      </c>
    </row>
    <row r="42" spans="1:29" ht="20.149999999999999" customHeight="1">
      <c r="A42" s="58"/>
      <c r="B42" s="1194" t="s">
        <v>575</v>
      </c>
      <c r="C42" s="1195"/>
      <c r="D42" s="1195"/>
      <c r="E42" s="1195"/>
      <c r="F42" s="1195"/>
      <c r="G42" s="1195"/>
      <c r="H42" s="1196"/>
      <c r="I42" s="709">
        <f>SUM(I39:I41)</f>
        <v>0</v>
      </c>
      <c r="J42" s="87"/>
      <c r="K42" s="87"/>
      <c r="L42" s="87"/>
      <c r="M42" s="87"/>
      <c r="N42" s="87"/>
      <c r="O42" s="87"/>
      <c r="P42" s="87"/>
      <c r="Q42" s="87"/>
      <c r="R42" s="139"/>
      <c r="Y42" s="570" t="s">
        <v>114</v>
      </c>
      <c r="Z42" s="570" t="s">
        <v>114</v>
      </c>
    </row>
    <row r="43" spans="1:29" ht="20.149999999999999" customHeight="1">
      <c r="A43" s="58"/>
      <c r="B43" s="86"/>
      <c r="C43" s="87"/>
      <c r="D43" s="87"/>
      <c r="E43" s="87"/>
      <c r="F43" s="87"/>
      <c r="G43" s="87"/>
      <c r="H43" s="87"/>
      <c r="I43" s="87"/>
      <c r="J43" s="87"/>
      <c r="K43" s="246"/>
      <c r="L43" s="87"/>
      <c r="M43" s="87"/>
      <c r="N43" s="87"/>
      <c r="O43" s="87"/>
      <c r="P43" s="625"/>
      <c r="Q43" s="87"/>
      <c r="R43" s="139"/>
      <c r="Y43" s="571" t="s">
        <v>139</v>
      </c>
      <c r="Z43" s="571" t="s">
        <v>140</v>
      </c>
    </row>
    <row r="44" spans="1:29" ht="20.149999999999999" customHeight="1">
      <c r="A44" s="58"/>
      <c r="B44" s="247"/>
      <c r="C44" s="248"/>
      <c r="D44" s="248"/>
      <c r="E44" s="248"/>
      <c r="F44" s="248"/>
      <c r="G44" s="248"/>
      <c r="H44" s="248"/>
      <c r="I44" s="248"/>
      <c r="J44" s="87"/>
      <c r="K44" s="87"/>
      <c r="L44" s="87"/>
      <c r="M44" s="87"/>
      <c r="N44" s="87"/>
      <c r="O44" s="87"/>
      <c r="P44" s="1143" t="str">
        <f>IF(AND(S38=4,P43&lt;1),"ICF VALUE MUST BE GREATER THAN 1.0","")</f>
        <v/>
      </c>
      <c r="Q44" s="1143"/>
      <c r="R44" s="312"/>
      <c r="X44" s="572" t="s">
        <v>138</v>
      </c>
      <c r="Y44" s="568">
        <f>Y39/1.60934</f>
        <v>1.7833397541849454</v>
      </c>
      <c r="Z44" s="568">
        <f>Z39*1.60934</f>
        <v>15.449663999999999</v>
      </c>
    </row>
    <row r="45" spans="1:29" ht="20.149999999999999" customHeight="1">
      <c r="A45" s="58"/>
      <c r="B45" s="58"/>
      <c r="C45" s="29"/>
      <c r="D45" s="29"/>
      <c r="E45" s="29"/>
      <c r="F45" s="29"/>
      <c r="G45" s="29"/>
      <c r="H45" s="29"/>
      <c r="I45" s="29"/>
      <c r="J45" s="26"/>
      <c r="K45" s="26"/>
      <c r="L45" s="26"/>
      <c r="M45" s="26"/>
      <c r="N45" s="26"/>
      <c r="O45" s="26"/>
      <c r="P45" s="1143"/>
      <c r="Q45" s="1143"/>
      <c r="R45" s="312"/>
      <c r="X45" s="572" t="s">
        <v>109</v>
      </c>
      <c r="Y45" s="568">
        <f>Y40</f>
        <v>0.112</v>
      </c>
      <c r="Z45" s="568">
        <f>Z40</f>
        <v>0.6</v>
      </c>
      <c r="AB45" s="568" t="str">
        <f>AB39 &amp; "psi"</f>
        <v>70psi</v>
      </c>
    </row>
    <row r="46" spans="1:29" ht="20.149999999999999" customHeight="1" thickBot="1">
      <c r="A46" s="58"/>
      <c r="B46" s="59"/>
      <c r="C46" s="60"/>
      <c r="D46" s="60"/>
      <c r="E46" s="60"/>
      <c r="F46" s="60"/>
      <c r="G46" s="60"/>
      <c r="H46" s="60"/>
      <c r="I46" s="60"/>
      <c r="J46" s="53"/>
      <c r="K46" s="53"/>
      <c r="L46" s="53"/>
      <c r="M46" s="53"/>
      <c r="N46" s="53"/>
      <c r="O46" s="53"/>
      <c r="P46" s="1144"/>
      <c r="Q46" s="1144"/>
      <c r="R46" s="826"/>
      <c r="X46" s="572" t="s">
        <v>110</v>
      </c>
      <c r="Y46" s="568">
        <f>Y41/1.60934</f>
        <v>2.9701616811860765</v>
      </c>
      <c r="Z46" s="568">
        <f>Z41*1.60934</f>
        <v>25.74944</v>
      </c>
    </row>
    <row r="47" spans="1:29" ht="20.149999999999999" customHeight="1">
      <c r="A47" s="877"/>
      <c r="B47" s="1183" t="s">
        <v>772</v>
      </c>
      <c r="C47" s="1184"/>
      <c r="D47" s="1184"/>
      <c r="E47" s="1184"/>
      <c r="F47" s="135"/>
      <c r="G47" s="48"/>
      <c r="H47" s="48"/>
      <c r="I47" s="48"/>
      <c r="J47" s="48"/>
      <c r="K47" s="48"/>
      <c r="L47" s="48"/>
      <c r="M47" s="48"/>
      <c r="N47" s="48"/>
      <c r="O47" s="48"/>
      <c r="P47" s="48"/>
      <c r="Q47" s="48"/>
      <c r="R47" s="49"/>
      <c r="Y47" s="568" t="s">
        <v>896</v>
      </c>
      <c r="Z47" s="568" t="s">
        <v>897</v>
      </c>
    </row>
    <row r="48" spans="1:29" ht="10" customHeight="1">
      <c r="A48" s="877"/>
      <c r="B48" s="86"/>
      <c r="C48" s="87"/>
      <c r="D48" s="87"/>
      <c r="E48" s="87"/>
      <c r="F48" s="87"/>
      <c r="G48" s="26"/>
      <c r="H48" s="26"/>
      <c r="I48" s="26"/>
      <c r="J48" s="26"/>
      <c r="K48" s="26"/>
      <c r="L48" s="26"/>
      <c r="M48" s="26"/>
      <c r="N48" s="26"/>
      <c r="O48" s="26"/>
      <c r="P48" s="26"/>
      <c r="Q48" s="26"/>
      <c r="R48" s="51"/>
    </row>
    <row r="49" spans="1:36" ht="97.5" customHeight="1">
      <c r="A49" s="58"/>
      <c r="B49" s="226" t="s">
        <v>561</v>
      </c>
      <c r="C49" s="1148" t="s">
        <v>799</v>
      </c>
      <c r="D49" s="1148"/>
      <c r="E49" s="1148"/>
      <c r="F49" s="1148"/>
      <c r="G49" s="1148"/>
      <c r="H49" s="1148"/>
      <c r="I49" s="1148"/>
      <c r="J49" s="1148"/>
      <c r="K49" s="1148"/>
      <c r="L49" s="1148"/>
      <c r="M49" s="1148"/>
      <c r="N49" s="1148"/>
      <c r="O49" s="1148"/>
      <c r="P49" s="1148"/>
      <c r="Q49" s="1148"/>
      <c r="R49" s="1149"/>
    </row>
    <row r="50" spans="1:36" ht="20.149999999999999" customHeight="1" thickBot="1">
      <c r="A50" s="58"/>
      <c r="B50" s="57"/>
      <c r="C50" s="53"/>
      <c r="D50" s="53"/>
      <c r="E50" s="53"/>
      <c r="F50" s="53"/>
      <c r="G50" s="53"/>
      <c r="H50" s="53"/>
      <c r="I50" s="53"/>
      <c r="J50" s="53"/>
      <c r="K50" s="53"/>
      <c r="L50" s="53"/>
      <c r="M50" s="53"/>
      <c r="N50" s="53"/>
      <c r="O50" s="53"/>
      <c r="P50" s="53"/>
      <c r="Q50" s="53"/>
      <c r="R50" s="55"/>
    </row>
    <row r="51" spans="1:36" ht="20.149999999999999" customHeight="1">
      <c r="A51" s="58"/>
      <c r="B51" s="1185" t="s">
        <v>773</v>
      </c>
      <c r="C51" s="1186"/>
      <c r="D51" s="1186"/>
      <c r="E51" s="1186"/>
      <c r="F51" s="1186"/>
      <c r="G51" s="48"/>
      <c r="H51" s="48"/>
      <c r="I51" s="48"/>
      <c r="J51" s="48"/>
      <c r="K51" s="48"/>
      <c r="L51" s="48"/>
      <c r="M51" s="48"/>
      <c r="N51" s="48"/>
      <c r="O51" s="48"/>
      <c r="P51" s="48"/>
      <c r="Q51" s="48"/>
      <c r="R51" s="49"/>
    </row>
    <row r="52" spans="1:36" ht="10" customHeight="1">
      <c r="A52" s="58"/>
      <c r="B52" s="50"/>
      <c r="C52" s="26"/>
      <c r="D52" s="26"/>
      <c r="E52" s="26"/>
      <c r="F52" s="26"/>
      <c r="G52" s="26"/>
      <c r="H52" s="26"/>
      <c r="I52" s="26"/>
      <c r="J52" s="26"/>
      <c r="K52" s="26"/>
      <c r="L52" s="26"/>
      <c r="M52" s="26"/>
      <c r="N52" s="26"/>
      <c r="O52" s="26"/>
      <c r="P52" s="26"/>
      <c r="Q52" s="26"/>
      <c r="R52" s="51"/>
    </row>
    <row r="53" spans="1:36" ht="89.25" customHeight="1">
      <c r="A53" s="58"/>
      <c r="B53" s="226" t="s">
        <v>561</v>
      </c>
      <c r="C53" s="1148" t="s">
        <v>924</v>
      </c>
      <c r="D53" s="1148"/>
      <c r="E53" s="1148"/>
      <c r="F53" s="1148"/>
      <c r="G53" s="1148"/>
      <c r="H53" s="1148"/>
      <c r="I53" s="1148"/>
      <c r="J53" s="1148"/>
      <c r="K53" s="1148"/>
      <c r="L53" s="1148"/>
      <c r="M53" s="1148"/>
      <c r="N53" s="1148"/>
      <c r="O53" s="1148"/>
      <c r="P53" s="1148"/>
      <c r="Q53" s="1148"/>
      <c r="R53" s="1149"/>
    </row>
    <row r="54" spans="1:36" ht="20.149999999999999" customHeight="1">
      <c r="A54" s="58"/>
      <c r="B54" s="50"/>
      <c r="C54" s="87"/>
      <c r="D54" s="87"/>
      <c r="E54" s="87"/>
      <c r="F54" s="87"/>
      <c r="G54" s="87"/>
      <c r="H54" s="87"/>
      <c r="I54" s="87"/>
      <c r="J54" s="87"/>
      <c r="K54" s="87"/>
      <c r="L54" s="87"/>
      <c r="M54" s="87"/>
      <c r="N54" s="87"/>
      <c r="O54" s="87"/>
      <c r="P54" s="87"/>
      <c r="Q54" s="87"/>
      <c r="R54" s="139"/>
    </row>
    <row r="55" spans="1:36" ht="38.25" customHeight="1">
      <c r="A55" s="58"/>
      <c r="B55" s="114" t="s">
        <v>119</v>
      </c>
      <c r="C55" s="1171" t="s">
        <v>900</v>
      </c>
      <c r="D55" s="1211" t="s">
        <v>120</v>
      </c>
      <c r="E55" s="864" t="s">
        <v>121</v>
      </c>
      <c r="F55" s="893" t="s">
        <v>901</v>
      </c>
      <c r="G55" s="1164" t="s">
        <v>116</v>
      </c>
      <c r="H55" s="1164" t="s">
        <v>117</v>
      </c>
      <c r="I55" s="1153" t="s">
        <v>902</v>
      </c>
      <c r="J55" s="1154"/>
      <c r="K55" s="1154"/>
      <c r="L55" s="1155"/>
      <c r="M55" s="1164" t="s">
        <v>903</v>
      </c>
      <c r="N55" s="1164" t="s">
        <v>124</v>
      </c>
      <c r="O55" s="30"/>
      <c r="P55" s="1150" t="s">
        <v>904</v>
      </c>
      <c r="Q55" s="1150" t="s">
        <v>905</v>
      </c>
      <c r="R55" s="249" t="s">
        <v>906</v>
      </c>
      <c r="AB55" s="1162" t="s">
        <v>144</v>
      </c>
      <c r="AC55" s="1162" t="s">
        <v>660</v>
      </c>
      <c r="AD55" s="1162" t="s">
        <v>690</v>
      </c>
      <c r="AE55" s="1162"/>
      <c r="AF55" s="1162"/>
      <c r="AH55" s="1158" t="s">
        <v>472</v>
      </c>
      <c r="AI55" s="1158" t="s">
        <v>474</v>
      </c>
      <c r="AJ55" s="1158" t="s">
        <v>576</v>
      </c>
    </row>
    <row r="56" spans="1:36" ht="37.5">
      <c r="A56" s="58"/>
      <c r="B56" s="117"/>
      <c r="C56" s="1172"/>
      <c r="D56" s="1212"/>
      <c r="E56" s="863" t="str">
        <f>IF('Start Page'!$Y$42=1,"(number / 100miles / yr)",IF('Start Page'!$Y$42=2,"(number /100kilometers / yr)"))</f>
        <v>(number / 100miles / yr)</v>
      </c>
      <c r="F56" s="110" t="str">
        <f>IF(AC58=19,IF('Start Page'!$Y$36=1,$AB$39 &amp; "psi",IF('Start Page'!$Y$36=2,$AC$39 &amp; "metres head",IF('Start Page'!$Y$36=3,$AB$39 &amp; "psi"))),("Average System Pressure"))</f>
        <v>70psi</v>
      </c>
      <c r="G56" s="1165"/>
      <c r="H56" s="1165"/>
      <c r="I56" s="864" t="s">
        <v>131</v>
      </c>
      <c r="J56" s="1177" t="s">
        <v>907</v>
      </c>
      <c r="K56" s="1178"/>
      <c r="L56" s="862" t="s">
        <v>125</v>
      </c>
      <c r="M56" s="1165"/>
      <c r="N56" s="1165"/>
      <c r="O56" s="111"/>
      <c r="P56" s="1151"/>
      <c r="Q56" s="1151"/>
      <c r="R56" s="592" t="str">
        <f>"Average System Pressure"</f>
        <v>Average System Pressure</v>
      </c>
      <c r="AB56" s="1163"/>
      <c r="AC56" s="1162"/>
      <c r="AD56" s="1162"/>
      <c r="AE56" s="1162"/>
      <c r="AF56" s="1162"/>
      <c r="AH56" s="1158"/>
      <c r="AI56" s="1158"/>
      <c r="AJ56" s="1158"/>
    </row>
    <row r="57" spans="1:36" ht="20.149999999999999" customHeight="1">
      <c r="A57" s="58"/>
      <c r="B57" s="115"/>
      <c r="C57" s="116"/>
      <c r="D57" s="27" t="str">
        <f>$C$39</f>
        <v>miles</v>
      </c>
      <c r="E57" s="116"/>
      <c r="F57" s="27" t="str">
        <f>IF('Start Page'!$Y$36=1,"(gpm)",IF('Start Page'!$Y$36=2,"(lpm)", IF('Start Page'!$Y$36=3,"(gpm)")))</f>
        <v>(gpm)</v>
      </c>
      <c r="G57" s="27" t="str">
        <f>$G$38</f>
        <v>(psi)</v>
      </c>
      <c r="H57" s="567"/>
      <c r="I57" s="118" t="s">
        <v>126</v>
      </c>
      <c r="J57" s="1166" t="s">
        <v>126</v>
      </c>
      <c r="K57" s="1167"/>
      <c r="L57" s="27" t="s">
        <v>126</v>
      </c>
      <c r="M57" s="27" t="str">
        <f>$I$38</f>
        <v>(MG)</v>
      </c>
      <c r="N57" s="865" t="str">
        <f>$I$38</f>
        <v>(MG)</v>
      </c>
      <c r="O57" s="111"/>
      <c r="P57" s="1152"/>
      <c r="Q57" s="1152"/>
      <c r="R57" s="593" t="str">
        <f>$F$57</f>
        <v>(gpm)</v>
      </c>
      <c r="Y57" s="574" t="s">
        <v>132</v>
      </c>
      <c r="Z57" s="574" t="s">
        <v>133</v>
      </c>
      <c r="AB57" s="575" t="str">
        <f>$F$57</f>
        <v>(gpm)</v>
      </c>
      <c r="AH57" s="571" t="s">
        <v>2</v>
      </c>
      <c r="AI57" s="571" t="str">
        <f>$N$57</f>
        <v>(MG)</v>
      </c>
      <c r="AJ57" s="571" t="str">
        <f>$N$57</f>
        <v>(MG)</v>
      </c>
    </row>
    <row r="58" spans="1:36" ht="20.149999999999999" customHeight="1">
      <c r="A58" s="58"/>
      <c r="B58" s="353" t="str">
        <f>IF('Start Page'!$Y$36=2,"DN 50","Diameter 2''")</f>
        <v>Diameter 2''</v>
      </c>
      <c r="C58" s="623">
        <v>0</v>
      </c>
      <c r="D58" s="628">
        <v>0</v>
      </c>
      <c r="E58" s="153">
        <f>IF(D58=0,0,C58/D58*100)</f>
        <v>0</v>
      </c>
      <c r="F58" s="155">
        <f>IF(S58=1,AB58,R58)</f>
        <v>13.9</v>
      </c>
      <c r="G58" s="344">
        <f>'AWWA-Water Balance Data Transf.'!$D$41</f>
        <v>0</v>
      </c>
      <c r="H58" s="154">
        <v>1</v>
      </c>
      <c r="I58" s="689">
        <v>0</v>
      </c>
      <c r="J58" s="1156">
        <v>0</v>
      </c>
      <c r="K58" s="1157"/>
      <c r="L58" s="155">
        <f>IF(ISERROR(IF(SUM(I58:K58)&gt;'Start Page'!$K$35,'Start Page'!$K$35,SUM(I58:K58))),"",IF(SUM(I58:K58)&gt;'Start Page'!$K$35,'Start Page'!$K$35,SUM(I58:K58)))</f>
        <v>0</v>
      </c>
      <c r="M58" s="155">
        <f>IF(ISERROR(IF(C58=0,0,IF('Start Page'!$Y$36=1,($F58*60*24*$L58)*(($G58/AD58)^$H58)/10^6,IF('Start Page'!$Y$36=2,($F58*60*24*$L58)*(($G58/AD58)^$H58)/10^6,IF('Start Page'!$Y$36=3,('Unit Conversion Sheet'!$E$17*$F58*60*24*$L58)*(($G58/AD58)^$H58)/10^6))))),0,IF(C58=0,0,IF('Start Page'!$Y$36=1,($F58*60*24*$L58)*(($G58/AD58)^$H58)/10^6,IF('Start Page'!$Y$36=2,($F58*60*24*$L58)*(($G58/AD58)^$H58)/10^6,IF('Start Page'!$Y$36=3,('Unit Conversion Sheet'!$E$17*$F58*60*24*$L58)*(($G58/AD58)^$H58)/10^6)))))</f>
        <v>0</v>
      </c>
      <c r="N58" s="156">
        <f>IF(C58=0,0,M58*C58)</f>
        <v>0</v>
      </c>
      <c r="O58" s="354"/>
      <c r="P58" s="28"/>
      <c r="Q58" s="28"/>
      <c r="R58" s="626">
        <v>0</v>
      </c>
      <c r="S58" s="569">
        <v>1</v>
      </c>
      <c r="T58" s="568" t="s">
        <v>142</v>
      </c>
      <c r="Y58" s="576">
        <v>13.9</v>
      </c>
      <c r="Z58" s="577">
        <f>Y58*'Unit Conversion Sheet'!$C$5</f>
        <v>52.617224020000002</v>
      </c>
      <c r="AB58" s="578">
        <f>IF('Start Page'!$Y$36=1,Y58,IF('Start Page'!$Y$36=2,Z58,IF('Start Page'!$Y$36=3,Y58)))</f>
        <v>13.9</v>
      </c>
      <c r="AC58" s="568">
        <f>SUM(S58:S76)</f>
        <v>19</v>
      </c>
      <c r="AD58" s="568">
        <f>IF(S58=1,(IF('Start Page'!$Y$36=1,$AB$39,IF('Start Page'!$Y$36=2,$AC$39,IF('Start Page'!$Y$36=3,$AB$39)))),'AWWA-Water Balance Data Transf.'!$D$41)</f>
        <v>70</v>
      </c>
      <c r="AE58" s="568" t="str">
        <f>'AWWA-Water Balance Data Transf.'!$E$41</f>
        <v>PSI</v>
      </c>
      <c r="AH58" s="579" t="str">
        <f>IF(C58=0,"",C58*J58)</f>
        <v/>
      </c>
      <c r="AI58" s="580" t="str">
        <f>IF(C58=0,"",IF('Start Page'!$Y$36=1,($F58*60*24*J58)*(($G58/$AB$39)^$H58)/10^6,IF('Start Page'!$Y$36=2,($F58*60*24*J58)*(($G58/$AC$39)^$H58)/10^6,IF('Start Page'!$Y$36=3,('Unit Conversion Sheet'!$E$17*$F58*60*24*J58)*(($G58/$AB$39)^$H58)/10^6))))</f>
        <v/>
      </c>
      <c r="AJ58" s="580" t="str">
        <f>IF(C58=0,"",AI58*C58)</f>
        <v/>
      </c>
    </row>
    <row r="59" spans="1:36" ht="20.149999999999999" customHeight="1">
      <c r="A59" s="58"/>
      <c r="B59" s="353" t="str">
        <f>IF('Start Page'!$Y$36=2,"DN 80","Diameter 3''")</f>
        <v>Diameter 3''</v>
      </c>
      <c r="C59" s="623">
        <v>0</v>
      </c>
      <c r="D59" s="628">
        <v>0</v>
      </c>
      <c r="E59" s="153">
        <f t="shared" ref="E59:E77" si="1">IF(D59=0,0,C59/D59*100)</f>
        <v>0</v>
      </c>
      <c r="F59" s="155">
        <f t="shared" ref="F59:F75" si="2">IF(S59=1,AB59,R59)</f>
        <v>13.9</v>
      </c>
      <c r="G59" s="344">
        <f>'AWWA-Water Balance Data Transf.'!$D$41</f>
        <v>0</v>
      </c>
      <c r="H59" s="154">
        <v>1</v>
      </c>
      <c r="I59" s="689">
        <v>0</v>
      </c>
      <c r="J59" s="1156">
        <v>0</v>
      </c>
      <c r="K59" s="1157"/>
      <c r="L59" s="155">
        <f>IF(ISERROR(IF(SUM(I59:K59)&gt;'Start Page'!$K$35,'Start Page'!$K$35,SUM(I59:K59))),"",IF(SUM(I59:K59)&gt;'Start Page'!$K$35,'Start Page'!$K$35,SUM(I59:K59)))</f>
        <v>0</v>
      </c>
      <c r="M59" s="155">
        <f>IF(ISERROR(IF(C59=0,0,IF('Start Page'!$Y$36=1,($F59*60*24*$L59)*(($G59/AD59)^$H59)/10^6,IF('Start Page'!$Y$36=2,($F59*60*24*$L59)*(($G59/AD59)^$H59)/10^6,IF('Start Page'!$Y$36=3,('Unit Conversion Sheet'!$E$17*$F59*60*24*$L59)*(($G59/AD59)^$H59)/10^6))))),0,IF(C59=0,0,IF('Start Page'!$Y$36=1,($F59*60*24*$L59)*(($G59/AD59)^$H59)/10^6,IF('Start Page'!$Y$36=2,($F59*60*24*$L59)*(($G59/AD59)^$H59)/10^6,IF('Start Page'!$Y$36=3,('Unit Conversion Sheet'!$E$17*$F59*60*24*$L59)*(($G59/AD59)^$H59)/10^6)))))</f>
        <v>0</v>
      </c>
      <c r="N59" s="156">
        <f t="shared" ref="N59:N77" si="3">IF(C59=0,0,M59*C59)</f>
        <v>0</v>
      </c>
      <c r="O59" s="354"/>
      <c r="P59" s="28"/>
      <c r="Q59" s="28"/>
      <c r="R59" s="627">
        <v>0</v>
      </c>
      <c r="S59" s="569">
        <v>1</v>
      </c>
      <c r="Y59" s="576">
        <v>13.9</v>
      </c>
      <c r="Z59" s="577">
        <f>Y59*'Unit Conversion Sheet'!$C$5</f>
        <v>52.617224020000002</v>
      </c>
      <c r="AB59" s="578">
        <f>IF('Start Page'!$Y$36=1,Y59,IF('Start Page'!$Y$36=2,Z59,IF('Start Page'!$Y$36=3,Y59)))</f>
        <v>13.9</v>
      </c>
      <c r="AD59" s="568">
        <f>IF(S59=1,(IF('Start Page'!$Y$36=1,$AB$39,IF('Start Page'!$Y$36=2,$AC$39,IF('Start Page'!$Y$36=3,$AB$39)))),'AWWA-Water Balance Data Transf.'!$D$41)</f>
        <v>70</v>
      </c>
      <c r="AE59" s="568" t="str">
        <f>'AWWA-Water Balance Data Transf.'!$E$41</f>
        <v>PSI</v>
      </c>
      <c r="AH59" s="579" t="str">
        <f t="shared" ref="AH59:AH77" si="4">IF(C59=0,"",C59*J59)</f>
        <v/>
      </c>
      <c r="AI59" s="580" t="str">
        <f>IF(C59=0,"",IF('Start Page'!$Y$36=1,($F59*60*24*J59)*(($G59/$AB$39)^$H59)/10^6,IF('Start Page'!$Y$36=2,($F59*60*24*J59)*(($G59/$AC$39)^$H59)/10^6,IF('Start Page'!$Y$36=3,('Unit Conversion Sheet'!$E$17*$F59*60*24*J59)*(($G59/$AB$39)^$H59)/10^6))))</f>
        <v/>
      </c>
      <c r="AJ59" s="580" t="str">
        <f t="shared" ref="AJ59:AJ77" si="5">IF(C59=0,"",AI59*C59)</f>
        <v/>
      </c>
    </row>
    <row r="60" spans="1:36" ht="20.149999999999999" customHeight="1">
      <c r="A60" s="58"/>
      <c r="B60" s="353" t="str">
        <f>IF('Start Page'!$Y$36=2,"DN 100","Diameter 4''")</f>
        <v>Diameter 4''</v>
      </c>
      <c r="C60" s="623">
        <v>0</v>
      </c>
      <c r="D60" s="628">
        <v>0</v>
      </c>
      <c r="E60" s="153">
        <f t="shared" si="1"/>
        <v>0</v>
      </c>
      <c r="F60" s="155">
        <f t="shared" si="2"/>
        <v>44</v>
      </c>
      <c r="G60" s="344">
        <f>'AWWA-Water Balance Data Transf.'!$D$41</f>
        <v>0</v>
      </c>
      <c r="H60" s="154">
        <v>1</v>
      </c>
      <c r="I60" s="689">
        <v>0</v>
      </c>
      <c r="J60" s="1156">
        <v>0</v>
      </c>
      <c r="K60" s="1157"/>
      <c r="L60" s="155">
        <f>IF(ISERROR(IF(SUM(I60:K60)&gt;'Start Page'!$K$35,'Start Page'!$K$35,SUM(I60:K60))),"",IF(SUM(I60:K60)&gt;'Start Page'!$K$35,'Start Page'!$K$35,SUM(I60:K60)))</f>
        <v>0</v>
      </c>
      <c r="M60" s="155">
        <f>IF(ISERROR(IF(C60=0,0,IF('Start Page'!$Y$36=1,($F60*60*24*$L60)*(($G60/AD60)^$H60)/10^6,IF('Start Page'!$Y$36=2,($F60*60*24*$L60)*(($G60/AD60)^$H60)/10^6,IF('Start Page'!$Y$36=3,('Unit Conversion Sheet'!$E$17*$F60*60*24*$L60)*(($G60/AD60)^$H60)/10^6))))),0,IF(C60=0,0,IF('Start Page'!$Y$36=1,($F60*60*24*$L60)*(($G60/AD60)^$H60)/10^6,IF('Start Page'!$Y$36=2,($F60*60*24*$L60)*(($G60/AD60)^$H60)/10^6,IF('Start Page'!$Y$36=3,('Unit Conversion Sheet'!$E$17*$F60*60*24*$L60)*(($G60/AD60)^$H60)/10^6)))))</f>
        <v>0</v>
      </c>
      <c r="N60" s="156">
        <f t="shared" si="3"/>
        <v>0</v>
      </c>
      <c r="O60" s="354"/>
      <c r="P60" s="28"/>
      <c r="Q60" s="28"/>
      <c r="R60" s="627">
        <v>0</v>
      </c>
      <c r="S60" s="569">
        <v>1</v>
      </c>
      <c r="Y60" s="576">
        <f>22*2</f>
        <v>44</v>
      </c>
      <c r="Z60" s="577">
        <f>Y60*'Unit Conversion Sheet'!$C$5</f>
        <v>166.55811919999999</v>
      </c>
      <c r="AB60" s="578">
        <f>IF('Start Page'!$Y$36=1,Y60,IF('Start Page'!$Y$36=2,Z60,IF('Start Page'!$Y$36=3,Y60)))</f>
        <v>44</v>
      </c>
      <c r="AD60" s="568">
        <f>IF(S60=1,(IF('Start Page'!$Y$36=1,$AB$39,IF('Start Page'!$Y$36=2,$AC$39,IF('Start Page'!$Y$36=3,$AB$39)))),'AWWA-Water Balance Data Transf.'!$D$41)</f>
        <v>70</v>
      </c>
      <c r="AE60" s="568" t="str">
        <f>'AWWA-Water Balance Data Transf.'!$E$41</f>
        <v>PSI</v>
      </c>
      <c r="AH60" s="579" t="str">
        <f t="shared" si="4"/>
        <v/>
      </c>
      <c r="AI60" s="580" t="str">
        <f>IF(C60=0,"",IF('Start Page'!$Y$36=1,($F60*60*24*J60)*(($G60/$AB$39)^$H60)/10^6,IF('Start Page'!$Y$36=2,($F60*60*24*J60)*(($G60/$AC$39)^$H60)/10^6,IF('Start Page'!$Y$36=3,('Unit Conversion Sheet'!$E$17*$F60*60*24*J60)*(($G60/$AB$39)^$H60)/10^6))))</f>
        <v/>
      </c>
      <c r="AJ60" s="580" t="str">
        <f t="shared" si="5"/>
        <v/>
      </c>
    </row>
    <row r="61" spans="1:36" ht="20.149999999999999" customHeight="1">
      <c r="A61" s="58"/>
      <c r="B61" s="353" t="str">
        <f>IF('Start Page'!$Y$36=2,"DN 150","Diameter 6''")</f>
        <v>Diameter 6''</v>
      </c>
      <c r="C61" s="623">
        <v>0</v>
      </c>
      <c r="D61" s="628">
        <v>0</v>
      </c>
      <c r="E61" s="153">
        <f t="shared" si="1"/>
        <v>0</v>
      </c>
      <c r="F61" s="155">
        <f t="shared" si="2"/>
        <v>92</v>
      </c>
      <c r="G61" s="344">
        <f>'AWWA-Water Balance Data Transf.'!$D$41</f>
        <v>0</v>
      </c>
      <c r="H61" s="154">
        <v>1</v>
      </c>
      <c r="I61" s="689">
        <v>0</v>
      </c>
      <c r="J61" s="1156">
        <v>0</v>
      </c>
      <c r="K61" s="1157"/>
      <c r="L61" s="155">
        <f>IF(ISERROR(IF(SUM(I61:K61)&gt;'Start Page'!$K$35,'Start Page'!$K$35,SUM(I61:K61))),"",IF(SUM(I61:K61)&gt;'Start Page'!$K$35,'Start Page'!$K$35,SUM(I61:K61)))</f>
        <v>0</v>
      </c>
      <c r="M61" s="155">
        <f>IF(ISERROR(IF(C61=0,0,IF('Start Page'!$Y$36=1,($F61*60*24*$L61)*(($G61/AD61)^$H61)/10^6,IF('Start Page'!$Y$36=2,($F61*60*24*$L61)*(($G61/AD61)^$H61)/10^6,IF('Start Page'!$Y$36=3,('Unit Conversion Sheet'!$E$17*$F61*60*24*$L61)*(($G61/AD61)^$H61)/10^6))))),0,IF(C61=0,0,IF('Start Page'!$Y$36=1,($F61*60*24*$L61)*(($G61/AD61)^$H61)/10^6,IF('Start Page'!$Y$36=2,($F61*60*24*$L61)*(($G61/AD61)^$H61)/10^6,IF('Start Page'!$Y$36=3,('Unit Conversion Sheet'!$E$17*$F61*60*24*$L61)*(($G61/AD61)^$H61)/10^6)))))</f>
        <v>0</v>
      </c>
      <c r="N61" s="156">
        <f t="shared" si="3"/>
        <v>0</v>
      </c>
      <c r="O61" s="354"/>
      <c r="P61" s="28"/>
      <c r="Q61" s="28"/>
      <c r="R61" s="627">
        <v>0</v>
      </c>
      <c r="S61" s="569">
        <v>1</v>
      </c>
      <c r="Y61" s="576">
        <f>46*2</f>
        <v>92</v>
      </c>
      <c r="Z61" s="577">
        <f>Y61*'Unit Conversion Sheet'!$C$5</f>
        <v>348.25788560000001</v>
      </c>
      <c r="AB61" s="578">
        <f>IF('Start Page'!$Y$36=1,Y61,IF('Start Page'!$Y$36=2,Z61,IF('Start Page'!$Y$36=3,Y61)))</f>
        <v>92</v>
      </c>
      <c r="AD61" s="568">
        <f>IF(S61=1,(IF('Start Page'!$Y$36=1,$AB$39,IF('Start Page'!$Y$36=2,$AC$39,IF('Start Page'!$Y$36=3,$AB$39)))),'AWWA-Water Balance Data Transf.'!$D$41)</f>
        <v>70</v>
      </c>
      <c r="AE61" s="568" t="str">
        <f>'AWWA-Water Balance Data Transf.'!$E$41</f>
        <v>PSI</v>
      </c>
      <c r="AH61" s="579" t="str">
        <f t="shared" si="4"/>
        <v/>
      </c>
      <c r="AI61" s="580" t="str">
        <f>IF(C61=0,"",IF('Start Page'!$Y$36=1,($F61*60*24*J61)*(($G61/$AB$39)^$H61)/10^6,IF('Start Page'!$Y$36=2,($F61*60*24*J61)*(($G61/$AC$39)^$H61)/10^6,IF('Start Page'!$Y$36=3,('Unit Conversion Sheet'!$E$17*$F61*60*24*J61)*(($G61/$AB$39)^$H61)/10^6))))</f>
        <v/>
      </c>
      <c r="AJ61" s="580" t="str">
        <f t="shared" si="5"/>
        <v/>
      </c>
    </row>
    <row r="62" spans="1:36" ht="20.149999999999999" customHeight="1">
      <c r="A62" s="58"/>
      <c r="B62" s="353" t="str">
        <f>IF('Start Page'!$Y$36=2,"DN 200","Diameter 8''")</f>
        <v>Diameter 8''</v>
      </c>
      <c r="C62" s="623">
        <v>0</v>
      </c>
      <c r="D62" s="628">
        <v>0</v>
      </c>
      <c r="E62" s="153">
        <f t="shared" si="1"/>
        <v>0</v>
      </c>
      <c r="F62" s="155">
        <f t="shared" si="2"/>
        <v>92</v>
      </c>
      <c r="G62" s="344">
        <f>'AWWA-Water Balance Data Transf.'!$D$41</f>
        <v>0</v>
      </c>
      <c r="H62" s="154">
        <v>1</v>
      </c>
      <c r="I62" s="689">
        <v>0</v>
      </c>
      <c r="J62" s="1156">
        <v>0</v>
      </c>
      <c r="K62" s="1157"/>
      <c r="L62" s="155">
        <f>IF(ISERROR(IF(SUM(I62:K62)&gt;'Start Page'!$K$35,'Start Page'!$K$35,SUM(I62:K62))),"",IF(SUM(I62:K62)&gt;'Start Page'!$K$35,'Start Page'!$K$35,SUM(I62:K62)))</f>
        <v>0</v>
      </c>
      <c r="M62" s="155">
        <f>IF(ISERROR(IF(C62=0,0,IF('Start Page'!$Y$36=1,($F62*60*24*$L62)*(($G62/AD62)^$H62)/10^6,IF('Start Page'!$Y$36=2,($F62*60*24*$L62)*(($G62/AD62)^$H62)/10^6,IF('Start Page'!$Y$36=3,('Unit Conversion Sheet'!$E$17*$F62*60*24*$L62)*(($G62/AD62)^$H62)/10^6))))),0,IF(C62=0,0,IF('Start Page'!$Y$36=1,($F62*60*24*$L62)*(($G62/AD62)^$H62)/10^6,IF('Start Page'!$Y$36=2,($F62*60*24*$L62)*(($G62/AD62)^$H62)/10^6,IF('Start Page'!$Y$36=3,('Unit Conversion Sheet'!$E$17*$F62*60*24*$L62)*(($G62/AD62)^$H62)/10^6)))))</f>
        <v>0</v>
      </c>
      <c r="N62" s="156">
        <f t="shared" si="3"/>
        <v>0</v>
      </c>
      <c r="O62" s="354"/>
      <c r="P62" s="28"/>
      <c r="Q62" s="28"/>
      <c r="R62" s="627">
        <v>0</v>
      </c>
      <c r="S62" s="569">
        <v>1</v>
      </c>
      <c r="Y62" s="576">
        <f>46*2</f>
        <v>92</v>
      </c>
      <c r="Z62" s="577">
        <f>Y62*'Unit Conversion Sheet'!$C$5</f>
        <v>348.25788560000001</v>
      </c>
      <c r="AB62" s="578">
        <f>IF('Start Page'!$Y$36=1,Y62,IF('Start Page'!$Y$36=2,Z62,IF('Start Page'!$Y$36=3,Y62)))</f>
        <v>92</v>
      </c>
      <c r="AD62" s="568">
        <f>IF(S62=1,(IF('Start Page'!$Y$36=1,$AB$39,IF('Start Page'!$Y$36=2,$AC$39,IF('Start Page'!$Y$36=3,$AB$39)))),'AWWA-Water Balance Data Transf.'!$D$41)</f>
        <v>70</v>
      </c>
      <c r="AE62" s="568" t="str">
        <f>'AWWA-Water Balance Data Transf.'!$E$41</f>
        <v>PSI</v>
      </c>
      <c r="AH62" s="579" t="str">
        <f t="shared" si="4"/>
        <v/>
      </c>
      <c r="AI62" s="580" t="str">
        <f>IF(C62=0,"",IF('Start Page'!$Y$36=1,($F62*60*24*J62)*(($G62/$AB$39)^$H62)/10^6,IF('Start Page'!$Y$36=2,($F62*60*24*J62)*(($G62/$AC$39)^$H62)/10^6,IF('Start Page'!$Y$36=3,('Unit Conversion Sheet'!$E$17*$F62*60*24*J62)*(($G62/$AB$39)^$H62)/10^6))))</f>
        <v/>
      </c>
      <c r="AJ62" s="580" t="str">
        <f t="shared" si="5"/>
        <v/>
      </c>
    </row>
    <row r="63" spans="1:36" ht="20.149999999999999" customHeight="1">
      <c r="A63" s="58"/>
      <c r="B63" s="353" t="str">
        <f>IF('Start Page'!$Y$36=2,"DN 250","Diameter 10''")</f>
        <v>Diameter 10''</v>
      </c>
      <c r="C63" s="623">
        <v>0</v>
      </c>
      <c r="D63" s="628">
        <v>0</v>
      </c>
      <c r="E63" s="153">
        <f t="shared" si="1"/>
        <v>0</v>
      </c>
      <c r="F63" s="155">
        <f t="shared" si="2"/>
        <v>92</v>
      </c>
      <c r="G63" s="344">
        <f>'AWWA-Water Balance Data Transf.'!$D$41</f>
        <v>0</v>
      </c>
      <c r="H63" s="154">
        <v>1</v>
      </c>
      <c r="I63" s="689">
        <v>0</v>
      </c>
      <c r="J63" s="1156">
        <v>0</v>
      </c>
      <c r="K63" s="1157"/>
      <c r="L63" s="155">
        <f>IF(ISERROR(IF(SUM(I63:K63)&gt;'Start Page'!$K$35,'Start Page'!$K$35,SUM(I63:K63))),"",IF(SUM(I63:K63)&gt;'Start Page'!$K$35,'Start Page'!$K$35,SUM(I63:K63)))</f>
        <v>0</v>
      </c>
      <c r="M63" s="155">
        <f>IF(ISERROR(IF(C63=0,0,IF('Start Page'!$Y$36=1,($F63*60*24*$L63)*(($G63/AD63)^$H63)/10^6,IF('Start Page'!$Y$36=2,($F63*60*24*$L63)*(($G63/AD63)^$H63)/10^6,IF('Start Page'!$Y$36=3,('Unit Conversion Sheet'!$E$17*$F63*60*24*$L63)*(($G63/AD63)^$H63)/10^6))))),0,IF(C63=0,0,IF('Start Page'!$Y$36=1,($F63*60*24*$L63)*(($G63/AD63)^$H63)/10^6,IF('Start Page'!$Y$36=2,($F63*60*24*$L63)*(($G63/AD63)^$H63)/10^6,IF('Start Page'!$Y$36=3,('Unit Conversion Sheet'!$E$17*$F63*60*24*$L63)*(($G63/AD63)^$H63)/10^6)))))</f>
        <v>0</v>
      </c>
      <c r="N63" s="156">
        <f t="shared" si="3"/>
        <v>0</v>
      </c>
      <c r="O63" s="354"/>
      <c r="P63" s="28"/>
      <c r="Q63" s="28"/>
      <c r="R63" s="627">
        <v>0</v>
      </c>
      <c r="S63" s="569">
        <v>1</v>
      </c>
      <c r="Y63" s="576">
        <f>46*2</f>
        <v>92</v>
      </c>
      <c r="Z63" s="577">
        <f>Y63*'Unit Conversion Sheet'!$C$5</f>
        <v>348.25788560000001</v>
      </c>
      <c r="AB63" s="578">
        <f>IF('Start Page'!$Y$36=1,Y63,IF('Start Page'!$Y$36=2,Z63,IF('Start Page'!$Y$36=3,Y63)))</f>
        <v>92</v>
      </c>
      <c r="AD63" s="568">
        <f>IF(S63=1,(IF('Start Page'!$Y$36=1,$AB$39,IF('Start Page'!$Y$36=2,$AC$39,IF('Start Page'!$Y$36=3,$AB$39)))),'AWWA-Water Balance Data Transf.'!$D$41)</f>
        <v>70</v>
      </c>
      <c r="AE63" s="568" t="str">
        <f>'AWWA-Water Balance Data Transf.'!$E$41</f>
        <v>PSI</v>
      </c>
      <c r="AH63" s="579" t="str">
        <f t="shared" si="4"/>
        <v/>
      </c>
      <c r="AI63" s="580" t="str">
        <f>IF(C63=0,"",IF('Start Page'!$Y$36=1,($F63*60*24*J63)*(($G63/$AB$39)^$H63)/10^6,IF('Start Page'!$Y$36=2,($F63*60*24*J63)*(($G63/$AC$39)^$H63)/10^6,IF('Start Page'!$Y$36=3,('Unit Conversion Sheet'!$E$17*$F63*60*24*J63)*(($G63/$AB$39)^$H63)/10^6))))</f>
        <v/>
      </c>
      <c r="AJ63" s="580" t="str">
        <f t="shared" si="5"/>
        <v/>
      </c>
    </row>
    <row r="64" spans="1:36" ht="20.149999999999999" customHeight="1">
      <c r="A64" s="58"/>
      <c r="B64" s="353" t="str">
        <f>IF('Start Page'!$Y$36=2,"DN 300","Diameter 12''")</f>
        <v>Diameter 12''</v>
      </c>
      <c r="C64" s="623">
        <v>0</v>
      </c>
      <c r="D64" s="628">
        <v>0</v>
      </c>
      <c r="E64" s="153">
        <f t="shared" si="1"/>
        <v>0</v>
      </c>
      <c r="F64" s="155">
        <f t="shared" si="2"/>
        <v>222</v>
      </c>
      <c r="G64" s="344">
        <f>'AWWA-Water Balance Data Transf.'!$D$41</f>
        <v>0</v>
      </c>
      <c r="H64" s="154">
        <v>1</v>
      </c>
      <c r="I64" s="689">
        <v>0</v>
      </c>
      <c r="J64" s="1156">
        <v>0</v>
      </c>
      <c r="K64" s="1157"/>
      <c r="L64" s="155">
        <f>IF(ISERROR(IF(SUM(I64:K64)&gt;'Start Page'!$K$35,'Start Page'!$K$35,SUM(I64:K64))),"",IF(SUM(I64:K64)&gt;'Start Page'!$K$35,'Start Page'!$K$35,SUM(I64:K64)))</f>
        <v>0</v>
      </c>
      <c r="M64" s="155">
        <f>IF(ISERROR(IF(C64=0,0,IF('Start Page'!$Y$36=1,($F64*60*24*$L64)*(($G64/AD64)^$H64)/10^6,IF('Start Page'!$Y$36=2,($F64*60*24*$L64)*(($G64/AD64)^$H64)/10^6,IF('Start Page'!$Y$36=3,('Unit Conversion Sheet'!$E$17*$F64*60*24*$L64)*(($G64/AD64)^$H64)/10^6))))),0,IF(C64=0,0,IF('Start Page'!$Y$36=1,($F64*60*24*$L64)*(($G64/AD64)^$H64)/10^6,IF('Start Page'!$Y$36=2,($F64*60*24*$L64)*(($G64/AD64)^$H64)/10^6,IF('Start Page'!$Y$36=3,('Unit Conversion Sheet'!$E$17*$F64*60*24*$L64)*(($G64/AD64)^$H64)/10^6)))))</f>
        <v>0</v>
      </c>
      <c r="N64" s="156">
        <f t="shared" si="3"/>
        <v>0</v>
      </c>
      <c r="O64" s="354"/>
      <c r="P64" s="28"/>
      <c r="Q64" s="28"/>
      <c r="R64" s="627">
        <v>0</v>
      </c>
      <c r="S64" s="569">
        <v>1</v>
      </c>
      <c r="Y64" s="576">
        <f>111*2</f>
        <v>222</v>
      </c>
      <c r="Z64" s="577">
        <f>Y64*'Unit Conversion Sheet'!$C$5</f>
        <v>840.36141959999998</v>
      </c>
      <c r="AB64" s="578">
        <f>IF('Start Page'!$Y$36=1,Y64,IF('Start Page'!$Y$36=2,Z64,IF('Start Page'!$Y$36=3,Y64)))</f>
        <v>222</v>
      </c>
      <c r="AD64" s="568">
        <f>IF(S64=1,(IF('Start Page'!$Y$36=1,$AB$39,IF('Start Page'!$Y$36=2,$AC$39,IF('Start Page'!$Y$36=3,$AB$39)))),'AWWA-Water Balance Data Transf.'!$D$41)</f>
        <v>70</v>
      </c>
      <c r="AE64" s="568" t="str">
        <f>'AWWA-Water Balance Data Transf.'!$E$41</f>
        <v>PSI</v>
      </c>
      <c r="AH64" s="579" t="str">
        <f t="shared" si="4"/>
        <v/>
      </c>
      <c r="AI64" s="580" t="str">
        <f>IF(C64=0,"",IF('Start Page'!$Y$36=1,($F64*60*24*J64)*(($G64/$AB$39)^$H64)/10^6,IF('Start Page'!$Y$36=2,($F64*60*24*J64)*(($G64/$AC$39)^$H64)/10^6,IF('Start Page'!$Y$36=3,('Unit Conversion Sheet'!$E$17*$F64*60*24*J64)*(($G64/$AB$39)^$H64)/10^6))))</f>
        <v/>
      </c>
      <c r="AJ64" s="580" t="str">
        <f t="shared" si="5"/>
        <v/>
      </c>
    </row>
    <row r="65" spans="1:39" ht="20.149999999999999" customHeight="1">
      <c r="A65" s="58"/>
      <c r="B65" s="353" t="str">
        <f>IF('Start Page'!$Y$36=2,"DN 350","Diameter 14''")</f>
        <v>Diameter 14''</v>
      </c>
      <c r="C65" s="623">
        <v>0</v>
      </c>
      <c r="D65" s="628">
        <v>0</v>
      </c>
      <c r="E65" s="153">
        <f t="shared" si="1"/>
        <v>0</v>
      </c>
      <c r="F65" s="155">
        <f t="shared" si="2"/>
        <v>222</v>
      </c>
      <c r="G65" s="344">
        <f>'AWWA-Water Balance Data Transf.'!$D$41</f>
        <v>0</v>
      </c>
      <c r="H65" s="154">
        <v>1</v>
      </c>
      <c r="I65" s="689">
        <v>0</v>
      </c>
      <c r="J65" s="1156">
        <v>0</v>
      </c>
      <c r="K65" s="1157"/>
      <c r="L65" s="155">
        <f>IF(ISERROR(IF(SUM(I65:K65)&gt;'Start Page'!$K$35,'Start Page'!$K$35,SUM(I65:K65))),"",IF(SUM(I65:K65)&gt;'Start Page'!$K$35,'Start Page'!$K$35,SUM(I65:K65)))</f>
        <v>0</v>
      </c>
      <c r="M65" s="155">
        <f>IF(ISERROR(IF(C65=0,0,IF('Start Page'!$Y$36=1,($F65*60*24*$L65)*(($G65/AD65)^$H65)/10^6,IF('Start Page'!$Y$36=2,($F65*60*24*$L65)*(($G65/AD65)^$H65)/10^6,IF('Start Page'!$Y$36=3,('Unit Conversion Sheet'!$E$17*$F65*60*24*$L65)*(($G65/AD65)^$H65)/10^6))))),0,IF(C65=0,0,IF('Start Page'!$Y$36=1,($F65*60*24*$L65)*(($G65/AD65)^$H65)/10^6,IF('Start Page'!$Y$36=2,($F65*60*24*$L65)*(($G65/AD65)^$H65)/10^6,IF('Start Page'!$Y$36=3,('Unit Conversion Sheet'!$E$17*$F65*60*24*$L65)*(($G65/AD65)^$H65)/10^6)))))</f>
        <v>0</v>
      </c>
      <c r="N65" s="156">
        <f t="shared" si="3"/>
        <v>0</v>
      </c>
      <c r="O65" s="354"/>
      <c r="P65" s="28"/>
      <c r="Q65" s="28"/>
      <c r="R65" s="627">
        <v>0</v>
      </c>
      <c r="S65" s="569">
        <v>1</v>
      </c>
      <c r="Y65" s="576">
        <f t="shared" ref="Y65:Y76" si="6">111*2</f>
        <v>222</v>
      </c>
      <c r="Z65" s="577">
        <f>Y65*'Unit Conversion Sheet'!$C$5</f>
        <v>840.36141959999998</v>
      </c>
      <c r="AB65" s="578">
        <f>IF('Start Page'!$Y$36=1,Y65,IF('Start Page'!$Y$36=2,Z65,IF('Start Page'!$Y$36=3,Y65)))</f>
        <v>222</v>
      </c>
      <c r="AD65" s="568">
        <f>IF(S65=1,(IF('Start Page'!$Y$36=1,$AB$39,IF('Start Page'!$Y$36=2,$AC$39,IF('Start Page'!$Y$36=3,$AB$39)))),'AWWA-Water Balance Data Transf.'!$D$41)</f>
        <v>70</v>
      </c>
      <c r="AE65" s="568" t="str">
        <f>'AWWA-Water Balance Data Transf.'!$E$41</f>
        <v>PSI</v>
      </c>
      <c r="AH65" s="579" t="str">
        <f t="shared" si="4"/>
        <v/>
      </c>
      <c r="AI65" s="580" t="str">
        <f>IF(C65=0,"",IF('Start Page'!$Y$36=1,($F65*60*24*J65)*(($G65/$AB$39)^$H65)/10^6,IF('Start Page'!$Y$36=2,($F65*60*24*J65)*(($G65/$AC$39)^$H65)/10^6,IF('Start Page'!$Y$36=3,('Unit Conversion Sheet'!$E$17*$F65*60*24*J65)*(($G65/$AB$39)^$H65)/10^6))))</f>
        <v/>
      </c>
      <c r="AJ65" s="580" t="str">
        <f t="shared" si="5"/>
        <v/>
      </c>
    </row>
    <row r="66" spans="1:39" ht="20.149999999999999" customHeight="1">
      <c r="A66" s="58"/>
      <c r="B66" s="353" t="str">
        <f>IF('Start Page'!$Y$36=2,"DN 400","Diameter 16''")</f>
        <v>Diameter 16''</v>
      </c>
      <c r="C66" s="623">
        <v>0</v>
      </c>
      <c r="D66" s="628">
        <v>0</v>
      </c>
      <c r="E66" s="153">
        <f t="shared" si="1"/>
        <v>0</v>
      </c>
      <c r="F66" s="155">
        <f t="shared" si="2"/>
        <v>222</v>
      </c>
      <c r="G66" s="344">
        <f>'AWWA-Water Balance Data Transf.'!$D$41</f>
        <v>0</v>
      </c>
      <c r="H66" s="154">
        <v>1</v>
      </c>
      <c r="I66" s="689">
        <v>0</v>
      </c>
      <c r="J66" s="1156">
        <v>0</v>
      </c>
      <c r="K66" s="1157"/>
      <c r="L66" s="155">
        <f>IF(ISERROR(IF(SUM(I66:K66)&gt;'Start Page'!$K$35,'Start Page'!$K$35,SUM(I66:K66))),"",IF(SUM(I66:K66)&gt;'Start Page'!$K$35,'Start Page'!$K$35,SUM(I66:K66)))</f>
        <v>0</v>
      </c>
      <c r="M66" s="155">
        <f>IF(ISERROR(IF(C66=0,0,IF('Start Page'!$Y$36=1,($F66*60*24*$L66)*(($G66/AD66)^$H66)/10^6,IF('Start Page'!$Y$36=2,($F66*60*24*$L66)*(($G66/AD66)^$H66)/10^6,IF('Start Page'!$Y$36=3,('Unit Conversion Sheet'!$E$17*$F66*60*24*$L66)*(($G66/AD66)^$H66)/10^6))))),0,IF(C66=0,0,IF('Start Page'!$Y$36=1,($F66*60*24*$L66)*(($G66/AD66)^$H66)/10^6,IF('Start Page'!$Y$36=2,($F66*60*24*$L66)*(($G66/AD66)^$H66)/10^6,IF('Start Page'!$Y$36=3,('Unit Conversion Sheet'!$E$17*$F66*60*24*$L66)*(($G66/AD66)^$H66)/10^6)))))</f>
        <v>0</v>
      </c>
      <c r="N66" s="156">
        <f t="shared" si="3"/>
        <v>0</v>
      </c>
      <c r="O66" s="354"/>
      <c r="P66" s="28"/>
      <c r="Q66" s="28"/>
      <c r="R66" s="627">
        <v>0</v>
      </c>
      <c r="S66" s="569">
        <v>1</v>
      </c>
      <c r="Y66" s="576">
        <f t="shared" si="6"/>
        <v>222</v>
      </c>
      <c r="Z66" s="577">
        <f>Y66*'Unit Conversion Sheet'!$C$5</f>
        <v>840.36141959999998</v>
      </c>
      <c r="AB66" s="578">
        <f>IF('Start Page'!$Y$36=1,Y66,IF('Start Page'!$Y$36=2,Z66,IF('Start Page'!$Y$36=3,Y66)))</f>
        <v>222</v>
      </c>
      <c r="AD66" s="568">
        <f>IF(S66=1,(IF('Start Page'!$Y$36=1,$AB$39,IF('Start Page'!$Y$36=2,$AC$39,IF('Start Page'!$Y$36=3,$AB$39)))),'AWWA-Water Balance Data Transf.'!$D$41)</f>
        <v>70</v>
      </c>
      <c r="AE66" s="568" t="str">
        <f>'AWWA-Water Balance Data Transf.'!$E$41</f>
        <v>PSI</v>
      </c>
      <c r="AH66" s="579" t="str">
        <f t="shared" si="4"/>
        <v/>
      </c>
      <c r="AI66" s="580" t="str">
        <f>IF(C66=0,"",IF('Start Page'!$Y$36=1,($F66*60*24*J66)*(($G66/$AB$39)^$H66)/10^6,IF('Start Page'!$Y$36=2,($F66*60*24*J66)*(($G66/$AC$39)^$H66)/10^6,IF('Start Page'!$Y$36=3,('Unit Conversion Sheet'!$E$17*$F66*60*24*J66)*(($G66/$AB$39)^$H66)/10^6))))</f>
        <v/>
      </c>
      <c r="AJ66" s="580" t="str">
        <f t="shared" si="5"/>
        <v/>
      </c>
    </row>
    <row r="67" spans="1:39" ht="20.149999999999999" customHeight="1">
      <c r="A67" s="58"/>
      <c r="B67" s="353" t="str">
        <f>IF('Start Page'!$Y$36=2,"DN 450","Diameter 18''")</f>
        <v>Diameter 18''</v>
      </c>
      <c r="C67" s="623">
        <v>0</v>
      </c>
      <c r="D67" s="628">
        <v>0</v>
      </c>
      <c r="E67" s="153">
        <f t="shared" si="1"/>
        <v>0</v>
      </c>
      <c r="F67" s="155">
        <f t="shared" si="2"/>
        <v>222</v>
      </c>
      <c r="G67" s="344">
        <f>'AWWA-Water Balance Data Transf.'!$D$41</f>
        <v>0</v>
      </c>
      <c r="H67" s="154">
        <v>1</v>
      </c>
      <c r="I67" s="689">
        <v>0</v>
      </c>
      <c r="J67" s="1156">
        <v>0</v>
      </c>
      <c r="K67" s="1157"/>
      <c r="L67" s="155">
        <f>IF(ISERROR(IF(SUM(I67:K67)&gt;'Start Page'!$K$35,'Start Page'!$K$35,SUM(I67:K67))),"",IF(SUM(I67:K67)&gt;'Start Page'!$K$35,'Start Page'!$K$35,SUM(I67:K67)))</f>
        <v>0</v>
      </c>
      <c r="M67" s="155">
        <f>IF(ISERROR(IF(C67=0,0,IF('Start Page'!$Y$36=1,($F67*60*24*$L67)*(($G67/AD67)^$H67)/10^6,IF('Start Page'!$Y$36=2,($F67*60*24*$L67)*(($G67/AD67)^$H67)/10^6,IF('Start Page'!$Y$36=3,('Unit Conversion Sheet'!$E$17*$F67*60*24*$L67)*(($G67/AD67)^$H67)/10^6))))),0,IF(C67=0,0,IF('Start Page'!$Y$36=1,($F67*60*24*$L67)*(($G67/AD67)^$H67)/10^6,IF('Start Page'!$Y$36=2,($F67*60*24*$L67)*(($G67/AD67)^$H67)/10^6,IF('Start Page'!$Y$36=3,('Unit Conversion Sheet'!$E$17*$F67*60*24*$L67)*(($G67/AD67)^$H67)/10^6)))))</f>
        <v>0</v>
      </c>
      <c r="N67" s="156">
        <f t="shared" si="3"/>
        <v>0</v>
      </c>
      <c r="O67" s="354"/>
      <c r="P67" s="28"/>
      <c r="Q67" s="28"/>
      <c r="R67" s="627">
        <v>0</v>
      </c>
      <c r="S67" s="569">
        <v>1</v>
      </c>
      <c r="Y67" s="576">
        <f t="shared" si="6"/>
        <v>222</v>
      </c>
      <c r="Z67" s="577">
        <f>Y67*'Unit Conversion Sheet'!$C$5</f>
        <v>840.36141959999998</v>
      </c>
      <c r="AB67" s="578">
        <f>IF('Start Page'!$Y$36=1,Y67,IF('Start Page'!$Y$36=2,Z67,IF('Start Page'!$Y$36=3,Y67)))</f>
        <v>222</v>
      </c>
      <c r="AD67" s="568">
        <f>IF(S67=1,(IF('Start Page'!$Y$36=1,$AB$39,IF('Start Page'!$Y$36=2,$AC$39,IF('Start Page'!$Y$36=3,$AB$39)))),'AWWA-Water Balance Data Transf.'!$D$41)</f>
        <v>70</v>
      </c>
      <c r="AE67" s="568" t="str">
        <f>'AWWA-Water Balance Data Transf.'!$E$41</f>
        <v>PSI</v>
      </c>
      <c r="AH67" s="579" t="str">
        <f t="shared" si="4"/>
        <v/>
      </c>
      <c r="AI67" s="580" t="str">
        <f>IF(C67=0,"",IF('Start Page'!$Y$36=1,($F67*60*24*J67)*(($G67/$AB$39)^$H67)/10^6,IF('Start Page'!$Y$36=2,($F67*60*24*J67)*(($G67/$AC$39)^$H67)/10^6,IF('Start Page'!$Y$36=3,('Unit Conversion Sheet'!$E$17*$F67*60*24*J67)*(($G67/$AB$39)^$H67)/10^6))))</f>
        <v/>
      </c>
      <c r="AJ67" s="580" t="str">
        <f t="shared" si="5"/>
        <v/>
      </c>
    </row>
    <row r="68" spans="1:39" ht="20.149999999999999" customHeight="1">
      <c r="A68" s="58"/>
      <c r="B68" s="353" t="str">
        <f>IF('Start Page'!$Y$36=2,"DN 500","Diameter 20''")</f>
        <v>Diameter 20''</v>
      </c>
      <c r="C68" s="623">
        <v>0</v>
      </c>
      <c r="D68" s="628">
        <v>0</v>
      </c>
      <c r="E68" s="153">
        <f t="shared" si="1"/>
        <v>0</v>
      </c>
      <c r="F68" s="155">
        <f t="shared" si="2"/>
        <v>222</v>
      </c>
      <c r="G68" s="344">
        <f>'AWWA-Water Balance Data Transf.'!$D$41</f>
        <v>0</v>
      </c>
      <c r="H68" s="154">
        <v>1</v>
      </c>
      <c r="I68" s="689">
        <v>0</v>
      </c>
      <c r="J68" s="1156">
        <v>0</v>
      </c>
      <c r="K68" s="1157"/>
      <c r="L68" s="155">
        <f>IF(ISERROR(IF(SUM(I68:K68)&gt;'Start Page'!$K$35,'Start Page'!$K$35,SUM(I68:K68))),"",IF(SUM(I68:K68)&gt;'Start Page'!$K$35,'Start Page'!$K$35,SUM(I68:K68)))</f>
        <v>0</v>
      </c>
      <c r="M68" s="155">
        <f>IF(ISERROR(IF(C68=0,0,IF('Start Page'!$Y$36=1,($F68*60*24*$L68)*(($G68/AD68)^$H68)/10^6,IF('Start Page'!$Y$36=2,($F68*60*24*$L68)*(($G68/AD68)^$H68)/10^6,IF('Start Page'!$Y$36=3,('Unit Conversion Sheet'!$E$17*$F68*60*24*$L68)*(($G68/AD68)^$H68)/10^6))))),0,IF(C68=0,0,IF('Start Page'!$Y$36=1,($F68*60*24*$L68)*(($G68/AD68)^$H68)/10^6,IF('Start Page'!$Y$36=2,($F68*60*24*$L68)*(($G68/AD68)^$H68)/10^6,IF('Start Page'!$Y$36=3,('Unit Conversion Sheet'!$E$17*$F68*60*24*$L68)*(($G68/AD68)^$H68)/10^6)))))</f>
        <v>0</v>
      </c>
      <c r="N68" s="156">
        <f t="shared" si="3"/>
        <v>0</v>
      </c>
      <c r="O68" s="354"/>
      <c r="P68" s="28"/>
      <c r="Q68" s="28"/>
      <c r="R68" s="627">
        <v>0</v>
      </c>
      <c r="S68" s="569">
        <v>1</v>
      </c>
      <c r="Y68" s="576">
        <f t="shared" si="6"/>
        <v>222</v>
      </c>
      <c r="Z68" s="577">
        <f>Y68*'Unit Conversion Sheet'!$C$5</f>
        <v>840.36141959999998</v>
      </c>
      <c r="AB68" s="578">
        <f>IF('Start Page'!$Y$36=1,Y68,IF('Start Page'!$Y$36=2,Z68,IF('Start Page'!$Y$36=3,Y68)))</f>
        <v>222</v>
      </c>
      <c r="AD68" s="568">
        <f>IF(S68=1,(IF('Start Page'!$Y$36=1,$AB$39,IF('Start Page'!$Y$36=2,$AC$39,IF('Start Page'!$Y$36=3,$AB$39)))),'AWWA-Water Balance Data Transf.'!$D$41)</f>
        <v>70</v>
      </c>
      <c r="AE68" s="568" t="str">
        <f>'AWWA-Water Balance Data Transf.'!$E$41</f>
        <v>PSI</v>
      </c>
      <c r="AH68" s="579" t="str">
        <f t="shared" si="4"/>
        <v/>
      </c>
      <c r="AI68" s="580" t="str">
        <f>IF(C68=0,"",IF('Start Page'!$Y$36=1,($F68*60*24*J68)*(($G68/$AB$39)^$H68)/10^6,IF('Start Page'!$Y$36=2,($F68*60*24*J68)*(($G68/$AC$39)^$H68)/10^6,IF('Start Page'!$Y$36=3,('Unit Conversion Sheet'!$E$17*$F68*60*24*J68)*(($G68/$AB$39)^$H68)/10^6))))</f>
        <v/>
      </c>
      <c r="AJ68" s="580" t="str">
        <f t="shared" si="5"/>
        <v/>
      </c>
    </row>
    <row r="69" spans="1:39" s="318" customFormat="1" ht="20.149999999999999" customHeight="1">
      <c r="A69" s="878"/>
      <c r="B69" s="353" t="str">
        <f>IF('Start Page'!$Y$36=2,"DN 600","Diameter 24''")</f>
        <v>Diameter 24''</v>
      </c>
      <c r="C69" s="623">
        <v>0</v>
      </c>
      <c r="D69" s="628">
        <v>0</v>
      </c>
      <c r="E69" s="153">
        <f t="shared" si="1"/>
        <v>0</v>
      </c>
      <c r="F69" s="155">
        <f t="shared" si="2"/>
        <v>222</v>
      </c>
      <c r="G69" s="344">
        <f>'AWWA-Water Balance Data Transf.'!$D$41</f>
        <v>0</v>
      </c>
      <c r="H69" s="154">
        <v>1</v>
      </c>
      <c r="I69" s="689">
        <v>0</v>
      </c>
      <c r="J69" s="1156">
        <v>0</v>
      </c>
      <c r="K69" s="1157"/>
      <c r="L69" s="155">
        <f>IF(ISERROR(IF(SUM(I69:K69)&gt;'Start Page'!$K$35,'Start Page'!$K$35,SUM(I69:K69))),"",IF(SUM(I69:K69)&gt;'Start Page'!$K$35,'Start Page'!$K$35,SUM(I69:K69)))</f>
        <v>0</v>
      </c>
      <c r="M69" s="155">
        <f>IF(ISERROR(IF(C69=0,0,IF('Start Page'!$Y$36=1,($F69*60*24*$L69)*(($G69/AD69)^$H69)/10^6,IF('Start Page'!$Y$36=2,($F69*60*24*$L69)*(($G69/AD69)^$H69)/10^6,IF('Start Page'!$Y$36=3,('Unit Conversion Sheet'!$E$17*$F69*60*24*$L69)*(($G69/AD69)^$H69)/10^6))))),0,IF(C69=0,0,IF('Start Page'!$Y$36=1,($F69*60*24*$L69)*(($G69/AD69)^$H69)/10^6,IF('Start Page'!$Y$36=2,($F69*60*24*$L69)*(($G69/AD69)^$H69)/10^6,IF('Start Page'!$Y$36=3,('Unit Conversion Sheet'!$E$17*$F69*60*24*$L69)*(($G69/AD69)^$H69)/10^6)))))</f>
        <v>0</v>
      </c>
      <c r="N69" s="156">
        <f t="shared" si="3"/>
        <v>0</v>
      </c>
      <c r="O69" s="354"/>
      <c r="P69" s="28"/>
      <c r="Q69" s="28"/>
      <c r="R69" s="627">
        <v>0</v>
      </c>
      <c r="S69" s="569">
        <v>1</v>
      </c>
      <c r="T69" s="568"/>
      <c r="U69" s="568"/>
      <c r="V69" s="568"/>
      <c r="W69" s="568"/>
      <c r="X69" s="568"/>
      <c r="Y69" s="576">
        <f t="shared" si="6"/>
        <v>222</v>
      </c>
      <c r="Z69" s="577">
        <f>Y69*'Unit Conversion Sheet'!$C$5</f>
        <v>840.36141959999998</v>
      </c>
      <c r="AA69" s="568"/>
      <c r="AB69" s="578">
        <f>IF('Start Page'!$Y$36=1,Y69,IF('Start Page'!$Y$36=2,Z69,IF('Start Page'!$Y$36=3,Y69)))</f>
        <v>222</v>
      </c>
      <c r="AC69" s="568"/>
      <c r="AD69" s="568">
        <f>IF(S69=1,(IF('Start Page'!$Y$36=1,$AB$39,IF('Start Page'!$Y$36=2,$AC$39,IF('Start Page'!$Y$36=3,$AB$39)))),'AWWA-Water Balance Data Transf.'!$D$41)</f>
        <v>70</v>
      </c>
      <c r="AE69" s="568" t="str">
        <f>'AWWA-Water Balance Data Transf.'!$E$41</f>
        <v>PSI</v>
      </c>
      <c r="AF69" s="568"/>
      <c r="AG69" s="568"/>
      <c r="AH69" s="579" t="str">
        <f t="shared" si="4"/>
        <v/>
      </c>
      <c r="AI69" s="580" t="str">
        <f>IF(C69=0,"",IF('Start Page'!$Y$36=1,($F69*60*24*J69)*(($G69/$AB$39)^$H69)/10^6,IF('Start Page'!$Y$36=2,($F69*60*24*J69)*(($G69/$AC$39)^$H69)/10^6,IF('Start Page'!$Y$36=3,('Unit Conversion Sheet'!$E$17*$F69*60*24*J69)*(($G69/$AB$39)^$H69)/10^6))))</f>
        <v/>
      </c>
      <c r="AJ69" s="580" t="str">
        <f t="shared" si="5"/>
        <v/>
      </c>
      <c r="AK69" s="568"/>
      <c r="AL69" s="568"/>
      <c r="AM69" s="581"/>
    </row>
    <row r="70" spans="1:39" ht="20.149999999999999" customHeight="1">
      <c r="A70" s="58"/>
      <c r="B70" s="353" t="str">
        <f>IF('Start Page'!$Y$36=2,"DN 750","Diameter 30''")</f>
        <v>Diameter 30''</v>
      </c>
      <c r="C70" s="623">
        <v>0</v>
      </c>
      <c r="D70" s="628">
        <v>0</v>
      </c>
      <c r="E70" s="153">
        <f t="shared" si="1"/>
        <v>0</v>
      </c>
      <c r="F70" s="155">
        <f t="shared" si="2"/>
        <v>222</v>
      </c>
      <c r="G70" s="344">
        <f>'AWWA-Water Balance Data Transf.'!$D$41</f>
        <v>0</v>
      </c>
      <c r="H70" s="154">
        <v>1</v>
      </c>
      <c r="I70" s="689">
        <v>0</v>
      </c>
      <c r="J70" s="1156">
        <v>0</v>
      </c>
      <c r="K70" s="1157"/>
      <c r="L70" s="155">
        <f>IF(ISERROR(IF(SUM(I70:K70)&gt;'Start Page'!$K$35,'Start Page'!$K$35,SUM(I70:K70))),"",IF(SUM(I70:K70)&gt;'Start Page'!$K$35,'Start Page'!$K$35,SUM(I70:K70)))</f>
        <v>0</v>
      </c>
      <c r="M70" s="155">
        <f>IF(ISERROR(IF(C70=0,0,IF('Start Page'!$Y$36=1,($F70*60*24*$L70)*(($G70/AD70)^$H70)/10^6,IF('Start Page'!$Y$36=2,($F70*60*24*$L70)*(($G70/AD70)^$H70)/10^6,IF('Start Page'!$Y$36=3,('Unit Conversion Sheet'!$E$17*$F70*60*24*$L70)*(($G70/AD70)^$H70)/10^6))))),0,IF(C70=0,0,IF('Start Page'!$Y$36=1,($F70*60*24*$L70)*(($G70/AD70)^$H70)/10^6,IF('Start Page'!$Y$36=2,($F70*60*24*$L70)*(($G70/AD70)^$H70)/10^6,IF('Start Page'!$Y$36=3,('Unit Conversion Sheet'!$E$17*$F70*60*24*$L70)*(($G70/AD70)^$H70)/10^6)))))</f>
        <v>0</v>
      </c>
      <c r="N70" s="156">
        <f t="shared" si="3"/>
        <v>0</v>
      </c>
      <c r="O70" s="354"/>
      <c r="P70" s="28"/>
      <c r="Q70" s="28"/>
      <c r="R70" s="627">
        <v>0</v>
      </c>
      <c r="S70" s="569">
        <v>1</v>
      </c>
      <c r="Y70" s="576">
        <f t="shared" si="6"/>
        <v>222</v>
      </c>
      <c r="Z70" s="577">
        <f>Y70*'Unit Conversion Sheet'!$C$5</f>
        <v>840.36141959999998</v>
      </c>
      <c r="AB70" s="578">
        <f>IF('Start Page'!$Y$36=1,Y70,IF('Start Page'!$Y$36=2,Z70,IF('Start Page'!$Y$36=3,Y70)))</f>
        <v>222</v>
      </c>
      <c r="AD70" s="568">
        <f>IF(S70=1,(IF('Start Page'!$Y$36=1,$AB$39,IF('Start Page'!$Y$36=2,$AC$39,IF('Start Page'!$Y$36=3,$AB$39)))),'AWWA-Water Balance Data Transf.'!$D$41)</f>
        <v>70</v>
      </c>
      <c r="AE70" s="568" t="str">
        <f>'AWWA-Water Balance Data Transf.'!$E$41</f>
        <v>PSI</v>
      </c>
      <c r="AH70" s="579" t="str">
        <f t="shared" si="4"/>
        <v/>
      </c>
      <c r="AI70" s="580" t="str">
        <f>IF(C70=0,"",IF('Start Page'!$Y$36=1,($F70*60*24*J70)*(($G70/$AB$39)^$H70)/10^6,IF('Start Page'!$Y$36=2,($F70*60*24*J70)*(($G70/$AC$39)^$H70)/10^6,IF('Start Page'!$Y$36=3,('Unit Conversion Sheet'!$E$17*$F70*60*24*J70)*(($G70/$AB$39)^$H70)/10^6))))</f>
        <v/>
      </c>
      <c r="AJ70" s="580" t="str">
        <f t="shared" si="5"/>
        <v/>
      </c>
    </row>
    <row r="71" spans="1:39" ht="20.149999999999999" customHeight="1">
      <c r="A71" s="58"/>
      <c r="B71" s="353" t="str">
        <f>IF('Start Page'!$Y$36=2,"DN 900","Diameter 36''")</f>
        <v>Diameter 36''</v>
      </c>
      <c r="C71" s="623">
        <v>0</v>
      </c>
      <c r="D71" s="628">
        <v>0</v>
      </c>
      <c r="E71" s="153">
        <f t="shared" si="1"/>
        <v>0</v>
      </c>
      <c r="F71" s="155">
        <f t="shared" si="2"/>
        <v>222</v>
      </c>
      <c r="G71" s="344">
        <f>'AWWA-Water Balance Data Transf.'!$D$41</f>
        <v>0</v>
      </c>
      <c r="H71" s="154">
        <v>1</v>
      </c>
      <c r="I71" s="689">
        <v>0</v>
      </c>
      <c r="J71" s="1156">
        <v>0</v>
      </c>
      <c r="K71" s="1157"/>
      <c r="L71" s="155">
        <f>IF(ISERROR(IF(SUM(I71:K71)&gt;'Start Page'!$K$35,'Start Page'!$K$35,SUM(I71:K71))),"",IF(SUM(I71:K71)&gt;'Start Page'!$K$35,'Start Page'!$K$35,SUM(I71:K71)))</f>
        <v>0</v>
      </c>
      <c r="M71" s="155">
        <f>IF(ISERROR(IF(C71=0,0,IF('Start Page'!$Y$36=1,($F71*60*24*$L71)*(($G71/AD71)^$H71)/10^6,IF('Start Page'!$Y$36=2,($F71*60*24*$L71)*(($G71/AD71)^$H71)/10^6,IF('Start Page'!$Y$36=3,('Unit Conversion Sheet'!$E$17*$F71*60*24*$L71)*(($G71/AD71)^$H71)/10^6))))),0,IF(C71=0,0,IF('Start Page'!$Y$36=1,($F71*60*24*$L71)*(($G71/AD71)^$H71)/10^6,IF('Start Page'!$Y$36=2,($F71*60*24*$L71)*(($G71/AD71)^$H71)/10^6,IF('Start Page'!$Y$36=3,('Unit Conversion Sheet'!$E$17*$F71*60*24*$L71)*(($G71/AD71)^$H71)/10^6)))))</f>
        <v>0</v>
      </c>
      <c r="N71" s="156">
        <f t="shared" si="3"/>
        <v>0</v>
      </c>
      <c r="O71" s="354"/>
      <c r="P71" s="28"/>
      <c r="Q71" s="28"/>
      <c r="R71" s="627">
        <v>0</v>
      </c>
      <c r="S71" s="569">
        <v>1</v>
      </c>
      <c r="Y71" s="576">
        <f t="shared" si="6"/>
        <v>222</v>
      </c>
      <c r="Z71" s="577">
        <f>Y71*'Unit Conversion Sheet'!$C$5</f>
        <v>840.36141959999998</v>
      </c>
      <c r="AB71" s="578">
        <f>IF('Start Page'!$Y$36=1,Y71,IF('Start Page'!$Y$36=2,Z71,IF('Start Page'!$Y$36=3,Y71)))</f>
        <v>222</v>
      </c>
      <c r="AD71" s="568">
        <f>IF(S71=1,(IF('Start Page'!$Y$36=1,$AB$39,IF('Start Page'!$Y$36=2,$AC$39,IF('Start Page'!$Y$36=3,$AB$39)))),'AWWA-Water Balance Data Transf.'!$D$41)</f>
        <v>70</v>
      </c>
      <c r="AE71" s="568" t="str">
        <f>'AWWA-Water Balance Data Transf.'!$E$41</f>
        <v>PSI</v>
      </c>
      <c r="AH71" s="579" t="str">
        <f t="shared" si="4"/>
        <v/>
      </c>
      <c r="AI71" s="580" t="str">
        <f>IF(C71=0,"",IF('Start Page'!$Y$36=1,($F71*60*24*J71)*(($G71/$AB$39)^$H71)/10^6,IF('Start Page'!$Y$36=2,($F71*60*24*J71)*(($G71/$AC$39)^$H71)/10^6,IF('Start Page'!$Y$36=3,('Unit Conversion Sheet'!$E$17*$F71*60*24*J71)*(($G71/$AB$39)^$H71)/10^6))))</f>
        <v/>
      </c>
      <c r="AJ71" s="580" t="str">
        <f t="shared" si="5"/>
        <v/>
      </c>
    </row>
    <row r="72" spans="1:39" ht="20.149999999999999" customHeight="1">
      <c r="A72" s="58"/>
      <c r="B72" s="353" t="str">
        <f>IF('Start Page'!$Y$36=2,"DN 1050","Diameter 42''")</f>
        <v>Diameter 42''</v>
      </c>
      <c r="C72" s="623">
        <v>0</v>
      </c>
      <c r="D72" s="628">
        <v>0</v>
      </c>
      <c r="E72" s="153">
        <f t="shared" si="1"/>
        <v>0</v>
      </c>
      <c r="F72" s="155">
        <f t="shared" si="2"/>
        <v>222</v>
      </c>
      <c r="G72" s="344">
        <f>'AWWA-Water Balance Data Transf.'!$D$41</f>
        <v>0</v>
      </c>
      <c r="H72" s="154">
        <v>1</v>
      </c>
      <c r="I72" s="689">
        <v>0</v>
      </c>
      <c r="J72" s="1156">
        <v>0</v>
      </c>
      <c r="K72" s="1157"/>
      <c r="L72" s="155">
        <f>IF(ISERROR(IF(SUM(I72:K72)&gt;'Start Page'!$K$35,'Start Page'!$K$35,SUM(I72:K72))),"",IF(SUM(I72:K72)&gt;'Start Page'!$K$35,'Start Page'!$K$35,SUM(I72:K72)))</f>
        <v>0</v>
      </c>
      <c r="M72" s="155">
        <f>IF(ISERROR(IF(C72=0,0,IF('Start Page'!$Y$36=1,($F72*60*24*$L72)*(($G72/AD72)^$H72)/10^6,IF('Start Page'!$Y$36=2,($F72*60*24*$L72)*(($G72/AD72)^$H72)/10^6,IF('Start Page'!$Y$36=3,('Unit Conversion Sheet'!$E$17*$F72*60*24*$L72)*(($G72/AD72)^$H72)/10^6))))),0,IF(C72=0,0,IF('Start Page'!$Y$36=1,($F72*60*24*$L72)*(($G72/AD72)^$H72)/10^6,IF('Start Page'!$Y$36=2,($F72*60*24*$L72)*(($G72/AD72)^$H72)/10^6,IF('Start Page'!$Y$36=3,('Unit Conversion Sheet'!$E$17*$F72*60*24*$L72)*(($G72/AD72)^$H72)/10^6)))))</f>
        <v>0</v>
      </c>
      <c r="N72" s="156">
        <f t="shared" si="3"/>
        <v>0</v>
      </c>
      <c r="O72" s="354"/>
      <c r="P72" s="28"/>
      <c r="Q72" s="28"/>
      <c r="R72" s="627">
        <v>0</v>
      </c>
      <c r="S72" s="569">
        <v>1</v>
      </c>
      <c r="Y72" s="576">
        <f t="shared" si="6"/>
        <v>222</v>
      </c>
      <c r="Z72" s="577">
        <f>Y72*'Unit Conversion Sheet'!$C$5</f>
        <v>840.36141959999998</v>
      </c>
      <c r="AB72" s="578">
        <f>IF('Start Page'!$Y$36=1,Y72,IF('Start Page'!$Y$36=2,Z72,IF('Start Page'!$Y$36=3,Y72)))</f>
        <v>222</v>
      </c>
      <c r="AD72" s="568">
        <f>IF(S72=1,(IF('Start Page'!$Y$36=1,$AB$39,IF('Start Page'!$Y$36=2,$AC$39,IF('Start Page'!$Y$36=3,$AB$39)))),'AWWA-Water Balance Data Transf.'!$D$41)</f>
        <v>70</v>
      </c>
      <c r="AE72" s="568" t="str">
        <f>'AWWA-Water Balance Data Transf.'!$E$41</f>
        <v>PSI</v>
      </c>
      <c r="AH72" s="579" t="str">
        <f t="shared" si="4"/>
        <v/>
      </c>
      <c r="AI72" s="580" t="str">
        <f>IF(C72=0,"",IF('Start Page'!$Y$36=1,($F72*60*24*J72)*(($G72/$AB$39)^$H72)/10^6,IF('Start Page'!$Y$36=2,($F72*60*24*J72)*(($G72/$AC$39)^$H72)/10^6,IF('Start Page'!$Y$36=3,('Unit Conversion Sheet'!$E$17*$F72*60*24*J72)*(($G72/$AB$39)^$H72)/10^6))))</f>
        <v/>
      </c>
      <c r="AJ72" s="580" t="str">
        <f t="shared" si="5"/>
        <v/>
      </c>
    </row>
    <row r="73" spans="1:39" ht="20.149999999999999" customHeight="1">
      <c r="A73" s="58"/>
      <c r="B73" s="353" t="str">
        <f>IF('Start Page'!$Y$36=2,"DN 1200","Diameter 48''")</f>
        <v>Diameter 48''</v>
      </c>
      <c r="C73" s="623">
        <v>0</v>
      </c>
      <c r="D73" s="628">
        <v>0</v>
      </c>
      <c r="E73" s="153">
        <f t="shared" si="1"/>
        <v>0</v>
      </c>
      <c r="F73" s="155">
        <f t="shared" si="2"/>
        <v>222</v>
      </c>
      <c r="G73" s="344">
        <f>'AWWA-Water Balance Data Transf.'!$D$41</f>
        <v>0</v>
      </c>
      <c r="H73" s="154">
        <v>1</v>
      </c>
      <c r="I73" s="689">
        <v>0</v>
      </c>
      <c r="J73" s="1156">
        <v>0</v>
      </c>
      <c r="K73" s="1157"/>
      <c r="L73" s="155">
        <f>IF(ISERROR(IF(SUM(I73:K73)&gt;'Start Page'!$K$35,'Start Page'!$K$35,SUM(I73:K73))),"",IF(SUM(I73:K73)&gt;'Start Page'!$K$35,'Start Page'!$K$35,SUM(I73:K73)))</f>
        <v>0</v>
      </c>
      <c r="M73" s="155">
        <f>IF(ISERROR(IF(C73=0,0,IF('Start Page'!$Y$36=1,($F73*60*24*$L73)*(($G73/AD73)^$H73)/10^6,IF('Start Page'!$Y$36=2,($F73*60*24*$L73)*(($G73/AD73)^$H73)/10^6,IF('Start Page'!$Y$36=3,('Unit Conversion Sheet'!$E$17*$F73*60*24*$L73)*(($G73/AD73)^$H73)/10^6))))),0,IF(C73=0,0,IF('Start Page'!$Y$36=1,($F73*60*24*$L73)*(($G73/AD73)^$H73)/10^6,IF('Start Page'!$Y$36=2,($F73*60*24*$L73)*(($G73/AD73)^$H73)/10^6,IF('Start Page'!$Y$36=3,('Unit Conversion Sheet'!$E$17*$F73*60*24*$L73)*(($G73/AD73)^$H73)/10^6)))))</f>
        <v>0</v>
      </c>
      <c r="N73" s="156">
        <f t="shared" si="3"/>
        <v>0</v>
      </c>
      <c r="O73" s="354"/>
      <c r="P73" s="28"/>
      <c r="Q73" s="28"/>
      <c r="R73" s="627">
        <v>0</v>
      </c>
      <c r="S73" s="569">
        <v>1</v>
      </c>
      <c r="Y73" s="576">
        <f t="shared" si="6"/>
        <v>222</v>
      </c>
      <c r="Z73" s="577">
        <f>Y73*'Unit Conversion Sheet'!$C$5</f>
        <v>840.36141959999998</v>
      </c>
      <c r="AB73" s="578">
        <f>IF('Start Page'!$Y$36=1,Y73,IF('Start Page'!$Y$36=2,Z73,IF('Start Page'!$Y$36=3,Y73)))</f>
        <v>222</v>
      </c>
      <c r="AD73" s="568">
        <f>IF(S73=1,(IF('Start Page'!$Y$36=1,$AB$39,IF('Start Page'!$Y$36=2,$AC$39,IF('Start Page'!$Y$36=3,$AB$39)))),'AWWA-Water Balance Data Transf.'!$D$41)</f>
        <v>70</v>
      </c>
      <c r="AE73" s="568" t="str">
        <f>'AWWA-Water Balance Data Transf.'!$E$41</f>
        <v>PSI</v>
      </c>
      <c r="AH73" s="579" t="str">
        <f t="shared" si="4"/>
        <v/>
      </c>
      <c r="AI73" s="580" t="str">
        <f>IF(C73=0,"",IF('Start Page'!$Y$36=1,($F73*60*24*J73)*(($G73/$AB$39)^$H73)/10^6,IF('Start Page'!$Y$36=2,($F73*60*24*J73)*(($G73/$AC$39)^$H73)/10^6,IF('Start Page'!$Y$36=3,('Unit Conversion Sheet'!$E$17*$F73*60*24*J73)*(($G73/$AB$39)^$H73)/10^6))))</f>
        <v/>
      </c>
      <c r="AJ73" s="580" t="str">
        <f t="shared" si="5"/>
        <v/>
      </c>
    </row>
    <row r="74" spans="1:39" ht="20.149999999999999" customHeight="1">
      <c r="A74" s="58"/>
      <c r="B74" s="353" t="str">
        <f>IF('Start Page'!$Y$36=2,"DN 1350","Diameter 54''")</f>
        <v>Diameter 54''</v>
      </c>
      <c r="C74" s="623">
        <v>0</v>
      </c>
      <c r="D74" s="628">
        <v>0</v>
      </c>
      <c r="E74" s="153">
        <f t="shared" si="1"/>
        <v>0</v>
      </c>
      <c r="F74" s="155">
        <f t="shared" si="2"/>
        <v>222</v>
      </c>
      <c r="G74" s="344">
        <f>'AWWA-Water Balance Data Transf.'!$D$41</f>
        <v>0</v>
      </c>
      <c r="H74" s="154">
        <v>1</v>
      </c>
      <c r="I74" s="689">
        <v>0</v>
      </c>
      <c r="J74" s="1156">
        <v>0</v>
      </c>
      <c r="K74" s="1157"/>
      <c r="L74" s="155">
        <f>IF(ISERROR(IF(SUM(I74:K74)&gt;'Start Page'!$K$35,'Start Page'!$K$35,SUM(I74:K74))),"",IF(SUM(I74:K74)&gt;'Start Page'!$K$35,'Start Page'!$K$35,SUM(I74:K74)))</f>
        <v>0</v>
      </c>
      <c r="M74" s="155">
        <f>IF(ISERROR(IF(C74=0,0,IF('Start Page'!$Y$36=1,($F74*60*24*$L74)*(($G74/AD74)^$H74)/10^6,IF('Start Page'!$Y$36=2,($F74*60*24*$L74)*(($G74/AD74)^$H74)/10^6,IF('Start Page'!$Y$36=3,('Unit Conversion Sheet'!$E$17*$F74*60*24*$L74)*(($G74/AD74)^$H74)/10^6))))),0,IF(C74=0,0,IF('Start Page'!$Y$36=1,($F74*60*24*$L74)*(($G74/AD74)^$H74)/10^6,IF('Start Page'!$Y$36=2,($F74*60*24*$L74)*(($G74/AD74)^$H74)/10^6,IF('Start Page'!$Y$36=3,('Unit Conversion Sheet'!$E$17*$F74*60*24*$L74)*(($G74/AD74)^$H74)/10^6)))))</f>
        <v>0</v>
      </c>
      <c r="N74" s="156">
        <f t="shared" si="3"/>
        <v>0</v>
      </c>
      <c r="O74" s="354"/>
      <c r="P74" s="28"/>
      <c r="Q74" s="28"/>
      <c r="R74" s="627">
        <v>0</v>
      </c>
      <c r="S74" s="569">
        <v>1</v>
      </c>
      <c r="Y74" s="576">
        <f t="shared" si="6"/>
        <v>222</v>
      </c>
      <c r="Z74" s="577">
        <f>Y74*'Unit Conversion Sheet'!$C$5</f>
        <v>840.36141959999998</v>
      </c>
      <c r="AB74" s="578">
        <f>IF('Start Page'!$Y$36=1,Y74,IF('Start Page'!$Y$36=2,Z74,IF('Start Page'!$Y$36=3,Y74)))</f>
        <v>222</v>
      </c>
      <c r="AD74" s="568">
        <f>IF(S74=1,(IF('Start Page'!$Y$36=1,$AB$39,IF('Start Page'!$Y$36=2,$AC$39,IF('Start Page'!$Y$36=3,$AB$39)))),'AWWA-Water Balance Data Transf.'!$D$41)</f>
        <v>70</v>
      </c>
      <c r="AE74" s="568" t="str">
        <f>'AWWA-Water Balance Data Transf.'!$E$41</f>
        <v>PSI</v>
      </c>
      <c r="AH74" s="579" t="str">
        <f t="shared" si="4"/>
        <v/>
      </c>
      <c r="AI74" s="580" t="str">
        <f>IF(C74=0,"",IF('Start Page'!$Y$36=1,($F74*60*24*J74)*(($G74/$AB$39)^$H74)/10^6,IF('Start Page'!$Y$36=2,($F74*60*24*J74)*(($G74/$AC$39)^$H74)/10^6,IF('Start Page'!$Y$36=3,('Unit Conversion Sheet'!$E$17*$F74*60*24*J74)*(($G74/$AB$39)^$H74)/10^6))))</f>
        <v/>
      </c>
      <c r="AJ74" s="580" t="str">
        <f t="shared" si="5"/>
        <v/>
      </c>
    </row>
    <row r="75" spans="1:39" ht="20.149999999999999" customHeight="1">
      <c r="A75" s="58"/>
      <c r="B75" s="353" t="str">
        <f>IF('Start Page'!$Y$36=2,"DN 1500","Diameter 60''")</f>
        <v>Diameter 60''</v>
      </c>
      <c r="C75" s="623">
        <v>0</v>
      </c>
      <c r="D75" s="628">
        <v>0</v>
      </c>
      <c r="E75" s="153">
        <f t="shared" si="1"/>
        <v>0</v>
      </c>
      <c r="F75" s="155">
        <f t="shared" si="2"/>
        <v>222</v>
      </c>
      <c r="G75" s="344">
        <f>'AWWA-Water Balance Data Transf.'!$D$41</f>
        <v>0</v>
      </c>
      <c r="H75" s="154">
        <v>1</v>
      </c>
      <c r="I75" s="689">
        <v>0</v>
      </c>
      <c r="J75" s="1156">
        <v>0</v>
      </c>
      <c r="K75" s="1157"/>
      <c r="L75" s="155">
        <f>IF(ISERROR(IF(SUM(I75:K75)&gt;'Start Page'!$K$35,'Start Page'!$K$35,SUM(I75:K75))),"",IF(SUM(I75:K75)&gt;'Start Page'!$K$35,'Start Page'!$K$35,SUM(I75:K75)))</f>
        <v>0</v>
      </c>
      <c r="M75" s="155">
        <f>IF(ISERROR(IF(C75=0,0,IF('Start Page'!$Y$36=1,($F75*60*24*$L75)*(($G75/AD75)^$H75)/10^6,IF('Start Page'!$Y$36=2,($F75*60*24*$L75)*(($G75/AD75)^$H75)/10^6,IF('Start Page'!$Y$36=3,('Unit Conversion Sheet'!$E$17*$F75*60*24*$L75)*(($G75/AD75)^$H75)/10^6))))),0,IF(C75=0,0,IF('Start Page'!$Y$36=1,($F75*60*24*$L75)*(($G75/AD75)^$H75)/10^6,IF('Start Page'!$Y$36=2,($F75*60*24*$L75)*(($G75/AD75)^$H75)/10^6,IF('Start Page'!$Y$36=3,('Unit Conversion Sheet'!$E$17*$F75*60*24*$L75)*(($G75/AD75)^$H75)/10^6)))))</f>
        <v>0</v>
      </c>
      <c r="N75" s="156">
        <f t="shared" si="3"/>
        <v>0</v>
      </c>
      <c r="O75" s="354"/>
      <c r="P75" s="28"/>
      <c r="Q75" s="28"/>
      <c r="R75" s="627">
        <v>0</v>
      </c>
      <c r="S75" s="569">
        <v>1</v>
      </c>
      <c r="Y75" s="576">
        <f t="shared" si="6"/>
        <v>222</v>
      </c>
      <c r="Z75" s="577">
        <f>Y75*'Unit Conversion Sheet'!$C$5</f>
        <v>840.36141959999998</v>
      </c>
      <c r="AB75" s="578">
        <f>IF('Start Page'!$Y$36=1,Y75,IF('Start Page'!$Y$36=2,Z75,IF('Start Page'!$Y$36=3,Y75)))</f>
        <v>222</v>
      </c>
      <c r="AD75" s="568">
        <f>IF(S75=1,(IF('Start Page'!$Y$36=1,$AB$39,IF('Start Page'!$Y$36=2,$AC$39,IF('Start Page'!$Y$36=3,$AB$39)))),'AWWA-Water Balance Data Transf.'!$D$41)</f>
        <v>70</v>
      </c>
      <c r="AE75" s="568" t="str">
        <f>'AWWA-Water Balance Data Transf.'!$E$41</f>
        <v>PSI</v>
      </c>
      <c r="AH75" s="579" t="str">
        <f t="shared" si="4"/>
        <v/>
      </c>
      <c r="AI75" s="580" t="str">
        <f>IF(C75=0,"",IF('Start Page'!$Y$36=1,($F75*60*24*J75)*(($G75/$AB$39)^$H75)/10^6,IF('Start Page'!$Y$36=2,($F75*60*24*J75)*(($G75/$AC$39)^$H75)/10^6,IF('Start Page'!$Y$36=3,('Unit Conversion Sheet'!$E$17*$F75*60*24*J75)*(($G75/$AB$39)^$H75)/10^6))))</f>
        <v/>
      </c>
      <c r="AJ75" s="580" t="str">
        <f t="shared" si="5"/>
        <v/>
      </c>
    </row>
    <row r="76" spans="1:39" ht="20.149999999999999" customHeight="1">
      <c r="A76" s="58"/>
      <c r="B76" s="353" t="str">
        <f>IF('Start Page'!$Y$36=2,"&gt; DN 1500","Diameter &gt;60''")</f>
        <v>Diameter &gt;60''</v>
      </c>
      <c r="C76" s="623">
        <v>0</v>
      </c>
      <c r="D76" s="628">
        <v>0</v>
      </c>
      <c r="E76" s="153">
        <f t="shared" si="1"/>
        <v>0</v>
      </c>
      <c r="F76" s="155">
        <f>IF(S76=1,AB76,R76)</f>
        <v>222</v>
      </c>
      <c r="G76" s="344">
        <f>'AWWA-Water Balance Data Transf.'!$D$41</f>
        <v>0</v>
      </c>
      <c r="H76" s="154">
        <v>1</v>
      </c>
      <c r="I76" s="689">
        <v>0</v>
      </c>
      <c r="J76" s="1156">
        <v>0</v>
      </c>
      <c r="K76" s="1157"/>
      <c r="L76" s="155">
        <f>IF(ISERROR(IF(SUM(I76:K76)&gt;'Start Page'!$K$35,'Start Page'!$K$35,SUM(I76:K76))),"",IF(SUM(I76:K76)&gt;'Start Page'!$K$35,'Start Page'!$K$35,SUM(I76:K76)))</f>
        <v>0</v>
      </c>
      <c r="M76" s="155">
        <f>IF(ISERROR(IF(C76=0,0,IF('Start Page'!$Y$36=1,($F76*60*24*$L76)*(($G76/AD76)^$H76)/10^6,IF('Start Page'!$Y$36=2,($F76*60*24*$L76)*(($G76/AD76)^$H76)/10^6,IF('Start Page'!$Y$36=3,('Unit Conversion Sheet'!$E$17*$F76*60*24*$L76)*(($G76/AD76)^$H76)/10^6))))),0,IF(C76=0,0,IF('Start Page'!$Y$36=1,($F76*60*24*$L76)*(($G76/AD76)^$H76)/10^6,IF('Start Page'!$Y$36=2,($F76*60*24*$L76)*(($G76/AD76)^$H76)/10^6,IF('Start Page'!$Y$36=3,('Unit Conversion Sheet'!$E$17*$F76*60*24*$L76)*(($G76/AD76)^$H76)/10^6)))))</f>
        <v>0</v>
      </c>
      <c r="N76" s="156">
        <f t="shared" si="3"/>
        <v>0</v>
      </c>
      <c r="O76" s="354"/>
      <c r="P76" s="28"/>
      <c r="Q76" s="28"/>
      <c r="R76" s="627">
        <v>0</v>
      </c>
      <c r="S76" s="569">
        <v>1</v>
      </c>
      <c r="Y76" s="576">
        <f t="shared" si="6"/>
        <v>222</v>
      </c>
      <c r="Z76" s="577">
        <f>Y76*'Unit Conversion Sheet'!$C$5</f>
        <v>840.36141959999998</v>
      </c>
      <c r="AB76" s="578">
        <f>IF('Start Page'!$Y$36=1,Y76,IF('Start Page'!$Y$36=2,Z76,IF('Start Page'!$Y$36=3,Y76)))</f>
        <v>222</v>
      </c>
      <c r="AD76" s="568">
        <f>IF(S76=1,(IF('Start Page'!$Y$36=1,$AB$39,IF('Start Page'!$Y$36=2,$AC$39,IF('Start Page'!$Y$36=3,$AB$39)))),'AWWA-Water Balance Data Transf.'!$D$41)</f>
        <v>70</v>
      </c>
      <c r="AE76" s="568" t="str">
        <f>'AWWA-Water Balance Data Transf.'!$E$41</f>
        <v>PSI</v>
      </c>
      <c r="AH76" s="579" t="str">
        <f t="shared" si="4"/>
        <v/>
      </c>
      <c r="AI76" s="580" t="str">
        <f>IF(C76=0,"",IF('Start Page'!$Y$36=1,($F76*60*24*J76)*(($G76/$AB$39)^$H76)/10^6,IF('Start Page'!$Y$36=2,($F76*60*24*J76)*(($G76/$AC$39)^$H76)/10^6,IF('Start Page'!$Y$36=3,('Unit Conversion Sheet'!$E$17*$F76*60*24*J76)*(($G76/$AB$39)^$H76)/10^6))))</f>
        <v/>
      </c>
      <c r="AJ76" s="580" t="str">
        <f t="shared" si="5"/>
        <v/>
      </c>
    </row>
    <row r="77" spans="1:39" ht="20.149999999999999" customHeight="1">
      <c r="A77" s="58"/>
      <c r="B77" s="355" t="s">
        <v>143</v>
      </c>
      <c r="C77" s="623">
        <v>0</v>
      </c>
      <c r="D77" s="628">
        <v>0</v>
      </c>
      <c r="E77" s="153">
        <f t="shared" si="1"/>
        <v>0</v>
      </c>
      <c r="F77" s="345">
        <f>R77</f>
        <v>0</v>
      </c>
      <c r="G77" s="344">
        <f>'AWWA-Water Balance Data Transf.'!$D$41</f>
        <v>0</v>
      </c>
      <c r="H77" s="154">
        <v>1</v>
      </c>
      <c r="I77" s="689">
        <v>0</v>
      </c>
      <c r="J77" s="1156">
        <v>0</v>
      </c>
      <c r="K77" s="1157"/>
      <c r="L77" s="155">
        <f>IF(ISERROR(IF(SUM(I77:K77)&gt;'Start Page'!$K$35,'Start Page'!$K$35,SUM(I77:K77))),"",IF(SUM(I77:K77)&gt;'Start Page'!$K$35,'Start Page'!$K$35,SUM(I77:K77)))</f>
        <v>0</v>
      </c>
      <c r="M77" s="155">
        <f>IF(ISERROR(IF(C77=0,0,IF('Start Page'!$Y$36=1,($F77*60*24*$L77)*(($G77/AD77)^$H77)/10^6,IF('Start Page'!$Y$36=2,($F77*60*24*$L77)*(($G77/AD77)^$H77)/10^6,IF('Start Page'!$Y$36=3,('Unit Conversion Sheet'!$E$17*$F77*60*24*$L77)*(($G77/AD77)^$H77)/10^6))))),0,IF(C77=0,0,IF('Start Page'!$Y$36=1,($F77*60*24*$L77)*(($G77/AD77)^$H77)/10^6,IF('Start Page'!$Y$36=2,($F77*60*24*$L77)*(($G77/AD77)^$H77)/10^6,IF('Start Page'!$Y$36=3,('Unit Conversion Sheet'!$E$17*$F77*60*24*$L77)*(($G77/AD77)^$H77)/10^6)))))</f>
        <v>0</v>
      </c>
      <c r="N77" s="156">
        <f t="shared" si="3"/>
        <v>0</v>
      </c>
      <c r="O77" s="356"/>
      <c r="P77" s="1160" t="s">
        <v>401</v>
      </c>
      <c r="Q77" s="1161"/>
      <c r="R77" s="627">
        <v>0</v>
      </c>
      <c r="S77" s="569"/>
      <c r="AD77" s="568">
        <f>'AWWA-Water Balance Data Transf.'!$D$41</f>
        <v>0</v>
      </c>
      <c r="AE77" s="568" t="str">
        <f>'AWWA-Water Balance Data Transf.'!$E$41</f>
        <v>PSI</v>
      </c>
      <c r="AH77" s="579" t="str">
        <f t="shared" si="4"/>
        <v/>
      </c>
      <c r="AI77" s="580" t="str">
        <f>IF(C77=0,"",IF('Start Page'!$Y$36=1,($F77*60*24*J77)*(($G77/$AB$39)^$H77)/10^6,IF('Start Page'!$Y$36=2,($F77*60*24*J77)*(($G77/$AC$39)^$H77)/10^6,IF('Start Page'!$Y$36=3,('Unit Conversion Sheet'!$E$17*$F77*60*24*J77)*(($G77/$AB$39)^$H77)/10^6))))</f>
        <v/>
      </c>
      <c r="AJ77" s="580" t="str">
        <f t="shared" si="5"/>
        <v/>
      </c>
    </row>
    <row r="78" spans="1:39" ht="20.149999999999999" customHeight="1" thickBot="1">
      <c r="A78" s="58"/>
      <c r="B78" s="682" t="str">
        <f>IF(C77=0,"",IF(C77="","",IF(R77=0,"PLEASE ENTER FLOW RATE FOR OTHER DIAMETER LEAKS IN CELL R77",IF(R77="","PLEASE ENTER FLOW RATE FOR OTHER DIAMETER LEAKS IN CELL R77",""))))</f>
        <v/>
      </c>
      <c r="C78" s="119"/>
      <c r="D78" s="119"/>
      <c r="E78" s="119"/>
      <c r="F78" s="119"/>
      <c r="G78" s="119"/>
      <c r="H78" s="119"/>
      <c r="I78" s="119"/>
      <c r="J78" s="103"/>
      <c r="K78" s="29"/>
      <c r="L78" s="29"/>
      <c r="M78" s="31" t="s">
        <v>784</v>
      </c>
      <c r="N78" s="157">
        <f>SUM(N58:N77)</f>
        <v>0</v>
      </c>
      <c r="O78" s="357"/>
      <c r="P78" s="113"/>
      <c r="Q78" s="26"/>
      <c r="R78" s="51"/>
      <c r="AF78" s="581"/>
      <c r="AG78" s="581" t="s">
        <v>473</v>
      </c>
      <c r="AH78" s="582">
        <f>SUM(AH58:AH77)</f>
        <v>0</v>
      </c>
      <c r="AI78" s="582">
        <f>SUM(AI58:AI77)</f>
        <v>0</v>
      </c>
      <c r="AJ78" s="582">
        <f>SUM(AJ58:AJ77)</f>
        <v>0</v>
      </c>
    </row>
    <row r="79" spans="1:39" ht="20.149999999999999" customHeight="1">
      <c r="A79" s="58"/>
      <c r="B79" s="1146" t="s">
        <v>774</v>
      </c>
      <c r="C79" s="1147"/>
      <c r="D79" s="1147"/>
      <c r="E79" s="1147"/>
      <c r="F79" s="1147"/>
      <c r="G79" s="1147"/>
      <c r="H79" s="121"/>
      <c r="I79" s="121"/>
      <c r="J79" s="121"/>
      <c r="K79" s="121"/>
      <c r="L79" s="121"/>
      <c r="M79" s="121"/>
      <c r="N79" s="121"/>
      <c r="O79" s="358"/>
      <c r="P79" s="48"/>
      <c r="Q79" s="48"/>
      <c r="R79" s="49"/>
      <c r="AL79" s="581"/>
    </row>
    <row r="80" spans="1:39" ht="10" customHeight="1">
      <c r="A80" s="58"/>
      <c r="B80" s="50"/>
      <c r="C80" s="26"/>
      <c r="D80" s="26"/>
      <c r="E80" s="26"/>
      <c r="F80" s="26"/>
      <c r="G80" s="26"/>
      <c r="H80" s="26"/>
      <c r="I80" s="26"/>
      <c r="J80" s="26"/>
      <c r="K80" s="26"/>
      <c r="L80" s="26"/>
      <c r="M80" s="26"/>
      <c r="N80" s="26"/>
      <c r="O80" s="26"/>
      <c r="P80" s="26"/>
      <c r="Q80" s="26"/>
      <c r="R80" s="51"/>
    </row>
    <row r="81" spans="1:36" ht="102.75" customHeight="1">
      <c r="A81" s="58"/>
      <c r="B81" s="226" t="s">
        <v>561</v>
      </c>
      <c r="C81" s="1148" t="s">
        <v>925</v>
      </c>
      <c r="D81" s="1148"/>
      <c r="E81" s="1148"/>
      <c r="F81" s="1148"/>
      <c r="G81" s="1148"/>
      <c r="H81" s="1148"/>
      <c r="I81" s="1148"/>
      <c r="J81" s="1148"/>
      <c r="K81" s="1148"/>
      <c r="L81" s="1148"/>
      <c r="M81" s="1148"/>
      <c r="N81" s="1148"/>
      <c r="O81" s="1148"/>
      <c r="P81" s="1148"/>
      <c r="Q81" s="1148"/>
      <c r="R81" s="1149"/>
      <c r="AB81" s="1162" t="s">
        <v>144</v>
      </c>
    </row>
    <row r="82" spans="1:36" ht="20.149999999999999" customHeight="1">
      <c r="A82" s="58"/>
      <c r="B82" s="50"/>
      <c r="C82" s="26"/>
      <c r="D82" s="26"/>
      <c r="E82" s="26"/>
      <c r="F82" s="26"/>
      <c r="G82" s="26"/>
      <c r="H82" s="26"/>
      <c r="I82" s="26"/>
      <c r="J82" s="26"/>
      <c r="K82" s="26"/>
      <c r="L82" s="26"/>
      <c r="M82" s="26"/>
      <c r="N82" s="26"/>
      <c r="O82" s="26"/>
      <c r="P82" s="26"/>
      <c r="Q82" s="26"/>
      <c r="R82" s="51"/>
      <c r="AB82" s="1162"/>
      <c r="AC82" s="1162" t="s">
        <v>660</v>
      </c>
      <c r="AD82" s="1162" t="s">
        <v>690</v>
      </c>
      <c r="AE82" s="1162"/>
      <c r="AF82" s="1162"/>
    </row>
    <row r="83" spans="1:36" ht="38.25" customHeight="1">
      <c r="A83" s="58"/>
      <c r="B83" s="114" t="s">
        <v>702</v>
      </c>
      <c r="C83" s="1171" t="s">
        <v>908</v>
      </c>
      <c r="D83" s="1171" t="s">
        <v>703</v>
      </c>
      <c r="E83" s="864" t="s">
        <v>121</v>
      </c>
      <c r="F83" s="893" t="s">
        <v>901</v>
      </c>
      <c r="G83" s="1164" t="s">
        <v>116</v>
      </c>
      <c r="H83" s="1164" t="s">
        <v>117</v>
      </c>
      <c r="I83" s="1153" t="s">
        <v>902</v>
      </c>
      <c r="J83" s="1154"/>
      <c r="K83" s="1154"/>
      <c r="L83" s="1155"/>
      <c r="M83" s="1164" t="s">
        <v>903</v>
      </c>
      <c r="N83" s="1164" t="s">
        <v>124</v>
      </c>
      <c r="O83" s="359"/>
      <c r="P83" s="1150" t="s">
        <v>904</v>
      </c>
      <c r="Q83" s="1150" t="s">
        <v>905</v>
      </c>
      <c r="R83" s="249" t="s">
        <v>906</v>
      </c>
      <c r="AB83" s="1162"/>
      <c r="AC83" s="1162"/>
      <c r="AD83" s="1162"/>
      <c r="AE83" s="1162"/>
      <c r="AF83" s="1162"/>
      <c r="AH83" s="1159" t="s">
        <v>472</v>
      </c>
      <c r="AI83" s="1159" t="s">
        <v>474</v>
      </c>
      <c r="AJ83" s="1159" t="s">
        <v>576</v>
      </c>
    </row>
    <row r="84" spans="1:36" ht="54.75" customHeight="1">
      <c r="A84" s="58"/>
      <c r="B84" s="117"/>
      <c r="C84" s="1172"/>
      <c r="D84" s="1172"/>
      <c r="E84" s="892" t="s">
        <v>909</v>
      </c>
      <c r="F84" s="110" t="str">
        <f>IF(AC86=3,IF('Start Page'!$Y$36=1,$AB$39 &amp; "psi",IF('Start Page'!$Y$36=2,$AC$39 &amp; "metres head",IF('Start Page'!$Y$36=3,$AB$39 &amp; "psi"))),("Average System Pressure"))</f>
        <v>70psi</v>
      </c>
      <c r="G84" s="1165"/>
      <c r="H84" s="1165"/>
      <c r="I84" s="864" t="s">
        <v>131</v>
      </c>
      <c r="J84" s="1177" t="s">
        <v>907</v>
      </c>
      <c r="K84" s="1178"/>
      <c r="L84" s="862" t="s">
        <v>125</v>
      </c>
      <c r="M84" s="1165"/>
      <c r="N84" s="1165"/>
      <c r="O84" s="360"/>
      <c r="P84" s="1151"/>
      <c r="Q84" s="1151"/>
      <c r="R84" s="61" t="str">
        <f>"Average System Pressure"</f>
        <v>Average System Pressure</v>
      </c>
      <c r="AB84" s="1163"/>
      <c r="AC84" s="1162"/>
      <c r="AD84" s="1162"/>
      <c r="AE84" s="1162"/>
      <c r="AF84" s="1162"/>
      <c r="AH84" s="1159"/>
      <c r="AI84" s="1159"/>
      <c r="AJ84" s="1159"/>
    </row>
    <row r="85" spans="1:36" ht="20.149999999999999" customHeight="1">
      <c r="A85" s="58"/>
      <c r="B85" s="158"/>
      <c r="C85" s="116"/>
      <c r="D85" s="27"/>
      <c r="E85" s="116"/>
      <c r="F85" s="865" t="str">
        <f>IF('Start Page'!$Y$36=1,"(gpm)",IF('Start Page'!$Y$36=2,"(lpm)", IF('Start Page'!$Y$36=3,"(gpm)")))</f>
        <v>(gpm)</v>
      </c>
      <c r="G85" s="27" t="str">
        <f>$G$38</f>
        <v>(psi)</v>
      </c>
      <c r="H85" s="347"/>
      <c r="I85" s="118" t="s">
        <v>126</v>
      </c>
      <c r="J85" s="1166" t="s">
        <v>126</v>
      </c>
      <c r="K85" s="1167"/>
      <c r="L85" s="27" t="s">
        <v>126</v>
      </c>
      <c r="M85" s="27" t="str">
        <f>$I$38</f>
        <v>(MG)</v>
      </c>
      <c r="N85" s="865" t="str">
        <f>$I$38</f>
        <v>(MG)</v>
      </c>
      <c r="O85" s="360"/>
      <c r="P85" s="1152"/>
      <c r="Q85" s="1152"/>
      <c r="R85" s="62" t="str">
        <f>$F$57</f>
        <v>(gpm)</v>
      </c>
      <c r="Y85" s="574" t="s">
        <v>132</v>
      </c>
      <c r="Z85" s="574" t="s">
        <v>133</v>
      </c>
      <c r="AB85" s="575" t="str">
        <f>$F$57</f>
        <v>(gpm)</v>
      </c>
      <c r="AH85" s="571" t="s">
        <v>2</v>
      </c>
      <c r="AI85" s="571" t="str">
        <f>$N$57</f>
        <v>(MG)</v>
      </c>
      <c r="AJ85" s="571" t="str">
        <f>$N$57</f>
        <v>(MG)</v>
      </c>
    </row>
    <row r="86" spans="1:36" ht="20.149999999999999" customHeight="1">
      <c r="A86" s="58"/>
      <c r="B86" s="353" t="s">
        <v>127</v>
      </c>
      <c r="C86" s="623">
        <v>0</v>
      </c>
      <c r="D86" s="623">
        <v>0</v>
      </c>
      <c r="E86" s="153">
        <f>IF(D86=0,0,C86/D86*1000)</f>
        <v>0</v>
      </c>
      <c r="F86" s="155">
        <f>IF(S86=1,AB86,R86)</f>
        <v>3.5</v>
      </c>
      <c r="G86" s="344">
        <f>'AWWA-Water Balance Data Transf.'!$D$41</f>
        <v>0</v>
      </c>
      <c r="H86" s="154">
        <v>1</v>
      </c>
      <c r="I86" s="690">
        <v>0</v>
      </c>
      <c r="J86" s="1156">
        <v>0</v>
      </c>
      <c r="K86" s="1157"/>
      <c r="L86" s="155">
        <f>IF(SUM(I86:K86)&gt;'Start Page'!$K$35,'Start Page'!$K$35,SUM(I86:K86))</f>
        <v>0</v>
      </c>
      <c r="M86" s="155">
        <f>IF(ISERROR(IF(C86=0,0,IF(C86=0,"",IF('Start Page'!$Y$36=1,(F86*60*24*L86)*((G86/AD86)^H86)/10^6,IF('Start Page'!$Y$36=2,(F86*60*24*L86)*((G86/AD86)^H86)/10^6,IF('Start Page'!$Y$36=3,('Unit Conversion Sheet'!$E$17*F86*60*24*L86)*((G86/AD86)^H86)/10^6)))))),0,IF(C86=0,0,IF(C86=0,"",IF('Start Page'!$Y$36=1,(F86*60*24*L86)*((G86/AD86)^H86)/10^6,IF('Start Page'!$Y$36=2,(F86*60*24*L86)*((G86/AD86)^H86)/10^6,IF('Start Page'!$Y$36=3,('Unit Conversion Sheet'!$E$17*F86*60*24*L86)*((G86/AD86)^H86)/10^6))))))</f>
        <v>0</v>
      </c>
      <c r="N86" s="156">
        <f>IF(C86=0,0,M86*C86)</f>
        <v>0</v>
      </c>
      <c r="O86" s="354"/>
      <c r="P86" s="32"/>
      <c r="Q86" s="32"/>
      <c r="R86" s="627">
        <v>0</v>
      </c>
      <c r="S86" s="569">
        <v>1</v>
      </c>
      <c r="Y86" s="576">
        <v>3.5</v>
      </c>
      <c r="Z86" s="577">
        <f>Y86*'Unit Conversion Sheet'!$C$5</f>
        <v>13.2489413</v>
      </c>
      <c r="AB86" s="578">
        <f>IF('Start Page'!$Y$36=1,Y86,IF('Start Page'!$Y$36=2,Z86,IF('Start Page'!$Y$36=3,Y86)))</f>
        <v>3.5</v>
      </c>
      <c r="AC86" s="568">
        <f>SUM(S86:S88)</f>
        <v>3</v>
      </c>
      <c r="AD86" s="568">
        <f>IF(S86=1,(IF('Start Page'!$Y$36=1,$AB$39,IF('Start Page'!$Y$36=2,$AC$39,IF('Start Page'!$Y$36=3,$AB$39)))),'AWWA-Water Balance Data Transf.'!$D$41)</f>
        <v>70</v>
      </c>
      <c r="AE86" s="568" t="str">
        <f>'AWWA-Water Balance Data Transf.'!$E$41</f>
        <v>PSI</v>
      </c>
      <c r="AH86" s="583" t="str">
        <f>IF(C86=0,"",C86*J86)</f>
        <v/>
      </c>
      <c r="AI86" s="580" t="str">
        <f>IF(C86=0,"",IF('Start Page'!$Y$36=1,($F86*60*24*J86)*(($G86/$AB$39)^$H86)/10^6,IF('Start Page'!$Y$36=2,($F86*60*24*J86)*(($G86/$AC$39)^$H86)/10^6,IF('Start Page'!$Y$36=3,('Unit Conversion Sheet'!$E$17*$F86*60*24*J86)*(($G86/$AB$39)^$H86)/10^6))))</f>
        <v/>
      </c>
      <c r="AJ86" s="580" t="str">
        <f>IF(C86=0,"",AI86*C86)</f>
        <v/>
      </c>
    </row>
    <row r="87" spans="1:36" ht="20.149999999999999" customHeight="1">
      <c r="A87" s="58"/>
      <c r="B87" s="355" t="s">
        <v>128</v>
      </c>
      <c r="C87" s="623">
        <v>0</v>
      </c>
      <c r="D87" s="623">
        <v>0</v>
      </c>
      <c r="E87" s="153">
        <f>IF(D87=0,0,C87/D87*1000)</f>
        <v>0</v>
      </c>
      <c r="F87" s="155">
        <f t="shared" ref="F87:F88" si="7">IF(S87=1,AB87,R87)</f>
        <v>6.9</v>
      </c>
      <c r="G87" s="344">
        <f>'AWWA-Water Balance Data Transf.'!$D$41</f>
        <v>0</v>
      </c>
      <c r="H87" s="154">
        <v>1</v>
      </c>
      <c r="I87" s="689">
        <v>0</v>
      </c>
      <c r="J87" s="1156">
        <v>0</v>
      </c>
      <c r="K87" s="1157"/>
      <c r="L87" s="155">
        <f>IF(SUM(I87:K87)&gt;'Start Page'!$K$35,'Start Page'!$K$35,SUM(I87:K87))</f>
        <v>0</v>
      </c>
      <c r="M87" s="155">
        <f>IF(ISERROR(IF(C87=0,0,IF(C87=0,"",IF('Start Page'!$Y$36=1,(F87*60*24*L87)*((G87/AD87)^H87)/10^6,IF('Start Page'!$Y$36=2,(F87*60*24*L87)*((G87/AD87)^H87)/10^6,IF('Start Page'!$Y$36=3,('Unit Conversion Sheet'!$E$17*F87*60*24*L87)*((G87/AD87)^H87)/10^6)))))),0,IF(C87=0,0,IF(C87=0,"",IF('Start Page'!$Y$36=1,(F87*60*24*L87)*((G87/AD87)^H87)/10^6,IF('Start Page'!$Y$36=2,(F87*60*24*L87)*((G87/AD87)^H87)/10^6,IF('Start Page'!$Y$36=3,('Unit Conversion Sheet'!$E$17*F87*60*24*L87)*((G87/AD87)^H87)/10^6))))))</f>
        <v>0</v>
      </c>
      <c r="N87" s="156">
        <f t="shared" ref="N87:N89" si="8">IF(C87=0,0,M87*C87)</f>
        <v>0</v>
      </c>
      <c r="O87" s="354"/>
      <c r="P87" s="28"/>
      <c r="Q87" s="28"/>
      <c r="R87" s="627">
        <v>0</v>
      </c>
      <c r="S87" s="569">
        <v>1</v>
      </c>
      <c r="Y87" s="576">
        <v>6.9</v>
      </c>
      <c r="Z87" s="577">
        <f>Y87*'Unit Conversion Sheet'!$C$5</f>
        <v>26.119341420000001</v>
      </c>
      <c r="AB87" s="578">
        <f>IF('Start Page'!$Y$36=1,Y87,IF('Start Page'!$Y$36=2,Z87,IF('Start Page'!$Y$36=3,Y87)))</f>
        <v>6.9</v>
      </c>
      <c r="AD87" s="568">
        <f>IF(S87=1,(IF('Start Page'!$Y$36=1,$AB$39,IF('Start Page'!$Y$36=2,$AC$39,IF('Start Page'!$Y$36=3,$AB$39)))),'AWWA-Water Balance Data Transf.'!$D$41)</f>
        <v>70</v>
      </c>
      <c r="AE87" s="568" t="str">
        <f>'AWWA-Water Balance Data Transf.'!$E$41</f>
        <v>PSI</v>
      </c>
      <c r="AH87" s="583" t="str">
        <f t="shared" ref="AH87:AH89" si="9">IF(C87=0,"",C87*J87)</f>
        <v/>
      </c>
      <c r="AI87" s="580" t="str">
        <f>IF(C87=0,"",IF('Start Page'!$Y$36=1,($F87*60*24*J87)*(($G87/$AB$39)^$H87)/10^6,IF('Start Page'!$Y$36=2,($F87*60*24*J87)*(($G87/$AC$39)^$H87)/10^6,IF('Start Page'!$Y$36=3,('Unit Conversion Sheet'!$E$17*$F87*60*24*J87)*(($G87/$AB$39)^$H87)/10^6))))</f>
        <v/>
      </c>
      <c r="AJ87" s="580" t="str">
        <f t="shared" ref="AJ87" si="10">IF(C87=0,"",AI87*C87)</f>
        <v/>
      </c>
    </row>
    <row r="88" spans="1:36" ht="20.149999999999999" customHeight="1">
      <c r="A88" s="58"/>
      <c r="B88" s="355" t="s">
        <v>715</v>
      </c>
      <c r="C88" s="623">
        <v>0</v>
      </c>
      <c r="D88" s="623">
        <v>0</v>
      </c>
      <c r="E88" s="153">
        <f>IF(D88=0,0,C88/D88*1000)</f>
        <v>0</v>
      </c>
      <c r="F88" s="155">
        <f t="shared" si="7"/>
        <v>0.25</v>
      </c>
      <c r="G88" s="344">
        <f>'AWWA-Water Balance Data Transf.'!$D$41</f>
        <v>0</v>
      </c>
      <c r="H88" s="154">
        <v>1</v>
      </c>
      <c r="I88" s="689">
        <v>0</v>
      </c>
      <c r="J88" s="1156">
        <v>0</v>
      </c>
      <c r="K88" s="1157"/>
      <c r="L88" s="155">
        <f>IF(SUM(I88:K88)&gt;'Start Page'!$K$35,'Start Page'!$K$35,SUM(I88:K88))</f>
        <v>0</v>
      </c>
      <c r="M88" s="155">
        <f>IF(ISERROR(IF(C88=0,0,IF(C88=0,"",IF('Start Page'!$Y$36=1,(F88*60*24*L88)*((G88/AD88)^H88)/10^6,IF('Start Page'!$Y$36=2,(F88*60*24*L88)*((G88/AD88)^H88)/10^6,IF('Start Page'!$Y$36=3,('Unit Conversion Sheet'!$E$17*F88*60*24*L88)*((G88/AD88)^H88)/10^6)))))),0,IF(C88=0,0,IF(C88=0,"",IF('Start Page'!$Y$36=1,(F88*60*24*L88)*((G88/AD88)^H88)/10^6,IF('Start Page'!$Y$36=2,(F88*60*24*L88)*((G88/AD88)^H88)/10^6,IF('Start Page'!$Y$36=3,('Unit Conversion Sheet'!$E$17*F88*60*24*L88)*((G88/AD88)^H88)/10^6))))))</f>
        <v>0</v>
      </c>
      <c r="N88" s="156">
        <f t="shared" si="8"/>
        <v>0</v>
      </c>
      <c r="O88" s="354"/>
      <c r="P88" s="28"/>
      <c r="Q88" s="28"/>
      <c r="R88" s="627">
        <v>0</v>
      </c>
      <c r="S88" s="569">
        <v>1</v>
      </c>
      <c r="V88" s="584"/>
      <c r="Y88" s="585">
        <v>0.25</v>
      </c>
      <c r="Z88" s="586">
        <f>Y88*'Unit Conversion Sheet'!$C$5</f>
        <v>0.94635294999999997</v>
      </c>
      <c r="AB88" s="587">
        <f>IF('Start Page'!$Y$36=1,Y88,IF('Start Page'!$Y$36=2,Z88,IF('Start Page'!$Y$36=3,Y88)))</f>
        <v>0.25</v>
      </c>
      <c r="AD88" s="568">
        <f>IF(S88=1,(IF('Start Page'!$Y$36=1,$AB$39,IF('Start Page'!$Y$36=2,$AC$39,IF('Start Page'!$Y$36=3,$AB$39)))),'AWWA-Water Balance Data Transf.'!$D$41)</f>
        <v>70</v>
      </c>
      <c r="AE88" s="568" t="str">
        <f>'AWWA-Water Balance Data Transf.'!$E$41</f>
        <v>PSI</v>
      </c>
      <c r="AH88" s="583" t="str">
        <f t="shared" si="9"/>
        <v/>
      </c>
      <c r="AI88" s="580" t="str">
        <f>IF(C88=0,"",IF('Start Page'!$Y$36=1,($F88*60*24*J88)*(($G88/$AB$39)^$H88)/10^6,IF('Start Page'!$Y$36=2,($F88*60*24*J88)*(($G88/$AC$39)^$H88)/10^6,IF('Start Page'!$Y$36=3,('Unit Conversion Sheet'!$E$17*$F88*60*24*J88)*(($G88/$AB$39)^$H88)/10^6))))</f>
        <v/>
      </c>
      <c r="AJ88" s="580" t="str">
        <f t="shared" ref="AJ88" si="11">IF(C88=0,"",AI88*C88)</f>
        <v/>
      </c>
    </row>
    <row r="89" spans="1:36" ht="20.149999999999999" customHeight="1">
      <c r="A89" s="58"/>
      <c r="B89" s="361" t="s">
        <v>716</v>
      </c>
      <c r="C89" s="623">
        <v>0</v>
      </c>
      <c r="D89" s="623">
        <v>0</v>
      </c>
      <c r="E89" s="153">
        <f>IF(D89=0,0,C89/D89*1000)</f>
        <v>0</v>
      </c>
      <c r="F89" s="346">
        <f>R89</f>
        <v>0</v>
      </c>
      <c r="G89" s="344">
        <f>'AWWA-Water Balance Data Transf.'!$D$41</f>
        <v>0</v>
      </c>
      <c r="H89" s="154">
        <v>1</v>
      </c>
      <c r="I89" s="691">
        <v>0</v>
      </c>
      <c r="J89" s="1156">
        <v>0</v>
      </c>
      <c r="K89" s="1157"/>
      <c r="L89" s="155">
        <f>IF(SUM(I89:K89)&gt;'Start Page'!$K$35,'Start Page'!$K$35,SUM(I89:K89))</f>
        <v>0</v>
      </c>
      <c r="M89" s="155">
        <f>IF(ISERROR(IF(C89=0,0,IF(C89=0,"",IF('Start Page'!$Y$36=1,(F89*60*24*L89)*((G89/AD89)^H89)/10^6,IF('Start Page'!$Y$36=2,(F89*60*24*L89)*((G89/AD89)^H89)/10^6,IF('Start Page'!$Y$36=3,('Unit Conversion Sheet'!$E$17*F89*60*24*L89)*((G89/AD89)^H89)/10^6)))))),0,IF(C89=0,0,IF(C89=0,"",IF('Start Page'!$Y$36=1,(F89*60*24*L89)*((G89/AD89)^H89)/10^6,IF('Start Page'!$Y$36=2,(F89*60*24*L89)*((G89/AD89)^H89)/10^6,IF('Start Page'!$Y$36=3,('Unit Conversion Sheet'!$E$17*F89*60*24*L89)*((G89/AD89)^H89)/10^6))))))</f>
        <v>0</v>
      </c>
      <c r="N89" s="156">
        <f t="shared" si="8"/>
        <v>0</v>
      </c>
      <c r="O89" s="356"/>
      <c r="P89" s="1210" t="s">
        <v>401</v>
      </c>
      <c r="Q89" s="1210"/>
      <c r="R89" s="627">
        <v>0</v>
      </c>
      <c r="S89" s="569">
        <f>IF(R89&gt;0,2,0)</f>
        <v>0</v>
      </c>
      <c r="V89" s="584"/>
      <c r="W89" s="584"/>
      <c r="Y89" s="588"/>
      <c r="Z89" s="589"/>
      <c r="AA89" s="584"/>
      <c r="AB89" s="584"/>
      <c r="AD89" s="568">
        <f>'AWWA-Water Balance Data Transf.'!$D$41</f>
        <v>0</v>
      </c>
      <c r="AE89" s="568" t="str">
        <f>'AWWA-Water Balance Data Transf.'!$E$41</f>
        <v>PSI</v>
      </c>
      <c r="AH89" s="583" t="str">
        <f t="shared" si="9"/>
        <v/>
      </c>
      <c r="AI89" s="580" t="str">
        <f>IF(C89=0,"",IF('Start Page'!$Y$36=1,($F89*60*24*J89)*(($G89/$AB$39)^$H89)/10^6,IF('Start Page'!$Y$36=2,($F89*60*24*J89)*(($G89/$AC$39)^$H89)/10^6,IF('Start Page'!$Y$36=3,('Unit Conversion Sheet'!$E$17*$F89*60*24*J89)*(($G89/$AB$39)^$H89)/10^6))))</f>
        <v/>
      </c>
      <c r="AJ89" s="580" t="str">
        <f t="shared" ref="AJ89" si="12">IF(C89=0,"",AI89*C89)</f>
        <v/>
      </c>
    </row>
    <row r="90" spans="1:36" ht="20.149999999999999" customHeight="1" thickBot="1">
      <c r="A90" s="58"/>
      <c r="B90" s="682" t="str">
        <f>IF(C89=0,"",IF(C89="","",IF(R89=0,"PLEASE ENTER FLOW RATE FOR OTHER APPURTENANCE LEAKS IN CELL R89",IF(R89="","PLEASE ENTER FLOW RATE FOR OTHER APPURTENANCE LEAKS IN CELL R89",""))))</f>
        <v/>
      </c>
      <c r="C90" s="33"/>
      <c r="D90" s="34"/>
      <c r="E90" s="35"/>
      <c r="F90" s="36"/>
      <c r="G90" s="37"/>
      <c r="H90" s="38"/>
      <c r="I90" s="39"/>
      <c r="J90" s="39"/>
      <c r="K90" s="39"/>
      <c r="L90" s="159"/>
      <c r="M90" s="160" t="s">
        <v>705</v>
      </c>
      <c r="N90" s="157">
        <f>SUM(N86:N89)</f>
        <v>0</v>
      </c>
      <c r="O90" s="357"/>
      <c r="P90" s="26"/>
      <c r="Q90" s="26"/>
      <c r="R90" s="51"/>
      <c r="V90" s="584"/>
      <c r="W90" s="584"/>
      <c r="Y90" s="588"/>
      <c r="Z90" s="589"/>
      <c r="AA90" s="584"/>
      <c r="AB90" s="584"/>
      <c r="AG90" s="581" t="s">
        <v>475</v>
      </c>
      <c r="AH90" s="590">
        <f>SUM(AH86:AH89)</f>
        <v>0</v>
      </c>
      <c r="AI90" s="590">
        <f t="shared" ref="AI90:AJ90" si="13">SUM(AI86:AI89)</f>
        <v>0</v>
      </c>
      <c r="AJ90" s="590">
        <f t="shared" si="13"/>
        <v>0</v>
      </c>
    </row>
    <row r="91" spans="1:36" ht="20.149999999999999" customHeight="1">
      <c r="A91" s="58"/>
      <c r="B91" s="1146" t="s">
        <v>775</v>
      </c>
      <c r="C91" s="1147"/>
      <c r="D91" s="1147"/>
      <c r="E91" s="1147"/>
      <c r="F91" s="1147"/>
      <c r="G91" s="120"/>
      <c r="H91" s="120"/>
      <c r="I91" s="120"/>
      <c r="J91" s="120"/>
      <c r="K91" s="120"/>
      <c r="L91" s="120"/>
      <c r="M91" s="120"/>
      <c r="N91" s="120"/>
      <c r="O91" s="358"/>
      <c r="P91" s="48"/>
      <c r="Q91" s="48"/>
      <c r="R91" s="49"/>
      <c r="T91" s="584"/>
      <c r="V91" s="584"/>
      <c r="W91" s="584"/>
      <c r="Y91" s="588"/>
      <c r="Z91" s="589"/>
      <c r="AA91" s="584"/>
      <c r="AB91" s="584"/>
      <c r="AH91" s="591"/>
      <c r="AI91" s="591"/>
      <c r="AJ91" s="591"/>
    </row>
    <row r="92" spans="1:36" ht="10" customHeight="1">
      <c r="A92" s="58"/>
      <c r="B92" s="50"/>
      <c r="C92" s="26"/>
      <c r="D92" s="26"/>
      <c r="E92" s="26"/>
      <c r="F92" s="26"/>
      <c r="G92" s="26"/>
      <c r="H92" s="26"/>
      <c r="I92" s="26"/>
      <c r="J92" s="26"/>
      <c r="K92" s="26"/>
      <c r="L92" s="26"/>
      <c r="M92" s="26"/>
      <c r="N92" s="26"/>
      <c r="O92" s="26"/>
      <c r="P92" s="26"/>
      <c r="Q92" s="26"/>
      <c r="R92" s="51"/>
      <c r="V92" s="584"/>
      <c r="W92" s="584"/>
    </row>
    <row r="93" spans="1:36" ht="96.75" customHeight="1">
      <c r="A93" s="58"/>
      <c r="B93" s="241" t="s">
        <v>561</v>
      </c>
      <c r="C93" s="1148" t="s">
        <v>926</v>
      </c>
      <c r="D93" s="1148"/>
      <c r="E93" s="1148"/>
      <c r="F93" s="1148"/>
      <c r="G93" s="1148"/>
      <c r="H93" s="1148"/>
      <c r="I93" s="1148"/>
      <c r="J93" s="1148"/>
      <c r="K93" s="1148"/>
      <c r="L93" s="1148"/>
      <c r="M93" s="1148"/>
      <c r="N93" s="1148"/>
      <c r="O93" s="1148"/>
      <c r="P93" s="1148"/>
      <c r="Q93" s="1148"/>
      <c r="R93" s="1149"/>
      <c r="V93" s="584"/>
    </row>
    <row r="94" spans="1:36" ht="20.149999999999999" customHeight="1">
      <c r="A94" s="58"/>
      <c r="B94" s="50"/>
      <c r="C94" s="26"/>
      <c r="D94" s="26"/>
      <c r="E94" s="26"/>
      <c r="F94" s="26"/>
      <c r="G94" s="26"/>
      <c r="H94" s="26"/>
      <c r="I94" s="26"/>
      <c r="J94" s="26"/>
      <c r="K94" s="26"/>
      <c r="L94" s="26"/>
      <c r="M94" s="26"/>
      <c r="N94" s="26"/>
      <c r="O94" s="26"/>
      <c r="P94" s="26"/>
      <c r="Q94" s="26"/>
      <c r="R94" s="51"/>
      <c r="V94" s="584"/>
    </row>
    <row r="95" spans="1:36" ht="37.5">
      <c r="A95" s="58"/>
      <c r="B95" s="114" t="s">
        <v>145</v>
      </c>
      <c r="C95" s="1171" t="s">
        <v>908</v>
      </c>
      <c r="D95" s="1164" t="s">
        <v>146</v>
      </c>
      <c r="E95" s="864" t="s">
        <v>121</v>
      </c>
      <c r="F95" s="893" t="s">
        <v>901</v>
      </c>
      <c r="G95" s="1164" t="s">
        <v>116</v>
      </c>
      <c r="H95" s="1164" t="s">
        <v>117</v>
      </c>
      <c r="I95" s="1153" t="s">
        <v>902</v>
      </c>
      <c r="J95" s="1154"/>
      <c r="K95" s="1154"/>
      <c r="L95" s="1155"/>
      <c r="M95" s="1164" t="s">
        <v>903</v>
      </c>
      <c r="N95" s="1164" t="s">
        <v>124</v>
      </c>
      <c r="O95" s="359"/>
      <c r="P95" s="1150" t="s">
        <v>904</v>
      </c>
      <c r="Q95" s="1150" t="s">
        <v>905</v>
      </c>
      <c r="R95" s="249" t="s">
        <v>906</v>
      </c>
      <c r="V95" s="584"/>
      <c r="AB95" s="1162" t="s">
        <v>144</v>
      </c>
      <c r="AC95" s="1162" t="s">
        <v>660</v>
      </c>
      <c r="AD95" s="1162" t="s">
        <v>690</v>
      </c>
      <c r="AE95" s="1162"/>
      <c r="AF95" s="1162"/>
      <c r="AH95" s="1159" t="s">
        <v>472</v>
      </c>
      <c r="AI95" s="1159" t="s">
        <v>474</v>
      </c>
      <c r="AJ95" s="1159" t="s">
        <v>576</v>
      </c>
    </row>
    <row r="96" spans="1:36" ht="51" customHeight="1">
      <c r="A96" s="58"/>
      <c r="B96" s="117"/>
      <c r="C96" s="1172"/>
      <c r="D96" s="1165"/>
      <c r="E96" s="892" t="s">
        <v>910</v>
      </c>
      <c r="F96" s="110" t="str">
        <f>IF(AC98=2,IF('Start Page'!$Y$36=1,$AB$39 &amp; "psi",IF('Start Page'!$Y$36=2,$AC$39 &amp; "metres head",IF('Start Page'!$Y$36=3,$AB$39 &amp; "psi"))),("Avergage System Presure"))</f>
        <v>70psi</v>
      </c>
      <c r="G96" s="1165"/>
      <c r="H96" s="1165"/>
      <c r="I96" s="864" t="s">
        <v>131</v>
      </c>
      <c r="J96" s="1177" t="s">
        <v>911</v>
      </c>
      <c r="K96" s="1178"/>
      <c r="L96" s="862" t="s">
        <v>125</v>
      </c>
      <c r="M96" s="1165"/>
      <c r="N96" s="1165"/>
      <c r="O96" s="360"/>
      <c r="P96" s="1151"/>
      <c r="Q96" s="1151"/>
      <c r="R96" s="61" t="str">
        <f>"average system pressure"</f>
        <v>average system pressure</v>
      </c>
      <c r="AB96" s="1162"/>
      <c r="AC96" s="1162"/>
      <c r="AD96" s="1162"/>
      <c r="AE96" s="1162"/>
      <c r="AF96" s="1162"/>
      <c r="AH96" s="1159"/>
      <c r="AI96" s="1159"/>
      <c r="AJ96" s="1159"/>
    </row>
    <row r="97" spans="1:39" ht="20.149999999999999" customHeight="1">
      <c r="A97" s="58"/>
      <c r="B97" s="115"/>
      <c r="C97" s="116"/>
      <c r="D97" s="27"/>
      <c r="E97" s="116"/>
      <c r="F97" s="865" t="str">
        <f>IF('Start Page'!$Y$36=1,"(gpm)",IF('Start Page'!$Y$36=2,"(lpm)", IF('Start Page'!$Y$36=3,"(gpm)")))</f>
        <v>(gpm)</v>
      </c>
      <c r="G97" s="27" t="str">
        <f>$G$38</f>
        <v>(psi)</v>
      </c>
      <c r="H97" s="347"/>
      <c r="I97" s="118" t="s">
        <v>126</v>
      </c>
      <c r="J97" s="1166" t="s">
        <v>126</v>
      </c>
      <c r="K97" s="1167"/>
      <c r="L97" s="27" t="s">
        <v>126</v>
      </c>
      <c r="M97" s="27" t="str">
        <f>$I$38</f>
        <v>(MG)</v>
      </c>
      <c r="N97" s="865" t="str">
        <f>$I$38</f>
        <v>(MG)</v>
      </c>
      <c r="O97" s="360"/>
      <c r="P97" s="1152"/>
      <c r="Q97" s="1152"/>
      <c r="R97" s="62" t="str">
        <f>$F$57</f>
        <v>(gpm)</v>
      </c>
      <c r="Y97" s="574" t="s">
        <v>132</v>
      </c>
      <c r="Z97" s="574" t="s">
        <v>133</v>
      </c>
      <c r="AB97" s="575" t="str">
        <f>$F$57</f>
        <v>(gpm)</v>
      </c>
      <c r="AC97" s="1162"/>
      <c r="AD97" s="1162"/>
      <c r="AE97" s="1162"/>
      <c r="AF97" s="1162"/>
      <c r="AH97" s="571" t="s">
        <v>2</v>
      </c>
      <c r="AI97" s="571" t="str">
        <f>$N$57</f>
        <v>(MG)</v>
      </c>
      <c r="AJ97" s="571" t="str">
        <f>$N$57</f>
        <v>(MG)</v>
      </c>
    </row>
    <row r="98" spans="1:39" ht="20.149999999999999" customHeight="1">
      <c r="A98" s="58"/>
      <c r="B98" s="353" t="str">
        <f>IF('Start Page'!$Y$36=2,"Services &lt; DN 25","Services &lt; 1''")</f>
        <v>Services &lt; 1''</v>
      </c>
      <c r="C98" s="623">
        <v>0</v>
      </c>
      <c r="D98" s="623">
        <v>0</v>
      </c>
      <c r="E98" s="153">
        <f>IF(D98=0,0,C98/D98*1000)</f>
        <v>0</v>
      </c>
      <c r="F98" s="155">
        <f>IF(S98=1,AB98,R98)</f>
        <v>6.9</v>
      </c>
      <c r="G98" s="344">
        <f>'AWWA-Water Balance Data Transf.'!$D$41</f>
        <v>0</v>
      </c>
      <c r="H98" s="154">
        <v>1</v>
      </c>
      <c r="I98" s="689">
        <v>0</v>
      </c>
      <c r="J98" s="1156">
        <v>0</v>
      </c>
      <c r="K98" s="1157"/>
      <c r="L98" s="155">
        <f>IF(SUM(I98:K98)&gt;'Start Page'!$K$35,'Start Page'!$K$35,SUM(I98:K98))</f>
        <v>0</v>
      </c>
      <c r="M98" s="155">
        <f>IF(ISERROR(IF(C98=0,0,IF('Start Page'!$Y$36=1,(F98*60*24*L98)*((G98/AD98)^H98)/10^6,IF('Start Page'!$Y$36=2,(F98*60*24*L98)*((G98/AD98)^H98)/10^6,IF('Start Page'!$Y$36=3,('Unit Conversion Sheet'!$E$17*F98*60*24*L98)*((G98/AD98)^H98)/10^6))))),0,IF(C98=0,0,IF('Start Page'!$Y$36=1,(F98*60*24*L98)*((G98/AD98)^H98)/10^6,IF('Start Page'!$Y$36=2,(F98*60*24*L98)*((G98/AD98)^H98)/10^6,IF('Start Page'!$Y$36=3,('Unit Conversion Sheet'!$E$17*F98*60*24*L98)*((G98/AD98)^H98)/10^6)))))</f>
        <v>0</v>
      </c>
      <c r="N98" s="156">
        <f>IF(C98=0,0,M98*C98)</f>
        <v>0</v>
      </c>
      <c r="O98" s="354"/>
      <c r="P98" s="28"/>
      <c r="Q98" s="28"/>
      <c r="R98" s="627">
        <v>0</v>
      </c>
      <c r="S98" s="569">
        <v>1</v>
      </c>
      <c r="Y98" s="576">
        <v>6.9</v>
      </c>
      <c r="Z98" s="577">
        <f>Y98*'Unit Conversion Sheet'!$C$5</f>
        <v>26.119341420000001</v>
      </c>
      <c r="AB98" s="578">
        <f>IF('Start Page'!$Y$36=1,Y98,IF('Start Page'!$Y$36=2,Z98,IF('Start Page'!$Y$36=3,Y98)))</f>
        <v>6.9</v>
      </c>
      <c r="AC98" s="568">
        <f>SUM(S98:S99)</f>
        <v>2</v>
      </c>
      <c r="AD98" s="568">
        <f>IF(S98=1,(IF('Start Page'!$Y$36=1,$AB$39,IF('Start Page'!$Y$36=2,$AC$39,IF('Start Page'!$Y$36=3,$AB$39)))),'AWWA-Water Balance Data Transf.'!$D$41)</f>
        <v>70</v>
      </c>
      <c r="AE98" s="568" t="str">
        <f>'AWWA-Water Balance Data Transf.'!$E$41</f>
        <v>PSI</v>
      </c>
      <c r="AH98" s="583" t="str">
        <f>IF(C98=0,"",C98*J98)</f>
        <v/>
      </c>
      <c r="AI98" s="580" t="str">
        <f>IF(C98=0,"",IF('Start Page'!$Y$36=1,($F98*60*24*J98)*(($G98/$AB$39)^$H98)/10^6,IF('Start Page'!$Y$36=2,($F98*60*24*J98)*(($G98/$AC$39)^$H98)/10^6,IF('Start Page'!$Y$36=3,('Unit Conversion Sheet'!$E$17*$F98*60*24*J98)*(($G98/$AB$39)^$H98)/10^6))))</f>
        <v/>
      </c>
      <c r="AJ98" s="580" t="str">
        <f>IF(C98=0,"",AI98*C98)</f>
        <v/>
      </c>
    </row>
    <row r="99" spans="1:39" ht="20.149999999999999" customHeight="1">
      <c r="A99" s="58"/>
      <c r="B99" s="353" t="str">
        <f>IF('Start Page'!$Y$36=2,"Services &gt;= DN 25","Services &gt;= 1''")</f>
        <v>Services &gt;= 1''</v>
      </c>
      <c r="C99" s="623">
        <v>0</v>
      </c>
      <c r="D99" s="623">
        <v>0</v>
      </c>
      <c r="E99" s="153">
        <f>IF(D99=0,0,C99/D99*1000)</f>
        <v>0</v>
      </c>
      <c r="F99" s="155">
        <f>IF(S99=1,AB99,R99)</f>
        <v>13.9</v>
      </c>
      <c r="G99" s="344">
        <f>'AWWA-Water Balance Data Transf.'!$D$41</f>
        <v>0</v>
      </c>
      <c r="H99" s="154">
        <v>1</v>
      </c>
      <c r="I99" s="689">
        <v>0</v>
      </c>
      <c r="J99" s="1156">
        <v>0</v>
      </c>
      <c r="K99" s="1157"/>
      <c r="L99" s="155">
        <f>IF(SUM(I99:K99)&gt;'Start Page'!$K$35,'Start Page'!$K$35,SUM(I99:K99))</f>
        <v>0</v>
      </c>
      <c r="M99" s="155">
        <f>IF(ISERROR(IF(C99=0,0,IF('Start Page'!$Y$36=1,(F99*60*24*L99)*((G99/AD99)^H99)/10^6,IF('Start Page'!$Y$36=2,(F99*60*24*L99)*((G99/AD99)^H99)/10^6,IF('Start Page'!$Y$36=3,('Unit Conversion Sheet'!$E$17*F99*60*24*L99)*((G99/AD99)^H99)/10^6))))),0,IF(C99=0,0,IF('Start Page'!$Y$36=1,(F99*60*24*L99)*((G99/AD99)^H99)/10^6,IF('Start Page'!$Y$36=2,(F99*60*24*L99)*((G99/AD99)^H99)/10^6,IF('Start Page'!$Y$36=3,('Unit Conversion Sheet'!$E$17*F99*60*24*L99)*((G99/AD99)^H99)/10^6)))))</f>
        <v>0</v>
      </c>
      <c r="N99" s="156">
        <f>IF(C99=0,0,M99*C99)</f>
        <v>0</v>
      </c>
      <c r="O99" s="356"/>
      <c r="P99" s="28"/>
      <c r="Q99" s="28"/>
      <c r="R99" s="627">
        <v>0</v>
      </c>
      <c r="S99" s="569">
        <v>1</v>
      </c>
      <c r="Y99" s="576">
        <v>13.9</v>
      </c>
      <c r="Z99" s="577">
        <f>Y99*'Unit Conversion Sheet'!$C$5</f>
        <v>52.617224020000002</v>
      </c>
      <c r="AB99" s="578">
        <f>IF('Start Page'!$Y$36=1,Y99,IF('Start Page'!$Y$36=2,Z99,IF('Start Page'!$Y$36=3,Y99)))</f>
        <v>13.9</v>
      </c>
      <c r="AD99" s="568">
        <f>IF(S99=1,(IF('Start Page'!$Y$36=1,$AB$39,IF('Start Page'!$Y$36=2,$AC$39,IF('Start Page'!$Y$36=3,$AB$39)))),'AWWA-Water Balance Data Transf.'!$D$41)</f>
        <v>70</v>
      </c>
      <c r="AE99" s="568" t="str">
        <f>'AWWA-Water Balance Data Transf.'!$E$41</f>
        <v>PSI</v>
      </c>
      <c r="AH99" s="583" t="str">
        <f t="shared" ref="AH99" si="14">IF(C99=0,"",C99*J99)</f>
        <v/>
      </c>
      <c r="AI99" s="580" t="str">
        <f>IF(C99=0,"",IF('Start Page'!$Y$36=1,($F99*60*24*J99)*(($G99/$AB$39)^$H99)/10^6,IF('Start Page'!$Y$36=2,($F99*60*24*J99)*(($G99/$AC$39)^$H99)/10^6,IF('Start Page'!$Y$36=3,('Unit Conversion Sheet'!$E$17*$F99*60*24*J99)*(($G99/$AB$39)^$H99)/10^6))))</f>
        <v/>
      </c>
      <c r="AJ99" s="580" t="str">
        <f t="shared" ref="AJ99" si="15">IF(C99=0,"",AI99*C99)</f>
        <v/>
      </c>
    </row>
    <row r="100" spans="1:39" ht="20.149999999999999" customHeight="1">
      <c r="A100" s="58"/>
      <c r="B100" s="66"/>
      <c r="C100" s="67"/>
      <c r="D100" s="68"/>
      <c r="E100" s="69"/>
      <c r="F100" s="69"/>
      <c r="G100" s="70"/>
      <c r="H100" s="71"/>
      <c r="I100" s="112"/>
      <c r="J100" s="112"/>
      <c r="K100" s="112"/>
      <c r="L100" s="69"/>
      <c r="M100" s="72" t="s">
        <v>147</v>
      </c>
      <c r="N100" s="161">
        <f>SUM(N98:N99)</f>
        <v>0</v>
      </c>
      <c r="O100" s="362"/>
      <c r="P100" s="113"/>
      <c r="Q100" s="26"/>
      <c r="R100" s="51"/>
      <c r="Y100" s="585"/>
      <c r="Z100" s="586"/>
      <c r="AB100" s="587"/>
      <c r="AF100" s="581"/>
      <c r="AG100" s="581" t="s">
        <v>473</v>
      </c>
      <c r="AH100" s="590">
        <f>SUM(AH98:AH99)</f>
        <v>0</v>
      </c>
      <c r="AI100" s="590">
        <f t="shared" ref="AI100:AJ100" si="16">SUM(AI98:AI99)</f>
        <v>0</v>
      </c>
      <c r="AJ100" s="590">
        <f t="shared" si="16"/>
        <v>0</v>
      </c>
    </row>
    <row r="101" spans="1:39" ht="25.5" customHeight="1" thickBot="1">
      <c r="A101" s="58"/>
      <c r="B101" s="52"/>
      <c r="C101" s="73"/>
      <c r="D101" s="73"/>
      <c r="E101" s="73"/>
      <c r="F101" s="73"/>
      <c r="G101" s="73"/>
      <c r="H101" s="73"/>
      <c r="I101" s="73"/>
      <c r="J101" s="73"/>
      <c r="K101" s="73"/>
      <c r="L101" s="73"/>
      <c r="M101" s="74" t="s">
        <v>783</v>
      </c>
      <c r="N101" s="162">
        <f>N78+N90+N100</f>
        <v>0</v>
      </c>
      <c r="O101" s="53"/>
      <c r="P101" s="75"/>
      <c r="Q101" s="75"/>
      <c r="R101" s="76"/>
      <c r="S101" s="581"/>
      <c r="T101" s="581"/>
      <c r="U101" s="581"/>
      <c r="V101" s="581"/>
      <c r="W101" s="581"/>
      <c r="X101" s="581"/>
      <c r="Y101" s="581"/>
      <c r="Z101" s="581"/>
      <c r="AA101" s="581"/>
      <c r="AB101" s="581"/>
      <c r="AF101" s="581"/>
      <c r="AG101" s="581"/>
      <c r="AH101" s="581"/>
      <c r="AI101" s="581"/>
      <c r="AJ101" s="581"/>
      <c r="AK101" s="581"/>
    </row>
    <row r="102" spans="1:39" ht="10" customHeight="1">
      <c r="A102" s="58"/>
      <c r="B102" s="56"/>
      <c r="C102" s="48"/>
      <c r="D102" s="48"/>
      <c r="E102" s="48"/>
      <c r="F102" s="48"/>
      <c r="G102" s="48"/>
      <c r="H102" s="48"/>
      <c r="I102" s="48"/>
      <c r="J102" s="48"/>
      <c r="K102" s="48"/>
      <c r="L102" s="48"/>
      <c r="M102" s="48"/>
      <c r="N102" s="48"/>
      <c r="O102" s="48"/>
      <c r="P102" s="48"/>
      <c r="Q102" s="48"/>
      <c r="R102" s="49"/>
    </row>
    <row r="103" spans="1:39" ht="10" customHeight="1">
      <c r="A103" s="58"/>
      <c r="B103" s="50"/>
      <c r="C103" s="26"/>
      <c r="D103" s="26"/>
      <c r="E103" s="26"/>
      <c r="F103" s="26"/>
      <c r="G103" s="26"/>
      <c r="H103" s="26"/>
      <c r="I103" s="26"/>
      <c r="J103" s="26"/>
      <c r="K103" s="26"/>
      <c r="L103" s="26"/>
      <c r="M103" s="26"/>
      <c r="N103" s="26"/>
      <c r="O103" s="26"/>
      <c r="P103" s="26"/>
      <c r="Q103" s="26"/>
      <c r="R103" s="51"/>
    </row>
    <row r="104" spans="1:39" ht="10" customHeight="1" thickBot="1">
      <c r="A104" s="58"/>
      <c r="B104" s="50"/>
      <c r="C104" s="26"/>
      <c r="D104" s="26"/>
      <c r="E104" s="26"/>
      <c r="F104" s="26"/>
      <c r="G104" s="26"/>
      <c r="H104" s="26"/>
      <c r="I104" s="26"/>
      <c r="J104" s="26"/>
      <c r="K104" s="26"/>
      <c r="L104" s="26"/>
      <c r="M104" s="26"/>
      <c r="N104" s="26"/>
      <c r="O104" s="26"/>
      <c r="P104" s="26"/>
      <c r="Q104" s="26"/>
      <c r="R104" s="51"/>
    </row>
    <row r="105" spans="1:39" s="318" customFormat="1" ht="54.75" customHeight="1" thickBot="1">
      <c r="A105" s="879"/>
      <c r="B105" s="1168" t="s">
        <v>609</v>
      </c>
      <c r="C105" s="1169"/>
      <c r="D105" s="1169"/>
      <c r="E105" s="1169"/>
      <c r="F105" s="1169"/>
      <c r="G105" s="1169"/>
      <c r="H105" s="1169"/>
      <c r="I105" s="1169"/>
      <c r="J105" s="1169"/>
      <c r="K105" s="1169"/>
      <c r="L105" s="1169"/>
      <c r="M105" s="1169"/>
      <c r="N105" s="1169"/>
      <c r="O105" s="1169"/>
      <c r="P105" s="1169"/>
      <c r="Q105" s="1169"/>
      <c r="R105" s="1170"/>
      <c r="S105" s="581"/>
      <c r="T105" s="581"/>
      <c r="U105" s="581"/>
      <c r="V105" s="581"/>
      <c r="W105" s="581"/>
      <c r="X105" s="581"/>
      <c r="Y105" s="581"/>
      <c r="Z105" s="581"/>
      <c r="AA105" s="581"/>
      <c r="AB105" s="581"/>
      <c r="AC105" s="581"/>
      <c r="AD105" s="581"/>
      <c r="AE105" s="581"/>
      <c r="AF105" s="581"/>
      <c r="AG105" s="581"/>
      <c r="AH105" s="581"/>
      <c r="AI105" s="581"/>
      <c r="AJ105" s="581"/>
      <c r="AK105" s="581"/>
      <c r="AL105" s="581"/>
      <c r="AM105" s="581"/>
    </row>
    <row r="106" spans="1:39" ht="20.149999999999999" customHeight="1">
      <c r="A106" s="58"/>
      <c r="B106" s="1190" t="s">
        <v>776</v>
      </c>
      <c r="C106" s="1191"/>
      <c r="D106" s="1191"/>
      <c r="E106" s="1191"/>
      <c r="F106" s="1191"/>
      <c r="G106" s="48"/>
      <c r="H106" s="48"/>
      <c r="I106" s="48"/>
      <c r="J106" s="48"/>
      <c r="K106" s="48"/>
      <c r="L106" s="48"/>
      <c r="M106" s="48"/>
      <c r="N106" s="48"/>
      <c r="O106" s="48"/>
      <c r="P106" s="48"/>
      <c r="Q106" s="48"/>
      <c r="R106" s="49"/>
    </row>
    <row r="107" spans="1:39" ht="10" customHeight="1">
      <c r="A107" s="58"/>
      <c r="B107" s="50"/>
      <c r="C107" s="26"/>
      <c r="D107" s="26"/>
      <c r="E107" s="26"/>
      <c r="F107" s="26"/>
      <c r="G107" s="26"/>
      <c r="H107" s="26"/>
      <c r="I107" s="26"/>
      <c r="J107" s="26"/>
      <c r="K107" s="26"/>
      <c r="L107" s="26"/>
      <c r="M107" s="26"/>
      <c r="N107" s="26"/>
      <c r="O107" s="26"/>
      <c r="P107" s="26"/>
      <c r="Q107" s="26"/>
      <c r="R107" s="51"/>
    </row>
    <row r="108" spans="1:39" ht="79.5" customHeight="1">
      <c r="A108" s="58"/>
      <c r="B108" s="226" t="s">
        <v>561</v>
      </c>
      <c r="C108" s="1148" t="s">
        <v>798</v>
      </c>
      <c r="D108" s="1148"/>
      <c r="E108" s="1148"/>
      <c r="F108" s="1148"/>
      <c r="G108" s="1148"/>
      <c r="H108" s="1148"/>
      <c r="I108" s="1148"/>
      <c r="J108" s="1148"/>
      <c r="K108" s="1148"/>
      <c r="L108" s="1148"/>
      <c r="M108" s="1148"/>
      <c r="N108" s="1148"/>
      <c r="O108" s="1148"/>
      <c r="P108" s="1148"/>
      <c r="Q108" s="1148"/>
      <c r="R108" s="1149"/>
    </row>
    <row r="109" spans="1:39" ht="20.149999999999999" customHeight="1" thickBot="1">
      <c r="A109" s="58"/>
      <c r="B109" s="50"/>
      <c r="C109" s="26"/>
      <c r="D109" s="26"/>
      <c r="E109" s="26"/>
      <c r="F109" s="26"/>
      <c r="G109" s="26"/>
      <c r="H109" s="26"/>
      <c r="I109" s="26"/>
      <c r="J109" s="26"/>
      <c r="K109" s="26"/>
      <c r="L109" s="26"/>
      <c r="M109" s="26"/>
      <c r="N109" s="26"/>
      <c r="O109" s="26"/>
      <c r="P109" s="26"/>
      <c r="Q109" s="26"/>
      <c r="R109" s="51"/>
    </row>
    <row r="110" spans="1:39" ht="20.149999999999999" customHeight="1">
      <c r="A110" s="58"/>
      <c r="B110" s="1185" t="s">
        <v>777</v>
      </c>
      <c r="C110" s="1186"/>
      <c r="D110" s="1186"/>
      <c r="E110" s="1186"/>
      <c r="F110" s="48"/>
      <c r="G110" s="48"/>
      <c r="H110" s="48"/>
      <c r="I110" s="48"/>
      <c r="J110" s="48"/>
      <c r="K110" s="48"/>
      <c r="L110" s="48"/>
      <c r="M110" s="48"/>
      <c r="N110" s="48"/>
      <c r="O110" s="48"/>
      <c r="P110" s="48"/>
      <c r="Q110" s="48"/>
      <c r="R110" s="49"/>
    </row>
    <row r="111" spans="1:39" ht="10" customHeight="1">
      <c r="A111" s="58"/>
      <c r="B111" s="50"/>
      <c r="C111" s="26"/>
      <c r="D111" s="26"/>
      <c r="E111" s="26"/>
      <c r="F111" s="26"/>
      <c r="G111" s="26"/>
      <c r="H111" s="26"/>
      <c r="I111" s="26"/>
      <c r="J111" s="26"/>
      <c r="K111" s="26"/>
      <c r="L111" s="26"/>
      <c r="M111" s="26"/>
      <c r="N111" s="26"/>
      <c r="O111" s="26"/>
      <c r="P111" s="26"/>
      <c r="Q111" s="26"/>
      <c r="R111" s="51"/>
    </row>
    <row r="112" spans="1:39" ht="98.25" customHeight="1">
      <c r="A112" s="58"/>
      <c r="B112" s="226" t="s">
        <v>561</v>
      </c>
      <c r="C112" s="1148" t="s">
        <v>927</v>
      </c>
      <c r="D112" s="1148"/>
      <c r="E112" s="1148"/>
      <c r="F112" s="1148"/>
      <c r="G112" s="1148"/>
      <c r="H112" s="1148"/>
      <c r="I112" s="1148"/>
      <c r="J112" s="1148"/>
      <c r="K112" s="1148"/>
      <c r="L112" s="1148"/>
      <c r="M112" s="1148"/>
      <c r="N112" s="1148"/>
      <c r="O112" s="1148"/>
      <c r="P112" s="1148"/>
      <c r="Q112" s="1148"/>
      <c r="R112" s="1149"/>
    </row>
    <row r="113" spans="1:39" ht="20.149999999999999" customHeight="1">
      <c r="A113" s="58"/>
      <c r="B113" s="50"/>
      <c r="C113" s="26"/>
      <c r="D113" s="26"/>
      <c r="E113" s="26"/>
      <c r="F113" s="26"/>
      <c r="G113" s="26"/>
      <c r="H113" s="26"/>
      <c r="I113" s="26"/>
      <c r="J113" s="26"/>
      <c r="K113" s="26"/>
      <c r="L113" s="26"/>
      <c r="M113" s="26"/>
      <c r="N113" s="26"/>
      <c r="O113" s="26"/>
      <c r="P113" s="26"/>
      <c r="Q113" s="26"/>
      <c r="R113" s="51"/>
    </row>
    <row r="114" spans="1:39" ht="37.5">
      <c r="A114" s="58"/>
      <c r="B114" s="114" t="s">
        <v>119</v>
      </c>
      <c r="C114" s="1171" t="s">
        <v>908</v>
      </c>
      <c r="D114" s="1187" t="s">
        <v>120</v>
      </c>
      <c r="E114" s="864" t="s">
        <v>121</v>
      </c>
      <c r="F114" s="893" t="s">
        <v>901</v>
      </c>
      <c r="G114" s="1164" t="s">
        <v>116</v>
      </c>
      <c r="H114" s="1164" t="s">
        <v>117</v>
      </c>
      <c r="I114" s="1153" t="s">
        <v>902</v>
      </c>
      <c r="J114" s="1154"/>
      <c r="K114" s="1154"/>
      <c r="L114" s="1155"/>
      <c r="M114" s="1164" t="s">
        <v>903</v>
      </c>
      <c r="N114" s="1164" t="s">
        <v>124</v>
      </c>
      <c r="O114" s="30"/>
      <c r="P114" s="1150" t="s">
        <v>904</v>
      </c>
      <c r="Q114" s="1150" t="s">
        <v>905</v>
      </c>
      <c r="R114" s="249" t="s">
        <v>906</v>
      </c>
      <c r="AB114" s="1162" t="s">
        <v>144</v>
      </c>
      <c r="AC114" s="1162" t="s">
        <v>660</v>
      </c>
      <c r="AD114" s="1162" t="s">
        <v>690</v>
      </c>
      <c r="AE114" s="1162"/>
      <c r="AF114" s="1162"/>
      <c r="AH114" s="1158" t="s">
        <v>472</v>
      </c>
      <c r="AI114" s="1158" t="s">
        <v>474</v>
      </c>
      <c r="AJ114" s="1158" t="s">
        <v>576</v>
      </c>
    </row>
    <row r="115" spans="1:39" ht="45" customHeight="1">
      <c r="A115" s="58"/>
      <c r="B115" s="117"/>
      <c r="C115" s="1172"/>
      <c r="D115" s="1188"/>
      <c r="E115" s="863" t="str">
        <f>IF('Start Page'!$Y$42=1,"(number / 100miles / yr)",IF('Start Page'!$Y$42=2,"(number /100kilometers / yr)"))</f>
        <v>(number / 100miles / yr)</v>
      </c>
      <c r="F115" s="110" t="str">
        <f>IF(AC58=19,IF('Start Page'!$Y$36=1,$AB$39 &amp; "psi",IF('Start Page'!$Y$36=2,$AC$39 &amp; "metres head",IF('Start Page'!$Y$36=3,$AB$39 &amp; "psi"))),("Avergage System Presure"))</f>
        <v>70psi</v>
      </c>
      <c r="G115" s="1165"/>
      <c r="H115" s="1165"/>
      <c r="I115" s="864" t="s">
        <v>131</v>
      </c>
      <c r="J115" s="1177" t="s">
        <v>907</v>
      </c>
      <c r="K115" s="1178"/>
      <c r="L115" s="862" t="s">
        <v>125</v>
      </c>
      <c r="M115" s="1165"/>
      <c r="N115" s="1165"/>
      <c r="O115" s="111"/>
      <c r="P115" s="1151"/>
      <c r="Q115" s="1151"/>
      <c r="R115" s="61" t="str">
        <f>"average system pressure"</f>
        <v>average system pressure</v>
      </c>
      <c r="AB115" s="1162"/>
      <c r="AC115" s="1162"/>
      <c r="AD115" s="1162"/>
      <c r="AE115" s="1162"/>
      <c r="AF115" s="1162"/>
      <c r="AH115" s="1158"/>
      <c r="AI115" s="1158"/>
      <c r="AJ115" s="1158"/>
    </row>
    <row r="116" spans="1:39" s="318" customFormat="1" ht="20.149999999999999" customHeight="1">
      <c r="A116" s="878"/>
      <c r="B116" s="115"/>
      <c r="C116" s="116"/>
      <c r="D116" s="27" t="str">
        <f>$C$39</f>
        <v>miles</v>
      </c>
      <c r="E116" s="116"/>
      <c r="F116" s="865" t="str">
        <f>IF('Start Page'!$Y$36=1,"(gpm)",IF('Start Page'!$Y$36=2,"(lpm)", IF('Start Page'!$Y$36=3,"(gpm)")))</f>
        <v>(gpm)</v>
      </c>
      <c r="G116" s="27" t="str">
        <f>$G$38</f>
        <v>(psi)</v>
      </c>
      <c r="H116" s="567"/>
      <c r="I116" s="118" t="s">
        <v>126</v>
      </c>
      <c r="J116" s="1166" t="s">
        <v>126</v>
      </c>
      <c r="K116" s="1167"/>
      <c r="L116" s="27" t="s">
        <v>126</v>
      </c>
      <c r="M116" s="27" t="str">
        <f>$I$38</f>
        <v>(MG)</v>
      </c>
      <c r="N116" s="865" t="str">
        <f>$I$38</f>
        <v>(MG)</v>
      </c>
      <c r="O116" s="111"/>
      <c r="P116" s="1152"/>
      <c r="Q116" s="1152"/>
      <c r="R116" s="62" t="str">
        <f>$F$57</f>
        <v>(gpm)</v>
      </c>
      <c r="S116" s="568"/>
      <c r="T116" s="568"/>
      <c r="U116" s="568"/>
      <c r="V116" s="568"/>
      <c r="W116" s="568"/>
      <c r="X116" s="568"/>
      <c r="Y116" s="574" t="s">
        <v>132</v>
      </c>
      <c r="Z116" s="574" t="s">
        <v>133</v>
      </c>
      <c r="AA116" s="568"/>
      <c r="AB116" s="575" t="str">
        <f>$F$57</f>
        <v>(gpm)</v>
      </c>
      <c r="AC116" s="568"/>
      <c r="AD116" s="568"/>
      <c r="AE116" s="568"/>
      <c r="AF116" s="568"/>
      <c r="AG116" s="568"/>
      <c r="AH116" s="571" t="s">
        <v>2</v>
      </c>
      <c r="AI116" s="571" t="str">
        <f>$N$57</f>
        <v>(MG)</v>
      </c>
      <c r="AJ116" s="571" t="str">
        <f>$N$57</f>
        <v>(MG)</v>
      </c>
      <c r="AK116" s="568"/>
      <c r="AL116" s="568"/>
      <c r="AM116" s="581"/>
    </row>
    <row r="117" spans="1:39" ht="20.149999999999999" customHeight="1">
      <c r="A117" s="78"/>
      <c r="B117" s="353" t="str">
        <f>IF('Start Page'!$Y$36=2,"DN 50","Diameter 2''")</f>
        <v>Diameter 2''</v>
      </c>
      <c r="C117" s="623">
        <v>0</v>
      </c>
      <c r="D117" s="628">
        <v>0</v>
      </c>
      <c r="E117" s="153">
        <f>IF(D117=0,0,C117/D117*100)</f>
        <v>0</v>
      </c>
      <c r="F117" s="155">
        <f>IF(S117=1,AB117,R117)</f>
        <v>13.9</v>
      </c>
      <c r="G117" s="344">
        <f>'AWWA-Water Balance Data Transf.'!$D$41</f>
        <v>0</v>
      </c>
      <c r="H117" s="154">
        <v>1</v>
      </c>
      <c r="I117" s="689">
        <v>0</v>
      </c>
      <c r="J117" s="1156">
        <v>0</v>
      </c>
      <c r="K117" s="1157"/>
      <c r="L117" s="155">
        <f>IF(SUM(I117:K117)&gt;'Start Page'!$K$35,'Start Page'!$K$35,SUM(I117:K117))</f>
        <v>0</v>
      </c>
      <c r="M117" s="155">
        <f>IF(ISERROR(IF(C117=0,0,IF('Start Page'!$Y$36=1,($F117*60*24*$L117)*(($G117/AD117)^$H117)/10^6,IF('Start Page'!$Y$36=2,($F117*60*24*$L117)*(($G117/AD117)^$H117)/10^6,IF('Start Page'!$Y$36=3,('Unit Conversion Sheet'!$E$17*$F117*60*24*$L117)*(($G117/AD117)^$H117)/10^6))))),0,IF(C117=0,0,IF('Start Page'!$Y$36=1,($F117*60*24*$L117)*(($G117/AD117)^$H117)/10^6,IF('Start Page'!$Y$36=2,($F117*60*24*$L117)*(($G117/AD117)^$H117)/10^6,IF('Start Page'!$Y$36=3,('Unit Conversion Sheet'!$E$17*$F117*60*24*$L117)*(($G117/AD117)^$H117)/10^6)))))</f>
        <v>0</v>
      </c>
      <c r="N117" s="156">
        <f>IF(C117=0,0,M117*C117)</f>
        <v>0</v>
      </c>
      <c r="O117" s="354"/>
      <c r="P117" s="28"/>
      <c r="Q117" s="28"/>
      <c r="R117" s="626">
        <v>0</v>
      </c>
      <c r="S117" s="569">
        <v>1</v>
      </c>
      <c r="T117" s="568" t="s">
        <v>142</v>
      </c>
      <c r="Y117" s="576">
        <v>13.9</v>
      </c>
      <c r="Z117" s="577">
        <f>Y117*'Unit Conversion Sheet'!$C$5</f>
        <v>52.617224020000002</v>
      </c>
      <c r="AB117" s="578">
        <f>IF('Start Page'!$Y$36=1,Y117,IF('Start Page'!$Y$36=2,Z117,IF('Start Page'!$Y$36=3,Y117)))</f>
        <v>13.9</v>
      </c>
      <c r="AC117" s="568">
        <f>SUM(S117:S135)</f>
        <v>19</v>
      </c>
      <c r="AD117" s="568">
        <f>IF(S117=1,(IF('Start Page'!$Y$36=1,$AB$39,IF('Start Page'!$Y$36=2,$AC$39,IF('Start Page'!$Y$36=3,$AB$39)))),'AWWA-Water Balance Data Transf.'!$D$41)</f>
        <v>70</v>
      </c>
      <c r="AE117" s="568" t="str">
        <f>'AWWA-Water Balance Data Transf.'!$E$41</f>
        <v>PSI</v>
      </c>
      <c r="AH117" s="579" t="str">
        <f>IF(C117=0,"",C117*J117)</f>
        <v/>
      </c>
      <c r="AI117" s="580" t="str">
        <f>IF(C117=0,"",IF('Start Page'!$Y$36=1,($F117*60*24*J117)*(($G117/$AB$39)^$H117)/10^6,IF('Start Page'!$Y$36=2,($F117*60*24*J117)*(($G117/$AC$39)^$H117)/10^6,IF('Start Page'!$Y$36=3,('Unit Conversion Sheet'!$E$17*$F117*60*24*J117)*(($G117/$AB$39)^$H117)/10^6))))</f>
        <v/>
      </c>
      <c r="AJ117" s="580" t="str">
        <f>IF(C117=0,"",AI117*C117)</f>
        <v/>
      </c>
    </row>
    <row r="118" spans="1:39" ht="20.149999999999999" customHeight="1">
      <c r="A118" s="78"/>
      <c r="B118" s="353" t="str">
        <f>IF('Start Page'!$Y$36=2,"DN 80","Diameter 3''")</f>
        <v>Diameter 3''</v>
      </c>
      <c r="C118" s="623">
        <v>0</v>
      </c>
      <c r="D118" s="628">
        <v>0</v>
      </c>
      <c r="E118" s="153">
        <f t="shared" ref="E118:E136" si="17">IF(D118=0,0,C118/D118*100)</f>
        <v>0</v>
      </c>
      <c r="F118" s="155">
        <f t="shared" ref="F118:F135" si="18">IF(S118=1,AB118,R118)</f>
        <v>13.9</v>
      </c>
      <c r="G118" s="344">
        <f>'AWWA-Water Balance Data Transf.'!$D$41</f>
        <v>0</v>
      </c>
      <c r="H118" s="154">
        <v>1</v>
      </c>
      <c r="I118" s="689">
        <v>0</v>
      </c>
      <c r="J118" s="1156">
        <v>0</v>
      </c>
      <c r="K118" s="1157"/>
      <c r="L118" s="155">
        <f>IF(SUM(I118:K118)&gt;'Start Page'!$K$35,'Start Page'!$K$35,SUM(I118:K118))</f>
        <v>0</v>
      </c>
      <c r="M118" s="155">
        <f>IF(ISERROR(IF(C118=0,0,IF('Start Page'!$Y$36=1,($F118*60*24*$L118)*(($G118/AD118)^$H118)/10^6,IF('Start Page'!$Y$36=2,($F118*60*24*$L118)*(($G118/AD118)^$H118)/10^6,IF('Start Page'!$Y$36=3,('Unit Conversion Sheet'!$E$17*$F118*60*24*$L118)*(($G118/AD118)^$H118)/10^6))))),0,IF(C118=0,0,IF('Start Page'!$Y$36=1,($F118*60*24*$L118)*(($G118/AD118)^$H118)/10^6,IF('Start Page'!$Y$36=2,($F118*60*24*$L118)*(($G118/AD118)^$H118)/10^6,IF('Start Page'!$Y$36=3,('Unit Conversion Sheet'!$E$17*$F118*60*24*$L118)*(($G118/AD118)^$H118)/10^6)))))</f>
        <v>0</v>
      </c>
      <c r="N118" s="156">
        <f t="shared" ref="N118:N136" si="19">IF(C118=0,0,M118*C118)</f>
        <v>0</v>
      </c>
      <c r="O118" s="354"/>
      <c r="P118" s="28"/>
      <c r="Q118" s="28"/>
      <c r="R118" s="627">
        <v>0</v>
      </c>
      <c r="S118" s="569">
        <v>1</v>
      </c>
      <c r="Y118" s="576">
        <v>13.9</v>
      </c>
      <c r="Z118" s="577">
        <f>Y118*'Unit Conversion Sheet'!$C$5</f>
        <v>52.617224020000002</v>
      </c>
      <c r="AB118" s="578">
        <f>IF('Start Page'!$Y$36=1,Y118,IF('Start Page'!$Y$36=2,Z118,IF('Start Page'!$Y$36=3,Y118)))</f>
        <v>13.9</v>
      </c>
      <c r="AD118" s="568">
        <f>IF(S118=1,(IF('Start Page'!$Y$36=1,$AB$39,IF('Start Page'!$Y$36=2,$AC$39,IF('Start Page'!$Y$36=3,$AB$39)))),'AWWA-Water Balance Data Transf.'!$D$41)</f>
        <v>70</v>
      </c>
      <c r="AE118" s="568" t="str">
        <f>'AWWA-Water Balance Data Transf.'!$E$41</f>
        <v>PSI</v>
      </c>
      <c r="AH118" s="579" t="str">
        <f t="shared" ref="AH118:AH136" si="20">IF(C118=0,"",C118*J118)</f>
        <v/>
      </c>
      <c r="AI118" s="580" t="str">
        <f>IF(C118=0,"",IF('Start Page'!$Y$36=1,($F118*60*24*J118)*(($G118/$AB$39)^$H118)/10^6,IF('Start Page'!$Y$36=2,($F118*60*24*J118)*(($G118/$AC$39)^$H118)/10^6,IF('Start Page'!$Y$36=3,('Unit Conversion Sheet'!$E$17*$F118*60*24*J118)*(($G118/$AB$39)^$H118)/10^6))))</f>
        <v/>
      </c>
      <c r="AJ118" s="580" t="str">
        <f t="shared" ref="AJ118:AJ136" si="21">IF(C118=0,"",AI118*C118)</f>
        <v/>
      </c>
    </row>
    <row r="119" spans="1:39" ht="20.149999999999999" customHeight="1">
      <c r="A119" s="78"/>
      <c r="B119" s="353" t="str">
        <f>IF('Start Page'!$Y$36=2,"DN 100","Diameter 4''")</f>
        <v>Diameter 4''</v>
      </c>
      <c r="C119" s="623">
        <v>0</v>
      </c>
      <c r="D119" s="628">
        <v>0</v>
      </c>
      <c r="E119" s="153">
        <f t="shared" si="17"/>
        <v>0</v>
      </c>
      <c r="F119" s="155">
        <f t="shared" si="18"/>
        <v>22</v>
      </c>
      <c r="G119" s="344">
        <f>'AWWA-Water Balance Data Transf.'!$D$41</f>
        <v>0</v>
      </c>
      <c r="H119" s="154">
        <v>1</v>
      </c>
      <c r="I119" s="689">
        <v>0</v>
      </c>
      <c r="J119" s="1156">
        <v>0</v>
      </c>
      <c r="K119" s="1157"/>
      <c r="L119" s="155">
        <f>IF(SUM(I119:K119)&gt;'Start Page'!$K$35,'Start Page'!$K$35,SUM(I119:K119))</f>
        <v>0</v>
      </c>
      <c r="M119" s="155">
        <f>IF(ISERROR(IF(C119=0,0,IF('Start Page'!$Y$36=1,($F119*60*24*$L119)*(($G119/AD119)^$H119)/10^6,IF('Start Page'!$Y$36=2,($F119*60*24*$L119)*(($G119/AD119)^$H119)/10^6,IF('Start Page'!$Y$36=3,('Unit Conversion Sheet'!$E$17*$F119*60*24*$L119)*(($G119/AD119)^$H119)/10^6))))),0,IF(C119=0,0,IF('Start Page'!$Y$36=1,($F119*60*24*$L119)*(($G119/AD119)^$H119)/10^6,IF('Start Page'!$Y$36=2,($F119*60*24*$L119)*(($G119/AD119)^$H119)/10^6,IF('Start Page'!$Y$36=3,('Unit Conversion Sheet'!$E$17*$F119*60*24*$L119)*(($G119/AD119)^$H119)/10^6)))))</f>
        <v>0</v>
      </c>
      <c r="N119" s="156">
        <f t="shared" si="19"/>
        <v>0</v>
      </c>
      <c r="O119" s="354"/>
      <c r="P119" s="28"/>
      <c r="Q119" s="28"/>
      <c r="R119" s="627">
        <v>0</v>
      </c>
      <c r="S119" s="569">
        <v>1</v>
      </c>
      <c r="Y119" s="576">
        <v>22</v>
      </c>
      <c r="Z119" s="577">
        <f>Y119*'Unit Conversion Sheet'!$C$5</f>
        <v>83.279059599999997</v>
      </c>
      <c r="AB119" s="578">
        <f>IF('Start Page'!$Y$36=1,Y119,IF('Start Page'!$Y$36=2,Z119,IF('Start Page'!$Y$36=3,Y119)))</f>
        <v>22</v>
      </c>
      <c r="AD119" s="568">
        <f>IF(S119=1,(IF('Start Page'!$Y$36=1,$AB$39,IF('Start Page'!$Y$36=2,$AC$39,IF('Start Page'!$Y$36=3,$AB$39)))),'AWWA-Water Balance Data Transf.'!$D$41)</f>
        <v>70</v>
      </c>
      <c r="AE119" s="568" t="str">
        <f>'AWWA-Water Balance Data Transf.'!$E$41</f>
        <v>PSI</v>
      </c>
      <c r="AH119" s="579" t="str">
        <f t="shared" si="20"/>
        <v/>
      </c>
      <c r="AI119" s="580" t="str">
        <f>IF(C119=0,"",IF('Start Page'!$Y$36=1,($F119*60*24*J119)*(($G119/$AB$39)^$H119)/10^6,IF('Start Page'!$Y$36=2,($F119*60*24*J119)*(($G119/$AC$39)^$H119)/10^6,IF('Start Page'!$Y$36=3,('Unit Conversion Sheet'!$E$17*$F119*60*24*J119)*(($G119/$AB$39)^$H119)/10^6))))</f>
        <v/>
      </c>
      <c r="AJ119" s="580" t="str">
        <f t="shared" si="21"/>
        <v/>
      </c>
    </row>
    <row r="120" spans="1:39" ht="20.149999999999999" customHeight="1">
      <c r="A120" s="78"/>
      <c r="B120" s="353" t="str">
        <f>IF('Start Page'!$Y$36=2,"DN 150","Diameter 6''")</f>
        <v>Diameter 6''</v>
      </c>
      <c r="C120" s="623">
        <v>0</v>
      </c>
      <c r="D120" s="628">
        <v>0</v>
      </c>
      <c r="E120" s="153">
        <f t="shared" si="17"/>
        <v>0</v>
      </c>
      <c r="F120" s="155">
        <f t="shared" si="18"/>
        <v>46</v>
      </c>
      <c r="G120" s="344">
        <f>'AWWA-Water Balance Data Transf.'!$D$41</f>
        <v>0</v>
      </c>
      <c r="H120" s="154">
        <v>1</v>
      </c>
      <c r="I120" s="689">
        <v>0</v>
      </c>
      <c r="J120" s="1156">
        <v>0</v>
      </c>
      <c r="K120" s="1157"/>
      <c r="L120" s="155">
        <f>IF(SUM(I120:K120)&gt;'Start Page'!$K$35,'Start Page'!$K$35,SUM(I120:K120))</f>
        <v>0</v>
      </c>
      <c r="M120" s="155">
        <f>IF(ISERROR(IF(C120=0,0,IF('Start Page'!$Y$36=1,($F120*60*24*$L120)*(($G120/AD120)^$H120)/10^6,IF('Start Page'!$Y$36=2,($F120*60*24*$L120)*(($G120/AD120)^$H120)/10^6,IF('Start Page'!$Y$36=3,('Unit Conversion Sheet'!$E$17*$F120*60*24*$L120)*(($G120/AD120)^$H120)/10^6))))),0,IF(C120=0,0,IF('Start Page'!$Y$36=1,($F120*60*24*$L120)*(($G120/AD120)^$H120)/10^6,IF('Start Page'!$Y$36=2,($F120*60*24*$L120)*(($G120/AD120)^$H120)/10^6,IF('Start Page'!$Y$36=3,('Unit Conversion Sheet'!$E$17*$F120*60*24*$L120)*(($G120/AD120)^$H120)/10^6)))))</f>
        <v>0</v>
      </c>
      <c r="N120" s="156">
        <f t="shared" si="19"/>
        <v>0</v>
      </c>
      <c r="O120" s="354"/>
      <c r="P120" s="28"/>
      <c r="Q120" s="28"/>
      <c r="R120" s="627">
        <v>0</v>
      </c>
      <c r="S120" s="569">
        <v>1</v>
      </c>
      <c r="Y120" s="576">
        <v>46</v>
      </c>
      <c r="Z120" s="577">
        <f>Y120*'Unit Conversion Sheet'!$C$5</f>
        <v>174.1289428</v>
      </c>
      <c r="AB120" s="578">
        <f>IF('Start Page'!$Y$36=1,Y120,IF('Start Page'!$Y$36=2,Z120,IF('Start Page'!$Y$36=3,Y120)))</f>
        <v>46</v>
      </c>
      <c r="AD120" s="568">
        <f>IF(S120=1,(IF('Start Page'!$Y$36=1,$AB$39,IF('Start Page'!$Y$36=2,$AC$39,IF('Start Page'!$Y$36=3,$AB$39)))),'AWWA-Water Balance Data Transf.'!$D$41)</f>
        <v>70</v>
      </c>
      <c r="AE120" s="568" t="str">
        <f>'AWWA-Water Balance Data Transf.'!$E$41</f>
        <v>PSI</v>
      </c>
      <c r="AH120" s="579" t="str">
        <f t="shared" si="20"/>
        <v/>
      </c>
      <c r="AI120" s="580" t="str">
        <f>IF(C120=0,"",IF('Start Page'!$Y$36=1,($F120*60*24*J120)*(($G120/$AB$39)^$H120)/10^6,IF('Start Page'!$Y$36=2,($F120*60*24*J120)*(($G120/$AC$39)^$H120)/10^6,IF('Start Page'!$Y$36=3,('Unit Conversion Sheet'!$E$17*$F120*60*24*J120)*(($G120/$AB$39)^$H120)/10^6))))</f>
        <v/>
      </c>
      <c r="AJ120" s="580" t="str">
        <f t="shared" si="21"/>
        <v/>
      </c>
    </row>
    <row r="121" spans="1:39" ht="20.149999999999999" customHeight="1">
      <c r="A121" s="78"/>
      <c r="B121" s="353" t="str">
        <f>IF('Start Page'!$Y$36=2,"DN 200","Diameter 8''")</f>
        <v>Diameter 8''</v>
      </c>
      <c r="C121" s="623">
        <v>0</v>
      </c>
      <c r="D121" s="628">
        <v>0</v>
      </c>
      <c r="E121" s="153">
        <f t="shared" si="17"/>
        <v>0</v>
      </c>
      <c r="F121" s="155">
        <f t="shared" si="18"/>
        <v>46</v>
      </c>
      <c r="G121" s="344">
        <f>'AWWA-Water Balance Data Transf.'!$D$41</f>
        <v>0</v>
      </c>
      <c r="H121" s="154">
        <v>1</v>
      </c>
      <c r="I121" s="689">
        <v>0</v>
      </c>
      <c r="J121" s="1156">
        <v>0</v>
      </c>
      <c r="K121" s="1157"/>
      <c r="L121" s="155">
        <f>IF(SUM(I121:K121)&gt;'Start Page'!$K$35,'Start Page'!$K$35,SUM(I121:K121))</f>
        <v>0</v>
      </c>
      <c r="M121" s="155">
        <f>IF(ISERROR(IF(C121=0,0,IF('Start Page'!$Y$36=1,($F121*60*24*$L121)*(($G121/AD121)^$H121)/10^6,IF('Start Page'!$Y$36=2,($F121*60*24*$L121)*(($G121/AD121)^$H121)/10^6,IF('Start Page'!$Y$36=3,('Unit Conversion Sheet'!$E$17*$F121*60*24*$L121)*(($G121/AD121)^$H121)/10^6))))),0,IF(C121=0,0,IF('Start Page'!$Y$36=1,($F121*60*24*$L121)*(($G121/AD121)^$H121)/10^6,IF('Start Page'!$Y$36=2,($F121*60*24*$L121)*(($G121/AD121)^$H121)/10^6,IF('Start Page'!$Y$36=3,('Unit Conversion Sheet'!$E$17*$F121*60*24*$L121)*(($G121/AD121)^$H121)/10^6)))))</f>
        <v>0</v>
      </c>
      <c r="N121" s="156">
        <f t="shared" si="19"/>
        <v>0</v>
      </c>
      <c r="O121" s="354"/>
      <c r="P121" s="28"/>
      <c r="Q121" s="28"/>
      <c r="R121" s="627">
        <v>0</v>
      </c>
      <c r="S121" s="569">
        <v>1</v>
      </c>
      <c r="Y121" s="576">
        <v>46</v>
      </c>
      <c r="Z121" s="577">
        <f>Y121*'Unit Conversion Sheet'!$C$5</f>
        <v>174.1289428</v>
      </c>
      <c r="AB121" s="578">
        <f>IF('Start Page'!$Y$36=1,Y121,IF('Start Page'!$Y$36=2,Z121,IF('Start Page'!$Y$36=3,Y121)))</f>
        <v>46</v>
      </c>
      <c r="AD121" s="568">
        <f>IF(S121=1,(IF('Start Page'!$Y$36=1,$AB$39,IF('Start Page'!$Y$36=2,$AC$39,IF('Start Page'!$Y$36=3,$AB$39)))),'AWWA-Water Balance Data Transf.'!$D$41)</f>
        <v>70</v>
      </c>
      <c r="AE121" s="568" t="str">
        <f>'AWWA-Water Balance Data Transf.'!$E$41</f>
        <v>PSI</v>
      </c>
      <c r="AH121" s="579" t="str">
        <f t="shared" si="20"/>
        <v/>
      </c>
      <c r="AI121" s="580" t="str">
        <f>IF(C121=0,"",IF('Start Page'!$Y$36=1,($F121*60*24*J121)*(($G121/$AB$39)^$H121)/10^6,IF('Start Page'!$Y$36=2,($F121*60*24*J121)*(($G121/$AC$39)^$H121)/10^6,IF('Start Page'!$Y$36=3,('Unit Conversion Sheet'!$E$17*$F121*60*24*J121)*(($G121/$AB$39)^$H121)/10^6))))</f>
        <v/>
      </c>
      <c r="AJ121" s="580" t="str">
        <f t="shared" si="21"/>
        <v/>
      </c>
    </row>
    <row r="122" spans="1:39" ht="20.149999999999999" customHeight="1">
      <c r="A122" s="78"/>
      <c r="B122" s="353" t="str">
        <f>IF('Start Page'!$Y$36=2,"DN 250","Diameter 10''")</f>
        <v>Diameter 10''</v>
      </c>
      <c r="C122" s="623">
        <v>0</v>
      </c>
      <c r="D122" s="628">
        <v>0</v>
      </c>
      <c r="E122" s="153">
        <f t="shared" si="17"/>
        <v>0</v>
      </c>
      <c r="F122" s="155">
        <f t="shared" si="18"/>
        <v>46</v>
      </c>
      <c r="G122" s="344">
        <f>'AWWA-Water Balance Data Transf.'!$D$41</f>
        <v>0</v>
      </c>
      <c r="H122" s="154">
        <v>1</v>
      </c>
      <c r="I122" s="689">
        <v>0</v>
      </c>
      <c r="J122" s="1156">
        <v>0</v>
      </c>
      <c r="K122" s="1157"/>
      <c r="L122" s="155">
        <f>IF(SUM(I122:K122)&gt;'Start Page'!$K$35,'Start Page'!$K$35,SUM(I122:K122))</f>
        <v>0</v>
      </c>
      <c r="M122" s="155">
        <f>IF(ISERROR(IF(C122=0,0,IF('Start Page'!$Y$36=1,($F122*60*24*$L122)*(($G122/AD122)^$H122)/10^6,IF('Start Page'!$Y$36=2,($F122*60*24*$L122)*(($G122/AD122)^$H122)/10^6,IF('Start Page'!$Y$36=3,('Unit Conversion Sheet'!$E$17*$F122*60*24*$L122)*(($G122/AD122)^$H122)/10^6))))),0,IF(C122=0,0,IF('Start Page'!$Y$36=1,($F122*60*24*$L122)*(($G122/AD122)^$H122)/10^6,IF('Start Page'!$Y$36=2,($F122*60*24*$L122)*(($G122/AD122)^$H122)/10^6,IF('Start Page'!$Y$36=3,('Unit Conversion Sheet'!$E$17*$F122*60*24*$L122)*(($G122/AD122)^$H122)/10^6)))))</f>
        <v>0</v>
      </c>
      <c r="N122" s="156">
        <f t="shared" si="19"/>
        <v>0</v>
      </c>
      <c r="O122" s="354"/>
      <c r="P122" s="28"/>
      <c r="Q122" s="28"/>
      <c r="R122" s="627">
        <v>0</v>
      </c>
      <c r="S122" s="569">
        <v>1</v>
      </c>
      <c r="Y122" s="576">
        <v>46</v>
      </c>
      <c r="Z122" s="577">
        <f>Y122*'Unit Conversion Sheet'!$C$5</f>
        <v>174.1289428</v>
      </c>
      <c r="AB122" s="578">
        <f>IF('Start Page'!$Y$36=1,Y122,IF('Start Page'!$Y$36=2,Z122,IF('Start Page'!$Y$36=3,Y122)))</f>
        <v>46</v>
      </c>
      <c r="AD122" s="568">
        <f>IF(S122=1,(IF('Start Page'!$Y$36=1,$AB$39,IF('Start Page'!$Y$36=2,$AC$39,IF('Start Page'!$Y$36=3,$AB$39)))),'AWWA-Water Balance Data Transf.'!$D$41)</f>
        <v>70</v>
      </c>
      <c r="AE122" s="568" t="str">
        <f>'AWWA-Water Balance Data Transf.'!$E$41</f>
        <v>PSI</v>
      </c>
      <c r="AH122" s="579" t="str">
        <f t="shared" si="20"/>
        <v/>
      </c>
      <c r="AI122" s="580" t="str">
        <f>IF(C122=0,"",IF('Start Page'!$Y$36=1,($F122*60*24*J122)*(($G122/$AB$39)^$H122)/10^6,IF('Start Page'!$Y$36=2,($F122*60*24*J122)*(($G122/$AC$39)^$H122)/10^6,IF('Start Page'!$Y$36=3,('Unit Conversion Sheet'!$E$17*$F122*60*24*J122)*(($G122/$AB$39)^$H122)/10^6))))</f>
        <v/>
      </c>
      <c r="AJ122" s="580" t="str">
        <f t="shared" si="21"/>
        <v/>
      </c>
    </row>
    <row r="123" spans="1:39" ht="20.149999999999999" customHeight="1">
      <c r="A123" s="78"/>
      <c r="B123" s="353" t="str">
        <f>IF('Start Page'!$Y$36=2,"DN 300","Diameter 12''")</f>
        <v>Diameter 12''</v>
      </c>
      <c r="C123" s="623">
        <v>0</v>
      </c>
      <c r="D123" s="628">
        <v>0</v>
      </c>
      <c r="E123" s="153">
        <f t="shared" si="17"/>
        <v>0</v>
      </c>
      <c r="F123" s="155">
        <f t="shared" si="18"/>
        <v>111</v>
      </c>
      <c r="G123" s="344">
        <f>'AWWA-Water Balance Data Transf.'!$D$41</f>
        <v>0</v>
      </c>
      <c r="H123" s="154">
        <v>1</v>
      </c>
      <c r="I123" s="689">
        <v>0</v>
      </c>
      <c r="J123" s="1156">
        <v>0</v>
      </c>
      <c r="K123" s="1157"/>
      <c r="L123" s="155">
        <f>IF(SUM(I123:K123)&gt;'Start Page'!$K$35,'Start Page'!$K$35,SUM(I123:K123))</f>
        <v>0</v>
      </c>
      <c r="M123" s="155">
        <f>IF(ISERROR(IF(C123=0,0,IF('Start Page'!$Y$36=1,($F123*60*24*$L123)*(($G123/AD123)^$H123)/10^6,IF('Start Page'!$Y$36=2,($F123*60*24*$L123)*(($G123/AD123)^$H123)/10^6,IF('Start Page'!$Y$36=3,('Unit Conversion Sheet'!$E$17*$F123*60*24*$L123)*(($G123/AD123)^$H123)/10^6))))),0,IF(C123=0,0,IF('Start Page'!$Y$36=1,($F123*60*24*$L123)*(($G123/AD123)^$H123)/10^6,IF('Start Page'!$Y$36=2,($F123*60*24*$L123)*(($G123/AD123)^$H123)/10^6,IF('Start Page'!$Y$36=3,('Unit Conversion Sheet'!$E$17*$F123*60*24*$L123)*(($G123/AD123)^$H123)/10^6)))))</f>
        <v>0</v>
      </c>
      <c r="N123" s="156">
        <f t="shared" si="19"/>
        <v>0</v>
      </c>
      <c r="O123" s="354"/>
      <c r="P123" s="28"/>
      <c r="Q123" s="28"/>
      <c r="R123" s="627">
        <v>0</v>
      </c>
      <c r="S123" s="569">
        <v>1</v>
      </c>
      <c r="Y123" s="576">
        <v>111</v>
      </c>
      <c r="Z123" s="577">
        <f>Y123*'Unit Conversion Sheet'!$C$5</f>
        <v>420.18070979999999</v>
      </c>
      <c r="AB123" s="578">
        <f>IF('Start Page'!$Y$36=1,Y123,IF('Start Page'!$Y$36=2,Z123,IF('Start Page'!$Y$36=3,Y123)))</f>
        <v>111</v>
      </c>
      <c r="AD123" s="568">
        <f>IF(S123=1,(IF('Start Page'!$Y$36=1,$AB$39,IF('Start Page'!$Y$36=2,$AC$39,IF('Start Page'!$Y$36=3,$AB$39)))),'AWWA-Water Balance Data Transf.'!$D$41)</f>
        <v>70</v>
      </c>
      <c r="AE123" s="568" t="str">
        <f>'AWWA-Water Balance Data Transf.'!$E$41</f>
        <v>PSI</v>
      </c>
      <c r="AH123" s="579" t="str">
        <f t="shared" si="20"/>
        <v/>
      </c>
      <c r="AI123" s="580" t="str">
        <f>IF(C123=0,"",IF('Start Page'!$Y$36=1,($F123*60*24*J123)*(($G123/$AB$39)^$H123)/10^6,IF('Start Page'!$Y$36=2,($F123*60*24*J123)*(($G123/$AC$39)^$H123)/10^6,IF('Start Page'!$Y$36=3,('Unit Conversion Sheet'!$E$17*$F123*60*24*J123)*(($G123/$AB$39)^$H123)/10^6))))</f>
        <v/>
      </c>
      <c r="AJ123" s="580" t="str">
        <f t="shared" si="21"/>
        <v/>
      </c>
    </row>
    <row r="124" spans="1:39" ht="20.149999999999999" customHeight="1">
      <c r="A124" s="78"/>
      <c r="B124" s="353" t="str">
        <f>IF('Start Page'!$Y$36=2,"DN 350","Diameter 14''")</f>
        <v>Diameter 14''</v>
      </c>
      <c r="C124" s="623">
        <v>0</v>
      </c>
      <c r="D124" s="628">
        <v>0</v>
      </c>
      <c r="E124" s="153">
        <f t="shared" si="17"/>
        <v>0</v>
      </c>
      <c r="F124" s="155">
        <f t="shared" si="18"/>
        <v>111</v>
      </c>
      <c r="G124" s="344">
        <f>'AWWA-Water Balance Data Transf.'!$D$41</f>
        <v>0</v>
      </c>
      <c r="H124" s="154">
        <v>1</v>
      </c>
      <c r="I124" s="689">
        <v>0</v>
      </c>
      <c r="J124" s="1156">
        <v>0</v>
      </c>
      <c r="K124" s="1157"/>
      <c r="L124" s="155">
        <f>IF(SUM(I124:K124)&gt;'Start Page'!$K$35,'Start Page'!$K$35,SUM(I124:K124))</f>
        <v>0</v>
      </c>
      <c r="M124" s="155">
        <f>IF(ISERROR(IF(C124=0,0,IF('Start Page'!$Y$36=1,($F124*60*24*$L124)*(($G124/AD124)^$H124)/10^6,IF('Start Page'!$Y$36=2,($F124*60*24*$L124)*(($G124/AD124)^$H124)/10^6,IF('Start Page'!$Y$36=3,('Unit Conversion Sheet'!$E$17*$F124*60*24*$L124)*(($G124/AD124)^$H124)/10^6))))),0,IF(C124=0,0,IF('Start Page'!$Y$36=1,($F124*60*24*$L124)*(($G124/AD124)^$H124)/10^6,IF('Start Page'!$Y$36=2,($F124*60*24*$L124)*(($G124/AD124)^$H124)/10^6,IF('Start Page'!$Y$36=3,('Unit Conversion Sheet'!$E$17*$F124*60*24*$L124)*(($G124/AD124)^$H124)/10^6)))))</f>
        <v>0</v>
      </c>
      <c r="N124" s="156">
        <f t="shared" si="19"/>
        <v>0</v>
      </c>
      <c r="O124" s="354"/>
      <c r="P124" s="28"/>
      <c r="Q124" s="28"/>
      <c r="R124" s="627">
        <v>0</v>
      </c>
      <c r="S124" s="569">
        <v>1</v>
      </c>
      <c r="Y124" s="576">
        <v>111</v>
      </c>
      <c r="Z124" s="577">
        <f>Y124*'Unit Conversion Sheet'!$C$5</f>
        <v>420.18070979999999</v>
      </c>
      <c r="AB124" s="578">
        <f>IF('Start Page'!$Y$36=1,Y124,IF('Start Page'!$Y$36=2,Z124,IF('Start Page'!$Y$36=3,Y124)))</f>
        <v>111</v>
      </c>
      <c r="AD124" s="568">
        <f>IF(S124=1,(IF('Start Page'!$Y$36=1,$AB$39,IF('Start Page'!$Y$36=2,$AC$39,IF('Start Page'!$Y$36=3,$AB$39)))),'AWWA-Water Balance Data Transf.'!$D$41)</f>
        <v>70</v>
      </c>
      <c r="AE124" s="568" t="str">
        <f>'AWWA-Water Balance Data Transf.'!$E$41</f>
        <v>PSI</v>
      </c>
      <c r="AH124" s="579" t="str">
        <f t="shared" si="20"/>
        <v/>
      </c>
      <c r="AI124" s="580" t="str">
        <f>IF(C124=0,"",IF('Start Page'!$Y$36=1,($F124*60*24*J124)*(($G124/$AB$39)^$H124)/10^6,IF('Start Page'!$Y$36=2,($F124*60*24*J124)*(($G124/$AC$39)^$H124)/10^6,IF('Start Page'!$Y$36=3,('Unit Conversion Sheet'!$E$17*$F124*60*24*J124)*(($G124/$AB$39)^$H124)/10^6))))</f>
        <v/>
      </c>
      <c r="AJ124" s="580" t="str">
        <f t="shared" si="21"/>
        <v/>
      </c>
    </row>
    <row r="125" spans="1:39" ht="20.149999999999999" customHeight="1">
      <c r="A125" s="78"/>
      <c r="B125" s="353" t="str">
        <f>IF('Start Page'!$Y$36=2,"DN 400","Diameter 16''")</f>
        <v>Diameter 16''</v>
      </c>
      <c r="C125" s="623">
        <v>0</v>
      </c>
      <c r="D125" s="628">
        <v>0</v>
      </c>
      <c r="E125" s="153">
        <f t="shared" si="17"/>
        <v>0</v>
      </c>
      <c r="F125" s="155">
        <f t="shared" si="18"/>
        <v>111</v>
      </c>
      <c r="G125" s="344">
        <f>'AWWA-Water Balance Data Transf.'!$D$41</f>
        <v>0</v>
      </c>
      <c r="H125" s="154">
        <v>1</v>
      </c>
      <c r="I125" s="689">
        <v>0</v>
      </c>
      <c r="J125" s="1156">
        <v>0</v>
      </c>
      <c r="K125" s="1157"/>
      <c r="L125" s="155">
        <f>IF(SUM(I125:K125)&gt;'Start Page'!$K$35,'Start Page'!$K$35,SUM(I125:K125))</f>
        <v>0</v>
      </c>
      <c r="M125" s="155">
        <f>IF(ISERROR(IF(C125=0,0,IF('Start Page'!$Y$36=1,($F125*60*24*$L125)*(($G125/AD125)^$H125)/10^6,IF('Start Page'!$Y$36=2,($F125*60*24*$L125)*(($G125/AD125)^$H125)/10^6,IF('Start Page'!$Y$36=3,('Unit Conversion Sheet'!$E$17*$F125*60*24*$L125)*(($G125/AD125)^$H125)/10^6))))),0,IF(C125=0,0,IF('Start Page'!$Y$36=1,($F125*60*24*$L125)*(($G125/AD125)^$H125)/10^6,IF('Start Page'!$Y$36=2,($F125*60*24*$L125)*(($G125/AD125)^$H125)/10^6,IF('Start Page'!$Y$36=3,('Unit Conversion Sheet'!$E$17*$F125*60*24*$L125)*(($G125/AD125)^$H125)/10^6)))))</f>
        <v>0</v>
      </c>
      <c r="N125" s="156">
        <f t="shared" si="19"/>
        <v>0</v>
      </c>
      <c r="O125" s="354"/>
      <c r="P125" s="28"/>
      <c r="Q125" s="28"/>
      <c r="R125" s="627">
        <v>0</v>
      </c>
      <c r="S125" s="569">
        <v>1</v>
      </c>
      <c r="Y125" s="576">
        <v>111</v>
      </c>
      <c r="Z125" s="577">
        <f>Y125*'Unit Conversion Sheet'!$C$5</f>
        <v>420.18070979999999</v>
      </c>
      <c r="AB125" s="578">
        <f>IF('Start Page'!$Y$36=1,Y125,IF('Start Page'!$Y$36=2,Z125,IF('Start Page'!$Y$36=3,Y125)))</f>
        <v>111</v>
      </c>
      <c r="AD125" s="568">
        <f>IF(S125=1,(IF('Start Page'!$Y$36=1,$AB$39,IF('Start Page'!$Y$36=2,$AC$39,IF('Start Page'!$Y$36=3,$AB$39)))),'AWWA-Water Balance Data Transf.'!$D$41)</f>
        <v>70</v>
      </c>
      <c r="AE125" s="568" t="str">
        <f>'AWWA-Water Balance Data Transf.'!$E$41</f>
        <v>PSI</v>
      </c>
      <c r="AH125" s="579" t="str">
        <f t="shared" si="20"/>
        <v/>
      </c>
      <c r="AI125" s="580" t="str">
        <f>IF(C125=0,"",IF('Start Page'!$Y$36=1,($F125*60*24*J125)*(($G125/$AB$39)^$H125)/10^6,IF('Start Page'!$Y$36=2,($F125*60*24*J125)*(($G125/$AC$39)^$H125)/10^6,IF('Start Page'!$Y$36=3,('Unit Conversion Sheet'!$E$17*$F125*60*24*J125)*(($G125/$AB$39)^$H125)/10^6))))</f>
        <v/>
      </c>
      <c r="AJ125" s="580" t="str">
        <f t="shared" si="21"/>
        <v/>
      </c>
    </row>
    <row r="126" spans="1:39" ht="20.149999999999999" customHeight="1">
      <c r="A126" s="78"/>
      <c r="B126" s="353" t="str">
        <f>IF('Start Page'!$Y$36=2,"DN 450","Diameter 18''")</f>
        <v>Diameter 18''</v>
      </c>
      <c r="C126" s="623">
        <v>0</v>
      </c>
      <c r="D126" s="628">
        <v>0</v>
      </c>
      <c r="E126" s="153">
        <f t="shared" si="17"/>
        <v>0</v>
      </c>
      <c r="F126" s="155">
        <f t="shared" si="18"/>
        <v>111</v>
      </c>
      <c r="G126" s="344">
        <f>'AWWA-Water Balance Data Transf.'!$D$41</f>
        <v>0</v>
      </c>
      <c r="H126" s="154">
        <v>1</v>
      </c>
      <c r="I126" s="689">
        <v>0</v>
      </c>
      <c r="J126" s="1156">
        <v>0</v>
      </c>
      <c r="K126" s="1157"/>
      <c r="L126" s="155">
        <f>IF(SUM(I126:K126)&gt;'Start Page'!$K$35,'Start Page'!$K$35,SUM(I126:K126))</f>
        <v>0</v>
      </c>
      <c r="M126" s="155">
        <f>IF(ISERROR(IF(C126=0,0,IF('Start Page'!$Y$36=1,($F126*60*24*$L126)*(($G126/AD126)^$H126)/10^6,IF('Start Page'!$Y$36=2,($F126*60*24*$L126)*(($G126/AD126)^$H126)/10^6,IF('Start Page'!$Y$36=3,('Unit Conversion Sheet'!$E$17*$F126*60*24*$L126)*(($G126/AD126)^$H126)/10^6))))),0,IF(C126=0,0,IF('Start Page'!$Y$36=1,($F126*60*24*$L126)*(($G126/AD126)^$H126)/10^6,IF('Start Page'!$Y$36=2,($F126*60*24*$L126)*(($G126/AD126)^$H126)/10^6,IF('Start Page'!$Y$36=3,('Unit Conversion Sheet'!$E$17*$F126*60*24*$L126)*(($G126/AD126)^$H126)/10^6)))))</f>
        <v>0</v>
      </c>
      <c r="N126" s="156">
        <f t="shared" si="19"/>
        <v>0</v>
      </c>
      <c r="O126" s="354"/>
      <c r="P126" s="28"/>
      <c r="Q126" s="28"/>
      <c r="R126" s="627">
        <v>0</v>
      </c>
      <c r="S126" s="569">
        <v>1</v>
      </c>
      <c r="Y126" s="576">
        <v>111</v>
      </c>
      <c r="Z126" s="577">
        <f>Y126*'Unit Conversion Sheet'!$C$5</f>
        <v>420.18070979999999</v>
      </c>
      <c r="AB126" s="578">
        <f>IF('Start Page'!$Y$36=1,Y126,IF('Start Page'!$Y$36=2,Z126,IF('Start Page'!$Y$36=3,Y126)))</f>
        <v>111</v>
      </c>
      <c r="AD126" s="568">
        <f>IF(S126=1,(IF('Start Page'!$Y$36=1,$AB$39,IF('Start Page'!$Y$36=2,$AC$39,IF('Start Page'!$Y$36=3,$AB$39)))),'AWWA-Water Balance Data Transf.'!$D$41)</f>
        <v>70</v>
      </c>
      <c r="AE126" s="568" t="str">
        <f>'AWWA-Water Balance Data Transf.'!$E$41</f>
        <v>PSI</v>
      </c>
      <c r="AH126" s="579" t="str">
        <f t="shared" si="20"/>
        <v/>
      </c>
      <c r="AI126" s="580" t="str">
        <f>IF(C126=0,"",IF('Start Page'!$Y$36=1,($F126*60*24*J126)*(($G126/$AB$39)^$H126)/10^6,IF('Start Page'!$Y$36=2,($F126*60*24*J126)*(($G126/$AC$39)^$H126)/10^6,IF('Start Page'!$Y$36=3,('Unit Conversion Sheet'!$E$17*$F126*60*24*J126)*(($G126/$AB$39)^$H126)/10^6))))</f>
        <v/>
      </c>
      <c r="AJ126" s="580" t="str">
        <f t="shared" si="21"/>
        <v/>
      </c>
    </row>
    <row r="127" spans="1:39" ht="20.149999999999999" customHeight="1">
      <c r="A127" s="78"/>
      <c r="B127" s="353" t="str">
        <f>IF('Start Page'!$Y$36=2,"DN 500","Diameter 20''")</f>
        <v>Diameter 20''</v>
      </c>
      <c r="C127" s="623">
        <v>0</v>
      </c>
      <c r="D127" s="628">
        <v>0</v>
      </c>
      <c r="E127" s="153">
        <f t="shared" si="17"/>
        <v>0</v>
      </c>
      <c r="F127" s="155">
        <f t="shared" si="18"/>
        <v>111</v>
      </c>
      <c r="G127" s="344">
        <f>'AWWA-Water Balance Data Transf.'!$D$41</f>
        <v>0</v>
      </c>
      <c r="H127" s="154">
        <v>1</v>
      </c>
      <c r="I127" s="689">
        <v>0</v>
      </c>
      <c r="J127" s="1156">
        <v>0</v>
      </c>
      <c r="K127" s="1157"/>
      <c r="L127" s="155">
        <f>IF(SUM(I127:K127)&gt;'Start Page'!$K$35,'Start Page'!$K$35,SUM(I127:K127))</f>
        <v>0</v>
      </c>
      <c r="M127" s="155">
        <f>IF(ISERROR(IF(C127=0,0,IF('Start Page'!$Y$36=1,($F127*60*24*$L127)*(($G127/AD127)^$H127)/10^6,IF('Start Page'!$Y$36=2,($F127*60*24*$L127)*(($G127/AD127)^$H127)/10^6,IF('Start Page'!$Y$36=3,('Unit Conversion Sheet'!$E$17*$F127*60*24*$L127)*(($G127/AD127)^$H127)/10^6))))),0,IF(C127=0,0,IF('Start Page'!$Y$36=1,($F127*60*24*$L127)*(($G127/AD127)^$H127)/10^6,IF('Start Page'!$Y$36=2,($F127*60*24*$L127)*(($G127/AD127)^$H127)/10^6,IF('Start Page'!$Y$36=3,('Unit Conversion Sheet'!$E$17*$F127*60*24*$L127)*(($G127/AD127)^$H127)/10^6)))))</f>
        <v>0</v>
      </c>
      <c r="N127" s="156">
        <f t="shared" si="19"/>
        <v>0</v>
      </c>
      <c r="O127" s="354"/>
      <c r="P127" s="28"/>
      <c r="Q127" s="28"/>
      <c r="R127" s="627">
        <v>0</v>
      </c>
      <c r="S127" s="569">
        <v>1</v>
      </c>
      <c r="Y127" s="576">
        <v>111</v>
      </c>
      <c r="Z127" s="577">
        <f>Y127*'Unit Conversion Sheet'!$C$5</f>
        <v>420.18070979999999</v>
      </c>
      <c r="AB127" s="578">
        <f>IF('Start Page'!$Y$36=1,Y127,IF('Start Page'!$Y$36=2,Z127,IF('Start Page'!$Y$36=3,Y127)))</f>
        <v>111</v>
      </c>
      <c r="AD127" s="568">
        <f>IF(S127=1,(IF('Start Page'!$Y$36=1,$AB$39,IF('Start Page'!$Y$36=2,$AC$39,IF('Start Page'!$Y$36=3,$AB$39)))),'AWWA-Water Balance Data Transf.'!$D$41)</f>
        <v>70</v>
      </c>
      <c r="AE127" s="568" t="str">
        <f>'AWWA-Water Balance Data Transf.'!$E$41</f>
        <v>PSI</v>
      </c>
      <c r="AH127" s="579" t="str">
        <f t="shared" si="20"/>
        <v/>
      </c>
      <c r="AI127" s="580" t="str">
        <f>IF(C127=0,"",IF('Start Page'!$Y$36=1,($F127*60*24*J127)*(($G127/$AB$39)^$H127)/10^6,IF('Start Page'!$Y$36=2,($F127*60*24*J127)*(($G127/$AC$39)^$H127)/10^6,IF('Start Page'!$Y$36=3,('Unit Conversion Sheet'!$E$17*$F127*60*24*J127)*(($G127/$AB$39)^$H127)/10^6))))</f>
        <v/>
      </c>
      <c r="AJ127" s="580" t="str">
        <f t="shared" si="21"/>
        <v/>
      </c>
    </row>
    <row r="128" spans="1:39" ht="20.149999999999999" customHeight="1">
      <c r="A128" s="78"/>
      <c r="B128" s="353" t="str">
        <f>IF('Start Page'!$Y$36=2,"DN 600","Diameter 24''")</f>
        <v>Diameter 24''</v>
      </c>
      <c r="C128" s="623">
        <v>0</v>
      </c>
      <c r="D128" s="628">
        <v>0</v>
      </c>
      <c r="E128" s="153">
        <f t="shared" si="17"/>
        <v>0</v>
      </c>
      <c r="F128" s="155">
        <f t="shared" si="18"/>
        <v>111</v>
      </c>
      <c r="G128" s="344">
        <f>'AWWA-Water Balance Data Transf.'!$D$41</f>
        <v>0</v>
      </c>
      <c r="H128" s="154">
        <v>1</v>
      </c>
      <c r="I128" s="689">
        <v>0</v>
      </c>
      <c r="J128" s="1156">
        <v>0</v>
      </c>
      <c r="K128" s="1157"/>
      <c r="L128" s="155">
        <f>IF(SUM(I128:K128)&gt;'Start Page'!$K$35,'Start Page'!$K$35,SUM(I128:K128))</f>
        <v>0</v>
      </c>
      <c r="M128" s="155">
        <f>IF(ISERROR(IF(C128=0,0,IF('Start Page'!$Y$36=1,($F128*60*24*$L128)*(($G128/AD128)^$H128)/10^6,IF('Start Page'!$Y$36=2,($F128*60*24*$L128)*(($G128/AD128)^$H128)/10^6,IF('Start Page'!$Y$36=3,('Unit Conversion Sheet'!$E$17*$F128*60*24*$L128)*(($G128/AD128)^$H128)/10^6))))),0,IF(C128=0,0,IF('Start Page'!$Y$36=1,($F128*60*24*$L128)*(($G128/AD128)^$H128)/10^6,IF('Start Page'!$Y$36=2,($F128*60*24*$L128)*(($G128/AD128)^$H128)/10^6,IF('Start Page'!$Y$36=3,('Unit Conversion Sheet'!$E$17*$F128*60*24*$L128)*(($G128/AD128)^$H128)/10^6)))))</f>
        <v>0</v>
      </c>
      <c r="N128" s="156">
        <f t="shared" si="19"/>
        <v>0</v>
      </c>
      <c r="O128" s="354"/>
      <c r="P128" s="28"/>
      <c r="Q128" s="28"/>
      <c r="R128" s="627">
        <v>0</v>
      </c>
      <c r="S128" s="569">
        <v>1</v>
      </c>
      <c r="Y128" s="576">
        <v>111</v>
      </c>
      <c r="Z128" s="577">
        <f>Y128*'Unit Conversion Sheet'!$C$5</f>
        <v>420.18070979999999</v>
      </c>
      <c r="AB128" s="578">
        <f>IF('Start Page'!$Y$36=1,Y128,IF('Start Page'!$Y$36=2,Z128,IF('Start Page'!$Y$36=3,Y128)))</f>
        <v>111</v>
      </c>
      <c r="AD128" s="568">
        <f>IF(S128=1,(IF('Start Page'!$Y$36=1,$AB$39,IF('Start Page'!$Y$36=2,$AC$39,IF('Start Page'!$Y$36=3,$AB$39)))),'AWWA-Water Balance Data Transf.'!$D$41)</f>
        <v>70</v>
      </c>
      <c r="AE128" s="568" t="str">
        <f>'AWWA-Water Balance Data Transf.'!$E$41</f>
        <v>PSI</v>
      </c>
      <c r="AH128" s="579" t="str">
        <f t="shared" si="20"/>
        <v/>
      </c>
      <c r="AI128" s="580" t="str">
        <f>IF(C128=0,"",IF('Start Page'!$Y$36=1,($F128*60*24*J128)*(($G128/$AB$39)^$H128)/10^6,IF('Start Page'!$Y$36=2,($F128*60*24*J128)*(($G128/$AC$39)^$H128)/10^6,IF('Start Page'!$Y$36=3,('Unit Conversion Sheet'!$E$17*$F128*60*24*J128)*(($G128/$AB$39)^$H128)/10^6))))</f>
        <v/>
      </c>
      <c r="AJ128" s="580" t="str">
        <f t="shared" si="21"/>
        <v/>
      </c>
    </row>
    <row r="129" spans="1:38" ht="20.149999999999999" customHeight="1">
      <c r="A129" s="78"/>
      <c r="B129" s="353" t="str">
        <f>IF('Start Page'!$Y$36=2,"DN 750","Diameter 30''")</f>
        <v>Diameter 30''</v>
      </c>
      <c r="C129" s="623">
        <v>0</v>
      </c>
      <c r="D129" s="628">
        <v>0</v>
      </c>
      <c r="E129" s="153">
        <f t="shared" si="17"/>
        <v>0</v>
      </c>
      <c r="F129" s="155">
        <f t="shared" si="18"/>
        <v>111</v>
      </c>
      <c r="G129" s="344">
        <f>'AWWA-Water Balance Data Transf.'!$D$41</f>
        <v>0</v>
      </c>
      <c r="H129" s="154">
        <v>1</v>
      </c>
      <c r="I129" s="689">
        <v>0</v>
      </c>
      <c r="J129" s="1156">
        <v>0</v>
      </c>
      <c r="K129" s="1157"/>
      <c r="L129" s="155">
        <f>IF(SUM(I129:K129)&gt;'Start Page'!$K$35,'Start Page'!$K$35,SUM(I129:K129))</f>
        <v>0</v>
      </c>
      <c r="M129" s="155">
        <f>IF(ISERROR(IF(C129=0,0,IF('Start Page'!$Y$36=1,($F129*60*24*$L129)*(($G129/AD129)^$H129)/10^6,IF('Start Page'!$Y$36=2,($F129*60*24*$L129)*(($G129/AD129)^$H129)/10^6,IF('Start Page'!$Y$36=3,('Unit Conversion Sheet'!$E$17*$F129*60*24*$L129)*(($G129/AD129)^$H129)/10^6))))),0,IF(C129=0,0,IF('Start Page'!$Y$36=1,($F129*60*24*$L129)*(($G129/AD129)^$H129)/10^6,IF('Start Page'!$Y$36=2,($F129*60*24*$L129)*(($G129/AD129)^$H129)/10^6,IF('Start Page'!$Y$36=3,('Unit Conversion Sheet'!$E$17*$F129*60*24*$L129)*(($G129/AD129)^$H129)/10^6)))))</f>
        <v>0</v>
      </c>
      <c r="N129" s="156">
        <f t="shared" si="19"/>
        <v>0</v>
      </c>
      <c r="O129" s="354"/>
      <c r="P129" s="28"/>
      <c r="Q129" s="28"/>
      <c r="R129" s="627">
        <v>0</v>
      </c>
      <c r="S129" s="569">
        <v>1</v>
      </c>
      <c r="Y129" s="576">
        <v>111</v>
      </c>
      <c r="Z129" s="577">
        <f>Y129*'Unit Conversion Sheet'!$C$5</f>
        <v>420.18070979999999</v>
      </c>
      <c r="AB129" s="578">
        <f>IF('Start Page'!$Y$36=1,Y129,IF('Start Page'!$Y$36=2,Z129,IF('Start Page'!$Y$36=3,Y129)))</f>
        <v>111</v>
      </c>
      <c r="AD129" s="568">
        <f>IF(S129=1,(IF('Start Page'!$Y$36=1,$AB$39,IF('Start Page'!$Y$36=2,$AC$39,IF('Start Page'!$Y$36=3,$AB$39)))),'AWWA-Water Balance Data Transf.'!$D$41)</f>
        <v>70</v>
      </c>
      <c r="AE129" s="568" t="str">
        <f>'AWWA-Water Balance Data Transf.'!$E$41</f>
        <v>PSI</v>
      </c>
      <c r="AH129" s="579" t="str">
        <f t="shared" si="20"/>
        <v/>
      </c>
      <c r="AI129" s="580" t="str">
        <f>IF(C129=0,"",IF('Start Page'!$Y$36=1,($F129*60*24*J129)*(($G129/$AB$39)^$H129)/10^6,IF('Start Page'!$Y$36=2,($F129*60*24*J129)*(($G129/$AC$39)^$H129)/10^6,IF('Start Page'!$Y$36=3,('Unit Conversion Sheet'!$E$17*$F129*60*24*J129)*(($G129/$AB$39)^$H129)/10^6))))</f>
        <v/>
      </c>
      <c r="AJ129" s="580" t="str">
        <f t="shared" si="21"/>
        <v/>
      </c>
    </row>
    <row r="130" spans="1:38" ht="20.149999999999999" customHeight="1">
      <c r="A130" s="78"/>
      <c r="B130" s="353" t="str">
        <f>IF('Start Page'!$Y$36=2,"DN 900","Diameter 36''")</f>
        <v>Diameter 36''</v>
      </c>
      <c r="C130" s="623">
        <v>0</v>
      </c>
      <c r="D130" s="628">
        <v>0</v>
      </c>
      <c r="E130" s="153">
        <f t="shared" si="17"/>
        <v>0</v>
      </c>
      <c r="F130" s="155">
        <f t="shared" si="18"/>
        <v>111</v>
      </c>
      <c r="G130" s="344">
        <f>'AWWA-Water Balance Data Transf.'!$D$41</f>
        <v>0</v>
      </c>
      <c r="H130" s="154">
        <v>1</v>
      </c>
      <c r="I130" s="689">
        <v>0</v>
      </c>
      <c r="J130" s="1156">
        <v>0</v>
      </c>
      <c r="K130" s="1157"/>
      <c r="L130" s="155">
        <f>IF(SUM(I130:K130)&gt;'Start Page'!$K$35,'Start Page'!$K$35,SUM(I130:K130))</f>
        <v>0</v>
      </c>
      <c r="M130" s="155">
        <f>IF(ISERROR(IF(C130=0,0,IF('Start Page'!$Y$36=1,($F130*60*24*$L130)*(($G130/AD130)^$H130)/10^6,IF('Start Page'!$Y$36=2,($F130*60*24*$L130)*(($G130/AD130)^$H130)/10^6,IF('Start Page'!$Y$36=3,('Unit Conversion Sheet'!$E$17*$F130*60*24*$L130)*(($G130/AD130)^$H130)/10^6))))),0,IF(C130=0,0,IF('Start Page'!$Y$36=1,($F130*60*24*$L130)*(($G130/AD130)^$H130)/10^6,IF('Start Page'!$Y$36=2,($F130*60*24*$L130)*(($G130/AD130)^$H130)/10^6,IF('Start Page'!$Y$36=3,('Unit Conversion Sheet'!$E$17*$F130*60*24*$L130)*(($G130/AD130)^$H130)/10^6)))))</f>
        <v>0</v>
      </c>
      <c r="N130" s="156">
        <f t="shared" si="19"/>
        <v>0</v>
      </c>
      <c r="O130" s="354"/>
      <c r="P130" s="28"/>
      <c r="Q130" s="28"/>
      <c r="R130" s="627">
        <v>0</v>
      </c>
      <c r="S130" s="569">
        <v>1</v>
      </c>
      <c r="Y130" s="576">
        <v>111</v>
      </c>
      <c r="Z130" s="577">
        <f>Y130*'Unit Conversion Sheet'!$C$5</f>
        <v>420.18070979999999</v>
      </c>
      <c r="AB130" s="578">
        <f>IF('Start Page'!$Y$36=1,Y130,IF('Start Page'!$Y$36=2,Z130,IF('Start Page'!$Y$36=3,Y130)))</f>
        <v>111</v>
      </c>
      <c r="AD130" s="568">
        <f>IF(S130=1,(IF('Start Page'!$Y$36=1,$AB$39,IF('Start Page'!$Y$36=2,$AC$39,IF('Start Page'!$Y$36=3,$AB$39)))),'AWWA-Water Balance Data Transf.'!$D$41)</f>
        <v>70</v>
      </c>
      <c r="AE130" s="568" t="str">
        <f>'AWWA-Water Balance Data Transf.'!$E$41</f>
        <v>PSI</v>
      </c>
      <c r="AH130" s="579" t="str">
        <f t="shared" si="20"/>
        <v/>
      </c>
      <c r="AI130" s="580" t="str">
        <f>IF(C130=0,"",IF('Start Page'!$Y$36=1,($F130*60*24*J130)*(($G130/$AB$39)^$H130)/10^6,IF('Start Page'!$Y$36=2,($F130*60*24*J130)*(($G130/$AC$39)^$H130)/10^6,IF('Start Page'!$Y$36=3,('Unit Conversion Sheet'!$E$17*$F130*60*24*J130)*(($G130/$AB$39)^$H130)/10^6))))</f>
        <v/>
      </c>
      <c r="AJ130" s="580" t="str">
        <f t="shared" si="21"/>
        <v/>
      </c>
    </row>
    <row r="131" spans="1:38" ht="20.149999999999999" customHeight="1">
      <c r="A131" s="78"/>
      <c r="B131" s="353" t="str">
        <f>IF('Start Page'!$Y$36=2,"DN 1050","Diameter 42''")</f>
        <v>Diameter 42''</v>
      </c>
      <c r="C131" s="623">
        <v>0</v>
      </c>
      <c r="D131" s="628">
        <v>0</v>
      </c>
      <c r="E131" s="153">
        <f t="shared" si="17"/>
        <v>0</v>
      </c>
      <c r="F131" s="155">
        <f t="shared" si="18"/>
        <v>111</v>
      </c>
      <c r="G131" s="344">
        <f>'AWWA-Water Balance Data Transf.'!$D$41</f>
        <v>0</v>
      </c>
      <c r="H131" s="154">
        <v>1</v>
      </c>
      <c r="I131" s="689">
        <v>0</v>
      </c>
      <c r="J131" s="1156">
        <v>0</v>
      </c>
      <c r="K131" s="1157"/>
      <c r="L131" s="155">
        <f>IF(SUM(I131:K131)&gt;'Start Page'!$K$35,'Start Page'!$K$35,SUM(I131:K131))</f>
        <v>0</v>
      </c>
      <c r="M131" s="155">
        <f>IF(ISERROR(IF(C131=0,0,IF('Start Page'!$Y$36=1,($F131*60*24*$L131)*(($G131/AD131)^$H131)/10^6,IF('Start Page'!$Y$36=2,($F131*60*24*$L131)*(($G131/AD131)^$H131)/10^6,IF('Start Page'!$Y$36=3,('Unit Conversion Sheet'!$E$17*$F131*60*24*$L131)*(($G131/AD131)^$H131)/10^6))))),0,IF(C131=0,0,IF('Start Page'!$Y$36=1,($F131*60*24*$L131)*(($G131/AD131)^$H131)/10^6,IF('Start Page'!$Y$36=2,($F131*60*24*$L131)*(($G131/AD131)^$H131)/10^6,IF('Start Page'!$Y$36=3,('Unit Conversion Sheet'!$E$17*$F131*60*24*$L131)*(($G131/AD131)^$H131)/10^6)))))</f>
        <v>0</v>
      </c>
      <c r="N131" s="156">
        <f t="shared" si="19"/>
        <v>0</v>
      </c>
      <c r="O131" s="354"/>
      <c r="P131" s="28"/>
      <c r="Q131" s="28"/>
      <c r="R131" s="627">
        <v>0</v>
      </c>
      <c r="S131" s="569">
        <v>1</v>
      </c>
      <c r="Y131" s="576">
        <v>111</v>
      </c>
      <c r="Z131" s="577">
        <f>Y131*'Unit Conversion Sheet'!$C$5</f>
        <v>420.18070979999999</v>
      </c>
      <c r="AB131" s="578">
        <f>IF('Start Page'!$Y$36=1,Y131,IF('Start Page'!$Y$36=2,Z131,IF('Start Page'!$Y$36=3,Y131)))</f>
        <v>111</v>
      </c>
      <c r="AD131" s="568">
        <f>IF(S131=1,(IF('Start Page'!$Y$36=1,$AB$39,IF('Start Page'!$Y$36=2,$AC$39,IF('Start Page'!$Y$36=3,$AB$39)))),'AWWA-Water Balance Data Transf.'!$D$41)</f>
        <v>70</v>
      </c>
      <c r="AE131" s="568" t="str">
        <f>'AWWA-Water Balance Data Transf.'!$E$41</f>
        <v>PSI</v>
      </c>
      <c r="AH131" s="579" t="str">
        <f t="shared" si="20"/>
        <v/>
      </c>
      <c r="AI131" s="580" t="str">
        <f>IF(C131=0,"",IF('Start Page'!$Y$36=1,($F131*60*24*J131)*(($G131/$AB$39)^$H131)/10^6,IF('Start Page'!$Y$36=2,($F131*60*24*J131)*(($G131/$AC$39)^$H131)/10^6,IF('Start Page'!$Y$36=3,('Unit Conversion Sheet'!$E$17*$F131*60*24*J131)*(($G131/$AB$39)^$H131)/10^6))))</f>
        <v/>
      </c>
      <c r="AJ131" s="580" t="str">
        <f t="shared" si="21"/>
        <v/>
      </c>
    </row>
    <row r="132" spans="1:38" ht="20.149999999999999" customHeight="1">
      <c r="A132" s="78"/>
      <c r="B132" s="353" t="str">
        <f>IF('Start Page'!$Y$36=2,"DN 1200","Diameter 48''")</f>
        <v>Diameter 48''</v>
      </c>
      <c r="C132" s="623">
        <v>0</v>
      </c>
      <c r="D132" s="628">
        <v>0</v>
      </c>
      <c r="E132" s="153">
        <f t="shared" si="17"/>
        <v>0</v>
      </c>
      <c r="F132" s="155">
        <f t="shared" si="18"/>
        <v>111</v>
      </c>
      <c r="G132" s="344">
        <f>'AWWA-Water Balance Data Transf.'!$D$41</f>
        <v>0</v>
      </c>
      <c r="H132" s="154">
        <v>1</v>
      </c>
      <c r="I132" s="689">
        <v>0</v>
      </c>
      <c r="J132" s="1156">
        <v>0</v>
      </c>
      <c r="K132" s="1157"/>
      <c r="L132" s="155">
        <f>IF(SUM(I132:K132)&gt;'Start Page'!$K$35,'Start Page'!$K$35,SUM(I132:K132))</f>
        <v>0</v>
      </c>
      <c r="M132" s="155">
        <f>IF(ISERROR(IF(C132=0,0,IF('Start Page'!$Y$36=1,($F132*60*24*$L132)*(($G132/AD132)^$H132)/10^6,IF('Start Page'!$Y$36=2,($F132*60*24*$L132)*(($G132/AD132)^$H132)/10^6,IF('Start Page'!$Y$36=3,('Unit Conversion Sheet'!$E$17*$F132*60*24*$L132)*(($G132/AD132)^$H132)/10^6))))),0,IF(C132=0,0,IF('Start Page'!$Y$36=1,($F132*60*24*$L132)*(($G132/AD132)^$H132)/10^6,IF('Start Page'!$Y$36=2,($F132*60*24*$L132)*(($G132/AD132)^$H132)/10^6,IF('Start Page'!$Y$36=3,('Unit Conversion Sheet'!$E$17*$F132*60*24*$L132)*(($G132/AD132)^$H132)/10^6)))))</f>
        <v>0</v>
      </c>
      <c r="N132" s="156">
        <f t="shared" si="19"/>
        <v>0</v>
      </c>
      <c r="O132" s="354"/>
      <c r="P132" s="28"/>
      <c r="Q132" s="28"/>
      <c r="R132" s="627">
        <v>0</v>
      </c>
      <c r="S132" s="569">
        <v>1</v>
      </c>
      <c r="Y132" s="576">
        <v>111</v>
      </c>
      <c r="Z132" s="577">
        <f>Y132*'Unit Conversion Sheet'!$C$5</f>
        <v>420.18070979999999</v>
      </c>
      <c r="AB132" s="578">
        <f>IF('Start Page'!$Y$36=1,Y132,IF('Start Page'!$Y$36=2,Z132,IF('Start Page'!$Y$36=3,Y132)))</f>
        <v>111</v>
      </c>
      <c r="AD132" s="568">
        <f>IF(S132=1,(IF('Start Page'!$Y$36=1,$AB$39,IF('Start Page'!$Y$36=2,$AC$39,IF('Start Page'!$Y$36=3,$AB$39)))),'AWWA-Water Balance Data Transf.'!$D$41)</f>
        <v>70</v>
      </c>
      <c r="AE132" s="568" t="str">
        <f>'AWWA-Water Balance Data Transf.'!$E$41</f>
        <v>PSI</v>
      </c>
      <c r="AH132" s="579" t="str">
        <f t="shared" si="20"/>
        <v/>
      </c>
      <c r="AI132" s="580" t="str">
        <f>IF(C132=0,"",IF('Start Page'!$Y$36=1,($F132*60*24*J132)*(($G132/$AB$39)^$H132)/10^6,IF('Start Page'!$Y$36=2,($F132*60*24*J132)*(($G132/$AC$39)^$H132)/10^6,IF('Start Page'!$Y$36=3,('Unit Conversion Sheet'!$E$17*$F132*60*24*J132)*(($G132/$AB$39)^$H132)/10^6))))</f>
        <v/>
      </c>
      <c r="AJ132" s="580" t="str">
        <f t="shared" si="21"/>
        <v/>
      </c>
    </row>
    <row r="133" spans="1:38" ht="20.149999999999999" customHeight="1">
      <c r="A133" s="78"/>
      <c r="B133" s="353" t="str">
        <f>IF('Start Page'!$Y$36=2,"DN 1350","Diameter 54''")</f>
        <v>Diameter 54''</v>
      </c>
      <c r="C133" s="623">
        <v>0</v>
      </c>
      <c r="D133" s="628">
        <v>0</v>
      </c>
      <c r="E133" s="153">
        <f t="shared" si="17"/>
        <v>0</v>
      </c>
      <c r="F133" s="155">
        <f t="shared" si="18"/>
        <v>111</v>
      </c>
      <c r="G133" s="344">
        <f>'AWWA-Water Balance Data Transf.'!$D$41</f>
        <v>0</v>
      </c>
      <c r="H133" s="154">
        <v>1</v>
      </c>
      <c r="I133" s="689">
        <v>0</v>
      </c>
      <c r="J133" s="1156">
        <v>0</v>
      </c>
      <c r="K133" s="1157"/>
      <c r="L133" s="155">
        <f>IF(SUM(I133:K133)&gt;'Start Page'!$K$35,'Start Page'!$K$35,SUM(I133:K133))</f>
        <v>0</v>
      </c>
      <c r="M133" s="155">
        <f>IF(ISERROR(IF(C133=0,0,IF('Start Page'!$Y$36=1,($F133*60*24*$L133)*(($G133/AD133)^$H133)/10^6,IF('Start Page'!$Y$36=2,($F133*60*24*$L133)*(($G133/AD133)^$H133)/10^6,IF('Start Page'!$Y$36=3,('Unit Conversion Sheet'!$E$17*$F133*60*24*$L133)*(($G133/AD133)^$H133)/10^6))))),0,IF(C133=0,0,IF('Start Page'!$Y$36=1,($F133*60*24*$L133)*(($G133/AD133)^$H133)/10^6,IF('Start Page'!$Y$36=2,($F133*60*24*$L133)*(($G133/AD133)^$H133)/10^6,IF('Start Page'!$Y$36=3,('Unit Conversion Sheet'!$E$17*$F133*60*24*$L133)*(($G133/AD133)^$H133)/10^6)))))</f>
        <v>0</v>
      </c>
      <c r="N133" s="156">
        <f t="shared" si="19"/>
        <v>0</v>
      </c>
      <c r="O133" s="354"/>
      <c r="P133" s="28"/>
      <c r="Q133" s="28"/>
      <c r="R133" s="627">
        <v>0</v>
      </c>
      <c r="S133" s="569">
        <v>1</v>
      </c>
      <c r="Y133" s="576">
        <v>111</v>
      </c>
      <c r="Z133" s="577">
        <f>Y133*'Unit Conversion Sheet'!$C$5</f>
        <v>420.18070979999999</v>
      </c>
      <c r="AB133" s="578">
        <f>IF('Start Page'!$Y$36=1,Y133,IF('Start Page'!$Y$36=2,Z133,IF('Start Page'!$Y$36=3,Y133)))</f>
        <v>111</v>
      </c>
      <c r="AD133" s="568">
        <f>IF(S133=1,(IF('Start Page'!$Y$36=1,$AB$39,IF('Start Page'!$Y$36=2,$AC$39,IF('Start Page'!$Y$36=3,$AB$39)))),'AWWA-Water Balance Data Transf.'!$D$41)</f>
        <v>70</v>
      </c>
      <c r="AE133" s="568" t="str">
        <f>'AWWA-Water Balance Data Transf.'!$E$41</f>
        <v>PSI</v>
      </c>
      <c r="AH133" s="579" t="str">
        <f t="shared" si="20"/>
        <v/>
      </c>
      <c r="AI133" s="580" t="str">
        <f>IF(C133=0,"",IF('Start Page'!$Y$36=1,($F133*60*24*J133)*(($G133/$AB$39)^$H133)/10^6,IF('Start Page'!$Y$36=2,($F133*60*24*J133)*(($G133/$AC$39)^$H133)/10^6,IF('Start Page'!$Y$36=3,('Unit Conversion Sheet'!$E$17*$F133*60*24*J133)*(($G133/$AB$39)^$H133)/10^6))))</f>
        <v/>
      </c>
      <c r="AJ133" s="580" t="str">
        <f t="shared" si="21"/>
        <v/>
      </c>
    </row>
    <row r="134" spans="1:38" ht="20.149999999999999" customHeight="1">
      <c r="A134" s="78"/>
      <c r="B134" s="353" t="str">
        <f>IF('Start Page'!$Y$36=2,"DN 1500","Diameter 60''")</f>
        <v>Diameter 60''</v>
      </c>
      <c r="C134" s="623">
        <v>0</v>
      </c>
      <c r="D134" s="628">
        <v>0</v>
      </c>
      <c r="E134" s="153">
        <f t="shared" si="17"/>
        <v>0</v>
      </c>
      <c r="F134" s="155">
        <f t="shared" si="18"/>
        <v>111</v>
      </c>
      <c r="G134" s="344">
        <f>'AWWA-Water Balance Data Transf.'!$D$41</f>
        <v>0</v>
      </c>
      <c r="H134" s="154">
        <v>1</v>
      </c>
      <c r="I134" s="689">
        <v>0</v>
      </c>
      <c r="J134" s="1156">
        <v>0</v>
      </c>
      <c r="K134" s="1157"/>
      <c r="L134" s="155">
        <f>IF(SUM(I134:K134)&gt;'Start Page'!$K$35,'Start Page'!$K$35,SUM(I134:K134))</f>
        <v>0</v>
      </c>
      <c r="M134" s="155">
        <f>IF(ISERROR(IF(C134=0,0,IF('Start Page'!$Y$36=1,($F134*60*24*$L134)*(($G134/AD134)^$H134)/10^6,IF('Start Page'!$Y$36=2,($F134*60*24*$L134)*(($G134/AD134)^$H134)/10^6,IF('Start Page'!$Y$36=3,('Unit Conversion Sheet'!$E$17*$F134*60*24*$L134)*(($G134/AD134)^$H134)/10^6))))),0,IF(C134=0,0,IF('Start Page'!$Y$36=1,($F134*60*24*$L134)*(($G134/AD134)^$H134)/10^6,IF('Start Page'!$Y$36=2,($F134*60*24*$L134)*(($G134/AD134)^$H134)/10^6,IF('Start Page'!$Y$36=3,('Unit Conversion Sheet'!$E$17*$F134*60*24*$L134)*(($G134/AD134)^$H134)/10^6)))))</f>
        <v>0</v>
      </c>
      <c r="N134" s="156">
        <f t="shared" si="19"/>
        <v>0</v>
      </c>
      <c r="O134" s="354"/>
      <c r="P134" s="28"/>
      <c r="Q134" s="28"/>
      <c r="R134" s="627">
        <v>0</v>
      </c>
      <c r="S134" s="569">
        <v>1</v>
      </c>
      <c r="Y134" s="576">
        <v>111</v>
      </c>
      <c r="Z134" s="577">
        <f>Y134*'Unit Conversion Sheet'!$C$5</f>
        <v>420.18070979999999</v>
      </c>
      <c r="AB134" s="578">
        <f>IF('Start Page'!$Y$36=1,Y134,IF('Start Page'!$Y$36=2,Z134,IF('Start Page'!$Y$36=3,Y134)))</f>
        <v>111</v>
      </c>
      <c r="AD134" s="568">
        <f>IF(S134=1,(IF('Start Page'!$Y$36=1,$AB$39,IF('Start Page'!$Y$36=2,$AC$39,IF('Start Page'!$Y$36=3,$AB$39)))),'AWWA-Water Balance Data Transf.'!$D$41)</f>
        <v>70</v>
      </c>
      <c r="AE134" s="568" t="str">
        <f>'AWWA-Water Balance Data Transf.'!$E$41</f>
        <v>PSI</v>
      </c>
      <c r="AH134" s="579" t="str">
        <f t="shared" si="20"/>
        <v/>
      </c>
      <c r="AI134" s="580" t="str">
        <f>IF(C134=0,"",IF('Start Page'!$Y$36=1,($F134*60*24*J134)*(($G134/$AB$39)^$H134)/10^6,IF('Start Page'!$Y$36=2,($F134*60*24*J134)*(($G134/$AC$39)^$H134)/10^6,IF('Start Page'!$Y$36=3,('Unit Conversion Sheet'!$E$17*$F134*60*24*J134)*(($G134/$AB$39)^$H134)/10^6))))</f>
        <v/>
      </c>
      <c r="AJ134" s="580" t="str">
        <f t="shared" si="21"/>
        <v/>
      </c>
    </row>
    <row r="135" spans="1:38" ht="20.149999999999999" customHeight="1">
      <c r="A135" s="78"/>
      <c r="B135" s="353" t="str">
        <f>IF('Start Page'!$Y$36=2,"&gt; DN 1500","Diameter &gt;60''")</f>
        <v>Diameter &gt;60''</v>
      </c>
      <c r="C135" s="623">
        <v>0</v>
      </c>
      <c r="D135" s="628">
        <v>0</v>
      </c>
      <c r="E135" s="153">
        <f t="shared" si="17"/>
        <v>0</v>
      </c>
      <c r="F135" s="155">
        <f t="shared" si="18"/>
        <v>111</v>
      </c>
      <c r="G135" s="344">
        <f>'AWWA-Water Balance Data Transf.'!$D$41</f>
        <v>0</v>
      </c>
      <c r="H135" s="154">
        <v>1</v>
      </c>
      <c r="I135" s="689">
        <v>0</v>
      </c>
      <c r="J135" s="1156">
        <v>0</v>
      </c>
      <c r="K135" s="1157"/>
      <c r="L135" s="155">
        <f>IF(SUM(I135:K135)&gt;'Start Page'!$K$35,'Start Page'!$K$35,SUM(I135:K135))</f>
        <v>0</v>
      </c>
      <c r="M135" s="155">
        <f>IF(ISERROR(IF(C135=0,0,IF('Start Page'!$Y$36=1,($F135*60*24*$L135)*(($G135/AD135)^$H135)/10^6,IF('Start Page'!$Y$36=2,($F135*60*24*$L135)*(($G135/AD135)^$H135)/10^6,IF('Start Page'!$Y$36=3,('Unit Conversion Sheet'!$E$17*$F135*60*24*$L135)*(($G135/AD135)^$H135)/10^6))))),0,IF(C135=0,0,IF('Start Page'!$Y$36=1,($F135*60*24*$L135)*(($G135/AD135)^$H135)/10^6,IF('Start Page'!$Y$36=2,($F135*60*24*$L135)*(($G135/AD135)^$H135)/10^6,IF('Start Page'!$Y$36=3,('Unit Conversion Sheet'!$E$17*$F135*60*24*$L135)*(($G135/AD135)^$H135)/10^6)))))</f>
        <v>0</v>
      </c>
      <c r="N135" s="156">
        <f t="shared" si="19"/>
        <v>0</v>
      </c>
      <c r="O135" s="354"/>
      <c r="P135" s="28"/>
      <c r="Q135" s="28"/>
      <c r="R135" s="627">
        <v>0</v>
      </c>
      <c r="S135" s="569">
        <v>1</v>
      </c>
      <c r="Y135" s="576">
        <v>111</v>
      </c>
      <c r="Z135" s="577">
        <f>Y135*'Unit Conversion Sheet'!$C$5</f>
        <v>420.18070979999999</v>
      </c>
      <c r="AB135" s="578">
        <f>IF('Start Page'!$Y$36=1,Y135,IF('Start Page'!$Y$36=2,Z135,IF('Start Page'!$Y$36=3,Y135)))</f>
        <v>111</v>
      </c>
      <c r="AD135" s="568">
        <f>IF(S135=1,(IF('Start Page'!$Y$36=1,$AB$39,IF('Start Page'!$Y$36=2,$AC$39,IF('Start Page'!$Y$36=3,$AB$39)))),'AWWA-Water Balance Data Transf.'!$D$41)</f>
        <v>70</v>
      </c>
      <c r="AE135" s="568" t="str">
        <f>'AWWA-Water Balance Data Transf.'!$E$41</f>
        <v>PSI</v>
      </c>
      <c r="AH135" s="579" t="str">
        <f t="shared" si="20"/>
        <v/>
      </c>
      <c r="AI135" s="580" t="str">
        <f>IF(C135=0,"",IF('Start Page'!$Y$36=1,($F135*60*24*J135)*(($G135/$AB$39)^$H135)/10^6,IF('Start Page'!$Y$36=2,($F135*60*24*J135)*(($G135/$AC$39)^$H135)/10^6,IF('Start Page'!$Y$36=3,('Unit Conversion Sheet'!$E$17*$F135*60*24*J135)*(($G135/$AB$39)^$H135)/10^6))))</f>
        <v/>
      </c>
      <c r="AJ135" s="580" t="str">
        <f t="shared" si="21"/>
        <v/>
      </c>
    </row>
    <row r="136" spans="1:38" ht="20.149999999999999" customHeight="1">
      <c r="A136" s="78"/>
      <c r="B136" s="355" t="s">
        <v>143</v>
      </c>
      <c r="C136" s="623">
        <v>0</v>
      </c>
      <c r="D136" s="628">
        <v>0</v>
      </c>
      <c r="E136" s="153">
        <f t="shared" si="17"/>
        <v>0</v>
      </c>
      <c r="F136" s="345">
        <f>R136</f>
        <v>0</v>
      </c>
      <c r="G136" s="344">
        <f>'AWWA-Water Balance Data Transf.'!$D$41</f>
        <v>0</v>
      </c>
      <c r="H136" s="154">
        <v>1</v>
      </c>
      <c r="I136" s="689">
        <v>0</v>
      </c>
      <c r="J136" s="1156">
        <v>0</v>
      </c>
      <c r="K136" s="1157"/>
      <c r="L136" s="155">
        <f>IF(SUM(I136:K136)&gt;'Start Page'!$K$35,'Start Page'!$K$35,SUM(I136:K136))</f>
        <v>0</v>
      </c>
      <c r="M136" s="155">
        <f>IF(ISERROR(IF(C136=0,0,IF('Start Page'!$Y$36=1,($F136*60*24*$L136)*(($G136/AD136)^$H136)/10^6,IF('Start Page'!$Y$36=2,($F136*60*24*$L136)*(($G136/AD136)^$H136)/10^6,IF('Start Page'!$Y$36=3,('Unit Conversion Sheet'!$E$17*$F136*60*24*$L136)*(($G136/AD136)^$H136)/10^6))))),0,IF(C136=0,0,IF('Start Page'!$Y$36=1,($F136*60*24*$L136)*(($G136/AD136)^$H136)/10^6,IF('Start Page'!$Y$36=2,($F136*60*24*$L136)*(($G136/AD136)^$H136)/10^6,IF('Start Page'!$Y$36=3,('Unit Conversion Sheet'!$E$17*$F136*60*24*$L136)*(($G136/AD136)^$H136)/10^6)))))</f>
        <v>0</v>
      </c>
      <c r="N136" s="156">
        <f t="shared" si="19"/>
        <v>0</v>
      </c>
      <c r="O136" s="356"/>
      <c r="P136" s="1160" t="s">
        <v>402</v>
      </c>
      <c r="Q136" s="1161"/>
      <c r="R136" s="627">
        <v>0</v>
      </c>
      <c r="S136" s="569"/>
      <c r="AD136" s="568">
        <f>'AWWA-Water Balance Data Transf.'!$D$41</f>
        <v>0</v>
      </c>
      <c r="AE136" s="568" t="str">
        <f>'AWWA-Water Balance Data Transf.'!$E$41</f>
        <v>PSI</v>
      </c>
      <c r="AF136" s="581"/>
      <c r="AH136" s="579" t="str">
        <f t="shared" si="20"/>
        <v/>
      </c>
      <c r="AI136" s="580" t="str">
        <f>IF(C136=0,"",IF('Start Page'!$Y$36=1,($F136*60*24*J136)*(($G136/$AB$39)^$H136)/10^6,IF('Start Page'!$Y$36=2,($F136*60*24*J136)*(($G136/$AC$39)^$H136)/10^6,IF('Start Page'!$Y$36=3,('Unit Conversion Sheet'!$E$17*$F136*60*24*J136)*(($G136/$AB$39)^$H136)/10^6))))</f>
        <v/>
      </c>
      <c r="AJ136" s="580" t="str">
        <f t="shared" si="21"/>
        <v/>
      </c>
    </row>
    <row r="137" spans="1:38" ht="20.149999999999999" customHeight="1" thickBot="1">
      <c r="A137" s="78"/>
      <c r="B137" s="682" t="str">
        <f>IF(C136=0,"",IF(C136="","",IF(R136=0,"PLEASE ENTER FLOW RATE FOR OTHER DIAMETER LEAKS IN CELL R136",IF(R136="","PLEASE ENTER FLOW RATE FOR OTHER DIAMETER LEAKS IN CELL R136",""))))</f>
        <v/>
      </c>
      <c r="C137" s="119"/>
      <c r="D137" s="119"/>
      <c r="E137" s="119"/>
      <c r="F137" s="119"/>
      <c r="G137" s="119"/>
      <c r="H137" s="119"/>
      <c r="I137" s="119"/>
      <c r="J137" s="29"/>
      <c r="K137" s="29"/>
      <c r="L137" s="26"/>
      <c r="M137" s="163" t="s">
        <v>782</v>
      </c>
      <c r="N137" s="157">
        <f>SUM(N117:N136)</f>
        <v>0</v>
      </c>
      <c r="O137" s="357"/>
      <c r="P137" s="113"/>
      <c r="Q137" s="26"/>
      <c r="R137" s="51"/>
      <c r="AG137" s="581" t="s">
        <v>473</v>
      </c>
      <c r="AH137" s="582">
        <f>SUM(AH117:AH136)</f>
        <v>0</v>
      </c>
      <c r="AI137" s="582">
        <f>SUM(AI117:AI136)</f>
        <v>0</v>
      </c>
      <c r="AJ137" s="582">
        <f>SUM(AJ117:AJ136)</f>
        <v>0</v>
      </c>
    </row>
    <row r="138" spans="1:38" ht="20.149999999999999" customHeight="1">
      <c r="A138" s="78"/>
      <c r="B138" s="1173" t="s">
        <v>778</v>
      </c>
      <c r="C138" s="1174"/>
      <c r="D138" s="1174"/>
      <c r="E138" s="1174"/>
      <c r="F138" s="1174"/>
      <c r="G138" s="1174"/>
      <c r="H138" s="1174"/>
      <c r="I138" s="121"/>
      <c r="J138" s="121"/>
      <c r="K138" s="121"/>
      <c r="L138" s="121"/>
      <c r="M138" s="121"/>
      <c r="N138" s="121"/>
      <c r="O138" s="358"/>
      <c r="P138" s="48"/>
      <c r="Q138" s="48"/>
      <c r="R138" s="49"/>
      <c r="AL138" s="581"/>
    </row>
    <row r="139" spans="1:38" ht="20.149999999999999" customHeight="1">
      <c r="A139" s="78"/>
      <c r="B139" s="50"/>
      <c r="C139" s="26"/>
      <c r="D139" s="26"/>
      <c r="E139" s="26"/>
      <c r="F139" s="26"/>
      <c r="G139" s="26"/>
      <c r="H139" s="26"/>
      <c r="I139" s="26"/>
      <c r="J139" s="26"/>
      <c r="K139" s="26"/>
      <c r="L139" s="26"/>
      <c r="M139" s="26"/>
      <c r="N139" s="26"/>
      <c r="O139" s="26"/>
      <c r="P139" s="26"/>
      <c r="Q139" s="26"/>
      <c r="R139" s="51"/>
    </row>
    <row r="140" spans="1:38" ht="110.25" customHeight="1">
      <c r="A140" s="78"/>
      <c r="B140" s="226" t="s">
        <v>561</v>
      </c>
      <c r="C140" s="1148" t="s">
        <v>928</v>
      </c>
      <c r="D140" s="1148"/>
      <c r="E140" s="1148"/>
      <c r="F140" s="1148"/>
      <c r="G140" s="1148"/>
      <c r="H140" s="1148"/>
      <c r="I140" s="1148"/>
      <c r="J140" s="1148"/>
      <c r="K140" s="1148"/>
      <c r="L140" s="1148"/>
      <c r="M140" s="1148"/>
      <c r="N140" s="1148"/>
      <c r="O140" s="1148"/>
      <c r="P140" s="1148"/>
      <c r="Q140" s="1148"/>
      <c r="R140" s="1149"/>
    </row>
    <row r="141" spans="1:38" ht="20.149999999999999" customHeight="1">
      <c r="A141" s="78"/>
      <c r="B141" s="50"/>
      <c r="C141" s="26"/>
      <c r="D141" s="26"/>
      <c r="E141" s="26"/>
      <c r="F141" s="26"/>
      <c r="G141" s="26"/>
      <c r="H141" s="26"/>
      <c r="I141" s="26"/>
      <c r="J141" s="26"/>
      <c r="K141" s="26"/>
      <c r="L141" s="26"/>
      <c r="M141" s="26"/>
      <c r="N141" s="26"/>
      <c r="O141" s="26"/>
      <c r="P141" s="26"/>
      <c r="Q141" s="26"/>
      <c r="R141" s="51"/>
      <c r="AB141" s="1162" t="s">
        <v>144</v>
      </c>
      <c r="AC141" s="1162" t="s">
        <v>660</v>
      </c>
      <c r="AD141" s="1162" t="s">
        <v>690</v>
      </c>
      <c r="AE141" s="1162"/>
      <c r="AF141" s="1162"/>
    </row>
    <row r="142" spans="1:38" ht="38.25" customHeight="1">
      <c r="A142" s="78"/>
      <c r="B142" s="114" t="s">
        <v>702</v>
      </c>
      <c r="C142" s="1171" t="s">
        <v>908</v>
      </c>
      <c r="D142" s="1171" t="s">
        <v>703</v>
      </c>
      <c r="E142" s="864" t="s">
        <v>121</v>
      </c>
      <c r="F142" s="893" t="s">
        <v>901</v>
      </c>
      <c r="G142" s="1164" t="s">
        <v>116</v>
      </c>
      <c r="H142" s="1164" t="s">
        <v>117</v>
      </c>
      <c r="I142" s="1153" t="s">
        <v>902</v>
      </c>
      <c r="J142" s="1154"/>
      <c r="K142" s="1154"/>
      <c r="L142" s="1155"/>
      <c r="M142" s="1164" t="s">
        <v>903</v>
      </c>
      <c r="N142" s="1164" t="s">
        <v>124</v>
      </c>
      <c r="O142" s="359"/>
      <c r="P142" s="1150" t="s">
        <v>904</v>
      </c>
      <c r="Q142" s="1150" t="s">
        <v>905</v>
      </c>
      <c r="R142" s="249" t="s">
        <v>906</v>
      </c>
      <c r="AB142" s="1162"/>
      <c r="AC142" s="1162"/>
      <c r="AD142" s="1162"/>
      <c r="AE142" s="1162"/>
      <c r="AF142" s="1162"/>
      <c r="AH142" s="1159" t="s">
        <v>472</v>
      </c>
      <c r="AI142" s="1159" t="s">
        <v>474</v>
      </c>
      <c r="AJ142" s="1159" t="s">
        <v>576</v>
      </c>
    </row>
    <row r="143" spans="1:38" ht="50.15" customHeight="1">
      <c r="A143" s="78"/>
      <c r="B143" s="117"/>
      <c r="C143" s="1172"/>
      <c r="D143" s="1172"/>
      <c r="E143" s="892" t="s">
        <v>909</v>
      </c>
      <c r="F143" s="110" t="str">
        <f>IF(AC145=3,IF('Start Page'!$Y$36=1,$AB$39 &amp; "psi",IF('Start Page'!$Y$36=2,$AC$39 &amp; "metres head",IF('Start Page'!$Y$36=3,$AB$39 &amp; "psi"))),("Avergage System Presure"))</f>
        <v>70psi</v>
      </c>
      <c r="G143" s="1165"/>
      <c r="H143" s="1165"/>
      <c r="I143" s="864" t="s">
        <v>131</v>
      </c>
      <c r="J143" s="1177" t="s">
        <v>911</v>
      </c>
      <c r="K143" s="1178"/>
      <c r="L143" s="862" t="s">
        <v>125</v>
      </c>
      <c r="M143" s="1165"/>
      <c r="N143" s="1165"/>
      <c r="O143" s="360"/>
      <c r="P143" s="1151"/>
      <c r="Q143" s="1151"/>
      <c r="R143" s="61" t="str">
        <f>"average system pressure"</f>
        <v>average system pressure</v>
      </c>
      <c r="AB143" s="1163"/>
      <c r="AC143" s="1162"/>
      <c r="AD143" s="1162"/>
      <c r="AE143" s="1162"/>
      <c r="AF143" s="1162"/>
      <c r="AH143" s="1159"/>
      <c r="AI143" s="1159"/>
      <c r="AJ143" s="1159"/>
    </row>
    <row r="144" spans="1:38" ht="20.149999999999999" customHeight="1">
      <c r="A144" s="78"/>
      <c r="B144" s="115"/>
      <c r="C144" s="116"/>
      <c r="D144" s="27"/>
      <c r="E144" s="116"/>
      <c r="F144" s="865" t="str">
        <f>IF('Start Page'!$Y$36=1,"(gpm)",IF('Start Page'!$Y$36=2,"(lpm)", IF('Start Page'!$Y$36=3,"(gpm)")))</f>
        <v>(gpm)</v>
      </c>
      <c r="G144" s="27" t="str">
        <f>$G$38</f>
        <v>(psi)</v>
      </c>
      <c r="H144" s="567"/>
      <c r="I144" s="118" t="s">
        <v>126</v>
      </c>
      <c r="J144" s="1166" t="s">
        <v>126</v>
      </c>
      <c r="K144" s="1167"/>
      <c r="L144" s="27" t="s">
        <v>126</v>
      </c>
      <c r="M144" s="27" t="str">
        <f>$I$38</f>
        <v>(MG)</v>
      </c>
      <c r="N144" s="865" t="str">
        <f>$I$38</f>
        <v>(MG)</v>
      </c>
      <c r="O144" s="360"/>
      <c r="P144" s="1152"/>
      <c r="Q144" s="1152"/>
      <c r="R144" s="62" t="str">
        <f>$F$57</f>
        <v>(gpm)</v>
      </c>
      <c r="Y144" s="574" t="s">
        <v>132</v>
      </c>
      <c r="Z144" s="574" t="s">
        <v>133</v>
      </c>
      <c r="AB144" s="575" t="str">
        <f>$F$57</f>
        <v>(gpm)</v>
      </c>
      <c r="AH144" s="571" t="s">
        <v>2</v>
      </c>
      <c r="AI144" s="571" t="str">
        <f>$N$57</f>
        <v>(MG)</v>
      </c>
      <c r="AJ144" s="571" t="str">
        <f>$N$57</f>
        <v>(MG)</v>
      </c>
    </row>
    <row r="145" spans="1:37" ht="20.149999999999999" customHeight="1">
      <c r="A145" s="78"/>
      <c r="B145" s="353" t="s">
        <v>127</v>
      </c>
      <c r="C145" s="623">
        <v>0</v>
      </c>
      <c r="D145" s="623">
        <v>0</v>
      </c>
      <c r="E145" s="153">
        <f>IF(D145=0,0,C145/D145*1000)</f>
        <v>0</v>
      </c>
      <c r="F145" s="155">
        <f>IF(S145=1,AB145,R145)</f>
        <v>3.5</v>
      </c>
      <c r="G145" s="344">
        <f>'AWWA-Water Balance Data Transf.'!$D$41</f>
        <v>0</v>
      </c>
      <c r="H145" s="154">
        <v>1</v>
      </c>
      <c r="I145" s="690">
        <v>0</v>
      </c>
      <c r="J145" s="1156">
        <v>0</v>
      </c>
      <c r="K145" s="1157"/>
      <c r="L145" s="155">
        <f>IF(SUM(I145:K145)&gt;'Start Page'!$K$35,'Start Page'!$K$35,SUM(I145:K145))</f>
        <v>0</v>
      </c>
      <c r="M145" s="155">
        <f>IF(ISERROR(IF(C145=0,0,IF('Start Page'!$Y$36=1,(F145*60*24*L145)*((G145/AD145)^H145)/10^6,IF('Start Page'!$Y$36=2,(F145*60*24*L145)*((G145/AD145)^H145)/10^6,IF('Start Page'!$Y$36=3,('Unit Conversion Sheet'!$E$17*F145*60*24*L145)*((G145/AD145)^H145)/10^6))))),0,IF(C145=0,0,IF('Start Page'!$Y$36=1,(F145*60*24*L145)*((G145/AD145)^H145)/10^6,IF('Start Page'!$Y$36=2,(F145*60*24*L145)*((G145/AD145)^H145)/10^6,IF('Start Page'!$Y$36=3,('Unit Conversion Sheet'!$E$17*F145*60*24*L145)*((G145/AD145)^H145)/10^6)))))</f>
        <v>0</v>
      </c>
      <c r="N145" s="156">
        <f>IF(C145=0,0,M145*C145)</f>
        <v>0</v>
      </c>
      <c r="O145" s="354"/>
      <c r="P145" s="32"/>
      <c r="Q145" s="32"/>
      <c r="R145" s="627">
        <v>0</v>
      </c>
      <c r="S145" s="569">
        <v>1</v>
      </c>
      <c r="Y145" s="576">
        <v>3.5</v>
      </c>
      <c r="Z145" s="577">
        <f>Y145*'Unit Conversion Sheet'!$C$5</f>
        <v>13.2489413</v>
      </c>
      <c r="AB145" s="578">
        <f>IF('Start Page'!$Y$36=1,Y145,IF('Start Page'!$Y$36=2,Z145,IF('Start Page'!$Y$36=3,Y145)))</f>
        <v>3.5</v>
      </c>
      <c r="AC145" s="568">
        <f>SUM(S145:S147)</f>
        <v>3</v>
      </c>
      <c r="AD145" s="568">
        <f>IF(S145=1,(IF('Start Page'!$Y$36=1,$AB$39,IF('Start Page'!$Y$36=2,$AC$39,IF('Start Page'!$Y$36=3,$AB$39)))),'AWWA-Water Balance Data Transf.'!$D$41)</f>
        <v>70</v>
      </c>
      <c r="AE145" s="568" t="str">
        <f>'AWWA-Water Balance Data Transf.'!$E$41</f>
        <v>PSI</v>
      </c>
      <c r="AH145" s="583" t="str">
        <f>IF(C145=0,"",C145*J145)</f>
        <v/>
      </c>
      <c r="AI145" s="580" t="str">
        <f>IF(C145=0,"",IF('Start Page'!$Y$36=1,($F145*60*24*J145)*(($G145/$AB$39)^$H145)/10^6,IF('Start Page'!$Y$36=2,($F145*60*24*J145)*(($G145/$AC$39)^$H145)/10^6,IF('Start Page'!$Y$36=3,('Unit Conversion Sheet'!$E$17*$F145*60*24*J145)*(($G145/$AB$39)^$H145)/10^6))))</f>
        <v/>
      </c>
      <c r="AJ145" s="580" t="str">
        <f>IF(C145=0,"",AI145*C145)</f>
        <v/>
      </c>
    </row>
    <row r="146" spans="1:37" ht="20.149999999999999" customHeight="1">
      <c r="A146" s="78"/>
      <c r="B146" s="355" t="s">
        <v>128</v>
      </c>
      <c r="C146" s="623">
        <v>0</v>
      </c>
      <c r="D146" s="623">
        <v>0</v>
      </c>
      <c r="E146" s="153">
        <f>IF(D146=0,0,C146/D146*1000)</f>
        <v>0</v>
      </c>
      <c r="F146" s="155">
        <f t="shared" ref="F146:F147" si="22">IF(S146=1,AB146,R146)</f>
        <v>6.9</v>
      </c>
      <c r="G146" s="344">
        <f>'AWWA-Water Balance Data Transf.'!$D$41</f>
        <v>0</v>
      </c>
      <c r="H146" s="154">
        <v>1</v>
      </c>
      <c r="I146" s="689">
        <v>0</v>
      </c>
      <c r="J146" s="1156">
        <v>0</v>
      </c>
      <c r="K146" s="1157"/>
      <c r="L146" s="155">
        <f>IF(SUM(I146:K146)&gt;'Start Page'!$K$35,'Start Page'!$K$35,SUM(I146:K146))</f>
        <v>0</v>
      </c>
      <c r="M146" s="155">
        <f>IF(ISERROR(IF(C146=0,0,IF('Start Page'!$Y$36=1,(F146*60*24*L146)*((G146/AD146)^H146)/10^6,IF('Start Page'!$Y$36=2,(F146*60*24*L146)*((G146/AD146)^H146)/10^6,IF('Start Page'!$Y$36=3,('Unit Conversion Sheet'!$E$17*F146*60*24*L146)*((G146/AD146)^H146)/10^6))))),0,IF(C146=0,0,IF('Start Page'!$Y$36=1,(F146*60*24*L146)*((G146/AD146)^H146)/10^6,IF('Start Page'!$Y$36=2,(F146*60*24*L146)*((G146/AD146)^H146)/10^6,IF('Start Page'!$Y$36=3,('Unit Conversion Sheet'!$E$17*F146*60*24*L146)*((G146/AD146)^H146)/10^6)))))</f>
        <v>0</v>
      </c>
      <c r="N146" s="156">
        <f t="shared" ref="N146:N148" si="23">IF(C146=0,0,M146*C146)</f>
        <v>0</v>
      </c>
      <c r="O146" s="354"/>
      <c r="P146" s="28"/>
      <c r="Q146" s="28"/>
      <c r="R146" s="627">
        <v>0</v>
      </c>
      <c r="S146" s="569">
        <v>1</v>
      </c>
      <c r="Y146" s="576">
        <v>6.9</v>
      </c>
      <c r="Z146" s="577">
        <f>Y146*'Unit Conversion Sheet'!$C$5</f>
        <v>26.119341420000001</v>
      </c>
      <c r="AB146" s="578">
        <f>IF('Start Page'!$Y$36=1,Y146,IF('Start Page'!$Y$36=2,Z146,IF('Start Page'!$Y$36=3,Y146)))</f>
        <v>6.9</v>
      </c>
      <c r="AD146" s="568">
        <f>IF(S146=1,(IF('Start Page'!$Y$36=1,$AB$39,IF('Start Page'!$Y$36=2,$AC$39,IF('Start Page'!$Y$36=3,$AB$39)))),'AWWA-Water Balance Data Transf.'!$D$41)</f>
        <v>70</v>
      </c>
      <c r="AE146" s="568" t="str">
        <f>'AWWA-Water Balance Data Transf.'!$E$41</f>
        <v>PSI</v>
      </c>
      <c r="AH146" s="583" t="str">
        <f t="shared" ref="AH146:AH148" si="24">IF(C146=0,"",C146*J146)</f>
        <v/>
      </c>
      <c r="AI146" s="580" t="str">
        <f>IF(C146=0,"",IF('Start Page'!$Y$36=1,($F146*60*24*J146)*(($G146/$AB$39)^$H146)/10^6,IF('Start Page'!$Y$36=2,($F146*60*24*J146)*(($G146/$AC$39)^$H146)/10^6,IF('Start Page'!$Y$36=3,('Unit Conversion Sheet'!$E$17*$F146*60*24*J146)*(($G146/$AB$39)^$H146)/10^6))))</f>
        <v/>
      </c>
      <c r="AJ146" s="580" t="str">
        <f t="shared" ref="AJ146:AJ148" si="25">IF(C146=0,"",AI146*C146)</f>
        <v/>
      </c>
    </row>
    <row r="147" spans="1:37" ht="20.149999999999999" customHeight="1">
      <c r="A147" s="78"/>
      <c r="B147" s="355" t="s">
        <v>715</v>
      </c>
      <c r="C147" s="623">
        <v>0</v>
      </c>
      <c r="D147" s="623">
        <v>0</v>
      </c>
      <c r="E147" s="153">
        <f>IF(D147=0,0,C147/D147*1000)</f>
        <v>0</v>
      </c>
      <c r="F147" s="155">
        <f t="shared" si="22"/>
        <v>0.25</v>
      </c>
      <c r="G147" s="344">
        <f>'AWWA-Water Balance Data Transf.'!$D$41</f>
        <v>0</v>
      </c>
      <c r="H147" s="154">
        <v>1</v>
      </c>
      <c r="I147" s="689">
        <v>0</v>
      </c>
      <c r="J147" s="1156">
        <v>0</v>
      </c>
      <c r="K147" s="1157"/>
      <c r="L147" s="155">
        <f>IF(SUM(I147:K147)&gt;'Start Page'!$K$35,'Start Page'!$K$35,SUM(I147:K147))</f>
        <v>0</v>
      </c>
      <c r="M147" s="155">
        <f>IF(ISERROR(IF(C147=0,0,IF('Start Page'!$Y$36=1,(F147*60*24*L147)*((G147/AD147)^H147)/10^6,IF('Start Page'!$Y$36=2,(F147*60*24*L147)*((G147/AD147)^H147)/10^6,IF('Start Page'!$Y$36=3,('Unit Conversion Sheet'!$E$17*F147*60*24*L147)*((G147/AD147)^H147)/10^6))))),0,IF(C147=0,0,IF('Start Page'!$Y$36=1,(F147*60*24*L147)*((G147/AD147)^H147)/10^6,IF('Start Page'!$Y$36=2,(F147*60*24*L147)*((G147/AD147)^H147)/10^6,IF('Start Page'!$Y$36=3,('Unit Conversion Sheet'!$E$17*F147*60*24*L147)*((G147/AD147)^H147)/10^6)))))</f>
        <v>0</v>
      </c>
      <c r="N147" s="156">
        <f t="shared" si="23"/>
        <v>0</v>
      </c>
      <c r="O147" s="354"/>
      <c r="P147" s="28"/>
      <c r="Q147" s="28"/>
      <c r="R147" s="627">
        <v>0</v>
      </c>
      <c r="S147" s="569">
        <v>1</v>
      </c>
      <c r="Y147" s="585">
        <v>0.25</v>
      </c>
      <c r="Z147" s="586">
        <f>Y147*'Unit Conversion Sheet'!$C$5</f>
        <v>0.94635294999999997</v>
      </c>
      <c r="AB147" s="587">
        <f>IF('Start Page'!$Y$36=1,Y147,IF('Start Page'!$Y$36=2,Z147,IF('Start Page'!$Y$36=3,Y147)))</f>
        <v>0.25</v>
      </c>
      <c r="AD147" s="568">
        <f>IF(S147=1,(IF('Start Page'!$Y$36=1,$AB$39,IF('Start Page'!$Y$36=2,$AC$39,IF('Start Page'!$Y$36=3,$AB$39)))),'AWWA-Water Balance Data Transf.'!$D$41)</f>
        <v>70</v>
      </c>
      <c r="AE147" s="568" t="str">
        <f>'AWWA-Water Balance Data Transf.'!$E$41</f>
        <v>PSI</v>
      </c>
      <c r="AH147" s="583" t="str">
        <f t="shared" si="24"/>
        <v/>
      </c>
      <c r="AI147" s="580" t="str">
        <f>IF(C147=0,"",IF('Start Page'!$Y$36=1,($F147*60*24*J147)*(($G147/$AB$39)^$H147)/10^6,IF('Start Page'!$Y$36=2,($F147*60*24*J147)*(($G147/$AC$39)^$H147)/10^6,IF('Start Page'!$Y$36=3,('Unit Conversion Sheet'!$E$17*$F147*60*24*J147)*(($G147/$AB$39)^$H147)/10^6))))</f>
        <v/>
      </c>
      <c r="AJ147" s="580" t="str">
        <f t="shared" si="25"/>
        <v/>
      </c>
    </row>
    <row r="148" spans="1:37" ht="20.149999999999999" customHeight="1">
      <c r="A148" s="78"/>
      <c r="B148" s="361" t="s">
        <v>716</v>
      </c>
      <c r="C148" s="623">
        <v>0</v>
      </c>
      <c r="D148" s="623">
        <v>0</v>
      </c>
      <c r="E148" s="153">
        <f>IF(D148=0,0,C148/D148*1000)</f>
        <v>0</v>
      </c>
      <c r="F148" s="346">
        <f>R148</f>
        <v>0</v>
      </c>
      <c r="G148" s="344">
        <f>'AWWA-Water Balance Data Transf.'!$D$41</f>
        <v>0</v>
      </c>
      <c r="H148" s="154">
        <v>1</v>
      </c>
      <c r="I148" s="691">
        <v>0</v>
      </c>
      <c r="J148" s="1156">
        <v>0</v>
      </c>
      <c r="K148" s="1157"/>
      <c r="L148" s="155">
        <f>IF(SUM(I148:K148)&gt;'Start Page'!$K$35,'Start Page'!$K$35,SUM(I148:K148))</f>
        <v>0</v>
      </c>
      <c r="M148" s="155">
        <f>IF(ISERROR(IF(C148=0,0,IF('Start Page'!$Y$36=1,(F148*60*24*L148)*((G148/AD148)^H148)/10^6,IF('Start Page'!$Y$36=2,(F148*60*24*L148)*((G148/AD148)^H148)/10^6,IF('Start Page'!$Y$36=3,('Unit Conversion Sheet'!$E$17*F148*60*24*L148)*((G148/AD148)^H148)/10^6))))),0,IF(C148=0,0,IF('Start Page'!$Y$36=1,(F148*60*24*L148)*((G148/AD148)^H148)/10^6,IF('Start Page'!$Y$36=2,(F148*60*24*L148)*((G148/AD148)^H148)/10^6,IF('Start Page'!$Y$36=3,('Unit Conversion Sheet'!$E$17*F148*60*24*L148)*((G148/AD148)^H148)/10^6)))))</f>
        <v>0</v>
      </c>
      <c r="N148" s="156">
        <f t="shared" si="23"/>
        <v>0</v>
      </c>
      <c r="O148" s="356"/>
      <c r="P148" s="1160" t="s">
        <v>401</v>
      </c>
      <c r="Q148" s="1161"/>
      <c r="R148" s="627">
        <v>0</v>
      </c>
      <c r="Y148" s="588"/>
      <c r="Z148" s="589"/>
      <c r="AA148" s="584"/>
      <c r="AB148" s="584"/>
      <c r="AD148" s="568">
        <f>'AWWA-Water Balance Data Transf.'!$D$41</f>
        <v>0</v>
      </c>
      <c r="AE148" s="568" t="str">
        <f>'AWWA-Water Balance Data Transf.'!$E$41</f>
        <v>PSI</v>
      </c>
      <c r="AH148" s="583" t="str">
        <f t="shared" si="24"/>
        <v/>
      </c>
      <c r="AI148" s="580" t="str">
        <f>IF(C148=0,"",IF('Start Page'!$Y$36=1,($F148*60*24*J148)*(($G148/$AB$39)^$H148)/10^6,IF('Start Page'!$Y$36=2,($F148*60*24*J148)*(($G148/$AC$39)^$H148)/10^6,IF('Start Page'!$Y$36=3,('Unit Conversion Sheet'!$E$17*$F148*60*24*J148)*(($G148/$AB$39)^$H148)/10^6))))</f>
        <v/>
      </c>
      <c r="AJ148" s="580" t="str">
        <f t="shared" si="25"/>
        <v/>
      </c>
    </row>
    <row r="149" spans="1:37" ht="20.149999999999999" customHeight="1" thickBot="1">
      <c r="A149" s="78"/>
      <c r="B149" s="682" t="str">
        <f>IF(C148=0,"",IF(C148="","",IF(R148=0,"PLEASE ENTER FLOW RATE FOR OTHER APPURTENANCE LEAKS IN CELL R148",IF(R148="","PLEASE ENTER FLOW RATE FOR OTHER APPURTENANCE LEAKS IN CELL R148",""))))</f>
        <v/>
      </c>
      <c r="C149" s="33"/>
      <c r="D149" s="34"/>
      <c r="E149" s="35"/>
      <c r="F149" s="36"/>
      <c r="G149" s="37"/>
      <c r="H149" s="38"/>
      <c r="I149" s="39"/>
      <c r="J149" s="39"/>
      <c r="K149" s="39"/>
      <c r="L149" s="159"/>
      <c r="M149" s="160" t="s">
        <v>781</v>
      </c>
      <c r="N149" s="157">
        <f>SUM(N145:N148)</f>
        <v>0</v>
      </c>
      <c r="O149" s="357"/>
      <c r="P149" s="113"/>
      <c r="Q149" s="113"/>
      <c r="R149" s="63"/>
      <c r="Y149" s="588"/>
      <c r="Z149" s="589"/>
      <c r="AA149" s="584"/>
      <c r="AB149" s="584"/>
      <c r="AG149" s="581" t="s">
        <v>475</v>
      </c>
      <c r="AH149" s="590">
        <f>SUM(AH145:AH148)</f>
        <v>0</v>
      </c>
      <c r="AI149" s="590">
        <f t="shared" ref="AI149" si="26">SUM(AI145:AI148)</f>
        <v>0</v>
      </c>
      <c r="AJ149" s="590">
        <f t="shared" ref="AJ149" si="27">SUM(AJ145:AJ148)</f>
        <v>0</v>
      </c>
    </row>
    <row r="150" spans="1:37" ht="20.149999999999999" customHeight="1">
      <c r="A150" s="78"/>
      <c r="B150" s="1146" t="s">
        <v>605</v>
      </c>
      <c r="C150" s="1147"/>
      <c r="D150" s="1147"/>
      <c r="E150" s="1147"/>
      <c r="F150" s="120"/>
      <c r="G150" s="120"/>
      <c r="H150" s="120"/>
      <c r="I150" s="120"/>
      <c r="J150" s="120"/>
      <c r="K150" s="120"/>
      <c r="L150" s="120"/>
      <c r="M150" s="120"/>
      <c r="N150" s="120"/>
      <c r="O150" s="363"/>
      <c r="P150" s="48"/>
      <c r="Q150" s="48"/>
      <c r="R150" s="49"/>
      <c r="Y150" s="588"/>
      <c r="Z150" s="589"/>
      <c r="AA150" s="584"/>
      <c r="AB150" s="584"/>
    </row>
    <row r="151" spans="1:37" ht="10" customHeight="1">
      <c r="A151" s="78"/>
      <c r="B151" s="50"/>
      <c r="C151" s="26"/>
      <c r="D151" s="26"/>
      <c r="E151" s="26"/>
      <c r="F151" s="26"/>
      <c r="G151" s="26"/>
      <c r="H151" s="26"/>
      <c r="I151" s="26"/>
      <c r="J151" s="26"/>
      <c r="K151" s="26"/>
      <c r="L151" s="26"/>
      <c r="M151" s="26"/>
      <c r="N151" s="26"/>
      <c r="O151" s="26"/>
      <c r="P151" s="26"/>
      <c r="Q151" s="26"/>
      <c r="R151" s="51"/>
    </row>
    <row r="152" spans="1:37" ht="108" customHeight="1">
      <c r="A152" s="78"/>
      <c r="B152" s="226" t="s">
        <v>561</v>
      </c>
      <c r="C152" s="1148" t="s">
        <v>929</v>
      </c>
      <c r="D152" s="1148"/>
      <c r="E152" s="1148"/>
      <c r="F152" s="1148"/>
      <c r="G152" s="1148"/>
      <c r="H152" s="1148"/>
      <c r="I152" s="1148"/>
      <c r="J152" s="1148"/>
      <c r="K152" s="1148"/>
      <c r="L152" s="1148"/>
      <c r="M152" s="1148"/>
      <c r="N152" s="1148"/>
      <c r="O152" s="1148"/>
      <c r="P152" s="1148"/>
      <c r="Q152" s="1148"/>
      <c r="R152" s="1149"/>
    </row>
    <row r="153" spans="1:37" ht="20.149999999999999" customHeight="1">
      <c r="A153" s="78"/>
      <c r="B153" s="50"/>
      <c r="C153" s="26"/>
      <c r="D153" s="26"/>
      <c r="E153" s="26"/>
      <c r="F153" s="26"/>
      <c r="G153" s="26"/>
      <c r="H153" s="26"/>
      <c r="I153" s="26"/>
      <c r="J153" s="26"/>
      <c r="K153" s="26"/>
      <c r="L153" s="26"/>
      <c r="M153" s="26"/>
      <c r="N153" s="26"/>
      <c r="O153" s="26"/>
      <c r="P153" s="26"/>
      <c r="Q153" s="26"/>
      <c r="R153" s="51"/>
      <c r="AB153" s="1162" t="s">
        <v>144</v>
      </c>
    </row>
    <row r="154" spans="1:37" ht="38.25" customHeight="1">
      <c r="A154" s="78"/>
      <c r="B154" s="114" t="s">
        <v>145</v>
      </c>
      <c r="C154" s="1171" t="s">
        <v>908</v>
      </c>
      <c r="D154" s="1164" t="s">
        <v>146</v>
      </c>
      <c r="E154" s="864" t="s">
        <v>121</v>
      </c>
      <c r="F154" s="893" t="s">
        <v>901</v>
      </c>
      <c r="G154" s="1164" t="s">
        <v>116</v>
      </c>
      <c r="H154" s="1164" t="s">
        <v>117</v>
      </c>
      <c r="I154" s="1153" t="s">
        <v>902</v>
      </c>
      <c r="J154" s="1154"/>
      <c r="K154" s="1154"/>
      <c r="L154" s="1155"/>
      <c r="M154" s="1164" t="s">
        <v>903</v>
      </c>
      <c r="N154" s="1164" t="s">
        <v>124</v>
      </c>
      <c r="O154" s="359"/>
      <c r="P154" s="1150" t="s">
        <v>904</v>
      </c>
      <c r="Q154" s="1150" t="s">
        <v>905</v>
      </c>
      <c r="R154" s="249" t="s">
        <v>906</v>
      </c>
      <c r="AB154" s="1162"/>
      <c r="AC154" s="1162" t="s">
        <v>660</v>
      </c>
      <c r="AD154" s="1162" t="s">
        <v>690</v>
      </c>
      <c r="AE154" s="1162"/>
      <c r="AF154" s="1162"/>
      <c r="AH154" s="1159" t="s">
        <v>472</v>
      </c>
      <c r="AI154" s="1159" t="s">
        <v>474</v>
      </c>
      <c r="AJ154" s="1159" t="s">
        <v>576</v>
      </c>
    </row>
    <row r="155" spans="1:37" ht="51" customHeight="1">
      <c r="A155" s="78"/>
      <c r="B155" s="117"/>
      <c r="C155" s="1172"/>
      <c r="D155" s="1165"/>
      <c r="E155" s="892" t="s">
        <v>910</v>
      </c>
      <c r="F155" s="110" t="str">
        <f>IF(AC157=2,IF('Start Page'!$Y$36=1,$AB$39 &amp; "psi",IF('Start Page'!$Y$36=2,$AC$39 &amp; "metres head",IF('Start Page'!$Y$36=3,$AB$39 &amp; "psi"))),("Avergage System Presure"))</f>
        <v>70psi</v>
      </c>
      <c r="G155" s="1165"/>
      <c r="H155" s="1165"/>
      <c r="I155" s="864" t="s">
        <v>131</v>
      </c>
      <c r="J155" s="1177" t="s">
        <v>911</v>
      </c>
      <c r="K155" s="1178"/>
      <c r="L155" s="862" t="s">
        <v>125</v>
      </c>
      <c r="M155" s="1165"/>
      <c r="N155" s="1165"/>
      <c r="O155" s="360"/>
      <c r="P155" s="1151"/>
      <c r="Q155" s="1151"/>
      <c r="R155" s="61" t="str">
        <f>"average system pressure"</f>
        <v>average system pressure</v>
      </c>
      <c r="AB155" s="1163"/>
      <c r="AC155" s="1162"/>
      <c r="AD155" s="1162"/>
      <c r="AE155" s="1162"/>
      <c r="AF155" s="1162"/>
      <c r="AH155" s="1159"/>
      <c r="AI155" s="1159"/>
      <c r="AJ155" s="1159"/>
    </row>
    <row r="156" spans="1:37" ht="20.149999999999999" customHeight="1">
      <c r="A156" s="78"/>
      <c r="B156" s="115"/>
      <c r="C156" s="116"/>
      <c r="D156" s="27"/>
      <c r="E156" s="116"/>
      <c r="F156" s="865" t="str">
        <f>IF('Start Page'!$Y$36=1,"(gpm)",IF('Start Page'!$Y$36=2,"(lpm)", IF('Start Page'!$Y$36=3,"(gpm)")))</f>
        <v>(gpm)</v>
      </c>
      <c r="G156" s="27" t="str">
        <f>$G$38</f>
        <v>(psi)</v>
      </c>
      <c r="H156" s="567"/>
      <c r="I156" s="118" t="s">
        <v>126</v>
      </c>
      <c r="J156" s="1166" t="s">
        <v>126</v>
      </c>
      <c r="K156" s="1167"/>
      <c r="L156" s="27" t="s">
        <v>126</v>
      </c>
      <c r="M156" s="27" t="str">
        <f>$I$38</f>
        <v>(MG)</v>
      </c>
      <c r="N156" s="865" t="str">
        <f>$I$38</f>
        <v>(MG)</v>
      </c>
      <c r="O156" s="360"/>
      <c r="P156" s="1152"/>
      <c r="Q156" s="1152"/>
      <c r="R156" s="62" t="str">
        <f>$F$57</f>
        <v>(gpm)</v>
      </c>
      <c r="Y156" s="574" t="s">
        <v>132</v>
      </c>
      <c r="Z156" s="574" t="s">
        <v>133</v>
      </c>
      <c r="AB156" s="575" t="str">
        <f>$F$57</f>
        <v>(gpm)</v>
      </c>
      <c r="AC156" s="1162"/>
      <c r="AD156" s="1162"/>
      <c r="AE156" s="1162"/>
      <c r="AF156" s="1162"/>
      <c r="AH156" s="571" t="s">
        <v>2</v>
      </c>
      <c r="AI156" s="571" t="str">
        <f>$N$57</f>
        <v>(MG)</v>
      </c>
      <c r="AJ156" s="571" t="str">
        <f>$N$57</f>
        <v>(MG)</v>
      </c>
    </row>
    <row r="157" spans="1:37" ht="20.149999999999999" customHeight="1">
      <c r="A157" s="78"/>
      <c r="B157" s="353" t="str">
        <f>IF('Start Page'!$Y$36=2,"Services &lt; DN 25","Services &lt; 1''")</f>
        <v>Services &lt; 1''</v>
      </c>
      <c r="C157" s="623">
        <v>0</v>
      </c>
      <c r="D157" s="623">
        <v>0</v>
      </c>
      <c r="E157" s="153">
        <f>IF(D157=0,0,C157/D157*1000)</f>
        <v>0</v>
      </c>
      <c r="F157" s="155">
        <f>IF(S157=1,AB157,R157)</f>
        <v>6.9</v>
      </c>
      <c r="G157" s="344">
        <f>'AWWA-Water Balance Data Transf.'!$D$41</f>
        <v>0</v>
      </c>
      <c r="H157" s="154">
        <v>1</v>
      </c>
      <c r="I157" s="690">
        <v>0</v>
      </c>
      <c r="J157" s="1175">
        <v>0</v>
      </c>
      <c r="K157" s="1176"/>
      <c r="L157" s="155">
        <f>IF(SUM(I157:K157)&gt;'Start Page'!$K$35,'Start Page'!$K$35,SUM(I157:K157))</f>
        <v>0</v>
      </c>
      <c r="M157" s="155">
        <f>IF(ISERROR(IF(C157=0,0,IF('Start Page'!$Y$36=1,(F157*60*24*L157)*((G157/AD157)^H157)/10^6,IF('Start Page'!$Y$36=2,(F157*60*24*L157)*((G157/AD157)^H157)/10^6,IF('Start Page'!$Y$36=3,('Unit Conversion Sheet'!$E$17*F157*60*24*L157)*((G157/AD157)^H157)/10^6))))),0,IF(C157=0,0,IF('Start Page'!$Y$36=1,(F157*60*24*L157)*((G157/AD157)^H157)/10^6,IF('Start Page'!$Y$36=2,(F157*60*24*L157)*((G157/AD157)^H157)/10^6,IF('Start Page'!$Y$36=3,('Unit Conversion Sheet'!$E$17*F157*60*24*L157)*((G157/AD157)^H157)/10^6)))))</f>
        <v>0</v>
      </c>
      <c r="N157" s="156">
        <f>IF(C157=0,0,M157*C157)</f>
        <v>0</v>
      </c>
      <c r="O157" s="354"/>
      <c r="P157" s="28"/>
      <c r="Q157" s="28"/>
      <c r="R157" s="627">
        <v>0</v>
      </c>
      <c r="S157" s="569">
        <v>1</v>
      </c>
      <c r="Y157" s="576">
        <v>6.9</v>
      </c>
      <c r="Z157" s="577">
        <f>Y157*'Unit Conversion Sheet'!$C$5</f>
        <v>26.119341420000001</v>
      </c>
      <c r="AB157" s="578">
        <f>IF('Start Page'!$Y$36=1,Y157,IF('Start Page'!$Y$36=2,Z157,IF('Start Page'!$Y$36=3,Y157)))</f>
        <v>6.9</v>
      </c>
      <c r="AC157" s="568">
        <f>SUM(S157:S158)</f>
        <v>2</v>
      </c>
      <c r="AD157" s="568">
        <f>IF(S157=1,(IF('Start Page'!$Y$36=1,$AB$39,IF('Start Page'!$Y$36=2,$AC$39,IF('Start Page'!$Y$36=3,$AB$39)))),'AWWA-Water Balance Data Transf.'!$D$41)</f>
        <v>70</v>
      </c>
      <c r="AE157" s="568" t="str">
        <f>'AWWA-Water Balance Data Transf.'!$E$41</f>
        <v>PSI</v>
      </c>
      <c r="AH157" s="583" t="str">
        <f>IF(C157=0,"",C157*J157)</f>
        <v/>
      </c>
      <c r="AI157" s="580" t="str">
        <f>IF(C157=0,"",IF('Start Page'!$Y$36=1,($F157*60*24*J157)*(($G157/$AB$39)^$H157)/10^6,IF('Start Page'!$Y$36=2,($F157*60*24*J157)*(($G157/$AC$39)^$H157)/10^6,IF('Start Page'!$Y$36=3,('Unit Conversion Sheet'!$E$17*$F157*60*24*J157)*(($G157/$AB$39)^$H157)/10^6))))</f>
        <v/>
      </c>
      <c r="AJ157" s="580" t="str">
        <f>IF(C157=0,"",AI157*C157)</f>
        <v/>
      </c>
    </row>
    <row r="158" spans="1:37" ht="20.149999999999999" customHeight="1">
      <c r="A158" s="78"/>
      <c r="B158" s="353" t="str">
        <f>IF('Start Page'!$Y$36=2,"Services &gt;= DN 25","Services &gt;= 1''")</f>
        <v>Services &gt;= 1''</v>
      </c>
      <c r="C158" s="623">
        <v>0</v>
      </c>
      <c r="D158" s="623">
        <v>0</v>
      </c>
      <c r="E158" s="153">
        <f>IF(D158=0,0,C158/D158*1000)</f>
        <v>0</v>
      </c>
      <c r="F158" s="155">
        <f>IF(S158=1,AB158,R158)</f>
        <v>13.9</v>
      </c>
      <c r="G158" s="344">
        <f>'AWWA-Water Balance Data Transf.'!$D$41</f>
        <v>0</v>
      </c>
      <c r="H158" s="154">
        <v>1</v>
      </c>
      <c r="I158" s="689">
        <v>0</v>
      </c>
      <c r="J158" s="1175">
        <v>0</v>
      </c>
      <c r="K158" s="1176"/>
      <c r="L158" s="155">
        <f>IF(SUM(I158:K158)&gt;'Start Page'!$K$35,'Start Page'!$K$35,SUM(I158:K158))</f>
        <v>0</v>
      </c>
      <c r="M158" s="155">
        <f>IF(ISERROR(IF(C158=0,0,IF('Start Page'!$Y$36=1,(F158*60*24*L158)*((G158/AD158)^H158)/10^6,IF('Start Page'!$Y$36=2,(F158*60*24*L158)*((G158/AD158)^H158)/10^6,IF('Start Page'!$Y$36=3,('Unit Conversion Sheet'!$E$17*F158*60*24*L158)*((G158/AD158)^H158)/10^6))))),0,IF(C158=0,0,IF('Start Page'!$Y$36=1,(F158*60*24*L158)*((G158/AD158)^H158)/10^6,IF('Start Page'!$Y$36=2,(F158*60*24*L158)*((G158/AD158)^H158)/10^6,IF('Start Page'!$Y$36=3,('Unit Conversion Sheet'!$E$17*F158*60*24*L158)*((G158/AD158)^H158)/10^6)))))</f>
        <v>0</v>
      </c>
      <c r="N158" s="156">
        <f>IF(C158=0,0,M158*C158)</f>
        <v>0</v>
      </c>
      <c r="O158" s="356"/>
      <c r="P158" s="28"/>
      <c r="Q158" s="28"/>
      <c r="R158" s="627">
        <v>0</v>
      </c>
      <c r="S158" s="569">
        <v>1</v>
      </c>
      <c r="Y158" s="576">
        <v>13.9</v>
      </c>
      <c r="Z158" s="577">
        <f>Y158*'Unit Conversion Sheet'!$C$5</f>
        <v>52.617224020000002</v>
      </c>
      <c r="AB158" s="578">
        <f>IF('Start Page'!$Y$36=1,Y158,IF('Start Page'!$Y$36=2,Z158,IF('Start Page'!$Y$36=3,Y158)))</f>
        <v>13.9</v>
      </c>
      <c r="AD158" s="568">
        <f>IF(S158=1,(IF('Start Page'!$Y$36=1,$AB$39,IF('Start Page'!$Y$36=2,$AC$39,IF('Start Page'!$Y$36=3,$AB$39)))),'AWWA-Water Balance Data Transf.'!$D$41)</f>
        <v>70</v>
      </c>
      <c r="AE158" s="568" t="str">
        <f>'AWWA-Water Balance Data Transf.'!$E$41</f>
        <v>PSI</v>
      </c>
      <c r="AH158" s="583" t="str">
        <f t="shared" ref="AH158" si="28">IF(C158=0,"",C158*J158)</f>
        <v/>
      </c>
      <c r="AI158" s="580" t="str">
        <f>IF(C158=0,"",IF('Start Page'!$Y$36=1,($F158*60*24*J158)*(($G158/$AB$39)^$H158)/10^6,IF('Start Page'!$Y$36=2,($F158*60*24*J158)*(($G158/$AC$39)^$H158)/10^6,IF('Start Page'!$Y$36=3,('Unit Conversion Sheet'!$E$17*$F158*60*24*J158)*(($G158/$AB$39)^$H158)/10^6))))</f>
        <v/>
      </c>
      <c r="AJ158" s="580" t="str">
        <f t="shared" ref="AJ158" si="29">IF(C158=0,"",AI158*C158)</f>
        <v/>
      </c>
    </row>
    <row r="159" spans="1:37" ht="20.149999999999999" customHeight="1">
      <c r="A159" s="78"/>
      <c r="B159" s="66"/>
      <c r="C159" s="40"/>
      <c r="D159" s="41"/>
      <c r="E159" s="42"/>
      <c r="F159" s="42"/>
      <c r="G159" s="43"/>
      <c r="H159" s="44"/>
      <c r="I159" s="45"/>
      <c r="J159" s="45"/>
      <c r="K159" s="45"/>
      <c r="L159" s="69"/>
      <c r="M159" s="72" t="s">
        <v>780</v>
      </c>
      <c r="N159" s="161">
        <f>SUM(N157:N158)</f>
        <v>0</v>
      </c>
      <c r="O159" s="357"/>
      <c r="P159" s="113"/>
      <c r="Q159" s="26"/>
      <c r="R159" s="51"/>
      <c r="Y159" s="585"/>
      <c r="Z159" s="586"/>
      <c r="AB159" s="587"/>
      <c r="AF159" s="581"/>
      <c r="AG159" s="581" t="s">
        <v>473</v>
      </c>
      <c r="AH159" s="590">
        <f>SUM(AH157:AH158)</f>
        <v>0</v>
      </c>
      <c r="AI159" s="590">
        <f t="shared" ref="AI159" si="30">SUM(AI157:AI158)</f>
        <v>0</v>
      </c>
      <c r="AJ159" s="590">
        <f t="shared" ref="AJ159" si="31">SUM(AJ157:AJ158)</f>
        <v>0</v>
      </c>
    </row>
    <row r="160" spans="1:37" ht="20.149999999999999" customHeight="1" thickBot="1">
      <c r="A160" s="78"/>
      <c r="B160" s="64"/>
      <c r="C160" s="65"/>
      <c r="D160" s="65"/>
      <c r="E160" s="65"/>
      <c r="F160" s="65"/>
      <c r="G160" s="65"/>
      <c r="H160" s="65"/>
      <c r="I160" s="65"/>
      <c r="J160" s="65"/>
      <c r="K160" s="65"/>
      <c r="L160" s="73"/>
      <c r="M160" s="74" t="s">
        <v>779</v>
      </c>
      <c r="N160" s="162">
        <f>SUM(N159,N149,N137)</f>
        <v>0</v>
      </c>
      <c r="O160" s="122"/>
      <c r="P160" s="75"/>
      <c r="Q160" s="75"/>
      <c r="R160" s="76"/>
      <c r="S160" s="581"/>
      <c r="T160" s="581"/>
      <c r="U160" s="581"/>
      <c r="V160" s="581"/>
      <c r="W160" s="581"/>
      <c r="X160" s="581"/>
      <c r="Y160" s="581"/>
      <c r="Z160" s="581"/>
      <c r="AA160" s="581"/>
      <c r="AB160" s="581"/>
      <c r="AC160" s="581"/>
      <c r="AD160" s="581"/>
      <c r="AE160" s="581"/>
      <c r="AF160" s="581"/>
      <c r="AG160" s="581"/>
      <c r="AH160" s="581"/>
      <c r="AI160" s="581"/>
      <c r="AJ160" s="581"/>
      <c r="AK160" s="581"/>
    </row>
    <row r="161" spans="1:18" ht="20.149999999999999" customHeight="1">
      <c r="A161" s="78"/>
      <c r="B161" s="907" t="s">
        <v>129</v>
      </c>
      <c r="C161" s="1141"/>
      <c r="D161" s="1141"/>
      <c r="E161" s="1141"/>
      <c r="F161" s="1141"/>
      <c r="G161" s="1141"/>
      <c r="H161" s="1141"/>
      <c r="I161" s="1141"/>
      <c r="J161" s="1141"/>
      <c r="K161" s="1141"/>
      <c r="L161" s="1141"/>
      <c r="M161" s="1141"/>
      <c r="N161" s="1141"/>
      <c r="O161" s="1141"/>
      <c r="P161" s="1141"/>
      <c r="Q161" s="1141"/>
      <c r="R161" s="542"/>
    </row>
    <row r="162" spans="1:18" ht="15" customHeight="1">
      <c r="A162" s="78"/>
      <c r="B162" s="1139" t="str">
        <f>IF('Start Page'!$H$29="","",'Start Page'!$H$29)</f>
        <v/>
      </c>
      <c r="C162" s="1142"/>
      <c r="D162" s="1142"/>
      <c r="E162" s="1142"/>
      <c r="F162" s="1142"/>
      <c r="G162" s="1142"/>
      <c r="H162" s="1142"/>
      <c r="I162" s="1142"/>
      <c r="J162" s="1142"/>
      <c r="K162" s="1142"/>
      <c r="L162" s="1142"/>
      <c r="M162" s="1142"/>
      <c r="N162" s="1142"/>
      <c r="O162" s="1142"/>
      <c r="P162" s="1142"/>
      <c r="Q162" s="1142"/>
      <c r="R162" s="544"/>
    </row>
    <row r="163" spans="1:18" ht="15" customHeight="1">
      <c r="A163" s="78"/>
      <c r="B163" s="1139"/>
      <c r="C163" s="1142"/>
      <c r="D163" s="1142"/>
      <c r="E163" s="1142"/>
      <c r="F163" s="1142"/>
      <c r="G163" s="1142"/>
      <c r="H163" s="1142"/>
      <c r="I163" s="1142"/>
      <c r="J163" s="1142"/>
      <c r="K163" s="1142"/>
      <c r="L163" s="1142"/>
      <c r="M163" s="1142"/>
      <c r="N163" s="1142"/>
      <c r="O163" s="1142"/>
      <c r="P163" s="1142"/>
      <c r="Q163" s="1142"/>
      <c r="R163" s="544"/>
    </row>
    <row r="164" spans="1:18" ht="15" customHeight="1">
      <c r="A164" s="78"/>
      <c r="B164" s="1139"/>
      <c r="C164" s="1142"/>
      <c r="D164" s="1142"/>
      <c r="E164" s="1142"/>
      <c r="F164" s="1142"/>
      <c r="G164" s="1142"/>
      <c r="H164" s="1142"/>
      <c r="I164" s="1142"/>
      <c r="J164" s="1142"/>
      <c r="K164" s="1142"/>
      <c r="L164" s="1142"/>
      <c r="M164" s="1142"/>
      <c r="N164" s="1142"/>
      <c r="O164" s="1142"/>
      <c r="P164" s="1142"/>
      <c r="Q164" s="1142"/>
      <c r="R164" s="544"/>
    </row>
    <row r="165" spans="1:18" ht="15" customHeight="1">
      <c r="A165" s="78"/>
      <c r="B165" s="1139"/>
      <c r="C165" s="1142"/>
      <c r="D165" s="1142"/>
      <c r="E165" s="1142"/>
      <c r="F165" s="1142"/>
      <c r="G165" s="1142"/>
      <c r="H165" s="1142"/>
      <c r="I165" s="1142"/>
      <c r="J165" s="1142"/>
      <c r="K165" s="1142"/>
      <c r="L165" s="1142"/>
      <c r="M165" s="1142"/>
      <c r="N165" s="1142"/>
      <c r="O165" s="1142"/>
      <c r="P165" s="1142"/>
      <c r="Q165" s="1142"/>
      <c r="R165" s="544"/>
    </row>
    <row r="166" spans="1:18" ht="15" customHeight="1">
      <c r="A166" s="78"/>
      <c r="B166" s="1139"/>
      <c r="C166" s="1142"/>
      <c r="D166" s="1142"/>
      <c r="E166" s="1142"/>
      <c r="F166" s="1142"/>
      <c r="G166" s="1142"/>
      <c r="H166" s="1142"/>
      <c r="I166" s="1142"/>
      <c r="J166" s="1142"/>
      <c r="K166" s="1142"/>
      <c r="L166" s="1142"/>
      <c r="M166" s="1142"/>
      <c r="N166" s="1142"/>
      <c r="O166" s="1142"/>
      <c r="P166" s="1142"/>
      <c r="Q166" s="1142"/>
      <c r="R166" s="544"/>
    </row>
    <row r="167" spans="1:18" ht="15" customHeight="1">
      <c r="A167" s="78"/>
      <c r="B167" s="1139"/>
      <c r="C167" s="1142"/>
      <c r="D167" s="1142"/>
      <c r="E167" s="1142"/>
      <c r="F167" s="1142"/>
      <c r="G167" s="1142"/>
      <c r="H167" s="1142"/>
      <c r="I167" s="1142"/>
      <c r="J167" s="1142"/>
      <c r="K167" s="1142"/>
      <c r="L167" s="1142"/>
      <c r="M167" s="1142"/>
      <c r="N167" s="1142"/>
      <c r="O167" s="1142"/>
      <c r="P167" s="1142"/>
      <c r="Q167" s="1142"/>
      <c r="R167" s="544"/>
    </row>
    <row r="168" spans="1:18" ht="15" customHeight="1">
      <c r="A168" s="78"/>
      <c r="B168" s="1139"/>
      <c r="C168" s="1142"/>
      <c r="D168" s="1142"/>
      <c r="E168" s="1142"/>
      <c r="F168" s="1142"/>
      <c r="G168" s="1142"/>
      <c r="H168" s="1142"/>
      <c r="I168" s="1142"/>
      <c r="J168" s="1142"/>
      <c r="K168" s="1142"/>
      <c r="L168" s="1142"/>
      <c r="M168" s="1142"/>
      <c r="N168" s="1142"/>
      <c r="O168" s="1142"/>
      <c r="P168" s="1142"/>
      <c r="Q168" s="1142"/>
      <c r="R168" s="544"/>
    </row>
    <row r="169" spans="1:18" ht="15" customHeight="1">
      <c r="A169" s="78"/>
      <c r="B169" s="1139"/>
      <c r="C169" s="1142"/>
      <c r="D169" s="1142"/>
      <c r="E169" s="1142"/>
      <c r="F169" s="1142"/>
      <c r="G169" s="1142"/>
      <c r="H169" s="1142"/>
      <c r="I169" s="1142"/>
      <c r="J169" s="1142"/>
      <c r="K169" s="1142"/>
      <c r="L169" s="1142"/>
      <c r="M169" s="1142"/>
      <c r="N169" s="1142"/>
      <c r="O169" s="1142"/>
      <c r="P169" s="1142"/>
      <c r="Q169" s="1142"/>
      <c r="R169" s="544"/>
    </row>
    <row r="170" spans="1:18" ht="15" customHeight="1">
      <c r="A170" s="78"/>
      <c r="B170" s="1139"/>
      <c r="C170" s="1142"/>
      <c r="D170" s="1142"/>
      <c r="E170" s="1142"/>
      <c r="F170" s="1142"/>
      <c r="G170" s="1142"/>
      <c r="H170" s="1142"/>
      <c r="I170" s="1142"/>
      <c r="J170" s="1142"/>
      <c r="K170" s="1142"/>
      <c r="L170" s="1142"/>
      <c r="M170" s="1142"/>
      <c r="N170" s="1142"/>
      <c r="O170" s="1142"/>
      <c r="P170" s="1142"/>
      <c r="Q170" s="1142"/>
      <c r="R170" s="544"/>
    </row>
    <row r="171" spans="1:18" ht="15" customHeight="1">
      <c r="A171" s="78"/>
      <c r="B171" s="1139"/>
      <c r="C171" s="1142"/>
      <c r="D171" s="1142"/>
      <c r="E171" s="1142"/>
      <c r="F171" s="1142"/>
      <c r="G171" s="1142"/>
      <c r="H171" s="1142"/>
      <c r="I171" s="1142"/>
      <c r="J171" s="1142"/>
      <c r="K171" s="1142"/>
      <c r="L171" s="1142"/>
      <c r="M171" s="1142"/>
      <c r="N171" s="1142"/>
      <c r="O171" s="1142"/>
      <c r="P171" s="1142"/>
      <c r="Q171" s="1142"/>
      <c r="R171" s="544"/>
    </row>
    <row r="172" spans="1:18" ht="15" customHeight="1">
      <c r="A172" s="78"/>
      <c r="B172" s="1139"/>
      <c r="C172" s="1142"/>
      <c r="D172" s="1142"/>
      <c r="E172" s="1142"/>
      <c r="F172" s="1142"/>
      <c r="G172" s="1142"/>
      <c r="H172" s="1142"/>
      <c r="I172" s="1142"/>
      <c r="J172" s="1142"/>
      <c r="K172" s="1142"/>
      <c r="L172" s="1142"/>
      <c r="M172" s="1142"/>
      <c r="N172" s="1142"/>
      <c r="O172" s="1142"/>
      <c r="P172" s="1142"/>
      <c r="Q172" s="1142"/>
      <c r="R172" s="544"/>
    </row>
    <row r="173" spans="1:18" ht="15" customHeight="1">
      <c r="A173" s="78"/>
      <c r="B173" s="1139"/>
      <c r="C173" s="1142"/>
      <c r="D173" s="1142"/>
      <c r="E173" s="1142"/>
      <c r="F173" s="1142"/>
      <c r="G173" s="1142"/>
      <c r="H173" s="1142"/>
      <c r="I173" s="1142"/>
      <c r="J173" s="1142"/>
      <c r="K173" s="1142"/>
      <c r="L173" s="1142"/>
      <c r="M173" s="1142"/>
      <c r="N173" s="1142"/>
      <c r="O173" s="1142"/>
      <c r="P173" s="1142"/>
      <c r="Q173" s="1142"/>
      <c r="R173" s="544"/>
    </row>
    <row r="174" spans="1:18" ht="15" customHeight="1">
      <c r="A174" s="78"/>
      <c r="B174" s="1139"/>
      <c r="C174" s="1142"/>
      <c r="D174" s="1142"/>
      <c r="E174" s="1142"/>
      <c r="F174" s="1142"/>
      <c r="G174" s="1142"/>
      <c r="H174" s="1142"/>
      <c r="I174" s="1142"/>
      <c r="J174" s="1142"/>
      <c r="K174" s="1142"/>
      <c r="L174" s="1142"/>
      <c r="M174" s="1142"/>
      <c r="N174" s="1142"/>
      <c r="O174" s="1142"/>
      <c r="P174" s="1142"/>
      <c r="Q174" s="1142"/>
      <c r="R174" s="544"/>
    </row>
    <row r="175" spans="1:18" ht="15" customHeight="1">
      <c r="A175" s="78"/>
      <c r="B175" s="1139"/>
      <c r="C175" s="1142"/>
      <c r="D175" s="1142"/>
      <c r="E175" s="1142"/>
      <c r="F175" s="1142"/>
      <c r="G175" s="1142"/>
      <c r="H175" s="1142"/>
      <c r="I175" s="1142"/>
      <c r="J175" s="1142"/>
      <c r="K175" s="1142"/>
      <c r="L175" s="1142"/>
      <c r="M175" s="1142"/>
      <c r="N175" s="1142"/>
      <c r="O175" s="1142"/>
      <c r="P175" s="1142"/>
      <c r="Q175" s="1142"/>
      <c r="R175" s="544"/>
    </row>
    <row r="176" spans="1:18" ht="15" customHeight="1">
      <c r="A176" s="78"/>
      <c r="B176" s="1139"/>
      <c r="C176" s="1142"/>
      <c r="D176" s="1142"/>
      <c r="E176" s="1142"/>
      <c r="F176" s="1142"/>
      <c r="G176" s="1142"/>
      <c r="H176" s="1142"/>
      <c r="I176" s="1142"/>
      <c r="J176" s="1142"/>
      <c r="K176" s="1142"/>
      <c r="L176" s="1142"/>
      <c r="M176" s="1142"/>
      <c r="N176" s="1142"/>
      <c r="O176" s="1142"/>
      <c r="P176" s="1142"/>
      <c r="Q176" s="1142"/>
      <c r="R176" s="544"/>
    </row>
    <row r="177" spans="1:18" ht="15" customHeight="1">
      <c r="A177" s="78"/>
      <c r="B177" s="1139"/>
      <c r="C177" s="1142"/>
      <c r="D177" s="1142"/>
      <c r="E177" s="1142"/>
      <c r="F177" s="1142"/>
      <c r="G177" s="1142"/>
      <c r="H177" s="1142"/>
      <c r="I177" s="1142"/>
      <c r="J177" s="1142"/>
      <c r="K177" s="1142"/>
      <c r="L177" s="1142"/>
      <c r="M177" s="1142"/>
      <c r="N177" s="1142"/>
      <c r="O177" s="1142"/>
      <c r="P177" s="1142"/>
      <c r="Q177" s="1142"/>
      <c r="R177" s="544"/>
    </row>
    <row r="178" spans="1:18" ht="15" customHeight="1">
      <c r="A178" s="78"/>
      <c r="B178" s="1139"/>
      <c r="C178" s="543"/>
      <c r="D178" s="543"/>
      <c r="E178" s="543"/>
      <c r="F178" s="543"/>
      <c r="G178" s="543"/>
      <c r="H178" s="543"/>
      <c r="I178" s="543"/>
      <c r="J178" s="543"/>
      <c r="K178" s="543"/>
      <c r="L178" s="543"/>
      <c r="M178" s="543"/>
      <c r="N178" s="543"/>
      <c r="O178" s="543"/>
      <c r="P178" s="543"/>
      <c r="Q178" s="543"/>
      <c r="R178" s="544"/>
    </row>
    <row r="179" spans="1:18" ht="20.149999999999999" customHeight="1" thickBot="1">
      <c r="A179" s="26"/>
      <c r="B179" s="1140"/>
      <c r="C179" s="53"/>
      <c r="D179" s="53"/>
      <c r="E179" s="53"/>
      <c r="F179" s="53"/>
      <c r="G179" s="53"/>
      <c r="H179" s="53"/>
      <c r="I179" s="53"/>
      <c r="J179" s="53"/>
      <c r="K179" s="53"/>
      <c r="L179" s="53"/>
      <c r="M179" s="53"/>
      <c r="N179" s="53"/>
      <c r="O179" s="53"/>
      <c r="P179" s="53"/>
      <c r="Q179" s="53"/>
      <c r="R179" s="753" t="s">
        <v>922</v>
      </c>
    </row>
    <row r="180" spans="1:18" hidden="1">
      <c r="A180" s="875"/>
    </row>
  </sheetData>
  <sheetProtection algorithmName="SHA-512" hashValue="ZW9iwuoaxnVXZvNUd6guZC1ITonmqCzrPMGIChkhHKij5qmvwA7A81CxwezqrRTQ/iqxLBiDGVJ3vqsQc39t2A==" saltValue="1FZdb4hrN6h7Ha9BakZiyA==" spinCount="100000" sheet="1" objects="1" scenarios="1"/>
  <mergeCells count="196">
    <mergeCell ref="B3:R3"/>
    <mergeCell ref="C34:R34"/>
    <mergeCell ref="B4:F4"/>
    <mergeCell ref="B110:E110"/>
    <mergeCell ref="P89:Q89"/>
    <mergeCell ref="P77:Q77"/>
    <mergeCell ref="D55:D56"/>
    <mergeCell ref="C83:C84"/>
    <mergeCell ref="D83:D84"/>
    <mergeCell ref="G83:G84"/>
    <mergeCell ref="H83:H84"/>
    <mergeCell ref="M83:M84"/>
    <mergeCell ref="N83:N84"/>
    <mergeCell ref="Q83:Q85"/>
    <mergeCell ref="P83:P85"/>
    <mergeCell ref="J61:K61"/>
    <mergeCell ref="J67:K67"/>
    <mergeCell ref="J77:K77"/>
    <mergeCell ref="J75:K75"/>
    <mergeCell ref="J76:K76"/>
    <mergeCell ref="C81:R81"/>
    <mergeCell ref="C95:C96"/>
    <mergeCell ref="H37:H38"/>
    <mergeCell ref="C55:C56"/>
    <mergeCell ref="G17:P18"/>
    <mergeCell ref="B32:H32"/>
    <mergeCell ref="B106:F106"/>
    <mergeCell ref="D95:D96"/>
    <mergeCell ref="G95:G96"/>
    <mergeCell ref="H95:H96"/>
    <mergeCell ref="I95:L95"/>
    <mergeCell ref="B9:F9"/>
    <mergeCell ref="J68:K68"/>
    <mergeCell ref="J86:K86"/>
    <mergeCell ref="J87:K87"/>
    <mergeCell ref="J88:K88"/>
    <mergeCell ref="J89:K89"/>
    <mergeCell ref="J84:K84"/>
    <mergeCell ref="J85:K85"/>
    <mergeCell ref="B42:H42"/>
    <mergeCell ref="B29:F29"/>
    <mergeCell ref="B17:E17"/>
    <mergeCell ref="B16:E16"/>
    <mergeCell ref="F37:F38"/>
    <mergeCell ref="B91:F91"/>
    <mergeCell ref="H55:H56"/>
    <mergeCell ref="G55:G56"/>
    <mergeCell ref="C22:R22"/>
    <mergeCell ref="M142:M143"/>
    <mergeCell ref="N142:N143"/>
    <mergeCell ref="N154:N155"/>
    <mergeCell ref="M154:M155"/>
    <mergeCell ref="C154:C155"/>
    <mergeCell ref="D154:D155"/>
    <mergeCell ref="H154:H155"/>
    <mergeCell ref="J155:K155"/>
    <mergeCell ref="J66:K66"/>
    <mergeCell ref="J115:K115"/>
    <mergeCell ref="J96:K96"/>
    <mergeCell ref="J97:K97"/>
    <mergeCell ref="J98:K98"/>
    <mergeCell ref="J99:K99"/>
    <mergeCell ref="C114:C115"/>
    <mergeCell ref="D114:D115"/>
    <mergeCell ref="G114:G115"/>
    <mergeCell ref="H114:H115"/>
    <mergeCell ref="M114:M115"/>
    <mergeCell ref="J126:K126"/>
    <mergeCell ref="J127:K127"/>
    <mergeCell ref="J128:K128"/>
    <mergeCell ref="J129:K129"/>
    <mergeCell ref="J136:K136"/>
    <mergeCell ref="L37:R37"/>
    <mergeCell ref="C93:R93"/>
    <mergeCell ref="H36:I36"/>
    <mergeCell ref="I55:L55"/>
    <mergeCell ref="J57:K57"/>
    <mergeCell ref="B47:E47"/>
    <mergeCell ref="J58:K58"/>
    <mergeCell ref="J59:K59"/>
    <mergeCell ref="J60:K60"/>
    <mergeCell ref="J56:K56"/>
    <mergeCell ref="M55:M56"/>
    <mergeCell ref="N55:N56"/>
    <mergeCell ref="C49:R49"/>
    <mergeCell ref="C53:R53"/>
    <mergeCell ref="Q55:Q57"/>
    <mergeCell ref="P55:P57"/>
    <mergeCell ref="B51:F51"/>
    <mergeCell ref="J72:K72"/>
    <mergeCell ref="J158:K158"/>
    <mergeCell ref="J143:K143"/>
    <mergeCell ref="J144:K144"/>
    <mergeCell ref="J145:K145"/>
    <mergeCell ref="J146:K146"/>
    <mergeCell ref="J147:K147"/>
    <mergeCell ref="J148:K148"/>
    <mergeCell ref="J156:K156"/>
    <mergeCell ref="J157:K157"/>
    <mergeCell ref="I154:L154"/>
    <mergeCell ref="G154:G155"/>
    <mergeCell ref="N95:N96"/>
    <mergeCell ref="M95:M96"/>
    <mergeCell ref="J117:K117"/>
    <mergeCell ref="J131:K131"/>
    <mergeCell ref="J132:K132"/>
    <mergeCell ref="J133:K133"/>
    <mergeCell ref="J116:K116"/>
    <mergeCell ref="I114:L114"/>
    <mergeCell ref="H142:H143"/>
    <mergeCell ref="B105:R105"/>
    <mergeCell ref="B150:E150"/>
    <mergeCell ref="J118:K118"/>
    <mergeCell ref="G142:G143"/>
    <mergeCell ref="J123:K123"/>
    <mergeCell ref="J124:K124"/>
    <mergeCell ref="I142:L142"/>
    <mergeCell ref="J134:K134"/>
    <mergeCell ref="J130:K130"/>
    <mergeCell ref="C142:C143"/>
    <mergeCell ref="D142:D143"/>
    <mergeCell ref="B138:H138"/>
    <mergeCell ref="J121:K121"/>
    <mergeCell ref="J122:K122"/>
    <mergeCell ref="AJ142:AJ143"/>
    <mergeCell ref="J119:K119"/>
    <mergeCell ref="J120:K120"/>
    <mergeCell ref="J135:K135"/>
    <mergeCell ref="AH55:AH56"/>
    <mergeCell ref="AI55:AI56"/>
    <mergeCell ref="AJ55:AJ56"/>
    <mergeCell ref="AB55:AB56"/>
    <mergeCell ref="AH83:AH84"/>
    <mergeCell ref="AI83:AI84"/>
    <mergeCell ref="AJ83:AJ84"/>
    <mergeCell ref="AH95:AH96"/>
    <mergeCell ref="AI95:AI96"/>
    <mergeCell ref="AJ95:AJ96"/>
    <mergeCell ref="AC55:AC56"/>
    <mergeCell ref="AD55:AF56"/>
    <mergeCell ref="AB81:AB84"/>
    <mergeCell ref="AB95:AB96"/>
    <mergeCell ref="AC82:AC84"/>
    <mergeCell ref="AD82:AF84"/>
    <mergeCell ref="AC95:AC97"/>
    <mergeCell ref="AD95:AF97"/>
    <mergeCell ref="J125:K125"/>
    <mergeCell ref="N114:N115"/>
    <mergeCell ref="AI114:AI115"/>
    <mergeCell ref="J73:K73"/>
    <mergeCell ref="J74:K74"/>
    <mergeCell ref="J65:K65"/>
    <mergeCell ref="AH154:AH155"/>
    <mergeCell ref="AI154:AI155"/>
    <mergeCell ref="AJ154:AJ155"/>
    <mergeCell ref="P136:Q136"/>
    <mergeCell ref="P148:Q148"/>
    <mergeCell ref="AH114:AH115"/>
    <mergeCell ref="P154:P156"/>
    <mergeCell ref="Q154:Q156"/>
    <mergeCell ref="AB114:AB115"/>
    <mergeCell ref="AB141:AB143"/>
    <mergeCell ref="AB153:AB155"/>
    <mergeCell ref="AC114:AC115"/>
    <mergeCell ref="AD114:AF115"/>
    <mergeCell ref="AC141:AC143"/>
    <mergeCell ref="AD141:AF143"/>
    <mergeCell ref="AC154:AC156"/>
    <mergeCell ref="AD154:AF156"/>
    <mergeCell ref="AJ114:AJ115"/>
    <mergeCell ref="AH142:AH143"/>
    <mergeCell ref="AI142:AI143"/>
    <mergeCell ref="B162:B179"/>
    <mergeCell ref="B1:K2"/>
    <mergeCell ref="C161:Q177"/>
    <mergeCell ref="P44:Q46"/>
    <mergeCell ref="H10:M11"/>
    <mergeCell ref="B79:G79"/>
    <mergeCell ref="B6:F6"/>
    <mergeCell ref="C108:R108"/>
    <mergeCell ref="C112:R112"/>
    <mergeCell ref="C140:R140"/>
    <mergeCell ref="C152:R152"/>
    <mergeCell ref="P95:P97"/>
    <mergeCell ref="Q95:Q97"/>
    <mergeCell ref="P114:P116"/>
    <mergeCell ref="Q114:Q116"/>
    <mergeCell ref="P142:P144"/>
    <mergeCell ref="Q142:Q144"/>
    <mergeCell ref="I83:L83"/>
    <mergeCell ref="J62:K62"/>
    <mergeCell ref="J63:K63"/>
    <mergeCell ref="J64:K64"/>
    <mergeCell ref="J69:K69"/>
    <mergeCell ref="J70:K70"/>
    <mergeCell ref="J71:K71"/>
  </mergeCells>
  <conditionalFormatting sqref="F16">
    <cfRule type="cellIs" dxfId="1" priority="1" operator="lessThan">
      <formula>0</formula>
    </cfRule>
  </conditionalFormatting>
  <dataValidations disablePrompts="1" count="1">
    <dataValidation type="list" allowBlank="1" showInputMessage="1" showErrorMessage="1" sqref="O117 O58">
      <formula1>List_Confidence_Grades</formula1>
    </dataValidation>
  </dataValidations>
  <hyperlinks>
    <hyperlink ref="D10" location="Glossary!C107" tooltip="Click for Definition" display="Reported Leaks"/>
    <hyperlink ref="Y37" location="Glossary_Component_UARL_Values" tooltip="Left mouse-click will display definition" display="Component UARL Values"/>
    <hyperlink ref="Z37" location="Glossary_Component_UARL_Values" tooltip="Left mouse-click will display definition" display="Component UARL Values"/>
    <hyperlink ref="I56" location="Glossary!C26" tooltip="Click for Definition" display="Average Awareness Duration"/>
    <hyperlink ref="J56:K56" location="Glossary!C28" tooltip="Click for definition" display="Average Duration for Location and Repair/ShutOff Leak "/>
    <hyperlink ref="H55:H56" location="Glossary!C79" tooltip="Click for Definition" display="N1 (Leakage-Pressure Exponent) Value"/>
    <hyperlink ref="G55:G56" location="Glossary!C39" tooltip="Click for Definition" display="Average Pressure"/>
    <hyperlink ref="G83:G84" location="Glossary!C39" tooltip="Click for Definition" display="Average Pressure"/>
    <hyperlink ref="G95:G96" location="'Real Losses Component Analysis'!C39" tooltip="Click for Definition" display="Average Pressure"/>
    <hyperlink ref="G114:G115" location="Glossary!C39" tooltip="Click for Definition" display="Average Pressure"/>
    <hyperlink ref="G142:G143" location="Glossary!C39" tooltip="Click for Definition" display="Average Pressure"/>
    <hyperlink ref="G154:G155" location="Glossary!C39" tooltip="Click for Definition" display="Average Pressure"/>
    <hyperlink ref="H83:H84" location="Glossary!C79" tooltip="Click for Definition" display="N1 (Leakage-Pressure Exponent) Value"/>
    <hyperlink ref="H95:H96" location="Glossary!C79" tooltip="Click for Definition" display="N1 (Leakage-Pressure Exponent) Value"/>
    <hyperlink ref="H114:H115" location="Glossary!C79" tooltip="Click for Definition" display="N1 (Leakage-Pressure Exponent) Value"/>
    <hyperlink ref="H142:H143" location="Glossary!C79" tooltip="Click for Definition" display="N1 (Leakage-Pressure Exponent) Value"/>
    <hyperlink ref="H154:H155" location="Glossary!C79" tooltip="Click for Definition" display="N1 (Leakage-Pressure Exponent) Value"/>
    <hyperlink ref="I84" location="Glossary!C26" tooltip="Click for Definition" display="Average Awareness Duration"/>
    <hyperlink ref="I96" location="Glossary!C26" tooltip="Click for Definition" display="Average Awareness Duration"/>
    <hyperlink ref="I115" location="Glossary!C26" tooltip="Click for Definition" display="Average Awareness Duration"/>
    <hyperlink ref="I143" location="Glossary!C26" tooltip="Click for Definition" display="Average Awareness Duration"/>
    <hyperlink ref="I155" location="Glossary!C26" tooltip="Click for Definition" display="Average Awareness Duration"/>
    <hyperlink ref="J84:K84" location="Glossary!C28" tooltip="Click for Definition" display="Average Duration for Location and Repair/ShutOff Leak "/>
    <hyperlink ref="J96:K96" location="Glossary!C28" tooltip="Click for Definition" display="Average Duration for Location and Repair/ShutOff Leak "/>
    <hyperlink ref="J115:K115" location="Glossary!C28" tooltip="Click for Definition" display="Average Duration for Location and Repair/ShutOff Leak "/>
    <hyperlink ref="J143:K143" location="Glossary!C28" tooltip="Click for Definition" display="Average Duration for Location and Repair/ShutOff Leak "/>
    <hyperlink ref="J155:K155" location="'Real Losses Component Analysis'!C28" tooltip="Click for Definition" display="Average Duration for Location and Repair/ShutOff Leak "/>
    <hyperlink ref="L37" location="Glossary!C63" tooltip="Click for Definition" display="Select Infrastructure Condition Factor (ICF) based on age of distribution network"/>
    <hyperlink ref="F37:F38" location="Glossary!C73" tooltip="Click for Definition" display="Infrastructure Condition Factor"/>
    <hyperlink ref="E37" location="Glossary!C127" tooltip="Click for Definition" display="Component UARL Values"/>
    <hyperlink ref="H37:H38" location="Glossary!C79" tooltip="Click for Definition" display="N1 (Leakage-Pressure Exponent) Value"/>
    <hyperlink ref="G37" location="Glossary!C39" tooltip="Click for Definition" display="Average Pressure"/>
    <hyperlink ref="M55:M56" location="Glossary!C24" tooltip="Click for Definition" display="Average Annual Loss per Leak"/>
    <hyperlink ref="M83:M84" location="Glossary!C24" tooltip="Click for Definition" display="Average Annual Loss per Leak"/>
    <hyperlink ref="M95:M96" location="Glossary!C24" tooltip="Click for Definition" display="Average Annual Loss per Leak"/>
    <hyperlink ref="M114:M115" location="Glossary!C24" tooltip="Click for Definition" display="Average Annual Loss per Leak"/>
    <hyperlink ref="M142:M143" location="Glossary!C24" tooltip="Click for Definition" display="Average Annual Loss per Leak"/>
    <hyperlink ref="M154:M155" location="Glossary!C24" tooltip="Click for Definition" display="Average Annual Loss per Leak"/>
    <hyperlink ref="C10" location="Glossary!C45" tooltip="Click for Definition" display="Background Leakage"/>
    <hyperlink ref="E10" location="Glossary!C136" tooltip="Click for Definition" display="Unreported Leaks"/>
    <hyperlink ref="E55" location="Glossary!C67" tooltip="Click for Definition" display="Failure Frequency"/>
    <hyperlink ref="E83" location="Glossary!C67" tooltip="Click for Definition" display="Failure Frequency"/>
    <hyperlink ref="E95" location="Glossary!C67" tooltip="Click for Definition" display="Failure Frequency"/>
    <hyperlink ref="E114" location="Glossary!C67" tooltip="Click for Definition" display="Failure Frequency"/>
    <hyperlink ref="E142" location="Glossary!C67" tooltip="Click for Definition" display="Failure Frequency"/>
    <hyperlink ref="E154" location="Glossary!C67" tooltip="Click for Definition" display="Failure Frequency"/>
    <hyperlink ref="F55" location="Glossary!C34" tooltip="Click for Definition" display="Average Leak Flow Rate @ "/>
    <hyperlink ref="F83" location="Glossary!C34" tooltip="Click for Definition" display="Average Leak Flow Rate @ "/>
    <hyperlink ref="F95" location="Glossary!C34" tooltip="Click for Definition" display="Average Leak Flow Rate @ "/>
    <hyperlink ref="F114" location="Glossary!C34" tooltip="Click for Definition" display="Average Leak Flow Rate @ "/>
    <hyperlink ref="F142" location="Glossary!C34" tooltip="Click for Definition" display="Average Leak Flow Rate @ "/>
    <hyperlink ref="F154" location="Glossary!C34" tooltip="Click for Definition" display="Average Leak Flow Rate @ "/>
    <hyperlink ref="R154" location="Glossary!C34" tooltip="Click for Definition" display="Average Leak Flow Rate @"/>
    <hyperlink ref="P154:P156" location="Glossary!C34" tooltip="Click for Definition" display="Use Default Average Leak Flow Rate"/>
    <hyperlink ref="Q154:Q156" location="Glossary!C34" tooltip="Click for Definition" display="Use Utility Specific Average Leak Flow Rate "/>
    <hyperlink ref="P142:P144" location="Glossary!C34" tooltip="Click for Definition" display="Use Default Average Leak Flow Rate"/>
    <hyperlink ref="Q142:Q144" location="Glossary!C34" tooltip="Click for Definition" display="Use Utility Specific Average Leak Flow Rate "/>
    <hyperlink ref="R142" location="Glossary!C34" tooltip="Click for Definition" display="Average Leak Flow Rate @"/>
    <hyperlink ref="P114:P116" location="Glossary!C34" tooltip="Click for Definition" display="Use Default Average Leak Flow Rate"/>
    <hyperlink ref="Q114:Q116" location="Glossary!C34" tooltip="Click for Definition" display="Use Utility Specific Average Leak Flow Rate "/>
    <hyperlink ref="R114" location="Glossary!C34" tooltip="Click for Definition" display="Average Leak Flow Rate @"/>
    <hyperlink ref="P95:P97" location="Glossary!C34" tooltip="Click for Definition" display="Use Default Average Leak Flow Rate"/>
    <hyperlink ref="Q95:Q97" location="Glossary!C34" tooltip="Click for Definition" display="Use Utility Specific Average Leak Flow Rate "/>
    <hyperlink ref="R95" location="Glossary!C34" tooltip="Click for Definition" display="Average Leak Flow Rate @"/>
    <hyperlink ref="R83" location="Glossary!C34" tooltip="Click for Definition" display="Average Leak Flow Rate @"/>
    <hyperlink ref="Q83:Q85" location="Glossary!C34" tooltip="Click for Definition" display="Use Utility Specific Average Leak Flow Rate "/>
    <hyperlink ref="P83:P85" location="'Real Losses Component Analysis'!C34" tooltip="Click for Definition" display="Use Default Average Leak Flow Rate"/>
    <hyperlink ref="R55" location="Glossary!C34" tooltip="Click for Definition" display="Average Leak Flow Rate @"/>
    <hyperlink ref="Q55:Q57" location="Glossary!C34" tooltip="Click for Definition" display="Use Utility Specific Average Leak Flow Rate "/>
    <hyperlink ref="P55:P57" location="Glossary!C34" tooltip="Click for Definition" display="Use Default Average Leak Flow Rate"/>
    <hyperlink ref="B47:E47" location="Glossary!C109" tooltip="Click for Definition" display="STEP 3: REPORTED LEAKS AND BREAKS"/>
    <hyperlink ref="B106:F106" location="Glossary!C110" tooltip="Click for Definition" display="STEP 4: UNREPORTED LEAKS AND BREAKS"/>
    <hyperlink ref="B32:H32" location="Glossary!C43" tooltip="Click for Definition" display="Step 2: BACKGROUND LEAKAGE ON MAINS AND SERVICES"/>
    <hyperlink ref="N83:N84" location="Glossary!C123" tooltip="Click for Definition" display="Total Annual Loss"/>
    <hyperlink ref="N55:N56" location="Glossary!C123" tooltip="Click for Definition" display="Total Annual Loss"/>
    <hyperlink ref="N95:N96" location="Glossary!C123" tooltip="Click for Definition" display="Total Annual Loss"/>
    <hyperlink ref="N114:N115" location="Glossary!C123" tooltip="Click for Definition" display="Total Annual Loss"/>
    <hyperlink ref="N142:N143" location="Glossary!C123" tooltip="Click for Definition" display="Total Annual Loss"/>
    <hyperlink ref="N154:N155" location="Glossary!C123" tooltip="Click for Definition" display="Total Annual Loss"/>
    <hyperlink ref="D154:D155" location="Glossary!C115" tooltip="Click for Definition" display="Total Number of Service Connections"/>
    <hyperlink ref="D95:D96" location="Glossary!C115" tooltip="Click for Definition" display="Total Number of Service Connections"/>
    <hyperlink ref="B26" location="Glossary!C113" tooltip="Click for Definition" display="Total Reservoir Capacity "/>
    <hyperlink ref="B27" location="Glossary!C109" tooltip="Click for Definition" display="Reported Reservoir Leakage and any recorded Reservoir and Tank Overflows"/>
    <hyperlink ref="B28" location="Glossary!C136" tooltip="Click for Definition" display="Unreported Reservoir Leakage"/>
    <hyperlink ref="B40" location="Glossary!C115" tooltip="Click for Definition" display="Services - Main to Curb-Stop"/>
    <hyperlink ref="B41" location="Glossary!C115" tooltip="Click for Definition" display="Services - Curb-Stop to Meter"/>
    <hyperlink ref="L37:Q37" location="Glossary!C73" tooltip="Click for Definition" display="Select Infrastructure Condition Factor (ICF) based on age of distribution network"/>
    <hyperlink ref="Y42" location="Glossary_Component_UARL_Values" tooltip="Left mouse-click will display definition" display="Component UARL Values"/>
    <hyperlink ref="Z42" location="Glossary_Component_UARL_Values" tooltip="Left mouse-click will display definition" display="Component UARL Values"/>
  </hyperlinks>
  <pageMargins left="0.5" right="0.55000000000000004" top="0.5" bottom="0.75" header="0.5" footer="0.5"/>
  <pageSetup scale="51" fitToHeight="5" pageOrder="overThenDown" orientation="landscape" r:id="rId1"/>
  <headerFooter alignWithMargins="0">
    <oddFooter>&amp;L&amp;F - &amp;A - &amp;P&amp;R&amp;D</oddFooter>
  </headerFooter>
  <rowBreaks count="4" manualBreakCount="4">
    <brk id="45" min="1" max="17" man="1"/>
    <brk id="78" min="1" max="17" man="1"/>
    <brk id="104" min="1" max="17" man="1"/>
    <brk id="137" min="1" max="17" man="1"/>
  </rowBreaks>
  <ignoredErrors>
    <ignoredError sqref="M58:N77 E58:F77" emptyCellReference="1"/>
    <ignoredError sqref="L86:L89 L98:L99 L117:L136 L145:L148 L157:L158" formulaRange="1"/>
    <ignoredError sqref="L58:L77" formulaRange="1" emptyCellReference="1"/>
  </ignoredErrors>
  <drawing r:id="rId2"/>
  <legacyDrawing r:id="rId3"/>
  <controls>
    <mc:AlternateContent xmlns:mc="http://schemas.openxmlformats.org/markup-compatibility/2006">
      <mc:Choice Requires="x14">
        <control shapeId="19535" r:id="rId4" name="ResLevelDefault">
          <controlPr defaultSize="0" autoLine="0" autoPict="0" r:id="rId5">
            <anchor moveWithCells="1" sizeWithCells="1">
              <from>
                <xdr:col>8</xdr:col>
                <xdr:colOff>0</xdr:colOff>
                <xdr:row>24</xdr:row>
                <xdr:rowOff>0</xdr:rowOff>
              </from>
              <to>
                <xdr:col>10</xdr:col>
                <xdr:colOff>0</xdr:colOff>
                <xdr:row>25</xdr:row>
                <xdr:rowOff>0</xdr:rowOff>
              </to>
            </anchor>
          </controlPr>
        </control>
      </mc:Choice>
      <mc:Fallback>
        <control shapeId="19535" r:id="rId4" name="ResLevelDefault"/>
      </mc:Fallback>
    </mc:AlternateContent>
    <mc:AlternateContent xmlns:mc="http://schemas.openxmlformats.org/markup-compatibility/2006">
      <mc:Choice Requires="x14">
        <control shapeId="19536" r:id="rId6" name="ResLevelUser">
          <controlPr defaultSize="0" autoLine="0" autoPict="0" r:id="rId7">
            <anchor moveWithCells="1" sizeWithCells="1">
              <from>
                <xdr:col>8</xdr:col>
                <xdr:colOff>0</xdr:colOff>
                <xdr:row>26</xdr:row>
                <xdr:rowOff>0</xdr:rowOff>
              </from>
              <to>
                <xdr:col>10</xdr:col>
                <xdr:colOff>0</xdr:colOff>
                <xdr:row>29</xdr:row>
                <xdr:rowOff>0</xdr:rowOff>
              </to>
            </anchor>
          </controlPr>
        </control>
      </mc:Choice>
      <mc:Fallback>
        <control shapeId="19536" r:id="rId6" name="ResLevelUser"/>
      </mc:Fallback>
    </mc:AlternateContent>
    <mc:AlternateContent xmlns:mc="http://schemas.openxmlformats.org/markup-compatibility/2006">
      <mc:Choice Requires="x14">
        <control shapeId="19538" r:id="rId8" name="ICF_Young">
          <controlPr defaultSize="0" autoLine="0" r:id="rId9">
            <anchor moveWithCells="1" sizeWithCells="1">
              <from>
                <xdr:col>10</xdr:col>
                <xdr:colOff>412750</xdr:colOff>
                <xdr:row>37</xdr:row>
                <xdr:rowOff>0</xdr:rowOff>
              </from>
              <to>
                <xdr:col>15</xdr:col>
                <xdr:colOff>0</xdr:colOff>
                <xdr:row>38</xdr:row>
                <xdr:rowOff>0</xdr:rowOff>
              </to>
            </anchor>
          </controlPr>
        </control>
      </mc:Choice>
      <mc:Fallback>
        <control shapeId="19538" r:id="rId8" name="ICF_Young"/>
      </mc:Fallback>
    </mc:AlternateContent>
    <mc:AlternateContent xmlns:mc="http://schemas.openxmlformats.org/markup-compatibility/2006">
      <mc:Choice Requires="x14">
        <control shapeId="19539" r:id="rId10" name="ICF_Medium">
          <controlPr defaultSize="0" autoLine="0" r:id="rId11">
            <anchor moveWithCells="1" sizeWithCells="1">
              <from>
                <xdr:col>10</xdr:col>
                <xdr:colOff>412750</xdr:colOff>
                <xdr:row>38</xdr:row>
                <xdr:rowOff>0</xdr:rowOff>
              </from>
              <to>
                <xdr:col>15</xdr:col>
                <xdr:colOff>0</xdr:colOff>
                <xdr:row>39</xdr:row>
                <xdr:rowOff>0</xdr:rowOff>
              </to>
            </anchor>
          </controlPr>
        </control>
      </mc:Choice>
      <mc:Fallback>
        <control shapeId="19539" r:id="rId10" name="ICF_Medium"/>
      </mc:Fallback>
    </mc:AlternateContent>
    <mc:AlternateContent xmlns:mc="http://schemas.openxmlformats.org/markup-compatibility/2006">
      <mc:Choice Requires="x14">
        <control shapeId="19540" r:id="rId12" name="ICF_old">
          <controlPr defaultSize="0" autoLine="0" r:id="rId13">
            <anchor moveWithCells="1" sizeWithCells="1">
              <from>
                <xdr:col>10</xdr:col>
                <xdr:colOff>412750</xdr:colOff>
                <xdr:row>39</xdr:row>
                <xdr:rowOff>0</xdr:rowOff>
              </from>
              <to>
                <xdr:col>15</xdr:col>
                <xdr:colOff>0</xdr:colOff>
                <xdr:row>40</xdr:row>
                <xdr:rowOff>0</xdr:rowOff>
              </to>
            </anchor>
          </controlPr>
        </control>
      </mc:Choice>
      <mc:Fallback>
        <control shapeId="19540" r:id="rId12" name="ICF_old"/>
      </mc:Fallback>
    </mc:AlternateContent>
    <mc:AlternateContent xmlns:mc="http://schemas.openxmlformats.org/markup-compatibility/2006">
      <mc:Choice Requires="x14">
        <control shapeId="19541" r:id="rId14" name="ICF_Custom">
          <controlPr defaultSize="0" autoLine="0" r:id="rId15">
            <anchor moveWithCells="1" sizeWithCells="1">
              <from>
                <xdr:col>10</xdr:col>
                <xdr:colOff>412750</xdr:colOff>
                <xdr:row>41</xdr:row>
                <xdr:rowOff>0</xdr:rowOff>
              </from>
              <to>
                <xdr:col>15</xdr:col>
                <xdr:colOff>0</xdr:colOff>
                <xdr:row>45</xdr:row>
                <xdr:rowOff>0</xdr:rowOff>
              </to>
            </anchor>
          </controlPr>
        </control>
      </mc:Choice>
      <mc:Fallback>
        <control shapeId="19541" r:id="rId14" name="ICF_Custom"/>
      </mc:Fallback>
    </mc:AlternateContent>
    <mc:AlternateContent xmlns:mc="http://schemas.openxmlformats.org/markup-compatibility/2006">
      <mc:Choice Requires="x14">
        <control shapeId="19544" r:id="rId16" name="Rep_DM2_Avg">
          <controlPr defaultSize="0" autoLine="0" r:id="rId17">
            <anchor moveWithCells="1">
              <from>
                <xdr:col>15</xdr:col>
                <xdr:colOff>527050</xdr:colOff>
                <xdr:row>57</xdr:row>
                <xdr:rowOff>95250</xdr:rowOff>
              </from>
              <to>
                <xdr:col>16</xdr:col>
                <xdr:colOff>31750</xdr:colOff>
                <xdr:row>57</xdr:row>
                <xdr:rowOff>247650</xdr:rowOff>
              </to>
            </anchor>
          </controlPr>
        </control>
      </mc:Choice>
      <mc:Fallback>
        <control shapeId="19544" r:id="rId16" name="Rep_DM2_Avg"/>
      </mc:Fallback>
    </mc:AlternateContent>
    <mc:AlternateContent xmlns:mc="http://schemas.openxmlformats.org/markup-compatibility/2006">
      <mc:Choice Requires="x14">
        <control shapeId="19572" r:id="rId18" name="Rep_DM2_Util">
          <controlPr defaultSize="0" autoLine="0" r:id="rId19">
            <anchor moveWithCells="1">
              <from>
                <xdr:col>16</xdr:col>
                <xdr:colOff>533400</xdr:colOff>
                <xdr:row>57</xdr:row>
                <xdr:rowOff>95250</xdr:rowOff>
              </from>
              <to>
                <xdr:col>17</xdr:col>
                <xdr:colOff>25400</xdr:colOff>
                <xdr:row>57</xdr:row>
                <xdr:rowOff>247650</xdr:rowOff>
              </to>
            </anchor>
          </controlPr>
        </control>
      </mc:Choice>
      <mc:Fallback>
        <control shapeId="19572" r:id="rId18" name="Rep_DM2_Util"/>
      </mc:Fallback>
    </mc:AlternateContent>
    <mc:AlternateContent xmlns:mc="http://schemas.openxmlformats.org/markup-compatibility/2006">
      <mc:Choice Requires="x14">
        <control shapeId="19573" r:id="rId20" name="Rep_DM3_Avg">
          <controlPr defaultSize="0" autoLine="0" r:id="rId17">
            <anchor moveWithCells="1">
              <from>
                <xdr:col>15</xdr:col>
                <xdr:colOff>527050</xdr:colOff>
                <xdr:row>58</xdr:row>
                <xdr:rowOff>95250</xdr:rowOff>
              </from>
              <to>
                <xdr:col>16</xdr:col>
                <xdr:colOff>31750</xdr:colOff>
                <xdr:row>58</xdr:row>
                <xdr:rowOff>247650</xdr:rowOff>
              </to>
            </anchor>
          </controlPr>
        </control>
      </mc:Choice>
      <mc:Fallback>
        <control shapeId="19573" r:id="rId20" name="Rep_DM3_Avg"/>
      </mc:Fallback>
    </mc:AlternateContent>
    <mc:AlternateContent xmlns:mc="http://schemas.openxmlformats.org/markup-compatibility/2006">
      <mc:Choice Requires="x14">
        <control shapeId="19574" r:id="rId21" name="Rep_DM3_Util">
          <controlPr defaultSize="0" autoLine="0" r:id="rId19">
            <anchor moveWithCells="1">
              <from>
                <xdr:col>16</xdr:col>
                <xdr:colOff>533400</xdr:colOff>
                <xdr:row>58</xdr:row>
                <xdr:rowOff>95250</xdr:rowOff>
              </from>
              <to>
                <xdr:col>17</xdr:col>
                <xdr:colOff>25400</xdr:colOff>
                <xdr:row>58</xdr:row>
                <xdr:rowOff>247650</xdr:rowOff>
              </to>
            </anchor>
          </controlPr>
        </control>
      </mc:Choice>
      <mc:Fallback>
        <control shapeId="19574" r:id="rId21" name="Rep_DM3_Util"/>
      </mc:Fallback>
    </mc:AlternateContent>
    <mc:AlternateContent xmlns:mc="http://schemas.openxmlformats.org/markup-compatibility/2006">
      <mc:Choice Requires="x14">
        <control shapeId="19575" r:id="rId22" name="Rep_DM4_Avg">
          <controlPr defaultSize="0" autoLine="0" r:id="rId17">
            <anchor moveWithCells="1">
              <from>
                <xdr:col>15</xdr:col>
                <xdr:colOff>527050</xdr:colOff>
                <xdr:row>59</xdr:row>
                <xdr:rowOff>95250</xdr:rowOff>
              </from>
              <to>
                <xdr:col>16</xdr:col>
                <xdr:colOff>31750</xdr:colOff>
                <xdr:row>59</xdr:row>
                <xdr:rowOff>247650</xdr:rowOff>
              </to>
            </anchor>
          </controlPr>
        </control>
      </mc:Choice>
      <mc:Fallback>
        <control shapeId="19575" r:id="rId22" name="Rep_DM4_Avg"/>
      </mc:Fallback>
    </mc:AlternateContent>
    <mc:AlternateContent xmlns:mc="http://schemas.openxmlformats.org/markup-compatibility/2006">
      <mc:Choice Requires="x14">
        <control shapeId="19576" r:id="rId23" name="Rep_DM6_Avg">
          <controlPr defaultSize="0" autoLine="0" r:id="rId17">
            <anchor moveWithCells="1">
              <from>
                <xdr:col>15</xdr:col>
                <xdr:colOff>527050</xdr:colOff>
                <xdr:row>60</xdr:row>
                <xdr:rowOff>95250</xdr:rowOff>
              </from>
              <to>
                <xdr:col>16</xdr:col>
                <xdr:colOff>31750</xdr:colOff>
                <xdr:row>60</xdr:row>
                <xdr:rowOff>247650</xdr:rowOff>
              </to>
            </anchor>
          </controlPr>
        </control>
      </mc:Choice>
      <mc:Fallback>
        <control shapeId="19576" r:id="rId23" name="Rep_DM6_Avg"/>
      </mc:Fallback>
    </mc:AlternateContent>
    <mc:AlternateContent xmlns:mc="http://schemas.openxmlformats.org/markup-compatibility/2006">
      <mc:Choice Requires="x14">
        <control shapeId="19577" r:id="rId24" name="Rep_DM4_Util">
          <controlPr defaultSize="0" autoLine="0" r:id="rId19">
            <anchor moveWithCells="1">
              <from>
                <xdr:col>16</xdr:col>
                <xdr:colOff>533400</xdr:colOff>
                <xdr:row>59</xdr:row>
                <xdr:rowOff>95250</xdr:rowOff>
              </from>
              <to>
                <xdr:col>17</xdr:col>
                <xdr:colOff>25400</xdr:colOff>
                <xdr:row>59</xdr:row>
                <xdr:rowOff>247650</xdr:rowOff>
              </to>
            </anchor>
          </controlPr>
        </control>
      </mc:Choice>
      <mc:Fallback>
        <control shapeId="19577" r:id="rId24" name="Rep_DM4_Util"/>
      </mc:Fallback>
    </mc:AlternateContent>
    <mc:AlternateContent xmlns:mc="http://schemas.openxmlformats.org/markup-compatibility/2006">
      <mc:Choice Requires="x14">
        <control shapeId="19578" r:id="rId25" name="Rep_DM6_Util">
          <controlPr defaultSize="0" autoLine="0" r:id="rId19">
            <anchor moveWithCells="1">
              <from>
                <xdr:col>16</xdr:col>
                <xdr:colOff>533400</xdr:colOff>
                <xdr:row>60</xdr:row>
                <xdr:rowOff>95250</xdr:rowOff>
              </from>
              <to>
                <xdr:col>17</xdr:col>
                <xdr:colOff>25400</xdr:colOff>
                <xdr:row>60</xdr:row>
                <xdr:rowOff>247650</xdr:rowOff>
              </to>
            </anchor>
          </controlPr>
        </control>
      </mc:Choice>
      <mc:Fallback>
        <control shapeId="19578" r:id="rId25" name="Rep_DM6_Util"/>
      </mc:Fallback>
    </mc:AlternateContent>
    <mc:AlternateContent xmlns:mc="http://schemas.openxmlformats.org/markup-compatibility/2006">
      <mc:Choice Requires="x14">
        <control shapeId="19579" r:id="rId26" name="Rep_DM12_Util">
          <controlPr defaultSize="0" autoLine="0" r:id="rId19">
            <anchor moveWithCells="1">
              <from>
                <xdr:col>16</xdr:col>
                <xdr:colOff>533400</xdr:colOff>
                <xdr:row>63</xdr:row>
                <xdr:rowOff>95250</xdr:rowOff>
              </from>
              <to>
                <xdr:col>17</xdr:col>
                <xdr:colOff>25400</xdr:colOff>
                <xdr:row>63</xdr:row>
                <xdr:rowOff>247650</xdr:rowOff>
              </to>
            </anchor>
          </controlPr>
        </control>
      </mc:Choice>
      <mc:Fallback>
        <control shapeId="19579" r:id="rId26" name="Rep_DM12_Util"/>
      </mc:Fallback>
    </mc:AlternateContent>
    <mc:AlternateContent xmlns:mc="http://schemas.openxmlformats.org/markup-compatibility/2006">
      <mc:Choice Requires="x14">
        <control shapeId="19580" r:id="rId27" name="Rep_DM10_Util">
          <controlPr defaultSize="0" autoLine="0" r:id="rId19">
            <anchor moveWithCells="1">
              <from>
                <xdr:col>16</xdr:col>
                <xdr:colOff>533400</xdr:colOff>
                <xdr:row>62</xdr:row>
                <xdr:rowOff>95250</xdr:rowOff>
              </from>
              <to>
                <xdr:col>17</xdr:col>
                <xdr:colOff>25400</xdr:colOff>
                <xdr:row>62</xdr:row>
                <xdr:rowOff>247650</xdr:rowOff>
              </to>
            </anchor>
          </controlPr>
        </control>
      </mc:Choice>
      <mc:Fallback>
        <control shapeId="19580" r:id="rId27" name="Rep_DM10_Util"/>
      </mc:Fallback>
    </mc:AlternateContent>
    <mc:AlternateContent xmlns:mc="http://schemas.openxmlformats.org/markup-compatibility/2006">
      <mc:Choice Requires="x14">
        <control shapeId="19581" r:id="rId28" name="Rep_DM10_Avg">
          <controlPr defaultSize="0" autoLine="0" r:id="rId17">
            <anchor moveWithCells="1">
              <from>
                <xdr:col>15</xdr:col>
                <xdr:colOff>527050</xdr:colOff>
                <xdr:row>62</xdr:row>
                <xdr:rowOff>95250</xdr:rowOff>
              </from>
              <to>
                <xdr:col>16</xdr:col>
                <xdr:colOff>31750</xdr:colOff>
                <xdr:row>62</xdr:row>
                <xdr:rowOff>247650</xdr:rowOff>
              </to>
            </anchor>
          </controlPr>
        </control>
      </mc:Choice>
      <mc:Fallback>
        <control shapeId="19581" r:id="rId28" name="Rep_DM10_Avg"/>
      </mc:Fallback>
    </mc:AlternateContent>
    <mc:AlternateContent xmlns:mc="http://schemas.openxmlformats.org/markup-compatibility/2006">
      <mc:Choice Requires="x14">
        <control shapeId="19582" r:id="rId29" name="Rep_DM8_Util">
          <controlPr defaultSize="0" autoLine="0" r:id="rId19">
            <anchor moveWithCells="1">
              <from>
                <xdr:col>16</xdr:col>
                <xdr:colOff>533400</xdr:colOff>
                <xdr:row>61</xdr:row>
                <xdr:rowOff>95250</xdr:rowOff>
              </from>
              <to>
                <xdr:col>17</xdr:col>
                <xdr:colOff>25400</xdr:colOff>
                <xdr:row>61</xdr:row>
                <xdr:rowOff>247650</xdr:rowOff>
              </to>
            </anchor>
          </controlPr>
        </control>
      </mc:Choice>
      <mc:Fallback>
        <control shapeId="19582" r:id="rId29" name="Rep_DM8_Util"/>
      </mc:Fallback>
    </mc:AlternateContent>
    <mc:AlternateContent xmlns:mc="http://schemas.openxmlformats.org/markup-compatibility/2006">
      <mc:Choice Requires="x14">
        <control shapeId="19583" r:id="rId30" name="Rep_DM8_Avg">
          <controlPr defaultSize="0" autoLine="0" r:id="rId17">
            <anchor moveWithCells="1">
              <from>
                <xdr:col>15</xdr:col>
                <xdr:colOff>527050</xdr:colOff>
                <xdr:row>61</xdr:row>
                <xdr:rowOff>95250</xdr:rowOff>
              </from>
              <to>
                <xdr:col>16</xdr:col>
                <xdr:colOff>31750</xdr:colOff>
                <xdr:row>61</xdr:row>
                <xdr:rowOff>247650</xdr:rowOff>
              </to>
            </anchor>
          </controlPr>
        </control>
      </mc:Choice>
      <mc:Fallback>
        <control shapeId="19583" r:id="rId30" name="Rep_DM8_Avg"/>
      </mc:Fallback>
    </mc:AlternateContent>
    <mc:AlternateContent xmlns:mc="http://schemas.openxmlformats.org/markup-compatibility/2006">
      <mc:Choice Requires="x14">
        <control shapeId="19584" r:id="rId31" name="Rep_DM30_Util">
          <controlPr defaultSize="0" autoLine="0" r:id="rId19">
            <anchor moveWithCells="1">
              <from>
                <xdr:col>16</xdr:col>
                <xdr:colOff>533400</xdr:colOff>
                <xdr:row>69</xdr:row>
                <xdr:rowOff>95250</xdr:rowOff>
              </from>
              <to>
                <xdr:col>17</xdr:col>
                <xdr:colOff>25400</xdr:colOff>
                <xdr:row>69</xdr:row>
                <xdr:rowOff>247650</xdr:rowOff>
              </to>
            </anchor>
          </controlPr>
        </control>
      </mc:Choice>
      <mc:Fallback>
        <control shapeId="19584" r:id="rId31" name="Rep_DM30_Util"/>
      </mc:Fallback>
    </mc:AlternateContent>
    <mc:AlternateContent xmlns:mc="http://schemas.openxmlformats.org/markup-compatibility/2006">
      <mc:Choice Requires="x14">
        <control shapeId="19585" r:id="rId32" name="Rep_DM30_Avg">
          <controlPr defaultSize="0" autoLine="0" r:id="rId17">
            <anchor moveWithCells="1">
              <from>
                <xdr:col>15</xdr:col>
                <xdr:colOff>527050</xdr:colOff>
                <xdr:row>69</xdr:row>
                <xdr:rowOff>95250</xdr:rowOff>
              </from>
              <to>
                <xdr:col>16</xdr:col>
                <xdr:colOff>31750</xdr:colOff>
                <xdr:row>69</xdr:row>
                <xdr:rowOff>247650</xdr:rowOff>
              </to>
            </anchor>
          </controlPr>
        </control>
      </mc:Choice>
      <mc:Fallback>
        <control shapeId="19585" r:id="rId32" name="Rep_DM30_Avg"/>
      </mc:Fallback>
    </mc:AlternateContent>
    <mc:AlternateContent xmlns:mc="http://schemas.openxmlformats.org/markup-compatibility/2006">
      <mc:Choice Requires="x14">
        <control shapeId="19586" r:id="rId33" name="Rep_DM36_Util">
          <controlPr defaultSize="0" autoLine="0" r:id="rId19">
            <anchor moveWithCells="1">
              <from>
                <xdr:col>16</xdr:col>
                <xdr:colOff>533400</xdr:colOff>
                <xdr:row>70</xdr:row>
                <xdr:rowOff>95250</xdr:rowOff>
              </from>
              <to>
                <xdr:col>17</xdr:col>
                <xdr:colOff>25400</xdr:colOff>
                <xdr:row>70</xdr:row>
                <xdr:rowOff>247650</xdr:rowOff>
              </to>
            </anchor>
          </controlPr>
        </control>
      </mc:Choice>
      <mc:Fallback>
        <control shapeId="19586" r:id="rId33" name="Rep_DM36_Util"/>
      </mc:Fallback>
    </mc:AlternateContent>
    <mc:AlternateContent xmlns:mc="http://schemas.openxmlformats.org/markup-compatibility/2006">
      <mc:Choice Requires="x14">
        <control shapeId="19587" r:id="rId34" name="Rep_DM36_Avg">
          <controlPr defaultSize="0" autoLine="0" r:id="rId17">
            <anchor moveWithCells="1">
              <from>
                <xdr:col>15</xdr:col>
                <xdr:colOff>527050</xdr:colOff>
                <xdr:row>70</xdr:row>
                <xdr:rowOff>95250</xdr:rowOff>
              </from>
              <to>
                <xdr:col>16</xdr:col>
                <xdr:colOff>31750</xdr:colOff>
                <xdr:row>70</xdr:row>
                <xdr:rowOff>247650</xdr:rowOff>
              </to>
            </anchor>
          </controlPr>
        </control>
      </mc:Choice>
      <mc:Fallback>
        <control shapeId="19587" r:id="rId34" name="Rep_DM36_Avg"/>
      </mc:Fallback>
    </mc:AlternateContent>
    <mc:AlternateContent xmlns:mc="http://schemas.openxmlformats.org/markup-compatibility/2006">
      <mc:Choice Requires="x14">
        <control shapeId="19588" r:id="rId35" name="Rep_DM42_Util">
          <controlPr defaultSize="0" autoLine="0" r:id="rId19">
            <anchor moveWithCells="1">
              <from>
                <xdr:col>16</xdr:col>
                <xdr:colOff>533400</xdr:colOff>
                <xdr:row>71</xdr:row>
                <xdr:rowOff>95250</xdr:rowOff>
              </from>
              <to>
                <xdr:col>17</xdr:col>
                <xdr:colOff>25400</xdr:colOff>
                <xdr:row>71</xdr:row>
                <xdr:rowOff>247650</xdr:rowOff>
              </to>
            </anchor>
          </controlPr>
        </control>
      </mc:Choice>
      <mc:Fallback>
        <control shapeId="19588" r:id="rId35" name="Rep_DM42_Util"/>
      </mc:Fallback>
    </mc:AlternateContent>
    <mc:AlternateContent xmlns:mc="http://schemas.openxmlformats.org/markup-compatibility/2006">
      <mc:Choice Requires="x14">
        <control shapeId="19589" r:id="rId36" name="Rep_DM42_Avg">
          <controlPr defaultSize="0" autoLine="0" r:id="rId17">
            <anchor moveWithCells="1">
              <from>
                <xdr:col>15</xdr:col>
                <xdr:colOff>527050</xdr:colOff>
                <xdr:row>71</xdr:row>
                <xdr:rowOff>95250</xdr:rowOff>
              </from>
              <to>
                <xdr:col>16</xdr:col>
                <xdr:colOff>31750</xdr:colOff>
                <xdr:row>71</xdr:row>
                <xdr:rowOff>247650</xdr:rowOff>
              </to>
            </anchor>
          </controlPr>
        </control>
      </mc:Choice>
      <mc:Fallback>
        <control shapeId="19589" r:id="rId36" name="Rep_DM42_Avg"/>
      </mc:Fallback>
    </mc:AlternateContent>
    <mc:AlternateContent xmlns:mc="http://schemas.openxmlformats.org/markup-compatibility/2006">
      <mc:Choice Requires="x14">
        <control shapeId="19590" r:id="rId37" name="Rep_DM48_Util">
          <controlPr defaultSize="0" autoLine="0" r:id="rId19">
            <anchor moveWithCells="1">
              <from>
                <xdr:col>16</xdr:col>
                <xdr:colOff>533400</xdr:colOff>
                <xdr:row>72</xdr:row>
                <xdr:rowOff>95250</xdr:rowOff>
              </from>
              <to>
                <xdr:col>17</xdr:col>
                <xdr:colOff>25400</xdr:colOff>
                <xdr:row>72</xdr:row>
                <xdr:rowOff>247650</xdr:rowOff>
              </to>
            </anchor>
          </controlPr>
        </control>
      </mc:Choice>
      <mc:Fallback>
        <control shapeId="19590" r:id="rId37" name="Rep_DM48_Util"/>
      </mc:Fallback>
    </mc:AlternateContent>
    <mc:AlternateContent xmlns:mc="http://schemas.openxmlformats.org/markup-compatibility/2006">
      <mc:Choice Requires="x14">
        <control shapeId="19591" r:id="rId38" name="Rep_DM48_Avg">
          <controlPr defaultSize="0" autoLine="0" r:id="rId17">
            <anchor moveWithCells="1">
              <from>
                <xdr:col>15</xdr:col>
                <xdr:colOff>527050</xdr:colOff>
                <xdr:row>72</xdr:row>
                <xdr:rowOff>95250</xdr:rowOff>
              </from>
              <to>
                <xdr:col>16</xdr:col>
                <xdr:colOff>31750</xdr:colOff>
                <xdr:row>72</xdr:row>
                <xdr:rowOff>247650</xdr:rowOff>
              </to>
            </anchor>
          </controlPr>
        </control>
      </mc:Choice>
      <mc:Fallback>
        <control shapeId="19591" r:id="rId38" name="Rep_DM48_Avg"/>
      </mc:Fallback>
    </mc:AlternateContent>
    <mc:AlternateContent xmlns:mc="http://schemas.openxmlformats.org/markup-compatibility/2006">
      <mc:Choice Requires="x14">
        <control shapeId="19592" r:id="rId39" name="Rep_DM54_Util">
          <controlPr defaultSize="0" autoLine="0" r:id="rId19">
            <anchor moveWithCells="1">
              <from>
                <xdr:col>16</xdr:col>
                <xdr:colOff>533400</xdr:colOff>
                <xdr:row>73</xdr:row>
                <xdr:rowOff>95250</xdr:rowOff>
              </from>
              <to>
                <xdr:col>17</xdr:col>
                <xdr:colOff>25400</xdr:colOff>
                <xdr:row>73</xdr:row>
                <xdr:rowOff>247650</xdr:rowOff>
              </to>
            </anchor>
          </controlPr>
        </control>
      </mc:Choice>
      <mc:Fallback>
        <control shapeId="19592" r:id="rId39" name="Rep_DM54_Util"/>
      </mc:Fallback>
    </mc:AlternateContent>
    <mc:AlternateContent xmlns:mc="http://schemas.openxmlformats.org/markup-compatibility/2006">
      <mc:Choice Requires="x14">
        <control shapeId="19593" r:id="rId40" name="Rep_DM54_Avg">
          <controlPr defaultSize="0" autoLine="0" r:id="rId17">
            <anchor moveWithCells="1">
              <from>
                <xdr:col>15</xdr:col>
                <xdr:colOff>527050</xdr:colOff>
                <xdr:row>73</xdr:row>
                <xdr:rowOff>95250</xdr:rowOff>
              </from>
              <to>
                <xdr:col>16</xdr:col>
                <xdr:colOff>31750</xdr:colOff>
                <xdr:row>73</xdr:row>
                <xdr:rowOff>247650</xdr:rowOff>
              </to>
            </anchor>
          </controlPr>
        </control>
      </mc:Choice>
      <mc:Fallback>
        <control shapeId="19593" r:id="rId40" name="Rep_DM54_Avg"/>
      </mc:Fallback>
    </mc:AlternateContent>
    <mc:AlternateContent xmlns:mc="http://schemas.openxmlformats.org/markup-compatibility/2006">
      <mc:Choice Requires="x14">
        <control shapeId="19594" r:id="rId41" name="Rep_DM60_Util">
          <controlPr defaultSize="0" autoLine="0" r:id="rId19">
            <anchor moveWithCells="1">
              <from>
                <xdr:col>16</xdr:col>
                <xdr:colOff>533400</xdr:colOff>
                <xdr:row>74</xdr:row>
                <xdr:rowOff>95250</xdr:rowOff>
              </from>
              <to>
                <xdr:col>17</xdr:col>
                <xdr:colOff>25400</xdr:colOff>
                <xdr:row>74</xdr:row>
                <xdr:rowOff>247650</xdr:rowOff>
              </to>
            </anchor>
          </controlPr>
        </control>
      </mc:Choice>
      <mc:Fallback>
        <control shapeId="19594" r:id="rId41" name="Rep_DM60_Util"/>
      </mc:Fallback>
    </mc:AlternateContent>
    <mc:AlternateContent xmlns:mc="http://schemas.openxmlformats.org/markup-compatibility/2006">
      <mc:Choice Requires="x14">
        <control shapeId="19595" r:id="rId42" name="Rep_DM60_Avg">
          <controlPr defaultSize="0" autoLine="0" r:id="rId17">
            <anchor moveWithCells="1">
              <from>
                <xdr:col>15</xdr:col>
                <xdr:colOff>527050</xdr:colOff>
                <xdr:row>74</xdr:row>
                <xdr:rowOff>95250</xdr:rowOff>
              </from>
              <to>
                <xdr:col>16</xdr:col>
                <xdr:colOff>31750</xdr:colOff>
                <xdr:row>74</xdr:row>
                <xdr:rowOff>247650</xdr:rowOff>
              </to>
            </anchor>
          </controlPr>
        </control>
      </mc:Choice>
      <mc:Fallback>
        <control shapeId="19595" r:id="rId42" name="Rep_DM60_Avg"/>
      </mc:Fallback>
    </mc:AlternateContent>
    <mc:AlternateContent xmlns:mc="http://schemas.openxmlformats.org/markup-compatibility/2006">
      <mc:Choice Requires="x14">
        <control shapeId="19596" r:id="rId43" name="Rep_DMG60_Util">
          <controlPr defaultSize="0" autoLine="0" r:id="rId19">
            <anchor moveWithCells="1">
              <from>
                <xdr:col>16</xdr:col>
                <xdr:colOff>533400</xdr:colOff>
                <xdr:row>75</xdr:row>
                <xdr:rowOff>95250</xdr:rowOff>
              </from>
              <to>
                <xdr:col>17</xdr:col>
                <xdr:colOff>25400</xdr:colOff>
                <xdr:row>75</xdr:row>
                <xdr:rowOff>247650</xdr:rowOff>
              </to>
            </anchor>
          </controlPr>
        </control>
      </mc:Choice>
      <mc:Fallback>
        <control shapeId="19596" r:id="rId43" name="Rep_DMG60_Util"/>
      </mc:Fallback>
    </mc:AlternateContent>
    <mc:AlternateContent xmlns:mc="http://schemas.openxmlformats.org/markup-compatibility/2006">
      <mc:Choice Requires="x14">
        <control shapeId="19597" r:id="rId44" name="Rep_DMG60_Avg">
          <controlPr defaultSize="0" autoLine="0" r:id="rId17">
            <anchor moveWithCells="1">
              <from>
                <xdr:col>15</xdr:col>
                <xdr:colOff>527050</xdr:colOff>
                <xdr:row>75</xdr:row>
                <xdr:rowOff>95250</xdr:rowOff>
              </from>
              <to>
                <xdr:col>16</xdr:col>
                <xdr:colOff>31750</xdr:colOff>
                <xdr:row>75</xdr:row>
                <xdr:rowOff>247650</xdr:rowOff>
              </to>
            </anchor>
          </controlPr>
        </control>
      </mc:Choice>
      <mc:Fallback>
        <control shapeId="19597" r:id="rId44" name="Rep_DMG60_Avg"/>
      </mc:Fallback>
    </mc:AlternateContent>
    <mc:AlternateContent xmlns:mc="http://schemas.openxmlformats.org/markup-compatibility/2006">
      <mc:Choice Requires="x14">
        <control shapeId="19599" r:id="rId45" name="Rep_DM14_Avg">
          <controlPr defaultSize="0" autoLine="0" r:id="rId17">
            <anchor moveWithCells="1">
              <from>
                <xdr:col>15</xdr:col>
                <xdr:colOff>527050</xdr:colOff>
                <xdr:row>64</xdr:row>
                <xdr:rowOff>95250</xdr:rowOff>
              </from>
              <to>
                <xdr:col>16</xdr:col>
                <xdr:colOff>31750</xdr:colOff>
                <xdr:row>64</xdr:row>
                <xdr:rowOff>247650</xdr:rowOff>
              </to>
            </anchor>
          </controlPr>
        </control>
      </mc:Choice>
      <mc:Fallback>
        <control shapeId="19599" r:id="rId45" name="Rep_DM14_Avg"/>
      </mc:Fallback>
    </mc:AlternateContent>
    <mc:AlternateContent xmlns:mc="http://schemas.openxmlformats.org/markup-compatibility/2006">
      <mc:Choice Requires="x14">
        <control shapeId="19600" r:id="rId46" name="Rep_DM16_Util">
          <controlPr defaultSize="0" autoLine="0" r:id="rId19">
            <anchor moveWithCells="1">
              <from>
                <xdr:col>16</xdr:col>
                <xdr:colOff>533400</xdr:colOff>
                <xdr:row>65</xdr:row>
                <xdr:rowOff>95250</xdr:rowOff>
              </from>
              <to>
                <xdr:col>17</xdr:col>
                <xdr:colOff>25400</xdr:colOff>
                <xdr:row>65</xdr:row>
                <xdr:rowOff>247650</xdr:rowOff>
              </to>
            </anchor>
          </controlPr>
        </control>
      </mc:Choice>
      <mc:Fallback>
        <control shapeId="19600" r:id="rId46" name="Rep_DM16_Util"/>
      </mc:Fallback>
    </mc:AlternateContent>
    <mc:AlternateContent xmlns:mc="http://schemas.openxmlformats.org/markup-compatibility/2006">
      <mc:Choice Requires="x14">
        <control shapeId="19601" r:id="rId47" name="Rep_DM14_Util">
          <controlPr defaultSize="0" autoLine="0" r:id="rId19">
            <anchor moveWithCells="1">
              <from>
                <xdr:col>16</xdr:col>
                <xdr:colOff>533400</xdr:colOff>
                <xdr:row>64</xdr:row>
                <xdr:rowOff>95250</xdr:rowOff>
              </from>
              <to>
                <xdr:col>17</xdr:col>
                <xdr:colOff>25400</xdr:colOff>
                <xdr:row>64</xdr:row>
                <xdr:rowOff>247650</xdr:rowOff>
              </to>
            </anchor>
          </controlPr>
        </control>
      </mc:Choice>
      <mc:Fallback>
        <control shapeId="19601" r:id="rId47" name="Rep_DM14_Util"/>
      </mc:Fallback>
    </mc:AlternateContent>
    <mc:AlternateContent xmlns:mc="http://schemas.openxmlformats.org/markup-compatibility/2006">
      <mc:Choice Requires="x14">
        <control shapeId="19602" r:id="rId48" name="Rep_DM16_Avg">
          <controlPr defaultSize="0" autoLine="0" r:id="rId17">
            <anchor moveWithCells="1">
              <from>
                <xdr:col>15</xdr:col>
                <xdr:colOff>527050</xdr:colOff>
                <xdr:row>65</xdr:row>
                <xdr:rowOff>95250</xdr:rowOff>
              </from>
              <to>
                <xdr:col>16</xdr:col>
                <xdr:colOff>31750</xdr:colOff>
                <xdr:row>65</xdr:row>
                <xdr:rowOff>247650</xdr:rowOff>
              </to>
            </anchor>
          </controlPr>
        </control>
      </mc:Choice>
      <mc:Fallback>
        <control shapeId="19602" r:id="rId48" name="Rep_DM16_Avg"/>
      </mc:Fallback>
    </mc:AlternateContent>
    <mc:AlternateContent xmlns:mc="http://schemas.openxmlformats.org/markup-compatibility/2006">
      <mc:Choice Requires="x14">
        <control shapeId="19603" r:id="rId49" name="Rep_DM18_Avg">
          <controlPr defaultSize="0" autoLine="0" r:id="rId17">
            <anchor moveWithCells="1">
              <from>
                <xdr:col>15</xdr:col>
                <xdr:colOff>527050</xdr:colOff>
                <xdr:row>66</xdr:row>
                <xdr:rowOff>95250</xdr:rowOff>
              </from>
              <to>
                <xdr:col>16</xdr:col>
                <xdr:colOff>31750</xdr:colOff>
                <xdr:row>66</xdr:row>
                <xdr:rowOff>247650</xdr:rowOff>
              </to>
            </anchor>
          </controlPr>
        </control>
      </mc:Choice>
      <mc:Fallback>
        <control shapeId="19603" r:id="rId49" name="Rep_DM18_Avg"/>
      </mc:Fallback>
    </mc:AlternateContent>
    <mc:AlternateContent xmlns:mc="http://schemas.openxmlformats.org/markup-compatibility/2006">
      <mc:Choice Requires="x14">
        <control shapeId="19604" r:id="rId50" name="Rep_DM18_Util">
          <controlPr defaultSize="0" autoLine="0" r:id="rId19">
            <anchor moveWithCells="1">
              <from>
                <xdr:col>16</xdr:col>
                <xdr:colOff>533400</xdr:colOff>
                <xdr:row>66</xdr:row>
                <xdr:rowOff>95250</xdr:rowOff>
              </from>
              <to>
                <xdr:col>17</xdr:col>
                <xdr:colOff>25400</xdr:colOff>
                <xdr:row>66</xdr:row>
                <xdr:rowOff>247650</xdr:rowOff>
              </to>
            </anchor>
          </controlPr>
        </control>
      </mc:Choice>
      <mc:Fallback>
        <control shapeId="19604" r:id="rId50" name="Rep_DM18_Util"/>
      </mc:Fallback>
    </mc:AlternateContent>
    <mc:AlternateContent xmlns:mc="http://schemas.openxmlformats.org/markup-compatibility/2006">
      <mc:Choice Requires="x14">
        <control shapeId="19605" r:id="rId51" name="Rep_DM20_Avg">
          <controlPr defaultSize="0" autoLine="0" r:id="rId17">
            <anchor moveWithCells="1">
              <from>
                <xdr:col>15</xdr:col>
                <xdr:colOff>527050</xdr:colOff>
                <xdr:row>67</xdr:row>
                <xdr:rowOff>95250</xdr:rowOff>
              </from>
              <to>
                <xdr:col>16</xdr:col>
                <xdr:colOff>31750</xdr:colOff>
                <xdr:row>67</xdr:row>
                <xdr:rowOff>247650</xdr:rowOff>
              </to>
            </anchor>
          </controlPr>
        </control>
      </mc:Choice>
      <mc:Fallback>
        <control shapeId="19605" r:id="rId51" name="Rep_DM20_Avg"/>
      </mc:Fallback>
    </mc:AlternateContent>
    <mc:AlternateContent xmlns:mc="http://schemas.openxmlformats.org/markup-compatibility/2006">
      <mc:Choice Requires="x14">
        <control shapeId="19606" r:id="rId52" name="Rep_DM20_Util">
          <controlPr defaultSize="0" autoLine="0" r:id="rId19">
            <anchor moveWithCells="1">
              <from>
                <xdr:col>16</xdr:col>
                <xdr:colOff>533400</xdr:colOff>
                <xdr:row>67</xdr:row>
                <xdr:rowOff>95250</xdr:rowOff>
              </from>
              <to>
                <xdr:col>17</xdr:col>
                <xdr:colOff>25400</xdr:colOff>
                <xdr:row>67</xdr:row>
                <xdr:rowOff>247650</xdr:rowOff>
              </to>
            </anchor>
          </controlPr>
        </control>
      </mc:Choice>
      <mc:Fallback>
        <control shapeId="19606" r:id="rId52" name="Rep_DM20_Util"/>
      </mc:Fallback>
    </mc:AlternateContent>
    <mc:AlternateContent xmlns:mc="http://schemas.openxmlformats.org/markup-compatibility/2006">
      <mc:Choice Requires="x14">
        <control shapeId="19607" r:id="rId53" name="Rep_DM24_Avg">
          <controlPr defaultSize="0" autoLine="0" r:id="rId17">
            <anchor moveWithCells="1">
              <from>
                <xdr:col>15</xdr:col>
                <xdr:colOff>527050</xdr:colOff>
                <xdr:row>68</xdr:row>
                <xdr:rowOff>95250</xdr:rowOff>
              </from>
              <to>
                <xdr:col>16</xdr:col>
                <xdr:colOff>31750</xdr:colOff>
                <xdr:row>68</xdr:row>
                <xdr:rowOff>247650</xdr:rowOff>
              </to>
            </anchor>
          </controlPr>
        </control>
      </mc:Choice>
      <mc:Fallback>
        <control shapeId="19607" r:id="rId53" name="Rep_DM24_Avg"/>
      </mc:Fallback>
    </mc:AlternateContent>
    <mc:AlternateContent xmlns:mc="http://schemas.openxmlformats.org/markup-compatibility/2006">
      <mc:Choice Requires="x14">
        <control shapeId="19608" r:id="rId54" name="Rep_DM24_Util">
          <controlPr defaultSize="0" autoLine="0" r:id="rId19">
            <anchor moveWithCells="1">
              <from>
                <xdr:col>16</xdr:col>
                <xdr:colOff>533400</xdr:colOff>
                <xdr:row>68</xdr:row>
                <xdr:rowOff>95250</xdr:rowOff>
              </from>
              <to>
                <xdr:col>17</xdr:col>
                <xdr:colOff>25400</xdr:colOff>
                <xdr:row>68</xdr:row>
                <xdr:rowOff>247650</xdr:rowOff>
              </to>
            </anchor>
          </controlPr>
        </control>
      </mc:Choice>
      <mc:Fallback>
        <control shapeId="19608" r:id="rId54" name="Rep_DM24_Util"/>
      </mc:Fallback>
    </mc:AlternateContent>
    <mc:AlternateContent xmlns:mc="http://schemas.openxmlformats.org/markup-compatibility/2006">
      <mc:Choice Requires="x14">
        <control shapeId="19610" r:id="rId55" name="Rep_V_Avg">
          <controlPr defaultSize="0" autoLine="0" r:id="rId17">
            <anchor moveWithCells="1">
              <from>
                <xdr:col>15</xdr:col>
                <xdr:colOff>527050</xdr:colOff>
                <xdr:row>86</xdr:row>
                <xdr:rowOff>95250</xdr:rowOff>
              </from>
              <to>
                <xdr:col>16</xdr:col>
                <xdr:colOff>31750</xdr:colOff>
                <xdr:row>86</xdr:row>
                <xdr:rowOff>247650</xdr:rowOff>
              </to>
            </anchor>
          </controlPr>
        </control>
      </mc:Choice>
      <mc:Fallback>
        <control shapeId="19610" r:id="rId55" name="Rep_V_Avg"/>
      </mc:Fallback>
    </mc:AlternateContent>
    <mc:AlternateContent xmlns:mc="http://schemas.openxmlformats.org/markup-compatibility/2006">
      <mc:Choice Requires="x14">
        <control shapeId="19611" r:id="rId56" name="Rep_V_Util">
          <controlPr defaultSize="0" autoLine="0" r:id="rId19">
            <anchor moveWithCells="1">
              <from>
                <xdr:col>16</xdr:col>
                <xdr:colOff>533400</xdr:colOff>
                <xdr:row>86</xdr:row>
                <xdr:rowOff>95250</xdr:rowOff>
              </from>
              <to>
                <xdr:col>17</xdr:col>
                <xdr:colOff>25400</xdr:colOff>
                <xdr:row>86</xdr:row>
                <xdr:rowOff>247650</xdr:rowOff>
              </to>
            </anchor>
          </controlPr>
        </control>
      </mc:Choice>
      <mc:Fallback>
        <control shapeId="19611" r:id="rId56" name="Rep_V_Util"/>
      </mc:Fallback>
    </mc:AlternateContent>
    <mc:AlternateContent xmlns:mc="http://schemas.openxmlformats.org/markup-compatibility/2006">
      <mc:Choice Requires="x14">
        <control shapeId="19612" r:id="rId57" name="Urep_Serv_SM1_Avg">
          <controlPr defaultSize="0" autoLine="0" r:id="rId17">
            <anchor moveWithCells="1">
              <from>
                <xdr:col>15</xdr:col>
                <xdr:colOff>527050</xdr:colOff>
                <xdr:row>156</xdr:row>
                <xdr:rowOff>88900</xdr:rowOff>
              </from>
              <to>
                <xdr:col>16</xdr:col>
                <xdr:colOff>31750</xdr:colOff>
                <xdr:row>156</xdr:row>
                <xdr:rowOff>241300</xdr:rowOff>
              </to>
            </anchor>
          </controlPr>
        </control>
      </mc:Choice>
      <mc:Fallback>
        <control shapeId="19612" r:id="rId57" name="Urep_Serv_SM1_Avg"/>
      </mc:Fallback>
    </mc:AlternateContent>
    <mc:AlternateContent xmlns:mc="http://schemas.openxmlformats.org/markup-compatibility/2006">
      <mc:Choice Requires="x14">
        <control shapeId="19613" r:id="rId58" name="Rep_BO_Util">
          <controlPr defaultSize="0" autoLine="0" r:id="rId19">
            <anchor moveWithCells="1">
              <from>
                <xdr:col>16</xdr:col>
                <xdr:colOff>533400</xdr:colOff>
                <xdr:row>87</xdr:row>
                <xdr:rowOff>95250</xdr:rowOff>
              </from>
              <to>
                <xdr:col>17</xdr:col>
                <xdr:colOff>25400</xdr:colOff>
                <xdr:row>87</xdr:row>
                <xdr:rowOff>247650</xdr:rowOff>
              </to>
            </anchor>
          </controlPr>
        </control>
      </mc:Choice>
      <mc:Fallback>
        <control shapeId="19613" r:id="rId58" name="Rep_BO_Util"/>
      </mc:Fallback>
    </mc:AlternateContent>
    <mc:AlternateContent xmlns:mc="http://schemas.openxmlformats.org/markup-compatibility/2006">
      <mc:Choice Requires="x14">
        <control shapeId="19614" r:id="rId59" name="Rep_Serv_GR1_Avg">
          <controlPr defaultSize="0" autoLine="0" r:id="rId17">
            <anchor moveWithCells="1">
              <from>
                <xdr:col>15</xdr:col>
                <xdr:colOff>527050</xdr:colOff>
                <xdr:row>98</xdr:row>
                <xdr:rowOff>95250</xdr:rowOff>
              </from>
              <to>
                <xdr:col>16</xdr:col>
                <xdr:colOff>31750</xdr:colOff>
                <xdr:row>98</xdr:row>
                <xdr:rowOff>247650</xdr:rowOff>
              </to>
            </anchor>
          </controlPr>
        </control>
      </mc:Choice>
      <mc:Fallback>
        <control shapeId="19614" r:id="rId59" name="Rep_Serv_GR1_Avg"/>
      </mc:Fallback>
    </mc:AlternateContent>
    <mc:AlternateContent xmlns:mc="http://schemas.openxmlformats.org/markup-compatibility/2006">
      <mc:Choice Requires="x14">
        <control shapeId="19615" r:id="rId60" name="Rep_BO_Avg">
          <controlPr defaultSize="0" autoLine="0" r:id="rId17">
            <anchor moveWithCells="1">
              <from>
                <xdr:col>15</xdr:col>
                <xdr:colOff>527050</xdr:colOff>
                <xdr:row>87</xdr:row>
                <xdr:rowOff>95250</xdr:rowOff>
              </from>
              <to>
                <xdr:col>16</xdr:col>
                <xdr:colOff>31750</xdr:colOff>
                <xdr:row>87</xdr:row>
                <xdr:rowOff>247650</xdr:rowOff>
              </to>
            </anchor>
          </controlPr>
        </control>
      </mc:Choice>
      <mc:Fallback>
        <control shapeId="19615" r:id="rId60" name="Rep_BO_Avg"/>
      </mc:Fallback>
    </mc:AlternateContent>
    <mc:AlternateContent xmlns:mc="http://schemas.openxmlformats.org/markup-compatibility/2006">
      <mc:Choice Requires="x14">
        <control shapeId="19616" r:id="rId61" name="Rep_DM12_Avg">
          <controlPr defaultSize="0" autoLine="0" r:id="rId17">
            <anchor moveWithCells="1">
              <from>
                <xdr:col>15</xdr:col>
                <xdr:colOff>527050</xdr:colOff>
                <xdr:row>63</xdr:row>
                <xdr:rowOff>95250</xdr:rowOff>
              </from>
              <to>
                <xdr:col>16</xdr:col>
                <xdr:colOff>31750</xdr:colOff>
                <xdr:row>63</xdr:row>
                <xdr:rowOff>247650</xdr:rowOff>
              </to>
            </anchor>
          </controlPr>
        </control>
      </mc:Choice>
      <mc:Fallback>
        <control shapeId="19616" r:id="rId61" name="Rep_DM12_Avg"/>
      </mc:Fallback>
    </mc:AlternateContent>
    <mc:AlternateContent xmlns:mc="http://schemas.openxmlformats.org/markup-compatibility/2006">
      <mc:Choice Requires="x14">
        <control shapeId="19617" r:id="rId62" name="Urep_DM2_Avg">
          <controlPr defaultSize="0" autoLine="0" r:id="rId17">
            <anchor moveWithCells="1">
              <from>
                <xdr:col>15</xdr:col>
                <xdr:colOff>527050</xdr:colOff>
                <xdr:row>116</xdr:row>
                <xdr:rowOff>95250</xdr:rowOff>
              </from>
              <to>
                <xdr:col>16</xdr:col>
                <xdr:colOff>31750</xdr:colOff>
                <xdr:row>116</xdr:row>
                <xdr:rowOff>247650</xdr:rowOff>
              </to>
            </anchor>
          </controlPr>
        </control>
      </mc:Choice>
      <mc:Fallback>
        <control shapeId="19617" r:id="rId62" name="Urep_DM2_Avg"/>
      </mc:Fallback>
    </mc:AlternateContent>
    <mc:AlternateContent xmlns:mc="http://schemas.openxmlformats.org/markup-compatibility/2006">
      <mc:Choice Requires="x14">
        <control shapeId="19618" r:id="rId63" name="Urep_DM2_Util">
          <controlPr defaultSize="0" autoLine="0" r:id="rId19">
            <anchor moveWithCells="1">
              <from>
                <xdr:col>16</xdr:col>
                <xdr:colOff>533400</xdr:colOff>
                <xdr:row>116</xdr:row>
                <xdr:rowOff>95250</xdr:rowOff>
              </from>
              <to>
                <xdr:col>17</xdr:col>
                <xdr:colOff>25400</xdr:colOff>
                <xdr:row>116</xdr:row>
                <xdr:rowOff>247650</xdr:rowOff>
              </to>
            </anchor>
          </controlPr>
        </control>
      </mc:Choice>
      <mc:Fallback>
        <control shapeId="19618" r:id="rId63" name="Urep_DM2_Util"/>
      </mc:Fallback>
    </mc:AlternateContent>
    <mc:AlternateContent xmlns:mc="http://schemas.openxmlformats.org/markup-compatibility/2006">
      <mc:Choice Requires="x14">
        <control shapeId="19619" r:id="rId64" name="Urep_DM3_Avg">
          <controlPr defaultSize="0" autoLine="0" r:id="rId17">
            <anchor moveWithCells="1">
              <from>
                <xdr:col>15</xdr:col>
                <xdr:colOff>527050</xdr:colOff>
                <xdr:row>117</xdr:row>
                <xdr:rowOff>95250</xdr:rowOff>
              </from>
              <to>
                <xdr:col>16</xdr:col>
                <xdr:colOff>31750</xdr:colOff>
                <xdr:row>117</xdr:row>
                <xdr:rowOff>247650</xdr:rowOff>
              </to>
            </anchor>
          </controlPr>
        </control>
      </mc:Choice>
      <mc:Fallback>
        <control shapeId="19619" r:id="rId64" name="Urep_DM3_Avg"/>
      </mc:Fallback>
    </mc:AlternateContent>
    <mc:AlternateContent xmlns:mc="http://schemas.openxmlformats.org/markup-compatibility/2006">
      <mc:Choice Requires="x14">
        <control shapeId="19620" r:id="rId65" name="Urep_DM3_Util">
          <controlPr defaultSize="0" autoLine="0" r:id="rId19">
            <anchor moveWithCells="1">
              <from>
                <xdr:col>16</xdr:col>
                <xdr:colOff>533400</xdr:colOff>
                <xdr:row>117</xdr:row>
                <xdr:rowOff>95250</xdr:rowOff>
              </from>
              <to>
                <xdr:col>17</xdr:col>
                <xdr:colOff>25400</xdr:colOff>
                <xdr:row>117</xdr:row>
                <xdr:rowOff>247650</xdr:rowOff>
              </to>
            </anchor>
          </controlPr>
        </control>
      </mc:Choice>
      <mc:Fallback>
        <control shapeId="19620" r:id="rId65" name="Urep_DM3_Util"/>
      </mc:Fallback>
    </mc:AlternateContent>
    <mc:AlternateContent xmlns:mc="http://schemas.openxmlformats.org/markup-compatibility/2006">
      <mc:Choice Requires="x14">
        <control shapeId="19621" r:id="rId66" name="Urep_DM4_Avg">
          <controlPr defaultSize="0" autoLine="0" r:id="rId17">
            <anchor moveWithCells="1">
              <from>
                <xdr:col>15</xdr:col>
                <xdr:colOff>527050</xdr:colOff>
                <xdr:row>118</xdr:row>
                <xdr:rowOff>88900</xdr:rowOff>
              </from>
              <to>
                <xdr:col>16</xdr:col>
                <xdr:colOff>31750</xdr:colOff>
                <xdr:row>118</xdr:row>
                <xdr:rowOff>241300</xdr:rowOff>
              </to>
            </anchor>
          </controlPr>
        </control>
      </mc:Choice>
      <mc:Fallback>
        <control shapeId="19621" r:id="rId66" name="Urep_DM4_Avg"/>
      </mc:Fallback>
    </mc:AlternateContent>
    <mc:AlternateContent xmlns:mc="http://schemas.openxmlformats.org/markup-compatibility/2006">
      <mc:Choice Requires="x14">
        <control shapeId="19622" r:id="rId67" name="Urep_DM6_Avg">
          <controlPr defaultSize="0" autoLine="0" r:id="rId17">
            <anchor moveWithCells="1">
              <from>
                <xdr:col>15</xdr:col>
                <xdr:colOff>527050</xdr:colOff>
                <xdr:row>119</xdr:row>
                <xdr:rowOff>95250</xdr:rowOff>
              </from>
              <to>
                <xdr:col>16</xdr:col>
                <xdr:colOff>31750</xdr:colOff>
                <xdr:row>119</xdr:row>
                <xdr:rowOff>247650</xdr:rowOff>
              </to>
            </anchor>
          </controlPr>
        </control>
      </mc:Choice>
      <mc:Fallback>
        <control shapeId="19622" r:id="rId67" name="Urep_DM6_Avg"/>
      </mc:Fallback>
    </mc:AlternateContent>
    <mc:AlternateContent xmlns:mc="http://schemas.openxmlformats.org/markup-compatibility/2006">
      <mc:Choice Requires="x14">
        <control shapeId="19623" r:id="rId68" name="Urep_DM4_Util">
          <controlPr defaultSize="0" autoLine="0" r:id="rId19">
            <anchor moveWithCells="1">
              <from>
                <xdr:col>16</xdr:col>
                <xdr:colOff>533400</xdr:colOff>
                <xdr:row>118</xdr:row>
                <xdr:rowOff>88900</xdr:rowOff>
              </from>
              <to>
                <xdr:col>17</xdr:col>
                <xdr:colOff>25400</xdr:colOff>
                <xdr:row>118</xdr:row>
                <xdr:rowOff>241300</xdr:rowOff>
              </to>
            </anchor>
          </controlPr>
        </control>
      </mc:Choice>
      <mc:Fallback>
        <control shapeId="19623" r:id="rId68" name="Urep_DM4_Util"/>
      </mc:Fallback>
    </mc:AlternateContent>
    <mc:AlternateContent xmlns:mc="http://schemas.openxmlformats.org/markup-compatibility/2006">
      <mc:Choice Requires="x14">
        <control shapeId="19624" r:id="rId69" name="Urep_DM6_Util">
          <controlPr defaultSize="0" autoLine="0" r:id="rId19">
            <anchor moveWithCells="1">
              <from>
                <xdr:col>16</xdr:col>
                <xdr:colOff>533400</xdr:colOff>
                <xdr:row>119</xdr:row>
                <xdr:rowOff>95250</xdr:rowOff>
              </from>
              <to>
                <xdr:col>17</xdr:col>
                <xdr:colOff>25400</xdr:colOff>
                <xdr:row>119</xdr:row>
                <xdr:rowOff>247650</xdr:rowOff>
              </to>
            </anchor>
          </controlPr>
        </control>
      </mc:Choice>
      <mc:Fallback>
        <control shapeId="19624" r:id="rId69" name="Urep_DM6_Util"/>
      </mc:Fallback>
    </mc:AlternateContent>
    <mc:AlternateContent xmlns:mc="http://schemas.openxmlformats.org/markup-compatibility/2006">
      <mc:Choice Requires="x14">
        <control shapeId="19625" r:id="rId70" name="Urep_DM12_Util">
          <controlPr defaultSize="0" autoLine="0" r:id="rId19">
            <anchor moveWithCells="1">
              <from>
                <xdr:col>16</xdr:col>
                <xdr:colOff>533400</xdr:colOff>
                <xdr:row>122</xdr:row>
                <xdr:rowOff>95250</xdr:rowOff>
              </from>
              <to>
                <xdr:col>17</xdr:col>
                <xdr:colOff>25400</xdr:colOff>
                <xdr:row>122</xdr:row>
                <xdr:rowOff>247650</xdr:rowOff>
              </to>
            </anchor>
          </controlPr>
        </control>
      </mc:Choice>
      <mc:Fallback>
        <control shapeId="19625" r:id="rId70" name="Urep_DM12_Util"/>
      </mc:Fallback>
    </mc:AlternateContent>
    <mc:AlternateContent xmlns:mc="http://schemas.openxmlformats.org/markup-compatibility/2006">
      <mc:Choice Requires="x14">
        <control shapeId="19626" r:id="rId71" name="Urep_DM10_Util">
          <controlPr defaultSize="0" autoLine="0" r:id="rId19">
            <anchor moveWithCells="1">
              <from>
                <xdr:col>16</xdr:col>
                <xdr:colOff>533400</xdr:colOff>
                <xdr:row>121</xdr:row>
                <xdr:rowOff>95250</xdr:rowOff>
              </from>
              <to>
                <xdr:col>17</xdr:col>
                <xdr:colOff>25400</xdr:colOff>
                <xdr:row>121</xdr:row>
                <xdr:rowOff>247650</xdr:rowOff>
              </to>
            </anchor>
          </controlPr>
        </control>
      </mc:Choice>
      <mc:Fallback>
        <control shapeId="19626" r:id="rId71" name="Urep_DM10_Util"/>
      </mc:Fallback>
    </mc:AlternateContent>
    <mc:AlternateContent xmlns:mc="http://schemas.openxmlformats.org/markup-compatibility/2006">
      <mc:Choice Requires="x14">
        <control shapeId="19627" r:id="rId72" name="Urep_DM10_Avg">
          <controlPr defaultSize="0" autoLine="0" r:id="rId17">
            <anchor moveWithCells="1">
              <from>
                <xdr:col>15</xdr:col>
                <xdr:colOff>527050</xdr:colOff>
                <xdr:row>121</xdr:row>
                <xdr:rowOff>95250</xdr:rowOff>
              </from>
              <to>
                <xdr:col>16</xdr:col>
                <xdr:colOff>31750</xdr:colOff>
                <xdr:row>121</xdr:row>
                <xdr:rowOff>247650</xdr:rowOff>
              </to>
            </anchor>
          </controlPr>
        </control>
      </mc:Choice>
      <mc:Fallback>
        <control shapeId="19627" r:id="rId72" name="Urep_DM10_Avg"/>
      </mc:Fallback>
    </mc:AlternateContent>
    <mc:AlternateContent xmlns:mc="http://schemas.openxmlformats.org/markup-compatibility/2006">
      <mc:Choice Requires="x14">
        <control shapeId="19628" r:id="rId73" name="Urep_DM8_Util">
          <controlPr defaultSize="0" autoLine="0" r:id="rId19">
            <anchor moveWithCells="1">
              <from>
                <xdr:col>16</xdr:col>
                <xdr:colOff>533400</xdr:colOff>
                <xdr:row>120</xdr:row>
                <xdr:rowOff>95250</xdr:rowOff>
              </from>
              <to>
                <xdr:col>17</xdr:col>
                <xdr:colOff>25400</xdr:colOff>
                <xdr:row>120</xdr:row>
                <xdr:rowOff>247650</xdr:rowOff>
              </to>
            </anchor>
          </controlPr>
        </control>
      </mc:Choice>
      <mc:Fallback>
        <control shapeId="19628" r:id="rId73" name="Urep_DM8_Util"/>
      </mc:Fallback>
    </mc:AlternateContent>
    <mc:AlternateContent xmlns:mc="http://schemas.openxmlformats.org/markup-compatibility/2006">
      <mc:Choice Requires="x14">
        <control shapeId="19629" r:id="rId74" name="Urep_DM8_Avg">
          <controlPr defaultSize="0" autoLine="0" r:id="rId17">
            <anchor moveWithCells="1">
              <from>
                <xdr:col>15</xdr:col>
                <xdr:colOff>527050</xdr:colOff>
                <xdr:row>120</xdr:row>
                <xdr:rowOff>95250</xdr:rowOff>
              </from>
              <to>
                <xdr:col>16</xdr:col>
                <xdr:colOff>31750</xdr:colOff>
                <xdr:row>120</xdr:row>
                <xdr:rowOff>247650</xdr:rowOff>
              </to>
            </anchor>
          </controlPr>
        </control>
      </mc:Choice>
      <mc:Fallback>
        <control shapeId="19629" r:id="rId74" name="Urep_DM8_Avg"/>
      </mc:Fallback>
    </mc:AlternateContent>
    <mc:AlternateContent xmlns:mc="http://schemas.openxmlformats.org/markup-compatibility/2006">
      <mc:Choice Requires="x14">
        <control shapeId="19630" r:id="rId75" name="Urep_DM30_Util">
          <controlPr defaultSize="0" autoLine="0" r:id="rId19">
            <anchor moveWithCells="1">
              <from>
                <xdr:col>16</xdr:col>
                <xdr:colOff>533400</xdr:colOff>
                <xdr:row>128</xdr:row>
                <xdr:rowOff>95250</xdr:rowOff>
              </from>
              <to>
                <xdr:col>17</xdr:col>
                <xdr:colOff>25400</xdr:colOff>
                <xdr:row>128</xdr:row>
                <xdr:rowOff>247650</xdr:rowOff>
              </to>
            </anchor>
          </controlPr>
        </control>
      </mc:Choice>
      <mc:Fallback>
        <control shapeId="19630" r:id="rId75" name="Urep_DM30_Util"/>
      </mc:Fallback>
    </mc:AlternateContent>
    <mc:AlternateContent xmlns:mc="http://schemas.openxmlformats.org/markup-compatibility/2006">
      <mc:Choice Requires="x14">
        <control shapeId="19631" r:id="rId76" name="Urep_DM30_Avg">
          <controlPr defaultSize="0" autoLine="0" r:id="rId17">
            <anchor moveWithCells="1">
              <from>
                <xdr:col>15</xdr:col>
                <xdr:colOff>527050</xdr:colOff>
                <xdr:row>128</xdr:row>
                <xdr:rowOff>95250</xdr:rowOff>
              </from>
              <to>
                <xdr:col>16</xdr:col>
                <xdr:colOff>31750</xdr:colOff>
                <xdr:row>128</xdr:row>
                <xdr:rowOff>247650</xdr:rowOff>
              </to>
            </anchor>
          </controlPr>
        </control>
      </mc:Choice>
      <mc:Fallback>
        <control shapeId="19631" r:id="rId76" name="Urep_DM30_Avg"/>
      </mc:Fallback>
    </mc:AlternateContent>
    <mc:AlternateContent xmlns:mc="http://schemas.openxmlformats.org/markup-compatibility/2006">
      <mc:Choice Requires="x14">
        <control shapeId="19632" r:id="rId77" name="Urep_DM36_Util">
          <controlPr defaultSize="0" autoLine="0" r:id="rId19">
            <anchor moveWithCells="1">
              <from>
                <xdr:col>16</xdr:col>
                <xdr:colOff>533400</xdr:colOff>
                <xdr:row>129</xdr:row>
                <xdr:rowOff>95250</xdr:rowOff>
              </from>
              <to>
                <xdr:col>17</xdr:col>
                <xdr:colOff>25400</xdr:colOff>
                <xdr:row>129</xdr:row>
                <xdr:rowOff>247650</xdr:rowOff>
              </to>
            </anchor>
          </controlPr>
        </control>
      </mc:Choice>
      <mc:Fallback>
        <control shapeId="19632" r:id="rId77" name="Urep_DM36_Util"/>
      </mc:Fallback>
    </mc:AlternateContent>
    <mc:AlternateContent xmlns:mc="http://schemas.openxmlformats.org/markup-compatibility/2006">
      <mc:Choice Requires="x14">
        <control shapeId="19633" r:id="rId78" name="Urep_DM36_Avg">
          <controlPr defaultSize="0" autoLine="0" r:id="rId17">
            <anchor moveWithCells="1">
              <from>
                <xdr:col>15</xdr:col>
                <xdr:colOff>527050</xdr:colOff>
                <xdr:row>129</xdr:row>
                <xdr:rowOff>95250</xdr:rowOff>
              </from>
              <to>
                <xdr:col>16</xdr:col>
                <xdr:colOff>31750</xdr:colOff>
                <xdr:row>129</xdr:row>
                <xdr:rowOff>247650</xdr:rowOff>
              </to>
            </anchor>
          </controlPr>
        </control>
      </mc:Choice>
      <mc:Fallback>
        <control shapeId="19633" r:id="rId78" name="Urep_DM36_Avg"/>
      </mc:Fallback>
    </mc:AlternateContent>
    <mc:AlternateContent xmlns:mc="http://schemas.openxmlformats.org/markup-compatibility/2006">
      <mc:Choice Requires="x14">
        <control shapeId="19634" r:id="rId79" name="Urep_DM42_Util">
          <controlPr defaultSize="0" autoLine="0" r:id="rId19">
            <anchor moveWithCells="1">
              <from>
                <xdr:col>16</xdr:col>
                <xdr:colOff>533400</xdr:colOff>
                <xdr:row>130</xdr:row>
                <xdr:rowOff>95250</xdr:rowOff>
              </from>
              <to>
                <xdr:col>17</xdr:col>
                <xdr:colOff>25400</xdr:colOff>
                <xdr:row>130</xdr:row>
                <xdr:rowOff>247650</xdr:rowOff>
              </to>
            </anchor>
          </controlPr>
        </control>
      </mc:Choice>
      <mc:Fallback>
        <control shapeId="19634" r:id="rId79" name="Urep_DM42_Util"/>
      </mc:Fallback>
    </mc:AlternateContent>
    <mc:AlternateContent xmlns:mc="http://schemas.openxmlformats.org/markup-compatibility/2006">
      <mc:Choice Requires="x14">
        <control shapeId="19635" r:id="rId80" name="Urep_DM42_Avg">
          <controlPr defaultSize="0" autoLine="0" r:id="rId17">
            <anchor moveWithCells="1">
              <from>
                <xdr:col>15</xdr:col>
                <xdr:colOff>527050</xdr:colOff>
                <xdr:row>130</xdr:row>
                <xdr:rowOff>95250</xdr:rowOff>
              </from>
              <to>
                <xdr:col>16</xdr:col>
                <xdr:colOff>31750</xdr:colOff>
                <xdr:row>130</xdr:row>
                <xdr:rowOff>247650</xdr:rowOff>
              </to>
            </anchor>
          </controlPr>
        </control>
      </mc:Choice>
      <mc:Fallback>
        <control shapeId="19635" r:id="rId80" name="Urep_DM42_Avg"/>
      </mc:Fallback>
    </mc:AlternateContent>
    <mc:AlternateContent xmlns:mc="http://schemas.openxmlformats.org/markup-compatibility/2006">
      <mc:Choice Requires="x14">
        <control shapeId="19636" r:id="rId81" name="Urep_DM48_Util">
          <controlPr defaultSize="0" autoLine="0" r:id="rId19">
            <anchor moveWithCells="1">
              <from>
                <xdr:col>16</xdr:col>
                <xdr:colOff>533400</xdr:colOff>
                <xdr:row>131</xdr:row>
                <xdr:rowOff>95250</xdr:rowOff>
              </from>
              <to>
                <xdr:col>17</xdr:col>
                <xdr:colOff>25400</xdr:colOff>
                <xdr:row>131</xdr:row>
                <xdr:rowOff>247650</xdr:rowOff>
              </to>
            </anchor>
          </controlPr>
        </control>
      </mc:Choice>
      <mc:Fallback>
        <control shapeId="19636" r:id="rId81" name="Urep_DM48_Util"/>
      </mc:Fallback>
    </mc:AlternateContent>
    <mc:AlternateContent xmlns:mc="http://schemas.openxmlformats.org/markup-compatibility/2006">
      <mc:Choice Requires="x14">
        <control shapeId="19637" r:id="rId82" name="Urep_DM48_Avg">
          <controlPr defaultSize="0" autoLine="0" r:id="rId17">
            <anchor moveWithCells="1">
              <from>
                <xdr:col>15</xdr:col>
                <xdr:colOff>527050</xdr:colOff>
                <xdr:row>131</xdr:row>
                <xdr:rowOff>95250</xdr:rowOff>
              </from>
              <to>
                <xdr:col>16</xdr:col>
                <xdr:colOff>31750</xdr:colOff>
                <xdr:row>131</xdr:row>
                <xdr:rowOff>247650</xdr:rowOff>
              </to>
            </anchor>
          </controlPr>
        </control>
      </mc:Choice>
      <mc:Fallback>
        <control shapeId="19637" r:id="rId82" name="Urep_DM48_Avg"/>
      </mc:Fallback>
    </mc:AlternateContent>
    <mc:AlternateContent xmlns:mc="http://schemas.openxmlformats.org/markup-compatibility/2006">
      <mc:Choice Requires="x14">
        <control shapeId="19638" r:id="rId83" name="Urep_DM54_Util">
          <controlPr defaultSize="0" autoLine="0" r:id="rId19">
            <anchor moveWithCells="1">
              <from>
                <xdr:col>16</xdr:col>
                <xdr:colOff>533400</xdr:colOff>
                <xdr:row>132</xdr:row>
                <xdr:rowOff>95250</xdr:rowOff>
              </from>
              <to>
                <xdr:col>17</xdr:col>
                <xdr:colOff>25400</xdr:colOff>
                <xdr:row>132</xdr:row>
                <xdr:rowOff>247650</xdr:rowOff>
              </to>
            </anchor>
          </controlPr>
        </control>
      </mc:Choice>
      <mc:Fallback>
        <control shapeId="19638" r:id="rId83" name="Urep_DM54_Util"/>
      </mc:Fallback>
    </mc:AlternateContent>
    <mc:AlternateContent xmlns:mc="http://schemas.openxmlformats.org/markup-compatibility/2006">
      <mc:Choice Requires="x14">
        <control shapeId="19639" r:id="rId84" name="Urep_DM54_Avg">
          <controlPr defaultSize="0" autoLine="0" r:id="rId17">
            <anchor moveWithCells="1">
              <from>
                <xdr:col>15</xdr:col>
                <xdr:colOff>527050</xdr:colOff>
                <xdr:row>132</xdr:row>
                <xdr:rowOff>95250</xdr:rowOff>
              </from>
              <to>
                <xdr:col>16</xdr:col>
                <xdr:colOff>31750</xdr:colOff>
                <xdr:row>132</xdr:row>
                <xdr:rowOff>247650</xdr:rowOff>
              </to>
            </anchor>
          </controlPr>
        </control>
      </mc:Choice>
      <mc:Fallback>
        <control shapeId="19639" r:id="rId84" name="Urep_DM54_Avg"/>
      </mc:Fallback>
    </mc:AlternateContent>
    <mc:AlternateContent xmlns:mc="http://schemas.openxmlformats.org/markup-compatibility/2006">
      <mc:Choice Requires="x14">
        <control shapeId="19640" r:id="rId85" name="Urep_DM60_Util">
          <controlPr defaultSize="0" autoLine="0" r:id="rId19">
            <anchor moveWithCells="1">
              <from>
                <xdr:col>16</xdr:col>
                <xdr:colOff>533400</xdr:colOff>
                <xdr:row>133</xdr:row>
                <xdr:rowOff>95250</xdr:rowOff>
              </from>
              <to>
                <xdr:col>17</xdr:col>
                <xdr:colOff>25400</xdr:colOff>
                <xdr:row>133</xdr:row>
                <xdr:rowOff>247650</xdr:rowOff>
              </to>
            </anchor>
          </controlPr>
        </control>
      </mc:Choice>
      <mc:Fallback>
        <control shapeId="19640" r:id="rId85" name="Urep_DM60_Util"/>
      </mc:Fallback>
    </mc:AlternateContent>
    <mc:AlternateContent xmlns:mc="http://schemas.openxmlformats.org/markup-compatibility/2006">
      <mc:Choice Requires="x14">
        <control shapeId="19641" r:id="rId86" name="Urep_DM60_Avg">
          <controlPr defaultSize="0" autoLine="0" r:id="rId17">
            <anchor moveWithCells="1">
              <from>
                <xdr:col>15</xdr:col>
                <xdr:colOff>527050</xdr:colOff>
                <xdr:row>133</xdr:row>
                <xdr:rowOff>95250</xdr:rowOff>
              </from>
              <to>
                <xdr:col>16</xdr:col>
                <xdr:colOff>31750</xdr:colOff>
                <xdr:row>133</xdr:row>
                <xdr:rowOff>247650</xdr:rowOff>
              </to>
            </anchor>
          </controlPr>
        </control>
      </mc:Choice>
      <mc:Fallback>
        <control shapeId="19641" r:id="rId86" name="Urep_DM60_Avg"/>
      </mc:Fallback>
    </mc:AlternateContent>
    <mc:AlternateContent xmlns:mc="http://schemas.openxmlformats.org/markup-compatibility/2006">
      <mc:Choice Requires="x14">
        <control shapeId="19642" r:id="rId87" name="Urep_DMG60_Util">
          <controlPr defaultSize="0" autoLine="0" r:id="rId19">
            <anchor moveWithCells="1">
              <from>
                <xdr:col>16</xdr:col>
                <xdr:colOff>533400</xdr:colOff>
                <xdr:row>134</xdr:row>
                <xdr:rowOff>95250</xdr:rowOff>
              </from>
              <to>
                <xdr:col>17</xdr:col>
                <xdr:colOff>25400</xdr:colOff>
                <xdr:row>134</xdr:row>
                <xdr:rowOff>247650</xdr:rowOff>
              </to>
            </anchor>
          </controlPr>
        </control>
      </mc:Choice>
      <mc:Fallback>
        <control shapeId="19642" r:id="rId87" name="Urep_DMG60_Util"/>
      </mc:Fallback>
    </mc:AlternateContent>
    <mc:AlternateContent xmlns:mc="http://schemas.openxmlformats.org/markup-compatibility/2006">
      <mc:Choice Requires="x14">
        <control shapeId="19643" r:id="rId88" name="Urep_DMG60_Avg">
          <controlPr defaultSize="0" autoLine="0" r:id="rId17">
            <anchor moveWithCells="1">
              <from>
                <xdr:col>15</xdr:col>
                <xdr:colOff>527050</xdr:colOff>
                <xdr:row>134</xdr:row>
                <xdr:rowOff>95250</xdr:rowOff>
              </from>
              <to>
                <xdr:col>16</xdr:col>
                <xdr:colOff>31750</xdr:colOff>
                <xdr:row>134</xdr:row>
                <xdr:rowOff>247650</xdr:rowOff>
              </to>
            </anchor>
          </controlPr>
        </control>
      </mc:Choice>
      <mc:Fallback>
        <control shapeId="19643" r:id="rId88" name="Urep_DMG60_Avg"/>
      </mc:Fallback>
    </mc:AlternateContent>
    <mc:AlternateContent xmlns:mc="http://schemas.openxmlformats.org/markup-compatibility/2006">
      <mc:Choice Requires="x14">
        <control shapeId="19644" r:id="rId89" name="Urep_DM14_Avg">
          <controlPr defaultSize="0" autoLine="0" r:id="rId17">
            <anchor moveWithCells="1">
              <from>
                <xdr:col>15</xdr:col>
                <xdr:colOff>527050</xdr:colOff>
                <xdr:row>123</xdr:row>
                <xdr:rowOff>95250</xdr:rowOff>
              </from>
              <to>
                <xdr:col>16</xdr:col>
                <xdr:colOff>31750</xdr:colOff>
                <xdr:row>123</xdr:row>
                <xdr:rowOff>247650</xdr:rowOff>
              </to>
            </anchor>
          </controlPr>
        </control>
      </mc:Choice>
      <mc:Fallback>
        <control shapeId="19644" r:id="rId89" name="Urep_DM14_Avg"/>
      </mc:Fallback>
    </mc:AlternateContent>
    <mc:AlternateContent xmlns:mc="http://schemas.openxmlformats.org/markup-compatibility/2006">
      <mc:Choice Requires="x14">
        <control shapeId="19645" r:id="rId90" name="Urep_DM16_Util">
          <controlPr defaultSize="0" autoLine="0" r:id="rId19">
            <anchor moveWithCells="1">
              <from>
                <xdr:col>16</xdr:col>
                <xdr:colOff>533400</xdr:colOff>
                <xdr:row>124</xdr:row>
                <xdr:rowOff>95250</xdr:rowOff>
              </from>
              <to>
                <xdr:col>17</xdr:col>
                <xdr:colOff>25400</xdr:colOff>
                <xdr:row>124</xdr:row>
                <xdr:rowOff>247650</xdr:rowOff>
              </to>
            </anchor>
          </controlPr>
        </control>
      </mc:Choice>
      <mc:Fallback>
        <control shapeId="19645" r:id="rId90" name="Urep_DM16_Util"/>
      </mc:Fallback>
    </mc:AlternateContent>
    <mc:AlternateContent xmlns:mc="http://schemas.openxmlformats.org/markup-compatibility/2006">
      <mc:Choice Requires="x14">
        <control shapeId="19646" r:id="rId91" name="Urep_DM14_Util">
          <controlPr defaultSize="0" autoLine="0" r:id="rId19">
            <anchor moveWithCells="1">
              <from>
                <xdr:col>16</xdr:col>
                <xdr:colOff>533400</xdr:colOff>
                <xdr:row>123</xdr:row>
                <xdr:rowOff>95250</xdr:rowOff>
              </from>
              <to>
                <xdr:col>17</xdr:col>
                <xdr:colOff>25400</xdr:colOff>
                <xdr:row>123</xdr:row>
                <xdr:rowOff>247650</xdr:rowOff>
              </to>
            </anchor>
          </controlPr>
        </control>
      </mc:Choice>
      <mc:Fallback>
        <control shapeId="19646" r:id="rId91" name="Urep_DM14_Util"/>
      </mc:Fallback>
    </mc:AlternateContent>
    <mc:AlternateContent xmlns:mc="http://schemas.openxmlformats.org/markup-compatibility/2006">
      <mc:Choice Requires="x14">
        <control shapeId="19647" r:id="rId92" name="Urep_DM16_Avg">
          <controlPr defaultSize="0" autoLine="0" r:id="rId17">
            <anchor moveWithCells="1">
              <from>
                <xdr:col>15</xdr:col>
                <xdr:colOff>527050</xdr:colOff>
                <xdr:row>124</xdr:row>
                <xdr:rowOff>95250</xdr:rowOff>
              </from>
              <to>
                <xdr:col>16</xdr:col>
                <xdr:colOff>31750</xdr:colOff>
                <xdr:row>124</xdr:row>
                <xdr:rowOff>247650</xdr:rowOff>
              </to>
            </anchor>
          </controlPr>
        </control>
      </mc:Choice>
      <mc:Fallback>
        <control shapeId="19647" r:id="rId92" name="Urep_DM16_Avg"/>
      </mc:Fallback>
    </mc:AlternateContent>
    <mc:AlternateContent xmlns:mc="http://schemas.openxmlformats.org/markup-compatibility/2006">
      <mc:Choice Requires="x14">
        <control shapeId="19648" r:id="rId93" name="Urep_DM18_Avg">
          <controlPr defaultSize="0" autoLine="0" r:id="rId17">
            <anchor moveWithCells="1">
              <from>
                <xdr:col>15</xdr:col>
                <xdr:colOff>527050</xdr:colOff>
                <xdr:row>125</xdr:row>
                <xdr:rowOff>95250</xdr:rowOff>
              </from>
              <to>
                <xdr:col>16</xdr:col>
                <xdr:colOff>31750</xdr:colOff>
                <xdr:row>125</xdr:row>
                <xdr:rowOff>247650</xdr:rowOff>
              </to>
            </anchor>
          </controlPr>
        </control>
      </mc:Choice>
      <mc:Fallback>
        <control shapeId="19648" r:id="rId93" name="Urep_DM18_Avg"/>
      </mc:Fallback>
    </mc:AlternateContent>
    <mc:AlternateContent xmlns:mc="http://schemas.openxmlformats.org/markup-compatibility/2006">
      <mc:Choice Requires="x14">
        <control shapeId="19649" r:id="rId94" name="Urep_DM18_Util">
          <controlPr defaultSize="0" autoLine="0" r:id="rId19">
            <anchor moveWithCells="1">
              <from>
                <xdr:col>16</xdr:col>
                <xdr:colOff>533400</xdr:colOff>
                <xdr:row>125</xdr:row>
                <xdr:rowOff>95250</xdr:rowOff>
              </from>
              <to>
                <xdr:col>17</xdr:col>
                <xdr:colOff>25400</xdr:colOff>
                <xdr:row>125</xdr:row>
                <xdr:rowOff>247650</xdr:rowOff>
              </to>
            </anchor>
          </controlPr>
        </control>
      </mc:Choice>
      <mc:Fallback>
        <control shapeId="19649" r:id="rId94" name="Urep_DM18_Util"/>
      </mc:Fallback>
    </mc:AlternateContent>
    <mc:AlternateContent xmlns:mc="http://schemas.openxmlformats.org/markup-compatibility/2006">
      <mc:Choice Requires="x14">
        <control shapeId="19650" r:id="rId95" name="Urep_DM20_Avg">
          <controlPr defaultSize="0" autoLine="0" r:id="rId17">
            <anchor moveWithCells="1">
              <from>
                <xdr:col>15</xdr:col>
                <xdr:colOff>527050</xdr:colOff>
                <xdr:row>126</xdr:row>
                <xdr:rowOff>95250</xdr:rowOff>
              </from>
              <to>
                <xdr:col>16</xdr:col>
                <xdr:colOff>31750</xdr:colOff>
                <xdr:row>126</xdr:row>
                <xdr:rowOff>247650</xdr:rowOff>
              </to>
            </anchor>
          </controlPr>
        </control>
      </mc:Choice>
      <mc:Fallback>
        <control shapeId="19650" r:id="rId95" name="Urep_DM20_Avg"/>
      </mc:Fallback>
    </mc:AlternateContent>
    <mc:AlternateContent xmlns:mc="http://schemas.openxmlformats.org/markup-compatibility/2006">
      <mc:Choice Requires="x14">
        <control shapeId="19651" r:id="rId96" name="Urep_DM20_Util">
          <controlPr defaultSize="0" autoLine="0" r:id="rId19">
            <anchor moveWithCells="1">
              <from>
                <xdr:col>16</xdr:col>
                <xdr:colOff>533400</xdr:colOff>
                <xdr:row>126</xdr:row>
                <xdr:rowOff>95250</xdr:rowOff>
              </from>
              <to>
                <xdr:col>17</xdr:col>
                <xdr:colOff>25400</xdr:colOff>
                <xdr:row>126</xdr:row>
                <xdr:rowOff>247650</xdr:rowOff>
              </to>
            </anchor>
          </controlPr>
        </control>
      </mc:Choice>
      <mc:Fallback>
        <control shapeId="19651" r:id="rId96" name="Urep_DM20_Util"/>
      </mc:Fallback>
    </mc:AlternateContent>
    <mc:AlternateContent xmlns:mc="http://schemas.openxmlformats.org/markup-compatibility/2006">
      <mc:Choice Requires="x14">
        <control shapeId="19652" r:id="rId97" name="Urep_DM24_Avg">
          <controlPr defaultSize="0" autoLine="0" r:id="rId17">
            <anchor moveWithCells="1">
              <from>
                <xdr:col>15</xdr:col>
                <xdr:colOff>527050</xdr:colOff>
                <xdr:row>127</xdr:row>
                <xdr:rowOff>95250</xdr:rowOff>
              </from>
              <to>
                <xdr:col>16</xdr:col>
                <xdr:colOff>31750</xdr:colOff>
                <xdr:row>127</xdr:row>
                <xdr:rowOff>247650</xdr:rowOff>
              </to>
            </anchor>
          </controlPr>
        </control>
      </mc:Choice>
      <mc:Fallback>
        <control shapeId="19652" r:id="rId97" name="Urep_DM24_Avg"/>
      </mc:Fallback>
    </mc:AlternateContent>
    <mc:AlternateContent xmlns:mc="http://schemas.openxmlformats.org/markup-compatibility/2006">
      <mc:Choice Requires="x14">
        <control shapeId="19653" r:id="rId98" name="Urep_DM24_Util">
          <controlPr defaultSize="0" autoLine="0" r:id="rId19">
            <anchor moveWithCells="1">
              <from>
                <xdr:col>16</xdr:col>
                <xdr:colOff>533400</xdr:colOff>
                <xdr:row>127</xdr:row>
                <xdr:rowOff>95250</xdr:rowOff>
              </from>
              <to>
                <xdr:col>17</xdr:col>
                <xdr:colOff>25400</xdr:colOff>
                <xdr:row>127</xdr:row>
                <xdr:rowOff>247650</xdr:rowOff>
              </to>
            </anchor>
          </controlPr>
        </control>
      </mc:Choice>
      <mc:Fallback>
        <control shapeId="19653" r:id="rId98" name="Urep_DM24_Util"/>
      </mc:Fallback>
    </mc:AlternateContent>
    <mc:AlternateContent xmlns:mc="http://schemas.openxmlformats.org/markup-compatibility/2006">
      <mc:Choice Requires="x14">
        <control shapeId="19654" r:id="rId99" name="Urep_DM12_Avg">
          <controlPr defaultSize="0" autoLine="0" r:id="rId17">
            <anchor moveWithCells="1">
              <from>
                <xdr:col>15</xdr:col>
                <xdr:colOff>527050</xdr:colOff>
                <xdr:row>122</xdr:row>
                <xdr:rowOff>95250</xdr:rowOff>
              </from>
              <to>
                <xdr:col>16</xdr:col>
                <xdr:colOff>31750</xdr:colOff>
                <xdr:row>122</xdr:row>
                <xdr:rowOff>247650</xdr:rowOff>
              </to>
            </anchor>
          </controlPr>
        </control>
      </mc:Choice>
      <mc:Fallback>
        <control shapeId="19654" r:id="rId99" name="Urep_DM12_Avg"/>
      </mc:Fallback>
    </mc:AlternateContent>
    <mc:AlternateContent xmlns:mc="http://schemas.openxmlformats.org/markup-compatibility/2006">
      <mc:Choice Requires="x14">
        <control shapeId="19655" r:id="rId100" name="Urep_Hyd_Avg">
          <controlPr defaultSize="0" autoLine="0" r:id="rId17">
            <anchor moveWithCells="1">
              <from>
                <xdr:col>15</xdr:col>
                <xdr:colOff>527050</xdr:colOff>
                <xdr:row>144</xdr:row>
                <xdr:rowOff>95250</xdr:rowOff>
              </from>
              <to>
                <xdr:col>16</xdr:col>
                <xdr:colOff>31750</xdr:colOff>
                <xdr:row>144</xdr:row>
                <xdr:rowOff>247650</xdr:rowOff>
              </to>
            </anchor>
          </controlPr>
        </control>
      </mc:Choice>
      <mc:Fallback>
        <control shapeId="19655" r:id="rId100" name="Urep_Hyd_Avg"/>
      </mc:Fallback>
    </mc:AlternateContent>
    <mc:AlternateContent xmlns:mc="http://schemas.openxmlformats.org/markup-compatibility/2006">
      <mc:Choice Requires="x14">
        <control shapeId="19656" r:id="rId101" name="Urep_Hyd_Util">
          <controlPr defaultSize="0" autoLine="0" r:id="rId19">
            <anchor moveWithCells="1">
              <from>
                <xdr:col>16</xdr:col>
                <xdr:colOff>533400</xdr:colOff>
                <xdr:row>144</xdr:row>
                <xdr:rowOff>95250</xdr:rowOff>
              </from>
              <to>
                <xdr:col>17</xdr:col>
                <xdr:colOff>25400</xdr:colOff>
                <xdr:row>144</xdr:row>
                <xdr:rowOff>247650</xdr:rowOff>
              </to>
            </anchor>
          </controlPr>
        </control>
      </mc:Choice>
      <mc:Fallback>
        <control shapeId="19656" r:id="rId101" name="Urep_Hyd_Util"/>
      </mc:Fallback>
    </mc:AlternateContent>
    <mc:AlternateContent xmlns:mc="http://schemas.openxmlformats.org/markup-compatibility/2006">
      <mc:Choice Requires="x14">
        <control shapeId="19657" r:id="rId102" name="URep_V_Avg">
          <controlPr defaultSize="0" autoLine="0" r:id="rId17">
            <anchor moveWithCells="1">
              <from>
                <xdr:col>15</xdr:col>
                <xdr:colOff>527050</xdr:colOff>
                <xdr:row>145</xdr:row>
                <xdr:rowOff>95250</xdr:rowOff>
              </from>
              <to>
                <xdr:col>16</xdr:col>
                <xdr:colOff>31750</xdr:colOff>
                <xdr:row>145</xdr:row>
                <xdr:rowOff>247650</xdr:rowOff>
              </to>
            </anchor>
          </controlPr>
        </control>
      </mc:Choice>
      <mc:Fallback>
        <control shapeId="19657" r:id="rId102" name="URep_V_Avg"/>
      </mc:Fallback>
    </mc:AlternateContent>
    <mc:AlternateContent xmlns:mc="http://schemas.openxmlformats.org/markup-compatibility/2006">
      <mc:Choice Requires="x14">
        <control shapeId="19658" r:id="rId103" name="Urep_V_Util">
          <controlPr defaultSize="0" autoLine="0" r:id="rId19">
            <anchor moveWithCells="1">
              <from>
                <xdr:col>16</xdr:col>
                <xdr:colOff>533400</xdr:colOff>
                <xdr:row>145</xdr:row>
                <xdr:rowOff>95250</xdr:rowOff>
              </from>
              <to>
                <xdr:col>17</xdr:col>
                <xdr:colOff>25400</xdr:colOff>
                <xdr:row>145</xdr:row>
                <xdr:rowOff>247650</xdr:rowOff>
              </to>
            </anchor>
          </controlPr>
        </control>
      </mc:Choice>
      <mc:Fallback>
        <control shapeId="19658" r:id="rId103" name="Urep_V_Util"/>
      </mc:Fallback>
    </mc:AlternateContent>
    <mc:AlternateContent xmlns:mc="http://schemas.openxmlformats.org/markup-compatibility/2006">
      <mc:Choice Requires="x14">
        <control shapeId="19659" r:id="rId104" name="Urep_BO_Avg">
          <controlPr defaultSize="0" autoLine="0" r:id="rId17">
            <anchor moveWithCells="1">
              <from>
                <xdr:col>15</xdr:col>
                <xdr:colOff>527050</xdr:colOff>
                <xdr:row>146</xdr:row>
                <xdr:rowOff>95250</xdr:rowOff>
              </from>
              <to>
                <xdr:col>16</xdr:col>
                <xdr:colOff>31750</xdr:colOff>
                <xdr:row>146</xdr:row>
                <xdr:rowOff>247650</xdr:rowOff>
              </to>
            </anchor>
          </controlPr>
        </control>
      </mc:Choice>
      <mc:Fallback>
        <control shapeId="19659" r:id="rId104" name="Urep_BO_Avg"/>
      </mc:Fallback>
    </mc:AlternateContent>
    <mc:AlternateContent xmlns:mc="http://schemas.openxmlformats.org/markup-compatibility/2006">
      <mc:Choice Requires="x14">
        <control shapeId="19660" r:id="rId105" name="Urep_BO_Util">
          <controlPr defaultSize="0" autoLine="0" r:id="rId19">
            <anchor moveWithCells="1">
              <from>
                <xdr:col>16</xdr:col>
                <xdr:colOff>533400</xdr:colOff>
                <xdr:row>146</xdr:row>
                <xdr:rowOff>95250</xdr:rowOff>
              </from>
              <to>
                <xdr:col>17</xdr:col>
                <xdr:colOff>25400</xdr:colOff>
                <xdr:row>146</xdr:row>
                <xdr:rowOff>247650</xdr:rowOff>
              </to>
            </anchor>
          </controlPr>
        </control>
      </mc:Choice>
      <mc:Fallback>
        <control shapeId="19660" r:id="rId105" name="Urep_BO_Util"/>
      </mc:Fallback>
    </mc:AlternateContent>
    <mc:AlternateContent xmlns:mc="http://schemas.openxmlformats.org/markup-compatibility/2006">
      <mc:Choice Requires="x14">
        <control shapeId="19661" r:id="rId106" name="Urep_Serv_SM1_Util">
          <controlPr defaultSize="0" autoLine="0" r:id="rId19">
            <anchor moveWithCells="1">
              <from>
                <xdr:col>16</xdr:col>
                <xdr:colOff>533400</xdr:colOff>
                <xdr:row>156</xdr:row>
                <xdr:rowOff>88900</xdr:rowOff>
              </from>
              <to>
                <xdr:col>17</xdr:col>
                <xdr:colOff>25400</xdr:colOff>
                <xdr:row>156</xdr:row>
                <xdr:rowOff>241300</xdr:rowOff>
              </to>
            </anchor>
          </controlPr>
        </control>
      </mc:Choice>
      <mc:Fallback>
        <control shapeId="19661" r:id="rId106" name="Urep_Serv_SM1_Util"/>
      </mc:Fallback>
    </mc:AlternateContent>
    <mc:AlternateContent xmlns:mc="http://schemas.openxmlformats.org/markup-compatibility/2006">
      <mc:Choice Requires="x14">
        <control shapeId="19662" r:id="rId107" name="Urep_Serv_GR1_Avg">
          <controlPr defaultSize="0" autoLine="0" r:id="rId17">
            <anchor moveWithCells="1">
              <from>
                <xdr:col>15</xdr:col>
                <xdr:colOff>527050</xdr:colOff>
                <xdr:row>157</xdr:row>
                <xdr:rowOff>88900</xdr:rowOff>
              </from>
              <to>
                <xdr:col>16</xdr:col>
                <xdr:colOff>31750</xdr:colOff>
                <xdr:row>157</xdr:row>
                <xdr:rowOff>241300</xdr:rowOff>
              </to>
            </anchor>
          </controlPr>
        </control>
      </mc:Choice>
      <mc:Fallback>
        <control shapeId="19662" r:id="rId107" name="Urep_Serv_GR1_Avg"/>
      </mc:Fallback>
    </mc:AlternateContent>
    <mc:AlternateContent xmlns:mc="http://schemas.openxmlformats.org/markup-compatibility/2006">
      <mc:Choice Requires="x14">
        <control shapeId="19663" r:id="rId108" name="Urep_Serv_GR1_Util">
          <controlPr defaultSize="0" autoLine="0" r:id="rId19">
            <anchor moveWithCells="1">
              <from>
                <xdr:col>16</xdr:col>
                <xdr:colOff>533400</xdr:colOff>
                <xdr:row>157</xdr:row>
                <xdr:rowOff>88900</xdr:rowOff>
              </from>
              <to>
                <xdr:col>17</xdr:col>
                <xdr:colOff>25400</xdr:colOff>
                <xdr:row>157</xdr:row>
                <xdr:rowOff>241300</xdr:rowOff>
              </to>
            </anchor>
          </controlPr>
        </control>
      </mc:Choice>
      <mc:Fallback>
        <control shapeId="19663" r:id="rId108" name="Urep_Serv_GR1_Util"/>
      </mc:Fallback>
    </mc:AlternateContent>
    <mc:AlternateContent xmlns:mc="http://schemas.openxmlformats.org/markup-compatibility/2006">
      <mc:Choice Requires="x14">
        <control shapeId="19664" r:id="rId109" name="Rep_Serv_GR1_Util">
          <controlPr defaultSize="0" autoLine="0" r:id="rId19">
            <anchor moveWithCells="1">
              <from>
                <xdr:col>16</xdr:col>
                <xdr:colOff>533400</xdr:colOff>
                <xdr:row>98</xdr:row>
                <xdr:rowOff>95250</xdr:rowOff>
              </from>
              <to>
                <xdr:col>17</xdr:col>
                <xdr:colOff>25400</xdr:colOff>
                <xdr:row>98</xdr:row>
                <xdr:rowOff>247650</xdr:rowOff>
              </to>
            </anchor>
          </controlPr>
        </control>
      </mc:Choice>
      <mc:Fallback>
        <control shapeId="19664" r:id="rId109" name="Rep_Serv_GR1_Util"/>
      </mc:Fallback>
    </mc:AlternateContent>
    <mc:AlternateContent xmlns:mc="http://schemas.openxmlformats.org/markup-compatibility/2006">
      <mc:Choice Requires="x14">
        <control shapeId="19665" r:id="rId110" name="Rep_Serv_SM1_Avg">
          <controlPr defaultSize="0" autoLine="0" r:id="rId17">
            <anchor moveWithCells="1">
              <from>
                <xdr:col>15</xdr:col>
                <xdr:colOff>527050</xdr:colOff>
                <xdr:row>97</xdr:row>
                <xdr:rowOff>95250</xdr:rowOff>
              </from>
              <to>
                <xdr:col>16</xdr:col>
                <xdr:colOff>31750</xdr:colOff>
                <xdr:row>97</xdr:row>
                <xdr:rowOff>247650</xdr:rowOff>
              </to>
            </anchor>
          </controlPr>
        </control>
      </mc:Choice>
      <mc:Fallback>
        <control shapeId="19665" r:id="rId110" name="Rep_Serv_SM1_Avg"/>
      </mc:Fallback>
    </mc:AlternateContent>
    <mc:AlternateContent xmlns:mc="http://schemas.openxmlformats.org/markup-compatibility/2006">
      <mc:Choice Requires="x14">
        <control shapeId="19666" r:id="rId111" name="Rep_Serv_SM1_Util">
          <controlPr defaultSize="0" autoLine="0" r:id="rId19">
            <anchor moveWithCells="1">
              <from>
                <xdr:col>16</xdr:col>
                <xdr:colOff>533400</xdr:colOff>
                <xdr:row>97</xdr:row>
                <xdr:rowOff>95250</xdr:rowOff>
              </from>
              <to>
                <xdr:col>17</xdr:col>
                <xdr:colOff>25400</xdr:colOff>
                <xdr:row>97</xdr:row>
                <xdr:rowOff>247650</xdr:rowOff>
              </to>
            </anchor>
          </controlPr>
        </control>
      </mc:Choice>
      <mc:Fallback>
        <control shapeId="19666" r:id="rId111" name="Rep_Serv_SM1_Util"/>
      </mc:Fallback>
    </mc:AlternateContent>
    <mc:AlternateContent xmlns:mc="http://schemas.openxmlformats.org/markup-compatibility/2006">
      <mc:Choice Requires="x14">
        <control shapeId="19667" r:id="rId112" name="Rep_Hyd_Util">
          <controlPr defaultSize="0" autoLine="0" r:id="rId19">
            <anchor moveWithCells="1">
              <from>
                <xdr:col>16</xdr:col>
                <xdr:colOff>533400</xdr:colOff>
                <xdr:row>85</xdr:row>
                <xdr:rowOff>95250</xdr:rowOff>
              </from>
              <to>
                <xdr:col>17</xdr:col>
                <xdr:colOff>25400</xdr:colOff>
                <xdr:row>85</xdr:row>
                <xdr:rowOff>247650</xdr:rowOff>
              </to>
            </anchor>
          </controlPr>
        </control>
      </mc:Choice>
      <mc:Fallback>
        <control shapeId="19667" r:id="rId112" name="Rep_Hyd_Util"/>
      </mc:Fallback>
    </mc:AlternateContent>
    <mc:AlternateContent xmlns:mc="http://schemas.openxmlformats.org/markup-compatibility/2006">
      <mc:Choice Requires="x14">
        <control shapeId="19668" r:id="rId113" name="Rep_Hyd_Avg">
          <controlPr defaultSize="0" autoLine="0" r:id="rId114">
            <anchor moveWithCells="1">
              <from>
                <xdr:col>15</xdr:col>
                <xdr:colOff>527050</xdr:colOff>
                <xdr:row>85</xdr:row>
                <xdr:rowOff>88900</xdr:rowOff>
              </from>
              <to>
                <xdr:col>16</xdr:col>
                <xdr:colOff>31750</xdr:colOff>
                <xdr:row>86</xdr:row>
                <xdr:rowOff>0</xdr:rowOff>
              </to>
            </anchor>
          </controlPr>
        </control>
      </mc:Choice>
      <mc:Fallback>
        <control shapeId="19668" r:id="rId113" name="Rep_Hyd_Avg"/>
      </mc:Fallback>
    </mc:AlternateContent>
    <mc:AlternateContent xmlns:mc="http://schemas.openxmlformats.org/markup-compatibility/2006">
      <mc:Choice Requires="x14">
        <control shapeId="19471" r:id="rId115" name="Group Box 15">
          <controlPr defaultSize="0" autoFill="0" autoPict="0">
            <anchor moveWithCells="1">
              <from>
                <xdr:col>13</xdr:col>
                <xdr:colOff>908050</xdr:colOff>
                <xdr:row>8</xdr:row>
                <xdr:rowOff>0</xdr:rowOff>
              </from>
              <to>
                <xdr:col>17</xdr:col>
                <xdr:colOff>419100</xdr:colOff>
                <xdr:row>10</xdr:row>
                <xdr:rowOff>57150</xdr:rowOff>
              </to>
            </anchor>
          </controlPr>
        </control>
      </mc:Choice>
    </mc:AlternateContent>
    <mc:AlternateContent xmlns:mc="http://schemas.openxmlformats.org/markup-compatibility/2006">
      <mc:Choice Requires="x14">
        <control shapeId="19472" r:id="rId116" name="Group Box 16">
          <controlPr defaultSize="0" autoFill="0" autoPict="0">
            <anchor moveWithCells="1">
              <from>
                <xdr:col>9</xdr:col>
                <xdr:colOff>914400</xdr:colOff>
                <xdr:row>18</xdr:row>
                <xdr:rowOff>431800</xdr:rowOff>
              </from>
              <to>
                <xdr:col>11</xdr:col>
                <xdr:colOff>361950</xdr:colOff>
                <xdr:row>22</xdr:row>
                <xdr:rowOff>152400</xdr:rowOff>
              </to>
            </anchor>
          </controlPr>
        </control>
      </mc:Choice>
    </mc:AlternateContent>
    <mc:AlternateContent xmlns:mc="http://schemas.openxmlformats.org/markup-compatibility/2006">
      <mc:Choice Requires="x14">
        <control shapeId="19508" r:id="rId117" name="Group Box 52">
          <controlPr defaultSize="0" autoFill="0" autoPict="0">
            <anchor moveWithCells="1">
              <from>
                <xdr:col>14</xdr:col>
                <xdr:colOff>819150</xdr:colOff>
                <xdr:row>56</xdr:row>
                <xdr:rowOff>127000</xdr:rowOff>
              </from>
              <to>
                <xdr:col>17</xdr:col>
                <xdr:colOff>361950</xdr:colOff>
                <xdr:row>58</xdr:row>
                <xdr:rowOff>31750</xdr:rowOff>
              </to>
            </anchor>
          </controlPr>
        </control>
      </mc:Choice>
    </mc:AlternateContent>
    <mc:AlternateContent xmlns:mc="http://schemas.openxmlformats.org/markup-compatibility/2006">
      <mc:Choice Requires="x14">
        <control shapeId="19509" r:id="rId118" name="Group Box 53">
          <controlPr defaultSize="0" autoFill="0" autoPict="0">
            <anchor moveWithCells="1">
              <from>
                <xdr:col>14</xdr:col>
                <xdr:colOff>800100</xdr:colOff>
                <xdr:row>64</xdr:row>
                <xdr:rowOff>298450</xdr:rowOff>
              </from>
              <to>
                <xdr:col>17</xdr:col>
                <xdr:colOff>546100</xdr:colOff>
                <xdr:row>66</xdr:row>
                <xdr:rowOff>107950</xdr:rowOff>
              </to>
            </anchor>
          </controlPr>
        </control>
      </mc:Choice>
    </mc:AlternateContent>
    <mc:AlternateContent xmlns:mc="http://schemas.openxmlformats.org/markup-compatibility/2006">
      <mc:Choice Requires="x14">
        <control shapeId="19530" r:id="rId119" name="Group Box 74">
          <controlPr defaultSize="0" autoFill="0" autoPict="0">
            <anchor moveWithCells="1">
              <from>
                <xdr:col>14</xdr:col>
                <xdr:colOff>742950</xdr:colOff>
                <xdr:row>31</xdr:row>
                <xdr:rowOff>165100</xdr:rowOff>
              </from>
              <to>
                <xdr:col>17</xdr:col>
                <xdr:colOff>438150</xdr:colOff>
                <xdr:row>33</xdr:row>
                <xdr:rowOff>50800</xdr:rowOff>
              </to>
            </anchor>
          </controlPr>
        </control>
      </mc:Choice>
    </mc:AlternateContent>
    <mc:AlternateContent xmlns:mc="http://schemas.openxmlformats.org/markup-compatibility/2006">
      <mc:Choice Requires="x14">
        <control shapeId="19531" r:id="rId120" name="Group Box 75">
          <controlPr defaultSize="0" autoFill="0" autoPict="0">
            <anchor moveWithCells="1">
              <from>
                <xdr:col>14</xdr:col>
                <xdr:colOff>704850</xdr:colOff>
                <xdr:row>32</xdr:row>
                <xdr:rowOff>184150</xdr:rowOff>
              </from>
              <to>
                <xdr:col>17</xdr:col>
                <xdr:colOff>457200</xdr:colOff>
                <xdr:row>33</xdr:row>
                <xdr:rowOff>260350</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Lcharts">
    <pageSetUpPr fitToPage="1"/>
  </sheetPr>
  <dimension ref="A1:AC36"/>
  <sheetViews>
    <sheetView topLeftCell="B1" workbookViewId="0">
      <selection activeCell="B3" sqref="B3:Q3"/>
    </sheetView>
  </sheetViews>
  <sheetFormatPr defaultColWidth="0" defaultRowHeight="15.5" zeroHeight="1"/>
  <cols>
    <col min="1" max="1" width="2.69140625" style="148" hidden="1" customWidth="1"/>
    <col min="2" max="18" width="8.84375" style="759" customWidth="1"/>
    <col min="19" max="22" width="8.84375" style="595" hidden="1" customWidth="1"/>
    <col min="23" max="23" width="77.765625" style="595" hidden="1" customWidth="1"/>
    <col min="24" max="25" width="8.84375" style="595" hidden="1" customWidth="1"/>
    <col min="26" max="26" width="10.84375" style="595" hidden="1" customWidth="1"/>
    <col min="27" max="28" width="8.84375" style="595" hidden="1" customWidth="1"/>
    <col min="29" max="16384" width="8.84375" style="148" hidden="1"/>
  </cols>
  <sheetData>
    <row r="1" spans="1:29" s="137" customFormat="1" ht="15.75" customHeight="1">
      <c r="A1" s="142"/>
      <c r="B1" s="1123" t="s">
        <v>920</v>
      </c>
      <c r="C1" s="1124"/>
      <c r="D1" s="1124"/>
      <c r="E1" s="1124"/>
      <c r="F1" s="1124"/>
      <c r="G1" s="1124"/>
      <c r="H1" s="1124"/>
      <c r="I1" s="1124"/>
      <c r="J1" s="1124"/>
      <c r="K1" s="1124"/>
      <c r="L1" s="1124"/>
      <c r="M1" s="1124"/>
      <c r="N1" s="1124"/>
      <c r="O1" s="1124"/>
      <c r="P1" s="1124"/>
      <c r="Q1" s="135"/>
      <c r="R1" s="136"/>
      <c r="S1" s="594"/>
      <c r="T1" s="594"/>
      <c r="U1" s="594"/>
      <c r="V1" s="594"/>
      <c r="W1" s="594"/>
      <c r="X1" s="594"/>
      <c r="Y1" s="594"/>
      <c r="Z1" s="594"/>
      <c r="AA1" s="594"/>
      <c r="AB1" s="594"/>
    </row>
    <row r="2" spans="1:29" s="137" customFormat="1" ht="15.75" customHeight="1">
      <c r="A2" s="143"/>
      <c r="B2" s="1125"/>
      <c r="C2" s="1126"/>
      <c r="D2" s="1126"/>
      <c r="E2" s="1126"/>
      <c r="F2" s="1126"/>
      <c r="G2" s="1126"/>
      <c r="H2" s="1126"/>
      <c r="I2" s="1126"/>
      <c r="J2" s="1126"/>
      <c r="K2" s="1126"/>
      <c r="L2" s="1126"/>
      <c r="M2" s="1126"/>
      <c r="N2" s="1126"/>
      <c r="O2" s="1126"/>
      <c r="P2" s="1126"/>
      <c r="Q2" s="87"/>
      <c r="R2" s="139"/>
      <c r="S2" s="594"/>
      <c r="T2" s="594"/>
      <c r="U2" s="594"/>
      <c r="V2" s="594"/>
      <c r="W2" s="594"/>
      <c r="X2" s="594"/>
      <c r="Y2" s="594"/>
      <c r="Z2" s="594"/>
      <c r="AA2" s="594"/>
      <c r="AB2" s="594"/>
    </row>
    <row r="3" spans="1:29" s="910" customFormat="1" ht="15.75" customHeight="1">
      <c r="A3" s="143"/>
      <c r="B3" s="1213" t="str">
        <f>IF('Start Page'!$Y$37="","",IF('Start Page'!$K$37="Partial Audit Period","Water Audit: "&amp;'Start Page'!$D$26&amp;", "&amp;'Start Page'!$H$26&amp;", "&amp;'Start Page'!$K$26&amp;", "&amp;'Start Page'!$Y$37,"Water Audit: "&amp;'Start Page'!$D$26&amp;", "&amp;'Start Page'!$H$26&amp;", "&amp;'Start Page'!$K$26&amp;", "&amp;YEAR('Start Page'!$Y$37)))</f>
        <v/>
      </c>
      <c r="C3" s="1214"/>
      <c r="D3" s="1214"/>
      <c r="E3" s="1214"/>
      <c r="F3" s="1214"/>
      <c r="G3" s="1214"/>
      <c r="H3" s="1214"/>
      <c r="I3" s="1214"/>
      <c r="J3" s="1214"/>
      <c r="K3" s="1214"/>
      <c r="L3" s="1214"/>
      <c r="M3" s="1214"/>
      <c r="N3" s="1214"/>
      <c r="O3" s="1214"/>
      <c r="P3" s="1214"/>
      <c r="Q3" s="1214"/>
      <c r="R3" s="911"/>
      <c r="S3" s="911"/>
      <c r="T3" s="911"/>
      <c r="U3" s="911"/>
      <c r="V3" s="911"/>
      <c r="W3" s="911"/>
      <c r="X3" s="911"/>
      <c r="Y3" s="911"/>
      <c r="Z3" s="911"/>
      <c r="AA3" s="911"/>
      <c r="AB3" s="911"/>
      <c r="AC3" s="911"/>
    </row>
    <row r="4" spans="1:29" s="137" customFormat="1" ht="15.75" customHeight="1" thickBot="1">
      <c r="A4" s="144"/>
      <c r="B4" s="88" t="s">
        <v>759</v>
      </c>
      <c r="C4" s="89"/>
      <c r="D4" s="90"/>
      <c r="E4" s="90"/>
      <c r="F4" s="89"/>
      <c r="G4" s="89"/>
      <c r="H4" s="89"/>
      <c r="I4" s="89"/>
      <c r="J4" s="89"/>
      <c r="K4" s="89"/>
      <c r="L4" s="89"/>
      <c r="M4" s="89"/>
      <c r="N4" s="89"/>
      <c r="O4" s="89"/>
      <c r="P4" s="89"/>
      <c r="Q4" s="89"/>
      <c r="R4" s="141"/>
      <c r="S4" s="594"/>
      <c r="T4" s="594"/>
      <c r="U4" s="594"/>
      <c r="V4" s="594"/>
      <c r="W4" s="594"/>
      <c r="X4" s="594"/>
      <c r="Y4" s="594"/>
      <c r="Z4" s="594"/>
      <c r="AA4" s="594"/>
      <c r="AB4" s="594"/>
    </row>
    <row r="5" spans="1:29">
      <c r="A5" s="145"/>
      <c r="B5" s="760"/>
      <c r="C5" s="761"/>
      <c r="D5" s="761"/>
      <c r="E5" s="761"/>
      <c r="F5" s="761"/>
      <c r="G5" s="761"/>
      <c r="H5" s="761"/>
      <c r="I5" s="761"/>
      <c r="J5" s="761"/>
      <c r="K5" s="761"/>
      <c r="L5" s="761"/>
      <c r="M5" s="761"/>
      <c r="N5" s="761"/>
      <c r="O5" s="761"/>
      <c r="P5" s="761"/>
      <c r="Q5" s="761"/>
      <c r="R5" s="762"/>
      <c r="V5" s="596"/>
      <c r="W5" s="596"/>
      <c r="X5" s="596"/>
      <c r="Y5" s="596"/>
      <c r="Z5" s="596"/>
      <c r="AA5" s="596"/>
      <c r="AB5" s="596"/>
      <c r="AC5" s="151"/>
    </row>
    <row r="6" spans="1:29">
      <c r="A6" s="149"/>
      <c r="B6" s="763"/>
      <c r="C6" s="146"/>
      <c r="D6" s="146"/>
      <c r="E6" s="146"/>
      <c r="F6" s="146"/>
      <c r="G6" s="146"/>
      <c r="H6" s="146"/>
      <c r="I6" s="146"/>
      <c r="J6" s="146"/>
      <c r="K6" s="146"/>
      <c r="L6" s="146"/>
      <c r="M6" s="146"/>
      <c r="N6" s="146"/>
      <c r="O6" s="146"/>
      <c r="P6" s="146"/>
      <c r="Q6" s="146"/>
      <c r="R6" s="147"/>
      <c r="V6" s="596"/>
      <c r="W6" s="597"/>
      <c r="X6" s="597"/>
      <c r="Y6" s="597"/>
      <c r="Z6" s="597"/>
      <c r="AA6" s="597"/>
      <c r="AB6" s="596"/>
      <c r="AC6" s="151"/>
    </row>
    <row r="7" spans="1:29">
      <c r="A7" s="149"/>
      <c r="B7" s="763"/>
      <c r="C7" s="146"/>
      <c r="D7" s="146"/>
      <c r="E7" s="146"/>
      <c r="F7" s="146"/>
      <c r="G7" s="146"/>
      <c r="H7" s="146"/>
      <c r="I7" s="146"/>
      <c r="J7" s="146"/>
      <c r="K7" s="146"/>
      <c r="L7" s="146"/>
      <c r="M7" s="146"/>
      <c r="N7" s="146"/>
      <c r="O7" s="146"/>
      <c r="P7" s="146"/>
      <c r="Q7" s="146"/>
      <c r="R7" s="147"/>
      <c r="V7" s="596"/>
      <c r="W7" s="597"/>
      <c r="X7" s="597"/>
      <c r="Y7" s="597"/>
      <c r="Z7" s="597"/>
      <c r="AA7" s="597"/>
      <c r="AB7" s="596"/>
      <c r="AC7" s="151"/>
    </row>
    <row r="8" spans="1:29">
      <c r="A8" s="149"/>
      <c r="B8" s="763"/>
      <c r="C8" s="146"/>
      <c r="D8" s="146"/>
      <c r="E8" s="146"/>
      <c r="F8" s="146"/>
      <c r="G8" s="146"/>
      <c r="H8" s="146"/>
      <c r="I8" s="146"/>
      <c r="J8" s="146"/>
      <c r="K8" s="146"/>
      <c r="L8" s="146"/>
      <c r="M8" s="146"/>
      <c r="N8" s="146"/>
      <c r="O8" s="146"/>
      <c r="P8" s="146"/>
      <c r="Q8" s="146"/>
      <c r="R8" s="147"/>
      <c r="V8" s="596"/>
      <c r="W8" s="598" t="s">
        <v>489</v>
      </c>
      <c r="X8" s="598" t="s">
        <v>491</v>
      </c>
      <c r="Y8" s="598" t="s">
        <v>91</v>
      </c>
      <c r="Z8" s="598" t="s">
        <v>490</v>
      </c>
      <c r="AA8" s="597"/>
      <c r="AB8" s="596"/>
      <c r="AC8" s="151"/>
    </row>
    <row r="9" spans="1:29">
      <c r="A9" s="149"/>
      <c r="B9" s="763"/>
      <c r="C9" s="146"/>
      <c r="D9" s="146"/>
      <c r="E9" s="146"/>
      <c r="F9" s="146"/>
      <c r="G9" s="146"/>
      <c r="H9" s="146"/>
      <c r="I9" s="146"/>
      <c r="J9" s="146"/>
      <c r="K9" s="146"/>
      <c r="L9" s="146"/>
      <c r="M9" s="146"/>
      <c r="N9" s="146"/>
      <c r="O9" s="146"/>
      <c r="P9" s="146"/>
      <c r="Q9" s="146"/>
      <c r="R9" s="147"/>
      <c r="V9" s="596"/>
      <c r="W9" s="597" t="s">
        <v>102</v>
      </c>
      <c r="X9" s="599">
        <f>'Real Losses Component Analysis'!C15</f>
        <v>0</v>
      </c>
      <c r="Y9" s="597" t="str">
        <f>'Real Losses Component Analysis'!C11</f>
        <v>(MG)</v>
      </c>
      <c r="Z9" s="600" t="str">
        <f>IF(ISERROR(X9/$X$14),"",X9/$X$14)</f>
        <v/>
      </c>
      <c r="AA9" s="597"/>
      <c r="AB9" s="596"/>
      <c r="AC9" s="151"/>
    </row>
    <row r="10" spans="1:29">
      <c r="A10" s="149"/>
      <c r="B10" s="763"/>
      <c r="C10" s="146"/>
      <c r="D10" s="146"/>
      <c r="E10" s="146"/>
      <c r="F10" s="146"/>
      <c r="G10" s="146"/>
      <c r="H10" s="146"/>
      <c r="I10" s="146"/>
      <c r="J10" s="146"/>
      <c r="K10" s="146"/>
      <c r="L10" s="146"/>
      <c r="M10" s="146"/>
      <c r="N10" s="146"/>
      <c r="O10" s="146"/>
      <c r="P10" s="146"/>
      <c r="Q10" s="146"/>
      <c r="R10" s="147"/>
      <c r="V10" s="596"/>
      <c r="W10" s="597" t="s">
        <v>770</v>
      </c>
      <c r="X10" s="599">
        <f>'Real Losses Component Analysis'!D15</f>
        <v>0</v>
      </c>
      <c r="Y10" s="597" t="str">
        <f>'Real Losses Component Analysis'!D11</f>
        <v>(MG)</v>
      </c>
      <c r="Z10" s="600" t="str">
        <f>IF(ISERROR(X10/$X$14),"",X10/$X$14)</f>
        <v/>
      </c>
      <c r="AA10" s="597"/>
      <c r="AB10" s="596"/>
      <c r="AC10" s="151"/>
    </row>
    <row r="11" spans="1:29">
      <c r="A11" s="149"/>
      <c r="B11" s="763"/>
      <c r="C11" s="146"/>
      <c r="D11" s="146"/>
      <c r="E11" s="146"/>
      <c r="F11" s="146"/>
      <c r="G11" s="146"/>
      <c r="H11" s="146"/>
      <c r="I11" s="146"/>
      <c r="J11" s="146"/>
      <c r="K11" s="146"/>
      <c r="L11" s="146"/>
      <c r="M11" s="146"/>
      <c r="N11" s="146"/>
      <c r="O11" s="146"/>
      <c r="P11" s="146"/>
      <c r="Q11" s="146"/>
      <c r="R11" s="147"/>
      <c r="V11" s="596"/>
      <c r="W11" s="597" t="s">
        <v>771</v>
      </c>
      <c r="X11" s="599">
        <f>'Real Losses Component Analysis'!E15</f>
        <v>0</v>
      </c>
      <c r="Y11" s="597" t="str">
        <f>'Real Losses Component Analysis'!E11</f>
        <v>(MG)</v>
      </c>
      <c r="Z11" s="600" t="str">
        <f>IF(ISERROR(X11/$X$14),"",X11/$X$14)</f>
        <v/>
      </c>
      <c r="AA11" s="597"/>
      <c r="AB11" s="596"/>
      <c r="AC11" s="151"/>
    </row>
    <row r="12" spans="1:29">
      <c r="A12" s="149"/>
      <c r="B12" s="763"/>
      <c r="C12" s="146"/>
      <c r="D12" s="146"/>
      <c r="E12" s="146"/>
      <c r="F12" s="146"/>
      <c r="G12" s="146"/>
      <c r="H12" s="146"/>
      <c r="I12" s="146"/>
      <c r="J12" s="146"/>
      <c r="K12" s="146"/>
      <c r="L12" s="146"/>
      <c r="M12" s="146"/>
      <c r="N12" s="146"/>
      <c r="O12" s="146"/>
      <c r="P12" s="146"/>
      <c r="Q12" s="146"/>
      <c r="R12" s="147"/>
      <c r="V12" s="596"/>
      <c r="W12" s="597" t="s">
        <v>931</v>
      </c>
      <c r="X12" s="599">
        <f>'Real Losses Component Analysis'!F17</f>
        <v>0</v>
      </c>
      <c r="Y12" s="597" t="str">
        <f>'Real Losses Component Analysis'!F11</f>
        <v>(MG)</v>
      </c>
      <c r="Z12" s="600" t="str">
        <f>IF(ISERROR(X12/$X$14),"",X12/$X$14)</f>
        <v/>
      </c>
      <c r="AA12" s="597"/>
      <c r="AB12" s="596"/>
      <c r="AC12" s="151"/>
    </row>
    <row r="13" spans="1:29">
      <c r="A13" s="149"/>
      <c r="B13" s="763"/>
      <c r="C13" s="146"/>
      <c r="D13" s="146"/>
      <c r="E13" s="146"/>
      <c r="F13" s="146"/>
      <c r="G13" s="146"/>
      <c r="H13" s="146"/>
      <c r="I13" s="146"/>
      <c r="J13" s="146"/>
      <c r="K13" s="146"/>
      <c r="L13" s="146"/>
      <c r="M13" s="146"/>
      <c r="N13" s="146"/>
      <c r="O13" s="146"/>
      <c r="P13" s="146"/>
      <c r="Q13" s="146"/>
      <c r="R13" s="147"/>
      <c r="V13" s="596"/>
      <c r="W13" s="597"/>
      <c r="X13" s="599"/>
      <c r="Y13" s="597"/>
      <c r="Z13" s="601"/>
      <c r="AA13" s="597"/>
      <c r="AB13" s="596"/>
      <c r="AC13" s="151"/>
    </row>
    <row r="14" spans="1:29">
      <c r="A14" s="149"/>
      <c r="B14" s="763"/>
      <c r="C14" s="146"/>
      <c r="D14" s="146"/>
      <c r="E14" s="146"/>
      <c r="F14" s="146"/>
      <c r="G14" s="146"/>
      <c r="H14" s="146"/>
      <c r="I14" s="146"/>
      <c r="J14" s="146"/>
      <c r="K14" s="146"/>
      <c r="L14" s="146"/>
      <c r="M14" s="146"/>
      <c r="N14" s="146"/>
      <c r="O14" s="146"/>
      <c r="P14" s="146"/>
      <c r="Q14" s="146"/>
      <c r="R14" s="147"/>
      <c r="V14" s="596"/>
      <c r="W14" s="597" t="str">
        <f>IF(Z14="","","Total")</f>
        <v>Total</v>
      </c>
      <c r="X14" s="599">
        <f>SUM(X9:X12)</f>
        <v>0</v>
      </c>
      <c r="Y14" s="597" t="str">
        <f>'Real Losses Component Analysis'!F11</f>
        <v>(MG)</v>
      </c>
      <c r="Z14" s="601">
        <f>SUM(Z9:Z13)</f>
        <v>0</v>
      </c>
      <c r="AA14" s="597"/>
      <c r="AB14" s="596"/>
      <c r="AC14" s="151"/>
    </row>
    <row r="15" spans="1:29">
      <c r="A15" s="149"/>
      <c r="B15" s="763"/>
      <c r="C15" s="146"/>
      <c r="D15" s="146"/>
      <c r="E15" s="146"/>
      <c r="F15" s="146"/>
      <c r="G15" s="146"/>
      <c r="H15" s="146"/>
      <c r="I15" s="146"/>
      <c r="J15" s="146"/>
      <c r="K15" s="146"/>
      <c r="L15" s="146"/>
      <c r="M15" s="146"/>
      <c r="N15" s="146"/>
      <c r="O15" s="146"/>
      <c r="P15" s="146"/>
      <c r="Q15" s="146"/>
      <c r="R15" s="147"/>
      <c r="V15" s="596"/>
      <c r="W15" s="597"/>
      <c r="X15" s="597"/>
      <c r="Y15" s="597"/>
      <c r="Z15" s="597"/>
      <c r="AA15" s="597"/>
      <c r="AB15" s="596"/>
      <c r="AC15" s="151"/>
    </row>
    <row r="16" spans="1:29">
      <c r="A16" s="149"/>
      <c r="B16" s="763"/>
      <c r="C16" s="146"/>
      <c r="D16" s="146"/>
      <c r="E16" s="146"/>
      <c r="F16" s="146"/>
      <c r="G16" s="146"/>
      <c r="H16" s="146"/>
      <c r="I16" s="146"/>
      <c r="J16" s="146"/>
      <c r="K16" s="146"/>
      <c r="L16" s="146"/>
      <c r="M16" s="146"/>
      <c r="N16" s="146"/>
      <c r="O16" s="146"/>
      <c r="P16" s="146"/>
      <c r="Q16" s="146"/>
      <c r="R16" s="147"/>
      <c r="V16" s="596"/>
      <c r="W16" s="597"/>
      <c r="X16" s="597"/>
      <c r="Y16" s="597"/>
      <c r="Z16" s="597"/>
      <c r="AA16" s="597"/>
      <c r="AB16" s="596"/>
      <c r="AC16" s="151"/>
    </row>
    <row r="17" spans="1:29">
      <c r="A17" s="149"/>
      <c r="B17" s="763"/>
      <c r="C17" s="146"/>
      <c r="D17" s="146"/>
      <c r="E17" s="146"/>
      <c r="F17" s="146"/>
      <c r="G17" s="146"/>
      <c r="H17" s="146"/>
      <c r="I17" s="146"/>
      <c r="J17" s="146"/>
      <c r="K17" s="146"/>
      <c r="L17" s="146"/>
      <c r="M17" s="146"/>
      <c r="N17" s="146"/>
      <c r="O17" s="146"/>
      <c r="P17" s="146"/>
      <c r="Q17" s="146"/>
      <c r="R17" s="147"/>
      <c r="V17" s="596"/>
      <c r="W17" s="597"/>
      <c r="X17" s="597"/>
      <c r="Y17" s="597"/>
      <c r="Z17" s="597"/>
      <c r="AA17" s="597"/>
      <c r="AB17" s="596"/>
      <c r="AC17" s="151"/>
    </row>
    <row r="18" spans="1:29">
      <c r="A18" s="149"/>
      <c r="B18" s="763"/>
      <c r="C18" s="146"/>
      <c r="D18" s="146"/>
      <c r="E18" s="146"/>
      <c r="F18" s="146"/>
      <c r="G18" s="146"/>
      <c r="H18" s="146"/>
      <c r="I18" s="146"/>
      <c r="J18" s="146"/>
      <c r="K18" s="146"/>
      <c r="L18" s="146"/>
      <c r="M18" s="146"/>
      <c r="N18" s="146"/>
      <c r="O18" s="146"/>
      <c r="P18" s="146"/>
      <c r="Q18" s="146"/>
      <c r="R18" s="147"/>
      <c r="V18" s="596"/>
      <c r="W18" s="596"/>
      <c r="X18" s="596"/>
      <c r="Y18" s="596"/>
      <c r="Z18" s="596"/>
      <c r="AA18" s="596"/>
      <c r="AB18" s="596"/>
      <c r="AC18" s="151"/>
    </row>
    <row r="19" spans="1:29">
      <c r="A19" s="149"/>
      <c r="B19" s="763"/>
      <c r="C19" s="146"/>
      <c r="D19" s="146"/>
      <c r="E19" s="146"/>
      <c r="F19" s="146"/>
      <c r="G19" s="146"/>
      <c r="H19" s="146"/>
      <c r="I19" s="146"/>
      <c r="J19" s="146"/>
      <c r="K19" s="146"/>
      <c r="L19" s="146"/>
      <c r="M19" s="146"/>
      <c r="N19" s="146"/>
      <c r="O19" s="146"/>
      <c r="P19" s="146"/>
      <c r="Q19" s="146"/>
      <c r="R19" s="147"/>
      <c r="V19" s="596"/>
      <c r="W19" s="596"/>
      <c r="X19" s="596"/>
      <c r="Y19" s="596"/>
      <c r="Z19" s="596"/>
      <c r="AA19" s="596"/>
      <c r="AB19" s="596"/>
      <c r="AC19" s="151"/>
    </row>
    <row r="20" spans="1:29">
      <c r="A20" s="149"/>
      <c r="B20" s="763"/>
      <c r="C20" s="146"/>
      <c r="D20" s="146"/>
      <c r="E20" s="146"/>
      <c r="F20" s="146"/>
      <c r="G20" s="146"/>
      <c r="H20" s="146"/>
      <c r="I20" s="146"/>
      <c r="J20" s="146"/>
      <c r="K20" s="146"/>
      <c r="L20" s="146"/>
      <c r="M20" s="146"/>
      <c r="N20" s="146"/>
      <c r="O20" s="146"/>
      <c r="P20" s="146"/>
      <c r="Q20" s="146"/>
      <c r="R20" s="147"/>
      <c r="V20" s="596"/>
      <c r="W20" s="596"/>
      <c r="X20" s="596"/>
      <c r="Y20" s="596"/>
      <c r="Z20" s="596"/>
      <c r="AA20" s="596"/>
      <c r="AB20" s="596"/>
      <c r="AC20" s="151"/>
    </row>
    <row r="21" spans="1:29">
      <c r="A21" s="149"/>
      <c r="B21" s="763"/>
      <c r="C21" s="146"/>
      <c r="D21" s="146"/>
      <c r="E21" s="146"/>
      <c r="F21" s="146"/>
      <c r="G21" s="146"/>
      <c r="H21" s="146"/>
      <c r="I21" s="146"/>
      <c r="J21" s="146"/>
      <c r="K21" s="146"/>
      <c r="L21" s="146"/>
      <c r="M21" s="146"/>
      <c r="N21" s="146"/>
      <c r="O21" s="146"/>
      <c r="P21" s="146"/>
      <c r="Q21" s="146"/>
      <c r="R21" s="147"/>
      <c r="V21" s="596"/>
      <c r="W21" s="596"/>
      <c r="X21" s="596"/>
      <c r="Y21" s="596"/>
      <c r="Z21" s="596"/>
      <c r="AA21" s="596"/>
      <c r="AB21" s="596"/>
      <c r="AC21" s="151"/>
    </row>
    <row r="22" spans="1:29">
      <c r="A22" s="149"/>
      <c r="B22" s="763"/>
      <c r="C22" s="146"/>
      <c r="D22" s="146"/>
      <c r="E22" s="146"/>
      <c r="F22" s="146"/>
      <c r="G22" s="146"/>
      <c r="H22" s="146"/>
      <c r="I22" s="146"/>
      <c r="J22" s="146"/>
      <c r="K22" s="146"/>
      <c r="L22" s="146"/>
      <c r="M22" s="146"/>
      <c r="N22" s="146"/>
      <c r="O22" s="146"/>
      <c r="P22" s="146"/>
      <c r="Q22" s="146"/>
      <c r="R22" s="147"/>
      <c r="V22" s="596"/>
      <c r="W22" s="596"/>
      <c r="X22" s="596"/>
      <c r="Y22" s="596"/>
      <c r="Z22" s="596"/>
      <c r="AA22" s="596"/>
      <c r="AB22" s="596"/>
      <c r="AC22" s="151"/>
    </row>
    <row r="23" spans="1:29">
      <c r="A23" s="149"/>
      <c r="B23" s="763"/>
      <c r="C23" s="146"/>
      <c r="D23" s="146"/>
      <c r="E23" s="146"/>
      <c r="F23" s="146"/>
      <c r="G23" s="146"/>
      <c r="H23" s="146"/>
      <c r="I23" s="146"/>
      <c r="J23" s="146"/>
      <c r="K23" s="146"/>
      <c r="L23" s="146"/>
      <c r="M23" s="146"/>
      <c r="N23" s="146"/>
      <c r="O23" s="146"/>
      <c r="P23" s="146"/>
      <c r="Q23" s="146"/>
      <c r="R23" s="147"/>
      <c r="V23" s="596"/>
      <c r="W23" s="596"/>
      <c r="X23" s="596"/>
      <c r="Y23" s="596"/>
      <c r="Z23" s="596"/>
      <c r="AA23" s="596"/>
      <c r="AB23" s="596"/>
      <c r="AC23" s="151"/>
    </row>
    <row r="24" spans="1:29">
      <c r="A24" s="149"/>
      <c r="B24" s="763"/>
      <c r="C24" s="146"/>
      <c r="D24" s="146"/>
      <c r="E24" s="146"/>
      <c r="F24" s="146"/>
      <c r="G24" s="146"/>
      <c r="H24" s="146"/>
      <c r="I24" s="146"/>
      <c r="J24" s="146"/>
      <c r="K24" s="146"/>
      <c r="L24" s="146"/>
      <c r="M24" s="146"/>
      <c r="N24" s="146"/>
      <c r="O24" s="146"/>
      <c r="P24" s="146"/>
      <c r="Q24" s="146"/>
      <c r="R24" s="147"/>
    </row>
    <row r="25" spans="1:29">
      <c r="A25" s="149"/>
      <c r="B25" s="763"/>
      <c r="C25" s="146"/>
      <c r="D25" s="146"/>
      <c r="E25" s="146"/>
      <c r="F25" s="146"/>
      <c r="G25" s="146"/>
      <c r="H25" s="146"/>
      <c r="I25" s="146"/>
      <c r="J25" s="146"/>
      <c r="K25" s="146"/>
      <c r="L25" s="146"/>
      <c r="M25" s="146"/>
      <c r="N25" s="146"/>
      <c r="O25" s="146"/>
      <c r="P25" s="146"/>
      <c r="Q25" s="146"/>
      <c r="R25" s="147"/>
    </row>
    <row r="26" spans="1:29">
      <c r="A26" s="149"/>
      <c r="B26" s="763"/>
      <c r="C26" s="146"/>
      <c r="D26" s="146"/>
      <c r="E26" s="146"/>
      <c r="F26" s="146"/>
      <c r="G26" s="146"/>
      <c r="H26" s="146"/>
      <c r="I26" s="146"/>
      <c r="J26" s="146"/>
      <c r="K26" s="146"/>
      <c r="L26" s="146"/>
      <c r="M26" s="146"/>
      <c r="N26" s="146"/>
      <c r="O26" s="146"/>
      <c r="P26" s="146"/>
      <c r="Q26" s="146"/>
      <c r="R26" s="147"/>
    </row>
    <row r="27" spans="1:29">
      <c r="A27" s="149"/>
      <c r="B27" s="763"/>
      <c r="C27" s="146"/>
      <c r="D27" s="146"/>
      <c r="E27" s="146"/>
      <c r="F27" s="146"/>
      <c r="G27" s="146"/>
      <c r="H27" s="146"/>
      <c r="I27" s="146"/>
      <c r="J27" s="146"/>
      <c r="K27" s="146"/>
      <c r="L27" s="146"/>
      <c r="M27" s="146"/>
      <c r="N27" s="146"/>
      <c r="O27" s="146"/>
      <c r="P27" s="146"/>
      <c r="Q27" s="146"/>
      <c r="R27" s="147"/>
    </row>
    <row r="28" spans="1:29">
      <c r="A28" s="149"/>
      <c r="B28" s="763"/>
      <c r="C28" s="146"/>
      <c r="D28" s="146"/>
      <c r="E28" s="146"/>
      <c r="F28" s="146"/>
      <c r="G28" s="146"/>
      <c r="H28" s="146"/>
      <c r="I28" s="146"/>
      <c r="J28" s="146"/>
      <c r="K28" s="146"/>
      <c r="L28" s="146"/>
      <c r="M28" s="146"/>
      <c r="N28" s="146"/>
      <c r="O28" s="146"/>
      <c r="P28" s="146"/>
      <c r="Q28" s="146"/>
      <c r="R28" s="147"/>
    </row>
    <row r="29" spans="1:29">
      <c r="A29" s="149"/>
      <c r="B29" s="763"/>
      <c r="C29" s="146"/>
      <c r="D29" s="146"/>
      <c r="E29" s="146"/>
      <c r="F29" s="146"/>
      <c r="G29" s="146"/>
      <c r="H29" s="146"/>
      <c r="I29" s="146"/>
      <c r="J29" s="146"/>
      <c r="K29" s="146"/>
      <c r="L29" s="146"/>
      <c r="M29" s="146"/>
      <c r="N29" s="146"/>
      <c r="O29" s="146"/>
      <c r="P29" s="146"/>
      <c r="Q29" s="146"/>
      <c r="R29" s="147"/>
    </row>
    <row r="30" spans="1:29">
      <c r="A30" s="149"/>
      <c r="B30" s="763"/>
      <c r="C30" s="146"/>
      <c r="D30" s="146"/>
      <c r="E30" s="146"/>
      <c r="F30" s="146"/>
      <c r="G30" s="146"/>
      <c r="H30" s="146"/>
      <c r="I30" s="146"/>
      <c r="J30" s="146"/>
      <c r="K30" s="146"/>
      <c r="L30" s="146"/>
      <c r="M30" s="146"/>
      <c r="N30" s="146"/>
      <c r="O30" s="146"/>
      <c r="P30" s="146"/>
      <c r="Q30" s="146"/>
      <c r="R30" s="147"/>
    </row>
    <row r="31" spans="1:29">
      <c r="A31" s="149"/>
      <c r="B31" s="763"/>
      <c r="C31" s="146"/>
      <c r="D31" s="146"/>
      <c r="E31" s="146"/>
      <c r="F31" s="146"/>
      <c r="G31" s="146"/>
      <c r="H31" s="146"/>
      <c r="I31" s="146"/>
      <c r="J31" s="146"/>
      <c r="K31" s="146"/>
      <c r="L31" s="146"/>
      <c r="M31" s="146"/>
      <c r="N31" s="146"/>
      <c r="O31" s="146"/>
      <c r="P31" s="146"/>
      <c r="Q31" s="146"/>
      <c r="R31" s="147"/>
    </row>
    <row r="32" spans="1:29">
      <c r="A32" s="149"/>
      <c r="B32" s="763"/>
      <c r="C32" s="146"/>
      <c r="D32" s="146"/>
      <c r="E32" s="146"/>
      <c r="F32" s="146"/>
      <c r="G32" s="146"/>
      <c r="H32" s="146"/>
      <c r="I32" s="146"/>
      <c r="J32" s="146"/>
      <c r="K32" s="146"/>
      <c r="L32" s="146"/>
      <c r="M32" s="146"/>
      <c r="N32" s="146"/>
      <c r="O32" s="146"/>
      <c r="P32" s="146"/>
      <c r="Q32" s="146"/>
      <c r="R32" s="147"/>
    </row>
    <row r="33" spans="1:18">
      <c r="A33" s="149"/>
      <c r="B33" s="763"/>
      <c r="C33" s="146"/>
      <c r="D33" s="146"/>
      <c r="E33" s="146"/>
      <c r="F33" s="146"/>
      <c r="G33" s="146"/>
      <c r="H33" s="146"/>
      <c r="I33" s="146"/>
      <c r="J33" s="146"/>
      <c r="K33" s="146"/>
      <c r="L33" s="146"/>
      <c r="M33" s="146"/>
      <c r="N33" s="146"/>
      <c r="O33" s="146"/>
      <c r="P33" s="146"/>
      <c r="Q33" s="146"/>
      <c r="R33" s="147"/>
    </row>
    <row r="34" spans="1:18">
      <c r="A34" s="149"/>
      <c r="B34" s="763"/>
      <c r="C34" s="146"/>
      <c r="D34" s="146"/>
      <c r="E34" s="146"/>
      <c r="F34" s="146"/>
      <c r="G34" s="146"/>
      <c r="H34" s="146"/>
      <c r="I34" s="146"/>
      <c r="J34" s="146"/>
      <c r="K34" s="146"/>
      <c r="L34" s="146"/>
      <c r="M34" s="146"/>
      <c r="N34" s="146"/>
      <c r="O34" s="146"/>
      <c r="P34" s="146"/>
      <c r="Q34" s="146"/>
      <c r="R34" s="147"/>
    </row>
    <row r="35" spans="1:18" ht="29.25" customHeight="1" thickBot="1">
      <c r="A35" s="150"/>
      <c r="B35" s="776" t="str">
        <f>IF('Start Page'!$H$29="","",'Start Page'!$H$29)</f>
        <v/>
      </c>
      <c r="C35" s="752"/>
      <c r="D35" s="752"/>
      <c r="E35" s="752"/>
      <c r="F35" s="752"/>
      <c r="G35" s="752"/>
      <c r="H35" s="752"/>
      <c r="I35" s="752"/>
      <c r="J35" s="752"/>
      <c r="K35" s="752"/>
      <c r="L35" s="752"/>
      <c r="M35" s="752"/>
      <c r="N35" s="752"/>
      <c r="O35" s="752"/>
      <c r="P35" s="752"/>
      <c r="Q35" s="752"/>
      <c r="R35" s="753" t="s">
        <v>922</v>
      </c>
    </row>
    <row r="36" spans="1:18" hidden="1">
      <c r="A36" s="151"/>
      <c r="B36" s="758"/>
      <c r="C36" s="758"/>
      <c r="D36" s="758"/>
      <c r="E36" s="758"/>
      <c r="F36" s="758"/>
      <c r="G36" s="758"/>
      <c r="H36" s="758"/>
      <c r="I36" s="758"/>
      <c r="J36" s="758"/>
      <c r="K36" s="758"/>
      <c r="L36" s="758"/>
      <c r="M36" s="758"/>
      <c r="N36" s="758"/>
      <c r="O36" s="758"/>
      <c r="P36" s="758"/>
      <c r="Q36" s="758"/>
      <c r="R36" s="758"/>
    </row>
  </sheetData>
  <sheetProtection algorithmName="SHA-512" hashValue="Y5SfoCQqdqNNhNdzV6wjafVn7LVfpjCuJ20SyaIHNckNbphM+wMPjPR0IlqFLkqFfz0hejmdHzn+g+zx1TsTNA==" saltValue="FU6dKaf306p/Rb7UWH1kHw==" spinCount="100000" sheet="1" objects="1" scenarios="1"/>
  <mergeCells count="2">
    <mergeCell ref="B1:P2"/>
    <mergeCell ref="B3:Q3"/>
  </mergeCells>
  <pageMargins left="0.7" right="0.7" top="0.75" bottom="0.75" header="0.3" footer="0.3"/>
  <pageSetup paperSize="0" scale="69" orientation="landscape" r:id="rId1"/>
  <ignoredErrors>
    <ignoredError sqref="B35" emptyCellReference="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FAnalysis"/>
  <dimension ref="A1:Z89"/>
  <sheetViews>
    <sheetView topLeftCell="B1" zoomScale="90" zoomScaleNormal="90" workbookViewId="0">
      <selection activeCell="B6" sqref="B6"/>
    </sheetView>
  </sheetViews>
  <sheetFormatPr defaultColWidth="0" defaultRowHeight="15.5" zeroHeight="1"/>
  <cols>
    <col min="1" max="1" width="2.23046875" style="375" hidden="1" customWidth="1"/>
    <col min="2" max="2" width="60.69140625" style="395" customWidth="1"/>
    <col min="3" max="3" width="7.84375" style="395" customWidth="1"/>
    <col min="4" max="4" width="31.53515625" style="395" customWidth="1"/>
    <col min="5" max="6" width="2.07421875" style="395" customWidth="1"/>
    <col min="7" max="7" width="63.3046875" style="395" customWidth="1"/>
    <col min="8" max="8" width="9.765625" style="395" customWidth="1"/>
    <col min="9" max="9" width="38.07421875" style="395" customWidth="1"/>
    <col min="10" max="21" width="11.07421875" style="367" hidden="1" customWidth="1"/>
    <col min="22" max="22" width="20.4609375" style="367" hidden="1" customWidth="1"/>
    <col min="23" max="16384" width="11.07421875" style="367" hidden="1"/>
  </cols>
  <sheetData>
    <row r="1" spans="1:26" ht="15.75" customHeight="1">
      <c r="A1" s="134"/>
      <c r="B1" s="1054" t="s">
        <v>920</v>
      </c>
      <c r="C1" s="1055"/>
      <c r="D1" s="1055"/>
      <c r="E1" s="1055"/>
      <c r="F1" s="1055"/>
      <c r="G1" s="1055"/>
      <c r="H1" s="135"/>
      <c r="I1" s="136"/>
      <c r="J1" s="319"/>
    </row>
    <row r="2" spans="1:26" ht="15.75" customHeight="1">
      <c r="A2" s="138"/>
      <c r="B2" s="1056"/>
      <c r="C2" s="1057"/>
      <c r="D2" s="1057"/>
      <c r="E2" s="1057"/>
      <c r="F2" s="1057"/>
      <c r="G2" s="1057"/>
      <c r="H2" s="87"/>
      <c r="I2" s="139"/>
      <c r="J2" s="319"/>
    </row>
    <row r="3" spans="1:26" ht="15.75" customHeight="1">
      <c r="A3" s="138"/>
      <c r="B3" s="1205" t="str">
        <f>IF('Start Page'!$Y$37="","",IF('Start Page'!$K$37="Partial Audit Period","Water Audit: "&amp;'Start Page'!$D$26&amp;", "&amp;'Start Page'!$H$26&amp;", "&amp;'Start Page'!$K$26&amp;", "&amp;'Start Page'!$Y$37,"Water Audit: "&amp;'Start Page'!$D$26&amp;", "&amp;'Start Page'!$H$26&amp;", "&amp;'Start Page'!$K$26&amp;", "&amp;YEAR('Start Page'!$Y$37)))</f>
        <v/>
      </c>
      <c r="C3" s="1206"/>
      <c r="D3" s="1206"/>
      <c r="E3" s="880"/>
      <c r="F3" s="880"/>
      <c r="G3" s="880"/>
      <c r="H3" s="880"/>
      <c r="I3" s="881"/>
      <c r="J3" s="319"/>
    </row>
    <row r="4" spans="1:26" s="368" customFormat="1" ht="15.75" customHeight="1" thickBot="1">
      <c r="A4" s="140"/>
      <c r="B4" s="88" t="s">
        <v>153</v>
      </c>
      <c r="C4" s="89"/>
      <c r="D4" s="90"/>
      <c r="E4" s="90"/>
      <c r="F4" s="90"/>
      <c r="G4" s="89"/>
      <c r="H4" s="89"/>
      <c r="I4" s="141"/>
      <c r="J4" s="364"/>
    </row>
    <row r="5" spans="1:26" ht="15.75" customHeight="1">
      <c r="A5" s="369"/>
      <c r="B5" s="370"/>
      <c r="C5" s="371"/>
      <c r="D5" s="371"/>
      <c r="E5" s="371"/>
      <c r="F5" s="371"/>
      <c r="G5" s="371"/>
      <c r="H5" s="371"/>
      <c r="I5" s="372"/>
    </row>
    <row r="6" spans="1:26" ht="15.75" customHeight="1" thickBot="1">
      <c r="A6" s="369"/>
      <c r="B6" s="373" t="str">
        <f>V6</f>
        <v/>
      </c>
      <c r="C6" s="374"/>
      <c r="D6" s="705"/>
      <c r="E6" s="705"/>
      <c r="F6" s="861"/>
      <c r="G6" s="376" t="str">
        <f>B6</f>
        <v/>
      </c>
      <c r="H6" s="705"/>
      <c r="I6" s="377"/>
      <c r="V6" s="378" t="str">
        <f>'Start Page'!Y21</f>
        <v/>
      </c>
    </row>
    <row r="7" spans="1:26" ht="31.5" customHeight="1">
      <c r="A7" s="369"/>
      <c r="B7" s="380" t="str">
        <f>"Total Number of Mains Failures Reported for "&amp;$B$3</f>
        <v xml:space="preserve">Total Number of Mains Failures Reported for </v>
      </c>
      <c r="C7" s="660">
        <f>SUM('Real Losses Component Analysis'!C58:C77)</f>
        <v>0</v>
      </c>
      <c r="D7" s="379"/>
      <c r="E7" s="705"/>
      <c r="F7" s="861"/>
      <c r="G7" s="380" t="str">
        <f>"Total Number of Service Connection Failures Reported for "&amp;$B$3</f>
        <v xml:space="preserve">Total Number of Service Connection Failures Reported for </v>
      </c>
      <c r="H7" s="660">
        <f>SUM('Real Losses Component Analysis'!C98:C99)</f>
        <v>0</v>
      </c>
      <c r="I7" s="379"/>
    </row>
    <row r="8" spans="1:26" ht="31.5" customHeight="1">
      <c r="A8" s="369"/>
      <c r="B8" s="381" t="s">
        <v>148</v>
      </c>
      <c r="C8" s="657">
        <f>'AWWA-Water Balance Data Transf.'!D37</f>
        <v>0</v>
      </c>
      <c r="D8" s="382" t="str">
        <f>IF('Start Page'!$Y$42=1,"(miles)",IF('Start Page'!$Y$42=2,"(kilometers)"))</f>
        <v>(miles)</v>
      </c>
      <c r="E8" s="705"/>
      <c r="F8" s="861"/>
      <c r="G8" s="381" t="s">
        <v>146</v>
      </c>
      <c r="H8" s="661">
        <f>'AWWA-Water Balance Data Transf.'!D38</f>
        <v>0</v>
      </c>
      <c r="I8" s="382" t="s">
        <v>149</v>
      </c>
      <c r="O8" s="367" t="s">
        <v>462</v>
      </c>
    </row>
    <row r="9" spans="1:26" ht="31.5" customHeight="1">
      <c r="A9" s="369"/>
      <c r="B9" s="381" t="str">
        <f>"Failure Frequency " &amp; B6</f>
        <v xml:space="preserve">Failure Frequency </v>
      </c>
      <c r="C9" s="658" t="str">
        <f>IF(C8&lt;100,"N/A",C7/C8*100)</f>
        <v>N/A</v>
      </c>
      <c r="D9" s="382" t="str">
        <f>IF('Start Page'!$Y$42=1,"(number / 100miles / yr)",IF('Start Page'!$Y$42=2,"(number /100kilometers / yr)"))</f>
        <v>(number / 100miles / yr)</v>
      </c>
      <c r="E9" s="705"/>
      <c r="F9" s="861"/>
      <c r="G9" s="381" t="str">
        <f>"Service Connection Failure Frequency " &amp; B6</f>
        <v xml:space="preserve">Service Connection Failure Frequency </v>
      </c>
      <c r="H9" s="658" t="str">
        <f>IF(H8&lt;1000,"N/A",H7/H8*1000)</f>
        <v>N/A</v>
      </c>
      <c r="I9" s="382" t="s">
        <v>150</v>
      </c>
      <c r="O9" s="367" t="s">
        <v>151</v>
      </c>
      <c r="V9" s="383" t="s">
        <v>691</v>
      </c>
    </row>
    <row r="10" spans="1:26" ht="35.25" customHeight="1">
      <c r="A10" s="369"/>
      <c r="B10" s="384" t="s">
        <v>692</v>
      </c>
      <c r="C10" s="658">
        <f>IF('Start Page'!$Y$42=1,$V$11,IF('Start Page'!$Y$42=2,$V$12))</f>
        <v>25</v>
      </c>
      <c r="D10" s="382" t="str">
        <f>IF('Start Page'!$Y$42=1,"(number / 100miles / yr)",IF('Start Page'!$Y$42=2,"(number /100kilometers / yr)"))</f>
        <v>(number / 100miles / yr)</v>
      </c>
      <c r="E10" s="705"/>
      <c r="F10" s="861"/>
      <c r="G10" s="384" t="s">
        <v>158</v>
      </c>
      <c r="H10" s="662">
        <f>IF('AWWA-Water Balance Data Transf.'!D40=0,2.25,3.75)</f>
        <v>2.25</v>
      </c>
      <c r="I10" s="382" t="s">
        <v>150</v>
      </c>
      <c r="O10" s="367" t="s">
        <v>154</v>
      </c>
      <c r="V10" s="385"/>
    </row>
    <row r="11" spans="1:26" ht="31.5" customHeight="1">
      <c r="A11" s="369"/>
      <c r="B11" s="386" t="s">
        <v>450</v>
      </c>
      <c r="C11" s="659">
        <f>IF('Start Page'!$Y$42=1,$V$15,IF('Start Page'!$Y$42=2,$V$16))</f>
        <v>15</v>
      </c>
      <c r="D11" s="387" t="str">
        <f>IF('Start Page'!$Y$42=1,"(number / 100miles / yr)",IF('Start Page'!$Y$42=2,"(number /100kilometers / yr)"))</f>
        <v>(number / 100miles / yr)</v>
      </c>
      <c r="E11" s="705"/>
      <c r="F11" s="861"/>
      <c r="G11" s="386" t="s">
        <v>594</v>
      </c>
      <c r="H11" s="659" t="str">
        <f>IF(ISERROR(H9/H10),"N/A",H9/H10)</f>
        <v>N/A</v>
      </c>
      <c r="I11" s="387"/>
      <c r="V11" s="367">
        <v>25</v>
      </c>
      <c r="W11" s="367" t="s">
        <v>155</v>
      </c>
    </row>
    <row r="12" spans="1:26" ht="27.75" customHeight="1">
      <c r="A12" s="369"/>
      <c r="B12" s="388" t="str">
        <f>IF(C9&lt;C11,"Note: reported failure frequency is less than failure frequency for optimized distribution systems - check failure data", "")</f>
        <v/>
      </c>
      <c r="C12" s="705"/>
      <c r="D12" s="377"/>
      <c r="E12" s="705"/>
      <c r="F12" s="861"/>
      <c r="G12" s="388" t="str">
        <f>IF(H9&lt;H10,"Note: reported failure frequency is less than UARL based minimum failure frequency - check service line failure data", "")</f>
        <v/>
      </c>
      <c r="H12" s="705"/>
      <c r="I12" s="377"/>
      <c r="O12" s="367" t="s">
        <v>152</v>
      </c>
      <c r="V12" s="389">
        <f>V11*(100/160.934722)</f>
        <v>15.534248724771773</v>
      </c>
      <c r="W12" s="367" t="s">
        <v>156</v>
      </c>
    </row>
    <row r="13" spans="1:26" ht="15.75" customHeight="1">
      <c r="A13" s="369"/>
      <c r="B13" s="704"/>
      <c r="C13" s="705"/>
      <c r="D13" s="377"/>
      <c r="E13" s="705"/>
      <c r="F13" s="861"/>
      <c r="G13" s="704"/>
      <c r="H13" s="705"/>
      <c r="I13" s="377"/>
      <c r="O13" s="367" t="str">
        <f>D9</f>
        <v>(number / 100miles / yr)</v>
      </c>
    </row>
    <row r="14" spans="1:26" ht="15.75" customHeight="1">
      <c r="A14" s="369"/>
      <c r="B14" s="704"/>
      <c r="C14" s="705"/>
      <c r="D14" s="377"/>
      <c r="E14" s="705"/>
      <c r="F14" s="861"/>
      <c r="G14" s="704"/>
      <c r="H14" s="705"/>
      <c r="I14" s="377"/>
      <c r="V14" s="1215" t="s">
        <v>450</v>
      </c>
      <c r="W14" s="1216"/>
      <c r="X14" s="1216"/>
      <c r="Y14" s="1216"/>
      <c r="Z14" s="1216"/>
    </row>
    <row r="15" spans="1:26" ht="15.75" customHeight="1">
      <c r="A15" s="369"/>
      <c r="B15" s="704"/>
      <c r="C15" s="705"/>
      <c r="D15" s="377"/>
      <c r="E15" s="705"/>
      <c r="F15" s="861"/>
      <c r="G15" s="704"/>
      <c r="H15" s="705"/>
      <c r="I15" s="377"/>
      <c r="V15" s="367">
        <v>15</v>
      </c>
      <c r="W15" s="367" t="s">
        <v>155</v>
      </c>
    </row>
    <row r="16" spans="1:26" ht="15.75" customHeight="1">
      <c r="A16" s="369"/>
      <c r="B16" s="704"/>
      <c r="C16" s="705"/>
      <c r="D16" s="377"/>
      <c r="E16" s="705"/>
      <c r="F16" s="861"/>
      <c r="G16" s="704"/>
      <c r="H16" s="705"/>
      <c r="I16" s="377"/>
      <c r="O16" s="367" t="s">
        <v>463</v>
      </c>
      <c r="V16" s="389">
        <f>V15*(100/160.934722)</f>
        <v>9.3205492348630639</v>
      </c>
      <c r="W16" s="367" t="s">
        <v>156</v>
      </c>
    </row>
    <row r="17" spans="1:15" ht="15.75" customHeight="1">
      <c r="A17" s="369"/>
      <c r="B17" s="704"/>
      <c r="C17" s="705"/>
      <c r="D17" s="377"/>
      <c r="E17" s="705"/>
      <c r="F17" s="861"/>
      <c r="G17" s="704"/>
      <c r="H17" s="705"/>
      <c r="I17" s="377"/>
      <c r="O17" s="367" t="s">
        <v>151</v>
      </c>
    </row>
    <row r="18" spans="1:15" ht="15.75" customHeight="1">
      <c r="A18" s="369"/>
      <c r="B18" s="704"/>
      <c r="C18" s="705"/>
      <c r="D18" s="377"/>
      <c r="E18" s="705"/>
      <c r="F18" s="861"/>
      <c r="G18" s="704"/>
      <c r="H18" s="705"/>
      <c r="I18" s="377"/>
      <c r="O18" s="367" t="s">
        <v>157</v>
      </c>
    </row>
    <row r="19" spans="1:15" ht="15.75" customHeight="1">
      <c r="A19" s="369"/>
      <c r="B19" s="704"/>
      <c r="C19" s="705"/>
      <c r="D19" s="377"/>
      <c r="E19" s="705"/>
      <c r="F19" s="861"/>
      <c r="G19" s="704"/>
      <c r="H19" s="705"/>
      <c r="I19" s="377"/>
    </row>
    <row r="20" spans="1:15" ht="15.75" customHeight="1">
      <c r="A20" s="369"/>
      <c r="B20" s="704"/>
      <c r="C20" s="705"/>
      <c r="D20" s="377"/>
      <c r="E20" s="705"/>
      <c r="F20" s="861"/>
      <c r="G20" s="704"/>
      <c r="H20" s="705"/>
      <c r="I20" s="377"/>
      <c r="O20" s="367" t="s">
        <v>152</v>
      </c>
    </row>
    <row r="21" spans="1:15" ht="15.75" customHeight="1">
      <c r="A21" s="369"/>
      <c r="B21" s="704"/>
      <c r="C21" s="705"/>
      <c r="D21" s="377"/>
      <c r="E21" s="705"/>
      <c r="F21" s="861"/>
      <c r="G21" s="704"/>
      <c r="H21" s="705"/>
      <c r="I21" s="377"/>
      <c r="O21" s="367" t="str">
        <f>I9</f>
        <v>(number / 1000 service connections / yr)</v>
      </c>
    </row>
    <row r="22" spans="1:15" ht="15.75" customHeight="1">
      <c r="A22" s="369"/>
      <c r="B22" s="704"/>
      <c r="C22" s="705"/>
      <c r="D22" s="377"/>
      <c r="E22" s="705"/>
      <c r="F22" s="861"/>
      <c r="G22" s="704"/>
      <c r="H22" s="705"/>
      <c r="I22" s="377"/>
    </row>
    <row r="23" spans="1:15" ht="15.75" customHeight="1">
      <c r="A23" s="369"/>
      <c r="B23" s="704"/>
      <c r="C23" s="705"/>
      <c r="D23" s="377"/>
      <c r="E23" s="705"/>
      <c r="F23" s="861"/>
      <c r="G23" s="704"/>
      <c r="H23" s="705"/>
      <c r="I23" s="377"/>
    </row>
    <row r="24" spans="1:15" ht="15.75" customHeight="1">
      <c r="A24" s="369"/>
      <c r="B24" s="704"/>
      <c r="C24" s="705"/>
      <c r="D24" s="377"/>
      <c r="E24" s="705"/>
      <c r="F24" s="861"/>
      <c r="G24" s="704"/>
      <c r="H24" s="705"/>
      <c r="I24" s="377"/>
    </row>
    <row r="25" spans="1:15" ht="15.75" customHeight="1">
      <c r="A25" s="369"/>
      <c r="B25" s="704"/>
      <c r="C25" s="705"/>
      <c r="D25" s="377"/>
      <c r="E25" s="705"/>
      <c r="F25" s="861"/>
      <c r="G25" s="704"/>
      <c r="H25" s="705"/>
      <c r="I25" s="377"/>
    </row>
    <row r="26" spans="1:15" ht="15.75" customHeight="1">
      <c r="A26" s="369"/>
      <c r="B26" s="704"/>
      <c r="C26" s="705"/>
      <c r="D26" s="377"/>
      <c r="E26" s="705"/>
      <c r="F26" s="861"/>
      <c r="G26" s="704"/>
      <c r="H26" s="705"/>
      <c r="I26" s="377"/>
    </row>
    <row r="27" spans="1:15" ht="15.75" customHeight="1">
      <c r="A27" s="369"/>
      <c r="B27" s="704"/>
      <c r="C27" s="705"/>
      <c r="D27" s="377"/>
      <c r="E27" s="705"/>
      <c r="F27" s="861"/>
      <c r="G27" s="704"/>
      <c r="H27" s="705"/>
      <c r="I27" s="377"/>
    </row>
    <row r="28" spans="1:15" ht="15.75" customHeight="1">
      <c r="A28" s="369"/>
      <c r="B28" s="704"/>
      <c r="C28" s="705"/>
      <c r="D28" s="377"/>
      <c r="E28" s="705"/>
      <c r="F28" s="861"/>
      <c r="G28" s="704"/>
      <c r="H28" s="705"/>
      <c r="I28" s="377"/>
    </row>
    <row r="29" spans="1:15" ht="15.75" customHeight="1" thickBot="1">
      <c r="A29" s="369"/>
      <c r="B29" s="390"/>
      <c r="C29" s="391"/>
      <c r="D29" s="392"/>
      <c r="E29" s="705"/>
      <c r="F29" s="861"/>
      <c r="G29" s="390"/>
      <c r="H29" s="391"/>
      <c r="I29" s="377"/>
    </row>
    <row r="30" spans="1:15" ht="15.75" customHeight="1" thickBot="1">
      <c r="A30" s="390"/>
      <c r="B30" s="704"/>
      <c r="C30" s="705"/>
      <c r="D30" s="377"/>
      <c r="E30" s="705"/>
      <c r="F30" s="861"/>
      <c r="G30" s="704"/>
      <c r="H30" s="705"/>
      <c r="I30" s="377"/>
    </row>
    <row r="31" spans="1:15" ht="15.75" customHeight="1">
      <c r="A31" s="705"/>
      <c r="B31" s="704"/>
      <c r="C31" s="705"/>
      <c r="D31" s="705"/>
      <c r="E31" s="705"/>
      <c r="F31" s="861"/>
      <c r="G31" s="705"/>
      <c r="H31" s="705"/>
      <c r="I31" s="377"/>
    </row>
    <row r="32" spans="1:15" ht="15.75" customHeight="1" thickBot="1">
      <c r="A32" s="705"/>
      <c r="B32" s="757" t="str">
        <f>IF('Start Page'!$H$29="","",'Start Page'!$H$29)</f>
        <v/>
      </c>
      <c r="C32" s="501"/>
      <c r="D32" s="501"/>
      <c r="E32" s="501"/>
      <c r="F32" s="501"/>
      <c r="G32" s="501"/>
      <c r="H32" s="501"/>
      <c r="I32" s="727" t="s">
        <v>922</v>
      </c>
    </row>
    <row r="33" spans="1:9" ht="15.75" hidden="1" customHeight="1">
      <c r="A33" s="393"/>
      <c r="B33" s="393"/>
      <c r="C33" s="393"/>
      <c r="D33" s="393"/>
      <c r="E33" s="393"/>
      <c r="F33" s="393"/>
      <c r="G33" s="393"/>
      <c r="H33" s="393"/>
      <c r="I33" s="393"/>
    </row>
    <row r="34" spans="1:9" ht="15.75" hidden="1" customHeight="1">
      <c r="A34" s="393"/>
      <c r="B34" s="393"/>
      <c r="C34" s="393"/>
      <c r="D34" s="393"/>
      <c r="E34" s="393"/>
      <c r="F34" s="393"/>
      <c r="G34" s="393"/>
      <c r="H34" s="393"/>
      <c r="I34" s="393"/>
    </row>
    <row r="35" spans="1:9" ht="15.75" hidden="1" customHeight="1">
      <c r="A35" s="393"/>
      <c r="B35" s="393"/>
      <c r="C35" s="393"/>
      <c r="D35" s="393"/>
      <c r="E35" s="393"/>
      <c r="F35" s="393"/>
      <c r="G35" s="393"/>
      <c r="H35" s="393"/>
      <c r="I35" s="393"/>
    </row>
    <row r="36" spans="1:9" ht="15.75" hidden="1" customHeight="1">
      <c r="A36" s="393"/>
      <c r="B36" s="393"/>
      <c r="C36" s="393"/>
      <c r="D36" s="393"/>
      <c r="E36" s="393"/>
      <c r="F36" s="393"/>
      <c r="G36" s="393"/>
      <c r="H36" s="393"/>
      <c r="I36" s="393"/>
    </row>
    <row r="37" spans="1:9" ht="15.75" hidden="1" customHeight="1">
      <c r="A37" s="393"/>
      <c r="B37" s="393"/>
      <c r="C37" s="393"/>
      <c r="D37" s="393"/>
      <c r="E37" s="393"/>
      <c r="F37" s="393"/>
      <c r="G37" s="393"/>
      <c r="H37" s="393"/>
      <c r="I37" s="393"/>
    </row>
    <row r="38" spans="1:9" ht="15.75" hidden="1" customHeight="1">
      <c r="A38" s="393"/>
      <c r="B38" s="393"/>
      <c r="C38" s="394"/>
      <c r="D38" s="394"/>
      <c r="E38" s="394"/>
      <c r="F38" s="394"/>
      <c r="G38" s="394"/>
      <c r="H38" s="394"/>
      <c r="I38" s="394"/>
    </row>
    <row r="39" spans="1:9" ht="15.75" hidden="1" customHeight="1">
      <c r="A39" s="393"/>
      <c r="B39" s="393"/>
      <c r="C39" s="394"/>
      <c r="D39" s="394"/>
      <c r="E39" s="394"/>
      <c r="F39" s="394"/>
      <c r="G39" s="394"/>
      <c r="H39" s="394"/>
      <c r="I39" s="394"/>
    </row>
    <row r="40" spans="1:9" ht="15.75" hidden="1" customHeight="1">
      <c r="A40" s="393"/>
      <c r="B40" s="393"/>
      <c r="C40" s="394"/>
      <c r="D40" s="394"/>
      <c r="E40" s="394"/>
      <c r="F40" s="394"/>
      <c r="G40" s="394"/>
      <c r="H40" s="394"/>
      <c r="I40" s="394"/>
    </row>
    <row r="41" spans="1:9" ht="15.75" hidden="1" customHeight="1">
      <c r="A41" s="393"/>
      <c r="B41" s="393"/>
      <c r="C41" s="394"/>
      <c r="D41" s="394"/>
      <c r="E41" s="394"/>
      <c r="F41" s="394"/>
      <c r="G41" s="394"/>
      <c r="H41" s="394"/>
      <c r="I41" s="394"/>
    </row>
    <row r="42" spans="1:9" ht="15.75" hidden="1" customHeight="1">
      <c r="A42" s="393"/>
      <c r="B42" s="393"/>
      <c r="C42" s="394"/>
      <c r="D42" s="394"/>
      <c r="E42" s="394"/>
      <c r="F42" s="394"/>
      <c r="G42" s="394"/>
      <c r="H42" s="394"/>
      <c r="I42" s="394"/>
    </row>
    <row r="43" spans="1:9" hidden="1">
      <c r="A43" s="393"/>
      <c r="B43" s="393"/>
      <c r="C43" s="394"/>
      <c r="D43" s="394"/>
      <c r="E43" s="394"/>
      <c r="F43" s="394"/>
      <c r="G43" s="394"/>
      <c r="H43" s="394"/>
      <c r="I43" s="394"/>
    </row>
    <row r="44" spans="1:9" hidden="1">
      <c r="A44" s="393"/>
      <c r="B44" s="393"/>
      <c r="C44" s="394"/>
      <c r="D44" s="394"/>
      <c r="E44" s="394"/>
      <c r="F44" s="394"/>
      <c r="G44" s="394"/>
      <c r="H44" s="394"/>
      <c r="I44" s="394"/>
    </row>
    <row r="45" spans="1:9" hidden="1">
      <c r="A45" s="393"/>
      <c r="B45" s="394"/>
      <c r="C45" s="394"/>
      <c r="D45" s="394"/>
      <c r="E45" s="394"/>
      <c r="F45" s="394"/>
      <c r="G45" s="394"/>
      <c r="H45" s="394"/>
      <c r="I45" s="394"/>
    </row>
    <row r="46" spans="1:9" hidden="1">
      <c r="A46" s="393"/>
      <c r="B46" s="394"/>
      <c r="C46" s="394"/>
      <c r="D46" s="394"/>
      <c r="E46" s="394"/>
      <c r="F46" s="394"/>
      <c r="G46" s="394"/>
      <c r="H46" s="394"/>
      <c r="I46" s="394"/>
    </row>
    <row r="47" spans="1:9" hidden="1">
      <c r="A47" s="393"/>
      <c r="B47" s="394"/>
      <c r="C47" s="394"/>
      <c r="D47" s="394"/>
      <c r="E47" s="394"/>
      <c r="F47" s="394"/>
      <c r="G47" s="394"/>
      <c r="H47" s="394"/>
      <c r="I47" s="394"/>
    </row>
    <row r="48" spans="1:9" hidden="1">
      <c r="A48" s="393"/>
      <c r="B48" s="394"/>
      <c r="C48" s="394"/>
      <c r="D48" s="394"/>
      <c r="E48" s="394"/>
      <c r="F48" s="394"/>
      <c r="G48" s="394"/>
      <c r="H48" s="394"/>
      <c r="I48" s="394"/>
    </row>
    <row r="49" spans="1:9" hidden="1">
      <c r="A49" s="393"/>
      <c r="B49" s="394"/>
      <c r="C49" s="394"/>
      <c r="D49" s="394"/>
      <c r="E49" s="394"/>
      <c r="F49" s="394"/>
      <c r="G49" s="394"/>
      <c r="H49" s="394"/>
      <c r="I49" s="394"/>
    </row>
    <row r="50" spans="1:9" hidden="1">
      <c r="A50" s="393"/>
      <c r="B50" s="394"/>
      <c r="C50" s="394"/>
      <c r="D50" s="394"/>
      <c r="E50" s="394"/>
      <c r="F50" s="394"/>
      <c r="G50" s="394"/>
      <c r="H50" s="394"/>
      <c r="I50" s="394"/>
    </row>
    <row r="51" spans="1:9" hidden="1">
      <c r="A51" s="393"/>
      <c r="B51" s="394"/>
      <c r="C51" s="394"/>
      <c r="D51" s="394"/>
      <c r="E51" s="394"/>
      <c r="F51" s="394"/>
      <c r="G51" s="394"/>
      <c r="H51" s="394"/>
      <c r="I51" s="394"/>
    </row>
    <row r="52" spans="1:9" hidden="1">
      <c r="A52" s="393"/>
      <c r="B52" s="394"/>
      <c r="C52" s="394"/>
      <c r="D52" s="394"/>
      <c r="E52" s="394"/>
      <c r="F52" s="394"/>
      <c r="G52" s="394"/>
      <c r="H52" s="394"/>
      <c r="I52" s="394"/>
    </row>
    <row r="53" spans="1:9" hidden="1">
      <c r="A53" s="393"/>
      <c r="B53" s="394"/>
      <c r="C53" s="394"/>
      <c r="D53" s="394"/>
      <c r="E53" s="394"/>
      <c r="F53" s="394"/>
      <c r="G53" s="394"/>
      <c r="H53" s="394"/>
      <c r="I53" s="394"/>
    </row>
    <row r="54" spans="1:9" hidden="1">
      <c r="A54" s="393"/>
      <c r="B54" s="394"/>
      <c r="C54" s="394"/>
      <c r="D54" s="394"/>
      <c r="E54" s="394"/>
      <c r="F54" s="394"/>
      <c r="G54" s="394"/>
      <c r="H54" s="394"/>
      <c r="I54" s="394"/>
    </row>
    <row r="55" spans="1:9" hidden="1">
      <c r="A55" s="393"/>
      <c r="B55" s="394"/>
      <c r="C55" s="394"/>
      <c r="D55" s="394"/>
      <c r="E55" s="394"/>
      <c r="F55" s="394"/>
      <c r="G55" s="394"/>
      <c r="H55" s="394"/>
      <c r="I55" s="394"/>
    </row>
    <row r="56" spans="1:9" hidden="1">
      <c r="A56" s="393"/>
      <c r="B56" s="394"/>
      <c r="C56" s="394"/>
      <c r="D56" s="394"/>
      <c r="E56" s="394"/>
      <c r="F56" s="394"/>
      <c r="G56" s="394"/>
      <c r="H56" s="394"/>
      <c r="I56" s="394"/>
    </row>
    <row r="57" spans="1:9" hidden="1">
      <c r="A57" s="393"/>
      <c r="B57" s="394"/>
      <c r="C57" s="394"/>
      <c r="D57" s="394"/>
      <c r="E57" s="394"/>
      <c r="F57" s="394"/>
      <c r="G57" s="394"/>
      <c r="H57" s="394"/>
      <c r="I57" s="394"/>
    </row>
    <row r="58" spans="1:9" hidden="1">
      <c r="A58" s="393"/>
      <c r="B58" s="394"/>
      <c r="C58" s="394"/>
      <c r="D58" s="394"/>
      <c r="E58" s="394"/>
      <c r="F58" s="394"/>
      <c r="G58" s="394"/>
      <c r="H58" s="394"/>
      <c r="I58" s="394"/>
    </row>
    <row r="59" spans="1:9" hidden="1">
      <c r="A59" s="393"/>
      <c r="B59" s="394"/>
      <c r="C59" s="394"/>
      <c r="D59" s="394"/>
      <c r="E59" s="394"/>
      <c r="F59" s="394"/>
      <c r="G59" s="394"/>
      <c r="H59" s="394"/>
      <c r="I59" s="394"/>
    </row>
    <row r="60" spans="1:9" hidden="1">
      <c r="A60" s="393"/>
      <c r="B60" s="394"/>
      <c r="C60" s="394"/>
      <c r="D60" s="394"/>
      <c r="E60" s="394"/>
      <c r="F60" s="394"/>
      <c r="G60" s="394"/>
      <c r="H60" s="394"/>
      <c r="I60" s="394"/>
    </row>
    <row r="61" spans="1:9" hidden="1">
      <c r="A61" s="393"/>
      <c r="B61" s="394"/>
      <c r="C61" s="394"/>
      <c r="D61" s="394"/>
      <c r="E61" s="394"/>
      <c r="F61" s="394"/>
      <c r="G61" s="394"/>
      <c r="H61" s="394"/>
      <c r="I61" s="394"/>
    </row>
    <row r="62" spans="1:9" hidden="1">
      <c r="A62" s="393"/>
      <c r="B62" s="394"/>
      <c r="C62" s="394"/>
      <c r="D62" s="394"/>
      <c r="E62" s="394"/>
      <c r="F62" s="394"/>
      <c r="G62" s="394"/>
      <c r="H62" s="394"/>
      <c r="I62" s="394"/>
    </row>
    <row r="63" spans="1:9" hidden="1">
      <c r="A63" s="393"/>
      <c r="B63" s="394"/>
      <c r="C63" s="394"/>
      <c r="D63" s="394"/>
      <c r="E63" s="394"/>
      <c r="F63" s="394"/>
      <c r="G63" s="394"/>
      <c r="H63" s="394"/>
      <c r="I63" s="394"/>
    </row>
    <row r="64" spans="1:9" hidden="1">
      <c r="A64" s="393"/>
      <c r="B64" s="394"/>
      <c r="C64" s="394"/>
      <c r="D64" s="394"/>
      <c r="E64" s="394"/>
      <c r="F64" s="394"/>
      <c r="G64" s="394"/>
      <c r="H64" s="394"/>
      <c r="I64" s="394"/>
    </row>
    <row r="65" spans="1:9" hidden="1">
      <c r="A65" s="393"/>
      <c r="B65" s="394"/>
      <c r="C65" s="394"/>
      <c r="D65" s="394"/>
      <c r="E65" s="394"/>
      <c r="F65" s="394"/>
      <c r="G65" s="394"/>
      <c r="H65" s="394"/>
      <c r="I65" s="394"/>
    </row>
    <row r="66" spans="1:9" hidden="1">
      <c r="A66" s="393"/>
      <c r="B66" s="394"/>
      <c r="C66" s="394"/>
      <c r="D66" s="394"/>
      <c r="E66" s="394"/>
      <c r="F66" s="394"/>
      <c r="G66" s="394"/>
      <c r="H66" s="394"/>
      <c r="I66" s="394"/>
    </row>
    <row r="67" spans="1:9" hidden="1">
      <c r="A67" s="393"/>
      <c r="B67" s="394"/>
      <c r="C67" s="394"/>
      <c r="D67" s="394"/>
      <c r="E67" s="394"/>
      <c r="F67" s="394"/>
      <c r="G67" s="394"/>
      <c r="H67" s="394"/>
      <c r="I67" s="394"/>
    </row>
    <row r="68" spans="1:9" hidden="1">
      <c r="A68" s="393"/>
      <c r="B68" s="394"/>
      <c r="C68" s="394"/>
      <c r="D68" s="394"/>
      <c r="E68" s="394"/>
      <c r="F68" s="394"/>
      <c r="G68" s="394"/>
      <c r="H68" s="394"/>
      <c r="I68" s="394"/>
    </row>
    <row r="69" spans="1:9" hidden="1">
      <c r="A69" s="393"/>
      <c r="B69" s="394"/>
      <c r="C69" s="394"/>
      <c r="D69" s="394"/>
      <c r="E69" s="394"/>
      <c r="F69" s="394"/>
      <c r="G69" s="394"/>
      <c r="H69" s="394"/>
      <c r="I69" s="394"/>
    </row>
    <row r="70" spans="1:9" hidden="1">
      <c r="A70" s="393"/>
      <c r="B70" s="394"/>
      <c r="C70" s="394"/>
      <c r="D70" s="394"/>
      <c r="E70" s="394"/>
      <c r="F70" s="394"/>
      <c r="G70" s="394"/>
      <c r="H70" s="394"/>
      <c r="I70" s="394"/>
    </row>
    <row r="71" spans="1:9" hidden="1">
      <c r="A71" s="393"/>
      <c r="B71" s="394"/>
      <c r="C71" s="394"/>
      <c r="D71" s="394"/>
      <c r="E71" s="394"/>
      <c r="F71" s="394"/>
      <c r="G71" s="394"/>
      <c r="H71" s="394"/>
      <c r="I71" s="394"/>
    </row>
    <row r="72" spans="1:9" hidden="1">
      <c r="A72" s="393"/>
      <c r="B72" s="394"/>
      <c r="C72" s="394"/>
      <c r="D72" s="394"/>
      <c r="E72" s="394"/>
      <c r="F72" s="394"/>
      <c r="G72" s="394"/>
      <c r="H72" s="394"/>
      <c r="I72" s="394"/>
    </row>
    <row r="73" spans="1:9" hidden="1">
      <c r="A73" s="393"/>
      <c r="B73" s="394"/>
      <c r="C73" s="394"/>
      <c r="D73" s="394"/>
      <c r="E73" s="394"/>
      <c r="F73" s="394"/>
      <c r="G73" s="394"/>
      <c r="H73" s="394"/>
      <c r="I73" s="394"/>
    </row>
    <row r="74" spans="1:9" hidden="1">
      <c r="A74" s="393"/>
      <c r="B74" s="394"/>
      <c r="C74" s="394"/>
      <c r="D74" s="394"/>
      <c r="E74" s="394"/>
      <c r="F74" s="394"/>
      <c r="G74" s="394"/>
      <c r="H74" s="394"/>
      <c r="I74" s="394"/>
    </row>
    <row r="75" spans="1:9" hidden="1">
      <c r="A75" s="393"/>
      <c r="B75" s="394"/>
      <c r="C75" s="394"/>
      <c r="D75" s="394"/>
      <c r="E75" s="394"/>
      <c r="F75" s="394"/>
      <c r="G75" s="394"/>
      <c r="H75" s="394"/>
      <c r="I75" s="394"/>
    </row>
    <row r="76" spans="1:9" hidden="1">
      <c r="A76" s="393"/>
      <c r="B76" s="394"/>
      <c r="C76" s="394"/>
      <c r="D76" s="394"/>
      <c r="E76" s="394"/>
      <c r="F76" s="394"/>
      <c r="G76" s="394"/>
      <c r="H76" s="394"/>
      <c r="I76" s="394"/>
    </row>
    <row r="77" spans="1:9" hidden="1">
      <c r="A77" s="393"/>
      <c r="B77" s="394"/>
      <c r="C77" s="394"/>
      <c r="D77" s="394"/>
      <c r="E77" s="394"/>
      <c r="F77" s="394"/>
      <c r="G77" s="394"/>
      <c r="H77" s="394"/>
      <c r="I77" s="394"/>
    </row>
    <row r="78" spans="1:9" hidden="1">
      <c r="A78" s="393"/>
      <c r="B78" s="394"/>
      <c r="C78" s="394"/>
      <c r="D78" s="394"/>
      <c r="E78" s="394"/>
      <c r="F78" s="394"/>
      <c r="G78" s="394"/>
      <c r="H78" s="394"/>
      <c r="I78" s="394"/>
    </row>
    <row r="79" spans="1:9" hidden="1">
      <c r="A79" s="393"/>
      <c r="B79" s="394"/>
      <c r="C79" s="394"/>
      <c r="D79" s="394"/>
      <c r="E79" s="394"/>
      <c r="F79" s="394"/>
      <c r="G79" s="394"/>
      <c r="H79" s="394"/>
      <c r="I79" s="394"/>
    </row>
    <row r="80" spans="1:9" hidden="1">
      <c r="A80" s="393"/>
      <c r="B80" s="394"/>
      <c r="C80" s="394"/>
      <c r="D80" s="394"/>
      <c r="E80" s="394"/>
      <c r="F80" s="394"/>
      <c r="G80" s="394"/>
      <c r="H80" s="394"/>
      <c r="I80" s="394"/>
    </row>
    <row r="81" spans="1:9" hidden="1">
      <c r="A81" s="393"/>
      <c r="B81" s="394"/>
      <c r="C81" s="394"/>
      <c r="D81" s="394"/>
      <c r="E81" s="394"/>
      <c r="F81" s="394"/>
      <c r="G81" s="394"/>
      <c r="H81" s="394"/>
      <c r="I81" s="394"/>
    </row>
    <row r="82" spans="1:9" hidden="1">
      <c r="A82" s="393"/>
      <c r="B82" s="394"/>
      <c r="C82" s="394"/>
      <c r="D82" s="394"/>
      <c r="E82" s="394"/>
      <c r="F82" s="394"/>
      <c r="G82" s="394"/>
      <c r="H82" s="394"/>
      <c r="I82" s="394"/>
    </row>
    <row r="83" spans="1:9" hidden="1">
      <c r="A83" s="393"/>
      <c r="B83" s="394"/>
      <c r="C83" s="394"/>
      <c r="D83" s="394"/>
      <c r="E83" s="394"/>
      <c r="F83" s="394"/>
      <c r="G83" s="394"/>
      <c r="H83" s="394"/>
      <c r="I83" s="394"/>
    </row>
    <row r="84" spans="1:9" hidden="1">
      <c r="A84" s="393"/>
      <c r="B84" s="394"/>
      <c r="C84" s="394"/>
      <c r="D84" s="394"/>
      <c r="E84" s="394"/>
      <c r="F84" s="394"/>
      <c r="G84" s="394"/>
      <c r="H84" s="394"/>
      <c r="I84" s="394"/>
    </row>
    <row r="85" spans="1:9" hidden="1">
      <c r="A85" s="393"/>
      <c r="B85" s="394"/>
      <c r="C85" s="394"/>
      <c r="D85" s="394"/>
      <c r="E85" s="394"/>
      <c r="F85" s="394"/>
      <c r="G85" s="394"/>
      <c r="H85" s="394"/>
      <c r="I85" s="394"/>
    </row>
    <row r="86" spans="1:9" hidden="1">
      <c r="A86" s="393"/>
      <c r="B86" s="394"/>
      <c r="C86" s="394"/>
      <c r="D86" s="394"/>
      <c r="E86" s="394"/>
      <c r="F86" s="394"/>
      <c r="G86" s="394"/>
      <c r="H86" s="394"/>
      <c r="I86" s="394"/>
    </row>
    <row r="87" spans="1:9" hidden="1">
      <c r="A87" s="393"/>
      <c r="B87" s="394"/>
      <c r="C87" s="394"/>
      <c r="D87" s="394"/>
      <c r="E87" s="394"/>
      <c r="F87" s="394"/>
      <c r="G87" s="394"/>
      <c r="H87" s="394"/>
      <c r="I87" s="394"/>
    </row>
    <row r="88" spans="1:9" hidden="1">
      <c r="A88" s="393"/>
      <c r="B88" s="394"/>
      <c r="C88" s="394"/>
      <c r="D88" s="394"/>
      <c r="E88" s="394"/>
      <c r="F88" s="394"/>
      <c r="G88" s="394"/>
      <c r="H88" s="394"/>
      <c r="I88" s="394"/>
    </row>
    <row r="89" spans="1:9" hidden="1">
      <c r="A89" s="393"/>
      <c r="B89" s="394"/>
      <c r="C89" s="394"/>
      <c r="D89" s="394"/>
      <c r="E89" s="394"/>
      <c r="F89" s="394"/>
      <c r="G89" s="394"/>
      <c r="H89" s="394"/>
      <c r="I89" s="394"/>
    </row>
  </sheetData>
  <sheetProtection algorithmName="SHA-512" hashValue="BmU396d9DsS+DFV+RnCZ3BTlM4Tv5BsHj2wDWcJnokhBTqO2IVsSAnor40IDZGKiRH7WOcei49hvwirLEUOX6w==" saltValue="Io+26s/3FRiJ0ygFnoRR3w==" spinCount="100000" sheet="1" objects="1" scenarios="1"/>
  <mergeCells count="3">
    <mergeCell ref="V14:Z14"/>
    <mergeCell ref="B3:D3"/>
    <mergeCell ref="B1:G2"/>
  </mergeCells>
  <hyperlinks>
    <hyperlink ref="B8" location="Glossary!C77" tooltip="Click for Definition" display="Total Length of Mains "/>
    <hyperlink ref="B9" location="Glossary!C67" tooltip="Click for Definition" display="Glossary!C67"/>
    <hyperlink ref="B10" location="Glossary!C30" tooltip="Click for Definition" display="Average Failure Frequency in North America Based on Literuture Review - WaterRF 4372"/>
    <hyperlink ref="G10" location="Glossary!C127" tooltip="Click for Definition" display="AWWA Unavoidable Annual Real Losses (UARL) Component of Reported Service Line Failures"/>
    <hyperlink ref="G9" location="Glossary!C67" tooltip="Click for Definition" display="Glossary!C67"/>
    <hyperlink ref="G8" location="Glossary!C91" tooltip="Click for Definition" display="Total Number of Service Connections"/>
    <hyperlink ref="B11" location="Glossary!C69" tooltip="Click for Definition" display="Failure Frequency for Optimized Distrbution Systems (Friedman 2010)"/>
    <hyperlink ref="G11" location="Glossary!C95" tooltip="Click for Definition" display="Ratio of Failure Frequncy to UARL Break Frequency"/>
  </hyperlinks>
  <printOptions horizontalCentered="1" verticalCentered="1"/>
  <pageMargins left="0.5" right="0.5" top="0.5" bottom="1" header="0.5" footer="0.5"/>
  <pageSetup scale="86" fitToWidth="2" orientation="landscape" r:id="rId1"/>
  <colBreaks count="1" manualBreakCount="1">
    <brk id="5" max="31" man="1"/>
  </colBreaks>
  <ignoredErrors>
    <ignoredError sqref="B32 C7 H7" emptyCellReference="1"/>
  </ignoredError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LR">
    <pageSetUpPr fitToPage="1"/>
  </sheetPr>
  <dimension ref="A1:BP157"/>
  <sheetViews>
    <sheetView topLeftCell="B1" workbookViewId="0">
      <selection activeCell="G34" sqref="G34"/>
    </sheetView>
  </sheetViews>
  <sheetFormatPr defaultColWidth="0" defaultRowHeight="15.5" zeroHeight="1"/>
  <cols>
    <col min="1" max="1" width="2.23046875" style="397" hidden="1" customWidth="1"/>
    <col min="2" max="2" width="2.23046875" style="349" customWidth="1"/>
    <col min="3" max="3" width="16.53515625" style="884" customWidth="1"/>
    <col min="4" max="4" width="39.07421875" style="884" customWidth="1"/>
    <col min="5" max="6" width="12.07421875" style="884" customWidth="1"/>
    <col min="7" max="7" width="8.84375" style="884" customWidth="1"/>
    <col min="8" max="8" width="9.84375" style="885" customWidth="1"/>
    <col min="9" max="68" width="8.84375" style="396" hidden="1" customWidth="1"/>
    <col min="69" max="16384" width="8.84375" style="397" hidden="1"/>
  </cols>
  <sheetData>
    <row r="1" spans="1:67" ht="15.75" customHeight="1">
      <c r="A1" s="370"/>
      <c r="B1" s="1054" t="s">
        <v>920</v>
      </c>
      <c r="C1" s="1055"/>
      <c r="D1" s="1055"/>
      <c r="E1" s="1055"/>
      <c r="F1" s="1055"/>
      <c r="G1" s="1055"/>
      <c r="H1" s="372"/>
    </row>
    <row r="2" spans="1:67" ht="15.75" customHeight="1">
      <c r="A2" s="692"/>
      <c r="B2" s="1056"/>
      <c r="C2" s="1057"/>
      <c r="D2" s="1057"/>
      <c r="E2" s="1057"/>
      <c r="F2" s="1057"/>
      <c r="G2" s="1057"/>
      <c r="H2" s="377"/>
    </row>
    <row r="3" spans="1:67">
      <c r="A3" s="692"/>
      <c r="B3" s="1016" t="str">
        <f>IF('Start Page'!$Y$37="","",IF('Start Page'!$K$37="Partial Audit Period","Water Audit: "&amp;'Start Page'!$D$26&amp;", "&amp;'Start Page'!$H$26&amp;", "&amp;'Start Page'!$K$26&amp;", "&amp;'Start Page'!$Y$37,"Water Audit: "&amp;'Start Page'!$D$26&amp;", "&amp;'Start Page'!$H$26&amp;", "&amp;'Start Page'!$K$26&amp;", "&amp;YEAR('Start Page'!$Y$37)))</f>
        <v/>
      </c>
      <c r="C3" s="1017"/>
      <c r="D3" s="1017"/>
      <c r="E3" s="1017"/>
      <c r="F3" s="1017"/>
      <c r="G3" s="1017"/>
      <c r="H3" s="1018"/>
      <c r="J3" s="399"/>
      <c r="K3" s="399"/>
      <c r="L3" s="399"/>
      <c r="M3" s="399"/>
      <c r="N3" s="399"/>
      <c r="O3" s="399"/>
      <c r="P3" s="399"/>
    </row>
    <row r="4" spans="1:67" ht="16" thickBot="1">
      <c r="A4" s="390"/>
      <c r="B4" s="400" t="s">
        <v>468</v>
      </c>
      <c r="C4" s="520"/>
      <c r="D4" s="868"/>
      <c r="E4" s="868"/>
      <c r="F4" s="870"/>
      <c r="G4" s="870"/>
      <c r="H4" s="377"/>
      <c r="J4" s="399"/>
      <c r="K4" s="399"/>
      <c r="L4" s="399"/>
      <c r="M4" s="399"/>
      <c r="N4" s="399"/>
      <c r="O4" s="399"/>
      <c r="P4" s="399"/>
    </row>
    <row r="5" spans="1:67" ht="17.25" customHeight="1">
      <c r="A5" s="692"/>
      <c r="B5" s="869"/>
      <c r="C5" s="365"/>
      <c r="D5" s="366"/>
      <c r="E5" s="366"/>
      <c r="F5" s="371"/>
      <c r="G5" s="371"/>
      <c r="H5" s="372"/>
      <c r="J5" s="399"/>
      <c r="K5" s="399"/>
      <c r="L5" s="399"/>
      <c r="M5" s="399"/>
      <c r="N5" s="399"/>
      <c r="O5" s="399"/>
      <c r="P5" s="399"/>
    </row>
    <row r="6" spans="1:67" ht="17.25" customHeight="1">
      <c r="A6" s="692"/>
      <c r="B6" s="869"/>
      <c r="C6" s="867"/>
      <c r="D6" s="868"/>
      <c r="E6" s="868"/>
      <c r="F6" s="870"/>
      <c r="G6" s="870"/>
      <c r="H6" s="377"/>
      <c r="J6" s="399"/>
      <c r="K6" s="399"/>
      <c r="L6" s="399"/>
      <c r="M6" s="399"/>
      <c r="N6" s="399"/>
      <c r="O6" s="399"/>
      <c r="P6" s="399"/>
    </row>
    <row r="7" spans="1:67" ht="17.25" customHeight="1">
      <c r="A7" s="692"/>
      <c r="B7" s="869"/>
      <c r="C7" s="867"/>
      <c r="D7" s="868"/>
      <c r="E7" s="868"/>
      <c r="F7" s="870"/>
      <c r="G7" s="870"/>
      <c r="H7" s="377"/>
      <c r="J7" s="399"/>
      <c r="K7" s="399"/>
      <c r="L7" s="399"/>
      <c r="M7" s="399"/>
      <c r="N7" s="399"/>
      <c r="O7" s="399"/>
      <c r="P7" s="399"/>
    </row>
    <row r="8" spans="1:67" ht="17.25" customHeight="1" thickBot="1">
      <c r="A8" s="692"/>
      <c r="B8" s="869"/>
      <c r="C8" s="400"/>
      <c r="D8" s="401"/>
      <c r="E8" s="401"/>
      <c r="F8" s="391"/>
      <c r="G8" s="391"/>
      <c r="H8" s="392"/>
      <c r="J8" s="399"/>
      <c r="K8" s="399"/>
      <c r="L8" s="399"/>
      <c r="M8" s="399"/>
      <c r="N8" s="399"/>
      <c r="O8" s="399"/>
      <c r="P8" s="399"/>
    </row>
    <row r="9" spans="1:67">
      <c r="A9" s="370"/>
      <c r="B9" s="370"/>
      <c r="C9" s="365"/>
      <c r="D9" s="366"/>
      <c r="E9" s="366"/>
      <c r="F9" s="371"/>
      <c r="G9" s="371"/>
      <c r="H9" s="372"/>
      <c r="J9" s="399"/>
      <c r="K9" s="399"/>
      <c r="L9" s="399"/>
      <c r="M9" s="399"/>
      <c r="N9" s="399"/>
      <c r="O9" s="399"/>
      <c r="P9" s="399"/>
    </row>
    <row r="10" spans="1:67">
      <c r="A10" s="692"/>
      <c r="B10" s="869"/>
      <c r="C10" s="402" t="s">
        <v>97</v>
      </c>
      <c r="D10" s="1041" t="s">
        <v>797</v>
      </c>
      <c r="E10" s="1041"/>
      <c r="F10" s="1041"/>
      <c r="G10" s="1041"/>
      <c r="H10" s="1224"/>
      <c r="J10" s="399"/>
      <c r="K10" s="399"/>
      <c r="L10" s="399"/>
      <c r="M10" s="399"/>
      <c r="N10" s="399"/>
      <c r="O10" s="399"/>
      <c r="P10" s="399"/>
    </row>
    <row r="11" spans="1:67" ht="33.75" customHeight="1">
      <c r="A11" s="692"/>
      <c r="B11" s="869"/>
      <c r="C11" s="403"/>
      <c r="D11" s="1041"/>
      <c r="E11" s="1041"/>
      <c r="F11" s="1041"/>
      <c r="G11" s="1041"/>
      <c r="H11" s="1224"/>
      <c r="J11" s="399"/>
      <c r="K11" s="399"/>
      <c r="L11" s="404"/>
      <c r="M11" s="399"/>
      <c r="N11" s="399"/>
      <c r="O11" s="399"/>
      <c r="P11" s="399"/>
    </row>
    <row r="12" spans="1:67" ht="33.75" customHeight="1">
      <c r="A12" s="519"/>
      <c r="B12" s="519"/>
      <c r="C12" s="405"/>
      <c r="D12" s="1041"/>
      <c r="E12" s="1041"/>
      <c r="F12" s="1041"/>
      <c r="G12" s="1041"/>
      <c r="H12" s="1224"/>
      <c r="I12" s="406"/>
      <c r="J12" s="406"/>
      <c r="K12" s="406"/>
      <c r="L12" s="407"/>
      <c r="M12" s="406"/>
      <c r="N12" s="406"/>
      <c r="O12" s="406"/>
      <c r="P12" s="406"/>
      <c r="Q12" s="406"/>
      <c r="R12" s="406"/>
      <c r="S12" s="406"/>
      <c r="T12" s="406"/>
      <c r="U12" s="406"/>
      <c r="V12" s="406"/>
      <c r="W12" s="406"/>
      <c r="X12" s="406"/>
      <c r="Y12" s="406"/>
      <c r="Z12" s="406"/>
      <c r="AA12" s="406"/>
      <c r="AB12" s="406"/>
      <c r="AC12" s="406"/>
      <c r="AD12" s="406"/>
      <c r="AE12" s="406"/>
      <c r="AF12" s="406"/>
      <c r="AG12" s="406"/>
      <c r="AH12" s="406"/>
      <c r="AI12" s="406"/>
      <c r="AJ12" s="406"/>
      <c r="AK12" s="406"/>
      <c r="AL12" s="406"/>
      <c r="AM12" s="406"/>
      <c r="AN12" s="406"/>
      <c r="AO12" s="406"/>
      <c r="AP12" s="406"/>
      <c r="AQ12" s="406"/>
      <c r="AR12" s="406"/>
      <c r="AS12" s="406"/>
      <c r="AT12" s="406"/>
      <c r="AU12" s="406"/>
      <c r="AV12" s="406"/>
      <c r="AW12" s="406"/>
      <c r="AX12" s="406"/>
      <c r="AY12" s="406"/>
      <c r="AZ12" s="406"/>
      <c r="BA12" s="406"/>
      <c r="BB12" s="406"/>
      <c r="BC12" s="406"/>
      <c r="BD12" s="406"/>
      <c r="BE12" s="406"/>
      <c r="BF12" s="406"/>
      <c r="BG12" s="406"/>
      <c r="BH12" s="406"/>
      <c r="BI12" s="406"/>
      <c r="BJ12" s="406"/>
      <c r="BK12" s="406"/>
      <c r="BL12" s="406"/>
      <c r="BM12" s="406"/>
      <c r="BN12" s="406"/>
      <c r="BO12" s="406"/>
    </row>
    <row r="13" spans="1:67" ht="33.75" customHeight="1">
      <c r="A13" s="519"/>
      <c r="B13" s="519"/>
      <c r="C13" s="405"/>
      <c r="D13" s="1041"/>
      <c r="E13" s="1041"/>
      <c r="F13" s="1041"/>
      <c r="G13" s="1041"/>
      <c r="H13" s="1224"/>
      <c r="I13" s="406"/>
      <c r="J13" s="406"/>
      <c r="K13" s="406"/>
      <c r="L13" s="408"/>
      <c r="M13" s="406"/>
      <c r="N13" s="406"/>
      <c r="O13" s="406"/>
      <c r="P13" s="406"/>
      <c r="Q13" s="406"/>
      <c r="R13" s="406"/>
      <c r="S13" s="406"/>
      <c r="T13" s="406"/>
      <c r="U13" s="406"/>
      <c r="V13" s="406"/>
      <c r="W13" s="406"/>
      <c r="X13" s="406"/>
      <c r="Y13" s="406"/>
      <c r="Z13" s="406"/>
      <c r="AA13" s="406"/>
      <c r="AB13" s="406"/>
      <c r="AC13" s="406"/>
      <c r="AD13" s="406"/>
      <c r="AE13" s="406"/>
      <c r="AF13" s="406"/>
      <c r="AG13" s="406"/>
      <c r="AH13" s="406"/>
      <c r="AI13" s="406"/>
      <c r="AJ13" s="406"/>
      <c r="AK13" s="406"/>
      <c r="AL13" s="406"/>
      <c r="AM13" s="406"/>
      <c r="AN13" s="406"/>
      <c r="AO13" s="406"/>
      <c r="AP13" s="406"/>
      <c r="AQ13" s="406"/>
      <c r="AR13" s="406"/>
      <c r="AS13" s="406"/>
      <c r="AT13" s="406"/>
      <c r="AU13" s="406"/>
      <c r="AV13" s="406"/>
      <c r="AW13" s="406"/>
      <c r="AX13" s="406"/>
      <c r="AY13" s="406"/>
      <c r="AZ13" s="406"/>
      <c r="BA13" s="406"/>
      <c r="BB13" s="406"/>
      <c r="BC13" s="406"/>
      <c r="BD13" s="406"/>
      <c r="BE13" s="406"/>
      <c r="BF13" s="406"/>
      <c r="BG13" s="406"/>
      <c r="BH13" s="406"/>
      <c r="BI13" s="406"/>
      <c r="BJ13" s="406"/>
      <c r="BK13" s="406"/>
      <c r="BL13" s="406"/>
      <c r="BM13" s="406"/>
      <c r="BN13" s="406"/>
      <c r="BO13" s="406"/>
    </row>
    <row r="14" spans="1:67" ht="16" thickBot="1">
      <c r="A14" s="519"/>
      <c r="B14" s="519"/>
      <c r="C14" s="409"/>
      <c r="D14" s="410"/>
      <c r="E14" s="872"/>
      <c r="F14" s="872"/>
      <c r="G14" s="872"/>
      <c r="H14" s="411"/>
      <c r="I14" s="406"/>
      <c r="J14" s="406"/>
      <c r="K14" s="406"/>
      <c r="L14" s="408"/>
      <c r="M14" s="406"/>
      <c r="N14" s="406"/>
      <c r="O14" s="406"/>
      <c r="P14" s="406"/>
      <c r="Q14" s="406"/>
      <c r="R14" s="406"/>
      <c r="S14" s="406"/>
      <c r="T14" s="406"/>
      <c r="U14" s="406"/>
      <c r="V14" s="406"/>
      <c r="W14" s="406"/>
      <c r="X14" s="406"/>
      <c r="Y14" s="406"/>
      <c r="Z14" s="406"/>
      <c r="AA14" s="406"/>
      <c r="AB14" s="406"/>
      <c r="AC14" s="406"/>
      <c r="AD14" s="406"/>
      <c r="AE14" s="406"/>
      <c r="AF14" s="406"/>
      <c r="AG14" s="406"/>
      <c r="AH14" s="406"/>
      <c r="AI14" s="406"/>
      <c r="AJ14" s="406"/>
      <c r="AK14" s="406"/>
      <c r="AL14" s="406"/>
      <c r="AM14" s="406"/>
      <c r="AN14" s="406"/>
      <c r="AO14" s="406"/>
      <c r="AP14" s="406"/>
      <c r="AQ14" s="406"/>
      <c r="AR14" s="406"/>
      <c r="AS14" s="406"/>
      <c r="AT14" s="406"/>
      <c r="AU14" s="406"/>
      <c r="AV14" s="406"/>
      <c r="AW14" s="406"/>
      <c r="AX14" s="406"/>
      <c r="AY14" s="406"/>
      <c r="AZ14" s="406"/>
      <c r="BA14" s="406"/>
      <c r="BB14" s="406"/>
      <c r="BC14" s="406"/>
      <c r="BD14" s="406"/>
      <c r="BE14" s="406"/>
      <c r="BF14" s="406"/>
      <c r="BG14" s="406"/>
      <c r="BH14" s="406"/>
      <c r="BI14" s="406"/>
      <c r="BJ14" s="406"/>
      <c r="BK14" s="406"/>
      <c r="BL14" s="406"/>
      <c r="BM14" s="406"/>
      <c r="BN14" s="406"/>
      <c r="BO14" s="406"/>
    </row>
    <row r="15" spans="1:67">
      <c r="A15" s="519"/>
      <c r="B15" s="519"/>
      <c r="C15" s="702" t="s">
        <v>713</v>
      </c>
      <c r="D15" s="412"/>
      <c r="E15" s="413"/>
      <c r="F15" s="413"/>
      <c r="G15" s="413"/>
      <c r="H15" s="414"/>
      <c r="I15" s="406"/>
      <c r="J15" s="406"/>
      <c r="K15" s="406"/>
      <c r="L15" s="406"/>
      <c r="M15" s="406"/>
      <c r="N15" s="406"/>
      <c r="O15" s="406"/>
      <c r="P15" s="406"/>
      <c r="Q15" s="406"/>
      <c r="R15" s="406"/>
      <c r="S15" s="406"/>
      <c r="T15" s="406"/>
      <c r="U15" s="406"/>
      <c r="V15" s="406"/>
      <c r="W15" s="406"/>
      <c r="X15" s="406"/>
      <c r="Y15" s="406"/>
      <c r="Z15" s="406"/>
      <c r="AA15" s="406"/>
      <c r="AB15" s="406"/>
      <c r="AC15" s="406"/>
      <c r="AD15" s="406"/>
      <c r="AE15" s="406"/>
      <c r="AF15" s="406"/>
      <c r="AG15" s="406"/>
      <c r="AH15" s="406"/>
      <c r="AI15" s="406"/>
      <c r="AJ15" s="406"/>
      <c r="AK15" s="406"/>
      <c r="AL15" s="406"/>
      <c r="AM15" s="406"/>
      <c r="AN15" s="406"/>
      <c r="AO15" s="406"/>
      <c r="AP15" s="406"/>
      <c r="AQ15" s="406"/>
      <c r="AR15" s="406"/>
      <c r="AS15" s="406"/>
      <c r="AT15" s="406"/>
      <c r="AU15" s="406"/>
      <c r="AV15" s="406"/>
      <c r="AW15" s="406"/>
      <c r="AX15" s="406"/>
      <c r="AY15" s="406"/>
      <c r="AZ15" s="406"/>
      <c r="BA15" s="406"/>
      <c r="BB15" s="406"/>
      <c r="BC15" s="406"/>
      <c r="BD15" s="406"/>
      <c r="BE15" s="406"/>
      <c r="BF15" s="406"/>
      <c r="BG15" s="406"/>
      <c r="BH15" s="406"/>
      <c r="BI15" s="406"/>
      <c r="BJ15" s="406"/>
      <c r="BK15" s="406"/>
      <c r="BL15" s="406"/>
      <c r="BM15" s="406"/>
      <c r="BN15" s="406"/>
      <c r="BO15" s="406"/>
    </row>
    <row r="16" spans="1:67" ht="16" thickBot="1">
      <c r="A16" s="519"/>
      <c r="B16" s="519"/>
      <c r="C16" s="415"/>
      <c r="D16" s="413"/>
      <c r="E16" s="413"/>
      <c r="F16" s="413"/>
      <c r="G16" s="413"/>
      <c r="H16" s="414"/>
      <c r="I16" s="406"/>
      <c r="J16" s="406"/>
      <c r="K16" s="406"/>
      <c r="L16" s="406"/>
      <c r="M16" s="406"/>
      <c r="N16" s="406"/>
      <c r="O16" s="406"/>
      <c r="P16" s="406"/>
      <c r="Q16" s="406"/>
      <c r="R16" s="406"/>
      <c r="S16" s="406"/>
      <c r="T16" s="406"/>
      <c r="U16" s="406"/>
      <c r="V16" s="406"/>
      <c r="W16" s="406"/>
      <c r="X16" s="406"/>
      <c r="Y16" s="406"/>
      <c r="Z16" s="406"/>
      <c r="AA16" s="406"/>
      <c r="AB16" s="406"/>
      <c r="AC16" s="406"/>
      <c r="AD16" s="406"/>
      <c r="AE16" s="406"/>
      <c r="AF16" s="406"/>
      <c r="AG16" s="406"/>
      <c r="AH16" s="406"/>
      <c r="AI16" s="406"/>
      <c r="AJ16" s="406"/>
      <c r="AK16" s="406"/>
      <c r="AL16" s="406"/>
      <c r="AM16" s="406"/>
      <c r="AN16" s="406"/>
      <c r="AO16" s="406"/>
      <c r="AP16" s="406"/>
      <c r="AQ16" s="406"/>
      <c r="AR16" s="406"/>
      <c r="AS16" s="406"/>
      <c r="AT16" s="406"/>
      <c r="AU16" s="406"/>
      <c r="AV16" s="406"/>
      <c r="AW16" s="406"/>
      <c r="AX16" s="406"/>
      <c r="AY16" s="406"/>
      <c r="AZ16" s="406"/>
      <c r="BA16" s="406"/>
      <c r="BB16" s="406"/>
      <c r="BC16" s="406"/>
      <c r="BD16" s="406"/>
      <c r="BE16" s="406"/>
      <c r="BF16" s="406"/>
      <c r="BG16" s="406"/>
      <c r="BH16" s="406"/>
      <c r="BI16" s="406"/>
      <c r="BJ16" s="406"/>
      <c r="BK16" s="406"/>
      <c r="BL16" s="406"/>
      <c r="BM16" s="406"/>
      <c r="BN16" s="406"/>
      <c r="BO16" s="406"/>
    </row>
    <row r="17" spans="1:67">
      <c r="A17" s="519"/>
      <c r="B17" s="519"/>
      <c r="C17" s="416" t="s">
        <v>801</v>
      </c>
      <c r="D17" s="417"/>
      <c r="E17" s="694" t="s">
        <v>710</v>
      </c>
      <c r="F17" s="694" t="s">
        <v>711</v>
      </c>
      <c r="G17" s="418"/>
      <c r="H17" s="419"/>
      <c r="I17" s="406"/>
      <c r="J17" s="406"/>
      <c r="K17" s="406"/>
      <c r="L17" s="406"/>
      <c r="M17" s="406"/>
      <c r="N17" s="406"/>
      <c r="O17" s="406"/>
      <c r="P17" s="406"/>
      <c r="Q17" s="406"/>
      <c r="R17" s="406"/>
      <c r="S17" s="406"/>
      <c r="T17" s="406"/>
      <c r="U17" s="406"/>
      <c r="V17" s="406"/>
      <c r="W17" s="406"/>
      <c r="X17" s="406"/>
      <c r="Y17" s="406"/>
      <c r="Z17" s="406"/>
      <c r="AA17" s="406"/>
      <c r="AB17" s="406"/>
      <c r="AC17" s="406"/>
      <c r="AD17" s="406"/>
      <c r="AE17" s="406"/>
      <c r="AF17" s="406"/>
      <c r="AG17" s="406"/>
      <c r="AH17" s="406"/>
      <c r="AI17" s="406"/>
      <c r="AJ17" s="406"/>
      <c r="AK17" s="406"/>
      <c r="AL17" s="406"/>
      <c r="AM17" s="406"/>
      <c r="AN17" s="406"/>
      <c r="AO17" s="406"/>
      <c r="AP17" s="406"/>
      <c r="AQ17" s="406"/>
      <c r="AR17" s="406"/>
      <c r="AS17" s="406"/>
      <c r="AT17" s="406"/>
      <c r="AU17" s="406"/>
      <c r="AV17" s="406"/>
      <c r="AW17" s="406"/>
      <c r="AX17" s="406"/>
      <c r="AY17" s="406"/>
      <c r="AZ17" s="406"/>
      <c r="BA17" s="406"/>
      <c r="BB17" s="406"/>
      <c r="BC17" s="406"/>
      <c r="BD17" s="406"/>
      <c r="BE17" s="406"/>
      <c r="BF17" s="406"/>
      <c r="BG17" s="406"/>
      <c r="BH17" s="406"/>
      <c r="BI17" s="406"/>
      <c r="BJ17" s="406"/>
      <c r="BK17" s="406"/>
      <c r="BL17" s="406"/>
      <c r="BM17" s="406"/>
      <c r="BN17" s="406"/>
      <c r="BO17" s="406"/>
    </row>
    <row r="18" spans="1:67">
      <c r="A18" s="519"/>
      <c r="B18" s="519"/>
      <c r="C18" s="1217" t="str">
        <f>IF('Start Page'!Y37="","Total Failures on Mains",IF('Start Page'!Y37="Partial Audit Period","Total Number of Failures on Mains","Total Number of Failures on Mains in "&amp;YEAR('Start Page'!Y37)))</f>
        <v>Total Failures on Mains</v>
      </c>
      <c r="D18" s="1218"/>
      <c r="E18" s="639">
        <f>IF(ISERROR(SUM('Real Losses Component Analysis'!C58:C77)),"",SUM('Real Losses Component Analysis'!C58:C77))</f>
        <v>0</v>
      </c>
      <c r="F18" s="639">
        <f>IF(ISERROR(SUM('Real Losses Component Analysis'!C117:C136)),"",SUM('Real Losses Component Analysis'!C117:C136))</f>
        <v>0</v>
      </c>
      <c r="G18" s="420"/>
      <c r="H18" s="414"/>
      <c r="I18" s="406"/>
      <c r="J18" s="406"/>
      <c r="K18" s="406"/>
      <c r="L18" s="406"/>
      <c r="M18" s="406"/>
      <c r="N18" s="406"/>
      <c r="O18" s="406"/>
      <c r="P18" s="406"/>
      <c r="Q18" s="406"/>
      <c r="R18" s="406"/>
      <c r="S18" s="406"/>
      <c r="T18" s="406"/>
      <c r="U18" s="406"/>
      <c r="V18" s="406"/>
      <c r="W18" s="406"/>
      <c r="X18" s="406"/>
      <c r="Y18" s="406"/>
      <c r="Z18" s="406"/>
      <c r="AA18" s="406"/>
      <c r="AB18" s="406"/>
      <c r="AC18" s="406"/>
      <c r="AD18" s="406"/>
      <c r="AE18" s="406"/>
      <c r="AF18" s="406"/>
      <c r="AG18" s="406"/>
      <c r="AH18" s="406"/>
      <c r="AI18" s="406"/>
      <c r="AJ18" s="406"/>
      <c r="AK18" s="406"/>
      <c r="AL18" s="406"/>
      <c r="AM18" s="406"/>
      <c r="AN18" s="406"/>
      <c r="AO18" s="406"/>
      <c r="AP18" s="406"/>
      <c r="AQ18" s="406"/>
      <c r="AR18" s="406"/>
      <c r="AS18" s="406"/>
      <c r="AT18" s="406"/>
      <c r="AU18" s="406"/>
      <c r="AV18" s="406"/>
      <c r="AW18" s="406"/>
      <c r="AX18" s="406"/>
      <c r="AY18" s="406"/>
      <c r="AZ18" s="406"/>
      <c r="BA18" s="406"/>
      <c r="BB18" s="406"/>
      <c r="BC18" s="406"/>
      <c r="BD18" s="406"/>
      <c r="BE18" s="406"/>
      <c r="BF18" s="406"/>
      <c r="BG18" s="406"/>
      <c r="BH18" s="406"/>
      <c r="BI18" s="406"/>
      <c r="BJ18" s="406"/>
      <c r="BK18" s="406"/>
      <c r="BL18" s="406"/>
      <c r="BM18" s="406"/>
      <c r="BN18" s="406"/>
      <c r="BO18" s="406"/>
    </row>
    <row r="19" spans="1:67">
      <c r="A19" s="519"/>
      <c r="B19" s="519"/>
      <c r="C19" s="1217" t="s">
        <v>469</v>
      </c>
      <c r="D19" s="1218"/>
      <c r="E19" s="640">
        <f>IF(ISERROR(IF(E18=0,0,'Real Losses Component Analysis'!AH78/SUM('Real Losses Component Analysis'!C58:C77))),"",IF(E18=0,0,'Real Losses Component Analysis'!AH78/SUM('Real Losses Component Analysis'!C58:C77)))</f>
        <v>0</v>
      </c>
      <c r="F19" s="640">
        <f>IF(ISERROR(IF(F18=0,0,'Real Losses Component Analysis'!AH137/SUM('Real Losses Component Analysis'!C117:C136))),"",IF(F18=0,0,'Real Losses Component Analysis'!AH137/SUM('Real Losses Component Analysis'!C117:C136)))</f>
        <v>0</v>
      </c>
      <c r="G19" s="420" t="s">
        <v>2</v>
      </c>
      <c r="H19" s="414"/>
      <c r="I19" s="406"/>
      <c r="J19" s="406"/>
      <c r="K19" s="406"/>
      <c r="L19" s="406"/>
      <c r="M19" s="406"/>
      <c r="N19" s="406"/>
      <c r="O19" s="406"/>
      <c r="P19" s="406"/>
      <c r="Q19" s="406"/>
      <c r="R19" s="406"/>
      <c r="S19" s="406"/>
      <c r="T19" s="406"/>
      <c r="U19" s="406"/>
      <c r="V19" s="406"/>
      <c r="W19" s="406"/>
      <c r="X19" s="406"/>
      <c r="Y19" s="406"/>
      <c r="Z19" s="406"/>
      <c r="AA19" s="406"/>
      <c r="AB19" s="406"/>
      <c r="AC19" s="406"/>
      <c r="AD19" s="406"/>
      <c r="AE19" s="406"/>
      <c r="AF19" s="406"/>
      <c r="AG19" s="406"/>
      <c r="AH19" s="406"/>
      <c r="AI19" s="406"/>
      <c r="AJ19" s="406"/>
      <c r="AK19" s="406"/>
      <c r="AL19" s="406"/>
      <c r="AM19" s="406"/>
      <c r="AN19" s="406"/>
      <c r="AO19" s="406"/>
      <c r="AP19" s="406"/>
      <c r="AQ19" s="406"/>
      <c r="AR19" s="406"/>
      <c r="AS19" s="406"/>
      <c r="AT19" s="406"/>
      <c r="AU19" s="406"/>
      <c r="AV19" s="406"/>
      <c r="AW19" s="406"/>
      <c r="AX19" s="406"/>
      <c r="AY19" s="406"/>
      <c r="AZ19" s="406"/>
      <c r="BA19" s="406"/>
      <c r="BB19" s="406"/>
      <c r="BC19" s="406"/>
      <c r="BD19" s="406"/>
      <c r="BE19" s="406"/>
      <c r="BF19" s="406"/>
      <c r="BG19" s="406"/>
      <c r="BH19" s="406"/>
      <c r="BI19" s="406"/>
      <c r="BJ19" s="406"/>
      <c r="BK19" s="406"/>
      <c r="BL19" s="406"/>
      <c r="BM19" s="406"/>
      <c r="BN19" s="406"/>
      <c r="BO19" s="406"/>
    </row>
    <row r="20" spans="1:67">
      <c r="A20" s="519"/>
      <c r="B20" s="519"/>
      <c r="C20" s="1217" t="s">
        <v>470</v>
      </c>
      <c r="D20" s="1218"/>
      <c r="E20" s="640">
        <f>IF(ISERROR('Real Losses Component Analysis'!$AJ$78),"",'Real Losses Component Analysis'!$AJ$78)</f>
        <v>0</v>
      </c>
      <c r="F20" s="640">
        <f>IF(ISERROR('Real Losses Component Analysis'!$AJ$137),"",'Real Losses Component Analysis'!$AJ$137)</f>
        <v>0</v>
      </c>
      <c r="G20" s="420" t="str">
        <f>'Real Losses Component Analysis'!$N$57</f>
        <v>(MG)</v>
      </c>
      <c r="H20" s="414"/>
      <c r="I20" s="406"/>
      <c r="J20" s="406"/>
      <c r="K20" s="406"/>
      <c r="L20" s="406"/>
      <c r="M20" s="406"/>
      <c r="N20" s="406"/>
      <c r="O20" s="406"/>
      <c r="P20" s="406"/>
      <c r="Q20" s="406"/>
      <c r="R20" s="406"/>
      <c r="S20" s="406"/>
      <c r="T20" s="406"/>
      <c r="U20" s="406"/>
      <c r="V20" s="406"/>
      <c r="W20" s="406"/>
      <c r="X20" s="406"/>
      <c r="Y20" s="406"/>
      <c r="Z20" s="406"/>
      <c r="AA20" s="406"/>
      <c r="AB20" s="406"/>
      <c r="AC20" s="406"/>
      <c r="AD20" s="406"/>
      <c r="AE20" s="406"/>
      <c r="AF20" s="406"/>
      <c r="AG20" s="406"/>
      <c r="AH20" s="406"/>
      <c r="AI20" s="406"/>
      <c r="AJ20" s="406"/>
      <c r="AK20" s="406"/>
      <c r="AL20" s="406"/>
      <c r="AM20" s="406"/>
      <c r="AN20" s="406"/>
      <c r="AO20" s="406"/>
      <c r="AP20" s="406"/>
      <c r="AQ20" s="406"/>
      <c r="AR20" s="406"/>
      <c r="AS20" s="406"/>
      <c r="AT20" s="406"/>
      <c r="AU20" s="406"/>
      <c r="AV20" s="406"/>
      <c r="AW20" s="406"/>
      <c r="AX20" s="406"/>
      <c r="AY20" s="406"/>
      <c r="AZ20" s="406"/>
      <c r="BA20" s="406"/>
      <c r="BB20" s="406"/>
      <c r="BC20" s="406"/>
      <c r="BD20" s="406"/>
      <c r="BE20" s="406"/>
      <c r="BF20" s="406"/>
      <c r="BG20" s="406"/>
      <c r="BH20" s="406"/>
      <c r="BI20" s="406"/>
      <c r="BJ20" s="406"/>
      <c r="BK20" s="406"/>
      <c r="BL20" s="406"/>
      <c r="BM20" s="406"/>
      <c r="BN20" s="406"/>
      <c r="BO20" s="406"/>
    </row>
    <row r="21" spans="1:67">
      <c r="A21" s="519"/>
      <c r="B21" s="519"/>
      <c r="C21" s="1217" t="s">
        <v>471</v>
      </c>
      <c r="D21" s="1218"/>
      <c r="E21" s="421">
        <f>IF(ISERROR('AWWA-Water Balance Data Transf.'!$D$47*'A-L-R Times Options'!E20),"",('AWWA-Water Balance Data Transf.'!$D$47*'A-L-R Times Options'!E20))</f>
        <v>0</v>
      </c>
      <c r="F21" s="421">
        <f>IF(ISERROR(('AWWA-Water Balance Data Transf.'!$D$47*'A-L-R Times Options'!F20)),"",('AWWA-Water Balance Data Transf.'!$D$47*'A-L-R Times Options'!F20))</f>
        <v>0</v>
      </c>
      <c r="G21" s="420"/>
      <c r="H21" s="414"/>
      <c r="I21" s="406"/>
      <c r="J21" s="406"/>
      <c r="K21" s="406"/>
      <c r="L21" s="406"/>
      <c r="M21" s="406"/>
      <c r="N21" s="406"/>
      <c r="O21" s="406"/>
      <c r="P21" s="406"/>
      <c r="Q21" s="406"/>
      <c r="R21" s="406"/>
      <c r="S21" s="406"/>
      <c r="T21" s="406"/>
      <c r="U21" s="406"/>
      <c r="V21" s="406"/>
      <c r="W21" s="406"/>
      <c r="X21" s="406"/>
      <c r="Y21" s="406"/>
      <c r="Z21" s="406"/>
      <c r="AA21" s="406"/>
      <c r="AB21" s="406"/>
      <c r="AC21" s="406"/>
      <c r="AD21" s="406"/>
      <c r="AE21" s="406"/>
      <c r="AF21" s="406"/>
      <c r="AG21" s="406"/>
      <c r="AH21" s="406"/>
      <c r="AI21" s="406"/>
      <c r="AJ21" s="406"/>
      <c r="AK21" s="406"/>
      <c r="AL21" s="406"/>
      <c r="AM21" s="406"/>
      <c r="AN21" s="406"/>
      <c r="AO21" s="406"/>
      <c r="AP21" s="406"/>
      <c r="AQ21" s="406"/>
      <c r="AR21" s="406"/>
      <c r="AS21" s="406"/>
      <c r="AT21" s="406"/>
      <c r="AU21" s="406"/>
      <c r="AV21" s="406"/>
      <c r="AW21" s="406"/>
      <c r="AX21" s="406"/>
      <c r="AY21" s="406"/>
      <c r="AZ21" s="406"/>
      <c r="BA21" s="406"/>
      <c r="BB21" s="406"/>
      <c r="BC21" s="406"/>
      <c r="BD21" s="406"/>
      <c r="BE21" s="406"/>
      <c r="BF21" s="406"/>
      <c r="BG21" s="406"/>
      <c r="BH21" s="406"/>
      <c r="BI21" s="406"/>
      <c r="BJ21" s="406"/>
      <c r="BK21" s="406"/>
      <c r="BL21" s="406"/>
      <c r="BM21" s="406"/>
      <c r="BN21" s="406"/>
      <c r="BO21" s="406"/>
    </row>
    <row r="22" spans="1:67">
      <c r="A22" s="519"/>
      <c r="B22" s="519"/>
      <c r="C22" s="1219"/>
      <c r="D22" s="1225"/>
      <c r="E22" s="413"/>
      <c r="F22" s="413"/>
      <c r="G22" s="413"/>
      <c r="H22" s="414"/>
      <c r="I22" s="406"/>
      <c r="J22" s="406"/>
      <c r="K22" s="406"/>
      <c r="L22" s="406"/>
      <c r="M22" s="406"/>
      <c r="N22" s="406"/>
      <c r="O22" s="406"/>
      <c r="P22" s="406"/>
      <c r="Q22" s="406"/>
      <c r="R22" s="406"/>
      <c r="S22" s="406"/>
      <c r="T22" s="406"/>
      <c r="U22" s="406"/>
      <c r="V22" s="406"/>
      <c r="W22" s="406"/>
      <c r="X22" s="406"/>
      <c r="Y22" s="406"/>
      <c r="Z22" s="406"/>
      <c r="AA22" s="406"/>
      <c r="AB22" s="406"/>
      <c r="AC22" s="406"/>
      <c r="AD22" s="406"/>
      <c r="AE22" s="406"/>
      <c r="AF22" s="406"/>
      <c r="AG22" s="406"/>
      <c r="AH22" s="406"/>
      <c r="AI22" s="406"/>
      <c r="AJ22" s="406"/>
      <c r="AK22" s="406"/>
      <c r="AL22" s="406"/>
      <c r="AM22" s="406"/>
      <c r="AN22" s="406"/>
      <c r="AO22" s="406"/>
      <c r="AP22" s="406"/>
      <c r="AQ22" s="406"/>
      <c r="AR22" s="406"/>
      <c r="AS22" s="406"/>
      <c r="AT22" s="406"/>
      <c r="AU22" s="406"/>
      <c r="AV22" s="406"/>
      <c r="AW22" s="406"/>
      <c r="AX22" s="406"/>
      <c r="AY22" s="406"/>
      <c r="AZ22" s="406"/>
      <c r="BA22" s="406"/>
      <c r="BB22" s="406"/>
      <c r="BC22" s="406"/>
      <c r="BD22" s="406"/>
      <c r="BE22" s="406"/>
      <c r="BF22" s="406"/>
      <c r="BG22" s="406"/>
      <c r="BH22" s="406"/>
      <c r="BI22" s="406"/>
      <c r="BJ22" s="406"/>
      <c r="BK22" s="406"/>
      <c r="BL22" s="406"/>
      <c r="BM22" s="406"/>
      <c r="BN22" s="406"/>
      <c r="BO22" s="406"/>
    </row>
    <row r="23" spans="1:67">
      <c r="A23" s="519"/>
      <c r="B23" s="519"/>
      <c r="C23" s="1221" t="s">
        <v>694</v>
      </c>
      <c r="D23" s="1222"/>
      <c r="E23" s="688"/>
      <c r="F23" s="688"/>
      <c r="G23" s="420" t="s">
        <v>2</v>
      </c>
      <c r="H23" s="414"/>
      <c r="I23" s="406"/>
      <c r="J23" s="406"/>
      <c r="K23" s="406"/>
      <c r="L23" s="406"/>
      <c r="M23" s="406"/>
      <c r="N23" s="406"/>
      <c r="O23" s="406"/>
      <c r="P23" s="406"/>
      <c r="Q23" s="406"/>
      <c r="R23" s="406"/>
      <c r="S23" s="406"/>
      <c r="T23" s="406"/>
      <c r="U23" s="406"/>
      <c r="V23" s="406"/>
      <c r="W23" s="406"/>
      <c r="X23" s="406"/>
      <c r="Y23" s="406"/>
      <c r="Z23" s="406"/>
      <c r="AA23" s="406"/>
      <c r="AB23" s="406"/>
      <c r="AC23" s="406"/>
      <c r="AD23" s="406"/>
      <c r="AE23" s="406"/>
      <c r="AF23" s="406"/>
      <c r="AG23" s="406"/>
      <c r="AH23" s="406"/>
      <c r="AI23" s="406"/>
      <c r="AJ23" s="406"/>
      <c r="AK23" s="406"/>
      <c r="AL23" s="406"/>
      <c r="AM23" s="406"/>
      <c r="AN23" s="406"/>
      <c r="AO23" s="406"/>
      <c r="AP23" s="406"/>
      <c r="AQ23" s="406"/>
      <c r="AR23" s="406"/>
      <c r="AS23" s="406"/>
      <c r="AT23" s="406"/>
      <c r="AU23" s="406"/>
      <c r="AV23" s="406"/>
      <c r="AW23" s="406"/>
      <c r="AX23" s="406"/>
      <c r="AY23" s="406"/>
      <c r="AZ23" s="406"/>
      <c r="BA23" s="406"/>
      <c r="BB23" s="406"/>
      <c r="BC23" s="406"/>
      <c r="BD23" s="406"/>
      <c r="BE23" s="406"/>
      <c r="BF23" s="406"/>
      <c r="BG23" s="406"/>
      <c r="BH23" s="406"/>
      <c r="BI23" s="406"/>
      <c r="BJ23" s="406"/>
      <c r="BK23" s="406"/>
      <c r="BL23" s="406"/>
      <c r="BM23" s="406"/>
      <c r="BN23" s="406"/>
      <c r="BO23" s="406"/>
    </row>
    <row r="24" spans="1:67">
      <c r="A24" s="519"/>
      <c r="B24" s="519"/>
      <c r="C24" s="1217" t="s">
        <v>693</v>
      </c>
      <c r="D24" s="1223"/>
      <c r="E24" s="687">
        <f>IF(E23="",0,IF(ISERROR((E19-E23)/E19),0,(E19-E23)/E19))</f>
        <v>0</v>
      </c>
      <c r="F24" s="687">
        <f>IF(F23="",0,IF(ISERROR((F19-F23)/F19),0,(F19-F23)/F19))</f>
        <v>0</v>
      </c>
      <c r="G24" s="420"/>
      <c r="H24" s="414"/>
      <c r="I24" s="406"/>
      <c r="J24" s="406"/>
      <c r="K24" s="406"/>
      <c r="L24" s="406"/>
      <c r="M24" s="406"/>
      <c r="N24" s="406"/>
      <c r="O24" s="406"/>
      <c r="P24" s="406"/>
      <c r="Q24" s="406"/>
      <c r="R24" s="406"/>
      <c r="S24" s="406"/>
      <c r="T24" s="406"/>
      <c r="U24" s="406"/>
      <c r="V24" s="406"/>
      <c r="W24" s="406"/>
      <c r="X24" s="406"/>
      <c r="Y24" s="406"/>
      <c r="Z24" s="406"/>
      <c r="AA24" s="406"/>
      <c r="AB24" s="406"/>
      <c r="AC24" s="406"/>
      <c r="AD24" s="406"/>
      <c r="AE24" s="406"/>
      <c r="AF24" s="406"/>
      <c r="AG24" s="406"/>
      <c r="AH24" s="406"/>
      <c r="AI24" s="406"/>
      <c r="AJ24" s="406"/>
      <c r="AK24" s="406"/>
      <c r="AL24" s="406"/>
      <c r="AM24" s="406"/>
      <c r="AN24" s="406"/>
      <c r="AO24" s="406"/>
      <c r="AP24" s="406"/>
      <c r="AQ24" s="406"/>
      <c r="AR24" s="406"/>
      <c r="AS24" s="406"/>
      <c r="AT24" s="406"/>
      <c r="AU24" s="406"/>
      <c r="AV24" s="406"/>
      <c r="AW24" s="406"/>
      <c r="AX24" s="406"/>
      <c r="AY24" s="406"/>
      <c r="AZ24" s="406"/>
      <c r="BA24" s="406"/>
      <c r="BB24" s="406"/>
      <c r="BC24" s="406"/>
      <c r="BD24" s="406"/>
      <c r="BE24" s="406"/>
      <c r="BF24" s="406"/>
      <c r="BG24" s="406"/>
      <c r="BH24" s="406"/>
      <c r="BI24" s="406"/>
      <c r="BJ24" s="406"/>
      <c r="BK24" s="406"/>
      <c r="BL24" s="406"/>
      <c r="BM24" s="406"/>
      <c r="BN24" s="406"/>
      <c r="BO24" s="406"/>
    </row>
    <row r="25" spans="1:67">
      <c r="A25" s="519"/>
      <c r="B25" s="519"/>
      <c r="C25" s="1217" t="s">
        <v>476</v>
      </c>
      <c r="D25" s="1218"/>
      <c r="E25" s="640">
        <f>IF(ISERROR(E20-((1-E24)*E20)),"",E20-((1-E24)*E20))</f>
        <v>0</v>
      </c>
      <c r="F25" s="640">
        <f>IF(ISERROR(F20-((1-F24)*F20)),"",F20-((1-F24)*F20))</f>
        <v>0</v>
      </c>
      <c r="G25" s="420" t="str">
        <f>'Real Losses Component Analysis'!$N$57</f>
        <v>(MG)</v>
      </c>
      <c r="H25" s="414"/>
      <c r="I25" s="406"/>
      <c r="J25" s="406"/>
      <c r="K25" s="406"/>
      <c r="L25" s="406"/>
      <c r="M25" s="406"/>
      <c r="N25" s="406"/>
      <c r="O25" s="406"/>
      <c r="P25" s="406"/>
      <c r="Q25" s="406"/>
      <c r="R25" s="406"/>
      <c r="S25" s="406"/>
      <c r="T25" s="406"/>
      <c r="U25" s="406"/>
      <c r="V25" s="406"/>
      <c r="W25" s="406"/>
      <c r="X25" s="406"/>
      <c r="Y25" s="406"/>
      <c r="Z25" s="406"/>
      <c r="AA25" s="406"/>
      <c r="AB25" s="406"/>
      <c r="AC25" s="406"/>
      <c r="AD25" s="406"/>
      <c r="AE25" s="406"/>
      <c r="AF25" s="406"/>
      <c r="AG25" s="406"/>
      <c r="AH25" s="406"/>
      <c r="AI25" s="406"/>
      <c r="AJ25" s="406"/>
      <c r="AK25" s="406"/>
      <c r="AL25" s="406"/>
      <c r="AM25" s="406"/>
      <c r="AN25" s="406"/>
      <c r="AO25" s="406"/>
      <c r="AP25" s="406"/>
      <c r="AQ25" s="406"/>
      <c r="AR25" s="406"/>
      <c r="AS25" s="406"/>
      <c r="AT25" s="406"/>
      <c r="AU25" s="406"/>
      <c r="AV25" s="406"/>
      <c r="AW25" s="406"/>
      <c r="AX25" s="406"/>
      <c r="AY25" s="406"/>
      <c r="AZ25" s="406"/>
      <c r="BA25" s="406"/>
      <c r="BB25" s="406"/>
      <c r="BC25" s="406"/>
      <c r="BD25" s="406"/>
      <c r="BE25" s="406"/>
      <c r="BF25" s="406"/>
      <c r="BG25" s="406"/>
      <c r="BH25" s="406"/>
      <c r="BI25" s="406"/>
      <c r="BJ25" s="406"/>
      <c r="BK25" s="406"/>
      <c r="BL25" s="406"/>
      <c r="BM25" s="406"/>
      <c r="BN25" s="406"/>
      <c r="BO25" s="406"/>
    </row>
    <row r="26" spans="1:67" ht="16" thickBot="1">
      <c r="A26" s="519"/>
      <c r="B26" s="519"/>
      <c r="C26" s="1230" t="s">
        <v>477</v>
      </c>
      <c r="D26" s="1231"/>
      <c r="E26" s="422">
        <f>IF(ISERROR(E21-((1-E24)*E21)),"",E21-((1-E24)*E21))</f>
        <v>0</v>
      </c>
      <c r="F26" s="422">
        <f>IF(ISERROR(F21-((1-F24)*F21)),"",F21-((1-F24)*F21))</f>
        <v>0</v>
      </c>
      <c r="G26" s="873"/>
      <c r="H26" s="411"/>
      <c r="I26" s="406"/>
      <c r="J26" s="406"/>
      <c r="K26" s="406"/>
      <c r="L26" s="406"/>
      <c r="M26" s="406"/>
      <c r="N26" s="406"/>
      <c r="O26" s="406"/>
      <c r="P26" s="406"/>
      <c r="Q26" s="406"/>
      <c r="R26" s="406"/>
      <c r="S26" s="406"/>
      <c r="T26" s="406"/>
      <c r="U26" s="406"/>
      <c r="V26" s="406"/>
      <c r="W26" s="406"/>
      <c r="X26" s="406"/>
      <c r="Y26" s="406"/>
      <c r="Z26" s="406"/>
      <c r="AA26" s="406"/>
      <c r="AB26" s="406"/>
      <c r="AC26" s="406"/>
      <c r="AD26" s="406"/>
      <c r="AE26" s="406"/>
      <c r="AF26" s="406"/>
      <c r="AG26" s="406"/>
      <c r="AH26" s="406"/>
      <c r="AI26" s="406"/>
      <c r="AJ26" s="406"/>
      <c r="AK26" s="406"/>
      <c r="AL26" s="406"/>
      <c r="AM26" s="406"/>
      <c r="AN26" s="406"/>
      <c r="AO26" s="406"/>
      <c r="AP26" s="406"/>
      <c r="AQ26" s="406"/>
      <c r="AR26" s="406"/>
      <c r="AS26" s="406"/>
      <c r="AT26" s="406"/>
      <c r="AU26" s="406"/>
      <c r="AV26" s="406"/>
      <c r="AW26" s="406"/>
      <c r="AX26" s="406"/>
      <c r="AY26" s="406"/>
      <c r="AZ26" s="406"/>
      <c r="BA26" s="406"/>
      <c r="BB26" s="406"/>
      <c r="BC26" s="406"/>
      <c r="BD26" s="406"/>
      <c r="BE26" s="406"/>
      <c r="BF26" s="406"/>
      <c r="BG26" s="406"/>
      <c r="BH26" s="406"/>
      <c r="BI26" s="406"/>
      <c r="BJ26" s="406"/>
      <c r="BK26" s="406"/>
      <c r="BL26" s="406"/>
      <c r="BM26" s="406"/>
      <c r="BN26" s="406"/>
      <c r="BO26" s="406"/>
    </row>
    <row r="27" spans="1:67" ht="16" thickBot="1">
      <c r="A27" s="519"/>
      <c r="B27" s="519"/>
      <c r="C27" s="1226"/>
      <c r="D27" s="1227"/>
      <c r="E27" s="413"/>
      <c r="F27" s="413"/>
      <c r="G27" s="413"/>
      <c r="H27" s="414"/>
      <c r="I27" s="406"/>
      <c r="J27" s="406"/>
      <c r="K27" s="406"/>
      <c r="L27" s="406"/>
      <c r="M27" s="406"/>
      <c r="N27" s="406"/>
      <c r="O27" s="406"/>
      <c r="P27" s="406"/>
      <c r="Q27" s="406"/>
      <c r="R27" s="406"/>
      <c r="S27" s="406"/>
      <c r="T27" s="406"/>
      <c r="U27" s="406"/>
      <c r="V27" s="406"/>
      <c r="W27" s="406"/>
      <c r="X27" s="406"/>
      <c r="Y27" s="406"/>
      <c r="Z27" s="406"/>
      <c r="AA27" s="406"/>
      <c r="AB27" s="406"/>
      <c r="AC27" s="406"/>
      <c r="AD27" s="406"/>
      <c r="AE27" s="406"/>
      <c r="AF27" s="406"/>
      <c r="AG27" s="406"/>
      <c r="AH27" s="406"/>
      <c r="AI27" s="406"/>
      <c r="AJ27" s="406"/>
      <c r="AK27" s="406"/>
      <c r="AL27" s="406"/>
      <c r="AM27" s="406"/>
      <c r="AN27" s="406"/>
      <c r="AO27" s="406"/>
      <c r="AP27" s="406"/>
      <c r="AQ27" s="406"/>
      <c r="AR27" s="406"/>
      <c r="AS27" s="406"/>
      <c r="AT27" s="406"/>
      <c r="AU27" s="406"/>
      <c r="AV27" s="406"/>
      <c r="AW27" s="406"/>
      <c r="AX27" s="406"/>
      <c r="AY27" s="406"/>
      <c r="AZ27" s="406"/>
      <c r="BA27" s="406"/>
      <c r="BB27" s="406"/>
      <c r="BC27" s="406"/>
      <c r="BD27" s="406"/>
      <c r="BE27" s="406"/>
      <c r="BF27" s="406"/>
      <c r="BG27" s="406"/>
      <c r="BH27" s="406"/>
      <c r="BI27" s="406"/>
      <c r="BJ27" s="406"/>
      <c r="BK27" s="406"/>
      <c r="BL27" s="406"/>
      <c r="BM27" s="406"/>
      <c r="BN27" s="406"/>
      <c r="BO27" s="406"/>
    </row>
    <row r="28" spans="1:67">
      <c r="A28" s="519"/>
      <c r="B28" s="519"/>
      <c r="C28" s="1228" t="s">
        <v>802</v>
      </c>
      <c r="D28" s="1229"/>
      <c r="E28" s="694" t="s">
        <v>710</v>
      </c>
      <c r="F28" s="694" t="s">
        <v>711</v>
      </c>
      <c r="G28" s="418"/>
      <c r="H28" s="419"/>
      <c r="I28" s="406"/>
      <c r="J28" s="406"/>
      <c r="K28" s="406"/>
      <c r="L28" s="406"/>
      <c r="M28" s="406"/>
      <c r="N28" s="406"/>
      <c r="O28" s="406"/>
      <c r="P28" s="406"/>
      <c r="Q28" s="406"/>
      <c r="R28" s="406"/>
      <c r="S28" s="406"/>
      <c r="T28" s="406"/>
      <c r="U28" s="406"/>
      <c r="V28" s="406"/>
      <c r="W28" s="406"/>
      <c r="X28" s="406"/>
      <c r="Y28" s="406"/>
      <c r="Z28" s="406"/>
      <c r="AA28" s="406"/>
      <c r="AB28" s="406"/>
      <c r="AC28" s="406"/>
      <c r="AD28" s="406"/>
      <c r="AE28" s="406"/>
      <c r="AF28" s="406"/>
      <c r="AG28" s="406"/>
      <c r="AH28" s="406"/>
      <c r="AI28" s="406"/>
      <c r="AJ28" s="406"/>
      <c r="AK28" s="406"/>
      <c r="AL28" s="406"/>
      <c r="AM28" s="406"/>
      <c r="AN28" s="406"/>
      <c r="AO28" s="406"/>
      <c r="AP28" s="406"/>
      <c r="AQ28" s="406"/>
      <c r="AR28" s="406"/>
      <c r="AS28" s="406"/>
      <c r="AT28" s="406"/>
      <c r="AU28" s="406"/>
      <c r="AV28" s="406"/>
      <c r="AW28" s="406"/>
      <c r="AX28" s="406"/>
      <c r="AY28" s="406"/>
      <c r="AZ28" s="406"/>
      <c r="BA28" s="406"/>
      <c r="BB28" s="406"/>
      <c r="BC28" s="406"/>
      <c r="BD28" s="406"/>
      <c r="BE28" s="406"/>
      <c r="BF28" s="406"/>
      <c r="BG28" s="406"/>
      <c r="BH28" s="406"/>
      <c r="BI28" s="406"/>
      <c r="BJ28" s="406"/>
      <c r="BK28" s="406"/>
      <c r="BL28" s="406"/>
      <c r="BM28" s="406"/>
      <c r="BN28" s="406"/>
      <c r="BO28" s="406"/>
    </row>
    <row r="29" spans="1:67">
      <c r="A29" s="519"/>
      <c r="B29" s="519"/>
      <c r="C29" s="1217" t="str">
        <f>IF('Start Page'!Y37="","Total Number of Failures on Service Connections",IF('Start Page'!Y37="Partial Audit Period","Total Number of Failures on Service Connections","Total Number of Failures on Service Connections in "&amp;YEAR('Start Page'!Y37)))</f>
        <v>Total Number of Failures on Service Connections</v>
      </c>
      <c r="D29" s="1218"/>
      <c r="E29" s="639">
        <f>IF(ISERROR(SUM('Real Losses Component Analysis'!C98:C99)),"",SUM('Real Losses Component Analysis'!C98:C99))</f>
        <v>0</v>
      </c>
      <c r="F29" s="639">
        <f>IF(ISERROR(SUM('Real Losses Component Analysis'!C157:C158)),"",SUM('Real Losses Component Analysis'!C157:C158))</f>
        <v>0</v>
      </c>
      <c r="G29" s="420"/>
      <c r="H29" s="414"/>
      <c r="I29" s="406"/>
      <c r="J29" s="406"/>
      <c r="K29" s="406"/>
      <c r="L29" s="406"/>
      <c r="M29" s="406"/>
      <c r="N29" s="406"/>
      <c r="O29" s="406"/>
      <c r="P29" s="406"/>
      <c r="Q29" s="406"/>
      <c r="R29" s="406"/>
      <c r="S29" s="406"/>
      <c r="T29" s="406"/>
      <c r="U29" s="406"/>
      <c r="V29" s="406"/>
      <c r="W29" s="406"/>
      <c r="X29" s="406"/>
      <c r="Y29" s="406"/>
      <c r="Z29" s="406"/>
      <c r="AA29" s="406"/>
      <c r="AB29" s="406"/>
      <c r="AC29" s="406"/>
      <c r="AD29" s="406"/>
      <c r="AE29" s="406"/>
      <c r="AF29" s="406"/>
      <c r="AG29" s="406"/>
      <c r="AH29" s="406"/>
      <c r="AI29" s="406"/>
      <c r="AJ29" s="406"/>
      <c r="AK29" s="406"/>
      <c r="AL29" s="406"/>
      <c r="AM29" s="406"/>
      <c r="AN29" s="406"/>
      <c r="AO29" s="406"/>
      <c r="AP29" s="406"/>
      <c r="AQ29" s="406"/>
      <c r="AR29" s="406"/>
      <c r="AS29" s="406"/>
      <c r="AT29" s="406"/>
      <c r="AU29" s="406"/>
      <c r="AV29" s="406"/>
      <c r="AW29" s="406"/>
      <c r="AX29" s="406"/>
      <c r="AY29" s="406"/>
      <c r="AZ29" s="406"/>
      <c r="BA29" s="406"/>
      <c r="BB29" s="406"/>
      <c r="BC29" s="406"/>
      <c r="BD29" s="406"/>
      <c r="BE29" s="406"/>
      <c r="BF29" s="406"/>
      <c r="BG29" s="406"/>
      <c r="BH29" s="406"/>
      <c r="BI29" s="406"/>
      <c r="BJ29" s="406"/>
      <c r="BK29" s="406"/>
      <c r="BL29" s="406"/>
      <c r="BM29" s="406"/>
      <c r="BN29" s="406"/>
      <c r="BO29" s="406"/>
    </row>
    <row r="30" spans="1:67">
      <c r="A30" s="519"/>
      <c r="B30" s="519"/>
      <c r="C30" s="1217" t="s">
        <v>469</v>
      </c>
      <c r="D30" s="1218"/>
      <c r="E30" s="640">
        <f>IF(ISERROR(IF(E29=0,0,'Real Losses Component Analysis'!AH100/SUM('Real Losses Component Analysis'!C98:C99))),"",IF(E29=0,0,'Real Losses Component Analysis'!AH100/SUM('Real Losses Component Analysis'!C98:C99)))</f>
        <v>0</v>
      </c>
      <c r="F30" s="640">
        <f>IF(ISERROR(IF(F29=0,0,'Real Losses Component Analysis'!AH159/SUM('Real Losses Component Analysis'!C157:C158))),"",IF(F29=0,0,'Real Losses Component Analysis'!AH159/SUM('Real Losses Component Analysis'!C157:C158)))</f>
        <v>0</v>
      </c>
      <c r="G30" s="420" t="s">
        <v>2</v>
      </c>
      <c r="H30" s="414"/>
      <c r="I30" s="406"/>
      <c r="J30" s="406"/>
      <c r="K30" s="406"/>
      <c r="L30" s="406"/>
      <c r="M30" s="406"/>
      <c r="N30" s="406"/>
      <c r="O30" s="406"/>
      <c r="P30" s="406"/>
      <c r="Q30" s="406"/>
      <c r="R30" s="406"/>
      <c r="S30" s="406"/>
      <c r="T30" s="406"/>
      <c r="U30" s="406"/>
      <c r="V30" s="406"/>
      <c r="W30" s="406"/>
      <c r="X30" s="406"/>
      <c r="Y30" s="406"/>
      <c r="Z30" s="406"/>
      <c r="AA30" s="406"/>
      <c r="AB30" s="406"/>
      <c r="AC30" s="406"/>
      <c r="AD30" s="406"/>
      <c r="AE30" s="406"/>
      <c r="AF30" s="406"/>
      <c r="AG30" s="406"/>
      <c r="AH30" s="406"/>
      <c r="AI30" s="406"/>
      <c r="AJ30" s="406"/>
      <c r="AK30" s="406"/>
      <c r="AL30" s="406"/>
      <c r="AM30" s="406"/>
      <c r="AN30" s="406"/>
      <c r="AO30" s="406"/>
      <c r="AP30" s="406"/>
      <c r="AQ30" s="406"/>
      <c r="AR30" s="406"/>
      <c r="AS30" s="406"/>
      <c r="AT30" s="406"/>
      <c r="AU30" s="406"/>
      <c r="AV30" s="406"/>
      <c r="AW30" s="406"/>
      <c r="AX30" s="406"/>
      <c r="AY30" s="406"/>
      <c r="AZ30" s="406"/>
      <c r="BA30" s="406"/>
      <c r="BB30" s="406"/>
      <c r="BC30" s="406"/>
      <c r="BD30" s="406"/>
      <c r="BE30" s="406"/>
      <c r="BF30" s="406"/>
      <c r="BG30" s="406"/>
      <c r="BH30" s="406"/>
      <c r="BI30" s="406"/>
      <c r="BJ30" s="406"/>
      <c r="BK30" s="406"/>
      <c r="BL30" s="406"/>
      <c r="BM30" s="406"/>
      <c r="BN30" s="406"/>
      <c r="BO30" s="406"/>
    </row>
    <row r="31" spans="1:67">
      <c r="A31" s="519"/>
      <c r="B31" s="519"/>
      <c r="C31" s="1217" t="s">
        <v>470</v>
      </c>
      <c r="D31" s="1218"/>
      <c r="E31" s="640">
        <f>IF(ISERROR('Real Losses Component Analysis'!AJ100),"",'Real Losses Component Analysis'!AJ100)</f>
        <v>0</v>
      </c>
      <c r="F31" s="640">
        <f>IF(ISERROR('Real Losses Component Analysis'!AJ159),"",'Real Losses Component Analysis'!AJ159)</f>
        <v>0</v>
      </c>
      <c r="G31" s="420" t="str">
        <f>'Real Losses Component Analysis'!$N$57</f>
        <v>(MG)</v>
      </c>
      <c r="H31" s="414"/>
      <c r="I31" s="406"/>
      <c r="J31" s="406"/>
      <c r="K31" s="406"/>
      <c r="L31" s="406"/>
      <c r="M31" s="406"/>
      <c r="N31" s="406"/>
      <c r="O31" s="406"/>
      <c r="P31" s="406"/>
      <c r="Q31" s="406"/>
      <c r="R31" s="406"/>
      <c r="S31" s="406"/>
      <c r="T31" s="406"/>
      <c r="U31" s="406"/>
      <c r="V31" s="406"/>
      <c r="W31" s="406"/>
      <c r="X31" s="406"/>
      <c r="Y31" s="406"/>
      <c r="Z31" s="406"/>
      <c r="AA31" s="406"/>
      <c r="AB31" s="406"/>
      <c r="AC31" s="406"/>
      <c r="AD31" s="406"/>
      <c r="AE31" s="406"/>
      <c r="AF31" s="406"/>
      <c r="AG31" s="406"/>
      <c r="AH31" s="406"/>
      <c r="AI31" s="406"/>
      <c r="AJ31" s="406"/>
      <c r="AK31" s="406"/>
      <c r="AL31" s="406"/>
      <c r="AM31" s="406"/>
      <c r="AN31" s="406"/>
      <c r="AO31" s="406"/>
      <c r="AP31" s="406"/>
      <c r="AQ31" s="406"/>
      <c r="AR31" s="406"/>
      <c r="AS31" s="406"/>
      <c r="AT31" s="406"/>
      <c r="AU31" s="406"/>
      <c r="AV31" s="406"/>
      <c r="AW31" s="406"/>
      <c r="AX31" s="406"/>
      <c r="AY31" s="406"/>
      <c r="AZ31" s="406"/>
      <c r="BA31" s="406"/>
      <c r="BB31" s="406"/>
      <c r="BC31" s="406"/>
      <c r="BD31" s="406"/>
      <c r="BE31" s="406"/>
      <c r="BF31" s="406"/>
      <c r="BG31" s="406"/>
      <c r="BH31" s="406"/>
      <c r="BI31" s="406"/>
      <c r="BJ31" s="406"/>
      <c r="BK31" s="406"/>
      <c r="BL31" s="406"/>
      <c r="BM31" s="406"/>
      <c r="BN31" s="406"/>
      <c r="BO31" s="406"/>
    </row>
    <row r="32" spans="1:67">
      <c r="A32" s="519"/>
      <c r="B32" s="519"/>
      <c r="C32" s="1217" t="s">
        <v>471</v>
      </c>
      <c r="D32" s="1218"/>
      <c r="E32" s="421">
        <f>IF(ISERROR(('AWWA-Water Balance Data Transf.'!$D$47*'A-L-R Times Options'!E31)),"",('AWWA-Water Balance Data Transf.'!$D$47*'A-L-R Times Options'!E31))</f>
        <v>0</v>
      </c>
      <c r="F32" s="421">
        <f>IF(ISERROR(('AWWA-Water Balance Data Transf.'!$D$47*'A-L-R Times Options'!F31)),"",('AWWA-Water Balance Data Transf.'!$D$47*'A-L-R Times Options'!F31))</f>
        <v>0</v>
      </c>
      <c r="G32" s="420"/>
      <c r="H32" s="414"/>
      <c r="I32" s="406"/>
      <c r="J32" s="406"/>
      <c r="K32" s="406"/>
      <c r="L32" s="406"/>
      <c r="M32" s="406"/>
      <c r="N32" s="406"/>
      <c r="O32" s="406"/>
      <c r="P32" s="406"/>
      <c r="Q32" s="406"/>
      <c r="R32" s="406"/>
      <c r="S32" s="406"/>
      <c r="T32" s="406"/>
      <c r="U32" s="406"/>
      <c r="V32" s="406"/>
      <c r="W32" s="406"/>
      <c r="X32" s="406"/>
      <c r="Y32" s="406"/>
      <c r="Z32" s="406"/>
      <c r="AA32" s="406"/>
      <c r="AB32" s="406"/>
      <c r="AC32" s="406"/>
      <c r="AD32" s="406"/>
      <c r="AE32" s="406"/>
      <c r="AF32" s="406"/>
      <c r="AG32" s="406"/>
      <c r="AH32" s="406"/>
      <c r="AI32" s="406"/>
      <c r="AJ32" s="406"/>
      <c r="AK32" s="406"/>
      <c r="AL32" s="406"/>
      <c r="AM32" s="406"/>
      <c r="AN32" s="406"/>
      <c r="AO32" s="406"/>
      <c r="AP32" s="406"/>
      <c r="AQ32" s="406"/>
      <c r="AR32" s="406"/>
      <c r="AS32" s="406"/>
      <c r="AT32" s="406"/>
      <c r="AU32" s="406"/>
      <c r="AV32" s="406"/>
      <c r="AW32" s="406"/>
      <c r="AX32" s="406"/>
      <c r="AY32" s="406"/>
      <c r="AZ32" s="406"/>
      <c r="BA32" s="406"/>
      <c r="BB32" s="406"/>
      <c r="BC32" s="406"/>
      <c r="BD32" s="406"/>
      <c r="BE32" s="406"/>
      <c r="BF32" s="406"/>
      <c r="BG32" s="406"/>
      <c r="BH32" s="406"/>
      <c r="BI32" s="406"/>
      <c r="BJ32" s="406"/>
      <c r="BK32" s="406"/>
      <c r="BL32" s="406"/>
      <c r="BM32" s="406"/>
      <c r="BN32" s="406"/>
      <c r="BO32" s="406"/>
    </row>
    <row r="33" spans="1:67">
      <c r="A33" s="519"/>
      <c r="B33" s="519"/>
      <c r="C33" s="1219"/>
      <c r="D33" s="1225"/>
      <c r="E33" s="413"/>
      <c r="F33" s="413"/>
      <c r="G33" s="413"/>
      <c r="H33" s="414"/>
      <c r="I33" s="406"/>
      <c r="J33" s="406"/>
      <c r="K33" s="406"/>
      <c r="L33" s="406"/>
      <c r="M33" s="406"/>
      <c r="N33" s="406"/>
      <c r="O33" s="406"/>
      <c r="P33" s="406"/>
      <c r="Q33" s="406"/>
      <c r="R33" s="406"/>
      <c r="S33" s="406"/>
      <c r="T33" s="406"/>
      <c r="U33" s="406"/>
      <c r="V33" s="406"/>
      <c r="W33" s="406"/>
      <c r="X33" s="406"/>
      <c r="Y33" s="406"/>
      <c r="Z33" s="406"/>
      <c r="AA33" s="406"/>
      <c r="AB33" s="406"/>
      <c r="AC33" s="406"/>
      <c r="AD33" s="406"/>
      <c r="AE33" s="406"/>
      <c r="AF33" s="406"/>
      <c r="AG33" s="406"/>
      <c r="AH33" s="406"/>
      <c r="AI33" s="406"/>
      <c r="AJ33" s="406"/>
      <c r="AK33" s="406"/>
      <c r="AL33" s="406"/>
      <c r="AM33" s="406"/>
      <c r="AN33" s="406"/>
      <c r="AO33" s="406"/>
      <c r="AP33" s="406"/>
      <c r="AQ33" s="406"/>
      <c r="AR33" s="406"/>
      <c r="AS33" s="406"/>
      <c r="AT33" s="406"/>
      <c r="AU33" s="406"/>
      <c r="AV33" s="406"/>
      <c r="AW33" s="406"/>
      <c r="AX33" s="406"/>
      <c r="AY33" s="406"/>
      <c r="AZ33" s="406"/>
      <c r="BA33" s="406"/>
      <c r="BB33" s="406"/>
      <c r="BC33" s="406"/>
      <c r="BD33" s="406"/>
      <c r="BE33" s="406"/>
      <c r="BF33" s="406"/>
      <c r="BG33" s="406"/>
      <c r="BH33" s="406"/>
      <c r="BI33" s="406"/>
      <c r="BJ33" s="406"/>
      <c r="BK33" s="406"/>
      <c r="BL33" s="406"/>
      <c r="BM33" s="406"/>
      <c r="BN33" s="406"/>
      <c r="BO33" s="406"/>
    </row>
    <row r="34" spans="1:67">
      <c r="A34" s="519"/>
      <c r="B34" s="519"/>
      <c r="C34" s="1221" t="s">
        <v>694</v>
      </c>
      <c r="D34" s="1222"/>
      <c r="E34" s="688"/>
      <c r="F34" s="688"/>
      <c r="G34" s="420" t="s">
        <v>2</v>
      </c>
      <c r="H34" s="414"/>
      <c r="I34" s="406"/>
      <c r="J34" s="406"/>
      <c r="K34" s="406"/>
      <c r="L34" s="406"/>
      <c r="M34" s="406"/>
      <c r="N34" s="406"/>
      <c r="O34" s="406"/>
      <c r="P34" s="406"/>
      <c r="Q34" s="406"/>
      <c r="R34" s="406"/>
      <c r="S34" s="406"/>
      <c r="T34" s="406"/>
      <c r="U34" s="406"/>
      <c r="V34" s="406"/>
      <c r="W34" s="406"/>
      <c r="X34" s="406"/>
      <c r="Y34" s="406"/>
      <c r="Z34" s="406"/>
      <c r="AA34" s="406"/>
      <c r="AB34" s="406"/>
      <c r="AC34" s="406"/>
      <c r="AD34" s="406"/>
      <c r="AE34" s="406"/>
      <c r="AF34" s="406"/>
      <c r="AG34" s="406"/>
      <c r="AH34" s="406"/>
      <c r="AI34" s="406"/>
      <c r="AJ34" s="406"/>
      <c r="AK34" s="406"/>
      <c r="AL34" s="406"/>
      <c r="AM34" s="406"/>
      <c r="AN34" s="406"/>
      <c r="AO34" s="406"/>
      <c r="AP34" s="406"/>
      <c r="AQ34" s="406"/>
      <c r="AR34" s="406"/>
      <c r="AS34" s="406"/>
      <c r="AT34" s="406"/>
      <c r="AU34" s="406"/>
      <c r="AV34" s="406"/>
      <c r="AW34" s="406"/>
      <c r="AX34" s="406"/>
      <c r="AY34" s="406"/>
      <c r="AZ34" s="406"/>
      <c r="BA34" s="406"/>
      <c r="BB34" s="406"/>
      <c r="BC34" s="406"/>
      <c r="BD34" s="406"/>
      <c r="BE34" s="406"/>
      <c r="BF34" s="406"/>
      <c r="BG34" s="406"/>
      <c r="BH34" s="406"/>
      <c r="BI34" s="406"/>
      <c r="BJ34" s="406"/>
      <c r="BK34" s="406"/>
      <c r="BL34" s="406"/>
      <c r="BM34" s="406"/>
      <c r="BN34" s="406"/>
      <c r="BO34" s="406"/>
    </row>
    <row r="35" spans="1:67">
      <c r="A35" s="519"/>
      <c r="B35" s="519"/>
      <c r="C35" s="1217" t="s">
        <v>693</v>
      </c>
      <c r="D35" s="1218"/>
      <c r="E35" s="687">
        <f>IF(E34="",0,IF(ISERROR((E30-E34)/E30),0,(E30-E34)/E30))</f>
        <v>0</v>
      </c>
      <c r="F35" s="687">
        <f>IF(F34="",0,IF(ISERROR((F30-F34)/F30),0,(F30-F34)/F30))</f>
        <v>0</v>
      </c>
      <c r="G35" s="420"/>
      <c r="H35" s="414"/>
      <c r="I35" s="406"/>
      <c r="J35" s="406"/>
      <c r="K35" s="406"/>
      <c r="L35" s="406"/>
      <c r="M35" s="406"/>
      <c r="N35" s="406"/>
      <c r="O35" s="406"/>
      <c r="P35" s="406"/>
      <c r="Q35" s="406"/>
      <c r="R35" s="406"/>
      <c r="S35" s="406"/>
      <c r="T35" s="406"/>
      <c r="U35" s="406"/>
      <c r="V35" s="406"/>
      <c r="W35" s="406"/>
      <c r="X35" s="406"/>
      <c r="Y35" s="406"/>
      <c r="Z35" s="406"/>
      <c r="AA35" s="406"/>
      <c r="AB35" s="406"/>
      <c r="AC35" s="406"/>
      <c r="AD35" s="406"/>
      <c r="AE35" s="406"/>
      <c r="AF35" s="406"/>
      <c r="AG35" s="406"/>
      <c r="AH35" s="406"/>
      <c r="AI35" s="406"/>
      <c r="AJ35" s="406"/>
      <c r="AK35" s="406"/>
      <c r="AL35" s="406"/>
      <c r="AM35" s="406"/>
      <c r="AN35" s="406"/>
      <c r="AO35" s="406"/>
      <c r="AP35" s="406"/>
      <c r="AQ35" s="406"/>
      <c r="AR35" s="406"/>
      <c r="AS35" s="406"/>
      <c r="AT35" s="406"/>
      <c r="AU35" s="406"/>
      <c r="AV35" s="406"/>
      <c r="AW35" s="406"/>
      <c r="AX35" s="406"/>
      <c r="AY35" s="406"/>
      <c r="AZ35" s="406"/>
      <c r="BA35" s="406"/>
      <c r="BB35" s="406"/>
      <c r="BC35" s="406"/>
      <c r="BD35" s="406"/>
      <c r="BE35" s="406"/>
      <c r="BF35" s="406"/>
      <c r="BG35" s="406"/>
      <c r="BH35" s="406"/>
      <c r="BI35" s="406"/>
      <c r="BJ35" s="406"/>
      <c r="BK35" s="406"/>
      <c r="BL35" s="406"/>
      <c r="BM35" s="406"/>
      <c r="BN35" s="406"/>
      <c r="BO35" s="406"/>
    </row>
    <row r="36" spans="1:67">
      <c r="A36" s="519"/>
      <c r="B36" s="519"/>
      <c r="C36" s="1217" t="s">
        <v>476</v>
      </c>
      <c r="D36" s="1218"/>
      <c r="E36" s="648">
        <f>IF(ISERROR(E31-((1-E35)*E31)),"",E31-((1-E35)*E31))</f>
        <v>0</v>
      </c>
      <c r="F36" s="640">
        <f>IF(ISERROR(F31-((1-F35)*F31)),"",F31-((1-F35)*F31))</f>
        <v>0</v>
      </c>
      <c r="G36" s="420" t="str">
        <f>'Real Losses Component Analysis'!$N$57</f>
        <v>(MG)</v>
      </c>
      <c r="H36" s="414"/>
      <c r="I36" s="406"/>
      <c r="J36" s="406"/>
      <c r="K36" s="406"/>
      <c r="L36" s="406"/>
      <c r="M36" s="406"/>
      <c r="N36" s="406"/>
      <c r="O36" s="406"/>
      <c r="P36" s="406"/>
      <c r="Q36" s="406"/>
      <c r="R36" s="406"/>
      <c r="S36" s="406"/>
      <c r="T36" s="406"/>
      <c r="U36" s="406"/>
      <c r="V36" s="406"/>
      <c r="W36" s="406"/>
      <c r="X36" s="406"/>
      <c r="Y36" s="406"/>
      <c r="Z36" s="406"/>
      <c r="AA36" s="406"/>
      <c r="AB36" s="406"/>
      <c r="AC36" s="406"/>
      <c r="AD36" s="406"/>
      <c r="AE36" s="406"/>
      <c r="AF36" s="406"/>
      <c r="AG36" s="406"/>
      <c r="AH36" s="406"/>
      <c r="AI36" s="406"/>
      <c r="AJ36" s="406"/>
      <c r="AK36" s="406"/>
      <c r="AL36" s="406"/>
      <c r="AM36" s="406"/>
      <c r="AN36" s="406"/>
      <c r="AO36" s="406"/>
      <c r="AP36" s="406"/>
      <c r="AQ36" s="406"/>
      <c r="AR36" s="406"/>
      <c r="AS36" s="406"/>
      <c r="AT36" s="406"/>
      <c r="AU36" s="406"/>
      <c r="AV36" s="406"/>
      <c r="AW36" s="406"/>
      <c r="AX36" s="406"/>
      <c r="AY36" s="406"/>
      <c r="AZ36" s="406"/>
      <c r="BA36" s="406"/>
      <c r="BB36" s="406"/>
      <c r="BC36" s="406"/>
      <c r="BD36" s="406"/>
      <c r="BE36" s="406"/>
      <c r="BF36" s="406"/>
      <c r="BG36" s="406"/>
      <c r="BH36" s="406"/>
      <c r="BI36" s="406"/>
      <c r="BJ36" s="406"/>
      <c r="BK36" s="406"/>
      <c r="BL36" s="406"/>
      <c r="BM36" s="406"/>
      <c r="BN36" s="406"/>
      <c r="BO36" s="406"/>
    </row>
    <row r="37" spans="1:67" ht="16" thickBot="1">
      <c r="A37" s="519"/>
      <c r="B37" s="519"/>
      <c r="C37" s="1230" t="s">
        <v>477</v>
      </c>
      <c r="D37" s="1231"/>
      <c r="E37" s="422">
        <f>IF(ISERROR(E32-((1-E35)*E32)),"",E32-((1-E35)*E32))</f>
        <v>0</v>
      </c>
      <c r="F37" s="422">
        <f>IF(ISERROR(F32-((1-F35)*F32)),"",F32-((1-F35)*F32))</f>
        <v>0</v>
      </c>
      <c r="G37" s="873"/>
      <c r="H37" s="411"/>
      <c r="I37" s="406"/>
      <c r="J37" s="406"/>
      <c r="K37" s="406"/>
      <c r="L37" s="406"/>
      <c r="M37" s="406"/>
      <c r="N37" s="406"/>
      <c r="O37" s="406"/>
      <c r="P37" s="406"/>
      <c r="Q37" s="406"/>
      <c r="R37" s="406"/>
      <c r="S37" s="406"/>
      <c r="T37" s="406"/>
      <c r="U37" s="406"/>
      <c r="V37" s="406"/>
      <c r="W37" s="406"/>
      <c r="X37" s="406"/>
      <c r="Y37" s="406"/>
      <c r="Z37" s="406"/>
      <c r="AA37" s="406"/>
      <c r="AB37" s="406"/>
      <c r="AC37" s="406"/>
      <c r="AD37" s="406"/>
      <c r="AE37" s="406"/>
      <c r="AF37" s="406"/>
      <c r="AG37" s="406"/>
      <c r="AH37" s="406"/>
      <c r="AI37" s="406"/>
      <c r="AJ37" s="406"/>
      <c r="AK37" s="406"/>
      <c r="AL37" s="406"/>
      <c r="AM37" s="406"/>
      <c r="AN37" s="406"/>
      <c r="AO37" s="406"/>
      <c r="AP37" s="406"/>
      <c r="AQ37" s="406"/>
      <c r="AR37" s="406"/>
      <c r="AS37" s="406"/>
      <c r="AT37" s="406"/>
      <c r="AU37" s="406"/>
      <c r="AV37" s="406"/>
      <c r="AW37" s="406"/>
      <c r="AX37" s="406"/>
      <c r="AY37" s="406"/>
      <c r="AZ37" s="406"/>
      <c r="BA37" s="406"/>
      <c r="BB37" s="406"/>
      <c r="BC37" s="406"/>
      <c r="BD37" s="406"/>
      <c r="BE37" s="406"/>
      <c r="BF37" s="406"/>
      <c r="BG37" s="406"/>
      <c r="BH37" s="406"/>
      <c r="BI37" s="406"/>
      <c r="BJ37" s="406"/>
      <c r="BK37" s="406"/>
      <c r="BL37" s="406"/>
      <c r="BM37" s="406"/>
      <c r="BN37" s="406"/>
      <c r="BO37" s="406"/>
    </row>
    <row r="38" spans="1:67" ht="16" thickBot="1">
      <c r="A38" s="519"/>
      <c r="B38" s="519"/>
      <c r="C38" s="1226"/>
      <c r="D38" s="1227"/>
      <c r="E38" s="413"/>
      <c r="F38" s="413"/>
      <c r="G38" s="413"/>
      <c r="H38" s="414"/>
      <c r="I38" s="406"/>
      <c r="J38" s="406"/>
      <c r="K38" s="406"/>
      <c r="L38" s="406"/>
      <c r="M38" s="406"/>
      <c r="N38" s="406"/>
      <c r="O38" s="406"/>
      <c r="P38" s="406"/>
      <c r="Q38" s="406"/>
      <c r="R38" s="406"/>
      <c r="S38" s="406"/>
      <c r="T38" s="406"/>
      <c r="U38" s="406"/>
      <c r="V38" s="406"/>
      <c r="W38" s="406"/>
      <c r="X38" s="406"/>
      <c r="Y38" s="406"/>
      <c r="Z38" s="406"/>
      <c r="AA38" s="406"/>
      <c r="AB38" s="406"/>
      <c r="AC38" s="406"/>
      <c r="AD38" s="406"/>
      <c r="AE38" s="406"/>
      <c r="AF38" s="406"/>
      <c r="AG38" s="406"/>
      <c r="AH38" s="406"/>
      <c r="AI38" s="406"/>
      <c r="AJ38" s="406"/>
      <c r="AK38" s="406"/>
      <c r="AL38" s="406"/>
      <c r="AM38" s="406"/>
      <c r="AN38" s="406"/>
      <c r="AO38" s="406"/>
      <c r="AP38" s="406"/>
      <c r="AQ38" s="406"/>
      <c r="AR38" s="406"/>
      <c r="AS38" s="406"/>
      <c r="AT38" s="406"/>
      <c r="AU38" s="406"/>
      <c r="AV38" s="406"/>
      <c r="AW38" s="406"/>
      <c r="AX38" s="406"/>
      <c r="AY38" s="406"/>
      <c r="AZ38" s="406"/>
      <c r="BA38" s="406"/>
      <c r="BB38" s="406"/>
      <c r="BC38" s="406"/>
      <c r="BD38" s="406"/>
      <c r="BE38" s="406"/>
      <c r="BF38" s="406"/>
      <c r="BG38" s="406"/>
      <c r="BH38" s="406"/>
      <c r="BI38" s="406"/>
      <c r="BJ38" s="406"/>
      <c r="BK38" s="406"/>
      <c r="BL38" s="406"/>
      <c r="BM38" s="406"/>
      <c r="BN38" s="406"/>
      <c r="BO38" s="406"/>
    </row>
    <row r="39" spans="1:67">
      <c r="A39" s="519"/>
      <c r="B39" s="519"/>
      <c r="C39" s="1228" t="s">
        <v>803</v>
      </c>
      <c r="D39" s="1229"/>
      <c r="E39" s="694" t="s">
        <v>710</v>
      </c>
      <c r="F39" s="694" t="s">
        <v>711</v>
      </c>
      <c r="G39" s="418"/>
      <c r="H39" s="419"/>
      <c r="I39" s="406"/>
      <c r="J39" s="406"/>
      <c r="K39" s="406"/>
      <c r="L39" s="406"/>
      <c r="M39" s="406"/>
      <c r="N39" s="406"/>
      <c r="O39" s="406"/>
      <c r="P39" s="406"/>
      <c r="Q39" s="406"/>
      <c r="R39" s="406"/>
      <c r="S39" s="406"/>
      <c r="T39" s="406"/>
      <c r="U39" s="406"/>
      <c r="V39" s="406"/>
      <c r="W39" s="406"/>
      <c r="X39" s="406"/>
      <c r="Y39" s="406"/>
      <c r="Z39" s="406"/>
      <c r="AA39" s="406"/>
      <c r="AB39" s="406"/>
      <c r="AC39" s="406"/>
      <c r="AD39" s="406"/>
      <c r="AE39" s="406"/>
      <c r="AF39" s="406"/>
      <c r="AG39" s="406"/>
      <c r="AH39" s="406"/>
      <c r="AI39" s="406"/>
      <c r="AJ39" s="406"/>
      <c r="AK39" s="406"/>
      <c r="AL39" s="406"/>
      <c r="AM39" s="406"/>
      <c r="AN39" s="406"/>
      <c r="AO39" s="406"/>
      <c r="AP39" s="406"/>
      <c r="AQ39" s="406"/>
      <c r="AR39" s="406"/>
      <c r="AS39" s="406"/>
      <c r="AT39" s="406"/>
      <c r="AU39" s="406"/>
      <c r="AV39" s="406"/>
      <c r="AW39" s="406"/>
      <c r="AX39" s="406"/>
      <c r="AY39" s="406"/>
      <c r="AZ39" s="406"/>
      <c r="BA39" s="406"/>
      <c r="BB39" s="406"/>
      <c r="BC39" s="406"/>
      <c r="BD39" s="406"/>
      <c r="BE39" s="406"/>
      <c r="BF39" s="406"/>
      <c r="BG39" s="406"/>
      <c r="BH39" s="406"/>
      <c r="BI39" s="406"/>
      <c r="BJ39" s="406"/>
      <c r="BK39" s="406"/>
      <c r="BL39" s="406"/>
      <c r="BM39" s="406"/>
      <c r="BN39" s="406"/>
      <c r="BO39" s="406"/>
    </row>
    <row r="40" spans="1:67">
      <c r="A40" s="519"/>
      <c r="B40" s="519"/>
      <c r="C40" s="1217" t="str">
        <f>IF('Start Page'!Y37="","Total Number of Failures on System Appurtenances",IF('Start Page'!Y37="Partial Audit Period","Total Number of Failures on System Appurtenances","Total Number of Failures on System Appurtenances in "&amp;YEAR('Start Page'!Y37)))</f>
        <v>Total Number of Failures on System Appurtenances</v>
      </c>
      <c r="D40" s="1218"/>
      <c r="E40" s="639">
        <f>IF(ISERROR(SUM('Real Losses Component Analysis'!C86:C89)),"",SUM('Real Losses Component Analysis'!C86:C89))</f>
        <v>0</v>
      </c>
      <c r="F40" s="639">
        <f>IF(ISERROR(SUM('Real Losses Component Analysis'!C145:C148)),"",SUM('Real Losses Component Analysis'!C145:C148))</f>
        <v>0</v>
      </c>
      <c r="G40" s="420"/>
      <c r="H40" s="414"/>
      <c r="I40" s="406"/>
      <c r="J40" s="406"/>
      <c r="K40" s="406"/>
      <c r="L40" s="406"/>
      <c r="M40" s="406"/>
      <c r="N40" s="406"/>
      <c r="O40" s="406"/>
      <c r="P40" s="406"/>
      <c r="Q40" s="406"/>
      <c r="R40" s="406"/>
      <c r="S40" s="406"/>
      <c r="T40" s="406"/>
      <c r="U40" s="406"/>
      <c r="V40" s="406"/>
      <c r="W40" s="406"/>
      <c r="X40" s="406"/>
      <c r="Y40" s="406"/>
      <c r="Z40" s="406"/>
      <c r="AA40" s="406"/>
      <c r="AB40" s="406"/>
      <c r="AC40" s="406"/>
      <c r="AD40" s="406"/>
      <c r="AE40" s="406"/>
      <c r="AF40" s="406"/>
      <c r="AG40" s="406"/>
      <c r="AH40" s="406"/>
      <c r="AI40" s="406"/>
      <c r="AJ40" s="406"/>
      <c r="AK40" s="406"/>
      <c r="AL40" s="406"/>
      <c r="AM40" s="406"/>
      <c r="AN40" s="406"/>
      <c r="AO40" s="406"/>
      <c r="AP40" s="406"/>
      <c r="AQ40" s="406"/>
      <c r="AR40" s="406"/>
      <c r="AS40" s="406"/>
      <c r="AT40" s="406"/>
      <c r="AU40" s="406"/>
      <c r="AV40" s="406"/>
      <c r="AW40" s="406"/>
      <c r="AX40" s="406"/>
      <c r="AY40" s="406"/>
      <c r="AZ40" s="406"/>
      <c r="BA40" s="406"/>
      <c r="BB40" s="406"/>
      <c r="BC40" s="406"/>
      <c r="BD40" s="406"/>
      <c r="BE40" s="406"/>
      <c r="BF40" s="406"/>
      <c r="BG40" s="406"/>
      <c r="BH40" s="406"/>
      <c r="BI40" s="406"/>
      <c r="BJ40" s="406"/>
      <c r="BK40" s="406"/>
      <c r="BL40" s="406"/>
      <c r="BM40" s="406"/>
      <c r="BN40" s="406"/>
      <c r="BO40" s="406"/>
    </row>
    <row r="41" spans="1:67">
      <c r="A41" s="519"/>
      <c r="B41" s="519"/>
      <c r="C41" s="1217" t="s">
        <v>469</v>
      </c>
      <c r="D41" s="1218"/>
      <c r="E41" s="640">
        <f>IF(ISERROR(IF(E40=0,0,'Real Losses Component Analysis'!AH90/SUM('Real Losses Component Analysis'!C86:C89))),"",IF(E40=0,0,'Real Losses Component Analysis'!AH90/SUM('Real Losses Component Analysis'!C86:C89)))</f>
        <v>0</v>
      </c>
      <c r="F41" s="640">
        <f>IF(ISERROR(IF(F40=0,0,'Real Losses Component Analysis'!AH149/SUM('Real Losses Component Analysis'!C145:C148))),"",IF(F40=0,0,'Real Losses Component Analysis'!AH149/SUM('Real Losses Component Analysis'!C145:C148)))</f>
        <v>0</v>
      </c>
      <c r="G41" s="420" t="s">
        <v>2</v>
      </c>
      <c r="H41" s="414"/>
      <c r="I41" s="406"/>
      <c r="J41" s="406"/>
      <c r="K41" s="406"/>
      <c r="L41" s="406"/>
      <c r="M41" s="406"/>
      <c r="N41" s="406"/>
      <c r="O41" s="406"/>
      <c r="P41" s="406"/>
      <c r="Q41" s="406"/>
      <c r="R41" s="406"/>
      <c r="S41" s="406"/>
      <c r="T41" s="406"/>
      <c r="U41" s="406"/>
      <c r="V41" s="406"/>
      <c r="W41" s="406"/>
      <c r="X41" s="406"/>
      <c r="Y41" s="406"/>
      <c r="Z41" s="406"/>
      <c r="AA41" s="406"/>
      <c r="AB41" s="406"/>
      <c r="AC41" s="406"/>
      <c r="AD41" s="406"/>
      <c r="AE41" s="406"/>
      <c r="AF41" s="406"/>
      <c r="AG41" s="406"/>
      <c r="AH41" s="406"/>
      <c r="AI41" s="406"/>
      <c r="AJ41" s="406"/>
      <c r="AK41" s="406"/>
      <c r="AL41" s="406"/>
      <c r="AM41" s="406"/>
      <c r="AN41" s="406"/>
      <c r="AO41" s="406"/>
      <c r="AP41" s="406"/>
      <c r="AQ41" s="406"/>
      <c r="AR41" s="406"/>
      <c r="AS41" s="406"/>
      <c r="AT41" s="406"/>
      <c r="AU41" s="406"/>
      <c r="AV41" s="406"/>
      <c r="AW41" s="406"/>
      <c r="AX41" s="406"/>
      <c r="AY41" s="406"/>
      <c r="AZ41" s="406"/>
      <c r="BA41" s="406"/>
      <c r="BB41" s="406"/>
      <c r="BC41" s="406"/>
      <c r="BD41" s="406"/>
      <c r="BE41" s="406"/>
      <c r="BF41" s="406"/>
      <c r="BG41" s="406"/>
      <c r="BH41" s="406"/>
      <c r="BI41" s="406"/>
      <c r="BJ41" s="406"/>
      <c r="BK41" s="406"/>
      <c r="BL41" s="406"/>
      <c r="BM41" s="406"/>
      <c r="BN41" s="406"/>
      <c r="BO41" s="406"/>
    </row>
    <row r="42" spans="1:67">
      <c r="A42" s="519"/>
      <c r="B42" s="519"/>
      <c r="C42" s="1217" t="s">
        <v>470</v>
      </c>
      <c r="D42" s="1218"/>
      <c r="E42" s="640">
        <f>IF(ISERROR('Real Losses Component Analysis'!AJ90),"",'Real Losses Component Analysis'!AJ90)</f>
        <v>0</v>
      </c>
      <c r="F42" s="640">
        <f>IF(ISERROR('Real Losses Component Analysis'!AJ149),"",'Real Losses Component Analysis'!AJ149)</f>
        <v>0</v>
      </c>
      <c r="G42" s="420" t="str">
        <f>'Real Losses Component Analysis'!$N$57</f>
        <v>(MG)</v>
      </c>
      <c r="H42" s="414"/>
      <c r="I42" s="406"/>
      <c r="J42" s="406"/>
      <c r="K42" s="406"/>
      <c r="L42" s="406"/>
      <c r="M42" s="406"/>
      <c r="N42" s="406"/>
      <c r="O42" s="406"/>
      <c r="P42" s="406"/>
      <c r="Q42" s="406"/>
      <c r="R42" s="406"/>
      <c r="S42" s="406"/>
      <c r="T42" s="406"/>
      <c r="U42" s="406"/>
      <c r="V42" s="406"/>
      <c r="W42" s="406"/>
      <c r="X42" s="406"/>
      <c r="Y42" s="406"/>
      <c r="Z42" s="406"/>
      <c r="AA42" s="406"/>
      <c r="AB42" s="406"/>
      <c r="AC42" s="406"/>
      <c r="AD42" s="406"/>
      <c r="AE42" s="406"/>
      <c r="AF42" s="406"/>
      <c r="AG42" s="406"/>
      <c r="AH42" s="406"/>
      <c r="AI42" s="406"/>
      <c r="AJ42" s="406"/>
      <c r="AK42" s="406"/>
      <c r="AL42" s="406"/>
      <c r="AM42" s="406"/>
      <c r="AN42" s="406"/>
      <c r="AO42" s="406"/>
      <c r="AP42" s="406"/>
      <c r="AQ42" s="406"/>
      <c r="AR42" s="406"/>
      <c r="AS42" s="406"/>
      <c r="AT42" s="406"/>
      <c r="AU42" s="406"/>
      <c r="AV42" s="406"/>
      <c r="AW42" s="406"/>
      <c r="AX42" s="406"/>
      <c r="AY42" s="406"/>
      <c r="AZ42" s="406"/>
      <c r="BA42" s="406"/>
      <c r="BB42" s="406"/>
      <c r="BC42" s="406"/>
      <c r="BD42" s="406"/>
      <c r="BE42" s="406"/>
      <c r="BF42" s="406"/>
      <c r="BG42" s="406"/>
      <c r="BH42" s="406"/>
      <c r="BI42" s="406"/>
      <c r="BJ42" s="406"/>
      <c r="BK42" s="406"/>
      <c r="BL42" s="406"/>
      <c r="BM42" s="406"/>
      <c r="BN42" s="406"/>
      <c r="BO42" s="406"/>
    </row>
    <row r="43" spans="1:67">
      <c r="A43" s="519"/>
      <c r="B43" s="519"/>
      <c r="C43" s="1217" t="s">
        <v>471</v>
      </c>
      <c r="D43" s="1218"/>
      <c r="E43" s="421">
        <f>IF(ISERROR(('AWWA-Water Balance Data Transf.'!$D$47*'A-L-R Times Options'!E42)),"",('AWWA-Water Balance Data Transf.'!$D$47*'A-L-R Times Options'!E42))</f>
        <v>0</v>
      </c>
      <c r="F43" s="421">
        <f>IF(ISERROR(('AWWA-Water Balance Data Transf.'!$D$47*'A-L-R Times Options'!F42)),"",('AWWA-Water Balance Data Transf.'!$D$47*'A-L-R Times Options'!F42))</f>
        <v>0</v>
      </c>
      <c r="G43" s="420"/>
      <c r="H43" s="414"/>
      <c r="I43" s="406"/>
      <c r="J43" s="406"/>
      <c r="K43" s="406"/>
      <c r="L43" s="406"/>
      <c r="M43" s="406"/>
      <c r="N43" s="406"/>
      <c r="O43" s="406"/>
      <c r="P43" s="406"/>
      <c r="Q43" s="406"/>
      <c r="R43" s="406"/>
      <c r="S43" s="406"/>
      <c r="T43" s="406"/>
      <c r="U43" s="406"/>
      <c r="V43" s="406"/>
      <c r="W43" s="406"/>
      <c r="X43" s="406"/>
      <c r="Y43" s="406"/>
      <c r="Z43" s="406"/>
      <c r="AA43" s="406"/>
      <c r="AB43" s="406"/>
      <c r="AC43" s="406"/>
      <c r="AD43" s="406"/>
      <c r="AE43" s="406"/>
      <c r="AF43" s="406"/>
      <c r="AG43" s="406"/>
      <c r="AH43" s="406"/>
      <c r="AI43" s="406"/>
      <c r="AJ43" s="406"/>
      <c r="AK43" s="406"/>
      <c r="AL43" s="406"/>
      <c r="AM43" s="406"/>
      <c r="AN43" s="406"/>
      <c r="AO43" s="406"/>
      <c r="AP43" s="406"/>
      <c r="AQ43" s="406"/>
      <c r="AR43" s="406"/>
      <c r="AS43" s="406"/>
      <c r="AT43" s="406"/>
      <c r="AU43" s="406"/>
      <c r="AV43" s="406"/>
      <c r="AW43" s="406"/>
      <c r="AX43" s="406"/>
      <c r="AY43" s="406"/>
      <c r="AZ43" s="406"/>
      <c r="BA43" s="406"/>
      <c r="BB43" s="406"/>
      <c r="BC43" s="406"/>
      <c r="BD43" s="406"/>
      <c r="BE43" s="406"/>
      <c r="BF43" s="406"/>
      <c r="BG43" s="406"/>
      <c r="BH43" s="406"/>
      <c r="BI43" s="406"/>
      <c r="BJ43" s="406"/>
      <c r="BK43" s="406"/>
      <c r="BL43" s="406"/>
      <c r="BM43" s="406"/>
      <c r="BN43" s="406"/>
      <c r="BO43" s="406"/>
    </row>
    <row r="44" spans="1:67">
      <c r="A44" s="519"/>
      <c r="B44" s="519"/>
      <c r="C44" s="1219"/>
      <c r="D44" s="1225"/>
      <c r="E44" s="413"/>
      <c r="F44" s="413"/>
      <c r="G44" s="413"/>
      <c r="H44" s="414"/>
      <c r="I44" s="406"/>
      <c r="J44" s="406"/>
      <c r="K44" s="406"/>
      <c r="L44" s="406"/>
      <c r="M44" s="406"/>
      <c r="N44" s="406"/>
      <c r="O44" s="406"/>
      <c r="P44" s="406"/>
      <c r="Q44" s="406"/>
      <c r="R44" s="406"/>
      <c r="S44" s="406"/>
      <c r="T44" s="406"/>
      <c r="U44" s="406"/>
      <c r="V44" s="406"/>
      <c r="W44" s="406"/>
      <c r="X44" s="406"/>
      <c r="Y44" s="406"/>
      <c r="Z44" s="406"/>
      <c r="AA44" s="406"/>
      <c r="AB44" s="406"/>
      <c r="AC44" s="406"/>
      <c r="AD44" s="406"/>
      <c r="AE44" s="406"/>
      <c r="AF44" s="406"/>
      <c r="AG44" s="406"/>
      <c r="AH44" s="406"/>
      <c r="AI44" s="406"/>
      <c r="AJ44" s="406"/>
      <c r="AK44" s="406"/>
      <c r="AL44" s="406"/>
      <c r="AM44" s="406"/>
      <c r="AN44" s="406"/>
      <c r="AO44" s="406"/>
      <c r="AP44" s="406"/>
      <c r="AQ44" s="406"/>
      <c r="AR44" s="406"/>
      <c r="AS44" s="406"/>
      <c r="AT44" s="406"/>
      <c r="AU44" s="406"/>
      <c r="AV44" s="406"/>
      <c r="AW44" s="406"/>
      <c r="AX44" s="406"/>
      <c r="AY44" s="406"/>
      <c r="AZ44" s="406"/>
      <c r="BA44" s="406"/>
      <c r="BB44" s="406"/>
      <c r="BC44" s="406"/>
      <c r="BD44" s="406"/>
      <c r="BE44" s="406"/>
      <c r="BF44" s="406"/>
      <c r="BG44" s="406"/>
      <c r="BH44" s="406"/>
      <c r="BI44" s="406"/>
      <c r="BJ44" s="406"/>
      <c r="BK44" s="406"/>
      <c r="BL44" s="406"/>
      <c r="BM44" s="406"/>
      <c r="BN44" s="406"/>
      <c r="BO44" s="406"/>
    </row>
    <row r="45" spans="1:67">
      <c r="A45" s="519"/>
      <c r="B45" s="519"/>
      <c r="C45" s="1221" t="s">
        <v>694</v>
      </c>
      <c r="D45" s="1222"/>
      <c r="E45" s="688"/>
      <c r="F45" s="688"/>
      <c r="G45" s="871" t="s">
        <v>2</v>
      </c>
      <c r="H45" s="414"/>
      <c r="I45" s="406"/>
      <c r="J45" s="406"/>
      <c r="K45" s="406"/>
      <c r="L45" s="406"/>
      <c r="M45" s="406"/>
      <c r="N45" s="406"/>
      <c r="O45" s="406"/>
      <c r="P45" s="406"/>
      <c r="Q45" s="406"/>
      <c r="R45" s="406"/>
      <c r="S45" s="406"/>
      <c r="T45" s="406"/>
      <c r="U45" s="406"/>
      <c r="V45" s="406"/>
      <c r="W45" s="406"/>
      <c r="X45" s="406"/>
      <c r="Y45" s="406"/>
      <c r="Z45" s="406"/>
      <c r="AA45" s="406"/>
      <c r="AB45" s="406"/>
      <c r="AC45" s="406"/>
      <c r="AD45" s="406"/>
      <c r="AE45" s="406"/>
      <c r="AF45" s="406"/>
      <c r="AG45" s="406"/>
      <c r="AH45" s="406"/>
      <c r="AI45" s="406"/>
      <c r="AJ45" s="406"/>
      <c r="AK45" s="406"/>
      <c r="AL45" s="406"/>
      <c r="AM45" s="406"/>
      <c r="AN45" s="406"/>
      <c r="AO45" s="406"/>
      <c r="AP45" s="406"/>
      <c r="AQ45" s="406"/>
      <c r="AR45" s="406"/>
      <c r="AS45" s="406"/>
      <c r="AT45" s="406"/>
      <c r="AU45" s="406"/>
      <c r="AV45" s="406"/>
      <c r="AW45" s="406"/>
      <c r="AX45" s="406"/>
      <c r="AY45" s="406"/>
      <c r="AZ45" s="406"/>
      <c r="BA45" s="406"/>
      <c r="BB45" s="406"/>
      <c r="BC45" s="406"/>
      <c r="BD45" s="406"/>
      <c r="BE45" s="406"/>
      <c r="BF45" s="406"/>
      <c r="BG45" s="406"/>
      <c r="BH45" s="406"/>
      <c r="BI45" s="406"/>
      <c r="BJ45" s="406"/>
      <c r="BK45" s="406"/>
      <c r="BL45" s="406"/>
      <c r="BM45" s="406"/>
      <c r="BN45" s="406"/>
      <c r="BO45" s="406"/>
    </row>
    <row r="46" spans="1:67">
      <c r="A46" s="519"/>
      <c r="B46" s="519"/>
      <c r="C46" s="1217" t="s">
        <v>693</v>
      </c>
      <c r="D46" s="1218"/>
      <c r="E46" s="687">
        <f>IF(E45="",0,IF(ISERROR((E41-E45)/E41),0,(E41-E45)/E41))</f>
        <v>0</v>
      </c>
      <c r="F46" s="687">
        <f>IF(F45="",0,IF(ISERROR((F41-F45)/F41),0,(F41-F45)/F41))</f>
        <v>0</v>
      </c>
      <c r="G46" s="420"/>
      <c r="H46" s="414"/>
      <c r="I46" s="406"/>
      <c r="J46" s="406"/>
      <c r="K46" s="406"/>
      <c r="L46" s="406"/>
      <c r="M46" s="406"/>
      <c r="N46" s="406"/>
      <c r="O46" s="406"/>
      <c r="P46" s="406"/>
      <c r="Q46" s="406"/>
      <c r="R46" s="406"/>
      <c r="S46" s="406"/>
      <c r="T46" s="406"/>
      <c r="U46" s="406"/>
      <c r="V46" s="406"/>
      <c r="W46" s="406"/>
      <c r="X46" s="406"/>
      <c r="Y46" s="406"/>
      <c r="Z46" s="406"/>
      <c r="AA46" s="406"/>
      <c r="AB46" s="406"/>
      <c r="AC46" s="406"/>
      <c r="AD46" s="406"/>
      <c r="AE46" s="406"/>
      <c r="AF46" s="406"/>
      <c r="AG46" s="406"/>
      <c r="AH46" s="406"/>
      <c r="AI46" s="406"/>
      <c r="AJ46" s="406"/>
      <c r="AK46" s="406"/>
      <c r="AL46" s="406"/>
      <c r="AM46" s="406"/>
      <c r="AN46" s="406"/>
      <c r="AO46" s="406"/>
      <c r="AP46" s="406"/>
      <c r="AQ46" s="406"/>
      <c r="AR46" s="406"/>
      <c r="AS46" s="406"/>
      <c r="AT46" s="406"/>
      <c r="AU46" s="406"/>
      <c r="AV46" s="406"/>
      <c r="AW46" s="406"/>
      <c r="AX46" s="406"/>
      <c r="AY46" s="406"/>
      <c r="AZ46" s="406"/>
      <c r="BA46" s="406"/>
      <c r="BB46" s="406"/>
      <c r="BC46" s="406"/>
      <c r="BD46" s="406"/>
      <c r="BE46" s="406"/>
      <c r="BF46" s="406"/>
      <c r="BG46" s="406"/>
      <c r="BH46" s="406"/>
      <c r="BI46" s="406"/>
      <c r="BJ46" s="406"/>
      <c r="BK46" s="406"/>
      <c r="BL46" s="406"/>
      <c r="BM46" s="406"/>
      <c r="BN46" s="406"/>
      <c r="BO46" s="406"/>
    </row>
    <row r="47" spans="1:67">
      <c r="A47" s="519"/>
      <c r="B47" s="519"/>
      <c r="C47" s="1219" t="s">
        <v>476</v>
      </c>
      <c r="D47" s="1220"/>
      <c r="E47" s="695">
        <f>IF(ISERROR(E42-((1-E46)*E42)),"",E42-((1-E46)*E42))</f>
        <v>0</v>
      </c>
      <c r="F47" s="695">
        <f>IF(ISERROR(F42-((1-F46)*F42)),"",F42-((1-F46)*F42))</f>
        <v>0</v>
      </c>
      <c r="G47" s="696" t="str">
        <f>'Real Losses Component Analysis'!$N$57</f>
        <v>(MG)</v>
      </c>
      <c r="H47" s="414"/>
      <c r="I47" s="406"/>
      <c r="J47" s="406"/>
      <c r="K47" s="406"/>
      <c r="L47" s="406"/>
      <c r="M47" s="406"/>
      <c r="N47" s="406"/>
      <c r="O47" s="406"/>
      <c r="P47" s="406"/>
      <c r="Q47" s="406"/>
      <c r="R47" s="406"/>
      <c r="S47" s="406"/>
      <c r="T47" s="406"/>
      <c r="U47" s="406"/>
      <c r="V47" s="406"/>
      <c r="W47" s="406"/>
      <c r="X47" s="406"/>
      <c r="Y47" s="406"/>
      <c r="Z47" s="406"/>
      <c r="AA47" s="406"/>
      <c r="AB47" s="406"/>
      <c r="AC47" s="406"/>
      <c r="AD47" s="406"/>
      <c r="AE47" s="406"/>
      <c r="AF47" s="406"/>
      <c r="AG47" s="406"/>
      <c r="AH47" s="406"/>
      <c r="AI47" s="406"/>
      <c r="AJ47" s="406"/>
      <c r="AK47" s="406"/>
      <c r="AL47" s="406"/>
      <c r="AM47" s="406"/>
      <c r="AN47" s="406"/>
      <c r="AO47" s="406"/>
      <c r="AP47" s="406"/>
      <c r="AQ47" s="406"/>
      <c r="AR47" s="406"/>
      <c r="AS47" s="406"/>
      <c r="AT47" s="406"/>
      <c r="AU47" s="406"/>
      <c r="AV47" s="406"/>
      <c r="AW47" s="406"/>
      <c r="AX47" s="406"/>
      <c r="AY47" s="406"/>
      <c r="AZ47" s="406"/>
      <c r="BA47" s="406"/>
      <c r="BB47" s="406"/>
      <c r="BC47" s="406"/>
      <c r="BD47" s="406"/>
      <c r="BE47" s="406"/>
      <c r="BF47" s="406"/>
      <c r="BG47" s="406"/>
      <c r="BH47" s="406"/>
      <c r="BI47" s="406"/>
      <c r="BJ47" s="406"/>
      <c r="BK47" s="406"/>
      <c r="BL47" s="406"/>
      <c r="BM47" s="406"/>
      <c r="BN47" s="406"/>
      <c r="BO47" s="406"/>
    </row>
    <row r="48" spans="1:67" ht="16" thickBot="1">
      <c r="A48" s="519"/>
      <c r="B48" s="519"/>
      <c r="C48" s="1236" t="s">
        <v>477</v>
      </c>
      <c r="D48" s="1237"/>
      <c r="E48" s="422">
        <f>IF(ISERROR(E43-((1-E46)*E43)),"",E43-((1-E46)*E43))</f>
        <v>0</v>
      </c>
      <c r="F48" s="422">
        <f>IF(ISERROR(F43-((1-F46)*F43)),"",F43-((1-F46)*F43))</f>
        <v>0</v>
      </c>
      <c r="G48" s="873"/>
      <c r="H48" s="411"/>
      <c r="I48" s="406"/>
      <c r="J48" s="406"/>
      <c r="K48" s="406"/>
      <c r="L48" s="406"/>
      <c r="M48" s="406"/>
      <c r="N48" s="406"/>
      <c r="O48" s="406"/>
      <c r="P48" s="406"/>
      <c r="Q48" s="406"/>
      <c r="R48" s="406"/>
      <c r="S48" s="406"/>
      <c r="T48" s="406"/>
      <c r="U48" s="406"/>
      <c r="V48" s="406"/>
      <c r="W48" s="406"/>
      <c r="X48" s="406"/>
      <c r="Y48" s="406"/>
      <c r="Z48" s="406"/>
      <c r="AA48" s="406"/>
      <c r="AB48" s="406"/>
      <c r="AC48" s="406"/>
      <c r="AD48" s="406"/>
      <c r="AE48" s="406"/>
      <c r="AF48" s="406"/>
      <c r="AG48" s="406"/>
      <c r="AH48" s="406"/>
      <c r="AI48" s="406"/>
      <c r="AJ48" s="406"/>
      <c r="AK48" s="406"/>
      <c r="AL48" s="406"/>
      <c r="AM48" s="406"/>
      <c r="AN48" s="406"/>
      <c r="AO48" s="406"/>
      <c r="AP48" s="406"/>
      <c r="AQ48" s="406"/>
      <c r="AR48" s="406"/>
      <c r="AS48" s="406"/>
      <c r="AT48" s="406"/>
      <c r="AU48" s="406"/>
      <c r="AV48" s="406"/>
      <c r="AW48" s="406"/>
      <c r="AX48" s="406"/>
      <c r="AY48" s="406"/>
      <c r="AZ48" s="406"/>
      <c r="BA48" s="406"/>
      <c r="BB48" s="406"/>
      <c r="BC48" s="406"/>
      <c r="BD48" s="406"/>
      <c r="BE48" s="406"/>
      <c r="BF48" s="406"/>
      <c r="BG48" s="406"/>
      <c r="BH48" s="406"/>
      <c r="BI48" s="406"/>
      <c r="BJ48" s="406"/>
      <c r="BK48" s="406"/>
      <c r="BL48" s="406"/>
      <c r="BM48" s="406"/>
      <c r="BN48" s="406"/>
      <c r="BO48" s="406"/>
    </row>
    <row r="49" spans="1:67" ht="16" thickBot="1">
      <c r="A49" s="519"/>
      <c r="B49" s="519"/>
      <c r="C49" s="1234"/>
      <c r="D49" s="1235"/>
      <c r="E49" s="872"/>
      <c r="F49" s="872"/>
      <c r="G49" s="872"/>
      <c r="H49" s="411"/>
      <c r="I49" s="406"/>
      <c r="J49" s="406"/>
      <c r="K49" s="406"/>
      <c r="L49" s="406"/>
      <c r="M49" s="406"/>
      <c r="N49" s="406"/>
      <c r="O49" s="406"/>
      <c r="P49" s="406"/>
      <c r="Q49" s="406"/>
      <c r="R49" s="406"/>
      <c r="S49" s="406"/>
      <c r="T49" s="406"/>
      <c r="U49" s="406"/>
      <c r="V49" s="406"/>
      <c r="W49" s="406"/>
      <c r="X49" s="406"/>
      <c r="Y49" s="406"/>
      <c r="Z49" s="406"/>
      <c r="AA49" s="406"/>
      <c r="AB49" s="406"/>
      <c r="AC49" s="406"/>
      <c r="AD49" s="406"/>
      <c r="AE49" s="406"/>
      <c r="AF49" s="406"/>
      <c r="AG49" s="406"/>
      <c r="AH49" s="406"/>
      <c r="AI49" s="406"/>
      <c r="AJ49" s="406"/>
      <c r="AK49" s="406"/>
      <c r="AL49" s="406"/>
      <c r="AM49" s="406"/>
      <c r="AN49" s="406"/>
      <c r="AO49" s="406"/>
      <c r="AP49" s="406"/>
      <c r="AQ49" s="406"/>
      <c r="AR49" s="406"/>
      <c r="AS49" s="406"/>
      <c r="AT49" s="406"/>
      <c r="AU49" s="406"/>
      <c r="AV49" s="406"/>
      <c r="AW49" s="406"/>
      <c r="AX49" s="406"/>
      <c r="AY49" s="406"/>
      <c r="AZ49" s="406"/>
      <c r="BA49" s="406"/>
      <c r="BB49" s="406"/>
      <c r="BC49" s="406"/>
      <c r="BD49" s="406"/>
      <c r="BE49" s="406"/>
      <c r="BF49" s="406"/>
      <c r="BG49" s="406"/>
      <c r="BH49" s="406"/>
      <c r="BI49" s="406"/>
      <c r="BJ49" s="406"/>
      <c r="BK49" s="406"/>
      <c r="BL49" s="406"/>
      <c r="BM49" s="406"/>
      <c r="BN49" s="406"/>
      <c r="BO49" s="406"/>
    </row>
    <row r="50" spans="1:67" ht="30" customHeight="1" thickBot="1">
      <c r="A50" s="519"/>
      <c r="B50" s="519"/>
      <c r="C50" s="1232" t="s">
        <v>478</v>
      </c>
      <c r="D50" s="1233"/>
      <c r="E50" s="699">
        <f>IF(ISERROR(E47+E36+E25),"",E47+E36+E25)</f>
        <v>0</v>
      </c>
      <c r="F50" s="697">
        <f>IF(ISERROR(F47+F36+F25),"",F47+F36+F25)</f>
        <v>0</v>
      </c>
      <c r="G50" s="423" t="str">
        <f>'Real Losses Component Analysis'!$N$57</f>
        <v>(MG)</v>
      </c>
      <c r="H50" s="424"/>
      <c r="I50" s="406"/>
      <c r="J50" s="406"/>
      <c r="K50" s="406"/>
      <c r="L50" s="406"/>
      <c r="M50" s="406"/>
      <c r="N50" s="406"/>
      <c r="O50" s="406"/>
      <c r="P50" s="406"/>
      <c r="Q50" s="406"/>
      <c r="R50" s="406"/>
      <c r="S50" s="406"/>
      <c r="T50" s="406"/>
      <c r="U50" s="406"/>
      <c r="V50" s="406"/>
      <c r="W50" s="406"/>
      <c r="X50" s="406"/>
      <c r="Y50" s="406"/>
      <c r="Z50" s="406"/>
      <c r="AA50" s="406"/>
      <c r="AB50" s="406"/>
      <c r="AC50" s="406"/>
      <c r="AD50" s="406"/>
      <c r="AE50" s="406"/>
      <c r="AF50" s="406"/>
      <c r="AG50" s="406"/>
      <c r="AH50" s="406"/>
      <c r="AI50" s="406"/>
      <c r="AJ50" s="406"/>
      <c r="AK50" s="406"/>
      <c r="AL50" s="406"/>
      <c r="AM50" s="406"/>
      <c r="AN50" s="406"/>
      <c r="AO50" s="406"/>
      <c r="AP50" s="406"/>
      <c r="AQ50" s="406"/>
      <c r="AR50" s="406"/>
      <c r="AS50" s="406"/>
      <c r="AT50" s="406"/>
      <c r="AU50" s="406"/>
      <c r="AV50" s="406"/>
      <c r="AW50" s="406"/>
      <c r="AX50" s="406"/>
      <c r="AY50" s="406"/>
      <c r="AZ50" s="406"/>
      <c r="BA50" s="406"/>
      <c r="BB50" s="406"/>
      <c r="BC50" s="406"/>
      <c r="BD50" s="406"/>
      <c r="BE50" s="406"/>
      <c r="BF50" s="406"/>
      <c r="BG50" s="406"/>
      <c r="BH50" s="406"/>
      <c r="BI50" s="406"/>
      <c r="BJ50" s="406"/>
      <c r="BK50" s="406"/>
      <c r="BL50" s="406"/>
      <c r="BM50" s="406"/>
      <c r="BN50" s="406"/>
      <c r="BO50" s="406"/>
    </row>
    <row r="51" spans="1:67" ht="31.5" customHeight="1" thickBot="1">
      <c r="A51" s="519"/>
      <c r="B51" s="519"/>
      <c r="C51" s="1232" t="s">
        <v>712</v>
      </c>
      <c r="D51" s="1233"/>
      <c r="E51" s="700">
        <f>IF(ISERROR(E48+E37+E26),"",E48+E37+E26)</f>
        <v>0</v>
      </c>
      <c r="F51" s="698">
        <f>IF(ISERROR(F48+F37+F26),"",F48+F37+F26)</f>
        <v>0</v>
      </c>
      <c r="G51" s="423" t="s">
        <v>714</v>
      </c>
      <c r="H51" s="425"/>
      <c r="I51" s="406"/>
      <c r="J51" s="406"/>
      <c r="K51" s="406"/>
      <c r="L51" s="406"/>
      <c r="M51" s="406"/>
      <c r="N51" s="406"/>
      <c r="O51" s="406"/>
      <c r="P51" s="406"/>
      <c r="Q51" s="406"/>
      <c r="R51" s="406"/>
      <c r="S51" s="406"/>
      <c r="T51" s="406"/>
      <c r="U51" s="406"/>
      <c r="V51" s="406"/>
      <c r="W51" s="406"/>
      <c r="X51" s="406"/>
      <c r="Y51" s="406"/>
      <c r="Z51" s="406"/>
      <c r="AA51" s="406"/>
      <c r="AB51" s="406"/>
      <c r="AC51" s="406"/>
      <c r="AD51" s="406"/>
      <c r="AE51" s="406"/>
      <c r="AF51" s="406"/>
      <c r="AG51" s="406"/>
      <c r="AH51" s="406"/>
      <c r="AI51" s="406"/>
      <c r="AJ51" s="406"/>
      <c r="AK51" s="406"/>
      <c r="AL51" s="406"/>
      <c r="AM51" s="406"/>
      <c r="AN51" s="406"/>
      <c r="AO51" s="406"/>
      <c r="AP51" s="406"/>
      <c r="AQ51" s="406"/>
      <c r="AR51" s="406"/>
      <c r="AS51" s="406"/>
      <c r="AT51" s="406"/>
      <c r="AU51" s="406"/>
      <c r="AV51" s="406"/>
      <c r="AW51" s="406"/>
      <c r="AX51" s="406"/>
      <c r="AY51" s="406"/>
      <c r="AZ51" s="406"/>
      <c r="BA51" s="406"/>
      <c r="BB51" s="406"/>
      <c r="BC51" s="406"/>
      <c r="BD51" s="406"/>
      <c r="BE51" s="406"/>
      <c r="BF51" s="406"/>
      <c r="BG51" s="406"/>
      <c r="BH51" s="406"/>
      <c r="BI51" s="406"/>
      <c r="BJ51" s="406"/>
      <c r="BK51" s="406"/>
      <c r="BL51" s="406"/>
      <c r="BM51" s="406"/>
      <c r="BN51" s="406"/>
      <c r="BO51" s="406"/>
    </row>
    <row r="52" spans="1:67" s="396" customFormat="1" ht="39.75" customHeight="1" thickBot="1">
      <c r="A52" s="882"/>
      <c r="B52" s="1005" t="str">
        <f>IF('Start Page'!$H$29="","",'Start Page'!$H$29)</f>
        <v/>
      </c>
      <c r="C52" s="1006"/>
      <c r="D52" s="764"/>
      <c r="E52" s="764"/>
      <c r="F52" s="764"/>
      <c r="G52" s="764"/>
      <c r="H52" s="727" t="s">
        <v>922</v>
      </c>
      <c r="I52" s="406"/>
      <c r="J52" s="406"/>
      <c r="K52" s="406"/>
      <c r="L52" s="406"/>
      <c r="M52" s="406"/>
      <c r="N52" s="406"/>
      <c r="O52" s="406"/>
      <c r="P52" s="406"/>
      <c r="Q52" s="406"/>
      <c r="R52" s="406"/>
      <c r="S52" s="406"/>
      <c r="T52" s="406"/>
      <c r="U52" s="406"/>
      <c r="V52" s="406"/>
      <c r="W52" s="406"/>
      <c r="X52" s="406"/>
      <c r="Y52" s="406"/>
      <c r="Z52" s="406"/>
      <c r="AA52" s="406"/>
      <c r="AB52" s="406"/>
      <c r="AC52" s="406"/>
      <c r="AD52" s="406"/>
      <c r="AE52" s="406"/>
      <c r="AF52" s="406"/>
      <c r="AG52" s="406"/>
      <c r="AH52" s="406"/>
      <c r="AI52" s="406"/>
      <c r="AJ52" s="406"/>
      <c r="AK52" s="406"/>
      <c r="AL52" s="406"/>
      <c r="AM52" s="406"/>
      <c r="AN52" s="406"/>
      <c r="AO52" s="406"/>
      <c r="AP52" s="406"/>
      <c r="AQ52" s="406"/>
      <c r="AR52" s="406"/>
      <c r="AS52" s="406"/>
      <c r="AT52" s="406"/>
      <c r="AU52" s="406"/>
      <c r="AV52" s="406"/>
      <c r="AW52" s="406"/>
      <c r="AX52" s="406"/>
      <c r="AY52" s="406"/>
      <c r="AZ52" s="406"/>
      <c r="BA52" s="406"/>
      <c r="BB52" s="406"/>
      <c r="BC52" s="406"/>
      <c r="BD52" s="406"/>
      <c r="BE52" s="406"/>
      <c r="BF52" s="406"/>
      <c r="BG52" s="406"/>
      <c r="BH52" s="406"/>
      <c r="BI52" s="406"/>
      <c r="BJ52" s="406"/>
      <c r="BK52" s="406"/>
      <c r="BL52" s="406"/>
      <c r="BM52" s="406"/>
      <c r="BN52" s="406"/>
      <c r="BO52" s="406"/>
    </row>
    <row r="53" spans="1:67" s="396" customFormat="1" hidden="1">
      <c r="B53" s="748"/>
      <c r="C53" s="406"/>
      <c r="D53" s="406"/>
      <c r="E53" s="406"/>
      <c r="F53" s="406"/>
      <c r="G53" s="406"/>
      <c r="H53" s="883"/>
      <c r="I53" s="406"/>
      <c r="J53" s="406"/>
      <c r="K53" s="406"/>
      <c r="L53" s="406"/>
      <c r="M53" s="406"/>
      <c r="N53" s="406"/>
      <c r="O53" s="406"/>
      <c r="P53" s="406"/>
      <c r="Q53" s="406"/>
      <c r="R53" s="406"/>
      <c r="S53" s="406"/>
      <c r="T53" s="406"/>
      <c r="U53" s="406"/>
      <c r="V53" s="406"/>
      <c r="W53" s="406"/>
      <c r="X53" s="406"/>
      <c r="Y53" s="406"/>
      <c r="Z53" s="406"/>
      <c r="AA53" s="406"/>
      <c r="AB53" s="406"/>
      <c r="AC53" s="406"/>
      <c r="AD53" s="406"/>
      <c r="AE53" s="406"/>
      <c r="AF53" s="406"/>
      <c r="AG53" s="406"/>
      <c r="AH53" s="406"/>
      <c r="AI53" s="406"/>
      <c r="AJ53" s="406"/>
      <c r="AK53" s="406"/>
      <c r="AL53" s="406"/>
      <c r="AM53" s="406"/>
      <c r="AN53" s="406"/>
      <c r="AO53" s="406"/>
      <c r="AP53" s="406"/>
      <c r="AQ53" s="406"/>
      <c r="AR53" s="406"/>
      <c r="AS53" s="406"/>
      <c r="AT53" s="406"/>
      <c r="AU53" s="406"/>
      <c r="AV53" s="406"/>
      <c r="AW53" s="406"/>
      <c r="AX53" s="406"/>
      <c r="AY53" s="406"/>
      <c r="AZ53" s="406"/>
      <c r="BA53" s="406"/>
      <c r="BB53" s="406"/>
      <c r="BC53" s="406"/>
      <c r="BD53" s="406"/>
      <c r="BE53" s="406"/>
      <c r="BF53" s="406"/>
      <c r="BG53" s="406"/>
      <c r="BH53" s="406"/>
      <c r="BI53" s="406"/>
      <c r="BJ53" s="406"/>
      <c r="BK53" s="406"/>
      <c r="BL53" s="406"/>
      <c r="BM53" s="406"/>
      <c r="BN53" s="406"/>
      <c r="BO53" s="406"/>
    </row>
    <row r="54" spans="1:67" s="396" customFormat="1" hidden="1">
      <c r="B54" s="748"/>
      <c r="C54" s="406"/>
      <c r="D54" s="406"/>
      <c r="E54" s="406"/>
      <c r="F54" s="406"/>
      <c r="G54" s="406"/>
      <c r="H54" s="883"/>
      <c r="I54" s="406"/>
      <c r="J54" s="406"/>
      <c r="K54" s="406"/>
      <c r="L54" s="406"/>
      <c r="M54" s="406"/>
      <c r="N54" s="406"/>
      <c r="O54" s="406"/>
      <c r="P54" s="406"/>
      <c r="Q54" s="406"/>
      <c r="R54" s="406"/>
      <c r="S54" s="406"/>
      <c r="T54" s="406"/>
      <c r="U54" s="406"/>
      <c r="V54" s="406"/>
      <c r="W54" s="406"/>
      <c r="X54" s="406"/>
      <c r="Y54" s="406"/>
      <c r="Z54" s="406"/>
      <c r="AA54" s="406"/>
      <c r="AB54" s="406"/>
      <c r="AC54" s="406"/>
      <c r="AD54" s="406"/>
      <c r="AE54" s="406"/>
      <c r="AF54" s="406"/>
      <c r="AG54" s="406"/>
      <c r="AH54" s="406"/>
      <c r="AI54" s="406"/>
      <c r="AJ54" s="406"/>
      <c r="AK54" s="406"/>
      <c r="AL54" s="406"/>
      <c r="AM54" s="406"/>
      <c r="AN54" s="406"/>
      <c r="AO54" s="406"/>
      <c r="AP54" s="406"/>
      <c r="AQ54" s="406"/>
      <c r="AR54" s="406"/>
      <c r="AS54" s="406"/>
      <c r="AT54" s="406"/>
      <c r="AU54" s="406"/>
      <c r="AV54" s="406"/>
      <c r="AW54" s="406"/>
      <c r="AX54" s="406"/>
      <c r="AY54" s="406"/>
      <c r="AZ54" s="406"/>
      <c r="BA54" s="406"/>
      <c r="BB54" s="406"/>
      <c r="BC54" s="406"/>
      <c r="BD54" s="406"/>
      <c r="BE54" s="406"/>
      <c r="BF54" s="406"/>
      <c r="BG54" s="406"/>
      <c r="BH54" s="406"/>
      <c r="BI54" s="406"/>
      <c r="BJ54" s="406"/>
      <c r="BK54" s="406"/>
      <c r="BL54" s="406"/>
      <c r="BM54" s="406"/>
      <c r="BN54" s="406"/>
      <c r="BO54" s="406"/>
    </row>
    <row r="55" spans="1:67" s="396" customFormat="1" hidden="1">
      <c r="B55" s="748"/>
      <c r="C55" s="406"/>
      <c r="D55" s="406"/>
      <c r="E55" s="406"/>
      <c r="F55" s="406"/>
      <c r="G55" s="406"/>
      <c r="H55" s="883"/>
      <c r="I55" s="406"/>
      <c r="J55" s="406"/>
      <c r="K55" s="406"/>
      <c r="L55" s="406"/>
      <c r="M55" s="406"/>
      <c r="N55" s="406"/>
      <c r="O55" s="406"/>
      <c r="P55" s="406"/>
      <c r="Q55" s="406"/>
      <c r="R55" s="406"/>
      <c r="S55" s="406"/>
      <c r="T55" s="406"/>
      <c r="U55" s="406"/>
      <c r="V55" s="406"/>
      <c r="W55" s="406"/>
      <c r="X55" s="406"/>
      <c r="Y55" s="406"/>
      <c r="Z55" s="406"/>
      <c r="AA55" s="406"/>
      <c r="AB55" s="406"/>
      <c r="AC55" s="406"/>
      <c r="AD55" s="406"/>
      <c r="AE55" s="406"/>
      <c r="AF55" s="406"/>
      <c r="AG55" s="406"/>
      <c r="AH55" s="406"/>
      <c r="AI55" s="406"/>
      <c r="AJ55" s="406"/>
      <c r="AK55" s="406"/>
      <c r="AL55" s="406"/>
      <c r="AM55" s="406"/>
      <c r="AN55" s="406"/>
      <c r="AO55" s="406"/>
      <c r="AP55" s="406"/>
      <c r="AQ55" s="406"/>
      <c r="AR55" s="406"/>
      <c r="AS55" s="406"/>
      <c r="AT55" s="406"/>
      <c r="AU55" s="406"/>
      <c r="AV55" s="406"/>
      <c r="AW55" s="406"/>
      <c r="AX55" s="406"/>
      <c r="AY55" s="406"/>
      <c r="AZ55" s="406"/>
      <c r="BA55" s="406"/>
      <c r="BB55" s="406"/>
      <c r="BC55" s="406"/>
      <c r="BD55" s="406"/>
      <c r="BE55" s="406"/>
      <c r="BF55" s="406"/>
      <c r="BG55" s="406"/>
      <c r="BH55" s="406"/>
      <c r="BI55" s="406"/>
      <c r="BJ55" s="406"/>
      <c r="BK55" s="406"/>
      <c r="BL55" s="406"/>
      <c r="BM55" s="406"/>
      <c r="BN55" s="406"/>
      <c r="BO55" s="406"/>
    </row>
    <row r="56" spans="1:67" s="396" customFormat="1" hidden="1">
      <c r="B56" s="748"/>
      <c r="C56" s="406"/>
      <c r="D56" s="406"/>
      <c r="E56" s="406"/>
      <c r="F56" s="406"/>
      <c r="G56" s="406"/>
      <c r="H56" s="883"/>
      <c r="I56" s="406"/>
      <c r="J56" s="406"/>
      <c r="K56" s="406"/>
      <c r="L56" s="406"/>
      <c r="M56" s="406"/>
      <c r="N56" s="406"/>
      <c r="O56" s="406"/>
      <c r="P56" s="406"/>
      <c r="Q56" s="406"/>
      <c r="R56" s="406"/>
      <c r="S56" s="406"/>
      <c r="T56" s="406"/>
      <c r="U56" s="406"/>
      <c r="V56" s="406"/>
      <c r="W56" s="406"/>
      <c r="X56" s="406"/>
      <c r="Y56" s="406"/>
      <c r="Z56" s="406"/>
      <c r="AA56" s="406"/>
      <c r="AB56" s="406"/>
      <c r="AC56" s="406"/>
      <c r="AD56" s="406"/>
      <c r="AE56" s="406"/>
      <c r="AF56" s="406"/>
      <c r="AG56" s="406"/>
      <c r="AH56" s="406"/>
      <c r="AI56" s="406"/>
      <c r="AJ56" s="406"/>
      <c r="AK56" s="406"/>
      <c r="AL56" s="406"/>
      <c r="AM56" s="406"/>
      <c r="AN56" s="406"/>
      <c r="AO56" s="406"/>
      <c r="AP56" s="406"/>
      <c r="AQ56" s="406"/>
      <c r="AR56" s="406"/>
      <c r="AS56" s="406"/>
      <c r="AT56" s="406"/>
      <c r="AU56" s="406"/>
      <c r="AV56" s="406"/>
      <c r="AW56" s="406"/>
      <c r="AX56" s="406"/>
      <c r="AY56" s="406"/>
      <c r="AZ56" s="406"/>
      <c r="BA56" s="406"/>
      <c r="BB56" s="406"/>
      <c r="BC56" s="406"/>
      <c r="BD56" s="406"/>
      <c r="BE56" s="406"/>
      <c r="BF56" s="406"/>
      <c r="BG56" s="406"/>
      <c r="BH56" s="406"/>
      <c r="BI56" s="406"/>
      <c r="BJ56" s="406"/>
      <c r="BK56" s="406"/>
      <c r="BL56" s="406"/>
      <c r="BM56" s="406"/>
      <c r="BN56" s="406"/>
      <c r="BO56" s="406"/>
    </row>
    <row r="57" spans="1:67" s="396" customFormat="1" hidden="1">
      <c r="B57" s="748"/>
      <c r="C57" s="406"/>
      <c r="D57" s="406"/>
      <c r="E57" s="406"/>
      <c r="F57" s="406"/>
      <c r="G57" s="406"/>
      <c r="H57" s="883"/>
      <c r="I57" s="406"/>
      <c r="J57" s="406"/>
      <c r="K57" s="406"/>
      <c r="L57" s="406"/>
      <c r="M57" s="406"/>
      <c r="N57" s="406"/>
      <c r="O57" s="406"/>
      <c r="P57" s="406"/>
      <c r="Q57" s="406"/>
      <c r="R57" s="406"/>
      <c r="S57" s="406"/>
      <c r="T57" s="406"/>
      <c r="U57" s="406"/>
      <c r="V57" s="406"/>
      <c r="W57" s="406"/>
      <c r="X57" s="406"/>
      <c r="Y57" s="406"/>
      <c r="Z57" s="406"/>
      <c r="AA57" s="406"/>
      <c r="AB57" s="406"/>
      <c r="AC57" s="406"/>
      <c r="AD57" s="406"/>
      <c r="AE57" s="406"/>
      <c r="AF57" s="406"/>
      <c r="AG57" s="406"/>
      <c r="AH57" s="406"/>
      <c r="AI57" s="406"/>
      <c r="AJ57" s="406"/>
      <c r="AK57" s="406"/>
      <c r="AL57" s="406"/>
      <c r="AM57" s="406"/>
      <c r="AN57" s="406"/>
      <c r="AO57" s="406"/>
      <c r="AP57" s="406"/>
      <c r="AQ57" s="406"/>
      <c r="AR57" s="406"/>
      <c r="AS57" s="406"/>
      <c r="AT57" s="406"/>
      <c r="AU57" s="406"/>
      <c r="AV57" s="406"/>
      <c r="AW57" s="406"/>
      <c r="AX57" s="406"/>
      <c r="AY57" s="406"/>
      <c r="AZ57" s="406"/>
      <c r="BA57" s="406"/>
      <c r="BB57" s="406"/>
      <c r="BC57" s="406"/>
      <c r="BD57" s="406"/>
      <c r="BE57" s="406"/>
      <c r="BF57" s="406"/>
      <c r="BG57" s="406"/>
      <c r="BH57" s="406"/>
      <c r="BI57" s="406"/>
      <c r="BJ57" s="406"/>
      <c r="BK57" s="406"/>
      <c r="BL57" s="406"/>
      <c r="BM57" s="406"/>
      <c r="BN57" s="406"/>
      <c r="BO57" s="406"/>
    </row>
    <row r="58" spans="1:67" s="396" customFormat="1" hidden="1">
      <c r="B58" s="748"/>
      <c r="C58" s="406"/>
      <c r="D58" s="406"/>
      <c r="E58" s="406"/>
      <c r="F58" s="406"/>
      <c r="G58" s="406"/>
      <c r="H58" s="883"/>
      <c r="I58" s="406"/>
      <c r="J58" s="406"/>
      <c r="K58" s="406"/>
      <c r="L58" s="406"/>
      <c r="M58" s="406"/>
      <c r="N58" s="406"/>
      <c r="O58" s="406"/>
      <c r="P58" s="406"/>
      <c r="Q58" s="406"/>
      <c r="R58" s="406"/>
      <c r="S58" s="406"/>
      <c r="T58" s="406"/>
      <c r="U58" s="406"/>
      <c r="V58" s="406"/>
      <c r="W58" s="406"/>
      <c r="X58" s="406"/>
      <c r="Y58" s="406"/>
      <c r="Z58" s="406"/>
      <c r="AA58" s="406"/>
      <c r="AB58" s="406"/>
      <c r="AC58" s="406"/>
      <c r="AD58" s="406"/>
      <c r="AE58" s="406"/>
      <c r="AF58" s="406"/>
      <c r="AG58" s="406"/>
      <c r="AH58" s="406"/>
      <c r="AI58" s="406"/>
      <c r="AJ58" s="406"/>
      <c r="AK58" s="406"/>
      <c r="AL58" s="406"/>
      <c r="AM58" s="406"/>
      <c r="AN58" s="406"/>
      <c r="AO58" s="406"/>
      <c r="AP58" s="406"/>
      <c r="AQ58" s="406"/>
      <c r="AR58" s="406"/>
      <c r="AS58" s="406"/>
      <c r="AT58" s="406"/>
      <c r="AU58" s="406"/>
      <c r="AV58" s="406"/>
      <c r="AW58" s="406"/>
      <c r="AX58" s="406"/>
      <c r="AY58" s="406"/>
      <c r="AZ58" s="406"/>
      <c r="BA58" s="406"/>
      <c r="BB58" s="406"/>
      <c r="BC58" s="406"/>
      <c r="BD58" s="406"/>
      <c r="BE58" s="406"/>
      <c r="BF58" s="406"/>
      <c r="BG58" s="406"/>
      <c r="BH58" s="406"/>
      <c r="BI58" s="406"/>
      <c r="BJ58" s="406"/>
      <c r="BK58" s="406"/>
      <c r="BL58" s="406"/>
      <c r="BM58" s="406"/>
      <c r="BN58" s="406"/>
      <c r="BO58" s="406"/>
    </row>
    <row r="59" spans="1:67" s="396" customFormat="1" hidden="1">
      <c r="B59" s="748"/>
      <c r="C59" s="406"/>
      <c r="D59" s="406"/>
      <c r="E59" s="406"/>
      <c r="F59" s="406"/>
      <c r="G59" s="406"/>
      <c r="H59" s="883"/>
      <c r="I59" s="406"/>
      <c r="J59" s="406"/>
      <c r="K59" s="406"/>
      <c r="L59" s="406"/>
      <c r="M59" s="406"/>
      <c r="N59" s="406"/>
      <c r="O59" s="406"/>
      <c r="P59" s="406"/>
      <c r="Q59" s="406"/>
      <c r="R59" s="406"/>
      <c r="S59" s="406"/>
      <c r="T59" s="406"/>
      <c r="U59" s="406"/>
      <c r="V59" s="406"/>
      <c r="W59" s="406"/>
      <c r="X59" s="406"/>
      <c r="Y59" s="406"/>
      <c r="Z59" s="406"/>
      <c r="AA59" s="406"/>
      <c r="AB59" s="406"/>
      <c r="AC59" s="406"/>
      <c r="AD59" s="406"/>
      <c r="AE59" s="406"/>
      <c r="AF59" s="406"/>
      <c r="AG59" s="406"/>
      <c r="AH59" s="406"/>
      <c r="AI59" s="406"/>
      <c r="AJ59" s="406"/>
      <c r="AK59" s="406"/>
      <c r="AL59" s="406"/>
      <c r="AM59" s="406"/>
      <c r="AN59" s="406"/>
      <c r="AO59" s="406"/>
      <c r="AP59" s="406"/>
      <c r="AQ59" s="406"/>
      <c r="AR59" s="406"/>
      <c r="AS59" s="406"/>
      <c r="AT59" s="406"/>
      <c r="AU59" s="406"/>
      <c r="AV59" s="406"/>
      <c r="AW59" s="406"/>
      <c r="AX59" s="406"/>
      <c r="AY59" s="406"/>
      <c r="AZ59" s="406"/>
      <c r="BA59" s="406"/>
      <c r="BB59" s="406"/>
      <c r="BC59" s="406"/>
      <c r="BD59" s="406"/>
      <c r="BE59" s="406"/>
      <c r="BF59" s="406"/>
      <c r="BG59" s="406"/>
      <c r="BH59" s="406"/>
      <c r="BI59" s="406"/>
      <c r="BJ59" s="406"/>
      <c r="BK59" s="406"/>
      <c r="BL59" s="406"/>
      <c r="BM59" s="406"/>
      <c r="BN59" s="406"/>
      <c r="BO59" s="406"/>
    </row>
    <row r="60" spans="1:67" s="396" customFormat="1" hidden="1">
      <c r="B60" s="748"/>
      <c r="C60" s="406"/>
      <c r="D60" s="406"/>
      <c r="E60" s="406"/>
      <c r="F60" s="406"/>
      <c r="G60" s="406"/>
      <c r="H60" s="883"/>
      <c r="I60" s="406"/>
      <c r="J60" s="406"/>
      <c r="K60" s="406"/>
      <c r="L60" s="406"/>
      <c r="M60" s="406"/>
      <c r="N60" s="406"/>
      <c r="O60" s="406"/>
      <c r="P60" s="406"/>
      <c r="Q60" s="406"/>
      <c r="R60" s="406"/>
      <c r="S60" s="406"/>
      <c r="T60" s="406"/>
      <c r="U60" s="406"/>
      <c r="V60" s="406"/>
      <c r="W60" s="406"/>
      <c r="X60" s="406"/>
      <c r="Y60" s="406"/>
      <c r="Z60" s="406"/>
      <c r="AA60" s="406"/>
      <c r="AB60" s="406"/>
      <c r="AC60" s="406"/>
      <c r="AD60" s="406"/>
      <c r="AE60" s="406"/>
      <c r="AF60" s="406"/>
      <c r="AG60" s="406"/>
      <c r="AH60" s="406"/>
      <c r="AI60" s="406"/>
      <c r="AJ60" s="406"/>
      <c r="AK60" s="406"/>
      <c r="AL60" s="406"/>
      <c r="AM60" s="406"/>
      <c r="AN60" s="406"/>
      <c r="AO60" s="406"/>
      <c r="AP60" s="406"/>
      <c r="AQ60" s="406"/>
      <c r="AR60" s="406"/>
      <c r="AS60" s="406"/>
      <c r="AT60" s="406"/>
      <c r="AU60" s="406"/>
      <c r="AV60" s="406"/>
      <c r="AW60" s="406"/>
      <c r="AX60" s="406"/>
      <c r="AY60" s="406"/>
      <c r="AZ60" s="406"/>
      <c r="BA60" s="406"/>
      <c r="BB60" s="406"/>
      <c r="BC60" s="406"/>
      <c r="BD60" s="406"/>
      <c r="BE60" s="406"/>
      <c r="BF60" s="406"/>
      <c r="BG60" s="406"/>
      <c r="BH60" s="406"/>
      <c r="BI60" s="406"/>
      <c r="BJ60" s="406"/>
      <c r="BK60" s="406"/>
      <c r="BL60" s="406"/>
      <c r="BM60" s="406"/>
      <c r="BN60" s="406"/>
      <c r="BO60" s="406"/>
    </row>
    <row r="61" spans="1:67" s="396" customFormat="1" hidden="1">
      <c r="B61" s="748"/>
      <c r="C61" s="406"/>
      <c r="D61" s="406"/>
      <c r="E61" s="406"/>
      <c r="F61" s="406"/>
      <c r="G61" s="406"/>
      <c r="H61" s="883"/>
      <c r="I61" s="406"/>
      <c r="J61" s="406"/>
      <c r="K61" s="406"/>
      <c r="L61" s="406"/>
      <c r="M61" s="406"/>
      <c r="N61" s="406"/>
      <c r="O61" s="406"/>
      <c r="P61" s="406"/>
      <c r="Q61" s="406"/>
      <c r="R61" s="406"/>
      <c r="S61" s="406"/>
      <c r="T61" s="406"/>
      <c r="U61" s="406"/>
      <c r="V61" s="406"/>
      <c r="W61" s="406"/>
      <c r="X61" s="406"/>
      <c r="Y61" s="406"/>
      <c r="Z61" s="406"/>
      <c r="AA61" s="406"/>
      <c r="AB61" s="406"/>
      <c r="AC61" s="406"/>
      <c r="AD61" s="406"/>
      <c r="AE61" s="406"/>
      <c r="AF61" s="406"/>
      <c r="AG61" s="406"/>
      <c r="AH61" s="406"/>
      <c r="AI61" s="406"/>
      <c r="AJ61" s="406"/>
      <c r="AK61" s="406"/>
      <c r="AL61" s="406"/>
      <c r="AM61" s="406"/>
      <c r="AN61" s="406"/>
      <c r="AO61" s="406"/>
      <c r="AP61" s="406"/>
      <c r="AQ61" s="406"/>
      <c r="AR61" s="406"/>
      <c r="AS61" s="406"/>
      <c r="AT61" s="406"/>
      <c r="AU61" s="406"/>
      <c r="AV61" s="406"/>
      <c r="AW61" s="406"/>
      <c r="AX61" s="406"/>
      <c r="AY61" s="406"/>
      <c r="AZ61" s="406"/>
      <c r="BA61" s="406"/>
      <c r="BB61" s="406"/>
      <c r="BC61" s="406"/>
      <c r="BD61" s="406"/>
      <c r="BE61" s="406"/>
      <c r="BF61" s="406"/>
      <c r="BG61" s="406"/>
      <c r="BH61" s="406"/>
      <c r="BI61" s="406"/>
      <c r="BJ61" s="406"/>
      <c r="BK61" s="406"/>
      <c r="BL61" s="406"/>
      <c r="BM61" s="406"/>
      <c r="BN61" s="406"/>
      <c r="BO61" s="406"/>
    </row>
    <row r="62" spans="1:67" s="396" customFormat="1" hidden="1">
      <c r="B62" s="748"/>
      <c r="C62" s="406"/>
      <c r="D62" s="406"/>
      <c r="E62" s="406"/>
      <c r="F62" s="406"/>
      <c r="G62" s="406"/>
      <c r="H62" s="883"/>
      <c r="I62" s="406"/>
      <c r="J62" s="406"/>
      <c r="K62" s="406"/>
      <c r="L62" s="406"/>
      <c r="M62" s="406"/>
      <c r="N62" s="406"/>
      <c r="O62" s="406"/>
      <c r="P62" s="406"/>
      <c r="Q62" s="406"/>
      <c r="R62" s="406"/>
      <c r="S62" s="406"/>
      <c r="T62" s="406"/>
      <c r="U62" s="406"/>
      <c r="V62" s="406"/>
      <c r="W62" s="406"/>
      <c r="X62" s="406"/>
      <c r="Y62" s="406"/>
      <c r="Z62" s="406"/>
      <c r="AA62" s="406"/>
      <c r="AB62" s="406"/>
      <c r="AC62" s="406"/>
      <c r="AD62" s="406"/>
      <c r="AE62" s="406"/>
      <c r="AF62" s="406"/>
      <c r="AG62" s="406"/>
      <c r="AH62" s="406"/>
      <c r="AI62" s="406"/>
      <c r="AJ62" s="406"/>
      <c r="AK62" s="406"/>
      <c r="AL62" s="406"/>
      <c r="AM62" s="406"/>
      <c r="AN62" s="406"/>
      <c r="AO62" s="406"/>
      <c r="AP62" s="406"/>
      <c r="AQ62" s="406"/>
      <c r="AR62" s="406"/>
      <c r="AS62" s="406"/>
      <c r="AT62" s="406"/>
      <c r="AU62" s="406"/>
      <c r="AV62" s="406"/>
      <c r="AW62" s="406"/>
      <c r="AX62" s="406"/>
      <c r="AY62" s="406"/>
      <c r="AZ62" s="406"/>
      <c r="BA62" s="406"/>
      <c r="BB62" s="406"/>
      <c r="BC62" s="406"/>
      <c r="BD62" s="406"/>
      <c r="BE62" s="406"/>
      <c r="BF62" s="406"/>
      <c r="BG62" s="406"/>
      <c r="BH62" s="406"/>
      <c r="BI62" s="406"/>
      <c r="BJ62" s="406"/>
      <c r="BK62" s="406"/>
      <c r="BL62" s="406"/>
      <c r="BM62" s="406"/>
      <c r="BN62" s="406"/>
      <c r="BO62" s="406"/>
    </row>
    <row r="63" spans="1:67" s="396" customFormat="1" hidden="1">
      <c r="B63" s="748"/>
      <c r="C63" s="406"/>
      <c r="D63" s="406"/>
      <c r="E63" s="406"/>
      <c r="F63" s="406"/>
      <c r="G63" s="406"/>
      <c r="H63" s="883"/>
      <c r="I63" s="406"/>
      <c r="J63" s="406"/>
      <c r="K63" s="406"/>
      <c r="L63" s="406"/>
      <c r="M63" s="406"/>
      <c r="N63" s="406"/>
      <c r="O63" s="406"/>
      <c r="P63" s="406"/>
      <c r="Q63" s="406"/>
      <c r="R63" s="406"/>
      <c r="S63" s="406"/>
      <c r="T63" s="406"/>
      <c r="U63" s="406"/>
      <c r="V63" s="406"/>
      <c r="W63" s="406"/>
      <c r="X63" s="406"/>
      <c r="Y63" s="406"/>
      <c r="Z63" s="406"/>
      <c r="AA63" s="406"/>
      <c r="AB63" s="406"/>
      <c r="AC63" s="406"/>
      <c r="AD63" s="406"/>
      <c r="AE63" s="406"/>
      <c r="AF63" s="406"/>
      <c r="AG63" s="406"/>
      <c r="AH63" s="406"/>
      <c r="AI63" s="406"/>
      <c r="AJ63" s="406"/>
      <c r="AK63" s="406"/>
      <c r="AL63" s="406"/>
      <c r="AM63" s="406"/>
      <c r="AN63" s="406"/>
      <c r="AO63" s="406"/>
      <c r="AP63" s="406"/>
      <c r="AQ63" s="406"/>
      <c r="AR63" s="406"/>
      <c r="AS63" s="406"/>
      <c r="AT63" s="406"/>
      <c r="AU63" s="406"/>
      <c r="AV63" s="406"/>
      <c r="AW63" s="406"/>
      <c r="AX63" s="406"/>
      <c r="AY63" s="406"/>
      <c r="AZ63" s="406"/>
      <c r="BA63" s="406"/>
      <c r="BB63" s="406"/>
      <c r="BC63" s="406"/>
      <c r="BD63" s="406"/>
      <c r="BE63" s="406"/>
      <c r="BF63" s="406"/>
      <c r="BG63" s="406"/>
      <c r="BH63" s="406"/>
      <c r="BI63" s="406"/>
      <c r="BJ63" s="406"/>
      <c r="BK63" s="406"/>
      <c r="BL63" s="406"/>
      <c r="BM63" s="406"/>
      <c r="BN63" s="406"/>
      <c r="BO63" s="406"/>
    </row>
    <row r="64" spans="1:67" s="396" customFormat="1" hidden="1">
      <c r="B64" s="748"/>
      <c r="C64" s="406"/>
      <c r="D64" s="406"/>
      <c r="E64" s="406"/>
      <c r="F64" s="406"/>
      <c r="G64" s="406"/>
      <c r="H64" s="883"/>
      <c r="I64" s="406"/>
      <c r="J64" s="406"/>
      <c r="K64" s="406"/>
      <c r="L64" s="406"/>
      <c r="M64" s="406"/>
      <c r="N64" s="406"/>
      <c r="O64" s="406"/>
      <c r="P64" s="406"/>
      <c r="Q64" s="406"/>
      <c r="R64" s="406"/>
      <c r="S64" s="406"/>
      <c r="T64" s="406"/>
      <c r="U64" s="406"/>
      <c r="V64" s="406"/>
      <c r="W64" s="406"/>
      <c r="X64" s="406"/>
      <c r="Y64" s="406"/>
      <c r="Z64" s="406"/>
      <c r="AA64" s="406"/>
      <c r="AB64" s="406"/>
      <c r="AC64" s="406"/>
      <c r="AD64" s="406"/>
      <c r="AE64" s="406"/>
      <c r="AF64" s="406"/>
      <c r="AG64" s="406"/>
      <c r="AH64" s="406"/>
      <c r="AI64" s="406"/>
      <c r="AJ64" s="406"/>
      <c r="AK64" s="406"/>
      <c r="AL64" s="406"/>
      <c r="AM64" s="406"/>
      <c r="AN64" s="406"/>
      <c r="AO64" s="406"/>
      <c r="AP64" s="406"/>
      <c r="AQ64" s="406"/>
      <c r="AR64" s="406"/>
      <c r="AS64" s="406"/>
      <c r="AT64" s="406"/>
      <c r="AU64" s="406"/>
      <c r="AV64" s="406"/>
      <c r="AW64" s="406"/>
      <c r="AX64" s="406"/>
      <c r="AY64" s="406"/>
      <c r="AZ64" s="406"/>
      <c r="BA64" s="406"/>
      <c r="BB64" s="406"/>
      <c r="BC64" s="406"/>
      <c r="BD64" s="406"/>
      <c r="BE64" s="406"/>
      <c r="BF64" s="406"/>
      <c r="BG64" s="406"/>
      <c r="BH64" s="406"/>
      <c r="BI64" s="406"/>
      <c r="BJ64" s="406"/>
      <c r="BK64" s="406"/>
      <c r="BL64" s="406"/>
      <c r="BM64" s="406"/>
      <c r="BN64" s="406"/>
      <c r="BO64" s="406"/>
    </row>
    <row r="65" spans="2:67" s="396" customFormat="1" hidden="1">
      <c r="B65" s="748"/>
      <c r="C65" s="406"/>
      <c r="D65" s="406"/>
      <c r="E65" s="406"/>
      <c r="F65" s="406"/>
      <c r="G65" s="406"/>
      <c r="H65" s="883"/>
      <c r="I65" s="406"/>
      <c r="J65" s="406"/>
      <c r="K65" s="406"/>
      <c r="L65" s="406"/>
      <c r="M65" s="406"/>
      <c r="N65" s="406"/>
      <c r="O65" s="406"/>
      <c r="P65" s="406"/>
      <c r="Q65" s="406"/>
      <c r="R65" s="406"/>
      <c r="S65" s="406"/>
      <c r="T65" s="406"/>
      <c r="U65" s="406"/>
      <c r="V65" s="406"/>
      <c r="W65" s="406"/>
      <c r="X65" s="406"/>
      <c r="Y65" s="406"/>
      <c r="Z65" s="406"/>
      <c r="AA65" s="406"/>
      <c r="AB65" s="406"/>
      <c r="AC65" s="406"/>
      <c r="AD65" s="406"/>
      <c r="AE65" s="406"/>
      <c r="AF65" s="406"/>
      <c r="AG65" s="406"/>
      <c r="AH65" s="406"/>
      <c r="AI65" s="406"/>
      <c r="AJ65" s="406"/>
      <c r="AK65" s="406"/>
      <c r="AL65" s="406"/>
      <c r="AM65" s="406"/>
      <c r="AN65" s="406"/>
      <c r="AO65" s="406"/>
      <c r="AP65" s="406"/>
      <c r="AQ65" s="406"/>
      <c r="AR65" s="406"/>
      <c r="AS65" s="406"/>
      <c r="AT65" s="406"/>
      <c r="AU65" s="406"/>
      <c r="AV65" s="406"/>
      <c r="AW65" s="406"/>
      <c r="AX65" s="406"/>
      <c r="AY65" s="406"/>
      <c r="AZ65" s="406"/>
      <c r="BA65" s="406"/>
      <c r="BB65" s="406"/>
      <c r="BC65" s="406"/>
      <c r="BD65" s="406"/>
      <c r="BE65" s="406"/>
      <c r="BF65" s="406"/>
      <c r="BG65" s="406"/>
      <c r="BH65" s="406"/>
      <c r="BI65" s="406"/>
      <c r="BJ65" s="406"/>
      <c r="BK65" s="406"/>
      <c r="BL65" s="406"/>
      <c r="BM65" s="406"/>
      <c r="BN65" s="406"/>
      <c r="BO65" s="406"/>
    </row>
    <row r="66" spans="2:67" s="396" customFormat="1" hidden="1">
      <c r="B66" s="748"/>
      <c r="C66" s="406"/>
      <c r="D66" s="406"/>
      <c r="E66" s="406"/>
      <c r="F66" s="406"/>
      <c r="G66" s="406"/>
      <c r="H66" s="883"/>
      <c r="I66" s="406"/>
      <c r="J66" s="406"/>
      <c r="K66" s="406"/>
      <c r="L66" s="406"/>
      <c r="M66" s="406"/>
      <c r="N66" s="406"/>
      <c r="O66" s="406"/>
      <c r="P66" s="406"/>
      <c r="Q66" s="406"/>
      <c r="R66" s="406"/>
      <c r="S66" s="406"/>
      <c r="T66" s="406"/>
      <c r="U66" s="406"/>
      <c r="V66" s="406"/>
      <c r="W66" s="406"/>
      <c r="X66" s="406"/>
      <c r="Y66" s="406"/>
      <c r="Z66" s="406"/>
      <c r="AA66" s="406"/>
      <c r="AB66" s="406"/>
      <c r="AC66" s="406"/>
      <c r="AD66" s="406"/>
      <c r="AE66" s="406"/>
      <c r="AF66" s="406"/>
      <c r="AG66" s="406"/>
      <c r="AH66" s="406"/>
      <c r="AI66" s="406"/>
      <c r="AJ66" s="406"/>
      <c r="AK66" s="406"/>
      <c r="AL66" s="406"/>
      <c r="AM66" s="406"/>
      <c r="AN66" s="406"/>
      <c r="AO66" s="406"/>
      <c r="AP66" s="406"/>
      <c r="AQ66" s="406"/>
      <c r="AR66" s="406"/>
      <c r="AS66" s="406"/>
      <c r="AT66" s="406"/>
      <c r="AU66" s="406"/>
      <c r="AV66" s="406"/>
      <c r="AW66" s="406"/>
      <c r="AX66" s="406"/>
      <c r="AY66" s="406"/>
      <c r="AZ66" s="406"/>
      <c r="BA66" s="406"/>
      <c r="BB66" s="406"/>
      <c r="BC66" s="406"/>
      <c r="BD66" s="406"/>
      <c r="BE66" s="406"/>
      <c r="BF66" s="406"/>
      <c r="BG66" s="406"/>
      <c r="BH66" s="406"/>
      <c r="BI66" s="406"/>
      <c r="BJ66" s="406"/>
      <c r="BK66" s="406"/>
      <c r="BL66" s="406"/>
      <c r="BM66" s="406"/>
      <c r="BN66" s="406"/>
      <c r="BO66" s="406"/>
    </row>
    <row r="67" spans="2:67" s="396" customFormat="1" hidden="1">
      <c r="B67" s="748"/>
      <c r="C67" s="406"/>
      <c r="D67" s="406"/>
      <c r="E67" s="406"/>
      <c r="F67" s="406"/>
      <c r="G67" s="406"/>
      <c r="H67" s="883"/>
      <c r="I67" s="406"/>
      <c r="J67" s="406"/>
      <c r="K67" s="406"/>
      <c r="L67" s="406"/>
      <c r="M67" s="406"/>
      <c r="N67" s="406"/>
      <c r="O67" s="406"/>
      <c r="P67" s="406"/>
      <c r="Q67" s="406"/>
      <c r="R67" s="406"/>
      <c r="S67" s="406"/>
      <c r="T67" s="406"/>
      <c r="U67" s="406"/>
      <c r="V67" s="406"/>
      <c r="W67" s="406"/>
      <c r="X67" s="406"/>
      <c r="Y67" s="406"/>
      <c r="Z67" s="406"/>
      <c r="AA67" s="406"/>
      <c r="AB67" s="406"/>
      <c r="AC67" s="406"/>
      <c r="AD67" s="406"/>
      <c r="AE67" s="406"/>
      <c r="AF67" s="406"/>
      <c r="AG67" s="406"/>
      <c r="AH67" s="406"/>
      <c r="AI67" s="406"/>
      <c r="AJ67" s="406"/>
      <c r="AK67" s="406"/>
      <c r="AL67" s="406"/>
      <c r="AM67" s="406"/>
      <c r="AN67" s="406"/>
      <c r="AO67" s="406"/>
      <c r="AP67" s="406"/>
      <c r="AQ67" s="406"/>
      <c r="AR67" s="406"/>
      <c r="AS67" s="406"/>
      <c r="AT67" s="406"/>
      <c r="AU67" s="406"/>
      <c r="AV67" s="406"/>
      <c r="AW67" s="406"/>
      <c r="AX67" s="406"/>
      <c r="AY67" s="406"/>
      <c r="AZ67" s="406"/>
      <c r="BA67" s="406"/>
      <c r="BB67" s="406"/>
      <c r="BC67" s="406"/>
      <c r="BD67" s="406"/>
      <c r="BE67" s="406"/>
      <c r="BF67" s="406"/>
      <c r="BG67" s="406"/>
      <c r="BH67" s="406"/>
      <c r="BI67" s="406"/>
      <c r="BJ67" s="406"/>
      <c r="BK67" s="406"/>
      <c r="BL67" s="406"/>
      <c r="BM67" s="406"/>
      <c r="BN67" s="406"/>
      <c r="BO67" s="406"/>
    </row>
    <row r="68" spans="2:67" s="396" customFormat="1" hidden="1">
      <c r="B68" s="748"/>
      <c r="C68" s="406"/>
      <c r="D68" s="406"/>
      <c r="E68" s="406"/>
      <c r="F68" s="406"/>
      <c r="G68" s="406"/>
      <c r="H68" s="883"/>
      <c r="I68" s="406"/>
      <c r="J68" s="406"/>
      <c r="K68" s="406"/>
      <c r="L68" s="406"/>
      <c r="M68" s="406"/>
      <c r="N68" s="406"/>
      <c r="O68" s="406"/>
      <c r="P68" s="406"/>
      <c r="Q68" s="406"/>
      <c r="R68" s="406"/>
      <c r="S68" s="406"/>
      <c r="T68" s="406"/>
      <c r="U68" s="406"/>
      <c r="V68" s="406"/>
      <c r="W68" s="406"/>
      <c r="X68" s="406"/>
      <c r="Y68" s="406"/>
      <c r="Z68" s="406"/>
      <c r="AA68" s="406"/>
      <c r="AB68" s="406"/>
      <c r="AC68" s="406"/>
      <c r="AD68" s="406"/>
      <c r="AE68" s="406"/>
      <c r="AF68" s="406"/>
      <c r="AG68" s="406"/>
      <c r="AH68" s="406"/>
      <c r="AI68" s="406"/>
      <c r="AJ68" s="406"/>
      <c r="AK68" s="406"/>
      <c r="AL68" s="406"/>
      <c r="AM68" s="406"/>
      <c r="AN68" s="406"/>
      <c r="AO68" s="406"/>
      <c r="AP68" s="406"/>
      <c r="AQ68" s="406"/>
      <c r="AR68" s="406"/>
      <c r="AS68" s="406"/>
      <c r="AT68" s="406"/>
      <c r="AU68" s="406"/>
      <c r="AV68" s="406"/>
      <c r="AW68" s="406"/>
      <c r="AX68" s="406"/>
      <c r="AY68" s="406"/>
      <c r="AZ68" s="406"/>
      <c r="BA68" s="406"/>
      <c r="BB68" s="406"/>
      <c r="BC68" s="406"/>
      <c r="BD68" s="406"/>
      <c r="BE68" s="406"/>
      <c r="BF68" s="406"/>
      <c r="BG68" s="406"/>
      <c r="BH68" s="406"/>
      <c r="BI68" s="406"/>
      <c r="BJ68" s="406"/>
      <c r="BK68" s="406"/>
      <c r="BL68" s="406"/>
      <c r="BM68" s="406"/>
      <c r="BN68" s="406"/>
      <c r="BO68" s="406"/>
    </row>
    <row r="69" spans="2:67" s="396" customFormat="1" hidden="1">
      <c r="B69" s="748"/>
      <c r="C69" s="406"/>
      <c r="D69" s="406"/>
      <c r="E69" s="406"/>
      <c r="F69" s="406"/>
      <c r="G69" s="406"/>
      <c r="H69" s="883"/>
      <c r="I69" s="406"/>
      <c r="J69" s="406"/>
      <c r="K69" s="406"/>
      <c r="L69" s="406"/>
      <c r="M69" s="406"/>
      <c r="N69" s="406"/>
      <c r="O69" s="406"/>
      <c r="P69" s="406"/>
      <c r="Q69" s="406"/>
      <c r="R69" s="406"/>
      <c r="S69" s="406"/>
      <c r="T69" s="406"/>
      <c r="U69" s="406"/>
      <c r="V69" s="406"/>
      <c r="W69" s="406"/>
      <c r="X69" s="406"/>
      <c r="Y69" s="406"/>
      <c r="Z69" s="406"/>
      <c r="AA69" s="406"/>
      <c r="AB69" s="406"/>
      <c r="AC69" s="406"/>
      <c r="AD69" s="406"/>
      <c r="AE69" s="406"/>
      <c r="AF69" s="406"/>
      <c r="AG69" s="406"/>
      <c r="AH69" s="406"/>
      <c r="AI69" s="406"/>
      <c r="AJ69" s="406"/>
      <c r="AK69" s="406"/>
      <c r="AL69" s="406"/>
      <c r="AM69" s="406"/>
      <c r="AN69" s="406"/>
      <c r="AO69" s="406"/>
      <c r="AP69" s="406"/>
      <c r="AQ69" s="406"/>
      <c r="AR69" s="406"/>
      <c r="AS69" s="406"/>
      <c r="AT69" s="406"/>
      <c r="AU69" s="406"/>
      <c r="AV69" s="406"/>
      <c r="AW69" s="406"/>
      <c r="AX69" s="406"/>
      <c r="AY69" s="406"/>
      <c r="AZ69" s="406"/>
      <c r="BA69" s="406"/>
      <c r="BB69" s="406"/>
      <c r="BC69" s="406"/>
      <c r="BD69" s="406"/>
      <c r="BE69" s="406"/>
      <c r="BF69" s="406"/>
      <c r="BG69" s="406"/>
      <c r="BH69" s="406"/>
      <c r="BI69" s="406"/>
      <c r="BJ69" s="406"/>
      <c r="BK69" s="406"/>
      <c r="BL69" s="406"/>
      <c r="BM69" s="406"/>
      <c r="BN69" s="406"/>
      <c r="BO69" s="406"/>
    </row>
    <row r="70" spans="2:67" s="396" customFormat="1" hidden="1">
      <c r="B70" s="748"/>
      <c r="C70" s="406"/>
      <c r="D70" s="406"/>
      <c r="E70" s="406"/>
      <c r="F70" s="406"/>
      <c r="G70" s="406"/>
      <c r="H70" s="883"/>
      <c r="I70" s="406"/>
      <c r="J70" s="406"/>
      <c r="K70" s="406"/>
      <c r="L70" s="406"/>
      <c r="M70" s="406"/>
      <c r="N70" s="406"/>
      <c r="O70" s="406"/>
      <c r="P70" s="406"/>
      <c r="Q70" s="406"/>
      <c r="R70" s="406"/>
      <c r="S70" s="406"/>
      <c r="T70" s="406"/>
      <c r="U70" s="406"/>
      <c r="V70" s="406"/>
      <c r="W70" s="406"/>
      <c r="X70" s="406"/>
      <c r="Y70" s="406"/>
      <c r="Z70" s="406"/>
      <c r="AA70" s="406"/>
      <c r="AB70" s="406"/>
      <c r="AC70" s="406"/>
      <c r="AD70" s="406"/>
      <c r="AE70" s="406"/>
      <c r="AF70" s="406"/>
      <c r="AG70" s="406"/>
      <c r="AH70" s="406"/>
      <c r="AI70" s="406"/>
      <c r="AJ70" s="406"/>
      <c r="AK70" s="406"/>
      <c r="AL70" s="406"/>
      <c r="AM70" s="406"/>
      <c r="AN70" s="406"/>
      <c r="AO70" s="406"/>
      <c r="AP70" s="406"/>
      <c r="AQ70" s="406"/>
      <c r="AR70" s="406"/>
      <c r="AS70" s="406"/>
      <c r="AT70" s="406"/>
      <c r="AU70" s="406"/>
      <c r="AV70" s="406"/>
      <c r="AW70" s="406"/>
      <c r="AX70" s="406"/>
      <c r="AY70" s="406"/>
      <c r="AZ70" s="406"/>
      <c r="BA70" s="406"/>
      <c r="BB70" s="406"/>
      <c r="BC70" s="406"/>
      <c r="BD70" s="406"/>
      <c r="BE70" s="406"/>
      <c r="BF70" s="406"/>
      <c r="BG70" s="406"/>
      <c r="BH70" s="406"/>
      <c r="BI70" s="406"/>
      <c r="BJ70" s="406"/>
      <c r="BK70" s="406"/>
      <c r="BL70" s="406"/>
      <c r="BM70" s="406"/>
      <c r="BN70" s="406"/>
      <c r="BO70" s="406"/>
    </row>
    <row r="71" spans="2:67" s="396" customFormat="1" hidden="1">
      <c r="B71" s="748"/>
      <c r="C71" s="406"/>
      <c r="D71" s="406"/>
      <c r="E71" s="406"/>
      <c r="F71" s="406"/>
      <c r="G71" s="406"/>
      <c r="H71" s="883"/>
      <c r="I71" s="406"/>
      <c r="J71" s="406"/>
      <c r="K71" s="406"/>
      <c r="L71" s="406"/>
      <c r="M71" s="406"/>
      <c r="N71" s="406"/>
      <c r="O71" s="406"/>
      <c r="P71" s="406"/>
      <c r="Q71" s="406"/>
      <c r="R71" s="406"/>
      <c r="S71" s="406"/>
      <c r="T71" s="406"/>
      <c r="U71" s="406"/>
      <c r="V71" s="406"/>
      <c r="W71" s="406"/>
      <c r="X71" s="406"/>
      <c r="Y71" s="406"/>
      <c r="Z71" s="406"/>
      <c r="AA71" s="406"/>
      <c r="AB71" s="406"/>
      <c r="AC71" s="406"/>
      <c r="AD71" s="406"/>
      <c r="AE71" s="406"/>
      <c r="AF71" s="406"/>
      <c r="AG71" s="406"/>
      <c r="AH71" s="406"/>
      <c r="AI71" s="406"/>
      <c r="AJ71" s="406"/>
      <c r="AK71" s="406"/>
      <c r="AL71" s="406"/>
      <c r="AM71" s="406"/>
      <c r="AN71" s="406"/>
      <c r="AO71" s="406"/>
      <c r="AP71" s="406"/>
      <c r="AQ71" s="406"/>
      <c r="AR71" s="406"/>
      <c r="AS71" s="406"/>
      <c r="AT71" s="406"/>
      <c r="AU71" s="406"/>
      <c r="AV71" s="406"/>
      <c r="AW71" s="406"/>
      <c r="AX71" s="406"/>
      <c r="AY71" s="406"/>
      <c r="AZ71" s="406"/>
      <c r="BA71" s="406"/>
      <c r="BB71" s="406"/>
      <c r="BC71" s="406"/>
      <c r="BD71" s="406"/>
      <c r="BE71" s="406"/>
      <c r="BF71" s="406"/>
      <c r="BG71" s="406"/>
      <c r="BH71" s="406"/>
      <c r="BI71" s="406"/>
      <c r="BJ71" s="406"/>
      <c r="BK71" s="406"/>
      <c r="BL71" s="406"/>
      <c r="BM71" s="406"/>
      <c r="BN71" s="406"/>
      <c r="BO71" s="406"/>
    </row>
    <row r="72" spans="2:67" s="396" customFormat="1" hidden="1">
      <c r="B72" s="748"/>
      <c r="C72" s="406"/>
      <c r="D72" s="406"/>
      <c r="E72" s="406"/>
      <c r="F72" s="406"/>
      <c r="G72" s="406"/>
      <c r="H72" s="883"/>
      <c r="I72" s="406"/>
      <c r="J72" s="406"/>
      <c r="K72" s="406"/>
      <c r="L72" s="406"/>
      <c r="M72" s="406"/>
      <c r="N72" s="406"/>
      <c r="O72" s="406"/>
      <c r="P72" s="406"/>
      <c r="Q72" s="406"/>
      <c r="R72" s="406"/>
      <c r="S72" s="406"/>
      <c r="T72" s="406"/>
      <c r="U72" s="406"/>
      <c r="V72" s="406"/>
      <c r="W72" s="406"/>
      <c r="X72" s="406"/>
      <c r="Y72" s="406"/>
      <c r="Z72" s="406"/>
      <c r="AA72" s="406"/>
      <c r="AB72" s="406"/>
      <c r="AC72" s="406"/>
      <c r="AD72" s="406"/>
      <c r="AE72" s="406"/>
      <c r="AF72" s="406"/>
      <c r="AG72" s="406"/>
      <c r="AH72" s="406"/>
      <c r="AI72" s="406"/>
      <c r="AJ72" s="406"/>
      <c r="AK72" s="406"/>
      <c r="AL72" s="406"/>
      <c r="AM72" s="406"/>
      <c r="AN72" s="406"/>
      <c r="AO72" s="406"/>
      <c r="AP72" s="406"/>
      <c r="AQ72" s="406"/>
      <c r="AR72" s="406"/>
      <c r="AS72" s="406"/>
      <c r="AT72" s="406"/>
      <c r="AU72" s="406"/>
      <c r="AV72" s="406"/>
      <c r="AW72" s="406"/>
      <c r="AX72" s="406"/>
      <c r="AY72" s="406"/>
      <c r="AZ72" s="406"/>
      <c r="BA72" s="406"/>
      <c r="BB72" s="406"/>
      <c r="BC72" s="406"/>
      <c r="BD72" s="406"/>
      <c r="BE72" s="406"/>
      <c r="BF72" s="406"/>
      <c r="BG72" s="406"/>
      <c r="BH72" s="406"/>
      <c r="BI72" s="406"/>
      <c r="BJ72" s="406"/>
      <c r="BK72" s="406"/>
      <c r="BL72" s="406"/>
      <c r="BM72" s="406"/>
      <c r="BN72" s="406"/>
      <c r="BO72" s="406"/>
    </row>
    <row r="73" spans="2:67" s="396" customFormat="1" hidden="1">
      <c r="B73" s="748"/>
      <c r="C73" s="406"/>
      <c r="D73" s="406"/>
      <c r="E73" s="406"/>
      <c r="F73" s="406"/>
      <c r="G73" s="406"/>
      <c r="H73" s="883"/>
      <c r="I73" s="406"/>
      <c r="J73" s="406"/>
      <c r="K73" s="406"/>
      <c r="L73" s="406"/>
      <c r="M73" s="406"/>
      <c r="N73" s="406"/>
      <c r="O73" s="406"/>
      <c r="P73" s="406"/>
      <c r="Q73" s="406"/>
      <c r="R73" s="406"/>
      <c r="S73" s="406"/>
      <c r="T73" s="406"/>
      <c r="U73" s="406"/>
      <c r="V73" s="406"/>
      <c r="W73" s="406"/>
      <c r="X73" s="406"/>
      <c r="Y73" s="406"/>
      <c r="Z73" s="406"/>
      <c r="AA73" s="406"/>
      <c r="AB73" s="406"/>
      <c r="AC73" s="406"/>
      <c r="AD73" s="406"/>
      <c r="AE73" s="406"/>
      <c r="AF73" s="406"/>
      <c r="AG73" s="406"/>
      <c r="AH73" s="406"/>
      <c r="AI73" s="406"/>
      <c r="AJ73" s="406"/>
      <c r="AK73" s="406"/>
      <c r="AL73" s="406"/>
      <c r="AM73" s="406"/>
      <c r="AN73" s="406"/>
      <c r="AO73" s="406"/>
      <c r="AP73" s="406"/>
      <c r="AQ73" s="406"/>
      <c r="AR73" s="406"/>
      <c r="AS73" s="406"/>
      <c r="AT73" s="406"/>
      <c r="AU73" s="406"/>
      <c r="AV73" s="406"/>
      <c r="AW73" s="406"/>
      <c r="AX73" s="406"/>
      <c r="AY73" s="406"/>
      <c r="AZ73" s="406"/>
      <c r="BA73" s="406"/>
      <c r="BB73" s="406"/>
      <c r="BC73" s="406"/>
      <c r="BD73" s="406"/>
      <c r="BE73" s="406"/>
      <c r="BF73" s="406"/>
      <c r="BG73" s="406"/>
      <c r="BH73" s="406"/>
      <c r="BI73" s="406"/>
      <c r="BJ73" s="406"/>
      <c r="BK73" s="406"/>
      <c r="BL73" s="406"/>
      <c r="BM73" s="406"/>
      <c r="BN73" s="406"/>
      <c r="BO73" s="406"/>
    </row>
    <row r="74" spans="2:67" s="396" customFormat="1" hidden="1">
      <c r="B74" s="748"/>
      <c r="C74" s="406"/>
      <c r="D74" s="406"/>
      <c r="E74" s="406"/>
      <c r="F74" s="406"/>
      <c r="G74" s="406"/>
      <c r="H74" s="883"/>
      <c r="I74" s="406"/>
      <c r="J74" s="406"/>
      <c r="K74" s="406"/>
      <c r="L74" s="406"/>
      <c r="M74" s="406"/>
      <c r="N74" s="406"/>
      <c r="O74" s="406"/>
      <c r="P74" s="406"/>
      <c r="Q74" s="406"/>
      <c r="R74" s="406"/>
      <c r="S74" s="406"/>
      <c r="T74" s="406"/>
      <c r="U74" s="406"/>
      <c r="V74" s="406"/>
      <c r="W74" s="406"/>
      <c r="X74" s="406"/>
      <c r="Y74" s="406"/>
      <c r="Z74" s="406"/>
      <c r="AA74" s="406"/>
      <c r="AB74" s="406"/>
      <c r="AC74" s="406"/>
      <c r="AD74" s="406"/>
      <c r="AE74" s="406"/>
      <c r="AF74" s="406"/>
      <c r="AG74" s="406"/>
      <c r="AH74" s="406"/>
      <c r="AI74" s="406"/>
      <c r="AJ74" s="406"/>
      <c r="AK74" s="406"/>
      <c r="AL74" s="406"/>
      <c r="AM74" s="406"/>
      <c r="AN74" s="406"/>
      <c r="AO74" s="406"/>
      <c r="AP74" s="406"/>
      <c r="AQ74" s="406"/>
      <c r="AR74" s="406"/>
      <c r="AS74" s="406"/>
      <c r="AT74" s="406"/>
      <c r="AU74" s="406"/>
      <c r="AV74" s="406"/>
      <c r="AW74" s="406"/>
      <c r="AX74" s="406"/>
      <c r="AY74" s="406"/>
      <c r="AZ74" s="406"/>
      <c r="BA74" s="406"/>
      <c r="BB74" s="406"/>
      <c r="BC74" s="406"/>
      <c r="BD74" s="406"/>
      <c r="BE74" s="406"/>
      <c r="BF74" s="406"/>
      <c r="BG74" s="406"/>
      <c r="BH74" s="406"/>
      <c r="BI74" s="406"/>
      <c r="BJ74" s="406"/>
      <c r="BK74" s="406"/>
      <c r="BL74" s="406"/>
      <c r="BM74" s="406"/>
      <c r="BN74" s="406"/>
      <c r="BO74" s="406"/>
    </row>
    <row r="75" spans="2:67" s="396" customFormat="1" hidden="1">
      <c r="B75" s="748"/>
      <c r="C75" s="406"/>
      <c r="D75" s="406"/>
      <c r="E75" s="406"/>
      <c r="F75" s="406"/>
      <c r="G75" s="406"/>
      <c r="H75" s="883"/>
      <c r="I75" s="406"/>
      <c r="J75" s="406"/>
      <c r="K75" s="406"/>
      <c r="L75" s="406"/>
      <c r="M75" s="406"/>
      <c r="N75" s="406"/>
      <c r="O75" s="406"/>
      <c r="P75" s="406"/>
      <c r="Q75" s="406"/>
      <c r="R75" s="406"/>
      <c r="S75" s="406"/>
      <c r="T75" s="406"/>
      <c r="U75" s="406"/>
      <c r="V75" s="406"/>
      <c r="W75" s="406"/>
      <c r="X75" s="406"/>
      <c r="Y75" s="406"/>
      <c r="Z75" s="406"/>
      <c r="AA75" s="406"/>
      <c r="AB75" s="406"/>
      <c r="AC75" s="406"/>
      <c r="AD75" s="406"/>
      <c r="AE75" s="406"/>
      <c r="AF75" s="406"/>
      <c r="AG75" s="406"/>
      <c r="AH75" s="406"/>
      <c r="AI75" s="406"/>
      <c r="AJ75" s="406"/>
      <c r="AK75" s="406"/>
      <c r="AL75" s="406"/>
      <c r="AM75" s="406"/>
      <c r="AN75" s="406"/>
      <c r="AO75" s="406"/>
      <c r="AP75" s="406"/>
      <c r="AQ75" s="406"/>
      <c r="AR75" s="406"/>
      <c r="AS75" s="406"/>
      <c r="AT75" s="406"/>
      <c r="AU75" s="406"/>
      <c r="AV75" s="406"/>
      <c r="AW75" s="406"/>
      <c r="AX75" s="406"/>
      <c r="AY75" s="406"/>
      <c r="AZ75" s="406"/>
      <c r="BA75" s="406"/>
      <c r="BB75" s="406"/>
      <c r="BC75" s="406"/>
      <c r="BD75" s="406"/>
      <c r="BE75" s="406"/>
      <c r="BF75" s="406"/>
      <c r="BG75" s="406"/>
      <c r="BH75" s="406"/>
      <c r="BI75" s="406"/>
      <c r="BJ75" s="406"/>
      <c r="BK75" s="406"/>
      <c r="BL75" s="406"/>
      <c r="BM75" s="406"/>
      <c r="BN75" s="406"/>
      <c r="BO75" s="406"/>
    </row>
    <row r="76" spans="2:67" s="396" customFormat="1" hidden="1">
      <c r="B76" s="748"/>
      <c r="C76" s="406"/>
      <c r="D76" s="406"/>
      <c r="E76" s="406"/>
      <c r="F76" s="406"/>
      <c r="G76" s="406"/>
      <c r="H76" s="883"/>
      <c r="I76" s="406"/>
      <c r="J76" s="406"/>
      <c r="K76" s="406"/>
      <c r="L76" s="406"/>
      <c r="M76" s="406"/>
      <c r="N76" s="406"/>
      <c r="O76" s="406"/>
      <c r="P76" s="406"/>
      <c r="Q76" s="406"/>
      <c r="R76" s="406"/>
      <c r="S76" s="406"/>
      <c r="T76" s="406"/>
      <c r="U76" s="406"/>
      <c r="V76" s="406"/>
      <c r="W76" s="406"/>
      <c r="X76" s="406"/>
      <c r="Y76" s="406"/>
      <c r="Z76" s="406"/>
      <c r="AA76" s="406"/>
      <c r="AB76" s="406"/>
      <c r="AC76" s="406"/>
      <c r="AD76" s="406"/>
      <c r="AE76" s="406"/>
      <c r="AF76" s="406"/>
      <c r="AG76" s="406"/>
      <c r="AH76" s="406"/>
      <c r="AI76" s="406"/>
      <c r="AJ76" s="406"/>
      <c r="AK76" s="406"/>
      <c r="AL76" s="406"/>
      <c r="AM76" s="406"/>
      <c r="AN76" s="406"/>
      <c r="AO76" s="406"/>
      <c r="AP76" s="406"/>
      <c r="AQ76" s="406"/>
      <c r="AR76" s="406"/>
      <c r="AS76" s="406"/>
      <c r="AT76" s="406"/>
      <c r="AU76" s="406"/>
      <c r="AV76" s="406"/>
      <c r="AW76" s="406"/>
      <c r="AX76" s="406"/>
      <c r="AY76" s="406"/>
      <c r="AZ76" s="406"/>
      <c r="BA76" s="406"/>
      <c r="BB76" s="406"/>
      <c r="BC76" s="406"/>
      <c r="BD76" s="406"/>
      <c r="BE76" s="406"/>
      <c r="BF76" s="406"/>
      <c r="BG76" s="406"/>
      <c r="BH76" s="406"/>
      <c r="BI76" s="406"/>
      <c r="BJ76" s="406"/>
      <c r="BK76" s="406"/>
      <c r="BL76" s="406"/>
      <c r="BM76" s="406"/>
      <c r="BN76" s="406"/>
      <c r="BO76" s="406"/>
    </row>
    <row r="77" spans="2:67" s="396" customFormat="1" hidden="1">
      <c r="B77" s="748"/>
      <c r="C77" s="406"/>
      <c r="D77" s="406"/>
      <c r="E77" s="406"/>
      <c r="F77" s="406"/>
      <c r="G77" s="406"/>
      <c r="H77" s="883"/>
      <c r="I77" s="406"/>
      <c r="J77" s="406"/>
      <c r="K77" s="406"/>
      <c r="L77" s="406"/>
      <c r="M77" s="406"/>
      <c r="N77" s="406"/>
      <c r="O77" s="406"/>
      <c r="P77" s="406"/>
      <c r="Q77" s="406"/>
      <c r="R77" s="406"/>
      <c r="S77" s="406"/>
      <c r="T77" s="406"/>
      <c r="U77" s="406"/>
      <c r="V77" s="406"/>
      <c r="W77" s="406"/>
      <c r="X77" s="406"/>
      <c r="Y77" s="406"/>
      <c r="Z77" s="406"/>
      <c r="AA77" s="406"/>
      <c r="AB77" s="406"/>
      <c r="AC77" s="406"/>
      <c r="AD77" s="406"/>
      <c r="AE77" s="406"/>
      <c r="AF77" s="406"/>
      <c r="AG77" s="406"/>
      <c r="AH77" s="406"/>
      <c r="AI77" s="406"/>
      <c r="AJ77" s="406"/>
      <c r="AK77" s="406"/>
      <c r="AL77" s="406"/>
      <c r="AM77" s="406"/>
      <c r="AN77" s="406"/>
      <c r="AO77" s="406"/>
      <c r="AP77" s="406"/>
      <c r="AQ77" s="406"/>
      <c r="AR77" s="406"/>
      <c r="AS77" s="406"/>
      <c r="AT77" s="406"/>
      <c r="AU77" s="406"/>
      <c r="AV77" s="406"/>
      <c r="AW77" s="406"/>
      <c r="AX77" s="406"/>
      <c r="AY77" s="406"/>
      <c r="AZ77" s="406"/>
      <c r="BA77" s="406"/>
      <c r="BB77" s="406"/>
      <c r="BC77" s="406"/>
      <c r="BD77" s="406"/>
      <c r="BE77" s="406"/>
      <c r="BF77" s="406"/>
      <c r="BG77" s="406"/>
      <c r="BH77" s="406"/>
      <c r="BI77" s="406"/>
      <c r="BJ77" s="406"/>
      <c r="BK77" s="406"/>
      <c r="BL77" s="406"/>
      <c r="BM77" s="406"/>
      <c r="BN77" s="406"/>
      <c r="BO77" s="406"/>
    </row>
    <row r="78" spans="2:67" s="396" customFormat="1" hidden="1">
      <c r="B78" s="748"/>
      <c r="C78" s="406"/>
      <c r="D78" s="406"/>
      <c r="E78" s="406"/>
      <c r="F78" s="406"/>
      <c r="G78" s="406"/>
      <c r="H78" s="883"/>
      <c r="I78" s="406"/>
      <c r="J78" s="406"/>
      <c r="K78" s="406"/>
      <c r="L78" s="406"/>
      <c r="M78" s="406"/>
      <c r="N78" s="406"/>
      <c r="O78" s="406"/>
      <c r="P78" s="406"/>
      <c r="Q78" s="406"/>
      <c r="R78" s="406"/>
      <c r="S78" s="406"/>
      <c r="T78" s="406"/>
      <c r="U78" s="406"/>
      <c r="V78" s="406"/>
      <c r="W78" s="406"/>
      <c r="X78" s="406"/>
      <c r="Y78" s="406"/>
      <c r="Z78" s="406"/>
      <c r="AA78" s="406"/>
      <c r="AB78" s="406"/>
      <c r="AC78" s="406"/>
      <c r="AD78" s="406"/>
      <c r="AE78" s="406"/>
      <c r="AF78" s="406"/>
      <c r="AG78" s="406"/>
      <c r="AH78" s="406"/>
      <c r="AI78" s="406"/>
      <c r="AJ78" s="406"/>
      <c r="AK78" s="406"/>
      <c r="AL78" s="406"/>
      <c r="AM78" s="406"/>
      <c r="AN78" s="406"/>
      <c r="AO78" s="406"/>
      <c r="AP78" s="406"/>
      <c r="AQ78" s="406"/>
      <c r="AR78" s="406"/>
      <c r="AS78" s="406"/>
      <c r="AT78" s="406"/>
      <c r="AU78" s="406"/>
      <c r="AV78" s="406"/>
      <c r="AW78" s="406"/>
      <c r="AX78" s="406"/>
      <c r="AY78" s="406"/>
      <c r="AZ78" s="406"/>
      <c r="BA78" s="406"/>
      <c r="BB78" s="406"/>
      <c r="BC78" s="406"/>
      <c r="BD78" s="406"/>
      <c r="BE78" s="406"/>
      <c r="BF78" s="406"/>
      <c r="BG78" s="406"/>
      <c r="BH78" s="406"/>
      <c r="BI78" s="406"/>
      <c r="BJ78" s="406"/>
      <c r="BK78" s="406"/>
      <c r="BL78" s="406"/>
      <c r="BM78" s="406"/>
      <c r="BN78" s="406"/>
      <c r="BO78" s="406"/>
    </row>
    <row r="79" spans="2:67" s="396" customFormat="1" hidden="1">
      <c r="B79" s="748"/>
      <c r="C79" s="406"/>
      <c r="D79" s="406"/>
      <c r="E79" s="406"/>
      <c r="F79" s="406"/>
      <c r="G79" s="406"/>
      <c r="H79" s="883"/>
      <c r="I79" s="406"/>
      <c r="J79" s="406"/>
      <c r="K79" s="406"/>
      <c r="L79" s="406"/>
      <c r="M79" s="406"/>
      <c r="N79" s="406"/>
      <c r="O79" s="406"/>
      <c r="P79" s="406"/>
      <c r="Q79" s="406"/>
      <c r="R79" s="406"/>
      <c r="S79" s="406"/>
      <c r="T79" s="406"/>
      <c r="U79" s="406"/>
      <c r="V79" s="406"/>
      <c r="W79" s="406"/>
      <c r="X79" s="406"/>
      <c r="Y79" s="406"/>
      <c r="Z79" s="406"/>
      <c r="AA79" s="406"/>
      <c r="AB79" s="406"/>
      <c r="AC79" s="406"/>
      <c r="AD79" s="406"/>
      <c r="AE79" s="406"/>
      <c r="AF79" s="406"/>
      <c r="AG79" s="406"/>
      <c r="AH79" s="406"/>
      <c r="AI79" s="406"/>
      <c r="AJ79" s="406"/>
      <c r="AK79" s="406"/>
      <c r="AL79" s="406"/>
      <c r="AM79" s="406"/>
      <c r="AN79" s="406"/>
      <c r="AO79" s="406"/>
      <c r="AP79" s="406"/>
      <c r="AQ79" s="406"/>
      <c r="AR79" s="406"/>
      <c r="AS79" s="406"/>
      <c r="AT79" s="406"/>
      <c r="AU79" s="406"/>
      <c r="AV79" s="406"/>
      <c r="AW79" s="406"/>
      <c r="AX79" s="406"/>
      <c r="AY79" s="406"/>
      <c r="AZ79" s="406"/>
      <c r="BA79" s="406"/>
      <c r="BB79" s="406"/>
      <c r="BC79" s="406"/>
      <c r="BD79" s="406"/>
      <c r="BE79" s="406"/>
      <c r="BF79" s="406"/>
      <c r="BG79" s="406"/>
      <c r="BH79" s="406"/>
      <c r="BI79" s="406"/>
      <c r="BJ79" s="406"/>
      <c r="BK79" s="406"/>
      <c r="BL79" s="406"/>
      <c r="BM79" s="406"/>
      <c r="BN79" s="406"/>
      <c r="BO79" s="406"/>
    </row>
    <row r="80" spans="2:67" s="396" customFormat="1" hidden="1">
      <c r="B80" s="748"/>
      <c r="C80" s="406"/>
      <c r="D80" s="406"/>
      <c r="E80" s="406"/>
      <c r="F80" s="406"/>
      <c r="G80" s="406"/>
      <c r="H80" s="883"/>
      <c r="I80" s="406"/>
      <c r="J80" s="406"/>
      <c r="K80" s="406"/>
      <c r="L80" s="406"/>
      <c r="M80" s="406"/>
      <c r="N80" s="406"/>
      <c r="O80" s="406"/>
      <c r="P80" s="406"/>
      <c r="Q80" s="406"/>
      <c r="R80" s="406"/>
      <c r="S80" s="406"/>
      <c r="T80" s="406"/>
      <c r="U80" s="406"/>
      <c r="V80" s="406"/>
      <c r="W80" s="406"/>
      <c r="X80" s="406"/>
      <c r="Y80" s="406"/>
      <c r="Z80" s="406"/>
      <c r="AA80" s="406"/>
      <c r="AB80" s="406"/>
      <c r="AC80" s="406"/>
      <c r="AD80" s="406"/>
      <c r="AE80" s="406"/>
      <c r="AF80" s="406"/>
      <c r="AG80" s="406"/>
      <c r="AH80" s="406"/>
      <c r="AI80" s="406"/>
      <c r="AJ80" s="406"/>
      <c r="AK80" s="406"/>
      <c r="AL80" s="406"/>
      <c r="AM80" s="406"/>
      <c r="AN80" s="406"/>
      <c r="AO80" s="406"/>
      <c r="AP80" s="406"/>
      <c r="AQ80" s="406"/>
      <c r="AR80" s="406"/>
      <c r="AS80" s="406"/>
      <c r="AT80" s="406"/>
      <c r="AU80" s="406"/>
      <c r="AV80" s="406"/>
      <c r="AW80" s="406"/>
      <c r="AX80" s="406"/>
      <c r="AY80" s="406"/>
      <c r="AZ80" s="406"/>
      <c r="BA80" s="406"/>
      <c r="BB80" s="406"/>
      <c r="BC80" s="406"/>
      <c r="BD80" s="406"/>
      <c r="BE80" s="406"/>
      <c r="BF80" s="406"/>
      <c r="BG80" s="406"/>
      <c r="BH80" s="406"/>
      <c r="BI80" s="406"/>
      <c r="BJ80" s="406"/>
      <c r="BK80" s="406"/>
      <c r="BL80" s="406"/>
      <c r="BM80" s="406"/>
      <c r="BN80" s="406"/>
      <c r="BO80" s="406"/>
    </row>
    <row r="81" spans="2:67" s="396" customFormat="1" hidden="1">
      <c r="B81" s="748"/>
      <c r="C81" s="406"/>
      <c r="D81" s="406"/>
      <c r="E81" s="406"/>
      <c r="F81" s="406"/>
      <c r="G81" s="406"/>
      <c r="H81" s="883"/>
      <c r="I81" s="406"/>
      <c r="J81" s="406"/>
      <c r="K81" s="406"/>
      <c r="L81" s="406"/>
      <c r="M81" s="406"/>
      <c r="N81" s="406"/>
      <c r="O81" s="406"/>
      <c r="P81" s="406"/>
      <c r="Q81" s="406"/>
      <c r="R81" s="406"/>
      <c r="S81" s="406"/>
      <c r="T81" s="406"/>
      <c r="U81" s="406"/>
      <c r="V81" s="406"/>
      <c r="W81" s="406"/>
      <c r="X81" s="406"/>
      <c r="Y81" s="406"/>
      <c r="Z81" s="406"/>
      <c r="AA81" s="406"/>
      <c r="AB81" s="406"/>
      <c r="AC81" s="406"/>
      <c r="AD81" s="406"/>
      <c r="AE81" s="406"/>
      <c r="AF81" s="406"/>
      <c r="AG81" s="406"/>
      <c r="AH81" s="406"/>
      <c r="AI81" s="406"/>
      <c r="AJ81" s="406"/>
      <c r="AK81" s="406"/>
      <c r="AL81" s="406"/>
      <c r="AM81" s="406"/>
      <c r="AN81" s="406"/>
      <c r="AO81" s="406"/>
      <c r="AP81" s="406"/>
      <c r="AQ81" s="406"/>
      <c r="AR81" s="406"/>
      <c r="AS81" s="406"/>
      <c r="AT81" s="406"/>
      <c r="AU81" s="406"/>
      <c r="AV81" s="406"/>
      <c r="AW81" s="406"/>
      <c r="AX81" s="406"/>
      <c r="AY81" s="406"/>
      <c r="AZ81" s="406"/>
      <c r="BA81" s="406"/>
      <c r="BB81" s="406"/>
      <c r="BC81" s="406"/>
      <c r="BD81" s="406"/>
      <c r="BE81" s="406"/>
      <c r="BF81" s="406"/>
      <c r="BG81" s="406"/>
      <c r="BH81" s="406"/>
      <c r="BI81" s="406"/>
      <c r="BJ81" s="406"/>
      <c r="BK81" s="406"/>
      <c r="BL81" s="406"/>
      <c r="BM81" s="406"/>
      <c r="BN81" s="406"/>
      <c r="BO81" s="406"/>
    </row>
    <row r="82" spans="2:67" s="396" customFormat="1" hidden="1">
      <c r="B82" s="748"/>
      <c r="C82" s="406"/>
      <c r="D82" s="406"/>
      <c r="E82" s="406"/>
      <c r="F82" s="406"/>
      <c r="G82" s="406"/>
      <c r="H82" s="883"/>
      <c r="I82" s="406"/>
      <c r="J82" s="406"/>
      <c r="K82" s="406"/>
      <c r="L82" s="406"/>
      <c r="M82" s="406"/>
      <c r="N82" s="406"/>
      <c r="O82" s="406"/>
      <c r="P82" s="406"/>
      <c r="Q82" s="406"/>
      <c r="R82" s="406"/>
      <c r="S82" s="406"/>
      <c r="T82" s="406"/>
      <c r="U82" s="406"/>
      <c r="V82" s="406"/>
      <c r="W82" s="406"/>
      <c r="X82" s="406"/>
      <c r="Y82" s="406"/>
      <c r="Z82" s="406"/>
      <c r="AA82" s="406"/>
      <c r="AB82" s="406"/>
      <c r="AC82" s="406"/>
      <c r="AD82" s="406"/>
      <c r="AE82" s="406"/>
      <c r="AF82" s="406"/>
      <c r="AG82" s="406"/>
      <c r="AH82" s="406"/>
      <c r="AI82" s="406"/>
      <c r="AJ82" s="406"/>
      <c r="AK82" s="406"/>
      <c r="AL82" s="406"/>
      <c r="AM82" s="406"/>
      <c r="AN82" s="406"/>
      <c r="AO82" s="406"/>
      <c r="AP82" s="406"/>
      <c r="AQ82" s="406"/>
      <c r="AR82" s="406"/>
      <c r="AS82" s="406"/>
      <c r="AT82" s="406"/>
      <c r="AU82" s="406"/>
      <c r="AV82" s="406"/>
      <c r="AW82" s="406"/>
      <c r="AX82" s="406"/>
      <c r="AY82" s="406"/>
      <c r="AZ82" s="406"/>
      <c r="BA82" s="406"/>
      <c r="BB82" s="406"/>
      <c r="BC82" s="406"/>
      <c r="BD82" s="406"/>
      <c r="BE82" s="406"/>
      <c r="BF82" s="406"/>
      <c r="BG82" s="406"/>
      <c r="BH82" s="406"/>
      <c r="BI82" s="406"/>
      <c r="BJ82" s="406"/>
      <c r="BK82" s="406"/>
      <c r="BL82" s="406"/>
      <c r="BM82" s="406"/>
      <c r="BN82" s="406"/>
      <c r="BO82" s="406"/>
    </row>
    <row r="83" spans="2:67" s="396" customFormat="1" hidden="1">
      <c r="B83" s="748"/>
      <c r="C83" s="406"/>
      <c r="D83" s="406"/>
      <c r="E83" s="406"/>
      <c r="F83" s="406"/>
      <c r="G83" s="406"/>
      <c r="H83" s="883"/>
      <c r="I83" s="406"/>
      <c r="J83" s="406"/>
      <c r="K83" s="406"/>
      <c r="L83" s="406"/>
      <c r="M83" s="406"/>
      <c r="N83" s="406"/>
      <c r="O83" s="406"/>
      <c r="P83" s="406"/>
      <c r="Q83" s="406"/>
      <c r="R83" s="406"/>
      <c r="S83" s="406"/>
      <c r="T83" s="406"/>
      <c r="U83" s="406"/>
      <c r="V83" s="406"/>
      <c r="W83" s="406"/>
      <c r="X83" s="406"/>
      <c r="Y83" s="406"/>
      <c r="Z83" s="406"/>
      <c r="AA83" s="406"/>
      <c r="AB83" s="406"/>
      <c r="AC83" s="406"/>
      <c r="AD83" s="406"/>
      <c r="AE83" s="406"/>
      <c r="AF83" s="406"/>
      <c r="AG83" s="406"/>
      <c r="AH83" s="406"/>
      <c r="AI83" s="406"/>
      <c r="AJ83" s="406"/>
      <c r="AK83" s="406"/>
      <c r="AL83" s="406"/>
      <c r="AM83" s="406"/>
      <c r="AN83" s="406"/>
      <c r="AO83" s="406"/>
      <c r="AP83" s="406"/>
      <c r="AQ83" s="406"/>
      <c r="AR83" s="406"/>
      <c r="AS83" s="406"/>
      <c r="AT83" s="406"/>
      <c r="AU83" s="406"/>
      <c r="AV83" s="406"/>
      <c r="AW83" s="406"/>
      <c r="AX83" s="406"/>
      <c r="AY83" s="406"/>
      <c r="AZ83" s="406"/>
      <c r="BA83" s="406"/>
      <c r="BB83" s="406"/>
      <c r="BC83" s="406"/>
      <c r="BD83" s="406"/>
      <c r="BE83" s="406"/>
      <c r="BF83" s="406"/>
      <c r="BG83" s="406"/>
      <c r="BH83" s="406"/>
      <c r="BI83" s="406"/>
      <c r="BJ83" s="406"/>
      <c r="BK83" s="406"/>
      <c r="BL83" s="406"/>
      <c r="BM83" s="406"/>
      <c r="BN83" s="406"/>
      <c r="BO83" s="406"/>
    </row>
    <row r="84" spans="2:67" s="396" customFormat="1" hidden="1">
      <c r="B84" s="748"/>
      <c r="C84" s="406"/>
      <c r="D84" s="406"/>
      <c r="E84" s="406"/>
      <c r="F84" s="406"/>
      <c r="G84" s="406"/>
      <c r="H84" s="883"/>
      <c r="I84" s="406"/>
      <c r="J84" s="406"/>
      <c r="K84" s="406"/>
      <c r="L84" s="406"/>
      <c r="M84" s="406"/>
      <c r="N84" s="406"/>
      <c r="O84" s="406"/>
      <c r="P84" s="406"/>
      <c r="Q84" s="406"/>
      <c r="R84" s="406"/>
      <c r="S84" s="406"/>
      <c r="T84" s="406"/>
      <c r="U84" s="406"/>
      <c r="V84" s="406"/>
      <c r="W84" s="406"/>
      <c r="X84" s="406"/>
      <c r="Y84" s="406"/>
      <c r="Z84" s="406"/>
      <c r="AA84" s="406"/>
      <c r="AB84" s="406"/>
      <c r="AC84" s="406"/>
      <c r="AD84" s="406"/>
      <c r="AE84" s="406"/>
      <c r="AF84" s="406"/>
      <c r="AG84" s="406"/>
      <c r="AH84" s="406"/>
      <c r="AI84" s="406"/>
      <c r="AJ84" s="406"/>
      <c r="AK84" s="406"/>
      <c r="AL84" s="406"/>
      <c r="AM84" s="406"/>
      <c r="AN84" s="406"/>
      <c r="AO84" s="406"/>
      <c r="AP84" s="406"/>
      <c r="AQ84" s="406"/>
      <c r="AR84" s="406"/>
      <c r="AS84" s="406"/>
      <c r="AT84" s="406"/>
      <c r="AU84" s="406"/>
      <c r="AV84" s="406"/>
      <c r="AW84" s="406"/>
      <c r="AX84" s="406"/>
      <c r="AY84" s="406"/>
      <c r="AZ84" s="406"/>
      <c r="BA84" s="406"/>
      <c r="BB84" s="406"/>
      <c r="BC84" s="406"/>
      <c r="BD84" s="406"/>
      <c r="BE84" s="406"/>
      <c r="BF84" s="406"/>
      <c r="BG84" s="406"/>
      <c r="BH84" s="406"/>
      <c r="BI84" s="406"/>
      <c r="BJ84" s="406"/>
      <c r="BK84" s="406"/>
      <c r="BL84" s="406"/>
      <c r="BM84" s="406"/>
      <c r="BN84" s="406"/>
      <c r="BO84" s="406"/>
    </row>
    <row r="85" spans="2:67" s="396" customFormat="1" hidden="1">
      <c r="B85" s="748"/>
      <c r="C85" s="406"/>
      <c r="D85" s="406"/>
      <c r="E85" s="406"/>
      <c r="F85" s="406"/>
      <c r="G85" s="406"/>
      <c r="H85" s="883"/>
      <c r="I85" s="406"/>
      <c r="J85" s="406"/>
      <c r="K85" s="406"/>
      <c r="L85" s="406"/>
      <c r="M85" s="406"/>
      <c r="N85" s="406"/>
      <c r="O85" s="406"/>
      <c r="P85" s="406"/>
      <c r="Q85" s="406"/>
      <c r="R85" s="406"/>
      <c r="S85" s="406"/>
      <c r="T85" s="406"/>
      <c r="U85" s="406"/>
      <c r="V85" s="406"/>
      <c r="W85" s="406"/>
      <c r="X85" s="406"/>
      <c r="Y85" s="406"/>
      <c r="Z85" s="406"/>
      <c r="AA85" s="406"/>
      <c r="AB85" s="406"/>
      <c r="AC85" s="406"/>
      <c r="AD85" s="406"/>
      <c r="AE85" s="406"/>
      <c r="AF85" s="406"/>
      <c r="AG85" s="406"/>
      <c r="AH85" s="406"/>
      <c r="AI85" s="406"/>
      <c r="AJ85" s="406"/>
      <c r="AK85" s="406"/>
      <c r="AL85" s="406"/>
      <c r="AM85" s="406"/>
      <c r="AN85" s="406"/>
      <c r="AO85" s="406"/>
      <c r="AP85" s="406"/>
      <c r="AQ85" s="406"/>
      <c r="AR85" s="406"/>
      <c r="AS85" s="406"/>
      <c r="AT85" s="406"/>
      <c r="AU85" s="406"/>
      <c r="AV85" s="406"/>
      <c r="AW85" s="406"/>
      <c r="AX85" s="406"/>
      <c r="AY85" s="406"/>
      <c r="AZ85" s="406"/>
      <c r="BA85" s="406"/>
      <c r="BB85" s="406"/>
      <c r="BC85" s="406"/>
      <c r="BD85" s="406"/>
      <c r="BE85" s="406"/>
      <c r="BF85" s="406"/>
      <c r="BG85" s="406"/>
      <c r="BH85" s="406"/>
      <c r="BI85" s="406"/>
      <c r="BJ85" s="406"/>
      <c r="BK85" s="406"/>
      <c r="BL85" s="406"/>
      <c r="BM85" s="406"/>
      <c r="BN85" s="406"/>
      <c r="BO85" s="406"/>
    </row>
    <row r="86" spans="2:67" s="396" customFormat="1" hidden="1">
      <c r="B86" s="748"/>
      <c r="C86" s="406"/>
      <c r="D86" s="406"/>
      <c r="E86" s="406"/>
      <c r="F86" s="406"/>
      <c r="G86" s="406"/>
      <c r="H86" s="883"/>
      <c r="I86" s="406"/>
      <c r="J86" s="406"/>
      <c r="K86" s="406"/>
      <c r="L86" s="406"/>
      <c r="M86" s="406"/>
      <c r="N86" s="406"/>
      <c r="O86" s="406"/>
      <c r="P86" s="406"/>
      <c r="Q86" s="406"/>
      <c r="R86" s="406"/>
      <c r="S86" s="406"/>
      <c r="T86" s="406"/>
      <c r="U86" s="406"/>
      <c r="V86" s="406"/>
      <c r="W86" s="406"/>
      <c r="X86" s="406"/>
      <c r="Y86" s="406"/>
      <c r="Z86" s="406"/>
      <c r="AA86" s="406"/>
      <c r="AB86" s="406"/>
      <c r="AC86" s="406"/>
      <c r="AD86" s="406"/>
      <c r="AE86" s="406"/>
      <c r="AF86" s="406"/>
      <c r="AG86" s="406"/>
      <c r="AH86" s="406"/>
      <c r="AI86" s="406"/>
      <c r="AJ86" s="406"/>
      <c r="AK86" s="406"/>
      <c r="AL86" s="406"/>
      <c r="AM86" s="406"/>
      <c r="AN86" s="406"/>
      <c r="AO86" s="406"/>
      <c r="AP86" s="406"/>
      <c r="AQ86" s="406"/>
      <c r="AR86" s="406"/>
      <c r="AS86" s="406"/>
      <c r="AT86" s="406"/>
      <c r="AU86" s="406"/>
      <c r="AV86" s="406"/>
      <c r="AW86" s="406"/>
      <c r="AX86" s="406"/>
      <c r="AY86" s="406"/>
      <c r="AZ86" s="406"/>
      <c r="BA86" s="406"/>
      <c r="BB86" s="406"/>
      <c r="BC86" s="406"/>
      <c r="BD86" s="406"/>
      <c r="BE86" s="406"/>
      <c r="BF86" s="406"/>
      <c r="BG86" s="406"/>
      <c r="BH86" s="406"/>
      <c r="BI86" s="406"/>
      <c r="BJ86" s="406"/>
      <c r="BK86" s="406"/>
      <c r="BL86" s="406"/>
      <c r="BM86" s="406"/>
      <c r="BN86" s="406"/>
      <c r="BO86" s="406"/>
    </row>
    <row r="87" spans="2:67" s="396" customFormat="1" hidden="1">
      <c r="B87" s="748"/>
      <c r="C87" s="406"/>
      <c r="D87" s="406"/>
      <c r="E87" s="406"/>
      <c r="F87" s="406"/>
      <c r="G87" s="406"/>
      <c r="H87" s="883"/>
      <c r="I87" s="406"/>
      <c r="J87" s="406"/>
      <c r="K87" s="406"/>
      <c r="L87" s="406"/>
      <c r="M87" s="406"/>
      <c r="N87" s="406"/>
      <c r="O87" s="406"/>
      <c r="P87" s="406"/>
      <c r="Q87" s="406"/>
      <c r="R87" s="406"/>
      <c r="S87" s="406"/>
      <c r="T87" s="406"/>
      <c r="U87" s="406"/>
      <c r="V87" s="406"/>
      <c r="W87" s="406"/>
      <c r="X87" s="406"/>
      <c r="Y87" s="406"/>
      <c r="Z87" s="406"/>
      <c r="AA87" s="406"/>
      <c r="AB87" s="406"/>
      <c r="AC87" s="406"/>
      <c r="AD87" s="406"/>
      <c r="AE87" s="406"/>
      <c r="AF87" s="406"/>
      <c r="AG87" s="406"/>
      <c r="AH87" s="406"/>
      <c r="AI87" s="406"/>
      <c r="AJ87" s="406"/>
      <c r="AK87" s="406"/>
      <c r="AL87" s="406"/>
      <c r="AM87" s="406"/>
      <c r="AN87" s="406"/>
      <c r="AO87" s="406"/>
      <c r="AP87" s="406"/>
      <c r="AQ87" s="406"/>
      <c r="AR87" s="406"/>
      <c r="AS87" s="406"/>
      <c r="AT87" s="406"/>
      <c r="AU87" s="406"/>
      <c r="AV87" s="406"/>
      <c r="AW87" s="406"/>
      <c r="AX87" s="406"/>
      <c r="AY87" s="406"/>
      <c r="AZ87" s="406"/>
      <c r="BA87" s="406"/>
      <c r="BB87" s="406"/>
      <c r="BC87" s="406"/>
      <c r="BD87" s="406"/>
      <c r="BE87" s="406"/>
      <c r="BF87" s="406"/>
      <c r="BG87" s="406"/>
      <c r="BH87" s="406"/>
      <c r="BI87" s="406"/>
      <c r="BJ87" s="406"/>
      <c r="BK87" s="406"/>
      <c r="BL87" s="406"/>
      <c r="BM87" s="406"/>
      <c r="BN87" s="406"/>
      <c r="BO87" s="406"/>
    </row>
    <row r="88" spans="2:67" s="396" customFormat="1" hidden="1">
      <c r="B88" s="748"/>
      <c r="C88" s="406"/>
      <c r="D88" s="406"/>
      <c r="E88" s="406"/>
      <c r="F88" s="406"/>
      <c r="G88" s="406"/>
      <c r="H88" s="883"/>
      <c r="I88" s="406"/>
      <c r="J88" s="406"/>
      <c r="K88" s="406"/>
      <c r="L88" s="406"/>
      <c r="M88" s="406"/>
      <c r="N88" s="406"/>
      <c r="O88" s="406"/>
      <c r="P88" s="406"/>
      <c r="Q88" s="406"/>
      <c r="R88" s="406"/>
      <c r="S88" s="406"/>
      <c r="T88" s="406"/>
      <c r="U88" s="406"/>
      <c r="V88" s="406"/>
      <c r="W88" s="406"/>
      <c r="X88" s="406"/>
      <c r="Y88" s="406"/>
      <c r="Z88" s="406"/>
      <c r="AA88" s="406"/>
      <c r="AB88" s="406"/>
      <c r="AC88" s="406"/>
      <c r="AD88" s="406"/>
      <c r="AE88" s="406"/>
      <c r="AF88" s="406"/>
      <c r="AG88" s="406"/>
      <c r="AH88" s="406"/>
      <c r="AI88" s="406"/>
      <c r="AJ88" s="406"/>
      <c r="AK88" s="406"/>
      <c r="AL88" s="406"/>
      <c r="AM88" s="406"/>
      <c r="AN88" s="406"/>
      <c r="AO88" s="406"/>
      <c r="AP88" s="406"/>
      <c r="AQ88" s="406"/>
      <c r="AR88" s="406"/>
      <c r="AS88" s="406"/>
      <c r="AT88" s="406"/>
      <c r="AU88" s="406"/>
      <c r="AV88" s="406"/>
      <c r="AW88" s="406"/>
      <c r="AX88" s="406"/>
      <c r="AY88" s="406"/>
      <c r="AZ88" s="406"/>
      <c r="BA88" s="406"/>
      <c r="BB88" s="406"/>
      <c r="BC88" s="406"/>
      <c r="BD88" s="406"/>
      <c r="BE88" s="406"/>
      <c r="BF88" s="406"/>
      <c r="BG88" s="406"/>
      <c r="BH88" s="406"/>
      <c r="BI88" s="406"/>
      <c r="BJ88" s="406"/>
      <c r="BK88" s="406"/>
      <c r="BL88" s="406"/>
      <c r="BM88" s="406"/>
      <c r="BN88" s="406"/>
      <c r="BO88" s="406"/>
    </row>
    <row r="89" spans="2:67" s="396" customFormat="1" hidden="1">
      <c r="B89" s="748"/>
      <c r="C89" s="406"/>
      <c r="D89" s="406"/>
      <c r="E89" s="406"/>
      <c r="F89" s="406"/>
      <c r="G89" s="406"/>
      <c r="H89" s="883"/>
      <c r="I89" s="406"/>
      <c r="J89" s="406"/>
      <c r="K89" s="406"/>
      <c r="L89" s="406"/>
      <c r="M89" s="406"/>
      <c r="N89" s="406"/>
      <c r="O89" s="406"/>
      <c r="P89" s="406"/>
      <c r="Q89" s="406"/>
      <c r="R89" s="406"/>
      <c r="S89" s="406"/>
      <c r="T89" s="406"/>
      <c r="U89" s="406"/>
      <c r="V89" s="406"/>
      <c r="W89" s="406"/>
      <c r="X89" s="406"/>
      <c r="Y89" s="406"/>
      <c r="Z89" s="406"/>
      <c r="AA89" s="406"/>
      <c r="AB89" s="406"/>
      <c r="AC89" s="406"/>
      <c r="AD89" s="406"/>
      <c r="AE89" s="406"/>
      <c r="AF89" s="406"/>
      <c r="AG89" s="406"/>
      <c r="AH89" s="406"/>
      <c r="AI89" s="406"/>
      <c r="AJ89" s="406"/>
      <c r="AK89" s="406"/>
      <c r="AL89" s="406"/>
      <c r="AM89" s="406"/>
      <c r="AN89" s="406"/>
      <c r="AO89" s="406"/>
      <c r="AP89" s="406"/>
      <c r="AQ89" s="406"/>
      <c r="AR89" s="406"/>
      <c r="AS89" s="406"/>
      <c r="AT89" s="406"/>
      <c r="AU89" s="406"/>
      <c r="AV89" s="406"/>
      <c r="AW89" s="406"/>
      <c r="AX89" s="406"/>
      <c r="AY89" s="406"/>
      <c r="AZ89" s="406"/>
      <c r="BA89" s="406"/>
      <c r="BB89" s="406"/>
      <c r="BC89" s="406"/>
      <c r="BD89" s="406"/>
      <c r="BE89" s="406"/>
      <c r="BF89" s="406"/>
      <c r="BG89" s="406"/>
      <c r="BH89" s="406"/>
      <c r="BI89" s="406"/>
      <c r="BJ89" s="406"/>
      <c r="BK89" s="406"/>
      <c r="BL89" s="406"/>
      <c r="BM89" s="406"/>
      <c r="BN89" s="406"/>
      <c r="BO89" s="406"/>
    </row>
    <row r="90" spans="2:67" s="396" customFormat="1" hidden="1">
      <c r="B90" s="748"/>
      <c r="C90" s="406"/>
      <c r="D90" s="406"/>
      <c r="E90" s="406"/>
      <c r="F90" s="406"/>
      <c r="G90" s="406"/>
      <c r="H90" s="883"/>
      <c r="I90" s="406"/>
      <c r="J90" s="406"/>
      <c r="K90" s="406"/>
      <c r="L90" s="406"/>
      <c r="M90" s="406"/>
      <c r="N90" s="406"/>
      <c r="O90" s="406"/>
      <c r="P90" s="406"/>
      <c r="Q90" s="406"/>
      <c r="R90" s="406"/>
      <c r="S90" s="406"/>
      <c r="T90" s="406"/>
      <c r="U90" s="406"/>
      <c r="V90" s="406"/>
      <c r="W90" s="406"/>
      <c r="X90" s="406"/>
      <c r="Y90" s="406"/>
      <c r="Z90" s="406"/>
      <c r="AA90" s="406"/>
      <c r="AB90" s="406"/>
      <c r="AC90" s="406"/>
      <c r="AD90" s="406"/>
      <c r="AE90" s="406"/>
      <c r="AF90" s="406"/>
      <c r="AG90" s="406"/>
      <c r="AH90" s="406"/>
      <c r="AI90" s="406"/>
      <c r="AJ90" s="406"/>
      <c r="AK90" s="406"/>
      <c r="AL90" s="406"/>
      <c r="AM90" s="406"/>
      <c r="AN90" s="406"/>
      <c r="AO90" s="406"/>
      <c r="AP90" s="406"/>
      <c r="AQ90" s="406"/>
      <c r="AR90" s="406"/>
      <c r="AS90" s="406"/>
      <c r="AT90" s="406"/>
      <c r="AU90" s="406"/>
      <c r="AV90" s="406"/>
      <c r="AW90" s="406"/>
      <c r="AX90" s="406"/>
      <c r="AY90" s="406"/>
      <c r="AZ90" s="406"/>
      <c r="BA90" s="406"/>
      <c r="BB90" s="406"/>
      <c r="BC90" s="406"/>
      <c r="BD90" s="406"/>
      <c r="BE90" s="406"/>
      <c r="BF90" s="406"/>
      <c r="BG90" s="406"/>
      <c r="BH90" s="406"/>
      <c r="BI90" s="406"/>
      <c r="BJ90" s="406"/>
      <c r="BK90" s="406"/>
      <c r="BL90" s="406"/>
      <c r="BM90" s="406"/>
      <c r="BN90" s="406"/>
      <c r="BO90" s="406"/>
    </row>
    <row r="91" spans="2:67" s="396" customFormat="1" hidden="1">
      <c r="B91" s="748"/>
      <c r="C91" s="406"/>
      <c r="D91" s="406"/>
      <c r="E91" s="406"/>
      <c r="F91" s="406"/>
      <c r="G91" s="406"/>
      <c r="H91" s="883"/>
      <c r="I91" s="406"/>
      <c r="J91" s="406"/>
      <c r="K91" s="406"/>
      <c r="L91" s="406"/>
      <c r="M91" s="406"/>
      <c r="N91" s="406"/>
      <c r="O91" s="406"/>
      <c r="P91" s="406"/>
      <c r="Q91" s="406"/>
      <c r="R91" s="406"/>
      <c r="S91" s="406"/>
      <c r="T91" s="406"/>
      <c r="U91" s="406"/>
      <c r="V91" s="406"/>
      <c r="W91" s="406"/>
      <c r="X91" s="406"/>
      <c r="Y91" s="406"/>
      <c r="Z91" s="406"/>
      <c r="AA91" s="406"/>
      <c r="AB91" s="406"/>
      <c r="AC91" s="406"/>
      <c r="AD91" s="406"/>
      <c r="AE91" s="406"/>
      <c r="AF91" s="406"/>
      <c r="AG91" s="406"/>
      <c r="AH91" s="406"/>
      <c r="AI91" s="406"/>
      <c r="AJ91" s="406"/>
      <c r="AK91" s="406"/>
      <c r="AL91" s="406"/>
      <c r="AM91" s="406"/>
      <c r="AN91" s="406"/>
      <c r="AO91" s="406"/>
      <c r="AP91" s="406"/>
      <c r="AQ91" s="406"/>
      <c r="AR91" s="406"/>
      <c r="AS91" s="406"/>
      <c r="AT91" s="406"/>
      <c r="AU91" s="406"/>
      <c r="AV91" s="406"/>
      <c r="AW91" s="406"/>
      <c r="AX91" s="406"/>
      <c r="AY91" s="406"/>
      <c r="AZ91" s="406"/>
      <c r="BA91" s="406"/>
      <c r="BB91" s="406"/>
      <c r="BC91" s="406"/>
      <c r="BD91" s="406"/>
      <c r="BE91" s="406"/>
      <c r="BF91" s="406"/>
      <c r="BG91" s="406"/>
      <c r="BH91" s="406"/>
      <c r="BI91" s="406"/>
      <c r="BJ91" s="406"/>
      <c r="BK91" s="406"/>
      <c r="BL91" s="406"/>
      <c r="BM91" s="406"/>
      <c r="BN91" s="406"/>
      <c r="BO91" s="406"/>
    </row>
    <row r="92" spans="2:67" s="396" customFormat="1" hidden="1">
      <c r="B92" s="748"/>
      <c r="C92" s="406"/>
      <c r="D92" s="406"/>
      <c r="E92" s="406"/>
      <c r="F92" s="406"/>
      <c r="G92" s="406"/>
      <c r="H92" s="883"/>
      <c r="I92" s="406"/>
      <c r="J92" s="406"/>
      <c r="K92" s="406"/>
      <c r="L92" s="406"/>
      <c r="M92" s="406"/>
      <c r="N92" s="406"/>
      <c r="O92" s="406"/>
      <c r="P92" s="406"/>
      <c r="Q92" s="406"/>
      <c r="R92" s="406"/>
      <c r="S92" s="406"/>
      <c r="T92" s="406"/>
      <c r="U92" s="406"/>
      <c r="V92" s="406"/>
      <c r="W92" s="406"/>
      <c r="X92" s="406"/>
      <c r="Y92" s="406"/>
      <c r="Z92" s="406"/>
      <c r="AA92" s="406"/>
      <c r="AB92" s="406"/>
      <c r="AC92" s="406"/>
      <c r="AD92" s="406"/>
      <c r="AE92" s="406"/>
      <c r="AF92" s="406"/>
      <c r="AG92" s="406"/>
      <c r="AH92" s="406"/>
      <c r="AI92" s="406"/>
      <c r="AJ92" s="406"/>
      <c r="AK92" s="406"/>
      <c r="AL92" s="406"/>
      <c r="AM92" s="406"/>
      <c r="AN92" s="406"/>
      <c r="AO92" s="406"/>
      <c r="AP92" s="406"/>
      <c r="AQ92" s="406"/>
      <c r="AR92" s="406"/>
      <c r="AS92" s="406"/>
      <c r="AT92" s="406"/>
      <c r="AU92" s="406"/>
      <c r="AV92" s="406"/>
      <c r="AW92" s="406"/>
      <c r="AX92" s="406"/>
      <c r="AY92" s="406"/>
      <c r="AZ92" s="406"/>
      <c r="BA92" s="406"/>
      <c r="BB92" s="406"/>
      <c r="BC92" s="406"/>
      <c r="BD92" s="406"/>
      <c r="BE92" s="406"/>
      <c r="BF92" s="406"/>
      <c r="BG92" s="406"/>
      <c r="BH92" s="406"/>
      <c r="BI92" s="406"/>
      <c r="BJ92" s="406"/>
      <c r="BK92" s="406"/>
      <c r="BL92" s="406"/>
      <c r="BM92" s="406"/>
      <c r="BN92" s="406"/>
      <c r="BO92" s="406"/>
    </row>
    <row r="93" spans="2:67" s="396" customFormat="1" hidden="1">
      <c r="B93" s="748"/>
      <c r="C93" s="406"/>
      <c r="D93" s="406"/>
      <c r="E93" s="406"/>
      <c r="F93" s="406"/>
      <c r="G93" s="406"/>
      <c r="H93" s="883"/>
      <c r="I93" s="406"/>
      <c r="J93" s="406"/>
      <c r="K93" s="406"/>
      <c r="L93" s="406"/>
      <c r="M93" s="406"/>
      <c r="N93" s="406"/>
      <c r="O93" s="406"/>
      <c r="P93" s="406"/>
      <c r="Q93" s="406"/>
      <c r="R93" s="406"/>
      <c r="S93" s="406"/>
      <c r="T93" s="406"/>
      <c r="U93" s="406"/>
      <c r="V93" s="406"/>
      <c r="W93" s="406"/>
      <c r="X93" s="406"/>
      <c r="Y93" s="406"/>
      <c r="Z93" s="406"/>
      <c r="AA93" s="406"/>
      <c r="AB93" s="406"/>
      <c r="AC93" s="406"/>
      <c r="AD93" s="406"/>
      <c r="AE93" s="406"/>
      <c r="AF93" s="406"/>
      <c r="AG93" s="406"/>
      <c r="AH93" s="406"/>
      <c r="AI93" s="406"/>
      <c r="AJ93" s="406"/>
      <c r="AK93" s="406"/>
      <c r="AL93" s="406"/>
      <c r="AM93" s="406"/>
      <c r="AN93" s="406"/>
      <c r="AO93" s="406"/>
      <c r="AP93" s="406"/>
      <c r="AQ93" s="406"/>
      <c r="AR93" s="406"/>
      <c r="AS93" s="406"/>
      <c r="AT93" s="406"/>
      <c r="AU93" s="406"/>
      <c r="AV93" s="406"/>
      <c r="AW93" s="406"/>
      <c r="AX93" s="406"/>
      <c r="AY93" s="406"/>
      <c r="AZ93" s="406"/>
      <c r="BA93" s="406"/>
      <c r="BB93" s="406"/>
      <c r="BC93" s="406"/>
      <c r="BD93" s="406"/>
      <c r="BE93" s="406"/>
      <c r="BF93" s="406"/>
      <c r="BG93" s="406"/>
      <c r="BH93" s="406"/>
      <c r="BI93" s="406"/>
      <c r="BJ93" s="406"/>
      <c r="BK93" s="406"/>
      <c r="BL93" s="406"/>
      <c r="BM93" s="406"/>
      <c r="BN93" s="406"/>
      <c r="BO93" s="406"/>
    </row>
    <row r="94" spans="2:67" s="396" customFormat="1" hidden="1">
      <c r="B94" s="748"/>
      <c r="C94" s="406"/>
      <c r="D94" s="406"/>
      <c r="E94" s="406"/>
      <c r="F94" s="406"/>
      <c r="G94" s="406"/>
      <c r="H94" s="883"/>
      <c r="I94" s="406"/>
      <c r="J94" s="406"/>
      <c r="K94" s="406"/>
      <c r="L94" s="406"/>
      <c r="M94" s="406"/>
      <c r="N94" s="406"/>
      <c r="O94" s="406"/>
      <c r="P94" s="406"/>
      <c r="Q94" s="406"/>
      <c r="R94" s="406"/>
      <c r="S94" s="406"/>
      <c r="T94" s="406"/>
      <c r="U94" s="406"/>
      <c r="V94" s="406"/>
      <c r="W94" s="406"/>
      <c r="X94" s="406"/>
      <c r="Y94" s="406"/>
      <c r="Z94" s="406"/>
      <c r="AA94" s="406"/>
      <c r="AB94" s="406"/>
      <c r="AC94" s="406"/>
      <c r="AD94" s="406"/>
      <c r="AE94" s="406"/>
      <c r="AF94" s="406"/>
      <c r="AG94" s="406"/>
      <c r="AH94" s="406"/>
      <c r="AI94" s="406"/>
      <c r="AJ94" s="406"/>
      <c r="AK94" s="406"/>
      <c r="AL94" s="406"/>
      <c r="AM94" s="406"/>
      <c r="AN94" s="406"/>
      <c r="AO94" s="406"/>
      <c r="AP94" s="406"/>
      <c r="AQ94" s="406"/>
      <c r="AR94" s="406"/>
      <c r="AS94" s="406"/>
      <c r="AT94" s="406"/>
      <c r="AU94" s="406"/>
      <c r="AV94" s="406"/>
      <c r="AW94" s="406"/>
      <c r="AX94" s="406"/>
      <c r="AY94" s="406"/>
      <c r="AZ94" s="406"/>
      <c r="BA94" s="406"/>
      <c r="BB94" s="406"/>
      <c r="BC94" s="406"/>
      <c r="BD94" s="406"/>
      <c r="BE94" s="406"/>
      <c r="BF94" s="406"/>
      <c r="BG94" s="406"/>
      <c r="BH94" s="406"/>
      <c r="BI94" s="406"/>
      <c r="BJ94" s="406"/>
      <c r="BK94" s="406"/>
      <c r="BL94" s="406"/>
      <c r="BM94" s="406"/>
      <c r="BN94" s="406"/>
      <c r="BO94" s="406"/>
    </row>
    <row r="95" spans="2:67" s="396" customFormat="1" hidden="1">
      <c r="B95" s="748"/>
      <c r="C95" s="406"/>
      <c r="D95" s="406"/>
      <c r="E95" s="406"/>
      <c r="F95" s="406"/>
      <c r="G95" s="406"/>
      <c r="H95" s="883"/>
      <c r="I95" s="406"/>
      <c r="J95" s="406"/>
      <c r="K95" s="406"/>
      <c r="L95" s="406"/>
      <c r="M95" s="406"/>
      <c r="N95" s="406"/>
      <c r="O95" s="406"/>
      <c r="P95" s="406"/>
      <c r="Q95" s="406"/>
      <c r="R95" s="406"/>
      <c r="S95" s="406"/>
      <c r="T95" s="406"/>
      <c r="U95" s="406"/>
      <c r="V95" s="406"/>
      <c r="W95" s="406"/>
      <c r="X95" s="406"/>
      <c r="Y95" s="406"/>
      <c r="Z95" s="406"/>
      <c r="AA95" s="406"/>
      <c r="AB95" s="406"/>
      <c r="AC95" s="406"/>
      <c r="AD95" s="406"/>
      <c r="AE95" s="406"/>
      <c r="AF95" s="406"/>
      <c r="AG95" s="406"/>
      <c r="AH95" s="406"/>
      <c r="AI95" s="406"/>
      <c r="AJ95" s="406"/>
      <c r="AK95" s="406"/>
      <c r="AL95" s="406"/>
      <c r="AM95" s="406"/>
      <c r="AN95" s="406"/>
      <c r="AO95" s="406"/>
      <c r="AP95" s="406"/>
      <c r="AQ95" s="406"/>
      <c r="AR95" s="406"/>
      <c r="AS95" s="406"/>
      <c r="AT95" s="406"/>
      <c r="AU95" s="406"/>
      <c r="AV95" s="406"/>
      <c r="AW95" s="406"/>
      <c r="AX95" s="406"/>
      <c r="AY95" s="406"/>
      <c r="AZ95" s="406"/>
      <c r="BA95" s="406"/>
      <c r="BB95" s="406"/>
      <c r="BC95" s="406"/>
      <c r="BD95" s="406"/>
      <c r="BE95" s="406"/>
      <c r="BF95" s="406"/>
      <c r="BG95" s="406"/>
      <c r="BH95" s="406"/>
      <c r="BI95" s="406"/>
      <c r="BJ95" s="406"/>
      <c r="BK95" s="406"/>
      <c r="BL95" s="406"/>
      <c r="BM95" s="406"/>
      <c r="BN95" s="406"/>
      <c r="BO95" s="406"/>
    </row>
    <row r="96" spans="2:67" s="396" customFormat="1" hidden="1">
      <c r="B96" s="748"/>
      <c r="C96" s="406"/>
      <c r="D96" s="406"/>
      <c r="E96" s="406"/>
      <c r="F96" s="406"/>
      <c r="G96" s="406"/>
      <c r="H96" s="883"/>
      <c r="I96" s="406"/>
      <c r="J96" s="406"/>
      <c r="K96" s="406"/>
      <c r="L96" s="406"/>
      <c r="M96" s="406"/>
      <c r="N96" s="406"/>
      <c r="O96" s="406"/>
      <c r="P96" s="406"/>
      <c r="Q96" s="406"/>
      <c r="R96" s="406"/>
      <c r="S96" s="406"/>
      <c r="T96" s="406"/>
      <c r="U96" s="406"/>
      <c r="V96" s="406"/>
      <c r="W96" s="406"/>
      <c r="X96" s="406"/>
      <c r="Y96" s="406"/>
      <c r="Z96" s="406"/>
      <c r="AA96" s="406"/>
      <c r="AB96" s="406"/>
      <c r="AC96" s="406"/>
      <c r="AD96" s="406"/>
      <c r="AE96" s="406"/>
      <c r="AF96" s="406"/>
      <c r="AG96" s="406"/>
      <c r="AH96" s="406"/>
      <c r="AI96" s="406"/>
      <c r="AJ96" s="406"/>
      <c r="AK96" s="406"/>
      <c r="AL96" s="406"/>
      <c r="AM96" s="406"/>
      <c r="AN96" s="406"/>
      <c r="AO96" s="406"/>
      <c r="AP96" s="406"/>
      <c r="AQ96" s="406"/>
      <c r="AR96" s="406"/>
      <c r="AS96" s="406"/>
      <c r="AT96" s="406"/>
      <c r="AU96" s="406"/>
      <c r="AV96" s="406"/>
      <c r="AW96" s="406"/>
      <c r="AX96" s="406"/>
      <c r="AY96" s="406"/>
      <c r="AZ96" s="406"/>
      <c r="BA96" s="406"/>
      <c r="BB96" s="406"/>
      <c r="BC96" s="406"/>
      <c r="BD96" s="406"/>
      <c r="BE96" s="406"/>
      <c r="BF96" s="406"/>
      <c r="BG96" s="406"/>
      <c r="BH96" s="406"/>
      <c r="BI96" s="406"/>
      <c r="BJ96" s="406"/>
      <c r="BK96" s="406"/>
      <c r="BL96" s="406"/>
      <c r="BM96" s="406"/>
      <c r="BN96" s="406"/>
      <c r="BO96" s="406"/>
    </row>
    <row r="97" spans="2:67" s="396" customFormat="1" hidden="1">
      <c r="B97" s="748"/>
      <c r="C97" s="406"/>
      <c r="D97" s="406"/>
      <c r="E97" s="406"/>
      <c r="F97" s="406"/>
      <c r="G97" s="406"/>
      <c r="H97" s="883"/>
      <c r="I97" s="406"/>
      <c r="J97" s="406"/>
      <c r="K97" s="406"/>
      <c r="L97" s="406"/>
      <c r="M97" s="406"/>
      <c r="N97" s="406"/>
      <c r="O97" s="406"/>
      <c r="P97" s="406"/>
      <c r="Q97" s="406"/>
      <c r="R97" s="406"/>
      <c r="S97" s="406"/>
      <c r="T97" s="406"/>
      <c r="U97" s="406"/>
      <c r="V97" s="406"/>
      <c r="W97" s="406"/>
      <c r="X97" s="406"/>
      <c r="Y97" s="406"/>
      <c r="Z97" s="406"/>
      <c r="AA97" s="406"/>
      <c r="AB97" s="406"/>
      <c r="AC97" s="406"/>
      <c r="AD97" s="406"/>
      <c r="AE97" s="406"/>
      <c r="AF97" s="406"/>
      <c r="AG97" s="406"/>
      <c r="AH97" s="406"/>
      <c r="AI97" s="406"/>
      <c r="AJ97" s="406"/>
      <c r="AK97" s="406"/>
      <c r="AL97" s="406"/>
      <c r="AM97" s="406"/>
      <c r="AN97" s="406"/>
      <c r="AO97" s="406"/>
      <c r="AP97" s="406"/>
      <c r="AQ97" s="406"/>
      <c r="AR97" s="406"/>
      <c r="AS97" s="406"/>
      <c r="AT97" s="406"/>
      <c r="AU97" s="406"/>
      <c r="AV97" s="406"/>
      <c r="AW97" s="406"/>
      <c r="AX97" s="406"/>
      <c r="AY97" s="406"/>
      <c r="AZ97" s="406"/>
      <c r="BA97" s="406"/>
      <c r="BB97" s="406"/>
      <c r="BC97" s="406"/>
      <c r="BD97" s="406"/>
      <c r="BE97" s="406"/>
      <c r="BF97" s="406"/>
      <c r="BG97" s="406"/>
      <c r="BH97" s="406"/>
      <c r="BI97" s="406"/>
      <c r="BJ97" s="406"/>
      <c r="BK97" s="406"/>
      <c r="BL97" s="406"/>
      <c r="BM97" s="406"/>
      <c r="BN97" s="406"/>
      <c r="BO97" s="406"/>
    </row>
    <row r="98" spans="2:67" hidden="1">
      <c r="C98" s="413"/>
      <c r="D98" s="413"/>
      <c r="E98" s="413"/>
      <c r="F98" s="413"/>
      <c r="G98" s="413"/>
      <c r="H98" s="414"/>
      <c r="I98" s="406"/>
      <c r="J98" s="406"/>
      <c r="K98" s="406"/>
      <c r="L98" s="406"/>
      <c r="M98" s="406"/>
      <c r="N98" s="406"/>
      <c r="O98" s="406"/>
      <c r="P98" s="406"/>
      <c r="Q98" s="406"/>
      <c r="R98" s="406"/>
      <c r="S98" s="406"/>
      <c r="T98" s="406"/>
      <c r="U98" s="406"/>
      <c r="V98" s="406"/>
      <c r="W98" s="406"/>
      <c r="X98" s="406"/>
      <c r="Y98" s="406"/>
      <c r="Z98" s="406"/>
      <c r="AA98" s="406"/>
      <c r="AB98" s="406"/>
      <c r="AC98" s="406"/>
      <c r="AD98" s="406"/>
      <c r="AE98" s="406"/>
      <c r="AF98" s="406"/>
      <c r="AG98" s="406"/>
      <c r="AH98" s="406"/>
      <c r="AI98" s="406"/>
      <c r="AJ98" s="406"/>
      <c r="AK98" s="406"/>
      <c r="AL98" s="406"/>
      <c r="AM98" s="406"/>
      <c r="AN98" s="406"/>
      <c r="AO98" s="406"/>
      <c r="AP98" s="406"/>
      <c r="AQ98" s="406"/>
      <c r="AR98" s="406"/>
      <c r="AS98" s="406"/>
      <c r="AT98" s="406"/>
      <c r="AU98" s="406"/>
      <c r="AV98" s="406"/>
      <c r="AW98" s="406"/>
      <c r="AX98" s="406"/>
      <c r="AY98" s="406"/>
      <c r="AZ98" s="406"/>
      <c r="BA98" s="406"/>
      <c r="BB98" s="406"/>
      <c r="BC98" s="406"/>
      <c r="BD98" s="406"/>
      <c r="BE98" s="406"/>
      <c r="BF98" s="406"/>
      <c r="BG98" s="406"/>
      <c r="BH98" s="406"/>
      <c r="BI98" s="406"/>
      <c r="BJ98" s="406"/>
      <c r="BK98" s="406"/>
      <c r="BL98" s="406"/>
      <c r="BM98" s="406"/>
      <c r="BN98" s="406"/>
      <c r="BO98" s="406"/>
    </row>
    <row r="99" spans="2:67" hidden="1">
      <c r="C99" s="413"/>
      <c r="D99" s="413"/>
      <c r="E99" s="413"/>
      <c r="F99" s="413"/>
      <c r="G99" s="413"/>
      <c r="H99" s="414"/>
      <c r="I99" s="406"/>
      <c r="J99" s="406"/>
      <c r="K99" s="406"/>
      <c r="L99" s="406"/>
      <c r="M99" s="406"/>
      <c r="N99" s="406"/>
      <c r="O99" s="406"/>
      <c r="P99" s="406"/>
      <c r="Q99" s="406"/>
      <c r="R99" s="406"/>
      <c r="S99" s="406"/>
      <c r="T99" s="406"/>
      <c r="U99" s="406"/>
      <c r="V99" s="406"/>
      <c r="W99" s="406"/>
      <c r="X99" s="406"/>
      <c r="Y99" s="406"/>
      <c r="Z99" s="406"/>
      <c r="AA99" s="406"/>
      <c r="AB99" s="406"/>
      <c r="AC99" s="406"/>
      <c r="AD99" s="406"/>
      <c r="AE99" s="406"/>
      <c r="AF99" s="406"/>
      <c r="AG99" s="406"/>
      <c r="AH99" s="406"/>
      <c r="AI99" s="406"/>
      <c r="AJ99" s="406"/>
      <c r="AK99" s="406"/>
      <c r="AL99" s="406"/>
      <c r="AM99" s="406"/>
      <c r="AN99" s="406"/>
      <c r="AO99" s="406"/>
      <c r="AP99" s="406"/>
      <c r="AQ99" s="406"/>
      <c r="AR99" s="406"/>
      <c r="AS99" s="406"/>
      <c r="AT99" s="406"/>
      <c r="AU99" s="406"/>
      <c r="AV99" s="406"/>
      <c r="AW99" s="406"/>
      <c r="AX99" s="406"/>
      <c r="AY99" s="406"/>
      <c r="AZ99" s="406"/>
      <c r="BA99" s="406"/>
      <c r="BB99" s="406"/>
      <c r="BC99" s="406"/>
      <c r="BD99" s="406"/>
      <c r="BE99" s="406"/>
      <c r="BF99" s="406"/>
      <c r="BG99" s="406"/>
      <c r="BH99" s="406"/>
      <c r="BI99" s="406"/>
      <c r="BJ99" s="406"/>
      <c r="BK99" s="406"/>
      <c r="BL99" s="406"/>
      <c r="BM99" s="406"/>
      <c r="BN99" s="406"/>
      <c r="BO99" s="406"/>
    </row>
    <row r="100" spans="2:67" hidden="1">
      <c r="C100" s="413"/>
      <c r="D100" s="413"/>
      <c r="E100" s="413"/>
      <c r="F100" s="413"/>
      <c r="G100" s="413"/>
      <c r="H100" s="414"/>
      <c r="I100" s="406"/>
      <c r="J100" s="406"/>
      <c r="K100" s="406"/>
      <c r="L100" s="406"/>
      <c r="M100" s="406"/>
      <c r="N100" s="406"/>
      <c r="O100" s="406"/>
      <c r="P100" s="406"/>
      <c r="Q100" s="406"/>
      <c r="R100" s="406"/>
      <c r="S100" s="406"/>
      <c r="T100" s="406"/>
      <c r="U100" s="406"/>
      <c r="V100" s="406"/>
      <c r="W100" s="406"/>
      <c r="X100" s="406"/>
      <c r="Y100" s="406"/>
      <c r="Z100" s="406"/>
      <c r="AA100" s="406"/>
      <c r="AB100" s="406"/>
      <c r="AC100" s="406"/>
      <c r="AD100" s="406"/>
      <c r="AE100" s="406"/>
      <c r="AF100" s="406"/>
      <c r="AG100" s="406"/>
      <c r="AH100" s="406"/>
      <c r="AI100" s="406"/>
      <c r="AJ100" s="406"/>
      <c r="AK100" s="406"/>
      <c r="AL100" s="406"/>
      <c r="AM100" s="406"/>
      <c r="AN100" s="406"/>
      <c r="AO100" s="406"/>
      <c r="AP100" s="406"/>
      <c r="AQ100" s="406"/>
      <c r="AR100" s="406"/>
      <c r="AS100" s="406"/>
      <c r="AT100" s="406"/>
      <c r="AU100" s="406"/>
      <c r="AV100" s="406"/>
      <c r="AW100" s="406"/>
      <c r="AX100" s="406"/>
      <c r="AY100" s="406"/>
      <c r="AZ100" s="406"/>
      <c r="BA100" s="406"/>
      <c r="BB100" s="406"/>
      <c r="BC100" s="406"/>
      <c r="BD100" s="406"/>
      <c r="BE100" s="406"/>
      <c r="BF100" s="406"/>
      <c r="BG100" s="406"/>
      <c r="BH100" s="406"/>
      <c r="BI100" s="406"/>
      <c r="BJ100" s="406"/>
      <c r="BK100" s="406"/>
      <c r="BL100" s="406"/>
      <c r="BM100" s="406"/>
      <c r="BN100" s="406"/>
      <c r="BO100" s="406"/>
    </row>
    <row r="101" spans="2:67" hidden="1">
      <c r="C101" s="413"/>
      <c r="D101" s="413"/>
      <c r="E101" s="413"/>
      <c r="F101" s="413"/>
      <c r="G101" s="413"/>
      <c r="H101" s="414"/>
      <c r="I101" s="406"/>
      <c r="J101" s="406"/>
      <c r="K101" s="406"/>
      <c r="L101" s="406"/>
      <c r="M101" s="406"/>
      <c r="N101" s="406"/>
      <c r="O101" s="406"/>
      <c r="P101" s="406"/>
      <c r="Q101" s="406"/>
      <c r="R101" s="406"/>
      <c r="S101" s="406"/>
      <c r="T101" s="406"/>
      <c r="U101" s="406"/>
      <c r="V101" s="406"/>
      <c r="W101" s="406"/>
      <c r="X101" s="406"/>
      <c r="Y101" s="406"/>
      <c r="Z101" s="406"/>
      <c r="AA101" s="406"/>
      <c r="AB101" s="406"/>
      <c r="AC101" s="406"/>
      <c r="AD101" s="406"/>
      <c r="AE101" s="406"/>
      <c r="AF101" s="406"/>
      <c r="AG101" s="406"/>
      <c r="AH101" s="406"/>
      <c r="AI101" s="406"/>
      <c r="AJ101" s="406"/>
      <c r="AK101" s="406"/>
      <c r="AL101" s="406"/>
      <c r="AM101" s="406"/>
      <c r="AN101" s="406"/>
      <c r="AO101" s="406"/>
      <c r="AP101" s="406"/>
      <c r="AQ101" s="406"/>
      <c r="AR101" s="406"/>
      <c r="AS101" s="406"/>
      <c r="AT101" s="406"/>
      <c r="AU101" s="406"/>
      <c r="AV101" s="406"/>
      <c r="AW101" s="406"/>
      <c r="AX101" s="406"/>
      <c r="AY101" s="406"/>
      <c r="AZ101" s="406"/>
      <c r="BA101" s="406"/>
      <c r="BB101" s="406"/>
      <c r="BC101" s="406"/>
      <c r="BD101" s="406"/>
      <c r="BE101" s="406"/>
      <c r="BF101" s="406"/>
      <c r="BG101" s="406"/>
      <c r="BH101" s="406"/>
      <c r="BI101" s="406"/>
      <c r="BJ101" s="406"/>
      <c r="BK101" s="406"/>
      <c r="BL101" s="406"/>
      <c r="BM101" s="406"/>
      <c r="BN101" s="406"/>
      <c r="BO101" s="406"/>
    </row>
    <row r="102" spans="2:67" hidden="1">
      <c r="C102" s="413"/>
      <c r="D102" s="413"/>
      <c r="E102" s="413"/>
      <c r="F102" s="413"/>
      <c r="G102" s="413"/>
      <c r="H102" s="414"/>
      <c r="I102" s="406"/>
      <c r="J102" s="406"/>
      <c r="K102" s="406"/>
      <c r="L102" s="406"/>
      <c r="M102" s="406"/>
      <c r="N102" s="406"/>
      <c r="O102" s="406"/>
      <c r="P102" s="406"/>
      <c r="Q102" s="406"/>
      <c r="R102" s="406"/>
      <c r="S102" s="406"/>
      <c r="T102" s="406"/>
      <c r="U102" s="406"/>
      <c r="V102" s="406"/>
      <c r="W102" s="406"/>
      <c r="X102" s="406"/>
      <c r="Y102" s="406"/>
      <c r="Z102" s="406"/>
      <c r="AA102" s="406"/>
      <c r="AB102" s="406"/>
      <c r="AC102" s="406"/>
      <c r="AD102" s="406"/>
      <c r="AE102" s="406"/>
      <c r="AF102" s="406"/>
      <c r="AG102" s="406"/>
      <c r="AH102" s="406"/>
      <c r="AI102" s="406"/>
      <c r="AJ102" s="406"/>
      <c r="AK102" s="406"/>
      <c r="AL102" s="406"/>
      <c r="AM102" s="406"/>
      <c r="AN102" s="406"/>
      <c r="AO102" s="406"/>
      <c r="AP102" s="406"/>
      <c r="AQ102" s="406"/>
      <c r="AR102" s="406"/>
      <c r="AS102" s="406"/>
      <c r="AT102" s="406"/>
      <c r="AU102" s="406"/>
      <c r="AV102" s="406"/>
      <c r="AW102" s="406"/>
      <c r="AX102" s="406"/>
      <c r="AY102" s="406"/>
      <c r="AZ102" s="406"/>
      <c r="BA102" s="406"/>
      <c r="BB102" s="406"/>
      <c r="BC102" s="406"/>
      <c r="BD102" s="406"/>
      <c r="BE102" s="406"/>
      <c r="BF102" s="406"/>
      <c r="BG102" s="406"/>
      <c r="BH102" s="406"/>
      <c r="BI102" s="406"/>
      <c r="BJ102" s="406"/>
      <c r="BK102" s="406"/>
      <c r="BL102" s="406"/>
      <c r="BM102" s="406"/>
      <c r="BN102" s="406"/>
      <c r="BO102" s="406"/>
    </row>
    <row r="103" spans="2:67" hidden="1">
      <c r="C103" s="413"/>
      <c r="D103" s="413"/>
      <c r="E103" s="413"/>
      <c r="F103" s="413"/>
      <c r="G103" s="413"/>
      <c r="H103" s="414"/>
      <c r="I103" s="406"/>
      <c r="J103" s="406"/>
      <c r="K103" s="406"/>
      <c r="L103" s="406"/>
      <c r="M103" s="406"/>
      <c r="N103" s="406"/>
      <c r="O103" s="406"/>
      <c r="P103" s="406"/>
      <c r="Q103" s="406"/>
      <c r="R103" s="406"/>
      <c r="S103" s="406"/>
      <c r="T103" s="406"/>
      <c r="U103" s="406"/>
      <c r="V103" s="406"/>
      <c r="W103" s="406"/>
      <c r="X103" s="406"/>
      <c r="Y103" s="406"/>
      <c r="Z103" s="406"/>
      <c r="AA103" s="406"/>
      <c r="AB103" s="406"/>
      <c r="AC103" s="406"/>
      <c r="AD103" s="406"/>
      <c r="AE103" s="406"/>
      <c r="AF103" s="406"/>
      <c r="AG103" s="406"/>
      <c r="AH103" s="406"/>
      <c r="AI103" s="406"/>
      <c r="AJ103" s="406"/>
      <c r="AK103" s="406"/>
      <c r="AL103" s="406"/>
      <c r="AM103" s="406"/>
      <c r="AN103" s="406"/>
      <c r="AO103" s="406"/>
      <c r="AP103" s="406"/>
      <c r="AQ103" s="406"/>
      <c r="AR103" s="406"/>
      <c r="AS103" s="406"/>
      <c r="AT103" s="406"/>
      <c r="AU103" s="406"/>
      <c r="AV103" s="406"/>
      <c r="AW103" s="406"/>
      <c r="AX103" s="406"/>
      <c r="AY103" s="406"/>
      <c r="AZ103" s="406"/>
      <c r="BA103" s="406"/>
      <c r="BB103" s="406"/>
      <c r="BC103" s="406"/>
      <c r="BD103" s="406"/>
      <c r="BE103" s="406"/>
      <c r="BF103" s="406"/>
      <c r="BG103" s="406"/>
      <c r="BH103" s="406"/>
      <c r="BI103" s="406"/>
      <c r="BJ103" s="406"/>
      <c r="BK103" s="406"/>
      <c r="BL103" s="406"/>
      <c r="BM103" s="406"/>
      <c r="BN103" s="406"/>
      <c r="BO103" s="406"/>
    </row>
    <row r="104" spans="2:67" hidden="1">
      <c r="C104" s="413"/>
      <c r="D104" s="413"/>
      <c r="E104" s="413"/>
      <c r="F104" s="413"/>
      <c r="G104" s="413"/>
      <c r="H104" s="414"/>
      <c r="I104" s="406"/>
      <c r="J104" s="406"/>
      <c r="K104" s="406"/>
      <c r="L104" s="406"/>
      <c r="M104" s="406"/>
      <c r="N104" s="406"/>
      <c r="O104" s="406"/>
      <c r="P104" s="406"/>
      <c r="Q104" s="406"/>
      <c r="R104" s="406"/>
      <c r="S104" s="406"/>
      <c r="T104" s="406"/>
      <c r="U104" s="406"/>
      <c r="V104" s="406"/>
      <c r="W104" s="406"/>
      <c r="X104" s="406"/>
      <c r="Y104" s="406"/>
      <c r="Z104" s="406"/>
      <c r="AA104" s="406"/>
      <c r="AB104" s="406"/>
      <c r="AC104" s="406"/>
      <c r="AD104" s="406"/>
      <c r="AE104" s="406"/>
      <c r="AF104" s="406"/>
      <c r="AG104" s="406"/>
      <c r="AH104" s="406"/>
      <c r="AI104" s="406"/>
      <c r="AJ104" s="406"/>
      <c r="AK104" s="406"/>
      <c r="AL104" s="406"/>
      <c r="AM104" s="406"/>
      <c r="AN104" s="406"/>
      <c r="AO104" s="406"/>
      <c r="AP104" s="406"/>
      <c r="AQ104" s="406"/>
      <c r="AR104" s="406"/>
      <c r="AS104" s="406"/>
      <c r="AT104" s="406"/>
      <c r="AU104" s="406"/>
      <c r="AV104" s="406"/>
      <c r="AW104" s="406"/>
      <c r="AX104" s="406"/>
      <c r="AY104" s="406"/>
      <c r="AZ104" s="406"/>
      <c r="BA104" s="406"/>
      <c r="BB104" s="406"/>
      <c r="BC104" s="406"/>
      <c r="BD104" s="406"/>
      <c r="BE104" s="406"/>
      <c r="BF104" s="406"/>
      <c r="BG104" s="406"/>
      <c r="BH104" s="406"/>
      <c r="BI104" s="406"/>
      <c r="BJ104" s="406"/>
      <c r="BK104" s="406"/>
      <c r="BL104" s="406"/>
      <c r="BM104" s="406"/>
      <c r="BN104" s="406"/>
      <c r="BO104" s="406"/>
    </row>
    <row r="105" spans="2:67" hidden="1">
      <c r="C105" s="413"/>
      <c r="D105" s="413"/>
      <c r="E105" s="413"/>
      <c r="F105" s="413"/>
      <c r="G105" s="413"/>
      <c r="H105" s="414"/>
      <c r="I105" s="406"/>
      <c r="J105" s="406"/>
      <c r="K105" s="406"/>
      <c r="L105" s="406"/>
      <c r="M105" s="406"/>
      <c r="N105" s="406"/>
      <c r="O105" s="406"/>
      <c r="P105" s="406"/>
      <c r="Q105" s="406"/>
      <c r="R105" s="406"/>
      <c r="S105" s="406"/>
      <c r="T105" s="406"/>
      <c r="U105" s="406"/>
      <c r="V105" s="406"/>
      <c r="W105" s="406"/>
      <c r="X105" s="406"/>
      <c r="Y105" s="406"/>
      <c r="Z105" s="406"/>
      <c r="AA105" s="406"/>
      <c r="AB105" s="406"/>
      <c r="AC105" s="406"/>
      <c r="AD105" s="406"/>
      <c r="AE105" s="406"/>
      <c r="AF105" s="406"/>
      <c r="AG105" s="406"/>
      <c r="AH105" s="406"/>
      <c r="AI105" s="406"/>
      <c r="AJ105" s="406"/>
      <c r="AK105" s="406"/>
      <c r="AL105" s="406"/>
      <c r="AM105" s="406"/>
      <c r="AN105" s="406"/>
      <c r="AO105" s="406"/>
      <c r="AP105" s="406"/>
      <c r="AQ105" s="406"/>
      <c r="AR105" s="406"/>
      <c r="AS105" s="406"/>
      <c r="AT105" s="406"/>
      <c r="AU105" s="406"/>
      <c r="AV105" s="406"/>
      <c r="AW105" s="406"/>
      <c r="AX105" s="406"/>
      <c r="AY105" s="406"/>
      <c r="AZ105" s="406"/>
      <c r="BA105" s="406"/>
      <c r="BB105" s="406"/>
      <c r="BC105" s="406"/>
      <c r="BD105" s="406"/>
      <c r="BE105" s="406"/>
      <c r="BF105" s="406"/>
      <c r="BG105" s="406"/>
      <c r="BH105" s="406"/>
      <c r="BI105" s="406"/>
      <c r="BJ105" s="406"/>
      <c r="BK105" s="406"/>
      <c r="BL105" s="406"/>
      <c r="BM105" s="406"/>
      <c r="BN105" s="406"/>
      <c r="BO105" s="406"/>
    </row>
    <row r="106" spans="2:67" hidden="1">
      <c r="C106" s="413"/>
      <c r="D106" s="413"/>
      <c r="E106" s="413"/>
      <c r="F106" s="413"/>
      <c r="G106" s="413"/>
      <c r="H106" s="414"/>
      <c r="I106" s="406"/>
      <c r="J106" s="406"/>
      <c r="K106" s="406"/>
      <c r="L106" s="406"/>
      <c r="M106" s="406"/>
      <c r="N106" s="406"/>
      <c r="O106" s="406"/>
      <c r="P106" s="406"/>
      <c r="Q106" s="406"/>
      <c r="R106" s="406"/>
      <c r="S106" s="406"/>
      <c r="T106" s="406"/>
      <c r="U106" s="406"/>
      <c r="V106" s="406"/>
      <c r="W106" s="406"/>
      <c r="X106" s="406"/>
      <c r="Y106" s="406"/>
      <c r="Z106" s="406"/>
      <c r="AA106" s="406"/>
      <c r="AB106" s="406"/>
      <c r="AC106" s="406"/>
      <c r="AD106" s="406"/>
      <c r="AE106" s="406"/>
      <c r="AF106" s="406"/>
      <c r="AG106" s="406"/>
      <c r="AH106" s="406"/>
      <c r="AI106" s="406"/>
      <c r="AJ106" s="406"/>
      <c r="AK106" s="406"/>
      <c r="AL106" s="406"/>
      <c r="AM106" s="406"/>
      <c r="AN106" s="406"/>
      <c r="AO106" s="406"/>
      <c r="AP106" s="406"/>
      <c r="AQ106" s="406"/>
      <c r="AR106" s="406"/>
      <c r="AS106" s="406"/>
      <c r="AT106" s="406"/>
      <c r="AU106" s="406"/>
      <c r="AV106" s="406"/>
      <c r="AW106" s="406"/>
      <c r="AX106" s="406"/>
      <c r="AY106" s="406"/>
      <c r="AZ106" s="406"/>
      <c r="BA106" s="406"/>
      <c r="BB106" s="406"/>
      <c r="BC106" s="406"/>
      <c r="BD106" s="406"/>
      <c r="BE106" s="406"/>
      <c r="BF106" s="406"/>
      <c r="BG106" s="406"/>
      <c r="BH106" s="406"/>
      <c r="BI106" s="406"/>
      <c r="BJ106" s="406"/>
      <c r="BK106" s="406"/>
      <c r="BL106" s="406"/>
      <c r="BM106" s="406"/>
      <c r="BN106" s="406"/>
      <c r="BO106" s="406"/>
    </row>
    <row r="107" spans="2:67" hidden="1">
      <c r="C107" s="413"/>
      <c r="D107" s="413"/>
      <c r="E107" s="413"/>
      <c r="F107" s="413"/>
      <c r="G107" s="413"/>
      <c r="H107" s="414"/>
      <c r="I107" s="406"/>
      <c r="J107" s="406"/>
      <c r="K107" s="406"/>
      <c r="L107" s="406"/>
      <c r="M107" s="406"/>
      <c r="N107" s="406"/>
      <c r="O107" s="406"/>
      <c r="P107" s="406"/>
      <c r="Q107" s="406"/>
      <c r="R107" s="406"/>
      <c r="S107" s="406"/>
      <c r="T107" s="406"/>
      <c r="U107" s="406"/>
      <c r="V107" s="406"/>
      <c r="W107" s="406"/>
      <c r="X107" s="406"/>
      <c r="Y107" s="406"/>
      <c r="Z107" s="406"/>
      <c r="AA107" s="406"/>
      <c r="AB107" s="406"/>
      <c r="AC107" s="406"/>
      <c r="AD107" s="406"/>
      <c r="AE107" s="406"/>
      <c r="AF107" s="406"/>
      <c r="AG107" s="406"/>
      <c r="AH107" s="406"/>
      <c r="AI107" s="406"/>
      <c r="AJ107" s="406"/>
      <c r="AK107" s="406"/>
      <c r="AL107" s="406"/>
      <c r="AM107" s="406"/>
      <c r="AN107" s="406"/>
      <c r="AO107" s="406"/>
      <c r="AP107" s="406"/>
      <c r="AQ107" s="406"/>
      <c r="AR107" s="406"/>
      <c r="AS107" s="406"/>
      <c r="AT107" s="406"/>
      <c r="AU107" s="406"/>
      <c r="AV107" s="406"/>
      <c r="AW107" s="406"/>
      <c r="AX107" s="406"/>
      <c r="AY107" s="406"/>
      <c r="AZ107" s="406"/>
      <c r="BA107" s="406"/>
      <c r="BB107" s="406"/>
      <c r="BC107" s="406"/>
      <c r="BD107" s="406"/>
      <c r="BE107" s="406"/>
      <c r="BF107" s="406"/>
      <c r="BG107" s="406"/>
      <c r="BH107" s="406"/>
      <c r="BI107" s="406"/>
      <c r="BJ107" s="406"/>
      <c r="BK107" s="406"/>
      <c r="BL107" s="406"/>
      <c r="BM107" s="406"/>
      <c r="BN107" s="406"/>
      <c r="BO107" s="406"/>
    </row>
    <row r="108" spans="2:67" hidden="1">
      <c r="C108" s="413"/>
      <c r="D108" s="413"/>
      <c r="E108" s="413"/>
      <c r="F108" s="413"/>
      <c r="G108" s="413"/>
      <c r="H108" s="414"/>
      <c r="I108" s="406"/>
      <c r="J108" s="406"/>
      <c r="K108" s="406"/>
      <c r="L108" s="406"/>
      <c r="M108" s="406"/>
      <c r="N108" s="406"/>
      <c r="O108" s="406"/>
      <c r="P108" s="406"/>
      <c r="Q108" s="406"/>
      <c r="R108" s="406"/>
      <c r="S108" s="406"/>
      <c r="T108" s="406"/>
      <c r="U108" s="406"/>
      <c r="V108" s="406"/>
      <c r="W108" s="406"/>
      <c r="X108" s="406"/>
      <c r="Y108" s="406"/>
      <c r="Z108" s="406"/>
      <c r="AA108" s="406"/>
      <c r="AB108" s="406"/>
      <c r="AC108" s="406"/>
      <c r="AD108" s="406"/>
      <c r="AE108" s="406"/>
      <c r="AF108" s="406"/>
      <c r="AG108" s="406"/>
      <c r="AH108" s="406"/>
      <c r="AI108" s="406"/>
      <c r="AJ108" s="406"/>
      <c r="AK108" s="406"/>
      <c r="AL108" s="406"/>
      <c r="AM108" s="406"/>
      <c r="AN108" s="406"/>
      <c r="AO108" s="406"/>
      <c r="AP108" s="406"/>
      <c r="AQ108" s="406"/>
      <c r="AR108" s="406"/>
      <c r="AS108" s="406"/>
      <c r="AT108" s="406"/>
      <c r="AU108" s="406"/>
      <c r="AV108" s="406"/>
      <c r="AW108" s="406"/>
      <c r="AX108" s="406"/>
      <c r="AY108" s="406"/>
      <c r="AZ108" s="406"/>
      <c r="BA108" s="406"/>
      <c r="BB108" s="406"/>
      <c r="BC108" s="406"/>
      <c r="BD108" s="406"/>
      <c r="BE108" s="406"/>
      <c r="BF108" s="406"/>
      <c r="BG108" s="406"/>
      <c r="BH108" s="406"/>
      <c r="BI108" s="406"/>
      <c r="BJ108" s="406"/>
      <c r="BK108" s="406"/>
      <c r="BL108" s="406"/>
      <c r="BM108" s="406"/>
      <c r="BN108" s="406"/>
      <c r="BO108" s="406"/>
    </row>
    <row r="109" spans="2:67" hidden="1">
      <c r="C109" s="413"/>
      <c r="D109" s="413"/>
      <c r="E109" s="413"/>
      <c r="F109" s="413"/>
      <c r="G109" s="413"/>
      <c r="H109" s="414"/>
      <c r="I109" s="406"/>
      <c r="J109" s="406"/>
      <c r="K109" s="406"/>
      <c r="L109" s="406"/>
      <c r="M109" s="406"/>
      <c r="N109" s="406"/>
      <c r="O109" s="406"/>
      <c r="P109" s="406"/>
      <c r="Q109" s="406"/>
      <c r="R109" s="406"/>
      <c r="S109" s="406"/>
      <c r="T109" s="406"/>
      <c r="U109" s="406"/>
      <c r="V109" s="406"/>
      <c r="W109" s="406"/>
      <c r="X109" s="406"/>
      <c r="Y109" s="406"/>
      <c r="Z109" s="406"/>
      <c r="AA109" s="406"/>
      <c r="AB109" s="406"/>
      <c r="AC109" s="406"/>
      <c r="AD109" s="406"/>
      <c r="AE109" s="406"/>
      <c r="AF109" s="406"/>
      <c r="AG109" s="406"/>
      <c r="AH109" s="406"/>
      <c r="AI109" s="406"/>
      <c r="AJ109" s="406"/>
      <c r="AK109" s="406"/>
      <c r="AL109" s="406"/>
      <c r="AM109" s="406"/>
      <c r="AN109" s="406"/>
      <c r="AO109" s="406"/>
      <c r="AP109" s="406"/>
      <c r="AQ109" s="406"/>
      <c r="AR109" s="406"/>
      <c r="AS109" s="406"/>
      <c r="AT109" s="406"/>
      <c r="AU109" s="406"/>
      <c r="AV109" s="406"/>
      <c r="AW109" s="406"/>
      <c r="AX109" s="406"/>
      <c r="AY109" s="406"/>
      <c r="AZ109" s="406"/>
      <c r="BA109" s="406"/>
      <c r="BB109" s="406"/>
      <c r="BC109" s="406"/>
      <c r="BD109" s="406"/>
      <c r="BE109" s="406"/>
      <c r="BF109" s="406"/>
      <c r="BG109" s="406"/>
      <c r="BH109" s="406"/>
      <c r="BI109" s="406"/>
      <c r="BJ109" s="406"/>
      <c r="BK109" s="406"/>
      <c r="BL109" s="406"/>
      <c r="BM109" s="406"/>
      <c r="BN109" s="406"/>
      <c r="BO109" s="406"/>
    </row>
    <row r="110" spans="2:67" hidden="1">
      <c r="C110" s="413"/>
      <c r="D110" s="413"/>
      <c r="E110" s="413"/>
      <c r="F110" s="413"/>
      <c r="G110" s="413"/>
      <c r="H110" s="414"/>
      <c r="I110" s="406"/>
      <c r="J110" s="406"/>
      <c r="K110" s="406"/>
      <c r="L110" s="406"/>
      <c r="M110" s="406"/>
      <c r="N110" s="406"/>
      <c r="O110" s="406"/>
      <c r="P110" s="406"/>
      <c r="Q110" s="406"/>
      <c r="R110" s="406"/>
      <c r="S110" s="406"/>
      <c r="T110" s="406"/>
      <c r="U110" s="406"/>
      <c r="V110" s="406"/>
      <c r="W110" s="406"/>
      <c r="X110" s="406"/>
      <c r="Y110" s="406"/>
      <c r="Z110" s="406"/>
      <c r="AA110" s="406"/>
      <c r="AB110" s="406"/>
      <c r="AC110" s="406"/>
      <c r="AD110" s="406"/>
      <c r="AE110" s="406"/>
      <c r="AF110" s="406"/>
      <c r="AG110" s="406"/>
      <c r="AH110" s="406"/>
      <c r="AI110" s="406"/>
      <c r="AJ110" s="406"/>
      <c r="AK110" s="406"/>
      <c r="AL110" s="406"/>
      <c r="AM110" s="406"/>
      <c r="AN110" s="406"/>
      <c r="AO110" s="406"/>
      <c r="AP110" s="406"/>
      <c r="AQ110" s="406"/>
      <c r="AR110" s="406"/>
      <c r="AS110" s="406"/>
      <c r="AT110" s="406"/>
      <c r="AU110" s="406"/>
      <c r="AV110" s="406"/>
      <c r="AW110" s="406"/>
      <c r="AX110" s="406"/>
      <c r="AY110" s="406"/>
      <c r="AZ110" s="406"/>
      <c r="BA110" s="406"/>
      <c r="BB110" s="406"/>
      <c r="BC110" s="406"/>
      <c r="BD110" s="406"/>
      <c r="BE110" s="406"/>
      <c r="BF110" s="406"/>
      <c r="BG110" s="406"/>
      <c r="BH110" s="406"/>
      <c r="BI110" s="406"/>
      <c r="BJ110" s="406"/>
      <c r="BK110" s="406"/>
      <c r="BL110" s="406"/>
      <c r="BM110" s="406"/>
      <c r="BN110" s="406"/>
      <c r="BO110" s="406"/>
    </row>
    <row r="111" spans="2:67" hidden="1">
      <c r="C111" s="413"/>
      <c r="D111" s="413"/>
      <c r="E111" s="413"/>
      <c r="F111" s="413"/>
      <c r="G111" s="413"/>
      <c r="H111" s="414"/>
      <c r="I111" s="406"/>
      <c r="J111" s="406"/>
      <c r="K111" s="406"/>
      <c r="L111" s="406"/>
      <c r="M111" s="406"/>
      <c r="N111" s="406"/>
      <c r="O111" s="406"/>
      <c r="P111" s="406"/>
      <c r="Q111" s="406"/>
      <c r="R111" s="406"/>
      <c r="S111" s="406"/>
      <c r="T111" s="406"/>
      <c r="U111" s="406"/>
      <c r="V111" s="406"/>
      <c r="W111" s="406"/>
      <c r="X111" s="406"/>
      <c r="Y111" s="406"/>
      <c r="Z111" s="406"/>
      <c r="AA111" s="406"/>
      <c r="AB111" s="406"/>
      <c r="AC111" s="406"/>
      <c r="AD111" s="406"/>
      <c r="AE111" s="406"/>
      <c r="AF111" s="406"/>
      <c r="AG111" s="406"/>
      <c r="AH111" s="406"/>
      <c r="AI111" s="406"/>
      <c r="AJ111" s="406"/>
      <c r="AK111" s="406"/>
      <c r="AL111" s="406"/>
      <c r="AM111" s="406"/>
      <c r="AN111" s="406"/>
      <c r="AO111" s="406"/>
      <c r="AP111" s="406"/>
      <c r="AQ111" s="406"/>
      <c r="AR111" s="406"/>
      <c r="AS111" s="406"/>
      <c r="AT111" s="406"/>
      <c r="AU111" s="406"/>
      <c r="AV111" s="406"/>
      <c r="AW111" s="406"/>
      <c r="AX111" s="406"/>
      <c r="AY111" s="406"/>
      <c r="AZ111" s="406"/>
      <c r="BA111" s="406"/>
      <c r="BB111" s="406"/>
      <c r="BC111" s="406"/>
      <c r="BD111" s="406"/>
      <c r="BE111" s="406"/>
      <c r="BF111" s="406"/>
      <c r="BG111" s="406"/>
      <c r="BH111" s="406"/>
      <c r="BI111" s="406"/>
      <c r="BJ111" s="406"/>
      <c r="BK111" s="406"/>
      <c r="BL111" s="406"/>
      <c r="BM111" s="406"/>
      <c r="BN111" s="406"/>
      <c r="BO111" s="406"/>
    </row>
    <row r="112" spans="2:67" hidden="1">
      <c r="C112" s="413"/>
      <c r="D112" s="413"/>
      <c r="E112" s="413"/>
      <c r="F112" s="413"/>
      <c r="G112" s="413"/>
      <c r="H112" s="414"/>
      <c r="I112" s="406"/>
      <c r="J112" s="406"/>
      <c r="K112" s="406"/>
      <c r="L112" s="406"/>
      <c r="M112" s="406"/>
      <c r="N112" s="406"/>
      <c r="O112" s="406"/>
      <c r="P112" s="406"/>
      <c r="Q112" s="406"/>
      <c r="R112" s="406"/>
      <c r="S112" s="406"/>
      <c r="T112" s="406"/>
      <c r="U112" s="406"/>
      <c r="V112" s="406"/>
      <c r="W112" s="406"/>
      <c r="X112" s="406"/>
      <c r="Y112" s="406"/>
      <c r="Z112" s="406"/>
      <c r="AA112" s="406"/>
      <c r="AB112" s="406"/>
      <c r="AC112" s="406"/>
      <c r="AD112" s="406"/>
      <c r="AE112" s="406"/>
      <c r="AF112" s="406"/>
      <c r="AG112" s="406"/>
      <c r="AH112" s="406"/>
      <c r="AI112" s="406"/>
      <c r="AJ112" s="406"/>
      <c r="AK112" s="406"/>
      <c r="AL112" s="406"/>
      <c r="AM112" s="406"/>
      <c r="AN112" s="406"/>
      <c r="AO112" s="406"/>
      <c r="AP112" s="406"/>
      <c r="AQ112" s="406"/>
      <c r="AR112" s="406"/>
      <c r="AS112" s="406"/>
      <c r="AT112" s="406"/>
      <c r="AU112" s="406"/>
      <c r="AV112" s="406"/>
      <c r="AW112" s="406"/>
      <c r="AX112" s="406"/>
      <c r="AY112" s="406"/>
      <c r="AZ112" s="406"/>
      <c r="BA112" s="406"/>
      <c r="BB112" s="406"/>
      <c r="BC112" s="406"/>
      <c r="BD112" s="406"/>
      <c r="BE112" s="406"/>
      <c r="BF112" s="406"/>
      <c r="BG112" s="406"/>
      <c r="BH112" s="406"/>
      <c r="BI112" s="406"/>
      <c r="BJ112" s="406"/>
      <c r="BK112" s="406"/>
      <c r="BL112" s="406"/>
      <c r="BM112" s="406"/>
      <c r="BN112" s="406"/>
      <c r="BO112" s="406"/>
    </row>
    <row r="113" spans="3:67" hidden="1">
      <c r="C113" s="413"/>
      <c r="D113" s="413"/>
      <c r="E113" s="413"/>
      <c r="F113" s="413"/>
      <c r="G113" s="413"/>
      <c r="H113" s="414"/>
      <c r="I113" s="406"/>
      <c r="J113" s="406"/>
      <c r="K113" s="406"/>
      <c r="L113" s="406"/>
      <c r="M113" s="406"/>
      <c r="N113" s="406"/>
      <c r="O113" s="406"/>
      <c r="P113" s="406"/>
      <c r="Q113" s="406"/>
      <c r="R113" s="406"/>
      <c r="S113" s="406"/>
      <c r="T113" s="406"/>
      <c r="U113" s="406"/>
      <c r="V113" s="406"/>
      <c r="W113" s="406"/>
      <c r="X113" s="406"/>
      <c r="Y113" s="406"/>
      <c r="Z113" s="406"/>
      <c r="AA113" s="406"/>
      <c r="AB113" s="406"/>
      <c r="AC113" s="406"/>
      <c r="AD113" s="406"/>
      <c r="AE113" s="406"/>
      <c r="AF113" s="406"/>
      <c r="AG113" s="406"/>
      <c r="AH113" s="406"/>
      <c r="AI113" s="406"/>
      <c r="AJ113" s="406"/>
      <c r="AK113" s="406"/>
      <c r="AL113" s="406"/>
      <c r="AM113" s="406"/>
      <c r="AN113" s="406"/>
      <c r="AO113" s="406"/>
      <c r="AP113" s="406"/>
      <c r="AQ113" s="406"/>
      <c r="AR113" s="406"/>
      <c r="AS113" s="406"/>
      <c r="AT113" s="406"/>
      <c r="AU113" s="406"/>
      <c r="AV113" s="406"/>
      <c r="AW113" s="406"/>
      <c r="AX113" s="406"/>
      <c r="AY113" s="406"/>
      <c r="AZ113" s="406"/>
      <c r="BA113" s="406"/>
      <c r="BB113" s="406"/>
      <c r="BC113" s="406"/>
      <c r="BD113" s="406"/>
      <c r="BE113" s="406"/>
      <c r="BF113" s="406"/>
      <c r="BG113" s="406"/>
      <c r="BH113" s="406"/>
      <c r="BI113" s="406"/>
      <c r="BJ113" s="406"/>
      <c r="BK113" s="406"/>
      <c r="BL113" s="406"/>
      <c r="BM113" s="406"/>
      <c r="BN113" s="406"/>
      <c r="BO113" s="406"/>
    </row>
    <row r="114" spans="3:67" hidden="1">
      <c r="C114" s="413"/>
      <c r="D114" s="413"/>
      <c r="E114" s="413"/>
      <c r="F114" s="413"/>
      <c r="G114" s="413"/>
      <c r="H114" s="414"/>
      <c r="I114" s="406"/>
      <c r="J114" s="406"/>
      <c r="K114" s="406"/>
      <c r="L114" s="406"/>
      <c r="M114" s="406"/>
      <c r="N114" s="406"/>
      <c r="O114" s="406"/>
      <c r="P114" s="406"/>
      <c r="Q114" s="406"/>
      <c r="R114" s="406"/>
      <c r="S114" s="406"/>
      <c r="T114" s="406"/>
      <c r="U114" s="406"/>
      <c r="V114" s="406"/>
      <c r="W114" s="406"/>
      <c r="X114" s="406"/>
      <c r="Y114" s="406"/>
      <c r="Z114" s="406"/>
      <c r="AA114" s="406"/>
      <c r="AB114" s="406"/>
      <c r="AC114" s="406"/>
      <c r="AD114" s="406"/>
      <c r="AE114" s="406"/>
      <c r="AF114" s="406"/>
      <c r="AG114" s="406"/>
      <c r="AH114" s="406"/>
      <c r="AI114" s="406"/>
      <c r="AJ114" s="406"/>
      <c r="AK114" s="406"/>
      <c r="AL114" s="406"/>
      <c r="AM114" s="406"/>
      <c r="AN114" s="406"/>
      <c r="AO114" s="406"/>
      <c r="AP114" s="406"/>
      <c r="AQ114" s="406"/>
      <c r="AR114" s="406"/>
      <c r="AS114" s="406"/>
      <c r="AT114" s="406"/>
      <c r="AU114" s="406"/>
      <c r="AV114" s="406"/>
      <c r="AW114" s="406"/>
      <c r="AX114" s="406"/>
      <c r="AY114" s="406"/>
      <c r="AZ114" s="406"/>
      <c r="BA114" s="406"/>
      <c r="BB114" s="406"/>
      <c r="BC114" s="406"/>
      <c r="BD114" s="406"/>
      <c r="BE114" s="406"/>
      <c r="BF114" s="406"/>
      <c r="BG114" s="406"/>
      <c r="BH114" s="406"/>
      <c r="BI114" s="406"/>
      <c r="BJ114" s="406"/>
      <c r="BK114" s="406"/>
      <c r="BL114" s="406"/>
      <c r="BM114" s="406"/>
      <c r="BN114" s="406"/>
      <c r="BO114" s="406"/>
    </row>
    <row r="115" spans="3:67" hidden="1">
      <c r="C115" s="413"/>
      <c r="D115" s="413"/>
      <c r="E115" s="413"/>
      <c r="F115" s="413"/>
      <c r="G115" s="413"/>
      <c r="H115" s="414"/>
      <c r="I115" s="406"/>
      <c r="J115" s="406"/>
      <c r="K115" s="406"/>
      <c r="L115" s="406"/>
      <c r="M115" s="406"/>
      <c r="N115" s="406"/>
      <c r="O115" s="406"/>
      <c r="P115" s="406"/>
      <c r="Q115" s="406"/>
      <c r="R115" s="406"/>
      <c r="S115" s="406"/>
      <c r="T115" s="406"/>
      <c r="U115" s="406"/>
      <c r="V115" s="406"/>
      <c r="W115" s="406"/>
      <c r="X115" s="406"/>
      <c r="Y115" s="406"/>
      <c r="Z115" s="406"/>
      <c r="AA115" s="406"/>
      <c r="AB115" s="406"/>
      <c r="AC115" s="406"/>
      <c r="AD115" s="406"/>
      <c r="AE115" s="406"/>
      <c r="AF115" s="406"/>
      <c r="AG115" s="406"/>
      <c r="AH115" s="406"/>
      <c r="AI115" s="406"/>
      <c r="AJ115" s="406"/>
      <c r="AK115" s="406"/>
      <c r="AL115" s="406"/>
      <c r="AM115" s="406"/>
      <c r="AN115" s="406"/>
      <c r="AO115" s="406"/>
      <c r="AP115" s="406"/>
      <c r="AQ115" s="406"/>
      <c r="AR115" s="406"/>
      <c r="AS115" s="406"/>
      <c r="AT115" s="406"/>
      <c r="AU115" s="406"/>
      <c r="AV115" s="406"/>
      <c r="AW115" s="406"/>
      <c r="AX115" s="406"/>
      <c r="AY115" s="406"/>
      <c r="AZ115" s="406"/>
      <c r="BA115" s="406"/>
      <c r="BB115" s="406"/>
      <c r="BC115" s="406"/>
      <c r="BD115" s="406"/>
      <c r="BE115" s="406"/>
      <c r="BF115" s="406"/>
      <c r="BG115" s="406"/>
      <c r="BH115" s="406"/>
      <c r="BI115" s="406"/>
      <c r="BJ115" s="406"/>
      <c r="BK115" s="406"/>
      <c r="BL115" s="406"/>
      <c r="BM115" s="406"/>
      <c r="BN115" s="406"/>
      <c r="BO115" s="406"/>
    </row>
    <row r="116" spans="3:67" hidden="1">
      <c r="C116" s="413"/>
      <c r="D116" s="413"/>
      <c r="E116" s="413"/>
      <c r="F116" s="413"/>
      <c r="G116" s="413"/>
      <c r="H116" s="414"/>
      <c r="I116" s="406"/>
      <c r="J116" s="406"/>
      <c r="K116" s="406"/>
      <c r="L116" s="406"/>
      <c r="M116" s="406"/>
      <c r="N116" s="406"/>
      <c r="O116" s="406"/>
      <c r="P116" s="406"/>
      <c r="Q116" s="406"/>
      <c r="R116" s="406"/>
      <c r="S116" s="406"/>
      <c r="T116" s="406"/>
      <c r="U116" s="406"/>
      <c r="V116" s="406"/>
      <c r="W116" s="406"/>
      <c r="X116" s="406"/>
      <c r="Y116" s="406"/>
      <c r="Z116" s="406"/>
      <c r="AA116" s="406"/>
      <c r="AB116" s="406"/>
      <c r="AC116" s="406"/>
      <c r="AD116" s="406"/>
      <c r="AE116" s="406"/>
      <c r="AF116" s="406"/>
      <c r="AG116" s="406"/>
      <c r="AH116" s="406"/>
      <c r="AI116" s="406"/>
      <c r="AJ116" s="406"/>
      <c r="AK116" s="406"/>
      <c r="AL116" s="406"/>
      <c r="AM116" s="406"/>
      <c r="AN116" s="406"/>
      <c r="AO116" s="406"/>
      <c r="AP116" s="406"/>
      <c r="AQ116" s="406"/>
      <c r="AR116" s="406"/>
      <c r="AS116" s="406"/>
      <c r="AT116" s="406"/>
      <c r="AU116" s="406"/>
      <c r="AV116" s="406"/>
      <c r="AW116" s="406"/>
      <c r="AX116" s="406"/>
      <c r="AY116" s="406"/>
      <c r="AZ116" s="406"/>
      <c r="BA116" s="406"/>
      <c r="BB116" s="406"/>
      <c r="BC116" s="406"/>
      <c r="BD116" s="406"/>
      <c r="BE116" s="406"/>
      <c r="BF116" s="406"/>
      <c r="BG116" s="406"/>
      <c r="BH116" s="406"/>
      <c r="BI116" s="406"/>
      <c r="BJ116" s="406"/>
      <c r="BK116" s="406"/>
      <c r="BL116" s="406"/>
      <c r="BM116" s="406"/>
      <c r="BN116" s="406"/>
      <c r="BO116" s="406"/>
    </row>
    <row r="117" spans="3:67" hidden="1">
      <c r="C117" s="413"/>
      <c r="D117" s="413"/>
      <c r="E117" s="413"/>
      <c r="F117" s="413"/>
      <c r="G117" s="413"/>
      <c r="H117" s="414"/>
      <c r="I117" s="406"/>
      <c r="J117" s="406"/>
      <c r="K117" s="406"/>
      <c r="L117" s="406"/>
      <c r="M117" s="406"/>
      <c r="N117" s="406"/>
      <c r="O117" s="406"/>
      <c r="P117" s="406"/>
      <c r="Q117" s="406"/>
      <c r="R117" s="406"/>
      <c r="S117" s="406"/>
      <c r="T117" s="406"/>
      <c r="U117" s="406"/>
      <c r="V117" s="406"/>
      <c r="W117" s="406"/>
      <c r="X117" s="406"/>
      <c r="Y117" s="406"/>
      <c r="Z117" s="406"/>
      <c r="AA117" s="406"/>
      <c r="AB117" s="406"/>
      <c r="AC117" s="406"/>
      <c r="AD117" s="406"/>
      <c r="AE117" s="406"/>
      <c r="AF117" s="406"/>
      <c r="AG117" s="406"/>
      <c r="AH117" s="406"/>
      <c r="AI117" s="406"/>
      <c r="AJ117" s="406"/>
      <c r="AK117" s="406"/>
      <c r="AL117" s="406"/>
      <c r="AM117" s="406"/>
      <c r="AN117" s="406"/>
      <c r="AO117" s="406"/>
      <c r="AP117" s="406"/>
      <c r="AQ117" s="406"/>
      <c r="AR117" s="406"/>
      <c r="AS117" s="406"/>
      <c r="AT117" s="406"/>
      <c r="AU117" s="406"/>
      <c r="AV117" s="406"/>
      <c r="AW117" s="406"/>
      <c r="AX117" s="406"/>
      <c r="AY117" s="406"/>
      <c r="AZ117" s="406"/>
      <c r="BA117" s="406"/>
      <c r="BB117" s="406"/>
      <c r="BC117" s="406"/>
      <c r="BD117" s="406"/>
      <c r="BE117" s="406"/>
      <c r="BF117" s="406"/>
      <c r="BG117" s="406"/>
      <c r="BH117" s="406"/>
      <c r="BI117" s="406"/>
      <c r="BJ117" s="406"/>
      <c r="BK117" s="406"/>
      <c r="BL117" s="406"/>
      <c r="BM117" s="406"/>
      <c r="BN117" s="406"/>
      <c r="BO117" s="406"/>
    </row>
    <row r="118" spans="3:67" hidden="1">
      <c r="C118" s="413"/>
      <c r="D118" s="413"/>
      <c r="E118" s="413"/>
      <c r="F118" s="413"/>
      <c r="G118" s="413"/>
      <c r="H118" s="414"/>
      <c r="I118" s="406"/>
      <c r="J118" s="406"/>
      <c r="K118" s="406"/>
      <c r="L118" s="406"/>
      <c r="M118" s="406"/>
      <c r="N118" s="406"/>
      <c r="O118" s="406"/>
      <c r="P118" s="406"/>
      <c r="Q118" s="406"/>
      <c r="R118" s="406"/>
      <c r="S118" s="406"/>
      <c r="T118" s="406"/>
      <c r="U118" s="406"/>
      <c r="V118" s="406"/>
      <c r="W118" s="406"/>
      <c r="X118" s="406"/>
      <c r="Y118" s="406"/>
      <c r="Z118" s="406"/>
      <c r="AA118" s="406"/>
      <c r="AB118" s="406"/>
      <c r="AC118" s="406"/>
      <c r="AD118" s="406"/>
      <c r="AE118" s="406"/>
      <c r="AF118" s="406"/>
      <c r="AG118" s="406"/>
      <c r="AH118" s="406"/>
      <c r="AI118" s="406"/>
      <c r="AJ118" s="406"/>
      <c r="AK118" s="406"/>
      <c r="AL118" s="406"/>
      <c r="AM118" s="406"/>
      <c r="AN118" s="406"/>
      <c r="AO118" s="406"/>
      <c r="AP118" s="406"/>
      <c r="AQ118" s="406"/>
      <c r="AR118" s="406"/>
      <c r="AS118" s="406"/>
      <c r="AT118" s="406"/>
      <c r="AU118" s="406"/>
      <c r="AV118" s="406"/>
      <c r="AW118" s="406"/>
      <c r="AX118" s="406"/>
      <c r="AY118" s="406"/>
      <c r="AZ118" s="406"/>
      <c r="BA118" s="406"/>
      <c r="BB118" s="406"/>
      <c r="BC118" s="406"/>
      <c r="BD118" s="406"/>
      <c r="BE118" s="406"/>
      <c r="BF118" s="406"/>
      <c r="BG118" s="406"/>
      <c r="BH118" s="406"/>
      <c r="BI118" s="406"/>
      <c r="BJ118" s="406"/>
      <c r="BK118" s="406"/>
      <c r="BL118" s="406"/>
      <c r="BM118" s="406"/>
      <c r="BN118" s="406"/>
      <c r="BO118" s="406"/>
    </row>
    <row r="119" spans="3:67" hidden="1">
      <c r="C119" s="413"/>
      <c r="D119" s="413"/>
      <c r="E119" s="413"/>
      <c r="F119" s="413"/>
      <c r="G119" s="413"/>
      <c r="H119" s="414"/>
      <c r="I119" s="406"/>
      <c r="J119" s="406"/>
      <c r="K119" s="406"/>
      <c r="L119" s="406"/>
      <c r="M119" s="406"/>
      <c r="N119" s="406"/>
      <c r="O119" s="406"/>
      <c r="P119" s="406"/>
      <c r="Q119" s="406"/>
      <c r="R119" s="406"/>
      <c r="S119" s="406"/>
      <c r="T119" s="406"/>
      <c r="U119" s="406"/>
      <c r="V119" s="406"/>
      <c r="W119" s="406"/>
      <c r="X119" s="406"/>
      <c r="Y119" s="406"/>
      <c r="Z119" s="406"/>
      <c r="AA119" s="406"/>
      <c r="AB119" s="406"/>
      <c r="AC119" s="406"/>
      <c r="AD119" s="406"/>
      <c r="AE119" s="406"/>
      <c r="AF119" s="406"/>
      <c r="AG119" s="406"/>
      <c r="AH119" s="406"/>
      <c r="AI119" s="406"/>
      <c r="AJ119" s="406"/>
      <c r="AK119" s="406"/>
      <c r="AL119" s="406"/>
      <c r="AM119" s="406"/>
      <c r="AN119" s="406"/>
      <c r="AO119" s="406"/>
      <c r="AP119" s="406"/>
      <c r="AQ119" s="406"/>
      <c r="AR119" s="406"/>
      <c r="AS119" s="406"/>
      <c r="AT119" s="406"/>
      <c r="AU119" s="406"/>
      <c r="AV119" s="406"/>
      <c r="AW119" s="406"/>
      <c r="AX119" s="406"/>
      <c r="AY119" s="406"/>
      <c r="AZ119" s="406"/>
      <c r="BA119" s="406"/>
      <c r="BB119" s="406"/>
      <c r="BC119" s="406"/>
      <c r="BD119" s="406"/>
      <c r="BE119" s="406"/>
      <c r="BF119" s="406"/>
      <c r="BG119" s="406"/>
      <c r="BH119" s="406"/>
      <c r="BI119" s="406"/>
      <c r="BJ119" s="406"/>
      <c r="BK119" s="406"/>
      <c r="BL119" s="406"/>
      <c r="BM119" s="406"/>
      <c r="BN119" s="406"/>
      <c r="BO119" s="406"/>
    </row>
    <row r="120" spans="3:67" hidden="1">
      <c r="C120" s="413"/>
      <c r="D120" s="413"/>
      <c r="E120" s="413"/>
      <c r="F120" s="413"/>
      <c r="G120" s="413"/>
      <c r="H120" s="414"/>
      <c r="I120" s="406"/>
      <c r="J120" s="406"/>
      <c r="K120" s="406"/>
      <c r="L120" s="406"/>
      <c r="M120" s="406"/>
      <c r="N120" s="406"/>
      <c r="O120" s="406"/>
      <c r="P120" s="406"/>
      <c r="Q120" s="406"/>
      <c r="R120" s="406"/>
      <c r="S120" s="406"/>
      <c r="T120" s="406"/>
      <c r="U120" s="406"/>
      <c r="V120" s="406"/>
      <c r="W120" s="406"/>
      <c r="X120" s="406"/>
      <c r="Y120" s="406"/>
      <c r="Z120" s="406"/>
      <c r="AA120" s="406"/>
      <c r="AB120" s="406"/>
      <c r="AC120" s="406"/>
      <c r="AD120" s="406"/>
      <c r="AE120" s="406"/>
      <c r="AF120" s="406"/>
      <c r="AG120" s="406"/>
      <c r="AH120" s="406"/>
      <c r="AI120" s="406"/>
      <c r="AJ120" s="406"/>
      <c r="AK120" s="406"/>
      <c r="AL120" s="406"/>
      <c r="AM120" s="406"/>
      <c r="AN120" s="406"/>
      <c r="AO120" s="406"/>
      <c r="AP120" s="406"/>
      <c r="AQ120" s="406"/>
      <c r="AR120" s="406"/>
      <c r="AS120" s="406"/>
      <c r="AT120" s="406"/>
      <c r="AU120" s="406"/>
      <c r="AV120" s="406"/>
      <c r="AW120" s="406"/>
      <c r="AX120" s="406"/>
      <c r="AY120" s="406"/>
      <c r="AZ120" s="406"/>
      <c r="BA120" s="406"/>
      <c r="BB120" s="406"/>
      <c r="BC120" s="406"/>
      <c r="BD120" s="406"/>
      <c r="BE120" s="406"/>
      <c r="BF120" s="406"/>
      <c r="BG120" s="406"/>
      <c r="BH120" s="406"/>
      <c r="BI120" s="406"/>
      <c r="BJ120" s="406"/>
      <c r="BK120" s="406"/>
      <c r="BL120" s="406"/>
      <c r="BM120" s="406"/>
      <c r="BN120" s="406"/>
      <c r="BO120" s="406"/>
    </row>
    <row r="121" spans="3:67" hidden="1">
      <c r="C121" s="413"/>
      <c r="D121" s="413"/>
      <c r="E121" s="413"/>
      <c r="F121" s="413"/>
      <c r="G121" s="413"/>
      <c r="H121" s="414"/>
      <c r="I121" s="406"/>
      <c r="J121" s="406"/>
      <c r="K121" s="406"/>
      <c r="L121" s="406"/>
      <c r="M121" s="406"/>
      <c r="N121" s="406"/>
      <c r="O121" s="406"/>
      <c r="P121" s="406"/>
      <c r="Q121" s="406"/>
      <c r="R121" s="406"/>
      <c r="S121" s="406"/>
      <c r="T121" s="406"/>
      <c r="U121" s="406"/>
      <c r="V121" s="406"/>
      <c r="W121" s="406"/>
      <c r="X121" s="406"/>
      <c r="Y121" s="406"/>
      <c r="Z121" s="406"/>
      <c r="AA121" s="406"/>
      <c r="AB121" s="406"/>
      <c r="AC121" s="406"/>
      <c r="AD121" s="406"/>
      <c r="AE121" s="406"/>
      <c r="AF121" s="406"/>
      <c r="AG121" s="406"/>
      <c r="AH121" s="406"/>
      <c r="AI121" s="406"/>
      <c r="AJ121" s="406"/>
      <c r="AK121" s="406"/>
      <c r="AL121" s="406"/>
      <c r="AM121" s="406"/>
      <c r="AN121" s="406"/>
      <c r="AO121" s="406"/>
      <c r="AP121" s="406"/>
      <c r="AQ121" s="406"/>
      <c r="AR121" s="406"/>
      <c r="AS121" s="406"/>
      <c r="AT121" s="406"/>
      <c r="AU121" s="406"/>
      <c r="AV121" s="406"/>
      <c r="AW121" s="406"/>
      <c r="AX121" s="406"/>
      <c r="AY121" s="406"/>
      <c r="AZ121" s="406"/>
      <c r="BA121" s="406"/>
      <c r="BB121" s="406"/>
      <c r="BC121" s="406"/>
      <c r="BD121" s="406"/>
      <c r="BE121" s="406"/>
      <c r="BF121" s="406"/>
      <c r="BG121" s="406"/>
      <c r="BH121" s="406"/>
      <c r="BI121" s="406"/>
      <c r="BJ121" s="406"/>
      <c r="BK121" s="406"/>
      <c r="BL121" s="406"/>
      <c r="BM121" s="406"/>
      <c r="BN121" s="406"/>
      <c r="BO121" s="406"/>
    </row>
    <row r="122" spans="3:67" hidden="1">
      <c r="C122" s="413"/>
      <c r="D122" s="413"/>
      <c r="E122" s="413"/>
      <c r="F122" s="413"/>
      <c r="G122" s="413"/>
      <c r="H122" s="414"/>
      <c r="I122" s="406"/>
      <c r="J122" s="406"/>
      <c r="K122" s="406"/>
      <c r="L122" s="406"/>
      <c r="M122" s="406"/>
      <c r="N122" s="406"/>
      <c r="O122" s="406"/>
      <c r="P122" s="406"/>
      <c r="Q122" s="406"/>
      <c r="R122" s="406"/>
      <c r="S122" s="406"/>
      <c r="T122" s="406"/>
      <c r="U122" s="406"/>
      <c r="V122" s="406"/>
      <c r="W122" s="406"/>
      <c r="X122" s="406"/>
      <c r="Y122" s="406"/>
      <c r="Z122" s="406"/>
      <c r="AA122" s="406"/>
      <c r="AB122" s="406"/>
      <c r="AC122" s="406"/>
      <c r="AD122" s="406"/>
      <c r="AE122" s="406"/>
      <c r="AF122" s="406"/>
      <c r="AG122" s="406"/>
      <c r="AH122" s="406"/>
      <c r="AI122" s="406"/>
      <c r="AJ122" s="406"/>
      <c r="AK122" s="406"/>
      <c r="AL122" s="406"/>
      <c r="AM122" s="406"/>
      <c r="AN122" s="406"/>
      <c r="AO122" s="406"/>
      <c r="AP122" s="406"/>
      <c r="AQ122" s="406"/>
      <c r="AR122" s="406"/>
      <c r="AS122" s="406"/>
      <c r="AT122" s="406"/>
      <c r="AU122" s="406"/>
      <c r="AV122" s="406"/>
      <c r="AW122" s="406"/>
      <c r="AX122" s="406"/>
      <c r="AY122" s="406"/>
      <c r="AZ122" s="406"/>
      <c r="BA122" s="406"/>
      <c r="BB122" s="406"/>
      <c r="BC122" s="406"/>
      <c r="BD122" s="406"/>
      <c r="BE122" s="406"/>
      <c r="BF122" s="406"/>
      <c r="BG122" s="406"/>
      <c r="BH122" s="406"/>
      <c r="BI122" s="406"/>
      <c r="BJ122" s="406"/>
      <c r="BK122" s="406"/>
      <c r="BL122" s="406"/>
      <c r="BM122" s="406"/>
      <c r="BN122" s="406"/>
      <c r="BO122" s="406"/>
    </row>
    <row r="123" spans="3:67" hidden="1">
      <c r="C123" s="413"/>
      <c r="D123" s="413"/>
      <c r="E123" s="413"/>
      <c r="F123" s="413"/>
      <c r="G123" s="413"/>
      <c r="H123" s="414"/>
      <c r="I123" s="406"/>
      <c r="J123" s="406"/>
      <c r="K123" s="406"/>
      <c r="L123" s="406"/>
      <c r="M123" s="406"/>
      <c r="N123" s="406"/>
      <c r="O123" s="406"/>
      <c r="P123" s="406"/>
      <c r="Q123" s="406"/>
      <c r="R123" s="406"/>
      <c r="S123" s="406"/>
      <c r="T123" s="406"/>
      <c r="U123" s="406"/>
      <c r="V123" s="406"/>
      <c r="W123" s="406"/>
      <c r="X123" s="406"/>
      <c r="Y123" s="406"/>
      <c r="Z123" s="406"/>
      <c r="AA123" s="406"/>
      <c r="AB123" s="406"/>
      <c r="AC123" s="406"/>
      <c r="AD123" s="406"/>
      <c r="AE123" s="406"/>
      <c r="AF123" s="406"/>
      <c r="AG123" s="406"/>
      <c r="AH123" s="406"/>
      <c r="AI123" s="406"/>
      <c r="AJ123" s="406"/>
      <c r="AK123" s="406"/>
      <c r="AL123" s="406"/>
      <c r="AM123" s="406"/>
      <c r="AN123" s="406"/>
      <c r="AO123" s="406"/>
      <c r="AP123" s="406"/>
      <c r="AQ123" s="406"/>
      <c r="AR123" s="406"/>
      <c r="AS123" s="406"/>
      <c r="AT123" s="406"/>
      <c r="AU123" s="406"/>
      <c r="AV123" s="406"/>
      <c r="AW123" s="406"/>
      <c r="AX123" s="406"/>
      <c r="AY123" s="406"/>
      <c r="AZ123" s="406"/>
      <c r="BA123" s="406"/>
      <c r="BB123" s="406"/>
      <c r="BC123" s="406"/>
      <c r="BD123" s="406"/>
      <c r="BE123" s="406"/>
      <c r="BF123" s="406"/>
      <c r="BG123" s="406"/>
      <c r="BH123" s="406"/>
      <c r="BI123" s="406"/>
      <c r="BJ123" s="406"/>
      <c r="BK123" s="406"/>
      <c r="BL123" s="406"/>
      <c r="BM123" s="406"/>
      <c r="BN123" s="406"/>
      <c r="BO123" s="406"/>
    </row>
    <row r="124" spans="3:67" hidden="1">
      <c r="C124" s="413"/>
      <c r="D124" s="413"/>
      <c r="E124" s="413"/>
      <c r="F124" s="413"/>
      <c r="G124" s="413"/>
      <c r="H124" s="414"/>
      <c r="I124" s="406"/>
      <c r="J124" s="406"/>
      <c r="K124" s="406"/>
      <c r="L124" s="406"/>
      <c r="M124" s="406"/>
      <c r="N124" s="406"/>
      <c r="O124" s="406"/>
      <c r="P124" s="406"/>
      <c r="Q124" s="406"/>
      <c r="R124" s="406"/>
      <c r="S124" s="406"/>
      <c r="T124" s="406"/>
      <c r="U124" s="406"/>
      <c r="V124" s="406"/>
      <c r="W124" s="406"/>
      <c r="X124" s="406"/>
      <c r="Y124" s="406"/>
      <c r="Z124" s="406"/>
      <c r="AA124" s="406"/>
      <c r="AB124" s="406"/>
      <c r="AC124" s="406"/>
      <c r="AD124" s="406"/>
      <c r="AE124" s="406"/>
      <c r="AF124" s="406"/>
      <c r="AG124" s="406"/>
      <c r="AH124" s="406"/>
      <c r="AI124" s="406"/>
      <c r="AJ124" s="406"/>
      <c r="AK124" s="406"/>
      <c r="AL124" s="406"/>
      <c r="AM124" s="406"/>
      <c r="AN124" s="406"/>
      <c r="AO124" s="406"/>
      <c r="AP124" s="406"/>
      <c r="AQ124" s="406"/>
      <c r="AR124" s="406"/>
      <c r="AS124" s="406"/>
      <c r="AT124" s="406"/>
      <c r="AU124" s="406"/>
      <c r="AV124" s="406"/>
      <c r="AW124" s="406"/>
      <c r="AX124" s="406"/>
      <c r="AY124" s="406"/>
      <c r="AZ124" s="406"/>
      <c r="BA124" s="406"/>
      <c r="BB124" s="406"/>
      <c r="BC124" s="406"/>
      <c r="BD124" s="406"/>
      <c r="BE124" s="406"/>
      <c r="BF124" s="406"/>
      <c r="BG124" s="406"/>
      <c r="BH124" s="406"/>
      <c r="BI124" s="406"/>
      <c r="BJ124" s="406"/>
      <c r="BK124" s="406"/>
      <c r="BL124" s="406"/>
      <c r="BM124" s="406"/>
      <c r="BN124" s="406"/>
      <c r="BO124" s="406"/>
    </row>
    <row r="125" spans="3:67" hidden="1">
      <c r="C125" s="413"/>
      <c r="D125" s="413"/>
      <c r="E125" s="413"/>
      <c r="F125" s="413"/>
      <c r="G125" s="413"/>
      <c r="H125" s="414"/>
      <c r="I125" s="406"/>
      <c r="J125" s="406"/>
      <c r="K125" s="406"/>
      <c r="L125" s="406"/>
      <c r="M125" s="406"/>
      <c r="N125" s="406"/>
      <c r="O125" s="406"/>
      <c r="P125" s="406"/>
      <c r="Q125" s="406"/>
      <c r="R125" s="406"/>
      <c r="S125" s="406"/>
      <c r="T125" s="406"/>
      <c r="U125" s="406"/>
      <c r="V125" s="406"/>
      <c r="W125" s="406"/>
      <c r="X125" s="406"/>
      <c r="Y125" s="406"/>
      <c r="Z125" s="406"/>
      <c r="AA125" s="406"/>
      <c r="AB125" s="406"/>
      <c r="AC125" s="406"/>
      <c r="AD125" s="406"/>
      <c r="AE125" s="406"/>
      <c r="AF125" s="406"/>
      <c r="AG125" s="406"/>
      <c r="AH125" s="406"/>
      <c r="AI125" s="406"/>
      <c r="AJ125" s="406"/>
      <c r="AK125" s="406"/>
      <c r="AL125" s="406"/>
      <c r="AM125" s="406"/>
      <c r="AN125" s="406"/>
      <c r="AO125" s="406"/>
      <c r="AP125" s="406"/>
      <c r="AQ125" s="406"/>
      <c r="AR125" s="406"/>
      <c r="AS125" s="406"/>
      <c r="AT125" s="406"/>
      <c r="AU125" s="406"/>
      <c r="AV125" s="406"/>
      <c r="AW125" s="406"/>
      <c r="AX125" s="406"/>
      <c r="AY125" s="406"/>
      <c r="AZ125" s="406"/>
      <c r="BA125" s="406"/>
      <c r="BB125" s="406"/>
      <c r="BC125" s="406"/>
      <c r="BD125" s="406"/>
      <c r="BE125" s="406"/>
      <c r="BF125" s="406"/>
      <c r="BG125" s="406"/>
      <c r="BH125" s="406"/>
      <c r="BI125" s="406"/>
      <c r="BJ125" s="406"/>
      <c r="BK125" s="406"/>
      <c r="BL125" s="406"/>
      <c r="BM125" s="406"/>
      <c r="BN125" s="406"/>
      <c r="BO125" s="406"/>
    </row>
    <row r="126" spans="3:67" hidden="1">
      <c r="C126" s="413"/>
      <c r="D126" s="413"/>
      <c r="E126" s="413"/>
      <c r="F126" s="413"/>
      <c r="G126" s="413"/>
      <c r="H126" s="414"/>
      <c r="I126" s="406"/>
      <c r="J126" s="406"/>
      <c r="K126" s="406"/>
      <c r="L126" s="406"/>
      <c r="M126" s="406"/>
      <c r="N126" s="406"/>
      <c r="O126" s="406"/>
      <c r="P126" s="406"/>
      <c r="Q126" s="406"/>
      <c r="R126" s="406"/>
      <c r="S126" s="406"/>
      <c r="T126" s="406"/>
      <c r="U126" s="406"/>
      <c r="V126" s="406"/>
      <c r="W126" s="406"/>
      <c r="X126" s="406"/>
      <c r="Y126" s="406"/>
      <c r="Z126" s="406"/>
      <c r="AA126" s="406"/>
      <c r="AB126" s="406"/>
      <c r="AC126" s="406"/>
      <c r="AD126" s="406"/>
      <c r="AE126" s="406"/>
      <c r="AF126" s="406"/>
      <c r="AG126" s="406"/>
      <c r="AH126" s="406"/>
      <c r="AI126" s="406"/>
      <c r="AJ126" s="406"/>
      <c r="AK126" s="406"/>
      <c r="AL126" s="406"/>
      <c r="AM126" s="406"/>
      <c r="AN126" s="406"/>
      <c r="AO126" s="406"/>
      <c r="AP126" s="406"/>
      <c r="AQ126" s="406"/>
      <c r="AR126" s="406"/>
      <c r="AS126" s="406"/>
      <c r="AT126" s="406"/>
      <c r="AU126" s="406"/>
      <c r="AV126" s="406"/>
      <c r="AW126" s="406"/>
      <c r="AX126" s="406"/>
      <c r="AY126" s="406"/>
      <c r="AZ126" s="406"/>
      <c r="BA126" s="406"/>
      <c r="BB126" s="406"/>
      <c r="BC126" s="406"/>
      <c r="BD126" s="406"/>
      <c r="BE126" s="406"/>
      <c r="BF126" s="406"/>
      <c r="BG126" s="406"/>
      <c r="BH126" s="406"/>
      <c r="BI126" s="406"/>
      <c r="BJ126" s="406"/>
      <c r="BK126" s="406"/>
      <c r="BL126" s="406"/>
      <c r="BM126" s="406"/>
      <c r="BN126" s="406"/>
      <c r="BO126" s="406"/>
    </row>
    <row r="127" spans="3:67" hidden="1">
      <c r="C127" s="413"/>
      <c r="D127" s="413"/>
      <c r="E127" s="413"/>
      <c r="F127" s="413"/>
      <c r="G127" s="413"/>
      <c r="H127" s="414"/>
      <c r="I127" s="406"/>
      <c r="J127" s="406"/>
      <c r="K127" s="406"/>
      <c r="L127" s="406"/>
      <c r="M127" s="406"/>
      <c r="N127" s="406"/>
      <c r="O127" s="406"/>
      <c r="P127" s="406"/>
      <c r="Q127" s="406"/>
      <c r="R127" s="406"/>
      <c r="S127" s="406"/>
      <c r="T127" s="406"/>
      <c r="U127" s="406"/>
      <c r="V127" s="406"/>
      <c r="W127" s="406"/>
      <c r="X127" s="406"/>
      <c r="Y127" s="406"/>
      <c r="Z127" s="406"/>
      <c r="AA127" s="406"/>
      <c r="AB127" s="406"/>
      <c r="AC127" s="406"/>
      <c r="AD127" s="406"/>
      <c r="AE127" s="406"/>
      <c r="AF127" s="406"/>
      <c r="AG127" s="406"/>
      <c r="AH127" s="406"/>
      <c r="AI127" s="406"/>
      <c r="AJ127" s="406"/>
      <c r="AK127" s="406"/>
      <c r="AL127" s="406"/>
      <c r="AM127" s="406"/>
      <c r="AN127" s="406"/>
      <c r="AO127" s="406"/>
      <c r="AP127" s="406"/>
      <c r="AQ127" s="406"/>
      <c r="AR127" s="406"/>
      <c r="AS127" s="406"/>
      <c r="AT127" s="406"/>
      <c r="AU127" s="406"/>
      <c r="AV127" s="406"/>
      <c r="AW127" s="406"/>
      <c r="AX127" s="406"/>
      <c r="AY127" s="406"/>
      <c r="AZ127" s="406"/>
      <c r="BA127" s="406"/>
      <c r="BB127" s="406"/>
      <c r="BC127" s="406"/>
      <c r="BD127" s="406"/>
      <c r="BE127" s="406"/>
      <c r="BF127" s="406"/>
      <c r="BG127" s="406"/>
      <c r="BH127" s="406"/>
      <c r="BI127" s="406"/>
      <c r="BJ127" s="406"/>
      <c r="BK127" s="406"/>
      <c r="BL127" s="406"/>
      <c r="BM127" s="406"/>
      <c r="BN127" s="406"/>
      <c r="BO127" s="406"/>
    </row>
    <row r="128" spans="3:67" hidden="1">
      <c r="C128" s="413"/>
      <c r="D128" s="413"/>
      <c r="E128" s="413"/>
      <c r="F128" s="413"/>
      <c r="G128" s="413"/>
      <c r="H128" s="414"/>
      <c r="I128" s="406"/>
      <c r="J128" s="406"/>
      <c r="K128" s="406"/>
      <c r="L128" s="406"/>
      <c r="M128" s="406"/>
      <c r="N128" s="406"/>
      <c r="O128" s="406"/>
      <c r="P128" s="406"/>
      <c r="Q128" s="406"/>
      <c r="R128" s="406"/>
      <c r="S128" s="406"/>
      <c r="T128" s="406"/>
      <c r="U128" s="406"/>
      <c r="V128" s="406"/>
      <c r="W128" s="406"/>
      <c r="X128" s="406"/>
      <c r="Y128" s="406"/>
      <c r="Z128" s="406"/>
      <c r="AA128" s="406"/>
      <c r="AB128" s="406"/>
      <c r="AC128" s="406"/>
      <c r="AD128" s="406"/>
      <c r="AE128" s="406"/>
      <c r="AF128" s="406"/>
      <c r="AG128" s="406"/>
      <c r="AH128" s="406"/>
      <c r="AI128" s="406"/>
      <c r="AJ128" s="406"/>
      <c r="AK128" s="406"/>
      <c r="AL128" s="406"/>
      <c r="AM128" s="406"/>
      <c r="AN128" s="406"/>
      <c r="AO128" s="406"/>
      <c r="AP128" s="406"/>
      <c r="AQ128" s="406"/>
      <c r="AR128" s="406"/>
      <c r="AS128" s="406"/>
      <c r="AT128" s="406"/>
      <c r="AU128" s="406"/>
      <c r="AV128" s="406"/>
      <c r="AW128" s="406"/>
      <c r="AX128" s="406"/>
      <c r="AY128" s="406"/>
      <c r="AZ128" s="406"/>
      <c r="BA128" s="406"/>
      <c r="BB128" s="406"/>
      <c r="BC128" s="406"/>
      <c r="BD128" s="406"/>
      <c r="BE128" s="406"/>
      <c r="BF128" s="406"/>
      <c r="BG128" s="406"/>
      <c r="BH128" s="406"/>
      <c r="BI128" s="406"/>
      <c r="BJ128" s="406"/>
      <c r="BK128" s="406"/>
      <c r="BL128" s="406"/>
      <c r="BM128" s="406"/>
      <c r="BN128" s="406"/>
      <c r="BO128" s="406"/>
    </row>
    <row r="129" spans="3:67" hidden="1">
      <c r="C129" s="413"/>
      <c r="D129" s="413"/>
      <c r="E129" s="413"/>
      <c r="F129" s="413"/>
      <c r="G129" s="413"/>
      <c r="H129" s="414"/>
      <c r="I129" s="406"/>
      <c r="J129" s="406"/>
      <c r="K129" s="406"/>
      <c r="L129" s="406"/>
      <c r="M129" s="406"/>
      <c r="N129" s="406"/>
      <c r="O129" s="406"/>
      <c r="P129" s="406"/>
      <c r="Q129" s="406"/>
      <c r="R129" s="406"/>
      <c r="S129" s="406"/>
      <c r="T129" s="406"/>
      <c r="U129" s="406"/>
      <c r="V129" s="406"/>
      <c r="W129" s="406"/>
      <c r="X129" s="406"/>
      <c r="Y129" s="406"/>
      <c r="Z129" s="406"/>
      <c r="AA129" s="406"/>
      <c r="AB129" s="406"/>
      <c r="AC129" s="406"/>
      <c r="AD129" s="406"/>
      <c r="AE129" s="406"/>
      <c r="AF129" s="406"/>
      <c r="AG129" s="406"/>
      <c r="AH129" s="406"/>
      <c r="AI129" s="406"/>
      <c r="AJ129" s="406"/>
      <c r="AK129" s="406"/>
      <c r="AL129" s="406"/>
      <c r="AM129" s="406"/>
      <c r="AN129" s="406"/>
      <c r="AO129" s="406"/>
      <c r="AP129" s="406"/>
      <c r="AQ129" s="406"/>
      <c r="AR129" s="406"/>
      <c r="AS129" s="406"/>
      <c r="AT129" s="406"/>
      <c r="AU129" s="406"/>
      <c r="AV129" s="406"/>
      <c r="AW129" s="406"/>
      <c r="AX129" s="406"/>
      <c r="AY129" s="406"/>
      <c r="AZ129" s="406"/>
      <c r="BA129" s="406"/>
      <c r="BB129" s="406"/>
      <c r="BC129" s="406"/>
      <c r="BD129" s="406"/>
      <c r="BE129" s="406"/>
      <c r="BF129" s="406"/>
      <c r="BG129" s="406"/>
      <c r="BH129" s="406"/>
      <c r="BI129" s="406"/>
      <c r="BJ129" s="406"/>
      <c r="BK129" s="406"/>
      <c r="BL129" s="406"/>
      <c r="BM129" s="406"/>
      <c r="BN129" s="406"/>
      <c r="BO129" s="406"/>
    </row>
    <row r="130" spans="3:67" hidden="1">
      <c r="C130" s="413"/>
      <c r="D130" s="413"/>
      <c r="E130" s="413"/>
      <c r="F130" s="413"/>
      <c r="G130" s="413"/>
      <c r="H130" s="414"/>
      <c r="I130" s="406"/>
      <c r="J130" s="406"/>
      <c r="K130" s="406"/>
      <c r="L130" s="406"/>
      <c r="M130" s="406"/>
      <c r="N130" s="406"/>
      <c r="O130" s="406"/>
      <c r="P130" s="406"/>
      <c r="Q130" s="406"/>
      <c r="R130" s="406"/>
      <c r="S130" s="406"/>
      <c r="T130" s="406"/>
      <c r="U130" s="406"/>
      <c r="V130" s="406"/>
      <c r="W130" s="406"/>
      <c r="X130" s="406"/>
      <c r="Y130" s="406"/>
      <c r="Z130" s="406"/>
      <c r="AA130" s="406"/>
      <c r="AB130" s="406"/>
      <c r="AC130" s="406"/>
      <c r="AD130" s="406"/>
      <c r="AE130" s="406"/>
      <c r="AF130" s="406"/>
      <c r="AG130" s="406"/>
      <c r="AH130" s="406"/>
      <c r="AI130" s="406"/>
      <c r="AJ130" s="406"/>
      <c r="AK130" s="406"/>
      <c r="AL130" s="406"/>
      <c r="AM130" s="406"/>
      <c r="AN130" s="406"/>
      <c r="AO130" s="406"/>
      <c r="AP130" s="406"/>
      <c r="AQ130" s="406"/>
      <c r="AR130" s="406"/>
      <c r="AS130" s="406"/>
      <c r="AT130" s="406"/>
      <c r="AU130" s="406"/>
      <c r="AV130" s="406"/>
      <c r="AW130" s="406"/>
      <c r="AX130" s="406"/>
      <c r="AY130" s="406"/>
      <c r="AZ130" s="406"/>
      <c r="BA130" s="406"/>
      <c r="BB130" s="406"/>
      <c r="BC130" s="406"/>
      <c r="BD130" s="406"/>
      <c r="BE130" s="406"/>
      <c r="BF130" s="406"/>
      <c r="BG130" s="406"/>
      <c r="BH130" s="406"/>
      <c r="BI130" s="406"/>
      <c r="BJ130" s="406"/>
      <c r="BK130" s="406"/>
      <c r="BL130" s="406"/>
      <c r="BM130" s="406"/>
      <c r="BN130" s="406"/>
      <c r="BO130" s="406"/>
    </row>
    <row r="131" spans="3:67" hidden="1">
      <c r="C131" s="413"/>
      <c r="D131" s="413"/>
      <c r="E131" s="413"/>
      <c r="F131" s="413"/>
      <c r="G131" s="413"/>
      <c r="H131" s="414"/>
      <c r="I131" s="406"/>
      <c r="J131" s="406"/>
      <c r="K131" s="406"/>
      <c r="L131" s="406"/>
      <c r="M131" s="406"/>
      <c r="N131" s="406"/>
      <c r="O131" s="406"/>
      <c r="P131" s="406"/>
      <c r="Q131" s="406"/>
      <c r="R131" s="406"/>
      <c r="S131" s="406"/>
      <c r="T131" s="406"/>
      <c r="U131" s="406"/>
      <c r="V131" s="406"/>
      <c r="W131" s="406"/>
      <c r="X131" s="406"/>
      <c r="Y131" s="406"/>
      <c r="Z131" s="406"/>
      <c r="AA131" s="406"/>
      <c r="AB131" s="406"/>
      <c r="AC131" s="406"/>
      <c r="AD131" s="406"/>
      <c r="AE131" s="406"/>
      <c r="AF131" s="406"/>
      <c r="AG131" s="406"/>
      <c r="AH131" s="406"/>
      <c r="AI131" s="406"/>
      <c r="AJ131" s="406"/>
      <c r="AK131" s="406"/>
      <c r="AL131" s="406"/>
      <c r="AM131" s="406"/>
      <c r="AN131" s="406"/>
      <c r="AO131" s="406"/>
      <c r="AP131" s="406"/>
      <c r="AQ131" s="406"/>
      <c r="AR131" s="406"/>
      <c r="AS131" s="406"/>
      <c r="AT131" s="406"/>
      <c r="AU131" s="406"/>
      <c r="AV131" s="406"/>
      <c r="AW131" s="406"/>
      <c r="AX131" s="406"/>
      <c r="AY131" s="406"/>
      <c r="AZ131" s="406"/>
      <c r="BA131" s="406"/>
      <c r="BB131" s="406"/>
      <c r="BC131" s="406"/>
      <c r="BD131" s="406"/>
      <c r="BE131" s="406"/>
      <c r="BF131" s="406"/>
      <c r="BG131" s="406"/>
      <c r="BH131" s="406"/>
      <c r="BI131" s="406"/>
      <c r="BJ131" s="406"/>
      <c r="BK131" s="406"/>
      <c r="BL131" s="406"/>
      <c r="BM131" s="406"/>
      <c r="BN131" s="406"/>
      <c r="BO131" s="406"/>
    </row>
    <row r="132" spans="3:67" hidden="1">
      <c r="C132" s="413"/>
      <c r="D132" s="413"/>
      <c r="E132" s="413"/>
      <c r="F132" s="413"/>
      <c r="G132" s="413"/>
      <c r="H132" s="414"/>
      <c r="I132" s="406"/>
      <c r="J132" s="406"/>
      <c r="K132" s="406"/>
      <c r="L132" s="406"/>
      <c r="M132" s="406"/>
      <c r="N132" s="406"/>
      <c r="O132" s="406"/>
      <c r="P132" s="406"/>
      <c r="Q132" s="406"/>
      <c r="R132" s="406"/>
      <c r="S132" s="406"/>
      <c r="T132" s="406"/>
      <c r="U132" s="406"/>
      <c r="V132" s="406"/>
      <c r="W132" s="406"/>
      <c r="X132" s="406"/>
      <c r="Y132" s="406"/>
      <c r="Z132" s="406"/>
      <c r="AA132" s="406"/>
      <c r="AB132" s="406"/>
      <c r="AC132" s="406"/>
      <c r="AD132" s="406"/>
      <c r="AE132" s="406"/>
      <c r="AF132" s="406"/>
      <c r="AG132" s="406"/>
      <c r="AH132" s="406"/>
      <c r="AI132" s="406"/>
      <c r="AJ132" s="406"/>
      <c r="AK132" s="406"/>
      <c r="AL132" s="406"/>
      <c r="AM132" s="406"/>
      <c r="AN132" s="406"/>
      <c r="AO132" s="406"/>
      <c r="AP132" s="406"/>
      <c r="AQ132" s="406"/>
      <c r="AR132" s="406"/>
      <c r="AS132" s="406"/>
      <c r="AT132" s="406"/>
      <c r="AU132" s="406"/>
      <c r="AV132" s="406"/>
      <c r="AW132" s="406"/>
      <c r="AX132" s="406"/>
      <c r="AY132" s="406"/>
      <c r="AZ132" s="406"/>
      <c r="BA132" s="406"/>
      <c r="BB132" s="406"/>
      <c r="BC132" s="406"/>
      <c r="BD132" s="406"/>
      <c r="BE132" s="406"/>
      <c r="BF132" s="406"/>
      <c r="BG132" s="406"/>
      <c r="BH132" s="406"/>
      <c r="BI132" s="406"/>
      <c r="BJ132" s="406"/>
      <c r="BK132" s="406"/>
      <c r="BL132" s="406"/>
      <c r="BM132" s="406"/>
      <c r="BN132" s="406"/>
      <c r="BO132" s="406"/>
    </row>
    <row r="133" spans="3:67" hidden="1">
      <c r="C133" s="413"/>
      <c r="D133" s="413"/>
      <c r="E133" s="413"/>
      <c r="F133" s="413"/>
      <c r="G133" s="413"/>
      <c r="H133" s="414"/>
      <c r="I133" s="406"/>
      <c r="J133" s="406"/>
      <c r="K133" s="406"/>
      <c r="L133" s="406"/>
      <c r="M133" s="406"/>
      <c r="N133" s="406"/>
      <c r="O133" s="406"/>
      <c r="P133" s="406"/>
      <c r="Q133" s="406"/>
      <c r="R133" s="406"/>
      <c r="S133" s="406"/>
      <c r="T133" s="406"/>
      <c r="U133" s="406"/>
      <c r="V133" s="406"/>
      <c r="W133" s="406"/>
      <c r="X133" s="406"/>
      <c r="Y133" s="406"/>
      <c r="Z133" s="406"/>
      <c r="AA133" s="406"/>
      <c r="AB133" s="406"/>
      <c r="AC133" s="406"/>
      <c r="AD133" s="406"/>
      <c r="AE133" s="406"/>
      <c r="AF133" s="406"/>
      <c r="AG133" s="406"/>
      <c r="AH133" s="406"/>
      <c r="AI133" s="406"/>
      <c r="AJ133" s="406"/>
      <c r="AK133" s="406"/>
      <c r="AL133" s="406"/>
      <c r="AM133" s="406"/>
      <c r="AN133" s="406"/>
      <c r="AO133" s="406"/>
      <c r="AP133" s="406"/>
      <c r="AQ133" s="406"/>
      <c r="AR133" s="406"/>
      <c r="AS133" s="406"/>
      <c r="AT133" s="406"/>
      <c r="AU133" s="406"/>
      <c r="AV133" s="406"/>
      <c r="AW133" s="406"/>
      <c r="AX133" s="406"/>
      <c r="AY133" s="406"/>
      <c r="AZ133" s="406"/>
      <c r="BA133" s="406"/>
      <c r="BB133" s="406"/>
      <c r="BC133" s="406"/>
      <c r="BD133" s="406"/>
      <c r="BE133" s="406"/>
      <c r="BF133" s="406"/>
      <c r="BG133" s="406"/>
      <c r="BH133" s="406"/>
      <c r="BI133" s="406"/>
      <c r="BJ133" s="406"/>
      <c r="BK133" s="406"/>
      <c r="BL133" s="406"/>
      <c r="BM133" s="406"/>
      <c r="BN133" s="406"/>
      <c r="BO133" s="406"/>
    </row>
    <row r="134" spans="3:67" hidden="1">
      <c r="C134" s="413"/>
      <c r="D134" s="413"/>
      <c r="E134" s="413"/>
      <c r="F134" s="413"/>
      <c r="G134" s="413"/>
      <c r="H134" s="414"/>
      <c r="I134" s="406"/>
      <c r="J134" s="406"/>
      <c r="K134" s="406"/>
      <c r="L134" s="406"/>
      <c r="M134" s="406"/>
      <c r="N134" s="406"/>
      <c r="O134" s="406"/>
      <c r="P134" s="406"/>
      <c r="Q134" s="406"/>
      <c r="R134" s="406"/>
      <c r="S134" s="406"/>
      <c r="T134" s="406"/>
      <c r="U134" s="406"/>
      <c r="V134" s="406"/>
      <c r="W134" s="406"/>
      <c r="X134" s="406"/>
      <c r="Y134" s="406"/>
      <c r="Z134" s="406"/>
      <c r="AA134" s="406"/>
      <c r="AB134" s="406"/>
      <c r="AC134" s="406"/>
      <c r="AD134" s="406"/>
      <c r="AE134" s="406"/>
      <c r="AF134" s="406"/>
      <c r="AG134" s="406"/>
      <c r="AH134" s="406"/>
      <c r="AI134" s="406"/>
      <c r="AJ134" s="406"/>
      <c r="AK134" s="406"/>
      <c r="AL134" s="406"/>
      <c r="AM134" s="406"/>
      <c r="AN134" s="406"/>
      <c r="AO134" s="406"/>
      <c r="AP134" s="406"/>
      <c r="AQ134" s="406"/>
      <c r="AR134" s="406"/>
      <c r="AS134" s="406"/>
      <c r="AT134" s="406"/>
      <c r="AU134" s="406"/>
      <c r="AV134" s="406"/>
      <c r="AW134" s="406"/>
      <c r="AX134" s="406"/>
      <c r="AY134" s="406"/>
      <c r="AZ134" s="406"/>
      <c r="BA134" s="406"/>
      <c r="BB134" s="406"/>
      <c r="BC134" s="406"/>
      <c r="BD134" s="406"/>
      <c r="BE134" s="406"/>
      <c r="BF134" s="406"/>
      <c r="BG134" s="406"/>
      <c r="BH134" s="406"/>
      <c r="BI134" s="406"/>
      <c r="BJ134" s="406"/>
      <c r="BK134" s="406"/>
      <c r="BL134" s="406"/>
      <c r="BM134" s="406"/>
      <c r="BN134" s="406"/>
      <c r="BO134" s="406"/>
    </row>
    <row r="135" spans="3:67" hidden="1">
      <c r="C135" s="413"/>
      <c r="D135" s="413"/>
      <c r="E135" s="413"/>
      <c r="F135" s="413"/>
      <c r="G135" s="413"/>
      <c r="H135" s="414"/>
      <c r="I135" s="406"/>
      <c r="J135" s="406"/>
      <c r="K135" s="406"/>
      <c r="L135" s="406"/>
      <c r="M135" s="406"/>
      <c r="N135" s="406"/>
      <c r="O135" s="406"/>
      <c r="P135" s="406"/>
      <c r="Q135" s="406"/>
      <c r="R135" s="406"/>
      <c r="S135" s="406"/>
      <c r="T135" s="406"/>
      <c r="U135" s="406"/>
      <c r="V135" s="406"/>
      <c r="W135" s="406"/>
      <c r="X135" s="406"/>
      <c r="Y135" s="406"/>
      <c r="Z135" s="406"/>
      <c r="AA135" s="406"/>
      <c r="AB135" s="406"/>
      <c r="AC135" s="406"/>
      <c r="AD135" s="406"/>
      <c r="AE135" s="406"/>
      <c r="AF135" s="406"/>
      <c r="AG135" s="406"/>
      <c r="AH135" s="406"/>
      <c r="AI135" s="406"/>
      <c r="AJ135" s="406"/>
      <c r="AK135" s="406"/>
      <c r="AL135" s="406"/>
      <c r="AM135" s="406"/>
      <c r="AN135" s="406"/>
      <c r="AO135" s="406"/>
      <c r="AP135" s="406"/>
      <c r="AQ135" s="406"/>
      <c r="AR135" s="406"/>
      <c r="AS135" s="406"/>
      <c r="AT135" s="406"/>
      <c r="AU135" s="406"/>
      <c r="AV135" s="406"/>
      <c r="AW135" s="406"/>
      <c r="AX135" s="406"/>
      <c r="AY135" s="406"/>
      <c r="AZ135" s="406"/>
      <c r="BA135" s="406"/>
      <c r="BB135" s="406"/>
      <c r="BC135" s="406"/>
      <c r="BD135" s="406"/>
      <c r="BE135" s="406"/>
      <c r="BF135" s="406"/>
      <c r="BG135" s="406"/>
      <c r="BH135" s="406"/>
      <c r="BI135" s="406"/>
      <c r="BJ135" s="406"/>
      <c r="BK135" s="406"/>
      <c r="BL135" s="406"/>
      <c r="BM135" s="406"/>
      <c r="BN135" s="406"/>
      <c r="BO135" s="406"/>
    </row>
    <row r="136" spans="3:67" hidden="1">
      <c r="C136" s="413"/>
      <c r="D136" s="413"/>
      <c r="E136" s="413"/>
      <c r="F136" s="413"/>
      <c r="G136" s="413"/>
      <c r="H136" s="414"/>
      <c r="I136" s="406"/>
      <c r="J136" s="406"/>
      <c r="K136" s="406"/>
      <c r="L136" s="406"/>
      <c r="M136" s="406"/>
      <c r="N136" s="406"/>
      <c r="O136" s="406"/>
      <c r="P136" s="406"/>
      <c r="Q136" s="406"/>
      <c r="R136" s="406"/>
      <c r="S136" s="406"/>
      <c r="T136" s="406"/>
      <c r="U136" s="406"/>
      <c r="V136" s="406"/>
      <c r="W136" s="406"/>
      <c r="X136" s="406"/>
      <c r="Y136" s="406"/>
      <c r="Z136" s="406"/>
      <c r="AA136" s="406"/>
      <c r="AB136" s="406"/>
      <c r="AC136" s="406"/>
      <c r="AD136" s="406"/>
      <c r="AE136" s="406"/>
      <c r="AF136" s="406"/>
      <c r="AG136" s="406"/>
      <c r="AH136" s="406"/>
      <c r="AI136" s="406"/>
      <c r="AJ136" s="406"/>
      <c r="AK136" s="406"/>
      <c r="AL136" s="406"/>
      <c r="AM136" s="406"/>
      <c r="AN136" s="406"/>
      <c r="AO136" s="406"/>
      <c r="AP136" s="406"/>
      <c r="AQ136" s="406"/>
      <c r="AR136" s="406"/>
      <c r="AS136" s="406"/>
      <c r="AT136" s="406"/>
      <c r="AU136" s="406"/>
      <c r="AV136" s="406"/>
      <c r="AW136" s="406"/>
      <c r="AX136" s="406"/>
      <c r="AY136" s="406"/>
      <c r="AZ136" s="406"/>
      <c r="BA136" s="406"/>
      <c r="BB136" s="406"/>
      <c r="BC136" s="406"/>
      <c r="BD136" s="406"/>
      <c r="BE136" s="406"/>
      <c r="BF136" s="406"/>
      <c r="BG136" s="406"/>
      <c r="BH136" s="406"/>
      <c r="BI136" s="406"/>
      <c r="BJ136" s="406"/>
      <c r="BK136" s="406"/>
      <c r="BL136" s="406"/>
      <c r="BM136" s="406"/>
      <c r="BN136" s="406"/>
      <c r="BO136" s="406"/>
    </row>
    <row r="137" spans="3:67" hidden="1">
      <c r="C137" s="413"/>
      <c r="D137" s="413"/>
      <c r="E137" s="413"/>
      <c r="F137" s="413"/>
      <c r="G137" s="413"/>
      <c r="H137" s="414"/>
      <c r="I137" s="406"/>
      <c r="J137" s="406"/>
      <c r="K137" s="406"/>
      <c r="L137" s="406"/>
      <c r="M137" s="406"/>
      <c r="N137" s="406"/>
      <c r="O137" s="406"/>
      <c r="P137" s="406"/>
      <c r="Q137" s="406"/>
      <c r="R137" s="406"/>
      <c r="S137" s="406"/>
      <c r="T137" s="406"/>
      <c r="U137" s="406"/>
      <c r="V137" s="406"/>
      <c r="W137" s="406"/>
      <c r="X137" s="406"/>
      <c r="Y137" s="406"/>
      <c r="Z137" s="406"/>
      <c r="AA137" s="406"/>
      <c r="AB137" s="406"/>
      <c r="AC137" s="406"/>
      <c r="AD137" s="406"/>
      <c r="AE137" s="406"/>
      <c r="AF137" s="406"/>
      <c r="AG137" s="406"/>
      <c r="AH137" s="406"/>
      <c r="AI137" s="406"/>
      <c r="AJ137" s="406"/>
      <c r="AK137" s="406"/>
      <c r="AL137" s="406"/>
      <c r="AM137" s="406"/>
      <c r="AN137" s="406"/>
      <c r="AO137" s="406"/>
      <c r="AP137" s="406"/>
      <c r="AQ137" s="406"/>
      <c r="AR137" s="406"/>
      <c r="AS137" s="406"/>
      <c r="AT137" s="406"/>
      <c r="AU137" s="406"/>
      <c r="AV137" s="406"/>
      <c r="AW137" s="406"/>
      <c r="AX137" s="406"/>
      <c r="AY137" s="406"/>
      <c r="AZ137" s="406"/>
      <c r="BA137" s="406"/>
      <c r="BB137" s="406"/>
      <c r="BC137" s="406"/>
      <c r="BD137" s="406"/>
      <c r="BE137" s="406"/>
      <c r="BF137" s="406"/>
      <c r="BG137" s="406"/>
      <c r="BH137" s="406"/>
      <c r="BI137" s="406"/>
      <c r="BJ137" s="406"/>
      <c r="BK137" s="406"/>
      <c r="BL137" s="406"/>
      <c r="BM137" s="406"/>
      <c r="BN137" s="406"/>
      <c r="BO137" s="406"/>
    </row>
    <row r="138" spans="3:67" hidden="1">
      <c r="C138" s="413"/>
      <c r="D138" s="413"/>
      <c r="E138" s="413"/>
      <c r="F138" s="413"/>
      <c r="G138" s="413"/>
      <c r="H138" s="414"/>
      <c r="I138" s="406"/>
      <c r="J138" s="406"/>
      <c r="K138" s="406"/>
      <c r="L138" s="406"/>
      <c r="M138" s="406"/>
      <c r="N138" s="406"/>
      <c r="O138" s="406"/>
      <c r="P138" s="406"/>
      <c r="Q138" s="406"/>
      <c r="R138" s="406"/>
      <c r="S138" s="406"/>
      <c r="T138" s="406"/>
      <c r="U138" s="406"/>
      <c r="V138" s="406"/>
      <c r="W138" s="406"/>
      <c r="X138" s="406"/>
      <c r="Y138" s="406"/>
      <c r="Z138" s="406"/>
      <c r="AA138" s="406"/>
      <c r="AB138" s="406"/>
      <c r="AC138" s="406"/>
      <c r="AD138" s="406"/>
      <c r="AE138" s="406"/>
      <c r="AF138" s="406"/>
      <c r="AG138" s="406"/>
      <c r="AH138" s="406"/>
      <c r="AI138" s="406"/>
      <c r="AJ138" s="406"/>
      <c r="AK138" s="406"/>
      <c r="AL138" s="406"/>
      <c r="AM138" s="406"/>
      <c r="AN138" s="406"/>
      <c r="AO138" s="406"/>
      <c r="AP138" s="406"/>
      <c r="AQ138" s="406"/>
      <c r="AR138" s="406"/>
      <c r="AS138" s="406"/>
      <c r="AT138" s="406"/>
      <c r="AU138" s="406"/>
      <c r="AV138" s="406"/>
      <c r="AW138" s="406"/>
      <c r="AX138" s="406"/>
      <c r="AY138" s="406"/>
      <c r="AZ138" s="406"/>
      <c r="BA138" s="406"/>
      <c r="BB138" s="406"/>
      <c r="BC138" s="406"/>
      <c r="BD138" s="406"/>
      <c r="BE138" s="406"/>
      <c r="BF138" s="406"/>
      <c r="BG138" s="406"/>
      <c r="BH138" s="406"/>
      <c r="BI138" s="406"/>
      <c r="BJ138" s="406"/>
      <c r="BK138" s="406"/>
      <c r="BL138" s="406"/>
      <c r="BM138" s="406"/>
      <c r="BN138" s="406"/>
      <c r="BO138" s="406"/>
    </row>
    <row r="139" spans="3:67" hidden="1">
      <c r="C139" s="413"/>
      <c r="D139" s="413"/>
      <c r="E139" s="413"/>
      <c r="F139" s="413"/>
      <c r="G139" s="413"/>
      <c r="H139" s="414"/>
      <c r="I139" s="406"/>
      <c r="J139" s="406"/>
      <c r="K139" s="406"/>
      <c r="L139" s="406"/>
      <c r="M139" s="406"/>
      <c r="N139" s="406"/>
      <c r="O139" s="406"/>
      <c r="P139" s="406"/>
      <c r="Q139" s="406"/>
      <c r="R139" s="406"/>
      <c r="S139" s="406"/>
      <c r="T139" s="406"/>
      <c r="U139" s="406"/>
      <c r="V139" s="406"/>
      <c r="W139" s="406"/>
      <c r="X139" s="406"/>
      <c r="Y139" s="406"/>
      <c r="Z139" s="406"/>
      <c r="AA139" s="406"/>
      <c r="AB139" s="406"/>
      <c r="AC139" s="406"/>
      <c r="AD139" s="406"/>
      <c r="AE139" s="406"/>
      <c r="AF139" s="406"/>
      <c r="AG139" s="406"/>
      <c r="AH139" s="406"/>
      <c r="AI139" s="406"/>
      <c r="AJ139" s="406"/>
      <c r="AK139" s="406"/>
      <c r="AL139" s="406"/>
      <c r="AM139" s="406"/>
      <c r="AN139" s="406"/>
      <c r="AO139" s="406"/>
      <c r="AP139" s="406"/>
      <c r="AQ139" s="406"/>
      <c r="AR139" s="406"/>
      <c r="AS139" s="406"/>
      <c r="AT139" s="406"/>
      <c r="AU139" s="406"/>
      <c r="AV139" s="406"/>
      <c r="AW139" s="406"/>
      <c r="AX139" s="406"/>
      <c r="AY139" s="406"/>
      <c r="AZ139" s="406"/>
      <c r="BA139" s="406"/>
      <c r="BB139" s="406"/>
      <c r="BC139" s="406"/>
      <c r="BD139" s="406"/>
      <c r="BE139" s="406"/>
      <c r="BF139" s="406"/>
      <c r="BG139" s="406"/>
      <c r="BH139" s="406"/>
      <c r="BI139" s="406"/>
      <c r="BJ139" s="406"/>
      <c r="BK139" s="406"/>
      <c r="BL139" s="406"/>
      <c r="BM139" s="406"/>
      <c r="BN139" s="406"/>
      <c r="BO139" s="406"/>
    </row>
    <row r="140" spans="3:67" hidden="1">
      <c r="C140" s="413"/>
      <c r="D140" s="413"/>
      <c r="E140" s="413"/>
      <c r="F140" s="413"/>
      <c r="G140" s="413"/>
      <c r="H140" s="414"/>
      <c r="I140" s="406"/>
      <c r="J140" s="406"/>
      <c r="K140" s="406"/>
      <c r="L140" s="406"/>
      <c r="M140" s="406"/>
      <c r="N140" s="406"/>
      <c r="O140" s="406"/>
      <c r="P140" s="406"/>
      <c r="Q140" s="406"/>
      <c r="R140" s="406"/>
      <c r="S140" s="406"/>
      <c r="T140" s="406"/>
      <c r="U140" s="406"/>
      <c r="V140" s="406"/>
      <c r="W140" s="406"/>
      <c r="X140" s="406"/>
      <c r="Y140" s="406"/>
      <c r="Z140" s="406"/>
      <c r="AA140" s="406"/>
      <c r="AB140" s="406"/>
      <c r="AC140" s="406"/>
      <c r="AD140" s="406"/>
      <c r="AE140" s="406"/>
      <c r="AF140" s="406"/>
      <c r="AG140" s="406"/>
      <c r="AH140" s="406"/>
      <c r="AI140" s="406"/>
      <c r="AJ140" s="406"/>
      <c r="AK140" s="406"/>
      <c r="AL140" s="406"/>
      <c r="AM140" s="406"/>
      <c r="AN140" s="406"/>
      <c r="AO140" s="406"/>
      <c r="AP140" s="406"/>
      <c r="AQ140" s="406"/>
      <c r="AR140" s="406"/>
      <c r="AS140" s="406"/>
      <c r="AT140" s="406"/>
      <c r="AU140" s="406"/>
      <c r="AV140" s="406"/>
      <c r="AW140" s="406"/>
      <c r="AX140" s="406"/>
      <c r="AY140" s="406"/>
      <c r="AZ140" s="406"/>
      <c r="BA140" s="406"/>
      <c r="BB140" s="406"/>
      <c r="BC140" s="406"/>
      <c r="BD140" s="406"/>
      <c r="BE140" s="406"/>
      <c r="BF140" s="406"/>
      <c r="BG140" s="406"/>
      <c r="BH140" s="406"/>
      <c r="BI140" s="406"/>
      <c r="BJ140" s="406"/>
      <c r="BK140" s="406"/>
      <c r="BL140" s="406"/>
      <c r="BM140" s="406"/>
      <c r="BN140" s="406"/>
      <c r="BO140" s="406"/>
    </row>
    <row r="141" spans="3:67" hidden="1">
      <c r="C141" s="413"/>
      <c r="D141" s="413"/>
      <c r="E141" s="413"/>
      <c r="F141" s="413"/>
      <c r="G141" s="413"/>
      <c r="H141" s="414"/>
      <c r="I141" s="406"/>
      <c r="J141" s="406"/>
      <c r="K141" s="406"/>
      <c r="L141" s="406"/>
      <c r="M141" s="406"/>
      <c r="N141" s="406"/>
      <c r="O141" s="406"/>
      <c r="P141" s="406"/>
      <c r="Q141" s="406"/>
      <c r="R141" s="406"/>
      <c r="S141" s="406"/>
      <c r="T141" s="406"/>
      <c r="U141" s="406"/>
      <c r="V141" s="406"/>
      <c r="W141" s="406"/>
      <c r="X141" s="406"/>
      <c r="Y141" s="406"/>
      <c r="Z141" s="406"/>
      <c r="AA141" s="406"/>
      <c r="AB141" s="406"/>
      <c r="AC141" s="406"/>
      <c r="AD141" s="406"/>
      <c r="AE141" s="406"/>
      <c r="AF141" s="406"/>
      <c r="AG141" s="406"/>
      <c r="AH141" s="406"/>
      <c r="AI141" s="406"/>
      <c r="AJ141" s="406"/>
      <c r="AK141" s="406"/>
      <c r="AL141" s="406"/>
      <c r="AM141" s="406"/>
      <c r="AN141" s="406"/>
      <c r="AO141" s="406"/>
      <c r="AP141" s="406"/>
      <c r="AQ141" s="406"/>
      <c r="AR141" s="406"/>
      <c r="AS141" s="406"/>
      <c r="AT141" s="406"/>
      <c r="AU141" s="406"/>
      <c r="AV141" s="406"/>
      <c r="AW141" s="406"/>
      <c r="AX141" s="406"/>
      <c r="AY141" s="406"/>
      <c r="AZ141" s="406"/>
      <c r="BA141" s="406"/>
      <c r="BB141" s="406"/>
      <c r="BC141" s="406"/>
      <c r="BD141" s="406"/>
      <c r="BE141" s="406"/>
      <c r="BF141" s="406"/>
      <c r="BG141" s="406"/>
      <c r="BH141" s="406"/>
      <c r="BI141" s="406"/>
      <c r="BJ141" s="406"/>
      <c r="BK141" s="406"/>
      <c r="BL141" s="406"/>
      <c r="BM141" s="406"/>
      <c r="BN141" s="406"/>
      <c r="BO141" s="406"/>
    </row>
    <row r="142" spans="3:67" hidden="1">
      <c r="C142" s="413"/>
      <c r="D142" s="413"/>
      <c r="E142" s="413"/>
      <c r="F142" s="413"/>
      <c r="G142" s="413"/>
      <c r="H142" s="414"/>
      <c r="I142" s="406"/>
      <c r="J142" s="406"/>
      <c r="K142" s="406"/>
      <c r="L142" s="406"/>
      <c r="M142" s="406"/>
      <c r="N142" s="406"/>
      <c r="O142" s="406"/>
      <c r="P142" s="406"/>
      <c r="Q142" s="406"/>
      <c r="R142" s="406"/>
      <c r="S142" s="406"/>
      <c r="T142" s="406"/>
      <c r="U142" s="406"/>
      <c r="V142" s="406"/>
      <c r="W142" s="406"/>
      <c r="X142" s="406"/>
      <c r="Y142" s="406"/>
      <c r="Z142" s="406"/>
      <c r="AA142" s="406"/>
      <c r="AB142" s="406"/>
      <c r="AC142" s="406"/>
      <c r="AD142" s="406"/>
      <c r="AE142" s="406"/>
      <c r="AF142" s="406"/>
      <c r="AG142" s="406"/>
      <c r="AH142" s="406"/>
      <c r="AI142" s="406"/>
      <c r="AJ142" s="406"/>
      <c r="AK142" s="406"/>
      <c r="AL142" s="406"/>
      <c r="AM142" s="406"/>
      <c r="AN142" s="406"/>
      <c r="AO142" s="406"/>
      <c r="AP142" s="406"/>
      <c r="AQ142" s="406"/>
      <c r="AR142" s="406"/>
      <c r="AS142" s="406"/>
      <c r="AT142" s="406"/>
      <c r="AU142" s="406"/>
      <c r="AV142" s="406"/>
      <c r="AW142" s="406"/>
      <c r="AX142" s="406"/>
      <c r="AY142" s="406"/>
      <c r="AZ142" s="406"/>
      <c r="BA142" s="406"/>
      <c r="BB142" s="406"/>
      <c r="BC142" s="406"/>
      <c r="BD142" s="406"/>
      <c r="BE142" s="406"/>
      <c r="BF142" s="406"/>
      <c r="BG142" s="406"/>
      <c r="BH142" s="406"/>
      <c r="BI142" s="406"/>
      <c r="BJ142" s="406"/>
      <c r="BK142" s="406"/>
      <c r="BL142" s="406"/>
      <c r="BM142" s="406"/>
      <c r="BN142" s="406"/>
      <c r="BO142" s="406"/>
    </row>
    <row r="143" spans="3:67" hidden="1">
      <c r="C143" s="413"/>
      <c r="D143" s="413"/>
      <c r="E143" s="413"/>
      <c r="F143" s="413"/>
      <c r="G143" s="413"/>
      <c r="H143" s="414"/>
      <c r="I143" s="406"/>
      <c r="J143" s="406"/>
      <c r="K143" s="406"/>
      <c r="L143" s="406"/>
      <c r="M143" s="406"/>
      <c r="N143" s="406"/>
      <c r="O143" s="406"/>
      <c r="P143" s="406"/>
      <c r="Q143" s="406"/>
      <c r="R143" s="406"/>
      <c r="S143" s="406"/>
      <c r="T143" s="406"/>
      <c r="U143" s="406"/>
      <c r="V143" s="406"/>
      <c r="W143" s="406"/>
      <c r="X143" s="406"/>
      <c r="Y143" s="406"/>
      <c r="Z143" s="406"/>
      <c r="AA143" s="406"/>
      <c r="AB143" s="406"/>
      <c r="AC143" s="406"/>
      <c r="AD143" s="406"/>
      <c r="AE143" s="406"/>
      <c r="AF143" s="406"/>
      <c r="AG143" s="406"/>
      <c r="AH143" s="406"/>
      <c r="AI143" s="406"/>
      <c r="AJ143" s="406"/>
      <c r="AK143" s="406"/>
      <c r="AL143" s="406"/>
      <c r="AM143" s="406"/>
      <c r="AN143" s="406"/>
      <c r="AO143" s="406"/>
      <c r="AP143" s="406"/>
      <c r="AQ143" s="406"/>
      <c r="AR143" s="406"/>
      <c r="AS143" s="406"/>
      <c r="AT143" s="406"/>
      <c r="AU143" s="406"/>
      <c r="AV143" s="406"/>
      <c r="AW143" s="406"/>
      <c r="AX143" s="406"/>
      <c r="AY143" s="406"/>
      <c r="AZ143" s="406"/>
      <c r="BA143" s="406"/>
      <c r="BB143" s="406"/>
      <c r="BC143" s="406"/>
      <c r="BD143" s="406"/>
      <c r="BE143" s="406"/>
      <c r="BF143" s="406"/>
      <c r="BG143" s="406"/>
      <c r="BH143" s="406"/>
      <c r="BI143" s="406"/>
      <c r="BJ143" s="406"/>
      <c r="BK143" s="406"/>
      <c r="BL143" s="406"/>
      <c r="BM143" s="406"/>
      <c r="BN143" s="406"/>
      <c r="BO143" s="406"/>
    </row>
    <row r="144" spans="3:67" hidden="1">
      <c r="C144" s="413"/>
      <c r="D144" s="413"/>
      <c r="E144" s="413"/>
      <c r="F144" s="413"/>
      <c r="G144" s="413"/>
      <c r="H144" s="414"/>
      <c r="I144" s="406"/>
      <c r="J144" s="406"/>
      <c r="K144" s="406"/>
      <c r="L144" s="406"/>
      <c r="M144" s="406"/>
      <c r="N144" s="406"/>
      <c r="O144" s="406"/>
      <c r="P144" s="406"/>
      <c r="Q144" s="406"/>
      <c r="R144" s="406"/>
      <c r="S144" s="406"/>
      <c r="T144" s="406"/>
      <c r="U144" s="406"/>
      <c r="V144" s="406"/>
      <c r="W144" s="406"/>
      <c r="X144" s="406"/>
      <c r="Y144" s="406"/>
      <c r="Z144" s="406"/>
      <c r="AA144" s="406"/>
      <c r="AB144" s="406"/>
      <c r="AC144" s="406"/>
      <c r="AD144" s="406"/>
      <c r="AE144" s="406"/>
      <c r="AF144" s="406"/>
      <c r="AG144" s="406"/>
      <c r="AH144" s="406"/>
      <c r="AI144" s="406"/>
      <c r="AJ144" s="406"/>
      <c r="AK144" s="406"/>
      <c r="AL144" s="406"/>
      <c r="AM144" s="406"/>
      <c r="AN144" s="406"/>
      <c r="AO144" s="406"/>
      <c r="AP144" s="406"/>
      <c r="AQ144" s="406"/>
      <c r="AR144" s="406"/>
      <c r="AS144" s="406"/>
      <c r="AT144" s="406"/>
      <c r="AU144" s="406"/>
      <c r="AV144" s="406"/>
      <c r="AW144" s="406"/>
      <c r="AX144" s="406"/>
      <c r="AY144" s="406"/>
      <c r="AZ144" s="406"/>
      <c r="BA144" s="406"/>
      <c r="BB144" s="406"/>
      <c r="BC144" s="406"/>
      <c r="BD144" s="406"/>
      <c r="BE144" s="406"/>
      <c r="BF144" s="406"/>
      <c r="BG144" s="406"/>
      <c r="BH144" s="406"/>
      <c r="BI144" s="406"/>
      <c r="BJ144" s="406"/>
      <c r="BK144" s="406"/>
      <c r="BL144" s="406"/>
      <c r="BM144" s="406"/>
      <c r="BN144" s="406"/>
      <c r="BO144" s="406"/>
    </row>
    <row r="145" spans="3:67" hidden="1">
      <c r="C145" s="413"/>
      <c r="D145" s="413"/>
      <c r="E145" s="413"/>
      <c r="F145" s="413"/>
      <c r="G145" s="413"/>
      <c r="H145" s="414"/>
      <c r="I145" s="406"/>
      <c r="J145" s="406"/>
      <c r="K145" s="406"/>
      <c r="L145" s="406"/>
      <c r="M145" s="406"/>
      <c r="N145" s="406"/>
      <c r="O145" s="406"/>
      <c r="P145" s="406"/>
      <c r="Q145" s="406"/>
      <c r="R145" s="406"/>
      <c r="S145" s="406"/>
      <c r="T145" s="406"/>
      <c r="U145" s="406"/>
      <c r="V145" s="406"/>
      <c r="W145" s="406"/>
      <c r="X145" s="406"/>
      <c r="Y145" s="406"/>
      <c r="Z145" s="406"/>
      <c r="AA145" s="406"/>
      <c r="AB145" s="406"/>
      <c r="AC145" s="406"/>
      <c r="AD145" s="406"/>
      <c r="AE145" s="406"/>
      <c r="AF145" s="406"/>
      <c r="AG145" s="406"/>
      <c r="AH145" s="406"/>
      <c r="AI145" s="406"/>
      <c r="AJ145" s="406"/>
      <c r="AK145" s="406"/>
      <c r="AL145" s="406"/>
      <c r="AM145" s="406"/>
      <c r="AN145" s="406"/>
      <c r="AO145" s="406"/>
      <c r="AP145" s="406"/>
      <c r="AQ145" s="406"/>
      <c r="AR145" s="406"/>
      <c r="AS145" s="406"/>
      <c r="AT145" s="406"/>
      <c r="AU145" s="406"/>
      <c r="AV145" s="406"/>
      <c r="AW145" s="406"/>
      <c r="AX145" s="406"/>
      <c r="AY145" s="406"/>
      <c r="AZ145" s="406"/>
      <c r="BA145" s="406"/>
      <c r="BB145" s="406"/>
      <c r="BC145" s="406"/>
      <c r="BD145" s="406"/>
      <c r="BE145" s="406"/>
      <c r="BF145" s="406"/>
      <c r="BG145" s="406"/>
      <c r="BH145" s="406"/>
      <c r="BI145" s="406"/>
      <c r="BJ145" s="406"/>
      <c r="BK145" s="406"/>
      <c r="BL145" s="406"/>
      <c r="BM145" s="406"/>
      <c r="BN145" s="406"/>
      <c r="BO145" s="406"/>
    </row>
    <row r="146" spans="3:67" hidden="1">
      <c r="C146" s="413"/>
      <c r="D146" s="413"/>
      <c r="E146" s="413"/>
      <c r="F146" s="413"/>
      <c r="G146" s="413"/>
      <c r="H146" s="414"/>
      <c r="I146" s="406"/>
      <c r="J146" s="406"/>
      <c r="K146" s="406"/>
      <c r="L146" s="406"/>
      <c r="M146" s="406"/>
      <c r="N146" s="406"/>
      <c r="O146" s="406"/>
      <c r="P146" s="406"/>
      <c r="Q146" s="406"/>
      <c r="R146" s="406"/>
      <c r="S146" s="406"/>
      <c r="T146" s="406"/>
      <c r="U146" s="406"/>
      <c r="V146" s="406"/>
      <c r="W146" s="406"/>
      <c r="X146" s="406"/>
      <c r="Y146" s="406"/>
      <c r="Z146" s="406"/>
      <c r="AA146" s="406"/>
      <c r="AB146" s="406"/>
      <c r="AC146" s="406"/>
      <c r="AD146" s="406"/>
      <c r="AE146" s="406"/>
      <c r="AF146" s="406"/>
      <c r="AG146" s="406"/>
      <c r="AH146" s="406"/>
      <c r="AI146" s="406"/>
      <c r="AJ146" s="406"/>
      <c r="AK146" s="406"/>
      <c r="AL146" s="406"/>
      <c r="AM146" s="406"/>
      <c r="AN146" s="406"/>
      <c r="AO146" s="406"/>
      <c r="AP146" s="406"/>
      <c r="AQ146" s="406"/>
      <c r="AR146" s="406"/>
      <c r="AS146" s="406"/>
      <c r="AT146" s="406"/>
      <c r="AU146" s="406"/>
      <c r="AV146" s="406"/>
      <c r="AW146" s="406"/>
      <c r="AX146" s="406"/>
      <c r="AY146" s="406"/>
      <c r="AZ146" s="406"/>
      <c r="BA146" s="406"/>
      <c r="BB146" s="406"/>
      <c r="BC146" s="406"/>
      <c r="BD146" s="406"/>
      <c r="BE146" s="406"/>
      <c r="BF146" s="406"/>
      <c r="BG146" s="406"/>
      <c r="BH146" s="406"/>
      <c r="BI146" s="406"/>
      <c r="BJ146" s="406"/>
      <c r="BK146" s="406"/>
      <c r="BL146" s="406"/>
      <c r="BM146" s="406"/>
      <c r="BN146" s="406"/>
      <c r="BO146" s="406"/>
    </row>
    <row r="147" spans="3:67" hidden="1">
      <c r="C147" s="413"/>
      <c r="D147" s="413"/>
      <c r="E147" s="413"/>
      <c r="F147" s="413"/>
      <c r="G147" s="413"/>
      <c r="H147" s="414"/>
      <c r="I147" s="406"/>
      <c r="J147" s="406"/>
      <c r="K147" s="406"/>
      <c r="L147" s="406"/>
      <c r="M147" s="406"/>
      <c r="N147" s="406"/>
      <c r="O147" s="406"/>
      <c r="P147" s="406"/>
      <c r="Q147" s="406"/>
      <c r="R147" s="406"/>
      <c r="S147" s="406"/>
      <c r="T147" s="406"/>
      <c r="U147" s="406"/>
      <c r="V147" s="406"/>
      <c r="W147" s="406"/>
      <c r="X147" s="406"/>
      <c r="Y147" s="406"/>
      <c r="Z147" s="406"/>
      <c r="AA147" s="406"/>
      <c r="AB147" s="406"/>
      <c r="AC147" s="406"/>
      <c r="AD147" s="406"/>
      <c r="AE147" s="406"/>
      <c r="AF147" s="406"/>
      <c r="AG147" s="406"/>
      <c r="AH147" s="406"/>
      <c r="AI147" s="406"/>
      <c r="AJ147" s="406"/>
      <c r="AK147" s="406"/>
      <c r="AL147" s="406"/>
      <c r="AM147" s="406"/>
      <c r="AN147" s="406"/>
      <c r="AO147" s="406"/>
      <c r="AP147" s="406"/>
      <c r="AQ147" s="406"/>
      <c r="AR147" s="406"/>
      <c r="AS147" s="406"/>
      <c r="AT147" s="406"/>
      <c r="AU147" s="406"/>
      <c r="AV147" s="406"/>
      <c r="AW147" s="406"/>
      <c r="AX147" s="406"/>
      <c r="AY147" s="406"/>
      <c r="AZ147" s="406"/>
      <c r="BA147" s="406"/>
      <c r="BB147" s="406"/>
      <c r="BC147" s="406"/>
      <c r="BD147" s="406"/>
      <c r="BE147" s="406"/>
      <c r="BF147" s="406"/>
      <c r="BG147" s="406"/>
      <c r="BH147" s="406"/>
      <c r="BI147" s="406"/>
      <c r="BJ147" s="406"/>
      <c r="BK147" s="406"/>
      <c r="BL147" s="406"/>
      <c r="BM147" s="406"/>
      <c r="BN147" s="406"/>
      <c r="BO147" s="406"/>
    </row>
    <row r="148" spans="3:67" hidden="1">
      <c r="C148" s="413"/>
      <c r="D148" s="413"/>
      <c r="E148" s="413"/>
      <c r="F148" s="413"/>
      <c r="G148" s="413"/>
      <c r="H148" s="414"/>
      <c r="I148" s="406"/>
      <c r="J148" s="406"/>
      <c r="K148" s="406"/>
      <c r="L148" s="406"/>
      <c r="M148" s="406"/>
      <c r="N148" s="406"/>
      <c r="O148" s="406"/>
      <c r="P148" s="406"/>
      <c r="Q148" s="406"/>
      <c r="R148" s="406"/>
      <c r="S148" s="406"/>
      <c r="T148" s="406"/>
      <c r="U148" s="406"/>
      <c r="V148" s="406"/>
      <c r="W148" s="406"/>
      <c r="X148" s="406"/>
      <c r="Y148" s="406"/>
      <c r="Z148" s="406"/>
      <c r="AA148" s="406"/>
      <c r="AB148" s="406"/>
      <c r="AC148" s="406"/>
      <c r="AD148" s="406"/>
      <c r="AE148" s="406"/>
      <c r="AF148" s="406"/>
      <c r="AG148" s="406"/>
      <c r="AH148" s="406"/>
      <c r="AI148" s="406"/>
      <c r="AJ148" s="406"/>
      <c r="AK148" s="406"/>
      <c r="AL148" s="406"/>
      <c r="AM148" s="406"/>
      <c r="AN148" s="406"/>
      <c r="AO148" s="406"/>
      <c r="AP148" s="406"/>
      <c r="AQ148" s="406"/>
      <c r="AR148" s="406"/>
      <c r="AS148" s="406"/>
      <c r="AT148" s="406"/>
      <c r="AU148" s="406"/>
      <c r="AV148" s="406"/>
      <c r="AW148" s="406"/>
      <c r="AX148" s="406"/>
      <c r="AY148" s="406"/>
      <c r="AZ148" s="406"/>
      <c r="BA148" s="406"/>
      <c r="BB148" s="406"/>
      <c r="BC148" s="406"/>
      <c r="BD148" s="406"/>
      <c r="BE148" s="406"/>
      <c r="BF148" s="406"/>
      <c r="BG148" s="406"/>
      <c r="BH148" s="406"/>
      <c r="BI148" s="406"/>
      <c r="BJ148" s="406"/>
      <c r="BK148" s="406"/>
      <c r="BL148" s="406"/>
      <c r="BM148" s="406"/>
      <c r="BN148" s="406"/>
      <c r="BO148" s="406"/>
    </row>
    <row r="149" spans="3:67" hidden="1">
      <c r="C149" s="413"/>
      <c r="D149" s="413"/>
      <c r="E149" s="413"/>
      <c r="F149" s="413"/>
      <c r="G149" s="413"/>
      <c r="H149" s="414"/>
      <c r="I149" s="406"/>
      <c r="J149" s="406"/>
      <c r="K149" s="406"/>
      <c r="L149" s="406"/>
      <c r="M149" s="406"/>
      <c r="N149" s="406"/>
      <c r="O149" s="406"/>
      <c r="P149" s="406"/>
      <c r="Q149" s="406"/>
      <c r="R149" s="406"/>
      <c r="S149" s="406"/>
      <c r="T149" s="406"/>
      <c r="U149" s="406"/>
      <c r="V149" s="406"/>
      <c r="W149" s="406"/>
      <c r="X149" s="406"/>
      <c r="Y149" s="406"/>
      <c r="Z149" s="406"/>
      <c r="AA149" s="406"/>
      <c r="AB149" s="406"/>
      <c r="AC149" s="406"/>
      <c r="AD149" s="406"/>
      <c r="AE149" s="406"/>
      <c r="AF149" s="406"/>
      <c r="AG149" s="406"/>
      <c r="AH149" s="406"/>
      <c r="AI149" s="406"/>
      <c r="AJ149" s="406"/>
      <c r="AK149" s="406"/>
      <c r="AL149" s="406"/>
      <c r="AM149" s="406"/>
      <c r="AN149" s="406"/>
      <c r="AO149" s="406"/>
      <c r="AP149" s="406"/>
      <c r="AQ149" s="406"/>
      <c r="AR149" s="406"/>
      <c r="AS149" s="406"/>
      <c r="AT149" s="406"/>
      <c r="AU149" s="406"/>
      <c r="AV149" s="406"/>
      <c r="AW149" s="406"/>
      <c r="AX149" s="406"/>
      <c r="AY149" s="406"/>
      <c r="AZ149" s="406"/>
      <c r="BA149" s="406"/>
      <c r="BB149" s="406"/>
      <c r="BC149" s="406"/>
      <c r="BD149" s="406"/>
      <c r="BE149" s="406"/>
      <c r="BF149" s="406"/>
      <c r="BG149" s="406"/>
      <c r="BH149" s="406"/>
      <c r="BI149" s="406"/>
      <c r="BJ149" s="406"/>
      <c r="BK149" s="406"/>
      <c r="BL149" s="406"/>
      <c r="BM149" s="406"/>
      <c r="BN149" s="406"/>
      <c r="BO149" s="406"/>
    </row>
    <row r="150" spans="3:67" hidden="1">
      <c r="C150" s="413"/>
      <c r="D150" s="413"/>
      <c r="E150" s="413"/>
      <c r="F150" s="413"/>
      <c r="G150" s="413"/>
      <c r="H150" s="414"/>
      <c r="I150" s="406"/>
      <c r="J150" s="406"/>
      <c r="K150" s="406"/>
      <c r="L150" s="406"/>
      <c r="M150" s="406"/>
      <c r="N150" s="406"/>
      <c r="O150" s="406"/>
      <c r="P150" s="406"/>
      <c r="Q150" s="406"/>
      <c r="R150" s="406"/>
      <c r="S150" s="406"/>
      <c r="T150" s="406"/>
      <c r="U150" s="406"/>
      <c r="V150" s="406"/>
      <c r="W150" s="406"/>
      <c r="X150" s="406"/>
      <c r="Y150" s="406"/>
      <c r="Z150" s="406"/>
      <c r="AA150" s="406"/>
      <c r="AB150" s="406"/>
      <c r="AC150" s="406"/>
      <c r="AD150" s="406"/>
      <c r="AE150" s="406"/>
      <c r="AF150" s="406"/>
      <c r="AG150" s="406"/>
      <c r="AH150" s="406"/>
      <c r="AI150" s="406"/>
      <c r="AJ150" s="406"/>
      <c r="AK150" s="406"/>
      <c r="AL150" s="406"/>
      <c r="AM150" s="406"/>
      <c r="AN150" s="406"/>
      <c r="AO150" s="406"/>
      <c r="AP150" s="406"/>
      <c r="AQ150" s="406"/>
      <c r="AR150" s="406"/>
      <c r="AS150" s="406"/>
      <c r="AT150" s="406"/>
      <c r="AU150" s="406"/>
      <c r="AV150" s="406"/>
      <c r="AW150" s="406"/>
      <c r="AX150" s="406"/>
      <c r="AY150" s="406"/>
      <c r="AZ150" s="406"/>
      <c r="BA150" s="406"/>
      <c r="BB150" s="406"/>
      <c r="BC150" s="406"/>
      <c r="BD150" s="406"/>
      <c r="BE150" s="406"/>
      <c r="BF150" s="406"/>
      <c r="BG150" s="406"/>
      <c r="BH150" s="406"/>
      <c r="BI150" s="406"/>
      <c r="BJ150" s="406"/>
      <c r="BK150" s="406"/>
      <c r="BL150" s="406"/>
      <c r="BM150" s="406"/>
      <c r="BN150" s="406"/>
      <c r="BO150" s="406"/>
    </row>
    <row r="151" spans="3:67" hidden="1">
      <c r="C151" s="413"/>
      <c r="D151" s="413"/>
      <c r="E151" s="413"/>
      <c r="F151" s="413"/>
      <c r="G151" s="413"/>
      <c r="H151" s="414"/>
      <c r="I151" s="406"/>
      <c r="J151" s="406"/>
      <c r="K151" s="406"/>
      <c r="L151" s="406"/>
      <c r="M151" s="406"/>
      <c r="N151" s="406"/>
      <c r="O151" s="406"/>
      <c r="P151" s="406"/>
      <c r="Q151" s="406"/>
      <c r="R151" s="406"/>
      <c r="S151" s="406"/>
      <c r="T151" s="406"/>
      <c r="U151" s="406"/>
      <c r="V151" s="406"/>
      <c r="W151" s="406"/>
      <c r="X151" s="406"/>
      <c r="Y151" s="406"/>
      <c r="Z151" s="406"/>
      <c r="AA151" s="406"/>
      <c r="AB151" s="406"/>
      <c r="AC151" s="406"/>
      <c r="AD151" s="406"/>
      <c r="AE151" s="406"/>
      <c r="AF151" s="406"/>
      <c r="AG151" s="406"/>
      <c r="AH151" s="406"/>
      <c r="AI151" s="406"/>
      <c r="AJ151" s="406"/>
      <c r="AK151" s="406"/>
      <c r="AL151" s="406"/>
      <c r="AM151" s="406"/>
      <c r="AN151" s="406"/>
      <c r="AO151" s="406"/>
      <c r="AP151" s="406"/>
      <c r="AQ151" s="406"/>
      <c r="AR151" s="406"/>
      <c r="AS151" s="406"/>
      <c r="AT151" s="406"/>
      <c r="AU151" s="406"/>
      <c r="AV151" s="406"/>
      <c r="AW151" s="406"/>
      <c r="AX151" s="406"/>
      <c r="AY151" s="406"/>
      <c r="AZ151" s="406"/>
      <c r="BA151" s="406"/>
      <c r="BB151" s="406"/>
      <c r="BC151" s="406"/>
      <c r="BD151" s="406"/>
      <c r="BE151" s="406"/>
      <c r="BF151" s="406"/>
      <c r="BG151" s="406"/>
      <c r="BH151" s="406"/>
      <c r="BI151" s="406"/>
      <c r="BJ151" s="406"/>
      <c r="BK151" s="406"/>
      <c r="BL151" s="406"/>
      <c r="BM151" s="406"/>
      <c r="BN151" s="406"/>
      <c r="BO151" s="406"/>
    </row>
    <row r="152" spans="3:67" hidden="1">
      <c r="C152" s="413"/>
      <c r="D152" s="413"/>
      <c r="E152" s="413"/>
      <c r="F152" s="413"/>
      <c r="G152" s="413"/>
      <c r="H152" s="414"/>
      <c r="I152" s="406"/>
      <c r="J152" s="406"/>
      <c r="K152" s="406"/>
      <c r="L152" s="406"/>
      <c r="M152" s="406"/>
      <c r="N152" s="406"/>
      <c r="O152" s="406"/>
      <c r="P152" s="406"/>
      <c r="Q152" s="406"/>
      <c r="R152" s="406"/>
      <c r="S152" s="406"/>
      <c r="T152" s="406"/>
      <c r="U152" s="406"/>
      <c r="V152" s="406"/>
      <c r="W152" s="406"/>
      <c r="X152" s="406"/>
      <c r="Y152" s="406"/>
      <c r="Z152" s="406"/>
      <c r="AA152" s="406"/>
      <c r="AB152" s="406"/>
      <c r="AC152" s="406"/>
      <c r="AD152" s="406"/>
      <c r="AE152" s="406"/>
      <c r="AF152" s="406"/>
      <c r="AG152" s="406"/>
      <c r="AH152" s="406"/>
      <c r="AI152" s="406"/>
      <c r="AJ152" s="406"/>
      <c r="AK152" s="406"/>
      <c r="AL152" s="406"/>
      <c r="AM152" s="406"/>
      <c r="AN152" s="406"/>
      <c r="AO152" s="406"/>
      <c r="AP152" s="406"/>
      <c r="AQ152" s="406"/>
      <c r="AR152" s="406"/>
      <c r="AS152" s="406"/>
      <c r="AT152" s="406"/>
      <c r="AU152" s="406"/>
      <c r="AV152" s="406"/>
      <c r="AW152" s="406"/>
      <c r="AX152" s="406"/>
      <c r="AY152" s="406"/>
      <c r="AZ152" s="406"/>
      <c r="BA152" s="406"/>
      <c r="BB152" s="406"/>
      <c r="BC152" s="406"/>
      <c r="BD152" s="406"/>
      <c r="BE152" s="406"/>
      <c r="BF152" s="406"/>
      <c r="BG152" s="406"/>
      <c r="BH152" s="406"/>
      <c r="BI152" s="406"/>
      <c r="BJ152" s="406"/>
      <c r="BK152" s="406"/>
      <c r="BL152" s="406"/>
      <c r="BM152" s="406"/>
      <c r="BN152" s="406"/>
      <c r="BO152" s="406"/>
    </row>
    <row r="153" spans="3:67" hidden="1">
      <c r="C153" s="413"/>
      <c r="D153" s="413"/>
      <c r="E153" s="413"/>
      <c r="F153" s="413"/>
      <c r="G153" s="413"/>
      <c r="H153" s="414"/>
      <c r="I153" s="406"/>
      <c r="J153" s="406"/>
      <c r="K153" s="406"/>
      <c r="L153" s="406"/>
      <c r="M153" s="406"/>
      <c r="N153" s="406"/>
      <c r="O153" s="406"/>
      <c r="P153" s="406"/>
      <c r="Q153" s="406"/>
      <c r="R153" s="406"/>
      <c r="S153" s="406"/>
      <c r="T153" s="406"/>
      <c r="U153" s="406"/>
      <c r="V153" s="406"/>
      <c r="W153" s="406"/>
      <c r="X153" s="406"/>
      <c r="Y153" s="406"/>
      <c r="Z153" s="406"/>
      <c r="AA153" s="406"/>
      <c r="AB153" s="406"/>
      <c r="AC153" s="406"/>
      <c r="AD153" s="406"/>
      <c r="AE153" s="406"/>
      <c r="AF153" s="406"/>
      <c r="AG153" s="406"/>
      <c r="AH153" s="406"/>
      <c r="AI153" s="406"/>
      <c r="AJ153" s="406"/>
      <c r="AK153" s="406"/>
      <c r="AL153" s="406"/>
      <c r="AM153" s="406"/>
      <c r="AN153" s="406"/>
      <c r="AO153" s="406"/>
      <c r="AP153" s="406"/>
      <c r="AQ153" s="406"/>
      <c r="AR153" s="406"/>
      <c r="AS153" s="406"/>
      <c r="AT153" s="406"/>
      <c r="AU153" s="406"/>
      <c r="AV153" s="406"/>
      <c r="AW153" s="406"/>
      <c r="AX153" s="406"/>
      <c r="AY153" s="406"/>
      <c r="AZ153" s="406"/>
      <c r="BA153" s="406"/>
      <c r="BB153" s="406"/>
      <c r="BC153" s="406"/>
      <c r="BD153" s="406"/>
      <c r="BE153" s="406"/>
      <c r="BF153" s="406"/>
      <c r="BG153" s="406"/>
      <c r="BH153" s="406"/>
      <c r="BI153" s="406"/>
      <c r="BJ153" s="406"/>
      <c r="BK153" s="406"/>
      <c r="BL153" s="406"/>
      <c r="BM153" s="406"/>
      <c r="BN153" s="406"/>
      <c r="BO153" s="406"/>
    </row>
    <row r="154" spans="3:67" hidden="1">
      <c r="C154" s="413"/>
      <c r="D154" s="413"/>
      <c r="E154" s="413"/>
      <c r="F154" s="413"/>
      <c r="G154" s="413"/>
      <c r="H154" s="414"/>
      <c r="I154" s="406"/>
      <c r="J154" s="406"/>
      <c r="K154" s="406"/>
      <c r="L154" s="406"/>
      <c r="M154" s="406"/>
      <c r="N154" s="406"/>
      <c r="O154" s="406"/>
      <c r="P154" s="406"/>
      <c r="Q154" s="406"/>
      <c r="R154" s="406"/>
      <c r="S154" s="406"/>
      <c r="T154" s="406"/>
      <c r="U154" s="406"/>
      <c r="V154" s="406"/>
      <c r="W154" s="406"/>
      <c r="X154" s="406"/>
      <c r="Y154" s="406"/>
      <c r="Z154" s="406"/>
      <c r="AA154" s="406"/>
      <c r="AB154" s="406"/>
      <c r="AC154" s="406"/>
      <c r="AD154" s="406"/>
      <c r="AE154" s="406"/>
      <c r="AF154" s="406"/>
      <c r="AG154" s="406"/>
      <c r="AH154" s="406"/>
      <c r="AI154" s="406"/>
      <c r="AJ154" s="406"/>
      <c r="AK154" s="406"/>
      <c r="AL154" s="406"/>
      <c r="AM154" s="406"/>
      <c r="AN154" s="406"/>
      <c r="AO154" s="406"/>
      <c r="AP154" s="406"/>
      <c r="AQ154" s="406"/>
      <c r="AR154" s="406"/>
      <c r="AS154" s="406"/>
      <c r="AT154" s="406"/>
      <c r="AU154" s="406"/>
      <c r="AV154" s="406"/>
      <c r="AW154" s="406"/>
      <c r="AX154" s="406"/>
      <c r="AY154" s="406"/>
      <c r="AZ154" s="406"/>
      <c r="BA154" s="406"/>
      <c r="BB154" s="406"/>
      <c r="BC154" s="406"/>
      <c r="BD154" s="406"/>
      <c r="BE154" s="406"/>
      <c r="BF154" s="406"/>
      <c r="BG154" s="406"/>
      <c r="BH154" s="406"/>
      <c r="BI154" s="406"/>
      <c r="BJ154" s="406"/>
      <c r="BK154" s="406"/>
      <c r="BL154" s="406"/>
      <c r="BM154" s="406"/>
      <c r="BN154" s="406"/>
      <c r="BO154" s="406"/>
    </row>
    <row r="155" spans="3:67" hidden="1">
      <c r="C155" s="413"/>
      <c r="D155" s="413"/>
      <c r="E155" s="413"/>
      <c r="F155" s="413"/>
      <c r="G155" s="413"/>
      <c r="H155" s="414"/>
      <c r="I155" s="406"/>
      <c r="J155" s="406"/>
      <c r="K155" s="406"/>
      <c r="L155" s="406"/>
      <c r="M155" s="406"/>
      <c r="N155" s="406"/>
      <c r="O155" s="406"/>
      <c r="P155" s="406"/>
      <c r="Q155" s="406"/>
      <c r="R155" s="406"/>
      <c r="S155" s="406"/>
      <c r="T155" s="406"/>
      <c r="U155" s="406"/>
      <c r="V155" s="406"/>
      <c r="W155" s="406"/>
      <c r="X155" s="406"/>
      <c r="Y155" s="406"/>
      <c r="Z155" s="406"/>
      <c r="AA155" s="406"/>
      <c r="AB155" s="406"/>
      <c r="AC155" s="406"/>
      <c r="AD155" s="406"/>
      <c r="AE155" s="406"/>
      <c r="AF155" s="406"/>
      <c r="AG155" s="406"/>
      <c r="AH155" s="406"/>
      <c r="AI155" s="406"/>
      <c r="AJ155" s="406"/>
      <c r="AK155" s="406"/>
      <c r="AL155" s="406"/>
      <c r="AM155" s="406"/>
      <c r="AN155" s="406"/>
      <c r="AO155" s="406"/>
      <c r="AP155" s="406"/>
      <c r="AQ155" s="406"/>
      <c r="AR155" s="406"/>
      <c r="AS155" s="406"/>
      <c r="AT155" s="406"/>
      <c r="AU155" s="406"/>
      <c r="AV155" s="406"/>
      <c r="AW155" s="406"/>
      <c r="AX155" s="406"/>
      <c r="AY155" s="406"/>
      <c r="AZ155" s="406"/>
      <c r="BA155" s="406"/>
      <c r="BB155" s="406"/>
      <c r="BC155" s="406"/>
      <c r="BD155" s="406"/>
      <c r="BE155" s="406"/>
      <c r="BF155" s="406"/>
      <c r="BG155" s="406"/>
      <c r="BH155" s="406"/>
      <c r="BI155" s="406"/>
      <c r="BJ155" s="406"/>
      <c r="BK155" s="406"/>
      <c r="BL155" s="406"/>
      <c r="BM155" s="406"/>
      <c r="BN155" s="406"/>
      <c r="BO155" s="406"/>
    </row>
    <row r="156" spans="3:67" hidden="1">
      <c r="C156" s="413"/>
      <c r="D156" s="413"/>
      <c r="E156" s="413"/>
      <c r="F156" s="413"/>
      <c r="G156" s="413"/>
      <c r="H156" s="414"/>
      <c r="I156" s="406"/>
      <c r="J156" s="406"/>
      <c r="K156" s="406"/>
      <c r="L156" s="406"/>
      <c r="M156" s="406"/>
      <c r="N156" s="406"/>
      <c r="O156" s="406"/>
      <c r="P156" s="406"/>
      <c r="Q156" s="406"/>
      <c r="R156" s="406"/>
      <c r="S156" s="406"/>
      <c r="T156" s="406"/>
      <c r="U156" s="406"/>
      <c r="V156" s="406"/>
      <c r="W156" s="406"/>
      <c r="X156" s="406"/>
      <c r="Y156" s="406"/>
      <c r="Z156" s="406"/>
      <c r="AA156" s="406"/>
      <c r="AB156" s="406"/>
      <c r="AC156" s="406"/>
      <c r="AD156" s="406"/>
      <c r="AE156" s="406"/>
      <c r="AF156" s="406"/>
      <c r="AG156" s="406"/>
      <c r="AH156" s="406"/>
      <c r="AI156" s="406"/>
      <c r="AJ156" s="406"/>
      <c r="AK156" s="406"/>
      <c r="AL156" s="406"/>
      <c r="AM156" s="406"/>
      <c r="AN156" s="406"/>
      <c r="AO156" s="406"/>
      <c r="AP156" s="406"/>
      <c r="AQ156" s="406"/>
      <c r="AR156" s="406"/>
      <c r="AS156" s="406"/>
      <c r="AT156" s="406"/>
      <c r="AU156" s="406"/>
      <c r="AV156" s="406"/>
      <c r="AW156" s="406"/>
      <c r="AX156" s="406"/>
      <c r="AY156" s="406"/>
      <c r="AZ156" s="406"/>
      <c r="BA156" s="406"/>
      <c r="BB156" s="406"/>
      <c r="BC156" s="406"/>
      <c r="BD156" s="406"/>
      <c r="BE156" s="406"/>
      <c r="BF156" s="406"/>
      <c r="BG156" s="406"/>
      <c r="BH156" s="406"/>
      <c r="BI156" s="406"/>
      <c r="BJ156" s="406"/>
      <c r="BK156" s="406"/>
      <c r="BL156" s="406"/>
      <c r="BM156" s="406"/>
      <c r="BN156" s="406"/>
      <c r="BO156" s="406"/>
    </row>
    <row r="157" spans="3:67" hidden="1">
      <c r="C157" s="413"/>
      <c r="D157" s="413"/>
      <c r="E157" s="413"/>
      <c r="F157" s="413"/>
      <c r="G157" s="413"/>
      <c r="H157" s="414"/>
      <c r="I157" s="406"/>
      <c r="J157" s="406"/>
      <c r="K157" s="406"/>
      <c r="L157" s="406"/>
      <c r="M157" s="406"/>
      <c r="N157" s="406"/>
      <c r="O157" s="406"/>
      <c r="P157" s="406"/>
      <c r="Q157" s="406"/>
      <c r="R157" s="406"/>
      <c r="S157" s="406"/>
      <c r="T157" s="406"/>
      <c r="U157" s="406"/>
      <c r="V157" s="406"/>
      <c r="W157" s="406"/>
      <c r="X157" s="406"/>
      <c r="Y157" s="406"/>
      <c r="Z157" s="406"/>
      <c r="AA157" s="406"/>
      <c r="AB157" s="406"/>
      <c r="AC157" s="406"/>
      <c r="AD157" s="406"/>
      <c r="AE157" s="406"/>
      <c r="AF157" s="406"/>
      <c r="AG157" s="406"/>
      <c r="AH157" s="406"/>
      <c r="AI157" s="406"/>
      <c r="AJ157" s="406"/>
      <c r="AK157" s="406"/>
      <c r="AL157" s="406"/>
      <c r="AM157" s="406"/>
      <c r="AN157" s="406"/>
      <c r="AO157" s="406"/>
      <c r="AP157" s="406"/>
      <c r="AQ157" s="406"/>
      <c r="AR157" s="406"/>
      <c r="AS157" s="406"/>
      <c r="AT157" s="406"/>
      <c r="AU157" s="406"/>
      <c r="AV157" s="406"/>
      <c r="AW157" s="406"/>
      <c r="AX157" s="406"/>
      <c r="AY157" s="406"/>
      <c r="AZ157" s="406"/>
      <c r="BA157" s="406"/>
      <c r="BB157" s="406"/>
      <c r="BC157" s="406"/>
      <c r="BD157" s="406"/>
      <c r="BE157" s="406"/>
      <c r="BF157" s="406"/>
      <c r="BG157" s="406"/>
      <c r="BH157" s="406"/>
      <c r="BI157" s="406"/>
      <c r="BJ157" s="406"/>
      <c r="BK157" s="406"/>
      <c r="BL157" s="406"/>
      <c r="BM157" s="406"/>
      <c r="BN157" s="406"/>
      <c r="BO157" s="406"/>
    </row>
  </sheetData>
  <sheetProtection algorithmName="SHA-512" hashValue="WA/FfgFvSWGm7KaIgyyNXlQPU5bjMlabBYo32wVYdeNcBQzNjHC2MWLJK7MuLgns8p5YMCscdW606DSY//Al/A==" saltValue="pzS5e/g0UGaCCOLQbFu8Zw==" spinCount="100000" sheet="1" objects="1" scenarios="1"/>
  <mergeCells count="38">
    <mergeCell ref="B52:C52"/>
    <mergeCell ref="C25:D25"/>
    <mergeCell ref="C26:D26"/>
    <mergeCell ref="C27:D27"/>
    <mergeCell ref="C28:D28"/>
    <mergeCell ref="C51:D51"/>
    <mergeCell ref="C49:D49"/>
    <mergeCell ref="C50:D50"/>
    <mergeCell ref="C29:D29"/>
    <mergeCell ref="C30:D30"/>
    <mergeCell ref="C34:D34"/>
    <mergeCell ref="C33:D33"/>
    <mergeCell ref="C35:D35"/>
    <mergeCell ref="C36:D36"/>
    <mergeCell ref="C37:D37"/>
    <mergeCell ref="C48:D48"/>
    <mergeCell ref="B1:G2"/>
    <mergeCell ref="D10:H13"/>
    <mergeCell ref="C44:D44"/>
    <mergeCell ref="C18:D18"/>
    <mergeCell ref="C19:D19"/>
    <mergeCell ref="C20:D20"/>
    <mergeCell ref="C21:D21"/>
    <mergeCell ref="C22:D22"/>
    <mergeCell ref="B3:H3"/>
    <mergeCell ref="C38:D38"/>
    <mergeCell ref="C39:D39"/>
    <mergeCell ref="C40:D40"/>
    <mergeCell ref="C41:D41"/>
    <mergeCell ref="C42:D42"/>
    <mergeCell ref="C46:D46"/>
    <mergeCell ref="C47:D47"/>
    <mergeCell ref="C23:D23"/>
    <mergeCell ref="C24:D24"/>
    <mergeCell ref="C31:D31"/>
    <mergeCell ref="C32:D32"/>
    <mergeCell ref="C45:D45"/>
    <mergeCell ref="C43:D43"/>
  </mergeCells>
  <pageMargins left="0.75" right="0.75" top="1" bottom="1" header="0.5" footer="0.5"/>
  <pageSetup paperSize="0" scale="71" orientation="portrait" r:id="rId1"/>
  <ignoredErrors>
    <ignoredError sqref="B52 E46:F46 E24:F24 F40:F41 E18:F19" emptyCellReference="1"/>
  </ignoredError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IF"/>
  <dimension ref="A1:AB63"/>
  <sheetViews>
    <sheetView topLeftCell="D4" zoomScale="70" zoomScaleNormal="70" workbookViewId="0">
      <selection activeCell="D31" sqref="D31"/>
    </sheetView>
  </sheetViews>
  <sheetFormatPr defaultColWidth="0" defaultRowHeight="15.5" zeroHeight="1"/>
  <cols>
    <col min="1" max="1" width="3" style="430" hidden="1" customWidth="1"/>
    <col min="2" max="2" width="13.69140625" style="430" customWidth="1"/>
    <col min="3" max="3" width="66.765625" style="430" customWidth="1"/>
    <col min="4" max="4" width="12.07421875" style="430" customWidth="1"/>
    <col min="5" max="5" width="26.765625" style="430" customWidth="1"/>
    <col min="6" max="6" width="2.23046875" style="430" customWidth="1"/>
    <col min="7" max="7" width="2" style="430" customWidth="1"/>
    <col min="8" max="8" width="14.23046875" style="430" customWidth="1"/>
    <col min="9" max="13" width="15.69140625" style="430" customWidth="1"/>
    <col min="14" max="14" width="19.69140625" style="430" customWidth="1"/>
    <col min="15" max="15" width="7.4609375" style="430" customWidth="1"/>
    <col min="16" max="16" width="4.69140625" style="768" hidden="1" customWidth="1"/>
    <col min="17" max="28" width="11.07421875" style="768" hidden="1" customWidth="1"/>
    <col min="29" max="16384" width="8.84375" style="430" hidden="1"/>
  </cols>
  <sheetData>
    <row r="1" spans="1:23" ht="15.75" customHeight="1">
      <c r="A1" s="426"/>
      <c r="B1" s="1238" t="s">
        <v>920</v>
      </c>
      <c r="C1" s="1239"/>
      <c r="D1" s="1239"/>
      <c r="E1" s="1239"/>
      <c r="F1" s="1239"/>
      <c r="G1" s="1239"/>
      <c r="H1" s="1239"/>
      <c r="I1" s="427"/>
      <c r="J1" s="427"/>
      <c r="K1" s="427"/>
      <c r="L1" s="427"/>
      <c r="M1" s="427"/>
      <c r="N1" s="427"/>
      <c r="O1" s="428"/>
    </row>
    <row r="2" spans="1:23" ht="15" customHeight="1">
      <c r="A2" s="431"/>
      <c r="B2" s="995"/>
      <c r="C2" s="956"/>
      <c r="D2" s="956"/>
      <c r="E2" s="956"/>
      <c r="F2" s="956"/>
      <c r="G2" s="956"/>
      <c r="H2" s="956"/>
      <c r="I2" s="432"/>
      <c r="J2" s="432"/>
      <c r="K2" s="432"/>
      <c r="L2" s="432"/>
      <c r="M2" s="432"/>
      <c r="N2" s="432"/>
      <c r="O2" s="433"/>
    </row>
    <row r="3" spans="1:23" ht="15" customHeight="1">
      <c r="A3" s="431"/>
      <c r="B3" s="973" t="str">
        <f>IF('Start Page'!$Y$37="","",IF('Start Page'!$K$37="Partial Audit Period","Water Audit: "&amp;'Start Page'!$D$26&amp;", "&amp;'Start Page'!$H$26&amp;", "&amp;'Start Page'!$K$26&amp;", "&amp;'Start Page'!$Y$37,"Water Audit: "&amp;'Start Page'!$D$26&amp;", "&amp;'Start Page'!$H$26&amp;", "&amp;'Start Page'!$K$26&amp;", "&amp;YEAR('Start Page'!$Y$37)))</f>
        <v/>
      </c>
      <c r="C3" s="974"/>
      <c r="D3" s="974"/>
      <c r="E3" s="974"/>
      <c r="F3" s="974"/>
      <c r="G3" s="974"/>
      <c r="H3" s="974"/>
      <c r="I3" s="974"/>
      <c r="J3" s="974"/>
      <c r="K3" s="974"/>
      <c r="L3" s="974"/>
      <c r="M3" s="974"/>
      <c r="N3" s="974"/>
      <c r="O3" s="975"/>
    </row>
    <row r="4" spans="1:23" ht="15.75" customHeight="1" thickBot="1">
      <c r="A4" s="434"/>
      <c r="B4" s="435" t="s">
        <v>479</v>
      </c>
      <c r="C4" s="436"/>
      <c r="D4" s="436"/>
      <c r="E4" s="436"/>
      <c r="F4" s="436"/>
      <c r="G4" s="436"/>
      <c r="H4" s="436"/>
      <c r="I4" s="437"/>
      <c r="J4" s="437"/>
      <c r="K4" s="437"/>
      <c r="L4" s="437"/>
      <c r="M4" s="437"/>
      <c r="N4" s="437"/>
      <c r="O4" s="438"/>
    </row>
    <row r="5" spans="1:23">
      <c r="A5" s="439"/>
      <c r="B5" s="426"/>
      <c r="C5" s="427"/>
      <c r="D5" s="427"/>
      <c r="E5" s="427"/>
      <c r="F5" s="427"/>
      <c r="G5" s="427"/>
      <c r="H5" s="427"/>
      <c r="I5" s="427"/>
      <c r="J5" s="427"/>
      <c r="K5" s="427"/>
      <c r="L5" s="427"/>
      <c r="M5" s="427"/>
      <c r="N5" s="427"/>
      <c r="O5" s="428"/>
    </row>
    <row r="6" spans="1:23" ht="15.75" customHeight="1">
      <c r="A6" s="440"/>
      <c r="B6" s="721"/>
      <c r="C6" s="442" t="s">
        <v>492</v>
      </c>
      <c r="D6" s="441"/>
      <c r="E6" s="443"/>
      <c r="F6" s="432"/>
      <c r="G6" s="432"/>
      <c r="H6" s="1240" t="s">
        <v>932</v>
      </c>
      <c r="I6" s="1241"/>
      <c r="J6" s="1241"/>
      <c r="K6" s="1241"/>
      <c r="L6" s="1241"/>
      <c r="M6" s="1241"/>
      <c r="N6" s="1242"/>
      <c r="O6" s="433"/>
      <c r="P6" s="769"/>
    </row>
    <row r="7" spans="1:23" ht="15.75" customHeight="1">
      <c r="A7" s="440"/>
      <c r="B7" s="431"/>
      <c r="C7" s="444" t="s">
        <v>148</v>
      </c>
      <c r="D7" s="646">
        <f>IF(ISERROR('AWWA-Water Balance Data Transf.'!D37),"",'AWWA-Water Balance Data Transf.'!D37)</f>
        <v>0</v>
      </c>
      <c r="E7" s="446" t="str">
        <f>'AWWA-Water Balance Data Transf.'!E37</f>
        <v>miles</v>
      </c>
      <c r="F7" s="432"/>
      <c r="G7" s="432"/>
      <c r="H7" s="1243"/>
      <c r="I7" s="1244"/>
      <c r="J7" s="1244"/>
      <c r="K7" s="1244"/>
      <c r="L7" s="1244"/>
      <c r="M7" s="1244"/>
      <c r="N7" s="1245"/>
      <c r="O7" s="447"/>
      <c r="P7" s="769"/>
    </row>
    <row r="8" spans="1:23" ht="15.75" customHeight="1">
      <c r="A8" s="440"/>
      <c r="B8" s="431"/>
      <c r="C8" s="444" t="s">
        <v>493</v>
      </c>
      <c r="D8" s="647">
        <f>IF(ISERROR('AWWA-Water Balance Data Transf.'!D38),"",'AWWA-Water Balance Data Transf.'!D38)</f>
        <v>0</v>
      </c>
      <c r="E8" s="446" t="str">
        <f>'AWWA-Water Balance Data Transf.'!E38</f>
        <v>service connections</v>
      </c>
      <c r="F8" s="432"/>
      <c r="G8" s="432"/>
      <c r="H8" s="1243"/>
      <c r="I8" s="1244"/>
      <c r="J8" s="1244"/>
      <c r="K8" s="1244"/>
      <c r="L8" s="1244"/>
      <c r="M8" s="1244"/>
      <c r="N8" s="1245"/>
      <c r="O8" s="447"/>
      <c r="P8" s="769"/>
    </row>
    <row r="9" spans="1:23" ht="15.75" customHeight="1">
      <c r="A9" s="440"/>
      <c r="B9" s="431"/>
      <c r="C9" s="444" t="s">
        <v>494</v>
      </c>
      <c r="D9" s="646" t="str">
        <f>IF(ISERROR('AWWA-Water Balance Data Transf.'!D39),"",'AWWA-Water Balance Data Transf.'!D39)</f>
        <v/>
      </c>
      <c r="E9" s="446" t="str">
        <f>'AWWA-Water Balance Data Transf.'!E39</f>
        <v>conn./mile main</v>
      </c>
      <c r="F9" s="432"/>
      <c r="G9" s="432"/>
      <c r="H9" s="1243"/>
      <c r="I9" s="1244"/>
      <c r="J9" s="1244"/>
      <c r="K9" s="1244"/>
      <c r="L9" s="1244"/>
      <c r="M9" s="1244"/>
      <c r="N9" s="1245"/>
      <c r="O9" s="447"/>
      <c r="P9" s="769"/>
    </row>
    <row r="10" spans="1:23" ht="15.75" customHeight="1">
      <c r="A10" s="440"/>
      <c r="B10" s="722"/>
      <c r="C10" s="450" t="s">
        <v>495</v>
      </c>
      <c r="D10" s="646">
        <f>IF(ISERROR('AWWA-Water Balance Data Transf.'!D41),"",'AWWA-Water Balance Data Transf.'!D41)</f>
        <v>0</v>
      </c>
      <c r="E10" s="451" t="str">
        <f>'AWWA-Water Balance Data Transf.'!E41</f>
        <v>PSI</v>
      </c>
      <c r="F10" s="432"/>
      <c r="G10" s="432"/>
      <c r="H10" s="1243"/>
      <c r="I10" s="1244"/>
      <c r="J10" s="1244"/>
      <c r="K10" s="1244"/>
      <c r="L10" s="1244"/>
      <c r="M10" s="1244"/>
      <c r="N10" s="1245"/>
      <c r="O10" s="447"/>
      <c r="P10" s="769"/>
    </row>
    <row r="11" spans="1:23">
      <c r="A11" s="440"/>
      <c r="B11" s="431"/>
      <c r="C11" s="706"/>
      <c r="D11" s="432"/>
      <c r="E11" s="432"/>
      <c r="F11" s="432"/>
      <c r="G11" s="432"/>
      <c r="H11" s="1243"/>
      <c r="I11" s="1244"/>
      <c r="J11" s="1244"/>
      <c r="K11" s="1244"/>
      <c r="L11" s="1244"/>
      <c r="M11" s="1244"/>
      <c r="N11" s="1245"/>
      <c r="O11" s="447"/>
      <c r="P11" s="769"/>
    </row>
    <row r="12" spans="1:23">
      <c r="A12" s="440"/>
      <c r="B12" s="721"/>
      <c r="C12" s="552" t="s">
        <v>496</v>
      </c>
      <c r="D12" s="441"/>
      <c r="E12" s="443"/>
      <c r="F12" s="432"/>
      <c r="G12" s="432"/>
      <c r="H12" s="1243"/>
      <c r="I12" s="1244"/>
      <c r="J12" s="1244"/>
      <c r="K12" s="1244"/>
      <c r="L12" s="1244"/>
      <c r="M12" s="1244"/>
      <c r="N12" s="1245"/>
      <c r="O12" s="447"/>
      <c r="P12" s="769"/>
    </row>
    <row r="13" spans="1:23">
      <c r="A13" s="440"/>
      <c r="B13" s="723" t="s">
        <v>498</v>
      </c>
      <c r="C13" s="444" t="s">
        <v>499</v>
      </c>
      <c r="D13" s="649">
        <f>IF(ISERROR('Real Losses Component Analysis'!C15),"",'Real Losses Component Analysis'!C15)</f>
        <v>0</v>
      </c>
      <c r="E13" s="446" t="str">
        <f>E18</f>
        <v>MG/Yr</v>
      </c>
      <c r="F13" s="432"/>
      <c r="G13" s="432"/>
      <c r="H13" s="1243"/>
      <c r="I13" s="1244"/>
      <c r="J13" s="1244"/>
      <c r="K13" s="1244"/>
      <c r="L13" s="1244"/>
      <c r="M13" s="1244"/>
      <c r="N13" s="1245"/>
      <c r="O13" s="447"/>
      <c r="P13" s="769"/>
    </row>
    <row r="14" spans="1:23">
      <c r="A14" s="440"/>
      <c r="B14" s="723" t="s">
        <v>500</v>
      </c>
      <c r="C14" s="444" t="s">
        <v>514</v>
      </c>
      <c r="D14" s="649">
        <f>IF(ISERROR('Real Losses Component Analysis'!D15),"",'Real Losses Component Analysis'!D15)</f>
        <v>0</v>
      </c>
      <c r="E14" s="446" t="str">
        <f>E18</f>
        <v>MG/Yr</v>
      </c>
      <c r="F14" s="432"/>
      <c r="G14" s="432"/>
      <c r="H14" s="1243"/>
      <c r="I14" s="1244"/>
      <c r="J14" s="1244"/>
      <c r="K14" s="1244"/>
      <c r="L14" s="1244"/>
      <c r="M14" s="1244"/>
      <c r="N14" s="1245"/>
      <c r="O14" s="447"/>
      <c r="P14" s="769"/>
      <c r="T14" s="768">
        <v>1</v>
      </c>
      <c r="U14" s="768" t="s">
        <v>538</v>
      </c>
      <c r="V14" s="768">
        <v>100</v>
      </c>
      <c r="W14" s="768" t="s">
        <v>539</v>
      </c>
    </row>
    <row r="15" spans="1:23">
      <c r="A15" s="440"/>
      <c r="B15" s="723" t="s">
        <v>537</v>
      </c>
      <c r="C15" s="444" t="s">
        <v>785</v>
      </c>
      <c r="D15" s="649">
        <f>IF(ISERROR('Real Losses Component Analysis'!E15),"",'Real Losses Component Analysis'!E15)</f>
        <v>0</v>
      </c>
      <c r="E15" s="446" t="str">
        <f>E18</f>
        <v>MG/Yr</v>
      </c>
      <c r="F15" s="432"/>
      <c r="G15" s="432"/>
      <c r="H15" s="1243"/>
      <c r="I15" s="1244"/>
      <c r="J15" s="1244"/>
      <c r="K15" s="1244"/>
      <c r="L15" s="1244"/>
      <c r="M15" s="1244"/>
      <c r="N15" s="1245"/>
      <c r="O15" s="447"/>
      <c r="P15" s="769"/>
      <c r="T15" s="768">
        <f>325851.427242/1000000</f>
        <v>0.325851427242</v>
      </c>
      <c r="U15" s="768" t="s">
        <v>394</v>
      </c>
      <c r="V15" s="912">
        <f>V14*T19</f>
        <v>306.88832897372282</v>
      </c>
      <c r="W15" s="768" t="s">
        <v>540</v>
      </c>
    </row>
    <row r="16" spans="1:23" ht="31">
      <c r="A16" s="440"/>
      <c r="B16" s="723"/>
      <c r="C16" s="452" t="s">
        <v>786</v>
      </c>
      <c r="D16" s="824">
        <f>IF(ISERROR('Real Losses Component Analysis'!F17),"",'Real Losses Component Analysis'!F17)</f>
        <v>0</v>
      </c>
      <c r="E16" s="446" t="str">
        <f>E19</f>
        <v>MG/Yr</v>
      </c>
      <c r="F16" s="432"/>
      <c r="G16" s="432"/>
      <c r="H16" s="1243"/>
      <c r="I16" s="1244"/>
      <c r="J16" s="1244"/>
      <c r="K16" s="1244"/>
      <c r="L16" s="1244"/>
      <c r="M16" s="1244"/>
      <c r="N16" s="1245"/>
      <c r="O16" s="447"/>
      <c r="P16" s="769"/>
    </row>
    <row r="17" spans="1:27">
      <c r="A17" s="440"/>
      <c r="B17" s="723"/>
      <c r="C17" s="452"/>
      <c r="D17" s="453"/>
      <c r="E17" s="446"/>
      <c r="F17" s="432"/>
      <c r="G17" s="432"/>
      <c r="H17" s="1243"/>
      <c r="I17" s="1244"/>
      <c r="J17" s="1244"/>
      <c r="K17" s="1244"/>
      <c r="L17" s="1244"/>
      <c r="M17" s="1244"/>
      <c r="N17" s="1245"/>
      <c r="O17" s="447"/>
      <c r="P17" s="769"/>
    </row>
    <row r="18" spans="1:27">
      <c r="A18" s="440"/>
      <c r="B18" s="723" t="s">
        <v>515</v>
      </c>
      <c r="C18" s="444" t="s">
        <v>497</v>
      </c>
      <c r="D18" s="649" t="str">
        <f>IF(ISERROR('AWWA-Water Balance Data Transf.'!D62),"",'AWWA-Water Balance Data Transf.'!D62)</f>
        <v/>
      </c>
      <c r="E18" s="446" t="str">
        <f>'AWWA-Water Balance Data Transf.'!E62</f>
        <v>MG/Yr</v>
      </c>
      <c r="F18" s="432"/>
      <c r="G18" s="432"/>
      <c r="H18" s="1243"/>
      <c r="I18" s="1244"/>
      <c r="J18" s="1244"/>
      <c r="K18" s="1244"/>
      <c r="L18" s="1244"/>
      <c r="M18" s="1244"/>
      <c r="N18" s="1245"/>
      <c r="O18" s="447"/>
      <c r="P18" s="769"/>
      <c r="T18" s="768">
        <v>1</v>
      </c>
      <c r="U18" s="768" t="s">
        <v>394</v>
      </c>
    </row>
    <row r="19" spans="1:27">
      <c r="A19" s="440"/>
      <c r="B19" s="723" t="s">
        <v>516</v>
      </c>
      <c r="C19" s="444" t="s">
        <v>501</v>
      </c>
      <c r="D19" s="649" t="str">
        <f>IF(ISERROR('AWWA-Water Balance Data Transf.'!D61),"",'AWWA-Water Balance Data Transf.'!D61)</f>
        <v>N/A</v>
      </c>
      <c r="E19" s="446" t="str">
        <f>E18</f>
        <v>MG/Yr</v>
      </c>
      <c r="F19" s="432"/>
      <c r="G19" s="432"/>
      <c r="H19" s="1243"/>
      <c r="I19" s="1244"/>
      <c r="J19" s="1244"/>
      <c r="K19" s="1244"/>
      <c r="L19" s="1244"/>
      <c r="M19" s="1244"/>
      <c r="N19" s="1245"/>
      <c r="O19" s="447"/>
      <c r="P19" s="769"/>
      <c r="T19" s="768">
        <f>T14/T15</f>
        <v>3.068883289737228</v>
      </c>
      <c r="U19" s="768" t="s">
        <v>538</v>
      </c>
    </row>
    <row r="20" spans="1:27" ht="15.75" customHeight="1">
      <c r="A20" s="440"/>
      <c r="B20" s="724"/>
      <c r="C20" s="450" t="s">
        <v>46</v>
      </c>
      <c r="D20" s="650" t="str">
        <f>IF(ISERROR('AWWA-Water Balance Data Transf.'!D63),"",'AWWA-Water Balance Data Transf.'!D63)</f>
        <v/>
      </c>
      <c r="E20" s="451"/>
      <c r="F20" s="454"/>
      <c r="G20" s="454"/>
      <c r="H20" s="1246"/>
      <c r="I20" s="1247"/>
      <c r="J20" s="1247"/>
      <c r="K20" s="1247"/>
      <c r="L20" s="1247"/>
      <c r="M20" s="1247"/>
      <c r="N20" s="1248"/>
      <c r="O20" s="447"/>
      <c r="P20" s="769"/>
    </row>
    <row r="21" spans="1:27">
      <c r="A21" s="440"/>
      <c r="B21" s="431"/>
      <c r="C21" s="706"/>
      <c r="D21" s="432"/>
      <c r="E21" s="432"/>
      <c r="F21" s="432"/>
      <c r="G21" s="432"/>
      <c r="H21" s="432"/>
      <c r="I21" s="432"/>
      <c r="J21" s="432"/>
      <c r="K21" s="432"/>
      <c r="L21" s="455"/>
      <c r="M21" s="455"/>
      <c r="N21" s="455"/>
      <c r="O21" s="447"/>
      <c r="P21" s="769"/>
    </row>
    <row r="22" spans="1:27">
      <c r="A22" s="440"/>
      <c r="B22" s="725"/>
      <c r="C22" s="552" t="s">
        <v>531</v>
      </c>
      <c r="D22" s="441"/>
      <c r="E22" s="443"/>
      <c r="F22" s="456"/>
      <c r="G22" s="456"/>
      <c r="H22" s="432"/>
      <c r="I22" s="432"/>
      <c r="J22" s="432"/>
      <c r="K22" s="432"/>
      <c r="L22" s="455"/>
      <c r="M22" s="455"/>
      <c r="N22" s="455"/>
      <c r="O22" s="447"/>
      <c r="P22" s="769"/>
      <c r="T22" s="769" t="s">
        <v>541</v>
      </c>
      <c r="U22" s="769"/>
      <c r="V22" s="769"/>
      <c r="W22" s="769"/>
      <c r="X22" s="769"/>
      <c r="Y22" s="769" t="s">
        <v>542</v>
      </c>
      <c r="Z22" s="769" t="s">
        <v>91</v>
      </c>
      <c r="AA22" s="769" t="s">
        <v>490</v>
      </c>
    </row>
    <row r="23" spans="1:27">
      <c r="A23" s="440"/>
      <c r="B23" s="723" t="s">
        <v>502</v>
      </c>
      <c r="C23" s="457" t="str">
        <f>'AWWA-Water Balance Data Transf.'!B47</f>
        <v>Variable Production cost (applied to Real Losses):</v>
      </c>
      <c r="D23" s="445">
        <f>IF(ISERROR(IF('Start Page'!$Y$36=1,D24/1000,IF('Start Page'!$Y$36=2,D24/1000,IF('Start Page'!$Y$36=3,(D24*T19)/1000)))),"",IF('Start Page'!$Y$36=1,D24/1000,IF('Start Page'!$Y$36=2,D24/1000,IF('Start Page'!$Y$36=3,(D24*T19)/1000))))</f>
        <v>0</v>
      </c>
      <c r="E23" s="446" t="str">
        <f>IF('Start Page'!$Y$36=1,"$/per kgal",IF('Start Page'!$Y$36=2,"$/m3", IF('Start Page'!$Y$36=3,"$/per kgal")))</f>
        <v>$/per kgal</v>
      </c>
      <c r="F23" s="432"/>
      <c r="G23" s="432"/>
      <c r="H23" s="432"/>
      <c r="I23" s="432"/>
      <c r="J23" s="432"/>
      <c r="K23" s="432"/>
      <c r="L23" s="455"/>
      <c r="M23" s="455"/>
      <c r="N23" s="455"/>
      <c r="O23" s="447"/>
      <c r="P23" s="769"/>
      <c r="T23" s="769" t="s">
        <v>497</v>
      </c>
      <c r="U23" s="769"/>
      <c r="V23" s="769"/>
      <c r="W23" s="769"/>
      <c r="X23" s="769"/>
      <c r="Y23" s="913" t="str">
        <f>IF(Y24="","",D18)</f>
        <v/>
      </c>
      <c r="Z23" s="769" t="str">
        <f>E18</f>
        <v>MG/Yr</v>
      </c>
      <c r="AA23" s="914">
        <v>1</v>
      </c>
    </row>
    <row r="24" spans="1:27">
      <c r="A24" s="440"/>
      <c r="B24" s="723"/>
      <c r="C24" s="457"/>
      <c r="D24" s="445">
        <f>IF(ISERROR('AWWA-Water Balance Data Transf.'!D47),"",'AWWA-Water Balance Data Transf.'!D47)</f>
        <v>0</v>
      </c>
      <c r="E24" s="446" t="str">
        <f>'AWWA-Water Balance Data Transf.'!E47</f>
        <v>$/MG</v>
      </c>
      <c r="F24" s="432"/>
      <c r="G24" s="432"/>
      <c r="H24" s="432"/>
      <c r="I24" s="432"/>
      <c r="J24" s="432"/>
      <c r="K24" s="432"/>
      <c r="L24" s="455"/>
      <c r="M24" s="455"/>
      <c r="N24" s="455"/>
      <c r="O24" s="447"/>
      <c r="P24" s="769"/>
      <c r="T24" s="769" t="s">
        <v>610</v>
      </c>
      <c r="U24" s="769"/>
      <c r="V24" s="769"/>
      <c r="W24" s="769"/>
      <c r="X24" s="769"/>
      <c r="Y24" s="915" t="str">
        <f>D46</f>
        <v/>
      </c>
      <c r="Z24" s="769" t="str">
        <f>E18</f>
        <v>MG/Yr</v>
      </c>
      <c r="AA24" s="916" t="e">
        <f>Y24/Y23</f>
        <v>#VALUE!</v>
      </c>
    </row>
    <row r="25" spans="1:27">
      <c r="A25" s="440"/>
      <c r="B25" s="723"/>
      <c r="C25" s="707"/>
      <c r="D25" s="432"/>
      <c r="E25" s="446"/>
      <c r="F25" s="432"/>
      <c r="G25" s="432"/>
      <c r="H25" s="432"/>
      <c r="I25" s="432"/>
      <c r="J25" s="432"/>
      <c r="K25" s="432"/>
      <c r="L25" s="432"/>
      <c r="M25" s="432"/>
      <c r="N25" s="432"/>
      <c r="O25" s="433"/>
      <c r="P25" s="769"/>
    </row>
    <row r="26" spans="1:27">
      <c r="A26" s="440"/>
      <c r="B26" s="723"/>
      <c r="C26" s="707"/>
      <c r="D26" s="432"/>
      <c r="E26" s="446"/>
      <c r="F26" s="432"/>
      <c r="G26" s="432"/>
      <c r="H26" s="432"/>
      <c r="I26" s="432"/>
      <c r="J26" s="432"/>
      <c r="K26" s="432"/>
      <c r="L26" s="432"/>
      <c r="M26" s="432"/>
      <c r="N26" s="432"/>
      <c r="O26" s="433"/>
      <c r="P26" s="769"/>
    </row>
    <row r="27" spans="1:27">
      <c r="A27" s="440"/>
      <c r="B27" s="723" t="s">
        <v>503</v>
      </c>
      <c r="C27" s="457" t="s">
        <v>532</v>
      </c>
      <c r="D27" s="477"/>
      <c r="E27" s="446" t="str">
        <f>IF('Start Page'!Y42=1,"$/per mile",IF('Start Page'!Y42=2,"$/km",""))</f>
        <v>$/per mile</v>
      </c>
      <c r="F27" s="432"/>
      <c r="G27" s="432"/>
      <c r="H27" s="432"/>
      <c r="I27" s="432"/>
      <c r="J27" s="432"/>
      <c r="K27" s="432"/>
      <c r="L27" s="432"/>
      <c r="M27" s="432"/>
      <c r="N27" s="432"/>
      <c r="O27" s="433"/>
      <c r="P27" s="769"/>
    </row>
    <row r="28" spans="1:27">
      <c r="A28" s="440"/>
      <c r="B28" s="723"/>
      <c r="C28" s="708"/>
      <c r="D28" s="458" t="str">
        <f>IF(ISERROR(IF(D27=0,"",D27*D7)),"",IF(D27=0,"",D27*D7))</f>
        <v/>
      </c>
      <c r="E28" s="446" t="s">
        <v>504</v>
      </c>
      <c r="F28" s="432"/>
      <c r="G28" s="432"/>
      <c r="H28" s="432"/>
      <c r="I28" s="432"/>
      <c r="J28" s="432"/>
      <c r="K28" s="432"/>
      <c r="L28" s="432"/>
      <c r="M28" s="432"/>
      <c r="N28" s="432"/>
      <c r="O28" s="433"/>
      <c r="P28" s="769"/>
    </row>
    <row r="29" spans="1:27">
      <c r="A29" s="440"/>
      <c r="B29" s="723"/>
      <c r="C29" s="707"/>
      <c r="D29" s="459"/>
      <c r="E29" s="446"/>
      <c r="F29" s="432"/>
      <c r="G29" s="432"/>
      <c r="H29" s="432"/>
      <c r="I29" s="432"/>
      <c r="J29" s="432"/>
      <c r="K29" s="432"/>
      <c r="L29" s="432"/>
      <c r="M29" s="432"/>
      <c r="N29" s="432"/>
      <c r="O29" s="433"/>
      <c r="P29" s="769"/>
    </row>
    <row r="30" spans="1:27">
      <c r="A30" s="440"/>
      <c r="B30" s="723" t="s">
        <v>722</v>
      </c>
      <c r="C30" s="457" t="s">
        <v>533</v>
      </c>
      <c r="D30" s="478"/>
      <c r="E30" s="446" t="str">
        <f>IF('Start Page'!Y42=1,"kgal/mile of mains/day in a year",IF('Start Page'!Y42=2,"m3/km of mains/day in a year",""))</f>
        <v>kgal/mile of mains/day in a year</v>
      </c>
      <c r="F30" s="432"/>
      <c r="G30" s="432"/>
      <c r="H30" s="432"/>
      <c r="I30" s="432"/>
      <c r="J30" s="432"/>
      <c r="K30" s="432"/>
      <c r="L30" s="432"/>
      <c r="M30" s="432"/>
      <c r="N30" s="432"/>
      <c r="O30" s="433"/>
      <c r="P30" s="769"/>
    </row>
    <row r="31" spans="1:27">
      <c r="A31" s="440"/>
      <c r="B31" s="723"/>
      <c r="C31" s="707"/>
      <c r="D31" s="460" t="str">
        <f>IF(ISERROR(IF(D30="","",IF('Start Page'!$Y$36=1,D30*1000*D7/10^6,IF('Start Page'!$Y$36=2,D30*1000*D7/10^6,IF('Start Page'!$Y$36=3,D30*1000*D7/10^6*$T$19))))),"",IF(D30="","",IF('Start Page'!$Y$36=1,D30*1000*D7/10^6,IF('Start Page'!$Y$36=2,D30*1000*D7/10^6,IF('Start Page'!$Y$36=3,D30*1000*D7/10^6*$T$19)))))</f>
        <v/>
      </c>
      <c r="E31" s="446" t="str">
        <f>IF('Start Page'!$Y$36=1,"MG/day in a year",IF('Start Page'!$Y$36=2,"ML/day in a year", IF('Start Page'!$Y$36=3,"AF/day in a year")))</f>
        <v>MG/day in a year</v>
      </c>
      <c r="F31" s="432"/>
      <c r="G31" s="432"/>
      <c r="H31" s="432"/>
      <c r="I31" s="432"/>
      <c r="J31" s="432"/>
      <c r="K31" s="432"/>
      <c r="L31" s="432"/>
      <c r="M31" s="432"/>
      <c r="N31" s="432"/>
      <c r="O31" s="433"/>
      <c r="P31" s="769"/>
    </row>
    <row r="32" spans="1:27">
      <c r="A32" s="440"/>
      <c r="B32" s="723"/>
      <c r="C32" s="708"/>
      <c r="D32" s="453"/>
      <c r="E32" s="446"/>
      <c r="F32" s="461"/>
      <c r="G32" s="461"/>
      <c r="H32" s="432"/>
      <c r="I32" s="432"/>
      <c r="J32" s="432"/>
      <c r="K32" s="432"/>
      <c r="L32" s="432"/>
      <c r="M32" s="432"/>
      <c r="N32" s="432"/>
      <c r="O32" s="433"/>
      <c r="P32" s="769"/>
    </row>
    <row r="33" spans="1:28">
      <c r="A33" s="440"/>
      <c r="B33" s="723"/>
      <c r="C33" s="708" t="s">
        <v>505</v>
      </c>
      <c r="D33" s="462" t="str">
        <f>IF(ISERROR(IF(D27=0,"",$D$27/$D$23)),"",IF(D27=0,"",$D$27/$D$23))</f>
        <v/>
      </c>
      <c r="E33" s="446" t="str">
        <f>IF('Start Page'!Y42=1,"kgal/mile",IF('Start Page'!Y42=2,"m3/km ",""))</f>
        <v>kgal/mile</v>
      </c>
      <c r="F33" s="432"/>
      <c r="G33" s="432"/>
      <c r="H33" s="432"/>
      <c r="I33" s="432"/>
      <c r="J33" s="432"/>
      <c r="K33" s="432"/>
      <c r="L33" s="432"/>
      <c r="M33" s="432"/>
      <c r="N33" s="432"/>
      <c r="O33" s="433"/>
      <c r="P33" s="769"/>
      <c r="S33" s="429"/>
      <c r="T33" s="429"/>
      <c r="U33" s="429"/>
      <c r="V33" s="429"/>
      <c r="W33" s="429"/>
      <c r="X33" s="429"/>
      <c r="Y33" s="429"/>
      <c r="Z33" s="429"/>
      <c r="AA33" s="429"/>
      <c r="AB33" s="429"/>
    </row>
    <row r="34" spans="1:28">
      <c r="A34" s="440"/>
      <c r="B34" s="723"/>
      <c r="C34" s="707"/>
      <c r="D34" s="432"/>
      <c r="E34" s="446"/>
      <c r="F34" s="432"/>
      <c r="G34" s="432"/>
      <c r="H34" s="432"/>
      <c r="I34" s="432"/>
      <c r="J34" s="432"/>
      <c r="K34" s="432"/>
      <c r="L34" s="432"/>
      <c r="M34" s="432"/>
      <c r="N34" s="432"/>
      <c r="O34" s="433"/>
      <c r="P34" s="769"/>
      <c r="S34" s="429"/>
      <c r="T34" s="429"/>
      <c r="U34" s="429"/>
      <c r="V34" s="429"/>
      <c r="W34" s="429"/>
      <c r="X34" s="429"/>
      <c r="Y34" s="429"/>
      <c r="Z34" s="429"/>
      <c r="AA34" s="429"/>
      <c r="AB34" s="429"/>
    </row>
    <row r="35" spans="1:28">
      <c r="A35" s="440"/>
      <c r="B35" s="723" t="s">
        <v>506</v>
      </c>
      <c r="C35" s="457" t="s">
        <v>534</v>
      </c>
      <c r="D35" s="646" t="str">
        <f>IF(ISERROR(IF(D30="","",IF(D33="","",(0.789*($D$27/$D$23)/D30)^0.5))),"",IF(D30="","",IF(D33="","",(0.789*($D$27/$D$23)/D30)^0.5)))</f>
        <v/>
      </c>
      <c r="E35" s="463" t="s">
        <v>590</v>
      </c>
      <c r="F35" s="464"/>
      <c r="G35" s="464"/>
      <c r="H35" s="432"/>
      <c r="I35" s="432"/>
      <c r="J35" s="432"/>
      <c r="K35" s="432"/>
      <c r="L35" s="432"/>
      <c r="M35" s="432"/>
      <c r="N35" s="432"/>
      <c r="O35" s="433"/>
      <c r="P35" s="769"/>
      <c r="S35" s="429"/>
      <c r="T35" s="429"/>
      <c r="U35" s="429"/>
      <c r="V35" s="429"/>
      <c r="W35" s="429"/>
      <c r="X35" s="429"/>
      <c r="Y35" s="429"/>
      <c r="Z35" s="429"/>
      <c r="AA35" s="429"/>
      <c r="AB35" s="429"/>
    </row>
    <row r="36" spans="1:28">
      <c r="A36" s="440"/>
      <c r="B36" s="723"/>
      <c r="C36" s="708"/>
      <c r="D36" s="646" t="str">
        <f>IF(ISERROR(IF(D35="","",365*(D35/12))),"",IF(D35="","",365*(D35/12)))</f>
        <v/>
      </c>
      <c r="E36" s="463" t="s">
        <v>2</v>
      </c>
      <c r="F36" s="432"/>
      <c r="G36" s="432"/>
      <c r="H36" s="432"/>
      <c r="I36" s="432"/>
      <c r="J36" s="432"/>
      <c r="K36" s="432"/>
      <c r="L36" s="432"/>
      <c r="M36" s="432"/>
      <c r="N36" s="432"/>
      <c r="O36" s="433"/>
      <c r="P36" s="769"/>
      <c r="S36" s="429"/>
      <c r="T36" s="429"/>
      <c r="U36" s="429"/>
      <c r="V36" s="429"/>
      <c r="W36" s="429"/>
      <c r="X36" s="429"/>
      <c r="Y36" s="429"/>
      <c r="Z36" s="429"/>
      <c r="AA36" s="429"/>
      <c r="AB36" s="429"/>
    </row>
    <row r="37" spans="1:28">
      <c r="A37" s="440"/>
      <c r="B37" s="723"/>
      <c r="C37" s="708" t="s">
        <v>507</v>
      </c>
      <c r="D37" s="646" t="str">
        <f>IF(ISERROR(IF(D35="","",D36/2)),"",IF(D35="","",D36/2))</f>
        <v/>
      </c>
      <c r="E37" s="463" t="s">
        <v>2</v>
      </c>
      <c r="F37" s="465"/>
      <c r="G37" s="465"/>
      <c r="H37" s="432"/>
      <c r="I37" s="432"/>
      <c r="J37" s="432"/>
      <c r="K37" s="432"/>
      <c r="L37" s="432"/>
      <c r="M37" s="432"/>
      <c r="N37" s="432"/>
      <c r="O37" s="433"/>
      <c r="P37" s="769"/>
      <c r="S37" s="429"/>
      <c r="T37" s="429"/>
      <c r="U37" s="429"/>
      <c r="V37" s="429"/>
      <c r="W37" s="429"/>
      <c r="X37" s="429"/>
      <c r="Y37" s="429"/>
      <c r="Z37" s="429"/>
      <c r="AA37" s="429"/>
      <c r="AB37" s="429"/>
    </row>
    <row r="38" spans="1:28">
      <c r="A38" s="440"/>
      <c r="B38" s="723"/>
      <c r="C38" s="708" t="s">
        <v>535</v>
      </c>
      <c r="D38" s="449" t="str">
        <f>IF(ISERROR(IF(D35="","",100*12/D35)),"",IF(D35="","",100*12/D35))</f>
        <v/>
      </c>
      <c r="E38" s="446" t="s">
        <v>508</v>
      </c>
      <c r="F38" s="432"/>
      <c r="G38" s="432"/>
      <c r="H38" s="432"/>
      <c r="I38" s="432"/>
      <c r="J38" s="432"/>
      <c r="K38" s="432"/>
      <c r="L38" s="432"/>
      <c r="M38" s="432"/>
      <c r="N38" s="432"/>
      <c r="O38" s="433"/>
      <c r="P38" s="769"/>
    </row>
    <row r="39" spans="1:28">
      <c r="A39" s="440"/>
      <c r="B39" s="723"/>
      <c r="C39" s="708"/>
      <c r="D39" s="465"/>
      <c r="E39" s="446"/>
      <c r="F39" s="465"/>
      <c r="G39" s="465"/>
      <c r="H39" s="432"/>
      <c r="I39" s="432"/>
      <c r="J39" s="432"/>
      <c r="K39" s="432"/>
      <c r="L39" s="432"/>
      <c r="M39" s="432"/>
      <c r="N39" s="432"/>
      <c r="O39" s="433"/>
      <c r="P39" s="769"/>
    </row>
    <row r="40" spans="1:28">
      <c r="A40" s="440"/>
      <c r="B40" s="723" t="s">
        <v>509</v>
      </c>
      <c r="C40" s="457" t="s">
        <v>536</v>
      </c>
      <c r="D40" s="448" t="str">
        <f>IF(ISERROR(IF(D35="","",($D$27*$D$7)*D38/100)),"",IF(D35="","",($D$27*$D$7)*D38/100))</f>
        <v/>
      </c>
      <c r="E40" s="446" t="s">
        <v>510</v>
      </c>
      <c r="F40" s="432"/>
      <c r="G40" s="432"/>
      <c r="H40" s="432"/>
      <c r="I40" s="432"/>
      <c r="J40" s="432"/>
      <c r="K40" s="432"/>
      <c r="L40" s="432"/>
      <c r="M40" s="432"/>
      <c r="N40" s="432"/>
      <c r="O40" s="433"/>
      <c r="P40" s="769"/>
    </row>
    <row r="41" spans="1:28">
      <c r="A41" s="440"/>
      <c r="B41" s="723"/>
      <c r="C41" s="708"/>
      <c r="D41" s="466"/>
      <c r="E41" s="446"/>
      <c r="F41" s="432"/>
      <c r="G41" s="432"/>
      <c r="H41" s="432"/>
      <c r="I41" s="432"/>
      <c r="J41" s="432"/>
      <c r="K41" s="432"/>
      <c r="L41" s="432"/>
      <c r="M41" s="432"/>
      <c r="N41" s="432"/>
      <c r="O41" s="433"/>
      <c r="P41" s="769"/>
    </row>
    <row r="42" spans="1:28">
      <c r="A42" s="440"/>
      <c r="B42" s="723" t="s">
        <v>512</v>
      </c>
      <c r="C42" s="457" t="s">
        <v>511</v>
      </c>
      <c r="D42" s="647" t="str">
        <f>IF(ISERROR(IF(D40="","",D40/$D$23)),"",IF(D40="","",D40/$D$23))</f>
        <v/>
      </c>
      <c r="E42" s="446" t="str">
        <f>IF('Start Page'!Y42=1,"kgal/year",IF('Start Page'!Y42=2,"m3/year ",""))</f>
        <v>kgal/year</v>
      </c>
      <c r="F42" s="464"/>
      <c r="G42" s="464"/>
      <c r="H42" s="432"/>
      <c r="I42" s="432"/>
      <c r="J42" s="432"/>
      <c r="K42" s="432"/>
      <c r="L42" s="432"/>
      <c r="M42" s="432"/>
      <c r="N42" s="432"/>
      <c r="O42" s="433"/>
      <c r="P42" s="769"/>
    </row>
    <row r="43" spans="1:28">
      <c r="A43" s="440"/>
      <c r="B43" s="723"/>
      <c r="C43" s="708"/>
      <c r="D43" s="646" t="str">
        <f>IF(ISERROR(IF(D42="","",IF('Start Page'!$Y$36=1,D42*1000/10^6,IF('Start Page'!$Y$36=2,D42*1000/10^6,IF('Start Page'!$Y$36=3,D42*1000/10^6*$T$19))))),"",IF(D42="","",IF('Start Page'!$Y$36=1,D42*1000/10^6,IF('Start Page'!$Y$36=2,D42*1000/10^6,IF('Start Page'!$Y$36=3,D42*1000/10^6*$T$19)))))</f>
        <v/>
      </c>
      <c r="E43" s="446" t="str">
        <f>IF('Start Page'!$Y$36=1,"MG/year",IF('Start Page'!$Y$36=2,"ML/year", IF('Start Page'!$Y$36=3,"AF/year")))</f>
        <v>MG/year</v>
      </c>
      <c r="F43" s="432"/>
      <c r="G43" s="432"/>
      <c r="H43" s="432"/>
      <c r="I43" s="432"/>
      <c r="J43" s="432"/>
      <c r="K43" s="432"/>
      <c r="L43" s="432"/>
      <c r="M43" s="432"/>
      <c r="N43" s="432"/>
      <c r="O43" s="433"/>
      <c r="P43" s="769"/>
    </row>
    <row r="44" spans="1:28">
      <c r="A44" s="440"/>
      <c r="B44" s="723"/>
      <c r="C44" s="457" t="s">
        <v>602</v>
      </c>
      <c r="D44" s="648" t="str">
        <f>IF(ISERROR(IF(D42="","",(D43+$D$13+$D$14+D15)/$D$19)),"",IF(D42="","",(D43+$D$13+$D$14+D15)/$D$19))</f>
        <v/>
      </c>
      <c r="E44" s="446"/>
      <c r="F44" s="461"/>
      <c r="G44" s="461"/>
      <c r="H44" s="432"/>
      <c r="I44" s="432"/>
      <c r="J44" s="432"/>
      <c r="K44" s="432"/>
      <c r="L44" s="432"/>
      <c r="M44" s="432"/>
      <c r="N44" s="432"/>
      <c r="O44" s="433"/>
      <c r="P44" s="769"/>
    </row>
    <row r="45" spans="1:28">
      <c r="A45" s="440"/>
      <c r="B45" s="723"/>
      <c r="C45" s="707"/>
      <c r="D45" s="432"/>
      <c r="E45" s="446"/>
      <c r="F45" s="432"/>
      <c r="G45" s="432"/>
      <c r="H45" s="432"/>
      <c r="I45" s="432"/>
      <c r="J45" s="432"/>
      <c r="K45" s="432"/>
      <c r="L45" s="432"/>
      <c r="M45" s="432"/>
      <c r="N45" s="432"/>
      <c r="O45" s="433"/>
      <c r="P45" s="769"/>
    </row>
    <row r="46" spans="1:28">
      <c r="A46" s="440"/>
      <c r="B46" s="724" t="s">
        <v>513</v>
      </c>
      <c r="C46" s="467" t="s">
        <v>612</v>
      </c>
      <c r="D46" s="646" t="str">
        <f>IF(ISERROR(IF(D43="","",(D18-D13-D14-D15-D43))),"",IF(D43="","",(D18-D13-D14-D15-D43)))</f>
        <v/>
      </c>
      <c r="E46" s="451" t="str">
        <f>E43</f>
        <v>MG/year</v>
      </c>
      <c r="F46" s="468"/>
      <c r="G46" s="468"/>
      <c r="H46" s="432"/>
      <c r="I46" s="432"/>
      <c r="J46" s="432"/>
      <c r="K46" s="432"/>
      <c r="L46" s="432"/>
      <c r="M46" s="432"/>
      <c r="N46" s="432"/>
      <c r="O46" s="433"/>
      <c r="P46" s="769"/>
    </row>
    <row r="47" spans="1:28">
      <c r="A47" s="440"/>
      <c r="B47" s="431"/>
      <c r="C47" s="773" t="str">
        <f>IF(D43&gt;D16,"Check the Data entered in Cell D27 and D30 - Cost of Leak Detection or Average Rate of Rise produce unrealistic results","")</f>
        <v>Check the Data entered in Cell D27 and D30 - Cost of Leak Detection or Average Rate of Rise produce unrealistic results</v>
      </c>
      <c r="D47" s="441"/>
      <c r="E47" s="441"/>
      <c r="F47" s="469"/>
      <c r="G47" s="469"/>
      <c r="H47" s="432"/>
      <c r="I47" s="432"/>
      <c r="J47" s="432"/>
      <c r="K47" s="432"/>
      <c r="L47" s="432"/>
      <c r="M47" s="432"/>
      <c r="N47" s="432"/>
      <c r="O47" s="433"/>
      <c r="P47" s="769"/>
    </row>
    <row r="48" spans="1:28" ht="33" customHeight="1" thickBot="1">
      <c r="A48" s="470"/>
      <c r="B48" s="765" t="str">
        <f>IF('Start Page'!$H$29="","",'Start Page'!$H$29)</f>
        <v/>
      </c>
      <c r="C48" s="752"/>
      <c r="D48" s="752"/>
      <c r="E48" s="752"/>
      <c r="F48" s="752"/>
      <c r="G48" s="752"/>
      <c r="H48" s="752"/>
      <c r="I48" s="752"/>
      <c r="J48" s="752"/>
      <c r="K48" s="752"/>
      <c r="L48" s="752"/>
      <c r="M48" s="752"/>
      <c r="N48" s="752"/>
      <c r="O48" s="727" t="s">
        <v>922</v>
      </c>
      <c r="P48" s="769"/>
    </row>
    <row r="49" spans="1:16" hidden="1">
      <c r="A49" s="471"/>
      <c r="B49" s="472"/>
      <c r="F49" s="472"/>
      <c r="G49" s="472"/>
      <c r="H49" s="472"/>
      <c r="I49" s="472"/>
      <c r="J49" s="472"/>
      <c r="K49" s="472"/>
      <c r="L49" s="472"/>
      <c r="M49" s="472"/>
      <c r="N49" s="472"/>
      <c r="O49" s="472"/>
      <c r="P49" s="769"/>
    </row>
    <row r="50" spans="1:16" hidden="1">
      <c r="A50" s="471"/>
      <c r="B50" s="472"/>
      <c r="D50" s="472"/>
      <c r="E50" s="472"/>
      <c r="F50" s="473"/>
      <c r="G50" s="473"/>
      <c r="H50" s="472"/>
      <c r="I50" s="472"/>
      <c r="J50" s="472"/>
      <c r="K50" s="472"/>
      <c r="L50" s="472"/>
      <c r="M50" s="472"/>
      <c r="N50" s="472"/>
      <c r="O50" s="472"/>
      <c r="P50" s="769"/>
    </row>
    <row r="51" spans="1:16" hidden="1">
      <c r="A51" s="471"/>
      <c r="B51" s="472"/>
      <c r="D51" s="472"/>
      <c r="E51" s="472"/>
      <c r="F51" s="472"/>
      <c r="G51" s="472"/>
      <c r="H51" s="472"/>
      <c r="I51" s="472"/>
      <c r="J51" s="472"/>
      <c r="K51" s="472"/>
      <c r="L51" s="472"/>
      <c r="M51" s="472"/>
      <c r="N51" s="472"/>
      <c r="O51" s="472"/>
      <c r="P51" s="769"/>
    </row>
    <row r="52" spans="1:16" hidden="1">
      <c r="A52" s="472"/>
      <c r="C52" s="474"/>
      <c r="D52" s="472"/>
      <c r="E52" s="472"/>
      <c r="F52" s="472"/>
      <c r="G52" s="472"/>
      <c r="H52" s="472"/>
      <c r="I52" s="472"/>
      <c r="J52" s="472"/>
      <c r="K52" s="472"/>
      <c r="L52" s="472"/>
      <c r="M52" s="472"/>
      <c r="N52" s="472"/>
      <c r="O52" s="472"/>
      <c r="P52" s="769"/>
    </row>
    <row r="53" spans="1:16" hidden="1">
      <c r="F53" s="475"/>
      <c r="G53" s="475"/>
      <c r="H53" s="472"/>
      <c r="I53" s="472"/>
      <c r="J53" s="472"/>
      <c r="K53" s="472"/>
      <c r="L53" s="472"/>
      <c r="M53" s="472"/>
      <c r="N53" s="472"/>
      <c r="O53" s="472"/>
      <c r="P53" s="769"/>
    </row>
    <row r="54" spans="1:16" hidden="1">
      <c r="D54" s="476"/>
    </row>
    <row r="55" spans="1:16" hidden="1">
      <c r="D55" s="475"/>
    </row>
    <row r="56" spans="1:16" hidden="1"/>
    <row r="57" spans="1:16" hidden="1"/>
    <row r="58" spans="1:16" hidden="1"/>
    <row r="59" spans="1:16" hidden="1"/>
    <row r="60" spans="1:16" hidden="1"/>
    <row r="61" spans="1:16" hidden="1"/>
    <row r="62" spans="1:16" hidden="1"/>
    <row r="63" spans="1:16" hidden="1">
      <c r="F63" s="396"/>
      <c r="G63" s="396"/>
    </row>
  </sheetData>
  <sheetProtection algorithmName="SHA-512" hashValue="uISlVVvIUUHEjqLt65QUM39VPzf+jGzOPMExOClez7BZkE8G6jQ1rpQMtZSKA901x67+ueVDE6+WzEmmH2NRWw==" saltValue="Xor8DAsgEL9q8y3m+5pKNw==" spinCount="100000" sheet="1" objects="1" scenarios="1"/>
  <mergeCells count="3">
    <mergeCell ref="B3:O3"/>
    <mergeCell ref="B1:H2"/>
    <mergeCell ref="H6:N20"/>
  </mergeCells>
  <hyperlinks>
    <hyperlink ref="C7" location="Glossary!C77" tooltip="Click for Definition" display="Total Length of Mains "/>
    <hyperlink ref="C10" location="Glossary!C39" tooltip="Click for Definition" display="Average System Pressure"/>
    <hyperlink ref="C18" location="Glossary!C55" tooltip="Click for Definition" display="Current Annual Real Losses"/>
    <hyperlink ref="C19" location="Glossary!C127" tooltip="Click for Definition" display="Unavoidable Annual Real Losses"/>
    <hyperlink ref="C20" location="Glossary!C75" tooltip="Click for Definition" display="Infrastructure Leakage Index (ILI) [CARL/UARL]"/>
    <hyperlink ref="C23" location="Glossary!C142" tooltip="Click for Definition" display="Glossary!C142"/>
    <hyperlink ref="C13" location="Glossary!C45" tooltip="Click for Definition" display="Current Annual Background Leakage"/>
    <hyperlink ref="C14" location="Glossary!C107" tooltip="Click for Definition" display="Real Losses from Current Reported Leakage"/>
    <hyperlink ref="C15" location="Glossary!C134" tooltip="Click for Definition" display="Unreported Leaks Identified Through Existing Proactive Leak Detection Program"/>
    <hyperlink ref="C8" location="Glossary!C87" tooltip="Click for Definition" display="Number of Service Connections"/>
    <hyperlink ref="C16" location="Glossary!C45" tooltip="Click for Definition" display="Hidden Leaks/Unreported Leaks not Identified or Captured by Current Leakage Management Policy"/>
    <hyperlink ref="C9" location="Glossary!C117" tooltip="Click for Definition" display="Service Connection Density"/>
    <hyperlink ref="C27" location="Glossary!C53" tooltip="Click for Definition" display="Cost of comprehensive leak detection survey (excluding leak repair cost)"/>
    <hyperlink ref="C30" location="Glossary!C41" tooltip="Click for Definition" display="Average Rate of Rise of Unreported Leakage"/>
    <hyperlink ref="C35" location="Glossary!C61" tooltip="Click for Definition" display="Economic Intervention Frequency [0.789 * (CI/CV)/RR] ^0.5"/>
    <hyperlink ref="C40" location="Glossary!C22" tooltip="Click for Definition" display="Average Annual Budget for Intervention (Proactive Leak Detection)"/>
    <hyperlink ref="C42" location="Glossary!C63" tooltip="Click for Definition" display="Economic Unreported Real Losses"/>
    <hyperlink ref="C44" location="Glossary!C59" tooltip="Click for Definition" display="Economic Infrastructure Leakage Index (ILI)"/>
    <hyperlink ref="C46" location="Glossary!C91" tooltip="Click for Definition" display="Potential Recoverable Leakage (CARL-CRL-EUL-TBL-UL)"/>
  </hyperlinks>
  <printOptions horizontalCentered="1" verticalCentered="1"/>
  <pageMargins left="0.5" right="0.5" top="1" bottom="1" header="0.5" footer="0.5"/>
  <pageSetup paperSize="0" scale="60" fitToWidth="2" orientation="landscape" r:id="rId1"/>
  <colBreaks count="1" manualBreakCount="1">
    <brk id="6" max="47" man="1"/>
  </colBreaks>
  <ignoredErrors>
    <ignoredError sqref="D24 B48" emptyCellReference="1"/>
  </ignoredErrors>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MOptions">
    <pageSetUpPr fitToPage="1"/>
  </sheetPr>
  <dimension ref="A1:Y379"/>
  <sheetViews>
    <sheetView topLeftCell="B1" workbookViewId="0">
      <selection activeCell="D36" sqref="D36"/>
    </sheetView>
  </sheetViews>
  <sheetFormatPr defaultColWidth="0" defaultRowHeight="15.5" zeroHeight="1"/>
  <cols>
    <col min="1" max="1" width="2.23046875" style="375" hidden="1" customWidth="1"/>
    <col min="2" max="2" width="11.4609375" style="395" customWidth="1"/>
    <col min="3" max="3" width="57.4609375" style="395" customWidth="1"/>
    <col min="4" max="4" width="30.4609375" style="395" customWidth="1"/>
    <col min="5" max="5" width="11.765625" style="395" customWidth="1"/>
    <col min="6" max="6" width="8.4609375" style="395" customWidth="1"/>
    <col min="7" max="7" width="9.765625" style="395" customWidth="1"/>
    <col min="8" max="8" width="34.84375" style="506" hidden="1" customWidth="1"/>
    <col min="9" max="20" width="11.07421875" style="506" hidden="1" customWidth="1"/>
    <col min="21" max="21" width="20.4609375" style="506" hidden="1" customWidth="1"/>
    <col min="22" max="16384" width="11.07421875" style="506" hidden="1"/>
  </cols>
  <sheetData>
    <row r="1" spans="1:25" ht="15.75" customHeight="1">
      <c r="A1" s="77"/>
      <c r="B1" s="1054" t="s">
        <v>920</v>
      </c>
      <c r="C1" s="1055"/>
      <c r="D1" s="48"/>
      <c r="E1" s="366"/>
      <c r="F1" s="366"/>
      <c r="G1" s="49"/>
      <c r="H1" s="504"/>
      <c r="I1" s="504"/>
      <c r="J1" s="505"/>
    </row>
    <row r="2" spans="1:25" ht="15.75" customHeight="1">
      <c r="A2" s="78"/>
      <c r="B2" s="1056"/>
      <c r="C2" s="1057"/>
      <c r="D2" s="26"/>
      <c r="E2" s="720"/>
      <c r="F2" s="26"/>
      <c r="G2" s="51"/>
      <c r="H2" s="504"/>
      <c r="I2" s="504"/>
      <c r="J2" s="505"/>
    </row>
    <row r="3" spans="1:25" ht="15.75" customHeight="1">
      <c r="A3" s="78"/>
      <c r="B3" s="1255" t="str">
        <f>IF('Start Page'!$Y$37="","",IF('Start Page'!$K$37="Partial Audit Period","Water Audit: "&amp;'Start Page'!$D$26&amp;", "&amp;'Start Page'!$H$26&amp;", "&amp;'Start Page'!$K$26&amp;", "&amp;'Start Page'!$Y$37,"Water Audit: "&amp;'Start Page'!$D$26&amp;", "&amp;'Start Page'!$H$26&amp;", "&amp;'Start Page'!$K$26&amp;", "&amp;YEAR('Start Page'!$Y$37)))</f>
        <v/>
      </c>
      <c r="C3" s="1256"/>
      <c r="D3" s="1256"/>
      <c r="E3" s="1256"/>
      <c r="F3" s="1256"/>
      <c r="G3" s="1257"/>
      <c r="H3" s="504"/>
      <c r="I3" s="504"/>
      <c r="J3" s="505"/>
    </row>
    <row r="4" spans="1:25" s="505" customFormat="1" ht="15.75" customHeight="1" thickBot="1">
      <c r="A4" s="26"/>
      <c r="B4" s="805" t="s">
        <v>423</v>
      </c>
      <c r="C4" s="53"/>
      <c r="D4" s="54"/>
      <c r="E4" s="54"/>
      <c r="F4" s="53"/>
      <c r="G4" s="55"/>
      <c r="H4" s="504"/>
      <c r="I4" s="504"/>
    </row>
    <row r="5" spans="1:25">
      <c r="A5" s="479"/>
      <c r="B5" s="886"/>
      <c r="C5" s="480"/>
      <c r="D5" s="480"/>
      <c r="E5" s="480"/>
      <c r="F5" s="480"/>
      <c r="G5" s="481"/>
      <c r="H5" s="507"/>
      <c r="I5" s="507"/>
      <c r="J5" s="507"/>
      <c r="K5" s="508"/>
      <c r="L5" s="508"/>
      <c r="M5" s="508"/>
      <c r="N5" s="508"/>
      <c r="O5" s="508"/>
    </row>
    <row r="6" spans="1:25" ht="16.5" customHeight="1">
      <c r="A6" s="479"/>
      <c r="B6" s="887" t="s">
        <v>97</v>
      </c>
      <c r="C6" s="888" t="s">
        <v>488</v>
      </c>
      <c r="D6" s="483"/>
      <c r="E6" s="483"/>
      <c r="F6" s="480"/>
      <c r="G6" s="481"/>
      <c r="H6" s="507"/>
      <c r="I6" s="507"/>
      <c r="J6" s="507"/>
      <c r="K6" s="508"/>
      <c r="L6" s="508"/>
      <c r="M6" s="508"/>
      <c r="N6" s="508"/>
      <c r="O6" s="508"/>
      <c r="U6" s="1249" t="s">
        <v>450</v>
      </c>
      <c r="V6" s="1250"/>
      <c r="W6" s="1250"/>
      <c r="X6" s="1250"/>
      <c r="Y6" s="1250"/>
    </row>
    <row r="7" spans="1:25" ht="16.5" customHeight="1">
      <c r="A7" s="479"/>
      <c r="B7" s="886"/>
      <c r="C7" s="1252" t="s">
        <v>877</v>
      </c>
      <c r="D7" s="1252"/>
      <c r="E7" s="1252"/>
      <c r="F7" s="480"/>
      <c r="G7" s="481"/>
      <c r="H7" s="507"/>
      <c r="I7" s="507"/>
      <c r="J7" s="507"/>
      <c r="K7" s="508"/>
      <c r="L7" s="508"/>
      <c r="M7" s="508"/>
      <c r="N7" s="508"/>
      <c r="O7" s="508"/>
      <c r="U7" s="509"/>
      <c r="V7" s="509"/>
      <c r="W7" s="509"/>
      <c r="X7" s="509"/>
      <c r="Y7" s="509"/>
    </row>
    <row r="8" spans="1:25" ht="16.5" customHeight="1">
      <c r="A8" s="479"/>
      <c r="B8" s="886"/>
      <c r="C8" s="1252"/>
      <c r="D8" s="1252"/>
      <c r="E8" s="1252"/>
      <c r="F8" s="480"/>
      <c r="G8" s="481"/>
      <c r="H8" s="507"/>
      <c r="I8" s="507"/>
      <c r="J8" s="507"/>
      <c r="K8" s="508"/>
      <c r="L8" s="508"/>
      <c r="M8" s="508"/>
      <c r="N8" s="508"/>
      <c r="O8" s="508"/>
      <c r="U8" s="509"/>
      <c r="V8" s="509"/>
      <c r="W8" s="509"/>
      <c r="X8" s="509"/>
      <c r="Y8" s="509"/>
    </row>
    <row r="9" spans="1:25" ht="16.5" customHeight="1">
      <c r="A9" s="479"/>
      <c r="B9" s="886"/>
      <c r="C9" s="1252"/>
      <c r="D9" s="1252"/>
      <c r="E9" s="1252"/>
      <c r="F9" s="480"/>
      <c r="G9" s="481"/>
      <c r="H9" s="507"/>
      <c r="I9" s="507"/>
      <c r="J9" s="507"/>
      <c r="K9" s="508"/>
      <c r="L9" s="508"/>
      <c r="M9" s="508"/>
      <c r="N9" s="508"/>
      <c r="O9" s="508"/>
      <c r="U9" s="509"/>
      <c r="V9" s="509"/>
      <c r="W9" s="509"/>
      <c r="X9" s="509"/>
      <c r="Y9" s="509"/>
    </row>
    <row r="10" spans="1:25" ht="16.5" customHeight="1">
      <c r="A10" s="479"/>
      <c r="B10" s="886"/>
      <c r="C10" s="1252"/>
      <c r="D10" s="1252"/>
      <c r="E10" s="1252"/>
      <c r="F10" s="480"/>
      <c r="G10" s="481"/>
      <c r="H10" s="507"/>
      <c r="I10" s="507"/>
      <c r="J10" s="507"/>
      <c r="K10" s="508"/>
      <c r="L10" s="508"/>
      <c r="M10" s="508"/>
      <c r="N10" s="508"/>
      <c r="O10" s="508"/>
      <c r="U10" s="509"/>
      <c r="V10" s="509"/>
      <c r="W10" s="509"/>
      <c r="X10" s="509"/>
      <c r="Y10" s="509"/>
    </row>
    <row r="11" spans="1:25" ht="16.5" customHeight="1">
      <c r="A11" s="479"/>
      <c r="B11" s="886"/>
      <c r="C11" s="1252"/>
      <c r="D11" s="1252"/>
      <c r="E11" s="1252"/>
      <c r="F11" s="480"/>
      <c r="G11" s="481"/>
      <c r="H11" s="507"/>
      <c r="I11" s="507"/>
      <c r="J11" s="507"/>
      <c r="K11" s="508"/>
      <c r="L11" s="508"/>
      <c r="M11" s="508"/>
      <c r="N11" s="508"/>
      <c r="O11" s="508"/>
      <c r="U11" s="509"/>
      <c r="V11" s="509"/>
      <c r="W11" s="509"/>
      <c r="X11" s="509"/>
      <c r="Y11" s="509"/>
    </row>
    <row r="12" spans="1:25" ht="16.5" customHeight="1">
      <c r="A12" s="479"/>
      <c r="B12" s="886"/>
      <c r="C12" s="1252"/>
      <c r="D12" s="1252"/>
      <c r="E12" s="1252"/>
      <c r="F12" s="480"/>
      <c r="G12" s="481"/>
      <c r="H12" s="507"/>
      <c r="I12" s="507"/>
      <c r="J12" s="507"/>
      <c r="K12" s="508"/>
      <c r="L12" s="508"/>
      <c r="M12" s="508"/>
      <c r="N12" s="508"/>
      <c r="O12" s="508"/>
      <c r="U12" s="509"/>
      <c r="V12" s="509"/>
      <c r="W12" s="509"/>
      <c r="X12" s="509"/>
      <c r="Y12" s="509"/>
    </row>
    <row r="13" spans="1:25" ht="16.5" customHeight="1">
      <c r="A13" s="479"/>
      <c r="B13" s="886"/>
      <c r="C13" s="1252"/>
      <c r="D13" s="1252"/>
      <c r="E13" s="1252"/>
      <c r="F13" s="480"/>
      <c r="G13" s="481"/>
      <c r="H13" s="507"/>
      <c r="I13" s="507"/>
      <c r="J13" s="507"/>
      <c r="K13" s="508"/>
      <c r="L13" s="508"/>
      <c r="M13" s="508"/>
      <c r="N13" s="508"/>
      <c r="O13" s="508"/>
      <c r="U13" s="509"/>
      <c r="V13" s="510">
        <v>1</v>
      </c>
      <c r="W13" s="509"/>
      <c r="X13" s="509"/>
      <c r="Y13" s="509"/>
    </row>
    <row r="14" spans="1:25" ht="17.25" customHeight="1">
      <c r="A14" s="479"/>
      <c r="B14" s="889"/>
      <c r="C14" s="767" t="s">
        <v>591</v>
      </c>
      <c r="D14" s="484"/>
      <c r="E14" s="484"/>
      <c r="F14" s="485"/>
      <c r="G14" s="486"/>
      <c r="H14" s="511"/>
      <c r="I14" s="507"/>
      <c r="J14" s="507"/>
      <c r="K14" s="508"/>
      <c r="L14" s="508"/>
      <c r="M14" s="508"/>
      <c r="N14" s="508"/>
      <c r="O14" s="508"/>
      <c r="U14" s="506">
        <v>15</v>
      </c>
      <c r="V14" s="506" t="s">
        <v>155</v>
      </c>
    </row>
    <row r="15" spans="1:25">
      <c r="A15" s="479"/>
      <c r="B15" s="886"/>
      <c r="C15" s="487"/>
      <c r="D15" s="488"/>
      <c r="E15" s="489"/>
      <c r="F15" s="480"/>
      <c r="G15" s="481"/>
      <c r="H15" s="505"/>
      <c r="I15" s="505"/>
      <c r="J15" s="505"/>
      <c r="K15" s="508"/>
      <c r="L15" s="508"/>
      <c r="M15" s="508"/>
      <c r="N15" s="508"/>
      <c r="O15" s="508"/>
      <c r="U15" s="512">
        <f>U14*(100/160.934722)</f>
        <v>9.3205492348630639</v>
      </c>
      <c r="V15" s="506" t="s">
        <v>156</v>
      </c>
    </row>
    <row r="16" spans="1:25">
      <c r="A16" s="479"/>
      <c r="B16" s="886"/>
      <c r="C16" s="490"/>
      <c r="D16" s="491" t="s">
        <v>407</v>
      </c>
      <c r="E16" s="492"/>
      <c r="F16" s="480"/>
      <c r="G16" s="481"/>
      <c r="H16" s="505"/>
      <c r="I16" s="505"/>
      <c r="J16" s="505"/>
      <c r="K16" s="508"/>
      <c r="L16" s="508"/>
      <c r="M16" s="508"/>
      <c r="N16" s="508"/>
      <c r="O16" s="508"/>
    </row>
    <row r="17" spans="1:22">
      <c r="A17" s="479"/>
      <c r="B17" s="886"/>
      <c r="C17" s="490"/>
      <c r="D17" s="493"/>
      <c r="E17" s="492"/>
      <c r="F17" s="480"/>
      <c r="G17" s="481"/>
      <c r="H17" s="505"/>
      <c r="I17" s="505"/>
      <c r="J17" s="505"/>
      <c r="K17" s="508"/>
      <c r="L17" s="508"/>
      <c r="M17" s="508"/>
      <c r="N17" s="508"/>
      <c r="O17" s="508"/>
    </row>
    <row r="18" spans="1:22">
      <c r="A18" s="479"/>
      <c r="B18" s="886"/>
      <c r="C18" s="494" t="s">
        <v>409</v>
      </c>
      <c r="D18" s="651">
        <f>IF(ISERROR('AWWA-Water Balance Data Transf.'!D41),"",'AWWA-Water Balance Data Transf.'!D41)</f>
        <v>0</v>
      </c>
      <c r="E18" s="492" t="str">
        <f>'AWWA-Water Balance Data Transf.'!E41</f>
        <v>PSI</v>
      </c>
      <c r="F18" s="480"/>
      <c r="G18" s="481"/>
      <c r="H18" s="505"/>
      <c r="I18" s="505"/>
      <c r="J18" s="505"/>
      <c r="K18" s="508"/>
      <c r="L18" s="508"/>
      <c r="M18" s="508"/>
      <c r="N18" s="508"/>
      <c r="O18" s="508"/>
      <c r="U18" s="506" t="s">
        <v>466</v>
      </c>
      <c r="V18" s="506">
        <v>2</v>
      </c>
    </row>
    <row r="19" spans="1:22">
      <c r="A19" s="479"/>
      <c r="B19" s="886"/>
      <c r="C19" s="494" t="s">
        <v>410</v>
      </c>
      <c r="D19" s="651" t="str">
        <f>IF(ISERROR('AWWA-Water Balance Data Transf.'!D30),"",'AWWA-Water Balance Data Transf.'!D30)</f>
        <v/>
      </c>
      <c r="E19" s="492" t="str">
        <f>'AWWA-Water Balance Data Transf.'!E30</f>
        <v>MG/Yr</v>
      </c>
      <c r="F19" s="480"/>
      <c r="G19" s="481" t="s">
        <v>403</v>
      </c>
      <c r="H19" s="505"/>
      <c r="I19" s="505"/>
      <c r="J19" s="505"/>
      <c r="K19" s="508"/>
      <c r="L19" s="508"/>
      <c r="M19" s="508"/>
      <c r="N19" s="508"/>
      <c r="O19" s="508"/>
    </row>
    <row r="20" spans="1:22">
      <c r="A20" s="479"/>
      <c r="B20" s="886"/>
      <c r="C20" s="495" t="s">
        <v>411</v>
      </c>
      <c r="D20" s="652" t="str">
        <f>IF(ISERROR('AWWA-Water Balance Data Transf.'!D54),"",'AWWA-Water Balance Data Transf.'!D54)</f>
        <v/>
      </c>
      <c r="E20" s="496" t="s">
        <v>412</v>
      </c>
      <c r="F20" s="480"/>
      <c r="G20" s="481"/>
      <c r="H20" s="505"/>
      <c r="I20" s="505"/>
      <c r="J20" s="505"/>
      <c r="K20" s="508"/>
      <c r="L20" s="508"/>
      <c r="M20" s="508"/>
      <c r="N20" s="508"/>
      <c r="O20" s="508"/>
    </row>
    <row r="21" spans="1:22">
      <c r="A21" s="479"/>
      <c r="B21" s="886"/>
      <c r="C21" s="1251" t="s">
        <v>408</v>
      </c>
      <c r="D21" s="1251"/>
      <c r="E21" s="493"/>
      <c r="F21" s="480"/>
      <c r="G21" s="481"/>
      <c r="H21" s="505"/>
      <c r="I21" s="505"/>
      <c r="J21" s="505"/>
      <c r="K21" s="508"/>
      <c r="L21" s="508"/>
      <c r="M21" s="508"/>
      <c r="N21" s="508"/>
      <c r="O21" s="508"/>
    </row>
    <row r="22" spans="1:22">
      <c r="A22" s="479"/>
      <c r="B22" s="886"/>
      <c r="C22" s="1251"/>
      <c r="D22" s="1251"/>
      <c r="E22" s="493"/>
      <c r="F22" s="480"/>
      <c r="G22" s="481"/>
      <c r="H22" s="505"/>
      <c r="I22" s="505"/>
      <c r="J22" s="505"/>
      <c r="K22" s="508"/>
      <c r="L22" s="508"/>
      <c r="M22" s="508"/>
      <c r="N22" s="508"/>
      <c r="O22" s="508"/>
    </row>
    <row r="23" spans="1:22">
      <c r="A23" s="479"/>
      <c r="B23" s="886"/>
      <c r="C23" s="493"/>
      <c r="D23" s="493"/>
      <c r="E23" s="653">
        <v>1</v>
      </c>
      <c r="F23" s="480"/>
      <c r="G23" s="481"/>
      <c r="H23" s="505"/>
      <c r="I23" s="505"/>
      <c r="J23" s="505"/>
      <c r="K23" s="508"/>
      <c r="L23" s="508"/>
      <c r="M23" s="508"/>
      <c r="N23" s="508"/>
      <c r="O23" s="508"/>
    </row>
    <row r="24" spans="1:22">
      <c r="A24" s="479"/>
      <c r="B24" s="886"/>
      <c r="C24" s="493"/>
      <c r="D24" s="493"/>
      <c r="E24" s="653" t="str">
        <f>IF(ISERROR(IF(D26="N/A","",1.5-(1-0.65/D26)*(D25/100%))),"",IF(D26="N/A","",1.5-(1-0.65/D26)*(D25/100%)))</f>
        <v/>
      </c>
      <c r="F24" s="480"/>
      <c r="G24" s="481"/>
      <c r="H24" s="507"/>
      <c r="I24" s="507"/>
      <c r="J24" s="507"/>
      <c r="K24" s="508"/>
      <c r="L24" s="508"/>
      <c r="M24" s="508"/>
      <c r="N24" s="508"/>
      <c r="O24" s="508"/>
    </row>
    <row r="25" spans="1:22">
      <c r="A25" s="479"/>
      <c r="B25" s="886"/>
      <c r="C25" s="497" t="s">
        <v>480</v>
      </c>
      <c r="D25" s="502"/>
      <c r="E25" s="493"/>
      <c r="F25" s="480"/>
      <c r="G25" s="481"/>
      <c r="H25" s="507"/>
      <c r="I25" s="513"/>
      <c r="J25" s="507"/>
      <c r="K25" s="508"/>
      <c r="L25" s="508"/>
      <c r="M25" s="508"/>
      <c r="N25" s="508"/>
      <c r="O25" s="508"/>
    </row>
    <row r="26" spans="1:22">
      <c r="A26" s="479"/>
      <c r="B26" s="886"/>
      <c r="C26" s="497" t="s">
        <v>413</v>
      </c>
      <c r="D26" s="654" t="str">
        <f>IF(ISERROR('AWWA-Water Balance Data Transf.'!D63),"",'AWWA-Water Balance Data Transf.'!D63)</f>
        <v/>
      </c>
      <c r="E26" s="493"/>
      <c r="F26" s="480"/>
      <c r="G26" s="481"/>
      <c r="H26" s="507"/>
      <c r="I26" s="507"/>
      <c r="J26" s="507"/>
      <c r="K26" s="508"/>
      <c r="L26" s="508"/>
      <c r="M26" s="508"/>
      <c r="N26" s="508"/>
      <c r="O26" s="508"/>
    </row>
    <row r="27" spans="1:22">
      <c r="A27" s="479"/>
      <c r="B27" s="886"/>
      <c r="C27" s="493"/>
      <c r="D27" s="493"/>
      <c r="E27" s="493"/>
      <c r="F27" s="480"/>
      <c r="G27" s="481"/>
      <c r="H27" s="514"/>
      <c r="I27" s="507"/>
      <c r="J27" s="507"/>
      <c r="K27" s="508"/>
      <c r="L27" s="508"/>
      <c r="M27" s="508"/>
      <c r="N27" s="508"/>
      <c r="O27" s="508"/>
    </row>
    <row r="28" spans="1:22">
      <c r="A28" s="479"/>
      <c r="B28" s="869"/>
      <c r="C28" s="487"/>
      <c r="D28" s="498" t="s">
        <v>414</v>
      </c>
      <c r="E28" s="489"/>
      <c r="F28" s="480"/>
      <c r="G28" s="481"/>
      <c r="H28" s="507"/>
      <c r="I28" s="507"/>
      <c r="J28" s="507"/>
      <c r="K28" s="508"/>
      <c r="L28" s="508"/>
      <c r="M28" s="508"/>
      <c r="N28" s="508"/>
      <c r="O28" s="508"/>
    </row>
    <row r="29" spans="1:22">
      <c r="A29" s="479"/>
      <c r="B29" s="869"/>
      <c r="C29" s="494" t="s">
        <v>415</v>
      </c>
      <c r="D29" s="655"/>
      <c r="E29" s="492" t="str">
        <f>E18</f>
        <v>PSI</v>
      </c>
      <c r="F29" s="480"/>
      <c r="G29" s="481"/>
      <c r="H29" s="515"/>
      <c r="I29" s="507"/>
      <c r="J29" s="507"/>
      <c r="K29" s="508"/>
      <c r="L29" s="508"/>
      <c r="M29" s="508"/>
      <c r="N29" s="508"/>
      <c r="O29" s="508"/>
    </row>
    <row r="30" spans="1:22">
      <c r="A30" s="479"/>
      <c r="B30" s="886"/>
      <c r="C30" s="494" t="s">
        <v>416</v>
      </c>
      <c r="D30" s="499" t="str">
        <f>IF(ISERROR(D29/D18),"",D29/D18)</f>
        <v/>
      </c>
      <c r="E30" s="492"/>
      <c r="F30" s="480"/>
      <c r="G30" s="481"/>
      <c r="H30" s="507"/>
      <c r="I30" s="507"/>
      <c r="J30" s="507"/>
      <c r="K30" s="508"/>
      <c r="L30" s="508"/>
      <c r="M30" s="508"/>
      <c r="N30" s="508"/>
      <c r="O30" s="508"/>
    </row>
    <row r="31" spans="1:22">
      <c r="A31" s="479"/>
      <c r="B31" s="886"/>
      <c r="C31" s="494" t="s">
        <v>417</v>
      </c>
      <c r="D31" s="656" t="str">
        <f>IF(ISERROR(IF(D26="N/A",0,D19-(D19*((D18-D29)/D18)^IF(V13=2,E24,E23)))),"",IF(D26="N/A",0,D19-(D19*((D18-D29)/D18)^IF(V13=2,E24,E23))))</f>
        <v/>
      </c>
      <c r="E31" s="492" t="str">
        <f>E19</f>
        <v>MG/Yr</v>
      </c>
      <c r="F31" s="480"/>
      <c r="G31" s="481"/>
      <c r="H31" s="507"/>
      <c r="I31" s="507"/>
      <c r="J31" s="507"/>
      <c r="K31" s="508"/>
      <c r="L31" s="508"/>
      <c r="M31" s="508"/>
      <c r="N31" s="508"/>
      <c r="O31" s="508"/>
    </row>
    <row r="32" spans="1:22">
      <c r="A32" s="479"/>
      <c r="B32" s="886"/>
      <c r="C32" s="494" t="s">
        <v>418</v>
      </c>
      <c r="D32" s="652" t="str">
        <f>IF(ISERROR(IF(D26="0",0,D31*'AWWA-Water Balance Data Transf.'!D47)),"",IF(D26="0",0,D31*'AWWA-Water Balance Data Transf.'!D47))</f>
        <v/>
      </c>
      <c r="E32" s="492" t="s">
        <v>419</v>
      </c>
      <c r="F32" s="480"/>
      <c r="G32" s="481"/>
      <c r="H32" s="507"/>
      <c r="I32" s="507"/>
      <c r="J32" s="507"/>
      <c r="K32" s="508"/>
      <c r="L32" s="508"/>
      <c r="M32" s="508"/>
      <c r="N32" s="508"/>
      <c r="O32" s="508"/>
    </row>
    <row r="33" spans="1:15">
      <c r="A33" s="479"/>
      <c r="B33" s="886"/>
      <c r="C33" s="490"/>
      <c r="D33" s="493"/>
      <c r="E33" s="492"/>
      <c r="F33" s="480"/>
      <c r="G33" s="481"/>
      <c r="H33" s="507"/>
      <c r="I33" s="507"/>
      <c r="J33" s="507"/>
      <c r="K33" s="508"/>
      <c r="L33" s="508"/>
      <c r="M33" s="508"/>
      <c r="N33" s="508"/>
      <c r="O33" s="508"/>
    </row>
    <row r="34" spans="1:15">
      <c r="A34" s="479"/>
      <c r="B34" s="886"/>
      <c r="C34" s="490"/>
      <c r="D34" s="493"/>
      <c r="E34" s="492"/>
      <c r="F34" s="480"/>
      <c r="G34" s="481"/>
      <c r="H34" s="507"/>
      <c r="I34" s="507"/>
      <c r="J34" s="507"/>
      <c r="K34" s="508"/>
      <c r="L34" s="508"/>
      <c r="M34" s="508"/>
      <c r="N34" s="508"/>
      <c r="O34" s="508"/>
    </row>
    <row r="35" spans="1:15">
      <c r="A35" s="479"/>
      <c r="B35" s="886"/>
      <c r="C35" s="494" t="s">
        <v>420</v>
      </c>
      <c r="D35" s="503"/>
      <c r="E35" s="492" t="s">
        <v>421</v>
      </c>
      <c r="F35" s="480"/>
      <c r="G35" s="481"/>
      <c r="H35" s="507"/>
      <c r="I35" s="507"/>
      <c r="J35" s="507"/>
      <c r="K35" s="508"/>
      <c r="L35" s="508"/>
      <c r="M35" s="508"/>
      <c r="N35" s="508"/>
      <c r="O35" s="508"/>
    </row>
    <row r="36" spans="1:15">
      <c r="A36" s="479"/>
      <c r="B36" s="886"/>
      <c r="C36" s="495" t="s">
        <v>601</v>
      </c>
      <c r="D36" s="651" t="str">
        <f>IF(ISERROR(IF(D26="N/A","",D35/D32)),"",IF(D26="N/A","",D35/D32))</f>
        <v/>
      </c>
      <c r="E36" s="496" t="s">
        <v>422</v>
      </c>
      <c r="F36" s="480"/>
      <c r="G36" s="481"/>
      <c r="H36" s="507"/>
      <c r="I36" s="507"/>
      <c r="J36" s="507"/>
      <c r="K36" s="508"/>
      <c r="L36" s="508"/>
      <c r="M36" s="508"/>
      <c r="N36" s="508"/>
      <c r="O36" s="508"/>
    </row>
    <row r="37" spans="1:15">
      <c r="A37" s="479"/>
      <c r="B37" s="886"/>
      <c r="C37" s="493"/>
      <c r="D37" s="493"/>
      <c r="E37" s="493"/>
      <c r="F37" s="480"/>
      <c r="G37" s="481"/>
      <c r="H37" s="507"/>
      <c r="I37" s="507"/>
      <c r="J37" s="507"/>
      <c r="K37" s="508"/>
      <c r="L37" s="508"/>
      <c r="M37" s="508"/>
      <c r="N37" s="508"/>
      <c r="O37" s="508"/>
    </row>
    <row r="38" spans="1:15">
      <c r="A38" s="479"/>
      <c r="B38" s="886"/>
      <c r="C38" s="493"/>
      <c r="D38" s="493"/>
      <c r="E38" s="493"/>
      <c r="F38" s="480"/>
      <c r="G38" s="481"/>
      <c r="H38" s="507"/>
      <c r="I38" s="507"/>
      <c r="J38" s="507"/>
      <c r="K38" s="508"/>
      <c r="L38" s="508"/>
      <c r="M38" s="508"/>
      <c r="N38" s="508"/>
      <c r="O38" s="508"/>
    </row>
    <row r="39" spans="1:15" ht="15" customHeight="1">
      <c r="A39" s="479"/>
      <c r="B39" s="887" t="s">
        <v>406</v>
      </c>
      <c r="C39" s="1253" t="s">
        <v>804</v>
      </c>
      <c r="D39" s="1253"/>
      <c r="E39" s="1253"/>
      <c r="F39" s="1253"/>
      <c r="G39" s="1254"/>
      <c r="H39" s="507"/>
      <c r="I39" s="507"/>
      <c r="J39" s="507"/>
      <c r="K39" s="508"/>
      <c r="L39" s="508"/>
      <c r="M39" s="508"/>
      <c r="N39" s="508"/>
      <c r="O39" s="508"/>
    </row>
    <row r="40" spans="1:15">
      <c r="A40" s="479"/>
      <c r="B40" s="886"/>
      <c r="C40" s="1253"/>
      <c r="D40" s="1253"/>
      <c r="E40" s="1253"/>
      <c r="F40" s="1253"/>
      <c r="G40" s="1254"/>
      <c r="H40" s="507"/>
      <c r="I40" s="507"/>
      <c r="J40" s="507"/>
      <c r="K40" s="508"/>
      <c r="L40" s="508"/>
      <c r="M40" s="508"/>
      <c r="N40" s="508"/>
      <c r="O40" s="508"/>
    </row>
    <row r="41" spans="1:15">
      <c r="A41" s="479"/>
      <c r="B41" s="886"/>
      <c r="C41" s="1253"/>
      <c r="D41" s="1253"/>
      <c r="E41" s="1253"/>
      <c r="F41" s="1253"/>
      <c r="G41" s="1254"/>
      <c r="H41" s="507"/>
      <c r="I41" s="507"/>
      <c r="J41" s="507"/>
      <c r="K41" s="508"/>
      <c r="L41" s="508"/>
      <c r="M41" s="508"/>
      <c r="N41" s="508"/>
      <c r="O41" s="508"/>
    </row>
    <row r="42" spans="1:15">
      <c r="A42" s="479"/>
      <c r="B42" s="886"/>
      <c r="C42" s="1253"/>
      <c r="D42" s="1253"/>
      <c r="E42" s="1253"/>
      <c r="F42" s="1253"/>
      <c r="G42" s="1254"/>
      <c r="H42" s="507"/>
      <c r="I42" s="507"/>
      <c r="J42" s="507"/>
      <c r="K42" s="508"/>
      <c r="L42" s="508"/>
      <c r="M42" s="508"/>
      <c r="N42" s="508"/>
      <c r="O42" s="508"/>
    </row>
    <row r="43" spans="1:15">
      <c r="A43" s="479"/>
      <c r="B43" s="886"/>
      <c r="C43" s="1253"/>
      <c r="D43" s="1253"/>
      <c r="E43" s="1253"/>
      <c r="F43" s="1253"/>
      <c r="G43" s="1254"/>
      <c r="H43" s="507"/>
      <c r="I43" s="507"/>
      <c r="J43" s="507"/>
      <c r="K43" s="508"/>
      <c r="L43" s="508"/>
      <c r="M43" s="508"/>
      <c r="N43" s="508"/>
      <c r="O43" s="508"/>
    </row>
    <row r="44" spans="1:15" ht="15" customHeight="1">
      <c r="A44" s="479"/>
      <c r="B44" s="886"/>
      <c r="C44" s="1253"/>
      <c r="D44" s="1253"/>
      <c r="E44" s="1253"/>
      <c r="F44" s="1253"/>
      <c r="G44" s="1254"/>
      <c r="H44" s="507"/>
      <c r="I44" s="507"/>
      <c r="J44" s="507"/>
      <c r="K44" s="508"/>
      <c r="L44" s="508"/>
      <c r="M44" s="508"/>
      <c r="N44" s="508"/>
      <c r="O44" s="508"/>
    </row>
    <row r="45" spans="1:15">
      <c r="A45" s="479"/>
      <c r="B45" s="886"/>
      <c r="C45" s="1253"/>
      <c r="D45" s="1253"/>
      <c r="E45" s="1253"/>
      <c r="F45" s="1253"/>
      <c r="G45" s="1254"/>
      <c r="H45" s="507"/>
      <c r="I45" s="507"/>
      <c r="J45" s="507"/>
      <c r="K45" s="508"/>
      <c r="L45" s="508"/>
      <c r="M45" s="508"/>
      <c r="N45" s="508"/>
      <c r="O45" s="508"/>
    </row>
    <row r="46" spans="1:15">
      <c r="A46" s="479"/>
      <c r="B46" s="886"/>
      <c r="C46" s="1253"/>
      <c r="D46" s="1253"/>
      <c r="E46" s="1253"/>
      <c r="F46" s="1253"/>
      <c r="G46" s="1254"/>
      <c r="H46" s="507"/>
      <c r="I46" s="507"/>
      <c r="J46" s="507"/>
      <c r="K46" s="508"/>
      <c r="L46" s="508"/>
      <c r="M46" s="508"/>
      <c r="N46" s="508"/>
      <c r="O46" s="508"/>
    </row>
    <row r="47" spans="1:15">
      <c r="A47" s="479"/>
      <c r="B47" s="886"/>
      <c r="C47" s="1253"/>
      <c r="D47" s="1253"/>
      <c r="E47" s="1253"/>
      <c r="F47" s="1253"/>
      <c r="G47" s="1254"/>
      <c r="H47" s="507"/>
      <c r="I47" s="507"/>
      <c r="J47" s="507"/>
      <c r="K47" s="508"/>
      <c r="L47" s="508"/>
      <c r="M47" s="508"/>
      <c r="N47" s="508"/>
      <c r="O47" s="508"/>
    </row>
    <row r="48" spans="1:15">
      <c r="A48" s="479"/>
      <c r="B48" s="886"/>
      <c r="C48" s="1253"/>
      <c r="D48" s="1253"/>
      <c r="E48" s="1253"/>
      <c r="F48" s="1253"/>
      <c r="G48" s="1254"/>
      <c r="H48" s="507"/>
      <c r="I48" s="507"/>
      <c r="J48" s="507"/>
      <c r="K48" s="508"/>
      <c r="L48" s="508"/>
      <c r="M48" s="508"/>
      <c r="N48" s="508"/>
      <c r="O48" s="508"/>
    </row>
    <row r="49" spans="1:15" ht="32.25" customHeight="1" thickBot="1">
      <c r="A49" s="500"/>
      <c r="B49" s="890" t="str">
        <f>IF('Start Page'!$H$29="","",'Start Page'!$H$29)</f>
        <v/>
      </c>
      <c r="C49" s="726"/>
      <c r="D49" s="726"/>
      <c r="E49" s="726"/>
      <c r="F49" s="501"/>
      <c r="G49" s="727" t="s">
        <v>922</v>
      </c>
      <c r="H49" s="507"/>
      <c r="I49" s="507"/>
      <c r="J49" s="507"/>
      <c r="K49" s="508"/>
      <c r="L49" s="508"/>
      <c r="M49" s="508"/>
      <c r="N49" s="508"/>
      <c r="O49" s="508"/>
    </row>
    <row r="50" spans="1:15" hidden="1">
      <c r="A50" s="393"/>
      <c r="B50" s="482"/>
      <c r="C50" s="482"/>
      <c r="D50" s="482"/>
      <c r="E50" s="482"/>
      <c r="F50" s="482"/>
      <c r="G50" s="482"/>
      <c r="H50" s="507"/>
      <c r="I50" s="507"/>
      <c r="J50" s="507"/>
      <c r="K50" s="508"/>
      <c r="L50" s="508"/>
      <c r="M50" s="508"/>
      <c r="N50" s="508"/>
      <c r="O50" s="508"/>
    </row>
    <row r="51" spans="1:15" hidden="1">
      <c r="A51" s="393"/>
      <c r="B51" s="482"/>
      <c r="C51" s="482"/>
      <c r="D51" s="482"/>
      <c r="E51" s="482"/>
      <c r="F51" s="482"/>
      <c r="G51" s="482"/>
      <c r="H51" s="508"/>
      <c r="I51" s="508"/>
      <c r="J51" s="508"/>
      <c r="K51" s="508"/>
      <c r="L51" s="508"/>
      <c r="M51" s="508"/>
      <c r="N51" s="508"/>
      <c r="O51" s="508"/>
    </row>
    <row r="52" spans="1:15" hidden="1">
      <c r="A52" s="393"/>
      <c r="B52" s="482"/>
      <c r="C52" s="482"/>
      <c r="D52" s="482"/>
      <c r="E52" s="482"/>
      <c r="F52" s="482"/>
      <c r="G52" s="482"/>
      <c r="H52" s="508"/>
      <c r="I52" s="508"/>
      <c r="J52" s="508"/>
      <c r="K52" s="508"/>
      <c r="L52" s="508"/>
      <c r="M52" s="508"/>
      <c r="N52" s="508"/>
      <c r="O52" s="508"/>
    </row>
    <row r="53" spans="1:15" hidden="1">
      <c r="A53" s="393"/>
      <c r="B53" s="482"/>
      <c r="C53" s="482"/>
      <c r="D53" s="482"/>
      <c r="E53" s="482"/>
      <c r="F53" s="482"/>
      <c r="G53" s="482"/>
      <c r="H53" s="508"/>
      <c r="I53" s="508"/>
      <c r="J53" s="508"/>
      <c r="K53" s="508"/>
      <c r="L53" s="508"/>
      <c r="M53" s="508"/>
      <c r="N53" s="508"/>
      <c r="O53" s="508"/>
    </row>
    <row r="54" spans="1:15" hidden="1">
      <c r="A54" s="393"/>
      <c r="B54" s="482"/>
      <c r="C54" s="482"/>
      <c r="D54" s="482"/>
      <c r="E54" s="482"/>
      <c r="F54" s="482"/>
      <c r="G54" s="482"/>
      <c r="H54" s="508"/>
      <c r="I54" s="508"/>
      <c r="J54" s="508"/>
      <c r="K54" s="508"/>
      <c r="L54" s="508"/>
      <c r="M54" s="508"/>
      <c r="N54" s="508"/>
      <c r="O54" s="508"/>
    </row>
    <row r="55" spans="1:15" hidden="1">
      <c r="A55" s="393"/>
      <c r="B55" s="482"/>
      <c r="C55" s="482"/>
      <c r="D55" s="482"/>
      <c r="E55" s="482"/>
      <c r="F55" s="482"/>
      <c r="G55" s="482"/>
      <c r="H55" s="508"/>
      <c r="I55" s="508"/>
      <c r="J55" s="508"/>
      <c r="K55" s="508"/>
      <c r="L55" s="508"/>
      <c r="M55" s="508"/>
      <c r="N55" s="508"/>
      <c r="O55" s="508"/>
    </row>
    <row r="56" spans="1:15" hidden="1">
      <c r="A56" s="393"/>
      <c r="B56" s="482"/>
      <c r="C56" s="482"/>
      <c r="D56" s="482"/>
      <c r="E56" s="482"/>
      <c r="F56" s="482"/>
      <c r="G56" s="482"/>
      <c r="H56" s="508"/>
      <c r="I56" s="508"/>
      <c r="J56" s="508"/>
      <c r="K56" s="508"/>
      <c r="L56" s="508"/>
      <c r="M56" s="508"/>
      <c r="N56" s="508"/>
      <c r="O56" s="508"/>
    </row>
    <row r="57" spans="1:15" hidden="1">
      <c r="A57" s="393"/>
      <c r="B57" s="482"/>
      <c r="C57" s="482"/>
      <c r="D57" s="482"/>
      <c r="E57" s="482"/>
      <c r="F57" s="482"/>
      <c r="G57" s="482"/>
      <c r="H57" s="508"/>
      <c r="I57" s="508"/>
      <c r="J57" s="508"/>
      <c r="K57" s="508"/>
      <c r="L57" s="508"/>
      <c r="M57" s="508"/>
      <c r="N57" s="508"/>
      <c r="O57" s="508"/>
    </row>
    <row r="58" spans="1:15" hidden="1">
      <c r="A58" s="393"/>
      <c r="B58" s="482"/>
      <c r="C58" s="482"/>
      <c r="D58" s="482"/>
      <c r="E58" s="482"/>
      <c r="F58" s="482"/>
      <c r="G58" s="482"/>
      <c r="H58" s="508"/>
      <c r="I58" s="508"/>
      <c r="J58" s="508"/>
      <c r="K58" s="508"/>
      <c r="L58" s="508"/>
      <c r="M58" s="508"/>
      <c r="N58" s="508"/>
      <c r="O58" s="508"/>
    </row>
    <row r="59" spans="1:15" hidden="1">
      <c r="A59" s="393"/>
      <c r="B59" s="482"/>
      <c r="C59" s="482"/>
      <c r="D59" s="482"/>
      <c r="E59" s="482"/>
      <c r="F59" s="482"/>
      <c r="G59" s="482"/>
      <c r="H59" s="508"/>
      <c r="I59" s="508"/>
      <c r="J59" s="508"/>
      <c r="K59" s="508"/>
      <c r="L59" s="508"/>
      <c r="M59" s="508"/>
      <c r="N59" s="508"/>
      <c r="O59" s="508"/>
    </row>
    <row r="60" spans="1:15" hidden="1">
      <c r="A60" s="393"/>
      <c r="B60" s="482"/>
      <c r="C60" s="482"/>
      <c r="D60" s="482"/>
      <c r="E60" s="482"/>
      <c r="F60" s="482"/>
      <c r="G60" s="482"/>
      <c r="H60" s="508"/>
      <c r="I60" s="508"/>
      <c r="J60" s="508"/>
      <c r="K60" s="508"/>
      <c r="L60" s="508"/>
      <c r="M60" s="508"/>
      <c r="N60" s="508"/>
      <c r="O60" s="508"/>
    </row>
    <row r="61" spans="1:15" hidden="1">
      <c r="A61" s="393"/>
      <c r="B61" s="482"/>
      <c r="C61" s="482"/>
      <c r="D61" s="482"/>
      <c r="E61" s="482"/>
      <c r="F61" s="482"/>
      <c r="G61" s="482"/>
      <c r="H61" s="508"/>
      <c r="I61" s="508"/>
      <c r="J61" s="508"/>
      <c r="K61" s="508"/>
      <c r="L61" s="508"/>
      <c r="M61" s="508"/>
      <c r="N61" s="508"/>
      <c r="O61" s="508"/>
    </row>
    <row r="62" spans="1:15" hidden="1">
      <c r="A62" s="393"/>
      <c r="B62" s="482"/>
      <c r="C62" s="482"/>
      <c r="D62" s="482"/>
      <c r="E62" s="482"/>
      <c r="F62" s="482"/>
      <c r="G62" s="482"/>
      <c r="H62" s="508"/>
      <c r="I62" s="508"/>
      <c r="J62" s="508"/>
      <c r="K62" s="508"/>
      <c r="L62" s="508"/>
      <c r="M62" s="508"/>
      <c r="N62" s="508"/>
      <c r="O62" s="508"/>
    </row>
    <row r="63" spans="1:15" hidden="1">
      <c r="A63" s="393"/>
      <c r="B63" s="482"/>
      <c r="C63" s="482"/>
      <c r="D63" s="482"/>
      <c r="E63" s="482"/>
      <c r="F63" s="482"/>
      <c r="G63" s="482"/>
      <c r="H63" s="508"/>
      <c r="I63" s="508"/>
      <c r="J63" s="508"/>
      <c r="K63" s="508"/>
      <c r="L63" s="508"/>
      <c r="M63" s="508"/>
      <c r="N63" s="508"/>
      <c r="O63" s="508"/>
    </row>
    <row r="64" spans="1:15" hidden="1">
      <c r="A64" s="393"/>
      <c r="B64" s="482"/>
      <c r="C64" s="482"/>
      <c r="D64" s="482"/>
      <c r="E64" s="482"/>
      <c r="F64" s="482"/>
      <c r="G64" s="482"/>
      <c r="H64" s="508"/>
      <c r="I64" s="508"/>
      <c r="J64" s="508"/>
      <c r="K64" s="508"/>
      <c r="L64" s="508"/>
      <c r="M64" s="508"/>
      <c r="N64" s="508"/>
      <c r="O64" s="508"/>
    </row>
    <row r="65" spans="1:15" hidden="1">
      <c r="A65" s="393"/>
      <c r="B65" s="482"/>
      <c r="C65" s="482"/>
      <c r="D65" s="482"/>
      <c r="E65" s="482"/>
      <c r="F65" s="482"/>
      <c r="G65" s="482"/>
      <c r="H65" s="508"/>
      <c r="I65" s="508"/>
      <c r="J65" s="508"/>
      <c r="K65" s="508"/>
      <c r="L65" s="508"/>
      <c r="M65" s="508"/>
      <c r="N65" s="508"/>
      <c r="O65" s="508"/>
    </row>
    <row r="66" spans="1:15" hidden="1">
      <c r="A66" s="393"/>
      <c r="B66" s="482"/>
      <c r="C66" s="482"/>
      <c r="D66" s="482"/>
      <c r="E66" s="482"/>
      <c r="F66" s="482"/>
      <c r="G66" s="482"/>
      <c r="H66" s="508"/>
      <c r="I66" s="508"/>
      <c r="J66" s="508"/>
      <c r="K66" s="508"/>
      <c r="L66" s="508"/>
      <c r="M66" s="508"/>
      <c r="N66" s="508"/>
      <c r="O66" s="508"/>
    </row>
    <row r="67" spans="1:15" hidden="1">
      <c r="A67" s="393"/>
      <c r="B67" s="482"/>
      <c r="C67" s="482"/>
      <c r="D67" s="482"/>
      <c r="E67" s="482"/>
      <c r="F67" s="482"/>
      <c r="G67" s="482"/>
      <c r="H67" s="508"/>
      <c r="I67" s="508"/>
      <c r="J67" s="508"/>
      <c r="K67" s="508"/>
      <c r="L67" s="508"/>
      <c r="M67" s="508"/>
      <c r="N67" s="508"/>
      <c r="O67" s="508"/>
    </row>
    <row r="68" spans="1:15" hidden="1">
      <c r="A68" s="393"/>
      <c r="B68" s="482"/>
      <c r="C68" s="482"/>
      <c r="D68" s="482"/>
      <c r="E68" s="482"/>
      <c r="F68" s="482"/>
      <c r="G68" s="482"/>
      <c r="H68" s="508"/>
      <c r="I68" s="508"/>
      <c r="J68" s="508"/>
      <c r="K68" s="508"/>
      <c r="L68" s="508"/>
      <c r="M68" s="508"/>
      <c r="N68" s="508"/>
      <c r="O68" s="508"/>
    </row>
    <row r="69" spans="1:15" hidden="1">
      <c r="A69" s="393"/>
      <c r="B69" s="482"/>
      <c r="C69" s="482"/>
      <c r="D69" s="482"/>
      <c r="E69" s="482"/>
      <c r="F69" s="482"/>
      <c r="G69" s="482"/>
      <c r="H69" s="508"/>
      <c r="I69" s="508"/>
      <c r="J69" s="508"/>
      <c r="K69" s="508"/>
      <c r="L69" s="508"/>
      <c r="M69" s="508"/>
      <c r="N69" s="508"/>
      <c r="O69" s="508"/>
    </row>
    <row r="70" spans="1:15" hidden="1">
      <c r="A70" s="393"/>
      <c r="B70" s="482"/>
      <c r="C70" s="482"/>
      <c r="D70" s="482"/>
      <c r="E70" s="482"/>
      <c r="F70" s="482"/>
      <c r="G70" s="482"/>
      <c r="H70" s="508"/>
      <c r="I70" s="508"/>
      <c r="J70" s="508"/>
      <c r="K70" s="508"/>
      <c r="L70" s="508"/>
      <c r="M70" s="508"/>
      <c r="N70" s="508"/>
      <c r="O70" s="508"/>
    </row>
    <row r="71" spans="1:15" hidden="1">
      <c r="A71" s="393"/>
      <c r="B71" s="482"/>
      <c r="C71" s="482"/>
      <c r="D71" s="482"/>
      <c r="E71" s="482"/>
      <c r="F71" s="482"/>
      <c r="G71" s="482"/>
      <c r="H71" s="508"/>
      <c r="I71" s="508"/>
      <c r="J71" s="508"/>
      <c r="K71" s="508"/>
      <c r="L71" s="508"/>
      <c r="M71" s="508"/>
      <c r="N71" s="508"/>
      <c r="O71" s="508"/>
    </row>
    <row r="72" spans="1:15" hidden="1">
      <c r="A72" s="393"/>
      <c r="B72" s="482"/>
      <c r="C72" s="482"/>
      <c r="D72" s="482"/>
      <c r="E72" s="482"/>
      <c r="F72" s="482"/>
      <c r="G72" s="482"/>
      <c r="H72" s="508"/>
      <c r="I72" s="508"/>
      <c r="J72" s="508"/>
      <c r="K72" s="508"/>
      <c r="L72" s="508"/>
      <c r="M72" s="508"/>
      <c r="N72" s="508"/>
      <c r="O72" s="508"/>
    </row>
    <row r="73" spans="1:15" hidden="1">
      <c r="A73" s="393"/>
      <c r="B73" s="482"/>
      <c r="C73" s="482"/>
      <c r="D73" s="482"/>
      <c r="E73" s="482"/>
      <c r="F73" s="482"/>
      <c r="G73" s="482"/>
      <c r="H73" s="508"/>
      <c r="I73" s="508"/>
      <c r="J73" s="508"/>
      <c r="K73" s="508"/>
      <c r="L73" s="508"/>
      <c r="M73" s="508"/>
      <c r="N73" s="508"/>
      <c r="O73" s="508"/>
    </row>
    <row r="74" spans="1:15" hidden="1">
      <c r="A74" s="393"/>
      <c r="B74" s="482"/>
      <c r="C74" s="482"/>
      <c r="D74" s="482"/>
      <c r="E74" s="482"/>
      <c r="F74" s="482"/>
      <c r="G74" s="482"/>
      <c r="H74" s="508"/>
      <c r="I74" s="508"/>
      <c r="J74" s="508"/>
      <c r="K74" s="508"/>
      <c r="L74" s="508"/>
      <c r="M74" s="508"/>
      <c r="N74" s="508"/>
      <c r="O74" s="508"/>
    </row>
    <row r="75" spans="1:15" hidden="1">
      <c r="A75" s="393"/>
      <c r="B75" s="482"/>
      <c r="C75" s="482"/>
      <c r="D75" s="482"/>
      <c r="E75" s="482"/>
      <c r="F75" s="482"/>
      <c r="G75" s="482"/>
      <c r="H75" s="508"/>
      <c r="I75" s="508"/>
      <c r="J75" s="508"/>
      <c r="K75" s="508"/>
      <c r="L75" s="508"/>
      <c r="M75" s="508"/>
      <c r="N75" s="508"/>
      <c r="O75" s="508"/>
    </row>
    <row r="76" spans="1:15" hidden="1">
      <c r="A76" s="393"/>
      <c r="B76" s="482"/>
      <c r="C76" s="482"/>
      <c r="D76" s="482"/>
      <c r="E76" s="482"/>
      <c r="F76" s="482"/>
      <c r="G76" s="482"/>
      <c r="H76" s="508"/>
      <c r="I76" s="508"/>
      <c r="J76" s="508"/>
      <c r="K76" s="508"/>
      <c r="L76" s="508"/>
      <c r="M76" s="508"/>
      <c r="N76" s="508"/>
      <c r="O76" s="508"/>
    </row>
    <row r="77" spans="1:15" hidden="1">
      <c r="A77" s="393"/>
      <c r="B77" s="482"/>
      <c r="C77" s="482"/>
      <c r="D77" s="482"/>
      <c r="E77" s="482"/>
      <c r="F77" s="482"/>
      <c r="G77" s="482"/>
      <c r="H77" s="508"/>
      <c r="I77" s="508"/>
      <c r="J77" s="508"/>
      <c r="K77" s="508"/>
      <c r="L77" s="508"/>
      <c r="M77" s="508"/>
      <c r="N77" s="508"/>
      <c r="O77" s="508"/>
    </row>
    <row r="78" spans="1:15" hidden="1">
      <c r="A78" s="393"/>
      <c r="B78" s="482"/>
      <c r="C78" s="482"/>
      <c r="D78" s="482"/>
      <c r="E78" s="482"/>
      <c r="F78" s="482"/>
      <c r="G78" s="482"/>
      <c r="H78" s="508"/>
      <c r="I78" s="508"/>
      <c r="J78" s="508"/>
      <c r="K78" s="508"/>
      <c r="L78" s="508"/>
      <c r="M78" s="508"/>
      <c r="N78" s="508"/>
      <c r="O78" s="508"/>
    </row>
    <row r="79" spans="1:15" hidden="1">
      <c r="A79" s="393"/>
      <c r="B79" s="482"/>
      <c r="C79" s="482"/>
      <c r="D79" s="482"/>
      <c r="E79" s="482"/>
      <c r="F79" s="482"/>
      <c r="G79" s="482"/>
      <c r="H79" s="508"/>
      <c r="I79" s="508"/>
      <c r="J79" s="508"/>
      <c r="K79" s="508"/>
      <c r="L79" s="508"/>
      <c r="M79" s="508"/>
      <c r="N79" s="508"/>
      <c r="O79" s="508"/>
    </row>
    <row r="80" spans="1:15" hidden="1">
      <c r="A80" s="393"/>
      <c r="B80" s="482"/>
      <c r="C80" s="482"/>
      <c r="D80" s="482"/>
      <c r="E80" s="482"/>
      <c r="F80" s="482"/>
      <c r="G80" s="482"/>
      <c r="H80" s="508"/>
      <c r="I80" s="508"/>
      <c r="J80" s="508"/>
      <c r="K80" s="508"/>
      <c r="L80" s="508"/>
      <c r="M80" s="508"/>
      <c r="N80" s="508"/>
      <c r="O80" s="508"/>
    </row>
    <row r="81" spans="1:15" hidden="1">
      <c r="A81" s="393"/>
      <c r="B81" s="482"/>
      <c r="C81" s="482"/>
      <c r="D81" s="482"/>
      <c r="E81" s="482"/>
      <c r="F81" s="482"/>
      <c r="G81" s="482"/>
      <c r="H81" s="508"/>
      <c r="I81" s="508"/>
      <c r="J81" s="508"/>
      <c r="K81" s="508"/>
      <c r="L81" s="508"/>
      <c r="M81" s="508"/>
      <c r="N81" s="508"/>
      <c r="O81" s="508"/>
    </row>
    <row r="82" spans="1:15" hidden="1">
      <c r="A82" s="393"/>
      <c r="B82" s="482"/>
      <c r="C82" s="482"/>
      <c r="D82" s="482"/>
      <c r="E82" s="482"/>
      <c r="F82" s="482"/>
      <c r="G82" s="482"/>
      <c r="H82" s="508"/>
      <c r="I82" s="508"/>
      <c r="J82" s="508"/>
      <c r="K82" s="508"/>
      <c r="L82" s="508"/>
      <c r="M82" s="508"/>
      <c r="N82" s="508"/>
      <c r="O82" s="508"/>
    </row>
    <row r="83" spans="1:15" hidden="1">
      <c r="A83" s="393"/>
      <c r="B83" s="482"/>
      <c r="C83" s="482"/>
      <c r="D83" s="482"/>
      <c r="E83" s="482"/>
      <c r="F83" s="482"/>
      <c r="G83" s="482"/>
      <c r="H83" s="508"/>
      <c r="I83" s="508"/>
      <c r="J83" s="508"/>
      <c r="K83" s="508"/>
      <c r="L83" s="508"/>
      <c r="M83" s="508"/>
      <c r="N83" s="508"/>
      <c r="O83" s="508"/>
    </row>
    <row r="84" spans="1:15" hidden="1">
      <c r="A84" s="393"/>
      <c r="B84" s="482"/>
      <c r="C84" s="482"/>
      <c r="D84" s="482"/>
      <c r="E84" s="482"/>
      <c r="F84" s="482"/>
      <c r="G84" s="482"/>
      <c r="H84" s="508"/>
      <c r="I84" s="508"/>
      <c r="J84" s="508"/>
      <c r="K84" s="508"/>
      <c r="L84" s="508"/>
      <c r="M84" s="508"/>
      <c r="N84" s="508"/>
      <c r="O84" s="508"/>
    </row>
    <row r="85" spans="1:15" hidden="1">
      <c r="A85" s="393"/>
      <c r="B85" s="482"/>
      <c r="C85" s="482"/>
      <c r="D85" s="482"/>
      <c r="E85" s="482"/>
      <c r="F85" s="482"/>
      <c r="G85" s="482"/>
      <c r="H85" s="508"/>
      <c r="I85" s="508"/>
      <c r="J85" s="508"/>
      <c r="K85" s="508"/>
      <c r="L85" s="508"/>
      <c r="M85" s="508"/>
      <c r="N85" s="508"/>
      <c r="O85" s="508"/>
    </row>
    <row r="86" spans="1:15" hidden="1">
      <c r="A86" s="393"/>
      <c r="B86" s="482"/>
      <c r="C86" s="482"/>
      <c r="D86" s="482"/>
      <c r="E86" s="482"/>
      <c r="F86" s="482"/>
      <c r="G86" s="482"/>
      <c r="H86" s="508"/>
      <c r="I86" s="508"/>
      <c r="J86" s="508"/>
      <c r="K86" s="508"/>
      <c r="L86" s="508"/>
      <c r="M86" s="508"/>
      <c r="N86" s="508"/>
      <c r="O86" s="508"/>
    </row>
    <row r="87" spans="1:15" hidden="1">
      <c r="A87" s="393"/>
      <c r="B87" s="482"/>
      <c r="C87" s="482"/>
      <c r="D87" s="482"/>
      <c r="E87" s="482"/>
      <c r="F87" s="482"/>
      <c r="G87" s="482"/>
      <c r="H87" s="508"/>
      <c r="I87" s="508"/>
      <c r="J87" s="508"/>
      <c r="K87" s="508"/>
      <c r="L87" s="508"/>
      <c r="M87" s="508"/>
      <c r="N87" s="508"/>
      <c r="O87" s="508"/>
    </row>
    <row r="88" spans="1:15" hidden="1">
      <c r="A88" s="393"/>
      <c r="B88" s="482"/>
      <c r="C88" s="482"/>
      <c r="D88" s="482"/>
      <c r="E88" s="482"/>
      <c r="F88" s="482"/>
      <c r="G88" s="482"/>
      <c r="H88" s="508"/>
      <c r="I88" s="508"/>
      <c r="J88" s="508"/>
      <c r="K88" s="508"/>
      <c r="L88" s="508"/>
      <c r="M88" s="508"/>
      <c r="N88" s="508"/>
      <c r="O88" s="508"/>
    </row>
    <row r="89" spans="1:15" hidden="1">
      <c r="A89" s="393"/>
      <c r="B89" s="482"/>
      <c r="C89" s="482"/>
      <c r="D89" s="482"/>
      <c r="E89" s="482"/>
      <c r="F89" s="482"/>
      <c r="G89" s="482"/>
      <c r="H89" s="508"/>
      <c r="I89" s="508"/>
      <c r="J89" s="508"/>
      <c r="K89" s="508"/>
      <c r="L89" s="508"/>
      <c r="M89" s="508"/>
      <c r="N89" s="508"/>
      <c r="O89" s="508"/>
    </row>
    <row r="90" spans="1:15" hidden="1">
      <c r="A90" s="393"/>
      <c r="B90" s="482"/>
      <c r="C90" s="482"/>
      <c r="D90" s="482"/>
      <c r="E90" s="482"/>
      <c r="F90" s="482"/>
      <c r="G90" s="482"/>
      <c r="H90" s="508"/>
      <c r="I90" s="508"/>
      <c r="J90" s="508"/>
      <c r="K90" s="508"/>
      <c r="L90" s="508"/>
      <c r="M90" s="508"/>
      <c r="N90" s="508"/>
      <c r="O90" s="508"/>
    </row>
    <row r="91" spans="1:15" hidden="1">
      <c r="A91" s="393"/>
      <c r="B91" s="482"/>
      <c r="C91" s="482"/>
      <c r="D91" s="482"/>
      <c r="E91" s="482"/>
      <c r="F91" s="482"/>
      <c r="G91" s="482"/>
      <c r="H91" s="508"/>
      <c r="I91" s="508"/>
      <c r="J91" s="508"/>
      <c r="K91" s="508"/>
      <c r="L91" s="508"/>
      <c r="M91" s="508"/>
      <c r="N91" s="508"/>
      <c r="O91" s="508"/>
    </row>
    <row r="92" spans="1:15" hidden="1">
      <c r="A92" s="393"/>
      <c r="B92" s="482"/>
      <c r="C92" s="482"/>
      <c r="D92" s="482"/>
      <c r="E92" s="482"/>
      <c r="F92" s="482"/>
      <c r="G92" s="482"/>
      <c r="H92" s="508"/>
      <c r="I92" s="508"/>
      <c r="J92" s="508"/>
      <c r="K92" s="508"/>
      <c r="L92" s="508"/>
      <c r="M92" s="508"/>
      <c r="N92" s="508"/>
      <c r="O92" s="508"/>
    </row>
    <row r="93" spans="1:15" hidden="1">
      <c r="A93" s="393"/>
      <c r="B93" s="482"/>
      <c r="C93" s="482"/>
      <c r="D93" s="482"/>
      <c r="E93" s="482"/>
      <c r="F93" s="482"/>
      <c r="G93" s="482"/>
      <c r="H93" s="508"/>
      <c r="I93" s="508"/>
      <c r="J93" s="508"/>
      <c r="K93" s="508"/>
      <c r="L93" s="508"/>
      <c r="M93" s="508"/>
      <c r="N93" s="508"/>
      <c r="O93" s="508"/>
    </row>
    <row r="94" spans="1:15" hidden="1">
      <c r="A94" s="393"/>
      <c r="B94" s="482"/>
      <c r="C94" s="482"/>
      <c r="D94" s="482"/>
      <c r="E94" s="482"/>
      <c r="F94" s="482"/>
      <c r="G94" s="482"/>
      <c r="H94" s="508"/>
      <c r="I94" s="508"/>
      <c r="J94" s="508"/>
      <c r="K94" s="508"/>
      <c r="L94" s="508"/>
      <c r="M94" s="508"/>
      <c r="N94" s="508"/>
      <c r="O94" s="508"/>
    </row>
    <row r="95" spans="1:15" hidden="1">
      <c r="A95" s="393"/>
      <c r="B95" s="482"/>
      <c r="C95" s="482"/>
      <c r="D95" s="482"/>
      <c r="E95" s="482"/>
      <c r="F95" s="482"/>
      <c r="G95" s="482"/>
      <c r="H95" s="508"/>
      <c r="I95" s="508"/>
      <c r="J95" s="508"/>
      <c r="K95" s="508"/>
      <c r="L95" s="508"/>
      <c r="M95" s="508"/>
      <c r="N95" s="508"/>
      <c r="O95" s="508"/>
    </row>
    <row r="96" spans="1:15" hidden="1">
      <c r="A96" s="393"/>
      <c r="B96" s="482"/>
      <c r="C96" s="482"/>
      <c r="D96" s="482"/>
      <c r="E96" s="482"/>
      <c r="F96" s="482"/>
      <c r="G96" s="482"/>
      <c r="H96" s="508"/>
      <c r="I96" s="508"/>
      <c r="J96" s="508"/>
      <c r="K96" s="508"/>
      <c r="L96" s="508"/>
      <c r="M96" s="508"/>
      <c r="N96" s="508"/>
      <c r="O96" s="508"/>
    </row>
    <row r="97" spans="1:15" hidden="1">
      <c r="A97" s="393"/>
      <c r="B97" s="482"/>
      <c r="C97" s="482"/>
      <c r="D97" s="482"/>
      <c r="E97" s="482"/>
      <c r="F97" s="482"/>
      <c r="G97" s="482"/>
      <c r="H97" s="508"/>
      <c r="I97" s="508"/>
      <c r="J97" s="508"/>
      <c r="K97" s="508"/>
      <c r="L97" s="508"/>
      <c r="M97" s="508"/>
      <c r="N97" s="508"/>
      <c r="O97" s="508"/>
    </row>
    <row r="98" spans="1:15" hidden="1">
      <c r="A98" s="393"/>
      <c r="B98" s="482"/>
      <c r="C98" s="482"/>
      <c r="D98" s="482"/>
      <c r="E98" s="482"/>
      <c r="F98" s="482"/>
      <c r="G98" s="482"/>
      <c r="H98" s="508"/>
      <c r="I98" s="508"/>
      <c r="J98" s="508"/>
      <c r="K98" s="508"/>
      <c r="L98" s="508"/>
      <c r="M98" s="508"/>
      <c r="N98" s="508"/>
      <c r="O98" s="508"/>
    </row>
    <row r="99" spans="1:15" hidden="1">
      <c r="A99" s="393"/>
      <c r="B99" s="482"/>
      <c r="C99" s="482"/>
      <c r="D99" s="482"/>
      <c r="E99" s="482"/>
      <c r="F99" s="482"/>
      <c r="G99" s="482"/>
      <c r="H99" s="508"/>
      <c r="I99" s="508"/>
      <c r="J99" s="508"/>
      <c r="K99" s="508"/>
      <c r="L99" s="508"/>
      <c r="M99" s="508"/>
      <c r="N99" s="508"/>
      <c r="O99" s="508"/>
    </row>
    <row r="100" spans="1:15" hidden="1">
      <c r="A100" s="393"/>
      <c r="B100" s="482"/>
      <c r="C100" s="482"/>
      <c r="D100" s="482"/>
      <c r="E100" s="482"/>
      <c r="F100" s="482"/>
      <c r="G100" s="482"/>
      <c r="H100" s="508"/>
      <c r="I100" s="508"/>
      <c r="J100" s="508"/>
      <c r="K100" s="508"/>
      <c r="L100" s="508"/>
      <c r="M100" s="508"/>
      <c r="N100" s="508"/>
      <c r="O100" s="508"/>
    </row>
    <row r="101" spans="1:15" hidden="1">
      <c r="A101" s="393"/>
      <c r="B101" s="482"/>
      <c r="C101" s="482"/>
      <c r="D101" s="482"/>
      <c r="E101" s="482"/>
      <c r="F101" s="482"/>
      <c r="G101" s="482"/>
      <c r="H101" s="508"/>
      <c r="I101" s="508"/>
      <c r="J101" s="508"/>
      <c r="K101" s="508"/>
      <c r="L101" s="508"/>
      <c r="M101" s="508"/>
      <c r="N101" s="508"/>
      <c r="O101" s="508"/>
    </row>
    <row r="102" spans="1:15" hidden="1">
      <c r="A102" s="393"/>
      <c r="B102" s="482"/>
      <c r="C102" s="482"/>
      <c r="D102" s="482"/>
      <c r="E102" s="482"/>
      <c r="F102" s="482"/>
      <c r="G102" s="482"/>
      <c r="H102" s="508"/>
      <c r="I102" s="508"/>
      <c r="J102" s="508"/>
      <c r="K102" s="508"/>
      <c r="L102" s="508"/>
      <c r="M102" s="508"/>
      <c r="N102" s="508"/>
      <c r="O102" s="508"/>
    </row>
    <row r="103" spans="1:15" hidden="1">
      <c r="A103" s="393"/>
      <c r="B103" s="482"/>
      <c r="C103" s="482"/>
      <c r="D103" s="482"/>
      <c r="E103" s="482"/>
      <c r="F103" s="482"/>
      <c r="G103" s="482"/>
      <c r="H103" s="508"/>
      <c r="I103" s="508"/>
      <c r="J103" s="508"/>
      <c r="K103" s="508"/>
      <c r="L103" s="508"/>
      <c r="M103" s="508"/>
      <c r="N103" s="508"/>
      <c r="O103" s="508"/>
    </row>
    <row r="104" spans="1:15" hidden="1">
      <c r="A104" s="393"/>
      <c r="B104" s="482"/>
      <c r="C104" s="482"/>
      <c r="D104" s="482"/>
      <c r="E104" s="482"/>
      <c r="F104" s="482"/>
      <c r="G104" s="482"/>
      <c r="H104" s="508"/>
      <c r="I104" s="508"/>
      <c r="J104" s="508"/>
      <c r="K104" s="508"/>
      <c r="L104" s="508"/>
      <c r="M104" s="508"/>
      <c r="N104" s="508"/>
      <c r="O104" s="508"/>
    </row>
    <row r="105" spans="1:15" hidden="1">
      <c r="A105" s="393"/>
      <c r="B105" s="482"/>
      <c r="C105" s="482"/>
      <c r="D105" s="482"/>
      <c r="E105" s="482"/>
      <c r="F105" s="482"/>
      <c r="G105" s="482"/>
      <c r="H105" s="508"/>
      <c r="I105" s="508"/>
      <c r="J105" s="508"/>
      <c r="K105" s="508"/>
      <c r="L105" s="508"/>
      <c r="M105" s="508"/>
      <c r="N105" s="508"/>
      <c r="O105" s="508"/>
    </row>
    <row r="106" spans="1:15" hidden="1">
      <c r="A106" s="393"/>
      <c r="B106" s="482"/>
      <c r="C106" s="482"/>
      <c r="D106" s="482"/>
      <c r="E106" s="482"/>
      <c r="F106" s="482"/>
      <c r="G106" s="482"/>
      <c r="H106" s="508"/>
      <c r="I106" s="508"/>
      <c r="J106" s="508"/>
      <c r="K106" s="508"/>
      <c r="L106" s="508"/>
      <c r="M106" s="508"/>
      <c r="N106" s="508"/>
      <c r="O106" s="508"/>
    </row>
    <row r="107" spans="1:15" hidden="1">
      <c r="A107" s="393"/>
      <c r="B107" s="482"/>
      <c r="C107" s="482"/>
      <c r="D107" s="482"/>
      <c r="E107" s="482"/>
      <c r="F107" s="482"/>
      <c r="G107" s="482"/>
      <c r="H107" s="508"/>
      <c r="I107" s="508"/>
      <c r="J107" s="508"/>
      <c r="K107" s="508"/>
      <c r="L107" s="508"/>
      <c r="M107" s="508"/>
      <c r="N107" s="508"/>
      <c r="O107" s="508"/>
    </row>
    <row r="108" spans="1:15" hidden="1">
      <c r="A108" s="393"/>
      <c r="B108" s="482"/>
      <c r="C108" s="482"/>
      <c r="D108" s="482"/>
      <c r="E108" s="482"/>
      <c r="F108" s="482"/>
      <c r="G108" s="482"/>
      <c r="H108" s="508"/>
      <c r="I108" s="508"/>
      <c r="J108" s="508"/>
      <c r="K108" s="508"/>
      <c r="L108" s="508"/>
      <c r="M108" s="508"/>
      <c r="N108" s="508"/>
      <c r="O108" s="508"/>
    </row>
    <row r="109" spans="1:15" hidden="1">
      <c r="A109" s="393"/>
      <c r="B109" s="482"/>
      <c r="C109" s="482"/>
      <c r="D109" s="482"/>
      <c r="E109" s="482"/>
      <c r="F109" s="482"/>
      <c r="G109" s="482"/>
      <c r="H109" s="508"/>
      <c r="I109" s="508"/>
      <c r="J109" s="508"/>
      <c r="K109" s="508"/>
      <c r="L109" s="508"/>
      <c r="M109" s="508"/>
      <c r="N109" s="508"/>
      <c r="O109" s="508"/>
    </row>
    <row r="110" spans="1:15" hidden="1">
      <c r="A110" s="393"/>
      <c r="B110" s="482"/>
      <c r="C110" s="482"/>
      <c r="D110" s="482"/>
      <c r="E110" s="482"/>
      <c r="F110" s="482"/>
      <c r="G110" s="482"/>
      <c r="H110" s="508"/>
      <c r="I110" s="508"/>
      <c r="J110" s="508"/>
      <c r="K110" s="508"/>
      <c r="L110" s="508"/>
      <c r="M110" s="508"/>
      <c r="N110" s="508"/>
      <c r="O110" s="508"/>
    </row>
    <row r="111" spans="1:15" hidden="1">
      <c r="A111" s="393"/>
      <c r="B111" s="482"/>
      <c r="C111" s="482"/>
      <c r="D111" s="482"/>
      <c r="E111" s="482"/>
      <c r="F111" s="482"/>
      <c r="G111" s="482"/>
      <c r="H111" s="508"/>
      <c r="I111" s="508"/>
      <c r="J111" s="508"/>
      <c r="K111" s="508"/>
      <c r="L111" s="508"/>
      <c r="M111" s="508"/>
      <c r="N111" s="508"/>
      <c r="O111" s="508"/>
    </row>
    <row r="112" spans="1:15" hidden="1">
      <c r="A112" s="393"/>
      <c r="B112" s="394"/>
      <c r="C112" s="394"/>
      <c r="D112" s="394"/>
      <c r="E112" s="394"/>
      <c r="F112" s="394"/>
      <c r="G112" s="394"/>
    </row>
    <row r="113" spans="1:7" hidden="1">
      <c r="A113" s="393"/>
      <c r="B113" s="394"/>
      <c r="C113" s="394"/>
      <c r="D113" s="394"/>
      <c r="E113" s="394"/>
      <c r="F113" s="394"/>
      <c r="G113" s="394"/>
    </row>
    <row r="114" spans="1:7" hidden="1">
      <c r="A114" s="393"/>
      <c r="B114" s="394"/>
      <c r="C114" s="394"/>
      <c r="D114" s="394"/>
      <c r="E114" s="394"/>
      <c r="F114" s="394"/>
      <c r="G114" s="394"/>
    </row>
    <row r="115" spans="1:7" hidden="1">
      <c r="A115" s="393"/>
      <c r="B115" s="394"/>
      <c r="C115" s="394"/>
      <c r="D115" s="394"/>
      <c r="E115" s="394"/>
      <c r="F115" s="394"/>
      <c r="G115" s="394"/>
    </row>
    <row r="116" spans="1:7" hidden="1">
      <c r="A116" s="393"/>
      <c r="B116" s="394"/>
      <c r="C116" s="394"/>
      <c r="D116" s="394"/>
      <c r="E116" s="394"/>
      <c r="F116" s="394"/>
      <c r="G116" s="394"/>
    </row>
    <row r="117" spans="1:7" hidden="1">
      <c r="A117" s="393"/>
      <c r="B117" s="394"/>
      <c r="C117" s="394"/>
      <c r="D117" s="394"/>
      <c r="E117" s="394"/>
      <c r="F117" s="394"/>
      <c r="G117" s="394"/>
    </row>
    <row r="118" spans="1:7" hidden="1">
      <c r="A118" s="393"/>
      <c r="B118" s="394"/>
      <c r="C118" s="394"/>
      <c r="D118" s="394"/>
      <c r="E118" s="394"/>
      <c r="F118" s="394"/>
      <c r="G118" s="394"/>
    </row>
    <row r="119" spans="1:7" hidden="1">
      <c r="A119" s="393"/>
      <c r="B119" s="394"/>
      <c r="C119" s="394"/>
      <c r="D119" s="394"/>
      <c r="E119" s="394"/>
      <c r="F119" s="394"/>
      <c r="G119" s="394"/>
    </row>
    <row r="120" spans="1:7" hidden="1">
      <c r="A120" s="393"/>
      <c r="B120" s="394"/>
      <c r="C120" s="394"/>
      <c r="D120" s="394"/>
      <c r="E120" s="394"/>
      <c r="F120" s="394"/>
      <c r="G120" s="394"/>
    </row>
    <row r="121" spans="1:7" hidden="1">
      <c r="A121" s="393"/>
      <c r="B121" s="394"/>
      <c r="C121" s="394"/>
      <c r="D121" s="394"/>
      <c r="E121" s="394"/>
      <c r="F121" s="394"/>
      <c r="G121" s="394"/>
    </row>
    <row r="122" spans="1:7" hidden="1">
      <c r="A122" s="393"/>
      <c r="B122" s="394"/>
      <c r="C122" s="394"/>
      <c r="D122" s="394"/>
      <c r="E122" s="394"/>
      <c r="F122" s="394"/>
      <c r="G122" s="394"/>
    </row>
    <row r="123" spans="1:7" hidden="1">
      <c r="A123" s="393"/>
      <c r="B123" s="394"/>
      <c r="C123" s="394"/>
      <c r="D123" s="394"/>
      <c r="E123" s="394"/>
      <c r="F123" s="394"/>
      <c r="G123" s="394"/>
    </row>
    <row r="124" spans="1:7" hidden="1">
      <c r="A124" s="393"/>
      <c r="B124" s="394"/>
      <c r="C124" s="394"/>
      <c r="D124" s="394"/>
      <c r="E124" s="394"/>
      <c r="F124" s="394"/>
      <c r="G124" s="394"/>
    </row>
    <row r="125" spans="1:7" hidden="1">
      <c r="A125" s="393"/>
      <c r="B125" s="394"/>
      <c r="C125" s="394"/>
      <c r="D125" s="394"/>
      <c r="E125" s="394"/>
      <c r="F125" s="394"/>
      <c r="G125" s="394"/>
    </row>
    <row r="126" spans="1:7" hidden="1">
      <c r="A126" s="393"/>
      <c r="B126" s="394"/>
      <c r="C126" s="394"/>
      <c r="D126" s="394"/>
      <c r="E126" s="394"/>
      <c r="F126" s="394"/>
      <c r="G126" s="394"/>
    </row>
    <row r="127" spans="1:7" hidden="1">
      <c r="A127" s="393"/>
      <c r="B127" s="394"/>
      <c r="C127" s="394"/>
      <c r="D127" s="394"/>
      <c r="E127" s="394"/>
      <c r="F127" s="394"/>
      <c r="G127" s="394"/>
    </row>
    <row r="128" spans="1:7" hidden="1">
      <c r="A128" s="393"/>
      <c r="B128" s="394"/>
      <c r="C128" s="394"/>
      <c r="D128" s="394"/>
      <c r="E128" s="394"/>
      <c r="F128" s="394"/>
      <c r="G128" s="394"/>
    </row>
    <row r="129" spans="1:7" hidden="1">
      <c r="A129" s="393"/>
      <c r="B129" s="394"/>
      <c r="C129" s="394"/>
      <c r="D129" s="394"/>
      <c r="E129" s="394"/>
      <c r="F129" s="394"/>
      <c r="G129" s="394"/>
    </row>
    <row r="130" spans="1:7" hidden="1">
      <c r="A130" s="393"/>
      <c r="B130" s="394"/>
      <c r="C130" s="394"/>
      <c r="D130" s="394"/>
      <c r="E130" s="394"/>
      <c r="F130" s="394"/>
      <c r="G130" s="394"/>
    </row>
    <row r="131" spans="1:7" hidden="1">
      <c r="A131" s="393"/>
      <c r="B131" s="394"/>
      <c r="C131" s="394"/>
      <c r="D131" s="394"/>
      <c r="E131" s="394"/>
      <c r="F131" s="394"/>
      <c r="G131" s="394"/>
    </row>
    <row r="132" spans="1:7" hidden="1">
      <c r="A132" s="393"/>
      <c r="B132" s="394"/>
      <c r="C132" s="394"/>
      <c r="D132" s="394"/>
      <c r="E132" s="394"/>
      <c r="F132" s="394"/>
      <c r="G132" s="394"/>
    </row>
    <row r="133" spans="1:7" hidden="1">
      <c r="A133" s="393"/>
      <c r="B133" s="394"/>
      <c r="C133" s="394"/>
      <c r="D133" s="394"/>
      <c r="E133" s="394"/>
      <c r="F133" s="394"/>
      <c r="G133" s="394"/>
    </row>
    <row r="134" spans="1:7" hidden="1">
      <c r="A134" s="393"/>
      <c r="B134" s="394"/>
      <c r="C134" s="394"/>
      <c r="D134" s="394"/>
      <c r="E134" s="394"/>
      <c r="F134" s="394"/>
      <c r="G134" s="394"/>
    </row>
    <row r="135" spans="1:7" hidden="1">
      <c r="A135" s="393"/>
      <c r="B135" s="394"/>
      <c r="C135" s="394"/>
      <c r="D135" s="394"/>
      <c r="E135" s="394"/>
      <c r="F135" s="394"/>
      <c r="G135" s="394"/>
    </row>
    <row r="136" spans="1:7" hidden="1">
      <c r="A136" s="393"/>
      <c r="B136" s="394"/>
      <c r="C136" s="394"/>
      <c r="D136" s="394"/>
      <c r="E136" s="394"/>
      <c r="F136" s="394"/>
      <c r="G136" s="394"/>
    </row>
    <row r="137" spans="1:7" hidden="1">
      <c r="A137" s="393"/>
      <c r="B137" s="394"/>
      <c r="C137" s="394"/>
      <c r="D137" s="394"/>
      <c r="E137" s="394"/>
      <c r="F137" s="394"/>
      <c r="G137" s="394"/>
    </row>
    <row r="138" spans="1:7" hidden="1">
      <c r="A138" s="393"/>
      <c r="B138" s="394"/>
      <c r="C138" s="394"/>
      <c r="D138" s="394"/>
      <c r="E138" s="394"/>
      <c r="F138" s="394"/>
      <c r="G138" s="394"/>
    </row>
    <row r="139" spans="1:7" hidden="1">
      <c r="A139" s="393"/>
      <c r="B139" s="394"/>
      <c r="C139" s="394"/>
      <c r="D139" s="394"/>
      <c r="E139" s="394"/>
      <c r="F139" s="394"/>
      <c r="G139" s="394"/>
    </row>
    <row r="140" spans="1:7" hidden="1">
      <c r="A140" s="393"/>
      <c r="B140" s="394"/>
      <c r="C140" s="394"/>
      <c r="D140" s="394"/>
      <c r="E140" s="394"/>
      <c r="F140" s="394"/>
      <c r="G140" s="394"/>
    </row>
    <row r="141" spans="1:7" hidden="1">
      <c r="A141" s="393"/>
      <c r="B141" s="394"/>
      <c r="C141" s="394"/>
      <c r="D141" s="394"/>
      <c r="E141" s="394"/>
      <c r="F141" s="394"/>
      <c r="G141" s="394"/>
    </row>
    <row r="142" spans="1:7" hidden="1">
      <c r="A142" s="393"/>
      <c r="B142" s="394"/>
      <c r="C142" s="394"/>
      <c r="D142" s="394"/>
      <c r="E142" s="394"/>
      <c r="F142" s="394"/>
      <c r="G142" s="394"/>
    </row>
    <row r="143" spans="1:7" hidden="1">
      <c r="A143" s="393"/>
      <c r="B143" s="394"/>
      <c r="C143" s="394"/>
      <c r="D143" s="394"/>
      <c r="E143" s="394"/>
      <c r="F143" s="394"/>
      <c r="G143" s="394"/>
    </row>
    <row r="144" spans="1:7" hidden="1">
      <c r="A144" s="393"/>
      <c r="B144" s="394"/>
      <c r="C144" s="394"/>
      <c r="D144" s="394"/>
      <c r="E144" s="394"/>
      <c r="F144" s="394"/>
      <c r="G144" s="394"/>
    </row>
    <row r="145" spans="1:7" hidden="1">
      <c r="A145" s="393"/>
      <c r="B145" s="394"/>
      <c r="C145" s="394"/>
      <c r="D145" s="394"/>
      <c r="E145" s="394"/>
      <c r="F145" s="394"/>
      <c r="G145" s="394"/>
    </row>
    <row r="146" spans="1:7" hidden="1">
      <c r="A146" s="393"/>
      <c r="B146" s="394"/>
      <c r="C146" s="394"/>
      <c r="D146" s="394"/>
      <c r="E146" s="394"/>
      <c r="F146" s="394"/>
      <c r="G146" s="394"/>
    </row>
    <row r="147" spans="1:7" hidden="1">
      <c r="A147" s="393"/>
      <c r="B147" s="394"/>
      <c r="C147" s="394"/>
      <c r="D147" s="394"/>
      <c r="E147" s="394"/>
      <c r="F147" s="394"/>
      <c r="G147" s="394"/>
    </row>
    <row r="148" spans="1:7" hidden="1">
      <c r="A148" s="393"/>
      <c r="B148" s="394"/>
      <c r="C148" s="394"/>
      <c r="D148" s="394"/>
      <c r="E148" s="394"/>
      <c r="F148" s="394"/>
      <c r="G148" s="394"/>
    </row>
    <row r="149" spans="1:7" hidden="1">
      <c r="A149" s="393"/>
      <c r="B149" s="394"/>
      <c r="C149" s="394"/>
      <c r="D149" s="394"/>
      <c r="E149" s="394"/>
      <c r="F149" s="394"/>
      <c r="G149" s="394"/>
    </row>
    <row r="150" spans="1:7" hidden="1">
      <c r="A150" s="393"/>
      <c r="B150" s="394"/>
      <c r="C150" s="394"/>
      <c r="D150" s="394"/>
      <c r="E150" s="394"/>
      <c r="F150" s="394"/>
      <c r="G150" s="394"/>
    </row>
    <row r="151" spans="1:7" hidden="1">
      <c r="A151" s="393"/>
      <c r="B151" s="394"/>
      <c r="C151" s="394"/>
      <c r="D151" s="394"/>
      <c r="E151" s="394"/>
      <c r="F151" s="394"/>
      <c r="G151" s="394"/>
    </row>
    <row r="152" spans="1:7" hidden="1">
      <c r="A152" s="393"/>
      <c r="B152" s="394"/>
      <c r="C152" s="394"/>
      <c r="D152" s="394"/>
      <c r="E152" s="394"/>
      <c r="F152" s="394"/>
      <c r="G152" s="394"/>
    </row>
    <row r="153" spans="1:7" hidden="1">
      <c r="A153" s="393"/>
      <c r="B153" s="394"/>
      <c r="C153" s="394"/>
      <c r="D153" s="394"/>
      <c r="E153" s="394"/>
      <c r="F153" s="394"/>
      <c r="G153" s="394"/>
    </row>
    <row r="154" spans="1:7" hidden="1">
      <c r="A154" s="393"/>
      <c r="B154" s="394"/>
      <c r="C154" s="394"/>
      <c r="D154" s="394"/>
      <c r="E154" s="394"/>
      <c r="F154" s="394"/>
      <c r="G154" s="394"/>
    </row>
    <row r="155" spans="1:7" hidden="1">
      <c r="A155" s="393"/>
      <c r="B155" s="394"/>
      <c r="C155" s="394"/>
      <c r="D155" s="394"/>
      <c r="E155" s="394"/>
      <c r="F155" s="394"/>
      <c r="G155" s="394"/>
    </row>
    <row r="156" spans="1:7" hidden="1">
      <c r="A156" s="393"/>
      <c r="B156" s="394"/>
      <c r="C156" s="394"/>
      <c r="D156" s="394"/>
      <c r="E156" s="394"/>
      <c r="F156" s="394"/>
      <c r="G156" s="394"/>
    </row>
    <row r="157" spans="1:7" hidden="1">
      <c r="A157" s="393"/>
      <c r="B157" s="394"/>
      <c r="C157" s="394"/>
      <c r="D157" s="394"/>
      <c r="E157" s="394"/>
      <c r="F157" s="394"/>
      <c r="G157" s="394"/>
    </row>
    <row r="158" spans="1:7" hidden="1">
      <c r="A158" s="393"/>
      <c r="B158" s="394"/>
      <c r="C158" s="394"/>
      <c r="D158" s="394"/>
      <c r="E158" s="394"/>
      <c r="F158" s="394"/>
      <c r="G158" s="394"/>
    </row>
    <row r="159" spans="1:7" hidden="1">
      <c r="A159" s="393"/>
      <c r="B159" s="394"/>
      <c r="C159" s="394"/>
      <c r="D159" s="394"/>
      <c r="E159" s="394"/>
      <c r="F159" s="394"/>
      <c r="G159" s="394"/>
    </row>
    <row r="160" spans="1:7" hidden="1">
      <c r="A160" s="393"/>
      <c r="B160" s="394"/>
      <c r="C160" s="394"/>
      <c r="D160" s="394"/>
      <c r="E160" s="394"/>
      <c r="F160" s="394"/>
      <c r="G160" s="394"/>
    </row>
    <row r="161" spans="1:7" hidden="1">
      <c r="A161" s="393"/>
      <c r="B161" s="394"/>
      <c r="C161" s="394"/>
      <c r="D161" s="394"/>
      <c r="E161" s="394"/>
      <c r="F161" s="394"/>
      <c r="G161" s="394"/>
    </row>
    <row r="162" spans="1:7" hidden="1">
      <c r="A162" s="393"/>
      <c r="B162" s="394"/>
      <c r="C162" s="394"/>
      <c r="D162" s="394"/>
      <c r="E162" s="394"/>
      <c r="F162" s="394"/>
      <c r="G162" s="394"/>
    </row>
    <row r="163" spans="1:7" hidden="1">
      <c r="A163" s="393"/>
      <c r="B163" s="394"/>
      <c r="C163" s="394"/>
      <c r="D163" s="394"/>
      <c r="E163" s="394"/>
      <c r="F163" s="394"/>
      <c r="G163" s="394"/>
    </row>
    <row r="164" spans="1:7" hidden="1">
      <c r="A164" s="393"/>
      <c r="B164" s="394"/>
      <c r="C164" s="394"/>
      <c r="D164" s="394"/>
      <c r="E164" s="394"/>
      <c r="F164" s="394"/>
      <c r="G164" s="394"/>
    </row>
    <row r="165" spans="1:7" hidden="1">
      <c r="A165" s="393"/>
      <c r="B165" s="394"/>
      <c r="C165" s="394"/>
      <c r="D165" s="394"/>
      <c r="E165" s="394"/>
      <c r="F165" s="394"/>
      <c r="G165" s="394"/>
    </row>
    <row r="166" spans="1:7" hidden="1">
      <c r="A166" s="393"/>
      <c r="B166" s="394"/>
      <c r="C166" s="394"/>
      <c r="D166" s="394"/>
      <c r="E166" s="394"/>
      <c r="F166" s="394"/>
      <c r="G166" s="394"/>
    </row>
    <row r="167" spans="1:7" hidden="1">
      <c r="A167" s="393"/>
      <c r="B167" s="394"/>
      <c r="C167" s="394"/>
      <c r="D167" s="394"/>
      <c r="E167" s="394"/>
      <c r="F167" s="394"/>
      <c r="G167" s="394"/>
    </row>
    <row r="168" spans="1:7" hidden="1">
      <c r="A168" s="393"/>
      <c r="B168" s="394"/>
      <c r="C168" s="394"/>
      <c r="D168" s="394"/>
      <c r="E168" s="394"/>
      <c r="F168" s="394"/>
      <c r="G168" s="394"/>
    </row>
    <row r="169" spans="1:7" hidden="1">
      <c r="A169" s="393"/>
      <c r="B169" s="394"/>
      <c r="C169" s="394"/>
      <c r="D169" s="394"/>
      <c r="E169" s="394"/>
      <c r="F169" s="394"/>
      <c r="G169" s="394"/>
    </row>
    <row r="170" spans="1:7" hidden="1">
      <c r="A170" s="393"/>
      <c r="B170" s="394"/>
      <c r="C170" s="394"/>
      <c r="D170" s="394"/>
      <c r="E170" s="394"/>
      <c r="F170" s="394"/>
      <c r="G170" s="394"/>
    </row>
    <row r="171" spans="1:7" hidden="1">
      <c r="A171" s="393"/>
      <c r="B171" s="394"/>
      <c r="C171" s="394"/>
      <c r="D171" s="394"/>
      <c r="E171" s="394"/>
      <c r="F171" s="394"/>
      <c r="G171" s="394"/>
    </row>
    <row r="172" spans="1:7" hidden="1">
      <c r="A172" s="393"/>
      <c r="B172" s="394"/>
      <c r="C172" s="394"/>
      <c r="D172" s="394"/>
      <c r="E172" s="394"/>
      <c r="F172" s="394"/>
      <c r="G172" s="394"/>
    </row>
    <row r="173" spans="1:7" hidden="1">
      <c r="A173" s="393"/>
      <c r="B173" s="394"/>
      <c r="C173" s="394"/>
      <c r="D173" s="394"/>
      <c r="E173" s="394"/>
      <c r="F173" s="394"/>
      <c r="G173" s="394"/>
    </row>
    <row r="174" spans="1:7" hidden="1">
      <c r="A174" s="393"/>
      <c r="B174" s="394"/>
      <c r="C174" s="394"/>
      <c r="D174" s="394"/>
      <c r="E174" s="394"/>
      <c r="F174" s="394"/>
      <c r="G174" s="394"/>
    </row>
    <row r="175" spans="1:7" hidden="1">
      <c r="A175" s="393"/>
      <c r="B175" s="394"/>
      <c r="C175" s="394"/>
      <c r="D175" s="394"/>
      <c r="E175" s="394"/>
      <c r="F175" s="394"/>
      <c r="G175" s="394"/>
    </row>
    <row r="176" spans="1:7" hidden="1">
      <c r="A176" s="393"/>
      <c r="B176" s="394"/>
      <c r="C176" s="394"/>
      <c r="D176" s="394"/>
      <c r="E176" s="394"/>
      <c r="F176" s="394"/>
      <c r="G176" s="394"/>
    </row>
    <row r="177" spans="1:7" hidden="1">
      <c r="A177" s="393"/>
      <c r="B177" s="394"/>
      <c r="C177" s="394"/>
      <c r="D177" s="394"/>
      <c r="E177" s="394"/>
      <c r="F177" s="394"/>
      <c r="G177" s="394"/>
    </row>
    <row r="178" spans="1:7" hidden="1">
      <c r="A178" s="393"/>
      <c r="B178" s="394"/>
      <c r="C178" s="394"/>
      <c r="D178" s="394"/>
      <c r="E178" s="394"/>
      <c r="F178" s="394"/>
      <c r="G178" s="394"/>
    </row>
    <row r="179" spans="1:7" hidden="1">
      <c r="A179" s="393"/>
      <c r="B179" s="394"/>
      <c r="C179" s="394"/>
      <c r="D179" s="394"/>
      <c r="E179" s="394"/>
      <c r="F179" s="394"/>
      <c r="G179" s="394"/>
    </row>
    <row r="180" spans="1:7" hidden="1">
      <c r="A180" s="393"/>
      <c r="B180" s="394"/>
      <c r="C180" s="394"/>
      <c r="D180" s="394"/>
      <c r="E180" s="394"/>
      <c r="F180" s="394"/>
      <c r="G180" s="394"/>
    </row>
    <row r="181" spans="1:7" hidden="1">
      <c r="A181" s="393"/>
      <c r="B181" s="394"/>
      <c r="C181" s="394"/>
      <c r="D181" s="394"/>
      <c r="E181" s="394"/>
      <c r="F181" s="394"/>
      <c r="G181" s="394"/>
    </row>
    <row r="182" spans="1:7" hidden="1">
      <c r="A182" s="393"/>
      <c r="B182" s="394"/>
      <c r="C182" s="394"/>
      <c r="D182" s="394"/>
      <c r="E182" s="394"/>
      <c r="F182" s="394"/>
      <c r="G182" s="394"/>
    </row>
    <row r="183" spans="1:7" hidden="1">
      <c r="A183" s="393"/>
      <c r="B183" s="394"/>
      <c r="C183" s="394"/>
      <c r="D183" s="394"/>
      <c r="E183" s="394"/>
      <c r="F183" s="394"/>
      <c r="G183" s="394"/>
    </row>
    <row r="184" spans="1:7" hidden="1">
      <c r="A184" s="393"/>
      <c r="B184" s="394"/>
      <c r="C184" s="394"/>
      <c r="D184" s="394"/>
      <c r="E184" s="394"/>
      <c r="F184" s="394"/>
      <c r="G184" s="394"/>
    </row>
    <row r="185" spans="1:7" hidden="1">
      <c r="A185" s="393"/>
      <c r="B185" s="394"/>
      <c r="C185" s="394"/>
      <c r="D185" s="394"/>
      <c r="E185" s="394"/>
      <c r="F185" s="394"/>
      <c r="G185" s="394"/>
    </row>
    <row r="186" spans="1:7" hidden="1">
      <c r="A186" s="393"/>
      <c r="B186" s="394"/>
      <c r="C186" s="394"/>
      <c r="D186" s="394"/>
      <c r="E186" s="394"/>
      <c r="F186" s="394"/>
      <c r="G186" s="394"/>
    </row>
    <row r="187" spans="1:7" hidden="1">
      <c r="A187" s="393"/>
      <c r="B187" s="394"/>
      <c r="C187" s="394"/>
      <c r="D187" s="394"/>
      <c r="E187" s="394"/>
      <c r="F187" s="394"/>
      <c r="G187" s="394"/>
    </row>
    <row r="188" spans="1:7" hidden="1">
      <c r="A188" s="393"/>
      <c r="B188" s="394"/>
      <c r="C188" s="394"/>
      <c r="D188" s="394"/>
      <c r="E188" s="394"/>
      <c r="F188" s="394"/>
      <c r="G188" s="394"/>
    </row>
    <row r="189" spans="1:7" hidden="1">
      <c r="A189" s="393"/>
      <c r="B189" s="394"/>
      <c r="C189" s="394"/>
      <c r="D189" s="394"/>
      <c r="E189" s="394"/>
      <c r="F189" s="394"/>
      <c r="G189" s="394"/>
    </row>
    <row r="190" spans="1:7" hidden="1">
      <c r="A190" s="393"/>
      <c r="B190" s="394"/>
      <c r="C190" s="394"/>
      <c r="D190" s="394"/>
      <c r="E190" s="394"/>
      <c r="F190" s="394"/>
      <c r="G190" s="394"/>
    </row>
    <row r="191" spans="1:7" hidden="1">
      <c r="A191" s="393"/>
      <c r="B191" s="394"/>
      <c r="C191" s="394"/>
      <c r="D191" s="394"/>
      <c r="E191" s="394"/>
      <c r="F191" s="394"/>
      <c r="G191" s="394"/>
    </row>
    <row r="192" spans="1:7" hidden="1">
      <c r="A192" s="393"/>
      <c r="B192" s="394"/>
      <c r="C192" s="394"/>
      <c r="D192" s="394"/>
      <c r="E192" s="394"/>
      <c r="F192" s="394"/>
      <c r="G192" s="394"/>
    </row>
    <row r="193" spans="1:7" hidden="1">
      <c r="A193" s="393"/>
      <c r="B193" s="394"/>
      <c r="C193" s="394"/>
      <c r="D193" s="394"/>
      <c r="E193" s="394"/>
      <c r="F193" s="394"/>
      <c r="G193" s="394"/>
    </row>
    <row r="194" spans="1:7" hidden="1">
      <c r="A194" s="393"/>
      <c r="B194" s="394"/>
      <c r="C194" s="394"/>
      <c r="D194" s="394"/>
      <c r="E194" s="394"/>
      <c r="F194" s="394"/>
      <c r="G194" s="394"/>
    </row>
    <row r="195" spans="1:7" hidden="1">
      <c r="A195" s="393"/>
      <c r="B195" s="394"/>
      <c r="C195" s="394"/>
      <c r="D195" s="394"/>
      <c r="E195" s="394"/>
      <c r="F195" s="394"/>
      <c r="G195" s="394"/>
    </row>
    <row r="196" spans="1:7" hidden="1">
      <c r="A196" s="393"/>
      <c r="B196" s="394"/>
      <c r="C196" s="394"/>
      <c r="D196" s="394"/>
      <c r="E196" s="394"/>
      <c r="F196" s="394"/>
      <c r="G196" s="394"/>
    </row>
    <row r="197" spans="1:7" hidden="1">
      <c r="A197" s="393"/>
      <c r="B197" s="394"/>
      <c r="C197" s="394"/>
      <c r="D197" s="394"/>
      <c r="E197" s="394"/>
      <c r="F197" s="394"/>
      <c r="G197" s="394"/>
    </row>
    <row r="198" spans="1:7" hidden="1">
      <c r="A198" s="393"/>
      <c r="B198" s="394"/>
      <c r="C198" s="394"/>
      <c r="D198" s="394"/>
      <c r="E198" s="394"/>
      <c r="F198" s="394"/>
      <c r="G198" s="394"/>
    </row>
    <row r="199" spans="1:7" hidden="1">
      <c r="A199" s="393"/>
      <c r="B199" s="394"/>
      <c r="C199" s="394"/>
      <c r="D199" s="394"/>
      <c r="E199" s="394"/>
      <c r="F199" s="394"/>
      <c r="G199" s="394"/>
    </row>
    <row r="200" spans="1:7" hidden="1">
      <c r="A200" s="393"/>
      <c r="B200" s="394"/>
      <c r="C200" s="394"/>
      <c r="D200" s="394"/>
      <c r="E200" s="394"/>
      <c r="F200" s="394"/>
      <c r="G200" s="394"/>
    </row>
    <row r="201" spans="1:7" hidden="1">
      <c r="A201" s="393"/>
      <c r="B201" s="394"/>
      <c r="C201" s="394"/>
      <c r="D201" s="394"/>
      <c r="E201" s="394"/>
      <c r="F201" s="394"/>
      <c r="G201" s="394"/>
    </row>
    <row r="202" spans="1:7" hidden="1">
      <c r="A202" s="393"/>
      <c r="B202" s="394"/>
      <c r="C202" s="394"/>
      <c r="D202" s="394"/>
      <c r="E202" s="394"/>
      <c r="F202" s="394"/>
      <c r="G202" s="394"/>
    </row>
    <row r="203" spans="1:7" hidden="1">
      <c r="A203" s="393"/>
      <c r="B203" s="394"/>
      <c r="C203" s="394"/>
      <c r="D203" s="394"/>
      <c r="E203" s="394"/>
      <c r="F203" s="394"/>
      <c r="G203" s="394"/>
    </row>
    <row r="204" spans="1:7" hidden="1">
      <c r="A204" s="393"/>
      <c r="B204" s="394"/>
      <c r="C204" s="394"/>
      <c r="D204" s="394"/>
      <c r="E204" s="394"/>
      <c r="F204" s="394"/>
      <c r="G204" s="394"/>
    </row>
    <row r="205" spans="1:7" hidden="1">
      <c r="A205" s="393"/>
      <c r="B205" s="394"/>
      <c r="C205" s="394"/>
      <c r="D205" s="394"/>
      <c r="E205" s="394"/>
      <c r="F205" s="394"/>
      <c r="G205" s="394"/>
    </row>
    <row r="206" spans="1:7" hidden="1">
      <c r="A206" s="393"/>
      <c r="B206" s="394"/>
      <c r="C206" s="394"/>
      <c r="D206" s="394"/>
      <c r="E206" s="394"/>
      <c r="F206" s="394"/>
      <c r="G206" s="394"/>
    </row>
    <row r="207" spans="1:7" hidden="1">
      <c r="A207" s="393"/>
      <c r="B207" s="394"/>
      <c r="C207" s="394"/>
      <c r="D207" s="394"/>
      <c r="E207" s="394"/>
      <c r="F207" s="394"/>
      <c r="G207" s="394"/>
    </row>
    <row r="208" spans="1:7" hidden="1">
      <c r="A208" s="393"/>
      <c r="B208" s="394"/>
      <c r="C208" s="394"/>
      <c r="D208" s="394"/>
      <c r="E208" s="394"/>
      <c r="F208" s="394"/>
      <c r="G208" s="394"/>
    </row>
    <row r="209" spans="1:7" hidden="1">
      <c r="A209" s="393"/>
      <c r="B209" s="394"/>
      <c r="C209" s="394"/>
      <c r="D209" s="394"/>
      <c r="E209" s="394"/>
      <c r="F209" s="394"/>
      <c r="G209" s="394"/>
    </row>
    <row r="210" spans="1:7" hidden="1">
      <c r="A210" s="393"/>
      <c r="B210" s="394"/>
      <c r="C210" s="394"/>
      <c r="D210" s="394"/>
      <c r="E210" s="394"/>
      <c r="F210" s="394"/>
      <c r="G210" s="394"/>
    </row>
    <row r="211" spans="1:7" hidden="1">
      <c r="A211" s="393"/>
      <c r="B211" s="394"/>
      <c r="C211" s="394"/>
      <c r="D211" s="394"/>
      <c r="E211" s="394"/>
      <c r="F211" s="394"/>
      <c r="G211" s="394"/>
    </row>
    <row r="212" spans="1:7" hidden="1">
      <c r="A212" s="393"/>
      <c r="B212" s="394"/>
      <c r="C212" s="394"/>
      <c r="D212" s="394"/>
      <c r="E212" s="394"/>
      <c r="F212" s="394"/>
      <c r="G212" s="394"/>
    </row>
    <row r="213" spans="1:7" hidden="1">
      <c r="A213" s="393"/>
      <c r="B213" s="394"/>
      <c r="C213" s="394"/>
      <c r="D213" s="394"/>
      <c r="E213" s="394"/>
      <c r="F213" s="394"/>
      <c r="G213" s="394"/>
    </row>
    <row r="214" spans="1:7" hidden="1">
      <c r="A214" s="393"/>
      <c r="B214" s="394"/>
      <c r="C214" s="394"/>
      <c r="D214" s="394"/>
      <c r="E214" s="394"/>
      <c r="F214" s="394"/>
      <c r="G214" s="394"/>
    </row>
    <row r="215" spans="1:7" hidden="1">
      <c r="A215" s="393"/>
      <c r="B215" s="394"/>
      <c r="C215" s="394"/>
      <c r="D215" s="394"/>
      <c r="E215" s="394"/>
      <c r="F215" s="394"/>
      <c r="G215" s="394"/>
    </row>
    <row r="216" spans="1:7" hidden="1">
      <c r="A216" s="393"/>
      <c r="B216" s="394"/>
      <c r="C216" s="394"/>
      <c r="D216" s="394"/>
      <c r="E216" s="394"/>
      <c r="F216" s="394"/>
      <c r="G216" s="394"/>
    </row>
    <row r="217" spans="1:7" hidden="1">
      <c r="A217" s="393"/>
      <c r="B217" s="394"/>
      <c r="C217" s="394"/>
      <c r="D217" s="394"/>
      <c r="E217" s="394"/>
      <c r="F217" s="394"/>
      <c r="G217" s="394"/>
    </row>
    <row r="218" spans="1:7" hidden="1">
      <c r="A218" s="393"/>
      <c r="B218" s="394"/>
      <c r="C218" s="394"/>
      <c r="D218" s="394"/>
      <c r="E218" s="394"/>
      <c r="F218" s="394"/>
      <c r="G218" s="394"/>
    </row>
    <row r="219" spans="1:7" hidden="1">
      <c r="A219" s="393"/>
      <c r="B219" s="394"/>
      <c r="C219" s="394"/>
      <c r="D219" s="394"/>
      <c r="E219" s="394"/>
      <c r="F219" s="394"/>
      <c r="G219" s="394"/>
    </row>
    <row r="220" spans="1:7" hidden="1">
      <c r="A220" s="393"/>
      <c r="B220" s="394"/>
      <c r="C220" s="394"/>
      <c r="D220" s="394"/>
      <c r="E220" s="394"/>
      <c r="F220" s="394"/>
      <c r="G220" s="394"/>
    </row>
    <row r="221" spans="1:7" hidden="1">
      <c r="A221" s="393"/>
      <c r="B221" s="394"/>
      <c r="C221" s="394"/>
      <c r="D221" s="394"/>
      <c r="E221" s="394"/>
      <c r="F221" s="394"/>
      <c r="G221" s="394"/>
    </row>
    <row r="222" spans="1:7" hidden="1">
      <c r="A222" s="393"/>
      <c r="B222" s="394"/>
      <c r="C222" s="394"/>
      <c r="D222" s="394"/>
      <c r="E222" s="394"/>
      <c r="F222" s="394"/>
      <c r="G222" s="394"/>
    </row>
    <row r="223" spans="1:7" hidden="1">
      <c r="A223" s="393"/>
      <c r="B223" s="394"/>
      <c r="C223" s="394"/>
      <c r="D223" s="394"/>
      <c r="E223" s="394"/>
      <c r="F223" s="394"/>
      <c r="G223" s="394"/>
    </row>
    <row r="224" spans="1:7" hidden="1">
      <c r="A224" s="393"/>
      <c r="B224" s="394"/>
      <c r="C224" s="394"/>
      <c r="D224" s="394"/>
      <c r="E224" s="394"/>
      <c r="F224" s="394"/>
      <c r="G224" s="394"/>
    </row>
    <row r="225" spans="1:7" hidden="1">
      <c r="A225" s="393"/>
      <c r="B225" s="394"/>
      <c r="C225" s="394"/>
      <c r="D225" s="394"/>
      <c r="E225" s="394"/>
      <c r="F225" s="394"/>
      <c r="G225" s="394"/>
    </row>
    <row r="226" spans="1:7" hidden="1">
      <c r="A226" s="393"/>
      <c r="B226" s="394"/>
      <c r="C226" s="394"/>
      <c r="D226" s="394"/>
      <c r="E226" s="394"/>
      <c r="F226" s="394"/>
      <c r="G226" s="394"/>
    </row>
    <row r="227" spans="1:7" hidden="1">
      <c r="A227" s="393"/>
      <c r="B227" s="394"/>
      <c r="C227" s="394"/>
      <c r="D227" s="394"/>
      <c r="E227" s="394"/>
      <c r="F227" s="394"/>
      <c r="G227" s="394"/>
    </row>
    <row r="228" spans="1:7" hidden="1">
      <c r="A228" s="393"/>
      <c r="B228" s="394"/>
      <c r="C228" s="394"/>
      <c r="D228" s="394"/>
      <c r="E228" s="394"/>
      <c r="F228" s="394"/>
      <c r="G228" s="394"/>
    </row>
    <row r="229" spans="1:7" hidden="1">
      <c r="A229" s="393"/>
      <c r="B229" s="394"/>
      <c r="C229" s="394"/>
      <c r="D229" s="394"/>
      <c r="E229" s="394"/>
      <c r="F229" s="394"/>
      <c r="G229" s="394"/>
    </row>
    <row r="230" spans="1:7" hidden="1">
      <c r="A230" s="393"/>
      <c r="B230" s="394"/>
      <c r="C230" s="394"/>
      <c r="D230" s="394"/>
      <c r="E230" s="394"/>
      <c r="F230" s="394"/>
      <c r="G230" s="394"/>
    </row>
    <row r="231" spans="1:7" hidden="1">
      <c r="A231" s="393"/>
      <c r="B231" s="394"/>
      <c r="C231" s="394"/>
      <c r="D231" s="394"/>
      <c r="E231" s="394"/>
      <c r="F231" s="394"/>
      <c r="G231" s="394"/>
    </row>
    <row r="232" spans="1:7" hidden="1">
      <c r="A232" s="393"/>
      <c r="B232" s="394"/>
      <c r="C232" s="394"/>
      <c r="D232" s="394"/>
      <c r="E232" s="394"/>
      <c r="F232" s="394"/>
      <c r="G232" s="394"/>
    </row>
    <row r="233" spans="1:7" hidden="1">
      <c r="A233" s="393"/>
      <c r="B233" s="394"/>
      <c r="C233" s="394"/>
      <c r="D233" s="394"/>
      <c r="E233" s="394"/>
      <c r="F233" s="394"/>
      <c r="G233" s="394"/>
    </row>
    <row r="234" spans="1:7" hidden="1">
      <c r="A234" s="393"/>
      <c r="B234" s="394"/>
      <c r="C234" s="394"/>
      <c r="D234" s="394"/>
      <c r="E234" s="394"/>
      <c r="F234" s="394"/>
      <c r="G234" s="394"/>
    </row>
    <row r="235" spans="1:7" hidden="1">
      <c r="A235" s="393"/>
      <c r="B235" s="394"/>
      <c r="C235" s="394"/>
      <c r="D235" s="394"/>
      <c r="E235" s="394"/>
      <c r="F235" s="394"/>
      <c r="G235" s="394"/>
    </row>
    <row r="236" spans="1:7" hidden="1">
      <c r="A236" s="393"/>
      <c r="B236" s="394"/>
      <c r="C236" s="394"/>
      <c r="D236" s="394"/>
      <c r="E236" s="394"/>
      <c r="F236" s="394"/>
      <c r="G236" s="394"/>
    </row>
    <row r="237" spans="1:7" hidden="1">
      <c r="A237" s="393"/>
      <c r="B237" s="394"/>
      <c r="C237" s="394"/>
      <c r="D237" s="394"/>
      <c r="E237" s="394"/>
      <c r="F237" s="394"/>
      <c r="G237" s="394"/>
    </row>
    <row r="238" spans="1:7" hidden="1">
      <c r="A238" s="393"/>
      <c r="B238" s="394"/>
      <c r="C238" s="394"/>
      <c r="D238" s="394"/>
      <c r="E238" s="394"/>
      <c r="F238" s="394"/>
      <c r="G238" s="394"/>
    </row>
    <row r="239" spans="1:7" hidden="1">
      <c r="A239" s="393"/>
      <c r="B239" s="394"/>
      <c r="C239" s="394"/>
      <c r="D239" s="394"/>
      <c r="E239" s="394"/>
      <c r="F239" s="394"/>
      <c r="G239" s="394"/>
    </row>
    <row r="240" spans="1:7" hidden="1">
      <c r="A240" s="393"/>
      <c r="B240" s="394"/>
      <c r="C240" s="394"/>
      <c r="D240" s="394"/>
      <c r="E240" s="394"/>
      <c r="F240" s="394"/>
      <c r="G240" s="394"/>
    </row>
    <row r="241" spans="1:7" hidden="1">
      <c r="A241" s="393"/>
      <c r="B241" s="394"/>
      <c r="C241" s="394"/>
      <c r="D241" s="394"/>
      <c r="E241" s="394"/>
      <c r="F241" s="394"/>
      <c r="G241" s="394"/>
    </row>
    <row r="242" spans="1:7" hidden="1">
      <c r="A242" s="393"/>
      <c r="B242" s="394"/>
      <c r="C242" s="394"/>
      <c r="D242" s="394"/>
      <c r="E242" s="394"/>
      <c r="F242" s="394"/>
      <c r="G242" s="394"/>
    </row>
    <row r="243" spans="1:7" hidden="1">
      <c r="A243" s="393"/>
      <c r="B243" s="394"/>
      <c r="C243" s="394"/>
      <c r="D243" s="394"/>
      <c r="E243" s="394"/>
      <c r="F243" s="394"/>
      <c r="G243" s="394"/>
    </row>
    <row r="244" spans="1:7" hidden="1">
      <c r="A244" s="393"/>
      <c r="B244" s="394"/>
      <c r="C244" s="394"/>
      <c r="D244" s="394"/>
      <c r="E244" s="394"/>
      <c r="F244" s="394"/>
      <c r="G244" s="394"/>
    </row>
    <row r="245" spans="1:7" hidden="1">
      <c r="A245" s="393"/>
      <c r="B245" s="394"/>
      <c r="C245" s="394"/>
      <c r="D245" s="394"/>
      <c r="E245" s="394"/>
      <c r="F245" s="394"/>
      <c r="G245" s="394"/>
    </row>
    <row r="246" spans="1:7" hidden="1">
      <c r="A246" s="393"/>
      <c r="B246" s="394"/>
      <c r="C246" s="394"/>
      <c r="D246" s="394"/>
      <c r="E246" s="394"/>
      <c r="F246" s="394"/>
      <c r="G246" s="394"/>
    </row>
    <row r="247" spans="1:7" hidden="1">
      <c r="A247" s="393"/>
      <c r="B247" s="394"/>
      <c r="C247" s="394"/>
      <c r="D247" s="394"/>
      <c r="E247" s="394"/>
      <c r="F247" s="394"/>
      <c r="G247" s="394"/>
    </row>
    <row r="248" spans="1:7" hidden="1">
      <c r="A248" s="393"/>
      <c r="B248" s="394"/>
      <c r="C248" s="394"/>
      <c r="D248" s="394"/>
      <c r="E248" s="394"/>
      <c r="F248" s="394"/>
      <c r="G248" s="394"/>
    </row>
    <row r="249" spans="1:7" hidden="1">
      <c r="A249" s="393"/>
      <c r="B249" s="394"/>
      <c r="C249" s="394"/>
      <c r="D249" s="394"/>
      <c r="E249" s="394"/>
      <c r="F249" s="394"/>
      <c r="G249" s="394"/>
    </row>
    <row r="250" spans="1:7" hidden="1">
      <c r="A250" s="393"/>
      <c r="B250" s="394"/>
      <c r="C250" s="394"/>
      <c r="D250" s="394"/>
      <c r="E250" s="394"/>
      <c r="F250" s="394"/>
      <c r="G250" s="394"/>
    </row>
    <row r="251" spans="1:7" hidden="1">
      <c r="A251" s="393"/>
      <c r="B251" s="394"/>
      <c r="C251" s="394"/>
      <c r="D251" s="394"/>
      <c r="E251" s="394"/>
      <c r="F251" s="394"/>
      <c r="G251" s="394"/>
    </row>
    <row r="252" spans="1:7" hidden="1">
      <c r="A252" s="393"/>
      <c r="B252" s="394"/>
      <c r="C252" s="394"/>
      <c r="D252" s="394"/>
      <c r="E252" s="394"/>
      <c r="F252" s="394"/>
      <c r="G252" s="394"/>
    </row>
    <row r="253" spans="1:7" hidden="1">
      <c r="A253" s="393"/>
      <c r="B253" s="394"/>
      <c r="C253" s="394"/>
      <c r="D253" s="394"/>
      <c r="E253" s="394"/>
      <c r="F253" s="394"/>
      <c r="G253" s="394"/>
    </row>
    <row r="254" spans="1:7" hidden="1">
      <c r="A254" s="393"/>
      <c r="B254" s="394"/>
      <c r="C254" s="394"/>
      <c r="D254" s="394"/>
      <c r="E254" s="394"/>
      <c r="F254" s="394"/>
      <c r="G254" s="394"/>
    </row>
    <row r="255" spans="1:7" hidden="1">
      <c r="A255" s="393"/>
      <c r="B255" s="394"/>
      <c r="C255" s="394"/>
      <c r="D255" s="394"/>
      <c r="E255" s="394"/>
      <c r="F255" s="394"/>
      <c r="G255" s="394"/>
    </row>
    <row r="256" spans="1:7" hidden="1">
      <c r="A256" s="393"/>
      <c r="B256" s="394"/>
      <c r="C256" s="394"/>
      <c r="D256" s="394"/>
      <c r="E256" s="394"/>
      <c r="F256" s="394"/>
      <c r="G256" s="394"/>
    </row>
    <row r="257" spans="1:7" hidden="1">
      <c r="A257" s="393"/>
      <c r="B257" s="394"/>
      <c r="C257" s="394"/>
      <c r="D257" s="394"/>
      <c r="E257" s="394"/>
      <c r="F257" s="394"/>
      <c r="G257" s="394"/>
    </row>
    <row r="258" spans="1:7" hidden="1">
      <c r="A258" s="393"/>
      <c r="B258" s="394"/>
      <c r="C258" s="394"/>
      <c r="D258" s="394"/>
      <c r="E258" s="394"/>
      <c r="F258" s="394"/>
      <c r="G258" s="394"/>
    </row>
    <row r="259" spans="1:7" hidden="1">
      <c r="A259" s="393"/>
      <c r="B259" s="394"/>
      <c r="C259" s="394"/>
      <c r="D259" s="394"/>
      <c r="E259" s="394"/>
      <c r="F259" s="394"/>
      <c r="G259" s="394"/>
    </row>
    <row r="260" spans="1:7" hidden="1">
      <c r="A260" s="393"/>
      <c r="B260" s="394"/>
      <c r="C260" s="394"/>
      <c r="D260" s="394"/>
      <c r="E260" s="394"/>
      <c r="F260" s="394"/>
      <c r="G260" s="394"/>
    </row>
    <row r="261" spans="1:7" hidden="1">
      <c r="A261" s="393"/>
      <c r="B261" s="394"/>
      <c r="C261" s="394"/>
      <c r="D261" s="394"/>
      <c r="E261" s="394"/>
      <c r="F261" s="394"/>
      <c r="G261" s="394"/>
    </row>
    <row r="262" spans="1:7" hidden="1">
      <c r="A262" s="393"/>
      <c r="B262" s="394"/>
      <c r="C262" s="394"/>
      <c r="D262" s="394"/>
      <c r="E262" s="394"/>
      <c r="F262" s="394"/>
      <c r="G262" s="394"/>
    </row>
    <row r="263" spans="1:7" hidden="1">
      <c r="A263" s="393"/>
      <c r="B263" s="394"/>
      <c r="C263" s="394"/>
      <c r="D263" s="394"/>
      <c r="E263" s="394"/>
      <c r="F263" s="394"/>
      <c r="G263" s="394"/>
    </row>
    <row r="264" spans="1:7" hidden="1">
      <c r="A264" s="393"/>
      <c r="B264" s="394"/>
      <c r="C264" s="394"/>
      <c r="D264" s="394"/>
      <c r="E264" s="394"/>
      <c r="F264" s="394"/>
      <c r="G264" s="394"/>
    </row>
    <row r="265" spans="1:7" hidden="1">
      <c r="A265" s="393"/>
      <c r="B265" s="394"/>
      <c r="C265" s="394"/>
      <c r="D265" s="394"/>
      <c r="E265" s="394"/>
      <c r="F265" s="394"/>
      <c r="G265" s="394"/>
    </row>
    <row r="266" spans="1:7" hidden="1">
      <c r="A266" s="393"/>
      <c r="B266" s="394"/>
      <c r="C266" s="394"/>
      <c r="D266" s="394"/>
      <c r="E266" s="394"/>
      <c r="F266" s="394"/>
      <c r="G266" s="394"/>
    </row>
    <row r="267" spans="1:7" hidden="1">
      <c r="A267" s="393"/>
      <c r="B267" s="394"/>
      <c r="C267" s="394"/>
      <c r="D267" s="394"/>
      <c r="E267" s="394"/>
      <c r="F267" s="394"/>
      <c r="G267" s="394"/>
    </row>
    <row r="268" spans="1:7" hidden="1">
      <c r="A268" s="393"/>
      <c r="B268" s="394"/>
      <c r="C268" s="394"/>
      <c r="D268" s="394"/>
      <c r="E268" s="394"/>
      <c r="F268" s="394"/>
      <c r="G268" s="394"/>
    </row>
    <row r="269" spans="1:7" hidden="1">
      <c r="A269" s="393"/>
      <c r="B269" s="394"/>
      <c r="C269" s="394"/>
      <c r="D269" s="394"/>
      <c r="E269" s="394"/>
      <c r="F269" s="394"/>
      <c r="G269" s="394"/>
    </row>
    <row r="270" spans="1:7" hidden="1">
      <c r="A270" s="393"/>
      <c r="B270" s="394"/>
      <c r="C270" s="394"/>
      <c r="D270" s="394"/>
      <c r="E270" s="394"/>
      <c r="F270" s="394"/>
      <c r="G270" s="394"/>
    </row>
    <row r="271" spans="1:7" hidden="1">
      <c r="A271" s="393"/>
      <c r="B271" s="394"/>
      <c r="C271" s="394"/>
      <c r="D271" s="394"/>
      <c r="E271" s="394"/>
      <c r="F271" s="394"/>
      <c r="G271" s="394"/>
    </row>
    <row r="272" spans="1:7" hidden="1">
      <c r="A272" s="393"/>
      <c r="B272" s="394"/>
      <c r="C272" s="394"/>
      <c r="D272" s="394"/>
      <c r="E272" s="394"/>
      <c r="F272" s="394"/>
      <c r="G272" s="394"/>
    </row>
    <row r="273" spans="1:7" hidden="1">
      <c r="A273" s="393"/>
      <c r="B273" s="394"/>
      <c r="C273" s="394"/>
      <c r="D273" s="394"/>
      <c r="E273" s="394"/>
      <c r="F273" s="394"/>
      <c r="G273" s="394"/>
    </row>
    <row r="274" spans="1:7" hidden="1">
      <c r="A274" s="393"/>
      <c r="B274" s="394"/>
      <c r="C274" s="394"/>
      <c r="D274" s="394"/>
      <c r="E274" s="394"/>
      <c r="F274" s="394"/>
      <c r="G274" s="394"/>
    </row>
    <row r="275" spans="1:7" hidden="1">
      <c r="A275" s="393"/>
      <c r="B275" s="394"/>
      <c r="C275" s="394"/>
      <c r="D275" s="394"/>
      <c r="E275" s="394"/>
      <c r="F275" s="394"/>
      <c r="G275" s="394"/>
    </row>
    <row r="276" spans="1:7" hidden="1">
      <c r="A276" s="393"/>
      <c r="B276" s="394"/>
      <c r="C276" s="394"/>
      <c r="D276" s="394"/>
      <c r="E276" s="394"/>
      <c r="F276" s="394"/>
      <c r="G276" s="394"/>
    </row>
    <row r="277" spans="1:7" hidden="1">
      <c r="A277" s="393"/>
      <c r="B277" s="394"/>
      <c r="C277" s="394"/>
      <c r="D277" s="394"/>
      <c r="E277" s="394"/>
      <c r="F277" s="394"/>
      <c r="G277" s="394"/>
    </row>
    <row r="278" spans="1:7" hidden="1">
      <c r="A278" s="393"/>
      <c r="B278" s="394"/>
      <c r="C278" s="394"/>
      <c r="D278" s="394"/>
      <c r="E278" s="394"/>
      <c r="F278" s="394"/>
      <c r="G278" s="394"/>
    </row>
    <row r="279" spans="1:7" hidden="1">
      <c r="A279" s="393"/>
      <c r="B279" s="394"/>
      <c r="C279" s="394"/>
      <c r="D279" s="394"/>
      <c r="E279" s="394"/>
      <c r="F279" s="394"/>
      <c r="G279" s="394"/>
    </row>
    <row r="280" spans="1:7" hidden="1">
      <c r="A280" s="393"/>
      <c r="B280" s="394"/>
      <c r="C280" s="394"/>
      <c r="D280" s="394"/>
      <c r="E280" s="394"/>
      <c r="F280" s="394"/>
      <c r="G280" s="394"/>
    </row>
    <row r="281" spans="1:7" hidden="1">
      <c r="A281" s="393"/>
      <c r="B281" s="394"/>
      <c r="C281" s="394"/>
      <c r="D281" s="394"/>
      <c r="E281" s="394"/>
      <c r="F281" s="394"/>
      <c r="G281" s="394"/>
    </row>
    <row r="282" spans="1:7" hidden="1">
      <c r="A282" s="393"/>
      <c r="B282" s="394"/>
      <c r="C282" s="394"/>
      <c r="D282" s="394"/>
      <c r="E282" s="394"/>
      <c r="F282" s="394"/>
      <c r="G282" s="394"/>
    </row>
    <row r="283" spans="1:7" hidden="1">
      <c r="A283" s="393"/>
      <c r="B283" s="394"/>
      <c r="C283" s="394"/>
      <c r="D283" s="394"/>
      <c r="E283" s="394"/>
      <c r="F283" s="394"/>
      <c r="G283" s="394"/>
    </row>
    <row r="284" spans="1:7" hidden="1">
      <c r="A284" s="393"/>
      <c r="B284" s="394"/>
      <c r="C284" s="394"/>
      <c r="D284" s="394"/>
      <c r="E284" s="394"/>
      <c r="F284" s="394"/>
      <c r="G284" s="394"/>
    </row>
    <row r="285" spans="1:7" hidden="1">
      <c r="A285" s="393"/>
      <c r="B285" s="394"/>
      <c r="C285" s="394"/>
      <c r="D285" s="394"/>
      <c r="E285" s="394"/>
      <c r="F285" s="394"/>
      <c r="G285" s="394"/>
    </row>
    <row r="286" spans="1:7" hidden="1">
      <c r="A286" s="393"/>
      <c r="B286" s="394"/>
      <c r="C286" s="394"/>
      <c r="D286" s="394"/>
      <c r="E286" s="394"/>
      <c r="F286" s="394"/>
      <c r="G286" s="394"/>
    </row>
    <row r="287" spans="1:7" hidden="1">
      <c r="A287" s="393"/>
      <c r="B287" s="394"/>
      <c r="C287" s="394"/>
      <c r="D287" s="394"/>
      <c r="E287" s="394"/>
      <c r="F287" s="394"/>
      <c r="G287" s="394"/>
    </row>
    <row r="288" spans="1:7" hidden="1">
      <c r="A288" s="393"/>
      <c r="B288" s="394"/>
      <c r="C288" s="394"/>
      <c r="D288" s="394"/>
      <c r="E288" s="394"/>
      <c r="F288" s="394"/>
      <c r="G288" s="394"/>
    </row>
    <row r="289" spans="1:7" hidden="1">
      <c r="A289" s="393"/>
      <c r="B289" s="394"/>
      <c r="C289" s="394"/>
      <c r="D289" s="394"/>
      <c r="E289" s="394"/>
      <c r="F289" s="394"/>
      <c r="G289" s="394"/>
    </row>
    <row r="290" spans="1:7" hidden="1">
      <c r="A290" s="393"/>
      <c r="B290" s="394"/>
      <c r="C290" s="394"/>
      <c r="D290" s="394"/>
      <c r="E290" s="394"/>
      <c r="F290" s="394"/>
      <c r="G290" s="394"/>
    </row>
    <row r="291" spans="1:7" hidden="1">
      <c r="A291" s="393"/>
      <c r="B291" s="394"/>
      <c r="C291" s="394"/>
      <c r="D291" s="394"/>
      <c r="E291" s="394"/>
      <c r="F291" s="394"/>
      <c r="G291" s="394"/>
    </row>
    <row r="292" spans="1:7" hidden="1">
      <c r="A292" s="393"/>
      <c r="B292" s="394"/>
      <c r="C292" s="394"/>
      <c r="D292" s="394"/>
      <c r="E292" s="394"/>
      <c r="F292" s="394"/>
      <c r="G292" s="394"/>
    </row>
    <row r="293" spans="1:7" hidden="1">
      <c r="A293" s="393"/>
      <c r="B293" s="394"/>
      <c r="C293" s="394"/>
      <c r="D293" s="394"/>
      <c r="E293" s="394"/>
      <c r="F293" s="394"/>
      <c r="G293" s="394"/>
    </row>
    <row r="294" spans="1:7" hidden="1">
      <c r="A294" s="393"/>
      <c r="B294" s="394"/>
      <c r="C294" s="394"/>
      <c r="D294" s="394"/>
      <c r="E294" s="394"/>
      <c r="F294" s="394"/>
      <c r="G294" s="394"/>
    </row>
    <row r="295" spans="1:7" hidden="1">
      <c r="A295" s="393"/>
      <c r="B295" s="394"/>
      <c r="C295" s="394"/>
      <c r="D295" s="394"/>
      <c r="E295" s="394"/>
      <c r="F295" s="394"/>
      <c r="G295" s="394"/>
    </row>
    <row r="296" spans="1:7" hidden="1">
      <c r="A296" s="393"/>
      <c r="B296" s="394"/>
      <c r="C296" s="394"/>
      <c r="D296" s="394"/>
      <c r="E296" s="394"/>
      <c r="F296" s="394"/>
      <c r="G296" s="394"/>
    </row>
    <row r="297" spans="1:7" hidden="1">
      <c r="A297" s="393"/>
      <c r="B297" s="394"/>
      <c r="C297" s="394"/>
      <c r="D297" s="394"/>
      <c r="E297" s="394"/>
      <c r="F297" s="394"/>
      <c r="G297" s="394"/>
    </row>
    <row r="298" spans="1:7" hidden="1">
      <c r="A298" s="393"/>
      <c r="B298" s="394"/>
      <c r="C298" s="394"/>
      <c r="D298" s="394"/>
      <c r="E298" s="394"/>
      <c r="F298" s="394"/>
      <c r="G298" s="394"/>
    </row>
    <row r="299" spans="1:7" hidden="1">
      <c r="A299" s="393"/>
      <c r="B299" s="394"/>
      <c r="C299" s="394"/>
      <c r="D299" s="394"/>
      <c r="E299" s="394"/>
      <c r="F299" s="394"/>
      <c r="G299" s="394"/>
    </row>
    <row r="300" spans="1:7" hidden="1">
      <c r="A300" s="393"/>
      <c r="B300" s="394"/>
      <c r="C300" s="394"/>
      <c r="D300" s="394"/>
      <c r="E300" s="394"/>
      <c r="F300" s="394"/>
      <c r="G300" s="394"/>
    </row>
    <row r="301" spans="1:7" hidden="1">
      <c r="A301" s="393"/>
      <c r="B301" s="394"/>
      <c r="C301" s="394"/>
      <c r="D301" s="394"/>
      <c r="E301" s="394"/>
      <c r="F301" s="394"/>
      <c r="G301" s="394"/>
    </row>
    <row r="302" spans="1:7" hidden="1">
      <c r="A302" s="393"/>
      <c r="B302" s="394"/>
      <c r="C302" s="394"/>
      <c r="D302" s="394"/>
      <c r="E302" s="394"/>
      <c r="F302" s="394"/>
      <c r="G302" s="394"/>
    </row>
    <row r="303" spans="1:7" hidden="1">
      <c r="A303" s="393"/>
      <c r="B303" s="394"/>
      <c r="C303" s="394"/>
      <c r="D303" s="394"/>
      <c r="E303" s="394"/>
      <c r="F303" s="394"/>
      <c r="G303" s="394"/>
    </row>
    <row r="304" spans="1:7" hidden="1">
      <c r="A304" s="393"/>
      <c r="B304" s="394"/>
      <c r="C304" s="394"/>
      <c r="D304" s="394"/>
      <c r="E304" s="394"/>
      <c r="F304" s="394"/>
      <c r="G304" s="394"/>
    </row>
    <row r="305" spans="1:7" hidden="1">
      <c r="A305" s="393"/>
      <c r="B305" s="394"/>
      <c r="C305" s="394"/>
      <c r="D305" s="394"/>
      <c r="E305" s="394"/>
      <c r="F305" s="394"/>
      <c r="G305" s="394"/>
    </row>
    <row r="306" spans="1:7" hidden="1">
      <c r="A306" s="393"/>
      <c r="B306" s="394"/>
      <c r="C306" s="394"/>
      <c r="D306" s="394"/>
      <c r="E306" s="394"/>
      <c r="F306" s="394"/>
      <c r="G306" s="394"/>
    </row>
    <row r="307" spans="1:7" hidden="1">
      <c r="A307" s="393"/>
      <c r="B307" s="394"/>
      <c r="C307" s="394"/>
      <c r="D307" s="394"/>
      <c r="E307" s="394"/>
      <c r="F307" s="394"/>
      <c r="G307" s="394"/>
    </row>
    <row r="308" spans="1:7" hidden="1">
      <c r="A308" s="393"/>
      <c r="B308" s="394"/>
      <c r="C308" s="394"/>
      <c r="D308" s="394"/>
      <c r="E308" s="394"/>
      <c r="F308" s="394"/>
      <c r="G308" s="394"/>
    </row>
    <row r="309" spans="1:7" hidden="1">
      <c r="A309" s="393"/>
      <c r="B309" s="394"/>
      <c r="C309" s="394"/>
      <c r="D309" s="394"/>
      <c r="E309" s="394"/>
      <c r="F309" s="394"/>
      <c r="G309" s="394"/>
    </row>
    <row r="310" spans="1:7" hidden="1">
      <c r="A310" s="393"/>
      <c r="B310" s="394"/>
      <c r="C310" s="394"/>
      <c r="D310" s="394"/>
      <c r="E310" s="394"/>
      <c r="F310" s="394"/>
      <c r="G310" s="394"/>
    </row>
    <row r="311" spans="1:7" hidden="1">
      <c r="A311" s="393"/>
      <c r="B311" s="394"/>
      <c r="C311" s="394"/>
      <c r="D311" s="394"/>
      <c r="E311" s="394"/>
      <c r="F311" s="394"/>
      <c r="G311" s="394"/>
    </row>
    <row r="312" spans="1:7" hidden="1">
      <c r="A312" s="393"/>
      <c r="B312" s="394"/>
      <c r="C312" s="394"/>
      <c r="D312" s="394"/>
      <c r="E312" s="394"/>
      <c r="F312" s="394"/>
      <c r="G312" s="394"/>
    </row>
    <row r="313" spans="1:7" hidden="1">
      <c r="A313" s="393"/>
      <c r="B313" s="394"/>
      <c r="C313" s="394"/>
      <c r="D313" s="394"/>
      <c r="E313" s="394"/>
      <c r="F313" s="394"/>
      <c r="G313" s="394"/>
    </row>
    <row r="314" spans="1:7" hidden="1">
      <c r="A314" s="393"/>
      <c r="B314" s="394"/>
      <c r="C314" s="394"/>
      <c r="D314" s="394"/>
      <c r="E314" s="394"/>
      <c r="F314" s="394"/>
      <c r="G314" s="394"/>
    </row>
    <row r="315" spans="1:7" hidden="1">
      <c r="A315" s="393"/>
      <c r="B315" s="394"/>
      <c r="C315" s="394"/>
      <c r="D315" s="394"/>
      <c r="E315" s="394"/>
      <c r="F315" s="394"/>
      <c r="G315" s="394"/>
    </row>
    <row r="316" spans="1:7" hidden="1">
      <c r="A316" s="393"/>
      <c r="B316" s="394"/>
      <c r="C316" s="394"/>
      <c r="D316" s="394"/>
      <c r="E316" s="394"/>
      <c r="F316" s="394"/>
      <c r="G316" s="394"/>
    </row>
    <row r="317" spans="1:7" hidden="1">
      <c r="A317" s="393"/>
      <c r="B317" s="394"/>
      <c r="C317" s="394"/>
      <c r="D317" s="394"/>
      <c r="E317" s="394"/>
      <c r="F317" s="394"/>
      <c r="G317" s="394"/>
    </row>
    <row r="318" spans="1:7" hidden="1">
      <c r="A318" s="393"/>
      <c r="B318" s="394"/>
      <c r="C318" s="394"/>
      <c r="D318" s="394"/>
      <c r="E318" s="394"/>
      <c r="F318" s="394"/>
      <c r="G318" s="394"/>
    </row>
    <row r="319" spans="1:7" hidden="1">
      <c r="A319" s="393"/>
      <c r="B319" s="394"/>
      <c r="C319" s="394"/>
      <c r="D319" s="394"/>
      <c r="E319" s="394"/>
      <c r="F319" s="394"/>
      <c r="G319" s="394"/>
    </row>
    <row r="320" spans="1:7" hidden="1">
      <c r="A320" s="393"/>
      <c r="B320" s="394"/>
      <c r="C320" s="394"/>
      <c r="D320" s="394"/>
      <c r="E320" s="394"/>
      <c r="F320" s="394"/>
      <c r="G320" s="394"/>
    </row>
    <row r="321" spans="1:7" hidden="1">
      <c r="A321" s="393"/>
      <c r="B321" s="394"/>
      <c r="C321" s="394"/>
      <c r="D321" s="394"/>
      <c r="E321" s="394"/>
      <c r="F321" s="394"/>
      <c r="G321" s="394"/>
    </row>
    <row r="322" spans="1:7" hidden="1">
      <c r="A322" s="393"/>
      <c r="B322" s="394"/>
      <c r="C322" s="394"/>
      <c r="D322" s="394"/>
      <c r="E322" s="394"/>
      <c r="F322" s="394"/>
      <c r="G322" s="394"/>
    </row>
    <row r="323" spans="1:7" hidden="1">
      <c r="A323" s="393"/>
      <c r="B323" s="394"/>
      <c r="C323" s="394"/>
      <c r="D323" s="394"/>
      <c r="E323" s="394"/>
      <c r="F323" s="394"/>
      <c r="G323" s="394"/>
    </row>
    <row r="324" spans="1:7" hidden="1">
      <c r="A324" s="393"/>
      <c r="B324" s="394"/>
      <c r="C324" s="394"/>
      <c r="D324" s="394"/>
      <c r="E324" s="394"/>
      <c r="F324" s="394"/>
      <c r="G324" s="394"/>
    </row>
    <row r="325" spans="1:7" hidden="1">
      <c r="A325" s="393"/>
      <c r="B325" s="394"/>
      <c r="C325" s="394"/>
      <c r="D325" s="394"/>
      <c r="E325" s="394"/>
      <c r="F325" s="394"/>
      <c r="G325" s="394"/>
    </row>
    <row r="326" spans="1:7" hidden="1">
      <c r="A326" s="393"/>
      <c r="B326" s="394"/>
      <c r="C326" s="394"/>
      <c r="D326" s="394"/>
      <c r="E326" s="394"/>
      <c r="F326" s="394"/>
      <c r="G326" s="394"/>
    </row>
    <row r="327" spans="1:7" hidden="1">
      <c r="A327" s="393"/>
      <c r="B327" s="394"/>
      <c r="C327" s="394"/>
      <c r="D327" s="394"/>
      <c r="E327" s="394"/>
      <c r="F327" s="394"/>
      <c r="G327" s="394"/>
    </row>
    <row r="328" spans="1:7" hidden="1">
      <c r="A328" s="393"/>
      <c r="B328" s="394"/>
      <c r="C328" s="394"/>
      <c r="D328" s="394"/>
      <c r="E328" s="394"/>
      <c r="F328" s="394"/>
      <c r="G328" s="394"/>
    </row>
    <row r="329" spans="1:7" hidden="1">
      <c r="A329" s="393"/>
      <c r="B329" s="394"/>
      <c r="C329" s="394"/>
      <c r="D329" s="394"/>
      <c r="E329" s="394"/>
      <c r="F329" s="394"/>
      <c r="G329" s="394"/>
    </row>
    <row r="330" spans="1:7" hidden="1">
      <c r="A330" s="393"/>
      <c r="B330" s="394"/>
      <c r="C330" s="394"/>
      <c r="D330" s="394"/>
      <c r="E330" s="394"/>
      <c r="F330" s="394"/>
      <c r="G330" s="394"/>
    </row>
    <row r="331" spans="1:7" hidden="1">
      <c r="A331" s="393"/>
      <c r="B331" s="394"/>
      <c r="C331" s="394"/>
      <c r="D331" s="394"/>
      <c r="E331" s="394"/>
      <c r="F331" s="394"/>
      <c r="G331" s="394"/>
    </row>
    <row r="332" spans="1:7" hidden="1">
      <c r="A332" s="393"/>
      <c r="B332" s="394"/>
      <c r="C332" s="394"/>
      <c r="D332" s="394"/>
      <c r="E332" s="394"/>
      <c r="F332" s="394"/>
      <c r="G332" s="394"/>
    </row>
    <row r="333" spans="1:7" hidden="1">
      <c r="A333" s="393"/>
      <c r="B333" s="394"/>
      <c r="C333" s="394"/>
      <c r="D333" s="394"/>
      <c r="E333" s="394"/>
      <c r="F333" s="394"/>
      <c r="G333" s="394"/>
    </row>
    <row r="334" spans="1:7" hidden="1">
      <c r="A334" s="393"/>
      <c r="B334" s="394"/>
      <c r="C334" s="394"/>
      <c r="D334" s="394"/>
      <c r="E334" s="394"/>
      <c r="F334" s="394"/>
      <c r="G334" s="394"/>
    </row>
    <row r="335" spans="1:7" hidden="1">
      <c r="A335" s="393"/>
      <c r="B335" s="394"/>
      <c r="C335" s="394"/>
      <c r="D335" s="394"/>
      <c r="E335" s="394"/>
      <c r="F335" s="394"/>
      <c r="G335" s="394"/>
    </row>
    <row r="336" spans="1:7" hidden="1">
      <c r="A336" s="393"/>
      <c r="B336" s="394"/>
      <c r="C336" s="394"/>
      <c r="D336" s="394"/>
      <c r="E336" s="394"/>
      <c r="F336" s="394"/>
      <c r="G336" s="394"/>
    </row>
    <row r="337" spans="1:7" hidden="1">
      <c r="A337" s="393"/>
      <c r="B337" s="394"/>
      <c r="C337" s="394"/>
      <c r="D337" s="394"/>
      <c r="E337" s="394"/>
      <c r="F337" s="394"/>
      <c r="G337" s="394"/>
    </row>
    <row r="338" spans="1:7" hidden="1">
      <c r="A338" s="393"/>
      <c r="B338" s="394"/>
      <c r="C338" s="394"/>
      <c r="D338" s="394"/>
      <c r="E338" s="394"/>
      <c r="F338" s="394"/>
      <c r="G338" s="394"/>
    </row>
    <row r="339" spans="1:7" hidden="1">
      <c r="A339" s="393"/>
      <c r="B339" s="394"/>
      <c r="C339" s="394"/>
      <c r="D339" s="394"/>
      <c r="E339" s="394"/>
      <c r="F339" s="394"/>
      <c r="G339" s="394"/>
    </row>
    <row r="340" spans="1:7" hidden="1">
      <c r="A340" s="393"/>
      <c r="B340" s="394"/>
      <c r="C340" s="394"/>
      <c r="D340" s="394"/>
      <c r="E340" s="394"/>
      <c r="F340" s="394"/>
      <c r="G340" s="394"/>
    </row>
    <row r="341" spans="1:7" hidden="1">
      <c r="A341" s="393"/>
      <c r="B341" s="394"/>
      <c r="C341" s="394"/>
      <c r="D341" s="394"/>
      <c r="E341" s="394"/>
      <c r="F341" s="394"/>
      <c r="G341" s="394"/>
    </row>
    <row r="342" spans="1:7" hidden="1">
      <c r="A342" s="393"/>
      <c r="B342" s="394"/>
      <c r="C342" s="394"/>
      <c r="D342" s="394"/>
      <c r="E342" s="394"/>
      <c r="F342" s="394"/>
      <c r="G342" s="394"/>
    </row>
    <row r="343" spans="1:7" hidden="1">
      <c r="A343" s="393"/>
      <c r="B343" s="394"/>
      <c r="C343" s="394"/>
      <c r="D343" s="394"/>
      <c r="E343" s="394"/>
      <c r="F343" s="394"/>
      <c r="G343" s="394"/>
    </row>
    <row r="344" spans="1:7" hidden="1">
      <c r="A344" s="393"/>
      <c r="B344" s="394"/>
      <c r="C344" s="394"/>
      <c r="D344" s="394"/>
      <c r="E344" s="394"/>
      <c r="F344" s="394"/>
      <c r="G344" s="394"/>
    </row>
    <row r="345" spans="1:7" hidden="1">
      <c r="A345" s="393"/>
      <c r="B345" s="394"/>
      <c r="C345" s="394"/>
      <c r="D345" s="394"/>
      <c r="E345" s="394"/>
      <c r="F345" s="394"/>
      <c r="G345" s="394"/>
    </row>
    <row r="346" spans="1:7" hidden="1">
      <c r="A346" s="393"/>
      <c r="B346" s="394"/>
      <c r="C346" s="394"/>
      <c r="D346" s="394"/>
      <c r="E346" s="394"/>
      <c r="F346" s="394"/>
      <c r="G346" s="394"/>
    </row>
    <row r="347" spans="1:7" hidden="1">
      <c r="A347" s="393"/>
      <c r="B347" s="394"/>
      <c r="C347" s="394"/>
      <c r="D347" s="394"/>
      <c r="E347" s="394"/>
      <c r="F347" s="394"/>
      <c r="G347" s="394"/>
    </row>
    <row r="348" spans="1:7" hidden="1">
      <c r="A348" s="393"/>
      <c r="B348" s="394"/>
      <c r="C348" s="394"/>
      <c r="D348" s="394"/>
      <c r="E348" s="394"/>
      <c r="F348" s="394"/>
      <c r="G348" s="394"/>
    </row>
    <row r="349" spans="1:7" hidden="1">
      <c r="A349" s="393"/>
      <c r="B349" s="394"/>
      <c r="C349" s="394"/>
      <c r="D349" s="394"/>
      <c r="E349" s="394"/>
      <c r="F349" s="394"/>
      <c r="G349" s="394"/>
    </row>
    <row r="350" spans="1:7" hidden="1">
      <c r="A350" s="393"/>
      <c r="B350" s="394"/>
      <c r="C350" s="394"/>
      <c r="D350" s="394"/>
      <c r="E350" s="394"/>
      <c r="F350" s="394"/>
      <c r="G350" s="394"/>
    </row>
    <row r="351" spans="1:7" hidden="1">
      <c r="A351" s="393"/>
      <c r="B351" s="394"/>
      <c r="C351" s="394"/>
      <c r="D351" s="394"/>
      <c r="E351" s="394"/>
      <c r="F351" s="394"/>
      <c r="G351" s="394"/>
    </row>
    <row r="352" spans="1:7" hidden="1">
      <c r="A352" s="393"/>
      <c r="B352" s="394"/>
      <c r="C352" s="394"/>
      <c r="D352" s="394"/>
      <c r="E352" s="394"/>
      <c r="F352" s="394"/>
      <c r="G352" s="394"/>
    </row>
    <row r="353" spans="1:7" hidden="1">
      <c r="A353" s="393"/>
      <c r="B353" s="394"/>
      <c r="C353" s="394"/>
      <c r="D353" s="394"/>
      <c r="E353" s="394"/>
      <c r="F353" s="394"/>
      <c r="G353" s="394"/>
    </row>
    <row r="354" spans="1:7" hidden="1">
      <c r="A354" s="393"/>
      <c r="B354" s="394"/>
      <c r="C354" s="394"/>
      <c r="D354" s="394"/>
      <c r="E354" s="394"/>
      <c r="F354" s="394"/>
      <c r="G354" s="394"/>
    </row>
    <row r="355" spans="1:7" hidden="1">
      <c r="A355" s="393"/>
      <c r="B355" s="394"/>
      <c r="C355" s="394"/>
      <c r="D355" s="394"/>
      <c r="E355" s="394"/>
      <c r="F355" s="394"/>
      <c r="G355" s="394"/>
    </row>
    <row r="356" spans="1:7" hidden="1">
      <c r="A356" s="393"/>
      <c r="B356" s="394"/>
      <c r="C356" s="394"/>
      <c r="D356" s="394"/>
      <c r="E356" s="394"/>
      <c r="F356" s="394"/>
      <c r="G356" s="394"/>
    </row>
    <row r="357" spans="1:7" hidden="1">
      <c r="A357" s="393"/>
      <c r="B357" s="394"/>
      <c r="C357" s="394"/>
      <c r="D357" s="394"/>
      <c r="E357" s="394"/>
      <c r="F357" s="394"/>
      <c r="G357" s="394"/>
    </row>
    <row r="358" spans="1:7" hidden="1">
      <c r="A358" s="393"/>
      <c r="B358" s="394"/>
      <c r="C358" s="394"/>
      <c r="D358" s="394"/>
      <c r="E358" s="394"/>
      <c r="F358" s="394"/>
      <c r="G358" s="394"/>
    </row>
    <row r="359" spans="1:7" hidden="1">
      <c r="A359" s="393"/>
      <c r="B359" s="394"/>
      <c r="C359" s="394"/>
      <c r="D359" s="394"/>
      <c r="E359" s="394"/>
      <c r="F359" s="394"/>
      <c r="G359" s="394"/>
    </row>
    <row r="360" spans="1:7" hidden="1">
      <c r="A360" s="393"/>
      <c r="B360" s="394"/>
      <c r="C360" s="394"/>
      <c r="D360" s="394"/>
      <c r="E360" s="394"/>
      <c r="F360" s="394"/>
      <c r="G360" s="394"/>
    </row>
    <row r="361" spans="1:7" hidden="1">
      <c r="A361" s="393"/>
      <c r="B361" s="394"/>
      <c r="C361" s="394"/>
      <c r="D361" s="394"/>
      <c r="E361" s="394"/>
      <c r="F361" s="394"/>
      <c r="G361" s="394"/>
    </row>
    <row r="362" spans="1:7" hidden="1">
      <c r="A362" s="393"/>
      <c r="B362" s="394"/>
      <c r="C362" s="394"/>
      <c r="D362" s="394"/>
      <c r="E362" s="394"/>
      <c r="F362" s="394"/>
      <c r="G362" s="394"/>
    </row>
    <row r="363" spans="1:7" hidden="1">
      <c r="A363" s="393"/>
      <c r="B363" s="394"/>
      <c r="C363" s="394"/>
      <c r="D363" s="394"/>
      <c r="E363" s="394"/>
      <c r="F363" s="394"/>
      <c r="G363" s="394"/>
    </row>
    <row r="364" spans="1:7" hidden="1">
      <c r="A364" s="393"/>
      <c r="B364" s="394"/>
      <c r="C364" s="394"/>
      <c r="D364" s="394"/>
      <c r="E364" s="394"/>
      <c r="F364" s="394"/>
      <c r="G364" s="394"/>
    </row>
    <row r="365" spans="1:7" hidden="1">
      <c r="A365" s="393"/>
      <c r="B365" s="394"/>
      <c r="C365" s="394"/>
      <c r="D365" s="394"/>
      <c r="E365" s="394"/>
      <c r="F365" s="394"/>
      <c r="G365" s="394"/>
    </row>
    <row r="366" spans="1:7" hidden="1">
      <c r="A366" s="393"/>
      <c r="B366" s="394"/>
      <c r="C366" s="394"/>
      <c r="D366" s="394"/>
      <c r="E366" s="394"/>
      <c r="F366" s="394"/>
      <c r="G366" s="394"/>
    </row>
    <row r="367" spans="1:7" hidden="1">
      <c r="A367" s="393"/>
      <c r="B367" s="394"/>
      <c r="C367" s="394"/>
      <c r="D367" s="394"/>
      <c r="E367" s="394"/>
      <c r="F367" s="394"/>
      <c r="G367" s="394"/>
    </row>
    <row r="368" spans="1:7" hidden="1">
      <c r="A368" s="393"/>
      <c r="B368" s="394"/>
      <c r="C368" s="394"/>
      <c r="D368" s="394"/>
      <c r="E368" s="394"/>
      <c r="F368" s="394"/>
      <c r="G368" s="394"/>
    </row>
    <row r="369" spans="1:7" hidden="1">
      <c r="A369" s="393"/>
      <c r="B369" s="394"/>
      <c r="C369" s="394"/>
      <c r="D369" s="394"/>
      <c r="E369" s="394"/>
      <c r="F369" s="394"/>
      <c r="G369" s="394"/>
    </row>
    <row r="370" spans="1:7" hidden="1">
      <c r="A370" s="393"/>
      <c r="B370" s="394"/>
      <c r="C370" s="394"/>
      <c r="D370" s="394"/>
      <c r="E370" s="394"/>
      <c r="F370" s="394"/>
      <c r="G370" s="394"/>
    </row>
    <row r="371" spans="1:7" hidden="1">
      <c r="A371" s="393"/>
      <c r="B371" s="394"/>
      <c r="C371" s="394"/>
      <c r="D371" s="394"/>
      <c r="E371" s="394"/>
      <c r="F371" s="394"/>
      <c r="G371" s="394"/>
    </row>
    <row r="372" spans="1:7" hidden="1">
      <c r="A372" s="393"/>
      <c r="B372" s="394"/>
      <c r="C372" s="394"/>
      <c r="D372" s="394"/>
      <c r="E372" s="394"/>
      <c r="F372" s="394"/>
      <c r="G372" s="394"/>
    </row>
    <row r="373" spans="1:7" hidden="1">
      <c r="A373" s="393"/>
      <c r="B373" s="394"/>
      <c r="C373" s="394"/>
      <c r="D373" s="394"/>
      <c r="E373" s="394"/>
      <c r="F373" s="394"/>
      <c r="G373" s="394"/>
    </row>
    <row r="374" spans="1:7" hidden="1">
      <c r="A374" s="393"/>
      <c r="B374" s="394"/>
      <c r="C374" s="394"/>
      <c r="D374" s="394"/>
      <c r="E374" s="394"/>
      <c r="F374" s="394"/>
      <c r="G374" s="394"/>
    </row>
    <row r="375" spans="1:7" hidden="1">
      <c r="A375" s="393"/>
      <c r="B375" s="394"/>
      <c r="C375" s="394"/>
      <c r="D375" s="394"/>
      <c r="E375" s="394"/>
      <c r="F375" s="394"/>
      <c r="G375" s="394"/>
    </row>
    <row r="376" spans="1:7" hidden="1">
      <c r="A376" s="393"/>
      <c r="B376" s="394"/>
      <c r="C376" s="394"/>
      <c r="D376" s="394"/>
      <c r="E376" s="394"/>
      <c r="F376" s="394"/>
      <c r="G376" s="394"/>
    </row>
    <row r="377" spans="1:7" hidden="1">
      <c r="A377" s="393"/>
      <c r="B377" s="394"/>
      <c r="C377" s="394"/>
      <c r="D377" s="394"/>
      <c r="E377" s="394"/>
      <c r="F377" s="394"/>
      <c r="G377" s="394"/>
    </row>
    <row r="378" spans="1:7" hidden="1">
      <c r="A378" s="393"/>
      <c r="B378" s="394"/>
      <c r="C378" s="394"/>
      <c r="D378" s="394"/>
      <c r="E378" s="394"/>
      <c r="F378" s="394"/>
      <c r="G378" s="394"/>
    </row>
    <row r="379" spans="1:7" hidden="1">
      <c r="A379" s="393"/>
      <c r="B379" s="394"/>
      <c r="C379" s="394"/>
      <c r="D379" s="394"/>
      <c r="E379" s="394"/>
      <c r="F379" s="394"/>
      <c r="G379" s="394"/>
    </row>
  </sheetData>
  <sheetProtection algorithmName="SHA-512" hashValue="+BRh7O6EtAHYtPw0NVprcuKghhdWqw8YRs8aHTG7N3jwyHEp8aRIRqCwBhkVlymxXA5MfJhzQIu3N8jireyEjA==" saltValue="gHvZWKhKCjrCKfyJPMWmGg==" spinCount="100000" sheet="1" objects="1" scenarios="1"/>
  <mergeCells count="6">
    <mergeCell ref="B1:C2"/>
    <mergeCell ref="U6:Y6"/>
    <mergeCell ref="C21:D22"/>
    <mergeCell ref="C7:E13"/>
    <mergeCell ref="C39:G48"/>
    <mergeCell ref="B3:G3"/>
  </mergeCells>
  <hyperlinks>
    <hyperlink ref="C18" location="Glossary!C39" tooltip="Click for Definition" display="Current Average System Pressure"/>
    <hyperlink ref="C19" location="Glossary!C81" tooltip="Click for Definition" display="Total Annual Real Losses"/>
    <hyperlink ref="C29" location="Glossary!C18" tooltip="Click for Definition" display="Assumed Reduction in Average System Pressure"/>
    <hyperlink ref="C30" location="Glossary!C18" tooltip="Click for Definition" display="Assumed % Reduction in Average System Pressure"/>
    <hyperlink ref="C21:D22" location="Glossary!C71" tooltip="Click for Definition" display="FAVAD N1 Value Used for Calculation of Real Loss Reduction Due to Reduction of Average System Pressure"/>
    <hyperlink ref="C26" location="Glossary!C65" tooltip="Click for Definition" display="ILI"/>
    <hyperlink ref="C14" location="Glossary!C79" tooltip="Click for Definition" display="Pressure Management Opportunities"/>
    <hyperlink ref="C20" location="Glossary!C138" tooltip="Click for Definition" display="Value of Real Losses"/>
    <hyperlink ref="C32" location="Glossary!C140" tooltip="Click for Definition" display="Value of Real Loss Volume Saved Through Alternative Pressure Management Policy"/>
    <hyperlink ref="C31" location="Glossary!C97" tooltip="Click for Definition" display="Real Loss Volume Saved Through Alternative Pressure Management Policy"/>
    <hyperlink ref="C36" location="Glossary!C119" tooltip="Click for Definition" display="Simple Payback Period for Implementing Alternative Pressure Management Policy"/>
    <hyperlink ref="C35" location="Glossary!C65" tooltip="Click for Definition" display="Enter Estimated Cost of Implementing Alternative Pressure Management Policy"/>
    <hyperlink ref="C25" location="Glossary!C89" tooltip="Click for Definition" display="Enter % of rigid pipes and service connections in system"/>
  </hyperlinks>
  <pageMargins left="0.75" right="0.75" top="1" bottom="1" header="0.5" footer="0.5"/>
  <pageSetup paperSize="0" scale="59" orientation="portrait" r:id="rId1"/>
  <ignoredErrors>
    <ignoredError sqref="B49" emptyCellReference="1"/>
  </ignoredErrors>
  <drawing r:id="rId2"/>
  <legacyDrawing r:id="rId3"/>
  <controls>
    <mc:AlternateContent xmlns:mc="http://schemas.openxmlformats.org/markup-compatibility/2006">
      <mc:Choice Requires="x14">
        <control shapeId="20483" r:id="rId4" name="Sys_Sp_N1">
          <controlPr defaultSize="0" autoLine="0" autoPict="0" r:id="rId5">
            <anchor moveWithCells="1">
              <from>
                <xdr:col>3</xdr:col>
                <xdr:colOff>1009650</xdr:colOff>
                <xdr:row>23</xdr:row>
                <xdr:rowOff>0</xdr:rowOff>
              </from>
              <to>
                <xdr:col>4</xdr:col>
                <xdr:colOff>19050</xdr:colOff>
                <xdr:row>24</xdr:row>
                <xdr:rowOff>0</xdr:rowOff>
              </to>
            </anchor>
          </controlPr>
        </control>
      </mc:Choice>
      <mc:Fallback>
        <control shapeId="20483" r:id="rId4" name="Sys_Sp_N1"/>
      </mc:Fallback>
    </mc:AlternateContent>
    <mc:AlternateContent xmlns:mc="http://schemas.openxmlformats.org/markup-compatibility/2006">
      <mc:Choice Requires="x14">
        <control shapeId="20482" r:id="rId6" name="Default_N1">
          <controlPr defaultSize="0" autoLine="0" r:id="rId7">
            <anchor moveWithCells="1">
              <from>
                <xdr:col>3</xdr:col>
                <xdr:colOff>1009650</xdr:colOff>
                <xdr:row>22</xdr:row>
                <xdr:rowOff>0</xdr:rowOff>
              </from>
              <to>
                <xdr:col>4</xdr:col>
                <xdr:colOff>114300</xdr:colOff>
                <xdr:row>23</xdr:row>
                <xdr:rowOff>12700</xdr:rowOff>
              </to>
            </anchor>
          </controlPr>
        </control>
      </mc:Choice>
      <mc:Fallback>
        <control shapeId="20482" r:id="rId6" name="Default_N1"/>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lossary">
    <pageSetUpPr fitToPage="1"/>
  </sheetPr>
  <dimension ref="A1:K220"/>
  <sheetViews>
    <sheetView topLeftCell="B1" workbookViewId="0">
      <selection activeCell="C79" sqref="C79"/>
    </sheetView>
  </sheetViews>
  <sheetFormatPr defaultColWidth="0" defaultRowHeight="15.5" zeroHeight="1"/>
  <cols>
    <col min="1" max="1" width="2.23046875" style="203" hidden="1" customWidth="1"/>
    <col min="2" max="2" width="4.84375" style="701" customWidth="1"/>
    <col min="3" max="3" width="54.69140625" style="701" customWidth="1"/>
    <col min="4" max="4" width="56.07421875" style="801" customWidth="1"/>
    <col min="5" max="5" width="30.23046875" style="701" customWidth="1"/>
    <col min="6" max="11" width="1.69140625" style="701" customWidth="1"/>
    <col min="12" max="16384" width="11.07421875" style="701" hidden="1"/>
  </cols>
  <sheetData>
    <row r="1" spans="1:11" s="203" customFormat="1">
      <c r="A1" s="9"/>
      <c r="B1" s="1125" t="s">
        <v>920</v>
      </c>
      <c r="C1" s="1126"/>
      <c r="D1" s="1126"/>
      <c r="E1" s="1126"/>
      <c r="F1" s="4"/>
      <c r="G1" s="4"/>
      <c r="H1" s="4"/>
      <c r="I1" s="5"/>
      <c r="J1" s="5"/>
      <c r="K1" s="10"/>
    </row>
    <row r="2" spans="1:11" s="203" customFormat="1">
      <c r="A2" s="11"/>
      <c r="B2" s="1125"/>
      <c r="C2" s="1126"/>
      <c r="D2" s="1126"/>
      <c r="E2" s="1126"/>
      <c r="F2" s="6"/>
      <c r="G2" s="6"/>
      <c r="H2" s="6"/>
      <c r="I2" s="7"/>
      <c r="J2" s="7"/>
      <c r="K2" s="12"/>
    </row>
    <row r="3" spans="1:11" s="203" customFormat="1">
      <c r="A3" s="11"/>
      <c r="B3" s="1129" t="str">
        <f>IF('Start Page'!$Y$37="","",IF('Start Page'!$K$37="Partial Audit Period","Water Audit: "&amp;'Start Page'!$D$26&amp;", "&amp;'Start Page'!$H$26&amp;", "&amp;'Start Page'!$K$26&amp;", "&amp;'Start Page'!$Y$37,"Water Audit: "&amp;'Start Page'!$D$26&amp;", "&amp;'Start Page'!$H$26&amp;", "&amp;'Start Page'!$K$26&amp;", "&amp;YEAR('Start Page'!$Y$37)))</f>
        <v/>
      </c>
      <c r="C3" s="1130"/>
      <c r="D3" s="1130"/>
      <c r="E3" s="1130"/>
      <c r="F3" s="1130"/>
      <c r="G3" s="1130"/>
      <c r="H3" s="1130"/>
      <c r="I3" s="1130"/>
      <c r="J3" s="1130"/>
      <c r="K3" s="1131"/>
    </row>
    <row r="4" spans="1:11" s="203" customFormat="1" ht="16" thickBot="1">
      <c r="A4" s="17"/>
      <c r="B4" s="85" t="s">
        <v>465</v>
      </c>
      <c r="D4" s="84"/>
      <c r="E4" s="84"/>
      <c r="F4" s="84"/>
      <c r="G4" s="84"/>
      <c r="H4" s="84"/>
      <c r="I4" s="18"/>
      <c r="J4" s="18"/>
      <c r="K4" s="19"/>
    </row>
    <row r="5" spans="1:11" s="203" customFormat="1" ht="16.5" customHeight="1">
      <c r="A5" s="216"/>
      <c r="B5" s="104"/>
      <c r="C5" s="105"/>
      <c r="D5" s="219"/>
      <c r="E5" s="105"/>
      <c r="F5" s="105"/>
      <c r="G5" s="105"/>
      <c r="H5" s="105"/>
      <c r="I5" s="105"/>
      <c r="J5" s="105"/>
      <c r="K5" s="106"/>
    </row>
    <row r="6" spans="1:11" s="203" customFormat="1" ht="16.5" customHeight="1">
      <c r="A6" s="217"/>
      <c r="B6" s="107"/>
      <c r="C6" s="220"/>
      <c r="D6" s="220"/>
      <c r="E6" s="108"/>
      <c r="F6" s="108"/>
      <c r="G6" s="108"/>
      <c r="H6" s="108"/>
      <c r="I6" s="108"/>
      <c r="J6" s="108"/>
      <c r="K6" s="109"/>
    </row>
    <row r="7" spans="1:11" s="203" customFormat="1" ht="16.5" customHeight="1" thickBot="1">
      <c r="A7" s="217"/>
      <c r="B7" s="107"/>
      <c r="C7" s="220"/>
      <c r="D7" s="220"/>
      <c r="E7" s="212"/>
      <c r="F7" s="108"/>
      <c r="G7" s="108"/>
      <c r="H7" s="108"/>
      <c r="I7" s="108"/>
      <c r="J7" s="108"/>
      <c r="K7" s="109"/>
    </row>
    <row r="8" spans="1:11" s="203" customFormat="1" ht="16.5" customHeight="1" thickBot="1">
      <c r="A8" s="217"/>
      <c r="B8" s="107"/>
      <c r="C8" s="210" t="s">
        <v>583</v>
      </c>
      <c r="D8" s="208" t="s">
        <v>580</v>
      </c>
      <c r="E8" s="209" t="s">
        <v>581</v>
      </c>
      <c r="F8" s="108"/>
      <c r="G8" s="108"/>
      <c r="H8" s="108"/>
      <c r="I8" s="108"/>
      <c r="J8" s="108"/>
      <c r="K8" s="109"/>
    </row>
    <row r="9" spans="1:11" s="203" customFormat="1" ht="16.5" customHeight="1" thickBot="1">
      <c r="A9" s="217"/>
      <c r="B9" s="107"/>
      <c r="C9" s="220"/>
      <c r="D9" s="211"/>
      <c r="E9" s="212"/>
      <c r="F9" s="108"/>
      <c r="G9" s="108"/>
      <c r="H9" s="108"/>
      <c r="I9" s="108"/>
      <c r="J9" s="108"/>
      <c r="K9" s="109"/>
    </row>
    <row r="10" spans="1:11" s="203" customFormat="1" ht="82.5" customHeight="1" thickBot="1">
      <c r="A10" s="217"/>
      <c r="B10" s="107"/>
      <c r="C10" s="207" t="s">
        <v>440</v>
      </c>
      <c r="D10" s="204" t="s">
        <v>566</v>
      </c>
      <c r="E10" s="716" t="s">
        <v>788</v>
      </c>
      <c r="F10" s="108"/>
      <c r="G10" s="108"/>
      <c r="H10" s="108"/>
      <c r="I10" s="108"/>
      <c r="J10" s="108"/>
      <c r="K10" s="109"/>
    </row>
    <row r="11" spans="1:11" s="203" customFormat="1" ht="16.5" customHeight="1" thickBot="1">
      <c r="A11" s="217"/>
      <c r="B11" s="107"/>
      <c r="C11" s="211"/>
      <c r="D11" s="211"/>
      <c r="E11" s="212"/>
      <c r="F11" s="108"/>
      <c r="G11" s="108"/>
      <c r="H11" s="108"/>
      <c r="I11" s="108"/>
      <c r="J11" s="108"/>
      <c r="K11" s="109"/>
    </row>
    <row r="12" spans="1:11" s="203" customFormat="1" ht="82.5" customHeight="1" thickBot="1">
      <c r="A12" s="217"/>
      <c r="B12" s="107"/>
      <c r="C12" s="207" t="s">
        <v>441</v>
      </c>
      <c r="D12" s="204" t="s">
        <v>567</v>
      </c>
      <c r="E12" s="716" t="s">
        <v>788</v>
      </c>
      <c r="F12" s="108"/>
      <c r="G12" s="108"/>
      <c r="H12" s="108"/>
      <c r="I12" s="108"/>
      <c r="J12" s="108"/>
      <c r="K12" s="109"/>
    </row>
    <row r="13" spans="1:11" s="203" customFormat="1" ht="16.5" customHeight="1" thickBot="1">
      <c r="A13" s="217"/>
      <c r="B13" s="107"/>
      <c r="C13" s="211"/>
      <c r="D13" s="211"/>
      <c r="E13" s="212"/>
      <c r="F13" s="108"/>
      <c r="G13" s="108"/>
      <c r="H13" s="108"/>
      <c r="I13" s="108"/>
      <c r="J13" s="108"/>
      <c r="K13" s="109"/>
    </row>
    <row r="14" spans="1:11" s="203" customFormat="1" ht="99" customHeight="1" thickBot="1">
      <c r="A14" s="217"/>
      <c r="B14" s="107"/>
      <c r="C14" s="207" t="s">
        <v>235</v>
      </c>
      <c r="D14" s="204" t="s">
        <v>662</v>
      </c>
      <c r="E14" s="716" t="s">
        <v>805</v>
      </c>
      <c r="F14" s="108"/>
      <c r="G14" s="108"/>
      <c r="H14" s="108"/>
      <c r="I14" s="108"/>
      <c r="J14" s="108"/>
      <c r="K14" s="109"/>
    </row>
    <row r="15" spans="1:11" s="203" customFormat="1" ht="16.5" customHeight="1" thickBot="1">
      <c r="A15" s="217"/>
      <c r="B15" s="107"/>
      <c r="C15" s="211"/>
      <c r="D15" s="211"/>
      <c r="E15" s="212"/>
      <c r="F15" s="108"/>
      <c r="G15" s="108"/>
      <c r="H15" s="108"/>
      <c r="I15" s="108"/>
      <c r="J15" s="108"/>
      <c r="K15" s="109"/>
    </row>
    <row r="16" spans="1:11" s="203" customFormat="1" ht="99" customHeight="1" thickBot="1">
      <c r="A16" s="217"/>
      <c r="B16" s="107"/>
      <c r="C16" s="207" t="s">
        <v>442</v>
      </c>
      <c r="D16" s="204" t="s">
        <v>663</v>
      </c>
      <c r="E16" s="716" t="s">
        <v>788</v>
      </c>
      <c r="F16" s="108"/>
      <c r="G16" s="108"/>
      <c r="H16" s="108"/>
      <c r="I16" s="108"/>
      <c r="J16" s="108"/>
      <c r="K16" s="109"/>
    </row>
    <row r="17" spans="1:11" s="203" customFormat="1" ht="16.5" customHeight="1" thickBot="1">
      <c r="A17" s="217"/>
      <c r="B17" s="107"/>
      <c r="C17" s="211"/>
      <c r="D17" s="211"/>
      <c r="E17" s="212"/>
      <c r="F17" s="108"/>
      <c r="G17" s="108"/>
      <c r="H17" s="108"/>
      <c r="I17" s="108"/>
      <c r="J17" s="108"/>
      <c r="K17" s="109"/>
    </row>
    <row r="18" spans="1:11" s="203" customFormat="1" ht="82.5" customHeight="1" thickBot="1">
      <c r="A18" s="217"/>
      <c r="B18" s="107"/>
      <c r="C18" s="207" t="s">
        <v>415</v>
      </c>
      <c r="D18" s="204" t="s">
        <v>615</v>
      </c>
      <c r="E18" s="205"/>
      <c r="F18" s="108"/>
      <c r="G18" s="108"/>
      <c r="H18" s="108"/>
      <c r="I18" s="108"/>
      <c r="J18" s="108"/>
      <c r="K18" s="109"/>
    </row>
    <row r="19" spans="1:11" s="203" customFormat="1" ht="16.5" customHeight="1" thickBot="1">
      <c r="A19" s="217"/>
      <c r="B19" s="107"/>
      <c r="C19" s="211"/>
      <c r="D19" s="211"/>
      <c r="E19" s="212"/>
      <c r="F19" s="108"/>
      <c r="G19" s="108"/>
      <c r="H19" s="108"/>
      <c r="I19" s="108"/>
      <c r="J19" s="108"/>
      <c r="K19" s="109"/>
    </row>
    <row r="20" spans="1:11" s="203" customFormat="1" ht="214.5" customHeight="1" thickBot="1">
      <c r="A20" s="217"/>
      <c r="B20" s="107"/>
      <c r="C20" s="207" t="s">
        <v>240</v>
      </c>
      <c r="D20" s="206" t="s">
        <v>452</v>
      </c>
      <c r="E20" s="917" t="s">
        <v>930</v>
      </c>
      <c r="F20" s="108"/>
      <c r="G20" s="108"/>
      <c r="H20" s="108"/>
      <c r="I20" s="108"/>
      <c r="J20" s="108"/>
      <c r="K20" s="109"/>
    </row>
    <row r="21" spans="1:11" s="203" customFormat="1" ht="16.5" customHeight="1" thickBot="1">
      <c r="A21" s="217"/>
      <c r="B21" s="107"/>
      <c r="C21" s="211"/>
      <c r="D21" s="221"/>
      <c r="E21" s="212"/>
      <c r="F21" s="108"/>
      <c r="G21" s="108"/>
      <c r="H21" s="108"/>
      <c r="I21" s="108"/>
      <c r="J21" s="108"/>
      <c r="K21" s="109"/>
    </row>
    <row r="22" spans="1:11" s="203" customFormat="1" ht="33" customHeight="1" thickBot="1">
      <c r="A22" s="217"/>
      <c r="B22" s="107"/>
      <c r="C22" s="213" t="s">
        <v>536</v>
      </c>
      <c r="D22" s="214" t="s">
        <v>616</v>
      </c>
      <c r="E22" s="215"/>
      <c r="F22" s="108"/>
      <c r="G22" s="108"/>
      <c r="H22" s="108"/>
      <c r="I22" s="108"/>
      <c r="J22" s="108"/>
      <c r="K22" s="109"/>
    </row>
    <row r="23" spans="1:11" s="203" customFormat="1" ht="16.5" customHeight="1" thickBot="1">
      <c r="A23" s="217"/>
      <c r="B23" s="107"/>
      <c r="C23" s="211"/>
      <c r="D23" s="221"/>
      <c r="E23" s="212"/>
      <c r="F23" s="108"/>
      <c r="G23" s="108"/>
      <c r="H23" s="108"/>
      <c r="I23" s="108"/>
      <c r="J23" s="108"/>
      <c r="K23" s="109"/>
    </row>
    <row r="24" spans="1:11" s="203" customFormat="1" ht="66" customHeight="1" thickBot="1">
      <c r="A24" s="217"/>
      <c r="B24" s="107"/>
      <c r="C24" s="207" t="s">
        <v>123</v>
      </c>
      <c r="D24" s="204" t="s">
        <v>570</v>
      </c>
      <c r="E24" s="205"/>
      <c r="F24" s="108"/>
      <c r="G24" s="108"/>
      <c r="H24" s="108"/>
      <c r="I24" s="108"/>
      <c r="J24" s="108"/>
      <c r="K24" s="109"/>
    </row>
    <row r="25" spans="1:11" s="203" customFormat="1" ht="16.5" customHeight="1" thickBot="1">
      <c r="A25" s="217"/>
      <c r="B25" s="107"/>
      <c r="C25" s="211"/>
      <c r="D25" s="211"/>
      <c r="E25" s="212"/>
      <c r="F25" s="108"/>
      <c r="G25" s="108"/>
      <c r="H25" s="108"/>
      <c r="I25" s="108"/>
      <c r="J25" s="108"/>
      <c r="K25" s="109"/>
    </row>
    <row r="26" spans="1:11" s="203" customFormat="1" ht="66" customHeight="1" thickBot="1">
      <c r="A26" s="217"/>
      <c r="B26" s="107"/>
      <c r="C26" s="207" t="s">
        <v>131</v>
      </c>
      <c r="D26" s="204" t="s">
        <v>664</v>
      </c>
      <c r="E26" s="716" t="s">
        <v>787</v>
      </c>
      <c r="F26" s="108"/>
      <c r="G26" s="108"/>
      <c r="H26" s="108"/>
      <c r="I26" s="108"/>
      <c r="J26" s="108"/>
      <c r="K26" s="109"/>
    </row>
    <row r="27" spans="1:11" s="203" customFormat="1" ht="16.5" customHeight="1" thickBot="1">
      <c r="A27" s="217"/>
      <c r="B27" s="107"/>
      <c r="C27" s="211"/>
      <c r="D27" s="211"/>
      <c r="E27" s="212"/>
      <c r="F27" s="108"/>
      <c r="G27" s="108"/>
      <c r="H27" s="108"/>
      <c r="I27" s="108"/>
      <c r="J27" s="108"/>
      <c r="K27" s="109"/>
    </row>
    <row r="28" spans="1:11" s="203" customFormat="1" ht="66" customHeight="1" thickBot="1">
      <c r="A28" s="217"/>
      <c r="B28" s="107"/>
      <c r="C28" s="207" t="s">
        <v>624</v>
      </c>
      <c r="D28" s="204" t="s">
        <v>618</v>
      </c>
      <c r="E28" s="205"/>
      <c r="F28" s="108"/>
      <c r="G28" s="108"/>
      <c r="H28" s="108"/>
      <c r="I28" s="108"/>
      <c r="J28" s="108"/>
      <c r="K28" s="109"/>
    </row>
    <row r="29" spans="1:11" s="203" customFormat="1" ht="16.5" customHeight="1" thickBot="1">
      <c r="A29" s="217"/>
      <c r="B29" s="107"/>
      <c r="C29" s="211"/>
      <c r="D29" s="211"/>
      <c r="E29" s="212"/>
      <c r="F29" s="108"/>
      <c r="G29" s="108"/>
      <c r="H29" s="108"/>
      <c r="I29" s="108"/>
      <c r="J29" s="108"/>
      <c r="K29" s="109"/>
    </row>
    <row r="30" spans="1:11" s="203" customFormat="1" ht="33" customHeight="1" thickBot="1">
      <c r="A30" s="217"/>
      <c r="B30" s="107"/>
      <c r="C30" s="207" t="s">
        <v>449</v>
      </c>
      <c r="D30" s="204" t="s">
        <v>617</v>
      </c>
      <c r="E30" s="205"/>
      <c r="F30" s="108"/>
      <c r="G30" s="108"/>
      <c r="H30" s="108"/>
      <c r="I30" s="108"/>
      <c r="J30" s="108"/>
      <c r="K30" s="109"/>
    </row>
    <row r="31" spans="1:11" s="203" customFormat="1" ht="16.5" customHeight="1" thickBot="1">
      <c r="A31" s="217"/>
      <c r="B31" s="107"/>
      <c r="C31" s="211"/>
      <c r="D31" s="211"/>
      <c r="E31" s="212"/>
      <c r="F31" s="108"/>
      <c r="G31" s="108"/>
      <c r="H31" s="108"/>
      <c r="I31" s="108"/>
      <c r="J31" s="108"/>
      <c r="K31" s="109"/>
    </row>
    <row r="32" spans="1:11" s="203" customFormat="1" ht="66" customHeight="1" thickBot="1">
      <c r="A32" s="217"/>
      <c r="B32" s="107"/>
      <c r="C32" s="207" t="s">
        <v>122</v>
      </c>
      <c r="D32" s="204" t="s">
        <v>625</v>
      </c>
      <c r="E32" s="205"/>
      <c r="F32" s="108"/>
      <c r="G32" s="108"/>
      <c r="H32" s="108"/>
      <c r="I32" s="108"/>
      <c r="J32" s="108"/>
      <c r="K32" s="109"/>
    </row>
    <row r="33" spans="1:11" s="203" customFormat="1" ht="16.5" customHeight="1" thickBot="1">
      <c r="A33" s="217"/>
      <c r="B33" s="107"/>
      <c r="C33" s="211"/>
      <c r="D33" s="211"/>
      <c r="E33" s="212"/>
      <c r="F33" s="108"/>
      <c r="G33" s="108"/>
      <c r="H33" s="108"/>
      <c r="I33" s="108"/>
      <c r="J33" s="108"/>
      <c r="K33" s="109"/>
    </row>
    <row r="34" spans="1:11" s="203" customFormat="1" ht="78" thickBot="1">
      <c r="A34" s="217"/>
      <c r="B34" s="107"/>
      <c r="C34" s="207" t="s">
        <v>564</v>
      </c>
      <c r="D34" s="204" t="s">
        <v>619</v>
      </c>
      <c r="E34" s="205"/>
      <c r="F34" s="108"/>
      <c r="G34" s="108"/>
      <c r="H34" s="108"/>
      <c r="I34" s="108"/>
      <c r="J34" s="108"/>
      <c r="K34" s="109"/>
    </row>
    <row r="35" spans="1:11" s="203" customFormat="1" ht="16.5" customHeight="1" thickBot="1">
      <c r="A35" s="217"/>
      <c r="B35" s="107"/>
      <c r="C35" s="211"/>
      <c r="D35" s="211"/>
      <c r="E35" s="212"/>
      <c r="F35" s="108"/>
      <c r="G35" s="108"/>
      <c r="H35" s="108"/>
      <c r="I35" s="108"/>
      <c r="J35" s="108"/>
      <c r="K35" s="109"/>
    </row>
    <row r="36" spans="1:11" s="203" customFormat="1" ht="231" customHeight="1">
      <c r="A36" s="1264"/>
      <c r="B36" s="222"/>
      <c r="C36" s="1258" t="s">
        <v>433</v>
      </c>
      <c r="D36" s="1260" t="s">
        <v>665</v>
      </c>
      <c r="E36" s="1262" t="s">
        <v>930</v>
      </c>
      <c r="F36" s="108"/>
      <c r="G36" s="108"/>
      <c r="H36" s="108"/>
      <c r="I36" s="108"/>
      <c r="J36" s="108"/>
      <c r="K36" s="109"/>
    </row>
    <row r="37" spans="1:11" s="203" customFormat="1" ht="231" customHeight="1" thickBot="1">
      <c r="A37" s="1264"/>
      <c r="B37" s="222"/>
      <c r="C37" s="1259"/>
      <c r="D37" s="1261"/>
      <c r="E37" s="1263"/>
      <c r="F37" s="108"/>
      <c r="G37" s="108"/>
      <c r="H37" s="108"/>
      <c r="I37" s="108"/>
      <c r="J37" s="108"/>
      <c r="K37" s="109"/>
    </row>
    <row r="38" spans="1:11" s="203" customFormat="1" ht="16" thickBot="1">
      <c r="A38" s="218"/>
      <c r="B38" s="222"/>
      <c r="C38" s="223"/>
      <c r="D38" s="224"/>
      <c r="E38" s="212"/>
      <c r="F38" s="108"/>
      <c r="G38" s="108"/>
      <c r="H38" s="108"/>
      <c r="I38" s="108"/>
      <c r="J38" s="108"/>
      <c r="K38" s="109"/>
    </row>
    <row r="39" spans="1:11" s="203" customFormat="1" ht="185.25" customHeight="1" thickBot="1">
      <c r="A39" s="217"/>
      <c r="B39" s="107"/>
      <c r="C39" s="207" t="s">
        <v>434</v>
      </c>
      <c r="D39" s="204" t="s">
        <v>757</v>
      </c>
      <c r="E39" s="205" t="s">
        <v>724</v>
      </c>
      <c r="F39" s="108"/>
      <c r="G39" s="108"/>
      <c r="H39" s="108"/>
      <c r="I39" s="108"/>
      <c r="J39" s="108"/>
      <c r="K39" s="109"/>
    </row>
    <row r="40" spans="1:11" s="203" customFormat="1" ht="16.5" customHeight="1" thickBot="1">
      <c r="A40" s="217"/>
      <c r="B40" s="107"/>
      <c r="C40" s="211"/>
      <c r="D40" s="211"/>
      <c r="E40" s="212"/>
      <c r="F40" s="108"/>
      <c r="G40" s="108"/>
      <c r="H40" s="108"/>
      <c r="I40" s="108"/>
      <c r="J40" s="108"/>
      <c r="K40" s="109"/>
    </row>
    <row r="41" spans="1:11" s="203" customFormat="1" ht="202" thickBot="1">
      <c r="A41" s="217"/>
      <c r="B41" s="107"/>
      <c r="C41" s="213" t="s">
        <v>533</v>
      </c>
      <c r="D41" s="214" t="s">
        <v>614</v>
      </c>
      <c r="E41" s="917" t="s">
        <v>930</v>
      </c>
      <c r="F41" s="108"/>
      <c r="G41" s="108"/>
      <c r="H41" s="108"/>
      <c r="I41" s="108"/>
      <c r="J41" s="108"/>
      <c r="K41" s="109"/>
    </row>
    <row r="42" spans="1:11" s="203" customFormat="1" ht="16.5" customHeight="1" thickBot="1">
      <c r="A42" s="217"/>
      <c r="B42" s="107"/>
      <c r="C42" s="211"/>
      <c r="D42" s="211"/>
      <c r="E42" s="212"/>
      <c r="F42" s="108"/>
      <c r="G42" s="108"/>
      <c r="H42" s="108"/>
      <c r="I42" s="108"/>
      <c r="J42" s="108"/>
      <c r="K42" s="109"/>
    </row>
    <row r="43" spans="1:11" s="203" customFormat="1" ht="99" customHeight="1" thickBot="1">
      <c r="A43" s="217"/>
      <c r="B43" s="107"/>
      <c r="C43" s="207" t="s">
        <v>445</v>
      </c>
      <c r="D43" s="204" t="s">
        <v>725</v>
      </c>
      <c r="E43" s="205"/>
      <c r="F43" s="108"/>
      <c r="G43" s="108"/>
      <c r="H43" s="108"/>
      <c r="I43" s="108"/>
      <c r="J43" s="108"/>
      <c r="K43" s="109"/>
    </row>
    <row r="44" spans="1:11" s="203" customFormat="1" ht="16.5" customHeight="1" thickBot="1">
      <c r="A44" s="217"/>
      <c r="B44" s="107"/>
      <c r="C44" s="211"/>
      <c r="D44" s="211"/>
      <c r="E44" s="212"/>
      <c r="F44" s="108"/>
      <c r="G44" s="108"/>
      <c r="H44" s="108"/>
      <c r="I44" s="108"/>
      <c r="J44" s="108"/>
      <c r="K44" s="109"/>
    </row>
    <row r="45" spans="1:11" s="203" customFormat="1" ht="115.5" customHeight="1" thickBot="1">
      <c r="A45" s="217"/>
      <c r="B45" s="107"/>
      <c r="C45" s="207" t="s">
        <v>453</v>
      </c>
      <c r="D45" s="204" t="s">
        <v>666</v>
      </c>
      <c r="E45" s="917" t="s">
        <v>930</v>
      </c>
      <c r="F45" s="108"/>
      <c r="G45" s="108"/>
      <c r="H45" s="108"/>
      <c r="I45" s="108"/>
      <c r="J45" s="108"/>
      <c r="K45" s="109"/>
    </row>
    <row r="46" spans="1:11" s="203" customFormat="1" ht="16.5" customHeight="1" thickBot="1">
      <c r="A46" s="217"/>
      <c r="B46" s="107"/>
      <c r="C46" s="211"/>
      <c r="D46" s="211"/>
      <c r="E46" s="212"/>
      <c r="F46" s="108"/>
      <c r="G46" s="108"/>
      <c r="H46" s="108"/>
      <c r="I46" s="108"/>
      <c r="J46" s="108"/>
      <c r="K46" s="109"/>
    </row>
    <row r="47" spans="1:11" s="203" customFormat="1" ht="99" customHeight="1" thickBot="1">
      <c r="A47" s="217"/>
      <c r="B47" s="107"/>
      <c r="C47" s="207" t="s">
        <v>447</v>
      </c>
      <c r="D47" s="206" t="s">
        <v>569</v>
      </c>
      <c r="E47" s="716" t="s">
        <v>788</v>
      </c>
      <c r="F47" s="108"/>
      <c r="G47" s="108"/>
      <c r="H47" s="108"/>
      <c r="I47" s="108"/>
      <c r="J47" s="108"/>
      <c r="K47" s="109"/>
    </row>
    <row r="48" spans="1:11" s="203" customFormat="1" ht="16.5" customHeight="1" thickBot="1">
      <c r="A48" s="217"/>
      <c r="B48" s="107"/>
      <c r="C48" s="211"/>
      <c r="D48" s="211"/>
      <c r="E48" s="212"/>
      <c r="F48" s="108"/>
      <c r="G48" s="108"/>
      <c r="H48" s="108"/>
      <c r="I48" s="108"/>
      <c r="J48" s="108"/>
      <c r="K48" s="109"/>
    </row>
    <row r="49" spans="1:11" s="203" customFormat="1" ht="165" customHeight="1" thickBot="1">
      <c r="A49" s="217"/>
      <c r="B49" s="107"/>
      <c r="C49" s="207" t="s">
        <v>426</v>
      </c>
      <c r="D49" s="204" t="s">
        <v>667</v>
      </c>
      <c r="E49" s="205" t="s">
        <v>724</v>
      </c>
      <c r="F49" s="108"/>
      <c r="G49" s="108"/>
      <c r="H49" s="108"/>
      <c r="I49" s="108"/>
      <c r="J49" s="108"/>
      <c r="K49" s="109"/>
    </row>
    <row r="50" spans="1:11" s="203" customFormat="1" ht="16.5" customHeight="1" thickBot="1">
      <c r="A50" s="217"/>
      <c r="B50" s="107"/>
      <c r="C50" s="211"/>
      <c r="D50" s="211"/>
      <c r="E50" s="212"/>
      <c r="F50" s="108"/>
      <c r="G50" s="108"/>
      <c r="H50" s="108"/>
      <c r="I50" s="108"/>
      <c r="J50" s="108"/>
      <c r="K50" s="109"/>
    </row>
    <row r="51" spans="1:11" s="203" customFormat="1" ht="132" customHeight="1" thickBot="1">
      <c r="A51" s="217"/>
      <c r="B51" s="107"/>
      <c r="C51" s="207" t="s">
        <v>427</v>
      </c>
      <c r="D51" s="204" t="s">
        <v>458</v>
      </c>
      <c r="E51" s="205" t="s">
        <v>724</v>
      </c>
      <c r="F51" s="108"/>
      <c r="G51" s="108"/>
      <c r="H51" s="108"/>
      <c r="I51" s="108"/>
      <c r="J51" s="108"/>
      <c r="K51" s="109"/>
    </row>
    <row r="52" spans="1:11" s="203" customFormat="1" ht="16.5" customHeight="1" thickBot="1">
      <c r="A52" s="217"/>
      <c r="B52" s="107"/>
      <c r="C52" s="211"/>
      <c r="D52" s="211"/>
      <c r="E52" s="212"/>
      <c r="F52" s="108"/>
      <c r="G52" s="108"/>
      <c r="H52" s="108"/>
      <c r="I52" s="108"/>
      <c r="J52" s="108"/>
      <c r="K52" s="109"/>
    </row>
    <row r="53" spans="1:11" s="203" customFormat="1" ht="33" customHeight="1" thickBot="1">
      <c r="A53" s="217"/>
      <c r="B53" s="107"/>
      <c r="C53" s="213" t="s">
        <v>595</v>
      </c>
      <c r="D53" s="214" t="s">
        <v>668</v>
      </c>
      <c r="E53" s="215"/>
      <c r="F53" s="108"/>
      <c r="G53" s="108"/>
      <c r="H53" s="108"/>
      <c r="I53" s="108"/>
      <c r="J53" s="108"/>
      <c r="K53" s="109"/>
    </row>
    <row r="54" spans="1:11" s="203" customFormat="1" ht="16.5" customHeight="1" thickBot="1">
      <c r="A54" s="217"/>
      <c r="B54" s="107"/>
      <c r="C54" s="211"/>
      <c r="D54" s="211"/>
      <c r="E54" s="212"/>
      <c r="F54" s="108"/>
      <c r="G54" s="108"/>
      <c r="H54" s="108"/>
      <c r="I54" s="108"/>
      <c r="J54" s="108"/>
      <c r="K54" s="109"/>
    </row>
    <row r="55" spans="1:11" s="203" customFormat="1" ht="82.5" customHeight="1" thickBot="1">
      <c r="A55" s="217"/>
      <c r="B55" s="107"/>
      <c r="C55" s="207" t="s">
        <v>45</v>
      </c>
      <c r="D55" s="204" t="s">
        <v>456</v>
      </c>
      <c r="E55" s="917" t="s">
        <v>930</v>
      </c>
      <c r="F55" s="108"/>
      <c r="G55" s="108"/>
      <c r="H55" s="108"/>
      <c r="I55" s="108"/>
      <c r="J55" s="108"/>
      <c r="K55" s="109"/>
    </row>
    <row r="56" spans="1:11" s="203" customFormat="1" ht="16.5" customHeight="1" thickBot="1">
      <c r="A56" s="217"/>
      <c r="B56" s="107"/>
      <c r="C56" s="211"/>
      <c r="D56" s="211"/>
      <c r="E56" s="212"/>
      <c r="F56" s="108"/>
      <c r="G56" s="108"/>
      <c r="H56" s="108"/>
      <c r="I56" s="108"/>
      <c r="J56" s="108"/>
      <c r="K56" s="109"/>
    </row>
    <row r="57" spans="1:11" s="203" customFormat="1" ht="313.5" customHeight="1" thickBot="1">
      <c r="A57" s="217"/>
      <c r="B57" s="107"/>
      <c r="C57" s="207" t="s">
        <v>436</v>
      </c>
      <c r="D57" s="204" t="s">
        <v>878</v>
      </c>
      <c r="E57" s="205" t="s">
        <v>724</v>
      </c>
      <c r="F57" s="108"/>
      <c r="G57" s="108"/>
      <c r="H57" s="108"/>
      <c r="I57" s="108"/>
      <c r="J57" s="108"/>
      <c r="K57" s="109"/>
    </row>
    <row r="58" spans="1:11" s="203" customFormat="1" ht="16.5" customHeight="1" thickBot="1">
      <c r="A58" s="217"/>
      <c r="B58" s="107"/>
      <c r="C58" s="211"/>
      <c r="D58" s="211"/>
      <c r="E58" s="212"/>
      <c r="F58" s="108"/>
      <c r="G58" s="108"/>
      <c r="H58" s="108"/>
      <c r="I58" s="108"/>
      <c r="J58" s="108"/>
      <c r="K58" s="109"/>
    </row>
    <row r="59" spans="1:11" s="203" customFormat="1" ht="62.5" thickBot="1">
      <c r="A59" s="217"/>
      <c r="B59" s="107"/>
      <c r="C59" s="213" t="s">
        <v>597</v>
      </c>
      <c r="D59" s="214" t="s">
        <v>669</v>
      </c>
      <c r="E59" s="215"/>
      <c r="F59" s="108"/>
      <c r="G59" s="108"/>
      <c r="H59" s="108"/>
      <c r="I59" s="108"/>
      <c r="J59" s="108"/>
      <c r="K59" s="109"/>
    </row>
    <row r="60" spans="1:11" s="203" customFormat="1" ht="16.5" customHeight="1" thickBot="1">
      <c r="A60" s="217"/>
      <c r="B60" s="107"/>
      <c r="C60" s="211"/>
      <c r="D60" s="211"/>
      <c r="E60" s="212"/>
      <c r="F60" s="108"/>
      <c r="G60" s="108"/>
      <c r="H60" s="108"/>
      <c r="I60" s="108"/>
      <c r="J60" s="108"/>
      <c r="K60" s="109"/>
    </row>
    <row r="61" spans="1:11" s="203" customFormat="1" ht="140" thickBot="1">
      <c r="A61" s="217"/>
      <c r="B61" s="107"/>
      <c r="C61" s="213" t="s">
        <v>596</v>
      </c>
      <c r="D61" s="214" t="s">
        <v>670</v>
      </c>
      <c r="E61" s="215"/>
      <c r="F61" s="108"/>
      <c r="G61" s="108"/>
      <c r="H61" s="108"/>
      <c r="I61" s="108"/>
      <c r="J61" s="108"/>
      <c r="K61" s="109"/>
    </row>
    <row r="62" spans="1:11" s="203" customFormat="1" ht="16.5" customHeight="1" thickBot="1">
      <c r="A62" s="217"/>
      <c r="B62" s="107"/>
      <c r="C62" s="211"/>
      <c r="D62" s="211"/>
      <c r="E62" s="212"/>
      <c r="F62" s="108"/>
      <c r="G62" s="108"/>
      <c r="H62" s="108"/>
      <c r="I62" s="108"/>
      <c r="J62" s="108"/>
      <c r="K62" s="109"/>
    </row>
    <row r="63" spans="1:11" s="203" customFormat="1" ht="62.5" thickBot="1">
      <c r="A63" s="217"/>
      <c r="B63" s="107"/>
      <c r="C63" s="213" t="s">
        <v>511</v>
      </c>
      <c r="D63" s="214" t="s">
        <v>626</v>
      </c>
      <c r="E63" s="215"/>
      <c r="F63" s="108"/>
      <c r="G63" s="108"/>
      <c r="H63" s="108"/>
      <c r="I63" s="108"/>
      <c r="J63" s="108"/>
      <c r="K63" s="109"/>
    </row>
    <row r="64" spans="1:11" s="203" customFormat="1" ht="16.5" customHeight="1" thickBot="1">
      <c r="A64" s="217"/>
      <c r="B64" s="107"/>
      <c r="C64" s="211"/>
      <c r="D64" s="211"/>
      <c r="E64" s="212"/>
      <c r="F64" s="108"/>
      <c r="G64" s="108"/>
      <c r="H64" s="108"/>
      <c r="I64" s="108"/>
      <c r="J64" s="108"/>
      <c r="K64" s="109"/>
    </row>
    <row r="65" spans="1:11" s="203" customFormat="1" ht="33" customHeight="1" thickBot="1">
      <c r="A65" s="217"/>
      <c r="B65" s="107"/>
      <c r="C65" s="213" t="s">
        <v>600</v>
      </c>
      <c r="D65" s="214" t="s">
        <v>620</v>
      </c>
      <c r="E65" s="215"/>
      <c r="F65" s="108"/>
      <c r="G65" s="108"/>
      <c r="H65" s="108"/>
      <c r="I65" s="108"/>
      <c r="J65" s="108"/>
      <c r="K65" s="109"/>
    </row>
    <row r="66" spans="1:11" s="203" customFormat="1" ht="16.5" customHeight="1" thickBot="1">
      <c r="A66" s="217"/>
      <c r="B66" s="107"/>
      <c r="C66" s="211"/>
      <c r="D66" s="211"/>
      <c r="E66" s="212"/>
      <c r="F66" s="108"/>
      <c r="G66" s="108"/>
      <c r="H66" s="108"/>
      <c r="I66" s="108"/>
      <c r="J66" s="108"/>
      <c r="K66" s="109"/>
    </row>
    <row r="67" spans="1:11" s="203" customFormat="1" ht="115.5" customHeight="1" thickBot="1">
      <c r="A67" s="217"/>
      <c r="B67" s="107"/>
      <c r="C67" s="207" t="s">
        <v>121</v>
      </c>
      <c r="D67" s="204" t="s">
        <v>621</v>
      </c>
      <c r="E67" s="205"/>
      <c r="F67" s="108"/>
      <c r="G67" s="108"/>
      <c r="H67" s="108"/>
      <c r="I67" s="108"/>
      <c r="J67" s="108"/>
      <c r="K67" s="109"/>
    </row>
    <row r="68" spans="1:11" s="203" customFormat="1" ht="16.5" customHeight="1" thickBot="1">
      <c r="A68" s="217"/>
      <c r="B68" s="107"/>
      <c r="C68" s="211"/>
      <c r="D68" s="221"/>
      <c r="E68" s="212"/>
      <c r="F68" s="108"/>
      <c r="G68" s="108"/>
      <c r="H68" s="108"/>
      <c r="I68" s="108"/>
      <c r="J68" s="108"/>
      <c r="K68" s="109"/>
    </row>
    <row r="69" spans="1:11" s="203" customFormat="1" ht="202" thickBot="1">
      <c r="A69" s="217"/>
      <c r="B69" s="107"/>
      <c r="C69" s="207" t="s">
        <v>450</v>
      </c>
      <c r="D69" s="214" t="s">
        <v>726</v>
      </c>
      <c r="E69" s="716" t="s">
        <v>806</v>
      </c>
      <c r="F69" s="108"/>
      <c r="G69" s="108"/>
      <c r="H69" s="108"/>
      <c r="I69" s="108"/>
      <c r="J69" s="108"/>
      <c r="K69" s="109"/>
    </row>
    <row r="70" spans="1:11" s="203" customFormat="1" ht="16.5" customHeight="1" thickBot="1">
      <c r="A70" s="217"/>
      <c r="B70" s="107"/>
      <c r="C70" s="211"/>
      <c r="D70" s="221"/>
      <c r="E70" s="212"/>
      <c r="F70" s="108"/>
      <c r="G70" s="108"/>
      <c r="H70" s="108"/>
      <c r="I70" s="108"/>
      <c r="J70" s="108"/>
      <c r="K70" s="109"/>
    </row>
    <row r="71" spans="1:11" s="203" customFormat="1" ht="379.5" customHeight="1" thickBot="1">
      <c r="A71" s="217"/>
      <c r="B71" s="107"/>
      <c r="C71" s="207" t="s">
        <v>457</v>
      </c>
      <c r="D71" s="204" t="s">
        <v>671</v>
      </c>
      <c r="E71" s="716" t="s">
        <v>805</v>
      </c>
      <c r="F71" s="108"/>
      <c r="G71" s="108"/>
      <c r="H71" s="108"/>
      <c r="I71" s="108"/>
      <c r="J71" s="108"/>
      <c r="K71" s="109"/>
    </row>
    <row r="72" spans="1:11" s="203" customFormat="1" ht="16" thickBot="1">
      <c r="A72" s="217"/>
      <c r="B72" s="107"/>
      <c r="C72" s="211"/>
      <c r="D72" s="211"/>
      <c r="E72" s="212"/>
      <c r="F72" s="108"/>
      <c r="G72" s="108"/>
      <c r="H72" s="108"/>
      <c r="I72" s="108"/>
      <c r="J72" s="108"/>
      <c r="K72" s="109"/>
    </row>
    <row r="73" spans="1:11" s="203" customFormat="1" ht="99" customHeight="1" thickBot="1">
      <c r="A73" s="217"/>
      <c r="B73" s="107"/>
      <c r="C73" s="207" t="s">
        <v>448</v>
      </c>
      <c r="D73" s="204" t="s">
        <v>727</v>
      </c>
      <c r="E73" s="917" t="s">
        <v>930</v>
      </c>
      <c r="F73" s="108"/>
      <c r="G73" s="108"/>
      <c r="H73" s="108"/>
      <c r="I73" s="108"/>
      <c r="J73" s="108"/>
      <c r="K73" s="109"/>
    </row>
    <row r="74" spans="1:11" s="203" customFormat="1" ht="16.5" customHeight="1" thickBot="1">
      <c r="A74" s="217"/>
      <c r="B74" s="107"/>
      <c r="C74" s="211"/>
      <c r="D74" s="221"/>
      <c r="E74" s="212"/>
      <c r="F74" s="108"/>
      <c r="G74" s="108"/>
      <c r="H74" s="108"/>
      <c r="I74" s="108"/>
      <c r="J74" s="108"/>
      <c r="K74" s="109"/>
    </row>
    <row r="75" spans="1:11" s="203" customFormat="1" ht="165" customHeight="1" thickBot="1">
      <c r="A75" s="217"/>
      <c r="B75" s="107"/>
      <c r="C75" s="207" t="s">
        <v>444</v>
      </c>
      <c r="D75" s="204" t="s">
        <v>672</v>
      </c>
      <c r="E75" s="716" t="s">
        <v>805</v>
      </c>
      <c r="F75" s="108"/>
      <c r="G75" s="108"/>
      <c r="H75" s="108"/>
      <c r="I75" s="108"/>
      <c r="J75" s="108"/>
      <c r="K75" s="109"/>
    </row>
    <row r="76" spans="1:11" s="203" customFormat="1" ht="16.5" customHeight="1" thickBot="1">
      <c r="A76" s="217"/>
      <c r="B76" s="107"/>
      <c r="C76" s="211"/>
      <c r="D76" s="211"/>
      <c r="E76" s="212"/>
      <c r="F76" s="108"/>
      <c r="G76" s="108"/>
      <c r="H76" s="108"/>
      <c r="I76" s="108"/>
      <c r="J76" s="108"/>
      <c r="K76" s="109"/>
    </row>
    <row r="77" spans="1:11" s="203" customFormat="1" ht="330" customHeight="1" thickBot="1">
      <c r="A77" s="217"/>
      <c r="B77" s="107"/>
      <c r="C77" s="207" t="s">
        <v>431</v>
      </c>
      <c r="D77" s="204" t="s">
        <v>728</v>
      </c>
      <c r="E77" s="205" t="s">
        <v>724</v>
      </c>
      <c r="F77" s="108"/>
      <c r="G77" s="108"/>
      <c r="H77" s="108"/>
      <c r="I77" s="108"/>
      <c r="J77" s="108"/>
      <c r="K77" s="109"/>
    </row>
    <row r="78" spans="1:11" s="203" customFormat="1" ht="16.5" customHeight="1" thickBot="1">
      <c r="A78" s="217"/>
      <c r="B78" s="107"/>
      <c r="C78" s="211"/>
      <c r="D78" s="211"/>
      <c r="E78" s="212"/>
      <c r="F78" s="108"/>
      <c r="G78" s="108"/>
      <c r="H78" s="108"/>
      <c r="I78" s="108"/>
      <c r="J78" s="108"/>
      <c r="K78" s="109"/>
    </row>
    <row r="79" spans="1:11" s="203" customFormat="1" ht="346.5" customHeight="1" thickBot="1">
      <c r="A79" s="217"/>
      <c r="B79" s="107"/>
      <c r="C79" s="207" t="s">
        <v>117</v>
      </c>
      <c r="D79" s="204" t="s">
        <v>729</v>
      </c>
      <c r="E79" s="716" t="s">
        <v>788</v>
      </c>
      <c r="F79" s="108"/>
      <c r="G79" s="108"/>
      <c r="H79" s="108"/>
      <c r="I79" s="108"/>
      <c r="J79" s="108"/>
      <c r="K79" s="109"/>
    </row>
    <row r="80" spans="1:11" s="203" customFormat="1" ht="16.5" customHeight="1" thickBot="1">
      <c r="A80" s="217"/>
      <c r="B80" s="107"/>
      <c r="C80" s="211"/>
      <c r="D80" s="211"/>
      <c r="E80" s="212"/>
      <c r="F80" s="108"/>
      <c r="G80" s="108"/>
      <c r="H80" s="108"/>
      <c r="I80" s="108"/>
      <c r="J80" s="108"/>
      <c r="K80" s="109"/>
    </row>
    <row r="81" spans="1:11" s="203" customFormat="1" ht="99" customHeight="1" thickBot="1">
      <c r="A81" s="217"/>
      <c r="B81" s="107"/>
      <c r="C81" s="207" t="s">
        <v>233</v>
      </c>
      <c r="D81" s="206" t="s">
        <v>455</v>
      </c>
      <c r="E81" s="716" t="s">
        <v>805</v>
      </c>
      <c r="F81" s="108"/>
      <c r="G81" s="108"/>
      <c r="H81" s="108"/>
      <c r="I81" s="108"/>
      <c r="J81" s="108"/>
      <c r="K81" s="109"/>
    </row>
    <row r="82" spans="1:11" s="203" customFormat="1" ht="16.5" customHeight="1" thickBot="1">
      <c r="A82" s="217"/>
      <c r="B82" s="107"/>
      <c r="C82" s="211"/>
      <c r="D82" s="211"/>
      <c r="E82" s="212"/>
      <c r="F82" s="108"/>
      <c r="G82" s="108"/>
      <c r="H82" s="108"/>
      <c r="I82" s="108"/>
      <c r="J82" s="108"/>
      <c r="K82" s="109"/>
    </row>
    <row r="83" spans="1:11" s="203" customFormat="1" ht="148.5" customHeight="1" thickBot="1">
      <c r="A83" s="217"/>
      <c r="B83" s="107"/>
      <c r="C83" s="207" t="s">
        <v>439</v>
      </c>
      <c r="D83" s="204" t="s">
        <v>568</v>
      </c>
      <c r="E83" s="716" t="s">
        <v>788</v>
      </c>
      <c r="F83" s="108"/>
      <c r="G83" s="108"/>
      <c r="H83" s="108"/>
      <c r="I83" s="108"/>
      <c r="J83" s="108"/>
      <c r="K83" s="109"/>
    </row>
    <row r="84" spans="1:11" s="203" customFormat="1" ht="16.5" customHeight="1" thickBot="1">
      <c r="A84" s="217"/>
      <c r="B84" s="107"/>
      <c r="C84" s="211"/>
      <c r="D84" s="211"/>
      <c r="E84" s="212"/>
      <c r="F84" s="108"/>
      <c r="G84" s="108"/>
      <c r="H84" s="108"/>
      <c r="I84" s="108"/>
      <c r="J84" s="108"/>
      <c r="K84" s="109"/>
    </row>
    <row r="85" spans="1:11" s="203" customFormat="1" ht="115.5" customHeight="1" thickBot="1">
      <c r="A85" s="217"/>
      <c r="B85" s="107"/>
      <c r="C85" s="207" t="s">
        <v>438</v>
      </c>
      <c r="D85" s="204" t="s">
        <v>565</v>
      </c>
      <c r="E85" s="716" t="s">
        <v>788</v>
      </c>
      <c r="F85" s="108"/>
      <c r="G85" s="108"/>
      <c r="H85" s="108"/>
      <c r="I85" s="108"/>
      <c r="J85" s="108"/>
      <c r="K85" s="109"/>
    </row>
    <row r="86" spans="1:11" s="203" customFormat="1" ht="16.5" customHeight="1" thickBot="1">
      <c r="A86" s="217"/>
      <c r="B86" s="107"/>
      <c r="C86" s="211"/>
      <c r="D86" s="211"/>
      <c r="E86" s="212"/>
      <c r="F86" s="108"/>
      <c r="G86" s="108"/>
      <c r="H86" s="108"/>
      <c r="I86" s="108"/>
      <c r="J86" s="108"/>
      <c r="K86" s="109"/>
    </row>
    <row r="87" spans="1:11" s="203" customFormat="1" ht="99" customHeight="1" thickBot="1">
      <c r="A87" s="217"/>
      <c r="B87" s="107"/>
      <c r="C87" s="207" t="s">
        <v>432</v>
      </c>
      <c r="D87" s="204" t="s">
        <v>730</v>
      </c>
      <c r="E87" s="205" t="s">
        <v>724</v>
      </c>
      <c r="F87" s="108"/>
      <c r="G87" s="108"/>
      <c r="H87" s="108"/>
      <c r="I87" s="108"/>
      <c r="J87" s="108"/>
      <c r="K87" s="109"/>
    </row>
    <row r="88" spans="1:11" s="203" customFormat="1" ht="16.5" customHeight="1" thickBot="1">
      <c r="A88" s="217"/>
      <c r="B88" s="107"/>
      <c r="C88" s="211"/>
      <c r="D88" s="211"/>
      <c r="E88" s="212"/>
      <c r="F88" s="108"/>
      <c r="G88" s="108"/>
      <c r="H88" s="108"/>
      <c r="I88" s="108"/>
      <c r="J88" s="108"/>
      <c r="K88" s="109"/>
    </row>
    <row r="89" spans="1:11" s="203" customFormat="1" ht="47" thickBot="1">
      <c r="A89" s="217"/>
      <c r="B89" s="107"/>
      <c r="C89" s="213" t="s">
        <v>598</v>
      </c>
      <c r="D89" s="214" t="s">
        <v>627</v>
      </c>
      <c r="E89" s="215"/>
      <c r="F89" s="108"/>
      <c r="G89" s="108"/>
      <c r="H89" s="108"/>
      <c r="I89" s="108"/>
      <c r="J89" s="108"/>
      <c r="K89" s="109"/>
    </row>
    <row r="90" spans="1:11" s="203" customFormat="1" ht="16.5" customHeight="1" thickBot="1">
      <c r="A90" s="217"/>
      <c r="B90" s="107"/>
      <c r="C90" s="211"/>
      <c r="D90" s="211"/>
      <c r="E90" s="212"/>
      <c r="F90" s="108"/>
      <c r="G90" s="108"/>
      <c r="H90" s="108"/>
      <c r="I90" s="108"/>
      <c r="J90" s="108"/>
      <c r="K90" s="109"/>
    </row>
    <row r="91" spans="1:11" s="203" customFormat="1" ht="47" thickBot="1">
      <c r="A91" s="217"/>
      <c r="B91" s="107"/>
      <c r="C91" s="213" t="s">
        <v>611</v>
      </c>
      <c r="D91" s="214" t="s">
        <v>622</v>
      </c>
      <c r="E91" s="215"/>
      <c r="F91" s="108"/>
      <c r="G91" s="108"/>
      <c r="H91" s="108"/>
      <c r="I91" s="108"/>
      <c r="J91" s="108"/>
      <c r="K91" s="109"/>
    </row>
    <row r="92" spans="1:11" s="203" customFormat="1" ht="16.5" customHeight="1" thickBot="1">
      <c r="A92" s="217"/>
      <c r="B92" s="107"/>
      <c r="C92" s="211"/>
      <c r="D92" s="211"/>
      <c r="E92" s="212"/>
      <c r="F92" s="108"/>
      <c r="G92" s="108"/>
      <c r="H92" s="108"/>
      <c r="I92" s="108"/>
      <c r="J92" s="108"/>
      <c r="K92" s="109"/>
    </row>
    <row r="93" spans="1:11" s="203" customFormat="1" ht="99" customHeight="1" thickBot="1">
      <c r="A93" s="217"/>
      <c r="B93" s="107"/>
      <c r="C93" s="207" t="s">
        <v>451</v>
      </c>
      <c r="D93" s="204" t="s">
        <v>613</v>
      </c>
      <c r="E93" s="716" t="s">
        <v>805</v>
      </c>
      <c r="F93" s="108"/>
      <c r="G93" s="108"/>
      <c r="H93" s="108"/>
      <c r="I93" s="108"/>
      <c r="J93" s="108"/>
      <c r="K93" s="109"/>
    </row>
    <row r="94" spans="1:11" s="203" customFormat="1" ht="16.5" customHeight="1" thickBot="1">
      <c r="A94" s="217"/>
      <c r="B94" s="107"/>
      <c r="C94" s="211"/>
      <c r="D94" s="211"/>
      <c r="E94" s="212"/>
      <c r="F94" s="108"/>
      <c r="G94" s="108"/>
      <c r="H94" s="108"/>
      <c r="I94" s="108"/>
      <c r="J94" s="108"/>
      <c r="K94" s="109"/>
    </row>
    <row r="95" spans="1:11" s="203" customFormat="1" ht="132" customHeight="1" thickBot="1">
      <c r="A95" s="217"/>
      <c r="B95" s="107"/>
      <c r="C95" s="213" t="s">
        <v>594</v>
      </c>
      <c r="D95" s="214" t="s">
        <v>628</v>
      </c>
      <c r="E95" s="215"/>
      <c r="F95" s="108"/>
      <c r="G95" s="108"/>
      <c r="H95" s="108"/>
      <c r="I95" s="108"/>
      <c r="J95" s="108"/>
      <c r="K95" s="109"/>
    </row>
    <row r="96" spans="1:11" s="203" customFormat="1" ht="16.5" customHeight="1" thickBot="1">
      <c r="A96" s="217"/>
      <c r="B96" s="107"/>
      <c r="C96" s="211"/>
      <c r="D96" s="211"/>
      <c r="E96" s="212"/>
      <c r="F96" s="108"/>
      <c r="G96" s="108"/>
      <c r="H96" s="108"/>
      <c r="I96" s="108"/>
      <c r="J96" s="108"/>
      <c r="K96" s="109"/>
    </row>
    <row r="97" spans="1:11" s="203" customFormat="1" ht="99" customHeight="1" thickBot="1">
      <c r="A97" s="217"/>
      <c r="B97" s="107"/>
      <c r="C97" s="213" t="s">
        <v>599</v>
      </c>
      <c r="D97" s="214" t="s">
        <v>673</v>
      </c>
      <c r="E97" s="215"/>
      <c r="F97" s="108"/>
      <c r="G97" s="108"/>
      <c r="H97" s="108"/>
      <c r="I97" s="108"/>
      <c r="J97" s="108"/>
      <c r="K97" s="109"/>
    </row>
    <row r="98" spans="1:11" s="203" customFormat="1" ht="16.5" customHeight="1" thickBot="1">
      <c r="A98" s="217"/>
      <c r="B98" s="107"/>
      <c r="C98" s="211"/>
      <c r="D98" s="211"/>
      <c r="E98" s="212"/>
      <c r="F98" s="108"/>
      <c r="G98" s="108"/>
      <c r="H98" s="108"/>
      <c r="I98" s="108"/>
      <c r="J98" s="108"/>
      <c r="K98" s="109"/>
    </row>
    <row r="99" spans="1:11" s="203" customFormat="1" ht="132" customHeight="1" thickBot="1">
      <c r="A99" s="217"/>
      <c r="B99" s="107"/>
      <c r="C99" s="207" t="s">
        <v>430</v>
      </c>
      <c r="D99" s="204" t="s">
        <v>674</v>
      </c>
      <c r="E99" s="716" t="s">
        <v>805</v>
      </c>
      <c r="F99" s="108"/>
      <c r="G99" s="108"/>
      <c r="H99" s="108"/>
      <c r="I99" s="108"/>
      <c r="J99" s="108"/>
      <c r="K99" s="109"/>
    </row>
    <row r="100" spans="1:11" s="203" customFormat="1" ht="16.5" customHeight="1" thickBot="1">
      <c r="A100" s="217"/>
      <c r="B100" s="107"/>
      <c r="C100" s="211"/>
      <c r="D100" s="211"/>
      <c r="E100" s="212"/>
      <c r="F100" s="108"/>
      <c r="G100" s="108"/>
      <c r="H100" s="108"/>
      <c r="I100" s="108"/>
      <c r="J100" s="108"/>
      <c r="K100" s="109"/>
    </row>
    <row r="101" spans="1:11" s="203" customFormat="1" ht="132" customHeight="1" thickBot="1">
      <c r="A101" s="217"/>
      <c r="B101" s="107"/>
      <c r="C101" s="213" t="s">
        <v>585</v>
      </c>
      <c r="D101" s="214" t="s">
        <v>675</v>
      </c>
      <c r="E101" s="716" t="s">
        <v>805</v>
      </c>
      <c r="F101" s="108"/>
      <c r="G101" s="108"/>
      <c r="H101" s="108"/>
      <c r="I101" s="108"/>
      <c r="J101" s="108"/>
      <c r="K101" s="109"/>
    </row>
    <row r="102" spans="1:11" s="203" customFormat="1" ht="16.5" customHeight="1" thickBot="1">
      <c r="A102" s="217"/>
      <c r="B102" s="107"/>
      <c r="C102" s="211"/>
      <c r="D102" s="221"/>
      <c r="E102" s="212"/>
      <c r="F102" s="108"/>
      <c r="G102" s="108"/>
      <c r="H102" s="108"/>
      <c r="I102" s="108"/>
      <c r="J102" s="108"/>
      <c r="K102" s="109"/>
    </row>
    <row r="103" spans="1:11" s="203" customFormat="1" ht="132" customHeight="1" thickBot="1">
      <c r="A103" s="217"/>
      <c r="B103" s="107"/>
      <c r="C103" s="207" t="s">
        <v>443</v>
      </c>
      <c r="D103" s="204" t="s">
        <v>676</v>
      </c>
      <c r="E103" s="716" t="s">
        <v>788</v>
      </c>
      <c r="F103" s="108"/>
      <c r="G103" s="108"/>
      <c r="H103" s="108"/>
      <c r="I103" s="108"/>
      <c r="J103" s="108"/>
      <c r="K103" s="109"/>
    </row>
    <row r="104" spans="1:11" s="203" customFormat="1" ht="16.5" customHeight="1" thickBot="1">
      <c r="A104" s="217"/>
      <c r="B104" s="107"/>
      <c r="C104" s="211"/>
      <c r="D104" s="211"/>
      <c r="E104" s="212"/>
      <c r="F104" s="108"/>
      <c r="G104" s="108"/>
      <c r="H104" s="108"/>
      <c r="I104" s="108"/>
      <c r="J104" s="108"/>
      <c r="K104" s="109"/>
    </row>
    <row r="105" spans="1:11" s="203" customFormat="1" ht="82.5" customHeight="1" thickBot="1">
      <c r="A105" s="217"/>
      <c r="B105" s="107"/>
      <c r="C105" s="207" t="s">
        <v>582</v>
      </c>
      <c r="D105" s="204" t="s">
        <v>677</v>
      </c>
      <c r="E105" s="716" t="s">
        <v>788</v>
      </c>
      <c r="F105" s="108"/>
      <c r="G105" s="108"/>
      <c r="H105" s="108"/>
      <c r="I105" s="108"/>
      <c r="J105" s="108"/>
      <c r="K105" s="109"/>
    </row>
    <row r="106" spans="1:11" s="203" customFormat="1" ht="16.5" customHeight="1" thickBot="1">
      <c r="A106" s="217"/>
      <c r="B106" s="107"/>
      <c r="C106" s="211"/>
      <c r="D106" s="211"/>
      <c r="E106" s="212"/>
      <c r="F106" s="108"/>
      <c r="G106" s="108"/>
      <c r="H106" s="108"/>
      <c r="I106" s="108"/>
      <c r="J106" s="108"/>
      <c r="K106" s="109"/>
    </row>
    <row r="107" spans="1:11" s="203" customFormat="1" ht="99" customHeight="1" thickBot="1">
      <c r="A107" s="217"/>
      <c r="B107" s="107"/>
      <c r="C107" s="207" t="s">
        <v>103</v>
      </c>
      <c r="D107" s="204" t="s">
        <v>678</v>
      </c>
      <c r="E107" s="716" t="s">
        <v>788</v>
      </c>
      <c r="F107" s="108"/>
      <c r="G107" s="108"/>
      <c r="H107" s="108"/>
      <c r="I107" s="108"/>
      <c r="J107" s="108"/>
      <c r="K107" s="109"/>
    </row>
    <row r="108" spans="1:11" s="203" customFormat="1" ht="16.5" customHeight="1" thickBot="1">
      <c r="A108" s="217"/>
      <c r="B108" s="107"/>
      <c r="C108" s="211"/>
      <c r="D108" s="211"/>
      <c r="E108" s="212"/>
      <c r="F108" s="108"/>
      <c r="G108" s="108"/>
      <c r="H108" s="108"/>
      <c r="I108" s="108"/>
      <c r="J108" s="108"/>
      <c r="K108" s="109"/>
    </row>
    <row r="109" spans="1:11" s="203" customFormat="1" ht="99" customHeight="1" thickBot="1">
      <c r="A109" s="217"/>
      <c r="B109" s="107"/>
      <c r="C109" s="213" t="s">
        <v>562</v>
      </c>
      <c r="D109" s="250" t="s">
        <v>679</v>
      </c>
      <c r="E109" s="716" t="s">
        <v>788</v>
      </c>
      <c r="F109" s="108"/>
      <c r="G109" s="108"/>
      <c r="H109" s="108"/>
      <c r="I109" s="108"/>
      <c r="J109" s="108"/>
      <c r="K109" s="109"/>
    </row>
    <row r="110" spans="1:11" s="203" customFormat="1" ht="16.5" customHeight="1" thickBot="1">
      <c r="A110" s="217"/>
      <c r="B110" s="107"/>
      <c r="C110" s="211"/>
      <c r="D110" s="211"/>
      <c r="E110" s="212"/>
      <c r="F110" s="108"/>
      <c r="G110" s="108"/>
      <c r="H110" s="108"/>
      <c r="I110" s="108"/>
      <c r="J110" s="108"/>
      <c r="K110" s="109"/>
    </row>
    <row r="111" spans="1:11" s="203" customFormat="1" ht="47" thickBot="1">
      <c r="A111" s="217"/>
      <c r="B111" s="107"/>
      <c r="C111" s="213" t="s">
        <v>592</v>
      </c>
      <c r="D111" s="250" t="s">
        <v>629</v>
      </c>
      <c r="E111" s="215"/>
      <c r="F111" s="108"/>
      <c r="G111" s="108"/>
      <c r="H111" s="108"/>
      <c r="I111" s="108"/>
      <c r="J111" s="108"/>
      <c r="K111" s="109"/>
    </row>
    <row r="112" spans="1:11" s="203" customFormat="1" ht="16.5" customHeight="1" thickBot="1">
      <c r="A112" s="217"/>
      <c r="B112" s="107"/>
      <c r="C112" s="211"/>
      <c r="D112" s="211"/>
      <c r="E112" s="212"/>
      <c r="F112" s="108"/>
      <c r="G112" s="108"/>
      <c r="H112" s="108"/>
      <c r="I112" s="108"/>
      <c r="J112" s="108"/>
      <c r="K112" s="109"/>
    </row>
    <row r="113" spans="1:11" s="203" customFormat="1" ht="109" thickBot="1">
      <c r="A113" s="217"/>
      <c r="B113" s="107"/>
      <c r="C113" s="213" t="s">
        <v>593</v>
      </c>
      <c r="D113" s="250" t="s">
        <v>680</v>
      </c>
      <c r="E113" s="215"/>
      <c r="F113" s="108"/>
      <c r="G113" s="108"/>
      <c r="H113" s="108"/>
      <c r="I113" s="108"/>
      <c r="J113" s="108"/>
      <c r="K113" s="109"/>
    </row>
    <row r="114" spans="1:11" s="203" customFormat="1" ht="16.5" customHeight="1" thickBot="1">
      <c r="A114" s="217"/>
      <c r="B114" s="107"/>
      <c r="C114" s="211"/>
      <c r="D114" s="211"/>
      <c r="E114" s="212"/>
      <c r="F114" s="108"/>
      <c r="G114" s="108"/>
      <c r="H114" s="108"/>
      <c r="I114" s="108"/>
      <c r="J114" s="108"/>
      <c r="K114" s="109"/>
    </row>
    <row r="115" spans="1:11" s="203" customFormat="1" ht="247.5" customHeight="1" thickBot="1">
      <c r="A115" s="217"/>
      <c r="B115" s="107"/>
      <c r="C115" s="213" t="s">
        <v>681</v>
      </c>
      <c r="D115" s="214" t="s">
        <v>682</v>
      </c>
      <c r="E115" s="716" t="s">
        <v>788</v>
      </c>
      <c r="F115" s="108"/>
      <c r="G115" s="108"/>
      <c r="H115" s="108"/>
      <c r="I115" s="108"/>
      <c r="J115" s="108"/>
      <c r="K115" s="109"/>
    </row>
    <row r="116" spans="1:11" s="203" customFormat="1" ht="16.5" customHeight="1" thickBot="1">
      <c r="A116" s="217"/>
      <c r="B116" s="107"/>
      <c r="C116" s="211"/>
      <c r="D116" s="211"/>
      <c r="E116" s="212"/>
      <c r="F116" s="108"/>
      <c r="G116" s="108"/>
      <c r="H116" s="108"/>
      <c r="I116" s="108"/>
      <c r="J116" s="108"/>
      <c r="K116" s="109"/>
    </row>
    <row r="117" spans="1:11" s="203" customFormat="1" ht="33" customHeight="1" thickBot="1">
      <c r="A117" s="217"/>
      <c r="B117" s="107"/>
      <c r="C117" s="207" t="s">
        <v>494</v>
      </c>
      <c r="D117" s="206" t="s">
        <v>459</v>
      </c>
      <c r="E117" s="205" t="s">
        <v>724</v>
      </c>
      <c r="F117" s="108"/>
      <c r="G117" s="108"/>
      <c r="H117" s="108"/>
      <c r="I117" s="108"/>
      <c r="J117" s="108"/>
      <c r="K117" s="109"/>
    </row>
    <row r="118" spans="1:11" s="203" customFormat="1" ht="16.5" customHeight="1" thickBot="1">
      <c r="A118" s="217"/>
      <c r="B118" s="107"/>
      <c r="C118" s="211"/>
      <c r="D118" s="211"/>
      <c r="E118" s="212"/>
      <c r="F118" s="108"/>
      <c r="G118" s="108"/>
      <c r="H118" s="108"/>
      <c r="I118" s="108"/>
      <c r="J118" s="108"/>
      <c r="K118" s="109"/>
    </row>
    <row r="119" spans="1:11" s="203" customFormat="1" ht="132" customHeight="1" thickBot="1">
      <c r="A119" s="217"/>
      <c r="B119" s="107"/>
      <c r="C119" s="213" t="s">
        <v>601</v>
      </c>
      <c r="D119" s="250" t="s">
        <v>623</v>
      </c>
      <c r="E119" s="215"/>
      <c r="F119" s="108"/>
      <c r="G119" s="108"/>
      <c r="H119" s="108"/>
      <c r="I119" s="108"/>
      <c r="J119" s="108"/>
      <c r="K119" s="109"/>
    </row>
    <row r="120" spans="1:11" s="203" customFormat="1" ht="16.5" customHeight="1" thickBot="1">
      <c r="A120" s="217"/>
      <c r="B120" s="107"/>
      <c r="C120" s="211"/>
      <c r="D120" s="211"/>
      <c r="E120" s="212"/>
      <c r="F120" s="108"/>
      <c r="G120" s="108"/>
      <c r="H120" s="108"/>
      <c r="I120" s="108"/>
      <c r="J120" s="108"/>
      <c r="K120" s="109"/>
    </row>
    <row r="121" spans="1:11" s="203" customFormat="1" ht="132" customHeight="1" thickBot="1">
      <c r="A121" s="217"/>
      <c r="B121" s="107"/>
      <c r="C121" s="207" t="s">
        <v>435</v>
      </c>
      <c r="D121" s="204" t="s">
        <v>460</v>
      </c>
      <c r="E121" s="205" t="s">
        <v>724</v>
      </c>
      <c r="F121" s="108"/>
      <c r="G121" s="108"/>
      <c r="H121" s="108"/>
      <c r="I121" s="108"/>
      <c r="J121" s="108"/>
      <c r="K121" s="109"/>
    </row>
    <row r="122" spans="1:11" s="203" customFormat="1" ht="16.5" customHeight="1" thickBot="1">
      <c r="A122" s="217"/>
      <c r="B122" s="107"/>
      <c r="C122" s="211"/>
      <c r="D122" s="211"/>
      <c r="E122" s="212"/>
      <c r="F122" s="108"/>
      <c r="G122" s="108"/>
      <c r="H122" s="108"/>
      <c r="I122" s="108"/>
      <c r="J122" s="108"/>
      <c r="K122" s="109"/>
    </row>
    <row r="123" spans="1:11" s="203" customFormat="1" ht="99" customHeight="1" thickBot="1">
      <c r="A123" s="217"/>
      <c r="B123" s="107"/>
      <c r="C123" s="207" t="s">
        <v>571</v>
      </c>
      <c r="D123" s="204" t="s">
        <v>572</v>
      </c>
      <c r="E123" s="251"/>
      <c r="F123" s="108"/>
      <c r="G123" s="108"/>
      <c r="H123" s="108"/>
      <c r="I123" s="108"/>
      <c r="J123" s="108"/>
      <c r="K123" s="109"/>
    </row>
    <row r="124" spans="1:11" s="203" customFormat="1" ht="16.5" customHeight="1" thickBot="1">
      <c r="A124" s="217"/>
      <c r="B124" s="107"/>
      <c r="C124" s="211"/>
      <c r="D124" s="211"/>
      <c r="E124" s="212"/>
      <c r="F124" s="108"/>
      <c r="G124" s="108"/>
      <c r="H124" s="108"/>
      <c r="I124" s="108"/>
      <c r="J124" s="108"/>
      <c r="K124" s="109"/>
    </row>
    <row r="125" spans="1:11" s="203" customFormat="1" ht="132" customHeight="1" thickBot="1">
      <c r="A125" s="217"/>
      <c r="B125" s="107"/>
      <c r="C125" s="207" t="s">
        <v>243</v>
      </c>
      <c r="D125" s="204" t="s">
        <v>454</v>
      </c>
      <c r="E125" s="205" t="s">
        <v>724</v>
      </c>
      <c r="F125" s="108"/>
      <c r="G125" s="108"/>
      <c r="H125" s="108"/>
      <c r="I125" s="108"/>
      <c r="J125" s="108"/>
      <c r="K125" s="109"/>
    </row>
    <row r="126" spans="1:11" s="203" customFormat="1" ht="16.5" customHeight="1" thickBot="1">
      <c r="A126" s="217"/>
      <c r="B126" s="107"/>
      <c r="C126" s="211"/>
      <c r="D126" s="211"/>
      <c r="E126" s="212"/>
      <c r="F126" s="108"/>
      <c r="G126" s="108"/>
      <c r="H126" s="108"/>
      <c r="I126" s="108"/>
      <c r="J126" s="108"/>
      <c r="K126" s="109"/>
    </row>
    <row r="127" spans="1:11" s="203" customFormat="1" ht="231" customHeight="1">
      <c r="A127" s="1264"/>
      <c r="B127" s="222"/>
      <c r="C127" s="1258" t="s">
        <v>44</v>
      </c>
      <c r="D127" s="1260" t="s">
        <v>879</v>
      </c>
      <c r="E127" s="1262" t="s">
        <v>930</v>
      </c>
      <c r="F127" s="108"/>
      <c r="G127" s="108"/>
      <c r="H127" s="108"/>
      <c r="I127" s="108"/>
      <c r="J127" s="108"/>
      <c r="K127" s="109"/>
    </row>
    <row r="128" spans="1:11" s="203" customFormat="1" ht="231" customHeight="1" thickBot="1">
      <c r="A128" s="1264"/>
      <c r="B128" s="222"/>
      <c r="C128" s="1259"/>
      <c r="D128" s="1261"/>
      <c r="E128" s="1263"/>
      <c r="F128" s="108"/>
      <c r="G128" s="108"/>
      <c r="H128" s="108"/>
      <c r="I128" s="108"/>
      <c r="J128" s="108"/>
      <c r="K128" s="109"/>
    </row>
    <row r="129" spans="1:11" s="203" customFormat="1" ht="16.5" customHeight="1" thickBot="1">
      <c r="A129" s="218"/>
      <c r="B129" s="222"/>
      <c r="C129" s="223"/>
      <c r="D129" s="223"/>
      <c r="E129" s="225"/>
      <c r="F129" s="108"/>
      <c r="G129" s="108"/>
      <c r="H129" s="108"/>
      <c r="I129" s="108"/>
      <c r="J129" s="108"/>
      <c r="K129" s="109"/>
    </row>
    <row r="130" spans="1:11" s="203" customFormat="1" ht="120.75" customHeight="1" thickBot="1">
      <c r="A130" s="217"/>
      <c r="B130" s="107"/>
      <c r="C130" s="207" t="s">
        <v>428</v>
      </c>
      <c r="D130" s="204" t="s">
        <v>758</v>
      </c>
      <c r="E130" s="205" t="s">
        <v>724</v>
      </c>
      <c r="F130" s="108"/>
      <c r="G130" s="108"/>
      <c r="H130" s="108"/>
      <c r="I130" s="108"/>
      <c r="J130" s="108"/>
      <c r="K130" s="109"/>
    </row>
    <row r="131" spans="1:11" s="203" customFormat="1" ht="16.5" customHeight="1" thickBot="1">
      <c r="A131" s="217"/>
      <c r="B131" s="107"/>
      <c r="C131" s="211"/>
      <c r="D131" s="211"/>
      <c r="E131" s="212"/>
      <c r="F131" s="108"/>
      <c r="G131" s="108"/>
      <c r="H131" s="108"/>
      <c r="I131" s="108"/>
      <c r="J131" s="108"/>
      <c r="K131" s="109"/>
    </row>
    <row r="132" spans="1:11" s="203" customFormat="1" ht="297" customHeight="1" thickBot="1">
      <c r="A132" s="217"/>
      <c r="B132" s="107"/>
      <c r="C132" s="207" t="s">
        <v>429</v>
      </c>
      <c r="D132" s="204" t="s">
        <v>683</v>
      </c>
      <c r="E132" s="251" t="s">
        <v>724</v>
      </c>
      <c r="F132" s="108"/>
      <c r="G132" s="108"/>
      <c r="H132" s="108"/>
      <c r="I132" s="108"/>
      <c r="J132" s="108"/>
      <c r="K132" s="109"/>
    </row>
    <row r="133" spans="1:11" s="203" customFormat="1" ht="16.5" customHeight="1" thickBot="1">
      <c r="A133" s="217"/>
      <c r="B133" s="107"/>
      <c r="C133" s="211"/>
      <c r="D133" s="211"/>
      <c r="E133" s="212"/>
      <c r="F133" s="108"/>
      <c r="G133" s="108"/>
      <c r="H133" s="108"/>
      <c r="I133" s="108"/>
      <c r="J133" s="108"/>
      <c r="K133" s="109"/>
    </row>
    <row r="134" spans="1:11" s="203" customFormat="1" ht="132" customHeight="1" thickBot="1">
      <c r="A134" s="217"/>
      <c r="B134" s="107"/>
      <c r="C134" s="207" t="s">
        <v>104</v>
      </c>
      <c r="D134" s="204" t="s">
        <v>731</v>
      </c>
      <c r="E134" s="716" t="s">
        <v>805</v>
      </c>
      <c r="F134" s="108"/>
      <c r="G134" s="108"/>
      <c r="H134" s="108"/>
      <c r="I134" s="108"/>
      <c r="J134" s="108"/>
      <c r="K134" s="109"/>
    </row>
    <row r="135" spans="1:11" s="203" customFormat="1" ht="16.5" customHeight="1" thickBot="1">
      <c r="A135" s="217"/>
      <c r="B135" s="107"/>
      <c r="C135" s="211"/>
      <c r="D135" s="211"/>
      <c r="E135" s="212"/>
      <c r="F135" s="108"/>
      <c r="G135" s="108"/>
      <c r="H135" s="108"/>
      <c r="I135" s="108"/>
      <c r="J135" s="108"/>
      <c r="K135" s="109"/>
    </row>
    <row r="136" spans="1:11" s="203" customFormat="1" ht="47" thickBot="1">
      <c r="A136" s="217"/>
      <c r="B136" s="107"/>
      <c r="C136" s="213" t="s">
        <v>550</v>
      </c>
      <c r="D136" s="250" t="s">
        <v>684</v>
      </c>
      <c r="E136" s="215"/>
      <c r="F136" s="108"/>
      <c r="G136" s="108"/>
      <c r="H136" s="108"/>
      <c r="I136" s="108"/>
      <c r="J136" s="108"/>
      <c r="K136" s="109"/>
    </row>
    <row r="137" spans="1:11" s="203" customFormat="1" ht="16.5" customHeight="1" thickBot="1">
      <c r="A137" s="217"/>
      <c r="B137" s="107"/>
      <c r="C137" s="211"/>
      <c r="D137" s="211"/>
      <c r="E137" s="212"/>
      <c r="F137" s="108"/>
      <c r="G137" s="108"/>
      <c r="H137" s="108"/>
      <c r="I137" s="108"/>
      <c r="J137" s="108"/>
      <c r="K137" s="109"/>
    </row>
    <row r="138" spans="1:11" s="203" customFormat="1" ht="99" customHeight="1" thickBot="1">
      <c r="A138" s="217"/>
      <c r="B138" s="107"/>
      <c r="C138" s="213" t="s">
        <v>411</v>
      </c>
      <c r="D138" s="250" t="s">
        <v>630</v>
      </c>
      <c r="E138" s="215"/>
      <c r="F138" s="108"/>
      <c r="G138" s="108"/>
      <c r="H138" s="108"/>
      <c r="I138" s="108"/>
      <c r="J138" s="108"/>
      <c r="K138" s="109"/>
    </row>
    <row r="139" spans="1:11" s="203" customFormat="1" ht="16.5" customHeight="1" thickBot="1">
      <c r="A139" s="217"/>
      <c r="B139" s="107"/>
      <c r="C139" s="211"/>
      <c r="D139" s="211"/>
      <c r="E139" s="212"/>
      <c r="F139" s="108"/>
      <c r="G139" s="108"/>
      <c r="H139" s="108"/>
      <c r="I139" s="108"/>
      <c r="J139" s="108"/>
      <c r="K139" s="109"/>
    </row>
    <row r="140" spans="1:11" s="203" customFormat="1" ht="99" customHeight="1" thickBot="1">
      <c r="A140" s="217"/>
      <c r="B140" s="107"/>
      <c r="C140" s="213" t="s">
        <v>418</v>
      </c>
      <c r="D140" s="250" t="s">
        <v>685</v>
      </c>
      <c r="E140" s="215"/>
      <c r="F140" s="108"/>
      <c r="G140" s="108"/>
      <c r="H140" s="108"/>
      <c r="I140" s="108"/>
      <c r="J140" s="108"/>
      <c r="K140" s="109"/>
    </row>
    <row r="141" spans="1:11" s="203" customFormat="1" ht="16.5" customHeight="1" thickBot="1">
      <c r="A141" s="217"/>
      <c r="B141" s="107"/>
      <c r="C141" s="211"/>
      <c r="D141" s="211"/>
      <c r="E141" s="212"/>
      <c r="F141" s="108"/>
      <c r="G141" s="108"/>
      <c r="H141" s="108"/>
      <c r="I141" s="108"/>
      <c r="J141" s="108"/>
      <c r="K141" s="109"/>
    </row>
    <row r="142" spans="1:11" s="203" customFormat="1" ht="99" customHeight="1" thickBot="1">
      <c r="A142" s="217"/>
      <c r="B142" s="107"/>
      <c r="C142" s="207" t="s">
        <v>437</v>
      </c>
      <c r="D142" s="204" t="s">
        <v>461</v>
      </c>
      <c r="E142" s="205" t="s">
        <v>724</v>
      </c>
      <c r="F142" s="108"/>
      <c r="G142" s="108"/>
      <c r="H142" s="108"/>
      <c r="I142" s="108"/>
      <c r="J142" s="108"/>
      <c r="K142" s="109"/>
    </row>
    <row r="143" spans="1:11" s="203" customFormat="1" ht="16.5" customHeight="1" thickBot="1">
      <c r="A143" s="217"/>
      <c r="B143" s="107"/>
      <c r="C143" s="211"/>
      <c r="D143" s="211"/>
      <c r="E143" s="212"/>
      <c r="F143" s="108"/>
      <c r="G143" s="108"/>
      <c r="H143" s="108"/>
      <c r="I143" s="108"/>
      <c r="J143" s="108"/>
      <c r="K143" s="109"/>
    </row>
    <row r="144" spans="1:11" s="203" customFormat="1" ht="99" customHeight="1" thickBot="1">
      <c r="A144" s="217"/>
      <c r="B144" s="107"/>
      <c r="C144" s="207" t="s">
        <v>238</v>
      </c>
      <c r="D144" s="204" t="s">
        <v>686</v>
      </c>
      <c r="E144" s="205" t="s">
        <v>724</v>
      </c>
      <c r="F144" s="108"/>
      <c r="G144" s="108"/>
      <c r="H144" s="108"/>
      <c r="I144" s="108"/>
      <c r="J144" s="108"/>
      <c r="K144" s="109"/>
    </row>
    <row r="145" spans="1:11" s="203" customFormat="1" ht="16.5" customHeight="1">
      <c r="A145" s="217"/>
      <c r="B145" s="107"/>
      <c r="C145" s="220"/>
      <c r="D145" s="211"/>
      <c r="E145" s="212"/>
      <c r="F145" s="108"/>
      <c r="G145" s="108"/>
      <c r="H145" s="108"/>
      <c r="I145" s="108"/>
      <c r="J145" s="108"/>
      <c r="K145" s="109"/>
    </row>
    <row r="146" spans="1:11" s="203" customFormat="1">
      <c r="A146" s="217"/>
      <c r="B146" s="107"/>
      <c r="C146" s="220"/>
      <c r="D146" s="211"/>
      <c r="E146" s="212"/>
      <c r="F146" s="108"/>
      <c r="G146" s="108"/>
      <c r="H146" s="108"/>
      <c r="I146" s="108"/>
      <c r="J146" s="108"/>
      <c r="K146" s="109"/>
    </row>
    <row r="147" spans="1:11" s="203" customFormat="1">
      <c r="A147" s="217"/>
      <c r="B147" s="107"/>
      <c r="C147" s="220"/>
      <c r="D147" s="211"/>
      <c r="E147" s="212"/>
      <c r="F147" s="108"/>
      <c r="G147" s="108"/>
      <c r="H147" s="108"/>
      <c r="I147" s="108"/>
      <c r="J147" s="108"/>
      <c r="K147" s="109"/>
    </row>
    <row r="148" spans="1:11" s="203" customFormat="1">
      <c r="A148" s="217"/>
      <c r="B148" s="107"/>
      <c r="C148" s="220"/>
      <c r="D148" s="211"/>
      <c r="E148" s="212"/>
      <c r="F148" s="108"/>
      <c r="G148" s="108"/>
      <c r="H148" s="108"/>
      <c r="I148" s="108"/>
      <c r="J148" s="108"/>
      <c r="K148" s="109"/>
    </row>
    <row r="149" spans="1:11" s="203" customFormat="1">
      <c r="A149" s="217"/>
      <c r="B149" s="107"/>
      <c r="C149" s="220"/>
      <c r="D149" s="211"/>
      <c r="E149" s="212"/>
      <c r="F149" s="108"/>
      <c r="G149" s="108"/>
      <c r="H149" s="108"/>
      <c r="I149" s="108"/>
      <c r="J149" s="108"/>
      <c r="K149" s="109"/>
    </row>
    <row r="150" spans="1:11" ht="16" thickBot="1">
      <c r="A150" s="766"/>
      <c r="B150" s="1005" t="str">
        <f>IF('Start Page'!$H$29="","",'Start Page'!$H$29)</f>
        <v/>
      </c>
      <c r="C150" s="1006"/>
      <c r="D150" s="774"/>
      <c r="E150" s="775"/>
      <c r="F150" s="752"/>
      <c r="G150" s="752"/>
      <c r="H150" s="752"/>
      <c r="I150" s="752"/>
      <c r="J150" s="752"/>
      <c r="K150" s="727" t="s">
        <v>922</v>
      </c>
    </row>
    <row r="151" spans="1:11" hidden="1">
      <c r="C151" s="801"/>
      <c r="D151" s="802"/>
      <c r="E151" s="803"/>
    </row>
    <row r="152" spans="1:11" hidden="1">
      <c r="C152" s="801"/>
      <c r="D152" s="802"/>
      <c r="E152" s="803"/>
    </row>
    <row r="153" spans="1:11" hidden="1">
      <c r="C153" s="801"/>
      <c r="E153" s="803"/>
    </row>
    <row r="154" spans="1:11" hidden="1">
      <c r="C154" s="801"/>
      <c r="E154" s="803"/>
    </row>
    <row r="155" spans="1:11" hidden="1">
      <c r="C155" s="801"/>
      <c r="E155" s="803"/>
    </row>
    <row r="156" spans="1:11" hidden="1">
      <c r="C156" s="801"/>
      <c r="E156" s="803"/>
    </row>
    <row r="157" spans="1:11" hidden="1">
      <c r="C157" s="801"/>
      <c r="E157" s="803"/>
    </row>
    <row r="158" spans="1:11" hidden="1">
      <c r="C158" s="801"/>
      <c r="E158" s="803"/>
    </row>
    <row r="159" spans="1:11" hidden="1">
      <c r="C159" s="801"/>
      <c r="E159" s="803"/>
    </row>
    <row r="160" spans="1:11" hidden="1">
      <c r="C160" s="801"/>
      <c r="E160" s="803"/>
    </row>
    <row r="161" spans="3:5" hidden="1">
      <c r="C161" s="801"/>
      <c r="E161" s="803"/>
    </row>
    <row r="162" spans="3:5" hidden="1">
      <c r="C162" s="801"/>
      <c r="E162" s="803"/>
    </row>
    <row r="163" spans="3:5" hidden="1">
      <c r="C163" s="801"/>
      <c r="E163" s="803"/>
    </row>
    <row r="164" spans="3:5" hidden="1">
      <c r="C164" s="801"/>
      <c r="E164" s="803"/>
    </row>
    <row r="165" spans="3:5" hidden="1">
      <c r="C165" s="801"/>
      <c r="E165" s="803"/>
    </row>
    <row r="166" spans="3:5" hidden="1">
      <c r="C166" s="801"/>
      <c r="E166" s="803"/>
    </row>
    <row r="167" spans="3:5" hidden="1">
      <c r="C167" s="801"/>
      <c r="E167" s="803"/>
    </row>
    <row r="168" spans="3:5" hidden="1">
      <c r="C168" s="801"/>
      <c r="E168" s="803"/>
    </row>
    <row r="169" spans="3:5" hidden="1">
      <c r="C169" s="801"/>
      <c r="E169" s="803"/>
    </row>
    <row r="170" spans="3:5" hidden="1">
      <c r="C170" s="801"/>
      <c r="E170" s="803"/>
    </row>
    <row r="171" spans="3:5" hidden="1">
      <c r="C171" s="801"/>
      <c r="E171" s="803"/>
    </row>
    <row r="172" spans="3:5" hidden="1">
      <c r="C172" s="801"/>
      <c r="E172" s="803"/>
    </row>
    <row r="173" spans="3:5" hidden="1">
      <c r="C173" s="801"/>
      <c r="E173" s="803"/>
    </row>
    <row r="174" spans="3:5" hidden="1">
      <c r="C174" s="801"/>
      <c r="E174" s="803"/>
    </row>
    <row r="175" spans="3:5" hidden="1">
      <c r="C175" s="801"/>
      <c r="E175" s="803"/>
    </row>
    <row r="176" spans="3:5" hidden="1">
      <c r="C176" s="801"/>
      <c r="E176" s="803"/>
    </row>
    <row r="177" spans="3:5" hidden="1">
      <c r="C177" s="801"/>
      <c r="E177" s="803"/>
    </row>
    <row r="178" spans="3:5" hidden="1">
      <c r="C178" s="801"/>
      <c r="E178" s="803"/>
    </row>
    <row r="179" spans="3:5" hidden="1">
      <c r="C179" s="801"/>
      <c r="E179" s="803"/>
    </row>
    <row r="180" spans="3:5" hidden="1">
      <c r="C180" s="801"/>
      <c r="E180" s="803"/>
    </row>
    <row r="181" spans="3:5" hidden="1">
      <c r="C181" s="801"/>
      <c r="E181" s="803"/>
    </row>
    <row r="182" spans="3:5" hidden="1">
      <c r="C182" s="801"/>
      <c r="E182" s="803"/>
    </row>
    <row r="183" spans="3:5" hidden="1">
      <c r="C183" s="801"/>
      <c r="E183" s="803"/>
    </row>
    <row r="184" spans="3:5" hidden="1">
      <c r="C184" s="801"/>
      <c r="E184" s="803"/>
    </row>
    <row r="185" spans="3:5" hidden="1">
      <c r="C185" s="801"/>
      <c r="E185" s="803"/>
    </row>
    <row r="186" spans="3:5" hidden="1">
      <c r="C186" s="801"/>
      <c r="E186" s="803"/>
    </row>
    <row r="187" spans="3:5" hidden="1">
      <c r="C187" s="801"/>
      <c r="E187" s="803"/>
    </row>
    <row r="188" spans="3:5" hidden="1">
      <c r="C188" s="801"/>
      <c r="E188" s="803"/>
    </row>
    <row r="189" spans="3:5" hidden="1">
      <c r="C189" s="801"/>
      <c r="E189" s="803"/>
    </row>
    <row r="190" spans="3:5" hidden="1">
      <c r="C190" s="801"/>
      <c r="E190" s="803"/>
    </row>
    <row r="191" spans="3:5" hidden="1">
      <c r="C191" s="801"/>
      <c r="E191" s="803"/>
    </row>
    <row r="192" spans="3:5" hidden="1">
      <c r="C192" s="801"/>
      <c r="E192" s="803"/>
    </row>
    <row r="193" spans="3:5" hidden="1">
      <c r="C193" s="801"/>
      <c r="D193" s="804"/>
      <c r="E193" s="803"/>
    </row>
    <row r="194" spans="3:5" hidden="1">
      <c r="C194" s="801"/>
      <c r="E194" s="803"/>
    </row>
    <row r="195" spans="3:5" hidden="1">
      <c r="C195" s="801"/>
      <c r="E195" s="803"/>
    </row>
    <row r="196" spans="3:5" hidden="1">
      <c r="C196" s="801"/>
      <c r="E196" s="803"/>
    </row>
    <row r="197" spans="3:5" hidden="1">
      <c r="C197" s="801"/>
      <c r="E197" s="803"/>
    </row>
    <row r="198" spans="3:5" hidden="1">
      <c r="C198" s="801"/>
      <c r="E198" s="803"/>
    </row>
    <row r="199" spans="3:5" hidden="1">
      <c r="C199" s="801"/>
      <c r="E199" s="803"/>
    </row>
    <row r="200" spans="3:5" hidden="1">
      <c r="C200" s="801"/>
      <c r="E200" s="803"/>
    </row>
    <row r="201" spans="3:5" hidden="1">
      <c r="C201" s="801"/>
      <c r="E201" s="803"/>
    </row>
    <row r="202" spans="3:5" hidden="1">
      <c r="E202" s="803"/>
    </row>
    <row r="203" spans="3:5" hidden="1">
      <c r="E203" s="803"/>
    </row>
    <row r="204" spans="3:5" hidden="1">
      <c r="E204" s="803"/>
    </row>
    <row r="205" spans="3:5" hidden="1">
      <c r="E205" s="803"/>
    </row>
    <row r="206" spans="3:5" hidden="1">
      <c r="E206" s="803"/>
    </row>
    <row r="207" spans="3:5" hidden="1">
      <c r="E207" s="803"/>
    </row>
    <row r="208" spans="3:5" hidden="1">
      <c r="E208" s="803"/>
    </row>
    <row r="209" spans="5:5" hidden="1">
      <c r="E209" s="803"/>
    </row>
    <row r="210" spans="5:5" hidden="1">
      <c r="E210" s="803"/>
    </row>
    <row r="211" spans="5:5" hidden="1">
      <c r="E211" s="803"/>
    </row>
    <row r="212" spans="5:5" hidden="1">
      <c r="E212" s="803"/>
    </row>
    <row r="213" spans="5:5" hidden="1">
      <c r="E213" s="803"/>
    </row>
    <row r="214" spans="5:5" hidden="1">
      <c r="E214" s="803"/>
    </row>
    <row r="215" spans="5:5" hidden="1"/>
    <row r="216" spans="5:5" hidden="1"/>
    <row r="217" spans="5:5" hidden="1"/>
    <row r="218" spans="5:5" hidden="1"/>
    <row r="219" spans="5:5" hidden="1"/>
    <row r="220" spans="5:5" hidden="1"/>
  </sheetData>
  <sheetProtection algorithmName="SHA-512" hashValue="Api9ImHgP6rAn6Gv+Q+pkTiqZPGr4TcZpOV8enE/mI36PDVj2eiv2GYzLqFN6ChY2L1cDOd2RY8zoYoQZMXHqw==" saltValue="0y7Fma6rS295KacFTbJiPA==" spinCount="100000" sheet="1" objects="1" scenarios="1"/>
  <mergeCells count="11">
    <mergeCell ref="A127:A128"/>
    <mergeCell ref="B3:K3"/>
    <mergeCell ref="D36:D37"/>
    <mergeCell ref="C36:C37"/>
    <mergeCell ref="A36:A37"/>
    <mergeCell ref="E36:E37"/>
    <mergeCell ref="B1:E2"/>
    <mergeCell ref="B150:C150"/>
    <mergeCell ref="C127:C128"/>
    <mergeCell ref="D127:D128"/>
    <mergeCell ref="E127:E128"/>
  </mergeCells>
  <pageMargins left="0.75" right="0.75" top="1" bottom="1" header="0.5" footer="0.5"/>
  <pageSetup paperSize="0" scale="48" fitToHeight="0" orientation="portrait" r:id="rId1"/>
  <rowBreaks count="7" manualBreakCount="7">
    <brk id="33" min="1" max="10" man="1"/>
    <brk id="40" min="1" max="10" man="1"/>
    <brk id="58" min="1" max="10" man="1"/>
    <brk id="74" min="1" max="10" man="1"/>
    <brk id="86" min="1" max="10" man="1"/>
    <brk id="108" min="1" max="10" man="1"/>
    <brk id="126" min="1" max="10" man="1"/>
  </rowBreaks>
  <ignoredErrors>
    <ignoredError sqref="B150" emptyCellReference="1"/>
  </ignoredError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cense"/>
  <dimension ref="A1:K12"/>
  <sheetViews>
    <sheetView workbookViewId="0">
      <selection sqref="A1:G2"/>
    </sheetView>
  </sheetViews>
  <sheetFormatPr defaultColWidth="0" defaultRowHeight="15.5" zeroHeight="1"/>
  <cols>
    <col min="1" max="1" width="16.69140625" style="349" customWidth="1"/>
    <col min="2" max="6" width="8.84375" style="884" customWidth="1"/>
    <col min="7" max="7" width="22.23046875" style="885" customWidth="1"/>
    <col min="8" max="11" width="0" style="397" hidden="1" customWidth="1"/>
    <col min="12" max="16384" width="8.84375" style="397" hidden="1"/>
  </cols>
  <sheetData>
    <row r="1" spans="1:10" ht="15.75" customHeight="1">
      <c r="A1" s="1054" t="s">
        <v>920</v>
      </c>
      <c r="B1" s="1055"/>
      <c r="C1" s="1055"/>
      <c r="D1" s="1055"/>
      <c r="E1" s="1055"/>
      <c r="F1" s="1055"/>
      <c r="G1" s="1265"/>
    </row>
    <row r="2" spans="1:10" ht="15.75" customHeight="1">
      <c r="A2" s="1056"/>
      <c r="B2" s="1057"/>
      <c r="C2" s="1057"/>
      <c r="D2" s="1057"/>
      <c r="E2" s="1057"/>
      <c r="F2" s="1057"/>
      <c r="G2" s="1266"/>
      <c r="H2" s="817"/>
      <c r="I2" s="817"/>
      <c r="J2" s="817"/>
    </row>
    <row r="3" spans="1:10" ht="15.75" customHeight="1">
      <c r="A3" s="867" t="str">
        <f>IF('Start Page'!$Y$37="","",IF('Start Page'!$K$37="Partial Audit Period","Water Audit: "&amp;'Start Page'!$D$26&amp;", "&amp;'Start Page'!$H$26&amp;", "&amp;'Start Page'!$K$26&amp;", "&amp;'Start Page'!$Y$37,"Water Audit: "&amp;'Start Page'!$D$26&amp;", "&amp;'Start Page'!$H$26&amp;", "&amp;'Start Page'!$K$26&amp;", "&amp;YEAR('Start Page'!$Y$37)))</f>
        <v/>
      </c>
      <c r="B3" s="520"/>
      <c r="C3" s="874"/>
      <c r="D3" s="874"/>
      <c r="E3" s="874"/>
      <c r="F3" s="874"/>
      <c r="G3" s="823"/>
      <c r="H3" s="817"/>
      <c r="I3" s="817"/>
      <c r="J3" s="817"/>
    </row>
    <row r="4" spans="1:10" ht="16" thickBot="1">
      <c r="A4" s="867" t="s">
        <v>795</v>
      </c>
      <c r="B4" s="520"/>
      <c r="C4" s="874"/>
      <c r="D4" s="874"/>
      <c r="E4" s="874"/>
      <c r="F4" s="874"/>
      <c r="G4" s="823"/>
      <c r="H4" s="817"/>
      <c r="I4" s="817"/>
      <c r="J4" s="817"/>
    </row>
    <row r="5" spans="1:10" ht="18" customHeight="1">
      <c r="A5" s="964" t="s">
        <v>917</v>
      </c>
      <c r="B5" s="965"/>
      <c r="C5" s="965"/>
      <c r="D5" s="965"/>
      <c r="E5" s="965"/>
      <c r="F5" s="965"/>
      <c r="G5" s="966"/>
      <c r="H5" s="818"/>
      <c r="I5" s="818"/>
      <c r="J5" s="818"/>
    </row>
    <row r="6" spans="1:10" ht="18" customHeight="1">
      <c r="A6" s="933"/>
      <c r="B6" s="934"/>
      <c r="C6" s="934"/>
      <c r="D6" s="934"/>
      <c r="E6" s="934"/>
      <c r="F6" s="934"/>
      <c r="G6" s="935"/>
      <c r="H6" s="818"/>
      <c r="I6" s="818"/>
      <c r="J6" s="818"/>
    </row>
    <row r="7" spans="1:10" ht="16" thickBot="1">
      <c r="A7" s="946"/>
      <c r="B7" s="947"/>
      <c r="C7" s="947"/>
      <c r="D7" s="947"/>
      <c r="E7" s="947"/>
      <c r="F7" s="947"/>
      <c r="G7" s="948"/>
    </row>
    <row r="8" spans="1:10" ht="33.75" customHeight="1">
      <c r="A8" s="964" t="s">
        <v>912</v>
      </c>
      <c r="B8" s="965"/>
      <c r="C8" s="965"/>
      <c r="D8" s="965"/>
      <c r="E8" s="965"/>
      <c r="F8" s="965"/>
      <c r="G8" s="518"/>
    </row>
    <row r="9" spans="1:10" ht="33.75" customHeight="1">
      <c r="A9" s="933"/>
      <c r="B9" s="934"/>
      <c r="C9" s="934"/>
      <c r="D9" s="934"/>
      <c r="E9" s="934"/>
      <c r="F9" s="934"/>
      <c r="G9" s="521"/>
    </row>
    <row r="10" spans="1:10" ht="33.75" customHeight="1" thickBot="1">
      <c r="A10" s="946"/>
      <c r="B10" s="947"/>
      <c r="C10" s="947"/>
      <c r="D10" s="947"/>
      <c r="E10" s="947"/>
      <c r="F10" s="947"/>
      <c r="G10" s="523"/>
    </row>
    <row r="11" spans="1:10" ht="16" thickBot="1">
      <c r="A11" s="819" t="str">
        <f>IF('Start Page'!$H$29="","",'Start Page'!$H$29)</f>
        <v/>
      </c>
      <c r="B11" s="820"/>
      <c r="C11" s="821"/>
      <c r="D11" s="821"/>
      <c r="E11" s="821"/>
      <c r="F11" s="821"/>
      <c r="G11" s="822" t="s">
        <v>733</v>
      </c>
    </row>
    <row r="12" spans="1:10" hidden="1"/>
  </sheetData>
  <sheetProtection algorithmName="SHA-512" hashValue="ZZxWbGbn4BoYhIe90bqLh2WfeQKzqCzZSFKqf0C/AWqryNXouVlyX05SH6CDzvClCt280uIwqY9JUPnDAMq16Q==" saltValue="/IBMgxlq646zZAWl1b8b4A==" spinCount="100000" sheet="1" objects="1" scenarios="1"/>
  <mergeCells count="3">
    <mergeCell ref="A8:F10"/>
    <mergeCell ref="A5:G7"/>
    <mergeCell ref="A1:G2"/>
  </mergeCells>
  <pageMargins left="0.75" right="0.75" top="1" bottom="1" header="0.5" footer="0.5"/>
  <pageSetup scale="91" orientation="landscape" verticalDpi="300" r:id="rId1"/>
  <ignoredErrors>
    <ignoredError sqref="A11" emptyCellReference="1"/>
  </ignoredError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3:AC82"/>
  <sheetViews>
    <sheetView topLeftCell="P1" workbookViewId="0">
      <selection activeCell="D8" sqref="D8:AC8"/>
    </sheetView>
  </sheetViews>
  <sheetFormatPr defaultRowHeight="15.5"/>
  <cols>
    <col min="1" max="1" width="8" customWidth="1"/>
    <col min="2" max="2" width="21.765625" bestFit="1" customWidth="1"/>
    <col min="3" max="3" width="45.07421875" bestFit="1" customWidth="1"/>
    <col min="4" max="29" width="13.69140625" customWidth="1"/>
  </cols>
  <sheetData>
    <row r="3" spans="2:29" ht="18">
      <c r="B3" s="1270" t="s">
        <v>632</v>
      </c>
      <c r="C3" s="1271"/>
      <c r="D3" s="252"/>
      <c r="E3" s="252"/>
      <c r="F3" s="252"/>
      <c r="G3" s="252"/>
      <c r="H3" s="253"/>
      <c r="I3" s="253"/>
      <c r="J3" s="253"/>
      <c r="K3" s="253"/>
      <c r="L3" s="253"/>
      <c r="M3" s="253"/>
      <c r="N3" s="253"/>
      <c r="O3" s="253"/>
      <c r="P3" s="253"/>
      <c r="Q3" s="253"/>
      <c r="R3" s="253"/>
      <c r="S3" s="253"/>
      <c r="T3" s="253"/>
      <c r="U3" s="253"/>
      <c r="V3" s="253"/>
      <c r="W3" s="253"/>
      <c r="X3" s="253"/>
      <c r="Y3" s="253"/>
      <c r="Z3" s="253"/>
      <c r="AA3" s="253"/>
      <c r="AB3" s="253"/>
      <c r="AC3" s="253"/>
    </row>
    <row r="4" spans="2:29" ht="52.5">
      <c r="B4" s="254" t="s">
        <v>377</v>
      </c>
      <c r="C4" s="255" t="s">
        <v>361</v>
      </c>
      <c r="D4" s="256" t="s">
        <v>360</v>
      </c>
      <c r="E4" s="256" t="s">
        <v>359</v>
      </c>
      <c r="F4" s="256" t="s">
        <v>358</v>
      </c>
      <c r="G4" s="256" t="s">
        <v>357</v>
      </c>
      <c r="H4" s="256" t="s">
        <v>356</v>
      </c>
      <c r="I4" s="256" t="s">
        <v>355</v>
      </c>
      <c r="J4" s="256" t="s">
        <v>354</v>
      </c>
      <c r="K4" s="256" t="s">
        <v>353</v>
      </c>
      <c r="L4" s="256" t="s">
        <v>352</v>
      </c>
      <c r="M4" s="256" t="s">
        <v>351</v>
      </c>
      <c r="N4" s="256" t="s">
        <v>350</v>
      </c>
      <c r="O4" s="256" t="s">
        <v>349</v>
      </c>
      <c r="P4" s="256" t="s">
        <v>348</v>
      </c>
      <c r="Q4" s="256" t="s">
        <v>347</v>
      </c>
      <c r="R4" s="256" t="s">
        <v>339</v>
      </c>
      <c r="S4" s="256" t="s">
        <v>346</v>
      </c>
      <c r="T4" s="256" t="s">
        <v>345</v>
      </c>
      <c r="U4" s="256" t="s">
        <v>344</v>
      </c>
      <c r="V4" s="256" t="s">
        <v>633</v>
      </c>
      <c r="W4" s="256" t="s">
        <v>342</v>
      </c>
      <c r="X4" s="256" t="s">
        <v>341</v>
      </c>
      <c r="Y4" s="256" t="s">
        <v>340</v>
      </c>
      <c r="Z4" s="256" t="s">
        <v>338</v>
      </c>
      <c r="AA4" s="256" t="s">
        <v>337</v>
      </c>
      <c r="AB4" s="256" t="s">
        <v>336</v>
      </c>
      <c r="AC4" s="256" t="s">
        <v>335</v>
      </c>
    </row>
    <row r="5" spans="2:29" ht="26.5">
      <c r="B5" s="1272" t="s">
        <v>362</v>
      </c>
      <c r="C5" s="255" t="s">
        <v>361</v>
      </c>
      <c r="D5" s="256" t="s">
        <v>634</v>
      </c>
      <c r="E5" s="256" t="s">
        <v>635</v>
      </c>
      <c r="F5" s="256" t="s">
        <v>636</v>
      </c>
      <c r="G5" s="256" t="s">
        <v>637</v>
      </c>
      <c r="H5" s="256" t="s">
        <v>638</v>
      </c>
      <c r="I5" s="256" t="s">
        <v>639</v>
      </c>
      <c r="J5" s="256" t="s">
        <v>640</v>
      </c>
      <c r="K5" s="256" t="s">
        <v>641</v>
      </c>
      <c r="L5" s="256" t="s">
        <v>642</v>
      </c>
      <c r="M5" s="256" t="s">
        <v>643</v>
      </c>
      <c r="N5" s="256" t="s">
        <v>644</v>
      </c>
      <c r="O5" s="256" t="s">
        <v>645</v>
      </c>
      <c r="P5" s="256" t="s">
        <v>646</v>
      </c>
      <c r="Q5" s="256" t="s">
        <v>647</v>
      </c>
      <c r="R5" s="256" t="s">
        <v>648</v>
      </c>
      <c r="S5" s="256" t="s">
        <v>649</v>
      </c>
      <c r="T5" s="256" t="s">
        <v>650</v>
      </c>
      <c r="U5" s="256" t="s">
        <v>651</v>
      </c>
      <c r="V5" s="256" t="s">
        <v>652</v>
      </c>
      <c r="W5" s="256" t="s">
        <v>653</v>
      </c>
      <c r="X5" s="256" t="s">
        <v>654</v>
      </c>
      <c r="Y5" s="256" t="s">
        <v>655</v>
      </c>
      <c r="Z5" s="256" t="s">
        <v>656</v>
      </c>
      <c r="AA5" s="256" t="s">
        <v>657</v>
      </c>
      <c r="AB5" s="256" t="s">
        <v>658</v>
      </c>
      <c r="AC5" s="256" t="s">
        <v>659</v>
      </c>
    </row>
    <row r="6" spans="2:29">
      <c r="B6" s="1273"/>
      <c r="C6" s="311" t="s">
        <v>389</v>
      </c>
      <c r="D6" s="3" t="s">
        <v>376</v>
      </c>
      <c r="E6" s="3" t="s">
        <v>388</v>
      </c>
      <c r="F6" s="3" t="s">
        <v>375</v>
      </c>
      <c r="G6" s="2" t="s">
        <v>374</v>
      </c>
      <c r="H6" s="2" t="s">
        <v>387</v>
      </c>
      <c r="I6" s="2" t="s">
        <v>386</v>
      </c>
      <c r="J6" s="2" t="s">
        <v>373</v>
      </c>
      <c r="K6" s="2" t="s">
        <v>385</v>
      </c>
      <c r="L6" s="2" t="s">
        <v>372</v>
      </c>
      <c r="M6" s="2" t="s">
        <v>384</v>
      </c>
      <c r="N6" s="2" t="s">
        <v>383</v>
      </c>
      <c r="O6" s="2" t="s">
        <v>371</v>
      </c>
      <c r="P6" s="2" t="s">
        <v>370</v>
      </c>
      <c r="Q6" s="2" t="s">
        <v>369</v>
      </c>
      <c r="R6" s="2" t="s">
        <v>380</v>
      </c>
      <c r="S6" s="2" t="s">
        <v>368</v>
      </c>
      <c r="T6" s="2" t="s">
        <v>367</v>
      </c>
      <c r="U6" s="2" t="s">
        <v>366</v>
      </c>
      <c r="V6" s="2" t="s">
        <v>365</v>
      </c>
      <c r="W6" s="2" t="s">
        <v>364</v>
      </c>
      <c r="X6" s="2" t="s">
        <v>382</v>
      </c>
      <c r="Y6" s="2" t="s">
        <v>381</v>
      </c>
      <c r="Z6" s="2" t="s">
        <v>379</v>
      </c>
      <c r="AA6" s="2" t="s">
        <v>363</v>
      </c>
      <c r="AB6" s="2" t="s">
        <v>378</v>
      </c>
      <c r="AC6" s="2" t="s">
        <v>390</v>
      </c>
    </row>
    <row r="7" spans="2:29">
      <c r="B7" s="1273"/>
      <c r="C7" s="257" t="s">
        <v>334</v>
      </c>
      <c r="D7" s="258" t="s">
        <v>329</v>
      </c>
      <c r="E7" s="258" t="s">
        <v>329</v>
      </c>
      <c r="F7" s="258" t="s">
        <v>329</v>
      </c>
      <c r="G7" s="258" t="s">
        <v>329</v>
      </c>
      <c r="H7" s="258" t="s">
        <v>333</v>
      </c>
      <c r="I7" s="258" t="s">
        <v>329</v>
      </c>
      <c r="J7" s="258" t="s">
        <v>329</v>
      </c>
      <c r="K7" s="258" t="s">
        <v>330</v>
      </c>
      <c r="L7" s="258" t="s">
        <v>329</v>
      </c>
      <c r="M7" s="258" t="s">
        <v>329</v>
      </c>
      <c r="N7" s="258" t="s">
        <v>330</v>
      </c>
      <c r="O7" s="258" t="s">
        <v>332</v>
      </c>
      <c r="P7" s="258" t="s">
        <v>331</v>
      </c>
      <c r="Q7" s="258" t="s">
        <v>330</v>
      </c>
      <c r="R7" s="258" t="s">
        <v>329</v>
      </c>
      <c r="S7" s="258" t="s">
        <v>329</v>
      </c>
      <c r="T7" s="258" t="s">
        <v>329</v>
      </c>
      <c r="U7" s="258" t="s">
        <v>329</v>
      </c>
      <c r="V7" s="258" t="s">
        <v>329</v>
      </c>
      <c r="W7" s="258" t="s">
        <v>329</v>
      </c>
      <c r="X7" s="258" t="s">
        <v>329</v>
      </c>
      <c r="Y7" s="258" t="s">
        <v>329</v>
      </c>
      <c r="Z7" s="258" t="s">
        <v>329</v>
      </c>
      <c r="AA7" s="258" t="s">
        <v>329</v>
      </c>
      <c r="AB7" s="258" t="s">
        <v>329</v>
      </c>
      <c r="AC7" s="258" t="s">
        <v>329</v>
      </c>
    </row>
    <row r="8" spans="2:29">
      <c r="B8" s="1273"/>
      <c r="C8" s="257" t="s">
        <v>328</v>
      </c>
      <c r="D8" s="258">
        <v>2010</v>
      </c>
      <c r="E8" s="258">
        <v>2010</v>
      </c>
      <c r="F8" s="258">
        <v>2011</v>
      </c>
      <c r="G8" s="258">
        <v>2011</v>
      </c>
      <c r="H8" s="258">
        <v>2011</v>
      </c>
      <c r="I8" s="258">
        <v>2011</v>
      </c>
      <c r="J8" s="258">
        <v>2011</v>
      </c>
      <c r="K8" s="258">
        <v>2011</v>
      </c>
      <c r="L8" s="258">
        <v>2011</v>
      </c>
      <c r="M8" s="258" t="s">
        <v>327</v>
      </c>
      <c r="N8" s="258">
        <v>2011</v>
      </c>
      <c r="O8" s="258">
        <v>2011</v>
      </c>
      <c r="P8" s="258" t="s">
        <v>325</v>
      </c>
      <c r="Q8" s="258" t="s">
        <v>326</v>
      </c>
      <c r="R8" s="258">
        <v>2011</v>
      </c>
      <c r="S8" s="258">
        <v>2011</v>
      </c>
      <c r="T8" s="258">
        <v>2011</v>
      </c>
      <c r="U8" s="258">
        <v>2011</v>
      </c>
      <c r="V8" s="258">
        <v>2011</v>
      </c>
      <c r="W8" s="258">
        <v>2011</v>
      </c>
      <c r="X8" s="258">
        <v>2011</v>
      </c>
      <c r="Y8" s="258">
        <v>2011</v>
      </c>
      <c r="Z8" s="258">
        <v>2011</v>
      </c>
      <c r="AA8" s="258">
        <v>2011</v>
      </c>
      <c r="AB8" s="258" t="s">
        <v>325</v>
      </c>
      <c r="AC8" s="258" t="s">
        <v>324</v>
      </c>
    </row>
    <row r="9" spans="2:29">
      <c r="B9" s="1273"/>
      <c r="C9" s="257" t="s">
        <v>323</v>
      </c>
      <c r="D9" s="259">
        <v>40179</v>
      </c>
      <c r="E9" s="259">
        <v>40179</v>
      </c>
      <c r="F9" s="259">
        <v>40544</v>
      </c>
      <c r="G9" s="259">
        <v>40422</v>
      </c>
      <c r="H9" s="259">
        <v>40452</v>
      </c>
      <c r="I9" s="259">
        <v>40544</v>
      </c>
      <c r="J9" s="259">
        <v>40544</v>
      </c>
      <c r="K9" s="259">
        <v>40544</v>
      </c>
      <c r="L9" s="259">
        <v>40544</v>
      </c>
      <c r="M9" s="259">
        <v>40544</v>
      </c>
      <c r="N9" s="259">
        <v>40544</v>
      </c>
      <c r="O9" s="259">
        <v>40544</v>
      </c>
      <c r="P9" s="259">
        <v>40452</v>
      </c>
      <c r="Q9" s="259">
        <v>40269</v>
      </c>
      <c r="R9" s="259">
        <v>40603</v>
      </c>
      <c r="S9" s="259">
        <v>40544</v>
      </c>
      <c r="T9" s="259">
        <v>40544</v>
      </c>
      <c r="U9" s="259">
        <v>40544</v>
      </c>
      <c r="V9" s="259">
        <v>40544</v>
      </c>
      <c r="W9" s="259">
        <v>40360</v>
      </c>
      <c r="X9" s="259">
        <v>40544</v>
      </c>
      <c r="Y9" s="259">
        <v>40544</v>
      </c>
      <c r="Z9" s="259">
        <v>40544</v>
      </c>
      <c r="AA9" s="259">
        <v>40544</v>
      </c>
      <c r="AB9" s="259">
        <v>40360</v>
      </c>
      <c r="AC9" s="259">
        <v>40360</v>
      </c>
    </row>
    <row r="10" spans="2:29">
      <c r="B10" s="1273"/>
      <c r="C10" s="257" t="s">
        <v>322</v>
      </c>
      <c r="D10" s="259">
        <v>40513</v>
      </c>
      <c r="E10" s="259">
        <v>40513</v>
      </c>
      <c r="F10" s="259">
        <v>40878</v>
      </c>
      <c r="G10" s="259">
        <v>40756</v>
      </c>
      <c r="H10" s="259">
        <v>40816</v>
      </c>
      <c r="I10" s="259">
        <v>40878</v>
      </c>
      <c r="J10" s="259">
        <v>40878</v>
      </c>
      <c r="K10" s="259">
        <v>40878</v>
      </c>
      <c r="L10" s="259">
        <v>40878</v>
      </c>
      <c r="M10" s="259">
        <v>40878</v>
      </c>
      <c r="N10" s="259">
        <v>40878</v>
      </c>
      <c r="O10" s="259">
        <v>40878</v>
      </c>
      <c r="P10" s="259">
        <v>40787</v>
      </c>
      <c r="Q10" s="259">
        <v>40603</v>
      </c>
      <c r="R10" s="259">
        <v>40968</v>
      </c>
      <c r="S10" s="259">
        <v>40878</v>
      </c>
      <c r="T10" s="259">
        <v>40878</v>
      </c>
      <c r="U10" s="259">
        <v>40878</v>
      </c>
      <c r="V10" s="259">
        <v>40908</v>
      </c>
      <c r="W10" s="259">
        <v>40724</v>
      </c>
      <c r="X10" s="259">
        <v>40878</v>
      </c>
      <c r="Y10" s="259">
        <v>40878</v>
      </c>
      <c r="Z10" s="259">
        <v>40878</v>
      </c>
      <c r="AA10" s="259">
        <v>40908</v>
      </c>
      <c r="AB10" s="259">
        <v>40695</v>
      </c>
      <c r="AC10" s="259">
        <v>40695</v>
      </c>
    </row>
    <row r="11" spans="2:29">
      <c r="B11" s="1273"/>
      <c r="C11" s="257" t="s">
        <v>321</v>
      </c>
      <c r="D11" s="258" t="s">
        <v>320</v>
      </c>
      <c r="E11" s="258" t="s">
        <v>319</v>
      </c>
      <c r="F11" s="258" t="s">
        <v>318</v>
      </c>
      <c r="G11" s="258" t="s">
        <v>317</v>
      </c>
      <c r="H11" s="258" t="s">
        <v>316</v>
      </c>
      <c r="I11" s="258" t="s">
        <v>315</v>
      </c>
      <c r="J11" s="258" t="s">
        <v>314</v>
      </c>
      <c r="K11" s="258" t="s">
        <v>313</v>
      </c>
      <c r="L11" s="258" t="s">
        <v>312</v>
      </c>
      <c r="M11" s="258" t="s">
        <v>311</v>
      </c>
      <c r="N11" s="258" t="s">
        <v>310</v>
      </c>
      <c r="O11" s="258" t="s">
        <v>309</v>
      </c>
      <c r="P11" s="258" t="s">
        <v>308</v>
      </c>
      <c r="Q11" s="258" t="s">
        <v>307</v>
      </c>
      <c r="R11" s="258" t="s">
        <v>299</v>
      </c>
      <c r="S11" s="258" t="s">
        <v>306</v>
      </c>
      <c r="T11" s="258" t="s">
        <v>305</v>
      </c>
      <c r="U11" s="258" t="s">
        <v>304</v>
      </c>
      <c r="V11" s="258" t="s">
        <v>303</v>
      </c>
      <c r="W11" s="258" t="s">
        <v>302</v>
      </c>
      <c r="X11" s="258" t="s">
        <v>301</v>
      </c>
      <c r="Y11" s="258" t="s">
        <v>300</v>
      </c>
      <c r="Z11" s="258" t="s">
        <v>298</v>
      </c>
      <c r="AA11" s="258" t="s">
        <v>297</v>
      </c>
      <c r="AB11" s="258" t="s">
        <v>296</v>
      </c>
      <c r="AC11" s="258" t="s">
        <v>295</v>
      </c>
    </row>
    <row r="12" spans="2:29">
      <c r="B12" s="1273"/>
      <c r="C12" s="257" t="s">
        <v>294</v>
      </c>
      <c r="D12" s="258" t="s">
        <v>293</v>
      </c>
      <c r="E12" s="258" t="s">
        <v>292</v>
      </c>
      <c r="F12" s="258" t="s">
        <v>291</v>
      </c>
      <c r="G12" s="258" t="s">
        <v>290</v>
      </c>
      <c r="H12" s="258" t="s">
        <v>289</v>
      </c>
      <c r="I12" s="258" t="s">
        <v>288</v>
      </c>
      <c r="J12" s="258" t="s">
        <v>287</v>
      </c>
      <c r="K12" s="258" t="s">
        <v>286</v>
      </c>
      <c r="L12" s="258" t="s">
        <v>285</v>
      </c>
      <c r="M12" s="258" t="s">
        <v>284</v>
      </c>
      <c r="N12" s="258" t="s">
        <v>283</v>
      </c>
      <c r="O12" s="258" t="s">
        <v>282</v>
      </c>
      <c r="P12" s="258" t="s">
        <v>281</v>
      </c>
      <c r="Q12" s="258" t="s">
        <v>280</v>
      </c>
      <c r="R12" s="258" t="s">
        <v>273</v>
      </c>
      <c r="S12" s="258" t="s">
        <v>279</v>
      </c>
      <c r="T12" s="258" t="s">
        <v>278</v>
      </c>
      <c r="U12" s="258" t="s">
        <v>277</v>
      </c>
      <c r="V12" s="258" t="s">
        <v>276</v>
      </c>
      <c r="W12" s="258" t="s">
        <v>275</v>
      </c>
      <c r="X12" s="258" t="s">
        <v>274</v>
      </c>
      <c r="Y12" s="258"/>
      <c r="Z12" s="258" t="s">
        <v>272</v>
      </c>
      <c r="AA12" s="258" t="s">
        <v>271</v>
      </c>
      <c r="AB12" s="258" t="s">
        <v>270</v>
      </c>
      <c r="AC12" s="258" t="s">
        <v>269</v>
      </c>
    </row>
    <row r="13" spans="2:29">
      <c r="B13" s="1273"/>
      <c r="C13" s="257" t="s">
        <v>268</v>
      </c>
      <c r="D13" s="258">
        <v>5135916586</v>
      </c>
      <c r="E13" s="258" t="s">
        <v>267</v>
      </c>
      <c r="F13" s="258">
        <v>5057682721</v>
      </c>
      <c r="G13" s="258" t="s">
        <v>266</v>
      </c>
      <c r="H13" s="258" t="s">
        <v>265</v>
      </c>
      <c r="I13" s="258" t="s">
        <v>264</v>
      </c>
      <c r="J13" s="258" t="s">
        <v>263</v>
      </c>
      <c r="K13" s="258" t="s">
        <v>262</v>
      </c>
      <c r="L13" s="258" t="s">
        <v>261</v>
      </c>
      <c r="M13" s="258" t="s">
        <v>260</v>
      </c>
      <c r="N13" s="258" t="s">
        <v>259</v>
      </c>
      <c r="O13" s="258" t="s">
        <v>258</v>
      </c>
      <c r="P13" s="258" t="s">
        <v>257</v>
      </c>
      <c r="Q13" s="258" t="s">
        <v>256</v>
      </c>
      <c r="R13" s="258" t="s">
        <v>250</v>
      </c>
      <c r="S13" s="258" t="s">
        <v>255</v>
      </c>
      <c r="T13" s="258">
        <v>5025693600</v>
      </c>
      <c r="U13" s="258" t="s">
        <v>254</v>
      </c>
      <c r="V13" s="258" t="s">
        <v>253</v>
      </c>
      <c r="W13" s="258" t="s">
        <v>252</v>
      </c>
      <c r="X13" s="258" t="s">
        <v>251</v>
      </c>
      <c r="Y13" s="258"/>
      <c r="Z13" s="258" t="s">
        <v>249</v>
      </c>
      <c r="AA13" s="258" t="s">
        <v>248</v>
      </c>
      <c r="AB13" s="258" t="s">
        <v>247</v>
      </c>
      <c r="AC13" s="258" t="s">
        <v>246</v>
      </c>
    </row>
    <row r="14" spans="2:29">
      <c r="B14" s="1274"/>
      <c r="C14" s="260" t="s">
        <v>245</v>
      </c>
      <c r="D14" s="258"/>
      <c r="E14" s="258"/>
      <c r="F14" s="258"/>
      <c r="G14" s="258"/>
      <c r="H14" s="258"/>
      <c r="I14" s="258"/>
      <c r="J14" s="258"/>
      <c r="K14" s="258"/>
      <c r="L14" s="258">
        <v>248</v>
      </c>
      <c r="M14" s="258"/>
      <c r="N14" s="258"/>
      <c r="O14" s="258"/>
      <c r="P14" s="258"/>
      <c r="Q14" s="258"/>
      <c r="R14" s="258"/>
      <c r="S14" s="258"/>
      <c r="T14" s="258">
        <v>1888</v>
      </c>
      <c r="U14" s="258"/>
      <c r="V14" s="258"/>
      <c r="W14" s="258"/>
      <c r="X14" s="258"/>
      <c r="Y14" s="258"/>
      <c r="Z14" s="258"/>
      <c r="AA14" s="258">
        <v>205</v>
      </c>
      <c r="AB14" s="258"/>
      <c r="AC14" s="258"/>
    </row>
    <row r="15" spans="2:29">
      <c r="B15" s="261"/>
      <c r="C15" s="261"/>
      <c r="D15" s="253"/>
      <c r="E15" s="253"/>
      <c r="F15" s="253"/>
      <c r="G15" s="253"/>
      <c r="H15" s="253"/>
      <c r="I15" s="253"/>
      <c r="J15" s="253"/>
      <c r="K15" s="253"/>
      <c r="L15" s="253"/>
      <c r="M15" s="253"/>
      <c r="N15" s="253"/>
      <c r="O15" s="253"/>
      <c r="P15" s="253"/>
      <c r="Q15" s="253"/>
      <c r="R15" s="253"/>
      <c r="S15" s="253"/>
      <c r="T15" s="253"/>
      <c r="U15" s="253"/>
      <c r="V15" s="253"/>
      <c r="W15" s="253"/>
      <c r="X15" s="253"/>
      <c r="Y15" s="253"/>
      <c r="Z15" s="253"/>
      <c r="AA15" s="253"/>
      <c r="AB15" s="253"/>
      <c r="AC15" s="253"/>
    </row>
    <row r="16" spans="2:29">
      <c r="B16" s="1275" t="s">
        <v>244</v>
      </c>
      <c r="C16" s="1276"/>
      <c r="D16" s="262"/>
      <c r="E16" s="262"/>
      <c r="F16" s="262"/>
      <c r="G16" s="262"/>
      <c r="H16" s="262"/>
      <c r="I16" s="262"/>
      <c r="J16" s="262"/>
      <c r="K16" s="262"/>
      <c r="L16" s="262"/>
      <c r="M16" s="262"/>
      <c r="N16" s="262"/>
      <c r="O16" s="262"/>
      <c r="P16" s="262"/>
      <c r="Q16" s="262"/>
      <c r="R16" s="262"/>
      <c r="S16" s="262"/>
      <c r="T16" s="262"/>
      <c r="U16" s="262"/>
      <c r="V16" s="262"/>
      <c r="W16" s="262"/>
      <c r="X16" s="262"/>
      <c r="Y16" s="262"/>
      <c r="Z16" s="262"/>
      <c r="AA16" s="262"/>
      <c r="AB16" s="262"/>
      <c r="AC16" s="262"/>
    </row>
    <row r="17" spans="2:29">
      <c r="B17" s="1277" t="s">
        <v>243</v>
      </c>
      <c r="C17" s="263" t="s">
        <v>242</v>
      </c>
      <c r="D17" s="264" t="s">
        <v>32</v>
      </c>
      <c r="E17" s="264" t="s">
        <v>32</v>
      </c>
      <c r="F17" s="264" t="s">
        <v>32</v>
      </c>
      <c r="G17" s="264" t="s">
        <v>32</v>
      </c>
      <c r="H17" s="264" t="s">
        <v>32</v>
      </c>
      <c r="I17" s="264" t="s">
        <v>32</v>
      </c>
      <c r="J17" s="264" t="s">
        <v>32</v>
      </c>
      <c r="K17" s="264" t="s">
        <v>32</v>
      </c>
      <c r="L17" s="264" t="s">
        <v>32</v>
      </c>
      <c r="M17" s="264" t="s">
        <v>32</v>
      </c>
      <c r="N17" s="264" t="s">
        <v>32</v>
      </c>
      <c r="O17" s="264" t="s">
        <v>32</v>
      </c>
      <c r="P17" s="264" t="s">
        <v>32</v>
      </c>
      <c r="Q17" s="264" t="s">
        <v>32</v>
      </c>
      <c r="R17" s="264" t="s">
        <v>32</v>
      </c>
      <c r="S17" s="264" t="s">
        <v>32</v>
      </c>
      <c r="T17" s="264" t="s">
        <v>32</v>
      </c>
      <c r="U17" s="264" t="s">
        <v>32</v>
      </c>
      <c r="V17" s="264" t="s">
        <v>32</v>
      </c>
      <c r="W17" s="264" t="s">
        <v>32</v>
      </c>
      <c r="X17" s="264" t="s">
        <v>32</v>
      </c>
      <c r="Y17" s="264" t="s">
        <v>32</v>
      </c>
      <c r="Z17" s="264" t="s">
        <v>32</v>
      </c>
      <c r="AA17" s="264" t="s">
        <v>32</v>
      </c>
      <c r="AB17" s="264" t="s">
        <v>32</v>
      </c>
      <c r="AC17" s="264" t="s">
        <v>32</v>
      </c>
    </row>
    <row r="18" spans="2:29">
      <c r="B18" s="1277"/>
      <c r="C18" s="265" t="s">
        <v>241</v>
      </c>
      <c r="D18" s="266">
        <v>47328.970999999998</v>
      </c>
      <c r="E18" s="266">
        <v>1059.99471239478</v>
      </c>
      <c r="F18" s="266">
        <v>33345.522984055038</v>
      </c>
      <c r="G18" s="266">
        <v>2948.4</v>
      </c>
      <c r="H18" s="266">
        <v>52834.737999999998</v>
      </c>
      <c r="I18" s="266">
        <v>638.59580000000005</v>
      </c>
      <c r="J18" s="266">
        <v>37361.542999999998</v>
      </c>
      <c r="K18" s="266">
        <v>43349.312932014203</v>
      </c>
      <c r="L18" s="266">
        <v>5326.29</v>
      </c>
      <c r="M18" s="266"/>
      <c r="N18" s="266">
        <v>1213.9865521251861</v>
      </c>
      <c r="O18" s="266">
        <v>7492.7</v>
      </c>
      <c r="P18" s="266"/>
      <c r="Q18" s="266">
        <v>11999.68288583908</v>
      </c>
      <c r="R18" s="266">
        <v>22303.348999999998</v>
      </c>
      <c r="S18" s="266">
        <v>12600.1</v>
      </c>
      <c r="T18" s="266">
        <v>44037</v>
      </c>
      <c r="U18" s="266">
        <v>21837.363000000001</v>
      </c>
      <c r="V18" s="266">
        <v>25163.71</v>
      </c>
      <c r="W18" s="266">
        <v>92613</v>
      </c>
      <c r="X18" s="266">
        <v>4437</v>
      </c>
      <c r="Y18" s="266">
        <v>7.3445999999999998</v>
      </c>
      <c r="Z18" s="266"/>
      <c r="AA18" s="266">
        <v>2696.3359999999998</v>
      </c>
      <c r="AB18" s="266">
        <v>6547</v>
      </c>
      <c r="AC18" s="266"/>
    </row>
    <row r="19" spans="2:29">
      <c r="B19" s="1277"/>
      <c r="C19" s="267" t="s">
        <v>182</v>
      </c>
      <c r="D19" s="266">
        <v>264.95</v>
      </c>
      <c r="E19" s="266"/>
      <c r="F19" s="266"/>
      <c r="G19" s="266">
        <v>60.1</v>
      </c>
      <c r="H19" s="266">
        <v>1078.26</v>
      </c>
      <c r="I19" s="266">
        <v>6.4504626262626061</v>
      </c>
      <c r="J19" s="266">
        <v>1450.7940000000001</v>
      </c>
      <c r="K19" s="266">
        <v>433.49312932014203</v>
      </c>
      <c r="L19" s="266">
        <v>239.68299999999999</v>
      </c>
      <c r="M19" s="266"/>
      <c r="N19" s="266">
        <v>0</v>
      </c>
      <c r="O19" s="266">
        <v>60.954999999999998</v>
      </c>
      <c r="P19" s="266"/>
      <c r="Q19" s="266"/>
      <c r="R19" s="266">
        <v>1E-4</v>
      </c>
      <c r="S19" s="266">
        <v>0</v>
      </c>
      <c r="T19" s="266">
        <v>0</v>
      </c>
      <c r="U19" s="266">
        <v>222.66200000000001</v>
      </c>
      <c r="V19" s="266">
        <v>127.07</v>
      </c>
      <c r="W19" s="266">
        <v>1353.9</v>
      </c>
      <c r="X19" s="266">
        <v>88.74</v>
      </c>
      <c r="Y19" s="266">
        <v>0</v>
      </c>
      <c r="Z19" s="266"/>
      <c r="AA19" s="266">
        <v>13.5</v>
      </c>
      <c r="AB19" s="266">
        <v>65.47</v>
      </c>
      <c r="AC19" s="266"/>
    </row>
    <row r="20" spans="2:29">
      <c r="B20" s="1277"/>
      <c r="C20" s="267" t="s">
        <v>181</v>
      </c>
      <c r="D20" s="266"/>
      <c r="E20" s="266">
        <v>3197.2542631471197</v>
      </c>
      <c r="F20" s="266"/>
      <c r="G20" s="266"/>
      <c r="H20" s="266">
        <v>0</v>
      </c>
      <c r="I20" s="266">
        <v>0</v>
      </c>
      <c r="J20" s="266"/>
      <c r="K20" s="266"/>
      <c r="L20" s="266">
        <v>21.341999999999999</v>
      </c>
      <c r="M20" s="266">
        <v>20632.741000000002</v>
      </c>
      <c r="N20" s="266"/>
      <c r="O20" s="266">
        <v>709.04549999999995</v>
      </c>
      <c r="P20" s="266">
        <v>37556.199999999997</v>
      </c>
      <c r="Q20" s="266"/>
      <c r="R20" s="266">
        <v>0</v>
      </c>
      <c r="S20" s="266">
        <v>91134.2</v>
      </c>
      <c r="T20" s="266">
        <v>0</v>
      </c>
      <c r="U20" s="266">
        <v>115.509</v>
      </c>
      <c r="V20" s="266">
        <v>9.452</v>
      </c>
      <c r="W20" s="266"/>
      <c r="X20" s="266">
        <v>0</v>
      </c>
      <c r="Y20" s="266"/>
      <c r="Z20" s="266">
        <v>1782</v>
      </c>
      <c r="AA20" s="266">
        <v>285.16800000000001</v>
      </c>
      <c r="AB20" s="266"/>
      <c r="AC20" s="266">
        <v>395.05442799999997</v>
      </c>
    </row>
    <row r="21" spans="2:29">
      <c r="B21" s="1277"/>
      <c r="C21" s="268" t="s">
        <v>180</v>
      </c>
      <c r="D21" s="266">
        <v>8195</v>
      </c>
      <c r="E21" s="266"/>
      <c r="F21" s="266">
        <v>172.52171200000001</v>
      </c>
      <c r="G21" s="266">
        <v>72</v>
      </c>
      <c r="H21" s="266">
        <v>3514.4333999999999</v>
      </c>
      <c r="I21" s="266">
        <v>0</v>
      </c>
      <c r="J21" s="266"/>
      <c r="K21" s="266">
        <v>2086.6950415916403</v>
      </c>
      <c r="L21" s="266">
        <v>286.642</v>
      </c>
      <c r="M21" s="266"/>
      <c r="N21" s="266"/>
      <c r="O21" s="266">
        <v>122.9238</v>
      </c>
      <c r="P21" s="266"/>
      <c r="Q21" s="266"/>
      <c r="R21" s="266">
        <v>0</v>
      </c>
      <c r="S21" s="266">
        <v>1356.6</v>
      </c>
      <c r="T21" s="266">
        <v>1789.8</v>
      </c>
      <c r="U21" s="266">
        <v>0</v>
      </c>
      <c r="V21" s="266">
        <v>499.42500000000001</v>
      </c>
      <c r="W21" s="266">
        <v>7008</v>
      </c>
      <c r="X21" s="266">
        <v>8.1969999999999992</v>
      </c>
      <c r="Y21" s="266"/>
      <c r="Z21" s="266"/>
      <c r="AA21" s="266"/>
      <c r="AB21" s="266">
        <v>7.6689999999999996</v>
      </c>
      <c r="AC21" s="266">
        <v>2.9999999999999997E-4</v>
      </c>
    </row>
    <row r="22" spans="2:29">
      <c r="B22" s="1278"/>
      <c r="C22" s="269" t="s">
        <v>16</v>
      </c>
      <c r="D22" s="266">
        <v>39398.920999999995</v>
      </c>
      <c r="E22" s="266">
        <v>4257.2489755418992</v>
      </c>
      <c r="F22" s="266">
        <v>33173.001272055037</v>
      </c>
      <c r="G22" s="266">
        <v>2936.5</v>
      </c>
      <c r="H22" s="266">
        <v>50398.564599999998</v>
      </c>
      <c r="I22" s="266">
        <v>645.04626262626266</v>
      </c>
      <c r="J22" s="266">
        <v>35910.748999999996</v>
      </c>
      <c r="K22" s="266">
        <v>41696.111019742704</v>
      </c>
      <c r="L22" s="266">
        <v>5300.6729999999998</v>
      </c>
      <c r="M22" s="266">
        <v>20632.741000000002</v>
      </c>
      <c r="N22" s="266">
        <v>1213.9865521251861</v>
      </c>
      <c r="O22" s="266">
        <v>8139.7766999999994</v>
      </c>
      <c r="P22" s="266">
        <v>37556.199999999997</v>
      </c>
      <c r="Q22" s="266">
        <v>11999.68288583908</v>
      </c>
      <c r="R22" s="266">
        <v>22303.348999999998</v>
      </c>
      <c r="S22" s="266">
        <v>102377.7</v>
      </c>
      <c r="T22" s="266">
        <v>42247.199999999997</v>
      </c>
      <c r="U22" s="266">
        <v>21730.21</v>
      </c>
      <c r="V22" s="266">
        <v>24800.807000000001</v>
      </c>
      <c r="W22" s="266">
        <v>84251.1</v>
      </c>
      <c r="X22" s="266">
        <v>4517.5429999999997</v>
      </c>
      <c r="Y22" s="266">
        <v>7.3445999999999998</v>
      </c>
      <c r="Z22" s="266">
        <v>1782</v>
      </c>
      <c r="AA22" s="266">
        <v>2995.0039999999999</v>
      </c>
      <c r="AB22" s="266">
        <v>6604.8010000000004</v>
      </c>
      <c r="AC22" s="266">
        <v>395.05412799999999</v>
      </c>
    </row>
    <row r="23" spans="2:29">
      <c r="B23" s="1267" t="s">
        <v>240</v>
      </c>
      <c r="C23" s="270" t="s">
        <v>179</v>
      </c>
      <c r="D23" s="266">
        <v>31466.799999999999</v>
      </c>
      <c r="E23" s="266">
        <v>3838.2040323695401</v>
      </c>
      <c r="F23" s="266">
        <v>29368.326811999999</v>
      </c>
      <c r="G23" s="266">
        <v>2365.27</v>
      </c>
      <c r="H23" s="266">
        <v>44650.879999999997</v>
      </c>
      <c r="I23" s="266">
        <v>450.727103</v>
      </c>
      <c r="J23" s="266">
        <v>25483.324000000001</v>
      </c>
      <c r="K23" s="266">
        <v>33217.258035798761</v>
      </c>
      <c r="L23" s="266">
        <v>4582.9359999999997</v>
      </c>
      <c r="M23" s="266">
        <v>18973.834999999999</v>
      </c>
      <c r="N23" s="266"/>
      <c r="O23" s="266">
        <v>7045.4726000000001</v>
      </c>
      <c r="P23" s="266">
        <v>29039.7</v>
      </c>
      <c r="Q23" s="266">
        <v>9965.6875269727352</v>
      </c>
      <c r="R23" s="266">
        <v>19587.721000000001</v>
      </c>
      <c r="S23" s="266">
        <v>97179.6</v>
      </c>
      <c r="T23" s="266">
        <v>32594.9</v>
      </c>
      <c r="U23" s="266">
        <v>20441.373</v>
      </c>
      <c r="V23" s="266">
        <v>14547.562</v>
      </c>
      <c r="W23" s="266">
        <v>50808</v>
      </c>
      <c r="X23" s="266">
        <v>3941</v>
      </c>
      <c r="Y23" s="266">
        <v>6.7579900000000004</v>
      </c>
      <c r="Z23" s="266">
        <v>1542</v>
      </c>
      <c r="AA23" s="266">
        <v>1536.9880000000001</v>
      </c>
      <c r="AB23" s="266">
        <v>3482</v>
      </c>
      <c r="AC23" s="266">
        <v>318.91840000000002</v>
      </c>
    </row>
    <row r="24" spans="2:29">
      <c r="B24" s="1268"/>
      <c r="C24" s="267" t="s">
        <v>178</v>
      </c>
      <c r="D24" s="266">
        <v>26.9</v>
      </c>
      <c r="E24" s="266"/>
      <c r="F24" s="266">
        <v>317.59412035999998</v>
      </c>
      <c r="G24" s="266">
        <v>7.44</v>
      </c>
      <c r="H24" s="266">
        <v>187.898</v>
      </c>
      <c r="I24" s="266">
        <v>0</v>
      </c>
      <c r="J24" s="266">
        <v>17.523</v>
      </c>
      <c r="K24" s="266">
        <v>3054.8856134910402</v>
      </c>
      <c r="L24" s="266">
        <v>0</v>
      </c>
      <c r="M24" s="266">
        <v>0</v>
      </c>
      <c r="N24" s="266">
        <v>925.13052736472002</v>
      </c>
      <c r="O24" s="266"/>
      <c r="P24" s="266">
        <v>0</v>
      </c>
      <c r="Q24" s="266">
        <v>0</v>
      </c>
      <c r="R24" s="266">
        <v>0</v>
      </c>
      <c r="S24" s="266">
        <v>0</v>
      </c>
      <c r="T24" s="266"/>
      <c r="U24" s="266">
        <v>0</v>
      </c>
      <c r="V24" s="266">
        <v>0</v>
      </c>
      <c r="W24" s="266"/>
      <c r="X24" s="266">
        <v>0</v>
      </c>
      <c r="Y24" s="266"/>
      <c r="Z24" s="266"/>
      <c r="AA24" s="266"/>
      <c r="AB24" s="266"/>
      <c r="AC24" s="266"/>
    </row>
    <row r="25" spans="2:29">
      <c r="B25" s="1268"/>
      <c r="C25" s="267" t="s">
        <v>177</v>
      </c>
      <c r="D25" s="266">
        <v>531.79999999999995</v>
      </c>
      <c r="E25" s="266"/>
      <c r="F25" s="266">
        <v>572.74</v>
      </c>
      <c r="G25" s="266">
        <v>64.27</v>
      </c>
      <c r="H25" s="266">
        <v>70.478999999999999</v>
      </c>
      <c r="I25" s="266">
        <v>27.339769</v>
      </c>
      <c r="J25" s="266">
        <v>3.7170000000000001</v>
      </c>
      <c r="K25" s="266">
        <v>34.87071091152</v>
      </c>
      <c r="L25" s="266">
        <v>123.033</v>
      </c>
      <c r="M25" s="266">
        <v>0</v>
      </c>
      <c r="N25" s="266"/>
      <c r="O25" s="266"/>
      <c r="P25" s="266">
        <v>0</v>
      </c>
      <c r="Q25" s="266">
        <v>2.17387181887044</v>
      </c>
      <c r="R25" s="266">
        <v>3.7370000000000001</v>
      </c>
      <c r="S25" s="266">
        <v>2.4</v>
      </c>
      <c r="T25" s="266">
        <v>2454.3000000000002</v>
      </c>
      <c r="U25" s="266">
        <v>144.80000000000001</v>
      </c>
      <c r="V25" s="266">
        <v>439.27800000000002</v>
      </c>
      <c r="W25" s="266"/>
      <c r="X25" s="266">
        <v>0</v>
      </c>
      <c r="Y25" s="266"/>
      <c r="Z25" s="266"/>
      <c r="AA25" s="266">
        <v>0</v>
      </c>
      <c r="AB25" s="266">
        <v>115</v>
      </c>
      <c r="AC25" s="266"/>
    </row>
    <row r="26" spans="2:29">
      <c r="B26" s="1268"/>
      <c r="C26" s="267" t="s">
        <v>176</v>
      </c>
      <c r="D26" s="266">
        <v>506.5</v>
      </c>
      <c r="E26" s="266">
        <v>53.215612194273746</v>
      </c>
      <c r="F26" s="266">
        <v>193.8</v>
      </c>
      <c r="G26" s="266">
        <v>36.706250000000004</v>
      </c>
      <c r="H26" s="266">
        <v>94.727000000000004</v>
      </c>
      <c r="I26" s="266">
        <v>14.906499999999999</v>
      </c>
      <c r="J26" s="266">
        <v>448.88436249999995</v>
      </c>
      <c r="K26" s="266">
        <v>237.75484712400001</v>
      </c>
      <c r="L26" s="266">
        <v>8.6020000000000003</v>
      </c>
      <c r="M26" s="266">
        <v>19.3</v>
      </c>
      <c r="N26" s="266">
        <v>15.174831901564827</v>
      </c>
      <c r="O26" s="266">
        <v>101.74720875</v>
      </c>
      <c r="P26" s="266">
        <v>687.1</v>
      </c>
      <c r="Q26" s="266">
        <v>102.26602073755086</v>
      </c>
      <c r="R26" s="266">
        <v>278.79186249999998</v>
      </c>
      <c r="S26" s="266">
        <v>3.1</v>
      </c>
      <c r="T26" s="266">
        <v>528.09</v>
      </c>
      <c r="U26" s="266">
        <v>228.8</v>
      </c>
      <c r="V26" s="266">
        <v>310.01008750000005</v>
      </c>
      <c r="W26" s="266">
        <v>784.7</v>
      </c>
      <c r="X26" s="266">
        <v>56.4692875</v>
      </c>
      <c r="Y26" s="266">
        <v>9.18075E-2</v>
      </c>
      <c r="Z26" s="266">
        <v>22.275000000000002</v>
      </c>
      <c r="AA26" s="266">
        <v>37.437550000000002</v>
      </c>
      <c r="AB26" s="266">
        <v>82.560012500000013</v>
      </c>
      <c r="AC26" s="266">
        <v>2.171948</v>
      </c>
    </row>
    <row r="27" spans="2:29">
      <c r="B27" s="1268"/>
      <c r="C27" s="271" t="s">
        <v>239</v>
      </c>
      <c r="D27" s="262">
        <v>2</v>
      </c>
      <c r="E27" s="262">
        <v>1</v>
      </c>
      <c r="F27" s="262">
        <v>2</v>
      </c>
      <c r="G27" s="262">
        <v>1</v>
      </c>
      <c r="H27" s="262">
        <v>2</v>
      </c>
      <c r="I27" s="262">
        <v>2</v>
      </c>
      <c r="J27" s="262">
        <v>1</v>
      </c>
      <c r="K27" s="262">
        <v>2</v>
      </c>
      <c r="L27" s="262">
        <v>2</v>
      </c>
      <c r="M27" s="262">
        <v>2</v>
      </c>
      <c r="N27" s="262">
        <v>1</v>
      </c>
      <c r="O27" s="262">
        <v>1</v>
      </c>
      <c r="P27" s="262">
        <v>2</v>
      </c>
      <c r="Q27" s="262">
        <v>2</v>
      </c>
      <c r="R27" s="262">
        <v>1</v>
      </c>
      <c r="S27" s="262">
        <v>2</v>
      </c>
      <c r="T27" s="262">
        <v>1</v>
      </c>
      <c r="U27" s="262">
        <v>2</v>
      </c>
      <c r="V27" s="262">
        <v>1</v>
      </c>
      <c r="W27" s="262">
        <v>2</v>
      </c>
      <c r="X27" s="262">
        <v>1</v>
      </c>
      <c r="Y27" s="262">
        <v>1</v>
      </c>
      <c r="Z27" s="262">
        <v>1</v>
      </c>
      <c r="AA27" s="262">
        <v>1</v>
      </c>
      <c r="AB27" s="262">
        <v>1</v>
      </c>
      <c r="AC27" s="262">
        <v>2</v>
      </c>
    </row>
    <row r="28" spans="2:29">
      <c r="B28" s="1269"/>
      <c r="C28" s="272" t="s">
        <v>17</v>
      </c>
      <c r="D28" s="266">
        <v>32532</v>
      </c>
      <c r="E28" s="266">
        <v>3891.419644563814</v>
      </c>
      <c r="F28" s="266">
        <v>30452.460932360002</v>
      </c>
      <c r="G28" s="266">
        <v>2473.6862500000002</v>
      </c>
      <c r="H28" s="266">
        <v>45003.983999999997</v>
      </c>
      <c r="I28" s="266">
        <v>492.97337199999998</v>
      </c>
      <c r="J28" s="266">
        <v>25953.448362500003</v>
      </c>
      <c r="K28" s="266">
        <v>36544.76920732532</v>
      </c>
      <c r="L28" s="266">
        <v>4714.5709999999999</v>
      </c>
      <c r="M28" s="266">
        <v>18993.134999999998</v>
      </c>
      <c r="N28" s="266">
        <v>940.30535926628488</v>
      </c>
      <c r="O28" s="266">
        <v>7147.2198087500001</v>
      </c>
      <c r="P28" s="266">
        <v>29726.799999999999</v>
      </c>
      <c r="Q28" s="266">
        <v>10070.127419529155</v>
      </c>
      <c r="R28" s="266">
        <v>19870.249862500001</v>
      </c>
      <c r="S28" s="266">
        <v>97185.1</v>
      </c>
      <c r="T28" s="266">
        <v>35577.29</v>
      </c>
      <c r="U28" s="266">
        <v>20814.972999999998</v>
      </c>
      <c r="V28" s="266">
        <v>15296.850087500001</v>
      </c>
      <c r="W28" s="266">
        <v>51592.7</v>
      </c>
      <c r="X28" s="266">
        <v>3997.4692875000001</v>
      </c>
      <c r="Y28" s="266">
        <v>6.8497975000000002</v>
      </c>
      <c r="Z28" s="266">
        <v>1564.2750000000001</v>
      </c>
      <c r="AA28" s="266">
        <v>1574.4255500000002</v>
      </c>
      <c r="AB28" s="266">
        <v>3679.5600125000001</v>
      </c>
      <c r="AC28" s="266">
        <v>321.09034800000001</v>
      </c>
    </row>
    <row r="29" spans="2:29">
      <c r="B29" s="1267" t="s">
        <v>238</v>
      </c>
      <c r="C29" s="273" t="s">
        <v>237</v>
      </c>
      <c r="D29" s="266">
        <v>6866.9209999999948</v>
      </c>
      <c r="E29" s="266">
        <v>365.82933097808518</v>
      </c>
      <c r="F29" s="266">
        <v>2720.5403396950351</v>
      </c>
      <c r="G29" s="266">
        <v>462.8137499999998</v>
      </c>
      <c r="H29" s="266">
        <v>5394.5806000000011</v>
      </c>
      <c r="I29" s="266">
        <v>152.07289062626268</v>
      </c>
      <c r="J29" s="266">
        <v>9957.3006374999932</v>
      </c>
      <c r="K29" s="266">
        <v>5151.3418124173841</v>
      </c>
      <c r="L29" s="266">
        <v>586.10199999999986</v>
      </c>
      <c r="M29" s="266">
        <v>1639.6060000000034</v>
      </c>
      <c r="N29" s="266">
        <v>273.68119285890123</v>
      </c>
      <c r="O29" s="266">
        <v>992.55689124999935</v>
      </c>
      <c r="P29" s="266">
        <v>7829.3999999999978</v>
      </c>
      <c r="Q29" s="266">
        <v>1929.5554663099247</v>
      </c>
      <c r="R29" s="266">
        <v>2433.0991374999976</v>
      </c>
      <c r="S29" s="266">
        <v>5192.5999999999913</v>
      </c>
      <c r="T29" s="266">
        <v>6669.9099999999962</v>
      </c>
      <c r="U29" s="266">
        <v>915.23700000000099</v>
      </c>
      <c r="V29" s="266">
        <v>9503.9569124999998</v>
      </c>
      <c r="W29" s="266">
        <v>32658.400000000009</v>
      </c>
      <c r="X29" s="266">
        <v>520.0737124999996</v>
      </c>
      <c r="Y29" s="266">
        <v>0.49480249999999959</v>
      </c>
      <c r="Z29" s="266">
        <v>217.72499999999991</v>
      </c>
      <c r="AA29" s="266">
        <v>1420.5784499999997</v>
      </c>
      <c r="AB29" s="266">
        <v>2925.2409875000003</v>
      </c>
      <c r="AC29" s="266">
        <v>73.963779999999986</v>
      </c>
    </row>
    <row r="30" spans="2:29">
      <c r="B30" s="1268"/>
      <c r="C30" s="270" t="s">
        <v>175</v>
      </c>
      <c r="D30" s="266">
        <v>5.9</v>
      </c>
      <c r="E30" s="266">
        <v>10.643122438854748</v>
      </c>
      <c r="F30" s="266">
        <v>82.932503180137587</v>
      </c>
      <c r="G30" s="266">
        <v>7.3412500000000005</v>
      </c>
      <c r="H30" s="266">
        <v>156.25299999999999</v>
      </c>
      <c r="I30" s="266">
        <v>1.6126156565656566</v>
      </c>
      <c r="J30" s="266">
        <v>89.776872499999996</v>
      </c>
      <c r="K30" s="266">
        <v>104.24027754935676</v>
      </c>
      <c r="L30" s="266">
        <v>13.251682499999999</v>
      </c>
      <c r="M30" s="266">
        <v>51.581852500000004</v>
      </c>
      <c r="N30" s="266">
        <v>3.0349663803129654</v>
      </c>
      <c r="O30" s="266">
        <v>20.34944175</v>
      </c>
      <c r="P30" s="266">
        <v>132.6</v>
      </c>
      <c r="Q30" s="266">
        <v>27.70874239998804</v>
      </c>
      <c r="R30" s="266">
        <v>55.7583725</v>
      </c>
      <c r="S30" s="266">
        <v>255.94425000000001</v>
      </c>
      <c r="T30" s="266">
        <v>105.61799999999999</v>
      </c>
      <c r="U30" s="266">
        <v>54.325524999999999</v>
      </c>
      <c r="V30" s="266">
        <v>62.002017500000001</v>
      </c>
      <c r="W30" s="266">
        <v>3233.2</v>
      </c>
      <c r="X30" s="266">
        <v>11.2938575</v>
      </c>
      <c r="Y30" s="266">
        <v>1.8361499999999999E-2</v>
      </c>
      <c r="Z30" s="266">
        <v>4.4550000000000001</v>
      </c>
      <c r="AA30" s="266">
        <v>7.4875100000000003</v>
      </c>
      <c r="AB30" s="266">
        <v>100</v>
      </c>
      <c r="AC30" s="266">
        <v>0.98763531999999998</v>
      </c>
    </row>
    <row r="31" spans="2:29">
      <c r="B31" s="1268"/>
      <c r="C31" s="274" t="s">
        <v>236</v>
      </c>
      <c r="D31" s="262">
        <v>2</v>
      </c>
      <c r="E31" s="262">
        <v>1</v>
      </c>
      <c r="F31" s="262">
        <v>1</v>
      </c>
      <c r="G31" s="262">
        <v>1</v>
      </c>
      <c r="H31" s="262">
        <v>2</v>
      </c>
      <c r="I31" s="262">
        <v>1</v>
      </c>
      <c r="J31" s="262">
        <v>1</v>
      </c>
      <c r="K31" s="262">
        <v>1</v>
      </c>
      <c r="L31" s="262">
        <v>1</v>
      </c>
      <c r="M31" s="262">
        <v>1</v>
      </c>
      <c r="N31" s="262">
        <v>1</v>
      </c>
      <c r="O31" s="262">
        <v>1</v>
      </c>
      <c r="P31" s="262">
        <v>2</v>
      </c>
      <c r="Q31" s="262">
        <v>2</v>
      </c>
      <c r="R31" s="262">
        <v>1</v>
      </c>
      <c r="S31" s="262">
        <v>1</v>
      </c>
      <c r="T31" s="262">
        <v>1</v>
      </c>
      <c r="U31" s="262">
        <v>1</v>
      </c>
      <c r="V31" s="262">
        <v>1</v>
      </c>
      <c r="W31" s="262">
        <v>2</v>
      </c>
      <c r="X31" s="262">
        <v>1</v>
      </c>
      <c r="Y31" s="262">
        <v>1</v>
      </c>
      <c r="Z31" s="262">
        <v>1</v>
      </c>
      <c r="AA31" s="262">
        <v>1</v>
      </c>
      <c r="AB31" s="262">
        <v>2</v>
      </c>
      <c r="AC31" s="262">
        <v>1</v>
      </c>
    </row>
    <row r="32" spans="2:29">
      <c r="B32" s="1268"/>
      <c r="C32" s="267" t="s">
        <v>174</v>
      </c>
      <c r="D32" s="266">
        <v>323.21818181818162</v>
      </c>
      <c r="E32" s="266">
        <v>78.330694538154148</v>
      </c>
      <c r="F32" s="266">
        <v>611.04217983673516</v>
      </c>
      <c r="G32" s="266">
        <v>36.998071065989734</v>
      </c>
      <c r="H32" s="266">
        <v>894.19600000000003</v>
      </c>
      <c r="I32" s="266">
        <v>19.919453000000033</v>
      </c>
      <c r="J32" s="266">
        <v>815.37489267285855</v>
      </c>
      <c r="K32" s="266">
        <v>335.88008835061191</v>
      </c>
      <c r="L32" s="266">
        <v>96.040183673469073</v>
      </c>
      <c r="M32" s="266">
        <v>288.94164974619343</v>
      </c>
      <c r="N32" s="266">
        <v>0</v>
      </c>
      <c r="O32" s="266">
        <v>217.90121443298995</v>
      </c>
      <c r="P32" s="266">
        <v>582.20000000000005</v>
      </c>
      <c r="Q32" s="266">
        <v>132.52191006639401</v>
      </c>
      <c r="R32" s="266">
        <v>453.00486065070436</v>
      </c>
      <c r="S32" s="266">
        <v>1231</v>
      </c>
      <c r="T32" s="266">
        <v>1109.8</v>
      </c>
      <c r="U32" s="266">
        <v>207.9411414141432</v>
      </c>
      <c r="V32" s="266">
        <v>384.27794871794868</v>
      </c>
      <c r="W32" s="266">
        <v>1532.6</v>
      </c>
      <c r="X32" s="266">
        <v>121.8865979381444</v>
      </c>
      <c r="Y32" s="266">
        <v>0.13791816326530615</v>
      </c>
      <c r="Z32" s="266">
        <v>31.469387755102161</v>
      </c>
      <c r="AA32" s="266">
        <v>31.367102040816462</v>
      </c>
      <c r="AB32" s="266">
        <v>189.31578947368416</v>
      </c>
      <c r="AC32" s="266">
        <v>5.5153741607324491</v>
      </c>
    </row>
    <row r="33" spans="2:29">
      <c r="B33" s="1268"/>
      <c r="C33" s="267" t="s">
        <v>172</v>
      </c>
      <c r="D33" s="266">
        <v>1380.1</v>
      </c>
      <c r="E33" s="266">
        <v>0.32585143325999999</v>
      </c>
      <c r="F33" s="266">
        <v>235.57</v>
      </c>
      <c r="G33" s="266">
        <v>6.82</v>
      </c>
      <c r="H33" s="266">
        <v>11.92</v>
      </c>
      <c r="I33" s="266">
        <v>1</v>
      </c>
      <c r="J33" s="266">
        <v>1E-3</v>
      </c>
      <c r="K33" s="266">
        <v>416.96097811140083</v>
      </c>
      <c r="L33" s="266">
        <v>23.573</v>
      </c>
      <c r="M33" s="266">
        <v>1E-4</v>
      </c>
      <c r="N33" s="266"/>
      <c r="O33" s="266">
        <v>36.006</v>
      </c>
      <c r="P33" s="266">
        <v>1667.6</v>
      </c>
      <c r="Q33" s="266">
        <v>0.26417205236000002</v>
      </c>
      <c r="R33" s="266">
        <v>1E-4</v>
      </c>
      <c r="S33" s="266">
        <v>100</v>
      </c>
      <c r="T33" s="266">
        <v>900</v>
      </c>
      <c r="U33" s="266">
        <v>1.5149999999999999</v>
      </c>
      <c r="V33" s="266">
        <v>218.21342999999999</v>
      </c>
      <c r="W33" s="266">
        <v>3574.2</v>
      </c>
      <c r="X33" s="266">
        <v>5</v>
      </c>
      <c r="Y33" s="266">
        <v>1E-4</v>
      </c>
      <c r="Z33" s="266">
        <v>12</v>
      </c>
      <c r="AA33" s="266">
        <v>12</v>
      </c>
      <c r="AB33" s="266">
        <v>500</v>
      </c>
      <c r="AC33" s="266">
        <v>0.02</v>
      </c>
    </row>
    <row r="34" spans="2:29">
      <c r="B34" s="1268"/>
      <c r="C34" s="267" t="s">
        <v>235</v>
      </c>
      <c r="D34" s="266">
        <v>1709.2181818181816</v>
      </c>
      <c r="E34" s="266">
        <v>89.299668410268893</v>
      </c>
      <c r="F34" s="266">
        <v>929.5446830168728</v>
      </c>
      <c r="G34" s="266">
        <v>51.159321065989737</v>
      </c>
      <c r="H34" s="266">
        <v>1062.3690000000001</v>
      </c>
      <c r="I34" s="266">
        <v>22.532068656565688</v>
      </c>
      <c r="J34" s="266">
        <v>905.15276517285849</v>
      </c>
      <c r="K34" s="266">
        <v>857.08134401136954</v>
      </c>
      <c r="L34" s="266">
        <v>132.86486617346907</v>
      </c>
      <c r="M34" s="266">
        <v>340.52360224619343</v>
      </c>
      <c r="N34" s="266">
        <v>3.0349663803129654</v>
      </c>
      <c r="O34" s="266">
        <v>274.25665618298996</v>
      </c>
      <c r="P34" s="266">
        <v>2382.4</v>
      </c>
      <c r="Q34" s="266">
        <v>160.49482451874206</v>
      </c>
      <c r="R34" s="266">
        <v>508.76333315070434</v>
      </c>
      <c r="S34" s="266">
        <v>1586.94425</v>
      </c>
      <c r="T34" s="266">
        <v>2115.4179999999997</v>
      </c>
      <c r="U34" s="266">
        <v>263.78166641414316</v>
      </c>
      <c r="V34" s="266">
        <v>664.49339621794866</v>
      </c>
      <c r="W34" s="266">
        <v>8340</v>
      </c>
      <c r="X34" s="266">
        <v>138.18045543814441</v>
      </c>
      <c r="Y34" s="266">
        <v>0.15637966326530614</v>
      </c>
      <c r="Z34" s="266">
        <v>47.92438775510216</v>
      </c>
      <c r="AA34" s="266">
        <v>50.854612040816463</v>
      </c>
      <c r="AB34" s="266">
        <v>789.31578947368416</v>
      </c>
      <c r="AC34" s="266">
        <v>6.5230094807324486</v>
      </c>
    </row>
    <row r="35" spans="2:29">
      <c r="B35" s="1268"/>
      <c r="C35" s="268" t="s">
        <v>234</v>
      </c>
      <c r="D35" s="266">
        <v>5157.7028181818096</v>
      </c>
      <c r="E35" s="266">
        <v>276.5296625678161</v>
      </c>
      <c r="F35" s="266">
        <v>1790.995656678162</v>
      </c>
      <c r="G35" s="266">
        <v>411.65442893400996</v>
      </c>
      <c r="H35" s="266">
        <v>4332.2116000000024</v>
      </c>
      <c r="I35" s="266">
        <v>129.54082196969694</v>
      </c>
      <c r="J35" s="266">
        <v>9052.1478723271357</v>
      </c>
      <c r="K35" s="266">
        <v>4294.2604684060134</v>
      </c>
      <c r="L35" s="266">
        <v>453.23713382653114</v>
      </c>
      <c r="M35" s="266">
        <v>1299.0823977538093</v>
      </c>
      <c r="N35" s="266">
        <v>270.64622647858823</v>
      </c>
      <c r="O35" s="266">
        <v>718.30023506700945</v>
      </c>
      <c r="P35" s="266">
        <v>5446.9999999999964</v>
      </c>
      <c r="Q35" s="266">
        <v>1769.0606417911822</v>
      </c>
      <c r="R35" s="266">
        <v>1924.3358043492917</v>
      </c>
      <c r="S35" s="266">
        <v>3605.6557499999908</v>
      </c>
      <c r="T35" s="266">
        <v>4554.4919999999984</v>
      </c>
      <c r="U35" s="266">
        <v>651.45533358585817</v>
      </c>
      <c r="V35" s="266">
        <v>8839.4635162820505</v>
      </c>
      <c r="W35" s="266">
        <v>24318.400000000009</v>
      </c>
      <c r="X35" s="266">
        <v>381.89325706185537</v>
      </c>
      <c r="Y35" s="266">
        <v>0.33842283673469353</v>
      </c>
      <c r="Z35" s="266">
        <v>169.80061224489782</v>
      </c>
      <c r="AA35" s="266">
        <v>1369.7238379591834</v>
      </c>
      <c r="AB35" s="266">
        <v>2135.9251980263161</v>
      </c>
      <c r="AC35" s="266">
        <v>67.440770519267517</v>
      </c>
    </row>
    <row r="36" spans="2:29">
      <c r="B36" s="1269"/>
      <c r="C36" s="272" t="s">
        <v>19</v>
      </c>
      <c r="D36" s="266">
        <v>6866.9209999999912</v>
      </c>
      <c r="E36" s="266">
        <v>365.82933097808501</v>
      </c>
      <c r="F36" s="266">
        <v>2720.5403396950351</v>
      </c>
      <c r="G36" s="266">
        <v>462.81374999999969</v>
      </c>
      <c r="H36" s="266">
        <v>5394.580600000003</v>
      </c>
      <c r="I36" s="266">
        <v>152.07289062626262</v>
      </c>
      <c r="J36" s="266">
        <v>9957.300637499995</v>
      </c>
      <c r="K36" s="266">
        <v>5151.3418124173832</v>
      </c>
      <c r="L36" s="266">
        <v>586.1020000000002</v>
      </c>
      <c r="M36" s="266">
        <v>1639.6060000000027</v>
      </c>
      <c r="N36" s="266">
        <v>273.68119285890117</v>
      </c>
      <c r="O36" s="266">
        <v>992.55689124999935</v>
      </c>
      <c r="P36" s="266">
        <v>7829.399999999996</v>
      </c>
      <c r="Q36" s="266">
        <v>1929.5554663099242</v>
      </c>
      <c r="R36" s="266">
        <v>2433.0991374999962</v>
      </c>
      <c r="S36" s="266">
        <v>5192.5999999999913</v>
      </c>
      <c r="T36" s="266">
        <v>6669.909999999998</v>
      </c>
      <c r="U36" s="266">
        <v>915.23700000000133</v>
      </c>
      <c r="V36" s="266">
        <v>9503.9569124999998</v>
      </c>
      <c r="W36" s="266">
        <v>32658.400000000009</v>
      </c>
      <c r="X36" s="266">
        <v>520.07371249999983</v>
      </c>
      <c r="Y36" s="266">
        <v>0.4948024999999997</v>
      </c>
      <c r="Z36" s="266">
        <v>217.72499999999997</v>
      </c>
      <c r="AA36" s="266">
        <v>1420.5784499999997</v>
      </c>
      <c r="AB36" s="266">
        <v>2925.2409875000003</v>
      </c>
      <c r="AC36" s="266">
        <v>73.963779999999971</v>
      </c>
    </row>
    <row r="37" spans="2:29">
      <c r="B37" s="275" t="s">
        <v>233</v>
      </c>
      <c r="C37" s="276" t="s">
        <v>232</v>
      </c>
      <c r="D37" s="266">
        <v>7905.2209999999914</v>
      </c>
      <c r="E37" s="266">
        <v>419.04494317235878</v>
      </c>
      <c r="F37" s="266">
        <v>3487.080339695035</v>
      </c>
      <c r="G37" s="266">
        <v>563.78999999999962</v>
      </c>
      <c r="H37" s="266">
        <v>5559.7866000000031</v>
      </c>
      <c r="I37" s="266">
        <v>194.3191596262626</v>
      </c>
      <c r="J37" s="266">
        <v>10409.901999999995</v>
      </c>
      <c r="K37" s="266">
        <v>5423.9673704529032</v>
      </c>
      <c r="L37" s="266">
        <v>717.73700000000019</v>
      </c>
      <c r="M37" s="266">
        <v>1658.9060000000027</v>
      </c>
      <c r="N37" s="266">
        <v>288.85602476046597</v>
      </c>
      <c r="O37" s="266">
        <v>1094.3040999999994</v>
      </c>
      <c r="P37" s="266">
        <v>8516.4999999999964</v>
      </c>
      <c r="Q37" s="266">
        <v>2033.9953588663454</v>
      </c>
      <c r="R37" s="266">
        <v>2715.6279999999961</v>
      </c>
      <c r="S37" s="266">
        <v>5198.0999999999913</v>
      </c>
      <c r="T37" s="266">
        <v>9652.2999999999993</v>
      </c>
      <c r="U37" s="266">
        <v>1288.8370000000014</v>
      </c>
      <c r="V37" s="266">
        <v>10253.245000000001</v>
      </c>
      <c r="W37" s="266">
        <v>33443.100000000006</v>
      </c>
      <c r="X37" s="266">
        <v>576.54299999999978</v>
      </c>
      <c r="Y37" s="266">
        <v>0.58660999999999974</v>
      </c>
      <c r="Z37" s="266">
        <v>239.99999999999997</v>
      </c>
      <c r="AA37" s="266">
        <v>1458.0159999999998</v>
      </c>
      <c r="AB37" s="266">
        <v>3122.8010000000004</v>
      </c>
      <c r="AC37" s="266">
        <v>76.135727999999972</v>
      </c>
    </row>
    <row r="38" spans="2:29">
      <c r="B38" s="1282" t="s">
        <v>231</v>
      </c>
      <c r="C38" s="277" t="s">
        <v>171</v>
      </c>
      <c r="D38" s="278">
        <v>3132.5</v>
      </c>
      <c r="E38" s="278">
        <v>205</v>
      </c>
      <c r="F38" s="278">
        <v>3371.63</v>
      </c>
      <c r="G38" s="278">
        <v>1590</v>
      </c>
      <c r="H38" s="278">
        <v>3649</v>
      </c>
      <c r="I38" s="278">
        <v>95</v>
      </c>
      <c r="J38" s="278">
        <v>3970</v>
      </c>
      <c r="K38" s="278">
        <v>2992.6732625</v>
      </c>
      <c r="L38" s="278">
        <v>1227.3</v>
      </c>
      <c r="M38" s="278">
        <v>2915</v>
      </c>
      <c r="N38" s="278">
        <v>105.322215</v>
      </c>
      <c r="O38" s="278">
        <v>1259.17</v>
      </c>
      <c r="P38" s="278">
        <v>1350</v>
      </c>
      <c r="Q38" s="278">
        <v>984.25007999999991</v>
      </c>
      <c r="R38" s="278">
        <v>2619.9</v>
      </c>
      <c r="S38" s="278">
        <v>4490</v>
      </c>
      <c r="T38" s="278">
        <v>4139</v>
      </c>
      <c r="U38" s="278">
        <v>1703</v>
      </c>
      <c r="V38" s="278">
        <v>2984.5837499999998</v>
      </c>
      <c r="W38" s="278">
        <v>3159</v>
      </c>
      <c r="X38" s="278">
        <v>398</v>
      </c>
      <c r="Y38" s="278">
        <v>1.8</v>
      </c>
      <c r="Z38" s="278">
        <v>200.1</v>
      </c>
      <c r="AA38" s="278">
        <v>831</v>
      </c>
      <c r="AB38" s="278">
        <v>410</v>
      </c>
      <c r="AC38" s="278">
        <v>322</v>
      </c>
    </row>
    <row r="39" spans="2:29">
      <c r="B39" s="1277"/>
      <c r="C39" s="279" t="s">
        <v>170</v>
      </c>
      <c r="D39" s="278">
        <v>246294</v>
      </c>
      <c r="E39" s="278">
        <v>17847</v>
      </c>
      <c r="F39" s="278">
        <v>203987</v>
      </c>
      <c r="G39" s="278">
        <v>17657</v>
      </c>
      <c r="H39" s="278">
        <v>211791</v>
      </c>
      <c r="I39" s="278">
        <v>4622</v>
      </c>
      <c r="J39" s="278">
        <v>226717</v>
      </c>
      <c r="K39" s="278">
        <v>294398</v>
      </c>
      <c r="L39" s="278">
        <v>61305</v>
      </c>
      <c r="M39" s="278">
        <v>176516</v>
      </c>
      <c r="N39" s="278">
        <v>6697</v>
      </c>
      <c r="O39" s="278">
        <v>40772</v>
      </c>
      <c r="P39" s="278">
        <v>133500</v>
      </c>
      <c r="Q39" s="278">
        <v>83911</v>
      </c>
      <c r="R39" s="278">
        <v>135893</v>
      </c>
      <c r="S39" s="278">
        <v>394665</v>
      </c>
      <c r="T39" s="278">
        <v>295772</v>
      </c>
      <c r="U39" s="278">
        <v>94308</v>
      </c>
      <c r="V39" s="278">
        <v>243511</v>
      </c>
      <c r="W39" s="278">
        <v>524413</v>
      </c>
      <c r="X39" s="278">
        <v>31047</v>
      </c>
      <c r="Y39" s="278">
        <v>113</v>
      </c>
      <c r="Z39" s="278">
        <v>15500</v>
      </c>
      <c r="AA39" s="278">
        <v>22311</v>
      </c>
      <c r="AB39" s="278">
        <v>37495</v>
      </c>
      <c r="AC39" s="278">
        <v>7001</v>
      </c>
    </row>
    <row r="40" spans="2:29">
      <c r="B40" s="1277"/>
      <c r="C40" s="280" t="s">
        <v>230</v>
      </c>
      <c r="D40" s="281">
        <v>78.625379090183557</v>
      </c>
      <c r="E40" s="281">
        <v>87.058536585365857</v>
      </c>
      <c r="F40" s="281">
        <v>60.501003965441043</v>
      </c>
      <c r="G40" s="281">
        <v>11.105031446540881</v>
      </c>
      <c r="H40" s="281">
        <v>58.040833104960264</v>
      </c>
      <c r="I40" s="281">
        <v>48.652631578947371</v>
      </c>
      <c r="J40" s="281">
        <v>57.107556675062973</v>
      </c>
      <c r="K40" s="281">
        <v>98.372917514579498</v>
      </c>
      <c r="L40" s="281">
        <v>49.951112197506724</v>
      </c>
      <c r="M40" s="281">
        <v>60.554373927958835</v>
      </c>
      <c r="N40" s="281">
        <v>63.585825649413088</v>
      </c>
      <c r="O40" s="281">
        <v>32.380059880715073</v>
      </c>
      <c r="P40" s="281">
        <v>98.888888888888886</v>
      </c>
      <c r="Q40" s="281">
        <v>85.253739578055217</v>
      </c>
      <c r="R40" s="281">
        <v>51.869537005229205</v>
      </c>
      <c r="S40" s="281">
        <v>87.898663697104681</v>
      </c>
      <c r="T40" s="281">
        <v>71.459772892002903</v>
      </c>
      <c r="U40" s="281">
        <v>55.377568995889604</v>
      </c>
      <c r="V40" s="281">
        <v>81.589601900097463</v>
      </c>
      <c r="W40" s="281">
        <v>166.00601456157011</v>
      </c>
      <c r="X40" s="281">
        <v>78.007537688442213</v>
      </c>
      <c r="Y40" s="281">
        <v>62.777777777777779</v>
      </c>
      <c r="Z40" s="281">
        <v>77.461269365317349</v>
      </c>
      <c r="AA40" s="281">
        <v>26.848375451263539</v>
      </c>
      <c r="AB40" s="281">
        <v>91.451219512195124</v>
      </c>
      <c r="AC40" s="281">
        <v>21.742236024844722</v>
      </c>
    </row>
    <row r="41" spans="2:29">
      <c r="B41" s="1277"/>
      <c r="C41" s="274" t="s">
        <v>169</v>
      </c>
      <c r="D41" s="262">
        <v>27</v>
      </c>
      <c r="E41" s="262">
        <v>0</v>
      </c>
      <c r="F41" s="262">
        <v>0</v>
      </c>
      <c r="G41" s="262">
        <v>0</v>
      </c>
      <c r="H41" s="262">
        <v>0</v>
      </c>
      <c r="I41" s="262">
        <v>0</v>
      </c>
      <c r="J41" s="262">
        <v>0.23</v>
      </c>
      <c r="K41" s="262">
        <v>39.36</v>
      </c>
      <c r="L41" s="262">
        <v>0</v>
      </c>
      <c r="M41" s="262">
        <v>0</v>
      </c>
      <c r="N41" s="262">
        <v>32.799999999999997</v>
      </c>
      <c r="O41" s="262">
        <v>0</v>
      </c>
      <c r="P41" s="262">
        <v>13</v>
      </c>
      <c r="Q41" s="262">
        <v>24.599999999999998</v>
      </c>
      <c r="R41" s="262">
        <v>0</v>
      </c>
      <c r="S41" s="262">
        <v>0</v>
      </c>
      <c r="T41" s="262">
        <v>0</v>
      </c>
      <c r="U41" s="262">
        <v>0</v>
      </c>
      <c r="V41" s="262">
        <v>40</v>
      </c>
      <c r="W41" s="262">
        <v>12</v>
      </c>
      <c r="X41" s="262">
        <v>0</v>
      </c>
      <c r="Y41" s="262">
        <v>0</v>
      </c>
      <c r="Z41" s="262">
        <v>40</v>
      </c>
      <c r="AA41" s="262">
        <v>0</v>
      </c>
      <c r="AB41" s="262">
        <v>20</v>
      </c>
      <c r="AC41" s="262">
        <v>0</v>
      </c>
    </row>
    <row r="42" spans="2:29">
      <c r="B42" s="1278"/>
      <c r="C42" s="271" t="s">
        <v>168</v>
      </c>
      <c r="D42" s="262">
        <v>94.4</v>
      </c>
      <c r="E42" s="262">
        <v>60</v>
      </c>
      <c r="F42" s="262">
        <v>75</v>
      </c>
      <c r="G42" s="262">
        <v>55</v>
      </c>
      <c r="H42" s="262">
        <v>77.3</v>
      </c>
      <c r="I42" s="262">
        <v>65</v>
      </c>
      <c r="J42" s="262">
        <v>112.22</v>
      </c>
      <c r="K42" s="262">
        <v>72.131601731601734</v>
      </c>
      <c r="L42" s="262">
        <v>60</v>
      </c>
      <c r="M42" s="262">
        <v>80</v>
      </c>
      <c r="N42" s="262">
        <v>77.669264069264059</v>
      </c>
      <c r="O42" s="262">
        <v>103.4</v>
      </c>
      <c r="P42" s="262">
        <v>70</v>
      </c>
      <c r="Q42" s="262">
        <v>74.403463203463204</v>
      </c>
      <c r="R42" s="262">
        <v>90.1</v>
      </c>
      <c r="S42" s="262">
        <v>70</v>
      </c>
      <c r="T42" s="262">
        <v>78</v>
      </c>
      <c r="U42" s="262">
        <v>60</v>
      </c>
      <c r="V42" s="262">
        <v>110</v>
      </c>
      <c r="W42" s="262">
        <v>55</v>
      </c>
      <c r="X42" s="262">
        <v>65</v>
      </c>
      <c r="Y42" s="262">
        <v>60</v>
      </c>
      <c r="Z42" s="262">
        <v>50</v>
      </c>
      <c r="AA42" s="262">
        <v>100</v>
      </c>
      <c r="AB42" s="262">
        <v>50</v>
      </c>
      <c r="AC42" s="262">
        <v>60</v>
      </c>
    </row>
    <row r="43" spans="2:29">
      <c r="B43" s="1282" t="s">
        <v>229</v>
      </c>
      <c r="C43" s="282" t="s">
        <v>167</v>
      </c>
      <c r="D43" s="283">
        <v>105601000</v>
      </c>
      <c r="E43" s="283">
        <v>14183873</v>
      </c>
      <c r="F43" s="283">
        <v>20927216</v>
      </c>
      <c r="G43" s="283">
        <v>11413065</v>
      </c>
      <c r="H43" s="283">
        <v>194664459</v>
      </c>
      <c r="I43" s="283">
        <v>2968271</v>
      </c>
      <c r="J43" s="283">
        <v>87613297</v>
      </c>
      <c r="K43" s="283">
        <v>157517143.71000001</v>
      </c>
      <c r="L43" s="283">
        <v>31531588</v>
      </c>
      <c r="M43" s="283">
        <v>73162024</v>
      </c>
      <c r="N43" s="283">
        <v>1000000</v>
      </c>
      <c r="O43" s="283">
        <v>17953000</v>
      </c>
      <c r="P43" s="283">
        <v>65550438</v>
      </c>
      <c r="Q43" s="283">
        <v>34744140</v>
      </c>
      <c r="R43" s="283">
        <v>86882139</v>
      </c>
      <c r="S43" s="283">
        <v>248781000</v>
      </c>
      <c r="T43" s="283">
        <v>62826346</v>
      </c>
      <c r="U43" s="283">
        <v>25805535</v>
      </c>
      <c r="V43" s="283">
        <v>70631926</v>
      </c>
      <c r="W43" s="283">
        <v>224427768</v>
      </c>
      <c r="X43" s="283">
        <v>17426563</v>
      </c>
      <c r="Y43" s="283">
        <v>52366.39</v>
      </c>
      <c r="Z43" s="283">
        <v>5863843</v>
      </c>
      <c r="AA43" s="283">
        <v>9474951</v>
      </c>
      <c r="AB43" s="283">
        <v>24993000</v>
      </c>
      <c r="AC43" s="283">
        <v>3263615</v>
      </c>
    </row>
    <row r="44" spans="2:29">
      <c r="B44" s="1277"/>
      <c r="C44" s="274" t="s">
        <v>228</v>
      </c>
      <c r="D44" s="284">
        <v>2.99</v>
      </c>
      <c r="E44" s="284">
        <v>8.02</v>
      </c>
      <c r="F44" s="284">
        <v>3.29</v>
      </c>
      <c r="G44" s="284">
        <v>4.09</v>
      </c>
      <c r="H44" s="284">
        <v>4.12</v>
      </c>
      <c r="I44" s="284">
        <v>7.67</v>
      </c>
      <c r="J44" s="284">
        <v>4.18</v>
      </c>
      <c r="K44" s="284">
        <v>5.22</v>
      </c>
      <c r="L44" s="284">
        <v>5.95</v>
      </c>
      <c r="M44" s="284">
        <v>4.59</v>
      </c>
      <c r="N44" s="284">
        <v>0</v>
      </c>
      <c r="O44" s="284">
        <v>3.67</v>
      </c>
      <c r="P44" s="284">
        <v>4.1399999999999997</v>
      </c>
      <c r="Q44" s="284">
        <v>1.56</v>
      </c>
      <c r="R44" s="284">
        <v>3.67</v>
      </c>
      <c r="S44" s="284">
        <v>3.48</v>
      </c>
      <c r="T44" s="284">
        <v>2.83</v>
      </c>
      <c r="U44" s="284">
        <v>4.76</v>
      </c>
      <c r="V44" s="284">
        <v>9.1</v>
      </c>
      <c r="W44" s="284">
        <v>6.5</v>
      </c>
      <c r="X44" s="284">
        <v>3.29</v>
      </c>
      <c r="Y44" s="284">
        <v>6.59</v>
      </c>
      <c r="Z44" s="284">
        <v>3.3</v>
      </c>
      <c r="AA44" s="284">
        <v>4.26</v>
      </c>
      <c r="AB44" s="284">
        <v>4.21</v>
      </c>
      <c r="AC44" s="284">
        <v>8.3800000000000008</v>
      </c>
    </row>
    <row r="45" spans="2:29">
      <c r="B45" s="1277"/>
      <c r="C45" s="274" t="s">
        <v>227</v>
      </c>
      <c r="D45" s="262" t="s">
        <v>30</v>
      </c>
      <c r="E45" s="262" t="s">
        <v>30</v>
      </c>
      <c r="F45" s="262" t="s">
        <v>30</v>
      </c>
      <c r="G45" s="262" t="s">
        <v>30</v>
      </c>
      <c r="H45" s="262" t="s">
        <v>30</v>
      </c>
      <c r="I45" s="262" t="s">
        <v>30</v>
      </c>
      <c r="J45" s="262" t="s">
        <v>30</v>
      </c>
      <c r="K45" s="262" t="s">
        <v>30</v>
      </c>
      <c r="L45" s="262" t="s">
        <v>30</v>
      </c>
      <c r="M45" s="262" t="s">
        <v>30</v>
      </c>
      <c r="N45" s="262" t="s">
        <v>30</v>
      </c>
      <c r="O45" s="262" t="s">
        <v>30</v>
      </c>
      <c r="P45" s="262" t="s">
        <v>30</v>
      </c>
      <c r="Q45" s="262" t="s">
        <v>30</v>
      </c>
      <c r="R45" s="262" t="s">
        <v>30</v>
      </c>
      <c r="S45" s="262" t="s">
        <v>30</v>
      </c>
      <c r="T45" s="262" t="s">
        <v>30</v>
      </c>
      <c r="U45" s="262" t="s">
        <v>30</v>
      </c>
      <c r="V45" s="262" t="s">
        <v>30</v>
      </c>
      <c r="W45" s="262" t="s">
        <v>30</v>
      </c>
      <c r="X45" s="262" t="s">
        <v>30</v>
      </c>
      <c r="Y45" s="262" t="s">
        <v>30</v>
      </c>
      <c r="Z45" s="262" t="s">
        <v>30</v>
      </c>
      <c r="AA45" s="262" t="s">
        <v>30</v>
      </c>
      <c r="AB45" s="262" t="s">
        <v>30</v>
      </c>
      <c r="AC45" s="262" t="s">
        <v>30</v>
      </c>
    </row>
    <row r="46" spans="2:29">
      <c r="B46" s="1278"/>
      <c r="C46" s="271" t="s">
        <v>165</v>
      </c>
      <c r="D46" s="284">
        <v>450</v>
      </c>
      <c r="E46" s="284">
        <v>2277.11</v>
      </c>
      <c r="F46" s="284">
        <v>307</v>
      </c>
      <c r="G46" s="284">
        <v>425.15</v>
      </c>
      <c r="H46" s="284">
        <v>330</v>
      </c>
      <c r="I46" s="284">
        <v>270</v>
      </c>
      <c r="J46" s="284">
        <v>340.14</v>
      </c>
      <c r="K46" s="284">
        <v>232.88</v>
      </c>
      <c r="L46" s="284">
        <v>322.05</v>
      </c>
      <c r="M46" s="284">
        <v>2170</v>
      </c>
      <c r="N46" s="284">
        <v>605.66999999999996</v>
      </c>
      <c r="O46" s="284">
        <v>2205.59</v>
      </c>
      <c r="P46" s="284">
        <v>776</v>
      </c>
      <c r="Q46" s="284">
        <v>204.41</v>
      </c>
      <c r="R46" s="284">
        <v>502.14</v>
      </c>
      <c r="S46" s="284">
        <v>923.11</v>
      </c>
      <c r="T46" s="284">
        <v>186.81</v>
      </c>
      <c r="U46" s="284">
        <v>250</v>
      </c>
      <c r="V46" s="284">
        <v>362</v>
      </c>
      <c r="W46" s="284">
        <v>272.56</v>
      </c>
      <c r="X46" s="284">
        <v>532.21</v>
      </c>
      <c r="Y46" s="284">
        <v>628.91999999999996</v>
      </c>
      <c r="Z46" s="284">
        <v>1274.04</v>
      </c>
      <c r="AA46" s="284">
        <v>642.5</v>
      </c>
      <c r="AB46" s="284">
        <v>285.22000000000003</v>
      </c>
      <c r="AC46" s="284">
        <v>2259.02</v>
      </c>
    </row>
    <row r="47" spans="2:29">
      <c r="B47" s="261"/>
      <c r="C47" s="261"/>
      <c r="D47" s="253"/>
      <c r="E47" s="253"/>
      <c r="F47" s="253"/>
      <c r="G47" s="253"/>
      <c r="H47" s="253"/>
      <c r="I47" s="253"/>
      <c r="J47" s="253"/>
      <c r="K47" s="253"/>
      <c r="L47" s="253"/>
      <c r="M47" s="253"/>
      <c r="N47" s="253"/>
      <c r="O47" s="253"/>
      <c r="P47" s="253"/>
      <c r="Q47" s="253"/>
      <c r="R47" s="253"/>
      <c r="S47" s="253"/>
      <c r="T47" s="253"/>
      <c r="U47" s="253"/>
      <c r="V47" s="253"/>
      <c r="W47" s="253"/>
      <c r="X47" s="253"/>
      <c r="Y47" s="253"/>
      <c r="Z47" s="253"/>
      <c r="AA47" s="253"/>
      <c r="AB47" s="253"/>
      <c r="AC47" s="253"/>
    </row>
    <row r="48" spans="2:29">
      <c r="B48" s="1283" t="s">
        <v>226</v>
      </c>
      <c r="C48" s="1284"/>
      <c r="D48" s="285"/>
      <c r="E48" s="285"/>
      <c r="F48" s="285"/>
      <c r="G48" s="285"/>
      <c r="H48" s="285"/>
      <c r="I48" s="285"/>
      <c r="J48" s="285"/>
      <c r="K48" s="285"/>
      <c r="L48" s="285"/>
      <c r="M48" s="285"/>
      <c r="N48" s="285"/>
      <c r="O48" s="285"/>
      <c r="P48" s="285"/>
      <c r="Q48" s="285"/>
      <c r="R48" s="285"/>
      <c r="S48" s="285"/>
      <c r="T48" s="285"/>
      <c r="U48" s="285"/>
      <c r="V48" s="285"/>
      <c r="W48" s="285"/>
      <c r="X48" s="285"/>
      <c r="Y48" s="285"/>
      <c r="Z48" s="285"/>
      <c r="AA48" s="285"/>
      <c r="AB48" s="285"/>
      <c r="AC48" s="285"/>
    </row>
    <row r="49" spans="2:29">
      <c r="B49" s="1285" t="s">
        <v>225</v>
      </c>
      <c r="C49" s="286" t="s">
        <v>224</v>
      </c>
      <c r="D49" s="287">
        <v>0.20064562174177289</v>
      </c>
      <c r="E49" s="287">
        <v>9.8430922311519051E-2</v>
      </c>
      <c r="F49" s="287">
        <v>0.10511802387420864</v>
      </c>
      <c r="G49" s="287">
        <v>0.19199387025370329</v>
      </c>
      <c r="H49" s="287">
        <v>0.11031636801814795</v>
      </c>
      <c r="I49" s="287">
        <v>0.30124840788179308</v>
      </c>
      <c r="J49" s="287">
        <v>0.28988261982505559</v>
      </c>
      <c r="K49" s="287">
        <v>0.13008329165002241</v>
      </c>
      <c r="L49" s="287">
        <v>0.13540488160654321</v>
      </c>
      <c r="M49" s="287">
        <v>8.0401629623519363E-2</v>
      </c>
      <c r="N49" s="287">
        <v>0.2379400531701106</v>
      </c>
      <c r="O49" s="287">
        <v>0.13443908111140193</v>
      </c>
      <c r="P49" s="287">
        <v>0.22676681879423363</v>
      </c>
      <c r="Q49" s="287">
        <v>0.1695040925845365</v>
      </c>
      <c r="R49" s="287">
        <v>0.12175875470540304</v>
      </c>
      <c r="S49" s="287">
        <v>5.0773752487113806E-2</v>
      </c>
      <c r="T49" s="287">
        <v>0.2284719460697987</v>
      </c>
      <c r="U49" s="287">
        <v>5.93108396099256E-2</v>
      </c>
      <c r="V49" s="287">
        <v>0.41342384544180349</v>
      </c>
      <c r="W49" s="287">
        <v>0.39694555916777352</v>
      </c>
      <c r="X49" s="287">
        <v>0.12762313496517905</v>
      </c>
      <c r="Y49" s="287">
        <v>7.9869564033439491E-2</v>
      </c>
      <c r="Z49" s="287">
        <v>0.13468013468013468</v>
      </c>
      <c r="AA49" s="287">
        <v>0.48681604431913944</v>
      </c>
      <c r="AB49" s="287">
        <v>0.47280773485832506</v>
      </c>
      <c r="AC49" s="287">
        <v>0.1927222691873757</v>
      </c>
    </row>
    <row r="50" spans="2:29">
      <c r="B50" s="1285"/>
      <c r="C50" s="288" t="s">
        <v>223</v>
      </c>
      <c r="D50" s="287">
        <v>7.4798189712390759E-2</v>
      </c>
      <c r="E50" s="287">
        <v>0.10343609730267948</v>
      </c>
      <c r="F50" s="287">
        <v>0.18346885466641644</v>
      </c>
      <c r="G50" s="287">
        <v>3.7429608637880564E-2</v>
      </c>
      <c r="H50" s="287">
        <v>3.0108773415079341E-2</v>
      </c>
      <c r="I50" s="287">
        <v>7.3848877396193613E-2</v>
      </c>
      <c r="J50" s="287">
        <v>8.0128098157713046E-2</v>
      </c>
      <c r="K50" s="287">
        <v>3.5175922547414272E-2</v>
      </c>
      <c r="L50" s="287">
        <v>3.1045186320174407E-2</v>
      </c>
      <c r="M50" s="287">
        <v>6.0467068781965269E-2</v>
      </c>
      <c r="N50" s="287">
        <v>0.1731120987115381</v>
      </c>
      <c r="O50" s="287">
        <v>0.1568100244972947</v>
      </c>
      <c r="P50" s="287">
        <v>0.2232320531939431</v>
      </c>
      <c r="Q50" s="287">
        <v>1.8244232455823815E-2</v>
      </c>
      <c r="R50" s="287">
        <v>3.4245432844083046E-2</v>
      </c>
      <c r="S50" s="287">
        <v>3.5597814842702989E-2</v>
      </c>
      <c r="T50" s="287">
        <v>0.1176989963162906</v>
      </c>
      <c r="U50" s="287">
        <v>5.8586832845270831E-2</v>
      </c>
      <c r="V50" s="287">
        <v>0.13475518119316801</v>
      </c>
      <c r="W50" s="287">
        <v>0.2720345235354299</v>
      </c>
      <c r="X50" s="287">
        <v>3.9475060471348258E-2</v>
      </c>
      <c r="Y50" s="287">
        <v>2.4846517858067945E-2</v>
      </c>
      <c r="Z50" s="287">
        <v>6.8718418089471614E-2</v>
      </c>
      <c r="AA50" s="287">
        <v>0.11828471081883732</v>
      </c>
      <c r="AB50" s="287">
        <v>0.15958772958150386</v>
      </c>
      <c r="AC50" s="287">
        <v>6.4933928431488888E-2</v>
      </c>
    </row>
    <row r="51" spans="2:29">
      <c r="B51" s="1285"/>
      <c r="C51" s="289" t="s">
        <v>222</v>
      </c>
      <c r="D51" s="290">
        <v>5110562.3600000003</v>
      </c>
      <c r="E51" s="290">
        <v>716257.76</v>
      </c>
      <c r="F51" s="290">
        <v>3054328.9</v>
      </c>
      <c r="G51" s="290">
        <v>209241.62</v>
      </c>
      <c r="H51" s="290">
        <v>4376960.28</v>
      </c>
      <c r="I51" s="290">
        <v>172820.97</v>
      </c>
      <c r="J51" s="290">
        <v>3787341.46</v>
      </c>
      <c r="K51" s="290">
        <v>4477280.92</v>
      </c>
      <c r="L51" s="290">
        <v>790545.95</v>
      </c>
      <c r="M51" s="290">
        <v>1563003.33</v>
      </c>
      <c r="N51" s="290">
        <v>0</v>
      </c>
      <c r="O51" s="290">
        <v>1006521.93</v>
      </c>
      <c r="P51" s="290">
        <v>9872897.2599999998</v>
      </c>
      <c r="Q51" s="290">
        <v>250913.66</v>
      </c>
      <c r="R51" s="290">
        <v>1867161.43</v>
      </c>
      <c r="S51" s="290">
        <v>5522565.9900000002</v>
      </c>
      <c r="T51" s="290">
        <v>5986632.9400000004</v>
      </c>
      <c r="U51" s="290">
        <v>1255600.73</v>
      </c>
      <c r="V51" s="290">
        <v>6046889.9100000001</v>
      </c>
      <c r="W51" s="290">
        <v>54210000</v>
      </c>
      <c r="X51" s="290">
        <v>454613.7</v>
      </c>
      <c r="Y51" s="290">
        <v>1030.54</v>
      </c>
      <c r="Z51" s="290">
        <v>158242</v>
      </c>
      <c r="AA51" s="290">
        <v>216640.65</v>
      </c>
      <c r="AB51" s="290">
        <v>3323019.47</v>
      </c>
      <c r="AC51" s="290">
        <v>54662.82</v>
      </c>
    </row>
    <row r="52" spans="2:29">
      <c r="B52" s="1286"/>
      <c r="C52" s="291" t="s">
        <v>221</v>
      </c>
      <c r="D52" s="290">
        <v>2320966.27</v>
      </c>
      <c r="E52" s="290">
        <v>629688.84</v>
      </c>
      <c r="F52" s="290">
        <v>549835.67000000004</v>
      </c>
      <c r="G52" s="290">
        <v>175014.88</v>
      </c>
      <c r="H52" s="290">
        <v>1429629.83</v>
      </c>
      <c r="I52" s="290">
        <v>34976.019999999997</v>
      </c>
      <c r="J52" s="290">
        <v>3078997.58</v>
      </c>
      <c r="K52" s="290">
        <v>1000041.28</v>
      </c>
      <c r="L52" s="290">
        <v>145965.01999999999</v>
      </c>
      <c r="M52" s="290">
        <v>2819008.8</v>
      </c>
      <c r="N52" s="290">
        <v>163921.22</v>
      </c>
      <c r="O52" s="290">
        <v>1584275.82</v>
      </c>
      <c r="P52" s="290">
        <v>4226872</v>
      </c>
      <c r="Q52" s="290">
        <v>361617.71</v>
      </c>
      <c r="R52" s="290">
        <v>966285.98</v>
      </c>
      <c r="S52" s="290">
        <v>3328416.88</v>
      </c>
      <c r="T52" s="290">
        <v>850824.65</v>
      </c>
      <c r="U52" s="290">
        <v>162863.82999999999</v>
      </c>
      <c r="V52" s="290">
        <v>3199885.79</v>
      </c>
      <c r="W52" s="290">
        <v>6628223.0999999996</v>
      </c>
      <c r="X52" s="290">
        <v>203247.41</v>
      </c>
      <c r="Y52" s="290">
        <v>212.84</v>
      </c>
      <c r="Z52" s="290">
        <v>216332.77</v>
      </c>
      <c r="AA52" s="290">
        <v>880047.57</v>
      </c>
      <c r="AB52" s="290">
        <v>609208.59</v>
      </c>
      <c r="AC52" s="290">
        <v>152350.04999999999</v>
      </c>
    </row>
    <row r="53" spans="2:29">
      <c r="B53" s="1287" t="s">
        <v>220</v>
      </c>
      <c r="C53" s="292" t="s">
        <v>42</v>
      </c>
      <c r="D53" s="293">
        <v>19.013006972268485</v>
      </c>
      <c r="E53" s="293">
        <v>13.708557504429798</v>
      </c>
      <c r="F53" s="293">
        <v>12.484608145078179</v>
      </c>
      <c r="G53" s="293">
        <v>7.9380712164277654</v>
      </c>
      <c r="H53" s="293">
        <v>13.742793603127614</v>
      </c>
      <c r="I53" s="293">
        <v>13.356056890847045</v>
      </c>
      <c r="J53" s="293">
        <v>10.938176623343995</v>
      </c>
      <c r="K53" s="293">
        <v>7.9761685398153999</v>
      </c>
      <c r="L53" s="293">
        <v>5.9377429570525573</v>
      </c>
      <c r="M53" s="293">
        <v>5.2853077115783744</v>
      </c>
      <c r="N53" s="293">
        <v>1.2415971904463314</v>
      </c>
      <c r="O53" s="293">
        <v>18.429022346990074</v>
      </c>
      <c r="P53" s="293">
        <v>48.89230927094556</v>
      </c>
      <c r="Q53" s="293">
        <v>5.2402169917716819</v>
      </c>
      <c r="R53" s="293">
        <v>10.25712984199604</v>
      </c>
      <c r="S53" s="293">
        <v>11.01641256699587</v>
      </c>
      <c r="T53" s="293">
        <v>19.595045350556024</v>
      </c>
      <c r="U53" s="293">
        <v>7.6630773319872096</v>
      </c>
      <c r="V53" s="293">
        <v>7.4761709025543572</v>
      </c>
      <c r="W53" s="293">
        <v>43.571221667832702</v>
      </c>
      <c r="X53" s="293">
        <v>12.193660908992545</v>
      </c>
      <c r="Y53" s="293">
        <v>3.7914817133060041</v>
      </c>
      <c r="Z53" s="293">
        <v>8.4709479019181906</v>
      </c>
      <c r="AA53" s="293">
        <v>6.2447987190809444</v>
      </c>
      <c r="AB53" s="293">
        <v>57.674596939769806</v>
      </c>
      <c r="AC53" s="293">
        <v>2.5526723112872132</v>
      </c>
    </row>
    <row r="54" spans="2:29">
      <c r="B54" s="1285"/>
      <c r="C54" s="294" t="s">
        <v>43</v>
      </c>
      <c r="D54" s="293">
        <v>57.373271994254438</v>
      </c>
      <c r="E54" s="293">
        <v>42.450580707369731</v>
      </c>
      <c r="F54" s="293">
        <v>24.054657480901277</v>
      </c>
      <c r="G54" s="293" t="s">
        <v>218</v>
      </c>
      <c r="H54" s="293">
        <v>56.041441216634951</v>
      </c>
      <c r="I54" s="293">
        <v>76.786317949115869</v>
      </c>
      <c r="J54" s="293">
        <v>109.38926119198554</v>
      </c>
      <c r="K54" s="293">
        <v>39.9632374327105</v>
      </c>
      <c r="L54" s="293">
        <v>20.255208745248876</v>
      </c>
      <c r="M54" s="293">
        <v>20.163213855173197</v>
      </c>
      <c r="N54" s="293">
        <v>110.72069746158603</v>
      </c>
      <c r="O54" s="293">
        <v>48.267091373949185</v>
      </c>
      <c r="P54" s="293">
        <v>111.78492637627615</v>
      </c>
      <c r="Q54" s="293">
        <v>57.760502012363133</v>
      </c>
      <c r="R54" s="293">
        <v>38.79635366522335</v>
      </c>
      <c r="S54" s="293">
        <v>25.030111370680359</v>
      </c>
      <c r="T54" s="293">
        <v>42.188105276945066</v>
      </c>
      <c r="U54" s="293">
        <v>18.92532057844446</v>
      </c>
      <c r="V54" s="293">
        <v>99.452214740962191</v>
      </c>
      <c r="W54" s="293">
        <v>127.04824904160948</v>
      </c>
      <c r="X54" s="293">
        <v>33.699967663860527</v>
      </c>
      <c r="Y54" s="293">
        <v>8.2051845492712712</v>
      </c>
      <c r="Z54" s="293">
        <v>30.013364957118483</v>
      </c>
      <c r="AA54" s="293" t="s">
        <v>218</v>
      </c>
      <c r="AB54" s="293">
        <v>156.07013888802095</v>
      </c>
      <c r="AC54" s="293" t="s">
        <v>218</v>
      </c>
    </row>
    <row r="55" spans="2:29">
      <c r="B55" s="1285"/>
      <c r="C55" s="295" t="s">
        <v>219</v>
      </c>
      <c r="D55" s="296" t="s">
        <v>218</v>
      </c>
      <c r="E55" s="296" t="s">
        <v>218</v>
      </c>
      <c r="F55" s="296" t="s">
        <v>218</v>
      </c>
      <c r="G55" s="296">
        <v>709.32097688293265</v>
      </c>
      <c r="H55" s="296" t="s">
        <v>218</v>
      </c>
      <c r="I55" s="296" t="s">
        <v>218</v>
      </c>
      <c r="J55" s="296" t="s">
        <v>218</v>
      </c>
      <c r="K55" s="296" t="s">
        <v>218</v>
      </c>
      <c r="L55" s="296" t="s">
        <v>218</v>
      </c>
      <c r="M55" s="296" t="s">
        <v>218</v>
      </c>
      <c r="N55" s="296" t="s">
        <v>218</v>
      </c>
      <c r="O55" s="296" t="s">
        <v>218</v>
      </c>
      <c r="P55" s="296" t="s">
        <v>218</v>
      </c>
      <c r="Q55" s="296" t="s">
        <v>218</v>
      </c>
      <c r="R55" s="296" t="s">
        <v>218</v>
      </c>
      <c r="S55" s="296" t="s">
        <v>218</v>
      </c>
      <c r="T55" s="296" t="s">
        <v>218</v>
      </c>
      <c r="U55" s="296" t="s">
        <v>218</v>
      </c>
      <c r="V55" s="296" t="s">
        <v>218</v>
      </c>
      <c r="W55" s="296" t="s">
        <v>218</v>
      </c>
      <c r="X55" s="296" t="s">
        <v>218</v>
      </c>
      <c r="Y55" s="296" t="s">
        <v>218</v>
      </c>
      <c r="Z55" s="296" t="s">
        <v>218</v>
      </c>
      <c r="AA55" s="296">
        <v>4515.8460279220726</v>
      </c>
      <c r="AB55" s="296" t="s">
        <v>218</v>
      </c>
      <c r="AC55" s="296">
        <v>573.81749782410884</v>
      </c>
    </row>
    <row r="56" spans="2:29">
      <c r="B56" s="1285"/>
      <c r="C56" s="294" t="s">
        <v>217</v>
      </c>
      <c r="D56" s="293">
        <v>0.60776771180354272</v>
      </c>
      <c r="E56" s="293">
        <v>0.70750967845616219</v>
      </c>
      <c r="F56" s="293">
        <v>0.32072876641201703</v>
      </c>
      <c r="G56" s="293"/>
      <c r="H56" s="293">
        <v>0.72498630293188815</v>
      </c>
      <c r="I56" s="293">
        <v>1.1813279684479365</v>
      </c>
      <c r="J56" s="293">
        <v>0.97477509527700534</v>
      </c>
      <c r="K56" s="293">
        <v>0.55403230308695772</v>
      </c>
      <c r="L56" s="293">
        <v>0.33758681242081462</v>
      </c>
      <c r="M56" s="293">
        <v>0.25204017318966498</v>
      </c>
      <c r="N56" s="293">
        <v>1.4255407050444986</v>
      </c>
      <c r="O56" s="293">
        <v>0.46679972315231316</v>
      </c>
      <c r="P56" s="293">
        <v>1.5969275196610877</v>
      </c>
      <c r="Q56" s="293">
        <v>0.77631469726633096</v>
      </c>
      <c r="R56" s="293">
        <v>0.4305921605463191</v>
      </c>
      <c r="S56" s="293">
        <v>0.35757301958114801</v>
      </c>
      <c r="T56" s="293">
        <v>0.54087314457621882</v>
      </c>
      <c r="U56" s="293">
        <v>0.31542200964074102</v>
      </c>
      <c r="V56" s="293">
        <v>0.90411104309965629</v>
      </c>
      <c r="W56" s="293">
        <v>2.3099681643928998</v>
      </c>
      <c r="X56" s="293">
        <v>0.51846104098246959</v>
      </c>
      <c r="Y56" s="293">
        <v>0.13675307582118784</v>
      </c>
      <c r="Z56" s="293">
        <v>0.60026729914236965</v>
      </c>
      <c r="AA56" s="293"/>
      <c r="AB56" s="293">
        <v>3.121402777760419</v>
      </c>
      <c r="AC56" s="293"/>
    </row>
    <row r="57" spans="2:29">
      <c r="B57" s="1285"/>
      <c r="C57" s="294" t="s">
        <v>44</v>
      </c>
      <c r="D57" s="293">
        <v>2182.3348364136368</v>
      </c>
      <c r="E57" s="293">
        <v>82.915589999999995</v>
      </c>
      <c r="F57" s="293">
        <v>1336.9558072125001</v>
      </c>
      <c r="G57" s="293">
        <v>225.85278374999999</v>
      </c>
      <c r="H57" s="293">
        <v>1453.32155923</v>
      </c>
      <c r="I57" s="293">
        <v>28.642006250000001</v>
      </c>
      <c r="J57" s="293">
        <v>2275.7263934685693</v>
      </c>
      <c r="K57" s="293">
        <v>2022.2454638590914</v>
      </c>
      <c r="L57" s="293">
        <v>346.79620169999998</v>
      </c>
      <c r="M57" s="293">
        <v>1233.6284599999999</v>
      </c>
      <c r="N57" s="293">
        <v>53.477021344898937</v>
      </c>
      <c r="O57" s="293">
        <v>487.91223998769999</v>
      </c>
      <c r="P57" s="293">
        <v>761.22900596590898</v>
      </c>
      <c r="Q57" s="293">
        <v>566.05407018813457</v>
      </c>
      <c r="R57" s="293">
        <v>1136.4788083785002</v>
      </c>
      <c r="S57" s="293">
        <v>2133.1861075000002</v>
      </c>
      <c r="T57" s="293">
        <v>1900.5942812999999</v>
      </c>
      <c r="U57" s="293">
        <v>511.57151699999997</v>
      </c>
      <c r="V57" s="293">
        <v>2670.3403794631254</v>
      </c>
      <c r="W57" s="293">
        <v>2101.6717839375001</v>
      </c>
      <c r="X57" s="293">
        <v>161.57270674999998</v>
      </c>
      <c r="Y57" s="293" t="s">
        <v>216</v>
      </c>
      <c r="Z57" s="293">
        <v>78.260066431818188</v>
      </c>
      <c r="AA57" s="293">
        <v>286.24614000000003</v>
      </c>
      <c r="AB57" s="293">
        <v>162.56276676136363</v>
      </c>
      <c r="AC57" s="293">
        <v>61.148523000000004</v>
      </c>
    </row>
    <row r="58" spans="2:29">
      <c r="B58" s="1286"/>
      <c r="C58" s="297" t="s">
        <v>215</v>
      </c>
      <c r="D58" s="293">
        <v>2.363387474791804</v>
      </c>
      <c r="E58" s="293">
        <v>3.3350744120353739</v>
      </c>
      <c r="F58" s="293">
        <v>1.3396072233773508</v>
      </c>
      <c r="G58" s="293">
        <v>1.8226670581562401</v>
      </c>
      <c r="H58" s="293">
        <v>2.9809036909184075</v>
      </c>
      <c r="I58" s="293">
        <v>4.5227565708563775</v>
      </c>
      <c r="J58" s="293">
        <v>3.9776960439124762</v>
      </c>
      <c r="K58" s="293">
        <v>2.1235109907039624</v>
      </c>
      <c r="L58" s="293">
        <v>1.3069264646058871</v>
      </c>
      <c r="M58" s="293">
        <v>1.0530580639764175</v>
      </c>
      <c r="N58" s="293">
        <v>5.0609817015248666</v>
      </c>
      <c r="O58" s="293">
        <v>1.4721914643607166</v>
      </c>
      <c r="P58" s="293">
        <v>7.1555339553678747</v>
      </c>
      <c r="Q58" s="293">
        <v>3.1252502807783267</v>
      </c>
      <c r="R58" s="293">
        <v>1.6932438952336353</v>
      </c>
      <c r="S58" s="293">
        <v>1.6902677817575233</v>
      </c>
      <c r="T58" s="293">
        <v>2.3963515226851793</v>
      </c>
      <c r="U58" s="293">
        <v>1.2734394154822701</v>
      </c>
      <c r="V58" s="293">
        <v>3.3102384940376903</v>
      </c>
      <c r="W58" s="293">
        <v>11.570978963441798</v>
      </c>
      <c r="X58" s="293">
        <v>2.363600045722793</v>
      </c>
      <c r="Y58" s="293"/>
      <c r="Z58" s="293">
        <v>2.1696967557883644</v>
      </c>
      <c r="AA58" s="293">
        <v>4.7851259687176331</v>
      </c>
      <c r="AB58" s="293">
        <v>13.139080003244398</v>
      </c>
      <c r="AC58" s="293">
        <v>1.1029010548507854</v>
      </c>
    </row>
    <row r="59" spans="2:29">
      <c r="B59" s="1288" t="s">
        <v>214</v>
      </c>
      <c r="C59" s="298" t="s">
        <v>213</v>
      </c>
      <c r="D59" s="299">
        <v>85.376344086021504</v>
      </c>
      <c r="E59" s="299">
        <v>75.205479452054789</v>
      </c>
      <c r="F59" s="299">
        <v>76.823529411764696</v>
      </c>
      <c r="G59" s="299">
        <v>65.268817204301072</v>
      </c>
      <c r="H59" s="299">
        <v>83.333333333333314</v>
      </c>
      <c r="I59" s="299">
        <v>69.493670886075932</v>
      </c>
      <c r="J59" s="299">
        <v>90.941176470588232</v>
      </c>
      <c r="K59" s="299">
        <v>69.677419354838705</v>
      </c>
      <c r="L59" s="299">
        <v>72.736842105263179</v>
      </c>
      <c r="M59" s="299">
        <v>65.384615384615387</v>
      </c>
      <c r="N59" s="299">
        <v>56.491228070175445</v>
      </c>
      <c r="O59" s="299">
        <v>73.146067415730343</v>
      </c>
      <c r="P59" s="299">
        <v>82.92307692307692</v>
      </c>
      <c r="Q59" s="299">
        <v>88.450704225352126</v>
      </c>
      <c r="R59" s="299">
        <v>77.594936708860757</v>
      </c>
      <c r="S59" s="299">
        <v>84.022988505747136</v>
      </c>
      <c r="T59" s="299">
        <v>72.025316455696199</v>
      </c>
      <c r="U59" s="299">
        <v>79.770114942528764</v>
      </c>
      <c r="V59" s="299">
        <v>87.157894736842124</v>
      </c>
      <c r="W59" s="299">
        <v>82.098765432098773</v>
      </c>
      <c r="X59" s="299">
        <v>78.395061728395049</v>
      </c>
      <c r="Y59" s="299">
        <v>61.692307692307679</v>
      </c>
      <c r="Z59" s="299">
        <v>88.769230769230759</v>
      </c>
      <c r="AA59" s="299">
        <v>53.58024691358024</v>
      </c>
      <c r="AB59" s="299">
        <v>63.563218390804607</v>
      </c>
      <c r="AC59" s="299">
        <v>85.753424657534254</v>
      </c>
    </row>
    <row r="60" spans="2:29">
      <c r="B60" s="1289"/>
      <c r="C60" s="300" t="s">
        <v>212</v>
      </c>
      <c r="D60" s="285" t="s">
        <v>208</v>
      </c>
      <c r="E60" s="285" t="s">
        <v>208</v>
      </c>
      <c r="F60" s="285" t="s">
        <v>208</v>
      </c>
      <c r="G60" s="285" t="s">
        <v>208</v>
      </c>
      <c r="H60" s="285" t="s">
        <v>208</v>
      </c>
      <c r="I60" s="285" t="s">
        <v>208</v>
      </c>
      <c r="J60" s="285" t="s">
        <v>211</v>
      </c>
      <c r="K60" s="285" t="s">
        <v>208</v>
      </c>
      <c r="L60" s="285" t="s">
        <v>208</v>
      </c>
      <c r="M60" s="285" t="s">
        <v>207</v>
      </c>
      <c r="N60" s="285" t="s">
        <v>208</v>
      </c>
      <c r="O60" s="285" t="s">
        <v>208</v>
      </c>
      <c r="P60" s="285" t="s">
        <v>207</v>
      </c>
      <c r="Q60" s="285" t="s">
        <v>210</v>
      </c>
      <c r="R60" s="285" t="s">
        <v>208</v>
      </c>
      <c r="S60" s="285" t="s">
        <v>208</v>
      </c>
      <c r="T60" s="285" t="s">
        <v>208</v>
      </c>
      <c r="U60" s="285" t="s">
        <v>208</v>
      </c>
      <c r="V60" s="285" t="s">
        <v>208</v>
      </c>
      <c r="W60" s="285" t="s">
        <v>208</v>
      </c>
      <c r="X60" s="285" t="s">
        <v>209</v>
      </c>
      <c r="Y60" s="285" t="s">
        <v>208</v>
      </c>
      <c r="Z60" s="285" t="s">
        <v>207</v>
      </c>
      <c r="AA60" s="285" t="s">
        <v>208</v>
      </c>
      <c r="AB60" s="285" t="s">
        <v>208</v>
      </c>
      <c r="AC60" s="285" t="s">
        <v>207</v>
      </c>
    </row>
    <row r="61" spans="2:29">
      <c r="B61" s="1289"/>
      <c r="C61" s="300" t="s">
        <v>206</v>
      </c>
      <c r="D61" s="285" t="s">
        <v>196</v>
      </c>
      <c r="E61" s="285" t="s">
        <v>205</v>
      </c>
      <c r="F61" s="285" t="s">
        <v>198</v>
      </c>
      <c r="G61" s="285" t="s">
        <v>197</v>
      </c>
      <c r="H61" s="285" t="s">
        <v>197</v>
      </c>
      <c r="I61" s="285" t="s">
        <v>197</v>
      </c>
      <c r="J61" s="285" t="s">
        <v>204</v>
      </c>
      <c r="K61" s="285" t="s">
        <v>199</v>
      </c>
      <c r="L61" s="285" t="s">
        <v>196</v>
      </c>
      <c r="M61" s="285" t="s">
        <v>203</v>
      </c>
      <c r="N61" s="285" t="s">
        <v>202</v>
      </c>
      <c r="O61" s="285" t="s">
        <v>197</v>
      </c>
      <c r="P61" s="285" t="s">
        <v>199</v>
      </c>
      <c r="Q61" s="285" t="s">
        <v>199</v>
      </c>
      <c r="R61" s="285" t="s">
        <v>197</v>
      </c>
      <c r="S61" s="285" t="s">
        <v>196</v>
      </c>
      <c r="T61" s="285" t="s">
        <v>201</v>
      </c>
      <c r="U61" s="285" t="s">
        <v>200</v>
      </c>
      <c r="V61" s="285" t="s">
        <v>195</v>
      </c>
      <c r="W61" s="285" t="s">
        <v>199</v>
      </c>
      <c r="X61" s="285" t="s">
        <v>198</v>
      </c>
      <c r="Y61" s="285" t="s">
        <v>198</v>
      </c>
      <c r="Z61" s="285" t="s">
        <v>195</v>
      </c>
      <c r="AA61" s="285" t="s">
        <v>197</v>
      </c>
      <c r="AB61" s="285" t="s">
        <v>196</v>
      </c>
      <c r="AC61" s="285" t="s">
        <v>195</v>
      </c>
    </row>
    <row r="62" spans="2:29">
      <c r="B62" s="1290"/>
      <c r="C62" s="301" t="s">
        <v>194</v>
      </c>
      <c r="D62" s="285" t="s">
        <v>186</v>
      </c>
      <c r="E62" s="285" t="s">
        <v>190</v>
      </c>
      <c r="F62" s="285" t="s">
        <v>186</v>
      </c>
      <c r="G62" s="285" t="s">
        <v>190</v>
      </c>
      <c r="H62" s="285" t="s">
        <v>190</v>
      </c>
      <c r="I62" s="285" t="s">
        <v>189</v>
      </c>
      <c r="J62" s="285" t="s">
        <v>186</v>
      </c>
      <c r="K62" s="285" t="s">
        <v>193</v>
      </c>
      <c r="L62" s="285" t="s">
        <v>189</v>
      </c>
      <c r="M62" s="285" t="s">
        <v>186</v>
      </c>
      <c r="N62" s="285" t="s">
        <v>192</v>
      </c>
      <c r="O62" s="285" t="s">
        <v>189</v>
      </c>
      <c r="P62" s="285" t="s">
        <v>186</v>
      </c>
      <c r="Q62" s="285" t="s">
        <v>188</v>
      </c>
      <c r="R62" s="285" t="s">
        <v>189</v>
      </c>
      <c r="S62" s="285" t="s">
        <v>190</v>
      </c>
      <c r="T62" s="285" t="s">
        <v>186</v>
      </c>
      <c r="U62" s="285" t="s">
        <v>186</v>
      </c>
      <c r="V62" s="285" t="s">
        <v>189</v>
      </c>
      <c r="W62" s="285" t="s">
        <v>188</v>
      </c>
      <c r="X62" s="285" t="s">
        <v>191</v>
      </c>
      <c r="Y62" s="285" t="s">
        <v>190</v>
      </c>
      <c r="Z62" s="285" t="s">
        <v>188</v>
      </c>
      <c r="AA62" s="285" t="s">
        <v>187</v>
      </c>
      <c r="AB62" s="285" t="s">
        <v>186</v>
      </c>
      <c r="AC62" s="285" t="s">
        <v>185</v>
      </c>
    </row>
    <row r="63" spans="2:29">
      <c r="B63" s="1279" t="s">
        <v>184</v>
      </c>
      <c r="C63" s="302" t="s">
        <v>183</v>
      </c>
      <c r="D63" s="303">
        <v>7</v>
      </c>
      <c r="E63" s="303">
        <v>5</v>
      </c>
      <c r="F63" s="303">
        <v>7</v>
      </c>
      <c r="G63" s="303">
        <v>5</v>
      </c>
      <c r="H63" s="303">
        <v>8</v>
      </c>
      <c r="I63" s="303">
        <v>6</v>
      </c>
      <c r="J63" s="303">
        <v>9</v>
      </c>
      <c r="K63" s="303">
        <v>7</v>
      </c>
      <c r="L63" s="303">
        <v>8</v>
      </c>
      <c r="M63" s="303"/>
      <c r="N63" s="303">
        <v>6</v>
      </c>
      <c r="O63" s="303">
        <v>7</v>
      </c>
      <c r="P63" s="303"/>
      <c r="Q63" s="303">
        <v>10</v>
      </c>
      <c r="R63" s="303">
        <v>7</v>
      </c>
      <c r="S63" s="303">
        <v>7</v>
      </c>
      <c r="T63" s="303">
        <v>5</v>
      </c>
      <c r="U63" s="303">
        <v>8</v>
      </c>
      <c r="V63" s="303">
        <v>9</v>
      </c>
      <c r="W63" s="303">
        <v>7</v>
      </c>
      <c r="X63" s="303">
        <v>9</v>
      </c>
      <c r="Y63" s="303">
        <v>4</v>
      </c>
      <c r="Z63" s="303"/>
      <c r="AA63" s="303">
        <v>6</v>
      </c>
      <c r="AB63" s="303">
        <v>5</v>
      </c>
      <c r="AC63" s="303" t="s">
        <v>173</v>
      </c>
    </row>
    <row r="64" spans="2:29">
      <c r="B64" s="1280"/>
      <c r="C64" s="304" t="s">
        <v>182</v>
      </c>
      <c r="D64" s="303">
        <v>9</v>
      </c>
      <c r="E64" s="303" t="s">
        <v>173</v>
      </c>
      <c r="F64" s="303"/>
      <c r="G64" s="303">
        <v>6</v>
      </c>
      <c r="H64" s="303">
        <v>7</v>
      </c>
      <c r="I64" s="303">
        <v>5</v>
      </c>
      <c r="J64" s="303">
        <v>10</v>
      </c>
      <c r="K64" s="303">
        <v>7</v>
      </c>
      <c r="L64" s="303">
        <v>8</v>
      </c>
      <c r="M64" s="303" t="s">
        <v>173</v>
      </c>
      <c r="N64" s="303">
        <v>6</v>
      </c>
      <c r="O64" s="303">
        <v>5</v>
      </c>
      <c r="P64" s="303"/>
      <c r="Q64" s="303"/>
      <c r="R64" s="303">
        <v>5</v>
      </c>
      <c r="S64" s="303">
        <v>10</v>
      </c>
      <c r="T64" s="303">
        <v>5</v>
      </c>
      <c r="U64" s="303">
        <v>9</v>
      </c>
      <c r="V64" s="303">
        <v>9</v>
      </c>
      <c r="W64" s="303">
        <v>10</v>
      </c>
      <c r="X64" s="303">
        <v>7</v>
      </c>
      <c r="Y64" s="303">
        <v>2</v>
      </c>
      <c r="Z64" s="303"/>
      <c r="AA64" s="303">
        <v>2</v>
      </c>
      <c r="AB64" s="303">
        <v>8</v>
      </c>
      <c r="AC64" s="303" t="s">
        <v>173</v>
      </c>
    </row>
    <row r="65" spans="2:29">
      <c r="B65" s="1280"/>
      <c r="C65" s="304" t="s">
        <v>181</v>
      </c>
      <c r="D65" s="303" t="s">
        <v>173</v>
      </c>
      <c r="E65" s="303">
        <v>9</v>
      </c>
      <c r="F65" s="303" t="s">
        <v>173</v>
      </c>
      <c r="G65" s="303" t="s">
        <v>173</v>
      </c>
      <c r="H65" s="303" t="s">
        <v>173</v>
      </c>
      <c r="I65" s="303" t="s">
        <v>173</v>
      </c>
      <c r="J65" s="303" t="s">
        <v>173</v>
      </c>
      <c r="K65" s="303" t="s">
        <v>173</v>
      </c>
      <c r="L65" s="303">
        <v>8</v>
      </c>
      <c r="M65" s="303">
        <v>4</v>
      </c>
      <c r="N65" s="303" t="s">
        <v>173</v>
      </c>
      <c r="O65" s="303">
        <v>9</v>
      </c>
      <c r="P65" s="303">
        <v>8</v>
      </c>
      <c r="Q65" s="303" t="s">
        <v>173</v>
      </c>
      <c r="R65" s="303" t="s">
        <v>173</v>
      </c>
      <c r="S65" s="303">
        <v>10</v>
      </c>
      <c r="T65" s="303" t="s">
        <v>173</v>
      </c>
      <c r="U65" s="303">
        <v>5</v>
      </c>
      <c r="V65" s="303">
        <v>9</v>
      </c>
      <c r="W65" s="303"/>
      <c r="X65" s="303" t="s">
        <v>173</v>
      </c>
      <c r="Y65" s="303" t="s">
        <v>173</v>
      </c>
      <c r="Z65" s="303">
        <v>9</v>
      </c>
      <c r="AA65" s="303">
        <v>3</v>
      </c>
      <c r="AB65" s="303"/>
      <c r="AC65" s="303">
        <v>9</v>
      </c>
    </row>
    <row r="66" spans="2:29">
      <c r="B66" s="1280"/>
      <c r="C66" s="304" t="s">
        <v>180</v>
      </c>
      <c r="D66" s="303">
        <v>8</v>
      </c>
      <c r="E66" s="303" t="s">
        <v>173</v>
      </c>
      <c r="F66" s="303">
        <v>9</v>
      </c>
      <c r="G66" s="303">
        <v>8</v>
      </c>
      <c r="H66" s="303">
        <v>10</v>
      </c>
      <c r="I66" s="303" t="s">
        <v>173</v>
      </c>
      <c r="J66" s="303" t="s">
        <v>173</v>
      </c>
      <c r="K66" s="303">
        <v>7</v>
      </c>
      <c r="L66" s="303">
        <v>5</v>
      </c>
      <c r="M66" s="303"/>
      <c r="N66" s="303" t="s">
        <v>173</v>
      </c>
      <c r="O66" s="303">
        <v>9</v>
      </c>
      <c r="P66" s="303"/>
      <c r="Q66" s="303" t="s">
        <v>173</v>
      </c>
      <c r="R66" s="303">
        <v>4</v>
      </c>
      <c r="S66" s="303">
        <v>7</v>
      </c>
      <c r="T66" s="303">
        <v>8</v>
      </c>
      <c r="U66" s="303" t="s">
        <v>173</v>
      </c>
      <c r="V66" s="303">
        <v>9</v>
      </c>
      <c r="W66" s="303">
        <v>10</v>
      </c>
      <c r="X66" s="303">
        <v>8</v>
      </c>
      <c r="Y66" s="303" t="s">
        <v>173</v>
      </c>
      <c r="Z66" s="303"/>
      <c r="AA66" s="303" t="s">
        <v>173</v>
      </c>
      <c r="AB66" s="303">
        <v>5</v>
      </c>
      <c r="AC66" s="303">
        <v>8</v>
      </c>
    </row>
    <row r="67" spans="2:29">
      <c r="B67" s="1280"/>
      <c r="C67" s="304" t="s">
        <v>179</v>
      </c>
      <c r="D67" s="303">
        <v>9</v>
      </c>
      <c r="E67" s="303">
        <v>7</v>
      </c>
      <c r="F67" s="303">
        <v>8</v>
      </c>
      <c r="G67" s="303">
        <v>6</v>
      </c>
      <c r="H67" s="303">
        <v>7</v>
      </c>
      <c r="I67" s="303">
        <v>7</v>
      </c>
      <c r="J67" s="303">
        <v>10</v>
      </c>
      <c r="K67" s="303">
        <v>6</v>
      </c>
      <c r="L67" s="303">
        <v>6</v>
      </c>
      <c r="M67" s="303">
        <v>10</v>
      </c>
      <c r="N67" s="303" t="s">
        <v>173</v>
      </c>
      <c r="O67" s="303">
        <v>7</v>
      </c>
      <c r="P67" s="303">
        <v>8</v>
      </c>
      <c r="Q67" s="303">
        <v>8</v>
      </c>
      <c r="R67" s="303">
        <v>9</v>
      </c>
      <c r="S67" s="303">
        <v>7</v>
      </c>
      <c r="T67" s="303">
        <v>9</v>
      </c>
      <c r="U67" s="303">
        <v>9</v>
      </c>
      <c r="V67" s="303">
        <v>10</v>
      </c>
      <c r="W67" s="303">
        <v>7</v>
      </c>
      <c r="X67" s="303">
        <v>8</v>
      </c>
      <c r="Y67" s="303">
        <v>6</v>
      </c>
      <c r="Z67" s="303">
        <v>10</v>
      </c>
      <c r="AA67" s="303">
        <v>8</v>
      </c>
      <c r="AB67" s="303">
        <v>7</v>
      </c>
      <c r="AC67" s="303">
        <v>10</v>
      </c>
    </row>
    <row r="68" spans="2:29">
      <c r="B68" s="1280"/>
      <c r="C68" s="304" t="s">
        <v>178</v>
      </c>
      <c r="D68" s="303">
        <v>10</v>
      </c>
      <c r="E68" s="303" t="s">
        <v>173</v>
      </c>
      <c r="F68" s="303">
        <v>7</v>
      </c>
      <c r="G68" s="303">
        <v>6</v>
      </c>
      <c r="H68" s="303">
        <v>10</v>
      </c>
      <c r="I68" s="303" t="s">
        <v>173</v>
      </c>
      <c r="J68" s="303">
        <v>10</v>
      </c>
      <c r="K68" s="303">
        <v>8</v>
      </c>
      <c r="L68" s="303" t="s">
        <v>173</v>
      </c>
      <c r="M68" s="303" t="s">
        <v>173</v>
      </c>
      <c r="N68" s="303">
        <v>2</v>
      </c>
      <c r="O68" s="303" t="s">
        <v>173</v>
      </c>
      <c r="P68" s="303"/>
      <c r="Q68" s="303" t="s">
        <v>173</v>
      </c>
      <c r="R68" s="303" t="s">
        <v>173</v>
      </c>
      <c r="S68" s="303">
        <v>10</v>
      </c>
      <c r="T68" s="303" t="s">
        <v>173</v>
      </c>
      <c r="U68" s="303" t="s">
        <v>173</v>
      </c>
      <c r="V68" s="303" t="s">
        <v>173</v>
      </c>
      <c r="W68" s="303"/>
      <c r="X68" s="303" t="s">
        <v>173</v>
      </c>
      <c r="Y68" s="303" t="s">
        <v>173</v>
      </c>
      <c r="Z68" s="303"/>
      <c r="AA68" s="303" t="s">
        <v>173</v>
      </c>
      <c r="AB68" s="303" t="s">
        <v>173</v>
      </c>
      <c r="AC68" s="303" t="s">
        <v>173</v>
      </c>
    </row>
    <row r="69" spans="2:29">
      <c r="B69" s="1280"/>
      <c r="C69" s="304" t="s">
        <v>177</v>
      </c>
      <c r="D69" s="303">
        <v>10</v>
      </c>
      <c r="E69" s="303" t="s">
        <v>173</v>
      </c>
      <c r="F69" s="303">
        <v>10</v>
      </c>
      <c r="G69" s="303">
        <v>6</v>
      </c>
      <c r="H69" s="303">
        <v>10</v>
      </c>
      <c r="I69" s="303">
        <v>8</v>
      </c>
      <c r="J69" s="303">
        <v>10</v>
      </c>
      <c r="K69" s="303">
        <v>9</v>
      </c>
      <c r="L69" s="303">
        <v>8</v>
      </c>
      <c r="M69" s="303" t="s">
        <v>173</v>
      </c>
      <c r="N69" s="303" t="s">
        <v>173</v>
      </c>
      <c r="O69" s="303" t="s">
        <v>173</v>
      </c>
      <c r="P69" s="303"/>
      <c r="Q69" s="303">
        <v>10</v>
      </c>
      <c r="R69" s="303">
        <v>8</v>
      </c>
      <c r="S69" s="303">
        <v>9</v>
      </c>
      <c r="T69" s="303">
        <v>9</v>
      </c>
      <c r="U69" s="303">
        <v>9</v>
      </c>
      <c r="V69" s="303">
        <v>9</v>
      </c>
      <c r="W69" s="303"/>
      <c r="X69" s="303" t="s">
        <v>173</v>
      </c>
      <c r="Y69" s="303" t="s">
        <v>173</v>
      </c>
      <c r="Z69" s="303"/>
      <c r="AA69" s="303">
        <v>1</v>
      </c>
      <c r="AB69" s="303">
        <v>9</v>
      </c>
      <c r="AC69" s="303" t="s">
        <v>173</v>
      </c>
    </row>
    <row r="70" spans="2:29">
      <c r="B70" s="1280"/>
      <c r="C70" s="305" t="s">
        <v>176</v>
      </c>
      <c r="D70" s="306">
        <v>8</v>
      </c>
      <c r="E70" s="306">
        <v>5</v>
      </c>
      <c r="F70" s="306">
        <v>10</v>
      </c>
      <c r="G70" s="306">
        <v>5</v>
      </c>
      <c r="H70" s="306">
        <v>8</v>
      </c>
      <c r="I70" s="306">
        <v>8</v>
      </c>
      <c r="J70" s="306">
        <v>5</v>
      </c>
      <c r="K70" s="306">
        <v>5</v>
      </c>
      <c r="L70" s="306">
        <v>8</v>
      </c>
      <c r="M70" s="306">
        <v>6</v>
      </c>
      <c r="N70" s="306">
        <v>5</v>
      </c>
      <c r="O70" s="306">
        <v>5</v>
      </c>
      <c r="P70" s="306">
        <v>8</v>
      </c>
      <c r="Q70" s="306">
        <v>9</v>
      </c>
      <c r="R70" s="306">
        <v>5</v>
      </c>
      <c r="S70" s="306">
        <v>9</v>
      </c>
      <c r="T70" s="306">
        <v>5</v>
      </c>
      <c r="U70" s="306">
        <v>8</v>
      </c>
      <c r="V70" s="306">
        <v>5</v>
      </c>
      <c r="W70" s="306">
        <v>8</v>
      </c>
      <c r="X70" s="306">
        <v>5</v>
      </c>
      <c r="Y70" s="306">
        <v>5</v>
      </c>
      <c r="Z70" s="306">
        <v>5</v>
      </c>
      <c r="AA70" s="306">
        <v>5</v>
      </c>
      <c r="AB70" s="306">
        <v>5</v>
      </c>
      <c r="AC70" s="306">
        <v>9</v>
      </c>
    </row>
    <row r="71" spans="2:29">
      <c r="B71" s="1280"/>
      <c r="C71" s="305" t="s">
        <v>175</v>
      </c>
      <c r="D71" s="306">
        <v>6</v>
      </c>
      <c r="E71" s="306">
        <v>5</v>
      </c>
      <c r="F71" s="306">
        <v>5</v>
      </c>
      <c r="G71" s="306">
        <v>5</v>
      </c>
      <c r="H71" s="306">
        <v>8</v>
      </c>
      <c r="I71" s="306">
        <v>5</v>
      </c>
      <c r="J71" s="306">
        <v>5</v>
      </c>
      <c r="K71" s="306">
        <v>5</v>
      </c>
      <c r="L71" s="306">
        <v>5</v>
      </c>
      <c r="M71" s="306">
        <v>5</v>
      </c>
      <c r="N71" s="306">
        <v>5</v>
      </c>
      <c r="O71" s="306">
        <v>5</v>
      </c>
      <c r="P71" s="306">
        <v>7</v>
      </c>
      <c r="Q71" s="306">
        <v>8</v>
      </c>
      <c r="R71" s="306">
        <v>5</v>
      </c>
      <c r="S71" s="306">
        <v>5</v>
      </c>
      <c r="T71" s="306">
        <v>5</v>
      </c>
      <c r="U71" s="306">
        <v>5</v>
      </c>
      <c r="V71" s="306">
        <v>5</v>
      </c>
      <c r="W71" s="306">
        <v>8</v>
      </c>
      <c r="X71" s="306">
        <v>5</v>
      </c>
      <c r="Y71" s="306">
        <v>5</v>
      </c>
      <c r="Z71" s="306">
        <v>5</v>
      </c>
      <c r="AA71" s="306">
        <v>5</v>
      </c>
      <c r="AB71" s="306">
        <v>2</v>
      </c>
      <c r="AC71" s="306">
        <v>5</v>
      </c>
    </row>
    <row r="72" spans="2:29">
      <c r="B72" s="1280"/>
      <c r="C72" s="304" t="s">
        <v>174</v>
      </c>
      <c r="D72" s="303">
        <v>9</v>
      </c>
      <c r="E72" s="303">
        <v>7</v>
      </c>
      <c r="F72" s="303">
        <v>6</v>
      </c>
      <c r="G72" s="303">
        <v>5</v>
      </c>
      <c r="H72" s="303">
        <v>7</v>
      </c>
      <c r="I72" s="303">
        <v>5</v>
      </c>
      <c r="J72" s="303">
        <v>10</v>
      </c>
      <c r="K72" s="303">
        <v>7</v>
      </c>
      <c r="L72" s="303">
        <v>4</v>
      </c>
      <c r="M72" s="303">
        <v>8</v>
      </c>
      <c r="N72" s="303" t="s">
        <v>173</v>
      </c>
      <c r="O72" s="303">
        <v>5</v>
      </c>
      <c r="P72" s="303">
        <v>8</v>
      </c>
      <c r="Q72" s="303">
        <v>6</v>
      </c>
      <c r="R72" s="303">
        <v>6</v>
      </c>
      <c r="S72" s="303">
        <v>7</v>
      </c>
      <c r="T72" s="303">
        <v>7</v>
      </c>
      <c r="U72" s="303">
        <v>7</v>
      </c>
      <c r="V72" s="303">
        <v>8</v>
      </c>
      <c r="W72" s="303">
        <v>8</v>
      </c>
      <c r="X72" s="303">
        <v>6</v>
      </c>
      <c r="Y72" s="303">
        <v>4</v>
      </c>
      <c r="Z72" s="303">
        <v>9</v>
      </c>
      <c r="AA72" s="303">
        <v>7</v>
      </c>
      <c r="AB72" s="303">
        <v>6</v>
      </c>
      <c r="AC72" s="303">
        <v>8</v>
      </c>
    </row>
    <row r="73" spans="2:29">
      <c r="B73" s="1280"/>
      <c r="C73" s="304" t="s">
        <v>172</v>
      </c>
      <c r="D73" s="303">
        <v>7</v>
      </c>
      <c r="E73" s="303">
        <v>8</v>
      </c>
      <c r="F73" s="303">
        <v>7</v>
      </c>
      <c r="G73" s="303">
        <v>5</v>
      </c>
      <c r="H73" s="303">
        <v>7</v>
      </c>
      <c r="I73" s="303">
        <v>5</v>
      </c>
      <c r="J73" s="303">
        <v>8</v>
      </c>
      <c r="K73" s="303">
        <v>5</v>
      </c>
      <c r="L73" s="303">
        <v>5</v>
      </c>
      <c r="M73" s="303">
        <v>1</v>
      </c>
      <c r="N73" s="303">
        <v>5</v>
      </c>
      <c r="O73" s="303">
        <v>7</v>
      </c>
      <c r="P73" s="303">
        <v>8</v>
      </c>
      <c r="Q73" s="303">
        <v>6</v>
      </c>
      <c r="R73" s="303">
        <v>9</v>
      </c>
      <c r="S73" s="303">
        <v>9</v>
      </c>
      <c r="T73" s="303">
        <v>8</v>
      </c>
      <c r="U73" s="303">
        <v>7</v>
      </c>
      <c r="V73" s="303">
        <v>7</v>
      </c>
      <c r="W73" s="303">
        <v>5</v>
      </c>
      <c r="X73" s="303">
        <v>6</v>
      </c>
      <c r="Y73" s="303">
        <v>5</v>
      </c>
      <c r="Z73" s="303">
        <v>8</v>
      </c>
      <c r="AA73" s="303">
        <v>3</v>
      </c>
      <c r="AB73" s="303">
        <v>3</v>
      </c>
      <c r="AC73" s="303">
        <v>6</v>
      </c>
    </row>
    <row r="74" spans="2:29">
      <c r="B74" s="1280"/>
      <c r="C74" s="304" t="s">
        <v>171</v>
      </c>
      <c r="D74" s="303">
        <v>10</v>
      </c>
      <c r="E74" s="303">
        <v>9</v>
      </c>
      <c r="F74" s="303">
        <v>9</v>
      </c>
      <c r="G74" s="303">
        <v>8</v>
      </c>
      <c r="H74" s="303">
        <v>9</v>
      </c>
      <c r="I74" s="303">
        <v>5</v>
      </c>
      <c r="J74" s="303">
        <v>10</v>
      </c>
      <c r="K74" s="303">
        <v>9</v>
      </c>
      <c r="L74" s="303">
        <v>8</v>
      </c>
      <c r="M74" s="303">
        <v>9</v>
      </c>
      <c r="N74" s="303">
        <v>9</v>
      </c>
      <c r="O74" s="303">
        <v>9</v>
      </c>
      <c r="P74" s="303">
        <v>9</v>
      </c>
      <c r="Q74" s="303">
        <v>8</v>
      </c>
      <c r="R74" s="303">
        <v>10</v>
      </c>
      <c r="S74" s="303">
        <v>10</v>
      </c>
      <c r="T74" s="303">
        <v>9</v>
      </c>
      <c r="U74" s="303">
        <v>9</v>
      </c>
      <c r="V74" s="303">
        <v>9</v>
      </c>
      <c r="W74" s="303">
        <v>9</v>
      </c>
      <c r="X74" s="303">
        <v>8</v>
      </c>
      <c r="Y74" s="303">
        <v>4</v>
      </c>
      <c r="Z74" s="303">
        <v>8</v>
      </c>
      <c r="AA74" s="303">
        <v>5</v>
      </c>
      <c r="AB74" s="303">
        <v>7</v>
      </c>
      <c r="AC74" s="303">
        <v>10</v>
      </c>
    </row>
    <row r="75" spans="2:29">
      <c r="B75" s="1280"/>
      <c r="C75" s="304" t="s">
        <v>170</v>
      </c>
      <c r="D75" s="303">
        <v>10</v>
      </c>
      <c r="E75" s="303">
        <v>10</v>
      </c>
      <c r="F75" s="303">
        <v>8</v>
      </c>
      <c r="G75" s="303">
        <v>7</v>
      </c>
      <c r="H75" s="303">
        <v>9</v>
      </c>
      <c r="I75" s="303">
        <v>6</v>
      </c>
      <c r="J75" s="303">
        <v>10</v>
      </c>
      <c r="K75" s="303">
        <v>8</v>
      </c>
      <c r="L75" s="303">
        <v>7</v>
      </c>
      <c r="M75" s="303">
        <v>7</v>
      </c>
      <c r="N75" s="303">
        <v>8</v>
      </c>
      <c r="O75" s="303">
        <v>8</v>
      </c>
      <c r="P75" s="303">
        <v>8</v>
      </c>
      <c r="Q75" s="303">
        <v>8</v>
      </c>
      <c r="R75" s="303">
        <v>9</v>
      </c>
      <c r="S75" s="303">
        <v>10</v>
      </c>
      <c r="T75" s="303">
        <v>8</v>
      </c>
      <c r="U75" s="303">
        <v>7</v>
      </c>
      <c r="V75" s="303">
        <v>9</v>
      </c>
      <c r="W75" s="303">
        <v>7</v>
      </c>
      <c r="X75" s="303">
        <v>5</v>
      </c>
      <c r="Y75" s="303">
        <v>8</v>
      </c>
      <c r="Z75" s="303">
        <v>8</v>
      </c>
      <c r="AA75" s="303">
        <v>7</v>
      </c>
      <c r="AB75" s="303">
        <v>5</v>
      </c>
      <c r="AC75" s="303">
        <v>10</v>
      </c>
    </row>
    <row r="76" spans="2:29">
      <c r="B76" s="1280"/>
      <c r="C76" s="304" t="s">
        <v>169</v>
      </c>
      <c r="D76" s="303">
        <v>9</v>
      </c>
      <c r="E76" s="303">
        <v>10</v>
      </c>
      <c r="F76" s="303">
        <v>10</v>
      </c>
      <c r="G76" s="303">
        <v>10</v>
      </c>
      <c r="H76" s="303">
        <v>10</v>
      </c>
      <c r="I76" s="303">
        <v>10</v>
      </c>
      <c r="J76" s="303">
        <v>10</v>
      </c>
      <c r="K76" s="303">
        <v>8</v>
      </c>
      <c r="L76" s="303">
        <v>10</v>
      </c>
      <c r="M76" s="303">
        <v>10</v>
      </c>
      <c r="N76" s="303">
        <v>5</v>
      </c>
      <c r="O76" s="303">
        <v>10</v>
      </c>
      <c r="P76" s="303">
        <v>8</v>
      </c>
      <c r="Q76" s="303">
        <v>9</v>
      </c>
      <c r="R76" s="303">
        <v>10</v>
      </c>
      <c r="S76" s="303">
        <v>10</v>
      </c>
      <c r="T76" s="303">
        <v>10</v>
      </c>
      <c r="U76" s="303">
        <v>10</v>
      </c>
      <c r="V76" s="303">
        <v>8</v>
      </c>
      <c r="W76" s="303">
        <v>7</v>
      </c>
      <c r="X76" s="303">
        <v>10</v>
      </c>
      <c r="Y76" s="303">
        <v>10</v>
      </c>
      <c r="Z76" s="303">
        <v>8</v>
      </c>
      <c r="AA76" s="303">
        <v>10</v>
      </c>
      <c r="AB76" s="303">
        <v>5</v>
      </c>
      <c r="AC76" s="303">
        <v>10</v>
      </c>
    </row>
    <row r="77" spans="2:29">
      <c r="B77" s="1280"/>
      <c r="C77" s="304" t="s">
        <v>168</v>
      </c>
      <c r="D77" s="303">
        <v>9</v>
      </c>
      <c r="E77" s="303">
        <v>7</v>
      </c>
      <c r="F77" s="303">
        <v>4</v>
      </c>
      <c r="G77" s="303">
        <v>7</v>
      </c>
      <c r="H77" s="303">
        <v>9</v>
      </c>
      <c r="I77" s="303">
        <v>6</v>
      </c>
      <c r="J77" s="303">
        <v>10</v>
      </c>
      <c r="K77" s="303">
        <v>8</v>
      </c>
      <c r="L77" s="303">
        <v>8</v>
      </c>
      <c r="M77" s="303">
        <v>5</v>
      </c>
      <c r="N77" s="303">
        <v>9</v>
      </c>
      <c r="O77" s="303">
        <v>5</v>
      </c>
      <c r="P77" s="303">
        <v>6</v>
      </c>
      <c r="Q77" s="303">
        <v>10</v>
      </c>
      <c r="R77" s="303">
        <v>7</v>
      </c>
      <c r="S77" s="303">
        <v>10</v>
      </c>
      <c r="T77" s="303">
        <v>9</v>
      </c>
      <c r="U77" s="303">
        <v>10</v>
      </c>
      <c r="V77" s="303">
        <v>9</v>
      </c>
      <c r="W77" s="303">
        <v>10</v>
      </c>
      <c r="X77" s="303">
        <v>7</v>
      </c>
      <c r="Y77" s="303">
        <v>2</v>
      </c>
      <c r="Z77" s="303">
        <v>8</v>
      </c>
      <c r="AA77" s="303">
        <v>7</v>
      </c>
      <c r="AB77" s="303">
        <v>5</v>
      </c>
      <c r="AC77" s="303">
        <v>3</v>
      </c>
    </row>
    <row r="78" spans="2:29">
      <c r="B78" s="1280"/>
      <c r="C78" s="304" t="s">
        <v>167</v>
      </c>
      <c r="D78" s="303">
        <v>10</v>
      </c>
      <c r="E78" s="303">
        <v>10</v>
      </c>
      <c r="F78" s="303">
        <v>10</v>
      </c>
      <c r="G78" s="303">
        <v>10</v>
      </c>
      <c r="H78" s="303">
        <v>8</v>
      </c>
      <c r="I78" s="303">
        <v>10</v>
      </c>
      <c r="J78" s="303">
        <v>10</v>
      </c>
      <c r="K78" s="303">
        <v>9</v>
      </c>
      <c r="L78" s="303">
        <v>10</v>
      </c>
      <c r="M78" s="303">
        <v>8</v>
      </c>
      <c r="N78" s="303">
        <v>7</v>
      </c>
      <c r="O78" s="303">
        <v>10</v>
      </c>
      <c r="P78" s="303">
        <v>10</v>
      </c>
      <c r="Q78" s="303">
        <v>10</v>
      </c>
      <c r="R78" s="303">
        <v>10</v>
      </c>
      <c r="S78" s="303">
        <v>10</v>
      </c>
      <c r="T78" s="303">
        <v>10</v>
      </c>
      <c r="U78" s="303">
        <v>9</v>
      </c>
      <c r="V78" s="303">
        <v>9</v>
      </c>
      <c r="W78" s="303">
        <v>10</v>
      </c>
      <c r="X78" s="303">
        <v>10</v>
      </c>
      <c r="Y78" s="303">
        <v>10</v>
      </c>
      <c r="Z78" s="303">
        <v>10</v>
      </c>
      <c r="AA78" s="303">
        <v>5</v>
      </c>
      <c r="AB78" s="303">
        <v>9</v>
      </c>
      <c r="AC78" s="303">
        <v>9</v>
      </c>
    </row>
    <row r="79" spans="2:29">
      <c r="B79" s="1280"/>
      <c r="C79" s="304" t="s">
        <v>166</v>
      </c>
      <c r="D79" s="303">
        <v>9</v>
      </c>
      <c r="E79" s="303">
        <v>5</v>
      </c>
      <c r="F79" s="303">
        <v>8</v>
      </c>
      <c r="G79" s="303">
        <v>8</v>
      </c>
      <c r="H79" s="303">
        <v>10</v>
      </c>
      <c r="I79" s="303">
        <v>10</v>
      </c>
      <c r="J79" s="303">
        <v>10</v>
      </c>
      <c r="K79" s="303">
        <v>6</v>
      </c>
      <c r="L79" s="303">
        <v>8</v>
      </c>
      <c r="M79" s="303">
        <v>8</v>
      </c>
      <c r="N79" s="303">
        <v>5</v>
      </c>
      <c r="O79" s="303">
        <v>8</v>
      </c>
      <c r="P79" s="303">
        <v>8</v>
      </c>
      <c r="Q79" s="303">
        <v>10</v>
      </c>
      <c r="R79" s="303">
        <v>10</v>
      </c>
      <c r="S79" s="303">
        <v>8</v>
      </c>
      <c r="T79" s="303">
        <v>8</v>
      </c>
      <c r="U79" s="303">
        <v>10</v>
      </c>
      <c r="V79" s="303">
        <v>9</v>
      </c>
      <c r="W79" s="303">
        <v>9</v>
      </c>
      <c r="X79" s="303">
        <v>8</v>
      </c>
      <c r="Y79" s="303">
        <v>10</v>
      </c>
      <c r="Z79" s="303">
        <v>9</v>
      </c>
      <c r="AA79" s="303">
        <v>9</v>
      </c>
      <c r="AB79" s="303">
        <v>9</v>
      </c>
      <c r="AC79" s="303">
        <v>9</v>
      </c>
    </row>
    <row r="80" spans="2:29">
      <c r="B80" s="1281"/>
      <c r="C80" s="307" t="s">
        <v>165</v>
      </c>
      <c r="D80" s="303">
        <v>10</v>
      </c>
      <c r="E80" s="303">
        <v>8</v>
      </c>
      <c r="F80" s="303">
        <v>7</v>
      </c>
      <c r="G80" s="303">
        <v>10</v>
      </c>
      <c r="H80" s="303">
        <v>8</v>
      </c>
      <c r="I80" s="303">
        <v>10</v>
      </c>
      <c r="J80" s="303">
        <v>6</v>
      </c>
      <c r="K80" s="303">
        <v>6</v>
      </c>
      <c r="L80" s="303">
        <v>9</v>
      </c>
      <c r="M80" s="303">
        <v>10</v>
      </c>
      <c r="N80" s="303">
        <v>7</v>
      </c>
      <c r="O80" s="303">
        <v>8</v>
      </c>
      <c r="P80" s="303">
        <v>10</v>
      </c>
      <c r="Q80" s="303">
        <v>8</v>
      </c>
      <c r="R80" s="303">
        <v>10</v>
      </c>
      <c r="S80" s="303">
        <v>9</v>
      </c>
      <c r="T80" s="303">
        <v>6</v>
      </c>
      <c r="U80" s="303">
        <v>8</v>
      </c>
      <c r="V80" s="303">
        <v>9</v>
      </c>
      <c r="W80" s="303">
        <v>9</v>
      </c>
      <c r="X80" s="303">
        <v>8</v>
      </c>
      <c r="Y80" s="303">
        <v>10</v>
      </c>
      <c r="Z80" s="303">
        <v>10</v>
      </c>
      <c r="AA80" s="303">
        <v>3</v>
      </c>
      <c r="AB80" s="303">
        <v>8</v>
      </c>
      <c r="AC80" s="303">
        <v>10</v>
      </c>
    </row>
    <row r="81" spans="2:29">
      <c r="B81" s="261"/>
      <c r="C81" s="261"/>
      <c r="D81" s="253"/>
      <c r="E81" s="253"/>
      <c r="F81" s="253"/>
      <c r="G81" s="253"/>
      <c r="H81" s="253"/>
      <c r="I81" s="253"/>
      <c r="J81" s="253"/>
      <c r="K81" s="253"/>
      <c r="L81" s="253"/>
      <c r="M81" s="253"/>
      <c r="N81" s="253"/>
      <c r="O81" s="253"/>
      <c r="P81" s="253"/>
      <c r="Q81" s="253"/>
      <c r="R81" s="253"/>
      <c r="S81" s="253"/>
      <c r="T81" s="253"/>
      <c r="U81" s="253"/>
      <c r="V81" s="253"/>
      <c r="W81" s="253"/>
      <c r="X81" s="253"/>
      <c r="Y81" s="253"/>
      <c r="Z81" s="253"/>
      <c r="AA81" s="253"/>
      <c r="AB81" s="253"/>
      <c r="AC81" s="253"/>
    </row>
    <row r="82" spans="2:29" ht="175">
      <c r="B82" s="308" t="s">
        <v>164</v>
      </c>
      <c r="C82" s="309" t="s">
        <v>163</v>
      </c>
      <c r="D82" s="310"/>
      <c r="E82" s="310"/>
      <c r="F82" s="310"/>
      <c r="G82" s="310"/>
      <c r="H82" s="310"/>
      <c r="I82" s="310"/>
      <c r="J82" s="310"/>
      <c r="K82" s="310"/>
      <c r="L82" s="310" t="s">
        <v>162</v>
      </c>
      <c r="M82" s="310" t="s">
        <v>161</v>
      </c>
      <c r="N82" s="310"/>
      <c r="O82" s="310"/>
      <c r="P82" s="310"/>
      <c r="Q82" s="310"/>
      <c r="R82" s="310"/>
      <c r="S82" s="310" t="s">
        <v>160</v>
      </c>
      <c r="T82" s="310"/>
      <c r="U82" s="310"/>
      <c r="V82" s="310" t="s">
        <v>159</v>
      </c>
      <c r="W82" s="310"/>
      <c r="X82" s="310"/>
      <c r="Y82" s="310"/>
      <c r="Z82" s="310"/>
      <c r="AA82" s="310"/>
      <c r="AB82" s="310"/>
      <c r="AC82" s="310"/>
    </row>
  </sheetData>
  <mergeCells count="13">
    <mergeCell ref="B63:B80"/>
    <mergeCell ref="B38:B42"/>
    <mergeCell ref="B43:B46"/>
    <mergeCell ref="B48:C48"/>
    <mergeCell ref="B49:B52"/>
    <mergeCell ref="B53:B58"/>
    <mergeCell ref="B59:B62"/>
    <mergeCell ref="B29:B36"/>
    <mergeCell ref="B3:C3"/>
    <mergeCell ref="B5:B14"/>
    <mergeCell ref="B16:C16"/>
    <mergeCell ref="B17:B22"/>
    <mergeCell ref="B23:B28"/>
  </mergeCells>
  <conditionalFormatting sqref="D3:G3">
    <cfRule type="cellIs" dxfId="0" priority="1" stopIfTrue="1" operator="lessThan">
      <formula>3000</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78AD0463A218546BA4881B23D45780D" ma:contentTypeVersion="4" ma:contentTypeDescription="Create a new document." ma:contentTypeScope="" ma:versionID="c4096d24808a507ef5f0481ef88028e8">
  <xsd:schema xmlns:xsd="http://www.w3.org/2001/XMLSchema" xmlns:xs="http://www.w3.org/2001/XMLSchema" xmlns:p="http://schemas.microsoft.com/office/2006/metadata/properties" xmlns:ns2="2a965387-0272-4dd9-b11f-423753277a10" xmlns:ns3="7ec3d919-ca3e-491d-84ca-60a5ed55435d" targetNamespace="http://schemas.microsoft.com/office/2006/metadata/properties" ma:root="true" ma:fieldsID="1f8ba9f77e650b8f7714c82c3e837d46" ns2:_="" ns3:_="">
    <xsd:import namespace="2a965387-0272-4dd9-b11f-423753277a10"/>
    <xsd:import namespace="7ec3d919-ca3e-491d-84ca-60a5ed55435d"/>
    <xsd:element name="properties">
      <xsd:complexType>
        <xsd:sequence>
          <xsd:element name="documentManagement">
            <xsd:complexType>
              <xsd:all>
                <xsd:element ref="ns2:SharedWithUsers" minOccurs="0"/>
                <xsd:element ref="ns3:SharedWithDetails" minOccurs="0"/>
                <xsd:element ref="ns3:LastSharedByUser" minOccurs="0"/>
                <xsd:element ref="ns3: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a965387-0272-4dd9-b11f-423753277a10"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ec3d919-ca3e-491d-84ca-60a5ed55435d" elementFormDefault="qualified">
    <xsd:import namespace="http://schemas.microsoft.com/office/2006/documentManagement/types"/>
    <xsd:import namespace="http://schemas.microsoft.com/office/infopath/2007/PartnerControls"/>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830603F-14E5-4BBE-AF07-94A33EBB4EDB}">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F2A1A56F-5DB5-4FF4-A4AE-115582FD477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a965387-0272-4dd9-b11f-423753277a10"/>
    <ds:schemaRef ds:uri="7ec3d919-ca3e-491d-84ca-60a5ed55435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6BD65A5-291C-4537-B5D5-3F28BC292CB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13</vt:i4>
      </vt:variant>
    </vt:vector>
  </HeadingPairs>
  <TitlesOfParts>
    <vt:vector size="29" baseType="lpstr">
      <vt:lpstr>Unit Conversion Sheet</vt:lpstr>
      <vt:lpstr>Instructions</vt:lpstr>
      <vt:lpstr>Main Menu</vt:lpstr>
      <vt:lpstr>Start Page</vt:lpstr>
      <vt:lpstr>Summary</vt:lpstr>
      <vt:lpstr>AWWA-Water Balance Data Transf.</vt:lpstr>
      <vt:lpstr>Performance Indicator Charts</vt:lpstr>
      <vt:lpstr>Real Losses Component Analysis</vt:lpstr>
      <vt:lpstr>Real Loss Components Chart</vt:lpstr>
      <vt:lpstr>Failure Frequency Analysis</vt:lpstr>
      <vt:lpstr>A-L-R Times Options</vt:lpstr>
      <vt:lpstr>Economic Intervention Frequency</vt:lpstr>
      <vt:lpstr>Pressure Management Options</vt:lpstr>
      <vt:lpstr>Glossary</vt:lpstr>
      <vt:lpstr>License</vt:lpstr>
      <vt:lpstr>Data 2012</vt:lpstr>
      <vt:lpstr>'A-L-R Times Options'!Print_Area</vt:lpstr>
      <vt:lpstr>'AWWA-Water Balance Data Transf.'!Print_Area</vt:lpstr>
      <vt:lpstr>'Economic Intervention Frequency'!Print_Area</vt:lpstr>
      <vt:lpstr>'Failure Frequency Analysis'!Print_Area</vt:lpstr>
      <vt:lpstr>Glossary!Print_Area</vt:lpstr>
      <vt:lpstr>Instructions!Print_Area</vt:lpstr>
      <vt:lpstr>'Main Menu'!Print_Area</vt:lpstr>
      <vt:lpstr>'Performance Indicator Charts'!Print_Area</vt:lpstr>
      <vt:lpstr>'Pressure Management Options'!Print_Area</vt:lpstr>
      <vt:lpstr>'Real Loss Components Chart'!Print_Area</vt:lpstr>
      <vt:lpstr>'Real Losses Component Analysis'!Print_Area</vt:lpstr>
      <vt:lpstr>'Start Page'!Print_Area</vt:lpstr>
      <vt:lpstr>Summary!Print_Area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Reinhard</dc:creator>
  <cp:lastModifiedBy>Greg</cp:lastModifiedBy>
  <cp:lastPrinted>2014-02-19T22:01:15Z</cp:lastPrinted>
  <dcterms:created xsi:type="dcterms:W3CDTF">2012-06-07T08:52:00Z</dcterms:created>
  <dcterms:modified xsi:type="dcterms:W3CDTF">2018-04-20T20:08:22Z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0x010100278AD0463A218546BA4881B23D45780D</vt:lpwstr>
  </property>
</Properties>
</file>