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25317" codeName="{00000000-0000-0000-0000-000000000000}"/>
  <workbookPr codeName="ThisWorkbook" autoCompressPictures="0"/>
  <bookViews>
    <workbookView xWindow="1380" yWindow="0" windowWidth="25600" windowHeight="16100" activeTab="2"/>
  </bookViews>
  <sheets>
    <sheet name="AAPL_QUARTERLY" sheetId="16" r:id="rId1"/>
    <sheet name="AAPL_ANNUAL" sheetId="15" r:id="rId2"/>
    <sheet name="SANITIZED" sheetId="1" r:id="rId3"/>
  </sheets>
  <externalReferences>
    <externalReference r:id="rId4"/>
  </externalReferences>
  <definedNames>
    <definedName name="COLUMN_RNG">[1]DATABASE!$B$1</definedName>
    <definedName name="DATA_RNG">[1]DATABASE!$A$3:$F$8432</definedName>
    <definedName name="TICKERS_RNG">OFFSET([1]DATABASE!$D$2,0,0,1,50)</definedName>
  </definedNames>
  <calcPr calcId="140001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O3" i="1" l="1"/>
  <c r="P3" i="1"/>
  <c r="Q3" i="1"/>
  <c r="E13" i="1"/>
  <c r="E178" i="1"/>
  <c r="O4" i="1"/>
  <c r="P4" i="1"/>
  <c r="Q4" i="1"/>
  <c r="F13" i="1"/>
  <c r="F178" i="1"/>
  <c r="G13" i="1"/>
  <c r="G178" i="1"/>
  <c r="H13" i="1"/>
  <c r="H178" i="1"/>
  <c r="I13" i="1"/>
  <c r="I178" i="1"/>
  <c r="J13" i="1"/>
  <c r="J178" i="1"/>
  <c r="K13" i="1"/>
  <c r="K178" i="1"/>
  <c r="L13" i="1"/>
  <c r="L178" i="1"/>
  <c r="M13" i="1"/>
  <c r="M178" i="1"/>
  <c r="N13" i="1"/>
  <c r="M14" i="1"/>
  <c r="P6" i="1"/>
  <c r="Q6" i="1"/>
  <c r="O13" i="1"/>
  <c r="O178" i="1"/>
  <c r="P13" i="1"/>
  <c r="P178" i="1"/>
  <c r="Q13" i="1"/>
  <c r="Q178" i="1"/>
  <c r="N178" i="1"/>
  <c r="R178" i="1"/>
  <c r="S178" i="1"/>
  <c r="T178" i="1"/>
  <c r="U178" i="1"/>
  <c r="V178" i="1"/>
  <c r="W178" i="1"/>
  <c r="X178" i="1"/>
  <c r="Y178" i="1"/>
  <c r="Z178" i="1"/>
  <c r="AA178" i="1"/>
  <c r="AB178" i="1"/>
  <c r="AC178" i="1"/>
  <c r="AD178" i="1"/>
  <c r="AE178" i="1"/>
  <c r="AF178" i="1"/>
  <c r="AG178" i="1"/>
  <c r="AH178" i="1"/>
  <c r="AI178" i="1"/>
  <c r="AJ178" i="1"/>
  <c r="AK178" i="1"/>
  <c r="AL178" i="1"/>
  <c r="AM178" i="1"/>
  <c r="AN178" i="1"/>
  <c r="AO178" i="1"/>
  <c r="AP178" i="1"/>
  <c r="AQ178" i="1"/>
  <c r="AR178" i="1"/>
  <c r="AS178" i="1"/>
  <c r="AT178" i="1"/>
  <c r="AU178" i="1"/>
  <c r="AV178" i="1"/>
  <c r="AW178" i="1"/>
  <c r="AX178" i="1"/>
  <c r="AY178" i="1"/>
  <c r="AZ178" i="1"/>
  <c r="BA178" i="1"/>
  <c r="BB178" i="1"/>
  <c r="BC178" i="1"/>
  <c r="BD178" i="1"/>
  <c r="BE178" i="1"/>
  <c r="BF178" i="1"/>
  <c r="BG178" i="1"/>
  <c r="BH178" i="1"/>
  <c r="BI178" i="1"/>
  <c r="BJ178" i="1"/>
  <c r="BK178" i="1"/>
  <c r="BL178" i="1"/>
  <c r="BM178" i="1"/>
  <c r="BN178" i="1"/>
  <c r="BO178" i="1"/>
  <c r="BP178" i="1"/>
  <c r="BQ178" i="1"/>
  <c r="BR178" i="1"/>
  <c r="BS178" i="1"/>
  <c r="BT178" i="1"/>
  <c r="BU178" i="1"/>
  <c r="BV178" i="1"/>
  <c r="BW178" i="1"/>
  <c r="BX178" i="1"/>
  <c r="BY178" i="1"/>
  <c r="BZ178" i="1"/>
  <c r="CA178" i="1"/>
  <c r="CB178" i="1"/>
  <c r="CC178" i="1"/>
  <c r="CD178" i="1"/>
  <c r="CE178" i="1"/>
  <c r="CF178" i="1"/>
  <c r="CG178" i="1"/>
  <c r="CH178" i="1"/>
  <c r="CI178" i="1"/>
  <c r="CJ178" i="1"/>
  <c r="CK178" i="1"/>
  <c r="CL178" i="1"/>
  <c r="CM178" i="1"/>
  <c r="CN178" i="1"/>
  <c r="CO178" i="1"/>
  <c r="CP178" i="1"/>
  <c r="CQ178" i="1"/>
  <c r="CR178" i="1"/>
  <c r="CS178" i="1"/>
  <c r="CT178" i="1"/>
  <c r="CU178" i="1"/>
  <c r="CV178" i="1"/>
  <c r="CW178" i="1"/>
  <c r="CX178" i="1"/>
  <c r="CY178" i="1"/>
  <c r="CZ178" i="1"/>
  <c r="E179" i="1"/>
  <c r="F179" i="1"/>
  <c r="G179" i="1"/>
  <c r="H179" i="1"/>
  <c r="I179" i="1"/>
  <c r="J179" i="1"/>
  <c r="K179" i="1"/>
  <c r="L179" i="1"/>
  <c r="M179" i="1"/>
  <c r="O179" i="1"/>
  <c r="P179" i="1"/>
  <c r="Q179" i="1"/>
  <c r="N179" i="1"/>
  <c r="R179" i="1"/>
  <c r="S179" i="1"/>
  <c r="T179" i="1"/>
  <c r="U179" i="1"/>
  <c r="V179" i="1"/>
  <c r="W179" i="1"/>
  <c r="X179" i="1"/>
  <c r="Y179" i="1"/>
  <c r="Z179" i="1"/>
  <c r="AA179" i="1"/>
  <c r="AB179" i="1"/>
  <c r="AC179" i="1"/>
  <c r="AD179" i="1"/>
  <c r="AE179" i="1"/>
  <c r="AF179" i="1"/>
  <c r="AG179" i="1"/>
  <c r="AH179" i="1"/>
  <c r="AI179" i="1"/>
  <c r="AJ179" i="1"/>
  <c r="AK179" i="1"/>
  <c r="AL179" i="1"/>
  <c r="AM179" i="1"/>
  <c r="AN179" i="1"/>
  <c r="AO179" i="1"/>
  <c r="AP179" i="1"/>
  <c r="AQ179" i="1"/>
  <c r="AR179" i="1"/>
  <c r="AS179" i="1"/>
  <c r="AT179" i="1"/>
  <c r="AU179" i="1"/>
  <c r="AV179" i="1"/>
  <c r="AW179" i="1"/>
  <c r="AX179" i="1"/>
  <c r="AY179" i="1"/>
  <c r="AZ179" i="1"/>
  <c r="BA179" i="1"/>
  <c r="BB179" i="1"/>
  <c r="BC179" i="1"/>
  <c r="BD179" i="1"/>
  <c r="BE179" i="1"/>
  <c r="BF179" i="1"/>
  <c r="BG179" i="1"/>
  <c r="BH179" i="1"/>
  <c r="BI179" i="1"/>
  <c r="BJ179" i="1"/>
  <c r="BK179" i="1"/>
  <c r="BL179" i="1"/>
  <c r="BM179" i="1"/>
  <c r="BN179" i="1"/>
  <c r="BO179" i="1"/>
  <c r="BP179" i="1"/>
  <c r="BQ179" i="1"/>
  <c r="BR179" i="1"/>
  <c r="BS179" i="1"/>
  <c r="BT179" i="1"/>
  <c r="BU179" i="1"/>
  <c r="BV179" i="1"/>
  <c r="BW179" i="1"/>
  <c r="BX179" i="1"/>
  <c r="BY179" i="1"/>
  <c r="BZ179" i="1"/>
  <c r="CA179" i="1"/>
  <c r="CB179" i="1"/>
  <c r="CC179" i="1"/>
  <c r="CD179" i="1"/>
  <c r="CE179" i="1"/>
  <c r="CF179" i="1"/>
  <c r="CG179" i="1"/>
  <c r="CH179" i="1"/>
  <c r="CI179" i="1"/>
  <c r="CJ179" i="1"/>
  <c r="CK179" i="1"/>
  <c r="CL179" i="1"/>
  <c r="CM179" i="1"/>
  <c r="CN179" i="1"/>
  <c r="CO179" i="1"/>
  <c r="CP179" i="1"/>
  <c r="CQ179" i="1"/>
  <c r="CR179" i="1"/>
  <c r="CS179" i="1"/>
  <c r="CT179" i="1"/>
  <c r="CU179" i="1"/>
  <c r="CV179" i="1"/>
  <c r="CW179" i="1"/>
  <c r="CX179" i="1"/>
  <c r="CY179" i="1"/>
  <c r="CZ179" i="1"/>
  <c r="D13" i="1"/>
  <c r="D179" i="1"/>
  <c r="D178" i="1"/>
  <c r="E176" i="1"/>
  <c r="F176" i="1"/>
  <c r="G176" i="1"/>
  <c r="H176" i="1"/>
  <c r="I176" i="1"/>
  <c r="J176" i="1"/>
  <c r="K176" i="1"/>
  <c r="L176" i="1"/>
  <c r="M176" i="1"/>
  <c r="O176" i="1"/>
  <c r="P176" i="1"/>
  <c r="Q176" i="1"/>
  <c r="N176" i="1"/>
  <c r="R176" i="1"/>
  <c r="S176" i="1"/>
  <c r="T176" i="1"/>
  <c r="U176" i="1"/>
  <c r="V176" i="1"/>
  <c r="W176" i="1"/>
  <c r="X176" i="1"/>
  <c r="Y176" i="1"/>
  <c r="Z176" i="1"/>
  <c r="AA176" i="1"/>
  <c r="AB176" i="1"/>
  <c r="AC176" i="1"/>
  <c r="AD176" i="1"/>
  <c r="AE176" i="1"/>
  <c r="AF176" i="1"/>
  <c r="AG176" i="1"/>
  <c r="AH176" i="1"/>
  <c r="AI176" i="1"/>
  <c r="AJ176" i="1"/>
  <c r="AK176" i="1"/>
  <c r="AL176" i="1"/>
  <c r="AM176" i="1"/>
  <c r="AN176" i="1"/>
  <c r="AO176" i="1"/>
  <c r="AP176" i="1"/>
  <c r="AQ176" i="1"/>
  <c r="AR176" i="1"/>
  <c r="AS176" i="1"/>
  <c r="AT176" i="1"/>
  <c r="AU176" i="1"/>
  <c r="AV176" i="1"/>
  <c r="AW176" i="1"/>
  <c r="AX176" i="1"/>
  <c r="AY176" i="1"/>
  <c r="AZ176" i="1"/>
  <c r="BA176" i="1"/>
  <c r="BB176" i="1"/>
  <c r="BC176" i="1"/>
  <c r="BD176" i="1"/>
  <c r="BE176" i="1"/>
  <c r="BF176" i="1"/>
  <c r="BG176" i="1"/>
  <c r="BH176" i="1"/>
  <c r="BI176" i="1"/>
  <c r="BJ176" i="1"/>
  <c r="BK176" i="1"/>
  <c r="BL176" i="1"/>
  <c r="BM176" i="1"/>
  <c r="BN176" i="1"/>
  <c r="BO176" i="1"/>
  <c r="BP176" i="1"/>
  <c r="BQ176" i="1"/>
  <c r="BR176" i="1"/>
  <c r="BS176" i="1"/>
  <c r="BT176" i="1"/>
  <c r="BU176" i="1"/>
  <c r="BV176" i="1"/>
  <c r="BW176" i="1"/>
  <c r="BX176" i="1"/>
  <c r="BY176" i="1"/>
  <c r="BZ176" i="1"/>
  <c r="CA176" i="1"/>
  <c r="CB176" i="1"/>
  <c r="CC176" i="1"/>
  <c r="CD176" i="1"/>
  <c r="CE176" i="1"/>
  <c r="CF176" i="1"/>
  <c r="CG176" i="1"/>
  <c r="CH176" i="1"/>
  <c r="CI176" i="1"/>
  <c r="CJ176" i="1"/>
  <c r="CK176" i="1"/>
  <c r="CL176" i="1"/>
  <c r="CM176" i="1"/>
  <c r="CN176" i="1"/>
  <c r="CO176" i="1"/>
  <c r="CP176" i="1"/>
  <c r="CQ176" i="1"/>
  <c r="CR176" i="1"/>
  <c r="CS176" i="1"/>
  <c r="CT176" i="1"/>
  <c r="CU176" i="1"/>
  <c r="CV176" i="1"/>
  <c r="CW176" i="1"/>
  <c r="CX176" i="1"/>
  <c r="CY176" i="1"/>
  <c r="CZ176" i="1"/>
  <c r="E177" i="1"/>
  <c r="F177" i="1"/>
  <c r="G177" i="1"/>
  <c r="H177" i="1"/>
  <c r="I177" i="1"/>
  <c r="J177" i="1"/>
  <c r="K177" i="1"/>
  <c r="L177" i="1"/>
  <c r="M177" i="1"/>
  <c r="O177" i="1"/>
  <c r="P177" i="1"/>
  <c r="Q177" i="1"/>
  <c r="N177" i="1"/>
  <c r="R177" i="1"/>
  <c r="S177" i="1"/>
  <c r="T177" i="1"/>
  <c r="U177" i="1"/>
  <c r="V177" i="1"/>
  <c r="W177" i="1"/>
  <c r="X177" i="1"/>
  <c r="Y177" i="1"/>
  <c r="Z177" i="1"/>
  <c r="AA177" i="1"/>
  <c r="AB177" i="1"/>
  <c r="AC177" i="1"/>
  <c r="AD177" i="1"/>
  <c r="AE177" i="1"/>
  <c r="AF177" i="1"/>
  <c r="AG177" i="1"/>
  <c r="AH177" i="1"/>
  <c r="AI177" i="1"/>
  <c r="AJ177" i="1"/>
  <c r="AK177" i="1"/>
  <c r="AL177" i="1"/>
  <c r="AM177" i="1"/>
  <c r="AN177" i="1"/>
  <c r="AO177" i="1"/>
  <c r="AP177" i="1"/>
  <c r="AQ177" i="1"/>
  <c r="AR177" i="1"/>
  <c r="AS177" i="1"/>
  <c r="AT177" i="1"/>
  <c r="AU177" i="1"/>
  <c r="AV177" i="1"/>
  <c r="AW177" i="1"/>
  <c r="AX177" i="1"/>
  <c r="AY177" i="1"/>
  <c r="AZ177" i="1"/>
  <c r="BA177" i="1"/>
  <c r="BB177" i="1"/>
  <c r="BC177" i="1"/>
  <c r="BD177" i="1"/>
  <c r="BE177" i="1"/>
  <c r="BF177" i="1"/>
  <c r="BG177" i="1"/>
  <c r="BH177" i="1"/>
  <c r="BI177" i="1"/>
  <c r="BJ177" i="1"/>
  <c r="BK177" i="1"/>
  <c r="BL177" i="1"/>
  <c r="BM177" i="1"/>
  <c r="BN177" i="1"/>
  <c r="BO177" i="1"/>
  <c r="BP177" i="1"/>
  <c r="BQ177" i="1"/>
  <c r="BR177" i="1"/>
  <c r="BS177" i="1"/>
  <c r="BT177" i="1"/>
  <c r="BU177" i="1"/>
  <c r="BV177" i="1"/>
  <c r="BW177" i="1"/>
  <c r="BX177" i="1"/>
  <c r="BY177" i="1"/>
  <c r="BZ177" i="1"/>
  <c r="CA177" i="1"/>
  <c r="CB177" i="1"/>
  <c r="CC177" i="1"/>
  <c r="CD177" i="1"/>
  <c r="CE177" i="1"/>
  <c r="CF177" i="1"/>
  <c r="CG177" i="1"/>
  <c r="CH177" i="1"/>
  <c r="CI177" i="1"/>
  <c r="CJ177" i="1"/>
  <c r="CK177" i="1"/>
  <c r="CL177" i="1"/>
  <c r="CM177" i="1"/>
  <c r="CN177" i="1"/>
  <c r="CO177" i="1"/>
  <c r="CP177" i="1"/>
  <c r="CQ177" i="1"/>
  <c r="CR177" i="1"/>
  <c r="CS177" i="1"/>
  <c r="CT177" i="1"/>
  <c r="CU177" i="1"/>
  <c r="CV177" i="1"/>
  <c r="CW177" i="1"/>
  <c r="CX177" i="1"/>
  <c r="CY177" i="1"/>
  <c r="CZ177" i="1"/>
  <c r="D177" i="1"/>
  <c r="D176" i="1"/>
  <c r="D11" i="1"/>
  <c r="E11" i="1"/>
  <c r="N3" i="1"/>
  <c r="E89" i="1"/>
  <c r="E93" i="1"/>
  <c r="E94" i="1"/>
  <c r="E95" i="1"/>
  <c r="E92" i="1"/>
  <c r="F11" i="1"/>
  <c r="F89" i="1"/>
  <c r="F93" i="1"/>
  <c r="F94" i="1"/>
  <c r="F95" i="1"/>
  <c r="F92" i="1"/>
  <c r="G11" i="1"/>
  <c r="G89" i="1"/>
  <c r="G93" i="1"/>
  <c r="G94" i="1"/>
  <c r="G95" i="1"/>
  <c r="G92" i="1"/>
  <c r="H11" i="1"/>
  <c r="H89" i="1"/>
  <c r="H93" i="1"/>
  <c r="H94" i="1"/>
  <c r="H95" i="1"/>
  <c r="H92" i="1"/>
  <c r="I11" i="1"/>
  <c r="I89" i="1"/>
  <c r="I93" i="1"/>
  <c r="I94" i="1"/>
  <c r="I95" i="1"/>
  <c r="I92" i="1"/>
  <c r="J11" i="1"/>
  <c r="J89" i="1"/>
  <c r="J93" i="1"/>
  <c r="J94" i="1"/>
  <c r="J95" i="1"/>
  <c r="J92" i="1"/>
  <c r="K11" i="1"/>
  <c r="K89" i="1"/>
  <c r="K93" i="1"/>
  <c r="K94" i="1"/>
  <c r="K95" i="1"/>
  <c r="K92" i="1"/>
  <c r="L11" i="1"/>
  <c r="L89" i="1"/>
  <c r="L93" i="1"/>
  <c r="L94" i="1"/>
  <c r="L95" i="1"/>
  <c r="L92" i="1"/>
  <c r="M11" i="1"/>
  <c r="M89" i="1"/>
  <c r="M93" i="1"/>
  <c r="M94" i="1"/>
  <c r="M95" i="1"/>
  <c r="M92" i="1"/>
  <c r="N4" i="1"/>
  <c r="N5" i="1"/>
  <c r="N11" i="1"/>
  <c r="N89" i="1"/>
  <c r="N92" i="1"/>
  <c r="N6" i="1"/>
  <c r="O11" i="1"/>
  <c r="O89" i="1"/>
  <c r="O92" i="1"/>
  <c r="N7" i="1"/>
  <c r="P11" i="1"/>
  <c r="P89" i="1"/>
  <c r="P92" i="1"/>
  <c r="N8" i="1"/>
  <c r="Q11" i="1"/>
  <c r="Q89" i="1"/>
  <c r="Q92" i="1"/>
  <c r="R11" i="1"/>
  <c r="R89" i="1"/>
  <c r="R92" i="1"/>
  <c r="S11" i="1"/>
  <c r="S89" i="1"/>
  <c r="S92" i="1"/>
  <c r="T11" i="1"/>
  <c r="T89" i="1"/>
  <c r="T92" i="1"/>
  <c r="U11" i="1"/>
  <c r="U89" i="1"/>
  <c r="U92" i="1"/>
  <c r="V11" i="1"/>
  <c r="V89" i="1"/>
  <c r="V92" i="1"/>
  <c r="W11" i="1"/>
  <c r="W89" i="1"/>
  <c r="W92" i="1"/>
  <c r="X11" i="1"/>
  <c r="X89" i="1"/>
  <c r="X92" i="1"/>
  <c r="Y11" i="1"/>
  <c r="Y89" i="1"/>
  <c r="Y92" i="1"/>
  <c r="Z11" i="1"/>
  <c r="Z89" i="1"/>
  <c r="Z92" i="1"/>
  <c r="AA11" i="1"/>
  <c r="AA89" i="1"/>
  <c r="AA92" i="1"/>
  <c r="AB11" i="1"/>
  <c r="AB89" i="1"/>
  <c r="AB92" i="1"/>
  <c r="AC11" i="1"/>
  <c r="AC89" i="1"/>
  <c r="AC92" i="1"/>
  <c r="AD11" i="1"/>
  <c r="AD89" i="1"/>
  <c r="AD92" i="1"/>
  <c r="AE11" i="1"/>
  <c r="AE89" i="1"/>
  <c r="AE92" i="1"/>
  <c r="AF11" i="1"/>
  <c r="AF89" i="1"/>
  <c r="AF92" i="1"/>
  <c r="AG11" i="1"/>
  <c r="AG89" i="1"/>
  <c r="AG92" i="1"/>
  <c r="AH11" i="1"/>
  <c r="AH89" i="1"/>
  <c r="AH92" i="1"/>
  <c r="AI11" i="1"/>
  <c r="AI89" i="1"/>
  <c r="AI92" i="1"/>
  <c r="AJ11" i="1"/>
  <c r="AJ89" i="1"/>
  <c r="AJ92" i="1"/>
  <c r="AK11" i="1"/>
  <c r="AK89" i="1"/>
  <c r="AK92" i="1"/>
  <c r="AL11" i="1"/>
  <c r="AL89" i="1"/>
  <c r="AL92" i="1"/>
  <c r="AM11" i="1"/>
  <c r="AM89" i="1"/>
  <c r="AM92" i="1"/>
  <c r="AN11" i="1"/>
  <c r="AN89" i="1"/>
  <c r="AN92" i="1"/>
  <c r="AO11" i="1"/>
  <c r="AO89" i="1"/>
  <c r="AO92" i="1"/>
  <c r="AP11" i="1"/>
  <c r="AP89" i="1"/>
  <c r="AP92" i="1"/>
  <c r="AQ11" i="1"/>
  <c r="AQ89" i="1"/>
  <c r="AQ92" i="1"/>
  <c r="AR11" i="1"/>
  <c r="AR89" i="1"/>
  <c r="AR92" i="1"/>
  <c r="AS11" i="1"/>
  <c r="AS89" i="1"/>
  <c r="AS92" i="1"/>
  <c r="AT11" i="1"/>
  <c r="AT89" i="1"/>
  <c r="AT92" i="1"/>
  <c r="AU11" i="1"/>
  <c r="AU89" i="1"/>
  <c r="AU92" i="1"/>
  <c r="AV11" i="1"/>
  <c r="AV89" i="1"/>
  <c r="AV92" i="1"/>
  <c r="AW11" i="1"/>
  <c r="AW89" i="1"/>
  <c r="AW92" i="1"/>
  <c r="AX11" i="1"/>
  <c r="AX89" i="1"/>
  <c r="AX92" i="1"/>
  <c r="AY11" i="1"/>
  <c r="AY89" i="1"/>
  <c r="AY92" i="1"/>
  <c r="AZ11" i="1"/>
  <c r="AZ89" i="1"/>
  <c r="AZ92" i="1"/>
  <c r="BA11" i="1"/>
  <c r="BA89" i="1"/>
  <c r="BA92" i="1"/>
  <c r="BB11" i="1"/>
  <c r="BB89" i="1"/>
  <c r="BB92" i="1"/>
  <c r="BC11" i="1"/>
  <c r="BC89" i="1"/>
  <c r="BC92" i="1"/>
  <c r="BD11" i="1"/>
  <c r="BD89" i="1"/>
  <c r="BD92" i="1"/>
  <c r="BE11" i="1"/>
  <c r="BE89" i="1"/>
  <c r="BE92" i="1"/>
  <c r="BF11" i="1"/>
  <c r="BF89" i="1"/>
  <c r="BF92" i="1"/>
  <c r="BG11" i="1"/>
  <c r="BG89" i="1"/>
  <c r="BG92" i="1"/>
  <c r="BH11" i="1"/>
  <c r="BH89" i="1"/>
  <c r="BH92" i="1"/>
  <c r="BI11" i="1"/>
  <c r="BI89" i="1"/>
  <c r="BI92" i="1"/>
  <c r="BJ11" i="1"/>
  <c r="BJ89" i="1"/>
  <c r="BJ92" i="1"/>
  <c r="BK11" i="1"/>
  <c r="BK89" i="1"/>
  <c r="BK92" i="1"/>
  <c r="BL11" i="1"/>
  <c r="BL89" i="1"/>
  <c r="BL92" i="1"/>
  <c r="BM11" i="1"/>
  <c r="BM89" i="1"/>
  <c r="BM92" i="1"/>
  <c r="BN11" i="1"/>
  <c r="BN89" i="1"/>
  <c r="BN92" i="1"/>
  <c r="BO11" i="1"/>
  <c r="BO89" i="1"/>
  <c r="BO92" i="1"/>
  <c r="BP11" i="1"/>
  <c r="BP89" i="1"/>
  <c r="BP92" i="1"/>
  <c r="BQ11" i="1"/>
  <c r="BQ89" i="1"/>
  <c r="BQ92" i="1"/>
  <c r="BR11" i="1"/>
  <c r="BR89" i="1"/>
  <c r="BR92" i="1"/>
  <c r="BS11" i="1"/>
  <c r="BS89" i="1"/>
  <c r="BS92" i="1"/>
  <c r="BT11" i="1"/>
  <c r="BT89" i="1"/>
  <c r="BT92" i="1"/>
  <c r="BU11" i="1"/>
  <c r="BU89" i="1"/>
  <c r="BU92" i="1"/>
  <c r="BV11" i="1"/>
  <c r="BV89" i="1"/>
  <c r="BV92" i="1"/>
  <c r="BW11" i="1"/>
  <c r="BW89" i="1"/>
  <c r="BW92" i="1"/>
  <c r="BX11" i="1"/>
  <c r="BX89" i="1"/>
  <c r="BX92" i="1"/>
  <c r="BY11" i="1"/>
  <c r="BY89" i="1"/>
  <c r="BY92" i="1"/>
  <c r="BZ11" i="1"/>
  <c r="BZ89" i="1"/>
  <c r="BZ92" i="1"/>
  <c r="CA11" i="1"/>
  <c r="CA89" i="1"/>
  <c r="CA92" i="1"/>
  <c r="CB11" i="1"/>
  <c r="CB89" i="1"/>
  <c r="CB92" i="1"/>
  <c r="CC11" i="1"/>
  <c r="CC89" i="1"/>
  <c r="CC92" i="1"/>
  <c r="CD11" i="1"/>
  <c r="CD89" i="1"/>
  <c r="CD92" i="1"/>
  <c r="CE11" i="1"/>
  <c r="CE89" i="1"/>
  <c r="CE92" i="1"/>
  <c r="CF11" i="1"/>
  <c r="CF89" i="1"/>
  <c r="CF92" i="1"/>
  <c r="CG11" i="1"/>
  <c r="CG89" i="1"/>
  <c r="CG92" i="1"/>
  <c r="CH11" i="1"/>
  <c r="CH89" i="1"/>
  <c r="CH92" i="1"/>
  <c r="CI11" i="1"/>
  <c r="CI89" i="1"/>
  <c r="CI92" i="1"/>
  <c r="CJ11" i="1"/>
  <c r="CJ89" i="1"/>
  <c r="CJ92" i="1"/>
  <c r="CK11" i="1"/>
  <c r="CK89" i="1"/>
  <c r="CK92" i="1"/>
  <c r="CL11" i="1"/>
  <c r="CL89" i="1"/>
  <c r="CL92" i="1"/>
  <c r="CM11" i="1"/>
  <c r="CM89" i="1"/>
  <c r="CM92" i="1"/>
  <c r="CN11" i="1"/>
  <c r="CN89" i="1"/>
  <c r="CN92" i="1"/>
  <c r="CO11" i="1"/>
  <c r="CO89" i="1"/>
  <c r="CO92" i="1"/>
  <c r="CP11" i="1"/>
  <c r="CP89" i="1"/>
  <c r="CP92" i="1"/>
  <c r="CQ11" i="1"/>
  <c r="CQ89" i="1"/>
  <c r="CQ92" i="1"/>
  <c r="CR11" i="1"/>
  <c r="CR89" i="1"/>
  <c r="CR92" i="1"/>
  <c r="CS11" i="1"/>
  <c r="CS89" i="1"/>
  <c r="CS92" i="1"/>
  <c r="CT11" i="1"/>
  <c r="CT89" i="1"/>
  <c r="CT92" i="1"/>
  <c r="CU11" i="1"/>
  <c r="CU89" i="1"/>
  <c r="CU92" i="1"/>
  <c r="CV11" i="1"/>
  <c r="CV89" i="1"/>
  <c r="CV92" i="1"/>
  <c r="CW11" i="1"/>
  <c r="CW89" i="1"/>
  <c r="CW92" i="1"/>
  <c r="CX11" i="1"/>
  <c r="CX89" i="1"/>
  <c r="CX92" i="1"/>
  <c r="CY11" i="1"/>
  <c r="CY89" i="1"/>
  <c r="CY92" i="1"/>
  <c r="CZ11" i="1"/>
  <c r="CZ89" i="1"/>
  <c r="CZ92" i="1"/>
  <c r="D89" i="1"/>
  <c r="D93" i="1"/>
  <c r="D94" i="1"/>
  <c r="D95" i="1"/>
  <c r="D92" i="1"/>
  <c r="R13" i="1"/>
  <c r="S13" i="1"/>
  <c r="T13" i="1"/>
  <c r="U13" i="1"/>
  <c r="V13" i="1"/>
  <c r="W13" i="1"/>
  <c r="X13" i="1"/>
  <c r="Y13" i="1"/>
  <c r="Z13" i="1"/>
  <c r="AA13" i="1"/>
  <c r="AB13" i="1"/>
  <c r="AC13" i="1"/>
  <c r="AD13" i="1"/>
  <c r="AE13" i="1"/>
  <c r="AF13" i="1"/>
  <c r="AG13" i="1"/>
  <c r="AH13" i="1"/>
  <c r="AI13" i="1"/>
  <c r="AJ13" i="1"/>
  <c r="AK13" i="1"/>
  <c r="AL13" i="1"/>
  <c r="AM13" i="1"/>
  <c r="AN13" i="1"/>
  <c r="AO13" i="1"/>
  <c r="AP13" i="1"/>
  <c r="AQ13" i="1"/>
  <c r="AR13" i="1"/>
  <c r="AS13" i="1"/>
  <c r="AT13" i="1"/>
  <c r="AU13" i="1"/>
  <c r="AV13" i="1"/>
  <c r="AW13" i="1"/>
  <c r="AX13" i="1"/>
  <c r="AY13" i="1"/>
  <c r="AZ13" i="1"/>
  <c r="BA13" i="1"/>
  <c r="F14" i="1"/>
  <c r="P14" i="1"/>
  <c r="G14" i="1"/>
  <c r="Q14" i="1"/>
  <c r="H14" i="1"/>
  <c r="R14" i="1"/>
  <c r="I14" i="1"/>
  <c r="S14" i="1"/>
  <c r="J14" i="1"/>
  <c r="T14" i="1"/>
  <c r="K14" i="1"/>
  <c r="U14" i="1"/>
  <c r="L14" i="1"/>
  <c r="V14" i="1"/>
  <c r="W14" i="1"/>
  <c r="X14" i="1"/>
  <c r="Y14" i="1"/>
  <c r="Z14" i="1"/>
  <c r="AA14" i="1"/>
  <c r="AB14" i="1"/>
  <c r="AC14" i="1"/>
  <c r="AD14" i="1"/>
  <c r="AE14" i="1"/>
  <c r="AF14" i="1"/>
  <c r="AG14" i="1"/>
  <c r="AH14" i="1"/>
  <c r="AI14" i="1"/>
  <c r="AJ14" i="1"/>
  <c r="AK14" i="1"/>
  <c r="AL14" i="1"/>
  <c r="AM14" i="1"/>
  <c r="AN14" i="1"/>
  <c r="AO14" i="1"/>
  <c r="AP14" i="1"/>
  <c r="AQ14" i="1"/>
  <c r="AR14" i="1"/>
  <c r="AS14" i="1"/>
  <c r="AT14" i="1"/>
  <c r="AU14" i="1"/>
  <c r="AV14" i="1"/>
  <c r="AW14" i="1"/>
  <c r="AX14" i="1"/>
  <c r="AY14" i="1"/>
  <c r="AZ14" i="1"/>
  <c r="BA14" i="1"/>
  <c r="F17" i="1"/>
  <c r="F18" i="1"/>
  <c r="F16" i="1"/>
  <c r="O6" i="1"/>
  <c r="L17" i="1"/>
  <c r="M17" i="1"/>
  <c r="B17" i="1"/>
  <c r="O5" i="1"/>
  <c r="P17" i="1"/>
  <c r="L18" i="1"/>
  <c r="M18" i="1"/>
  <c r="B18" i="1"/>
  <c r="P18" i="1"/>
  <c r="P16" i="1"/>
  <c r="G17" i="1"/>
  <c r="G18" i="1"/>
  <c r="G16" i="1"/>
  <c r="O7" i="1"/>
  <c r="H17" i="1"/>
  <c r="I17" i="1"/>
  <c r="Q17" i="1"/>
  <c r="H18" i="1"/>
  <c r="I18" i="1"/>
  <c r="Q18" i="1"/>
  <c r="Q16" i="1"/>
  <c r="H16" i="1"/>
  <c r="R17" i="1"/>
  <c r="R18" i="1"/>
  <c r="R16" i="1"/>
  <c r="I16" i="1"/>
  <c r="S17" i="1"/>
  <c r="S18" i="1"/>
  <c r="S16" i="1"/>
  <c r="J17" i="1"/>
  <c r="J18" i="1"/>
  <c r="J16" i="1"/>
  <c r="T17" i="1"/>
  <c r="T18" i="1"/>
  <c r="T16" i="1"/>
  <c r="K17" i="1"/>
  <c r="K18" i="1"/>
  <c r="K16" i="1"/>
  <c r="U17" i="1"/>
  <c r="U18" i="1"/>
  <c r="U16" i="1"/>
  <c r="L16" i="1"/>
  <c r="V17" i="1"/>
  <c r="V18" i="1"/>
  <c r="V16" i="1"/>
  <c r="M16" i="1"/>
  <c r="W17" i="1"/>
  <c r="W18" i="1"/>
  <c r="W16" i="1"/>
  <c r="X17" i="1"/>
  <c r="X18" i="1"/>
  <c r="X16" i="1"/>
  <c r="P7" i="1"/>
  <c r="E17" i="1"/>
  <c r="Z17" i="1"/>
  <c r="AA17" i="1"/>
  <c r="AB17" i="1"/>
  <c r="Y17" i="1"/>
  <c r="E18" i="1"/>
  <c r="Z18" i="1"/>
  <c r="AA18" i="1"/>
  <c r="AB18" i="1"/>
  <c r="Y18" i="1"/>
  <c r="Y16" i="1"/>
  <c r="Z16" i="1"/>
  <c r="AA16" i="1"/>
  <c r="AC17" i="1"/>
  <c r="AD17" i="1"/>
  <c r="AE17" i="1"/>
  <c r="AC18" i="1"/>
  <c r="AD18" i="1"/>
  <c r="AE18" i="1"/>
  <c r="AB16" i="1"/>
  <c r="AC16" i="1"/>
  <c r="AD16" i="1"/>
  <c r="AE16" i="1"/>
  <c r="AF17" i="1"/>
  <c r="AF18" i="1"/>
  <c r="AF16" i="1"/>
  <c r="AG17" i="1"/>
  <c r="AG18" i="1"/>
  <c r="AG16" i="1"/>
  <c r="AI17" i="1"/>
  <c r="AJ17" i="1"/>
  <c r="AK17" i="1"/>
  <c r="AH17" i="1"/>
  <c r="AI18" i="1"/>
  <c r="AJ18" i="1"/>
  <c r="AK18" i="1"/>
  <c r="AH18" i="1"/>
  <c r="AH16" i="1"/>
  <c r="AI16" i="1"/>
  <c r="AJ16" i="1"/>
  <c r="AK16" i="1"/>
  <c r="AL17" i="1"/>
  <c r="AL18" i="1"/>
  <c r="AL16" i="1"/>
  <c r="AM17" i="1"/>
  <c r="AM18" i="1"/>
  <c r="AM16" i="1"/>
  <c r="AN17" i="1"/>
  <c r="AN18" i="1"/>
  <c r="AN16" i="1"/>
  <c r="AO17" i="1"/>
  <c r="AO18" i="1"/>
  <c r="AO16" i="1"/>
  <c r="AP17" i="1"/>
  <c r="AP18" i="1"/>
  <c r="AP16" i="1"/>
  <c r="AQ17" i="1"/>
  <c r="AQ18" i="1"/>
  <c r="AQ16" i="1"/>
  <c r="AR17" i="1"/>
  <c r="AR18" i="1"/>
  <c r="AR16" i="1"/>
  <c r="AS17" i="1"/>
  <c r="AS18" i="1"/>
  <c r="AS16" i="1"/>
  <c r="AT17" i="1"/>
  <c r="AT18" i="1"/>
  <c r="AT16" i="1"/>
  <c r="AU17" i="1"/>
  <c r="AU18" i="1"/>
  <c r="AU16" i="1"/>
  <c r="AV17" i="1"/>
  <c r="AV18" i="1"/>
  <c r="AV16" i="1"/>
  <c r="AX17" i="1"/>
  <c r="AY17" i="1"/>
  <c r="AZ17" i="1"/>
  <c r="AW17" i="1"/>
  <c r="AX18" i="1"/>
  <c r="AY18" i="1"/>
  <c r="AZ18" i="1"/>
  <c r="AW18" i="1"/>
  <c r="AW16" i="1"/>
  <c r="AX16" i="1"/>
  <c r="AY16" i="1"/>
  <c r="AZ16" i="1"/>
  <c r="BA17" i="1"/>
  <c r="BA18" i="1"/>
  <c r="BA16" i="1"/>
  <c r="F19" i="1"/>
  <c r="L19" i="1"/>
  <c r="M19" i="1"/>
  <c r="B19" i="1"/>
  <c r="P19" i="1"/>
  <c r="G19" i="1"/>
  <c r="H19" i="1"/>
  <c r="I19" i="1"/>
  <c r="Q19" i="1"/>
  <c r="R19" i="1"/>
  <c r="S19" i="1"/>
  <c r="J19" i="1"/>
  <c r="T19" i="1"/>
  <c r="K19" i="1"/>
  <c r="U19" i="1"/>
  <c r="V19" i="1"/>
  <c r="W19" i="1"/>
  <c r="X19" i="1"/>
  <c r="E19" i="1"/>
  <c r="Z19" i="1"/>
  <c r="AA19" i="1"/>
  <c r="AB19" i="1"/>
  <c r="Y19" i="1"/>
  <c r="AC19" i="1"/>
  <c r="AD19" i="1"/>
  <c r="AE19" i="1"/>
  <c r="AF19" i="1"/>
  <c r="AG19" i="1"/>
  <c r="AI19" i="1"/>
  <c r="AJ19" i="1"/>
  <c r="AK19" i="1"/>
  <c r="AH19" i="1"/>
  <c r="AL19" i="1"/>
  <c r="AM19" i="1"/>
  <c r="AN19" i="1"/>
  <c r="AO19" i="1"/>
  <c r="AP19" i="1"/>
  <c r="AQ19" i="1"/>
  <c r="AR19" i="1"/>
  <c r="AS19" i="1"/>
  <c r="AT19" i="1"/>
  <c r="AU19" i="1"/>
  <c r="AV19" i="1"/>
  <c r="AX19" i="1"/>
  <c r="AY19" i="1"/>
  <c r="AZ19" i="1"/>
  <c r="AW19" i="1"/>
  <c r="BA19" i="1"/>
  <c r="F23" i="1"/>
  <c r="F24" i="1"/>
  <c r="F25" i="1"/>
  <c r="F22" i="1"/>
  <c r="L23" i="1"/>
  <c r="M23" i="1"/>
  <c r="B23" i="1"/>
  <c r="P23" i="1"/>
  <c r="L24" i="1"/>
  <c r="M24" i="1"/>
  <c r="B24" i="1"/>
  <c r="P24" i="1"/>
  <c r="L25" i="1"/>
  <c r="M25" i="1"/>
  <c r="B25" i="1"/>
  <c r="P25" i="1"/>
  <c r="P22" i="1"/>
  <c r="G23" i="1"/>
  <c r="G24" i="1"/>
  <c r="G25" i="1"/>
  <c r="G22" i="1"/>
  <c r="H23" i="1"/>
  <c r="I23" i="1"/>
  <c r="Q23" i="1"/>
  <c r="H24" i="1"/>
  <c r="I24" i="1"/>
  <c r="Q24" i="1"/>
  <c r="H25" i="1"/>
  <c r="I25" i="1"/>
  <c r="Q25" i="1"/>
  <c r="Q22" i="1"/>
  <c r="H22" i="1"/>
  <c r="R23" i="1"/>
  <c r="R24" i="1"/>
  <c r="R25" i="1"/>
  <c r="R22" i="1"/>
  <c r="I22" i="1"/>
  <c r="S23" i="1"/>
  <c r="S24" i="1"/>
  <c r="S25" i="1"/>
  <c r="S22" i="1"/>
  <c r="J23" i="1"/>
  <c r="J24" i="1"/>
  <c r="J25" i="1"/>
  <c r="J22" i="1"/>
  <c r="T23" i="1"/>
  <c r="T24" i="1"/>
  <c r="T25" i="1"/>
  <c r="T22" i="1"/>
  <c r="K23" i="1"/>
  <c r="K24" i="1"/>
  <c r="K25" i="1"/>
  <c r="K22" i="1"/>
  <c r="U23" i="1"/>
  <c r="U24" i="1"/>
  <c r="U25" i="1"/>
  <c r="U22" i="1"/>
  <c r="L22" i="1"/>
  <c r="V23" i="1"/>
  <c r="V24" i="1"/>
  <c r="V25" i="1"/>
  <c r="V22" i="1"/>
  <c r="M22" i="1"/>
  <c r="W23" i="1"/>
  <c r="W24" i="1"/>
  <c r="W25" i="1"/>
  <c r="W22" i="1"/>
  <c r="X23" i="1"/>
  <c r="X24" i="1"/>
  <c r="X25" i="1"/>
  <c r="X22" i="1"/>
  <c r="E23" i="1"/>
  <c r="Z23" i="1"/>
  <c r="AA23" i="1"/>
  <c r="AB23" i="1"/>
  <c r="Y23" i="1"/>
  <c r="E24" i="1"/>
  <c r="Z24" i="1"/>
  <c r="AA24" i="1"/>
  <c r="AB24" i="1"/>
  <c r="Y24" i="1"/>
  <c r="E25" i="1"/>
  <c r="Z25" i="1"/>
  <c r="AA25" i="1"/>
  <c r="AB25" i="1"/>
  <c r="Y25" i="1"/>
  <c r="Y22" i="1"/>
  <c r="Z22" i="1"/>
  <c r="AA22" i="1"/>
  <c r="AC23" i="1"/>
  <c r="AD23" i="1"/>
  <c r="AE23" i="1"/>
  <c r="AC24" i="1"/>
  <c r="AD24" i="1"/>
  <c r="AE24" i="1"/>
  <c r="AC25" i="1"/>
  <c r="AD25" i="1"/>
  <c r="AE25" i="1"/>
  <c r="AB22" i="1"/>
  <c r="AC22" i="1"/>
  <c r="AD22" i="1"/>
  <c r="AE22" i="1"/>
  <c r="AF23" i="1"/>
  <c r="AF24" i="1"/>
  <c r="AF25" i="1"/>
  <c r="AF22" i="1"/>
  <c r="AG23" i="1"/>
  <c r="AG24" i="1"/>
  <c r="AG25" i="1"/>
  <c r="AG22" i="1"/>
  <c r="AI23" i="1"/>
  <c r="AJ23" i="1"/>
  <c r="AK23" i="1"/>
  <c r="AH23" i="1"/>
  <c r="AI24" i="1"/>
  <c r="AJ24" i="1"/>
  <c r="AK24" i="1"/>
  <c r="AH24" i="1"/>
  <c r="AI25" i="1"/>
  <c r="AJ25" i="1"/>
  <c r="AK25" i="1"/>
  <c r="AH25" i="1"/>
  <c r="AH22" i="1"/>
  <c r="AI22" i="1"/>
  <c r="AJ22" i="1"/>
  <c r="AK22" i="1"/>
  <c r="AL23" i="1"/>
  <c r="AL24" i="1"/>
  <c r="AL25" i="1"/>
  <c r="AL22" i="1"/>
  <c r="AM23" i="1"/>
  <c r="AM24" i="1"/>
  <c r="AM25" i="1"/>
  <c r="AM22" i="1"/>
  <c r="AN23" i="1"/>
  <c r="AN24" i="1"/>
  <c r="AN25" i="1"/>
  <c r="AN22" i="1"/>
  <c r="AO23" i="1"/>
  <c r="AO24" i="1"/>
  <c r="AO25" i="1"/>
  <c r="AO22" i="1"/>
  <c r="AP23" i="1"/>
  <c r="AP24" i="1"/>
  <c r="AP25" i="1"/>
  <c r="AP22" i="1"/>
  <c r="AQ23" i="1"/>
  <c r="AQ24" i="1"/>
  <c r="AQ25" i="1"/>
  <c r="AQ22" i="1"/>
  <c r="AR23" i="1"/>
  <c r="AR24" i="1"/>
  <c r="AR25" i="1"/>
  <c r="AR22" i="1"/>
  <c r="AS23" i="1"/>
  <c r="AS24" i="1"/>
  <c r="AS25" i="1"/>
  <c r="AS22" i="1"/>
  <c r="AT23" i="1"/>
  <c r="AT24" i="1"/>
  <c r="AT25" i="1"/>
  <c r="AT22" i="1"/>
  <c r="AU23" i="1"/>
  <c r="AU24" i="1"/>
  <c r="AU25" i="1"/>
  <c r="AU22" i="1"/>
  <c r="AV23" i="1"/>
  <c r="AV24" i="1"/>
  <c r="AV25" i="1"/>
  <c r="AV22" i="1"/>
  <c r="AX23" i="1"/>
  <c r="AY23" i="1"/>
  <c r="AZ23" i="1"/>
  <c r="AW23" i="1"/>
  <c r="AX24" i="1"/>
  <c r="AY24" i="1"/>
  <c r="AZ24" i="1"/>
  <c r="AW24" i="1"/>
  <c r="AX25" i="1"/>
  <c r="AY25" i="1"/>
  <c r="AZ25" i="1"/>
  <c r="AW25" i="1"/>
  <c r="AW22" i="1"/>
  <c r="AX22" i="1"/>
  <c r="AY22" i="1"/>
  <c r="AZ22" i="1"/>
  <c r="BA23" i="1"/>
  <c r="BA24" i="1"/>
  <c r="BA25" i="1"/>
  <c r="BA22" i="1"/>
  <c r="F27" i="1"/>
  <c r="L27" i="1"/>
  <c r="M27" i="1"/>
  <c r="B27" i="1"/>
  <c r="P27" i="1"/>
  <c r="G27" i="1"/>
  <c r="H27" i="1"/>
  <c r="I27" i="1"/>
  <c r="Q27" i="1"/>
  <c r="R27" i="1"/>
  <c r="S27" i="1"/>
  <c r="J27" i="1"/>
  <c r="T27" i="1"/>
  <c r="K27" i="1"/>
  <c r="U27" i="1"/>
  <c r="V27" i="1"/>
  <c r="W27" i="1"/>
  <c r="X27" i="1"/>
  <c r="E27" i="1"/>
  <c r="Z27" i="1"/>
  <c r="AA27" i="1"/>
  <c r="AB27" i="1"/>
  <c r="Y27" i="1"/>
  <c r="AC27" i="1"/>
  <c r="AD27" i="1"/>
  <c r="AE27" i="1"/>
  <c r="AF27" i="1"/>
  <c r="AG27" i="1"/>
  <c r="AI27" i="1"/>
  <c r="AJ27" i="1"/>
  <c r="AK27" i="1"/>
  <c r="AH27" i="1"/>
  <c r="AL27" i="1"/>
  <c r="AM27" i="1"/>
  <c r="AN27" i="1"/>
  <c r="AO27" i="1"/>
  <c r="AP27" i="1"/>
  <c r="AQ27" i="1"/>
  <c r="AR27" i="1"/>
  <c r="AS27" i="1"/>
  <c r="AT27" i="1"/>
  <c r="AU27" i="1"/>
  <c r="AV27" i="1"/>
  <c r="AX27" i="1"/>
  <c r="AY27" i="1"/>
  <c r="AZ27" i="1"/>
  <c r="AW27" i="1"/>
  <c r="BA27" i="1"/>
  <c r="F28" i="1"/>
  <c r="F29" i="1"/>
  <c r="L28" i="1"/>
  <c r="M28" i="1"/>
  <c r="B28" i="1"/>
  <c r="P28" i="1"/>
  <c r="L29" i="1"/>
  <c r="M29" i="1"/>
  <c r="B29" i="1"/>
  <c r="P29" i="1"/>
  <c r="G28" i="1"/>
  <c r="G29" i="1"/>
  <c r="H28" i="1"/>
  <c r="I28" i="1"/>
  <c r="Q28" i="1"/>
  <c r="H29" i="1"/>
  <c r="I29" i="1"/>
  <c r="Q29" i="1"/>
  <c r="R28" i="1"/>
  <c r="R29" i="1"/>
  <c r="S28" i="1"/>
  <c r="S29" i="1"/>
  <c r="J28" i="1"/>
  <c r="J29" i="1"/>
  <c r="T28" i="1"/>
  <c r="T29" i="1"/>
  <c r="K28" i="1"/>
  <c r="K29" i="1"/>
  <c r="U28" i="1"/>
  <c r="U29" i="1"/>
  <c r="V28" i="1"/>
  <c r="V29" i="1"/>
  <c r="W28" i="1"/>
  <c r="W29" i="1"/>
  <c r="X28" i="1"/>
  <c r="X29" i="1"/>
  <c r="E28" i="1"/>
  <c r="Z28" i="1"/>
  <c r="AA28" i="1"/>
  <c r="AB28" i="1"/>
  <c r="Y28" i="1"/>
  <c r="E29" i="1"/>
  <c r="Z29" i="1"/>
  <c r="AA29" i="1"/>
  <c r="AB29" i="1"/>
  <c r="Y29" i="1"/>
  <c r="AC28" i="1"/>
  <c r="AD28" i="1"/>
  <c r="AE28" i="1"/>
  <c r="AC29" i="1"/>
  <c r="AD29" i="1"/>
  <c r="AE29" i="1"/>
  <c r="AF28" i="1"/>
  <c r="AF29" i="1"/>
  <c r="AG28" i="1"/>
  <c r="AG29" i="1"/>
  <c r="AI28" i="1"/>
  <c r="AJ28" i="1"/>
  <c r="AK28" i="1"/>
  <c r="AH28" i="1"/>
  <c r="AI29" i="1"/>
  <c r="AJ29" i="1"/>
  <c r="AK29" i="1"/>
  <c r="AH29" i="1"/>
  <c r="AL28" i="1"/>
  <c r="AL29" i="1"/>
  <c r="AM28" i="1"/>
  <c r="AM29" i="1"/>
  <c r="AN28" i="1"/>
  <c r="AN29" i="1"/>
  <c r="AO28" i="1"/>
  <c r="AO29" i="1"/>
  <c r="AP28" i="1"/>
  <c r="AP29" i="1"/>
  <c r="AQ28" i="1"/>
  <c r="AQ29" i="1"/>
  <c r="AR28" i="1"/>
  <c r="AR29" i="1"/>
  <c r="AS28" i="1"/>
  <c r="AS29" i="1"/>
  <c r="AT28" i="1"/>
  <c r="AT29" i="1"/>
  <c r="AU28" i="1"/>
  <c r="AU29" i="1"/>
  <c r="AV28" i="1"/>
  <c r="AV29" i="1"/>
  <c r="AX28" i="1"/>
  <c r="AY28" i="1"/>
  <c r="AZ28" i="1"/>
  <c r="AW28" i="1"/>
  <c r="AX29" i="1"/>
  <c r="AY29" i="1"/>
  <c r="AZ29" i="1"/>
  <c r="AW29" i="1"/>
  <c r="BA28" i="1"/>
  <c r="BA29" i="1"/>
  <c r="F33" i="1"/>
  <c r="F40" i="1"/>
  <c r="L33" i="1"/>
  <c r="M33" i="1"/>
  <c r="B33" i="1"/>
  <c r="P33" i="1"/>
  <c r="L40" i="1"/>
  <c r="M40" i="1"/>
  <c r="B40" i="1"/>
  <c r="P40" i="1"/>
  <c r="G33" i="1"/>
  <c r="G40" i="1"/>
  <c r="H33" i="1"/>
  <c r="I33" i="1"/>
  <c r="Q33" i="1"/>
  <c r="H40" i="1"/>
  <c r="I40" i="1"/>
  <c r="Q40" i="1"/>
  <c r="R33" i="1"/>
  <c r="R40" i="1"/>
  <c r="S33" i="1"/>
  <c r="S40" i="1"/>
  <c r="J33" i="1"/>
  <c r="J40" i="1"/>
  <c r="T33" i="1"/>
  <c r="T40" i="1"/>
  <c r="K33" i="1"/>
  <c r="K40" i="1"/>
  <c r="U33" i="1"/>
  <c r="U40" i="1"/>
  <c r="V33" i="1"/>
  <c r="V40" i="1"/>
  <c r="W33" i="1"/>
  <c r="W40" i="1"/>
  <c r="X33" i="1"/>
  <c r="X40" i="1"/>
  <c r="E33" i="1"/>
  <c r="Z33" i="1"/>
  <c r="AA33" i="1"/>
  <c r="AB33" i="1"/>
  <c r="Y33" i="1"/>
  <c r="E40" i="1"/>
  <c r="Z40" i="1"/>
  <c r="AA40" i="1"/>
  <c r="AB40" i="1"/>
  <c r="Y40" i="1"/>
  <c r="AC33" i="1"/>
  <c r="AD33" i="1"/>
  <c r="AE33" i="1"/>
  <c r="AC40" i="1"/>
  <c r="AD40" i="1"/>
  <c r="AE40" i="1"/>
  <c r="AF33" i="1"/>
  <c r="AF40" i="1"/>
  <c r="AG33" i="1"/>
  <c r="AG40" i="1"/>
  <c r="AI33" i="1"/>
  <c r="AJ33" i="1"/>
  <c r="AK33" i="1"/>
  <c r="AH33" i="1"/>
  <c r="AI40" i="1"/>
  <c r="AJ40" i="1"/>
  <c r="AK40" i="1"/>
  <c r="AH40" i="1"/>
  <c r="AL33" i="1"/>
  <c r="AL40" i="1"/>
  <c r="AM33" i="1"/>
  <c r="AM40" i="1"/>
  <c r="AN33" i="1"/>
  <c r="AN40" i="1"/>
  <c r="AO33" i="1"/>
  <c r="AO40" i="1"/>
  <c r="AP33" i="1"/>
  <c r="AP40" i="1"/>
  <c r="AQ33" i="1"/>
  <c r="AQ40" i="1"/>
  <c r="AR33" i="1"/>
  <c r="AR40" i="1"/>
  <c r="AS33" i="1"/>
  <c r="AS40" i="1"/>
  <c r="AT33" i="1"/>
  <c r="AT40" i="1"/>
  <c r="AU33" i="1"/>
  <c r="AU40" i="1"/>
  <c r="AV33" i="1"/>
  <c r="AV40" i="1"/>
  <c r="AX33" i="1"/>
  <c r="AY33" i="1"/>
  <c r="AZ33" i="1"/>
  <c r="AW33" i="1"/>
  <c r="AX40" i="1"/>
  <c r="AY40" i="1"/>
  <c r="AZ40" i="1"/>
  <c r="AW40" i="1"/>
  <c r="BA33" i="1"/>
  <c r="BA40" i="1"/>
  <c r="F34" i="1"/>
  <c r="L34" i="1"/>
  <c r="M34" i="1"/>
  <c r="B34" i="1"/>
  <c r="P34" i="1"/>
  <c r="G34" i="1"/>
  <c r="H34" i="1"/>
  <c r="I34" i="1"/>
  <c r="Q34" i="1"/>
  <c r="R34" i="1"/>
  <c r="S34" i="1"/>
  <c r="J34" i="1"/>
  <c r="T34" i="1"/>
  <c r="K34" i="1"/>
  <c r="U34" i="1"/>
  <c r="V34" i="1"/>
  <c r="W34" i="1"/>
  <c r="X34" i="1"/>
  <c r="E34" i="1"/>
  <c r="Z34" i="1"/>
  <c r="AA34" i="1"/>
  <c r="AB34" i="1"/>
  <c r="Y34" i="1"/>
  <c r="AC34" i="1"/>
  <c r="AD34" i="1"/>
  <c r="AE34" i="1"/>
  <c r="AF34" i="1"/>
  <c r="AG34" i="1"/>
  <c r="AI34" i="1"/>
  <c r="AJ34" i="1"/>
  <c r="AK34" i="1"/>
  <c r="AH34" i="1"/>
  <c r="AL34" i="1"/>
  <c r="AM34" i="1"/>
  <c r="AN34" i="1"/>
  <c r="AO34" i="1"/>
  <c r="AP34" i="1"/>
  <c r="AQ34" i="1"/>
  <c r="AR34" i="1"/>
  <c r="AS34" i="1"/>
  <c r="AT34" i="1"/>
  <c r="AU34" i="1"/>
  <c r="AV34" i="1"/>
  <c r="AX34" i="1"/>
  <c r="AY34" i="1"/>
  <c r="AZ34" i="1"/>
  <c r="AW34" i="1"/>
  <c r="BA34" i="1"/>
  <c r="F35" i="1"/>
  <c r="F36" i="1"/>
  <c r="F37" i="1"/>
  <c r="F38" i="1"/>
  <c r="F32" i="1"/>
  <c r="L35" i="1"/>
  <c r="M35" i="1"/>
  <c r="B35" i="1"/>
  <c r="P35" i="1"/>
  <c r="L36" i="1"/>
  <c r="M36" i="1"/>
  <c r="B36" i="1"/>
  <c r="P36" i="1"/>
  <c r="L37" i="1"/>
  <c r="M37" i="1"/>
  <c r="B37" i="1"/>
  <c r="P37" i="1"/>
  <c r="L38" i="1"/>
  <c r="M38" i="1"/>
  <c r="B38" i="1"/>
  <c r="P38" i="1"/>
  <c r="P32" i="1"/>
  <c r="G35" i="1"/>
  <c r="G36" i="1"/>
  <c r="G37" i="1"/>
  <c r="G38" i="1"/>
  <c r="G32" i="1"/>
  <c r="H35" i="1"/>
  <c r="I35" i="1"/>
  <c r="Q35" i="1"/>
  <c r="H36" i="1"/>
  <c r="I36" i="1"/>
  <c r="Q36" i="1"/>
  <c r="H37" i="1"/>
  <c r="I37" i="1"/>
  <c r="Q37" i="1"/>
  <c r="H38" i="1"/>
  <c r="I38" i="1"/>
  <c r="Q38" i="1"/>
  <c r="Q32" i="1"/>
  <c r="H32" i="1"/>
  <c r="R35" i="1"/>
  <c r="R36" i="1"/>
  <c r="R37" i="1"/>
  <c r="R38" i="1"/>
  <c r="R32" i="1"/>
  <c r="I32" i="1"/>
  <c r="S35" i="1"/>
  <c r="S36" i="1"/>
  <c r="S37" i="1"/>
  <c r="S38" i="1"/>
  <c r="S32" i="1"/>
  <c r="J35" i="1"/>
  <c r="J36" i="1"/>
  <c r="J37" i="1"/>
  <c r="J38" i="1"/>
  <c r="J32" i="1"/>
  <c r="T35" i="1"/>
  <c r="T36" i="1"/>
  <c r="T37" i="1"/>
  <c r="T38" i="1"/>
  <c r="T32" i="1"/>
  <c r="K35" i="1"/>
  <c r="K36" i="1"/>
  <c r="K37" i="1"/>
  <c r="K38" i="1"/>
  <c r="K32" i="1"/>
  <c r="U35" i="1"/>
  <c r="U36" i="1"/>
  <c r="U37" i="1"/>
  <c r="U38" i="1"/>
  <c r="U32" i="1"/>
  <c r="L32" i="1"/>
  <c r="V35" i="1"/>
  <c r="V36" i="1"/>
  <c r="V37" i="1"/>
  <c r="V38" i="1"/>
  <c r="V32" i="1"/>
  <c r="M32" i="1"/>
  <c r="W35" i="1"/>
  <c r="W36" i="1"/>
  <c r="W37" i="1"/>
  <c r="W38" i="1"/>
  <c r="W32" i="1"/>
  <c r="X35" i="1"/>
  <c r="X36" i="1"/>
  <c r="X37" i="1"/>
  <c r="X38" i="1"/>
  <c r="X32" i="1"/>
  <c r="E35" i="1"/>
  <c r="Z35" i="1"/>
  <c r="AA35" i="1"/>
  <c r="AB35" i="1"/>
  <c r="Y35" i="1"/>
  <c r="E36" i="1"/>
  <c r="Z36" i="1"/>
  <c r="AA36" i="1"/>
  <c r="AB36" i="1"/>
  <c r="Y36" i="1"/>
  <c r="E37" i="1"/>
  <c r="Z37" i="1"/>
  <c r="AA37" i="1"/>
  <c r="AB37" i="1"/>
  <c r="Y37" i="1"/>
  <c r="E38" i="1"/>
  <c r="Z38" i="1"/>
  <c r="AA38" i="1"/>
  <c r="AB38" i="1"/>
  <c r="Y38" i="1"/>
  <c r="Y32" i="1"/>
  <c r="Z32" i="1"/>
  <c r="AA32" i="1"/>
  <c r="AC35" i="1"/>
  <c r="AD35" i="1"/>
  <c r="AE35" i="1"/>
  <c r="AC36" i="1"/>
  <c r="AD36" i="1"/>
  <c r="AE36" i="1"/>
  <c r="AC37" i="1"/>
  <c r="AD37" i="1"/>
  <c r="AE37" i="1"/>
  <c r="AC38" i="1"/>
  <c r="AD38" i="1"/>
  <c r="AE38" i="1"/>
  <c r="AB32" i="1"/>
  <c r="AC32" i="1"/>
  <c r="AD32" i="1"/>
  <c r="AE32" i="1"/>
  <c r="AF35" i="1"/>
  <c r="AF36" i="1"/>
  <c r="AF37" i="1"/>
  <c r="AF38" i="1"/>
  <c r="AF32" i="1"/>
  <c r="AG35" i="1"/>
  <c r="AG36" i="1"/>
  <c r="AG37" i="1"/>
  <c r="AG38" i="1"/>
  <c r="AG32" i="1"/>
  <c r="AI35" i="1"/>
  <c r="AJ35" i="1"/>
  <c r="AK35" i="1"/>
  <c r="AH35" i="1"/>
  <c r="AI36" i="1"/>
  <c r="AJ36" i="1"/>
  <c r="AK36" i="1"/>
  <c r="AH36" i="1"/>
  <c r="AI37" i="1"/>
  <c r="AJ37" i="1"/>
  <c r="AK37" i="1"/>
  <c r="AH37" i="1"/>
  <c r="AI38" i="1"/>
  <c r="AJ38" i="1"/>
  <c r="AK38" i="1"/>
  <c r="AH38" i="1"/>
  <c r="AH32" i="1"/>
  <c r="AI32" i="1"/>
  <c r="AJ32" i="1"/>
  <c r="AK32" i="1"/>
  <c r="AL35" i="1"/>
  <c r="AL36" i="1"/>
  <c r="AL37" i="1"/>
  <c r="AL38" i="1"/>
  <c r="AL32" i="1"/>
  <c r="AM35" i="1"/>
  <c r="AM36" i="1"/>
  <c r="AM37" i="1"/>
  <c r="AM38" i="1"/>
  <c r="AM32" i="1"/>
  <c r="AN35" i="1"/>
  <c r="AN36" i="1"/>
  <c r="AN37" i="1"/>
  <c r="AN38" i="1"/>
  <c r="AN32" i="1"/>
  <c r="AO35" i="1"/>
  <c r="AO36" i="1"/>
  <c r="AO37" i="1"/>
  <c r="AO38" i="1"/>
  <c r="AO32" i="1"/>
  <c r="AP35" i="1"/>
  <c r="AP36" i="1"/>
  <c r="AP37" i="1"/>
  <c r="AP38" i="1"/>
  <c r="AP32" i="1"/>
  <c r="AQ35" i="1"/>
  <c r="AQ36" i="1"/>
  <c r="AQ37" i="1"/>
  <c r="AQ38" i="1"/>
  <c r="AQ32" i="1"/>
  <c r="AR35" i="1"/>
  <c r="AR36" i="1"/>
  <c r="AR37" i="1"/>
  <c r="AR38" i="1"/>
  <c r="AR32" i="1"/>
  <c r="AS35" i="1"/>
  <c r="AS36" i="1"/>
  <c r="AS37" i="1"/>
  <c r="AS38" i="1"/>
  <c r="AS32" i="1"/>
  <c r="AT35" i="1"/>
  <c r="AT36" i="1"/>
  <c r="AT37" i="1"/>
  <c r="AT38" i="1"/>
  <c r="AT32" i="1"/>
  <c r="AU35" i="1"/>
  <c r="AU36" i="1"/>
  <c r="AU37" i="1"/>
  <c r="AU38" i="1"/>
  <c r="AU32" i="1"/>
  <c r="AV35" i="1"/>
  <c r="AV36" i="1"/>
  <c r="AV37" i="1"/>
  <c r="AV38" i="1"/>
  <c r="AV32" i="1"/>
  <c r="AX35" i="1"/>
  <c r="AY35" i="1"/>
  <c r="AZ35" i="1"/>
  <c r="AW35" i="1"/>
  <c r="AX36" i="1"/>
  <c r="AY36" i="1"/>
  <c r="AZ36" i="1"/>
  <c r="AW36" i="1"/>
  <c r="AX37" i="1"/>
  <c r="AY37" i="1"/>
  <c r="AZ37" i="1"/>
  <c r="AW37" i="1"/>
  <c r="AX38" i="1"/>
  <c r="AY38" i="1"/>
  <c r="AZ38" i="1"/>
  <c r="AW38" i="1"/>
  <c r="AW32" i="1"/>
  <c r="AX32" i="1"/>
  <c r="AY32" i="1"/>
  <c r="AZ32" i="1"/>
  <c r="BA35" i="1"/>
  <c r="BA36" i="1"/>
  <c r="BA37" i="1"/>
  <c r="BA38" i="1"/>
  <c r="BA32" i="1"/>
  <c r="F42" i="1"/>
  <c r="L42" i="1"/>
  <c r="M42" i="1"/>
  <c r="B42" i="1"/>
  <c r="P42" i="1"/>
  <c r="G42" i="1"/>
  <c r="H42" i="1"/>
  <c r="I42" i="1"/>
  <c r="Q42" i="1"/>
  <c r="R42" i="1"/>
  <c r="S42" i="1"/>
  <c r="J42" i="1"/>
  <c r="T42" i="1"/>
  <c r="K42" i="1"/>
  <c r="U42" i="1"/>
  <c r="V42" i="1"/>
  <c r="W42" i="1"/>
  <c r="X42" i="1"/>
  <c r="E42" i="1"/>
  <c r="Z42" i="1"/>
  <c r="AA42" i="1"/>
  <c r="AB42" i="1"/>
  <c r="Y42" i="1"/>
  <c r="AC42" i="1"/>
  <c r="AD42" i="1"/>
  <c r="AE42" i="1"/>
  <c r="AF42" i="1"/>
  <c r="AG42" i="1"/>
  <c r="AI42" i="1"/>
  <c r="AJ42" i="1"/>
  <c r="AK42" i="1"/>
  <c r="AH42" i="1"/>
  <c r="AL42" i="1"/>
  <c r="AM42" i="1"/>
  <c r="AN42" i="1"/>
  <c r="AO42" i="1"/>
  <c r="AP42" i="1"/>
  <c r="AQ42" i="1"/>
  <c r="AR42" i="1"/>
  <c r="AS42" i="1"/>
  <c r="AT42" i="1"/>
  <c r="AU42" i="1"/>
  <c r="AV42" i="1"/>
  <c r="AX42" i="1"/>
  <c r="AY42" i="1"/>
  <c r="AZ42" i="1"/>
  <c r="AW42" i="1"/>
  <c r="BA42" i="1"/>
  <c r="F45" i="1"/>
  <c r="L45" i="1"/>
  <c r="M45" i="1"/>
  <c r="B45" i="1"/>
  <c r="P45" i="1"/>
  <c r="G45" i="1"/>
  <c r="H45" i="1"/>
  <c r="I45" i="1"/>
  <c r="Q45" i="1"/>
  <c r="R45" i="1"/>
  <c r="S45" i="1"/>
  <c r="J45" i="1"/>
  <c r="T45" i="1"/>
  <c r="K45" i="1"/>
  <c r="U45" i="1"/>
  <c r="V45" i="1"/>
  <c r="W45" i="1"/>
  <c r="X45" i="1"/>
  <c r="E45" i="1"/>
  <c r="Z45" i="1"/>
  <c r="AA45" i="1"/>
  <c r="AB45" i="1"/>
  <c r="Y45" i="1"/>
  <c r="AC45" i="1"/>
  <c r="AD45" i="1"/>
  <c r="AE45" i="1"/>
  <c r="AF45" i="1"/>
  <c r="AG45" i="1"/>
  <c r="AI45" i="1"/>
  <c r="AJ45" i="1"/>
  <c r="AK45" i="1"/>
  <c r="AH45" i="1"/>
  <c r="AL45" i="1"/>
  <c r="AM45" i="1"/>
  <c r="AN45" i="1"/>
  <c r="AO45" i="1"/>
  <c r="AP45" i="1"/>
  <c r="AQ45" i="1"/>
  <c r="AR45" i="1"/>
  <c r="AS45" i="1"/>
  <c r="AT45" i="1"/>
  <c r="AU45" i="1"/>
  <c r="AV45" i="1"/>
  <c r="AX45" i="1"/>
  <c r="AY45" i="1"/>
  <c r="AZ45" i="1"/>
  <c r="AW45" i="1"/>
  <c r="BA45" i="1"/>
  <c r="F65" i="1"/>
  <c r="L65" i="1"/>
  <c r="M65" i="1"/>
  <c r="B65" i="1"/>
  <c r="P65" i="1"/>
  <c r="G65" i="1"/>
  <c r="H65" i="1"/>
  <c r="I65" i="1"/>
  <c r="Q65" i="1"/>
  <c r="R65" i="1"/>
  <c r="S65" i="1"/>
  <c r="J65" i="1"/>
  <c r="T65" i="1"/>
  <c r="K65" i="1"/>
  <c r="U65" i="1"/>
  <c r="V65" i="1"/>
  <c r="W65" i="1"/>
  <c r="X65" i="1"/>
  <c r="E65" i="1"/>
  <c r="Z65" i="1"/>
  <c r="AA65" i="1"/>
  <c r="AB65" i="1"/>
  <c r="Y65" i="1"/>
  <c r="AC65" i="1"/>
  <c r="AD65" i="1"/>
  <c r="AE65" i="1"/>
  <c r="AF65" i="1"/>
  <c r="AG65" i="1"/>
  <c r="AI65" i="1"/>
  <c r="AJ65" i="1"/>
  <c r="AK65" i="1"/>
  <c r="AH65" i="1"/>
  <c r="AL65" i="1"/>
  <c r="AM65" i="1"/>
  <c r="AN65" i="1"/>
  <c r="AO65" i="1"/>
  <c r="AP65" i="1"/>
  <c r="AQ65" i="1"/>
  <c r="AR65" i="1"/>
  <c r="AS65" i="1"/>
  <c r="AT65" i="1"/>
  <c r="AU65" i="1"/>
  <c r="AV65" i="1"/>
  <c r="AX65" i="1"/>
  <c r="AY65" i="1"/>
  <c r="AZ65" i="1"/>
  <c r="AW65" i="1"/>
  <c r="BA65" i="1"/>
  <c r="F51" i="1"/>
  <c r="F52" i="1"/>
  <c r="F53" i="1"/>
  <c r="F54" i="1"/>
  <c r="L51" i="1"/>
  <c r="M51" i="1"/>
  <c r="B51" i="1"/>
  <c r="P51" i="1"/>
  <c r="L52" i="1"/>
  <c r="M52" i="1"/>
  <c r="B52" i="1"/>
  <c r="P52" i="1"/>
  <c r="L53" i="1"/>
  <c r="M53" i="1"/>
  <c r="B53" i="1"/>
  <c r="P53" i="1"/>
  <c r="L54" i="1"/>
  <c r="M54" i="1"/>
  <c r="B54" i="1"/>
  <c r="P54" i="1"/>
  <c r="G51" i="1"/>
  <c r="G52" i="1"/>
  <c r="G53" i="1"/>
  <c r="G54" i="1"/>
  <c r="H51" i="1"/>
  <c r="I51" i="1"/>
  <c r="Q51" i="1"/>
  <c r="H52" i="1"/>
  <c r="I52" i="1"/>
  <c r="Q52" i="1"/>
  <c r="H53" i="1"/>
  <c r="I53" i="1"/>
  <c r="Q53" i="1"/>
  <c r="H54" i="1"/>
  <c r="I54" i="1"/>
  <c r="Q54" i="1"/>
  <c r="R51" i="1"/>
  <c r="R52" i="1"/>
  <c r="R53" i="1"/>
  <c r="R54" i="1"/>
  <c r="S51" i="1"/>
  <c r="S52" i="1"/>
  <c r="S53" i="1"/>
  <c r="S54" i="1"/>
  <c r="J51" i="1"/>
  <c r="J52" i="1"/>
  <c r="J53" i="1"/>
  <c r="J54" i="1"/>
  <c r="T51" i="1"/>
  <c r="T52" i="1"/>
  <c r="T53" i="1"/>
  <c r="T54" i="1"/>
  <c r="K51" i="1"/>
  <c r="K52" i="1"/>
  <c r="K53" i="1"/>
  <c r="K54" i="1"/>
  <c r="U51" i="1"/>
  <c r="U52" i="1"/>
  <c r="U53" i="1"/>
  <c r="U54" i="1"/>
  <c r="V51" i="1"/>
  <c r="V52" i="1"/>
  <c r="V53" i="1"/>
  <c r="V54" i="1"/>
  <c r="W51" i="1"/>
  <c r="W52" i="1"/>
  <c r="W53" i="1"/>
  <c r="W54" i="1"/>
  <c r="X51" i="1"/>
  <c r="X52" i="1"/>
  <c r="X53" i="1"/>
  <c r="X54" i="1"/>
  <c r="E51" i="1"/>
  <c r="Z51" i="1"/>
  <c r="AA51" i="1"/>
  <c r="AB51" i="1"/>
  <c r="Y51" i="1"/>
  <c r="E52" i="1"/>
  <c r="Z52" i="1"/>
  <c r="AA52" i="1"/>
  <c r="AB52" i="1"/>
  <c r="Y52" i="1"/>
  <c r="E53" i="1"/>
  <c r="Z53" i="1"/>
  <c r="AA53" i="1"/>
  <c r="AB53" i="1"/>
  <c r="Y53" i="1"/>
  <c r="E54" i="1"/>
  <c r="Z54" i="1"/>
  <c r="AA54" i="1"/>
  <c r="AB54" i="1"/>
  <c r="Y54" i="1"/>
  <c r="AC51" i="1"/>
  <c r="AD51" i="1"/>
  <c r="AE51" i="1"/>
  <c r="AC52" i="1"/>
  <c r="AD52" i="1"/>
  <c r="AE52" i="1"/>
  <c r="AC53" i="1"/>
  <c r="AD53" i="1"/>
  <c r="AE53" i="1"/>
  <c r="AC54" i="1"/>
  <c r="AD54" i="1"/>
  <c r="AE54" i="1"/>
  <c r="AF51" i="1"/>
  <c r="AF52" i="1"/>
  <c r="AF53" i="1"/>
  <c r="AF54" i="1"/>
  <c r="AG51" i="1"/>
  <c r="AG52" i="1"/>
  <c r="AG53" i="1"/>
  <c r="AG54" i="1"/>
  <c r="AI51" i="1"/>
  <c r="AJ51" i="1"/>
  <c r="AK51" i="1"/>
  <c r="AH51" i="1"/>
  <c r="AI52" i="1"/>
  <c r="AJ52" i="1"/>
  <c r="AK52" i="1"/>
  <c r="AH52" i="1"/>
  <c r="AI53" i="1"/>
  <c r="AJ53" i="1"/>
  <c r="AK53" i="1"/>
  <c r="AH53" i="1"/>
  <c r="AI54" i="1"/>
  <c r="AJ54" i="1"/>
  <c r="AK54" i="1"/>
  <c r="AH54" i="1"/>
  <c r="AL51" i="1"/>
  <c r="AL52" i="1"/>
  <c r="AL53" i="1"/>
  <c r="AL54" i="1"/>
  <c r="AM51" i="1"/>
  <c r="AM52" i="1"/>
  <c r="AM53" i="1"/>
  <c r="AM54" i="1"/>
  <c r="AN51" i="1"/>
  <c r="AN52" i="1"/>
  <c r="AN53" i="1"/>
  <c r="AN54" i="1"/>
  <c r="AO51" i="1"/>
  <c r="AO52" i="1"/>
  <c r="AO53" i="1"/>
  <c r="AO54" i="1"/>
  <c r="AP51" i="1"/>
  <c r="AP52" i="1"/>
  <c r="AP53" i="1"/>
  <c r="AP54" i="1"/>
  <c r="AQ51" i="1"/>
  <c r="AQ52" i="1"/>
  <c r="AQ53" i="1"/>
  <c r="AQ54" i="1"/>
  <c r="AR51" i="1"/>
  <c r="AR52" i="1"/>
  <c r="AR53" i="1"/>
  <c r="AR54" i="1"/>
  <c r="AS51" i="1"/>
  <c r="AS52" i="1"/>
  <c r="AS53" i="1"/>
  <c r="AS54" i="1"/>
  <c r="AT51" i="1"/>
  <c r="AT52" i="1"/>
  <c r="AT53" i="1"/>
  <c r="AT54" i="1"/>
  <c r="AU51" i="1"/>
  <c r="AU52" i="1"/>
  <c r="AU53" i="1"/>
  <c r="AU54" i="1"/>
  <c r="AV51" i="1"/>
  <c r="AV52" i="1"/>
  <c r="AV53" i="1"/>
  <c r="AV54" i="1"/>
  <c r="AX51" i="1"/>
  <c r="AY51" i="1"/>
  <c r="AZ51" i="1"/>
  <c r="AW51" i="1"/>
  <c r="AX52" i="1"/>
  <c r="AY52" i="1"/>
  <c r="AZ52" i="1"/>
  <c r="AW52" i="1"/>
  <c r="AX53" i="1"/>
  <c r="AY53" i="1"/>
  <c r="AZ53" i="1"/>
  <c r="AW53" i="1"/>
  <c r="AX54" i="1"/>
  <c r="AY54" i="1"/>
  <c r="AZ54" i="1"/>
  <c r="AW54" i="1"/>
  <c r="BA51" i="1"/>
  <c r="BA52" i="1"/>
  <c r="BA53" i="1"/>
  <c r="BA54" i="1"/>
  <c r="F197" i="1"/>
  <c r="L197" i="1"/>
  <c r="M197" i="1"/>
  <c r="B197" i="1"/>
  <c r="P197" i="1"/>
  <c r="G197" i="1"/>
  <c r="H197" i="1"/>
  <c r="I197" i="1"/>
  <c r="Q197" i="1"/>
  <c r="R197" i="1"/>
  <c r="S197" i="1"/>
  <c r="J197" i="1"/>
  <c r="T197" i="1"/>
  <c r="K197" i="1"/>
  <c r="U197" i="1"/>
  <c r="V197" i="1"/>
  <c r="W197" i="1"/>
  <c r="X197" i="1"/>
  <c r="E197" i="1"/>
  <c r="Z197" i="1"/>
  <c r="AA197" i="1"/>
  <c r="AB197" i="1"/>
  <c r="Y197" i="1"/>
  <c r="AC197" i="1"/>
  <c r="AD197" i="1"/>
  <c r="AE197" i="1"/>
  <c r="AF197" i="1"/>
  <c r="AG197" i="1"/>
  <c r="AI197" i="1"/>
  <c r="AJ197" i="1"/>
  <c r="AK197" i="1"/>
  <c r="AH197" i="1"/>
  <c r="AL197" i="1"/>
  <c r="AM197" i="1"/>
  <c r="AN197" i="1"/>
  <c r="AO197" i="1"/>
  <c r="AP197" i="1"/>
  <c r="AQ197" i="1"/>
  <c r="AR197" i="1"/>
  <c r="AS197" i="1"/>
  <c r="AT197" i="1"/>
  <c r="AU197" i="1"/>
  <c r="AV197" i="1"/>
  <c r="AX197" i="1"/>
  <c r="AY197" i="1"/>
  <c r="AZ197" i="1"/>
  <c r="AW197" i="1"/>
  <c r="BA197" i="1"/>
  <c r="F64" i="1"/>
  <c r="L64" i="1"/>
  <c r="M64" i="1"/>
  <c r="B64" i="1"/>
  <c r="P64" i="1"/>
  <c r="G64" i="1"/>
  <c r="H64" i="1"/>
  <c r="I64" i="1"/>
  <c r="Q64" i="1"/>
  <c r="R64" i="1"/>
  <c r="S64" i="1"/>
  <c r="J64" i="1"/>
  <c r="T64" i="1"/>
  <c r="K64" i="1"/>
  <c r="U64" i="1"/>
  <c r="V64" i="1"/>
  <c r="W64" i="1"/>
  <c r="X64" i="1"/>
  <c r="E64" i="1"/>
  <c r="Z64" i="1"/>
  <c r="AA64" i="1"/>
  <c r="AB64" i="1"/>
  <c r="Y64" i="1"/>
  <c r="AC64" i="1"/>
  <c r="AD64" i="1"/>
  <c r="AE64" i="1"/>
  <c r="AF64" i="1"/>
  <c r="AG64" i="1"/>
  <c r="AI64" i="1"/>
  <c r="AJ64" i="1"/>
  <c r="AK64" i="1"/>
  <c r="AH64" i="1"/>
  <c r="AL64" i="1"/>
  <c r="AM64" i="1"/>
  <c r="AN64" i="1"/>
  <c r="AO64" i="1"/>
  <c r="AP64" i="1"/>
  <c r="AQ64" i="1"/>
  <c r="AR64" i="1"/>
  <c r="AS64" i="1"/>
  <c r="AT64" i="1"/>
  <c r="AU64" i="1"/>
  <c r="AV64" i="1"/>
  <c r="AX64" i="1"/>
  <c r="AY64" i="1"/>
  <c r="AZ64" i="1"/>
  <c r="AW64" i="1"/>
  <c r="BA64" i="1"/>
  <c r="F96" i="1"/>
  <c r="P96" i="1"/>
  <c r="G96" i="1"/>
  <c r="Q96" i="1"/>
  <c r="H96" i="1"/>
  <c r="R96" i="1"/>
  <c r="I96" i="1"/>
  <c r="S96" i="1"/>
  <c r="J96" i="1"/>
  <c r="T96" i="1"/>
  <c r="K96" i="1"/>
  <c r="U96" i="1"/>
  <c r="L96" i="1"/>
  <c r="V96" i="1"/>
  <c r="M96" i="1"/>
  <c r="W96" i="1"/>
  <c r="X96" i="1"/>
  <c r="Y96" i="1"/>
  <c r="Z96" i="1"/>
  <c r="AA96" i="1"/>
  <c r="AB96" i="1"/>
  <c r="AC96" i="1"/>
  <c r="AD96" i="1"/>
  <c r="AE96" i="1"/>
  <c r="AF96" i="1"/>
  <c r="AG96" i="1"/>
  <c r="AH96" i="1"/>
  <c r="AI96" i="1"/>
  <c r="AJ96" i="1"/>
  <c r="AK96" i="1"/>
  <c r="AL96" i="1"/>
  <c r="AM96" i="1"/>
  <c r="AN96" i="1"/>
  <c r="AO96" i="1"/>
  <c r="AP96" i="1"/>
  <c r="AQ96" i="1"/>
  <c r="AR96" i="1"/>
  <c r="AS96" i="1"/>
  <c r="AT96" i="1"/>
  <c r="AU96" i="1"/>
  <c r="AV96" i="1"/>
  <c r="AW96" i="1"/>
  <c r="AX96" i="1"/>
  <c r="AY96" i="1"/>
  <c r="AZ96" i="1"/>
  <c r="BA96" i="1"/>
  <c r="F100" i="1"/>
  <c r="P100" i="1"/>
  <c r="G100" i="1"/>
  <c r="Q100" i="1"/>
  <c r="H100" i="1"/>
  <c r="R100" i="1"/>
  <c r="I100" i="1"/>
  <c r="S100" i="1"/>
  <c r="J100" i="1"/>
  <c r="T100" i="1"/>
  <c r="K100" i="1"/>
  <c r="U100" i="1"/>
  <c r="L100" i="1"/>
  <c r="V100" i="1"/>
  <c r="M100" i="1"/>
  <c r="W100" i="1"/>
  <c r="X100" i="1"/>
  <c r="Y100" i="1"/>
  <c r="Z100" i="1"/>
  <c r="AA100" i="1"/>
  <c r="AB100" i="1"/>
  <c r="AC100" i="1"/>
  <c r="AD100" i="1"/>
  <c r="AE100" i="1"/>
  <c r="AF100" i="1"/>
  <c r="AG100" i="1"/>
  <c r="AH100" i="1"/>
  <c r="AI100" i="1"/>
  <c r="AJ100" i="1"/>
  <c r="AK100" i="1"/>
  <c r="AL100" i="1"/>
  <c r="AM100" i="1"/>
  <c r="AN100" i="1"/>
  <c r="AO100" i="1"/>
  <c r="AP100" i="1"/>
  <c r="AQ100" i="1"/>
  <c r="AR100" i="1"/>
  <c r="AS100" i="1"/>
  <c r="AT100" i="1"/>
  <c r="AU100" i="1"/>
  <c r="AV100" i="1"/>
  <c r="AW100" i="1"/>
  <c r="AX100" i="1"/>
  <c r="AY100" i="1"/>
  <c r="AZ100" i="1"/>
  <c r="BA100" i="1"/>
  <c r="F109" i="1"/>
  <c r="P109" i="1"/>
  <c r="G109" i="1"/>
  <c r="Q109" i="1"/>
  <c r="H109" i="1"/>
  <c r="R109" i="1"/>
  <c r="I109" i="1"/>
  <c r="S109" i="1"/>
  <c r="J109" i="1"/>
  <c r="T109" i="1"/>
  <c r="K109" i="1"/>
  <c r="U109" i="1"/>
  <c r="L109" i="1"/>
  <c r="V109" i="1"/>
  <c r="M109" i="1"/>
  <c r="W109" i="1"/>
  <c r="X109" i="1"/>
  <c r="Y109" i="1"/>
  <c r="Z109" i="1"/>
  <c r="AA109" i="1"/>
  <c r="AB109" i="1"/>
  <c r="AC109" i="1"/>
  <c r="AD109" i="1"/>
  <c r="AE109" i="1"/>
  <c r="AF109" i="1"/>
  <c r="AG109" i="1"/>
  <c r="AH109" i="1"/>
  <c r="AI109" i="1"/>
  <c r="AJ109" i="1"/>
  <c r="AK109" i="1"/>
  <c r="AL109" i="1"/>
  <c r="AM109" i="1"/>
  <c r="AN109" i="1"/>
  <c r="AO109" i="1"/>
  <c r="AP109" i="1"/>
  <c r="AQ109" i="1"/>
  <c r="AR109" i="1"/>
  <c r="AS109" i="1"/>
  <c r="AT109" i="1"/>
  <c r="AU109" i="1"/>
  <c r="AV109" i="1"/>
  <c r="AW109" i="1"/>
  <c r="AX109" i="1"/>
  <c r="AY109" i="1"/>
  <c r="AZ109" i="1"/>
  <c r="BA109" i="1"/>
  <c r="F108" i="1"/>
  <c r="F110" i="1"/>
  <c r="P108" i="1"/>
  <c r="P110" i="1"/>
  <c r="G108" i="1"/>
  <c r="G110" i="1"/>
  <c r="Q108" i="1"/>
  <c r="Q110" i="1"/>
  <c r="H108" i="1"/>
  <c r="H110" i="1"/>
  <c r="R108" i="1"/>
  <c r="R110" i="1"/>
  <c r="I108" i="1"/>
  <c r="I110" i="1"/>
  <c r="S108" i="1"/>
  <c r="S110" i="1"/>
  <c r="J108" i="1"/>
  <c r="J110" i="1"/>
  <c r="T108" i="1"/>
  <c r="T110" i="1"/>
  <c r="K108" i="1"/>
  <c r="K110" i="1"/>
  <c r="U108" i="1"/>
  <c r="U110" i="1"/>
  <c r="L108" i="1"/>
  <c r="L110" i="1"/>
  <c r="V108" i="1"/>
  <c r="V110" i="1"/>
  <c r="M108" i="1"/>
  <c r="M110" i="1"/>
  <c r="W108" i="1"/>
  <c r="W110" i="1"/>
  <c r="X108" i="1"/>
  <c r="X110" i="1"/>
  <c r="Y108" i="1"/>
  <c r="Y110" i="1"/>
  <c r="Z108" i="1"/>
  <c r="Z110" i="1"/>
  <c r="AA108" i="1"/>
  <c r="AA110" i="1"/>
  <c r="AB108" i="1"/>
  <c r="AB110" i="1"/>
  <c r="AC108" i="1"/>
  <c r="AC110" i="1"/>
  <c r="AD108" i="1"/>
  <c r="AD110" i="1"/>
  <c r="AE108" i="1"/>
  <c r="AE110" i="1"/>
  <c r="AF108" i="1"/>
  <c r="AF110" i="1"/>
  <c r="AG108" i="1"/>
  <c r="AG110" i="1"/>
  <c r="AH108" i="1"/>
  <c r="AH110" i="1"/>
  <c r="AI108" i="1"/>
  <c r="AI110" i="1"/>
  <c r="AJ108" i="1"/>
  <c r="AJ110" i="1"/>
  <c r="AK108" i="1"/>
  <c r="AK110" i="1"/>
  <c r="AL108" i="1"/>
  <c r="AL110" i="1"/>
  <c r="AM108" i="1"/>
  <c r="AM110" i="1"/>
  <c r="AN108" i="1"/>
  <c r="AN110" i="1"/>
  <c r="AO108" i="1"/>
  <c r="AO110" i="1"/>
  <c r="AP108" i="1"/>
  <c r="AP110" i="1"/>
  <c r="AQ108" i="1"/>
  <c r="AQ110" i="1"/>
  <c r="AR108" i="1"/>
  <c r="AR110" i="1"/>
  <c r="AS108" i="1"/>
  <c r="AS110" i="1"/>
  <c r="AT108" i="1"/>
  <c r="AT110" i="1"/>
  <c r="AU108" i="1"/>
  <c r="AU110" i="1"/>
  <c r="AV108" i="1"/>
  <c r="AV110" i="1"/>
  <c r="AW108" i="1"/>
  <c r="AW110" i="1"/>
  <c r="AX108" i="1"/>
  <c r="AX110" i="1"/>
  <c r="AY108" i="1"/>
  <c r="AY110" i="1"/>
  <c r="AZ108" i="1"/>
  <c r="AZ110" i="1"/>
  <c r="BA108" i="1"/>
  <c r="BA110" i="1"/>
  <c r="F112" i="1"/>
  <c r="P112" i="1"/>
  <c r="G112" i="1"/>
  <c r="Q112" i="1"/>
  <c r="H112" i="1"/>
  <c r="R112" i="1"/>
  <c r="I112" i="1"/>
  <c r="S112" i="1"/>
  <c r="J112" i="1"/>
  <c r="T112" i="1"/>
  <c r="K112" i="1"/>
  <c r="U112" i="1"/>
  <c r="L112" i="1"/>
  <c r="V112" i="1"/>
  <c r="M112" i="1"/>
  <c r="W112" i="1"/>
  <c r="X112" i="1"/>
  <c r="Y112" i="1"/>
  <c r="Z112" i="1"/>
  <c r="AA112" i="1"/>
  <c r="AB112" i="1"/>
  <c r="AC112" i="1"/>
  <c r="AD112" i="1"/>
  <c r="AE112" i="1"/>
  <c r="AF112" i="1"/>
  <c r="AG112" i="1"/>
  <c r="AH112" i="1"/>
  <c r="AI112" i="1"/>
  <c r="AJ112" i="1"/>
  <c r="AK112" i="1"/>
  <c r="AL112" i="1"/>
  <c r="AM112" i="1"/>
  <c r="AN112" i="1"/>
  <c r="AO112" i="1"/>
  <c r="AP112" i="1"/>
  <c r="AQ112" i="1"/>
  <c r="AR112" i="1"/>
  <c r="AS112" i="1"/>
  <c r="AT112" i="1"/>
  <c r="AU112" i="1"/>
  <c r="AV112" i="1"/>
  <c r="AW112" i="1"/>
  <c r="AX112" i="1"/>
  <c r="AY112" i="1"/>
  <c r="AZ112" i="1"/>
  <c r="BA112" i="1"/>
  <c r="F119" i="1"/>
  <c r="P119" i="1"/>
  <c r="G119" i="1"/>
  <c r="Q119" i="1"/>
  <c r="H119" i="1"/>
  <c r="R119" i="1"/>
  <c r="I119" i="1"/>
  <c r="S119" i="1"/>
  <c r="J119" i="1"/>
  <c r="T119" i="1"/>
  <c r="K119" i="1"/>
  <c r="U119" i="1"/>
  <c r="L119" i="1"/>
  <c r="V119" i="1"/>
  <c r="M119" i="1"/>
  <c r="W119" i="1"/>
  <c r="X119" i="1"/>
  <c r="Y119" i="1"/>
  <c r="Z119" i="1"/>
  <c r="AA119" i="1"/>
  <c r="AB119" i="1"/>
  <c r="AC119" i="1"/>
  <c r="AD119" i="1"/>
  <c r="AE119" i="1"/>
  <c r="AF119" i="1"/>
  <c r="AG119" i="1"/>
  <c r="AH119" i="1"/>
  <c r="AI119" i="1"/>
  <c r="AJ119" i="1"/>
  <c r="AK119" i="1"/>
  <c r="AL119" i="1"/>
  <c r="AM119" i="1"/>
  <c r="AN119" i="1"/>
  <c r="AO119" i="1"/>
  <c r="AP119" i="1"/>
  <c r="AQ119" i="1"/>
  <c r="AR119" i="1"/>
  <c r="AS119" i="1"/>
  <c r="AT119" i="1"/>
  <c r="AU119" i="1"/>
  <c r="AV119" i="1"/>
  <c r="AW119" i="1"/>
  <c r="AX119" i="1"/>
  <c r="AY119" i="1"/>
  <c r="AZ119" i="1"/>
  <c r="BA119" i="1"/>
  <c r="F122" i="1"/>
  <c r="P122" i="1"/>
  <c r="G122" i="1"/>
  <c r="Q122" i="1"/>
  <c r="H122" i="1"/>
  <c r="R122" i="1"/>
  <c r="I122" i="1"/>
  <c r="S122" i="1"/>
  <c r="J122" i="1"/>
  <c r="T122" i="1"/>
  <c r="K122" i="1"/>
  <c r="U122" i="1"/>
  <c r="L122" i="1"/>
  <c r="V122" i="1"/>
  <c r="M122" i="1"/>
  <c r="W122" i="1"/>
  <c r="X122" i="1"/>
  <c r="Y122" i="1"/>
  <c r="Z122" i="1"/>
  <c r="AA122" i="1"/>
  <c r="AB122" i="1"/>
  <c r="AC122" i="1"/>
  <c r="AD122" i="1"/>
  <c r="AE122" i="1"/>
  <c r="AF122" i="1"/>
  <c r="AG122" i="1"/>
  <c r="AH122" i="1"/>
  <c r="AI122" i="1"/>
  <c r="AJ122" i="1"/>
  <c r="AK122" i="1"/>
  <c r="AL122" i="1"/>
  <c r="AM122" i="1"/>
  <c r="AN122" i="1"/>
  <c r="AO122" i="1"/>
  <c r="AP122" i="1"/>
  <c r="AQ122" i="1"/>
  <c r="AR122" i="1"/>
  <c r="AS122" i="1"/>
  <c r="AT122" i="1"/>
  <c r="AU122" i="1"/>
  <c r="AV122" i="1"/>
  <c r="AW122" i="1"/>
  <c r="AX122" i="1"/>
  <c r="AY122" i="1"/>
  <c r="AZ122" i="1"/>
  <c r="BA122" i="1"/>
  <c r="F121" i="1"/>
  <c r="P121" i="1"/>
  <c r="G121" i="1"/>
  <c r="Q121" i="1"/>
  <c r="H121" i="1"/>
  <c r="R121" i="1"/>
  <c r="I121" i="1"/>
  <c r="S121" i="1"/>
  <c r="J121" i="1"/>
  <c r="T121" i="1"/>
  <c r="K121" i="1"/>
  <c r="U121" i="1"/>
  <c r="L121" i="1"/>
  <c r="V121" i="1"/>
  <c r="M121" i="1"/>
  <c r="W121" i="1"/>
  <c r="X121" i="1"/>
  <c r="Y121" i="1"/>
  <c r="Z121" i="1"/>
  <c r="AA121" i="1"/>
  <c r="AB121" i="1"/>
  <c r="AC121" i="1"/>
  <c r="AD121" i="1"/>
  <c r="AE121" i="1"/>
  <c r="AF121" i="1"/>
  <c r="AG121" i="1"/>
  <c r="AH121" i="1"/>
  <c r="AI121" i="1"/>
  <c r="AJ121" i="1"/>
  <c r="AK121" i="1"/>
  <c r="AL121" i="1"/>
  <c r="AM121" i="1"/>
  <c r="AN121" i="1"/>
  <c r="AO121" i="1"/>
  <c r="AP121" i="1"/>
  <c r="AQ121" i="1"/>
  <c r="AR121" i="1"/>
  <c r="AS121" i="1"/>
  <c r="AT121" i="1"/>
  <c r="AU121" i="1"/>
  <c r="AV121" i="1"/>
  <c r="AW121" i="1"/>
  <c r="AX121" i="1"/>
  <c r="AY121" i="1"/>
  <c r="AZ121" i="1"/>
  <c r="BA121" i="1"/>
  <c r="F124" i="1"/>
  <c r="F125" i="1"/>
  <c r="F123" i="1"/>
  <c r="P124" i="1"/>
  <c r="P125" i="1"/>
  <c r="P123" i="1"/>
  <c r="G124" i="1"/>
  <c r="G125" i="1"/>
  <c r="G123" i="1"/>
  <c r="Q124" i="1"/>
  <c r="Q125" i="1"/>
  <c r="Q123" i="1"/>
  <c r="H124" i="1"/>
  <c r="H125" i="1"/>
  <c r="H123" i="1"/>
  <c r="R124" i="1"/>
  <c r="R125" i="1"/>
  <c r="R123" i="1"/>
  <c r="I124" i="1"/>
  <c r="I125" i="1"/>
  <c r="I123" i="1"/>
  <c r="S124" i="1"/>
  <c r="S125" i="1"/>
  <c r="S123" i="1"/>
  <c r="J124" i="1"/>
  <c r="J125" i="1"/>
  <c r="J123" i="1"/>
  <c r="T124" i="1"/>
  <c r="T125" i="1"/>
  <c r="T123" i="1"/>
  <c r="K124" i="1"/>
  <c r="K125" i="1"/>
  <c r="K123" i="1"/>
  <c r="U124" i="1"/>
  <c r="U125" i="1"/>
  <c r="U123" i="1"/>
  <c r="L124" i="1"/>
  <c r="L125" i="1"/>
  <c r="L123" i="1"/>
  <c r="V124" i="1"/>
  <c r="V125" i="1"/>
  <c r="V123" i="1"/>
  <c r="M124" i="1"/>
  <c r="M125" i="1"/>
  <c r="M123" i="1"/>
  <c r="W124" i="1"/>
  <c r="W125" i="1"/>
  <c r="W123" i="1"/>
  <c r="X124" i="1"/>
  <c r="X125" i="1"/>
  <c r="X123" i="1"/>
  <c r="Y124" i="1"/>
  <c r="Y125" i="1"/>
  <c r="Y123" i="1"/>
  <c r="Z124" i="1"/>
  <c r="Z125" i="1"/>
  <c r="Z123" i="1"/>
  <c r="AA124" i="1"/>
  <c r="AA125" i="1"/>
  <c r="AA123" i="1"/>
  <c r="AB124" i="1"/>
  <c r="AB125" i="1"/>
  <c r="AB123" i="1"/>
  <c r="AC124" i="1"/>
  <c r="AC125" i="1"/>
  <c r="AC123" i="1"/>
  <c r="AD124" i="1"/>
  <c r="AD125" i="1"/>
  <c r="AD123" i="1"/>
  <c r="AE124" i="1"/>
  <c r="AE125" i="1"/>
  <c r="AE123" i="1"/>
  <c r="AF124" i="1"/>
  <c r="AF125" i="1"/>
  <c r="AF123" i="1"/>
  <c r="AG124" i="1"/>
  <c r="AG125" i="1"/>
  <c r="AG123" i="1"/>
  <c r="AH124" i="1"/>
  <c r="AH125" i="1"/>
  <c r="AH123" i="1"/>
  <c r="AI124" i="1"/>
  <c r="AI125" i="1"/>
  <c r="AI123" i="1"/>
  <c r="AJ124" i="1"/>
  <c r="AJ125" i="1"/>
  <c r="AJ123" i="1"/>
  <c r="AK124" i="1"/>
  <c r="AK125" i="1"/>
  <c r="AK123" i="1"/>
  <c r="AL124" i="1"/>
  <c r="AL125" i="1"/>
  <c r="AL123" i="1"/>
  <c r="AM124" i="1"/>
  <c r="AM125" i="1"/>
  <c r="AM123" i="1"/>
  <c r="AN124" i="1"/>
  <c r="AN125" i="1"/>
  <c r="AN123" i="1"/>
  <c r="AO124" i="1"/>
  <c r="AO125" i="1"/>
  <c r="AO123" i="1"/>
  <c r="AP124" i="1"/>
  <c r="AP125" i="1"/>
  <c r="AP123" i="1"/>
  <c r="AQ124" i="1"/>
  <c r="AQ125" i="1"/>
  <c r="AQ123" i="1"/>
  <c r="AR124" i="1"/>
  <c r="AR125" i="1"/>
  <c r="AR123" i="1"/>
  <c r="AS124" i="1"/>
  <c r="AS125" i="1"/>
  <c r="AS123" i="1"/>
  <c r="AT124" i="1"/>
  <c r="AT125" i="1"/>
  <c r="AT123" i="1"/>
  <c r="AU124" i="1"/>
  <c r="AU125" i="1"/>
  <c r="AU123" i="1"/>
  <c r="AV124" i="1"/>
  <c r="AV125" i="1"/>
  <c r="AV123" i="1"/>
  <c r="AW124" i="1"/>
  <c r="AW125" i="1"/>
  <c r="AW123" i="1"/>
  <c r="AX124" i="1"/>
  <c r="AX125" i="1"/>
  <c r="AX123" i="1"/>
  <c r="AY124" i="1"/>
  <c r="AY125" i="1"/>
  <c r="AY123" i="1"/>
  <c r="AZ124" i="1"/>
  <c r="AZ125" i="1"/>
  <c r="AZ123" i="1"/>
  <c r="BA124" i="1"/>
  <c r="BA125" i="1"/>
  <c r="BA123" i="1"/>
  <c r="F131" i="1"/>
  <c r="P131" i="1"/>
  <c r="G131" i="1"/>
  <c r="Q131" i="1"/>
  <c r="H131" i="1"/>
  <c r="R131" i="1"/>
  <c r="I131" i="1"/>
  <c r="S131" i="1"/>
  <c r="J131" i="1"/>
  <c r="T131" i="1"/>
  <c r="K131" i="1"/>
  <c r="U131" i="1"/>
  <c r="L131" i="1"/>
  <c r="V131" i="1"/>
  <c r="M131" i="1"/>
  <c r="W131" i="1"/>
  <c r="X131" i="1"/>
  <c r="Y131" i="1"/>
  <c r="Z131" i="1"/>
  <c r="AA131" i="1"/>
  <c r="AB131" i="1"/>
  <c r="AC131" i="1"/>
  <c r="AD131" i="1"/>
  <c r="AE131" i="1"/>
  <c r="AF131" i="1"/>
  <c r="AG131" i="1"/>
  <c r="AH131" i="1"/>
  <c r="AI131" i="1"/>
  <c r="AJ131" i="1"/>
  <c r="AK131" i="1"/>
  <c r="AL131" i="1"/>
  <c r="AM131" i="1"/>
  <c r="AN131" i="1"/>
  <c r="AO131" i="1"/>
  <c r="AP131" i="1"/>
  <c r="AQ131" i="1"/>
  <c r="AR131" i="1"/>
  <c r="AS131" i="1"/>
  <c r="AT131" i="1"/>
  <c r="AU131" i="1"/>
  <c r="AV131" i="1"/>
  <c r="AW131" i="1"/>
  <c r="AX131" i="1"/>
  <c r="AY131" i="1"/>
  <c r="AZ131" i="1"/>
  <c r="BA131" i="1"/>
  <c r="F136" i="1"/>
  <c r="P136" i="1"/>
  <c r="G136" i="1"/>
  <c r="Q136" i="1"/>
  <c r="H136" i="1"/>
  <c r="R136" i="1"/>
  <c r="I136" i="1"/>
  <c r="S136" i="1"/>
  <c r="J136" i="1"/>
  <c r="T136" i="1"/>
  <c r="K136" i="1"/>
  <c r="U136" i="1"/>
  <c r="L136" i="1"/>
  <c r="V136" i="1"/>
  <c r="M136" i="1"/>
  <c r="W136" i="1"/>
  <c r="X136" i="1"/>
  <c r="Y136" i="1"/>
  <c r="Z136" i="1"/>
  <c r="AA136" i="1"/>
  <c r="AB136" i="1"/>
  <c r="AC136" i="1"/>
  <c r="AD136" i="1"/>
  <c r="AE136" i="1"/>
  <c r="AF136" i="1"/>
  <c r="AG136" i="1"/>
  <c r="AH136" i="1"/>
  <c r="AI136" i="1"/>
  <c r="AJ136" i="1"/>
  <c r="AK136" i="1"/>
  <c r="AL136" i="1"/>
  <c r="AM136" i="1"/>
  <c r="AN136" i="1"/>
  <c r="AO136" i="1"/>
  <c r="AP136" i="1"/>
  <c r="AQ136" i="1"/>
  <c r="AR136" i="1"/>
  <c r="AS136" i="1"/>
  <c r="AT136" i="1"/>
  <c r="AU136" i="1"/>
  <c r="AV136" i="1"/>
  <c r="AW136" i="1"/>
  <c r="AX136" i="1"/>
  <c r="AY136" i="1"/>
  <c r="AZ136" i="1"/>
  <c r="BA136" i="1"/>
  <c r="F139" i="1"/>
  <c r="P139" i="1"/>
  <c r="G139" i="1"/>
  <c r="Q139" i="1"/>
  <c r="H139" i="1"/>
  <c r="R139" i="1"/>
  <c r="I139" i="1"/>
  <c r="S139" i="1"/>
  <c r="J139" i="1"/>
  <c r="T139" i="1"/>
  <c r="K139" i="1"/>
  <c r="U139" i="1"/>
  <c r="L139" i="1"/>
  <c r="V139" i="1"/>
  <c r="M139" i="1"/>
  <c r="W139" i="1"/>
  <c r="X139" i="1"/>
  <c r="Y139" i="1"/>
  <c r="Z139" i="1"/>
  <c r="AA139" i="1"/>
  <c r="AB139" i="1"/>
  <c r="AC139" i="1"/>
  <c r="AD139" i="1"/>
  <c r="AE139" i="1"/>
  <c r="AF139" i="1"/>
  <c r="AG139" i="1"/>
  <c r="AH139" i="1"/>
  <c r="AI139" i="1"/>
  <c r="AJ139" i="1"/>
  <c r="AK139" i="1"/>
  <c r="AL139" i="1"/>
  <c r="AM139" i="1"/>
  <c r="AN139" i="1"/>
  <c r="AO139" i="1"/>
  <c r="AP139" i="1"/>
  <c r="AQ139" i="1"/>
  <c r="AR139" i="1"/>
  <c r="AS139" i="1"/>
  <c r="AT139" i="1"/>
  <c r="AU139" i="1"/>
  <c r="AV139" i="1"/>
  <c r="AW139" i="1"/>
  <c r="AX139" i="1"/>
  <c r="AY139" i="1"/>
  <c r="AZ139" i="1"/>
  <c r="BA139" i="1"/>
  <c r="F138" i="1"/>
  <c r="P138" i="1"/>
  <c r="G138" i="1"/>
  <c r="Q138" i="1"/>
  <c r="H138" i="1"/>
  <c r="R138" i="1"/>
  <c r="I138" i="1"/>
  <c r="S138" i="1"/>
  <c r="J138" i="1"/>
  <c r="T138" i="1"/>
  <c r="K138" i="1"/>
  <c r="U138" i="1"/>
  <c r="L138" i="1"/>
  <c r="V138" i="1"/>
  <c r="M138" i="1"/>
  <c r="W138" i="1"/>
  <c r="X138" i="1"/>
  <c r="Y138" i="1"/>
  <c r="Z138" i="1"/>
  <c r="AA138" i="1"/>
  <c r="AB138" i="1"/>
  <c r="AC138" i="1"/>
  <c r="AD138" i="1"/>
  <c r="AE138" i="1"/>
  <c r="AF138" i="1"/>
  <c r="AG138" i="1"/>
  <c r="AH138" i="1"/>
  <c r="AI138" i="1"/>
  <c r="AJ138" i="1"/>
  <c r="AK138" i="1"/>
  <c r="AL138" i="1"/>
  <c r="AM138" i="1"/>
  <c r="AN138" i="1"/>
  <c r="AO138" i="1"/>
  <c r="AP138" i="1"/>
  <c r="AQ138" i="1"/>
  <c r="AR138" i="1"/>
  <c r="AS138" i="1"/>
  <c r="AT138" i="1"/>
  <c r="AU138" i="1"/>
  <c r="AV138" i="1"/>
  <c r="AW138" i="1"/>
  <c r="AX138" i="1"/>
  <c r="AY138" i="1"/>
  <c r="AZ138" i="1"/>
  <c r="BA138" i="1"/>
  <c r="F140" i="1"/>
  <c r="F137" i="1"/>
  <c r="P140" i="1"/>
  <c r="P137" i="1"/>
  <c r="G140" i="1"/>
  <c r="G137" i="1"/>
  <c r="Q140" i="1"/>
  <c r="Q137" i="1"/>
  <c r="H140" i="1"/>
  <c r="H137" i="1"/>
  <c r="R140" i="1"/>
  <c r="R137" i="1"/>
  <c r="I140" i="1"/>
  <c r="I137" i="1"/>
  <c r="S140" i="1"/>
  <c r="S137" i="1"/>
  <c r="J140" i="1"/>
  <c r="J137" i="1"/>
  <c r="T140" i="1"/>
  <c r="T137" i="1"/>
  <c r="K140" i="1"/>
  <c r="K137" i="1"/>
  <c r="U140" i="1"/>
  <c r="U137" i="1"/>
  <c r="L140" i="1"/>
  <c r="L137" i="1"/>
  <c r="V140" i="1"/>
  <c r="V137" i="1"/>
  <c r="M140" i="1"/>
  <c r="M137" i="1"/>
  <c r="W140" i="1"/>
  <c r="W137" i="1"/>
  <c r="X140" i="1"/>
  <c r="X137" i="1"/>
  <c r="Y140" i="1"/>
  <c r="Y137" i="1"/>
  <c r="Z140" i="1"/>
  <c r="Z137" i="1"/>
  <c r="AA140" i="1"/>
  <c r="AA137" i="1"/>
  <c r="AB140" i="1"/>
  <c r="AB137" i="1"/>
  <c r="AC140" i="1"/>
  <c r="AC137" i="1"/>
  <c r="AD140" i="1"/>
  <c r="AD137" i="1"/>
  <c r="AE140" i="1"/>
  <c r="AE137" i="1"/>
  <c r="AF140" i="1"/>
  <c r="AF137" i="1"/>
  <c r="AG140" i="1"/>
  <c r="AG137" i="1"/>
  <c r="AH140" i="1"/>
  <c r="AH137" i="1"/>
  <c r="AI140" i="1"/>
  <c r="AI137" i="1"/>
  <c r="AJ140" i="1"/>
  <c r="AJ137" i="1"/>
  <c r="AK140" i="1"/>
  <c r="AK137" i="1"/>
  <c r="AL140" i="1"/>
  <c r="AL137" i="1"/>
  <c r="AM140" i="1"/>
  <c r="AM137" i="1"/>
  <c r="AN140" i="1"/>
  <c r="AN137" i="1"/>
  <c r="AO140" i="1"/>
  <c r="AO137" i="1"/>
  <c r="AP140" i="1"/>
  <c r="AP137" i="1"/>
  <c r="AQ140" i="1"/>
  <c r="AQ137" i="1"/>
  <c r="AR140" i="1"/>
  <c r="AR137" i="1"/>
  <c r="AS140" i="1"/>
  <c r="AS137" i="1"/>
  <c r="AT140" i="1"/>
  <c r="AT137" i="1"/>
  <c r="AU140" i="1"/>
  <c r="AU137" i="1"/>
  <c r="AV140" i="1"/>
  <c r="AV137" i="1"/>
  <c r="AW140" i="1"/>
  <c r="AW137" i="1"/>
  <c r="AX140" i="1"/>
  <c r="AX137" i="1"/>
  <c r="AY140" i="1"/>
  <c r="AY137" i="1"/>
  <c r="AZ140" i="1"/>
  <c r="AZ137" i="1"/>
  <c r="BA140" i="1"/>
  <c r="BA137" i="1"/>
  <c r="F133" i="1"/>
  <c r="F134" i="1"/>
  <c r="F132" i="1"/>
  <c r="P133" i="1"/>
  <c r="P134" i="1"/>
  <c r="P132" i="1"/>
  <c r="G133" i="1"/>
  <c r="G134" i="1"/>
  <c r="G132" i="1"/>
  <c r="Q133" i="1"/>
  <c r="Q134" i="1"/>
  <c r="Q132" i="1"/>
  <c r="H133" i="1"/>
  <c r="H134" i="1"/>
  <c r="H132" i="1"/>
  <c r="R133" i="1"/>
  <c r="R134" i="1"/>
  <c r="R132" i="1"/>
  <c r="I133" i="1"/>
  <c r="I134" i="1"/>
  <c r="I132" i="1"/>
  <c r="S133" i="1"/>
  <c r="S134" i="1"/>
  <c r="S132" i="1"/>
  <c r="J133" i="1"/>
  <c r="J134" i="1"/>
  <c r="J132" i="1"/>
  <c r="T133" i="1"/>
  <c r="T134" i="1"/>
  <c r="T132" i="1"/>
  <c r="K133" i="1"/>
  <c r="K134" i="1"/>
  <c r="K132" i="1"/>
  <c r="U133" i="1"/>
  <c r="U134" i="1"/>
  <c r="U132" i="1"/>
  <c r="L133" i="1"/>
  <c r="L134" i="1"/>
  <c r="L132" i="1"/>
  <c r="V133" i="1"/>
  <c r="V134" i="1"/>
  <c r="V132" i="1"/>
  <c r="M133" i="1"/>
  <c r="M134" i="1"/>
  <c r="M132" i="1"/>
  <c r="W133" i="1"/>
  <c r="W134" i="1"/>
  <c r="W132" i="1"/>
  <c r="X133" i="1"/>
  <c r="X134" i="1"/>
  <c r="X132" i="1"/>
  <c r="Y133" i="1"/>
  <c r="Y134" i="1"/>
  <c r="Y132" i="1"/>
  <c r="Z133" i="1"/>
  <c r="Z134" i="1"/>
  <c r="Z132" i="1"/>
  <c r="AA133" i="1"/>
  <c r="AA134" i="1"/>
  <c r="AA132" i="1"/>
  <c r="AB133" i="1"/>
  <c r="AB134" i="1"/>
  <c r="AB132" i="1"/>
  <c r="AC133" i="1"/>
  <c r="AC134" i="1"/>
  <c r="AC132" i="1"/>
  <c r="AD133" i="1"/>
  <c r="AD134" i="1"/>
  <c r="AD132" i="1"/>
  <c r="AE133" i="1"/>
  <c r="AE134" i="1"/>
  <c r="AE132" i="1"/>
  <c r="AF133" i="1"/>
  <c r="AF134" i="1"/>
  <c r="AF132" i="1"/>
  <c r="AG133" i="1"/>
  <c r="AG134" i="1"/>
  <c r="AG132" i="1"/>
  <c r="AH133" i="1"/>
  <c r="AH134" i="1"/>
  <c r="AH132" i="1"/>
  <c r="AI133" i="1"/>
  <c r="AI134" i="1"/>
  <c r="AI132" i="1"/>
  <c r="AJ133" i="1"/>
  <c r="AJ134" i="1"/>
  <c r="AJ132" i="1"/>
  <c r="AK133" i="1"/>
  <c r="AK134" i="1"/>
  <c r="AK132" i="1"/>
  <c r="AL133" i="1"/>
  <c r="AL134" i="1"/>
  <c r="AL132" i="1"/>
  <c r="AM133" i="1"/>
  <c r="AM134" i="1"/>
  <c r="AM132" i="1"/>
  <c r="AN133" i="1"/>
  <c r="AN134" i="1"/>
  <c r="AN132" i="1"/>
  <c r="AO133" i="1"/>
  <c r="AO134" i="1"/>
  <c r="AO132" i="1"/>
  <c r="AP133" i="1"/>
  <c r="AP134" i="1"/>
  <c r="AP132" i="1"/>
  <c r="AQ133" i="1"/>
  <c r="AQ134" i="1"/>
  <c r="AQ132" i="1"/>
  <c r="AR133" i="1"/>
  <c r="AR134" i="1"/>
  <c r="AR132" i="1"/>
  <c r="AS133" i="1"/>
  <c r="AS134" i="1"/>
  <c r="AS132" i="1"/>
  <c r="AT133" i="1"/>
  <c r="AT134" i="1"/>
  <c r="AT132" i="1"/>
  <c r="AU133" i="1"/>
  <c r="AU134" i="1"/>
  <c r="AU132" i="1"/>
  <c r="AV133" i="1"/>
  <c r="AV134" i="1"/>
  <c r="AV132" i="1"/>
  <c r="AW133" i="1"/>
  <c r="AW134" i="1"/>
  <c r="AW132" i="1"/>
  <c r="AX133" i="1"/>
  <c r="AX134" i="1"/>
  <c r="AX132" i="1"/>
  <c r="AY133" i="1"/>
  <c r="AY134" i="1"/>
  <c r="AY132" i="1"/>
  <c r="AZ133" i="1"/>
  <c r="AZ134" i="1"/>
  <c r="AZ132" i="1"/>
  <c r="BA133" i="1"/>
  <c r="BA134" i="1"/>
  <c r="BA132" i="1"/>
  <c r="F144" i="1"/>
  <c r="P144" i="1"/>
  <c r="G144" i="1"/>
  <c r="Q144" i="1"/>
  <c r="H144" i="1"/>
  <c r="R144" i="1"/>
  <c r="I144" i="1"/>
  <c r="S144" i="1"/>
  <c r="J144" i="1"/>
  <c r="T144" i="1"/>
  <c r="K144" i="1"/>
  <c r="U144" i="1"/>
  <c r="L144" i="1"/>
  <c r="V144" i="1"/>
  <c r="M144" i="1"/>
  <c r="W144" i="1"/>
  <c r="X144" i="1"/>
  <c r="Y144" i="1"/>
  <c r="Z144" i="1"/>
  <c r="AA144" i="1"/>
  <c r="AB144" i="1"/>
  <c r="AC144" i="1"/>
  <c r="AD144" i="1"/>
  <c r="AE144" i="1"/>
  <c r="AF144" i="1"/>
  <c r="AG144" i="1"/>
  <c r="AH144" i="1"/>
  <c r="AI144" i="1"/>
  <c r="AJ144" i="1"/>
  <c r="AK144" i="1"/>
  <c r="AL144" i="1"/>
  <c r="AM144" i="1"/>
  <c r="AN144" i="1"/>
  <c r="AO144" i="1"/>
  <c r="AP144" i="1"/>
  <c r="AQ144" i="1"/>
  <c r="AR144" i="1"/>
  <c r="AS144" i="1"/>
  <c r="AT144" i="1"/>
  <c r="AU144" i="1"/>
  <c r="AV144" i="1"/>
  <c r="AW144" i="1"/>
  <c r="AX144" i="1"/>
  <c r="AY144" i="1"/>
  <c r="AZ144" i="1"/>
  <c r="BA144" i="1"/>
  <c r="F143" i="1"/>
  <c r="F145" i="1"/>
  <c r="P143" i="1"/>
  <c r="P145" i="1"/>
  <c r="G143" i="1"/>
  <c r="G145" i="1"/>
  <c r="Q143" i="1"/>
  <c r="Q145" i="1"/>
  <c r="H143" i="1"/>
  <c r="H145" i="1"/>
  <c r="R143" i="1"/>
  <c r="R145" i="1"/>
  <c r="I143" i="1"/>
  <c r="I145" i="1"/>
  <c r="S143" i="1"/>
  <c r="S145" i="1"/>
  <c r="J143" i="1"/>
  <c r="J145" i="1"/>
  <c r="T143" i="1"/>
  <c r="T145" i="1"/>
  <c r="K143" i="1"/>
  <c r="K145" i="1"/>
  <c r="U143" i="1"/>
  <c r="U145" i="1"/>
  <c r="L143" i="1"/>
  <c r="L145" i="1"/>
  <c r="V143" i="1"/>
  <c r="V145" i="1"/>
  <c r="M143" i="1"/>
  <c r="M145" i="1"/>
  <c r="W143" i="1"/>
  <c r="W145" i="1"/>
  <c r="X143" i="1"/>
  <c r="X145" i="1"/>
  <c r="Y143" i="1"/>
  <c r="Y145" i="1"/>
  <c r="Z143" i="1"/>
  <c r="Z145" i="1"/>
  <c r="AA143" i="1"/>
  <c r="AA145" i="1"/>
  <c r="AB143" i="1"/>
  <c r="AB145" i="1"/>
  <c r="AC143" i="1"/>
  <c r="AC145" i="1"/>
  <c r="AD143" i="1"/>
  <c r="AD145" i="1"/>
  <c r="AE143" i="1"/>
  <c r="AE145" i="1"/>
  <c r="AF143" i="1"/>
  <c r="AF145" i="1"/>
  <c r="AG143" i="1"/>
  <c r="AG145" i="1"/>
  <c r="AH143" i="1"/>
  <c r="AH145" i="1"/>
  <c r="AI143" i="1"/>
  <c r="AI145" i="1"/>
  <c r="AJ143" i="1"/>
  <c r="AJ145" i="1"/>
  <c r="AK143" i="1"/>
  <c r="AK145" i="1"/>
  <c r="AL143" i="1"/>
  <c r="AL145" i="1"/>
  <c r="AM143" i="1"/>
  <c r="AM145" i="1"/>
  <c r="AN143" i="1"/>
  <c r="AN145" i="1"/>
  <c r="AO143" i="1"/>
  <c r="AO145" i="1"/>
  <c r="AP143" i="1"/>
  <c r="AP145" i="1"/>
  <c r="AQ143" i="1"/>
  <c r="AQ145" i="1"/>
  <c r="AR143" i="1"/>
  <c r="AR145" i="1"/>
  <c r="AS143" i="1"/>
  <c r="AS145" i="1"/>
  <c r="AT143" i="1"/>
  <c r="AT145" i="1"/>
  <c r="AU143" i="1"/>
  <c r="AU145" i="1"/>
  <c r="AV143" i="1"/>
  <c r="AV145" i="1"/>
  <c r="AW143" i="1"/>
  <c r="AW145" i="1"/>
  <c r="AX143" i="1"/>
  <c r="AX145" i="1"/>
  <c r="AY143" i="1"/>
  <c r="AY145" i="1"/>
  <c r="AZ143" i="1"/>
  <c r="AZ145" i="1"/>
  <c r="BA143" i="1"/>
  <c r="BA145" i="1"/>
  <c r="F146" i="1"/>
  <c r="P146" i="1"/>
  <c r="G146" i="1"/>
  <c r="Q146" i="1"/>
  <c r="H146" i="1"/>
  <c r="R146" i="1"/>
  <c r="I146" i="1"/>
  <c r="S146" i="1"/>
  <c r="J146" i="1"/>
  <c r="T146" i="1"/>
  <c r="K146" i="1"/>
  <c r="U146" i="1"/>
  <c r="L146" i="1"/>
  <c r="V146" i="1"/>
  <c r="M146" i="1"/>
  <c r="W146" i="1"/>
  <c r="X146" i="1"/>
  <c r="Y146" i="1"/>
  <c r="Z146" i="1"/>
  <c r="AA146" i="1"/>
  <c r="AB146" i="1"/>
  <c r="AC146" i="1"/>
  <c r="AD146" i="1"/>
  <c r="AE146" i="1"/>
  <c r="AF146" i="1"/>
  <c r="AG146" i="1"/>
  <c r="AH146" i="1"/>
  <c r="AI146" i="1"/>
  <c r="AJ146" i="1"/>
  <c r="AK146" i="1"/>
  <c r="AL146" i="1"/>
  <c r="AM146" i="1"/>
  <c r="AN146" i="1"/>
  <c r="AO146" i="1"/>
  <c r="AP146" i="1"/>
  <c r="AQ146" i="1"/>
  <c r="AR146" i="1"/>
  <c r="AS146" i="1"/>
  <c r="AT146" i="1"/>
  <c r="AU146" i="1"/>
  <c r="AV146" i="1"/>
  <c r="AW146" i="1"/>
  <c r="AX146" i="1"/>
  <c r="AY146" i="1"/>
  <c r="AZ146" i="1"/>
  <c r="BA146" i="1"/>
  <c r="F156" i="1"/>
  <c r="P156" i="1"/>
  <c r="G156" i="1"/>
  <c r="Q156" i="1"/>
  <c r="H156" i="1"/>
  <c r="R156" i="1"/>
  <c r="I156" i="1"/>
  <c r="S156" i="1"/>
  <c r="J156" i="1"/>
  <c r="T156" i="1"/>
  <c r="K156" i="1"/>
  <c r="U156" i="1"/>
  <c r="L156" i="1"/>
  <c r="V156" i="1"/>
  <c r="M156" i="1"/>
  <c r="W156" i="1"/>
  <c r="X156" i="1"/>
  <c r="Y156" i="1"/>
  <c r="Z156" i="1"/>
  <c r="AA156" i="1"/>
  <c r="AB156" i="1"/>
  <c r="AC156" i="1"/>
  <c r="AD156" i="1"/>
  <c r="AE156" i="1"/>
  <c r="AF156" i="1"/>
  <c r="AG156" i="1"/>
  <c r="AH156" i="1"/>
  <c r="AI156" i="1"/>
  <c r="AJ156" i="1"/>
  <c r="AK156" i="1"/>
  <c r="AL156" i="1"/>
  <c r="AM156" i="1"/>
  <c r="AN156" i="1"/>
  <c r="AO156" i="1"/>
  <c r="AP156" i="1"/>
  <c r="AQ156" i="1"/>
  <c r="AR156" i="1"/>
  <c r="AS156" i="1"/>
  <c r="AT156" i="1"/>
  <c r="AU156" i="1"/>
  <c r="AV156" i="1"/>
  <c r="AW156" i="1"/>
  <c r="AX156" i="1"/>
  <c r="AY156" i="1"/>
  <c r="AZ156" i="1"/>
  <c r="BA156" i="1"/>
  <c r="F150" i="1"/>
  <c r="F151" i="1"/>
  <c r="F152" i="1"/>
  <c r="F153" i="1"/>
  <c r="F154" i="1"/>
  <c r="F149" i="1"/>
  <c r="F155" i="1"/>
  <c r="P150" i="1"/>
  <c r="P151" i="1"/>
  <c r="P152" i="1"/>
  <c r="P153" i="1"/>
  <c r="P154" i="1"/>
  <c r="P149" i="1"/>
  <c r="P155" i="1"/>
  <c r="G150" i="1"/>
  <c r="G151" i="1"/>
  <c r="G152" i="1"/>
  <c r="G153" i="1"/>
  <c r="G154" i="1"/>
  <c r="G149" i="1"/>
  <c r="G155" i="1"/>
  <c r="Q150" i="1"/>
  <c r="Q151" i="1"/>
  <c r="Q152" i="1"/>
  <c r="Q153" i="1"/>
  <c r="Q154" i="1"/>
  <c r="Q149" i="1"/>
  <c r="Q155" i="1"/>
  <c r="H150" i="1"/>
  <c r="H151" i="1"/>
  <c r="H152" i="1"/>
  <c r="H153" i="1"/>
  <c r="H154" i="1"/>
  <c r="H149" i="1"/>
  <c r="H155" i="1"/>
  <c r="R150" i="1"/>
  <c r="R151" i="1"/>
  <c r="R152" i="1"/>
  <c r="R153" i="1"/>
  <c r="R154" i="1"/>
  <c r="R149" i="1"/>
  <c r="R155" i="1"/>
  <c r="I150" i="1"/>
  <c r="I151" i="1"/>
  <c r="I152" i="1"/>
  <c r="I153" i="1"/>
  <c r="I154" i="1"/>
  <c r="I149" i="1"/>
  <c r="I155" i="1"/>
  <c r="S150" i="1"/>
  <c r="S151" i="1"/>
  <c r="S152" i="1"/>
  <c r="S153" i="1"/>
  <c r="S154" i="1"/>
  <c r="S149" i="1"/>
  <c r="S155" i="1"/>
  <c r="J150" i="1"/>
  <c r="J151" i="1"/>
  <c r="J152" i="1"/>
  <c r="J153" i="1"/>
  <c r="J154" i="1"/>
  <c r="J149" i="1"/>
  <c r="J155" i="1"/>
  <c r="T150" i="1"/>
  <c r="T151" i="1"/>
  <c r="T152" i="1"/>
  <c r="T153" i="1"/>
  <c r="T154" i="1"/>
  <c r="T149" i="1"/>
  <c r="T155" i="1"/>
  <c r="K150" i="1"/>
  <c r="K151" i="1"/>
  <c r="K152" i="1"/>
  <c r="K153" i="1"/>
  <c r="K154" i="1"/>
  <c r="K149" i="1"/>
  <c r="K155" i="1"/>
  <c r="U150" i="1"/>
  <c r="U151" i="1"/>
  <c r="U152" i="1"/>
  <c r="U153" i="1"/>
  <c r="U154" i="1"/>
  <c r="U149" i="1"/>
  <c r="U155" i="1"/>
  <c r="L150" i="1"/>
  <c r="L151" i="1"/>
  <c r="L152" i="1"/>
  <c r="L153" i="1"/>
  <c r="L154" i="1"/>
  <c r="L149" i="1"/>
  <c r="L155" i="1"/>
  <c r="V150" i="1"/>
  <c r="V151" i="1"/>
  <c r="V152" i="1"/>
  <c r="V153" i="1"/>
  <c r="V154" i="1"/>
  <c r="V149" i="1"/>
  <c r="V155" i="1"/>
  <c r="M150" i="1"/>
  <c r="M151" i="1"/>
  <c r="M152" i="1"/>
  <c r="M153" i="1"/>
  <c r="M154" i="1"/>
  <c r="M149" i="1"/>
  <c r="M155" i="1"/>
  <c r="W150" i="1"/>
  <c r="W151" i="1"/>
  <c r="W152" i="1"/>
  <c r="W153" i="1"/>
  <c r="W154" i="1"/>
  <c r="W149" i="1"/>
  <c r="W155" i="1"/>
  <c r="X150" i="1"/>
  <c r="X151" i="1"/>
  <c r="X152" i="1"/>
  <c r="X153" i="1"/>
  <c r="X154" i="1"/>
  <c r="X149" i="1"/>
  <c r="X155" i="1"/>
  <c r="Y150" i="1"/>
  <c r="Y151" i="1"/>
  <c r="Y152" i="1"/>
  <c r="Y153" i="1"/>
  <c r="Y154" i="1"/>
  <c r="Y149" i="1"/>
  <c r="Y155" i="1"/>
  <c r="Z150" i="1"/>
  <c r="Z151" i="1"/>
  <c r="Z152" i="1"/>
  <c r="Z153" i="1"/>
  <c r="Z154" i="1"/>
  <c r="Z149" i="1"/>
  <c r="Z155" i="1"/>
  <c r="AA150" i="1"/>
  <c r="AA151" i="1"/>
  <c r="AA152" i="1"/>
  <c r="AA153" i="1"/>
  <c r="AA154" i="1"/>
  <c r="AA149" i="1"/>
  <c r="AA155" i="1"/>
  <c r="AB150" i="1"/>
  <c r="AB151" i="1"/>
  <c r="AB152" i="1"/>
  <c r="AB153" i="1"/>
  <c r="AB154" i="1"/>
  <c r="AB149" i="1"/>
  <c r="AB155" i="1"/>
  <c r="AC150" i="1"/>
  <c r="AC151" i="1"/>
  <c r="AC152" i="1"/>
  <c r="AC153" i="1"/>
  <c r="AC154" i="1"/>
  <c r="AC149" i="1"/>
  <c r="AC155" i="1"/>
  <c r="AD150" i="1"/>
  <c r="AD151" i="1"/>
  <c r="AD152" i="1"/>
  <c r="AD153" i="1"/>
  <c r="AD154" i="1"/>
  <c r="AD149" i="1"/>
  <c r="AD155" i="1"/>
  <c r="AE150" i="1"/>
  <c r="AE151" i="1"/>
  <c r="AE152" i="1"/>
  <c r="AE153" i="1"/>
  <c r="AE154" i="1"/>
  <c r="AE149" i="1"/>
  <c r="AE155" i="1"/>
  <c r="AF150" i="1"/>
  <c r="AF151" i="1"/>
  <c r="AF152" i="1"/>
  <c r="AF153" i="1"/>
  <c r="AF154" i="1"/>
  <c r="AF149" i="1"/>
  <c r="AF155" i="1"/>
  <c r="AG150" i="1"/>
  <c r="AG151" i="1"/>
  <c r="AG152" i="1"/>
  <c r="AG153" i="1"/>
  <c r="AG154" i="1"/>
  <c r="AG149" i="1"/>
  <c r="AG155" i="1"/>
  <c r="AH150" i="1"/>
  <c r="AH151" i="1"/>
  <c r="AH152" i="1"/>
  <c r="AH153" i="1"/>
  <c r="AH154" i="1"/>
  <c r="AH149" i="1"/>
  <c r="AH155" i="1"/>
  <c r="AI150" i="1"/>
  <c r="AI151" i="1"/>
  <c r="AI152" i="1"/>
  <c r="AI153" i="1"/>
  <c r="AI154" i="1"/>
  <c r="AI149" i="1"/>
  <c r="AI155" i="1"/>
  <c r="AJ150" i="1"/>
  <c r="AJ151" i="1"/>
  <c r="AJ152" i="1"/>
  <c r="AJ153" i="1"/>
  <c r="AJ154" i="1"/>
  <c r="AJ149" i="1"/>
  <c r="AJ155" i="1"/>
  <c r="AK150" i="1"/>
  <c r="AK151" i="1"/>
  <c r="AK152" i="1"/>
  <c r="AK153" i="1"/>
  <c r="AK154" i="1"/>
  <c r="AK149" i="1"/>
  <c r="AK155" i="1"/>
  <c r="AL150" i="1"/>
  <c r="AL151" i="1"/>
  <c r="AL152" i="1"/>
  <c r="AL153" i="1"/>
  <c r="AL154" i="1"/>
  <c r="AL149" i="1"/>
  <c r="AL155" i="1"/>
  <c r="AM150" i="1"/>
  <c r="AM151" i="1"/>
  <c r="AM152" i="1"/>
  <c r="AM153" i="1"/>
  <c r="AM154" i="1"/>
  <c r="AM149" i="1"/>
  <c r="AM155" i="1"/>
  <c r="AN150" i="1"/>
  <c r="AN151" i="1"/>
  <c r="AN152" i="1"/>
  <c r="AN153" i="1"/>
  <c r="AN154" i="1"/>
  <c r="AN149" i="1"/>
  <c r="AN155" i="1"/>
  <c r="AO150" i="1"/>
  <c r="AO151" i="1"/>
  <c r="AO152" i="1"/>
  <c r="AO153" i="1"/>
  <c r="AO154" i="1"/>
  <c r="AO149" i="1"/>
  <c r="AO155" i="1"/>
  <c r="AP150" i="1"/>
  <c r="AP151" i="1"/>
  <c r="AP152" i="1"/>
  <c r="AP153" i="1"/>
  <c r="AP154" i="1"/>
  <c r="AP149" i="1"/>
  <c r="AP155" i="1"/>
  <c r="AQ150" i="1"/>
  <c r="AQ151" i="1"/>
  <c r="AQ152" i="1"/>
  <c r="AQ153" i="1"/>
  <c r="AQ154" i="1"/>
  <c r="AQ149" i="1"/>
  <c r="AQ155" i="1"/>
  <c r="AR150" i="1"/>
  <c r="AR151" i="1"/>
  <c r="AR152" i="1"/>
  <c r="AR153" i="1"/>
  <c r="AR154" i="1"/>
  <c r="AR149" i="1"/>
  <c r="AR155" i="1"/>
  <c r="AS150" i="1"/>
  <c r="AS151" i="1"/>
  <c r="AS152" i="1"/>
  <c r="AS153" i="1"/>
  <c r="AS154" i="1"/>
  <c r="AS149" i="1"/>
  <c r="AS155" i="1"/>
  <c r="AT150" i="1"/>
  <c r="AT151" i="1"/>
  <c r="AT152" i="1"/>
  <c r="AT153" i="1"/>
  <c r="AT154" i="1"/>
  <c r="AT149" i="1"/>
  <c r="AT155" i="1"/>
  <c r="AU150" i="1"/>
  <c r="AU151" i="1"/>
  <c r="AU152" i="1"/>
  <c r="AU153" i="1"/>
  <c r="AU154" i="1"/>
  <c r="AU149" i="1"/>
  <c r="AU155" i="1"/>
  <c r="AV150" i="1"/>
  <c r="AV151" i="1"/>
  <c r="AV152" i="1"/>
  <c r="AV153" i="1"/>
  <c r="AV154" i="1"/>
  <c r="AV149" i="1"/>
  <c r="AV155" i="1"/>
  <c r="AW150" i="1"/>
  <c r="AW151" i="1"/>
  <c r="AW152" i="1"/>
  <c r="AW153" i="1"/>
  <c r="AW154" i="1"/>
  <c r="AW149" i="1"/>
  <c r="AW155" i="1"/>
  <c r="AX150" i="1"/>
  <c r="AX151" i="1"/>
  <c r="AX152" i="1"/>
  <c r="AX153" i="1"/>
  <c r="AX154" i="1"/>
  <c r="AX149" i="1"/>
  <c r="AX155" i="1"/>
  <c r="AY150" i="1"/>
  <c r="AY151" i="1"/>
  <c r="AY152" i="1"/>
  <c r="AY153" i="1"/>
  <c r="AY154" i="1"/>
  <c r="AY149" i="1"/>
  <c r="AY155" i="1"/>
  <c r="AZ150" i="1"/>
  <c r="AZ151" i="1"/>
  <c r="AZ152" i="1"/>
  <c r="AZ153" i="1"/>
  <c r="AZ154" i="1"/>
  <c r="AZ149" i="1"/>
  <c r="AZ155" i="1"/>
  <c r="BA150" i="1"/>
  <c r="BA151" i="1"/>
  <c r="BA152" i="1"/>
  <c r="BA153" i="1"/>
  <c r="BA154" i="1"/>
  <c r="BA149" i="1"/>
  <c r="BA155" i="1"/>
  <c r="E150" i="1"/>
  <c r="E151" i="1"/>
  <c r="E152" i="1"/>
  <c r="E153" i="1"/>
  <c r="E154" i="1"/>
  <c r="E149" i="1"/>
  <c r="E155" i="1"/>
  <c r="O150" i="1"/>
  <c r="O151" i="1"/>
  <c r="O152" i="1"/>
  <c r="O153" i="1"/>
  <c r="O154" i="1"/>
  <c r="O149" i="1"/>
  <c r="O155" i="1"/>
  <c r="E156" i="1"/>
  <c r="O156" i="1"/>
  <c r="E146" i="1"/>
  <c r="O146" i="1"/>
  <c r="E143" i="1"/>
  <c r="E145" i="1"/>
  <c r="O143" i="1"/>
  <c r="O145" i="1"/>
  <c r="E144" i="1"/>
  <c r="O144" i="1"/>
  <c r="E133" i="1"/>
  <c r="E134" i="1"/>
  <c r="E132" i="1"/>
  <c r="O133" i="1"/>
  <c r="O134" i="1"/>
  <c r="O132" i="1"/>
  <c r="E140" i="1"/>
  <c r="E137" i="1"/>
  <c r="O140" i="1"/>
  <c r="O137" i="1"/>
  <c r="E138" i="1"/>
  <c r="O138" i="1"/>
  <c r="E139" i="1"/>
  <c r="O139" i="1"/>
  <c r="E136" i="1"/>
  <c r="O136" i="1"/>
  <c r="E131" i="1"/>
  <c r="O131" i="1"/>
  <c r="E124" i="1"/>
  <c r="E125" i="1"/>
  <c r="E123" i="1"/>
  <c r="O124" i="1"/>
  <c r="O125" i="1"/>
  <c r="O123" i="1"/>
  <c r="E121" i="1"/>
  <c r="O121" i="1"/>
  <c r="E122" i="1"/>
  <c r="O122" i="1"/>
  <c r="E119" i="1"/>
  <c r="O119" i="1"/>
  <c r="E112" i="1"/>
  <c r="O112" i="1"/>
  <c r="E108" i="1"/>
  <c r="E110" i="1"/>
  <c r="O108" i="1"/>
  <c r="O110" i="1"/>
  <c r="E109" i="1"/>
  <c r="O109" i="1"/>
  <c r="E100" i="1"/>
  <c r="O100" i="1"/>
  <c r="E96" i="1"/>
  <c r="O96" i="1"/>
  <c r="O64" i="1"/>
  <c r="O197" i="1"/>
  <c r="O51" i="1"/>
  <c r="O52" i="1"/>
  <c r="O53" i="1"/>
  <c r="O54" i="1"/>
  <c r="O65" i="1"/>
  <c r="O45" i="1"/>
  <c r="O42" i="1"/>
  <c r="E32" i="1"/>
  <c r="O33" i="1"/>
  <c r="O34" i="1"/>
  <c r="O35" i="1"/>
  <c r="O36" i="1"/>
  <c r="O37" i="1"/>
  <c r="O38" i="1"/>
  <c r="O32" i="1"/>
  <c r="O40" i="1"/>
  <c r="O28" i="1"/>
  <c r="O29" i="1"/>
  <c r="O27" i="1"/>
  <c r="E22" i="1"/>
  <c r="O23" i="1"/>
  <c r="O24" i="1"/>
  <c r="O25" i="1"/>
  <c r="O22" i="1"/>
  <c r="O19" i="1"/>
  <c r="E16" i="1"/>
  <c r="O17" i="1"/>
  <c r="O18" i="1"/>
  <c r="O16" i="1"/>
  <c r="E14" i="1"/>
  <c r="O14" i="1"/>
  <c r="D150" i="1"/>
  <c r="D151" i="1"/>
  <c r="D152" i="1"/>
  <c r="D153" i="1"/>
  <c r="D154" i="1"/>
  <c r="D149" i="1"/>
  <c r="D155" i="1"/>
  <c r="N150" i="1"/>
  <c r="N151" i="1"/>
  <c r="N152" i="1"/>
  <c r="N153" i="1"/>
  <c r="N154" i="1"/>
  <c r="N149" i="1"/>
  <c r="N155" i="1"/>
  <c r="D143" i="1"/>
  <c r="D145" i="1"/>
  <c r="N143" i="1"/>
  <c r="N145" i="1"/>
  <c r="D140" i="1"/>
  <c r="D137" i="1"/>
  <c r="N140" i="1"/>
  <c r="N137" i="1"/>
  <c r="D108" i="1"/>
  <c r="D110" i="1"/>
  <c r="N108" i="1"/>
  <c r="N110" i="1"/>
  <c r="D33" i="1"/>
  <c r="D34" i="1"/>
  <c r="D35" i="1"/>
  <c r="D36" i="1"/>
  <c r="D37" i="1"/>
  <c r="D38" i="1"/>
  <c r="D32" i="1"/>
  <c r="N33" i="1"/>
  <c r="N34" i="1"/>
  <c r="N35" i="1"/>
  <c r="N36" i="1"/>
  <c r="N37" i="1"/>
  <c r="N38" i="1"/>
  <c r="N32" i="1"/>
  <c r="D51" i="1"/>
  <c r="D52" i="1"/>
  <c r="D53" i="1"/>
  <c r="D54" i="1"/>
  <c r="N51" i="1"/>
  <c r="N52" i="1"/>
  <c r="N53" i="1"/>
  <c r="N54" i="1"/>
  <c r="D40" i="1"/>
  <c r="N40" i="1"/>
  <c r="D28" i="1"/>
  <c r="D29" i="1"/>
  <c r="N28" i="1"/>
  <c r="N29" i="1"/>
  <c r="N14" i="1"/>
  <c r="N17" i="1"/>
  <c r="N18" i="1"/>
  <c r="N16" i="1"/>
  <c r="N19" i="1"/>
  <c r="N23" i="1"/>
  <c r="N24" i="1"/>
  <c r="N25" i="1"/>
  <c r="N22" i="1"/>
  <c r="N27" i="1"/>
  <c r="N42" i="1"/>
  <c r="N45" i="1"/>
  <c r="N65" i="1"/>
  <c r="N197" i="1"/>
  <c r="N64" i="1"/>
  <c r="L50" i="1"/>
  <c r="M50" i="1"/>
  <c r="B50" i="1"/>
  <c r="P50" i="1"/>
  <c r="F50" i="1"/>
  <c r="H50" i="1"/>
  <c r="I50" i="1"/>
  <c r="Q50" i="1"/>
  <c r="G50" i="1"/>
  <c r="R50" i="1"/>
  <c r="S50" i="1"/>
  <c r="T50" i="1"/>
  <c r="J50" i="1"/>
  <c r="U50" i="1"/>
  <c r="K50" i="1"/>
  <c r="V50" i="1"/>
  <c r="W50" i="1"/>
  <c r="X50" i="1"/>
  <c r="E50" i="1"/>
  <c r="O50" i="1"/>
  <c r="N50" i="1"/>
  <c r="Z50" i="1"/>
  <c r="AA50" i="1"/>
  <c r="AB50" i="1"/>
  <c r="Y50" i="1"/>
  <c r="AC50" i="1"/>
  <c r="AD50" i="1"/>
  <c r="AE50" i="1"/>
  <c r="AF50" i="1"/>
  <c r="AG50" i="1"/>
  <c r="AI50" i="1"/>
  <c r="AJ50" i="1"/>
  <c r="AK50" i="1"/>
  <c r="AH50" i="1"/>
  <c r="AL50" i="1"/>
  <c r="AM50" i="1"/>
  <c r="AN50" i="1"/>
  <c r="AO50" i="1"/>
  <c r="AP50" i="1"/>
  <c r="AQ50" i="1"/>
  <c r="AR50" i="1"/>
  <c r="AS50" i="1"/>
  <c r="AT50" i="1"/>
  <c r="AU50" i="1"/>
  <c r="AV50" i="1"/>
  <c r="AX50" i="1"/>
  <c r="AY50" i="1"/>
  <c r="AZ50" i="1"/>
  <c r="AW50" i="1"/>
  <c r="BA50" i="1"/>
  <c r="N100" i="1"/>
  <c r="N109" i="1"/>
  <c r="N112" i="1"/>
  <c r="N119" i="1"/>
  <c r="N122" i="1"/>
  <c r="N121" i="1"/>
  <c r="N124" i="1"/>
  <c r="N125" i="1"/>
  <c r="N123" i="1"/>
  <c r="N131" i="1"/>
  <c r="N136" i="1"/>
  <c r="N139" i="1"/>
  <c r="N138" i="1"/>
  <c r="N133" i="1"/>
  <c r="N134" i="1"/>
  <c r="N132" i="1"/>
  <c r="N144" i="1"/>
  <c r="N146" i="1"/>
  <c r="N156" i="1"/>
  <c r="E43" i="1"/>
  <c r="O43" i="1"/>
  <c r="L43" i="1"/>
  <c r="M43" i="1"/>
  <c r="B43" i="1"/>
  <c r="P43" i="1"/>
  <c r="H43" i="1"/>
  <c r="I43" i="1"/>
  <c r="Q43" i="1"/>
  <c r="N43" i="1"/>
  <c r="E73" i="1"/>
  <c r="O73" i="1"/>
  <c r="L73" i="1"/>
  <c r="M73" i="1"/>
  <c r="B73" i="1"/>
  <c r="P73" i="1"/>
  <c r="H73" i="1"/>
  <c r="I73" i="1"/>
  <c r="Q73" i="1"/>
  <c r="N73" i="1"/>
  <c r="E194" i="1"/>
  <c r="O194" i="1"/>
  <c r="L194" i="1"/>
  <c r="M194" i="1"/>
  <c r="B194" i="1"/>
  <c r="P194" i="1"/>
  <c r="H194" i="1"/>
  <c r="I194" i="1"/>
  <c r="Q194" i="1"/>
  <c r="N194" i="1"/>
  <c r="E195" i="1"/>
  <c r="O195" i="1"/>
  <c r="L195" i="1"/>
  <c r="M195" i="1"/>
  <c r="B195" i="1"/>
  <c r="P195" i="1"/>
  <c r="H195" i="1"/>
  <c r="I195" i="1"/>
  <c r="Q195" i="1"/>
  <c r="N195" i="1"/>
  <c r="E196" i="1"/>
  <c r="O196" i="1"/>
  <c r="L196" i="1"/>
  <c r="M196" i="1"/>
  <c r="B196" i="1"/>
  <c r="P196" i="1"/>
  <c r="H196" i="1"/>
  <c r="I196" i="1"/>
  <c r="Q196" i="1"/>
  <c r="N196" i="1"/>
  <c r="E198" i="1"/>
  <c r="O198" i="1"/>
  <c r="L198" i="1"/>
  <c r="M198" i="1"/>
  <c r="B198" i="1"/>
  <c r="P198" i="1"/>
  <c r="H198" i="1"/>
  <c r="I198" i="1"/>
  <c r="Q198" i="1"/>
  <c r="N198" i="1"/>
  <c r="E199" i="1"/>
  <c r="O199" i="1"/>
  <c r="L199" i="1"/>
  <c r="M199" i="1"/>
  <c r="B199" i="1"/>
  <c r="P199" i="1"/>
  <c r="H199" i="1"/>
  <c r="I199" i="1"/>
  <c r="Q199" i="1"/>
  <c r="N199" i="1"/>
  <c r="E200" i="1"/>
  <c r="O200" i="1"/>
  <c r="L200" i="1"/>
  <c r="M200" i="1"/>
  <c r="B200" i="1"/>
  <c r="P200" i="1"/>
  <c r="H200" i="1"/>
  <c r="I200" i="1"/>
  <c r="Q200" i="1"/>
  <c r="N200" i="1"/>
  <c r="E201" i="1"/>
  <c r="O201" i="1"/>
  <c r="L201" i="1"/>
  <c r="M201" i="1"/>
  <c r="B201" i="1"/>
  <c r="P201" i="1"/>
  <c r="H201" i="1"/>
  <c r="I201" i="1"/>
  <c r="Q201" i="1"/>
  <c r="N201" i="1"/>
  <c r="E202" i="1"/>
  <c r="O202" i="1"/>
  <c r="L202" i="1"/>
  <c r="M202" i="1"/>
  <c r="B202" i="1"/>
  <c r="P202" i="1"/>
  <c r="H202" i="1"/>
  <c r="I202" i="1"/>
  <c r="Q202" i="1"/>
  <c r="N202" i="1"/>
  <c r="N203" i="1"/>
  <c r="E69" i="1"/>
  <c r="O69" i="1"/>
  <c r="L69" i="1"/>
  <c r="M69" i="1"/>
  <c r="B69" i="1"/>
  <c r="P69" i="1"/>
  <c r="H69" i="1"/>
  <c r="I69" i="1"/>
  <c r="Q69" i="1"/>
  <c r="N69" i="1"/>
  <c r="D96" i="1"/>
  <c r="N96" i="1"/>
  <c r="E46" i="1"/>
  <c r="O46" i="1"/>
  <c r="L46" i="1"/>
  <c r="M46" i="1"/>
  <c r="B46" i="1"/>
  <c r="P46" i="1"/>
  <c r="H46" i="1"/>
  <c r="I46" i="1"/>
  <c r="Q46" i="1"/>
  <c r="N46" i="1"/>
  <c r="N44" i="1"/>
  <c r="E55" i="1"/>
  <c r="O55" i="1"/>
  <c r="L55" i="1"/>
  <c r="M55" i="1"/>
  <c r="B55" i="1"/>
  <c r="P55" i="1"/>
  <c r="H55" i="1"/>
  <c r="I55" i="1"/>
  <c r="Q55" i="1"/>
  <c r="N55" i="1"/>
  <c r="E74" i="1"/>
  <c r="O74" i="1"/>
  <c r="L74" i="1"/>
  <c r="M74" i="1"/>
  <c r="B74" i="1"/>
  <c r="P74" i="1"/>
  <c r="H74" i="1"/>
  <c r="I74" i="1"/>
  <c r="Q74" i="1"/>
  <c r="N74" i="1"/>
  <c r="E204" i="1"/>
  <c r="O204" i="1"/>
  <c r="L204" i="1"/>
  <c r="M204" i="1"/>
  <c r="B204" i="1"/>
  <c r="P204" i="1"/>
  <c r="H204" i="1"/>
  <c r="I204" i="1"/>
  <c r="Q204" i="1"/>
  <c r="N204" i="1"/>
  <c r="E70" i="1"/>
  <c r="O70" i="1"/>
  <c r="L70" i="1"/>
  <c r="M70" i="1"/>
  <c r="B70" i="1"/>
  <c r="P70" i="1"/>
  <c r="H70" i="1"/>
  <c r="I70" i="1"/>
  <c r="Q70" i="1"/>
  <c r="N70" i="1"/>
  <c r="D100" i="1"/>
  <c r="E75" i="1"/>
  <c r="O75" i="1"/>
  <c r="L75" i="1"/>
  <c r="M75" i="1"/>
  <c r="B75" i="1"/>
  <c r="P75" i="1"/>
  <c r="H75" i="1"/>
  <c r="I75" i="1"/>
  <c r="Q75" i="1"/>
  <c r="N75" i="1"/>
  <c r="E205" i="1"/>
  <c r="O205" i="1"/>
  <c r="L205" i="1"/>
  <c r="M205" i="1"/>
  <c r="B205" i="1"/>
  <c r="P205" i="1"/>
  <c r="H205" i="1"/>
  <c r="I205" i="1"/>
  <c r="Q205" i="1"/>
  <c r="N205" i="1"/>
  <c r="E71" i="1"/>
  <c r="O71" i="1"/>
  <c r="L71" i="1"/>
  <c r="M71" i="1"/>
  <c r="B71" i="1"/>
  <c r="P71" i="1"/>
  <c r="H71" i="1"/>
  <c r="I71" i="1"/>
  <c r="Q71" i="1"/>
  <c r="N71" i="1"/>
  <c r="M101" i="1"/>
  <c r="N101" i="1"/>
  <c r="D109" i="1"/>
  <c r="N57" i="1"/>
  <c r="E76" i="1"/>
  <c r="O76" i="1"/>
  <c r="L76" i="1"/>
  <c r="M76" i="1"/>
  <c r="B76" i="1"/>
  <c r="P76" i="1"/>
  <c r="H76" i="1"/>
  <c r="I76" i="1"/>
  <c r="Q76" i="1"/>
  <c r="N76" i="1"/>
  <c r="E206" i="1"/>
  <c r="O206" i="1"/>
  <c r="L206" i="1"/>
  <c r="M206" i="1"/>
  <c r="B206" i="1"/>
  <c r="P206" i="1"/>
  <c r="H206" i="1"/>
  <c r="I206" i="1"/>
  <c r="Q206" i="1"/>
  <c r="N206" i="1"/>
  <c r="E72" i="1"/>
  <c r="O72" i="1"/>
  <c r="L72" i="1"/>
  <c r="M72" i="1"/>
  <c r="B72" i="1"/>
  <c r="P72" i="1"/>
  <c r="H72" i="1"/>
  <c r="I72" i="1"/>
  <c r="Q72" i="1"/>
  <c r="N72" i="1"/>
  <c r="E39" i="1"/>
  <c r="O39" i="1"/>
  <c r="L39" i="1"/>
  <c r="M39" i="1"/>
  <c r="B39" i="1"/>
  <c r="P39" i="1"/>
  <c r="H39" i="1"/>
  <c r="I39" i="1"/>
  <c r="Q39" i="1"/>
  <c r="N39" i="1"/>
  <c r="M102" i="1"/>
  <c r="N102" i="1"/>
  <c r="E47" i="1"/>
  <c r="O47" i="1"/>
  <c r="L47" i="1"/>
  <c r="M47" i="1"/>
  <c r="B47" i="1"/>
  <c r="P47" i="1"/>
  <c r="H47" i="1"/>
  <c r="I47" i="1"/>
  <c r="Q47" i="1"/>
  <c r="N47" i="1"/>
  <c r="E207" i="1"/>
  <c r="O207" i="1"/>
  <c r="L207" i="1"/>
  <c r="M207" i="1"/>
  <c r="B207" i="1"/>
  <c r="P207" i="1"/>
  <c r="H207" i="1"/>
  <c r="I207" i="1"/>
  <c r="Q207" i="1"/>
  <c r="N207" i="1"/>
  <c r="M103" i="1"/>
  <c r="N103" i="1"/>
  <c r="M111" i="1"/>
  <c r="N111" i="1"/>
  <c r="D112" i="1"/>
  <c r="E48" i="1"/>
  <c r="O48" i="1"/>
  <c r="L48" i="1"/>
  <c r="M48" i="1"/>
  <c r="B48" i="1"/>
  <c r="P48" i="1"/>
  <c r="H48" i="1"/>
  <c r="I48" i="1"/>
  <c r="Q48" i="1"/>
  <c r="N48" i="1"/>
  <c r="N59" i="1"/>
  <c r="E78" i="1"/>
  <c r="O78" i="1"/>
  <c r="L78" i="1"/>
  <c r="M78" i="1"/>
  <c r="B78" i="1"/>
  <c r="P78" i="1"/>
  <c r="H78" i="1"/>
  <c r="I78" i="1"/>
  <c r="Q78" i="1"/>
  <c r="N78" i="1"/>
  <c r="E208" i="1"/>
  <c r="O208" i="1"/>
  <c r="L208" i="1"/>
  <c r="M208" i="1"/>
  <c r="B208" i="1"/>
  <c r="P208" i="1"/>
  <c r="H208" i="1"/>
  <c r="I208" i="1"/>
  <c r="Q208" i="1"/>
  <c r="N208" i="1"/>
  <c r="E41" i="1"/>
  <c r="O41" i="1"/>
  <c r="L41" i="1"/>
  <c r="M41" i="1"/>
  <c r="B41" i="1"/>
  <c r="P41" i="1"/>
  <c r="H41" i="1"/>
  <c r="I41" i="1"/>
  <c r="Q41" i="1"/>
  <c r="N41" i="1"/>
  <c r="M104" i="1"/>
  <c r="N104" i="1"/>
  <c r="M113" i="1"/>
  <c r="N113" i="1"/>
  <c r="D119" i="1"/>
  <c r="E49" i="1"/>
  <c r="O49" i="1"/>
  <c r="L49" i="1"/>
  <c r="M49" i="1"/>
  <c r="B49" i="1"/>
  <c r="P49" i="1"/>
  <c r="H49" i="1"/>
  <c r="I49" i="1"/>
  <c r="Q49" i="1"/>
  <c r="N49" i="1"/>
  <c r="N60" i="1"/>
  <c r="E79" i="1"/>
  <c r="O79" i="1"/>
  <c r="L79" i="1"/>
  <c r="M79" i="1"/>
  <c r="B79" i="1"/>
  <c r="P79" i="1"/>
  <c r="H79" i="1"/>
  <c r="I79" i="1"/>
  <c r="Q79" i="1"/>
  <c r="N79" i="1"/>
  <c r="E209" i="1"/>
  <c r="O209" i="1"/>
  <c r="L209" i="1"/>
  <c r="M209" i="1"/>
  <c r="B209" i="1"/>
  <c r="P209" i="1"/>
  <c r="H209" i="1"/>
  <c r="I209" i="1"/>
  <c r="Q209" i="1"/>
  <c r="N209" i="1"/>
  <c r="M105" i="1"/>
  <c r="N105" i="1"/>
  <c r="M114" i="1"/>
  <c r="N114" i="1"/>
  <c r="M120" i="1"/>
  <c r="N120" i="1"/>
  <c r="D122" i="1"/>
  <c r="E80" i="1"/>
  <c r="O80" i="1"/>
  <c r="L80" i="1"/>
  <c r="M80" i="1"/>
  <c r="B80" i="1"/>
  <c r="P80" i="1"/>
  <c r="H80" i="1"/>
  <c r="I80" i="1"/>
  <c r="Q80" i="1"/>
  <c r="N80" i="1"/>
  <c r="E210" i="1"/>
  <c r="O210" i="1"/>
  <c r="L210" i="1"/>
  <c r="M210" i="1"/>
  <c r="B210" i="1"/>
  <c r="P210" i="1"/>
  <c r="H210" i="1"/>
  <c r="I210" i="1"/>
  <c r="Q210" i="1"/>
  <c r="N210" i="1"/>
  <c r="M106" i="1"/>
  <c r="N106" i="1"/>
  <c r="M115" i="1"/>
  <c r="N115" i="1"/>
  <c r="D121" i="1"/>
  <c r="E62" i="1"/>
  <c r="O62" i="1"/>
  <c r="L62" i="1"/>
  <c r="M62" i="1"/>
  <c r="B62" i="1"/>
  <c r="P62" i="1"/>
  <c r="H62" i="1"/>
  <c r="I62" i="1"/>
  <c r="Q62" i="1"/>
  <c r="N62" i="1"/>
  <c r="E81" i="1"/>
  <c r="O81" i="1"/>
  <c r="L81" i="1"/>
  <c r="M81" i="1"/>
  <c r="B81" i="1"/>
  <c r="P81" i="1"/>
  <c r="H81" i="1"/>
  <c r="I81" i="1"/>
  <c r="Q81" i="1"/>
  <c r="N81" i="1"/>
  <c r="N211" i="1"/>
  <c r="M107" i="1"/>
  <c r="N107" i="1"/>
  <c r="M116" i="1"/>
  <c r="N116" i="1"/>
  <c r="E63" i="1"/>
  <c r="O63" i="1"/>
  <c r="L63" i="1"/>
  <c r="M63" i="1"/>
  <c r="B63" i="1"/>
  <c r="P63" i="1"/>
  <c r="H63" i="1"/>
  <c r="I63" i="1"/>
  <c r="Q63" i="1"/>
  <c r="N63" i="1"/>
  <c r="E82" i="1"/>
  <c r="O82" i="1"/>
  <c r="L82" i="1"/>
  <c r="M82" i="1"/>
  <c r="B82" i="1"/>
  <c r="P82" i="1"/>
  <c r="H82" i="1"/>
  <c r="I82" i="1"/>
  <c r="Q82" i="1"/>
  <c r="N82" i="1"/>
  <c r="E212" i="1"/>
  <c r="O212" i="1"/>
  <c r="L212" i="1"/>
  <c r="M212" i="1"/>
  <c r="B212" i="1"/>
  <c r="P212" i="1"/>
  <c r="H212" i="1"/>
  <c r="I212" i="1"/>
  <c r="Q212" i="1"/>
  <c r="N212" i="1"/>
  <c r="M117" i="1"/>
  <c r="N117" i="1"/>
  <c r="D124" i="1"/>
  <c r="D125" i="1"/>
  <c r="D123" i="1"/>
  <c r="E83" i="1"/>
  <c r="O83" i="1"/>
  <c r="L83" i="1"/>
  <c r="M83" i="1"/>
  <c r="B83" i="1"/>
  <c r="P83" i="1"/>
  <c r="H83" i="1"/>
  <c r="I83" i="1"/>
  <c r="Q83" i="1"/>
  <c r="N83" i="1"/>
  <c r="N173" i="1"/>
  <c r="E180" i="1"/>
  <c r="O180" i="1"/>
  <c r="L180" i="1"/>
  <c r="M180" i="1"/>
  <c r="B180" i="1"/>
  <c r="P180" i="1"/>
  <c r="H180" i="1"/>
  <c r="I180" i="1"/>
  <c r="Q180" i="1"/>
  <c r="N180" i="1"/>
  <c r="E181" i="1"/>
  <c r="O181" i="1"/>
  <c r="L181" i="1"/>
  <c r="M181" i="1"/>
  <c r="B181" i="1"/>
  <c r="P181" i="1"/>
  <c r="H181" i="1"/>
  <c r="I181" i="1"/>
  <c r="Q181" i="1"/>
  <c r="N181" i="1"/>
  <c r="E182" i="1"/>
  <c r="O182" i="1"/>
  <c r="L182" i="1"/>
  <c r="M182" i="1"/>
  <c r="B182" i="1"/>
  <c r="P182" i="1"/>
  <c r="H182" i="1"/>
  <c r="I182" i="1"/>
  <c r="Q182" i="1"/>
  <c r="N182" i="1"/>
  <c r="E183" i="1"/>
  <c r="O183" i="1"/>
  <c r="L183" i="1"/>
  <c r="M183" i="1"/>
  <c r="B183" i="1"/>
  <c r="P183" i="1"/>
  <c r="H183" i="1"/>
  <c r="I183" i="1"/>
  <c r="Q183" i="1"/>
  <c r="N183" i="1"/>
  <c r="E184" i="1"/>
  <c r="O184" i="1"/>
  <c r="L184" i="1"/>
  <c r="M184" i="1"/>
  <c r="B184" i="1"/>
  <c r="P184" i="1"/>
  <c r="H184" i="1"/>
  <c r="I184" i="1"/>
  <c r="Q184" i="1"/>
  <c r="N184" i="1"/>
  <c r="E185" i="1"/>
  <c r="O185" i="1"/>
  <c r="L185" i="1"/>
  <c r="M185" i="1"/>
  <c r="B185" i="1"/>
  <c r="P185" i="1"/>
  <c r="H185" i="1"/>
  <c r="I185" i="1"/>
  <c r="Q185" i="1"/>
  <c r="N185" i="1"/>
  <c r="E186" i="1"/>
  <c r="O186" i="1"/>
  <c r="L186" i="1"/>
  <c r="M186" i="1"/>
  <c r="B186" i="1"/>
  <c r="P186" i="1"/>
  <c r="H186" i="1"/>
  <c r="I186" i="1"/>
  <c r="Q186" i="1"/>
  <c r="N186" i="1"/>
  <c r="E187" i="1"/>
  <c r="O187" i="1"/>
  <c r="L187" i="1"/>
  <c r="M187" i="1"/>
  <c r="B187" i="1"/>
  <c r="P187" i="1"/>
  <c r="H187" i="1"/>
  <c r="I187" i="1"/>
  <c r="Q187" i="1"/>
  <c r="N187" i="1"/>
  <c r="E188" i="1"/>
  <c r="O188" i="1"/>
  <c r="L188" i="1"/>
  <c r="M188" i="1"/>
  <c r="B188" i="1"/>
  <c r="P188" i="1"/>
  <c r="H188" i="1"/>
  <c r="I188" i="1"/>
  <c r="Q188" i="1"/>
  <c r="N188" i="1"/>
  <c r="E189" i="1"/>
  <c r="O189" i="1"/>
  <c r="L189" i="1"/>
  <c r="M189" i="1"/>
  <c r="B189" i="1"/>
  <c r="P189" i="1"/>
  <c r="H189" i="1"/>
  <c r="I189" i="1"/>
  <c r="Q189" i="1"/>
  <c r="N189" i="1"/>
  <c r="E190" i="1"/>
  <c r="O190" i="1"/>
  <c r="L190" i="1"/>
  <c r="M190" i="1"/>
  <c r="B190" i="1"/>
  <c r="P190" i="1"/>
  <c r="H190" i="1"/>
  <c r="I190" i="1"/>
  <c r="Q190" i="1"/>
  <c r="N190" i="1"/>
  <c r="N191" i="1"/>
  <c r="E192" i="1"/>
  <c r="O192" i="1"/>
  <c r="L192" i="1"/>
  <c r="M192" i="1"/>
  <c r="B192" i="1"/>
  <c r="P192" i="1"/>
  <c r="H192" i="1"/>
  <c r="I192" i="1"/>
  <c r="Q192" i="1"/>
  <c r="N192" i="1"/>
  <c r="N193" i="1"/>
  <c r="N213" i="1"/>
  <c r="M118" i="1"/>
  <c r="N118" i="1"/>
  <c r="M126" i="1"/>
  <c r="N126" i="1"/>
  <c r="D131" i="1"/>
  <c r="E84" i="1"/>
  <c r="O84" i="1"/>
  <c r="L84" i="1"/>
  <c r="M84" i="1"/>
  <c r="B84" i="1"/>
  <c r="P84" i="1"/>
  <c r="H84" i="1"/>
  <c r="I84" i="1"/>
  <c r="Q84" i="1"/>
  <c r="N84" i="1"/>
  <c r="E214" i="1"/>
  <c r="O214" i="1"/>
  <c r="L214" i="1"/>
  <c r="M214" i="1"/>
  <c r="B214" i="1"/>
  <c r="P214" i="1"/>
  <c r="H214" i="1"/>
  <c r="I214" i="1"/>
  <c r="Q214" i="1"/>
  <c r="N214" i="1"/>
  <c r="M127" i="1"/>
  <c r="N127" i="1"/>
  <c r="D136" i="1"/>
  <c r="E66" i="1"/>
  <c r="O66" i="1"/>
  <c r="L66" i="1"/>
  <c r="M66" i="1"/>
  <c r="B66" i="1"/>
  <c r="P66" i="1"/>
  <c r="H66" i="1"/>
  <c r="I66" i="1"/>
  <c r="Q66" i="1"/>
  <c r="N66" i="1"/>
  <c r="E85" i="1"/>
  <c r="O85" i="1"/>
  <c r="L85" i="1"/>
  <c r="M85" i="1"/>
  <c r="B85" i="1"/>
  <c r="P85" i="1"/>
  <c r="H85" i="1"/>
  <c r="I85" i="1"/>
  <c r="Q85" i="1"/>
  <c r="N85" i="1"/>
  <c r="N215" i="1"/>
  <c r="E86" i="1"/>
  <c r="O86" i="1"/>
  <c r="L86" i="1"/>
  <c r="M86" i="1"/>
  <c r="B86" i="1"/>
  <c r="P86" i="1"/>
  <c r="H86" i="1"/>
  <c r="I86" i="1"/>
  <c r="Q86" i="1"/>
  <c r="N86" i="1"/>
  <c r="E20" i="1"/>
  <c r="O20" i="1"/>
  <c r="L20" i="1"/>
  <c r="M20" i="1"/>
  <c r="B20" i="1"/>
  <c r="P20" i="1"/>
  <c r="H20" i="1"/>
  <c r="I20" i="1"/>
  <c r="Q20" i="1"/>
  <c r="N20" i="1"/>
  <c r="N129" i="1"/>
  <c r="D139" i="1"/>
  <c r="E68" i="1"/>
  <c r="O68" i="1"/>
  <c r="L68" i="1"/>
  <c r="M68" i="1"/>
  <c r="B68" i="1"/>
  <c r="P68" i="1"/>
  <c r="H68" i="1"/>
  <c r="I68" i="1"/>
  <c r="Q68" i="1"/>
  <c r="N68" i="1"/>
  <c r="E21" i="1"/>
  <c r="O21" i="1"/>
  <c r="L21" i="1"/>
  <c r="M21" i="1"/>
  <c r="B21" i="1"/>
  <c r="P21" i="1"/>
  <c r="H21" i="1"/>
  <c r="I21" i="1"/>
  <c r="Q21" i="1"/>
  <c r="N21" i="1"/>
  <c r="N93" i="1"/>
  <c r="N217" i="1"/>
  <c r="M135" i="1"/>
  <c r="N135" i="1"/>
  <c r="D138" i="1"/>
  <c r="M141" i="1"/>
  <c r="N141" i="1"/>
  <c r="M142" i="1"/>
  <c r="N142" i="1"/>
  <c r="D133" i="1"/>
  <c r="D134" i="1"/>
  <c r="D132" i="1"/>
  <c r="D144" i="1"/>
  <c r="D146" i="1"/>
  <c r="M147" i="1"/>
  <c r="N147" i="1"/>
  <c r="D156" i="1"/>
  <c r="M148" i="1"/>
  <c r="N148" i="1"/>
  <c r="M157" i="1"/>
  <c r="N157" i="1"/>
  <c r="D50" i="1"/>
  <c r="D19" i="1"/>
  <c r="D23" i="1"/>
  <c r="D24" i="1"/>
  <c r="D25" i="1"/>
  <c r="D22" i="1"/>
  <c r="D27" i="1"/>
  <c r="D42" i="1"/>
  <c r="D45" i="1"/>
  <c r="D65" i="1"/>
  <c r="D197" i="1"/>
  <c r="D64" i="1"/>
  <c r="D17" i="1"/>
  <c r="D18" i="1"/>
  <c r="D16" i="1"/>
  <c r="R20" i="1"/>
  <c r="S20" i="1"/>
  <c r="T20" i="1"/>
  <c r="U20" i="1"/>
  <c r="V20" i="1"/>
  <c r="W20" i="1"/>
  <c r="Z20" i="1"/>
  <c r="X20" i="1"/>
  <c r="AA20" i="1"/>
  <c r="AB20" i="1"/>
  <c r="Y20" i="1"/>
  <c r="AC20" i="1"/>
  <c r="AD20" i="1"/>
  <c r="AE20" i="1"/>
  <c r="AF20" i="1"/>
  <c r="AG20" i="1"/>
  <c r="AI20" i="1"/>
  <c r="AJ20" i="1"/>
  <c r="AK20" i="1"/>
  <c r="AH20" i="1"/>
  <c r="AL20" i="1"/>
  <c r="AM20" i="1"/>
  <c r="AN20" i="1"/>
  <c r="AO20" i="1"/>
  <c r="AP20" i="1"/>
  <c r="AQ20" i="1"/>
  <c r="AR20" i="1"/>
  <c r="AS20" i="1"/>
  <c r="AT20" i="1"/>
  <c r="AU20" i="1"/>
  <c r="AV20" i="1"/>
  <c r="AX20" i="1"/>
  <c r="AY20" i="1"/>
  <c r="AZ20" i="1"/>
  <c r="AW20" i="1"/>
  <c r="BA20" i="1"/>
  <c r="R21" i="1"/>
  <c r="S21" i="1"/>
  <c r="T21" i="1"/>
  <c r="U21" i="1"/>
  <c r="V21" i="1"/>
  <c r="W21" i="1"/>
  <c r="Z21" i="1"/>
  <c r="X21" i="1"/>
  <c r="AA21" i="1"/>
  <c r="AB21" i="1"/>
  <c r="Y21" i="1"/>
  <c r="AC21" i="1"/>
  <c r="AD21" i="1"/>
  <c r="AE21" i="1"/>
  <c r="AF21" i="1"/>
  <c r="AG21" i="1"/>
  <c r="AI21" i="1"/>
  <c r="AJ21" i="1"/>
  <c r="AK21" i="1"/>
  <c r="AH21" i="1"/>
  <c r="AL21" i="1"/>
  <c r="AM21" i="1"/>
  <c r="AN21" i="1"/>
  <c r="AO21" i="1"/>
  <c r="AP21" i="1"/>
  <c r="AQ21" i="1"/>
  <c r="AR21" i="1"/>
  <c r="AS21" i="1"/>
  <c r="AT21" i="1"/>
  <c r="AU21" i="1"/>
  <c r="AV21" i="1"/>
  <c r="AX21" i="1"/>
  <c r="AY21" i="1"/>
  <c r="AZ21" i="1"/>
  <c r="AW21" i="1"/>
  <c r="BA21" i="1"/>
  <c r="P26" i="1"/>
  <c r="L30" i="1"/>
  <c r="M30" i="1"/>
  <c r="B30" i="1"/>
  <c r="P30" i="1"/>
  <c r="Q26" i="1"/>
  <c r="H30" i="1"/>
  <c r="I30" i="1"/>
  <c r="Q30" i="1"/>
  <c r="R26" i="1"/>
  <c r="R30" i="1"/>
  <c r="S26" i="1"/>
  <c r="S30" i="1"/>
  <c r="T26" i="1"/>
  <c r="T30" i="1"/>
  <c r="U26" i="1"/>
  <c r="U30" i="1"/>
  <c r="V26" i="1"/>
  <c r="V30" i="1"/>
  <c r="W26" i="1"/>
  <c r="W30" i="1"/>
  <c r="X26" i="1"/>
  <c r="E30" i="1"/>
  <c r="Z30" i="1"/>
  <c r="X30" i="1"/>
  <c r="AA30" i="1"/>
  <c r="AB30" i="1"/>
  <c r="Y30" i="1"/>
  <c r="Y26" i="1"/>
  <c r="Z26" i="1"/>
  <c r="AA26" i="1"/>
  <c r="AB26" i="1"/>
  <c r="AC30" i="1"/>
  <c r="AD30" i="1"/>
  <c r="AE30" i="1"/>
  <c r="AC26" i="1"/>
  <c r="AD26" i="1"/>
  <c r="AE26" i="1"/>
  <c r="AF26" i="1"/>
  <c r="AF30" i="1"/>
  <c r="AG26" i="1"/>
  <c r="AG30" i="1"/>
  <c r="AH26" i="1"/>
  <c r="AI30" i="1"/>
  <c r="AJ30" i="1"/>
  <c r="AK30" i="1"/>
  <c r="AH30" i="1"/>
  <c r="AI26" i="1"/>
  <c r="AJ26" i="1"/>
  <c r="AK26" i="1"/>
  <c r="AL26" i="1"/>
  <c r="AL30" i="1"/>
  <c r="AM26" i="1"/>
  <c r="AM30" i="1"/>
  <c r="AN26" i="1"/>
  <c r="AN30" i="1"/>
  <c r="AO26" i="1"/>
  <c r="AO30" i="1"/>
  <c r="AP26" i="1"/>
  <c r="AP30" i="1"/>
  <c r="AQ26" i="1"/>
  <c r="AQ30" i="1"/>
  <c r="AR26" i="1"/>
  <c r="AR30" i="1"/>
  <c r="AS26" i="1"/>
  <c r="AS30" i="1"/>
  <c r="AT26" i="1"/>
  <c r="AT30" i="1"/>
  <c r="AU26" i="1"/>
  <c r="AU30" i="1"/>
  <c r="AV26" i="1"/>
  <c r="AV30" i="1"/>
  <c r="AW26" i="1"/>
  <c r="AX30" i="1"/>
  <c r="AY30" i="1"/>
  <c r="AZ30" i="1"/>
  <c r="AW30" i="1"/>
  <c r="AX26" i="1"/>
  <c r="AY26" i="1"/>
  <c r="AZ26" i="1"/>
  <c r="BA26" i="1"/>
  <c r="BA30" i="1"/>
  <c r="L31" i="1"/>
  <c r="M31" i="1"/>
  <c r="B31" i="1"/>
  <c r="P31" i="1"/>
  <c r="H31" i="1"/>
  <c r="I31" i="1"/>
  <c r="Q31" i="1"/>
  <c r="R31" i="1"/>
  <c r="S31" i="1"/>
  <c r="T31" i="1"/>
  <c r="U31" i="1"/>
  <c r="V31" i="1"/>
  <c r="W31" i="1"/>
  <c r="E31" i="1"/>
  <c r="Z31" i="1"/>
  <c r="X31" i="1"/>
  <c r="AA31" i="1"/>
  <c r="AB31" i="1"/>
  <c r="Y31" i="1"/>
  <c r="AC31" i="1"/>
  <c r="AD31" i="1"/>
  <c r="AE31" i="1"/>
  <c r="AF31" i="1"/>
  <c r="AG31" i="1"/>
  <c r="AI31" i="1"/>
  <c r="AJ31" i="1"/>
  <c r="AK31" i="1"/>
  <c r="AH31" i="1"/>
  <c r="AL31" i="1"/>
  <c r="AM31" i="1"/>
  <c r="AN31" i="1"/>
  <c r="AO31" i="1"/>
  <c r="AP31" i="1"/>
  <c r="AQ31" i="1"/>
  <c r="AR31" i="1"/>
  <c r="AS31" i="1"/>
  <c r="AT31" i="1"/>
  <c r="AU31" i="1"/>
  <c r="AV31" i="1"/>
  <c r="AX31" i="1"/>
  <c r="AY31" i="1"/>
  <c r="AZ31" i="1"/>
  <c r="AW31" i="1"/>
  <c r="BA31" i="1"/>
  <c r="R43" i="1"/>
  <c r="S43" i="1"/>
  <c r="T43" i="1"/>
  <c r="U43" i="1"/>
  <c r="V43" i="1"/>
  <c r="W43" i="1"/>
  <c r="Z43" i="1"/>
  <c r="X43" i="1"/>
  <c r="AA43" i="1"/>
  <c r="AB43" i="1"/>
  <c r="Y43" i="1"/>
  <c r="AC43" i="1"/>
  <c r="AD43" i="1"/>
  <c r="AE43" i="1"/>
  <c r="AF43" i="1"/>
  <c r="AG43" i="1"/>
  <c r="AI43" i="1"/>
  <c r="AJ43" i="1"/>
  <c r="AK43" i="1"/>
  <c r="AH43" i="1"/>
  <c r="AL43" i="1"/>
  <c r="AM43" i="1"/>
  <c r="AN43" i="1"/>
  <c r="AO43" i="1"/>
  <c r="AP43" i="1"/>
  <c r="AQ43" i="1"/>
  <c r="AR43" i="1"/>
  <c r="AS43" i="1"/>
  <c r="AT43" i="1"/>
  <c r="AU43" i="1"/>
  <c r="AV43" i="1"/>
  <c r="AX43" i="1"/>
  <c r="AY43" i="1"/>
  <c r="AZ43" i="1"/>
  <c r="AW43" i="1"/>
  <c r="BA43" i="1"/>
  <c r="P44" i="1"/>
  <c r="Q44" i="1"/>
  <c r="R46" i="1"/>
  <c r="R44" i="1"/>
  <c r="S46" i="1"/>
  <c r="S44" i="1"/>
  <c r="T46" i="1"/>
  <c r="T44" i="1"/>
  <c r="U46" i="1"/>
  <c r="U44" i="1"/>
  <c r="V46" i="1"/>
  <c r="V44" i="1"/>
  <c r="W46" i="1"/>
  <c r="W44" i="1"/>
  <c r="Z46" i="1"/>
  <c r="X46" i="1"/>
  <c r="AA46" i="1"/>
  <c r="AB46" i="1"/>
  <c r="Y46" i="1"/>
  <c r="X44" i="1"/>
  <c r="Y44" i="1"/>
  <c r="Z44" i="1"/>
  <c r="AA44" i="1"/>
  <c r="AC46" i="1"/>
  <c r="AD46" i="1"/>
  <c r="AE46" i="1"/>
  <c r="AB44" i="1"/>
  <c r="AC44" i="1"/>
  <c r="AD44" i="1"/>
  <c r="AE44" i="1"/>
  <c r="AF46" i="1"/>
  <c r="AF44" i="1"/>
  <c r="AG46" i="1"/>
  <c r="AG44" i="1"/>
  <c r="AI46" i="1"/>
  <c r="AJ46" i="1"/>
  <c r="AK46" i="1"/>
  <c r="AH46" i="1"/>
  <c r="AH44" i="1"/>
  <c r="AI44" i="1"/>
  <c r="AJ44" i="1"/>
  <c r="AK44" i="1"/>
  <c r="AL46" i="1"/>
  <c r="AL44" i="1"/>
  <c r="AM46" i="1"/>
  <c r="AM44" i="1"/>
  <c r="AN46" i="1"/>
  <c r="AN44" i="1"/>
  <c r="AO46" i="1"/>
  <c r="AO44" i="1"/>
  <c r="AP46" i="1"/>
  <c r="AP44" i="1"/>
  <c r="AQ46" i="1"/>
  <c r="AQ44" i="1"/>
  <c r="AR46" i="1"/>
  <c r="AR44" i="1"/>
  <c r="AS46" i="1"/>
  <c r="AS44" i="1"/>
  <c r="AT46" i="1"/>
  <c r="AT44" i="1"/>
  <c r="AU46" i="1"/>
  <c r="AU44" i="1"/>
  <c r="AV46" i="1"/>
  <c r="AV44" i="1"/>
  <c r="AX46" i="1"/>
  <c r="AY46" i="1"/>
  <c r="AZ46" i="1"/>
  <c r="AW46" i="1"/>
  <c r="AW44" i="1"/>
  <c r="AX44" i="1"/>
  <c r="AY44" i="1"/>
  <c r="AZ44" i="1"/>
  <c r="BA46" i="1"/>
  <c r="BA44" i="1"/>
  <c r="R39" i="1"/>
  <c r="R47" i="1"/>
  <c r="R66" i="1"/>
  <c r="S39" i="1"/>
  <c r="S47" i="1"/>
  <c r="S66" i="1"/>
  <c r="T39" i="1"/>
  <c r="T47" i="1"/>
  <c r="T66" i="1"/>
  <c r="U39" i="1"/>
  <c r="U47" i="1"/>
  <c r="U66" i="1"/>
  <c r="V39" i="1"/>
  <c r="V47" i="1"/>
  <c r="V66" i="1"/>
  <c r="W39" i="1"/>
  <c r="W47" i="1"/>
  <c r="W66" i="1"/>
  <c r="Z39" i="1"/>
  <c r="X39" i="1"/>
  <c r="AA39" i="1"/>
  <c r="AB39" i="1"/>
  <c r="Y39" i="1"/>
  <c r="Z47" i="1"/>
  <c r="X47" i="1"/>
  <c r="AA47" i="1"/>
  <c r="AB47" i="1"/>
  <c r="Y47" i="1"/>
  <c r="Z66" i="1"/>
  <c r="X66" i="1"/>
  <c r="AA66" i="1"/>
  <c r="AB66" i="1"/>
  <c r="Y66" i="1"/>
  <c r="AC39" i="1"/>
  <c r="AD39" i="1"/>
  <c r="AE39" i="1"/>
  <c r="AC47" i="1"/>
  <c r="AD47" i="1"/>
  <c r="AE47" i="1"/>
  <c r="AC66" i="1"/>
  <c r="AD66" i="1"/>
  <c r="AE66" i="1"/>
  <c r="AF39" i="1"/>
  <c r="AF47" i="1"/>
  <c r="AF66" i="1"/>
  <c r="AG39" i="1"/>
  <c r="AG47" i="1"/>
  <c r="AG66" i="1"/>
  <c r="AI39" i="1"/>
  <c r="AJ39" i="1"/>
  <c r="AK39" i="1"/>
  <c r="AH39" i="1"/>
  <c r="AI47" i="1"/>
  <c r="AJ47" i="1"/>
  <c r="AK47" i="1"/>
  <c r="AH47" i="1"/>
  <c r="AI66" i="1"/>
  <c r="AJ66" i="1"/>
  <c r="AK66" i="1"/>
  <c r="AH66" i="1"/>
  <c r="AL39" i="1"/>
  <c r="AL47" i="1"/>
  <c r="AL66" i="1"/>
  <c r="AM39" i="1"/>
  <c r="AM47" i="1"/>
  <c r="AM66" i="1"/>
  <c r="AN39" i="1"/>
  <c r="AN47" i="1"/>
  <c r="AN66" i="1"/>
  <c r="AO39" i="1"/>
  <c r="AO47" i="1"/>
  <c r="AO66" i="1"/>
  <c r="AP39" i="1"/>
  <c r="AP47" i="1"/>
  <c r="AP66" i="1"/>
  <c r="AQ39" i="1"/>
  <c r="AQ47" i="1"/>
  <c r="AQ66" i="1"/>
  <c r="AR39" i="1"/>
  <c r="AR47" i="1"/>
  <c r="AR66" i="1"/>
  <c r="AS39" i="1"/>
  <c r="AS47" i="1"/>
  <c r="AS66" i="1"/>
  <c r="AT39" i="1"/>
  <c r="AT47" i="1"/>
  <c r="AT66" i="1"/>
  <c r="AU39" i="1"/>
  <c r="AU47" i="1"/>
  <c r="AU66" i="1"/>
  <c r="AV39" i="1"/>
  <c r="AV47" i="1"/>
  <c r="AV66" i="1"/>
  <c r="AX39" i="1"/>
  <c r="AY39" i="1"/>
  <c r="AZ39" i="1"/>
  <c r="AW39" i="1"/>
  <c r="AX47" i="1"/>
  <c r="AY47" i="1"/>
  <c r="AZ47" i="1"/>
  <c r="AW47" i="1"/>
  <c r="AX66" i="1"/>
  <c r="AY66" i="1"/>
  <c r="AZ66" i="1"/>
  <c r="AW66" i="1"/>
  <c r="BA39" i="1"/>
  <c r="BA47" i="1"/>
  <c r="BA66" i="1"/>
  <c r="R48" i="1"/>
  <c r="S48" i="1"/>
  <c r="T48" i="1"/>
  <c r="U48" i="1"/>
  <c r="V48" i="1"/>
  <c r="W48" i="1"/>
  <c r="Z48" i="1"/>
  <c r="X48" i="1"/>
  <c r="AA48" i="1"/>
  <c r="AB48" i="1"/>
  <c r="Y48" i="1"/>
  <c r="AC48" i="1"/>
  <c r="AD48" i="1"/>
  <c r="AE48" i="1"/>
  <c r="AF48" i="1"/>
  <c r="AG48" i="1"/>
  <c r="AI48" i="1"/>
  <c r="AJ48" i="1"/>
  <c r="AK48" i="1"/>
  <c r="AH48" i="1"/>
  <c r="AL48" i="1"/>
  <c r="AM48" i="1"/>
  <c r="AN48" i="1"/>
  <c r="AO48" i="1"/>
  <c r="AP48" i="1"/>
  <c r="AQ48" i="1"/>
  <c r="AR48" i="1"/>
  <c r="AS48" i="1"/>
  <c r="AT48" i="1"/>
  <c r="AU48" i="1"/>
  <c r="AV48" i="1"/>
  <c r="AX48" i="1"/>
  <c r="AY48" i="1"/>
  <c r="AZ48" i="1"/>
  <c r="AW48" i="1"/>
  <c r="BA48" i="1"/>
  <c r="R41" i="1"/>
  <c r="R49" i="1"/>
  <c r="R68" i="1"/>
  <c r="R198" i="1"/>
  <c r="S41" i="1"/>
  <c r="S49" i="1"/>
  <c r="S68" i="1"/>
  <c r="S198" i="1"/>
  <c r="T41" i="1"/>
  <c r="T49" i="1"/>
  <c r="T68" i="1"/>
  <c r="T198" i="1"/>
  <c r="U41" i="1"/>
  <c r="U49" i="1"/>
  <c r="U68" i="1"/>
  <c r="U198" i="1"/>
  <c r="V41" i="1"/>
  <c r="V49" i="1"/>
  <c r="V68" i="1"/>
  <c r="V198" i="1"/>
  <c r="W41" i="1"/>
  <c r="W49" i="1"/>
  <c r="W68" i="1"/>
  <c r="W198" i="1"/>
  <c r="Z41" i="1"/>
  <c r="X41" i="1"/>
  <c r="AA41" i="1"/>
  <c r="AB41" i="1"/>
  <c r="Y41" i="1"/>
  <c r="Z49" i="1"/>
  <c r="X49" i="1"/>
  <c r="AA49" i="1"/>
  <c r="AB49" i="1"/>
  <c r="Y49" i="1"/>
  <c r="Z68" i="1"/>
  <c r="X68" i="1"/>
  <c r="AA68" i="1"/>
  <c r="AB68" i="1"/>
  <c r="Y68" i="1"/>
  <c r="Z198" i="1"/>
  <c r="X198" i="1"/>
  <c r="AA198" i="1"/>
  <c r="AB198" i="1"/>
  <c r="Y198" i="1"/>
  <c r="AC41" i="1"/>
  <c r="AD41" i="1"/>
  <c r="AE41" i="1"/>
  <c r="AC49" i="1"/>
  <c r="AD49" i="1"/>
  <c r="AE49" i="1"/>
  <c r="AC68" i="1"/>
  <c r="AD68" i="1"/>
  <c r="AE68" i="1"/>
  <c r="AC198" i="1"/>
  <c r="AD198" i="1"/>
  <c r="AE198" i="1"/>
  <c r="AF41" i="1"/>
  <c r="AF49" i="1"/>
  <c r="AF68" i="1"/>
  <c r="AF198" i="1"/>
  <c r="AG41" i="1"/>
  <c r="AG49" i="1"/>
  <c r="AG68" i="1"/>
  <c r="AG198" i="1"/>
  <c r="AI41" i="1"/>
  <c r="AJ41" i="1"/>
  <c r="AK41" i="1"/>
  <c r="AH41" i="1"/>
  <c r="AI49" i="1"/>
  <c r="AJ49" i="1"/>
  <c r="AK49" i="1"/>
  <c r="AH49" i="1"/>
  <c r="AI68" i="1"/>
  <c r="AJ68" i="1"/>
  <c r="AK68" i="1"/>
  <c r="AH68" i="1"/>
  <c r="AI198" i="1"/>
  <c r="AJ198" i="1"/>
  <c r="AK198" i="1"/>
  <c r="AH198" i="1"/>
  <c r="AL41" i="1"/>
  <c r="AL49" i="1"/>
  <c r="AL68" i="1"/>
  <c r="AL198" i="1"/>
  <c r="AM41" i="1"/>
  <c r="AM49" i="1"/>
  <c r="AM68" i="1"/>
  <c r="AM198" i="1"/>
  <c r="AN41" i="1"/>
  <c r="AN49" i="1"/>
  <c r="AN68" i="1"/>
  <c r="AN198" i="1"/>
  <c r="AO41" i="1"/>
  <c r="AO49" i="1"/>
  <c r="AO68" i="1"/>
  <c r="AO198" i="1"/>
  <c r="AP41" i="1"/>
  <c r="AP49" i="1"/>
  <c r="AP68" i="1"/>
  <c r="AP198" i="1"/>
  <c r="AQ41" i="1"/>
  <c r="AQ49" i="1"/>
  <c r="AQ68" i="1"/>
  <c r="AQ198" i="1"/>
  <c r="AR41" i="1"/>
  <c r="AR49" i="1"/>
  <c r="AR68" i="1"/>
  <c r="AR198" i="1"/>
  <c r="AS41" i="1"/>
  <c r="AS49" i="1"/>
  <c r="AS68" i="1"/>
  <c r="AS198" i="1"/>
  <c r="AT41" i="1"/>
  <c r="AT49" i="1"/>
  <c r="AT68" i="1"/>
  <c r="AT198" i="1"/>
  <c r="AU41" i="1"/>
  <c r="AU49" i="1"/>
  <c r="AU68" i="1"/>
  <c r="AU198" i="1"/>
  <c r="AV41" i="1"/>
  <c r="AV49" i="1"/>
  <c r="AV68" i="1"/>
  <c r="AV198" i="1"/>
  <c r="AX41" i="1"/>
  <c r="AY41" i="1"/>
  <c r="AZ41" i="1"/>
  <c r="AW41" i="1"/>
  <c r="AX49" i="1"/>
  <c r="AY49" i="1"/>
  <c r="AZ49" i="1"/>
  <c r="AW49" i="1"/>
  <c r="AX68" i="1"/>
  <c r="AY68" i="1"/>
  <c r="AZ68" i="1"/>
  <c r="AW68" i="1"/>
  <c r="AX198" i="1"/>
  <c r="AY198" i="1"/>
  <c r="AZ198" i="1"/>
  <c r="AW198" i="1"/>
  <c r="BA41" i="1"/>
  <c r="BA49" i="1"/>
  <c r="BA68" i="1"/>
  <c r="BA198" i="1"/>
  <c r="R72" i="1"/>
  <c r="R202" i="1"/>
  <c r="S72" i="1"/>
  <c r="S202" i="1"/>
  <c r="T72" i="1"/>
  <c r="T202" i="1"/>
  <c r="U72" i="1"/>
  <c r="U202" i="1"/>
  <c r="V72" i="1"/>
  <c r="V202" i="1"/>
  <c r="W72" i="1"/>
  <c r="W202" i="1"/>
  <c r="Z72" i="1"/>
  <c r="X72" i="1"/>
  <c r="AA72" i="1"/>
  <c r="AB72" i="1"/>
  <c r="Y72" i="1"/>
  <c r="Z202" i="1"/>
  <c r="X202" i="1"/>
  <c r="AA202" i="1"/>
  <c r="AB202" i="1"/>
  <c r="Y202" i="1"/>
  <c r="AC72" i="1"/>
  <c r="AD72" i="1"/>
  <c r="AE72" i="1"/>
  <c r="AC202" i="1"/>
  <c r="AD202" i="1"/>
  <c r="AE202" i="1"/>
  <c r="AF72" i="1"/>
  <c r="AF202" i="1"/>
  <c r="AG72" i="1"/>
  <c r="AG202" i="1"/>
  <c r="AI72" i="1"/>
  <c r="AJ72" i="1"/>
  <c r="AK72" i="1"/>
  <c r="AH72" i="1"/>
  <c r="AI202" i="1"/>
  <c r="AJ202" i="1"/>
  <c r="AK202" i="1"/>
  <c r="AH202" i="1"/>
  <c r="AL72" i="1"/>
  <c r="AL202" i="1"/>
  <c r="AM72" i="1"/>
  <c r="AM202" i="1"/>
  <c r="AN72" i="1"/>
  <c r="AN202" i="1"/>
  <c r="AO72" i="1"/>
  <c r="AO202" i="1"/>
  <c r="AP72" i="1"/>
  <c r="AP202" i="1"/>
  <c r="AQ72" i="1"/>
  <c r="AQ202" i="1"/>
  <c r="AR72" i="1"/>
  <c r="AR202" i="1"/>
  <c r="AS72" i="1"/>
  <c r="AS202" i="1"/>
  <c r="AT72" i="1"/>
  <c r="AT202" i="1"/>
  <c r="AU72" i="1"/>
  <c r="AU202" i="1"/>
  <c r="AV72" i="1"/>
  <c r="AV202" i="1"/>
  <c r="AX72" i="1"/>
  <c r="AY72" i="1"/>
  <c r="AZ72" i="1"/>
  <c r="AW72" i="1"/>
  <c r="AX202" i="1"/>
  <c r="AY202" i="1"/>
  <c r="AZ202" i="1"/>
  <c r="AW202" i="1"/>
  <c r="BA72" i="1"/>
  <c r="BA202" i="1"/>
  <c r="P203" i="1"/>
  <c r="Q203" i="1"/>
  <c r="R73" i="1"/>
  <c r="R194" i="1"/>
  <c r="R195" i="1"/>
  <c r="R196" i="1"/>
  <c r="R199" i="1"/>
  <c r="R200" i="1"/>
  <c r="R201" i="1"/>
  <c r="R203" i="1"/>
  <c r="R69" i="1"/>
  <c r="S73" i="1"/>
  <c r="S194" i="1"/>
  <c r="S195" i="1"/>
  <c r="S196" i="1"/>
  <c r="S199" i="1"/>
  <c r="S200" i="1"/>
  <c r="S201" i="1"/>
  <c r="S203" i="1"/>
  <c r="S69" i="1"/>
  <c r="T73" i="1"/>
  <c r="T194" i="1"/>
  <c r="T195" i="1"/>
  <c r="T196" i="1"/>
  <c r="T199" i="1"/>
  <c r="T200" i="1"/>
  <c r="T201" i="1"/>
  <c r="T203" i="1"/>
  <c r="T69" i="1"/>
  <c r="U73" i="1"/>
  <c r="U194" i="1"/>
  <c r="U195" i="1"/>
  <c r="U196" i="1"/>
  <c r="U199" i="1"/>
  <c r="U200" i="1"/>
  <c r="U201" i="1"/>
  <c r="U203" i="1"/>
  <c r="U69" i="1"/>
  <c r="V73" i="1"/>
  <c r="V194" i="1"/>
  <c r="V195" i="1"/>
  <c r="V196" i="1"/>
  <c r="V199" i="1"/>
  <c r="V200" i="1"/>
  <c r="V201" i="1"/>
  <c r="V203" i="1"/>
  <c r="V69" i="1"/>
  <c r="W73" i="1"/>
  <c r="W194" i="1"/>
  <c r="W195" i="1"/>
  <c r="W196" i="1"/>
  <c r="W199" i="1"/>
  <c r="W200" i="1"/>
  <c r="W201" i="1"/>
  <c r="W203" i="1"/>
  <c r="W69" i="1"/>
  <c r="Z73" i="1"/>
  <c r="X73" i="1"/>
  <c r="AA73" i="1"/>
  <c r="AB73" i="1"/>
  <c r="Y73" i="1"/>
  <c r="Z194" i="1"/>
  <c r="X194" i="1"/>
  <c r="AA194" i="1"/>
  <c r="AB194" i="1"/>
  <c r="Y194" i="1"/>
  <c r="Z195" i="1"/>
  <c r="X195" i="1"/>
  <c r="AA195" i="1"/>
  <c r="AB195" i="1"/>
  <c r="Y195" i="1"/>
  <c r="Z196" i="1"/>
  <c r="X196" i="1"/>
  <c r="AA196" i="1"/>
  <c r="AB196" i="1"/>
  <c r="Y196" i="1"/>
  <c r="Z199" i="1"/>
  <c r="X199" i="1"/>
  <c r="AA199" i="1"/>
  <c r="AB199" i="1"/>
  <c r="Y199" i="1"/>
  <c r="Z200" i="1"/>
  <c r="X200" i="1"/>
  <c r="AA200" i="1"/>
  <c r="AB200" i="1"/>
  <c r="Y200" i="1"/>
  <c r="Z201" i="1"/>
  <c r="X201" i="1"/>
  <c r="AA201" i="1"/>
  <c r="AB201" i="1"/>
  <c r="Y201" i="1"/>
  <c r="X203" i="1"/>
  <c r="Z69" i="1"/>
  <c r="X69" i="1"/>
  <c r="AA69" i="1"/>
  <c r="AB69" i="1"/>
  <c r="Y69" i="1"/>
  <c r="Y203" i="1"/>
  <c r="Z203" i="1"/>
  <c r="AA203" i="1"/>
  <c r="AC73" i="1"/>
  <c r="AD73" i="1"/>
  <c r="AE73" i="1"/>
  <c r="AC194" i="1"/>
  <c r="AD194" i="1"/>
  <c r="AE194" i="1"/>
  <c r="AC195" i="1"/>
  <c r="AD195" i="1"/>
  <c r="AE195" i="1"/>
  <c r="AC196" i="1"/>
  <c r="AD196" i="1"/>
  <c r="AE196" i="1"/>
  <c r="AC199" i="1"/>
  <c r="AD199" i="1"/>
  <c r="AE199" i="1"/>
  <c r="AC200" i="1"/>
  <c r="AD200" i="1"/>
  <c r="AE200" i="1"/>
  <c r="AC201" i="1"/>
  <c r="AD201" i="1"/>
  <c r="AE201" i="1"/>
  <c r="AB203" i="1"/>
  <c r="AC69" i="1"/>
  <c r="AD69" i="1"/>
  <c r="AE69" i="1"/>
  <c r="AC203" i="1"/>
  <c r="AD203" i="1"/>
  <c r="AE203" i="1"/>
  <c r="AF73" i="1"/>
  <c r="AF194" i="1"/>
  <c r="AF195" i="1"/>
  <c r="AF196" i="1"/>
  <c r="AF199" i="1"/>
  <c r="AF200" i="1"/>
  <c r="AF201" i="1"/>
  <c r="AF203" i="1"/>
  <c r="AF69" i="1"/>
  <c r="AG73" i="1"/>
  <c r="AG194" i="1"/>
  <c r="AG195" i="1"/>
  <c r="AG196" i="1"/>
  <c r="AG199" i="1"/>
  <c r="AG200" i="1"/>
  <c r="AG201" i="1"/>
  <c r="AG203" i="1"/>
  <c r="AG69" i="1"/>
  <c r="AI73" i="1"/>
  <c r="AJ73" i="1"/>
  <c r="AK73" i="1"/>
  <c r="AH73" i="1"/>
  <c r="AI194" i="1"/>
  <c r="AJ194" i="1"/>
  <c r="AK194" i="1"/>
  <c r="AH194" i="1"/>
  <c r="AI195" i="1"/>
  <c r="AJ195" i="1"/>
  <c r="AK195" i="1"/>
  <c r="AH195" i="1"/>
  <c r="AI196" i="1"/>
  <c r="AJ196" i="1"/>
  <c r="AK196" i="1"/>
  <c r="AH196" i="1"/>
  <c r="AI199" i="1"/>
  <c r="AJ199" i="1"/>
  <c r="AK199" i="1"/>
  <c r="AH199" i="1"/>
  <c r="AI200" i="1"/>
  <c r="AJ200" i="1"/>
  <c r="AK200" i="1"/>
  <c r="AH200" i="1"/>
  <c r="AI201" i="1"/>
  <c r="AJ201" i="1"/>
  <c r="AK201" i="1"/>
  <c r="AH201" i="1"/>
  <c r="AH203" i="1"/>
  <c r="AI69" i="1"/>
  <c r="AJ69" i="1"/>
  <c r="AK69" i="1"/>
  <c r="AH69" i="1"/>
  <c r="AI203" i="1"/>
  <c r="AJ203" i="1"/>
  <c r="AK203" i="1"/>
  <c r="AL73" i="1"/>
  <c r="AL194" i="1"/>
  <c r="AL195" i="1"/>
  <c r="AL196" i="1"/>
  <c r="AL199" i="1"/>
  <c r="AL200" i="1"/>
  <c r="AL201" i="1"/>
  <c r="AL203" i="1"/>
  <c r="AL69" i="1"/>
  <c r="AM73" i="1"/>
  <c r="AM194" i="1"/>
  <c r="AM195" i="1"/>
  <c r="AM196" i="1"/>
  <c r="AM199" i="1"/>
  <c r="AM200" i="1"/>
  <c r="AM201" i="1"/>
  <c r="AM203" i="1"/>
  <c r="AM69" i="1"/>
  <c r="AN73" i="1"/>
  <c r="AN194" i="1"/>
  <c r="AN195" i="1"/>
  <c r="AN196" i="1"/>
  <c r="AN199" i="1"/>
  <c r="AN200" i="1"/>
  <c r="AN201" i="1"/>
  <c r="AN203" i="1"/>
  <c r="AN69" i="1"/>
  <c r="AO73" i="1"/>
  <c r="AO194" i="1"/>
  <c r="AO195" i="1"/>
  <c r="AO196" i="1"/>
  <c r="AO199" i="1"/>
  <c r="AO200" i="1"/>
  <c r="AO201" i="1"/>
  <c r="AO203" i="1"/>
  <c r="AO69" i="1"/>
  <c r="AP73" i="1"/>
  <c r="AP194" i="1"/>
  <c r="AP195" i="1"/>
  <c r="AP196" i="1"/>
  <c r="AP199" i="1"/>
  <c r="AP200" i="1"/>
  <c r="AP201" i="1"/>
  <c r="AP203" i="1"/>
  <c r="AP69" i="1"/>
  <c r="AQ73" i="1"/>
  <c r="AQ194" i="1"/>
  <c r="AQ195" i="1"/>
  <c r="AQ196" i="1"/>
  <c r="AQ199" i="1"/>
  <c r="AQ200" i="1"/>
  <c r="AQ201" i="1"/>
  <c r="AQ203" i="1"/>
  <c r="AQ69" i="1"/>
  <c r="AR73" i="1"/>
  <c r="AR194" i="1"/>
  <c r="AR195" i="1"/>
  <c r="AR196" i="1"/>
  <c r="AR199" i="1"/>
  <c r="AR200" i="1"/>
  <c r="AR201" i="1"/>
  <c r="AR203" i="1"/>
  <c r="AR69" i="1"/>
  <c r="AS73" i="1"/>
  <c r="AS194" i="1"/>
  <c r="AS195" i="1"/>
  <c r="AS196" i="1"/>
  <c r="AS199" i="1"/>
  <c r="AS200" i="1"/>
  <c r="AS201" i="1"/>
  <c r="AS203" i="1"/>
  <c r="AS69" i="1"/>
  <c r="AT73" i="1"/>
  <c r="AT194" i="1"/>
  <c r="AT195" i="1"/>
  <c r="AT196" i="1"/>
  <c r="AT199" i="1"/>
  <c r="AT200" i="1"/>
  <c r="AT201" i="1"/>
  <c r="AT203" i="1"/>
  <c r="AT69" i="1"/>
  <c r="AU73" i="1"/>
  <c r="AU194" i="1"/>
  <c r="AU195" i="1"/>
  <c r="AU196" i="1"/>
  <c r="AU199" i="1"/>
  <c r="AU200" i="1"/>
  <c r="AU201" i="1"/>
  <c r="AU203" i="1"/>
  <c r="AU69" i="1"/>
  <c r="AV73" i="1"/>
  <c r="AV194" i="1"/>
  <c r="AV195" i="1"/>
  <c r="AV196" i="1"/>
  <c r="AV199" i="1"/>
  <c r="AV200" i="1"/>
  <c r="AV201" i="1"/>
  <c r="AV203" i="1"/>
  <c r="AV69" i="1"/>
  <c r="AX73" i="1"/>
  <c r="AY73" i="1"/>
  <c r="AZ73" i="1"/>
  <c r="AW73" i="1"/>
  <c r="AX194" i="1"/>
  <c r="AY194" i="1"/>
  <c r="AZ194" i="1"/>
  <c r="AW194" i="1"/>
  <c r="AX195" i="1"/>
  <c r="AY195" i="1"/>
  <c r="AZ195" i="1"/>
  <c r="AW195" i="1"/>
  <c r="AX196" i="1"/>
  <c r="AY196" i="1"/>
  <c r="AZ196" i="1"/>
  <c r="AW196" i="1"/>
  <c r="AX199" i="1"/>
  <c r="AY199" i="1"/>
  <c r="AZ199" i="1"/>
  <c r="AW199" i="1"/>
  <c r="AX200" i="1"/>
  <c r="AY200" i="1"/>
  <c r="AZ200" i="1"/>
  <c r="AW200" i="1"/>
  <c r="AX201" i="1"/>
  <c r="AY201" i="1"/>
  <c r="AZ201" i="1"/>
  <c r="AW201" i="1"/>
  <c r="AW203" i="1"/>
  <c r="AX69" i="1"/>
  <c r="AY69" i="1"/>
  <c r="AZ69" i="1"/>
  <c r="AW69" i="1"/>
  <c r="AX203" i="1"/>
  <c r="AY203" i="1"/>
  <c r="AZ203" i="1"/>
  <c r="BA73" i="1"/>
  <c r="BA194" i="1"/>
  <c r="BA195" i="1"/>
  <c r="BA196" i="1"/>
  <c r="BA199" i="1"/>
  <c r="BA200" i="1"/>
  <c r="BA201" i="1"/>
  <c r="BA203" i="1"/>
  <c r="BA69" i="1"/>
  <c r="R55" i="1"/>
  <c r="R74" i="1"/>
  <c r="R204" i="1"/>
  <c r="R70" i="1"/>
  <c r="S55" i="1"/>
  <c r="S74" i="1"/>
  <c r="S204" i="1"/>
  <c r="S70" i="1"/>
  <c r="T55" i="1"/>
  <c r="T74" i="1"/>
  <c r="T204" i="1"/>
  <c r="T70" i="1"/>
  <c r="U55" i="1"/>
  <c r="U74" i="1"/>
  <c r="U204" i="1"/>
  <c r="U70" i="1"/>
  <c r="V55" i="1"/>
  <c r="V74" i="1"/>
  <c r="V204" i="1"/>
  <c r="V70" i="1"/>
  <c r="W55" i="1"/>
  <c r="W74" i="1"/>
  <c r="W204" i="1"/>
  <c r="W70" i="1"/>
  <c r="Z55" i="1"/>
  <c r="X55" i="1"/>
  <c r="AA55" i="1"/>
  <c r="AB55" i="1"/>
  <c r="Y55" i="1"/>
  <c r="Z74" i="1"/>
  <c r="X74" i="1"/>
  <c r="AA74" i="1"/>
  <c r="AB74" i="1"/>
  <c r="Y74" i="1"/>
  <c r="Z204" i="1"/>
  <c r="X204" i="1"/>
  <c r="AA204" i="1"/>
  <c r="AB204" i="1"/>
  <c r="Y204" i="1"/>
  <c r="Z70" i="1"/>
  <c r="X70" i="1"/>
  <c r="AA70" i="1"/>
  <c r="AB70" i="1"/>
  <c r="Y70" i="1"/>
  <c r="AC55" i="1"/>
  <c r="AD55" i="1"/>
  <c r="AE55" i="1"/>
  <c r="AC74" i="1"/>
  <c r="AD74" i="1"/>
  <c r="AE74" i="1"/>
  <c r="AC204" i="1"/>
  <c r="AD204" i="1"/>
  <c r="AE204" i="1"/>
  <c r="AC70" i="1"/>
  <c r="AD70" i="1"/>
  <c r="AE70" i="1"/>
  <c r="AF55" i="1"/>
  <c r="AF74" i="1"/>
  <c r="AF204" i="1"/>
  <c r="AF70" i="1"/>
  <c r="AG55" i="1"/>
  <c r="AG74" i="1"/>
  <c r="AG204" i="1"/>
  <c r="AG70" i="1"/>
  <c r="AI55" i="1"/>
  <c r="AJ55" i="1"/>
  <c r="AK55" i="1"/>
  <c r="AH55" i="1"/>
  <c r="AI74" i="1"/>
  <c r="AJ74" i="1"/>
  <c r="AK74" i="1"/>
  <c r="AH74" i="1"/>
  <c r="AI204" i="1"/>
  <c r="AJ204" i="1"/>
  <c r="AK204" i="1"/>
  <c r="AH204" i="1"/>
  <c r="AI70" i="1"/>
  <c r="AJ70" i="1"/>
  <c r="AK70" i="1"/>
  <c r="AH70" i="1"/>
  <c r="AL55" i="1"/>
  <c r="AL74" i="1"/>
  <c r="AL204" i="1"/>
  <c r="AL70" i="1"/>
  <c r="AM55" i="1"/>
  <c r="AM74" i="1"/>
  <c r="AM204" i="1"/>
  <c r="AM70" i="1"/>
  <c r="AN55" i="1"/>
  <c r="AN74" i="1"/>
  <c r="AN204" i="1"/>
  <c r="AN70" i="1"/>
  <c r="AO55" i="1"/>
  <c r="AO74" i="1"/>
  <c r="AO204" i="1"/>
  <c r="AO70" i="1"/>
  <c r="AP55" i="1"/>
  <c r="AP74" i="1"/>
  <c r="AP204" i="1"/>
  <c r="AP70" i="1"/>
  <c r="AQ55" i="1"/>
  <c r="AQ74" i="1"/>
  <c r="AQ204" i="1"/>
  <c r="AQ70" i="1"/>
  <c r="AR55" i="1"/>
  <c r="AR74" i="1"/>
  <c r="AR204" i="1"/>
  <c r="AR70" i="1"/>
  <c r="AS55" i="1"/>
  <c r="AS74" i="1"/>
  <c r="AS204" i="1"/>
  <c r="AS70" i="1"/>
  <c r="AT55" i="1"/>
  <c r="AT74" i="1"/>
  <c r="AT204" i="1"/>
  <c r="AT70" i="1"/>
  <c r="AU55" i="1"/>
  <c r="AU74" i="1"/>
  <c r="AU204" i="1"/>
  <c r="AU70" i="1"/>
  <c r="AV55" i="1"/>
  <c r="AV74" i="1"/>
  <c r="AV204" i="1"/>
  <c r="AV70" i="1"/>
  <c r="AX55" i="1"/>
  <c r="AY55" i="1"/>
  <c r="AZ55" i="1"/>
  <c r="AW55" i="1"/>
  <c r="AX74" i="1"/>
  <c r="AY74" i="1"/>
  <c r="AZ74" i="1"/>
  <c r="AW74" i="1"/>
  <c r="AX204" i="1"/>
  <c r="AY204" i="1"/>
  <c r="AZ204" i="1"/>
  <c r="AW204" i="1"/>
  <c r="AX70" i="1"/>
  <c r="AY70" i="1"/>
  <c r="AZ70" i="1"/>
  <c r="AW70" i="1"/>
  <c r="BA55" i="1"/>
  <c r="BA74" i="1"/>
  <c r="BA204" i="1"/>
  <c r="BA70" i="1"/>
  <c r="P101" i="1"/>
  <c r="Q101" i="1"/>
  <c r="R75" i="1"/>
  <c r="R205" i="1"/>
  <c r="R71" i="1"/>
  <c r="R101" i="1"/>
  <c r="S75" i="1"/>
  <c r="S205" i="1"/>
  <c r="S71" i="1"/>
  <c r="S101" i="1"/>
  <c r="T75" i="1"/>
  <c r="T205" i="1"/>
  <c r="T71" i="1"/>
  <c r="T101" i="1"/>
  <c r="U75" i="1"/>
  <c r="U205" i="1"/>
  <c r="U71" i="1"/>
  <c r="U101" i="1"/>
  <c r="V75" i="1"/>
  <c r="V205" i="1"/>
  <c r="V71" i="1"/>
  <c r="V101" i="1"/>
  <c r="W75" i="1"/>
  <c r="W205" i="1"/>
  <c r="W71" i="1"/>
  <c r="W101" i="1"/>
  <c r="Z75" i="1"/>
  <c r="X75" i="1"/>
  <c r="AA75" i="1"/>
  <c r="AB75" i="1"/>
  <c r="Y75" i="1"/>
  <c r="Z205" i="1"/>
  <c r="X205" i="1"/>
  <c r="AA205" i="1"/>
  <c r="AB205" i="1"/>
  <c r="Y205" i="1"/>
  <c r="Z71" i="1"/>
  <c r="X71" i="1"/>
  <c r="AA71" i="1"/>
  <c r="AB71" i="1"/>
  <c r="Y71" i="1"/>
  <c r="X101" i="1"/>
  <c r="Y101" i="1"/>
  <c r="Z101" i="1"/>
  <c r="AA101" i="1"/>
  <c r="AC75" i="1"/>
  <c r="AD75" i="1"/>
  <c r="AE75" i="1"/>
  <c r="AC205" i="1"/>
  <c r="AD205" i="1"/>
  <c r="AE205" i="1"/>
  <c r="AC71" i="1"/>
  <c r="AD71" i="1"/>
  <c r="AE71" i="1"/>
  <c r="AB101" i="1"/>
  <c r="AC101" i="1"/>
  <c r="AD101" i="1"/>
  <c r="AE101" i="1"/>
  <c r="AF75" i="1"/>
  <c r="AF205" i="1"/>
  <c r="AF71" i="1"/>
  <c r="AF101" i="1"/>
  <c r="AG75" i="1"/>
  <c r="AG205" i="1"/>
  <c r="AG71" i="1"/>
  <c r="AG101" i="1"/>
  <c r="AI75" i="1"/>
  <c r="AJ75" i="1"/>
  <c r="AK75" i="1"/>
  <c r="AH75" i="1"/>
  <c r="AI205" i="1"/>
  <c r="AJ205" i="1"/>
  <c r="AK205" i="1"/>
  <c r="AH205" i="1"/>
  <c r="AI71" i="1"/>
  <c r="AJ71" i="1"/>
  <c r="AK71" i="1"/>
  <c r="AH71" i="1"/>
  <c r="AH101" i="1"/>
  <c r="AI101" i="1"/>
  <c r="AJ101" i="1"/>
  <c r="AK101" i="1"/>
  <c r="AL75" i="1"/>
  <c r="AL205" i="1"/>
  <c r="AL71" i="1"/>
  <c r="AL101" i="1"/>
  <c r="AM75" i="1"/>
  <c r="AM205" i="1"/>
  <c r="AM71" i="1"/>
  <c r="AM101" i="1"/>
  <c r="AN75" i="1"/>
  <c r="AN205" i="1"/>
  <c r="AN71" i="1"/>
  <c r="AN101" i="1"/>
  <c r="AO75" i="1"/>
  <c r="AO205" i="1"/>
  <c r="AO71" i="1"/>
  <c r="AO101" i="1"/>
  <c r="AP75" i="1"/>
  <c r="AP205" i="1"/>
  <c r="AP71" i="1"/>
  <c r="AP101" i="1"/>
  <c r="AQ75" i="1"/>
  <c r="AQ205" i="1"/>
  <c r="AQ71" i="1"/>
  <c r="AQ101" i="1"/>
  <c r="AR75" i="1"/>
  <c r="AR205" i="1"/>
  <c r="AR71" i="1"/>
  <c r="AR101" i="1"/>
  <c r="AS75" i="1"/>
  <c r="AS205" i="1"/>
  <c r="AS71" i="1"/>
  <c r="AS101" i="1"/>
  <c r="AT75" i="1"/>
  <c r="AT205" i="1"/>
  <c r="AT71" i="1"/>
  <c r="AT101" i="1"/>
  <c r="AU75" i="1"/>
  <c r="AU205" i="1"/>
  <c r="AU71" i="1"/>
  <c r="AU101" i="1"/>
  <c r="AV75" i="1"/>
  <c r="AV205" i="1"/>
  <c r="AV71" i="1"/>
  <c r="AV101" i="1"/>
  <c r="AX75" i="1"/>
  <c r="AY75" i="1"/>
  <c r="AZ75" i="1"/>
  <c r="AW75" i="1"/>
  <c r="AX205" i="1"/>
  <c r="AY205" i="1"/>
  <c r="AZ205" i="1"/>
  <c r="AW205" i="1"/>
  <c r="AX71" i="1"/>
  <c r="AY71" i="1"/>
  <c r="AZ71" i="1"/>
  <c r="AW71" i="1"/>
  <c r="AW101" i="1"/>
  <c r="AX101" i="1"/>
  <c r="AY101" i="1"/>
  <c r="AZ101" i="1"/>
  <c r="BA75" i="1"/>
  <c r="BA205" i="1"/>
  <c r="BA71" i="1"/>
  <c r="BA101" i="1"/>
  <c r="P57" i="1"/>
  <c r="P102" i="1"/>
  <c r="Q57" i="1"/>
  <c r="Q102" i="1"/>
  <c r="R57" i="1"/>
  <c r="R76" i="1"/>
  <c r="R206" i="1"/>
  <c r="R102" i="1"/>
  <c r="S57" i="1"/>
  <c r="S76" i="1"/>
  <c r="S206" i="1"/>
  <c r="S102" i="1"/>
  <c r="T57" i="1"/>
  <c r="T76" i="1"/>
  <c r="T206" i="1"/>
  <c r="T102" i="1"/>
  <c r="U57" i="1"/>
  <c r="U76" i="1"/>
  <c r="U206" i="1"/>
  <c r="U102" i="1"/>
  <c r="V57" i="1"/>
  <c r="V76" i="1"/>
  <c r="V206" i="1"/>
  <c r="V102" i="1"/>
  <c r="W57" i="1"/>
  <c r="W76" i="1"/>
  <c r="W206" i="1"/>
  <c r="W102" i="1"/>
  <c r="X57" i="1"/>
  <c r="Z76" i="1"/>
  <c r="X76" i="1"/>
  <c r="AA76" i="1"/>
  <c r="AB76" i="1"/>
  <c r="Y76" i="1"/>
  <c r="Z206" i="1"/>
  <c r="X206" i="1"/>
  <c r="AA206" i="1"/>
  <c r="AB206" i="1"/>
  <c r="Y206" i="1"/>
  <c r="X102" i="1"/>
  <c r="Y57" i="1"/>
  <c r="Y102" i="1"/>
  <c r="Z57" i="1"/>
  <c r="Z102" i="1"/>
  <c r="AA57" i="1"/>
  <c r="AA102" i="1"/>
  <c r="AB57" i="1"/>
  <c r="AC76" i="1"/>
  <c r="AD76" i="1"/>
  <c r="AE76" i="1"/>
  <c r="AC206" i="1"/>
  <c r="AD206" i="1"/>
  <c r="AE206" i="1"/>
  <c r="AB102" i="1"/>
  <c r="AC57" i="1"/>
  <c r="AC102" i="1"/>
  <c r="AD57" i="1"/>
  <c r="AD102" i="1"/>
  <c r="AE57" i="1"/>
  <c r="AE102" i="1"/>
  <c r="AF57" i="1"/>
  <c r="AF76" i="1"/>
  <c r="AF206" i="1"/>
  <c r="AF102" i="1"/>
  <c r="AG57" i="1"/>
  <c r="AG76" i="1"/>
  <c r="AG206" i="1"/>
  <c r="AG102" i="1"/>
  <c r="AH57" i="1"/>
  <c r="AI76" i="1"/>
  <c r="AJ76" i="1"/>
  <c r="AK76" i="1"/>
  <c r="AH76" i="1"/>
  <c r="AI206" i="1"/>
  <c r="AJ206" i="1"/>
  <c r="AK206" i="1"/>
  <c r="AH206" i="1"/>
  <c r="AH102" i="1"/>
  <c r="AI57" i="1"/>
  <c r="AI102" i="1"/>
  <c r="AJ57" i="1"/>
  <c r="AJ102" i="1"/>
  <c r="AK57" i="1"/>
  <c r="AK102" i="1"/>
  <c r="AL57" i="1"/>
  <c r="AL76" i="1"/>
  <c r="AL206" i="1"/>
  <c r="AL102" i="1"/>
  <c r="AM57" i="1"/>
  <c r="AM76" i="1"/>
  <c r="AM206" i="1"/>
  <c r="AM102" i="1"/>
  <c r="AN57" i="1"/>
  <c r="AN76" i="1"/>
  <c r="AN206" i="1"/>
  <c r="AN102" i="1"/>
  <c r="AO57" i="1"/>
  <c r="AO76" i="1"/>
  <c r="AO206" i="1"/>
  <c r="AO102" i="1"/>
  <c r="AP57" i="1"/>
  <c r="AP76" i="1"/>
  <c r="AP206" i="1"/>
  <c r="AP102" i="1"/>
  <c r="AQ57" i="1"/>
  <c r="AQ76" i="1"/>
  <c r="AQ206" i="1"/>
  <c r="AQ102" i="1"/>
  <c r="AR57" i="1"/>
  <c r="AR76" i="1"/>
  <c r="AR206" i="1"/>
  <c r="AR102" i="1"/>
  <c r="AS57" i="1"/>
  <c r="AS76" i="1"/>
  <c r="AS206" i="1"/>
  <c r="AS102" i="1"/>
  <c r="AT57" i="1"/>
  <c r="AT76" i="1"/>
  <c r="AT206" i="1"/>
  <c r="AT102" i="1"/>
  <c r="AU57" i="1"/>
  <c r="AU76" i="1"/>
  <c r="AU206" i="1"/>
  <c r="AU102" i="1"/>
  <c r="AV57" i="1"/>
  <c r="AV76" i="1"/>
  <c r="AV206" i="1"/>
  <c r="AV102" i="1"/>
  <c r="AW57" i="1"/>
  <c r="AX76" i="1"/>
  <c r="AY76" i="1"/>
  <c r="AZ76" i="1"/>
  <c r="AW76" i="1"/>
  <c r="AX206" i="1"/>
  <c r="AY206" i="1"/>
  <c r="AZ206" i="1"/>
  <c r="AW206" i="1"/>
  <c r="AW102" i="1"/>
  <c r="AX57" i="1"/>
  <c r="AX102" i="1"/>
  <c r="AY57" i="1"/>
  <c r="AY102" i="1"/>
  <c r="AZ57" i="1"/>
  <c r="AZ102" i="1"/>
  <c r="BA57" i="1"/>
  <c r="BA76" i="1"/>
  <c r="BA206" i="1"/>
  <c r="BA102" i="1"/>
  <c r="P103" i="1"/>
  <c r="P111" i="1"/>
  <c r="Q103" i="1"/>
  <c r="Q111" i="1"/>
  <c r="R207" i="1"/>
  <c r="R103" i="1"/>
  <c r="R111" i="1"/>
  <c r="S207" i="1"/>
  <c r="S103" i="1"/>
  <c r="S111" i="1"/>
  <c r="T207" i="1"/>
  <c r="T103" i="1"/>
  <c r="T111" i="1"/>
  <c r="U207" i="1"/>
  <c r="U103" i="1"/>
  <c r="U111" i="1"/>
  <c r="V207" i="1"/>
  <c r="V103" i="1"/>
  <c r="V111" i="1"/>
  <c r="W207" i="1"/>
  <c r="W103" i="1"/>
  <c r="W111" i="1"/>
  <c r="Z207" i="1"/>
  <c r="X207" i="1"/>
  <c r="AA207" i="1"/>
  <c r="AB207" i="1"/>
  <c r="Y207" i="1"/>
  <c r="X103" i="1"/>
  <c r="X111" i="1"/>
  <c r="Y103" i="1"/>
  <c r="Y111" i="1"/>
  <c r="Z103" i="1"/>
  <c r="Z111" i="1"/>
  <c r="AA103" i="1"/>
  <c r="AA111" i="1"/>
  <c r="AC207" i="1"/>
  <c r="AD207" i="1"/>
  <c r="AE207" i="1"/>
  <c r="AB103" i="1"/>
  <c r="AB111" i="1"/>
  <c r="AC103" i="1"/>
  <c r="AC111" i="1"/>
  <c r="AD103" i="1"/>
  <c r="AD111" i="1"/>
  <c r="AE103" i="1"/>
  <c r="AE111" i="1"/>
  <c r="AF207" i="1"/>
  <c r="AF103" i="1"/>
  <c r="AF111" i="1"/>
  <c r="AG207" i="1"/>
  <c r="AG103" i="1"/>
  <c r="AG111" i="1"/>
  <c r="AI207" i="1"/>
  <c r="AJ207" i="1"/>
  <c r="AK207" i="1"/>
  <c r="AH207" i="1"/>
  <c r="AH103" i="1"/>
  <c r="AH111" i="1"/>
  <c r="AI103" i="1"/>
  <c r="AI111" i="1"/>
  <c r="AJ103" i="1"/>
  <c r="AJ111" i="1"/>
  <c r="AK103" i="1"/>
  <c r="AK111" i="1"/>
  <c r="AL207" i="1"/>
  <c r="AL103" i="1"/>
  <c r="AL111" i="1"/>
  <c r="AM207" i="1"/>
  <c r="AM103" i="1"/>
  <c r="AM111" i="1"/>
  <c r="AN207" i="1"/>
  <c r="AN103" i="1"/>
  <c r="AN111" i="1"/>
  <c r="AO207" i="1"/>
  <c r="AO103" i="1"/>
  <c r="AO111" i="1"/>
  <c r="AP207" i="1"/>
  <c r="AP103" i="1"/>
  <c r="AP111" i="1"/>
  <c r="AQ207" i="1"/>
  <c r="AQ103" i="1"/>
  <c r="AQ111" i="1"/>
  <c r="AR207" i="1"/>
  <c r="AR103" i="1"/>
  <c r="AR111" i="1"/>
  <c r="AS207" i="1"/>
  <c r="AS103" i="1"/>
  <c r="AS111" i="1"/>
  <c r="AT207" i="1"/>
  <c r="AT103" i="1"/>
  <c r="AT111" i="1"/>
  <c r="AU207" i="1"/>
  <c r="AU103" i="1"/>
  <c r="AU111" i="1"/>
  <c r="AV207" i="1"/>
  <c r="AV103" i="1"/>
  <c r="AV111" i="1"/>
  <c r="AX207" i="1"/>
  <c r="AY207" i="1"/>
  <c r="AZ207" i="1"/>
  <c r="AW207" i="1"/>
  <c r="AW103" i="1"/>
  <c r="AW111" i="1"/>
  <c r="AX103" i="1"/>
  <c r="AX111" i="1"/>
  <c r="AY103" i="1"/>
  <c r="AY111" i="1"/>
  <c r="AZ103" i="1"/>
  <c r="AZ111" i="1"/>
  <c r="BA207" i="1"/>
  <c r="BA103" i="1"/>
  <c r="BA111" i="1"/>
  <c r="P59" i="1"/>
  <c r="P104" i="1"/>
  <c r="P113" i="1"/>
  <c r="Q59" i="1"/>
  <c r="Q104" i="1"/>
  <c r="Q113" i="1"/>
  <c r="R59" i="1"/>
  <c r="R78" i="1"/>
  <c r="R208" i="1"/>
  <c r="R104" i="1"/>
  <c r="R113" i="1"/>
  <c r="S59" i="1"/>
  <c r="S78" i="1"/>
  <c r="S208" i="1"/>
  <c r="S104" i="1"/>
  <c r="S113" i="1"/>
  <c r="T59" i="1"/>
  <c r="T78" i="1"/>
  <c r="T208" i="1"/>
  <c r="T104" i="1"/>
  <c r="T113" i="1"/>
  <c r="U59" i="1"/>
  <c r="U78" i="1"/>
  <c r="U208" i="1"/>
  <c r="U104" i="1"/>
  <c r="U113" i="1"/>
  <c r="V59" i="1"/>
  <c r="V78" i="1"/>
  <c r="V208" i="1"/>
  <c r="V104" i="1"/>
  <c r="V113" i="1"/>
  <c r="W59" i="1"/>
  <c r="W78" i="1"/>
  <c r="W208" i="1"/>
  <c r="W104" i="1"/>
  <c r="W113" i="1"/>
  <c r="X59" i="1"/>
  <c r="Z78" i="1"/>
  <c r="X78" i="1"/>
  <c r="AA78" i="1"/>
  <c r="AB78" i="1"/>
  <c r="Y78" i="1"/>
  <c r="Z208" i="1"/>
  <c r="X208" i="1"/>
  <c r="AA208" i="1"/>
  <c r="AB208" i="1"/>
  <c r="Y208" i="1"/>
  <c r="X104" i="1"/>
  <c r="X113" i="1"/>
  <c r="Y59" i="1"/>
  <c r="Y104" i="1"/>
  <c r="Y113" i="1"/>
  <c r="Z59" i="1"/>
  <c r="Z104" i="1"/>
  <c r="Z113" i="1"/>
  <c r="AA59" i="1"/>
  <c r="AA104" i="1"/>
  <c r="AA113" i="1"/>
  <c r="AB59" i="1"/>
  <c r="AC78" i="1"/>
  <c r="AD78" i="1"/>
  <c r="AE78" i="1"/>
  <c r="AC208" i="1"/>
  <c r="AD208" i="1"/>
  <c r="AE208" i="1"/>
  <c r="AB104" i="1"/>
  <c r="AB113" i="1"/>
  <c r="AC59" i="1"/>
  <c r="AC104" i="1"/>
  <c r="AC113" i="1"/>
  <c r="AD59" i="1"/>
  <c r="AD104" i="1"/>
  <c r="AD113" i="1"/>
  <c r="AE59" i="1"/>
  <c r="AE104" i="1"/>
  <c r="AE113" i="1"/>
  <c r="AF59" i="1"/>
  <c r="AF78" i="1"/>
  <c r="AF208" i="1"/>
  <c r="AF104" i="1"/>
  <c r="AF113" i="1"/>
  <c r="AG59" i="1"/>
  <c r="AG78" i="1"/>
  <c r="AG208" i="1"/>
  <c r="AG104" i="1"/>
  <c r="AG113" i="1"/>
  <c r="AH59" i="1"/>
  <c r="AI78" i="1"/>
  <c r="AJ78" i="1"/>
  <c r="AK78" i="1"/>
  <c r="AH78" i="1"/>
  <c r="AI208" i="1"/>
  <c r="AJ208" i="1"/>
  <c r="AK208" i="1"/>
  <c r="AH208" i="1"/>
  <c r="AH104" i="1"/>
  <c r="AH113" i="1"/>
  <c r="AI59" i="1"/>
  <c r="AI104" i="1"/>
  <c r="AI113" i="1"/>
  <c r="AJ59" i="1"/>
  <c r="AJ104" i="1"/>
  <c r="AJ113" i="1"/>
  <c r="AK59" i="1"/>
  <c r="AK104" i="1"/>
  <c r="AK113" i="1"/>
  <c r="AL59" i="1"/>
  <c r="AL78" i="1"/>
  <c r="AL208" i="1"/>
  <c r="AL104" i="1"/>
  <c r="AL113" i="1"/>
  <c r="AM59" i="1"/>
  <c r="AM78" i="1"/>
  <c r="AM208" i="1"/>
  <c r="AM104" i="1"/>
  <c r="AM113" i="1"/>
  <c r="AN59" i="1"/>
  <c r="AN78" i="1"/>
  <c r="AN208" i="1"/>
  <c r="AN104" i="1"/>
  <c r="AN113" i="1"/>
  <c r="AO59" i="1"/>
  <c r="AO78" i="1"/>
  <c r="AO208" i="1"/>
  <c r="AO104" i="1"/>
  <c r="AO113" i="1"/>
  <c r="AP59" i="1"/>
  <c r="AP78" i="1"/>
  <c r="AP208" i="1"/>
  <c r="AP104" i="1"/>
  <c r="AP113" i="1"/>
  <c r="AQ59" i="1"/>
  <c r="AQ78" i="1"/>
  <c r="AQ208" i="1"/>
  <c r="AQ104" i="1"/>
  <c r="AQ113" i="1"/>
  <c r="AR59" i="1"/>
  <c r="AR78" i="1"/>
  <c r="AR208" i="1"/>
  <c r="AR104" i="1"/>
  <c r="AR113" i="1"/>
  <c r="AS59" i="1"/>
  <c r="AS78" i="1"/>
  <c r="AS208" i="1"/>
  <c r="AS104" i="1"/>
  <c r="AS113" i="1"/>
  <c r="AT59" i="1"/>
  <c r="AT78" i="1"/>
  <c r="AT208" i="1"/>
  <c r="AT104" i="1"/>
  <c r="AT113" i="1"/>
  <c r="AU59" i="1"/>
  <c r="AU78" i="1"/>
  <c r="AU208" i="1"/>
  <c r="AU104" i="1"/>
  <c r="AU113" i="1"/>
  <c r="AV59" i="1"/>
  <c r="AV78" i="1"/>
  <c r="AV208" i="1"/>
  <c r="AV104" i="1"/>
  <c r="AV113" i="1"/>
  <c r="AW59" i="1"/>
  <c r="AX78" i="1"/>
  <c r="AY78" i="1"/>
  <c r="AZ78" i="1"/>
  <c r="AW78" i="1"/>
  <c r="AX208" i="1"/>
  <c r="AY208" i="1"/>
  <c r="AZ208" i="1"/>
  <c r="AW208" i="1"/>
  <c r="AW104" i="1"/>
  <c r="AW113" i="1"/>
  <c r="AX59" i="1"/>
  <c r="AX104" i="1"/>
  <c r="AX113" i="1"/>
  <c r="AY59" i="1"/>
  <c r="AY104" i="1"/>
  <c r="AY113" i="1"/>
  <c r="AZ59" i="1"/>
  <c r="AZ104" i="1"/>
  <c r="AZ113" i="1"/>
  <c r="BA59" i="1"/>
  <c r="BA78" i="1"/>
  <c r="BA208" i="1"/>
  <c r="BA104" i="1"/>
  <c r="BA113" i="1"/>
  <c r="P60" i="1"/>
  <c r="P105" i="1"/>
  <c r="P114" i="1"/>
  <c r="P120" i="1"/>
  <c r="Q60" i="1"/>
  <c r="Q105" i="1"/>
  <c r="Q114" i="1"/>
  <c r="Q120" i="1"/>
  <c r="R60" i="1"/>
  <c r="R79" i="1"/>
  <c r="R209" i="1"/>
  <c r="R105" i="1"/>
  <c r="R114" i="1"/>
  <c r="R120" i="1"/>
  <c r="S60" i="1"/>
  <c r="S79" i="1"/>
  <c r="S209" i="1"/>
  <c r="S105" i="1"/>
  <c r="S114" i="1"/>
  <c r="S120" i="1"/>
  <c r="T60" i="1"/>
  <c r="T79" i="1"/>
  <c r="T209" i="1"/>
  <c r="T105" i="1"/>
  <c r="T114" i="1"/>
  <c r="T120" i="1"/>
  <c r="U60" i="1"/>
  <c r="U79" i="1"/>
  <c r="U209" i="1"/>
  <c r="U105" i="1"/>
  <c r="U114" i="1"/>
  <c r="U120" i="1"/>
  <c r="V60" i="1"/>
  <c r="V79" i="1"/>
  <c r="V209" i="1"/>
  <c r="V105" i="1"/>
  <c r="V114" i="1"/>
  <c r="V120" i="1"/>
  <c r="W60" i="1"/>
  <c r="W79" i="1"/>
  <c r="W209" i="1"/>
  <c r="W105" i="1"/>
  <c r="W114" i="1"/>
  <c r="W120" i="1"/>
  <c r="X60" i="1"/>
  <c r="Z79" i="1"/>
  <c r="X79" i="1"/>
  <c r="AA79" i="1"/>
  <c r="AB79" i="1"/>
  <c r="Y79" i="1"/>
  <c r="Z209" i="1"/>
  <c r="X209" i="1"/>
  <c r="AA209" i="1"/>
  <c r="AB209" i="1"/>
  <c r="Y209" i="1"/>
  <c r="X105" i="1"/>
  <c r="X114" i="1"/>
  <c r="X120" i="1"/>
  <c r="Y60" i="1"/>
  <c r="Y105" i="1"/>
  <c r="Y114" i="1"/>
  <c r="Y120" i="1"/>
  <c r="Z60" i="1"/>
  <c r="Z105" i="1"/>
  <c r="Z114" i="1"/>
  <c r="Z120" i="1"/>
  <c r="AA60" i="1"/>
  <c r="AA105" i="1"/>
  <c r="AA114" i="1"/>
  <c r="AA120" i="1"/>
  <c r="AB60" i="1"/>
  <c r="AC79" i="1"/>
  <c r="AD79" i="1"/>
  <c r="AE79" i="1"/>
  <c r="AC209" i="1"/>
  <c r="AD209" i="1"/>
  <c r="AE209" i="1"/>
  <c r="AB105" i="1"/>
  <c r="AB114" i="1"/>
  <c r="AB120" i="1"/>
  <c r="AC60" i="1"/>
  <c r="AC105" i="1"/>
  <c r="AC114" i="1"/>
  <c r="AC120" i="1"/>
  <c r="AD60" i="1"/>
  <c r="AD105" i="1"/>
  <c r="AD114" i="1"/>
  <c r="AD120" i="1"/>
  <c r="AE60" i="1"/>
  <c r="AE105" i="1"/>
  <c r="AE114" i="1"/>
  <c r="AE120" i="1"/>
  <c r="AF60" i="1"/>
  <c r="AF79" i="1"/>
  <c r="AF209" i="1"/>
  <c r="AF105" i="1"/>
  <c r="AF114" i="1"/>
  <c r="AF120" i="1"/>
  <c r="AG60" i="1"/>
  <c r="AG79" i="1"/>
  <c r="AG209" i="1"/>
  <c r="AG105" i="1"/>
  <c r="AG114" i="1"/>
  <c r="AG120" i="1"/>
  <c r="AH60" i="1"/>
  <c r="AI79" i="1"/>
  <c r="AJ79" i="1"/>
  <c r="AK79" i="1"/>
  <c r="AH79" i="1"/>
  <c r="AI209" i="1"/>
  <c r="AJ209" i="1"/>
  <c r="AK209" i="1"/>
  <c r="AH209" i="1"/>
  <c r="AH105" i="1"/>
  <c r="AH114" i="1"/>
  <c r="AH120" i="1"/>
  <c r="AI60" i="1"/>
  <c r="AI105" i="1"/>
  <c r="AI114" i="1"/>
  <c r="AI120" i="1"/>
  <c r="AJ60" i="1"/>
  <c r="AJ105" i="1"/>
  <c r="AJ114" i="1"/>
  <c r="AJ120" i="1"/>
  <c r="AK60" i="1"/>
  <c r="AK105" i="1"/>
  <c r="AK114" i="1"/>
  <c r="AK120" i="1"/>
  <c r="AL60" i="1"/>
  <c r="AL79" i="1"/>
  <c r="AL209" i="1"/>
  <c r="AL105" i="1"/>
  <c r="AL114" i="1"/>
  <c r="AL120" i="1"/>
  <c r="AM60" i="1"/>
  <c r="AM79" i="1"/>
  <c r="AM209" i="1"/>
  <c r="AM105" i="1"/>
  <c r="AM114" i="1"/>
  <c r="AM120" i="1"/>
  <c r="AN60" i="1"/>
  <c r="AN79" i="1"/>
  <c r="AN209" i="1"/>
  <c r="AN105" i="1"/>
  <c r="AN114" i="1"/>
  <c r="AN120" i="1"/>
  <c r="AO60" i="1"/>
  <c r="AO79" i="1"/>
  <c r="AO209" i="1"/>
  <c r="AO105" i="1"/>
  <c r="AO114" i="1"/>
  <c r="AO120" i="1"/>
  <c r="AP60" i="1"/>
  <c r="AP79" i="1"/>
  <c r="AP209" i="1"/>
  <c r="AP105" i="1"/>
  <c r="AP114" i="1"/>
  <c r="AP120" i="1"/>
  <c r="AQ60" i="1"/>
  <c r="AQ79" i="1"/>
  <c r="AQ209" i="1"/>
  <c r="AQ105" i="1"/>
  <c r="AQ114" i="1"/>
  <c r="AQ120" i="1"/>
  <c r="AR60" i="1"/>
  <c r="AR79" i="1"/>
  <c r="AR209" i="1"/>
  <c r="AR105" i="1"/>
  <c r="AR114" i="1"/>
  <c r="AR120" i="1"/>
  <c r="AS60" i="1"/>
  <c r="AS79" i="1"/>
  <c r="AS209" i="1"/>
  <c r="AS105" i="1"/>
  <c r="AS114" i="1"/>
  <c r="AS120" i="1"/>
  <c r="AT60" i="1"/>
  <c r="AT79" i="1"/>
  <c r="AT209" i="1"/>
  <c r="AT105" i="1"/>
  <c r="AT114" i="1"/>
  <c r="AT120" i="1"/>
  <c r="AU60" i="1"/>
  <c r="AU79" i="1"/>
  <c r="AU209" i="1"/>
  <c r="AU105" i="1"/>
  <c r="AU114" i="1"/>
  <c r="AU120" i="1"/>
  <c r="AV60" i="1"/>
  <c r="AV79" i="1"/>
  <c r="AV209" i="1"/>
  <c r="AV105" i="1"/>
  <c r="AV114" i="1"/>
  <c r="AV120" i="1"/>
  <c r="AW60" i="1"/>
  <c r="AX79" i="1"/>
  <c r="AY79" i="1"/>
  <c r="AZ79" i="1"/>
  <c r="AW79" i="1"/>
  <c r="AX209" i="1"/>
  <c r="AY209" i="1"/>
  <c r="AZ209" i="1"/>
  <c r="AW209" i="1"/>
  <c r="AW105" i="1"/>
  <c r="AW114" i="1"/>
  <c r="AW120" i="1"/>
  <c r="AX60" i="1"/>
  <c r="AX105" i="1"/>
  <c r="AX114" i="1"/>
  <c r="AX120" i="1"/>
  <c r="AY60" i="1"/>
  <c r="AY105" i="1"/>
  <c r="AY114" i="1"/>
  <c r="AY120" i="1"/>
  <c r="AZ60" i="1"/>
  <c r="AZ105" i="1"/>
  <c r="AZ114" i="1"/>
  <c r="AZ120" i="1"/>
  <c r="BA60" i="1"/>
  <c r="BA79" i="1"/>
  <c r="BA209" i="1"/>
  <c r="BA105" i="1"/>
  <c r="BA114" i="1"/>
  <c r="BA120" i="1"/>
  <c r="P106" i="1"/>
  <c r="P115" i="1"/>
  <c r="Q106" i="1"/>
  <c r="Q115" i="1"/>
  <c r="R80" i="1"/>
  <c r="R210" i="1"/>
  <c r="R106" i="1"/>
  <c r="R115" i="1"/>
  <c r="S80" i="1"/>
  <c r="S210" i="1"/>
  <c r="S106" i="1"/>
  <c r="S115" i="1"/>
  <c r="T80" i="1"/>
  <c r="T210" i="1"/>
  <c r="T106" i="1"/>
  <c r="T115" i="1"/>
  <c r="U80" i="1"/>
  <c r="U210" i="1"/>
  <c r="U106" i="1"/>
  <c r="U115" i="1"/>
  <c r="V80" i="1"/>
  <c r="V210" i="1"/>
  <c r="V106" i="1"/>
  <c r="V115" i="1"/>
  <c r="W80" i="1"/>
  <c r="W210" i="1"/>
  <c r="W106" i="1"/>
  <c r="W115" i="1"/>
  <c r="Z80" i="1"/>
  <c r="X80" i="1"/>
  <c r="AA80" i="1"/>
  <c r="AB80" i="1"/>
  <c r="Y80" i="1"/>
  <c r="Z210" i="1"/>
  <c r="X210" i="1"/>
  <c r="AA210" i="1"/>
  <c r="AB210" i="1"/>
  <c r="Y210" i="1"/>
  <c r="X106" i="1"/>
  <c r="X115" i="1"/>
  <c r="Y106" i="1"/>
  <c r="Y115" i="1"/>
  <c r="Z106" i="1"/>
  <c r="Z115" i="1"/>
  <c r="AA106" i="1"/>
  <c r="AA115" i="1"/>
  <c r="AC80" i="1"/>
  <c r="AD80" i="1"/>
  <c r="AE80" i="1"/>
  <c r="AC210" i="1"/>
  <c r="AD210" i="1"/>
  <c r="AE210" i="1"/>
  <c r="AB106" i="1"/>
  <c r="AB115" i="1"/>
  <c r="AC106" i="1"/>
  <c r="AC115" i="1"/>
  <c r="AD106" i="1"/>
  <c r="AD115" i="1"/>
  <c r="AE106" i="1"/>
  <c r="AE115" i="1"/>
  <c r="AF80" i="1"/>
  <c r="AF210" i="1"/>
  <c r="AF106" i="1"/>
  <c r="AF115" i="1"/>
  <c r="AG80" i="1"/>
  <c r="AG210" i="1"/>
  <c r="AG106" i="1"/>
  <c r="AG115" i="1"/>
  <c r="AI80" i="1"/>
  <c r="AJ80" i="1"/>
  <c r="AK80" i="1"/>
  <c r="AH80" i="1"/>
  <c r="AI210" i="1"/>
  <c r="AJ210" i="1"/>
  <c r="AK210" i="1"/>
  <c r="AH210" i="1"/>
  <c r="AH106" i="1"/>
  <c r="AH115" i="1"/>
  <c r="AI106" i="1"/>
  <c r="AI115" i="1"/>
  <c r="AJ106" i="1"/>
  <c r="AJ115" i="1"/>
  <c r="AK106" i="1"/>
  <c r="AK115" i="1"/>
  <c r="AL80" i="1"/>
  <c r="AL210" i="1"/>
  <c r="AL106" i="1"/>
  <c r="AL115" i="1"/>
  <c r="AM80" i="1"/>
  <c r="AM210" i="1"/>
  <c r="AM106" i="1"/>
  <c r="AM115" i="1"/>
  <c r="AN80" i="1"/>
  <c r="AN210" i="1"/>
  <c r="AN106" i="1"/>
  <c r="AN115" i="1"/>
  <c r="AO80" i="1"/>
  <c r="AO210" i="1"/>
  <c r="AO106" i="1"/>
  <c r="AO115" i="1"/>
  <c r="AP80" i="1"/>
  <c r="AP210" i="1"/>
  <c r="AP106" i="1"/>
  <c r="AP115" i="1"/>
  <c r="AQ80" i="1"/>
  <c r="AQ210" i="1"/>
  <c r="AQ106" i="1"/>
  <c r="AQ115" i="1"/>
  <c r="AR80" i="1"/>
  <c r="AR210" i="1"/>
  <c r="AR106" i="1"/>
  <c r="AR115" i="1"/>
  <c r="AS80" i="1"/>
  <c r="AS210" i="1"/>
  <c r="AS106" i="1"/>
  <c r="AS115" i="1"/>
  <c r="AT80" i="1"/>
  <c r="AT210" i="1"/>
  <c r="AT106" i="1"/>
  <c r="AT115" i="1"/>
  <c r="AU80" i="1"/>
  <c r="AU210" i="1"/>
  <c r="AU106" i="1"/>
  <c r="AU115" i="1"/>
  <c r="AV80" i="1"/>
  <c r="AV210" i="1"/>
  <c r="AV106" i="1"/>
  <c r="AV115" i="1"/>
  <c r="AX80" i="1"/>
  <c r="AY80" i="1"/>
  <c r="AZ80" i="1"/>
  <c r="AW80" i="1"/>
  <c r="AX210" i="1"/>
  <c r="AY210" i="1"/>
  <c r="AZ210" i="1"/>
  <c r="AW210" i="1"/>
  <c r="AW106" i="1"/>
  <c r="AW115" i="1"/>
  <c r="AX106" i="1"/>
  <c r="AX115" i="1"/>
  <c r="AY106" i="1"/>
  <c r="AY115" i="1"/>
  <c r="AZ106" i="1"/>
  <c r="AZ115" i="1"/>
  <c r="BA80" i="1"/>
  <c r="BA210" i="1"/>
  <c r="BA106" i="1"/>
  <c r="BA115" i="1"/>
  <c r="P211" i="1"/>
  <c r="P107" i="1"/>
  <c r="P116" i="1"/>
  <c r="Q211" i="1"/>
  <c r="Q107" i="1"/>
  <c r="Q116" i="1"/>
  <c r="R62" i="1"/>
  <c r="R81" i="1"/>
  <c r="R211" i="1"/>
  <c r="R107" i="1"/>
  <c r="R116" i="1"/>
  <c r="S62" i="1"/>
  <c r="S81" i="1"/>
  <c r="S211" i="1"/>
  <c r="S107" i="1"/>
  <c r="S116" i="1"/>
  <c r="T62" i="1"/>
  <c r="T81" i="1"/>
  <c r="T211" i="1"/>
  <c r="T107" i="1"/>
  <c r="T116" i="1"/>
  <c r="U62" i="1"/>
  <c r="U81" i="1"/>
  <c r="U211" i="1"/>
  <c r="U107" i="1"/>
  <c r="U116" i="1"/>
  <c r="V62" i="1"/>
  <c r="V81" i="1"/>
  <c r="V211" i="1"/>
  <c r="V107" i="1"/>
  <c r="V116" i="1"/>
  <c r="W62" i="1"/>
  <c r="W81" i="1"/>
  <c r="W211" i="1"/>
  <c r="W107" i="1"/>
  <c r="W116" i="1"/>
  <c r="Z62" i="1"/>
  <c r="X62" i="1"/>
  <c r="AA62" i="1"/>
  <c r="AB62" i="1"/>
  <c r="Y62" i="1"/>
  <c r="Z81" i="1"/>
  <c r="X81" i="1"/>
  <c r="AA81" i="1"/>
  <c r="AB81" i="1"/>
  <c r="Y81" i="1"/>
  <c r="X211" i="1"/>
  <c r="X107" i="1"/>
  <c r="X116" i="1"/>
  <c r="Y211" i="1"/>
  <c r="Y107" i="1"/>
  <c r="Y116" i="1"/>
  <c r="Z211" i="1"/>
  <c r="Z107" i="1"/>
  <c r="Z116" i="1"/>
  <c r="AA211" i="1"/>
  <c r="AA107" i="1"/>
  <c r="AA116" i="1"/>
  <c r="AC62" i="1"/>
  <c r="AD62" i="1"/>
  <c r="AE62" i="1"/>
  <c r="AC81" i="1"/>
  <c r="AD81" i="1"/>
  <c r="AE81" i="1"/>
  <c r="AB211" i="1"/>
  <c r="AB107" i="1"/>
  <c r="AB116" i="1"/>
  <c r="AC211" i="1"/>
  <c r="AC107" i="1"/>
  <c r="AC116" i="1"/>
  <c r="AD211" i="1"/>
  <c r="AD107" i="1"/>
  <c r="AD116" i="1"/>
  <c r="AE211" i="1"/>
  <c r="AE107" i="1"/>
  <c r="AE116" i="1"/>
  <c r="AF62" i="1"/>
  <c r="AF81" i="1"/>
  <c r="AF211" i="1"/>
  <c r="AF107" i="1"/>
  <c r="AF116" i="1"/>
  <c r="AG62" i="1"/>
  <c r="AG81" i="1"/>
  <c r="AG211" i="1"/>
  <c r="AG107" i="1"/>
  <c r="AG116" i="1"/>
  <c r="AI62" i="1"/>
  <c r="AJ62" i="1"/>
  <c r="AK62" i="1"/>
  <c r="AH62" i="1"/>
  <c r="AI81" i="1"/>
  <c r="AJ81" i="1"/>
  <c r="AK81" i="1"/>
  <c r="AH81" i="1"/>
  <c r="AH211" i="1"/>
  <c r="AH107" i="1"/>
  <c r="AH116" i="1"/>
  <c r="AI211" i="1"/>
  <c r="AI107" i="1"/>
  <c r="AI116" i="1"/>
  <c r="AJ211" i="1"/>
  <c r="AJ107" i="1"/>
  <c r="AJ116" i="1"/>
  <c r="AK211" i="1"/>
  <c r="AK107" i="1"/>
  <c r="AK116" i="1"/>
  <c r="AL62" i="1"/>
  <c r="AL81" i="1"/>
  <c r="AL211" i="1"/>
  <c r="AL107" i="1"/>
  <c r="AL116" i="1"/>
  <c r="AM62" i="1"/>
  <c r="AM81" i="1"/>
  <c r="AM211" i="1"/>
  <c r="AM107" i="1"/>
  <c r="AM116" i="1"/>
  <c r="AN62" i="1"/>
  <c r="AN81" i="1"/>
  <c r="AN211" i="1"/>
  <c r="AN107" i="1"/>
  <c r="AN116" i="1"/>
  <c r="AO62" i="1"/>
  <c r="AO81" i="1"/>
  <c r="AO211" i="1"/>
  <c r="AO107" i="1"/>
  <c r="AO116" i="1"/>
  <c r="AP62" i="1"/>
  <c r="AP81" i="1"/>
  <c r="AP211" i="1"/>
  <c r="AP107" i="1"/>
  <c r="AP116" i="1"/>
  <c r="AQ62" i="1"/>
  <c r="AQ81" i="1"/>
  <c r="AQ211" i="1"/>
  <c r="AQ107" i="1"/>
  <c r="AQ116" i="1"/>
  <c r="AR62" i="1"/>
  <c r="AR81" i="1"/>
  <c r="AR211" i="1"/>
  <c r="AR107" i="1"/>
  <c r="AR116" i="1"/>
  <c r="AS62" i="1"/>
  <c r="AS81" i="1"/>
  <c r="AS211" i="1"/>
  <c r="AS107" i="1"/>
  <c r="AS116" i="1"/>
  <c r="AT62" i="1"/>
  <c r="AT81" i="1"/>
  <c r="AT211" i="1"/>
  <c r="AT107" i="1"/>
  <c r="AT116" i="1"/>
  <c r="AU62" i="1"/>
  <c r="AU81" i="1"/>
  <c r="AU211" i="1"/>
  <c r="AU107" i="1"/>
  <c r="AU116" i="1"/>
  <c r="AV62" i="1"/>
  <c r="AV81" i="1"/>
  <c r="AV211" i="1"/>
  <c r="AV107" i="1"/>
  <c r="AV116" i="1"/>
  <c r="AX62" i="1"/>
  <c r="AY62" i="1"/>
  <c r="AZ62" i="1"/>
  <c r="AW62" i="1"/>
  <c r="AX81" i="1"/>
  <c r="AY81" i="1"/>
  <c r="AZ81" i="1"/>
  <c r="AW81" i="1"/>
  <c r="AW211" i="1"/>
  <c r="AW107" i="1"/>
  <c r="AW116" i="1"/>
  <c r="AX211" i="1"/>
  <c r="AX107" i="1"/>
  <c r="AX116" i="1"/>
  <c r="AY211" i="1"/>
  <c r="AY107" i="1"/>
  <c r="AY116" i="1"/>
  <c r="AZ211" i="1"/>
  <c r="AZ107" i="1"/>
  <c r="AZ116" i="1"/>
  <c r="BA62" i="1"/>
  <c r="BA81" i="1"/>
  <c r="BA211" i="1"/>
  <c r="BA107" i="1"/>
  <c r="BA116" i="1"/>
  <c r="P117" i="1"/>
  <c r="Q117" i="1"/>
  <c r="R63" i="1"/>
  <c r="R82" i="1"/>
  <c r="R212" i="1"/>
  <c r="R117" i="1"/>
  <c r="S63" i="1"/>
  <c r="S82" i="1"/>
  <c r="S212" i="1"/>
  <c r="S117" i="1"/>
  <c r="T63" i="1"/>
  <c r="T82" i="1"/>
  <c r="T212" i="1"/>
  <c r="T117" i="1"/>
  <c r="U63" i="1"/>
  <c r="U82" i="1"/>
  <c r="U212" i="1"/>
  <c r="U117" i="1"/>
  <c r="V63" i="1"/>
  <c r="V82" i="1"/>
  <c r="V212" i="1"/>
  <c r="V117" i="1"/>
  <c r="W63" i="1"/>
  <c r="W82" i="1"/>
  <c r="W212" i="1"/>
  <c r="W117" i="1"/>
  <c r="Z63" i="1"/>
  <c r="X63" i="1"/>
  <c r="AA63" i="1"/>
  <c r="AB63" i="1"/>
  <c r="Y63" i="1"/>
  <c r="Z82" i="1"/>
  <c r="X82" i="1"/>
  <c r="AA82" i="1"/>
  <c r="AB82" i="1"/>
  <c r="Y82" i="1"/>
  <c r="Z212" i="1"/>
  <c r="X212" i="1"/>
  <c r="AA212" i="1"/>
  <c r="AB212" i="1"/>
  <c r="Y212" i="1"/>
  <c r="X117" i="1"/>
  <c r="Y117" i="1"/>
  <c r="Z117" i="1"/>
  <c r="AA117" i="1"/>
  <c r="AC63" i="1"/>
  <c r="AD63" i="1"/>
  <c r="AE63" i="1"/>
  <c r="AC82" i="1"/>
  <c r="AD82" i="1"/>
  <c r="AE82" i="1"/>
  <c r="AC212" i="1"/>
  <c r="AD212" i="1"/>
  <c r="AE212" i="1"/>
  <c r="AB117" i="1"/>
  <c r="AC117" i="1"/>
  <c r="AD117" i="1"/>
  <c r="AE117" i="1"/>
  <c r="AF63" i="1"/>
  <c r="AF82" i="1"/>
  <c r="AF212" i="1"/>
  <c r="AF117" i="1"/>
  <c r="AG63" i="1"/>
  <c r="AG82" i="1"/>
  <c r="AG212" i="1"/>
  <c r="AG117" i="1"/>
  <c r="AI63" i="1"/>
  <c r="AJ63" i="1"/>
  <c r="AK63" i="1"/>
  <c r="AH63" i="1"/>
  <c r="AI82" i="1"/>
  <c r="AJ82" i="1"/>
  <c r="AK82" i="1"/>
  <c r="AH82" i="1"/>
  <c r="AI212" i="1"/>
  <c r="AJ212" i="1"/>
  <c r="AK212" i="1"/>
  <c r="AH212" i="1"/>
  <c r="AH117" i="1"/>
  <c r="AI117" i="1"/>
  <c r="AJ117" i="1"/>
  <c r="AK117" i="1"/>
  <c r="AL63" i="1"/>
  <c r="AL82" i="1"/>
  <c r="AL212" i="1"/>
  <c r="AL117" i="1"/>
  <c r="AM63" i="1"/>
  <c r="AM82" i="1"/>
  <c r="AM212" i="1"/>
  <c r="AM117" i="1"/>
  <c r="AN63" i="1"/>
  <c r="AN82" i="1"/>
  <c r="AN212" i="1"/>
  <c r="AN117" i="1"/>
  <c r="AO63" i="1"/>
  <c r="AO82" i="1"/>
  <c r="AO212" i="1"/>
  <c r="AO117" i="1"/>
  <c r="AP63" i="1"/>
  <c r="AP82" i="1"/>
  <c r="AP212" i="1"/>
  <c r="AP117" i="1"/>
  <c r="AQ63" i="1"/>
  <c r="AQ82" i="1"/>
  <c r="AQ212" i="1"/>
  <c r="AQ117" i="1"/>
  <c r="AR63" i="1"/>
  <c r="AR82" i="1"/>
  <c r="AR212" i="1"/>
  <c r="AR117" i="1"/>
  <c r="AS63" i="1"/>
  <c r="AS82" i="1"/>
  <c r="AS212" i="1"/>
  <c r="AS117" i="1"/>
  <c r="AT63" i="1"/>
  <c r="AT82" i="1"/>
  <c r="AT212" i="1"/>
  <c r="AT117" i="1"/>
  <c r="AU63" i="1"/>
  <c r="AU82" i="1"/>
  <c r="AU212" i="1"/>
  <c r="AU117" i="1"/>
  <c r="AV63" i="1"/>
  <c r="AV82" i="1"/>
  <c r="AV212" i="1"/>
  <c r="AV117" i="1"/>
  <c r="AX63" i="1"/>
  <c r="AY63" i="1"/>
  <c r="AZ63" i="1"/>
  <c r="AW63" i="1"/>
  <c r="AX82" i="1"/>
  <c r="AY82" i="1"/>
  <c r="AZ82" i="1"/>
  <c r="AW82" i="1"/>
  <c r="AX212" i="1"/>
  <c r="AY212" i="1"/>
  <c r="AZ212" i="1"/>
  <c r="AW212" i="1"/>
  <c r="AW117" i="1"/>
  <c r="AX117" i="1"/>
  <c r="AY117" i="1"/>
  <c r="AZ117" i="1"/>
  <c r="BA63" i="1"/>
  <c r="BA82" i="1"/>
  <c r="BA212" i="1"/>
  <c r="BA117" i="1"/>
  <c r="P173" i="1"/>
  <c r="P191" i="1"/>
  <c r="P193" i="1"/>
  <c r="P213" i="1"/>
  <c r="P118" i="1"/>
  <c r="P126" i="1"/>
  <c r="Q173" i="1"/>
  <c r="Q191" i="1"/>
  <c r="Q193" i="1"/>
  <c r="Q213" i="1"/>
  <c r="Q118" i="1"/>
  <c r="Q126" i="1"/>
  <c r="R83" i="1"/>
  <c r="R173" i="1"/>
  <c r="R180" i="1"/>
  <c r="R181" i="1"/>
  <c r="R182" i="1"/>
  <c r="R183" i="1"/>
  <c r="R184" i="1"/>
  <c r="R185" i="1"/>
  <c r="R186" i="1"/>
  <c r="R187" i="1"/>
  <c r="R188" i="1"/>
  <c r="R189" i="1"/>
  <c r="R190" i="1"/>
  <c r="R191" i="1"/>
  <c r="R192" i="1"/>
  <c r="R193" i="1"/>
  <c r="R213" i="1"/>
  <c r="R118" i="1"/>
  <c r="R126" i="1"/>
  <c r="S83" i="1"/>
  <c r="S173" i="1"/>
  <c r="S180" i="1"/>
  <c r="S181" i="1"/>
  <c r="S182" i="1"/>
  <c r="S183" i="1"/>
  <c r="S184" i="1"/>
  <c r="S185" i="1"/>
  <c r="S186" i="1"/>
  <c r="S187" i="1"/>
  <c r="S188" i="1"/>
  <c r="S189" i="1"/>
  <c r="S190" i="1"/>
  <c r="S191" i="1"/>
  <c r="S192" i="1"/>
  <c r="S193" i="1"/>
  <c r="S213" i="1"/>
  <c r="S118" i="1"/>
  <c r="S126" i="1"/>
  <c r="T83" i="1"/>
  <c r="T173" i="1"/>
  <c r="T180" i="1"/>
  <c r="T181" i="1"/>
  <c r="T182" i="1"/>
  <c r="T183" i="1"/>
  <c r="T184" i="1"/>
  <c r="T185" i="1"/>
  <c r="T186" i="1"/>
  <c r="T187" i="1"/>
  <c r="T188" i="1"/>
  <c r="T189" i="1"/>
  <c r="T190" i="1"/>
  <c r="T191" i="1"/>
  <c r="T192" i="1"/>
  <c r="T193" i="1"/>
  <c r="T213" i="1"/>
  <c r="T118" i="1"/>
  <c r="T126" i="1"/>
  <c r="U83" i="1"/>
  <c r="U173" i="1"/>
  <c r="U180" i="1"/>
  <c r="U181" i="1"/>
  <c r="U182" i="1"/>
  <c r="U183" i="1"/>
  <c r="U184" i="1"/>
  <c r="U185" i="1"/>
  <c r="U186" i="1"/>
  <c r="U187" i="1"/>
  <c r="U188" i="1"/>
  <c r="U189" i="1"/>
  <c r="U190" i="1"/>
  <c r="U191" i="1"/>
  <c r="U192" i="1"/>
  <c r="U193" i="1"/>
  <c r="U213" i="1"/>
  <c r="U118" i="1"/>
  <c r="U126" i="1"/>
  <c r="V83" i="1"/>
  <c r="V173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213" i="1"/>
  <c r="V118" i="1"/>
  <c r="V126" i="1"/>
  <c r="W83" i="1"/>
  <c r="W173" i="1"/>
  <c r="W180" i="1"/>
  <c r="W181" i="1"/>
  <c r="W182" i="1"/>
  <c r="W183" i="1"/>
  <c r="W184" i="1"/>
  <c r="W185" i="1"/>
  <c r="W186" i="1"/>
  <c r="W187" i="1"/>
  <c r="W188" i="1"/>
  <c r="W189" i="1"/>
  <c r="W190" i="1"/>
  <c r="W191" i="1"/>
  <c r="W192" i="1"/>
  <c r="W193" i="1"/>
  <c r="W213" i="1"/>
  <c r="W118" i="1"/>
  <c r="W126" i="1"/>
  <c r="Z83" i="1"/>
  <c r="X83" i="1"/>
  <c r="AA83" i="1"/>
  <c r="AB83" i="1"/>
  <c r="Y83" i="1"/>
  <c r="X173" i="1"/>
  <c r="Z180" i="1"/>
  <c r="X180" i="1"/>
  <c r="AA180" i="1"/>
  <c r="AB180" i="1"/>
  <c r="Y180" i="1"/>
  <c r="Z181" i="1"/>
  <c r="X181" i="1"/>
  <c r="AA181" i="1"/>
  <c r="AB181" i="1"/>
  <c r="Y181" i="1"/>
  <c r="Z182" i="1"/>
  <c r="X182" i="1"/>
  <c r="AA182" i="1"/>
  <c r="AB182" i="1"/>
  <c r="Y182" i="1"/>
  <c r="Z183" i="1"/>
  <c r="X183" i="1"/>
  <c r="AA183" i="1"/>
  <c r="AB183" i="1"/>
  <c r="Y183" i="1"/>
  <c r="Z184" i="1"/>
  <c r="X184" i="1"/>
  <c r="AA184" i="1"/>
  <c r="AB184" i="1"/>
  <c r="Y184" i="1"/>
  <c r="Z185" i="1"/>
  <c r="X185" i="1"/>
  <c r="AA185" i="1"/>
  <c r="AB185" i="1"/>
  <c r="Y185" i="1"/>
  <c r="Z186" i="1"/>
  <c r="X186" i="1"/>
  <c r="AA186" i="1"/>
  <c r="AB186" i="1"/>
  <c r="Y186" i="1"/>
  <c r="Z187" i="1"/>
  <c r="X187" i="1"/>
  <c r="AA187" i="1"/>
  <c r="AB187" i="1"/>
  <c r="Y187" i="1"/>
  <c r="Z188" i="1"/>
  <c r="X188" i="1"/>
  <c r="AA188" i="1"/>
  <c r="AB188" i="1"/>
  <c r="Y188" i="1"/>
  <c r="Z189" i="1"/>
  <c r="X189" i="1"/>
  <c r="AA189" i="1"/>
  <c r="AB189" i="1"/>
  <c r="Y189" i="1"/>
  <c r="Z190" i="1"/>
  <c r="X190" i="1"/>
  <c r="AA190" i="1"/>
  <c r="AB190" i="1"/>
  <c r="Y190" i="1"/>
  <c r="X191" i="1"/>
  <c r="Z192" i="1"/>
  <c r="X192" i="1"/>
  <c r="AA192" i="1"/>
  <c r="AB192" i="1"/>
  <c r="Y192" i="1"/>
  <c r="X193" i="1"/>
  <c r="X213" i="1"/>
  <c r="X118" i="1"/>
  <c r="X126" i="1"/>
  <c r="Y173" i="1"/>
  <c r="Y191" i="1"/>
  <c r="Y193" i="1"/>
  <c r="Y213" i="1"/>
  <c r="Y118" i="1"/>
  <c r="Y126" i="1"/>
  <c r="Z173" i="1"/>
  <c r="Z191" i="1"/>
  <c r="Z193" i="1"/>
  <c r="Z213" i="1"/>
  <c r="Z118" i="1"/>
  <c r="Z126" i="1"/>
  <c r="AA173" i="1"/>
  <c r="AA191" i="1"/>
  <c r="AA193" i="1"/>
  <c r="AA213" i="1"/>
  <c r="AA118" i="1"/>
  <c r="AA126" i="1"/>
  <c r="AC83" i="1"/>
  <c r="AD83" i="1"/>
  <c r="AE83" i="1"/>
  <c r="AB173" i="1"/>
  <c r="AC180" i="1"/>
  <c r="AD180" i="1"/>
  <c r="AE180" i="1"/>
  <c r="AC181" i="1"/>
  <c r="AD181" i="1"/>
  <c r="AE181" i="1"/>
  <c r="AC182" i="1"/>
  <c r="AD182" i="1"/>
  <c r="AE182" i="1"/>
  <c r="AC183" i="1"/>
  <c r="AD183" i="1"/>
  <c r="AE183" i="1"/>
  <c r="AC184" i="1"/>
  <c r="AD184" i="1"/>
  <c r="AE184" i="1"/>
  <c r="AC185" i="1"/>
  <c r="AD185" i="1"/>
  <c r="AE185" i="1"/>
  <c r="AC186" i="1"/>
  <c r="AD186" i="1"/>
  <c r="AE186" i="1"/>
  <c r="AC187" i="1"/>
  <c r="AD187" i="1"/>
  <c r="AE187" i="1"/>
  <c r="AC188" i="1"/>
  <c r="AD188" i="1"/>
  <c r="AE188" i="1"/>
  <c r="AC189" i="1"/>
  <c r="AD189" i="1"/>
  <c r="AE189" i="1"/>
  <c r="AC190" i="1"/>
  <c r="AD190" i="1"/>
  <c r="AE190" i="1"/>
  <c r="AB191" i="1"/>
  <c r="AC192" i="1"/>
  <c r="AD192" i="1"/>
  <c r="AE192" i="1"/>
  <c r="AB193" i="1"/>
  <c r="AB213" i="1"/>
  <c r="AB118" i="1"/>
  <c r="AB126" i="1"/>
  <c r="AC173" i="1"/>
  <c r="AC191" i="1"/>
  <c r="AC193" i="1"/>
  <c r="AC213" i="1"/>
  <c r="AC118" i="1"/>
  <c r="AC126" i="1"/>
  <c r="AD173" i="1"/>
  <c r="AD191" i="1"/>
  <c r="AD193" i="1"/>
  <c r="AD213" i="1"/>
  <c r="AD118" i="1"/>
  <c r="AD126" i="1"/>
  <c r="AE173" i="1"/>
  <c r="AE191" i="1"/>
  <c r="AE193" i="1"/>
  <c r="AE213" i="1"/>
  <c r="AE118" i="1"/>
  <c r="AE126" i="1"/>
  <c r="AF83" i="1"/>
  <c r="AF173" i="1"/>
  <c r="AF180" i="1"/>
  <c r="AF181" i="1"/>
  <c r="AF182" i="1"/>
  <c r="AF183" i="1"/>
  <c r="AF184" i="1"/>
  <c r="AF185" i="1"/>
  <c r="AF186" i="1"/>
  <c r="AF187" i="1"/>
  <c r="AF188" i="1"/>
  <c r="AF189" i="1"/>
  <c r="AF190" i="1"/>
  <c r="AF191" i="1"/>
  <c r="AF192" i="1"/>
  <c r="AF193" i="1"/>
  <c r="AF213" i="1"/>
  <c r="AF118" i="1"/>
  <c r="AF126" i="1"/>
  <c r="AG83" i="1"/>
  <c r="AG173" i="1"/>
  <c r="AG180" i="1"/>
  <c r="AG181" i="1"/>
  <c r="AG182" i="1"/>
  <c r="AG183" i="1"/>
  <c r="AG184" i="1"/>
  <c r="AG185" i="1"/>
  <c r="AG186" i="1"/>
  <c r="AG187" i="1"/>
  <c r="AG188" i="1"/>
  <c r="AG189" i="1"/>
  <c r="AG190" i="1"/>
  <c r="AG191" i="1"/>
  <c r="AG192" i="1"/>
  <c r="AG193" i="1"/>
  <c r="AG213" i="1"/>
  <c r="AG118" i="1"/>
  <c r="AG126" i="1"/>
  <c r="AI83" i="1"/>
  <c r="AJ83" i="1"/>
  <c r="AK83" i="1"/>
  <c r="AH83" i="1"/>
  <c r="AH173" i="1"/>
  <c r="AI180" i="1"/>
  <c r="AJ180" i="1"/>
  <c r="AK180" i="1"/>
  <c r="AH180" i="1"/>
  <c r="AI181" i="1"/>
  <c r="AJ181" i="1"/>
  <c r="AK181" i="1"/>
  <c r="AH181" i="1"/>
  <c r="AI182" i="1"/>
  <c r="AJ182" i="1"/>
  <c r="AK182" i="1"/>
  <c r="AH182" i="1"/>
  <c r="AI183" i="1"/>
  <c r="AJ183" i="1"/>
  <c r="AK183" i="1"/>
  <c r="AH183" i="1"/>
  <c r="AI184" i="1"/>
  <c r="AJ184" i="1"/>
  <c r="AK184" i="1"/>
  <c r="AH184" i="1"/>
  <c r="AI185" i="1"/>
  <c r="AJ185" i="1"/>
  <c r="AK185" i="1"/>
  <c r="AH185" i="1"/>
  <c r="AI186" i="1"/>
  <c r="AJ186" i="1"/>
  <c r="AK186" i="1"/>
  <c r="AH186" i="1"/>
  <c r="AI187" i="1"/>
  <c r="AJ187" i="1"/>
  <c r="AK187" i="1"/>
  <c r="AH187" i="1"/>
  <c r="AI188" i="1"/>
  <c r="AJ188" i="1"/>
  <c r="AK188" i="1"/>
  <c r="AH188" i="1"/>
  <c r="AI189" i="1"/>
  <c r="AJ189" i="1"/>
  <c r="AK189" i="1"/>
  <c r="AH189" i="1"/>
  <c r="AI190" i="1"/>
  <c r="AJ190" i="1"/>
  <c r="AK190" i="1"/>
  <c r="AH190" i="1"/>
  <c r="AH191" i="1"/>
  <c r="AI192" i="1"/>
  <c r="AJ192" i="1"/>
  <c r="AK192" i="1"/>
  <c r="AH192" i="1"/>
  <c r="AH193" i="1"/>
  <c r="AH213" i="1"/>
  <c r="AH118" i="1"/>
  <c r="AH126" i="1"/>
  <c r="AI173" i="1"/>
  <c r="AI191" i="1"/>
  <c r="AI193" i="1"/>
  <c r="AI213" i="1"/>
  <c r="AI118" i="1"/>
  <c r="AI126" i="1"/>
  <c r="AJ173" i="1"/>
  <c r="AJ191" i="1"/>
  <c r="AJ193" i="1"/>
  <c r="AJ213" i="1"/>
  <c r="AJ118" i="1"/>
  <c r="AJ126" i="1"/>
  <c r="AK173" i="1"/>
  <c r="AK191" i="1"/>
  <c r="AK193" i="1"/>
  <c r="AK213" i="1"/>
  <c r="AK118" i="1"/>
  <c r="AK126" i="1"/>
  <c r="AL83" i="1"/>
  <c r="AL173" i="1"/>
  <c r="AL180" i="1"/>
  <c r="AL181" i="1"/>
  <c r="AL182" i="1"/>
  <c r="AL183" i="1"/>
  <c r="AL184" i="1"/>
  <c r="AL185" i="1"/>
  <c r="AL186" i="1"/>
  <c r="AL187" i="1"/>
  <c r="AL188" i="1"/>
  <c r="AL189" i="1"/>
  <c r="AL190" i="1"/>
  <c r="AL191" i="1"/>
  <c r="AL192" i="1"/>
  <c r="AL193" i="1"/>
  <c r="AL213" i="1"/>
  <c r="AL118" i="1"/>
  <c r="AL126" i="1"/>
  <c r="AM83" i="1"/>
  <c r="AM173" i="1"/>
  <c r="AM180" i="1"/>
  <c r="AM181" i="1"/>
  <c r="AM182" i="1"/>
  <c r="AM183" i="1"/>
  <c r="AM184" i="1"/>
  <c r="AM185" i="1"/>
  <c r="AM186" i="1"/>
  <c r="AM187" i="1"/>
  <c r="AM188" i="1"/>
  <c r="AM189" i="1"/>
  <c r="AM190" i="1"/>
  <c r="AM191" i="1"/>
  <c r="AM192" i="1"/>
  <c r="AM193" i="1"/>
  <c r="AM213" i="1"/>
  <c r="AM118" i="1"/>
  <c r="AM126" i="1"/>
  <c r="AN83" i="1"/>
  <c r="AN173" i="1"/>
  <c r="AN180" i="1"/>
  <c r="AN181" i="1"/>
  <c r="AN182" i="1"/>
  <c r="AN183" i="1"/>
  <c r="AN184" i="1"/>
  <c r="AN185" i="1"/>
  <c r="AN186" i="1"/>
  <c r="AN187" i="1"/>
  <c r="AN188" i="1"/>
  <c r="AN189" i="1"/>
  <c r="AN190" i="1"/>
  <c r="AN191" i="1"/>
  <c r="AN192" i="1"/>
  <c r="AN193" i="1"/>
  <c r="AN213" i="1"/>
  <c r="AN118" i="1"/>
  <c r="AN126" i="1"/>
  <c r="AO83" i="1"/>
  <c r="AO173" i="1"/>
  <c r="AO180" i="1"/>
  <c r="AO181" i="1"/>
  <c r="AO182" i="1"/>
  <c r="AO183" i="1"/>
  <c r="AO184" i="1"/>
  <c r="AO185" i="1"/>
  <c r="AO186" i="1"/>
  <c r="AO187" i="1"/>
  <c r="AO188" i="1"/>
  <c r="AO189" i="1"/>
  <c r="AO190" i="1"/>
  <c r="AO191" i="1"/>
  <c r="AO192" i="1"/>
  <c r="AO193" i="1"/>
  <c r="AO213" i="1"/>
  <c r="AO118" i="1"/>
  <c r="AO126" i="1"/>
  <c r="AP83" i="1"/>
  <c r="AP173" i="1"/>
  <c r="AP180" i="1"/>
  <c r="AP181" i="1"/>
  <c r="AP182" i="1"/>
  <c r="AP183" i="1"/>
  <c r="AP184" i="1"/>
  <c r="AP185" i="1"/>
  <c r="AP186" i="1"/>
  <c r="AP187" i="1"/>
  <c r="AP188" i="1"/>
  <c r="AP189" i="1"/>
  <c r="AP190" i="1"/>
  <c r="AP191" i="1"/>
  <c r="AP192" i="1"/>
  <c r="AP193" i="1"/>
  <c r="AP213" i="1"/>
  <c r="AP118" i="1"/>
  <c r="AP126" i="1"/>
  <c r="AQ83" i="1"/>
  <c r="AQ173" i="1"/>
  <c r="AQ180" i="1"/>
  <c r="AQ181" i="1"/>
  <c r="AQ182" i="1"/>
  <c r="AQ183" i="1"/>
  <c r="AQ184" i="1"/>
  <c r="AQ185" i="1"/>
  <c r="AQ186" i="1"/>
  <c r="AQ187" i="1"/>
  <c r="AQ188" i="1"/>
  <c r="AQ189" i="1"/>
  <c r="AQ190" i="1"/>
  <c r="AQ191" i="1"/>
  <c r="AQ192" i="1"/>
  <c r="AQ193" i="1"/>
  <c r="AQ213" i="1"/>
  <c r="AQ118" i="1"/>
  <c r="AQ126" i="1"/>
  <c r="AR83" i="1"/>
  <c r="AR173" i="1"/>
  <c r="AR180" i="1"/>
  <c r="AR181" i="1"/>
  <c r="AR182" i="1"/>
  <c r="AR183" i="1"/>
  <c r="AR184" i="1"/>
  <c r="AR185" i="1"/>
  <c r="AR186" i="1"/>
  <c r="AR187" i="1"/>
  <c r="AR188" i="1"/>
  <c r="AR189" i="1"/>
  <c r="AR190" i="1"/>
  <c r="AR191" i="1"/>
  <c r="AR192" i="1"/>
  <c r="AR193" i="1"/>
  <c r="AR213" i="1"/>
  <c r="AR118" i="1"/>
  <c r="AR126" i="1"/>
  <c r="AS83" i="1"/>
  <c r="AS173" i="1"/>
  <c r="AS180" i="1"/>
  <c r="AS181" i="1"/>
  <c r="AS182" i="1"/>
  <c r="AS183" i="1"/>
  <c r="AS184" i="1"/>
  <c r="AS185" i="1"/>
  <c r="AS186" i="1"/>
  <c r="AS187" i="1"/>
  <c r="AS188" i="1"/>
  <c r="AS189" i="1"/>
  <c r="AS190" i="1"/>
  <c r="AS191" i="1"/>
  <c r="AS192" i="1"/>
  <c r="AS193" i="1"/>
  <c r="AS213" i="1"/>
  <c r="AS118" i="1"/>
  <c r="AS126" i="1"/>
  <c r="AT83" i="1"/>
  <c r="AT173" i="1"/>
  <c r="AT180" i="1"/>
  <c r="AT181" i="1"/>
  <c r="AT182" i="1"/>
  <c r="AT183" i="1"/>
  <c r="AT184" i="1"/>
  <c r="AT185" i="1"/>
  <c r="AT186" i="1"/>
  <c r="AT187" i="1"/>
  <c r="AT188" i="1"/>
  <c r="AT189" i="1"/>
  <c r="AT190" i="1"/>
  <c r="AT191" i="1"/>
  <c r="AT192" i="1"/>
  <c r="AT193" i="1"/>
  <c r="AT213" i="1"/>
  <c r="AT118" i="1"/>
  <c r="AT126" i="1"/>
  <c r="AU83" i="1"/>
  <c r="AU173" i="1"/>
  <c r="AU180" i="1"/>
  <c r="AU181" i="1"/>
  <c r="AU182" i="1"/>
  <c r="AU183" i="1"/>
  <c r="AU184" i="1"/>
  <c r="AU185" i="1"/>
  <c r="AU186" i="1"/>
  <c r="AU187" i="1"/>
  <c r="AU188" i="1"/>
  <c r="AU189" i="1"/>
  <c r="AU190" i="1"/>
  <c r="AU191" i="1"/>
  <c r="AU192" i="1"/>
  <c r="AU193" i="1"/>
  <c r="AU213" i="1"/>
  <c r="AU118" i="1"/>
  <c r="AU126" i="1"/>
  <c r="AV83" i="1"/>
  <c r="AV173" i="1"/>
  <c r="AV180" i="1"/>
  <c r="AV181" i="1"/>
  <c r="AV182" i="1"/>
  <c r="AV183" i="1"/>
  <c r="AV184" i="1"/>
  <c r="AV185" i="1"/>
  <c r="AV186" i="1"/>
  <c r="AV187" i="1"/>
  <c r="AV188" i="1"/>
  <c r="AV189" i="1"/>
  <c r="AV190" i="1"/>
  <c r="AV191" i="1"/>
  <c r="AV192" i="1"/>
  <c r="AV193" i="1"/>
  <c r="AV213" i="1"/>
  <c r="AV118" i="1"/>
  <c r="AV126" i="1"/>
  <c r="AX83" i="1"/>
  <c r="AY83" i="1"/>
  <c r="AZ83" i="1"/>
  <c r="AW83" i="1"/>
  <c r="AW173" i="1"/>
  <c r="AX180" i="1"/>
  <c r="AY180" i="1"/>
  <c r="AZ180" i="1"/>
  <c r="AW180" i="1"/>
  <c r="AX181" i="1"/>
  <c r="AY181" i="1"/>
  <c r="AZ181" i="1"/>
  <c r="AW181" i="1"/>
  <c r="AX182" i="1"/>
  <c r="AY182" i="1"/>
  <c r="AZ182" i="1"/>
  <c r="AW182" i="1"/>
  <c r="AX183" i="1"/>
  <c r="AY183" i="1"/>
  <c r="AZ183" i="1"/>
  <c r="AW183" i="1"/>
  <c r="AX184" i="1"/>
  <c r="AY184" i="1"/>
  <c r="AZ184" i="1"/>
  <c r="AW184" i="1"/>
  <c r="AX185" i="1"/>
  <c r="AY185" i="1"/>
  <c r="AZ185" i="1"/>
  <c r="AW185" i="1"/>
  <c r="AX186" i="1"/>
  <c r="AY186" i="1"/>
  <c r="AZ186" i="1"/>
  <c r="AW186" i="1"/>
  <c r="AX187" i="1"/>
  <c r="AY187" i="1"/>
  <c r="AZ187" i="1"/>
  <c r="AW187" i="1"/>
  <c r="AX188" i="1"/>
  <c r="AY188" i="1"/>
  <c r="AZ188" i="1"/>
  <c r="AW188" i="1"/>
  <c r="AX189" i="1"/>
  <c r="AY189" i="1"/>
  <c r="AZ189" i="1"/>
  <c r="AW189" i="1"/>
  <c r="AX190" i="1"/>
  <c r="AY190" i="1"/>
  <c r="AZ190" i="1"/>
  <c r="AW190" i="1"/>
  <c r="AW191" i="1"/>
  <c r="AX192" i="1"/>
  <c r="AY192" i="1"/>
  <c r="AZ192" i="1"/>
  <c r="AW192" i="1"/>
  <c r="AW193" i="1"/>
  <c r="AW213" i="1"/>
  <c r="AW118" i="1"/>
  <c r="AW126" i="1"/>
  <c r="AX173" i="1"/>
  <c r="AX191" i="1"/>
  <c r="AX193" i="1"/>
  <c r="AX213" i="1"/>
  <c r="AX118" i="1"/>
  <c r="AX126" i="1"/>
  <c r="AY173" i="1"/>
  <c r="AY191" i="1"/>
  <c r="AY193" i="1"/>
  <c r="AY213" i="1"/>
  <c r="AY118" i="1"/>
  <c r="AY126" i="1"/>
  <c r="AZ173" i="1"/>
  <c r="AZ191" i="1"/>
  <c r="AZ193" i="1"/>
  <c r="AZ213" i="1"/>
  <c r="AZ118" i="1"/>
  <c r="AZ126" i="1"/>
  <c r="BA83" i="1"/>
  <c r="BA173" i="1"/>
  <c r="BA180" i="1"/>
  <c r="BA181" i="1"/>
  <c r="BA182" i="1"/>
  <c r="BA183" i="1"/>
  <c r="BA184" i="1"/>
  <c r="BA185" i="1"/>
  <c r="BA186" i="1"/>
  <c r="BA187" i="1"/>
  <c r="BA188" i="1"/>
  <c r="BA189" i="1"/>
  <c r="BA190" i="1"/>
  <c r="BA191" i="1"/>
  <c r="BA192" i="1"/>
  <c r="BA193" i="1"/>
  <c r="BA213" i="1"/>
  <c r="BA118" i="1"/>
  <c r="BA126" i="1"/>
  <c r="P127" i="1"/>
  <c r="Q127" i="1"/>
  <c r="R84" i="1"/>
  <c r="R214" i="1"/>
  <c r="R127" i="1"/>
  <c r="S84" i="1"/>
  <c r="S214" i="1"/>
  <c r="S127" i="1"/>
  <c r="T84" i="1"/>
  <c r="T214" i="1"/>
  <c r="T127" i="1"/>
  <c r="U84" i="1"/>
  <c r="U214" i="1"/>
  <c r="U127" i="1"/>
  <c r="V84" i="1"/>
  <c r="V214" i="1"/>
  <c r="V127" i="1"/>
  <c r="W84" i="1"/>
  <c r="W214" i="1"/>
  <c r="W127" i="1"/>
  <c r="Z84" i="1"/>
  <c r="X84" i="1"/>
  <c r="AA84" i="1"/>
  <c r="AB84" i="1"/>
  <c r="Y84" i="1"/>
  <c r="Z214" i="1"/>
  <c r="X214" i="1"/>
  <c r="AA214" i="1"/>
  <c r="AB214" i="1"/>
  <c r="Y214" i="1"/>
  <c r="X127" i="1"/>
  <c r="Y127" i="1"/>
  <c r="Z127" i="1"/>
  <c r="AA127" i="1"/>
  <c r="AC84" i="1"/>
  <c r="AD84" i="1"/>
  <c r="AE84" i="1"/>
  <c r="AC214" i="1"/>
  <c r="AD214" i="1"/>
  <c r="AE214" i="1"/>
  <c r="AB127" i="1"/>
  <c r="AC127" i="1"/>
  <c r="AD127" i="1"/>
  <c r="AE127" i="1"/>
  <c r="AF84" i="1"/>
  <c r="AF214" i="1"/>
  <c r="AF127" i="1"/>
  <c r="AG84" i="1"/>
  <c r="AG214" i="1"/>
  <c r="AG127" i="1"/>
  <c r="AI84" i="1"/>
  <c r="AJ84" i="1"/>
  <c r="AK84" i="1"/>
  <c r="AH84" i="1"/>
  <c r="AI214" i="1"/>
  <c r="AJ214" i="1"/>
  <c r="AK214" i="1"/>
  <c r="AH214" i="1"/>
  <c r="AH127" i="1"/>
  <c r="AI127" i="1"/>
  <c r="AJ127" i="1"/>
  <c r="AK127" i="1"/>
  <c r="AL84" i="1"/>
  <c r="AL214" i="1"/>
  <c r="AL127" i="1"/>
  <c r="AM84" i="1"/>
  <c r="AM214" i="1"/>
  <c r="AM127" i="1"/>
  <c r="AN84" i="1"/>
  <c r="AN214" i="1"/>
  <c r="AN127" i="1"/>
  <c r="AO84" i="1"/>
  <c r="AO214" i="1"/>
  <c r="AO127" i="1"/>
  <c r="AP84" i="1"/>
  <c r="AP214" i="1"/>
  <c r="AP127" i="1"/>
  <c r="AQ84" i="1"/>
  <c r="AQ214" i="1"/>
  <c r="AQ127" i="1"/>
  <c r="AR84" i="1"/>
  <c r="AR214" i="1"/>
  <c r="AR127" i="1"/>
  <c r="AS84" i="1"/>
  <c r="AS214" i="1"/>
  <c r="AS127" i="1"/>
  <c r="AT84" i="1"/>
  <c r="AT214" i="1"/>
  <c r="AT127" i="1"/>
  <c r="AU84" i="1"/>
  <c r="AU214" i="1"/>
  <c r="AU127" i="1"/>
  <c r="AV84" i="1"/>
  <c r="AV214" i="1"/>
  <c r="AV127" i="1"/>
  <c r="AX84" i="1"/>
  <c r="AY84" i="1"/>
  <c r="AZ84" i="1"/>
  <c r="AW84" i="1"/>
  <c r="AX214" i="1"/>
  <c r="AY214" i="1"/>
  <c r="AZ214" i="1"/>
  <c r="AW214" i="1"/>
  <c r="AW127" i="1"/>
  <c r="AX127" i="1"/>
  <c r="AY127" i="1"/>
  <c r="AZ127" i="1"/>
  <c r="BA84" i="1"/>
  <c r="BA214" i="1"/>
  <c r="BA127" i="1"/>
  <c r="P215" i="1"/>
  <c r="Q215" i="1"/>
  <c r="R85" i="1"/>
  <c r="R215" i="1"/>
  <c r="S85" i="1"/>
  <c r="S215" i="1"/>
  <c r="T85" i="1"/>
  <c r="T215" i="1"/>
  <c r="U85" i="1"/>
  <c r="U215" i="1"/>
  <c r="V85" i="1"/>
  <c r="V215" i="1"/>
  <c r="W85" i="1"/>
  <c r="W215" i="1"/>
  <c r="Z85" i="1"/>
  <c r="X85" i="1"/>
  <c r="AA85" i="1"/>
  <c r="AB85" i="1"/>
  <c r="Y85" i="1"/>
  <c r="X215" i="1"/>
  <c r="Y215" i="1"/>
  <c r="Z215" i="1"/>
  <c r="AA215" i="1"/>
  <c r="AC85" i="1"/>
  <c r="AD85" i="1"/>
  <c r="AE85" i="1"/>
  <c r="AB215" i="1"/>
  <c r="AC215" i="1"/>
  <c r="AD215" i="1"/>
  <c r="AE215" i="1"/>
  <c r="AF85" i="1"/>
  <c r="AF215" i="1"/>
  <c r="AG85" i="1"/>
  <c r="AG215" i="1"/>
  <c r="AI85" i="1"/>
  <c r="AJ85" i="1"/>
  <c r="AK85" i="1"/>
  <c r="AH85" i="1"/>
  <c r="AH215" i="1"/>
  <c r="AI215" i="1"/>
  <c r="AJ215" i="1"/>
  <c r="AK215" i="1"/>
  <c r="AL85" i="1"/>
  <c r="AL215" i="1"/>
  <c r="AM85" i="1"/>
  <c r="AM215" i="1"/>
  <c r="AN85" i="1"/>
  <c r="AN215" i="1"/>
  <c r="AO85" i="1"/>
  <c r="AO215" i="1"/>
  <c r="AP85" i="1"/>
  <c r="AP215" i="1"/>
  <c r="AQ85" i="1"/>
  <c r="AQ215" i="1"/>
  <c r="AR85" i="1"/>
  <c r="AR215" i="1"/>
  <c r="AS85" i="1"/>
  <c r="AS215" i="1"/>
  <c r="AT85" i="1"/>
  <c r="AT215" i="1"/>
  <c r="AU85" i="1"/>
  <c r="AU215" i="1"/>
  <c r="AV85" i="1"/>
  <c r="AV215" i="1"/>
  <c r="AX85" i="1"/>
  <c r="AY85" i="1"/>
  <c r="AZ85" i="1"/>
  <c r="AW85" i="1"/>
  <c r="AW215" i="1"/>
  <c r="AX215" i="1"/>
  <c r="AY215" i="1"/>
  <c r="AZ215" i="1"/>
  <c r="BA85" i="1"/>
  <c r="BA215" i="1"/>
  <c r="P129" i="1"/>
  <c r="Q129" i="1"/>
  <c r="R86" i="1"/>
  <c r="R129" i="1"/>
  <c r="S86" i="1"/>
  <c r="S129" i="1"/>
  <c r="T86" i="1"/>
  <c r="T129" i="1"/>
  <c r="U86" i="1"/>
  <c r="U129" i="1"/>
  <c r="V86" i="1"/>
  <c r="V129" i="1"/>
  <c r="W86" i="1"/>
  <c r="W129" i="1"/>
  <c r="Z86" i="1"/>
  <c r="X86" i="1"/>
  <c r="AA86" i="1"/>
  <c r="AB86" i="1"/>
  <c r="Y86" i="1"/>
  <c r="X129" i="1"/>
  <c r="Y129" i="1"/>
  <c r="Z129" i="1"/>
  <c r="AA129" i="1"/>
  <c r="AC86" i="1"/>
  <c r="AD86" i="1"/>
  <c r="AE86" i="1"/>
  <c r="AB129" i="1"/>
  <c r="AC129" i="1"/>
  <c r="AD129" i="1"/>
  <c r="AE129" i="1"/>
  <c r="AF86" i="1"/>
  <c r="AF129" i="1"/>
  <c r="AG86" i="1"/>
  <c r="AG129" i="1"/>
  <c r="AI86" i="1"/>
  <c r="AJ86" i="1"/>
  <c r="AK86" i="1"/>
  <c r="AH86" i="1"/>
  <c r="AH129" i="1"/>
  <c r="AI129" i="1"/>
  <c r="AJ129" i="1"/>
  <c r="AK129" i="1"/>
  <c r="AL86" i="1"/>
  <c r="AL129" i="1"/>
  <c r="AM86" i="1"/>
  <c r="AM129" i="1"/>
  <c r="AN86" i="1"/>
  <c r="AN129" i="1"/>
  <c r="AO86" i="1"/>
  <c r="AO129" i="1"/>
  <c r="AP86" i="1"/>
  <c r="AP129" i="1"/>
  <c r="AQ86" i="1"/>
  <c r="AQ129" i="1"/>
  <c r="AR86" i="1"/>
  <c r="AR129" i="1"/>
  <c r="AS86" i="1"/>
  <c r="AS129" i="1"/>
  <c r="AT86" i="1"/>
  <c r="AT129" i="1"/>
  <c r="AU86" i="1"/>
  <c r="AU129" i="1"/>
  <c r="AV86" i="1"/>
  <c r="AV129" i="1"/>
  <c r="AX86" i="1"/>
  <c r="AY86" i="1"/>
  <c r="AZ86" i="1"/>
  <c r="AW86" i="1"/>
  <c r="AW129" i="1"/>
  <c r="AX129" i="1"/>
  <c r="AY129" i="1"/>
  <c r="AZ129" i="1"/>
  <c r="BA86" i="1"/>
  <c r="BA129" i="1"/>
  <c r="P93" i="1"/>
  <c r="P217" i="1"/>
  <c r="P135" i="1"/>
  <c r="Q93" i="1"/>
  <c r="Q217" i="1"/>
  <c r="Q135" i="1"/>
  <c r="R93" i="1"/>
  <c r="R217" i="1"/>
  <c r="R135" i="1"/>
  <c r="S93" i="1"/>
  <c r="S217" i="1"/>
  <c r="S135" i="1"/>
  <c r="T93" i="1"/>
  <c r="T217" i="1"/>
  <c r="T135" i="1"/>
  <c r="U93" i="1"/>
  <c r="U217" i="1"/>
  <c r="U135" i="1"/>
  <c r="V93" i="1"/>
  <c r="V217" i="1"/>
  <c r="V135" i="1"/>
  <c r="W93" i="1"/>
  <c r="W217" i="1"/>
  <c r="W135" i="1"/>
  <c r="X93" i="1"/>
  <c r="X217" i="1"/>
  <c r="Y93" i="1"/>
  <c r="Y217" i="1"/>
  <c r="Z93" i="1"/>
  <c r="Z217" i="1"/>
  <c r="AA93" i="1"/>
  <c r="AA217" i="1"/>
  <c r="AB93" i="1"/>
  <c r="AB217" i="1"/>
  <c r="AC93" i="1"/>
  <c r="AC217" i="1"/>
  <c r="AD93" i="1"/>
  <c r="AD217" i="1"/>
  <c r="AE93" i="1"/>
  <c r="AE217" i="1"/>
  <c r="AF93" i="1"/>
  <c r="AF217" i="1"/>
  <c r="AG93" i="1"/>
  <c r="AG217" i="1"/>
  <c r="AH93" i="1"/>
  <c r="AH217" i="1"/>
  <c r="AI93" i="1"/>
  <c r="AI217" i="1"/>
  <c r="AJ93" i="1"/>
  <c r="AJ217" i="1"/>
  <c r="AK93" i="1"/>
  <c r="AK217" i="1"/>
  <c r="AL93" i="1"/>
  <c r="AL217" i="1"/>
  <c r="AM93" i="1"/>
  <c r="AM217" i="1"/>
  <c r="AN93" i="1"/>
  <c r="AN217" i="1"/>
  <c r="AO93" i="1"/>
  <c r="AO217" i="1"/>
  <c r="AP93" i="1"/>
  <c r="AP217" i="1"/>
  <c r="AQ93" i="1"/>
  <c r="AQ217" i="1"/>
  <c r="AR93" i="1"/>
  <c r="AR217" i="1"/>
  <c r="AS93" i="1"/>
  <c r="AS217" i="1"/>
  <c r="AT93" i="1"/>
  <c r="AT217" i="1"/>
  <c r="AU93" i="1"/>
  <c r="AU217" i="1"/>
  <c r="AV93" i="1"/>
  <c r="AV217" i="1"/>
  <c r="AW93" i="1"/>
  <c r="AW217" i="1"/>
  <c r="AX93" i="1"/>
  <c r="AX217" i="1"/>
  <c r="AY93" i="1"/>
  <c r="AY217" i="1"/>
  <c r="AZ93" i="1"/>
  <c r="AZ217" i="1"/>
  <c r="BA93" i="1"/>
  <c r="BA217" i="1"/>
  <c r="P141" i="1"/>
  <c r="Q141" i="1"/>
  <c r="R141" i="1"/>
  <c r="S141" i="1"/>
  <c r="T141" i="1"/>
  <c r="U141" i="1"/>
  <c r="V141" i="1"/>
  <c r="W141" i="1"/>
  <c r="P142" i="1"/>
  <c r="Q142" i="1"/>
  <c r="R142" i="1"/>
  <c r="S142" i="1"/>
  <c r="T142" i="1"/>
  <c r="U142" i="1"/>
  <c r="V142" i="1"/>
  <c r="W142" i="1"/>
  <c r="P147" i="1"/>
  <c r="Q147" i="1"/>
  <c r="R147" i="1"/>
  <c r="S147" i="1"/>
  <c r="T147" i="1"/>
  <c r="U147" i="1"/>
  <c r="V147" i="1"/>
  <c r="W147" i="1"/>
  <c r="P148" i="1"/>
  <c r="P157" i="1"/>
  <c r="Q148" i="1"/>
  <c r="Q157" i="1"/>
  <c r="R148" i="1"/>
  <c r="R157" i="1"/>
  <c r="S148" i="1"/>
  <c r="S157" i="1"/>
  <c r="T148" i="1"/>
  <c r="T157" i="1"/>
  <c r="U148" i="1"/>
  <c r="U157" i="1"/>
  <c r="V148" i="1"/>
  <c r="V157" i="1"/>
  <c r="W148" i="1"/>
  <c r="W157" i="1"/>
  <c r="O60" i="1"/>
  <c r="O148" i="1"/>
  <c r="O157" i="1"/>
  <c r="O59" i="1"/>
  <c r="O44" i="1"/>
  <c r="O147" i="1"/>
  <c r="O57" i="1"/>
  <c r="O31" i="1"/>
  <c r="O30" i="1"/>
  <c r="O115" i="1"/>
  <c r="O141" i="1"/>
  <c r="O142" i="1"/>
  <c r="O114" i="1"/>
  <c r="O111" i="1"/>
  <c r="O126" i="1"/>
  <c r="O127" i="1"/>
  <c r="O129" i="1"/>
  <c r="O173" i="1"/>
  <c r="O191" i="1"/>
  <c r="O193" i="1"/>
  <c r="O203" i="1"/>
  <c r="O211" i="1"/>
  <c r="O213" i="1"/>
  <c r="O215" i="1"/>
  <c r="O93" i="1"/>
  <c r="O217" i="1"/>
  <c r="O113" i="1"/>
  <c r="O135" i="1"/>
  <c r="O120" i="1"/>
  <c r="O26" i="1"/>
  <c r="O118" i="1"/>
  <c r="O117" i="1"/>
  <c r="O116" i="1"/>
  <c r="O107" i="1"/>
  <c r="O106" i="1"/>
  <c r="O105" i="1"/>
  <c r="O104" i="1"/>
  <c r="O103" i="1"/>
  <c r="O102" i="1"/>
  <c r="O101" i="1"/>
  <c r="N26" i="1"/>
  <c r="N30" i="1"/>
  <c r="N31" i="1"/>
  <c r="D14" i="1"/>
  <c r="BB13" i="1"/>
  <c r="BC13" i="1"/>
  <c r="BD13" i="1"/>
  <c r="BE13" i="1"/>
  <c r="BF13" i="1"/>
  <c r="BG13" i="1"/>
  <c r="BH13" i="1"/>
  <c r="BI13" i="1"/>
  <c r="BJ13" i="1"/>
  <c r="BK13" i="1"/>
  <c r="BL13" i="1"/>
  <c r="BM13" i="1"/>
  <c r="BN13" i="1"/>
  <c r="BO13" i="1"/>
  <c r="BP13" i="1"/>
  <c r="BQ13" i="1"/>
  <c r="BR13" i="1"/>
  <c r="BS13" i="1"/>
  <c r="BT13" i="1"/>
  <c r="BU13" i="1"/>
  <c r="BV13" i="1"/>
  <c r="BW13" i="1"/>
  <c r="BX13" i="1"/>
  <c r="BY13" i="1"/>
  <c r="BZ13" i="1"/>
  <c r="CA13" i="1"/>
  <c r="CB13" i="1"/>
  <c r="CC13" i="1"/>
  <c r="CD13" i="1"/>
  <c r="CE13" i="1"/>
  <c r="CF13" i="1"/>
  <c r="CG13" i="1"/>
  <c r="CH13" i="1"/>
  <c r="CI13" i="1"/>
  <c r="CJ13" i="1"/>
  <c r="CK13" i="1"/>
  <c r="CL13" i="1"/>
  <c r="CM13" i="1"/>
  <c r="CN13" i="1"/>
  <c r="CO13" i="1"/>
  <c r="CP13" i="1"/>
  <c r="CQ13" i="1"/>
  <c r="CR13" i="1"/>
  <c r="CS13" i="1"/>
  <c r="CT13" i="1"/>
  <c r="CU13" i="1"/>
  <c r="CV13" i="1"/>
  <c r="CW13" i="1"/>
  <c r="CX13" i="1"/>
  <c r="CY13" i="1"/>
  <c r="CZ13" i="1"/>
  <c r="E12" i="1"/>
  <c r="F12" i="1"/>
  <c r="G12" i="1"/>
  <c r="H12" i="1"/>
  <c r="I12" i="1"/>
  <c r="J12" i="1"/>
  <c r="K12" i="1"/>
  <c r="L12" i="1"/>
  <c r="M12" i="1"/>
  <c r="N12" i="1"/>
  <c r="O12" i="1"/>
  <c r="P12" i="1"/>
  <c r="Q12" i="1"/>
  <c r="R12" i="1"/>
  <c r="S12" i="1"/>
  <c r="T12" i="1"/>
  <c r="U12" i="1"/>
  <c r="V12" i="1"/>
  <c r="W12" i="1"/>
  <c r="X12" i="1"/>
  <c r="Y12" i="1"/>
  <c r="Z12" i="1"/>
  <c r="AA12" i="1"/>
  <c r="AB12" i="1"/>
  <c r="AC12" i="1"/>
  <c r="AD12" i="1"/>
  <c r="AE12" i="1"/>
  <c r="AF12" i="1"/>
  <c r="AG12" i="1"/>
  <c r="AH12" i="1"/>
  <c r="AI12" i="1"/>
  <c r="AJ12" i="1"/>
  <c r="AK12" i="1"/>
  <c r="AL12" i="1"/>
  <c r="AM12" i="1"/>
  <c r="AN12" i="1"/>
  <c r="AO12" i="1"/>
  <c r="AP12" i="1"/>
  <c r="AQ12" i="1"/>
  <c r="AR12" i="1"/>
  <c r="AS12" i="1"/>
  <c r="AT12" i="1"/>
  <c r="AU12" i="1"/>
  <c r="AV12" i="1"/>
  <c r="AW12" i="1"/>
  <c r="AX12" i="1"/>
  <c r="AY12" i="1"/>
  <c r="AZ12" i="1"/>
  <c r="BA12" i="1"/>
  <c r="BB12" i="1"/>
  <c r="BC12" i="1"/>
  <c r="BD12" i="1"/>
  <c r="BE12" i="1"/>
  <c r="BF12" i="1"/>
  <c r="BG12" i="1"/>
  <c r="BH12" i="1"/>
  <c r="BI12" i="1"/>
  <c r="BJ12" i="1"/>
  <c r="BK12" i="1"/>
  <c r="BL12" i="1"/>
  <c r="BM12" i="1"/>
  <c r="BN12" i="1"/>
  <c r="BO12" i="1"/>
  <c r="BP12" i="1"/>
  <c r="BQ12" i="1"/>
  <c r="BR12" i="1"/>
  <c r="BS12" i="1"/>
  <c r="BT12" i="1"/>
  <c r="BU12" i="1"/>
  <c r="BV12" i="1"/>
  <c r="BW12" i="1"/>
  <c r="BX12" i="1"/>
  <c r="BY12" i="1"/>
  <c r="BZ12" i="1"/>
  <c r="CA12" i="1"/>
  <c r="CB12" i="1"/>
  <c r="CC12" i="1"/>
  <c r="CD12" i="1"/>
  <c r="CE12" i="1"/>
  <c r="CF12" i="1"/>
  <c r="CG12" i="1"/>
  <c r="CH12" i="1"/>
  <c r="CI12" i="1"/>
  <c r="CJ12" i="1"/>
  <c r="CK12" i="1"/>
  <c r="CL12" i="1"/>
  <c r="CM12" i="1"/>
  <c r="CN12" i="1"/>
  <c r="CO12" i="1"/>
  <c r="CP12" i="1"/>
  <c r="CQ12" i="1"/>
  <c r="CR12" i="1"/>
  <c r="CS12" i="1"/>
  <c r="CT12" i="1"/>
  <c r="CU12" i="1"/>
  <c r="CV12" i="1"/>
  <c r="CW12" i="1"/>
  <c r="CX12" i="1"/>
  <c r="CY12" i="1"/>
  <c r="CZ12" i="1"/>
  <c r="D12" i="1"/>
  <c r="BC23" i="1"/>
  <c r="BD23" i="1"/>
  <c r="BE23" i="1"/>
  <c r="BB23" i="1"/>
  <c r="BF23" i="1"/>
  <c r="BG23" i="1"/>
  <c r="BH23" i="1"/>
  <c r="BI23" i="1"/>
  <c r="BJ23" i="1"/>
  <c r="BK23" i="1"/>
  <c r="BL23" i="1"/>
  <c r="BM23" i="1"/>
  <c r="BN23" i="1"/>
  <c r="BO23" i="1"/>
  <c r="BP23" i="1"/>
  <c r="BQ23" i="1"/>
  <c r="BR23" i="1"/>
  <c r="BS23" i="1"/>
  <c r="BT23" i="1"/>
  <c r="BU23" i="1"/>
  <c r="BV23" i="1"/>
  <c r="BW23" i="1"/>
  <c r="BX23" i="1"/>
  <c r="BY23" i="1"/>
  <c r="BZ23" i="1"/>
  <c r="CA23" i="1"/>
  <c r="CB23" i="1"/>
  <c r="CC23" i="1"/>
  <c r="CD23" i="1"/>
  <c r="CE23" i="1"/>
  <c r="CF23" i="1"/>
  <c r="CG23" i="1"/>
  <c r="CH23" i="1"/>
  <c r="CI23" i="1"/>
  <c r="CJ23" i="1"/>
  <c r="CK23" i="1"/>
  <c r="CL23" i="1"/>
  <c r="CM23" i="1"/>
  <c r="CN23" i="1"/>
  <c r="CO23" i="1"/>
  <c r="CP23" i="1"/>
  <c r="CQ23" i="1"/>
  <c r="CR23" i="1"/>
  <c r="CS23" i="1"/>
  <c r="CT23" i="1"/>
  <c r="CU23" i="1"/>
  <c r="CV23" i="1"/>
  <c r="CW23" i="1"/>
  <c r="CX23" i="1"/>
  <c r="CY23" i="1"/>
  <c r="AY98" i="1"/>
  <c r="AY99" i="1"/>
  <c r="AY157" i="1"/>
  <c r="AY94" i="1"/>
  <c r="AY97" i="1"/>
  <c r="AX97" i="1"/>
  <c r="AX98" i="1"/>
  <c r="AX99" i="1"/>
  <c r="AY95" i="1"/>
  <c r="AX95" i="1"/>
  <c r="AY142" i="1"/>
  <c r="AX142" i="1"/>
  <c r="AX94" i="1"/>
  <c r="AS94" i="1"/>
  <c r="BA94" i="1"/>
  <c r="BA95" i="1"/>
  <c r="G55" i="1"/>
  <c r="G49" i="1"/>
  <c r="G46" i="1"/>
  <c r="AZ97" i="1"/>
  <c r="AZ98" i="1"/>
  <c r="AZ99" i="1"/>
  <c r="AZ95" i="1"/>
  <c r="AZ142" i="1"/>
  <c r="BA97" i="1"/>
  <c r="BA98" i="1"/>
  <c r="BA99" i="1"/>
  <c r="BA142" i="1"/>
  <c r="AX157" i="1"/>
  <c r="AQ94" i="1"/>
  <c r="AP94" i="1"/>
  <c r="AO94" i="1"/>
  <c r="AN94" i="1"/>
  <c r="AZ94" i="1"/>
  <c r="AV97" i="1"/>
  <c r="AW97" i="1"/>
  <c r="AV98" i="1"/>
  <c r="AW98" i="1"/>
  <c r="AV99" i="1"/>
  <c r="AW99" i="1"/>
  <c r="AV95" i="1"/>
  <c r="AW95" i="1"/>
  <c r="AV142" i="1"/>
  <c r="AW142" i="1"/>
  <c r="AV94" i="1"/>
  <c r="AW94" i="1"/>
  <c r="AR94" i="1"/>
  <c r="AM94" i="1"/>
  <c r="G208" i="1"/>
  <c r="AV157" i="1"/>
  <c r="AW157" i="1"/>
  <c r="AL94" i="1"/>
  <c r="BA157" i="1"/>
  <c r="AK94" i="1"/>
  <c r="AZ157" i="1"/>
  <c r="AT94" i="1"/>
  <c r="AJ94" i="1"/>
  <c r="AI94" i="1"/>
  <c r="AG94" i="1"/>
  <c r="AH94" i="1"/>
  <c r="AU97" i="1"/>
  <c r="AU98" i="1"/>
  <c r="AU99" i="1"/>
  <c r="AU95" i="1"/>
  <c r="AU142" i="1"/>
  <c r="AU94" i="1"/>
  <c r="AU157" i="1"/>
  <c r="AF94" i="1"/>
  <c r="AT97" i="1"/>
  <c r="AT98" i="1"/>
  <c r="AT99" i="1"/>
  <c r="AT95" i="1"/>
  <c r="AT142" i="1"/>
  <c r="AE94" i="1"/>
  <c r="AT157" i="1"/>
  <c r="AS97" i="1"/>
  <c r="AS98" i="1"/>
  <c r="AS99" i="1"/>
  <c r="AS95" i="1"/>
  <c r="AS142" i="1"/>
  <c r="AD94" i="1"/>
  <c r="AS157" i="1"/>
  <c r="AR97" i="1"/>
  <c r="AR98" i="1"/>
  <c r="AR99" i="1"/>
  <c r="AR95" i="1"/>
  <c r="AR142" i="1"/>
  <c r="AC94" i="1"/>
  <c r="AR157" i="1"/>
  <c r="AQ97" i="1"/>
  <c r="AQ98" i="1"/>
  <c r="AQ99" i="1"/>
  <c r="AQ95" i="1"/>
  <c r="AQ142" i="1"/>
  <c r="AA94" i="1"/>
  <c r="AB94" i="1"/>
  <c r="AQ157" i="1"/>
  <c r="AP97" i="1"/>
  <c r="AP98" i="1"/>
  <c r="AP99" i="1"/>
  <c r="AP95" i="1"/>
  <c r="AP142" i="1"/>
  <c r="AP157" i="1"/>
  <c r="AO97" i="1"/>
  <c r="AO98" i="1"/>
  <c r="AO99" i="1"/>
  <c r="AO95" i="1"/>
  <c r="AO142" i="1"/>
  <c r="Z94" i="1"/>
  <c r="AO157" i="1"/>
  <c r="AN97" i="1"/>
  <c r="AN98" i="1"/>
  <c r="AN99" i="1"/>
  <c r="AN95" i="1"/>
  <c r="AN142" i="1"/>
  <c r="X94" i="1"/>
  <c r="Y94" i="1"/>
  <c r="AN157" i="1"/>
  <c r="AM97" i="1"/>
  <c r="AM98" i="1"/>
  <c r="AM99" i="1"/>
  <c r="AM95" i="1"/>
  <c r="AM142" i="1"/>
  <c r="W94" i="1"/>
  <c r="AI98" i="1"/>
  <c r="AI99" i="1"/>
  <c r="AI157" i="1"/>
  <c r="AL98" i="1"/>
  <c r="AL99" i="1"/>
  <c r="AL157" i="1"/>
  <c r="AK98" i="1"/>
  <c r="AK99" i="1"/>
  <c r="AK157" i="1"/>
  <c r="AI97" i="1"/>
  <c r="AG97" i="1"/>
  <c r="AH97" i="1"/>
  <c r="AG98" i="1"/>
  <c r="AH98" i="1"/>
  <c r="AG99" i="1"/>
  <c r="AH99" i="1"/>
  <c r="AI95" i="1"/>
  <c r="AG95" i="1"/>
  <c r="AH95" i="1"/>
  <c r="AI142" i="1"/>
  <c r="AG142" i="1"/>
  <c r="AH142" i="1"/>
  <c r="AL97" i="1"/>
  <c r="AK97" i="1"/>
  <c r="AL95" i="1"/>
  <c r="AK95" i="1"/>
  <c r="AL142" i="1"/>
  <c r="AK142" i="1"/>
  <c r="AJ97" i="1"/>
  <c r="AJ98" i="1"/>
  <c r="AJ99" i="1"/>
  <c r="AJ95" i="1"/>
  <c r="AJ142" i="1"/>
  <c r="AG157" i="1"/>
  <c r="AH157" i="1"/>
  <c r="AM157" i="1"/>
  <c r="U94" i="1"/>
  <c r="V94" i="1"/>
  <c r="AJ157" i="1"/>
  <c r="T94" i="1"/>
  <c r="AE98" i="1"/>
  <c r="AE99" i="1"/>
  <c r="AE157" i="1"/>
  <c r="AE97" i="1"/>
  <c r="AD97" i="1"/>
  <c r="AD98" i="1"/>
  <c r="AD99" i="1"/>
  <c r="AE95" i="1"/>
  <c r="AD95" i="1"/>
  <c r="AE142" i="1"/>
  <c r="AD142" i="1"/>
  <c r="AF97" i="1"/>
  <c r="AF98" i="1"/>
  <c r="AF99" i="1"/>
  <c r="AF95" i="1"/>
  <c r="AF142" i="1"/>
  <c r="AC97" i="1"/>
  <c r="AC98" i="1"/>
  <c r="AC99" i="1"/>
  <c r="AC95" i="1"/>
  <c r="AC142" i="1"/>
  <c r="AD157" i="1"/>
  <c r="S94" i="1"/>
  <c r="R94" i="1"/>
  <c r="Q94" i="1"/>
  <c r="AF157" i="1"/>
  <c r="P94" i="1"/>
  <c r="O94" i="1"/>
  <c r="N94" i="1"/>
  <c r="AY148" i="1"/>
  <c r="AY158" i="1"/>
  <c r="AX148" i="1"/>
  <c r="AX158" i="1"/>
  <c r="AZ148" i="1"/>
  <c r="AZ158" i="1"/>
  <c r="AV148" i="1"/>
  <c r="AW148" i="1"/>
  <c r="AV158" i="1"/>
  <c r="AW158" i="1"/>
  <c r="AU148" i="1"/>
  <c r="AU158" i="1"/>
  <c r="AT148" i="1"/>
  <c r="AT158" i="1"/>
  <c r="AS148" i="1"/>
  <c r="AS158" i="1"/>
  <c r="AA95" i="1"/>
  <c r="AB95" i="1"/>
  <c r="AR148" i="1"/>
  <c r="AR158" i="1"/>
  <c r="AQ148" i="1"/>
  <c r="AQ158" i="1"/>
  <c r="Z95" i="1"/>
  <c r="AP148" i="1"/>
  <c r="AP158" i="1"/>
  <c r="X95" i="1"/>
  <c r="Y95" i="1"/>
  <c r="AO148" i="1"/>
  <c r="AO158" i="1"/>
  <c r="W95" i="1"/>
  <c r="AN148" i="1"/>
  <c r="AN158" i="1"/>
  <c r="AI148" i="1"/>
  <c r="AI158" i="1"/>
  <c r="U95" i="1"/>
  <c r="V95" i="1"/>
  <c r="AK148" i="1"/>
  <c r="AK158" i="1"/>
  <c r="T95" i="1"/>
  <c r="AJ148" i="1"/>
  <c r="AJ158" i="1"/>
  <c r="S95" i="1"/>
  <c r="AE148" i="1"/>
  <c r="AE158" i="1"/>
  <c r="R95" i="1"/>
  <c r="Q95" i="1"/>
  <c r="AG148" i="1"/>
  <c r="AG158" i="1"/>
  <c r="P95" i="1"/>
  <c r="AF148" i="1"/>
  <c r="AF158" i="1"/>
  <c r="O95" i="1"/>
  <c r="N95" i="1"/>
  <c r="AD148" i="1"/>
  <c r="AD158" i="1"/>
  <c r="AM148" i="1"/>
  <c r="AM158" i="1"/>
  <c r="AL148" i="1"/>
  <c r="AL158" i="1"/>
  <c r="AH148" i="1"/>
  <c r="AH158" i="1"/>
  <c r="BA148" i="1"/>
  <c r="BA158" i="1"/>
  <c r="G43" i="1"/>
  <c r="AC148" i="1"/>
  <c r="AC157" i="1"/>
  <c r="AC158" i="1"/>
  <c r="AA97" i="1"/>
  <c r="AB97" i="1"/>
  <c r="AA98" i="1"/>
  <c r="AB98" i="1"/>
  <c r="AA99" i="1"/>
  <c r="AB99" i="1"/>
  <c r="AA142" i="1"/>
  <c r="AB142" i="1"/>
  <c r="AA148" i="1"/>
  <c r="AB148" i="1"/>
  <c r="AA157" i="1"/>
  <c r="AB157" i="1"/>
  <c r="AA158" i="1"/>
  <c r="AB158" i="1"/>
  <c r="Z97" i="1"/>
  <c r="Z98" i="1"/>
  <c r="Z99" i="1"/>
  <c r="Z142" i="1"/>
  <c r="Z148" i="1"/>
  <c r="Z157" i="1"/>
  <c r="Z158" i="1"/>
  <c r="X97" i="1"/>
  <c r="Y97" i="1"/>
  <c r="X98" i="1"/>
  <c r="Y98" i="1"/>
  <c r="X99" i="1"/>
  <c r="Y99" i="1"/>
  <c r="X142" i="1"/>
  <c r="Y142" i="1"/>
  <c r="X148" i="1"/>
  <c r="Y148" i="1"/>
  <c r="X157" i="1"/>
  <c r="Y157" i="1"/>
  <c r="X158" i="1"/>
  <c r="Y158" i="1"/>
  <c r="W97" i="1"/>
  <c r="W98" i="1"/>
  <c r="W99" i="1"/>
  <c r="W158" i="1"/>
  <c r="BA170" i="1"/>
  <c r="AZ170" i="1"/>
  <c r="AY170" i="1"/>
  <c r="AX170" i="1"/>
  <c r="AV170" i="1"/>
  <c r="AW170" i="1"/>
  <c r="AU170" i="1"/>
  <c r="AT170" i="1"/>
  <c r="AS170" i="1"/>
  <c r="AR170" i="1"/>
  <c r="AQ170" i="1"/>
  <c r="AP170" i="1"/>
  <c r="AO170" i="1"/>
  <c r="AN170" i="1"/>
  <c r="AM170" i="1"/>
  <c r="AL170" i="1"/>
  <c r="AK170" i="1"/>
  <c r="AJ170" i="1"/>
  <c r="AI170" i="1"/>
  <c r="AG170" i="1"/>
  <c r="AH170" i="1"/>
  <c r="AF170" i="1"/>
  <c r="AE170" i="1"/>
  <c r="AD170" i="1"/>
  <c r="AC170" i="1"/>
  <c r="AA170" i="1"/>
  <c r="AB170" i="1"/>
  <c r="Z170" i="1"/>
  <c r="X170" i="1"/>
  <c r="Y170" i="1"/>
  <c r="W170" i="1"/>
  <c r="U170" i="1"/>
  <c r="V170" i="1"/>
  <c r="T170" i="1"/>
  <c r="S170" i="1"/>
  <c r="R170" i="1"/>
  <c r="Q170" i="1"/>
  <c r="P170" i="1"/>
  <c r="O170" i="1"/>
  <c r="U97" i="1"/>
  <c r="V97" i="1"/>
  <c r="U98" i="1"/>
  <c r="V98" i="1"/>
  <c r="U99" i="1"/>
  <c r="V99" i="1"/>
  <c r="T97" i="1"/>
  <c r="T98" i="1"/>
  <c r="T99" i="1"/>
  <c r="S97" i="1"/>
  <c r="S98" i="1"/>
  <c r="S99" i="1"/>
  <c r="R97" i="1"/>
  <c r="R98" i="1"/>
  <c r="R99" i="1"/>
  <c r="Q97" i="1"/>
  <c r="Q98" i="1"/>
  <c r="Q99" i="1"/>
  <c r="P97" i="1"/>
  <c r="P98" i="1"/>
  <c r="P99" i="1"/>
  <c r="O97" i="1"/>
  <c r="O98" i="1"/>
  <c r="O99" i="1"/>
  <c r="U158" i="1"/>
  <c r="V158" i="1"/>
  <c r="T158" i="1"/>
  <c r="S158" i="1"/>
  <c r="R158" i="1"/>
  <c r="Q158" i="1"/>
  <c r="P158" i="1"/>
  <c r="O158" i="1"/>
  <c r="M170" i="1"/>
  <c r="N170" i="1"/>
  <c r="M158" i="1"/>
  <c r="N158" i="1"/>
  <c r="M98" i="1"/>
  <c r="N98" i="1"/>
  <c r="M99" i="1"/>
  <c r="N99" i="1"/>
  <c r="M97" i="1"/>
  <c r="N97" i="1"/>
  <c r="L148" i="1"/>
  <c r="L157" i="1"/>
  <c r="L158" i="1"/>
  <c r="K148" i="1"/>
  <c r="K157" i="1"/>
  <c r="K158" i="1"/>
  <c r="J148" i="1"/>
  <c r="J157" i="1"/>
  <c r="J158" i="1"/>
  <c r="I148" i="1"/>
  <c r="I157" i="1"/>
  <c r="I158" i="1"/>
  <c r="H148" i="1"/>
  <c r="H157" i="1"/>
  <c r="H158" i="1"/>
  <c r="G148" i="1"/>
  <c r="G157" i="1"/>
  <c r="G158" i="1"/>
  <c r="F148" i="1"/>
  <c r="F157" i="1"/>
  <c r="F158" i="1"/>
  <c r="E148" i="1"/>
  <c r="E157" i="1"/>
  <c r="E158" i="1"/>
  <c r="D148" i="1"/>
  <c r="D157" i="1"/>
  <c r="D158" i="1"/>
  <c r="L142" i="1"/>
  <c r="K142" i="1"/>
  <c r="J142" i="1"/>
  <c r="I142" i="1"/>
  <c r="H142" i="1"/>
  <c r="G142" i="1"/>
  <c r="F142" i="1"/>
  <c r="E142" i="1"/>
  <c r="D142" i="1"/>
  <c r="L111" i="1"/>
  <c r="L126" i="1"/>
  <c r="L127" i="1"/>
  <c r="K111" i="1"/>
  <c r="K126" i="1"/>
  <c r="K127" i="1"/>
  <c r="J111" i="1"/>
  <c r="J126" i="1"/>
  <c r="J127" i="1"/>
  <c r="I111" i="1"/>
  <c r="I126" i="1"/>
  <c r="I127" i="1"/>
  <c r="H111" i="1"/>
  <c r="H126" i="1"/>
  <c r="H127" i="1"/>
  <c r="G111" i="1"/>
  <c r="G126" i="1"/>
  <c r="G127" i="1"/>
  <c r="F111" i="1"/>
  <c r="F126" i="1"/>
  <c r="F127" i="1"/>
  <c r="E111" i="1"/>
  <c r="E126" i="1"/>
  <c r="E127" i="1"/>
  <c r="D111" i="1"/>
  <c r="D126" i="1"/>
  <c r="D127" i="1"/>
  <c r="L98" i="1"/>
  <c r="L99" i="1"/>
  <c r="K98" i="1"/>
  <c r="K99" i="1"/>
  <c r="J98" i="1"/>
  <c r="J99" i="1"/>
  <c r="I98" i="1"/>
  <c r="I99" i="1"/>
  <c r="H98" i="1"/>
  <c r="H99" i="1"/>
  <c r="G98" i="1"/>
  <c r="G99" i="1"/>
  <c r="F98" i="1"/>
  <c r="F99" i="1"/>
  <c r="E98" i="1"/>
  <c r="E99" i="1"/>
  <c r="D98" i="1"/>
  <c r="D99" i="1"/>
  <c r="L97" i="1"/>
  <c r="K97" i="1"/>
  <c r="J97" i="1"/>
  <c r="I97" i="1"/>
  <c r="H97" i="1"/>
  <c r="G97" i="1"/>
  <c r="F97" i="1"/>
  <c r="E97" i="1"/>
  <c r="D97" i="1"/>
  <c r="K55" i="1"/>
  <c r="J55" i="1"/>
  <c r="F55" i="1"/>
  <c r="D55" i="1"/>
  <c r="K46" i="1"/>
  <c r="J46" i="1"/>
  <c r="F46" i="1"/>
  <c r="D46" i="1"/>
  <c r="K49" i="1"/>
  <c r="J49" i="1"/>
  <c r="F49" i="1"/>
  <c r="D49" i="1"/>
  <c r="AG141" i="1"/>
  <c r="AH141" i="1"/>
  <c r="AF141" i="1"/>
  <c r="AE141" i="1"/>
  <c r="AD141" i="1"/>
  <c r="AC141" i="1"/>
  <c r="AA141" i="1"/>
  <c r="AB141" i="1"/>
  <c r="Z141" i="1"/>
  <c r="X141" i="1"/>
  <c r="Y141" i="1"/>
  <c r="L141" i="1"/>
  <c r="K141" i="1"/>
  <c r="J141" i="1"/>
  <c r="I141" i="1"/>
  <c r="H141" i="1"/>
  <c r="G141" i="1"/>
  <c r="F141" i="1"/>
  <c r="E141" i="1"/>
  <c r="D141" i="1"/>
  <c r="K208" i="1"/>
  <c r="J208" i="1"/>
  <c r="F208" i="1"/>
  <c r="D208" i="1"/>
  <c r="M173" i="1"/>
  <c r="L173" i="1"/>
  <c r="K173" i="1"/>
  <c r="J173" i="1"/>
  <c r="I173" i="1"/>
  <c r="H173" i="1"/>
  <c r="G173" i="1"/>
  <c r="F173" i="1"/>
  <c r="E173" i="1"/>
  <c r="D173" i="1"/>
  <c r="L170" i="1"/>
  <c r="K170" i="1"/>
  <c r="J170" i="1"/>
  <c r="I170" i="1"/>
  <c r="H170" i="1"/>
  <c r="G170" i="1"/>
  <c r="F170" i="1"/>
  <c r="E170" i="1"/>
  <c r="D170" i="1"/>
  <c r="K43" i="1"/>
  <c r="J43" i="1"/>
  <c r="F43" i="1"/>
  <c r="D43" i="1"/>
  <c r="AI141" i="1"/>
  <c r="AJ141" i="1"/>
  <c r="AK141" i="1"/>
  <c r="AL141" i="1"/>
  <c r="AM141" i="1"/>
  <c r="AN141" i="1"/>
  <c r="AO141" i="1"/>
  <c r="AP141" i="1"/>
  <c r="AQ141" i="1"/>
  <c r="AR141" i="1"/>
  <c r="AS141" i="1"/>
  <c r="AT141" i="1"/>
  <c r="AU141" i="1"/>
  <c r="AV141" i="1"/>
  <c r="AW141" i="1"/>
  <c r="AX141" i="1"/>
  <c r="AY141" i="1"/>
  <c r="AZ141" i="1"/>
  <c r="BA141" i="1"/>
  <c r="B217" i="1"/>
  <c r="B216" i="1"/>
  <c r="B215" i="1"/>
  <c r="B213" i="1"/>
  <c r="B211" i="1"/>
  <c r="B203" i="1"/>
  <c r="B193" i="1"/>
  <c r="B191" i="1"/>
  <c r="B179" i="1"/>
  <c r="B178" i="1"/>
  <c r="B177" i="1"/>
  <c r="B176" i="1"/>
  <c r="B175" i="1"/>
  <c r="B174" i="1"/>
  <c r="B173" i="1"/>
  <c r="B172" i="1"/>
  <c r="B171" i="1"/>
  <c r="B170" i="1"/>
  <c r="B169" i="1"/>
  <c r="B168" i="1"/>
  <c r="B167" i="1"/>
  <c r="B166" i="1"/>
  <c r="B165" i="1"/>
  <c r="B164" i="1"/>
  <c r="B163" i="1"/>
  <c r="B162" i="1"/>
  <c r="B161" i="1"/>
  <c r="B160" i="1"/>
  <c r="B159" i="1"/>
  <c r="B158" i="1"/>
  <c r="B157" i="1"/>
  <c r="B156" i="1"/>
  <c r="B155" i="1"/>
  <c r="B154" i="1"/>
  <c r="B153" i="1"/>
  <c r="B152" i="1"/>
  <c r="B151" i="1"/>
  <c r="B150" i="1"/>
  <c r="B149" i="1"/>
  <c r="B148" i="1"/>
  <c r="B147" i="1"/>
  <c r="B146" i="1"/>
  <c r="B145" i="1"/>
  <c r="B144" i="1"/>
  <c r="B143" i="1"/>
  <c r="B142" i="1"/>
  <c r="B141" i="1"/>
  <c r="B140" i="1"/>
  <c r="B139" i="1"/>
  <c r="B138" i="1"/>
  <c r="B137" i="1"/>
  <c r="B136" i="1"/>
  <c r="B135" i="1"/>
  <c r="B134" i="1"/>
  <c r="B133" i="1"/>
  <c r="B132" i="1"/>
  <c r="B131" i="1"/>
  <c r="B130" i="1"/>
  <c r="B129" i="1"/>
  <c r="B128" i="1"/>
  <c r="B127" i="1"/>
  <c r="B126" i="1"/>
  <c r="B125" i="1"/>
  <c r="B124" i="1"/>
  <c r="B123" i="1"/>
  <c r="B122" i="1"/>
  <c r="B121" i="1"/>
  <c r="B120" i="1"/>
  <c r="B119" i="1"/>
  <c r="B118" i="1"/>
  <c r="B117" i="1"/>
  <c r="B116" i="1"/>
  <c r="B115" i="1"/>
  <c r="B114" i="1"/>
  <c r="B113" i="1"/>
  <c r="B112" i="1"/>
  <c r="B111" i="1"/>
  <c r="B110" i="1"/>
  <c r="B109" i="1"/>
  <c r="B108" i="1"/>
  <c r="B107" i="1"/>
  <c r="B106" i="1"/>
  <c r="B105" i="1"/>
  <c r="B104" i="1"/>
  <c r="B103" i="1"/>
  <c r="B102" i="1"/>
  <c r="B101" i="1"/>
  <c r="B100" i="1"/>
  <c r="B99" i="1"/>
  <c r="B98" i="1"/>
  <c r="B97" i="1"/>
  <c r="B96" i="1"/>
  <c r="B95" i="1"/>
  <c r="B94" i="1"/>
  <c r="B93" i="1"/>
  <c r="B92" i="1"/>
  <c r="B91" i="1"/>
  <c r="B90" i="1"/>
  <c r="B89" i="1"/>
  <c r="B88" i="1"/>
  <c r="B87" i="1"/>
  <c r="B77" i="1"/>
  <c r="B67" i="1"/>
  <c r="B61" i="1"/>
  <c r="B60" i="1"/>
  <c r="B59" i="1"/>
  <c r="B58" i="1"/>
  <c r="B57" i="1"/>
  <c r="B56" i="1"/>
  <c r="B44" i="1"/>
  <c r="B32" i="1"/>
  <c r="B26" i="1"/>
  <c r="B22" i="1"/>
  <c r="F59" i="1"/>
  <c r="J60" i="1"/>
  <c r="F60" i="1"/>
  <c r="G59" i="1"/>
  <c r="E59" i="1"/>
  <c r="D30" i="1"/>
  <c r="D63" i="1"/>
  <c r="D182" i="1"/>
  <c r="D73" i="1"/>
  <c r="D194" i="1"/>
  <c r="D189" i="1"/>
  <c r="D71" i="1"/>
  <c r="D186" i="1"/>
  <c r="D212" i="1"/>
  <c r="D74" i="1"/>
  <c r="D79" i="1"/>
  <c r="D198" i="1"/>
  <c r="D180" i="1"/>
  <c r="D75" i="1"/>
  <c r="D202" i="1"/>
  <c r="D199" i="1"/>
  <c r="D21" i="1"/>
  <c r="D76" i="1"/>
  <c r="D41" i="1"/>
  <c r="D68" i="1"/>
  <c r="D181" i="1"/>
  <c r="D59" i="1"/>
  <c r="D39" i="1"/>
  <c r="D47" i="1"/>
  <c r="D70" i="1"/>
  <c r="D190" i="1"/>
  <c r="D196" i="1"/>
  <c r="D31" i="1"/>
  <c r="I59" i="1"/>
  <c r="H59" i="1"/>
  <c r="H60" i="1"/>
  <c r="E60" i="1"/>
  <c r="G60" i="1"/>
  <c r="D80" i="1"/>
  <c r="D205" i="1"/>
  <c r="D209" i="1"/>
  <c r="D200" i="1"/>
  <c r="D187" i="1"/>
  <c r="D183" i="1"/>
  <c r="D62" i="1"/>
  <c r="K60" i="1"/>
  <c r="D204" i="1"/>
  <c r="D195" i="1"/>
  <c r="D206" i="1"/>
  <c r="D66" i="1"/>
  <c r="D85" i="1"/>
  <c r="D69" i="1"/>
  <c r="J59" i="1"/>
  <c r="D86" i="1"/>
  <c r="D214" i="1"/>
  <c r="D83" i="1"/>
  <c r="D72" i="1"/>
  <c r="D184" i="1"/>
  <c r="D185" i="1"/>
  <c r="K59" i="1"/>
  <c r="D201" i="1"/>
  <c r="D60" i="1"/>
  <c r="I60" i="1"/>
  <c r="D81" i="1"/>
  <c r="D82" i="1"/>
  <c r="D20" i="1"/>
  <c r="D192" i="1"/>
  <c r="D84" i="1"/>
  <c r="D207" i="1"/>
  <c r="D188" i="1"/>
  <c r="D48" i="1"/>
  <c r="D78" i="1"/>
  <c r="D210" i="1"/>
  <c r="D90" i="1"/>
  <c r="D174" i="1"/>
  <c r="D211" i="1"/>
  <c r="D44" i="1"/>
  <c r="D203" i="1"/>
  <c r="D26" i="1"/>
  <c r="L59" i="1"/>
  <c r="L60" i="1"/>
  <c r="D57" i="1"/>
  <c r="E90" i="1"/>
  <c r="E174" i="1"/>
  <c r="H90" i="1"/>
  <c r="H174" i="1"/>
  <c r="L90" i="1"/>
  <c r="N90" i="1"/>
  <c r="K147" i="1"/>
  <c r="D165" i="1"/>
  <c r="E165" i="1"/>
  <c r="M60" i="1"/>
  <c r="K106" i="1"/>
  <c r="I105" i="1"/>
  <c r="D117" i="1"/>
  <c r="D102" i="1"/>
  <c r="D166" i="1"/>
  <c r="G114" i="1"/>
  <c r="G113" i="1"/>
  <c r="L169" i="1"/>
  <c r="E117" i="1"/>
  <c r="D168" i="1"/>
  <c r="D103" i="1"/>
  <c r="K118" i="1"/>
  <c r="K169" i="1"/>
  <c r="K104" i="1"/>
  <c r="L165" i="1"/>
  <c r="G165" i="1"/>
  <c r="D169" i="1"/>
  <c r="K115" i="1"/>
  <c r="L116" i="1"/>
  <c r="D106" i="1"/>
  <c r="D115" i="1"/>
  <c r="E169" i="1"/>
  <c r="D167" i="1"/>
  <c r="E106" i="1"/>
  <c r="K101" i="1"/>
  <c r="D118" i="1"/>
  <c r="L147" i="1"/>
  <c r="E167" i="1"/>
  <c r="D101" i="1"/>
  <c r="G106" i="1"/>
  <c r="G101" i="1"/>
  <c r="H101" i="1"/>
  <c r="D113" i="1"/>
  <c r="K103" i="1"/>
  <c r="G167" i="1"/>
  <c r="G169" i="1"/>
  <c r="F169" i="1"/>
  <c r="E115" i="1"/>
  <c r="L115" i="1"/>
  <c r="D114" i="1"/>
  <c r="E114" i="1"/>
  <c r="D104" i="1"/>
  <c r="E104" i="1"/>
  <c r="K165" i="1"/>
  <c r="D105" i="1"/>
  <c r="E105" i="1"/>
  <c r="F105" i="1"/>
  <c r="K102" i="1"/>
  <c r="F106" i="1"/>
  <c r="E118" i="1"/>
  <c r="G118" i="1"/>
  <c r="H118" i="1"/>
  <c r="J105" i="1"/>
  <c r="K116" i="1"/>
  <c r="D116" i="1"/>
  <c r="E116" i="1"/>
  <c r="F116" i="1"/>
  <c r="M59" i="1"/>
  <c r="D147" i="1"/>
  <c r="P90" i="1"/>
  <c r="D135" i="1"/>
  <c r="K107" i="1"/>
  <c r="D163" i="1"/>
  <c r="D107" i="1"/>
  <c r="D162" i="1"/>
  <c r="D120" i="1"/>
  <c r="E120" i="1"/>
  <c r="L174" i="1"/>
  <c r="E147" i="1"/>
  <c r="F118" i="1"/>
  <c r="H169" i="1"/>
  <c r="F114" i="1"/>
  <c r="L104" i="1"/>
  <c r="E103" i="1"/>
  <c r="H114" i="1"/>
  <c r="E102" i="1"/>
  <c r="G116" i="1"/>
  <c r="H116" i="1"/>
  <c r="F165" i="1"/>
  <c r="D160" i="1"/>
  <c r="I166" i="1"/>
  <c r="H165" i="1"/>
  <c r="K113" i="1"/>
  <c r="M169" i="1"/>
  <c r="E113" i="1"/>
  <c r="F104" i="1"/>
  <c r="F117" i="1"/>
  <c r="E166" i="1"/>
  <c r="L106" i="1"/>
  <c r="I114" i="1"/>
  <c r="K117" i="1"/>
  <c r="Q165" i="1"/>
  <c r="I104" i="1"/>
  <c r="I118" i="1"/>
  <c r="L102" i="1"/>
  <c r="F115" i="1"/>
  <c r="F167" i="1"/>
  <c r="M165" i="1"/>
  <c r="L118" i="1"/>
  <c r="E168" i="1"/>
  <c r="I169" i="1"/>
  <c r="I103" i="1"/>
  <c r="I102" i="1"/>
  <c r="Q169" i="1"/>
  <c r="K166" i="1"/>
  <c r="K114" i="1"/>
  <c r="G105" i="1"/>
  <c r="K105" i="1"/>
  <c r="H106" i="1"/>
  <c r="I168" i="1"/>
  <c r="K167" i="1"/>
  <c r="I147" i="1"/>
  <c r="I165" i="1"/>
  <c r="N165" i="1"/>
  <c r="L101" i="1"/>
  <c r="Q168" i="1"/>
  <c r="I115" i="1"/>
  <c r="H167" i="1"/>
  <c r="E101" i="1"/>
  <c r="K168" i="1"/>
  <c r="Q166" i="1"/>
  <c r="L103" i="1"/>
  <c r="H113" i="1"/>
  <c r="I116" i="1"/>
  <c r="I101" i="1"/>
  <c r="Q167" i="1"/>
  <c r="E135" i="1"/>
  <c r="E163" i="1"/>
  <c r="L107" i="1"/>
  <c r="F120" i="1"/>
  <c r="E162" i="1"/>
  <c r="E107" i="1"/>
  <c r="Q90" i="1"/>
  <c r="Q162" i="1"/>
  <c r="Q163" i="1"/>
  <c r="K120" i="1"/>
  <c r="K135" i="1"/>
  <c r="J101" i="1"/>
  <c r="J116" i="1"/>
  <c r="I167" i="1"/>
  <c r="J115" i="1"/>
  <c r="J147" i="1"/>
  <c r="L105" i="1"/>
  <c r="L166" i="1"/>
  <c r="E129" i="1"/>
  <c r="I113" i="1"/>
  <c r="J165" i="1"/>
  <c r="J169" i="1"/>
  <c r="J104" i="1"/>
  <c r="G117" i="1"/>
  <c r="H117" i="1"/>
  <c r="F102" i="1"/>
  <c r="P167" i="1"/>
  <c r="L167" i="1"/>
  <c r="H105" i="1"/>
  <c r="I117" i="1"/>
  <c r="L117" i="1"/>
  <c r="G104" i="1"/>
  <c r="H104" i="1"/>
  <c r="F113" i="1"/>
  <c r="J166" i="1"/>
  <c r="F103" i="1"/>
  <c r="F147" i="1"/>
  <c r="G115" i="1"/>
  <c r="H115" i="1"/>
  <c r="O165" i="1"/>
  <c r="J168" i="1"/>
  <c r="L114" i="1"/>
  <c r="J102" i="1"/>
  <c r="J103" i="1"/>
  <c r="F168" i="1"/>
  <c r="J118" i="1"/>
  <c r="J114" i="1"/>
  <c r="F166" i="1"/>
  <c r="L113" i="1"/>
  <c r="N169" i="1"/>
  <c r="L168" i="1"/>
  <c r="F101" i="1"/>
  <c r="I106" i="1"/>
  <c r="F107" i="1"/>
  <c r="F162" i="1"/>
  <c r="G162" i="1"/>
  <c r="H162" i="1"/>
  <c r="F135" i="1"/>
  <c r="I162" i="1"/>
  <c r="F163" i="1"/>
  <c r="I163" i="1"/>
  <c r="G120" i="1"/>
  <c r="L135" i="1"/>
  <c r="L120" i="1"/>
  <c r="R90" i="1"/>
  <c r="M168" i="1"/>
  <c r="G168" i="1"/>
  <c r="H168" i="1"/>
  <c r="G102" i="1"/>
  <c r="H102" i="1"/>
  <c r="F160" i="1"/>
  <c r="R167" i="1"/>
  <c r="R168" i="1"/>
  <c r="R165" i="1"/>
  <c r="R166" i="1"/>
  <c r="G166" i="1"/>
  <c r="M167" i="1"/>
  <c r="G160" i="1"/>
  <c r="J106" i="1"/>
  <c r="G103" i="1"/>
  <c r="H103" i="1"/>
  <c r="M166" i="1"/>
  <c r="N166" i="1"/>
  <c r="Q160" i="1"/>
  <c r="R169" i="1"/>
  <c r="J117" i="1"/>
  <c r="J167" i="1"/>
  <c r="O169" i="1"/>
  <c r="G147" i="1"/>
  <c r="H147" i="1"/>
  <c r="J113" i="1"/>
  <c r="P165" i="1"/>
  <c r="O166" i="1"/>
  <c r="F129" i="1"/>
  <c r="H120" i="1"/>
  <c r="I120" i="1"/>
  <c r="G135" i="1"/>
  <c r="G107" i="1"/>
  <c r="H107" i="1"/>
  <c r="J163" i="1"/>
  <c r="K163" i="1"/>
  <c r="L163" i="1"/>
  <c r="M163" i="1"/>
  <c r="N163" i="1"/>
  <c r="O163" i="1"/>
  <c r="P163" i="1"/>
  <c r="J162" i="1"/>
  <c r="K162" i="1"/>
  <c r="L162" i="1"/>
  <c r="M162" i="1"/>
  <c r="N162" i="1"/>
  <c r="O162" i="1"/>
  <c r="P162" i="1"/>
  <c r="G163" i="1"/>
  <c r="H163" i="1"/>
  <c r="E160" i="1"/>
  <c r="D129" i="1"/>
  <c r="S166" i="1"/>
  <c r="I160" i="1"/>
  <c r="K160" i="1"/>
  <c r="S165" i="1"/>
  <c r="L129" i="1"/>
  <c r="P166" i="1"/>
  <c r="P169" i="1"/>
  <c r="J160" i="1"/>
  <c r="R160" i="1"/>
  <c r="S169" i="1"/>
  <c r="M129" i="1"/>
  <c r="L160" i="1"/>
  <c r="M160" i="1"/>
  <c r="N167" i="1"/>
  <c r="O167" i="1"/>
  <c r="H166" i="1"/>
  <c r="N168" i="1"/>
  <c r="G129" i="1"/>
  <c r="K129" i="1"/>
  <c r="S167" i="1"/>
  <c r="H160" i="1"/>
  <c r="S168" i="1"/>
  <c r="H135" i="1"/>
  <c r="I107" i="1"/>
  <c r="J120" i="1"/>
  <c r="I135" i="1"/>
  <c r="R162" i="1"/>
  <c r="R163" i="1"/>
  <c r="S90" i="1"/>
  <c r="S162" i="1"/>
  <c r="S163" i="1"/>
  <c r="P174" i="1"/>
  <c r="H129" i="1"/>
  <c r="N160" i="1"/>
  <c r="T169" i="1"/>
  <c r="T166" i="1"/>
  <c r="O168" i="1"/>
  <c r="T167" i="1"/>
  <c r="T168" i="1"/>
  <c r="S160" i="1"/>
  <c r="T165" i="1"/>
  <c r="J107" i="1"/>
  <c r="J135" i="1"/>
  <c r="T90" i="1"/>
  <c r="T163" i="1"/>
  <c r="T162" i="1"/>
  <c r="Q174" i="1"/>
  <c r="U165" i="1"/>
  <c r="P168" i="1"/>
  <c r="U166" i="1"/>
  <c r="U167" i="1"/>
  <c r="I129" i="1"/>
  <c r="U90" i="1"/>
  <c r="U162" i="1"/>
  <c r="U163" i="1"/>
  <c r="R174" i="1"/>
  <c r="P160" i="1"/>
  <c r="O160" i="1"/>
  <c r="U168" i="1"/>
  <c r="V168" i="1"/>
  <c r="T160" i="1"/>
  <c r="U169" i="1"/>
  <c r="J129" i="1"/>
  <c r="V166" i="1"/>
  <c r="V165" i="1"/>
  <c r="V90" i="1"/>
  <c r="S174" i="1"/>
  <c r="V169" i="1"/>
  <c r="V167" i="1"/>
  <c r="U160" i="1"/>
  <c r="W166" i="1"/>
  <c r="V163" i="1"/>
  <c r="V162" i="1"/>
  <c r="W90" i="1"/>
  <c r="D191" i="1"/>
  <c r="W169" i="1"/>
  <c r="W165" i="1"/>
  <c r="W167" i="1"/>
  <c r="W168" i="1"/>
  <c r="X168" i="1"/>
  <c r="W162" i="1"/>
  <c r="W163" i="1"/>
  <c r="Y168" i="1"/>
  <c r="X169" i="1"/>
  <c r="X147" i="1"/>
  <c r="X165" i="1"/>
  <c r="V160" i="1"/>
  <c r="X167" i="1"/>
  <c r="X166" i="1"/>
  <c r="X162" i="1"/>
  <c r="X135" i="1"/>
  <c r="X163" i="1"/>
  <c r="T174" i="1"/>
  <c r="D193" i="1"/>
  <c r="Z165" i="1"/>
  <c r="Z166" i="1"/>
  <c r="Y166" i="1"/>
  <c r="Y167" i="1"/>
  <c r="Y169" i="1"/>
  <c r="Y147" i="1"/>
  <c r="W160" i="1"/>
  <c r="Y165" i="1"/>
  <c r="Y162" i="1"/>
  <c r="Y135" i="1"/>
  <c r="Y163" i="1"/>
  <c r="Z90" i="1"/>
  <c r="U174" i="1"/>
  <c r="D213" i="1"/>
  <c r="Z169" i="1"/>
  <c r="AA168" i="1"/>
  <c r="Z147" i="1"/>
  <c r="X160" i="1"/>
  <c r="AA169" i="1"/>
  <c r="Z168" i="1"/>
  <c r="Z167" i="1"/>
  <c r="AA166" i="1"/>
  <c r="Z135" i="1"/>
  <c r="Z162" i="1"/>
  <c r="Z163" i="1"/>
  <c r="AA90" i="1"/>
  <c r="V174" i="1"/>
  <c r="D215" i="1"/>
  <c r="D217" i="1"/>
  <c r="Y160" i="1"/>
  <c r="AA167" i="1"/>
  <c r="AB167" i="1"/>
  <c r="AA147" i="1"/>
  <c r="AA165" i="1"/>
  <c r="AA135" i="1"/>
  <c r="AA163" i="1"/>
  <c r="AA162" i="1"/>
  <c r="AB90" i="1"/>
  <c r="W174" i="1"/>
  <c r="AC168" i="1"/>
  <c r="AB147" i="1"/>
  <c r="AC147" i="1"/>
  <c r="AB169" i="1"/>
  <c r="AB168" i="1"/>
  <c r="Z160" i="1"/>
  <c r="AC167" i="1"/>
  <c r="AC169" i="1"/>
  <c r="AC165" i="1"/>
  <c r="AC166" i="1"/>
  <c r="AB166" i="1"/>
  <c r="AB165" i="1"/>
  <c r="AB135" i="1"/>
  <c r="AB162" i="1"/>
  <c r="AB163" i="1"/>
  <c r="AC90" i="1"/>
  <c r="AC135" i="1"/>
  <c r="AC163" i="1"/>
  <c r="AC162" i="1"/>
  <c r="AC160" i="1"/>
  <c r="AA160" i="1"/>
  <c r="AD165" i="1"/>
  <c r="AD90" i="1"/>
  <c r="AD147" i="1"/>
  <c r="AD166" i="1"/>
  <c r="AD167" i="1"/>
  <c r="AD169" i="1"/>
  <c r="AD168" i="1"/>
  <c r="AB160" i="1"/>
  <c r="AD163" i="1"/>
  <c r="AD162" i="1"/>
  <c r="AD135" i="1"/>
  <c r="Z174" i="1"/>
  <c r="AD160" i="1"/>
  <c r="AF167" i="1"/>
  <c r="AF165" i="1"/>
  <c r="AF169" i="1"/>
  <c r="AF147" i="1"/>
  <c r="AF166" i="1"/>
  <c r="AF168" i="1"/>
  <c r="AF90" i="1"/>
  <c r="AE90" i="1"/>
  <c r="AF163" i="1"/>
  <c r="AF162" i="1"/>
  <c r="AF135" i="1"/>
  <c r="AA174" i="1"/>
  <c r="AE147" i="1"/>
  <c r="AE166" i="1"/>
  <c r="AE165" i="1"/>
  <c r="AG166" i="1"/>
  <c r="AF160" i="1"/>
  <c r="AG167" i="1"/>
  <c r="AG168" i="1"/>
  <c r="AE167" i="1"/>
  <c r="AE168" i="1"/>
  <c r="AE169" i="1"/>
  <c r="AE162" i="1"/>
  <c r="AE163" i="1"/>
  <c r="AE135" i="1"/>
  <c r="AG90" i="1"/>
  <c r="AG163" i="1"/>
  <c r="AB174" i="1"/>
  <c r="AG165" i="1"/>
  <c r="AG169" i="1"/>
  <c r="AG147" i="1"/>
  <c r="AE160" i="1"/>
  <c r="AG162" i="1"/>
  <c r="AG135" i="1"/>
  <c r="AH163" i="1"/>
  <c r="AH160" i="1"/>
  <c r="AC174" i="1"/>
  <c r="AG160" i="1"/>
  <c r="AH135" i="1"/>
  <c r="AH162" i="1"/>
  <c r="AI160" i="1"/>
  <c r="AH90" i="1"/>
  <c r="AH165" i="1"/>
  <c r="AH147" i="1"/>
  <c r="AH167" i="1"/>
  <c r="AH166" i="1"/>
  <c r="AH169" i="1"/>
  <c r="AH168" i="1"/>
  <c r="AD174" i="1"/>
  <c r="AI168" i="1"/>
  <c r="AI162" i="1"/>
  <c r="AI90" i="1"/>
  <c r="AI163" i="1"/>
  <c r="AI147" i="1"/>
  <c r="AI167" i="1"/>
  <c r="AI169" i="1"/>
  <c r="AI135" i="1"/>
  <c r="AI166" i="1"/>
  <c r="AI165" i="1"/>
  <c r="AJ160" i="1"/>
  <c r="AE174" i="1"/>
  <c r="AJ168" i="1"/>
  <c r="AJ90" i="1"/>
  <c r="AJ165" i="1"/>
  <c r="AJ163" i="1"/>
  <c r="AJ162" i="1"/>
  <c r="AJ135" i="1"/>
  <c r="AJ167" i="1"/>
  <c r="AJ169" i="1"/>
  <c r="AJ147" i="1"/>
  <c r="AJ166" i="1"/>
  <c r="AK160" i="1"/>
  <c r="AF174" i="1"/>
  <c r="AL90" i="1"/>
  <c r="AK90" i="1"/>
  <c r="AK165" i="1"/>
  <c r="AK167" i="1"/>
  <c r="AK168" i="1"/>
  <c r="AK147" i="1"/>
  <c r="AK162" i="1"/>
  <c r="AK166" i="1"/>
  <c r="AK135" i="1"/>
  <c r="AK163" i="1"/>
  <c r="AK169" i="1"/>
  <c r="AL160" i="1"/>
  <c r="AG174" i="1"/>
  <c r="AL166" i="1"/>
  <c r="AL135" i="1"/>
  <c r="AL169" i="1"/>
  <c r="AL163" i="1"/>
  <c r="AM90" i="1"/>
  <c r="AL168" i="1"/>
  <c r="AL167" i="1"/>
  <c r="AL147" i="1"/>
  <c r="AL162" i="1"/>
  <c r="AL165" i="1"/>
  <c r="AM160" i="1"/>
  <c r="AH174" i="1"/>
  <c r="AM165" i="1"/>
  <c r="AM168" i="1"/>
  <c r="AM166" i="1"/>
  <c r="AM147" i="1"/>
  <c r="AM163" i="1"/>
  <c r="AM162" i="1"/>
  <c r="AM135" i="1"/>
  <c r="AM167" i="1"/>
  <c r="AM169" i="1"/>
  <c r="AN90" i="1"/>
  <c r="AN160" i="1"/>
  <c r="AI174" i="1"/>
  <c r="AN167" i="1"/>
  <c r="AN166" i="1"/>
  <c r="AN135" i="1"/>
  <c r="AN165" i="1"/>
  <c r="AN162" i="1"/>
  <c r="AN147" i="1"/>
  <c r="AN169" i="1"/>
  <c r="AN168" i="1"/>
  <c r="AO90" i="1"/>
  <c r="AN163" i="1"/>
  <c r="AO160" i="1"/>
  <c r="AJ174" i="1"/>
  <c r="AO168" i="1"/>
  <c r="AO135" i="1"/>
  <c r="AO166" i="1"/>
  <c r="AO162" i="1"/>
  <c r="AO169" i="1"/>
  <c r="AO147" i="1"/>
  <c r="AO167" i="1"/>
  <c r="AO163" i="1"/>
  <c r="AO165" i="1"/>
  <c r="AP90" i="1"/>
  <c r="AP160" i="1"/>
  <c r="AK174" i="1"/>
  <c r="AP165" i="1"/>
  <c r="AP167" i="1"/>
  <c r="AP168" i="1"/>
  <c r="AP135" i="1"/>
  <c r="AP169" i="1"/>
  <c r="AP162" i="1"/>
  <c r="AP166" i="1"/>
  <c r="AP163" i="1"/>
  <c r="AP147" i="1"/>
  <c r="AQ90" i="1"/>
  <c r="AQ160" i="1"/>
  <c r="AL174" i="1"/>
  <c r="AQ169" i="1"/>
  <c r="AQ162" i="1"/>
  <c r="AQ165" i="1"/>
  <c r="AQ163" i="1"/>
  <c r="AQ168" i="1"/>
  <c r="AQ167" i="1"/>
  <c r="AR90" i="1"/>
  <c r="AQ166" i="1"/>
  <c r="AQ135" i="1"/>
  <c r="AQ147" i="1"/>
  <c r="AR160" i="1"/>
  <c r="AM174" i="1"/>
  <c r="AR162" i="1"/>
  <c r="AR135" i="1"/>
  <c r="AR163" i="1"/>
  <c r="AR169" i="1"/>
  <c r="AR167" i="1"/>
  <c r="AR166" i="1"/>
  <c r="AR165" i="1"/>
  <c r="AS90" i="1"/>
  <c r="AR147" i="1"/>
  <c r="AR168" i="1"/>
  <c r="AS160" i="1"/>
  <c r="AN174" i="1"/>
  <c r="AS163" i="1"/>
  <c r="AS147" i="1"/>
  <c r="AS167" i="1"/>
  <c r="AS135" i="1"/>
  <c r="AS162" i="1"/>
  <c r="AS168" i="1"/>
  <c r="AS165" i="1"/>
  <c r="AS166" i="1"/>
  <c r="AS169" i="1"/>
  <c r="AT90" i="1"/>
  <c r="AT160" i="1"/>
  <c r="AO174" i="1"/>
  <c r="AT168" i="1"/>
  <c r="AT167" i="1"/>
  <c r="AT135" i="1"/>
  <c r="AT166" i="1"/>
  <c r="AT169" i="1"/>
  <c r="AT147" i="1"/>
  <c r="AT165" i="1"/>
  <c r="AT162" i="1"/>
  <c r="AU90" i="1"/>
  <c r="AT163" i="1"/>
  <c r="AU160" i="1"/>
  <c r="AP174" i="1"/>
  <c r="AU147" i="1"/>
  <c r="AU135" i="1"/>
  <c r="AU162" i="1"/>
  <c r="G181" i="1"/>
  <c r="G84" i="1"/>
  <c r="G187" i="1"/>
  <c r="G63" i="1"/>
  <c r="G200" i="1"/>
  <c r="G182" i="1"/>
  <c r="G39" i="1"/>
  <c r="G180" i="1"/>
  <c r="G41" i="1"/>
  <c r="G85" i="1"/>
  <c r="G68" i="1"/>
  <c r="G201" i="1"/>
  <c r="G20" i="1"/>
  <c r="G206" i="1"/>
  <c r="G83" i="1"/>
  <c r="G72" i="1"/>
  <c r="G210" i="1"/>
  <c r="G31" i="1"/>
  <c r="G190" i="1"/>
  <c r="G185" i="1"/>
  <c r="G202" i="1"/>
  <c r="G81" i="1"/>
  <c r="G74" i="1"/>
  <c r="G86" i="1"/>
  <c r="G66" i="1"/>
  <c r="G188" i="1"/>
  <c r="G80" i="1"/>
  <c r="G75" i="1"/>
  <c r="G47" i="1"/>
  <c r="G205" i="1"/>
  <c r="G186" i="1"/>
  <c r="G198" i="1"/>
  <c r="G78" i="1"/>
  <c r="G209" i="1"/>
  <c r="G194" i="1"/>
  <c r="G79" i="1"/>
  <c r="G212" i="1"/>
  <c r="G69" i="1"/>
  <c r="G21" i="1"/>
  <c r="G204" i="1"/>
  <c r="G48" i="1"/>
  <c r="G214" i="1"/>
  <c r="G195" i="1"/>
  <c r="G73" i="1"/>
  <c r="G30" i="1"/>
  <c r="G184" i="1"/>
  <c r="G71" i="1"/>
  <c r="G207" i="1"/>
  <c r="G62" i="1"/>
  <c r="G199" i="1"/>
  <c r="G196" i="1"/>
  <c r="G76" i="1"/>
  <c r="G192" i="1"/>
  <c r="G189" i="1"/>
  <c r="G70" i="1"/>
  <c r="G82" i="1"/>
  <c r="G183" i="1"/>
  <c r="AU166" i="1"/>
  <c r="AU168" i="1"/>
  <c r="AU165" i="1"/>
  <c r="AU169" i="1"/>
  <c r="AU163" i="1"/>
  <c r="AU167" i="1"/>
  <c r="AV160" i="1"/>
  <c r="AQ174" i="1"/>
  <c r="AV166" i="1"/>
  <c r="AW90" i="1"/>
  <c r="AV90" i="1"/>
  <c r="AV168" i="1"/>
  <c r="AV135" i="1"/>
  <c r="AV165" i="1"/>
  <c r="AV167" i="1"/>
  <c r="AV162" i="1"/>
  <c r="AV163" i="1"/>
  <c r="AV147" i="1"/>
  <c r="AV169" i="1"/>
  <c r="AW160" i="1"/>
  <c r="AR174" i="1"/>
  <c r="AW166" i="1"/>
  <c r="AX90" i="1"/>
  <c r="AW147" i="1"/>
  <c r="AW169" i="1"/>
  <c r="AW162" i="1"/>
  <c r="AW165" i="1"/>
  <c r="AW135" i="1"/>
  <c r="AW163" i="1"/>
  <c r="AW168" i="1"/>
  <c r="AW167" i="1"/>
  <c r="AX160" i="1"/>
  <c r="AS174" i="1"/>
  <c r="AX162" i="1"/>
  <c r="AX135" i="1"/>
  <c r="AY90" i="1"/>
  <c r="AX163" i="1"/>
  <c r="AX169" i="1"/>
  <c r="AX167" i="1"/>
  <c r="AX166" i="1"/>
  <c r="AX147" i="1"/>
  <c r="AX165" i="1"/>
  <c r="AX168" i="1"/>
  <c r="AY160" i="1"/>
  <c r="AT174" i="1"/>
  <c r="AY166" i="1"/>
  <c r="AY167" i="1"/>
  <c r="AY135" i="1"/>
  <c r="AY163" i="1"/>
  <c r="AY169" i="1"/>
  <c r="AY165" i="1"/>
  <c r="AY168" i="1"/>
  <c r="AY162" i="1"/>
  <c r="AY147" i="1"/>
  <c r="AZ90" i="1"/>
  <c r="AZ160" i="1"/>
  <c r="AU174" i="1"/>
  <c r="AZ166" i="1"/>
  <c r="AZ147" i="1"/>
  <c r="AZ162" i="1"/>
  <c r="AZ135" i="1"/>
  <c r="AZ165" i="1"/>
  <c r="AZ168" i="1"/>
  <c r="AZ163" i="1"/>
  <c r="AZ169" i="1"/>
  <c r="BA90" i="1"/>
  <c r="AZ167" i="1"/>
  <c r="BA160" i="1"/>
  <c r="AV174" i="1"/>
  <c r="BA165" i="1"/>
  <c r="BA168" i="1"/>
  <c r="BA163" i="1"/>
  <c r="BA167" i="1"/>
  <c r="BA166" i="1"/>
  <c r="BA162" i="1"/>
  <c r="BC202" i="1"/>
  <c r="BD202" i="1"/>
  <c r="BE202" i="1"/>
  <c r="BB202" i="1"/>
  <c r="BC187" i="1"/>
  <c r="BD187" i="1"/>
  <c r="BE187" i="1"/>
  <c r="BB187" i="1"/>
  <c r="BC76" i="1"/>
  <c r="BD76" i="1"/>
  <c r="BE76" i="1"/>
  <c r="BB76" i="1"/>
  <c r="BC42" i="1"/>
  <c r="BD42" i="1"/>
  <c r="BE42" i="1"/>
  <c r="BB42" i="1"/>
  <c r="BC19" i="1"/>
  <c r="BD19" i="1"/>
  <c r="BE19" i="1"/>
  <c r="BB19" i="1"/>
  <c r="BC27" i="1"/>
  <c r="BD27" i="1"/>
  <c r="BE27" i="1"/>
  <c r="BB27" i="1"/>
  <c r="BC86" i="1"/>
  <c r="BD86" i="1"/>
  <c r="BE86" i="1"/>
  <c r="BB86" i="1"/>
  <c r="BC69" i="1"/>
  <c r="BD69" i="1"/>
  <c r="BE69" i="1"/>
  <c r="BB69" i="1"/>
  <c r="BC37" i="1"/>
  <c r="BD37" i="1"/>
  <c r="BE37" i="1"/>
  <c r="BB37" i="1"/>
  <c r="BC195" i="1"/>
  <c r="BD195" i="1"/>
  <c r="BE195" i="1"/>
  <c r="BB195" i="1"/>
  <c r="BC47" i="1"/>
  <c r="BD47" i="1"/>
  <c r="BE47" i="1"/>
  <c r="BB47" i="1"/>
  <c r="BC36" i="1"/>
  <c r="BD36" i="1"/>
  <c r="BE36" i="1"/>
  <c r="BB36" i="1"/>
  <c r="BC199" i="1"/>
  <c r="BD199" i="1"/>
  <c r="BE199" i="1"/>
  <c r="BB199" i="1"/>
  <c r="BC181" i="1"/>
  <c r="BD181" i="1"/>
  <c r="BE181" i="1"/>
  <c r="BB181" i="1"/>
  <c r="BC78" i="1"/>
  <c r="BD78" i="1"/>
  <c r="BE78" i="1"/>
  <c r="BB78" i="1"/>
  <c r="BC45" i="1"/>
  <c r="BD45" i="1"/>
  <c r="BE45" i="1"/>
  <c r="BB45" i="1"/>
  <c r="BC74" i="1"/>
  <c r="BD74" i="1"/>
  <c r="BE74" i="1"/>
  <c r="BB74" i="1"/>
  <c r="BC85" i="1"/>
  <c r="BD85" i="1"/>
  <c r="BE85" i="1"/>
  <c r="BB85" i="1"/>
  <c r="BC39" i="1"/>
  <c r="BD39" i="1"/>
  <c r="BE39" i="1"/>
  <c r="BB39" i="1"/>
  <c r="BB14" i="1"/>
  <c r="BC84" i="1"/>
  <c r="BD84" i="1"/>
  <c r="BE84" i="1"/>
  <c r="BB84" i="1"/>
  <c r="BC49" i="1"/>
  <c r="BD49" i="1"/>
  <c r="BE49" i="1"/>
  <c r="BB49" i="1"/>
  <c r="BC206" i="1"/>
  <c r="BD206" i="1"/>
  <c r="BE206" i="1"/>
  <c r="BB206" i="1"/>
  <c r="BC73" i="1"/>
  <c r="BD73" i="1"/>
  <c r="BE73" i="1"/>
  <c r="BB73" i="1"/>
  <c r="BC201" i="1"/>
  <c r="BD201" i="1"/>
  <c r="BE201" i="1"/>
  <c r="BB201" i="1"/>
  <c r="BC43" i="1"/>
  <c r="BD43" i="1"/>
  <c r="BE43" i="1"/>
  <c r="BB43" i="1"/>
  <c r="BC82" i="1"/>
  <c r="BD82" i="1"/>
  <c r="BE82" i="1"/>
  <c r="BB82" i="1"/>
  <c r="BC214" i="1"/>
  <c r="BD214" i="1"/>
  <c r="BE214" i="1"/>
  <c r="BB214" i="1"/>
  <c r="BC190" i="1"/>
  <c r="BD190" i="1"/>
  <c r="BE190" i="1"/>
  <c r="BB190" i="1"/>
  <c r="BC55" i="1"/>
  <c r="BD55" i="1"/>
  <c r="BE55" i="1"/>
  <c r="BB55" i="1"/>
  <c r="BC50" i="1"/>
  <c r="BD50" i="1"/>
  <c r="BE50" i="1"/>
  <c r="BB50" i="1"/>
  <c r="BC72" i="1"/>
  <c r="BD72" i="1"/>
  <c r="BE72" i="1"/>
  <c r="BB72" i="1"/>
  <c r="BC197" i="1"/>
  <c r="BD197" i="1"/>
  <c r="BE197" i="1"/>
  <c r="BB197" i="1"/>
  <c r="BC21" i="1"/>
  <c r="BD21" i="1"/>
  <c r="BE21" i="1"/>
  <c r="BB21" i="1"/>
  <c r="BC209" i="1"/>
  <c r="BD209" i="1"/>
  <c r="BE209" i="1"/>
  <c r="BB209" i="1"/>
  <c r="BC80" i="1"/>
  <c r="BD80" i="1"/>
  <c r="BE80" i="1"/>
  <c r="BB80" i="1"/>
  <c r="BC40" i="1"/>
  <c r="BD40" i="1"/>
  <c r="BE40" i="1"/>
  <c r="BB40" i="1"/>
  <c r="BC200" i="1"/>
  <c r="BD200" i="1"/>
  <c r="BE200" i="1"/>
  <c r="BB200" i="1"/>
  <c r="BC18" i="1"/>
  <c r="BD18" i="1"/>
  <c r="BE18" i="1"/>
  <c r="BB18" i="1"/>
  <c r="BC66" i="1"/>
  <c r="BD66" i="1"/>
  <c r="BE66" i="1"/>
  <c r="BB66" i="1"/>
  <c r="BC208" i="1"/>
  <c r="BD208" i="1"/>
  <c r="BE208" i="1"/>
  <c r="BB208" i="1"/>
  <c r="BC185" i="1"/>
  <c r="BD185" i="1"/>
  <c r="BE185" i="1"/>
  <c r="BB185" i="1"/>
  <c r="BC53" i="1"/>
  <c r="BD53" i="1"/>
  <c r="BE53" i="1"/>
  <c r="BB53" i="1"/>
  <c r="BC51" i="1"/>
  <c r="BD51" i="1"/>
  <c r="BE51" i="1"/>
  <c r="BB51" i="1"/>
  <c r="BC194" i="1"/>
  <c r="BD194" i="1"/>
  <c r="BE194" i="1"/>
  <c r="BB194" i="1"/>
  <c r="BC25" i="1"/>
  <c r="BD25" i="1"/>
  <c r="BE25" i="1"/>
  <c r="BB25" i="1"/>
  <c r="BC205" i="1"/>
  <c r="BD205" i="1"/>
  <c r="BE205" i="1"/>
  <c r="BB205" i="1"/>
  <c r="BC189" i="1"/>
  <c r="BD189" i="1"/>
  <c r="BE189" i="1"/>
  <c r="BB189" i="1"/>
  <c r="BC71" i="1"/>
  <c r="BD71" i="1"/>
  <c r="BE71" i="1"/>
  <c r="BB71" i="1"/>
  <c r="BC46" i="1"/>
  <c r="BD46" i="1"/>
  <c r="BE46" i="1"/>
  <c r="BB46" i="1"/>
  <c r="BC28" i="1"/>
  <c r="BD28" i="1"/>
  <c r="BE28" i="1"/>
  <c r="BB28" i="1"/>
  <c r="BB90" i="1"/>
  <c r="BC180" i="1"/>
  <c r="BD180" i="1"/>
  <c r="BE180" i="1"/>
  <c r="BB180" i="1"/>
  <c r="BC63" i="1"/>
  <c r="BD63" i="1"/>
  <c r="BE63" i="1"/>
  <c r="BB63" i="1"/>
  <c r="BC207" i="1"/>
  <c r="BD207" i="1"/>
  <c r="BE207" i="1"/>
  <c r="BB207" i="1"/>
  <c r="BC83" i="1"/>
  <c r="BD83" i="1"/>
  <c r="BE83" i="1"/>
  <c r="BB83" i="1"/>
  <c r="BC33" i="1"/>
  <c r="BD33" i="1"/>
  <c r="BE33" i="1"/>
  <c r="BB33" i="1"/>
  <c r="BC192" i="1"/>
  <c r="BD192" i="1"/>
  <c r="BE192" i="1"/>
  <c r="BB192" i="1"/>
  <c r="BC184" i="1"/>
  <c r="BD184" i="1"/>
  <c r="BE184" i="1"/>
  <c r="BB184" i="1"/>
  <c r="BC52" i="1"/>
  <c r="BD52" i="1"/>
  <c r="BE52" i="1"/>
  <c r="BB52" i="1"/>
  <c r="BC68" i="1"/>
  <c r="BD68" i="1"/>
  <c r="BE68" i="1"/>
  <c r="BB68" i="1"/>
  <c r="BC212" i="1"/>
  <c r="BD212" i="1"/>
  <c r="BE212" i="1"/>
  <c r="BB212" i="1"/>
  <c r="BC188" i="1"/>
  <c r="BD188" i="1"/>
  <c r="BE188" i="1"/>
  <c r="BB188" i="1"/>
  <c r="BC29" i="1"/>
  <c r="BD29" i="1"/>
  <c r="BE29" i="1"/>
  <c r="BB29" i="1"/>
  <c r="BC75" i="1"/>
  <c r="BD75" i="1"/>
  <c r="BE75" i="1"/>
  <c r="BB75" i="1"/>
  <c r="BC31" i="1"/>
  <c r="BD31" i="1"/>
  <c r="BE31" i="1"/>
  <c r="BB31" i="1"/>
  <c r="BC79" i="1"/>
  <c r="BD79" i="1"/>
  <c r="BE79" i="1"/>
  <c r="BB79" i="1"/>
  <c r="BC62" i="1"/>
  <c r="BD62" i="1"/>
  <c r="BE62" i="1"/>
  <c r="BB62" i="1"/>
  <c r="BC30" i="1"/>
  <c r="BD30" i="1"/>
  <c r="BE30" i="1"/>
  <c r="BB30" i="1"/>
  <c r="BC81" i="1"/>
  <c r="BD81" i="1"/>
  <c r="BE81" i="1"/>
  <c r="BB81" i="1"/>
  <c r="BC204" i="1"/>
  <c r="BD204" i="1"/>
  <c r="BE204" i="1"/>
  <c r="BB204" i="1"/>
  <c r="BC24" i="1"/>
  <c r="BD24" i="1"/>
  <c r="BE24" i="1"/>
  <c r="BB24" i="1"/>
  <c r="BC182" i="1"/>
  <c r="BD182" i="1"/>
  <c r="BE182" i="1"/>
  <c r="BB182" i="1"/>
  <c r="BC34" i="1"/>
  <c r="BD34" i="1"/>
  <c r="BE34" i="1"/>
  <c r="BB34" i="1"/>
  <c r="BC196" i="1"/>
  <c r="BD196" i="1"/>
  <c r="BE196" i="1"/>
  <c r="BB196" i="1"/>
  <c r="BC64" i="1"/>
  <c r="BD64" i="1"/>
  <c r="BE64" i="1"/>
  <c r="BB64" i="1"/>
  <c r="BC70" i="1"/>
  <c r="BD70" i="1"/>
  <c r="BE70" i="1"/>
  <c r="BB70" i="1"/>
  <c r="BC186" i="1"/>
  <c r="BD186" i="1"/>
  <c r="BE186" i="1"/>
  <c r="BB186" i="1"/>
  <c r="BC65" i="1"/>
  <c r="BD65" i="1"/>
  <c r="BE65" i="1"/>
  <c r="BB65" i="1"/>
  <c r="BC17" i="1"/>
  <c r="BD17" i="1"/>
  <c r="BE17" i="1"/>
  <c r="BB17" i="1"/>
  <c r="BC48" i="1"/>
  <c r="BD48" i="1"/>
  <c r="BE48" i="1"/>
  <c r="BB48" i="1"/>
  <c r="BC210" i="1"/>
  <c r="BD210" i="1"/>
  <c r="BE210" i="1"/>
  <c r="BB210" i="1"/>
  <c r="BC35" i="1"/>
  <c r="BD35" i="1"/>
  <c r="BE35" i="1"/>
  <c r="BB35" i="1"/>
  <c r="BC183" i="1"/>
  <c r="BD183" i="1"/>
  <c r="BE183" i="1"/>
  <c r="BB183" i="1"/>
  <c r="BC38" i="1"/>
  <c r="BD38" i="1"/>
  <c r="BE38" i="1"/>
  <c r="BB38" i="1"/>
  <c r="BC20" i="1"/>
  <c r="BD20" i="1"/>
  <c r="BE20" i="1"/>
  <c r="BB20" i="1"/>
  <c r="BC198" i="1"/>
  <c r="BD198" i="1"/>
  <c r="BE198" i="1"/>
  <c r="BB198" i="1"/>
  <c r="BC41" i="1"/>
  <c r="BD41" i="1"/>
  <c r="BE41" i="1"/>
  <c r="BB41" i="1"/>
  <c r="BC54" i="1"/>
  <c r="BD54" i="1"/>
  <c r="BE54" i="1"/>
  <c r="BB54" i="1"/>
  <c r="BA169" i="1"/>
  <c r="BA147" i="1"/>
  <c r="BA135" i="1"/>
  <c r="BB129" i="1"/>
  <c r="BB160" i="1"/>
  <c r="BB57" i="1"/>
  <c r="AW174" i="1"/>
  <c r="BB103" i="1"/>
  <c r="BB158" i="1"/>
  <c r="BB125" i="1"/>
  <c r="BB106" i="1"/>
  <c r="BB122" i="1"/>
  <c r="BB137" i="1"/>
  <c r="BB124" i="1"/>
  <c r="BB152" i="1"/>
  <c r="BB142" i="1"/>
  <c r="BB95" i="1"/>
  <c r="BB102" i="1"/>
  <c r="BB134" i="1"/>
  <c r="BB162" i="1"/>
  <c r="BB140" i="1"/>
  <c r="BB144" i="1"/>
  <c r="BB147" i="1"/>
  <c r="BB126" i="1"/>
  <c r="BB99" i="1"/>
  <c r="BC90" i="1"/>
  <c r="BC14" i="1"/>
  <c r="BB123" i="1"/>
  <c r="BB135" i="1"/>
  <c r="BB168" i="1"/>
  <c r="BB104" i="1"/>
  <c r="BB131" i="1"/>
  <c r="BB148" i="1"/>
  <c r="BB139" i="1"/>
  <c r="BB143" i="1"/>
  <c r="BB119" i="1"/>
  <c r="BB167" i="1"/>
  <c r="BB107" i="1"/>
  <c r="BB151" i="1"/>
  <c r="BB146" i="1"/>
  <c r="BB109" i="1"/>
  <c r="BB93" i="1"/>
  <c r="BB165" i="1"/>
  <c r="BB145" i="1"/>
  <c r="BB154" i="1"/>
  <c r="BB163" i="1"/>
  <c r="BB113" i="1"/>
  <c r="BB132" i="1"/>
  <c r="BB157" i="1"/>
  <c r="BB141" i="1"/>
  <c r="BB156" i="1"/>
  <c r="BB153" i="1"/>
  <c r="BB100" i="1"/>
  <c r="BB111" i="1"/>
  <c r="BB169" i="1"/>
  <c r="BB112" i="1"/>
  <c r="BB149" i="1"/>
  <c r="BB150" i="1"/>
  <c r="BB127" i="1"/>
  <c r="BB138" i="1"/>
  <c r="BB155" i="1"/>
  <c r="BB170" i="1"/>
  <c r="BB115" i="1"/>
  <c r="BB166" i="1"/>
  <c r="BB110" i="1"/>
  <c r="BB108" i="1"/>
  <c r="BB105" i="1"/>
  <c r="BB121" i="1"/>
  <c r="BB136" i="1"/>
  <c r="BB96" i="1"/>
  <c r="BB101" i="1"/>
  <c r="BB120" i="1"/>
  <c r="BB97" i="1"/>
  <c r="BB114" i="1"/>
  <c r="BB118" i="1"/>
  <c r="BB94" i="1"/>
  <c r="BB98" i="1"/>
  <c r="BB133" i="1"/>
  <c r="BB116" i="1"/>
  <c r="BB117" i="1"/>
  <c r="BC103" i="1"/>
  <c r="BC57" i="1"/>
  <c r="BC129" i="1"/>
  <c r="BC160" i="1"/>
  <c r="AX174" i="1"/>
  <c r="BC117" i="1"/>
  <c r="BC150" i="1"/>
  <c r="BC136" i="1"/>
  <c r="BC133" i="1"/>
  <c r="BC125" i="1"/>
  <c r="BC98" i="1"/>
  <c r="BC132" i="1"/>
  <c r="BC94" i="1"/>
  <c r="BC147" i="1"/>
  <c r="BC170" i="1"/>
  <c r="BC120" i="1"/>
  <c r="BC102" i="1"/>
  <c r="BC141" i="1"/>
  <c r="BC135" i="1"/>
  <c r="BC106" i="1"/>
  <c r="BC162" i="1"/>
  <c r="BC139" i="1"/>
  <c r="BC107" i="1"/>
  <c r="BC115" i="1"/>
  <c r="BC99" i="1"/>
  <c r="BC131" i="1"/>
  <c r="BC143" i="1"/>
  <c r="BC167" i="1"/>
  <c r="BC126" i="1"/>
  <c r="BC144" i="1"/>
  <c r="BC93" i="1"/>
  <c r="BC140" i="1"/>
  <c r="BC146" i="1"/>
  <c r="BC122" i="1"/>
  <c r="BC104" i="1"/>
  <c r="BC153" i="1"/>
  <c r="BC157" i="1"/>
  <c r="BC97" i="1"/>
  <c r="BC166" i="1"/>
  <c r="BC95" i="1"/>
  <c r="BC113" i="1"/>
  <c r="BC148" i="1"/>
  <c r="BC151" i="1"/>
  <c r="BC156" i="1"/>
  <c r="BC116" i="1"/>
  <c r="BC124" i="1"/>
  <c r="BC108" i="1"/>
  <c r="BC142" i="1"/>
  <c r="BC96" i="1"/>
  <c r="BC127" i="1"/>
  <c r="BC137" i="1"/>
  <c r="BC111" i="1"/>
  <c r="BC163" i="1"/>
  <c r="BC121" i="1"/>
  <c r="BC110" i="1"/>
  <c r="BC100" i="1"/>
  <c r="BC105" i="1"/>
  <c r="BD14" i="1"/>
  <c r="BD90" i="1"/>
  <c r="BC109" i="1"/>
  <c r="BC138" i="1"/>
  <c r="BC134" i="1"/>
  <c r="BC158" i="1"/>
  <c r="BC155" i="1"/>
  <c r="BC101" i="1"/>
  <c r="BC119" i="1"/>
  <c r="BC114" i="1"/>
  <c r="BC154" i="1"/>
  <c r="BC123" i="1"/>
  <c r="BC168" i="1"/>
  <c r="BC112" i="1"/>
  <c r="BC165" i="1"/>
  <c r="BC169" i="1"/>
  <c r="BC149" i="1"/>
  <c r="BC118" i="1"/>
  <c r="BC152" i="1"/>
  <c r="BC145" i="1"/>
  <c r="BD160" i="1"/>
  <c r="BD129" i="1"/>
  <c r="BD57" i="1"/>
  <c r="AY174" i="1"/>
  <c r="BD126" i="1"/>
  <c r="BD141" i="1"/>
  <c r="BD116" i="1"/>
  <c r="BD131" i="1"/>
  <c r="BD118" i="1"/>
  <c r="BD132" i="1"/>
  <c r="BD101" i="1"/>
  <c r="BD107" i="1"/>
  <c r="BD117" i="1"/>
  <c r="BD134" i="1"/>
  <c r="BD102" i="1"/>
  <c r="BD162" i="1"/>
  <c r="BD115" i="1"/>
  <c r="BD125" i="1"/>
  <c r="BD169" i="1"/>
  <c r="BD155" i="1"/>
  <c r="BD121" i="1"/>
  <c r="BD123" i="1"/>
  <c r="BD122" i="1"/>
  <c r="BD124" i="1"/>
  <c r="BD142" i="1"/>
  <c r="BD100" i="1"/>
  <c r="BD103" i="1"/>
  <c r="BD151" i="1"/>
  <c r="BD111" i="1"/>
  <c r="BD148" i="1"/>
  <c r="BD119" i="1"/>
  <c r="BD93" i="1"/>
  <c r="BD147" i="1"/>
  <c r="BD143" i="1"/>
  <c r="BD138" i="1"/>
  <c r="BD120" i="1"/>
  <c r="BD137" i="1"/>
  <c r="BD109" i="1"/>
  <c r="BD135" i="1"/>
  <c r="BD158" i="1"/>
  <c r="BD150" i="1"/>
  <c r="BD113" i="1"/>
  <c r="BD136" i="1"/>
  <c r="BD167" i="1"/>
  <c r="BD144" i="1"/>
  <c r="BD95" i="1"/>
  <c r="BD163" i="1"/>
  <c r="BD133" i="1"/>
  <c r="BD140" i="1"/>
  <c r="BD127" i="1"/>
  <c r="BD168" i="1"/>
  <c r="BD114" i="1"/>
  <c r="BD105" i="1"/>
  <c r="BD108" i="1"/>
  <c r="BD97" i="1"/>
  <c r="BD112" i="1"/>
  <c r="BD157" i="1"/>
  <c r="BD165" i="1"/>
  <c r="BD154" i="1"/>
  <c r="BD170" i="1"/>
  <c r="BD139" i="1"/>
  <c r="BD146" i="1"/>
  <c r="BD94" i="1"/>
  <c r="BD96" i="1"/>
  <c r="BD104" i="1"/>
  <c r="BD153" i="1"/>
  <c r="BD149" i="1"/>
  <c r="BD106" i="1"/>
  <c r="BD152" i="1"/>
  <c r="BD98" i="1"/>
  <c r="BD156" i="1"/>
  <c r="BD145" i="1"/>
  <c r="BD166" i="1"/>
  <c r="BD110" i="1"/>
  <c r="BD99" i="1"/>
  <c r="BE14" i="1"/>
  <c r="BE90" i="1"/>
  <c r="BE160" i="1"/>
  <c r="BE129" i="1"/>
  <c r="BE57" i="1"/>
  <c r="AZ174" i="1"/>
  <c r="BB60" i="1"/>
  <c r="BB59" i="1"/>
  <c r="BE142" i="1"/>
  <c r="BE170" i="1"/>
  <c r="BE126" i="1"/>
  <c r="BE125" i="1"/>
  <c r="BE167" i="1"/>
  <c r="BE137" i="1"/>
  <c r="BE153" i="1"/>
  <c r="BE111" i="1"/>
  <c r="BE156" i="1"/>
  <c r="BE131" i="1"/>
  <c r="BE123" i="1"/>
  <c r="BE112" i="1"/>
  <c r="BE168" i="1"/>
  <c r="BE124" i="1"/>
  <c r="BE114" i="1"/>
  <c r="BE169" i="1"/>
  <c r="BE148" i="1"/>
  <c r="BE103" i="1"/>
  <c r="BE139" i="1"/>
  <c r="BE144" i="1"/>
  <c r="BE141" i="1"/>
  <c r="BE116" i="1"/>
  <c r="BE146" i="1"/>
  <c r="BE115" i="1"/>
  <c r="BE134" i="1"/>
  <c r="BE132" i="1"/>
  <c r="BE109" i="1"/>
  <c r="BE97" i="1"/>
  <c r="BE136" i="1"/>
  <c r="BE118" i="1"/>
  <c r="BE155" i="1"/>
  <c r="BE120" i="1"/>
  <c r="BE162" i="1"/>
  <c r="BE107" i="1"/>
  <c r="BE147" i="1"/>
  <c r="BE127" i="1"/>
  <c r="BE133" i="1"/>
  <c r="BE101" i="1"/>
  <c r="BE140" i="1"/>
  <c r="BE166" i="1"/>
  <c r="BE95" i="1"/>
  <c r="BE135" i="1"/>
  <c r="BE122" i="1"/>
  <c r="BE152" i="1"/>
  <c r="BE99" i="1"/>
  <c r="BE154" i="1"/>
  <c r="BE145" i="1"/>
  <c r="BE119" i="1"/>
  <c r="BE151" i="1"/>
  <c r="BE93" i="1"/>
  <c r="BE117" i="1"/>
  <c r="BE104" i="1"/>
  <c r="BE110" i="1"/>
  <c r="BE106" i="1"/>
  <c r="BE105" i="1"/>
  <c r="BE108" i="1"/>
  <c r="BE100" i="1"/>
  <c r="BE157" i="1"/>
  <c r="BE102" i="1"/>
  <c r="BE163" i="1"/>
  <c r="BE96" i="1"/>
  <c r="BE143" i="1"/>
  <c r="BE98" i="1"/>
  <c r="BE94" i="1"/>
  <c r="BE113" i="1"/>
  <c r="BE121" i="1"/>
  <c r="BE158" i="1"/>
  <c r="BE150" i="1"/>
  <c r="BE138" i="1"/>
  <c r="BE165" i="1"/>
  <c r="BE149" i="1"/>
  <c r="BF189" i="1"/>
  <c r="BF28" i="1"/>
  <c r="BF39" i="1"/>
  <c r="BF68" i="1"/>
  <c r="BF199" i="1"/>
  <c r="BF82" i="1"/>
  <c r="BF27" i="1"/>
  <c r="BF42" i="1"/>
  <c r="BF209" i="1"/>
  <c r="BF182" i="1"/>
  <c r="BF55" i="1"/>
  <c r="BF25" i="1"/>
  <c r="BF54" i="1"/>
  <c r="BF65" i="1"/>
  <c r="BF206" i="1"/>
  <c r="BF62" i="1"/>
  <c r="BF85" i="1"/>
  <c r="BF83" i="1"/>
  <c r="BF14" i="1"/>
  <c r="BF81" i="1"/>
  <c r="BF210" i="1"/>
  <c r="BF75" i="1"/>
  <c r="BF49" i="1"/>
  <c r="BF198" i="1"/>
  <c r="BF20" i="1"/>
  <c r="BF64" i="1"/>
  <c r="BF194" i="1"/>
  <c r="BF73" i="1"/>
  <c r="BF63" i="1"/>
  <c r="BF76" i="1"/>
  <c r="BF208" i="1"/>
  <c r="BF185" i="1"/>
  <c r="BF66" i="1"/>
  <c r="BF50" i="1"/>
  <c r="BF17" i="1"/>
  <c r="BF90" i="1"/>
  <c r="BF84" i="1"/>
  <c r="BF41" i="1"/>
  <c r="BF205" i="1"/>
  <c r="BF80" i="1"/>
  <c r="BF36" i="1"/>
  <c r="BF207" i="1"/>
  <c r="BF190" i="1"/>
  <c r="BF78" i="1"/>
  <c r="BF51" i="1"/>
  <c r="BF29" i="1"/>
  <c r="BF18" i="1"/>
  <c r="BF200" i="1"/>
  <c r="BF52" i="1"/>
  <c r="BF46" i="1"/>
  <c r="BF196" i="1"/>
  <c r="BF48" i="1"/>
  <c r="BF35" i="1"/>
  <c r="BF212" i="1"/>
  <c r="BF197" i="1"/>
  <c r="BF69" i="1"/>
  <c r="BF201" i="1"/>
  <c r="BF74" i="1"/>
  <c r="BF214" i="1"/>
  <c r="BF30" i="1"/>
  <c r="BF204" i="1"/>
  <c r="BF71" i="1"/>
  <c r="BF45" i="1"/>
  <c r="BF187" i="1"/>
  <c r="BF47" i="1"/>
  <c r="BF183" i="1"/>
  <c r="BF37" i="1"/>
  <c r="BF184" i="1"/>
  <c r="BF34" i="1"/>
  <c r="BF192" i="1"/>
  <c r="BF72" i="1"/>
  <c r="BF186" i="1"/>
  <c r="BF43" i="1"/>
  <c r="BF180" i="1"/>
  <c r="BF40" i="1"/>
  <c r="BF33" i="1"/>
  <c r="BF79" i="1"/>
  <c r="BF86" i="1"/>
  <c r="BF38" i="1"/>
  <c r="BF21" i="1"/>
  <c r="BF70" i="1"/>
  <c r="BF195" i="1"/>
  <c r="BF31" i="1"/>
  <c r="BF188" i="1"/>
  <c r="BF53" i="1"/>
  <c r="BF202" i="1"/>
  <c r="BF24" i="1"/>
  <c r="BF181" i="1"/>
  <c r="BF19" i="1"/>
  <c r="BF129" i="1"/>
  <c r="BF57" i="1"/>
  <c r="BF160" i="1"/>
  <c r="BB173" i="1"/>
  <c r="BB217" i="1"/>
  <c r="BA174" i="1"/>
  <c r="BC59" i="1"/>
  <c r="BC60" i="1"/>
  <c r="BF139" i="1"/>
  <c r="BF127" i="1"/>
  <c r="BF158" i="1"/>
  <c r="BF123" i="1"/>
  <c r="BF118" i="1"/>
  <c r="BF141" i="1"/>
  <c r="BF169" i="1"/>
  <c r="BF103" i="1"/>
  <c r="BF162" i="1"/>
  <c r="BF100" i="1"/>
  <c r="BF142" i="1"/>
  <c r="BF110" i="1"/>
  <c r="BF107" i="1"/>
  <c r="BF106" i="1"/>
  <c r="BF168" i="1"/>
  <c r="BF166" i="1"/>
  <c r="BF122" i="1"/>
  <c r="BF125" i="1"/>
  <c r="BF98" i="1"/>
  <c r="BF146" i="1"/>
  <c r="BF115" i="1"/>
  <c r="BF163" i="1"/>
  <c r="BF137" i="1"/>
  <c r="BF126" i="1"/>
  <c r="BF132" i="1"/>
  <c r="BF111" i="1"/>
  <c r="BF151" i="1"/>
  <c r="BF131" i="1"/>
  <c r="BF105" i="1"/>
  <c r="BF133" i="1"/>
  <c r="BF134" i="1"/>
  <c r="BF167" i="1"/>
  <c r="BF170" i="1"/>
  <c r="BF113" i="1"/>
  <c r="BF94" i="1"/>
  <c r="BF144" i="1"/>
  <c r="BF143" i="1"/>
  <c r="BF147" i="1"/>
  <c r="BF119" i="1"/>
  <c r="BF101" i="1"/>
  <c r="BF99" i="1"/>
  <c r="BF165" i="1"/>
  <c r="BF155" i="1"/>
  <c r="BF112" i="1"/>
  <c r="BF154" i="1"/>
  <c r="BF153" i="1"/>
  <c r="BF149" i="1"/>
  <c r="BF117" i="1"/>
  <c r="BF116" i="1"/>
  <c r="BF140" i="1"/>
  <c r="BF102" i="1"/>
  <c r="BF152" i="1"/>
  <c r="BF104" i="1"/>
  <c r="BG195" i="1"/>
  <c r="BG187" i="1"/>
  <c r="BG197" i="1"/>
  <c r="BG33" i="1"/>
  <c r="BG53" i="1"/>
  <c r="BG206" i="1"/>
  <c r="BG75" i="1"/>
  <c r="BG35" i="1"/>
  <c r="BG210" i="1"/>
  <c r="BG79" i="1"/>
  <c r="BG40" i="1"/>
  <c r="BG207" i="1"/>
  <c r="BG180" i="1"/>
  <c r="BG71" i="1"/>
  <c r="BG28" i="1"/>
  <c r="BG36" i="1"/>
  <c r="BG200" i="1"/>
  <c r="BG73" i="1"/>
  <c r="BG27" i="1"/>
  <c r="BG199" i="1"/>
  <c r="BG47" i="1"/>
  <c r="BG24" i="1"/>
  <c r="BG208" i="1"/>
  <c r="BG21" i="1"/>
  <c r="BG181" i="1"/>
  <c r="BG42" i="1"/>
  <c r="BG54" i="1"/>
  <c r="BG202" i="1"/>
  <c r="BG70" i="1"/>
  <c r="BG34" i="1"/>
  <c r="BG85" i="1"/>
  <c r="BG25" i="1"/>
  <c r="BG18" i="1"/>
  <c r="BG209" i="1"/>
  <c r="BG65" i="1"/>
  <c r="BG80" i="1"/>
  <c r="BG52" i="1"/>
  <c r="BG184" i="1"/>
  <c r="BG68" i="1"/>
  <c r="BG82" i="1"/>
  <c r="BG66" i="1"/>
  <c r="BG83" i="1"/>
  <c r="BG214" i="1"/>
  <c r="BG189" i="1"/>
  <c r="BG192" i="1"/>
  <c r="BG50" i="1"/>
  <c r="BG188" i="1"/>
  <c r="BG17" i="1"/>
  <c r="BG201" i="1"/>
  <c r="BG51" i="1"/>
  <c r="BG43" i="1"/>
  <c r="BG205" i="1"/>
  <c r="BG72" i="1"/>
  <c r="BG29" i="1"/>
  <c r="BG212" i="1"/>
  <c r="BG185" i="1"/>
  <c r="BG183" i="1"/>
  <c r="BG46" i="1"/>
  <c r="BG48" i="1"/>
  <c r="BG81" i="1"/>
  <c r="BG198" i="1"/>
  <c r="BG64" i="1"/>
  <c r="BG30" i="1"/>
  <c r="BG196" i="1"/>
  <c r="BG39" i="1"/>
  <c r="BG19" i="1"/>
  <c r="BG186" i="1"/>
  <c r="BG74" i="1"/>
  <c r="BG63" i="1"/>
  <c r="BG62" i="1"/>
  <c r="BG41" i="1"/>
  <c r="BG190" i="1"/>
  <c r="BG69" i="1"/>
  <c r="BG182" i="1"/>
  <c r="BG49" i="1"/>
  <c r="BG38" i="1"/>
  <c r="BG45" i="1"/>
  <c r="BG194" i="1"/>
  <c r="BG86" i="1"/>
  <c r="BG31" i="1"/>
  <c r="BG14" i="1"/>
  <c r="BG78" i="1"/>
  <c r="BG37" i="1"/>
  <c r="BG204" i="1"/>
  <c r="BG55" i="1"/>
  <c r="BG76" i="1"/>
  <c r="BG90" i="1"/>
  <c r="BG84" i="1"/>
  <c r="BG20" i="1"/>
  <c r="BF136" i="1"/>
  <c r="BF108" i="1"/>
  <c r="BF148" i="1"/>
  <c r="BF124" i="1"/>
  <c r="BF93" i="1"/>
  <c r="BF121" i="1"/>
  <c r="BF109" i="1"/>
  <c r="BF145" i="1"/>
  <c r="BF150" i="1"/>
  <c r="BF95" i="1"/>
  <c r="BF156" i="1"/>
  <c r="BF157" i="1"/>
  <c r="BF135" i="1"/>
  <c r="BF114" i="1"/>
  <c r="BF96" i="1"/>
  <c r="BF138" i="1"/>
  <c r="BF120" i="1"/>
  <c r="BF97" i="1"/>
  <c r="BG129" i="1"/>
  <c r="BG160" i="1"/>
  <c r="BG57" i="1"/>
  <c r="BB203" i="1"/>
  <c r="BB16" i="1"/>
  <c r="BB174" i="1"/>
  <c r="BB32" i="1"/>
  <c r="BB211" i="1"/>
  <c r="BB22" i="1"/>
  <c r="BB44" i="1"/>
  <c r="BC173" i="1"/>
  <c r="BC217" i="1"/>
  <c r="BB26" i="1"/>
  <c r="BB191" i="1"/>
  <c r="BB193" i="1"/>
  <c r="BB213" i="1"/>
  <c r="BB215" i="1"/>
  <c r="BD60" i="1"/>
  <c r="BD59" i="1"/>
  <c r="BG123" i="1"/>
  <c r="BG132" i="1"/>
  <c r="BG140" i="1"/>
  <c r="BG166" i="1"/>
  <c r="BG155" i="1"/>
  <c r="BG126" i="1"/>
  <c r="BG139" i="1"/>
  <c r="BG138" i="1"/>
  <c r="BG158" i="1"/>
  <c r="BG119" i="1"/>
  <c r="BG122" i="1"/>
  <c r="BG168" i="1"/>
  <c r="BG115" i="1"/>
  <c r="BG148" i="1"/>
  <c r="BG162" i="1"/>
  <c r="BG105" i="1"/>
  <c r="BG165" i="1"/>
  <c r="BG136" i="1"/>
  <c r="BG121" i="1"/>
  <c r="BG96" i="1"/>
  <c r="BG170" i="1"/>
  <c r="BG137" i="1"/>
  <c r="BG147" i="1"/>
  <c r="BG98" i="1"/>
  <c r="BG150" i="1"/>
  <c r="BG116" i="1"/>
  <c r="BG99" i="1"/>
  <c r="BG153" i="1"/>
  <c r="BG124" i="1"/>
  <c r="BG135" i="1"/>
  <c r="BG111" i="1"/>
  <c r="BG143" i="1"/>
  <c r="BG131" i="1"/>
  <c r="BG152" i="1"/>
  <c r="BG101" i="1"/>
  <c r="BG93" i="1"/>
  <c r="BG110" i="1"/>
  <c r="BG151" i="1"/>
  <c r="BG145" i="1"/>
  <c r="BG100" i="1"/>
  <c r="BG117" i="1"/>
  <c r="BG134" i="1"/>
  <c r="BG141" i="1"/>
  <c r="BG163" i="1"/>
  <c r="BG113" i="1"/>
  <c r="BG127" i="1"/>
  <c r="BG106" i="1"/>
  <c r="BG156" i="1"/>
  <c r="BG154" i="1"/>
  <c r="BG103" i="1"/>
  <c r="BG146" i="1"/>
  <c r="BG144" i="1"/>
  <c r="BG95" i="1"/>
  <c r="BH214" i="1"/>
  <c r="BH184" i="1"/>
  <c r="BH202" i="1"/>
  <c r="BH40" i="1"/>
  <c r="BH31" i="1"/>
  <c r="BH185" i="1"/>
  <c r="BH80" i="1"/>
  <c r="BH24" i="1"/>
  <c r="BH54" i="1"/>
  <c r="BH34" i="1"/>
  <c r="BH207" i="1"/>
  <c r="BH183" i="1"/>
  <c r="BH71" i="1"/>
  <c r="BH62" i="1"/>
  <c r="BH42" i="1"/>
  <c r="BH18" i="1"/>
  <c r="BH195" i="1"/>
  <c r="BH49" i="1"/>
  <c r="BH66" i="1"/>
  <c r="BH205" i="1"/>
  <c r="BH82" i="1"/>
  <c r="BH79" i="1"/>
  <c r="BH197" i="1"/>
  <c r="BH63" i="1"/>
  <c r="BH55" i="1"/>
  <c r="BH187" i="1"/>
  <c r="BH39" i="1"/>
  <c r="BH189" i="1"/>
  <c r="BH36" i="1"/>
  <c r="BH20" i="1"/>
  <c r="BH64" i="1"/>
  <c r="BH208" i="1"/>
  <c r="BH192" i="1"/>
  <c r="BH69" i="1"/>
  <c r="BH68" i="1"/>
  <c r="BH47" i="1"/>
  <c r="BH30" i="1"/>
  <c r="BH86" i="1"/>
  <c r="BH51" i="1"/>
  <c r="BH194" i="1"/>
  <c r="BH45" i="1"/>
  <c r="BH29" i="1"/>
  <c r="BH204" i="1"/>
  <c r="BH186" i="1"/>
  <c r="BH46" i="1"/>
  <c r="BH35" i="1"/>
  <c r="BH196" i="1"/>
  <c r="BH90" i="1"/>
  <c r="BH85" i="1"/>
  <c r="BH48" i="1"/>
  <c r="BH25" i="1"/>
  <c r="BH209" i="1"/>
  <c r="BH73" i="1"/>
  <c r="BH75" i="1"/>
  <c r="BH206" i="1"/>
  <c r="BH190" i="1"/>
  <c r="BH50" i="1"/>
  <c r="BH38" i="1"/>
  <c r="BH28" i="1"/>
  <c r="BH83" i="1"/>
  <c r="BH37" i="1"/>
  <c r="BH181" i="1"/>
  <c r="BH43" i="1"/>
  <c r="BH17" i="1"/>
  <c r="BH201" i="1"/>
  <c r="BH182" i="1"/>
  <c r="BH53" i="1"/>
  <c r="BH65" i="1"/>
  <c r="BH52" i="1"/>
  <c r="BH210" i="1"/>
  <c r="BH84" i="1"/>
  <c r="BH200" i="1"/>
  <c r="BH14" i="1"/>
  <c r="BH188" i="1"/>
  <c r="BH70" i="1"/>
  <c r="BH33" i="1"/>
  <c r="BH78" i="1"/>
  <c r="BH72" i="1"/>
  <c r="BH199" i="1"/>
  <c r="BH41" i="1"/>
  <c r="BH74" i="1"/>
  <c r="BH212" i="1"/>
  <c r="BH180" i="1"/>
  <c r="BH27" i="1"/>
  <c r="BH198" i="1"/>
  <c r="BH21" i="1"/>
  <c r="BH81" i="1"/>
  <c r="BH76" i="1"/>
  <c r="BH19" i="1"/>
  <c r="BG94" i="1"/>
  <c r="BG107" i="1"/>
  <c r="BG114" i="1"/>
  <c r="BG108" i="1"/>
  <c r="BG167" i="1"/>
  <c r="BG120" i="1"/>
  <c r="BG112" i="1"/>
  <c r="BG97" i="1"/>
  <c r="BG118" i="1"/>
  <c r="BG157" i="1"/>
  <c r="BG149" i="1"/>
  <c r="BG133" i="1"/>
  <c r="BG104" i="1"/>
  <c r="BG125" i="1"/>
  <c r="BG142" i="1"/>
  <c r="BG102" i="1"/>
  <c r="BG109" i="1"/>
  <c r="BG169" i="1"/>
  <c r="BH160" i="1"/>
  <c r="BH57" i="1"/>
  <c r="BH129" i="1"/>
  <c r="BH167" i="1"/>
  <c r="BC32" i="1"/>
  <c r="BC44" i="1"/>
  <c r="BC16" i="1"/>
  <c r="BC174" i="1"/>
  <c r="BC203" i="1"/>
  <c r="BC22" i="1"/>
  <c r="BC26" i="1"/>
  <c r="BD173" i="1"/>
  <c r="BD217" i="1"/>
  <c r="BC211" i="1"/>
  <c r="BE174" i="1"/>
  <c r="BE60" i="1"/>
  <c r="BE59" i="1"/>
  <c r="BH143" i="1"/>
  <c r="BH155" i="1"/>
  <c r="BH102" i="1"/>
  <c r="BH104" i="1"/>
  <c r="BH144" i="1"/>
  <c r="BH125" i="1"/>
  <c r="BH162" i="1"/>
  <c r="BH115" i="1"/>
  <c r="BH101" i="1"/>
  <c r="BH147" i="1"/>
  <c r="BH156" i="1"/>
  <c r="BH168" i="1"/>
  <c r="BH114" i="1"/>
  <c r="BH118" i="1"/>
  <c r="BH105" i="1"/>
  <c r="BH127" i="1"/>
  <c r="BH116" i="1"/>
  <c r="BH140" i="1"/>
  <c r="BH157" i="1"/>
  <c r="BH121" i="1"/>
  <c r="BH108" i="1"/>
  <c r="BH112" i="1"/>
  <c r="BH135" i="1"/>
  <c r="BH138" i="1"/>
  <c r="BH109" i="1"/>
  <c r="BH122" i="1"/>
  <c r="BH150" i="1"/>
  <c r="BH96" i="1"/>
  <c r="BH117" i="1"/>
  <c r="BH142" i="1"/>
  <c r="BH103" i="1"/>
  <c r="BH134" i="1"/>
  <c r="BH94" i="1"/>
  <c r="BH119" i="1"/>
  <c r="BH148" i="1"/>
  <c r="BH154" i="1"/>
  <c r="BH139" i="1"/>
  <c r="BH106" i="1"/>
  <c r="BH93" i="1"/>
  <c r="BH165" i="1"/>
  <c r="BH141" i="1"/>
  <c r="BH107" i="1"/>
  <c r="BH151" i="1"/>
  <c r="BH166" i="1"/>
  <c r="BH153" i="1"/>
  <c r="BH158" i="1"/>
  <c r="BH99" i="1"/>
  <c r="BH97" i="1"/>
  <c r="BH137" i="1"/>
  <c r="BH95" i="1"/>
  <c r="BH123" i="1"/>
  <c r="BH133" i="1"/>
  <c r="BH145" i="1"/>
  <c r="BI210" i="1"/>
  <c r="BI43" i="1"/>
  <c r="BI51" i="1"/>
  <c r="BI35" i="1"/>
  <c r="BI69" i="1"/>
  <c r="BI18" i="1"/>
  <c r="BI204" i="1"/>
  <c r="BI189" i="1"/>
  <c r="BI41" i="1"/>
  <c r="BI76" i="1"/>
  <c r="BI85" i="1"/>
  <c r="BI29" i="1"/>
  <c r="BI68" i="1"/>
  <c r="BI46" i="1"/>
  <c r="BI70" i="1"/>
  <c r="BI55" i="1"/>
  <c r="BI65" i="1"/>
  <c r="BI201" i="1"/>
  <c r="BI80" i="1"/>
  <c r="BI86" i="1"/>
  <c r="BI90" i="1"/>
  <c r="BI190" i="1"/>
  <c r="BI196" i="1"/>
  <c r="BI30" i="1"/>
  <c r="BI84" i="1"/>
  <c r="BI186" i="1"/>
  <c r="BI36" i="1"/>
  <c r="BI50" i="1"/>
  <c r="BI202" i="1"/>
  <c r="BI62" i="1"/>
  <c r="BI214" i="1"/>
  <c r="BI75" i="1"/>
  <c r="BI199" i="1"/>
  <c r="BI19" i="1"/>
  <c r="BI205" i="1"/>
  <c r="BI81" i="1"/>
  <c r="BI66" i="1"/>
  <c r="BI45" i="1"/>
  <c r="BI17" i="1"/>
  <c r="BI180" i="1"/>
  <c r="BI37" i="1"/>
  <c r="BI72" i="1"/>
  <c r="BI71" i="1"/>
  <c r="BI212" i="1"/>
  <c r="BI187" i="1"/>
  <c r="BI82" i="1"/>
  <c r="BI39" i="1"/>
  <c r="BI20" i="1"/>
  <c r="BI28" i="1"/>
  <c r="BI207" i="1"/>
  <c r="BI185" i="1"/>
  <c r="BI64" i="1"/>
  <c r="BI209" i="1"/>
  <c r="BI182" i="1"/>
  <c r="BI48" i="1"/>
  <c r="BI79" i="1"/>
  <c r="BI192" i="1"/>
  <c r="BI194" i="1"/>
  <c r="BI25" i="1"/>
  <c r="BI83" i="1"/>
  <c r="BI184" i="1"/>
  <c r="BI42" i="1"/>
  <c r="BI33" i="1"/>
  <c r="BI197" i="1"/>
  <c r="BI78" i="1"/>
  <c r="BI206" i="1"/>
  <c r="BI34" i="1"/>
  <c r="BI208" i="1"/>
  <c r="BI188" i="1"/>
  <c r="BI47" i="1"/>
  <c r="BI74" i="1"/>
  <c r="BI27" i="1"/>
  <c r="BI49" i="1"/>
  <c r="BI31" i="1"/>
  <c r="BI200" i="1"/>
  <c r="BI24" i="1"/>
  <c r="BI73" i="1"/>
  <c r="BI198" i="1"/>
  <c r="BI53" i="1"/>
  <c r="BI40" i="1"/>
  <c r="BI52" i="1"/>
  <c r="BI195" i="1"/>
  <c r="BI14" i="1"/>
  <c r="BI181" i="1"/>
  <c r="BI38" i="1"/>
  <c r="BI54" i="1"/>
  <c r="BI183" i="1"/>
  <c r="BI21" i="1"/>
  <c r="BI63" i="1"/>
  <c r="BH136" i="1"/>
  <c r="BH152" i="1"/>
  <c r="BH120" i="1"/>
  <c r="BH124" i="1"/>
  <c r="BH163" i="1"/>
  <c r="BH170" i="1"/>
  <c r="BH169" i="1"/>
  <c r="BH111" i="1"/>
  <c r="BH113" i="1"/>
  <c r="BH126" i="1"/>
  <c r="BH132" i="1"/>
  <c r="BH149" i="1"/>
  <c r="BH110" i="1"/>
  <c r="BH146" i="1"/>
  <c r="BH98" i="1"/>
  <c r="BH100" i="1"/>
  <c r="BH131" i="1"/>
  <c r="BI97" i="1"/>
  <c r="BI160" i="1"/>
  <c r="BI57" i="1"/>
  <c r="BI129" i="1"/>
  <c r="BD16" i="1"/>
  <c r="BD22" i="1"/>
  <c r="BD203" i="1"/>
  <c r="BD174" i="1"/>
  <c r="BD44" i="1"/>
  <c r="BD32" i="1"/>
  <c r="BD211" i="1"/>
  <c r="BD26" i="1"/>
  <c r="BC191" i="1"/>
  <c r="BC193" i="1"/>
  <c r="BC213" i="1"/>
  <c r="BC215" i="1"/>
  <c r="BE173" i="1"/>
  <c r="BE217" i="1"/>
  <c r="BF60" i="1"/>
  <c r="BF59" i="1"/>
  <c r="BF173" i="1"/>
  <c r="BF217" i="1"/>
  <c r="BF174" i="1"/>
  <c r="BI113" i="1"/>
  <c r="BI134" i="1"/>
  <c r="BI149" i="1"/>
  <c r="BI99" i="1"/>
  <c r="BI148" i="1"/>
  <c r="BI126" i="1"/>
  <c r="BI114" i="1"/>
  <c r="BI138" i="1"/>
  <c r="BI133" i="1"/>
  <c r="BI121" i="1"/>
  <c r="BI139" i="1"/>
  <c r="BI135" i="1"/>
  <c r="BI125" i="1"/>
  <c r="BI145" i="1"/>
  <c r="BI170" i="1"/>
  <c r="BI140" i="1"/>
  <c r="BI152" i="1"/>
  <c r="BI104" i="1"/>
  <c r="BI124" i="1"/>
  <c r="BI109" i="1"/>
  <c r="BI108" i="1"/>
  <c r="BI116" i="1"/>
  <c r="BI117" i="1"/>
  <c r="BI118" i="1"/>
  <c r="BI110" i="1"/>
  <c r="BI163" i="1"/>
  <c r="BI102" i="1"/>
  <c r="BI115" i="1"/>
  <c r="BI166" i="1"/>
  <c r="BI136" i="1"/>
  <c r="BI103" i="1"/>
  <c r="BI123" i="1"/>
  <c r="BI122" i="1"/>
  <c r="BI137" i="1"/>
  <c r="BI94" i="1"/>
  <c r="BI147" i="1"/>
  <c r="BI144" i="1"/>
  <c r="BI95" i="1"/>
  <c r="BI96" i="1"/>
  <c r="BI93" i="1"/>
  <c r="BI146" i="1"/>
  <c r="BI150" i="1"/>
  <c r="BI162" i="1"/>
  <c r="BI141" i="1"/>
  <c r="BI158" i="1"/>
  <c r="BI167" i="1"/>
  <c r="BI119" i="1"/>
  <c r="BI143" i="1"/>
  <c r="BI157" i="1"/>
  <c r="BI127" i="1"/>
  <c r="BI131" i="1"/>
  <c r="BI105" i="1"/>
  <c r="BI111" i="1"/>
  <c r="BJ209" i="1"/>
  <c r="BJ198" i="1"/>
  <c r="BJ180" i="1"/>
  <c r="BJ51" i="1"/>
  <c r="BJ37" i="1"/>
  <c r="BJ20" i="1"/>
  <c r="BJ192" i="1"/>
  <c r="BJ65" i="1"/>
  <c r="BJ35" i="1"/>
  <c r="BJ80" i="1"/>
  <c r="BJ31" i="1"/>
  <c r="BJ206" i="1"/>
  <c r="BJ182" i="1"/>
  <c r="BJ75" i="1"/>
  <c r="BJ78" i="1"/>
  <c r="BJ73" i="1"/>
  <c r="BJ53" i="1"/>
  <c r="BJ194" i="1"/>
  <c r="BJ42" i="1"/>
  <c r="BJ17" i="1"/>
  <c r="BJ204" i="1"/>
  <c r="BJ85" i="1"/>
  <c r="BJ43" i="1"/>
  <c r="BJ38" i="1"/>
  <c r="BJ195" i="1"/>
  <c r="BJ68" i="1"/>
  <c r="BJ39" i="1"/>
  <c r="BJ76" i="1"/>
  <c r="BJ207" i="1"/>
  <c r="BJ55" i="1"/>
  <c r="BJ196" i="1"/>
  <c r="BJ70" i="1"/>
  <c r="BJ212" i="1"/>
  <c r="BJ40" i="1"/>
  <c r="BJ33" i="1"/>
  <c r="BJ197" i="1"/>
  <c r="BJ47" i="1"/>
  <c r="BJ18" i="1"/>
  <c r="BJ52" i="1"/>
  <c r="BJ205" i="1"/>
  <c r="BJ30" i="1"/>
  <c r="BJ202" i="1"/>
  <c r="BJ186" i="1"/>
  <c r="BJ81" i="1"/>
  <c r="BJ188" i="1"/>
  <c r="BJ19" i="1"/>
  <c r="BJ187" i="1"/>
  <c r="BJ74" i="1"/>
  <c r="BJ28" i="1"/>
  <c r="BJ69" i="1"/>
  <c r="BJ27" i="1"/>
  <c r="BJ208" i="1"/>
  <c r="BJ189" i="1"/>
  <c r="BJ62" i="1"/>
  <c r="BJ41" i="1"/>
  <c r="BJ72" i="1"/>
  <c r="BJ181" i="1"/>
  <c r="BJ36" i="1"/>
  <c r="BJ14" i="1"/>
  <c r="BJ190" i="1"/>
  <c r="BJ48" i="1"/>
  <c r="BJ24" i="1"/>
  <c r="BJ201" i="1"/>
  <c r="BJ86" i="1"/>
  <c r="BJ66" i="1"/>
  <c r="BJ46" i="1"/>
  <c r="BJ25" i="1"/>
  <c r="BJ90" i="1"/>
  <c r="BJ84" i="1"/>
  <c r="BJ49" i="1"/>
  <c r="BJ21" i="1"/>
  <c r="BJ184" i="1"/>
  <c r="BJ63" i="1"/>
  <c r="BJ210" i="1"/>
  <c r="BJ29" i="1"/>
  <c r="BJ183" i="1"/>
  <c r="BJ50" i="1"/>
  <c r="BJ79" i="1"/>
  <c r="BJ185" i="1"/>
  <c r="BJ45" i="1"/>
  <c r="BJ71" i="1"/>
  <c r="BJ199" i="1"/>
  <c r="BJ214" i="1"/>
  <c r="BJ82" i="1"/>
  <c r="BJ34" i="1"/>
  <c r="BJ200" i="1"/>
  <c r="BJ64" i="1"/>
  <c r="BJ83" i="1"/>
  <c r="BJ54" i="1"/>
  <c r="BI98" i="1"/>
  <c r="BI155" i="1"/>
  <c r="BI100" i="1"/>
  <c r="BI106" i="1"/>
  <c r="BI120" i="1"/>
  <c r="BI132" i="1"/>
  <c r="BI107" i="1"/>
  <c r="BI101" i="1"/>
  <c r="BI112" i="1"/>
  <c r="BI156" i="1"/>
  <c r="BI153" i="1"/>
  <c r="BI165" i="1"/>
  <c r="BI154" i="1"/>
  <c r="BI142" i="1"/>
  <c r="BI151" i="1"/>
  <c r="BI169" i="1"/>
  <c r="BI168" i="1"/>
  <c r="BJ129" i="1"/>
  <c r="BJ57" i="1"/>
  <c r="BJ160" i="1"/>
  <c r="BJ104" i="1"/>
  <c r="BD191" i="1"/>
  <c r="BD193" i="1"/>
  <c r="BD213" i="1"/>
  <c r="BD215" i="1"/>
  <c r="BG59" i="1"/>
  <c r="BG173" i="1"/>
  <c r="BG217" i="1"/>
  <c r="BG60" i="1"/>
  <c r="BJ102" i="1"/>
  <c r="BJ106" i="1"/>
  <c r="BJ115" i="1"/>
  <c r="BJ151" i="1"/>
  <c r="BJ144" i="1"/>
  <c r="BJ122" i="1"/>
  <c r="BJ119" i="1"/>
  <c r="BJ120" i="1"/>
  <c r="BJ100" i="1"/>
  <c r="BJ103" i="1"/>
  <c r="BJ146" i="1"/>
  <c r="BJ113" i="1"/>
  <c r="BJ141" i="1"/>
  <c r="BJ143" i="1"/>
  <c r="BJ118" i="1"/>
  <c r="BJ114" i="1"/>
  <c r="BJ142" i="1"/>
  <c r="BJ108" i="1"/>
  <c r="BJ95" i="1"/>
  <c r="BJ125" i="1"/>
  <c r="BJ107" i="1"/>
  <c r="BJ140" i="1"/>
  <c r="BJ93" i="1"/>
  <c r="BJ166" i="1"/>
  <c r="BJ112" i="1"/>
  <c r="BJ116" i="1"/>
  <c r="BJ170" i="1"/>
  <c r="BJ94" i="1"/>
  <c r="BJ139" i="1"/>
  <c r="BJ131" i="1"/>
  <c r="BJ145" i="1"/>
  <c r="BJ149" i="1"/>
  <c r="BJ127" i="1"/>
  <c r="BJ137" i="1"/>
  <c r="BJ156" i="1"/>
  <c r="BJ97" i="1"/>
  <c r="BJ135" i="1"/>
  <c r="BJ152" i="1"/>
  <c r="BJ167" i="1"/>
  <c r="BJ169" i="1"/>
  <c r="BJ96" i="1"/>
  <c r="BJ121" i="1"/>
  <c r="BJ162" i="1"/>
  <c r="BJ165" i="1"/>
  <c r="BJ117" i="1"/>
  <c r="BJ111" i="1"/>
  <c r="BJ168" i="1"/>
  <c r="BJ124" i="1"/>
  <c r="BJ134" i="1"/>
  <c r="BJ138" i="1"/>
  <c r="BJ98" i="1"/>
  <c r="BJ99" i="1"/>
  <c r="BK150" i="1"/>
  <c r="BJ110" i="1"/>
  <c r="BJ133" i="1"/>
  <c r="BJ101" i="1"/>
  <c r="BJ126" i="1"/>
  <c r="BJ105" i="1"/>
  <c r="BJ163" i="1"/>
  <c r="BJ132" i="1"/>
  <c r="BJ157" i="1"/>
  <c r="BJ158" i="1"/>
  <c r="BJ155" i="1"/>
  <c r="BJ148" i="1"/>
  <c r="BJ123" i="1"/>
  <c r="BJ153" i="1"/>
  <c r="BJ150" i="1"/>
  <c r="BJ154" i="1"/>
  <c r="BJ109" i="1"/>
  <c r="BJ136" i="1"/>
  <c r="BJ147" i="1"/>
  <c r="BG203" i="1"/>
  <c r="BG32" i="1"/>
  <c r="BG174" i="1"/>
  <c r="BG44" i="1"/>
  <c r="BG211" i="1"/>
  <c r="BH173" i="1"/>
  <c r="BH217" i="1"/>
  <c r="BH60" i="1"/>
  <c r="BH59" i="1"/>
  <c r="BH174" i="1"/>
  <c r="BG26" i="1"/>
  <c r="BG16" i="1"/>
  <c r="BG22" i="1"/>
  <c r="BG191" i="1"/>
  <c r="BG193" i="1"/>
  <c r="BG213" i="1"/>
  <c r="BG215" i="1"/>
  <c r="BK205" i="1"/>
  <c r="BK24" i="1"/>
  <c r="BK212" i="1"/>
  <c r="BK192" i="1"/>
  <c r="BK35" i="1"/>
  <c r="BK202" i="1"/>
  <c r="BK65" i="1"/>
  <c r="BK86" i="1"/>
  <c r="BK201" i="1"/>
  <c r="BK25" i="1"/>
  <c r="BK198" i="1"/>
  <c r="BK78" i="1"/>
  <c r="BK206" i="1"/>
  <c r="BK41" i="1"/>
  <c r="BK79" i="1"/>
  <c r="BK181" i="1"/>
  <c r="BK28" i="1"/>
  <c r="BK75" i="1"/>
  <c r="BK166" i="1"/>
  <c r="BK39" i="1"/>
  <c r="BK194" i="1"/>
  <c r="BK52" i="1"/>
  <c r="BK82" i="1"/>
  <c r="BK53" i="1"/>
  <c r="BK69" i="1"/>
  <c r="BK46" i="1"/>
  <c r="BK18" i="1"/>
  <c r="BK85" i="1"/>
  <c r="BK186" i="1"/>
  <c r="BK188" i="1"/>
  <c r="BK30" i="1"/>
  <c r="BK31" i="1"/>
  <c r="BK51" i="1"/>
  <c r="BK36" i="1"/>
  <c r="BK214" i="1"/>
  <c r="BK27" i="1"/>
  <c r="BK29" i="1"/>
  <c r="BK40" i="1"/>
  <c r="BK71" i="1"/>
  <c r="BK37" i="1"/>
  <c r="BK33" i="1"/>
  <c r="BK204" i="1"/>
  <c r="BK63" i="1"/>
  <c r="BK49" i="1"/>
  <c r="BK210" i="1"/>
  <c r="BK208" i="1"/>
  <c r="BK34" i="1"/>
  <c r="BK42" i="1"/>
  <c r="BK17" i="1"/>
  <c r="BK199" i="1"/>
  <c r="BK19" i="1"/>
  <c r="BK182" i="1"/>
  <c r="BK189" i="1"/>
  <c r="BK43" i="1"/>
  <c r="BK180" i="1"/>
  <c r="BK81" i="1"/>
  <c r="BK195" i="1"/>
  <c r="BK48" i="1"/>
  <c r="BK14" i="1"/>
  <c r="BK55" i="1"/>
  <c r="BK184" i="1"/>
  <c r="BK50" i="1"/>
  <c r="BK38" i="1"/>
  <c r="BK45" i="1"/>
  <c r="BK190" i="1"/>
  <c r="BK122" i="1"/>
  <c r="BK197" i="1"/>
  <c r="BK80" i="1"/>
  <c r="BK70" i="1"/>
  <c r="BK68" i="1"/>
  <c r="BK196" i="1"/>
  <c r="BK200" i="1"/>
  <c r="BK76" i="1"/>
  <c r="BK183" i="1"/>
  <c r="BK54" i="1"/>
  <c r="BK209" i="1"/>
  <c r="BK66" i="1"/>
  <c r="BK64" i="1"/>
  <c r="BK47" i="1"/>
  <c r="BK74" i="1"/>
  <c r="BK21" i="1"/>
  <c r="BK73" i="1"/>
  <c r="BK72" i="1"/>
  <c r="BK187" i="1"/>
  <c r="BK84" i="1"/>
  <c r="BK20" i="1"/>
  <c r="BK62" i="1"/>
  <c r="BK185" i="1"/>
  <c r="BK83" i="1"/>
  <c r="BK207" i="1"/>
  <c r="BK138" i="1"/>
  <c r="BK110" i="1"/>
  <c r="BK145" i="1"/>
  <c r="BK116" i="1"/>
  <c r="BK141" i="1"/>
  <c r="BK115" i="1"/>
  <c r="BK143" i="1"/>
  <c r="BK125" i="1"/>
  <c r="BK131" i="1"/>
  <c r="BK118" i="1"/>
  <c r="BK124" i="1"/>
  <c r="BK154" i="1"/>
  <c r="BK148" i="1"/>
  <c r="BK167" i="1"/>
  <c r="BK151" i="1"/>
  <c r="BK165" i="1"/>
  <c r="BK94" i="1"/>
  <c r="BK157" i="1"/>
  <c r="BK108" i="1"/>
  <c r="BK112" i="1"/>
  <c r="BK156" i="1"/>
  <c r="BK142" i="1"/>
  <c r="BK170" i="1"/>
  <c r="BK155" i="1"/>
  <c r="BK95" i="1"/>
  <c r="BK146" i="1"/>
  <c r="BK121" i="1"/>
  <c r="BK152" i="1"/>
  <c r="BK153" i="1"/>
  <c r="BK103" i="1"/>
  <c r="BK114" i="1"/>
  <c r="BK100" i="1"/>
  <c r="BK98" i="1"/>
  <c r="BK144" i="1"/>
  <c r="BK134" i="1"/>
  <c r="BK105" i="1"/>
  <c r="BK106" i="1"/>
  <c r="BK133" i="1"/>
  <c r="BK109" i="1"/>
  <c r="BK140" i="1"/>
  <c r="BK93" i="1"/>
  <c r="BK136" i="1"/>
  <c r="BK101" i="1"/>
  <c r="BK162" i="1"/>
  <c r="BK158" i="1"/>
  <c r="BK132" i="1"/>
  <c r="BK123" i="1"/>
  <c r="BL167" i="1"/>
  <c r="BK149" i="1"/>
  <c r="BK107" i="1"/>
  <c r="BK120" i="1"/>
  <c r="BK163" i="1"/>
  <c r="BK90" i="1"/>
  <c r="BH32" i="1"/>
  <c r="BH22" i="1"/>
  <c r="BH211" i="1"/>
  <c r="BH203" i="1"/>
  <c r="BH16" i="1"/>
  <c r="BH44" i="1"/>
  <c r="BH26" i="1"/>
  <c r="BH191" i="1"/>
  <c r="BH193" i="1"/>
  <c r="BH213" i="1"/>
  <c r="BH215" i="1"/>
  <c r="BI60" i="1"/>
  <c r="BI59" i="1"/>
  <c r="BI174" i="1"/>
  <c r="BI173" i="1"/>
  <c r="BI217" i="1"/>
  <c r="BL75" i="1"/>
  <c r="BL18" i="1"/>
  <c r="BL52" i="1"/>
  <c r="BL65" i="1"/>
  <c r="BL209" i="1"/>
  <c r="BL28" i="1"/>
  <c r="BL49" i="1"/>
  <c r="BL71" i="1"/>
  <c r="BL76" i="1"/>
  <c r="BL197" i="1"/>
  <c r="BL201" i="1"/>
  <c r="BL37" i="1"/>
  <c r="BL14" i="1"/>
  <c r="BL196" i="1"/>
  <c r="BL42" i="1"/>
  <c r="BL207" i="1"/>
  <c r="BL66" i="1"/>
  <c r="BL47" i="1"/>
  <c r="BL20" i="1"/>
  <c r="BL46" i="1"/>
  <c r="BL74" i="1"/>
  <c r="BK126" i="1"/>
  <c r="BK102" i="1"/>
  <c r="BK169" i="1"/>
  <c r="BK119" i="1"/>
  <c r="BL62" i="1"/>
  <c r="BL182" i="1"/>
  <c r="BL206" i="1"/>
  <c r="BL48" i="1"/>
  <c r="BL190" i="1"/>
  <c r="BL85" i="1"/>
  <c r="BK113" i="1"/>
  <c r="BK137" i="1"/>
  <c r="BK117" i="1"/>
  <c r="BL34" i="1"/>
  <c r="BL198" i="1"/>
  <c r="BL55" i="1"/>
  <c r="BL17" i="1"/>
  <c r="BL200" i="1"/>
  <c r="BL19" i="1"/>
  <c r="BL68" i="1"/>
  <c r="BL64" i="1"/>
  <c r="BL81" i="1"/>
  <c r="BL53" i="1"/>
  <c r="BL212" i="1"/>
  <c r="BK99" i="1"/>
  <c r="BK139" i="1"/>
  <c r="BK160" i="1"/>
  <c r="BL208" i="1"/>
  <c r="BL195" i="1"/>
  <c r="BL73" i="1"/>
  <c r="BL183" i="1"/>
  <c r="BL210" i="1"/>
  <c r="BL31" i="1"/>
  <c r="BL86" i="1"/>
  <c r="BL214" i="1"/>
  <c r="BL27" i="1"/>
  <c r="BL70" i="1"/>
  <c r="BL40" i="1"/>
  <c r="BL192" i="1"/>
  <c r="BL181" i="1"/>
  <c r="BL186" i="1"/>
  <c r="BL204" i="1"/>
  <c r="BL72" i="1"/>
  <c r="BL25" i="1"/>
  <c r="BL24" i="1"/>
  <c r="BL50" i="1"/>
  <c r="BL30" i="1"/>
  <c r="BL21" i="1"/>
  <c r="BL185" i="1"/>
  <c r="BK104" i="1"/>
  <c r="BK111" i="1"/>
  <c r="BK97" i="1"/>
  <c r="BL69" i="1"/>
  <c r="BL39" i="1"/>
  <c r="BL43" i="1"/>
  <c r="BL205" i="1"/>
  <c r="BL180" i="1"/>
  <c r="BL184" i="1"/>
  <c r="BL36" i="1"/>
  <c r="BL188" i="1"/>
  <c r="BL202" i="1"/>
  <c r="BL29" i="1"/>
  <c r="BL54" i="1"/>
  <c r="BL45" i="1"/>
  <c r="BL83" i="1"/>
  <c r="BL189" i="1"/>
  <c r="BL33" i="1"/>
  <c r="BL199" i="1"/>
  <c r="BL51" i="1"/>
  <c r="BK168" i="1"/>
  <c r="BK96" i="1"/>
  <c r="BK57" i="1"/>
  <c r="BL78" i="1"/>
  <c r="BL79" i="1"/>
  <c r="BL63" i="1"/>
  <c r="BL80" i="1"/>
  <c r="BL187" i="1"/>
  <c r="BL35" i="1"/>
  <c r="BL38" i="1"/>
  <c r="BL41" i="1"/>
  <c r="BL82" i="1"/>
  <c r="BL194" i="1"/>
  <c r="BL84" i="1"/>
  <c r="BK147" i="1"/>
  <c r="BL157" i="1"/>
  <c r="BL94" i="1"/>
  <c r="BL98" i="1"/>
  <c r="BL112" i="1"/>
  <c r="BL168" i="1"/>
  <c r="BL151" i="1"/>
  <c r="BL169" i="1"/>
  <c r="BL104" i="1"/>
  <c r="BL141" i="1"/>
  <c r="BL101" i="1"/>
  <c r="BL131" i="1"/>
  <c r="BL145" i="1"/>
  <c r="BL102" i="1"/>
  <c r="BL140" i="1"/>
  <c r="BL125" i="1"/>
  <c r="BL170" i="1"/>
  <c r="BL100" i="1"/>
  <c r="BL166" i="1"/>
  <c r="BL99" i="1"/>
  <c r="BL108" i="1"/>
  <c r="BL165" i="1"/>
  <c r="BL136" i="1"/>
  <c r="BL155" i="1"/>
  <c r="BL105" i="1"/>
  <c r="BL121" i="1"/>
  <c r="BL139" i="1"/>
  <c r="BL154" i="1"/>
  <c r="BL93" i="1"/>
  <c r="BL133" i="1"/>
  <c r="BL95" i="1"/>
  <c r="BL148" i="1"/>
  <c r="BL106" i="1"/>
  <c r="BL144" i="1"/>
  <c r="BL97" i="1"/>
  <c r="BL116" i="1"/>
  <c r="BL110" i="1"/>
  <c r="BL147" i="1"/>
  <c r="BL146" i="1"/>
  <c r="BL142" i="1"/>
  <c r="BL113" i="1"/>
  <c r="BL138" i="1"/>
  <c r="BL114" i="1"/>
  <c r="BL153" i="1"/>
  <c r="BL119" i="1"/>
  <c r="BL143" i="1"/>
  <c r="BL124" i="1"/>
  <c r="BL134" i="1"/>
  <c r="BL117" i="1"/>
  <c r="BL137" i="1"/>
  <c r="BL122" i="1"/>
  <c r="BL109" i="1"/>
  <c r="BL126" i="1"/>
  <c r="BL103" i="1"/>
  <c r="BL111" i="1"/>
  <c r="BL152" i="1"/>
  <c r="BL118" i="1"/>
  <c r="BL150" i="1"/>
  <c r="BL156" i="1"/>
  <c r="BL115" i="1"/>
  <c r="BL96" i="1"/>
  <c r="BL158" i="1"/>
  <c r="BL120" i="1"/>
  <c r="BL107" i="1"/>
  <c r="BK127" i="1"/>
  <c r="BM94" i="1"/>
  <c r="BL127" i="1"/>
  <c r="BL163" i="1"/>
  <c r="BK135" i="1"/>
  <c r="BL149" i="1"/>
  <c r="BL132" i="1"/>
  <c r="BL135" i="1"/>
  <c r="BL123" i="1"/>
  <c r="BL162" i="1"/>
  <c r="BL90" i="1"/>
  <c r="BJ59" i="1"/>
  <c r="BJ60" i="1"/>
  <c r="BJ173" i="1"/>
  <c r="BJ217" i="1"/>
  <c r="BJ174" i="1"/>
  <c r="BI215" i="1"/>
  <c r="BI191" i="1"/>
  <c r="BI32" i="1"/>
  <c r="BI211" i="1"/>
  <c r="BI203" i="1"/>
  <c r="BI193" i="1"/>
  <c r="BI26" i="1"/>
  <c r="BI213" i="1"/>
  <c r="BI44" i="1"/>
  <c r="BI16" i="1"/>
  <c r="BI22" i="1"/>
  <c r="BL160" i="1"/>
  <c r="BM209" i="1"/>
  <c r="BM20" i="1"/>
  <c r="BM197" i="1"/>
  <c r="BM47" i="1"/>
  <c r="BM83" i="1"/>
  <c r="BM63" i="1"/>
  <c r="BM64" i="1"/>
  <c r="BM183" i="1"/>
  <c r="BM53" i="1"/>
  <c r="BM39" i="1"/>
  <c r="BM75" i="1"/>
  <c r="BM30" i="1"/>
  <c r="BM212" i="1"/>
  <c r="BM35" i="1"/>
  <c r="BM28" i="1"/>
  <c r="BM199" i="1"/>
  <c r="BM19" i="1"/>
  <c r="BM43" i="1"/>
  <c r="BM69" i="1"/>
  <c r="BM84" i="1"/>
  <c r="BM18" i="1"/>
  <c r="BL57" i="1"/>
  <c r="BK129" i="1"/>
  <c r="BM54" i="1"/>
  <c r="BM190" i="1"/>
  <c r="BM27" i="1"/>
  <c r="BM85" i="1"/>
  <c r="BM38" i="1"/>
  <c r="BM185" i="1"/>
  <c r="BM207" i="1"/>
  <c r="BM31" i="1"/>
  <c r="BM80" i="1"/>
  <c r="BM188" i="1"/>
  <c r="BM42" i="1"/>
  <c r="BM186" i="1"/>
  <c r="BM81" i="1"/>
  <c r="BM208" i="1"/>
  <c r="BM25" i="1"/>
  <c r="BM198" i="1"/>
  <c r="BM194" i="1"/>
  <c r="BM40" i="1"/>
  <c r="BM202" i="1"/>
  <c r="BM73" i="1"/>
  <c r="BM65" i="1"/>
  <c r="BM204" i="1"/>
  <c r="BM196" i="1"/>
  <c r="BM21" i="1"/>
  <c r="BM201" i="1"/>
  <c r="BM86" i="1"/>
  <c r="BM72" i="1"/>
  <c r="BM33" i="1"/>
  <c r="BM210" i="1"/>
  <c r="BM62" i="1"/>
  <c r="BM71" i="1"/>
  <c r="BM46" i="1"/>
  <c r="BM68" i="1"/>
  <c r="BM180" i="1"/>
  <c r="BM52" i="1"/>
  <c r="BM192" i="1"/>
  <c r="BM79" i="1"/>
  <c r="BM49" i="1"/>
  <c r="BM214" i="1"/>
  <c r="BM189" i="1"/>
  <c r="BM200" i="1"/>
  <c r="BM51" i="1"/>
  <c r="BM205" i="1"/>
  <c r="BM41" i="1"/>
  <c r="BM181" i="1"/>
  <c r="BM78" i="1"/>
  <c r="BM206" i="1"/>
  <c r="BM74" i="1"/>
  <c r="BM34" i="1"/>
  <c r="BM55" i="1"/>
  <c r="BM82" i="1"/>
  <c r="BM195" i="1"/>
  <c r="BM187" i="1"/>
  <c r="BM36" i="1"/>
  <c r="BL129" i="1"/>
  <c r="BM48" i="1"/>
  <c r="BM45" i="1"/>
  <c r="BM17" i="1"/>
  <c r="BM182" i="1"/>
  <c r="BM37" i="1"/>
  <c r="BM24" i="1"/>
  <c r="BM14" i="1"/>
  <c r="BM76" i="1"/>
  <c r="BM66" i="1"/>
  <c r="BM29" i="1"/>
  <c r="BM184" i="1"/>
  <c r="BM70" i="1"/>
  <c r="BM50" i="1"/>
  <c r="BM139" i="1"/>
  <c r="BM101" i="1"/>
  <c r="BM169" i="1"/>
  <c r="BM152" i="1"/>
  <c r="BM156" i="1"/>
  <c r="BM153" i="1"/>
  <c r="BM103" i="1"/>
  <c r="BM124" i="1"/>
  <c r="BM133" i="1"/>
  <c r="BM110" i="1"/>
  <c r="BM121" i="1"/>
  <c r="BM165" i="1"/>
  <c r="BM145" i="1"/>
  <c r="BM134" i="1"/>
  <c r="BM117" i="1"/>
  <c r="BM111" i="1"/>
  <c r="BM119" i="1"/>
  <c r="BM100" i="1"/>
  <c r="BM106" i="1"/>
  <c r="BM93" i="1"/>
  <c r="BM147" i="1"/>
  <c r="BM154" i="1"/>
  <c r="BM115" i="1"/>
  <c r="BM109" i="1"/>
  <c r="BM116" i="1"/>
  <c r="BM157" i="1"/>
  <c r="BM114" i="1"/>
  <c r="BM137" i="1"/>
  <c r="BM122" i="1"/>
  <c r="BM97" i="1"/>
  <c r="BM144" i="1"/>
  <c r="BM138" i="1"/>
  <c r="BM118" i="1"/>
  <c r="BM155" i="1"/>
  <c r="BM112" i="1"/>
  <c r="BM102" i="1"/>
  <c r="BM126" i="1"/>
  <c r="BM143" i="1"/>
  <c r="BM108" i="1"/>
  <c r="BM151" i="1"/>
  <c r="BM167" i="1"/>
  <c r="BM168" i="1"/>
  <c r="BM105" i="1"/>
  <c r="BM104" i="1"/>
  <c r="BM140" i="1"/>
  <c r="BM95" i="1"/>
  <c r="BM113" i="1"/>
  <c r="BM150" i="1"/>
  <c r="BM131" i="1"/>
  <c r="BM146" i="1"/>
  <c r="BM170" i="1"/>
  <c r="BM166" i="1"/>
  <c r="BM142" i="1"/>
  <c r="BM141" i="1"/>
  <c r="BM99" i="1"/>
  <c r="BM136" i="1"/>
  <c r="BM125" i="1"/>
  <c r="BM96" i="1"/>
  <c r="BM98" i="1"/>
  <c r="BM148" i="1"/>
  <c r="BM162" i="1"/>
  <c r="BM149" i="1"/>
  <c r="BM120" i="1"/>
  <c r="BM123" i="1"/>
  <c r="BM107" i="1"/>
  <c r="BM163" i="1"/>
  <c r="BM135" i="1"/>
  <c r="BN124" i="1"/>
  <c r="BM127" i="1"/>
  <c r="BM158" i="1"/>
  <c r="BM132" i="1"/>
  <c r="BM90" i="1"/>
  <c r="BJ191" i="1"/>
  <c r="BJ26" i="1"/>
  <c r="BJ215" i="1"/>
  <c r="BJ32" i="1"/>
  <c r="BJ203" i="1"/>
  <c r="BJ44" i="1"/>
  <c r="BJ22" i="1"/>
  <c r="BJ211" i="1"/>
  <c r="BJ16" i="1"/>
  <c r="BJ213" i="1"/>
  <c r="BJ193" i="1"/>
  <c r="BK59" i="1"/>
  <c r="BK60" i="1"/>
  <c r="BK174" i="1"/>
  <c r="BK173" i="1"/>
  <c r="BN202" i="1"/>
  <c r="BN72" i="1"/>
  <c r="BN19" i="1"/>
  <c r="BN55" i="1"/>
  <c r="BN86" i="1"/>
  <c r="BN14" i="1"/>
  <c r="BN84" i="1"/>
  <c r="BN68" i="1"/>
  <c r="BN199" i="1"/>
  <c r="BN66" i="1"/>
  <c r="BN192" i="1"/>
  <c r="BN183" i="1"/>
  <c r="BN31" i="1"/>
  <c r="BN37" i="1"/>
  <c r="BN204" i="1"/>
  <c r="BN40" i="1"/>
  <c r="BN18" i="1"/>
  <c r="BN17" i="1"/>
  <c r="BN69" i="1"/>
  <c r="BN65" i="1"/>
  <c r="BN200" i="1"/>
  <c r="BN28" i="1"/>
  <c r="BM57" i="1"/>
  <c r="BN78" i="1"/>
  <c r="BN41" i="1"/>
  <c r="BN20" i="1"/>
  <c r="BN185" i="1"/>
  <c r="BN214" i="1"/>
  <c r="BN63" i="1"/>
  <c r="BN36" i="1"/>
  <c r="BN180" i="1"/>
  <c r="BN43" i="1"/>
  <c r="BN194" i="1"/>
  <c r="BN51" i="1"/>
  <c r="BN112" i="1"/>
  <c r="BN187" i="1"/>
  <c r="BN49" i="1"/>
  <c r="BN212" i="1"/>
  <c r="BN29" i="1"/>
  <c r="BN74" i="1"/>
  <c r="BN80" i="1"/>
  <c r="BN45" i="1"/>
  <c r="BN189" i="1"/>
  <c r="BN30" i="1"/>
  <c r="BN50" i="1"/>
  <c r="BN48" i="1"/>
  <c r="BN82" i="1"/>
  <c r="BN198" i="1"/>
  <c r="BN25" i="1"/>
  <c r="BN188" i="1"/>
  <c r="BN35" i="1"/>
  <c r="BN205" i="1"/>
  <c r="BN197" i="1"/>
  <c r="BN209" i="1"/>
  <c r="BN34" i="1"/>
  <c r="BN85" i="1"/>
  <c r="BN210" i="1"/>
  <c r="BN64" i="1"/>
  <c r="BN71" i="1"/>
  <c r="BN196" i="1"/>
  <c r="BN186" i="1"/>
  <c r="BN54" i="1"/>
  <c r="BN184" i="1"/>
  <c r="BN39" i="1"/>
  <c r="BN206" i="1"/>
  <c r="BN182" i="1"/>
  <c r="BN201" i="1"/>
  <c r="BN27" i="1"/>
  <c r="BN46" i="1"/>
  <c r="BN38" i="1"/>
  <c r="BN79" i="1"/>
  <c r="BN70" i="1"/>
  <c r="BN181" i="1"/>
  <c r="BN190" i="1"/>
  <c r="BN62" i="1"/>
  <c r="BN73" i="1"/>
  <c r="BN195" i="1"/>
  <c r="BN207" i="1"/>
  <c r="BN81" i="1"/>
  <c r="BN76" i="1"/>
  <c r="BM129" i="1"/>
  <c r="BN42" i="1"/>
  <c r="BN75" i="1"/>
  <c r="BN208" i="1"/>
  <c r="BN83" i="1"/>
  <c r="BN24" i="1"/>
  <c r="BN52" i="1"/>
  <c r="BN47" i="1"/>
  <c r="BN21" i="1"/>
  <c r="BN33" i="1"/>
  <c r="BN53" i="1"/>
  <c r="BM160" i="1"/>
  <c r="BN157" i="1"/>
  <c r="BN108" i="1"/>
  <c r="BN148" i="1"/>
  <c r="BN110" i="1"/>
  <c r="BN154" i="1"/>
  <c r="BN145" i="1"/>
  <c r="BN116" i="1"/>
  <c r="BN165" i="1"/>
  <c r="BN98" i="1"/>
  <c r="BN100" i="1"/>
  <c r="BN133" i="1"/>
  <c r="BO168" i="1"/>
  <c r="BN90" i="1"/>
  <c r="BN158" i="1"/>
  <c r="BK191" i="1"/>
  <c r="BK193" i="1"/>
  <c r="BK213" i="1"/>
  <c r="BK215" i="1"/>
  <c r="BK217" i="1"/>
  <c r="BK26" i="1"/>
  <c r="BK203" i="1"/>
  <c r="BK32" i="1"/>
  <c r="BK211" i="1"/>
  <c r="BK16" i="1"/>
  <c r="BK22" i="1"/>
  <c r="BK44" i="1"/>
  <c r="BL174" i="1"/>
  <c r="BL173" i="1"/>
  <c r="BL60" i="1"/>
  <c r="BL59" i="1"/>
  <c r="BO49" i="1"/>
  <c r="BO36" i="1"/>
  <c r="BO185" i="1"/>
  <c r="BO17" i="1"/>
  <c r="BO190" i="1"/>
  <c r="BO182" i="1"/>
  <c r="BO34" i="1"/>
  <c r="BO198" i="1"/>
  <c r="BO204" i="1"/>
  <c r="BO51" i="1"/>
  <c r="BO86" i="1"/>
  <c r="BO205" i="1"/>
  <c r="BO18" i="1"/>
  <c r="BO21" i="1"/>
  <c r="BO214" i="1"/>
  <c r="BO43" i="1"/>
  <c r="BO53" i="1"/>
  <c r="BO212" i="1"/>
  <c r="BO180" i="1"/>
  <c r="BO206" i="1"/>
  <c r="BO194" i="1"/>
  <c r="BO200" i="1"/>
  <c r="BN57" i="1"/>
  <c r="BN96" i="1"/>
  <c r="BN166" i="1"/>
  <c r="BN125" i="1"/>
  <c r="BN155" i="1"/>
  <c r="BN117" i="1"/>
  <c r="BN143" i="1"/>
  <c r="BN168" i="1"/>
  <c r="BN126" i="1"/>
  <c r="BN115" i="1"/>
  <c r="BN103" i="1"/>
  <c r="BN169" i="1"/>
  <c r="BO131" i="1"/>
  <c r="BN139" i="1"/>
  <c r="BO96" i="1"/>
  <c r="BO73" i="1"/>
  <c r="BO38" i="1"/>
  <c r="BO207" i="1"/>
  <c r="BO63" i="1"/>
  <c r="BO209" i="1"/>
  <c r="BO37" i="1"/>
  <c r="BO45" i="1"/>
  <c r="BO65" i="1"/>
  <c r="BO42" i="1"/>
  <c r="BO181" i="1"/>
  <c r="BN170" i="1"/>
  <c r="BN111" i="1"/>
  <c r="BN146" i="1"/>
  <c r="BN97" i="1"/>
  <c r="BN114" i="1"/>
  <c r="BN137" i="1"/>
  <c r="BN101" i="1"/>
  <c r="BO201" i="1"/>
  <c r="BO25" i="1"/>
  <c r="BO75" i="1"/>
  <c r="BO188" i="1"/>
  <c r="BO196" i="1"/>
  <c r="BO55" i="1"/>
  <c r="BO74" i="1"/>
  <c r="BO50" i="1"/>
  <c r="BO47" i="1"/>
  <c r="BO28" i="1"/>
  <c r="BO76" i="1"/>
  <c r="BO33" i="1"/>
  <c r="BO85" i="1"/>
  <c r="BO24" i="1"/>
  <c r="BO186" i="1"/>
  <c r="BO192" i="1"/>
  <c r="BO20" i="1"/>
  <c r="BO202" i="1"/>
  <c r="BO82" i="1"/>
  <c r="BO199" i="1"/>
  <c r="BO29" i="1"/>
  <c r="BO62" i="1"/>
  <c r="BN93" i="1"/>
  <c r="BN138" i="1"/>
  <c r="BN119" i="1"/>
  <c r="BN152" i="1"/>
  <c r="BN106" i="1"/>
  <c r="BN156" i="1"/>
  <c r="BN144" i="1"/>
  <c r="BN109" i="1"/>
  <c r="BN99" i="1"/>
  <c r="BN142" i="1"/>
  <c r="BN140" i="1"/>
  <c r="BN122" i="1"/>
  <c r="BO109" i="1"/>
  <c r="BO110" i="1"/>
  <c r="BO184" i="1"/>
  <c r="BO14" i="1"/>
  <c r="BO52" i="1"/>
  <c r="BO54" i="1"/>
  <c r="BO80" i="1"/>
  <c r="BO39" i="1"/>
  <c r="BO41" i="1"/>
  <c r="BO19" i="1"/>
  <c r="BO48" i="1"/>
  <c r="BO195" i="1"/>
  <c r="BO30" i="1"/>
  <c r="BO81" i="1"/>
  <c r="BO70" i="1"/>
  <c r="BO197" i="1"/>
  <c r="BO46" i="1"/>
  <c r="BO189" i="1"/>
  <c r="BO208" i="1"/>
  <c r="BO68" i="1"/>
  <c r="BO69" i="1"/>
  <c r="BO79" i="1"/>
  <c r="BO31" i="1"/>
  <c r="BO83" i="1"/>
  <c r="BO84" i="1"/>
  <c r="BN102" i="1"/>
  <c r="BN151" i="1"/>
  <c r="BN160" i="1"/>
  <c r="BN94" i="1"/>
  <c r="BN95" i="1"/>
  <c r="BN105" i="1"/>
  <c r="BN153" i="1"/>
  <c r="BN141" i="1"/>
  <c r="BN113" i="1"/>
  <c r="BN150" i="1"/>
  <c r="BN167" i="1"/>
  <c r="BO99" i="1"/>
  <c r="BO78" i="1"/>
  <c r="BO210" i="1"/>
  <c r="BO40" i="1"/>
  <c r="BO183" i="1"/>
  <c r="BO187" i="1"/>
  <c r="BO35" i="1"/>
  <c r="BO72" i="1"/>
  <c r="BO64" i="1"/>
  <c r="BO27" i="1"/>
  <c r="BO66" i="1"/>
  <c r="BO71" i="1"/>
  <c r="BN134" i="1"/>
  <c r="BN131" i="1"/>
  <c r="BN118" i="1"/>
  <c r="BN136" i="1"/>
  <c r="BN121" i="1"/>
  <c r="BN147" i="1"/>
  <c r="BN104" i="1"/>
  <c r="BO104" i="1"/>
  <c r="BO142" i="1"/>
  <c r="BO170" i="1"/>
  <c r="BO126" i="1"/>
  <c r="BO144" i="1"/>
  <c r="BO111" i="1"/>
  <c r="BO122" i="1"/>
  <c r="BO145" i="1"/>
  <c r="BO101" i="1"/>
  <c r="BO157" i="1"/>
  <c r="BO117" i="1"/>
  <c r="BO169" i="1"/>
  <c r="BO133" i="1"/>
  <c r="BO147" i="1"/>
  <c r="BO94" i="1"/>
  <c r="BO103" i="1"/>
  <c r="BO146" i="1"/>
  <c r="BO166" i="1"/>
  <c r="BO153" i="1"/>
  <c r="BO100" i="1"/>
  <c r="BO156" i="1"/>
  <c r="BO152" i="1"/>
  <c r="BO167" i="1"/>
  <c r="BO112" i="1"/>
  <c r="BO165" i="1"/>
  <c r="BO98" i="1"/>
  <c r="BO139" i="1"/>
  <c r="BO125" i="1"/>
  <c r="BO93" i="1"/>
  <c r="BO121" i="1"/>
  <c r="BO140" i="1"/>
  <c r="BO119" i="1"/>
  <c r="BO105" i="1"/>
  <c r="BO95" i="1"/>
  <c r="BO138" i="1"/>
  <c r="BO113" i="1"/>
  <c r="BO143" i="1"/>
  <c r="BO137" i="1"/>
  <c r="BO116" i="1"/>
  <c r="BO148" i="1"/>
  <c r="BO151" i="1"/>
  <c r="BO102" i="1"/>
  <c r="BO136" i="1"/>
  <c r="BO141" i="1"/>
  <c r="BO115" i="1"/>
  <c r="BO118" i="1"/>
  <c r="BO155" i="1"/>
  <c r="BO108" i="1"/>
  <c r="BO114" i="1"/>
  <c r="BO154" i="1"/>
  <c r="BO106" i="1"/>
  <c r="BO134" i="1"/>
  <c r="BO150" i="1"/>
  <c r="BO124" i="1"/>
  <c r="BO97" i="1"/>
  <c r="BO135" i="1"/>
  <c r="BO163" i="1"/>
  <c r="BN120" i="1"/>
  <c r="BN135" i="1"/>
  <c r="BN132" i="1"/>
  <c r="BO127" i="1"/>
  <c r="BO162" i="1"/>
  <c r="BO120" i="1"/>
  <c r="BN149" i="1"/>
  <c r="BO107" i="1"/>
  <c r="BN163" i="1"/>
  <c r="BN107" i="1"/>
  <c r="BN162" i="1"/>
  <c r="BO132" i="1"/>
  <c r="BP101" i="1"/>
  <c r="BN127" i="1"/>
  <c r="BO149" i="1"/>
  <c r="BO123" i="1"/>
  <c r="BO158" i="1"/>
  <c r="BN123" i="1"/>
  <c r="BO90" i="1"/>
  <c r="BM59" i="1"/>
  <c r="BM173" i="1"/>
  <c r="BM60" i="1"/>
  <c r="BM174" i="1"/>
  <c r="BL191" i="1"/>
  <c r="BL193" i="1"/>
  <c r="BL213" i="1"/>
  <c r="BL215" i="1"/>
  <c r="BL217" i="1"/>
  <c r="BL203" i="1"/>
  <c r="BL211" i="1"/>
  <c r="BL44" i="1"/>
  <c r="BL32" i="1"/>
  <c r="BL26" i="1"/>
  <c r="BL16" i="1"/>
  <c r="BL22" i="1"/>
  <c r="BP82" i="1"/>
  <c r="BP204" i="1"/>
  <c r="BP27" i="1"/>
  <c r="BP49" i="1"/>
  <c r="BP80" i="1"/>
  <c r="BP40" i="1"/>
  <c r="BP196" i="1"/>
  <c r="BP64" i="1"/>
  <c r="BP37" i="1"/>
  <c r="BP214" i="1"/>
  <c r="BP21" i="1"/>
  <c r="BP29" i="1"/>
  <c r="BP185" i="1"/>
  <c r="BP28" i="1"/>
  <c r="BP194" i="1"/>
  <c r="BP192" i="1"/>
  <c r="BP47" i="1"/>
  <c r="BP63" i="1"/>
  <c r="BP75" i="1"/>
  <c r="BP34" i="1"/>
  <c r="BP86" i="1"/>
  <c r="BP38" i="1"/>
  <c r="BO160" i="1"/>
  <c r="BO129" i="1"/>
  <c r="BP212" i="1"/>
  <c r="BP18" i="1"/>
  <c r="BP20" i="1"/>
  <c r="BP187" i="1"/>
  <c r="BP52" i="1"/>
  <c r="BP184" i="1"/>
  <c r="BP73" i="1"/>
  <c r="BP19" i="1"/>
  <c r="BP180" i="1"/>
  <c r="BP39" i="1"/>
  <c r="BP209" i="1"/>
  <c r="BN129" i="1"/>
  <c r="BP71" i="1"/>
  <c r="BP33" i="1"/>
  <c r="BP207" i="1"/>
  <c r="BP17" i="1"/>
  <c r="BP74" i="1"/>
  <c r="BP76" i="1"/>
  <c r="BP72" i="1"/>
  <c r="BP36" i="1"/>
  <c r="BP81" i="1"/>
  <c r="BP35" i="1"/>
  <c r="BP31" i="1"/>
  <c r="BP195" i="1"/>
  <c r="BP43" i="1"/>
  <c r="BP183" i="1"/>
  <c r="BP198" i="1"/>
  <c r="BP200" i="1"/>
  <c r="BP186" i="1"/>
  <c r="BP182" i="1"/>
  <c r="BP208" i="1"/>
  <c r="BP78" i="1"/>
  <c r="BP46" i="1"/>
  <c r="BP53" i="1"/>
  <c r="BP45" i="1"/>
  <c r="BP210" i="1"/>
  <c r="BP24" i="1"/>
  <c r="BP25" i="1"/>
  <c r="BP206" i="1"/>
  <c r="BP30" i="1"/>
  <c r="BP14" i="1"/>
  <c r="BP54" i="1"/>
  <c r="BP197" i="1"/>
  <c r="BP79" i="1"/>
  <c r="BP201" i="1"/>
  <c r="BP66" i="1"/>
  <c r="BO57" i="1"/>
  <c r="BP85" i="1"/>
  <c r="BP50" i="1"/>
  <c r="BP55" i="1"/>
  <c r="BP70" i="1"/>
  <c r="BP41" i="1"/>
  <c r="BP190" i="1"/>
  <c r="BP83" i="1"/>
  <c r="BP69" i="1"/>
  <c r="BP84" i="1"/>
  <c r="BP181" i="1"/>
  <c r="BP42" i="1"/>
  <c r="BP188" i="1"/>
  <c r="BP199" i="1"/>
  <c r="BP68" i="1"/>
  <c r="BP205" i="1"/>
  <c r="BP202" i="1"/>
  <c r="BP62" i="1"/>
  <c r="BP51" i="1"/>
  <c r="BP65" i="1"/>
  <c r="BP48" i="1"/>
  <c r="BP189" i="1"/>
  <c r="BP168" i="1"/>
  <c r="BP141" i="1"/>
  <c r="BP106" i="1"/>
  <c r="BP96" i="1"/>
  <c r="BP142" i="1"/>
  <c r="BP145" i="1"/>
  <c r="BP133" i="1"/>
  <c r="BP151" i="1"/>
  <c r="BP169" i="1"/>
  <c r="BP94" i="1"/>
  <c r="BP117" i="1"/>
  <c r="BP108" i="1"/>
  <c r="BP112" i="1"/>
  <c r="BP118" i="1"/>
  <c r="BP110" i="1"/>
  <c r="BP109" i="1"/>
  <c r="BP146" i="1"/>
  <c r="BP131" i="1"/>
  <c r="BP95" i="1"/>
  <c r="BP97" i="1"/>
  <c r="BP114" i="1"/>
  <c r="BP98" i="1"/>
  <c r="BP116" i="1"/>
  <c r="BP105" i="1"/>
  <c r="BP140" i="1"/>
  <c r="BP166" i="1"/>
  <c r="BP122" i="1"/>
  <c r="BP126" i="1"/>
  <c r="BP107" i="1"/>
  <c r="BQ157" i="1"/>
  <c r="BP90" i="1"/>
  <c r="BN174" i="1"/>
  <c r="BN59" i="1"/>
  <c r="BN173" i="1"/>
  <c r="BN60" i="1"/>
  <c r="BM191" i="1"/>
  <c r="BM193" i="1"/>
  <c r="BM213" i="1"/>
  <c r="BM215" i="1"/>
  <c r="BM217" i="1"/>
  <c r="BM16" i="1"/>
  <c r="BM203" i="1"/>
  <c r="BM44" i="1"/>
  <c r="BM22" i="1"/>
  <c r="BM32" i="1"/>
  <c r="BM211" i="1"/>
  <c r="BM26" i="1"/>
  <c r="BQ82" i="1"/>
  <c r="BQ43" i="1"/>
  <c r="BQ33" i="1"/>
  <c r="BQ212" i="1"/>
  <c r="BQ202" i="1"/>
  <c r="BQ69" i="1"/>
  <c r="BQ189" i="1"/>
  <c r="BQ75" i="1"/>
  <c r="BQ84" i="1"/>
  <c r="BQ66" i="1"/>
  <c r="BQ49" i="1"/>
  <c r="BQ18" i="1"/>
  <c r="BQ25" i="1"/>
  <c r="BQ186" i="1"/>
  <c r="BQ20" i="1"/>
  <c r="BQ81" i="1"/>
  <c r="BQ55" i="1"/>
  <c r="BQ38" i="1"/>
  <c r="BQ64" i="1"/>
  <c r="BQ63" i="1"/>
  <c r="BQ24" i="1"/>
  <c r="BQ201" i="1"/>
  <c r="BQ199" i="1"/>
  <c r="BP93" i="1"/>
  <c r="BP100" i="1"/>
  <c r="BP124" i="1"/>
  <c r="BP134" i="1"/>
  <c r="BP150" i="1"/>
  <c r="BP115" i="1"/>
  <c r="BP152" i="1"/>
  <c r="BQ170" i="1"/>
  <c r="BQ204" i="1"/>
  <c r="BQ86" i="1"/>
  <c r="BQ42" i="1"/>
  <c r="BQ73" i="1"/>
  <c r="BQ70" i="1"/>
  <c r="BQ35" i="1"/>
  <c r="BQ31" i="1"/>
  <c r="BQ207" i="1"/>
  <c r="BQ200" i="1"/>
  <c r="BQ21" i="1"/>
  <c r="BP167" i="1"/>
  <c r="BP155" i="1"/>
  <c r="BP113" i="1"/>
  <c r="BP102" i="1"/>
  <c r="BP104" i="1"/>
  <c r="BQ209" i="1"/>
  <c r="BQ39" i="1"/>
  <c r="BQ194" i="1"/>
  <c r="BQ181" i="1"/>
  <c r="BQ80" i="1"/>
  <c r="BQ14" i="1"/>
  <c r="BQ83" i="1"/>
  <c r="BQ210" i="1"/>
  <c r="BQ34" i="1"/>
  <c r="BQ36" i="1"/>
  <c r="BQ46" i="1"/>
  <c r="BQ208" i="1"/>
  <c r="BQ45" i="1"/>
  <c r="BQ37" i="1"/>
  <c r="BQ19" i="1"/>
  <c r="BQ182" i="1"/>
  <c r="BQ68" i="1"/>
  <c r="BQ28" i="1"/>
  <c r="BQ206" i="1"/>
  <c r="BQ53" i="1"/>
  <c r="BQ78" i="1"/>
  <c r="BP119" i="1"/>
  <c r="BP165" i="1"/>
  <c r="BP170" i="1"/>
  <c r="BP148" i="1"/>
  <c r="BP99" i="1"/>
  <c r="BP103" i="1"/>
  <c r="BP156" i="1"/>
  <c r="BP144" i="1"/>
  <c r="BQ214" i="1"/>
  <c r="BQ50" i="1"/>
  <c r="BQ51" i="1"/>
  <c r="BQ29" i="1"/>
  <c r="BQ74" i="1"/>
  <c r="BQ54" i="1"/>
  <c r="BQ71" i="1"/>
  <c r="BQ185" i="1"/>
  <c r="BQ187" i="1"/>
  <c r="BQ65" i="1"/>
  <c r="BQ184" i="1"/>
  <c r="BQ195" i="1"/>
  <c r="BQ196" i="1"/>
  <c r="BQ190" i="1"/>
  <c r="BQ183" i="1"/>
  <c r="BQ198" i="1"/>
  <c r="BQ85" i="1"/>
  <c r="BQ47" i="1"/>
  <c r="BQ30" i="1"/>
  <c r="BQ188" i="1"/>
  <c r="BQ52" i="1"/>
  <c r="BQ17" i="1"/>
  <c r="BP111" i="1"/>
  <c r="BP138" i="1"/>
  <c r="BP136" i="1"/>
  <c r="BP137" i="1"/>
  <c r="BP121" i="1"/>
  <c r="BP125" i="1"/>
  <c r="BP157" i="1"/>
  <c r="BP143" i="1"/>
  <c r="BP57" i="1"/>
  <c r="BQ192" i="1"/>
  <c r="BQ79" i="1"/>
  <c r="BQ197" i="1"/>
  <c r="BQ41" i="1"/>
  <c r="BQ40" i="1"/>
  <c r="BQ205" i="1"/>
  <c r="BQ48" i="1"/>
  <c r="BQ76" i="1"/>
  <c r="BQ180" i="1"/>
  <c r="BQ27" i="1"/>
  <c r="BQ62" i="1"/>
  <c r="BQ72" i="1"/>
  <c r="BP147" i="1"/>
  <c r="BP153" i="1"/>
  <c r="BP139" i="1"/>
  <c r="BP154" i="1"/>
  <c r="BQ153" i="1"/>
  <c r="BQ102" i="1"/>
  <c r="BQ97" i="1"/>
  <c r="BQ117" i="1"/>
  <c r="BQ98" i="1"/>
  <c r="BQ168" i="1"/>
  <c r="BQ116" i="1"/>
  <c r="BQ126" i="1"/>
  <c r="BQ108" i="1"/>
  <c r="BQ133" i="1"/>
  <c r="BQ106" i="1"/>
  <c r="BQ118" i="1"/>
  <c r="BQ152" i="1"/>
  <c r="BQ113" i="1"/>
  <c r="BQ150" i="1"/>
  <c r="BQ148" i="1"/>
  <c r="BQ105" i="1"/>
  <c r="BQ119" i="1"/>
  <c r="BQ147" i="1"/>
  <c r="BQ103" i="1"/>
  <c r="BQ96" i="1"/>
  <c r="BQ156" i="1"/>
  <c r="BQ112" i="1"/>
  <c r="BQ138" i="1"/>
  <c r="BQ100" i="1"/>
  <c r="BQ94" i="1"/>
  <c r="BQ124" i="1"/>
  <c r="BQ136" i="1"/>
  <c r="BQ101" i="1"/>
  <c r="BQ131" i="1"/>
  <c r="BQ122" i="1"/>
  <c r="BQ125" i="1"/>
  <c r="BQ143" i="1"/>
  <c r="BQ154" i="1"/>
  <c r="BQ121" i="1"/>
  <c r="BQ169" i="1"/>
  <c r="BQ167" i="1"/>
  <c r="BQ115" i="1"/>
  <c r="BQ155" i="1"/>
  <c r="BQ99" i="1"/>
  <c r="BQ104" i="1"/>
  <c r="BQ111" i="1"/>
  <c r="BQ137" i="1"/>
  <c r="BQ151" i="1"/>
  <c r="BQ145" i="1"/>
  <c r="BQ134" i="1"/>
  <c r="BQ144" i="1"/>
  <c r="BQ146" i="1"/>
  <c r="BQ142" i="1"/>
  <c r="BQ139" i="1"/>
  <c r="BQ109" i="1"/>
  <c r="BQ165" i="1"/>
  <c r="BQ110" i="1"/>
  <c r="BQ166" i="1"/>
  <c r="BQ93" i="1"/>
  <c r="BQ140" i="1"/>
  <c r="BQ141" i="1"/>
  <c r="BQ95" i="1"/>
  <c r="BQ114" i="1"/>
  <c r="BQ107" i="1"/>
  <c r="BQ123" i="1"/>
  <c r="BQ132" i="1"/>
  <c r="BQ120" i="1"/>
  <c r="BQ163" i="1"/>
  <c r="BP163" i="1"/>
  <c r="BP162" i="1"/>
  <c r="BP120" i="1"/>
  <c r="BP135" i="1"/>
  <c r="BP127" i="1"/>
  <c r="BQ135" i="1"/>
  <c r="BQ149" i="1"/>
  <c r="BR144" i="1"/>
  <c r="BP158" i="1"/>
  <c r="BQ127" i="1"/>
  <c r="BQ158" i="1"/>
  <c r="BQ162" i="1"/>
  <c r="BP149" i="1"/>
  <c r="BP132" i="1"/>
  <c r="BP123" i="1"/>
  <c r="BQ90" i="1"/>
  <c r="BN191" i="1"/>
  <c r="BN193" i="1"/>
  <c r="BN213" i="1"/>
  <c r="BN215" i="1"/>
  <c r="BN217" i="1"/>
  <c r="BN44" i="1"/>
  <c r="BN211" i="1"/>
  <c r="BN32" i="1"/>
  <c r="BN203" i="1"/>
  <c r="BN26" i="1"/>
  <c r="BN22" i="1"/>
  <c r="BN16" i="1"/>
  <c r="BO60" i="1"/>
  <c r="BO59" i="1"/>
  <c r="BO174" i="1"/>
  <c r="BO173" i="1"/>
  <c r="BR66" i="1"/>
  <c r="BR33" i="1"/>
  <c r="BR84" i="1"/>
  <c r="BR182" i="1"/>
  <c r="BR76" i="1"/>
  <c r="BR43" i="1"/>
  <c r="BR35" i="1"/>
  <c r="BR199" i="1"/>
  <c r="BR79" i="1"/>
  <c r="BR190" i="1"/>
  <c r="BR40" i="1"/>
  <c r="BR46" i="1"/>
  <c r="BR196" i="1"/>
  <c r="BR38" i="1"/>
  <c r="BR212" i="1"/>
  <c r="BR74" i="1"/>
  <c r="BR73" i="1"/>
  <c r="BR24" i="1"/>
  <c r="BR49" i="1"/>
  <c r="BR31" i="1"/>
  <c r="BR205" i="1"/>
  <c r="BR37" i="1"/>
  <c r="BQ160" i="1"/>
  <c r="BR52" i="1"/>
  <c r="BR21" i="1"/>
  <c r="BR209" i="1"/>
  <c r="BR48" i="1"/>
  <c r="BR82" i="1"/>
  <c r="BR187" i="1"/>
  <c r="BR51" i="1"/>
  <c r="BR195" i="1"/>
  <c r="BR81" i="1"/>
  <c r="BQ129" i="1"/>
  <c r="BP129" i="1"/>
  <c r="BR204" i="1"/>
  <c r="BR64" i="1"/>
  <c r="BR47" i="1"/>
  <c r="BR55" i="1"/>
  <c r="BR53" i="1"/>
  <c r="BR80" i="1"/>
  <c r="BR50" i="1"/>
  <c r="BR208" i="1"/>
  <c r="BR69" i="1"/>
  <c r="BR210" i="1"/>
  <c r="BR198" i="1"/>
  <c r="BR30" i="1"/>
  <c r="BR28" i="1"/>
  <c r="BR62" i="1"/>
  <c r="BR206" i="1"/>
  <c r="BR200" i="1"/>
  <c r="BR207" i="1"/>
  <c r="BR41" i="1"/>
  <c r="BR189" i="1"/>
  <c r="BR65" i="1"/>
  <c r="BR201" i="1"/>
  <c r="BR20" i="1"/>
  <c r="BR45" i="1"/>
  <c r="BQ57" i="1"/>
  <c r="BR83" i="1"/>
  <c r="BR14" i="1"/>
  <c r="BR68" i="1"/>
  <c r="BR17" i="1"/>
  <c r="BR192" i="1"/>
  <c r="BR29" i="1"/>
  <c r="BR186" i="1"/>
  <c r="BR54" i="1"/>
  <c r="BR78" i="1"/>
  <c r="BR181" i="1"/>
  <c r="BR180" i="1"/>
  <c r="BR197" i="1"/>
  <c r="BR85" i="1"/>
  <c r="BR36" i="1"/>
  <c r="BR71" i="1"/>
  <c r="BR188" i="1"/>
  <c r="BR86" i="1"/>
  <c r="BR214" i="1"/>
  <c r="BR42" i="1"/>
  <c r="BR183" i="1"/>
  <c r="BR70" i="1"/>
  <c r="BR63" i="1"/>
  <c r="BP160" i="1"/>
  <c r="BR72" i="1"/>
  <c r="BR194" i="1"/>
  <c r="BR25" i="1"/>
  <c r="BR202" i="1"/>
  <c r="BR19" i="1"/>
  <c r="BR18" i="1"/>
  <c r="BR39" i="1"/>
  <c r="BR27" i="1"/>
  <c r="BR75" i="1"/>
  <c r="BR184" i="1"/>
  <c r="BR34" i="1"/>
  <c r="BR185" i="1"/>
  <c r="BR116" i="1"/>
  <c r="BR156" i="1"/>
  <c r="BR169" i="1"/>
  <c r="BR94" i="1"/>
  <c r="BR138" i="1"/>
  <c r="BR100" i="1"/>
  <c r="BR118" i="1"/>
  <c r="BR124" i="1"/>
  <c r="BR137" i="1"/>
  <c r="BR146" i="1"/>
  <c r="BR96" i="1"/>
  <c r="BR136" i="1"/>
  <c r="BR97" i="1"/>
  <c r="BS142" i="1"/>
  <c r="BR90" i="1"/>
  <c r="BO191" i="1"/>
  <c r="BO193" i="1"/>
  <c r="BO213" i="1"/>
  <c r="BO215" i="1"/>
  <c r="BO217" i="1"/>
  <c r="BO203" i="1"/>
  <c r="BO32" i="1"/>
  <c r="BO44" i="1"/>
  <c r="BO16" i="1"/>
  <c r="BO211" i="1"/>
  <c r="BO26" i="1"/>
  <c r="BO22" i="1"/>
  <c r="BP174" i="1"/>
  <c r="BP60" i="1"/>
  <c r="BP59" i="1"/>
  <c r="BP173" i="1"/>
  <c r="BS41" i="1"/>
  <c r="BS75" i="1"/>
  <c r="BS187" i="1"/>
  <c r="BS200" i="1"/>
  <c r="BS42" i="1"/>
  <c r="BS83" i="1"/>
  <c r="BS39" i="1"/>
  <c r="BS47" i="1"/>
  <c r="BS85" i="1"/>
  <c r="BS70" i="1"/>
  <c r="BS190" i="1"/>
  <c r="BS186" i="1"/>
  <c r="BS36" i="1"/>
  <c r="BS31" i="1"/>
  <c r="BS195" i="1"/>
  <c r="BS34" i="1"/>
  <c r="BS209" i="1"/>
  <c r="BS35" i="1"/>
  <c r="BS21" i="1"/>
  <c r="BS64" i="1"/>
  <c r="BS86" i="1"/>
  <c r="BS28" i="1"/>
  <c r="BR155" i="1"/>
  <c r="BR168" i="1"/>
  <c r="BR99" i="1"/>
  <c r="BR109" i="1"/>
  <c r="BR103" i="1"/>
  <c r="BR115" i="1"/>
  <c r="BR157" i="1"/>
  <c r="BR142" i="1"/>
  <c r="BR131" i="1"/>
  <c r="BR101" i="1"/>
  <c r="BS184" i="1"/>
  <c r="BS40" i="1"/>
  <c r="BS199" i="1"/>
  <c r="BS192" i="1"/>
  <c r="BS207" i="1"/>
  <c r="BS65" i="1"/>
  <c r="BS72" i="1"/>
  <c r="BS38" i="1"/>
  <c r="BR110" i="1"/>
  <c r="BR102" i="1"/>
  <c r="BR150" i="1"/>
  <c r="BR122" i="1"/>
  <c r="BR148" i="1"/>
  <c r="BR134" i="1"/>
  <c r="BR114" i="1"/>
  <c r="BS138" i="1"/>
  <c r="BS93" i="1"/>
  <c r="BS108" i="1"/>
  <c r="BS208" i="1"/>
  <c r="BS18" i="1"/>
  <c r="BS45" i="1"/>
  <c r="BS54" i="1"/>
  <c r="BS182" i="1"/>
  <c r="BS30" i="1"/>
  <c r="BS17" i="1"/>
  <c r="BS49" i="1"/>
  <c r="BS29" i="1"/>
  <c r="BS24" i="1"/>
  <c r="BS43" i="1"/>
  <c r="BS74" i="1"/>
  <c r="BS180" i="1"/>
  <c r="BS204" i="1"/>
  <c r="BS73" i="1"/>
  <c r="BS183" i="1"/>
  <c r="BS181" i="1"/>
  <c r="BS188" i="1"/>
  <c r="BS197" i="1"/>
  <c r="BS198" i="1"/>
  <c r="BS206" i="1"/>
  <c r="BS62" i="1"/>
  <c r="BS25" i="1"/>
  <c r="BR125" i="1"/>
  <c r="BR104" i="1"/>
  <c r="BR170" i="1"/>
  <c r="BR105" i="1"/>
  <c r="BR108" i="1"/>
  <c r="BR140" i="1"/>
  <c r="BR121" i="1"/>
  <c r="BR111" i="1"/>
  <c r="BR165" i="1"/>
  <c r="BR151" i="1"/>
  <c r="BR153" i="1"/>
  <c r="BR147" i="1"/>
  <c r="BR139" i="1"/>
  <c r="BR117" i="1"/>
  <c r="BS194" i="1"/>
  <c r="BS66" i="1"/>
  <c r="BS212" i="1"/>
  <c r="BS33" i="1"/>
  <c r="BS80" i="1"/>
  <c r="BS79" i="1"/>
  <c r="BS214" i="1"/>
  <c r="BS78" i="1"/>
  <c r="BS185" i="1"/>
  <c r="BS201" i="1"/>
  <c r="BS20" i="1"/>
  <c r="BS27" i="1"/>
  <c r="BS37" i="1"/>
  <c r="BS82" i="1"/>
  <c r="BS55" i="1"/>
  <c r="BS51" i="1"/>
  <c r="BS69" i="1"/>
  <c r="BS71" i="1"/>
  <c r="BS76" i="1"/>
  <c r="BS46" i="1"/>
  <c r="BS53" i="1"/>
  <c r="BS210" i="1"/>
  <c r="BS84" i="1"/>
  <c r="BR93" i="1"/>
  <c r="BR152" i="1"/>
  <c r="BR145" i="1"/>
  <c r="BR112" i="1"/>
  <c r="BR167" i="1"/>
  <c r="BR126" i="1"/>
  <c r="BR95" i="1"/>
  <c r="BR98" i="1"/>
  <c r="BR106" i="1"/>
  <c r="BR141" i="1"/>
  <c r="BR154" i="1"/>
  <c r="BR113" i="1"/>
  <c r="BS202" i="1"/>
  <c r="BS196" i="1"/>
  <c r="BS68" i="1"/>
  <c r="BS189" i="1"/>
  <c r="BS50" i="1"/>
  <c r="BS14" i="1"/>
  <c r="BS52" i="1"/>
  <c r="BS63" i="1"/>
  <c r="BS19" i="1"/>
  <c r="BS48" i="1"/>
  <c r="BS205" i="1"/>
  <c r="BS81" i="1"/>
  <c r="BR57" i="1"/>
  <c r="BR166" i="1"/>
  <c r="BR119" i="1"/>
  <c r="BR143" i="1"/>
  <c r="BR133" i="1"/>
  <c r="BS143" i="1"/>
  <c r="BS106" i="1"/>
  <c r="BS136" i="1"/>
  <c r="BS109" i="1"/>
  <c r="BS112" i="1"/>
  <c r="BS104" i="1"/>
  <c r="BS153" i="1"/>
  <c r="BS94" i="1"/>
  <c r="BS170" i="1"/>
  <c r="BS117" i="1"/>
  <c r="BS115" i="1"/>
  <c r="BS146" i="1"/>
  <c r="BS144" i="1"/>
  <c r="BR132" i="1"/>
  <c r="BR135" i="1"/>
  <c r="BR127" i="1"/>
  <c r="BR120" i="1"/>
  <c r="BR107" i="1"/>
  <c r="BR123" i="1"/>
  <c r="BR158" i="1"/>
  <c r="BR149" i="1"/>
  <c r="BT101" i="1"/>
  <c r="BR163" i="1"/>
  <c r="BR162" i="1"/>
  <c r="BS90" i="1"/>
  <c r="BP191" i="1"/>
  <c r="BP193" i="1"/>
  <c r="BP213" i="1"/>
  <c r="BP215" i="1"/>
  <c r="BP217" i="1"/>
  <c r="BP203" i="1"/>
  <c r="BP16" i="1"/>
  <c r="BP211" i="1"/>
  <c r="BP44" i="1"/>
  <c r="BP32" i="1"/>
  <c r="BP26" i="1"/>
  <c r="BP22" i="1"/>
  <c r="BQ174" i="1"/>
  <c r="BQ60" i="1"/>
  <c r="BQ59" i="1"/>
  <c r="BQ173" i="1"/>
  <c r="BT40" i="1"/>
  <c r="BT54" i="1"/>
  <c r="BT39" i="1"/>
  <c r="BT37" i="1"/>
  <c r="BT210" i="1"/>
  <c r="BT35" i="1"/>
  <c r="BT21" i="1"/>
  <c r="BT212" i="1"/>
  <c r="BT30" i="1"/>
  <c r="BT81" i="1"/>
  <c r="BT17" i="1"/>
  <c r="BT187" i="1"/>
  <c r="BT78" i="1"/>
  <c r="BT207" i="1"/>
  <c r="BT50" i="1"/>
  <c r="BT46" i="1"/>
  <c r="BT29" i="1"/>
  <c r="BT28" i="1"/>
  <c r="BT192" i="1"/>
  <c r="BT33" i="1"/>
  <c r="BT18" i="1"/>
  <c r="BT195" i="1"/>
  <c r="BS145" i="1"/>
  <c r="BS105" i="1"/>
  <c r="BS98" i="1"/>
  <c r="BS126" i="1"/>
  <c r="BS121" i="1"/>
  <c r="BS114" i="1"/>
  <c r="BS166" i="1"/>
  <c r="BS99" i="1"/>
  <c r="BS147" i="1"/>
  <c r="BS150" i="1"/>
  <c r="BT147" i="1"/>
  <c r="BT150" i="1"/>
  <c r="BT110" i="1"/>
  <c r="BT103" i="1"/>
  <c r="BR160" i="1"/>
  <c r="BT200" i="1"/>
  <c r="BT48" i="1"/>
  <c r="BS169" i="1"/>
  <c r="BS157" i="1"/>
  <c r="BS168" i="1"/>
  <c r="BS125" i="1"/>
  <c r="BS148" i="1"/>
  <c r="BT142" i="1"/>
  <c r="BT167" i="1"/>
  <c r="BS57" i="1"/>
  <c r="BT209" i="1"/>
  <c r="BT19" i="1"/>
  <c r="BT24" i="1"/>
  <c r="BT208" i="1"/>
  <c r="BT71" i="1"/>
  <c r="BT183" i="1"/>
  <c r="BT180" i="1"/>
  <c r="BT189" i="1"/>
  <c r="BT206" i="1"/>
  <c r="BT66" i="1"/>
  <c r="BT70" i="1"/>
  <c r="BT184" i="1"/>
  <c r="BT52" i="1"/>
  <c r="BT86" i="1"/>
  <c r="BT69" i="1"/>
  <c r="BT41" i="1"/>
  <c r="BT47" i="1"/>
  <c r="BT31" i="1"/>
  <c r="BT75" i="1"/>
  <c r="BT80" i="1"/>
  <c r="BT190" i="1"/>
  <c r="BT181" i="1"/>
  <c r="BT85" i="1"/>
  <c r="BS141" i="1"/>
  <c r="BS151" i="1"/>
  <c r="BS139" i="1"/>
  <c r="BS101" i="1"/>
  <c r="BS103" i="1"/>
  <c r="BS110" i="1"/>
  <c r="BS122" i="1"/>
  <c r="BS155" i="1"/>
  <c r="BS133" i="1"/>
  <c r="BS140" i="1"/>
  <c r="BS102" i="1"/>
  <c r="BT185" i="1"/>
  <c r="BT84" i="1"/>
  <c r="BT198" i="1"/>
  <c r="BT197" i="1"/>
  <c r="BT186" i="1"/>
  <c r="BT25" i="1"/>
  <c r="BT214" i="1"/>
  <c r="BT20" i="1"/>
  <c r="BT205" i="1"/>
  <c r="BT55" i="1"/>
  <c r="BT42" i="1"/>
  <c r="BT49" i="1"/>
  <c r="BT43" i="1"/>
  <c r="BT65" i="1"/>
  <c r="BT202" i="1"/>
  <c r="BT34" i="1"/>
  <c r="BT188" i="1"/>
  <c r="BT204" i="1"/>
  <c r="BT63" i="1"/>
  <c r="BT51" i="1"/>
  <c r="BT36" i="1"/>
  <c r="BS165" i="1"/>
  <c r="BS111" i="1"/>
  <c r="BS137" i="1"/>
  <c r="BS167" i="1"/>
  <c r="BS97" i="1"/>
  <c r="BS156" i="1"/>
  <c r="BS131" i="1"/>
  <c r="BS134" i="1"/>
  <c r="BS96" i="1"/>
  <c r="BS152" i="1"/>
  <c r="BS118" i="1"/>
  <c r="BS154" i="1"/>
  <c r="BS119" i="1"/>
  <c r="BT96" i="1"/>
  <c r="BT100" i="1"/>
  <c r="BR129" i="1"/>
  <c r="BT79" i="1"/>
  <c r="BT201" i="1"/>
  <c r="BT68" i="1"/>
  <c r="BT64" i="1"/>
  <c r="BT38" i="1"/>
  <c r="BT182" i="1"/>
  <c r="BT74" i="1"/>
  <c r="BT45" i="1"/>
  <c r="BT73" i="1"/>
  <c r="BT199" i="1"/>
  <c r="BT83" i="1"/>
  <c r="BT62" i="1"/>
  <c r="BT196" i="1"/>
  <c r="BT72" i="1"/>
  <c r="BT194" i="1"/>
  <c r="BT82" i="1"/>
  <c r="BT14" i="1"/>
  <c r="BT53" i="1"/>
  <c r="BT27" i="1"/>
  <c r="BT76" i="1"/>
  <c r="BS124" i="1"/>
  <c r="BS113" i="1"/>
  <c r="BS116" i="1"/>
  <c r="BS95" i="1"/>
  <c r="BS100" i="1"/>
  <c r="BT154" i="1"/>
  <c r="BT140" i="1"/>
  <c r="BT145" i="1"/>
  <c r="BT131" i="1"/>
  <c r="BT122" i="1"/>
  <c r="BT116" i="1"/>
  <c r="BT146" i="1"/>
  <c r="BT105" i="1"/>
  <c r="BT109" i="1"/>
  <c r="BT134" i="1"/>
  <c r="BT144" i="1"/>
  <c r="BT148" i="1"/>
  <c r="BT141" i="1"/>
  <c r="BT143" i="1"/>
  <c r="BT94" i="1"/>
  <c r="BT136" i="1"/>
  <c r="BT99" i="1"/>
  <c r="BT152" i="1"/>
  <c r="BT106" i="1"/>
  <c r="BT124" i="1"/>
  <c r="BT138" i="1"/>
  <c r="BT151" i="1"/>
  <c r="BT169" i="1"/>
  <c r="BT125" i="1"/>
  <c r="BT166" i="1"/>
  <c r="BT118" i="1"/>
  <c r="BT111" i="1"/>
  <c r="BT137" i="1"/>
  <c r="BT117" i="1"/>
  <c r="BT119" i="1"/>
  <c r="BT97" i="1"/>
  <c r="BT155" i="1"/>
  <c r="BT108" i="1"/>
  <c r="BT170" i="1"/>
  <c r="BT93" i="1"/>
  <c r="BT114" i="1"/>
  <c r="BT157" i="1"/>
  <c r="BS123" i="1"/>
  <c r="BT158" i="1"/>
  <c r="BS135" i="1"/>
  <c r="BS127" i="1"/>
  <c r="BS132" i="1"/>
  <c r="BS107" i="1"/>
  <c r="BT107" i="1"/>
  <c r="BS158" i="1"/>
  <c r="BS163" i="1"/>
  <c r="BS162" i="1"/>
  <c r="BU134" i="1"/>
  <c r="BS149" i="1"/>
  <c r="BS120" i="1"/>
  <c r="BT90" i="1"/>
  <c r="BT123" i="1"/>
  <c r="BT163" i="1"/>
  <c r="BQ191" i="1"/>
  <c r="BQ193" i="1"/>
  <c r="BQ213" i="1"/>
  <c r="BQ215" i="1"/>
  <c r="BQ217" i="1"/>
  <c r="BR173" i="1"/>
  <c r="BR59" i="1"/>
  <c r="BR174" i="1"/>
  <c r="BR60" i="1"/>
  <c r="BQ16" i="1"/>
  <c r="BQ211" i="1"/>
  <c r="BQ26" i="1"/>
  <c r="BQ22" i="1"/>
  <c r="BQ203" i="1"/>
  <c r="BQ32" i="1"/>
  <c r="BQ44" i="1"/>
  <c r="BS129" i="1"/>
  <c r="BU79" i="1"/>
  <c r="BU200" i="1"/>
  <c r="BU43" i="1"/>
  <c r="BU70" i="1"/>
  <c r="BU33" i="1"/>
  <c r="BU28" i="1"/>
  <c r="BU205" i="1"/>
  <c r="BU182" i="1"/>
  <c r="BU188" i="1"/>
  <c r="BU17" i="1"/>
  <c r="BU194" i="1"/>
  <c r="BU86" i="1"/>
  <c r="BU71" i="1"/>
  <c r="BT98" i="1"/>
  <c r="BT112" i="1"/>
  <c r="BT57" i="1"/>
  <c r="BU195" i="1"/>
  <c r="BU198" i="1"/>
  <c r="BU54" i="1"/>
  <c r="BU204" i="1"/>
  <c r="BU196" i="1"/>
  <c r="BU52" i="1"/>
  <c r="BU30" i="1"/>
  <c r="BU184" i="1"/>
  <c r="BU192" i="1"/>
  <c r="BU35" i="1"/>
  <c r="BT156" i="1"/>
  <c r="BT160" i="1"/>
  <c r="BU50" i="1"/>
  <c r="BU208" i="1"/>
  <c r="BU181" i="1"/>
  <c r="BU69" i="1"/>
  <c r="BU39" i="1"/>
  <c r="BU209" i="1"/>
  <c r="BU38" i="1"/>
  <c r="BU24" i="1"/>
  <c r="BU80" i="1"/>
  <c r="BU76" i="1"/>
  <c r="BT115" i="1"/>
  <c r="BU183" i="1"/>
  <c r="BU18" i="1"/>
  <c r="BU187" i="1"/>
  <c r="BU199" i="1"/>
  <c r="BU63" i="1"/>
  <c r="BU34" i="1"/>
  <c r="BU82" i="1"/>
  <c r="BU29" i="1"/>
  <c r="BU206" i="1"/>
  <c r="BU25" i="1"/>
  <c r="BU27" i="1"/>
  <c r="BU207" i="1"/>
  <c r="BU47" i="1"/>
  <c r="BU201" i="1"/>
  <c r="BU186" i="1"/>
  <c r="BU180" i="1"/>
  <c r="BU40" i="1"/>
  <c r="BU83" i="1"/>
  <c r="BU36" i="1"/>
  <c r="BU55" i="1"/>
  <c r="BU41" i="1"/>
  <c r="BU19" i="1"/>
  <c r="BT168" i="1"/>
  <c r="BT126" i="1"/>
  <c r="BT139" i="1"/>
  <c r="BT133" i="1"/>
  <c r="BT104" i="1"/>
  <c r="BU202" i="1"/>
  <c r="BU73" i="1"/>
  <c r="BU190" i="1"/>
  <c r="BU75" i="1"/>
  <c r="BU212" i="1"/>
  <c r="BU20" i="1"/>
  <c r="BU49" i="1"/>
  <c r="BU14" i="1"/>
  <c r="BT113" i="1"/>
  <c r="BS160" i="1"/>
  <c r="BU62" i="1"/>
  <c r="BU68" i="1"/>
  <c r="BU31" i="1"/>
  <c r="BU197" i="1"/>
  <c r="BU84" i="1"/>
  <c r="BU78" i="1"/>
  <c r="BU46" i="1"/>
  <c r="BU48" i="1"/>
  <c r="BU51" i="1"/>
  <c r="BU21" i="1"/>
  <c r="BU64" i="1"/>
  <c r="BU45" i="1"/>
  <c r="BT102" i="1"/>
  <c r="BT121" i="1"/>
  <c r="BU210" i="1"/>
  <c r="BU42" i="1"/>
  <c r="BU81" i="1"/>
  <c r="BU185" i="1"/>
  <c r="BU53" i="1"/>
  <c r="BU65" i="1"/>
  <c r="BU74" i="1"/>
  <c r="BU37" i="1"/>
  <c r="BU214" i="1"/>
  <c r="BU85" i="1"/>
  <c r="BU72" i="1"/>
  <c r="BU66" i="1"/>
  <c r="BU189" i="1"/>
  <c r="BT153" i="1"/>
  <c r="BT165" i="1"/>
  <c r="BT95" i="1"/>
  <c r="BU141" i="1"/>
  <c r="BU103" i="1"/>
  <c r="BU102" i="1"/>
  <c r="BU110" i="1"/>
  <c r="BU136" i="1"/>
  <c r="BU153" i="1"/>
  <c r="BU97" i="1"/>
  <c r="BU154" i="1"/>
  <c r="BU147" i="1"/>
  <c r="BU121" i="1"/>
  <c r="BU156" i="1"/>
  <c r="BU112" i="1"/>
  <c r="BU133" i="1"/>
  <c r="BU142" i="1"/>
  <c r="BU146" i="1"/>
  <c r="BU113" i="1"/>
  <c r="BU150" i="1"/>
  <c r="BU131" i="1"/>
  <c r="BU125" i="1"/>
  <c r="BU96" i="1"/>
  <c r="BU144" i="1"/>
  <c r="BU124" i="1"/>
  <c r="BU126" i="1"/>
  <c r="BU119" i="1"/>
  <c r="BU157" i="1"/>
  <c r="BU106" i="1"/>
  <c r="BU95" i="1"/>
  <c r="BU104" i="1"/>
  <c r="BU100" i="1"/>
  <c r="BU168" i="1"/>
  <c r="BU169" i="1"/>
  <c r="BU109" i="1"/>
  <c r="BU165" i="1"/>
  <c r="BU93" i="1"/>
  <c r="BU111" i="1"/>
  <c r="BU115" i="1"/>
  <c r="BU117" i="1"/>
  <c r="BU143" i="1"/>
  <c r="BU122" i="1"/>
  <c r="BU170" i="1"/>
  <c r="BU108" i="1"/>
  <c r="BU151" i="1"/>
  <c r="BU140" i="1"/>
  <c r="BU148" i="1"/>
  <c r="BU166" i="1"/>
  <c r="BU138" i="1"/>
  <c r="BU137" i="1"/>
  <c r="BU114" i="1"/>
  <c r="BT149" i="1"/>
  <c r="BT120" i="1"/>
  <c r="BT132" i="1"/>
  <c r="BT135" i="1"/>
  <c r="BT127" i="1"/>
  <c r="BU132" i="1"/>
  <c r="BU162" i="1"/>
  <c r="BV117" i="1"/>
  <c r="BU163" i="1"/>
  <c r="BT162" i="1"/>
  <c r="BU120" i="1"/>
  <c r="BU123" i="1"/>
  <c r="BU127" i="1"/>
  <c r="BU107" i="1"/>
  <c r="BU158" i="1"/>
  <c r="BU90" i="1"/>
  <c r="BS174" i="1"/>
  <c r="BS173" i="1"/>
  <c r="BS59" i="1"/>
  <c r="BS60" i="1"/>
  <c r="BR191" i="1"/>
  <c r="BR193" i="1"/>
  <c r="BR213" i="1"/>
  <c r="BR215" i="1"/>
  <c r="BR217" i="1"/>
  <c r="BR44" i="1"/>
  <c r="BR22" i="1"/>
  <c r="BR32" i="1"/>
  <c r="BR16" i="1"/>
  <c r="BR26" i="1"/>
  <c r="BR211" i="1"/>
  <c r="BR203" i="1"/>
  <c r="BV84" i="1"/>
  <c r="BV214" i="1"/>
  <c r="BV78" i="1"/>
  <c r="BV19" i="1"/>
  <c r="BV17" i="1"/>
  <c r="BV50" i="1"/>
  <c r="BV42" i="1"/>
  <c r="BV62" i="1"/>
  <c r="BV76" i="1"/>
  <c r="BV200" i="1"/>
  <c r="BV39" i="1"/>
  <c r="BV86" i="1"/>
  <c r="BV47" i="1"/>
  <c r="BV194" i="1"/>
  <c r="BV36" i="1"/>
  <c r="BV188" i="1"/>
  <c r="BV202" i="1"/>
  <c r="BV70" i="1"/>
  <c r="BV65" i="1"/>
  <c r="BV75" i="1"/>
  <c r="BU101" i="1"/>
  <c r="BU98" i="1"/>
  <c r="BV169" i="1"/>
  <c r="BV94" i="1"/>
  <c r="BV52" i="1"/>
  <c r="BV197" i="1"/>
  <c r="BV205" i="1"/>
  <c r="BV82" i="1"/>
  <c r="BV180" i="1"/>
  <c r="BV208" i="1"/>
  <c r="BV212" i="1"/>
  <c r="BV189" i="1"/>
  <c r="BV43" i="1"/>
  <c r="BU99" i="1"/>
  <c r="BV147" i="1"/>
  <c r="BU57" i="1"/>
  <c r="BV18" i="1"/>
  <c r="BV64" i="1"/>
  <c r="BV45" i="1"/>
  <c r="BV46" i="1"/>
  <c r="BV80" i="1"/>
  <c r="BV185" i="1"/>
  <c r="BV41" i="1"/>
  <c r="BV51" i="1"/>
  <c r="BV210" i="1"/>
  <c r="BU129" i="1"/>
  <c r="BV93" i="1"/>
  <c r="BV150" i="1"/>
  <c r="BV153" i="1"/>
  <c r="BV113" i="1"/>
  <c r="BV40" i="1"/>
  <c r="BV63" i="1"/>
  <c r="BV35" i="1"/>
  <c r="BV83" i="1"/>
  <c r="BV184" i="1"/>
  <c r="BV85" i="1"/>
  <c r="BV20" i="1"/>
  <c r="BV181" i="1"/>
  <c r="BV196" i="1"/>
  <c r="BV190" i="1"/>
  <c r="BV31" i="1"/>
  <c r="BV53" i="1"/>
  <c r="BV24" i="1"/>
  <c r="BV186" i="1"/>
  <c r="BV33" i="1"/>
  <c r="BV79" i="1"/>
  <c r="BV198" i="1"/>
  <c r="BV37" i="1"/>
  <c r="BV69" i="1"/>
  <c r="BV199" i="1"/>
  <c r="BV49" i="1"/>
  <c r="BV201" i="1"/>
  <c r="BV27" i="1"/>
  <c r="BU155" i="1"/>
  <c r="BU118" i="1"/>
  <c r="BU145" i="1"/>
  <c r="BU116" i="1"/>
  <c r="BU105" i="1"/>
  <c r="BV96" i="1"/>
  <c r="BV157" i="1"/>
  <c r="BV122" i="1"/>
  <c r="BV119" i="1"/>
  <c r="BV115" i="1"/>
  <c r="BV155" i="1"/>
  <c r="BV140" i="1"/>
  <c r="BV118" i="1"/>
  <c r="BV195" i="1"/>
  <c r="BU139" i="1"/>
  <c r="BU167" i="1"/>
  <c r="BV152" i="1"/>
  <c r="BV125" i="1"/>
  <c r="BV95" i="1"/>
  <c r="BV142" i="1"/>
  <c r="BV133" i="1"/>
  <c r="BT129" i="1"/>
  <c r="BV28" i="1"/>
  <c r="BV25" i="1"/>
  <c r="BV192" i="1"/>
  <c r="BV187" i="1"/>
  <c r="BV30" i="1"/>
  <c r="BV38" i="1"/>
  <c r="BV14" i="1"/>
  <c r="BV74" i="1"/>
  <c r="BV73" i="1"/>
  <c r="BV48" i="1"/>
  <c r="BV72" i="1"/>
  <c r="BV55" i="1"/>
  <c r="BV121" i="1"/>
  <c r="BV151" i="1"/>
  <c r="BV145" i="1"/>
  <c r="BV168" i="1"/>
  <c r="BV137" i="1"/>
  <c r="BV206" i="1"/>
  <c r="BV68" i="1"/>
  <c r="BV71" i="1"/>
  <c r="BV54" i="1"/>
  <c r="BV207" i="1"/>
  <c r="BV182" i="1"/>
  <c r="BV204" i="1"/>
  <c r="BV66" i="1"/>
  <c r="BV21" i="1"/>
  <c r="BV29" i="1"/>
  <c r="BV34" i="1"/>
  <c r="BV209" i="1"/>
  <c r="BV81" i="1"/>
  <c r="BV183" i="1"/>
  <c r="BU152" i="1"/>
  <c r="BU94" i="1"/>
  <c r="BU160" i="1"/>
  <c r="BV139" i="1"/>
  <c r="BV102" i="1"/>
  <c r="BV124" i="1"/>
  <c r="BV108" i="1"/>
  <c r="BV101" i="1"/>
  <c r="BV144" i="1"/>
  <c r="BV134" i="1"/>
  <c r="BV148" i="1"/>
  <c r="BV136" i="1"/>
  <c r="BV109" i="1"/>
  <c r="BV143" i="1"/>
  <c r="BV146" i="1"/>
  <c r="BV138" i="1"/>
  <c r="BV141" i="1"/>
  <c r="BV98" i="1"/>
  <c r="BV114" i="1"/>
  <c r="BV105" i="1"/>
  <c r="BV166" i="1"/>
  <c r="BV131" i="1"/>
  <c r="BV106" i="1"/>
  <c r="BV110" i="1"/>
  <c r="BV156" i="1"/>
  <c r="BV126" i="1"/>
  <c r="BV104" i="1"/>
  <c r="BV111" i="1"/>
  <c r="BV167" i="1"/>
  <c r="BV154" i="1"/>
  <c r="BV103" i="1"/>
  <c r="BV99" i="1"/>
  <c r="BV170" i="1"/>
  <c r="BV100" i="1"/>
  <c r="BV165" i="1"/>
  <c r="BV112" i="1"/>
  <c r="BV116" i="1"/>
  <c r="BV97" i="1"/>
  <c r="BV107" i="1"/>
  <c r="BV135" i="1"/>
  <c r="BV123" i="1"/>
  <c r="BU149" i="1"/>
  <c r="BV127" i="1"/>
  <c r="BV120" i="1"/>
  <c r="BV132" i="1"/>
  <c r="BV163" i="1"/>
  <c r="BU135" i="1"/>
  <c r="BV162" i="1"/>
  <c r="BV149" i="1"/>
  <c r="BV158" i="1"/>
  <c r="BW117" i="1"/>
  <c r="BV90" i="1"/>
  <c r="BT174" i="1"/>
  <c r="BT60" i="1"/>
  <c r="BT59" i="1"/>
  <c r="BT173" i="1"/>
  <c r="BS32" i="1"/>
  <c r="BS22" i="1"/>
  <c r="BS191" i="1"/>
  <c r="BS44" i="1"/>
  <c r="BS16" i="1"/>
  <c r="BS193" i="1"/>
  <c r="BS213" i="1"/>
  <c r="BS215" i="1"/>
  <c r="BS217" i="1"/>
  <c r="BS203" i="1"/>
  <c r="BS211" i="1"/>
  <c r="BS26" i="1"/>
  <c r="BV129" i="1"/>
  <c r="BV160" i="1"/>
  <c r="BW34" i="1"/>
  <c r="BW83" i="1"/>
  <c r="BW42" i="1"/>
  <c r="BW197" i="1"/>
  <c r="BW208" i="1"/>
  <c r="BW66" i="1"/>
  <c r="BW70" i="1"/>
  <c r="BW86" i="1"/>
  <c r="BW14" i="1"/>
  <c r="BW182" i="1"/>
  <c r="BW20" i="1"/>
  <c r="BW45" i="1"/>
  <c r="BW51" i="1"/>
  <c r="BW71" i="1"/>
  <c r="BW201" i="1"/>
  <c r="BW64" i="1"/>
  <c r="BW180" i="1"/>
  <c r="BW206" i="1"/>
  <c r="BW207" i="1"/>
  <c r="BW54" i="1"/>
  <c r="BW25" i="1"/>
  <c r="BW126" i="1"/>
  <c r="BW110" i="1"/>
  <c r="BW46" i="1"/>
  <c r="BW79" i="1"/>
  <c r="BW200" i="1"/>
  <c r="BW38" i="1"/>
  <c r="BW18" i="1"/>
  <c r="BW189" i="1"/>
  <c r="BW49" i="1"/>
  <c r="BW190" i="1"/>
  <c r="BW33" i="1"/>
  <c r="BW181" i="1"/>
  <c r="BW205" i="1"/>
  <c r="BW36" i="1"/>
  <c r="BW53" i="1"/>
  <c r="BW214" i="1"/>
  <c r="BW198" i="1"/>
  <c r="BW186" i="1"/>
  <c r="BW183" i="1"/>
  <c r="BW48" i="1"/>
  <c r="BW72" i="1"/>
  <c r="BW73" i="1"/>
  <c r="BW74" i="1"/>
  <c r="BW199" i="1"/>
  <c r="BW29" i="1"/>
  <c r="BW21" i="1"/>
  <c r="BW210" i="1"/>
  <c r="BW188" i="1"/>
  <c r="BW30" i="1"/>
  <c r="BW194" i="1"/>
  <c r="BW76" i="1"/>
  <c r="BW39" i="1"/>
  <c r="BW192" i="1"/>
  <c r="BW24" i="1"/>
  <c r="BW75" i="1"/>
  <c r="BV57" i="1"/>
  <c r="BW187" i="1"/>
  <c r="BW65" i="1"/>
  <c r="BW184" i="1"/>
  <c r="BW196" i="1"/>
  <c r="BW17" i="1"/>
  <c r="BW41" i="1"/>
  <c r="BW40" i="1"/>
  <c r="BW195" i="1"/>
  <c r="BW63" i="1"/>
  <c r="BW43" i="1"/>
  <c r="BW37" i="1"/>
  <c r="BW78" i="1"/>
  <c r="BW31" i="1"/>
  <c r="BW82" i="1"/>
  <c r="BW68" i="1"/>
  <c r="BW69" i="1"/>
  <c r="BW80" i="1"/>
  <c r="BW50" i="1"/>
  <c r="BW19" i="1"/>
  <c r="BW212" i="1"/>
  <c r="BW85" i="1"/>
  <c r="BW28" i="1"/>
  <c r="BW170" i="1"/>
  <c r="BW97" i="1"/>
  <c r="BW47" i="1"/>
  <c r="BW35" i="1"/>
  <c r="BW52" i="1"/>
  <c r="BW27" i="1"/>
  <c r="BW204" i="1"/>
  <c r="BW202" i="1"/>
  <c r="BW55" i="1"/>
  <c r="BW209" i="1"/>
  <c r="BW185" i="1"/>
  <c r="BW62" i="1"/>
  <c r="BW84" i="1"/>
  <c r="BW81" i="1"/>
  <c r="BW136" i="1"/>
  <c r="BW134" i="1"/>
  <c r="BW157" i="1"/>
  <c r="BW152" i="1"/>
  <c r="BW124" i="1"/>
  <c r="BW169" i="1"/>
  <c r="BW122" i="1"/>
  <c r="BW106" i="1"/>
  <c r="BW165" i="1"/>
  <c r="BW147" i="1"/>
  <c r="BW144" i="1"/>
  <c r="BW104" i="1"/>
  <c r="BW139" i="1"/>
  <c r="BW151" i="1"/>
  <c r="BW140" i="1"/>
  <c r="BW146" i="1"/>
  <c r="BW138" i="1"/>
  <c r="BW99" i="1"/>
  <c r="BW119" i="1"/>
  <c r="BW112" i="1"/>
  <c r="BW166" i="1"/>
  <c r="BW109" i="1"/>
  <c r="BW167" i="1"/>
  <c r="BW111" i="1"/>
  <c r="BW94" i="1"/>
  <c r="BW143" i="1"/>
  <c r="BW168" i="1"/>
  <c r="BW137" i="1"/>
  <c r="BW153" i="1"/>
  <c r="BW155" i="1"/>
  <c r="BW114" i="1"/>
  <c r="BW116" i="1"/>
  <c r="BW145" i="1"/>
  <c r="BW125" i="1"/>
  <c r="BW108" i="1"/>
  <c r="BW156" i="1"/>
  <c r="BW101" i="1"/>
  <c r="BW98" i="1"/>
  <c r="BW148" i="1"/>
  <c r="BW162" i="1"/>
  <c r="BW135" i="1"/>
  <c r="BW127" i="1"/>
  <c r="BW107" i="1"/>
  <c r="BW158" i="1"/>
  <c r="BW90" i="1"/>
  <c r="BW123" i="1"/>
  <c r="BU174" i="1"/>
  <c r="BU60" i="1"/>
  <c r="BU173" i="1"/>
  <c r="BU59" i="1"/>
  <c r="BT191" i="1"/>
  <c r="BT193" i="1"/>
  <c r="BT213" i="1"/>
  <c r="BT215" i="1"/>
  <c r="BT217" i="1"/>
  <c r="BT22" i="1"/>
  <c r="BT26" i="1"/>
  <c r="BT203" i="1"/>
  <c r="BT32" i="1"/>
  <c r="BT44" i="1"/>
  <c r="BT211" i="1"/>
  <c r="BT16" i="1"/>
  <c r="BX197" i="1"/>
  <c r="BX201" i="1"/>
  <c r="BX183" i="1"/>
  <c r="BX24" i="1"/>
  <c r="BX181" i="1"/>
  <c r="BX54" i="1"/>
  <c r="BX205" i="1"/>
  <c r="BX28" i="1"/>
  <c r="BX214" i="1"/>
  <c r="BX34" i="1"/>
  <c r="BX55" i="1"/>
  <c r="BX198" i="1"/>
  <c r="BX68" i="1"/>
  <c r="BX18" i="1"/>
  <c r="BX196" i="1"/>
  <c r="BX30" i="1"/>
  <c r="BX81" i="1"/>
  <c r="BX78" i="1"/>
  <c r="BX210" i="1"/>
  <c r="BX33" i="1"/>
  <c r="BX195" i="1"/>
  <c r="BX199" i="1"/>
  <c r="BW57" i="1"/>
  <c r="BW96" i="1"/>
  <c r="BW100" i="1"/>
  <c r="BW113" i="1"/>
  <c r="BW95" i="1"/>
  <c r="BX109" i="1"/>
  <c r="BX31" i="1"/>
  <c r="BX52" i="1"/>
  <c r="BX208" i="1"/>
  <c r="BX19" i="1"/>
  <c r="BX66" i="1"/>
  <c r="BX202" i="1"/>
  <c r="BX80" i="1"/>
  <c r="BX74" i="1"/>
  <c r="BX29" i="1"/>
  <c r="BX45" i="1"/>
  <c r="BX36" i="1"/>
  <c r="BX41" i="1"/>
  <c r="BX65" i="1"/>
  <c r="BX43" i="1"/>
  <c r="BX209" i="1"/>
  <c r="BX25" i="1"/>
  <c r="BX14" i="1"/>
  <c r="BX189" i="1"/>
  <c r="BX20" i="1"/>
  <c r="BX83" i="1"/>
  <c r="BX47" i="1"/>
  <c r="BX71" i="1"/>
  <c r="BW160" i="1"/>
  <c r="BW142" i="1"/>
  <c r="BW93" i="1"/>
  <c r="BW103" i="1"/>
  <c r="BW141" i="1"/>
  <c r="BX82" i="1"/>
  <c r="BX194" i="1"/>
  <c r="BX64" i="1"/>
  <c r="BX69" i="1"/>
  <c r="BX200" i="1"/>
  <c r="BX204" i="1"/>
  <c r="BX42" i="1"/>
  <c r="BX182" i="1"/>
  <c r="BX207" i="1"/>
  <c r="BX184" i="1"/>
  <c r="BX187" i="1"/>
  <c r="BX188" i="1"/>
  <c r="BX206" i="1"/>
  <c r="BX86" i="1"/>
  <c r="BX73" i="1"/>
  <c r="BX186" i="1"/>
  <c r="BX38" i="1"/>
  <c r="BX63" i="1"/>
  <c r="BX190" i="1"/>
  <c r="BX76" i="1"/>
  <c r="BX40" i="1"/>
  <c r="BX180" i="1"/>
  <c r="BW129" i="1"/>
  <c r="BW131" i="1"/>
  <c r="BW154" i="1"/>
  <c r="BW105" i="1"/>
  <c r="BW118" i="1"/>
  <c r="BW150" i="1"/>
  <c r="BX70" i="1"/>
  <c r="BX46" i="1"/>
  <c r="BX72" i="1"/>
  <c r="BX48" i="1"/>
  <c r="BX53" i="1"/>
  <c r="BX37" i="1"/>
  <c r="BX192" i="1"/>
  <c r="BX212" i="1"/>
  <c r="BX75" i="1"/>
  <c r="BX84" i="1"/>
  <c r="BX185" i="1"/>
  <c r="BX49" i="1"/>
  <c r="BX50" i="1"/>
  <c r="BX85" i="1"/>
  <c r="BX39" i="1"/>
  <c r="BX62" i="1"/>
  <c r="BX51" i="1"/>
  <c r="BX17" i="1"/>
  <c r="BX27" i="1"/>
  <c r="BX21" i="1"/>
  <c r="BX35" i="1"/>
  <c r="BX79" i="1"/>
  <c r="BW121" i="1"/>
  <c r="BW102" i="1"/>
  <c r="BW133" i="1"/>
  <c r="BW115" i="1"/>
  <c r="BX157" i="1"/>
  <c r="BX131" i="1"/>
  <c r="BX122" i="1"/>
  <c r="BX97" i="1"/>
  <c r="BX166" i="1"/>
  <c r="BX150" i="1"/>
  <c r="BX126" i="1"/>
  <c r="BX93" i="1"/>
  <c r="BX133" i="1"/>
  <c r="BX145" i="1"/>
  <c r="BX117" i="1"/>
  <c r="BX146" i="1"/>
  <c r="BX98" i="1"/>
  <c r="BX124" i="1"/>
  <c r="BX169" i="1"/>
  <c r="BX111" i="1"/>
  <c r="BX151" i="1"/>
  <c r="BX152" i="1"/>
  <c r="BX144" i="1"/>
  <c r="BX94" i="1"/>
  <c r="BX143" i="1"/>
  <c r="BX106" i="1"/>
  <c r="BX112" i="1"/>
  <c r="BX170" i="1"/>
  <c r="BX115" i="1"/>
  <c r="BX156" i="1"/>
  <c r="BX167" i="1"/>
  <c r="BX142" i="1"/>
  <c r="BX119" i="1"/>
  <c r="BX102" i="1"/>
  <c r="BX103" i="1"/>
  <c r="BX140" i="1"/>
  <c r="BX155" i="1"/>
  <c r="BX148" i="1"/>
  <c r="BX118" i="1"/>
  <c r="BX116" i="1"/>
  <c r="BX136" i="1"/>
  <c r="BX121" i="1"/>
  <c r="BX113" i="1"/>
  <c r="BX108" i="1"/>
  <c r="BX168" i="1"/>
  <c r="BX105" i="1"/>
  <c r="BX110" i="1"/>
  <c r="BX153" i="1"/>
  <c r="BX154" i="1"/>
  <c r="BX114" i="1"/>
  <c r="BX138" i="1"/>
  <c r="BX137" i="1"/>
  <c r="BX100" i="1"/>
  <c r="BX104" i="1"/>
  <c r="BX101" i="1"/>
  <c r="BX139" i="1"/>
  <c r="BX147" i="1"/>
  <c r="BX165" i="1"/>
  <c r="BX141" i="1"/>
  <c r="BX125" i="1"/>
  <c r="BX96" i="1"/>
  <c r="BX95" i="1"/>
  <c r="BX134" i="1"/>
  <c r="BX99" i="1"/>
  <c r="BX127" i="1"/>
  <c r="BW132" i="1"/>
  <c r="BW120" i="1"/>
  <c r="BW149" i="1"/>
  <c r="BX132" i="1"/>
  <c r="BX158" i="1"/>
  <c r="BX149" i="1"/>
  <c r="BX162" i="1"/>
  <c r="BX135" i="1"/>
  <c r="BY96" i="1"/>
  <c r="BW163" i="1"/>
  <c r="BX120" i="1"/>
  <c r="BX123" i="1"/>
  <c r="BX107" i="1"/>
  <c r="BX163" i="1"/>
  <c r="BX90" i="1"/>
  <c r="BV173" i="1"/>
  <c r="BV60" i="1"/>
  <c r="BV59" i="1"/>
  <c r="BV174" i="1"/>
  <c r="BU191" i="1"/>
  <c r="BU193" i="1"/>
  <c r="BU213" i="1"/>
  <c r="BU215" i="1"/>
  <c r="BU217" i="1"/>
  <c r="BU16" i="1"/>
  <c r="BU44" i="1"/>
  <c r="BU32" i="1"/>
  <c r="BU203" i="1"/>
  <c r="BU211" i="1"/>
  <c r="BU26" i="1"/>
  <c r="BU22" i="1"/>
  <c r="BX129" i="1"/>
  <c r="BY79" i="1"/>
  <c r="BY39" i="1"/>
  <c r="BY63" i="1"/>
  <c r="BY196" i="1"/>
  <c r="BY205" i="1"/>
  <c r="BY194" i="1"/>
  <c r="BY40" i="1"/>
  <c r="BY204" i="1"/>
  <c r="BY74" i="1"/>
  <c r="BY66" i="1"/>
  <c r="BY47" i="1"/>
  <c r="BY70" i="1"/>
  <c r="BY183" i="1"/>
  <c r="BY185" i="1"/>
  <c r="BY214" i="1"/>
  <c r="BY197" i="1"/>
  <c r="BY31" i="1"/>
  <c r="BY25" i="1"/>
  <c r="BY180" i="1"/>
  <c r="BY190" i="1"/>
  <c r="BX160" i="1"/>
  <c r="BY73" i="1"/>
  <c r="BY34" i="1"/>
  <c r="BY18" i="1"/>
  <c r="BY29" i="1"/>
  <c r="BY78" i="1"/>
  <c r="BY187" i="1"/>
  <c r="BY189" i="1"/>
  <c r="BY212" i="1"/>
  <c r="BY53" i="1"/>
  <c r="BY202" i="1"/>
  <c r="BY43" i="1"/>
  <c r="BY52" i="1"/>
  <c r="BY82" i="1"/>
  <c r="BY206" i="1"/>
  <c r="BY36" i="1"/>
  <c r="BY83" i="1"/>
  <c r="BY186" i="1"/>
  <c r="BY192" i="1"/>
  <c r="BY50" i="1"/>
  <c r="BY86" i="1"/>
  <c r="BY30" i="1"/>
  <c r="BY84" i="1"/>
  <c r="BY54" i="1"/>
  <c r="BY210" i="1"/>
  <c r="BY38" i="1"/>
  <c r="BY65" i="1"/>
  <c r="BY75" i="1"/>
  <c r="BY80" i="1"/>
  <c r="BY195" i="1"/>
  <c r="BY182" i="1"/>
  <c r="BY27" i="1"/>
  <c r="BY200" i="1"/>
  <c r="BY17" i="1"/>
  <c r="BY55" i="1"/>
  <c r="BY41" i="1"/>
  <c r="BY71" i="1"/>
  <c r="BY81" i="1"/>
  <c r="BY181" i="1"/>
  <c r="BY207" i="1"/>
  <c r="BY209" i="1"/>
  <c r="BY48" i="1"/>
  <c r="BX57" i="1"/>
  <c r="BY208" i="1"/>
  <c r="BY20" i="1"/>
  <c r="BY19" i="1"/>
  <c r="BY37" i="1"/>
  <c r="BY85" i="1"/>
  <c r="BY76" i="1"/>
  <c r="BY184" i="1"/>
  <c r="BY46" i="1"/>
  <c r="BY42" i="1"/>
  <c r="BY69" i="1"/>
  <c r="BY199" i="1"/>
  <c r="BY72" i="1"/>
  <c r="BY35" i="1"/>
  <c r="BY62" i="1"/>
  <c r="BY188" i="1"/>
  <c r="BY24" i="1"/>
  <c r="BY33" i="1"/>
  <c r="BY45" i="1"/>
  <c r="BY49" i="1"/>
  <c r="BY201" i="1"/>
  <c r="BY198" i="1"/>
  <c r="BY14" i="1"/>
  <c r="BY64" i="1"/>
  <c r="BY68" i="1"/>
  <c r="BY21" i="1"/>
  <c r="BY28" i="1"/>
  <c r="BY51" i="1"/>
  <c r="BY138" i="1"/>
  <c r="BY105" i="1"/>
  <c r="BY121" i="1"/>
  <c r="BY118" i="1"/>
  <c r="BY108" i="1"/>
  <c r="BY116" i="1"/>
  <c r="BY167" i="1"/>
  <c r="BY146" i="1"/>
  <c r="BY117" i="1"/>
  <c r="BY101" i="1"/>
  <c r="BY106" i="1"/>
  <c r="BY104" i="1"/>
  <c r="BY119" i="1"/>
  <c r="BY113" i="1"/>
  <c r="BY95" i="1"/>
  <c r="BY157" i="1"/>
  <c r="BY141" i="1"/>
  <c r="BY102" i="1"/>
  <c r="BY154" i="1"/>
  <c r="BY145" i="1"/>
  <c r="BY126" i="1"/>
  <c r="BY151" i="1"/>
  <c r="BY103" i="1"/>
  <c r="BY112" i="1"/>
  <c r="BY155" i="1"/>
  <c r="BY147" i="1"/>
  <c r="BY137" i="1"/>
  <c r="BY148" i="1"/>
  <c r="BY122" i="1"/>
  <c r="BY136" i="1"/>
  <c r="BY115" i="1"/>
  <c r="BY114" i="1"/>
  <c r="BY142" i="1"/>
  <c r="BY93" i="1"/>
  <c r="BY156" i="1"/>
  <c r="BY100" i="1"/>
  <c r="BY143" i="1"/>
  <c r="BY110" i="1"/>
  <c r="BY125" i="1"/>
  <c r="BY168" i="1"/>
  <c r="BY165" i="1"/>
  <c r="BY152" i="1"/>
  <c r="BY140" i="1"/>
  <c r="BY131" i="1"/>
  <c r="BY98" i="1"/>
  <c r="BY166" i="1"/>
  <c r="BY94" i="1"/>
  <c r="BY170" i="1"/>
  <c r="BY99" i="1"/>
  <c r="BY124" i="1"/>
  <c r="BY169" i="1"/>
  <c r="BY139" i="1"/>
  <c r="BY150" i="1"/>
  <c r="BY109" i="1"/>
  <c r="BY111" i="1"/>
  <c r="BY133" i="1"/>
  <c r="BY144" i="1"/>
  <c r="BY97" i="1"/>
  <c r="BY153" i="1"/>
  <c r="BY134" i="1"/>
  <c r="BY163" i="1"/>
  <c r="BY162" i="1"/>
  <c r="BY123" i="1"/>
  <c r="BY107" i="1"/>
  <c r="BY149" i="1"/>
  <c r="BY120" i="1"/>
  <c r="BY158" i="1"/>
  <c r="BY127" i="1"/>
  <c r="BY132" i="1"/>
  <c r="BY135" i="1"/>
  <c r="BZ108" i="1"/>
  <c r="BY90" i="1"/>
  <c r="BV32" i="1"/>
  <c r="BV211" i="1"/>
  <c r="BV26" i="1"/>
  <c r="BV203" i="1"/>
  <c r="BV16" i="1"/>
  <c r="BV22" i="1"/>
  <c r="BV44" i="1"/>
  <c r="BV191" i="1"/>
  <c r="BV193" i="1"/>
  <c r="BV213" i="1"/>
  <c r="BV215" i="1"/>
  <c r="BV217" i="1"/>
  <c r="BW59" i="1"/>
  <c r="BW60" i="1"/>
  <c r="BW174" i="1"/>
  <c r="BW173" i="1"/>
  <c r="BZ189" i="1"/>
  <c r="BZ40" i="1"/>
  <c r="BZ55" i="1"/>
  <c r="BZ48" i="1"/>
  <c r="BZ20" i="1"/>
  <c r="BZ50" i="1"/>
  <c r="BZ49" i="1"/>
  <c r="BZ46" i="1"/>
  <c r="BZ188" i="1"/>
  <c r="BZ75" i="1"/>
  <c r="BZ206" i="1"/>
  <c r="BZ25" i="1"/>
  <c r="BZ52" i="1"/>
  <c r="BZ212" i="1"/>
  <c r="BZ62" i="1"/>
  <c r="BZ78" i="1"/>
  <c r="BZ185" i="1"/>
  <c r="BZ21" i="1"/>
  <c r="BZ86" i="1"/>
  <c r="BZ68" i="1"/>
  <c r="BZ184" i="1"/>
  <c r="BZ207" i="1"/>
  <c r="BZ29" i="1"/>
  <c r="BZ183" i="1"/>
  <c r="BZ45" i="1"/>
  <c r="BZ79" i="1"/>
  <c r="BZ182" i="1"/>
  <c r="BZ34" i="1"/>
  <c r="BZ33" i="1"/>
  <c r="BZ205" i="1"/>
  <c r="BZ192" i="1"/>
  <c r="BZ72" i="1"/>
  <c r="BZ73" i="1"/>
  <c r="BZ19" i="1"/>
  <c r="BZ27" i="1"/>
  <c r="BZ64" i="1"/>
  <c r="BZ196" i="1"/>
  <c r="BZ111" i="1"/>
  <c r="BY129" i="1"/>
  <c r="BZ201" i="1"/>
  <c r="BZ69" i="1"/>
  <c r="BZ53" i="1"/>
  <c r="BZ197" i="1"/>
  <c r="BZ38" i="1"/>
  <c r="BZ80" i="1"/>
  <c r="BZ14" i="1"/>
  <c r="BZ180" i="1"/>
  <c r="BZ208" i="1"/>
  <c r="BZ190" i="1"/>
  <c r="BZ18" i="1"/>
  <c r="BZ36" i="1"/>
  <c r="BZ181" i="1"/>
  <c r="BZ65" i="1"/>
  <c r="BZ31" i="1"/>
  <c r="BZ35" i="1"/>
  <c r="BZ43" i="1"/>
  <c r="BZ83" i="1"/>
  <c r="BZ198" i="1"/>
  <c r="BZ195" i="1"/>
  <c r="BZ24" i="1"/>
  <c r="BZ51" i="1"/>
  <c r="BZ85" i="1"/>
  <c r="BZ17" i="1"/>
  <c r="BZ47" i="1"/>
  <c r="BZ39" i="1"/>
  <c r="BZ37" i="1"/>
  <c r="BY57" i="1"/>
  <c r="BZ204" i="1"/>
  <c r="BZ42" i="1"/>
  <c r="BZ186" i="1"/>
  <c r="BZ70" i="1"/>
  <c r="BZ74" i="1"/>
  <c r="BZ82" i="1"/>
  <c r="BZ187" i="1"/>
  <c r="BZ200" i="1"/>
  <c r="BZ30" i="1"/>
  <c r="BZ209" i="1"/>
  <c r="BZ210" i="1"/>
  <c r="BY160" i="1"/>
  <c r="BZ202" i="1"/>
  <c r="BZ54" i="1"/>
  <c r="BZ28" i="1"/>
  <c r="BZ194" i="1"/>
  <c r="BZ214" i="1"/>
  <c r="BZ66" i="1"/>
  <c r="BZ76" i="1"/>
  <c r="BZ41" i="1"/>
  <c r="BZ63" i="1"/>
  <c r="BZ84" i="1"/>
  <c r="BZ199" i="1"/>
  <c r="BZ81" i="1"/>
  <c r="BZ71" i="1"/>
  <c r="BZ105" i="1"/>
  <c r="BZ168" i="1"/>
  <c r="BZ98" i="1"/>
  <c r="BZ143" i="1"/>
  <c r="BZ166" i="1"/>
  <c r="BZ138" i="1"/>
  <c r="BZ99" i="1"/>
  <c r="BZ113" i="1"/>
  <c r="BZ106" i="1"/>
  <c r="BZ152" i="1"/>
  <c r="BZ102" i="1"/>
  <c r="BZ145" i="1"/>
  <c r="BZ97" i="1"/>
  <c r="CA110" i="1"/>
  <c r="BZ90" i="1"/>
  <c r="BW191" i="1"/>
  <c r="BW193" i="1"/>
  <c r="BW213" i="1"/>
  <c r="BW215" i="1"/>
  <c r="BW217" i="1"/>
  <c r="BW211" i="1"/>
  <c r="BW44" i="1"/>
  <c r="BW32" i="1"/>
  <c r="BW203" i="1"/>
  <c r="BW16" i="1"/>
  <c r="BW22" i="1"/>
  <c r="BW26" i="1"/>
  <c r="BX174" i="1"/>
  <c r="BX173" i="1"/>
  <c r="BX60" i="1"/>
  <c r="BX59" i="1"/>
  <c r="CA65" i="1"/>
  <c r="CA190" i="1"/>
  <c r="CA73" i="1"/>
  <c r="CA188" i="1"/>
  <c r="CA54" i="1"/>
  <c r="CA181" i="1"/>
  <c r="CA180" i="1"/>
  <c r="CA199" i="1"/>
  <c r="CA52" i="1"/>
  <c r="CA68" i="1"/>
  <c r="CA74" i="1"/>
  <c r="CA196" i="1"/>
  <c r="CA75" i="1"/>
  <c r="CA53" i="1"/>
  <c r="CA189" i="1"/>
  <c r="CA40" i="1"/>
  <c r="CA19" i="1"/>
  <c r="CA82" i="1"/>
  <c r="CA186" i="1"/>
  <c r="CA206" i="1"/>
  <c r="CA214" i="1"/>
  <c r="CA83" i="1"/>
  <c r="CA200" i="1"/>
  <c r="BZ144" i="1"/>
  <c r="BZ122" i="1"/>
  <c r="BZ125" i="1"/>
  <c r="BZ93" i="1"/>
  <c r="BZ110" i="1"/>
  <c r="BZ153" i="1"/>
  <c r="BZ126" i="1"/>
  <c r="BZ109" i="1"/>
  <c r="BZ137" i="1"/>
  <c r="BZ100" i="1"/>
  <c r="CA62" i="1"/>
  <c r="CA69" i="1"/>
  <c r="CA183" i="1"/>
  <c r="CA51" i="1"/>
  <c r="CA24" i="1"/>
  <c r="CA49" i="1"/>
  <c r="CA184" i="1"/>
  <c r="CA76" i="1"/>
  <c r="CA79" i="1"/>
  <c r="CA209" i="1"/>
  <c r="BZ136" i="1"/>
  <c r="BZ115" i="1"/>
  <c r="BZ116" i="1"/>
  <c r="BZ134" i="1"/>
  <c r="BZ165" i="1"/>
  <c r="BZ114" i="1"/>
  <c r="BZ119" i="1"/>
  <c r="BZ155" i="1"/>
  <c r="CA21" i="1"/>
  <c r="CA31" i="1"/>
  <c r="CA20" i="1"/>
  <c r="CA45" i="1"/>
  <c r="CA14" i="1"/>
  <c r="CA208" i="1"/>
  <c r="CA34" i="1"/>
  <c r="CA78" i="1"/>
  <c r="CA33" i="1"/>
  <c r="BZ57" i="1"/>
  <c r="BZ112" i="1"/>
  <c r="BZ124" i="1"/>
  <c r="BZ157" i="1"/>
  <c r="BZ169" i="1"/>
  <c r="BZ139" i="1"/>
  <c r="CA55" i="1"/>
  <c r="CA29" i="1"/>
  <c r="CA25" i="1"/>
  <c r="CA185" i="1"/>
  <c r="CA36" i="1"/>
  <c r="CA42" i="1"/>
  <c r="CA210" i="1"/>
  <c r="CA66" i="1"/>
  <c r="CA205" i="1"/>
  <c r="CA197" i="1"/>
  <c r="CA35" i="1"/>
  <c r="CA207" i="1"/>
  <c r="CA182" i="1"/>
  <c r="CA43" i="1"/>
  <c r="CA85" i="1"/>
  <c r="CA46" i="1"/>
  <c r="CA38" i="1"/>
  <c r="CA72" i="1"/>
  <c r="CA48" i="1"/>
  <c r="CA41" i="1"/>
  <c r="CA192" i="1"/>
  <c r="CA28" i="1"/>
  <c r="BZ154" i="1"/>
  <c r="BZ118" i="1"/>
  <c r="BZ170" i="1"/>
  <c r="BZ95" i="1"/>
  <c r="BZ140" i="1"/>
  <c r="BZ121" i="1"/>
  <c r="BZ133" i="1"/>
  <c r="BZ146" i="1"/>
  <c r="BZ142" i="1"/>
  <c r="BZ156" i="1"/>
  <c r="BZ101" i="1"/>
  <c r="BZ148" i="1"/>
  <c r="CA70" i="1"/>
  <c r="CA198" i="1"/>
  <c r="CA27" i="1"/>
  <c r="CA71" i="1"/>
  <c r="CA50" i="1"/>
  <c r="CA80" i="1"/>
  <c r="CA30" i="1"/>
  <c r="CA187" i="1"/>
  <c r="CA18" i="1"/>
  <c r="CA64" i="1"/>
  <c r="CA194" i="1"/>
  <c r="CA81" i="1"/>
  <c r="BZ150" i="1"/>
  <c r="BZ117" i="1"/>
  <c r="BZ96" i="1"/>
  <c r="BZ167" i="1"/>
  <c r="CA195" i="1"/>
  <c r="CA84" i="1"/>
  <c r="CA17" i="1"/>
  <c r="CA63" i="1"/>
  <c r="CA37" i="1"/>
  <c r="CA204" i="1"/>
  <c r="CA39" i="1"/>
  <c r="CA201" i="1"/>
  <c r="CA212" i="1"/>
  <c r="CA47" i="1"/>
  <c r="CA202" i="1"/>
  <c r="CA86" i="1"/>
  <c r="BZ147" i="1"/>
  <c r="BZ151" i="1"/>
  <c r="BZ104" i="1"/>
  <c r="BZ131" i="1"/>
  <c r="BZ94" i="1"/>
  <c r="BZ141" i="1"/>
  <c r="BZ103" i="1"/>
  <c r="CA131" i="1"/>
  <c r="CA111" i="1"/>
  <c r="CA119" i="1"/>
  <c r="CA116" i="1"/>
  <c r="CA139" i="1"/>
  <c r="CA140" i="1"/>
  <c r="CA122" i="1"/>
  <c r="CA166" i="1"/>
  <c r="CA133" i="1"/>
  <c r="CA109" i="1"/>
  <c r="CA125" i="1"/>
  <c r="CA145" i="1"/>
  <c r="CA138" i="1"/>
  <c r="CA102" i="1"/>
  <c r="CA95" i="1"/>
  <c r="CA121" i="1"/>
  <c r="CA146" i="1"/>
  <c r="CA108" i="1"/>
  <c r="CA100" i="1"/>
  <c r="CA170" i="1"/>
  <c r="CA165" i="1"/>
  <c r="CA118" i="1"/>
  <c r="CA150" i="1"/>
  <c r="CA144" i="1"/>
  <c r="CA147" i="1"/>
  <c r="CA153" i="1"/>
  <c r="CA117" i="1"/>
  <c r="CA112" i="1"/>
  <c r="CA168" i="1"/>
  <c r="CA98" i="1"/>
  <c r="BZ149" i="1"/>
  <c r="BZ158" i="1"/>
  <c r="CB147" i="1"/>
  <c r="BZ163" i="1"/>
  <c r="BZ132" i="1"/>
  <c r="BZ120" i="1"/>
  <c r="CA107" i="1"/>
  <c r="BZ162" i="1"/>
  <c r="BZ123" i="1"/>
  <c r="BZ135" i="1"/>
  <c r="BZ107" i="1"/>
  <c r="BZ127" i="1"/>
  <c r="CA90" i="1"/>
  <c r="CA120" i="1"/>
  <c r="BX191" i="1"/>
  <c r="BX193" i="1"/>
  <c r="BX213" i="1"/>
  <c r="BX215" i="1"/>
  <c r="BX217" i="1"/>
  <c r="BX26" i="1"/>
  <c r="BX203" i="1"/>
  <c r="BX32" i="1"/>
  <c r="BX22" i="1"/>
  <c r="BX211" i="1"/>
  <c r="BX44" i="1"/>
  <c r="BX16" i="1"/>
  <c r="BY59" i="1"/>
  <c r="BY173" i="1"/>
  <c r="BY174" i="1"/>
  <c r="BY60" i="1"/>
  <c r="CB197" i="1"/>
  <c r="CB75" i="1"/>
  <c r="CB214" i="1"/>
  <c r="CB27" i="1"/>
  <c r="CB81" i="1"/>
  <c r="CB14" i="1"/>
  <c r="CB28" i="1"/>
  <c r="CB82" i="1"/>
  <c r="CB182" i="1"/>
  <c r="CB51" i="1"/>
  <c r="CB201" i="1"/>
  <c r="CB68" i="1"/>
  <c r="CB30" i="1"/>
  <c r="CB83" i="1"/>
  <c r="CB66" i="1"/>
  <c r="CB205" i="1"/>
  <c r="CB40" i="1"/>
  <c r="CB18" i="1"/>
  <c r="CB79" i="1"/>
  <c r="CB202" i="1"/>
  <c r="CB65" i="1"/>
  <c r="CB62" i="1"/>
  <c r="CB29" i="1"/>
  <c r="CA57" i="1"/>
  <c r="CA113" i="1"/>
  <c r="CA93" i="1"/>
  <c r="CA96" i="1"/>
  <c r="CA155" i="1"/>
  <c r="CA115" i="1"/>
  <c r="CA154" i="1"/>
  <c r="CA169" i="1"/>
  <c r="CA167" i="1"/>
  <c r="CA143" i="1"/>
  <c r="CB70" i="1"/>
  <c r="CB71" i="1"/>
  <c r="CA103" i="1"/>
  <c r="CA151" i="1"/>
  <c r="CA156" i="1"/>
  <c r="CA141" i="1"/>
  <c r="CB17" i="1"/>
  <c r="CB42" i="1"/>
  <c r="CB55" i="1"/>
  <c r="CB25" i="1"/>
  <c r="CB20" i="1"/>
  <c r="CB39" i="1"/>
  <c r="CB43" i="1"/>
  <c r="CB41" i="1"/>
  <c r="CB53" i="1"/>
  <c r="CB50" i="1"/>
  <c r="CB186" i="1"/>
  <c r="BZ129" i="1"/>
  <c r="CA99" i="1"/>
  <c r="CA105" i="1"/>
  <c r="CA137" i="1"/>
  <c r="CB153" i="1"/>
  <c r="CB141" i="1"/>
  <c r="CB47" i="1"/>
  <c r="CB33" i="1"/>
  <c r="CB209" i="1"/>
  <c r="CB190" i="1"/>
  <c r="CB31" i="1"/>
  <c r="CB207" i="1"/>
  <c r="CB86" i="1"/>
  <c r="CB37" i="1"/>
  <c r="CB64" i="1"/>
  <c r="CB194" i="1"/>
  <c r="CB180" i="1"/>
  <c r="CB188" i="1"/>
  <c r="CB184" i="1"/>
  <c r="CB48" i="1"/>
  <c r="CB189" i="1"/>
  <c r="CB185" i="1"/>
  <c r="CB38" i="1"/>
  <c r="CB35" i="1"/>
  <c r="CB183" i="1"/>
  <c r="CB187" i="1"/>
  <c r="CB69" i="1"/>
  <c r="CB200" i="1"/>
  <c r="CA148" i="1"/>
  <c r="CA114" i="1"/>
  <c r="CA142" i="1"/>
  <c r="CA97" i="1"/>
  <c r="CA94" i="1"/>
  <c r="BZ160" i="1"/>
  <c r="CB195" i="1"/>
  <c r="CB84" i="1"/>
  <c r="CB21" i="1"/>
  <c r="CB49" i="1"/>
  <c r="CB74" i="1"/>
  <c r="CB34" i="1"/>
  <c r="CB85" i="1"/>
  <c r="CB72" i="1"/>
  <c r="CB52" i="1"/>
  <c r="CB46" i="1"/>
  <c r="CB54" i="1"/>
  <c r="CB73" i="1"/>
  <c r="CB63" i="1"/>
  <c r="CB80" i="1"/>
  <c r="CB192" i="1"/>
  <c r="CB196" i="1"/>
  <c r="CB78" i="1"/>
  <c r="CB208" i="1"/>
  <c r="CB36" i="1"/>
  <c r="CB199" i="1"/>
  <c r="CA136" i="1"/>
  <c r="CA157" i="1"/>
  <c r="CA104" i="1"/>
  <c r="CB198" i="1"/>
  <c r="CB76" i="1"/>
  <c r="CB210" i="1"/>
  <c r="CB204" i="1"/>
  <c r="CB24" i="1"/>
  <c r="CB45" i="1"/>
  <c r="CB181" i="1"/>
  <c r="CB19" i="1"/>
  <c r="CB212" i="1"/>
  <c r="CB206" i="1"/>
  <c r="CA101" i="1"/>
  <c r="CA126" i="1"/>
  <c r="CA134" i="1"/>
  <c r="CA124" i="1"/>
  <c r="CA106" i="1"/>
  <c r="CA152" i="1"/>
  <c r="CB170" i="1"/>
  <c r="CB134" i="1"/>
  <c r="CB165" i="1"/>
  <c r="CB102" i="1"/>
  <c r="CB136" i="1"/>
  <c r="CB109" i="1"/>
  <c r="CB138" i="1"/>
  <c r="CB111" i="1"/>
  <c r="CB126" i="1"/>
  <c r="CA123" i="1"/>
  <c r="CA132" i="1"/>
  <c r="CA127" i="1"/>
  <c r="CA162" i="1"/>
  <c r="CA135" i="1"/>
  <c r="CA163" i="1"/>
  <c r="CA158" i="1"/>
  <c r="CA149" i="1"/>
  <c r="CC131" i="1"/>
  <c r="CB90" i="1"/>
  <c r="CB127" i="1"/>
  <c r="BY16" i="1"/>
  <c r="BY44" i="1"/>
  <c r="BY22" i="1"/>
  <c r="BY203" i="1"/>
  <c r="BY211" i="1"/>
  <c r="BY32" i="1"/>
  <c r="BY26" i="1"/>
  <c r="BY191" i="1"/>
  <c r="BY193" i="1"/>
  <c r="BY213" i="1"/>
  <c r="BY215" i="1"/>
  <c r="BY217" i="1"/>
  <c r="BZ173" i="1"/>
  <c r="BZ174" i="1"/>
  <c r="BZ59" i="1"/>
  <c r="BZ60" i="1"/>
  <c r="CB57" i="1"/>
  <c r="CC201" i="1"/>
  <c r="CC65" i="1"/>
  <c r="CC46" i="1"/>
  <c r="CC78" i="1"/>
  <c r="CC204" i="1"/>
  <c r="CC48" i="1"/>
  <c r="CC37" i="1"/>
  <c r="CC75" i="1"/>
  <c r="CC17" i="1"/>
  <c r="CC82" i="1"/>
  <c r="CC41" i="1"/>
  <c r="CC70" i="1"/>
  <c r="CC35" i="1"/>
  <c r="CC66" i="1"/>
  <c r="CC85" i="1"/>
  <c r="CC24" i="1"/>
  <c r="CC18" i="1"/>
  <c r="CC42" i="1"/>
  <c r="CC43" i="1"/>
  <c r="CC47" i="1"/>
  <c r="CC185" i="1"/>
  <c r="CC69" i="1"/>
  <c r="CB137" i="1"/>
  <c r="CB166" i="1"/>
  <c r="CB119" i="1"/>
  <c r="CB115" i="1"/>
  <c r="CB104" i="1"/>
  <c r="CB151" i="1"/>
  <c r="CB150" i="1"/>
  <c r="CB125" i="1"/>
  <c r="CB148" i="1"/>
  <c r="CB156" i="1"/>
  <c r="CB154" i="1"/>
  <c r="CB116" i="1"/>
  <c r="CC62" i="1"/>
  <c r="CC50" i="1"/>
  <c r="CC206" i="1"/>
  <c r="CC29" i="1"/>
  <c r="CC30" i="1"/>
  <c r="CC25" i="1"/>
  <c r="CC209" i="1"/>
  <c r="CC72" i="1"/>
  <c r="CC188" i="1"/>
  <c r="CC14" i="1"/>
  <c r="CB94" i="1"/>
  <c r="CB129" i="1"/>
  <c r="CB108" i="1"/>
  <c r="CB100" i="1"/>
  <c r="CB140" i="1"/>
  <c r="CC208" i="1"/>
  <c r="CC52" i="1"/>
  <c r="CC38" i="1"/>
  <c r="CC197" i="1"/>
  <c r="CC21" i="1"/>
  <c r="CC55" i="1"/>
  <c r="CC202" i="1"/>
  <c r="CC207" i="1"/>
  <c r="CC64" i="1"/>
  <c r="CC76" i="1"/>
  <c r="CB139" i="1"/>
  <c r="CB122" i="1"/>
  <c r="CB118" i="1"/>
  <c r="CB157" i="1"/>
  <c r="CC145" i="1"/>
  <c r="CA129" i="1"/>
  <c r="CA160" i="1"/>
  <c r="CC86" i="1"/>
  <c r="CC195" i="1"/>
  <c r="CC182" i="1"/>
  <c r="CC200" i="1"/>
  <c r="CC19" i="1"/>
  <c r="CC194" i="1"/>
  <c r="CC51" i="1"/>
  <c r="CC189" i="1"/>
  <c r="CC49" i="1"/>
  <c r="CC79" i="1"/>
  <c r="CC84" i="1"/>
  <c r="CC73" i="1"/>
  <c r="CC198" i="1"/>
  <c r="CC28" i="1"/>
  <c r="CC34" i="1"/>
  <c r="CC68" i="1"/>
  <c r="CC186" i="1"/>
  <c r="CC53" i="1"/>
  <c r="CC71" i="1"/>
  <c r="CC63" i="1"/>
  <c r="CC40" i="1"/>
  <c r="CB103" i="1"/>
  <c r="CB96" i="1"/>
  <c r="CB95" i="1"/>
  <c r="CB146" i="1"/>
  <c r="CB155" i="1"/>
  <c r="CB117" i="1"/>
  <c r="CB93" i="1"/>
  <c r="CB112" i="1"/>
  <c r="CB169" i="1"/>
  <c r="CB167" i="1"/>
  <c r="CB142" i="1"/>
  <c r="CB101" i="1"/>
  <c r="CB113" i="1"/>
  <c r="CC54" i="1"/>
  <c r="CC183" i="1"/>
  <c r="CC31" i="1"/>
  <c r="CC181" i="1"/>
  <c r="CC199" i="1"/>
  <c r="CC196" i="1"/>
  <c r="CC210" i="1"/>
  <c r="CC212" i="1"/>
  <c r="CC83" i="1"/>
  <c r="CC214" i="1"/>
  <c r="CC33" i="1"/>
  <c r="CC74" i="1"/>
  <c r="CB99" i="1"/>
  <c r="CB168" i="1"/>
  <c r="CB114" i="1"/>
  <c r="CB143" i="1"/>
  <c r="CB121" i="1"/>
  <c r="CB106" i="1"/>
  <c r="CB98" i="1"/>
  <c r="CB131" i="1"/>
  <c r="CC187" i="1"/>
  <c r="CC36" i="1"/>
  <c r="CC81" i="1"/>
  <c r="CC20" i="1"/>
  <c r="CC27" i="1"/>
  <c r="CC80" i="1"/>
  <c r="CC45" i="1"/>
  <c r="CC184" i="1"/>
  <c r="CC180" i="1"/>
  <c r="CC39" i="1"/>
  <c r="CC192" i="1"/>
  <c r="CC190" i="1"/>
  <c r="CC205" i="1"/>
  <c r="CB144" i="1"/>
  <c r="CB97" i="1"/>
  <c r="CB145" i="1"/>
  <c r="CB133" i="1"/>
  <c r="CB152" i="1"/>
  <c r="CB110" i="1"/>
  <c r="CB124" i="1"/>
  <c r="CB105" i="1"/>
  <c r="CC101" i="1"/>
  <c r="CC144" i="1"/>
  <c r="CC170" i="1"/>
  <c r="CC117" i="1"/>
  <c r="CC141" i="1"/>
  <c r="CC110" i="1"/>
  <c r="CC98" i="1"/>
  <c r="CC169" i="1"/>
  <c r="CC95" i="1"/>
  <c r="CC115" i="1"/>
  <c r="CC152" i="1"/>
  <c r="CC154" i="1"/>
  <c r="CC124" i="1"/>
  <c r="CC96" i="1"/>
  <c r="CC143" i="1"/>
  <c r="CC133" i="1"/>
  <c r="CC109" i="1"/>
  <c r="CC106" i="1"/>
  <c r="CC116" i="1"/>
  <c r="CC93" i="1"/>
  <c r="CC156" i="1"/>
  <c r="CC166" i="1"/>
  <c r="CC94" i="1"/>
  <c r="CC103" i="1"/>
  <c r="CC122" i="1"/>
  <c r="CC165" i="1"/>
  <c r="CC150" i="1"/>
  <c r="CC168" i="1"/>
  <c r="CC102" i="1"/>
  <c r="CC157" i="1"/>
  <c r="CC105" i="1"/>
  <c r="CC136" i="1"/>
  <c r="CC108" i="1"/>
  <c r="CC146" i="1"/>
  <c r="CC126" i="1"/>
  <c r="CC121" i="1"/>
  <c r="CC114" i="1"/>
  <c r="CC134" i="1"/>
  <c r="CC125" i="1"/>
  <c r="CC118" i="1"/>
  <c r="CC111" i="1"/>
  <c r="CC104" i="1"/>
  <c r="CC100" i="1"/>
  <c r="CC155" i="1"/>
  <c r="CC99" i="1"/>
  <c r="CC142" i="1"/>
  <c r="CC119" i="1"/>
  <c r="CC153" i="1"/>
  <c r="CC148" i="1"/>
  <c r="CC97" i="1"/>
  <c r="CC167" i="1"/>
  <c r="CC140" i="1"/>
  <c r="CC138" i="1"/>
  <c r="CC137" i="1"/>
  <c r="CC151" i="1"/>
  <c r="CC139" i="1"/>
  <c r="CC147" i="1"/>
  <c r="CC112" i="1"/>
  <c r="CC113" i="1"/>
  <c r="CC123" i="1"/>
  <c r="CC162" i="1"/>
  <c r="CC163" i="1"/>
  <c r="CB123" i="1"/>
  <c r="CB132" i="1"/>
  <c r="CC135" i="1"/>
  <c r="CB120" i="1"/>
  <c r="CC107" i="1"/>
  <c r="CC158" i="1"/>
  <c r="CC132" i="1"/>
  <c r="CC120" i="1"/>
  <c r="CB163" i="1"/>
  <c r="CB162" i="1"/>
  <c r="CC127" i="1"/>
  <c r="CC149" i="1"/>
  <c r="CB107" i="1"/>
  <c r="CD95" i="1"/>
  <c r="CB158" i="1"/>
  <c r="CB149" i="1"/>
  <c r="CB135" i="1"/>
  <c r="CC90" i="1"/>
  <c r="BZ22" i="1"/>
  <c r="BZ16" i="1"/>
  <c r="BZ191" i="1"/>
  <c r="BZ193" i="1"/>
  <c r="BZ213" i="1"/>
  <c r="BZ215" i="1"/>
  <c r="BZ217" i="1"/>
  <c r="BZ32" i="1"/>
  <c r="BZ44" i="1"/>
  <c r="BZ26" i="1"/>
  <c r="BZ211" i="1"/>
  <c r="BZ203" i="1"/>
  <c r="CA60" i="1"/>
  <c r="CA173" i="1"/>
  <c r="CA59" i="1"/>
  <c r="CA174" i="1"/>
  <c r="CC160" i="1"/>
  <c r="CD69" i="1"/>
  <c r="CD66" i="1"/>
  <c r="CD212" i="1"/>
  <c r="CD64" i="1"/>
  <c r="CD84" i="1"/>
  <c r="CD70" i="1"/>
  <c r="CD192" i="1"/>
  <c r="CD209" i="1"/>
  <c r="CD39" i="1"/>
  <c r="CD62" i="1"/>
  <c r="CD74" i="1"/>
  <c r="CD190" i="1"/>
  <c r="CD50" i="1"/>
  <c r="CD116" i="1"/>
  <c r="CD183" i="1"/>
  <c r="CD54" i="1"/>
  <c r="CD200" i="1"/>
  <c r="CD202" i="1"/>
  <c r="CD186" i="1"/>
  <c r="CD25" i="1"/>
  <c r="CD27" i="1"/>
  <c r="CD19" i="1"/>
  <c r="CD46" i="1"/>
  <c r="CD35" i="1"/>
  <c r="CD81" i="1"/>
  <c r="CD210" i="1"/>
  <c r="CD201" i="1"/>
  <c r="CD20" i="1"/>
  <c r="CD82" i="1"/>
  <c r="CD76" i="1"/>
  <c r="CD197" i="1"/>
  <c r="CD206" i="1"/>
  <c r="CD52" i="1"/>
  <c r="CD214" i="1"/>
  <c r="CD188" i="1"/>
  <c r="CD68" i="1"/>
  <c r="CD18" i="1"/>
  <c r="CD83" i="1"/>
  <c r="CD180" i="1"/>
  <c r="CD204" i="1"/>
  <c r="CD198" i="1"/>
  <c r="CD33" i="1"/>
  <c r="CD63" i="1"/>
  <c r="CD21" i="1"/>
  <c r="CD55" i="1"/>
  <c r="CD29" i="1"/>
  <c r="CD79" i="1"/>
  <c r="CD195" i="1"/>
  <c r="CD85" i="1"/>
  <c r="CD184" i="1"/>
  <c r="CD185" i="1"/>
  <c r="CD73" i="1"/>
  <c r="CD194" i="1"/>
  <c r="CD43" i="1"/>
  <c r="CD182" i="1"/>
  <c r="CD14" i="1"/>
  <c r="CD31" i="1"/>
  <c r="CB160" i="1"/>
  <c r="CD65" i="1"/>
  <c r="CD38" i="1"/>
  <c r="CD72" i="1"/>
  <c r="CD28" i="1"/>
  <c r="CD51" i="1"/>
  <c r="CD48" i="1"/>
  <c r="CD49" i="1"/>
  <c r="CD71" i="1"/>
  <c r="CC57" i="1"/>
  <c r="CD199" i="1"/>
  <c r="CD75" i="1"/>
  <c r="CD181" i="1"/>
  <c r="CD53" i="1"/>
  <c r="CD17" i="1"/>
  <c r="CD37" i="1"/>
  <c r="CD30" i="1"/>
  <c r="CD196" i="1"/>
  <c r="CD205" i="1"/>
  <c r="CD189" i="1"/>
  <c r="CD86" i="1"/>
  <c r="CC129" i="1"/>
  <c r="CD41" i="1"/>
  <c r="CD47" i="1"/>
  <c r="CD34" i="1"/>
  <c r="CD36" i="1"/>
  <c r="CD187" i="1"/>
  <c r="CD78" i="1"/>
  <c r="CD40" i="1"/>
  <c r="CD207" i="1"/>
  <c r="CD80" i="1"/>
  <c r="CD45" i="1"/>
  <c r="CD24" i="1"/>
  <c r="CD208" i="1"/>
  <c r="CD42" i="1"/>
  <c r="CD145" i="1"/>
  <c r="CD124" i="1"/>
  <c r="CD93" i="1"/>
  <c r="CD131" i="1"/>
  <c r="CD94" i="1"/>
  <c r="CD147" i="1"/>
  <c r="CD119" i="1"/>
  <c r="CD105" i="1"/>
  <c r="CD153" i="1"/>
  <c r="CD167" i="1"/>
  <c r="CD138" i="1"/>
  <c r="CD137" i="1"/>
  <c r="CD142" i="1"/>
  <c r="CD139" i="1"/>
  <c r="CD152" i="1"/>
  <c r="CD136" i="1"/>
  <c r="CD99" i="1"/>
  <c r="CD97" i="1"/>
  <c r="CD168" i="1"/>
  <c r="CD155" i="1"/>
  <c r="CD166" i="1"/>
  <c r="CD125" i="1"/>
  <c r="CD126" i="1"/>
  <c r="CD104" i="1"/>
  <c r="CD110" i="1"/>
  <c r="CD165" i="1"/>
  <c r="CD169" i="1"/>
  <c r="CD108" i="1"/>
  <c r="CD133" i="1"/>
  <c r="CD109" i="1"/>
  <c r="CD143" i="1"/>
  <c r="CD118" i="1"/>
  <c r="CD151" i="1"/>
  <c r="CD106" i="1"/>
  <c r="CD113" i="1"/>
  <c r="CD170" i="1"/>
  <c r="CD114" i="1"/>
  <c r="CD117" i="1"/>
  <c r="CD100" i="1"/>
  <c r="CD101" i="1"/>
  <c r="CD112" i="1"/>
  <c r="CD98" i="1"/>
  <c r="CD103" i="1"/>
  <c r="CD96" i="1"/>
  <c r="CD107" i="1"/>
  <c r="CE155" i="1"/>
  <c r="CD123" i="1"/>
  <c r="CD90" i="1"/>
  <c r="CA16" i="1"/>
  <c r="CA32" i="1"/>
  <c r="CA44" i="1"/>
  <c r="CA203" i="1"/>
  <c r="CA211" i="1"/>
  <c r="CA22" i="1"/>
  <c r="CA26" i="1"/>
  <c r="CA191" i="1"/>
  <c r="CA193" i="1"/>
  <c r="CA213" i="1"/>
  <c r="CA215" i="1"/>
  <c r="CA217" i="1"/>
  <c r="CB60" i="1"/>
  <c r="CB174" i="1"/>
  <c r="CB173" i="1"/>
  <c r="CB59" i="1"/>
  <c r="CE184" i="1"/>
  <c r="CE70" i="1"/>
  <c r="CE197" i="1"/>
  <c r="CE73" i="1"/>
  <c r="CE29" i="1"/>
  <c r="CE34" i="1"/>
  <c r="CE51" i="1"/>
  <c r="CE50" i="1"/>
  <c r="CE210" i="1"/>
  <c r="CE28" i="1"/>
  <c r="CE36" i="1"/>
  <c r="CE199" i="1"/>
  <c r="CE43" i="1"/>
  <c r="CE74" i="1"/>
  <c r="CE84" i="1"/>
  <c r="CE68" i="1"/>
  <c r="CE192" i="1"/>
  <c r="CE198" i="1"/>
  <c r="CE63" i="1"/>
  <c r="CE209" i="1"/>
  <c r="CD146" i="1"/>
  <c r="CD141" i="1"/>
  <c r="CD148" i="1"/>
  <c r="CD134" i="1"/>
  <c r="CE97" i="1"/>
  <c r="CE71" i="1"/>
  <c r="CE182" i="1"/>
  <c r="CE190" i="1"/>
  <c r="CE54" i="1"/>
  <c r="CE30" i="1"/>
  <c r="CE212" i="1"/>
  <c r="CE207" i="1"/>
  <c r="CE25" i="1"/>
  <c r="CE17" i="1"/>
  <c r="CD102" i="1"/>
  <c r="CD115" i="1"/>
  <c r="CE81" i="1"/>
  <c r="CE181" i="1"/>
  <c r="CE19" i="1"/>
  <c r="CE80" i="1"/>
  <c r="CE35" i="1"/>
  <c r="CE187" i="1"/>
  <c r="CE55" i="1"/>
  <c r="CE66" i="1"/>
  <c r="CE21" i="1"/>
  <c r="CE194" i="1"/>
  <c r="CE53" i="1"/>
  <c r="CE85" i="1"/>
  <c r="CE180" i="1"/>
  <c r="CE206" i="1"/>
  <c r="CE37" i="1"/>
  <c r="CE82" i="1"/>
  <c r="CE41" i="1"/>
  <c r="CE201" i="1"/>
  <c r="CE45" i="1"/>
  <c r="CE49" i="1"/>
  <c r="CE196" i="1"/>
  <c r="CE183" i="1"/>
  <c r="CD57" i="1"/>
  <c r="CD157" i="1"/>
  <c r="CD140" i="1"/>
  <c r="CD156" i="1"/>
  <c r="CD154" i="1"/>
  <c r="CE214" i="1"/>
  <c r="CE186" i="1"/>
  <c r="CE86" i="1"/>
  <c r="CE189" i="1"/>
  <c r="CE188" i="1"/>
  <c r="CE65" i="1"/>
  <c r="CE20" i="1"/>
  <c r="CE195" i="1"/>
  <c r="CE27" i="1"/>
  <c r="CE79" i="1"/>
  <c r="CE76" i="1"/>
  <c r="CE208" i="1"/>
  <c r="CE46" i="1"/>
  <c r="CE33" i="1"/>
  <c r="CE40" i="1"/>
  <c r="CE48" i="1"/>
  <c r="CE31" i="1"/>
  <c r="CE24" i="1"/>
  <c r="CE69" i="1"/>
  <c r="CE205" i="1"/>
  <c r="CE14" i="1"/>
  <c r="CE47" i="1"/>
  <c r="CE204" i="1"/>
  <c r="CD121" i="1"/>
  <c r="CD111" i="1"/>
  <c r="CD144" i="1"/>
  <c r="CD150" i="1"/>
  <c r="CE64" i="1"/>
  <c r="CE75" i="1"/>
  <c r="CE42" i="1"/>
  <c r="CE200" i="1"/>
  <c r="CE185" i="1"/>
  <c r="CE78" i="1"/>
  <c r="CE38" i="1"/>
  <c r="CE83" i="1"/>
  <c r="CE72" i="1"/>
  <c r="CE202" i="1"/>
  <c r="CE62" i="1"/>
  <c r="CE18" i="1"/>
  <c r="CE52" i="1"/>
  <c r="CE39" i="1"/>
  <c r="CD122" i="1"/>
  <c r="CE122" i="1"/>
  <c r="CE145" i="1"/>
  <c r="CE143" i="1"/>
  <c r="CE170" i="1"/>
  <c r="CE118" i="1"/>
  <c r="CE99" i="1"/>
  <c r="CE150" i="1"/>
  <c r="CE166" i="1"/>
  <c r="CE169" i="1"/>
  <c r="CE125" i="1"/>
  <c r="CE134" i="1"/>
  <c r="CE119" i="1"/>
  <c r="CE165" i="1"/>
  <c r="CE109" i="1"/>
  <c r="CE112" i="1"/>
  <c r="CE138" i="1"/>
  <c r="CE105" i="1"/>
  <c r="CE98" i="1"/>
  <c r="CE144" i="1"/>
  <c r="CE126" i="1"/>
  <c r="CE131" i="1"/>
  <c r="CE110" i="1"/>
  <c r="CE94" i="1"/>
  <c r="CE93" i="1"/>
  <c r="CE157" i="1"/>
  <c r="CE114" i="1"/>
  <c r="CE108" i="1"/>
  <c r="CE96" i="1"/>
  <c r="CE139" i="1"/>
  <c r="CE136" i="1"/>
  <c r="CE106" i="1"/>
  <c r="CE102" i="1"/>
  <c r="CE124" i="1"/>
  <c r="CE133" i="1"/>
  <c r="CE95" i="1"/>
  <c r="CE140" i="1"/>
  <c r="CE146" i="1"/>
  <c r="CE156" i="1"/>
  <c r="CE153" i="1"/>
  <c r="CE121" i="1"/>
  <c r="CE168" i="1"/>
  <c r="CE152" i="1"/>
  <c r="CE142" i="1"/>
  <c r="CE167" i="1"/>
  <c r="CE100" i="1"/>
  <c r="CE107" i="1"/>
  <c r="CE120" i="1"/>
  <c r="CD149" i="1"/>
  <c r="CD127" i="1"/>
  <c r="CD120" i="1"/>
  <c r="CD135" i="1"/>
  <c r="CD162" i="1"/>
  <c r="CD163" i="1"/>
  <c r="CE163" i="1"/>
  <c r="CF137" i="1"/>
  <c r="CE123" i="1"/>
  <c r="CE132" i="1"/>
  <c r="CD132" i="1"/>
  <c r="CD158" i="1"/>
  <c r="CE162" i="1"/>
  <c r="CE90" i="1"/>
  <c r="CC60" i="1"/>
  <c r="CC173" i="1"/>
  <c r="CC174" i="1"/>
  <c r="CC59" i="1"/>
  <c r="CB191" i="1"/>
  <c r="CB193" i="1"/>
  <c r="CB213" i="1"/>
  <c r="CB215" i="1"/>
  <c r="CB217" i="1"/>
  <c r="CB22" i="1"/>
  <c r="CB16" i="1"/>
  <c r="CB32" i="1"/>
  <c r="CB203" i="1"/>
  <c r="CB211" i="1"/>
  <c r="CB26" i="1"/>
  <c r="CB44" i="1"/>
  <c r="CE57" i="1"/>
  <c r="CF183" i="1"/>
  <c r="CF81" i="1"/>
  <c r="CF30" i="1"/>
  <c r="CF36" i="1"/>
  <c r="CF86" i="1"/>
  <c r="CF38" i="1"/>
  <c r="CF39" i="1"/>
  <c r="CF53" i="1"/>
  <c r="CF27" i="1"/>
  <c r="CF75" i="1"/>
  <c r="CF31" i="1"/>
  <c r="CF180" i="1"/>
  <c r="CF181" i="1"/>
  <c r="CF198" i="1"/>
  <c r="CF19" i="1"/>
  <c r="CF201" i="1"/>
  <c r="CF82" i="1"/>
  <c r="CF209" i="1"/>
  <c r="CF84" i="1"/>
  <c r="CF188" i="1"/>
  <c r="CF187" i="1"/>
  <c r="CF80" i="1"/>
  <c r="CE147" i="1"/>
  <c r="CE101" i="1"/>
  <c r="CF83" i="1"/>
  <c r="CF185" i="1"/>
  <c r="CF190" i="1"/>
  <c r="CF46" i="1"/>
  <c r="CF207" i="1"/>
  <c r="CF205" i="1"/>
  <c r="CF42" i="1"/>
  <c r="CF195" i="1"/>
  <c r="CF199" i="1"/>
  <c r="CF212" i="1"/>
  <c r="CE154" i="1"/>
  <c r="CE141" i="1"/>
  <c r="CF68" i="1"/>
  <c r="CF41" i="1"/>
  <c r="CF206" i="1"/>
  <c r="CF55" i="1"/>
  <c r="CF28" i="1"/>
  <c r="CF208" i="1"/>
  <c r="CF49" i="1"/>
  <c r="CF43" i="1"/>
  <c r="CF197" i="1"/>
  <c r="CF29" i="1"/>
  <c r="CF72" i="1"/>
  <c r="CF64" i="1"/>
  <c r="CF78" i="1"/>
  <c r="CF45" i="1"/>
  <c r="CF74" i="1"/>
  <c r="CF189" i="1"/>
  <c r="CF71" i="1"/>
  <c r="CF196" i="1"/>
  <c r="CF182" i="1"/>
  <c r="CF35" i="1"/>
  <c r="CF33" i="1"/>
  <c r="CF37" i="1"/>
  <c r="CD160" i="1"/>
  <c r="CE117" i="1"/>
  <c r="CE113" i="1"/>
  <c r="CE103" i="1"/>
  <c r="CF62" i="1"/>
  <c r="CF14" i="1"/>
  <c r="CF192" i="1"/>
  <c r="CF20" i="1"/>
  <c r="CF184" i="1"/>
  <c r="CF210" i="1"/>
  <c r="CF76" i="1"/>
  <c r="CF79" i="1"/>
  <c r="CF186" i="1"/>
  <c r="CF204" i="1"/>
  <c r="CF25" i="1"/>
  <c r="CF48" i="1"/>
  <c r="CF65" i="1"/>
  <c r="CF63" i="1"/>
  <c r="CF54" i="1"/>
  <c r="CF17" i="1"/>
  <c r="CF70" i="1"/>
  <c r="CF34" i="1"/>
  <c r="CF73" i="1"/>
  <c r="CF51" i="1"/>
  <c r="CF200" i="1"/>
  <c r="CE148" i="1"/>
  <c r="CE115" i="1"/>
  <c r="CE116" i="1"/>
  <c r="CE151" i="1"/>
  <c r="CE104" i="1"/>
  <c r="CD129" i="1"/>
  <c r="CF202" i="1"/>
  <c r="CF24" i="1"/>
  <c r="CF69" i="1"/>
  <c r="CF50" i="1"/>
  <c r="CF40" i="1"/>
  <c r="CF194" i="1"/>
  <c r="CF85" i="1"/>
  <c r="CF18" i="1"/>
  <c r="CF214" i="1"/>
  <c r="CF52" i="1"/>
  <c r="CF47" i="1"/>
  <c r="CF21" i="1"/>
  <c r="CF66" i="1"/>
  <c r="CE137" i="1"/>
  <c r="CE111" i="1"/>
  <c r="CF112" i="1"/>
  <c r="CF109" i="1"/>
  <c r="CF122" i="1"/>
  <c r="CF168" i="1"/>
  <c r="CF148" i="1"/>
  <c r="CF99" i="1"/>
  <c r="CF167" i="1"/>
  <c r="CF111" i="1"/>
  <c r="CF145" i="1"/>
  <c r="CF126" i="1"/>
  <c r="CF101" i="1"/>
  <c r="CF151" i="1"/>
  <c r="CF118" i="1"/>
  <c r="CF97" i="1"/>
  <c r="CF141" i="1"/>
  <c r="CF142" i="1"/>
  <c r="CF121" i="1"/>
  <c r="CF117" i="1"/>
  <c r="CF116" i="1"/>
  <c r="CF124" i="1"/>
  <c r="CF105" i="1"/>
  <c r="CF154" i="1"/>
  <c r="CF110" i="1"/>
  <c r="CF100" i="1"/>
  <c r="CF146" i="1"/>
  <c r="CF115" i="1"/>
  <c r="CF104" i="1"/>
  <c r="CF143" i="1"/>
  <c r="CF140" i="1"/>
  <c r="CF133" i="1"/>
  <c r="CF106" i="1"/>
  <c r="CF114" i="1"/>
  <c r="CF93" i="1"/>
  <c r="CF96" i="1"/>
  <c r="CF95" i="1"/>
  <c r="CF138" i="1"/>
  <c r="CF134" i="1"/>
  <c r="CF170" i="1"/>
  <c r="CF98" i="1"/>
  <c r="CF144" i="1"/>
  <c r="CF108" i="1"/>
  <c r="CF156" i="1"/>
  <c r="CF125" i="1"/>
  <c r="CF103" i="1"/>
  <c r="CF113" i="1"/>
  <c r="CF119" i="1"/>
  <c r="CE127" i="1"/>
  <c r="CE135" i="1"/>
  <c r="CF123" i="1"/>
  <c r="CE149" i="1"/>
  <c r="CE158" i="1"/>
  <c r="CG140" i="1"/>
  <c r="CF127" i="1"/>
  <c r="CF132" i="1"/>
  <c r="CF120" i="1"/>
  <c r="CF107" i="1"/>
  <c r="CF90" i="1"/>
  <c r="CC191" i="1"/>
  <c r="CC193" i="1"/>
  <c r="CC213" i="1"/>
  <c r="CC215" i="1"/>
  <c r="CC217" i="1"/>
  <c r="CC44" i="1"/>
  <c r="CC16" i="1"/>
  <c r="CC26" i="1"/>
  <c r="CC32" i="1"/>
  <c r="CC203" i="1"/>
  <c r="CC211" i="1"/>
  <c r="CC22" i="1"/>
  <c r="CD60" i="1"/>
  <c r="CD174" i="1"/>
  <c r="CD59" i="1"/>
  <c r="CD173" i="1"/>
  <c r="CE129" i="1"/>
  <c r="CE160" i="1"/>
  <c r="CG41" i="1"/>
  <c r="CG35" i="1"/>
  <c r="CG48" i="1"/>
  <c r="CG43" i="1"/>
  <c r="CG79" i="1"/>
  <c r="CG197" i="1"/>
  <c r="CG63" i="1"/>
  <c r="CG185" i="1"/>
  <c r="CG183" i="1"/>
  <c r="CG196" i="1"/>
  <c r="CG205" i="1"/>
  <c r="CG29" i="1"/>
  <c r="CG201" i="1"/>
  <c r="CG82" i="1"/>
  <c r="CG187" i="1"/>
  <c r="CG86" i="1"/>
  <c r="CG18" i="1"/>
  <c r="CG199" i="1"/>
  <c r="CF129" i="1"/>
  <c r="CG126" i="1"/>
  <c r="CG200" i="1"/>
  <c r="CG51" i="1"/>
  <c r="CG76" i="1"/>
  <c r="CG36" i="1"/>
  <c r="CG85" i="1"/>
  <c r="CG188" i="1"/>
  <c r="CG80" i="1"/>
  <c r="CG195" i="1"/>
  <c r="CG53" i="1"/>
  <c r="CG182" i="1"/>
  <c r="CG186" i="1"/>
  <c r="CF139" i="1"/>
  <c r="CG181" i="1"/>
  <c r="CG21" i="1"/>
  <c r="CG184" i="1"/>
  <c r="CG31" i="1"/>
  <c r="CG68" i="1"/>
  <c r="CG84" i="1"/>
  <c r="CG33" i="1"/>
  <c r="CG74" i="1"/>
  <c r="CG34" i="1"/>
  <c r="CG38" i="1"/>
  <c r="CF166" i="1"/>
  <c r="CG78" i="1"/>
  <c r="CG81" i="1"/>
  <c r="CG83" i="1"/>
  <c r="CG194" i="1"/>
  <c r="CG180" i="1"/>
  <c r="CG19" i="1"/>
  <c r="CG198" i="1"/>
  <c r="CG27" i="1"/>
  <c r="CG49" i="1"/>
  <c r="CG210" i="1"/>
  <c r="CG25" i="1"/>
  <c r="CG75" i="1"/>
  <c r="CG55" i="1"/>
  <c r="CG64" i="1"/>
  <c r="CG50" i="1"/>
  <c r="CG190" i="1"/>
  <c r="CG28" i="1"/>
  <c r="CG207" i="1"/>
  <c r="CG69" i="1"/>
  <c r="CG30" i="1"/>
  <c r="CG47" i="1"/>
  <c r="CG70" i="1"/>
  <c r="CF57" i="1"/>
  <c r="CF136" i="1"/>
  <c r="CF102" i="1"/>
  <c r="CF94" i="1"/>
  <c r="CF153" i="1"/>
  <c r="CG65" i="1"/>
  <c r="CG204" i="1"/>
  <c r="CF150" i="1"/>
  <c r="CF131" i="1"/>
  <c r="CF155" i="1"/>
  <c r="CG42" i="1"/>
  <c r="CG214" i="1"/>
  <c r="CG20" i="1"/>
  <c r="CG40" i="1"/>
  <c r="CG17" i="1"/>
  <c r="CG39" i="1"/>
  <c r="CG206" i="1"/>
  <c r="CG46" i="1"/>
  <c r="CG14" i="1"/>
  <c r="CG66" i="1"/>
  <c r="CG73" i="1"/>
  <c r="CG71" i="1"/>
  <c r="CF147" i="1"/>
  <c r="CF165" i="1"/>
  <c r="CG192" i="1"/>
  <c r="CG208" i="1"/>
  <c r="CG189" i="1"/>
  <c r="CG202" i="1"/>
  <c r="CG62" i="1"/>
  <c r="CG37" i="1"/>
  <c r="CG52" i="1"/>
  <c r="CG72" i="1"/>
  <c r="CG45" i="1"/>
  <c r="CG212" i="1"/>
  <c r="CG24" i="1"/>
  <c r="CG54" i="1"/>
  <c r="CG209" i="1"/>
  <c r="CF157" i="1"/>
  <c r="CF169" i="1"/>
  <c r="CF152" i="1"/>
  <c r="CG118" i="1"/>
  <c r="CG144" i="1"/>
  <c r="CG93" i="1"/>
  <c r="CG103" i="1"/>
  <c r="CG100" i="1"/>
  <c r="CG134" i="1"/>
  <c r="CG97" i="1"/>
  <c r="CG145" i="1"/>
  <c r="CG143" i="1"/>
  <c r="CG119" i="1"/>
  <c r="CG113" i="1"/>
  <c r="CG124" i="1"/>
  <c r="CG168" i="1"/>
  <c r="CG157" i="1"/>
  <c r="CG111" i="1"/>
  <c r="CG165" i="1"/>
  <c r="CG95" i="1"/>
  <c r="CG166" i="1"/>
  <c r="CG148" i="1"/>
  <c r="CG133" i="1"/>
  <c r="CG121" i="1"/>
  <c r="CG102" i="1"/>
  <c r="CG156" i="1"/>
  <c r="CG112" i="1"/>
  <c r="CG116" i="1"/>
  <c r="CG108" i="1"/>
  <c r="CG155" i="1"/>
  <c r="CG136" i="1"/>
  <c r="CG114" i="1"/>
  <c r="CG142" i="1"/>
  <c r="CG96" i="1"/>
  <c r="CG169" i="1"/>
  <c r="CG115" i="1"/>
  <c r="CG150" i="1"/>
  <c r="CG170" i="1"/>
  <c r="CG153" i="1"/>
  <c r="CG109" i="1"/>
  <c r="CG152" i="1"/>
  <c r="CG105" i="1"/>
  <c r="CG141" i="1"/>
  <c r="CG138" i="1"/>
  <c r="CG98" i="1"/>
  <c r="CG139" i="1"/>
  <c r="CG127" i="1"/>
  <c r="CF162" i="1"/>
  <c r="CF163" i="1"/>
  <c r="CF158" i="1"/>
  <c r="CH93" i="1"/>
  <c r="CF149" i="1"/>
  <c r="CF135" i="1"/>
  <c r="CG158" i="1"/>
  <c r="CG162" i="1"/>
  <c r="CG132" i="1"/>
  <c r="CG90" i="1"/>
  <c r="CG163" i="1"/>
  <c r="CD44" i="1"/>
  <c r="CD32" i="1"/>
  <c r="CD26" i="1"/>
  <c r="CD203" i="1"/>
  <c r="CD16" i="1"/>
  <c r="CD22" i="1"/>
  <c r="CD211" i="1"/>
  <c r="CE174" i="1"/>
  <c r="CE60" i="1"/>
  <c r="CE173" i="1"/>
  <c r="CE59" i="1"/>
  <c r="CD191" i="1"/>
  <c r="CD193" i="1"/>
  <c r="CD213" i="1"/>
  <c r="CD215" i="1"/>
  <c r="CD217" i="1"/>
  <c r="CH29" i="1"/>
  <c r="CH205" i="1"/>
  <c r="CH207" i="1"/>
  <c r="CH73" i="1"/>
  <c r="CH85" i="1"/>
  <c r="CH52" i="1"/>
  <c r="CH208" i="1"/>
  <c r="CH42" i="1"/>
  <c r="CH48" i="1"/>
  <c r="CH71" i="1"/>
  <c r="CH188" i="1"/>
  <c r="CH199" i="1"/>
  <c r="CH194" i="1"/>
  <c r="CH18" i="1"/>
  <c r="CH35" i="1"/>
  <c r="CH75" i="1"/>
  <c r="CH38" i="1"/>
  <c r="CH33" i="1"/>
  <c r="CH72" i="1"/>
  <c r="CH184" i="1"/>
  <c r="CG131" i="1"/>
  <c r="CG167" i="1"/>
  <c r="CH81" i="1"/>
  <c r="CH54" i="1"/>
  <c r="CH19" i="1"/>
  <c r="CH53" i="1"/>
  <c r="CH36" i="1"/>
  <c r="CH62" i="1"/>
  <c r="CH47" i="1"/>
  <c r="CH86" i="1"/>
  <c r="CH83" i="1"/>
  <c r="CH76" i="1"/>
  <c r="CG160" i="1"/>
  <c r="CG110" i="1"/>
  <c r="CG146" i="1"/>
  <c r="CF160" i="1"/>
  <c r="CH43" i="1"/>
  <c r="CH25" i="1"/>
  <c r="CH192" i="1"/>
  <c r="CH204" i="1"/>
  <c r="CH214" i="1"/>
  <c r="CH28" i="1"/>
  <c r="CH68" i="1"/>
  <c r="CH34" i="1"/>
  <c r="CH190" i="1"/>
  <c r="CG101" i="1"/>
  <c r="CG122" i="1"/>
  <c r="CH209" i="1"/>
  <c r="CH69" i="1"/>
  <c r="CH45" i="1"/>
  <c r="CH183" i="1"/>
  <c r="CH41" i="1"/>
  <c r="CH196" i="1"/>
  <c r="CH39" i="1"/>
  <c r="CH49" i="1"/>
  <c r="CH84" i="1"/>
  <c r="CH79" i="1"/>
  <c r="CH201" i="1"/>
  <c r="CH182" i="1"/>
  <c r="CH30" i="1"/>
  <c r="CH212" i="1"/>
  <c r="CH17" i="1"/>
  <c r="CH55" i="1"/>
  <c r="CH187" i="1"/>
  <c r="CH70" i="1"/>
  <c r="CH189" i="1"/>
  <c r="CH181" i="1"/>
  <c r="CH210" i="1"/>
  <c r="CH65" i="1"/>
  <c r="CH82" i="1"/>
  <c r="CG57" i="1"/>
  <c r="CG94" i="1"/>
  <c r="CG99" i="1"/>
  <c r="CG147" i="1"/>
  <c r="CH197" i="1"/>
  <c r="CH21" i="1"/>
  <c r="CG125" i="1"/>
  <c r="CG104" i="1"/>
  <c r="CH200" i="1"/>
  <c r="CH74" i="1"/>
  <c r="CH206" i="1"/>
  <c r="CH64" i="1"/>
  <c r="CH40" i="1"/>
  <c r="CH63" i="1"/>
  <c r="CH51" i="1"/>
  <c r="CH185" i="1"/>
  <c r="CH186" i="1"/>
  <c r="CH31" i="1"/>
  <c r="CH27" i="1"/>
  <c r="CH50" i="1"/>
  <c r="CG117" i="1"/>
  <c r="CG106" i="1"/>
  <c r="CG129" i="1"/>
  <c r="CH202" i="1"/>
  <c r="CH78" i="1"/>
  <c r="CH66" i="1"/>
  <c r="CH195" i="1"/>
  <c r="CH198" i="1"/>
  <c r="CH37" i="1"/>
  <c r="CH24" i="1"/>
  <c r="CH46" i="1"/>
  <c r="CH80" i="1"/>
  <c r="CH20" i="1"/>
  <c r="CH14" i="1"/>
  <c r="CH180" i="1"/>
  <c r="CG151" i="1"/>
  <c r="CG137" i="1"/>
  <c r="CG154" i="1"/>
  <c r="CH140" i="1"/>
  <c r="CH96" i="1"/>
  <c r="CH157" i="1"/>
  <c r="CH166" i="1"/>
  <c r="CH119" i="1"/>
  <c r="CH109" i="1"/>
  <c r="CH126" i="1"/>
  <c r="CH117" i="1"/>
  <c r="CH167" i="1"/>
  <c r="CH125" i="1"/>
  <c r="CH156" i="1"/>
  <c r="CH152" i="1"/>
  <c r="CH154" i="1"/>
  <c r="CH141" i="1"/>
  <c r="CH143" i="1"/>
  <c r="CH111" i="1"/>
  <c r="CH102" i="1"/>
  <c r="CH148" i="1"/>
  <c r="CH151" i="1"/>
  <c r="CH114" i="1"/>
  <c r="CH150" i="1"/>
  <c r="CH131" i="1"/>
  <c r="CH95" i="1"/>
  <c r="CH134" i="1"/>
  <c r="CH139" i="1"/>
  <c r="CH153" i="1"/>
  <c r="CH94" i="1"/>
  <c r="CH103" i="1"/>
  <c r="CH147" i="1"/>
  <c r="CH105" i="1"/>
  <c r="CH146" i="1"/>
  <c r="CH124" i="1"/>
  <c r="CH97" i="1"/>
  <c r="CH155" i="1"/>
  <c r="CH121" i="1"/>
  <c r="CH112" i="1"/>
  <c r="CH133" i="1"/>
  <c r="CH101" i="1"/>
  <c r="CH118" i="1"/>
  <c r="CH110" i="1"/>
  <c r="CH165" i="1"/>
  <c r="CH116" i="1"/>
  <c r="CH142" i="1"/>
  <c r="CH100" i="1"/>
  <c r="CH122" i="1"/>
  <c r="CH104" i="1"/>
  <c r="CH145" i="1"/>
  <c r="CH138" i="1"/>
  <c r="CH98" i="1"/>
  <c r="CH106" i="1"/>
  <c r="CH169" i="1"/>
  <c r="CH137" i="1"/>
  <c r="CH170" i="1"/>
  <c r="CH127" i="1"/>
  <c r="CH123" i="1"/>
  <c r="CG135" i="1"/>
  <c r="CG149" i="1"/>
  <c r="CH158" i="1"/>
  <c r="CH162" i="1"/>
  <c r="CH120" i="1"/>
  <c r="CG123" i="1"/>
  <c r="CH132" i="1"/>
  <c r="CI141" i="1"/>
  <c r="CG120" i="1"/>
  <c r="CH149" i="1"/>
  <c r="CG107" i="1"/>
  <c r="CH163" i="1"/>
  <c r="CH90" i="1"/>
  <c r="CE44" i="1"/>
  <c r="CE211" i="1"/>
  <c r="CE203" i="1"/>
  <c r="CE16" i="1"/>
  <c r="CE26" i="1"/>
  <c r="CE32" i="1"/>
  <c r="CE22" i="1"/>
  <c r="CE191" i="1"/>
  <c r="CE193" i="1"/>
  <c r="CE213" i="1"/>
  <c r="CE215" i="1"/>
  <c r="CE217" i="1"/>
  <c r="CF59" i="1"/>
  <c r="CF174" i="1"/>
  <c r="CF60" i="1"/>
  <c r="CF173" i="1"/>
  <c r="CH129" i="1"/>
  <c r="CH160" i="1"/>
  <c r="CI37" i="1"/>
  <c r="CI63" i="1"/>
  <c r="CI38" i="1"/>
  <c r="CI212" i="1"/>
  <c r="CI70" i="1"/>
  <c r="CI209" i="1"/>
  <c r="CI207" i="1"/>
  <c r="CI55" i="1"/>
  <c r="CI204" i="1"/>
  <c r="CI49" i="1"/>
  <c r="CI202" i="1"/>
  <c r="CI25" i="1"/>
  <c r="CI28" i="1"/>
  <c r="CI54" i="1"/>
  <c r="CI83" i="1"/>
  <c r="CI41" i="1"/>
  <c r="CI214" i="1"/>
  <c r="CI48" i="1"/>
  <c r="CI188" i="1"/>
  <c r="CI72" i="1"/>
  <c r="CI189" i="1"/>
  <c r="CH99" i="1"/>
  <c r="CI208" i="1"/>
  <c r="CI200" i="1"/>
  <c r="CI205" i="1"/>
  <c r="CI201" i="1"/>
  <c r="CI68" i="1"/>
  <c r="CI34" i="1"/>
  <c r="CI64" i="1"/>
  <c r="CI39" i="1"/>
  <c r="CI20" i="1"/>
  <c r="CI21" i="1"/>
  <c r="CI73" i="1"/>
  <c r="CH108" i="1"/>
  <c r="CI99" i="1"/>
  <c r="CI195" i="1"/>
  <c r="CI24" i="1"/>
  <c r="CI186" i="1"/>
  <c r="CI197" i="1"/>
  <c r="CI81" i="1"/>
  <c r="CI27" i="1"/>
  <c r="CI80" i="1"/>
  <c r="CI74" i="1"/>
  <c r="CI19" i="1"/>
  <c r="CI78" i="1"/>
  <c r="CI14" i="1"/>
  <c r="CI194" i="1"/>
  <c r="CI185" i="1"/>
  <c r="CI40" i="1"/>
  <c r="CI66" i="1"/>
  <c r="CI33" i="1"/>
  <c r="CI17" i="1"/>
  <c r="CI187" i="1"/>
  <c r="CI196" i="1"/>
  <c r="CI43" i="1"/>
  <c r="CI85" i="1"/>
  <c r="CI199" i="1"/>
  <c r="CI62" i="1"/>
  <c r="CH113" i="1"/>
  <c r="CH136" i="1"/>
  <c r="CI47" i="1"/>
  <c r="CI190" i="1"/>
  <c r="CI84" i="1"/>
  <c r="CI50" i="1"/>
  <c r="CI180" i="1"/>
  <c r="CI198" i="1"/>
  <c r="CI52" i="1"/>
  <c r="CI36" i="1"/>
  <c r="CI181" i="1"/>
  <c r="CI71" i="1"/>
  <c r="CI51" i="1"/>
  <c r="CI65" i="1"/>
  <c r="CI79" i="1"/>
  <c r="CI206" i="1"/>
  <c r="CI86" i="1"/>
  <c r="CI210" i="1"/>
  <c r="CI183" i="1"/>
  <c r="CI18" i="1"/>
  <c r="CI46" i="1"/>
  <c r="CI30" i="1"/>
  <c r="CI53" i="1"/>
  <c r="CI45" i="1"/>
  <c r="CI76" i="1"/>
  <c r="CH144" i="1"/>
  <c r="CH115" i="1"/>
  <c r="CI35" i="1"/>
  <c r="CI69" i="1"/>
  <c r="CI29" i="1"/>
  <c r="CI31" i="1"/>
  <c r="CI192" i="1"/>
  <c r="CI82" i="1"/>
  <c r="CI75" i="1"/>
  <c r="CI182" i="1"/>
  <c r="CI184" i="1"/>
  <c r="CI42" i="1"/>
  <c r="CH57" i="1"/>
  <c r="CH168" i="1"/>
  <c r="CI113" i="1"/>
  <c r="CI131" i="1"/>
  <c r="CI93" i="1"/>
  <c r="CI140" i="1"/>
  <c r="CI100" i="1"/>
  <c r="CI136" i="1"/>
  <c r="CI119" i="1"/>
  <c r="CI117" i="1"/>
  <c r="CI125" i="1"/>
  <c r="CI103" i="1"/>
  <c r="CI98" i="1"/>
  <c r="CI106" i="1"/>
  <c r="CH135" i="1"/>
  <c r="CJ98" i="1"/>
  <c r="CH107" i="1"/>
  <c r="CI90" i="1"/>
  <c r="CG174" i="1"/>
  <c r="CG60" i="1"/>
  <c r="CG173" i="1"/>
  <c r="CG59" i="1"/>
  <c r="CF191" i="1"/>
  <c r="CF193" i="1"/>
  <c r="CF22" i="1"/>
  <c r="CF16" i="1"/>
  <c r="CF44" i="1"/>
  <c r="CF32" i="1"/>
  <c r="CF26" i="1"/>
  <c r="CF211" i="1"/>
  <c r="CF203" i="1"/>
  <c r="CJ46" i="1"/>
  <c r="CJ73" i="1"/>
  <c r="CJ30" i="1"/>
  <c r="CJ52" i="1"/>
  <c r="CJ29" i="1"/>
  <c r="CJ187" i="1"/>
  <c r="CJ45" i="1"/>
  <c r="CJ186" i="1"/>
  <c r="CJ196" i="1"/>
  <c r="CJ63" i="1"/>
  <c r="CJ75" i="1"/>
  <c r="CJ74" i="1"/>
  <c r="CJ14" i="1"/>
  <c r="CJ36" i="1"/>
  <c r="CJ84" i="1"/>
  <c r="CJ212" i="1"/>
  <c r="CJ43" i="1"/>
  <c r="CJ51" i="1"/>
  <c r="CJ204" i="1"/>
  <c r="CJ71" i="1"/>
  <c r="CJ207" i="1"/>
  <c r="CJ192" i="1"/>
  <c r="CI109" i="1"/>
  <c r="CI170" i="1"/>
  <c r="CI153" i="1"/>
  <c r="CI104" i="1"/>
  <c r="CI121" i="1"/>
  <c r="CI126" i="1"/>
  <c r="CJ35" i="1"/>
  <c r="CJ208" i="1"/>
  <c r="CJ40" i="1"/>
  <c r="CJ68" i="1"/>
  <c r="CJ83" i="1"/>
  <c r="CJ205" i="1"/>
  <c r="CJ209" i="1"/>
  <c r="CJ62" i="1"/>
  <c r="CI122" i="1"/>
  <c r="CI114" i="1"/>
  <c r="CI110" i="1"/>
  <c r="CI97" i="1"/>
  <c r="CI146" i="1"/>
  <c r="CI143" i="1"/>
  <c r="CI145" i="1"/>
  <c r="CJ24" i="1"/>
  <c r="CJ37" i="1"/>
  <c r="CJ214" i="1"/>
  <c r="CJ198" i="1"/>
  <c r="CJ183" i="1"/>
  <c r="CJ65" i="1"/>
  <c r="CJ80" i="1"/>
  <c r="CJ50" i="1"/>
  <c r="CJ78" i="1"/>
  <c r="CJ188" i="1"/>
  <c r="CI115" i="1"/>
  <c r="CI152" i="1"/>
  <c r="CI148" i="1"/>
  <c r="CI95" i="1"/>
  <c r="CI102" i="1"/>
  <c r="CI168" i="1"/>
  <c r="CJ182" i="1"/>
  <c r="CJ206" i="1"/>
  <c r="CJ69" i="1"/>
  <c r="CJ64" i="1"/>
  <c r="CJ42" i="1"/>
  <c r="CJ18" i="1"/>
  <c r="CJ17" i="1"/>
  <c r="CJ202" i="1"/>
  <c r="CJ28" i="1"/>
  <c r="CJ189" i="1"/>
  <c r="CJ85" i="1"/>
  <c r="CJ210" i="1"/>
  <c r="CJ31" i="1"/>
  <c r="CJ86" i="1"/>
  <c r="CJ181" i="1"/>
  <c r="CJ72" i="1"/>
  <c r="CJ49" i="1"/>
  <c r="CJ54" i="1"/>
  <c r="CJ41" i="1"/>
  <c r="CJ82" i="1"/>
  <c r="CJ55" i="1"/>
  <c r="CJ21" i="1"/>
  <c r="CJ33" i="1"/>
  <c r="CI157" i="1"/>
  <c r="CI94" i="1"/>
  <c r="CI133" i="1"/>
  <c r="CI144" i="1"/>
  <c r="CI166" i="1"/>
  <c r="CI101" i="1"/>
  <c r="CI111" i="1"/>
  <c r="CI155" i="1"/>
  <c r="CI118" i="1"/>
  <c r="CI108" i="1"/>
  <c r="CI167" i="1"/>
  <c r="CI139" i="1"/>
  <c r="CI112" i="1"/>
  <c r="CI116" i="1"/>
  <c r="CI137" i="1"/>
  <c r="CI105" i="1"/>
  <c r="CI154" i="1"/>
  <c r="CI165" i="1"/>
  <c r="CJ39" i="1"/>
  <c r="CJ201" i="1"/>
  <c r="CJ19" i="1"/>
  <c r="CJ66" i="1"/>
  <c r="CJ53" i="1"/>
  <c r="CJ38" i="1"/>
  <c r="CJ27" i="1"/>
  <c r="CJ195" i="1"/>
  <c r="CJ20" i="1"/>
  <c r="CJ194" i="1"/>
  <c r="CJ70" i="1"/>
  <c r="CJ79" i="1"/>
  <c r="CI57" i="1"/>
  <c r="CI156" i="1"/>
  <c r="CI138" i="1"/>
  <c r="CI151" i="1"/>
  <c r="CI124" i="1"/>
  <c r="CI134" i="1"/>
  <c r="CJ200" i="1"/>
  <c r="CJ199" i="1"/>
  <c r="CJ81" i="1"/>
  <c r="CJ76" i="1"/>
  <c r="CJ185" i="1"/>
  <c r="CJ47" i="1"/>
  <c r="CJ48" i="1"/>
  <c r="CJ34" i="1"/>
  <c r="CJ184" i="1"/>
  <c r="CJ190" i="1"/>
  <c r="CJ197" i="1"/>
  <c r="CJ25" i="1"/>
  <c r="CJ180" i="1"/>
  <c r="CI169" i="1"/>
  <c r="CI96" i="1"/>
  <c r="CI147" i="1"/>
  <c r="CI142" i="1"/>
  <c r="CI150" i="1"/>
  <c r="CJ99" i="1"/>
  <c r="CJ119" i="1"/>
  <c r="CJ152" i="1"/>
  <c r="CJ114" i="1"/>
  <c r="CJ167" i="1"/>
  <c r="CJ113" i="1"/>
  <c r="CJ117" i="1"/>
  <c r="CJ133" i="1"/>
  <c r="CJ147" i="1"/>
  <c r="CJ121" i="1"/>
  <c r="CJ137" i="1"/>
  <c r="CJ103" i="1"/>
  <c r="CJ139" i="1"/>
  <c r="CJ165" i="1"/>
  <c r="CJ124" i="1"/>
  <c r="CJ155" i="1"/>
  <c r="CJ150" i="1"/>
  <c r="CJ166" i="1"/>
  <c r="CJ151" i="1"/>
  <c r="CJ146" i="1"/>
  <c r="CJ110" i="1"/>
  <c r="CJ96" i="1"/>
  <c r="CJ106" i="1"/>
  <c r="CJ95" i="1"/>
  <c r="CJ141" i="1"/>
  <c r="CJ100" i="1"/>
  <c r="CJ111" i="1"/>
  <c r="CJ168" i="1"/>
  <c r="CJ154" i="1"/>
  <c r="CJ136" i="1"/>
  <c r="CK111" i="1"/>
  <c r="CI149" i="1"/>
  <c r="CI163" i="1"/>
  <c r="CI123" i="1"/>
  <c r="CI135" i="1"/>
  <c r="CI107" i="1"/>
  <c r="CI127" i="1"/>
  <c r="CI132" i="1"/>
  <c r="CI162" i="1"/>
  <c r="CI158" i="1"/>
  <c r="CI120" i="1"/>
  <c r="CF213" i="1"/>
  <c r="CF215" i="1"/>
  <c r="CF217" i="1"/>
  <c r="CJ90" i="1"/>
  <c r="CG32" i="1"/>
  <c r="CG26" i="1"/>
  <c r="CG16" i="1"/>
  <c r="CG44" i="1"/>
  <c r="CG22" i="1"/>
  <c r="CG203" i="1"/>
  <c r="CG211" i="1"/>
  <c r="CH173" i="1"/>
  <c r="CH60" i="1"/>
  <c r="CH174" i="1"/>
  <c r="CH59" i="1"/>
  <c r="CG191" i="1"/>
  <c r="CG193" i="1"/>
  <c r="CG213" i="1"/>
  <c r="CG215" i="1"/>
  <c r="CG217" i="1"/>
  <c r="CK76" i="1"/>
  <c r="CK64" i="1"/>
  <c r="CK30" i="1"/>
  <c r="CK45" i="1"/>
  <c r="CK54" i="1"/>
  <c r="CK207" i="1"/>
  <c r="CK19" i="1"/>
  <c r="CK41" i="1"/>
  <c r="CK196" i="1"/>
  <c r="CK72" i="1"/>
  <c r="CK202" i="1"/>
  <c r="CK53" i="1"/>
  <c r="CK46" i="1"/>
  <c r="CK31" i="1"/>
  <c r="CK48" i="1"/>
  <c r="CK66" i="1"/>
  <c r="CK21" i="1"/>
  <c r="CK188" i="1"/>
  <c r="CK206" i="1"/>
  <c r="CK79" i="1"/>
  <c r="CK37" i="1"/>
  <c r="CI129" i="1"/>
  <c r="CJ112" i="1"/>
  <c r="CJ140" i="1"/>
  <c r="CJ118" i="1"/>
  <c r="CJ134" i="1"/>
  <c r="CK189" i="1"/>
  <c r="CK70" i="1"/>
  <c r="CK39" i="1"/>
  <c r="CK33" i="1"/>
  <c r="CK200" i="1"/>
  <c r="CK27" i="1"/>
  <c r="CK65" i="1"/>
  <c r="CK209" i="1"/>
  <c r="CK182" i="1"/>
  <c r="CJ157" i="1"/>
  <c r="CJ108" i="1"/>
  <c r="CJ94" i="1"/>
  <c r="CJ102" i="1"/>
  <c r="CK195" i="1"/>
  <c r="CK192" i="1"/>
  <c r="CK38" i="1"/>
  <c r="CK83" i="1"/>
  <c r="CK201" i="1"/>
  <c r="CK52" i="1"/>
  <c r="CK204" i="1"/>
  <c r="CK84" i="1"/>
  <c r="CK194" i="1"/>
  <c r="CJ125" i="1"/>
  <c r="CJ126" i="1"/>
  <c r="CJ145" i="1"/>
  <c r="CJ131" i="1"/>
  <c r="CK197" i="1"/>
  <c r="CK73" i="1"/>
  <c r="CK199" i="1"/>
  <c r="CK18" i="1"/>
  <c r="CK17" i="1"/>
  <c r="CK62" i="1"/>
  <c r="CK75" i="1"/>
  <c r="CK187" i="1"/>
  <c r="CK212" i="1"/>
  <c r="CK82" i="1"/>
  <c r="CK20" i="1"/>
  <c r="CK49" i="1"/>
  <c r="CK184" i="1"/>
  <c r="CK36" i="1"/>
  <c r="CK40" i="1"/>
  <c r="CK183" i="1"/>
  <c r="CK51" i="1"/>
  <c r="CK208" i="1"/>
  <c r="CK14" i="1"/>
  <c r="CK47" i="1"/>
  <c r="CK25" i="1"/>
  <c r="CK186" i="1"/>
  <c r="CJ57" i="1"/>
  <c r="CJ170" i="1"/>
  <c r="CJ148" i="1"/>
  <c r="CJ105" i="1"/>
  <c r="CJ153" i="1"/>
  <c r="CJ156" i="1"/>
  <c r="CJ97" i="1"/>
  <c r="CJ101" i="1"/>
  <c r="CK63" i="1"/>
  <c r="CI160" i="1"/>
  <c r="CJ143" i="1"/>
  <c r="CJ142" i="1"/>
  <c r="CJ122" i="1"/>
  <c r="CJ109" i="1"/>
  <c r="CK86" i="1"/>
  <c r="CK34" i="1"/>
  <c r="CK55" i="1"/>
  <c r="CK180" i="1"/>
  <c r="CK35" i="1"/>
  <c r="CK214" i="1"/>
  <c r="CK181" i="1"/>
  <c r="CK71" i="1"/>
  <c r="CK190" i="1"/>
  <c r="CK29" i="1"/>
  <c r="CK185" i="1"/>
  <c r="CK78" i="1"/>
  <c r="CK50" i="1"/>
  <c r="CJ138" i="1"/>
  <c r="CJ115" i="1"/>
  <c r="CJ116" i="1"/>
  <c r="CK74" i="1"/>
  <c r="CK81" i="1"/>
  <c r="CK68" i="1"/>
  <c r="CK43" i="1"/>
  <c r="CK80" i="1"/>
  <c r="CK205" i="1"/>
  <c r="CK85" i="1"/>
  <c r="CK28" i="1"/>
  <c r="CK69" i="1"/>
  <c r="CK210" i="1"/>
  <c r="CK42" i="1"/>
  <c r="CK24" i="1"/>
  <c r="CK198" i="1"/>
  <c r="CJ144" i="1"/>
  <c r="CJ93" i="1"/>
  <c r="CJ169" i="1"/>
  <c r="CJ104" i="1"/>
  <c r="CK133" i="1"/>
  <c r="CK157" i="1"/>
  <c r="CK147" i="1"/>
  <c r="CK169" i="1"/>
  <c r="CK145" i="1"/>
  <c r="CK103" i="1"/>
  <c r="CK134" i="1"/>
  <c r="CK167" i="1"/>
  <c r="CK116" i="1"/>
  <c r="CK151" i="1"/>
  <c r="CK102" i="1"/>
  <c r="CK98" i="1"/>
  <c r="CK137" i="1"/>
  <c r="CK112" i="1"/>
  <c r="CK165" i="1"/>
  <c r="CK148" i="1"/>
  <c r="CK97" i="1"/>
  <c r="CK141" i="1"/>
  <c r="CK110" i="1"/>
  <c r="CK100" i="1"/>
  <c r="CK153" i="1"/>
  <c r="CK104" i="1"/>
  <c r="CK154" i="1"/>
  <c r="CK143" i="1"/>
  <c r="CK170" i="1"/>
  <c r="CK117" i="1"/>
  <c r="CK118" i="1"/>
  <c r="CK139" i="1"/>
  <c r="CK146" i="1"/>
  <c r="CK142" i="1"/>
  <c r="CK93" i="1"/>
  <c r="CK115" i="1"/>
  <c r="CK105" i="1"/>
  <c r="CK95" i="1"/>
  <c r="CK125" i="1"/>
  <c r="CK114" i="1"/>
  <c r="CK94" i="1"/>
  <c r="CK168" i="1"/>
  <c r="CK108" i="1"/>
  <c r="CK122" i="1"/>
  <c r="CK119" i="1"/>
  <c r="CK101" i="1"/>
  <c r="CK106" i="1"/>
  <c r="CK113" i="1"/>
  <c r="CK136" i="1"/>
  <c r="CK144" i="1"/>
  <c r="CL138" i="1"/>
  <c r="CK132" i="1"/>
  <c r="CJ135" i="1"/>
  <c r="CJ120" i="1"/>
  <c r="CJ163" i="1"/>
  <c r="CJ149" i="1"/>
  <c r="CJ158" i="1"/>
  <c r="CJ127" i="1"/>
  <c r="CJ123" i="1"/>
  <c r="CK163" i="1"/>
  <c r="CJ107" i="1"/>
  <c r="CJ162" i="1"/>
  <c r="CJ132" i="1"/>
  <c r="CK158" i="1"/>
  <c r="CK90" i="1"/>
  <c r="CH191" i="1"/>
  <c r="CH193" i="1"/>
  <c r="CH213" i="1"/>
  <c r="CH215" i="1"/>
  <c r="CH217" i="1"/>
  <c r="CI174" i="1"/>
  <c r="CI59" i="1"/>
  <c r="CI173" i="1"/>
  <c r="CI60" i="1"/>
  <c r="CH211" i="1"/>
  <c r="CH203" i="1"/>
  <c r="CH26" i="1"/>
  <c r="CH22" i="1"/>
  <c r="CH16" i="1"/>
  <c r="CH44" i="1"/>
  <c r="CH32" i="1"/>
  <c r="CL196" i="1"/>
  <c r="CL200" i="1"/>
  <c r="CL46" i="1"/>
  <c r="CL41" i="1"/>
  <c r="CL214" i="1"/>
  <c r="CL205" i="1"/>
  <c r="CL27" i="1"/>
  <c r="CL48" i="1"/>
  <c r="CL183" i="1"/>
  <c r="CL84" i="1"/>
  <c r="CL184" i="1"/>
  <c r="CL212" i="1"/>
  <c r="CL62" i="1"/>
  <c r="CL204" i="1"/>
  <c r="CL195" i="1"/>
  <c r="CL51" i="1"/>
  <c r="CL18" i="1"/>
  <c r="CL185" i="1"/>
  <c r="CL187" i="1"/>
  <c r="CK57" i="1"/>
  <c r="CK150" i="1"/>
  <c r="CL121" i="1"/>
  <c r="CL210" i="1"/>
  <c r="CL76" i="1"/>
  <c r="CL43" i="1"/>
  <c r="CL188" i="1"/>
  <c r="CL55" i="1"/>
  <c r="CL31" i="1"/>
  <c r="CL75" i="1"/>
  <c r="CL14" i="1"/>
  <c r="CL69" i="1"/>
  <c r="CK152" i="1"/>
  <c r="CK99" i="1"/>
  <c r="CL81" i="1"/>
  <c r="CL40" i="1"/>
  <c r="CL194" i="1"/>
  <c r="CL64" i="1"/>
  <c r="CL36" i="1"/>
  <c r="CL52" i="1"/>
  <c r="CL19" i="1"/>
  <c r="CL73" i="1"/>
  <c r="CL180" i="1"/>
  <c r="CL207" i="1"/>
  <c r="CK155" i="1"/>
  <c r="CK109" i="1"/>
  <c r="CK131" i="1"/>
  <c r="CL71" i="1"/>
  <c r="CL63" i="1"/>
  <c r="CL80" i="1"/>
  <c r="CL72" i="1"/>
  <c r="CL33" i="1"/>
  <c r="CL190" i="1"/>
  <c r="CL79" i="1"/>
  <c r="CL197" i="1"/>
  <c r="CL30" i="1"/>
  <c r="CL202" i="1"/>
  <c r="CL189" i="1"/>
  <c r="CL17" i="1"/>
  <c r="CL201" i="1"/>
  <c r="CL54" i="1"/>
  <c r="CL39" i="1"/>
  <c r="CL186" i="1"/>
  <c r="CL199" i="1"/>
  <c r="CL182" i="1"/>
  <c r="CL35" i="1"/>
  <c r="CL20" i="1"/>
  <c r="CL82" i="1"/>
  <c r="CL34" i="1"/>
  <c r="CK140" i="1"/>
  <c r="CK160" i="1"/>
  <c r="CL65" i="1"/>
  <c r="CL198" i="1"/>
  <c r="CL181" i="1"/>
  <c r="CK156" i="1"/>
  <c r="CK166" i="1"/>
  <c r="CK138" i="1"/>
  <c r="CL83" i="1"/>
  <c r="CL47" i="1"/>
  <c r="CL192" i="1"/>
  <c r="CL50" i="1"/>
  <c r="CL70" i="1"/>
  <c r="CL74" i="1"/>
  <c r="CL45" i="1"/>
  <c r="CL66" i="1"/>
  <c r="CL49" i="1"/>
  <c r="CL206" i="1"/>
  <c r="CL86" i="1"/>
  <c r="CL42" i="1"/>
  <c r="CL29" i="1"/>
  <c r="CJ160" i="1"/>
  <c r="CK121" i="1"/>
  <c r="CK124" i="1"/>
  <c r="CL38" i="1"/>
  <c r="CL209" i="1"/>
  <c r="CL25" i="1"/>
  <c r="CL24" i="1"/>
  <c r="CL78" i="1"/>
  <c r="CL53" i="1"/>
  <c r="CL208" i="1"/>
  <c r="CL28" i="1"/>
  <c r="CL85" i="1"/>
  <c r="CL37" i="1"/>
  <c r="CL68" i="1"/>
  <c r="CL21" i="1"/>
  <c r="CJ129" i="1"/>
  <c r="CK96" i="1"/>
  <c r="CK126" i="1"/>
  <c r="CL95" i="1"/>
  <c r="CL166" i="1"/>
  <c r="CL165" i="1"/>
  <c r="CL100" i="1"/>
  <c r="CL153" i="1"/>
  <c r="CL93" i="1"/>
  <c r="CL151" i="1"/>
  <c r="CL131" i="1"/>
  <c r="CL114" i="1"/>
  <c r="CL102" i="1"/>
  <c r="CL157" i="1"/>
  <c r="CL139" i="1"/>
  <c r="CL110" i="1"/>
  <c r="CL134" i="1"/>
  <c r="CL117" i="1"/>
  <c r="CL115" i="1"/>
  <c r="CL97" i="1"/>
  <c r="CL141" i="1"/>
  <c r="CL133" i="1"/>
  <c r="CL122" i="1"/>
  <c r="CL113" i="1"/>
  <c r="CL101" i="1"/>
  <c r="CL94" i="1"/>
  <c r="CL154" i="1"/>
  <c r="CL99" i="1"/>
  <c r="CL111" i="1"/>
  <c r="CL156" i="1"/>
  <c r="CL148" i="1"/>
  <c r="CL126" i="1"/>
  <c r="CL124" i="1"/>
  <c r="CL106" i="1"/>
  <c r="CL147" i="1"/>
  <c r="CL119" i="1"/>
  <c r="CL143" i="1"/>
  <c r="CL136" i="1"/>
  <c r="CL112" i="1"/>
  <c r="CL137" i="1"/>
  <c r="CL140" i="1"/>
  <c r="CL108" i="1"/>
  <c r="CL145" i="1"/>
  <c r="CL167" i="1"/>
  <c r="CL146" i="1"/>
  <c r="CL142" i="1"/>
  <c r="CL118" i="1"/>
  <c r="CL135" i="1"/>
  <c r="CL132" i="1"/>
  <c r="CK127" i="1"/>
  <c r="CK123" i="1"/>
  <c r="CK120" i="1"/>
  <c r="CM170" i="1"/>
  <c r="CK135" i="1"/>
  <c r="CK162" i="1"/>
  <c r="CK107" i="1"/>
  <c r="CL158" i="1"/>
  <c r="CL163" i="1"/>
  <c r="CL120" i="1"/>
  <c r="CK149" i="1"/>
  <c r="CL127" i="1"/>
  <c r="CL162" i="1"/>
  <c r="CL90" i="1"/>
  <c r="CI22" i="1"/>
  <c r="CI203" i="1"/>
  <c r="CI211" i="1"/>
  <c r="CI26" i="1"/>
  <c r="CI44" i="1"/>
  <c r="CI16" i="1"/>
  <c r="CI32" i="1"/>
  <c r="CI191" i="1"/>
  <c r="CI193" i="1"/>
  <c r="CI213" i="1"/>
  <c r="CI215" i="1"/>
  <c r="CI217" i="1"/>
  <c r="CJ174" i="1"/>
  <c r="CJ173" i="1"/>
  <c r="CJ59" i="1"/>
  <c r="CJ60" i="1"/>
  <c r="CM78" i="1"/>
  <c r="CM200" i="1"/>
  <c r="CM50" i="1"/>
  <c r="CM17" i="1"/>
  <c r="CM63" i="1"/>
  <c r="CM182" i="1"/>
  <c r="CM83" i="1"/>
  <c r="CM188" i="1"/>
  <c r="CM69" i="1"/>
  <c r="CM207" i="1"/>
  <c r="CM27" i="1"/>
  <c r="CM36" i="1"/>
  <c r="CM195" i="1"/>
  <c r="CM55" i="1"/>
  <c r="CM53" i="1"/>
  <c r="CM30" i="1"/>
  <c r="CM24" i="1"/>
  <c r="CM48" i="1"/>
  <c r="CM84" i="1"/>
  <c r="CM51" i="1"/>
  <c r="CL169" i="1"/>
  <c r="CM197" i="1"/>
  <c r="CM62" i="1"/>
  <c r="CM205" i="1"/>
  <c r="CM86" i="1"/>
  <c r="CM209" i="1"/>
  <c r="CM198" i="1"/>
  <c r="CM192" i="1"/>
  <c r="CM214" i="1"/>
  <c r="CM46" i="1"/>
  <c r="CM29" i="1"/>
  <c r="CM64" i="1"/>
  <c r="CL57" i="1"/>
  <c r="CL170" i="1"/>
  <c r="CL109" i="1"/>
  <c r="CM47" i="1"/>
  <c r="CM35" i="1"/>
  <c r="CM199" i="1"/>
  <c r="CM184" i="1"/>
  <c r="CM65" i="1"/>
  <c r="CM73" i="1"/>
  <c r="CM40" i="1"/>
  <c r="CM79" i="1"/>
  <c r="CM68" i="1"/>
  <c r="CM85" i="1"/>
  <c r="CM206" i="1"/>
  <c r="CL116" i="1"/>
  <c r="CL98" i="1"/>
  <c r="CM212" i="1"/>
  <c r="CM28" i="1"/>
  <c r="CM194" i="1"/>
  <c r="CM183" i="1"/>
  <c r="CM186" i="1"/>
  <c r="CM38" i="1"/>
  <c r="CM20" i="1"/>
  <c r="CM72" i="1"/>
  <c r="CM76" i="1"/>
  <c r="CM45" i="1"/>
  <c r="CM66" i="1"/>
  <c r="CM39" i="1"/>
  <c r="CM42" i="1"/>
  <c r="CM81" i="1"/>
  <c r="CM71" i="1"/>
  <c r="CM190" i="1"/>
  <c r="CM80" i="1"/>
  <c r="CM208" i="1"/>
  <c r="CM204" i="1"/>
  <c r="CM19" i="1"/>
  <c r="CM21" i="1"/>
  <c r="CM18" i="1"/>
  <c r="CL160" i="1"/>
  <c r="CL129" i="1"/>
  <c r="CL125" i="1"/>
  <c r="CL96" i="1"/>
  <c r="CL152" i="1"/>
  <c r="CM185" i="1"/>
  <c r="CM43" i="1"/>
  <c r="CL168" i="1"/>
  <c r="CL103" i="1"/>
  <c r="CM201" i="1"/>
  <c r="CM52" i="1"/>
  <c r="CM70" i="1"/>
  <c r="CM49" i="1"/>
  <c r="CM34" i="1"/>
  <c r="CM189" i="1"/>
  <c r="CM180" i="1"/>
  <c r="CM41" i="1"/>
  <c r="CM196" i="1"/>
  <c r="CM202" i="1"/>
  <c r="CL105" i="1"/>
  <c r="CL155" i="1"/>
  <c r="CK129" i="1"/>
  <c r="CM187" i="1"/>
  <c r="CM54" i="1"/>
  <c r="CM210" i="1"/>
  <c r="CM181" i="1"/>
  <c r="CM14" i="1"/>
  <c r="CM37" i="1"/>
  <c r="CM82" i="1"/>
  <c r="CM33" i="1"/>
  <c r="CM25" i="1"/>
  <c r="CM75" i="1"/>
  <c r="CM31" i="1"/>
  <c r="CM74" i="1"/>
  <c r="CL150" i="1"/>
  <c r="CL104" i="1"/>
  <c r="CL144" i="1"/>
  <c r="CM167" i="1"/>
  <c r="CM106" i="1"/>
  <c r="CM102" i="1"/>
  <c r="CM166" i="1"/>
  <c r="CM93" i="1"/>
  <c r="CM101" i="1"/>
  <c r="CM104" i="1"/>
  <c r="CM145" i="1"/>
  <c r="CM139" i="1"/>
  <c r="CM141" i="1"/>
  <c r="CM137" i="1"/>
  <c r="CM156" i="1"/>
  <c r="CM150" i="1"/>
  <c r="CM133" i="1"/>
  <c r="CM98" i="1"/>
  <c r="CM140" i="1"/>
  <c r="CM124" i="1"/>
  <c r="CM131" i="1"/>
  <c r="CM144" i="1"/>
  <c r="CM134" i="1"/>
  <c r="CM94" i="1"/>
  <c r="CM138" i="1"/>
  <c r="CM109" i="1"/>
  <c r="CM112" i="1"/>
  <c r="CM97" i="1"/>
  <c r="CM126" i="1"/>
  <c r="CM111" i="1"/>
  <c r="CM122" i="1"/>
  <c r="CM119" i="1"/>
  <c r="CM168" i="1"/>
  <c r="CM96" i="1"/>
  <c r="CM100" i="1"/>
  <c r="CL149" i="1"/>
  <c r="CL123" i="1"/>
  <c r="CN119" i="1"/>
  <c r="CL107" i="1"/>
  <c r="CM90" i="1"/>
  <c r="CM132" i="1"/>
  <c r="CM127" i="1"/>
  <c r="CJ191" i="1"/>
  <c r="CJ193" i="1"/>
  <c r="CJ213" i="1"/>
  <c r="CJ215" i="1"/>
  <c r="CJ217" i="1"/>
  <c r="CJ16" i="1"/>
  <c r="CJ22" i="1"/>
  <c r="CJ26" i="1"/>
  <c r="CJ203" i="1"/>
  <c r="CJ211" i="1"/>
  <c r="CJ44" i="1"/>
  <c r="CJ32" i="1"/>
  <c r="CK174" i="1"/>
  <c r="CK59" i="1"/>
  <c r="CK173" i="1"/>
  <c r="CK60" i="1"/>
  <c r="CN63" i="1"/>
  <c r="CN25" i="1"/>
  <c r="CN43" i="1"/>
  <c r="CN24" i="1"/>
  <c r="CN186" i="1"/>
  <c r="CN53" i="1"/>
  <c r="CN54" i="1"/>
  <c r="CN36" i="1"/>
  <c r="CN49" i="1"/>
  <c r="CN69" i="1"/>
  <c r="CN209" i="1"/>
  <c r="CN52" i="1"/>
  <c r="CN206" i="1"/>
  <c r="CN208" i="1"/>
  <c r="CN30" i="1"/>
  <c r="CN212" i="1"/>
  <c r="CN196" i="1"/>
  <c r="CN64" i="1"/>
  <c r="CN18" i="1"/>
  <c r="CN47" i="1"/>
  <c r="CN189" i="1"/>
  <c r="CN38" i="1"/>
  <c r="CN29" i="1"/>
  <c r="CM152" i="1"/>
  <c r="CM146" i="1"/>
  <c r="CM115" i="1"/>
  <c r="CM99" i="1"/>
  <c r="CM117" i="1"/>
  <c r="CM169" i="1"/>
  <c r="CM165" i="1"/>
  <c r="CM125" i="1"/>
  <c r="CN150" i="1"/>
  <c r="CN80" i="1"/>
  <c r="CN37" i="1"/>
  <c r="CN76" i="1"/>
  <c r="CN182" i="1"/>
  <c r="CN197" i="1"/>
  <c r="CN66" i="1"/>
  <c r="CN75" i="1"/>
  <c r="CN31" i="1"/>
  <c r="CN73" i="1"/>
  <c r="CN82" i="1"/>
  <c r="CM116" i="1"/>
  <c r="CM113" i="1"/>
  <c r="CN21" i="1"/>
  <c r="CN51" i="1"/>
  <c r="CN71" i="1"/>
  <c r="CN35" i="1"/>
  <c r="CN79" i="1"/>
  <c r="CN19" i="1"/>
  <c r="CN28" i="1"/>
  <c r="CN214" i="1"/>
  <c r="CN39" i="1"/>
  <c r="CN42" i="1"/>
  <c r="CN86" i="1"/>
  <c r="CN199" i="1"/>
  <c r="CN78" i="1"/>
  <c r="CN204" i="1"/>
  <c r="CN185" i="1"/>
  <c r="CN200" i="1"/>
  <c r="CN40" i="1"/>
  <c r="CN34" i="1"/>
  <c r="CN33" i="1"/>
  <c r="CN183" i="1"/>
  <c r="CN187" i="1"/>
  <c r="CM118" i="1"/>
  <c r="CM95" i="1"/>
  <c r="CM142" i="1"/>
  <c r="CM121" i="1"/>
  <c r="CM148" i="1"/>
  <c r="CM155" i="1"/>
  <c r="CM153" i="1"/>
  <c r="CM103" i="1"/>
  <c r="CN84" i="1"/>
  <c r="CN202" i="1"/>
  <c r="CN192" i="1"/>
  <c r="CN181" i="1"/>
  <c r="CN210" i="1"/>
  <c r="CN201" i="1"/>
  <c r="CN74" i="1"/>
  <c r="CN184" i="1"/>
  <c r="CN188" i="1"/>
  <c r="CN70" i="1"/>
  <c r="CN50" i="1"/>
  <c r="CN48" i="1"/>
  <c r="CN83" i="1"/>
  <c r="CN41" i="1"/>
  <c r="CN45" i="1"/>
  <c r="CN194" i="1"/>
  <c r="CN195" i="1"/>
  <c r="CN207" i="1"/>
  <c r="CN14" i="1"/>
  <c r="CN55" i="1"/>
  <c r="CN27" i="1"/>
  <c r="CM57" i="1"/>
  <c r="CM108" i="1"/>
  <c r="CM143" i="1"/>
  <c r="CM136" i="1"/>
  <c r="CM151" i="1"/>
  <c r="CM110" i="1"/>
  <c r="CN20" i="1"/>
  <c r="CN81" i="1"/>
  <c r="CN68" i="1"/>
  <c r="CN65" i="1"/>
  <c r="CN205" i="1"/>
  <c r="CN198" i="1"/>
  <c r="CN72" i="1"/>
  <c r="CN17" i="1"/>
  <c r="CN190" i="1"/>
  <c r="CN180" i="1"/>
  <c r="CN62" i="1"/>
  <c r="CN46" i="1"/>
  <c r="CN85" i="1"/>
  <c r="CM157" i="1"/>
  <c r="CM114" i="1"/>
  <c r="CM105" i="1"/>
  <c r="CM154" i="1"/>
  <c r="CM147" i="1"/>
  <c r="CM129" i="1"/>
  <c r="CN153" i="1"/>
  <c r="CN155" i="1"/>
  <c r="CN138" i="1"/>
  <c r="CN103" i="1"/>
  <c r="CN106" i="1"/>
  <c r="CN115" i="1"/>
  <c r="CN102" i="1"/>
  <c r="CN145" i="1"/>
  <c r="CN95" i="1"/>
  <c r="CN166" i="1"/>
  <c r="CN139" i="1"/>
  <c r="CN93" i="1"/>
  <c r="CN98" i="1"/>
  <c r="CN105" i="1"/>
  <c r="CN157" i="1"/>
  <c r="CN113" i="1"/>
  <c r="CN154" i="1"/>
  <c r="CN121" i="1"/>
  <c r="CN94" i="1"/>
  <c r="CN111" i="1"/>
  <c r="CN134" i="1"/>
  <c r="CN137" i="1"/>
  <c r="CN124" i="1"/>
  <c r="CN144" i="1"/>
  <c r="CN116" i="1"/>
  <c r="CN110" i="1"/>
  <c r="CN100" i="1"/>
  <c r="CN109" i="1"/>
  <c r="CN165" i="1"/>
  <c r="CN143" i="1"/>
  <c r="CN131" i="1"/>
  <c r="CN97" i="1"/>
  <c r="CN142" i="1"/>
  <c r="CN118" i="1"/>
  <c r="CN141" i="1"/>
  <c r="CN148" i="1"/>
  <c r="CN140" i="1"/>
  <c r="CN151" i="1"/>
  <c r="CN168" i="1"/>
  <c r="CN114" i="1"/>
  <c r="CN167" i="1"/>
  <c r="CN133" i="1"/>
  <c r="CN99" i="1"/>
  <c r="CN96" i="1"/>
  <c r="CN156" i="1"/>
  <c r="CN126" i="1"/>
  <c r="CN101" i="1"/>
  <c r="CN125" i="1"/>
  <c r="CN170" i="1"/>
  <c r="CN117" i="1"/>
  <c r="CN169" i="1"/>
  <c r="CN122" i="1"/>
  <c r="CN104" i="1"/>
  <c r="CN108" i="1"/>
  <c r="CN136" i="1"/>
  <c r="CN152" i="1"/>
  <c r="CN147" i="1"/>
  <c r="CN146" i="1"/>
  <c r="CN112" i="1"/>
  <c r="CN163" i="1"/>
  <c r="CM162" i="1"/>
  <c r="CM149" i="1"/>
  <c r="CM135" i="1"/>
  <c r="CM107" i="1"/>
  <c r="CN158" i="1"/>
  <c r="CN120" i="1"/>
  <c r="CO122" i="1"/>
  <c r="CM158" i="1"/>
  <c r="CM120" i="1"/>
  <c r="CM163" i="1"/>
  <c r="CN107" i="1"/>
  <c r="CN127" i="1"/>
  <c r="CN135" i="1"/>
  <c r="CN132" i="1"/>
  <c r="CN162" i="1"/>
  <c r="CN123" i="1"/>
  <c r="CN149" i="1"/>
  <c r="CM123" i="1"/>
  <c r="CN90" i="1"/>
  <c r="CL174" i="1"/>
  <c r="CL59" i="1"/>
  <c r="CL173" i="1"/>
  <c r="CL60" i="1"/>
  <c r="CK203" i="1"/>
  <c r="CK44" i="1"/>
  <c r="CK211" i="1"/>
  <c r="CK32" i="1"/>
  <c r="CK191" i="1"/>
  <c r="CK193" i="1"/>
  <c r="CK213" i="1"/>
  <c r="CK215" i="1"/>
  <c r="CK217" i="1"/>
  <c r="CK22" i="1"/>
  <c r="CK16" i="1"/>
  <c r="CK26" i="1"/>
  <c r="CO197" i="1"/>
  <c r="CO21" i="1"/>
  <c r="CO200" i="1"/>
  <c r="CO14" i="1"/>
  <c r="CO30" i="1"/>
  <c r="CO39" i="1"/>
  <c r="CO198" i="1"/>
  <c r="CO74" i="1"/>
  <c r="CO55" i="1"/>
  <c r="CO83" i="1"/>
  <c r="CO192" i="1"/>
  <c r="CO214" i="1"/>
  <c r="CO46" i="1"/>
  <c r="CO50" i="1"/>
  <c r="CO25" i="1"/>
  <c r="CO202" i="1"/>
  <c r="CN57" i="1"/>
  <c r="CO196" i="1"/>
  <c r="CO71" i="1"/>
  <c r="CO36" i="1"/>
  <c r="CO52" i="1"/>
  <c r="CO69" i="1"/>
  <c r="CO17" i="1"/>
  <c r="CO27" i="1"/>
  <c r="CO186" i="1"/>
  <c r="CO70" i="1"/>
  <c r="CO28" i="1"/>
  <c r="CN160" i="1"/>
  <c r="CO189" i="1"/>
  <c r="CO182" i="1"/>
  <c r="CO208" i="1"/>
  <c r="CO210" i="1"/>
  <c r="CO195" i="1"/>
  <c r="CO184" i="1"/>
  <c r="CO183" i="1"/>
  <c r="CO18" i="1"/>
  <c r="CM160" i="1"/>
  <c r="CO38" i="1"/>
  <c r="CO201" i="1"/>
  <c r="CO41" i="1"/>
  <c r="CO66" i="1"/>
  <c r="CO84" i="1"/>
  <c r="CO33" i="1"/>
  <c r="CO37" i="1"/>
  <c r="CO180" i="1"/>
  <c r="CO64" i="1"/>
  <c r="CO187" i="1"/>
  <c r="CO40" i="1"/>
  <c r="CO199" i="1"/>
  <c r="CO19" i="1"/>
  <c r="CO43" i="1"/>
  <c r="CO181" i="1"/>
  <c r="CO82" i="1"/>
  <c r="CO85" i="1"/>
  <c r="CO73" i="1"/>
  <c r="CO207" i="1"/>
  <c r="CO29" i="1"/>
  <c r="CO72" i="1"/>
  <c r="CO51" i="1"/>
  <c r="CO76" i="1"/>
  <c r="CO75" i="1"/>
  <c r="CO48" i="1"/>
  <c r="CO68" i="1"/>
  <c r="CO31" i="1"/>
  <c r="CO188" i="1"/>
  <c r="CO100" i="1"/>
  <c r="CO81" i="1"/>
  <c r="CO45" i="1"/>
  <c r="CO53" i="1"/>
  <c r="CO79" i="1"/>
  <c r="CO80" i="1"/>
  <c r="CO190" i="1"/>
  <c r="CO62" i="1"/>
  <c r="CO42" i="1"/>
  <c r="CO194" i="1"/>
  <c r="CO204" i="1"/>
  <c r="CO212" i="1"/>
  <c r="CO47" i="1"/>
  <c r="CO205" i="1"/>
  <c r="CO86" i="1"/>
  <c r="CO65" i="1"/>
  <c r="CO34" i="1"/>
  <c r="CO209" i="1"/>
  <c r="CO63" i="1"/>
  <c r="CO185" i="1"/>
  <c r="CO20" i="1"/>
  <c r="CO35" i="1"/>
  <c r="CO206" i="1"/>
  <c r="CO54" i="1"/>
  <c r="CO24" i="1"/>
  <c r="CO78" i="1"/>
  <c r="CO49" i="1"/>
  <c r="CN129" i="1"/>
  <c r="CO108" i="1"/>
  <c r="CO157" i="1"/>
  <c r="CO139" i="1"/>
  <c r="CO98" i="1"/>
  <c r="CO145" i="1"/>
  <c r="CO116" i="1"/>
  <c r="CO153" i="1"/>
  <c r="CO102" i="1"/>
  <c r="CO143" i="1"/>
  <c r="CO147" i="1"/>
  <c r="CO131" i="1"/>
  <c r="CO109" i="1"/>
  <c r="CO170" i="1"/>
  <c r="CO138" i="1"/>
  <c r="CO152" i="1"/>
  <c r="CO142" i="1"/>
  <c r="CO144" i="1"/>
  <c r="CO166" i="1"/>
  <c r="CO105" i="1"/>
  <c r="CO93" i="1"/>
  <c r="CO168" i="1"/>
  <c r="CO104" i="1"/>
  <c r="CO110" i="1"/>
  <c r="CO169" i="1"/>
  <c r="CO151" i="1"/>
  <c r="CO115" i="1"/>
  <c r="CO126" i="1"/>
  <c r="CO99" i="1"/>
  <c r="CO95" i="1"/>
  <c r="CO165" i="1"/>
  <c r="CO101" i="1"/>
  <c r="CO125" i="1"/>
  <c r="CO154" i="1"/>
  <c r="CO150" i="1"/>
  <c r="CO133" i="1"/>
  <c r="CO118" i="1"/>
  <c r="CO96" i="1"/>
  <c r="CO113" i="1"/>
  <c r="CO134" i="1"/>
  <c r="CO124" i="1"/>
  <c r="CO103" i="1"/>
  <c r="CO167" i="1"/>
  <c r="CO117" i="1"/>
  <c r="CO107" i="1"/>
  <c r="CP119" i="1"/>
  <c r="CO123" i="1"/>
  <c r="CO163" i="1"/>
  <c r="CO149" i="1"/>
  <c r="CO132" i="1"/>
  <c r="CO90" i="1"/>
  <c r="CL191" i="1"/>
  <c r="CL193" i="1"/>
  <c r="CL213" i="1"/>
  <c r="CL215" i="1"/>
  <c r="CL217" i="1"/>
  <c r="CM173" i="1"/>
  <c r="CM59" i="1"/>
  <c r="CM174" i="1"/>
  <c r="CM60" i="1"/>
  <c r="CL26" i="1"/>
  <c r="CL22" i="1"/>
  <c r="CL211" i="1"/>
  <c r="CL203" i="1"/>
  <c r="CL44" i="1"/>
  <c r="CL16" i="1"/>
  <c r="CL32" i="1"/>
  <c r="CP79" i="1"/>
  <c r="CP46" i="1"/>
  <c r="CP62" i="1"/>
  <c r="CP54" i="1"/>
  <c r="CP14" i="1"/>
  <c r="CP68" i="1"/>
  <c r="CP80" i="1"/>
  <c r="CP209" i="1"/>
  <c r="CP34" i="1"/>
  <c r="CP195" i="1"/>
  <c r="CP39" i="1"/>
  <c r="CP38" i="1"/>
  <c r="CP194" i="1"/>
  <c r="CP74" i="1"/>
  <c r="CP82" i="1"/>
  <c r="CP69" i="1"/>
  <c r="CP189" i="1"/>
  <c r="CP202" i="1"/>
  <c r="CP48" i="1"/>
  <c r="CP50" i="1"/>
  <c r="CP181" i="1"/>
  <c r="CP35" i="1"/>
  <c r="CO57" i="1"/>
  <c r="CO136" i="1"/>
  <c r="CO97" i="1"/>
  <c r="CO141" i="1"/>
  <c r="CO121" i="1"/>
  <c r="CP18" i="1"/>
  <c r="CP30" i="1"/>
  <c r="CP27" i="1"/>
  <c r="CO106" i="1"/>
  <c r="CO156" i="1"/>
  <c r="CP206" i="1"/>
  <c r="CP184" i="1"/>
  <c r="CP51" i="1"/>
  <c r="CP70" i="1"/>
  <c r="CP85" i="1"/>
  <c r="CP199" i="1"/>
  <c r="CP183" i="1"/>
  <c r="CP66" i="1"/>
  <c r="CP31" i="1"/>
  <c r="CP55" i="1"/>
  <c r="CO140" i="1"/>
  <c r="CO146" i="1"/>
  <c r="CP207" i="1"/>
  <c r="CP190" i="1"/>
  <c r="CP200" i="1"/>
  <c r="CP197" i="1"/>
  <c r="CP185" i="1"/>
  <c r="CP63" i="1"/>
  <c r="CP43" i="1"/>
  <c r="CP204" i="1"/>
  <c r="CP20" i="1"/>
  <c r="CP84" i="1"/>
  <c r="CP210" i="1"/>
  <c r="CP24" i="1"/>
  <c r="CP41" i="1"/>
  <c r="CP42" i="1"/>
  <c r="CP40" i="1"/>
  <c r="CP36" i="1"/>
  <c r="CP71" i="1"/>
  <c r="CP188" i="1"/>
  <c r="CP78" i="1"/>
  <c r="CP52" i="1"/>
  <c r="CP86" i="1"/>
  <c r="CO137" i="1"/>
  <c r="CO155" i="1"/>
  <c r="CO148" i="1"/>
  <c r="CO119" i="1"/>
  <c r="CP75" i="1"/>
  <c r="CP29" i="1"/>
  <c r="CP37" i="1"/>
  <c r="CP72" i="1"/>
  <c r="CP83" i="1"/>
  <c r="CP196" i="1"/>
  <c r="CP33" i="1"/>
  <c r="CP208" i="1"/>
  <c r="CP180" i="1"/>
  <c r="CP198" i="1"/>
  <c r="CP65" i="1"/>
  <c r="CP186" i="1"/>
  <c r="CP17" i="1"/>
  <c r="CP21" i="1"/>
  <c r="CP19" i="1"/>
  <c r="CP28" i="1"/>
  <c r="CP25" i="1"/>
  <c r="CP45" i="1"/>
  <c r="CP182" i="1"/>
  <c r="CP64" i="1"/>
  <c r="CO112" i="1"/>
  <c r="CO111" i="1"/>
  <c r="CP73" i="1"/>
  <c r="CP205" i="1"/>
  <c r="CP187" i="1"/>
  <c r="CP76" i="1"/>
  <c r="CP192" i="1"/>
  <c r="CP47" i="1"/>
  <c r="CP49" i="1"/>
  <c r="CP212" i="1"/>
  <c r="CP214" i="1"/>
  <c r="CP81" i="1"/>
  <c r="CP53" i="1"/>
  <c r="CP201" i="1"/>
  <c r="CO94" i="1"/>
  <c r="CO114" i="1"/>
  <c r="CP96" i="1"/>
  <c r="CP170" i="1"/>
  <c r="CP111" i="1"/>
  <c r="CP110" i="1"/>
  <c r="CP117" i="1"/>
  <c r="CP114" i="1"/>
  <c r="CP112" i="1"/>
  <c r="CP106" i="1"/>
  <c r="CP102" i="1"/>
  <c r="CP95" i="1"/>
  <c r="CP93" i="1"/>
  <c r="CP143" i="1"/>
  <c r="CP152" i="1"/>
  <c r="CP103" i="1"/>
  <c r="CP125" i="1"/>
  <c r="CP99" i="1"/>
  <c r="CP155" i="1"/>
  <c r="CP118" i="1"/>
  <c r="CP165" i="1"/>
  <c r="CP124" i="1"/>
  <c r="CP142" i="1"/>
  <c r="CP126" i="1"/>
  <c r="CP137" i="1"/>
  <c r="CP101" i="1"/>
  <c r="CP141" i="1"/>
  <c r="CP108" i="1"/>
  <c r="CP145" i="1"/>
  <c r="CP169" i="1"/>
  <c r="CP121" i="1"/>
  <c r="CP105" i="1"/>
  <c r="CP154" i="1"/>
  <c r="CP116" i="1"/>
  <c r="CP122" i="1"/>
  <c r="CP98" i="1"/>
  <c r="CP166" i="1"/>
  <c r="CP136" i="1"/>
  <c r="CP140" i="1"/>
  <c r="CP148" i="1"/>
  <c r="CP104" i="1"/>
  <c r="CP115" i="1"/>
  <c r="CP133" i="1"/>
  <c r="CP138" i="1"/>
  <c r="CP139" i="1"/>
  <c r="CP168" i="1"/>
  <c r="CP167" i="1"/>
  <c r="CP100" i="1"/>
  <c r="CP113" i="1"/>
  <c r="CP109" i="1"/>
  <c r="CP151" i="1"/>
  <c r="CP144" i="1"/>
  <c r="CP134" i="1"/>
  <c r="CP156" i="1"/>
  <c r="CP157" i="1"/>
  <c r="CP94" i="1"/>
  <c r="CP153" i="1"/>
  <c r="CP150" i="1"/>
  <c r="CP131" i="1"/>
  <c r="CP146" i="1"/>
  <c r="CP97" i="1"/>
  <c r="CP147" i="1"/>
  <c r="CP127" i="1"/>
  <c r="CO127" i="1"/>
  <c r="CQ156" i="1"/>
  <c r="CP123" i="1"/>
  <c r="CP163" i="1"/>
  <c r="CP135" i="1"/>
  <c r="CP162" i="1"/>
  <c r="CP158" i="1"/>
  <c r="CO158" i="1"/>
  <c r="CP149" i="1"/>
  <c r="CP107" i="1"/>
  <c r="CP132" i="1"/>
  <c r="CO162" i="1"/>
  <c r="CP120" i="1"/>
  <c r="CO120" i="1"/>
  <c r="CO135" i="1"/>
  <c r="CP90" i="1"/>
  <c r="CM26" i="1"/>
  <c r="CM44" i="1"/>
  <c r="CM22" i="1"/>
  <c r="CM16" i="1"/>
  <c r="CM203" i="1"/>
  <c r="CM32" i="1"/>
  <c r="CM211" i="1"/>
  <c r="CN60" i="1"/>
  <c r="CN174" i="1"/>
  <c r="CN59" i="1"/>
  <c r="CN173" i="1"/>
  <c r="CM191" i="1"/>
  <c r="CM193" i="1"/>
  <c r="CM213" i="1"/>
  <c r="CM215" i="1"/>
  <c r="CM217" i="1"/>
  <c r="CP129" i="1"/>
  <c r="CQ74" i="1"/>
  <c r="CQ206" i="1"/>
  <c r="CQ192" i="1"/>
  <c r="CQ35" i="1"/>
  <c r="CQ42" i="1"/>
  <c r="CQ63" i="1"/>
  <c r="CQ182" i="1"/>
  <c r="CQ209" i="1"/>
  <c r="CQ20" i="1"/>
  <c r="CQ184" i="1"/>
  <c r="CQ186" i="1"/>
  <c r="CQ68" i="1"/>
  <c r="CQ207" i="1"/>
  <c r="CQ188" i="1"/>
  <c r="CQ190" i="1"/>
  <c r="CQ17" i="1"/>
  <c r="CQ78" i="1"/>
  <c r="CQ194" i="1"/>
  <c r="CQ71" i="1"/>
  <c r="CQ54" i="1"/>
  <c r="CQ81" i="1"/>
  <c r="CQ21" i="1"/>
  <c r="CP160" i="1"/>
  <c r="CQ38" i="1"/>
  <c r="CQ86" i="1"/>
  <c r="CQ48" i="1"/>
  <c r="CQ27" i="1"/>
  <c r="CQ85" i="1"/>
  <c r="CQ29" i="1"/>
  <c r="CQ34" i="1"/>
  <c r="CQ185" i="1"/>
  <c r="CQ208" i="1"/>
  <c r="CQ153" i="1"/>
  <c r="CO129" i="1"/>
  <c r="CQ37" i="1"/>
  <c r="CQ80" i="1"/>
  <c r="CQ70" i="1"/>
  <c r="CQ201" i="1"/>
  <c r="CQ49" i="1"/>
  <c r="CQ198" i="1"/>
  <c r="CQ24" i="1"/>
  <c r="CQ75" i="1"/>
  <c r="CQ197" i="1"/>
  <c r="CQ189" i="1"/>
  <c r="CQ31" i="1"/>
  <c r="CQ45" i="1"/>
  <c r="CQ51" i="1"/>
  <c r="CQ65" i="1"/>
  <c r="CQ183" i="1"/>
  <c r="CQ195" i="1"/>
  <c r="CQ62" i="1"/>
  <c r="CQ84" i="1"/>
  <c r="CQ53" i="1"/>
  <c r="CQ25" i="1"/>
  <c r="CQ28" i="1"/>
  <c r="CQ82" i="1"/>
  <c r="CO160" i="1"/>
  <c r="CQ212" i="1"/>
  <c r="CQ69" i="1"/>
  <c r="CQ18" i="1"/>
  <c r="CQ73" i="1"/>
  <c r="CQ180" i="1"/>
  <c r="CQ200" i="1"/>
  <c r="CQ47" i="1"/>
  <c r="CQ199" i="1"/>
  <c r="CQ30" i="1"/>
  <c r="CQ33" i="1"/>
  <c r="CQ50" i="1"/>
  <c r="CQ210" i="1"/>
  <c r="CQ43" i="1"/>
  <c r="CQ52" i="1"/>
  <c r="CQ40" i="1"/>
  <c r="CQ46" i="1"/>
  <c r="CQ64" i="1"/>
  <c r="CQ187" i="1"/>
  <c r="CQ76" i="1"/>
  <c r="CQ214" i="1"/>
  <c r="CQ83" i="1"/>
  <c r="CQ204" i="1"/>
  <c r="CQ36" i="1"/>
  <c r="CP57" i="1"/>
  <c r="CQ196" i="1"/>
  <c r="CQ205" i="1"/>
  <c r="CQ66" i="1"/>
  <c r="CQ72" i="1"/>
  <c r="CQ39" i="1"/>
  <c r="CQ181" i="1"/>
  <c r="CQ19" i="1"/>
  <c r="CQ14" i="1"/>
  <c r="CQ202" i="1"/>
  <c r="CQ41" i="1"/>
  <c r="CQ79" i="1"/>
  <c r="CQ55" i="1"/>
  <c r="CQ98" i="1"/>
  <c r="CQ118" i="1"/>
  <c r="CQ137" i="1"/>
  <c r="CQ141" i="1"/>
  <c r="CQ148" i="1"/>
  <c r="CQ165" i="1"/>
  <c r="CQ131" i="1"/>
  <c r="CQ94" i="1"/>
  <c r="CQ116" i="1"/>
  <c r="CQ169" i="1"/>
  <c r="CQ102" i="1"/>
  <c r="CR102" i="1"/>
  <c r="CQ90" i="1"/>
  <c r="CN203" i="1"/>
  <c r="CN44" i="1"/>
  <c r="CN26" i="1"/>
  <c r="CN32" i="1"/>
  <c r="CN211" i="1"/>
  <c r="CN16" i="1"/>
  <c r="CN22" i="1"/>
  <c r="CN191" i="1"/>
  <c r="CN193" i="1"/>
  <c r="CN213" i="1"/>
  <c r="CN215" i="1"/>
  <c r="CN217" i="1"/>
  <c r="CO174" i="1"/>
  <c r="CO173" i="1"/>
  <c r="CO60" i="1"/>
  <c r="CO59" i="1"/>
  <c r="CR85" i="1"/>
  <c r="CR188" i="1"/>
  <c r="CR31" i="1"/>
  <c r="CR53" i="1"/>
  <c r="CR50" i="1"/>
  <c r="CR68" i="1"/>
  <c r="CR37" i="1"/>
  <c r="CR83" i="1"/>
  <c r="CR74" i="1"/>
  <c r="CR45" i="1"/>
  <c r="CR73" i="1"/>
  <c r="CR86" i="1"/>
  <c r="CR70" i="1"/>
  <c r="CR36" i="1"/>
  <c r="CR49" i="1"/>
  <c r="CR43" i="1"/>
  <c r="CR52" i="1"/>
  <c r="CR71" i="1"/>
  <c r="CR39" i="1"/>
  <c r="CR33" i="1"/>
  <c r="CQ117" i="1"/>
  <c r="CQ140" i="1"/>
  <c r="CQ139" i="1"/>
  <c r="CQ151" i="1"/>
  <c r="CQ157" i="1"/>
  <c r="CQ115" i="1"/>
  <c r="CQ101" i="1"/>
  <c r="CQ108" i="1"/>
  <c r="CQ93" i="1"/>
  <c r="CQ106" i="1"/>
  <c r="CQ119" i="1"/>
  <c r="CQ144" i="1"/>
  <c r="CR201" i="1"/>
  <c r="CR200" i="1"/>
  <c r="CR185" i="1"/>
  <c r="CR82" i="1"/>
  <c r="CR81" i="1"/>
  <c r="CR34" i="1"/>
  <c r="CR69" i="1"/>
  <c r="CR79" i="1"/>
  <c r="CR41" i="1"/>
  <c r="CR35" i="1"/>
  <c r="CR17" i="1"/>
  <c r="CQ170" i="1"/>
  <c r="CQ110" i="1"/>
  <c r="CQ97" i="1"/>
  <c r="CQ145" i="1"/>
  <c r="CQ154" i="1"/>
  <c r="CQ57" i="1"/>
  <c r="CR63" i="1"/>
  <c r="CR75" i="1"/>
  <c r="CR212" i="1"/>
  <c r="CR21" i="1"/>
  <c r="CR42" i="1"/>
  <c r="CR14" i="1"/>
  <c r="CR180" i="1"/>
  <c r="CR66" i="1"/>
  <c r="CR47" i="1"/>
  <c r="CR65" i="1"/>
  <c r="CR51" i="1"/>
  <c r="CR40" i="1"/>
  <c r="CR186" i="1"/>
  <c r="CR202" i="1"/>
  <c r="CR29" i="1"/>
  <c r="CR20" i="1"/>
  <c r="CR206" i="1"/>
  <c r="CR198" i="1"/>
  <c r="CR18" i="1"/>
  <c r="CR48" i="1"/>
  <c r="CR46" i="1"/>
  <c r="CR84" i="1"/>
  <c r="CQ152" i="1"/>
  <c r="CQ100" i="1"/>
  <c r="CQ113" i="1"/>
  <c r="CQ167" i="1"/>
  <c r="CQ166" i="1"/>
  <c r="CQ146" i="1"/>
  <c r="CQ96" i="1"/>
  <c r="CQ111" i="1"/>
  <c r="CQ104" i="1"/>
  <c r="CQ133" i="1"/>
  <c r="CR214" i="1"/>
  <c r="CR27" i="1"/>
  <c r="CR24" i="1"/>
  <c r="CR197" i="1"/>
  <c r="CR28" i="1"/>
  <c r="CR207" i="1"/>
  <c r="CR204" i="1"/>
  <c r="CR55" i="1"/>
  <c r="CR195" i="1"/>
  <c r="CR30" i="1"/>
  <c r="CR205" i="1"/>
  <c r="CR209" i="1"/>
  <c r="CR38" i="1"/>
  <c r="CR19" i="1"/>
  <c r="CR187" i="1"/>
  <c r="CR25" i="1"/>
  <c r="CR194" i="1"/>
  <c r="CR76" i="1"/>
  <c r="CR78" i="1"/>
  <c r="CR196" i="1"/>
  <c r="CR192" i="1"/>
  <c r="CR189" i="1"/>
  <c r="CR184" i="1"/>
  <c r="CQ109" i="1"/>
  <c r="CQ126" i="1"/>
  <c r="CQ122" i="1"/>
  <c r="CQ136" i="1"/>
  <c r="CQ147" i="1"/>
  <c r="CQ138" i="1"/>
  <c r="CQ112" i="1"/>
  <c r="CQ95" i="1"/>
  <c r="CQ143" i="1"/>
  <c r="CQ99" i="1"/>
  <c r="CQ168" i="1"/>
  <c r="CQ124" i="1"/>
  <c r="CQ134" i="1"/>
  <c r="CR62" i="1"/>
  <c r="CR210" i="1"/>
  <c r="CR80" i="1"/>
  <c r="CR182" i="1"/>
  <c r="CR199" i="1"/>
  <c r="CR208" i="1"/>
  <c r="CR181" i="1"/>
  <c r="CR72" i="1"/>
  <c r="CR190" i="1"/>
  <c r="CR64" i="1"/>
  <c r="CR54" i="1"/>
  <c r="CR183" i="1"/>
  <c r="CQ125" i="1"/>
  <c r="CQ155" i="1"/>
  <c r="CQ150" i="1"/>
  <c r="CQ114" i="1"/>
  <c r="CQ121" i="1"/>
  <c r="CQ142" i="1"/>
  <c r="CQ105" i="1"/>
  <c r="CQ103" i="1"/>
  <c r="CR166" i="1"/>
  <c r="CR156" i="1"/>
  <c r="CR119" i="1"/>
  <c r="CR116" i="1"/>
  <c r="CR126" i="1"/>
  <c r="CR147" i="1"/>
  <c r="CR144" i="1"/>
  <c r="CR100" i="1"/>
  <c r="CR115" i="1"/>
  <c r="CR142" i="1"/>
  <c r="CR124" i="1"/>
  <c r="CR113" i="1"/>
  <c r="CR143" i="1"/>
  <c r="CR140" i="1"/>
  <c r="CR153" i="1"/>
  <c r="CR137" i="1"/>
  <c r="CR136" i="1"/>
  <c r="CR117" i="1"/>
  <c r="CR134" i="1"/>
  <c r="CR96" i="1"/>
  <c r="CR139" i="1"/>
  <c r="CR95" i="1"/>
  <c r="CR93" i="1"/>
  <c r="CR103" i="1"/>
  <c r="CR152" i="1"/>
  <c r="CR118" i="1"/>
  <c r="CR157" i="1"/>
  <c r="CR114" i="1"/>
  <c r="CR94" i="1"/>
  <c r="CR104" i="1"/>
  <c r="CR170" i="1"/>
  <c r="CR105" i="1"/>
  <c r="CR150" i="1"/>
  <c r="CR99" i="1"/>
  <c r="CR151" i="1"/>
  <c r="CR148" i="1"/>
  <c r="CR167" i="1"/>
  <c r="CR112" i="1"/>
  <c r="CR101" i="1"/>
  <c r="CR154" i="1"/>
  <c r="CR110" i="1"/>
  <c r="CR131" i="1"/>
  <c r="CR141" i="1"/>
  <c r="CR145" i="1"/>
  <c r="CR138" i="1"/>
  <c r="CR125" i="1"/>
  <c r="CR123" i="1"/>
  <c r="CQ163" i="1"/>
  <c r="CQ120" i="1"/>
  <c r="CQ149" i="1"/>
  <c r="CS109" i="1"/>
  <c r="CR135" i="1"/>
  <c r="CR162" i="1"/>
  <c r="CQ123" i="1"/>
  <c r="CQ135" i="1"/>
  <c r="CQ132" i="1"/>
  <c r="CQ127" i="1"/>
  <c r="CR149" i="1"/>
  <c r="CR158" i="1"/>
  <c r="CQ107" i="1"/>
  <c r="CQ158" i="1"/>
  <c r="CQ162" i="1"/>
  <c r="CR163" i="1"/>
  <c r="CR90" i="1"/>
  <c r="CP59" i="1"/>
  <c r="CP173" i="1"/>
  <c r="CP60" i="1"/>
  <c r="CP174" i="1"/>
  <c r="CO191" i="1"/>
  <c r="CO193" i="1"/>
  <c r="CO213" i="1"/>
  <c r="CO215" i="1"/>
  <c r="CO217" i="1"/>
  <c r="CO32" i="1"/>
  <c r="CO44" i="1"/>
  <c r="CO22" i="1"/>
  <c r="CO211" i="1"/>
  <c r="CO16" i="1"/>
  <c r="CO26" i="1"/>
  <c r="CO203" i="1"/>
  <c r="CS210" i="1"/>
  <c r="CS35" i="1"/>
  <c r="CS50" i="1"/>
  <c r="CS207" i="1"/>
  <c r="CS28" i="1"/>
  <c r="CS24" i="1"/>
  <c r="CS69" i="1"/>
  <c r="CS76" i="1"/>
  <c r="CS185" i="1"/>
  <c r="CS25" i="1"/>
  <c r="CS188" i="1"/>
  <c r="CS29" i="1"/>
  <c r="CS72" i="1"/>
  <c r="CS184" i="1"/>
  <c r="CS62" i="1"/>
  <c r="CS75" i="1"/>
  <c r="CS190" i="1"/>
  <c r="CS40" i="1"/>
  <c r="CS17" i="1"/>
  <c r="CS49" i="1"/>
  <c r="CS19" i="1"/>
  <c r="CS192" i="1"/>
  <c r="CS195" i="1"/>
  <c r="CQ129" i="1"/>
  <c r="CQ160" i="1"/>
  <c r="CR109" i="1"/>
  <c r="CR121" i="1"/>
  <c r="CR146" i="1"/>
  <c r="CR97" i="1"/>
  <c r="CS74" i="1"/>
  <c r="CS43" i="1"/>
  <c r="CS14" i="1"/>
  <c r="CS204" i="1"/>
  <c r="CS183" i="1"/>
  <c r="CS37" i="1"/>
  <c r="CS80" i="1"/>
  <c r="CS79" i="1"/>
  <c r="CS83" i="1"/>
  <c r="CS187" i="1"/>
  <c r="CS47" i="1"/>
  <c r="CR122" i="1"/>
  <c r="CS189" i="1"/>
  <c r="CS21" i="1"/>
  <c r="CS206" i="1"/>
  <c r="CS194" i="1"/>
  <c r="CS33" i="1"/>
  <c r="CS85" i="1"/>
  <c r="CS86" i="1"/>
  <c r="CS54" i="1"/>
  <c r="CS197" i="1"/>
  <c r="CS78" i="1"/>
  <c r="CS70" i="1"/>
  <c r="CS52" i="1"/>
  <c r="CS66" i="1"/>
  <c r="CS27" i="1"/>
  <c r="CS65" i="1"/>
  <c r="CS46" i="1"/>
  <c r="CS205" i="1"/>
  <c r="CS181" i="1"/>
  <c r="CS31" i="1"/>
  <c r="CS81" i="1"/>
  <c r="CS196" i="1"/>
  <c r="CS82" i="1"/>
  <c r="CR169" i="1"/>
  <c r="CR111" i="1"/>
  <c r="CS73" i="1"/>
  <c r="CS199" i="1"/>
  <c r="CS63" i="1"/>
  <c r="CS68" i="1"/>
  <c r="CS186" i="1"/>
  <c r="CS39" i="1"/>
  <c r="CS38" i="1"/>
  <c r="CS198" i="1"/>
  <c r="CS34" i="1"/>
  <c r="CS20" i="1"/>
  <c r="CS30" i="1"/>
  <c r="CS214" i="1"/>
  <c r="CS64" i="1"/>
  <c r="CS36" i="1"/>
  <c r="CS200" i="1"/>
  <c r="CS182" i="1"/>
  <c r="CS209" i="1"/>
  <c r="CS84" i="1"/>
  <c r="CS51" i="1"/>
  <c r="CS201" i="1"/>
  <c r="CS53" i="1"/>
  <c r="CS41" i="1"/>
  <c r="CR57" i="1"/>
  <c r="CR160" i="1"/>
  <c r="CR133" i="1"/>
  <c r="CR106" i="1"/>
  <c r="CR155" i="1"/>
  <c r="CR165" i="1"/>
  <c r="CS71" i="1"/>
  <c r="CS42" i="1"/>
  <c r="CS48" i="1"/>
  <c r="CS18" i="1"/>
  <c r="CS55" i="1"/>
  <c r="CS212" i="1"/>
  <c r="CS202" i="1"/>
  <c r="CS180" i="1"/>
  <c r="CS208" i="1"/>
  <c r="CS45" i="1"/>
  <c r="CR168" i="1"/>
  <c r="CR108" i="1"/>
  <c r="CR98" i="1"/>
  <c r="CS168" i="1"/>
  <c r="CS156" i="1"/>
  <c r="CS147" i="1"/>
  <c r="CS98" i="1"/>
  <c r="CS101" i="1"/>
  <c r="CS95" i="1"/>
  <c r="CS153" i="1"/>
  <c r="CS157" i="1"/>
  <c r="CS155" i="1"/>
  <c r="CS170" i="1"/>
  <c r="CS104" i="1"/>
  <c r="CS137" i="1"/>
  <c r="CS141" i="1"/>
  <c r="CS131" i="1"/>
  <c r="CS162" i="1"/>
  <c r="CR107" i="1"/>
  <c r="CR132" i="1"/>
  <c r="CR127" i="1"/>
  <c r="CT134" i="1"/>
  <c r="CR120" i="1"/>
  <c r="CS90" i="1"/>
  <c r="CP191" i="1"/>
  <c r="CP193" i="1"/>
  <c r="CP213" i="1"/>
  <c r="CP215" i="1"/>
  <c r="CP217" i="1"/>
  <c r="CP211" i="1"/>
  <c r="CP44" i="1"/>
  <c r="CP22" i="1"/>
  <c r="CP16" i="1"/>
  <c r="CP203" i="1"/>
  <c r="CP32" i="1"/>
  <c r="CP26" i="1"/>
  <c r="CQ60" i="1"/>
  <c r="CQ173" i="1"/>
  <c r="CQ59" i="1"/>
  <c r="CQ174" i="1"/>
  <c r="CR129" i="1"/>
  <c r="CT53" i="1"/>
  <c r="CT19" i="1"/>
  <c r="CT212" i="1"/>
  <c r="CT24" i="1"/>
  <c r="CT20" i="1"/>
  <c r="CT68" i="1"/>
  <c r="CT197" i="1"/>
  <c r="CT14" i="1"/>
  <c r="CT209" i="1"/>
  <c r="CT29" i="1"/>
  <c r="CT46" i="1"/>
  <c r="CT214" i="1"/>
  <c r="CT36" i="1"/>
  <c r="CT30" i="1"/>
  <c r="CT202" i="1"/>
  <c r="CT41" i="1"/>
  <c r="CT18" i="1"/>
  <c r="CT208" i="1"/>
  <c r="CT84" i="1"/>
  <c r="CT37" i="1"/>
  <c r="CT85" i="1"/>
  <c r="CT74" i="1"/>
  <c r="CS165" i="1"/>
  <c r="CS96" i="1"/>
  <c r="CS152" i="1"/>
  <c r="CS167" i="1"/>
  <c r="CS138" i="1"/>
  <c r="CS112" i="1"/>
  <c r="CS106" i="1"/>
  <c r="CS124" i="1"/>
  <c r="CS119" i="1"/>
  <c r="CS121" i="1"/>
  <c r="CT76" i="1"/>
  <c r="CT81" i="1"/>
  <c r="CT34" i="1"/>
  <c r="CT17" i="1"/>
  <c r="CT52" i="1"/>
  <c r="CT42" i="1"/>
  <c r="CT55" i="1"/>
  <c r="CS166" i="1"/>
  <c r="CS169" i="1"/>
  <c r="CS139" i="1"/>
  <c r="CS110" i="1"/>
  <c r="CS105" i="1"/>
  <c r="CS122" i="1"/>
  <c r="CS144" i="1"/>
  <c r="CT106" i="1"/>
  <c r="CT196" i="1"/>
  <c r="CT28" i="1"/>
  <c r="CT207" i="1"/>
  <c r="CT194" i="1"/>
  <c r="CT35" i="1"/>
  <c r="CT200" i="1"/>
  <c r="CT39" i="1"/>
  <c r="CT66" i="1"/>
  <c r="CT206" i="1"/>
  <c r="CT199" i="1"/>
  <c r="CT54" i="1"/>
  <c r="CT198" i="1"/>
  <c r="CT183" i="1"/>
  <c r="CT31" i="1"/>
  <c r="CT189" i="1"/>
  <c r="CT187" i="1"/>
  <c r="CT49" i="1"/>
  <c r="CT182" i="1"/>
  <c r="CT83" i="1"/>
  <c r="CT185" i="1"/>
  <c r="CT190" i="1"/>
  <c r="CT180" i="1"/>
  <c r="CT27" i="1"/>
  <c r="CS146" i="1"/>
  <c r="CS108" i="1"/>
  <c r="CS94" i="1"/>
  <c r="CS148" i="1"/>
  <c r="CS113" i="1"/>
  <c r="CS151" i="1"/>
  <c r="CS118" i="1"/>
  <c r="CS102" i="1"/>
  <c r="CS140" i="1"/>
  <c r="CS145" i="1"/>
  <c r="CS111" i="1"/>
  <c r="CS57" i="1"/>
  <c r="CT188" i="1"/>
  <c r="CT210" i="1"/>
  <c r="CT80" i="1"/>
  <c r="CT78" i="1"/>
  <c r="CT205" i="1"/>
  <c r="CT73" i="1"/>
  <c r="CT75" i="1"/>
  <c r="CT25" i="1"/>
  <c r="CT201" i="1"/>
  <c r="CT195" i="1"/>
  <c r="CT204" i="1"/>
  <c r="CT70" i="1"/>
  <c r="CT82" i="1"/>
  <c r="CT86" i="1"/>
  <c r="CT64" i="1"/>
  <c r="CT71" i="1"/>
  <c r="CT186" i="1"/>
  <c r="CT51" i="1"/>
  <c r="CT62" i="1"/>
  <c r="CT50" i="1"/>
  <c r="CT33" i="1"/>
  <c r="CT45" i="1"/>
  <c r="CT48" i="1"/>
  <c r="CS136" i="1"/>
  <c r="CS117" i="1"/>
  <c r="CS103" i="1"/>
  <c r="CS125" i="1"/>
  <c r="CS93" i="1"/>
  <c r="CS154" i="1"/>
  <c r="CS134" i="1"/>
  <c r="CS97" i="1"/>
  <c r="CS133" i="1"/>
  <c r="CS115" i="1"/>
  <c r="CS142" i="1"/>
  <c r="CS100" i="1"/>
  <c r="CS114" i="1"/>
  <c r="CT181" i="1"/>
  <c r="CT63" i="1"/>
  <c r="CT65" i="1"/>
  <c r="CT184" i="1"/>
  <c r="CT79" i="1"/>
  <c r="CT69" i="1"/>
  <c r="CT40" i="1"/>
  <c r="CT38" i="1"/>
  <c r="CT47" i="1"/>
  <c r="CT72" i="1"/>
  <c r="CT43" i="1"/>
  <c r="CT192" i="1"/>
  <c r="CT21" i="1"/>
  <c r="CS150" i="1"/>
  <c r="CS126" i="1"/>
  <c r="CS116" i="1"/>
  <c r="CS99" i="1"/>
  <c r="CS143" i="1"/>
  <c r="CT147" i="1"/>
  <c r="CT124" i="1"/>
  <c r="CT166" i="1"/>
  <c r="CT109" i="1"/>
  <c r="CT105" i="1"/>
  <c r="CT97" i="1"/>
  <c r="CT114" i="1"/>
  <c r="CT146" i="1"/>
  <c r="CT99" i="1"/>
  <c r="CT152" i="1"/>
  <c r="CT148" i="1"/>
  <c r="CT122" i="1"/>
  <c r="CT170" i="1"/>
  <c r="CT155" i="1"/>
  <c r="CS149" i="1"/>
  <c r="CS163" i="1"/>
  <c r="CS132" i="1"/>
  <c r="CS135" i="1"/>
  <c r="CS127" i="1"/>
  <c r="CS158" i="1"/>
  <c r="CS107" i="1"/>
  <c r="CU97" i="1"/>
  <c r="CS120" i="1"/>
  <c r="CS123" i="1"/>
  <c r="CT90" i="1"/>
  <c r="CR174" i="1"/>
  <c r="CR60" i="1"/>
  <c r="CR173" i="1"/>
  <c r="CR59" i="1"/>
  <c r="CQ203" i="1"/>
  <c r="CQ32" i="1"/>
  <c r="CQ22" i="1"/>
  <c r="CQ211" i="1"/>
  <c r="CQ16" i="1"/>
  <c r="CQ26" i="1"/>
  <c r="CQ44" i="1"/>
  <c r="CQ191" i="1"/>
  <c r="CQ193" i="1"/>
  <c r="CQ213" i="1"/>
  <c r="CQ215" i="1"/>
  <c r="CQ217" i="1"/>
  <c r="CS129" i="1"/>
  <c r="CU85" i="1"/>
  <c r="CU14" i="1"/>
  <c r="CU84" i="1"/>
  <c r="CU188" i="1"/>
  <c r="CU205" i="1"/>
  <c r="CU180" i="1"/>
  <c r="CU184" i="1"/>
  <c r="CU182" i="1"/>
  <c r="CU82" i="1"/>
  <c r="CU71" i="1"/>
  <c r="CU187" i="1"/>
  <c r="CU201" i="1"/>
  <c r="CU65" i="1"/>
  <c r="CU70" i="1"/>
  <c r="CU199" i="1"/>
  <c r="CU189" i="1"/>
  <c r="CU75" i="1"/>
  <c r="CU192" i="1"/>
  <c r="CU202" i="1"/>
  <c r="CU29" i="1"/>
  <c r="CU50" i="1"/>
  <c r="CU195" i="1"/>
  <c r="CU79" i="1"/>
  <c r="CT157" i="1"/>
  <c r="CT117" i="1"/>
  <c r="CT95" i="1"/>
  <c r="CT156" i="1"/>
  <c r="CT101" i="1"/>
  <c r="CT94" i="1"/>
  <c r="CT119" i="1"/>
  <c r="CT115" i="1"/>
  <c r="CT121" i="1"/>
  <c r="CT131" i="1"/>
  <c r="CT143" i="1"/>
  <c r="CU212" i="1"/>
  <c r="CU198" i="1"/>
  <c r="CU200" i="1"/>
  <c r="CU41" i="1"/>
  <c r="CU28" i="1"/>
  <c r="CU197" i="1"/>
  <c r="CU194" i="1"/>
  <c r="CU40" i="1"/>
  <c r="CU190" i="1"/>
  <c r="CU39" i="1"/>
  <c r="CU181" i="1"/>
  <c r="CU48" i="1"/>
  <c r="CT118" i="1"/>
  <c r="CT100" i="1"/>
  <c r="CT103" i="1"/>
  <c r="CT113" i="1"/>
  <c r="CT111" i="1"/>
  <c r="CS160" i="1"/>
  <c r="CU81" i="1"/>
  <c r="CU86" i="1"/>
  <c r="CU33" i="1"/>
  <c r="CU68" i="1"/>
  <c r="CU183" i="1"/>
  <c r="CU62" i="1"/>
  <c r="CU63" i="1"/>
  <c r="CU206" i="1"/>
  <c r="CU78" i="1"/>
  <c r="CU76" i="1"/>
  <c r="CU55" i="1"/>
  <c r="CU69" i="1"/>
  <c r="CU30" i="1"/>
  <c r="CU46" i="1"/>
  <c r="CU47" i="1"/>
  <c r="CU27" i="1"/>
  <c r="CU80" i="1"/>
  <c r="CU19" i="1"/>
  <c r="CU73" i="1"/>
  <c r="CU37" i="1"/>
  <c r="CU34" i="1"/>
  <c r="CU83" i="1"/>
  <c r="CT57" i="1"/>
  <c r="CT144" i="1"/>
  <c r="CT140" i="1"/>
  <c r="CT108" i="1"/>
  <c r="CT93" i="1"/>
  <c r="CT139" i="1"/>
  <c r="CT136" i="1"/>
  <c r="CT104" i="1"/>
  <c r="CT165" i="1"/>
  <c r="CT169" i="1"/>
  <c r="CT126" i="1"/>
  <c r="CT133" i="1"/>
  <c r="CT138" i="1"/>
  <c r="CU72" i="1"/>
  <c r="CU38" i="1"/>
  <c r="CU208" i="1"/>
  <c r="CU43" i="1"/>
  <c r="CU18" i="1"/>
  <c r="CU64" i="1"/>
  <c r="CU74" i="1"/>
  <c r="CU31" i="1"/>
  <c r="CU66" i="1"/>
  <c r="CU36" i="1"/>
  <c r="CU53" i="1"/>
  <c r="CU207" i="1"/>
  <c r="CU45" i="1"/>
  <c r="CU214" i="1"/>
  <c r="CU52" i="1"/>
  <c r="CU185" i="1"/>
  <c r="CU25" i="1"/>
  <c r="CU21" i="1"/>
  <c r="CU49" i="1"/>
  <c r="CU51" i="1"/>
  <c r="CT125" i="1"/>
  <c r="CT168" i="1"/>
  <c r="CT145" i="1"/>
  <c r="CT110" i="1"/>
  <c r="CT98" i="1"/>
  <c r="CT142" i="1"/>
  <c r="CT116" i="1"/>
  <c r="CT137" i="1"/>
  <c r="CT96" i="1"/>
  <c r="CT112" i="1"/>
  <c r="CU150" i="1"/>
  <c r="CU35" i="1"/>
  <c r="CU209" i="1"/>
  <c r="CU17" i="1"/>
  <c r="CU54" i="1"/>
  <c r="CU210" i="1"/>
  <c r="CU24" i="1"/>
  <c r="CU204" i="1"/>
  <c r="CU196" i="1"/>
  <c r="CU20" i="1"/>
  <c r="CU186" i="1"/>
  <c r="CU42" i="1"/>
  <c r="CT167" i="1"/>
  <c r="CT150" i="1"/>
  <c r="CT151" i="1"/>
  <c r="CT153" i="1"/>
  <c r="CT102" i="1"/>
  <c r="CT141" i="1"/>
  <c r="CT154" i="1"/>
  <c r="CU115" i="1"/>
  <c r="CU99" i="1"/>
  <c r="CU156" i="1"/>
  <c r="CU126" i="1"/>
  <c r="CU131" i="1"/>
  <c r="CU101" i="1"/>
  <c r="CU147" i="1"/>
  <c r="CU118" i="1"/>
  <c r="CU137" i="1"/>
  <c r="CU122" i="1"/>
  <c r="CU138" i="1"/>
  <c r="CU111" i="1"/>
  <c r="CU153" i="1"/>
  <c r="CU143" i="1"/>
  <c r="CU113" i="1"/>
  <c r="CU116" i="1"/>
  <c r="CU155" i="1"/>
  <c r="CU157" i="1"/>
  <c r="CU140" i="1"/>
  <c r="CU154" i="1"/>
  <c r="CU109" i="1"/>
  <c r="CU144" i="1"/>
  <c r="CU124" i="1"/>
  <c r="CU112" i="1"/>
  <c r="CU170" i="1"/>
  <c r="CU141" i="1"/>
  <c r="CU94" i="1"/>
  <c r="CU166" i="1"/>
  <c r="CU102" i="1"/>
  <c r="CU134" i="1"/>
  <c r="CU151" i="1"/>
  <c r="CU110" i="1"/>
  <c r="CU100" i="1"/>
  <c r="CU142" i="1"/>
  <c r="CU167" i="1"/>
  <c r="CU148" i="1"/>
  <c r="CU139" i="1"/>
  <c r="CU114" i="1"/>
  <c r="CU105" i="1"/>
  <c r="CU117" i="1"/>
  <c r="CU106" i="1"/>
  <c r="CU104" i="1"/>
  <c r="CU93" i="1"/>
  <c r="CU133" i="1"/>
  <c r="CU163" i="1"/>
  <c r="CT149" i="1"/>
  <c r="CT163" i="1"/>
  <c r="CT123" i="1"/>
  <c r="CV93" i="1"/>
  <c r="CT132" i="1"/>
  <c r="CT135" i="1"/>
  <c r="CT107" i="1"/>
  <c r="CT127" i="1"/>
  <c r="CU162" i="1"/>
  <c r="CU127" i="1"/>
  <c r="CT120" i="1"/>
  <c r="CT158" i="1"/>
  <c r="CT162" i="1"/>
  <c r="CU90" i="1"/>
  <c r="CU158" i="1"/>
  <c r="CU132" i="1"/>
  <c r="CS174" i="1"/>
  <c r="CS60" i="1"/>
  <c r="CS173" i="1"/>
  <c r="CS59" i="1"/>
  <c r="CR26" i="1"/>
  <c r="CR22" i="1"/>
  <c r="CR211" i="1"/>
  <c r="CR16" i="1"/>
  <c r="CR32" i="1"/>
  <c r="CR44" i="1"/>
  <c r="CR203" i="1"/>
  <c r="CR191" i="1"/>
  <c r="CR193" i="1"/>
  <c r="CR213" i="1"/>
  <c r="CR215" i="1"/>
  <c r="CR217" i="1"/>
  <c r="CV182" i="1"/>
  <c r="CV48" i="1"/>
  <c r="CV207" i="1"/>
  <c r="CV71" i="1"/>
  <c r="CV17" i="1"/>
  <c r="CV66" i="1"/>
  <c r="CV74" i="1"/>
  <c r="CV41" i="1"/>
  <c r="CV192" i="1"/>
  <c r="CV201" i="1"/>
  <c r="CV64" i="1"/>
  <c r="CV37" i="1"/>
  <c r="CV82" i="1"/>
  <c r="CV209" i="1"/>
  <c r="CV181" i="1"/>
  <c r="CV186" i="1"/>
  <c r="CV80" i="1"/>
  <c r="CV21" i="1"/>
  <c r="CV29" i="1"/>
  <c r="CV49" i="1"/>
  <c r="CV76" i="1"/>
  <c r="CV190" i="1"/>
  <c r="CT129" i="1"/>
  <c r="CT160" i="1"/>
  <c r="CU165" i="1"/>
  <c r="CU125" i="1"/>
  <c r="CU152" i="1"/>
  <c r="CU95" i="1"/>
  <c r="CV73" i="1"/>
  <c r="CV75" i="1"/>
  <c r="CV212" i="1"/>
  <c r="CV55" i="1"/>
  <c r="CV183" i="1"/>
  <c r="CV195" i="1"/>
  <c r="CV208" i="1"/>
  <c r="CV210" i="1"/>
  <c r="CV86" i="1"/>
  <c r="CV38" i="1"/>
  <c r="CU160" i="1"/>
  <c r="CV205" i="1"/>
  <c r="CV39" i="1"/>
  <c r="CV14" i="1"/>
  <c r="CV180" i="1"/>
  <c r="CV188" i="1"/>
  <c r="CV30" i="1"/>
  <c r="CV52" i="1"/>
  <c r="CV19" i="1"/>
  <c r="CV62" i="1"/>
  <c r="CV83" i="1"/>
  <c r="CV35" i="1"/>
  <c r="CV36" i="1"/>
  <c r="CV72" i="1"/>
  <c r="CV187" i="1"/>
  <c r="CV53" i="1"/>
  <c r="CV79" i="1"/>
  <c r="CV198" i="1"/>
  <c r="CV200" i="1"/>
  <c r="CV214" i="1"/>
  <c r="CV27" i="1"/>
  <c r="CV206" i="1"/>
  <c r="CV33" i="1"/>
  <c r="CU146" i="1"/>
  <c r="CU119" i="1"/>
  <c r="CU145" i="1"/>
  <c r="CU168" i="1"/>
  <c r="CU96" i="1"/>
  <c r="CV184" i="1"/>
  <c r="CV47" i="1"/>
  <c r="CV68" i="1"/>
  <c r="CV54" i="1"/>
  <c r="CV81" i="1"/>
  <c r="CV46" i="1"/>
  <c r="CV65" i="1"/>
  <c r="CV50" i="1"/>
  <c r="CV63" i="1"/>
  <c r="CV20" i="1"/>
  <c r="CV199" i="1"/>
  <c r="CV18" i="1"/>
  <c r="CV28" i="1"/>
  <c r="CV42" i="1"/>
  <c r="CV70" i="1"/>
  <c r="CV25" i="1"/>
  <c r="CV51" i="1"/>
  <c r="CV196" i="1"/>
  <c r="CV202" i="1"/>
  <c r="CV189" i="1"/>
  <c r="CV69" i="1"/>
  <c r="CV31" i="1"/>
  <c r="CU57" i="1"/>
  <c r="CU129" i="1"/>
  <c r="CU103" i="1"/>
  <c r="CU121" i="1"/>
  <c r="CU98" i="1"/>
  <c r="CU108" i="1"/>
  <c r="CV185" i="1"/>
  <c r="CV197" i="1"/>
  <c r="CV85" i="1"/>
  <c r="CV24" i="1"/>
  <c r="CV204" i="1"/>
  <c r="CV40" i="1"/>
  <c r="CV78" i="1"/>
  <c r="CV43" i="1"/>
  <c r="CV194" i="1"/>
  <c r="CV45" i="1"/>
  <c r="CV84" i="1"/>
  <c r="CV34" i="1"/>
  <c r="CU169" i="1"/>
  <c r="CU136" i="1"/>
  <c r="CV167" i="1"/>
  <c r="CV110" i="1"/>
  <c r="CV133" i="1"/>
  <c r="CV155" i="1"/>
  <c r="CV106" i="1"/>
  <c r="CV169" i="1"/>
  <c r="CV124" i="1"/>
  <c r="CV103" i="1"/>
  <c r="CV99" i="1"/>
  <c r="CV98" i="1"/>
  <c r="CV113" i="1"/>
  <c r="CV170" i="1"/>
  <c r="CV139" i="1"/>
  <c r="CV112" i="1"/>
  <c r="CV143" i="1"/>
  <c r="CV126" i="1"/>
  <c r="CV125" i="1"/>
  <c r="CV136" i="1"/>
  <c r="CV157" i="1"/>
  <c r="CV131" i="1"/>
  <c r="CV111" i="1"/>
  <c r="CV166" i="1"/>
  <c r="CV140" i="1"/>
  <c r="CV145" i="1"/>
  <c r="CV122" i="1"/>
  <c r="CV109" i="1"/>
  <c r="CV115" i="1"/>
  <c r="CV152" i="1"/>
  <c r="CV101" i="1"/>
  <c r="CV151" i="1"/>
  <c r="CV114" i="1"/>
  <c r="CV96" i="1"/>
  <c r="CV156" i="1"/>
  <c r="CV144" i="1"/>
  <c r="CV153" i="1"/>
  <c r="CV108" i="1"/>
  <c r="CV119" i="1"/>
  <c r="CV141" i="1"/>
  <c r="CV150" i="1"/>
  <c r="CV95" i="1"/>
  <c r="CV94" i="1"/>
  <c r="CV148" i="1"/>
  <c r="CV117" i="1"/>
  <c r="CV118" i="1"/>
  <c r="CV142" i="1"/>
  <c r="CV116" i="1"/>
  <c r="CV138" i="1"/>
  <c r="CV97" i="1"/>
  <c r="CV121" i="1"/>
  <c r="CV100" i="1"/>
  <c r="CV165" i="1"/>
  <c r="CV104" i="1"/>
  <c r="CV105" i="1"/>
  <c r="CV137" i="1"/>
  <c r="CV168" i="1"/>
  <c r="CV146" i="1"/>
  <c r="CV154" i="1"/>
  <c r="CV102" i="1"/>
  <c r="CV147" i="1"/>
  <c r="CV134" i="1"/>
  <c r="CV120" i="1"/>
  <c r="CU135" i="1"/>
  <c r="CV158" i="1"/>
  <c r="CV135" i="1"/>
  <c r="CV162" i="1"/>
  <c r="CU107" i="1"/>
  <c r="CU120" i="1"/>
  <c r="CV163" i="1"/>
  <c r="CV123" i="1"/>
  <c r="CV107" i="1"/>
  <c r="CV127" i="1"/>
  <c r="CW148" i="1"/>
  <c r="CV149" i="1"/>
  <c r="CV132" i="1"/>
  <c r="CU149" i="1"/>
  <c r="CU123" i="1"/>
  <c r="CV90" i="1"/>
  <c r="CS191" i="1"/>
  <c r="CS193" i="1"/>
  <c r="CS213" i="1"/>
  <c r="CS215" i="1"/>
  <c r="CS217" i="1"/>
  <c r="CS32" i="1"/>
  <c r="CS26" i="1"/>
  <c r="CS44" i="1"/>
  <c r="CS211" i="1"/>
  <c r="CS16" i="1"/>
  <c r="CS22" i="1"/>
  <c r="CS203" i="1"/>
  <c r="CT59" i="1"/>
  <c r="CT60" i="1"/>
  <c r="CT174" i="1"/>
  <c r="CT173" i="1"/>
  <c r="CW210" i="1"/>
  <c r="CW35" i="1"/>
  <c r="CW19" i="1"/>
  <c r="CW81" i="1"/>
  <c r="CW214" i="1"/>
  <c r="CW195" i="1"/>
  <c r="CW40" i="1"/>
  <c r="CW70" i="1"/>
  <c r="CW194" i="1"/>
  <c r="CW188" i="1"/>
  <c r="CW197" i="1"/>
  <c r="CW184" i="1"/>
  <c r="CW17" i="1"/>
  <c r="CW20" i="1"/>
  <c r="CW52" i="1"/>
  <c r="CW68" i="1"/>
  <c r="CW69" i="1"/>
  <c r="CW199" i="1"/>
  <c r="CW72" i="1"/>
  <c r="CW200" i="1"/>
  <c r="CW198" i="1"/>
  <c r="CW86" i="1"/>
  <c r="CW187" i="1"/>
  <c r="CW48" i="1"/>
  <c r="CW53" i="1"/>
  <c r="CW54" i="1"/>
  <c r="CW73" i="1"/>
  <c r="CW192" i="1"/>
  <c r="CW202" i="1"/>
  <c r="CW64" i="1"/>
  <c r="CW55" i="1"/>
  <c r="CW183" i="1"/>
  <c r="CW80" i="1"/>
  <c r="CW78" i="1"/>
  <c r="CW76" i="1"/>
  <c r="CW43" i="1"/>
  <c r="CW209" i="1"/>
  <c r="CW190" i="1"/>
  <c r="CW45" i="1"/>
  <c r="CW21" i="1"/>
  <c r="CW31" i="1"/>
  <c r="CW82" i="1"/>
  <c r="CW84" i="1"/>
  <c r="CW208" i="1"/>
  <c r="CW30" i="1"/>
  <c r="CW25" i="1"/>
  <c r="CW206" i="1"/>
  <c r="CW29" i="1"/>
  <c r="CW33" i="1"/>
  <c r="CW51" i="1"/>
  <c r="CW24" i="1"/>
  <c r="CW34" i="1"/>
  <c r="CW18" i="1"/>
  <c r="CV160" i="1"/>
  <c r="CV57" i="1"/>
  <c r="CW83" i="1"/>
  <c r="CW189" i="1"/>
  <c r="CW36" i="1"/>
  <c r="CW50" i="1"/>
  <c r="CW41" i="1"/>
  <c r="CW27" i="1"/>
  <c r="CW85" i="1"/>
  <c r="CW46" i="1"/>
  <c r="CW75" i="1"/>
  <c r="CW63" i="1"/>
  <c r="CW49" i="1"/>
  <c r="CW39" i="1"/>
  <c r="CW74" i="1"/>
  <c r="CW196" i="1"/>
  <c r="CW42" i="1"/>
  <c r="CW204" i="1"/>
  <c r="CW79" i="1"/>
  <c r="CW66" i="1"/>
  <c r="CW38" i="1"/>
  <c r="CW185" i="1"/>
  <c r="CW47" i="1"/>
  <c r="CW14" i="1"/>
  <c r="CV129" i="1"/>
  <c r="CW62" i="1"/>
  <c r="CW212" i="1"/>
  <c r="CW65" i="1"/>
  <c r="CW182" i="1"/>
  <c r="CW180" i="1"/>
  <c r="CW186" i="1"/>
  <c r="CW28" i="1"/>
  <c r="CW205" i="1"/>
  <c r="CW181" i="1"/>
  <c r="CW207" i="1"/>
  <c r="CW37" i="1"/>
  <c r="CW71" i="1"/>
  <c r="CW201" i="1"/>
  <c r="CW146" i="1"/>
  <c r="CW150" i="1"/>
  <c r="CW116" i="1"/>
  <c r="CW145" i="1"/>
  <c r="CW169" i="1"/>
  <c r="CW139" i="1"/>
  <c r="CW106" i="1"/>
  <c r="CW133" i="1"/>
  <c r="CW100" i="1"/>
  <c r="CW124" i="1"/>
  <c r="CW114" i="1"/>
  <c r="CW94" i="1"/>
  <c r="CW104" i="1"/>
  <c r="CX143" i="1"/>
  <c r="CW90" i="1"/>
  <c r="CU173" i="1"/>
  <c r="CU174" i="1"/>
  <c r="CU60" i="1"/>
  <c r="CU59" i="1"/>
  <c r="CT16" i="1"/>
  <c r="CT203" i="1"/>
  <c r="CT26" i="1"/>
  <c r="CT32" i="1"/>
  <c r="CT22" i="1"/>
  <c r="CT44" i="1"/>
  <c r="CT211" i="1"/>
  <c r="CT191" i="1"/>
  <c r="CT193" i="1"/>
  <c r="CT213" i="1"/>
  <c r="CT215" i="1"/>
  <c r="CT217" i="1"/>
  <c r="CX209" i="1"/>
  <c r="CX24" i="1"/>
  <c r="CX69" i="1"/>
  <c r="CX210" i="1"/>
  <c r="CX28" i="1"/>
  <c r="CX25" i="1"/>
  <c r="CX40" i="1"/>
  <c r="CX199" i="1"/>
  <c r="CX207" i="1"/>
  <c r="CX21" i="1"/>
  <c r="CX202" i="1"/>
  <c r="CX31" i="1"/>
  <c r="CX17" i="1"/>
  <c r="CX206" i="1"/>
  <c r="CX43" i="1"/>
  <c r="CX29" i="1"/>
  <c r="CX39" i="1"/>
  <c r="CX73" i="1"/>
  <c r="CX196" i="1"/>
  <c r="CX75" i="1"/>
  <c r="CX49" i="1"/>
  <c r="CX214" i="1"/>
  <c r="CX35" i="1"/>
  <c r="CW157" i="1"/>
  <c r="CW98" i="1"/>
  <c r="CW156" i="1"/>
  <c r="CW137" i="1"/>
  <c r="CW99" i="1"/>
  <c r="CW134" i="1"/>
  <c r="CW122" i="1"/>
  <c r="CW95" i="1"/>
  <c r="CW103" i="1"/>
  <c r="CW108" i="1"/>
  <c r="CX79" i="1"/>
  <c r="CX27" i="1"/>
  <c r="CX19" i="1"/>
  <c r="CW131" i="1"/>
  <c r="CW154" i="1"/>
  <c r="CW126" i="1"/>
  <c r="CW121" i="1"/>
  <c r="CW166" i="1"/>
  <c r="CW167" i="1"/>
  <c r="CW109" i="1"/>
  <c r="CX66" i="1"/>
  <c r="CX54" i="1"/>
  <c r="CX188" i="1"/>
  <c r="CX30" i="1"/>
  <c r="CX51" i="1"/>
  <c r="CX50" i="1"/>
  <c r="CX180" i="1"/>
  <c r="CX83" i="1"/>
  <c r="CX36" i="1"/>
  <c r="CX205" i="1"/>
  <c r="CW97" i="1"/>
  <c r="CW115" i="1"/>
  <c r="CW140" i="1"/>
  <c r="CW105" i="1"/>
  <c r="CW113" i="1"/>
  <c r="CX204" i="1"/>
  <c r="CX200" i="1"/>
  <c r="CX187" i="1"/>
  <c r="CX45" i="1"/>
  <c r="CX86" i="1"/>
  <c r="CX212" i="1"/>
  <c r="CX52" i="1"/>
  <c r="CX37" i="1"/>
  <c r="CX76" i="1"/>
  <c r="CX189" i="1"/>
  <c r="CX68" i="1"/>
  <c r="CX182" i="1"/>
  <c r="CX85" i="1"/>
  <c r="CX184" i="1"/>
  <c r="CX197" i="1"/>
  <c r="CX20" i="1"/>
  <c r="CX14" i="1"/>
  <c r="CX190" i="1"/>
  <c r="CX201" i="1"/>
  <c r="CX208" i="1"/>
  <c r="CX80" i="1"/>
  <c r="CX70" i="1"/>
  <c r="CW111" i="1"/>
  <c r="CW110" i="1"/>
  <c r="CW152" i="1"/>
  <c r="CW141" i="1"/>
  <c r="CW147" i="1"/>
  <c r="CW96" i="1"/>
  <c r="CW170" i="1"/>
  <c r="CW117" i="1"/>
  <c r="CW125" i="1"/>
  <c r="CW138" i="1"/>
  <c r="CW102" i="1"/>
  <c r="CW119" i="1"/>
  <c r="CW101" i="1"/>
  <c r="CX84" i="1"/>
  <c r="CX198" i="1"/>
  <c r="CX62" i="1"/>
  <c r="CX81" i="1"/>
  <c r="CX183" i="1"/>
  <c r="CX46" i="1"/>
  <c r="CX74" i="1"/>
  <c r="CX41" i="1"/>
  <c r="CX195" i="1"/>
  <c r="CX192" i="1"/>
  <c r="CX185" i="1"/>
  <c r="CX186" i="1"/>
  <c r="CX47" i="1"/>
  <c r="CX72" i="1"/>
  <c r="CX34" i="1"/>
  <c r="CX181" i="1"/>
  <c r="CX48" i="1"/>
  <c r="CX53" i="1"/>
  <c r="CW57" i="1"/>
  <c r="CW118" i="1"/>
  <c r="CW144" i="1"/>
  <c r="CW136" i="1"/>
  <c r="CW93" i="1"/>
  <c r="CX165" i="1"/>
  <c r="CX65" i="1"/>
  <c r="CX64" i="1"/>
  <c r="CX38" i="1"/>
  <c r="CX18" i="1"/>
  <c r="CX71" i="1"/>
  <c r="CX55" i="1"/>
  <c r="CX42" i="1"/>
  <c r="CX33" i="1"/>
  <c r="CX78" i="1"/>
  <c r="CX63" i="1"/>
  <c r="CX194" i="1"/>
  <c r="CX82" i="1"/>
  <c r="CW155" i="1"/>
  <c r="CW112" i="1"/>
  <c r="CW153" i="1"/>
  <c r="CW142" i="1"/>
  <c r="CW151" i="1"/>
  <c r="CW143" i="1"/>
  <c r="CW168" i="1"/>
  <c r="CW165" i="1"/>
  <c r="K90" i="1"/>
  <c r="I90" i="1"/>
  <c r="I174" i="1"/>
  <c r="K174" i="1"/>
  <c r="CX141" i="1"/>
  <c r="F90" i="1"/>
  <c r="F174" i="1"/>
  <c r="CX142" i="1"/>
  <c r="CX98" i="1"/>
  <c r="CX168" i="1"/>
  <c r="CX148" i="1"/>
  <c r="CX99" i="1"/>
  <c r="CX102" i="1"/>
  <c r="CX114" i="1"/>
  <c r="CX122" i="1"/>
  <c r="CX100" i="1"/>
  <c r="CX110" i="1"/>
  <c r="CX170" i="1"/>
  <c r="CX96" i="1"/>
  <c r="CX146" i="1"/>
  <c r="CX166" i="1"/>
  <c r="CX95" i="1"/>
  <c r="CX140" i="1"/>
  <c r="CX154" i="1"/>
  <c r="CX139" i="1"/>
  <c r="CX137" i="1"/>
  <c r="CX134" i="1"/>
  <c r="CX157" i="1"/>
  <c r="CX103" i="1"/>
  <c r="CX116" i="1"/>
  <c r="CX151" i="1"/>
  <c r="CX105" i="1"/>
  <c r="CX124" i="1"/>
  <c r="CX93" i="1"/>
  <c r="CX167" i="1"/>
  <c r="CX150" i="1"/>
  <c r="O90" i="1"/>
  <c r="M90" i="1"/>
  <c r="M174" i="1"/>
  <c r="CW149" i="1"/>
  <c r="CW163" i="1"/>
  <c r="CW135" i="1"/>
  <c r="CW123" i="1"/>
  <c r="CW127" i="1"/>
  <c r="CY111" i="1"/>
  <c r="CX158" i="1"/>
  <c r="CW120" i="1"/>
  <c r="CW107" i="1"/>
  <c r="CW132" i="1"/>
  <c r="CW158" i="1"/>
  <c r="CW162" i="1"/>
  <c r="CX90" i="1"/>
  <c r="CX163" i="1"/>
  <c r="O174" i="1"/>
  <c r="Y90" i="1"/>
  <c r="X90" i="1"/>
  <c r="J90" i="1"/>
  <c r="J174" i="1"/>
  <c r="G90" i="1"/>
  <c r="G174" i="1"/>
  <c r="X174" i="1"/>
  <c r="Y174" i="1"/>
  <c r="CV173" i="1"/>
  <c r="CV174" i="1"/>
  <c r="CV59" i="1"/>
  <c r="CV60" i="1"/>
  <c r="CU191" i="1"/>
  <c r="CU193" i="1"/>
  <c r="CU213" i="1"/>
  <c r="CU215" i="1"/>
  <c r="CU217" i="1"/>
  <c r="CU203" i="1"/>
  <c r="CU16" i="1"/>
  <c r="CU44" i="1"/>
  <c r="CU211" i="1"/>
  <c r="CU32" i="1"/>
  <c r="CU26" i="1"/>
  <c r="CU22" i="1"/>
  <c r="CY76" i="1"/>
  <c r="CY184" i="1"/>
  <c r="CY72" i="1"/>
  <c r="CY62" i="1"/>
  <c r="CY197" i="1"/>
  <c r="CY35" i="1"/>
  <c r="CY69" i="1"/>
  <c r="CY80" i="1"/>
  <c r="CY78" i="1"/>
  <c r="CY83" i="1"/>
  <c r="CY200" i="1"/>
  <c r="CY189" i="1"/>
  <c r="CY75" i="1"/>
  <c r="CY198" i="1"/>
  <c r="CY55" i="1"/>
  <c r="CY54" i="1"/>
  <c r="CY64" i="1"/>
  <c r="CY181" i="1"/>
  <c r="CY37" i="1"/>
  <c r="CY25" i="1"/>
  <c r="CY183" i="1"/>
  <c r="CX147" i="1"/>
  <c r="CX156" i="1"/>
  <c r="CX109" i="1"/>
  <c r="CX153" i="1"/>
  <c r="CX119" i="1"/>
  <c r="CX97" i="1"/>
  <c r="CX169" i="1"/>
  <c r="CY194" i="1"/>
  <c r="CY27" i="1"/>
  <c r="CY66" i="1"/>
  <c r="CY45" i="1"/>
  <c r="CY73" i="1"/>
  <c r="CY185" i="1"/>
  <c r="CY199" i="1"/>
  <c r="CY195" i="1"/>
  <c r="CY182" i="1"/>
  <c r="CY40" i="1"/>
  <c r="CX144" i="1"/>
  <c r="CX115" i="1"/>
  <c r="CX145" i="1"/>
  <c r="CX131" i="1"/>
  <c r="CW129" i="1"/>
  <c r="CY43" i="1"/>
  <c r="CY28" i="1"/>
  <c r="CY190" i="1"/>
  <c r="CY63" i="1"/>
  <c r="CY209" i="1"/>
  <c r="CY39" i="1"/>
  <c r="CY85" i="1"/>
  <c r="CY186" i="1"/>
  <c r="CY18" i="1"/>
  <c r="CY38" i="1"/>
  <c r="CY51" i="1"/>
  <c r="CY65" i="1"/>
  <c r="CY50" i="1"/>
  <c r="CY70" i="1"/>
  <c r="CY29" i="1"/>
  <c r="CY21" i="1"/>
  <c r="CY207" i="1"/>
  <c r="CY34" i="1"/>
  <c r="CY19" i="1"/>
  <c r="CY202" i="1"/>
  <c r="CY53" i="1"/>
  <c r="CX160" i="1"/>
  <c r="CW160" i="1"/>
  <c r="CX113" i="1"/>
  <c r="CX136" i="1"/>
  <c r="CX111" i="1"/>
  <c r="CX121" i="1"/>
  <c r="CX108" i="1"/>
  <c r="CX152" i="1"/>
  <c r="CX126" i="1"/>
  <c r="CX118" i="1"/>
  <c r="CX57" i="1"/>
  <c r="CY204" i="1"/>
  <c r="CY20" i="1"/>
  <c r="CY187" i="1"/>
  <c r="CY79" i="1"/>
  <c r="CY212" i="1"/>
  <c r="CY180" i="1"/>
  <c r="CY201" i="1"/>
  <c r="CY68" i="1"/>
  <c r="CY24" i="1"/>
  <c r="CY192" i="1"/>
  <c r="CY86" i="1"/>
  <c r="CY84" i="1"/>
  <c r="CY36" i="1"/>
  <c r="CY208" i="1"/>
  <c r="CY33" i="1"/>
  <c r="CY42" i="1"/>
  <c r="CY214" i="1"/>
  <c r="CY46" i="1"/>
  <c r="CY74" i="1"/>
  <c r="CY41" i="1"/>
  <c r="CY31" i="1"/>
  <c r="CY71" i="1"/>
  <c r="CY30" i="1"/>
  <c r="CX112" i="1"/>
  <c r="CX133" i="1"/>
  <c r="CX125" i="1"/>
  <c r="CX138" i="1"/>
  <c r="CX104" i="1"/>
  <c r="CX117" i="1"/>
  <c r="CY82" i="1"/>
  <c r="CY14" i="1"/>
  <c r="CY47" i="1"/>
  <c r="CY196" i="1"/>
  <c r="CY49" i="1"/>
  <c r="CY206" i="1"/>
  <c r="CY205" i="1"/>
  <c r="CY210" i="1"/>
  <c r="CY17" i="1"/>
  <c r="CY81" i="1"/>
  <c r="CY52" i="1"/>
  <c r="CY188" i="1"/>
  <c r="CY48" i="1"/>
  <c r="CX101" i="1"/>
  <c r="CX106" i="1"/>
  <c r="CX94" i="1"/>
  <c r="CX155" i="1"/>
  <c r="CY102" i="1"/>
  <c r="CY156" i="1"/>
  <c r="CY142" i="1"/>
  <c r="CY113" i="1"/>
  <c r="CY94" i="1"/>
  <c r="CY119" i="1"/>
  <c r="CY153" i="1"/>
  <c r="CY98" i="1"/>
  <c r="CY166" i="1"/>
  <c r="CY101" i="1"/>
  <c r="CY103" i="1"/>
  <c r="CY143" i="1"/>
  <c r="CY110" i="1"/>
  <c r="CY106" i="1"/>
  <c r="CY169" i="1"/>
  <c r="CY95" i="1"/>
  <c r="CY148" i="1"/>
  <c r="CY170" i="1"/>
  <c r="CY165" i="1"/>
  <c r="CY151" i="1"/>
  <c r="CY100" i="1"/>
  <c r="CY93" i="1"/>
  <c r="CY97" i="1"/>
  <c r="CY118" i="1"/>
  <c r="CY134" i="1"/>
  <c r="CY146" i="1"/>
  <c r="CY105" i="1"/>
  <c r="CY126" i="1"/>
  <c r="CY137" i="1"/>
  <c r="CY112" i="1"/>
  <c r="CY121" i="1"/>
  <c r="CY99" i="1"/>
  <c r="CY117" i="1"/>
  <c r="CY147" i="1"/>
  <c r="CY144" i="1"/>
  <c r="CY150" i="1"/>
  <c r="CY131" i="1"/>
  <c r="CY122" i="1"/>
  <c r="CY114" i="1"/>
  <c r="CY138" i="1"/>
  <c r="CY109" i="1"/>
  <c r="CY141" i="1"/>
  <c r="CY104" i="1"/>
  <c r="CY154" i="1"/>
  <c r="CY139" i="1"/>
  <c r="CY157" i="1"/>
  <c r="CY152" i="1"/>
  <c r="CY133" i="1"/>
  <c r="CY167" i="1"/>
  <c r="CY168" i="1"/>
  <c r="CY140" i="1"/>
  <c r="CY116" i="1"/>
  <c r="CY108" i="1"/>
  <c r="CY155" i="1"/>
  <c r="CY125" i="1"/>
  <c r="CY124" i="1"/>
  <c r="CY136" i="1"/>
  <c r="CY145" i="1"/>
  <c r="CY115" i="1"/>
  <c r="CY96" i="1"/>
  <c r="CY162" i="1"/>
  <c r="CZ104" i="1"/>
  <c r="CY149" i="1"/>
  <c r="CY132" i="1"/>
  <c r="CX123" i="1"/>
  <c r="CX132" i="1"/>
  <c r="CY107" i="1"/>
  <c r="CX149" i="1"/>
  <c r="CX107" i="1"/>
  <c r="CX120" i="1"/>
  <c r="CX127" i="1"/>
  <c r="CX135" i="1"/>
  <c r="CY123" i="1"/>
  <c r="CY135" i="1"/>
  <c r="CY120" i="1"/>
  <c r="CY163" i="1"/>
  <c r="CY158" i="1"/>
  <c r="CY127" i="1"/>
  <c r="CX162" i="1"/>
  <c r="CY90" i="1"/>
  <c r="CV26" i="1"/>
  <c r="CV44" i="1"/>
  <c r="CV203" i="1"/>
  <c r="CV32" i="1"/>
  <c r="CV211" i="1"/>
  <c r="CV16" i="1"/>
  <c r="CV22" i="1"/>
  <c r="CW174" i="1"/>
  <c r="CW59" i="1"/>
  <c r="CW60" i="1"/>
  <c r="CW173" i="1"/>
  <c r="CV191" i="1"/>
  <c r="CV193" i="1"/>
  <c r="CV213" i="1"/>
  <c r="CV215" i="1"/>
  <c r="CV217" i="1"/>
  <c r="CZ38" i="1"/>
  <c r="CZ51" i="1"/>
  <c r="CZ209" i="1"/>
  <c r="CZ71" i="1"/>
  <c r="CZ18" i="1"/>
  <c r="CZ46" i="1"/>
  <c r="CZ210" i="1"/>
  <c r="CZ83" i="1"/>
  <c r="CZ62" i="1"/>
  <c r="CZ206" i="1"/>
  <c r="CZ48" i="1"/>
  <c r="CZ20" i="1"/>
  <c r="CZ185" i="1"/>
  <c r="CZ29" i="1"/>
  <c r="CZ192" i="1"/>
  <c r="CZ182" i="1"/>
  <c r="CZ37" i="1"/>
  <c r="CZ76" i="1"/>
  <c r="CZ35" i="1"/>
  <c r="CZ31" i="1"/>
  <c r="CZ27" i="1"/>
  <c r="CY57" i="1"/>
  <c r="CZ144" i="1"/>
  <c r="CZ180" i="1"/>
  <c r="CZ190" i="1"/>
  <c r="CZ194" i="1"/>
  <c r="CZ64" i="1"/>
  <c r="CZ42" i="1"/>
  <c r="CZ207" i="1"/>
  <c r="CZ200" i="1"/>
  <c r="CZ202" i="1"/>
  <c r="CZ81" i="1"/>
  <c r="CZ79" i="1"/>
  <c r="CZ204" i="1"/>
  <c r="CZ33" i="1"/>
  <c r="CZ208" i="1"/>
  <c r="CZ184" i="1"/>
  <c r="CZ24" i="1"/>
  <c r="CZ195" i="1"/>
  <c r="CZ85" i="1"/>
  <c r="CZ188" i="1"/>
  <c r="CZ30" i="1"/>
  <c r="CZ201" i="1"/>
  <c r="CZ181" i="1"/>
  <c r="CZ23" i="1"/>
  <c r="CZ82" i="1"/>
  <c r="CZ69" i="1"/>
  <c r="CZ189" i="1"/>
  <c r="CZ49" i="1"/>
  <c r="CZ55" i="1"/>
  <c r="CZ212" i="1"/>
  <c r="CZ50" i="1"/>
  <c r="CZ187" i="1"/>
  <c r="CZ196" i="1"/>
  <c r="CZ28" i="1"/>
  <c r="CZ75" i="1"/>
  <c r="CY160" i="1"/>
  <c r="CZ78" i="1"/>
  <c r="CZ214" i="1"/>
  <c r="CZ80" i="1"/>
  <c r="CZ183" i="1"/>
  <c r="CZ197" i="1"/>
  <c r="CZ66" i="1"/>
  <c r="CZ73" i="1"/>
  <c r="CZ74" i="1"/>
  <c r="CZ199" i="1"/>
  <c r="CZ54" i="1"/>
  <c r="CZ70" i="1"/>
  <c r="CZ198" i="1"/>
  <c r="CZ43" i="1"/>
  <c r="CZ52" i="1"/>
  <c r="CZ53" i="1"/>
  <c r="CZ72" i="1"/>
  <c r="CZ84" i="1"/>
  <c r="CZ25" i="1"/>
  <c r="CZ86" i="1"/>
  <c r="CZ47" i="1"/>
  <c r="CZ186" i="1"/>
  <c r="CZ205" i="1"/>
  <c r="CZ39" i="1"/>
  <c r="CY129" i="1"/>
  <c r="CZ68" i="1"/>
  <c r="CZ21" i="1"/>
  <c r="CZ40" i="1"/>
  <c r="CZ17" i="1"/>
  <c r="CZ45" i="1"/>
  <c r="CZ65" i="1"/>
  <c r="CZ36" i="1"/>
  <c r="CZ19" i="1"/>
  <c r="CZ41" i="1"/>
  <c r="CZ14" i="1"/>
  <c r="CZ34" i="1"/>
  <c r="CZ63" i="1"/>
  <c r="CX129" i="1"/>
  <c r="CZ142" i="1"/>
  <c r="CZ168" i="1"/>
  <c r="CZ105" i="1"/>
  <c r="CZ99" i="1"/>
  <c r="CZ94" i="1"/>
  <c r="CZ165" i="1"/>
  <c r="CZ109" i="1"/>
  <c r="CZ167" i="1"/>
  <c r="CZ137" i="1"/>
  <c r="CZ143" i="1"/>
  <c r="CZ114" i="1"/>
  <c r="CZ101" i="1"/>
  <c r="CZ146" i="1"/>
  <c r="CZ116" i="1"/>
  <c r="CZ169" i="1"/>
  <c r="CZ156" i="1"/>
  <c r="CZ125" i="1"/>
  <c r="CZ97" i="1"/>
  <c r="CZ102" i="1"/>
  <c r="CZ113" i="1"/>
  <c r="CZ151" i="1"/>
  <c r="CZ152" i="1"/>
  <c r="CZ147" i="1"/>
  <c r="CZ140" i="1"/>
  <c r="CZ138" i="1"/>
  <c r="CZ166" i="1"/>
  <c r="CZ133" i="1"/>
  <c r="CZ136" i="1"/>
  <c r="CZ139" i="1"/>
  <c r="CZ145" i="1"/>
  <c r="CZ115" i="1"/>
  <c r="CZ118" i="1"/>
  <c r="CZ100" i="1"/>
  <c r="CZ148" i="1"/>
  <c r="CZ134" i="1"/>
  <c r="CZ126" i="1"/>
  <c r="CZ119" i="1"/>
  <c r="CZ108" i="1"/>
  <c r="CZ111" i="1"/>
  <c r="CZ106" i="1"/>
  <c r="CZ122" i="1"/>
  <c r="CZ112" i="1"/>
  <c r="CZ103" i="1"/>
  <c r="CZ157" i="1"/>
  <c r="CZ154" i="1"/>
  <c r="CZ153" i="1"/>
  <c r="CZ170" i="1"/>
  <c r="CZ98" i="1"/>
  <c r="CZ141" i="1"/>
  <c r="CZ93" i="1"/>
  <c r="CZ155" i="1"/>
  <c r="CZ117" i="1"/>
  <c r="CZ150" i="1"/>
  <c r="CZ124" i="1"/>
  <c r="CZ121" i="1"/>
  <c r="CZ131" i="1"/>
  <c r="CZ110" i="1"/>
  <c r="CZ95" i="1"/>
  <c r="CZ96" i="1"/>
  <c r="CZ158" i="1"/>
  <c r="CZ107" i="1"/>
  <c r="CZ149" i="1"/>
  <c r="CZ132" i="1"/>
  <c r="CZ123" i="1"/>
  <c r="CZ135" i="1"/>
  <c r="CZ127" i="1"/>
  <c r="CZ120" i="1"/>
  <c r="CZ163" i="1"/>
  <c r="CZ162" i="1"/>
  <c r="CZ90" i="1"/>
  <c r="CW16" i="1"/>
  <c r="CW203" i="1"/>
  <c r="CW32" i="1"/>
  <c r="CW22" i="1"/>
  <c r="CW211" i="1"/>
  <c r="CW26" i="1"/>
  <c r="CW44" i="1"/>
  <c r="CW191" i="1"/>
  <c r="CW193" i="1"/>
  <c r="CW213" i="1"/>
  <c r="CW215" i="1"/>
  <c r="CW217" i="1"/>
  <c r="CX174" i="1"/>
  <c r="CX60" i="1"/>
  <c r="CX59" i="1"/>
  <c r="CX173" i="1"/>
  <c r="CZ160" i="1"/>
  <c r="CZ129" i="1"/>
  <c r="CZ57" i="1"/>
  <c r="K75" i="1"/>
  <c r="K181" i="1"/>
  <c r="K185" i="1"/>
  <c r="J79" i="1"/>
  <c r="K190" i="1"/>
  <c r="J83" i="1"/>
  <c r="K214" i="1"/>
  <c r="K201" i="1"/>
  <c r="K212" i="1"/>
  <c r="J181" i="1"/>
  <c r="K63" i="1"/>
  <c r="K69" i="1"/>
  <c r="J68" i="1"/>
  <c r="J74" i="1"/>
  <c r="K206" i="1"/>
  <c r="K86" i="1"/>
  <c r="K188" i="1"/>
  <c r="K183" i="1"/>
  <c r="J187" i="1"/>
  <c r="K200" i="1"/>
  <c r="K192" i="1"/>
  <c r="K184" i="1"/>
  <c r="J206" i="1"/>
  <c r="J85" i="1"/>
  <c r="K202" i="1"/>
  <c r="K31" i="1"/>
  <c r="K209" i="1"/>
  <c r="K84" i="1"/>
  <c r="K182" i="1"/>
  <c r="J209" i="1"/>
  <c r="K205" i="1"/>
  <c r="K186" i="1"/>
  <c r="K20" i="1"/>
  <c r="K62" i="1"/>
  <c r="J66" i="1"/>
  <c r="K66" i="1"/>
  <c r="K195" i="1"/>
  <c r="K194" i="1"/>
  <c r="K57" i="1"/>
  <c r="J183" i="1"/>
  <c r="J86" i="1"/>
  <c r="J71" i="1"/>
  <c r="J201" i="1"/>
  <c r="J189" i="1"/>
  <c r="J180" i="1"/>
  <c r="J82" i="1"/>
  <c r="J205" i="1"/>
  <c r="K70" i="1"/>
  <c r="J47" i="1"/>
  <c r="K85" i="1"/>
  <c r="K83" i="1"/>
  <c r="K180" i="1"/>
  <c r="K74" i="1"/>
  <c r="J30" i="1"/>
  <c r="K207" i="1"/>
  <c r="J72" i="1"/>
  <c r="J214" i="1"/>
  <c r="J195" i="1"/>
  <c r="J63" i="1"/>
  <c r="J207" i="1"/>
  <c r="K199" i="1"/>
  <c r="K204" i="1"/>
  <c r="K48" i="1"/>
  <c r="J204" i="1"/>
  <c r="J196" i="1"/>
  <c r="J198" i="1"/>
  <c r="J186" i="1"/>
  <c r="J190" i="1"/>
  <c r="J78" i="1"/>
  <c r="K81" i="1"/>
  <c r="J185" i="1"/>
  <c r="K196" i="1"/>
  <c r="J80" i="1"/>
  <c r="K72" i="1"/>
  <c r="K39" i="1"/>
  <c r="J184" i="1"/>
  <c r="J194" i="1"/>
  <c r="K187" i="1"/>
  <c r="J69" i="1"/>
  <c r="K71" i="1"/>
  <c r="J202" i="1"/>
  <c r="J62" i="1"/>
  <c r="K41" i="1"/>
  <c r="J210" i="1"/>
  <c r="J41" i="1"/>
  <c r="K210" i="1"/>
  <c r="J84" i="1"/>
  <c r="J81" i="1"/>
  <c r="K198" i="1"/>
  <c r="K78" i="1"/>
  <c r="J200" i="1"/>
  <c r="K80" i="1"/>
  <c r="K30" i="1"/>
  <c r="J192" i="1"/>
  <c r="K79" i="1"/>
  <c r="J20" i="1"/>
  <c r="K189" i="1"/>
  <c r="J39" i="1"/>
  <c r="J182" i="1"/>
  <c r="K47" i="1"/>
  <c r="K76" i="1"/>
  <c r="J73" i="1"/>
  <c r="J75" i="1"/>
  <c r="J57" i="1"/>
  <c r="J31" i="1"/>
  <c r="K73" i="1"/>
  <c r="K68" i="1"/>
  <c r="J212" i="1"/>
  <c r="J70" i="1"/>
  <c r="J21" i="1"/>
  <c r="J188" i="1"/>
  <c r="J76" i="1"/>
  <c r="K21" i="1"/>
  <c r="K82" i="1"/>
  <c r="J199" i="1"/>
  <c r="J48" i="1"/>
  <c r="E57" i="1"/>
  <c r="H57" i="1"/>
  <c r="I57" i="1"/>
  <c r="F190" i="1"/>
  <c r="F47" i="1"/>
  <c r="F69" i="1"/>
  <c r="F85" i="1"/>
  <c r="F187" i="1"/>
  <c r="F201" i="1"/>
  <c r="F75" i="1"/>
  <c r="F21" i="1"/>
  <c r="F185" i="1"/>
  <c r="F198" i="1"/>
  <c r="F214" i="1"/>
  <c r="F200" i="1"/>
  <c r="F82" i="1"/>
  <c r="F194" i="1"/>
  <c r="F48" i="1"/>
  <c r="F182" i="1"/>
  <c r="F81" i="1"/>
  <c r="F86" i="1"/>
  <c r="F80" i="1"/>
  <c r="F212" i="1"/>
  <c r="F206" i="1"/>
  <c r="F202" i="1"/>
  <c r="F196" i="1"/>
  <c r="F70" i="1"/>
  <c r="F39" i="1"/>
  <c r="F57" i="1"/>
  <c r="F204" i="1"/>
  <c r="F76" i="1"/>
  <c r="F71" i="1"/>
  <c r="F79" i="1"/>
  <c r="F192" i="1"/>
  <c r="F186" i="1"/>
  <c r="F189" i="1"/>
  <c r="F68" i="1"/>
  <c r="F20" i="1"/>
  <c r="F78" i="1"/>
  <c r="F73" i="1"/>
  <c r="F74" i="1"/>
  <c r="F210" i="1"/>
  <c r="F41" i="1"/>
  <c r="F31" i="1"/>
  <c r="F188" i="1"/>
  <c r="F199" i="1"/>
  <c r="F195" i="1"/>
  <c r="F62" i="1"/>
  <c r="F30" i="1"/>
  <c r="F183" i="1"/>
  <c r="F209" i="1"/>
  <c r="F63" i="1"/>
  <c r="F66" i="1"/>
  <c r="F205" i="1"/>
  <c r="F184" i="1"/>
  <c r="F84" i="1"/>
  <c r="F83" i="1"/>
  <c r="F72" i="1"/>
  <c r="F180" i="1"/>
  <c r="F181" i="1"/>
  <c r="F207" i="1"/>
  <c r="G57" i="1"/>
  <c r="K44" i="1"/>
  <c r="J26" i="1"/>
  <c r="J203" i="1"/>
  <c r="J211" i="1"/>
  <c r="K211" i="1"/>
  <c r="K26" i="1"/>
  <c r="K203" i="1"/>
  <c r="J44" i="1"/>
  <c r="E44" i="1"/>
  <c r="E203" i="1"/>
  <c r="E211" i="1"/>
  <c r="E26" i="1"/>
  <c r="F44" i="1"/>
  <c r="F211" i="1"/>
  <c r="F26" i="1"/>
  <c r="F203" i="1"/>
  <c r="I44" i="1"/>
  <c r="I203" i="1"/>
  <c r="H26" i="1"/>
  <c r="H203" i="1"/>
  <c r="G211" i="1"/>
  <c r="G26" i="1"/>
  <c r="G44" i="1"/>
  <c r="I26" i="1"/>
  <c r="I211" i="1"/>
  <c r="H211" i="1"/>
  <c r="H44" i="1"/>
  <c r="G203" i="1"/>
  <c r="L211" i="1"/>
  <c r="L203" i="1"/>
  <c r="L44" i="1"/>
  <c r="L26" i="1"/>
  <c r="CY60" i="1"/>
  <c r="CY59" i="1"/>
  <c r="CY173" i="1"/>
  <c r="CY174" i="1"/>
  <c r="CX16" i="1"/>
  <c r="CX203" i="1"/>
  <c r="CX44" i="1"/>
  <c r="CX211" i="1"/>
  <c r="CX22" i="1"/>
  <c r="CX32" i="1"/>
  <c r="CX26" i="1"/>
  <c r="CX191" i="1"/>
  <c r="CX193" i="1"/>
  <c r="CX213" i="1"/>
  <c r="CX215" i="1"/>
  <c r="CX217" i="1"/>
  <c r="L57" i="1"/>
  <c r="E191" i="1"/>
  <c r="E193" i="1"/>
  <c r="E213" i="1"/>
  <c r="E215" i="1"/>
  <c r="E217" i="1"/>
  <c r="K191" i="1"/>
  <c r="K193" i="1"/>
  <c r="K213" i="1"/>
  <c r="K215" i="1"/>
  <c r="K217" i="1"/>
  <c r="J191" i="1"/>
  <c r="J193" i="1"/>
  <c r="J213" i="1"/>
  <c r="J215" i="1"/>
  <c r="J217" i="1"/>
  <c r="F191" i="1"/>
  <c r="F193" i="1"/>
  <c r="F213" i="1"/>
  <c r="F215" i="1"/>
  <c r="F217" i="1"/>
  <c r="G191" i="1"/>
  <c r="G193" i="1"/>
  <c r="G213" i="1"/>
  <c r="G215" i="1"/>
  <c r="G217" i="1"/>
  <c r="H191" i="1"/>
  <c r="H193" i="1"/>
  <c r="H213" i="1"/>
  <c r="H215" i="1"/>
  <c r="H217" i="1"/>
  <c r="I191" i="1"/>
  <c r="I193" i="1"/>
  <c r="I213" i="1"/>
  <c r="I215" i="1"/>
  <c r="I217" i="1"/>
  <c r="L191" i="1"/>
  <c r="L193" i="1"/>
  <c r="L213" i="1"/>
  <c r="L215" i="1"/>
  <c r="L217" i="1"/>
  <c r="N174" i="1"/>
  <c r="CY191" i="1"/>
  <c r="CY193" i="1"/>
  <c r="CY213" i="1"/>
  <c r="CY215" i="1"/>
  <c r="CY217" i="1"/>
  <c r="CY22" i="1"/>
  <c r="CY203" i="1"/>
  <c r="CY44" i="1"/>
  <c r="CY211" i="1"/>
  <c r="CY26" i="1"/>
  <c r="CY32" i="1"/>
  <c r="CY16" i="1"/>
  <c r="CZ60" i="1"/>
  <c r="CZ59" i="1"/>
  <c r="CZ174" i="1"/>
  <c r="CZ173" i="1"/>
  <c r="CZ191" i="1"/>
  <c r="CZ193" i="1"/>
  <c r="CZ213" i="1"/>
  <c r="CZ215" i="1"/>
  <c r="CZ217" i="1"/>
  <c r="CZ44" i="1"/>
  <c r="CZ203" i="1"/>
  <c r="CZ211" i="1"/>
  <c r="CZ22" i="1"/>
  <c r="CZ26" i="1"/>
  <c r="CZ16" i="1"/>
  <c r="CZ32" i="1"/>
  <c r="BF22" i="1"/>
  <c r="BE22" i="1"/>
  <c r="BE32" i="1"/>
  <c r="BF32" i="1"/>
  <c r="BE203" i="1"/>
  <c r="BF203" i="1"/>
  <c r="BF191" i="1"/>
  <c r="BF193" i="1"/>
  <c r="BF213" i="1"/>
  <c r="BF215" i="1"/>
  <c r="BE44" i="1"/>
  <c r="BF44" i="1"/>
  <c r="BF26" i="1"/>
  <c r="BE211" i="1"/>
  <c r="BF211" i="1"/>
  <c r="BE16" i="1"/>
  <c r="BF16" i="1"/>
  <c r="BE191" i="1"/>
  <c r="BE193" i="1"/>
  <c r="BE213" i="1"/>
  <c r="BE215" i="1"/>
  <c r="BE26" i="1"/>
  <c r="M57" i="1"/>
  <c r="M44" i="1"/>
  <c r="M203" i="1"/>
  <c r="M211" i="1"/>
  <c r="M26" i="1"/>
  <c r="M191" i="1"/>
  <c r="M193" i="1"/>
  <c r="M213" i="1"/>
  <c r="M215" i="1"/>
  <c r="M217" i="1"/>
</calcChain>
</file>

<file path=xl/comments1.xml><?xml version="1.0" encoding="utf-8"?>
<comments xmlns="http://schemas.openxmlformats.org/spreadsheetml/2006/main">
  <authors>
    <author>Mike</author>
  </authors>
  <commentList>
    <comment ref="N3" authorId="0">
      <text>
        <r>
          <rPr>
            <sz val="9"/>
            <color indexed="81"/>
            <rFont val="Tahoma"/>
            <family val="2"/>
          </rPr>
          <t>Total number of periods</t>
        </r>
      </text>
    </comment>
    <comment ref="O3" authorId="0">
      <text>
        <r>
          <rPr>
            <sz val="9"/>
            <color indexed="81"/>
            <rFont val="Tahoma"/>
            <family val="2"/>
          </rPr>
          <t>Counts the number of annual periods</t>
        </r>
      </text>
    </comment>
    <comment ref="P3" authorId="0">
      <text>
        <r>
          <rPr>
            <sz val="9"/>
            <color indexed="81"/>
            <rFont val="Tahoma"/>
            <family val="2"/>
          </rPr>
          <t>Column number of the last year in the data sheet</t>
        </r>
      </text>
    </comment>
    <comment ref="Q3" authorId="0">
      <text>
        <r>
          <rPr>
            <sz val="9"/>
            <color indexed="81"/>
            <rFont val="Tahoma"/>
            <family val="2"/>
          </rPr>
          <t>Column number of initial included period in data sheet</t>
        </r>
      </text>
    </comment>
    <comment ref="O4" authorId="0">
      <text>
        <r>
          <rPr>
            <sz val="9"/>
            <color indexed="81"/>
            <rFont val="Tahoma"/>
            <family val="2"/>
          </rPr>
          <t>Counts the number of quarterly periods</t>
        </r>
      </text>
    </comment>
    <comment ref="P4" authorId="0">
      <text>
        <r>
          <rPr>
            <sz val="9"/>
            <color indexed="81"/>
            <rFont val="Tahoma"/>
            <family val="2"/>
          </rPr>
          <t>Column number of the last quarter in the data sheet</t>
        </r>
      </text>
    </comment>
    <comment ref="N5" authorId="0">
      <text>
        <r>
          <rPr>
            <sz val="9"/>
            <color indexed="81"/>
            <rFont val="Tahoma"/>
            <family val="2"/>
          </rPr>
          <t>Used for LTM</t>
        </r>
      </text>
    </comment>
    <comment ref="O5" authorId="0">
      <text>
        <r>
          <rPr>
            <sz val="9"/>
            <color indexed="81"/>
            <rFont val="Tahoma"/>
            <family val="2"/>
          </rPr>
          <t>Used in offset function to calculate how many rows to offset down</t>
        </r>
      </text>
    </comment>
    <comment ref="N6" authorId="0">
      <text>
        <r>
          <rPr>
            <sz val="9"/>
            <color indexed="81"/>
            <rFont val="Tahoma"/>
            <family val="2"/>
          </rPr>
          <t>Prior Fiscal</t>
        </r>
      </text>
    </comment>
    <comment ref="O6" authorId="0">
      <text>
        <r>
          <rPr>
            <sz val="9"/>
            <color indexed="81"/>
            <rFont val="Tahoma"/>
            <family val="2"/>
          </rPr>
          <t>Used in offset function to get to the last quarterly period (MRQ)</t>
        </r>
      </text>
    </comment>
    <comment ref="P6" authorId="0">
      <text>
        <r>
          <rPr>
            <sz val="9"/>
            <color indexed="81"/>
            <rFont val="Tahoma"/>
            <family val="2"/>
          </rPr>
          <t>Quarterly indicator of MRQ</t>
        </r>
      </text>
    </comment>
    <comment ref="Q6" authorId="0">
      <text>
        <r>
          <rPr>
            <sz val="9"/>
            <color indexed="81"/>
            <rFont val="Tahoma"/>
            <family val="2"/>
          </rPr>
          <t>Checks to see if the number of quarterly periods is greater than (4 + the quarterly indicator) AND the number of annual periods is equal to zero. Both are required criteria in order to calculate LTM, Prior Fiscal, Current Stub and Prior Stub</t>
        </r>
      </text>
    </comment>
    <comment ref="N7" authorId="0">
      <text>
        <r>
          <rPr>
            <sz val="9"/>
            <color indexed="81"/>
            <rFont val="Tahoma"/>
            <family val="2"/>
          </rPr>
          <t>Current Stub</t>
        </r>
      </text>
    </comment>
    <comment ref="O7" authorId="0">
      <text>
        <r>
          <rPr>
            <sz val="9"/>
            <color indexed="81"/>
            <rFont val="Tahoma"/>
            <family val="2"/>
          </rPr>
          <t>Four quarters back from last quarter</t>
        </r>
      </text>
    </comment>
    <comment ref="P7" authorId="0">
      <text>
        <r>
          <rPr>
            <sz val="9"/>
            <color indexed="81"/>
            <rFont val="Tahoma"/>
            <family val="2"/>
          </rPr>
          <t>Column number of the MRY</t>
        </r>
      </text>
    </comment>
    <comment ref="N8" authorId="0">
      <text>
        <r>
          <rPr>
            <sz val="9"/>
            <color indexed="81"/>
            <rFont val="Tahoma"/>
            <family val="2"/>
          </rPr>
          <t>Prior Stub</t>
        </r>
      </text>
    </comment>
  </commentList>
</comments>
</file>

<file path=xl/sharedStrings.xml><?xml version="1.0" encoding="utf-8"?>
<sst xmlns="http://schemas.openxmlformats.org/spreadsheetml/2006/main" count="963" uniqueCount="483">
  <si>
    <t>ANNUAL DATA SHEET</t>
  </si>
  <si>
    <t>QUARTERLY DATA SHEET</t>
  </si>
  <si>
    <t>DATA STARTING ROW</t>
  </si>
  <si>
    <t>DATA STARTING COLUMN</t>
  </si>
  <si>
    <t>NUMBER OF ANNUAL PERIODS</t>
  </si>
  <si>
    <t>NUMBER OF QUARTERLY PERIODS</t>
  </si>
  <si>
    <t>F</t>
  </si>
  <si>
    <t>Stock Ticker:</t>
  </si>
  <si>
    <t>Date Generated</t>
  </si>
  <si>
    <t>year end date</t>
  </si>
  <si>
    <t>date preliminary data loaded</t>
  </si>
  <si>
    <t>earnings period indicator</t>
  </si>
  <si>
    <t>quarterly indicator</t>
  </si>
  <si>
    <t>basic earnings indicator</t>
  </si>
  <si>
    <t>Y</t>
  </si>
  <si>
    <t>template indicator</t>
  </si>
  <si>
    <t>preliminary full context ind</t>
  </si>
  <si>
    <t>N</t>
  </si>
  <si>
    <t>projected fiscal year date</t>
  </si>
  <si>
    <t>0000-00-00</t>
  </si>
  <si>
    <t>number of months last report period</t>
  </si>
  <si>
    <t>operating revenue</t>
  </si>
  <si>
    <t>total revenue</t>
  </si>
  <si>
    <t>adjustments to revenue</t>
  </si>
  <si>
    <t>cost of sales</t>
  </si>
  <si>
    <t>cost of sales with depreciation</t>
  </si>
  <si>
    <t>gross margin</t>
  </si>
  <si>
    <t>gross operating profit</t>
  </si>
  <si>
    <t>Research &amp; Development (R&amp;D) Expense</t>
  </si>
  <si>
    <t>Selling, General &amp; Administrative (SG&amp;A) Expense</t>
  </si>
  <si>
    <t>advertising</t>
  </si>
  <si>
    <t>operating income</t>
  </si>
  <si>
    <t>EBITDA</t>
  </si>
  <si>
    <t>depreciation</t>
  </si>
  <si>
    <t>depreciation (unrecognized)</t>
  </si>
  <si>
    <t>amortization</t>
  </si>
  <si>
    <t>amortization of intangibles</t>
  </si>
  <si>
    <t>operating profit after depreciation</t>
  </si>
  <si>
    <t>interest income</t>
  </si>
  <si>
    <t>earnings from equity interest</t>
  </si>
  <si>
    <t>other income net</t>
  </si>
  <si>
    <t>income, acquired in process r&amp;a</t>
  </si>
  <si>
    <t>Income, Restructuring and M&amp;A</t>
  </si>
  <si>
    <t>other special charges</t>
  </si>
  <si>
    <t>special income charges</t>
  </si>
  <si>
    <t>EBIT</t>
  </si>
  <si>
    <t>interest expense</t>
  </si>
  <si>
    <t>pre-tax income</t>
  </si>
  <si>
    <t>income taxes</t>
  </si>
  <si>
    <t>minority interest</t>
  </si>
  <si>
    <t>pref. securities of subsid. trust</t>
  </si>
  <si>
    <t>income before income taxes</t>
  </si>
  <si>
    <t>net income (continuing operations)</t>
  </si>
  <si>
    <t>net income (discontinued operations)</t>
  </si>
  <si>
    <t>net income (total operations)</t>
  </si>
  <si>
    <t>extraordinary income/losses</t>
  </si>
  <si>
    <t>income from cum. effect of acct. change</t>
  </si>
  <si>
    <t>income from tax loss carryforward</t>
  </si>
  <si>
    <t>other gains/losses</t>
  </si>
  <si>
    <t>total net income</t>
  </si>
  <si>
    <t>normalized income</t>
  </si>
  <si>
    <t>net income available for common</t>
  </si>
  <si>
    <t>preferred dividends</t>
  </si>
  <si>
    <t>excise taxes</t>
  </si>
  <si>
    <t>Basic EPS (Continuing)</t>
  </si>
  <si>
    <t>Basic EPS (Discontinued)</t>
  </si>
  <si>
    <t>Basic EPS from Total Operations</t>
  </si>
  <si>
    <t>Basic EPS (Extraordinary Items)</t>
  </si>
  <si>
    <t>Basic EPS (Cum. Effect of Acct. Change)</t>
  </si>
  <si>
    <t>Basic EPS (Tax Loss Carry Forward)</t>
  </si>
  <si>
    <t>Basic EPS (Other Gains/Losses)</t>
  </si>
  <si>
    <t>Basic EPS - Total</t>
  </si>
  <si>
    <t>Basic EPS - Normalized</t>
  </si>
  <si>
    <t>Diluted EPS (Continuing)</t>
  </si>
  <si>
    <t>Diluted EPS (Discontinued)</t>
  </si>
  <si>
    <t>Diluted EPS from Total Operations</t>
  </si>
  <si>
    <t>Diluted EPS (Extraordinary)</t>
  </si>
  <si>
    <t>Diluted EPS (Cum. Effect of Acct. Change)</t>
  </si>
  <si>
    <t>Diluted EPS (Tax Loss Carry Forward)</t>
  </si>
  <si>
    <t>Diluted EPS (Other Gains/Losses)</t>
  </si>
  <si>
    <t>Diluted EPS - Total</t>
  </si>
  <si>
    <t>Diluted EPS - Normalized</t>
  </si>
  <si>
    <t>Dividends Paid Per Share (DPS)</t>
  </si>
  <si>
    <t>Revenue (YTD)</t>
  </si>
  <si>
    <t>Net Income from Total Operations (YTD)</t>
  </si>
  <si>
    <t>EPS from Total Operations (YTD)</t>
  </si>
  <si>
    <t>Dividends Paid Per Share (YTD)</t>
  </si>
  <si>
    <t>cash &amp; equivalents</t>
  </si>
  <si>
    <t>restricted cash</t>
  </si>
  <si>
    <t>marketable securities</t>
  </si>
  <si>
    <t>accounts receivable</t>
  </si>
  <si>
    <t>loans receivable</t>
  </si>
  <si>
    <t>other receivable</t>
  </si>
  <si>
    <t>receivables</t>
  </si>
  <si>
    <t>inventories, raw materials</t>
  </si>
  <si>
    <t>inventories, work in progress</t>
  </si>
  <si>
    <t>inventories, purchased components</t>
  </si>
  <si>
    <t>inventories, finished goods</t>
  </si>
  <si>
    <t>inventories, other</t>
  </si>
  <si>
    <t>inventories, adjustments &amp; allowances</t>
  </si>
  <si>
    <t>inventories</t>
  </si>
  <si>
    <t>prepaid expenses</t>
  </si>
  <si>
    <t>current defered income taxes</t>
  </si>
  <si>
    <t>other current assets</t>
  </si>
  <si>
    <t>total current assets</t>
  </si>
  <si>
    <t>land and improvements</t>
  </si>
  <si>
    <t>building and improvements</t>
  </si>
  <si>
    <t>machinery, furniture &amp; equipment</t>
  </si>
  <si>
    <t>construction in progress</t>
  </si>
  <si>
    <t>other fixed assets</t>
  </si>
  <si>
    <t>total fixed assets</t>
  </si>
  <si>
    <t>gross fixed assets</t>
  </si>
  <si>
    <t>accumulated depreciation</t>
  </si>
  <si>
    <t>net fixed assets</t>
  </si>
  <si>
    <t>intangibles</t>
  </si>
  <si>
    <t>cost in excess</t>
  </si>
  <si>
    <t>non-current deferred income taxes</t>
  </si>
  <si>
    <t>other non-current assets</t>
  </si>
  <si>
    <t>total non-current assets</t>
  </si>
  <si>
    <t>total assets</t>
  </si>
  <si>
    <t>inventory valuation method</t>
  </si>
  <si>
    <t>accounts payable</t>
  </si>
  <si>
    <t>notes payable</t>
  </si>
  <si>
    <t>short-term debt</t>
  </si>
  <si>
    <t>accrued expenses</t>
  </si>
  <si>
    <t>accrued liabilities</t>
  </si>
  <si>
    <t>deferred revenues</t>
  </si>
  <si>
    <t>current deferred income taxes</t>
  </si>
  <si>
    <t>other current liabilities</t>
  </si>
  <si>
    <t>total current liabilities</t>
  </si>
  <si>
    <t>long-term debt</t>
  </si>
  <si>
    <t>capital lease obligations</t>
  </si>
  <si>
    <t>deferred income taxes</t>
  </si>
  <si>
    <t>other non-current liabilities</t>
  </si>
  <si>
    <t>minority interest liability</t>
  </si>
  <si>
    <t>preferred secur. of subsid. trust</t>
  </si>
  <si>
    <t>preferred equity outside stock equity</t>
  </si>
  <si>
    <t>total non-current liabilities</t>
  </si>
  <si>
    <t>total liabilities</t>
  </si>
  <si>
    <t>preferred stock equity</t>
  </si>
  <si>
    <t>common stock equity</t>
  </si>
  <si>
    <t>common par</t>
  </si>
  <si>
    <t>additional paid-in capital</t>
  </si>
  <si>
    <t>cumulative translation adjustments</t>
  </si>
  <si>
    <t>retained earnings</t>
  </si>
  <si>
    <t>treasury stock</t>
  </si>
  <si>
    <t>other equity adjustments</t>
  </si>
  <si>
    <t>total capitalization</t>
  </si>
  <si>
    <t>total equity</t>
  </si>
  <si>
    <t>total liabilities &amp; stock equity</t>
  </si>
  <si>
    <t>cash flow</t>
  </si>
  <si>
    <t>working capital</t>
  </si>
  <si>
    <t>free cash flow</t>
  </si>
  <si>
    <t>invested capital</t>
  </si>
  <si>
    <t>shares out (common class only)</t>
  </si>
  <si>
    <t>preferred shares</t>
  </si>
  <si>
    <t>total ordinary shares</t>
  </si>
  <si>
    <t>total common shares out</t>
  </si>
  <si>
    <t>treasury shares</t>
  </si>
  <si>
    <t>basic weighted shares</t>
  </si>
  <si>
    <t>diluted weighted shares</t>
  </si>
  <si>
    <t>number of employees</t>
  </si>
  <si>
    <t>number of part-time employees</t>
  </si>
  <si>
    <t>net income/loss</t>
  </si>
  <si>
    <t>operating gains</t>
  </si>
  <si>
    <t>extraordinary gains</t>
  </si>
  <si>
    <t>(increase) decrease in receivables</t>
  </si>
  <si>
    <t>(increase) decrease in inventories</t>
  </si>
  <si>
    <t>(increase) decrease in prepaid expenses</t>
  </si>
  <si>
    <t>(increase) decrease in other current assets</t>
  </si>
  <si>
    <t>decrease (increase) in payables</t>
  </si>
  <si>
    <t>decrease (increase) in other current liabilities</t>
  </si>
  <si>
    <t>decrease (increase) in other working capital</t>
  </si>
  <si>
    <t>other non-cash items</t>
  </si>
  <si>
    <t>net cash from continuing operations</t>
  </si>
  <si>
    <t>net cash from discontinued operations</t>
  </si>
  <si>
    <t>net cash from total operating activities</t>
  </si>
  <si>
    <t>sale of property, plant &amp; equipment</t>
  </si>
  <si>
    <t>sale of long-term investments</t>
  </si>
  <si>
    <t>sale of short-term investments</t>
  </si>
  <si>
    <t>purchase of property, plant &amp; equipment</t>
  </si>
  <si>
    <t>acquisitions</t>
  </si>
  <si>
    <t>purchase of long-term investments</t>
  </si>
  <si>
    <t>purchase of  short-term investments</t>
  </si>
  <si>
    <t>other investing changes, net</t>
  </si>
  <si>
    <t>cash from discontinued investing activities</t>
  </si>
  <si>
    <t>net cash from investing activities</t>
  </si>
  <si>
    <t>issuance of debt</t>
  </si>
  <si>
    <t>issuance of capital stock</t>
  </si>
  <si>
    <t>repayment of long-term debt</t>
  </si>
  <si>
    <t>repurchase of capital stock</t>
  </si>
  <si>
    <t>payment of cash dividends</t>
  </si>
  <si>
    <t>other financing charges, net</t>
  </si>
  <si>
    <t>cash from discontinued financing activities</t>
  </si>
  <si>
    <t>net cash from financing activities</t>
  </si>
  <si>
    <t>effect exchange rate changes</t>
  </si>
  <si>
    <t>net change in cash &amp; equivalents</t>
  </si>
  <si>
    <t>cash at beginning of period</t>
  </si>
  <si>
    <t>cash end of period</t>
  </si>
  <si>
    <t>foreign sales</t>
  </si>
  <si>
    <t>domestic sales</t>
  </si>
  <si>
    <t>auditor name</t>
  </si>
  <si>
    <t>auditor report</t>
  </si>
  <si>
    <t>UQ</t>
  </si>
  <si>
    <t>Close PE Ratio</t>
  </si>
  <si>
    <t>High PE Ratio</t>
  </si>
  <si>
    <t>Low PE Ratio</t>
  </si>
  <si>
    <t>gross profit margin</t>
  </si>
  <si>
    <t>pre-tax profit margin</t>
  </si>
  <si>
    <t>post-tax profit margin</t>
  </si>
  <si>
    <t>net profit margin</t>
  </si>
  <si>
    <t>interest coverage (cont. operations)</t>
  </si>
  <si>
    <t>interest as % of invested capital</t>
  </si>
  <si>
    <t>effective tax rate</t>
  </si>
  <si>
    <t>income per employee</t>
  </si>
  <si>
    <t>Normalized Close PE Ratio</t>
  </si>
  <si>
    <t>Normalized High PE Ratio</t>
  </si>
  <si>
    <t>Normalized Low PE Ratio</t>
  </si>
  <si>
    <t>normalized net profit margin</t>
  </si>
  <si>
    <t>Normalized ROE</t>
  </si>
  <si>
    <t>Normalized ROA</t>
  </si>
  <si>
    <t>Normalized ROCI</t>
  </si>
  <si>
    <t>normalized income per employee</t>
  </si>
  <si>
    <t>quick ratio</t>
  </si>
  <si>
    <t>current ratio</t>
  </si>
  <si>
    <t>payout ratio</t>
  </si>
  <si>
    <t>total debt/equity ratio</t>
  </si>
  <si>
    <t>long-term debt/total capital</t>
  </si>
  <si>
    <t>leverage ratio</t>
  </si>
  <si>
    <t>asset turnover</t>
  </si>
  <si>
    <t>cash as % of revenue</t>
  </si>
  <si>
    <t>receivables as % of revenue</t>
  </si>
  <si>
    <t>SG&amp;A as % of Revenue</t>
  </si>
  <si>
    <t>R&amp;D as % of Revenue</t>
  </si>
  <si>
    <t>revenue per $ cash</t>
  </si>
  <si>
    <t>revenue per $  plant (net)</t>
  </si>
  <si>
    <t>revenue per $ common equity</t>
  </si>
  <si>
    <t>revenue per $ invested capital</t>
  </si>
  <si>
    <t>receivables turnover</t>
  </si>
  <si>
    <t>inventory turnover</t>
  </si>
  <si>
    <t>receivables per day sales</t>
  </si>
  <si>
    <t>sales per $ receivables</t>
  </si>
  <si>
    <t>sales per $ inventory</t>
  </si>
  <si>
    <t>revenue/assets</t>
  </si>
  <si>
    <t>number of days cost of goods in inventory</t>
  </si>
  <si>
    <t>current assets per share</t>
  </si>
  <si>
    <t>total assets per share</t>
  </si>
  <si>
    <t>intangibles as % of book-value</t>
  </si>
  <si>
    <t>inventory as % of revenue</t>
  </si>
  <si>
    <t>long-term debt per share</t>
  </si>
  <si>
    <t>current liabilities per share</t>
  </si>
  <si>
    <t>cash per share</t>
  </si>
  <si>
    <t>LT-Debt to Equity Ratio</t>
  </si>
  <si>
    <t>LT-Debt as % of Invested Capital</t>
  </si>
  <si>
    <t>LT-Debt as % of Total Debt</t>
  </si>
  <si>
    <t>total debt as % total assets</t>
  </si>
  <si>
    <t>working captial as % of equity</t>
  </si>
  <si>
    <t>revenue per share</t>
  </si>
  <si>
    <t>book value per share</t>
  </si>
  <si>
    <t>tangible book value per share</t>
  </si>
  <si>
    <t>price/revenue ratio</t>
  </si>
  <si>
    <t>price/equity ratio</t>
  </si>
  <si>
    <t>price/tangible book ratio</t>
  </si>
  <si>
    <t>working capital as % of price</t>
  </si>
  <si>
    <t>working capital per share</t>
  </si>
  <si>
    <t>cash flow per share</t>
  </si>
  <si>
    <t>free cash flow per share</t>
  </si>
  <si>
    <t>Return on Stock Equity (ROE)</t>
  </si>
  <si>
    <t>Return on Capital Invested (ROCI)</t>
  </si>
  <si>
    <t>Return on Assets (ROA)</t>
  </si>
  <si>
    <t>price/cash flow ratio</t>
  </si>
  <si>
    <t>price/free cash flow ratio</t>
  </si>
  <si>
    <t>sales per employee</t>
  </si>
  <si>
    <t>% of sales-to-industry</t>
  </si>
  <si>
    <t>% of earnings-to-industry</t>
  </si>
  <si>
    <t>% of EPS-to-Industry</t>
  </si>
  <si>
    <t>% of price-to-industry</t>
  </si>
  <si>
    <t>% of PE-to-Industry</t>
  </si>
  <si>
    <t>% of price/book-to-industry</t>
  </si>
  <si>
    <t>% of price/sales-to-industry</t>
  </si>
  <si>
    <t>% of price/cashflow-to-industry</t>
  </si>
  <si>
    <t>% of pric/free cashlow-to-industry</t>
  </si>
  <si>
    <t>% of debt/equity-to-industry</t>
  </si>
  <si>
    <t>% of current ratio-to-industry</t>
  </si>
  <si>
    <t>% of gross profit margin-to-industry</t>
  </si>
  <si>
    <t>% of pre-tax profit margin-to-industry</t>
  </si>
  <si>
    <t>% of post-tax profit margin-to-industry</t>
  </si>
  <si>
    <t>% of net profit margin-to-industry</t>
  </si>
  <si>
    <t>% of ROE-to-Industry</t>
  </si>
  <si>
    <t>% of leverage-to-industry</t>
  </si>
  <si>
    <t>quarter end date</t>
  </si>
  <si>
    <t>Q</t>
  </si>
  <si>
    <t>S</t>
  </si>
  <si>
    <t>Revenue</t>
  </si>
  <si>
    <t>Operating Revenue</t>
  </si>
  <si>
    <t>Adjustments to Revenue</t>
  </si>
  <si>
    <t>Cost of Goods Sold</t>
  </si>
  <si>
    <t>Cost of Goods Sold With Depreciation</t>
  </si>
  <si>
    <t>Gross Operating Profit</t>
  </si>
  <si>
    <t>SG&amp;A + R&amp;D Expense + Advertising</t>
  </si>
  <si>
    <t>R&amp;D Expense</t>
  </si>
  <si>
    <t>SG&amp;A  Expenses</t>
  </si>
  <si>
    <t>Advertising</t>
  </si>
  <si>
    <t>Depreciation &amp; Amortization Expense</t>
  </si>
  <si>
    <t>Depreciation</t>
  </si>
  <si>
    <t>Amortization</t>
  </si>
  <si>
    <t>Amortization of Intangibles</t>
  </si>
  <si>
    <t xml:space="preserve">Operating Profit After Depreciation </t>
  </si>
  <si>
    <t>Non-Operating Income (Expense)</t>
  </si>
  <si>
    <t>Interest Income</t>
  </si>
  <si>
    <t>Earnings From Equity Interest</t>
  </si>
  <si>
    <t>Other Income Net</t>
  </si>
  <si>
    <t>Income, Acquired in Process R&amp;A</t>
  </si>
  <si>
    <t>Income, Restructuring And M&amp;A</t>
  </si>
  <si>
    <t>Other Special Charges</t>
  </si>
  <si>
    <t>Interest Expense</t>
  </si>
  <si>
    <t>Pre-Tax Income</t>
  </si>
  <si>
    <t>Income Taxes</t>
  </si>
  <si>
    <t>Effective Tax Rate</t>
  </si>
  <si>
    <t>After Tax Adjustments</t>
  </si>
  <si>
    <t>Minority interest</t>
  </si>
  <si>
    <t>Pref. securities of subsid. trust</t>
  </si>
  <si>
    <t>Income Before Income Taxes</t>
  </si>
  <si>
    <t>Net Income Continuing Operations</t>
  </si>
  <si>
    <t>Net Income Discontinued Operations</t>
  </si>
  <si>
    <t>Net Income Total Operations</t>
  </si>
  <si>
    <t>Extraordinary Income/Losses</t>
  </si>
  <si>
    <t>Income From Cum. Effect of Acct. Change</t>
  </si>
  <si>
    <t>Income From Tax Loss Carryforward</t>
  </si>
  <si>
    <t>Other Gains/Losses</t>
  </si>
  <si>
    <t>Total Net Income</t>
  </si>
  <si>
    <t>Foreign Sales</t>
  </si>
  <si>
    <t>Domestic Sales</t>
  </si>
  <si>
    <t>Normalized Income</t>
  </si>
  <si>
    <t>Net Income Available For Common</t>
  </si>
  <si>
    <t>Diluted EPS: Dividends Paid per Share</t>
  </si>
  <si>
    <t>Preferred Dividends</t>
  </si>
  <si>
    <t>Excise Taxes</t>
  </si>
  <si>
    <t>Basic EPS: Continuing Operations</t>
  </si>
  <si>
    <t>Basic EPS: Discontinued Operations</t>
  </si>
  <si>
    <t>Basic EPS: From Total Operations</t>
  </si>
  <si>
    <t>Basic EPS: Extraordinary Items</t>
  </si>
  <si>
    <t>Basic EPS: Cum. Effect of Acct. Change</t>
  </si>
  <si>
    <t>Basic EPS: Tax Loss Carry Forward</t>
  </si>
  <si>
    <t>Basic EPS: Other Gains/Losses</t>
  </si>
  <si>
    <t>Basic EPS: Total</t>
  </si>
  <si>
    <t>Basic EPS: Normalized</t>
  </si>
  <si>
    <t>Diluted EPS: Continuing Operations</t>
  </si>
  <si>
    <t>Diluted EPS: Discontinued Operations</t>
  </si>
  <si>
    <t>Diluted EPS: From Total Operations</t>
  </si>
  <si>
    <t>Diluted EPS: Extraordinary Items</t>
  </si>
  <si>
    <t>Diluted EPS: Cum. Effect of Acct. Change</t>
  </si>
  <si>
    <t>Diluted EPS: Tax Loss Carry Forward</t>
  </si>
  <si>
    <t>Diluted EPS: Other Gains/Losses</t>
  </si>
  <si>
    <t>Diluted EPS: Total</t>
  </si>
  <si>
    <t>Diluted EPS: Normalized</t>
  </si>
  <si>
    <t>CONSOLIDATED BALANCE SHEET</t>
  </si>
  <si>
    <t>Cash &amp; Cash Equivalents (ST Inv)</t>
  </si>
  <si>
    <t>Cash &amp; Equivalents</t>
  </si>
  <si>
    <t>Restricted Cash</t>
  </si>
  <si>
    <t>Marketable Securities</t>
  </si>
  <si>
    <t>Receivables</t>
  </si>
  <si>
    <t>Accounts Receivable</t>
  </si>
  <si>
    <t>Loans Receivable</t>
  </si>
  <si>
    <t>Other Receivable</t>
  </si>
  <si>
    <t>Inventories</t>
  </si>
  <si>
    <t>Inventories Raw Materials</t>
  </si>
  <si>
    <t>Inventories Work in Progress</t>
  </si>
  <si>
    <t>Inventories Purchased Components</t>
  </si>
  <si>
    <t>Inventories Finished Goods</t>
  </si>
  <si>
    <t>Inventories Other</t>
  </si>
  <si>
    <t>Inventories Adjustments &amp; Allowances</t>
  </si>
  <si>
    <t>Other Current Assets</t>
  </si>
  <si>
    <t>Prepaid Expenses</t>
  </si>
  <si>
    <t>Current Defered Income Taxes</t>
  </si>
  <si>
    <t>Total Current Assets</t>
  </si>
  <si>
    <t>Property, Plant &amp; Equipment - Gross</t>
  </si>
  <si>
    <t>Land And Improvements</t>
  </si>
  <si>
    <t>Building And Improvements</t>
  </si>
  <si>
    <t>Machinery, Furniture &amp; Equipment</t>
  </si>
  <si>
    <t>Construction in Progress</t>
  </si>
  <si>
    <t>Other Fixed Assets</t>
  </si>
  <si>
    <t>Accumulated Depreciation</t>
  </si>
  <si>
    <t>Net Property, Plant &amp; Equipment</t>
  </si>
  <si>
    <t>Intangible Assets (Including Goodwill)</t>
  </si>
  <si>
    <t>Intangibles</t>
  </si>
  <si>
    <t>Cost in Excess</t>
  </si>
  <si>
    <t>Other Non-Current Assets</t>
  </si>
  <si>
    <t>Non-Current Deferred Income Taxes</t>
  </si>
  <si>
    <t>Total Non-Current Assets</t>
  </si>
  <si>
    <t>Total Assets</t>
  </si>
  <si>
    <t>Accounts Payable</t>
  </si>
  <si>
    <t>Short Term Debt &amp; Current Portion of LT Debt</t>
  </si>
  <si>
    <t>Notes Payable</t>
  </si>
  <si>
    <t>Short-Term Debt</t>
  </si>
  <si>
    <t>Other Current Liabilities</t>
  </si>
  <si>
    <t>Accrued Expenses</t>
  </si>
  <si>
    <t>Accrued Liabilities</t>
  </si>
  <si>
    <t>Deferred Revenues</t>
  </si>
  <si>
    <t>Current Deferred Income Taxes</t>
  </si>
  <si>
    <t>Total Current Liabilities</t>
  </si>
  <si>
    <t>Long-Term Debt</t>
  </si>
  <si>
    <t>Capital Lease Obligations</t>
  </si>
  <si>
    <t>Deferred Income Taxes</t>
  </si>
  <si>
    <t>Other Non-Current Liabilities</t>
  </si>
  <si>
    <t>Minority Interest Liability</t>
  </si>
  <si>
    <t>Total Non-Current Liabilities</t>
  </si>
  <si>
    <t>Total Liabilities</t>
  </si>
  <si>
    <t>Par + APIC - Treasury (&amp; Other Adjustments)</t>
  </si>
  <si>
    <t>Common Par</t>
  </si>
  <si>
    <t>Additional Paid-In Capital</t>
  </si>
  <si>
    <t>Cumulative Translation Adjustments</t>
  </si>
  <si>
    <t>Treasury Stock</t>
  </si>
  <si>
    <t>Other Equity Adjustments</t>
  </si>
  <si>
    <t>Retained Earnings</t>
  </si>
  <si>
    <t>Preferred Stock Equity</t>
  </si>
  <si>
    <t>Total Equity</t>
  </si>
  <si>
    <t>Total Liabilities &amp; Stock Equity</t>
  </si>
  <si>
    <t>Common Stock Equity</t>
  </si>
  <si>
    <t>Total Capitalization</t>
  </si>
  <si>
    <t>Preferred Shares</t>
  </si>
  <si>
    <t>Ordinary Shares</t>
  </si>
  <si>
    <t>Common Shares Out</t>
  </si>
  <si>
    <t>Treasury Shares</t>
  </si>
  <si>
    <t>Basic Weighted Shares</t>
  </si>
  <si>
    <t>Diluted Weighted Shares</t>
  </si>
  <si>
    <t>CONSOLIDATED CASH FLOW STATEMENT</t>
  </si>
  <si>
    <t>Net Income/Loss</t>
  </si>
  <si>
    <t>Operating Gains</t>
  </si>
  <si>
    <t>Extraordinary Gains</t>
  </si>
  <si>
    <t>Change in Receivables</t>
  </si>
  <si>
    <t>Change in Inventories</t>
  </si>
  <si>
    <t>Change in Prepaid Expenses</t>
  </si>
  <si>
    <t>Change in Other Current Assets</t>
  </si>
  <si>
    <t>Change in Payables</t>
  </si>
  <si>
    <t>Change in Other Current Liabilities</t>
  </si>
  <si>
    <t>Change in Other Working Capital</t>
  </si>
  <si>
    <t>Other Non-Cash Items</t>
  </si>
  <si>
    <t>Net Cash From Continuing Operations</t>
  </si>
  <si>
    <t>Net Cash From Discontinued Operations</t>
  </si>
  <si>
    <t>Net Cash From Total Operating Activities</t>
  </si>
  <si>
    <t>Sale of Property, Plant &amp; Equipment</t>
  </si>
  <si>
    <t>Sale of Long-Term Investments</t>
  </si>
  <si>
    <t>Sale of Short-Term Investments</t>
  </si>
  <si>
    <t>Purchase of Property, Plant &amp; Equipment</t>
  </si>
  <si>
    <t>Acquisitions</t>
  </si>
  <si>
    <t>Purchase of Long-Term Investments</t>
  </si>
  <si>
    <t>Purchase of Short-Term Investments</t>
  </si>
  <si>
    <t>Other Investing Changes, Net</t>
  </si>
  <si>
    <t>Cash From Discontinued Investing Activities</t>
  </si>
  <si>
    <t>Net Cash From Investing Activities</t>
  </si>
  <si>
    <t>Issuance of Debt</t>
  </si>
  <si>
    <t>Issuance of Capital Stock</t>
  </si>
  <si>
    <t>Repayment of Long-Term Debt</t>
  </si>
  <si>
    <t>Repurchase of Capital Stock</t>
  </si>
  <si>
    <t>Payment of Cash Dividends</t>
  </si>
  <si>
    <t>Other Financing Charges, Net</t>
  </si>
  <si>
    <t>Cash From Discontinued Financing Activities</t>
  </si>
  <si>
    <t>Net Cash From Financing Activities</t>
  </si>
  <si>
    <t>Effect Exchange Rate Changes</t>
  </si>
  <si>
    <t>Net Change in Cash &amp; Equivalents</t>
  </si>
  <si>
    <t>Cash At Beginning of Period</t>
  </si>
  <si>
    <t>Cash End of Period</t>
  </si>
  <si>
    <t>INDICATOR</t>
  </si>
  <si>
    <t xml:space="preserve"> </t>
  </si>
  <si>
    <t>Prior Fiscal</t>
  </si>
  <si>
    <t>Current</t>
  </si>
  <si>
    <t>Prior</t>
  </si>
  <si>
    <t>LTM</t>
  </si>
  <si>
    <t>Stub</t>
  </si>
  <si>
    <t>Opening</t>
  </si>
  <si>
    <t>Balance</t>
  </si>
  <si>
    <t>Not Applicable</t>
  </si>
  <si>
    <t>Error</t>
  </si>
  <si>
    <t>ACTUAL STATEMENTS</t>
  </si>
  <si>
    <t>CONSOLIDATED INCOME STATEMENT</t>
  </si>
  <si>
    <t>Ernst &amp; Young LLP</t>
  </si>
  <si>
    <t>KPMG LLP</t>
  </si>
  <si>
    <t>10_15_2014_2_30_19_PM</t>
  </si>
  <si>
    <t>NASDAQ:AAPL</t>
  </si>
  <si>
    <t>10_15_2014_2_30_58_PM</t>
  </si>
  <si>
    <t>AAPL_ANNUAL!$A$1</t>
  </si>
  <si>
    <t>AAPL_QUARTERLY!$A$1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</si>
</sst>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71">
    <numFmt numFmtId="164" formatCode="&quot;$&quot;#,##0_);\(&quot;$&quot;#,##0\)"/>
    <numFmt numFmtId="165" formatCode="&quot;$&quot;#,##0_);[Red]\(&quot;$&quot;#,##0\)"/>
    <numFmt numFmtId="166" formatCode="&quot;$&quot;#,##0.00_);\(&quot;$&quot;#,##0.00\)"/>
    <numFmt numFmtId="167" formatCode="&quot;$&quot;#,##0.00_);[Red]\(&quot;$&quot;#,##0.00\)"/>
    <numFmt numFmtId="168" formatCode="_(&quot;$&quot;* #,##0_);_(&quot;$&quot;* \(#,##0\);_(&quot;$&quot;* &quot;-&quot;_);_(@_)"/>
    <numFmt numFmtId="169" formatCode="_(* #,##0_);_(* \(#,##0\);_(* &quot;-&quot;_);_(@_)"/>
    <numFmt numFmtId="170" formatCode="_(&quot;$&quot;* #,##0.00_);_(&quot;$&quot;* \(#,##0.00\);_(&quot;$&quot;* &quot;-&quot;??_);_(@_)"/>
    <numFmt numFmtId="171" formatCode="_(* #,##0.00_);_(* \(#,##0.00\);_(* &quot;-&quot;??_);_(@_)"/>
    <numFmt numFmtId="172" formatCode="&quot;$&quot;#,##0.00"/>
    <numFmt numFmtId="173" formatCode="&quot;Calculation Check&quot;"/>
    <numFmt numFmtId="174" formatCode="#,##0.0_);\(#,##0.0\);@_)"/>
    <numFmt numFmtId="175" formatCode="#,##0.0_);\(#,##0.0\);&quot;-&quot;?_);@_)"/>
    <numFmt numFmtId="176" formatCode="&quot;$&quot;#,##0.0_);\(&quot;$&quot;#,##0.0\);@_)"/>
    <numFmt numFmtId="177" formatCode="&quot;$&quot;#,##0.0_);\(&quot;$&quot;#,##0.0\);&quot;-&quot;?_);@_)"/>
    <numFmt numFmtId="178" formatCode="0.0%;\-0.0%;&quot;-&quot;?_);@_)"/>
    <numFmt numFmtId="179" formatCode="_(* #,##0.00_);_(* \(#,##0.00\);_(* &quot;--&quot;??_);_(@_)"/>
    <numFmt numFmtId="180" formatCode="#,##0.0_)_%;\(#,##0.0\)_%;0.0_)_%;@_)_%"/>
    <numFmt numFmtId="181" formatCode="_ * #,##0_ ;\ \(#,##0\)_ ;_ * &quot;-&quot;_ ;_ @_ "/>
    <numFmt numFmtId="182" formatCode="##\ &quot;Years&quot;"/>
    <numFmt numFmtId="183" formatCode="#,##0.0_);\(#,##0.0\)"/>
    <numFmt numFmtId="184" formatCode="#,##0.0"/>
    <numFmt numFmtId="185" formatCode="0.0%"/>
    <numFmt numFmtId="186" formatCode="_(* #,##0.0_);_(* \(#,##0.0\);_(* &quot;--- &quot;_)"/>
    <numFmt numFmtId="187" formatCode="_(&quot;$&quot;* #,##0.0_);_(&quot;$&quot;* \(#,##0.0\);_(&quot;$&quot;* &quot;--- &quot;_)"/>
    <numFmt numFmtId="188" formatCode="#,##0.0\x\ _);\(#,##0.0\x\)\ ;0.0\x_)\ ;@_%_)"/>
    <numFmt numFmtId="189" formatCode="_(* #,##0.0_);_(* \(#,##0.0\);_(* &quot;-&quot;?_);_(@_)"/>
    <numFmt numFmtId="190" formatCode=";;;"/>
    <numFmt numFmtId="191" formatCode="0.0\%_);\(0.0\%\);0.0\%_);@_%_)"/>
    <numFmt numFmtId="192" formatCode="&quot;£&quot;#,##0;\-&quot;£&quot;#,##0"/>
    <numFmt numFmtId="193" formatCode="&quot;n&quot;"/>
    <numFmt numFmtId="194" formatCode="General_)"/>
    <numFmt numFmtId="195" formatCode="0_)"/>
    <numFmt numFmtId="196" formatCode="_(* #,##0.0_);_(* \(#,##0.0\);_(* &quot;-&quot;??_);_(@_)"/>
    <numFmt numFmtId="197" formatCode="#,##0.00_%_);\(#,##0.00\)_%;**;@_%_)"/>
    <numFmt numFmtId="198" formatCode="#,##0_%_);\(#,##0\)_%;#,##0_%_);@_%_)"/>
    <numFmt numFmtId="199" formatCode="#,##0.0_%_);\(#,##0.0\)_%;**;@_%_)"/>
    <numFmt numFmtId="200" formatCode="#,##0.0%_);\(#,##0.0%\);0.0%_);@_%_)"/>
    <numFmt numFmtId="201" formatCode="&quot;$&quot;#,##0.00_%_);\(&quot;$&quot;#,##0.00\)_%;**;@_%_)"/>
    <numFmt numFmtId="202" formatCode="&quot;$&quot;#,##0.00_%_);\(&quot;$&quot;#,##0.00\)_%;&quot;$&quot;#,##0.00_%_);@_%_)"/>
    <numFmt numFmtId="203" formatCode="&quot;$&quot;#,##0.0_%_);\(&quot;$&quot;#,##0.0\)_%;**;@_%_)"/>
    <numFmt numFmtId="204" formatCode="#,##0.0_%_);\(#,##0.0\)_%;#,##0.0_%_);@_%_)\F\F\r"/>
    <numFmt numFmtId="205" formatCode="&quot;$&quot;#,##0.0_);\(&quot;$&quot;#,##0.0\)"/>
    <numFmt numFmtId="206" formatCode="_(* #,##0.00000_);_(* \(#,##0.00000\);_(* &quot;-&quot;??_);_(@_)"/>
    <numFmt numFmtId="207" formatCode="\€\ #,##0.0_);\(\€\ #,##0.0\);@_)"/>
    <numFmt numFmtId="208" formatCode="\€\ #,##0.0_);\(\€\ #,##0.0\);&quot;-&quot;?_);@_)"/>
    <numFmt numFmtId="209" formatCode="* _(#,##0.0_);* \(#,##0.0\);* _(&quot;-&quot;??_);_(@_)"/>
    <numFmt numFmtId="210" formatCode="0.0\x_9"/>
    <numFmt numFmtId="211" formatCode="0.00_)"/>
    <numFmt numFmtId="212" formatCode="#,##0.0\x;\-#,##0.0\x;&quot;-&quot;?_);@_)"/>
    <numFmt numFmtId="213" formatCode="#,##0.0\x_);\(#,##0.0\x\);#,##0.0\x_);@_)"/>
    <numFmt numFmtId="214" formatCode="0.000"/>
    <numFmt numFmtId="215" formatCode="0.00\x"/>
    <numFmt numFmtId="216" formatCode="#,##0.0;\(#,##0.0\)"/>
    <numFmt numFmtId="217" formatCode="#,##0.000;\(#,##0.000\)"/>
    <numFmt numFmtId="218" formatCode="0.0%_%;\(0.0%\)_%"/>
    <numFmt numFmtId="219" formatCode="_(* #,##0.0%_);_(* \(#,##0.0%\);_(* &quot;--- %&quot;_);_(* @_%_)"/>
    <numFmt numFmtId="220" formatCode="#,##0.0\%_);\(#,##0.0\%\);#,##0.0\%_);@_)"/>
    <numFmt numFmtId="221" formatCode="#,##0.00_);\(#,##0.00\);_(* &quot;-&quot;_)"/>
    <numFmt numFmtId="222" formatCode="#,##0.0\x"/>
    <numFmt numFmtId="223" formatCode="#,##0.0_);\(#,##0.0\);_(* &quot;-&quot;_)"/>
    <numFmt numFmtId="224" formatCode="#,##0_);\(#,##0\);_(* &quot;-&quot;_);_(* &quot;-&quot;_)"/>
    <numFmt numFmtId="225" formatCode="_(&quot;$&quot;* #,##0.00_);_(&quot;$&quot;* \(#,##0.00\);_(* &quot;-&quot;_);_(@_)"/>
    <numFmt numFmtId="226" formatCode="_(###.##%_);\(* &quot;-&quot;_);_(@_)"/>
    <numFmt numFmtId="227" formatCode="m/d/yy"/>
    <numFmt numFmtId="228" formatCode="#,##0.00\x"/>
    <numFmt numFmtId="229" formatCode="0.0\ \x_);\(0.0\ \x\);@_ _x_)"/>
    <numFmt numFmtId="230" formatCode="0.0_ _x_);\(0.0\)_ _x;@_ _x_)"/>
    <numFmt numFmtId="231" formatCode="&quot;$&quot;#,##0"/>
    <numFmt numFmtId="232" formatCode="&quot;$&quot;\ #,##0;\(&quot;$&quot;\ #,##0\)"/>
    <numFmt numFmtId="233" formatCode="&quot;Consolidation Check&quot;"/>
    <numFmt numFmtId="234" formatCode="_(* #,##0%;_(* \(#,##0\)%"/>
  </numFmts>
  <fonts count="15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8"/>
      <color theme="1"/>
      <name val="Arial"/>
      <family val="2"/>
    </font>
    <font>
      <b/>
      <sz val="8"/>
      <color theme="0" tint="0.79998168889431442"/>
      <name val="Arial"/>
      <family val="2"/>
    </font>
    <font>
      <sz val="8"/>
      <name val="Arial"/>
      <family val="2"/>
    </font>
    <font>
      <b/>
      <sz val="8"/>
      <color theme="1"/>
      <name val="Arial"/>
      <family val="2"/>
    </font>
    <font>
      <b/>
      <sz val="8"/>
      <color rgb="FFFF0000"/>
      <name val="Arial"/>
      <family val="2"/>
    </font>
    <font>
      <sz val="8"/>
      <color rgb="FFFF0000"/>
      <name val="Arial"/>
      <family val="2"/>
    </font>
    <font>
      <sz val="10"/>
      <color indexed="16"/>
      <name val="Credit Suisse Type Roman"/>
      <family val="2"/>
    </font>
    <font>
      <b/>
      <i/>
      <sz val="8"/>
      <color theme="1"/>
      <name val="Arial"/>
      <family val="2"/>
    </font>
    <font>
      <sz val="8"/>
      <color theme="4"/>
      <name val="Arial"/>
      <family val="2"/>
    </font>
    <font>
      <sz val="8"/>
      <color indexed="8"/>
      <name val="Arial"/>
      <family val="2"/>
    </font>
    <font>
      <sz val="8"/>
      <color indexed="12"/>
      <name val="Arial"/>
      <family val="2"/>
    </font>
    <font>
      <sz val="10"/>
      <name val="Geneva"/>
      <family val="2"/>
    </font>
    <font>
      <b/>
      <sz val="10"/>
      <name val="MS Sans Serif"/>
      <family val="2"/>
    </font>
    <font>
      <sz val="10"/>
      <name val="Arial Narrow"/>
      <family val="2"/>
    </font>
    <font>
      <sz val="10"/>
      <name val="GillSans"/>
    </font>
    <font>
      <sz val="10"/>
      <name val="Palatino"/>
      <family val="1"/>
    </font>
    <font>
      <sz val="9"/>
      <name val="Arial"/>
      <family val="2"/>
    </font>
    <font>
      <sz val="10"/>
      <name val="Arial"/>
      <family val="2"/>
    </font>
    <font>
      <sz val="8"/>
      <name val="MS Serif"/>
      <family val="1"/>
    </font>
    <font>
      <sz val="12"/>
      <name val="Times"/>
      <family val="1"/>
    </font>
    <font>
      <sz val="8"/>
      <color indexed="49"/>
      <name val="Times New Roman"/>
      <family val="1"/>
    </font>
    <font>
      <sz val="10"/>
      <color indexed="8"/>
      <name val="MS Sans Serif"/>
      <family val="2"/>
    </font>
    <font>
      <sz val="10"/>
      <name val="Times New Roman"/>
      <family val="1"/>
    </font>
    <font>
      <u/>
      <sz val="8.4"/>
      <color indexed="12"/>
      <name val="Arial"/>
      <family val="2"/>
    </font>
    <font>
      <sz val="12"/>
      <name val="???"/>
      <family val="1"/>
    </font>
    <font>
      <b/>
      <sz val="9"/>
      <name val="Arial"/>
      <family val="2"/>
    </font>
    <font>
      <b/>
      <sz val="10"/>
      <name val="Arial"/>
      <family val="2"/>
    </font>
    <font>
      <sz val="8"/>
      <name val="Times New Roman"/>
      <family val="1"/>
    </font>
    <font>
      <sz val="10"/>
      <name val="MS Sans Serif"/>
      <family val="2"/>
    </font>
    <font>
      <sz val="11"/>
      <name val="Arial"/>
      <family val="2"/>
    </font>
    <font>
      <sz val="12"/>
      <name val="Arial"/>
      <family val="2"/>
    </font>
    <font>
      <sz val="10"/>
      <name val="SWISS"/>
    </font>
    <font>
      <sz val="8"/>
      <name val="Palatino"/>
      <family val="1"/>
    </font>
    <font>
      <sz val="9"/>
      <color indexed="8"/>
      <name val="Arial"/>
      <family val="2"/>
    </font>
    <font>
      <b/>
      <sz val="22"/>
      <color indexed="18"/>
      <name val="Arial"/>
      <family val="2"/>
    </font>
    <font>
      <b/>
      <sz val="14"/>
      <color indexed="18"/>
      <name val="Arial"/>
      <family val="2"/>
    </font>
    <font>
      <b/>
      <sz val="10"/>
      <color indexed="18"/>
      <name val="Arial"/>
      <family val="2"/>
    </font>
    <font>
      <b/>
      <sz val="9"/>
      <color indexed="18"/>
      <name val="Arial"/>
      <family val="2"/>
    </font>
    <font>
      <b/>
      <u val="singleAccounting"/>
      <sz val="10"/>
      <color indexed="18"/>
      <name val="Arial"/>
      <family val="2"/>
    </font>
    <font>
      <b/>
      <u val="singleAccounting"/>
      <sz val="9"/>
      <color indexed="18"/>
      <name val="Arial"/>
      <family val="2"/>
    </font>
    <font>
      <sz val="12"/>
      <name val="Times New Roman"/>
      <family val="1"/>
    </font>
    <font>
      <sz val="14"/>
      <name val="AngsanaUPC"/>
      <family val="1"/>
    </font>
    <font>
      <sz val="8"/>
      <name val="Helv"/>
      <family val="2"/>
    </font>
    <font>
      <sz val="12"/>
      <name val="Arial MT"/>
    </font>
    <font>
      <b/>
      <sz val="7"/>
      <name val="Arial"/>
      <family val="2"/>
    </font>
    <font>
      <sz val="9"/>
      <name val="Times New Roman"/>
      <family val="1"/>
    </font>
    <font>
      <sz val="10"/>
      <name val="Courier"/>
      <family val="3"/>
    </font>
    <font>
      <i/>
      <sz val="8"/>
      <color indexed="16"/>
      <name val="Arial"/>
      <family val="2"/>
    </font>
    <font>
      <i/>
      <sz val="8"/>
      <color indexed="54"/>
      <name val="Arial"/>
      <family val="2"/>
    </font>
    <font>
      <i/>
      <sz val="9"/>
      <color indexed="16"/>
      <name val="Arial"/>
      <family val="2"/>
    </font>
    <font>
      <b/>
      <sz val="11"/>
      <name val="Arial"/>
      <family val="2"/>
    </font>
    <font>
      <sz val="9"/>
      <color indexed="12"/>
      <name val="Times New Roman"/>
      <family val="1"/>
    </font>
    <font>
      <b/>
      <sz val="8"/>
      <name val="Arial"/>
      <family val="2"/>
    </font>
    <font>
      <i/>
      <sz val="8"/>
      <name val="Arial"/>
      <family val="2"/>
    </font>
    <font>
      <sz val="7"/>
      <name val="Ariel"/>
    </font>
    <font>
      <sz val="10"/>
      <color indexed="10"/>
      <name val="Times New Roman"/>
      <family val="1"/>
    </font>
    <font>
      <sz val="8"/>
      <color indexed="13"/>
      <name val="Arial"/>
      <family val="2"/>
    </font>
    <font>
      <sz val="10"/>
      <color indexed="8"/>
      <name val="Times"/>
      <family val="1"/>
    </font>
    <font>
      <sz val="10"/>
      <color indexed="8"/>
      <name val="Times New Roman"/>
      <family val="1"/>
    </font>
    <font>
      <sz val="9"/>
      <color indexed="9"/>
      <name val="Times New Roman"/>
      <family val="1"/>
    </font>
    <font>
      <b/>
      <sz val="10"/>
      <name val="Times New Roman"/>
      <family val="1"/>
    </font>
    <font>
      <sz val="8"/>
      <color indexed="12"/>
      <name val="Times"/>
      <family val="1"/>
    </font>
    <font>
      <b/>
      <sz val="10"/>
      <color indexed="9"/>
      <name val="Arial"/>
      <family val="2"/>
    </font>
    <font>
      <sz val="9"/>
      <color indexed="18"/>
      <name val="CharterITC BT"/>
      <family val="1"/>
    </font>
    <font>
      <sz val="10"/>
      <color indexed="12"/>
      <name val="Times New Roman"/>
      <family val="1"/>
    </font>
    <font>
      <sz val="9"/>
      <color indexed="12"/>
      <name val="Times"/>
      <family val="1"/>
    </font>
    <font>
      <b/>
      <sz val="8"/>
      <name val="Arial Narrow"/>
      <family val="2"/>
    </font>
    <font>
      <b/>
      <sz val="12"/>
      <name val="Times New Roman"/>
      <family val="1"/>
    </font>
    <font>
      <sz val="8"/>
      <name val="Arial Narrow"/>
      <family val="2"/>
    </font>
    <font>
      <sz val="8"/>
      <name val="Wingdings"/>
      <charset val="2"/>
    </font>
    <font>
      <b/>
      <i/>
      <sz val="9"/>
      <name val="Arial"/>
      <family val="2"/>
    </font>
    <font>
      <b/>
      <sz val="8"/>
      <name val="TimesNewRomanPS"/>
      <family val="1"/>
    </font>
    <font>
      <sz val="11"/>
      <name val="?? ?????"/>
      <family val="3"/>
    </font>
    <font>
      <sz val="11"/>
      <name val="Book Antiqua"/>
      <family val="1"/>
    </font>
    <font>
      <b/>
      <sz val="10"/>
      <name val="Helv"/>
      <family val="2"/>
    </font>
    <font>
      <b/>
      <sz val="10"/>
      <name val="MS Serif"/>
      <family val="1"/>
    </font>
    <font>
      <b/>
      <sz val="12"/>
      <name val="Arial"/>
      <family val="2"/>
    </font>
    <font>
      <sz val="10"/>
      <color indexed="18"/>
      <name val="Times New Roman"/>
      <family val="1"/>
    </font>
    <font>
      <b/>
      <sz val="11"/>
      <name val="Times New Roman"/>
      <family val="1"/>
    </font>
    <font>
      <b/>
      <i/>
      <sz val="8"/>
      <name val="Arial"/>
      <family val="2"/>
    </font>
    <font>
      <b/>
      <sz val="8"/>
      <name val="Book Antiqua"/>
      <family val="1"/>
    </font>
    <font>
      <b/>
      <sz val="8"/>
      <name val="GillSans"/>
    </font>
    <font>
      <u/>
      <sz val="8"/>
      <color indexed="12"/>
      <name val="Times New Roman"/>
      <family val="1"/>
    </font>
    <font>
      <sz val="10"/>
      <name val="Helv"/>
    </font>
    <font>
      <sz val="8"/>
      <color indexed="12"/>
      <name val="Times New Roman"/>
      <family val="1"/>
    </font>
    <font>
      <sz val="8"/>
      <color indexed="21"/>
      <name val="Palatino"/>
      <family val="1"/>
    </font>
    <font>
      <sz val="10"/>
      <color indexed="24"/>
      <name val="Arial"/>
      <family val="2"/>
    </font>
    <font>
      <sz val="10"/>
      <name val="BERNHARD"/>
    </font>
    <font>
      <sz val="10"/>
      <color indexed="12"/>
      <name val="Geneva"/>
    </font>
    <font>
      <i/>
      <sz val="9"/>
      <name val="MS Sans Serif"/>
      <family val="2"/>
    </font>
    <font>
      <sz val="24"/>
      <name val="Arial"/>
      <family val="2"/>
    </font>
    <font>
      <b/>
      <sz val="14"/>
      <name val="Arial"/>
      <family val="2"/>
    </font>
    <font>
      <sz val="10"/>
      <name val="MS Serif"/>
      <family val="1"/>
    </font>
    <font>
      <sz val="14"/>
      <name val="Palatino"/>
      <family val="1"/>
    </font>
    <font>
      <sz val="16"/>
      <name val="Palatino"/>
      <family val="1"/>
    </font>
    <font>
      <sz val="32"/>
      <name val="Helvetica-Black"/>
    </font>
    <font>
      <sz val="10"/>
      <name val="Book Antiqua"/>
      <family val="1"/>
    </font>
    <font>
      <sz val="8"/>
      <color indexed="8"/>
      <name val="Times New Roman"/>
      <family val="1"/>
    </font>
    <font>
      <sz val="11"/>
      <color indexed="12"/>
      <name val="Book Antiqua"/>
      <family val="1"/>
    </font>
    <font>
      <sz val="8"/>
      <color indexed="16"/>
      <name val="Palatino"/>
      <family val="1"/>
    </font>
    <font>
      <b/>
      <sz val="7.5"/>
      <color indexed="8"/>
      <name val="Arial"/>
      <family val="2"/>
    </font>
    <font>
      <sz val="8"/>
      <color indexed="18"/>
      <name val="Times New Roman"/>
      <family val="1"/>
    </font>
    <font>
      <sz val="10"/>
      <color indexed="8"/>
      <name val="Arial"/>
      <family val="2"/>
    </font>
    <font>
      <u val="doubleAccounting"/>
      <sz val="10"/>
      <name val="Times New Roman"/>
      <family val="1"/>
    </font>
    <font>
      <sz val="1"/>
      <color indexed="8"/>
      <name val="Courier"/>
      <family val="3"/>
    </font>
    <font>
      <b/>
      <sz val="8"/>
      <name val="Times New Roman"/>
      <family val="1"/>
    </font>
    <font>
      <u val="doubleAccounting"/>
      <sz val="10"/>
      <name val="Arial"/>
      <family val="2"/>
    </font>
    <font>
      <b/>
      <i/>
      <sz val="8"/>
      <color indexed="12"/>
      <name val="Arial"/>
      <family val="2"/>
    </font>
    <font>
      <sz val="10"/>
      <color indexed="16"/>
      <name val="MS Serif"/>
      <family val="1"/>
    </font>
    <font>
      <b/>
      <sz val="9.5"/>
      <color indexed="10"/>
      <name val="MS Sans Serif"/>
      <family val="2"/>
    </font>
    <font>
      <b/>
      <u/>
      <sz val="12"/>
      <name val="Arial Narrow"/>
      <family val="2"/>
    </font>
    <font>
      <i/>
      <sz val="10"/>
      <color indexed="10"/>
      <name val="Times New Roman"/>
      <family val="1"/>
    </font>
    <font>
      <sz val="10"/>
      <color indexed="12"/>
      <name val="Arial Narrow"/>
      <family val="2"/>
    </font>
    <font>
      <b/>
      <sz val="7"/>
      <color indexed="12"/>
      <name val="Arial"/>
      <family val="2"/>
    </font>
    <font>
      <sz val="14"/>
      <color indexed="32"/>
      <name val="Times New Roman"/>
      <family val="1"/>
    </font>
    <font>
      <sz val="6"/>
      <color indexed="23"/>
      <name val="Helvetica-Black"/>
    </font>
    <font>
      <sz val="9.5"/>
      <color indexed="23"/>
      <name val="Helvetica-Black"/>
    </font>
    <font>
      <sz val="7"/>
      <name val="Palatino"/>
      <family val="1"/>
    </font>
    <font>
      <sz val="7"/>
      <name val="Arial"/>
      <family val="2"/>
    </font>
    <font>
      <u val="singleAccounting"/>
      <sz val="8"/>
      <name val="Arial"/>
      <family val="2"/>
    </font>
    <font>
      <u val="singleAccounting"/>
      <sz val="9"/>
      <color indexed="12"/>
      <name val="Arial"/>
      <family val="2"/>
    </font>
    <font>
      <sz val="10"/>
      <name val="C Helvetica Condensed"/>
    </font>
    <font>
      <sz val="9"/>
      <name val="Times"/>
      <family val="1"/>
    </font>
    <font>
      <b/>
      <i/>
      <sz val="8"/>
      <name val="Arial Narrow"/>
      <family val="2"/>
    </font>
    <font>
      <b/>
      <sz val="10"/>
      <color indexed="17"/>
      <name val="Helv"/>
    </font>
    <font>
      <sz val="7"/>
      <name val="Times New Roman"/>
      <family val="1"/>
    </font>
    <font>
      <b/>
      <sz val="7"/>
      <color indexed="17"/>
      <name val="Arial"/>
      <family val="2"/>
    </font>
    <font>
      <sz val="9"/>
      <name val="Futura UBS Bk"/>
      <family val="2"/>
    </font>
    <font>
      <b/>
      <sz val="10"/>
      <color indexed="9"/>
      <name val="GillSans"/>
    </font>
    <font>
      <b/>
      <i/>
      <sz val="12"/>
      <name val="Times"/>
      <family val="1"/>
    </font>
    <font>
      <b/>
      <sz val="10"/>
      <color indexed="8"/>
      <name val="GillSans"/>
    </font>
    <font>
      <sz val="6"/>
      <name val="Palatino"/>
      <family val="1"/>
    </font>
    <font>
      <b/>
      <sz val="8"/>
      <name val="Palatino"/>
      <family val="1"/>
    </font>
    <font>
      <b/>
      <sz val="8"/>
      <name val="Helv"/>
    </font>
    <font>
      <sz val="10"/>
      <name val="Helvetica-Black"/>
    </font>
    <font>
      <sz val="28"/>
      <name val="Helvetica-Black"/>
    </font>
    <font>
      <b/>
      <i/>
      <sz val="16"/>
      <name val="Helv"/>
    </font>
    <font>
      <b/>
      <sz val="26"/>
      <name val="Times New Roman"/>
      <family val="1"/>
    </font>
    <font>
      <b/>
      <sz val="18"/>
      <name val="Times New Roman"/>
      <family val="1"/>
    </font>
    <font>
      <u val="singleAccounting"/>
      <sz val="10"/>
      <name val="Arial"/>
      <family val="2"/>
    </font>
    <font>
      <b/>
      <sz val="13"/>
      <color indexed="8"/>
      <name val="Verdana"/>
      <family val="2"/>
    </font>
    <font>
      <b/>
      <sz val="8"/>
      <color indexed="9"/>
      <name val="Verdana"/>
      <family val="2"/>
    </font>
    <font>
      <b/>
      <sz val="8"/>
      <color indexed="8"/>
      <name val="Arial"/>
      <family val="2"/>
    </font>
    <font>
      <i/>
      <sz val="8"/>
      <color indexed="8"/>
      <name val="Arial"/>
      <family val="2"/>
    </font>
    <font>
      <sz val="2"/>
      <color indexed="9"/>
      <name val="Symbol"/>
      <family val="1"/>
    </font>
    <font>
      <sz val="8"/>
      <color indexed="39"/>
      <name val="Arial"/>
      <family val="2"/>
    </font>
    <font>
      <i/>
      <sz val="8"/>
      <color theme="1"/>
      <name val="Arial"/>
      <family val="2"/>
    </font>
    <font>
      <sz val="9"/>
      <color indexed="81"/>
      <name val="Tahoma"/>
      <family val="2"/>
    </font>
    <font>
      <b/>
      <sz val="15"/>
      <color theme="3"/>
      <name val="Arial"/>
      <family val="2"/>
    </font>
    <font>
      <sz val="12"/>
      <color rgb="FF000000"/>
      <name val="Lucida Grande"/>
    </font>
  </fonts>
  <fills count="36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indexed="22"/>
        <bgColor indexed="22"/>
      </patternFill>
    </fill>
    <fill>
      <patternFill patternType="solid">
        <fgColor indexed="9"/>
      </patternFill>
    </fill>
    <fill>
      <patternFill patternType="solid">
        <fgColor indexed="43"/>
      </patternFill>
    </fill>
    <fill>
      <patternFill patternType="solid">
        <fgColor indexed="36"/>
      </patternFill>
    </fill>
    <fill>
      <patternFill patternType="solid">
        <fgColor indexed="59"/>
      </patternFill>
    </fill>
    <fill>
      <patternFill patternType="solid">
        <fgColor indexed="42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18"/>
        <bgColor indexed="64"/>
      </patternFill>
    </fill>
    <fill>
      <patternFill patternType="solid">
        <fgColor indexed="29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51"/>
        <bgColor indexed="64"/>
      </patternFill>
    </fill>
    <fill>
      <patternFill patternType="gray0625">
        <fgColor indexed="10"/>
        <bgColor indexed="9"/>
      </patternFill>
    </fill>
    <fill>
      <patternFill patternType="solid">
        <fgColor indexed="44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indexed="17"/>
        <bgColor indexed="64"/>
      </patternFill>
    </fill>
    <fill>
      <patternFill patternType="solid">
        <fgColor indexed="9"/>
        <bgColor indexed="64"/>
      </patternFill>
    </fill>
    <fill>
      <patternFill patternType="gray0625"/>
    </fill>
    <fill>
      <patternFill patternType="lightGray">
        <fgColor indexed="14"/>
        <bgColor indexed="9"/>
      </patternFill>
    </fill>
    <fill>
      <patternFill patternType="lightGray">
        <fgColor indexed="15"/>
      </patternFill>
    </fill>
    <fill>
      <patternFill patternType="gray0625">
        <fgColor indexed="15"/>
      </patternFill>
    </fill>
    <fill>
      <patternFill patternType="lightGray">
        <fgColor indexed="12"/>
      </patternFill>
    </fill>
    <fill>
      <patternFill patternType="solid">
        <fgColor indexed="63"/>
        <bgColor indexed="64"/>
      </patternFill>
    </fill>
    <fill>
      <patternFill patternType="solid">
        <fgColor indexed="15"/>
        <bgColor indexed="64"/>
      </patternFill>
    </fill>
    <fill>
      <patternFill patternType="lightGray">
        <fgColor indexed="12"/>
        <bgColor indexed="9"/>
      </patternFill>
    </fill>
    <fill>
      <patternFill patternType="solid">
        <fgColor indexed="35"/>
        <bgColor indexed="64"/>
      </patternFill>
    </fill>
    <fill>
      <patternFill patternType="solid">
        <fgColor indexed="26"/>
        <bgColor indexed="64"/>
      </patternFill>
    </fill>
    <fill>
      <patternFill patternType="mediumGray"/>
    </fill>
    <fill>
      <patternFill patternType="solid">
        <fgColor indexed="56"/>
        <bgColor indexed="64"/>
      </patternFill>
    </fill>
    <fill>
      <patternFill patternType="solid">
        <fgColor indexed="16"/>
        <bgColor indexed="64"/>
      </patternFill>
    </fill>
    <fill>
      <patternFill patternType="solid">
        <fgColor indexed="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indexed="64"/>
      </patternFill>
    </fill>
  </fills>
  <borders count="49">
    <border>
      <left/>
      <right/>
      <top/>
      <bottom/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/>
      <bottom/>
      <diagonal/>
    </border>
    <border>
      <left/>
      <right/>
      <top/>
      <bottom style="double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/>
      <top/>
      <bottom style="thin">
        <color auto="1"/>
      </bottom>
      <diagonal/>
    </border>
    <border>
      <left/>
      <right/>
      <top/>
      <bottom style="medium">
        <color auto="1"/>
      </bottom>
      <diagonal/>
    </border>
    <border>
      <left/>
      <right/>
      <top style="hair">
        <color indexed="8"/>
      </top>
      <bottom style="hair">
        <color indexed="8"/>
      </bottom>
      <diagonal/>
    </border>
    <border>
      <left/>
      <right/>
      <top style="thin">
        <color indexed="8"/>
      </top>
      <bottom style="thin">
        <color indexed="8"/>
      </bottom>
      <diagonal/>
    </border>
    <border>
      <left/>
      <right/>
      <top/>
      <bottom style="medium">
        <color indexed="18"/>
      </bottom>
      <diagonal/>
    </border>
    <border>
      <left/>
      <right/>
      <top/>
      <bottom style="thin">
        <color indexed="8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/>
      <right/>
      <top style="thin">
        <color auto="1"/>
      </top>
      <bottom/>
      <diagonal/>
    </border>
    <border>
      <left style="medium">
        <color auto="1"/>
      </left>
      <right style="medium">
        <color auto="1"/>
      </right>
      <top/>
      <bottom style="thick">
        <color indexed="37"/>
      </bottom>
      <diagonal/>
    </border>
    <border>
      <left style="double">
        <color auto="1"/>
      </left>
      <right/>
      <top/>
      <bottom style="hair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medium">
        <color indexed="12"/>
      </left>
      <right style="medium">
        <color indexed="12"/>
      </right>
      <top style="medium">
        <color indexed="12"/>
      </top>
      <bottom style="medium">
        <color indexed="12"/>
      </bottom>
      <diagonal/>
    </border>
    <border>
      <left/>
      <right/>
      <top/>
      <bottom style="dotted">
        <color auto="1"/>
      </bottom>
      <diagonal/>
    </border>
    <border>
      <left style="thin">
        <color auto="1"/>
      </left>
      <right/>
      <top/>
      <bottom/>
      <diagonal/>
    </border>
    <border>
      <left/>
      <right/>
      <top style="medium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 style="medium">
        <color indexed="9"/>
      </left>
      <right style="medium">
        <color indexed="9"/>
      </right>
      <top style="medium">
        <color indexed="9"/>
      </top>
      <bottom style="medium">
        <color indexed="9"/>
      </bottom>
      <diagonal/>
    </border>
    <border>
      <left style="medium">
        <color indexed="9"/>
      </left>
      <right style="medium">
        <color indexed="9"/>
      </right>
      <top/>
      <bottom/>
      <diagonal/>
    </border>
    <border>
      <left/>
      <right/>
      <top/>
      <bottom style="thin">
        <color indexed="44"/>
      </bottom>
      <diagonal/>
    </border>
    <border>
      <left/>
      <right/>
      <top style="thin">
        <color indexed="8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indexed="8"/>
      </right>
      <top style="thin">
        <color indexed="8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 style="dashed">
        <color auto="1"/>
      </left>
      <right style="dashed">
        <color auto="1"/>
      </right>
      <top style="dashed">
        <color auto="1"/>
      </top>
      <bottom style="dashed">
        <color auto="1"/>
      </bottom>
      <diagonal/>
    </border>
    <border>
      <left/>
      <right/>
      <top/>
      <bottom style="hair">
        <color auto="1"/>
      </bottom>
      <diagonal/>
    </border>
    <border>
      <left style="thin">
        <color indexed="9"/>
      </left>
      <right style="thin">
        <color indexed="9"/>
      </right>
      <top/>
      <bottom/>
      <diagonal/>
    </border>
    <border>
      <left/>
      <right/>
      <top style="double">
        <color auto="1"/>
      </top>
      <bottom style="double">
        <color auto="1"/>
      </bottom>
      <diagonal/>
    </border>
    <border>
      <left/>
      <right/>
      <top style="thin">
        <color auto="1"/>
      </top>
      <bottom style="double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/>
      <top/>
      <bottom style="thick">
        <color auto="1"/>
      </bottom>
      <diagonal/>
    </border>
    <border>
      <left/>
      <right/>
      <top style="thick">
        <color auto="1"/>
      </top>
      <bottom style="thin">
        <color auto="1"/>
      </bottom>
      <diagonal/>
    </border>
    <border>
      <left style="thin">
        <color indexed="8"/>
      </left>
      <right/>
      <top style="thin">
        <color indexed="8"/>
      </top>
      <bottom/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/>
      <right/>
      <top style="thin">
        <color indexed="8"/>
      </top>
      <bottom/>
      <diagonal/>
    </border>
    <border>
      <left/>
      <right style="thin">
        <color indexed="8"/>
      </right>
      <top style="thin">
        <color indexed="8"/>
      </top>
      <bottom/>
      <diagonal/>
    </border>
    <border>
      <left/>
      <right/>
      <top style="thin">
        <color auto="1"/>
      </top>
      <bottom style="double">
        <color auto="1"/>
      </bottom>
      <diagonal/>
    </border>
    <border>
      <left style="thin">
        <color indexed="8"/>
      </left>
      <right/>
      <top style="thin">
        <color indexed="8"/>
      </top>
      <bottom/>
      <diagonal/>
    </border>
    <border>
      <left/>
      <right/>
      <top style="thin">
        <color indexed="8"/>
      </top>
      <bottom style="thin">
        <color indexed="8"/>
      </bottom>
      <diagonal/>
    </border>
    <border>
      <left/>
      <right/>
      <top/>
      <bottom style="thick">
        <color theme="4"/>
      </bottom>
      <diagonal/>
    </border>
  </borders>
  <cellStyleXfs count="1368">
    <xf numFmtId="0" fontId="0" fillId="0" borderId="0"/>
    <xf numFmtId="0" fontId="8" fillId="0" borderId="0"/>
    <xf numFmtId="9" fontId="12" fillId="0" borderId="0">
      <alignment horizontal="right"/>
    </xf>
    <xf numFmtId="0" fontId="13" fillId="0" borderId="0"/>
    <xf numFmtId="0" fontId="14" fillId="0" borderId="0" applyNumberFormat="0" applyFill="0" applyBorder="0" applyAlignment="0" applyProtection="0"/>
    <xf numFmtId="174" fontId="15" fillId="0" borderId="0" applyFont="0" applyFill="0" applyBorder="0" applyAlignment="0" applyProtection="0"/>
    <xf numFmtId="175" fontId="15" fillId="0" borderId="0" applyFont="0" applyFill="0" applyBorder="0" applyAlignment="0" applyProtection="0"/>
    <xf numFmtId="176" fontId="15" fillId="0" borderId="0" applyFont="0" applyFill="0" applyBorder="0" applyAlignment="0" applyProtection="0"/>
    <xf numFmtId="177" fontId="15" fillId="0" borderId="0" applyFont="0" applyFill="0" applyBorder="0" applyAlignment="0" applyProtection="0"/>
    <xf numFmtId="167" fontId="13" fillId="0" borderId="0" applyFont="0" applyFill="0" applyBorder="0" applyAlignment="0" applyProtection="0"/>
    <xf numFmtId="0" fontId="16" fillId="0" borderId="0"/>
    <xf numFmtId="164" fontId="13" fillId="0" borderId="0" applyFont="0" applyFill="0" applyBorder="0" applyAlignment="0" applyProtection="0"/>
    <xf numFmtId="0" fontId="17" fillId="0" borderId="0"/>
    <xf numFmtId="0" fontId="17" fillId="0" borderId="0"/>
    <xf numFmtId="0" fontId="18" fillId="0" borderId="0"/>
    <xf numFmtId="0" fontId="17" fillId="0" borderId="0"/>
    <xf numFmtId="0" fontId="4" fillId="0" borderId="0">
      <alignment horizontal="right"/>
    </xf>
    <xf numFmtId="15" fontId="19" fillId="0" borderId="4" applyBorder="0"/>
    <xf numFmtId="0" fontId="19" fillId="0" borderId="0"/>
    <xf numFmtId="178" fontId="15" fillId="0" borderId="0" applyFont="0" applyFill="0" applyBorder="0" applyAlignment="0" applyProtection="0"/>
    <xf numFmtId="0" fontId="4" fillId="0" borderId="0"/>
    <xf numFmtId="9" fontId="20" fillId="3" borderId="5">
      <alignment horizontal="right" vertical="center"/>
    </xf>
    <xf numFmtId="0" fontId="4" fillId="0" borderId="0"/>
    <xf numFmtId="179" fontId="4" fillId="0" borderId="0"/>
    <xf numFmtId="0" fontId="21" fillId="0" borderId="0"/>
    <xf numFmtId="10" fontId="13" fillId="0" borderId="0" applyFont="0" applyFill="0" applyBorder="0" applyAlignment="0" applyProtection="0"/>
    <xf numFmtId="0" fontId="21" fillId="0" borderId="0"/>
    <xf numFmtId="0" fontId="21" fillId="0" borderId="0"/>
    <xf numFmtId="0" fontId="21" fillId="0" borderId="0"/>
    <xf numFmtId="9" fontId="13" fillId="0" borderId="0" applyFont="0" applyFill="0" applyBorder="0" applyAlignment="0" applyProtection="0"/>
    <xf numFmtId="0" fontId="22" fillId="0" borderId="0" applyFont="0" applyFill="0" applyBorder="0" applyAlignment="0" applyProtection="0"/>
    <xf numFmtId="0" fontId="23" fillId="0" borderId="0" applyNumberFormat="0" applyFont="0" applyFill="0" applyBorder="0" applyAlignment="0" applyProtection="0"/>
    <xf numFmtId="0" fontId="19" fillId="0" borderId="6" applyBorder="0"/>
    <xf numFmtId="0" fontId="24" fillId="0" borderId="0" applyFont="0" applyFill="0" applyBorder="0" applyAlignment="0"/>
    <xf numFmtId="0" fontId="19" fillId="0" borderId="0" applyFont="0" applyFill="0" applyBorder="0" applyAlignment="0" applyProtection="0"/>
    <xf numFmtId="0" fontId="4" fillId="0" borderId="0" applyFont="0" applyFill="0" applyBorder="0" applyAlignment="0" applyProtection="0"/>
    <xf numFmtId="180" fontId="4" fillId="0" borderId="0" applyFont="0" applyFill="0" applyBorder="0" applyAlignment="0" applyProtection="0"/>
    <xf numFmtId="0" fontId="25" fillId="0" borderId="0" applyNumberFormat="0" applyFill="0" applyBorder="0" applyAlignment="0" applyProtection="0">
      <alignment vertical="top"/>
      <protection locked="0"/>
    </xf>
    <xf numFmtId="0" fontId="4" fillId="0" borderId="0" applyFont="0" applyFill="0" applyBorder="0" applyAlignment="0" applyProtection="0"/>
    <xf numFmtId="181" fontId="4" fillId="0" borderId="0" applyFont="0" applyFill="0" applyBorder="0" applyAlignment="0" applyProtection="0"/>
    <xf numFmtId="0" fontId="26" fillId="0" borderId="0"/>
    <xf numFmtId="0" fontId="27" fillId="0" borderId="0" applyFont="0" applyAlignment="0">
      <alignment horizontal="center" vertical="center"/>
    </xf>
    <xf numFmtId="0" fontId="28" fillId="0" borderId="0" applyNumberFormat="0" applyFont="0" applyBorder="0" applyAlignment="0">
      <alignment horizontal="left"/>
    </xf>
    <xf numFmtId="0" fontId="29" fillId="0" borderId="0"/>
    <xf numFmtId="0" fontId="24" fillId="0" borderId="0"/>
    <xf numFmtId="0" fontId="27" fillId="0" borderId="0" applyFont="0" applyAlignment="0">
      <alignment horizontal="center" vertical="center"/>
    </xf>
    <xf numFmtId="0" fontId="27" fillId="0" borderId="0" applyFont="0" applyAlignment="0">
      <alignment horizontal="center" vertical="center"/>
    </xf>
    <xf numFmtId="0" fontId="27" fillId="0" borderId="0" applyFont="0" applyAlignment="0">
      <alignment horizontal="center" vertical="center"/>
    </xf>
    <xf numFmtId="0" fontId="27" fillId="0" borderId="0" applyFont="0" applyAlignment="0">
      <alignment horizontal="center" vertical="center"/>
    </xf>
    <xf numFmtId="0" fontId="27" fillId="0" borderId="0" applyFont="0" applyAlignment="0">
      <alignment horizontal="center" vertical="center"/>
    </xf>
    <xf numFmtId="0" fontId="27" fillId="0" borderId="0" applyFont="0" applyAlignment="0">
      <alignment horizontal="center" vertical="center"/>
    </xf>
    <xf numFmtId="0" fontId="24" fillId="0" borderId="0"/>
    <xf numFmtId="0" fontId="24" fillId="0" borderId="0"/>
    <xf numFmtId="38" fontId="30" fillId="0" borderId="0" applyFont="0" applyFill="0" applyBorder="0" applyAlignment="0" applyProtection="0"/>
    <xf numFmtId="169" fontId="19" fillId="0" borderId="0" applyFont="0" applyFill="0" applyBorder="0" applyAlignment="0" applyProtection="0"/>
    <xf numFmtId="0" fontId="4" fillId="0" borderId="0" applyFont="0" applyFill="0" applyBorder="0" applyProtection="0">
      <alignment horizontal="right"/>
    </xf>
    <xf numFmtId="0" fontId="4" fillId="0" borderId="0" applyFont="0" applyFill="0" applyBorder="0" applyProtection="0">
      <alignment horizontal="right"/>
    </xf>
    <xf numFmtId="0" fontId="4" fillId="0" borderId="0" applyFont="0" applyFill="0" applyBorder="0" applyProtection="0">
      <alignment horizontal="right"/>
    </xf>
    <xf numFmtId="181" fontId="4" fillId="0" borderId="0" applyFont="0" applyFill="0" applyBorder="0" applyProtection="0">
      <alignment horizontal="right"/>
    </xf>
    <xf numFmtId="0" fontId="19" fillId="0" borderId="0" applyFont="0" applyFill="0" applyBorder="0" applyAlignment="0" applyProtection="0"/>
    <xf numFmtId="0" fontId="19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19" fillId="0" borderId="0" applyFont="0" applyFill="0" applyBorder="0" applyAlignment="0" applyProtection="0"/>
    <xf numFmtId="0" fontId="4" fillId="0" borderId="0" applyFont="0" applyFill="0" applyBorder="0" applyProtection="0">
      <alignment horizontal="right"/>
    </xf>
    <xf numFmtId="0" fontId="4" fillId="0" borderId="0" applyFont="0" applyFill="0" applyBorder="0" applyProtection="0">
      <alignment horizontal="right"/>
    </xf>
    <xf numFmtId="0" fontId="4" fillId="0" borderId="0" applyFont="0" applyFill="0" applyBorder="0" applyProtection="0">
      <alignment horizontal="right"/>
    </xf>
    <xf numFmtId="0" fontId="4" fillId="0" borderId="0" applyFont="0" applyFill="0" applyBorder="0" applyProtection="0">
      <alignment horizontal="right"/>
    </xf>
    <xf numFmtId="0" fontId="19" fillId="0" borderId="0" applyFont="0" applyFill="0" applyBorder="0" applyAlignment="0" applyProtection="0"/>
    <xf numFmtId="0" fontId="4" fillId="0" borderId="0" applyFont="0" applyFill="0" applyBorder="0" applyProtection="0">
      <alignment horizontal="right"/>
    </xf>
    <xf numFmtId="0" fontId="4" fillId="0" borderId="0" applyFont="0" applyFill="0" applyBorder="0" applyProtection="0">
      <alignment horizontal="right"/>
    </xf>
    <xf numFmtId="0" fontId="18" fillId="0" borderId="0" applyFont="0" applyFill="0" applyBorder="0" applyAlignment="0" applyProtection="0"/>
    <xf numFmtId="0" fontId="19" fillId="0" borderId="0" applyFont="0" applyFill="0" applyBorder="0" applyAlignment="0" applyProtection="0"/>
    <xf numFmtId="0" fontId="19" fillId="0" borderId="0" applyFont="0" applyFill="0" applyBorder="0" applyAlignment="0" applyProtection="0"/>
    <xf numFmtId="180" fontId="19" fillId="0" borderId="0" applyFont="0" applyFill="0" applyBorder="0" applyAlignment="0" applyProtection="0"/>
    <xf numFmtId="180" fontId="19" fillId="0" borderId="0" applyFont="0" applyFill="0" applyBorder="0" applyAlignment="0" applyProtection="0"/>
    <xf numFmtId="180" fontId="31" fillId="0" borderId="0" applyFont="0" applyFill="0" applyBorder="0" applyAlignment="0" applyProtection="0"/>
    <xf numFmtId="180" fontId="19" fillId="0" borderId="0" applyFont="0" applyFill="0" applyBorder="0" applyAlignment="0" applyProtection="0"/>
    <xf numFmtId="0" fontId="4" fillId="0" borderId="0" applyFont="0" applyFill="0" applyBorder="0" applyProtection="0">
      <alignment horizontal="right"/>
    </xf>
    <xf numFmtId="0" fontId="4" fillId="0" borderId="0" applyFont="0" applyFill="0" applyBorder="0" applyProtection="0">
      <alignment horizontal="right"/>
    </xf>
    <xf numFmtId="0" fontId="4" fillId="0" borderId="0" applyFont="0" applyFill="0" applyBorder="0" applyProtection="0">
      <alignment horizontal="right"/>
    </xf>
    <xf numFmtId="0" fontId="4" fillId="0" borderId="0" applyFont="0" applyFill="0" applyBorder="0" applyProtection="0">
      <alignment horizontal="right"/>
    </xf>
    <xf numFmtId="180" fontId="19" fillId="0" borderId="0" applyFont="0" applyFill="0" applyBorder="0" applyAlignment="0" applyProtection="0"/>
    <xf numFmtId="0" fontId="4" fillId="0" borderId="0" applyFont="0" applyFill="0" applyBorder="0" applyProtection="0">
      <alignment horizontal="right"/>
    </xf>
    <xf numFmtId="0" fontId="4" fillId="0" borderId="0" applyFont="0" applyFill="0" applyBorder="0" applyProtection="0">
      <alignment horizontal="right"/>
    </xf>
    <xf numFmtId="180" fontId="18" fillId="0" borderId="0" applyFont="0" applyFill="0" applyBorder="0" applyAlignment="0" applyProtection="0"/>
    <xf numFmtId="180" fontId="19" fillId="0" borderId="0" applyFont="0" applyFill="0" applyBorder="0" applyAlignment="0" applyProtection="0"/>
    <xf numFmtId="180" fontId="19" fillId="0" borderId="0" applyFont="0" applyFill="0" applyBorder="0" applyAlignment="0" applyProtection="0"/>
    <xf numFmtId="0" fontId="19" fillId="0" borderId="0"/>
    <xf numFmtId="0" fontId="19" fillId="0" borderId="0" applyFont="0" applyFill="0" applyBorder="0" applyAlignment="0" applyProtection="0"/>
    <xf numFmtId="0" fontId="4" fillId="0" borderId="0" applyFont="0" applyFill="0" applyBorder="0" applyProtection="0">
      <alignment horizontal="right"/>
    </xf>
    <xf numFmtId="0" fontId="4" fillId="0" borderId="0" applyFont="0" applyFill="0" applyBorder="0" applyProtection="0">
      <alignment horizontal="right"/>
    </xf>
    <xf numFmtId="0" fontId="4" fillId="0" borderId="0" applyFont="0" applyFill="0" applyBorder="0" applyProtection="0">
      <alignment horizontal="right"/>
    </xf>
    <xf numFmtId="0" fontId="4" fillId="0" borderId="0" applyFont="0" applyFill="0" applyBorder="0" applyProtection="0">
      <alignment horizontal="right"/>
    </xf>
    <xf numFmtId="0" fontId="32" fillId="0" borderId="0"/>
    <xf numFmtId="0" fontId="4" fillId="0" borderId="0">
      <alignment horizontal="left" wrapText="1"/>
    </xf>
    <xf numFmtId="0" fontId="4" fillId="0" borderId="0">
      <alignment horizontal="left" wrapText="1"/>
    </xf>
    <xf numFmtId="0" fontId="4" fillId="0" borderId="0">
      <alignment horizontal="left" wrapText="1"/>
    </xf>
    <xf numFmtId="0" fontId="19" fillId="0" borderId="0"/>
    <xf numFmtId="0" fontId="32" fillId="0" borderId="0"/>
    <xf numFmtId="0" fontId="19" fillId="0" borderId="0" applyFont="0" applyFill="0" applyBorder="0" applyAlignment="0" applyProtection="0"/>
    <xf numFmtId="0" fontId="33" fillId="4" borderId="0"/>
    <xf numFmtId="0" fontId="23" fillId="0" borderId="0" applyNumberFormat="0" applyFill="0" applyBorder="0" applyAlignment="0" applyProtection="0"/>
    <xf numFmtId="0" fontId="19" fillId="0" borderId="0" applyFont="0" applyFill="0" applyBorder="0" applyAlignment="0" applyProtection="0"/>
    <xf numFmtId="0" fontId="4" fillId="0" borderId="0"/>
    <xf numFmtId="0" fontId="4" fillId="0" borderId="0"/>
    <xf numFmtId="0" fontId="19" fillId="0" borderId="0" applyFont="0" applyFill="0" applyBorder="0" applyAlignment="0" applyProtection="0"/>
    <xf numFmtId="0" fontId="19" fillId="0" borderId="0" applyFont="0" applyFill="0" applyBorder="0" applyAlignment="0" applyProtection="0"/>
    <xf numFmtId="0" fontId="19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19" fillId="0" borderId="0" applyFont="0" applyFill="0" applyBorder="0" applyAlignment="0" applyProtection="0"/>
    <xf numFmtId="0" fontId="19" fillId="0" borderId="0" applyFont="0" applyFill="0" applyBorder="0" applyAlignment="0" applyProtection="0"/>
    <xf numFmtId="0" fontId="19" fillId="0" borderId="0" applyFont="0" applyFill="0" applyBorder="0" applyAlignment="0" applyProtection="0"/>
    <xf numFmtId="0" fontId="19" fillId="0" borderId="0" applyFont="0" applyFill="0" applyBorder="0" applyAlignment="0" applyProtection="0"/>
    <xf numFmtId="0" fontId="19" fillId="0" borderId="0" applyFont="0" applyFill="0" applyBorder="0" applyAlignment="0" applyProtection="0"/>
    <xf numFmtId="0" fontId="19" fillId="0" borderId="0" applyFont="0" applyFill="0" applyBorder="0" applyAlignment="0" applyProtection="0"/>
    <xf numFmtId="0" fontId="19" fillId="0" borderId="0" applyFont="0" applyFill="0" applyBorder="0" applyAlignment="0" applyProtection="0"/>
    <xf numFmtId="0" fontId="19" fillId="0" borderId="0" applyFont="0" applyFill="0" applyBorder="0" applyAlignment="0" applyProtection="0"/>
    <xf numFmtId="0" fontId="19" fillId="0" borderId="0" applyFont="0" applyFill="0" applyBorder="0" applyAlignment="0" applyProtection="0"/>
    <xf numFmtId="0" fontId="19" fillId="0" borderId="0" applyFont="0" applyFill="0" applyBorder="0" applyAlignment="0" applyProtection="0"/>
    <xf numFmtId="0" fontId="19" fillId="0" borderId="0" applyFont="0" applyFill="0" applyBorder="0" applyAlignment="0" applyProtection="0"/>
    <xf numFmtId="0" fontId="19" fillId="0" borderId="0" applyFont="0" applyFill="0" applyBorder="0" applyAlignment="0" applyProtection="0"/>
    <xf numFmtId="0" fontId="19" fillId="0" borderId="0" applyFont="0" applyFill="0" applyBorder="0" applyAlignment="0" applyProtection="0"/>
    <xf numFmtId="0" fontId="19" fillId="0" borderId="0" applyFont="0" applyFill="0" applyBorder="0" applyAlignment="0" applyProtection="0"/>
    <xf numFmtId="0" fontId="19" fillId="0" borderId="0" applyFont="0" applyFill="0" applyBorder="0" applyAlignment="0" applyProtection="0"/>
    <xf numFmtId="0" fontId="19" fillId="0" borderId="0" applyFont="0" applyFill="0" applyBorder="0" applyAlignment="0" applyProtection="0"/>
    <xf numFmtId="0" fontId="19" fillId="0" borderId="0" applyFont="0" applyFill="0" applyBorder="0" applyAlignment="0" applyProtection="0"/>
    <xf numFmtId="0" fontId="19" fillId="0" borderId="0" applyFont="0" applyFill="0" applyBorder="0" applyAlignment="0" applyProtection="0"/>
    <xf numFmtId="0" fontId="19" fillId="0" borderId="0" applyFont="0" applyFill="0" applyBorder="0" applyAlignment="0" applyProtection="0"/>
    <xf numFmtId="0" fontId="19" fillId="0" borderId="0" applyFont="0" applyFill="0" applyBorder="0" applyAlignment="0" applyProtection="0"/>
    <xf numFmtId="0" fontId="19" fillId="0" borderId="0" applyFont="0" applyFill="0" applyBorder="0" applyAlignment="0" applyProtection="0"/>
    <xf numFmtId="0" fontId="19" fillId="0" borderId="0" applyFont="0" applyFill="0" applyBorder="0" applyAlignment="0" applyProtection="0"/>
    <xf numFmtId="0" fontId="19" fillId="0" borderId="0" applyFont="0" applyFill="0" applyBorder="0" applyAlignment="0" applyProtection="0"/>
    <xf numFmtId="0" fontId="19" fillId="0" borderId="0" applyFont="0" applyFill="0" applyBorder="0" applyAlignment="0" applyProtection="0"/>
    <xf numFmtId="0" fontId="19" fillId="0" borderId="0" applyFont="0" applyFill="0" applyBorder="0" applyAlignment="0" applyProtection="0"/>
    <xf numFmtId="0" fontId="19" fillId="0" borderId="0" applyFont="0" applyFill="0" applyBorder="0" applyAlignment="0" applyProtection="0"/>
    <xf numFmtId="0" fontId="19" fillId="0" borderId="0" applyFont="0" applyFill="0" applyBorder="0" applyAlignment="0" applyProtection="0"/>
    <xf numFmtId="0" fontId="19" fillId="0" borderId="0" applyFont="0" applyFill="0" applyBorder="0" applyAlignment="0" applyProtection="0"/>
    <xf numFmtId="0" fontId="19" fillId="0" borderId="0" applyFont="0" applyFill="0" applyBorder="0" applyAlignment="0" applyProtection="0"/>
    <xf numFmtId="0" fontId="19" fillId="0" borderId="0" applyFont="0" applyFill="0" applyBorder="0" applyAlignment="0" applyProtection="0"/>
    <xf numFmtId="0" fontId="19" fillId="0" borderId="0" applyFont="0" applyFill="0" applyBorder="0" applyAlignment="0" applyProtection="0"/>
    <xf numFmtId="0" fontId="19" fillId="0" borderId="0" applyFont="0" applyFill="0" applyBorder="0" applyAlignment="0" applyProtection="0"/>
    <xf numFmtId="0" fontId="19" fillId="0" borderId="0" applyFont="0" applyFill="0" applyBorder="0" applyAlignment="0" applyProtection="0"/>
    <xf numFmtId="0" fontId="19" fillId="0" borderId="0" applyFont="0" applyFill="0" applyBorder="0" applyAlignment="0" applyProtection="0"/>
    <xf numFmtId="0" fontId="19" fillId="0" borderId="0" applyFont="0" applyFill="0" applyBorder="0" applyAlignment="0" applyProtection="0"/>
    <xf numFmtId="0" fontId="19" fillId="0" borderId="0" applyFont="0" applyFill="0" applyBorder="0" applyAlignment="0" applyProtection="0"/>
    <xf numFmtId="0" fontId="30" fillId="0" borderId="0" applyFont="0" applyFill="0" applyBorder="0" applyAlignment="0" applyProtection="0"/>
    <xf numFmtId="0" fontId="19" fillId="0" borderId="0" applyFont="0" applyFill="0" applyBorder="0" applyAlignment="0" applyProtection="0"/>
    <xf numFmtId="0" fontId="19" fillId="0" borderId="0" applyFont="0" applyFill="0" applyBorder="0" applyAlignment="0" applyProtection="0"/>
    <xf numFmtId="0" fontId="19" fillId="0" borderId="0" applyFont="0" applyFill="0" applyBorder="0" applyAlignment="0" applyProtection="0"/>
    <xf numFmtId="0" fontId="19" fillId="0" borderId="0" applyFont="0" applyFill="0" applyBorder="0" applyAlignment="0" applyProtection="0"/>
    <xf numFmtId="0" fontId="19" fillId="0" borderId="0" applyFont="0" applyFill="0" applyBorder="0" applyAlignment="0" applyProtection="0"/>
    <xf numFmtId="0" fontId="19" fillId="0" borderId="0" applyFont="0" applyFill="0" applyBorder="0" applyAlignment="0" applyProtection="0"/>
    <xf numFmtId="0" fontId="19" fillId="0" borderId="0" applyFont="0" applyFill="0" applyBorder="0" applyAlignment="0" applyProtection="0"/>
    <xf numFmtId="0" fontId="4" fillId="0" borderId="0"/>
    <xf numFmtId="0" fontId="4" fillId="0" borderId="0"/>
    <xf numFmtId="0" fontId="19" fillId="0" borderId="0" applyFont="0" applyFill="0" applyBorder="0" applyAlignment="0" applyProtection="0"/>
    <xf numFmtId="0" fontId="19" fillId="0" borderId="0" applyFont="0" applyFill="0" applyBorder="0" applyAlignment="0" applyProtection="0"/>
    <xf numFmtId="0" fontId="19" fillId="0" borderId="0" applyFont="0" applyFill="0" applyBorder="0" applyAlignment="0" applyProtection="0"/>
    <xf numFmtId="0" fontId="4" fillId="0" borderId="0" applyFont="0" applyFill="0" applyBorder="0" applyAlignment="0" applyProtection="0"/>
    <xf numFmtId="0" fontId="4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19" fillId="0" borderId="0" applyFont="0" applyFill="0" applyBorder="0" applyAlignment="0" applyProtection="0"/>
    <xf numFmtId="0" fontId="4" fillId="0" borderId="0" applyFont="0" applyFill="0" applyBorder="0" applyAlignment="0" applyProtection="0"/>
    <xf numFmtId="0" fontId="4" fillId="0" borderId="0" applyFont="0" applyFill="0" applyBorder="0" applyAlignment="0" applyProtection="0"/>
    <xf numFmtId="0" fontId="34" fillId="0" borderId="0" applyFont="0" applyFill="0" applyBorder="0" applyAlignment="0" applyProtection="0"/>
    <xf numFmtId="0" fontId="34" fillId="0" borderId="0" applyFont="0" applyFill="0" applyBorder="0" applyAlignment="0" applyProtection="0"/>
    <xf numFmtId="0" fontId="4" fillId="0" borderId="0" applyFont="0" applyFill="0" applyBorder="0" applyAlignment="0" applyProtection="0"/>
    <xf numFmtId="0" fontId="4" fillId="0" borderId="0" applyFont="0" applyFill="0" applyBorder="0" applyAlignment="0" applyProtection="0"/>
    <xf numFmtId="0" fontId="4" fillId="0" borderId="0" applyFont="0" applyFill="0" applyBorder="0" applyAlignment="0" applyProtection="0"/>
    <xf numFmtId="0" fontId="19" fillId="0" borderId="0" applyFont="0" applyFill="0" applyBorder="0" applyAlignment="0" applyProtection="0"/>
    <xf numFmtId="0" fontId="19" fillId="0" borderId="0" applyFont="0" applyFill="0" applyBorder="0" applyAlignment="0" applyProtection="0"/>
    <xf numFmtId="0" fontId="19" fillId="0" borderId="0" applyFont="0" applyFill="0" applyBorder="0" applyAlignment="0" applyProtection="0"/>
    <xf numFmtId="0" fontId="19" fillId="0" borderId="0" applyFont="0" applyFill="0" applyBorder="0" applyAlignment="0" applyProtection="0"/>
    <xf numFmtId="0" fontId="19" fillId="0" borderId="0" applyFont="0" applyFill="0" applyBorder="0" applyAlignment="0" applyProtection="0"/>
    <xf numFmtId="0" fontId="19" fillId="0" borderId="0" applyFont="0" applyFill="0" applyBorder="0" applyAlignment="0" applyProtection="0"/>
    <xf numFmtId="0" fontId="19" fillId="0" borderId="0" applyFont="0" applyFill="0" applyBorder="0" applyAlignment="0" applyProtection="0"/>
    <xf numFmtId="0" fontId="34" fillId="0" borderId="0" applyFont="0" applyFill="0" applyBorder="0" applyAlignment="0" applyProtection="0"/>
    <xf numFmtId="0" fontId="34" fillId="0" borderId="0" applyFont="0" applyFill="0" applyBorder="0" applyAlignment="0" applyProtection="0"/>
    <xf numFmtId="0" fontId="34" fillId="0" borderId="0" applyFont="0" applyFill="0" applyBorder="0" applyAlignment="0" applyProtection="0"/>
    <xf numFmtId="0" fontId="19" fillId="0" borderId="0" applyFont="0" applyFill="0" applyBorder="0" applyAlignment="0" applyProtection="0"/>
    <xf numFmtId="0" fontId="4" fillId="0" borderId="0" applyFont="0" applyFill="0" applyBorder="0" applyAlignment="0" applyProtection="0"/>
    <xf numFmtId="182" fontId="4" fillId="0" borderId="0" applyFont="0" applyFill="0" applyBorder="0" applyAlignment="0" applyProtection="0"/>
    <xf numFmtId="0" fontId="19" fillId="0" borderId="0" applyFont="0" applyFill="0" applyBorder="0" applyAlignment="0" applyProtection="0"/>
    <xf numFmtId="0" fontId="19" fillId="0" borderId="0" applyFont="0" applyFill="0" applyBorder="0" applyAlignment="0" applyProtection="0"/>
    <xf numFmtId="0" fontId="19" fillId="0" borderId="0" applyFont="0" applyFill="0" applyBorder="0" applyAlignment="0" applyProtection="0"/>
    <xf numFmtId="0" fontId="19" fillId="0" borderId="0" applyFont="0" applyFill="0" applyBorder="0" applyAlignment="0" applyProtection="0"/>
    <xf numFmtId="0" fontId="19" fillId="0" borderId="0" applyFont="0" applyFill="0" applyBorder="0" applyAlignment="0" applyProtection="0"/>
    <xf numFmtId="0" fontId="4" fillId="0" borderId="0">
      <alignment horizontal="right" vertical="center"/>
      <protection locked="0"/>
    </xf>
    <xf numFmtId="0" fontId="4" fillId="0" borderId="0">
      <alignment horizontal="right" vertical="center"/>
      <protection locked="0"/>
    </xf>
    <xf numFmtId="0" fontId="19" fillId="0" borderId="0" applyFont="0" applyFill="0" applyBorder="0" applyAlignment="0" applyProtection="0"/>
    <xf numFmtId="0" fontId="19" fillId="0" borderId="0" applyFont="0" applyFill="0" applyBorder="0" applyAlignment="0" applyProtection="0"/>
    <xf numFmtId="0" fontId="19" fillId="0" borderId="0" applyFont="0" applyFill="0" applyBorder="0" applyAlignment="0" applyProtection="0"/>
    <xf numFmtId="0" fontId="19" fillId="0" borderId="0" applyFont="0" applyFill="0" applyBorder="0" applyAlignment="0" applyProtection="0"/>
    <xf numFmtId="0" fontId="34" fillId="0" borderId="0" applyFont="0" applyFill="0" applyBorder="0" applyAlignment="0" applyProtection="0"/>
    <xf numFmtId="0" fontId="19" fillId="0" borderId="0" applyFont="0" applyFill="0" applyBorder="0" applyAlignment="0" applyProtection="0"/>
    <xf numFmtId="0" fontId="19" fillId="0" borderId="0" applyFont="0" applyFill="0" applyBorder="0" applyAlignment="0" applyProtection="0"/>
    <xf numFmtId="0" fontId="19" fillId="0" borderId="0" applyFont="0" applyFill="0" applyBorder="0" applyAlignment="0" applyProtection="0"/>
    <xf numFmtId="0" fontId="4" fillId="0" borderId="0">
      <alignment horizontal="right" vertical="center"/>
      <protection locked="0"/>
    </xf>
    <xf numFmtId="0" fontId="4" fillId="0" borderId="0">
      <alignment horizontal="right" vertical="center"/>
      <protection locked="0"/>
    </xf>
    <xf numFmtId="0" fontId="4" fillId="0" borderId="0">
      <alignment horizontal="right" vertical="center"/>
      <protection locked="0"/>
    </xf>
    <xf numFmtId="0" fontId="4" fillId="0" borderId="0">
      <alignment horizontal="right" vertical="center"/>
      <protection locked="0"/>
    </xf>
    <xf numFmtId="0" fontId="19" fillId="0" borderId="0" applyFont="0" applyFill="0" applyBorder="0" applyAlignment="0" applyProtection="0"/>
    <xf numFmtId="0" fontId="19" fillId="0" borderId="0" applyFont="0" applyFill="0" applyBorder="0" applyAlignment="0" applyProtection="0"/>
    <xf numFmtId="0" fontId="19" fillId="0" borderId="0" applyFont="0" applyFill="0" applyBorder="0" applyAlignment="0" applyProtection="0"/>
    <xf numFmtId="0" fontId="19" fillId="0" borderId="0" applyFont="0" applyFill="0" applyBorder="0" applyAlignment="0" applyProtection="0"/>
    <xf numFmtId="0" fontId="19" fillId="0" borderId="0" applyFont="0" applyFill="0" applyBorder="0" applyAlignment="0" applyProtection="0"/>
    <xf numFmtId="0" fontId="19" fillId="0" borderId="0" applyFont="0" applyFill="0" applyBorder="0" applyAlignment="0" applyProtection="0"/>
    <xf numFmtId="0" fontId="19" fillId="0" borderId="0" applyFont="0" applyFill="0" applyBorder="0" applyAlignment="0" applyProtection="0"/>
    <xf numFmtId="0" fontId="19" fillId="0" borderId="0" applyFont="0" applyFill="0" applyBorder="0" applyAlignment="0" applyProtection="0"/>
    <xf numFmtId="0" fontId="19" fillId="0" borderId="0" applyFont="0" applyFill="0" applyBorder="0" applyAlignment="0" applyProtection="0"/>
    <xf numFmtId="0" fontId="19" fillId="0" borderId="0" applyFont="0" applyFill="0" applyBorder="0" applyAlignment="0" applyProtection="0"/>
    <xf numFmtId="0" fontId="19" fillId="0" borderId="0" applyFont="0" applyFill="0" applyBorder="0" applyAlignment="0" applyProtection="0"/>
    <xf numFmtId="0" fontId="19" fillId="0" borderId="0" applyFont="0" applyFill="0" applyBorder="0" applyAlignment="0" applyProtection="0"/>
    <xf numFmtId="0" fontId="19" fillId="0" borderId="0" applyFont="0" applyFill="0" applyBorder="0" applyAlignment="0" applyProtection="0"/>
    <xf numFmtId="0" fontId="19" fillId="0" borderId="0" applyFont="0" applyFill="0" applyBorder="0" applyAlignment="0" applyProtection="0"/>
    <xf numFmtId="0" fontId="18" fillId="0" borderId="0" applyFont="0" applyFill="0" applyBorder="0" applyAlignment="0" applyProtection="0"/>
    <xf numFmtId="0" fontId="18" fillId="0" borderId="0" applyFont="0" applyFill="0" applyBorder="0" applyAlignment="0" applyProtection="0"/>
    <xf numFmtId="0" fontId="19" fillId="0" borderId="0" applyFont="0" applyFill="0" applyBorder="0" applyAlignment="0" applyProtection="0"/>
    <xf numFmtId="0" fontId="19" fillId="0" borderId="0" applyFont="0" applyFill="0" applyBorder="0" applyAlignment="0" applyProtection="0"/>
    <xf numFmtId="0" fontId="19" fillId="0" borderId="0" applyFont="0" applyFill="0" applyBorder="0" applyAlignment="0" applyProtection="0"/>
    <xf numFmtId="0" fontId="19" fillId="0" borderId="0" applyFont="0" applyFill="0" applyBorder="0" applyAlignment="0" applyProtection="0"/>
    <xf numFmtId="0" fontId="18" fillId="0" borderId="0" applyFont="0" applyFill="0" applyBorder="0" applyAlignment="0" applyProtection="0"/>
    <xf numFmtId="0" fontId="19" fillId="0" borderId="0" applyFont="0" applyFill="0" applyBorder="0" applyAlignment="0" applyProtection="0"/>
    <xf numFmtId="0" fontId="19" fillId="0" borderId="0" applyFont="0" applyFill="0" applyBorder="0" applyAlignment="0" applyProtection="0"/>
    <xf numFmtId="0" fontId="19" fillId="0" borderId="0" applyFont="0" applyFill="0" applyBorder="0" applyAlignment="0" applyProtection="0"/>
    <xf numFmtId="0" fontId="30" fillId="0" borderId="0" applyFont="0" applyFill="0" applyBorder="0" applyAlignment="0" applyProtection="0"/>
    <xf numFmtId="0" fontId="34" fillId="0" borderId="0" applyFont="0" applyFill="0" applyBorder="0" applyAlignment="0" applyProtection="0"/>
    <xf numFmtId="0" fontId="34" fillId="0" borderId="0" applyFont="0" applyFill="0" applyBorder="0" applyAlignment="0" applyProtection="0"/>
    <xf numFmtId="0" fontId="34" fillId="0" borderId="0" applyFont="0" applyFill="0" applyBorder="0" applyAlignment="0" applyProtection="0"/>
    <xf numFmtId="0" fontId="19" fillId="0" borderId="0" applyFont="0" applyFill="0" applyBorder="0" applyAlignment="0" applyProtection="0"/>
    <xf numFmtId="0" fontId="4" fillId="0" borderId="0" applyFont="0" applyFill="0" applyBorder="0" applyAlignment="0" applyProtection="0"/>
    <xf numFmtId="0" fontId="4" fillId="0" borderId="0" applyFont="0" applyFill="0" applyBorder="0" applyAlignment="0" applyProtection="0"/>
    <xf numFmtId="0" fontId="4" fillId="0" borderId="0" applyFont="0" applyFill="0" applyBorder="0" applyAlignment="0" applyProtection="0"/>
    <xf numFmtId="0" fontId="34" fillId="0" borderId="0" applyFont="0" applyFill="0" applyBorder="0" applyAlignment="0" applyProtection="0"/>
    <xf numFmtId="0" fontId="19" fillId="0" borderId="0" applyFont="0" applyFill="0" applyBorder="0" applyAlignment="0" applyProtection="0"/>
    <xf numFmtId="0" fontId="19" fillId="0" borderId="0" applyFont="0" applyFill="0" applyBorder="0" applyAlignment="0" applyProtection="0"/>
    <xf numFmtId="0" fontId="19" fillId="0" borderId="0" applyFont="0" applyFill="0" applyBorder="0" applyAlignment="0" applyProtection="0"/>
    <xf numFmtId="0" fontId="19" fillId="0" borderId="0" applyFont="0" applyFill="0" applyBorder="0" applyAlignment="0" applyProtection="0"/>
    <xf numFmtId="0" fontId="19" fillId="0" borderId="0" applyFont="0" applyFill="0" applyBorder="0" applyAlignment="0" applyProtection="0"/>
    <xf numFmtId="0" fontId="19" fillId="0" borderId="0" applyFont="0" applyFill="0" applyBorder="0" applyAlignment="0" applyProtection="0"/>
    <xf numFmtId="0" fontId="34" fillId="0" borderId="0" applyFont="0" applyFill="0" applyBorder="0" applyAlignment="0" applyProtection="0"/>
    <xf numFmtId="0" fontId="34" fillId="0" borderId="0" applyFont="0" applyFill="0" applyBorder="0" applyAlignment="0" applyProtection="0"/>
    <xf numFmtId="0" fontId="19" fillId="0" borderId="0" applyFont="0" applyFill="0" applyBorder="0" applyAlignment="0" applyProtection="0"/>
    <xf numFmtId="0" fontId="19" fillId="0" borderId="0" applyFont="0" applyFill="0" applyBorder="0" applyAlignment="0" applyProtection="0"/>
    <xf numFmtId="39" fontId="19" fillId="0" borderId="0" applyFont="0" applyFill="0" applyBorder="0" applyAlignment="0" applyProtection="0"/>
    <xf numFmtId="0" fontId="19" fillId="0" borderId="0" applyFont="0" applyFill="0" applyBorder="0" applyAlignment="0" applyProtection="0"/>
    <xf numFmtId="0" fontId="19" fillId="0" borderId="0" applyFont="0" applyFill="0" applyBorder="0" applyAlignment="0" applyProtection="0"/>
    <xf numFmtId="0" fontId="4" fillId="0" borderId="0" applyFont="0" applyFill="0" applyBorder="0" applyAlignment="0" applyProtection="0"/>
    <xf numFmtId="0" fontId="4" fillId="0" borderId="0" applyFont="0" applyFill="0" applyBorder="0" applyAlignment="0" applyProtection="0"/>
    <xf numFmtId="0" fontId="31" fillId="0" borderId="0" applyFont="0" applyFill="0" applyBorder="0" applyAlignment="0" applyProtection="0"/>
    <xf numFmtId="39" fontId="19" fillId="0" borderId="0" applyFont="0" applyFill="0" applyBorder="0" applyAlignment="0" applyProtection="0"/>
    <xf numFmtId="0" fontId="4" fillId="0" borderId="0" applyFont="0" applyFill="0" applyBorder="0" applyAlignment="0" applyProtection="0"/>
    <xf numFmtId="0" fontId="4" fillId="0" borderId="0" applyFont="0" applyFill="0" applyBorder="0" applyAlignment="0" applyProtection="0"/>
    <xf numFmtId="39" fontId="19" fillId="0" borderId="0" applyFont="0" applyFill="0" applyBorder="0" applyAlignment="0" applyProtection="0"/>
    <xf numFmtId="0" fontId="19" fillId="0" borderId="0" applyFont="0" applyFill="0" applyBorder="0" applyAlignment="0" applyProtection="0"/>
    <xf numFmtId="39" fontId="19" fillId="0" borderId="0" applyFont="0" applyFill="0" applyBorder="0" applyAlignment="0" applyProtection="0"/>
    <xf numFmtId="39" fontId="19" fillId="0" borderId="0" applyFont="0" applyFill="0" applyBorder="0" applyAlignment="0" applyProtection="0"/>
    <xf numFmtId="39" fontId="19" fillId="0" borderId="0" applyFont="0" applyFill="0" applyBorder="0" applyAlignment="0" applyProtection="0"/>
    <xf numFmtId="39" fontId="19" fillId="0" borderId="0" applyFont="0" applyFill="0" applyBorder="0" applyAlignment="0" applyProtection="0"/>
    <xf numFmtId="0" fontId="19" fillId="0" borderId="0" applyFont="0" applyFill="0" applyBorder="0" applyAlignment="0" applyProtection="0"/>
    <xf numFmtId="39" fontId="19" fillId="0" borderId="0" applyFont="0" applyFill="0" applyBorder="0" applyAlignment="0" applyProtection="0"/>
    <xf numFmtId="0" fontId="19" fillId="0" borderId="0" applyFont="0" applyFill="0" applyBorder="0" applyAlignment="0" applyProtection="0"/>
    <xf numFmtId="0" fontId="19" fillId="0" borderId="0" applyFont="0" applyFill="0" applyBorder="0" applyAlignment="0" applyProtection="0"/>
    <xf numFmtId="39" fontId="19" fillId="0" borderId="0" applyFont="0" applyFill="0" applyBorder="0" applyAlignment="0" applyProtection="0"/>
    <xf numFmtId="39" fontId="19" fillId="0" borderId="0" applyFont="0" applyFill="0" applyBorder="0" applyAlignment="0" applyProtection="0"/>
    <xf numFmtId="0" fontId="19" fillId="0" borderId="0" applyFont="0" applyFill="0" applyBorder="0" applyAlignment="0" applyProtection="0"/>
    <xf numFmtId="39" fontId="19" fillId="0" borderId="0" applyFont="0" applyFill="0" applyBorder="0" applyAlignment="0" applyProtection="0"/>
    <xf numFmtId="39" fontId="19" fillId="0" borderId="0" applyFont="0" applyFill="0" applyBorder="0" applyAlignment="0" applyProtection="0"/>
    <xf numFmtId="39" fontId="19" fillId="0" borderId="0" applyFont="0" applyFill="0" applyBorder="0" applyAlignment="0" applyProtection="0"/>
    <xf numFmtId="0" fontId="19" fillId="0" borderId="0" applyFont="0" applyFill="0" applyBorder="0" applyAlignment="0" applyProtection="0"/>
    <xf numFmtId="0" fontId="19" fillId="0" borderId="0" applyFont="0" applyFill="0" applyBorder="0" applyAlignment="0" applyProtection="0"/>
    <xf numFmtId="0" fontId="19" fillId="0" borderId="0" applyFont="0" applyFill="0" applyBorder="0" applyAlignment="0" applyProtection="0"/>
    <xf numFmtId="39" fontId="19" fillId="0" borderId="0" applyFont="0" applyFill="0" applyBorder="0" applyAlignment="0" applyProtection="0"/>
    <xf numFmtId="0" fontId="19" fillId="0" borderId="0" applyFont="0" applyFill="0" applyBorder="0" applyAlignment="0" applyProtection="0"/>
    <xf numFmtId="39" fontId="19" fillId="0" borderId="0" applyFont="0" applyFill="0" applyBorder="0" applyAlignment="0" applyProtection="0"/>
    <xf numFmtId="0" fontId="19" fillId="0" borderId="0" applyFont="0" applyFill="0" applyBorder="0" applyAlignment="0" applyProtection="0"/>
    <xf numFmtId="39" fontId="19" fillId="0" borderId="0" applyFont="0" applyFill="0" applyBorder="0" applyAlignment="0" applyProtection="0"/>
    <xf numFmtId="39" fontId="19" fillId="0" borderId="0" applyFont="0" applyFill="0" applyBorder="0" applyAlignment="0" applyProtection="0"/>
    <xf numFmtId="0" fontId="35" fillId="0" borderId="0">
      <alignment horizontal="right" vertical="center"/>
      <protection locked="0"/>
    </xf>
    <xf numFmtId="0" fontId="35" fillId="0" borderId="0">
      <alignment horizontal="right" vertical="center"/>
      <protection locked="0"/>
    </xf>
    <xf numFmtId="0" fontId="19" fillId="0" borderId="0" applyFont="0" applyFill="0" applyBorder="0" applyAlignment="0" applyProtection="0"/>
    <xf numFmtId="0" fontId="19" fillId="0" borderId="0" applyFont="0" applyFill="0" applyBorder="0" applyAlignment="0" applyProtection="0"/>
    <xf numFmtId="39" fontId="19" fillId="0" borderId="0" applyFont="0" applyFill="0" applyBorder="0" applyAlignment="0" applyProtection="0"/>
    <xf numFmtId="0" fontId="19" fillId="0" borderId="0" applyFont="0" applyFill="0" applyBorder="0" applyAlignment="0" applyProtection="0"/>
    <xf numFmtId="39" fontId="19" fillId="0" borderId="0" applyFont="0" applyFill="0" applyBorder="0" applyAlignment="0" applyProtection="0"/>
    <xf numFmtId="0" fontId="19" fillId="0" borderId="0" applyFont="0" applyFill="0" applyBorder="0" applyAlignment="0" applyProtection="0"/>
    <xf numFmtId="39" fontId="19" fillId="0" borderId="0" applyFont="0" applyFill="0" applyBorder="0" applyAlignment="0" applyProtection="0"/>
    <xf numFmtId="0" fontId="19" fillId="0" borderId="0" applyFont="0" applyFill="0" applyBorder="0" applyAlignment="0" applyProtection="0"/>
    <xf numFmtId="39" fontId="19" fillId="0" borderId="0" applyFont="0" applyFill="0" applyBorder="0" applyAlignment="0" applyProtection="0"/>
    <xf numFmtId="39" fontId="19" fillId="0" borderId="0" applyFont="0" applyFill="0" applyBorder="0" applyAlignment="0" applyProtection="0"/>
    <xf numFmtId="39" fontId="19" fillId="0" borderId="0" applyFont="0" applyFill="0" applyBorder="0" applyAlignment="0" applyProtection="0"/>
    <xf numFmtId="0" fontId="18" fillId="0" borderId="0" applyFont="0" applyFill="0" applyBorder="0" applyAlignment="0" applyProtection="0"/>
    <xf numFmtId="0" fontId="18" fillId="0" borderId="0" applyFont="0" applyFill="0" applyBorder="0" applyAlignment="0" applyProtection="0"/>
    <xf numFmtId="0" fontId="18" fillId="0" borderId="0" applyFont="0" applyFill="0" applyBorder="0" applyAlignment="0" applyProtection="0"/>
    <xf numFmtId="39" fontId="19" fillId="0" borderId="0" applyFont="0" applyFill="0" applyBorder="0" applyAlignment="0" applyProtection="0"/>
    <xf numFmtId="39" fontId="19" fillId="0" borderId="0" applyFont="0" applyFill="0" applyBorder="0" applyAlignment="0" applyProtection="0"/>
    <xf numFmtId="39" fontId="19" fillId="0" borderId="0" applyFont="0" applyFill="0" applyBorder="0" applyAlignment="0" applyProtection="0"/>
    <xf numFmtId="39" fontId="19" fillId="0" borderId="0" applyFont="0" applyFill="0" applyBorder="0" applyAlignment="0" applyProtection="0"/>
    <xf numFmtId="39" fontId="18" fillId="0" borderId="0" applyFont="0" applyFill="0" applyBorder="0" applyAlignment="0" applyProtection="0"/>
    <xf numFmtId="0" fontId="19" fillId="0" borderId="0" applyFont="0" applyFill="0" applyBorder="0" applyAlignment="0" applyProtection="0"/>
    <xf numFmtId="0" fontId="19" fillId="0" borderId="0" applyFont="0" applyFill="0" applyBorder="0" applyAlignment="0" applyProtection="0"/>
    <xf numFmtId="39" fontId="19" fillId="0" borderId="0" applyFont="0" applyFill="0" applyBorder="0" applyAlignment="0" applyProtection="0"/>
    <xf numFmtId="0" fontId="30" fillId="0" borderId="0" applyFont="0" applyFill="0" applyBorder="0" applyAlignment="0" applyProtection="0"/>
    <xf numFmtId="0" fontId="19" fillId="0" borderId="0" applyFont="0" applyFill="0" applyBorder="0" applyAlignment="0" applyProtection="0"/>
    <xf numFmtId="0" fontId="19" fillId="0" borderId="0" applyFont="0" applyFill="0" applyBorder="0" applyAlignment="0" applyProtection="0"/>
    <xf numFmtId="0" fontId="19" fillId="0" borderId="0" applyFont="0" applyFill="0" applyBorder="0" applyAlignment="0" applyProtection="0"/>
    <xf numFmtId="0" fontId="19" fillId="0" borderId="0" applyFont="0" applyFill="0" applyBorder="0" applyAlignment="0" applyProtection="0"/>
    <xf numFmtId="0" fontId="19" fillId="0" borderId="0" applyFont="0" applyFill="0" applyBorder="0" applyAlignment="0" applyProtection="0"/>
    <xf numFmtId="0" fontId="19" fillId="0" borderId="0" applyFont="0" applyFill="0" applyBorder="0" applyAlignment="0" applyProtection="0"/>
    <xf numFmtId="39" fontId="19" fillId="0" borderId="0" applyFont="0" applyFill="0" applyBorder="0" applyAlignment="0" applyProtection="0"/>
    <xf numFmtId="14" fontId="18" fillId="0" borderId="0" applyFont="0" applyFill="0" applyBorder="0" applyProtection="0">
      <alignment horizontal="right"/>
    </xf>
    <xf numFmtId="0" fontId="19" fillId="0" borderId="0" applyFont="0" applyFill="0" applyBorder="0" applyAlignment="0" applyProtection="0"/>
    <xf numFmtId="0" fontId="19" fillId="0" borderId="0" applyFont="0" applyFill="0" applyBorder="0" applyAlignment="0" applyProtection="0"/>
    <xf numFmtId="0" fontId="19" fillId="0" borderId="0" applyFont="0" applyFill="0" applyBorder="0" applyAlignment="0" applyProtection="0"/>
    <xf numFmtId="0" fontId="19" fillId="0" borderId="0" applyFont="0" applyFill="0" applyBorder="0" applyAlignment="0" applyProtection="0"/>
    <xf numFmtId="0" fontId="19" fillId="0" borderId="0" applyFont="0" applyFill="0" applyBorder="0" applyAlignment="0" applyProtection="0"/>
    <xf numFmtId="0" fontId="18" fillId="0" borderId="0" applyFont="0" applyFill="0" applyBorder="0" applyAlignment="0" applyProtection="0"/>
    <xf numFmtId="0" fontId="18" fillId="0" borderId="0" applyFont="0" applyFill="0" applyBorder="0" applyAlignment="0" applyProtection="0"/>
    <xf numFmtId="0" fontId="19" fillId="0" borderId="0" applyFont="0" applyFill="0" applyBorder="0" applyAlignment="0" applyProtection="0"/>
    <xf numFmtId="0" fontId="19" fillId="0" borderId="0"/>
    <xf numFmtId="0" fontId="19" fillId="0" borderId="0" applyFont="0" applyFill="0" applyBorder="0" applyAlignment="0" applyProtection="0"/>
    <xf numFmtId="0" fontId="19" fillId="0" borderId="0" applyFont="0" applyFill="0" applyBorder="0" applyAlignment="0" applyProtection="0"/>
    <xf numFmtId="0" fontId="19" fillId="0" borderId="0" applyFont="0" applyFill="0" applyBorder="0" applyAlignment="0" applyProtection="0"/>
    <xf numFmtId="0" fontId="4" fillId="0" borderId="7" applyFont="0" applyFill="0" applyBorder="0" applyAlignment="0" applyProtection="0"/>
    <xf numFmtId="0" fontId="4" fillId="0" borderId="7" applyFont="0" applyFill="0" applyBorder="0" applyAlignment="0" applyProtection="0"/>
    <xf numFmtId="0" fontId="4" fillId="0" borderId="7" applyFont="0" applyFill="0" applyBorder="0" applyAlignment="0" applyProtection="0"/>
    <xf numFmtId="0" fontId="19" fillId="0" borderId="0" applyFont="0" applyFill="0" applyBorder="0" applyAlignment="0" applyProtection="0"/>
    <xf numFmtId="3" fontId="18" fillId="0" borderId="0"/>
    <xf numFmtId="0" fontId="19" fillId="0" borderId="0" applyFont="0" applyFill="0" applyBorder="0" applyAlignment="0" applyProtection="0"/>
    <xf numFmtId="0" fontId="36" fillId="0" borderId="0" applyNumberFormat="0" applyFill="0" applyBorder="0" applyAlignment="0" applyProtection="0"/>
    <xf numFmtId="0" fontId="36" fillId="0" borderId="0" applyNumberFormat="0" applyFill="0" applyBorder="0" applyAlignment="0" applyProtection="0"/>
    <xf numFmtId="0" fontId="36" fillId="0" borderId="0" applyNumberFormat="0" applyFill="0" applyBorder="0" applyAlignment="0" applyProtection="0"/>
    <xf numFmtId="0" fontId="36" fillId="0" borderId="0" applyNumberFormat="0" applyFill="0" applyBorder="0" applyAlignment="0" applyProtection="0"/>
    <xf numFmtId="0" fontId="36" fillId="0" borderId="0" applyNumberFormat="0" applyFill="0" applyBorder="0" applyAlignment="0" applyProtection="0"/>
    <xf numFmtId="0" fontId="36" fillId="0" borderId="0" applyNumberFormat="0" applyFill="0" applyBorder="0" applyAlignment="0" applyProtection="0"/>
    <xf numFmtId="0" fontId="36" fillId="0" borderId="0" applyNumberFormat="0" applyFill="0" applyBorder="0" applyAlignment="0" applyProtection="0"/>
    <xf numFmtId="0" fontId="36" fillId="0" borderId="0" applyNumberFormat="0" applyFill="0" applyBorder="0" applyAlignment="0" applyProtection="0"/>
    <xf numFmtId="0" fontId="36" fillId="0" borderId="0" applyNumberFormat="0" applyFill="0" applyBorder="0" applyAlignment="0" applyProtection="0"/>
    <xf numFmtId="0" fontId="36" fillId="0" borderId="0" applyNumberFormat="0" applyFill="0" applyBorder="0" applyAlignment="0" applyProtection="0"/>
    <xf numFmtId="0" fontId="36" fillId="0" borderId="0" applyNumberFormat="0" applyFill="0" applyBorder="0" applyAlignment="0" applyProtection="0"/>
    <xf numFmtId="0" fontId="19" fillId="5" borderId="0" applyNumberFormat="0" applyFont="0" applyAlignment="0" applyProtection="0"/>
    <xf numFmtId="0" fontId="19" fillId="5" borderId="0" applyNumberFormat="0" applyFont="0" applyAlignment="0" applyProtection="0"/>
    <xf numFmtId="0" fontId="19" fillId="5" borderId="0" applyNumberFormat="0" applyFont="0" applyAlignment="0" applyProtection="0"/>
    <xf numFmtId="0" fontId="19" fillId="5" borderId="0" applyNumberFormat="0" applyFont="0" applyAlignment="0" applyProtection="0"/>
    <xf numFmtId="0" fontId="18" fillId="5" borderId="0" applyNumberFormat="0" applyFont="0" applyAlignment="0" applyProtection="0"/>
    <xf numFmtId="0" fontId="19" fillId="5" borderId="0" applyNumberFormat="0" applyFont="0" applyAlignment="0" applyProtection="0"/>
    <xf numFmtId="0" fontId="19" fillId="6" borderId="0" applyNumberFormat="0" applyFont="0" applyAlignment="0" applyProtection="0"/>
    <xf numFmtId="0" fontId="19" fillId="5" borderId="0" applyNumberFormat="0" applyFont="0" applyAlignment="0" applyProtection="0"/>
    <xf numFmtId="0" fontId="19" fillId="5" borderId="0" applyNumberFormat="0" applyFont="0" applyAlignment="0" applyProtection="0"/>
    <xf numFmtId="0" fontId="18" fillId="5" borderId="0" applyNumberFormat="0" applyFont="0" applyAlignment="0" applyProtection="0"/>
    <xf numFmtId="0" fontId="18" fillId="7" borderId="0" applyNumberFormat="0" applyFont="0" applyAlignment="0" applyProtection="0"/>
    <xf numFmtId="0" fontId="19" fillId="5" borderId="0" applyNumberFormat="0" applyFont="0" applyAlignment="0" applyProtection="0"/>
    <xf numFmtId="0" fontId="19" fillId="5" borderId="0" applyNumberFormat="0" applyFont="0" applyAlignment="0" applyProtection="0"/>
    <xf numFmtId="0" fontId="24" fillId="5" borderId="0" applyNumberFormat="0" applyFont="0" applyAlignment="0" applyProtection="0"/>
    <xf numFmtId="0" fontId="19" fillId="5" borderId="0" applyNumberFormat="0" applyFont="0" applyAlignment="0" applyProtection="0"/>
    <xf numFmtId="0" fontId="18" fillId="7" borderId="0" applyNumberFormat="0" applyFont="0" applyAlignment="0" applyProtection="0"/>
    <xf numFmtId="0" fontId="19" fillId="0" borderId="0"/>
    <xf numFmtId="0" fontId="19" fillId="5" borderId="0" applyNumberFormat="0" applyFont="0" applyAlignment="0" applyProtection="0"/>
    <xf numFmtId="0" fontId="19" fillId="5" borderId="0" applyNumberFormat="0" applyFont="0" applyAlignment="0" applyProtection="0"/>
    <xf numFmtId="0" fontId="19" fillId="5" borderId="0" applyNumberFormat="0" applyFont="0" applyAlignment="0" applyProtection="0"/>
    <xf numFmtId="0" fontId="19" fillId="5" borderId="0" applyNumberFormat="0" applyFont="0" applyAlignment="0" applyProtection="0"/>
    <xf numFmtId="0" fontId="19" fillId="5" borderId="0" applyNumberFormat="0" applyFont="0" applyAlignment="0" applyProtection="0"/>
    <xf numFmtId="0" fontId="19" fillId="5" borderId="0" applyNumberFormat="0" applyFont="0" applyAlignment="0" applyProtection="0"/>
    <xf numFmtId="0" fontId="19" fillId="5" borderId="0" applyNumberFormat="0" applyFont="0" applyAlignment="0" applyProtection="0"/>
    <xf numFmtId="0" fontId="23" fillId="0" borderId="0" applyNumberFormat="0" applyFill="0" applyBorder="0" applyAlignment="0" applyProtection="0"/>
    <xf numFmtId="0" fontId="19" fillId="0" borderId="0" applyFont="0" applyFill="0" applyBorder="0" applyAlignment="0" applyProtection="0"/>
    <xf numFmtId="0" fontId="4" fillId="0" borderId="0"/>
    <xf numFmtId="0" fontId="4" fillId="0" borderId="0"/>
    <xf numFmtId="0" fontId="19" fillId="0" borderId="0" applyFont="0" applyFill="0" applyBorder="0" applyAlignment="0" applyProtection="0"/>
    <xf numFmtId="0" fontId="19" fillId="0" borderId="0" applyFont="0" applyFill="0" applyBorder="0" applyAlignment="0" applyProtection="0"/>
    <xf numFmtId="0" fontId="19" fillId="0" borderId="0" applyFont="0" applyFill="0" applyBorder="0" applyAlignment="0" applyProtection="0"/>
    <xf numFmtId="0" fontId="19" fillId="0" borderId="0" applyFont="0" applyFill="0" applyBorder="0" applyAlignment="0" applyProtection="0"/>
    <xf numFmtId="0" fontId="19" fillId="0" borderId="0" applyFont="0" applyFill="0" applyBorder="0" applyAlignment="0" applyProtection="0"/>
    <xf numFmtId="0" fontId="19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19" fillId="0" borderId="0" applyFont="0" applyFill="0" applyBorder="0" applyAlignment="0" applyProtection="0"/>
    <xf numFmtId="0" fontId="19" fillId="0" borderId="0" applyFont="0" applyFill="0" applyBorder="0" applyAlignment="0" applyProtection="0"/>
    <xf numFmtId="0" fontId="34" fillId="0" borderId="0" applyFont="0" applyFill="0" applyBorder="0" applyAlignment="0" applyProtection="0"/>
    <xf numFmtId="0" fontId="19" fillId="0" borderId="0" applyFont="0" applyFill="0" applyBorder="0" applyAlignment="0" applyProtection="0"/>
    <xf numFmtId="0" fontId="19" fillId="0" borderId="0" applyFont="0" applyFill="0" applyBorder="0" applyAlignment="0" applyProtection="0"/>
    <xf numFmtId="0" fontId="19" fillId="0" borderId="0" applyFont="0" applyFill="0" applyBorder="0" applyAlignment="0" applyProtection="0"/>
    <xf numFmtId="0" fontId="19" fillId="0" borderId="0" applyFont="0" applyFill="0" applyBorder="0" applyAlignment="0" applyProtection="0"/>
    <xf numFmtId="0" fontId="19" fillId="0" borderId="0" applyFont="0" applyFill="0" applyBorder="0" applyAlignment="0" applyProtection="0"/>
    <xf numFmtId="0" fontId="19" fillId="0" borderId="0" applyFont="0" applyFill="0" applyBorder="0" applyAlignment="0" applyProtection="0"/>
    <xf numFmtId="0" fontId="19" fillId="0" borderId="0" applyFont="0" applyFill="0" applyBorder="0" applyAlignment="0" applyProtection="0"/>
    <xf numFmtId="0" fontId="19" fillId="0" borderId="0" applyFont="0" applyFill="0" applyBorder="0" applyAlignment="0" applyProtection="0"/>
    <xf numFmtId="0" fontId="4" fillId="0" borderId="0" applyFont="0" applyFill="0" applyBorder="0" applyProtection="0">
      <alignment horizontal="right"/>
    </xf>
    <xf numFmtId="0" fontId="4" fillId="0" borderId="0" applyFont="0" applyFill="0" applyBorder="0" applyProtection="0">
      <alignment horizontal="right"/>
    </xf>
    <xf numFmtId="0" fontId="4" fillId="0" borderId="0" applyFont="0" applyFill="0" applyBorder="0" applyAlignment="0" applyProtection="0"/>
    <xf numFmtId="0" fontId="4" fillId="0" borderId="0" applyFont="0" applyFill="0" applyBorder="0" applyProtection="0">
      <alignment horizontal="right"/>
    </xf>
    <xf numFmtId="0" fontId="4" fillId="0" borderId="0" applyFont="0" applyFill="0" applyBorder="0" applyProtection="0">
      <alignment horizontal="right"/>
    </xf>
    <xf numFmtId="0" fontId="4" fillId="0" borderId="0" applyFont="0" applyFill="0" applyBorder="0" applyAlignment="0" applyProtection="0"/>
    <xf numFmtId="0" fontId="19" fillId="0" borderId="0" applyFont="0" applyFill="0" applyBorder="0" applyAlignment="0" applyProtection="0"/>
    <xf numFmtId="0" fontId="19" fillId="0" borderId="0" applyFont="0" applyFill="0" applyBorder="0" applyAlignment="0" applyProtection="0"/>
    <xf numFmtId="0" fontId="19" fillId="0" borderId="0" applyFont="0" applyFill="0" applyBorder="0" applyAlignment="0" applyProtection="0"/>
    <xf numFmtId="0" fontId="4" fillId="0" borderId="0" applyFont="0" applyFill="0" applyBorder="0" applyProtection="0">
      <alignment horizontal="right"/>
    </xf>
    <xf numFmtId="0" fontId="4" fillId="0" borderId="0" applyFont="0" applyFill="0" applyBorder="0" applyProtection="0">
      <alignment horizontal="right"/>
    </xf>
    <xf numFmtId="0" fontId="19" fillId="0" borderId="0" applyFont="0" applyFill="0" applyBorder="0" applyAlignment="0" applyProtection="0"/>
    <xf numFmtId="0" fontId="19" fillId="0" borderId="0" applyFont="0" applyFill="0" applyBorder="0" applyAlignment="0" applyProtection="0"/>
    <xf numFmtId="0" fontId="19" fillId="0" borderId="0" applyFont="0" applyFill="0" applyBorder="0" applyAlignment="0" applyProtection="0"/>
    <xf numFmtId="0" fontId="19" fillId="0" borderId="0" applyFont="0" applyFill="0" applyBorder="0" applyAlignment="0" applyProtection="0"/>
    <xf numFmtId="0" fontId="19" fillId="0" borderId="0" applyFont="0" applyFill="0" applyBorder="0" applyAlignment="0" applyProtection="0"/>
    <xf numFmtId="0" fontId="4" fillId="0" borderId="0" applyFont="0" applyFill="0" applyBorder="0" applyAlignment="0" applyProtection="0"/>
    <xf numFmtId="0" fontId="4" fillId="0" borderId="0" applyFont="0" applyFill="0" applyBorder="0" applyAlignment="0" applyProtection="0"/>
    <xf numFmtId="0" fontId="19" fillId="0" borderId="0" applyFont="0" applyFill="0" applyBorder="0" applyAlignment="0" applyProtection="0"/>
    <xf numFmtId="0" fontId="19" fillId="0" borderId="0" applyFont="0" applyFill="0" applyBorder="0" applyAlignment="0" applyProtection="0"/>
    <xf numFmtId="0" fontId="19" fillId="0" borderId="0" applyFont="0" applyFill="0" applyBorder="0" applyAlignment="0" applyProtection="0"/>
    <xf numFmtId="0" fontId="19" fillId="0" borderId="0" applyFont="0" applyFill="0" applyBorder="0" applyAlignment="0" applyProtection="0"/>
    <xf numFmtId="0" fontId="4" fillId="0" borderId="0" applyFont="0" applyFill="0" applyBorder="0" applyAlignment="0" applyProtection="0"/>
    <xf numFmtId="0" fontId="4" fillId="0" borderId="0" applyFont="0" applyFill="0" applyBorder="0" applyAlignment="0" applyProtection="0"/>
    <xf numFmtId="0" fontId="19" fillId="0" borderId="0" applyFont="0" applyFill="0" applyBorder="0" applyAlignment="0" applyProtection="0"/>
    <xf numFmtId="0" fontId="4" fillId="0" borderId="0" applyFont="0" applyFill="0" applyBorder="0" applyAlignment="0" applyProtection="0"/>
    <xf numFmtId="0" fontId="4" fillId="0" borderId="0" applyFont="0" applyFill="0" applyBorder="0" applyAlignment="0" applyProtection="0"/>
    <xf numFmtId="0" fontId="19" fillId="0" borderId="0" applyFont="0" applyFill="0" applyBorder="0" applyAlignment="0" applyProtection="0"/>
    <xf numFmtId="0" fontId="4" fillId="0" borderId="0" applyFont="0" applyFill="0" applyBorder="0" applyAlignment="0" applyProtection="0"/>
    <xf numFmtId="0" fontId="19" fillId="0" borderId="0" applyFont="0" applyFill="0" applyBorder="0" applyAlignment="0" applyProtection="0"/>
    <xf numFmtId="0" fontId="19" fillId="0" borderId="0" applyFont="0" applyFill="0" applyBorder="0" applyAlignment="0" applyProtection="0"/>
    <xf numFmtId="0" fontId="4" fillId="0" borderId="0" applyFont="0" applyFill="0" applyBorder="0" applyAlignment="0" applyProtection="0"/>
    <xf numFmtId="0" fontId="35" fillId="0" borderId="0">
      <alignment horizontal="left" vertical="center" indent="4"/>
      <protection locked="0"/>
    </xf>
    <xf numFmtId="0" fontId="35" fillId="0" borderId="0">
      <alignment horizontal="left" vertical="center" indent="4"/>
      <protection locked="0"/>
    </xf>
    <xf numFmtId="0" fontId="19" fillId="0" borderId="0" applyFont="0" applyFill="0" applyBorder="0" applyAlignment="0" applyProtection="0"/>
    <xf numFmtId="0" fontId="19" fillId="0" borderId="0" applyFont="0" applyFill="0" applyBorder="0" applyAlignment="0" applyProtection="0"/>
    <xf numFmtId="0" fontId="19" fillId="0" borderId="0" applyFont="0" applyFill="0" applyBorder="0" applyAlignment="0" applyProtection="0"/>
    <xf numFmtId="0" fontId="19" fillId="0" borderId="0" applyFont="0" applyFill="0" applyBorder="0" applyAlignment="0" applyProtection="0"/>
    <xf numFmtId="0" fontId="19" fillId="0" borderId="0" applyFont="0" applyFill="0" applyBorder="0" applyAlignment="0" applyProtection="0"/>
    <xf numFmtId="0" fontId="19" fillId="0" borderId="0" applyFont="0" applyFill="0" applyBorder="0" applyAlignment="0" applyProtection="0"/>
    <xf numFmtId="0" fontId="19" fillId="0" borderId="0" applyFont="0" applyFill="0" applyBorder="0" applyAlignment="0" applyProtection="0"/>
    <xf numFmtId="0" fontId="19" fillId="0" borderId="0" applyFont="0" applyFill="0" applyBorder="0" applyAlignment="0" applyProtection="0"/>
    <xf numFmtId="0" fontId="29" fillId="0" borderId="0" applyFont="0" applyFill="0" applyBorder="0" applyAlignment="0" applyProtection="0"/>
    <xf numFmtId="0" fontId="19" fillId="0" borderId="0" applyFont="0" applyFill="0" applyBorder="0" applyAlignment="0" applyProtection="0"/>
    <xf numFmtId="0" fontId="32" fillId="0" borderId="0" applyFont="0" applyFill="0" applyBorder="0" applyAlignment="0" applyProtection="0"/>
    <xf numFmtId="0" fontId="19" fillId="0" borderId="0" applyFont="0" applyFill="0" applyBorder="0" applyAlignment="0" applyProtection="0"/>
    <xf numFmtId="0" fontId="19" fillId="0" borderId="0" applyFont="0" applyFill="0" applyBorder="0" applyAlignment="0" applyProtection="0"/>
    <xf numFmtId="0" fontId="19" fillId="0" borderId="0" applyFont="0" applyFill="0" applyBorder="0" applyAlignment="0" applyProtection="0"/>
    <xf numFmtId="0" fontId="19" fillId="0" borderId="0" applyFont="0" applyFill="0" applyBorder="0" applyAlignment="0" applyProtection="0"/>
    <xf numFmtId="0" fontId="19" fillId="0" borderId="0" applyFont="0" applyFill="0" applyBorder="0" applyAlignment="0" applyProtection="0"/>
    <xf numFmtId="0" fontId="19" fillId="0" borderId="0" applyFont="0" applyFill="0" applyBorder="0" applyAlignment="0" applyProtection="0"/>
    <xf numFmtId="0" fontId="31" fillId="0" borderId="0" applyFill="0" applyProtection="0">
      <alignment horizontal="center"/>
    </xf>
    <xf numFmtId="0" fontId="31" fillId="0" borderId="0" applyFill="0" applyProtection="0">
      <alignment horizontal="center"/>
    </xf>
    <xf numFmtId="0" fontId="19" fillId="0" borderId="0" applyFont="0" applyFill="0" applyBorder="0" applyAlignment="0" applyProtection="0"/>
    <xf numFmtId="0" fontId="19" fillId="0" borderId="0" applyFont="0" applyFill="0" applyBorder="0" applyAlignment="0" applyProtection="0"/>
    <xf numFmtId="0" fontId="4" fillId="0" borderId="0" applyFont="0" applyFill="0" applyBorder="0" applyProtection="0">
      <alignment horizontal="right"/>
    </xf>
    <xf numFmtId="0" fontId="4" fillId="0" borderId="0" applyFont="0" applyFill="0" applyBorder="0" applyProtection="0">
      <alignment horizontal="right"/>
    </xf>
    <xf numFmtId="0" fontId="18" fillId="0" borderId="0" applyFont="0" applyFill="0" applyBorder="0" applyAlignment="0" applyProtection="0"/>
    <xf numFmtId="0" fontId="4" fillId="0" borderId="0" applyFont="0" applyFill="0" applyBorder="0" applyAlignment="0" applyProtection="0"/>
    <xf numFmtId="0" fontId="4" fillId="0" borderId="0" applyFont="0" applyFill="0" applyBorder="0" applyAlignment="0" applyProtection="0"/>
    <xf numFmtId="0" fontId="4" fillId="0" borderId="0" applyFont="0" applyFill="0" applyBorder="0" applyAlignment="0" applyProtection="0"/>
    <xf numFmtId="0" fontId="4" fillId="0" borderId="0" applyFont="0" applyFill="0" applyBorder="0" applyAlignment="0" applyProtection="0"/>
    <xf numFmtId="0" fontId="4" fillId="0" borderId="0" applyFont="0" applyFill="0" applyBorder="0" applyAlignment="0" applyProtection="0"/>
    <xf numFmtId="0" fontId="4" fillId="0" borderId="0" applyFont="0" applyFill="0" applyBorder="0" applyAlignment="0" applyProtection="0"/>
    <xf numFmtId="0" fontId="19" fillId="0" borderId="0" applyFont="0" applyFill="0" applyBorder="0" applyAlignment="0" applyProtection="0"/>
    <xf numFmtId="0" fontId="19" fillId="0" borderId="0" applyFont="0" applyFill="0" applyBorder="0" applyAlignment="0" applyProtection="0"/>
    <xf numFmtId="0" fontId="19" fillId="0" borderId="0" applyFont="0" applyFill="0" applyBorder="0" applyAlignment="0" applyProtection="0"/>
    <xf numFmtId="0" fontId="19" fillId="0" borderId="0" applyFont="0" applyFill="0" applyBorder="0" applyAlignment="0" applyProtection="0"/>
    <xf numFmtId="0" fontId="19" fillId="0" borderId="0" applyFont="0" applyFill="0" applyBorder="0" applyAlignment="0" applyProtection="0"/>
    <xf numFmtId="0" fontId="19" fillId="0" borderId="0" applyFont="0" applyFill="0" applyBorder="0" applyAlignment="0" applyProtection="0"/>
    <xf numFmtId="0" fontId="18" fillId="0" borderId="0" applyFont="0" applyFill="0" applyBorder="0" applyAlignment="0" applyProtection="0"/>
    <xf numFmtId="0" fontId="19" fillId="0" borderId="0" applyFont="0" applyFill="0" applyBorder="0" applyAlignment="0" applyProtection="0"/>
    <xf numFmtId="0" fontId="19" fillId="0" borderId="0" applyFont="0" applyFill="0" applyBorder="0" applyAlignment="0" applyProtection="0"/>
    <xf numFmtId="0" fontId="19" fillId="0" borderId="0" applyFont="0" applyFill="0" applyBorder="0" applyAlignment="0" applyProtection="0"/>
    <xf numFmtId="0" fontId="19" fillId="0" borderId="0" applyFont="0" applyFill="0" applyBorder="0" applyAlignment="0" applyProtection="0"/>
    <xf numFmtId="0" fontId="30" fillId="0" borderId="0" applyFont="0" applyFill="0" applyBorder="0" applyAlignment="0" applyProtection="0"/>
    <xf numFmtId="0" fontId="19" fillId="0" borderId="0" applyFont="0" applyFill="0" applyBorder="0" applyAlignment="0" applyProtection="0"/>
    <xf numFmtId="0" fontId="19" fillId="0" borderId="0" applyFont="0" applyFill="0" applyBorder="0" applyAlignment="0" applyProtection="0"/>
    <xf numFmtId="0" fontId="19" fillId="0" borderId="0" applyFont="0" applyFill="0" applyBorder="0" applyAlignment="0" applyProtection="0"/>
    <xf numFmtId="0" fontId="4" fillId="0" borderId="0" applyFont="0" applyFill="0" applyBorder="0" applyAlignment="0" applyProtection="0"/>
    <xf numFmtId="0" fontId="4" fillId="0" borderId="0" applyFont="0" applyFill="0" applyBorder="0" applyAlignment="0" applyProtection="0"/>
    <xf numFmtId="0" fontId="19" fillId="0" borderId="0" applyFont="0" applyFill="0" applyBorder="0" applyAlignment="0" applyProtection="0"/>
    <xf numFmtId="0" fontId="19" fillId="0" borderId="0" applyFont="0" applyFill="0" applyBorder="0" applyAlignment="0" applyProtection="0"/>
    <xf numFmtId="0" fontId="19" fillId="0" borderId="0" applyFont="0" applyFill="0" applyBorder="0" applyAlignment="0" applyProtection="0"/>
    <xf numFmtId="0" fontId="19" fillId="0" borderId="0" applyFont="0" applyFill="0" applyBorder="0" applyAlignment="0" applyProtection="0"/>
    <xf numFmtId="0" fontId="19" fillId="0" borderId="0" applyFont="0" applyFill="0" applyBorder="0" applyAlignment="0" applyProtection="0"/>
    <xf numFmtId="0" fontId="4" fillId="0" borderId="0" applyFont="0" applyFill="0" applyBorder="0" applyAlignment="0" applyProtection="0"/>
    <xf numFmtId="0" fontId="4" fillId="0" borderId="0" applyFont="0" applyFill="0" applyBorder="0" applyAlignment="0" applyProtection="0"/>
    <xf numFmtId="0" fontId="19" fillId="0" borderId="0" applyFont="0" applyFill="0" applyBorder="0" applyAlignment="0" applyProtection="0"/>
    <xf numFmtId="0" fontId="19" fillId="0" borderId="0" applyFont="0" applyFill="0" applyBorder="0" applyProtection="0">
      <alignment horizontal="right"/>
    </xf>
    <xf numFmtId="0" fontId="19" fillId="0" borderId="0" applyFont="0" applyFill="0" applyBorder="0" applyAlignment="0" applyProtection="0"/>
    <xf numFmtId="0" fontId="19" fillId="0" borderId="0" applyFont="0" applyFill="0" applyBorder="0" applyProtection="0">
      <alignment horizontal="right"/>
    </xf>
    <xf numFmtId="0" fontId="19" fillId="0" borderId="0" applyFont="0" applyFill="0" applyBorder="0" applyProtection="0">
      <alignment horizontal="right"/>
    </xf>
    <xf numFmtId="0" fontId="31" fillId="0" borderId="0" applyFont="0" applyFill="0" applyBorder="0" applyProtection="0">
      <alignment horizontal="right"/>
    </xf>
    <xf numFmtId="0" fontId="19" fillId="0" borderId="0" applyFont="0" applyFill="0" applyBorder="0" applyAlignment="0" applyProtection="0"/>
    <xf numFmtId="0" fontId="34" fillId="0" borderId="0" applyFont="0" applyFill="0" applyBorder="0" applyAlignment="0" applyProtection="0"/>
    <xf numFmtId="0" fontId="19" fillId="0" borderId="0" applyFont="0" applyFill="0" applyBorder="0" applyProtection="0">
      <alignment horizontal="right"/>
    </xf>
    <xf numFmtId="0" fontId="19" fillId="0" borderId="0" applyFont="0" applyFill="0" applyBorder="0" applyAlignment="0" applyProtection="0"/>
    <xf numFmtId="0" fontId="19" fillId="0" borderId="0" applyFont="0" applyFill="0" applyBorder="0" applyAlignment="0" applyProtection="0"/>
    <xf numFmtId="0" fontId="19" fillId="0" borderId="0" applyFont="0" applyFill="0" applyBorder="0" applyAlignment="0" applyProtection="0"/>
    <xf numFmtId="0" fontId="19" fillId="0" borderId="0" applyFont="0" applyFill="0" applyBorder="0" applyProtection="0">
      <alignment horizontal="right"/>
    </xf>
    <xf numFmtId="0" fontId="19" fillId="0" borderId="0" applyFont="0" applyFill="0" applyBorder="0" applyProtection="0">
      <alignment horizontal="right"/>
    </xf>
    <xf numFmtId="0" fontId="19" fillId="0" borderId="0" applyFont="0" applyFill="0" applyBorder="0" applyProtection="0">
      <alignment horizontal="right"/>
    </xf>
    <xf numFmtId="0" fontId="34" fillId="0" borderId="0" applyFont="0" applyFill="0" applyBorder="0" applyAlignment="0" applyProtection="0"/>
    <xf numFmtId="0" fontId="34" fillId="0" borderId="0" applyFont="0" applyFill="0" applyBorder="0" applyAlignment="0" applyProtection="0"/>
    <xf numFmtId="0" fontId="4" fillId="0" borderId="0" applyFont="0" applyFill="0" applyBorder="0" applyAlignment="0" applyProtection="0"/>
    <xf numFmtId="0" fontId="4" fillId="0" borderId="0" applyFont="0" applyFill="0" applyBorder="0" applyProtection="0">
      <alignment horizontal="right"/>
    </xf>
    <xf numFmtId="0" fontId="4" fillId="0" borderId="0" applyFont="0" applyFill="0" applyBorder="0" applyProtection="0">
      <alignment horizontal="right"/>
    </xf>
    <xf numFmtId="0" fontId="4" fillId="0" borderId="0" applyFont="0" applyFill="0" applyBorder="0" applyAlignment="0" applyProtection="0"/>
    <xf numFmtId="0" fontId="19" fillId="0" borderId="0" applyFont="0" applyFill="0" applyBorder="0" applyProtection="0">
      <alignment horizontal="right"/>
    </xf>
    <xf numFmtId="0" fontId="19" fillId="0" borderId="0" applyFont="0" applyFill="0" applyBorder="0" applyAlignment="0" applyProtection="0"/>
    <xf numFmtId="0" fontId="4" fillId="0" borderId="0" applyFont="0" applyFill="0" applyBorder="0" applyProtection="0">
      <alignment horizontal="right"/>
    </xf>
    <xf numFmtId="0" fontId="4" fillId="0" borderId="0" applyFont="0" applyFill="0" applyBorder="0" applyProtection="0">
      <alignment horizontal="right"/>
    </xf>
    <xf numFmtId="0" fontId="4" fillId="0" borderId="0" applyFont="0" applyFill="0" applyBorder="0" applyAlignment="0" applyProtection="0"/>
    <xf numFmtId="0" fontId="4" fillId="0" borderId="0" applyFont="0" applyFill="0" applyBorder="0" applyAlignment="0" applyProtection="0"/>
    <xf numFmtId="0" fontId="19" fillId="0" borderId="0" applyFont="0" applyFill="0" applyBorder="0" applyAlignment="0" applyProtection="0"/>
    <xf numFmtId="0" fontId="19" fillId="0" borderId="0" applyFont="0" applyFill="0" applyBorder="0" applyAlignment="0" applyProtection="0"/>
    <xf numFmtId="0" fontId="4" fillId="0" borderId="0" applyFont="0" applyFill="0" applyBorder="0" applyAlignment="0" applyProtection="0"/>
    <xf numFmtId="0" fontId="4" fillId="0" borderId="0" applyFont="0" applyFill="0" applyBorder="0" applyAlignment="0" applyProtection="0"/>
    <xf numFmtId="0" fontId="19" fillId="0" borderId="0" applyFont="0" applyFill="0" applyBorder="0" applyProtection="0">
      <alignment horizontal="right"/>
    </xf>
    <xf numFmtId="0" fontId="19" fillId="0" borderId="0" applyFont="0" applyFill="0" applyBorder="0" applyProtection="0">
      <alignment horizontal="right"/>
    </xf>
    <xf numFmtId="0" fontId="19" fillId="0" borderId="0" applyFont="0" applyFill="0" applyBorder="0" applyAlignment="0" applyProtection="0"/>
    <xf numFmtId="0" fontId="19" fillId="0" borderId="0" applyFont="0" applyFill="0" applyBorder="0" applyProtection="0">
      <alignment horizontal="right"/>
    </xf>
    <xf numFmtId="0" fontId="19" fillId="0" borderId="0" applyFont="0" applyFill="0" applyBorder="0" applyAlignment="0" applyProtection="0"/>
    <xf numFmtId="0" fontId="34" fillId="0" borderId="0" applyFont="0" applyFill="0" applyBorder="0" applyAlignment="0" applyProtection="0"/>
    <xf numFmtId="0" fontId="4" fillId="0" borderId="0" applyFont="0" applyFill="0" applyBorder="0" applyAlignment="0" applyProtection="0"/>
    <xf numFmtId="0" fontId="4" fillId="0" borderId="0" applyFont="0" applyFill="0" applyBorder="0" applyAlignment="0" applyProtection="0"/>
    <xf numFmtId="0" fontId="4" fillId="0" borderId="0" applyFont="0" applyFill="0" applyBorder="0" applyProtection="0">
      <alignment horizontal="right"/>
    </xf>
    <xf numFmtId="0" fontId="19" fillId="0" borderId="0" applyFont="0" applyFill="0" applyBorder="0" applyAlignment="0" applyProtection="0"/>
    <xf numFmtId="0" fontId="19" fillId="0" borderId="0" applyFont="0" applyFill="0" applyBorder="0" applyAlignment="0" applyProtection="0"/>
    <xf numFmtId="0" fontId="4" fillId="0" borderId="0" applyFont="0" applyFill="0" applyBorder="0" applyProtection="0">
      <alignment horizontal="right"/>
    </xf>
    <xf numFmtId="0" fontId="19" fillId="0" borderId="0" applyFont="0" applyFill="0" applyBorder="0" applyProtection="0">
      <alignment horizontal="left" indent="4"/>
    </xf>
    <xf numFmtId="0" fontId="19" fillId="0" borderId="0" applyFont="0" applyFill="0" applyBorder="0" applyProtection="0">
      <alignment horizontal="left" indent="4"/>
    </xf>
    <xf numFmtId="0" fontId="19" fillId="0" borderId="0" applyFont="0" applyFill="0" applyBorder="0" applyProtection="0">
      <alignment horizontal="right"/>
    </xf>
    <xf numFmtId="0" fontId="19" fillId="0" borderId="0" applyFont="0" applyFill="0" applyBorder="0" applyProtection="0">
      <alignment horizontal="right"/>
    </xf>
    <xf numFmtId="0" fontId="19" fillId="0" borderId="0" applyFont="0" applyFill="0" applyBorder="0" applyAlignment="0" applyProtection="0"/>
    <xf numFmtId="0" fontId="19" fillId="0" borderId="0" applyFont="0" applyFill="0" applyBorder="0" applyProtection="0">
      <alignment horizontal="right"/>
    </xf>
    <xf numFmtId="0" fontId="19" fillId="0" borderId="0" applyFont="0" applyFill="0" applyBorder="0" applyAlignment="0" applyProtection="0"/>
    <xf numFmtId="0" fontId="19" fillId="0" borderId="0" applyFont="0" applyFill="0" applyBorder="0" applyAlignment="0" applyProtection="0"/>
    <xf numFmtId="0" fontId="19" fillId="0" borderId="0" applyFont="0" applyFill="0" applyBorder="0" applyProtection="0">
      <alignment horizontal="right"/>
    </xf>
    <xf numFmtId="0" fontId="19" fillId="0" borderId="0" applyFont="0" applyFill="0" applyBorder="0" applyAlignment="0" applyProtection="0"/>
    <xf numFmtId="0" fontId="19" fillId="0" borderId="0" applyFont="0" applyFill="0" applyBorder="0" applyProtection="0">
      <alignment horizontal="right"/>
    </xf>
    <xf numFmtId="0" fontId="19" fillId="0" borderId="0" applyFont="0" applyFill="0" applyBorder="0" applyAlignment="0" applyProtection="0"/>
    <xf numFmtId="0" fontId="19" fillId="0" borderId="0" applyFont="0" applyFill="0" applyBorder="0" applyAlignment="0" applyProtection="0"/>
    <xf numFmtId="0" fontId="19" fillId="0" borderId="0" applyFont="0" applyFill="0" applyBorder="0" applyAlignment="0" applyProtection="0"/>
    <xf numFmtId="0" fontId="4" fillId="0" borderId="0" applyFont="0" applyFill="0" applyBorder="0" applyProtection="0">
      <alignment horizontal="right"/>
    </xf>
    <xf numFmtId="0" fontId="4" fillId="0" borderId="0" applyFont="0" applyFill="0" applyBorder="0" applyProtection="0">
      <alignment horizontal="right"/>
    </xf>
    <xf numFmtId="0" fontId="18" fillId="0" borderId="0" applyFont="0" applyFill="0" applyBorder="0" applyAlignment="0" applyProtection="0"/>
    <xf numFmtId="0" fontId="4" fillId="0" borderId="0" applyFont="0" applyFill="0" applyBorder="0" applyAlignment="0" applyProtection="0"/>
    <xf numFmtId="0" fontId="4" fillId="0" borderId="0" applyFont="0" applyFill="0" applyBorder="0" applyAlignment="0" applyProtection="0"/>
    <xf numFmtId="0" fontId="4" fillId="0" borderId="0" applyFont="0" applyFill="0" applyBorder="0" applyAlignment="0" applyProtection="0"/>
    <xf numFmtId="0" fontId="4" fillId="0" borderId="0" applyFont="0" applyFill="0" applyBorder="0" applyAlignment="0" applyProtection="0"/>
    <xf numFmtId="0" fontId="4" fillId="0" borderId="0" applyFont="0" applyFill="0" applyBorder="0" applyAlignment="0" applyProtection="0"/>
    <xf numFmtId="0" fontId="4" fillId="0" borderId="0" applyFont="0" applyFill="0" applyBorder="0" applyAlignment="0" applyProtection="0"/>
    <xf numFmtId="0" fontId="19" fillId="0" borderId="0" applyFont="0" applyFill="0" applyBorder="0" applyAlignment="0" applyProtection="0"/>
    <xf numFmtId="0" fontId="19" fillId="0" borderId="0" applyFont="0" applyFill="0" applyBorder="0" applyAlignment="0" applyProtection="0"/>
    <xf numFmtId="0" fontId="19" fillId="0" borderId="0" applyFont="0" applyFill="0" applyBorder="0" applyAlignment="0" applyProtection="0"/>
    <xf numFmtId="0" fontId="19" fillId="0" borderId="0" applyFont="0" applyFill="0" applyBorder="0" applyAlignment="0" applyProtection="0"/>
    <xf numFmtId="0" fontId="18" fillId="0" borderId="0" applyFont="0" applyFill="0" applyBorder="0" applyAlignment="0" applyProtection="0"/>
    <xf numFmtId="0" fontId="19" fillId="0" borderId="0" applyFont="0" applyFill="0" applyBorder="0" applyProtection="0">
      <alignment horizontal="right"/>
    </xf>
    <xf numFmtId="0" fontId="19" fillId="0" borderId="0" applyFont="0" applyFill="0" applyBorder="0" applyProtection="0">
      <alignment horizontal="right"/>
    </xf>
    <xf numFmtId="0" fontId="19" fillId="0" borderId="0" applyFont="0" applyFill="0" applyBorder="0" applyAlignment="0" applyProtection="0"/>
    <xf numFmtId="0" fontId="30" fillId="0" borderId="0" applyFont="0" applyFill="0" applyBorder="0" applyProtection="0">
      <alignment horizontal="right"/>
    </xf>
    <xf numFmtId="0" fontId="19" fillId="0" borderId="0" applyFont="0" applyFill="0" applyBorder="0" applyProtection="0">
      <alignment horizontal="right"/>
    </xf>
    <xf numFmtId="0" fontId="19" fillId="0" borderId="0" applyFont="0" applyFill="0" applyBorder="0" applyProtection="0">
      <alignment horizontal="right"/>
    </xf>
    <xf numFmtId="0" fontId="4" fillId="0" borderId="0" applyFont="0" applyFill="0" applyBorder="0" applyAlignment="0" applyProtection="0"/>
    <xf numFmtId="0" fontId="4" fillId="0" borderId="0" applyFont="0" applyFill="0" applyBorder="0" applyAlignment="0" applyProtection="0"/>
    <xf numFmtId="0" fontId="19" fillId="0" borderId="0" applyFont="0" applyFill="0" applyBorder="0" applyProtection="0">
      <alignment horizontal="right"/>
    </xf>
    <xf numFmtId="0" fontId="19" fillId="0" borderId="0" applyFont="0" applyFill="0" applyBorder="0" applyProtection="0">
      <alignment horizontal="right"/>
    </xf>
    <xf numFmtId="0" fontId="19" fillId="0" borderId="0" applyFont="0" applyFill="0" applyBorder="0" applyProtection="0">
      <alignment horizontal="right"/>
    </xf>
    <xf numFmtId="0" fontId="19" fillId="0" borderId="0" applyFont="0" applyFill="0" applyBorder="0" applyProtection="0">
      <alignment horizontal="right"/>
    </xf>
    <xf numFmtId="0" fontId="19" fillId="0" borderId="0" applyFont="0" applyFill="0" applyBorder="0" applyProtection="0">
      <alignment horizontal="right"/>
    </xf>
    <xf numFmtId="0" fontId="4" fillId="0" borderId="0" applyFont="0" applyFill="0" applyBorder="0" applyAlignment="0" applyProtection="0"/>
    <xf numFmtId="0" fontId="4" fillId="0" borderId="0" applyFont="0" applyFill="0" applyBorder="0" applyAlignment="0" applyProtection="0"/>
    <xf numFmtId="0" fontId="19" fillId="0" borderId="0" applyFont="0" applyFill="0" applyBorder="0" applyAlignment="0" applyProtection="0"/>
    <xf numFmtId="0" fontId="23" fillId="0" borderId="0" applyNumberFormat="0" applyFill="0" applyBorder="0" applyAlignment="0" applyProtection="0"/>
    <xf numFmtId="0" fontId="19" fillId="0" borderId="0" applyFont="0" applyFill="0" applyBorder="0" applyAlignment="0" applyProtection="0"/>
    <xf numFmtId="0" fontId="34" fillId="0" borderId="0" applyFont="0" applyFill="0" applyBorder="0" applyAlignment="0" applyProtection="0"/>
    <xf numFmtId="0" fontId="19" fillId="0" borderId="0" applyFont="0" applyFill="0" applyBorder="0" applyProtection="0">
      <alignment horizontal="right"/>
    </xf>
    <xf numFmtId="0" fontId="34" fillId="0" borderId="0" applyFont="0" applyFill="0" applyBorder="0" applyAlignment="0" applyProtection="0"/>
    <xf numFmtId="0" fontId="34" fillId="0" borderId="0" applyFont="0" applyFill="0" applyBorder="0" applyAlignment="0" applyProtection="0"/>
    <xf numFmtId="0" fontId="19" fillId="0" borderId="0" applyFont="0" applyFill="0" applyBorder="0" applyAlignment="0" applyProtection="0"/>
    <xf numFmtId="0" fontId="19" fillId="0" borderId="0" applyFont="0" applyFill="0" applyBorder="0" applyAlignment="0" applyProtection="0"/>
    <xf numFmtId="0" fontId="34" fillId="0" borderId="0" applyFont="0" applyFill="0" applyBorder="0" applyAlignment="0" applyProtection="0"/>
    <xf numFmtId="0" fontId="19" fillId="0" borderId="0" applyFont="0" applyFill="0" applyBorder="0" applyAlignment="0" applyProtection="0"/>
    <xf numFmtId="0" fontId="19" fillId="0" borderId="0" applyFont="0" applyFill="0" applyBorder="0" applyAlignment="0" applyProtection="0"/>
    <xf numFmtId="0" fontId="19" fillId="0" borderId="0" applyFont="0" applyFill="0" applyBorder="0" applyAlignment="0" applyProtection="0"/>
    <xf numFmtId="0" fontId="19" fillId="0" borderId="0" applyFont="0" applyFill="0" applyBorder="0" applyAlignment="0" applyProtection="0"/>
    <xf numFmtId="0" fontId="19" fillId="0" borderId="0" applyFont="0" applyFill="0" applyBorder="0" applyAlignment="0" applyProtection="0"/>
    <xf numFmtId="0" fontId="19" fillId="0" borderId="0" applyFont="0" applyFill="0" applyBorder="0" applyAlignment="0" applyProtection="0"/>
    <xf numFmtId="0" fontId="18" fillId="0" borderId="0" applyFont="0" applyFill="0" applyBorder="0" applyAlignment="0" applyProtection="0"/>
    <xf numFmtId="0" fontId="18" fillId="0" borderId="0" applyFont="0" applyFill="0" applyBorder="0" applyAlignment="0" applyProtection="0"/>
    <xf numFmtId="0" fontId="18" fillId="0" borderId="0" applyFont="0" applyFill="0" applyBorder="0" applyAlignment="0" applyProtection="0"/>
    <xf numFmtId="0" fontId="19" fillId="0" borderId="0" applyFont="0" applyFill="0" applyBorder="0" applyAlignment="0" applyProtection="0"/>
    <xf numFmtId="0" fontId="19" fillId="0" borderId="0" applyFont="0" applyFill="0" applyBorder="0" applyAlignment="0" applyProtection="0"/>
    <xf numFmtId="0" fontId="19" fillId="0" borderId="0" applyFont="0" applyFill="0" applyBorder="0" applyAlignment="0" applyProtection="0"/>
    <xf numFmtId="0" fontId="18" fillId="0" borderId="0" applyFont="0" applyFill="0" applyBorder="0" applyAlignment="0" applyProtection="0"/>
    <xf numFmtId="0" fontId="19" fillId="0" borderId="0" applyFont="0" applyFill="0" applyBorder="0" applyAlignment="0" applyProtection="0"/>
    <xf numFmtId="0" fontId="19" fillId="0" borderId="0" applyFont="0" applyFill="0" applyBorder="0" applyAlignment="0" applyProtection="0"/>
    <xf numFmtId="0" fontId="19" fillId="0" borderId="0" applyFont="0" applyFill="0" applyBorder="0" applyAlignment="0" applyProtection="0"/>
    <xf numFmtId="0" fontId="4" fillId="0" borderId="8" applyFont="0" applyFill="0" applyBorder="0" applyProtection="0">
      <alignment horizontal="right"/>
    </xf>
    <xf numFmtId="0" fontId="4" fillId="0" borderId="8" applyFont="0" applyFill="0" applyBorder="0" applyProtection="0">
      <alignment horizontal="right"/>
    </xf>
    <xf numFmtId="0" fontId="4" fillId="0" borderId="0" applyFont="0" applyFill="0" applyBorder="0" applyAlignment="0" applyProtection="0"/>
    <xf numFmtId="0" fontId="4" fillId="0" borderId="0" applyFont="0" applyFill="0" applyBorder="0" applyAlignment="0" applyProtection="0"/>
    <xf numFmtId="0" fontId="4" fillId="0" borderId="0" applyFont="0" applyFill="0" applyBorder="0" applyProtection="0">
      <alignment horizontal="right"/>
    </xf>
    <xf numFmtId="0" fontId="4" fillId="0" borderId="0" applyFont="0" applyFill="0" applyBorder="0" applyProtection="0">
      <alignment horizontal="right"/>
    </xf>
    <xf numFmtId="0" fontId="19" fillId="0" borderId="0" applyFont="0" applyFill="0" applyBorder="0" applyAlignment="0" applyProtection="0"/>
    <xf numFmtId="0" fontId="34" fillId="0" borderId="0" applyFont="0" applyFill="0" applyBorder="0" applyAlignment="0" applyProtection="0"/>
    <xf numFmtId="0" fontId="34" fillId="0" borderId="0" applyFont="0" applyFill="0" applyBorder="0" applyAlignment="0" applyProtection="0"/>
    <xf numFmtId="180" fontId="19" fillId="0" borderId="0" applyFont="0" applyFill="0" applyBorder="0" applyProtection="0">
      <alignment horizontal="right"/>
    </xf>
    <xf numFmtId="0" fontId="34" fillId="0" borderId="0" applyFont="0" applyFill="0" applyBorder="0" applyAlignment="0" applyProtection="0"/>
    <xf numFmtId="0" fontId="34" fillId="0" borderId="0" applyFont="0" applyFill="0" applyBorder="0" applyAlignment="0" applyProtection="0"/>
    <xf numFmtId="0" fontId="34" fillId="0" borderId="0" applyFont="0" applyFill="0" applyBorder="0" applyAlignment="0" applyProtection="0"/>
    <xf numFmtId="0" fontId="34" fillId="0" borderId="0" applyFont="0" applyFill="0" applyBorder="0" applyAlignment="0" applyProtection="0"/>
    <xf numFmtId="180" fontId="19" fillId="0" borderId="0" applyFont="0" applyFill="0" applyBorder="0" applyAlignment="0" applyProtection="0"/>
    <xf numFmtId="0" fontId="19" fillId="0" borderId="0" applyFont="0" applyFill="0" applyBorder="0" applyAlignment="0" applyProtection="0"/>
    <xf numFmtId="180" fontId="19" fillId="0" borderId="0" applyFont="0" applyFill="0" applyBorder="0" applyAlignment="0" applyProtection="0"/>
    <xf numFmtId="0" fontId="34" fillId="0" borderId="0" applyFont="0" applyFill="0" applyBorder="0" applyAlignment="0" applyProtection="0"/>
    <xf numFmtId="180" fontId="19" fillId="0" borderId="0" applyFont="0" applyFill="0" applyBorder="0" applyAlignment="0" applyProtection="0"/>
    <xf numFmtId="0" fontId="19" fillId="0" borderId="0" applyFont="0" applyFill="0" applyBorder="0" applyAlignment="0" applyProtection="0"/>
    <xf numFmtId="0" fontId="19" fillId="0" borderId="0" applyFont="0" applyFill="0" applyBorder="0" applyAlignment="0" applyProtection="0"/>
    <xf numFmtId="0" fontId="19" fillId="0" borderId="0" applyFont="0" applyFill="0" applyBorder="0" applyAlignment="0" applyProtection="0"/>
    <xf numFmtId="0" fontId="19" fillId="0" borderId="0" applyFont="0" applyFill="0" applyBorder="0" applyAlignment="0" applyProtection="0"/>
    <xf numFmtId="0" fontId="19" fillId="0" borderId="0" applyFont="0" applyFill="0" applyBorder="0" applyAlignment="0" applyProtection="0"/>
    <xf numFmtId="180" fontId="18" fillId="0" borderId="0" applyFont="0" applyFill="0" applyBorder="0" applyAlignment="0" applyProtection="0"/>
    <xf numFmtId="180" fontId="18" fillId="0" borderId="0" applyFont="0" applyFill="0" applyBorder="0" applyAlignment="0" applyProtection="0"/>
    <xf numFmtId="180" fontId="18" fillId="0" borderId="0" applyFont="0" applyFill="0" applyBorder="0" applyAlignment="0" applyProtection="0"/>
    <xf numFmtId="0" fontId="19" fillId="0" borderId="0" applyFont="0" applyFill="0" applyBorder="0" applyAlignment="0" applyProtection="0"/>
    <xf numFmtId="0" fontId="19" fillId="0" borderId="0" applyFont="0" applyFill="0" applyBorder="0" applyAlignment="0" applyProtection="0"/>
    <xf numFmtId="0" fontId="19" fillId="0" borderId="0" applyFont="0" applyFill="0" applyBorder="0" applyAlignment="0" applyProtection="0"/>
    <xf numFmtId="0" fontId="18" fillId="0" borderId="0" applyFont="0" applyFill="0" applyBorder="0" applyAlignment="0" applyProtection="0"/>
    <xf numFmtId="180" fontId="19" fillId="0" borderId="0" applyFont="0" applyFill="0" applyBorder="0" applyProtection="0">
      <alignment horizontal="right"/>
    </xf>
    <xf numFmtId="180" fontId="30" fillId="0" borderId="0" applyFont="0" applyFill="0" applyBorder="0" applyProtection="0">
      <alignment horizontal="right"/>
    </xf>
    <xf numFmtId="180" fontId="19" fillId="0" borderId="0" applyFont="0" applyFill="0" applyBorder="0" applyAlignment="0" applyProtection="0"/>
    <xf numFmtId="180" fontId="19" fillId="0" borderId="0" applyFont="0" applyFill="0" applyBorder="0" applyAlignment="0" applyProtection="0"/>
    <xf numFmtId="0" fontId="19" fillId="0" borderId="0" applyFont="0" applyFill="0" applyBorder="0" applyAlignment="0" applyProtection="0"/>
    <xf numFmtId="0" fontId="19" fillId="0" borderId="0" applyFont="0" applyFill="0" applyBorder="0" applyAlignment="0" applyProtection="0"/>
    <xf numFmtId="0" fontId="19" fillId="0" borderId="0" applyFont="0" applyFill="0" applyBorder="0" applyAlignment="0" applyProtection="0"/>
    <xf numFmtId="0" fontId="37" fillId="0" borderId="0" applyNumberFormat="0" applyFill="0" applyBorder="0" applyProtection="0">
      <alignment vertical="top"/>
    </xf>
    <xf numFmtId="0" fontId="37" fillId="0" borderId="0" applyNumberFormat="0" applyFill="0" applyBorder="0" applyProtection="0">
      <alignment vertical="top"/>
    </xf>
    <xf numFmtId="0" fontId="37" fillId="0" borderId="0" applyNumberFormat="0" applyFill="0" applyBorder="0" applyProtection="0">
      <alignment vertical="top"/>
    </xf>
    <xf numFmtId="0" fontId="37" fillId="0" borderId="0" applyNumberFormat="0" applyFill="0" applyBorder="0" applyProtection="0">
      <alignment vertical="top"/>
    </xf>
    <xf numFmtId="0" fontId="37" fillId="0" borderId="0" applyNumberFormat="0" applyFill="0" applyBorder="0" applyProtection="0">
      <alignment vertical="top"/>
    </xf>
    <xf numFmtId="0" fontId="37" fillId="0" borderId="0" applyNumberFormat="0" applyFill="0" applyBorder="0" applyProtection="0">
      <alignment vertical="top"/>
    </xf>
    <xf numFmtId="0" fontId="37" fillId="0" borderId="0" applyNumberFormat="0" applyFill="0" applyBorder="0" applyProtection="0">
      <alignment vertical="top"/>
    </xf>
    <xf numFmtId="0" fontId="37" fillId="0" borderId="0" applyNumberFormat="0" applyFill="0" applyBorder="0" applyProtection="0">
      <alignment vertical="top"/>
    </xf>
    <xf numFmtId="0" fontId="37" fillId="0" borderId="0" applyNumberFormat="0" applyFill="0" applyBorder="0" applyAlignment="0" applyProtection="0">
      <alignment vertical="top"/>
    </xf>
    <xf numFmtId="0" fontId="37" fillId="0" borderId="0" applyNumberFormat="0" applyFill="0" applyBorder="0" applyProtection="0">
      <alignment vertical="top"/>
    </xf>
    <xf numFmtId="0" fontId="37" fillId="0" borderId="0" applyNumberFormat="0" applyFill="0" applyBorder="0" applyAlignment="0" applyProtection="0">
      <alignment vertical="top"/>
    </xf>
    <xf numFmtId="0" fontId="37" fillId="0" borderId="0" applyNumberFormat="0" applyFill="0" applyBorder="0" applyAlignment="0" applyProtection="0">
      <alignment vertical="top"/>
    </xf>
    <xf numFmtId="0" fontId="37" fillId="0" borderId="0" applyNumberFormat="0" applyFill="0" applyBorder="0" applyProtection="0">
      <alignment vertical="top"/>
    </xf>
    <xf numFmtId="0" fontId="37" fillId="0" borderId="0" applyNumberFormat="0" applyFill="0" applyBorder="0" applyProtection="0">
      <alignment vertical="top"/>
    </xf>
    <xf numFmtId="0" fontId="37" fillId="0" borderId="0" applyNumberFormat="0" applyFill="0" applyBorder="0" applyProtection="0">
      <alignment vertical="top"/>
    </xf>
    <xf numFmtId="0" fontId="37" fillId="0" borderId="0" applyNumberFormat="0" applyFill="0" applyBorder="0" applyProtection="0">
      <alignment vertical="top"/>
    </xf>
    <xf numFmtId="0" fontId="37" fillId="0" borderId="0" applyNumberFormat="0" applyFill="0" applyBorder="0" applyProtection="0">
      <alignment vertical="top"/>
    </xf>
    <xf numFmtId="0" fontId="37" fillId="0" borderId="0" applyNumberFormat="0" applyFill="0" applyBorder="0" applyProtection="0">
      <alignment vertical="top"/>
    </xf>
    <xf numFmtId="0" fontId="37" fillId="0" borderId="0" applyNumberFormat="0" applyFill="0" applyBorder="0" applyProtection="0">
      <alignment vertical="top"/>
    </xf>
    <xf numFmtId="0" fontId="37" fillId="0" borderId="0" applyNumberFormat="0" applyFill="0" applyBorder="0" applyProtection="0">
      <alignment vertical="top"/>
    </xf>
    <xf numFmtId="0" fontId="37" fillId="0" borderId="0" applyNumberFormat="0" applyFill="0" applyBorder="0" applyAlignment="0" applyProtection="0">
      <alignment vertical="top"/>
    </xf>
    <xf numFmtId="0" fontId="37" fillId="0" borderId="0" applyNumberFormat="0" applyFill="0" applyBorder="0" applyProtection="0">
      <alignment vertical="top"/>
    </xf>
    <xf numFmtId="0" fontId="37" fillId="0" borderId="0" applyNumberFormat="0" applyFill="0" applyBorder="0" applyProtection="0">
      <alignment vertical="top"/>
    </xf>
    <xf numFmtId="0" fontId="37" fillId="0" borderId="0" applyNumberFormat="0" applyFill="0" applyBorder="0" applyAlignment="0" applyProtection="0">
      <alignment vertical="top"/>
    </xf>
    <xf numFmtId="0" fontId="37" fillId="0" borderId="0" applyNumberFormat="0" applyFill="0" applyBorder="0" applyProtection="0">
      <alignment vertical="top"/>
    </xf>
    <xf numFmtId="0" fontId="37" fillId="0" borderId="0" applyNumberFormat="0" applyFill="0" applyBorder="0" applyProtection="0">
      <alignment vertical="top"/>
    </xf>
    <xf numFmtId="0" fontId="37" fillId="0" borderId="0" applyNumberFormat="0" applyFill="0" applyBorder="0" applyProtection="0">
      <alignment vertical="top"/>
    </xf>
    <xf numFmtId="0" fontId="37" fillId="0" borderId="0" applyNumberFormat="0" applyFill="0" applyBorder="0" applyAlignment="0" applyProtection="0">
      <alignment vertical="top"/>
    </xf>
    <xf numFmtId="0" fontId="37" fillId="0" borderId="0" applyNumberFormat="0" applyFill="0" applyBorder="0" applyAlignment="0" applyProtection="0">
      <alignment vertical="top"/>
    </xf>
    <xf numFmtId="0" fontId="37" fillId="0" borderId="0" applyNumberFormat="0" applyFill="0" applyBorder="0" applyProtection="0">
      <alignment vertical="top"/>
    </xf>
    <xf numFmtId="0" fontId="37" fillId="0" borderId="0" applyNumberFormat="0" applyFill="0" applyBorder="0" applyProtection="0">
      <alignment vertical="top"/>
    </xf>
    <xf numFmtId="0" fontId="37" fillId="0" borderId="0" applyNumberFormat="0" applyFill="0" applyBorder="0" applyProtection="0">
      <alignment vertical="top"/>
    </xf>
    <xf numFmtId="0" fontId="37" fillId="0" borderId="0" applyNumberFormat="0" applyFill="0" applyBorder="0" applyProtection="0">
      <alignment vertical="top"/>
    </xf>
    <xf numFmtId="0" fontId="37" fillId="0" borderId="0" applyNumberFormat="0" applyFill="0" applyBorder="0" applyProtection="0">
      <alignment vertical="top"/>
    </xf>
    <xf numFmtId="0" fontId="37" fillId="0" borderId="0" applyNumberFormat="0" applyFill="0" applyBorder="0" applyProtection="0">
      <alignment vertical="top"/>
    </xf>
    <xf numFmtId="0" fontId="37" fillId="0" borderId="0" applyNumberFormat="0" applyFill="0" applyBorder="0" applyProtection="0">
      <alignment vertical="top"/>
    </xf>
    <xf numFmtId="0" fontId="37" fillId="0" borderId="0" applyNumberFormat="0" applyFill="0" applyBorder="0" applyProtection="0">
      <alignment vertical="top"/>
    </xf>
    <xf numFmtId="0" fontId="37" fillId="0" borderId="0" applyNumberFormat="0" applyFill="0" applyBorder="0" applyAlignment="0" applyProtection="0">
      <alignment vertical="top"/>
    </xf>
    <xf numFmtId="0" fontId="37" fillId="0" borderId="0" applyNumberFormat="0" applyFill="0" applyBorder="0" applyProtection="0">
      <alignment vertical="top"/>
    </xf>
    <xf numFmtId="0" fontId="37" fillId="0" borderId="0" applyNumberFormat="0" applyFill="0" applyBorder="0" applyProtection="0">
      <alignment vertical="top"/>
    </xf>
    <xf numFmtId="0" fontId="37" fillId="0" borderId="0" applyNumberFormat="0" applyFill="0" applyBorder="0" applyProtection="0">
      <alignment vertical="top"/>
    </xf>
    <xf numFmtId="0" fontId="37" fillId="0" borderId="0" applyNumberFormat="0" applyFill="0" applyBorder="0" applyAlignment="0" applyProtection="0">
      <alignment vertical="top"/>
    </xf>
    <xf numFmtId="0" fontId="37" fillId="0" borderId="0" applyNumberFormat="0" applyFill="0" applyBorder="0" applyAlignment="0" applyProtection="0">
      <alignment vertical="top"/>
    </xf>
    <xf numFmtId="0" fontId="37" fillId="0" borderId="0" applyNumberFormat="0" applyFill="0" applyBorder="0" applyProtection="0">
      <alignment vertical="top"/>
    </xf>
    <xf numFmtId="0" fontId="37" fillId="0" borderId="0" applyNumberFormat="0" applyFill="0" applyBorder="0" applyProtection="0">
      <alignment vertical="top"/>
    </xf>
    <xf numFmtId="0" fontId="37" fillId="0" borderId="0" applyNumberFormat="0" applyFill="0" applyBorder="0" applyAlignment="0" applyProtection="0"/>
    <xf numFmtId="0" fontId="37" fillId="0" borderId="0" applyNumberFormat="0" applyFill="0" applyBorder="0" applyProtection="0">
      <alignment vertical="top"/>
    </xf>
    <xf numFmtId="0" fontId="37" fillId="0" borderId="0" applyNumberFormat="0" applyFill="0" applyBorder="0" applyProtection="0">
      <alignment vertical="top"/>
    </xf>
    <xf numFmtId="0" fontId="37" fillId="0" borderId="0" applyNumberFormat="0" applyFill="0" applyBorder="0" applyProtection="0">
      <alignment vertical="top"/>
    </xf>
    <xf numFmtId="0" fontId="37" fillId="0" borderId="0" applyNumberFormat="0" applyFill="0" applyBorder="0" applyProtection="0">
      <alignment vertical="top"/>
    </xf>
    <xf numFmtId="0" fontId="37" fillId="0" borderId="0" applyNumberFormat="0" applyFill="0" applyBorder="0" applyAlignment="0" applyProtection="0">
      <alignment vertical="top"/>
    </xf>
    <xf numFmtId="0" fontId="37" fillId="0" borderId="0" applyNumberFormat="0" applyFill="0" applyBorder="0" applyProtection="0">
      <alignment vertical="top"/>
    </xf>
    <xf numFmtId="0" fontId="37" fillId="0" borderId="0" applyNumberFormat="0" applyFill="0" applyBorder="0" applyProtection="0">
      <alignment vertical="top"/>
    </xf>
    <xf numFmtId="0" fontId="37" fillId="0" borderId="0" applyNumberFormat="0" applyFill="0" applyBorder="0" applyProtection="0">
      <alignment vertical="top"/>
    </xf>
    <xf numFmtId="0" fontId="37" fillId="0" borderId="0" applyNumberFormat="0" applyFill="0" applyBorder="0" applyProtection="0">
      <alignment vertical="top"/>
    </xf>
    <xf numFmtId="0" fontId="35" fillId="0" borderId="8" applyNumberFormat="0" applyFill="0" applyAlignment="0" applyProtection="0"/>
    <xf numFmtId="0" fontId="35" fillId="0" borderId="8" applyNumberFormat="0" applyFill="0" applyAlignment="0" applyProtection="0"/>
    <xf numFmtId="0" fontId="35" fillId="0" borderId="8" applyNumberFormat="0" applyFill="0" applyAlignment="0" applyProtection="0"/>
    <xf numFmtId="0" fontId="35" fillId="0" borderId="8" applyNumberFormat="0" applyFill="0" applyAlignment="0" applyProtection="0"/>
    <xf numFmtId="0" fontId="35" fillId="0" borderId="8" applyNumberFormat="0" applyFill="0" applyAlignment="0" applyProtection="0"/>
    <xf numFmtId="0" fontId="35" fillId="0" borderId="8" applyNumberFormat="0" applyFill="0" applyAlignment="0" applyProtection="0"/>
    <xf numFmtId="0" fontId="35" fillId="0" borderId="8" applyNumberFormat="0" applyFill="0" applyAlignment="0" applyProtection="0"/>
    <xf numFmtId="0" fontId="35" fillId="0" borderId="8" applyNumberFormat="0" applyFill="0" applyAlignment="0" applyProtection="0"/>
    <xf numFmtId="0" fontId="35" fillId="0" borderId="9" applyNumberFormat="0" applyFill="0" applyAlignment="0" applyProtection="0"/>
    <xf numFmtId="0" fontId="35" fillId="0" borderId="8" applyNumberFormat="0" applyFill="0" applyAlignment="0" applyProtection="0"/>
    <xf numFmtId="0" fontId="35" fillId="0" borderId="9" applyNumberFormat="0" applyFill="0" applyAlignment="0" applyProtection="0"/>
    <xf numFmtId="0" fontId="35" fillId="0" borderId="9" applyNumberFormat="0" applyFill="0" applyAlignment="0" applyProtection="0"/>
    <xf numFmtId="0" fontId="35" fillId="0" borderId="8" applyNumberFormat="0" applyFill="0" applyAlignment="0" applyProtection="0"/>
    <xf numFmtId="0" fontId="35" fillId="0" borderId="8" applyNumberFormat="0" applyFill="0" applyAlignment="0" applyProtection="0"/>
    <xf numFmtId="0" fontId="35" fillId="0" borderId="8" applyNumberFormat="0" applyFill="0" applyAlignment="0" applyProtection="0"/>
    <xf numFmtId="0" fontId="35" fillId="0" borderId="8" applyNumberFormat="0" applyFill="0" applyAlignment="0" applyProtection="0"/>
    <xf numFmtId="0" fontId="35" fillId="0" borderId="9" applyNumberFormat="0" applyFill="0" applyAlignment="0" applyProtection="0"/>
    <xf numFmtId="0" fontId="35" fillId="0" borderId="8" applyNumberFormat="0" applyFill="0" applyAlignment="0" applyProtection="0"/>
    <xf numFmtId="0" fontId="35" fillId="0" borderId="8" applyNumberFormat="0" applyFill="0" applyAlignment="0" applyProtection="0"/>
    <xf numFmtId="0" fontId="35" fillId="0" borderId="8" applyNumberFormat="0" applyFill="0" applyAlignment="0" applyProtection="0"/>
    <xf numFmtId="0" fontId="35" fillId="0" borderId="9" applyNumberFormat="0" applyFill="0" applyAlignment="0" applyProtection="0"/>
    <xf numFmtId="0" fontId="19" fillId="0" borderId="0"/>
    <xf numFmtId="0" fontId="35" fillId="0" borderId="8" applyNumberFormat="0" applyFill="0" applyAlignment="0" applyProtection="0"/>
    <xf numFmtId="0" fontId="35" fillId="0" borderId="8" applyNumberFormat="0" applyFill="0" applyAlignment="0" applyProtection="0"/>
    <xf numFmtId="0" fontId="35" fillId="0" borderId="9" applyNumberFormat="0" applyFill="0" applyAlignment="0" applyProtection="0"/>
    <xf numFmtId="0" fontId="35" fillId="0" borderId="0" applyNumberFormat="0" applyFill="0" applyBorder="0" applyAlignment="0" applyProtection="0"/>
    <xf numFmtId="0" fontId="35" fillId="0" borderId="8" applyNumberFormat="0" applyFill="0" applyAlignment="0" applyProtection="0"/>
    <xf numFmtId="0" fontId="35" fillId="0" borderId="8" applyNumberFormat="0" applyFill="0" applyAlignment="0" applyProtection="0"/>
    <xf numFmtId="0" fontId="35" fillId="0" borderId="8" applyNumberFormat="0" applyFill="0" applyAlignment="0" applyProtection="0"/>
    <xf numFmtId="0" fontId="35" fillId="0" borderId="9" applyNumberFormat="0" applyFill="0" applyAlignment="0" applyProtection="0"/>
    <xf numFmtId="0" fontId="35" fillId="0" borderId="8" applyNumberFormat="0" applyFill="0" applyAlignment="0" applyProtection="0"/>
    <xf numFmtId="0" fontId="35" fillId="0" borderId="8" applyNumberFormat="0" applyFill="0" applyAlignment="0" applyProtection="0"/>
    <xf numFmtId="0" fontId="35" fillId="0" borderId="8" applyNumberFormat="0" applyFill="0" applyAlignment="0" applyProtection="0"/>
    <xf numFmtId="0" fontId="35" fillId="0" borderId="8" applyNumberFormat="0" applyFill="0" applyAlignment="0" applyProtection="0"/>
    <xf numFmtId="0" fontId="38" fillId="0" borderId="10" applyNumberFormat="0" applyFill="0" applyProtection="0">
      <alignment horizontal="center"/>
    </xf>
    <xf numFmtId="0" fontId="38" fillId="0" borderId="10" applyNumberFormat="0" applyFill="0" applyProtection="0">
      <alignment horizontal="center"/>
    </xf>
    <xf numFmtId="0" fontId="38" fillId="0" borderId="10" applyNumberFormat="0" applyFill="0" applyProtection="0">
      <alignment horizontal="center"/>
    </xf>
    <xf numFmtId="0" fontId="38" fillId="0" borderId="10" applyNumberFormat="0" applyFill="0" applyProtection="0">
      <alignment horizontal="center"/>
    </xf>
    <xf numFmtId="0" fontId="38" fillId="0" borderId="10" applyNumberFormat="0" applyFill="0" applyProtection="0">
      <alignment horizontal="center"/>
    </xf>
    <xf numFmtId="0" fontId="39" fillId="0" borderId="10" applyNumberFormat="0" applyFill="0" applyProtection="0">
      <alignment horizontal="center"/>
    </xf>
    <xf numFmtId="0" fontId="39" fillId="0" borderId="10" applyNumberFormat="0" applyFill="0" applyProtection="0">
      <alignment horizontal="center"/>
    </xf>
    <xf numFmtId="0" fontId="38" fillId="0" borderId="10" applyNumberFormat="0" applyFill="0" applyProtection="0">
      <alignment horizontal="center"/>
    </xf>
    <xf numFmtId="0" fontId="38" fillId="0" borderId="10" applyNumberFormat="0" applyFill="0" applyProtection="0">
      <alignment horizontal="center"/>
    </xf>
    <xf numFmtId="0" fontId="38" fillId="0" borderId="10" applyNumberFormat="0" applyFill="0" applyProtection="0">
      <alignment horizontal="center"/>
    </xf>
    <xf numFmtId="0" fontId="38" fillId="0" borderId="10" applyNumberFormat="0" applyFill="0" applyProtection="0">
      <alignment horizontal="center"/>
    </xf>
    <xf numFmtId="0" fontId="38" fillId="0" borderId="10" applyNumberFormat="0" applyFill="0" applyProtection="0">
      <alignment horizontal="center"/>
    </xf>
    <xf numFmtId="0" fontId="39" fillId="0" borderId="10" applyNumberFormat="0" applyFill="0" applyProtection="0">
      <alignment horizontal="center"/>
    </xf>
    <xf numFmtId="0" fontId="38" fillId="0" borderId="10" applyNumberFormat="0" applyFill="0" applyProtection="0">
      <alignment horizontal="center"/>
    </xf>
    <xf numFmtId="0" fontId="19" fillId="0" borderId="0"/>
    <xf numFmtId="0" fontId="38" fillId="0" borderId="10" applyNumberFormat="0" applyFill="0" applyProtection="0">
      <alignment horizontal="center"/>
    </xf>
    <xf numFmtId="0" fontId="38" fillId="0" borderId="10" applyNumberFormat="0" applyFill="0" applyProtection="0">
      <alignment horizontal="center"/>
    </xf>
    <xf numFmtId="0" fontId="19" fillId="0" borderId="11" applyNumberFormat="0" applyFont="0" applyFill="0" applyAlignment="0" applyProtection="0"/>
    <xf numFmtId="0" fontId="38" fillId="0" borderId="0" applyNumberFormat="0" applyFill="0" applyBorder="0" applyProtection="0">
      <alignment horizontal="left"/>
    </xf>
    <xf numFmtId="0" fontId="38" fillId="0" borderId="0" applyNumberFormat="0" applyFill="0" applyBorder="0" applyProtection="0">
      <alignment horizontal="left"/>
    </xf>
    <xf numFmtId="0" fontId="38" fillId="0" borderId="0" applyNumberFormat="0" applyFill="0" applyBorder="0" applyProtection="0">
      <alignment horizontal="left"/>
    </xf>
    <xf numFmtId="0" fontId="38" fillId="0" borderId="0" applyNumberFormat="0" applyFill="0" applyBorder="0" applyProtection="0">
      <alignment horizontal="left"/>
    </xf>
    <xf numFmtId="0" fontId="38" fillId="0" borderId="0" applyNumberFormat="0" applyFill="0" applyBorder="0" applyProtection="0">
      <alignment horizontal="left"/>
    </xf>
    <xf numFmtId="0" fontId="38" fillId="0" borderId="0" applyNumberFormat="0" applyFill="0" applyBorder="0" applyProtection="0">
      <alignment horizontal="left"/>
    </xf>
    <xf numFmtId="0" fontId="38" fillId="0" borderId="0" applyNumberFormat="0" applyFill="0" applyBorder="0" applyProtection="0">
      <alignment horizontal="left"/>
    </xf>
    <xf numFmtId="0" fontId="38" fillId="0" borderId="0" applyNumberFormat="0" applyFill="0" applyBorder="0" applyProtection="0">
      <alignment horizontal="left"/>
    </xf>
    <xf numFmtId="0" fontId="38" fillId="0" borderId="0" applyNumberFormat="0" applyFill="0" applyBorder="0" applyProtection="0">
      <alignment horizontal="left"/>
    </xf>
    <xf numFmtId="0" fontId="19" fillId="0" borderId="0"/>
    <xf numFmtId="0" fontId="38" fillId="0" borderId="0" applyNumberFormat="0" applyFill="0" applyBorder="0" applyProtection="0">
      <alignment horizontal="left"/>
    </xf>
    <xf numFmtId="0" fontId="38" fillId="0" borderId="0" applyNumberFormat="0" applyFill="0" applyBorder="0" applyProtection="0">
      <alignment horizontal="left"/>
    </xf>
    <xf numFmtId="0" fontId="40" fillId="0" borderId="0" applyNumberFormat="0" applyFill="0" applyBorder="0" applyProtection="0">
      <alignment horizontal="centerContinuous"/>
    </xf>
    <xf numFmtId="0" fontId="40" fillId="0" borderId="0" applyNumberFormat="0" applyFill="0" applyBorder="0" applyProtection="0">
      <alignment horizontal="centerContinuous"/>
    </xf>
    <xf numFmtId="0" fontId="40" fillId="0" borderId="0" applyNumberFormat="0" applyFill="0" applyBorder="0" applyProtection="0">
      <alignment horizontal="centerContinuous"/>
    </xf>
    <xf numFmtId="0" fontId="40" fillId="0" borderId="0" applyNumberFormat="0" applyFill="0" applyBorder="0" applyProtection="0">
      <alignment horizontal="centerContinuous"/>
    </xf>
    <xf numFmtId="0" fontId="40" fillId="0" borderId="0" applyNumberFormat="0" applyFill="0" applyBorder="0" applyProtection="0">
      <alignment horizontal="centerContinuous"/>
    </xf>
    <xf numFmtId="0" fontId="40" fillId="0" borderId="0" applyNumberFormat="0" applyFill="0" applyBorder="0" applyProtection="0">
      <alignment horizontal="centerContinuous"/>
    </xf>
    <xf numFmtId="0" fontId="40" fillId="0" borderId="0" applyNumberFormat="0" applyFill="0" applyBorder="0" applyProtection="0">
      <alignment horizontal="centerContinuous"/>
    </xf>
    <xf numFmtId="0" fontId="40" fillId="0" borderId="0" applyNumberFormat="0" applyFill="0" applyBorder="0" applyProtection="0">
      <alignment horizontal="centerContinuous"/>
    </xf>
    <xf numFmtId="0" fontId="41" fillId="0" borderId="0" applyNumberFormat="0" applyFill="0" applyBorder="0" applyProtection="0">
      <alignment horizontal="centerContinuous"/>
    </xf>
    <xf numFmtId="0" fontId="40" fillId="0" borderId="0" applyNumberFormat="0" applyFill="0" applyProtection="0">
      <alignment horizontal="centerContinuous"/>
    </xf>
    <xf numFmtId="0" fontId="41" fillId="0" borderId="0" applyNumberFormat="0" applyFill="0" applyBorder="0" applyProtection="0">
      <alignment horizontal="centerContinuous"/>
    </xf>
    <xf numFmtId="0" fontId="40" fillId="0" borderId="0" applyNumberFormat="0" applyFill="0" applyProtection="0">
      <alignment horizontal="centerContinuous"/>
    </xf>
    <xf numFmtId="0" fontId="40" fillId="0" borderId="0" applyNumberFormat="0" applyFill="0" applyProtection="0">
      <alignment horizontal="centerContinuous"/>
    </xf>
    <xf numFmtId="0" fontId="40" fillId="0" borderId="0" applyNumberFormat="0" applyFill="0" applyBorder="0" applyProtection="0">
      <alignment horizontal="centerContinuous"/>
    </xf>
    <xf numFmtId="0" fontId="40" fillId="0" borderId="0" applyNumberFormat="0" applyFill="0" applyBorder="0" applyProtection="0">
      <alignment horizontal="centerContinuous"/>
    </xf>
    <xf numFmtId="0" fontId="40" fillId="0" borderId="0" applyNumberFormat="0" applyFill="0" applyBorder="0" applyProtection="0">
      <alignment horizontal="centerContinuous"/>
    </xf>
    <xf numFmtId="0" fontId="40" fillId="0" borderId="0" applyNumberFormat="0" applyFill="0" applyBorder="0" applyProtection="0">
      <alignment horizontal="centerContinuous"/>
    </xf>
    <xf numFmtId="0" fontId="40" fillId="0" borderId="0" applyNumberFormat="0" applyFill="0" applyProtection="0">
      <alignment horizontal="centerContinuous"/>
    </xf>
    <xf numFmtId="0" fontId="40" fillId="0" borderId="0" applyNumberFormat="0" applyFont="0" applyFill="0" applyBorder="0" applyAlignment="0" applyProtection="0">
      <alignment horizontal="centerContinuous"/>
    </xf>
    <xf numFmtId="0" fontId="40" fillId="0" borderId="0" applyNumberFormat="0" applyFill="0" applyBorder="0" applyProtection="0">
      <alignment horizontal="centerContinuous"/>
    </xf>
    <xf numFmtId="0" fontId="41" fillId="0" borderId="0" applyNumberFormat="0" applyFill="0" applyBorder="0" applyProtection="0">
      <alignment horizontal="centerContinuous"/>
    </xf>
    <xf numFmtId="0" fontId="40" fillId="0" borderId="0" applyNumberFormat="0" applyFill="0" applyProtection="0">
      <alignment horizontal="centerContinuous"/>
    </xf>
    <xf numFmtId="0" fontId="19" fillId="0" borderId="0"/>
    <xf numFmtId="0" fontId="40" fillId="0" borderId="0" applyNumberFormat="0" applyFill="0" applyBorder="0" applyProtection="0">
      <alignment horizontal="centerContinuous"/>
    </xf>
    <xf numFmtId="0" fontId="40" fillId="0" borderId="0" applyNumberFormat="0" applyFill="0" applyBorder="0" applyProtection="0">
      <alignment horizontal="centerContinuous"/>
    </xf>
    <xf numFmtId="0" fontId="40" fillId="0" borderId="0" applyNumberFormat="0" applyFill="0" applyProtection="0">
      <alignment horizontal="centerContinuous"/>
    </xf>
    <xf numFmtId="0" fontId="40" fillId="0" borderId="0" applyNumberFormat="0" applyFill="0" applyBorder="0" applyProtection="0">
      <alignment horizontal="centerContinuous"/>
    </xf>
    <xf numFmtId="0" fontId="40" fillId="0" borderId="0" applyNumberFormat="0" applyFill="0" applyBorder="0" applyProtection="0">
      <alignment horizontal="centerContinuous"/>
    </xf>
    <xf numFmtId="0" fontId="40" fillId="0" borderId="0" applyNumberFormat="0" applyFill="0" applyBorder="0" applyProtection="0">
      <alignment horizontal="centerContinuous"/>
    </xf>
    <xf numFmtId="0" fontId="40" fillId="0" borderId="0" applyNumberFormat="0" applyFill="0" applyBorder="0" applyProtection="0">
      <alignment horizontal="centerContinuous"/>
    </xf>
    <xf numFmtId="0" fontId="40" fillId="0" borderId="0" applyNumberFormat="0" applyFill="0" applyProtection="0">
      <alignment horizontal="centerContinuous"/>
    </xf>
    <xf numFmtId="0" fontId="40" fillId="0" borderId="0" applyNumberFormat="0" applyFill="0" applyBorder="0" applyProtection="0">
      <alignment horizontal="centerContinuous"/>
    </xf>
    <xf numFmtId="0" fontId="40" fillId="0" borderId="0" applyNumberFormat="0" applyFill="0" applyBorder="0" applyProtection="0">
      <alignment horizontal="centerContinuous"/>
    </xf>
    <xf numFmtId="0" fontId="40" fillId="0" borderId="0" applyNumberFormat="0" applyFill="0" applyBorder="0" applyProtection="0">
      <alignment horizontal="centerContinuous"/>
    </xf>
    <xf numFmtId="0" fontId="40" fillId="0" borderId="0" applyNumberFormat="0" applyFill="0" applyBorder="0" applyProtection="0">
      <alignment horizontal="centerContinuous"/>
    </xf>
    <xf numFmtId="3" fontId="18" fillId="0" borderId="0"/>
    <xf numFmtId="0" fontId="19" fillId="0" borderId="0" applyFont="0" applyFill="0" applyBorder="0" applyAlignment="0" applyProtection="0"/>
    <xf numFmtId="0" fontId="4" fillId="0" borderId="0"/>
    <xf numFmtId="0" fontId="4" fillId="0" borderId="0"/>
    <xf numFmtId="167" fontId="30" fillId="0" borderId="0" applyFont="0" applyFill="0" applyBorder="0" applyAlignment="0" applyProtection="0"/>
    <xf numFmtId="165" fontId="30" fillId="0" borderId="0" applyFont="0" applyFill="0" applyBorder="0" applyAlignment="0" applyProtection="0"/>
    <xf numFmtId="0" fontId="4" fillId="0" borderId="0" applyFont="0" applyFill="0" applyBorder="0" applyAlignment="0" applyProtection="0"/>
    <xf numFmtId="0" fontId="4" fillId="0" borderId="0" applyFont="0" applyFill="0" applyBorder="0" applyAlignment="0" applyProtection="0"/>
    <xf numFmtId="0" fontId="4" fillId="0" borderId="0" applyFont="0" applyFill="0" applyBorder="0" applyAlignment="0" applyProtection="0"/>
    <xf numFmtId="0" fontId="42" fillId="0" borderId="0" applyFont="0" applyFill="0" applyBorder="0" applyAlignment="0" applyProtection="0"/>
    <xf numFmtId="0" fontId="4" fillId="0" borderId="0" applyFont="0" applyFill="0" applyBorder="0" applyAlignment="0" applyProtection="0"/>
    <xf numFmtId="0" fontId="4" fillId="0" borderId="0" applyFont="0" applyFill="0" applyBorder="0" applyAlignment="0" applyProtection="0"/>
    <xf numFmtId="0" fontId="4" fillId="0" borderId="0" applyFont="0" applyFill="0" applyBorder="0" applyAlignment="0" applyProtection="0"/>
    <xf numFmtId="0" fontId="43" fillId="0" borderId="0"/>
    <xf numFmtId="0" fontId="42" fillId="0" borderId="0" applyFont="0" applyFill="0" applyBorder="0" applyAlignment="0" applyProtection="0"/>
    <xf numFmtId="9" fontId="19" fillId="8" borderId="0"/>
    <xf numFmtId="0" fontId="19" fillId="0" borderId="0"/>
    <xf numFmtId="0" fontId="19" fillId="0" borderId="0"/>
    <xf numFmtId="0" fontId="44" fillId="0" borderId="0"/>
    <xf numFmtId="0" fontId="30" fillId="0" borderId="0"/>
    <xf numFmtId="0" fontId="30" fillId="0" borderId="0"/>
    <xf numFmtId="9" fontId="19" fillId="0" borderId="0"/>
    <xf numFmtId="0" fontId="30" fillId="0" borderId="0"/>
    <xf numFmtId="0" fontId="44" fillId="0" borderId="0">
      <alignment horizontal="right"/>
    </xf>
    <xf numFmtId="0" fontId="44" fillId="0" borderId="0"/>
    <xf numFmtId="0" fontId="30" fillId="0" borderId="0"/>
    <xf numFmtId="2" fontId="30" fillId="0" borderId="0"/>
    <xf numFmtId="10" fontId="30" fillId="0" borderId="0"/>
    <xf numFmtId="0" fontId="4" fillId="0" borderId="0" applyFont="0" applyFill="0" applyBorder="0" applyAlignment="0" applyProtection="0">
      <alignment horizontal="right"/>
    </xf>
    <xf numFmtId="0" fontId="4" fillId="0" borderId="0" applyFont="0" applyFill="0" applyBorder="0" applyAlignment="0" applyProtection="0">
      <alignment horizontal="right"/>
    </xf>
    <xf numFmtId="38" fontId="24" fillId="0" borderId="1"/>
    <xf numFmtId="0" fontId="4" fillId="0" borderId="0">
      <alignment horizontal="left"/>
    </xf>
    <xf numFmtId="0" fontId="4" fillId="0" borderId="0">
      <alignment horizontal="left"/>
    </xf>
    <xf numFmtId="0" fontId="4" fillId="0" borderId="0"/>
    <xf numFmtId="0" fontId="43" fillId="0" borderId="0" applyFont="0" applyFill="0" applyBorder="0" applyAlignment="0" applyProtection="0"/>
    <xf numFmtId="0" fontId="43" fillId="0" borderId="0" applyFont="0" applyFill="0" applyBorder="0" applyAlignment="0" applyProtection="0"/>
    <xf numFmtId="37" fontId="45" fillId="0" borderId="0">
      <alignment horizontal="center"/>
    </xf>
    <xf numFmtId="0" fontId="46" fillId="0" borderId="0">
      <alignment horizontal="center"/>
    </xf>
    <xf numFmtId="0" fontId="34" fillId="0" borderId="0" applyFont="0" applyFill="0" applyBorder="0" applyAlignment="0" applyProtection="0"/>
    <xf numFmtId="183" fontId="31" fillId="9" borderId="0" applyFont="0" applyBorder="0"/>
    <xf numFmtId="0" fontId="47" fillId="10" borderId="0"/>
    <xf numFmtId="183" fontId="31" fillId="11" borderId="0" applyNumberFormat="0" applyFont="0" applyBorder="0" applyAlignment="0" applyProtection="0"/>
    <xf numFmtId="183" fontId="48" fillId="8" borderId="0" applyNumberFormat="0" applyFont="0" applyBorder="0" applyAlignment="0" applyProtection="0"/>
    <xf numFmtId="183" fontId="4" fillId="12" borderId="0" applyBorder="0"/>
    <xf numFmtId="183" fontId="19" fillId="0" borderId="12" applyNumberFormat="0" applyBorder="0" applyAlignment="0" applyProtection="0"/>
    <xf numFmtId="184" fontId="12" fillId="0" borderId="0" applyBorder="0">
      <alignment horizontal="right"/>
    </xf>
    <xf numFmtId="184" fontId="4" fillId="0" borderId="12" applyBorder="0">
      <alignment horizontal="right"/>
    </xf>
    <xf numFmtId="185" fontId="49" fillId="0" borderId="0" applyBorder="0">
      <alignment horizontal="right"/>
    </xf>
    <xf numFmtId="185" fontId="50" fillId="0" borderId="12" applyBorder="0">
      <alignment horizontal="right"/>
    </xf>
    <xf numFmtId="183" fontId="51" fillId="0" borderId="0">
      <alignment horizontal="left" indent="1"/>
    </xf>
    <xf numFmtId="183" fontId="52" fillId="0" borderId="13" applyBorder="0"/>
    <xf numFmtId="183" fontId="31" fillId="13" borderId="12" applyNumberFormat="0" applyFont="0" applyBorder="0" applyAlignment="0" applyProtection="0"/>
    <xf numFmtId="184" fontId="27" fillId="14" borderId="13" applyBorder="0">
      <alignment horizontal="right"/>
    </xf>
    <xf numFmtId="184" fontId="27" fillId="0" borderId="13" applyBorder="0">
      <alignment horizontal="right"/>
    </xf>
    <xf numFmtId="183" fontId="18" fillId="0" borderId="12" applyNumberFormat="0" applyBorder="0" applyAlignment="0" applyProtection="0"/>
    <xf numFmtId="0" fontId="27" fillId="9" borderId="14" applyBorder="0">
      <alignment horizontal="center"/>
    </xf>
    <xf numFmtId="0" fontId="4" fillId="0" borderId="0" applyFont="0" applyFill="0" applyBorder="0" applyAlignment="0" applyProtection="0"/>
    <xf numFmtId="186" fontId="53" fillId="0" borderId="0" applyFont="0" applyFill="0" applyBorder="0" applyAlignment="0" applyProtection="0"/>
    <xf numFmtId="187" fontId="47" fillId="0" borderId="0" applyFont="0" applyFill="0" applyBorder="0" applyAlignment="0" applyProtection="0"/>
    <xf numFmtId="0" fontId="4" fillId="15" borderId="0" applyNumberFormat="0" applyFont="0" applyBorder="0" applyAlignment="0">
      <alignment horizontal="right"/>
    </xf>
    <xf numFmtId="0" fontId="4" fillId="16" borderId="15">
      <alignment horizontal="center" vertical="center"/>
    </xf>
    <xf numFmtId="0" fontId="4" fillId="15" borderId="16" applyFont="0">
      <alignment horizontal="right"/>
    </xf>
    <xf numFmtId="0" fontId="4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9" fillId="0" borderId="0" applyFill="0" applyBorder="0" applyProtection="0">
      <protection locked="0"/>
    </xf>
    <xf numFmtId="0" fontId="29" fillId="0" borderId="0">
      <alignment horizontal="center" wrapText="1"/>
      <protection locked="0"/>
    </xf>
    <xf numFmtId="0" fontId="19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19" fillId="0" borderId="17" applyNumberFormat="0" applyFill="0" applyBorder="0" applyAlignment="0" applyProtection="0"/>
    <xf numFmtId="0" fontId="54" fillId="0" borderId="17" applyNumberFormat="0" applyFill="0" applyBorder="0" applyAlignment="0" applyProtection="0"/>
    <xf numFmtId="0" fontId="55" fillId="0" borderId="17" applyNumberFormat="0" applyFill="0" applyBorder="0" applyAlignment="0" applyProtection="0"/>
    <xf numFmtId="0" fontId="4" fillId="0" borderId="17" applyNumberFormat="0" applyFill="0" applyAlignment="0" applyProtection="0"/>
    <xf numFmtId="0" fontId="56" fillId="0" borderId="0" applyNumberFormat="0" applyProtection="0"/>
    <xf numFmtId="0" fontId="57" fillId="0" borderId="18" applyNumberFormat="0" applyFill="0" applyAlignment="0" applyProtection="0"/>
    <xf numFmtId="0" fontId="34" fillId="0" borderId="6" applyNumberFormat="0" applyFont="0" applyFill="0" applyAlignment="0" applyProtection="0"/>
    <xf numFmtId="0" fontId="34" fillId="0" borderId="19" applyNumberFormat="0" applyFont="0" applyFill="0" applyAlignment="0" applyProtection="0"/>
    <xf numFmtId="0" fontId="34" fillId="0" borderId="0" applyFont="0" applyFill="0" applyBorder="0" applyAlignment="0" applyProtection="0"/>
    <xf numFmtId="0" fontId="4" fillId="0" borderId="0"/>
    <xf numFmtId="0" fontId="29" fillId="0" borderId="0" applyFont="0" applyFill="0" applyBorder="0" applyAlignment="0" applyProtection="0"/>
    <xf numFmtId="1" fontId="58" fillId="17" borderId="20" applyNumberFormat="0" applyBorder="0" applyAlignment="0">
      <alignment horizontal="center" vertical="top" wrapText="1"/>
      <protection hidden="1"/>
    </xf>
    <xf numFmtId="3" fontId="32" fillId="0" borderId="0" applyFont="0" applyBorder="0" applyAlignment="0" applyProtection="0"/>
    <xf numFmtId="188" fontId="4" fillId="0" borderId="0" applyFont="0" applyFill="0" applyBorder="0" applyAlignment="0" applyProtection="0"/>
    <xf numFmtId="0" fontId="4" fillId="0" borderId="0" applyFont="0" applyFill="0" applyBorder="0" applyAlignment="0" applyProtection="0"/>
    <xf numFmtId="0" fontId="4" fillId="0" borderId="0" applyFont="0" applyFill="0" applyBorder="0" applyAlignment="0" applyProtection="0"/>
    <xf numFmtId="0" fontId="4" fillId="0" borderId="0" applyFont="0" applyFill="0" applyBorder="0" applyAlignment="0" applyProtection="0"/>
    <xf numFmtId="0" fontId="4" fillId="0" borderId="0" applyFont="0" applyFill="0" applyBorder="0" applyAlignment="0" applyProtection="0"/>
    <xf numFmtId="0" fontId="4" fillId="0" borderId="0" applyFont="0" applyFill="0" applyBorder="0" applyAlignment="0" applyProtection="0"/>
    <xf numFmtId="0" fontId="4" fillId="0" borderId="0" applyFont="0" applyFill="0" applyBorder="0" applyAlignment="0" applyProtection="0">
      <alignment horizontal="right"/>
    </xf>
    <xf numFmtId="0" fontId="18" fillId="0" borderId="0"/>
    <xf numFmtId="0" fontId="4" fillId="18" borderId="21" applyFont="0" applyFill="0" applyBorder="0" applyAlignment="0" applyProtection="0">
      <alignment horizontal="center"/>
    </xf>
    <xf numFmtId="0" fontId="5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1" fillId="19" borderId="0" applyNumberFormat="0" applyFill="0" applyBorder="0" applyAlignment="0" applyProtection="0">
      <protection locked="0"/>
    </xf>
    <xf numFmtId="0" fontId="4" fillId="0" borderId="0" applyNumberFormat="0" applyFont="0" applyAlignment="0"/>
    <xf numFmtId="0" fontId="24" fillId="0" borderId="0" applyFont="0" applyFill="0" applyBorder="0" applyAlignment="0" applyProtection="0"/>
    <xf numFmtId="0" fontId="4" fillId="0" borderId="0" applyFont="0" applyFill="0" applyBorder="0" applyAlignment="0" applyProtection="0"/>
    <xf numFmtId="0" fontId="60" fillId="0" borderId="0" applyFont="0" applyFill="0" applyBorder="0" applyAlignment="0" applyProtection="0"/>
    <xf numFmtId="0" fontId="4" fillId="0" borderId="0" applyFont="0" applyFill="0" applyBorder="0" applyAlignment="0" applyProtection="0"/>
    <xf numFmtId="0" fontId="4" fillId="0" borderId="0" applyFont="0" applyFill="0" applyBorder="0" applyAlignment="0" applyProtection="0"/>
    <xf numFmtId="0" fontId="4" fillId="0" borderId="0" applyFont="0" applyFill="0" applyBorder="0" applyAlignment="0" applyProtection="0"/>
    <xf numFmtId="0" fontId="24" fillId="0" borderId="0" applyFont="0" applyFill="0" applyBorder="0" applyAlignment="0" applyProtection="0"/>
    <xf numFmtId="0" fontId="4" fillId="0" borderId="0" applyFont="0" applyFill="0" applyBorder="0" applyAlignment="0" applyProtection="0"/>
    <xf numFmtId="0" fontId="24" fillId="0" borderId="0" applyFont="0" applyFill="0" applyBorder="0" applyAlignment="0" applyProtection="0"/>
    <xf numFmtId="0" fontId="4" fillId="0" borderId="0" applyFont="0" applyFill="0" applyBorder="0" applyAlignment="0" applyProtection="0"/>
    <xf numFmtId="0" fontId="4" fillId="0" borderId="0" applyFont="0" applyFill="0" applyBorder="0" applyAlignment="0" applyProtection="0"/>
    <xf numFmtId="189" fontId="4" fillId="0" borderId="0" applyFont="0" applyFill="0" applyBorder="0" applyAlignment="0" applyProtection="0"/>
    <xf numFmtId="190" fontId="24" fillId="0" borderId="0" applyFont="0" applyFill="0" applyBorder="0" applyAlignment="0" applyProtection="0"/>
    <xf numFmtId="0" fontId="61" fillId="0" borderId="0" applyNumberFormat="0" applyFill="0" applyBorder="0" applyAlignment="0"/>
    <xf numFmtId="0" fontId="62" fillId="20" borderId="22" applyFill="0" applyBorder="0" applyProtection="0">
      <alignment horizontal="left"/>
    </xf>
    <xf numFmtId="0" fontId="63" fillId="0" borderId="0" applyNumberFormat="0" applyFill="0" applyBorder="0" applyAlignment="0" applyProtection="0"/>
    <xf numFmtId="1" fontId="64" fillId="10" borderId="23">
      <alignment horizontal="center"/>
    </xf>
    <xf numFmtId="0" fontId="65" fillId="0" borderId="0"/>
    <xf numFmtId="0" fontId="64" fillId="10" borderId="24">
      <alignment horizontal="center"/>
    </xf>
    <xf numFmtId="166" fontId="66" fillId="0" borderId="0">
      <alignment horizontal="right"/>
      <protection locked="0"/>
    </xf>
    <xf numFmtId="0" fontId="67" fillId="0" borderId="0" applyNumberFormat="0" applyFill="0" applyBorder="0" applyAlignment="0" applyProtection="0"/>
    <xf numFmtId="0" fontId="34" fillId="0" borderId="0" applyBorder="0" applyProtection="0"/>
    <xf numFmtId="0" fontId="19" fillId="0" borderId="0"/>
    <xf numFmtId="0" fontId="21" fillId="0" borderId="0" applyNumberFormat="0" applyFill="0" applyBorder="0" applyAlignment="0" applyProtection="0"/>
    <xf numFmtId="37" fontId="68" fillId="0" borderId="0"/>
    <xf numFmtId="0" fontId="69" fillId="0" borderId="6" applyNumberFormat="0" applyFill="0" applyAlignment="0" applyProtection="0"/>
    <xf numFmtId="0" fontId="19" fillId="19" borderId="3" applyNumberFormat="0" applyFill="0" applyBorder="0" applyAlignment="0" applyProtection="0">
      <protection locked="0"/>
    </xf>
    <xf numFmtId="164" fontId="14" fillId="0" borderId="13" applyAlignment="0" applyProtection="0"/>
    <xf numFmtId="0" fontId="29" fillId="0" borderId="7" applyNumberFormat="0" applyFont="0" applyFill="0" applyAlignment="0" applyProtection="0"/>
    <xf numFmtId="0" fontId="29" fillId="0" borderId="25" applyNumberFormat="0" applyFont="0" applyFill="0" applyAlignment="0" applyProtection="0"/>
    <xf numFmtId="0" fontId="13" fillId="0" borderId="6" applyNumberFormat="0" applyFont="0" applyFill="0" applyAlignment="0" applyProtection="0"/>
    <xf numFmtId="0" fontId="13" fillId="0" borderId="20" applyNumberFormat="0" applyFont="0" applyFill="0" applyAlignment="0" applyProtection="0"/>
    <xf numFmtId="0" fontId="13" fillId="0" borderId="3" applyNumberFormat="0" applyFont="0" applyFill="0" applyAlignment="0" applyProtection="0"/>
    <xf numFmtId="0" fontId="13" fillId="0" borderId="13" applyNumberFormat="0" applyFont="0" applyFill="0" applyAlignment="0" applyProtection="0"/>
    <xf numFmtId="37" fontId="70" fillId="0" borderId="16">
      <alignment horizontal="right" vertical="center"/>
    </xf>
    <xf numFmtId="37" fontId="68" fillId="0" borderId="16">
      <alignment horizontal="right" vertical="center"/>
    </xf>
    <xf numFmtId="191" fontId="34" fillId="0" borderId="7" applyNumberFormat="0" applyFont="0" applyFill="0" applyAlignment="0" applyProtection="0">
      <alignment horizontal="center"/>
    </xf>
    <xf numFmtId="0" fontId="19" fillId="0" borderId="26" applyFill="0" applyProtection="0">
      <alignment horizontal="right"/>
    </xf>
    <xf numFmtId="180" fontId="4" fillId="0" borderId="6" applyFill="0" applyAlignment="0" applyProtection="0">
      <alignment horizontal="center"/>
    </xf>
    <xf numFmtId="192" fontId="19" fillId="0" borderId="0" applyFont="0" applyFill="0" applyBorder="0" applyAlignment="0" applyProtection="0"/>
    <xf numFmtId="193" fontId="71" fillId="0" borderId="0" applyFill="0" applyBorder="0" applyAlignment="0" applyProtection="0"/>
    <xf numFmtId="0" fontId="4" fillId="0" borderId="0" applyFont="0" applyFill="0" applyBorder="0" applyProtection="0">
      <alignment horizontal="left"/>
    </xf>
    <xf numFmtId="0" fontId="4" fillId="0" borderId="0" applyFont="0" applyFill="0" applyBorder="0" applyProtection="0">
      <alignment horizontal="left"/>
    </xf>
    <xf numFmtId="0" fontId="4" fillId="0" borderId="0" applyFont="0" applyFill="0" applyBorder="0" applyProtection="0">
      <alignment horizontal="left"/>
    </xf>
    <xf numFmtId="0" fontId="42" fillId="0" borderId="0" applyFont="0" applyFill="0" applyBorder="0" applyAlignment="0" applyProtection="0"/>
    <xf numFmtId="0" fontId="72" fillId="0" borderId="0" applyNumberFormat="0" applyFill="0" applyBorder="0" applyAlignment="0" applyProtection="0"/>
    <xf numFmtId="0" fontId="19" fillId="0" borderId="0"/>
    <xf numFmtId="0" fontId="73" fillId="0" borderId="0"/>
    <xf numFmtId="0" fontId="21" fillId="0" borderId="7">
      <alignment horizontal="center"/>
    </xf>
    <xf numFmtId="0" fontId="19" fillId="0" borderId="0"/>
    <xf numFmtId="0" fontId="4" fillId="0" borderId="0"/>
    <xf numFmtId="0" fontId="24" fillId="0" borderId="0" applyFont="0" applyFill="0" applyBorder="0" applyAlignment="0" applyProtection="0"/>
    <xf numFmtId="0" fontId="4" fillId="0" borderId="0"/>
    <xf numFmtId="2" fontId="4" fillId="21" borderId="0" applyNumberFormat="0" applyFont="0" applyBorder="0" applyAlignment="0" applyProtection="0"/>
    <xf numFmtId="0" fontId="13" fillId="0" borderId="0" applyFill="0" applyBorder="0" applyAlignment="0"/>
    <xf numFmtId="0" fontId="19" fillId="0" borderId="0" applyFill="0" applyBorder="0" applyAlignment="0"/>
    <xf numFmtId="0" fontId="19" fillId="0" borderId="0" applyFill="0" applyBorder="0" applyAlignment="0"/>
    <xf numFmtId="0" fontId="19" fillId="0" borderId="0" applyFill="0" applyBorder="0" applyAlignment="0"/>
    <xf numFmtId="0" fontId="19" fillId="0" borderId="0" applyFill="0" applyBorder="0" applyAlignment="0"/>
    <xf numFmtId="0" fontId="74" fillId="0" borderId="0" applyFill="0" applyBorder="0" applyAlignment="0"/>
    <xf numFmtId="0" fontId="74" fillId="0" borderId="0" applyFill="0" applyBorder="0" applyAlignment="0"/>
    <xf numFmtId="0" fontId="19" fillId="0" borderId="0" applyFill="0" applyBorder="0" applyAlignment="0"/>
    <xf numFmtId="0" fontId="75" fillId="0" borderId="0"/>
    <xf numFmtId="0" fontId="4" fillId="0" borderId="0"/>
    <xf numFmtId="0" fontId="4" fillId="0" borderId="0">
      <alignment horizontal="left"/>
    </xf>
    <xf numFmtId="194" fontId="29" fillId="22" borderId="0" applyNumberFormat="0" applyFont="0" applyBorder="0" applyAlignment="0"/>
    <xf numFmtId="0" fontId="29" fillId="0" borderId="0" applyFill="0" applyBorder="0" applyProtection="0"/>
    <xf numFmtId="0" fontId="19" fillId="0" borderId="0" applyFont="0" applyFill="0" applyBorder="0" applyAlignment="0" applyProtection="0"/>
    <xf numFmtId="0" fontId="76" fillId="0" borderId="0"/>
    <xf numFmtId="0" fontId="77" fillId="20" borderId="2"/>
    <xf numFmtId="0" fontId="24" fillId="0" borderId="0"/>
    <xf numFmtId="0" fontId="69" fillId="0" borderId="6" applyNumberFormat="0" applyFont="0" applyFill="0" applyProtection="0">
      <alignment horizontal="centerContinuous" vertical="center"/>
    </xf>
    <xf numFmtId="0" fontId="52" fillId="0" borderId="0" applyFill="0" applyBorder="0" applyProtection="0">
      <alignment horizontal="center"/>
      <protection locked="0"/>
    </xf>
    <xf numFmtId="167" fontId="19" fillId="0" borderId="11" applyFont="0" applyFill="0" applyBorder="0" applyProtection="0">
      <alignment horizontal="right"/>
    </xf>
    <xf numFmtId="0" fontId="78" fillId="0" borderId="0">
      <alignment horizontal="center" wrapText="1"/>
    </xf>
    <xf numFmtId="1" fontId="79" fillId="0" borderId="0"/>
    <xf numFmtId="0" fontId="34" fillId="0" borderId="4" applyFont="0" applyFill="0" applyAlignment="0" applyProtection="0"/>
    <xf numFmtId="3" fontId="13" fillId="0" borderId="0"/>
    <xf numFmtId="0" fontId="80" fillId="0" borderId="0" applyProtection="0"/>
    <xf numFmtId="0" fontId="4" fillId="0" borderId="0" applyNumberFormat="0" applyFill="0" applyBorder="0" applyAlignment="0" applyProtection="0"/>
    <xf numFmtId="0" fontId="81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82" fillId="0" borderId="6" applyNumberFormat="0" applyFill="0" applyBorder="0" applyAlignment="0" applyProtection="0">
      <alignment horizontal="center"/>
    </xf>
    <xf numFmtId="0" fontId="83" fillId="0" borderId="6" applyNumberFormat="0" applyFill="0" applyProtection="0">
      <alignment horizontal="left" vertical="center"/>
    </xf>
    <xf numFmtId="0" fontId="19" fillId="0" borderId="0">
      <alignment horizontal="center" wrapText="1"/>
      <protection hidden="1"/>
    </xf>
    <xf numFmtId="0" fontId="17" fillId="0" borderId="6" applyNumberFormat="0" applyFill="0" applyBorder="0" applyProtection="0">
      <alignment horizontal="left" vertical="center"/>
    </xf>
    <xf numFmtId="0" fontId="17" fillId="0" borderId="6" applyNumberFormat="0" applyFill="0" applyBorder="0" applyProtection="0">
      <alignment horizontal="right" vertical="center"/>
    </xf>
    <xf numFmtId="0" fontId="84" fillId="0" borderId="0" applyNumberFormat="0" applyFill="0" applyBorder="0" applyAlignment="0" applyProtection="0">
      <alignment vertical="top"/>
      <protection locked="0"/>
    </xf>
    <xf numFmtId="0" fontId="62" fillId="23" borderId="2" applyNumberFormat="0" applyBorder="0" applyProtection="0">
      <alignment horizontal="center" vertical="center" wrapText="1"/>
    </xf>
    <xf numFmtId="0" fontId="4" fillId="0" borderId="0" applyFill="0" applyBorder="0" applyProtection="0">
      <alignment horizontal="center"/>
    </xf>
    <xf numFmtId="0" fontId="54" fillId="0" borderId="0" applyNumberFormat="0" applyFill="0" applyBorder="0" applyProtection="0">
      <alignment wrapText="1"/>
    </xf>
    <xf numFmtId="0" fontId="78" fillId="0" borderId="0" applyNumberFormat="0" applyFill="0" applyBorder="0" applyProtection="0">
      <alignment wrapText="1"/>
    </xf>
    <xf numFmtId="0" fontId="54" fillId="0" borderId="0" applyBorder="0">
      <alignment horizontal="right"/>
    </xf>
    <xf numFmtId="0" fontId="54" fillId="0" borderId="7" applyAlignment="0">
      <alignment horizontal="right"/>
    </xf>
    <xf numFmtId="0" fontId="47" fillId="0" borderId="0">
      <alignment horizontal="right"/>
    </xf>
    <xf numFmtId="0" fontId="24" fillId="0" borderId="0"/>
    <xf numFmtId="0" fontId="85" fillId="0" borderId="0"/>
    <xf numFmtId="0" fontId="85" fillId="0" borderId="0"/>
    <xf numFmtId="0" fontId="85" fillId="0" borderId="0"/>
    <xf numFmtId="0" fontId="85" fillId="0" borderId="0"/>
    <xf numFmtId="0" fontId="85" fillId="0" borderId="0"/>
    <xf numFmtId="0" fontId="85" fillId="0" borderId="0"/>
    <xf numFmtId="0" fontId="85" fillId="0" borderId="0"/>
    <xf numFmtId="0" fontId="85" fillId="0" borderId="0"/>
    <xf numFmtId="169" fontId="78" fillId="0" borderId="13"/>
    <xf numFmtId="0" fontId="74" fillId="0" borderId="0" applyFont="0" applyFill="0" applyBorder="0" applyAlignment="0" applyProtection="0"/>
    <xf numFmtId="195" fontId="21" fillId="0" borderId="0" applyFont="0" applyFill="0" applyBorder="0" applyAlignment="0" applyProtection="0"/>
    <xf numFmtId="196" fontId="78" fillId="0" borderId="13"/>
    <xf numFmtId="196" fontId="86" fillId="0" borderId="0" applyFont="0" applyFill="0" applyBorder="0" applyAlignment="0" applyProtection="0"/>
    <xf numFmtId="39" fontId="24" fillId="0" borderId="0" applyFont="0" applyFill="0" applyBorder="0" applyAlignment="0" applyProtection="0"/>
    <xf numFmtId="0" fontId="4" fillId="0" borderId="13"/>
    <xf numFmtId="38" fontId="47" fillId="0" borderId="0"/>
    <xf numFmtId="0" fontId="24" fillId="0" borderId="0" applyFont="0" applyFill="0" applyBorder="0" applyAlignment="0" applyProtection="0"/>
    <xf numFmtId="0" fontId="34" fillId="0" borderId="0" applyFont="0" applyFill="0" applyBorder="0" applyAlignment="0" applyProtection="0">
      <alignment horizontal="right"/>
    </xf>
    <xf numFmtId="0" fontId="34" fillId="0" borderId="0" applyFont="0" applyFill="0" applyBorder="0" applyAlignment="0" applyProtection="0"/>
    <xf numFmtId="171" fontId="19" fillId="0" borderId="0" applyFont="0" applyFill="0" applyBorder="0" applyAlignment="0" applyProtection="0"/>
    <xf numFmtId="197" fontId="34" fillId="0" borderId="0" applyFont="0" applyFill="0" applyBorder="0" applyAlignment="0" applyProtection="0"/>
    <xf numFmtId="198" fontId="87" fillId="0" borderId="0"/>
    <xf numFmtId="0" fontId="34" fillId="0" borderId="0" applyFont="0" applyFill="0" applyBorder="0" applyAlignment="0" applyProtection="0"/>
    <xf numFmtId="171" fontId="19" fillId="0" borderId="0" applyFont="0" applyFill="0" applyBorder="0" applyAlignment="0" applyProtection="0"/>
    <xf numFmtId="40" fontId="19" fillId="0" borderId="0" applyFont="0" applyFill="0" applyBorder="0" applyProtection="0">
      <alignment horizontal="right"/>
    </xf>
    <xf numFmtId="0" fontId="4" fillId="0" borderId="0"/>
    <xf numFmtId="199" fontId="34" fillId="0" borderId="0" applyFont="0" applyFill="0" applyBorder="0" applyAlignment="0" applyProtection="0"/>
    <xf numFmtId="0" fontId="4" fillId="0" borderId="0"/>
    <xf numFmtId="3" fontId="88" fillId="0" borderId="0" applyFont="0" applyFill="0" applyBorder="0" applyAlignment="0" applyProtection="0"/>
    <xf numFmtId="0" fontId="89" fillId="0" borderId="0"/>
    <xf numFmtId="0" fontId="85" fillId="0" borderId="0"/>
    <xf numFmtId="0" fontId="85" fillId="0" borderId="0" applyFill="0" applyBorder="0" applyAlignment="0" applyProtection="0"/>
    <xf numFmtId="0" fontId="13" fillId="0" borderId="0" applyFont="0" applyFill="0" applyBorder="0" applyAlignment="0" applyProtection="0"/>
    <xf numFmtId="0" fontId="89" fillId="0" borderId="0"/>
    <xf numFmtId="0" fontId="85" fillId="0" borderId="0"/>
    <xf numFmtId="4" fontId="90" fillId="0" borderId="2" applyFont="0" applyFill="0" applyBorder="0" applyAlignment="0" applyProtection="0"/>
    <xf numFmtId="0" fontId="4" fillId="0" borderId="0" applyFont="0" applyFill="0" applyBorder="0" applyAlignment="0" applyProtection="0"/>
    <xf numFmtId="0" fontId="19" fillId="0" borderId="0" applyFont="0" applyFill="0" applyBorder="0" applyAlignment="0" applyProtection="0"/>
    <xf numFmtId="0" fontId="29" fillId="0" borderId="0" applyFont="0" applyFill="0" applyBorder="0" applyAlignment="0" applyProtection="0"/>
    <xf numFmtId="0" fontId="24" fillId="0" borderId="0">
      <alignment horizontal="right"/>
    </xf>
    <xf numFmtId="0" fontId="91" fillId="0" borderId="0"/>
    <xf numFmtId="0" fontId="92" fillId="24" borderId="0">
      <alignment horizontal="center" vertical="center" wrapText="1"/>
    </xf>
    <xf numFmtId="0" fontId="93" fillId="0" borderId="0" applyFill="0" applyBorder="0" applyAlignment="0" applyProtection="0">
      <protection locked="0"/>
    </xf>
    <xf numFmtId="0" fontId="80" fillId="0" borderId="0" applyFill="0" applyBorder="0">
      <alignment horizontal="left"/>
    </xf>
    <xf numFmtId="0" fontId="94" fillId="0" borderId="0" applyNumberFormat="0" applyAlignment="0">
      <alignment horizontal="left"/>
    </xf>
    <xf numFmtId="0" fontId="34" fillId="0" borderId="27" applyFont="0" applyFill="0" applyBorder="0" applyAlignment="0" applyProtection="0"/>
    <xf numFmtId="0" fontId="95" fillId="0" borderId="0">
      <alignment horizontal="left"/>
    </xf>
    <xf numFmtId="0" fontId="96" fillId="0" borderId="0"/>
    <xf numFmtId="0" fontId="97" fillId="0" borderId="0">
      <alignment horizontal="left"/>
    </xf>
    <xf numFmtId="0" fontId="4" fillId="1" borderId="0" applyFont="0" applyFill="0" applyBorder="0" applyAlignment="0" applyProtection="0">
      <alignment horizontal="right"/>
    </xf>
    <xf numFmtId="0" fontId="34" fillId="0" borderId="6"/>
    <xf numFmtId="165" fontId="30" fillId="0" borderId="0" applyFont="0" applyFill="0" applyBorder="0" applyAlignment="0" applyProtection="0"/>
    <xf numFmtId="0" fontId="24" fillId="0" borderId="0" applyFill="0" applyBorder="0">
      <alignment horizontal="right"/>
      <protection locked="0"/>
    </xf>
    <xf numFmtId="0" fontId="29" fillId="0" borderId="0" applyFont="0" applyFill="0" applyBorder="0" applyAlignment="0" applyProtection="0">
      <protection locked="0"/>
    </xf>
    <xf numFmtId="0" fontId="29" fillId="0" borderId="0" applyFont="0" applyFill="0" applyBorder="0" applyAlignment="0" applyProtection="0">
      <protection locked="0"/>
    </xf>
    <xf numFmtId="0" fontId="4" fillId="0" borderId="0" applyFont="0" applyFill="0" applyBorder="0" applyAlignment="0" applyProtection="0"/>
    <xf numFmtId="0" fontId="78" fillId="0" borderId="13"/>
    <xf numFmtId="0" fontId="19" fillId="0" borderId="0" applyFont="0" applyFill="0" applyBorder="0" applyAlignment="0" applyProtection="0"/>
    <xf numFmtId="0" fontId="98" fillId="0" borderId="0" applyFont="0" applyFill="0" applyBorder="0" applyAlignment="0" applyProtection="0"/>
    <xf numFmtId="0" fontId="78" fillId="0" borderId="13"/>
    <xf numFmtId="0" fontId="99" fillId="0" borderId="0" applyFont="0" applyFill="0" applyBorder="0" applyAlignment="0" applyProtection="0"/>
    <xf numFmtId="167" fontId="100" fillId="0" borderId="28">
      <protection locked="0"/>
    </xf>
    <xf numFmtId="170" fontId="78" fillId="0" borderId="13"/>
    <xf numFmtId="167" fontId="100" fillId="0" borderId="28">
      <protection locked="0"/>
    </xf>
    <xf numFmtId="0" fontId="24" fillId="0" borderId="0" applyFont="0" applyFill="0" applyBorder="0" applyAlignment="0" applyProtection="0"/>
    <xf numFmtId="166" fontId="19" fillId="0" borderId="0"/>
    <xf numFmtId="0" fontId="34" fillId="0" borderId="0" applyFont="0" applyFill="0" applyBorder="0" applyAlignment="0" applyProtection="0">
      <alignment horizontal="right"/>
    </xf>
    <xf numFmtId="0" fontId="44" fillId="0" borderId="29" applyBorder="0"/>
    <xf numFmtId="200" fontId="34" fillId="0" borderId="0"/>
    <xf numFmtId="0" fontId="34" fillId="0" borderId="0" applyFont="0" applyFill="0" applyBorder="0" applyAlignment="0" applyProtection="0">
      <alignment horizontal="right"/>
    </xf>
    <xf numFmtId="166" fontId="78" fillId="0" borderId="13"/>
    <xf numFmtId="201" fontId="101" fillId="0" borderId="0" applyFont="0" applyFill="0" applyBorder="0" applyAlignment="0" applyProtection="0"/>
    <xf numFmtId="202" fontId="34" fillId="0" borderId="0" applyFont="0" applyFill="0" applyBorder="0" applyAlignment="0" applyProtection="0">
      <alignment horizontal="right"/>
    </xf>
    <xf numFmtId="0" fontId="101" fillId="0" borderId="0" applyFont="0" applyFill="0" applyBorder="0" applyAlignment="0" applyProtection="0"/>
    <xf numFmtId="167" fontId="20" fillId="9" borderId="5">
      <alignment horizontal="right"/>
    </xf>
    <xf numFmtId="203" fontId="34" fillId="0" borderId="0" applyFont="0" applyFill="0" applyBorder="0" applyAlignment="0" applyProtection="0"/>
    <xf numFmtId="0" fontId="88" fillId="0" borderId="0" applyFont="0" applyFill="0" applyBorder="0" applyAlignment="0" applyProtection="0"/>
    <xf numFmtId="0" fontId="13" fillId="0" borderId="0" applyFont="0" applyFill="0" applyBorder="0" applyAlignment="0" applyProtection="0"/>
    <xf numFmtId="0" fontId="86" fillId="0" borderId="0"/>
    <xf numFmtId="0" fontId="34" fillId="0" borderId="0" applyFill="0" applyBorder="0" applyProtection="0">
      <alignment vertical="center"/>
    </xf>
    <xf numFmtId="0" fontId="13" fillId="0" borderId="0" applyFont="0" applyFill="0" applyBorder="0" applyAlignment="0" applyProtection="0"/>
    <xf numFmtId="0" fontId="29" fillId="0" borderId="0" applyFont="0" applyFill="0" applyBorder="0" applyAlignment="0" applyProtection="0"/>
    <xf numFmtId="0" fontId="34" fillId="0" borderId="0"/>
    <xf numFmtId="166" fontId="44" fillId="0" borderId="0" applyFill="0" applyBorder="0">
      <alignment horizontal="right"/>
    </xf>
    <xf numFmtId="0" fontId="34" fillId="19" borderId="0" applyFont="0" applyFill="0" applyBorder="0" applyAlignment="0" applyProtection="0">
      <alignment vertical="center"/>
      <protection locked="0"/>
    </xf>
    <xf numFmtId="0" fontId="34" fillId="19" borderId="0" applyFont="0" applyFill="0" applyBorder="0" applyAlignment="0" applyProtection="0">
      <alignment vertical="center"/>
      <protection locked="0"/>
    </xf>
    <xf numFmtId="0" fontId="102" fillId="19" borderId="0" applyFont="0" applyFill="0" applyBorder="0" applyAlignment="0" applyProtection="0">
      <alignment vertical="center"/>
      <protection locked="0"/>
    </xf>
    <xf numFmtId="0" fontId="34" fillId="19" borderId="0" applyFont="0" applyFill="0" applyBorder="0" applyAlignment="0" applyProtection="0">
      <alignment vertical="center"/>
      <protection locked="0"/>
    </xf>
    <xf numFmtId="0" fontId="34" fillId="19" borderId="0" applyFont="0" applyFill="0" applyBorder="0" applyAlignment="0" applyProtection="0">
      <alignment vertical="center"/>
      <protection locked="0"/>
    </xf>
    <xf numFmtId="0" fontId="4" fillId="9" borderId="3">
      <alignment horizontal="right"/>
    </xf>
    <xf numFmtId="0" fontId="4" fillId="9" borderId="3">
      <alignment horizontal="right"/>
    </xf>
    <xf numFmtId="0" fontId="4" fillId="9" borderId="3">
      <alignment horizontal="right"/>
    </xf>
    <xf numFmtId="0" fontId="4" fillId="9" borderId="3">
      <alignment horizontal="right"/>
    </xf>
    <xf numFmtId="0" fontId="42" fillId="0" borderId="0" applyFont="0" applyFill="0" applyBorder="0" applyAlignment="0" applyProtection="0"/>
    <xf numFmtId="0" fontId="34" fillId="0" borderId="0" applyNumberFormat="0">
      <alignment horizontal="right"/>
    </xf>
    <xf numFmtId="167" fontId="103" fillId="0" borderId="0" applyNumberFormat="0" applyFill="0" applyBorder="0" applyAlignment="0"/>
    <xf numFmtId="14" fontId="66" fillId="25" borderId="30"/>
    <xf numFmtId="194" fontId="29" fillId="0" borderId="0" applyFont="0" applyFill="0" applyBorder="0" applyProtection="0">
      <alignment horizontal="right"/>
    </xf>
    <xf numFmtId="0" fontId="4" fillId="0" borderId="0" applyFont="0" applyFill="0" applyBorder="0" applyAlignment="0" applyProtection="0"/>
    <xf numFmtId="15" fontId="19" fillId="0" borderId="0" applyFont="0" applyFill="0" applyBorder="0" applyAlignment="0" applyProtection="0"/>
    <xf numFmtId="0" fontId="4" fillId="0" borderId="0" applyFont="0" applyFill="0" applyBorder="0" applyAlignment="0" applyProtection="0"/>
    <xf numFmtId="0" fontId="4" fillId="0" borderId="0" applyFont="0" applyFill="0" applyBorder="0" applyProtection="0"/>
    <xf numFmtId="0" fontId="4" fillId="0" borderId="0" applyFont="0" applyFill="0" applyBorder="0" applyAlignment="0" applyProtection="0"/>
    <xf numFmtId="0" fontId="4" fillId="0" borderId="0" applyFont="0" applyFill="0" applyBorder="0" applyProtection="0"/>
    <xf numFmtId="0" fontId="4" fillId="0" borderId="0" applyFont="0" applyFill="0" applyBorder="0" applyAlignment="0" applyProtection="0"/>
    <xf numFmtId="0" fontId="24" fillId="0" borderId="0" applyFont="0" applyFill="0" applyBorder="0" applyAlignment="0" applyProtection="0"/>
    <xf numFmtId="0" fontId="24" fillId="0" borderId="0" applyFont="0" applyFill="0" applyBorder="0" applyAlignment="0" applyProtection="0"/>
    <xf numFmtId="17" fontId="19" fillId="0" borderId="0" applyFill="0" applyBorder="0">
      <alignment horizontal="right"/>
    </xf>
    <xf numFmtId="0" fontId="4" fillId="0" borderId="0" applyFont="0" applyFill="0" applyBorder="0" applyAlignment="0" applyProtection="0"/>
    <xf numFmtId="0" fontId="4" fillId="0" borderId="0" applyFont="0" applyFill="0" applyBorder="0" applyAlignment="0" applyProtection="0"/>
    <xf numFmtId="0" fontId="4" fillId="0" borderId="0" applyFont="0" applyFill="0" applyBorder="0" applyAlignment="0" applyProtection="0"/>
    <xf numFmtId="0" fontId="34" fillId="0" borderId="0" applyFont="0" applyFill="0" applyBorder="0" applyAlignment="0" applyProtection="0"/>
    <xf numFmtId="0" fontId="34" fillId="0" borderId="0" applyFont="0" applyFill="0" applyBorder="0" applyAlignment="0" applyProtection="0"/>
    <xf numFmtId="14" fontId="19" fillId="0" borderId="0" applyFill="0" applyBorder="0" applyProtection="0">
      <alignment horizontal="center"/>
    </xf>
    <xf numFmtId="14" fontId="104" fillId="0" borderId="0" applyFill="0" applyBorder="0" applyAlignment="0"/>
    <xf numFmtId="0" fontId="34" fillId="0" borderId="0" applyFill="0" applyBorder="0" applyProtection="0">
      <alignment horizontal="center"/>
    </xf>
    <xf numFmtId="15" fontId="44" fillId="0" borderId="0" applyFont="0" applyFill="0" applyBorder="0" applyAlignment="0" applyProtection="0">
      <protection locked="0"/>
    </xf>
    <xf numFmtId="14" fontId="84" fillId="0" borderId="0">
      <alignment horizontal="right"/>
      <protection locked="0"/>
    </xf>
    <xf numFmtId="0" fontId="4" fillId="0" borderId="2" applyFont="0" applyFill="0" applyBorder="0" applyAlignment="0" applyProtection="0">
      <alignment horizontal="right"/>
    </xf>
    <xf numFmtId="14" fontId="21" fillId="0" borderId="0" applyFont="0" applyFill="0" applyBorder="0" applyAlignment="0" applyProtection="0"/>
    <xf numFmtId="14" fontId="19" fillId="0" borderId="0" applyFont="0" applyFill="0" applyBorder="0" applyAlignment="0" applyProtection="0">
      <alignment horizontal="center"/>
    </xf>
    <xf numFmtId="0" fontId="34" fillId="0" borderId="0" applyFont="0" applyFill="0" applyBorder="0" applyAlignment="0" applyProtection="0">
      <alignment horizontal="center"/>
    </xf>
    <xf numFmtId="204" fontId="34" fillId="0" borderId="13" applyFont="0" applyFill="0" applyBorder="0" applyAlignment="0" applyProtection="0">
      <alignment horizontal="center"/>
    </xf>
    <xf numFmtId="0" fontId="34" fillId="0" borderId="13" applyFont="0" applyFill="0" applyBorder="0" applyAlignment="0" applyProtection="0">
      <alignment horizontal="center"/>
    </xf>
    <xf numFmtId="0" fontId="21" fillId="0" borderId="0"/>
    <xf numFmtId="0" fontId="21" fillId="0" borderId="0"/>
    <xf numFmtId="168" fontId="105" fillId="0" borderId="0"/>
    <xf numFmtId="0" fontId="105" fillId="0" borderId="0"/>
    <xf numFmtId="14" fontId="42" fillId="0" borderId="6" applyBorder="0" applyAlignment="0">
      <alignment horizontal="center"/>
    </xf>
    <xf numFmtId="0" fontId="29" fillId="0" borderId="0"/>
    <xf numFmtId="0" fontId="18" fillId="0" borderId="0"/>
    <xf numFmtId="37" fontId="70" fillId="0" borderId="0"/>
    <xf numFmtId="0" fontId="4" fillId="0" borderId="0" applyFont="0" applyFill="0" applyBorder="0" applyAlignment="0" applyProtection="0"/>
    <xf numFmtId="171" fontId="19" fillId="0" borderId="0" applyFont="0" applyFill="0" applyBorder="0" applyAlignment="0" applyProtection="0"/>
    <xf numFmtId="0" fontId="106" fillId="0" borderId="0">
      <protection locked="0"/>
    </xf>
    <xf numFmtId="169" fontId="31" fillId="0" borderId="0"/>
    <xf numFmtId="0" fontId="29" fillId="0" borderId="0" applyProtection="0"/>
    <xf numFmtId="38" fontId="29" fillId="0" borderId="0" applyNumberFormat="0"/>
    <xf numFmtId="0" fontId="29" fillId="0" borderId="0" applyProtection="0"/>
    <xf numFmtId="167" fontId="29" fillId="0" borderId="0" applyFont="0" applyFill="0" applyBorder="0" applyAlignment="0" applyProtection="0"/>
    <xf numFmtId="0" fontId="85" fillId="0" borderId="0"/>
    <xf numFmtId="0" fontId="107" fillId="0" borderId="0" applyFill="0" applyBorder="0" applyProtection="0"/>
    <xf numFmtId="0" fontId="4" fillId="0" borderId="0"/>
    <xf numFmtId="165" fontId="29" fillId="0" borderId="0" applyFill="0" applyBorder="0" applyProtection="0"/>
    <xf numFmtId="0" fontId="44" fillId="0" borderId="0" applyBorder="0" applyProtection="0"/>
    <xf numFmtId="205" fontId="29" fillId="0" borderId="0"/>
    <xf numFmtId="205" fontId="86" fillId="0" borderId="0">
      <protection locked="0"/>
    </xf>
    <xf numFmtId="166" fontId="29" fillId="0" borderId="0"/>
    <xf numFmtId="168" fontId="24" fillId="0" borderId="0"/>
    <xf numFmtId="206" fontId="21" fillId="0" borderId="0" applyFont="0" applyFill="0" applyBorder="0" applyAlignment="0" applyProtection="0"/>
    <xf numFmtId="165" fontId="29" fillId="0" borderId="0" applyFont="0" applyFill="0" applyBorder="0" applyAlignment="0" applyProtection="0"/>
    <xf numFmtId="0" fontId="19" fillId="0" borderId="0" applyFont="0" applyFill="0" applyBorder="0" applyAlignment="0" applyProtection="0"/>
    <xf numFmtId="0" fontId="34" fillId="0" borderId="19" applyNumberFormat="0" applyFont="0" applyFill="0" applyAlignment="0" applyProtection="0"/>
    <xf numFmtId="168" fontId="108" fillId="0" borderId="0" applyFill="0" applyBorder="0" applyAlignment="0" applyProtection="0"/>
    <xf numFmtId="0" fontId="4" fillId="0" borderId="4" applyNumberFormat="0" applyFill="0" applyAlignment="0" applyProtection="0"/>
    <xf numFmtId="0" fontId="53" fillId="0" borderId="13" applyNumberFormat="0" applyBorder="0"/>
    <xf numFmtId="0" fontId="35" fillId="19" borderId="0">
      <alignment horizontal="right" vertical="center"/>
    </xf>
    <xf numFmtId="0" fontId="109" fillId="0" borderId="31" applyNumberFormat="0" applyAlignment="0" applyProtection="0">
      <alignment vertical="top"/>
    </xf>
    <xf numFmtId="0" fontId="19" fillId="0" borderId="0">
      <protection locked="0"/>
    </xf>
    <xf numFmtId="0" fontId="19" fillId="0" borderId="0">
      <protection locked="0"/>
    </xf>
    <xf numFmtId="0" fontId="74" fillId="0" borderId="0" applyFill="0" applyBorder="0" applyAlignment="0"/>
    <xf numFmtId="0" fontId="19" fillId="0" borderId="0" applyFill="0" applyBorder="0" applyAlignment="0"/>
    <xf numFmtId="0" fontId="74" fillId="0" borderId="0" applyFill="0" applyBorder="0" applyAlignment="0"/>
    <xf numFmtId="0" fontId="74" fillId="0" borderId="0" applyFill="0" applyBorder="0" applyAlignment="0"/>
    <xf numFmtId="0" fontId="19" fillId="0" borderId="0" applyFill="0" applyBorder="0" applyAlignment="0"/>
    <xf numFmtId="0" fontId="110" fillId="0" borderId="0" applyNumberFormat="0" applyAlignment="0">
      <alignment horizontal="left"/>
    </xf>
    <xf numFmtId="9" fontId="111" fillId="0" borderId="2" applyNumberFormat="0" applyBorder="0" applyAlignment="0">
      <protection locked="0"/>
    </xf>
    <xf numFmtId="0" fontId="4" fillId="26" borderId="0"/>
    <xf numFmtId="0" fontId="4" fillId="26" borderId="0"/>
    <xf numFmtId="0" fontId="4" fillId="26" borderId="0"/>
    <xf numFmtId="0" fontId="4" fillId="0" borderId="0"/>
    <xf numFmtId="0" fontId="4" fillId="26" borderId="0"/>
    <xf numFmtId="0" fontId="4" fillId="0" borderId="0" applyFont="0" applyFill="0" applyBorder="0" applyProtection="0">
      <alignment horizontal="left"/>
      <protection locked="0"/>
    </xf>
    <xf numFmtId="0" fontId="4" fillId="0" borderId="0"/>
    <xf numFmtId="0" fontId="4" fillId="0" borderId="0" applyFont="0" applyFill="0" applyBorder="0" applyProtection="0">
      <alignment horizontal="left"/>
      <protection locked="0"/>
    </xf>
    <xf numFmtId="167" fontId="112" fillId="0" borderId="0"/>
    <xf numFmtId="0" fontId="112" fillId="0" borderId="0"/>
    <xf numFmtId="0" fontId="112" fillId="0" borderId="0"/>
    <xf numFmtId="2" fontId="113" fillId="0" borderId="0"/>
    <xf numFmtId="207" fontId="15" fillId="0" borderId="0" applyFont="0" applyFill="0" applyBorder="0" applyAlignment="0" applyProtection="0"/>
    <xf numFmtId="208" fontId="114" fillId="0" borderId="0" applyFont="0" applyFill="0" applyBorder="0" applyAlignment="0" applyProtection="0"/>
    <xf numFmtId="0" fontId="4" fillId="27" borderId="13" applyNumberFormat="0" applyFont="0" applyBorder="0" applyAlignment="0" applyProtection="0">
      <alignment horizontal="right"/>
    </xf>
    <xf numFmtId="0" fontId="47" fillId="0" borderId="0" applyFill="0" applyBorder="0">
      <alignment horizontal="right" vertical="top"/>
    </xf>
    <xf numFmtId="0" fontId="106" fillId="0" borderId="0">
      <protection locked="0"/>
    </xf>
    <xf numFmtId="0" fontId="106" fillId="0" borderId="0">
      <protection locked="0"/>
    </xf>
    <xf numFmtId="0" fontId="106" fillId="0" borderId="0">
      <protection locked="0"/>
    </xf>
    <xf numFmtId="0" fontId="106" fillId="0" borderId="0">
      <protection locked="0"/>
    </xf>
    <xf numFmtId="0" fontId="106" fillId="0" borderId="0">
      <protection locked="0"/>
    </xf>
    <xf numFmtId="0" fontId="106" fillId="0" borderId="0">
      <protection locked="0"/>
    </xf>
    <xf numFmtId="0" fontId="106" fillId="0" borderId="0">
      <protection locked="0"/>
    </xf>
    <xf numFmtId="3" fontId="115" fillId="0" borderId="0" applyNumberFormat="0" applyFont="0" applyFill="0" applyBorder="0" applyAlignment="0" applyProtection="0">
      <alignment horizontal="left"/>
    </xf>
    <xf numFmtId="1" fontId="116" fillId="28" borderId="22" applyNumberFormat="0" applyBorder="0" applyAlignment="0">
      <alignment horizontal="centerContinuous" vertical="center"/>
      <protection locked="0"/>
    </xf>
    <xf numFmtId="0" fontId="106" fillId="0" borderId="0">
      <protection locked="0"/>
    </xf>
    <xf numFmtId="3" fontId="19" fillId="0" borderId="0" applyFont="0" applyFill="0" applyBorder="0" applyAlignment="0" applyProtection="0"/>
    <xf numFmtId="0" fontId="106" fillId="0" borderId="0">
      <protection locked="0"/>
    </xf>
    <xf numFmtId="2" fontId="88" fillId="0" borderId="0" applyFont="0" applyFill="0" applyBorder="0" applyAlignment="0" applyProtection="0"/>
    <xf numFmtId="1" fontId="13" fillId="0" borderId="0" applyFont="0" applyFill="0" applyBorder="0" applyAlignment="0" applyProtection="0"/>
    <xf numFmtId="0" fontId="44" fillId="0" borderId="0" applyFill="0" applyBorder="0">
      <alignment horizontal="right"/>
    </xf>
    <xf numFmtId="0" fontId="117" fillId="0" borderId="0">
      <alignment horizontal="left"/>
    </xf>
    <xf numFmtId="0" fontId="118" fillId="0" borderId="0">
      <alignment horizontal="left"/>
    </xf>
    <xf numFmtId="0" fontId="119" fillId="0" borderId="0" applyFill="0" applyBorder="0" applyProtection="0">
      <alignment horizontal="left"/>
    </xf>
    <xf numFmtId="0" fontId="119" fillId="0" borderId="0" applyNumberFormat="0" applyFill="0" applyBorder="0" applyProtection="0">
      <alignment horizontal="left"/>
    </xf>
    <xf numFmtId="0" fontId="119" fillId="0" borderId="0">
      <alignment horizontal="left"/>
    </xf>
    <xf numFmtId="0" fontId="120" fillId="0" borderId="0" applyNumberFormat="0" applyFill="0" applyBorder="0" applyAlignment="0" applyProtection="0"/>
    <xf numFmtId="1" fontId="4" fillId="0" borderId="0" applyNumberFormat="0" applyBorder="0" applyAlignment="0" applyProtection="0"/>
    <xf numFmtId="0" fontId="18" fillId="0" borderId="0"/>
    <xf numFmtId="0" fontId="4" fillId="0" borderId="0"/>
    <xf numFmtId="0" fontId="121" fillId="0" borderId="0"/>
    <xf numFmtId="209" fontId="18" fillId="0" borderId="0"/>
    <xf numFmtId="169" fontId="122" fillId="0" borderId="0"/>
    <xf numFmtId="0" fontId="4" fillId="19" borderId="2" applyFont="0" applyBorder="0" applyAlignment="0" applyProtection="0">
      <alignment vertical="top"/>
    </xf>
    <xf numFmtId="0" fontId="19" fillId="0" borderId="0" applyBorder="0" applyProtection="0"/>
    <xf numFmtId="0" fontId="24" fillId="0" borderId="0" applyFont="0" applyFill="0" applyBorder="0" applyAlignment="0" applyProtection="0"/>
    <xf numFmtId="13" fontId="19" fillId="0" borderId="32" applyFont="0" applyFill="0" applyBorder="0">
      <alignment horizontal="left"/>
    </xf>
    <xf numFmtId="0" fontId="4" fillId="0" borderId="0" applyFont="0" applyFill="0" applyBorder="0" applyAlignment="0" applyProtection="0"/>
    <xf numFmtId="0" fontId="24" fillId="0" borderId="0" applyFont="0" applyFill="0" applyBorder="0" applyAlignment="0" applyProtection="0"/>
    <xf numFmtId="210" fontId="21" fillId="0" borderId="0" applyFont="0" applyBorder="0" applyProtection="0">
      <protection locked="0"/>
    </xf>
    <xf numFmtId="0" fontId="4" fillId="0" borderId="33"/>
    <xf numFmtId="0" fontId="4" fillId="9" borderId="3">
      <alignment horizontal="right"/>
    </xf>
    <xf numFmtId="0" fontId="4" fillId="9" borderId="3">
      <alignment horizontal="right"/>
    </xf>
    <xf numFmtId="0" fontId="4" fillId="9" borderId="3">
      <alignment horizontal="right"/>
    </xf>
    <xf numFmtId="49" fontId="4" fillId="0" borderId="0" applyFill="0" applyBorder="0"/>
    <xf numFmtId="49" fontId="19" fillId="0" borderId="0"/>
    <xf numFmtId="49" fontId="19" fillId="0" borderId="0" applyFill="0" applyBorder="0">
      <alignment horizontal="right" vertical="center"/>
    </xf>
    <xf numFmtId="49" fontId="19" fillId="0" borderId="0" applyFill="0" applyBorder="0">
      <alignment horizontal="right" vertical="center"/>
    </xf>
    <xf numFmtId="0" fontId="19" fillId="0" borderId="0">
      <alignment vertical="center"/>
    </xf>
    <xf numFmtId="0" fontId="29" fillId="0" borderId="0" applyFill="0" applyBorder="0" applyAlignment="0" applyProtection="0">
      <protection locked="0"/>
    </xf>
    <xf numFmtId="0" fontId="123" fillId="0" borderId="0" applyFont="0" applyFill="0" applyBorder="0" applyProtection="0">
      <alignment horizontal="center" wrapText="1"/>
    </xf>
    <xf numFmtId="0" fontId="4" fillId="0" borderId="0" applyFont="0" applyFill="0" applyBorder="0" applyProtection="0">
      <alignment horizontal="right"/>
    </xf>
    <xf numFmtId="0" fontId="124" fillId="0" borderId="0"/>
    <xf numFmtId="37" fontId="125" fillId="0" borderId="34">
      <alignment horizontal="right" vertical="center"/>
    </xf>
    <xf numFmtId="37" fontId="28" fillId="0" borderId="35"/>
    <xf numFmtId="0" fontId="126" fillId="0" borderId="0"/>
    <xf numFmtId="38" fontId="4" fillId="9" borderId="0" applyNumberFormat="0" applyBorder="0" applyAlignment="0" applyProtection="0"/>
    <xf numFmtId="0" fontId="4" fillId="1" borderId="0" applyFont="0" applyFill="0" applyBorder="0" applyAlignment="0" applyProtection="0">
      <alignment horizontal="right"/>
    </xf>
    <xf numFmtId="0" fontId="24" fillId="0" borderId="20" applyFill="0" applyBorder="0" applyProtection="0">
      <alignment horizontal="left"/>
    </xf>
    <xf numFmtId="0" fontId="34" fillId="0" borderId="0" applyNumberFormat="0" applyAlignment="0"/>
    <xf numFmtId="0" fontId="4" fillId="0" borderId="0"/>
    <xf numFmtId="10" fontId="29" fillId="19" borderId="0" applyFill="0" applyAlignment="0">
      <alignment horizontal="right"/>
    </xf>
    <xf numFmtId="0" fontId="34" fillId="0" borderId="0" applyFill="0" applyBorder="0" applyAlignment="0" applyProtection="0"/>
    <xf numFmtId="0" fontId="34" fillId="0" borderId="0" applyAlignment="0">
      <alignment horizontal="left"/>
      <protection locked="0"/>
    </xf>
    <xf numFmtId="0" fontId="127" fillId="19" borderId="0" applyAlignment="0">
      <alignment horizontal="right"/>
    </xf>
    <xf numFmtId="0" fontId="4" fillId="10" borderId="23" applyNumberFormat="0" applyAlignment="0" applyProtection="0"/>
    <xf numFmtId="0" fontId="28" fillId="0" borderId="0" applyBorder="0">
      <alignment horizontal="left"/>
    </xf>
    <xf numFmtId="49" fontId="120" fillId="0" borderId="0">
      <alignment horizontal="right"/>
    </xf>
    <xf numFmtId="49" fontId="128" fillId="0" borderId="0">
      <alignment horizontal="right"/>
    </xf>
    <xf numFmtId="0" fontId="19" fillId="0" borderId="0">
      <alignment vertical="center"/>
    </xf>
    <xf numFmtId="0" fontId="19" fillId="8" borderId="2" applyNumberFormat="0" applyFont="0" applyBorder="0" applyAlignment="0" applyProtection="0"/>
    <xf numFmtId="0" fontId="19" fillId="29" borderId="2" applyNumberFormat="0" applyFont="0" applyAlignment="0"/>
    <xf numFmtId="0" fontId="34" fillId="0" borderId="0" applyFont="0" applyFill="0" applyBorder="0" applyAlignment="0" applyProtection="0">
      <alignment horizontal="right"/>
    </xf>
    <xf numFmtId="0" fontId="129" fillId="8" borderId="0" applyNumberFormat="0" applyFont="0" applyAlignment="0"/>
    <xf numFmtId="0" fontId="130" fillId="30" borderId="0" applyNumberFormat="0" applyBorder="0" applyProtection="0">
      <alignment horizontal="left" vertical="center"/>
    </xf>
    <xf numFmtId="0" fontId="131" fillId="0" borderId="0">
      <alignment horizontal="right"/>
    </xf>
    <xf numFmtId="0" fontId="132" fillId="1" borderId="0" applyNumberFormat="0" applyBorder="0" applyProtection="0">
      <alignment horizontal="left" vertical="center"/>
    </xf>
    <xf numFmtId="0" fontId="19" fillId="0" borderId="0" applyProtection="0">
      <alignment horizontal="right"/>
    </xf>
    <xf numFmtId="0" fontId="133" fillId="0" borderId="0">
      <alignment horizontal="left"/>
    </xf>
    <xf numFmtId="0" fontId="133" fillId="0" borderId="0">
      <alignment horizontal="left"/>
    </xf>
    <xf numFmtId="0" fontId="78" fillId="0" borderId="36" applyNumberFormat="0" applyAlignment="0" applyProtection="0">
      <alignment horizontal="left" vertical="center"/>
    </xf>
    <xf numFmtId="0" fontId="78" fillId="0" borderId="16">
      <alignment horizontal="left" vertical="center"/>
    </xf>
    <xf numFmtId="0" fontId="134" fillId="0" borderId="0">
      <alignment horizontal="center"/>
    </xf>
    <xf numFmtId="0" fontId="135" fillId="0" borderId="0"/>
    <xf numFmtId="0" fontId="19" fillId="0" borderId="0">
      <alignment horizontal="center"/>
    </xf>
    <xf numFmtId="0" fontId="136" fillId="0" borderId="0">
      <alignment horizontal="left"/>
    </xf>
    <xf numFmtId="0" fontId="137" fillId="0" borderId="20">
      <alignment horizontal="left" vertical="top"/>
    </xf>
    <xf numFmtId="0" fontId="17" fillId="0" borderId="0">
      <alignment horizontal="left"/>
    </xf>
    <xf numFmtId="0" fontId="4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211" fontId="29" fillId="0" borderId="0">
      <alignment horizontal="left"/>
    </xf>
    <xf numFmtId="0" fontId="19" fillId="0" borderId="0"/>
    <xf numFmtId="212" fontId="15" fillId="0" borderId="0" applyFont="0" applyFill="0" applyBorder="0" applyAlignment="0" applyProtection="0"/>
    <xf numFmtId="213" fontId="34" fillId="0" borderId="0" applyFont="0" applyFill="0" applyBorder="0" applyProtection="0">
      <alignment horizontal="right"/>
    </xf>
    <xf numFmtId="214" fontId="98" fillId="0" borderId="0" applyFont="0" applyFill="0" applyBorder="0" applyAlignment="0" applyProtection="0"/>
    <xf numFmtId="215" fontId="98" fillId="0" borderId="0" applyFont="0" applyFill="0" applyBorder="0" applyAlignment="0" applyProtection="0"/>
    <xf numFmtId="0" fontId="34" fillId="0" borderId="0" applyFont="0" applyFill="0" applyBorder="0" applyAlignment="0" applyProtection="0">
      <alignment horizontal="right"/>
    </xf>
    <xf numFmtId="211" fontId="138" fillId="0" borderId="0"/>
    <xf numFmtId="0" fontId="19" fillId="0" borderId="0"/>
    <xf numFmtId="0" fontId="19" fillId="0" borderId="0" applyFill="0" applyBorder="0" applyProtection="0">
      <protection locked="0"/>
    </xf>
    <xf numFmtId="0" fontId="1" fillId="0" borderId="0"/>
    <xf numFmtId="0" fontId="19" fillId="0" borderId="0"/>
    <xf numFmtId="183" fontId="4" fillId="0" borderId="0"/>
    <xf numFmtId="183" fontId="12" fillId="0" borderId="0">
      <protection locked="0"/>
    </xf>
    <xf numFmtId="216" fontId="4" fillId="0" borderId="0" applyFill="0" applyBorder="0" applyProtection="0">
      <alignment horizontal="right" wrapText="1"/>
    </xf>
    <xf numFmtId="211" fontId="29" fillId="0" borderId="0"/>
    <xf numFmtId="217" fontId="4" fillId="0" borderId="0" applyFill="0" applyBorder="0" applyProtection="0">
      <alignment horizontal="right" wrapText="1"/>
    </xf>
    <xf numFmtId="0" fontId="4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81" fillId="0" borderId="0" applyNumberFormat="0" applyFill="0" applyBorder="0" applyAlignment="0" applyProtection="0"/>
    <xf numFmtId="0" fontId="54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139" fillId="0" borderId="0" applyFill="0" applyBorder="0" applyProtection="0">
      <alignment horizontal="left"/>
    </xf>
    <xf numFmtId="0" fontId="140" fillId="0" borderId="0" applyFill="0" applyBorder="0" applyProtection="0">
      <alignment horizontal="left"/>
    </xf>
    <xf numFmtId="1" fontId="19" fillId="0" borderId="0" applyProtection="0">
      <alignment horizontal="right" vertical="center"/>
    </xf>
    <xf numFmtId="218" fontId="19" fillId="0" borderId="0" applyFont="0" applyFill="0" applyBorder="0" applyAlignment="0" applyProtection="0"/>
    <xf numFmtId="219" fontId="47" fillId="0" borderId="0" applyFont="0" applyFill="0" applyBorder="0" applyAlignment="0" applyProtection="0">
      <alignment horizontal="right"/>
    </xf>
    <xf numFmtId="9" fontId="42" fillId="0" borderId="0" applyFont="0" applyFill="0" applyBorder="0" applyAlignment="0" applyProtection="0"/>
    <xf numFmtId="185" fontId="42" fillId="0" borderId="0" applyFont="0" applyFill="0" applyBorder="0" applyAlignment="0" applyProtection="0"/>
    <xf numFmtId="9" fontId="19" fillId="0" borderId="0" applyFont="0" applyFill="0" applyBorder="0" applyAlignment="0" applyProtection="0"/>
    <xf numFmtId="220" fontId="29" fillId="0" borderId="0" applyFont="0" applyFill="0" applyBorder="0" applyProtection="0">
      <alignment horizontal="right"/>
    </xf>
    <xf numFmtId="185" fontId="29" fillId="0" borderId="0"/>
    <xf numFmtId="185" fontId="86" fillId="0" borderId="0"/>
    <xf numFmtId="10" fontId="29" fillId="0" borderId="0"/>
    <xf numFmtId="10" fontId="86" fillId="0" borderId="0">
      <protection locked="0"/>
    </xf>
    <xf numFmtId="0" fontId="24" fillId="25" borderId="0" applyNumberFormat="0" applyFont="0" applyBorder="0" applyAlignment="0" applyProtection="0"/>
    <xf numFmtId="168" fontId="141" fillId="0" borderId="0" applyFill="0" applyBorder="0" applyAlignment="0" applyProtection="0"/>
    <xf numFmtId="0" fontId="23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>
      <alignment vertical="top"/>
    </xf>
    <xf numFmtId="0" fontId="142" fillId="0" borderId="0" applyNumberFormat="0" applyFill="0" applyBorder="0" applyProtection="0"/>
    <xf numFmtId="0" fontId="143" fillId="31" borderId="0" applyNumberFormat="0" applyBorder="0" applyProtection="0"/>
    <xf numFmtId="0" fontId="144" fillId="25" borderId="0" applyNumberFormat="0" applyBorder="0" applyProtection="0"/>
    <xf numFmtId="0" fontId="11" fillId="0" borderId="0" applyNumberFormat="0" applyFill="0" applyBorder="0" applyProtection="0"/>
    <xf numFmtId="0" fontId="144" fillId="0" borderId="0" applyNumberFormat="0" applyFill="0" applyBorder="0" applyProtection="0"/>
    <xf numFmtId="0" fontId="145" fillId="0" borderId="0" applyNumberFormat="0" applyFill="0" applyBorder="0" applyProtection="0"/>
    <xf numFmtId="0" fontId="144" fillId="0" borderId="0" applyNumberFormat="0" applyFill="0" applyBorder="0" applyProtection="0">
      <alignment wrapText="1"/>
    </xf>
    <xf numFmtId="0" fontId="146" fillId="0" borderId="0" applyNumberFormat="0" applyFill="0" applyBorder="0" applyProtection="0"/>
    <xf numFmtId="172" fontId="4" fillId="0" borderId="0" applyFill="0" applyBorder="0" applyProtection="0">
      <alignment horizontal="right" wrapText="1"/>
    </xf>
    <xf numFmtId="0" fontId="19" fillId="0" borderId="0">
      <alignment vertical="top"/>
    </xf>
    <xf numFmtId="4" fontId="4" fillId="0" borderId="0" applyFill="0" applyBorder="0" applyProtection="0">
      <alignment wrapText="1"/>
    </xf>
    <xf numFmtId="0" fontId="4" fillId="0" borderId="0" applyNumberFormat="0" applyFill="0" applyBorder="0" applyProtection="0">
      <alignment horizontal="left" vertical="top" wrapText="1"/>
    </xf>
    <xf numFmtId="0" fontId="54" fillId="0" borderId="0" applyNumberFormat="0" applyFill="0" applyBorder="0" applyProtection="0">
      <alignment horizontal="left" vertical="top" wrapText="1"/>
    </xf>
    <xf numFmtId="221" fontId="147" fillId="0" borderId="0" applyFill="0" applyBorder="0" applyProtection="0">
      <alignment horizontal="center" wrapText="1"/>
    </xf>
    <xf numFmtId="222" fontId="147" fillId="0" borderId="0" applyFill="0" applyBorder="0" applyProtection="0">
      <alignment horizontal="right" wrapText="1"/>
    </xf>
    <xf numFmtId="223" fontId="147" fillId="0" borderId="0" applyFill="0" applyBorder="0" applyProtection="0">
      <alignment horizontal="right" wrapText="1"/>
    </xf>
    <xf numFmtId="224" fontId="147" fillId="0" borderId="0" applyFill="0" applyBorder="0" applyProtection="0">
      <alignment horizontal="right" wrapText="1"/>
    </xf>
    <xf numFmtId="37" fontId="147" fillId="0" borderId="0" applyFill="0" applyBorder="0" applyProtection="0">
      <alignment horizontal="center" wrapText="1"/>
    </xf>
    <xf numFmtId="225" fontId="147" fillId="0" borderId="0" applyFill="0" applyBorder="0" applyProtection="0">
      <alignment horizontal="right"/>
    </xf>
    <xf numFmtId="226" fontId="147" fillId="0" borderId="0" applyFill="0" applyBorder="0" applyProtection="0">
      <alignment horizontal="right"/>
    </xf>
    <xf numFmtId="0" fontId="19" fillId="0" borderId="0">
      <alignment vertical="top"/>
    </xf>
    <xf numFmtId="227" fontId="147" fillId="0" borderId="0" applyFill="0" applyBorder="0" applyProtection="0">
      <alignment horizontal="right"/>
    </xf>
    <xf numFmtId="4" fontId="147" fillId="0" borderId="0" applyFill="0" applyBorder="0" applyProtection="0">
      <alignment wrapText="1"/>
    </xf>
    <xf numFmtId="0" fontId="54" fillId="0" borderId="37" applyNumberFormat="0" applyFill="0" applyProtection="0">
      <alignment wrapText="1"/>
    </xf>
    <xf numFmtId="0" fontId="28" fillId="0" borderId="0" applyNumberFormat="0" applyFill="0" applyBorder="0" applyProtection="0">
      <alignment wrapText="1"/>
    </xf>
    <xf numFmtId="0" fontId="54" fillId="0" borderId="37" applyNumberFormat="0" applyFill="0" applyProtection="0">
      <alignment horizontal="center" wrapText="1"/>
    </xf>
    <xf numFmtId="228" fontId="54" fillId="0" borderId="0" applyFill="0" applyBorder="0" applyProtection="0">
      <alignment horizontal="center" wrapText="1"/>
    </xf>
    <xf numFmtId="0" fontId="78" fillId="0" borderId="0" applyNumberFormat="0" applyFill="0" applyBorder="0" applyProtection="0">
      <alignment horizontal="justify" wrapText="1"/>
    </xf>
    <xf numFmtId="0" fontId="54" fillId="0" borderId="0" applyNumberFormat="0" applyFill="0" applyBorder="0" applyProtection="0">
      <alignment horizontal="centerContinuous" wrapText="1"/>
    </xf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4" fillId="0" borderId="0" applyNumberFormat="0" applyFill="0" applyBorder="0" applyAlignment="0" applyProtection="0"/>
    <xf numFmtId="0" fontId="19" fillId="0" borderId="0">
      <alignment vertical="top"/>
    </xf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19" fillId="0" borderId="0">
      <alignment vertical="top"/>
    </xf>
    <xf numFmtId="0" fontId="4" fillId="0" borderId="0" applyNumberFormat="0" applyFill="0" applyBorder="0" applyAlignment="0" applyProtection="0"/>
    <xf numFmtId="0" fontId="27" fillId="0" borderId="0" applyFill="0" applyBorder="0" applyProtection="0">
      <alignment horizontal="center" vertical="center"/>
    </xf>
    <xf numFmtId="0" fontId="19" fillId="0" borderId="0" applyBorder="0" applyProtection="0">
      <alignment vertical="center"/>
    </xf>
    <xf numFmtId="0" fontId="19" fillId="0" borderId="6" applyBorder="0" applyProtection="0">
      <alignment horizontal="right" vertical="center"/>
    </xf>
    <xf numFmtId="0" fontId="19" fillId="32" borderId="0" applyBorder="0" applyProtection="0">
      <alignment horizontal="centerContinuous" vertical="center"/>
    </xf>
    <xf numFmtId="0" fontId="19" fillId="33" borderId="6" applyBorder="0" applyProtection="0">
      <alignment horizontal="centerContinuous" vertical="center"/>
    </xf>
    <xf numFmtId="0" fontId="27" fillId="0" borderId="0" applyFill="0" applyBorder="0" applyProtection="0"/>
    <xf numFmtId="0" fontId="28" fillId="0" borderId="0" applyFill="0" applyBorder="0" applyProtection="0">
      <alignment horizontal="left"/>
    </xf>
    <xf numFmtId="0" fontId="127" fillId="0" borderId="0" applyFill="0" applyBorder="0" applyProtection="0">
      <alignment horizontal="left" vertical="top"/>
    </xf>
    <xf numFmtId="185" fontId="19" fillId="0" borderId="0" applyNumberFormat="0" applyFill="0" applyBorder="0">
      <alignment horizontal="left"/>
    </xf>
    <xf numFmtId="185" fontId="19" fillId="0" borderId="0" applyNumberFormat="0" applyFill="0" applyBorder="0">
      <alignment horizontal="right"/>
    </xf>
    <xf numFmtId="185" fontId="19" fillId="0" borderId="0" applyNumberFormat="0" applyFill="0" applyBorder="0">
      <alignment horizontal="right"/>
    </xf>
    <xf numFmtId="0" fontId="19" fillId="19" borderId="38" applyNumberFormat="0" applyFont="0" applyFill="0" applyAlignment="0" applyProtection="0">
      <protection locked="0"/>
    </xf>
    <xf numFmtId="0" fontId="19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7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>
      <alignment horizontal="center"/>
    </xf>
    <xf numFmtId="211" fontId="19" fillId="0" borderId="0">
      <alignment horizontal="centerContinuous"/>
    </xf>
    <xf numFmtId="211" fontId="19" fillId="0" borderId="39">
      <alignment horizontal="centerContinuous"/>
    </xf>
    <xf numFmtId="211" fontId="19" fillId="0" borderId="0">
      <alignment horizontal="centerContinuous"/>
      <protection locked="0"/>
    </xf>
    <xf numFmtId="211" fontId="19" fillId="0" borderId="0">
      <alignment horizontal="left"/>
    </xf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194" fontId="19" fillId="0" borderId="0">
      <alignment horizontal="left"/>
      <protection locked="0"/>
    </xf>
    <xf numFmtId="229" fontId="66" fillId="0" borderId="0" applyFont="0" applyFill="0" applyBorder="0" applyAlignment="0" applyProtection="0"/>
    <xf numFmtId="230" fontId="66" fillId="0" borderId="0" applyFont="0" applyFill="0" applyBorder="0" applyAlignment="0" applyProtection="0"/>
    <xf numFmtId="194" fontId="29" fillId="0" borderId="0" applyFont="0" applyFill="0" applyBorder="0" applyProtection="0">
      <alignment horizontal="right"/>
    </xf>
    <xf numFmtId="185" fontId="19" fillId="0" borderId="0" applyFont="0" applyFill="0" applyBorder="0" applyAlignment="0" applyProtection="0"/>
    <xf numFmtId="0" fontId="35" fillId="0" borderId="47" applyNumberFormat="0" applyFill="0" applyAlignment="0" applyProtection="0"/>
    <xf numFmtId="0" fontId="35" fillId="0" borderId="47" applyNumberFormat="0" applyFill="0" applyAlignment="0" applyProtection="0"/>
    <xf numFmtId="0" fontId="35" fillId="0" borderId="47" applyNumberFormat="0" applyFill="0" applyAlignment="0" applyProtection="0"/>
    <xf numFmtId="0" fontId="35" fillId="0" borderId="47" applyNumberFormat="0" applyFill="0" applyAlignment="0" applyProtection="0"/>
    <xf numFmtId="0" fontId="35" fillId="0" borderId="47" applyNumberFormat="0" applyFill="0" applyAlignment="0" applyProtection="0"/>
    <xf numFmtId="0" fontId="35" fillId="0" borderId="47" applyNumberFormat="0" applyFill="0" applyAlignment="0" applyProtection="0"/>
    <xf numFmtId="0" fontId="35" fillId="0" borderId="47" applyNumberFormat="0" applyFill="0" applyAlignment="0" applyProtection="0"/>
    <xf numFmtId="38" fontId="24" fillId="0" borderId="40"/>
    <xf numFmtId="0" fontId="19" fillId="0" borderId="42" applyNumberFormat="0" applyFill="0" applyBorder="0" applyAlignment="0" applyProtection="0"/>
    <xf numFmtId="0" fontId="54" fillId="0" borderId="42" applyNumberFormat="0" applyFill="0" applyBorder="0" applyAlignment="0" applyProtection="0"/>
    <xf numFmtId="0" fontId="55" fillId="0" borderId="42" applyNumberFormat="0" applyFill="0" applyBorder="0" applyAlignment="0" applyProtection="0"/>
    <xf numFmtId="0" fontId="4" fillId="0" borderId="42" applyNumberFormat="0" applyFill="0" applyAlignment="0" applyProtection="0"/>
    <xf numFmtId="0" fontId="19" fillId="0" borderId="43" applyFill="0" applyProtection="0">
      <alignment horizontal="right"/>
    </xf>
    <xf numFmtId="0" fontId="77" fillId="20" borderId="41"/>
    <xf numFmtId="0" fontId="62" fillId="23" borderId="41" applyNumberFormat="0" applyBorder="0" applyProtection="0">
      <alignment horizontal="center" vertical="center" wrapText="1"/>
    </xf>
    <xf numFmtId="4" fontId="90" fillId="0" borderId="41" applyFont="0" applyFill="0" applyBorder="0" applyAlignment="0" applyProtection="0"/>
    <xf numFmtId="167" fontId="100" fillId="0" borderId="44">
      <protection locked="0"/>
    </xf>
    <xf numFmtId="0" fontId="4" fillId="0" borderId="41" applyFont="0" applyFill="0" applyBorder="0" applyAlignment="0" applyProtection="0">
      <alignment horizontal="right"/>
    </xf>
    <xf numFmtId="9" fontId="111" fillId="0" borderId="41" applyNumberFormat="0" applyBorder="0" applyAlignment="0">
      <protection locked="0"/>
    </xf>
    <xf numFmtId="0" fontId="4" fillId="19" borderId="41" applyFont="0" applyBorder="0" applyAlignment="0" applyProtection="0">
      <alignment vertical="top"/>
    </xf>
    <xf numFmtId="37" fontId="28" fillId="0" borderId="45"/>
    <xf numFmtId="0" fontId="19" fillId="8" borderId="41" applyNumberFormat="0" applyFont="0" applyBorder="0" applyAlignment="0" applyProtection="0"/>
    <xf numFmtId="0" fontId="19" fillId="29" borderId="41" applyNumberFormat="0" applyFont="0" applyAlignment="0"/>
    <xf numFmtId="211" fontId="19" fillId="0" borderId="46">
      <alignment horizontal="centerContinuous"/>
    </xf>
    <xf numFmtId="9" fontId="1" fillId="0" borderId="0" applyFont="0" applyFill="0" applyBorder="0" applyAlignment="0" applyProtection="0"/>
    <xf numFmtId="0" fontId="150" fillId="0" borderId="48" applyNumberFormat="0" applyFill="0" applyAlignment="0" applyProtection="0"/>
  </cellStyleXfs>
  <cellXfs count="51">
    <xf numFmtId="0" fontId="0" fillId="0" borderId="0" xfId="0"/>
    <xf numFmtId="0" fontId="6" fillId="0" borderId="2" xfId="0" applyFont="1" applyBorder="1" applyAlignment="1">
      <alignment horizontal="center" vertical="center"/>
    </xf>
    <xf numFmtId="0" fontId="2" fillId="0" borderId="0" xfId="0" applyFont="1" applyAlignment="1">
      <alignment vertical="center"/>
    </xf>
    <xf numFmtId="0" fontId="3" fillId="2" borderId="0" xfId="0" applyFont="1" applyFill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5" fillId="0" borderId="0" xfId="0" applyFont="1" applyAlignment="1">
      <alignment vertical="center"/>
    </xf>
    <xf numFmtId="0" fontId="5" fillId="0" borderId="0" xfId="0" applyFont="1" applyFill="1" applyBorder="1" applyAlignment="1">
      <alignment horizontal="center" vertical="center"/>
    </xf>
    <xf numFmtId="0" fontId="2" fillId="0" borderId="0" xfId="0" applyFont="1" applyFill="1" applyBorder="1" applyAlignment="1">
      <alignment horizontal="center" vertical="center"/>
    </xf>
    <xf numFmtId="0" fontId="11" fillId="0" borderId="40" xfId="0" applyFont="1" applyFill="1" applyBorder="1" applyAlignment="1" applyProtection="1">
      <alignment horizontal="left" vertical="center" indent="2"/>
    </xf>
    <xf numFmtId="0" fontId="11" fillId="0" borderId="40" xfId="0" applyFont="1" applyFill="1" applyBorder="1" applyAlignment="1" applyProtection="1">
      <alignment horizontal="left" vertical="center" indent="1"/>
    </xf>
    <xf numFmtId="0" fontId="10" fillId="0" borderId="0" xfId="0" applyFont="1" applyFill="1" applyBorder="1" applyAlignment="1" applyProtection="1">
      <alignment horizontal="center" vertical="center"/>
    </xf>
    <xf numFmtId="0" fontId="4" fillId="0" borderId="0" xfId="0" applyFont="1" applyFill="1" applyBorder="1" applyAlignment="1" applyProtection="1">
      <alignment horizontal="right" vertical="center"/>
    </xf>
    <xf numFmtId="0" fontId="7" fillId="0" borderId="0" xfId="0" applyFont="1" applyFill="1" applyAlignment="1" applyProtection="1">
      <alignment horizontal="center" vertical="center"/>
    </xf>
    <xf numFmtId="0" fontId="2" fillId="0" borderId="0" xfId="0" applyFont="1" applyAlignment="1">
      <alignment horizontal="center" vertical="center"/>
    </xf>
    <xf numFmtId="14" fontId="5" fillId="0" borderId="0" xfId="0" applyNumberFormat="1" applyFont="1" applyAlignment="1">
      <alignment horizontal="center" vertical="center"/>
    </xf>
    <xf numFmtId="231" fontId="2" fillId="0" borderId="0" xfId="0" applyNumberFormat="1" applyFont="1" applyAlignment="1">
      <alignment horizontal="center" vertical="center"/>
    </xf>
    <xf numFmtId="231" fontId="2" fillId="0" borderId="0" xfId="0" applyNumberFormat="1" applyFont="1" applyAlignment="1">
      <alignment vertical="center"/>
    </xf>
    <xf numFmtId="232" fontId="2" fillId="0" borderId="0" xfId="0" applyNumberFormat="1" applyFont="1" applyAlignment="1">
      <alignment vertical="center"/>
    </xf>
    <xf numFmtId="232" fontId="2" fillId="0" borderId="0" xfId="0" applyNumberFormat="1" applyFont="1" applyAlignment="1">
      <alignment horizontal="center" vertical="center"/>
    </xf>
    <xf numFmtId="0" fontId="6" fillId="0" borderId="0" xfId="0" applyFont="1" applyBorder="1" applyAlignment="1">
      <alignment horizontal="center" vertical="center"/>
    </xf>
    <xf numFmtId="0" fontId="3" fillId="0" borderId="0" xfId="0" applyFont="1" applyFill="1" applyAlignment="1">
      <alignment horizontal="center" vertical="center"/>
    </xf>
    <xf numFmtId="0" fontId="4" fillId="0" borderId="0" xfId="0" applyFont="1" applyFill="1" applyBorder="1" applyAlignment="1" applyProtection="1">
      <alignment horizontal="left" vertical="center"/>
    </xf>
    <xf numFmtId="0" fontId="54" fillId="0" borderId="0" xfId="0" applyFont="1" applyAlignment="1">
      <alignment horizontal="center" vertical="center"/>
    </xf>
    <xf numFmtId="232" fontId="2" fillId="0" borderId="0" xfId="0" applyNumberFormat="1" applyFont="1" applyFill="1" applyAlignment="1">
      <alignment horizontal="right" vertical="center"/>
    </xf>
    <xf numFmtId="0" fontId="2" fillId="0" borderId="0" xfId="0" applyNumberFormat="1" applyFont="1" applyAlignment="1">
      <alignment horizontal="center" vertical="center"/>
    </xf>
    <xf numFmtId="0" fontId="4" fillId="0" borderId="0" xfId="0" applyNumberFormat="1" applyFont="1" applyFill="1" applyBorder="1" applyAlignment="1" applyProtection="1">
      <alignment horizontal="center" vertical="center"/>
    </xf>
    <xf numFmtId="0" fontId="7" fillId="34" borderId="0" xfId="0" applyFont="1" applyFill="1" applyAlignment="1">
      <alignment horizontal="center" vertical="center"/>
    </xf>
    <xf numFmtId="0" fontId="10" fillId="0" borderId="0" xfId="0" applyNumberFormat="1" applyFont="1" applyFill="1" applyAlignment="1" applyProtection="1">
      <alignment horizontal="center" vertical="center"/>
    </xf>
    <xf numFmtId="0" fontId="7" fillId="0" borderId="0" xfId="0" applyNumberFormat="1" applyFont="1" applyFill="1" applyAlignment="1" applyProtection="1">
      <alignment horizontal="center" vertical="center"/>
    </xf>
    <xf numFmtId="0" fontId="10" fillId="0" borderId="0" xfId="0" applyNumberFormat="1" applyFont="1" applyFill="1" applyAlignment="1">
      <alignment horizontal="center"/>
    </xf>
    <xf numFmtId="0" fontId="10" fillId="0" borderId="0" xfId="0" applyNumberFormat="1" applyFont="1" applyFill="1" applyBorder="1" applyAlignment="1" applyProtection="1">
      <alignment horizontal="center" vertical="center"/>
    </xf>
    <xf numFmtId="0" fontId="7" fillId="34" borderId="0" xfId="0" applyNumberFormat="1" applyFont="1" applyFill="1" applyBorder="1" applyAlignment="1" applyProtection="1">
      <alignment horizontal="center" vertical="center"/>
    </xf>
    <xf numFmtId="0" fontId="2" fillId="0" borderId="0" xfId="0" applyFont="1" applyFill="1" applyAlignment="1">
      <alignment vertical="center"/>
    </xf>
    <xf numFmtId="0" fontId="2" fillId="0" borderId="0" xfId="0" applyFont="1" applyFill="1" applyAlignment="1">
      <alignment horizontal="center" vertical="center"/>
    </xf>
    <xf numFmtId="232" fontId="2" fillId="0" borderId="0" xfId="0" applyNumberFormat="1" applyFont="1" applyFill="1" applyAlignment="1">
      <alignment vertical="center"/>
    </xf>
    <xf numFmtId="234" fontId="148" fillId="0" borderId="0" xfId="1366" applyNumberFormat="1" applyFont="1" applyFill="1" applyAlignment="1">
      <alignment vertical="center"/>
    </xf>
    <xf numFmtId="232" fontId="2" fillId="0" borderId="0" xfId="0" applyNumberFormat="1" applyFont="1" applyFill="1" applyAlignment="1">
      <alignment horizontal="center" vertical="center"/>
    </xf>
    <xf numFmtId="231" fontId="2" fillId="0" borderId="0" xfId="0" applyNumberFormat="1" applyFont="1" applyFill="1" applyAlignment="1">
      <alignment vertical="center"/>
    </xf>
    <xf numFmtId="0" fontId="4" fillId="0" borderId="0" xfId="0" applyNumberFormat="1" applyFont="1" applyFill="1" applyAlignment="1" applyProtection="1">
      <alignment horizontal="center" vertical="center"/>
    </xf>
    <xf numFmtId="0" fontId="5" fillId="0" borderId="40" xfId="0" applyFont="1" applyFill="1" applyBorder="1" applyAlignment="1" applyProtection="1">
      <alignment horizontal="center" vertical="center"/>
    </xf>
    <xf numFmtId="231" fontId="2" fillId="0" borderId="0" xfId="0" applyNumberFormat="1" applyFont="1" applyFill="1" applyAlignment="1">
      <alignment horizontal="center" vertical="center"/>
    </xf>
    <xf numFmtId="0" fontId="6" fillId="0" borderId="0" xfId="0" applyNumberFormat="1" applyFont="1" applyFill="1" applyBorder="1" applyAlignment="1">
      <alignment horizontal="center" vertical="center"/>
    </xf>
    <xf numFmtId="0" fontId="6" fillId="0" borderId="41" xfId="0" applyFont="1" applyBorder="1" applyAlignment="1">
      <alignment horizontal="center" vertical="center"/>
    </xf>
    <xf numFmtId="0" fontId="54" fillId="0" borderId="0" xfId="0" applyFont="1" applyFill="1" applyAlignment="1">
      <alignment horizontal="center" vertical="center"/>
    </xf>
    <xf numFmtId="0" fontId="7" fillId="0" borderId="0" xfId="0" applyFont="1" applyFill="1" applyBorder="1" applyAlignment="1">
      <alignment horizontal="center" vertical="center"/>
    </xf>
    <xf numFmtId="233" fontId="9" fillId="35" borderId="40" xfId="0" applyNumberFormat="1" applyFont="1" applyFill="1" applyBorder="1" applyAlignment="1" applyProtection="1">
      <alignment horizontal="left" vertical="center" indent="1"/>
    </xf>
    <xf numFmtId="173" fontId="9" fillId="35" borderId="40" xfId="0" applyNumberFormat="1" applyFont="1" applyFill="1" applyBorder="1" applyAlignment="1" applyProtection="1">
      <alignment horizontal="left" vertical="center" indent="1"/>
    </xf>
    <xf numFmtId="14" fontId="0" fillId="0" borderId="0" xfId="0" applyNumberFormat="1"/>
    <xf numFmtId="0" fontId="54" fillId="0" borderId="0" xfId="0" applyNumberFormat="1" applyFont="1" applyFill="1" applyBorder="1" applyAlignment="1" applyProtection="1">
      <alignment horizontal="center" vertical="center"/>
    </xf>
    <xf numFmtId="0" fontId="54" fillId="0" borderId="0" xfId="0" applyFont="1" applyAlignment="1">
      <alignment vertical="center"/>
    </xf>
    <xf numFmtId="0" fontId="54" fillId="2" borderId="0" xfId="0" applyFont="1" applyFill="1" applyAlignment="1">
      <alignment horizontal="center" vertical="center"/>
    </xf>
  </cellXfs>
  <cellStyles count="1368">
    <cellStyle name="_x000a__x000a_JournalTemplate=C:\COMFO\CTALK\JOURSTD.TPL_x000a__x000a_LbStateAddress=3 3 0 251 1 89 2 311_x000a__x000a_LbStateJou" xfId="3"/>
    <cellStyle name="_x000a_386grabber=M" xfId="4"/>
    <cellStyle name="_%(SignOnly)" xfId="59"/>
    <cellStyle name="_%(SignOnly)_01 model" xfId="60"/>
    <cellStyle name="_%(SignOnly)_02 Potential Partner Ability to Pay Analysis2" xfId="61"/>
    <cellStyle name="_%(SignOnly)_12 Merger Plans" xfId="62"/>
    <cellStyle name="_%(SignOnly)_AVP - prev. 06 financials" xfId="63"/>
    <cellStyle name="_%(SignOnly)_AVP - prev. 06 financials_BCE Model 1-8-07" xfId="64"/>
    <cellStyle name="_%(SignOnly)_bank_csc_Q2_2001_c1" xfId="65"/>
    <cellStyle name="_%(SignOnly)_bank_csc_Q2_2001_c1_BCE Model 1-8-07" xfId="66"/>
    <cellStyle name="_%(SignOnly)_FigTech Merger Model_02" xfId="67"/>
    <cellStyle name="_%(SignOnly)_Football Field" xfId="68"/>
    <cellStyle name="_%(SignOnly)_Football Field_BCE Model 1-8-07" xfId="69"/>
    <cellStyle name="_%(SignOnly)_PNC_merger_plan_divestitures_05" xfId="70"/>
    <cellStyle name="_%(SignOnly)_Summary Valuation Analysis" xfId="71"/>
    <cellStyle name="_%(SignOnly)_Synergies" xfId="72"/>
    <cellStyle name="_%(SignSpaceOnly)" xfId="73"/>
    <cellStyle name="_%(SignSpaceOnly)_01 model" xfId="74"/>
    <cellStyle name="_%(SignSpaceOnly)_02 Potential Partner Ability to Pay Analysis2" xfId="75"/>
    <cellStyle name="_%(SignSpaceOnly)_12 Merger Plans" xfId="76"/>
    <cellStyle name="_%(SignSpaceOnly)_AVP - prev. 06 financials" xfId="77"/>
    <cellStyle name="_%(SignSpaceOnly)_AVP - prev. 06 financials_BCE Model 1-8-07" xfId="78"/>
    <cellStyle name="_%(SignSpaceOnly)_bank_csc_Q2_2001_c1" xfId="79"/>
    <cellStyle name="_%(SignSpaceOnly)_bank_csc_Q2_2001_c1_BCE Model 1-8-07" xfId="80"/>
    <cellStyle name="_%(SignSpaceOnly)_FigTech Merger Model_02" xfId="81"/>
    <cellStyle name="_%(SignSpaceOnly)_Football Field" xfId="82"/>
    <cellStyle name="_%(SignSpaceOnly)_Football Field_BCE Model 1-8-07" xfId="83"/>
    <cellStyle name="_%(SignSpaceOnly)_PNC_merger_plan_divestitures_05" xfId="84"/>
    <cellStyle name="_%(SignSpaceOnly)_Summary Valuation Analysis" xfId="85"/>
    <cellStyle name="_%(SignSpaceOnly)_Synergies" xfId="86"/>
    <cellStyle name="_$accounting" xfId="55"/>
    <cellStyle name="_$accounting_BCE Model 1-8-07" xfId="56"/>
    <cellStyle name="_$accounting_PNC_merger_plan_divestitures_05" xfId="57"/>
    <cellStyle name="_$accounting_PNC_merger_plan_divestitures_05_BCE Model 1-8-07" xfId="58"/>
    <cellStyle name="_051129 DCF Summary" xfId="87"/>
    <cellStyle name="_101306 CanWest Excel BAck up v14" xfId="88"/>
    <cellStyle name="_accounting" xfId="89"/>
    <cellStyle name="_accounting_BCE Model 1-8-07" xfId="90"/>
    <cellStyle name="_accounting_monet_final_w_output" xfId="91"/>
    <cellStyle name="_accounting_monet_final_w_output_BCE Model 1-8-07" xfId="92"/>
    <cellStyle name="_Altman Model_6.18.07_DRIVERS" xfId="93"/>
    <cellStyle name="_Barnet_LBO_05.18.05" xfId="94"/>
    <cellStyle name="_Barnet_LBO_05.18.05_Bison LBO Analysis_Sponsor_02.07.07" xfId="95"/>
    <cellStyle name="_Barnet_LBO_05.18.05_Bison LBO Analysis_Sponsor_02.07.07_1" xfId="96"/>
    <cellStyle name="_BCE Model 1-8-07" xfId="97"/>
    <cellStyle name="_BU Rollup" xfId="98"/>
    <cellStyle name="_Check of Synergy DCFs 11-01-04_v5" xfId="99"/>
    <cellStyle name="_CKFR Model 11-30-06" xfId="100"/>
    <cellStyle name="_COMBO PAGESv.5" xfId="101"/>
    <cellStyle name="_Comma" xfId="102"/>
    <cellStyle name="_Comma_01 Fig Tech CSC 1Q03" xfId="105"/>
    <cellStyle name="_Comma_01 Financial Model" xfId="106"/>
    <cellStyle name="_Comma_01 Template without numbers sent out" xfId="107"/>
    <cellStyle name="_Comma_02 Potential Partner Ability to Pay Analysis2" xfId="108"/>
    <cellStyle name="_Comma_02 Quick Model_PQ Corporation" xfId="109"/>
    <cellStyle name="_Comma_101306 CanWest Excel BAck up v14" xfId="110"/>
    <cellStyle name="_Comma_12 Merger Plans" xfId="111"/>
    <cellStyle name="_Comma_20020403 Regional Data 04" xfId="112"/>
    <cellStyle name="_Comma_20020403 Regional Data 04 Final" xfId="113"/>
    <cellStyle name="_Comma_20020403 Template for Exchange - Regional Data 01" xfId="114"/>
    <cellStyle name="_Comma_20020404 Capex 02 All" xfId="115"/>
    <cellStyle name="_Comma_accretion dilution analysis" xfId="116"/>
    <cellStyle name="_Comma_Acquisition Ops 3" xfId="117"/>
    <cellStyle name="_Comma_AVP" xfId="118"/>
    <cellStyle name="_Comma_BCE Model 1-8-07" xfId="119"/>
    <cellStyle name="_Comma_Book1" xfId="120"/>
    <cellStyle name="_Comma_Book2" xfId="121"/>
    <cellStyle name="_Comma_buyer_analysis" xfId="122"/>
    <cellStyle name="_Comma_Check of Synergy DCFs 11-01-04_v5" xfId="123"/>
    <cellStyle name="_Comma_CKFR Model 11-30-06" xfId="124"/>
    <cellStyle name="_Comma_Comparative Balance Sheets" xfId="125"/>
    <cellStyle name="_Comma_CSC with WACC" xfId="126"/>
    <cellStyle name="_Comma_Dave Model Final v 1" xfId="127"/>
    <cellStyle name="_Comma_DCF Analysis" xfId="128"/>
    <cellStyle name="_Comma_DIS Go Private Analysis v23" xfId="129"/>
    <cellStyle name="_Comma_Eagle Ridge Cash Flow 01-10-02_GS" xfId="130"/>
    <cellStyle name="_Comma_Excel Inserts_v4" xfId="131"/>
    <cellStyle name="_Comma_Final Canadian Bank Comp (sent to IBD)FORM" xfId="132"/>
    <cellStyle name="_Comma_Football Field" xfId="133"/>
    <cellStyle name="_Comma_IBES_EPS_Estimates" xfId="134"/>
    <cellStyle name="_Comma_Master_Telecom_Equipment_CSCb" xfId="135"/>
    <cellStyle name="_Comma_Merger Model - Exec" xfId="136"/>
    <cellStyle name="_Comma_merger plans" xfId="137"/>
    <cellStyle name="_Comma_MotLion Projections may" xfId="138"/>
    <cellStyle name="_Comma_Old Life CSC" xfId="139"/>
    <cellStyle name="_Comma_pace_merger plans" xfId="140"/>
    <cellStyle name="_Comma_Palm Model 10_05" xfId="141"/>
    <cellStyle name="_Comma_PNC_PF_2Q_update" xfId="142"/>
    <cellStyle name="_Comma_Potential Strategic Partners" xfId="143"/>
    <cellStyle name="_Comma_QVC LBO Model 2-12-03 v3" xfId="144"/>
    <cellStyle name="_Comma_RJB Long LBO LTM" xfId="145"/>
    <cellStyle name="_Comma_Summary Valuation Analysis" xfId="146"/>
    <cellStyle name="_Comma_Synergies" xfId="147"/>
    <cellStyle name="_Comma_Troon Financials 8-1-02" xfId="148"/>
    <cellStyle name="_Comma_Troon_EBITDA" xfId="149"/>
    <cellStyle name="_Comma_Valuation Overview - June 2001" xfId="150"/>
    <cellStyle name="_Comma_Valuation_Troon dpak 8-5-02 v3" xfId="151"/>
    <cellStyle name="_Comma[0]" xfId="103"/>
    <cellStyle name="_Comma[0]_BCE Model 1-8-07" xfId="104"/>
    <cellStyle name="_Currency" xfId="152"/>
    <cellStyle name="_Currency_01 Fig Tech CSC 1Q03" xfId="155"/>
    <cellStyle name="_Currency_01 Financial Model" xfId="156"/>
    <cellStyle name="_Currency_01 Template without numbers sent out" xfId="157"/>
    <cellStyle name="_Currency_02 Financials" xfId="158"/>
    <cellStyle name="_Currency_02 Financials_BCE Model 1-8-07" xfId="159"/>
    <cellStyle name="_Currency_02 Potential Partner Ability to Pay Analysis2" xfId="160"/>
    <cellStyle name="_Currency_02 Quick Model_PQ Corporation" xfId="161"/>
    <cellStyle name="_Currency_04 Financials" xfId="162"/>
    <cellStyle name="_Currency_04 Financials_BCE Model 1-8-07" xfId="163"/>
    <cellStyle name="_Currency_101306 CanWest Excel BAck up v14" xfId="164"/>
    <cellStyle name="_Currency_101306 CanWest Excel BAck up v14_BCE LBO Analysis (02_4_07) MASTER V6" xfId="165"/>
    <cellStyle name="_Currency_101306 CanWest Excel BAck up v14_Bison LBO Analysis_Sponsors_03.06.07_to Citi" xfId="166"/>
    <cellStyle name="_Currency_101306 CanWest Excel BAck up v14_Bison LBO Analysis_Sponsors_TO CITI FOR FORMAT (2)" xfId="167"/>
    <cellStyle name="_Currency_101306 CanWest Excel BAck up v14_Bison LBO Analysis_Sponsors_TO CITI FOR FORMAT (2)_1" xfId="168"/>
    <cellStyle name="_Currency_12 Merger Plans" xfId="169"/>
    <cellStyle name="_Currency_20020403 Regional Data 04" xfId="170"/>
    <cellStyle name="_Currency_20020403 Regional Data 04 Final" xfId="171"/>
    <cellStyle name="_Currency_20020403 Template for Exchange - Regional Data 01" xfId="172"/>
    <cellStyle name="_Currency_20020404 Capex 02 All" xfId="173"/>
    <cellStyle name="_Currency_accretion dilution analysis" xfId="174"/>
    <cellStyle name="_Currency_Acquisition Ops 3" xfId="175"/>
    <cellStyle name="_Currency_Alamosa Merger" xfId="176"/>
    <cellStyle name="_Currency_Alamosa Standalone6" xfId="177"/>
    <cellStyle name="_Currency_Alamosa Standalone8b" xfId="178"/>
    <cellStyle name="_Currency_AVP" xfId="179"/>
    <cellStyle name="_Currency_AVP - prev. 06 financials" xfId="180"/>
    <cellStyle name="_Currency_AVP - prev. 06 financials_BCE Model 1-8-07" xfId="181"/>
    <cellStyle name="_Currency_avp_Palm Model 10_05" xfId="182"/>
    <cellStyle name="_Currency_bank_csc_Q2_2001_c1" xfId="183"/>
    <cellStyle name="_Currency_BCE Model 1-8-07" xfId="184"/>
    <cellStyle name="_Currency_Book1" xfId="185"/>
    <cellStyle name="_Currency_Book2" xfId="186"/>
    <cellStyle name="_Currency_Buyer List" xfId="187"/>
    <cellStyle name="_Currency_Buyer List_BCE Model 1-8-07" xfId="188"/>
    <cellStyle name="_Currency_buyer_analysis" xfId="189"/>
    <cellStyle name="_Currency_Check of Synergy DCFs 11-01-04_v5" xfId="190"/>
    <cellStyle name="_Currency_CKFR Model 11-30-06" xfId="191"/>
    <cellStyle name="_Currency_com_ic_universe_6" xfId="192"/>
    <cellStyle name="_Currency_Combo RW 125" xfId="193"/>
    <cellStyle name="_Currency_Comparative Balance Sheets" xfId="194"/>
    <cellStyle name="_Currency_CSC Update_Status of Companies_11_19" xfId="195"/>
    <cellStyle name="_Currency_CSC with WACC" xfId="196"/>
    <cellStyle name="_Currency_CSC_Palm_Sum_of_Parts_4_20_01" xfId="197"/>
    <cellStyle name="_Currency_CSC_Palm_Sum_of_Parts_4_20_01_BCE Model 1-8-07" xfId="198"/>
    <cellStyle name="_Currency_CSC_Palm_Sum_of_Parts_5_23_01a" xfId="199"/>
    <cellStyle name="_Currency_CSC_Palm_Sum_of_Parts_5_23_01a_BCE Model 1-8-07" xfId="200"/>
    <cellStyle name="_Currency_Dave Model Final v 1" xfId="201"/>
    <cellStyle name="_Currency_DCF Analysis" xfId="202"/>
    <cellStyle name="_Currency_DIS Go Private Analysis v23" xfId="203"/>
    <cellStyle name="_Currency_Eagle Ridge Cash Flow 01-10-02_GS" xfId="204"/>
    <cellStyle name="_Currency_Eutelsat and Capex Analysis" xfId="205"/>
    <cellStyle name="_Currency_Excel Inserts_v4" xfId="206"/>
    <cellStyle name="_Currency_Final Canadian Bank Comp (sent to IBD)FORM" xfId="207"/>
    <cellStyle name="_Currency_Football Field" xfId="208"/>
    <cellStyle name="_Currency_GQ" xfId="209"/>
    <cellStyle name="_Currency_GS Model" xfId="210"/>
    <cellStyle name="_Currency_IBES_EPS_Estimates" xfId="211"/>
    <cellStyle name="_Currency_Master_Telecom_Equipment_CSCb" xfId="212"/>
    <cellStyle name="_Currency_Merger Model - Exec" xfId="213"/>
    <cellStyle name="_Currency_merger plans" xfId="214"/>
    <cellStyle name="_Currency_monet2.4_temp" xfId="215"/>
    <cellStyle name="_Currency_monet2.8" xfId="216"/>
    <cellStyle name="_Currency_MotLion Projections may" xfId="217"/>
    <cellStyle name="_Currency_Old Life CSC" xfId="218"/>
    <cellStyle name="_Currency_pace_merger plans" xfId="219"/>
    <cellStyle name="_Currency_Palm Model 10_05" xfId="220"/>
    <cellStyle name="_Currency_pdf file" xfId="221"/>
    <cellStyle name="_Currency_PNC_PF_2Q_update" xfId="222"/>
    <cellStyle name="_Currency_Potential Strategic Partners" xfId="223"/>
    <cellStyle name="_Currency_QVC LBO Model 2-12-03 v3" xfId="224"/>
    <cellStyle name="_Currency_RJB Long LBO LTM" xfId="225"/>
    <cellStyle name="_Currency_Roberts Standalone14 Quarterly 2" xfId="226"/>
    <cellStyle name="_Currency_Sheet1" xfId="227"/>
    <cellStyle name="_Currency_Sheet1_BCE LBO Analysis (02_4_07) MASTER V6" xfId="228"/>
    <cellStyle name="_Currency_Sheet1_BCE Model 1-8-07" xfId="229"/>
    <cellStyle name="_Currency_Sheet1_Bison LBO Analysis_Sponsors_03.06.07_to Citi" xfId="230"/>
    <cellStyle name="_Currency_Sheet1_Bison LBO Analysis_Sponsors_TO CITI FOR FORMAT (2)" xfId="231"/>
    <cellStyle name="_Currency_Sheet1_Bison LBO Analysis_Sponsors_TO CITI FOR FORMAT (2)_1" xfId="232"/>
    <cellStyle name="_Currency_Summary Sheets2" xfId="233"/>
    <cellStyle name="_Currency_Summary Valuation Analysis" xfId="234"/>
    <cellStyle name="_Currency_Synergies" xfId="235"/>
    <cellStyle name="_Currency_Troon Financials 8-1-02" xfId="236"/>
    <cellStyle name="_Currency_Troon_EBITDA" xfId="237"/>
    <cellStyle name="_Currency_Valuation Overview - June 2001" xfId="238"/>
    <cellStyle name="_Currency_Valuation_Troon dpak 8-5-02 v3" xfId="239"/>
    <cellStyle name="_Currency_VIA_Evans NOL Analysis" xfId="240"/>
    <cellStyle name="_Currency_WOW Standalone Quarterly 2" xfId="241"/>
    <cellStyle name="_Currency_xratio - historical mkt val" xfId="242"/>
    <cellStyle name="_Currency(GBP)" xfId="153"/>
    <cellStyle name="_Currency(GBP)_BCE Model 1-8-07" xfId="154"/>
    <cellStyle name="_CurrencySpace" xfId="243"/>
    <cellStyle name="_CurrencySpace_01 Fig Tech CSC 1Q03" xfId="244"/>
    <cellStyle name="_CurrencySpace_01 Financial Model" xfId="245"/>
    <cellStyle name="_CurrencySpace_01 Template without numbers sent out" xfId="246"/>
    <cellStyle name="_CurrencySpace_02 Financials" xfId="247"/>
    <cellStyle name="_CurrencySpace_02 Financials_BCE Model 1-8-07" xfId="248"/>
    <cellStyle name="_CurrencySpace_02 Potential Partner Ability to Pay Analysis2" xfId="249"/>
    <cellStyle name="_CurrencySpace_02 Quick Model_PQ Corporation" xfId="250"/>
    <cellStyle name="_CurrencySpace_04 Financials" xfId="251"/>
    <cellStyle name="_CurrencySpace_04 Financials_BCE Model 1-8-07" xfId="252"/>
    <cellStyle name="_CurrencySpace_101306 CanWest Excel BAck up v14" xfId="253"/>
    <cellStyle name="_CurrencySpace_12 Merger Plans" xfId="254"/>
    <cellStyle name="_CurrencySpace_20020326Viper Numbers sent out" xfId="255"/>
    <cellStyle name="_CurrencySpace_20020403 Regional Data 04" xfId="256"/>
    <cellStyle name="_CurrencySpace_20020403 Regional Data 04 Final" xfId="257"/>
    <cellStyle name="_CurrencySpace_20020403 Template for Exchange - Regional Data 01" xfId="258"/>
    <cellStyle name="_CurrencySpace_20020404 Capex 02 All" xfId="259"/>
    <cellStyle name="_CurrencySpace_20020405 Final Company Model" xfId="260"/>
    <cellStyle name="_CurrencySpace_accretion dilution analysis" xfId="261"/>
    <cellStyle name="_CurrencySpace_Acquisition Ops 3" xfId="262"/>
    <cellStyle name="_CurrencySpace_April 2002 combined model - key factors only" xfId="263"/>
    <cellStyle name="_CurrencySpace_April 2002 combined model - key factors only (rec 5 apr)" xfId="264"/>
    <cellStyle name="_CurrencySpace_AVP" xfId="265"/>
    <cellStyle name="_CurrencySpace_avp_Palm Model 10_05" xfId="266"/>
    <cellStyle name="_CurrencySpace_BCE Model 1-8-07" xfId="267"/>
    <cellStyle name="_CurrencySpace_Book1" xfId="268"/>
    <cellStyle name="_CurrencySpace_Book1_Merger Plan 2-10-04 GSIBDv3" xfId="269"/>
    <cellStyle name="_CurrencySpace_Book2" xfId="270"/>
    <cellStyle name="_CurrencySpace_buyer_analysis" xfId="271"/>
    <cellStyle name="_CurrencySpace_Check of Synergy DCFs 11-01-04_v5" xfId="272"/>
    <cellStyle name="_CurrencySpace_CKFR Model 11-30-06" xfId="273"/>
    <cellStyle name="_CurrencySpace_com_ic_universe_6" xfId="274"/>
    <cellStyle name="_CurrencySpace_Comparative Balance Sheets" xfId="275"/>
    <cellStyle name="_CurrencySpace_CSC Update_Status of Companies_11_19" xfId="276"/>
    <cellStyle name="_CurrencySpace_CSC with WACC" xfId="277"/>
    <cellStyle name="_CurrencySpace_CSC_Palm_Sum_of_Parts_4_20_01" xfId="278"/>
    <cellStyle name="_CurrencySpace_CSC_Palm_Sum_of_Parts_5_23_01a" xfId="279"/>
    <cellStyle name="_CurrencySpace_Dave Model Final v 1" xfId="280"/>
    <cellStyle name="_CurrencySpace_DCF Analysis" xfId="281"/>
    <cellStyle name="_CurrencySpace_DIS Go Private Analysis v23" xfId="282"/>
    <cellStyle name="_CurrencySpace_Eagle Ridge Cash Flow 01-10-02_GS" xfId="283"/>
    <cellStyle name="_CurrencySpace_Excel Inserts_v4" xfId="284"/>
    <cellStyle name="_CurrencySpace_Final Canadian Bank Comp (sent to IBD)FORM" xfId="285"/>
    <cellStyle name="_CurrencySpace_Football Field" xfId="286"/>
    <cellStyle name="_CurrencySpace_IBES_EPS_Estimates" xfId="287"/>
    <cellStyle name="_CurrencySpace_Master_Telecom_Equipment_CSCb" xfId="288"/>
    <cellStyle name="_CurrencySpace_Merger Model - Exec" xfId="289"/>
    <cellStyle name="_CurrencySpace_merger plans" xfId="290"/>
    <cellStyle name="_CurrencySpace_monet2.4" xfId="291"/>
    <cellStyle name="_CurrencySpace_monet2.4_temp" xfId="292"/>
    <cellStyle name="_CurrencySpace_monet2.8" xfId="293"/>
    <cellStyle name="_CurrencySpace_MotLion Projections may" xfId="294"/>
    <cellStyle name="_CurrencySpace_Old Life CSC" xfId="295"/>
    <cellStyle name="_CurrencySpace_pace_merger plans" xfId="296"/>
    <cellStyle name="_CurrencySpace_Palm Model 10_05" xfId="297"/>
    <cellStyle name="_CurrencySpace_pdf file" xfId="298"/>
    <cellStyle name="_CurrencySpace_PNC_PF_2Q_update" xfId="299"/>
    <cellStyle name="_CurrencySpace_Potential Strategic Partners" xfId="300"/>
    <cellStyle name="_CurrencySpace_QVC LBO Model 2-12-03 v3" xfId="301"/>
    <cellStyle name="_CurrencySpace_RJB Long LBO LTM" xfId="302"/>
    <cellStyle name="_CurrencySpace_Stallion Analysis_a" xfId="303"/>
    <cellStyle name="_CurrencySpace_Summary Valuation Analysis" xfId="304"/>
    <cellStyle name="_CurrencySpace_Synergies" xfId="305"/>
    <cellStyle name="_CurrencySpace_Troon Financials 8-1-02" xfId="306"/>
    <cellStyle name="_CurrencySpace_Troon_EBITDA" xfId="307"/>
    <cellStyle name="_CurrencySpace_Valuation Overview - June 2001" xfId="308"/>
    <cellStyle name="_CurrencySpace_Valuation_Troon dpak 8-5-02 v3" xfId="309"/>
    <cellStyle name="_date" xfId="310"/>
    <cellStyle name="_Dave Model Final v 1" xfId="311"/>
    <cellStyle name="_DIS Go Private Analysis v23" xfId="312"/>
    <cellStyle name="_Dollar" xfId="313"/>
    <cellStyle name="_Euro" xfId="314"/>
    <cellStyle name="_Euro_accretion dilution analysis" xfId="315"/>
    <cellStyle name="_Euro_CSC_Palm_Sum_of_Parts_5_23_01a" xfId="316"/>
    <cellStyle name="_Euro_Financials Layout dpak 9-26-01 v1" xfId="317"/>
    <cellStyle name="_Euro_IBES_EPS_Estimates" xfId="318"/>
    <cellStyle name="_Euro_Palm Model 10_05" xfId="319"/>
    <cellStyle name="_Euro_Potential Strategic Partners" xfId="320"/>
    <cellStyle name="_Euro_Simple Merger Plans" xfId="321"/>
    <cellStyle name="_Excel Inserts_v4" xfId="322"/>
    <cellStyle name="_GBP" xfId="323"/>
    <cellStyle name="_GBP_BCE Model 1-8-07" xfId="324"/>
    <cellStyle name="_GBP_BCE Model 1-8-07_Bison LBO Analysis_Sponsor_02.07.07" xfId="325"/>
    <cellStyle name="_GS Equity Research Driver Comparison" xfId="326"/>
    <cellStyle name="_GS Model" xfId="327"/>
    <cellStyle name="_GS Model of VSTR" xfId="328"/>
    <cellStyle name="_Heading" xfId="329"/>
    <cellStyle name="_Heading_01 Selected Financials_Salt Business" xfId="330"/>
    <cellStyle name="_Heading_02 Quick Model_PQ Corporation" xfId="331"/>
    <cellStyle name="_Heading_06 Analysis at Various Prices" xfId="332"/>
    <cellStyle name="_Heading_Dave Model Final v 1" xfId="333"/>
    <cellStyle name="_Heading_Final Canadian Bank Comp (sent to IBD)FORM" xfId="334"/>
    <cellStyle name="_Heading_lbo_long_model" xfId="335"/>
    <cellStyle name="_Heading_MAXF historical financials" xfId="336"/>
    <cellStyle name="_Heading_PL Consolidated (2003)" xfId="337"/>
    <cellStyle name="_Heading_prestemp" xfId="338"/>
    <cellStyle name="_Heading_Summary Financials 04" xfId="339"/>
    <cellStyle name="_Highlight" xfId="340"/>
    <cellStyle name="_Highlight_accretion dilution analysis" xfId="341"/>
    <cellStyle name="_Highlight_Advance Summary 04" xfId="342"/>
    <cellStyle name="_Highlight_Assumptions" xfId="343"/>
    <cellStyle name="_Highlight_CSC_Palm_Sum_of_Parts_5_23_01a" xfId="344"/>
    <cellStyle name="_Highlight_Data Dailies Strategic Plan-CT" xfId="345"/>
    <cellStyle name="_Highlight_Dave Model Final v 1" xfId="346"/>
    <cellStyle name="_Highlight_Expenses_V6" xfId="347"/>
    <cellStyle name="_Highlight_Final-Consolidated-Dave-10" xfId="348"/>
    <cellStyle name="_Highlight_Financials Layout dpak 9-26-01 v1" xfId="349"/>
    <cellStyle name="_Highlight_GS Long Form Model3 7-23-02 TROON v34" xfId="350"/>
    <cellStyle name="_Highlight_Historical Financials" xfId="351"/>
    <cellStyle name="_Highlight_IBES_EPS_Estimates" xfId="352"/>
    <cellStyle name="_Highlight_Lease Expiration Model" xfId="353"/>
    <cellStyle name="_Highlight_ModelDrivers1" xfId="354"/>
    <cellStyle name="_Highlight_Original Masters2002 Base Case Model 2-12-03 v1" xfId="355"/>
    <cellStyle name="_Highlight_Palm Model 10_05" xfId="356"/>
    <cellStyle name="_Highlight_PFOwnership" xfId="357"/>
    <cellStyle name="_Highlight_Potential Strategic Partners" xfId="358"/>
    <cellStyle name="_Highlight_Prospective Asset Sales v42" xfId="359"/>
    <cellStyle name="_Highlight_Simple Merger Plans" xfId="360"/>
    <cellStyle name="_Highlight_Sony TR" xfId="361"/>
    <cellStyle name="_Highlight_Troon DCF Model 8-13-02 v1" xfId="362"/>
    <cellStyle name="_Highlight_Updated LIBOR Curve from Marius Jungerhans 8-16-02" xfId="363"/>
    <cellStyle name="_Inputs" xfId="364"/>
    <cellStyle name="_Merger Plan 2-10-04 GSIBDv3" xfId="365"/>
    <cellStyle name="_Month" xfId="366"/>
    <cellStyle name="_Month_BCE Model 1-8-07" xfId="367"/>
    <cellStyle name="_MS BCE Model" xfId="368"/>
    <cellStyle name="_Multiple" xfId="369"/>
    <cellStyle name="_Multiple_01 Fig Tech CSC 1Q03" xfId="370"/>
    <cellStyle name="_Multiple_01 Financial Model" xfId="371"/>
    <cellStyle name="_Multiple_01 Selected Financials_Salt Business" xfId="372"/>
    <cellStyle name="_Multiple_01 Template without numbers sent out" xfId="373"/>
    <cellStyle name="_Multiple_02 Potential Partner Ability to Pay Analysis2" xfId="374"/>
    <cellStyle name="_Multiple_02 Quick Model_PQ Corporation" xfId="375"/>
    <cellStyle name="_Multiple_06 Analysis at Various Prices" xfId="376"/>
    <cellStyle name="_Multiple_101306 CanWest Excel BAck up v14" xfId="377"/>
    <cellStyle name="_Multiple_12 Merger Plans" xfId="378"/>
    <cellStyle name="_Multiple_20020403 Regional Data 04" xfId="379"/>
    <cellStyle name="_Multiple_20020403 Regional Data 04 Final" xfId="380"/>
    <cellStyle name="_Multiple_20020403 Template for Exchange - Regional Data 01" xfId="381"/>
    <cellStyle name="_Multiple_20020404 Capex 02 All" xfId="382"/>
    <cellStyle name="_Multiple_accretion dilution analysis" xfId="383"/>
    <cellStyle name="_Multiple_Acquisition Ops 3" xfId="384"/>
    <cellStyle name="_Multiple_Appliances Metrics for Leverage Finance" xfId="385"/>
    <cellStyle name="_Multiple_Asset_Management_CSC_Updated_06_26_2002" xfId="386"/>
    <cellStyle name="_Multiple_Asset_Management_CSC_Updated_06_26_2002_BCE Model 1-8-07" xfId="387"/>
    <cellStyle name="_Multiple_AVP" xfId="388"/>
    <cellStyle name="_Multiple_AVP - prev. 06 financials" xfId="389"/>
    <cellStyle name="_Multiple_AVP - prev. 06 financials_BCE Model 1-8-07" xfId="390"/>
    <cellStyle name="_Multiple_AVP_BCE Model 1-8-07" xfId="391"/>
    <cellStyle name="_Multiple_avp_Merger Plan 2-10-04 GSIBDv3" xfId="392"/>
    <cellStyle name="_Multiple_avp_Palm Model 10_05" xfId="393"/>
    <cellStyle name="_Multiple_Bank &amp; Thrift Buyer Merger Plan(AutoPrice2000)" xfId="394"/>
    <cellStyle name="_Multiple_bank_csc_Q1_2001" xfId="395"/>
    <cellStyle name="_Multiple_bank_csc_Q1_2001_BCE Model 1-8-07" xfId="396"/>
    <cellStyle name="_Multiple_bank_csc_Q2_2001" xfId="397"/>
    <cellStyle name="_Multiple_bank_csc_Q2_2001_c1" xfId="398"/>
    <cellStyle name="_Multiple_BCE Model 1-8-07" xfId="399"/>
    <cellStyle name="_Multiple_Book1" xfId="400"/>
    <cellStyle name="_Multiple_Book1_1" xfId="401"/>
    <cellStyle name="_Multiple_Book1_Merger Plan 2-10-04 GSIBDv3" xfId="402"/>
    <cellStyle name="_Multiple_Book1_Merger Plan 2-10-04 GSIBDv3_BCE Model 1-8-07" xfId="403"/>
    <cellStyle name="_Multiple_Book2" xfId="404"/>
    <cellStyle name="_Multiple_Borders Model 11-11-03 mezz v6" xfId="405"/>
    <cellStyle name="_Multiple_buyer_analysis" xfId="406"/>
    <cellStyle name="_Multiple_Check of Synergy DCFs 11-01-04_v5" xfId="407"/>
    <cellStyle name="_Multiple_CKFR Model 11-30-06" xfId="408"/>
    <cellStyle name="_Multiple_CKFR Model 11-30-06_BCE Model 1-8-07" xfId="409"/>
    <cellStyle name="_Multiple_com_ic_universe_6" xfId="410"/>
    <cellStyle name="_Multiple_Comparative Balance Sheets" xfId="411"/>
    <cellStyle name="_Multiple_Comparative Balance Sheets_BCE Model 1-8-07" xfId="412"/>
    <cellStyle name="_Multiple_Cross Dock Projections v3" xfId="413"/>
    <cellStyle name="_Multiple_csc" xfId="414"/>
    <cellStyle name="_Multiple_CSC Update_Status of Companies_11_19" xfId="415"/>
    <cellStyle name="_Multiple_CSC with WACC" xfId="416"/>
    <cellStyle name="_Multiple_csc_BCE Model 1-8-07" xfId="417"/>
    <cellStyle name="_Multiple_CSC_Palm_Sum_of_Parts_4_20_01" xfId="418"/>
    <cellStyle name="_Multiple_CSC_Palm_Sum_of_Parts_5_23_01a" xfId="419"/>
    <cellStyle name="_Multiple_Dave Model Final v 1" xfId="420"/>
    <cellStyle name="_Multiple_DCF Analysis" xfId="421"/>
    <cellStyle name="_Multiple_DIS Go Private Analysis v23" xfId="422"/>
    <cellStyle name="_Multiple_discussion" xfId="423"/>
    <cellStyle name="_Multiple_Eagle Ridge Cash Flow 01-10-02_GS" xfId="424"/>
    <cellStyle name="_Multiple_Eutelsat and Capex Analysis" xfId="425"/>
    <cellStyle name="_Multiple_Excel Inserts_v4" xfId="426"/>
    <cellStyle name="_Multiple_Final Canadian Bank Comp (sent to IBD)FORM" xfId="427"/>
    <cellStyle name="_Multiple_Financial Buildup 6-18-03 v7" xfId="428"/>
    <cellStyle name="_Multiple_Financials" xfId="429"/>
    <cellStyle name="_Multiple_Financials_3" xfId="430"/>
    <cellStyle name="_Multiple_Football Field" xfId="431"/>
    <cellStyle name="_Multiple_GS Model" xfId="432"/>
    <cellStyle name="_Multiple_IBES_EPS_Estimates" xfId="433"/>
    <cellStyle name="_Multiple_march_21_meeting" xfId="434"/>
    <cellStyle name="_Multiple_Master_Telecom_Equipment_CSCb" xfId="435"/>
    <cellStyle name="_Multiple_Merger Model - Exec" xfId="436"/>
    <cellStyle name="_Multiple_Merger model_new" xfId="437"/>
    <cellStyle name="_Multiple_Merger model_new_ability to pay" xfId="438"/>
    <cellStyle name="_Multiple_Merger Plan 2-10-04 GSIBDv3" xfId="439"/>
    <cellStyle name="_Multiple_merger plans" xfId="440"/>
    <cellStyle name="_Multiple_model_bk" xfId="441"/>
    <cellStyle name="_Multiple_model_bk_BCE Model 1-8-07" xfId="442"/>
    <cellStyle name="_Multiple_monet_final_w_output" xfId="443"/>
    <cellStyle name="_Multiple_monet2.4" xfId="444"/>
    <cellStyle name="_Multiple_monet2.4_BCE Model 1-8-07" xfId="445"/>
    <cellStyle name="_Multiple_monet2.4_temp" xfId="446"/>
    <cellStyle name="_Multiple_monet2.4_temp_BCE Model 1-8-07" xfId="447"/>
    <cellStyle name="_Multiple_monet2.8" xfId="448"/>
    <cellStyle name="_Multiple_monet2.8_BCE Model 1-8-07" xfId="449"/>
    <cellStyle name="_Multiple_MotLion Projections may" xfId="450"/>
    <cellStyle name="_Multiple_Neptune Ammortization Analysis 8-6-03" xfId="451"/>
    <cellStyle name="_Multiple_Old Life CSC" xfId="452"/>
    <cellStyle name="_Multiple_Other Category Breaidown 7-26-03 v1" xfId="453"/>
    <cellStyle name="_Multiple_pace_merger plans" xfId="454"/>
    <cellStyle name="_Multiple_Palm Model 10_05" xfId="455"/>
    <cellStyle name="_Multiple_pdf file" xfId="456"/>
    <cellStyle name="_Multiple_PNC_PF_2Q_update" xfId="457"/>
    <cellStyle name="_Multiple_Potential Strategic Partners" xfId="458"/>
    <cellStyle name="_Multiple_Projections--Management (Data Room)v6" xfId="459"/>
    <cellStyle name="_Multiple_QVC LBO Model 2-12-03 v3" xfId="460"/>
    <cellStyle name="_Multiple_RJB Long LBO LTM" xfId="461"/>
    <cellStyle name="_Multiple_Sources and Uses FINAL dpakedit v2" xfId="462"/>
    <cellStyle name="_Multiple_Summary Valuation Analysis" xfId="463"/>
    <cellStyle name="_Multiple_Synergies" xfId="464"/>
    <cellStyle name="_Multiple_Troon DCF Model 8-13-02 v1" xfId="465"/>
    <cellStyle name="_Multiple_Troon DCF Model 8-13-02 v1_BCE Model 1-8-07" xfId="466"/>
    <cellStyle name="_Multiple_Troon Financials 8-1-02" xfId="467"/>
    <cellStyle name="_Multiple_Troon LLC FS dpakedit 8-7-02" xfId="468"/>
    <cellStyle name="_Multiple_Troon LLC FS dpakedit 8-7-02 v3" xfId="469"/>
    <cellStyle name="_Multiple_Troon LLC FS dpakedit 8-7-02 v4" xfId="470"/>
    <cellStyle name="_Multiple_Troon_EBITDA" xfId="471"/>
    <cellStyle name="_Multiple_Valuation Overview - June 2001" xfId="472"/>
    <cellStyle name="_Multiple_Valuation Overview - June 2001_BCE Model 1-8-07" xfId="473"/>
    <cellStyle name="_Multiple_Valuation_Troon dpak 8-5-02 v3" xfId="474"/>
    <cellStyle name="_MultipleSpace" xfId="475"/>
    <cellStyle name="_MultipleSpace_01 Fig Tech CSC 1Q03" xfId="476"/>
    <cellStyle name="_MultipleSpace_01 Financial Model" xfId="477"/>
    <cellStyle name="_MultipleSpace_01 Template without numbers sent out" xfId="478"/>
    <cellStyle name="_MultipleSpace_02 Potential Partner Ability to Pay Analysis2" xfId="479"/>
    <cellStyle name="_MultipleSpace_02 Quick Model_PQ Corporation" xfId="480"/>
    <cellStyle name="_MultipleSpace_101306 CanWest Excel BAck up v14" xfId="481"/>
    <cellStyle name="_MultipleSpace_12 Merger Plans" xfId="482"/>
    <cellStyle name="_MultipleSpace_20020403 Regional Data 04" xfId="483"/>
    <cellStyle name="_MultipleSpace_20020403 Regional Data 04 Final" xfId="484"/>
    <cellStyle name="_MultipleSpace_20020403 Template for Exchange - Regional Data 01" xfId="485"/>
    <cellStyle name="_MultipleSpace_20020404 Capex 02 All" xfId="486"/>
    <cellStyle name="_MultipleSpace_accretion dilution analysis" xfId="487"/>
    <cellStyle name="_MultipleSpace_Acquisition Ops 3" xfId="488"/>
    <cellStyle name="_MultipleSpace_Alamosa Merger" xfId="489"/>
    <cellStyle name="_MultipleSpace_Alamosa Standalone8b" xfId="490"/>
    <cellStyle name="_MultipleSpace_AVP" xfId="491"/>
    <cellStyle name="_MultipleSpace_AVP - prev. 06 financials" xfId="492"/>
    <cellStyle name="_MultipleSpace_AVP - prev. 06 financials_BCE Model 1-8-07" xfId="493"/>
    <cellStyle name="_MultipleSpace_AVP_BCE Model 1-8-07" xfId="494"/>
    <cellStyle name="_MultipleSpace_avp_Merger Plan 2-10-04 GSIBDv3" xfId="495"/>
    <cellStyle name="_MultipleSpace_avp_Palm Model 10_05" xfId="496"/>
    <cellStyle name="_MultipleSpace_bank_csc_Q1_2001" xfId="497"/>
    <cellStyle name="_MultipleSpace_bank_csc_Q1_2001_BCE Model 1-8-07" xfId="498"/>
    <cellStyle name="_MultipleSpace_bank_csc_Q2_2001_c1" xfId="499"/>
    <cellStyle name="_MultipleSpace_bank_csc_Q2_2001_c1_BCE Model 1-8-07" xfId="500"/>
    <cellStyle name="_MultipleSpace_BCE Model 1-8-07" xfId="501"/>
    <cellStyle name="_MultipleSpace_Book1" xfId="502"/>
    <cellStyle name="_MultipleSpace_Book1_Merger Plan 2-10-04 GSIBDv3" xfId="503"/>
    <cellStyle name="_MultipleSpace_Book1_Merger Plan 2-10-04 GSIBDv3_BCE Model 1-8-07" xfId="504"/>
    <cellStyle name="_MultipleSpace_Book2" xfId="505"/>
    <cellStyle name="_MultipleSpace_buyer_analysis" xfId="506"/>
    <cellStyle name="_MultipleSpace_Check of Synergy DCFs 11-01-04_v5" xfId="507"/>
    <cellStyle name="_MultipleSpace_CKFR Model 11-30-06" xfId="508"/>
    <cellStyle name="_MultipleSpace_com_ic_universe_6" xfId="509"/>
    <cellStyle name="_MultipleSpace_COMBO Final DCF_2" xfId="510"/>
    <cellStyle name="_MultipleSpace_Comparative Balance Sheets" xfId="511"/>
    <cellStyle name="_MultipleSpace_Comparative Balance Sheets_BCE Model 1-8-07" xfId="512"/>
    <cellStyle name="_MultipleSpace_csc" xfId="513"/>
    <cellStyle name="_MultipleSpace_CSC Update_Status of Companies_11_19" xfId="514"/>
    <cellStyle name="_MultipleSpace_CSC with WACC" xfId="515"/>
    <cellStyle name="_MultipleSpace_csc_BCE Model 1-8-07" xfId="516"/>
    <cellStyle name="_MultipleSpace_CSC_Palm_Sum_of_Parts_4_20_01" xfId="517"/>
    <cellStyle name="_MultipleSpace_CSC_Palm_Sum_of_Parts_5_23_01a" xfId="518"/>
    <cellStyle name="_MultipleSpace_Dave Model Final v 1" xfId="519"/>
    <cellStyle name="_MultipleSpace_DCF Analysis" xfId="520"/>
    <cellStyle name="_MultipleSpace_DIS Go Private Analysis v23" xfId="521"/>
    <cellStyle name="_MultipleSpace_Eagle Ridge Cash Flow 01-10-02_GS" xfId="522"/>
    <cellStyle name="_MultipleSpace_Eutelsat and Capex Analysis" xfId="523"/>
    <cellStyle name="_MultipleSpace_Excel Inserts_v4" xfId="524"/>
    <cellStyle name="_MultipleSpace_Final Canadian Bank Comp (sent to IBD)FORM" xfId="525"/>
    <cellStyle name="_MultipleSpace_Football Field" xfId="526"/>
    <cellStyle name="_MultipleSpace_IBES_EPS_Estimates" xfId="527"/>
    <cellStyle name="_MultipleSpace_Master_Telecom_Equipment_CSCb" xfId="528"/>
    <cellStyle name="_MultipleSpace_Merger Model - Exec" xfId="529"/>
    <cellStyle name="_MultipleSpace_merger plans" xfId="530"/>
    <cellStyle name="_MultipleSpace_model_bk" xfId="531"/>
    <cellStyle name="_MultipleSpace_model_bk_BCE Model 1-8-07" xfId="532"/>
    <cellStyle name="_MultipleSpace_monet_final_w_output" xfId="533"/>
    <cellStyle name="_MultipleSpace_monet2.4" xfId="534"/>
    <cellStyle name="_MultipleSpace_monet2.4_BCE Model 1-8-07" xfId="535"/>
    <cellStyle name="_MultipleSpace_monet2.4_temp" xfId="536"/>
    <cellStyle name="_MultipleSpace_monet2.4_temp_BCE Model 1-8-07" xfId="537"/>
    <cellStyle name="_MultipleSpace_monet2.8" xfId="538"/>
    <cellStyle name="_MultipleSpace_monet2.8_BCE Model 1-8-07" xfId="539"/>
    <cellStyle name="_MultipleSpace_MotLion Projections may" xfId="540"/>
    <cellStyle name="_MultipleSpace_Old Life CSC" xfId="541"/>
    <cellStyle name="_MultipleSpace_pace_merger plans" xfId="542"/>
    <cellStyle name="_MultipleSpace_Palm Model 10_05" xfId="543"/>
    <cellStyle name="_MultipleSpace_pdf file" xfId="544"/>
    <cellStyle name="_MultipleSpace_PNC_PF_2Q_update" xfId="545"/>
    <cellStyle name="_MultipleSpace_Potential Strategic Partners" xfId="546"/>
    <cellStyle name="_MultipleSpace_QVC LBO Model 2-12-03 v3" xfId="547"/>
    <cellStyle name="_MultipleSpace_RJB Long LBO LTM" xfId="548"/>
    <cellStyle name="_MultipleSpace_Summary Valuation Analysis" xfId="549"/>
    <cellStyle name="_MultipleSpace_Synergies" xfId="550"/>
    <cellStyle name="_MultipleSpace_Troon DCF Model 8-13-02 v1" xfId="551"/>
    <cellStyle name="_MultipleSpace_Troon DCF Model 8-13-02 v1_BCE Model 1-8-07" xfId="552"/>
    <cellStyle name="_MultipleSpace_Troon Financials 8-1-02" xfId="553"/>
    <cellStyle name="_MultipleSpace_Troon LLC FS dpakedit 8-7-02" xfId="554"/>
    <cellStyle name="_MultipleSpace_Troon LLC FS dpakedit 8-7-02 v3" xfId="555"/>
    <cellStyle name="_MultipleSpace_Troon LLC FS dpakedit 8-7-02 v4" xfId="556"/>
    <cellStyle name="_MultipleSpace_Troon_EBITDA" xfId="557"/>
    <cellStyle name="_MultipleSpace_Valuation Overview - June 2001" xfId="558"/>
    <cellStyle name="_MultipleSpace_Valuation Overview - June 2001_BCE Model 1-8-07" xfId="559"/>
    <cellStyle name="_MultipleSpace_Valuation_Troon dpak 8-5-02 v3" xfId="560"/>
    <cellStyle name="_Output" xfId="561"/>
    <cellStyle name="_Percent" xfId="562"/>
    <cellStyle name="_Percent_101306 CanWest Excel BAck up v14" xfId="563"/>
    <cellStyle name="_Percent_Acquisition Ops 3" xfId="564"/>
    <cellStyle name="_Percent_Alamosa Merger" xfId="565"/>
    <cellStyle name="_Percent_Alamosa Standalone8b" xfId="566"/>
    <cellStyle name="_Percent_AVP" xfId="567"/>
    <cellStyle name="_Percent_Book1" xfId="568"/>
    <cellStyle name="_Percent_COMBO Final DCF_2" xfId="569"/>
    <cellStyle name="_Percent_Comparative Balance Sheets" xfId="570"/>
    <cellStyle name="_Percent_CSC with WACC" xfId="571"/>
    <cellStyle name="_Percent_Eutelsat and Capex Analysis" xfId="572"/>
    <cellStyle name="_Percent_Master_Telecom_Equipment_CSCb" xfId="573"/>
    <cellStyle name="_Percent_Merger Model - Exec" xfId="574"/>
    <cellStyle name="_Percent_merger plans" xfId="575"/>
    <cellStyle name="_Percent_monet2.4" xfId="576"/>
    <cellStyle name="_Percent_monet2.4_temp" xfId="577"/>
    <cellStyle name="_Percent_monet2.8" xfId="578"/>
    <cellStyle name="_Percent_MotLion Projections may" xfId="579"/>
    <cellStyle name="_Percent_pace_merger plans" xfId="580"/>
    <cellStyle name="_Percent_Palm Model 10_05" xfId="581"/>
    <cellStyle name="_Percent_pdf file" xfId="582"/>
    <cellStyle name="_Percent_Sources and Uses FINAL dpakedit v2" xfId="583"/>
    <cellStyle name="_Percent_Valuation Overview - June 2001" xfId="584"/>
    <cellStyle name="_Percent_Valuation_Troon dpak 8-5-02 v3" xfId="585"/>
    <cellStyle name="_PercentReal" xfId="586"/>
    <cellStyle name="_PercentReal_BCE Model 1-8-07" xfId="587"/>
    <cellStyle name="_PercentReal_bs_avp" xfId="588"/>
    <cellStyle name="_PercentReal_bs_avp_BCE Model 1-8-07" xfId="589"/>
    <cellStyle name="_percentReal_monet_final_w_output" xfId="590"/>
    <cellStyle name="_percentReal_monet_final_w_output_BCE Model 1-8-07" xfId="591"/>
    <cellStyle name="_PercentSpace" xfId="592"/>
    <cellStyle name="_PercentSpace_101306 CanWest Excel BAck up v14" xfId="593"/>
    <cellStyle name="_PercentSpace_101306 CanWest Excel BAck up v14_BCE LBO Analysis (02_4_07) MASTER V6" xfId="594"/>
    <cellStyle name="_PercentSpace_Acquisition Ops 3" xfId="595"/>
    <cellStyle name="_PercentSpace_Alamosa Merger" xfId="596"/>
    <cellStyle name="_PercentSpace_Alamosa Merger_BCE LBO Analysis (02_4_07) MASTER V6" xfId="597"/>
    <cellStyle name="_PercentSpace_Alamosa Standalone8b" xfId="598"/>
    <cellStyle name="_PercentSpace_Alamosa Standalone8b_BCE LBO Analysis (02_4_07) MASTER V6" xfId="599"/>
    <cellStyle name="_PercentSpace_AVP" xfId="600"/>
    <cellStyle name="_PercentSpace_Book1" xfId="601"/>
    <cellStyle name="_PercentSpace_Book1_Merger Plan 2-10-04 GSIBDv3" xfId="602"/>
    <cellStyle name="_PercentSpace_COMBO Final DCF_2" xfId="603"/>
    <cellStyle name="_PercentSpace_Comparative Balance Sheets" xfId="604"/>
    <cellStyle name="_PercentSpace_CSC with WACC" xfId="605"/>
    <cellStyle name="_PercentSpace_Eutelsat and Capex Analysis" xfId="606"/>
    <cellStyle name="_PercentSpace_Master_Telecom_Equipment_CSCb" xfId="607"/>
    <cellStyle name="_PercentSpace_Merger Model - Exec" xfId="608"/>
    <cellStyle name="_PercentSpace_merger plans" xfId="609"/>
    <cellStyle name="_PercentSpace_monet2.4" xfId="610"/>
    <cellStyle name="_PercentSpace_monet2.4_temp" xfId="611"/>
    <cellStyle name="_PercentSpace_monet2.8" xfId="612"/>
    <cellStyle name="_PercentSpace_MotLion Projections may" xfId="613"/>
    <cellStyle name="_PercentSpace_pace_merger plans" xfId="614"/>
    <cellStyle name="_PercentSpace_Palm Model 10_05" xfId="615"/>
    <cellStyle name="_PercentSpace_pdf file" xfId="616"/>
    <cellStyle name="_PercentSpace_Projections--Management (Data Room)v6" xfId="617"/>
    <cellStyle name="_PercentSpace_RJB Long LBO LTM" xfId="618"/>
    <cellStyle name="_PercentSpace_Sources and Uses FINAL dpakedit v2" xfId="619"/>
    <cellStyle name="_PercentSpace_Valuation Overview - June 2001" xfId="620"/>
    <cellStyle name="_PercentSpace_Valuation_Troon dpak 8-5-02 v3" xfId="621"/>
    <cellStyle name="_Preliminary LBO model 012305" xfId="622"/>
    <cellStyle name="_Sources and Uses FINAL dpakedit v2" xfId="623"/>
    <cellStyle name="_SubHeading" xfId="624"/>
    <cellStyle name="_SubHeading_01 model" xfId="625"/>
    <cellStyle name="_SubHeading_01 Selected Financials_Salt Business" xfId="626"/>
    <cellStyle name="_SubHeading_02 Potential Partner Ability to Pay Analysis2" xfId="627"/>
    <cellStyle name="_SubHeading_02 Quick Model_PQ Corporation" xfId="628"/>
    <cellStyle name="_SubHeading_06 Analysis at Various Prices" xfId="629"/>
    <cellStyle name="_SubHeading_12 Merger Plans" xfId="630"/>
    <cellStyle name="_SubHeading_accretion dilution analysis" xfId="631"/>
    <cellStyle name="_SubHeading_bank_csc_and merger plan4" xfId="632"/>
    <cellStyle name="_SubHeading_bank_csc_Q1_2001" xfId="633"/>
    <cellStyle name="_SubHeading_bank_csc_Q2_2001" xfId="634"/>
    <cellStyle name="_SubHeading_bank_csc_Q2_2001_c1" xfId="635"/>
    <cellStyle name="_SubHeading_Book1" xfId="636"/>
    <cellStyle name="_SubHeading_CSC with WACC" xfId="637"/>
    <cellStyle name="_SubHeading_CSC_Palm_Sum_of_Parts_5_23_01a" xfId="638"/>
    <cellStyle name="_SubHeading_Dave Model Final v 1" xfId="639"/>
    <cellStyle name="_SubHeading_er" xfId="640"/>
    <cellStyle name="_SubHeading_FigTech Merger Model_02" xfId="641"/>
    <cellStyle name="_SubHeading_Final Canadian Bank Comp (sent to IBD)FORM" xfId="642"/>
    <cellStyle name="_SubHeading_Financials Layout dpak 9-26-01 v1" xfId="643"/>
    <cellStyle name="_SubHeading_Football Field" xfId="644"/>
    <cellStyle name="_SubHeading_IBES_EPS_Estimates" xfId="645"/>
    <cellStyle name="_SubHeading_lbo_long_model" xfId="646"/>
    <cellStyle name="_SubHeading_Master_Telecom_Equipment_CSC_5_9_01_v02" xfId="647"/>
    <cellStyle name="_SubHeading_Master_Telecom_Equipment_CSCb" xfId="648"/>
    <cellStyle name="_SubHeading_MAXF historical financials" xfId="649"/>
    <cellStyle name="_SubHeading_Merger model_new_ability to pay" xfId="650"/>
    <cellStyle name="_SubHeading_Merger Plan 31-Scenario 12" xfId="651"/>
    <cellStyle name="_SubHeading_merger plans_June 1" xfId="652"/>
    <cellStyle name="_SubHeading_model_bk" xfId="653"/>
    <cellStyle name="_SubHeading_monet2.4" xfId="654"/>
    <cellStyle name="_SubHeading_MotLion Projections may" xfId="655"/>
    <cellStyle name="_SubHeading_PL Consolidated (2003)" xfId="656"/>
    <cellStyle name="_SubHeading_PNC_merger_plan_divestitures_05" xfId="657"/>
    <cellStyle name="_SubHeading_Potential Strategic Partners" xfId="658"/>
    <cellStyle name="_SubHeading_prestemp" xfId="659"/>
    <cellStyle name="_SubHeading_prestemp_1" xfId="660"/>
    <cellStyle name="_SubHeading_prestemp_AVP - prev. 06 financials" xfId="661"/>
    <cellStyle name="_SubHeading_prestemp_Palm Model 10_05" xfId="662"/>
    <cellStyle name="_SubHeading_prestemp_PNC_merger_plan_divestitures_05" xfId="663"/>
    <cellStyle name="_SubHeading_prestemp_PNC_PF_2Q_update" xfId="664"/>
    <cellStyle name="_SubHeading_prestemp_Simple Merger Plans" xfId="665"/>
    <cellStyle name="_SubHeading_prestemp_Troon DCF Model 8-13-02 v1" xfId="666"/>
    <cellStyle name="_SubHeading_prestemp_Valuation_Troon dpak 8-5-02 v3" xfId="667"/>
    <cellStyle name="_SubHeading_Simple Merger Plans" xfId="668"/>
    <cellStyle name="_SubHeading_Stallion Analysis_a" xfId="669"/>
    <cellStyle name="_SubHeading_stand_alone_dcf" xfId="670"/>
    <cellStyle name="_SubHeading_Summary Financials 04" xfId="671"/>
    <cellStyle name="_SubHeading_Summary Valuation Analysis" xfId="672"/>
    <cellStyle name="_SubHeading_Synergies" xfId="673"/>
    <cellStyle name="_SubHeading_Troon DCF Model 8-13-02 v1" xfId="674"/>
    <cellStyle name="_SubHeading_Troon LLC FS dpakedit 8-7-02" xfId="675"/>
    <cellStyle name="_SubHeading_Troon LLC FS dpakedit 8-7-02 v3" xfId="676"/>
    <cellStyle name="_SubHeading_Troon LLC FS dpakedit 8-7-02 v4" xfId="677"/>
    <cellStyle name="_SubHeading_Valuation_Troon dpak 8-5-02 v3" xfId="678"/>
    <cellStyle name="_Table" xfId="679"/>
    <cellStyle name="_Table_01 model" xfId="680"/>
    <cellStyle name="_Table_01 Selected Financials_Salt Business" xfId="681"/>
    <cellStyle name="_Table_02 Potential Partner Ability to Pay Analysis2" xfId="682"/>
    <cellStyle name="_Table_02 Quick Model_PQ Corporation" xfId="683"/>
    <cellStyle name="_Table_06 Analysis at Various Prices" xfId="684"/>
    <cellStyle name="_Table_12 Merger Plans" xfId="685"/>
    <cellStyle name="_Table_accretion dilution analysis" xfId="686"/>
    <cellStyle name="_Table_bank_csc_and merger plan4" xfId="687"/>
    <cellStyle name="_Table_bank_csc_and merger plan4 2" xfId="1348"/>
    <cellStyle name="_Table_bank_csc_Q1_2001" xfId="688"/>
    <cellStyle name="_Table_bank_csc_Q2_2001" xfId="689"/>
    <cellStyle name="_Table_bank_csc_Q2_2001 2" xfId="1347"/>
    <cellStyle name="_Table_bank_csc_Q2_2001_c1" xfId="690"/>
    <cellStyle name="_Table_bank_csc_Q2_2001_c1 2" xfId="1346"/>
    <cellStyle name="_Table_CSC_Palm_Sum_of_Parts_5_23_01a" xfId="691"/>
    <cellStyle name="_Table_Dave Model Final v 1" xfId="692"/>
    <cellStyle name="_Table_FigTech Merger Model_02" xfId="693"/>
    <cellStyle name="_Table_Financials Layout dpak 9-26-01 v1" xfId="694"/>
    <cellStyle name="_Table_Football Field" xfId="695"/>
    <cellStyle name="_Table_Football Field 2" xfId="1345"/>
    <cellStyle name="_Table_IBES_EPS_Estimates" xfId="696"/>
    <cellStyle name="_Table_Merger model_new_ability to pay" xfId="697"/>
    <cellStyle name="_Table_model_bk" xfId="698"/>
    <cellStyle name="_Table_monet_final_w_output" xfId="699"/>
    <cellStyle name="_Table_monet_final_w_output 2" xfId="1344"/>
    <cellStyle name="_Table_Palm Model 10_05" xfId="700"/>
    <cellStyle name="_Table_PNC_merger_plan_divestitures_05" xfId="701"/>
    <cellStyle name="_Table_Potential Strategic Partners" xfId="702"/>
    <cellStyle name="_Table_Simple Merger Plans" xfId="703"/>
    <cellStyle name="_Table_Simple Merger Plans 2" xfId="1343"/>
    <cellStyle name="_Table_Stallion Analysis_a" xfId="704"/>
    <cellStyle name="_Table_stand_alone_dcf" xfId="705"/>
    <cellStyle name="_Table_Summary Valuation Analysis" xfId="706"/>
    <cellStyle name="_Table_Synergies" xfId="707"/>
    <cellStyle name="_Table_Troon DCF Model 8-13-02 v1" xfId="708"/>
    <cellStyle name="_Table_Troon DCF Model 8-13-02 v1 2" xfId="1342"/>
    <cellStyle name="_Table_Troon LLC FS dpakedit 8-7-02" xfId="709"/>
    <cellStyle name="_Table_Troon LLC FS dpakedit 8-7-02 v3" xfId="710"/>
    <cellStyle name="_Table_Troon LLC FS dpakedit 8-7-02 v4" xfId="711"/>
    <cellStyle name="_Table_Valuation_Troon dpak 8-5-02 v3" xfId="712"/>
    <cellStyle name="_TableHead" xfId="713"/>
    <cellStyle name="_TableHead_01 Selected Financials_Salt Business" xfId="714"/>
    <cellStyle name="_TableHead_02 Quick Model_PQ Corporation" xfId="715"/>
    <cellStyle name="_TableHead_06 Analysis at Various Prices" xfId="716"/>
    <cellStyle name="_TableHead_accretion dilution analysis" xfId="717"/>
    <cellStyle name="_TableHead_AVP - prev. 06 financials" xfId="718"/>
    <cellStyle name="_TableHead_bank_csc_Q1_2001" xfId="719"/>
    <cellStyle name="_TableHead_bank_csc_Q2_2001_c1" xfId="720"/>
    <cellStyle name="_TableHead_CSC_Palm_Sum_of_Parts_5_23_01a" xfId="721"/>
    <cellStyle name="_TableHead_Dave Model Final v 1" xfId="722"/>
    <cellStyle name="_TableHead_Financials Layout dpak 9-26-01 v1" xfId="723"/>
    <cellStyle name="_TableHead_IBES_EPS_Estimates" xfId="724"/>
    <cellStyle name="_TableHead_model_bk" xfId="725"/>
    <cellStyle name="_TableHead_monet_final_w_output" xfId="726"/>
    <cellStyle name="_TableHead_Palm Model 10_05" xfId="727"/>
    <cellStyle name="_TableHead_Potential Strategic Partners" xfId="728"/>
    <cellStyle name="_TableHead_Simple Merger Plans" xfId="729"/>
    <cellStyle name="_TableRowBorder" xfId="730"/>
    <cellStyle name="_TableRowHead" xfId="731"/>
    <cellStyle name="_TableRowHead_01 Selected Financials_Salt Business" xfId="732"/>
    <cellStyle name="_TableRowHead_02 Quick Model_PQ Corporation" xfId="733"/>
    <cellStyle name="_TableRowHead_06 Analysis at Various Prices" xfId="734"/>
    <cellStyle name="_TableRowHead_accretion dilution analysis" xfId="735"/>
    <cellStyle name="_TableRowHead_CSC_Palm_Sum_of_Parts_5_23_01a" xfId="736"/>
    <cellStyle name="_TableRowHead_Dave Model Final v 1" xfId="737"/>
    <cellStyle name="_TableRowHead_Financials Layout dpak 9-26-01 v1" xfId="738"/>
    <cellStyle name="_TableRowHead_IBES_EPS_Estimates" xfId="739"/>
    <cellStyle name="_TableRowHead_Palm Model 10_05" xfId="740"/>
    <cellStyle name="_TableRowHead_Potential Strategic Partners" xfId="741"/>
    <cellStyle name="_TableRowHead_Simple Merger Plans" xfId="742"/>
    <cellStyle name="_TableSuperHead" xfId="743"/>
    <cellStyle name="_TableSuperHead_01 model" xfId="744"/>
    <cellStyle name="_TableSuperHead_01 Selected Financials_Salt Business" xfId="745"/>
    <cellStyle name="_TableSuperHead_02 Potential Partner Ability to Pay Analysis2" xfId="746"/>
    <cellStyle name="_TableSuperHead_02 Quick Model_PQ Corporation" xfId="747"/>
    <cellStyle name="_TableSuperHead_06 Analysis at Various Prices" xfId="748"/>
    <cellStyle name="_TableSuperHead_12 Merger Plans" xfId="749"/>
    <cellStyle name="_TableSuperHead_accretion dilution analysis" xfId="750"/>
    <cellStyle name="_TableSuperHead_AVP - prev. 06 financials" xfId="751"/>
    <cellStyle name="_TableSuperHead_bank_csc_and merger plan4" xfId="752"/>
    <cellStyle name="_TableSuperHead_bank_csc_Q1_2001" xfId="753"/>
    <cellStyle name="_TableSuperHead_bank_csc_Q2_2001" xfId="754"/>
    <cellStyle name="_TableSuperHead_bank_csc_Q2_2001_c1" xfId="755"/>
    <cellStyle name="_TableSuperHead_CSC_Palm_Sum_of_Parts_5_23_01a" xfId="756"/>
    <cellStyle name="_TableSuperHead_Dave Model Final v 1" xfId="757"/>
    <cellStyle name="_TableSuperHead_FigTech Merger Model_02" xfId="758"/>
    <cellStyle name="_TableSuperHead_Financials Layout dpak 9-26-01 v1" xfId="759"/>
    <cellStyle name="_TableSuperHead_Football Field" xfId="760"/>
    <cellStyle name="_TableSuperHead_IBES_EPS_Estimates" xfId="761"/>
    <cellStyle name="_TableSuperHead_Merger model_new_ability to pay" xfId="762"/>
    <cellStyle name="_TableSuperHead_model_bk" xfId="763"/>
    <cellStyle name="_TableSuperHead_monet_final_w_output" xfId="764"/>
    <cellStyle name="_TableSuperHead_Palm Model 10_05" xfId="765"/>
    <cellStyle name="_TableSuperHead_PNC_merger_plan_divestitures_05" xfId="766"/>
    <cellStyle name="_TableSuperHead_Potential Strategic Partners" xfId="767"/>
    <cellStyle name="_TableSuperHead_Simple Merger Plans" xfId="768"/>
    <cellStyle name="_TableSuperHead_Stallion Analysis_a" xfId="769"/>
    <cellStyle name="_TableSuperHead_stand_alone_dcf" xfId="770"/>
    <cellStyle name="_TableSuperHead_Summary Valuation Analysis" xfId="771"/>
    <cellStyle name="_TableSuperHead_Synergies" xfId="772"/>
    <cellStyle name="_TableSuperHead_Troon DCF Model 8-13-02 v1" xfId="773"/>
    <cellStyle name="_TableSuperHead_Troon LLC FS dpakedit 8-7-02" xfId="774"/>
    <cellStyle name="_TableSuperHead_Troon LLC FS dpakedit 8-7-02 v3" xfId="775"/>
    <cellStyle name="_TableSuperHead_Troon LLC FS dpakedit 8-7-02 v4" xfId="776"/>
    <cellStyle name="_TableSuperHead_Valuation_Troon dpak 8-5-02 v3" xfId="777"/>
    <cellStyle name="_Titan Standalone" xfId="778"/>
    <cellStyle name="_WACC Analysis" xfId="779"/>
    <cellStyle name="_Year" xfId="780"/>
    <cellStyle name="_Year_BCE Model 1-8-07" xfId="781"/>
    <cellStyle name="-" xfId="2"/>
    <cellStyle name=";;;" xfId="33"/>
    <cellStyle name="??" xfId="34"/>
    <cellStyle name="?? [0.00]_??????cula" xfId="35"/>
    <cellStyle name="?? [0]_??" xfId="36"/>
    <cellStyle name="??_?.????" xfId="40"/>
    <cellStyle name="???_~ME0858" xfId="39"/>
    <cellStyle name="?????_VERA" xfId="37"/>
    <cellStyle name="???[0]_~ME0858" xfId="38"/>
    <cellStyle name="’Ê‰Ý [0.00]_Cover" xfId="782"/>
    <cellStyle name="’Ê‰Ý_Cover" xfId="783"/>
    <cellStyle name="]_EUARNEW5_EMF Reports - Shipments" xfId="53"/>
    <cellStyle name="]_Labour Efficiency" xfId="54"/>
    <cellStyle name="******************************************" xfId="31"/>
    <cellStyle name="*MILLS" xfId="32"/>
    <cellStyle name="\" xfId="41"/>
    <cellStyle name="\_BLS_Directories_v6" xfId="42"/>
    <cellStyle name="\_bluebirdacdil13" xfId="43"/>
    <cellStyle name="\_ecomps7w" xfId="44"/>
    <cellStyle name="\_equitycomps8" xfId="45"/>
    <cellStyle name="\_equitycomps9" xfId="46"/>
    <cellStyle name="\_houston Isabel" xfId="47"/>
    <cellStyle name="\_hybrid2" xfId="48"/>
    <cellStyle name="\_ITXCcomps" xfId="49"/>
    <cellStyle name="\_newcomps16" xfId="50"/>
    <cellStyle name="\_ravenpitch3" xfId="51"/>
    <cellStyle name="\_ravenpitch32" xfId="52"/>
    <cellStyle name="#" xfId="5"/>
    <cellStyle name="#-" xfId="6"/>
    <cellStyle name="%" xfId="18"/>
    <cellStyle name="% Growth" xfId="20"/>
    <cellStyle name="% Input" xfId="21"/>
    <cellStyle name="% of Revenues" xfId="22"/>
    <cellStyle name="% Presentation" xfId="23"/>
    <cellStyle name="%_FS" xfId="29"/>
    <cellStyle name="%_GS Model" xfId="30"/>
    <cellStyle name="%-" xfId="19"/>
    <cellStyle name="%.0" xfId="24"/>
    <cellStyle name="%.00" xfId="25"/>
    <cellStyle name="%.1" xfId="26"/>
    <cellStyle name="%.2" xfId="27"/>
    <cellStyle name="%.3" xfId="28"/>
    <cellStyle name="•W_Cover" xfId="797"/>
    <cellStyle name="•W€_Capital Structure" xfId="796"/>
    <cellStyle name="=C:\WINDOWS\SYSTEM32\COMMAND.COM" xfId="793"/>
    <cellStyle name="=C:\WINNT\SYSTEM32\COMMAND.COM" xfId="794"/>
    <cellStyle name="=C:\WINNT35\SYSTEM32\COMMAND.COM" xfId="795"/>
    <cellStyle name="¤@¯ë_pldt" xfId="791"/>
    <cellStyle name="¢ Currency [1]" xfId="784"/>
    <cellStyle name="¢ Currency [2]" xfId="785"/>
    <cellStyle name="¢ Currency [3]" xfId="786"/>
    <cellStyle name="$" xfId="7"/>
    <cellStyle name="$ &amp; ¢" xfId="9"/>
    <cellStyle name="$_101306 CanWest Excel BAck up v14" xfId="10"/>
    <cellStyle name="$_BCE Model 1-8-07" xfId="11"/>
    <cellStyle name="$_FS" xfId="12"/>
    <cellStyle name="$_ILEC LBO" xfId="13"/>
    <cellStyle name="$_NeptunePIA LBO Model 9-2-03 Final Deepak Final" xfId="14"/>
    <cellStyle name="$_Pro forma ownership analysis_06.12.02_v9" xfId="15"/>
    <cellStyle name="$-" xfId="8"/>
    <cellStyle name="$m" xfId="16"/>
    <cellStyle name="$MILLS" xfId="17"/>
    <cellStyle name="£ BP" xfId="787"/>
    <cellStyle name="£ Currency [0]" xfId="788"/>
    <cellStyle name="£ Currency [1]" xfId="789"/>
    <cellStyle name="£ Currency [2]" xfId="790"/>
    <cellStyle name="¥ JY" xfId="792"/>
    <cellStyle name="0" xfId="798"/>
    <cellStyle name="0_CKFR Model 11-30-06" xfId="806"/>
    <cellStyle name="0_CKFR Model 11-30-06_BCE Model 1-8-07" xfId="807"/>
    <cellStyle name="0.0" xfId="800"/>
    <cellStyle name="0.0 NORMAL" xfId="801"/>
    <cellStyle name="0.0 PERCENT" xfId="802"/>
    <cellStyle name="0.0%" xfId="803"/>
    <cellStyle name="0.00" xfId="804"/>
    <cellStyle name="0.00%" xfId="805"/>
    <cellStyle name="0%" xfId="799"/>
    <cellStyle name="000" xfId="808"/>
    <cellStyle name="000 2" xfId="1349"/>
    <cellStyle name="0000" xfId="809"/>
    <cellStyle name="000000" xfId="810"/>
    <cellStyle name="1,comma" xfId="811"/>
    <cellStyle name="³f¹ô_pldt" xfId="813"/>
    <cellStyle name="³f¹ô[0]_pldt" xfId="812"/>
    <cellStyle name="752131" xfId="814"/>
    <cellStyle name="8" xfId="815"/>
    <cellStyle name="a - Comma" xfId="816"/>
    <cellStyle name="A_Block Space" xfId="817"/>
    <cellStyle name="A_BlueLine" xfId="818"/>
    <cellStyle name="A_Do not Change" xfId="819"/>
    <cellStyle name="A_Estimate" xfId="820"/>
    <cellStyle name="A_Memo" xfId="821"/>
    <cellStyle name="A_Normal" xfId="822"/>
    <cellStyle name="A_Normal Forecast" xfId="823"/>
    <cellStyle name="A_Normal Historical" xfId="824"/>
    <cellStyle name="A_Rate_Data" xfId="825"/>
    <cellStyle name="A_Rate_Data Historical" xfId="826"/>
    <cellStyle name="A_Rate_Title" xfId="827"/>
    <cellStyle name="A_Simple Title" xfId="828"/>
    <cellStyle name="A_Sum" xfId="829"/>
    <cellStyle name="A_SUM_Row Major" xfId="830"/>
    <cellStyle name="A_SUM_Row Minor" xfId="831"/>
    <cellStyle name="A_Title" xfId="832"/>
    <cellStyle name="A_YearHeadings" xfId="833"/>
    <cellStyle name="Absolute Change" xfId="834"/>
    <cellStyle name="Acctg" xfId="835"/>
    <cellStyle name="Acctg$" xfId="836"/>
    <cellStyle name="Actual data" xfId="837"/>
    <cellStyle name="Actual Date" xfId="838"/>
    <cellStyle name="Actual year" xfId="839"/>
    <cellStyle name="Actuals Cells" xfId="840"/>
    <cellStyle name="AFE" xfId="841"/>
    <cellStyle name="AFE 2" xfId="842"/>
    <cellStyle name="args.style" xfId="843"/>
    <cellStyle name="Arial 10" xfId="844"/>
    <cellStyle name="Arial 12" xfId="845"/>
    <cellStyle name="Arial6Bold" xfId="846"/>
    <cellStyle name="Arial6Bold 2" xfId="1350"/>
    <cellStyle name="Arial8Bold" xfId="847"/>
    <cellStyle name="Arial8Bold 2" xfId="1351"/>
    <cellStyle name="Arial8Italic" xfId="848"/>
    <cellStyle name="Arial8Italic 2" xfId="1352"/>
    <cellStyle name="ArialNormal" xfId="849"/>
    <cellStyle name="ArialNormal 2" xfId="1353"/>
    <cellStyle name="Ariel 7 pt. plain" xfId="850"/>
    <cellStyle name="Assumption" xfId="851"/>
    <cellStyle name="b - Line" xfId="852"/>
    <cellStyle name="b - Line - Dotted" xfId="853"/>
    <cellStyle name="Balance" xfId="854"/>
    <cellStyle name="Balance Sheet" xfId="855"/>
    <cellStyle name="BalanceSheet" xfId="856"/>
    <cellStyle name="Band 2" xfId="857"/>
    <cellStyle name="Bank1" xfId="858"/>
    <cellStyle name="BAS Comma [0]" xfId="859"/>
    <cellStyle name="BAS Comma [1]" xfId="860"/>
    <cellStyle name="BAS Currency [0]" xfId="861"/>
    <cellStyle name="BAS Currency [1]" xfId="862"/>
    <cellStyle name="BAS Currency [2]" xfId="863"/>
    <cellStyle name="BAS Multiple [1]" xfId="864"/>
    <cellStyle name="BAS Percent Actual [1]" xfId="865"/>
    <cellStyle name="Basic" xfId="866"/>
    <cellStyle name="BB_Date_mmm" xfId="867"/>
    <cellStyle name="BLACK" xfId="868"/>
    <cellStyle name="BlackStrike" xfId="869"/>
    <cellStyle name="BlackText" xfId="870"/>
    <cellStyle name="blank" xfId="871"/>
    <cellStyle name="Blank [,]" xfId="874"/>
    <cellStyle name="Blank [%]" xfId="873"/>
    <cellStyle name="Blank [$]" xfId="872"/>
    <cellStyle name="Blank [1,]" xfId="877"/>
    <cellStyle name="Blank [1%]" xfId="876"/>
    <cellStyle name="Blank [1$]" xfId="875"/>
    <cellStyle name="Blank [2,]" xfId="880"/>
    <cellStyle name="Blank [2%]" xfId="879"/>
    <cellStyle name="Blank [2$]" xfId="878"/>
    <cellStyle name="Blank [3,]" xfId="883"/>
    <cellStyle name="Blank [3%]" xfId="882"/>
    <cellStyle name="Blank [3$]" xfId="881"/>
    <cellStyle name="Blank Out" xfId="884"/>
    <cellStyle name="Blank_BCE Model 1-8-07" xfId="885"/>
    <cellStyle name="Block Titles" xfId="886"/>
    <cellStyle name="Blue" xfId="887"/>
    <cellStyle name="blue shading" xfId="888"/>
    <cellStyle name="Blue Table Text" xfId="889"/>
    <cellStyle name="Blue Title" xfId="890"/>
    <cellStyle name="Blue_060114 BMarkingSummary_aj v3" xfId="892"/>
    <cellStyle name="blue$00" xfId="891"/>
    <cellStyle name="bluenodec" xfId="893"/>
    <cellStyle name="bluepercent" xfId="894"/>
    <cellStyle name="Body" xfId="895"/>
    <cellStyle name="Bold" xfId="896"/>
    <cellStyle name="Bold/Border" xfId="897"/>
    <cellStyle name="BoldText" xfId="898"/>
    <cellStyle name="Border" xfId="899"/>
    <cellStyle name="Border Heavy" xfId="900"/>
    <cellStyle name="Border Thin" xfId="901"/>
    <cellStyle name="border_BCE Model 1-8-07" xfId="906"/>
    <cellStyle name="Border, Bottom" xfId="902"/>
    <cellStyle name="Border, Left" xfId="903"/>
    <cellStyle name="Border, Right" xfId="904"/>
    <cellStyle name="Border, Top" xfId="905"/>
    <cellStyle name="BorderBold" xfId="907"/>
    <cellStyle name="Bottom bold border" xfId="908"/>
    <cellStyle name="Bottom Edge" xfId="909"/>
    <cellStyle name="Bottom Edge 2" xfId="1354"/>
    <cellStyle name="Bottom single border" xfId="910"/>
    <cellStyle name="British Pound" xfId="911"/>
    <cellStyle name="bullet" xfId="912"/>
    <cellStyle name="Bullet [0]" xfId="913"/>
    <cellStyle name="Bullet [2]" xfId="914"/>
    <cellStyle name="Bullet [4]" xfId="915"/>
    <cellStyle name="Bullet_FS" xfId="916"/>
    <cellStyle name="Business Description" xfId="917"/>
    <cellStyle name="BvDAddIn_Currency" xfId="918"/>
    <cellStyle name="c" xfId="919"/>
    <cellStyle name="c_BCE Model 1-8-07" xfId="920"/>
    <cellStyle name="c_comps_1" xfId="921"/>
    <cellStyle name="C05_Style E Text" xfId="922"/>
    <cellStyle name="c3" xfId="923"/>
    <cellStyle name="Calc" xfId="924"/>
    <cellStyle name="Calc Cells" xfId="925"/>
    <cellStyle name="Calc Currency (0)" xfId="926"/>
    <cellStyle name="Calc Currency (2)" xfId="927"/>
    <cellStyle name="Calc Percent (0)" xfId="928"/>
    <cellStyle name="Calc Percent (1)" xfId="929"/>
    <cellStyle name="Calc Percent (2)" xfId="930"/>
    <cellStyle name="Calc Units (0)" xfId="931"/>
    <cellStyle name="Calc Units (1)" xfId="932"/>
    <cellStyle name="Calc Units (2)" xfId="933"/>
    <cellStyle name="Calc_BCE Model 1-8-07" xfId="935"/>
    <cellStyle name="Calc$" xfId="934"/>
    <cellStyle name="Caption" xfId="936"/>
    <cellStyle name="Case" xfId="937"/>
    <cellStyle name="Cash Flow Statement" xfId="938"/>
    <cellStyle name="CashFlow" xfId="939"/>
    <cellStyle name="category" xfId="940"/>
    <cellStyle name="Category Name" xfId="941"/>
    <cellStyle name="Category Name 2" xfId="1355"/>
    <cellStyle name="center" xfId="942"/>
    <cellStyle name="Center Across" xfId="943"/>
    <cellStyle name="Centered Heading" xfId="944"/>
    <cellStyle name="Cents" xfId="945"/>
    <cellStyle name="Ch, Column Header" xfId="946"/>
    <cellStyle name="Changeable" xfId="947"/>
    <cellStyle name="Check" xfId="948"/>
    <cellStyle name="Clean" xfId="949"/>
    <cellStyle name="Client Name" xfId="950"/>
    <cellStyle name="Co. Names" xfId="951"/>
    <cellStyle name="Co. Names - Bold" xfId="952"/>
    <cellStyle name="Co. Names_FS" xfId="953"/>
    <cellStyle name="COL HEADINGS" xfId="954"/>
    <cellStyle name="Colhead_left" xfId="955"/>
    <cellStyle name="ColHeading" xfId="956"/>
    <cellStyle name="colheadleft" xfId="957"/>
    <cellStyle name="colheadright" xfId="958"/>
    <cellStyle name="Collegamento ipertestuale_PLDT" xfId="959"/>
    <cellStyle name="Column Heading" xfId="960"/>
    <cellStyle name="Column Heading 2" xfId="1356"/>
    <cellStyle name="Column Headings" xfId="961"/>
    <cellStyle name="column1" xfId="962"/>
    <cellStyle name="column1Big" xfId="963"/>
    <cellStyle name="ColumnHeadings" xfId="964"/>
    <cellStyle name="ColumnHeadings2" xfId="965"/>
    <cellStyle name="coma" xfId="966"/>
    <cellStyle name="comm" xfId="967"/>
    <cellStyle name="Comma  - Style1" xfId="968"/>
    <cellStyle name="Comma  - Style2" xfId="969"/>
    <cellStyle name="Comma  - Style3" xfId="970"/>
    <cellStyle name="Comma  - Style4" xfId="971"/>
    <cellStyle name="Comma  - Style5" xfId="972"/>
    <cellStyle name="Comma  - Style6" xfId="973"/>
    <cellStyle name="Comma  - Style7" xfId="974"/>
    <cellStyle name="Comma  - Style8" xfId="975"/>
    <cellStyle name="Comma [0] Total" xfId="976"/>
    <cellStyle name="Comma [00]" xfId="977"/>
    <cellStyle name="Comma [1]" xfId="978"/>
    <cellStyle name="Comma [1] Total" xfId="979"/>
    <cellStyle name="Comma [1]_060114 BMarkingSummary_aj v3" xfId="980"/>
    <cellStyle name="Comma [2]" xfId="981"/>
    <cellStyle name="Comma [2] Total" xfId="982"/>
    <cellStyle name="Comma [2]_BCE Model 1-8-07" xfId="983"/>
    <cellStyle name="Comma [3]" xfId="984"/>
    <cellStyle name="Comma 0" xfId="985"/>
    <cellStyle name="Comma 0*" xfId="986"/>
    <cellStyle name="Comma 2" xfId="987"/>
    <cellStyle name="Comma 2*" xfId="988"/>
    <cellStyle name="comma 3" xfId="989"/>
    <cellStyle name="Comma 3*" xfId="990"/>
    <cellStyle name="Comma 4" xfId="991"/>
    <cellStyle name="Comma Cents" xfId="992"/>
    <cellStyle name="comma zerodec" xfId="993"/>
    <cellStyle name="Comma-Rounded" xfId="1006"/>
    <cellStyle name="Comma, 1 dec" xfId="995"/>
    <cellStyle name="Comma*" xfId="994"/>
    <cellStyle name="Comma0" xfId="996"/>
    <cellStyle name="Comma0 - Modelo1" xfId="997"/>
    <cellStyle name="Comma0 - Style1" xfId="998"/>
    <cellStyle name="comma0_BCE Model 1-8-07" xfId="999"/>
    <cellStyle name="Comma1" xfId="1000"/>
    <cellStyle name="Comma1 - Modelo2" xfId="1001"/>
    <cellStyle name="Comma1 - Style2" xfId="1002"/>
    <cellStyle name="Comma2" xfId="1003"/>
    <cellStyle name="Comma2 2" xfId="1357"/>
    <cellStyle name="Comma3" xfId="1004"/>
    <cellStyle name="CommaKM" xfId="1005"/>
    <cellStyle name="commas" xfId="1007"/>
    <cellStyle name="Comment" xfId="1008"/>
    <cellStyle name="Company" xfId="1009"/>
    <cellStyle name="Company Name" xfId="1010"/>
    <cellStyle name="CompanyName" xfId="1011"/>
    <cellStyle name="Copied" xfId="1012"/>
    <cellStyle name="Cost" xfId="1013"/>
    <cellStyle name="Cover Date" xfId="1014"/>
    <cellStyle name="Cover Subtitle" xfId="1015"/>
    <cellStyle name="Cover Title" xfId="1016"/>
    <cellStyle name="COVERAGE" xfId="1017"/>
    <cellStyle name="cpmma" xfId="1018"/>
    <cellStyle name="Cur" xfId="1019"/>
    <cellStyle name="CurRatio" xfId="1020"/>
    <cellStyle name="Currency ($)" xfId="1021"/>
    <cellStyle name="Currency (£)" xfId="1022"/>
    <cellStyle name="Currency (€)" xfId="1023"/>
    <cellStyle name="Currency [0] Total" xfId="1024"/>
    <cellStyle name="Currency [00]" xfId="1025"/>
    <cellStyle name="Currency [1]" xfId="1026"/>
    <cellStyle name="Currency [1] Total" xfId="1027"/>
    <cellStyle name="Currency [1]_BCE Model 1-8-07" xfId="1028"/>
    <cellStyle name="Currency [2]" xfId="1029"/>
    <cellStyle name="Currency [2] 2" xfId="1358"/>
    <cellStyle name="Currency [2] Total" xfId="1030"/>
    <cellStyle name="Currency [2]_BCE Model 1-8-07" xfId="1031"/>
    <cellStyle name="Currency [3]" xfId="1032"/>
    <cellStyle name="Currency [per_share]" xfId="1033"/>
    <cellStyle name="Currency 0" xfId="1034"/>
    <cellStyle name="Currency 0.0" xfId="1035"/>
    <cellStyle name="currency 1" xfId="1036"/>
    <cellStyle name="Currency 2" xfId="1037"/>
    <cellStyle name="Currency 2 Total" xfId="1038"/>
    <cellStyle name="Currency 2_!MiniCombo_v081(vclk)" xfId="1040"/>
    <cellStyle name="Currency 2*" xfId="1039"/>
    <cellStyle name="Currency 3*" xfId="1041"/>
    <cellStyle name="Currency Input" xfId="1042"/>
    <cellStyle name="Currency-Rounded" xfId="1049"/>
    <cellStyle name="Currency*" xfId="1043"/>
    <cellStyle name="Currency0" xfId="1044"/>
    <cellStyle name="Currency1" xfId="1045"/>
    <cellStyle name="Currency1Blue" xfId="1046"/>
    <cellStyle name="Currency2" xfId="1047"/>
    <cellStyle name="Currency3" xfId="1048"/>
    <cellStyle name="currencyt 0" xfId="1050"/>
    <cellStyle name="Currsmall" xfId="1051"/>
    <cellStyle name="d" xfId="1052"/>
    <cellStyle name="d_101306 CanWest Excel BAck up v14" xfId="1053"/>
    <cellStyle name="d_BCE Model 1-8-07" xfId="1054"/>
    <cellStyle name="d_Eutelsat and Capex Analysis" xfId="1055"/>
    <cellStyle name="d_Ford DCF 072101" xfId="1056"/>
    <cellStyle name="d_yield" xfId="1057"/>
    <cellStyle name="d_yield_101306 CanWest Excel BAck up v14" xfId="1058"/>
    <cellStyle name="d_yield_ILEC LBO" xfId="1059"/>
    <cellStyle name="d_yield_Sheet1" xfId="1060"/>
    <cellStyle name="Dash" xfId="1061"/>
    <cellStyle name="data" xfId="1062"/>
    <cellStyle name="Data Link" xfId="1063"/>
    <cellStyle name="data_FS" xfId="1064"/>
    <cellStyle name="Date" xfId="1065"/>
    <cellStyle name="Date (d-mm-yy)" xfId="1067"/>
    <cellStyle name="Date (d/mm/yy)" xfId="1066"/>
    <cellStyle name="Date (Full)" xfId="1068"/>
    <cellStyle name="Date [Abbreviated]" xfId="1069"/>
    <cellStyle name="Date [D-M-Y]" xfId="1070"/>
    <cellStyle name="Date [Long Europe]" xfId="1071"/>
    <cellStyle name="Date [Long U.S.]" xfId="1072"/>
    <cellStyle name="Date [M-Y]" xfId="1076"/>
    <cellStyle name="Date [M/D/Y]" xfId="1073"/>
    <cellStyle name="Date [M/Y]" xfId="1074"/>
    <cellStyle name="Date [mmm-yy]" xfId="1075"/>
    <cellStyle name="Date [Short Europe]" xfId="1077"/>
    <cellStyle name="Date [Short U.S.]" xfId="1078"/>
    <cellStyle name="Date Aligned" xfId="1079"/>
    <cellStyle name="Date Aligned*" xfId="1080"/>
    <cellStyle name="Date Day" xfId="1081"/>
    <cellStyle name="Date Short" xfId="1082"/>
    <cellStyle name="Date Year" xfId="1083"/>
    <cellStyle name="Date_060114 BMarkingSummary_aj v3" xfId="1084"/>
    <cellStyle name="Date1" xfId="1085"/>
    <cellStyle name="date2" xfId="1086"/>
    <cellStyle name="date2 2" xfId="1359"/>
    <cellStyle name="date3" xfId="1087"/>
    <cellStyle name="Dates" xfId="1088"/>
    <cellStyle name="DateYear" xfId="1089"/>
    <cellStyle name="DateYearEstimate" xfId="1090"/>
    <cellStyle name="DateYearWholeEstimate" xfId="1091"/>
    <cellStyle name="Days.0" xfId="1092"/>
    <cellStyle name="Days.1" xfId="1093"/>
    <cellStyle name="DblLineDollarAcct" xfId="1094"/>
    <cellStyle name="DblLinePercent" xfId="1095"/>
    <cellStyle name="ddate" xfId="1096"/>
    <cellStyle name="Decimal" xfId="1097"/>
    <cellStyle name="default" xfId="1098"/>
    <cellStyle name="Detail" xfId="1099"/>
    <cellStyle name="Deutschmark" xfId="1100"/>
    <cellStyle name="Dezimal__Utopia Index Index und Guidance (Deutsch)" xfId="1101"/>
    <cellStyle name="Dia" xfId="1102"/>
    <cellStyle name="DIANE" xfId="1103"/>
    <cellStyle name="dolar" xfId="1104"/>
    <cellStyle name="dolar whole" xfId="1105"/>
    <cellStyle name="dolar_ATT LBO Model 07-02-04v1" xfId="1106"/>
    <cellStyle name="Dollar" xfId="1107"/>
    <cellStyle name="Dollar - Style5" xfId="1108"/>
    <cellStyle name="Dollar (Canadian)" xfId="1109"/>
    <cellStyle name="Dollar (zero dec)" xfId="1110"/>
    <cellStyle name="Dollar Whole" xfId="1111"/>
    <cellStyle name="dollar_051129 DCF Summary" xfId="1112"/>
    <cellStyle name="Dollar1" xfId="1113"/>
    <cellStyle name="Dollar1Blue" xfId="1114"/>
    <cellStyle name="Dollar2" xfId="1115"/>
    <cellStyle name="DollarAccounting" xfId="1116"/>
    <cellStyle name="Dollars" xfId="1117"/>
    <cellStyle name="DollarWhole" xfId="1118"/>
    <cellStyle name="Doller" xfId="1119"/>
    <cellStyle name="Dotted Line" xfId="1120"/>
    <cellStyle name="Double Accounting" xfId="1121"/>
    <cellStyle name="Double Underline" xfId="1122"/>
    <cellStyle name="Download" xfId="1123"/>
    <cellStyle name="dp*NumberGeneral" xfId="1124"/>
    <cellStyle name="Driver" xfId="1125"/>
    <cellStyle name="Encabez1" xfId="1126"/>
    <cellStyle name="Encabez2" xfId="1127"/>
    <cellStyle name="Enter Currency (0)" xfId="1128"/>
    <cellStyle name="Enter Currency (2)" xfId="1129"/>
    <cellStyle name="Enter Units (0)" xfId="1130"/>
    <cellStyle name="Enter Units (1)" xfId="1131"/>
    <cellStyle name="Enter Units (2)" xfId="1132"/>
    <cellStyle name="Entered" xfId="1133"/>
    <cellStyle name="Entries" xfId="1134"/>
    <cellStyle name="Entries 2" xfId="1360"/>
    <cellStyle name="eps" xfId="1135"/>
    <cellStyle name="eps$" xfId="1136"/>
    <cellStyle name="eps$A" xfId="1137"/>
    <cellStyle name="eps$E" xfId="1138"/>
    <cellStyle name="epsA" xfId="1139"/>
    <cellStyle name="EPSActual" xfId="1140"/>
    <cellStyle name="epsE" xfId="1141"/>
    <cellStyle name="EPSEstimate" xfId="1142"/>
    <cellStyle name="Est - %" xfId="1144"/>
    <cellStyle name="Est - $" xfId="1143"/>
    <cellStyle name="Est 0,000.0" xfId="1145"/>
    <cellStyle name="Estimate" xfId="1146"/>
    <cellStyle name="Euro" xfId="1147"/>
    <cellStyle name="Euro-" xfId="1148"/>
    <cellStyle name="External File Cells" xfId="1149"/>
    <cellStyle name="EY0dp" xfId="1150"/>
    <cellStyle name="F2" xfId="1151"/>
    <cellStyle name="F3" xfId="1152"/>
    <cellStyle name="F4" xfId="1153"/>
    <cellStyle name="F5" xfId="1154"/>
    <cellStyle name="F6" xfId="1155"/>
    <cellStyle name="F7" xfId="1156"/>
    <cellStyle name="F8" xfId="1157"/>
    <cellStyle name="FF_EURO" xfId="1158"/>
    <cellStyle name="FieldName" xfId="1159"/>
    <cellStyle name="Fijo" xfId="1160"/>
    <cellStyle name="Finan?ní0" xfId="1161"/>
    <cellStyle name="Financiero" xfId="1162"/>
    <cellStyle name="Fixed" xfId="1163"/>
    <cellStyle name="Fixed0" xfId="1164"/>
    <cellStyle name="Fixlong" xfId="1165"/>
    <cellStyle name="Footer SBILogo1" xfId="1166"/>
    <cellStyle name="Footer SBILogo2" xfId="1167"/>
    <cellStyle name="Footnote" xfId="1168"/>
    <cellStyle name="Footnote Reference" xfId="1169"/>
    <cellStyle name="Footnote_% Change" xfId="1170"/>
    <cellStyle name="Footnotes" xfId="1171"/>
    <cellStyle name="Forecast Cells" xfId="1172"/>
    <cellStyle name="Format ($)" xfId="1173"/>
    <cellStyle name="Format (no $ no underline)" xfId="1174"/>
    <cellStyle name="Format (no $ underline)" xfId="1175"/>
    <cellStyle name="Format (no $)" xfId="1176"/>
    <cellStyle name="Format underline (no $)" xfId="1177"/>
    <cellStyle name="Formula" xfId="1178"/>
    <cellStyle name="Formula 2" xfId="1361"/>
    <cellStyle name="fourdecplace" xfId="1179"/>
    <cellStyle name="Fraction" xfId="1180"/>
    <cellStyle name="Fraction ($)" xfId="1181"/>
    <cellStyle name="Fraction [8]" xfId="1182"/>
    <cellStyle name="Fraction [Bl]" xfId="1183"/>
    <cellStyle name="French Francs" xfId="1184"/>
    <cellStyle name="fy_eps$" xfId="1185"/>
    <cellStyle name="g_rate" xfId="1186"/>
    <cellStyle name="g_rate_101306 CanWest Excel BAck up v14" xfId="1187"/>
    <cellStyle name="g_rate_ILEC LBO" xfId="1188"/>
    <cellStyle name="G02 Table Text" xfId="1189"/>
    <cellStyle name="G04_Main head" xfId="1190"/>
    <cellStyle name="G05 Tab Head Bold" xfId="1191"/>
    <cellStyle name="G05 Tab Head Light" xfId="1192"/>
    <cellStyle name="G1_1999 figures" xfId="1193"/>
    <cellStyle name="General" xfId="1194"/>
    <cellStyle name="General [C]" xfId="1195"/>
    <cellStyle name="General [R]" xfId="1196"/>
    <cellStyle name="General_060114 BMarkingSummary_aj v3" xfId="1197"/>
    <cellStyle name="Grand" xfId="1198"/>
    <cellStyle name="Grand Total" xfId="1199"/>
    <cellStyle name="Grand Total 2" xfId="1362"/>
    <cellStyle name="Green" xfId="1200"/>
    <cellStyle name="Grey" xfId="1201"/>
    <cellStyle name="GROSS" xfId="1202"/>
    <cellStyle name="Group Headings" xfId="1203"/>
    <cellStyle name="growth" xfId="1204"/>
    <cellStyle name="Growth%" xfId="1205"/>
    <cellStyle name="GrowthLarge" xfId="1206"/>
    <cellStyle name="GrowthRate" xfId="1207"/>
    <cellStyle name="GrowthSeq" xfId="1208"/>
    <cellStyle name="GrowthSmall" xfId="1209"/>
    <cellStyle name="GS Table Header" xfId="1210"/>
    <cellStyle name="H 2" xfId="1211"/>
    <cellStyle name="H_1998_col_head" xfId="1212"/>
    <cellStyle name="H_1999_col_head" xfId="1213"/>
    <cellStyle name="H1_1998 figures" xfId="1214"/>
    <cellStyle name="hard no" xfId="1215"/>
    <cellStyle name="hard no 2" xfId="1363"/>
    <cellStyle name="hard no." xfId="1216"/>
    <cellStyle name="hard no. 2" xfId="1364"/>
    <cellStyle name="Hard Percent" xfId="1217"/>
    <cellStyle name="hardno" xfId="1218"/>
    <cellStyle name="head1" xfId="1219"/>
    <cellStyle name="Head12" xfId="1220"/>
    <cellStyle name="head2" xfId="1221"/>
    <cellStyle name="Header" xfId="1222"/>
    <cellStyle name="Header Draft Stamp" xfId="1223"/>
    <cellStyle name="Header_% Change" xfId="1224"/>
    <cellStyle name="Header1" xfId="1225"/>
    <cellStyle name="Header2" xfId="1226"/>
    <cellStyle name="headers" xfId="1227"/>
    <cellStyle name="Headin - Style6" xfId="1228"/>
    <cellStyle name="heading" xfId="1229"/>
    <cellStyle name="Heading 1 2" xfId="1367"/>
    <cellStyle name="Heading 1 Above" xfId="1230"/>
    <cellStyle name="Heading 1+" xfId="1231"/>
    <cellStyle name="Heading 2 Below" xfId="1232"/>
    <cellStyle name="Item Descriptions" xfId="1233"/>
    <cellStyle name="Item Descriptions - Bold" xfId="1234"/>
    <cellStyle name="Lable8Left" xfId="1235"/>
    <cellStyle name="Line" xfId="1236"/>
    <cellStyle name="mult" xfId="1237"/>
    <cellStyle name="Multiple" xfId="1238"/>
    <cellStyle name="Multiple [0]" xfId="1239"/>
    <cellStyle name="Multiple [1]" xfId="1240"/>
    <cellStyle name="Multiple_Copy of IB_Pics v1.9 (DCF)" xfId="1241"/>
    <cellStyle name="Normal" xfId="0" builtinId="0"/>
    <cellStyle name="Normal - Style1" xfId="1242"/>
    <cellStyle name="Normal 13" xfId="1"/>
    <cellStyle name="Normal 2" xfId="1243"/>
    <cellStyle name="Normal 2 2" xfId="1244"/>
    <cellStyle name="Normal 3" xfId="1245"/>
    <cellStyle name="Normal 4" xfId="1246"/>
    <cellStyle name="Num1" xfId="1247"/>
    <cellStyle name="Num1Blue" xfId="1248"/>
    <cellStyle name="num1Style" xfId="1249"/>
    <cellStyle name="Num2" xfId="1250"/>
    <cellStyle name="num4Style" xfId="1251"/>
    <cellStyle name="Numbers" xfId="1252"/>
    <cellStyle name="Numbers - Bold" xfId="1253"/>
    <cellStyle name="Numbers - Bold - Italic" xfId="1254"/>
    <cellStyle name="Numbers - Bold_WACC2" xfId="1255"/>
    <cellStyle name="Numbers - Large" xfId="1256"/>
    <cellStyle name="Numbers_Comps" xfId="1257"/>
    <cellStyle name="Page Heading Large" xfId="1258"/>
    <cellStyle name="Page Heading Small" xfId="1259"/>
    <cellStyle name="Page Number" xfId="1260"/>
    <cellStyle name="pct_sub" xfId="1261"/>
    <cellStyle name="Pctg" xfId="1262"/>
    <cellStyle name="Percent" xfId="1366" builtinId="5"/>
    <cellStyle name="Percent [0]" xfId="1263"/>
    <cellStyle name="Percent [1]" xfId="1264"/>
    <cellStyle name="Percent 2" xfId="1265"/>
    <cellStyle name="Percent Hard" xfId="1266"/>
    <cellStyle name="Percent1" xfId="1267"/>
    <cellStyle name="Percent1Blue" xfId="1268"/>
    <cellStyle name="Percent2" xfId="1269"/>
    <cellStyle name="Percent2Blue" xfId="1270"/>
    <cellStyle name="Shaded" xfId="1271"/>
    <cellStyle name="Single Accounting" xfId="1272"/>
    <cellStyle name="Style 1" xfId="1273"/>
    <cellStyle name="Style 10" xfId="1274"/>
    <cellStyle name="Style 2" xfId="1275"/>
    <cellStyle name="Style 21" xfId="1276"/>
    <cellStyle name="Style 22" xfId="1277"/>
    <cellStyle name="Style 23" xfId="1278"/>
    <cellStyle name="Style 24" xfId="1279"/>
    <cellStyle name="Style 25" xfId="1280"/>
    <cellStyle name="Style 26" xfId="1281"/>
    <cellStyle name="Style 27" xfId="1282"/>
    <cellStyle name="Style 28" xfId="1283"/>
    <cellStyle name="Style 29" xfId="1284"/>
    <cellStyle name="Style 3" xfId="1285"/>
    <cellStyle name="Style 30" xfId="1286"/>
    <cellStyle name="Style 31" xfId="1287"/>
    <cellStyle name="Style 32" xfId="1288"/>
    <cellStyle name="Style 33" xfId="1289"/>
    <cellStyle name="Style 34" xfId="1290"/>
    <cellStyle name="Style 35" xfId="1291"/>
    <cellStyle name="Style 36" xfId="1292"/>
    <cellStyle name="Style 37" xfId="1293"/>
    <cellStyle name="Style 38" xfId="1294"/>
    <cellStyle name="Style 39" xfId="1295"/>
    <cellStyle name="Style 4" xfId="1296"/>
    <cellStyle name="Style 40" xfId="1297"/>
    <cellStyle name="Style 41" xfId="1298"/>
    <cellStyle name="Style 42" xfId="1299"/>
    <cellStyle name="Style 43" xfId="1300"/>
    <cellStyle name="Style 44" xfId="1301"/>
    <cellStyle name="Style 45" xfId="1302"/>
    <cellStyle name="Style 46" xfId="1303"/>
    <cellStyle name="Style 47" xfId="1304"/>
    <cellStyle name="Style 5" xfId="1305"/>
    <cellStyle name="Style 6" xfId="1306"/>
    <cellStyle name="Style 7" xfId="1307"/>
    <cellStyle name="Style 70" xfId="1308"/>
    <cellStyle name="Style 8" xfId="1309"/>
    <cellStyle name="Style 80" xfId="1310"/>
    <cellStyle name="Style 86" xfId="1311"/>
    <cellStyle name="Style 9" xfId="1312"/>
    <cellStyle name="Style 92" xfId="1313"/>
    <cellStyle name="Table Col Head" xfId="1314"/>
    <cellStyle name="Table Head" xfId="1315"/>
    <cellStyle name="Table Head Aligned" xfId="1316"/>
    <cellStyle name="Table Head Blue" xfId="1317"/>
    <cellStyle name="Table Head Green" xfId="1318"/>
    <cellStyle name="Table Sub Head" xfId="1319"/>
    <cellStyle name="Table Title" xfId="1320"/>
    <cellStyle name="Table Units" xfId="1321"/>
    <cellStyle name="TableBody" xfId="1322"/>
    <cellStyle name="TableBodyR" xfId="1323"/>
    <cellStyle name="TableColHeads" xfId="1324"/>
    <cellStyle name="TableHead" xfId="1325"/>
    <cellStyle name="Times 10" xfId="1326"/>
    <cellStyle name="Times 12" xfId="1327"/>
    <cellStyle name="Title - PROJECT" xfId="1328"/>
    <cellStyle name="Title - Underline" xfId="1329"/>
    <cellStyle name="title1" xfId="1330"/>
    <cellStyle name="Title10" xfId="1331"/>
    <cellStyle name="Title2" xfId="1332"/>
    <cellStyle name="Title2 2" xfId="1365"/>
    <cellStyle name="Title8" xfId="1333"/>
    <cellStyle name="Title8Left" xfId="1334"/>
    <cellStyle name="Titles - Col. Headings" xfId="1335"/>
    <cellStyle name="Titles - Other" xfId="1336"/>
    <cellStyle name="ubordinated Debt" xfId="1337"/>
    <cellStyle name="X" xfId="1338"/>
    <cellStyle name="X - None" xfId="1339"/>
    <cellStyle name="Year" xfId="1340"/>
    <cellStyle name="Yen" xfId="1341"/>
  </cellStyles>
  <dxfs count="18">
    <dxf>
      <font>
        <color theme="4" tint="0.79998168889431442"/>
      </font>
      <fill>
        <patternFill>
          <bgColor theme="4" tint="0.79998168889431442"/>
        </patternFill>
      </fill>
    </dxf>
    <dxf>
      <fill>
        <patternFill>
          <bgColor theme="1"/>
        </patternFill>
      </fill>
    </dxf>
    <dxf>
      <fill>
        <patternFill>
          <bgColor rgb="FFFFC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 val="0"/>
        <i val="0"/>
        <color theme="4" tint="0.79998168889431442"/>
      </font>
      <numFmt numFmtId="235" formatCode="&quot; &quot;"/>
      <fill>
        <patternFill patternType="solid">
          <fgColor auto="1"/>
          <bgColor theme="4" tint="0.79998168889431442"/>
        </patternFill>
      </fill>
    </dxf>
    <dxf>
      <fill>
        <patternFill>
          <bgColor rgb="FFFFFF00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font>
        <color rgb="FFFF0000"/>
      </font>
      <numFmt numFmtId="236" formatCode="&quot;ANNUAL&quot;"/>
      <fill>
        <patternFill patternType="none">
          <bgColor auto="1"/>
        </patternFill>
      </fill>
    </dxf>
    <dxf>
      <fill>
        <patternFill>
          <bgColor theme="1"/>
        </patternFill>
      </fill>
    </dxf>
    <dxf>
      <font>
        <color rgb="FF0070C0"/>
      </font>
      <numFmt numFmtId="237" formatCode="&quot;QUARTERLY&quot;"/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theme="1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font>
        <b/>
        <i val="0"/>
      </font>
      <numFmt numFmtId="1" formatCode="0"/>
      <fill>
        <patternFill>
          <bgColor theme="4" tint="0.79998168889431442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font>
        <b/>
        <i val="0"/>
      </font>
      <numFmt numFmtId="0" formatCode="General"/>
      <fill>
        <patternFill>
          <bgColor theme="4" tint="0.79998168889431442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font>
        <b/>
        <i val="0"/>
      </font>
      <numFmt numFmtId="238" formatCode="m/d/yyyy"/>
      <fill>
        <patternFill>
          <bgColor theme="4" tint="0.79998168889431442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font>
        <b/>
        <i val="0"/>
      </font>
      <numFmt numFmtId="238" formatCode="m/d/yyyy"/>
      <fill>
        <patternFill>
          <bgColor theme="4" tint="0.79998168889431442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font>
        <b/>
        <i val="0"/>
        <color theme="1"/>
      </font>
      <fill>
        <patternFill>
          <bgColor theme="4" tint="0.79998168889431442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1E79CC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4" Type="http://schemas.openxmlformats.org/officeDocument/2006/relationships/externalLink" Target="externalLinks/externalLink1.xml"/><Relationship Id="rId5" Type="http://schemas.openxmlformats.org/officeDocument/2006/relationships/theme" Target="theme/theme1.xml"/><Relationship Id="rId6" Type="http://schemas.openxmlformats.org/officeDocument/2006/relationships/styles" Target="styles.xml"/><Relationship Id="rId7" Type="http://schemas.openxmlformats.org/officeDocument/2006/relationships/sharedStrings" Target="sharedStrings.xml"/><Relationship Id="rId8" Type="http://schemas.openxmlformats.org/officeDocument/2006/relationships/calcChain" Target="calcChain.xml"/><Relationship Id="rId9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63500</xdr:colOff>
          <xdr:row>2</xdr:row>
          <xdr:rowOff>0</xdr:rowOff>
        </xdr:from>
        <xdr:to>
          <xdr:col>7</xdr:col>
          <xdr:colOff>914400</xdr:colOff>
          <xdr:row>4</xdr:row>
          <xdr:rowOff>152400</xdr:rowOff>
        </xdr:to>
        <xdr:sp macro="" textlink="">
          <xdr:nvSpPr>
            <xdr:cNvPr id="24509" name="Button 3005" hidden="1">
              <a:extLst>
                <a:ext uri="{63B3BB69-23CF-44E3-9099-C40C66FF867C}">
                  <a14:compatExt spid="_x0000_s245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PRINT FORMULATIONS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DATA_FRAME1.xlsx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DATABASE"/>
    </sheetNames>
    <sheetDataSet>
      <sheetData sheetId="0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4" Type="http://schemas.openxmlformats.org/officeDocument/2006/relationships/comments" Target="../comments1.xml"/><Relationship Id="rId1" Type="http://schemas.openxmlformats.org/officeDocument/2006/relationships/drawing" Target="../drawings/drawing1.xml"/><Relationship Id="rId2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B2:AJ285"/>
  <sheetViews>
    <sheetView topLeftCell="U151" workbookViewId="0">
      <selection activeCell="AC156" sqref="AC156:AE195"/>
    </sheetView>
  </sheetViews>
  <sheetFormatPr baseColWidth="10" defaultColWidth="8.83203125" defaultRowHeight="14" x14ac:dyDescent="0"/>
  <cols>
    <col min="2" max="2" width="46.5" bestFit="1" customWidth="1"/>
    <col min="3" max="3" width="23.33203125" bestFit="1" customWidth="1"/>
    <col min="4" max="6" width="10.5" bestFit="1" customWidth="1"/>
    <col min="7" max="7" width="10.6640625" bestFit="1" customWidth="1"/>
    <col min="8" max="10" width="10.5" bestFit="1" customWidth="1"/>
    <col min="11" max="11" width="10.6640625" bestFit="1" customWidth="1"/>
    <col min="12" max="14" width="10.5" bestFit="1" customWidth="1"/>
    <col min="15" max="15" width="10.6640625" bestFit="1" customWidth="1"/>
    <col min="16" max="18" width="10.5" bestFit="1" customWidth="1"/>
    <col min="19" max="19" width="10.6640625" bestFit="1" customWidth="1"/>
    <col min="20" max="22" width="10.5" bestFit="1" customWidth="1"/>
    <col min="23" max="23" width="10.6640625" bestFit="1" customWidth="1"/>
    <col min="24" max="26" width="10.5" bestFit="1" customWidth="1"/>
    <col min="27" max="27" width="10.6640625" bestFit="1" customWidth="1"/>
    <col min="28" max="30" width="10.5" bestFit="1" customWidth="1"/>
    <col min="31" max="31" width="10.6640625" bestFit="1" customWidth="1"/>
    <col min="32" max="34" width="10.5" bestFit="1" customWidth="1"/>
    <col min="35" max="35" width="10.6640625" bestFit="1" customWidth="1"/>
    <col min="36" max="36" width="10.5" bestFit="1" customWidth="1"/>
  </cols>
  <sheetData>
    <row r="2" spans="2:36">
      <c r="B2" t="s">
        <v>7</v>
      </c>
      <c r="C2" t="s">
        <v>479</v>
      </c>
    </row>
    <row r="3" spans="2:36">
      <c r="B3" t="s">
        <v>8</v>
      </c>
      <c r="C3" t="s">
        <v>480</v>
      </c>
    </row>
    <row r="5" spans="2:36">
      <c r="B5" t="s">
        <v>290</v>
      </c>
      <c r="C5" s="47">
        <v>38231</v>
      </c>
      <c r="D5" s="47">
        <v>38322</v>
      </c>
      <c r="E5" s="47">
        <v>38412</v>
      </c>
      <c r="F5" s="47">
        <v>38504</v>
      </c>
      <c r="G5" s="47">
        <v>38596</v>
      </c>
      <c r="H5" s="47">
        <v>38687</v>
      </c>
      <c r="I5" s="47">
        <v>38777</v>
      </c>
      <c r="J5" s="47">
        <v>38869</v>
      </c>
      <c r="K5" s="47">
        <v>38961</v>
      </c>
      <c r="L5" s="47">
        <v>39052</v>
      </c>
      <c r="M5" s="47">
        <v>39142</v>
      </c>
      <c r="N5" s="47">
        <v>39234</v>
      </c>
      <c r="O5" s="47">
        <v>39326</v>
      </c>
      <c r="P5" s="47">
        <v>39417</v>
      </c>
      <c r="Q5" s="47">
        <v>39508</v>
      </c>
      <c r="R5" s="47">
        <v>39600</v>
      </c>
      <c r="S5" s="47">
        <v>39692</v>
      </c>
      <c r="T5" s="47">
        <v>39783</v>
      </c>
      <c r="U5" s="47">
        <v>39873</v>
      </c>
      <c r="V5" s="47">
        <v>39965</v>
      </c>
      <c r="W5" s="47">
        <v>40057</v>
      </c>
      <c r="X5" s="47">
        <v>40148</v>
      </c>
      <c r="Y5" s="47">
        <v>40238</v>
      </c>
      <c r="Z5" s="47">
        <v>40330</v>
      </c>
      <c r="AA5" s="47">
        <v>40422</v>
      </c>
      <c r="AB5" s="47">
        <v>40513</v>
      </c>
      <c r="AC5" s="47">
        <v>40603</v>
      </c>
      <c r="AD5" s="47">
        <v>40695</v>
      </c>
      <c r="AE5" s="47">
        <v>40787</v>
      </c>
      <c r="AF5" s="47">
        <v>40878</v>
      </c>
      <c r="AG5" s="47">
        <v>40969</v>
      </c>
      <c r="AH5" s="47">
        <v>41061</v>
      </c>
      <c r="AI5" s="47">
        <v>41153</v>
      </c>
      <c r="AJ5" s="47">
        <v>41244</v>
      </c>
    </row>
    <row r="6" spans="2:36">
      <c r="B6" t="s">
        <v>10</v>
      </c>
      <c r="C6" s="47">
        <v>38274</v>
      </c>
      <c r="D6" s="47">
        <v>38365</v>
      </c>
      <c r="E6" s="47">
        <v>38456</v>
      </c>
      <c r="F6" s="47">
        <v>38548</v>
      </c>
      <c r="G6" s="47">
        <v>38642</v>
      </c>
      <c r="H6" s="47">
        <v>38740</v>
      </c>
      <c r="I6" s="47">
        <v>38842</v>
      </c>
      <c r="J6" s="47">
        <v>38918</v>
      </c>
      <c r="K6" s="47">
        <v>39009</v>
      </c>
      <c r="L6" s="47">
        <v>39100</v>
      </c>
      <c r="M6" s="47">
        <v>39198</v>
      </c>
      <c r="N6" s="47">
        <v>39289</v>
      </c>
      <c r="O6" s="47">
        <v>39378</v>
      </c>
      <c r="P6" s="47">
        <v>39470</v>
      </c>
      <c r="Q6" s="47">
        <v>39562</v>
      </c>
      <c r="R6" s="47">
        <v>39651</v>
      </c>
      <c r="S6" s="47">
        <v>39743</v>
      </c>
      <c r="T6" s="47">
        <v>39835</v>
      </c>
      <c r="U6" s="47">
        <v>39937</v>
      </c>
      <c r="V6" s="47">
        <v>40017</v>
      </c>
      <c r="W6" s="47">
        <v>40108</v>
      </c>
      <c r="X6" s="47">
        <v>40354</v>
      </c>
      <c r="Y6" s="47">
        <v>40289</v>
      </c>
      <c r="Z6" s="47">
        <v>40380</v>
      </c>
      <c r="AA6" s="47">
        <v>40470</v>
      </c>
      <c r="AB6" s="47">
        <v>40562</v>
      </c>
      <c r="AC6" s="47">
        <v>40672</v>
      </c>
      <c r="AD6" s="47">
        <v>40744</v>
      </c>
      <c r="AE6" s="47">
        <v>40835</v>
      </c>
      <c r="AF6" s="47">
        <v>40933</v>
      </c>
      <c r="AG6" s="47">
        <v>41024</v>
      </c>
      <c r="AH6" s="47">
        <v>41115</v>
      </c>
      <c r="AI6" s="47">
        <v>41213</v>
      </c>
      <c r="AJ6" s="47">
        <v>41298</v>
      </c>
    </row>
    <row r="7" spans="2:36">
      <c r="B7" t="s">
        <v>11</v>
      </c>
      <c r="C7" t="s">
        <v>6</v>
      </c>
      <c r="D7" t="s">
        <v>291</v>
      </c>
      <c r="E7" t="s">
        <v>292</v>
      </c>
      <c r="F7" t="s">
        <v>17</v>
      </c>
      <c r="G7" t="s">
        <v>6</v>
      </c>
      <c r="H7" t="s">
        <v>291</v>
      </c>
      <c r="I7" t="s">
        <v>292</v>
      </c>
      <c r="J7" t="s">
        <v>17</v>
      </c>
      <c r="K7" t="s">
        <v>6</v>
      </c>
      <c r="L7" t="s">
        <v>291</v>
      </c>
      <c r="M7" t="s">
        <v>292</v>
      </c>
      <c r="N7" t="s">
        <v>17</v>
      </c>
      <c r="O7" t="s">
        <v>6</v>
      </c>
      <c r="P7" t="s">
        <v>291</v>
      </c>
      <c r="Q7" t="s">
        <v>292</v>
      </c>
      <c r="R7" t="s">
        <v>17</v>
      </c>
      <c r="S7" t="s">
        <v>6</v>
      </c>
      <c r="T7" t="s">
        <v>291</v>
      </c>
      <c r="U7" t="s">
        <v>292</v>
      </c>
      <c r="V7" t="s">
        <v>17</v>
      </c>
      <c r="W7" t="s">
        <v>6</v>
      </c>
      <c r="X7" t="s">
        <v>291</v>
      </c>
      <c r="Y7" t="s">
        <v>292</v>
      </c>
      <c r="Z7" t="s">
        <v>17</v>
      </c>
      <c r="AA7" t="s">
        <v>6</v>
      </c>
      <c r="AB7" t="s">
        <v>291</v>
      </c>
      <c r="AC7" t="s">
        <v>292</v>
      </c>
      <c r="AD7" t="s">
        <v>17</v>
      </c>
      <c r="AE7" t="s">
        <v>6</v>
      </c>
      <c r="AF7" t="s">
        <v>291</v>
      </c>
      <c r="AG7" t="s">
        <v>292</v>
      </c>
      <c r="AH7" t="s">
        <v>17</v>
      </c>
      <c r="AI7" t="s">
        <v>6</v>
      </c>
      <c r="AJ7" t="s">
        <v>291</v>
      </c>
    </row>
    <row r="8" spans="2:36">
      <c r="B8" t="s">
        <v>12</v>
      </c>
      <c r="C8">
        <v>4</v>
      </c>
      <c r="D8">
        <v>1</v>
      </c>
      <c r="E8">
        <v>2</v>
      </c>
      <c r="F8">
        <v>3</v>
      </c>
      <c r="G8">
        <v>4</v>
      </c>
      <c r="H8">
        <v>1</v>
      </c>
      <c r="I8">
        <v>2</v>
      </c>
      <c r="J8">
        <v>3</v>
      </c>
      <c r="K8">
        <v>4</v>
      </c>
      <c r="L8">
        <v>1</v>
      </c>
      <c r="M8">
        <v>2</v>
      </c>
      <c r="N8">
        <v>3</v>
      </c>
      <c r="O8">
        <v>4</v>
      </c>
      <c r="P8">
        <v>1</v>
      </c>
      <c r="Q8">
        <v>2</v>
      </c>
      <c r="R8">
        <v>3</v>
      </c>
      <c r="S8">
        <v>4</v>
      </c>
      <c r="T8">
        <v>1</v>
      </c>
      <c r="U8">
        <v>2</v>
      </c>
      <c r="V8">
        <v>3</v>
      </c>
      <c r="W8">
        <v>4</v>
      </c>
      <c r="X8">
        <v>1</v>
      </c>
      <c r="Y8">
        <v>2</v>
      </c>
      <c r="Z8">
        <v>3</v>
      </c>
      <c r="AA8">
        <v>4</v>
      </c>
      <c r="AB8">
        <v>1</v>
      </c>
      <c r="AC8">
        <v>2</v>
      </c>
      <c r="AD8">
        <v>3</v>
      </c>
      <c r="AE8">
        <v>4</v>
      </c>
      <c r="AF8">
        <v>1</v>
      </c>
      <c r="AG8">
        <v>2</v>
      </c>
      <c r="AH8">
        <v>3</v>
      </c>
      <c r="AI8">
        <v>4</v>
      </c>
      <c r="AJ8">
        <v>1</v>
      </c>
    </row>
    <row r="9" spans="2:36">
      <c r="B9" t="s">
        <v>13</v>
      </c>
      <c r="C9" t="s">
        <v>14</v>
      </c>
      <c r="D9" t="s">
        <v>14</v>
      </c>
      <c r="E9" t="s">
        <v>14</v>
      </c>
      <c r="F9" t="s">
        <v>14</v>
      </c>
      <c r="G9" t="s">
        <v>14</v>
      </c>
      <c r="H9" t="s">
        <v>14</v>
      </c>
      <c r="I9" t="s">
        <v>14</v>
      </c>
      <c r="J9" t="s">
        <v>14</v>
      </c>
      <c r="K9" t="s">
        <v>14</v>
      </c>
      <c r="L9" t="s">
        <v>14</v>
      </c>
      <c r="M9" t="s">
        <v>14</v>
      </c>
      <c r="N9" t="s">
        <v>14</v>
      </c>
      <c r="O9" t="s">
        <v>14</v>
      </c>
      <c r="P9" t="s">
        <v>14</v>
      </c>
      <c r="Q9" t="s">
        <v>14</v>
      </c>
      <c r="R9" t="s">
        <v>14</v>
      </c>
      <c r="S9" t="s">
        <v>14</v>
      </c>
      <c r="T9" t="s">
        <v>14</v>
      </c>
      <c r="U9" t="s">
        <v>14</v>
      </c>
      <c r="V9" t="s">
        <v>14</v>
      </c>
      <c r="W9" t="s">
        <v>14</v>
      </c>
      <c r="X9" t="s">
        <v>14</v>
      </c>
      <c r="Y9" t="s">
        <v>14</v>
      </c>
      <c r="Z9" t="s">
        <v>14</v>
      </c>
      <c r="AA9" t="s">
        <v>14</v>
      </c>
      <c r="AB9" t="s">
        <v>14</v>
      </c>
      <c r="AC9" t="s">
        <v>14</v>
      </c>
      <c r="AD9" t="s">
        <v>14</v>
      </c>
      <c r="AE9" t="s">
        <v>14</v>
      </c>
      <c r="AF9" t="s">
        <v>14</v>
      </c>
      <c r="AG9" t="s">
        <v>14</v>
      </c>
      <c r="AH9" t="s">
        <v>14</v>
      </c>
      <c r="AI9" t="s">
        <v>14</v>
      </c>
      <c r="AJ9" t="s">
        <v>14</v>
      </c>
    </row>
    <row r="10" spans="2:36">
      <c r="B10" t="s">
        <v>15</v>
      </c>
    </row>
    <row r="11" spans="2:36">
      <c r="B11" t="s">
        <v>16</v>
      </c>
      <c r="C11" t="s">
        <v>17</v>
      </c>
      <c r="D11" t="s">
        <v>17</v>
      </c>
      <c r="E11" t="s">
        <v>17</v>
      </c>
      <c r="F11" t="s">
        <v>17</v>
      </c>
      <c r="G11" t="s">
        <v>17</v>
      </c>
      <c r="H11" t="s">
        <v>17</v>
      </c>
      <c r="I11" t="s">
        <v>17</v>
      </c>
      <c r="J11" t="s">
        <v>17</v>
      </c>
      <c r="K11" t="s">
        <v>17</v>
      </c>
      <c r="L11" t="s">
        <v>17</v>
      </c>
      <c r="M11" t="s">
        <v>17</v>
      </c>
      <c r="N11" t="s">
        <v>17</v>
      </c>
      <c r="O11" t="s">
        <v>17</v>
      </c>
      <c r="P11" t="s">
        <v>17</v>
      </c>
      <c r="Q11" t="s">
        <v>17</v>
      </c>
      <c r="R11" t="s">
        <v>17</v>
      </c>
      <c r="S11" t="s">
        <v>17</v>
      </c>
      <c r="T11" t="s">
        <v>17</v>
      </c>
      <c r="U11" t="s">
        <v>17</v>
      </c>
      <c r="V11" t="s">
        <v>17</v>
      </c>
      <c r="W11" t="s">
        <v>17</v>
      </c>
      <c r="X11" t="s">
        <v>17</v>
      </c>
      <c r="Y11" t="s">
        <v>17</v>
      </c>
      <c r="Z11" t="s">
        <v>17</v>
      </c>
      <c r="AA11" t="s">
        <v>17</v>
      </c>
      <c r="AB11" t="s">
        <v>17</v>
      </c>
      <c r="AC11" t="s">
        <v>17</v>
      </c>
      <c r="AD11" t="s">
        <v>17</v>
      </c>
      <c r="AE11" t="s">
        <v>17</v>
      </c>
      <c r="AF11" t="s">
        <v>17</v>
      </c>
      <c r="AG11" t="s">
        <v>17</v>
      </c>
      <c r="AH11" t="s">
        <v>17</v>
      </c>
      <c r="AI11" t="s">
        <v>17</v>
      </c>
      <c r="AJ11" t="s">
        <v>17</v>
      </c>
    </row>
    <row r="12" spans="2:36">
      <c r="B12" t="s">
        <v>18</v>
      </c>
      <c r="C12" t="s">
        <v>19</v>
      </c>
      <c r="D12" t="s">
        <v>19</v>
      </c>
      <c r="E12" t="s">
        <v>19</v>
      </c>
      <c r="F12" t="s">
        <v>19</v>
      </c>
      <c r="G12" t="s">
        <v>19</v>
      </c>
      <c r="H12" t="s">
        <v>19</v>
      </c>
      <c r="I12" t="s">
        <v>19</v>
      </c>
      <c r="J12" t="s">
        <v>19</v>
      </c>
      <c r="K12" t="s">
        <v>19</v>
      </c>
      <c r="L12" t="s">
        <v>19</v>
      </c>
      <c r="M12" t="s">
        <v>19</v>
      </c>
      <c r="N12" t="s">
        <v>19</v>
      </c>
      <c r="O12" t="s">
        <v>19</v>
      </c>
      <c r="P12" t="s">
        <v>19</v>
      </c>
      <c r="Q12" t="s">
        <v>19</v>
      </c>
      <c r="R12" t="s">
        <v>19</v>
      </c>
      <c r="S12" t="s">
        <v>19</v>
      </c>
      <c r="T12" t="s">
        <v>19</v>
      </c>
      <c r="U12" t="s">
        <v>19</v>
      </c>
      <c r="V12" t="s">
        <v>19</v>
      </c>
      <c r="W12" t="s">
        <v>19</v>
      </c>
      <c r="X12" t="s">
        <v>19</v>
      </c>
      <c r="Y12" t="s">
        <v>19</v>
      </c>
      <c r="Z12" t="s">
        <v>19</v>
      </c>
      <c r="AA12" t="s">
        <v>19</v>
      </c>
      <c r="AB12" t="s">
        <v>19</v>
      </c>
      <c r="AC12" t="s">
        <v>19</v>
      </c>
      <c r="AD12" t="s">
        <v>19</v>
      </c>
      <c r="AE12" t="s">
        <v>19</v>
      </c>
      <c r="AF12" t="s">
        <v>19</v>
      </c>
      <c r="AG12" t="s">
        <v>19</v>
      </c>
      <c r="AH12" t="s">
        <v>19</v>
      </c>
      <c r="AI12" t="s">
        <v>19</v>
      </c>
      <c r="AJ12" t="s">
        <v>19</v>
      </c>
    </row>
    <row r="13" spans="2:36">
      <c r="B13" t="s">
        <v>20</v>
      </c>
      <c r="C13">
        <v>3</v>
      </c>
      <c r="D13">
        <v>3</v>
      </c>
      <c r="E13">
        <v>3</v>
      </c>
      <c r="F13">
        <v>3</v>
      </c>
      <c r="G13">
        <v>3</v>
      </c>
      <c r="H13">
        <v>3</v>
      </c>
      <c r="I13">
        <v>3</v>
      </c>
      <c r="J13">
        <v>3</v>
      </c>
      <c r="K13">
        <v>3</v>
      </c>
      <c r="L13">
        <v>3</v>
      </c>
      <c r="M13">
        <v>3</v>
      </c>
      <c r="N13">
        <v>3</v>
      </c>
      <c r="O13">
        <v>3</v>
      </c>
      <c r="P13">
        <v>3</v>
      </c>
      <c r="Q13">
        <v>3</v>
      </c>
      <c r="R13">
        <v>3</v>
      </c>
      <c r="S13">
        <v>3</v>
      </c>
      <c r="T13">
        <v>3</v>
      </c>
      <c r="U13">
        <v>3</v>
      </c>
      <c r="V13">
        <v>3</v>
      </c>
      <c r="W13">
        <v>3</v>
      </c>
      <c r="X13">
        <v>3</v>
      </c>
      <c r="Y13">
        <v>3</v>
      </c>
      <c r="Z13">
        <v>3</v>
      </c>
      <c r="AA13">
        <v>3</v>
      </c>
      <c r="AB13">
        <v>3</v>
      </c>
      <c r="AC13">
        <v>3</v>
      </c>
      <c r="AD13">
        <v>3</v>
      </c>
      <c r="AE13">
        <v>3</v>
      </c>
      <c r="AF13">
        <v>3</v>
      </c>
      <c r="AG13">
        <v>3</v>
      </c>
      <c r="AH13">
        <v>3</v>
      </c>
      <c r="AI13">
        <v>3</v>
      </c>
      <c r="AJ13">
        <v>3</v>
      </c>
    </row>
    <row r="14" spans="2:36">
      <c r="B14" t="s">
        <v>21</v>
      </c>
      <c r="C14">
        <v>2350</v>
      </c>
      <c r="D14">
        <v>3490</v>
      </c>
      <c r="E14">
        <v>3243</v>
      </c>
      <c r="F14">
        <v>3520</v>
      </c>
      <c r="G14">
        <v>3678</v>
      </c>
      <c r="H14">
        <v>5749</v>
      </c>
      <c r="I14">
        <v>4359</v>
      </c>
      <c r="J14">
        <v>4370</v>
      </c>
      <c r="K14">
        <v>4837</v>
      </c>
      <c r="L14">
        <v>7115</v>
      </c>
      <c r="M14">
        <v>5264</v>
      </c>
      <c r="N14">
        <v>5410</v>
      </c>
      <c r="O14">
        <v>6217</v>
      </c>
      <c r="P14">
        <v>9608</v>
      </c>
      <c r="Q14">
        <v>7512</v>
      </c>
      <c r="R14">
        <v>7464</v>
      </c>
      <c r="S14">
        <v>7895</v>
      </c>
      <c r="T14">
        <v>10167</v>
      </c>
      <c r="U14">
        <v>8163</v>
      </c>
      <c r="V14">
        <v>8337</v>
      </c>
      <c r="W14">
        <v>16238</v>
      </c>
      <c r="X14">
        <v>15683</v>
      </c>
      <c r="Y14">
        <v>13499</v>
      </c>
      <c r="Z14">
        <v>15700</v>
      </c>
      <c r="AA14">
        <v>20343</v>
      </c>
      <c r="AB14">
        <v>26741</v>
      </c>
      <c r="AC14">
        <v>24667</v>
      </c>
      <c r="AD14">
        <v>28571</v>
      </c>
      <c r="AE14">
        <v>28270</v>
      </c>
      <c r="AF14">
        <v>46333</v>
      </c>
      <c r="AG14">
        <v>39186</v>
      </c>
      <c r="AH14">
        <v>35023</v>
      </c>
      <c r="AI14">
        <v>35966</v>
      </c>
      <c r="AJ14">
        <v>54512</v>
      </c>
    </row>
    <row r="15" spans="2:36">
      <c r="B15" t="s">
        <v>22</v>
      </c>
      <c r="C15">
        <v>2350</v>
      </c>
      <c r="D15">
        <v>3490</v>
      </c>
      <c r="E15">
        <v>3243</v>
      </c>
      <c r="F15">
        <v>3520</v>
      </c>
      <c r="G15">
        <v>3678</v>
      </c>
      <c r="H15">
        <v>5749</v>
      </c>
      <c r="I15">
        <v>4359</v>
      </c>
      <c r="J15">
        <v>4370</v>
      </c>
      <c r="K15">
        <v>4837</v>
      </c>
      <c r="L15">
        <v>7115</v>
      </c>
      <c r="M15">
        <v>5264</v>
      </c>
      <c r="N15">
        <v>5410</v>
      </c>
      <c r="O15">
        <v>6217</v>
      </c>
      <c r="P15">
        <v>9608</v>
      </c>
      <c r="Q15">
        <v>7512</v>
      </c>
      <c r="R15">
        <v>7464</v>
      </c>
      <c r="S15">
        <v>7895</v>
      </c>
      <c r="T15">
        <v>10167</v>
      </c>
      <c r="U15">
        <v>8163</v>
      </c>
      <c r="V15">
        <v>8337</v>
      </c>
      <c r="W15">
        <v>16238</v>
      </c>
      <c r="X15">
        <v>15683</v>
      </c>
      <c r="Y15">
        <v>13499</v>
      </c>
      <c r="Z15">
        <v>15700</v>
      </c>
      <c r="AA15">
        <v>20343</v>
      </c>
      <c r="AB15">
        <v>26741</v>
      </c>
      <c r="AC15">
        <v>24667</v>
      </c>
      <c r="AD15">
        <v>28571</v>
      </c>
      <c r="AE15">
        <v>28270</v>
      </c>
      <c r="AF15">
        <v>46333</v>
      </c>
      <c r="AG15">
        <v>39186</v>
      </c>
      <c r="AH15">
        <v>35023</v>
      </c>
      <c r="AI15">
        <v>35966</v>
      </c>
      <c r="AJ15">
        <v>54512</v>
      </c>
    </row>
    <row r="16" spans="2:36">
      <c r="B16" t="s">
        <v>23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  <c r="AA16">
        <v>0</v>
      </c>
      <c r="AB16">
        <v>0</v>
      </c>
      <c r="AC16">
        <v>0</v>
      </c>
      <c r="AD16">
        <v>0</v>
      </c>
      <c r="AE16">
        <v>0</v>
      </c>
      <c r="AF16">
        <v>0</v>
      </c>
      <c r="AG16">
        <v>0</v>
      </c>
      <c r="AH16">
        <v>0</v>
      </c>
      <c r="AI16">
        <v>0</v>
      </c>
      <c r="AJ16">
        <v>0</v>
      </c>
    </row>
    <row r="17" spans="2:36">
      <c r="B17" t="s">
        <v>24</v>
      </c>
      <c r="C17">
        <v>1676</v>
      </c>
      <c r="D17">
        <v>2453</v>
      </c>
      <c r="E17">
        <v>2234</v>
      </c>
      <c r="F17">
        <v>2430</v>
      </c>
      <c r="G17">
        <v>2592</v>
      </c>
      <c r="H17">
        <v>4133</v>
      </c>
      <c r="I17">
        <v>3012</v>
      </c>
      <c r="J17">
        <v>2988</v>
      </c>
      <c r="K17">
        <v>3359</v>
      </c>
      <c r="L17">
        <v>4821</v>
      </c>
      <c r="M17">
        <v>3346</v>
      </c>
      <c r="N17">
        <v>3334</v>
      </c>
      <c r="O17">
        <v>4034</v>
      </c>
      <c r="P17">
        <v>6170</v>
      </c>
      <c r="Q17">
        <v>4922</v>
      </c>
      <c r="R17">
        <v>4747</v>
      </c>
      <c r="S17">
        <v>5022</v>
      </c>
      <c r="T17">
        <v>6477</v>
      </c>
      <c r="U17">
        <v>5020</v>
      </c>
      <c r="V17">
        <v>5138</v>
      </c>
      <c r="W17">
        <v>8314</v>
      </c>
      <c r="X17">
        <v>9063</v>
      </c>
      <c r="Y17">
        <v>7658</v>
      </c>
      <c r="Z17">
        <v>9291</v>
      </c>
      <c r="AA17">
        <v>12502</v>
      </c>
      <c r="AB17">
        <v>16087</v>
      </c>
      <c r="AC17">
        <v>14015</v>
      </c>
      <c r="AD17">
        <v>16168</v>
      </c>
      <c r="AE17">
        <v>16347</v>
      </c>
      <c r="AF17">
        <v>24909</v>
      </c>
      <c r="AG17">
        <v>19882</v>
      </c>
      <c r="AH17">
        <v>19194</v>
      </c>
      <c r="AI17">
        <v>20584</v>
      </c>
      <c r="AJ17">
        <v>31864</v>
      </c>
    </row>
    <row r="18" spans="2:36">
      <c r="B18" t="s">
        <v>25</v>
      </c>
      <c r="C18">
        <v>1716</v>
      </c>
      <c r="D18">
        <v>2494</v>
      </c>
      <c r="E18">
        <v>2275</v>
      </c>
      <c r="F18">
        <v>2476</v>
      </c>
      <c r="G18">
        <v>2643</v>
      </c>
      <c r="H18">
        <v>4185</v>
      </c>
      <c r="I18">
        <v>3062</v>
      </c>
      <c r="J18">
        <v>3045</v>
      </c>
      <c r="K18">
        <v>3425</v>
      </c>
      <c r="L18">
        <v>4895</v>
      </c>
      <c r="M18">
        <v>3415</v>
      </c>
      <c r="N18">
        <v>3415</v>
      </c>
      <c r="O18">
        <v>4127</v>
      </c>
      <c r="P18">
        <v>6276</v>
      </c>
      <c r="Q18">
        <v>5038</v>
      </c>
      <c r="R18">
        <v>4864</v>
      </c>
      <c r="S18">
        <v>5156</v>
      </c>
      <c r="T18">
        <v>6635</v>
      </c>
      <c r="U18">
        <v>5192</v>
      </c>
      <c r="V18">
        <v>5314</v>
      </c>
      <c r="W18">
        <v>8542</v>
      </c>
      <c r="X18">
        <v>9272</v>
      </c>
      <c r="Y18">
        <v>7874</v>
      </c>
      <c r="Z18">
        <v>9564</v>
      </c>
      <c r="AA18">
        <v>12831</v>
      </c>
      <c r="AB18">
        <v>16443</v>
      </c>
      <c r="AC18">
        <v>14449</v>
      </c>
      <c r="AD18">
        <v>16649</v>
      </c>
      <c r="AE18">
        <v>16890</v>
      </c>
      <c r="AF18">
        <v>25630</v>
      </c>
      <c r="AG18">
        <v>20622</v>
      </c>
      <c r="AH18">
        <v>20029</v>
      </c>
      <c r="AI18">
        <v>21565</v>
      </c>
      <c r="AJ18">
        <v>33452</v>
      </c>
    </row>
    <row r="19" spans="2:36">
      <c r="B19" t="s">
        <v>26</v>
      </c>
      <c r="C19">
        <v>674</v>
      </c>
      <c r="D19">
        <v>1037</v>
      </c>
      <c r="E19">
        <v>1009</v>
      </c>
      <c r="F19">
        <v>1090</v>
      </c>
      <c r="G19">
        <v>1086</v>
      </c>
      <c r="H19">
        <v>1616</v>
      </c>
      <c r="I19">
        <v>1347</v>
      </c>
      <c r="J19">
        <v>1382</v>
      </c>
      <c r="K19">
        <v>1478</v>
      </c>
      <c r="L19">
        <v>2294</v>
      </c>
      <c r="M19">
        <v>1918</v>
      </c>
      <c r="N19">
        <v>2076</v>
      </c>
      <c r="O19">
        <v>2183</v>
      </c>
      <c r="P19">
        <v>3438</v>
      </c>
      <c r="Q19">
        <v>2590</v>
      </c>
      <c r="R19">
        <v>2717</v>
      </c>
      <c r="S19">
        <v>2873</v>
      </c>
      <c r="T19">
        <v>3690</v>
      </c>
      <c r="U19">
        <v>3143</v>
      </c>
      <c r="V19">
        <v>3199</v>
      </c>
      <c r="W19">
        <v>7924</v>
      </c>
      <c r="X19">
        <v>6620</v>
      </c>
      <c r="Y19">
        <v>5841</v>
      </c>
      <c r="Z19">
        <v>6409</v>
      </c>
      <c r="AA19">
        <v>7841</v>
      </c>
      <c r="AB19">
        <v>10654</v>
      </c>
      <c r="AC19">
        <v>10652</v>
      </c>
      <c r="AD19">
        <v>12403</v>
      </c>
      <c r="AE19">
        <v>11923</v>
      </c>
      <c r="AF19">
        <v>21424</v>
      </c>
      <c r="AG19">
        <v>19304</v>
      </c>
      <c r="AH19">
        <v>15829</v>
      </c>
      <c r="AI19">
        <v>15382</v>
      </c>
      <c r="AJ19">
        <v>22648</v>
      </c>
    </row>
    <row r="20" spans="2:36">
      <c r="B20" t="s">
        <v>27</v>
      </c>
      <c r="C20">
        <v>674</v>
      </c>
      <c r="D20">
        <v>1037</v>
      </c>
      <c r="E20">
        <v>1009</v>
      </c>
      <c r="F20">
        <v>1090</v>
      </c>
      <c r="G20">
        <v>1086</v>
      </c>
      <c r="H20">
        <v>1616</v>
      </c>
      <c r="I20">
        <v>1347</v>
      </c>
      <c r="J20">
        <v>1382</v>
      </c>
      <c r="K20">
        <v>1478</v>
      </c>
      <c r="L20">
        <v>2294</v>
      </c>
      <c r="M20">
        <v>1918</v>
      </c>
      <c r="N20">
        <v>2076</v>
      </c>
      <c r="O20">
        <v>2183</v>
      </c>
      <c r="P20">
        <v>3438</v>
      </c>
      <c r="Q20">
        <v>2590</v>
      </c>
      <c r="R20">
        <v>2717</v>
      </c>
      <c r="S20">
        <v>2873</v>
      </c>
      <c r="T20">
        <v>3690</v>
      </c>
      <c r="U20">
        <v>3143</v>
      </c>
      <c r="V20">
        <v>3199</v>
      </c>
      <c r="W20">
        <v>7924</v>
      </c>
      <c r="X20">
        <v>6620</v>
      </c>
      <c r="Y20">
        <v>5841</v>
      </c>
      <c r="Z20">
        <v>6409</v>
      </c>
      <c r="AA20">
        <v>7841</v>
      </c>
      <c r="AB20">
        <v>10654</v>
      </c>
      <c r="AC20">
        <v>10652</v>
      </c>
      <c r="AD20">
        <v>12403</v>
      </c>
      <c r="AE20">
        <v>11923</v>
      </c>
      <c r="AF20">
        <v>21424</v>
      </c>
      <c r="AG20">
        <v>19304</v>
      </c>
      <c r="AH20">
        <v>15829</v>
      </c>
      <c r="AI20">
        <v>15382</v>
      </c>
      <c r="AJ20">
        <v>22648</v>
      </c>
    </row>
    <row r="21" spans="2:36">
      <c r="B21" t="s">
        <v>28</v>
      </c>
      <c r="C21">
        <v>122</v>
      </c>
      <c r="D21">
        <v>123</v>
      </c>
      <c r="E21">
        <v>119</v>
      </c>
      <c r="F21">
        <v>145</v>
      </c>
      <c r="G21">
        <v>147</v>
      </c>
      <c r="H21">
        <v>182</v>
      </c>
      <c r="I21">
        <v>176</v>
      </c>
      <c r="J21">
        <v>175</v>
      </c>
      <c r="K21">
        <v>179</v>
      </c>
      <c r="L21">
        <v>184</v>
      </c>
      <c r="M21">
        <v>183</v>
      </c>
      <c r="N21">
        <v>208</v>
      </c>
      <c r="O21">
        <v>207</v>
      </c>
      <c r="P21">
        <v>246</v>
      </c>
      <c r="Q21">
        <v>273</v>
      </c>
      <c r="R21">
        <v>292</v>
      </c>
      <c r="S21">
        <v>298</v>
      </c>
      <c r="T21">
        <v>315</v>
      </c>
      <c r="U21">
        <v>319</v>
      </c>
      <c r="V21">
        <v>341</v>
      </c>
      <c r="W21">
        <v>358</v>
      </c>
      <c r="X21">
        <v>398</v>
      </c>
      <c r="Y21">
        <v>426</v>
      </c>
      <c r="Z21">
        <v>464</v>
      </c>
      <c r="AA21">
        <v>494</v>
      </c>
      <c r="AB21">
        <v>575</v>
      </c>
      <c r="AC21">
        <v>581</v>
      </c>
      <c r="AD21">
        <v>628</v>
      </c>
      <c r="AE21">
        <v>645</v>
      </c>
      <c r="AF21">
        <v>758</v>
      </c>
      <c r="AG21">
        <v>841</v>
      </c>
      <c r="AH21">
        <v>876</v>
      </c>
      <c r="AI21">
        <v>906</v>
      </c>
      <c r="AJ21">
        <v>1010</v>
      </c>
    </row>
    <row r="22" spans="2:36">
      <c r="B22" t="s">
        <v>29</v>
      </c>
      <c r="C22">
        <v>379</v>
      </c>
      <c r="D22">
        <v>470</v>
      </c>
      <c r="E22">
        <v>447</v>
      </c>
      <c r="F22">
        <v>472</v>
      </c>
      <c r="G22">
        <v>470</v>
      </c>
      <c r="H22">
        <v>632</v>
      </c>
      <c r="I22">
        <v>592</v>
      </c>
      <c r="J22">
        <v>584</v>
      </c>
      <c r="K22">
        <v>625</v>
      </c>
      <c r="L22">
        <v>714</v>
      </c>
      <c r="M22">
        <v>680</v>
      </c>
      <c r="N22">
        <v>746</v>
      </c>
      <c r="O22">
        <v>823</v>
      </c>
      <c r="P22">
        <v>960</v>
      </c>
      <c r="Q22">
        <v>886</v>
      </c>
      <c r="R22">
        <v>916</v>
      </c>
      <c r="S22">
        <v>999</v>
      </c>
      <c r="T22">
        <v>1091</v>
      </c>
      <c r="U22">
        <v>985</v>
      </c>
      <c r="V22">
        <v>1010</v>
      </c>
      <c r="W22">
        <v>1063</v>
      </c>
      <c r="X22">
        <v>1288</v>
      </c>
      <c r="Y22">
        <v>1220</v>
      </c>
      <c r="Z22">
        <v>1438</v>
      </c>
      <c r="AA22">
        <v>1571</v>
      </c>
      <c r="AB22">
        <v>1896</v>
      </c>
      <c r="AC22">
        <v>1763</v>
      </c>
      <c r="AD22">
        <v>1915</v>
      </c>
      <c r="AE22">
        <v>2025</v>
      </c>
      <c r="AF22">
        <v>2605</v>
      </c>
      <c r="AG22">
        <v>2339</v>
      </c>
      <c r="AH22">
        <v>2545</v>
      </c>
      <c r="AI22">
        <v>2551</v>
      </c>
      <c r="AJ22">
        <v>2840</v>
      </c>
    </row>
    <row r="23" spans="2:36">
      <c r="B23" t="s">
        <v>30</v>
      </c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  <c r="K23">
        <v>0</v>
      </c>
      <c r="L23">
        <v>0</v>
      </c>
      <c r="M23">
        <v>0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  <c r="T23">
        <v>0</v>
      </c>
      <c r="U23">
        <v>0</v>
      </c>
      <c r="V23">
        <v>0</v>
      </c>
      <c r="W23">
        <v>0</v>
      </c>
      <c r="X23">
        <v>0</v>
      </c>
      <c r="Y23">
        <v>0</v>
      </c>
      <c r="Z23">
        <v>0</v>
      </c>
      <c r="AA23">
        <v>0</v>
      </c>
      <c r="AB23">
        <v>0</v>
      </c>
      <c r="AC23">
        <v>0</v>
      </c>
      <c r="AD23">
        <v>0</v>
      </c>
      <c r="AE23">
        <v>0</v>
      </c>
      <c r="AF23">
        <v>0</v>
      </c>
      <c r="AG23">
        <v>0</v>
      </c>
      <c r="AH23">
        <v>0</v>
      </c>
      <c r="AI23">
        <v>0</v>
      </c>
      <c r="AJ23">
        <v>0</v>
      </c>
    </row>
    <row r="24" spans="2:36">
      <c r="B24" t="s">
        <v>31</v>
      </c>
      <c r="C24">
        <v>128</v>
      </c>
      <c r="D24">
        <v>403</v>
      </c>
      <c r="E24">
        <v>402</v>
      </c>
      <c r="F24">
        <v>427</v>
      </c>
      <c r="G24">
        <v>418</v>
      </c>
      <c r="H24">
        <v>750</v>
      </c>
      <c r="I24">
        <v>529</v>
      </c>
      <c r="J24">
        <v>566</v>
      </c>
      <c r="K24">
        <v>608</v>
      </c>
      <c r="L24">
        <v>1322</v>
      </c>
      <c r="M24">
        <v>986</v>
      </c>
      <c r="N24">
        <v>1041</v>
      </c>
      <c r="O24">
        <v>1060</v>
      </c>
      <c r="P24">
        <v>2126</v>
      </c>
      <c r="Q24">
        <v>1315</v>
      </c>
      <c r="R24">
        <v>1392</v>
      </c>
      <c r="S24">
        <v>1442</v>
      </c>
      <c r="T24">
        <v>2126</v>
      </c>
      <c r="U24">
        <v>1667</v>
      </c>
      <c r="V24">
        <v>1672</v>
      </c>
      <c r="W24">
        <v>6275</v>
      </c>
      <c r="X24">
        <v>4725</v>
      </c>
      <c r="Y24">
        <v>3979</v>
      </c>
      <c r="Z24">
        <v>4234</v>
      </c>
      <c r="AA24">
        <v>5447</v>
      </c>
      <c r="AB24">
        <v>7827</v>
      </c>
      <c r="AC24">
        <v>7874</v>
      </c>
      <c r="AD24">
        <v>9379</v>
      </c>
      <c r="AE24">
        <v>8710</v>
      </c>
      <c r="AF24">
        <v>17340</v>
      </c>
      <c r="AG24">
        <v>15384</v>
      </c>
      <c r="AH24">
        <v>11573</v>
      </c>
      <c r="AI24">
        <v>10944</v>
      </c>
      <c r="AJ24">
        <v>17210</v>
      </c>
    </row>
    <row r="25" spans="2:36">
      <c r="B25" t="s">
        <v>32</v>
      </c>
      <c r="C25">
        <v>173</v>
      </c>
      <c r="D25">
        <v>444</v>
      </c>
      <c r="E25">
        <v>443</v>
      </c>
      <c r="F25">
        <v>473</v>
      </c>
      <c r="G25">
        <v>469</v>
      </c>
      <c r="H25">
        <v>802</v>
      </c>
      <c r="I25">
        <v>579</v>
      </c>
      <c r="J25">
        <v>623</v>
      </c>
      <c r="K25">
        <v>674</v>
      </c>
      <c r="L25">
        <v>1396</v>
      </c>
      <c r="M25">
        <v>1055</v>
      </c>
      <c r="N25">
        <v>1122</v>
      </c>
      <c r="O25">
        <v>1153</v>
      </c>
      <c r="P25">
        <v>2232</v>
      </c>
      <c r="Q25">
        <v>1431</v>
      </c>
      <c r="R25">
        <v>1509</v>
      </c>
      <c r="S25">
        <v>1576</v>
      </c>
      <c r="T25">
        <v>2284</v>
      </c>
      <c r="U25">
        <v>1839</v>
      </c>
      <c r="V25">
        <v>1848</v>
      </c>
      <c r="W25">
        <v>6503</v>
      </c>
      <c r="X25">
        <v>4934</v>
      </c>
      <c r="Y25">
        <v>4195</v>
      </c>
      <c r="Z25">
        <v>4507</v>
      </c>
      <c r="AA25">
        <v>5776</v>
      </c>
      <c r="AB25">
        <v>8183</v>
      </c>
      <c r="AC25">
        <v>8308</v>
      </c>
      <c r="AD25">
        <v>9860</v>
      </c>
      <c r="AE25">
        <v>9253</v>
      </c>
      <c r="AF25">
        <v>18061</v>
      </c>
      <c r="AG25">
        <v>16124</v>
      </c>
      <c r="AH25">
        <v>12408</v>
      </c>
      <c r="AI25">
        <v>11925</v>
      </c>
      <c r="AJ25">
        <v>18798</v>
      </c>
    </row>
    <row r="26" spans="2:36">
      <c r="B26" t="s">
        <v>33</v>
      </c>
      <c r="C26">
        <v>40</v>
      </c>
      <c r="D26">
        <v>41</v>
      </c>
      <c r="E26">
        <v>41</v>
      </c>
      <c r="F26">
        <v>46</v>
      </c>
      <c r="G26">
        <v>51</v>
      </c>
      <c r="H26">
        <v>52</v>
      </c>
      <c r="I26">
        <v>50</v>
      </c>
      <c r="J26">
        <v>57</v>
      </c>
      <c r="K26">
        <v>66</v>
      </c>
      <c r="L26">
        <v>74</v>
      </c>
      <c r="M26">
        <v>69</v>
      </c>
      <c r="N26">
        <v>81</v>
      </c>
      <c r="O26">
        <v>93</v>
      </c>
      <c r="P26">
        <v>106</v>
      </c>
      <c r="Q26">
        <v>116</v>
      </c>
      <c r="R26">
        <v>117</v>
      </c>
      <c r="S26">
        <v>134</v>
      </c>
      <c r="T26">
        <v>158</v>
      </c>
      <c r="U26">
        <v>172</v>
      </c>
      <c r="V26">
        <v>176</v>
      </c>
      <c r="W26">
        <v>228</v>
      </c>
      <c r="X26">
        <v>209</v>
      </c>
      <c r="Y26">
        <v>216</v>
      </c>
      <c r="Z26">
        <v>273</v>
      </c>
      <c r="AA26">
        <v>329</v>
      </c>
      <c r="AB26">
        <v>356</v>
      </c>
      <c r="AC26">
        <v>434</v>
      </c>
      <c r="AD26">
        <v>481</v>
      </c>
      <c r="AE26">
        <v>543</v>
      </c>
      <c r="AF26">
        <v>721</v>
      </c>
      <c r="AG26">
        <v>740</v>
      </c>
      <c r="AH26">
        <v>835</v>
      </c>
      <c r="AI26">
        <v>981</v>
      </c>
      <c r="AJ26">
        <v>1588</v>
      </c>
    </row>
    <row r="27" spans="2:36">
      <c r="B27" t="s">
        <v>34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  <c r="X27">
        <v>0</v>
      </c>
      <c r="Y27">
        <v>0</v>
      </c>
      <c r="Z27">
        <v>0</v>
      </c>
      <c r="AA27">
        <v>0</v>
      </c>
      <c r="AB27">
        <v>0</v>
      </c>
      <c r="AC27">
        <v>0</v>
      </c>
      <c r="AD27">
        <v>0</v>
      </c>
      <c r="AE27">
        <v>0</v>
      </c>
      <c r="AF27">
        <v>0</v>
      </c>
      <c r="AG27">
        <v>0</v>
      </c>
      <c r="AH27">
        <v>0</v>
      </c>
      <c r="AI27">
        <v>0</v>
      </c>
      <c r="AJ27">
        <v>0</v>
      </c>
    </row>
    <row r="28" spans="2:36">
      <c r="B28" t="s">
        <v>35</v>
      </c>
      <c r="C28">
        <v>0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  <c r="X28">
        <v>0</v>
      </c>
      <c r="Y28">
        <v>0</v>
      </c>
      <c r="Z28">
        <v>0</v>
      </c>
      <c r="AA28">
        <v>0</v>
      </c>
      <c r="AB28">
        <v>0</v>
      </c>
      <c r="AC28">
        <v>0</v>
      </c>
      <c r="AD28">
        <v>0</v>
      </c>
      <c r="AE28">
        <v>0</v>
      </c>
      <c r="AF28">
        <v>0</v>
      </c>
      <c r="AG28">
        <v>0</v>
      </c>
      <c r="AH28">
        <v>0</v>
      </c>
      <c r="AI28">
        <v>0</v>
      </c>
      <c r="AJ28">
        <v>0</v>
      </c>
    </row>
    <row r="29" spans="2:36">
      <c r="B29" t="s">
        <v>36</v>
      </c>
      <c r="C29">
        <v>0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>
        <v>0</v>
      </c>
      <c r="W29">
        <v>0</v>
      </c>
      <c r="X29">
        <v>0</v>
      </c>
      <c r="Y29">
        <v>0</v>
      </c>
      <c r="Z29">
        <v>0</v>
      </c>
      <c r="AA29">
        <v>0</v>
      </c>
      <c r="AB29">
        <v>0</v>
      </c>
      <c r="AC29">
        <v>0</v>
      </c>
      <c r="AD29">
        <v>0</v>
      </c>
      <c r="AE29">
        <v>0</v>
      </c>
      <c r="AF29">
        <v>0</v>
      </c>
      <c r="AG29">
        <v>0</v>
      </c>
      <c r="AH29">
        <v>0</v>
      </c>
      <c r="AI29">
        <v>0</v>
      </c>
      <c r="AJ29">
        <v>0</v>
      </c>
    </row>
    <row r="30" spans="2:36">
      <c r="B30" t="s">
        <v>37</v>
      </c>
      <c r="C30">
        <v>133</v>
      </c>
      <c r="D30">
        <v>403</v>
      </c>
      <c r="E30">
        <v>402</v>
      </c>
      <c r="F30">
        <v>427</v>
      </c>
      <c r="G30">
        <v>418</v>
      </c>
      <c r="H30">
        <v>750</v>
      </c>
      <c r="I30">
        <v>529</v>
      </c>
      <c r="J30">
        <v>566</v>
      </c>
      <c r="K30">
        <v>608</v>
      </c>
      <c r="L30">
        <v>1322</v>
      </c>
      <c r="M30">
        <v>986</v>
      </c>
      <c r="N30">
        <v>1041</v>
      </c>
      <c r="O30">
        <v>1060</v>
      </c>
      <c r="P30">
        <v>2126</v>
      </c>
      <c r="Q30">
        <v>1315</v>
      </c>
      <c r="R30">
        <v>1392</v>
      </c>
      <c r="S30">
        <v>1442</v>
      </c>
      <c r="T30">
        <v>2126</v>
      </c>
      <c r="U30">
        <v>1667</v>
      </c>
      <c r="V30">
        <v>1672</v>
      </c>
      <c r="W30">
        <v>6275</v>
      </c>
      <c r="X30">
        <v>4725</v>
      </c>
      <c r="Y30">
        <v>3979</v>
      </c>
      <c r="Z30">
        <v>4234</v>
      </c>
      <c r="AA30">
        <v>5447</v>
      </c>
      <c r="AB30">
        <v>7827</v>
      </c>
      <c r="AC30">
        <v>7874</v>
      </c>
      <c r="AD30">
        <v>9379</v>
      </c>
      <c r="AE30">
        <v>8710</v>
      </c>
      <c r="AF30">
        <v>17340</v>
      </c>
      <c r="AG30">
        <v>15384</v>
      </c>
      <c r="AH30">
        <v>11573</v>
      </c>
      <c r="AI30">
        <v>10944</v>
      </c>
      <c r="AJ30">
        <v>17210</v>
      </c>
    </row>
    <row r="31" spans="2:36">
      <c r="B31" t="s">
        <v>38</v>
      </c>
      <c r="C31">
        <v>9</v>
      </c>
      <c r="D31">
        <v>28</v>
      </c>
      <c r="E31">
        <v>39</v>
      </c>
      <c r="F31">
        <v>46</v>
      </c>
      <c r="G31">
        <v>78</v>
      </c>
      <c r="H31">
        <v>0</v>
      </c>
      <c r="I31">
        <v>87</v>
      </c>
      <c r="J31">
        <v>99</v>
      </c>
      <c r="K31">
        <v>120</v>
      </c>
      <c r="L31">
        <v>133</v>
      </c>
      <c r="M31">
        <v>158</v>
      </c>
      <c r="N31">
        <v>168</v>
      </c>
      <c r="O31">
        <v>188</v>
      </c>
      <c r="P31">
        <v>0</v>
      </c>
      <c r="Q31">
        <v>0</v>
      </c>
      <c r="R31">
        <v>0</v>
      </c>
      <c r="S31">
        <v>0</v>
      </c>
      <c r="T31">
        <v>0</v>
      </c>
      <c r="U31">
        <v>0</v>
      </c>
      <c r="V31">
        <v>0</v>
      </c>
      <c r="W31">
        <v>407</v>
      </c>
      <c r="X31">
        <v>0</v>
      </c>
      <c r="Y31">
        <v>0</v>
      </c>
      <c r="Z31">
        <v>0</v>
      </c>
      <c r="AA31">
        <v>311</v>
      </c>
      <c r="AB31">
        <v>0</v>
      </c>
      <c r="AC31">
        <v>0</v>
      </c>
      <c r="AD31">
        <v>0</v>
      </c>
      <c r="AE31">
        <v>519</v>
      </c>
      <c r="AF31">
        <v>0</v>
      </c>
      <c r="AG31">
        <v>0</v>
      </c>
      <c r="AH31">
        <v>0</v>
      </c>
      <c r="AI31">
        <v>1088</v>
      </c>
      <c r="AJ31">
        <v>421</v>
      </c>
    </row>
    <row r="32" spans="2:36">
      <c r="B32" t="s">
        <v>39</v>
      </c>
      <c r="C32">
        <v>0</v>
      </c>
      <c r="D32">
        <v>0</v>
      </c>
      <c r="E32">
        <v>0</v>
      </c>
      <c r="F32">
        <v>0</v>
      </c>
      <c r="G32">
        <v>0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  <c r="N32">
        <v>0</v>
      </c>
      <c r="O32">
        <v>0</v>
      </c>
      <c r="P32">
        <v>0</v>
      </c>
      <c r="Q32">
        <v>0</v>
      </c>
      <c r="R32">
        <v>0</v>
      </c>
      <c r="S32">
        <v>0</v>
      </c>
      <c r="T32">
        <v>0</v>
      </c>
      <c r="U32">
        <v>0</v>
      </c>
      <c r="V32">
        <v>0</v>
      </c>
      <c r="W32">
        <v>0</v>
      </c>
      <c r="X32">
        <v>0</v>
      </c>
      <c r="Y32">
        <v>0</v>
      </c>
      <c r="Z32">
        <v>0</v>
      </c>
      <c r="AA32">
        <v>0</v>
      </c>
      <c r="AB32">
        <v>0</v>
      </c>
      <c r="AC32">
        <v>0</v>
      </c>
      <c r="AD32">
        <v>0</v>
      </c>
      <c r="AE32">
        <v>0</v>
      </c>
      <c r="AF32">
        <v>0</v>
      </c>
      <c r="AG32">
        <v>0</v>
      </c>
      <c r="AH32">
        <v>0</v>
      </c>
      <c r="AI32">
        <v>0</v>
      </c>
      <c r="AJ32">
        <v>0</v>
      </c>
    </row>
    <row r="33" spans="2:36">
      <c r="B33" t="s">
        <v>40</v>
      </c>
      <c r="C33">
        <v>11</v>
      </c>
      <c r="D33">
        <v>-2</v>
      </c>
      <c r="E33">
        <v>-6</v>
      </c>
      <c r="F33">
        <v>0</v>
      </c>
      <c r="G33">
        <v>-18</v>
      </c>
      <c r="H33">
        <v>81</v>
      </c>
      <c r="I33">
        <v>-11</v>
      </c>
      <c r="J33">
        <v>-4</v>
      </c>
      <c r="K33">
        <v>-7</v>
      </c>
      <c r="L33">
        <v>-7</v>
      </c>
      <c r="M33">
        <v>-10</v>
      </c>
      <c r="N33">
        <v>-13</v>
      </c>
      <c r="O33">
        <v>-18</v>
      </c>
      <c r="P33">
        <v>200</v>
      </c>
      <c r="Q33">
        <v>162</v>
      </c>
      <c r="R33">
        <v>118</v>
      </c>
      <c r="S33">
        <v>140</v>
      </c>
      <c r="T33">
        <v>158</v>
      </c>
      <c r="U33">
        <v>63</v>
      </c>
      <c r="V33">
        <v>60</v>
      </c>
      <c r="W33">
        <v>-362</v>
      </c>
      <c r="X33">
        <v>33</v>
      </c>
      <c r="Y33">
        <v>50</v>
      </c>
      <c r="Z33">
        <v>58</v>
      </c>
      <c r="AA33">
        <v>-297</v>
      </c>
      <c r="AB33">
        <v>136</v>
      </c>
      <c r="AC33">
        <v>26</v>
      </c>
      <c r="AD33">
        <v>172</v>
      </c>
      <c r="AE33">
        <v>-438</v>
      </c>
      <c r="AF33">
        <v>137</v>
      </c>
      <c r="AG33">
        <v>148</v>
      </c>
      <c r="AH33">
        <v>288</v>
      </c>
      <c r="AI33">
        <v>-1139</v>
      </c>
      <c r="AJ33">
        <v>41</v>
      </c>
    </row>
    <row r="34" spans="2:36">
      <c r="B34" t="s">
        <v>41</v>
      </c>
      <c r="C34">
        <v>0</v>
      </c>
      <c r="D34">
        <v>0</v>
      </c>
      <c r="E34">
        <v>0</v>
      </c>
      <c r="F34">
        <v>0</v>
      </c>
      <c r="G34">
        <v>0</v>
      </c>
      <c r="H34">
        <v>0</v>
      </c>
      <c r="I34">
        <v>0</v>
      </c>
      <c r="J34">
        <v>0</v>
      </c>
      <c r="K34">
        <v>0</v>
      </c>
      <c r="L34">
        <v>0</v>
      </c>
      <c r="M34">
        <v>0</v>
      </c>
      <c r="N34">
        <v>0</v>
      </c>
      <c r="O34">
        <v>0</v>
      </c>
      <c r="P34">
        <v>0</v>
      </c>
      <c r="Q34">
        <v>0</v>
      </c>
      <c r="R34">
        <v>0</v>
      </c>
      <c r="S34">
        <v>0</v>
      </c>
      <c r="T34">
        <v>0</v>
      </c>
      <c r="U34">
        <v>0</v>
      </c>
      <c r="V34">
        <v>0</v>
      </c>
      <c r="W34">
        <v>0</v>
      </c>
      <c r="X34">
        <v>0</v>
      </c>
      <c r="Y34">
        <v>0</v>
      </c>
      <c r="Z34">
        <v>0</v>
      </c>
      <c r="AA34">
        <v>0</v>
      </c>
      <c r="AB34">
        <v>0</v>
      </c>
      <c r="AC34">
        <v>0</v>
      </c>
      <c r="AD34">
        <v>0</v>
      </c>
      <c r="AE34">
        <v>0</v>
      </c>
      <c r="AF34">
        <v>0</v>
      </c>
      <c r="AG34">
        <v>0</v>
      </c>
      <c r="AH34">
        <v>0</v>
      </c>
      <c r="AI34">
        <v>0</v>
      </c>
      <c r="AJ34">
        <v>0</v>
      </c>
    </row>
    <row r="35" spans="2:36">
      <c r="B35" t="s">
        <v>42</v>
      </c>
      <c r="C35">
        <v>-5</v>
      </c>
      <c r="D35">
        <v>0</v>
      </c>
      <c r="E35">
        <v>0</v>
      </c>
      <c r="F35">
        <v>0</v>
      </c>
      <c r="G35">
        <v>0</v>
      </c>
      <c r="H35">
        <v>0</v>
      </c>
      <c r="I35">
        <v>0</v>
      </c>
      <c r="J35">
        <v>0</v>
      </c>
      <c r="K35">
        <v>0</v>
      </c>
      <c r="L35">
        <v>0</v>
      </c>
      <c r="M35">
        <v>0</v>
      </c>
      <c r="N35">
        <v>0</v>
      </c>
      <c r="O35">
        <v>0</v>
      </c>
      <c r="P35">
        <v>0</v>
      </c>
      <c r="Q35">
        <v>0</v>
      </c>
      <c r="R35">
        <v>0</v>
      </c>
      <c r="S35">
        <v>0</v>
      </c>
      <c r="T35">
        <v>0</v>
      </c>
      <c r="U35">
        <v>0</v>
      </c>
      <c r="V35">
        <v>0</v>
      </c>
      <c r="W35">
        <v>0</v>
      </c>
      <c r="X35">
        <v>0</v>
      </c>
      <c r="Y35">
        <v>0</v>
      </c>
      <c r="Z35">
        <v>0</v>
      </c>
      <c r="AA35">
        <v>0</v>
      </c>
      <c r="AB35">
        <v>0</v>
      </c>
      <c r="AC35">
        <v>0</v>
      </c>
      <c r="AD35">
        <v>0</v>
      </c>
      <c r="AE35">
        <v>0</v>
      </c>
      <c r="AF35">
        <v>0</v>
      </c>
      <c r="AG35">
        <v>0</v>
      </c>
      <c r="AH35">
        <v>0</v>
      </c>
      <c r="AI35">
        <v>0</v>
      </c>
      <c r="AJ35">
        <v>0</v>
      </c>
    </row>
    <row r="36" spans="2:36">
      <c r="B36" t="s">
        <v>43</v>
      </c>
      <c r="C36">
        <v>-4</v>
      </c>
      <c r="D36">
        <v>0</v>
      </c>
      <c r="E36">
        <v>0</v>
      </c>
      <c r="F36">
        <v>0</v>
      </c>
      <c r="G36">
        <v>0</v>
      </c>
      <c r="H36">
        <v>0</v>
      </c>
      <c r="I36">
        <v>0</v>
      </c>
      <c r="J36">
        <v>0</v>
      </c>
      <c r="K36">
        <v>0</v>
      </c>
      <c r="L36">
        <v>0</v>
      </c>
      <c r="M36">
        <v>0</v>
      </c>
      <c r="N36">
        <v>0</v>
      </c>
      <c r="O36">
        <v>0</v>
      </c>
      <c r="P36">
        <v>0</v>
      </c>
      <c r="Q36">
        <v>0</v>
      </c>
      <c r="R36">
        <v>0</v>
      </c>
      <c r="S36">
        <v>0</v>
      </c>
      <c r="T36">
        <v>0</v>
      </c>
      <c r="U36">
        <v>0</v>
      </c>
      <c r="V36">
        <v>0</v>
      </c>
      <c r="W36">
        <v>0</v>
      </c>
      <c r="X36">
        <v>0</v>
      </c>
      <c r="Y36">
        <v>0</v>
      </c>
      <c r="Z36">
        <v>0</v>
      </c>
      <c r="AA36">
        <v>0</v>
      </c>
      <c r="AB36">
        <v>0</v>
      </c>
      <c r="AC36">
        <v>0</v>
      </c>
      <c r="AD36">
        <v>0</v>
      </c>
      <c r="AE36">
        <v>0</v>
      </c>
      <c r="AF36">
        <v>0</v>
      </c>
      <c r="AG36">
        <v>0</v>
      </c>
      <c r="AH36">
        <v>0</v>
      </c>
      <c r="AI36">
        <v>0</v>
      </c>
      <c r="AJ36">
        <v>0</v>
      </c>
    </row>
    <row r="37" spans="2:36">
      <c r="B37" t="s">
        <v>44</v>
      </c>
      <c r="C37">
        <v>-9</v>
      </c>
      <c r="D37">
        <v>0</v>
      </c>
      <c r="E37">
        <v>0</v>
      </c>
      <c r="F37">
        <v>0</v>
      </c>
      <c r="G37">
        <v>0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  <c r="T37">
        <v>0</v>
      </c>
      <c r="U37">
        <v>0</v>
      </c>
      <c r="V37">
        <v>0</v>
      </c>
      <c r="W37">
        <v>0</v>
      </c>
      <c r="X37">
        <v>0</v>
      </c>
      <c r="Y37">
        <v>0</v>
      </c>
      <c r="Z37">
        <v>0</v>
      </c>
      <c r="AA37">
        <v>0</v>
      </c>
      <c r="AB37">
        <v>0</v>
      </c>
      <c r="AC37">
        <v>0</v>
      </c>
      <c r="AD37">
        <v>0</v>
      </c>
      <c r="AE37">
        <v>0</v>
      </c>
      <c r="AF37">
        <v>0</v>
      </c>
      <c r="AG37">
        <v>0</v>
      </c>
      <c r="AH37">
        <v>0</v>
      </c>
      <c r="AI37">
        <v>0</v>
      </c>
      <c r="AJ37">
        <v>0</v>
      </c>
    </row>
    <row r="38" spans="2:36">
      <c r="B38" t="s">
        <v>45</v>
      </c>
      <c r="C38">
        <v>144</v>
      </c>
      <c r="D38">
        <v>429</v>
      </c>
      <c r="E38">
        <v>435</v>
      </c>
      <c r="F38">
        <v>473</v>
      </c>
      <c r="G38">
        <v>478</v>
      </c>
      <c r="H38">
        <v>831</v>
      </c>
      <c r="I38">
        <v>605</v>
      </c>
      <c r="J38">
        <v>661</v>
      </c>
      <c r="K38">
        <v>721</v>
      </c>
      <c r="L38">
        <v>1448</v>
      </c>
      <c r="M38">
        <v>1134</v>
      </c>
      <c r="N38">
        <v>1196</v>
      </c>
      <c r="O38">
        <v>1230</v>
      </c>
      <c r="P38">
        <v>2326</v>
      </c>
      <c r="Q38">
        <v>1477</v>
      </c>
      <c r="R38">
        <v>1510</v>
      </c>
      <c r="S38">
        <v>1582</v>
      </c>
      <c r="T38">
        <v>2284</v>
      </c>
      <c r="U38">
        <v>1730</v>
      </c>
      <c r="V38">
        <v>1732</v>
      </c>
      <c r="W38">
        <v>6320</v>
      </c>
      <c r="X38">
        <v>4758</v>
      </c>
      <c r="Y38">
        <v>4029</v>
      </c>
      <c r="Z38">
        <v>4292</v>
      </c>
      <c r="AA38">
        <v>5461</v>
      </c>
      <c r="AB38">
        <v>7963</v>
      </c>
      <c r="AC38">
        <v>7900</v>
      </c>
      <c r="AD38">
        <v>9551</v>
      </c>
      <c r="AE38">
        <v>8791</v>
      </c>
      <c r="AF38">
        <v>17477</v>
      </c>
      <c r="AG38">
        <v>15532</v>
      </c>
      <c r="AH38">
        <v>11861</v>
      </c>
      <c r="AI38">
        <v>10893</v>
      </c>
      <c r="AJ38">
        <v>17672</v>
      </c>
    </row>
    <row r="39" spans="2:36">
      <c r="B39" t="s">
        <v>46</v>
      </c>
      <c r="C39">
        <v>-3</v>
      </c>
      <c r="D39">
        <v>0</v>
      </c>
      <c r="E39">
        <v>0</v>
      </c>
      <c r="F39">
        <v>0</v>
      </c>
      <c r="G39">
        <v>0</v>
      </c>
      <c r="H39">
        <v>0</v>
      </c>
      <c r="I39">
        <v>0</v>
      </c>
      <c r="J39">
        <v>0</v>
      </c>
      <c r="K39">
        <v>0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  <c r="T39">
        <v>0</v>
      </c>
      <c r="U39">
        <v>0</v>
      </c>
      <c r="V39">
        <v>0</v>
      </c>
      <c r="W39">
        <v>0</v>
      </c>
      <c r="X39">
        <v>0</v>
      </c>
      <c r="Y39">
        <v>0</v>
      </c>
      <c r="Z39">
        <v>0</v>
      </c>
      <c r="AA39">
        <v>0</v>
      </c>
      <c r="AB39">
        <v>0</v>
      </c>
      <c r="AC39">
        <v>0</v>
      </c>
      <c r="AD39">
        <v>0</v>
      </c>
      <c r="AE39">
        <v>0</v>
      </c>
      <c r="AF39">
        <v>0</v>
      </c>
      <c r="AG39">
        <v>0</v>
      </c>
      <c r="AH39">
        <v>0</v>
      </c>
      <c r="AI39">
        <v>0</v>
      </c>
      <c r="AJ39">
        <v>0</v>
      </c>
    </row>
    <row r="40" spans="2:36">
      <c r="B40" t="s">
        <v>47</v>
      </c>
      <c r="C40">
        <v>147</v>
      </c>
      <c r="D40">
        <v>429</v>
      </c>
      <c r="E40">
        <v>435</v>
      </c>
      <c r="F40">
        <v>473</v>
      </c>
      <c r="G40">
        <v>478</v>
      </c>
      <c r="H40">
        <v>831</v>
      </c>
      <c r="I40">
        <v>605</v>
      </c>
      <c r="J40">
        <v>661</v>
      </c>
      <c r="K40">
        <v>721</v>
      </c>
      <c r="L40">
        <v>1448</v>
      </c>
      <c r="M40">
        <v>1134</v>
      </c>
      <c r="N40">
        <v>1196</v>
      </c>
      <c r="O40">
        <v>1230</v>
      </c>
      <c r="P40">
        <v>2326</v>
      </c>
      <c r="Q40">
        <v>1477</v>
      </c>
      <c r="R40">
        <v>1510</v>
      </c>
      <c r="S40">
        <v>1582</v>
      </c>
      <c r="T40">
        <v>2284</v>
      </c>
      <c r="U40">
        <v>1730</v>
      </c>
      <c r="V40">
        <v>1732</v>
      </c>
      <c r="W40">
        <v>6320</v>
      </c>
      <c r="X40">
        <v>4758</v>
      </c>
      <c r="Y40">
        <v>4029</v>
      </c>
      <c r="Z40">
        <v>4292</v>
      </c>
      <c r="AA40">
        <v>5461</v>
      </c>
      <c r="AB40">
        <v>7963</v>
      </c>
      <c r="AC40">
        <v>7900</v>
      </c>
      <c r="AD40">
        <v>9551</v>
      </c>
      <c r="AE40">
        <v>8791</v>
      </c>
      <c r="AF40">
        <v>17477</v>
      </c>
      <c r="AG40">
        <v>15532</v>
      </c>
      <c r="AH40">
        <v>11861</v>
      </c>
      <c r="AI40">
        <v>10893</v>
      </c>
      <c r="AJ40">
        <v>17672</v>
      </c>
    </row>
    <row r="41" spans="2:36">
      <c r="B41" t="s">
        <v>48</v>
      </c>
      <c r="C41">
        <v>41</v>
      </c>
      <c r="D41">
        <v>134</v>
      </c>
      <c r="E41">
        <v>145</v>
      </c>
      <c r="F41">
        <v>153</v>
      </c>
      <c r="G41">
        <v>48</v>
      </c>
      <c r="H41">
        <v>266</v>
      </c>
      <c r="I41">
        <v>195</v>
      </c>
      <c r="J41">
        <v>189</v>
      </c>
      <c r="K41">
        <v>179</v>
      </c>
      <c r="L41">
        <v>444</v>
      </c>
      <c r="M41">
        <v>364</v>
      </c>
      <c r="N41">
        <v>378</v>
      </c>
      <c r="O41">
        <v>326</v>
      </c>
      <c r="P41">
        <v>745</v>
      </c>
      <c r="Q41">
        <v>432</v>
      </c>
      <c r="R41">
        <v>438</v>
      </c>
      <c r="S41">
        <v>446</v>
      </c>
      <c r="T41">
        <v>679</v>
      </c>
      <c r="U41">
        <v>525</v>
      </c>
      <c r="V41">
        <v>503</v>
      </c>
      <c r="W41">
        <v>2124</v>
      </c>
      <c r="X41">
        <v>1380</v>
      </c>
      <c r="Y41">
        <v>955</v>
      </c>
      <c r="Z41">
        <v>1039</v>
      </c>
      <c r="AA41">
        <v>1153</v>
      </c>
      <c r="AB41">
        <v>1959</v>
      </c>
      <c r="AC41">
        <v>1913</v>
      </c>
      <c r="AD41">
        <v>2243</v>
      </c>
      <c r="AE41">
        <v>2168</v>
      </c>
      <c r="AF41">
        <v>4413</v>
      </c>
      <c r="AG41">
        <v>3910</v>
      </c>
      <c r="AH41">
        <v>3037</v>
      </c>
      <c r="AI41">
        <v>2670</v>
      </c>
      <c r="AJ41">
        <v>4594</v>
      </c>
    </row>
    <row r="42" spans="2:36">
      <c r="B42" t="s">
        <v>49</v>
      </c>
      <c r="C42">
        <v>0</v>
      </c>
      <c r="D42">
        <v>0</v>
      </c>
      <c r="E42">
        <v>0</v>
      </c>
      <c r="F42">
        <v>0</v>
      </c>
      <c r="G42">
        <v>0</v>
      </c>
      <c r="H42">
        <v>0</v>
      </c>
      <c r="I42">
        <v>0</v>
      </c>
      <c r="J42">
        <v>0</v>
      </c>
      <c r="K42">
        <v>0</v>
      </c>
      <c r="L42">
        <v>0</v>
      </c>
      <c r="M42">
        <v>0</v>
      </c>
      <c r="N42">
        <v>0</v>
      </c>
      <c r="O42">
        <v>0</v>
      </c>
      <c r="P42">
        <v>0</v>
      </c>
      <c r="Q42">
        <v>0</v>
      </c>
      <c r="R42">
        <v>0</v>
      </c>
      <c r="S42">
        <v>0</v>
      </c>
      <c r="T42">
        <v>0</v>
      </c>
      <c r="U42">
        <v>0</v>
      </c>
      <c r="V42">
        <v>0</v>
      </c>
      <c r="W42">
        <v>0</v>
      </c>
      <c r="X42">
        <v>0</v>
      </c>
      <c r="Y42">
        <v>0</v>
      </c>
      <c r="Z42">
        <v>0</v>
      </c>
      <c r="AA42">
        <v>0</v>
      </c>
      <c r="AB42">
        <v>0</v>
      </c>
      <c r="AC42">
        <v>0</v>
      </c>
      <c r="AD42">
        <v>0</v>
      </c>
      <c r="AE42">
        <v>0</v>
      </c>
      <c r="AF42">
        <v>0</v>
      </c>
      <c r="AG42">
        <v>0</v>
      </c>
      <c r="AH42">
        <v>0</v>
      </c>
      <c r="AI42">
        <v>0</v>
      </c>
      <c r="AJ42">
        <v>0</v>
      </c>
    </row>
    <row r="43" spans="2:36">
      <c r="B43" t="s">
        <v>50</v>
      </c>
      <c r="C43">
        <v>0</v>
      </c>
      <c r="D43">
        <v>0</v>
      </c>
      <c r="E43">
        <v>0</v>
      </c>
      <c r="F43">
        <v>0</v>
      </c>
      <c r="G43">
        <v>0</v>
      </c>
      <c r="H43">
        <v>0</v>
      </c>
      <c r="I43">
        <v>0</v>
      </c>
      <c r="J43">
        <v>0</v>
      </c>
      <c r="K43">
        <v>0</v>
      </c>
      <c r="L43">
        <v>0</v>
      </c>
      <c r="M43">
        <v>0</v>
      </c>
      <c r="N43">
        <v>0</v>
      </c>
      <c r="O43">
        <v>0</v>
      </c>
      <c r="P43">
        <v>0</v>
      </c>
      <c r="Q43">
        <v>0</v>
      </c>
      <c r="R43">
        <v>0</v>
      </c>
      <c r="S43">
        <v>0</v>
      </c>
      <c r="T43">
        <v>0</v>
      </c>
      <c r="U43">
        <v>0</v>
      </c>
      <c r="V43">
        <v>0</v>
      </c>
      <c r="W43">
        <v>0</v>
      </c>
      <c r="X43">
        <v>0</v>
      </c>
      <c r="Y43">
        <v>0</v>
      </c>
      <c r="Z43">
        <v>0</v>
      </c>
      <c r="AA43">
        <v>0</v>
      </c>
      <c r="AB43">
        <v>0</v>
      </c>
      <c r="AC43">
        <v>0</v>
      </c>
      <c r="AD43">
        <v>0</v>
      </c>
      <c r="AE43">
        <v>0</v>
      </c>
      <c r="AF43">
        <v>0</v>
      </c>
      <c r="AG43">
        <v>0</v>
      </c>
      <c r="AH43">
        <v>0</v>
      </c>
      <c r="AI43">
        <v>0</v>
      </c>
      <c r="AJ43">
        <v>0</v>
      </c>
    </row>
    <row r="44" spans="2:36">
      <c r="B44" t="s">
        <v>51</v>
      </c>
      <c r="C44">
        <v>147</v>
      </c>
      <c r="D44">
        <v>429</v>
      </c>
      <c r="E44">
        <v>435</v>
      </c>
      <c r="F44">
        <v>473</v>
      </c>
      <c r="G44">
        <v>478</v>
      </c>
      <c r="H44">
        <v>831</v>
      </c>
      <c r="I44">
        <v>605</v>
      </c>
      <c r="J44">
        <v>661</v>
      </c>
      <c r="K44">
        <v>721</v>
      </c>
      <c r="L44">
        <v>1448</v>
      </c>
      <c r="M44">
        <v>134</v>
      </c>
      <c r="N44">
        <v>1196</v>
      </c>
      <c r="O44">
        <v>1230</v>
      </c>
      <c r="P44">
        <v>2326</v>
      </c>
      <c r="Q44">
        <v>1477</v>
      </c>
      <c r="R44">
        <v>1510</v>
      </c>
      <c r="S44">
        <v>1582</v>
      </c>
      <c r="T44">
        <v>2284</v>
      </c>
      <c r="U44">
        <v>1730</v>
      </c>
      <c r="V44">
        <v>1732</v>
      </c>
      <c r="W44">
        <v>6320</v>
      </c>
      <c r="X44">
        <v>4758</v>
      </c>
      <c r="Y44">
        <v>4029</v>
      </c>
      <c r="Z44">
        <v>4292</v>
      </c>
      <c r="AA44">
        <v>5461</v>
      </c>
      <c r="AB44">
        <v>7963</v>
      </c>
      <c r="AC44">
        <v>7900</v>
      </c>
      <c r="AD44">
        <v>9551</v>
      </c>
      <c r="AE44">
        <v>8791</v>
      </c>
      <c r="AF44">
        <v>17477</v>
      </c>
      <c r="AG44">
        <v>15532</v>
      </c>
      <c r="AH44">
        <v>11861</v>
      </c>
      <c r="AI44">
        <v>10893</v>
      </c>
      <c r="AJ44">
        <v>17672</v>
      </c>
    </row>
    <row r="45" spans="2:36">
      <c r="B45" t="s">
        <v>52</v>
      </c>
      <c r="C45">
        <v>106</v>
      </c>
      <c r="D45">
        <v>295</v>
      </c>
      <c r="E45">
        <v>290</v>
      </c>
      <c r="F45">
        <v>320</v>
      </c>
      <c r="G45">
        <v>430</v>
      </c>
      <c r="H45">
        <v>565</v>
      </c>
      <c r="I45">
        <v>410</v>
      </c>
      <c r="J45">
        <v>472</v>
      </c>
      <c r="K45">
        <v>542</v>
      </c>
      <c r="L45">
        <v>1004</v>
      </c>
      <c r="M45">
        <v>770</v>
      </c>
      <c r="N45">
        <v>818</v>
      </c>
      <c r="O45">
        <v>904</v>
      </c>
      <c r="P45">
        <v>1581</v>
      </c>
      <c r="Q45">
        <v>1045</v>
      </c>
      <c r="R45">
        <v>1072</v>
      </c>
      <c r="S45">
        <v>1136</v>
      </c>
      <c r="T45">
        <v>1605</v>
      </c>
      <c r="U45">
        <v>1205</v>
      </c>
      <c r="V45">
        <v>1229</v>
      </c>
      <c r="W45">
        <v>4196</v>
      </c>
      <c r="X45">
        <v>3378</v>
      </c>
      <c r="Y45">
        <v>3074</v>
      </c>
      <c r="Z45">
        <v>3253</v>
      </c>
      <c r="AA45">
        <v>4308</v>
      </c>
      <c r="AB45">
        <v>6004</v>
      </c>
      <c r="AC45">
        <v>5987</v>
      </c>
      <c r="AD45">
        <v>7308</v>
      </c>
      <c r="AE45">
        <v>6623</v>
      </c>
      <c r="AF45">
        <v>13064</v>
      </c>
      <c r="AG45">
        <v>11622</v>
      </c>
      <c r="AH45">
        <v>8824</v>
      </c>
      <c r="AI45">
        <v>8223</v>
      </c>
      <c r="AJ45">
        <v>13078</v>
      </c>
    </row>
    <row r="46" spans="2:36">
      <c r="B46" t="s">
        <v>53</v>
      </c>
      <c r="C46">
        <v>0</v>
      </c>
      <c r="D46">
        <v>0</v>
      </c>
      <c r="E46">
        <v>0</v>
      </c>
      <c r="F46">
        <v>0</v>
      </c>
      <c r="G46">
        <v>0</v>
      </c>
      <c r="H46">
        <v>0</v>
      </c>
      <c r="I46">
        <v>0</v>
      </c>
      <c r="J46">
        <v>0</v>
      </c>
      <c r="K46">
        <v>0</v>
      </c>
      <c r="L46">
        <v>0</v>
      </c>
      <c r="M46">
        <v>0</v>
      </c>
      <c r="N46">
        <v>0</v>
      </c>
      <c r="O46">
        <v>0</v>
      </c>
      <c r="P46">
        <v>0</v>
      </c>
      <c r="Q46">
        <v>0</v>
      </c>
      <c r="R46">
        <v>0</v>
      </c>
      <c r="S46">
        <v>0</v>
      </c>
      <c r="T46">
        <v>0</v>
      </c>
      <c r="U46">
        <v>0</v>
      </c>
      <c r="V46">
        <v>0</v>
      </c>
      <c r="W46">
        <v>0</v>
      </c>
      <c r="X46">
        <v>0</v>
      </c>
      <c r="Y46">
        <v>0</v>
      </c>
      <c r="Z46">
        <v>0</v>
      </c>
      <c r="AA46">
        <v>0</v>
      </c>
      <c r="AB46">
        <v>0</v>
      </c>
      <c r="AC46">
        <v>0</v>
      </c>
      <c r="AD46">
        <v>0</v>
      </c>
      <c r="AE46">
        <v>0</v>
      </c>
      <c r="AF46">
        <v>0</v>
      </c>
      <c r="AG46">
        <v>0</v>
      </c>
      <c r="AH46">
        <v>0</v>
      </c>
      <c r="AI46">
        <v>0</v>
      </c>
      <c r="AJ46">
        <v>0</v>
      </c>
    </row>
    <row r="47" spans="2:36">
      <c r="B47" t="s">
        <v>54</v>
      </c>
      <c r="C47">
        <v>106</v>
      </c>
      <c r="D47">
        <v>295</v>
      </c>
      <c r="E47">
        <v>290</v>
      </c>
      <c r="F47">
        <v>320</v>
      </c>
      <c r="G47">
        <v>430</v>
      </c>
      <c r="H47">
        <v>565</v>
      </c>
      <c r="I47">
        <v>410</v>
      </c>
      <c r="J47">
        <v>472</v>
      </c>
      <c r="K47">
        <v>542</v>
      </c>
      <c r="L47">
        <v>1004</v>
      </c>
      <c r="M47">
        <v>770</v>
      </c>
      <c r="N47">
        <v>818</v>
      </c>
      <c r="O47">
        <v>904</v>
      </c>
      <c r="P47">
        <v>1581</v>
      </c>
      <c r="Q47">
        <v>1045</v>
      </c>
      <c r="R47">
        <v>1072</v>
      </c>
      <c r="S47">
        <v>1136</v>
      </c>
      <c r="T47">
        <v>1605</v>
      </c>
      <c r="U47">
        <v>1205</v>
      </c>
      <c r="V47">
        <v>1229</v>
      </c>
      <c r="W47">
        <v>4196</v>
      </c>
      <c r="X47">
        <v>3378</v>
      </c>
      <c r="Y47">
        <v>3074</v>
      </c>
      <c r="Z47">
        <v>3253</v>
      </c>
      <c r="AA47">
        <v>4308</v>
      </c>
      <c r="AB47">
        <v>6004</v>
      </c>
      <c r="AC47">
        <v>5987</v>
      </c>
      <c r="AD47">
        <v>7308</v>
      </c>
      <c r="AE47">
        <v>6623</v>
      </c>
      <c r="AF47">
        <v>13064</v>
      </c>
      <c r="AG47">
        <v>11622</v>
      </c>
      <c r="AH47">
        <v>8824</v>
      </c>
      <c r="AI47">
        <v>8223</v>
      </c>
      <c r="AJ47">
        <v>13078</v>
      </c>
    </row>
    <row r="48" spans="2:36">
      <c r="B48" t="s">
        <v>55</v>
      </c>
      <c r="C48">
        <v>0</v>
      </c>
      <c r="D48">
        <v>0</v>
      </c>
      <c r="E48">
        <v>0</v>
      </c>
      <c r="F48">
        <v>0</v>
      </c>
      <c r="G48">
        <v>0</v>
      </c>
      <c r="H48">
        <v>0</v>
      </c>
      <c r="I48">
        <v>0</v>
      </c>
      <c r="J48">
        <v>0</v>
      </c>
      <c r="K48">
        <v>0</v>
      </c>
      <c r="L48">
        <v>0</v>
      </c>
      <c r="M48">
        <v>0</v>
      </c>
      <c r="N48">
        <v>0</v>
      </c>
      <c r="O48">
        <v>0</v>
      </c>
      <c r="P48">
        <v>0</v>
      </c>
      <c r="Q48">
        <v>0</v>
      </c>
      <c r="R48">
        <v>0</v>
      </c>
      <c r="S48">
        <v>0</v>
      </c>
      <c r="T48">
        <v>0</v>
      </c>
      <c r="U48">
        <v>0</v>
      </c>
      <c r="V48">
        <v>0</v>
      </c>
      <c r="W48">
        <v>0</v>
      </c>
      <c r="X48">
        <v>0</v>
      </c>
      <c r="Y48">
        <v>0</v>
      </c>
      <c r="Z48">
        <v>0</v>
      </c>
      <c r="AA48">
        <v>0</v>
      </c>
      <c r="AB48">
        <v>0</v>
      </c>
      <c r="AC48">
        <v>0</v>
      </c>
      <c r="AD48">
        <v>0</v>
      </c>
      <c r="AE48">
        <v>0</v>
      </c>
      <c r="AF48">
        <v>0</v>
      </c>
      <c r="AG48">
        <v>0</v>
      </c>
      <c r="AH48">
        <v>0</v>
      </c>
      <c r="AI48">
        <v>0</v>
      </c>
      <c r="AJ48">
        <v>0</v>
      </c>
    </row>
    <row r="49" spans="2:36">
      <c r="B49" t="s">
        <v>56</v>
      </c>
      <c r="C49">
        <v>0</v>
      </c>
      <c r="D49">
        <v>0</v>
      </c>
      <c r="E49">
        <v>0</v>
      </c>
      <c r="F49">
        <v>0</v>
      </c>
      <c r="G49">
        <v>0</v>
      </c>
      <c r="H49">
        <v>0</v>
      </c>
      <c r="I49">
        <v>0</v>
      </c>
      <c r="J49">
        <v>0</v>
      </c>
      <c r="K49">
        <v>0</v>
      </c>
      <c r="L49">
        <v>0</v>
      </c>
      <c r="M49">
        <v>0</v>
      </c>
      <c r="N49">
        <v>0</v>
      </c>
      <c r="O49">
        <v>0</v>
      </c>
      <c r="P49">
        <v>0</v>
      </c>
      <c r="Q49">
        <v>0</v>
      </c>
      <c r="R49">
        <v>0</v>
      </c>
      <c r="S49">
        <v>0</v>
      </c>
      <c r="T49">
        <v>0</v>
      </c>
      <c r="U49">
        <v>0</v>
      </c>
      <c r="V49">
        <v>0</v>
      </c>
      <c r="W49">
        <v>0</v>
      </c>
      <c r="X49">
        <v>0</v>
      </c>
      <c r="Y49">
        <v>0</v>
      </c>
      <c r="Z49">
        <v>0</v>
      </c>
      <c r="AA49">
        <v>0</v>
      </c>
      <c r="AB49">
        <v>0</v>
      </c>
      <c r="AC49">
        <v>0</v>
      </c>
      <c r="AD49">
        <v>0</v>
      </c>
      <c r="AE49">
        <v>0</v>
      </c>
      <c r="AF49">
        <v>0</v>
      </c>
      <c r="AG49">
        <v>0</v>
      </c>
      <c r="AH49">
        <v>0</v>
      </c>
      <c r="AI49">
        <v>0</v>
      </c>
      <c r="AJ49">
        <v>0</v>
      </c>
    </row>
    <row r="50" spans="2:36">
      <c r="B50" t="s">
        <v>57</v>
      </c>
      <c r="C50">
        <v>0</v>
      </c>
      <c r="D50">
        <v>0</v>
      </c>
      <c r="E50">
        <v>0</v>
      </c>
      <c r="F50">
        <v>0</v>
      </c>
      <c r="G50">
        <v>0</v>
      </c>
      <c r="H50">
        <v>0</v>
      </c>
      <c r="I50">
        <v>0</v>
      </c>
      <c r="J50">
        <v>0</v>
      </c>
      <c r="K50">
        <v>0</v>
      </c>
      <c r="L50">
        <v>0</v>
      </c>
      <c r="M50">
        <v>0</v>
      </c>
      <c r="N50">
        <v>0</v>
      </c>
      <c r="O50">
        <v>0</v>
      </c>
      <c r="P50">
        <v>0</v>
      </c>
      <c r="Q50">
        <v>0</v>
      </c>
      <c r="R50">
        <v>0</v>
      </c>
      <c r="S50">
        <v>0</v>
      </c>
      <c r="T50">
        <v>0</v>
      </c>
      <c r="U50">
        <v>0</v>
      </c>
      <c r="V50">
        <v>0</v>
      </c>
      <c r="W50">
        <v>0</v>
      </c>
      <c r="X50">
        <v>0</v>
      </c>
      <c r="Y50">
        <v>0</v>
      </c>
      <c r="Z50">
        <v>0</v>
      </c>
      <c r="AA50">
        <v>0</v>
      </c>
      <c r="AB50">
        <v>0</v>
      </c>
      <c r="AC50">
        <v>0</v>
      </c>
      <c r="AD50">
        <v>0</v>
      </c>
      <c r="AE50">
        <v>0</v>
      </c>
      <c r="AF50">
        <v>0</v>
      </c>
      <c r="AG50">
        <v>0</v>
      </c>
      <c r="AH50">
        <v>0</v>
      </c>
      <c r="AI50">
        <v>0</v>
      </c>
      <c r="AJ50">
        <v>0</v>
      </c>
    </row>
    <row r="51" spans="2:36">
      <c r="B51" t="s">
        <v>58</v>
      </c>
      <c r="C51">
        <v>0</v>
      </c>
      <c r="D51">
        <v>0</v>
      </c>
      <c r="E51">
        <v>0</v>
      </c>
      <c r="F51">
        <v>0</v>
      </c>
      <c r="G51">
        <v>0</v>
      </c>
      <c r="H51">
        <v>0</v>
      </c>
      <c r="I51">
        <v>0</v>
      </c>
      <c r="J51">
        <v>0</v>
      </c>
      <c r="K51">
        <v>0</v>
      </c>
      <c r="L51">
        <v>0</v>
      </c>
      <c r="M51">
        <v>0</v>
      </c>
      <c r="N51">
        <v>0</v>
      </c>
      <c r="O51">
        <v>0</v>
      </c>
      <c r="P51">
        <v>0</v>
      </c>
      <c r="Q51">
        <v>0</v>
      </c>
      <c r="R51">
        <v>0</v>
      </c>
      <c r="S51">
        <v>0</v>
      </c>
      <c r="T51">
        <v>0</v>
      </c>
      <c r="U51">
        <v>0</v>
      </c>
      <c r="V51">
        <v>0</v>
      </c>
      <c r="W51">
        <v>0</v>
      </c>
      <c r="X51">
        <v>0</v>
      </c>
      <c r="Y51">
        <v>0</v>
      </c>
      <c r="Z51">
        <v>0</v>
      </c>
      <c r="AA51">
        <v>0</v>
      </c>
      <c r="AB51">
        <v>0</v>
      </c>
      <c r="AC51">
        <v>0</v>
      </c>
      <c r="AD51">
        <v>0</v>
      </c>
      <c r="AE51">
        <v>0</v>
      </c>
      <c r="AF51">
        <v>0</v>
      </c>
      <c r="AG51">
        <v>0</v>
      </c>
      <c r="AH51">
        <v>0</v>
      </c>
      <c r="AI51">
        <v>0</v>
      </c>
      <c r="AJ51">
        <v>0</v>
      </c>
    </row>
    <row r="52" spans="2:36">
      <c r="B52" t="s">
        <v>59</v>
      </c>
      <c r="C52">
        <v>106</v>
      </c>
      <c r="D52">
        <v>295</v>
      </c>
      <c r="E52">
        <v>290</v>
      </c>
      <c r="F52">
        <v>320</v>
      </c>
      <c r="G52">
        <v>430</v>
      </c>
      <c r="H52">
        <v>565</v>
      </c>
      <c r="I52">
        <v>410</v>
      </c>
      <c r="J52">
        <v>472</v>
      </c>
      <c r="K52">
        <v>542</v>
      </c>
      <c r="L52">
        <v>1004</v>
      </c>
      <c r="M52">
        <v>770</v>
      </c>
      <c r="N52">
        <v>818</v>
      </c>
      <c r="O52">
        <v>904</v>
      </c>
      <c r="P52">
        <v>1581</v>
      </c>
      <c r="Q52">
        <v>1045</v>
      </c>
      <c r="R52">
        <v>1072</v>
      </c>
      <c r="S52">
        <v>1136</v>
      </c>
      <c r="T52">
        <v>1605</v>
      </c>
      <c r="U52">
        <v>1205</v>
      </c>
      <c r="V52">
        <v>1229</v>
      </c>
      <c r="W52">
        <v>4196</v>
      </c>
      <c r="X52">
        <v>3378</v>
      </c>
      <c r="Y52">
        <v>3074</v>
      </c>
      <c r="Z52">
        <v>3253</v>
      </c>
      <c r="AA52">
        <v>4308</v>
      </c>
      <c r="AB52">
        <v>6004</v>
      </c>
      <c r="AC52">
        <v>5987</v>
      </c>
      <c r="AD52">
        <v>7308</v>
      </c>
      <c r="AE52">
        <v>6623</v>
      </c>
      <c r="AF52">
        <v>13064</v>
      </c>
      <c r="AG52">
        <v>11622</v>
      </c>
      <c r="AH52">
        <v>8824</v>
      </c>
      <c r="AI52">
        <v>8223</v>
      </c>
      <c r="AJ52">
        <v>13078</v>
      </c>
    </row>
    <row r="53" spans="2:36">
      <c r="B53" t="s">
        <v>60</v>
      </c>
      <c r="C53">
        <v>115</v>
      </c>
      <c r="D53">
        <v>295</v>
      </c>
      <c r="E53">
        <v>290</v>
      </c>
      <c r="F53">
        <v>320</v>
      </c>
      <c r="G53">
        <v>430</v>
      </c>
      <c r="H53">
        <v>565</v>
      </c>
      <c r="I53">
        <v>410</v>
      </c>
      <c r="J53">
        <v>472</v>
      </c>
      <c r="K53">
        <v>542</v>
      </c>
      <c r="L53">
        <v>1004</v>
      </c>
      <c r="M53">
        <v>770</v>
      </c>
      <c r="N53">
        <v>818</v>
      </c>
      <c r="O53">
        <v>904</v>
      </c>
      <c r="P53">
        <v>1581</v>
      </c>
      <c r="Q53">
        <v>1045</v>
      </c>
      <c r="R53">
        <v>1072</v>
      </c>
      <c r="S53">
        <v>1136</v>
      </c>
      <c r="T53">
        <v>1605</v>
      </c>
      <c r="U53">
        <v>1205</v>
      </c>
      <c r="V53">
        <v>1229</v>
      </c>
      <c r="W53">
        <v>4196</v>
      </c>
      <c r="X53">
        <v>3378</v>
      </c>
      <c r="Y53">
        <v>3074</v>
      </c>
      <c r="Z53">
        <v>3253</v>
      </c>
      <c r="AA53">
        <v>4308</v>
      </c>
      <c r="AB53">
        <v>6004</v>
      </c>
      <c r="AC53">
        <v>5987</v>
      </c>
      <c r="AD53">
        <v>7308</v>
      </c>
      <c r="AE53">
        <v>6623</v>
      </c>
      <c r="AF53">
        <v>13064</v>
      </c>
      <c r="AG53">
        <v>11622</v>
      </c>
      <c r="AH53">
        <v>8824</v>
      </c>
      <c r="AI53">
        <v>8223</v>
      </c>
      <c r="AJ53">
        <v>13078</v>
      </c>
    </row>
    <row r="54" spans="2:36">
      <c r="B54" t="s">
        <v>61</v>
      </c>
      <c r="C54">
        <v>106</v>
      </c>
      <c r="D54">
        <v>295</v>
      </c>
      <c r="E54">
        <v>290</v>
      </c>
      <c r="F54">
        <v>320</v>
      </c>
      <c r="G54">
        <v>430</v>
      </c>
      <c r="H54">
        <v>565</v>
      </c>
      <c r="I54">
        <v>410</v>
      </c>
      <c r="J54">
        <v>472</v>
      </c>
      <c r="K54">
        <v>542</v>
      </c>
      <c r="L54">
        <v>1004</v>
      </c>
      <c r="M54">
        <v>770</v>
      </c>
      <c r="N54">
        <v>818</v>
      </c>
      <c r="O54">
        <v>904</v>
      </c>
      <c r="P54">
        <v>1581</v>
      </c>
      <c r="Q54">
        <v>1045</v>
      </c>
      <c r="R54">
        <v>1072</v>
      </c>
      <c r="S54">
        <v>1136</v>
      </c>
      <c r="T54">
        <v>1605</v>
      </c>
      <c r="U54">
        <v>1205</v>
      </c>
      <c r="V54">
        <v>1229</v>
      </c>
      <c r="W54">
        <v>4196</v>
      </c>
      <c r="X54">
        <v>3378</v>
      </c>
      <c r="Y54">
        <v>3074</v>
      </c>
      <c r="Z54">
        <v>3253</v>
      </c>
      <c r="AA54">
        <v>4308</v>
      </c>
      <c r="AB54">
        <v>6004</v>
      </c>
      <c r="AC54">
        <v>5987</v>
      </c>
      <c r="AD54">
        <v>7308</v>
      </c>
      <c r="AE54">
        <v>6623</v>
      </c>
      <c r="AF54">
        <v>13064</v>
      </c>
      <c r="AG54">
        <v>11622</v>
      </c>
      <c r="AH54">
        <v>8824</v>
      </c>
      <c r="AI54">
        <v>8223</v>
      </c>
      <c r="AJ54">
        <v>13078</v>
      </c>
    </row>
    <row r="55" spans="2:36">
      <c r="B55" t="s">
        <v>62</v>
      </c>
      <c r="C55">
        <v>0</v>
      </c>
      <c r="D55">
        <v>0</v>
      </c>
      <c r="E55">
        <v>0</v>
      </c>
      <c r="F55">
        <v>0</v>
      </c>
      <c r="G55">
        <v>0</v>
      </c>
      <c r="H55">
        <v>0</v>
      </c>
      <c r="I55">
        <v>0</v>
      </c>
      <c r="J55">
        <v>0</v>
      </c>
      <c r="K55">
        <v>0</v>
      </c>
      <c r="L55">
        <v>0</v>
      </c>
      <c r="M55">
        <v>0</v>
      </c>
      <c r="N55">
        <v>0</v>
      </c>
      <c r="O55">
        <v>0</v>
      </c>
      <c r="P55">
        <v>0</v>
      </c>
      <c r="Q55">
        <v>0</v>
      </c>
      <c r="R55">
        <v>0</v>
      </c>
      <c r="S55">
        <v>0</v>
      </c>
      <c r="T55">
        <v>0</v>
      </c>
      <c r="U55">
        <v>0</v>
      </c>
      <c r="V55">
        <v>0</v>
      </c>
      <c r="W55">
        <v>0</v>
      </c>
      <c r="X55">
        <v>0</v>
      </c>
      <c r="Y55">
        <v>0</v>
      </c>
      <c r="Z55">
        <v>0</v>
      </c>
      <c r="AA55">
        <v>0</v>
      </c>
      <c r="AB55">
        <v>0</v>
      </c>
      <c r="AC55">
        <v>0</v>
      </c>
      <c r="AD55">
        <v>0</v>
      </c>
      <c r="AE55">
        <v>0</v>
      </c>
      <c r="AF55">
        <v>0</v>
      </c>
      <c r="AG55">
        <v>0</v>
      </c>
      <c r="AH55">
        <v>0</v>
      </c>
      <c r="AI55">
        <v>0</v>
      </c>
      <c r="AJ55">
        <v>0</v>
      </c>
    </row>
    <row r="56" spans="2:36">
      <c r="B56" t="s">
        <v>63</v>
      </c>
      <c r="C56">
        <v>0</v>
      </c>
      <c r="D56">
        <v>0</v>
      </c>
      <c r="E56">
        <v>0</v>
      </c>
      <c r="F56">
        <v>0</v>
      </c>
      <c r="G56">
        <v>0</v>
      </c>
      <c r="H56">
        <v>0</v>
      </c>
      <c r="I56">
        <v>0</v>
      </c>
      <c r="J56">
        <v>0</v>
      </c>
      <c r="K56">
        <v>0</v>
      </c>
      <c r="L56">
        <v>0</v>
      </c>
      <c r="M56">
        <v>0</v>
      </c>
      <c r="N56">
        <v>0</v>
      </c>
      <c r="O56">
        <v>0</v>
      </c>
      <c r="P56">
        <v>0</v>
      </c>
      <c r="Q56">
        <v>0</v>
      </c>
      <c r="R56">
        <v>0</v>
      </c>
      <c r="S56">
        <v>0</v>
      </c>
      <c r="T56">
        <v>0</v>
      </c>
      <c r="U56">
        <v>0</v>
      </c>
      <c r="V56">
        <v>0</v>
      </c>
      <c r="W56">
        <v>0</v>
      </c>
      <c r="X56">
        <v>0</v>
      </c>
      <c r="Y56">
        <v>0</v>
      </c>
      <c r="Z56">
        <v>0</v>
      </c>
      <c r="AA56">
        <v>0</v>
      </c>
      <c r="AB56">
        <v>0</v>
      </c>
      <c r="AC56">
        <v>0</v>
      </c>
      <c r="AD56">
        <v>0</v>
      </c>
      <c r="AE56">
        <v>0</v>
      </c>
      <c r="AF56">
        <v>0</v>
      </c>
      <c r="AG56">
        <v>0</v>
      </c>
      <c r="AH56">
        <v>0</v>
      </c>
      <c r="AI56">
        <v>0</v>
      </c>
      <c r="AJ56">
        <v>0</v>
      </c>
    </row>
    <row r="57" spans="2:36">
      <c r="B57" t="s">
        <v>64</v>
      </c>
      <c r="C57">
        <v>0.14000000000000001</v>
      </c>
      <c r="D57">
        <v>0.38</v>
      </c>
      <c r="E57">
        <v>0.36</v>
      </c>
      <c r="F57">
        <v>0.39</v>
      </c>
      <c r="G57">
        <v>0.52</v>
      </c>
      <c r="H57">
        <v>0.68</v>
      </c>
      <c r="I57">
        <v>0.49</v>
      </c>
      <c r="J57">
        <v>0.55000000000000004</v>
      </c>
      <c r="K57">
        <v>0.64</v>
      </c>
      <c r="L57">
        <v>1.17</v>
      </c>
      <c r="M57">
        <v>0.89</v>
      </c>
      <c r="N57">
        <v>0.94</v>
      </c>
      <c r="O57">
        <v>1.03</v>
      </c>
      <c r="P57">
        <v>1.81</v>
      </c>
      <c r="Q57">
        <v>1.19</v>
      </c>
      <c r="R57">
        <v>1.21</v>
      </c>
      <c r="S57">
        <v>1.28</v>
      </c>
      <c r="T57">
        <v>1.81</v>
      </c>
      <c r="U57">
        <v>1.35</v>
      </c>
      <c r="V57">
        <v>1.38</v>
      </c>
      <c r="W57">
        <v>4.6900000000000004</v>
      </c>
      <c r="X57">
        <v>3.74</v>
      </c>
      <c r="Y57">
        <v>3.39</v>
      </c>
      <c r="Z57">
        <v>3.57</v>
      </c>
      <c r="AA57">
        <v>4.72</v>
      </c>
      <c r="AB57">
        <v>6.53</v>
      </c>
      <c r="AC57">
        <v>6.49</v>
      </c>
      <c r="AD57">
        <v>7.89</v>
      </c>
      <c r="AE57">
        <v>7.14</v>
      </c>
      <c r="AF57">
        <v>14.03</v>
      </c>
      <c r="AG57">
        <v>12.45</v>
      </c>
      <c r="AH57">
        <v>9.42</v>
      </c>
      <c r="AI57">
        <v>8.75</v>
      </c>
      <c r="AJ57">
        <v>13.93</v>
      </c>
    </row>
    <row r="58" spans="2:36">
      <c r="B58" t="s">
        <v>65</v>
      </c>
      <c r="C58">
        <v>0</v>
      </c>
      <c r="D58">
        <v>0</v>
      </c>
      <c r="E58">
        <v>0</v>
      </c>
      <c r="F58">
        <v>0</v>
      </c>
      <c r="G58">
        <v>0</v>
      </c>
      <c r="H58">
        <v>0</v>
      </c>
      <c r="I58">
        <v>0</v>
      </c>
      <c r="J58">
        <v>0</v>
      </c>
      <c r="K58">
        <v>0</v>
      </c>
      <c r="L58">
        <v>0</v>
      </c>
      <c r="M58">
        <v>0</v>
      </c>
      <c r="N58">
        <v>0</v>
      </c>
      <c r="O58">
        <v>0</v>
      </c>
      <c r="P58">
        <v>0</v>
      </c>
      <c r="Q58">
        <v>0</v>
      </c>
      <c r="R58">
        <v>0</v>
      </c>
      <c r="S58">
        <v>0</v>
      </c>
      <c r="T58">
        <v>0</v>
      </c>
      <c r="U58">
        <v>0</v>
      </c>
      <c r="V58">
        <v>0</v>
      </c>
      <c r="W58">
        <v>0</v>
      </c>
      <c r="X58">
        <v>0</v>
      </c>
      <c r="Y58">
        <v>0</v>
      </c>
      <c r="Z58">
        <v>0</v>
      </c>
      <c r="AA58">
        <v>0</v>
      </c>
      <c r="AB58">
        <v>0</v>
      </c>
      <c r="AC58">
        <v>0</v>
      </c>
      <c r="AD58">
        <v>0</v>
      </c>
      <c r="AE58">
        <v>0</v>
      </c>
      <c r="AF58">
        <v>0</v>
      </c>
      <c r="AG58">
        <v>0</v>
      </c>
      <c r="AH58">
        <v>0</v>
      </c>
      <c r="AI58">
        <v>0</v>
      </c>
      <c r="AJ58">
        <v>0</v>
      </c>
    </row>
    <row r="59" spans="2:36">
      <c r="B59" t="s">
        <v>66</v>
      </c>
      <c r="C59">
        <v>0.14000000000000001</v>
      </c>
      <c r="D59">
        <v>0.38</v>
      </c>
      <c r="E59">
        <v>0.36</v>
      </c>
      <c r="F59">
        <v>0.39</v>
      </c>
      <c r="G59">
        <v>0.52</v>
      </c>
      <c r="H59">
        <v>0.68</v>
      </c>
      <c r="I59">
        <v>0.49</v>
      </c>
      <c r="J59">
        <v>0.55000000000000004</v>
      </c>
      <c r="K59">
        <v>0.64</v>
      </c>
      <c r="L59">
        <v>1.17</v>
      </c>
      <c r="M59">
        <v>0.89</v>
      </c>
      <c r="N59">
        <v>0.94</v>
      </c>
      <c r="O59">
        <v>1.03</v>
      </c>
      <c r="P59">
        <v>1.81</v>
      </c>
      <c r="Q59">
        <v>1.19</v>
      </c>
      <c r="R59">
        <v>1.21</v>
      </c>
      <c r="S59">
        <v>1.28</v>
      </c>
      <c r="T59">
        <v>1.81</v>
      </c>
      <c r="U59">
        <v>1.35</v>
      </c>
      <c r="V59">
        <v>1.38</v>
      </c>
      <c r="W59">
        <v>4.6900000000000004</v>
      </c>
      <c r="X59">
        <v>3.74</v>
      </c>
      <c r="Y59">
        <v>3.39</v>
      </c>
      <c r="Z59">
        <v>3.57</v>
      </c>
      <c r="AA59">
        <v>4.72</v>
      </c>
      <c r="AB59">
        <v>6.53</v>
      </c>
      <c r="AC59">
        <v>6.49</v>
      </c>
      <c r="AD59">
        <v>7.89</v>
      </c>
      <c r="AE59">
        <v>7.14</v>
      </c>
      <c r="AF59">
        <v>14.03</v>
      </c>
      <c r="AG59">
        <v>12.45</v>
      </c>
      <c r="AH59">
        <v>9.42</v>
      </c>
      <c r="AI59">
        <v>8.75</v>
      </c>
      <c r="AJ59">
        <v>13.93</v>
      </c>
    </row>
    <row r="60" spans="2:36">
      <c r="B60" t="s">
        <v>67</v>
      </c>
      <c r="C60">
        <v>0</v>
      </c>
      <c r="D60">
        <v>0</v>
      </c>
      <c r="E60">
        <v>0</v>
      </c>
      <c r="F60">
        <v>0</v>
      </c>
      <c r="G60">
        <v>0</v>
      </c>
      <c r="H60">
        <v>0</v>
      </c>
      <c r="I60">
        <v>0</v>
      </c>
      <c r="J60">
        <v>0</v>
      </c>
      <c r="K60">
        <v>0</v>
      </c>
      <c r="L60">
        <v>0</v>
      </c>
      <c r="M60">
        <v>0</v>
      </c>
      <c r="N60">
        <v>0</v>
      </c>
      <c r="O60">
        <v>0</v>
      </c>
      <c r="P60">
        <v>0</v>
      </c>
      <c r="Q60">
        <v>0</v>
      </c>
      <c r="R60">
        <v>0</v>
      </c>
      <c r="S60">
        <v>0</v>
      </c>
      <c r="T60">
        <v>0</v>
      </c>
      <c r="U60">
        <v>0</v>
      </c>
      <c r="V60">
        <v>0</v>
      </c>
      <c r="W60">
        <v>0</v>
      </c>
      <c r="X60">
        <v>0</v>
      </c>
      <c r="Y60">
        <v>0</v>
      </c>
      <c r="Z60">
        <v>0</v>
      </c>
      <c r="AA60">
        <v>0</v>
      </c>
      <c r="AB60">
        <v>0</v>
      </c>
      <c r="AC60">
        <v>0</v>
      </c>
      <c r="AD60">
        <v>0</v>
      </c>
      <c r="AE60">
        <v>0</v>
      </c>
      <c r="AF60">
        <v>0</v>
      </c>
      <c r="AG60">
        <v>0</v>
      </c>
      <c r="AH60">
        <v>0</v>
      </c>
      <c r="AI60">
        <v>0</v>
      </c>
      <c r="AJ60">
        <v>0</v>
      </c>
    </row>
    <row r="61" spans="2:36">
      <c r="B61" t="s">
        <v>68</v>
      </c>
      <c r="C61">
        <v>0</v>
      </c>
      <c r="D61">
        <v>0</v>
      </c>
      <c r="E61">
        <v>0</v>
      </c>
      <c r="F61">
        <v>0</v>
      </c>
      <c r="G61">
        <v>0</v>
      </c>
      <c r="H61">
        <v>0</v>
      </c>
      <c r="I61">
        <v>0</v>
      </c>
      <c r="J61">
        <v>0</v>
      </c>
      <c r="K61">
        <v>0</v>
      </c>
      <c r="L61">
        <v>0</v>
      </c>
      <c r="M61">
        <v>0</v>
      </c>
      <c r="N61">
        <v>0</v>
      </c>
      <c r="O61">
        <v>0</v>
      </c>
      <c r="P61">
        <v>0</v>
      </c>
      <c r="Q61">
        <v>0</v>
      </c>
      <c r="R61">
        <v>0</v>
      </c>
      <c r="S61">
        <v>0</v>
      </c>
      <c r="T61">
        <v>0</v>
      </c>
      <c r="U61">
        <v>0</v>
      </c>
      <c r="V61">
        <v>0</v>
      </c>
      <c r="W61">
        <v>0</v>
      </c>
      <c r="X61">
        <v>0</v>
      </c>
      <c r="Y61">
        <v>0</v>
      </c>
      <c r="Z61">
        <v>0</v>
      </c>
      <c r="AA61">
        <v>0</v>
      </c>
      <c r="AB61">
        <v>0</v>
      </c>
      <c r="AC61">
        <v>0</v>
      </c>
      <c r="AD61">
        <v>0</v>
      </c>
      <c r="AE61">
        <v>0</v>
      </c>
      <c r="AF61">
        <v>0</v>
      </c>
      <c r="AG61">
        <v>0</v>
      </c>
      <c r="AH61">
        <v>0</v>
      </c>
      <c r="AI61">
        <v>0</v>
      </c>
      <c r="AJ61">
        <v>0</v>
      </c>
    </row>
    <row r="62" spans="2:36">
      <c r="B62" t="s">
        <v>69</v>
      </c>
      <c r="C62">
        <v>0</v>
      </c>
      <c r="D62">
        <v>0</v>
      </c>
      <c r="E62">
        <v>0</v>
      </c>
      <c r="F62">
        <v>0</v>
      </c>
      <c r="G62">
        <v>0</v>
      </c>
      <c r="H62">
        <v>0</v>
      </c>
      <c r="I62">
        <v>0</v>
      </c>
      <c r="J62">
        <v>0</v>
      </c>
      <c r="K62">
        <v>0</v>
      </c>
      <c r="L62">
        <v>0</v>
      </c>
      <c r="M62">
        <v>0</v>
      </c>
      <c r="N62">
        <v>0</v>
      </c>
      <c r="O62">
        <v>0</v>
      </c>
      <c r="P62">
        <v>0</v>
      </c>
      <c r="Q62">
        <v>0</v>
      </c>
      <c r="R62">
        <v>0</v>
      </c>
      <c r="S62">
        <v>0</v>
      </c>
      <c r="T62">
        <v>0</v>
      </c>
      <c r="U62">
        <v>0</v>
      </c>
      <c r="V62">
        <v>0</v>
      </c>
      <c r="W62">
        <v>0</v>
      </c>
      <c r="X62">
        <v>0</v>
      </c>
      <c r="Y62">
        <v>0</v>
      </c>
      <c r="Z62">
        <v>0</v>
      </c>
      <c r="AA62">
        <v>0</v>
      </c>
      <c r="AB62">
        <v>0</v>
      </c>
      <c r="AC62">
        <v>0</v>
      </c>
      <c r="AD62">
        <v>0</v>
      </c>
      <c r="AE62">
        <v>0</v>
      </c>
      <c r="AF62">
        <v>0</v>
      </c>
      <c r="AG62">
        <v>0</v>
      </c>
      <c r="AH62">
        <v>0</v>
      </c>
      <c r="AI62">
        <v>0</v>
      </c>
      <c r="AJ62">
        <v>0</v>
      </c>
    </row>
    <row r="63" spans="2:36">
      <c r="B63" t="s">
        <v>70</v>
      </c>
      <c r="C63">
        <v>0</v>
      </c>
      <c r="D63">
        <v>0</v>
      </c>
      <c r="E63">
        <v>0</v>
      </c>
      <c r="F63">
        <v>0</v>
      </c>
      <c r="G63">
        <v>0</v>
      </c>
      <c r="H63">
        <v>0</v>
      </c>
      <c r="I63">
        <v>0</v>
      </c>
      <c r="J63">
        <v>0</v>
      </c>
      <c r="K63">
        <v>0</v>
      </c>
      <c r="L63">
        <v>0</v>
      </c>
      <c r="M63">
        <v>0</v>
      </c>
      <c r="N63">
        <v>0</v>
      </c>
      <c r="O63">
        <v>0</v>
      </c>
      <c r="P63">
        <v>0</v>
      </c>
      <c r="Q63">
        <v>0</v>
      </c>
      <c r="R63">
        <v>0</v>
      </c>
      <c r="S63">
        <v>0</v>
      </c>
      <c r="T63">
        <v>0</v>
      </c>
      <c r="U63">
        <v>0</v>
      </c>
      <c r="V63">
        <v>0</v>
      </c>
      <c r="W63">
        <v>0</v>
      </c>
      <c r="X63">
        <v>0</v>
      </c>
      <c r="Y63">
        <v>0</v>
      </c>
      <c r="Z63">
        <v>0</v>
      </c>
      <c r="AA63">
        <v>0</v>
      </c>
      <c r="AB63">
        <v>0</v>
      </c>
      <c r="AC63">
        <v>0</v>
      </c>
      <c r="AD63">
        <v>0</v>
      </c>
      <c r="AE63">
        <v>0</v>
      </c>
      <c r="AF63">
        <v>0</v>
      </c>
      <c r="AG63">
        <v>0</v>
      </c>
      <c r="AH63">
        <v>0</v>
      </c>
      <c r="AI63">
        <v>0</v>
      </c>
      <c r="AJ63">
        <v>0</v>
      </c>
    </row>
    <row r="64" spans="2:36">
      <c r="B64" t="s">
        <v>71</v>
      </c>
      <c r="C64">
        <v>0.14000000000000001</v>
      </c>
      <c r="D64">
        <v>0.38</v>
      </c>
      <c r="E64">
        <v>0.36</v>
      </c>
      <c r="F64">
        <v>0.39</v>
      </c>
      <c r="G64">
        <v>0.52</v>
      </c>
      <c r="H64">
        <v>0.68</v>
      </c>
      <c r="I64">
        <v>0.49</v>
      </c>
      <c r="J64">
        <v>0.55000000000000004</v>
      </c>
      <c r="K64">
        <v>0.64</v>
      </c>
      <c r="L64">
        <v>1.17</v>
      </c>
      <c r="M64">
        <v>0.89</v>
      </c>
      <c r="N64">
        <v>0.94</v>
      </c>
      <c r="O64">
        <v>1.03</v>
      </c>
      <c r="P64">
        <v>1.81</v>
      </c>
      <c r="Q64">
        <v>1.19</v>
      </c>
      <c r="R64">
        <v>1.21</v>
      </c>
      <c r="S64">
        <v>1.28</v>
      </c>
      <c r="T64">
        <v>1.81</v>
      </c>
      <c r="U64">
        <v>1.35</v>
      </c>
      <c r="V64">
        <v>1.38</v>
      </c>
      <c r="W64">
        <v>4.6900000000000004</v>
      </c>
      <c r="X64">
        <v>3.74</v>
      </c>
      <c r="Y64">
        <v>3.39</v>
      </c>
      <c r="Z64">
        <v>3.57</v>
      </c>
      <c r="AA64">
        <v>4.72</v>
      </c>
      <c r="AB64">
        <v>6.53</v>
      </c>
      <c r="AC64">
        <v>6.49</v>
      </c>
      <c r="AD64">
        <v>7.89</v>
      </c>
      <c r="AE64">
        <v>7.14</v>
      </c>
      <c r="AF64">
        <v>14.03</v>
      </c>
      <c r="AG64">
        <v>12.45</v>
      </c>
      <c r="AH64">
        <v>9.42</v>
      </c>
      <c r="AI64">
        <v>8.75</v>
      </c>
      <c r="AJ64">
        <v>13.93</v>
      </c>
    </row>
    <row r="65" spans="2:36">
      <c r="B65" t="s">
        <v>72</v>
      </c>
      <c r="C65">
        <v>0.15</v>
      </c>
      <c r="D65">
        <v>0.38</v>
      </c>
      <c r="E65">
        <v>0.36</v>
      </c>
      <c r="F65">
        <v>0.39</v>
      </c>
      <c r="G65">
        <v>0.52</v>
      </c>
      <c r="H65">
        <v>0.68</v>
      </c>
      <c r="I65">
        <v>0.49</v>
      </c>
      <c r="J65">
        <v>0.55000000000000004</v>
      </c>
      <c r="K65">
        <v>0.64</v>
      </c>
      <c r="L65">
        <v>1.17</v>
      </c>
      <c r="M65">
        <v>0.89</v>
      </c>
      <c r="N65">
        <v>0.94</v>
      </c>
      <c r="O65">
        <v>1.03</v>
      </c>
      <c r="P65">
        <v>1.81</v>
      </c>
      <c r="Q65">
        <v>1.19</v>
      </c>
      <c r="R65">
        <v>1.21</v>
      </c>
      <c r="S65">
        <v>1.28</v>
      </c>
      <c r="T65">
        <v>1.81</v>
      </c>
      <c r="U65">
        <v>1.35</v>
      </c>
      <c r="V65">
        <v>1.38</v>
      </c>
      <c r="W65">
        <v>4.6900000000000004</v>
      </c>
      <c r="X65">
        <v>3.74</v>
      </c>
      <c r="Y65">
        <v>3.39</v>
      </c>
      <c r="Z65">
        <v>3.57</v>
      </c>
      <c r="AA65">
        <v>4.72</v>
      </c>
      <c r="AB65">
        <v>6.53</v>
      </c>
      <c r="AC65">
        <v>6.49</v>
      </c>
      <c r="AD65">
        <v>7.89</v>
      </c>
      <c r="AE65">
        <v>7.14</v>
      </c>
      <c r="AF65">
        <v>14.03</v>
      </c>
      <c r="AG65">
        <v>12.45</v>
      </c>
      <c r="AH65">
        <v>9.42</v>
      </c>
      <c r="AI65">
        <v>8.75</v>
      </c>
      <c r="AJ65">
        <v>13.93</v>
      </c>
    </row>
    <row r="66" spans="2:36">
      <c r="B66" t="s">
        <v>73</v>
      </c>
      <c r="C66">
        <v>0.13</v>
      </c>
      <c r="D66">
        <v>0.35</v>
      </c>
      <c r="E66">
        <v>0.34</v>
      </c>
      <c r="F66">
        <v>0.37</v>
      </c>
      <c r="G66">
        <v>0.5</v>
      </c>
      <c r="H66">
        <v>0.65</v>
      </c>
      <c r="I66">
        <v>0.47</v>
      </c>
      <c r="J66">
        <v>0.54</v>
      </c>
      <c r="K66">
        <v>0.62</v>
      </c>
      <c r="L66">
        <v>1.1399999999999999</v>
      </c>
      <c r="M66">
        <v>0.87</v>
      </c>
      <c r="N66">
        <v>0.92</v>
      </c>
      <c r="O66">
        <v>1.01</v>
      </c>
      <c r="P66">
        <v>1.76</v>
      </c>
      <c r="Q66">
        <v>1.1599999999999999</v>
      </c>
      <c r="R66">
        <v>1.19</v>
      </c>
      <c r="S66">
        <v>1.26</v>
      </c>
      <c r="T66">
        <v>1.78</v>
      </c>
      <c r="U66">
        <v>1.33</v>
      </c>
      <c r="V66">
        <v>1.35</v>
      </c>
      <c r="W66">
        <v>4.6100000000000003</v>
      </c>
      <c r="X66">
        <v>3.67</v>
      </c>
      <c r="Y66">
        <v>3.33</v>
      </c>
      <c r="Z66">
        <v>3.51</v>
      </c>
      <c r="AA66">
        <v>4.6399999999999997</v>
      </c>
      <c r="AB66">
        <v>6.43</v>
      </c>
      <c r="AC66">
        <v>6.4</v>
      </c>
      <c r="AD66">
        <v>7.79</v>
      </c>
      <c r="AE66">
        <v>7.05</v>
      </c>
      <c r="AF66">
        <v>13.87</v>
      </c>
      <c r="AG66">
        <v>12.3</v>
      </c>
      <c r="AH66">
        <v>9.32</v>
      </c>
      <c r="AI66">
        <v>8.67</v>
      </c>
      <c r="AJ66">
        <v>13.81</v>
      </c>
    </row>
    <row r="67" spans="2:36">
      <c r="B67" t="s">
        <v>74</v>
      </c>
      <c r="C67">
        <v>0</v>
      </c>
      <c r="D67">
        <v>0</v>
      </c>
      <c r="E67">
        <v>0</v>
      </c>
      <c r="F67">
        <v>0</v>
      </c>
      <c r="G67">
        <v>0</v>
      </c>
      <c r="H67">
        <v>0</v>
      </c>
      <c r="I67">
        <v>0</v>
      </c>
      <c r="J67">
        <v>0</v>
      </c>
      <c r="K67">
        <v>0</v>
      </c>
      <c r="L67">
        <v>0</v>
      </c>
      <c r="M67">
        <v>0</v>
      </c>
      <c r="N67">
        <v>0</v>
      </c>
      <c r="O67">
        <v>0</v>
      </c>
      <c r="P67">
        <v>0</v>
      </c>
      <c r="Q67">
        <v>0</v>
      </c>
      <c r="R67">
        <v>0</v>
      </c>
      <c r="S67">
        <v>0</v>
      </c>
      <c r="T67">
        <v>0</v>
      </c>
      <c r="U67">
        <v>0</v>
      </c>
      <c r="V67">
        <v>0</v>
      </c>
      <c r="W67">
        <v>0</v>
      </c>
      <c r="X67">
        <v>0</v>
      </c>
      <c r="Y67">
        <v>0</v>
      </c>
      <c r="Z67">
        <v>0</v>
      </c>
      <c r="AA67">
        <v>0</v>
      </c>
      <c r="AB67">
        <v>0</v>
      </c>
      <c r="AC67">
        <v>0</v>
      </c>
      <c r="AD67">
        <v>0</v>
      </c>
      <c r="AE67">
        <v>0</v>
      </c>
      <c r="AF67">
        <v>0</v>
      </c>
      <c r="AG67">
        <v>0</v>
      </c>
      <c r="AH67">
        <v>0</v>
      </c>
      <c r="AI67">
        <v>0</v>
      </c>
      <c r="AJ67">
        <v>0</v>
      </c>
    </row>
    <row r="68" spans="2:36">
      <c r="B68" t="s">
        <v>75</v>
      </c>
      <c r="C68">
        <v>0.13</v>
      </c>
      <c r="D68">
        <v>0.35</v>
      </c>
      <c r="E68">
        <v>0.34</v>
      </c>
      <c r="F68">
        <v>0.37</v>
      </c>
      <c r="G68">
        <v>0.5</v>
      </c>
      <c r="H68">
        <v>0.65</v>
      </c>
      <c r="I68">
        <v>0.47</v>
      </c>
      <c r="J68">
        <v>0.54</v>
      </c>
      <c r="K68">
        <v>0.62</v>
      </c>
      <c r="L68">
        <v>1.1399999999999999</v>
      </c>
      <c r="M68">
        <v>0.87</v>
      </c>
      <c r="N68">
        <v>0.92</v>
      </c>
      <c r="O68">
        <v>1.01</v>
      </c>
      <c r="P68">
        <v>1.76</v>
      </c>
      <c r="Q68">
        <v>1.1599999999999999</v>
      </c>
      <c r="R68">
        <v>1.19</v>
      </c>
      <c r="S68">
        <v>1.26</v>
      </c>
      <c r="T68">
        <v>1.78</v>
      </c>
      <c r="U68">
        <v>1.33</v>
      </c>
      <c r="V68">
        <v>1.35</v>
      </c>
      <c r="W68">
        <v>4.6100000000000003</v>
      </c>
      <c r="X68">
        <v>3.67</v>
      </c>
      <c r="Y68">
        <v>3.33</v>
      </c>
      <c r="Z68">
        <v>3.51</v>
      </c>
      <c r="AA68">
        <v>4.6399999999999997</v>
      </c>
      <c r="AB68">
        <v>6.43</v>
      </c>
      <c r="AC68">
        <v>6.4</v>
      </c>
      <c r="AD68">
        <v>7.79</v>
      </c>
      <c r="AE68">
        <v>7.05</v>
      </c>
      <c r="AF68">
        <v>13.87</v>
      </c>
      <c r="AG68">
        <v>12.3</v>
      </c>
      <c r="AH68">
        <v>9.32</v>
      </c>
      <c r="AI68">
        <v>8.67</v>
      </c>
      <c r="AJ68">
        <v>13.81</v>
      </c>
    </row>
    <row r="69" spans="2:36">
      <c r="B69" t="s">
        <v>76</v>
      </c>
      <c r="C69">
        <v>0</v>
      </c>
      <c r="D69">
        <v>0</v>
      </c>
      <c r="E69">
        <v>0</v>
      </c>
      <c r="F69">
        <v>0</v>
      </c>
      <c r="G69">
        <v>0</v>
      </c>
      <c r="H69">
        <v>0</v>
      </c>
      <c r="I69">
        <v>0</v>
      </c>
      <c r="J69">
        <v>0</v>
      </c>
      <c r="K69">
        <v>0</v>
      </c>
      <c r="L69">
        <v>0</v>
      </c>
      <c r="M69">
        <v>0</v>
      </c>
      <c r="N69">
        <v>0</v>
      </c>
      <c r="O69">
        <v>0</v>
      </c>
      <c r="P69">
        <v>0</v>
      </c>
      <c r="Q69">
        <v>0</v>
      </c>
      <c r="R69">
        <v>0</v>
      </c>
      <c r="S69">
        <v>0</v>
      </c>
      <c r="T69">
        <v>0</v>
      </c>
      <c r="U69">
        <v>0</v>
      </c>
      <c r="V69">
        <v>0</v>
      </c>
      <c r="W69">
        <v>0</v>
      </c>
      <c r="X69">
        <v>0</v>
      </c>
      <c r="Y69">
        <v>0</v>
      </c>
      <c r="Z69">
        <v>0</v>
      </c>
      <c r="AA69">
        <v>0</v>
      </c>
      <c r="AB69">
        <v>0</v>
      </c>
      <c r="AC69">
        <v>0</v>
      </c>
      <c r="AD69">
        <v>0</v>
      </c>
      <c r="AE69">
        <v>0</v>
      </c>
      <c r="AF69">
        <v>0</v>
      </c>
      <c r="AG69">
        <v>0</v>
      </c>
      <c r="AH69">
        <v>0</v>
      </c>
      <c r="AI69">
        <v>0</v>
      </c>
      <c r="AJ69">
        <v>0</v>
      </c>
    </row>
    <row r="70" spans="2:36">
      <c r="B70" t="s">
        <v>77</v>
      </c>
      <c r="C70">
        <v>0</v>
      </c>
      <c r="D70">
        <v>0</v>
      </c>
      <c r="E70">
        <v>0</v>
      </c>
      <c r="F70">
        <v>0</v>
      </c>
      <c r="G70">
        <v>0</v>
      </c>
      <c r="H70">
        <v>0</v>
      </c>
      <c r="I70">
        <v>0</v>
      </c>
      <c r="J70">
        <v>0</v>
      </c>
      <c r="K70">
        <v>0</v>
      </c>
      <c r="L70">
        <v>0</v>
      </c>
      <c r="M70">
        <v>0</v>
      </c>
      <c r="N70">
        <v>0</v>
      </c>
      <c r="O70">
        <v>0</v>
      </c>
      <c r="P70">
        <v>0</v>
      </c>
      <c r="Q70">
        <v>0</v>
      </c>
      <c r="R70">
        <v>0</v>
      </c>
      <c r="S70">
        <v>0</v>
      </c>
      <c r="T70">
        <v>0</v>
      </c>
      <c r="U70">
        <v>0</v>
      </c>
      <c r="V70">
        <v>0</v>
      </c>
      <c r="W70">
        <v>0</v>
      </c>
      <c r="X70">
        <v>0</v>
      </c>
      <c r="Y70">
        <v>0</v>
      </c>
      <c r="Z70">
        <v>0</v>
      </c>
      <c r="AA70">
        <v>0</v>
      </c>
      <c r="AB70">
        <v>0</v>
      </c>
      <c r="AC70">
        <v>0</v>
      </c>
      <c r="AD70">
        <v>0</v>
      </c>
      <c r="AE70">
        <v>0</v>
      </c>
      <c r="AF70">
        <v>0</v>
      </c>
      <c r="AG70">
        <v>0</v>
      </c>
      <c r="AH70">
        <v>0</v>
      </c>
      <c r="AI70">
        <v>0</v>
      </c>
      <c r="AJ70">
        <v>0</v>
      </c>
    </row>
    <row r="71" spans="2:36">
      <c r="B71" t="s">
        <v>78</v>
      </c>
      <c r="C71">
        <v>0</v>
      </c>
      <c r="D71">
        <v>0</v>
      </c>
      <c r="E71">
        <v>0</v>
      </c>
      <c r="F71">
        <v>0</v>
      </c>
      <c r="G71">
        <v>0</v>
      </c>
      <c r="H71">
        <v>0</v>
      </c>
      <c r="I71">
        <v>0</v>
      </c>
      <c r="J71">
        <v>0</v>
      </c>
      <c r="K71">
        <v>0</v>
      </c>
      <c r="L71">
        <v>0</v>
      </c>
      <c r="M71">
        <v>0</v>
      </c>
      <c r="N71">
        <v>0</v>
      </c>
      <c r="O71">
        <v>0</v>
      </c>
      <c r="P71">
        <v>0</v>
      </c>
      <c r="Q71">
        <v>0</v>
      </c>
      <c r="R71">
        <v>0</v>
      </c>
      <c r="S71">
        <v>0</v>
      </c>
      <c r="T71">
        <v>0</v>
      </c>
      <c r="U71">
        <v>0</v>
      </c>
      <c r="V71">
        <v>0</v>
      </c>
      <c r="W71">
        <v>0</v>
      </c>
      <c r="X71">
        <v>0</v>
      </c>
      <c r="Y71">
        <v>0</v>
      </c>
      <c r="Z71">
        <v>0</v>
      </c>
      <c r="AA71">
        <v>0</v>
      </c>
      <c r="AB71">
        <v>0</v>
      </c>
      <c r="AC71">
        <v>0</v>
      </c>
      <c r="AD71">
        <v>0</v>
      </c>
      <c r="AE71">
        <v>0</v>
      </c>
      <c r="AF71">
        <v>0</v>
      </c>
      <c r="AG71">
        <v>0</v>
      </c>
      <c r="AH71">
        <v>0</v>
      </c>
      <c r="AI71">
        <v>0</v>
      </c>
      <c r="AJ71">
        <v>0</v>
      </c>
    </row>
    <row r="72" spans="2:36">
      <c r="B72" t="s">
        <v>79</v>
      </c>
      <c r="C72">
        <v>0</v>
      </c>
      <c r="D72">
        <v>0</v>
      </c>
      <c r="E72">
        <v>0</v>
      </c>
      <c r="F72">
        <v>0</v>
      </c>
      <c r="G72">
        <v>0</v>
      </c>
      <c r="H72">
        <v>0</v>
      </c>
      <c r="I72">
        <v>0</v>
      </c>
      <c r="J72">
        <v>0</v>
      </c>
      <c r="K72">
        <v>0</v>
      </c>
      <c r="L72">
        <v>0</v>
      </c>
      <c r="M72">
        <v>0</v>
      </c>
      <c r="N72">
        <v>0</v>
      </c>
      <c r="O72">
        <v>0</v>
      </c>
      <c r="P72">
        <v>0</v>
      </c>
      <c r="Q72">
        <v>0</v>
      </c>
      <c r="R72">
        <v>0</v>
      </c>
      <c r="S72">
        <v>0</v>
      </c>
      <c r="T72">
        <v>0</v>
      </c>
      <c r="U72">
        <v>0</v>
      </c>
      <c r="V72">
        <v>0</v>
      </c>
      <c r="W72">
        <v>0</v>
      </c>
      <c r="X72">
        <v>0</v>
      </c>
      <c r="Y72">
        <v>0</v>
      </c>
      <c r="Z72">
        <v>0</v>
      </c>
      <c r="AA72">
        <v>0</v>
      </c>
      <c r="AB72">
        <v>0</v>
      </c>
      <c r="AC72">
        <v>0</v>
      </c>
      <c r="AD72">
        <v>0</v>
      </c>
      <c r="AE72">
        <v>0</v>
      </c>
      <c r="AF72">
        <v>0</v>
      </c>
      <c r="AG72">
        <v>0</v>
      </c>
      <c r="AH72">
        <v>0</v>
      </c>
      <c r="AI72">
        <v>0</v>
      </c>
      <c r="AJ72">
        <v>0</v>
      </c>
    </row>
    <row r="73" spans="2:36">
      <c r="B73" t="s">
        <v>80</v>
      </c>
      <c r="C73">
        <v>0.13</v>
      </c>
      <c r="D73">
        <v>0.35</v>
      </c>
      <c r="E73">
        <v>0.34</v>
      </c>
      <c r="F73">
        <v>0.37</v>
      </c>
      <c r="G73">
        <v>0.5</v>
      </c>
      <c r="H73">
        <v>0.65</v>
      </c>
      <c r="I73">
        <v>0.47</v>
      </c>
      <c r="J73">
        <v>0.54</v>
      </c>
      <c r="K73">
        <v>0.62</v>
      </c>
      <c r="L73">
        <v>1.1399999999999999</v>
      </c>
      <c r="M73">
        <v>0.87</v>
      </c>
      <c r="N73">
        <v>0.92</v>
      </c>
      <c r="O73">
        <v>1.01</v>
      </c>
      <c r="P73">
        <v>1.76</v>
      </c>
      <c r="Q73">
        <v>1.1599999999999999</v>
      </c>
      <c r="R73">
        <v>1.19</v>
      </c>
      <c r="S73">
        <v>1.26</v>
      </c>
      <c r="T73">
        <v>1.78</v>
      </c>
      <c r="U73">
        <v>1.33</v>
      </c>
      <c r="V73">
        <v>1.35</v>
      </c>
      <c r="W73">
        <v>4.6100000000000003</v>
      </c>
      <c r="X73">
        <v>3.67</v>
      </c>
      <c r="Y73">
        <v>3.33</v>
      </c>
      <c r="Z73">
        <v>3.51</v>
      </c>
      <c r="AA73">
        <v>4.6399999999999997</v>
      </c>
      <c r="AB73">
        <v>6.43</v>
      </c>
      <c r="AC73">
        <v>6.4</v>
      </c>
      <c r="AD73">
        <v>7.79</v>
      </c>
      <c r="AE73">
        <v>7.05</v>
      </c>
      <c r="AF73">
        <v>13.87</v>
      </c>
      <c r="AG73">
        <v>12.3</v>
      </c>
      <c r="AH73">
        <v>9.32</v>
      </c>
      <c r="AI73">
        <v>8.67</v>
      </c>
      <c r="AJ73">
        <v>13.81</v>
      </c>
    </row>
    <row r="74" spans="2:36">
      <c r="B74" t="s">
        <v>81</v>
      </c>
      <c r="C74">
        <v>0.14000000000000001</v>
      </c>
      <c r="D74">
        <v>0.35</v>
      </c>
      <c r="E74">
        <v>0.34</v>
      </c>
      <c r="F74">
        <v>0.37</v>
      </c>
      <c r="G74">
        <v>0.5</v>
      </c>
      <c r="H74">
        <v>0.65</v>
      </c>
      <c r="I74">
        <v>0.47</v>
      </c>
      <c r="J74">
        <v>0.54</v>
      </c>
      <c r="K74">
        <v>0.62</v>
      </c>
      <c r="L74">
        <v>1.1399999999999999</v>
      </c>
      <c r="M74">
        <v>0.87</v>
      </c>
      <c r="N74">
        <v>0.92</v>
      </c>
      <c r="O74">
        <v>1.01</v>
      </c>
      <c r="P74">
        <v>1.76</v>
      </c>
      <c r="Q74">
        <v>1.1599999999999999</v>
      </c>
      <c r="R74">
        <v>1.19</v>
      </c>
      <c r="S74">
        <v>1.26</v>
      </c>
      <c r="T74">
        <v>1.78</v>
      </c>
      <c r="U74">
        <v>1.33</v>
      </c>
      <c r="V74">
        <v>1.35</v>
      </c>
      <c r="W74">
        <v>4.6100000000000003</v>
      </c>
      <c r="X74">
        <v>3.67</v>
      </c>
      <c r="Y74">
        <v>3.33</v>
      </c>
      <c r="Z74">
        <v>3.51</v>
      </c>
      <c r="AA74">
        <v>4.6399999999999997</v>
      </c>
      <c r="AB74">
        <v>6.43</v>
      </c>
      <c r="AC74">
        <v>6.4</v>
      </c>
      <c r="AD74">
        <v>7.79</v>
      </c>
      <c r="AE74">
        <v>7.05</v>
      </c>
      <c r="AF74">
        <v>13.87</v>
      </c>
      <c r="AG74">
        <v>12.3</v>
      </c>
      <c r="AH74">
        <v>9.32</v>
      </c>
      <c r="AI74">
        <v>8.67</v>
      </c>
      <c r="AJ74">
        <v>13.81</v>
      </c>
    </row>
    <row r="75" spans="2:36">
      <c r="B75" t="s">
        <v>82</v>
      </c>
      <c r="C75">
        <v>0</v>
      </c>
      <c r="D75">
        <v>0</v>
      </c>
      <c r="E75">
        <v>0</v>
      </c>
      <c r="F75">
        <v>0</v>
      </c>
      <c r="G75">
        <v>0</v>
      </c>
      <c r="H75">
        <v>0</v>
      </c>
      <c r="I75">
        <v>0</v>
      </c>
      <c r="J75">
        <v>0</v>
      </c>
      <c r="K75">
        <v>0</v>
      </c>
      <c r="L75">
        <v>0</v>
      </c>
      <c r="M75">
        <v>0</v>
      </c>
      <c r="N75">
        <v>0</v>
      </c>
      <c r="O75">
        <v>0</v>
      </c>
      <c r="P75">
        <v>0</v>
      </c>
      <c r="Q75">
        <v>0</v>
      </c>
      <c r="R75">
        <v>0</v>
      </c>
      <c r="S75">
        <v>0</v>
      </c>
      <c r="T75">
        <v>0</v>
      </c>
      <c r="U75">
        <v>0</v>
      </c>
      <c r="V75">
        <v>0</v>
      </c>
      <c r="W75">
        <v>0</v>
      </c>
      <c r="X75">
        <v>0</v>
      </c>
      <c r="Y75">
        <v>0</v>
      </c>
      <c r="Z75">
        <v>0</v>
      </c>
      <c r="AA75">
        <v>0</v>
      </c>
      <c r="AB75">
        <v>0</v>
      </c>
      <c r="AC75">
        <v>0</v>
      </c>
      <c r="AD75">
        <v>0</v>
      </c>
      <c r="AE75">
        <v>0</v>
      </c>
      <c r="AF75">
        <v>0</v>
      </c>
      <c r="AG75">
        <v>0</v>
      </c>
      <c r="AH75">
        <v>0</v>
      </c>
      <c r="AI75">
        <v>2.65</v>
      </c>
      <c r="AJ75">
        <v>2.65</v>
      </c>
    </row>
    <row r="76" spans="2:36">
      <c r="B76" t="s">
        <v>83</v>
      </c>
      <c r="C76">
        <v>8279</v>
      </c>
      <c r="D76">
        <v>3490</v>
      </c>
      <c r="E76">
        <v>6733</v>
      </c>
      <c r="F76">
        <v>10253</v>
      </c>
      <c r="G76">
        <v>13931</v>
      </c>
      <c r="H76">
        <v>5749</v>
      </c>
      <c r="I76">
        <v>10108</v>
      </c>
      <c r="J76">
        <v>14478</v>
      </c>
      <c r="K76">
        <v>19315</v>
      </c>
      <c r="L76">
        <v>7115</v>
      </c>
      <c r="M76">
        <v>12379</v>
      </c>
      <c r="N76">
        <v>17789</v>
      </c>
      <c r="O76">
        <v>24006</v>
      </c>
      <c r="P76">
        <v>9608</v>
      </c>
      <c r="Q76">
        <v>17120</v>
      </c>
      <c r="R76">
        <v>24584</v>
      </c>
      <c r="S76">
        <v>32479</v>
      </c>
      <c r="T76">
        <v>10167</v>
      </c>
      <c r="U76">
        <v>18330</v>
      </c>
      <c r="V76">
        <v>26667</v>
      </c>
      <c r="W76">
        <v>42905</v>
      </c>
      <c r="X76">
        <v>15683</v>
      </c>
      <c r="Y76">
        <v>29182</v>
      </c>
      <c r="Z76">
        <v>44882</v>
      </c>
      <c r="AA76">
        <v>65225</v>
      </c>
      <c r="AB76">
        <v>26741</v>
      </c>
      <c r="AC76">
        <v>51408</v>
      </c>
      <c r="AD76">
        <v>79979</v>
      </c>
      <c r="AE76">
        <v>108249</v>
      </c>
      <c r="AF76">
        <v>46333</v>
      </c>
      <c r="AG76">
        <v>85519</v>
      </c>
      <c r="AH76">
        <v>120542</v>
      </c>
      <c r="AI76">
        <v>156508</v>
      </c>
      <c r="AJ76">
        <v>54512</v>
      </c>
    </row>
    <row r="77" spans="2:36">
      <c r="B77" t="s">
        <v>84</v>
      </c>
      <c r="C77">
        <v>276</v>
      </c>
      <c r="D77">
        <v>295</v>
      </c>
      <c r="E77">
        <v>585</v>
      </c>
      <c r="F77">
        <v>905</v>
      </c>
      <c r="G77">
        <v>1335</v>
      </c>
      <c r="H77">
        <v>565</v>
      </c>
      <c r="I77">
        <v>975</v>
      </c>
      <c r="J77">
        <v>1447</v>
      </c>
      <c r="K77">
        <v>1989</v>
      </c>
      <c r="L77">
        <v>1004</v>
      </c>
      <c r="M77">
        <v>1774</v>
      </c>
      <c r="N77">
        <v>2592</v>
      </c>
      <c r="O77">
        <v>3496</v>
      </c>
      <c r="P77">
        <v>1581</v>
      </c>
      <c r="Q77">
        <v>2626</v>
      </c>
      <c r="R77">
        <v>3698</v>
      </c>
      <c r="S77">
        <v>4834</v>
      </c>
      <c r="T77">
        <v>1605</v>
      </c>
      <c r="U77">
        <v>2810</v>
      </c>
      <c r="V77">
        <v>4039</v>
      </c>
      <c r="W77">
        <v>8235</v>
      </c>
      <c r="X77">
        <v>3378</v>
      </c>
      <c r="Y77">
        <v>6452</v>
      </c>
      <c r="Z77">
        <v>9705</v>
      </c>
      <c r="AA77">
        <v>14013</v>
      </c>
      <c r="AB77">
        <v>6004</v>
      </c>
      <c r="AC77">
        <v>11991</v>
      </c>
      <c r="AD77">
        <v>19299</v>
      </c>
      <c r="AE77">
        <v>25922</v>
      </c>
      <c r="AF77">
        <v>13064</v>
      </c>
      <c r="AG77">
        <v>24686</v>
      </c>
      <c r="AH77">
        <v>33510</v>
      </c>
      <c r="AI77">
        <v>41733</v>
      </c>
      <c r="AJ77">
        <v>13078</v>
      </c>
    </row>
    <row r="78" spans="2:36">
      <c r="B78" t="s">
        <v>85</v>
      </c>
      <c r="C78">
        <v>0.36</v>
      </c>
      <c r="D78">
        <v>0.35</v>
      </c>
      <c r="E78">
        <v>0.69</v>
      </c>
      <c r="F78">
        <v>1.06</v>
      </c>
      <c r="G78">
        <v>1.56</v>
      </c>
      <c r="H78">
        <v>0.65</v>
      </c>
      <c r="I78">
        <v>1.1100000000000001</v>
      </c>
      <c r="J78">
        <v>1.65</v>
      </c>
      <c r="K78">
        <v>2.27</v>
      </c>
      <c r="L78">
        <v>1.1399999999999999</v>
      </c>
      <c r="M78">
        <v>2</v>
      </c>
      <c r="N78">
        <v>2.92</v>
      </c>
      <c r="O78">
        <v>3.93</v>
      </c>
      <c r="P78">
        <v>1.76</v>
      </c>
      <c r="Q78">
        <v>2.92</v>
      </c>
      <c r="R78">
        <v>4.0999999999999996</v>
      </c>
      <c r="S78">
        <v>5.36</v>
      </c>
      <c r="T78">
        <v>1.78</v>
      </c>
      <c r="U78">
        <v>3.11</v>
      </c>
      <c r="V78">
        <v>4.47</v>
      </c>
      <c r="W78">
        <v>9.08</v>
      </c>
      <c r="X78">
        <v>3.67</v>
      </c>
      <c r="Y78">
        <v>7</v>
      </c>
      <c r="Z78">
        <v>10.51</v>
      </c>
      <c r="AA78">
        <v>15.15</v>
      </c>
      <c r="AB78">
        <v>6.43</v>
      </c>
      <c r="AC78">
        <v>12.83</v>
      </c>
      <c r="AD78">
        <v>20.63</v>
      </c>
      <c r="AE78">
        <v>27.68</v>
      </c>
      <c r="AF78">
        <v>13.87</v>
      </c>
      <c r="AG78">
        <v>26.17</v>
      </c>
      <c r="AH78">
        <v>35.479999999999997</v>
      </c>
      <c r="AI78">
        <v>44.15</v>
      </c>
      <c r="AJ78">
        <v>13.81</v>
      </c>
    </row>
    <row r="79" spans="2:36">
      <c r="B79" t="s">
        <v>86</v>
      </c>
      <c r="C79">
        <v>0</v>
      </c>
      <c r="D79">
        <v>0</v>
      </c>
      <c r="E79">
        <v>0</v>
      </c>
      <c r="F79">
        <v>0</v>
      </c>
      <c r="G79">
        <v>0</v>
      </c>
      <c r="H79">
        <v>0</v>
      </c>
      <c r="I79">
        <v>0</v>
      </c>
      <c r="J79">
        <v>0</v>
      </c>
      <c r="K79">
        <v>0</v>
      </c>
      <c r="L79">
        <v>0</v>
      </c>
      <c r="M79">
        <v>0</v>
      </c>
      <c r="N79">
        <v>0</v>
      </c>
      <c r="O79">
        <v>0</v>
      </c>
      <c r="P79">
        <v>0</v>
      </c>
      <c r="Q79">
        <v>0</v>
      </c>
      <c r="R79">
        <v>0</v>
      </c>
      <c r="S79">
        <v>0</v>
      </c>
      <c r="T79">
        <v>0</v>
      </c>
      <c r="U79">
        <v>0</v>
      </c>
      <c r="V79">
        <v>0</v>
      </c>
      <c r="W79">
        <v>0</v>
      </c>
      <c r="X79">
        <v>0</v>
      </c>
      <c r="Y79">
        <v>0</v>
      </c>
      <c r="Z79">
        <v>0</v>
      </c>
      <c r="AA79">
        <v>0</v>
      </c>
      <c r="AB79">
        <v>0</v>
      </c>
      <c r="AC79">
        <v>0</v>
      </c>
      <c r="AD79">
        <v>0</v>
      </c>
      <c r="AE79">
        <v>0</v>
      </c>
      <c r="AF79">
        <v>0</v>
      </c>
      <c r="AG79">
        <v>0</v>
      </c>
      <c r="AH79">
        <v>0</v>
      </c>
      <c r="AI79">
        <v>2.65</v>
      </c>
      <c r="AJ79">
        <v>2.65</v>
      </c>
    </row>
    <row r="80" spans="2:36">
      <c r="B80" t="s">
        <v>87</v>
      </c>
      <c r="C80">
        <v>2969</v>
      </c>
      <c r="D80">
        <v>2475</v>
      </c>
      <c r="E80">
        <v>2254</v>
      </c>
      <c r="F80">
        <v>3094</v>
      </c>
      <c r="G80">
        <v>3491</v>
      </c>
      <c r="H80">
        <v>4150</v>
      </c>
      <c r="I80">
        <v>6346</v>
      </c>
      <c r="J80">
        <v>8013</v>
      </c>
      <c r="K80">
        <v>6392</v>
      </c>
      <c r="L80">
        <v>7159</v>
      </c>
      <c r="M80">
        <v>7095</v>
      </c>
      <c r="N80">
        <v>7118</v>
      </c>
      <c r="O80">
        <v>9352</v>
      </c>
      <c r="P80">
        <v>9162</v>
      </c>
      <c r="Q80">
        <v>9070</v>
      </c>
      <c r="R80">
        <v>9373</v>
      </c>
      <c r="S80">
        <v>11875</v>
      </c>
      <c r="T80">
        <v>7236</v>
      </c>
      <c r="U80">
        <v>4466</v>
      </c>
      <c r="V80">
        <v>5605</v>
      </c>
      <c r="W80">
        <v>5263</v>
      </c>
      <c r="X80">
        <v>7609</v>
      </c>
      <c r="Y80">
        <v>10018</v>
      </c>
      <c r="Z80">
        <v>9705</v>
      </c>
      <c r="AA80">
        <v>11261</v>
      </c>
      <c r="AB80">
        <v>10734</v>
      </c>
      <c r="AC80">
        <v>15978</v>
      </c>
      <c r="AD80">
        <v>12091</v>
      </c>
      <c r="AE80">
        <v>9815</v>
      </c>
      <c r="AF80">
        <v>10310</v>
      </c>
      <c r="AG80">
        <v>10121</v>
      </c>
      <c r="AH80">
        <v>7945</v>
      </c>
      <c r="AI80">
        <v>10746</v>
      </c>
      <c r="AJ80">
        <v>16154</v>
      </c>
    </row>
    <row r="81" spans="2:36">
      <c r="B81" t="s">
        <v>88</v>
      </c>
      <c r="C81">
        <v>0</v>
      </c>
      <c r="D81">
        <v>0</v>
      </c>
      <c r="E81">
        <v>0</v>
      </c>
      <c r="F81">
        <v>0</v>
      </c>
      <c r="G81">
        <v>0</v>
      </c>
      <c r="H81">
        <v>0</v>
      </c>
      <c r="I81">
        <v>0</v>
      </c>
      <c r="J81">
        <v>0</v>
      </c>
      <c r="K81">
        <v>0</v>
      </c>
      <c r="L81">
        <v>0</v>
      </c>
      <c r="M81">
        <v>0</v>
      </c>
      <c r="N81">
        <v>0</v>
      </c>
      <c r="O81">
        <v>0</v>
      </c>
      <c r="P81">
        <v>0</v>
      </c>
      <c r="Q81">
        <v>0</v>
      </c>
      <c r="R81">
        <v>0</v>
      </c>
      <c r="S81">
        <v>0</v>
      </c>
      <c r="T81">
        <v>0</v>
      </c>
      <c r="U81">
        <v>0</v>
      </c>
      <c r="V81">
        <v>0</v>
      </c>
      <c r="W81">
        <v>0</v>
      </c>
      <c r="X81">
        <v>0</v>
      </c>
      <c r="Y81">
        <v>0</v>
      </c>
      <c r="Z81">
        <v>0</v>
      </c>
      <c r="AA81">
        <v>0</v>
      </c>
      <c r="AB81">
        <v>0</v>
      </c>
      <c r="AC81">
        <v>0</v>
      </c>
      <c r="AD81">
        <v>0</v>
      </c>
      <c r="AE81">
        <v>0</v>
      </c>
      <c r="AF81">
        <v>0</v>
      </c>
      <c r="AG81">
        <v>0</v>
      </c>
      <c r="AH81">
        <v>0</v>
      </c>
      <c r="AI81">
        <v>0</v>
      </c>
      <c r="AJ81">
        <v>0</v>
      </c>
    </row>
    <row r="82" spans="2:36">
      <c r="B82" t="s">
        <v>89</v>
      </c>
      <c r="C82">
        <v>2495</v>
      </c>
      <c r="D82">
        <v>3973</v>
      </c>
      <c r="E82">
        <v>4803</v>
      </c>
      <c r="F82">
        <v>4432</v>
      </c>
      <c r="G82">
        <v>4770</v>
      </c>
      <c r="H82">
        <v>4557</v>
      </c>
      <c r="I82">
        <v>1880</v>
      </c>
      <c r="J82">
        <v>1163</v>
      </c>
      <c r="K82">
        <v>3718</v>
      </c>
      <c r="L82">
        <v>4710</v>
      </c>
      <c r="M82">
        <v>5482</v>
      </c>
      <c r="N82">
        <v>6649</v>
      </c>
      <c r="O82">
        <v>6034</v>
      </c>
      <c r="P82">
        <v>9286</v>
      </c>
      <c r="Q82">
        <v>10378</v>
      </c>
      <c r="R82">
        <v>11401</v>
      </c>
      <c r="S82">
        <v>12615</v>
      </c>
      <c r="T82">
        <v>18411</v>
      </c>
      <c r="U82">
        <v>20547</v>
      </c>
      <c r="V82">
        <v>18617</v>
      </c>
      <c r="W82">
        <v>18201</v>
      </c>
      <c r="X82">
        <v>17187</v>
      </c>
      <c r="Y82">
        <v>13137</v>
      </c>
      <c r="Z82">
        <v>14583</v>
      </c>
      <c r="AA82">
        <v>14359</v>
      </c>
      <c r="AB82">
        <v>16243</v>
      </c>
      <c r="AC82">
        <v>13256</v>
      </c>
      <c r="AD82">
        <v>16304</v>
      </c>
      <c r="AE82">
        <v>16137</v>
      </c>
      <c r="AF82">
        <v>19846</v>
      </c>
      <c r="AG82">
        <v>18417</v>
      </c>
      <c r="AH82">
        <v>19709</v>
      </c>
      <c r="AI82">
        <v>18383</v>
      </c>
      <c r="AJ82">
        <v>23666</v>
      </c>
    </row>
    <row r="83" spans="2:36">
      <c r="B83" t="s">
        <v>90</v>
      </c>
      <c r="C83">
        <v>774</v>
      </c>
      <c r="D83">
        <v>865</v>
      </c>
      <c r="E83">
        <v>888</v>
      </c>
      <c r="F83">
        <v>827</v>
      </c>
      <c r="G83">
        <v>895</v>
      </c>
      <c r="H83">
        <v>1331</v>
      </c>
      <c r="I83">
        <v>861</v>
      </c>
      <c r="J83">
        <v>1089</v>
      </c>
      <c r="K83">
        <v>1252</v>
      </c>
      <c r="L83">
        <v>1621</v>
      </c>
      <c r="M83">
        <v>928</v>
      </c>
      <c r="N83">
        <v>1410</v>
      </c>
      <c r="O83">
        <v>1637</v>
      </c>
      <c r="P83">
        <v>1939</v>
      </c>
      <c r="Q83">
        <v>1593</v>
      </c>
      <c r="R83">
        <v>1603</v>
      </c>
      <c r="S83">
        <v>2422</v>
      </c>
      <c r="T83">
        <v>2196</v>
      </c>
      <c r="U83">
        <v>1932</v>
      </c>
      <c r="V83">
        <v>2686</v>
      </c>
      <c r="W83">
        <v>3361</v>
      </c>
      <c r="X83">
        <v>3090</v>
      </c>
      <c r="Y83">
        <v>2886</v>
      </c>
      <c r="Z83">
        <v>3447</v>
      </c>
      <c r="AA83">
        <v>5510</v>
      </c>
      <c r="AB83">
        <v>6027</v>
      </c>
      <c r="AC83">
        <v>5798</v>
      </c>
      <c r="AD83">
        <v>6102</v>
      </c>
      <c r="AE83">
        <v>5369</v>
      </c>
      <c r="AF83">
        <v>8930</v>
      </c>
      <c r="AG83">
        <v>7042</v>
      </c>
      <c r="AH83">
        <v>7657</v>
      </c>
      <c r="AI83">
        <v>10930</v>
      </c>
      <c r="AJ83">
        <v>11598</v>
      </c>
    </row>
    <row r="84" spans="2:36">
      <c r="B84" t="s">
        <v>91</v>
      </c>
      <c r="C84">
        <v>0</v>
      </c>
      <c r="D84">
        <v>0</v>
      </c>
      <c r="E84">
        <v>0</v>
      </c>
      <c r="F84">
        <v>0</v>
      </c>
      <c r="G84">
        <v>0</v>
      </c>
      <c r="H84">
        <v>0</v>
      </c>
      <c r="I84">
        <v>0</v>
      </c>
      <c r="J84">
        <v>0</v>
      </c>
      <c r="K84">
        <v>0</v>
      </c>
      <c r="L84">
        <v>0</v>
      </c>
      <c r="M84">
        <v>0</v>
      </c>
      <c r="N84">
        <v>0</v>
      </c>
      <c r="O84">
        <v>0</v>
      </c>
      <c r="P84">
        <v>0</v>
      </c>
      <c r="Q84">
        <v>0</v>
      </c>
      <c r="R84">
        <v>0</v>
      </c>
      <c r="S84">
        <v>0</v>
      </c>
      <c r="T84">
        <v>0</v>
      </c>
      <c r="U84">
        <v>0</v>
      </c>
      <c r="V84">
        <v>0</v>
      </c>
      <c r="W84">
        <v>0</v>
      </c>
      <c r="X84">
        <v>0</v>
      </c>
      <c r="Y84">
        <v>0</v>
      </c>
      <c r="Z84">
        <v>0</v>
      </c>
      <c r="AA84">
        <v>0</v>
      </c>
      <c r="AB84">
        <v>0</v>
      </c>
      <c r="AC84">
        <v>0</v>
      </c>
      <c r="AD84">
        <v>0</v>
      </c>
      <c r="AE84">
        <v>0</v>
      </c>
      <c r="AF84">
        <v>0</v>
      </c>
      <c r="AG84">
        <v>0</v>
      </c>
      <c r="AH84">
        <v>0</v>
      </c>
      <c r="AI84">
        <v>0</v>
      </c>
      <c r="AJ84">
        <v>0</v>
      </c>
    </row>
    <row r="85" spans="2:36">
      <c r="B85" t="s">
        <v>92</v>
      </c>
      <c r="C85">
        <v>0</v>
      </c>
      <c r="D85">
        <v>0</v>
      </c>
      <c r="E85">
        <v>0</v>
      </c>
      <c r="F85">
        <v>0</v>
      </c>
      <c r="G85">
        <v>0</v>
      </c>
      <c r="H85">
        <v>0</v>
      </c>
      <c r="I85">
        <v>0</v>
      </c>
      <c r="J85">
        <v>0</v>
      </c>
      <c r="K85">
        <v>0</v>
      </c>
      <c r="L85">
        <v>1492</v>
      </c>
      <c r="M85">
        <v>739</v>
      </c>
      <c r="N85">
        <v>0</v>
      </c>
      <c r="O85">
        <v>2392</v>
      </c>
      <c r="P85">
        <v>2483</v>
      </c>
      <c r="Q85">
        <v>2027</v>
      </c>
      <c r="R85">
        <v>0</v>
      </c>
      <c r="S85">
        <v>2282</v>
      </c>
      <c r="T85">
        <v>1217</v>
      </c>
      <c r="U85">
        <v>1104</v>
      </c>
      <c r="V85">
        <v>1494</v>
      </c>
      <c r="W85">
        <v>1696</v>
      </c>
      <c r="X85">
        <v>1791</v>
      </c>
      <c r="Y85">
        <v>1743</v>
      </c>
      <c r="Z85">
        <v>2952</v>
      </c>
      <c r="AA85">
        <v>4414</v>
      </c>
      <c r="AB85">
        <v>4847</v>
      </c>
      <c r="AC85">
        <v>5297</v>
      </c>
      <c r="AD85">
        <v>5369</v>
      </c>
      <c r="AE85">
        <v>6348</v>
      </c>
      <c r="AF85">
        <v>7554</v>
      </c>
      <c r="AG85">
        <v>6727</v>
      </c>
      <c r="AH85">
        <v>6641</v>
      </c>
      <c r="AI85">
        <v>7762</v>
      </c>
      <c r="AJ85">
        <v>9936</v>
      </c>
    </row>
    <row r="86" spans="2:36">
      <c r="B86" t="s">
        <v>93</v>
      </c>
      <c r="C86">
        <v>774</v>
      </c>
      <c r="D86">
        <v>865</v>
      </c>
      <c r="E86">
        <v>888</v>
      </c>
      <c r="F86">
        <v>827</v>
      </c>
      <c r="G86">
        <v>895</v>
      </c>
      <c r="H86">
        <v>1331</v>
      </c>
      <c r="I86">
        <v>861</v>
      </c>
      <c r="J86">
        <v>1089</v>
      </c>
      <c r="K86">
        <v>1252</v>
      </c>
      <c r="L86">
        <v>3113</v>
      </c>
      <c r="M86">
        <v>1667</v>
      </c>
      <c r="N86">
        <v>1410</v>
      </c>
      <c r="O86">
        <v>4029</v>
      </c>
      <c r="P86">
        <v>4422</v>
      </c>
      <c r="Q86">
        <v>3620</v>
      </c>
      <c r="R86">
        <v>1603</v>
      </c>
      <c r="S86">
        <v>4704</v>
      </c>
      <c r="T86">
        <v>3413</v>
      </c>
      <c r="U86">
        <v>3036</v>
      </c>
      <c r="V86">
        <v>4180</v>
      </c>
      <c r="W86">
        <v>5057</v>
      </c>
      <c r="X86">
        <v>4881</v>
      </c>
      <c r="Y86">
        <v>4629</v>
      </c>
      <c r="Z86">
        <v>6399</v>
      </c>
      <c r="AA86">
        <v>9924</v>
      </c>
      <c r="AB86">
        <v>10874</v>
      </c>
      <c r="AC86">
        <v>11095</v>
      </c>
      <c r="AD86">
        <v>11471</v>
      </c>
      <c r="AE86">
        <v>11717</v>
      </c>
      <c r="AF86">
        <v>16484</v>
      </c>
      <c r="AG86">
        <v>13769</v>
      </c>
      <c r="AH86">
        <v>14298</v>
      </c>
      <c r="AI86">
        <v>18692</v>
      </c>
      <c r="AJ86">
        <v>21534</v>
      </c>
    </row>
    <row r="87" spans="2:36">
      <c r="B87" t="s">
        <v>94</v>
      </c>
      <c r="C87">
        <v>0</v>
      </c>
      <c r="D87">
        <v>0</v>
      </c>
      <c r="E87">
        <v>0</v>
      </c>
      <c r="F87">
        <v>0</v>
      </c>
      <c r="G87">
        <v>0</v>
      </c>
      <c r="H87">
        <v>0</v>
      </c>
      <c r="I87">
        <v>0</v>
      </c>
      <c r="J87">
        <v>0</v>
      </c>
      <c r="K87">
        <v>0</v>
      </c>
      <c r="L87">
        <v>0</v>
      </c>
      <c r="M87">
        <v>0</v>
      </c>
      <c r="N87">
        <v>0</v>
      </c>
      <c r="O87">
        <v>0</v>
      </c>
      <c r="P87">
        <v>0</v>
      </c>
      <c r="Q87">
        <v>0</v>
      </c>
      <c r="R87">
        <v>0</v>
      </c>
      <c r="S87">
        <v>0</v>
      </c>
      <c r="T87">
        <v>0</v>
      </c>
      <c r="U87">
        <v>0</v>
      </c>
      <c r="V87">
        <v>0</v>
      </c>
      <c r="W87">
        <v>0</v>
      </c>
      <c r="X87">
        <v>0</v>
      </c>
      <c r="Y87">
        <v>0</v>
      </c>
      <c r="Z87">
        <v>0</v>
      </c>
      <c r="AA87">
        <v>0</v>
      </c>
      <c r="AB87">
        <v>0</v>
      </c>
      <c r="AC87">
        <v>0</v>
      </c>
      <c r="AD87">
        <v>0</v>
      </c>
      <c r="AE87">
        <v>0</v>
      </c>
      <c r="AF87">
        <v>0</v>
      </c>
      <c r="AG87">
        <v>0</v>
      </c>
      <c r="AH87">
        <v>0</v>
      </c>
      <c r="AI87">
        <v>0</v>
      </c>
      <c r="AJ87">
        <v>0</v>
      </c>
    </row>
    <row r="88" spans="2:36">
      <c r="B88" t="s">
        <v>95</v>
      </c>
      <c r="C88">
        <v>0</v>
      </c>
      <c r="D88">
        <v>0</v>
      </c>
      <c r="E88">
        <v>0</v>
      </c>
      <c r="F88">
        <v>0</v>
      </c>
      <c r="G88">
        <v>0</v>
      </c>
      <c r="H88">
        <v>0</v>
      </c>
      <c r="I88">
        <v>0</v>
      </c>
      <c r="J88">
        <v>0</v>
      </c>
      <c r="K88">
        <v>0</v>
      </c>
      <c r="L88">
        <v>0</v>
      </c>
      <c r="M88">
        <v>0</v>
      </c>
      <c r="N88">
        <v>0</v>
      </c>
      <c r="O88">
        <v>0</v>
      </c>
      <c r="P88">
        <v>0</v>
      </c>
      <c r="Q88">
        <v>0</v>
      </c>
      <c r="R88">
        <v>0</v>
      </c>
      <c r="S88">
        <v>0</v>
      </c>
      <c r="T88">
        <v>0</v>
      </c>
      <c r="U88">
        <v>0</v>
      </c>
      <c r="V88">
        <v>0</v>
      </c>
      <c r="W88">
        <v>0</v>
      </c>
      <c r="X88">
        <v>0</v>
      </c>
      <c r="Y88">
        <v>0</v>
      </c>
      <c r="Z88">
        <v>0</v>
      </c>
      <c r="AA88">
        <v>0</v>
      </c>
      <c r="AB88">
        <v>0</v>
      </c>
      <c r="AC88">
        <v>0</v>
      </c>
      <c r="AD88">
        <v>0</v>
      </c>
      <c r="AE88">
        <v>0</v>
      </c>
      <c r="AF88">
        <v>0</v>
      </c>
      <c r="AG88">
        <v>0</v>
      </c>
      <c r="AH88">
        <v>0</v>
      </c>
      <c r="AI88">
        <v>0</v>
      </c>
      <c r="AJ88">
        <v>0</v>
      </c>
    </row>
    <row r="89" spans="2:36">
      <c r="B89" t="s">
        <v>96</v>
      </c>
      <c r="C89">
        <v>1</v>
      </c>
      <c r="D89">
        <v>0</v>
      </c>
      <c r="E89">
        <v>1</v>
      </c>
      <c r="F89">
        <v>6</v>
      </c>
      <c r="G89">
        <v>0</v>
      </c>
      <c r="H89">
        <v>0</v>
      </c>
      <c r="I89">
        <v>0</v>
      </c>
      <c r="J89">
        <v>0</v>
      </c>
      <c r="K89">
        <v>0</v>
      </c>
      <c r="L89">
        <v>0</v>
      </c>
      <c r="M89">
        <v>0</v>
      </c>
      <c r="N89">
        <v>0</v>
      </c>
      <c r="O89">
        <v>0</v>
      </c>
      <c r="P89">
        <v>0</v>
      </c>
      <c r="Q89">
        <v>0</v>
      </c>
      <c r="R89">
        <v>0</v>
      </c>
      <c r="S89">
        <v>0</v>
      </c>
      <c r="T89">
        <v>0</v>
      </c>
      <c r="U89">
        <v>0</v>
      </c>
      <c r="V89">
        <v>0</v>
      </c>
      <c r="W89">
        <v>0</v>
      </c>
      <c r="X89">
        <v>0</v>
      </c>
      <c r="Y89">
        <v>0</v>
      </c>
      <c r="Z89">
        <v>0</v>
      </c>
      <c r="AA89">
        <v>0</v>
      </c>
      <c r="AB89">
        <v>0</v>
      </c>
      <c r="AC89">
        <v>0</v>
      </c>
      <c r="AD89">
        <v>0</v>
      </c>
      <c r="AE89">
        <v>0</v>
      </c>
      <c r="AF89">
        <v>0</v>
      </c>
      <c r="AG89">
        <v>0</v>
      </c>
      <c r="AH89">
        <v>0</v>
      </c>
      <c r="AI89">
        <v>0</v>
      </c>
      <c r="AJ89">
        <v>0</v>
      </c>
    </row>
    <row r="90" spans="2:36">
      <c r="B90" t="s">
        <v>97</v>
      </c>
      <c r="C90">
        <v>100</v>
      </c>
      <c r="D90">
        <v>156</v>
      </c>
      <c r="E90">
        <v>163</v>
      </c>
      <c r="F90">
        <v>185</v>
      </c>
      <c r="G90">
        <v>0</v>
      </c>
      <c r="H90">
        <v>0</v>
      </c>
      <c r="I90">
        <v>0</v>
      </c>
      <c r="J90">
        <v>0</v>
      </c>
      <c r="K90">
        <v>0</v>
      </c>
      <c r="L90">
        <v>0</v>
      </c>
      <c r="M90">
        <v>0</v>
      </c>
      <c r="N90">
        <v>0</v>
      </c>
      <c r="O90">
        <v>0</v>
      </c>
      <c r="P90">
        <v>0</v>
      </c>
      <c r="Q90">
        <v>0</v>
      </c>
      <c r="R90">
        <v>0</v>
      </c>
      <c r="S90">
        <v>0</v>
      </c>
      <c r="T90">
        <v>0</v>
      </c>
      <c r="U90">
        <v>0</v>
      </c>
      <c r="V90">
        <v>0</v>
      </c>
      <c r="W90">
        <v>0</v>
      </c>
      <c r="X90">
        <v>0</v>
      </c>
      <c r="Y90">
        <v>0</v>
      </c>
      <c r="Z90">
        <v>0</v>
      </c>
      <c r="AA90">
        <v>0</v>
      </c>
      <c r="AB90">
        <v>0</v>
      </c>
      <c r="AC90">
        <v>0</v>
      </c>
      <c r="AD90">
        <v>0</v>
      </c>
      <c r="AE90">
        <v>0</v>
      </c>
      <c r="AF90">
        <v>0</v>
      </c>
      <c r="AG90">
        <v>0</v>
      </c>
      <c r="AH90">
        <v>0</v>
      </c>
      <c r="AI90">
        <v>0</v>
      </c>
      <c r="AJ90">
        <v>0</v>
      </c>
    </row>
    <row r="91" spans="2:36">
      <c r="B91" t="s">
        <v>98</v>
      </c>
      <c r="C91">
        <v>0</v>
      </c>
      <c r="D91">
        <v>0</v>
      </c>
      <c r="E91">
        <v>0</v>
      </c>
      <c r="F91">
        <v>0</v>
      </c>
      <c r="G91">
        <v>165</v>
      </c>
      <c r="H91">
        <v>244</v>
      </c>
      <c r="I91">
        <v>204</v>
      </c>
      <c r="J91">
        <v>213</v>
      </c>
      <c r="K91">
        <v>270</v>
      </c>
      <c r="L91">
        <v>303</v>
      </c>
      <c r="M91">
        <v>208</v>
      </c>
      <c r="N91">
        <v>251</v>
      </c>
      <c r="O91">
        <v>346</v>
      </c>
      <c r="P91">
        <v>459</v>
      </c>
      <c r="Q91">
        <v>364</v>
      </c>
      <c r="R91">
        <v>545</v>
      </c>
      <c r="S91">
        <v>509</v>
      </c>
      <c r="T91">
        <v>396</v>
      </c>
      <c r="U91">
        <v>312</v>
      </c>
      <c r="V91">
        <v>380</v>
      </c>
      <c r="W91">
        <v>455</v>
      </c>
      <c r="X91">
        <v>576</v>
      </c>
      <c r="Y91">
        <v>638</v>
      </c>
      <c r="Z91">
        <v>942</v>
      </c>
      <c r="AA91">
        <v>1051</v>
      </c>
      <c r="AB91">
        <v>885</v>
      </c>
      <c r="AC91">
        <v>930</v>
      </c>
      <c r="AD91">
        <v>889</v>
      </c>
      <c r="AE91">
        <v>776</v>
      </c>
      <c r="AF91">
        <v>1236</v>
      </c>
      <c r="AG91">
        <v>1102</v>
      </c>
      <c r="AH91">
        <v>1122</v>
      </c>
      <c r="AI91">
        <v>791</v>
      </c>
      <c r="AJ91">
        <v>1455</v>
      </c>
    </row>
    <row r="92" spans="2:36">
      <c r="B92" t="s">
        <v>99</v>
      </c>
      <c r="C92">
        <v>0</v>
      </c>
      <c r="D92">
        <v>0</v>
      </c>
      <c r="E92">
        <v>0</v>
      </c>
      <c r="F92">
        <v>0</v>
      </c>
      <c r="G92">
        <v>0</v>
      </c>
      <c r="H92">
        <v>0</v>
      </c>
      <c r="I92">
        <v>0</v>
      </c>
      <c r="J92">
        <v>0</v>
      </c>
      <c r="K92">
        <v>0</v>
      </c>
      <c r="L92">
        <v>0</v>
      </c>
      <c r="M92">
        <v>0</v>
      </c>
      <c r="N92">
        <v>0</v>
      </c>
      <c r="O92">
        <v>0</v>
      </c>
      <c r="P92">
        <v>0</v>
      </c>
      <c r="Q92">
        <v>0</v>
      </c>
      <c r="R92">
        <v>0</v>
      </c>
      <c r="S92">
        <v>0</v>
      </c>
      <c r="T92">
        <v>0</v>
      </c>
      <c r="U92">
        <v>0</v>
      </c>
      <c r="V92">
        <v>0</v>
      </c>
      <c r="W92">
        <v>0</v>
      </c>
      <c r="X92">
        <v>0</v>
      </c>
      <c r="Y92">
        <v>0</v>
      </c>
      <c r="Z92">
        <v>0</v>
      </c>
      <c r="AA92">
        <v>0</v>
      </c>
      <c r="AB92">
        <v>0</v>
      </c>
      <c r="AC92">
        <v>0</v>
      </c>
      <c r="AD92">
        <v>0</v>
      </c>
      <c r="AE92">
        <v>0</v>
      </c>
      <c r="AF92">
        <v>0</v>
      </c>
      <c r="AG92">
        <v>0</v>
      </c>
      <c r="AH92">
        <v>0</v>
      </c>
      <c r="AI92">
        <v>0</v>
      </c>
      <c r="AJ92">
        <v>0</v>
      </c>
    </row>
    <row r="93" spans="2:36">
      <c r="B93" t="s">
        <v>100</v>
      </c>
      <c r="C93">
        <v>101</v>
      </c>
      <c r="D93">
        <v>156</v>
      </c>
      <c r="E93">
        <v>164</v>
      </c>
      <c r="F93">
        <v>193</v>
      </c>
      <c r="G93">
        <v>165</v>
      </c>
      <c r="H93">
        <v>244</v>
      </c>
      <c r="I93">
        <v>204</v>
      </c>
      <c r="J93">
        <v>213</v>
      </c>
      <c r="K93">
        <v>270</v>
      </c>
      <c r="L93">
        <v>303</v>
      </c>
      <c r="M93">
        <v>208</v>
      </c>
      <c r="N93">
        <v>251</v>
      </c>
      <c r="O93">
        <v>346</v>
      </c>
      <c r="P93">
        <v>459</v>
      </c>
      <c r="Q93">
        <v>364</v>
      </c>
      <c r="R93">
        <v>545</v>
      </c>
      <c r="S93">
        <v>509</v>
      </c>
      <c r="T93">
        <v>396</v>
      </c>
      <c r="U93">
        <v>312</v>
      </c>
      <c r="V93">
        <v>380</v>
      </c>
      <c r="W93">
        <v>455</v>
      </c>
      <c r="X93">
        <v>576</v>
      </c>
      <c r="Y93">
        <v>638</v>
      </c>
      <c r="Z93">
        <v>942</v>
      </c>
      <c r="AA93">
        <v>1051</v>
      </c>
      <c r="AB93">
        <v>885</v>
      </c>
      <c r="AC93">
        <v>930</v>
      </c>
      <c r="AD93">
        <v>889</v>
      </c>
      <c r="AE93">
        <v>776</v>
      </c>
      <c r="AF93">
        <v>1236</v>
      </c>
      <c r="AG93">
        <v>1102</v>
      </c>
      <c r="AH93">
        <v>1122</v>
      </c>
      <c r="AI93">
        <v>791</v>
      </c>
      <c r="AJ93">
        <v>1455</v>
      </c>
    </row>
    <row r="94" spans="2:36">
      <c r="B94" t="s">
        <v>101</v>
      </c>
      <c r="C94">
        <v>0</v>
      </c>
      <c r="D94">
        <v>0</v>
      </c>
      <c r="E94">
        <v>0</v>
      </c>
      <c r="F94">
        <v>0</v>
      </c>
      <c r="G94">
        <v>0</v>
      </c>
      <c r="H94">
        <v>0</v>
      </c>
      <c r="I94">
        <v>0</v>
      </c>
      <c r="J94">
        <v>0</v>
      </c>
      <c r="K94">
        <v>0</v>
      </c>
      <c r="L94">
        <v>250</v>
      </c>
      <c r="M94">
        <v>475</v>
      </c>
      <c r="N94">
        <v>441</v>
      </c>
      <c r="O94">
        <v>417</v>
      </c>
      <c r="P94">
        <v>417</v>
      </c>
      <c r="Q94">
        <v>549</v>
      </c>
      <c r="R94">
        <v>0</v>
      </c>
      <c r="S94">
        <v>475</v>
      </c>
      <c r="T94">
        <v>345</v>
      </c>
      <c r="U94">
        <v>306</v>
      </c>
      <c r="V94">
        <v>259</v>
      </c>
      <c r="W94">
        <v>309</v>
      </c>
      <c r="X94">
        <v>232</v>
      </c>
      <c r="Y94">
        <v>190</v>
      </c>
      <c r="Z94">
        <v>0</v>
      </c>
      <c r="AA94">
        <v>0</v>
      </c>
      <c r="AB94">
        <v>0</v>
      </c>
      <c r="AC94">
        <v>0</v>
      </c>
      <c r="AD94">
        <v>0</v>
      </c>
      <c r="AE94">
        <v>0</v>
      </c>
      <c r="AF94">
        <v>0</v>
      </c>
      <c r="AG94">
        <v>0</v>
      </c>
      <c r="AH94">
        <v>0</v>
      </c>
      <c r="AI94">
        <v>0</v>
      </c>
      <c r="AJ94">
        <v>0</v>
      </c>
    </row>
    <row r="95" spans="2:36">
      <c r="B95" t="s">
        <v>102</v>
      </c>
      <c r="C95">
        <v>231</v>
      </c>
      <c r="D95">
        <v>281</v>
      </c>
      <c r="E95">
        <v>297</v>
      </c>
      <c r="F95">
        <v>334</v>
      </c>
      <c r="G95">
        <v>331</v>
      </c>
      <c r="H95">
        <v>471</v>
      </c>
      <c r="I95">
        <v>459</v>
      </c>
      <c r="J95">
        <v>491</v>
      </c>
      <c r="K95">
        <v>607</v>
      </c>
      <c r="L95">
        <v>648</v>
      </c>
      <c r="M95">
        <v>640</v>
      </c>
      <c r="N95">
        <v>687</v>
      </c>
      <c r="O95">
        <v>782</v>
      </c>
      <c r="P95">
        <v>993</v>
      </c>
      <c r="Q95">
        <v>1060</v>
      </c>
      <c r="R95">
        <v>1131</v>
      </c>
      <c r="S95">
        <v>1447</v>
      </c>
      <c r="T95">
        <v>1613</v>
      </c>
      <c r="U95">
        <v>1539</v>
      </c>
      <c r="V95">
        <v>1731</v>
      </c>
      <c r="W95">
        <v>1135</v>
      </c>
      <c r="X95">
        <v>1180</v>
      </c>
      <c r="Y95">
        <v>1142</v>
      </c>
      <c r="Z95">
        <v>1216</v>
      </c>
      <c r="AA95">
        <v>1636</v>
      </c>
      <c r="AB95">
        <v>1724</v>
      </c>
      <c r="AC95">
        <v>1683</v>
      </c>
      <c r="AD95">
        <v>1892</v>
      </c>
      <c r="AE95">
        <v>2014</v>
      </c>
      <c r="AF95">
        <v>1937</v>
      </c>
      <c r="AG95">
        <v>2253</v>
      </c>
      <c r="AH95">
        <v>2309</v>
      </c>
      <c r="AI95">
        <v>2583</v>
      </c>
      <c r="AJ95">
        <v>2895</v>
      </c>
    </row>
    <row r="96" spans="2:36">
      <c r="B96" t="s">
        <v>103</v>
      </c>
      <c r="C96">
        <v>485</v>
      </c>
      <c r="D96">
        <v>572</v>
      </c>
      <c r="E96">
        <v>601</v>
      </c>
      <c r="F96">
        <v>496</v>
      </c>
      <c r="G96">
        <v>648</v>
      </c>
      <c r="H96">
        <v>1409</v>
      </c>
      <c r="I96">
        <v>1536</v>
      </c>
      <c r="J96">
        <v>1522</v>
      </c>
      <c r="K96">
        <v>2270</v>
      </c>
      <c r="L96">
        <v>481</v>
      </c>
      <c r="M96">
        <v>462</v>
      </c>
      <c r="N96">
        <v>2189</v>
      </c>
      <c r="O96">
        <v>996</v>
      </c>
      <c r="P96">
        <v>1450</v>
      </c>
      <c r="Q96">
        <v>1695</v>
      </c>
      <c r="R96">
        <v>3945</v>
      </c>
      <c r="S96">
        <v>3065</v>
      </c>
      <c r="T96">
        <v>3749</v>
      </c>
      <c r="U96">
        <v>3647</v>
      </c>
      <c r="V96">
        <v>4398</v>
      </c>
      <c r="W96">
        <v>1135</v>
      </c>
      <c r="X96">
        <v>1667</v>
      </c>
      <c r="Y96">
        <v>2582</v>
      </c>
      <c r="Z96">
        <v>3188</v>
      </c>
      <c r="AA96">
        <v>3447</v>
      </c>
      <c r="AB96">
        <v>3467</v>
      </c>
      <c r="AC96">
        <v>4055</v>
      </c>
      <c r="AD96">
        <v>4251</v>
      </c>
      <c r="AE96">
        <v>4529</v>
      </c>
      <c r="AF96">
        <v>4958</v>
      </c>
      <c r="AG96">
        <v>5050</v>
      </c>
      <c r="AH96">
        <v>6560</v>
      </c>
      <c r="AI96">
        <v>6458</v>
      </c>
      <c r="AJ96">
        <v>6644</v>
      </c>
    </row>
    <row r="97" spans="2:36">
      <c r="B97" t="s">
        <v>104</v>
      </c>
      <c r="C97">
        <v>7055</v>
      </c>
      <c r="D97">
        <v>8322</v>
      </c>
      <c r="E97">
        <v>9007</v>
      </c>
      <c r="F97">
        <v>9376</v>
      </c>
      <c r="G97">
        <v>10300</v>
      </c>
      <c r="H97">
        <v>12162</v>
      </c>
      <c r="I97">
        <v>11286</v>
      </c>
      <c r="J97">
        <v>12491</v>
      </c>
      <c r="K97">
        <v>14509</v>
      </c>
      <c r="L97">
        <v>16664</v>
      </c>
      <c r="M97">
        <v>16029</v>
      </c>
      <c r="N97">
        <v>18745</v>
      </c>
      <c r="O97">
        <v>21956</v>
      </c>
      <c r="P97">
        <v>26189</v>
      </c>
      <c r="Q97">
        <v>26736</v>
      </c>
      <c r="R97">
        <v>27998</v>
      </c>
      <c r="S97">
        <v>34690</v>
      </c>
      <c r="T97">
        <v>35163</v>
      </c>
      <c r="U97">
        <v>33853</v>
      </c>
      <c r="V97">
        <v>35170</v>
      </c>
      <c r="W97">
        <v>31555</v>
      </c>
      <c r="X97">
        <v>33332</v>
      </c>
      <c r="Y97">
        <v>32336</v>
      </c>
      <c r="Z97">
        <v>36033</v>
      </c>
      <c r="AA97">
        <v>41678</v>
      </c>
      <c r="AB97">
        <v>43927</v>
      </c>
      <c r="AC97">
        <v>46997</v>
      </c>
      <c r="AD97">
        <v>46898</v>
      </c>
      <c r="AE97">
        <v>44988</v>
      </c>
      <c r="AF97">
        <v>54771</v>
      </c>
      <c r="AG97">
        <v>50712</v>
      </c>
      <c r="AH97">
        <v>51943</v>
      </c>
      <c r="AI97">
        <v>57653</v>
      </c>
      <c r="AJ97">
        <v>72348</v>
      </c>
    </row>
    <row r="98" spans="2:36">
      <c r="B98" t="s">
        <v>105</v>
      </c>
      <c r="C98">
        <v>351</v>
      </c>
      <c r="D98">
        <v>353</v>
      </c>
      <c r="E98">
        <v>0</v>
      </c>
      <c r="F98">
        <v>355</v>
      </c>
      <c r="G98">
        <v>361</v>
      </c>
      <c r="H98">
        <v>361</v>
      </c>
      <c r="I98">
        <v>485</v>
      </c>
      <c r="J98">
        <v>611</v>
      </c>
      <c r="K98">
        <v>626</v>
      </c>
      <c r="L98">
        <v>674</v>
      </c>
      <c r="M98">
        <v>685</v>
      </c>
      <c r="N98">
        <v>727</v>
      </c>
      <c r="O98">
        <v>762</v>
      </c>
      <c r="P98">
        <v>774</v>
      </c>
      <c r="Q98">
        <v>796</v>
      </c>
      <c r="R98">
        <v>807</v>
      </c>
      <c r="S98">
        <v>810</v>
      </c>
      <c r="T98">
        <v>888</v>
      </c>
      <c r="U98">
        <v>899</v>
      </c>
      <c r="V98">
        <v>911</v>
      </c>
      <c r="W98">
        <v>955</v>
      </c>
      <c r="X98">
        <v>1041</v>
      </c>
      <c r="Y98">
        <v>1170</v>
      </c>
      <c r="Z98">
        <v>1302</v>
      </c>
      <c r="AA98">
        <v>1471</v>
      </c>
      <c r="AB98">
        <v>1968</v>
      </c>
      <c r="AC98">
        <v>1995</v>
      </c>
      <c r="AD98">
        <v>2028</v>
      </c>
      <c r="AE98">
        <v>2059</v>
      </c>
      <c r="AF98">
        <v>2090</v>
      </c>
      <c r="AG98">
        <v>2156</v>
      </c>
      <c r="AH98">
        <v>2315</v>
      </c>
      <c r="AI98">
        <v>2439</v>
      </c>
      <c r="AJ98">
        <v>2627</v>
      </c>
    </row>
    <row r="99" spans="2:36">
      <c r="B99" t="s">
        <v>106</v>
      </c>
      <c r="C99">
        <v>446</v>
      </c>
      <c r="D99">
        <v>454</v>
      </c>
      <c r="E99">
        <v>0</v>
      </c>
      <c r="F99">
        <v>496</v>
      </c>
      <c r="G99">
        <v>545</v>
      </c>
      <c r="H99">
        <v>602</v>
      </c>
      <c r="I99">
        <v>634</v>
      </c>
      <c r="J99">
        <v>722</v>
      </c>
      <c r="K99">
        <v>760</v>
      </c>
      <c r="L99">
        <v>799</v>
      </c>
      <c r="M99">
        <v>843</v>
      </c>
      <c r="N99">
        <v>907</v>
      </c>
      <c r="O99">
        <v>1019</v>
      </c>
      <c r="P99">
        <v>1044</v>
      </c>
      <c r="Q99">
        <v>1118</v>
      </c>
      <c r="R99">
        <v>1218</v>
      </c>
      <c r="S99">
        <v>1324</v>
      </c>
      <c r="T99">
        <v>1359</v>
      </c>
      <c r="U99">
        <v>1388</v>
      </c>
      <c r="V99">
        <v>1507</v>
      </c>
      <c r="W99">
        <v>1665</v>
      </c>
      <c r="X99">
        <v>1739</v>
      </c>
      <c r="Y99">
        <v>1798</v>
      </c>
      <c r="Z99">
        <v>1895</v>
      </c>
      <c r="AA99">
        <v>2030</v>
      </c>
      <c r="AB99">
        <v>2061</v>
      </c>
      <c r="AC99">
        <v>2187</v>
      </c>
      <c r="AD99">
        <v>2359</v>
      </c>
      <c r="AE99">
        <v>2599</v>
      </c>
      <c r="AF99">
        <v>2742</v>
      </c>
      <c r="AG99">
        <v>2930</v>
      </c>
      <c r="AH99">
        <v>3086</v>
      </c>
      <c r="AI99">
        <v>3464</v>
      </c>
      <c r="AJ99">
        <v>3593</v>
      </c>
    </row>
    <row r="100" spans="2:36">
      <c r="B100" t="s">
        <v>107</v>
      </c>
      <c r="C100">
        <v>501</v>
      </c>
      <c r="D100">
        <v>545</v>
      </c>
      <c r="E100">
        <v>0</v>
      </c>
      <c r="F100">
        <v>558</v>
      </c>
      <c r="G100">
        <v>575</v>
      </c>
      <c r="H100">
        <v>584</v>
      </c>
      <c r="I100">
        <v>612</v>
      </c>
      <c r="J100">
        <v>621</v>
      </c>
      <c r="K100">
        <v>689</v>
      </c>
      <c r="L100">
        <v>727</v>
      </c>
      <c r="M100">
        <v>776</v>
      </c>
      <c r="N100">
        <v>928</v>
      </c>
      <c r="O100">
        <v>1060</v>
      </c>
      <c r="P100">
        <v>1113</v>
      </c>
      <c r="Q100">
        <v>1199</v>
      </c>
      <c r="R100">
        <v>1372</v>
      </c>
      <c r="S100">
        <v>1613</v>
      </c>
      <c r="T100">
        <v>1750</v>
      </c>
      <c r="U100">
        <v>1810</v>
      </c>
      <c r="V100">
        <v>1804</v>
      </c>
      <c r="W100">
        <v>2047</v>
      </c>
      <c r="X100">
        <v>2206</v>
      </c>
      <c r="Y100">
        <v>2587</v>
      </c>
      <c r="Z100">
        <v>3031</v>
      </c>
      <c r="AA100">
        <v>3733</v>
      </c>
      <c r="AB100">
        <v>4606</v>
      </c>
      <c r="AC100">
        <v>5234</v>
      </c>
      <c r="AD100">
        <v>5961</v>
      </c>
      <c r="AE100">
        <v>7110</v>
      </c>
      <c r="AF100">
        <v>7508</v>
      </c>
      <c r="AG100">
        <v>8855</v>
      </c>
      <c r="AH100">
        <v>10000</v>
      </c>
      <c r="AI100">
        <v>10000</v>
      </c>
      <c r="AJ100">
        <v>10000</v>
      </c>
    </row>
    <row r="101" spans="2:36">
      <c r="B101" t="s">
        <v>108</v>
      </c>
      <c r="C101">
        <v>0</v>
      </c>
      <c r="D101">
        <v>0</v>
      </c>
      <c r="E101">
        <v>0</v>
      </c>
      <c r="F101">
        <v>0</v>
      </c>
      <c r="G101">
        <v>0</v>
      </c>
      <c r="H101">
        <v>0</v>
      </c>
      <c r="I101">
        <v>0</v>
      </c>
      <c r="J101">
        <v>0</v>
      </c>
      <c r="K101">
        <v>0</v>
      </c>
      <c r="L101">
        <v>0</v>
      </c>
      <c r="M101">
        <v>0</v>
      </c>
      <c r="N101">
        <v>0</v>
      </c>
      <c r="O101">
        <v>0</v>
      </c>
      <c r="P101">
        <v>0</v>
      </c>
      <c r="Q101">
        <v>0</v>
      </c>
      <c r="R101">
        <v>0</v>
      </c>
      <c r="S101">
        <v>0</v>
      </c>
      <c r="T101">
        <v>0</v>
      </c>
      <c r="U101">
        <v>0</v>
      </c>
      <c r="V101">
        <v>0</v>
      </c>
      <c r="W101">
        <v>0</v>
      </c>
      <c r="X101">
        <v>0</v>
      </c>
      <c r="Y101">
        <v>0</v>
      </c>
      <c r="Z101">
        <v>0</v>
      </c>
      <c r="AA101">
        <v>0</v>
      </c>
      <c r="AB101">
        <v>0</v>
      </c>
      <c r="AC101">
        <v>0</v>
      </c>
      <c r="AD101">
        <v>0</v>
      </c>
      <c r="AE101">
        <v>0</v>
      </c>
      <c r="AF101">
        <v>0</v>
      </c>
      <c r="AG101">
        <v>0</v>
      </c>
      <c r="AH101">
        <v>0</v>
      </c>
      <c r="AI101">
        <v>0</v>
      </c>
      <c r="AJ101">
        <v>0</v>
      </c>
    </row>
    <row r="102" spans="2:36">
      <c r="B102" t="s">
        <v>109</v>
      </c>
      <c r="C102">
        <v>0</v>
      </c>
      <c r="D102">
        <v>0</v>
      </c>
      <c r="E102">
        <v>1333</v>
      </c>
      <c r="F102">
        <v>0</v>
      </c>
      <c r="G102">
        <v>0</v>
      </c>
      <c r="H102">
        <v>0</v>
      </c>
      <c r="I102">
        <v>0</v>
      </c>
      <c r="J102">
        <v>0</v>
      </c>
      <c r="K102">
        <v>0</v>
      </c>
      <c r="L102">
        <v>0</v>
      </c>
      <c r="M102">
        <v>0</v>
      </c>
      <c r="N102">
        <v>0</v>
      </c>
      <c r="O102">
        <v>0</v>
      </c>
      <c r="P102">
        <v>0</v>
      </c>
      <c r="Q102">
        <v>0</v>
      </c>
      <c r="R102">
        <v>0</v>
      </c>
      <c r="S102">
        <v>0</v>
      </c>
      <c r="T102">
        <v>0</v>
      </c>
      <c r="U102">
        <v>0</v>
      </c>
      <c r="V102">
        <v>0</v>
      </c>
      <c r="W102">
        <v>0</v>
      </c>
      <c r="X102">
        <v>0</v>
      </c>
      <c r="Y102">
        <v>0</v>
      </c>
      <c r="Z102">
        <v>0</v>
      </c>
      <c r="AA102">
        <v>0</v>
      </c>
      <c r="AB102">
        <v>0</v>
      </c>
      <c r="AC102">
        <v>0</v>
      </c>
      <c r="AD102">
        <v>0</v>
      </c>
      <c r="AE102">
        <v>0</v>
      </c>
      <c r="AF102">
        <v>0</v>
      </c>
      <c r="AG102">
        <v>0</v>
      </c>
      <c r="AH102">
        <v>0</v>
      </c>
      <c r="AI102">
        <v>0</v>
      </c>
      <c r="AJ102">
        <v>0</v>
      </c>
    </row>
    <row r="103" spans="2:36">
      <c r="B103" t="s">
        <v>110</v>
      </c>
      <c r="C103">
        <v>1298</v>
      </c>
      <c r="D103">
        <v>1352</v>
      </c>
      <c r="E103">
        <v>1333</v>
      </c>
      <c r="F103">
        <v>1409</v>
      </c>
      <c r="G103">
        <v>1481</v>
      </c>
      <c r="H103">
        <v>1547</v>
      </c>
      <c r="I103">
        <v>1731</v>
      </c>
      <c r="J103">
        <v>1954</v>
      </c>
      <c r="K103">
        <v>2075</v>
      </c>
      <c r="L103">
        <v>2200</v>
      </c>
      <c r="M103">
        <v>2304</v>
      </c>
      <c r="N103">
        <v>2562</v>
      </c>
      <c r="O103">
        <v>2841</v>
      </c>
      <c r="P103">
        <v>2931</v>
      </c>
      <c r="Q103">
        <v>3113</v>
      </c>
      <c r="R103">
        <v>3397</v>
      </c>
      <c r="S103">
        <v>3747</v>
      </c>
      <c r="T103">
        <v>3997</v>
      </c>
      <c r="U103">
        <v>4097</v>
      </c>
      <c r="V103">
        <v>4222</v>
      </c>
      <c r="W103">
        <v>4667</v>
      </c>
      <c r="X103">
        <v>4986</v>
      </c>
      <c r="Y103">
        <v>5555</v>
      </c>
      <c r="Z103">
        <v>6228</v>
      </c>
      <c r="AA103">
        <v>7234</v>
      </c>
      <c r="AB103">
        <v>8635</v>
      </c>
      <c r="AC103">
        <v>9416</v>
      </c>
      <c r="AD103">
        <v>10348</v>
      </c>
      <c r="AE103">
        <v>11768</v>
      </c>
      <c r="AF103">
        <v>12340</v>
      </c>
      <c r="AG103">
        <v>13941</v>
      </c>
      <c r="AH103">
        <v>16205</v>
      </c>
      <c r="AI103">
        <v>21887</v>
      </c>
      <c r="AJ103">
        <v>23214</v>
      </c>
    </row>
    <row r="104" spans="2:36">
      <c r="B104" t="s">
        <v>111</v>
      </c>
      <c r="C104">
        <v>1298</v>
      </c>
      <c r="D104">
        <v>1352</v>
      </c>
      <c r="E104">
        <v>1333</v>
      </c>
      <c r="F104">
        <v>1409</v>
      </c>
      <c r="G104">
        <v>1481</v>
      </c>
      <c r="H104">
        <v>1547</v>
      </c>
      <c r="I104">
        <v>1731</v>
      </c>
      <c r="J104">
        <v>1954</v>
      </c>
      <c r="K104">
        <v>2075</v>
      </c>
      <c r="L104">
        <v>2200</v>
      </c>
      <c r="M104">
        <v>2304</v>
      </c>
      <c r="N104">
        <v>2562</v>
      </c>
      <c r="O104">
        <v>2841</v>
      </c>
      <c r="P104">
        <v>2931</v>
      </c>
      <c r="Q104">
        <v>3113</v>
      </c>
      <c r="R104">
        <v>3397</v>
      </c>
      <c r="S104">
        <v>3747</v>
      </c>
      <c r="T104">
        <v>3997</v>
      </c>
      <c r="U104">
        <v>4097</v>
      </c>
      <c r="V104">
        <v>4222</v>
      </c>
      <c r="W104">
        <v>4667</v>
      </c>
      <c r="X104">
        <v>4986</v>
      </c>
      <c r="Y104">
        <v>5555</v>
      </c>
      <c r="Z104">
        <v>6228</v>
      </c>
      <c r="AA104">
        <v>7234</v>
      </c>
      <c r="AB104">
        <v>8635</v>
      </c>
      <c r="AC104">
        <v>9416</v>
      </c>
      <c r="AD104">
        <v>10348</v>
      </c>
      <c r="AE104">
        <v>11768</v>
      </c>
      <c r="AF104">
        <v>12340</v>
      </c>
      <c r="AG104">
        <v>13941</v>
      </c>
      <c r="AH104">
        <v>16205</v>
      </c>
      <c r="AI104">
        <v>21887</v>
      </c>
      <c r="AJ104">
        <v>23214</v>
      </c>
    </row>
    <row r="105" spans="2:36">
      <c r="B105" t="s">
        <v>112</v>
      </c>
      <c r="C105">
        <v>591</v>
      </c>
      <c r="D105">
        <v>617</v>
      </c>
      <c r="E105">
        <v>591</v>
      </c>
      <c r="F105">
        <v>645</v>
      </c>
      <c r="G105">
        <v>664</v>
      </c>
      <c r="H105">
        <v>692</v>
      </c>
      <c r="I105">
        <v>726</v>
      </c>
      <c r="J105">
        <v>757</v>
      </c>
      <c r="K105">
        <v>794</v>
      </c>
      <c r="L105">
        <v>838</v>
      </c>
      <c r="M105">
        <v>895</v>
      </c>
      <c r="N105">
        <v>936</v>
      </c>
      <c r="O105">
        <v>1009</v>
      </c>
      <c r="P105">
        <v>1061</v>
      </c>
      <c r="Q105">
        <v>1151</v>
      </c>
      <c r="R105">
        <v>1220</v>
      </c>
      <c r="S105">
        <v>1292</v>
      </c>
      <c r="T105">
        <v>1417</v>
      </c>
      <c r="U105">
        <v>1551</v>
      </c>
      <c r="V105">
        <v>1569</v>
      </c>
      <c r="W105">
        <v>1713</v>
      </c>
      <c r="X105">
        <v>1871</v>
      </c>
      <c r="Y105">
        <v>2051</v>
      </c>
      <c r="Z105">
        <v>2238</v>
      </c>
      <c r="AA105">
        <v>2466</v>
      </c>
      <c r="AB105">
        <v>2767</v>
      </c>
      <c r="AC105">
        <v>3175</v>
      </c>
      <c r="AD105">
        <v>3599</v>
      </c>
      <c r="AE105">
        <v>3991</v>
      </c>
      <c r="AF105">
        <v>4524</v>
      </c>
      <c r="AG105">
        <v>5094</v>
      </c>
      <c r="AH105">
        <v>5718</v>
      </c>
      <c r="AI105">
        <v>6435</v>
      </c>
      <c r="AJ105">
        <v>7792</v>
      </c>
    </row>
    <row r="106" spans="2:36">
      <c r="B106" t="s">
        <v>113</v>
      </c>
      <c r="C106">
        <v>707</v>
      </c>
      <c r="D106">
        <v>735</v>
      </c>
      <c r="E106">
        <v>742</v>
      </c>
      <c r="F106">
        <v>764</v>
      </c>
      <c r="G106">
        <v>817</v>
      </c>
      <c r="H106">
        <v>855</v>
      </c>
      <c r="I106">
        <v>1005</v>
      </c>
      <c r="J106">
        <v>1197</v>
      </c>
      <c r="K106">
        <v>1281</v>
      </c>
      <c r="L106">
        <v>1362</v>
      </c>
      <c r="M106">
        <v>1409</v>
      </c>
      <c r="N106">
        <v>1626</v>
      </c>
      <c r="O106">
        <v>1832</v>
      </c>
      <c r="P106">
        <v>1870</v>
      </c>
      <c r="Q106">
        <v>1962</v>
      </c>
      <c r="R106">
        <v>2177</v>
      </c>
      <c r="S106">
        <v>2455</v>
      </c>
      <c r="T106">
        <v>2580</v>
      </c>
      <c r="U106">
        <v>2546</v>
      </c>
      <c r="V106">
        <v>2653</v>
      </c>
      <c r="W106">
        <v>2954</v>
      </c>
      <c r="X106">
        <v>3115</v>
      </c>
      <c r="Y106">
        <v>3504</v>
      </c>
      <c r="Z106">
        <v>3990</v>
      </c>
      <c r="AA106">
        <v>4768</v>
      </c>
      <c r="AB106">
        <v>5868</v>
      </c>
      <c r="AC106">
        <v>6241</v>
      </c>
      <c r="AD106">
        <v>6749</v>
      </c>
      <c r="AE106">
        <v>7777</v>
      </c>
      <c r="AF106">
        <v>7816</v>
      </c>
      <c r="AG106">
        <v>8847</v>
      </c>
      <c r="AH106">
        <v>10487</v>
      </c>
      <c r="AI106">
        <v>15452</v>
      </c>
      <c r="AJ106">
        <v>15422</v>
      </c>
    </row>
    <row r="107" spans="2:36">
      <c r="B107" t="s">
        <v>114</v>
      </c>
      <c r="C107">
        <v>97</v>
      </c>
      <c r="D107">
        <v>96</v>
      </c>
      <c r="E107">
        <v>113</v>
      </c>
      <c r="F107">
        <v>109</v>
      </c>
      <c r="G107">
        <v>96</v>
      </c>
      <c r="H107">
        <v>93</v>
      </c>
      <c r="I107">
        <v>70</v>
      </c>
      <c r="J107">
        <v>62</v>
      </c>
      <c r="K107">
        <v>160</v>
      </c>
      <c r="L107">
        <v>164</v>
      </c>
      <c r="M107">
        <v>281</v>
      </c>
      <c r="N107">
        <v>301</v>
      </c>
      <c r="O107">
        <v>382</v>
      </c>
      <c r="P107">
        <v>388</v>
      </c>
      <c r="Q107">
        <v>369</v>
      </c>
      <c r="R107">
        <v>291</v>
      </c>
      <c r="S107">
        <v>285</v>
      </c>
      <c r="T107">
        <v>359</v>
      </c>
      <c r="U107">
        <v>366</v>
      </c>
      <c r="V107">
        <v>370</v>
      </c>
      <c r="W107">
        <v>353</v>
      </c>
      <c r="X107">
        <v>334</v>
      </c>
      <c r="Y107">
        <v>343</v>
      </c>
      <c r="Z107">
        <v>318</v>
      </c>
      <c r="AA107">
        <v>342</v>
      </c>
      <c r="AB107">
        <v>522</v>
      </c>
      <c r="AC107">
        <v>507</v>
      </c>
      <c r="AD107">
        <v>1169</v>
      </c>
      <c r="AE107">
        <v>3536</v>
      </c>
      <c r="AF107">
        <v>3472</v>
      </c>
      <c r="AG107">
        <v>3604</v>
      </c>
      <c r="AH107">
        <v>4329</v>
      </c>
      <c r="AI107">
        <v>4224</v>
      </c>
      <c r="AJ107">
        <v>4462</v>
      </c>
    </row>
    <row r="108" spans="2:36">
      <c r="B108" t="s">
        <v>115</v>
      </c>
      <c r="C108">
        <v>0</v>
      </c>
      <c r="D108">
        <v>0</v>
      </c>
      <c r="E108">
        <v>0</v>
      </c>
      <c r="F108">
        <v>0</v>
      </c>
      <c r="G108">
        <v>0</v>
      </c>
      <c r="H108">
        <v>0</v>
      </c>
      <c r="I108">
        <v>69</v>
      </c>
      <c r="J108">
        <v>38</v>
      </c>
      <c r="K108">
        <v>38</v>
      </c>
      <c r="L108">
        <v>38</v>
      </c>
      <c r="M108">
        <v>38</v>
      </c>
      <c r="N108">
        <v>38</v>
      </c>
      <c r="O108">
        <v>38</v>
      </c>
      <c r="P108">
        <v>38</v>
      </c>
      <c r="Q108">
        <v>38</v>
      </c>
      <c r="R108">
        <v>38</v>
      </c>
      <c r="S108">
        <v>207</v>
      </c>
      <c r="T108">
        <v>207</v>
      </c>
      <c r="U108">
        <v>207</v>
      </c>
      <c r="V108">
        <v>207</v>
      </c>
      <c r="W108">
        <v>206</v>
      </c>
      <c r="X108">
        <v>253</v>
      </c>
      <c r="Y108">
        <v>480</v>
      </c>
      <c r="Z108">
        <v>714</v>
      </c>
      <c r="AA108">
        <v>741</v>
      </c>
      <c r="AB108">
        <v>741</v>
      </c>
      <c r="AC108">
        <v>741</v>
      </c>
      <c r="AD108">
        <v>741</v>
      </c>
      <c r="AE108">
        <v>896</v>
      </c>
      <c r="AF108">
        <v>896</v>
      </c>
      <c r="AG108">
        <v>1141</v>
      </c>
      <c r="AH108">
        <v>1132</v>
      </c>
      <c r="AI108">
        <v>1135</v>
      </c>
      <c r="AJ108">
        <v>1381</v>
      </c>
    </row>
    <row r="109" spans="2:36">
      <c r="B109" t="s">
        <v>116</v>
      </c>
      <c r="C109">
        <v>0</v>
      </c>
      <c r="D109">
        <v>0</v>
      </c>
      <c r="E109">
        <v>0</v>
      </c>
      <c r="F109">
        <v>0</v>
      </c>
      <c r="G109">
        <v>183</v>
      </c>
      <c r="H109">
        <v>0</v>
      </c>
      <c r="I109">
        <v>134</v>
      </c>
      <c r="J109">
        <v>58</v>
      </c>
      <c r="K109">
        <v>0</v>
      </c>
      <c r="L109">
        <v>48</v>
      </c>
      <c r="M109">
        <v>27</v>
      </c>
      <c r="N109">
        <v>29</v>
      </c>
      <c r="O109">
        <v>88</v>
      </c>
      <c r="P109">
        <v>190</v>
      </c>
      <c r="Q109">
        <v>62</v>
      </c>
      <c r="R109">
        <v>0</v>
      </c>
      <c r="S109">
        <v>0</v>
      </c>
      <c r="T109">
        <v>125</v>
      </c>
      <c r="U109">
        <v>180</v>
      </c>
      <c r="V109">
        <v>226</v>
      </c>
      <c r="W109">
        <v>163</v>
      </c>
      <c r="X109">
        <v>130</v>
      </c>
      <c r="Y109">
        <v>129</v>
      </c>
      <c r="Z109">
        <v>0</v>
      </c>
      <c r="AA109">
        <v>0</v>
      </c>
      <c r="AB109">
        <v>0</v>
      </c>
      <c r="AC109">
        <v>0</v>
      </c>
      <c r="AD109">
        <v>0</v>
      </c>
      <c r="AE109">
        <v>0</v>
      </c>
      <c r="AF109">
        <v>0</v>
      </c>
      <c r="AG109">
        <v>0</v>
      </c>
      <c r="AH109">
        <v>0</v>
      </c>
      <c r="AI109">
        <v>0</v>
      </c>
      <c r="AJ109">
        <v>0</v>
      </c>
    </row>
    <row r="110" spans="2:36">
      <c r="B110" t="s">
        <v>117</v>
      </c>
      <c r="C110">
        <v>191</v>
      </c>
      <c r="D110">
        <v>209</v>
      </c>
      <c r="E110">
        <v>249</v>
      </c>
      <c r="F110">
        <v>239</v>
      </c>
      <c r="G110">
        <v>155</v>
      </c>
      <c r="H110">
        <v>1071</v>
      </c>
      <c r="I110">
        <v>1347</v>
      </c>
      <c r="J110">
        <v>1268</v>
      </c>
      <c r="K110">
        <v>1217</v>
      </c>
      <c r="L110">
        <v>1185</v>
      </c>
      <c r="M110">
        <v>927</v>
      </c>
      <c r="N110">
        <v>908</v>
      </c>
      <c r="O110">
        <v>1051</v>
      </c>
      <c r="P110">
        <v>1364</v>
      </c>
      <c r="Q110">
        <v>1304</v>
      </c>
      <c r="R110">
        <v>1205</v>
      </c>
      <c r="S110">
        <v>1935</v>
      </c>
      <c r="T110">
        <v>4353</v>
      </c>
      <c r="U110">
        <v>6085</v>
      </c>
      <c r="V110">
        <v>9514</v>
      </c>
      <c r="W110">
        <v>12270</v>
      </c>
      <c r="X110">
        <v>16762</v>
      </c>
      <c r="Y110">
        <v>20265</v>
      </c>
      <c r="Z110">
        <v>23670</v>
      </c>
      <c r="AA110">
        <v>27654</v>
      </c>
      <c r="AB110">
        <v>35684</v>
      </c>
      <c r="AC110">
        <v>40418</v>
      </c>
      <c r="AD110">
        <v>51201</v>
      </c>
      <c r="AE110">
        <v>59174</v>
      </c>
      <c r="AF110">
        <v>71726</v>
      </c>
      <c r="AG110">
        <v>86630</v>
      </c>
      <c r="AH110">
        <v>95005</v>
      </c>
      <c r="AI110">
        <v>97600</v>
      </c>
      <c r="AJ110">
        <v>102475</v>
      </c>
    </row>
    <row r="111" spans="2:36">
      <c r="B111" t="s">
        <v>118</v>
      </c>
      <c r="C111">
        <v>995</v>
      </c>
      <c r="D111">
        <v>1040</v>
      </c>
      <c r="E111">
        <v>1104</v>
      </c>
      <c r="F111">
        <v>1112</v>
      </c>
      <c r="G111">
        <v>1251</v>
      </c>
      <c r="H111">
        <v>2019</v>
      </c>
      <c r="I111">
        <v>2625</v>
      </c>
      <c r="J111">
        <v>2623</v>
      </c>
      <c r="K111">
        <v>2696</v>
      </c>
      <c r="L111">
        <v>2797</v>
      </c>
      <c r="M111">
        <v>2682</v>
      </c>
      <c r="N111">
        <v>2902</v>
      </c>
      <c r="O111">
        <v>3391</v>
      </c>
      <c r="P111">
        <v>3850</v>
      </c>
      <c r="Q111">
        <v>3735</v>
      </c>
      <c r="R111">
        <v>3711</v>
      </c>
      <c r="S111">
        <v>4882</v>
      </c>
      <c r="T111">
        <v>7624</v>
      </c>
      <c r="U111">
        <v>9384</v>
      </c>
      <c r="V111">
        <v>12970</v>
      </c>
      <c r="W111">
        <v>15946</v>
      </c>
      <c r="X111">
        <v>20594</v>
      </c>
      <c r="Y111">
        <v>24721</v>
      </c>
      <c r="Z111">
        <v>28692</v>
      </c>
      <c r="AA111">
        <v>33505</v>
      </c>
      <c r="AB111">
        <v>42815</v>
      </c>
      <c r="AC111">
        <v>47907</v>
      </c>
      <c r="AD111">
        <v>59860</v>
      </c>
      <c r="AE111">
        <v>71383</v>
      </c>
      <c r="AF111">
        <v>83910</v>
      </c>
      <c r="AG111">
        <v>100222</v>
      </c>
      <c r="AH111">
        <v>110953</v>
      </c>
      <c r="AI111">
        <v>118411</v>
      </c>
      <c r="AJ111">
        <v>123740</v>
      </c>
    </row>
    <row r="112" spans="2:36">
      <c r="B112" t="s">
        <v>119</v>
      </c>
      <c r="C112">
        <v>8050</v>
      </c>
      <c r="D112">
        <v>9362</v>
      </c>
      <c r="E112">
        <v>10111</v>
      </c>
      <c r="F112">
        <v>10488</v>
      </c>
      <c r="G112">
        <v>11551</v>
      </c>
      <c r="H112">
        <v>14181</v>
      </c>
      <c r="I112">
        <v>13911</v>
      </c>
      <c r="J112">
        <v>15114</v>
      </c>
      <c r="K112">
        <v>17205</v>
      </c>
      <c r="L112">
        <v>19461</v>
      </c>
      <c r="M112">
        <v>18711</v>
      </c>
      <c r="N112">
        <v>21647</v>
      </c>
      <c r="O112">
        <v>25347</v>
      </c>
      <c r="P112">
        <v>30039</v>
      </c>
      <c r="Q112">
        <v>30471</v>
      </c>
      <c r="R112">
        <v>31709</v>
      </c>
      <c r="S112">
        <v>39572</v>
      </c>
      <c r="T112">
        <v>42787</v>
      </c>
      <c r="U112">
        <v>43237</v>
      </c>
      <c r="V112">
        <v>48140</v>
      </c>
      <c r="W112">
        <v>47501</v>
      </c>
      <c r="X112">
        <v>53926</v>
      </c>
      <c r="Y112">
        <v>57057</v>
      </c>
      <c r="Z112">
        <v>64725</v>
      </c>
      <c r="AA112">
        <v>75183</v>
      </c>
      <c r="AB112">
        <v>86742</v>
      </c>
      <c r="AC112">
        <v>94904</v>
      </c>
      <c r="AD112">
        <v>106758</v>
      </c>
      <c r="AE112">
        <v>116371</v>
      </c>
      <c r="AF112">
        <v>138681</v>
      </c>
      <c r="AG112">
        <v>150934</v>
      </c>
      <c r="AH112">
        <v>162896</v>
      </c>
      <c r="AI112">
        <v>176064</v>
      </c>
      <c r="AJ112">
        <v>196088</v>
      </c>
    </row>
    <row r="113" spans="2:36">
      <c r="B113" t="s">
        <v>120</v>
      </c>
    </row>
    <row r="114" spans="2:36">
      <c r="B114" t="s">
        <v>121</v>
      </c>
      <c r="C114">
        <v>1451</v>
      </c>
      <c r="D114">
        <v>1737</v>
      </c>
      <c r="E114">
        <v>1773</v>
      </c>
      <c r="F114">
        <v>1530</v>
      </c>
      <c r="G114">
        <v>1779</v>
      </c>
      <c r="H114">
        <v>2896</v>
      </c>
      <c r="I114">
        <v>2108</v>
      </c>
      <c r="J114">
        <v>2513</v>
      </c>
      <c r="K114">
        <v>3390</v>
      </c>
      <c r="L114">
        <v>3885</v>
      </c>
      <c r="M114">
        <v>2403</v>
      </c>
      <c r="N114">
        <v>3660</v>
      </c>
      <c r="O114">
        <v>4970</v>
      </c>
      <c r="P114">
        <v>5366</v>
      </c>
      <c r="Q114">
        <v>4154</v>
      </c>
      <c r="R114">
        <v>3683</v>
      </c>
      <c r="S114">
        <v>5520</v>
      </c>
      <c r="T114">
        <v>4715</v>
      </c>
      <c r="U114">
        <v>3976</v>
      </c>
      <c r="V114">
        <v>4854</v>
      </c>
      <c r="W114">
        <v>5601</v>
      </c>
      <c r="X114">
        <v>6511</v>
      </c>
      <c r="Y114">
        <v>5666</v>
      </c>
      <c r="Z114">
        <v>8469</v>
      </c>
      <c r="AA114">
        <v>12015</v>
      </c>
      <c r="AB114">
        <v>14301</v>
      </c>
      <c r="AC114">
        <v>13714</v>
      </c>
      <c r="AD114">
        <v>15270</v>
      </c>
      <c r="AE114">
        <v>14632</v>
      </c>
      <c r="AF114">
        <v>18221</v>
      </c>
      <c r="AG114">
        <v>17011</v>
      </c>
      <c r="AH114">
        <v>16808</v>
      </c>
      <c r="AI114">
        <v>21175</v>
      </c>
      <c r="AJ114">
        <v>26398</v>
      </c>
    </row>
    <row r="115" spans="2:36">
      <c r="B115" t="s">
        <v>122</v>
      </c>
      <c r="C115">
        <v>0</v>
      </c>
      <c r="D115">
        <v>0</v>
      </c>
      <c r="E115">
        <v>0</v>
      </c>
      <c r="F115">
        <v>0</v>
      </c>
      <c r="G115">
        <v>0</v>
      </c>
      <c r="H115">
        <v>0</v>
      </c>
      <c r="I115">
        <v>0</v>
      </c>
      <c r="J115">
        <v>0</v>
      </c>
      <c r="K115">
        <v>0</v>
      </c>
      <c r="L115">
        <v>0</v>
      </c>
      <c r="M115">
        <v>0</v>
      </c>
      <c r="N115">
        <v>0</v>
      </c>
      <c r="O115">
        <v>0</v>
      </c>
      <c r="P115">
        <v>0</v>
      </c>
      <c r="Q115">
        <v>0</v>
      </c>
      <c r="R115">
        <v>0</v>
      </c>
      <c r="S115">
        <v>0</v>
      </c>
      <c r="T115">
        <v>0</v>
      </c>
      <c r="U115">
        <v>0</v>
      </c>
      <c r="V115">
        <v>0</v>
      </c>
      <c r="W115">
        <v>0</v>
      </c>
      <c r="X115">
        <v>0</v>
      </c>
      <c r="Y115">
        <v>0</v>
      </c>
      <c r="Z115">
        <v>0</v>
      </c>
      <c r="AA115">
        <v>0</v>
      </c>
      <c r="AB115">
        <v>0</v>
      </c>
      <c r="AC115">
        <v>0</v>
      </c>
      <c r="AD115">
        <v>0</v>
      </c>
      <c r="AE115">
        <v>0</v>
      </c>
      <c r="AF115">
        <v>0</v>
      </c>
      <c r="AG115">
        <v>0</v>
      </c>
      <c r="AH115">
        <v>0</v>
      </c>
      <c r="AI115">
        <v>0</v>
      </c>
      <c r="AJ115">
        <v>0</v>
      </c>
    </row>
    <row r="116" spans="2:36">
      <c r="B116" t="s">
        <v>123</v>
      </c>
      <c r="C116">
        <v>0</v>
      </c>
      <c r="D116">
        <v>0</v>
      </c>
      <c r="E116">
        <v>0</v>
      </c>
      <c r="F116">
        <v>0</v>
      </c>
      <c r="G116">
        <v>0</v>
      </c>
      <c r="H116">
        <v>0</v>
      </c>
      <c r="I116">
        <v>0</v>
      </c>
      <c r="J116">
        <v>0</v>
      </c>
      <c r="K116">
        <v>0</v>
      </c>
      <c r="L116">
        <v>0</v>
      </c>
      <c r="M116">
        <v>0</v>
      </c>
      <c r="N116">
        <v>0</v>
      </c>
      <c r="O116">
        <v>0</v>
      </c>
      <c r="P116">
        <v>0</v>
      </c>
      <c r="Q116">
        <v>0</v>
      </c>
      <c r="R116">
        <v>0</v>
      </c>
      <c r="S116">
        <v>0</v>
      </c>
      <c r="T116">
        <v>0</v>
      </c>
      <c r="U116">
        <v>0</v>
      </c>
      <c r="V116">
        <v>0</v>
      </c>
      <c r="W116">
        <v>0</v>
      </c>
      <c r="X116">
        <v>0</v>
      </c>
      <c r="Y116">
        <v>0</v>
      </c>
      <c r="Z116">
        <v>0</v>
      </c>
      <c r="AA116">
        <v>0</v>
      </c>
      <c r="AB116">
        <v>0</v>
      </c>
      <c r="AC116">
        <v>0</v>
      </c>
      <c r="AD116">
        <v>0</v>
      </c>
      <c r="AE116">
        <v>0</v>
      </c>
      <c r="AF116">
        <v>0</v>
      </c>
      <c r="AG116">
        <v>0</v>
      </c>
      <c r="AH116">
        <v>0</v>
      </c>
      <c r="AI116">
        <v>0</v>
      </c>
      <c r="AJ116">
        <v>0</v>
      </c>
    </row>
    <row r="117" spans="2:36">
      <c r="B117" t="s">
        <v>124</v>
      </c>
      <c r="C117">
        <v>1229</v>
      </c>
      <c r="D117">
        <v>1487</v>
      </c>
      <c r="E117">
        <v>1579</v>
      </c>
      <c r="F117">
        <v>1593</v>
      </c>
      <c r="G117">
        <v>0</v>
      </c>
      <c r="H117">
        <v>2164</v>
      </c>
      <c r="I117">
        <v>648</v>
      </c>
      <c r="J117">
        <v>665</v>
      </c>
      <c r="K117">
        <v>1191</v>
      </c>
      <c r="L117">
        <v>1163</v>
      </c>
      <c r="M117">
        <v>1533</v>
      </c>
      <c r="N117">
        <v>1152</v>
      </c>
      <c r="O117">
        <v>1260</v>
      </c>
      <c r="P117">
        <v>839</v>
      </c>
      <c r="Q117">
        <v>917</v>
      </c>
      <c r="R117">
        <v>5535</v>
      </c>
      <c r="S117">
        <v>8572</v>
      </c>
      <c r="T117">
        <v>0</v>
      </c>
      <c r="U117">
        <v>0</v>
      </c>
      <c r="V117">
        <v>0</v>
      </c>
      <c r="W117">
        <v>0</v>
      </c>
      <c r="X117">
        <v>0</v>
      </c>
      <c r="Y117">
        <v>0</v>
      </c>
      <c r="Z117">
        <v>0</v>
      </c>
      <c r="AA117">
        <v>0</v>
      </c>
      <c r="AB117">
        <v>0</v>
      </c>
      <c r="AC117">
        <v>0</v>
      </c>
      <c r="AD117">
        <v>0</v>
      </c>
      <c r="AE117">
        <v>0</v>
      </c>
      <c r="AF117">
        <v>0</v>
      </c>
      <c r="AG117">
        <v>0</v>
      </c>
      <c r="AH117">
        <v>0</v>
      </c>
      <c r="AI117">
        <v>0</v>
      </c>
      <c r="AJ117">
        <v>0</v>
      </c>
    </row>
    <row r="118" spans="2:36">
      <c r="B118" t="s">
        <v>125</v>
      </c>
      <c r="C118">
        <v>0</v>
      </c>
      <c r="D118">
        <v>0</v>
      </c>
      <c r="E118">
        <v>0</v>
      </c>
      <c r="F118">
        <v>0</v>
      </c>
      <c r="G118">
        <v>576</v>
      </c>
      <c r="H118">
        <v>0</v>
      </c>
      <c r="I118">
        <v>0</v>
      </c>
      <c r="J118">
        <v>0</v>
      </c>
      <c r="K118">
        <v>0</v>
      </c>
      <c r="L118">
        <v>0</v>
      </c>
      <c r="M118">
        <v>0</v>
      </c>
      <c r="N118">
        <v>1514</v>
      </c>
      <c r="O118">
        <v>0</v>
      </c>
      <c r="P118">
        <v>0</v>
      </c>
      <c r="Q118">
        <v>0</v>
      </c>
      <c r="R118">
        <v>0</v>
      </c>
      <c r="S118">
        <v>0</v>
      </c>
      <c r="T118">
        <v>3707</v>
      </c>
      <c r="U118">
        <v>2661</v>
      </c>
      <c r="V118">
        <v>3338</v>
      </c>
      <c r="W118">
        <v>3422</v>
      </c>
      <c r="X118">
        <v>3738</v>
      </c>
      <c r="Y118">
        <v>3766</v>
      </c>
      <c r="Z118">
        <v>4396</v>
      </c>
      <c r="AA118">
        <v>1593</v>
      </c>
      <c r="AB118">
        <v>4995</v>
      </c>
      <c r="AC118">
        <v>6091</v>
      </c>
      <c r="AD118">
        <v>6467</v>
      </c>
      <c r="AE118">
        <v>8107</v>
      </c>
      <c r="AF118">
        <v>7435</v>
      </c>
      <c r="AG118">
        <v>6733</v>
      </c>
      <c r="AH118">
        <v>8832</v>
      </c>
      <c r="AI118">
        <v>9879</v>
      </c>
      <c r="AJ118">
        <v>11214</v>
      </c>
    </row>
    <row r="119" spans="2:36">
      <c r="B119" t="s">
        <v>126</v>
      </c>
      <c r="C119">
        <v>0</v>
      </c>
      <c r="D119">
        <v>0</v>
      </c>
      <c r="E119">
        <v>0</v>
      </c>
      <c r="F119">
        <v>0</v>
      </c>
      <c r="G119">
        <v>501</v>
      </c>
      <c r="H119">
        <v>0</v>
      </c>
      <c r="I119">
        <v>634</v>
      </c>
      <c r="J119">
        <v>709</v>
      </c>
      <c r="K119">
        <v>746</v>
      </c>
      <c r="L119">
        <v>924</v>
      </c>
      <c r="M119">
        <v>922</v>
      </c>
      <c r="N119">
        <v>0</v>
      </c>
      <c r="O119">
        <v>1410</v>
      </c>
      <c r="P119">
        <v>2852</v>
      </c>
      <c r="Q119">
        <v>3242</v>
      </c>
      <c r="R119">
        <v>0</v>
      </c>
      <c r="S119">
        <v>0</v>
      </c>
      <c r="T119">
        <v>6235</v>
      </c>
      <c r="U119">
        <v>7014</v>
      </c>
      <c r="V119">
        <v>8469</v>
      </c>
      <c r="W119">
        <v>2053</v>
      </c>
      <c r="X119">
        <v>2590</v>
      </c>
      <c r="Y119">
        <v>2542</v>
      </c>
      <c r="Z119">
        <v>2691</v>
      </c>
      <c r="AA119">
        <v>2984</v>
      </c>
      <c r="AB119">
        <v>4347</v>
      </c>
      <c r="AC119">
        <v>3591</v>
      </c>
      <c r="AD119">
        <v>3992</v>
      </c>
      <c r="AE119">
        <v>4091</v>
      </c>
      <c r="AF119">
        <v>6431</v>
      </c>
      <c r="AG119">
        <v>6993</v>
      </c>
      <c r="AH119">
        <v>5822</v>
      </c>
      <c r="AI119">
        <v>5953</v>
      </c>
      <c r="AJ119">
        <v>7274</v>
      </c>
    </row>
    <row r="120" spans="2:36">
      <c r="B120" t="s">
        <v>127</v>
      </c>
      <c r="C120">
        <v>0</v>
      </c>
      <c r="D120">
        <v>0</v>
      </c>
      <c r="E120">
        <v>0</v>
      </c>
      <c r="F120">
        <v>0</v>
      </c>
      <c r="G120">
        <v>0</v>
      </c>
      <c r="H120">
        <v>0</v>
      </c>
      <c r="I120">
        <v>0</v>
      </c>
      <c r="J120">
        <v>0</v>
      </c>
      <c r="K120">
        <v>0</v>
      </c>
      <c r="L120">
        <v>0</v>
      </c>
      <c r="M120">
        <v>0</v>
      </c>
      <c r="N120">
        <v>0</v>
      </c>
      <c r="O120">
        <v>0</v>
      </c>
      <c r="P120">
        <v>0</v>
      </c>
      <c r="Q120">
        <v>0</v>
      </c>
      <c r="R120">
        <v>0</v>
      </c>
      <c r="S120">
        <v>0</v>
      </c>
      <c r="T120">
        <v>100</v>
      </c>
      <c r="U120">
        <v>100</v>
      </c>
      <c r="V120">
        <v>0</v>
      </c>
      <c r="W120">
        <v>0</v>
      </c>
      <c r="X120">
        <v>0</v>
      </c>
      <c r="Y120">
        <v>0</v>
      </c>
      <c r="Z120">
        <v>0</v>
      </c>
      <c r="AA120">
        <v>0</v>
      </c>
      <c r="AB120">
        <v>0</v>
      </c>
      <c r="AC120">
        <v>0</v>
      </c>
      <c r="AD120">
        <v>0</v>
      </c>
      <c r="AE120">
        <v>0</v>
      </c>
      <c r="AF120">
        <v>0</v>
      </c>
      <c r="AG120">
        <v>0</v>
      </c>
      <c r="AH120">
        <v>0</v>
      </c>
      <c r="AI120">
        <v>0</v>
      </c>
      <c r="AJ120">
        <v>0</v>
      </c>
    </row>
    <row r="121" spans="2:36">
      <c r="B121" t="s">
        <v>128</v>
      </c>
      <c r="C121">
        <v>0</v>
      </c>
      <c r="D121">
        <v>0</v>
      </c>
      <c r="E121">
        <v>0</v>
      </c>
      <c r="F121">
        <v>0</v>
      </c>
      <c r="G121">
        <v>628</v>
      </c>
      <c r="H121">
        <v>0</v>
      </c>
      <c r="I121">
        <v>1066</v>
      </c>
      <c r="J121">
        <v>1136</v>
      </c>
      <c r="K121">
        <v>1144</v>
      </c>
      <c r="L121">
        <v>1365</v>
      </c>
      <c r="M121">
        <v>627</v>
      </c>
      <c r="N121">
        <v>666</v>
      </c>
      <c r="O121">
        <v>1659</v>
      </c>
      <c r="P121">
        <v>1478</v>
      </c>
      <c r="Q121">
        <v>1321</v>
      </c>
      <c r="R121">
        <v>0</v>
      </c>
      <c r="S121">
        <v>0</v>
      </c>
      <c r="T121">
        <v>0</v>
      </c>
      <c r="U121">
        <v>0</v>
      </c>
      <c r="V121">
        <v>0</v>
      </c>
      <c r="W121">
        <v>430</v>
      </c>
      <c r="X121">
        <v>258</v>
      </c>
      <c r="Y121">
        <v>255</v>
      </c>
      <c r="Z121">
        <v>56</v>
      </c>
      <c r="AA121">
        <v>4130</v>
      </c>
      <c r="AB121">
        <v>152</v>
      </c>
      <c r="AC121">
        <v>931</v>
      </c>
      <c r="AD121">
        <v>1130</v>
      </c>
      <c r="AE121">
        <v>1140</v>
      </c>
      <c r="AF121">
        <v>2520</v>
      </c>
      <c r="AG121">
        <v>1299</v>
      </c>
      <c r="AH121">
        <v>1598</v>
      </c>
      <c r="AI121">
        <v>1535</v>
      </c>
      <c r="AJ121">
        <v>1993</v>
      </c>
    </row>
    <row r="122" spans="2:36">
      <c r="B122" t="s">
        <v>129</v>
      </c>
      <c r="C122">
        <v>2680</v>
      </c>
      <c r="D122">
        <v>3224</v>
      </c>
      <c r="E122">
        <v>3352</v>
      </c>
      <c r="F122">
        <v>3123</v>
      </c>
      <c r="G122">
        <v>3484</v>
      </c>
      <c r="H122">
        <v>5060</v>
      </c>
      <c r="I122">
        <v>4456</v>
      </c>
      <c r="J122">
        <v>5023</v>
      </c>
      <c r="K122">
        <v>6471</v>
      </c>
      <c r="L122">
        <v>7337</v>
      </c>
      <c r="M122">
        <v>5485</v>
      </c>
      <c r="N122">
        <v>6992</v>
      </c>
      <c r="O122">
        <v>9299</v>
      </c>
      <c r="P122">
        <v>10535</v>
      </c>
      <c r="Q122">
        <v>9634</v>
      </c>
      <c r="R122">
        <v>9218</v>
      </c>
      <c r="S122">
        <v>14092</v>
      </c>
      <c r="T122">
        <v>14757</v>
      </c>
      <c r="U122">
        <v>13751</v>
      </c>
      <c r="V122">
        <v>16661</v>
      </c>
      <c r="W122">
        <v>11506</v>
      </c>
      <c r="X122">
        <v>13097</v>
      </c>
      <c r="Y122">
        <v>12229</v>
      </c>
      <c r="Z122">
        <v>15612</v>
      </c>
      <c r="AA122">
        <v>20722</v>
      </c>
      <c r="AB122">
        <v>23795</v>
      </c>
      <c r="AC122">
        <v>24327</v>
      </c>
      <c r="AD122">
        <v>26859</v>
      </c>
      <c r="AE122">
        <v>27970</v>
      </c>
      <c r="AF122">
        <v>34607</v>
      </c>
      <c r="AG122">
        <v>32036</v>
      </c>
      <c r="AH122">
        <v>33060</v>
      </c>
      <c r="AI122">
        <v>38542</v>
      </c>
      <c r="AJ122">
        <v>46879</v>
      </c>
    </row>
    <row r="123" spans="2:36">
      <c r="B123" t="s">
        <v>130</v>
      </c>
      <c r="C123">
        <v>0</v>
      </c>
      <c r="D123">
        <v>0</v>
      </c>
      <c r="E123">
        <v>0</v>
      </c>
      <c r="F123">
        <v>0</v>
      </c>
      <c r="G123">
        <v>0</v>
      </c>
      <c r="H123">
        <v>0</v>
      </c>
      <c r="I123">
        <v>0</v>
      </c>
      <c r="J123">
        <v>0</v>
      </c>
      <c r="K123">
        <v>0</v>
      </c>
      <c r="L123">
        <v>0</v>
      </c>
      <c r="M123">
        <v>0</v>
      </c>
      <c r="N123">
        <v>0</v>
      </c>
      <c r="O123">
        <v>0</v>
      </c>
      <c r="P123">
        <v>0</v>
      </c>
      <c r="Q123">
        <v>0</v>
      </c>
      <c r="R123">
        <v>0</v>
      </c>
      <c r="S123">
        <v>0</v>
      </c>
      <c r="T123">
        <v>0</v>
      </c>
      <c r="U123">
        <v>0</v>
      </c>
      <c r="V123">
        <v>0</v>
      </c>
      <c r="W123">
        <v>0</v>
      </c>
      <c r="X123">
        <v>0</v>
      </c>
      <c r="Y123">
        <v>0</v>
      </c>
      <c r="Z123">
        <v>0</v>
      </c>
      <c r="AA123">
        <v>0</v>
      </c>
      <c r="AB123">
        <v>0</v>
      </c>
      <c r="AC123">
        <v>0</v>
      </c>
      <c r="AD123">
        <v>0</v>
      </c>
      <c r="AE123">
        <v>0</v>
      </c>
      <c r="AF123">
        <v>0</v>
      </c>
      <c r="AG123">
        <v>0</v>
      </c>
      <c r="AH123">
        <v>0</v>
      </c>
      <c r="AI123">
        <v>0</v>
      </c>
      <c r="AJ123">
        <v>0</v>
      </c>
    </row>
    <row r="124" spans="2:36">
      <c r="B124" t="s">
        <v>131</v>
      </c>
      <c r="C124">
        <v>0</v>
      </c>
      <c r="D124">
        <v>0</v>
      </c>
      <c r="E124">
        <v>0</v>
      </c>
      <c r="F124">
        <v>0</v>
      </c>
      <c r="G124">
        <v>0</v>
      </c>
      <c r="H124">
        <v>0</v>
      </c>
      <c r="I124">
        <v>0</v>
      </c>
      <c r="J124">
        <v>0</v>
      </c>
      <c r="K124">
        <v>0</v>
      </c>
      <c r="L124">
        <v>0</v>
      </c>
      <c r="M124">
        <v>0</v>
      </c>
      <c r="N124">
        <v>0</v>
      </c>
      <c r="O124">
        <v>0</v>
      </c>
      <c r="P124">
        <v>0</v>
      </c>
      <c r="Q124">
        <v>0</v>
      </c>
      <c r="R124">
        <v>0</v>
      </c>
      <c r="S124">
        <v>0</v>
      </c>
      <c r="T124">
        <v>0</v>
      </c>
      <c r="U124">
        <v>0</v>
      </c>
      <c r="V124">
        <v>0</v>
      </c>
      <c r="W124">
        <v>0</v>
      </c>
      <c r="X124">
        <v>0</v>
      </c>
      <c r="Y124">
        <v>0</v>
      </c>
      <c r="Z124">
        <v>0</v>
      </c>
      <c r="AA124">
        <v>0</v>
      </c>
      <c r="AB124">
        <v>0</v>
      </c>
      <c r="AC124">
        <v>0</v>
      </c>
      <c r="AD124">
        <v>0</v>
      </c>
      <c r="AE124">
        <v>0</v>
      </c>
      <c r="AF124">
        <v>0</v>
      </c>
      <c r="AG124">
        <v>0</v>
      </c>
      <c r="AH124">
        <v>0</v>
      </c>
      <c r="AI124">
        <v>0</v>
      </c>
      <c r="AJ124">
        <v>0</v>
      </c>
    </row>
    <row r="125" spans="2:36">
      <c r="B125" t="s">
        <v>132</v>
      </c>
      <c r="C125">
        <v>294</v>
      </c>
      <c r="D125">
        <v>348</v>
      </c>
      <c r="E125">
        <v>373</v>
      </c>
      <c r="F125">
        <v>544</v>
      </c>
      <c r="G125">
        <v>601</v>
      </c>
      <c r="H125">
        <v>741</v>
      </c>
      <c r="I125">
        <v>460</v>
      </c>
      <c r="J125">
        <v>423</v>
      </c>
      <c r="K125">
        <v>381</v>
      </c>
      <c r="L125">
        <v>504</v>
      </c>
      <c r="M125">
        <v>535</v>
      </c>
      <c r="N125">
        <v>673</v>
      </c>
      <c r="O125">
        <v>619</v>
      </c>
      <c r="P125">
        <v>780</v>
      </c>
      <c r="Q125">
        <v>675</v>
      </c>
      <c r="R125">
        <v>0</v>
      </c>
      <c r="S125">
        <v>675</v>
      </c>
      <c r="T125">
        <v>865</v>
      </c>
      <c r="U125">
        <v>863</v>
      </c>
      <c r="V125">
        <v>970</v>
      </c>
      <c r="W125">
        <v>2216</v>
      </c>
      <c r="X125">
        <v>2769</v>
      </c>
      <c r="Y125">
        <v>3241</v>
      </c>
      <c r="Z125">
        <v>3828</v>
      </c>
      <c r="AA125">
        <v>4300</v>
      </c>
      <c r="AB125">
        <v>0</v>
      </c>
      <c r="AC125">
        <v>0</v>
      </c>
      <c r="AD125">
        <v>0</v>
      </c>
      <c r="AE125">
        <v>0</v>
      </c>
      <c r="AF125">
        <v>0</v>
      </c>
      <c r="AG125">
        <v>0</v>
      </c>
      <c r="AH125">
        <v>0</v>
      </c>
      <c r="AI125">
        <v>0</v>
      </c>
      <c r="AJ125">
        <v>0</v>
      </c>
    </row>
    <row r="126" spans="2:36">
      <c r="B126" t="s">
        <v>133</v>
      </c>
      <c r="C126">
        <v>0</v>
      </c>
      <c r="D126">
        <v>0</v>
      </c>
      <c r="E126">
        <v>0</v>
      </c>
      <c r="F126">
        <v>0</v>
      </c>
      <c r="G126">
        <v>0</v>
      </c>
      <c r="H126">
        <v>0</v>
      </c>
      <c r="I126">
        <v>313</v>
      </c>
      <c r="J126">
        <v>338</v>
      </c>
      <c r="K126">
        <v>369</v>
      </c>
      <c r="L126">
        <v>392</v>
      </c>
      <c r="M126">
        <v>430</v>
      </c>
      <c r="N126">
        <v>578</v>
      </c>
      <c r="O126">
        <v>897</v>
      </c>
      <c r="P126">
        <v>1920</v>
      </c>
      <c r="Q126">
        <v>2109</v>
      </c>
      <c r="R126">
        <v>2869</v>
      </c>
      <c r="S126">
        <v>3775</v>
      </c>
      <c r="T126">
        <v>4256</v>
      </c>
      <c r="U126">
        <v>4312</v>
      </c>
      <c r="V126">
        <v>4621</v>
      </c>
      <c r="W126">
        <v>2139</v>
      </c>
      <c r="X126">
        <v>2292</v>
      </c>
      <c r="Y126">
        <v>2239</v>
      </c>
      <c r="Z126">
        <v>2174</v>
      </c>
      <c r="AA126">
        <v>2370</v>
      </c>
      <c r="AB126">
        <v>8281</v>
      </c>
      <c r="AC126">
        <v>9100</v>
      </c>
      <c r="AD126">
        <v>10556</v>
      </c>
      <c r="AE126">
        <v>11786</v>
      </c>
      <c r="AF126">
        <v>14020</v>
      </c>
      <c r="AG126">
        <v>16400</v>
      </c>
      <c r="AH126">
        <v>18090</v>
      </c>
      <c r="AI126">
        <v>19312</v>
      </c>
      <c r="AJ126">
        <v>21863</v>
      </c>
    </row>
    <row r="127" spans="2:36">
      <c r="B127" t="s">
        <v>134</v>
      </c>
      <c r="C127">
        <v>0</v>
      </c>
      <c r="D127">
        <v>0</v>
      </c>
      <c r="E127">
        <v>0</v>
      </c>
      <c r="F127">
        <v>0</v>
      </c>
      <c r="G127">
        <v>0</v>
      </c>
      <c r="H127">
        <v>0</v>
      </c>
      <c r="I127">
        <v>0</v>
      </c>
      <c r="J127">
        <v>0</v>
      </c>
      <c r="K127">
        <v>0</v>
      </c>
      <c r="L127">
        <v>0</v>
      </c>
      <c r="M127">
        <v>0</v>
      </c>
      <c r="N127">
        <v>0</v>
      </c>
      <c r="O127">
        <v>0</v>
      </c>
      <c r="P127">
        <v>0</v>
      </c>
      <c r="Q127">
        <v>0</v>
      </c>
      <c r="R127">
        <v>0</v>
      </c>
      <c r="S127">
        <v>0</v>
      </c>
      <c r="T127">
        <v>0</v>
      </c>
      <c r="U127">
        <v>0</v>
      </c>
      <c r="V127">
        <v>0</v>
      </c>
      <c r="W127">
        <v>0</v>
      </c>
      <c r="X127">
        <v>0</v>
      </c>
      <c r="Y127">
        <v>0</v>
      </c>
      <c r="Z127">
        <v>0</v>
      </c>
      <c r="AA127">
        <v>0</v>
      </c>
      <c r="AB127">
        <v>0</v>
      </c>
      <c r="AC127">
        <v>0</v>
      </c>
      <c r="AD127">
        <v>0</v>
      </c>
      <c r="AE127">
        <v>0</v>
      </c>
      <c r="AF127">
        <v>0</v>
      </c>
      <c r="AG127">
        <v>0</v>
      </c>
      <c r="AH127">
        <v>0</v>
      </c>
      <c r="AI127">
        <v>0</v>
      </c>
      <c r="AJ127">
        <v>0</v>
      </c>
    </row>
    <row r="128" spans="2:36">
      <c r="B128" t="s">
        <v>135</v>
      </c>
      <c r="C128">
        <v>0</v>
      </c>
      <c r="D128">
        <v>0</v>
      </c>
      <c r="E128">
        <v>0</v>
      </c>
      <c r="F128">
        <v>0</v>
      </c>
      <c r="G128">
        <v>0</v>
      </c>
      <c r="H128">
        <v>0</v>
      </c>
      <c r="I128">
        <v>0</v>
      </c>
      <c r="J128">
        <v>0</v>
      </c>
      <c r="K128">
        <v>0</v>
      </c>
      <c r="L128">
        <v>0</v>
      </c>
      <c r="M128">
        <v>0</v>
      </c>
      <c r="N128">
        <v>0</v>
      </c>
      <c r="O128">
        <v>0</v>
      </c>
      <c r="P128">
        <v>0</v>
      </c>
      <c r="Q128">
        <v>0</v>
      </c>
      <c r="R128">
        <v>0</v>
      </c>
      <c r="S128">
        <v>0</v>
      </c>
      <c r="T128">
        <v>0</v>
      </c>
      <c r="U128">
        <v>0</v>
      </c>
      <c r="V128">
        <v>0</v>
      </c>
      <c r="W128">
        <v>0</v>
      </c>
      <c r="X128">
        <v>0</v>
      </c>
      <c r="Y128">
        <v>0</v>
      </c>
      <c r="Z128">
        <v>0</v>
      </c>
      <c r="AA128">
        <v>0</v>
      </c>
      <c r="AB128">
        <v>0</v>
      </c>
      <c r="AC128">
        <v>0</v>
      </c>
      <c r="AD128">
        <v>0</v>
      </c>
      <c r="AE128">
        <v>0</v>
      </c>
      <c r="AF128">
        <v>0</v>
      </c>
      <c r="AG128">
        <v>0</v>
      </c>
      <c r="AH128">
        <v>0</v>
      </c>
      <c r="AI128">
        <v>0</v>
      </c>
      <c r="AJ128">
        <v>0</v>
      </c>
    </row>
    <row r="129" spans="2:36">
      <c r="B129" t="s">
        <v>136</v>
      </c>
      <c r="C129">
        <v>0</v>
      </c>
      <c r="D129">
        <v>0</v>
      </c>
      <c r="E129">
        <v>0</v>
      </c>
      <c r="F129">
        <v>0</v>
      </c>
      <c r="G129">
        <v>0</v>
      </c>
      <c r="H129">
        <v>0</v>
      </c>
      <c r="I129">
        <v>0</v>
      </c>
      <c r="J129">
        <v>0</v>
      </c>
      <c r="K129">
        <v>0</v>
      </c>
      <c r="L129">
        <v>0</v>
      </c>
      <c r="M129">
        <v>0</v>
      </c>
      <c r="N129">
        <v>0</v>
      </c>
      <c r="O129">
        <v>0</v>
      </c>
      <c r="P129">
        <v>0</v>
      </c>
      <c r="Q129">
        <v>0</v>
      </c>
      <c r="R129">
        <v>0</v>
      </c>
      <c r="S129">
        <v>0</v>
      </c>
      <c r="T129">
        <v>0</v>
      </c>
      <c r="U129">
        <v>0</v>
      </c>
      <c r="V129">
        <v>0</v>
      </c>
      <c r="W129">
        <v>0</v>
      </c>
      <c r="X129">
        <v>0</v>
      </c>
      <c r="Y129">
        <v>0</v>
      </c>
      <c r="Z129">
        <v>0</v>
      </c>
      <c r="AA129">
        <v>0</v>
      </c>
      <c r="AB129">
        <v>0</v>
      </c>
      <c r="AC129">
        <v>0</v>
      </c>
      <c r="AD129">
        <v>0</v>
      </c>
      <c r="AE129">
        <v>0</v>
      </c>
      <c r="AF129">
        <v>0</v>
      </c>
      <c r="AG129">
        <v>0</v>
      </c>
      <c r="AH129">
        <v>0</v>
      </c>
      <c r="AI129">
        <v>0</v>
      </c>
      <c r="AJ129">
        <v>0</v>
      </c>
    </row>
    <row r="130" spans="2:36">
      <c r="B130" t="s">
        <v>137</v>
      </c>
      <c r="C130">
        <v>294</v>
      </c>
      <c r="D130">
        <v>348</v>
      </c>
      <c r="E130">
        <v>373</v>
      </c>
      <c r="F130">
        <v>544</v>
      </c>
      <c r="G130">
        <v>601</v>
      </c>
      <c r="H130">
        <v>741</v>
      </c>
      <c r="I130">
        <v>773</v>
      </c>
      <c r="J130">
        <v>761</v>
      </c>
      <c r="K130">
        <v>750</v>
      </c>
      <c r="L130">
        <v>896</v>
      </c>
      <c r="M130">
        <v>965</v>
      </c>
      <c r="N130">
        <v>1251</v>
      </c>
      <c r="O130">
        <v>1516</v>
      </c>
      <c r="P130">
        <v>2700</v>
      </c>
      <c r="Q130">
        <v>2784</v>
      </c>
      <c r="R130">
        <v>2869</v>
      </c>
      <c r="S130">
        <v>4450</v>
      </c>
      <c r="T130">
        <v>5121</v>
      </c>
      <c r="U130">
        <v>5175</v>
      </c>
      <c r="V130">
        <v>5591</v>
      </c>
      <c r="W130">
        <v>4355</v>
      </c>
      <c r="X130">
        <v>5061</v>
      </c>
      <c r="Y130">
        <v>5480</v>
      </c>
      <c r="Z130">
        <v>6002</v>
      </c>
      <c r="AA130">
        <v>6670</v>
      </c>
      <c r="AB130">
        <v>8281</v>
      </c>
      <c r="AC130">
        <v>9100</v>
      </c>
      <c r="AD130">
        <v>10556</v>
      </c>
      <c r="AE130">
        <v>11786</v>
      </c>
      <c r="AF130">
        <v>14020</v>
      </c>
      <c r="AG130">
        <v>16400</v>
      </c>
      <c r="AH130">
        <v>18090</v>
      </c>
      <c r="AI130">
        <v>19312</v>
      </c>
      <c r="AJ130">
        <v>21863</v>
      </c>
    </row>
    <row r="131" spans="2:36">
      <c r="B131" t="s">
        <v>138</v>
      </c>
      <c r="C131">
        <v>2974</v>
      </c>
      <c r="D131">
        <v>3572</v>
      </c>
      <c r="E131">
        <v>3725</v>
      </c>
      <c r="F131">
        <v>3667</v>
      </c>
      <c r="G131">
        <v>4085</v>
      </c>
      <c r="H131">
        <v>5801</v>
      </c>
      <c r="I131">
        <v>5229</v>
      </c>
      <c r="J131">
        <v>5784</v>
      </c>
      <c r="K131">
        <v>7221</v>
      </c>
      <c r="L131">
        <v>8233</v>
      </c>
      <c r="M131">
        <v>6450</v>
      </c>
      <c r="N131">
        <v>8243</v>
      </c>
      <c r="O131">
        <v>10815</v>
      </c>
      <c r="P131">
        <v>13235</v>
      </c>
      <c r="Q131">
        <v>12418</v>
      </c>
      <c r="R131">
        <v>12087</v>
      </c>
      <c r="S131">
        <v>18542</v>
      </c>
      <c r="T131">
        <v>19878</v>
      </c>
      <c r="U131">
        <v>18926</v>
      </c>
      <c r="V131">
        <v>22252</v>
      </c>
      <c r="W131">
        <v>15861</v>
      </c>
      <c r="X131">
        <v>18158</v>
      </c>
      <c r="Y131">
        <v>17709</v>
      </c>
      <c r="Z131">
        <v>21614</v>
      </c>
      <c r="AA131">
        <v>27392</v>
      </c>
      <c r="AB131">
        <v>32076</v>
      </c>
      <c r="AC131">
        <v>33427</v>
      </c>
      <c r="AD131">
        <v>37415</v>
      </c>
      <c r="AE131">
        <v>39756</v>
      </c>
      <c r="AF131">
        <v>48627</v>
      </c>
      <c r="AG131">
        <v>48436</v>
      </c>
      <c r="AH131">
        <v>51150</v>
      </c>
      <c r="AI131">
        <v>57854</v>
      </c>
      <c r="AJ131">
        <v>68742</v>
      </c>
    </row>
    <row r="132" spans="2:36">
      <c r="B132" t="s">
        <v>139</v>
      </c>
      <c r="C132">
        <v>0</v>
      </c>
      <c r="D132">
        <v>0</v>
      </c>
      <c r="E132">
        <v>0</v>
      </c>
      <c r="F132">
        <v>0</v>
      </c>
      <c r="G132">
        <v>0</v>
      </c>
      <c r="H132">
        <v>0</v>
      </c>
      <c r="I132">
        <v>0</v>
      </c>
      <c r="J132">
        <v>0</v>
      </c>
      <c r="K132">
        <v>0</v>
      </c>
      <c r="L132">
        <v>0</v>
      </c>
      <c r="M132">
        <v>0</v>
      </c>
      <c r="N132">
        <v>0</v>
      </c>
      <c r="O132">
        <v>0</v>
      </c>
      <c r="P132">
        <v>0</v>
      </c>
      <c r="Q132">
        <v>0</v>
      </c>
      <c r="R132">
        <v>0</v>
      </c>
      <c r="S132">
        <v>0</v>
      </c>
      <c r="T132">
        <v>0</v>
      </c>
      <c r="U132">
        <v>0</v>
      </c>
      <c r="V132">
        <v>0</v>
      </c>
      <c r="W132">
        <v>0</v>
      </c>
      <c r="X132">
        <v>0</v>
      </c>
      <c r="Y132">
        <v>0</v>
      </c>
      <c r="Z132">
        <v>0</v>
      </c>
      <c r="AA132">
        <v>0</v>
      </c>
      <c r="AB132">
        <v>0</v>
      </c>
      <c r="AC132">
        <v>0</v>
      </c>
      <c r="AD132">
        <v>0</v>
      </c>
      <c r="AE132">
        <v>0</v>
      </c>
      <c r="AF132">
        <v>0</v>
      </c>
      <c r="AG132">
        <v>0</v>
      </c>
      <c r="AH132">
        <v>0</v>
      </c>
      <c r="AI132">
        <v>0</v>
      </c>
      <c r="AJ132">
        <v>0</v>
      </c>
    </row>
    <row r="133" spans="2:36">
      <c r="B133" t="s">
        <v>140</v>
      </c>
      <c r="C133">
        <v>5076</v>
      </c>
      <c r="D133">
        <v>5790</v>
      </c>
      <c r="E133">
        <v>6386</v>
      </c>
      <c r="F133">
        <v>6821</v>
      </c>
      <c r="G133">
        <v>7466</v>
      </c>
      <c r="H133">
        <v>8380</v>
      </c>
      <c r="I133">
        <v>8682</v>
      </c>
      <c r="J133">
        <v>9330</v>
      </c>
      <c r="K133">
        <v>9984</v>
      </c>
      <c r="L133">
        <v>11228</v>
      </c>
      <c r="M133">
        <v>12261</v>
      </c>
      <c r="N133">
        <v>13404</v>
      </c>
      <c r="O133">
        <v>14532</v>
      </c>
      <c r="P133">
        <v>16804</v>
      </c>
      <c r="Q133">
        <v>18053</v>
      </c>
      <c r="R133">
        <v>19622</v>
      </c>
      <c r="S133">
        <v>21030</v>
      </c>
      <c r="T133">
        <v>22909</v>
      </c>
      <c r="U133">
        <v>24311</v>
      </c>
      <c r="V133">
        <v>25888</v>
      </c>
      <c r="W133">
        <v>31640</v>
      </c>
      <c r="X133">
        <v>35768</v>
      </c>
      <c r="Y133">
        <v>39348</v>
      </c>
      <c r="Z133">
        <v>43111</v>
      </c>
      <c r="AA133">
        <v>47791</v>
      </c>
      <c r="AB133">
        <v>54666</v>
      </c>
      <c r="AC133">
        <v>61477</v>
      </c>
      <c r="AD133">
        <v>69343</v>
      </c>
      <c r="AE133">
        <v>76615</v>
      </c>
      <c r="AF133">
        <v>90054</v>
      </c>
      <c r="AG133">
        <v>102498</v>
      </c>
      <c r="AH133">
        <v>111746</v>
      </c>
      <c r="AI133">
        <v>118210</v>
      </c>
      <c r="AJ133">
        <v>127346</v>
      </c>
    </row>
    <row r="134" spans="2:36">
      <c r="B134" t="s">
        <v>141</v>
      </c>
      <c r="C134">
        <v>2514</v>
      </c>
      <c r="D134">
        <v>2911</v>
      </c>
      <c r="E134">
        <v>3195</v>
      </c>
      <c r="F134">
        <v>3299</v>
      </c>
      <c r="G134">
        <v>3521</v>
      </c>
      <c r="H134">
        <v>3815</v>
      </c>
      <c r="I134">
        <v>4014</v>
      </c>
      <c r="J134">
        <v>4249</v>
      </c>
      <c r="K134">
        <v>4355</v>
      </c>
      <c r="L134">
        <v>0</v>
      </c>
      <c r="M134">
        <v>0</v>
      </c>
      <c r="N134">
        <v>0</v>
      </c>
      <c r="O134">
        <v>5368</v>
      </c>
      <c r="P134">
        <v>0</v>
      </c>
      <c r="Q134">
        <v>0</v>
      </c>
      <c r="R134">
        <v>6831</v>
      </c>
      <c r="S134">
        <v>7177</v>
      </c>
      <c r="T134">
        <v>0</v>
      </c>
      <c r="U134">
        <v>0</v>
      </c>
      <c r="V134">
        <v>0</v>
      </c>
      <c r="W134">
        <v>0</v>
      </c>
      <c r="X134">
        <v>0</v>
      </c>
      <c r="Y134">
        <v>0</v>
      </c>
      <c r="Z134">
        <v>0</v>
      </c>
      <c r="AA134">
        <v>0</v>
      </c>
      <c r="AB134">
        <v>0</v>
      </c>
      <c r="AC134">
        <v>0</v>
      </c>
      <c r="AD134">
        <v>0</v>
      </c>
      <c r="AE134">
        <v>0</v>
      </c>
      <c r="AF134">
        <v>0</v>
      </c>
      <c r="AG134">
        <v>0</v>
      </c>
      <c r="AH134">
        <v>0</v>
      </c>
      <c r="AI134">
        <v>0</v>
      </c>
      <c r="AJ134">
        <v>0</v>
      </c>
    </row>
    <row r="135" spans="2:36">
      <c r="B135" t="s">
        <v>142</v>
      </c>
      <c r="C135">
        <v>0</v>
      </c>
      <c r="D135">
        <v>0</v>
      </c>
      <c r="E135">
        <v>0</v>
      </c>
      <c r="F135">
        <v>0</v>
      </c>
      <c r="G135">
        <v>0</v>
      </c>
      <c r="H135">
        <v>0</v>
      </c>
      <c r="I135">
        <v>0</v>
      </c>
      <c r="J135">
        <v>0</v>
      </c>
      <c r="K135">
        <v>0</v>
      </c>
      <c r="L135">
        <v>4594</v>
      </c>
      <c r="M135">
        <v>4848</v>
      </c>
      <c r="N135">
        <v>5149</v>
      </c>
      <c r="O135">
        <v>0</v>
      </c>
      <c r="P135">
        <v>6046</v>
      </c>
      <c r="Q135">
        <v>6342</v>
      </c>
      <c r="R135">
        <v>0</v>
      </c>
      <c r="S135">
        <v>0</v>
      </c>
      <c r="T135">
        <v>7392</v>
      </c>
      <c r="U135">
        <v>7643</v>
      </c>
      <c r="V135">
        <v>7957</v>
      </c>
      <c r="W135">
        <v>8210</v>
      </c>
      <c r="X135">
        <v>8962</v>
      </c>
      <c r="Y135">
        <v>9553</v>
      </c>
      <c r="Z135">
        <v>10133</v>
      </c>
      <c r="AA135">
        <v>10668</v>
      </c>
      <c r="AB135">
        <v>11502</v>
      </c>
      <c r="AC135">
        <v>12326</v>
      </c>
      <c r="AD135">
        <v>12715</v>
      </c>
      <c r="AE135">
        <v>13331</v>
      </c>
      <c r="AF135">
        <v>13961</v>
      </c>
      <c r="AG135">
        <v>14850</v>
      </c>
      <c r="AH135">
        <v>15573</v>
      </c>
      <c r="AI135">
        <v>16422</v>
      </c>
      <c r="AJ135">
        <v>17167</v>
      </c>
    </row>
    <row r="136" spans="2:36">
      <c r="B136" t="s">
        <v>143</v>
      </c>
      <c r="C136">
        <v>0</v>
      </c>
      <c r="D136">
        <v>0</v>
      </c>
      <c r="E136">
        <v>0</v>
      </c>
      <c r="F136">
        <v>0</v>
      </c>
      <c r="G136">
        <v>0</v>
      </c>
      <c r="H136">
        <v>0</v>
      </c>
      <c r="I136">
        <v>0</v>
      </c>
      <c r="J136">
        <v>0</v>
      </c>
      <c r="K136">
        <v>0</v>
      </c>
      <c r="L136">
        <v>27</v>
      </c>
      <c r="M136">
        <v>32</v>
      </c>
      <c r="N136">
        <v>54</v>
      </c>
      <c r="O136">
        <v>70</v>
      </c>
      <c r="P136">
        <v>77</v>
      </c>
      <c r="Q136">
        <v>105</v>
      </c>
      <c r="R136">
        <v>0</v>
      </c>
      <c r="S136">
        <v>0</v>
      </c>
      <c r="T136">
        <v>0</v>
      </c>
      <c r="U136">
        <v>0</v>
      </c>
      <c r="V136">
        <v>0</v>
      </c>
      <c r="W136">
        <v>0</v>
      </c>
      <c r="X136">
        <v>0</v>
      </c>
      <c r="Y136">
        <v>0</v>
      </c>
      <c r="Z136">
        <v>0</v>
      </c>
      <c r="AA136">
        <v>0</v>
      </c>
      <c r="AB136">
        <v>0</v>
      </c>
      <c r="AC136">
        <v>0</v>
      </c>
      <c r="AD136">
        <v>0</v>
      </c>
      <c r="AE136">
        <v>0</v>
      </c>
      <c r="AF136">
        <v>0</v>
      </c>
      <c r="AG136">
        <v>0</v>
      </c>
      <c r="AH136">
        <v>0</v>
      </c>
      <c r="AI136">
        <v>0</v>
      </c>
      <c r="AJ136">
        <v>0</v>
      </c>
    </row>
    <row r="137" spans="2:36">
      <c r="B137" t="s">
        <v>144</v>
      </c>
      <c r="C137">
        <v>2670</v>
      </c>
      <c r="D137">
        <v>2965</v>
      </c>
      <c r="E137">
        <v>3255</v>
      </c>
      <c r="F137">
        <v>3575</v>
      </c>
      <c r="G137">
        <v>4005</v>
      </c>
      <c r="H137">
        <v>4570</v>
      </c>
      <c r="I137">
        <v>4673</v>
      </c>
      <c r="J137">
        <v>5065</v>
      </c>
      <c r="K137">
        <v>5607</v>
      </c>
      <c r="L137">
        <v>6611</v>
      </c>
      <c r="M137">
        <v>7381</v>
      </c>
      <c r="N137">
        <v>8199</v>
      </c>
      <c r="O137">
        <v>9101</v>
      </c>
      <c r="P137">
        <v>10684</v>
      </c>
      <c r="Q137">
        <v>11642</v>
      </c>
      <c r="R137">
        <v>12714</v>
      </c>
      <c r="S137">
        <v>13845</v>
      </c>
      <c r="T137">
        <v>15448</v>
      </c>
      <c r="U137">
        <v>16653</v>
      </c>
      <c r="V137">
        <v>17878</v>
      </c>
      <c r="W137">
        <v>23353</v>
      </c>
      <c r="X137">
        <v>26695</v>
      </c>
      <c r="Y137">
        <v>29670</v>
      </c>
      <c r="Z137">
        <v>32870</v>
      </c>
      <c r="AA137">
        <v>37169</v>
      </c>
      <c r="AB137">
        <v>43050</v>
      </c>
      <c r="AC137">
        <v>49025</v>
      </c>
      <c r="AD137">
        <v>56239</v>
      </c>
      <c r="AE137">
        <v>62841</v>
      </c>
      <c r="AF137">
        <v>75709</v>
      </c>
      <c r="AG137">
        <v>87124</v>
      </c>
      <c r="AH137">
        <v>95641</v>
      </c>
      <c r="AI137">
        <v>101289</v>
      </c>
      <c r="AJ137">
        <v>109567</v>
      </c>
    </row>
    <row r="138" spans="2:36">
      <c r="B138" t="s">
        <v>145</v>
      </c>
      <c r="C138">
        <v>0</v>
      </c>
      <c r="D138">
        <v>0</v>
      </c>
      <c r="E138">
        <v>0</v>
      </c>
      <c r="F138">
        <v>0</v>
      </c>
      <c r="G138">
        <v>0</v>
      </c>
      <c r="H138">
        <v>0</v>
      </c>
      <c r="I138">
        <v>0</v>
      </c>
      <c r="J138">
        <v>0</v>
      </c>
      <c r="K138">
        <v>0</v>
      </c>
      <c r="L138">
        <v>0</v>
      </c>
      <c r="M138">
        <v>0</v>
      </c>
      <c r="N138">
        <v>0</v>
      </c>
      <c r="O138">
        <v>0</v>
      </c>
      <c r="P138">
        <v>0</v>
      </c>
      <c r="Q138">
        <v>0</v>
      </c>
      <c r="R138">
        <v>0</v>
      </c>
      <c r="S138">
        <v>0</v>
      </c>
      <c r="T138">
        <v>0</v>
      </c>
      <c r="U138">
        <v>0</v>
      </c>
      <c r="V138">
        <v>0</v>
      </c>
      <c r="W138">
        <v>0</v>
      </c>
      <c r="X138">
        <v>0</v>
      </c>
      <c r="Y138">
        <v>0</v>
      </c>
      <c r="Z138">
        <v>0</v>
      </c>
      <c r="AA138">
        <v>0</v>
      </c>
      <c r="AB138">
        <v>0</v>
      </c>
      <c r="AC138">
        <v>0</v>
      </c>
      <c r="AD138">
        <v>0</v>
      </c>
      <c r="AE138">
        <v>0</v>
      </c>
      <c r="AF138">
        <v>0</v>
      </c>
      <c r="AG138">
        <v>0</v>
      </c>
      <c r="AH138">
        <v>0</v>
      </c>
      <c r="AI138">
        <v>0</v>
      </c>
      <c r="AJ138">
        <v>0</v>
      </c>
    </row>
    <row r="139" spans="2:36">
      <c r="B139" t="s">
        <v>146</v>
      </c>
      <c r="C139">
        <v>-108</v>
      </c>
      <c r="D139">
        <v>-86</v>
      </c>
      <c r="E139">
        <v>-64</v>
      </c>
      <c r="F139">
        <v>-53</v>
      </c>
      <c r="G139">
        <v>-60</v>
      </c>
      <c r="H139">
        <v>-5</v>
      </c>
      <c r="I139">
        <v>-5</v>
      </c>
      <c r="J139">
        <v>16</v>
      </c>
      <c r="K139">
        <v>22</v>
      </c>
      <c r="L139">
        <v>-4</v>
      </c>
      <c r="M139">
        <v>0</v>
      </c>
      <c r="N139">
        <v>2</v>
      </c>
      <c r="O139">
        <v>-7</v>
      </c>
      <c r="P139">
        <v>-3</v>
      </c>
      <c r="Q139">
        <v>-36</v>
      </c>
      <c r="R139">
        <v>77</v>
      </c>
      <c r="S139">
        <v>8</v>
      </c>
      <c r="T139">
        <v>69</v>
      </c>
      <c r="U139">
        <v>15</v>
      </c>
      <c r="V139">
        <v>53</v>
      </c>
      <c r="W139">
        <v>77</v>
      </c>
      <c r="X139">
        <v>111</v>
      </c>
      <c r="Y139">
        <v>125</v>
      </c>
      <c r="Z139">
        <v>108</v>
      </c>
      <c r="AA139">
        <v>-46</v>
      </c>
      <c r="AB139">
        <v>114</v>
      </c>
      <c r="AC139">
        <v>126</v>
      </c>
      <c r="AD139">
        <v>389</v>
      </c>
      <c r="AE139">
        <v>443</v>
      </c>
      <c r="AF139">
        <v>384</v>
      </c>
      <c r="AG139">
        <v>524</v>
      </c>
      <c r="AH139">
        <v>532</v>
      </c>
      <c r="AI139">
        <v>499</v>
      </c>
      <c r="AJ139">
        <v>612</v>
      </c>
    </row>
    <row r="140" spans="2:36">
      <c r="B140" t="s">
        <v>147</v>
      </c>
      <c r="C140">
        <v>5076</v>
      </c>
      <c r="D140">
        <v>5790</v>
      </c>
      <c r="E140">
        <v>6386</v>
      </c>
      <c r="F140">
        <v>6821</v>
      </c>
      <c r="G140">
        <v>7466</v>
      </c>
      <c r="H140">
        <v>8380</v>
      </c>
      <c r="I140">
        <v>8682</v>
      </c>
      <c r="J140">
        <v>9330</v>
      </c>
      <c r="K140">
        <v>9984</v>
      </c>
      <c r="L140">
        <v>11228</v>
      </c>
      <c r="M140">
        <v>12261</v>
      </c>
      <c r="N140">
        <v>13404</v>
      </c>
      <c r="O140">
        <v>14532</v>
      </c>
      <c r="P140">
        <v>16804</v>
      </c>
      <c r="Q140">
        <v>18053</v>
      </c>
      <c r="R140">
        <v>19622</v>
      </c>
      <c r="S140">
        <v>21030</v>
      </c>
      <c r="T140">
        <v>22909</v>
      </c>
      <c r="U140">
        <v>24311</v>
      </c>
      <c r="V140">
        <v>25888</v>
      </c>
      <c r="W140">
        <v>31640</v>
      </c>
      <c r="X140">
        <v>35768</v>
      </c>
      <c r="Y140">
        <v>39348</v>
      </c>
      <c r="Z140">
        <v>43111</v>
      </c>
      <c r="AA140">
        <v>47791</v>
      </c>
      <c r="AB140">
        <v>54666</v>
      </c>
      <c r="AC140">
        <v>61477</v>
      </c>
      <c r="AD140">
        <v>69343</v>
      </c>
      <c r="AE140">
        <v>76615</v>
      </c>
      <c r="AF140">
        <v>90054</v>
      </c>
      <c r="AG140">
        <v>102498</v>
      </c>
      <c r="AH140">
        <v>111746</v>
      </c>
      <c r="AI140">
        <v>118210</v>
      </c>
      <c r="AJ140">
        <v>127346</v>
      </c>
    </row>
    <row r="141" spans="2:36">
      <c r="B141" t="s">
        <v>148</v>
      </c>
      <c r="C141">
        <v>5076</v>
      </c>
      <c r="D141">
        <v>5790</v>
      </c>
      <c r="E141">
        <v>6386</v>
      </c>
      <c r="F141">
        <v>6821</v>
      </c>
      <c r="G141">
        <v>7466</v>
      </c>
      <c r="H141">
        <v>8380</v>
      </c>
      <c r="I141">
        <v>8682</v>
      </c>
      <c r="J141">
        <v>9330</v>
      </c>
      <c r="K141">
        <v>9984</v>
      </c>
      <c r="L141">
        <v>11228</v>
      </c>
      <c r="M141">
        <v>12261</v>
      </c>
      <c r="N141">
        <v>13404</v>
      </c>
      <c r="O141">
        <v>14532</v>
      </c>
      <c r="P141">
        <v>16804</v>
      </c>
      <c r="Q141">
        <v>18053</v>
      </c>
      <c r="R141">
        <v>19622</v>
      </c>
      <c r="S141">
        <v>21030</v>
      </c>
      <c r="T141">
        <v>22909</v>
      </c>
      <c r="U141">
        <v>24311</v>
      </c>
      <c r="V141">
        <v>25888</v>
      </c>
      <c r="W141">
        <v>31640</v>
      </c>
      <c r="X141">
        <v>35768</v>
      </c>
      <c r="Y141">
        <v>39348</v>
      </c>
      <c r="Z141">
        <v>43111</v>
      </c>
      <c r="AA141">
        <v>47791</v>
      </c>
      <c r="AB141">
        <v>54666</v>
      </c>
      <c r="AC141">
        <v>61477</v>
      </c>
      <c r="AD141">
        <v>69343</v>
      </c>
      <c r="AE141">
        <v>76615</v>
      </c>
      <c r="AF141">
        <v>90054</v>
      </c>
      <c r="AG141">
        <v>102498</v>
      </c>
      <c r="AH141">
        <v>111746</v>
      </c>
      <c r="AI141">
        <v>118210</v>
      </c>
      <c r="AJ141">
        <v>127346</v>
      </c>
    </row>
    <row r="142" spans="2:36">
      <c r="B142" t="s">
        <v>149</v>
      </c>
      <c r="C142">
        <v>8050</v>
      </c>
      <c r="D142">
        <v>9362</v>
      </c>
      <c r="E142">
        <v>10111</v>
      </c>
      <c r="F142">
        <v>10488</v>
      </c>
      <c r="G142">
        <v>11551</v>
      </c>
      <c r="H142">
        <v>14181</v>
      </c>
      <c r="I142">
        <v>13911</v>
      </c>
      <c r="J142">
        <v>15114</v>
      </c>
      <c r="K142">
        <v>17205</v>
      </c>
      <c r="L142">
        <v>19461</v>
      </c>
      <c r="M142">
        <v>18711</v>
      </c>
      <c r="N142">
        <v>21647</v>
      </c>
      <c r="O142">
        <v>25347</v>
      </c>
      <c r="P142">
        <v>30039</v>
      </c>
      <c r="Q142">
        <v>30471</v>
      </c>
      <c r="R142">
        <v>31709</v>
      </c>
      <c r="S142">
        <v>39572</v>
      </c>
      <c r="T142">
        <v>42787</v>
      </c>
      <c r="U142">
        <v>43237</v>
      </c>
      <c r="V142">
        <v>48140</v>
      </c>
      <c r="W142">
        <v>47501</v>
      </c>
      <c r="X142">
        <v>53926</v>
      </c>
      <c r="Y142">
        <v>57057</v>
      </c>
      <c r="Z142">
        <v>64725</v>
      </c>
      <c r="AA142">
        <v>75183</v>
      </c>
      <c r="AB142">
        <v>86742</v>
      </c>
      <c r="AC142">
        <v>94904</v>
      </c>
      <c r="AD142">
        <v>106758</v>
      </c>
      <c r="AE142">
        <v>116371</v>
      </c>
      <c r="AF142">
        <v>138681</v>
      </c>
      <c r="AG142">
        <v>150934</v>
      </c>
      <c r="AH142">
        <v>162896</v>
      </c>
      <c r="AI142">
        <v>176064</v>
      </c>
      <c r="AJ142">
        <v>196088</v>
      </c>
    </row>
    <row r="143" spans="2:36">
      <c r="B143" t="s">
        <v>150</v>
      </c>
      <c r="C143">
        <v>426</v>
      </c>
      <c r="D143">
        <v>666</v>
      </c>
      <c r="E143">
        <v>915</v>
      </c>
      <c r="F143">
        <v>1179</v>
      </c>
      <c r="G143">
        <v>1514</v>
      </c>
      <c r="H143">
        <v>1795</v>
      </c>
      <c r="I143">
        <v>1924</v>
      </c>
      <c r="J143">
        <v>2087</v>
      </c>
      <c r="K143">
        <v>2214</v>
      </c>
      <c r="L143">
        <v>2675</v>
      </c>
      <c r="M143">
        <v>3054</v>
      </c>
      <c r="N143">
        <v>3424</v>
      </c>
      <c r="O143">
        <v>3813</v>
      </c>
      <c r="P143">
        <v>4422</v>
      </c>
      <c r="Q143">
        <v>4744</v>
      </c>
      <c r="R143">
        <v>5034</v>
      </c>
      <c r="S143">
        <v>5307</v>
      </c>
      <c r="T143">
        <v>5383</v>
      </c>
      <c r="U143">
        <v>5599</v>
      </c>
      <c r="V143">
        <v>5815</v>
      </c>
      <c r="W143">
        <v>8969</v>
      </c>
      <c r="X143">
        <v>10793</v>
      </c>
      <c r="Y143">
        <v>12706</v>
      </c>
      <c r="Z143">
        <v>14827</v>
      </c>
      <c r="AA143">
        <v>15040</v>
      </c>
      <c r="AB143">
        <v>17813</v>
      </c>
      <c r="AC143">
        <v>20944</v>
      </c>
      <c r="AD143">
        <v>25207</v>
      </c>
      <c r="AE143">
        <v>27736</v>
      </c>
      <c r="AF143">
        <v>35161</v>
      </c>
      <c r="AG143">
        <v>41102</v>
      </c>
      <c r="AH143">
        <v>42972</v>
      </c>
      <c r="AI143">
        <v>45010</v>
      </c>
      <c r="AJ143">
        <v>45891</v>
      </c>
    </row>
    <row r="144" spans="2:36">
      <c r="B144" t="s">
        <v>151</v>
      </c>
      <c r="C144">
        <v>4375</v>
      </c>
      <c r="D144">
        <v>5098</v>
      </c>
      <c r="E144">
        <v>5655</v>
      </c>
      <c r="F144">
        <v>6253</v>
      </c>
      <c r="G144">
        <v>6816</v>
      </c>
      <c r="H144">
        <v>7102</v>
      </c>
      <c r="I144">
        <v>6830</v>
      </c>
      <c r="J144">
        <v>7468</v>
      </c>
      <c r="K144">
        <v>8038</v>
      </c>
      <c r="L144">
        <v>9327</v>
      </c>
      <c r="M144">
        <v>10544</v>
      </c>
      <c r="N144">
        <v>11753</v>
      </c>
      <c r="O144">
        <v>12657</v>
      </c>
      <c r="P144">
        <v>15654</v>
      </c>
      <c r="Q144">
        <v>17102</v>
      </c>
      <c r="R144">
        <v>18780</v>
      </c>
      <c r="S144">
        <v>20598</v>
      </c>
      <c r="T144">
        <v>20406</v>
      </c>
      <c r="U144">
        <v>20102</v>
      </c>
      <c r="V144">
        <v>18509</v>
      </c>
      <c r="W144">
        <v>20049</v>
      </c>
      <c r="X144">
        <v>20235</v>
      </c>
      <c r="Y144">
        <v>20107</v>
      </c>
      <c r="Z144">
        <v>20421</v>
      </c>
      <c r="AA144">
        <v>20956</v>
      </c>
      <c r="AB144">
        <v>20132</v>
      </c>
      <c r="AC144">
        <v>22670</v>
      </c>
      <c r="AD144">
        <v>20039</v>
      </c>
      <c r="AE144">
        <v>17018</v>
      </c>
      <c r="AF144">
        <v>20164</v>
      </c>
      <c r="AG144">
        <v>18676</v>
      </c>
      <c r="AH144">
        <v>18883</v>
      </c>
      <c r="AI144">
        <v>19111</v>
      </c>
      <c r="AJ144">
        <v>25469</v>
      </c>
    </row>
    <row r="145" spans="2:36">
      <c r="B145" t="s">
        <v>152</v>
      </c>
      <c r="C145">
        <v>758</v>
      </c>
      <c r="D145">
        <v>717</v>
      </c>
      <c r="E145">
        <v>1210</v>
      </c>
      <c r="F145">
        <v>1619</v>
      </c>
      <c r="G145">
        <v>2275</v>
      </c>
      <c r="H145">
        <v>201</v>
      </c>
      <c r="I145">
        <v>-117</v>
      </c>
      <c r="J145">
        <v>653</v>
      </c>
      <c r="K145">
        <v>1563</v>
      </c>
      <c r="L145">
        <v>1556</v>
      </c>
      <c r="M145">
        <v>2084</v>
      </c>
      <c r="N145">
        <v>3022</v>
      </c>
      <c r="O145">
        <v>4484</v>
      </c>
      <c r="P145">
        <v>2555</v>
      </c>
      <c r="Q145">
        <v>3533</v>
      </c>
      <c r="R145">
        <v>4524</v>
      </c>
      <c r="S145">
        <v>8177</v>
      </c>
      <c r="T145">
        <v>3585</v>
      </c>
      <c r="U145">
        <v>4310</v>
      </c>
      <c r="V145">
        <v>6308</v>
      </c>
      <c r="W145">
        <v>8946</v>
      </c>
      <c r="X145">
        <v>5400</v>
      </c>
      <c r="Y145">
        <v>7104</v>
      </c>
      <c r="Z145">
        <v>10989</v>
      </c>
      <c r="AA145">
        <v>15836</v>
      </c>
      <c r="AB145">
        <v>8510</v>
      </c>
      <c r="AC145">
        <v>14073</v>
      </c>
      <c r="AD145">
        <v>24219</v>
      </c>
      <c r="AE145">
        <v>29833</v>
      </c>
      <c r="AF145">
        <v>16125</v>
      </c>
      <c r="AG145">
        <v>28243</v>
      </c>
      <c r="AH145">
        <v>35469</v>
      </c>
      <c r="AI145">
        <v>38616</v>
      </c>
      <c r="AJ145">
        <v>18194</v>
      </c>
    </row>
    <row r="146" spans="2:36">
      <c r="B146" t="s">
        <v>153</v>
      </c>
      <c r="C146">
        <v>5076</v>
      </c>
      <c r="D146">
        <v>5790</v>
      </c>
      <c r="E146">
        <v>6386</v>
      </c>
      <c r="F146">
        <v>6821</v>
      </c>
      <c r="G146">
        <v>7466</v>
      </c>
      <c r="H146">
        <v>8380</v>
      </c>
      <c r="I146">
        <v>8682</v>
      </c>
      <c r="J146">
        <v>9330</v>
      </c>
      <c r="K146">
        <v>9984</v>
      </c>
      <c r="L146">
        <v>11228</v>
      </c>
      <c r="M146">
        <v>12261</v>
      </c>
      <c r="N146">
        <v>13404</v>
      </c>
      <c r="O146">
        <v>14532</v>
      </c>
      <c r="P146">
        <v>16804</v>
      </c>
      <c r="Q146">
        <v>18053</v>
      </c>
      <c r="R146">
        <v>19622</v>
      </c>
      <c r="S146">
        <v>21030</v>
      </c>
      <c r="T146">
        <v>22909</v>
      </c>
      <c r="U146">
        <v>24311</v>
      </c>
      <c r="V146">
        <v>25888</v>
      </c>
      <c r="W146">
        <v>31640</v>
      </c>
      <c r="X146">
        <v>35768</v>
      </c>
      <c r="Y146">
        <v>39348</v>
      </c>
      <c r="Z146">
        <v>43111</v>
      </c>
      <c r="AA146">
        <v>47791</v>
      </c>
      <c r="AB146">
        <v>54666</v>
      </c>
      <c r="AC146">
        <v>61477</v>
      </c>
      <c r="AD146">
        <v>69343</v>
      </c>
      <c r="AE146">
        <v>76615</v>
      </c>
      <c r="AF146">
        <v>90054</v>
      </c>
      <c r="AG146">
        <v>102498</v>
      </c>
      <c r="AH146">
        <v>111746</v>
      </c>
      <c r="AI146">
        <v>118210</v>
      </c>
      <c r="AJ146">
        <v>127346</v>
      </c>
    </row>
    <row r="147" spans="2:36">
      <c r="B147" t="s">
        <v>154</v>
      </c>
      <c r="C147">
        <v>782.9</v>
      </c>
      <c r="D147">
        <v>809.1</v>
      </c>
      <c r="E147">
        <v>823.1</v>
      </c>
      <c r="F147">
        <v>828</v>
      </c>
      <c r="G147">
        <v>835</v>
      </c>
      <c r="H147">
        <v>845.6</v>
      </c>
      <c r="I147">
        <v>849.2</v>
      </c>
      <c r="J147">
        <v>853</v>
      </c>
      <c r="K147">
        <v>855.3</v>
      </c>
      <c r="L147">
        <v>860.2</v>
      </c>
      <c r="M147">
        <v>864.7</v>
      </c>
      <c r="N147">
        <v>869.2</v>
      </c>
      <c r="O147">
        <v>872.3</v>
      </c>
      <c r="P147">
        <v>878.6</v>
      </c>
      <c r="Q147">
        <v>881.4</v>
      </c>
      <c r="R147">
        <v>885.7</v>
      </c>
      <c r="S147">
        <v>888.3</v>
      </c>
      <c r="T147">
        <v>890.4</v>
      </c>
      <c r="U147">
        <v>892.1</v>
      </c>
      <c r="V147">
        <v>895.7</v>
      </c>
      <c r="W147">
        <v>899.8</v>
      </c>
      <c r="X147">
        <v>906.3</v>
      </c>
      <c r="Y147">
        <v>909.6</v>
      </c>
      <c r="Z147">
        <v>913.5</v>
      </c>
      <c r="AA147">
        <v>916</v>
      </c>
      <c r="AB147">
        <v>921</v>
      </c>
      <c r="AC147">
        <v>924.7</v>
      </c>
      <c r="AD147">
        <v>926.9</v>
      </c>
      <c r="AE147">
        <v>929.3</v>
      </c>
      <c r="AF147">
        <v>932.2</v>
      </c>
      <c r="AG147">
        <v>935</v>
      </c>
      <c r="AH147">
        <v>937.3</v>
      </c>
      <c r="AI147">
        <v>939.2</v>
      </c>
      <c r="AJ147">
        <v>939</v>
      </c>
    </row>
    <row r="148" spans="2:36">
      <c r="B148" t="s">
        <v>155</v>
      </c>
      <c r="C148">
        <v>0</v>
      </c>
      <c r="D148">
        <v>0</v>
      </c>
      <c r="E148">
        <v>0</v>
      </c>
      <c r="F148">
        <v>0</v>
      </c>
      <c r="G148">
        <v>0</v>
      </c>
      <c r="H148">
        <v>0</v>
      </c>
      <c r="I148">
        <v>0</v>
      </c>
      <c r="J148">
        <v>0</v>
      </c>
      <c r="K148">
        <v>0</v>
      </c>
      <c r="L148">
        <v>0</v>
      </c>
      <c r="M148">
        <v>0</v>
      </c>
      <c r="N148">
        <v>0</v>
      </c>
      <c r="O148">
        <v>0</v>
      </c>
      <c r="P148">
        <v>0</v>
      </c>
      <c r="Q148">
        <v>0</v>
      </c>
      <c r="R148">
        <v>0</v>
      </c>
      <c r="S148">
        <v>0</v>
      </c>
      <c r="T148">
        <v>0</v>
      </c>
      <c r="U148">
        <v>0</v>
      </c>
      <c r="V148">
        <v>0</v>
      </c>
      <c r="W148">
        <v>0</v>
      </c>
      <c r="X148">
        <v>0</v>
      </c>
      <c r="Y148">
        <v>0</v>
      </c>
      <c r="Z148">
        <v>0</v>
      </c>
      <c r="AA148">
        <v>0</v>
      </c>
      <c r="AB148">
        <v>0</v>
      </c>
      <c r="AC148">
        <v>0</v>
      </c>
      <c r="AD148">
        <v>0</v>
      </c>
      <c r="AE148">
        <v>0</v>
      </c>
      <c r="AF148">
        <v>0</v>
      </c>
      <c r="AG148">
        <v>0</v>
      </c>
      <c r="AH148">
        <v>0</v>
      </c>
      <c r="AI148">
        <v>0</v>
      </c>
      <c r="AJ148">
        <v>0</v>
      </c>
    </row>
    <row r="149" spans="2:36">
      <c r="B149" t="s">
        <v>156</v>
      </c>
      <c r="C149">
        <v>0</v>
      </c>
      <c r="D149">
        <v>0</v>
      </c>
      <c r="E149">
        <v>0</v>
      </c>
      <c r="F149">
        <v>0</v>
      </c>
      <c r="G149">
        <v>0</v>
      </c>
      <c r="H149">
        <v>0</v>
      </c>
      <c r="I149">
        <v>0</v>
      </c>
      <c r="J149">
        <v>0</v>
      </c>
      <c r="K149">
        <v>0</v>
      </c>
      <c r="L149">
        <v>0</v>
      </c>
      <c r="M149">
        <v>0</v>
      </c>
      <c r="N149">
        <v>0</v>
      </c>
      <c r="O149">
        <v>0</v>
      </c>
      <c r="P149">
        <v>0</v>
      </c>
      <c r="Q149">
        <v>0</v>
      </c>
      <c r="R149">
        <v>0</v>
      </c>
      <c r="S149">
        <v>0</v>
      </c>
      <c r="T149">
        <v>0</v>
      </c>
      <c r="U149">
        <v>0</v>
      </c>
      <c r="V149">
        <v>0</v>
      </c>
      <c r="W149">
        <v>0</v>
      </c>
      <c r="X149">
        <v>0</v>
      </c>
      <c r="Y149">
        <v>0</v>
      </c>
      <c r="Z149">
        <v>0</v>
      </c>
      <c r="AA149">
        <v>0</v>
      </c>
      <c r="AB149">
        <v>0</v>
      </c>
      <c r="AC149">
        <v>0</v>
      </c>
      <c r="AD149">
        <v>0</v>
      </c>
      <c r="AE149">
        <v>0</v>
      </c>
      <c r="AF149">
        <v>0</v>
      </c>
      <c r="AG149">
        <v>0</v>
      </c>
      <c r="AH149">
        <v>0</v>
      </c>
      <c r="AI149">
        <v>0</v>
      </c>
      <c r="AJ149">
        <v>0</v>
      </c>
    </row>
    <row r="150" spans="2:36">
      <c r="B150" t="s">
        <v>157</v>
      </c>
      <c r="C150">
        <v>782.9</v>
      </c>
      <c r="D150">
        <v>809.1</v>
      </c>
      <c r="E150">
        <v>823.1</v>
      </c>
      <c r="F150">
        <v>828</v>
      </c>
      <c r="G150">
        <v>835</v>
      </c>
      <c r="H150">
        <v>845.6</v>
      </c>
      <c r="I150">
        <v>849.2</v>
      </c>
      <c r="J150">
        <v>853</v>
      </c>
      <c r="K150">
        <v>855.3</v>
      </c>
      <c r="L150">
        <v>860.2</v>
      </c>
      <c r="M150">
        <v>864.7</v>
      </c>
      <c r="N150">
        <v>869.2</v>
      </c>
      <c r="O150">
        <v>872.3</v>
      </c>
      <c r="P150">
        <v>878.6</v>
      </c>
      <c r="Q150">
        <v>881.4</v>
      </c>
      <c r="R150">
        <v>885.7</v>
      </c>
      <c r="S150">
        <v>888.3</v>
      </c>
      <c r="T150">
        <v>890.4</v>
      </c>
      <c r="U150">
        <v>892.1</v>
      </c>
      <c r="V150">
        <v>895.7</v>
      </c>
      <c r="W150">
        <v>899.8</v>
      </c>
      <c r="X150">
        <v>906.3</v>
      </c>
      <c r="Y150">
        <v>909.6</v>
      </c>
      <c r="Z150">
        <v>913.5</v>
      </c>
      <c r="AA150">
        <v>916</v>
      </c>
      <c r="AB150">
        <v>921</v>
      </c>
      <c r="AC150">
        <v>924.7</v>
      </c>
      <c r="AD150">
        <v>926.9</v>
      </c>
      <c r="AE150">
        <v>929.3</v>
      </c>
      <c r="AF150">
        <v>932.2</v>
      </c>
      <c r="AG150">
        <v>935</v>
      </c>
      <c r="AH150">
        <v>937.3</v>
      </c>
      <c r="AI150">
        <v>939.2</v>
      </c>
      <c r="AJ150">
        <v>939</v>
      </c>
    </row>
    <row r="151" spans="2:36">
      <c r="B151" t="s">
        <v>158</v>
      </c>
      <c r="C151">
        <v>0</v>
      </c>
      <c r="D151">
        <v>0</v>
      </c>
      <c r="E151">
        <v>0</v>
      </c>
      <c r="F151">
        <v>0</v>
      </c>
      <c r="G151">
        <v>0</v>
      </c>
      <c r="H151">
        <v>0</v>
      </c>
      <c r="I151">
        <v>0</v>
      </c>
      <c r="J151">
        <v>0</v>
      </c>
      <c r="K151">
        <v>0</v>
      </c>
      <c r="L151">
        <v>0</v>
      </c>
      <c r="M151">
        <v>0</v>
      </c>
      <c r="N151">
        <v>0</v>
      </c>
      <c r="O151">
        <v>0</v>
      </c>
      <c r="P151">
        <v>0</v>
      </c>
      <c r="Q151">
        <v>0</v>
      </c>
      <c r="R151">
        <v>0</v>
      </c>
      <c r="S151">
        <v>0</v>
      </c>
      <c r="T151">
        <v>0</v>
      </c>
      <c r="U151">
        <v>0</v>
      </c>
      <c r="V151">
        <v>0</v>
      </c>
      <c r="W151">
        <v>0</v>
      </c>
      <c r="X151">
        <v>0</v>
      </c>
      <c r="Y151">
        <v>0</v>
      </c>
      <c r="Z151">
        <v>0</v>
      </c>
      <c r="AA151">
        <v>0</v>
      </c>
      <c r="AB151">
        <v>0</v>
      </c>
      <c r="AC151">
        <v>0</v>
      </c>
      <c r="AD151">
        <v>0</v>
      </c>
      <c r="AE151">
        <v>0</v>
      </c>
      <c r="AF151">
        <v>0</v>
      </c>
      <c r="AG151">
        <v>0</v>
      </c>
      <c r="AH151">
        <v>0</v>
      </c>
      <c r="AI151">
        <v>0</v>
      </c>
      <c r="AJ151">
        <v>0</v>
      </c>
    </row>
    <row r="152" spans="2:36">
      <c r="B152" t="s">
        <v>159</v>
      </c>
      <c r="C152">
        <v>743.2</v>
      </c>
      <c r="D152">
        <v>789</v>
      </c>
      <c r="E152">
        <v>808.2</v>
      </c>
      <c r="F152">
        <v>815.1</v>
      </c>
      <c r="G152">
        <v>808.4</v>
      </c>
      <c r="H152">
        <v>830.8</v>
      </c>
      <c r="I152">
        <v>840.9</v>
      </c>
      <c r="J152">
        <v>851.4</v>
      </c>
      <c r="K152">
        <v>844.1</v>
      </c>
      <c r="L152">
        <v>857.7</v>
      </c>
      <c r="M152">
        <v>863</v>
      </c>
      <c r="N152">
        <v>866.8</v>
      </c>
      <c r="O152">
        <v>864.6</v>
      </c>
      <c r="P152">
        <v>875.9</v>
      </c>
      <c r="Q152">
        <v>879.5</v>
      </c>
      <c r="R152">
        <v>883.7</v>
      </c>
      <c r="S152">
        <v>881.6</v>
      </c>
      <c r="T152">
        <v>889.1</v>
      </c>
      <c r="U152">
        <v>891.2</v>
      </c>
      <c r="V152">
        <v>893.7</v>
      </c>
      <c r="W152">
        <v>893</v>
      </c>
      <c r="X152">
        <v>903.5</v>
      </c>
      <c r="Y152">
        <v>907.5</v>
      </c>
      <c r="Z152">
        <v>912.2</v>
      </c>
      <c r="AA152">
        <v>909.5</v>
      </c>
      <c r="AB152">
        <v>919.3</v>
      </c>
      <c r="AC152">
        <v>923.2</v>
      </c>
      <c r="AD152">
        <v>926.1</v>
      </c>
      <c r="AE152">
        <v>924.3</v>
      </c>
      <c r="AF152">
        <v>931</v>
      </c>
      <c r="AG152">
        <v>933.6</v>
      </c>
      <c r="AH152">
        <v>936.6</v>
      </c>
      <c r="AI152">
        <v>934.8</v>
      </c>
      <c r="AJ152">
        <v>938.9</v>
      </c>
    </row>
    <row r="153" spans="2:36">
      <c r="B153" t="s">
        <v>160</v>
      </c>
      <c r="C153">
        <v>774.6</v>
      </c>
      <c r="D153">
        <v>838.2</v>
      </c>
      <c r="E153">
        <v>857</v>
      </c>
      <c r="F153">
        <v>860.7</v>
      </c>
      <c r="G153">
        <v>856.8</v>
      </c>
      <c r="H153">
        <v>874.2</v>
      </c>
      <c r="I153">
        <v>878.5</v>
      </c>
      <c r="J153">
        <v>876.4</v>
      </c>
      <c r="K153">
        <v>877.5</v>
      </c>
      <c r="L153">
        <v>883.3</v>
      </c>
      <c r="M153">
        <v>886.7</v>
      </c>
      <c r="N153">
        <v>890.7</v>
      </c>
      <c r="O153">
        <v>889.3</v>
      </c>
      <c r="P153">
        <v>900.1</v>
      </c>
      <c r="Q153">
        <v>899.3</v>
      </c>
      <c r="R153">
        <v>903.2</v>
      </c>
      <c r="S153">
        <v>902.1</v>
      </c>
      <c r="T153">
        <v>901.5</v>
      </c>
      <c r="U153">
        <v>903</v>
      </c>
      <c r="V153">
        <v>909.2</v>
      </c>
      <c r="W153">
        <v>907</v>
      </c>
      <c r="X153">
        <v>919.8</v>
      </c>
      <c r="Y153">
        <v>922.9</v>
      </c>
      <c r="Z153">
        <v>927.4</v>
      </c>
      <c r="AA153">
        <v>924.7</v>
      </c>
      <c r="AB153">
        <v>933.2</v>
      </c>
      <c r="AC153">
        <v>935.9</v>
      </c>
      <c r="AD153">
        <v>937.8</v>
      </c>
      <c r="AE153">
        <v>936.6</v>
      </c>
      <c r="AF153">
        <v>941.6</v>
      </c>
      <c r="AG153">
        <v>944.9</v>
      </c>
      <c r="AH153">
        <v>947.1</v>
      </c>
      <c r="AI153">
        <v>945.4</v>
      </c>
      <c r="AJ153">
        <v>947.2</v>
      </c>
    </row>
    <row r="154" spans="2:36">
      <c r="B154" t="s">
        <v>161</v>
      </c>
    </row>
    <row r="155" spans="2:36">
      <c r="B155" t="s">
        <v>162</v>
      </c>
    </row>
    <row r="156" spans="2:36">
      <c r="B156" t="s">
        <v>163</v>
      </c>
      <c r="C156">
        <v>276</v>
      </c>
      <c r="D156">
        <v>295</v>
      </c>
      <c r="E156">
        <v>585</v>
      </c>
      <c r="F156">
        <v>905</v>
      </c>
      <c r="G156">
        <v>1335</v>
      </c>
      <c r="H156">
        <v>565</v>
      </c>
      <c r="I156">
        <v>975</v>
      </c>
      <c r="J156">
        <v>1447</v>
      </c>
      <c r="K156">
        <v>1989</v>
      </c>
      <c r="L156">
        <v>1004</v>
      </c>
      <c r="M156">
        <v>1774</v>
      </c>
      <c r="N156">
        <v>2592</v>
      </c>
      <c r="O156">
        <v>3496</v>
      </c>
      <c r="P156">
        <v>1581</v>
      </c>
      <c r="Q156">
        <v>2626</v>
      </c>
      <c r="R156">
        <v>3698</v>
      </c>
      <c r="S156">
        <v>4834</v>
      </c>
      <c r="T156">
        <v>1605</v>
      </c>
      <c r="U156">
        <v>2810</v>
      </c>
      <c r="V156">
        <v>4039</v>
      </c>
      <c r="W156">
        <v>8235</v>
      </c>
      <c r="X156">
        <v>3378</v>
      </c>
      <c r="Y156">
        <v>6452</v>
      </c>
      <c r="Z156">
        <v>9705</v>
      </c>
      <c r="AA156">
        <v>14013</v>
      </c>
      <c r="AB156">
        <v>6004</v>
      </c>
      <c r="AC156">
        <v>11991</v>
      </c>
      <c r="AD156">
        <v>19299</v>
      </c>
      <c r="AE156">
        <v>25922</v>
      </c>
      <c r="AF156">
        <v>13064</v>
      </c>
      <c r="AG156">
        <v>24686</v>
      </c>
      <c r="AH156">
        <v>33510</v>
      </c>
      <c r="AI156">
        <v>41733</v>
      </c>
      <c r="AJ156">
        <v>13078</v>
      </c>
    </row>
    <row r="157" spans="2:36">
      <c r="B157" t="s">
        <v>33</v>
      </c>
      <c r="C157">
        <v>150</v>
      </c>
      <c r="D157">
        <v>41</v>
      </c>
      <c r="E157">
        <v>82</v>
      </c>
      <c r="F157">
        <v>128</v>
      </c>
      <c r="G157">
        <v>179</v>
      </c>
      <c r="H157">
        <v>52</v>
      </c>
      <c r="I157">
        <v>102</v>
      </c>
      <c r="J157">
        <v>159</v>
      </c>
      <c r="K157">
        <v>225</v>
      </c>
      <c r="L157">
        <v>74</v>
      </c>
      <c r="M157">
        <v>143</v>
      </c>
      <c r="N157">
        <v>224</v>
      </c>
      <c r="O157">
        <v>317</v>
      </c>
      <c r="P157">
        <v>106</v>
      </c>
      <c r="Q157">
        <v>222</v>
      </c>
      <c r="R157">
        <v>339</v>
      </c>
      <c r="S157">
        <v>473</v>
      </c>
      <c r="T157">
        <v>158</v>
      </c>
      <c r="U157">
        <v>330</v>
      </c>
      <c r="V157">
        <v>506</v>
      </c>
      <c r="W157">
        <v>734</v>
      </c>
      <c r="X157">
        <v>209</v>
      </c>
      <c r="Y157">
        <v>425</v>
      </c>
      <c r="Z157">
        <v>698</v>
      </c>
      <c r="AA157">
        <v>1027</v>
      </c>
      <c r="AB157">
        <v>356</v>
      </c>
      <c r="AC157">
        <v>790</v>
      </c>
      <c r="AD157">
        <v>1271</v>
      </c>
      <c r="AE157">
        <v>1814</v>
      </c>
      <c r="AF157">
        <v>721</v>
      </c>
      <c r="AG157">
        <v>1461</v>
      </c>
      <c r="AH157">
        <v>2296</v>
      </c>
      <c r="AI157">
        <v>3277</v>
      </c>
      <c r="AJ157">
        <v>1588</v>
      </c>
    </row>
    <row r="158" spans="2:36">
      <c r="B158" t="s">
        <v>35</v>
      </c>
      <c r="C158">
        <v>0</v>
      </c>
      <c r="D158">
        <v>0</v>
      </c>
      <c r="E158">
        <v>0</v>
      </c>
      <c r="F158">
        <v>0</v>
      </c>
      <c r="G158">
        <v>0</v>
      </c>
      <c r="H158">
        <v>0</v>
      </c>
      <c r="I158">
        <v>0</v>
      </c>
      <c r="J158">
        <v>0</v>
      </c>
      <c r="K158">
        <v>0</v>
      </c>
      <c r="L158">
        <v>0</v>
      </c>
      <c r="M158">
        <v>0</v>
      </c>
      <c r="N158">
        <v>0</v>
      </c>
      <c r="O158">
        <v>0</v>
      </c>
      <c r="P158">
        <v>0</v>
      </c>
      <c r="Q158">
        <v>0</v>
      </c>
      <c r="R158">
        <v>0</v>
      </c>
      <c r="S158">
        <v>0</v>
      </c>
      <c r="T158">
        <v>0</v>
      </c>
      <c r="U158">
        <v>0</v>
      </c>
      <c r="V158">
        <v>0</v>
      </c>
      <c r="W158">
        <v>0</v>
      </c>
      <c r="X158">
        <v>0</v>
      </c>
      <c r="Y158">
        <v>0</v>
      </c>
      <c r="Z158">
        <v>0</v>
      </c>
      <c r="AA158">
        <v>0</v>
      </c>
      <c r="AB158">
        <v>0</v>
      </c>
      <c r="AC158">
        <v>0</v>
      </c>
      <c r="AD158">
        <v>0</v>
      </c>
      <c r="AE158">
        <v>0</v>
      </c>
      <c r="AF158">
        <v>0</v>
      </c>
      <c r="AG158">
        <v>0</v>
      </c>
      <c r="AH158">
        <v>0</v>
      </c>
      <c r="AI158">
        <v>0</v>
      </c>
      <c r="AJ158">
        <v>0</v>
      </c>
    </row>
    <row r="159" spans="2:36">
      <c r="B159" t="s">
        <v>36</v>
      </c>
      <c r="C159">
        <v>0</v>
      </c>
      <c r="D159">
        <v>0</v>
      </c>
      <c r="E159">
        <v>0</v>
      </c>
      <c r="F159">
        <v>0</v>
      </c>
      <c r="G159">
        <v>0</v>
      </c>
      <c r="H159">
        <v>0</v>
      </c>
      <c r="I159">
        <v>0</v>
      </c>
      <c r="J159">
        <v>0</v>
      </c>
      <c r="K159">
        <v>0</v>
      </c>
      <c r="L159">
        <v>0</v>
      </c>
      <c r="M159">
        <v>0</v>
      </c>
      <c r="N159">
        <v>0</v>
      </c>
      <c r="O159">
        <v>0</v>
      </c>
      <c r="P159">
        <v>0</v>
      </c>
      <c r="Q159">
        <v>0</v>
      </c>
      <c r="R159">
        <v>0</v>
      </c>
      <c r="S159">
        <v>0</v>
      </c>
      <c r="T159">
        <v>0</v>
      </c>
      <c r="U159">
        <v>0</v>
      </c>
      <c r="V159">
        <v>0</v>
      </c>
      <c r="W159">
        <v>0</v>
      </c>
      <c r="X159">
        <v>0</v>
      </c>
      <c r="Y159">
        <v>0</v>
      </c>
      <c r="Z159">
        <v>0</v>
      </c>
      <c r="AA159">
        <v>0</v>
      </c>
      <c r="AB159">
        <v>0</v>
      </c>
      <c r="AC159">
        <v>0</v>
      </c>
      <c r="AD159">
        <v>0</v>
      </c>
      <c r="AE159">
        <v>0</v>
      </c>
      <c r="AF159">
        <v>0</v>
      </c>
      <c r="AG159">
        <v>0</v>
      </c>
      <c r="AH159">
        <v>0</v>
      </c>
      <c r="AI159">
        <v>0</v>
      </c>
      <c r="AJ159">
        <v>0</v>
      </c>
    </row>
    <row r="160" spans="2:36">
      <c r="B160" t="s">
        <v>132</v>
      </c>
      <c r="C160">
        <v>20</v>
      </c>
      <c r="D160">
        <v>-8</v>
      </c>
      <c r="E160">
        <v>13</v>
      </c>
      <c r="F160">
        <v>1</v>
      </c>
      <c r="G160">
        <v>52</v>
      </c>
      <c r="H160">
        <v>70</v>
      </c>
      <c r="I160">
        <v>83</v>
      </c>
      <c r="J160">
        <v>201</v>
      </c>
      <c r="K160">
        <v>53</v>
      </c>
      <c r="L160">
        <v>73</v>
      </c>
      <c r="M160">
        <v>122</v>
      </c>
      <c r="N160">
        <v>206</v>
      </c>
      <c r="O160">
        <v>78</v>
      </c>
      <c r="P160">
        <v>22</v>
      </c>
      <c r="Q160">
        <v>6</v>
      </c>
      <c r="R160">
        <v>41</v>
      </c>
      <c r="S160">
        <v>-368</v>
      </c>
      <c r="T160">
        <v>-27</v>
      </c>
      <c r="U160">
        <v>-31</v>
      </c>
      <c r="V160">
        <v>-201</v>
      </c>
      <c r="W160">
        <v>1040</v>
      </c>
      <c r="X160">
        <v>425</v>
      </c>
      <c r="Y160">
        <v>893</v>
      </c>
      <c r="Z160">
        <v>1298</v>
      </c>
      <c r="AA160">
        <v>1440</v>
      </c>
      <c r="AB160">
        <v>823</v>
      </c>
      <c r="AC160">
        <v>1563</v>
      </c>
      <c r="AD160">
        <v>2232</v>
      </c>
      <c r="AE160">
        <v>2868</v>
      </c>
      <c r="AF160">
        <v>1456</v>
      </c>
      <c r="AG160">
        <v>2915</v>
      </c>
      <c r="AH160">
        <v>4066</v>
      </c>
      <c r="AI160">
        <v>4405</v>
      </c>
      <c r="AJ160">
        <v>1179</v>
      </c>
    </row>
    <row r="161" spans="2:36">
      <c r="B161" t="s">
        <v>164</v>
      </c>
      <c r="C161">
        <v>40</v>
      </c>
      <c r="D161">
        <v>152</v>
      </c>
      <c r="E161">
        <v>299</v>
      </c>
      <c r="F161">
        <v>351</v>
      </c>
      <c r="G161">
        <v>504</v>
      </c>
      <c r="H161">
        <v>44</v>
      </c>
      <c r="I161">
        <v>89</v>
      </c>
      <c r="J161">
        <v>1</v>
      </c>
      <c r="K161">
        <v>11</v>
      </c>
      <c r="L161">
        <v>5</v>
      </c>
      <c r="M161">
        <v>6</v>
      </c>
      <c r="N161">
        <v>7</v>
      </c>
      <c r="O161">
        <v>12</v>
      </c>
      <c r="P161">
        <v>14</v>
      </c>
      <c r="Q161">
        <v>10</v>
      </c>
      <c r="R161">
        <v>15</v>
      </c>
      <c r="S161">
        <v>22</v>
      </c>
      <c r="T161">
        <v>7</v>
      </c>
      <c r="U161">
        <v>8</v>
      </c>
      <c r="V161">
        <v>18</v>
      </c>
      <c r="W161">
        <v>26</v>
      </c>
      <c r="X161">
        <v>6</v>
      </c>
      <c r="Y161">
        <v>9</v>
      </c>
      <c r="Z161">
        <v>14</v>
      </c>
      <c r="AA161">
        <v>24</v>
      </c>
      <c r="AB161">
        <v>0</v>
      </c>
      <c r="AC161">
        <v>0</v>
      </c>
      <c r="AD161">
        <v>0</v>
      </c>
      <c r="AE161">
        <v>0</v>
      </c>
      <c r="AF161">
        <v>0</v>
      </c>
      <c r="AG161">
        <v>0</v>
      </c>
      <c r="AH161">
        <v>0</v>
      </c>
      <c r="AI161">
        <v>0</v>
      </c>
      <c r="AJ161">
        <v>0</v>
      </c>
    </row>
    <row r="162" spans="2:36">
      <c r="B162" t="s">
        <v>165</v>
      </c>
      <c r="C162">
        <v>0</v>
      </c>
      <c r="D162">
        <v>0</v>
      </c>
      <c r="E162">
        <v>0</v>
      </c>
      <c r="F162">
        <v>0</v>
      </c>
      <c r="G162">
        <v>0</v>
      </c>
      <c r="H162">
        <v>0</v>
      </c>
      <c r="I162">
        <v>0</v>
      </c>
      <c r="J162">
        <v>0</v>
      </c>
      <c r="K162">
        <v>0</v>
      </c>
      <c r="L162">
        <v>0</v>
      </c>
      <c r="M162">
        <v>0</v>
      </c>
      <c r="N162">
        <v>0</v>
      </c>
      <c r="O162">
        <v>0</v>
      </c>
      <c r="P162">
        <v>0</v>
      </c>
      <c r="Q162">
        <v>0</v>
      </c>
      <c r="R162">
        <v>0</v>
      </c>
      <c r="S162">
        <v>0</v>
      </c>
      <c r="T162">
        <v>0</v>
      </c>
      <c r="U162">
        <v>0</v>
      </c>
      <c r="V162">
        <v>0</v>
      </c>
      <c r="W162">
        <v>0</v>
      </c>
      <c r="X162">
        <v>0</v>
      </c>
      <c r="Y162">
        <v>0</v>
      </c>
      <c r="Z162">
        <v>0</v>
      </c>
      <c r="AA162">
        <v>0</v>
      </c>
      <c r="AB162">
        <v>0</v>
      </c>
      <c r="AC162">
        <v>0</v>
      </c>
      <c r="AD162">
        <v>0</v>
      </c>
      <c r="AE162">
        <v>0</v>
      </c>
      <c r="AF162">
        <v>0</v>
      </c>
      <c r="AG162">
        <v>0</v>
      </c>
      <c r="AH162">
        <v>0</v>
      </c>
      <c r="AI162">
        <v>0</v>
      </c>
      <c r="AJ162">
        <v>0</v>
      </c>
    </row>
    <row r="163" spans="2:36">
      <c r="B163" t="s">
        <v>166</v>
      </c>
      <c r="C163">
        <v>-8</v>
      </c>
      <c r="D163">
        <v>-91</v>
      </c>
      <c r="E163">
        <v>-114</v>
      </c>
      <c r="F163">
        <v>-53</v>
      </c>
      <c r="G163">
        <v>-121</v>
      </c>
      <c r="H163">
        <v>-436</v>
      </c>
      <c r="I163">
        <v>34</v>
      </c>
      <c r="J163">
        <v>-194</v>
      </c>
      <c r="K163">
        <v>-357</v>
      </c>
      <c r="L163">
        <v>-369</v>
      </c>
      <c r="M163">
        <v>324</v>
      </c>
      <c r="N163">
        <v>-158</v>
      </c>
      <c r="O163">
        <v>-385</v>
      </c>
      <c r="P163">
        <v>-302</v>
      </c>
      <c r="Q163">
        <v>44</v>
      </c>
      <c r="R163">
        <v>34</v>
      </c>
      <c r="S163">
        <v>-785</v>
      </c>
      <c r="T163">
        <v>226</v>
      </c>
      <c r="U163">
        <v>490</v>
      </c>
      <c r="V163">
        <v>-264</v>
      </c>
      <c r="W163">
        <v>-939</v>
      </c>
      <c r="X163">
        <v>271</v>
      </c>
      <c r="Y163">
        <v>482</v>
      </c>
      <c r="Z163">
        <v>-1335</v>
      </c>
      <c r="AA163">
        <v>-4860</v>
      </c>
      <c r="AB163">
        <v>-950</v>
      </c>
      <c r="AC163">
        <v>-1171</v>
      </c>
      <c r="AD163">
        <v>-1547</v>
      </c>
      <c r="AE163">
        <v>-1791</v>
      </c>
      <c r="AF163">
        <v>-4767</v>
      </c>
      <c r="AG163">
        <v>-2042</v>
      </c>
      <c r="AH163">
        <v>-2571</v>
      </c>
      <c r="AI163">
        <v>-6965</v>
      </c>
      <c r="AJ163">
        <v>-2842</v>
      </c>
    </row>
    <row r="164" spans="2:36">
      <c r="B164" t="s">
        <v>167</v>
      </c>
      <c r="C164">
        <v>-45</v>
      </c>
      <c r="D164">
        <v>-55</v>
      </c>
      <c r="E164">
        <v>-63</v>
      </c>
      <c r="F164">
        <v>-92</v>
      </c>
      <c r="G164">
        <v>-64</v>
      </c>
      <c r="H164">
        <v>-79</v>
      </c>
      <c r="I164">
        <v>-39</v>
      </c>
      <c r="J164">
        <v>-48</v>
      </c>
      <c r="K164">
        <v>-105</v>
      </c>
      <c r="L164">
        <v>-33</v>
      </c>
      <c r="M164">
        <v>62</v>
      </c>
      <c r="N164">
        <v>19</v>
      </c>
      <c r="O164">
        <v>-76</v>
      </c>
      <c r="P164">
        <v>-113</v>
      </c>
      <c r="Q164">
        <v>-18</v>
      </c>
      <c r="R164">
        <v>-199</v>
      </c>
      <c r="S164">
        <v>-163</v>
      </c>
      <c r="T164">
        <v>113</v>
      </c>
      <c r="U164">
        <v>197</v>
      </c>
      <c r="V164">
        <v>129</v>
      </c>
      <c r="W164">
        <v>54</v>
      </c>
      <c r="X164">
        <v>-121</v>
      </c>
      <c r="Y164">
        <v>-183</v>
      </c>
      <c r="Z164">
        <v>-487</v>
      </c>
      <c r="AA164">
        <v>-596</v>
      </c>
      <c r="AB164">
        <v>166</v>
      </c>
      <c r="AC164">
        <v>121</v>
      </c>
      <c r="AD164">
        <v>162</v>
      </c>
      <c r="AE164">
        <v>275</v>
      </c>
      <c r="AF164">
        <v>-460</v>
      </c>
      <c r="AG164">
        <v>-326</v>
      </c>
      <c r="AH164">
        <v>-346</v>
      </c>
      <c r="AI164">
        <v>-15</v>
      </c>
      <c r="AJ164">
        <v>-664</v>
      </c>
    </row>
    <row r="165" spans="2:36">
      <c r="B165" t="s">
        <v>168</v>
      </c>
      <c r="C165">
        <v>0</v>
      </c>
      <c r="D165">
        <v>0</v>
      </c>
      <c r="E165">
        <v>0</v>
      </c>
      <c r="F165">
        <v>0</v>
      </c>
      <c r="G165">
        <v>0</v>
      </c>
      <c r="H165">
        <v>0</v>
      </c>
      <c r="I165">
        <v>0</v>
      </c>
      <c r="J165">
        <v>0</v>
      </c>
      <c r="K165">
        <v>0</v>
      </c>
      <c r="L165">
        <v>0</v>
      </c>
      <c r="M165">
        <v>0</v>
      </c>
      <c r="N165">
        <v>0</v>
      </c>
      <c r="O165">
        <v>0</v>
      </c>
      <c r="P165">
        <v>0</v>
      </c>
      <c r="Q165">
        <v>0</v>
      </c>
      <c r="R165">
        <v>0</v>
      </c>
      <c r="S165">
        <v>0</v>
      </c>
      <c r="T165">
        <v>0</v>
      </c>
      <c r="U165">
        <v>0</v>
      </c>
      <c r="V165">
        <v>0</v>
      </c>
      <c r="W165">
        <v>0</v>
      </c>
      <c r="X165">
        <v>0</v>
      </c>
      <c r="Y165">
        <v>0</v>
      </c>
      <c r="Z165">
        <v>0</v>
      </c>
      <c r="AA165">
        <v>0</v>
      </c>
      <c r="AB165">
        <v>0</v>
      </c>
      <c r="AC165">
        <v>0</v>
      </c>
      <c r="AD165">
        <v>0</v>
      </c>
      <c r="AE165">
        <v>0</v>
      </c>
      <c r="AF165">
        <v>0</v>
      </c>
      <c r="AG165">
        <v>0</v>
      </c>
      <c r="AH165">
        <v>0</v>
      </c>
      <c r="AI165">
        <v>0</v>
      </c>
      <c r="AJ165">
        <v>0</v>
      </c>
    </row>
    <row r="166" spans="2:36">
      <c r="B166" t="s">
        <v>169</v>
      </c>
      <c r="C166">
        <v>-215</v>
      </c>
      <c r="D166">
        <v>-114</v>
      </c>
      <c r="E166">
        <v>-116</v>
      </c>
      <c r="F166">
        <v>-63</v>
      </c>
      <c r="G166">
        <v>-211</v>
      </c>
      <c r="H166">
        <v>-1528</v>
      </c>
      <c r="I166">
        <v>-892</v>
      </c>
      <c r="J166">
        <v>-880</v>
      </c>
      <c r="K166">
        <v>-1626</v>
      </c>
      <c r="L166">
        <v>36</v>
      </c>
      <c r="M166">
        <v>589</v>
      </c>
      <c r="N166">
        <v>-363</v>
      </c>
      <c r="O166">
        <v>-1540</v>
      </c>
      <c r="P166">
        <v>-550</v>
      </c>
      <c r="Q166">
        <v>-444</v>
      </c>
      <c r="R166">
        <v>-100</v>
      </c>
      <c r="S166">
        <v>-1958</v>
      </c>
      <c r="T166">
        <v>660</v>
      </c>
      <c r="U166">
        <v>859</v>
      </c>
      <c r="V166">
        <v>-298</v>
      </c>
      <c r="W166">
        <v>749</v>
      </c>
      <c r="X166">
        <v>-517</v>
      </c>
      <c r="Y166">
        <v>-824</v>
      </c>
      <c r="Z166">
        <v>-944</v>
      </c>
      <c r="AA166">
        <v>-1514</v>
      </c>
      <c r="AB166">
        <v>0</v>
      </c>
      <c r="AC166">
        <v>0</v>
      </c>
      <c r="AD166">
        <v>0</v>
      </c>
      <c r="AE166">
        <v>0</v>
      </c>
      <c r="AF166">
        <v>0</v>
      </c>
      <c r="AG166">
        <v>0</v>
      </c>
      <c r="AH166">
        <v>0</v>
      </c>
      <c r="AI166">
        <v>0</v>
      </c>
      <c r="AJ166">
        <v>0</v>
      </c>
    </row>
    <row r="167" spans="2:36">
      <c r="B167" t="s">
        <v>170</v>
      </c>
      <c r="C167">
        <v>297</v>
      </c>
      <c r="D167">
        <v>286</v>
      </c>
      <c r="E167">
        <v>-56</v>
      </c>
      <c r="F167">
        <v>79</v>
      </c>
      <c r="G167">
        <v>328</v>
      </c>
      <c r="H167">
        <v>1117</v>
      </c>
      <c r="I167">
        <v>329</v>
      </c>
      <c r="J167">
        <v>734</v>
      </c>
      <c r="K167">
        <v>1611</v>
      </c>
      <c r="L167">
        <v>495</v>
      </c>
      <c r="M167">
        <v>-987</v>
      </c>
      <c r="N167">
        <v>270</v>
      </c>
      <c r="O167">
        <v>1494</v>
      </c>
      <c r="P167">
        <v>484</v>
      </c>
      <c r="Q167">
        <v>-740</v>
      </c>
      <c r="R167">
        <v>-1226</v>
      </c>
      <c r="S167">
        <v>596</v>
      </c>
      <c r="T167">
        <v>-767</v>
      </c>
      <c r="U167">
        <v>-1527</v>
      </c>
      <c r="V167">
        <v>-648</v>
      </c>
      <c r="W167">
        <v>92</v>
      </c>
      <c r="X167">
        <v>956</v>
      </c>
      <c r="Y167">
        <v>-18</v>
      </c>
      <c r="Z167">
        <v>2812</v>
      </c>
      <c r="AA167">
        <v>6307</v>
      </c>
      <c r="AB167">
        <v>2346</v>
      </c>
      <c r="AC167">
        <v>1626</v>
      </c>
      <c r="AD167">
        <v>2480</v>
      </c>
      <c r="AE167">
        <v>2515</v>
      </c>
      <c r="AF167">
        <v>4314</v>
      </c>
      <c r="AG167">
        <v>2809</v>
      </c>
      <c r="AH167">
        <v>2450</v>
      </c>
      <c r="AI167">
        <v>4467</v>
      </c>
      <c r="AJ167">
        <v>6145</v>
      </c>
    </row>
    <row r="168" spans="2:36">
      <c r="B168" t="s">
        <v>171</v>
      </c>
      <c r="C168">
        <v>419</v>
      </c>
      <c r="D168">
        <v>269</v>
      </c>
      <c r="E168">
        <v>322</v>
      </c>
      <c r="F168">
        <v>527</v>
      </c>
      <c r="G168">
        <v>533</v>
      </c>
      <c r="H168">
        <v>478</v>
      </c>
      <c r="I168">
        <v>0</v>
      </c>
      <c r="J168">
        <v>0</v>
      </c>
      <c r="K168">
        <v>0</v>
      </c>
      <c r="L168">
        <v>0</v>
      </c>
      <c r="M168">
        <v>0</v>
      </c>
      <c r="N168">
        <v>0</v>
      </c>
      <c r="O168">
        <v>0</v>
      </c>
      <c r="P168">
        <v>0</v>
      </c>
      <c r="Q168">
        <v>0</v>
      </c>
      <c r="R168">
        <v>1823</v>
      </c>
      <c r="S168">
        <v>5642</v>
      </c>
      <c r="T168">
        <v>1793</v>
      </c>
      <c r="U168">
        <v>2592</v>
      </c>
      <c r="V168">
        <v>4254</v>
      </c>
      <c r="W168">
        <v>521</v>
      </c>
      <c r="X168">
        <v>606</v>
      </c>
      <c r="Y168">
        <v>577</v>
      </c>
      <c r="Z168">
        <v>0</v>
      </c>
      <c r="AA168">
        <v>0</v>
      </c>
      <c r="AB168">
        <v>0</v>
      </c>
      <c r="AC168">
        <v>0</v>
      </c>
      <c r="AD168">
        <v>0</v>
      </c>
      <c r="AE168">
        <v>0</v>
      </c>
      <c r="AF168">
        <v>0</v>
      </c>
      <c r="AG168">
        <v>0</v>
      </c>
      <c r="AH168">
        <v>0</v>
      </c>
      <c r="AI168">
        <v>0</v>
      </c>
      <c r="AJ168">
        <v>0</v>
      </c>
    </row>
    <row r="169" spans="2:36">
      <c r="B169" t="s">
        <v>172</v>
      </c>
      <c r="C169">
        <v>0</v>
      </c>
      <c r="D169">
        <v>0</v>
      </c>
      <c r="E169">
        <v>359</v>
      </c>
      <c r="F169">
        <v>0</v>
      </c>
      <c r="G169">
        <v>0</v>
      </c>
      <c r="H169">
        <v>0</v>
      </c>
      <c r="I169">
        <v>-523</v>
      </c>
      <c r="J169">
        <v>-378</v>
      </c>
      <c r="K169">
        <v>256</v>
      </c>
      <c r="L169">
        <v>482</v>
      </c>
      <c r="M169">
        <v>405</v>
      </c>
      <c r="N169">
        <v>803</v>
      </c>
      <c r="O169">
        <v>1832</v>
      </c>
      <c r="P169">
        <v>1435</v>
      </c>
      <c r="Q169">
        <v>2032</v>
      </c>
      <c r="R169">
        <v>501</v>
      </c>
      <c r="S169">
        <v>787</v>
      </c>
      <c r="T169">
        <v>0</v>
      </c>
      <c r="U169">
        <v>-1300</v>
      </c>
      <c r="V169">
        <v>-1016</v>
      </c>
      <c r="W169">
        <v>-1063</v>
      </c>
      <c r="X169">
        <v>363</v>
      </c>
      <c r="Y169">
        <v>-138</v>
      </c>
      <c r="Z169">
        <v>496</v>
      </c>
      <c r="AA169">
        <v>1875</v>
      </c>
      <c r="AB169">
        <v>729</v>
      </c>
      <c r="AC169">
        <v>486</v>
      </c>
      <c r="AD169">
        <v>2333</v>
      </c>
      <c r="AE169">
        <v>4758</v>
      </c>
      <c r="AF169">
        <v>2806</v>
      </c>
      <c r="AG169">
        <v>1184</v>
      </c>
      <c r="AH169">
        <v>1023</v>
      </c>
      <c r="AI169">
        <v>2214</v>
      </c>
      <c r="AJ169">
        <v>4397</v>
      </c>
    </row>
    <row r="170" spans="2:36">
      <c r="B170" t="s">
        <v>173</v>
      </c>
      <c r="C170">
        <v>0</v>
      </c>
      <c r="D170">
        <v>0</v>
      </c>
      <c r="E170">
        <v>0</v>
      </c>
      <c r="F170">
        <v>0</v>
      </c>
      <c r="G170">
        <v>0</v>
      </c>
      <c r="H170">
        <v>0</v>
      </c>
      <c r="I170">
        <v>0</v>
      </c>
      <c r="J170">
        <v>123</v>
      </c>
      <c r="K170">
        <v>163</v>
      </c>
      <c r="L170">
        <v>46</v>
      </c>
      <c r="M170">
        <v>109</v>
      </c>
      <c r="N170">
        <v>174</v>
      </c>
      <c r="O170">
        <v>242</v>
      </c>
      <c r="P170">
        <v>110</v>
      </c>
      <c r="Q170">
        <v>242</v>
      </c>
      <c r="R170">
        <v>375</v>
      </c>
      <c r="S170">
        <v>516</v>
      </c>
      <c r="T170">
        <v>170</v>
      </c>
      <c r="U170">
        <v>351</v>
      </c>
      <c r="V170">
        <v>530</v>
      </c>
      <c r="W170">
        <v>710</v>
      </c>
      <c r="X170">
        <v>205</v>
      </c>
      <c r="Y170">
        <v>436</v>
      </c>
      <c r="Z170">
        <v>655</v>
      </c>
      <c r="AA170">
        <v>879</v>
      </c>
      <c r="AB170">
        <v>299</v>
      </c>
      <c r="AC170">
        <v>586</v>
      </c>
      <c r="AD170">
        <v>870</v>
      </c>
      <c r="AE170">
        <v>1168</v>
      </c>
      <c r="AF170">
        <v>420</v>
      </c>
      <c r="AG170">
        <v>844</v>
      </c>
      <c r="AH170">
        <v>1292</v>
      </c>
      <c r="AI170">
        <v>1740</v>
      </c>
      <c r="AJ170">
        <v>545</v>
      </c>
    </row>
    <row r="171" spans="2:36">
      <c r="B171" t="s">
        <v>174</v>
      </c>
      <c r="C171">
        <v>934</v>
      </c>
      <c r="D171">
        <v>775</v>
      </c>
      <c r="E171">
        <v>1311</v>
      </c>
      <c r="F171">
        <v>1783</v>
      </c>
      <c r="G171">
        <v>2535</v>
      </c>
      <c r="H171">
        <v>283</v>
      </c>
      <c r="I171">
        <v>158</v>
      </c>
      <c r="J171">
        <v>1165</v>
      </c>
      <c r="K171">
        <v>2220</v>
      </c>
      <c r="L171">
        <v>1813</v>
      </c>
      <c r="M171">
        <v>2547</v>
      </c>
      <c r="N171">
        <v>3774</v>
      </c>
      <c r="O171">
        <v>5470</v>
      </c>
      <c r="P171">
        <v>2787</v>
      </c>
      <c r="Q171">
        <v>3980</v>
      </c>
      <c r="R171">
        <v>5301</v>
      </c>
      <c r="S171">
        <v>9596</v>
      </c>
      <c r="T171">
        <v>3938</v>
      </c>
      <c r="U171">
        <v>4779</v>
      </c>
      <c r="V171">
        <v>7049</v>
      </c>
      <c r="W171">
        <v>10159</v>
      </c>
      <c r="X171">
        <v>5781</v>
      </c>
      <c r="Y171">
        <v>8111</v>
      </c>
      <c r="Z171">
        <v>12912</v>
      </c>
      <c r="AA171">
        <v>18595</v>
      </c>
      <c r="AB171">
        <v>9773</v>
      </c>
      <c r="AC171">
        <v>15992</v>
      </c>
      <c r="AD171">
        <v>27100</v>
      </c>
      <c r="AE171">
        <v>37529</v>
      </c>
      <c r="AF171">
        <v>17554</v>
      </c>
      <c r="AG171">
        <v>31531</v>
      </c>
      <c r="AH171">
        <v>41720</v>
      </c>
      <c r="AI171">
        <v>50856</v>
      </c>
      <c r="AJ171">
        <v>23426</v>
      </c>
    </row>
    <row r="172" spans="2:36">
      <c r="B172" t="s">
        <v>175</v>
      </c>
      <c r="C172">
        <v>0</v>
      </c>
      <c r="D172">
        <v>0</v>
      </c>
      <c r="E172">
        <v>0</v>
      </c>
      <c r="F172">
        <v>0</v>
      </c>
      <c r="G172">
        <v>0</v>
      </c>
      <c r="H172">
        <v>0</v>
      </c>
      <c r="I172">
        <v>0</v>
      </c>
      <c r="J172">
        <v>0</v>
      </c>
      <c r="K172">
        <v>0</v>
      </c>
      <c r="L172">
        <v>0</v>
      </c>
      <c r="M172">
        <v>0</v>
      </c>
      <c r="N172">
        <v>0</v>
      </c>
      <c r="O172">
        <v>0</v>
      </c>
      <c r="P172">
        <v>0</v>
      </c>
      <c r="Q172">
        <v>0</v>
      </c>
      <c r="R172">
        <v>0</v>
      </c>
      <c r="S172">
        <v>0</v>
      </c>
      <c r="T172">
        <v>0</v>
      </c>
      <c r="U172">
        <v>0</v>
      </c>
      <c r="V172">
        <v>0</v>
      </c>
      <c r="W172">
        <v>0</v>
      </c>
      <c r="X172">
        <v>0</v>
      </c>
      <c r="Y172">
        <v>0</v>
      </c>
      <c r="Z172">
        <v>0</v>
      </c>
      <c r="AA172">
        <v>0</v>
      </c>
      <c r="AB172">
        <v>0</v>
      </c>
      <c r="AC172">
        <v>0</v>
      </c>
      <c r="AD172">
        <v>0</v>
      </c>
      <c r="AE172">
        <v>0</v>
      </c>
      <c r="AF172">
        <v>0</v>
      </c>
      <c r="AG172">
        <v>0</v>
      </c>
      <c r="AH172">
        <v>0</v>
      </c>
      <c r="AI172">
        <v>0</v>
      </c>
      <c r="AJ172">
        <v>0</v>
      </c>
    </row>
    <row r="173" spans="2:36">
      <c r="B173" t="s">
        <v>176</v>
      </c>
      <c r="C173">
        <v>934</v>
      </c>
      <c r="D173">
        <v>775</v>
      </c>
      <c r="E173">
        <v>1311</v>
      </c>
      <c r="F173">
        <v>1783</v>
      </c>
      <c r="G173">
        <v>2535</v>
      </c>
      <c r="H173">
        <v>283</v>
      </c>
      <c r="I173">
        <v>158</v>
      </c>
      <c r="J173">
        <v>1165</v>
      </c>
      <c r="K173">
        <v>2220</v>
      </c>
      <c r="L173">
        <v>1813</v>
      </c>
      <c r="M173">
        <v>2547</v>
      </c>
      <c r="N173">
        <v>3774</v>
      </c>
      <c r="O173">
        <v>5470</v>
      </c>
      <c r="P173">
        <v>2787</v>
      </c>
      <c r="Q173">
        <v>3980</v>
      </c>
      <c r="R173">
        <v>5301</v>
      </c>
      <c r="S173">
        <v>9596</v>
      </c>
      <c r="T173">
        <v>3938</v>
      </c>
      <c r="U173">
        <v>4779</v>
      </c>
      <c r="V173">
        <v>7049</v>
      </c>
      <c r="W173">
        <v>10159</v>
      </c>
      <c r="X173">
        <v>5781</v>
      </c>
      <c r="Y173">
        <v>8111</v>
      </c>
      <c r="Z173">
        <v>12912</v>
      </c>
      <c r="AA173">
        <v>18595</v>
      </c>
      <c r="AB173">
        <v>9773</v>
      </c>
      <c r="AC173">
        <v>15992</v>
      </c>
      <c r="AD173">
        <v>27100</v>
      </c>
      <c r="AE173">
        <v>37529</v>
      </c>
      <c r="AF173">
        <v>17554</v>
      </c>
      <c r="AG173">
        <v>31531</v>
      </c>
      <c r="AH173">
        <v>41720</v>
      </c>
      <c r="AI173">
        <v>50856</v>
      </c>
      <c r="AJ173">
        <v>23426</v>
      </c>
    </row>
    <row r="174" spans="2:36">
      <c r="B174" t="s">
        <v>177</v>
      </c>
      <c r="C174">
        <v>0</v>
      </c>
      <c r="D174">
        <v>0</v>
      </c>
      <c r="E174">
        <v>0</v>
      </c>
      <c r="F174">
        <v>0</v>
      </c>
      <c r="G174">
        <v>0</v>
      </c>
      <c r="H174">
        <v>0</v>
      </c>
      <c r="I174">
        <v>0</v>
      </c>
      <c r="J174">
        <v>0</v>
      </c>
      <c r="K174">
        <v>0</v>
      </c>
      <c r="L174">
        <v>0</v>
      </c>
      <c r="M174">
        <v>0</v>
      </c>
      <c r="N174">
        <v>0</v>
      </c>
      <c r="O174">
        <v>0</v>
      </c>
      <c r="P174">
        <v>0</v>
      </c>
      <c r="Q174">
        <v>0</v>
      </c>
      <c r="R174">
        <v>0</v>
      </c>
      <c r="S174">
        <v>0</v>
      </c>
      <c r="T174">
        <v>0</v>
      </c>
      <c r="U174">
        <v>0</v>
      </c>
      <c r="V174">
        <v>0</v>
      </c>
      <c r="W174">
        <v>0</v>
      </c>
      <c r="X174">
        <v>0</v>
      </c>
      <c r="Y174">
        <v>0</v>
      </c>
      <c r="Z174">
        <v>0</v>
      </c>
      <c r="AA174">
        <v>0</v>
      </c>
      <c r="AB174">
        <v>0</v>
      </c>
      <c r="AC174">
        <v>0</v>
      </c>
      <c r="AD174">
        <v>0</v>
      </c>
      <c r="AE174">
        <v>0</v>
      </c>
      <c r="AF174">
        <v>0</v>
      </c>
      <c r="AG174">
        <v>0</v>
      </c>
      <c r="AH174">
        <v>0</v>
      </c>
      <c r="AI174">
        <v>0</v>
      </c>
      <c r="AJ174">
        <v>0</v>
      </c>
    </row>
    <row r="175" spans="2:36">
      <c r="B175" t="s">
        <v>178</v>
      </c>
      <c r="C175">
        <v>5</v>
      </c>
      <c r="D175">
        <v>0</v>
      </c>
      <c r="E175">
        <v>0</v>
      </c>
      <c r="F175">
        <v>582</v>
      </c>
      <c r="G175">
        <v>0</v>
      </c>
      <c r="H175">
        <v>0</v>
      </c>
      <c r="I175">
        <v>0</v>
      </c>
      <c r="J175">
        <v>0</v>
      </c>
      <c r="K175">
        <v>0</v>
      </c>
      <c r="L175">
        <v>0</v>
      </c>
      <c r="M175">
        <v>0</v>
      </c>
      <c r="N175">
        <v>0</v>
      </c>
      <c r="O175">
        <v>0</v>
      </c>
      <c r="P175">
        <v>0</v>
      </c>
      <c r="Q175">
        <v>0</v>
      </c>
      <c r="R175">
        <v>0</v>
      </c>
      <c r="S175">
        <v>0</v>
      </c>
      <c r="T175">
        <v>0</v>
      </c>
      <c r="U175">
        <v>0</v>
      </c>
      <c r="V175">
        <v>0</v>
      </c>
      <c r="W175">
        <v>0</v>
      </c>
      <c r="X175">
        <v>0</v>
      </c>
      <c r="Y175">
        <v>0</v>
      </c>
      <c r="Z175">
        <v>0</v>
      </c>
      <c r="AA175">
        <v>0</v>
      </c>
      <c r="AB175">
        <v>0</v>
      </c>
      <c r="AC175">
        <v>0</v>
      </c>
      <c r="AD175">
        <v>0</v>
      </c>
      <c r="AE175">
        <v>0</v>
      </c>
      <c r="AF175">
        <v>0</v>
      </c>
      <c r="AG175">
        <v>0</v>
      </c>
      <c r="AH175">
        <v>73140</v>
      </c>
      <c r="AI175">
        <v>99770</v>
      </c>
      <c r="AJ175">
        <v>0</v>
      </c>
    </row>
    <row r="176" spans="2:36">
      <c r="B176" t="s">
        <v>179</v>
      </c>
      <c r="C176">
        <v>1942</v>
      </c>
      <c r="D176">
        <v>915</v>
      </c>
      <c r="E176">
        <v>2992</v>
      </c>
      <c r="F176">
        <v>5108</v>
      </c>
      <c r="G176">
        <v>9195</v>
      </c>
      <c r="H176">
        <v>3396</v>
      </c>
      <c r="I176">
        <v>6683</v>
      </c>
      <c r="J176">
        <v>8002</v>
      </c>
      <c r="K176">
        <v>8312</v>
      </c>
      <c r="L176">
        <v>1589</v>
      </c>
      <c r="M176">
        <v>4466</v>
      </c>
      <c r="N176">
        <v>6666</v>
      </c>
      <c r="O176">
        <v>9424</v>
      </c>
      <c r="P176">
        <v>2887</v>
      </c>
      <c r="Q176">
        <v>8359</v>
      </c>
      <c r="R176">
        <v>11745</v>
      </c>
      <c r="S176">
        <v>16243</v>
      </c>
      <c r="T176">
        <v>4894</v>
      </c>
      <c r="U176">
        <v>11737</v>
      </c>
      <c r="V176">
        <v>21897</v>
      </c>
      <c r="W176">
        <v>30678</v>
      </c>
      <c r="X176">
        <v>9415</v>
      </c>
      <c r="Y176">
        <v>22017</v>
      </c>
      <c r="Z176">
        <v>33806</v>
      </c>
      <c r="AA176">
        <v>46718</v>
      </c>
      <c r="AB176">
        <v>10132</v>
      </c>
      <c r="AC176">
        <v>31916</v>
      </c>
      <c r="AD176">
        <v>50697</v>
      </c>
      <c r="AE176">
        <v>69853</v>
      </c>
      <c r="AF176">
        <v>24510</v>
      </c>
      <c r="AG176">
        <v>56754</v>
      </c>
      <c r="AH176">
        <v>10344</v>
      </c>
      <c r="AI176">
        <v>13035</v>
      </c>
      <c r="AJ176">
        <v>26462</v>
      </c>
    </row>
    <row r="177" spans="2:36">
      <c r="B177" t="s">
        <v>180</v>
      </c>
      <c r="C177">
        <v>-176</v>
      </c>
      <c r="D177">
        <v>-58</v>
      </c>
      <c r="E177">
        <v>-101</v>
      </c>
      <c r="F177">
        <v>-164</v>
      </c>
      <c r="G177">
        <v>-260</v>
      </c>
      <c r="H177">
        <v>-82</v>
      </c>
      <c r="I177">
        <v>-275</v>
      </c>
      <c r="J177">
        <v>-512</v>
      </c>
      <c r="K177">
        <v>-657</v>
      </c>
      <c r="L177">
        <v>-257</v>
      </c>
      <c r="M177">
        <v>-463</v>
      </c>
      <c r="N177">
        <v>-752</v>
      </c>
      <c r="O177">
        <v>-986</v>
      </c>
      <c r="P177">
        <v>-232</v>
      </c>
      <c r="Q177">
        <v>-447</v>
      </c>
      <c r="R177">
        <v>-777</v>
      </c>
      <c r="S177">
        <v>-1199</v>
      </c>
      <c r="T177">
        <v>-353</v>
      </c>
      <c r="U177">
        <v>-469</v>
      </c>
      <c r="V177">
        <v>-741</v>
      </c>
      <c r="W177">
        <v>-1213</v>
      </c>
      <c r="X177">
        <v>-381</v>
      </c>
      <c r="Y177">
        <v>-682</v>
      </c>
      <c r="Z177">
        <v>-1308</v>
      </c>
      <c r="AA177">
        <v>-2121</v>
      </c>
      <c r="AB177">
        <v>-1263</v>
      </c>
      <c r="AC177">
        <v>-1919</v>
      </c>
      <c r="AD177">
        <v>-2881</v>
      </c>
      <c r="AE177">
        <v>-7452</v>
      </c>
      <c r="AF177">
        <v>-1429</v>
      </c>
      <c r="AG177">
        <v>-2938</v>
      </c>
      <c r="AH177">
        <v>-5901</v>
      </c>
      <c r="AI177">
        <v>-9402</v>
      </c>
      <c r="AJ177">
        <v>-2455</v>
      </c>
    </row>
    <row r="178" spans="2:36">
      <c r="B178" t="s">
        <v>181</v>
      </c>
      <c r="C178">
        <v>0</v>
      </c>
      <c r="D178">
        <v>0</v>
      </c>
      <c r="E178">
        <v>0</v>
      </c>
      <c r="F178">
        <v>0</v>
      </c>
      <c r="G178">
        <v>0</v>
      </c>
      <c r="H178">
        <v>0</v>
      </c>
      <c r="I178">
        <v>0</v>
      </c>
      <c r="J178">
        <v>0</v>
      </c>
      <c r="K178">
        <v>0</v>
      </c>
      <c r="L178">
        <v>0</v>
      </c>
      <c r="M178">
        <v>0</v>
      </c>
      <c r="N178">
        <v>0</v>
      </c>
      <c r="O178">
        <v>0</v>
      </c>
      <c r="P178">
        <v>0</v>
      </c>
      <c r="Q178">
        <v>0</v>
      </c>
      <c r="R178">
        <v>0</v>
      </c>
      <c r="S178">
        <v>-220</v>
      </c>
      <c r="T178">
        <v>0</v>
      </c>
      <c r="U178">
        <v>0</v>
      </c>
      <c r="V178">
        <v>0</v>
      </c>
      <c r="W178">
        <v>0</v>
      </c>
      <c r="X178">
        <v>0</v>
      </c>
      <c r="Y178">
        <v>-325</v>
      </c>
      <c r="Z178">
        <v>-615</v>
      </c>
      <c r="AA178">
        <v>-638</v>
      </c>
      <c r="AB178">
        <v>0</v>
      </c>
      <c r="AC178">
        <v>0</v>
      </c>
      <c r="AD178">
        <v>0</v>
      </c>
      <c r="AE178">
        <v>-244</v>
      </c>
      <c r="AF178">
        <v>0</v>
      </c>
      <c r="AG178">
        <v>-350</v>
      </c>
      <c r="AH178">
        <v>-350</v>
      </c>
      <c r="AI178">
        <v>-350</v>
      </c>
      <c r="AJ178">
        <v>-284</v>
      </c>
    </row>
    <row r="179" spans="2:36">
      <c r="B179" t="s">
        <v>182</v>
      </c>
      <c r="C179">
        <v>0</v>
      </c>
      <c r="D179">
        <v>0</v>
      </c>
      <c r="E179">
        <v>0</v>
      </c>
      <c r="F179">
        <v>0</v>
      </c>
      <c r="G179">
        <v>0</v>
      </c>
      <c r="H179">
        <v>0</v>
      </c>
      <c r="I179">
        <v>0</v>
      </c>
      <c r="J179">
        <v>-12</v>
      </c>
      <c r="K179">
        <v>-25</v>
      </c>
      <c r="L179">
        <v>0</v>
      </c>
      <c r="M179">
        <v>0</v>
      </c>
      <c r="N179">
        <v>-6</v>
      </c>
      <c r="O179">
        <v>-17</v>
      </c>
      <c r="P179">
        <v>-9</v>
      </c>
      <c r="Q179">
        <v>-17</v>
      </c>
      <c r="R179">
        <v>-31</v>
      </c>
      <c r="S179">
        <v>-38</v>
      </c>
      <c r="T179">
        <v>-38</v>
      </c>
      <c r="U179">
        <v>-54</v>
      </c>
      <c r="V179">
        <v>-61</v>
      </c>
      <c r="W179">
        <v>-101</v>
      </c>
      <c r="X179">
        <v>-6</v>
      </c>
      <c r="Y179">
        <v>-9</v>
      </c>
      <c r="Z179">
        <v>-10</v>
      </c>
      <c r="AA179">
        <v>-18</v>
      </c>
      <c r="AB179">
        <v>0</v>
      </c>
      <c r="AC179">
        <v>0</v>
      </c>
      <c r="AD179">
        <v>0</v>
      </c>
      <c r="AE179">
        <v>0</v>
      </c>
      <c r="AF179">
        <v>0</v>
      </c>
      <c r="AG179">
        <v>0</v>
      </c>
      <c r="AH179">
        <v>-121091</v>
      </c>
      <c r="AI179">
        <v>-151232</v>
      </c>
      <c r="AJ179">
        <v>0</v>
      </c>
    </row>
    <row r="180" spans="2:36">
      <c r="B180" t="s">
        <v>183</v>
      </c>
      <c r="C180">
        <v>-3270</v>
      </c>
      <c r="D180">
        <v>-2393</v>
      </c>
      <c r="E180">
        <v>-5304</v>
      </c>
      <c r="F180">
        <v>-7624</v>
      </c>
      <c r="G180">
        <v>-11470</v>
      </c>
      <c r="H180">
        <v>-3185</v>
      </c>
      <c r="I180">
        <v>-3792</v>
      </c>
      <c r="J180">
        <v>-4393</v>
      </c>
      <c r="K180">
        <v>-7255</v>
      </c>
      <c r="L180">
        <v>-2581</v>
      </c>
      <c r="M180">
        <v>-6223</v>
      </c>
      <c r="N180">
        <v>-9587</v>
      </c>
      <c r="O180">
        <v>-11719</v>
      </c>
      <c r="P180">
        <v>-6127</v>
      </c>
      <c r="Q180">
        <v>-12740</v>
      </c>
      <c r="R180">
        <v>-17153</v>
      </c>
      <c r="S180">
        <v>-22965</v>
      </c>
      <c r="T180">
        <v>-13082</v>
      </c>
      <c r="U180">
        <v>-23483</v>
      </c>
      <c r="V180">
        <v>-34696</v>
      </c>
      <c r="W180">
        <v>-46724</v>
      </c>
      <c r="X180">
        <v>-12922</v>
      </c>
      <c r="Y180">
        <v>-25061</v>
      </c>
      <c r="Z180">
        <v>-41318</v>
      </c>
      <c r="AA180">
        <v>-57793</v>
      </c>
      <c r="AB180">
        <v>-19575</v>
      </c>
      <c r="AC180">
        <v>-42260</v>
      </c>
      <c r="AD180">
        <v>-75133</v>
      </c>
      <c r="AE180">
        <v>-102317</v>
      </c>
      <c r="AF180">
        <v>-40175</v>
      </c>
      <c r="AG180">
        <v>-85022</v>
      </c>
      <c r="AH180">
        <v>0</v>
      </c>
      <c r="AI180">
        <v>0</v>
      </c>
      <c r="AJ180">
        <v>-37192</v>
      </c>
    </row>
    <row r="181" spans="2:36">
      <c r="B181" t="s">
        <v>184</v>
      </c>
      <c r="C181">
        <v>11</v>
      </c>
      <c r="D181">
        <v>13</v>
      </c>
      <c r="E181">
        <v>-19</v>
      </c>
      <c r="F181">
        <v>-29</v>
      </c>
      <c r="G181">
        <v>-21</v>
      </c>
      <c r="H181">
        <v>-36</v>
      </c>
      <c r="I181">
        <v>-61</v>
      </c>
      <c r="J181">
        <v>1</v>
      </c>
      <c r="K181">
        <v>-18</v>
      </c>
      <c r="L181">
        <v>15</v>
      </c>
      <c r="M181">
        <v>8</v>
      </c>
      <c r="N181">
        <v>34</v>
      </c>
      <c r="O181">
        <v>49</v>
      </c>
      <c r="P181">
        <v>19</v>
      </c>
      <c r="Q181">
        <v>21</v>
      </c>
      <c r="R181">
        <v>20</v>
      </c>
      <c r="S181">
        <v>-10</v>
      </c>
      <c r="T181">
        <v>-60</v>
      </c>
      <c r="U181">
        <v>-55</v>
      </c>
      <c r="V181">
        <v>-62</v>
      </c>
      <c r="W181">
        <v>-74</v>
      </c>
      <c r="X181">
        <v>-64</v>
      </c>
      <c r="Y181">
        <v>19</v>
      </c>
      <c r="Z181">
        <v>-26</v>
      </c>
      <c r="AA181">
        <v>-2</v>
      </c>
      <c r="AB181">
        <v>-23</v>
      </c>
      <c r="AC181">
        <v>12</v>
      </c>
      <c r="AD181">
        <v>34</v>
      </c>
      <c r="AE181">
        <v>-259</v>
      </c>
      <c r="AF181">
        <v>-34</v>
      </c>
      <c r="AG181">
        <v>-48</v>
      </c>
      <c r="AH181">
        <v>-56</v>
      </c>
      <c r="AI181">
        <v>-48</v>
      </c>
      <c r="AJ181">
        <v>-52</v>
      </c>
    </row>
    <row r="182" spans="2:36">
      <c r="B182" t="s">
        <v>185</v>
      </c>
      <c r="C182">
        <v>0</v>
      </c>
      <c r="D182">
        <v>0</v>
      </c>
      <c r="E182">
        <v>0</v>
      </c>
      <c r="F182">
        <v>0</v>
      </c>
      <c r="G182">
        <v>0</v>
      </c>
      <c r="H182">
        <v>0</v>
      </c>
      <c r="I182">
        <v>0</v>
      </c>
      <c r="J182">
        <v>0</v>
      </c>
      <c r="K182">
        <v>0</v>
      </c>
      <c r="L182">
        <v>0</v>
      </c>
      <c r="M182">
        <v>0</v>
      </c>
      <c r="N182">
        <v>0</v>
      </c>
      <c r="O182">
        <v>0</v>
      </c>
      <c r="P182">
        <v>0</v>
      </c>
      <c r="Q182">
        <v>0</v>
      </c>
      <c r="R182">
        <v>0</v>
      </c>
      <c r="S182">
        <v>0</v>
      </c>
      <c r="T182">
        <v>0</v>
      </c>
      <c r="U182">
        <v>0</v>
      </c>
      <c r="V182">
        <v>0</v>
      </c>
      <c r="W182">
        <v>0</v>
      </c>
      <c r="X182">
        <v>0</v>
      </c>
      <c r="Y182">
        <v>0</v>
      </c>
      <c r="Z182">
        <v>0</v>
      </c>
      <c r="AA182">
        <v>0</v>
      </c>
      <c r="AB182">
        <v>0</v>
      </c>
      <c r="AC182">
        <v>0</v>
      </c>
      <c r="AD182">
        <v>0</v>
      </c>
      <c r="AE182">
        <v>0</v>
      </c>
      <c r="AF182">
        <v>0</v>
      </c>
      <c r="AG182">
        <v>0</v>
      </c>
      <c r="AH182">
        <v>0</v>
      </c>
      <c r="AI182">
        <v>0</v>
      </c>
      <c r="AJ182">
        <v>0</v>
      </c>
    </row>
    <row r="183" spans="2:36">
      <c r="B183" t="s">
        <v>186</v>
      </c>
      <c r="C183">
        <v>-1488</v>
      </c>
      <c r="D183">
        <v>-1523</v>
      </c>
      <c r="E183">
        <v>-2432</v>
      </c>
      <c r="F183">
        <v>-2127</v>
      </c>
      <c r="G183">
        <v>-2556</v>
      </c>
      <c r="H183">
        <v>93</v>
      </c>
      <c r="I183">
        <v>2555</v>
      </c>
      <c r="J183">
        <v>3086</v>
      </c>
      <c r="K183">
        <v>357</v>
      </c>
      <c r="L183">
        <v>-1234</v>
      </c>
      <c r="M183">
        <v>-2212</v>
      </c>
      <c r="N183">
        <v>-3645</v>
      </c>
      <c r="O183">
        <v>-3249</v>
      </c>
      <c r="P183">
        <v>-3462</v>
      </c>
      <c r="Q183">
        <v>-4824</v>
      </c>
      <c r="R183">
        <v>-6196</v>
      </c>
      <c r="S183">
        <v>-8189</v>
      </c>
      <c r="T183">
        <v>-8639</v>
      </c>
      <c r="U183">
        <v>-12324</v>
      </c>
      <c r="V183">
        <v>-13663</v>
      </c>
      <c r="W183">
        <v>-17434</v>
      </c>
      <c r="X183">
        <v>-3958</v>
      </c>
      <c r="Y183">
        <v>-4041</v>
      </c>
      <c r="Z183">
        <v>-9471</v>
      </c>
      <c r="AA183">
        <v>-13854</v>
      </c>
      <c r="AB183">
        <v>-10729</v>
      </c>
      <c r="AC183">
        <v>-12251</v>
      </c>
      <c r="AD183">
        <v>-27283</v>
      </c>
      <c r="AE183">
        <v>-40419</v>
      </c>
      <c r="AF183">
        <v>-17128</v>
      </c>
      <c r="AG183">
        <v>-31604</v>
      </c>
      <c r="AH183">
        <v>-43914</v>
      </c>
      <c r="AI183">
        <v>-48227</v>
      </c>
      <c r="AJ183">
        <v>-13521</v>
      </c>
    </row>
    <row r="184" spans="2:36">
      <c r="B184" t="s">
        <v>187</v>
      </c>
      <c r="C184">
        <v>0</v>
      </c>
      <c r="D184">
        <v>0</v>
      </c>
      <c r="E184">
        <v>0</v>
      </c>
      <c r="F184">
        <v>0</v>
      </c>
      <c r="G184">
        <v>0</v>
      </c>
      <c r="H184">
        <v>0</v>
      </c>
      <c r="I184">
        <v>0</v>
      </c>
      <c r="J184">
        <v>0</v>
      </c>
      <c r="K184">
        <v>0</v>
      </c>
      <c r="L184">
        <v>0</v>
      </c>
      <c r="M184">
        <v>0</v>
      </c>
      <c r="N184">
        <v>0</v>
      </c>
      <c r="O184">
        <v>0</v>
      </c>
      <c r="P184">
        <v>0</v>
      </c>
      <c r="Q184">
        <v>0</v>
      </c>
      <c r="R184">
        <v>0</v>
      </c>
      <c r="S184">
        <v>0</v>
      </c>
      <c r="T184">
        <v>0</v>
      </c>
      <c r="U184">
        <v>0</v>
      </c>
      <c r="V184">
        <v>0</v>
      </c>
      <c r="W184">
        <v>0</v>
      </c>
      <c r="X184">
        <v>0</v>
      </c>
      <c r="Y184">
        <v>0</v>
      </c>
      <c r="Z184">
        <v>0</v>
      </c>
      <c r="AA184">
        <v>0</v>
      </c>
      <c r="AB184">
        <v>0</v>
      </c>
      <c r="AC184">
        <v>0</v>
      </c>
      <c r="AD184">
        <v>0</v>
      </c>
      <c r="AE184">
        <v>0</v>
      </c>
      <c r="AF184">
        <v>0</v>
      </c>
      <c r="AG184">
        <v>0</v>
      </c>
      <c r="AH184">
        <v>0</v>
      </c>
      <c r="AI184">
        <v>0</v>
      </c>
      <c r="AJ184">
        <v>0</v>
      </c>
    </row>
    <row r="185" spans="2:36">
      <c r="B185" t="s">
        <v>188</v>
      </c>
      <c r="C185">
        <v>427</v>
      </c>
      <c r="D185">
        <v>254</v>
      </c>
      <c r="E185">
        <v>406</v>
      </c>
      <c r="F185">
        <v>469</v>
      </c>
      <c r="G185">
        <v>543</v>
      </c>
      <c r="H185">
        <v>134</v>
      </c>
      <c r="I185">
        <v>212</v>
      </c>
      <c r="J185">
        <v>286</v>
      </c>
      <c r="K185">
        <v>318</v>
      </c>
      <c r="L185">
        <v>101</v>
      </c>
      <c r="M185">
        <v>176</v>
      </c>
      <c r="N185">
        <v>294</v>
      </c>
      <c r="O185">
        <v>365</v>
      </c>
      <c r="P185">
        <v>179</v>
      </c>
      <c r="Q185">
        <v>233</v>
      </c>
      <c r="R185">
        <v>411</v>
      </c>
      <c r="S185">
        <v>483</v>
      </c>
      <c r="T185">
        <v>77</v>
      </c>
      <c r="U185">
        <v>122</v>
      </c>
      <c r="V185">
        <v>288</v>
      </c>
      <c r="W185">
        <v>475</v>
      </c>
      <c r="X185">
        <v>374</v>
      </c>
      <c r="Y185">
        <v>534</v>
      </c>
      <c r="Z185">
        <v>733</v>
      </c>
      <c r="AA185">
        <v>912</v>
      </c>
      <c r="AB185">
        <v>208</v>
      </c>
      <c r="AC185">
        <v>494</v>
      </c>
      <c r="AD185">
        <v>577</v>
      </c>
      <c r="AE185">
        <v>831</v>
      </c>
      <c r="AF185">
        <v>91</v>
      </c>
      <c r="AG185">
        <v>377</v>
      </c>
      <c r="AH185">
        <v>433</v>
      </c>
      <c r="AI185">
        <v>665</v>
      </c>
      <c r="AJ185">
        <v>76</v>
      </c>
    </row>
    <row r="186" spans="2:36">
      <c r="B186" t="s">
        <v>189</v>
      </c>
      <c r="C186">
        <v>-300</v>
      </c>
      <c r="D186">
        <v>0</v>
      </c>
      <c r="E186">
        <v>0</v>
      </c>
      <c r="F186">
        <v>0</v>
      </c>
      <c r="G186">
        <v>0</v>
      </c>
      <c r="H186">
        <v>0</v>
      </c>
      <c r="I186">
        <v>0</v>
      </c>
      <c r="J186">
        <v>0</v>
      </c>
      <c r="K186">
        <v>0</v>
      </c>
      <c r="L186">
        <v>0</v>
      </c>
      <c r="M186">
        <v>0</v>
      </c>
      <c r="N186">
        <v>0</v>
      </c>
      <c r="O186">
        <v>0</v>
      </c>
      <c r="P186">
        <v>0</v>
      </c>
      <c r="Q186">
        <v>0</v>
      </c>
      <c r="R186">
        <v>0</v>
      </c>
      <c r="S186">
        <v>0</v>
      </c>
      <c r="T186">
        <v>0</v>
      </c>
      <c r="U186">
        <v>0</v>
      </c>
      <c r="V186">
        <v>0</v>
      </c>
      <c r="W186">
        <v>0</v>
      </c>
      <c r="X186">
        <v>0</v>
      </c>
      <c r="Y186">
        <v>0</v>
      </c>
      <c r="Z186">
        <v>0</v>
      </c>
      <c r="AA186">
        <v>0</v>
      </c>
      <c r="AB186">
        <v>0</v>
      </c>
      <c r="AC186">
        <v>0</v>
      </c>
      <c r="AD186">
        <v>0</v>
      </c>
      <c r="AE186">
        <v>0</v>
      </c>
      <c r="AF186">
        <v>0</v>
      </c>
      <c r="AG186">
        <v>0</v>
      </c>
      <c r="AH186">
        <v>0</v>
      </c>
      <c r="AI186">
        <v>0</v>
      </c>
      <c r="AJ186">
        <v>0</v>
      </c>
    </row>
    <row r="187" spans="2:36">
      <c r="B187" t="s">
        <v>190</v>
      </c>
      <c r="C187">
        <v>0</v>
      </c>
      <c r="D187">
        <v>0</v>
      </c>
      <c r="E187">
        <v>0</v>
      </c>
      <c r="F187">
        <v>0</v>
      </c>
      <c r="G187">
        <v>0</v>
      </c>
      <c r="H187">
        <v>0</v>
      </c>
      <c r="I187">
        <v>-353</v>
      </c>
      <c r="J187">
        <v>-354</v>
      </c>
      <c r="K187">
        <v>-355</v>
      </c>
      <c r="L187">
        <v>0</v>
      </c>
      <c r="M187">
        <v>0</v>
      </c>
      <c r="N187">
        <v>0</v>
      </c>
      <c r="O187">
        <v>-3</v>
      </c>
      <c r="P187">
        <v>-9</v>
      </c>
      <c r="Q187">
        <v>0</v>
      </c>
      <c r="R187">
        <v>0</v>
      </c>
      <c r="S187">
        <v>-124</v>
      </c>
      <c r="T187">
        <v>0</v>
      </c>
      <c r="U187">
        <v>0</v>
      </c>
      <c r="V187">
        <v>0</v>
      </c>
      <c r="W187">
        <v>0</v>
      </c>
      <c r="X187">
        <v>0</v>
      </c>
      <c r="Y187">
        <v>0</v>
      </c>
      <c r="Z187">
        <v>0</v>
      </c>
      <c r="AA187">
        <v>0</v>
      </c>
      <c r="AB187">
        <v>0</v>
      </c>
      <c r="AC187">
        <v>0</v>
      </c>
      <c r="AD187">
        <v>0</v>
      </c>
      <c r="AE187">
        <v>0</v>
      </c>
      <c r="AF187">
        <v>0</v>
      </c>
      <c r="AG187">
        <v>0</v>
      </c>
      <c r="AH187">
        <v>0</v>
      </c>
      <c r="AI187">
        <v>0</v>
      </c>
      <c r="AJ187">
        <v>-1950</v>
      </c>
    </row>
    <row r="188" spans="2:36">
      <c r="B188" t="s">
        <v>191</v>
      </c>
      <c r="C188">
        <v>0</v>
      </c>
      <c r="D188">
        <v>0</v>
      </c>
      <c r="E188">
        <v>0</v>
      </c>
      <c r="F188">
        <v>0</v>
      </c>
      <c r="G188">
        <v>0</v>
      </c>
      <c r="H188">
        <v>0</v>
      </c>
      <c r="I188">
        <v>0</v>
      </c>
      <c r="J188">
        <v>0</v>
      </c>
      <c r="K188">
        <v>0</v>
      </c>
      <c r="L188">
        <v>0</v>
      </c>
      <c r="M188">
        <v>0</v>
      </c>
      <c r="N188">
        <v>0</v>
      </c>
      <c r="O188">
        <v>0</v>
      </c>
      <c r="P188">
        <v>0</v>
      </c>
      <c r="Q188">
        <v>0</v>
      </c>
      <c r="R188">
        <v>0</v>
      </c>
      <c r="S188">
        <v>0</v>
      </c>
      <c r="T188">
        <v>0</v>
      </c>
      <c r="U188">
        <v>0</v>
      </c>
      <c r="V188">
        <v>0</v>
      </c>
      <c r="W188">
        <v>0</v>
      </c>
      <c r="X188">
        <v>0</v>
      </c>
      <c r="Y188">
        <v>0</v>
      </c>
      <c r="Z188">
        <v>0</v>
      </c>
      <c r="AA188">
        <v>0</v>
      </c>
      <c r="AB188">
        <v>0</v>
      </c>
      <c r="AC188">
        <v>0</v>
      </c>
      <c r="AD188">
        <v>0</v>
      </c>
      <c r="AE188">
        <v>0</v>
      </c>
      <c r="AF188">
        <v>0</v>
      </c>
      <c r="AG188">
        <v>0</v>
      </c>
      <c r="AH188">
        <v>0</v>
      </c>
      <c r="AI188">
        <v>-2488</v>
      </c>
      <c r="AJ188">
        <v>-2493</v>
      </c>
    </row>
    <row r="189" spans="2:36">
      <c r="B189" t="s">
        <v>192</v>
      </c>
      <c r="C189">
        <v>0</v>
      </c>
      <c r="D189">
        <v>0</v>
      </c>
      <c r="E189">
        <v>0</v>
      </c>
      <c r="F189">
        <v>0</v>
      </c>
      <c r="G189">
        <v>0</v>
      </c>
      <c r="H189">
        <v>149</v>
      </c>
      <c r="I189">
        <v>283</v>
      </c>
      <c r="J189">
        <v>339</v>
      </c>
      <c r="K189">
        <v>361</v>
      </c>
      <c r="L189">
        <v>87</v>
      </c>
      <c r="M189">
        <v>192</v>
      </c>
      <c r="N189">
        <v>303</v>
      </c>
      <c r="O189">
        <v>377</v>
      </c>
      <c r="P189">
        <v>315</v>
      </c>
      <c r="Q189">
        <v>329</v>
      </c>
      <c r="R189">
        <v>505</v>
      </c>
      <c r="S189">
        <v>757</v>
      </c>
      <c r="T189">
        <v>-15</v>
      </c>
      <c r="U189">
        <v>14</v>
      </c>
      <c r="V189">
        <v>56</v>
      </c>
      <c r="W189">
        <v>188</v>
      </c>
      <c r="X189">
        <v>149</v>
      </c>
      <c r="Y189">
        <v>151</v>
      </c>
      <c r="Z189">
        <v>268</v>
      </c>
      <c r="AA189">
        <v>345</v>
      </c>
      <c r="AB189">
        <v>221</v>
      </c>
      <c r="AC189">
        <v>482</v>
      </c>
      <c r="AD189">
        <v>436</v>
      </c>
      <c r="AE189">
        <v>613</v>
      </c>
      <c r="AF189">
        <v>-22</v>
      </c>
      <c r="AG189">
        <v>2</v>
      </c>
      <c r="AH189">
        <v>-109</v>
      </c>
      <c r="AI189">
        <v>125</v>
      </c>
      <c r="AJ189">
        <v>-130</v>
      </c>
    </row>
    <row r="190" spans="2:36">
      <c r="B190" t="s">
        <v>193</v>
      </c>
      <c r="C190">
        <v>0</v>
      </c>
      <c r="D190">
        <v>0</v>
      </c>
      <c r="E190">
        <v>0</v>
      </c>
      <c r="F190">
        <v>0</v>
      </c>
      <c r="G190">
        <v>0</v>
      </c>
      <c r="H190">
        <v>0</v>
      </c>
      <c r="I190">
        <v>0</v>
      </c>
      <c r="J190">
        <v>0</v>
      </c>
      <c r="K190">
        <v>0</v>
      </c>
      <c r="L190">
        <v>0</v>
      </c>
      <c r="M190">
        <v>0</v>
      </c>
      <c r="N190">
        <v>0</v>
      </c>
      <c r="O190">
        <v>0</v>
      </c>
      <c r="P190">
        <v>0</v>
      </c>
      <c r="Q190">
        <v>0</v>
      </c>
      <c r="R190">
        <v>0</v>
      </c>
      <c r="S190">
        <v>0</v>
      </c>
      <c r="T190">
        <v>0</v>
      </c>
      <c r="U190">
        <v>0</v>
      </c>
      <c r="V190">
        <v>0</v>
      </c>
      <c r="W190">
        <v>0</v>
      </c>
      <c r="X190">
        <v>0</v>
      </c>
      <c r="Y190">
        <v>0</v>
      </c>
      <c r="Z190">
        <v>0</v>
      </c>
      <c r="AA190">
        <v>0</v>
      </c>
      <c r="AB190">
        <v>0</v>
      </c>
      <c r="AC190">
        <v>0</v>
      </c>
      <c r="AD190">
        <v>0</v>
      </c>
      <c r="AE190">
        <v>0</v>
      </c>
      <c r="AF190">
        <v>0</v>
      </c>
      <c r="AG190">
        <v>0</v>
      </c>
      <c r="AH190">
        <v>0</v>
      </c>
      <c r="AI190">
        <v>0</v>
      </c>
      <c r="AJ190">
        <v>0</v>
      </c>
    </row>
    <row r="191" spans="2:36">
      <c r="B191" t="s">
        <v>194</v>
      </c>
      <c r="C191">
        <v>127</v>
      </c>
      <c r="D191">
        <v>254</v>
      </c>
      <c r="E191">
        <v>406</v>
      </c>
      <c r="F191">
        <v>469</v>
      </c>
      <c r="G191">
        <v>543</v>
      </c>
      <c r="H191">
        <v>283</v>
      </c>
      <c r="I191">
        <v>142</v>
      </c>
      <c r="J191">
        <v>271</v>
      </c>
      <c r="K191">
        <v>324</v>
      </c>
      <c r="L191">
        <v>188</v>
      </c>
      <c r="M191">
        <v>368</v>
      </c>
      <c r="N191">
        <v>597</v>
      </c>
      <c r="O191">
        <v>739</v>
      </c>
      <c r="P191">
        <v>485</v>
      </c>
      <c r="Q191">
        <v>562</v>
      </c>
      <c r="R191">
        <v>916</v>
      </c>
      <c r="S191">
        <v>1116</v>
      </c>
      <c r="T191">
        <v>62</v>
      </c>
      <c r="U191">
        <v>136</v>
      </c>
      <c r="V191">
        <v>344</v>
      </c>
      <c r="W191">
        <v>663</v>
      </c>
      <c r="X191">
        <v>523</v>
      </c>
      <c r="Y191">
        <v>685</v>
      </c>
      <c r="Z191">
        <v>1001</v>
      </c>
      <c r="AA191">
        <v>1257</v>
      </c>
      <c r="AB191">
        <v>429</v>
      </c>
      <c r="AC191">
        <v>976</v>
      </c>
      <c r="AD191">
        <v>1013</v>
      </c>
      <c r="AE191">
        <v>1444</v>
      </c>
      <c r="AF191">
        <v>69</v>
      </c>
      <c r="AG191">
        <v>379</v>
      </c>
      <c r="AH191">
        <v>324</v>
      </c>
      <c r="AI191">
        <v>-1698</v>
      </c>
      <c r="AJ191">
        <v>-4497</v>
      </c>
    </row>
    <row r="192" spans="2:36">
      <c r="B192" t="s">
        <v>195</v>
      </c>
      <c r="C192">
        <v>0</v>
      </c>
      <c r="D192">
        <v>0</v>
      </c>
      <c r="E192">
        <v>0</v>
      </c>
      <c r="F192">
        <v>0</v>
      </c>
      <c r="G192">
        <v>0</v>
      </c>
      <c r="H192">
        <v>0</v>
      </c>
      <c r="I192">
        <v>0</v>
      </c>
      <c r="J192">
        <v>0</v>
      </c>
      <c r="K192">
        <v>0</v>
      </c>
      <c r="L192">
        <v>0</v>
      </c>
      <c r="M192">
        <v>0</v>
      </c>
      <c r="N192">
        <v>0</v>
      </c>
      <c r="O192">
        <v>0</v>
      </c>
      <c r="P192">
        <v>0</v>
      </c>
      <c r="Q192">
        <v>0</v>
      </c>
      <c r="R192">
        <v>0</v>
      </c>
      <c r="S192">
        <v>0</v>
      </c>
      <c r="T192">
        <v>0</v>
      </c>
      <c r="U192">
        <v>0</v>
      </c>
      <c r="V192">
        <v>0</v>
      </c>
      <c r="W192">
        <v>0</v>
      </c>
      <c r="X192">
        <v>0</v>
      </c>
      <c r="Y192">
        <v>0</v>
      </c>
      <c r="Z192">
        <v>0</v>
      </c>
      <c r="AA192">
        <v>0</v>
      </c>
      <c r="AB192">
        <v>0</v>
      </c>
      <c r="AC192">
        <v>0</v>
      </c>
      <c r="AD192">
        <v>0</v>
      </c>
      <c r="AE192">
        <v>0</v>
      </c>
      <c r="AF192">
        <v>0</v>
      </c>
      <c r="AG192">
        <v>0</v>
      </c>
      <c r="AH192">
        <v>0</v>
      </c>
      <c r="AI192">
        <v>0</v>
      </c>
      <c r="AJ192">
        <v>0</v>
      </c>
    </row>
    <row r="193" spans="2:36">
      <c r="B193" t="s">
        <v>196</v>
      </c>
      <c r="C193">
        <v>-427</v>
      </c>
      <c r="D193">
        <v>-494</v>
      </c>
      <c r="E193">
        <v>-715</v>
      </c>
      <c r="F193">
        <v>125</v>
      </c>
      <c r="G193">
        <v>522</v>
      </c>
      <c r="H193">
        <v>659</v>
      </c>
      <c r="I193">
        <v>2855</v>
      </c>
      <c r="J193">
        <v>4522</v>
      </c>
      <c r="K193">
        <v>2901</v>
      </c>
      <c r="L193">
        <v>767</v>
      </c>
      <c r="M193">
        <v>703</v>
      </c>
      <c r="N193">
        <v>726</v>
      </c>
      <c r="O193">
        <v>2960</v>
      </c>
      <c r="P193">
        <v>-190</v>
      </c>
      <c r="Q193">
        <v>-282</v>
      </c>
      <c r="R193">
        <v>21</v>
      </c>
      <c r="S193">
        <v>2523</v>
      </c>
      <c r="T193">
        <v>-4639</v>
      </c>
      <c r="U193">
        <v>-7409</v>
      </c>
      <c r="V193">
        <v>-6270</v>
      </c>
      <c r="W193">
        <v>-6612</v>
      </c>
      <c r="X193">
        <v>2346</v>
      </c>
      <c r="Y193">
        <v>4755</v>
      </c>
      <c r="Z193">
        <v>4442</v>
      </c>
      <c r="AA193">
        <v>5998</v>
      </c>
      <c r="AB193">
        <v>-527</v>
      </c>
      <c r="AC193">
        <v>4717</v>
      </c>
      <c r="AD193">
        <v>830</v>
      </c>
      <c r="AE193">
        <v>-1446</v>
      </c>
      <c r="AF193">
        <v>495</v>
      </c>
      <c r="AG193">
        <v>306</v>
      </c>
      <c r="AH193">
        <v>-1870</v>
      </c>
      <c r="AI193">
        <v>931</v>
      </c>
      <c r="AJ193">
        <v>5408</v>
      </c>
    </row>
    <row r="194" spans="2:36">
      <c r="B194" t="s">
        <v>197</v>
      </c>
      <c r="C194">
        <v>3396</v>
      </c>
      <c r="D194">
        <v>2969</v>
      </c>
      <c r="E194">
        <v>2969</v>
      </c>
      <c r="F194">
        <v>2969</v>
      </c>
      <c r="G194">
        <v>2969</v>
      </c>
      <c r="H194">
        <v>3491</v>
      </c>
      <c r="I194">
        <v>3491</v>
      </c>
      <c r="J194">
        <v>3491</v>
      </c>
      <c r="K194">
        <v>3491</v>
      </c>
      <c r="L194">
        <v>6392</v>
      </c>
      <c r="M194">
        <v>6392</v>
      </c>
      <c r="N194">
        <v>6392</v>
      </c>
      <c r="O194">
        <v>6392</v>
      </c>
      <c r="P194">
        <v>9352</v>
      </c>
      <c r="Q194">
        <v>9352</v>
      </c>
      <c r="R194">
        <v>9352</v>
      </c>
      <c r="S194">
        <v>9352</v>
      </c>
      <c r="T194">
        <v>11875</v>
      </c>
      <c r="U194">
        <v>11875</v>
      </c>
      <c r="V194">
        <v>11875</v>
      </c>
      <c r="W194">
        <v>11875</v>
      </c>
      <c r="X194">
        <v>5263</v>
      </c>
      <c r="Y194">
        <v>5263</v>
      </c>
      <c r="Z194">
        <v>5263</v>
      </c>
      <c r="AA194">
        <v>5263</v>
      </c>
      <c r="AB194">
        <v>11261</v>
      </c>
      <c r="AC194">
        <v>11261</v>
      </c>
      <c r="AD194">
        <v>11261</v>
      </c>
      <c r="AE194">
        <v>11261</v>
      </c>
      <c r="AF194">
        <v>9815</v>
      </c>
      <c r="AG194">
        <v>9815</v>
      </c>
      <c r="AH194">
        <v>9815</v>
      </c>
      <c r="AI194">
        <v>9815</v>
      </c>
      <c r="AJ194">
        <v>10746</v>
      </c>
    </row>
    <row r="195" spans="2:36">
      <c r="B195" t="s">
        <v>198</v>
      </c>
      <c r="C195">
        <v>2969</v>
      </c>
      <c r="D195">
        <v>2475</v>
      </c>
      <c r="E195">
        <v>2254</v>
      </c>
      <c r="F195">
        <v>3094</v>
      </c>
      <c r="G195">
        <v>3491</v>
      </c>
      <c r="H195">
        <v>4150</v>
      </c>
      <c r="I195">
        <v>6346</v>
      </c>
      <c r="J195">
        <v>8013</v>
      </c>
      <c r="K195">
        <v>6392</v>
      </c>
      <c r="L195">
        <v>7159</v>
      </c>
      <c r="M195">
        <v>7095</v>
      </c>
      <c r="N195">
        <v>7118</v>
      </c>
      <c r="O195">
        <v>9352</v>
      </c>
      <c r="P195">
        <v>9162</v>
      </c>
      <c r="Q195">
        <v>9070</v>
      </c>
      <c r="R195">
        <v>9373</v>
      </c>
      <c r="S195">
        <v>11875</v>
      </c>
      <c r="T195">
        <v>7236</v>
      </c>
      <c r="U195">
        <v>4466</v>
      </c>
      <c r="V195">
        <v>5605</v>
      </c>
      <c r="W195">
        <v>5263</v>
      </c>
      <c r="X195">
        <v>7609</v>
      </c>
      <c r="Y195">
        <v>10018</v>
      </c>
      <c r="Z195">
        <v>9705</v>
      </c>
      <c r="AA195">
        <v>11261</v>
      </c>
      <c r="AB195">
        <v>10734</v>
      </c>
      <c r="AC195">
        <v>15978</v>
      </c>
      <c r="AD195">
        <v>12091</v>
      </c>
      <c r="AE195">
        <v>9815</v>
      </c>
      <c r="AF195">
        <v>10310</v>
      </c>
      <c r="AG195">
        <v>10121</v>
      </c>
      <c r="AH195">
        <v>7945</v>
      </c>
      <c r="AI195">
        <v>10746</v>
      </c>
      <c r="AJ195">
        <v>16154</v>
      </c>
    </row>
    <row r="196" spans="2:36">
      <c r="B196" t="s">
        <v>199</v>
      </c>
      <c r="C196">
        <v>0</v>
      </c>
      <c r="D196">
        <v>0</v>
      </c>
      <c r="E196">
        <v>0</v>
      </c>
      <c r="F196">
        <v>0</v>
      </c>
      <c r="G196">
        <v>0</v>
      </c>
      <c r="H196">
        <v>0</v>
      </c>
      <c r="I196">
        <v>0</v>
      </c>
      <c r="J196">
        <v>0</v>
      </c>
      <c r="K196">
        <v>0</v>
      </c>
      <c r="L196">
        <v>0</v>
      </c>
      <c r="M196">
        <v>0</v>
      </c>
      <c r="N196">
        <v>0</v>
      </c>
      <c r="O196">
        <v>0</v>
      </c>
      <c r="P196">
        <v>0</v>
      </c>
      <c r="Q196">
        <v>0</v>
      </c>
      <c r="R196">
        <v>0</v>
      </c>
      <c r="S196">
        <v>0</v>
      </c>
      <c r="T196">
        <v>0</v>
      </c>
      <c r="U196">
        <v>0</v>
      </c>
      <c r="V196">
        <v>0</v>
      </c>
      <c r="W196">
        <v>0</v>
      </c>
      <c r="X196">
        <v>0</v>
      </c>
      <c r="Y196">
        <v>0</v>
      </c>
      <c r="Z196">
        <v>0</v>
      </c>
      <c r="AA196">
        <v>0</v>
      </c>
      <c r="AB196">
        <v>0</v>
      </c>
      <c r="AC196">
        <v>0</v>
      </c>
      <c r="AD196">
        <v>0</v>
      </c>
      <c r="AE196">
        <v>0</v>
      </c>
      <c r="AF196">
        <v>0</v>
      </c>
      <c r="AG196">
        <v>0</v>
      </c>
      <c r="AH196">
        <v>0</v>
      </c>
      <c r="AI196">
        <v>0</v>
      </c>
      <c r="AJ196">
        <v>0</v>
      </c>
    </row>
    <row r="197" spans="2:36">
      <c r="B197" t="s">
        <v>200</v>
      </c>
      <c r="C197">
        <v>0</v>
      </c>
      <c r="D197">
        <v>0</v>
      </c>
      <c r="E197">
        <v>0</v>
      </c>
      <c r="F197">
        <v>0</v>
      </c>
      <c r="G197">
        <v>0</v>
      </c>
      <c r="H197">
        <v>0</v>
      </c>
      <c r="I197">
        <v>0</v>
      </c>
      <c r="J197">
        <v>0</v>
      </c>
      <c r="K197">
        <v>0</v>
      </c>
      <c r="L197">
        <v>0</v>
      </c>
      <c r="M197">
        <v>0</v>
      </c>
      <c r="N197">
        <v>0</v>
      </c>
      <c r="O197">
        <v>0</v>
      </c>
      <c r="P197">
        <v>0</v>
      </c>
      <c r="Q197">
        <v>0</v>
      </c>
      <c r="R197">
        <v>0</v>
      </c>
      <c r="S197">
        <v>0</v>
      </c>
      <c r="T197">
        <v>0</v>
      </c>
      <c r="U197">
        <v>0</v>
      </c>
      <c r="V197">
        <v>0</v>
      </c>
      <c r="W197">
        <v>0</v>
      </c>
      <c r="X197">
        <v>0</v>
      </c>
      <c r="Y197">
        <v>0</v>
      </c>
      <c r="Z197">
        <v>0</v>
      </c>
      <c r="AA197">
        <v>0</v>
      </c>
      <c r="AB197">
        <v>0</v>
      </c>
      <c r="AC197">
        <v>0</v>
      </c>
      <c r="AD197">
        <v>0</v>
      </c>
      <c r="AE197">
        <v>0</v>
      </c>
      <c r="AF197">
        <v>0</v>
      </c>
      <c r="AG197">
        <v>0</v>
      </c>
      <c r="AH197">
        <v>0</v>
      </c>
      <c r="AI197">
        <v>0</v>
      </c>
      <c r="AJ197">
        <v>0</v>
      </c>
    </row>
    <row r="198" spans="2:36">
      <c r="B198" t="s">
        <v>201</v>
      </c>
    </row>
    <row r="199" spans="2:36">
      <c r="B199" t="s">
        <v>202</v>
      </c>
    </row>
    <row r="200" spans="2:36">
      <c r="B200" t="s">
        <v>204</v>
      </c>
      <c r="C200">
        <v>53.8</v>
      </c>
      <c r="D200">
        <v>51.9</v>
      </c>
      <c r="E200">
        <v>46.3</v>
      </c>
      <c r="F200">
        <v>30.9</v>
      </c>
      <c r="G200">
        <v>34.4</v>
      </c>
      <c r="H200">
        <v>38.700000000000003</v>
      </c>
      <c r="I200">
        <v>31.5</v>
      </c>
      <c r="J200">
        <v>26.5</v>
      </c>
      <c r="K200">
        <v>33.9</v>
      </c>
      <c r="L200">
        <v>30.6</v>
      </c>
      <c r="M200">
        <v>29.3</v>
      </c>
      <c r="N200">
        <v>34.4</v>
      </c>
      <c r="O200">
        <v>39.1</v>
      </c>
      <c r="P200">
        <v>43.4</v>
      </c>
      <c r="Q200">
        <v>29.6</v>
      </c>
      <c r="R200">
        <v>32.700000000000003</v>
      </c>
      <c r="S200">
        <v>21.2</v>
      </c>
      <c r="T200">
        <v>15.8</v>
      </c>
      <c r="U200">
        <v>18.899999999999999</v>
      </c>
      <c r="V200">
        <v>24.9</v>
      </c>
      <c r="W200">
        <v>20.399999999999999</v>
      </c>
      <c r="X200">
        <v>19.2</v>
      </c>
      <c r="Y200">
        <v>18.100000000000001</v>
      </c>
      <c r="Z200">
        <v>16.600000000000001</v>
      </c>
      <c r="AA200">
        <v>18.7</v>
      </c>
      <c r="AB200">
        <v>18</v>
      </c>
      <c r="AC200">
        <v>16.600000000000001</v>
      </c>
      <c r="AD200">
        <v>13.3</v>
      </c>
      <c r="AE200">
        <v>13.8</v>
      </c>
      <c r="AF200">
        <v>11.5</v>
      </c>
      <c r="AG200">
        <v>14.6</v>
      </c>
      <c r="AH200">
        <v>13.7</v>
      </c>
      <c r="AI200">
        <v>15.1</v>
      </c>
      <c r="AJ200">
        <v>12.1</v>
      </c>
    </row>
    <row r="201" spans="2:36">
      <c r="B201" t="s">
        <v>205</v>
      </c>
      <c r="C201">
        <v>54.5</v>
      </c>
      <c r="D201">
        <v>56.1</v>
      </c>
      <c r="E201">
        <v>50.5</v>
      </c>
      <c r="F201">
        <v>38.200000000000003</v>
      </c>
      <c r="G201">
        <v>35</v>
      </c>
      <c r="H201">
        <v>40.6</v>
      </c>
      <c r="I201">
        <v>43.4</v>
      </c>
      <c r="J201">
        <v>40</v>
      </c>
      <c r="K201">
        <v>38.1</v>
      </c>
      <c r="L201">
        <v>33.6</v>
      </c>
      <c r="M201">
        <v>30.9</v>
      </c>
      <c r="N201">
        <v>35.9</v>
      </c>
      <c r="O201">
        <v>39.4</v>
      </c>
      <c r="P201">
        <v>44.5</v>
      </c>
      <c r="Q201">
        <v>41.8</v>
      </c>
      <c r="R201">
        <v>39.6</v>
      </c>
      <c r="S201">
        <v>37.9</v>
      </c>
      <c r="T201">
        <v>37.200000000000003</v>
      </c>
      <c r="U201">
        <v>34.6</v>
      </c>
      <c r="V201">
        <v>31.6</v>
      </c>
      <c r="W201">
        <v>20.8</v>
      </c>
      <c r="X201">
        <v>19.5</v>
      </c>
      <c r="Y201">
        <v>18.3</v>
      </c>
      <c r="Z201">
        <v>18.5</v>
      </c>
      <c r="AA201">
        <v>19.5</v>
      </c>
      <c r="AB201">
        <v>18.2</v>
      </c>
      <c r="AC201">
        <v>17.399999999999999</v>
      </c>
      <c r="AD201">
        <v>14.4</v>
      </c>
      <c r="AE201">
        <v>15.3</v>
      </c>
      <c r="AF201">
        <v>12.2</v>
      </c>
      <c r="AG201">
        <v>15.2</v>
      </c>
      <c r="AH201">
        <v>15.1</v>
      </c>
      <c r="AI201">
        <v>16</v>
      </c>
      <c r="AJ201">
        <v>16</v>
      </c>
    </row>
    <row r="202" spans="2:36">
      <c r="B202" t="s">
        <v>206</v>
      </c>
      <c r="C202">
        <v>27.2</v>
      </c>
      <c r="D202">
        <v>17.100000000000001</v>
      </c>
      <c r="E202">
        <v>14.2</v>
      </c>
      <c r="F202">
        <v>12.1</v>
      </c>
      <c r="G202">
        <v>12.1</v>
      </c>
      <c r="H202">
        <v>16.8</v>
      </c>
      <c r="I202">
        <v>16.600000000000001</v>
      </c>
      <c r="J202">
        <v>16.8</v>
      </c>
      <c r="K202">
        <v>21.1</v>
      </c>
      <c r="L202">
        <v>18.100000000000001</v>
      </c>
      <c r="M202">
        <v>15.9</v>
      </c>
      <c r="N202">
        <v>14.2</v>
      </c>
      <c r="O202">
        <v>18.5</v>
      </c>
      <c r="P202">
        <v>18</v>
      </c>
      <c r="Q202">
        <v>18.5</v>
      </c>
      <c r="R202">
        <v>21.8</v>
      </c>
      <c r="S202">
        <v>18.8</v>
      </c>
      <c r="T202">
        <v>14.7</v>
      </c>
      <c r="U202">
        <v>14.1</v>
      </c>
      <c r="V202">
        <v>13.7</v>
      </c>
      <c r="W202">
        <v>8.6</v>
      </c>
      <c r="X202">
        <v>7.1</v>
      </c>
      <c r="Y202">
        <v>8</v>
      </c>
      <c r="Z202">
        <v>8.9</v>
      </c>
      <c r="AA202">
        <v>11.9</v>
      </c>
      <c r="AB202">
        <v>10.6</v>
      </c>
      <c r="AC202">
        <v>9.5</v>
      </c>
      <c r="AD202">
        <v>9.3000000000000007</v>
      </c>
      <c r="AE202">
        <v>10</v>
      </c>
      <c r="AF202">
        <v>8.8000000000000007</v>
      </c>
      <c r="AG202">
        <v>7.6</v>
      </c>
      <c r="AH202">
        <v>7.9</v>
      </c>
      <c r="AI202">
        <v>8</v>
      </c>
      <c r="AJ202">
        <v>9.1999999999999993</v>
      </c>
    </row>
    <row r="203" spans="2:36">
      <c r="B203" t="s">
        <v>207</v>
      </c>
      <c r="C203">
        <v>29.1</v>
      </c>
      <c r="D203">
        <v>29.5</v>
      </c>
      <c r="E203">
        <v>29.9</v>
      </c>
      <c r="F203">
        <v>30.2</v>
      </c>
      <c r="G203">
        <v>30.3</v>
      </c>
      <c r="H203">
        <v>29.7</v>
      </c>
      <c r="I203">
        <v>29.7</v>
      </c>
      <c r="J203">
        <v>29.9</v>
      </c>
      <c r="K203">
        <v>30.1</v>
      </c>
      <c r="L203">
        <v>31.4</v>
      </c>
      <c r="M203">
        <v>32.799999999999997</v>
      </c>
      <c r="N203">
        <v>34.299999999999997</v>
      </c>
      <c r="O203">
        <v>35.299999999999997</v>
      </c>
      <c r="P203">
        <v>36.299999999999997</v>
      </c>
      <c r="Q203">
        <v>35.799999999999997</v>
      </c>
      <c r="R203">
        <v>35.5</v>
      </c>
      <c r="S203">
        <v>35.799999999999997</v>
      </c>
      <c r="T203">
        <v>35.9</v>
      </c>
      <c r="U203">
        <v>36.9</v>
      </c>
      <c r="V203">
        <v>37.299999999999997</v>
      </c>
      <c r="W203">
        <v>41.9</v>
      </c>
      <c r="X203">
        <v>43.1</v>
      </c>
      <c r="Y203">
        <v>43.9</v>
      </c>
      <c r="Z203">
        <v>43.8</v>
      </c>
      <c r="AA203">
        <v>41</v>
      </c>
      <c r="AB203">
        <v>40.299999999999997</v>
      </c>
      <c r="AC203">
        <v>40.700000000000003</v>
      </c>
      <c r="AD203">
        <v>41.4</v>
      </c>
      <c r="AE203">
        <v>42.2</v>
      </c>
      <c r="AF203">
        <v>44.1</v>
      </c>
      <c r="AG203">
        <v>45.7</v>
      </c>
      <c r="AH203">
        <v>46</v>
      </c>
      <c r="AI203">
        <v>46</v>
      </c>
      <c r="AJ203">
        <v>44.4</v>
      </c>
    </row>
    <row r="204" spans="2:36">
      <c r="B204" t="s">
        <v>208</v>
      </c>
      <c r="C204">
        <v>4.5999999999999996</v>
      </c>
      <c r="D204">
        <v>7.4</v>
      </c>
      <c r="E204">
        <v>9.9</v>
      </c>
      <c r="F204">
        <v>11.8</v>
      </c>
      <c r="G204">
        <v>13</v>
      </c>
      <c r="H204">
        <v>13.7</v>
      </c>
      <c r="I204">
        <v>13.8</v>
      </c>
      <c r="J204">
        <v>14.2</v>
      </c>
      <c r="K204">
        <v>14.6</v>
      </c>
      <c r="L204">
        <v>16.600000000000001</v>
      </c>
      <c r="M204">
        <v>18.399999999999999</v>
      </c>
      <c r="N204">
        <v>19.899999999999999</v>
      </c>
      <c r="O204">
        <v>20.9</v>
      </c>
      <c r="P204">
        <v>22.2</v>
      </c>
      <c r="Q204">
        <v>21.7</v>
      </c>
      <c r="R204">
        <v>21.2</v>
      </c>
      <c r="S204">
        <v>21.2</v>
      </c>
      <c r="T204">
        <v>20.7</v>
      </c>
      <c r="U204">
        <v>21.1</v>
      </c>
      <c r="V204">
        <v>21.2</v>
      </c>
      <c r="W204">
        <v>28.1</v>
      </c>
      <c r="X204">
        <v>30</v>
      </c>
      <c r="Y204">
        <v>31.3</v>
      </c>
      <c r="Z204">
        <v>31.7</v>
      </c>
      <c r="AA204">
        <v>28.4</v>
      </c>
      <c r="AB204">
        <v>28.5</v>
      </c>
      <c r="AC204">
        <v>29.3</v>
      </c>
      <c r="AD204">
        <v>30.8</v>
      </c>
      <c r="AE204">
        <v>31.6</v>
      </c>
      <c r="AF204">
        <v>34.200000000000003</v>
      </c>
      <c r="AG204">
        <v>36.1</v>
      </c>
      <c r="AH204">
        <v>36.1</v>
      </c>
      <c r="AI204">
        <v>35.6</v>
      </c>
      <c r="AJ204">
        <v>34</v>
      </c>
    </row>
    <row r="205" spans="2:36">
      <c r="B205" t="s">
        <v>209</v>
      </c>
      <c r="C205">
        <v>3.3</v>
      </c>
      <c r="D205">
        <v>5.2</v>
      </c>
      <c r="E205">
        <v>6.8</v>
      </c>
      <c r="F205">
        <v>8</v>
      </c>
      <c r="G205">
        <v>9.6</v>
      </c>
      <c r="H205">
        <v>9.9</v>
      </c>
      <c r="I205">
        <v>10</v>
      </c>
      <c r="J205">
        <v>10.3</v>
      </c>
      <c r="K205">
        <v>10.3</v>
      </c>
      <c r="L205">
        <v>11.7</v>
      </c>
      <c r="M205">
        <v>12.9</v>
      </c>
      <c r="N205">
        <v>13.9</v>
      </c>
      <c r="O205">
        <v>14.6</v>
      </c>
      <c r="P205">
        <v>15.4</v>
      </c>
      <c r="Q205">
        <v>15.1</v>
      </c>
      <c r="R205">
        <v>14.9</v>
      </c>
      <c r="S205">
        <v>14.9</v>
      </c>
      <c r="T205">
        <v>14.7</v>
      </c>
      <c r="U205">
        <v>14.9</v>
      </c>
      <c r="V205">
        <v>15</v>
      </c>
      <c r="W205">
        <v>19.2</v>
      </c>
      <c r="X205">
        <v>20.7</v>
      </c>
      <c r="Y205">
        <v>22.1</v>
      </c>
      <c r="Z205">
        <v>22.7</v>
      </c>
      <c r="AA205">
        <v>21.5</v>
      </c>
      <c r="AB205">
        <v>21.8</v>
      </c>
      <c r="AC205">
        <v>22.4</v>
      </c>
      <c r="AD205">
        <v>23.5</v>
      </c>
      <c r="AE205">
        <v>23.9</v>
      </c>
      <c r="AF205">
        <v>25.8</v>
      </c>
      <c r="AG205">
        <v>27.1</v>
      </c>
      <c r="AH205">
        <v>27</v>
      </c>
      <c r="AI205">
        <v>26.7</v>
      </c>
      <c r="AJ205">
        <v>25.3</v>
      </c>
    </row>
    <row r="206" spans="2:36">
      <c r="B206" t="s">
        <v>210</v>
      </c>
      <c r="C206">
        <v>3.3</v>
      </c>
      <c r="D206">
        <v>5.2</v>
      </c>
      <c r="E206">
        <v>6.8</v>
      </c>
      <c r="F206">
        <v>8</v>
      </c>
      <c r="G206">
        <v>9.6</v>
      </c>
      <c r="H206">
        <v>9.9</v>
      </c>
      <c r="I206">
        <v>10</v>
      </c>
      <c r="J206">
        <v>10.3</v>
      </c>
      <c r="K206">
        <v>10.3</v>
      </c>
      <c r="L206">
        <v>11.7</v>
      </c>
      <c r="M206">
        <v>12.9</v>
      </c>
      <c r="N206">
        <v>13.9</v>
      </c>
      <c r="O206">
        <v>14.6</v>
      </c>
      <c r="P206">
        <v>15.4</v>
      </c>
      <c r="Q206">
        <v>15.1</v>
      </c>
      <c r="R206">
        <v>14.9</v>
      </c>
      <c r="S206">
        <v>14.9</v>
      </c>
      <c r="T206">
        <v>14.7</v>
      </c>
      <c r="U206">
        <v>14.9</v>
      </c>
      <c r="V206">
        <v>15</v>
      </c>
      <c r="W206">
        <v>19.2</v>
      </c>
      <c r="X206">
        <v>20.7</v>
      </c>
      <c r="Y206">
        <v>22.1</v>
      </c>
      <c r="Z206">
        <v>22.7</v>
      </c>
      <c r="AA206">
        <v>21.5</v>
      </c>
      <c r="AB206">
        <v>21.8</v>
      </c>
      <c r="AC206">
        <v>22.4</v>
      </c>
      <c r="AD206">
        <v>23.5</v>
      </c>
      <c r="AE206">
        <v>23.9</v>
      </c>
      <c r="AF206">
        <v>25.8</v>
      </c>
      <c r="AG206">
        <v>27.1</v>
      </c>
      <c r="AH206">
        <v>27</v>
      </c>
      <c r="AI206">
        <v>26.7</v>
      </c>
      <c r="AJ206">
        <v>25.3</v>
      </c>
    </row>
    <row r="207" spans="2:36">
      <c r="B207" t="s">
        <v>211</v>
      </c>
      <c r="C207">
        <v>0</v>
      </c>
      <c r="D207">
        <v>0</v>
      </c>
      <c r="E207">
        <v>0</v>
      </c>
      <c r="F207">
        <v>0</v>
      </c>
      <c r="G207">
        <v>0</v>
      </c>
      <c r="H207">
        <v>0</v>
      </c>
      <c r="I207">
        <v>0</v>
      </c>
      <c r="J207">
        <v>0</v>
      </c>
      <c r="K207">
        <v>0</v>
      </c>
      <c r="L207">
        <v>0</v>
      </c>
      <c r="M207">
        <v>0</v>
      </c>
      <c r="N207">
        <v>0</v>
      </c>
      <c r="O207">
        <v>0</v>
      </c>
      <c r="P207">
        <v>0</v>
      </c>
      <c r="Q207">
        <v>0</v>
      </c>
      <c r="R207">
        <v>0</v>
      </c>
      <c r="S207">
        <v>0</v>
      </c>
      <c r="T207">
        <v>0</v>
      </c>
      <c r="U207">
        <v>0</v>
      </c>
      <c r="V207">
        <v>0</v>
      </c>
      <c r="W207">
        <v>0</v>
      </c>
      <c r="X207">
        <v>0</v>
      </c>
      <c r="Y207">
        <v>0</v>
      </c>
      <c r="Z207">
        <v>0</v>
      </c>
      <c r="AA207">
        <v>0</v>
      </c>
      <c r="AB207">
        <v>0</v>
      </c>
      <c r="AC207">
        <v>0</v>
      </c>
      <c r="AD207">
        <v>0</v>
      </c>
      <c r="AE207">
        <v>0</v>
      </c>
      <c r="AF207">
        <v>0</v>
      </c>
      <c r="AG207">
        <v>0</v>
      </c>
      <c r="AH207">
        <v>0</v>
      </c>
      <c r="AI207">
        <v>0</v>
      </c>
      <c r="AJ207">
        <v>0</v>
      </c>
    </row>
    <row r="208" spans="2:36">
      <c r="B208" t="s">
        <v>212</v>
      </c>
      <c r="C208">
        <v>0</v>
      </c>
      <c r="D208">
        <v>0</v>
      </c>
      <c r="E208">
        <v>0</v>
      </c>
      <c r="F208">
        <v>0</v>
      </c>
      <c r="G208">
        <v>0</v>
      </c>
      <c r="H208">
        <v>0</v>
      </c>
      <c r="I208">
        <v>0</v>
      </c>
      <c r="J208">
        <v>0</v>
      </c>
      <c r="K208">
        <v>0</v>
      </c>
      <c r="L208">
        <v>0</v>
      </c>
      <c r="M208">
        <v>0</v>
      </c>
      <c r="N208">
        <v>0</v>
      </c>
      <c r="O208">
        <v>0</v>
      </c>
      <c r="P208">
        <v>0</v>
      </c>
      <c r="Q208">
        <v>0</v>
      </c>
      <c r="R208">
        <v>0</v>
      </c>
      <c r="S208">
        <v>0</v>
      </c>
      <c r="T208">
        <v>0</v>
      </c>
      <c r="U208">
        <v>0</v>
      </c>
      <c r="V208">
        <v>0</v>
      </c>
      <c r="W208">
        <v>0</v>
      </c>
      <c r="X208">
        <v>0</v>
      </c>
      <c r="Y208">
        <v>0</v>
      </c>
      <c r="Z208">
        <v>0</v>
      </c>
      <c r="AA208">
        <v>0</v>
      </c>
      <c r="AB208">
        <v>0</v>
      </c>
      <c r="AC208">
        <v>0</v>
      </c>
      <c r="AD208">
        <v>0</v>
      </c>
      <c r="AE208">
        <v>0</v>
      </c>
      <c r="AF208">
        <v>0</v>
      </c>
      <c r="AG208">
        <v>0</v>
      </c>
      <c r="AH208">
        <v>0</v>
      </c>
      <c r="AI208">
        <v>0</v>
      </c>
      <c r="AJ208">
        <v>0</v>
      </c>
    </row>
    <row r="209" spans="2:36">
      <c r="B209" t="s">
        <v>213</v>
      </c>
      <c r="C209">
        <v>27.9</v>
      </c>
      <c r="D209">
        <v>29.9</v>
      </c>
      <c r="E209">
        <v>31.4</v>
      </c>
      <c r="F209">
        <v>31.9</v>
      </c>
      <c r="G209">
        <v>26.4</v>
      </c>
      <c r="H209">
        <v>27.6</v>
      </c>
      <c r="I209">
        <v>27.7</v>
      </c>
      <c r="J209">
        <v>27.1</v>
      </c>
      <c r="K209">
        <v>29.4</v>
      </c>
      <c r="L209">
        <v>29.3</v>
      </c>
      <c r="M209">
        <v>29.7</v>
      </c>
      <c r="N209">
        <v>30.3</v>
      </c>
      <c r="O209">
        <v>30.2</v>
      </c>
      <c r="P209">
        <v>30.8</v>
      </c>
      <c r="Q209">
        <v>30.2</v>
      </c>
      <c r="R209">
        <v>29.7</v>
      </c>
      <c r="S209">
        <v>29.9</v>
      </c>
      <c r="T209">
        <v>29.1</v>
      </c>
      <c r="U209">
        <v>29.4</v>
      </c>
      <c r="V209">
        <v>29.4</v>
      </c>
      <c r="W209">
        <v>31.8</v>
      </c>
      <c r="X209">
        <v>31.2</v>
      </c>
      <c r="Y209">
        <v>29.5</v>
      </c>
      <c r="Z209">
        <v>28.3</v>
      </c>
      <c r="AA209">
        <v>24.4</v>
      </c>
      <c r="AB209">
        <v>23.5</v>
      </c>
      <c r="AC209">
        <v>23.7</v>
      </c>
      <c r="AD209">
        <v>23.5</v>
      </c>
      <c r="AE209">
        <v>24.2</v>
      </c>
      <c r="AF209">
        <v>24.6</v>
      </c>
      <c r="AG209">
        <v>24.8</v>
      </c>
      <c r="AH209">
        <v>25.2</v>
      </c>
      <c r="AI209">
        <v>25.2</v>
      </c>
      <c r="AJ209">
        <v>25.4</v>
      </c>
    </row>
    <row r="210" spans="2:36">
      <c r="B210" t="s">
        <v>214</v>
      </c>
      <c r="C210">
        <v>23600</v>
      </c>
      <c r="D210">
        <v>90203</v>
      </c>
      <c r="H210">
        <v>111823</v>
      </c>
      <c r="M210">
        <v>161852</v>
      </c>
      <c r="R210">
        <v>151063</v>
      </c>
      <c r="W210">
        <v>223777</v>
      </c>
      <c r="X210">
        <v>283664</v>
      </c>
      <c r="AB210">
        <v>409510</v>
      </c>
      <c r="AG210">
        <v>573255</v>
      </c>
    </row>
    <row r="211" spans="2:36">
      <c r="B211" t="s">
        <v>215</v>
      </c>
      <c r="C211">
        <v>51</v>
      </c>
      <c r="D211">
        <v>49.5</v>
      </c>
      <c r="E211">
        <v>45.3</v>
      </c>
      <c r="F211">
        <v>30.7</v>
      </c>
      <c r="G211">
        <v>34.4</v>
      </c>
      <c r="H211">
        <v>38.700000000000003</v>
      </c>
      <c r="I211">
        <v>31.5</v>
      </c>
      <c r="J211">
        <v>26.5</v>
      </c>
      <c r="K211">
        <v>33.9</v>
      </c>
      <c r="L211">
        <v>30.6</v>
      </c>
      <c r="M211">
        <v>29.3</v>
      </c>
      <c r="N211">
        <v>34.4</v>
      </c>
      <c r="O211">
        <v>39.1</v>
      </c>
      <c r="P211">
        <v>43.4</v>
      </c>
      <c r="Q211">
        <v>29.6</v>
      </c>
      <c r="R211">
        <v>32.700000000000003</v>
      </c>
      <c r="S211">
        <v>21.2</v>
      </c>
      <c r="T211">
        <v>15.8</v>
      </c>
      <c r="U211">
        <v>18.899999999999999</v>
      </c>
      <c r="V211">
        <v>24.9</v>
      </c>
      <c r="W211">
        <v>20.399999999999999</v>
      </c>
      <c r="X211">
        <v>19.2</v>
      </c>
      <c r="Y211">
        <v>18.100000000000001</v>
      </c>
      <c r="Z211">
        <v>16.600000000000001</v>
      </c>
      <c r="AA211">
        <v>18.7</v>
      </c>
      <c r="AB211">
        <v>18</v>
      </c>
      <c r="AC211">
        <v>16.600000000000001</v>
      </c>
      <c r="AD211">
        <v>13.3</v>
      </c>
      <c r="AE211">
        <v>13.8</v>
      </c>
      <c r="AF211">
        <v>11.5</v>
      </c>
      <c r="AG211">
        <v>14.6</v>
      </c>
      <c r="AH211">
        <v>13.7</v>
      </c>
      <c r="AI211">
        <v>15.1</v>
      </c>
      <c r="AJ211">
        <v>12.1</v>
      </c>
    </row>
    <row r="212" spans="2:36">
      <c r="B212" t="s">
        <v>216</v>
      </c>
      <c r="C212">
        <v>51.7</v>
      </c>
      <c r="D212">
        <v>53.5</v>
      </c>
      <c r="E212">
        <v>49.4</v>
      </c>
      <c r="F212">
        <v>37.9</v>
      </c>
      <c r="G212">
        <v>35</v>
      </c>
      <c r="H212">
        <v>40.6</v>
      </c>
      <c r="I212">
        <v>43.4</v>
      </c>
      <c r="J212">
        <v>40</v>
      </c>
      <c r="K212">
        <v>38.1</v>
      </c>
      <c r="L212">
        <v>33.6</v>
      </c>
      <c r="M212">
        <v>30.9</v>
      </c>
      <c r="N212">
        <v>35.9</v>
      </c>
      <c r="O212">
        <v>39.4</v>
      </c>
      <c r="P212">
        <v>44.5</v>
      </c>
      <c r="Q212">
        <v>41.8</v>
      </c>
      <c r="R212">
        <v>39.6</v>
      </c>
      <c r="S212">
        <v>37.9</v>
      </c>
      <c r="T212">
        <v>37.200000000000003</v>
      </c>
      <c r="U212">
        <v>34.6</v>
      </c>
      <c r="V212">
        <v>31.6</v>
      </c>
      <c r="W212">
        <v>20.8</v>
      </c>
      <c r="X212">
        <v>19.5</v>
      </c>
      <c r="Y212">
        <v>18.3</v>
      </c>
      <c r="Z212">
        <v>18.5</v>
      </c>
      <c r="AA212">
        <v>19.5</v>
      </c>
      <c r="AB212">
        <v>18.2</v>
      </c>
      <c r="AC212">
        <v>17.399999999999999</v>
      </c>
      <c r="AD212">
        <v>14.4</v>
      </c>
      <c r="AE212">
        <v>15.3</v>
      </c>
      <c r="AF212">
        <v>12.2</v>
      </c>
      <c r="AG212">
        <v>15.2</v>
      </c>
      <c r="AH212">
        <v>15.1</v>
      </c>
      <c r="AI212">
        <v>16</v>
      </c>
      <c r="AJ212">
        <v>16</v>
      </c>
    </row>
    <row r="213" spans="2:36">
      <c r="B213" t="s">
        <v>217</v>
      </c>
      <c r="C213">
        <v>25.8</v>
      </c>
      <c r="D213">
        <v>16.3</v>
      </c>
      <c r="E213">
        <v>13.9</v>
      </c>
      <c r="F213">
        <v>12</v>
      </c>
      <c r="G213">
        <v>12.1</v>
      </c>
      <c r="H213">
        <v>16.8</v>
      </c>
      <c r="I213">
        <v>16.600000000000001</v>
      </c>
      <c r="J213">
        <v>16.8</v>
      </c>
      <c r="K213">
        <v>21.1</v>
      </c>
      <c r="L213">
        <v>18.100000000000001</v>
      </c>
      <c r="M213">
        <v>15.9</v>
      </c>
      <c r="N213">
        <v>14.2</v>
      </c>
      <c r="O213">
        <v>18.5</v>
      </c>
      <c r="P213">
        <v>18</v>
      </c>
      <c r="Q213">
        <v>18.5</v>
      </c>
      <c r="R213">
        <v>21.8</v>
      </c>
      <c r="S213">
        <v>18.8</v>
      </c>
      <c r="T213">
        <v>14.7</v>
      </c>
      <c r="U213">
        <v>14.1</v>
      </c>
      <c r="V213">
        <v>13.7</v>
      </c>
      <c r="W213">
        <v>8.6</v>
      </c>
      <c r="X213">
        <v>7.1</v>
      </c>
      <c r="Y213">
        <v>8</v>
      </c>
      <c r="Z213">
        <v>8.9</v>
      </c>
      <c r="AA213">
        <v>11.9</v>
      </c>
      <c r="AB213">
        <v>10.6</v>
      </c>
      <c r="AC213">
        <v>9.5</v>
      </c>
      <c r="AD213">
        <v>9.3000000000000007</v>
      </c>
      <c r="AE213">
        <v>10</v>
      </c>
      <c r="AF213">
        <v>8.8000000000000007</v>
      </c>
      <c r="AG213">
        <v>7.6</v>
      </c>
      <c r="AH213">
        <v>7.9</v>
      </c>
      <c r="AI213">
        <v>8</v>
      </c>
      <c r="AJ213">
        <v>9.1999999999999993</v>
      </c>
    </row>
    <row r="214" spans="2:36">
      <c r="B214" t="s">
        <v>218</v>
      </c>
      <c r="C214">
        <v>3.6</v>
      </c>
      <c r="D214">
        <v>5.5</v>
      </c>
      <c r="E214">
        <v>6.9</v>
      </c>
      <c r="F214">
        <v>8.1</v>
      </c>
      <c r="G214">
        <v>9.6</v>
      </c>
      <c r="H214">
        <v>9.9</v>
      </c>
      <c r="I214">
        <v>10</v>
      </c>
      <c r="J214">
        <v>10.3</v>
      </c>
      <c r="K214">
        <v>10.3</v>
      </c>
      <c r="L214">
        <v>11.7</v>
      </c>
      <c r="M214">
        <v>12.9</v>
      </c>
      <c r="N214">
        <v>13.9</v>
      </c>
      <c r="O214">
        <v>14.6</v>
      </c>
      <c r="P214">
        <v>15.4</v>
      </c>
      <c r="Q214">
        <v>15.1</v>
      </c>
      <c r="R214">
        <v>14.9</v>
      </c>
      <c r="S214">
        <v>14.9</v>
      </c>
      <c r="T214">
        <v>14.7</v>
      </c>
      <c r="U214">
        <v>14.9</v>
      </c>
      <c r="V214">
        <v>15</v>
      </c>
      <c r="W214">
        <v>19.2</v>
      </c>
      <c r="X214">
        <v>20.7</v>
      </c>
      <c r="Y214">
        <v>22.1</v>
      </c>
      <c r="Z214">
        <v>22.7</v>
      </c>
      <c r="AA214">
        <v>21.5</v>
      </c>
      <c r="AB214">
        <v>21.8</v>
      </c>
      <c r="AC214">
        <v>22.4</v>
      </c>
      <c r="AD214">
        <v>23.5</v>
      </c>
      <c r="AE214">
        <v>23.9</v>
      </c>
      <c r="AF214">
        <v>25.8</v>
      </c>
      <c r="AG214">
        <v>27.1</v>
      </c>
      <c r="AH214">
        <v>27</v>
      </c>
      <c r="AI214">
        <v>26.7</v>
      </c>
      <c r="AJ214">
        <v>25.3</v>
      </c>
    </row>
    <row r="215" spans="2:36">
      <c r="B215" t="s">
        <v>219</v>
      </c>
      <c r="C215">
        <v>5.9</v>
      </c>
      <c r="D215">
        <v>9.1999999999999993</v>
      </c>
      <c r="E215">
        <v>12</v>
      </c>
      <c r="F215">
        <v>15</v>
      </c>
      <c r="G215">
        <v>17.899999999999999</v>
      </c>
      <c r="H215">
        <v>19.2</v>
      </c>
      <c r="I215">
        <v>19.899999999999999</v>
      </c>
      <c r="J215">
        <v>20.100000000000001</v>
      </c>
      <c r="K215">
        <v>19.899999999999999</v>
      </c>
      <c r="L215">
        <v>21.6</v>
      </c>
      <c r="M215">
        <v>22.7</v>
      </c>
      <c r="N215">
        <v>23.4</v>
      </c>
      <c r="O215">
        <v>24.1</v>
      </c>
      <c r="P215">
        <v>24.2</v>
      </c>
      <c r="Q215">
        <v>24.1</v>
      </c>
      <c r="R215">
        <v>23.5</v>
      </c>
      <c r="S215">
        <v>23</v>
      </c>
      <c r="T215">
        <v>21.2</v>
      </c>
      <c r="U215">
        <v>20.6</v>
      </c>
      <c r="V215">
        <v>20</v>
      </c>
      <c r="W215">
        <v>26</v>
      </c>
      <c r="X215">
        <v>28</v>
      </c>
      <c r="Y215">
        <v>30.2</v>
      </c>
      <c r="Z215">
        <v>32.200000000000003</v>
      </c>
      <c r="AA215">
        <v>29.3</v>
      </c>
      <c r="AB215">
        <v>30.4</v>
      </c>
      <c r="AC215">
        <v>31.8</v>
      </c>
      <c r="AD215">
        <v>34</v>
      </c>
      <c r="AE215">
        <v>33.799999999999997</v>
      </c>
      <c r="AF215">
        <v>36.6</v>
      </c>
      <c r="AG215">
        <v>37.700000000000003</v>
      </c>
      <c r="AH215">
        <v>35.9</v>
      </c>
      <c r="AI215">
        <v>35.299999999999997</v>
      </c>
      <c r="AJ215">
        <v>32.799999999999997</v>
      </c>
    </row>
    <row r="216" spans="2:36">
      <c r="B216" t="s">
        <v>220</v>
      </c>
      <c r="C216">
        <v>3.7</v>
      </c>
      <c r="D216">
        <v>5.7</v>
      </c>
      <c r="E216">
        <v>7.6</v>
      </c>
      <c r="F216">
        <v>9.6999999999999993</v>
      </c>
      <c r="G216">
        <v>11.6</v>
      </c>
      <c r="H216">
        <v>11.3</v>
      </c>
      <c r="I216">
        <v>12.4</v>
      </c>
      <c r="J216">
        <v>12.4</v>
      </c>
      <c r="K216">
        <v>11.6</v>
      </c>
      <c r="L216">
        <v>12.5</v>
      </c>
      <c r="M216">
        <v>14.9</v>
      </c>
      <c r="N216">
        <v>14.5</v>
      </c>
      <c r="O216">
        <v>13.8</v>
      </c>
      <c r="P216">
        <v>13.6</v>
      </c>
      <c r="Q216">
        <v>14.3</v>
      </c>
      <c r="R216">
        <v>14.5</v>
      </c>
      <c r="S216">
        <v>12.2</v>
      </c>
      <c r="T216">
        <v>11.4</v>
      </c>
      <c r="U216">
        <v>11.6</v>
      </c>
      <c r="V216">
        <v>10.7</v>
      </c>
      <c r="W216">
        <v>17.3</v>
      </c>
      <c r="X216">
        <v>18.600000000000001</v>
      </c>
      <c r="Y216">
        <v>20.8</v>
      </c>
      <c r="Z216">
        <v>21.5</v>
      </c>
      <c r="AA216">
        <v>18.600000000000001</v>
      </c>
      <c r="AB216">
        <v>19.2</v>
      </c>
      <c r="AC216">
        <v>20.6</v>
      </c>
      <c r="AD216">
        <v>22.1</v>
      </c>
      <c r="AE216">
        <v>22.3</v>
      </c>
      <c r="AF216">
        <v>23.8</v>
      </c>
      <c r="AG216">
        <v>25.6</v>
      </c>
      <c r="AH216">
        <v>24.6</v>
      </c>
      <c r="AI216">
        <v>23.7</v>
      </c>
      <c r="AJ216">
        <v>21.3</v>
      </c>
    </row>
    <row r="217" spans="2:36">
      <c r="B217" t="s">
        <v>221</v>
      </c>
      <c r="C217">
        <v>5.9</v>
      </c>
      <c r="D217">
        <v>9.1999999999999993</v>
      </c>
      <c r="E217">
        <v>12</v>
      </c>
      <c r="F217">
        <v>15</v>
      </c>
      <c r="G217">
        <v>17.899999999999999</v>
      </c>
      <c r="H217">
        <v>19.2</v>
      </c>
      <c r="I217">
        <v>19.899999999999999</v>
      </c>
      <c r="J217">
        <v>20.100000000000001</v>
      </c>
      <c r="K217">
        <v>19.899999999999999</v>
      </c>
      <c r="L217">
        <v>21.6</v>
      </c>
      <c r="M217">
        <v>22.7</v>
      </c>
      <c r="N217">
        <v>23.4</v>
      </c>
      <c r="O217">
        <v>24.1</v>
      </c>
      <c r="P217">
        <v>24.2</v>
      </c>
      <c r="Q217">
        <v>24.1</v>
      </c>
      <c r="R217">
        <v>23.5</v>
      </c>
      <c r="S217">
        <v>23</v>
      </c>
      <c r="T217">
        <v>21.2</v>
      </c>
      <c r="U217">
        <v>20.6</v>
      </c>
      <c r="V217">
        <v>20</v>
      </c>
      <c r="W217">
        <v>26</v>
      </c>
      <c r="X217">
        <v>28</v>
      </c>
      <c r="Y217">
        <v>30.2</v>
      </c>
      <c r="Z217">
        <v>32.200000000000003</v>
      </c>
      <c r="AA217">
        <v>29.3</v>
      </c>
      <c r="AB217">
        <v>30.4</v>
      </c>
      <c r="AC217">
        <v>31.8</v>
      </c>
      <c r="AD217">
        <v>34</v>
      </c>
      <c r="AE217">
        <v>33.799999999999997</v>
      </c>
      <c r="AF217">
        <v>36.6</v>
      </c>
      <c r="AG217">
        <v>37.700000000000003</v>
      </c>
      <c r="AH217">
        <v>35.9</v>
      </c>
      <c r="AI217">
        <v>35.299999999999997</v>
      </c>
      <c r="AJ217">
        <v>32.799999999999997</v>
      </c>
    </row>
    <row r="218" spans="2:36">
      <c r="B218" t="s">
        <v>222</v>
      </c>
      <c r="C218">
        <v>25566</v>
      </c>
      <c r="D218">
        <v>90203</v>
      </c>
      <c r="H218">
        <v>111823</v>
      </c>
      <c r="M218">
        <v>161852</v>
      </c>
      <c r="R218">
        <v>151063</v>
      </c>
      <c r="W218">
        <v>223777</v>
      </c>
      <c r="X218">
        <v>283664</v>
      </c>
      <c r="AB218">
        <v>409510</v>
      </c>
      <c r="AG218">
        <v>573255</v>
      </c>
    </row>
    <row r="219" spans="2:36">
      <c r="B219" t="s">
        <v>223</v>
      </c>
      <c r="C219">
        <v>2.2999999999999998</v>
      </c>
      <c r="D219">
        <v>2.2999999999999998</v>
      </c>
      <c r="E219">
        <v>2.4</v>
      </c>
      <c r="F219">
        <v>2.7</v>
      </c>
      <c r="G219">
        <v>2.6</v>
      </c>
      <c r="H219">
        <v>2</v>
      </c>
      <c r="I219">
        <v>2</v>
      </c>
      <c r="J219">
        <v>2</v>
      </c>
      <c r="K219">
        <v>1.8</v>
      </c>
      <c r="L219">
        <v>2</v>
      </c>
      <c r="M219">
        <v>2.6</v>
      </c>
      <c r="N219">
        <v>2.2000000000000002</v>
      </c>
      <c r="O219">
        <v>2.1</v>
      </c>
      <c r="P219">
        <v>2.2000000000000002</v>
      </c>
      <c r="Q219">
        <v>2.4</v>
      </c>
      <c r="R219">
        <v>2.4</v>
      </c>
      <c r="S219">
        <v>2.1</v>
      </c>
      <c r="T219">
        <v>2</v>
      </c>
      <c r="U219">
        <v>2</v>
      </c>
      <c r="V219">
        <v>1.7</v>
      </c>
      <c r="W219">
        <v>2.5</v>
      </c>
      <c r="X219">
        <v>2.2999999999999998</v>
      </c>
      <c r="Y219">
        <v>2.2999999999999998</v>
      </c>
      <c r="Z219">
        <v>2</v>
      </c>
      <c r="AA219">
        <v>1.7</v>
      </c>
      <c r="AB219">
        <v>1.6</v>
      </c>
      <c r="AC219">
        <v>1.7</v>
      </c>
      <c r="AD219">
        <v>1.5</v>
      </c>
      <c r="AE219">
        <v>1.3</v>
      </c>
      <c r="AF219">
        <v>1.3</v>
      </c>
      <c r="AG219">
        <v>1.3</v>
      </c>
      <c r="AH219">
        <v>1.3</v>
      </c>
      <c r="AI219">
        <v>1.2</v>
      </c>
      <c r="AJ219">
        <v>1.3</v>
      </c>
    </row>
    <row r="220" spans="2:36">
      <c r="B220" t="s">
        <v>224</v>
      </c>
      <c r="C220">
        <v>2.6</v>
      </c>
      <c r="D220">
        <v>2.6</v>
      </c>
      <c r="E220">
        <v>2.7</v>
      </c>
      <c r="F220">
        <v>3</v>
      </c>
      <c r="G220">
        <v>3</v>
      </c>
      <c r="H220">
        <v>2.4</v>
      </c>
      <c r="I220">
        <v>2.5</v>
      </c>
      <c r="J220">
        <v>2.5</v>
      </c>
      <c r="K220">
        <v>2.2000000000000002</v>
      </c>
      <c r="L220">
        <v>2.2999999999999998</v>
      </c>
      <c r="M220">
        <v>2.9</v>
      </c>
      <c r="N220">
        <v>2.7</v>
      </c>
      <c r="O220">
        <v>2.4</v>
      </c>
      <c r="P220">
        <v>2.5</v>
      </c>
      <c r="Q220">
        <v>2.8</v>
      </c>
      <c r="R220">
        <v>3</v>
      </c>
      <c r="S220">
        <v>2.5</v>
      </c>
      <c r="T220">
        <v>2.4</v>
      </c>
      <c r="U220">
        <v>2.5</v>
      </c>
      <c r="V220">
        <v>2.1</v>
      </c>
      <c r="W220">
        <v>2.7</v>
      </c>
      <c r="X220">
        <v>2.5</v>
      </c>
      <c r="Y220">
        <v>2.6</v>
      </c>
      <c r="Z220">
        <v>2.2999999999999998</v>
      </c>
      <c r="AA220">
        <v>2</v>
      </c>
      <c r="AB220">
        <v>1.8</v>
      </c>
      <c r="AC220">
        <v>1.9</v>
      </c>
      <c r="AD220">
        <v>1.7</v>
      </c>
      <c r="AE220">
        <v>1.6</v>
      </c>
      <c r="AF220">
        <v>1.6</v>
      </c>
      <c r="AG220">
        <v>1.6</v>
      </c>
      <c r="AH220">
        <v>1.6</v>
      </c>
      <c r="AI220">
        <v>1.5</v>
      </c>
      <c r="AJ220">
        <v>1.5</v>
      </c>
    </row>
    <row r="221" spans="2:36">
      <c r="B221" t="s">
        <v>225</v>
      </c>
      <c r="AG221">
        <v>6</v>
      </c>
      <c r="AH221">
        <v>12</v>
      </c>
      <c r="AI221">
        <v>19</v>
      </c>
    </row>
    <row r="222" spans="2:36">
      <c r="B222" t="s">
        <v>226</v>
      </c>
      <c r="C222">
        <v>0</v>
      </c>
      <c r="D222">
        <v>0</v>
      </c>
      <c r="E222">
        <v>0</v>
      </c>
      <c r="F222">
        <v>0</v>
      </c>
      <c r="G222">
        <v>0</v>
      </c>
      <c r="H222">
        <v>0</v>
      </c>
      <c r="I222">
        <v>0</v>
      </c>
      <c r="J222">
        <v>0</v>
      </c>
      <c r="K222">
        <v>0</v>
      </c>
      <c r="L222">
        <v>0</v>
      </c>
      <c r="M222">
        <v>0</v>
      </c>
      <c r="N222">
        <v>0</v>
      </c>
      <c r="O222">
        <v>0</v>
      </c>
      <c r="P222">
        <v>0</v>
      </c>
      <c r="Q222">
        <v>0</v>
      </c>
      <c r="R222">
        <v>0</v>
      </c>
      <c r="S222">
        <v>0</v>
      </c>
      <c r="T222">
        <v>0</v>
      </c>
      <c r="U222">
        <v>0</v>
      </c>
      <c r="V222">
        <v>0</v>
      </c>
      <c r="W222">
        <v>0</v>
      </c>
      <c r="X222">
        <v>0</v>
      </c>
      <c r="Y222">
        <v>0</v>
      </c>
      <c r="Z222">
        <v>0</v>
      </c>
      <c r="AA222">
        <v>0</v>
      </c>
      <c r="AB222">
        <v>0</v>
      </c>
      <c r="AC222">
        <v>0</v>
      </c>
      <c r="AD222">
        <v>0</v>
      </c>
      <c r="AE222">
        <v>0</v>
      </c>
      <c r="AF222">
        <v>0</v>
      </c>
      <c r="AG222">
        <v>0</v>
      </c>
      <c r="AH222">
        <v>0</v>
      </c>
      <c r="AI222">
        <v>0</v>
      </c>
      <c r="AJ222">
        <v>0</v>
      </c>
    </row>
    <row r="223" spans="2:36">
      <c r="B223" t="s">
        <v>227</v>
      </c>
      <c r="C223">
        <v>0</v>
      </c>
      <c r="D223">
        <v>0</v>
      </c>
      <c r="E223">
        <v>0</v>
      </c>
      <c r="F223">
        <v>0</v>
      </c>
      <c r="G223">
        <v>0</v>
      </c>
      <c r="H223">
        <v>0</v>
      </c>
      <c r="I223">
        <v>0</v>
      </c>
      <c r="J223">
        <v>0</v>
      </c>
      <c r="K223">
        <v>0</v>
      </c>
      <c r="L223">
        <v>0</v>
      </c>
      <c r="M223">
        <v>0</v>
      </c>
      <c r="N223">
        <v>0</v>
      </c>
      <c r="O223">
        <v>0</v>
      </c>
      <c r="P223">
        <v>0</v>
      </c>
      <c r="Q223">
        <v>0</v>
      </c>
      <c r="R223">
        <v>0</v>
      </c>
      <c r="S223">
        <v>0</v>
      </c>
      <c r="T223">
        <v>0</v>
      </c>
      <c r="U223">
        <v>0</v>
      </c>
      <c r="V223">
        <v>0</v>
      </c>
      <c r="W223">
        <v>0</v>
      </c>
      <c r="X223">
        <v>0</v>
      </c>
      <c r="Y223">
        <v>0</v>
      </c>
      <c r="Z223">
        <v>0</v>
      </c>
      <c r="AA223">
        <v>0</v>
      </c>
      <c r="AB223">
        <v>0</v>
      </c>
      <c r="AC223">
        <v>0</v>
      </c>
      <c r="AD223">
        <v>0</v>
      </c>
      <c r="AE223">
        <v>0</v>
      </c>
      <c r="AF223">
        <v>0</v>
      </c>
      <c r="AG223">
        <v>0</v>
      </c>
      <c r="AH223">
        <v>0</v>
      </c>
      <c r="AI223">
        <v>0</v>
      </c>
      <c r="AJ223">
        <v>0</v>
      </c>
    </row>
    <row r="224" spans="2:36">
      <c r="B224" t="s">
        <v>228</v>
      </c>
      <c r="C224">
        <v>1.6</v>
      </c>
      <c r="D224">
        <v>1.6</v>
      </c>
      <c r="E224">
        <v>1.6</v>
      </c>
      <c r="F224">
        <v>1.5</v>
      </c>
      <c r="G224">
        <v>1.5</v>
      </c>
      <c r="H224">
        <v>1.7</v>
      </c>
      <c r="I224">
        <v>1.6</v>
      </c>
      <c r="J224">
        <v>1.6</v>
      </c>
      <c r="K224">
        <v>1.7</v>
      </c>
      <c r="L224">
        <v>1.7</v>
      </c>
      <c r="M224">
        <v>1.5</v>
      </c>
      <c r="N224">
        <v>1.6</v>
      </c>
      <c r="O224">
        <v>1.7</v>
      </c>
      <c r="P224">
        <v>1.8</v>
      </c>
      <c r="Q224">
        <v>1.7</v>
      </c>
      <c r="R224">
        <v>1.6</v>
      </c>
      <c r="S224">
        <v>1.9</v>
      </c>
      <c r="T224">
        <v>1.9</v>
      </c>
      <c r="U224">
        <v>1.8</v>
      </c>
      <c r="V224">
        <v>1.9</v>
      </c>
      <c r="W224">
        <v>1.5</v>
      </c>
      <c r="X224">
        <v>1.5</v>
      </c>
      <c r="Y224">
        <v>1.5</v>
      </c>
      <c r="Z224">
        <v>1.5</v>
      </c>
      <c r="AA224">
        <v>1.6</v>
      </c>
      <c r="AB224">
        <v>1.6</v>
      </c>
      <c r="AC224">
        <v>1.5</v>
      </c>
      <c r="AD224">
        <v>1.5</v>
      </c>
      <c r="AE224">
        <v>1.5</v>
      </c>
      <c r="AF224">
        <v>1.5</v>
      </c>
      <c r="AG224">
        <v>1.5</v>
      </c>
      <c r="AH224">
        <v>1.5</v>
      </c>
      <c r="AI224">
        <v>1.5</v>
      </c>
      <c r="AJ224">
        <v>1.5</v>
      </c>
    </row>
    <row r="225" spans="2:36">
      <c r="B225" t="s">
        <v>229</v>
      </c>
      <c r="C225">
        <v>1.1000000000000001</v>
      </c>
      <c r="D225">
        <v>1.2</v>
      </c>
      <c r="E225">
        <v>1.3</v>
      </c>
      <c r="F225">
        <v>1.4</v>
      </c>
      <c r="G225">
        <v>1.4</v>
      </c>
      <c r="H225">
        <v>1.4</v>
      </c>
      <c r="I225">
        <v>1.4</v>
      </c>
      <c r="J225">
        <v>1.4</v>
      </c>
      <c r="K225">
        <v>1.3</v>
      </c>
      <c r="L225">
        <v>1.2</v>
      </c>
      <c r="M225">
        <v>1.3</v>
      </c>
      <c r="N225">
        <v>1.2</v>
      </c>
      <c r="O225">
        <v>1.1000000000000001</v>
      </c>
      <c r="P225">
        <v>1.1000000000000001</v>
      </c>
      <c r="Q225">
        <v>1.2</v>
      </c>
      <c r="R225">
        <v>1.2</v>
      </c>
      <c r="S225">
        <v>1</v>
      </c>
      <c r="T225">
        <v>0.9</v>
      </c>
      <c r="U225">
        <v>0.9</v>
      </c>
      <c r="V225">
        <v>0.9</v>
      </c>
      <c r="W225">
        <v>1</v>
      </c>
      <c r="X225">
        <v>1</v>
      </c>
      <c r="Y225">
        <v>1.1000000000000001</v>
      </c>
      <c r="Z225">
        <v>1.1000000000000001</v>
      </c>
      <c r="AA225">
        <v>1.1000000000000001</v>
      </c>
      <c r="AB225">
        <v>1.1000000000000001</v>
      </c>
      <c r="AC225">
        <v>1.2</v>
      </c>
      <c r="AD225">
        <v>1.2</v>
      </c>
      <c r="AE225">
        <v>1.1000000000000001</v>
      </c>
      <c r="AF225">
        <v>1.1000000000000001</v>
      </c>
      <c r="AG225">
        <v>1.2</v>
      </c>
      <c r="AH225">
        <v>1.1000000000000001</v>
      </c>
      <c r="AI225">
        <v>1.1000000000000001</v>
      </c>
      <c r="AJ225">
        <v>1</v>
      </c>
    </row>
    <row r="226" spans="2:36">
      <c r="B226" t="s">
        <v>230</v>
      </c>
      <c r="C226">
        <v>35.9</v>
      </c>
      <c r="D226">
        <v>25.4</v>
      </c>
      <c r="E226">
        <v>20.3</v>
      </c>
      <c r="F226">
        <v>24.5</v>
      </c>
      <c r="G226">
        <v>25.1</v>
      </c>
      <c r="H226">
        <v>25.6</v>
      </c>
      <c r="I226">
        <v>36.700000000000003</v>
      </c>
      <c r="J226">
        <v>44.1</v>
      </c>
      <c r="K226">
        <v>33.1</v>
      </c>
      <c r="L226">
        <v>34.6</v>
      </c>
      <c r="M226">
        <v>32.9</v>
      </c>
      <c r="N226">
        <v>31.5</v>
      </c>
      <c r="O226">
        <v>39</v>
      </c>
      <c r="P226">
        <v>34.6</v>
      </c>
      <c r="Q226">
        <v>31.6</v>
      </c>
      <c r="R226">
        <v>30.4</v>
      </c>
      <c r="S226">
        <v>36.6</v>
      </c>
      <c r="T226">
        <v>21.9</v>
      </c>
      <c r="U226">
        <v>13.3</v>
      </c>
      <c r="V226">
        <v>16.2</v>
      </c>
      <c r="W226">
        <v>12.3</v>
      </c>
      <c r="X226">
        <v>15.7</v>
      </c>
      <c r="Y226">
        <v>18.600000000000001</v>
      </c>
      <c r="Z226">
        <v>15.9</v>
      </c>
      <c r="AA226">
        <v>17.3</v>
      </c>
      <c r="AB226">
        <v>14.1</v>
      </c>
      <c r="AC226">
        <v>18.3</v>
      </c>
      <c r="AD226">
        <v>12.1</v>
      </c>
      <c r="AE226">
        <v>9.1</v>
      </c>
      <c r="AF226">
        <v>8.1</v>
      </c>
      <c r="AG226">
        <v>7.1</v>
      </c>
      <c r="AH226">
        <v>5.3</v>
      </c>
      <c r="AI226">
        <v>6.9</v>
      </c>
      <c r="AJ226">
        <v>9.8000000000000007</v>
      </c>
    </row>
    <row r="227" spans="2:36">
      <c r="B227" t="s">
        <v>231</v>
      </c>
      <c r="C227">
        <v>9.3000000000000007</v>
      </c>
      <c r="D227">
        <v>8.9</v>
      </c>
      <c r="E227">
        <v>8</v>
      </c>
      <c r="F227">
        <v>6.6</v>
      </c>
      <c r="G227">
        <v>6.4</v>
      </c>
      <c r="H227">
        <v>8.1999999999999993</v>
      </c>
      <c r="I227">
        <v>5</v>
      </c>
      <c r="J227">
        <v>6</v>
      </c>
      <c r="K227">
        <v>6.5</v>
      </c>
      <c r="L227">
        <v>15.1</v>
      </c>
      <c r="M227">
        <v>7.7</v>
      </c>
      <c r="N227">
        <v>6.2</v>
      </c>
      <c r="O227">
        <v>16.8</v>
      </c>
      <c r="P227">
        <v>16.7</v>
      </c>
      <c r="Q227">
        <v>12.6</v>
      </c>
      <c r="R227">
        <v>5.2</v>
      </c>
      <c r="S227">
        <v>14.5</v>
      </c>
      <c r="T227">
        <v>10.3</v>
      </c>
      <c r="U227">
        <v>9</v>
      </c>
      <c r="V227">
        <v>12.1</v>
      </c>
      <c r="W227">
        <v>11.8</v>
      </c>
      <c r="X227">
        <v>10.1</v>
      </c>
      <c r="Y227">
        <v>8.6</v>
      </c>
      <c r="Z227">
        <v>10.5</v>
      </c>
      <c r="AA227">
        <v>15.2</v>
      </c>
      <c r="AB227">
        <v>14.3</v>
      </c>
      <c r="AC227">
        <v>12.7</v>
      </c>
      <c r="AD227">
        <v>11.4</v>
      </c>
      <c r="AE227">
        <v>10.8</v>
      </c>
      <c r="AF227">
        <v>12.9</v>
      </c>
      <c r="AG227">
        <v>9.6999999999999993</v>
      </c>
      <c r="AH227">
        <v>9.6</v>
      </c>
      <c r="AI227">
        <v>11.9</v>
      </c>
      <c r="AJ227">
        <v>13.1</v>
      </c>
    </row>
    <row r="228" spans="2:36">
      <c r="B228" t="s">
        <v>232</v>
      </c>
      <c r="C228">
        <v>17.2</v>
      </c>
      <c r="D228">
        <v>15.9</v>
      </c>
      <c r="E228">
        <v>14.9</v>
      </c>
      <c r="F228">
        <v>14</v>
      </c>
      <c r="G228">
        <v>13.3</v>
      </c>
      <c r="H228">
        <v>12.5</v>
      </c>
      <c r="I228">
        <v>12.5</v>
      </c>
      <c r="J228">
        <v>12.5</v>
      </c>
      <c r="K228">
        <v>12.6</v>
      </c>
      <c r="L228">
        <v>12.2</v>
      </c>
      <c r="M228">
        <v>12.1</v>
      </c>
      <c r="N228">
        <v>12.2</v>
      </c>
      <c r="O228">
        <v>12.3</v>
      </c>
      <c r="P228">
        <v>12.1</v>
      </c>
      <c r="Q228">
        <v>11.9</v>
      </c>
      <c r="R228">
        <v>11.6</v>
      </c>
      <c r="S228">
        <v>11.6</v>
      </c>
      <c r="T228">
        <v>11.8</v>
      </c>
      <c r="U228">
        <v>11.8</v>
      </c>
      <c r="V228">
        <v>11.8</v>
      </c>
      <c r="W228">
        <v>9.6999999999999993</v>
      </c>
      <c r="X228">
        <v>9</v>
      </c>
      <c r="Y228">
        <v>8.5</v>
      </c>
      <c r="Z228">
        <v>8.1999999999999993</v>
      </c>
      <c r="AA228">
        <v>8.5</v>
      </c>
      <c r="AB228">
        <v>8</v>
      </c>
      <c r="AC228">
        <v>7.6</v>
      </c>
      <c r="AD228">
        <v>7.1</v>
      </c>
      <c r="AE228">
        <v>7</v>
      </c>
      <c r="AF228">
        <v>6.5</v>
      </c>
      <c r="AG228">
        <v>6.2</v>
      </c>
      <c r="AH228">
        <v>6.4</v>
      </c>
      <c r="AI228">
        <v>6.4</v>
      </c>
      <c r="AJ228">
        <v>6.2</v>
      </c>
    </row>
    <row r="229" spans="2:36">
      <c r="B229" t="s">
        <v>233</v>
      </c>
      <c r="C229">
        <v>5.9</v>
      </c>
      <c r="D229">
        <v>5</v>
      </c>
      <c r="E229">
        <v>4.4000000000000004</v>
      </c>
      <c r="F229">
        <v>4</v>
      </c>
      <c r="G229">
        <v>3.8</v>
      </c>
      <c r="H229">
        <v>3.7</v>
      </c>
      <c r="I229">
        <v>3.8</v>
      </c>
      <c r="J229">
        <v>3.7</v>
      </c>
      <c r="K229">
        <v>3.7</v>
      </c>
      <c r="L229">
        <v>3.5</v>
      </c>
      <c r="M229">
        <v>3.3</v>
      </c>
      <c r="N229">
        <v>3.3</v>
      </c>
      <c r="O229">
        <v>3.3</v>
      </c>
      <c r="P229">
        <v>3.2</v>
      </c>
      <c r="Q229">
        <v>3.2</v>
      </c>
      <c r="R229">
        <v>3.3</v>
      </c>
      <c r="S229">
        <v>3.4</v>
      </c>
      <c r="T229">
        <v>3.6</v>
      </c>
      <c r="U229">
        <v>3.6</v>
      </c>
      <c r="V229">
        <v>3.7</v>
      </c>
      <c r="W229">
        <v>3.1</v>
      </c>
      <c r="X229">
        <v>2.9</v>
      </c>
      <c r="Y229">
        <v>2.8</v>
      </c>
      <c r="Z229">
        <v>2.7</v>
      </c>
      <c r="AA229">
        <v>2.7</v>
      </c>
      <c r="AB229">
        <v>2.6</v>
      </c>
      <c r="AC229">
        <v>2.4</v>
      </c>
      <c r="AD229">
        <v>2.2999999999999998</v>
      </c>
      <c r="AE229">
        <v>2.2000000000000002</v>
      </c>
      <c r="AF229">
        <v>2</v>
      </c>
      <c r="AG229">
        <v>2</v>
      </c>
      <c r="AH229">
        <v>2.1</v>
      </c>
      <c r="AI229">
        <v>2.2000000000000002</v>
      </c>
      <c r="AJ229">
        <v>2.2000000000000002</v>
      </c>
    </row>
    <row r="230" spans="2:36">
      <c r="B230" t="s">
        <v>234</v>
      </c>
      <c r="C230">
        <v>2.79</v>
      </c>
      <c r="D230">
        <v>3.94</v>
      </c>
      <c r="E230">
        <v>4.92</v>
      </c>
      <c r="F230">
        <v>4.07</v>
      </c>
      <c r="G230">
        <v>3.99</v>
      </c>
      <c r="H230">
        <v>3.9</v>
      </c>
      <c r="I230">
        <v>2.73</v>
      </c>
      <c r="J230">
        <v>2.27</v>
      </c>
      <c r="K230">
        <v>3.02</v>
      </c>
      <c r="L230">
        <v>2.89</v>
      </c>
      <c r="M230">
        <v>3.04</v>
      </c>
      <c r="N230">
        <v>3.18</v>
      </c>
      <c r="O230">
        <v>2.57</v>
      </c>
      <c r="P230">
        <v>2.89</v>
      </c>
      <c r="Q230">
        <v>3.17</v>
      </c>
      <c r="R230">
        <v>3.29</v>
      </c>
      <c r="S230">
        <v>2.74</v>
      </c>
      <c r="T230">
        <v>4.57</v>
      </c>
      <c r="U230">
        <v>7.54</v>
      </c>
      <c r="V230">
        <v>6.17</v>
      </c>
      <c r="W230">
        <v>8.15</v>
      </c>
      <c r="X230">
        <v>6.36</v>
      </c>
      <c r="Y230">
        <v>5.37</v>
      </c>
      <c r="Z230">
        <v>6.3</v>
      </c>
      <c r="AA230">
        <v>5.79</v>
      </c>
      <c r="AB230">
        <v>7.11</v>
      </c>
      <c r="AC230">
        <v>5.47</v>
      </c>
      <c r="AD230">
        <v>8.3000000000000007</v>
      </c>
      <c r="AE230">
        <v>11.03</v>
      </c>
      <c r="AF230">
        <v>12.4</v>
      </c>
      <c r="AG230">
        <v>14.07</v>
      </c>
      <c r="AH230">
        <v>18.73</v>
      </c>
      <c r="AI230">
        <v>14.56</v>
      </c>
      <c r="AJ230">
        <v>10.19</v>
      </c>
    </row>
    <row r="231" spans="2:36">
      <c r="B231" t="s">
        <v>235</v>
      </c>
      <c r="C231">
        <v>11.71</v>
      </c>
      <c r="D231">
        <v>13.28</v>
      </c>
      <c r="E231">
        <v>14.96</v>
      </c>
      <c r="F231">
        <v>16.5</v>
      </c>
      <c r="G231">
        <v>17.05</v>
      </c>
      <c r="H231">
        <v>18.940000000000001</v>
      </c>
      <c r="I231">
        <v>17.22</v>
      </c>
      <c r="J231">
        <v>15.17</v>
      </c>
      <c r="K231">
        <v>15.08</v>
      </c>
      <c r="L231">
        <v>15.18</v>
      </c>
      <c r="M231">
        <v>15.32</v>
      </c>
      <c r="N231">
        <v>13.92</v>
      </c>
      <c r="O231">
        <v>13.1</v>
      </c>
      <c r="P231">
        <v>14.17</v>
      </c>
      <c r="Q231">
        <v>14.65</v>
      </c>
      <c r="R231">
        <v>14.15</v>
      </c>
      <c r="S231">
        <v>13.23</v>
      </c>
      <c r="T231">
        <v>12.81</v>
      </c>
      <c r="U231">
        <v>13.23</v>
      </c>
      <c r="V231">
        <v>13.03</v>
      </c>
      <c r="W231">
        <v>14.52</v>
      </c>
      <c r="X231">
        <v>15.54</v>
      </c>
      <c r="Y231">
        <v>15.34</v>
      </c>
      <c r="Z231">
        <v>15.32</v>
      </c>
      <c r="AA231">
        <v>13.68</v>
      </c>
      <c r="AB231">
        <v>13</v>
      </c>
      <c r="AC231">
        <v>14.01</v>
      </c>
      <c r="AD231">
        <v>14.86</v>
      </c>
      <c r="AE231">
        <v>13.92</v>
      </c>
      <c r="AF231">
        <v>16.36</v>
      </c>
      <c r="AG231">
        <v>16.09</v>
      </c>
      <c r="AH231">
        <v>14.19</v>
      </c>
      <c r="AI231">
        <v>10.130000000000001</v>
      </c>
      <c r="AJ231">
        <v>10.68</v>
      </c>
    </row>
    <row r="232" spans="2:36">
      <c r="B232" t="s">
        <v>236</v>
      </c>
      <c r="C232">
        <v>1.63</v>
      </c>
      <c r="D232">
        <v>1.69</v>
      </c>
      <c r="E232">
        <v>1.74</v>
      </c>
      <c r="F232">
        <v>1.85</v>
      </c>
      <c r="G232">
        <v>1.87</v>
      </c>
      <c r="H232">
        <v>1.93</v>
      </c>
      <c r="I232">
        <v>1.99</v>
      </c>
      <c r="J232">
        <v>1.95</v>
      </c>
      <c r="K232">
        <v>1.93</v>
      </c>
      <c r="L232">
        <v>1.84</v>
      </c>
      <c r="M232">
        <v>1.76</v>
      </c>
      <c r="N232">
        <v>1.69</v>
      </c>
      <c r="O232">
        <v>1.65</v>
      </c>
      <c r="P232">
        <v>1.58</v>
      </c>
      <c r="Q232">
        <v>1.59</v>
      </c>
      <c r="R232">
        <v>1.57</v>
      </c>
      <c r="S232">
        <v>1.54</v>
      </c>
      <c r="T232">
        <v>1.44</v>
      </c>
      <c r="U232">
        <v>1.39</v>
      </c>
      <c r="V232">
        <v>1.34</v>
      </c>
      <c r="W232">
        <v>1.36</v>
      </c>
      <c r="X232">
        <v>1.35</v>
      </c>
      <c r="Y232">
        <v>1.37</v>
      </c>
      <c r="Z232">
        <v>1.42</v>
      </c>
      <c r="AA232">
        <v>1.36</v>
      </c>
      <c r="AB232">
        <v>1.4</v>
      </c>
      <c r="AC232">
        <v>1.42</v>
      </c>
      <c r="AD232">
        <v>1.45</v>
      </c>
      <c r="AE232">
        <v>1.41</v>
      </c>
      <c r="AF232">
        <v>1.42</v>
      </c>
      <c r="AG232">
        <v>1.39</v>
      </c>
      <c r="AH232">
        <v>1.33</v>
      </c>
      <c r="AI232">
        <v>1.32</v>
      </c>
      <c r="AJ232">
        <v>1.29</v>
      </c>
    </row>
    <row r="233" spans="2:36">
      <c r="B233" t="s">
        <v>237</v>
      </c>
      <c r="C233">
        <v>1.63</v>
      </c>
      <c r="D233">
        <v>1.69</v>
      </c>
      <c r="E233">
        <v>1.74</v>
      </c>
      <c r="F233">
        <v>1.85</v>
      </c>
      <c r="G233">
        <v>1.87</v>
      </c>
      <c r="H233">
        <v>1.93</v>
      </c>
      <c r="I233">
        <v>1.99</v>
      </c>
      <c r="J233">
        <v>1.95</v>
      </c>
      <c r="K233">
        <v>1.93</v>
      </c>
      <c r="L233">
        <v>1.84</v>
      </c>
      <c r="M233">
        <v>1.76</v>
      </c>
      <c r="N233">
        <v>1.69</v>
      </c>
      <c r="O233">
        <v>1.65</v>
      </c>
      <c r="P233">
        <v>1.58</v>
      </c>
      <c r="Q233">
        <v>1.59</v>
      </c>
      <c r="R233">
        <v>1.57</v>
      </c>
      <c r="S233">
        <v>1.54</v>
      </c>
      <c r="T233">
        <v>1.44</v>
      </c>
      <c r="U233">
        <v>1.39</v>
      </c>
      <c r="V233">
        <v>1.34</v>
      </c>
      <c r="W233">
        <v>1.36</v>
      </c>
      <c r="X233">
        <v>1.35</v>
      </c>
      <c r="Y233">
        <v>1.37</v>
      </c>
      <c r="Z233">
        <v>1.42</v>
      </c>
      <c r="AA233">
        <v>1.36</v>
      </c>
      <c r="AB233">
        <v>1.4</v>
      </c>
      <c r="AC233">
        <v>1.42</v>
      </c>
      <c r="AD233">
        <v>1.45</v>
      </c>
      <c r="AE233">
        <v>1.41</v>
      </c>
      <c r="AF233">
        <v>1.42</v>
      </c>
      <c r="AG233">
        <v>1.39</v>
      </c>
      <c r="AH233">
        <v>1.33</v>
      </c>
      <c r="AI233">
        <v>1.32</v>
      </c>
      <c r="AJ233">
        <v>1.29</v>
      </c>
    </row>
    <row r="234" spans="2:36">
      <c r="B234" t="s">
        <v>238</v>
      </c>
      <c r="C234">
        <v>10.8</v>
      </c>
      <c r="D234">
        <v>13.5</v>
      </c>
      <c r="E234">
        <v>13.5</v>
      </c>
      <c r="F234">
        <v>17.3</v>
      </c>
      <c r="G234">
        <v>16.7</v>
      </c>
      <c r="H234">
        <v>14.7</v>
      </c>
      <c r="I234">
        <v>19.8</v>
      </c>
      <c r="J234">
        <v>19</v>
      </c>
      <c r="K234">
        <v>18</v>
      </c>
      <c r="L234">
        <v>9.3000000000000007</v>
      </c>
      <c r="M234">
        <v>17.100000000000001</v>
      </c>
      <c r="N234">
        <v>18.100000000000001</v>
      </c>
      <c r="O234">
        <v>9.1</v>
      </c>
      <c r="P234">
        <v>7</v>
      </c>
      <c r="Q234">
        <v>10.9</v>
      </c>
      <c r="R234">
        <v>20.399999999999999</v>
      </c>
      <c r="S234">
        <v>7.4</v>
      </c>
      <c r="T234">
        <v>8.4</v>
      </c>
      <c r="U234">
        <v>10.1</v>
      </c>
      <c r="V234">
        <v>12</v>
      </c>
      <c r="W234">
        <v>8.8000000000000007</v>
      </c>
      <c r="X234">
        <v>11.7</v>
      </c>
      <c r="Y234">
        <v>14</v>
      </c>
      <c r="Z234">
        <v>11.6</v>
      </c>
      <c r="AA234">
        <v>8.6999999999999993</v>
      </c>
      <c r="AB234">
        <v>9.6999999999999993</v>
      </c>
      <c r="AC234">
        <v>11.1</v>
      </c>
      <c r="AD234">
        <v>11.2</v>
      </c>
      <c r="AE234">
        <v>10</v>
      </c>
      <c r="AF234">
        <v>9.3000000000000007</v>
      </c>
      <c r="AG234">
        <v>11.5</v>
      </c>
      <c r="AH234">
        <v>11.5</v>
      </c>
      <c r="AI234">
        <v>10.3</v>
      </c>
      <c r="AJ234">
        <v>8.6999999999999993</v>
      </c>
    </row>
    <row r="235" spans="2:36">
      <c r="B235" t="s">
        <v>239</v>
      </c>
      <c r="C235">
        <v>74.8</v>
      </c>
      <c r="D235">
        <v>56.2</v>
      </c>
      <c r="E235">
        <v>68.5</v>
      </c>
      <c r="F235">
        <v>66.400000000000006</v>
      </c>
      <c r="G235">
        <v>73</v>
      </c>
      <c r="H235">
        <v>56.9</v>
      </c>
      <c r="I235">
        <v>66.099999999999994</v>
      </c>
      <c r="J235">
        <v>62.7</v>
      </c>
      <c r="K235">
        <v>62</v>
      </c>
      <c r="L235">
        <v>51.8</v>
      </c>
      <c r="M235">
        <v>70.5</v>
      </c>
      <c r="N235">
        <v>64.099999999999994</v>
      </c>
      <c r="O235">
        <v>50.4</v>
      </c>
      <c r="P235">
        <v>44.3</v>
      </c>
      <c r="Q235">
        <v>64.5</v>
      </c>
      <c r="R235">
        <v>49.9</v>
      </c>
      <c r="S235">
        <v>48.8</v>
      </c>
      <c r="T235">
        <v>49.5</v>
      </c>
      <c r="U235">
        <v>62.9</v>
      </c>
      <c r="V235">
        <v>46.8</v>
      </c>
      <c r="W235">
        <v>51.8</v>
      </c>
      <c r="X235">
        <v>56.7</v>
      </c>
      <c r="Y235">
        <v>63.5</v>
      </c>
      <c r="Z235">
        <v>51.9</v>
      </c>
      <c r="AA235">
        <v>51.1</v>
      </c>
      <c r="AB235">
        <v>62.3</v>
      </c>
      <c r="AC235">
        <v>66.2</v>
      </c>
      <c r="AD235">
        <v>64.2</v>
      </c>
      <c r="AE235">
        <v>68.5</v>
      </c>
      <c r="AF235">
        <v>67.400000000000006</v>
      </c>
      <c r="AG235">
        <v>76.099999999999994</v>
      </c>
      <c r="AH235">
        <v>79.900000000000006</v>
      </c>
      <c r="AI235">
        <v>107.9</v>
      </c>
      <c r="AJ235">
        <v>68</v>
      </c>
    </row>
    <row r="236" spans="2:36">
      <c r="B236" t="s">
        <v>240</v>
      </c>
      <c r="C236">
        <v>33.659999999999997</v>
      </c>
      <c r="D236">
        <v>31.9</v>
      </c>
      <c r="E236">
        <v>28.81</v>
      </c>
      <c r="F236">
        <v>23.62</v>
      </c>
      <c r="G236">
        <v>23.13</v>
      </c>
      <c r="H236">
        <v>29.6</v>
      </c>
      <c r="I236">
        <v>17.91</v>
      </c>
      <c r="J236">
        <v>21.59</v>
      </c>
      <c r="K236">
        <v>23.34</v>
      </c>
      <c r="L236">
        <v>54.19</v>
      </c>
      <c r="M236">
        <v>27.8</v>
      </c>
      <c r="N236">
        <v>22.43</v>
      </c>
      <c r="O236">
        <v>60.42</v>
      </c>
      <c r="P236">
        <v>60.07</v>
      </c>
      <c r="Q236">
        <v>45.33</v>
      </c>
      <c r="R236">
        <v>18.739999999999998</v>
      </c>
      <c r="S236">
        <v>52.14</v>
      </c>
      <c r="T236">
        <v>37.19</v>
      </c>
      <c r="U236">
        <v>32.44</v>
      </c>
      <c r="V236">
        <v>43.54</v>
      </c>
      <c r="W236">
        <v>42.43</v>
      </c>
      <c r="X236">
        <v>36.29</v>
      </c>
      <c r="Y236">
        <v>31</v>
      </c>
      <c r="Z236">
        <v>37.69</v>
      </c>
      <c r="AA236">
        <v>54.77</v>
      </c>
      <c r="AB236">
        <v>51.32</v>
      </c>
      <c r="AC236">
        <v>45.67</v>
      </c>
      <c r="AD236">
        <v>41.16</v>
      </c>
      <c r="AE236">
        <v>38.97</v>
      </c>
      <c r="AF236">
        <v>46.42</v>
      </c>
      <c r="AG236">
        <v>34.82</v>
      </c>
      <c r="AH236">
        <v>34.590000000000003</v>
      </c>
      <c r="AI236">
        <v>43</v>
      </c>
      <c r="AJ236">
        <v>47.07</v>
      </c>
    </row>
    <row r="237" spans="2:36">
      <c r="B237" t="s">
        <v>241</v>
      </c>
      <c r="C237">
        <v>10.7</v>
      </c>
      <c r="D237">
        <v>11.29</v>
      </c>
      <c r="E237">
        <v>12.5</v>
      </c>
      <c r="F237">
        <v>15.24</v>
      </c>
      <c r="G237">
        <v>15.57</v>
      </c>
      <c r="H237">
        <v>12.16</v>
      </c>
      <c r="I237">
        <v>20.100000000000001</v>
      </c>
      <c r="J237">
        <v>16.670000000000002</v>
      </c>
      <c r="K237">
        <v>15.43</v>
      </c>
      <c r="L237">
        <v>6.64</v>
      </c>
      <c r="M237">
        <v>12.95</v>
      </c>
      <c r="N237">
        <v>16.05</v>
      </c>
      <c r="O237">
        <v>5.96</v>
      </c>
      <c r="P237">
        <v>5.99</v>
      </c>
      <c r="Q237">
        <v>7.94</v>
      </c>
      <c r="R237">
        <v>19.21</v>
      </c>
      <c r="S237">
        <v>6.9</v>
      </c>
      <c r="T237">
        <v>9.68</v>
      </c>
      <c r="U237">
        <v>11.1</v>
      </c>
      <c r="V237">
        <v>8.27</v>
      </c>
      <c r="W237">
        <v>8.48</v>
      </c>
      <c r="X237">
        <v>9.92</v>
      </c>
      <c r="Y237">
        <v>11.61</v>
      </c>
      <c r="Z237">
        <v>9.5500000000000007</v>
      </c>
      <c r="AA237">
        <v>6.57</v>
      </c>
      <c r="AB237">
        <v>7.02</v>
      </c>
      <c r="AC237">
        <v>7.88</v>
      </c>
      <c r="AD237">
        <v>8.75</v>
      </c>
      <c r="AE237">
        <v>9.24</v>
      </c>
      <c r="AF237">
        <v>7.76</v>
      </c>
      <c r="AG237">
        <v>10.34</v>
      </c>
      <c r="AH237">
        <v>10.41</v>
      </c>
      <c r="AI237">
        <v>8.3699999999999992</v>
      </c>
      <c r="AJ237">
        <v>7.65</v>
      </c>
    </row>
    <row r="238" spans="2:36">
      <c r="B238" t="s">
        <v>242</v>
      </c>
      <c r="C238">
        <v>81.97</v>
      </c>
      <c r="D238">
        <v>62.58</v>
      </c>
      <c r="E238">
        <v>67.66</v>
      </c>
      <c r="F238">
        <v>65.3</v>
      </c>
      <c r="G238">
        <v>84.43</v>
      </c>
      <c r="H238">
        <v>66.349999999999994</v>
      </c>
      <c r="I238">
        <v>84.83</v>
      </c>
      <c r="J238">
        <v>85.24</v>
      </c>
      <c r="K238">
        <v>71.540000000000006</v>
      </c>
      <c r="L238">
        <v>68.25</v>
      </c>
      <c r="M238">
        <v>103.78</v>
      </c>
      <c r="N238">
        <v>90.14</v>
      </c>
      <c r="O238">
        <v>69.38</v>
      </c>
      <c r="P238">
        <v>57.73</v>
      </c>
      <c r="Q238">
        <v>78.98</v>
      </c>
      <c r="R238">
        <v>56.52</v>
      </c>
      <c r="S238">
        <v>63.81</v>
      </c>
      <c r="T238">
        <v>83.43</v>
      </c>
      <c r="U238">
        <v>107.98</v>
      </c>
      <c r="V238">
        <v>90.95</v>
      </c>
      <c r="W238">
        <v>94.3</v>
      </c>
      <c r="X238">
        <v>84.06</v>
      </c>
      <c r="Y238">
        <v>84.26</v>
      </c>
      <c r="Z238">
        <v>64.88</v>
      </c>
      <c r="AA238">
        <v>62.06</v>
      </c>
      <c r="AB238">
        <v>86.2</v>
      </c>
      <c r="AC238">
        <v>94.03</v>
      </c>
      <c r="AD238">
        <v>112.85</v>
      </c>
      <c r="AE238">
        <v>139.5</v>
      </c>
      <c r="AF238">
        <v>103.43</v>
      </c>
      <c r="AG238">
        <v>129.18</v>
      </c>
      <c r="AH238">
        <v>132.63</v>
      </c>
      <c r="AI238">
        <v>197.86</v>
      </c>
      <c r="AJ238">
        <v>113.19</v>
      </c>
    </row>
    <row r="239" spans="2:36">
      <c r="B239" t="s">
        <v>243</v>
      </c>
      <c r="C239">
        <v>1</v>
      </c>
      <c r="D239">
        <v>1</v>
      </c>
      <c r="E239">
        <v>1.1000000000000001</v>
      </c>
      <c r="F239">
        <v>1.2</v>
      </c>
      <c r="G239">
        <v>1.2</v>
      </c>
      <c r="H239">
        <v>1.1000000000000001</v>
      </c>
      <c r="I239">
        <v>1.2</v>
      </c>
      <c r="J239">
        <v>1.2</v>
      </c>
      <c r="K239">
        <v>1.1000000000000001</v>
      </c>
      <c r="L239">
        <v>1.1000000000000001</v>
      </c>
      <c r="M239">
        <v>1.2</v>
      </c>
      <c r="N239">
        <v>1</v>
      </c>
      <c r="O239">
        <v>0.9</v>
      </c>
      <c r="P239">
        <v>0.9</v>
      </c>
      <c r="Q239">
        <v>0.9</v>
      </c>
      <c r="R239">
        <v>1</v>
      </c>
      <c r="S239">
        <v>0.8</v>
      </c>
      <c r="T239">
        <v>0.8</v>
      </c>
      <c r="U239">
        <v>0.8</v>
      </c>
      <c r="V239">
        <v>0.7</v>
      </c>
      <c r="W239">
        <v>0.9</v>
      </c>
      <c r="X239">
        <v>0.9</v>
      </c>
      <c r="Y239">
        <v>0.9</v>
      </c>
      <c r="Z239">
        <v>0.9</v>
      </c>
      <c r="AA239">
        <v>0.9</v>
      </c>
      <c r="AB239">
        <v>0.9</v>
      </c>
      <c r="AC239">
        <v>0.9</v>
      </c>
      <c r="AD239">
        <v>0.9</v>
      </c>
      <c r="AE239">
        <v>0.9</v>
      </c>
      <c r="AF239">
        <v>0.9</v>
      </c>
      <c r="AG239">
        <v>0.9</v>
      </c>
      <c r="AH239">
        <v>0.9</v>
      </c>
      <c r="AI239">
        <v>0.9</v>
      </c>
      <c r="AJ239">
        <v>0.8</v>
      </c>
    </row>
    <row r="240" spans="2:36">
      <c r="B240" t="s">
        <v>244</v>
      </c>
      <c r="C240">
        <v>5</v>
      </c>
      <c r="D240">
        <v>6</v>
      </c>
      <c r="E240">
        <v>5</v>
      </c>
      <c r="F240">
        <v>5</v>
      </c>
      <c r="G240">
        <v>5</v>
      </c>
      <c r="H240">
        <v>6</v>
      </c>
      <c r="I240">
        <v>5</v>
      </c>
      <c r="J240">
        <v>6</v>
      </c>
      <c r="K240">
        <v>6</v>
      </c>
      <c r="L240">
        <v>7</v>
      </c>
      <c r="M240">
        <v>5</v>
      </c>
      <c r="N240">
        <v>6</v>
      </c>
      <c r="O240">
        <v>7</v>
      </c>
      <c r="P240">
        <v>8</v>
      </c>
      <c r="Q240">
        <v>6</v>
      </c>
      <c r="R240">
        <v>7</v>
      </c>
      <c r="S240">
        <v>7</v>
      </c>
      <c r="T240">
        <v>7</v>
      </c>
      <c r="U240">
        <v>6</v>
      </c>
      <c r="V240">
        <v>8</v>
      </c>
      <c r="W240">
        <v>7</v>
      </c>
      <c r="X240">
        <v>6</v>
      </c>
      <c r="Y240">
        <v>6</v>
      </c>
      <c r="Z240">
        <v>7</v>
      </c>
      <c r="AA240">
        <v>7</v>
      </c>
      <c r="AB240">
        <v>6</v>
      </c>
      <c r="AC240">
        <v>5</v>
      </c>
      <c r="AD240">
        <v>6</v>
      </c>
      <c r="AE240">
        <v>5</v>
      </c>
      <c r="AF240">
        <v>5</v>
      </c>
      <c r="AG240">
        <v>5</v>
      </c>
      <c r="AH240">
        <v>5</v>
      </c>
      <c r="AI240">
        <v>3</v>
      </c>
      <c r="AJ240">
        <v>5</v>
      </c>
    </row>
    <row r="241" spans="2:36">
      <c r="B241" t="s">
        <v>245</v>
      </c>
      <c r="C241">
        <v>9.01</v>
      </c>
      <c r="D241">
        <v>10.29</v>
      </c>
      <c r="E241">
        <v>10.94</v>
      </c>
      <c r="F241">
        <v>11.32</v>
      </c>
      <c r="G241">
        <v>12.34</v>
      </c>
      <c r="H241">
        <v>14.38</v>
      </c>
      <c r="I241">
        <v>13.29</v>
      </c>
      <c r="J241">
        <v>14.64</v>
      </c>
      <c r="K241">
        <v>16.96</v>
      </c>
      <c r="L241">
        <v>19.37</v>
      </c>
      <c r="M241">
        <v>18.54</v>
      </c>
      <c r="N241">
        <v>21.57</v>
      </c>
      <c r="O241">
        <v>25.17</v>
      </c>
      <c r="P241">
        <v>29.81</v>
      </c>
      <c r="Q241">
        <v>30.33</v>
      </c>
      <c r="R241">
        <v>31.61</v>
      </c>
      <c r="S241">
        <v>39.049999999999997</v>
      </c>
      <c r="T241">
        <v>39.49</v>
      </c>
      <c r="U241">
        <v>37.950000000000003</v>
      </c>
      <c r="V241">
        <v>39.26</v>
      </c>
      <c r="W241">
        <v>35.07</v>
      </c>
      <c r="X241">
        <v>36.78</v>
      </c>
      <c r="Y241">
        <v>35.549999999999997</v>
      </c>
      <c r="Z241">
        <v>39.450000000000003</v>
      </c>
      <c r="AA241">
        <v>45.5</v>
      </c>
      <c r="AB241">
        <v>47.69</v>
      </c>
      <c r="AC241">
        <v>50.83</v>
      </c>
      <c r="AD241">
        <v>50.6</v>
      </c>
      <c r="AE241">
        <v>48.41</v>
      </c>
      <c r="AF241">
        <v>58.75</v>
      </c>
      <c r="AG241">
        <v>54.24</v>
      </c>
      <c r="AH241">
        <v>55.42</v>
      </c>
      <c r="AI241">
        <v>61.38</v>
      </c>
      <c r="AJ241">
        <v>77.05</v>
      </c>
    </row>
    <row r="242" spans="2:36">
      <c r="B242" t="s">
        <v>246</v>
      </c>
      <c r="C242">
        <v>10.28</v>
      </c>
      <c r="D242">
        <v>11.57</v>
      </c>
      <c r="E242">
        <v>12.28</v>
      </c>
      <c r="F242">
        <v>12.67</v>
      </c>
      <c r="G242">
        <v>13.83</v>
      </c>
      <c r="H242">
        <v>16.77</v>
      </c>
      <c r="I242">
        <v>16.38</v>
      </c>
      <c r="J242">
        <v>17.72</v>
      </c>
      <c r="K242">
        <v>20.12</v>
      </c>
      <c r="L242">
        <v>22.62</v>
      </c>
      <c r="M242">
        <v>21.64</v>
      </c>
      <c r="N242">
        <v>24.91</v>
      </c>
      <c r="O242">
        <v>29.06</v>
      </c>
      <c r="P242">
        <v>34.19</v>
      </c>
      <c r="Q242">
        <v>34.57</v>
      </c>
      <c r="R242">
        <v>35.799999999999997</v>
      </c>
      <c r="S242">
        <v>44.55</v>
      </c>
      <c r="T242">
        <v>48.05</v>
      </c>
      <c r="U242">
        <v>48.47</v>
      </c>
      <c r="V242">
        <v>53.74</v>
      </c>
      <c r="W242">
        <v>52.79</v>
      </c>
      <c r="X242">
        <v>59.5</v>
      </c>
      <c r="Y242">
        <v>62.73</v>
      </c>
      <c r="Z242">
        <v>70.86</v>
      </c>
      <c r="AA242">
        <v>82.08</v>
      </c>
      <c r="AB242">
        <v>94.18</v>
      </c>
      <c r="AC242">
        <v>102.64</v>
      </c>
      <c r="AD242">
        <v>115.18</v>
      </c>
      <c r="AE242">
        <v>125.23</v>
      </c>
      <c r="AF242">
        <v>148.77000000000001</v>
      </c>
      <c r="AG242">
        <v>161.43</v>
      </c>
      <c r="AH242">
        <v>173.8</v>
      </c>
      <c r="AI242">
        <v>187.46</v>
      </c>
      <c r="AJ242">
        <v>208.83</v>
      </c>
    </row>
    <row r="243" spans="2:36">
      <c r="B243" t="s">
        <v>247</v>
      </c>
      <c r="C243">
        <v>1.9</v>
      </c>
      <c r="D243">
        <v>1.7</v>
      </c>
      <c r="E243">
        <v>1.8</v>
      </c>
      <c r="F243">
        <v>1.6</v>
      </c>
      <c r="G243">
        <v>1.3</v>
      </c>
      <c r="H243">
        <v>1.1000000000000001</v>
      </c>
      <c r="I243">
        <v>1.6</v>
      </c>
      <c r="J243">
        <v>1.1000000000000001</v>
      </c>
      <c r="K243">
        <v>2</v>
      </c>
      <c r="L243">
        <v>1.8</v>
      </c>
      <c r="M243">
        <v>2.6</v>
      </c>
      <c r="N243">
        <v>2.5</v>
      </c>
      <c r="O243">
        <v>2.9</v>
      </c>
      <c r="P243">
        <v>2.5</v>
      </c>
      <c r="Q243">
        <v>2.2999999999999998</v>
      </c>
      <c r="R243">
        <v>1.7</v>
      </c>
      <c r="S243">
        <v>2.2999999999999998</v>
      </c>
      <c r="T243">
        <v>2.5</v>
      </c>
      <c r="U243">
        <v>2.4</v>
      </c>
      <c r="V243">
        <v>2.2000000000000002</v>
      </c>
      <c r="W243">
        <v>1.8</v>
      </c>
      <c r="X243">
        <v>1.6</v>
      </c>
      <c r="Y243">
        <v>2.1</v>
      </c>
      <c r="Z243">
        <v>2.4</v>
      </c>
      <c r="AA243">
        <v>2.2999999999999998</v>
      </c>
      <c r="AB243">
        <v>2.2999999999999998</v>
      </c>
      <c r="AC243">
        <v>2</v>
      </c>
      <c r="AD243">
        <v>2.8</v>
      </c>
      <c r="AE243">
        <v>5.8</v>
      </c>
      <c r="AF243">
        <v>4.9000000000000004</v>
      </c>
      <c r="AG243">
        <v>4.5999999999999996</v>
      </c>
      <c r="AH243">
        <v>4.9000000000000004</v>
      </c>
      <c r="AI243">
        <v>4.5</v>
      </c>
      <c r="AJ243">
        <v>4.5999999999999996</v>
      </c>
    </row>
    <row r="244" spans="2:36">
      <c r="B244" t="s">
        <v>248</v>
      </c>
      <c r="C244">
        <v>1.2</v>
      </c>
      <c r="D244">
        <v>1.6</v>
      </c>
      <c r="E244">
        <v>1.5</v>
      </c>
      <c r="F244">
        <v>1.5</v>
      </c>
      <c r="G244">
        <v>1.2</v>
      </c>
      <c r="H244">
        <v>1.5</v>
      </c>
      <c r="I244">
        <v>1.2</v>
      </c>
      <c r="J244">
        <v>1.2</v>
      </c>
      <c r="K244">
        <v>1.4</v>
      </c>
      <c r="L244">
        <v>1.5</v>
      </c>
      <c r="M244">
        <v>1</v>
      </c>
      <c r="N244">
        <v>1.1000000000000001</v>
      </c>
      <c r="O244">
        <v>1.4</v>
      </c>
      <c r="P244">
        <v>1.7</v>
      </c>
      <c r="Q244">
        <v>1.3</v>
      </c>
      <c r="R244">
        <v>1.8</v>
      </c>
      <c r="S244">
        <v>1.6</v>
      </c>
      <c r="T244">
        <v>1.2</v>
      </c>
      <c r="U244">
        <v>0.9</v>
      </c>
      <c r="V244">
        <v>1.1000000000000001</v>
      </c>
      <c r="W244">
        <v>1.1000000000000001</v>
      </c>
      <c r="X244">
        <v>1.2</v>
      </c>
      <c r="Y244">
        <v>1.2</v>
      </c>
      <c r="Z244">
        <v>1.5</v>
      </c>
      <c r="AA244">
        <v>1.6</v>
      </c>
      <c r="AB244">
        <v>1.2</v>
      </c>
      <c r="AC244">
        <v>1.1000000000000001</v>
      </c>
      <c r="AD244">
        <v>0.9</v>
      </c>
      <c r="AE244">
        <v>0.7</v>
      </c>
      <c r="AF244">
        <v>1</v>
      </c>
      <c r="AG244">
        <v>0.8</v>
      </c>
      <c r="AH244">
        <v>0.8</v>
      </c>
      <c r="AI244">
        <v>0.5</v>
      </c>
      <c r="AJ244">
        <v>0.9</v>
      </c>
    </row>
    <row r="245" spans="2:36">
      <c r="B245" t="s">
        <v>249</v>
      </c>
      <c r="C245">
        <v>0</v>
      </c>
      <c r="D245">
        <v>0</v>
      </c>
      <c r="E245">
        <v>0</v>
      </c>
      <c r="F245">
        <v>0</v>
      </c>
      <c r="G245">
        <v>0</v>
      </c>
      <c r="H245">
        <v>0</v>
      </c>
      <c r="I245">
        <v>0</v>
      </c>
      <c r="J245">
        <v>0</v>
      </c>
      <c r="K245">
        <v>0</v>
      </c>
      <c r="L245">
        <v>0</v>
      </c>
      <c r="M245">
        <v>0</v>
      </c>
      <c r="N245">
        <v>0</v>
      </c>
      <c r="O245">
        <v>0</v>
      </c>
      <c r="P245">
        <v>0</v>
      </c>
      <c r="Q245">
        <v>0</v>
      </c>
      <c r="R245">
        <v>0</v>
      </c>
      <c r="S245">
        <v>0</v>
      </c>
      <c r="T245">
        <v>0</v>
      </c>
      <c r="U245">
        <v>0</v>
      </c>
      <c r="V245">
        <v>0</v>
      </c>
      <c r="W245">
        <v>0</v>
      </c>
      <c r="X245">
        <v>0</v>
      </c>
      <c r="Y245">
        <v>0</v>
      </c>
      <c r="Z245">
        <v>0</v>
      </c>
      <c r="AA245">
        <v>0</v>
      </c>
      <c r="AB245">
        <v>0</v>
      </c>
      <c r="AC245">
        <v>0</v>
      </c>
      <c r="AD245">
        <v>0</v>
      </c>
      <c r="AE245">
        <v>0</v>
      </c>
      <c r="AF245">
        <v>0</v>
      </c>
      <c r="AG245">
        <v>0</v>
      </c>
      <c r="AH245">
        <v>0</v>
      </c>
      <c r="AI245">
        <v>0</v>
      </c>
      <c r="AJ245">
        <v>0</v>
      </c>
    </row>
    <row r="246" spans="2:36">
      <c r="B246" t="s">
        <v>250</v>
      </c>
      <c r="C246">
        <v>3.42</v>
      </c>
      <c r="D246">
        <v>3.98</v>
      </c>
      <c r="E246">
        <v>4.07</v>
      </c>
      <c r="F246">
        <v>3.77</v>
      </c>
      <c r="G246">
        <v>4.17</v>
      </c>
      <c r="H246">
        <v>5.98</v>
      </c>
      <c r="I246">
        <v>5.25</v>
      </c>
      <c r="J246">
        <v>5.89</v>
      </c>
      <c r="K246">
        <v>7.57</v>
      </c>
      <c r="L246">
        <v>8.5299999999999994</v>
      </c>
      <c r="M246">
        <v>6.34</v>
      </c>
      <c r="N246">
        <v>8.0399999999999991</v>
      </c>
      <c r="O246">
        <v>10.66</v>
      </c>
      <c r="P246">
        <v>11.99</v>
      </c>
      <c r="Q246">
        <v>10.93</v>
      </c>
      <c r="R246">
        <v>10.41</v>
      </c>
      <c r="S246">
        <v>15.86</v>
      </c>
      <c r="T246">
        <v>16.57</v>
      </c>
      <c r="U246">
        <v>15.41</v>
      </c>
      <c r="V246">
        <v>18.600000000000001</v>
      </c>
      <c r="W246">
        <v>12.79</v>
      </c>
      <c r="X246">
        <v>14.45</v>
      </c>
      <c r="Y246">
        <v>13.44</v>
      </c>
      <c r="Z246">
        <v>17.09</v>
      </c>
      <c r="AA246">
        <v>22.62</v>
      </c>
      <c r="AB246">
        <v>25.84</v>
      </c>
      <c r="AC246">
        <v>26.31</v>
      </c>
      <c r="AD246">
        <v>28.98</v>
      </c>
      <c r="AE246">
        <v>30.1</v>
      </c>
      <c r="AF246">
        <v>37.119999999999997</v>
      </c>
      <c r="AG246">
        <v>34.26</v>
      </c>
      <c r="AH246">
        <v>35.270000000000003</v>
      </c>
      <c r="AI246">
        <v>41.04</v>
      </c>
      <c r="AJ246">
        <v>49.93</v>
      </c>
    </row>
    <row r="247" spans="2:36">
      <c r="B247" t="s">
        <v>251</v>
      </c>
      <c r="C247">
        <v>3.79</v>
      </c>
      <c r="D247">
        <v>3.06</v>
      </c>
      <c r="E247">
        <v>2.74</v>
      </c>
      <c r="F247">
        <v>3.74</v>
      </c>
      <c r="G247">
        <v>4.18</v>
      </c>
      <c r="H247">
        <v>4.91</v>
      </c>
      <c r="I247">
        <v>7.47</v>
      </c>
      <c r="J247">
        <v>9.39</v>
      </c>
      <c r="K247">
        <v>7.47</v>
      </c>
      <c r="L247">
        <v>8.32</v>
      </c>
      <c r="M247">
        <v>8.2100000000000009</v>
      </c>
      <c r="N247">
        <v>8.19</v>
      </c>
      <c r="O247">
        <v>10.72</v>
      </c>
      <c r="P247">
        <v>10.43</v>
      </c>
      <c r="Q247">
        <v>10.29</v>
      </c>
      <c r="R247">
        <v>10.58</v>
      </c>
      <c r="S247">
        <v>13.37</v>
      </c>
      <c r="T247">
        <v>8.1300000000000008</v>
      </c>
      <c r="U247">
        <v>5.01</v>
      </c>
      <c r="V247">
        <v>6.26</v>
      </c>
      <c r="W247">
        <v>5.85</v>
      </c>
      <c r="X247">
        <v>8.4</v>
      </c>
      <c r="Y247">
        <v>11.01</v>
      </c>
      <c r="Z247">
        <v>10.62</v>
      </c>
      <c r="AA247">
        <v>12.29</v>
      </c>
      <c r="AB247">
        <v>11.65</v>
      </c>
      <c r="AC247">
        <v>17.28</v>
      </c>
      <c r="AD247">
        <v>13.04</v>
      </c>
      <c r="AE247">
        <v>10.56</v>
      </c>
      <c r="AF247">
        <v>11.06</v>
      </c>
      <c r="AG247">
        <v>10.82</v>
      </c>
      <c r="AH247">
        <v>8.48</v>
      </c>
      <c r="AI247">
        <v>11.44</v>
      </c>
      <c r="AJ247">
        <v>17.2</v>
      </c>
    </row>
    <row r="248" spans="2:36">
      <c r="B248" t="s">
        <v>252</v>
      </c>
      <c r="C248">
        <v>0</v>
      </c>
      <c r="D248">
        <v>0</v>
      </c>
      <c r="E248">
        <v>0</v>
      </c>
      <c r="F248">
        <v>0</v>
      </c>
      <c r="G248">
        <v>0</v>
      </c>
      <c r="H248">
        <v>0</v>
      </c>
      <c r="I248">
        <v>0</v>
      </c>
      <c r="J248">
        <v>0</v>
      </c>
      <c r="K248">
        <v>0</v>
      </c>
      <c r="L248">
        <v>0</v>
      </c>
      <c r="M248">
        <v>0</v>
      </c>
      <c r="N248">
        <v>0</v>
      </c>
      <c r="O248">
        <v>0</v>
      </c>
      <c r="P248">
        <v>0</v>
      </c>
      <c r="Q248">
        <v>0</v>
      </c>
      <c r="R248">
        <v>0</v>
      </c>
      <c r="S248">
        <v>0</v>
      </c>
      <c r="T248">
        <v>0</v>
      </c>
      <c r="U248">
        <v>0</v>
      </c>
      <c r="V248">
        <v>0</v>
      </c>
      <c r="W248">
        <v>0</v>
      </c>
      <c r="X248">
        <v>0</v>
      </c>
      <c r="Y248">
        <v>0</v>
      </c>
      <c r="Z248">
        <v>0</v>
      </c>
      <c r="AA248">
        <v>0</v>
      </c>
      <c r="AB248">
        <v>0</v>
      </c>
      <c r="AC248">
        <v>0</v>
      </c>
      <c r="AD248">
        <v>0</v>
      </c>
      <c r="AE248">
        <v>0</v>
      </c>
      <c r="AF248">
        <v>0</v>
      </c>
      <c r="AG248">
        <v>0</v>
      </c>
      <c r="AH248">
        <v>0</v>
      </c>
      <c r="AI248">
        <v>0</v>
      </c>
      <c r="AJ248">
        <v>0</v>
      </c>
    </row>
    <row r="249" spans="2:36">
      <c r="B249" t="s">
        <v>253</v>
      </c>
      <c r="C249">
        <v>0</v>
      </c>
      <c r="D249">
        <v>0</v>
      </c>
      <c r="E249">
        <v>0</v>
      </c>
      <c r="F249">
        <v>0</v>
      </c>
      <c r="G249">
        <v>0</v>
      </c>
      <c r="H249">
        <v>0</v>
      </c>
      <c r="I249">
        <v>0</v>
      </c>
      <c r="J249">
        <v>0</v>
      </c>
      <c r="K249">
        <v>0</v>
      </c>
      <c r="L249">
        <v>0</v>
      </c>
      <c r="M249">
        <v>0</v>
      </c>
      <c r="N249">
        <v>0</v>
      </c>
      <c r="O249">
        <v>0</v>
      </c>
      <c r="P249">
        <v>0</v>
      </c>
      <c r="Q249">
        <v>0</v>
      </c>
      <c r="R249">
        <v>0</v>
      </c>
      <c r="S249">
        <v>0</v>
      </c>
      <c r="T249">
        <v>0</v>
      </c>
      <c r="U249">
        <v>0</v>
      </c>
      <c r="V249">
        <v>0</v>
      </c>
      <c r="W249">
        <v>0</v>
      </c>
      <c r="X249">
        <v>0</v>
      </c>
      <c r="Y249">
        <v>0</v>
      </c>
      <c r="Z249">
        <v>0</v>
      </c>
      <c r="AA249">
        <v>0</v>
      </c>
      <c r="AB249">
        <v>0</v>
      </c>
      <c r="AC249">
        <v>0</v>
      </c>
      <c r="AD249">
        <v>0</v>
      </c>
      <c r="AE249">
        <v>0</v>
      </c>
      <c r="AF249">
        <v>0</v>
      </c>
      <c r="AG249">
        <v>0</v>
      </c>
      <c r="AH249">
        <v>0</v>
      </c>
      <c r="AI249">
        <v>0</v>
      </c>
      <c r="AJ249">
        <v>0</v>
      </c>
    </row>
    <row r="250" spans="2:36">
      <c r="B250" t="s">
        <v>254</v>
      </c>
      <c r="C250">
        <v>0</v>
      </c>
      <c r="D250">
        <v>0</v>
      </c>
      <c r="E250">
        <v>0</v>
      </c>
      <c r="F250">
        <v>0</v>
      </c>
      <c r="G250">
        <v>0</v>
      </c>
      <c r="H250">
        <v>0</v>
      </c>
      <c r="I250">
        <v>0</v>
      </c>
      <c r="J250">
        <v>0</v>
      </c>
      <c r="K250">
        <v>0</v>
      </c>
      <c r="L250">
        <v>0</v>
      </c>
      <c r="M250">
        <v>0</v>
      </c>
      <c r="N250">
        <v>0</v>
      </c>
      <c r="O250">
        <v>0</v>
      </c>
      <c r="P250">
        <v>0</v>
      </c>
      <c r="Q250">
        <v>0</v>
      </c>
      <c r="R250">
        <v>0</v>
      </c>
      <c r="S250">
        <v>0</v>
      </c>
      <c r="T250">
        <v>0</v>
      </c>
      <c r="U250">
        <v>0</v>
      </c>
      <c r="V250">
        <v>0</v>
      </c>
      <c r="W250">
        <v>0</v>
      </c>
      <c r="X250">
        <v>0</v>
      </c>
      <c r="Y250">
        <v>0</v>
      </c>
      <c r="Z250">
        <v>0</v>
      </c>
      <c r="AA250">
        <v>0</v>
      </c>
      <c r="AB250">
        <v>0</v>
      </c>
      <c r="AC250">
        <v>0</v>
      </c>
      <c r="AD250">
        <v>0</v>
      </c>
      <c r="AE250">
        <v>0</v>
      </c>
      <c r="AF250">
        <v>0</v>
      </c>
      <c r="AG250">
        <v>0</v>
      </c>
      <c r="AH250">
        <v>0</v>
      </c>
      <c r="AI250">
        <v>0</v>
      </c>
      <c r="AJ250">
        <v>0</v>
      </c>
    </row>
    <row r="251" spans="2:36">
      <c r="B251" t="s">
        <v>255</v>
      </c>
      <c r="C251">
        <v>36.9</v>
      </c>
      <c r="D251">
        <v>38.200000000000003</v>
      </c>
      <c r="E251">
        <v>36.799999999999997</v>
      </c>
      <c r="F251">
        <v>35</v>
      </c>
      <c r="G251">
        <v>35.4</v>
      </c>
      <c r="H251">
        <v>40.9</v>
      </c>
      <c r="I251">
        <v>37.6</v>
      </c>
      <c r="J251">
        <v>38.299999999999997</v>
      </c>
      <c r="K251">
        <v>42</v>
      </c>
      <c r="L251">
        <v>42.3</v>
      </c>
      <c r="M251">
        <v>34.5</v>
      </c>
      <c r="N251">
        <v>38.1</v>
      </c>
      <c r="O251">
        <v>42.7</v>
      </c>
      <c r="P251">
        <v>44.1</v>
      </c>
      <c r="Q251">
        <v>40.799999999999997</v>
      </c>
      <c r="R251">
        <v>38.1</v>
      </c>
      <c r="S251">
        <v>46.9</v>
      </c>
      <c r="T251">
        <v>46.5</v>
      </c>
      <c r="U251">
        <v>43.8</v>
      </c>
      <c r="V251">
        <v>46.2</v>
      </c>
      <c r="W251">
        <v>33.4</v>
      </c>
      <c r="X251">
        <v>33.700000000000003</v>
      </c>
      <c r="Y251">
        <v>31</v>
      </c>
      <c r="Z251">
        <v>33.4</v>
      </c>
      <c r="AA251">
        <v>36.4</v>
      </c>
      <c r="AB251">
        <v>37</v>
      </c>
      <c r="AC251">
        <v>35.200000000000003</v>
      </c>
      <c r="AD251">
        <v>35</v>
      </c>
      <c r="AE251">
        <v>34.200000000000003</v>
      </c>
      <c r="AF251">
        <v>35.1</v>
      </c>
      <c r="AG251">
        <v>32.1</v>
      </c>
      <c r="AH251">
        <v>31.4</v>
      </c>
      <c r="AI251">
        <v>32.9</v>
      </c>
      <c r="AJ251">
        <v>35.1</v>
      </c>
    </row>
    <row r="252" spans="2:36">
      <c r="B252" t="s">
        <v>256</v>
      </c>
      <c r="C252">
        <v>86.2</v>
      </c>
      <c r="D252">
        <v>88</v>
      </c>
      <c r="E252">
        <v>88.6</v>
      </c>
      <c r="F252">
        <v>91.7</v>
      </c>
      <c r="G252">
        <v>91.3</v>
      </c>
      <c r="H252">
        <v>84.7</v>
      </c>
      <c r="I252">
        <v>78.7</v>
      </c>
      <c r="J252">
        <v>80</v>
      </c>
      <c r="K252">
        <v>80.5</v>
      </c>
      <c r="L252">
        <v>83.1</v>
      </c>
      <c r="M252">
        <v>86</v>
      </c>
      <c r="N252">
        <v>87.7</v>
      </c>
      <c r="O252">
        <v>87.1</v>
      </c>
      <c r="P252">
        <v>93.2</v>
      </c>
      <c r="Q252">
        <v>94.7</v>
      </c>
      <c r="R252">
        <v>95.7</v>
      </c>
      <c r="S252">
        <v>97.9</v>
      </c>
      <c r="T252">
        <v>89.1</v>
      </c>
      <c r="U252">
        <v>82.7</v>
      </c>
      <c r="V252">
        <v>71.5</v>
      </c>
      <c r="W252">
        <v>63.4</v>
      </c>
      <c r="X252">
        <v>56.6</v>
      </c>
      <c r="Y252">
        <v>51.1</v>
      </c>
      <c r="Z252">
        <v>47.4</v>
      </c>
      <c r="AA252">
        <v>43.8</v>
      </c>
      <c r="AB252">
        <v>36.799999999999997</v>
      </c>
      <c r="AC252">
        <v>36.9</v>
      </c>
      <c r="AD252">
        <v>28.9</v>
      </c>
      <c r="AE252">
        <v>22.2</v>
      </c>
      <c r="AF252">
        <v>22.4</v>
      </c>
      <c r="AG252">
        <v>18.2</v>
      </c>
      <c r="AH252">
        <v>16.899999999999999</v>
      </c>
      <c r="AI252">
        <v>16.2</v>
      </c>
      <c r="AJ252">
        <v>20</v>
      </c>
    </row>
    <row r="253" spans="2:36">
      <c r="B253" t="s">
        <v>257</v>
      </c>
      <c r="C253">
        <v>10.57</v>
      </c>
      <c r="D253">
        <v>12.07</v>
      </c>
      <c r="E253">
        <v>13.48</v>
      </c>
      <c r="F253">
        <v>15.22</v>
      </c>
      <c r="G253">
        <v>16.68</v>
      </c>
      <c r="H253">
        <v>19.149999999999999</v>
      </c>
      <c r="I253">
        <v>20.38</v>
      </c>
      <c r="J253">
        <v>21.29</v>
      </c>
      <c r="K253">
        <v>22.58</v>
      </c>
      <c r="L253">
        <v>24.04</v>
      </c>
      <c r="M253">
        <v>24.96</v>
      </c>
      <c r="N253">
        <v>26.03</v>
      </c>
      <c r="O253">
        <v>27.52</v>
      </c>
      <c r="P253">
        <v>30.16</v>
      </c>
      <c r="Q253">
        <v>32.61</v>
      </c>
      <c r="R253">
        <v>34.770000000000003</v>
      </c>
      <c r="S253">
        <v>36.56</v>
      </c>
      <c r="T253">
        <v>37.1</v>
      </c>
      <c r="U253">
        <v>37.76</v>
      </c>
      <c r="V253">
        <v>38.590000000000003</v>
      </c>
      <c r="W253">
        <v>47.68</v>
      </c>
      <c r="X253">
        <v>53.43</v>
      </c>
      <c r="Y253">
        <v>59.1</v>
      </c>
      <c r="Z253">
        <v>66.91</v>
      </c>
      <c r="AA253">
        <v>71.209999999999994</v>
      </c>
      <c r="AB253">
        <v>82.82</v>
      </c>
      <c r="AC253">
        <v>94.57</v>
      </c>
      <c r="AD253">
        <v>108.23</v>
      </c>
      <c r="AE253">
        <v>116.49</v>
      </c>
      <c r="AF253">
        <v>137.13999999999999</v>
      </c>
      <c r="AG253">
        <v>152.26</v>
      </c>
      <c r="AH253">
        <v>158.77000000000001</v>
      </c>
      <c r="AI253">
        <v>166.64</v>
      </c>
      <c r="AJ253">
        <v>175.39</v>
      </c>
    </row>
    <row r="254" spans="2:36">
      <c r="B254" t="s">
        <v>258</v>
      </c>
      <c r="C254">
        <v>6.48</v>
      </c>
      <c r="D254">
        <v>7.16</v>
      </c>
      <c r="E254">
        <v>7.76</v>
      </c>
      <c r="F254">
        <v>8.24</v>
      </c>
      <c r="G254">
        <v>8.94</v>
      </c>
      <c r="H254">
        <v>9.91</v>
      </c>
      <c r="I254">
        <v>10.220000000000001</v>
      </c>
      <c r="J254">
        <v>10.94</v>
      </c>
      <c r="K254">
        <v>11.67</v>
      </c>
      <c r="L254">
        <v>13.05</v>
      </c>
      <c r="M254">
        <v>14.18</v>
      </c>
      <c r="N254">
        <v>15.42</v>
      </c>
      <c r="O254">
        <v>16.66</v>
      </c>
      <c r="P254">
        <v>19.13</v>
      </c>
      <c r="Q254">
        <v>20.48</v>
      </c>
      <c r="R254">
        <v>22.15</v>
      </c>
      <c r="S254">
        <v>23.67</v>
      </c>
      <c r="T254">
        <v>25.73</v>
      </c>
      <c r="U254">
        <v>27.25</v>
      </c>
      <c r="V254">
        <v>28.9</v>
      </c>
      <c r="W254">
        <v>35.159999999999997</v>
      </c>
      <c r="X254">
        <v>39.47</v>
      </c>
      <c r="Y254">
        <v>43.26</v>
      </c>
      <c r="Z254">
        <v>47.19</v>
      </c>
      <c r="AA254">
        <v>52.18</v>
      </c>
      <c r="AB254">
        <v>59.35</v>
      </c>
      <c r="AC254">
        <v>66.489999999999995</v>
      </c>
      <c r="AD254">
        <v>74.81</v>
      </c>
      <c r="AE254">
        <v>82.45</v>
      </c>
      <c r="AF254">
        <v>96.6</v>
      </c>
      <c r="AG254">
        <v>109.63</v>
      </c>
      <c r="AH254">
        <v>119.23</v>
      </c>
      <c r="AI254">
        <v>125.86</v>
      </c>
      <c r="AJ254">
        <v>135.62</v>
      </c>
    </row>
    <row r="255" spans="2:36">
      <c r="B255" t="s">
        <v>259</v>
      </c>
      <c r="C255">
        <v>6.36</v>
      </c>
      <c r="D255">
        <v>7.04</v>
      </c>
      <c r="E255">
        <v>7.62</v>
      </c>
      <c r="F255">
        <v>8.11</v>
      </c>
      <c r="G255">
        <v>8.83</v>
      </c>
      <c r="H255">
        <v>9.8000000000000007</v>
      </c>
      <c r="I255">
        <v>10.06</v>
      </c>
      <c r="J255">
        <v>10.82</v>
      </c>
      <c r="K255">
        <v>11.44</v>
      </c>
      <c r="L255">
        <v>12.82</v>
      </c>
      <c r="M255">
        <v>13.81</v>
      </c>
      <c r="N255">
        <v>15.03</v>
      </c>
      <c r="O255">
        <v>16.18</v>
      </c>
      <c r="P255">
        <v>18.64</v>
      </c>
      <c r="Q255">
        <v>20.02</v>
      </c>
      <c r="R255">
        <v>21.78</v>
      </c>
      <c r="S255">
        <v>23.12</v>
      </c>
      <c r="T255">
        <v>25.09</v>
      </c>
      <c r="U255">
        <v>26.61</v>
      </c>
      <c r="V255">
        <v>28.26</v>
      </c>
      <c r="W255">
        <v>34.54</v>
      </c>
      <c r="X255">
        <v>38.82</v>
      </c>
      <c r="Y255">
        <v>42.35</v>
      </c>
      <c r="Z255">
        <v>46.06</v>
      </c>
      <c r="AA255">
        <v>50.99</v>
      </c>
      <c r="AB255">
        <v>57.98</v>
      </c>
      <c r="AC255">
        <v>65.14</v>
      </c>
      <c r="AD255">
        <v>72.75</v>
      </c>
      <c r="AE255">
        <v>77.680000000000007</v>
      </c>
      <c r="AF255">
        <v>91.92</v>
      </c>
      <c r="AG255">
        <v>104.55</v>
      </c>
      <c r="AH255">
        <v>113.4</v>
      </c>
      <c r="AI255">
        <v>120.16</v>
      </c>
      <c r="AJ255">
        <v>129.4</v>
      </c>
    </row>
    <row r="256" spans="2:36">
      <c r="B256" t="s">
        <v>260</v>
      </c>
      <c r="C256">
        <v>1.83</v>
      </c>
      <c r="D256">
        <v>2.67</v>
      </c>
      <c r="E256">
        <v>3.09</v>
      </c>
      <c r="F256">
        <v>2.42</v>
      </c>
      <c r="G256">
        <v>3.21</v>
      </c>
      <c r="H256">
        <v>3.75</v>
      </c>
      <c r="I256">
        <v>3.08</v>
      </c>
      <c r="J256">
        <v>2.69</v>
      </c>
      <c r="K256">
        <v>3.41</v>
      </c>
      <c r="L256">
        <v>3.53</v>
      </c>
      <c r="M256">
        <v>3.72</v>
      </c>
      <c r="N256">
        <v>4.6900000000000004</v>
      </c>
      <c r="O256">
        <v>5.58</v>
      </c>
      <c r="P256">
        <v>6.57</v>
      </c>
      <c r="Q256">
        <v>4.4000000000000004</v>
      </c>
      <c r="R256">
        <v>4.82</v>
      </c>
      <c r="S256">
        <v>3.11</v>
      </c>
      <c r="T256">
        <v>2.2999999999999998</v>
      </c>
      <c r="U256">
        <v>2.78</v>
      </c>
      <c r="V256">
        <v>3.69</v>
      </c>
      <c r="W256">
        <v>3.89</v>
      </c>
      <c r="X256">
        <v>3.94</v>
      </c>
      <c r="Y256">
        <v>3.98</v>
      </c>
      <c r="Z256">
        <v>3.76</v>
      </c>
      <c r="AA256">
        <v>3.98</v>
      </c>
      <c r="AB256">
        <v>3.89</v>
      </c>
      <c r="AC256">
        <v>3.69</v>
      </c>
      <c r="AD256">
        <v>3.1</v>
      </c>
      <c r="AE256">
        <v>3.27</v>
      </c>
      <c r="AF256">
        <v>2.95</v>
      </c>
      <c r="AG256">
        <v>3.94</v>
      </c>
      <c r="AH256">
        <v>3.68</v>
      </c>
      <c r="AI256">
        <v>4</v>
      </c>
      <c r="AJ256">
        <v>3.03</v>
      </c>
    </row>
    <row r="257" spans="2:36">
      <c r="B257" t="s">
        <v>261</v>
      </c>
      <c r="C257">
        <v>2.99</v>
      </c>
      <c r="D257">
        <v>4.5</v>
      </c>
      <c r="E257">
        <v>5.37</v>
      </c>
      <c r="F257">
        <v>4.47</v>
      </c>
      <c r="G257">
        <v>6</v>
      </c>
      <c r="H257">
        <v>7.25</v>
      </c>
      <c r="I257">
        <v>6.14</v>
      </c>
      <c r="J257">
        <v>5.23</v>
      </c>
      <c r="K257">
        <v>6.6</v>
      </c>
      <c r="L257">
        <v>6.5</v>
      </c>
      <c r="M257">
        <v>6.55</v>
      </c>
      <c r="N257">
        <v>7.91</v>
      </c>
      <c r="O257">
        <v>9.2100000000000009</v>
      </c>
      <c r="P257">
        <v>10.35</v>
      </c>
      <c r="Q257">
        <v>7.01</v>
      </c>
      <c r="R257">
        <v>7.56</v>
      </c>
      <c r="S257">
        <v>4.8</v>
      </c>
      <c r="T257">
        <v>3.32</v>
      </c>
      <c r="U257">
        <v>3.86</v>
      </c>
      <c r="V257">
        <v>4.93</v>
      </c>
      <c r="W257">
        <v>5.27</v>
      </c>
      <c r="X257">
        <v>5.34</v>
      </c>
      <c r="Y257">
        <v>5.43</v>
      </c>
      <c r="Z257">
        <v>5.33</v>
      </c>
      <c r="AA257">
        <v>5.44</v>
      </c>
      <c r="AB257">
        <v>5.43</v>
      </c>
      <c r="AC257">
        <v>5.24</v>
      </c>
      <c r="AD257">
        <v>4.49</v>
      </c>
      <c r="AE257">
        <v>4.62</v>
      </c>
      <c r="AF257">
        <v>4.1900000000000004</v>
      </c>
      <c r="AG257">
        <v>5.47</v>
      </c>
      <c r="AH257">
        <v>4.9000000000000004</v>
      </c>
      <c r="AI257">
        <v>5.3</v>
      </c>
      <c r="AJ257">
        <v>3.92</v>
      </c>
    </row>
    <row r="258" spans="2:36">
      <c r="B258" t="s">
        <v>262</v>
      </c>
      <c r="C258">
        <v>3.05</v>
      </c>
      <c r="D258">
        <v>4.57</v>
      </c>
      <c r="E258">
        <v>5.47</v>
      </c>
      <c r="F258">
        <v>4.54</v>
      </c>
      <c r="G258">
        <v>6.07</v>
      </c>
      <c r="H258">
        <v>7.34</v>
      </c>
      <c r="I258">
        <v>6.23</v>
      </c>
      <c r="J258">
        <v>5.29</v>
      </c>
      <c r="K258">
        <v>6.73</v>
      </c>
      <c r="L258">
        <v>6.62</v>
      </c>
      <c r="M258">
        <v>6.73</v>
      </c>
      <c r="N258">
        <v>8.1199999999999992</v>
      </c>
      <c r="O258">
        <v>9.49</v>
      </c>
      <c r="P258">
        <v>10.63</v>
      </c>
      <c r="Q258">
        <v>7.17</v>
      </c>
      <c r="R258">
        <v>7.69</v>
      </c>
      <c r="S258">
        <v>4.92</v>
      </c>
      <c r="T258">
        <v>3.4</v>
      </c>
      <c r="U258">
        <v>3.95</v>
      </c>
      <c r="V258">
        <v>5.04</v>
      </c>
      <c r="W258">
        <v>5.37</v>
      </c>
      <c r="X258">
        <v>5.43</v>
      </c>
      <c r="Y258">
        <v>5.55</v>
      </c>
      <c r="Z258">
        <v>5.46</v>
      </c>
      <c r="AA258">
        <v>5.56</v>
      </c>
      <c r="AB258">
        <v>5.56</v>
      </c>
      <c r="AC258">
        <v>5.35</v>
      </c>
      <c r="AD258">
        <v>4.6100000000000003</v>
      </c>
      <c r="AE258">
        <v>4.91</v>
      </c>
      <c r="AF258">
        <v>4.41</v>
      </c>
      <c r="AG258">
        <v>5.73</v>
      </c>
      <c r="AH258">
        <v>5.15</v>
      </c>
      <c r="AI258">
        <v>5.55</v>
      </c>
      <c r="AJ258">
        <v>4.1100000000000003</v>
      </c>
    </row>
    <row r="259" spans="2:36">
      <c r="B259" t="s">
        <v>263</v>
      </c>
      <c r="C259">
        <v>28.9</v>
      </c>
      <c r="D259">
        <v>19.600000000000001</v>
      </c>
      <c r="E259">
        <v>16.5</v>
      </c>
      <c r="F259">
        <v>20.5</v>
      </c>
      <c r="G259">
        <v>15.2</v>
      </c>
      <c r="H259">
        <v>11.7</v>
      </c>
      <c r="I259">
        <v>12.8</v>
      </c>
      <c r="J259">
        <v>15.3</v>
      </c>
      <c r="K259">
        <v>12.2</v>
      </c>
      <c r="L259">
        <v>12.8</v>
      </c>
      <c r="M259">
        <v>13.1</v>
      </c>
      <c r="N259">
        <v>11.1</v>
      </c>
      <c r="O259">
        <v>9.5</v>
      </c>
      <c r="P259">
        <v>9</v>
      </c>
      <c r="Q259">
        <v>13.5</v>
      </c>
      <c r="R259">
        <v>12.7</v>
      </c>
      <c r="S259">
        <v>20.399999999999999</v>
      </c>
      <c r="T259">
        <v>26.9</v>
      </c>
      <c r="U259">
        <v>21.4</v>
      </c>
      <c r="V259">
        <v>14.5</v>
      </c>
      <c r="W259">
        <v>12</v>
      </c>
      <c r="X259">
        <v>10.6</v>
      </c>
      <c r="Y259">
        <v>9.4</v>
      </c>
      <c r="Z259">
        <v>8.9</v>
      </c>
      <c r="AA259">
        <v>8.1</v>
      </c>
      <c r="AB259">
        <v>6.8</v>
      </c>
      <c r="AC259">
        <v>7</v>
      </c>
      <c r="AD259">
        <v>6.4</v>
      </c>
      <c r="AE259">
        <v>4.8</v>
      </c>
      <c r="AF259">
        <v>5.3</v>
      </c>
      <c r="AG259">
        <v>3.3</v>
      </c>
      <c r="AH259">
        <v>3.5</v>
      </c>
      <c r="AI259">
        <v>3.1</v>
      </c>
      <c r="AJ259">
        <v>5.0999999999999996</v>
      </c>
    </row>
    <row r="260" spans="2:36">
      <c r="B260" t="s">
        <v>264</v>
      </c>
      <c r="C260">
        <v>5.59</v>
      </c>
      <c r="D260">
        <v>6.3</v>
      </c>
      <c r="E260">
        <v>6.87</v>
      </c>
      <c r="F260">
        <v>7.55</v>
      </c>
      <c r="G260">
        <v>8.16</v>
      </c>
      <c r="H260">
        <v>8.4</v>
      </c>
      <c r="I260">
        <v>8.0399999999999991</v>
      </c>
      <c r="J260">
        <v>8.76</v>
      </c>
      <c r="K260">
        <v>9.4</v>
      </c>
      <c r="L260">
        <v>10.84</v>
      </c>
      <c r="M260">
        <v>12.19</v>
      </c>
      <c r="N260">
        <v>13.52</v>
      </c>
      <c r="O260">
        <v>14.51</v>
      </c>
      <c r="P260">
        <v>17.82</v>
      </c>
      <c r="Q260">
        <v>19.399999999999999</v>
      </c>
      <c r="R260">
        <v>21.2</v>
      </c>
      <c r="S260">
        <v>23.19</v>
      </c>
      <c r="T260">
        <v>22.92</v>
      </c>
      <c r="U260">
        <v>22.53</v>
      </c>
      <c r="V260">
        <v>20.66</v>
      </c>
      <c r="W260">
        <v>22.28</v>
      </c>
      <c r="X260">
        <v>22.33</v>
      </c>
      <c r="Y260">
        <v>22.1</v>
      </c>
      <c r="Z260">
        <v>22.36</v>
      </c>
      <c r="AA260">
        <v>22.88</v>
      </c>
      <c r="AB260">
        <v>21.86</v>
      </c>
      <c r="AC260">
        <v>24.52</v>
      </c>
      <c r="AD260">
        <v>21.62</v>
      </c>
      <c r="AE260">
        <v>18.309999999999999</v>
      </c>
      <c r="AF260">
        <v>21.63</v>
      </c>
      <c r="AG260">
        <v>19.97</v>
      </c>
      <c r="AH260">
        <v>20.149999999999999</v>
      </c>
      <c r="AI260">
        <v>20.350000000000001</v>
      </c>
      <c r="AJ260">
        <v>27.12</v>
      </c>
    </row>
    <row r="261" spans="2:36">
      <c r="B261" t="s">
        <v>265</v>
      </c>
      <c r="C261">
        <v>0.54</v>
      </c>
      <c r="D261">
        <v>0.82</v>
      </c>
      <c r="E261">
        <v>1.1100000000000001</v>
      </c>
      <c r="F261">
        <v>1.42</v>
      </c>
      <c r="G261">
        <v>1.81</v>
      </c>
      <c r="H261">
        <v>2.12</v>
      </c>
      <c r="I261">
        <v>2.27</v>
      </c>
      <c r="J261">
        <v>2.4500000000000002</v>
      </c>
      <c r="K261">
        <v>2.59</v>
      </c>
      <c r="L261">
        <v>3.11</v>
      </c>
      <c r="M261">
        <v>3.53</v>
      </c>
      <c r="N261">
        <v>3.94</v>
      </c>
      <c r="O261">
        <v>4.37</v>
      </c>
      <c r="P261">
        <v>5.03</v>
      </c>
      <c r="Q261">
        <v>5.38</v>
      </c>
      <c r="R261">
        <v>5.68</v>
      </c>
      <c r="S261">
        <v>5.97</v>
      </c>
      <c r="T261">
        <v>6.05</v>
      </c>
      <c r="U261">
        <v>6.28</v>
      </c>
      <c r="V261">
        <v>6.49</v>
      </c>
      <c r="W261">
        <v>9.9700000000000006</v>
      </c>
      <c r="X261">
        <v>11.91</v>
      </c>
      <c r="Y261">
        <v>13.97</v>
      </c>
      <c r="Z261">
        <v>16.23</v>
      </c>
      <c r="AA261">
        <v>16.420000000000002</v>
      </c>
      <c r="AB261">
        <v>19.34</v>
      </c>
      <c r="AC261">
        <v>22.65</v>
      </c>
      <c r="AD261">
        <v>27.19</v>
      </c>
      <c r="AE261">
        <v>29.85</v>
      </c>
      <c r="AF261">
        <v>37.72</v>
      </c>
      <c r="AG261">
        <v>43.96</v>
      </c>
      <c r="AH261">
        <v>45.85</v>
      </c>
      <c r="AI261">
        <v>47.92</v>
      </c>
      <c r="AJ261">
        <v>48.87</v>
      </c>
    </row>
    <row r="262" spans="2:36">
      <c r="B262" t="s">
        <v>266</v>
      </c>
      <c r="C262">
        <v>0.97</v>
      </c>
      <c r="D262">
        <v>0.89</v>
      </c>
      <c r="E262">
        <v>1.47</v>
      </c>
      <c r="F262">
        <v>1.96</v>
      </c>
      <c r="G262">
        <v>2.72</v>
      </c>
      <c r="H262">
        <v>0.24</v>
      </c>
      <c r="I262">
        <v>-0.14000000000000001</v>
      </c>
      <c r="J262">
        <v>0.77</v>
      </c>
      <c r="K262">
        <v>1.83</v>
      </c>
      <c r="L262">
        <v>1.81</v>
      </c>
      <c r="M262">
        <v>2.41</v>
      </c>
      <c r="N262">
        <v>3.48</v>
      </c>
      <c r="O262">
        <v>5.14</v>
      </c>
      <c r="P262">
        <v>2.91</v>
      </c>
      <c r="Q262">
        <v>4.01</v>
      </c>
      <c r="R262">
        <v>5.1100000000000003</v>
      </c>
      <c r="S262">
        <v>9.1999999999999993</v>
      </c>
      <c r="T262">
        <v>4.03</v>
      </c>
      <c r="U262">
        <v>4.83</v>
      </c>
      <c r="V262">
        <v>7.04</v>
      </c>
      <c r="W262">
        <v>9.94</v>
      </c>
      <c r="X262">
        <v>5.96</v>
      </c>
      <c r="Y262">
        <v>7.81</v>
      </c>
      <c r="Z262">
        <v>12.03</v>
      </c>
      <c r="AA262">
        <v>17.29</v>
      </c>
      <c r="AB262">
        <v>9.24</v>
      </c>
      <c r="AC262">
        <v>15.22</v>
      </c>
      <c r="AD262">
        <v>26.13</v>
      </c>
      <c r="AE262">
        <v>32.1</v>
      </c>
      <c r="AF262">
        <v>17.3</v>
      </c>
      <c r="AG262">
        <v>30.21</v>
      </c>
      <c r="AH262">
        <v>37.840000000000003</v>
      </c>
      <c r="AI262">
        <v>41.12</v>
      </c>
      <c r="AJ262">
        <v>19.38</v>
      </c>
    </row>
    <row r="263" spans="2:36">
      <c r="B263" t="s">
        <v>267</v>
      </c>
      <c r="C263">
        <v>5.4</v>
      </c>
      <c r="D263">
        <v>8.8000000000000007</v>
      </c>
      <c r="E263">
        <v>11.8</v>
      </c>
      <c r="F263">
        <v>14.8</v>
      </c>
      <c r="G263">
        <v>17.899999999999999</v>
      </c>
      <c r="H263">
        <v>19.2</v>
      </c>
      <c r="I263">
        <v>19.899999999999999</v>
      </c>
      <c r="J263">
        <v>20.100000000000001</v>
      </c>
      <c r="K263">
        <v>19.899999999999999</v>
      </c>
      <c r="L263">
        <v>21.6</v>
      </c>
      <c r="M263">
        <v>22.7</v>
      </c>
      <c r="N263">
        <v>23.4</v>
      </c>
      <c r="O263">
        <v>24.1</v>
      </c>
      <c r="P263">
        <v>24.2</v>
      </c>
      <c r="Q263">
        <v>24.1</v>
      </c>
      <c r="R263">
        <v>23.5</v>
      </c>
      <c r="S263">
        <v>23</v>
      </c>
      <c r="T263">
        <v>21.2</v>
      </c>
      <c r="U263">
        <v>20.6</v>
      </c>
      <c r="V263">
        <v>20</v>
      </c>
      <c r="W263">
        <v>26</v>
      </c>
      <c r="X263">
        <v>28</v>
      </c>
      <c r="Y263">
        <v>30.2</v>
      </c>
      <c r="Z263">
        <v>32.200000000000003</v>
      </c>
      <c r="AA263">
        <v>29.3</v>
      </c>
      <c r="AB263">
        <v>30.4</v>
      </c>
      <c r="AC263">
        <v>31.8</v>
      </c>
      <c r="AD263">
        <v>34</v>
      </c>
      <c r="AE263">
        <v>33.799999999999997</v>
      </c>
      <c r="AF263">
        <v>36.6</v>
      </c>
      <c r="AG263">
        <v>37.700000000000003</v>
      </c>
      <c r="AH263">
        <v>35.9</v>
      </c>
      <c r="AI263">
        <v>35.299999999999997</v>
      </c>
      <c r="AJ263">
        <v>32.799999999999997</v>
      </c>
    </row>
    <row r="264" spans="2:36">
      <c r="B264" t="s">
        <v>268</v>
      </c>
      <c r="C264">
        <v>5.4</v>
      </c>
      <c r="D264">
        <v>8.8000000000000007</v>
      </c>
      <c r="E264">
        <v>11.8</v>
      </c>
      <c r="F264">
        <v>14.8</v>
      </c>
      <c r="G264">
        <v>17.899999999999999</v>
      </c>
      <c r="H264">
        <v>19.2</v>
      </c>
      <c r="I264">
        <v>19.899999999999999</v>
      </c>
      <c r="J264">
        <v>20.100000000000001</v>
      </c>
      <c r="K264">
        <v>19.899999999999999</v>
      </c>
      <c r="L264">
        <v>21.6</v>
      </c>
      <c r="M264">
        <v>22.7</v>
      </c>
      <c r="N264">
        <v>23.4</v>
      </c>
      <c r="O264">
        <v>24.1</v>
      </c>
      <c r="P264">
        <v>24.2</v>
      </c>
      <c r="Q264">
        <v>24.1</v>
      </c>
      <c r="R264">
        <v>23.5</v>
      </c>
      <c r="S264">
        <v>23</v>
      </c>
      <c r="T264">
        <v>21.2</v>
      </c>
      <c r="U264">
        <v>20.6</v>
      </c>
      <c r="V264">
        <v>20</v>
      </c>
      <c r="W264">
        <v>26</v>
      </c>
      <c r="X264">
        <v>28</v>
      </c>
      <c r="Y264">
        <v>30.2</v>
      </c>
      <c r="Z264">
        <v>32.200000000000003</v>
      </c>
      <c r="AA264">
        <v>29.3</v>
      </c>
      <c r="AB264">
        <v>30.4</v>
      </c>
      <c r="AC264">
        <v>31.8</v>
      </c>
      <c r="AD264">
        <v>34</v>
      </c>
      <c r="AE264">
        <v>33.799999999999997</v>
      </c>
      <c r="AF264">
        <v>36.6</v>
      </c>
      <c r="AG264">
        <v>37.700000000000003</v>
      </c>
      <c r="AH264">
        <v>35.9</v>
      </c>
      <c r="AI264">
        <v>35.299999999999997</v>
      </c>
      <c r="AJ264">
        <v>32.799999999999997</v>
      </c>
    </row>
    <row r="265" spans="2:36">
      <c r="B265" t="s">
        <v>269</v>
      </c>
      <c r="C265">
        <v>3.4</v>
      </c>
      <c r="D265">
        <v>5.4</v>
      </c>
      <c r="E265">
        <v>7.4</v>
      </c>
      <c r="F265">
        <v>9.6</v>
      </c>
      <c r="G265">
        <v>11.6</v>
      </c>
      <c r="H265">
        <v>11.3</v>
      </c>
      <c r="I265">
        <v>12.4</v>
      </c>
      <c r="J265">
        <v>12.4</v>
      </c>
      <c r="K265">
        <v>11.6</v>
      </c>
      <c r="L265">
        <v>12.5</v>
      </c>
      <c r="M265">
        <v>14.9</v>
      </c>
      <c r="N265">
        <v>14.5</v>
      </c>
      <c r="O265">
        <v>13.8</v>
      </c>
      <c r="P265">
        <v>13.6</v>
      </c>
      <c r="Q265">
        <v>14.3</v>
      </c>
      <c r="R265">
        <v>14.5</v>
      </c>
      <c r="S265">
        <v>12.2</v>
      </c>
      <c r="T265">
        <v>11.4</v>
      </c>
      <c r="U265">
        <v>11.6</v>
      </c>
      <c r="V265">
        <v>10.7</v>
      </c>
      <c r="W265">
        <v>17.3</v>
      </c>
      <c r="X265">
        <v>18.600000000000001</v>
      </c>
      <c r="Y265">
        <v>20.8</v>
      </c>
      <c r="Z265">
        <v>21.5</v>
      </c>
      <c r="AA265">
        <v>18.600000000000001</v>
      </c>
      <c r="AB265">
        <v>19.2</v>
      </c>
      <c r="AC265">
        <v>20.6</v>
      </c>
      <c r="AD265">
        <v>22.1</v>
      </c>
      <c r="AE265">
        <v>22.3</v>
      </c>
      <c r="AF265">
        <v>23.8</v>
      </c>
      <c r="AG265">
        <v>25.6</v>
      </c>
      <c r="AH265">
        <v>24.6</v>
      </c>
      <c r="AI265">
        <v>23.7</v>
      </c>
      <c r="AJ265">
        <v>21.3</v>
      </c>
    </row>
    <row r="266" spans="2:36">
      <c r="B266" t="s">
        <v>270</v>
      </c>
      <c r="C266">
        <v>35.9</v>
      </c>
      <c r="D266">
        <v>39.299999999999997</v>
      </c>
      <c r="E266">
        <v>37.5</v>
      </c>
      <c r="F266">
        <v>25.9</v>
      </c>
      <c r="G266">
        <v>29.6</v>
      </c>
      <c r="H266">
        <v>33.9</v>
      </c>
      <c r="I266">
        <v>27.6</v>
      </c>
      <c r="J266">
        <v>23.4</v>
      </c>
      <c r="K266">
        <v>29.7</v>
      </c>
      <c r="L266">
        <v>27.3</v>
      </c>
      <c r="M266">
        <v>26.3</v>
      </c>
      <c r="N266">
        <v>31</v>
      </c>
      <c r="O266">
        <v>35.1</v>
      </c>
      <c r="P266">
        <v>39.4</v>
      </c>
      <c r="Q266">
        <v>26.7</v>
      </c>
      <c r="R266">
        <v>29.5</v>
      </c>
      <c r="S266">
        <v>19</v>
      </c>
      <c r="T266">
        <v>14.1</v>
      </c>
      <c r="U266">
        <v>16.7</v>
      </c>
      <c r="V266">
        <v>21.9</v>
      </c>
      <c r="W266">
        <v>18.600000000000001</v>
      </c>
      <c r="X266">
        <v>17.7</v>
      </c>
      <c r="Y266">
        <v>16.8</v>
      </c>
      <c r="Z266">
        <v>15.5</v>
      </c>
      <c r="AA266">
        <v>17.3</v>
      </c>
      <c r="AB266">
        <v>16.7</v>
      </c>
      <c r="AC266">
        <v>15.4</v>
      </c>
      <c r="AD266">
        <v>12.3</v>
      </c>
      <c r="AE266">
        <v>12.8</v>
      </c>
      <c r="AF266">
        <v>10.7</v>
      </c>
      <c r="AG266">
        <v>13.6</v>
      </c>
      <c r="AH266">
        <v>12.7</v>
      </c>
      <c r="AI266">
        <v>13.9</v>
      </c>
      <c r="AJ266">
        <v>10.9</v>
      </c>
    </row>
    <row r="267" spans="2:36">
      <c r="B267" t="s">
        <v>271</v>
      </c>
      <c r="C267">
        <v>20</v>
      </c>
      <c r="D267">
        <v>36.200000000000003</v>
      </c>
      <c r="E267">
        <v>28.3</v>
      </c>
      <c r="F267">
        <v>18.8</v>
      </c>
      <c r="G267">
        <v>19.7</v>
      </c>
      <c r="H267">
        <v>299.5</v>
      </c>
      <c r="I267">
        <v>-448</v>
      </c>
      <c r="J267">
        <v>74.400000000000006</v>
      </c>
      <c r="K267">
        <v>42.1</v>
      </c>
      <c r="L267">
        <v>46.9</v>
      </c>
      <c r="M267">
        <v>38.6</v>
      </c>
      <c r="N267">
        <v>35.1</v>
      </c>
      <c r="O267">
        <v>29.9</v>
      </c>
      <c r="P267">
        <v>68.099999999999994</v>
      </c>
      <c r="Q267">
        <v>35.799999999999997</v>
      </c>
      <c r="R267">
        <v>32.799999999999997</v>
      </c>
      <c r="S267">
        <v>12.4</v>
      </c>
      <c r="T267">
        <v>21.2</v>
      </c>
      <c r="U267">
        <v>21.8</v>
      </c>
      <c r="V267">
        <v>20.2</v>
      </c>
      <c r="W267">
        <v>18.600000000000001</v>
      </c>
      <c r="X267">
        <v>35.4</v>
      </c>
      <c r="Y267">
        <v>30.1</v>
      </c>
      <c r="Z267">
        <v>20.9</v>
      </c>
      <c r="AA267">
        <v>16.399999999999999</v>
      </c>
      <c r="AB267">
        <v>34.9</v>
      </c>
      <c r="AC267">
        <v>22.9</v>
      </c>
      <c r="AD267">
        <v>12.8</v>
      </c>
      <c r="AE267">
        <v>11.9</v>
      </c>
      <c r="AF267">
        <v>23.4</v>
      </c>
      <c r="AG267">
        <v>19.8</v>
      </c>
      <c r="AH267">
        <v>15.4</v>
      </c>
      <c r="AI267">
        <v>16.2</v>
      </c>
      <c r="AJ267">
        <v>27.5</v>
      </c>
    </row>
    <row r="268" spans="2:36">
      <c r="B268" t="s">
        <v>272</v>
      </c>
      <c r="C268">
        <v>707909</v>
      </c>
      <c r="D268">
        <v>941284</v>
      </c>
      <c r="H268">
        <v>1085905</v>
      </c>
      <c r="M268">
        <v>1111389</v>
      </c>
      <c r="R268">
        <v>1014969</v>
      </c>
      <c r="W268">
        <v>1165897</v>
      </c>
      <c r="X268">
        <v>1320344</v>
      </c>
      <c r="AB268">
        <v>1710095</v>
      </c>
      <c r="AG268">
        <v>2149835</v>
      </c>
    </row>
    <row r="269" spans="2:36">
      <c r="B269" t="s">
        <v>273</v>
      </c>
      <c r="C269">
        <v>13.5</v>
      </c>
      <c r="D269">
        <v>15.2</v>
      </c>
      <c r="E269">
        <v>16.3</v>
      </c>
      <c r="F269">
        <v>17.7</v>
      </c>
      <c r="G269">
        <v>18.600000000000001</v>
      </c>
      <c r="H269">
        <v>21.2</v>
      </c>
      <c r="I269">
        <v>22.4</v>
      </c>
      <c r="J269">
        <v>23.3</v>
      </c>
      <c r="K269">
        <v>24.7</v>
      </c>
      <c r="L269">
        <v>25.9</v>
      </c>
      <c r="M269">
        <v>26.5</v>
      </c>
      <c r="N269">
        <v>26.9</v>
      </c>
      <c r="O269">
        <v>27.7</v>
      </c>
      <c r="P269">
        <v>29.4</v>
      </c>
      <c r="Q269">
        <v>30.6</v>
      </c>
      <c r="R269">
        <v>32.4</v>
      </c>
      <c r="S269">
        <v>34.200000000000003</v>
      </c>
      <c r="T269">
        <v>36.1</v>
      </c>
      <c r="U269">
        <v>38</v>
      </c>
      <c r="V269">
        <v>36.6</v>
      </c>
      <c r="W269">
        <v>44.4</v>
      </c>
      <c r="X269">
        <v>46.3</v>
      </c>
      <c r="Y269">
        <v>46.9</v>
      </c>
      <c r="Z269">
        <v>50.4</v>
      </c>
      <c r="AA269">
        <v>51.5</v>
      </c>
      <c r="AB269">
        <v>55.3</v>
      </c>
      <c r="AC269">
        <v>57.9</v>
      </c>
      <c r="AD269">
        <v>63.1</v>
      </c>
      <c r="AE269">
        <v>53.1</v>
      </c>
      <c r="AF269">
        <v>70.5</v>
      </c>
      <c r="AG269">
        <v>73.900000000000006</v>
      </c>
      <c r="AH269">
        <v>73.8</v>
      </c>
      <c r="AI269">
        <v>63.8</v>
      </c>
      <c r="AJ269">
        <v>63.9</v>
      </c>
    </row>
    <row r="270" spans="2:36">
      <c r="B270" t="s">
        <v>274</v>
      </c>
      <c r="C270">
        <v>10</v>
      </c>
      <c r="D270">
        <v>15.1</v>
      </c>
      <c r="E270">
        <v>17.899999999999999</v>
      </c>
      <c r="F270">
        <v>23</v>
      </c>
      <c r="G270">
        <v>26.8</v>
      </c>
      <c r="H270">
        <v>32.299999999999997</v>
      </c>
      <c r="I270">
        <v>37.799999999999997</v>
      </c>
      <c r="J270">
        <v>40.299999999999997</v>
      </c>
      <c r="K270">
        <v>40.5</v>
      </c>
      <c r="L270">
        <v>46.3</v>
      </c>
      <c r="M270">
        <v>47.7</v>
      </c>
      <c r="N270">
        <v>49.3</v>
      </c>
      <c r="O270">
        <v>53.8</v>
      </c>
      <c r="P270">
        <v>60.5</v>
      </c>
      <c r="Q270">
        <v>63.9</v>
      </c>
      <c r="R270">
        <v>66.099999999999994</v>
      </c>
      <c r="S270">
        <v>67.099999999999994</v>
      </c>
      <c r="T270">
        <v>71.099999999999994</v>
      </c>
      <c r="U270">
        <v>73.900000000000006</v>
      </c>
      <c r="V270">
        <v>55.4</v>
      </c>
      <c r="W270">
        <v>92.2</v>
      </c>
      <c r="X270">
        <v>91.5</v>
      </c>
      <c r="Y270">
        <v>90.5</v>
      </c>
      <c r="Z270">
        <v>100.2</v>
      </c>
      <c r="AA270">
        <v>84.2</v>
      </c>
      <c r="AB270">
        <v>82.5</v>
      </c>
      <c r="AC270">
        <v>79.599999999999994</v>
      </c>
      <c r="AD270">
        <v>90.6</v>
      </c>
      <c r="AE270">
        <v>99</v>
      </c>
      <c r="AF270">
        <v>80.099999999999994</v>
      </c>
      <c r="AG270">
        <v>76.400000000000006</v>
      </c>
      <c r="AH270">
        <v>68.099999999999994</v>
      </c>
      <c r="AI270">
        <v>99</v>
      </c>
      <c r="AJ270">
        <v>104.3</v>
      </c>
    </row>
    <row r="271" spans="2:36">
      <c r="B271" t="s">
        <v>275</v>
      </c>
      <c r="C271">
        <v>48.6</v>
      </c>
      <c r="D271">
        <v>68.900000000000006</v>
      </c>
      <c r="E271">
        <v>80.400000000000006</v>
      </c>
      <c r="F271">
        <v>102.6</v>
      </c>
      <c r="G271">
        <v>119.1</v>
      </c>
      <c r="H271">
        <v>136.80000000000001</v>
      </c>
      <c r="I271">
        <v>153.1</v>
      </c>
      <c r="J271">
        <v>156.5</v>
      </c>
      <c r="K271">
        <v>150.30000000000001</v>
      </c>
      <c r="L271">
        <v>171</v>
      </c>
      <c r="M271">
        <v>176.1</v>
      </c>
      <c r="N271">
        <v>182.1</v>
      </c>
      <c r="O271">
        <v>192.6</v>
      </c>
      <c r="P271">
        <v>213.1</v>
      </c>
      <c r="Q271">
        <v>219.7</v>
      </c>
      <c r="R271">
        <v>221.8</v>
      </c>
      <c r="S271">
        <v>222.7</v>
      </c>
      <c r="T271">
        <v>236.2</v>
      </c>
      <c r="U271">
        <v>245.2</v>
      </c>
      <c r="V271">
        <v>184.8</v>
      </c>
      <c r="W271">
        <v>313.10000000000002</v>
      </c>
      <c r="X271">
        <v>309.10000000000002</v>
      </c>
      <c r="Y271">
        <v>299.7</v>
      </c>
      <c r="Z271">
        <v>324.2</v>
      </c>
      <c r="AA271">
        <v>260.7</v>
      </c>
      <c r="AB271">
        <v>256.2</v>
      </c>
      <c r="AC271">
        <v>243.6</v>
      </c>
      <c r="AD271">
        <v>264.2</v>
      </c>
      <c r="AE271">
        <v>272.8</v>
      </c>
      <c r="AF271">
        <v>233.8</v>
      </c>
      <c r="AG271">
        <v>216.6</v>
      </c>
      <c r="AH271">
        <v>185.1</v>
      </c>
      <c r="AI271">
        <v>275.60000000000002</v>
      </c>
      <c r="AJ271">
        <v>272.5</v>
      </c>
    </row>
    <row r="272" spans="2:36">
      <c r="B272" t="s">
        <v>276</v>
      </c>
      <c r="C272">
        <v>47.6</v>
      </c>
      <c r="D272">
        <v>90.3</v>
      </c>
      <c r="E272">
        <v>118.6</v>
      </c>
      <c r="F272">
        <v>103.9</v>
      </c>
      <c r="G272">
        <v>145</v>
      </c>
      <c r="H272">
        <v>206.7</v>
      </c>
      <c r="I272">
        <v>208.8</v>
      </c>
      <c r="J272">
        <v>169.5</v>
      </c>
      <c r="K272">
        <v>206.4</v>
      </c>
      <c r="L272">
        <v>225.9</v>
      </c>
      <c r="M272">
        <v>194.3</v>
      </c>
      <c r="N272">
        <v>222.4</v>
      </c>
      <c r="O272">
        <v>215.9</v>
      </c>
      <c r="P272">
        <v>373.1</v>
      </c>
      <c r="Q272">
        <v>224.5</v>
      </c>
      <c r="R272">
        <v>370</v>
      </c>
      <c r="S272">
        <v>348</v>
      </c>
      <c r="T272">
        <v>223.1</v>
      </c>
      <c r="U272">
        <v>200.8</v>
      </c>
      <c r="V272">
        <v>215</v>
      </c>
      <c r="W272">
        <v>255.3</v>
      </c>
      <c r="X272">
        <v>262.8</v>
      </c>
      <c r="Y272">
        <v>281.60000000000002</v>
      </c>
      <c r="Z272">
        <v>252.8</v>
      </c>
      <c r="AA272">
        <v>250.9</v>
      </c>
      <c r="AB272">
        <v>261.60000000000002</v>
      </c>
      <c r="AC272">
        <v>286.7</v>
      </c>
      <c r="AD272">
        <v>243.5</v>
      </c>
      <c r="AE272">
        <v>217.6</v>
      </c>
      <c r="AF272">
        <v>204.8</v>
      </c>
      <c r="AG272">
        <v>349.6</v>
      </c>
      <c r="AH272">
        <v>354</v>
      </c>
      <c r="AI272">
        <v>376.8</v>
      </c>
      <c r="AJ272">
        <v>257.60000000000002</v>
      </c>
    </row>
    <row r="273" spans="2:36">
      <c r="B273" t="s">
        <v>277</v>
      </c>
      <c r="C273">
        <v>108.5</v>
      </c>
      <c r="D273">
        <v>131.19999999999999</v>
      </c>
      <c r="E273">
        <v>147.5</v>
      </c>
      <c r="F273">
        <v>101.3</v>
      </c>
      <c r="G273">
        <v>121.7</v>
      </c>
      <c r="H273">
        <v>151.19999999999999</v>
      </c>
      <c r="I273">
        <v>136.4</v>
      </c>
      <c r="J273">
        <v>108.3</v>
      </c>
      <c r="K273">
        <v>137.30000000000001</v>
      </c>
      <c r="L273">
        <v>132.1</v>
      </c>
      <c r="M273">
        <v>110.4</v>
      </c>
      <c r="N273">
        <v>122.2</v>
      </c>
      <c r="O273">
        <v>112.1</v>
      </c>
      <c r="P273">
        <v>175.1</v>
      </c>
      <c r="Q273">
        <v>102.3</v>
      </c>
      <c r="R273">
        <v>166.9</v>
      </c>
      <c r="S273">
        <v>156.5</v>
      </c>
      <c r="T273">
        <v>94.3</v>
      </c>
      <c r="U273">
        <v>82</v>
      </c>
      <c r="V273">
        <v>116.5</v>
      </c>
      <c r="W273">
        <v>81.5</v>
      </c>
      <c r="X273">
        <v>85.1</v>
      </c>
      <c r="Y273">
        <v>93.8</v>
      </c>
      <c r="Z273">
        <v>77.900000000000006</v>
      </c>
      <c r="AA273">
        <v>96.2</v>
      </c>
      <c r="AB273">
        <v>102.1</v>
      </c>
      <c r="AC273">
        <v>117.6</v>
      </c>
      <c r="AD273">
        <v>92.2</v>
      </c>
      <c r="AE273">
        <v>79.8</v>
      </c>
      <c r="AF273">
        <v>87.6</v>
      </c>
      <c r="AG273">
        <v>161.4</v>
      </c>
      <c r="AH273">
        <v>191.2</v>
      </c>
      <c r="AI273">
        <v>136.69999999999999</v>
      </c>
      <c r="AJ273">
        <v>94.5</v>
      </c>
    </row>
    <row r="274" spans="2:36">
      <c r="B274" t="s">
        <v>278</v>
      </c>
      <c r="C274">
        <v>26.7</v>
      </c>
      <c r="D274">
        <v>42.5</v>
      </c>
      <c r="E274">
        <v>54.2</v>
      </c>
      <c r="F274">
        <v>45.1</v>
      </c>
      <c r="G274">
        <v>55.5</v>
      </c>
      <c r="H274">
        <v>83.8</v>
      </c>
      <c r="I274">
        <v>85</v>
      </c>
      <c r="J274">
        <v>69.900000000000006</v>
      </c>
      <c r="K274">
        <v>84.9</v>
      </c>
      <c r="L274">
        <v>99.4</v>
      </c>
      <c r="M274">
        <v>87.2</v>
      </c>
      <c r="N274">
        <v>100.8</v>
      </c>
      <c r="O274">
        <v>82.5</v>
      </c>
      <c r="P274">
        <v>140.4</v>
      </c>
      <c r="Q274">
        <v>83.8</v>
      </c>
      <c r="R274">
        <v>143.5</v>
      </c>
      <c r="S274">
        <v>127</v>
      </c>
      <c r="T274">
        <v>81.8</v>
      </c>
      <c r="U274">
        <v>74.2</v>
      </c>
      <c r="V274">
        <v>89.2</v>
      </c>
      <c r="W274">
        <v>89.3</v>
      </c>
      <c r="X274">
        <v>98.7</v>
      </c>
      <c r="Y274">
        <v>112.2</v>
      </c>
      <c r="Z274">
        <v>102.7</v>
      </c>
      <c r="AA274">
        <v>94.3</v>
      </c>
      <c r="AB274">
        <v>102.3</v>
      </c>
      <c r="AC274">
        <v>121.3</v>
      </c>
      <c r="AD274">
        <v>102</v>
      </c>
      <c r="AE274">
        <v>129.1</v>
      </c>
      <c r="AF274">
        <v>122.9</v>
      </c>
      <c r="AG274">
        <v>197.5</v>
      </c>
      <c r="AH274">
        <v>191.4</v>
      </c>
      <c r="AI274">
        <v>193.4</v>
      </c>
      <c r="AJ274">
        <v>133.30000000000001</v>
      </c>
    </row>
    <row r="275" spans="2:36">
      <c r="B275" t="s">
        <v>279</v>
      </c>
      <c r="C275">
        <v>84.7</v>
      </c>
      <c r="D275">
        <v>132.19999999999999</v>
      </c>
      <c r="E275">
        <v>160.9</v>
      </c>
      <c r="F275">
        <v>131.5</v>
      </c>
      <c r="G275">
        <v>179.3</v>
      </c>
      <c r="H275">
        <v>255.1</v>
      </c>
      <c r="I275">
        <v>248.4</v>
      </c>
      <c r="J275">
        <v>194.9</v>
      </c>
      <c r="K275">
        <v>224.3</v>
      </c>
      <c r="L275">
        <v>233.8</v>
      </c>
      <c r="M275">
        <v>197.9</v>
      </c>
      <c r="N275">
        <v>223.3</v>
      </c>
      <c r="O275">
        <v>224.1</v>
      </c>
      <c r="P275">
        <v>371.2</v>
      </c>
      <c r="Q275">
        <v>218.9</v>
      </c>
      <c r="R275">
        <v>344.3</v>
      </c>
      <c r="S275">
        <v>307.89999999999998</v>
      </c>
      <c r="T275">
        <v>184</v>
      </c>
      <c r="U275">
        <v>157.1</v>
      </c>
      <c r="V275">
        <v>174.9</v>
      </c>
      <c r="W275">
        <v>172.9</v>
      </c>
      <c r="X275">
        <v>169.8</v>
      </c>
      <c r="Y275">
        <v>191.3</v>
      </c>
      <c r="Z275">
        <v>160.69999999999999</v>
      </c>
      <c r="AA275">
        <v>157.30000000000001</v>
      </c>
      <c r="AB275">
        <v>145.69999999999999</v>
      </c>
      <c r="AC275">
        <v>166.2</v>
      </c>
      <c r="AD275">
        <v>131.4</v>
      </c>
      <c r="AE275">
        <v>168.6</v>
      </c>
      <c r="AF275">
        <v>120.4</v>
      </c>
      <c r="AG275">
        <v>197</v>
      </c>
      <c r="AH275">
        <v>198.9</v>
      </c>
      <c r="AI275">
        <v>245.4</v>
      </c>
      <c r="AJ275">
        <v>162.9</v>
      </c>
    </row>
    <row r="276" spans="2:36">
      <c r="B276" t="s">
        <v>280</v>
      </c>
      <c r="C276">
        <v>91.2</v>
      </c>
      <c r="D276">
        <v>120.1</v>
      </c>
      <c r="E276">
        <v>137.80000000000001</v>
      </c>
      <c r="F276">
        <v>98.8</v>
      </c>
      <c r="G276">
        <v>123.3</v>
      </c>
      <c r="H276">
        <v>169.6</v>
      </c>
      <c r="I276">
        <v>150.80000000000001</v>
      </c>
      <c r="J276">
        <v>116.3</v>
      </c>
      <c r="K276">
        <v>141.1</v>
      </c>
      <c r="L276">
        <v>136.5</v>
      </c>
      <c r="M276">
        <v>114.5</v>
      </c>
      <c r="N276">
        <v>127</v>
      </c>
      <c r="O276">
        <v>121</v>
      </c>
      <c r="P276">
        <v>192.1</v>
      </c>
      <c r="Q276">
        <v>112.6</v>
      </c>
      <c r="R276">
        <v>181.1</v>
      </c>
      <c r="S276">
        <v>167.9</v>
      </c>
      <c r="T276">
        <v>101.8</v>
      </c>
      <c r="U276">
        <v>88.6</v>
      </c>
      <c r="V276">
        <v>120.6</v>
      </c>
      <c r="W276">
        <v>90.4</v>
      </c>
      <c r="X276">
        <v>92.4</v>
      </c>
      <c r="Y276">
        <v>105.8</v>
      </c>
      <c r="Z276">
        <v>87.2</v>
      </c>
      <c r="AA276">
        <v>100.5</v>
      </c>
      <c r="AB276">
        <v>101.7</v>
      </c>
      <c r="AC276">
        <v>124</v>
      </c>
      <c r="AD276">
        <v>94.7</v>
      </c>
      <c r="AE276">
        <v>113.9</v>
      </c>
      <c r="AF276">
        <v>96.9</v>
      </c>
      <c r="AG276">
        <v>216.5</v>
      </c>
      <c r="AH276">
        <v>235.9</v>
      </c>
      <c r="AI276">
        <v>180.8</v>
      </c>
      <c r="AJ276">
        <v>114</v>
      </c>
    </row>
    <row r="277" spans="2:36">
      <c r="B277" t="s">
        <v>281</v>
      </c>
      <c r="C277">
        <v>76.099999999999994</v>
      </c>
      <c r="D277">
        <v>61.9</v>
      </c>
      <c r="E277">
        <v>74.2</v>
      </c>
      <c r="F277">
        <v>72.599999999999994</v>
      </c>
      <c r="G277">
        <v>93.8</v>
      </c>
      <c r="H277">
        <v>232.5</v>
      </c>
      <c r="I277">
        <v>-984.2</v>
      </c>
      <c r="J277">
        <v>253.2</v>
      </c>
      <c r="K277">
        <v>164.7</v>
      </c>
      <c r="L277">
        <v>72.400000000000006</v>
      </c>
      <c r="M277">
        <v>110.5</v>
      </c>
      <c r="N277">
        <v>129.1</v>
      </c>
      <c r="O277">
        <v>75.599999999999994</v>
      </c>
      <c r="P277">
        <v>102.6</v>
      </c>
      <c r="Q277">
        <v>82.3</v>
      </c>
      <c r="R277">
        <v>215.9</v>
      </c>
      <c r="S277">
        <v>108.9</v>
      </c>
      <c r="T277">
        <v>90.2</v>
      </c>
      <c r="U277">
        <v>108.1</v>
      </c>
      <c r="V277">
        <v>114.8</v>
      </c>
      <c r="W277">
        <v>74.2</v>
      </c>
      <c r="X277">
        <v>103.6</v>
      </c>
      <c r="Y277">
        <v>153.19999999999999</v>
      </c>
      <c r="Z277">
        <v>131.30000000000001</v>
      </c>
      <c r="AA277">
        <v>97.2</v>
      </c>
      <c r="AB277">
        <v>135.9</v>
      </c>
      <c r="AC277">
        <v>169.5</v>
      </c>
      <c r="AD277">
        <v>104.2</v>
      </c>
      <c r="AE277">
        <v>108.7</v>
      </c>
      <c r="AF277">
        <v>150.6</v>
      </c>
      <c r="AG277">
        <v>175.7</v>
      </c>
      <c r="AH277">
        <v>157.30000000000001</v>
      </c>
      <c r="AI277">
        <v>160.30000000000001</v>
      </c>
      <c r="AJ277">
        <v>132.9</v>
      </c>
    </row>
    <row r="278" spans="2:36">
      <c r="B278" t="s">
        <v>282</v>
      </c>
      <c r="C278">
        <v>0</v>
      </c>
      <c r="D278">
        <v>0</v>
      </c>
      <c r="E278">
        <v>0</v>
      </c>
      <c r="F278">
        <v>0</v>
      </c>
      <c r="G278">
        <v>0</v>
      </c>
      <c r="H278">
        <v>0</v>
      </c>
      <c r="I278">
        <v>0</v>
      </c>
      <c r="J278">
        <v>0</v>
      </c>
      <c r="K278">
        <v>0</v>
      </c>
      <c r="L278">
        <v>0</v>
      </c>
      <c r="M278">
        <v>0</v>
      </c>
      <c r="N278">
        <v>0</v>
      </c>
      <c r="O278">
        <v>0</v>
      </c>
      <c r="P278">
        <v>0</v>
      </c>
      <c r="Q278">
        <v>0</v>
      </c>
      <c r="R278">
        <v>0</v>
      </c>
      <c r="S278">
        <v>0</v>
      </c>
      <c r="T278">
        <v>0</v>
      </c>
      <c r="U278">
        <v>0</v>
      </c>
      <c r="V278">
        <v>0</v>
      </c>
      <c r="W278">
        <v>0</v>
      </c>
      <c r="X278">
        <v>0</v>
      </c>
      <c r="Y278">
        <v>0</v>
      </c>
      <c r="Z278">
        <v>0</v>
      </c>
      <c r="AA278">
        <v>0</v>
      </c>
      <c r="AB278">
        <v>0</v>
      </c>
      <c r="AC278">
        <v>0</v>
      </c>
      <c r="AD278">
        <v>0</v>
      </c>
      <c r="AE278">
        <v>0</v>
      </c>
      <c r="AF278">
        <v>0</v>
      </c>
      <c r="AG278">
        <v>0</v>
      </c>
      <c r="AH278">
        <v>0</v>
      </c>
      <c r="AI278">
        <v>0</v>
      </c>
      <c r="AJ278">
        <v>0</v>
      </c>
    </row>
    <row r="279" spans="2:36">
      <c r="B279" t="s">
        <v>283</v>
      </c>
      <c r="C279">
        <v>185.7</v>
      </c>
      <c r="D279">
        <v>173.3</v>
      </c>
      <c r="E279">
        <v>180</v>
      </c>
      <c r="F279">
        <v>200</v>
      </c>
      <c r="G279">
        <v>214.3</v>
      </c>
      <c r="H279">
        <v>171.4</v>
      </c>
      <c r="I279">
        <v>178.6</v>
      </c>
      <c r="J279">
        <v>178.6</v>
      </c>
      <c r="K279">
        <v>157.1</v>
      </c>
      <c r="L279">
        <v>135.30000000000001</v>
      </c>
      <c r="M279">
        <v>170.6</v>
      </c>
      <c r="N279">
        <v>158.80000000000001</v>
      </c>
      <c r="O279">
        <v>160</v>
      </c>
      <c r="P279">
        <v>147.1</v>
      </c>
      <c r="Q279">
        <v>155.6</v>
      </c>
      <c r="R279">
        <v>166.7</v>
      </c>
      <c r="S279">
        <v>131.6</v>
      </c>
      <c r="T279">
        <v>126.3</v>
      </c>
      <c r="U279">
        <v>138.9</v>
      </c>
      <c r="V279">
        <v>105</v>
      </c>
      <c r="W279">
        <v>150</v>
      </c>
      <c r="X279">
        <v>138.9</v>
      </c>
      <c r="Y279">
        <v>152.9</v>
      </c>
      <c r="Z279">
        <v>135.30000000000001</v>
      </c>
      <c r="AA279">
        <v>111.1</v>
      </c>
      <c r="AB279">
        <v>100</v>
      </c>
      <c r="AC279">
        <v>118.8</v>
      </c>
      <c r="AD279">
        <v>113.3</v>
      </c>
      <c r="AE279">
        <v>133.30000000000001</v>
      </c>
      <c r="AF279">
        <v>145.5</v>
      </c>
      <c r="AG279">
        <v>145.5</v>
      </c>
      <c r="AH279">
        <v>145.5</v>
      </c>
      <c r="AI279">
        <v>136.4</v>
      </c>
      <c r="AJ279">
        <v>115.4</v>
      </c>
    </row>
    <row r="280" spans="2:36">
      <c r="B280" t="s">
        <v>284</v>
      </c>
      <c r="C280">
        <v>146.19999999999999</v>
      </c>
      <c r="D280">
        <v>146</v>
      </c>
      <c r="E280">
        <v>145.1</v>
      </c>
      <c r="F280">
        <v>148</v>
      </c>
      <c r="G280">
        <v>147.80000000000001</v>
      </c>
      <c r="H280">
        <v>144.9</v>
      </c>
      <c r="I280">
        <v>147</v>
      </c>
      <c r="J280">
        <v>145.1</v>
      </c>
      <c r="K280">
        <v>144</v>
      </c>
      <c r="L280">
        <v>144.69999999999999</v>
      </c>
      <c r="M280">
        <v>141.4</v>
      </c>
      <c r="N280">
        <v>142.9</v>
      </c>
      <c r="O280">
        <v>143.5</v>
      </c>
      <c r="P280">
        <v>148.19999999999999</v>
      </c>
      <c r="Q280">
        <v>147.9</v>
      </c>
      <c r="R280">
        <v>144.9</v>
      </c>
      <c r="S280">
        <v>142.6</v>
      </c>
      <c r="T280">
        <v>139.69999999999999</v>
      </c>
      <c r="U280">
        <v>139.19999999999999</v>
      </c>
      <c r="V280">
        <v>126.4</v>
      </c>
      <c r="W280">
        <v>143</v>
      </c>
      <c r="X280">
        <v>143.69999999999999</v>
      </c>
      <c r="Y280">
        <v>144.4</v>
      </c>
      <c r="Z280">
        <v>149</v>
      </c>
      <c r="AA280">
        <v>133.1</v>
      </c>
      <c r="AB280">
        <v>124</v>
      </c>
      <c r="AC280">
        <v>118.7</v>
      </c>
      <c r="AD280">
        <v>116.6</v>
      </c>
      <c r="AE280">
        <v>102.4</v>
      </c>
      <c r="AF280">
        <v>114</v>
      </c>
      <c r="AG280">
        <v>96.8</v>
      </c>
      <c r="AH280">
        <v>94.1</v>
      </c>
      <c r="AI280">
        <v>104.8</v>
      </c>
      <c r="AJ280">
        <v>105.2</v>
      </c>
    </row>
    <row r="281" spans="2:36">
      <c r="B281" t="s">
        <v>285</v>
      </c>
      <c r="C281">
        <v>66.7</v>
      </c>
      <c r="D281">
        <v>94.9</v>
      </c>
      <c r="E281">
        <v>112.5</v>
      </c>
      <c r="F281">
        <v>138.80000000000001</v>
      </c>
      <c r="G281">
        <v>151.19999999999999</v>
      </c>
      <c r="H281">
        <v>163.1</v>
      </c>
      <c r="I281">
        <v>179.2</v>
      </c>
      <c r="J281">
        <v>177.5</v>
      </c>
      <c r="K281">
        <v>182.5</v>
      </c>
      <c r="L281">
        <v>195.3</v>
      </c>
      <c r="M281">
        <v>193.7</v>
      </c>
      <c r="N281">
        <v>199</v>
      </c>
      <c r="O281">
        <v>202.9</v>
      </c>
      <c r="P281">
        <v>217.6</v>
      </c>
      <c r="Q281">
        <v>219.2</v>
      </c>
      <c r="R281">
        <v>207.8</v>
      </c>
      <c r="S281">
        <v>200</v>
      </c>
      <c r="T281">
        <v>195.3</v>
      </c>
      <c r="U281">
        <v>193.6</v>
      </c>
      <c r="V281">
        <v>145.19999999999999</v>
      </c>
      <c r="W281">
        <v>196.5</v>
      </c>
      <c r="X281">
        <v>193.5</v>
      </c>
      <c r="Y281">
        <v>189.7</v>
      </c>
      <c r="Z281">
        <v>204.5</v>
      </c>
      <c r="AA281">
        <v>164.2</v>
      </c>
      <c r="AB281">
        <v>148.4</v>
      </c>
      <c r="AC281">
        <v>137.6</v>
      </c>
      <c r="AD281">
        <v>138.1</v>
      </c>
      <c r="AE281">
        <v>173.6</v>
      </c>
      <c r="AF281">
        <v>115.2</v>
      </c>
      <c r="AG281">
        <v>105.9</v>
      </c>
      <c r="AH281">
        <v>92.6</v>
      </c>
      <c r="AI281">
        <v>158.9</v>
      </c>
      <c r="AJ281">
        <v>165.9</v>
      </c>
    </row>
    <row r="282" spans="2:36">
      <c r="B282" t="s">
        <v>286</v>
      </c>
      <c r="C282">
        <v>73.3</v>
      </c>
      <c r="D282">
        <v>100</v>
      </c>
      <c r="E282">
        <v>109.7</v>
      </c>
      <c r="F282">
        <v>129</v>
      </c>
      <c r="G282">
        <v>145.5</v>
      </c>
      <c r="H282">
        <v>152.30000000000001</v>
      </c>
      <c r="I282">
        <v>169.5</v>
      </c>
      <c r="J282">
        <v>171.7</v>
      </c>
      <c r="K282">
        <v>163.5</v>
      </c>
      <c r="L282">
        <v>177.3</v>
      </c>
      <c r="M282">
        <v>179.2</v>
      </c>
      <c r="N282">
        <v>182.9</v>
      </c>
      <c r="O282">
        <v>194.7</v>
      </c>
      <c r="P282">
        <v>205.3</v>
      </c>
      <c r="Q282">
        <v>206.8</v>
      </c>
      <c r="R282">
        <v>204.1</v>
      </c>
      <c r="S282">
        <v>196.1</v>
      </c>
      <c r="T282">
        <v>196</v>
      </c>
      <c r="U282">
        <v>193.5</v>
      </c>
      <c r="V282">
        <v>151.5</v>
      </c>
      <c r="W282">
        <v>206.5</v>
      </c>
      <c r="X282">
        <v>199</v>
      </c>
      <c r="Y282">
        <v>193.9</v>
      </c>
      <c r="Z282">
        <v>199.1</v>
      </c>
      <c r="AA282">
        <v>164.1</v>
      </c>
      <c r="AB282">
        <v>149.30000000000001</v>
      </c>
      <c r="AC282">
        <v>137.4</v>
      </c>
      <c r="AD282">
        <v>143.30000000000001</v>
      </c>
      <c r="AE282">
        <v>185.3</v>
      </c>
      <c r="AF282">
        <v>114.2</v>
      </c>
      <c r="AG282">
        <v>103.4</v>
      </c>
      <c r="AH282">
        <v>92.5</v>
      </c>
      <c r="AI282">
        <v>155.19999999999999</v>
      </c>
      <c r="AJ282">
        <v>163.19999999999999</v>
      </c>
    </row>
    <row r="283" spans="2:36">
      <c r="B283" t="s">
        <v>287</v>
      </c>
      <c r="C283">
        <v>73.3</v>
      </c>
      <c r="D283">
        <v>100</v>
      </c>
      <c r="E283">
        <v>109.7</v>
      </c>
      <c r="F283">
        <v>129</v>
      </c>
      <c r="G283">
        <v>145.5</v>
      </c>
      <c r="H283">
        <v>152.30000000000001</v>
      </c>
      <c r="I283">
        <v>169.5</v>
      </c>
      <c r="J283">
        <v>171.7</v>
      </c>
      <c r="K283">
        <v>163.5</v>
      </c>
      <c r="L283">
        <v>177.3</v>
      </c>
      <c r="M283">
        <v>179.2</v>
      </c>
      <c r="N283">
        <v>182.9</v>
      </c>
      <c r="O283">
        <v>194.7</v>
      </c>
      <c r="P283">
        <v>205.3</v>
      </c>
      <c r="Q283">
        <v>206.8</v>
      </c>
      <c r="R283">
        <v>204.1</v>
      </c>
      <c r="S283">
        <v>196.1</v>
      </c>
      <c r="T283">
        <v>196</v>
      </c>
      <c r="U283">
        <v>193.5</v>
      </c>
      <c r="V283">
        <v>151.5</v>
      </c>
      <c r="W283">
        <v>206.5</v>
      </c>
      <c r="X283">
        <v>199</v>
      </c>
      <c r="Y283">
        <v>193.9</v>
      </c>
      <c r="Z283">
        <v>199.1</v>
      </c>
      <c r="AA283">
        <v>164.1</v>
      </c>
      <c r="AB283">
        <v>149.30000000000001</v>
      </c>
      <c r="AC283">
        <v>137.4</v>
      </c>
      <c r="AD283">
        <v>143.30000000000001</v>
      </c>
      <c r="AE283">
        <v>185.3</v>
      </c>
      <c r="AF283">
        <v>113.7</v>
      </c>
      <c r="AG283">
        <v>103</v>
      </c>
      <c r="AH283">
        <v>92.5</v>
      </c>
      <c r="AI283">
        <v>155.19999999999999</v>
      </c>
      <c r="AJ283">
        <v>163.19999999999999</v>
      </c>
    </row>
    <row r="284" spans="2:36">
      <c r="B284" t="s">
        <v>288</v>
      </c>
      <c r="C284">
        <v>23.2</v>
      </c>
      <c r="D284">
        <v>32</v>
      </c>
      <c r="E284">
        <v>36.9</v>
      </c>
      <c r="F284">
        <v>44.4</v>
      </c>
      <c r="G284">
        <v>44.6</v>
      </c>
      <c r="H284">
        <v>50.3</v>
      </c>
      <c r="I284">
        <v>57.8</v>
      </c>
      <c r="J284">
        <v>62</v>
      </c>
      <c r="K284">
        <v>62</v>
      </c>
      <c r="L284">
        <v>75.5</v>
      </c>
      <c r="M284">
        <v>79.099999999999994</v>
      </c>
      <c r="N284">
        <v>82.7</v>
      </c>
      <c r="O284">
        <v>71.7</v>
      </c>
      <c r="P284">
        <v>77.8</v>
      </c>
      <c r="Q284">
        <v>79.8</v>
      </c>
      <c r="R284">
        <v>85.5</v>
      </c>
      <c r="S284">
        <v>81</v>
      </c>
      <c r="T284">
        <v>87.2</v>
      </c>
      <c r="U284">
        <v>91.2</v>
      </c>
      <c r="V284">
        <v>76.900000000000006</v>
      </c>
      <c r="W284">
        <v>107.4</v>
      </c>
      <c r="X284">
        <v>115.2</v>
      </c>
      <c r="Y284">
        <v>113.5</v>
      </c>
      <c r="Z284">
        <v>126.8</v>
      </c>
      <c r="AA284">
        <v>97.7</v>
      </c>
      <c r="AB284">
        <v>104.8</v>
      </c>
      <c r="AC284">
        <v>100.6</v>
      </c>
      <c r="AD284">
        <v>111.1</v>
      </c>
      <c r="AE284">
        <v>142.6</v>
      </c>
      <c r="AF284">
        <v>115.8</v>
      </c>
      <c r="AG284">
        <v>103.6</v>
      </c>
      <c r="AH284">
        <v>88.9</v>
      </c>
      <c r="AI284">
        <v>122.1</v>
      </c>
      <c r="AJ284">
        <v>133.30000000000001</v>
      </c>
    </row>
    <row r="285" spans="2:36">
      <c r="B285" t="s">
        <v>289</v>
      </c>
      <c r="C285">
        <v>57.1</v>
      </c>
      <c r="D285">
        <v>57.1</v>
      </c>
      <c r="E285">
        <v>59.3</v>
      </c>
      <c r="F285">
        <v>53.6</v>
      </c>
      <c r="G285">
        <v>50</v>
      </c>
      <c r="H285">
        <v>58.6</v>
      </c>
      <c r="I285">
        <v>53.3</v>
      </c>
      <c r="J285">
        <v>53.3</v>
      </c>
      <c r="K285">
        <v>58.6</v>
      </c>
      <c r="L285">
        <v>68</v>
      </c>
      <c r="M285">
        <v>60</v>
      </c>
      <c r="N285">
        <v>64</v>
      </c>
      <c r="O285">
        <v>60.7</v>
      </c>
      <c r="P285">
        <v>64.3</v>
      </c>
      <c r="Q285">
        <v>63</v>
      </c>
      <c r="R285">
        <v>59.3</v>
      </c>
      <c r="S285">
        <v>73.099999999999994</v>
      </c>
      <c r="T285">
        <v>76</v>
      </c>
      <c r="U285">
        <v>69.2</v>
      </c>
      <c r="V285">
        <v>86.4</v>
      </c>
      <c r="W285">
        <v>68.2</v>
      </c>
      <c r="X285">
        <v>71.400000000000006</v>
      </c>
      <c r="Y285">
        <v>71.400000000000006</v>
      </c>
      <c r="Z285">
        <v>71.400000000000006</v>
      </c>
      <c r="AA285">
        <v>80</v>
      </c>
      <c r="AB285">
        <v>80</v>
      </c>
      <c r="AC285">
        <v>78.900000000000006</v>
      </c>
      <c r="AD285">
        <v>78.900000000000006</v>
      </c>
      <c r="AE285">
        <v>55.6</v>
      </c>
      <c r="AF285">
        <v>57.7</v>
      </c>
      <c r="AG285">
        <v>57.7</v>
      </c>
      <c r="AH285">
        <v>57.7</v>
      </c>
      <c r="AI285">
        <v>60</v>
      </c>
      <c r="AJ285">
        <v>62.5</v>
      </c>
    </row>
  </sheetData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/>
  <dimension ref="B2:K285"/>
  <sheetViews>
    <sheetView topLeftCell="C1" workbookViewId="0">
      <selection activeCell="M10" sqref="M10"/>
    </sheetView>
  </sheetViews>
  <sheetFormatPr baseColWidth="10" defaultColWidth="8.83203125" defaultRowHeight="14" x14ac:dyDescent="0"/>
  <cols>
    <col min="2" max="2" width="46.5" bestFit="1" customWidth="1"/>
    <col min="3" max="3" width="23.33203125" bestFit="1" customWidth="1"/>
    <col min="4" max="7" width="10.6640625" bestFit="1" customWidth="1"/>
    <col min="8" max="11" width="16.5" bestFit="1" customWidth="1"/>
  </cols>
  <sheetData>
    <row r="2" spans="2:11">
      <c r="B2" t="s">
        <v>7</v>
      </c>
      <c r="C2" t="s">
        <v>479</v>
      </c>
    </row>
    <row r="3" spans="2:11">
      <c r="B3" t="s">
        <v>8</v>
      </c>
      <c r="C3" t="s">
        <v>478</v>
      </c>
    </row>
    <row r="5" spans="2:11">
      <c r="B5" t="s">
        <v>9</v>
      </c>
      <c r="C5" s="47">
        <v>38231</v>
      </c>
      <c r="D5" s="47">
        <v>38596</v>
      </c>
      <c r="E5" s="47">
        <v>38961</v>
      </c>
      <c r="F5" s="47">
        <v>39326</v>
      </c>
      <c r="G5" s="47">
        <v>39692</v>
      </c>
      <c r="H5" s="47">
        <v>40057</v>
      </c>
      <c r="I5" s="47">
        <v>40422</v>
      </c>
      <c r="J5" s="47">
        <v>40787</v>
      </c>
      <c r="K5" s="47">
        <v>41153</v>
      </c>
    </row>
    <row r="6" spans="2:11">
      <c r="B6" t="s">
        <v>10</v>
      </c>
      <c r="C6" s="47">
        <v>38274</v>
      </c>
      <c r="D6" s="47">
        <v>38642</v>
      </c>
      <c r="E6" s="47">
        <v>39009</v>
      </c>
      <c r="F6" s="47">
        <v>39378</v>
      </c>
      <c r="G6" s="47">
        <v>39743</v>
      </c>
      <c r="H6" s="47">
        <v>40108</v>
      </c>
      <c r="I6" s="47">
        <v>40470</v>
      </c>
      <c r="J6" s="47">
        <v>40835</v>
      </c>
      <c r="K6" s="47">
        <v>41213</v>
      </c>
    </row>
    <row r="7" spans="2:11">
      <c r="B7" t="s">
        <v>11</v>
      </c>
      <c r="C7" t="s">
        <v>6</v>
      </c>
      <c r="D7" t="s">
        <v>6</v>
      </c>
      <c r="E7" t="s">
        <v>6</v>
      </c>
      <c r="F7" t="s">
        <v>6</v>
      </c>
      <c r="G7" t="s">
        <v>6</v>
      </c>
      <c r="H7" t="s">
        <v>6</v>
      </c>
      <c r="I7" t="s">
        <v>6</v>
      </c>
      <c r="J7" t="s">
        <v>6</v>
      </c>
      <c r="K7" t="s">
        <v>6</v>
      </c>
    </row>
    <row r="8" spans="2:11">
      <c r="B8" t="s">
        <v>12</v>
      </c>
      <c r="C8">
        <v>4</v>
      </c>
      <c r="D8">
        <v>4</v>
      </c>
      <c r="E8">
        <v>4</v>
      </c>
      <c r="F8">
        <v>4</v>
      </c>
      <c r="G8">
        <v>4</v>
      </c>
      <c r="H8">
        <v>4</v>
      </c>
      <c r="I8">
        <v>4</v>
      </c>
      <c r="J8">
        <v>4</v>
      </c>
      <c r="K8">
        <v>4</v>
      </c>
    </row>
    <row r="9" spans="2:11">
      <c r="B9" t="s">
        <v>13</v>
      </c>
      <c r="C9" t="s">
        <v>14</v>
      </c>
      <c r="D9" t="s">
        <v>14</v>
      </c>
      <c r="E9" t="s">
        <v>14</v>
      </c>
      <c r="F9" t="s">
        <v>14</v>
      </c>
      <c r="G9" t="s">
        <v>14</v>
      </c>
      <c r="H9" t="s">
        <v>14</v>
      </c>
      <c r="I9" t="s">
        <v>14</v>
      </c>
      <c r="J9" t="s">
        <v>14</v>
      </c>
      <c r="K9" t="s">
        <v>14</v>
      </c>
    </row>
    <row r="10" spans="2:11">
      <c r="B10" t="s">
        <v>15</v>
      </c>
    </row>
    <row r="11" spans="2:11">
      <c r="B11" t="s">
        <v>16</v>
      </c>
      <c r="C11" t="s">
        <v>17</v>
      </c>
      <c r="D11" t="s">
        <v>17</v>
      </c>
      <c r="E11" t="s">
        <v>17</v>
      </c>
      <c r="F11" t="s">
        <v>17</v>
      </c>
      <c r="G11" t="s">
        <v>17</v>
      </c>
      <c r="H11" t="s">
        <v>17</v>
      </c>
      <c r="I11" t="s">
        <v>17</v>
      </c>
      <c r="J11" t="s">
        <v>17</v>
      </c>
      <c r="K11" t="s">
        <v>17</v>
      </c>
    </row>
    <row r="12" spans="2:11">
      <c r="B12" t="s">
        <v>18</v>
      </c>
      <c r="C12" t="s">
        <v>19</v>
      </c>
      <c r="D12" t="s">
        <v>19</v>
      </c>
      <c r="E12" t="s">
        <v>19</v>
      </c>
      <c r="F12" t="s">
        <v>19</v>
      </c>
      <c r="G12" t="s">
        <v>19</v>
      </c>
      <c r="H12" t="s">
        <v>19</v>
      </c>
      <c r="I12" t="s">
        <v>19</v>
      </c>
      <c r="J12" t="s">
        <v>19</v>
      </c>
      <c r="K12" t="s">
        <v>19</v>
      </c>
    </row>
    <row r="13" spans="2:11">
      <c r="B13" t="s">
        <v>20</v>
      </c>
      <c r="C13">
        <v>12</v>
      </c>
      <c r="D13">
        <v>12</v>
      </c>
      <c r="E13">
        <v>12</v>
      </c>
      <c r="F13">
        <v>12</v>
      </c>
      <c r="G13">
        <v>12</v>
      </c>
      <c r="H13">
        <v>12</v>
      </c>
      <c r="I13">
        <v>12</v>
      </c>
      <c r="J13">
        <v>12</v>
      </c>
      <c r="K13">
        <v>12</v>
      </c>
    </row>
    <row r="14" spans="2:11">
      <c r="B14" t="s">
        <v>21</v>
      </c>
      <c r="C14">
        <v>8279</v>
      </c>
      <c r="D14">
        <v>13931</v>
      </c>
      <c r="E14">
        <v>19315</v>
      </c>
      <c r="F14">
        <v>24006</v>
      </c>
      <c r="G14">
        <v>32479</v>
      </c>
      <c r="H14">
        <v>42905</v>
      </c>
      <c r="I14">
        <v>65225</v>
      </c>
      <c r="J14">
        <v>108249</v>
      </c>
      <c r="K14">
        <v>156508</v>
      </c>
    </row>
    <row r="15" spans="2:11">
      <c r="B15" t="s">
        <v>22</v>
      </c>
      <c r="C15">
        <v>8279</v>
      </c>
      <c r="D15">
        <v>13931</v>
      </c>
      <c r="E15">
        <v>19315</v>
      </c>
      <c r="F15">
        <v>24006</v>
      </c>
      <c r="G15">
        <v>32479</v>
      </c>
      <c r="H15">
        <v>42905</v>
      </c>
      <c r="I15">
        <v>65225</v>
      </c>
      <c r="J15">
        <v>108249</v>
      </c>
      <c r="K15">
        <v>156508</v>
      </c>
    </row>
    <row r="16" spans="2:11">
      <c r="B16" t="s">
        <v>23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</row>
    <row r="17" spans="2:11">
      <c r="B17" t="s">
        <v>24</v>
      </c>
      <c r="C17">
        <v>5870</v>
      </c>
      <c r="D17">
        <v>9709</v>
      </c>
      <c r="E17">
        <v>13492</v>
      </c>
      <c r="F17">
        <v>15535</v>
      </c>
      <c r="G17">
        <v>20861</v>
      </c>
      <c r="H17">
        <v>24949</v>
      </c>
      <c r="I17">
        <v>38514</v>
      </c>
      <c r="J17">
        <v>62617</v>
      </c>
      <c r="K17">
        <v>84569</v>
      </c>
    </row>
    <row r="18" spans="2:11">
      <c r="B18" t="s">
        <v>25</v>
      </c>
      <c r="C18">
        <v>6020</v>
      </c>
      <c r="D18">
        <v>9888</v>
      </c>
      <c r="E18">
        <v>13717</v>
      </c>
      <c r="F18">
        <v>15852</v>
      </c>
      <c r="G18">
        <v>21334</v>
      </c>
      <c r="H18">
        <v>25683</v>
      </c>
      <c r="I18">
        <v>39541</v>
      </c>
      <c r="J18">
        <v>64431</v>
      </c>
      <c r="K18">
        <v>87846</v>
      </c>
    </row>
    <row r="19" spans="2:11">
      <c r="B19" t="s">
        <v>26</v>
      </c>
      <c r="C19">
        <v>2409</v>
      </c>
      <c r="D19">
        <v>4222</v>
      </c>
      <c r="E19">
        <v>5823</v>
      </c>
      <c r="F19">
        <v>8471</v>
      </c>
      <c r="G19">
        <v>11618</v>
      </c>
      <c r="H19">
        <v>17956</v>
      </c>
      <c r="I19">
        <v>26711</v>
      </c>
      <c r="J19">
        <v>45632</v>
      </c>
      <c r="K19">
        <v>71939</v>
      </c>
    </row>
    <row r="20" spans="2:11">
      <c r="B20" t="s">
        <v>27</v>
      </c>
      <c r="C20">
        <v>2409</v>
      </c>
      <c r="D20">
        <v>4222</v>
      </c>
      <c r="E20">
        <v>5823</v>
      </c>
      <c r="F20">
        <v>8471</v>
      </c>
      <c r="G20">
        <v>11618</v>
      </c>
      <c r="H20">
        <v>17956</v>
      </c>
      <c r="I20">
        <v>26711</v>
      </c>
      <c r="J20">
        <v>45632</v>
      </c>
      <c r="K20">
        <v>71939</v>
      </c>
    </row>
    <row r="21" spans="2:11">
      <c r="B21" t="s">
        <v>28</v>
      </c>
      <c r="C21">
        <v>489</v>
      </c>
      <c r="D21">
        <v>534</v>
      </c>
      <c r="E21">
        <v>712</v>
      </c>
      <c r="F21">
        <v>782</v>
      </c>
      <c r="G21">
        <v>1109</v>
      </c>
      <c r="H21">
        <v>1333</v>
      </c>
      <c r="I21">
        <v>1782</v>
      </c>
      <c r="J21">
        <v>2429</v>
      </c>
      <c r="K21">
        <v>3381</v>
      </c>
    </row>
    <row r="22" spans="2:11">
      <c r="B22" t="s">
        <v>29</v>
      </c>
      <c r="C22">
        <v>1421</v>
      </c>
      <c r="D22">
        <v>1859</v>
      </c>
      <c r="E22">
        <v>2433</v>
      </c>
      <c r="F22">
        <v>2963</v>
      </c>
      <c r="G22">
        <v>3761</v>
      </c>
      <c r="H22">
        <v>4149</v>
      </c>
      <c r="I22">
        <v>5517</v>
      </c>
      <c r="J22">
        <v>7599</v>
      </c>
      <c r="K22">
        <v>10040</v>
      </c>
    </row>
    <row r="23" spans="2:11">
      <c r="B23" t="s">
        <v>30</v>
      </c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  <c r="K23">
        <v>0</v>
      </c>
    </row>
    <row r="24" spans="2:11">
      <c r="B24" t="s">
        <v>31</v>
      </c>
      <c r="C24">
        <v>326</v>
      </c>
      <c r="D24">
        <v>1650</v>
      </c>
      <c r="E24">
        <v>2453</v>
      </c>
      <c r="F24">
        <v>4409</v>
      </c>
      <c r="G24">
        <v>6275</v>
      </c>
      <c r="H24">
        <v>11740</v>
      </c>
      <c r="I24">
        <v>18385</v>
      </c>
      <c r="J24">
        <v>33790</v>
      </c>
      <c r="K24">
        <v>55241</v>
      </c>
    </row>
    <row r="25" spans="2:11">
      <c r="B25" t="s">
        <v>32</v>
      </c>
      <c r="C25">
        <v>499</v>
      </c>
      <c r="D25">
        <v>1829</v>
      </c>
      <c r="E25">
        <v>2678</v>
      </c>
      <c r="F25">
        <v>4726</v>
      </c>
      <c r="G25">
        <v>6748</v>
      </c>
      <c r="H25">
        <v>12474</v>
      </c>
      <c r="I25">
        <v>19412</v>
      </c>
      <c r="J25">
        <v>35604</v>
      </c>
      <c r="K25">
        <v>58518</v>
      </c>
    </row>
    <row r="26" spans="2:11">
      <c r="B26" t="s">
        <v>33</v>
      </c>
      <c r="C26">
        <v>150</v>
      </c>
      <c r="D26">
        <v>179</v>
      </c>
      <c r="E26">
        <v>225</v>
      </c>
      <c r="F26">
        <v>317</v>
      </c>
      <c r="G26">
        <v>473</v>
      </c>
      <c r="H26">
        <v>734</v>
      </c>
      <c r="I26">
        <v>1027</v>
      </c>
      <c r="J26">
        <v>1814</v>
      </c>
      <c r="K26">
        <v>3277</v>
      </c>
    </row>
    <row r="27" spans="2:11">
      <c r="B27" t="s">
        <v>34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</row>
    <row r="28" spans="2:11">
      <c r="B28" t="s">
        <v>35</v>
      </c>
      <c r="C28">
        <v>0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</row>
    <row r="29" spans="2:11">
      <c r="B29" t="s">
        <v>36</v>
      </c>
      <c r="C29">
        <v>0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  <c r="K29">
        <v>0</v>
      </c>
    </row>
    <row r="30" spans="2:11">
      <c r="B30" t="s">
        <v>37</v>
      </c>
      <c r="C30">
        <v>349</v>
      </c>
      <c r="D30">
        <v>1650</v>
      </c>
      <c r="E30">
        <v>2453</v>
      </c>
      <c r="F30">
        <v>4409</v>
      </c>
      <c r="G30">
        <v>6275</v>
      </c>
      <c r="H30">
        <v>11740</v>
      </c>
      <c r="I30">
        <v>18385</v>
      </c>
      <c r="J30">
        <v>33790</v>
      </c>
      <c r="K30">
        <v>55241</v>
      </c>
    </row>
    <row r="31" spans="2:11">
      <c r="B31" t="s">
        <v>38</v>
      </c>
      <c r="C31">
        <v>53</v>
      </c>
      <c r="D31">
        <v>183</v>
      </c>
      <c r="E31">
        <v>394</v>
      </c>
      <c r="F31">
        <v>647</v>
      </c>
      <c r="G31">
        <v>0</v>
      </c>
      <c r="H31">
        <v>407</v>
      </c>
      <c r="I31">
        <v>311</v>
      </c>
      <c r="J31">
        <v>519</v>
      </c>
      <c r="K31">
        <v>1088</v>
      </c>
    </row>
    <row r="32" spans="2:11">
      <c r="B32" t="s">
        <v>39</v>
      </c>
      <c r="C32">
        <v>0</v>
      </c>
      <c r="D32">
        <v>0</v>
      </c>
      <c r="E32">
        <v>0</v>
      </c>
      <c r="F32">
        <v>0</v>
      </c>
      <c r="G32">
        <v>0</v>
      </c>
      <c r="H32">
        <v>0</v>
      </c>
      <c r="I32">
        <v>0</v>
      </c>
      <c r="J32">
        <v>0</v>
      </c>
      <c r="K32">
        <v>0</v>
      </c>
    </row>
    <row r="33" spans="2:11">
      <c r="B33" t="s">
        <v>40</v>
      </c>
      <c r="C33">
        <v>4</v>
      </c>
      <c r="D33">
        <v>-18</v>
      </c>
      <c r="E33">
        <v>-29</v>
      </c>
      <c r="F33">
        <v>-48</v>
      </c>
      <c r="G33">
        <v>620</v>
      </c>
      <c r="H33">
        <v>-81</v>
      </c>
      <c r="I33">
        <v>-156</v>
      </c>
      <c r="J33">
        <v>-104</v>
      </c>
      <c r="K33">
        <v>-566</v>
      </c>
    </row>
    <row r="34" spans="2:11">
      <c r="B34" t="s">
        <v>41</v>
      </c>
      <c r="C34">
        <v>0</v>
      </c>
      <c r="D34">
        <v>0</v>
      </c>
      <c r="E34">
        <v>0</v>
      </c>
      <c r="F34">
        <v>0</v>
      </c>
      <c r="G34">
        <v>0</v>
      </c>
      <c r="H34">
        <v>0</v>
      </c>
      <c r="I34">
        <v>0</v>
      </c>
      <c r="J34">
        <v>0</v>
      </c>
      <c r="K34">
        <v>0</v>
      </c>
    </row>
    <row r="35" spans="2:11">
      <c r="B35" t="s">
        <v>42</v>
      </c>
      <c r="C35">
        <v>-23</v>
      </c>
      <c r="D35">
        <v>0</v>
      </c>
      <c r="E35">
        <v>0</v>
      </c>
      <c r="F35">
        <v>0</v>
      </c>
      <c r="G35">
        <v>0</v>
      </c>
      <c r="H35">
        <v>0</v>
      </c>
      <c r="I35">
        <v>0</v>
      </c>
      <c r="J35">
        <v>0</v>
      </c>
      <c r="K35">
        <v>0</v>
      </c>
    </row>
    <row r="36" spans="2:11">
      <c r="B36" t="s">
        <v>43</v>
      </c>
      <c r="C36">
        <v>0</v>
      </c>
      <c r="D36">
        <v>0</v>
      </c>
      <c r="E36">
        <v>0</v>
      </c>
      <c r="F36">
        <v>0</v>
      </c>
      <c r="G36">
        <v>0</v>
      </c>
      <c r="H36">
        <v>0</v>
      </c>
      <c r="I36">
        <v>0</v>
      </c>
      <c r="J36">
        <v>0</v>
      </c>
      <c r="K36">
        <v>0</v>
      </c>
    </row>
    <row r="37" spans="2:11">
      <c r="B37" t="s">
        <v>44</v>
      </c>
      <c r="C37">
        <v>-23</v>
      </c>
      <c r="D37">
        <v>0</v>
      </c>
      <c r="E37">
        <v>0</v>
      </c>
      <c r="F37">
        <v>0</v>
      </c>
      <c r="G37">
        <v>0</v>
      </c>
      <c r="H37">
        <v>0</v>
      </c>
      <c r="I37">
        <v>0</v>
      </c>
      <c r="J37">
        <v>0</v>
      </c>
      <c r="K37">
        <v>0</v>
      </c>
    </row>
    <row r="38" spans="2:11">
      <c r="B38" t="s">
        <v>45</v>
      </c>
      <c r="C38">
        <v>383</v>
      </c>
      <c r="D38">
        <v>1815</v>
      </c>
      <c r="E38">
        <v>2818</v>
      </c>
      <c r="F38">
        <v>5008</v>
      </c>
      <c r="G38">
        <v>6895</v>
      </c>
      <c r="H38">
        <v>12066</v>
      </c>
      <c r="I38">
        <v>18540</v>
      </c>
      <c r="J38">
        <v>34205</v>
      </c>
      <c r="K38">
        <v>55763</v>
      </c>
    </row>
    <row r="39" spans="2:11">
      <c r="B39" t="s">
        <v>46</v>
      </c>
      <c r="C39">
        <v>0</v>
      </c>
      <c r="D39">
        <v>0</v>
      </c>
      <c r="E39">
        <v>0</v>
      </c>
      <c r="F39">
        <v>0</v>
      </c>
      <c r="G39">
        <v>0</v>
      </c>
      <c r="H39">
        <v>0</v>
      </c>
      <c r="I39">
        <v>0</v>
      </c>
      <c r="J39">
        <v>0</v>
      </c>
      <c r="K39">
        <v>0</v>
      </c>
    </row>
    <row r="40" spans="2:11">
      <c r="B40" t="s">
        <v>47</v>
      </c>
      <c r="C40">
        <v>383</v>
      </c>
      <c r="D40">
        <v>1815</v>
      </c>
      <c r="E40">
        <v>2818</v>
      </c>
      <c r="F40">
        <v>5008</v>
      </c>
      <c r="G40">
        <v>6895</v>
      </c>
      <c r="H40">
        <v>12066</v>
      </c>
      <c r="I40">
        <v>18540</v>
      </c>
      <c r="J40">
        <v>34205</v>
      </c>
      <c r="K40">
        <v>55763</v>
      </c>
    </row>
    <row r="41" spans="2:11">
      <c r="B41" t="s">
        <v>48</v>
      </c>
      <c r="C41">
        <v>107</v>
      </c>
      <c r="D41">
        <v>480</v>
      </c>
      <c r="E41">
        <v>829</v>
      </c>
      <c r="F41">
        <v>1512</v>
      </c>
      <c r="G41">
        <v>2061</v>
      </c>
      <c r="H41">
        <v>3831</v>
      </c>
      <c r="I41">
        <v>4527</v>
      </c>
      <c r="J41">
        <v>8283</v>
      </c>
      <c r="K41">
        <v>14030</v>
      </c>
    </row>
    <row r="42" spans="2:11">
      <c r="B42" t="s">
        <v>49</v>
      </c>
      <c r="C42">
        <v>0</v>
      </c>
      <c r="D42">
        <v>0</v>
      </c>
      <c r="E42">
        <v>0</v>
      </c>
      <c r="F42">
        <v>0</v>
      </c>
      <c r="G42">
        <v>0</v>
      </c>
      <c r="H42">
        <v>0</v>
      </c>
      <c r="I42">
        <v>0</v>
      </c>
      <c r="J42">
        <v>0</v>
      </c>
      <c r="K42">
        <v>0</v>
      </c>
    </row>
    <row r="43" spans="2:11">
      <c r="B43" t="s">
        <v>50</v>
      </c>
      <c r="C43">
        <v>0</v>
      </c>
      <c r="D43">
        <v>0</v>
      </c>
      <c r="E43">
        <v>0</v>
      </c>
      <c r="F43">
        <v>0</v>
      </c>
      <c r="G43">
        <v>0</v>
      </c>
      <c r="H43">
        <v>0</v>
      </c>
      <c r="I43">
        <v>0</v>
      </c>
      <c r="J43">
        <v>0</v>
      </c>
      <c r="K43">
        <v>0</v>
      </c>
    </row>
    <row r="44" spans="2:11">
      <c r="B44" t="s">
        <v>51</v>
      </c>
      <c r="C44">
        <v>383</v>
      </c>
      <c r="D44">
        <v>1815</v>
      </c>
      <c r="E44">
        <v>2818</v>
      </c>
      <c r="F44">
        <v>5008</v>
      </c>
      <c r="G44">
        <v>6895</v>
      </c>
      <c r="H44">
        <v>12066</v>
      </c>
      <c r="I44">
        <v>18540</v>
      </c>
      <c r="J44">
        <v>34205</v>
      </c>
      <c r="K44">
        <v>55763</v>
      </c>
    </row>
    <row r="45" spans="2:11">
      <c r="B45" t="s">
        <v>52</v>
      </c>
      <c r="C45">
        <v>276</v>
      </c>
      <c r="D45">
        <v>1335</v>
      </c>
      <c r="E45">
        <v>1989</v>
      </c>
      <c r="F45">
        <v>3496</v>
      </c>
      <c r="G45">
        <v>4834</v>
      </c>
      <c r="H45">
        <v>8235</v>
      </c>
      <c r="I45">
        <v>14013</v>
      </c>
      <c r="J45">
        <v>25922</v>
      </c>
      <c r="K45">
        <v>41733</v>
      </c>
    </row>
    <row r="46" spans="2:11">
      <c r="B46" t="s">
        <v>53</v>
      </c>
      <c r="C46">
        <v>0</v>
      </c>
      <c r="D46">
        <v>0</v>
      </c>
      <c r="E46">
        <v>0</v>
      </c>
      <c r="F46">
        <v>0</v>
      </c>
      <c r="G46">
        <v>0</v>
      </c>
      <c r="H46">
        <v>0</v>
      </c>
      <c r="I46">
        <v>0</v>
      </c>
      <c r="J46">
        <v>0</v>
      </c>
      <c r="K46">
        <v>0</v>
      </c>
    </row>
    <row r="47" spans="2:11">
      <c r="B47" t="s">
        <v>54</v>
      </c>
      <c r="C47">
        <v>276</v>
      </c>
      <c r="D47">
        <v>1335</v>
      </c>
      <c r="E47">
        <v>1989</v>
      </c>
      <c r="F47">
        <v>3496</v>
      </c>
      <c r="G47">
        <v>4834</v>
      </c>
      <c r="H47">
        <v>8235</v>
      </c>
      <c r="I47">
        <v>14013</v>
      </c>
      <c r="J47">
        <v>25922</v>
      </c>
      <c r="K47">
        <v>41733</v>
      </c>
    </row>
    <row r="48" spans="2:11">
      <c r="B48" t="s">
        <v>55</v>
      </c>
      <c r="C48">
        <v>0</v>
      </c>
      <c r="D48">
        <v>0</v>
      </c>
      <c r="E48">
        <v>0</v>
      </c>
      <c r="F48">
        <v>0</v>
      </c>
      <c r="G48">
        <v>0</v>
      </c>
      <c r="H48">
        <v>0</v>
      </c>
      <c r="I48">
        <v>0</v>
      </c>
      <c r="J48">
        <v>0</v>
      </c>
      <c r="K48">
        <v>0</v>
      </c>
    </row>
    <row r="49" spans="2:11">
      <c r="B49" t="s">
        <v>56</v>
      </c>
      <c r="C49">
        <v>0</v>
      </c>
      <c r="D49">
        <v>0</v>
      </c>
      <c r="E49">
        <v>0</v>
      </c>
      <c r="F49">
        <v>0</v>
      </c>
      <c r="G49">
        <v>0</v>
      </c>
      <c r="H49">
        <v>0</v>
      </c>
      <c r="I49">
        <v>0</v>
      </c>
      <c r="J49">
        <v>0</v>
      </c>
      <c r="K49">
        <v>0</v>
      </c>
    </row>
    <row r="50" spans="2:11">
      <c r="B50" t="s">
        <v>57</v>
      </c>
      <c r="C50">
        <v>0</v>
      </c>
      <c r="D50">
        <v>0</v>
      </c>
      <c r="E50">
        <v>0</v>
      </c>
      <c r="F50">
        <v>0</v>
      </c>
      <c r="G50">
        <v>0</v>
      </c>
      <c r="H50">
        <v>0</v>
      </c>
      <c r="I50">
        <v>0</v>
      </c>
      <c r="J50">
        <v>0</v>
      </c>
      <c r="K50">
        <v>0</v>
      </c>
    </row>
    <row r="51" spans="2:11">
      <c r="B51" t="s">
        <v>58</v>
      </c>
      <c r="C51">
        <v>0</v>
      </c>
      <c r="D51">
        <v>0</v>
      </c>
      <c r="E51">
        <v>0</v>
      </c>
      <c r="F51">
        <v>0</v>
      </c>
      <c r="G51">
        <v>0</v>
      </c>
      <c r="H51">
        <v>0</v>
      </c>
      <c r="I51">
        <v>0</v>
      </c>
      <c r="J51">
        <v>0</v>
      </c>
      <c r="K51">
        <v>0</v>
      </c>
    </row>
    <row r="52" spans="2:11">
      <c r="B52" t="s">
        <v>59</v>
      </c>
      <c r="C52">
        <v>276</v>
      </c>
      <c r="D52">
        <v>1335</v>
      </c>
      <c r="E52">
        <v>1989</v>
      </c>
      <c r="F52">
        <v>3496</v>
      </c>
      <c r="G52">
        <v>4834</v>
      </c>
      <c r="H52">
        <v>8235</v>
      </c>
      <c r="I52">
        <v>14013</v>
      </c>
      <c r="J52">
        <v>25922</v>
      </c>
      <c r="K52">
        <v>41733</v>
      </c>
    </row>
    <row r="53" spans="2:11">
      <c r="B53" t="s">
        <v>60</v>
      </c>
      <c r="C53">
        <v>299</v>
      </c>
      <c r="D53">
        <v>1335</v>
      </c>
      <c r="E53">
        <v>1989</v>
      </c>
      <c r="F53">
        <v>3496</v>
      </c>
      <c r="G53">
        <v>4834</v>
      </c>
      <c r="H53">
        <v>8235</v>
      </c>
      <c r="I53">
        <v>14013</v>
      </c>
      <c r="J53">
        <v>25922</v>
      </c>
      <c r="K53">
        <v>41733</v>
      </c>
    </row>
    <row r="54" spans="2:11">
      <c r="B54" t="s">
        <v>61</v>
      </c>
      <c r="C54">
        <v>276</v>
      </c>
      <c r="D54">
        <v>1335</v>
      </c>
      <c r="E54">
        <v>1989</v>
      </c>
      <c r="F54">
        <v>3496</v>
      </c>
      <c r="G54">
        <v>4834</v>
      </c>
      <c r="H54">
        <v>8235</v>
      </c>
      <c r="I54">
        <v>14013</v>
      </c>
      <c r="J54">
        <v>25922</v>
      </c>
      <c r="K54">
        <v>41733</v>
      </c>
    </row>
    <row r="55" spans="2:11">
      <c r="B55" t="s">
        <v>62</v>
      </c>
      <c r="C55">
        <v>0</v>
      </c>
      <c r="D55">
        <v>0</v>
      </c>
      <c r="E55">
        <v>0</v>
      </c>
      <c r="F55">
        <v>0</v>
      </c>
      <c r="G55">
        <v>0</v>
      </c>
      <c r="H55">
        <v>0</v>
      </c>
      <c r="I55">
        <v>0</v>
      </c>
      <c r="J55">
        <v>0</v>
      </c>
      <c r="K55">
        <v>0</v>
      </c>
    </row>
    <row r="56" spans="2:11">
      <c r="B56" t="s">
        <v>63</v>
      </c>
      <c r="C56">
        <v>0</v>
      </c>
      <c r="D56">
        <v>0</v>
      </c>
      <c r="E56">
        <v>0</v>
      </c>
      <c r="F56">
        <v>0</v>
      </c>
      <c r="G56">
        <v>0</v>
      </c>
      <c r="H56">
        <v>0</v>
      </c>
      <c r="I56">
        <v>0</v>
      </c>
      <c r="J56">
        <v>0</v>
      </c>
      <c r="K56">
        <v>0</v>
      </c>
    </row>
    <row r="57" spans="2:11">
      <c r="B57" t="s">
        <v>64</v>
      </c>
      <c r="C57">
        <v>0.37</v>
      </c>
      <c r="D57">
        <v>1.65</v>
      </c>
      <c r="E57">
        <v>2.36</v>
      </c>
      <c r="F57">
        <v>4.04</v>
      </c>
      <c r="G57">
        <v>5.48</v>
      </c>
      <c r="H57">
        <v>9.2200000000000006</v>
      </c>
      <c r="I57">
        <v>15.41</v>
      </c>
      <c r="J57">
        <v>28.05</v>
      </c>
      <c r="K57">
        <v>44.64</v>
      </c>
    </row>
    <row r="58" spans="2:11">
      <c r="B58" t="s">
        <v>65</v>
      </c>
      <c r="C58">
        <v>0</v>
      </c>
      <c r="D58">
        <v>0</v>
      </c>
      <c r="E58">
        <v>0</v>
      </c>
      <c r="F58">
        <v>0</v>
      </c>
      <c r="G58">
        <v>0</v>
      </c>
      <c r="H58">
        <v>0</v>
      </c>
      <c r="I58">
        <v>0</v>
      </c>
      <c r="J58">
        <v>0</v>
      </c>
      <c r="K58">
        <v>0</v>
      </c>
    </row>
    <row r="59" spans="2:11">
      <c r="B59" t="s">
        <v>66</v>
      </c>
      <c r="C59">
        <v>0.37</v>
      </c>
      <c r="D59">
        <v>1.65</v>
      </c>
      <c r="E59">
        <v>2.36</v>
      </c>
      <c r="F59">
        <v>4.04</v>
      </c>
      <c r="G59">
        <v>5.48</v>
      </c>
      <c r="H59">
        <v>9.2200000000000006</v>
      </c>
      <c r="I59">
        <v>15.41</v>
      </c>
      <c r="J59">
        <v>28.05</v>
      </c>
      <c r="K59">
        <v>44.64</v>
      </c>
    </row>
    <row r="60" spans="2:11">
      <c r="B60" t="s">
        <v>67</v>
      </c>
      <c r="C60">
        <v>0</v>
      </c>
      <c r="D60">
        <v>0</v>
      </c>
      <c r="E60">
        <v>0</v>
      </c>
      <c r="F60">
        <v>0</v>
      </c>
      <c r="G60">
        <v>0</v>
      </c>
      <c r="H60">
        <v>0</v>
      </c>
      <c r="I60">
        <v>0</v>
      </c>
      <c r="J60">
        <v>0</v>
      </c>
      <c r="K60">
        <v>0</v>
      </c>
    </row>
    <row r="61" spans="2:11">
      <c r="B61" t="s">
        <v>68</v>
      </c>
      <c r="C61">
        <v>0</v>
      </c>
      <c r="D61">
        <v>0</v>
      </c>
      <c r="E61">
        <v>0</v>
      </c>
      <c r="F61">
        <v>0</v>
      </c>
      <c r="G61">
        <v>0</v>
      </c>
      <c r="H61">
        <v>0</v>
      </c>
      <c r="I61">
        <v>0</v>
      </c>
      <c r="J61">
        <v>0</v>
      </c>
      <c r="K61">
        <v>0</v>
      </c>
    </row>
    <row r="62" spans="2:11">
      <c r="B62" t="s">
        <v>69</v>
      </c>
      <c r="C62">
        <v>0</v>
      </c>
      <c r="D62">
        <v>0</v>
      </c>
      <c r="E62">
        <v>0</v>
      </c>
      <c r="F62">
        <v>0</v>
      </c>
      <c r="G62">
        <v>0</v>
      </c>
      <c r="H62">
        <v>0</v>
      </c>
      <c r="I62">
        <v>0</v>
      </c>
      <c r="J62">
        <v>0</v>
      </c>
      <c r="K62">
        <v>0</v>
      </c>
    </row>
    <row r="63" spans="2:11">
      <c r="B63" t="s">
        <v>70</v>
      </c>
      <c r="C63">
        <v>0</v>
      </c>
      <c r="D63">
        <v>0</v>
      </c>
      <c r="E63">
        <v>0</v>
      </c>
      <c r="F63">
        <v>0</v>
      </c>
      <c r="G63">
        <v>0</v>
      </c>
      <c r="H63">
        <v>0</v>
      </c>
      <c r="I63">
        <v>0</v>
      </c>
      <c r="J63">
        <v>0</v>
      </c>
      <c r="K63">
        <v>0</v>
      </c>
    </row>
    <row r="64" spans="2:11">
      <c r="B64" t="s">
        <v>71</v>
      </c>
      <c r="C64">
        <v>0.37</v>
      </c>
      <c r="D64">
        <v>1.65</v>
      </c>
      <c r="E64">
        <v>2.36</v>
      </c>
      <c r="F64">
        <v>4.04</v>
      </c>
      <c r="G64">
        <v>5.48</v>
      </c>
      <c r="H64">
        <v>9.2200000000000006</v>
      </c>
      <c r="I64">
        <v>15.41</v>
      </c>
      <c r="J64">
        <v>28.05</v>
      </c>
      <c r="K64">
        <v>44.64</v>
      </c>
    </row>
    <row r="65" spans="2:11">
      <c r="B65" t="s">
        <v>72</v>
      </c>
      <c r="C65">
        <v>0.4</v>
      </c>
      <c r="D65">
        <v>1.65</v>
      </c>
      <c r="E65">
        <v>2.36</v>
      </c>
      <c r="F65">
        <v>4.04</v>
      </c>
      <c r="G65">
        <v>5.48</v>
      </c>
      <c r="H65">
        <v>9.2200000000000006</v>
      </c>
      <c r="I65">
        <v>15.41</v>
      </c>
      <c r="J65">
        <v>28.05</v>
      </c>
      <c r="K65">
        <v>44.64</v>
      </c>
    </row>
    <row r="66" spans="2:11">
      <c r="B66" t="s">
        <v>73</v>
      </c>
      <c r="C66">
        <v>0.36</v>
      </c>
      <c r="D66">
        <v>1.56</v>
      </c>
      <c r="E66">
        <v>2.27</v>
      </c>
      <c r="F66">
        <v>3.93</v>
      </c>
      <c r="G66">
        <v>5.36</v>
      </c>
      <c r="H66">
        <v>9.08</v>
      </c>
      <c r="I66">
        <v>15.15</v>
      </c>
      <c r="J66">
        <v>27.68</v>
      </c>
      <c r="K66">
        <v>44.15</v>
      </c>
    </row>
    <row r="67" spans="2:11">
      <c r="B67" t="s">
        <v>74</v>
      </c>
      <c r="C67">
        <v>0</v>
      </c>
      <c r="D67">
        <v>0</v>
      </c>
      <c r="E67">
        <v>0</v>
      </c>
      <c r="F67">
        <v>0</v>
      </c>
      <c r="G67">
        <v>0</v>
      </c>
      <c r="H67">
        <v>0</v>
      </c>
      <c r="I67">
        <v>0</v>
      </c>
      <c r="J67">
        <v>0</v>
      </c>
      <c r="K67">
        <v>0</v>
      </c>
    </row>
    <row r="68" spans="2:11">
      <c r="B68" t="s">
        <v>75</v>
      </c>
      <c r="C68">
        <v>0.36</v>
      </c>
      <c r="D68">
        <v>1.56</v>
      </c>
      <c r="E68">
        <v>2.27</v>
      </c>
      <c r="F68">
        <v>3.93</v>
      </c>
      <c r="G68">
        <v>5.36</v>
      </c>
      <c r="H68">
        <v>9.08</v>
      </c>
      <c r="I68">
        <v>15.15</v>
      </c>
      <c r="J68">
        <v>27.68</v>
      </c>
      <c r="K68">
        <v>44.15</v>
      </c>
    </row>
    <row r="69" spans="2:11">
      <c r="B69" t="s">
        <v>76</v>
      </c>
      <c r="C69">
        <v>0</v>
      </c>
      <c r="D69">
        <v>0</v>
      </c>
      <c r="E69">
        <v>0</v>
      </c>
      <c r="F69">
        <v>0</v>
      </c>
      <c r="G69">
        <v>0</v>
      </c>
      <c r="H69">
        <v>0</v>
      </c>
      <c r="I69">
        <v>0</v>
      </c>
      <c r="J69">
        <v>0</v>
      </c>
      <c r="K69">
        <v>0</v>
      </c>
    </row>
    <row r="70" spans="2:11">
      <c r="B70" t="s">
        <v>77</v>
      </c>
      <c r="C70">
        <v>0</v>
      </c>
      <c r="D70">
        <v>0</v>
      </c>
      <c r="E70">
        <v>0</v>
      </c>
      <c r="F70">
        <v>0</v>
      </c>
      <c r="G70">
        <v>0</v>
      </c>
      <c r="H70">
        <v>0</v>
      </c>
      <c r="I70">
        <v>0</v>
      </c>
      <c r="J70">
        <v>0</v>
      </c>
      <c r="K70">
        <v>0</v>
      </c>
    </row>
    <row r="71" spans="2:11">
      <c r="B71" t="s">
        <v>78</v>
      </c>
      <c r="C71">
        <v>0</v>
      </c>
      <c r="D71">
        <v>0</v>
      </c>
      <c r="E71">
        <v>0</v>
      </c>
      <c r="F71">
        <v>0</v>
      </c>
      <c r="G71">
        <v>0</v>
      </c>
      <c r="H71">
        <v>0</v>
      </c>
      <c r="I71">
        <v>0</v>
      </c>
      <c r="J71">
        <v>0</v>
      </c>
      <c r="K71">
        <v>0</v>
      </c>
    </row>
    <row r="72" spans="2:11">
      <c r="B72" t="s">
        <v>79</v>
      </c>
      <c r="C72">
        <v>0</v>
      </c>
      <c r="D72">
        <v>0</v>
      </c>
      <c r="E72">
        <v>0</v>
      </c>
      <c r="F72">
        <v>0</v>
      </c>
      <c r="G72">
        <v>0</v>
      </c>
      <c r="H72">
        <v>0</v>
      </c>
      <c r="I72">
        <v>0</v>
      </c>
      <c r="J72">
        <v>0</v>
      </c>
      <c r="K72">
        <v>0</v>
      </c>
    </row>
    <row r="73" spans="2:11">
      <c r="B73" t="s">
        <v>80</v>
      </c>
      <c r="C73">
        <v>0.36</v>
      </c>
      <c r="D73">
        <v>1.56</v>
      </c>
      <c r="E73">
        <v>2.27</v>
      </c>
      <c r="F73">
        <v>3.93</v>
      </c>
      <c r="G73">
        <v>5.36</v>
      </c>
      <c r="H73">
        <v>9.08</v>
      </c>
      <c r="I73">
        <v>15.15</v>
      </c>
      <c r="J73">
        <v>27.68</v>
      </c>
      <c r="K73">
        <v>44.15</v>
      </c>
    </row>
    <row r="74" spans="2:11">
      <c r="B74" t="s">
        <v>81</v>
      </c>
      <c r="C74">
        <v>0.38</v>
      </c>
      <c r="D74">
        <v>1.56</v>
      </c>
      <c r="E74">
        <v>2.27</v>
      </c>
      <c r="F74">
        <v>3.93</v>
      </c>
      <c r="G74">
        <v>5.36</v>
      </c>
      <c r="H74">
        <v>9.08</v>
      </c>
      <c r="I74">
        <v>15.15</v>
      </c>
      <c r="J74">
        <v>27.68</v>
      </c>
      <c r="K74">
        <v>44.15</v>
      </c>
    </row>
    <row r="75" spans="2:11">
      <c r="B75" t="s">
        <v>82</v>
      </c>
      <c r="C75">
        <v>0</v>
      </c>
      <c r="D75">
        <v>0</v>
      </c>
      <c r="E75">
        <v>0</v>
      </c>
      <c r="F75">
        <v>0</v>
      </c>
      <c r="G75">
        <v>0</v>
      </c>
      <c r="H75">
        <v>0</v>
      </c>
      <c r="I75">
        <v>0</v>
      </c>
      <c r="J75">
        <v>0</v>
      </c>
      <c r="K75">
        <v>2.65</v>
      </c>
    </row>
    <row r="76" spans="2:11">
      <c r="B76" t="s">
        <v>83</v>
      </c>
      <c r="C76">
        <v>8279</v>
      </c>
      <c r="D76">
        <v>13931</v>
      </c>
      <c r="E76">
        <v>19315</v>
      </c>
      <c r="F76">
        <v>24006</v>
      </c>
      <c r="G76">
        <v>32479</v>
      </c>
      <c r="H76">
        <v>42905</v>
      </c>
      <c r="I76">
        <v>65225</v>
      </c>
      <c r="J76">
        <v>108249</v>
      </c>
      <c r="K76">
        <v>156508</v>
      </c>
    </row>
    <row r="77" spans="2:11">
      <c r="B77" t="s">
        <v>84</v>
      </c>
      <c r="C77">
        <v>276</v>
      </c>
      <c r="D77">
        <v>1335</v>
      </c>
      <c r="E77">
        <v>1989</v>
      </c>
      <c r="F77">
        <v>3496</v>
      </c>
      <c r="G77">
        <v>4834</v>
      </c>
      <c r="H77">
        <v>8235</v>
      </c>
      <c r="I77">
        <v>14013</v>
      </c>
      <c r="J77">
        <v>25922</v>
      </c>
      <c r="K77">
        <v>41733</v>
      </c>
    </row>
    <row r="78" spans="2:11">
      <c r="B78" t="s">
        <v>85</v>
      </c>
      <c r="C78">
        <v>0.36</v>
      </c>
      <c r="D78">
        <v>1.56</v>
      </c>
      <c r="E78">
        <v>2.27</v>
      </c>
      <c r="F78">
        <v>3.93</v>
      </c>
      <c r="G78">
        <v>5.36</v>
      </c>
      <c r="H78">
        <v>9.08</v>
      </c>
      <c r="I78">
        <v>15.15</v>
      </c>
      <c r="J78">
        <v>27.68</v>
      </c>
      <c r="K78">
        <v>44.15</v>
      </c>
    </row>
    <row r="79" spans="2:11">
      <c r="B79" t="s">
        <v>86</v>
      </c>
      <c r="C79">
        <v>0</v>
      </c>
      <c r="D79">
        <v>0</v>
      </c>
      <c r="E79">
        <v>0</v>
      </c>
      <c r="F79">
        <v>0</v>
      </c>
      <c r="G79">
        <v>0</v>
      </c>
      <c r="H79">
        <v>0</v>
      </c>
      <c r="I79">
        <v>0</v>
      </c>
      <c r="J79">
        <v>0</v>
      </c>
      <c r="K79">
        <v>2.65</v>
      </c>
    </row>
    <row r="80" spans="2:11">
      <c r="B80" t="s">
        <v>87</v>
      </c>
      <c r="C80">
        <v>2969</v>
      </c>
      <c r="D80">
        <v>3491</v>
      </c>
      <c r="E80">
        <v>6392</v>
      </c>
      <c r="F80">
        <v>9352</v>
      </c>
      <c r="G80">
        <v>11875</v>
      </c>
      <c r="H80">
        <v>5263</v>
      </c>
      <c r="I80">
        <v>11261</v>
      </c>
      <c r="J80">
        <v>9815</v>
      </c>
      <c r="K80">
        <v>10746</v>
      </c>
    </row>
    <row r="81" spans="2:11">
      <c r="B81" t="s">
        <v>88</v>
      </c>
      <c r="C81">
        <v>0</v>
      </c>
      <c r="D81">
        <v>0</v>
      </c>
      <c r="E81">
        <v>0</v>
      </c>
      <c r="F81">
        <v>0</v>
      </c>
      <c r="G81">
        <v>0</v>
      </c>
      <c r="H81">
        <v>0</v>
      </c>
      <c r="I81">
        <v>0</v>
      </c>
      <c r="J81">
        <v>0</v>
      </c>
      <c r="K81">
        <v>0</v>
      </c>
    </row>
    <row r="82" spans="2:11">
      <c r="B82" t="s">
        <v>89</v>
      </c>
      <c r="C82">
        <v>2495</v>
      </c>
      <c r="D82">
        <v>4770</v>
      </c>
      <c r="E82">
        <v>3718</v>
      </c>
      <c r="F82">
        <v>6034</v>
      </c>
      <c r="G82">
        <v>12615</v>
      </c>
      <c r="H82">
        <v>18201</v>
      </c>
      <c r="I82">
        <v>14359</v>
      </c>
      <c r="J82">
        <v>16137</v>
      </c>
      <c r="K82">
        <v>18383</v>
      </c>
    </row>
    <row r="83" spans="2:11">
      <c r="B83" t="s">
        <v>90</v>
      </c>
      <c r="C83">
        <v>774</v>
      </c>
      <c r="D83">
        <v>895</v>
      </c>
      <c r="E83">
        <v>1252</v>
      </c>
      <c r="F83">
        <v>1637</v>
      </c>
      <c r="G83">
        <v>2422</v>
      </c>
      <c r="H83">
        <v>3361</v>
      </c>
      <c r="I83">
        <v>5510</v>
      </c>
      <c r="J83">
        <v>5369</v>
      </c>
      <c r="K83">
        <v>10930</v>
      </c>
    </row>
    <row r="84" spans="2:11">
      <c r="B84" t="s">
        <v>91</v>
      </c>
      <c r="C84">
        <v>0</v>
      </c>
      <c r="D84">
        <v>0</v>
      </c>
      <c r="E84">
        <v>0</v>
      </c>
      <c r="F84">
        <v>0</v>
      </c>
      <c r="G84">
        <v>0</v>
      </c>
      <c r="H84">
        <v>0</v>
      </c>
      <c r="I84">
        <v>0</v>
      </c>
      <c r="J84">
        <v>0</v>
      </c>
      <c r="K84">
        <v>0</v>
      </c>
    </row>
    <row r="85" spans="2:11">
      <c r="B85" t="s">
        <v>92</v>
      </c>
      <c r="C85">
        <v>0</v>
      </c>
      <c r="D85">
        <v>0</v>
      </c>
      <c r="E85">
        <v>0</v>
      </c>
      <c r="F85">
        <v>2392</v>
      </c>
      <c r="G85">
        <v>2282</v>
      </c>
      <c r="H85">
        <v>1696</v>
      </c>
      <c r="I85">
        <v>4414</v>
      </c>
      <c r="J85">
        <v>6348</v>
      </c>
      <c r="K85">
        <v>7762</v>
      </c>
    </row>
    <row r="86" spans="2:11">
      <c r="B86" t="s">
        <v>93</v>
      </c>
      <c r="C86">
        <v>774</v>
      </c>
      <c r="D86">
        <v>895</v>
      </c>
      <c r="E86">
        <v>1252</v>
      </c>
      <c r="F86">
        <v>4029</v>
      </c>
      <c r="G86">
        <v>4704</v>
      </c>
      <c r="H86">
        <v>5057</v>
      </c>
      <c r="I86">
        <v>9924</v>
      </c>
      <c r="J86">
        <v>11717</v>
      </c>
      <c r="K86">
        <v>18692</v>
      </c>
    </row>
    <row r="87" spans="2:11">
      <c r="B87" t="s">
        <v>94</v>
      </c>
      <c r="C87">
        <v>0</v>
      </c>
      <c r="D87">
        <v>0</v>
      </c>
      <c r="E87">
        <v>0</v>
      </c>
      <c r="F87">
        <v>0</v>
      </c>
      <c r="G87">
        <v>0</v>
      </c>
      <c r="H87">
        <v>0</v>
      </c>
      <c r="I87">
        <v>0</v>
      </c>
      <c r="J87">
        <v>0</v>
      </c>
      <c r="K87">
        <v>0</v>
      </c>
    </row>
    <row r="88" spans="2:11">
      <c r="B88" t="s">
        <v>95</v>
      </c>
      <c r="C88">
        <v>0</v>
      </c>
      <c r="D88">
        <v>0</v>
      </c>
      <c r="E88">
        <v>0</v>
      </c>
      <c r="F88">
        <v>0</v>
      </c>
      <c r="G88">
        <v>0</v>
      </c>
      <c r="H88">
        <v>0</v>
      </c>
      <c r="I88">
        <v>0</v>
      </c>
      <c r="J88">
        <v>0</v>
      </c>
      <c r="K88">
        <v>0</v>
      </c>
    </row>
    <row r="89" spans="2:11">
      <c r="B89" t="s">
        <v>96</v>
      </c>
      <c r="C89">
        <v>1</v>
      </c>
      <c r="D89">
        <v>0</v>
      </c>
      <c r="E89">
        <v>0</v>
      </c>
      <c r="F89">
        <v>0</v>
      </c>
      <c r="G89">
        <v>0</v>
      </c>
      <c r="H89">
        <v>0</v>
      </c>
      <c r="I89">
        <v>0</v>
      </c>
      <c r="J89">
        <v>0</v>
      </c>
      <c r="K89">
        <v>0</v>
      </c>
    </row>
    <row r="90" spans="2:11">
      <c r="B90" t="s">
        <v>97</v>
      </c>
      <c r="C90">
        <v>100</v>
      </c>
      <c r="D90">
        <v>0</v>
      </c>
      <c r="E90">
        <v>0</v>
      </c>
      <c r="F90">
        <v>0</v>
      </c>
      <c r="G90">
        <v>0</v>
      </c>
      <c r="H90">
        <v>0</v>
      </c>
      <c r="I90">
        <v>0</v>
      </c>
      <c r="J90">
        <v>0</v>
      </c>
      <c r="K90">
        <v>0</v>
      </c>
    </row>
    <row r="91" spans="2:11">
      <c r="B91" t="s">
        <v>98</v>
      </c>
      <c r="C91">
        <v>0</v>
      </c>
      <c r="D91">
        <v>165</v>
      </c>
      <c r="E91">
        <v>270</v>
      </c>
      <c r="F91">
        <v>346</v>
      </c>
      <c r="G91">
        <v>509</v>
      </c>
      <c r="H91">
        <v>455</v>
      </c>
      <c r="I91">
        <v>1051</v>
      </c>
      <c r="J91">
        <v>776</v>
      </c>
      <c r="K91">
        <v>791</v>
      </c>
    </row>
    <row r="92" spans="2:11">
      <c r="B92" t="s">
        <v>99</v>
      </c>
      <c r="C92">
        <v>0</v>
      </c>
      <c r="D92">
        <v>0</v>
      </c>
      <c r="E92">
        <v>0</v>
      </c>
      <c r="F92">
        <v>0</v>
      </c>
      <c r="G92">
        <v>0</v>
      </c>
      <c r="H92">
        <v>0</v>
      </c>
      <c r="I92">
        <v>0</v>
      </c>
      <c r="J92">
        <v>0</v>
      </c>
      <c r="K92">
        <v>0</v>
      </c>
    </row>
    <row r="93" spans="2:11">
      <c r="B93" t="s">
        <v>100</v>
      </c>
      <c r="C93">
        <v>101</v>
      </c>
      <c r="D93">
        <v>165</v>
      </c>
      <c r="E93">
        <v>270</v>
      </c>
      <c r="F93">
        <v>346</v>
      </c>
      <c r="G93">
        <v>509</v>
      </c>
      <c r="H93">
        <v>455</v>
      </c>
      <c r="I93">
        <v>1051</v>
      </c>
      <c r="J93">
        <v>776</v>
      </c>
      <c r="K93">
        <v>791</v>
      </c>
    </row>
    <row r="94" spans="2:11">
      <c r="B94" t="s">
        <v>101</v>
      </c>
      <c r="C94">
        <v>0</v>
      </c>
      <c r="D94">
        <v>0</v>
      </c>
      <c r="E94">
        <v>0</v>
      </c>
      <c r="F94">
        <v>417</v>
      </c>
      <c r="G94">
        <v>475</v>
      </c>
      <c r="H94">
        <v>309</v>
      </c>
      <c r="I94">
        <v>0</v>
      </c>
      <c r="J94">
        <v>0</v>
      </c>
      <c r="K94">
        <v>0</v>
      </c>
    </row>
    <row r="95" spans="2:11">
      <c r="B95" t="s">
        <v>102</v>
      </c>
      <c r="C95">
        <v>231</v>
      </c>
      <c r="D95">
        <v>331</v>
      </c>
      <c r="E95">
        <v>607</v>
      </c>
      <c r="F95">
        <v>782</v>
      </c>
      <c r="G95">
        <v>1447</v>
      </c>
      <c r="H95">
        <v>1135</v>
      </c>
      <c r="I95">
        <v>1636</v>
      </c>
      <c r="J95">
        <v>2014</v>
      </c>
      <c r="K95">
        <v>2583</v>
      </c>
    </row>
    <row r="96" spans="2:11">
      <c r="B96" t="s">
        <v>103</v>
      </c>
      <c r="C96">
        <v>485</v>
      </c>
      <c r="D96">
        <v>648</v>
      </c>
      <c r="E96">
        <v>2270</v>
      </c>
      <c r="F96">
        <v>996</v>
      </c>
      <c r="G96">
        <v>3065</v>
      </c>
      <c r="H96">
        <v>1135</v>
      </c>
      <c r="I96">
        <v>3447</v>
      </c>
      <c r="J96">
        <v>4529</v>
      </c>
      <c r="K96">
        <v>6458</v>
      </c>
    </row>
    <row r="97" spans="2:11">
      <c r="B97" t="s">
        <v>104</v>
      </c>
      <c r="C97">
        <v>7055</v>
      </c>
      <c r="D97">
        <v>10300</v>
      </c>
      <c r="E97">
        <v>14509</v>
      </c>
      <c r="F97">
        <v>21956</v>
      </c>
      <c r="G97">
        <v>34690</v>
      </c>
      <c r="H97">
        <v>31555</v>
      </c>
      <c r="I97">
        <v>41678</v>
      </c>
      <c r="J97">
        <v>44988</v>
      </c>
      <c r="K97">
        <v>57653</v>
      </c>
    </row>
    <row r="98" spans="2:11">
      <c r="B98" t="s">
        <v>105</v>
      </c>
      <c r="C98">
        <v>351</v>
      </c>
      <c r="D98">
        <v>361</v>
      </c>
      <c r="E98">
        <v>626</v>
      </c>
      <c r="F98">
        <v>762</v>
      </c>
      <c r="G98">
        <v>810</v>
      </c>
      <c r="H98">
        <v>955</v>
      </c>
      <c r="I98">
        <v>1471</v>
      </c>
      <c r="J98">
        <v>2059</v>
      </c>
      <c r="K98">
        <v>2439</v>
      </c>
    </row>
    <row r="99" spans="2:11">
      <c r="B99" t="s">
        <v>106</v>
      </c>
      <c r="C99">
        <v>446</v>
      </c>
      <c r="D99">
        <v>545</v>
      </c>
      <c r="E99">
        <v>760</v>
      </c>
      <c r="F99">
        <v>1019</v>
      </c>
      <c r="G99">
        <v>1324</v>
      </c>
      <c r="H99">
        <v>1665</v>
      </c>
      <c r="I99">
        <v>2030</v>
      </c>
      <c r="J99">
        <v>2599</v>
      </c>
      <c r="K99">
        <v>3464</v>
      </c>
    </row>
    <row r="100" spans="2:11">
      <c r="B100" t="s">
        <v>107</v>
      </c>
      <c r="C100">
        <v>501</v>
      </c>
      <c r="D100">
        <v>575</v>
      </c>
      <c r="E100">
        <v>689</v>
      </c>
      <c r="F100">
        <v>1060</v>
      </c>
      <c r="G100">
        <v>1613</v>
      </c>
      <c r="H100">
        <v>2047</v>
      </c>
      <c r="I100">
        <v>3733</v>
      </c>
      <c r="J100">
        <v>7110</v>
      </c>
      <c r="K100">
        <v>10000</v>
      </c>
    </row>
    <row r="101" spans="2:11">
      <c r="B101" t="s">
        <v>108</v>
      </c>
      <c r="C101">
        <v>0</v>
      </c>
      <c r="D101">
        <v>0</v>
      </c>
      <c r="E101">
        <v>0</v>
      </c>
      <c r="F101">
        <v>0</v>
      </c>
      <c r="G101">
        <v>0</v>
      </c>
      <c r="H101">
        <v>0</v>
      </c>
      <c r="I101">
        <v>0</v>
      </c>
      <c r="J101">
        <v>0</v>
      </c>
      <c r="K101">
        <v>0</v>
      </c>
    </row>
    <row r="102" spans="2:11">
      <c r="B102" t="s">
        <v>109</v>
      </c>
      <c r="C102">
        <v>0</v>
      </c>
      <c r="D102">
        <v>0</v>
      </c>
      <c r="E102">
        <v>0</v>
      </c>
      <c r="F102">
        <v>0</v>
      </c>
      <c r="G102">
        <v>0</v>
      </c>
      <c r="H102">
        <v>0</v>
      </c>
      <c r="I102">
        <v>0</v>
      </c>
      <c r="J102">
        <v>0</v>
      </c>
      <c r="K102">
        <v>0</v>
      </c>
    </row>
    <row r="103" spans="2:11">
      <c r="B103" t="s">
        <v>110</v>
      </c>
      <c r="C103">
        <v>1298</v>
      </c>
      <c r="D103">
        <v>1481</v>
      </c>
      <c r="E103">
        <v>2075</v>
      </c>
      <c r="F103">
        <v>2841</v>
      </c>
      <c r="G103">
        <v>3747</v>
      </c>
      <c r="H103">
        <v>4667</v>
      </c>
      <c r="I103">
        <v>7234</v>
      </c>
      <c r="J103">
        <v>11768</v>
      </c>
      <c r="K103">
        <v>21887</v>
      </c>
    </row>
    <row r="104" spans="2:11">
      <c r="B104" t="s">
        <v>111</v>
      </c>
      <c r="C104">
        <v>1298</v>
      </c>
      <c r="D104">
        <v>1481</v>
      </c>
      <c r="E104">
        <v>2075</v>
      </c>
      <c r="F104">
        <v>2841</v>
      </c>
      <c r="G104">
        <v>3747</v>
      </c>
      <c r="H104">
        <v>4667</v>
      </c>
      <c r="I104">
        <v>7234</v>
      </c>
      <c r="J104">
        <v>11768</v>
      </c>
      <c r="K104">
        <v>21887</v>
      </c>
    </row>
    <row r="105" spans="2:11">
      <c r="B105" t="s">
        <v>112</v>
      </c>
      <c r="C105">
        <v>591</v>
      </c>
      <c r="D105">
        <v>664</v>
      </c>
      <c r="E105">
        <v>794</v>
      </c>
      <c r="F105">
        <v>1009</v>
      </c>
      <c r="G105">
        <v>1292</v>
      </c>
      <c r="H105">
        <v>1713</v>
      </c>
      <c r="I105">
        <v>2466</v>
      </c>
      <c r="J105">
        <v>3991</v>
      </c>
      <c r="K105">
        <v>6435</v>
      </c>
    </row>
    <row r="106" spans="2:11">
      <c r="B106" t="s">
        <v>113</v>
      </c>
      <c r="C106">
        <v>707</v>
      </c>
      <c r="D106">
        <v>817</v>
      </c>
      <c r="E106">
        <v>1281</v>
      </c>
      <c r="F106">
        <v>1832</v>
      </c>
      <c r="G106">
        <v>2455</v>
      </c>
      <c r="H106">
        <v>2954</v>
      </c>
      <c r="I106">
        <v>4768</v>
      </c>
      <c r="J106">
        <v>7777</v>
      </c>
      <c r="K106">
        <v>15452</v>
      </c>
    </row>
    <row r="107" spans="2:11">
      <c r="B107" t="s">
        <v>114</v>
      </c>
      <c r="C107">
        <v>97</v>
      </c>
      <c r="D107">
        <v>96</v>
      </c>
      <c r="E107">
        <v>160</v>
      </c>
      <c r="F107">
        <v>382</v>
      </c>
      <c r="G107">
        <v>285</v>
      </c>
      <c r="H107">
        <v>353</v>
      </c>
      <c r="I107">
        <v>342</v>
      </c>
      <c r="J107">
        <v>3536</v>
      </c>
      <c r="K107">
        <v>4224</v>
      </c>
    </row>
    <row r="108" spans="2:11">
      <c r="B108" t="s">
        <v>115</v>
      </c>
      <c r="C108">
        <v>0</v>
      </c>
      <c r="D108">
        <v>0</v>
      </c>
      <c r="E108">
        <v>38</v>
      </c>
      <c r="F108">
        <v>38</v>
      </c>
      <c r="G108">
        <v>207</v>
      </c>
      <c r="H108">
        <v>206</v>
      </c>
      <c r="I108">
        <v>741</v>
      </c>
      <c r="J108">
        <v>896</v>
      </c>
      <c r="K108">
        <v>1135</v>
      </c>
    </row>
    <row r="109" spans="2:11">
      <c r="B109" t="s">
        <v>116</v>
      </c>
      <c r="C109">
        <v>0</v>
      </c>
      <c r="D109">
        <v>183</v>
      </c>
      <c r="E109">
        <v>0</v>
      </c>
      <c r="F109">
        <v>88</v>
      </c>
      <c r="G109">
        <v>0</v>
      </c>
      <c r="H109">
        <v>163</v>
      </c>
      <c r="I109">
        <v>0</v>
      </c>
      <c r="J109">
        <v>0</v>
      </c>
      <c r="K109">
        <v>0</v>
      </c>
    </row>
    <row r="110" spans="2:11">
      <c r="B110" t="s">
        <v>117</v>
      </c>
      <c r="C110">
        <v>191</v>
      </c>
      <c r="D110">
        <v>155</v>
      </c>
      <c r="E110">
        <v>1217</v>
      </c>
      <c r="F110">
        <v>1051</v>
      </c>
      <c r="G110">
        <v>1935</v>
      </c>
      <c r="H110">
        <v>12270</v>
      </c>
      <c r="I110">
        <v>27654</v>
      </c>
      <c r="J110">
        <v>59174</v>
      </c>
      <c r="K110">
        <v>97600</v>
      </c>
    </row>
    <row r="111" spans="2:11">
      <c r="B111" t="s">
        <v>118</v>
      </c>
      <c r="C111">
        <v>995</v>
      </c>
      <c r="D111">
        <v>1251</v>
      </c>
      <c r="E111">
        <v>2696</v>
      </c>
      <c r="F111">
        <v>3391</v>
      </c>
      <c r="G111">
        <v>4882</v>
      </c>
      <c r="H111">
        <v>15946</v>
      </c>
      <c r="I111">
        <v>33505</v>
      </c>
      <c r="J111">
        <v>71383</v>
      </c>
      <c r="K111">
        <v>118411</v>
      </c>
    </row>
    <row r="112" spans="2:11">
      <c r="B112" t="s">
        <v>119</v>
      </c>
      <c r="C112">
        <v>8050</v>
      </c>
      <c r="D112">
        <v>11551</v>
      </c>
      <c r="E112">
        <v>17205</v>
      </c>
      <c r="F112">
        <v>25347</v>
      </c>
      <c r="G112">
        <v>39572</v>
      </c>
      <c r="H112">
        <v>47501</v>
      </c>
      <c r="I112">
        <v>75183</v>
      </c>
      <c r="J112">
        <v>116371</v>
      </c>
      <c r="K112">
        <v>176064</v>
      </c>
    </row>
    <row r="113" spans="2:11">
      <c r="B113" t="s">
        <v>120</v>
      </c>
      <c r="C113">
        <v>2</v>
      </c>
      <c r="D113">
        <v>2</v>
      </c>
      <c r="E113">
        <v>2</v>
      </c>
      <c r="F113">
        <v>2</v>
      </c>
      <c r="G113">
        <v>2</v>
      </c>
      <c r="H113">
        <v>2</v>
      </c>
      <c r="I113">
        <v>2</v>
      </c>
      <c r="J113">
        <v>2</v>
      </c>
      <c r="K113">
        <v>2</v>
      </c>
    </row>
    <row r="114" spans="2:11">
      <c r="B114" t="s">
        <v>121</v>
      </c>
      <c r="C114">
        <v>1451</v>
      </c>
      <c r="D114">
        <v>1779</v>
      </c>
      <c r="E114">
        <v>3390</v>
      </c>
      <c r="F114">
        <v>4970</v>
      </c>
      <c r="G114">
        <v>5520</v>
      </c>
      <c r="H114">
        <v>5601</v>
      </c>
      <c r="I114">
        <v>12015</v>
      </c>
      <c r="J114">
        <v>14632</v>
      </c>
      <c r="K114">
        <v>21175</v>
      </c>
    </row>
    <row r="115" spans="2:11">
      <c r="B115" t="s">
        <v>122</v>
      </c>
      <c r="C115">
        <v>0</v>
      </c>
      <c r="D115">
        <v>0</v>
      </c>
      <c r="E115">
        <v>0</v>
      </c>
      <c r="F115">
        <v>0</v>
      </c>
      <c r="G115">
        <v>0</v>
      </c>
      <c r="H115">
        <v>0</v>
      </c>
      <c r="I115">
        <v>0</v>
      </c>
      <c r="J115">
        <v>0</v>
      </c>
      <c r="K115">
        <v>0</v>
      </c>
    </row>
    <row r="116" spans="2:11">
      <c r="B116" t="s">
        <v>123</v>
      </c>
      <c r="C116">
        <v>0</v>
      </c>
      <c r="D116">
        <v>0</v>
      </c>
      <c r="E116">
        <v>0</v>
      </c>
      <c r="F116">
        <v>0</v>
      </c>
      <c r="G116">
        <v>0</v>
      </c>
      <c r="H116">
        <v>0</v>
      </c>
      <c r="I116">
        <v>0</v>
      </c>
      <c r="J116">
        <v>0</v>
      </c>
      <c r="K116">
        <v>0</v>
      </c>
    </row>
    <row r="117" spans="2:11">
      <c r="B117" t="s">
        <v>124</v>
      </c>
      <c r="C117">
        <v>1229</v>
      </c>
      <c r="D117">
        <v>0</v>
      </c>
      <c r="E117">
        <v>1191</v>
      </c>
      <c r="F117">
        <v>1260</v>
      </c>
      <c r="G117">
        <v>8572</v>
      </c>
      <c r="H117">
        <v>0</v>
      </c>
      <c r="I117">
        <v>0</v>
      </c>
      <c r="J117">
        <v>0</v>
      </c>
      <c r="K117">
        <v>0</v>
      </c>
    </row>
    <row r="118" spans="2:11">
      <c r="B118" t="s">
        <v>125</v>
      </c>
      <c r="C118">
        <v>0</v>
      </c>
      <c r="D118">
        <v>576</v>
      </c>
      <c r="E118">
        <v>0</v>
      </c>
      <c r="F118">
        <v>0</v>
      </c>
      <c r="G118">
        <v>0</v>
      </c>
      <c r="H118">
        <v>3422</v>
      </c>
      <c r="I118">
        <v>1593</v>
      </c>
      <c r="J118">
        <v>8107</v>
      </c>
      <c r="K118">
        <v>9879</v>
      </c>
    </row>
    <row r="119" spans="2:11">
      <c r="B119" t="s">
        <v>126</v>
      </c>
      <c r="C119">
        <v>0</v>
      </c>
      <c r="D119">
        <v>501</v>
      </c>
      <c r="E119">
        <v>746</v>
      </c>
      <c r="F119">
        <v>1410</v>
      </c>
      <c r="G119">
        <v>0</v>
      </c>
      <c r="H119">
        <v>2053</v>
      </c>
      <c r="I119">
        <v>2984</v>
      </c>
      <c r="J119">
        <v>4091</v>
      </c>
      <c r="K119">
        <v>5953</v>
      </c>
    </row>
    <row r="120" spans="2:11">
      <c r="B120" t="s">
        <v>127</v>
      </c>
      <c r="C120">
        <v>0</v>
      </c>
      <c r="D120">
        <v>0</v>
      </c>
      <c r="E120">
        <v>0</v>
      </c>
      <c r="F120">
        <v>0</v>
      </c>
      <c r="G120">
        <v>0</v>
      </c>
      <c r="H120">
        <v>0</v>
      </c>
      <c r="I120">
        <v>0</v>
      </c>
      <c r="J120">
        <v>0</v>
      </c>
      <c r="K120">
        <v>0</v>
      </c>
    </row>
    <row r="121" spans="2:11">
      <c r="B121" t="s">
        <v>128</v>
      </c>
      <c r="C121">
        <v>0</v>
      </c>
      <c r="D121">
        <v>628</v>
      </c>
      <c r="E121">
        <v>1144</v>
      </c>
      <c r="F121">
        <v>1659</v>
      </c>
      <c r="G121">
        <v>0</v>
      </c>
      <c r="H121">
        <v>430</v>
      </c>
      <c r="I121">
        <v>4130</v>
      </c>
      <c r="J121">
        <v>1140</v>
      </c>
      <c r="K121">
        <v>1535</v>
      </c>
    </row>
    <row r="122" spans="2:11">
      <c r="B122" t="s">
        <v>129</v>
      </c>
      <c r="C122">
        <v>2680</v>
      </c>
      <c r="D122">
        <v>3484</v>
      </c>
      <c r="E122">
        <v>6471</v>
      </c>
      <c r="F122">
        <v>9299</v>
      </c>
      <c r="G122">
        <v>14092</v>
      </c>
      <c r="H122">
        <v>11506</v>
      </c>
      <c r="I122">
        <v>20722</v>
      </c>
      <c r="J122">
        <v>27970</v>
      </c>
      <c r="K122">
        <v>38542</v>
      </c>
    </row>
    <row r="123" spans="2:11">
      <c r="B123" t="s">
        <v>130</v>
      </c>
      <c r="C123">
        <v>0</v>
      </c>
      <c r="D123">
        <v>0</v>
      </c>
      <c r="E123">
        <v>0</v>
      </c>
      <c r="F123">
        <v>0</v>
      </c>
      <c r="G123">
        <v>0</v>
      </c>
      <c r="H123">
        <v>0</v>
      </c>
      <c r="I123">
        <v>0</v>
      </c>
      <c r="J123">
        <v>0</v>
      </c>
      <c r="K123">
        <v>0</v>
      </c>
    </row>
    <row r="124" spans="2:11">
      <c r="B124" t="s">
        <v>131</v>
      </c>
      <c r="C124">
        <v>0</v>
      </c>
      <c r="D124">
        <v>0</v>
      </c>
      <c r="E124">
        <v>0</v>
      </c>
      <c r="F124">
        <v>0</v>
      </c>
      <c r="G124">
        <v>0</v>
      </c>
      <c r="H124">
        <v>0</v>
      </c>
      <c r="I124">
        <v>0</v>
      </c>
      <c r="J124">
        <v>0</v>
      </c>
      <c r="K124">
        <v>0</v>
      </c>
    </row>
    <row r="125" spans="2:11">
      <c r="B125" t="s">
        <v>132</v>
      </c>
      <c r="C125">
        <v>294</v>
      </c>
      <c r="D125">
        <v>601</v>
      </c>
      <c r="E125">
        <v>381</v>
      </c>
      <c r="F125">
        <v>619</v>
      </c>
      <c r="G125">
        <v>675</v>
      </c>
      <c r="H125">
        <v>2216</v>
      </c>
      <c r="I125">
        <v>4300</v>
      </c>
      <c r="J125">
        <v>0</v>
      </c>
      <c r="K125">
        <v>0</v>
      </c>
    </row>
    <row r="126" spans="2:11">
      <c r="B126" t="s">
        <v>133</v>
      </c>
      <c r="C126">
        <v>0</v>
      </c>
      <c r="D126">
        <v>0</v>
      </c>
      <c r="E126">
        <v>369</v>
      </c>
      <c r="F126">
        <v>897</v>
      </c>
      <c r="G126">
        <v>3775</v>
      </c>
      <c r="H126">
        <v>2139</v>
      </c>
      <c r="I126">
        <v>2370</v>
      </c>
      <c r="J126">
        <v>11786</v>
      </c>
      <c r="K126">
        <v>19312</v>
      </c>
    </row>
    <row r="127" spans="2:11">
      <c r="B127" t="s">
        <v>134</v>
      </c>
      <c r="C127">
        <v>0</v>
      </c>
      <c r="D127">
        <v>0</v>
      </c>
      <c r="E127">
        <v>0</v>
      </c>
      <c r="F127">
        <v>0</v>
      </c>
      <c r="G127">
        <v>0</v>
      </c>
      <c r="H127">
        <v>0</v>
      </c>
      <c r="I127">
        <v>0</v>
      </c>
      <c r="J127">
        <v>0</v>
      </c>
      <c r="K127">
        <v>0</v>
      </c>
    </row>
    <row r="128" spans="2:11">
      <c r="B128" t="s">
        <v>135</v>
      </c>
      <c r="C128">
        <v>0</v>
      </c>
      <c r="D128">
        <v>0</v>
      </c>
      <c r="E128">
        <v>0</v>
      </c>
      <c r="F128">
        <v>0</v>
      </c>
      <c r="G128">
        <v>0</v>
      </c>
      <c r="H128">
        <v>0</v>
      </c>
      <c r="I128">
        <v>0</v>
      </c>
      <c r="J128">
        <v>0</v>
      </c>
      <c r="K128">
        <v>0</v>
      </c>
    </row>
    <row r="129" spans="2:11">
      <c r="B129" t="s">
        <v>136</v>
      </c>
      <c r="C129">
        <v>0</v>
      </c>
      <c r="D129">
        <v>0</v>
      </c>
      <c r="E129">
        <v>0</v>
      </c>
      <c r="F129">
        <v>0</v>
      </c>
      <c r="G129">
        <v>0</v>
      </c>
      <c r="H129">
        <v>0</v>
      </c>
      <c r="I129">
        <v>0</v>
      </c>
      <c r="J129">
        <v>0</v>
      </c>
      <c r="K129">
        <v>0</v>
      </c>
    </row>
    <row r="130" spans="2:11">
      <c r="B130" t="s">
        <v>137</v>
      </c>
      <c r="C130">
        <v>294</v>
      </c>
      <c r="D130">
        <v>601</v>
      </c>
      <c r="E130">
        <v>750</v>
      </c>
      <c r="F130">
        <v>1516</v>
      </c>
      <c r="G130">
        <v>4450</v>
      </c>
      <c r="H130">
        <v>4355</v>
      </c>
      <c r="I130">
        <v>6670</v>
      </c>
      <c r="J130">
        <v>11786</v>
      </c>
      <c r="K130">
        <v>19312</v>
      </c>
    </row>
    <row r="131" spans="2:11">
      <c r="B131" t="s">
        <v>138</v>
      </c>
      <c r="C131">
        <v>2974</v>
      </c>
      <c r="D131">
        <v>4085</v>
      </c>
      <c r="E131">
        <v>7221</v>
      </c>
      <c r="F131">
        <v>10815</v>
      </c>
      <c r="G131">
        <v>18542</v>
      </c>
      <c r="H131">
        <v>15861</v>
      </c>
      <c r="I131">
        <v>27392</v>
      </c>
      <c r="J131">
        <v>39756</v>
      </c>
      <c r="K131">
        <v>57854</v>
      </c>
    </row>
    <row r="132" spans="2:11">
      <c r="B132" t="s">
        <v>139</v>
      </c>
      <c r="C132">
        <v>0</v>
      </c>
      <c r="D132">
        <v>0</v>
      </c>
      <c r="E132">
        <v>0</v>
      </c>
      <c r="F132">
        <v>0</v>
      </c>
      <c r="G132">
        <v>0</v>
      </c>
      <c r="H132">
        <v>0</v>
      </c>
      <c r="I132">
        <v>0</v>
      </c>
      <c r="J132">
        <v>0</v>
      </c>
      <c r="K132">
        <v>0</v>
      </c>
    </row>
    <row r="133" spans="2:11">
      <c r="B133" t="s">
        <v>140</v>
      </c>
      <c r="C133">
        <v>5076</v>
      </c>
      <c r="D133">
        <v>7466</v>
      </c>
      <c r="E133">
        <v>9984</v>
      </c>
      <c r="F133">
        <v>14532</v>
      </c>
      <c r="G133">
        <v>21030</v>
      </c>
      <c r="H133">
        <v>31640</v>
      </c>
      <c r="I133">
        <v>47791</v>
      </c>
      <c r="J133">
        <v>76615</v>
      </c>
      <c r="K133">
        <v>118210</v>
      </c>
    </row>
    <row r="134" spans="2:11">
      <c r="B134" t="s">
        <v>141</v>
      </c>
      <c r="C134">
        <v>2514</v>
      </c>
      <c r="D134">
        <v>3521</v>
      </c>
      <c r="E134">
        <v>4355</v>
      </c>
      <c r="F134">
        <v>5368</v>
      </c>
      <c r="G134">
        <v>7177</v>
      </c>
      <c r="H134">
        <v>0</v>
      </c>
      <c r="I134">
        <v>0</v>
      </c>
      <c r="J134">
        <v>0</v>
      </c>
      <c r="K134">
        <v>0</v>
      </c>
    </row>
    <row r="135" spans="2:11">
      <c r="B135" t="s">
        <v>142</v>
      </c>
      <c r="C135">
        <v>0</v>
      </c>
      <c r="D135">
        <v>0</v>
      </c>
      <c r="E135">
        <v>0</v>
      </c>
      <c r="F135">
        <v>0</v>
      </c>
      <c r="G135">
        <v>0</v>
      </c>
      <c r="H135">
        <v>8210</v>
      </c>
      <c r="I135">
        <v>10668</v>
      </c>
      <c r="J135">
        <v>13331</v>
      </c>
      <c r="K135">
        <v>16422</v>
      </c>
    </row>
    <row r="136" spans="2:11">
      <c r="B136" t="s">
        <v>143</v>
      </c>
      <c r="C136">
        <v>0</v>
      </c>
      <c r="D136">
        <v>0</v>
      </c>
      <c r="E136">
        <v>0</v>
      </c>
      <c r="F136">
        <v>70</v>
      </c>
      <c r="G136">
        <v>0</v>
      </c>
      <c r="H136">
        <v>0</v>
      </c>
      <c r="I136">
        <v>0</v>
      </c>
      <c r="J136">
        <v>0</v>
      </c>
      <c r="K136">
        <v>0</v>
      </c>
    </row>
    <row r="137" spans="2:11">
      <c r="B137" t="s">
        <v>144</v>
      </c>
      <c r="C137">
        <v>2670</v>
      </c>
      <c r="D137">
        <v>4005</v>
      </c>
      <c r="E137">
        <v>5607</v>
      </c>
      <c r="F137">
        <v>9101</v>
      </c>
      <c r="G137">
        <v>13845</v>
      </c>
      <c r="H137">
        <v>23353</v>
      </c>
      <c r="I137">
        <v>37169</v>
      </c>
      <c r="J137">
        <v>62841</v>
      </c>
      <c r="K137">
        <v>101289</v>
      </c>
    </row>
    <row r="138" spans="2:11">
      <c r="B138" t="s">
        <v>145</v>
      </c>
      <c r="C138">
        <v>0</v>
      </c>
      <c r="D138">
        <v>0</v>
      </c>
      <c r="E138">
        <v>0</v>
      </c>
      <c r="F138">
        <v>0</v>
      </c>
      <c r="G138">
        <v>0</v>
      </c>
      <c r="H138">
        <v>0</v>
      </c>
      <c r="I138">
        <v>0</v>
      </c>
      <c r="J138">
        <v>0</v>
      </c>
      <c r="K138">
        <v>0</v>
      </c>
    </row>
    <row r="139" spans="2:11">
      <c r="B139" t="s">
        <v>146</v>
      </c>
      <c r="C139">
        <v>-108</v>
      </c>
      <c r="D139">
        <v>-60</v>
      </c>
      <c r="E139">
        <v>22</v>
      </c>
      <c r="F139">
        <v>-7</v>
      </c>
      <c r="G139">
        <v>8</v>
      </c>
      <c r="H139">
        <v>77</v>
      </c>
      <c r="I139">
        <v>-46</v>
      </c>
      <c r="J139">
        <v>443</v>
      </c>
      <c r="K139">
        <v>499</v>
      </c>
    </row>
    <row r="140" spans="2:11">
      <c r="B140" t="s">
        <v>147</v>
      </c>
      <c r="C140">
        <v>5076</v>
      </c>
      <c r="D140">
        <v>7466</v>
      </c>
      <c r="E140">
        <v>9984</v>
      </c>
      <c r="F140">
        <v>14532</v>
      </c>
      <c r="G140">
        <v>21030</v>
      </c>
      <c r="H140">
        <v>31640</v>
      </c>
      <c r="I140">
        <v>47791</v>
      </c>
      <c r="J140">
        <v>76615</v>
      </c>
      <c r="K140">
        <v>118210</v>
      </c>
    </row>
    <row r="141" spans="2:11">
      <c r="B141" t="s">
        <v>148</v>
      </c>
      <c r="C141">
        <v>5076</v>
      </c>
      <c r="D141">
        <v>7466</v>
      </c>
      <c r="E141">
        <v>9984</v>
      </c>
      <c r="F141">
        <v>14532</v>
      </c>
      <c r="G141">
        <v>21030</v>
      </c>
      <c r="H141">
        <v>31640</v>
      </c>
      <c r="I141">
        <v>47791</v>
      </c>
      <c r="J141">
        <v>76615</v>
      </c>
      <c r="K141">
        <v>118210</v>
      </c>
    </row>
    <row r="142" spans="2:11">
      <c r="B142" t="s">
        <v>149</v>
      </c>
      <c r="C142">
        <v>8050</v>
      </c>
      <c r="D142">
        <v>11551</v>
      </c>
      <c r="E142">
        <v>17205</v>
      </c>
      <c r="F142">
        <v>25347</v>
      </c>
      <c r="G142">
        <v>39572</v>
      </c>
      <c r="H142">
        <v>47501</v>
      </c>
      <c r="I142">
        <v>75183</v>
      </c>
      <c r="J142">
        <v>116371</v>
      </c>
      <c r="K142">
        <v>176064</v>
      </c>
    </row>
    <row r="143" spans="2:11">
      <c r="B143" t="s">
        <v>150</v>
      </c>
      <c r="C143">
        <v>426</v>
      </c>
      <c r="D143">
        <v>1514</v>
      </c>
      <c r="E143">
        <v>2214</v>
      </c>
      <c r="F143">
        <v>3813</v>
      </c>
      <c r="G143">
        <v>5307</v>
      </c>
      <c r="H143">
        <v>8969</v>
      </c>
      <c r="I143">
        <v>15040</v>
      </c>
      <c r="J143">
        <v>27736</v>
      </c>
      <c r="K143">
        <v>45010</v>
      </c>
    </row>
    <row r="144" spans="2:11">
      <c r="B144" t="s">
        <v>151</v>
      </c>
      <c r="C144">
        <v>4375</v>
      </c>
      <c r="D144">
        <v>6816</v>
      </c>
      <c r="E144">
        <v>8038</v>
      </c>
      <c r="F144">
        <v>12657</v>
      </c>
      <c r="G144">
        <v>20598</v>
      </c>
      <c r="H144">
        <v>20049</v>
      </c>
      <c r="I144">
        <v>20956</v>
      </c>
      <c r="J144">
        <v>17018</v>
      </c>
      <c r="K144">
        <v>19111</v>
      </c>
    </row>
    <row r="145" spans="2:11">
      <c r="B145" t="s">
        <v>152</v>
      </c>
      <c r="C145">
        <v>758</v>
      </c>
      <c r="D145">
        <v>2275</v>
      </c>
      <c r="E145">
        <v>1563</v>
      </c>
      <c r="F145">
        <v>4484</v>
      </c>
      <c r="G145">
        <v>8177</v>
      </c>
      <c r="H145">
        <v>8946</v>
      </c>
      <c r="I145">
        <v>15836</v>
      </c>
      <c r="J145">
        <v>29833</v>
      </c>
      <c r="K145">
        <v>38616</v>
      </c>
    </row>
    <row r="146" spans="2:11">
      <c r="B146" t="s">
        <v>153</v>
      </c>
      <c r="C146">
        <v>5076</v>
      </c>
      <c r="D146">
        <v>7466</v>
      </c>
      <c r="E146">
        <v>9984</v>
      </c>
      <c r="F146">
        <v>14532</v>
      </c>
      <c r="G146">
        <v>21030</v>
      </c>
      <c r="H146">
        <v>31640</v>
      </c>
      <c r="I146">
        <v>47791</v>
      </c>
      <c r="J146">
        <v>76615</v>
      </c>
      <c r="K146">
        <v>118210</v>
      </c>
    </row>
    <row r="147" spans="2:11">
      <c r="B147" t="s">
        <v>154</v>
      </c>
      <c r="C147">
        <v>782.9</v>
      </c>
      <c r="D147">
        <v>835</v>
      </c>
      <c r="E147">
        <v>855.3</v>
      </c>
      <c r="F147">
        <v>872.3</v>
      </c>
      <c r="G147">
        <v>888.3</v>
      </c>
      <c r="H147">
        <v>899.8</v>
      </c>
      <c r="I147">
        <v>916</v>
      </c>
      <c r="J147">
        <v>929.3</v>
      </c>
      <c r="K147">
        <v>939.2</v>
      </c>
    </row>
    <row r="148" spans="2:11">
      <c r="B148" t="s">
        <v>155</v>
      </c>
      <c r="C148">
        <v>0</v>
      </c>
      <c r="D148">
        <v>0</v>
      </c>
      <c r="E148">
        <v>0</v>
      </c>
      <c r="F148">
        <v>0</v>
      </c>
      <c r="G148">
        <v>0</v>
      </c>
      <c r="H148">
        <v>0</v>
      </c>
      <c r="I148">
        <v>0</v>
      </c>
      <c r="J148">
        <v>0</v>
      </c>
      <c r="K148">
        <v>0</v>
      </c>
    </row>
    <row r="149" spans="2:11">
      <c r="B149" t="s">
        <v>156</v>
      </c>
      <c r="C149">
        <v>0</v>
      </c>
      <c r="D149">
        <v>0</v>
      </c>
      <c r="E149">
        <v>0</v>
      </c>
      <c r="F149">
        <v>0</v>
      </c>
      <c r="G149">
        <v>0</v>
      </c>
      <c r="H149">
        <v>0</v>
      </c>
      <c r="I149">
        <v>0</v>
      </c>
      <c r="J149">
        <v>0</v>
      </c>
      <c r="K149">
        <v>0</v>
      </c>
    </row>
    <row r="150" spans="2:11">
      <c r="B150" t="s">
        <v>157</v>
      </c>
      <c r="C150">
        <v>782.9</v>
      </c>
      <c r="D150">
        <v>835</v>
      </c>
      <c r="E150">
        <v>855.3</v>
      </c>
      <c r="F150">
        <v>872.3</v>
      </c>
      <c r="G150">
        <v>888.3</v>
      </c>
      <c r="H150">
        <v>899.8</v>
      </c>
      <c r="I150">
        <v>916</v>
      </c>
      <c r="J150">
        <v>929.3</v>
      </c>
      <c r="K150">
        <v>939.2</v>
      </c>
    </row>
    <row r="151" spans="2:11">
      <c r="B151" t="s">
        <v>158</v>
      </c>
      <c r="C151">
        <v>0</v>
      </c>
      <c r="D151">
        <v>0</v>
      </c>
      <c r="E151">
        <v>0</v>
      </c>
      <c r="F151">
        <v>0</v>
      </c>
      <c r="G151">
        <v>0</v>
      </c>
      <c r="H151">
        <v>0</v>
      </c>
      <c r="I151">
        <v>0</v>
      </c>
      <c r="J151">
        <v>0</v>
      </c>
      <c r="K151">
        <v>0</v>
      </c>
    </row>
    <row r="152" spans="2:11">
      <c r="B152" t="s">
        <v>159</v>
      </c>
      <c r="C152">
        <v>743.2</v>
      </c>
      <c r="D152">
        <v>808.4</v>
      </c>
      <c r="E152">
        <v>844.1</v>
      </c>
      <c r="F152">
        <v>864.6</v>
      </c>
      <c r="G152">
        <v>881.6</v>
      </c>
      <c r="H152">
        <v>893</v>
      </c>
      <c r="I152">
        <v>909.5</v>
      </c>
      <c r="J152">
        <v>924.3</v>
      </c>
      <c r="K152">
        <v>934.8</v>
      </c>
    </row>
    <row r="153" spans="2:11">
      <c r="B153" t="s">
        <v>160</v>
      </c>
      <c r="C153">
        <v>774.6</v>
      </c>
      <c r="D153">
        <v>856.8</v>
      </c>
      <c r="E153">
        <v>877.5</v>
      </c>
      <c r="F153">
        <v>889.3</v>
      </c>
      <c r="G153">
        <v>902.1</v>
      </c>
      <c r="H153">
        <v>907</v>
      </c>
      <c r="I153">
        <v>924.7</v>
      </c>
      <c r="J153">
        <v>936.6</v>
      </c>
      <c r="K153">
        <v>945.4</v>
      </c>
    </row>
    <row r="154" spans="2:11">
      <c r="B154" t="s">
        <v>161</v>
      </c>
      <c r="C154">
        <v>11695</v>
      </c>
      <c r="D154">
        <v>14800</v>
      </c>
      <c r="E154">
        <v>17787</v>
      </c>
      <c r="F154">
        <v>21600</v>
      </c>
      <c r="G154">
        <v>32000</v>
      </c>
      <c r="H154">
        <v>36800</v>
      </c>
      <c r="I154">
        <v>49400</v>
      </c>
      <c r="J154">
        <v>63300</v>
      </c>
      <c r="K154">
        <v>72800</v>
      </c>
    </row>
    <row r="155" spans="2:11">
      <c r="B155" t="s">
        <v>162</v>
      </c>
      <c r="C155">
        <v>1731</v>
      </c>
      <c r="D155">
        <v>2020</v>
      </c>
      <c r="E155">
        <v>2399</v>
      </c>
      <c r="F155">
        <v>2100</v>
      </c>
      <c r="G155">
        <v>3100</v>
      </c>
    </row>
    <row r="156" spans="2:11">
      <c r="B156" t="s">
        <v>163</v>
      </c>
      <c r="C156">
        <v>276</v>
      </c>
      <c r="D156">
        <v>1335</v>
      </c>
      <c r="E156">
        <v>1989</v>
      </c>
      <c r="F156">
        <v>3496</v>
      </c>
      <c r="G156">
        <v>4834</v>
      </c>
      <c r="H156">
        <v>8235</v>
      </c>
      <c r="I156">
        <v>14013</v>
      </c>
      <c r="J156">
        <v>25922</v>
      </c>
      <c r="K156">
        <v>41733</v>
      </c>
    </row>
    <row r="157" spans="2:11">
      <c r="B157" t="s">
        <v>33</v>
      </c>
      <c r="C157">
        <v>150</v>
      </c>
      <c r="D157">
        <v>179</v>
      </c>
      <c r="E157">
        <v>225</v>
      </c>
      <c r="F157">
        <v>317</v>
      </c>
      <c r="G157">
        <v>473</v>
      </c>
      <c r="H157">
        <v>734</v>
      </c>
      <c r="I157">
        <v>1027</v>
      </c>
      <c r="J157">
        <v>1814</v>
      </c>
      <c r="K157">
        <v>3277</v>
      </c>
    </row>
    <row r="158" spans="2:11">
      <c r="B158" t="s">
        <v>35</v>
      </c>
      <c r="C158">
        <v>0</v>
      </c>
      <c r="D158">
        <v>0</v>
      </c>
      <c r="E158">
        <v>0</v>
      </c>
      <c r="F158">
        <v>0</v>
      </c>
      <c r="G158">
        <v>0</v>
      </c>
      <c r="H158">
        <v>0</v>
      </c>
      <c r="I158">
        <v>0</v>
      </c>
      <c r="J158">
        <v>0</v>
      </c>
      <c r="K158">
        <v>0</v>
      </c>
    </row>
    <row r="159" spans="2:11">
      <c r="B159" t="s">
        <v>36</v>
      </c>
      <c r="C159">
        <v>0</v>
      </c>
      <c r="D159">
        <v>0</v>
      </c>
      <c r="E159">
        <v>0</v>
      </c>
      <c r="F159">
        <v>0</v>
      </c>
      <c r="G159">
        <v>0</v>
      </c>
      <c r="H159">
        <v>0</v>
      </c>
      <c r="I159">
        <v>0</v>
      </c>
      <c r="J159">
        <v>0</v>
      </c>
      <c r="K159">
        <v>0</v>
      </c>
    </row>
    <row r="160" spans="2:11">
      <c r="B160" t="s">
        <v>132</v>
      </c>
      <c r="C160">
        <v>20</v>
      </c>
      <c r="D160">
        <v>52</v>
      </c>
      <c r="E160">
        <v>53</v>
      </c>
      <c r="F160">
        <v>78</v>
      </c>
      <c r="G160">
        <v>-368</v>
      </c>
      <c r="H160">
        <v>1040</v>
      </c>
      <c r="I160">
        <v>1440</v>
      </c>
      <c r="J160">
        <v>2868</v>
      </c>
      <c r="K160">
        <v>4405</v>
      </c>
    </row>
    <row r="161" spans="2:11">
      <c r="B161" t="s">
        <v>164</v>
      </c>
      <c r="C161">
        <v>40</v>
      </c>
      <c r="D161">
        <v>504</v>
      </c>
      <c r="E161">
        <v>11</v>
      </c>
      <c r="F161">
        <v>12</v>
      </c>
      <c r="G161">
        <v>22</v>
      </c>
      <c r="H161">
        <v>26</v>
      </c>
      <c r="I161">
        <v>24</v>
      </c>
      <c r="J161">
        <v>0</v>
      </c>
      <c r="K161">
        <v>0</v>
      </c>
    </row>
    <row r="162" spans="2:11">
      <c r="B162" t="s">
        <v>165</v>
      </c>
      <c r="C162">
        <v>0</v>
      </c>
      <c r="D162">
        <v>0</v>
      </c>
      <c r="E162">
        <v>0</v>
      </c>
      <c r="F162">
        <v>0</v>
      </c>
      <c r="G162">
        <v>0</v>
      </c>
      <c r="H162">
        <v>0</v>
      </c>
      <c r="I162">
        <v>0</v>
      </c>
      <c r="J162">
        <v>0</v>
      </c>
      <c r="K162">
        <v>0</v>
      </c>
    </row>
    <row r="163" spans="2:11">
      <c r="B163" t="s">
        <v>166</v>
      </c>
      <c r="C163">
        <v>-8</v>
      </c>
      <c r="D163">
        <v>-121</v>
      </c>
      <c r="E163">
        <v>-357</v>
      </c>
      <c r="F163">
        <v>-385</v>
      </c>
      <c r="G163">
        <v>-785</v>
      </c>
      <c r="H163">
        <v>-939</v>
      </c>
      <c r="I163">
        <v>-4860</v>
      </c>
      <c r="J163">
        <v>-1791</v>
      </c>
      <c r="K163">
        <v>-6965</v>
      </c>
    </row>
    <row r="164" spans="2:11">
      <c r="B164" t="s">
        <v>167</v>
      </c>
      <c r="C164">
        <v>-45</v>
      </c>
      <c r="D164">
        <v>-64</v>
      </c>
      <c r="E164">
        <v>-105</v>
      </c>
      <c r="F164">
        <v>-76</v>
      </c>
      <c r="G164">
        <v>-163</v>
      </c>
      <c r="H164">
        <v>54</v>
      </c>
      <c r="I164">
        <v>-596</v>
      </c>
      <c r="J164">
        <v>275</v>
      </c>
      <c r="K164">
        <v>-15</v>
      </c>
    </row>
    <row r="165" spans="2:11">
      <c r="B165" t="s">
        <v>168</v>
      </c>
      <c r="C165">
        <v>0</v>
      </c>
      <c r="D165">
        <v>0</v>
      </c>
      <c r="E165">
        <v>0</v>
      </c>
      <c r="F165">
        <v>0</v>
      </c>
      <c r="G165">
        <v>0</v>
      </c>
      <c r="H165">
        <v>0</v>
      </c>
      <c r="I165">
        <v>0</v>
      </c>
      <c r="J165">
        <v>0</v>
      </c>
      <c r="K165">
        <v>0</v>
      </c>
    </row>
    <row r="166" spans="2:11">
      <c r="B166" t="s">
        <v>169</v>
      </c>
      <c r="C166">
        <v>-215</v>
      </c>
      <c r="D166">
        <v>-211</v>
      </c>
      <c r="E166">
        <v>-1626</v>
      </c>
      <c r="F166">
        <v>-1540</v>
      </c>
      <c r="G166">
        <v>-1958</v>
      </c>
      <c r="H166">
        <v>749</v>
      </c>
      <c r="I166">
        <v>-1514</v>
      </c>
      <c r="J166">
        <v>0</v>
      </c>
      <c r="K166">
        <v>0</v>
      </c>
    </row>
    <row r="167" spans="2:11">
      <c r="B167" t="s">
        <v>170</v>
      </c>
      <c r="C167">
        <v>297</v>
      </c>
      <c r="D167">
        <v>328</v>
      </c>
      <c r="E167">
        <v>1611</v>
      </c>
      <c r="F167">
        <v>1494</v>
      </c>
      <c r="G167">
        <v>596</v>
      </c>
      <c r="H167">
        <v>92</v>
      </c>
      <c r="I167">
        <v>6307</v>
      </c>
      <c r="J167">
        <v>2515</v>
      </c>
      <c r="K167">
        <v>4467</v>
      </c>
    </row>
    <row r="168" spans="2:11">
      <c r="B168" t="s">
        <v>171</v>
      </c>
      <c r="C168">
        <v>419</v>
      </c>
      <c r="D168">
        <v>533</v>
      </c>
      <c r="E168">
        <v>0</v>
      </c>
      <c r="F168">
        <v>0</v>
      </c>
      <c r="G168">
        <v>5642</v>
      </c>
      <c r="H168">
        <v>521</v>
      </c>
      <c r="I168">
        <v>0</v>
      </c>
      <c r="J168">
        <v>0</v>
      </c>
      <c r="K168">
        <v>0</v>
      </c>
    </row>
    <row r="169" spans="2:11">
      <c r="B169" t="s">
        <v>172</v>
      </c>
      <c r="C169">
        <v>0</v>
      </c>
      <c r="D169">
        <v>0</v>
      </c>
      <c r="E169">
        <v>256</v>
      </c>
      <c r="F169">
        <v>1832</v>
      </c>
      <c r="G169">
        <v>787</v>
      </c>
      <c r="H169">
        <v>-1063</v>
      </c>
      <c r="I169">
        <v>1875</v>
      </c>
      <c r="J169">
        <v>4758</v>
      </c>
      <c r="K169">
        <v>2214</v>
      </c>
    </row>
    <row r="170" spans="2:11">
      <c r="B170" t="s">
        <v>173</v>
      </c>
      <c r="C170">
        <v>0</v>
      </c>
      <c r="D170">
        <v>0</v>
      </c>
      <c r="E170">
        <v>163</v>
      </c>
      <c r="F170">
        <v>242</v>
      </c>
      <c r="G170">
        <v>516</v>
      </c>
      <c r="H170">
        <v>710</v>
      </c>
      <c r="I170">
        <v>879</v>
      </c>
      <c r="J170">
        <v>1168</v>
      </c>
      <c r="K170">
        <v>1740</v>
      </c>
    </row>
    <row r="171" spans="2:11">
      <c r="B171" t="s">
        <v>174</v>
      </c>
      <c r="C171">
        <v>934</v>
      </c>
      <c r="D171">
        <v>2535</v>
      </c>
      <c r="E171">
        <v>2220</v>
      </c>
      <c r="F171">
        <v>5470</v>
      </c>
      <c r="G171">
        <v>9596</v>
      </c>
      <c r="H171">
        <v>10159</v>
      </c>
      <c r="I171">
        <v>18595</v>
      </c>
      <c r="J171">
        <v>37529</v>
      </c>
      <c r="K171">
        <v>50856</v>
      </c>
    </row>
    <row r="172" spans="2:11">
      <c r="B172" t="s">
        <v>175</v>
      </c>
      <c r="C172">
        <v>0</v>
      </c>
      <c r="D172">
        <v>0</v>
      </c>
      <c r="E172">
        <v>0</v>
      </c>
      <c r="F172">
        <v>0</v>
      </c>
      <c r="G172">
        <v>0</v>
      </c>
      <c r="H172">
        <v>0</v>
      </c>
      <c r="I172">
        <v>0</v>
      </c>
      <c r="J172">
        <v>0</v>
      </c>
      <c r="K172">
        <v>0</v>
      </c>
    </row>
    <row r="173" spans="2:11">
      <c r="B173" t="s">
        <v>176</v>
      </c>
      <c r="C173">
        <v>934</v>
      </c>
      <c r="D173">
        <v>2535</v>
      </c>
      <c r="E173">
        <v>2220</v>
      </c>
      <c r="F173">
        <v>5470</v>
      </c>
      <c r="G173">
        <v>9596</v>
      </c>
      <c r="H173">
        <v>10159</v>
      </c>
      <c r="I173">
        <v>18595</v>
      </c>
      <c r="J173">
        <v>37529</v>
      </c>
      <c r="K173">
        <v>50856</v>
      </c>
    </row>
    <row r="174" spans="2:11">
      <c r="B174" t="s">
        <v>177</v>
      </c>
      <c r="C174">
        <v>0</v>
      </c>
      <c r="D174">
        <v>0</v>
      </c>
      <c r="E174">
        <v>0</v>
      </c>
      <c r="F174">
        <v>0</v>
      </c>
      <c r="G174">
        <v>0</v>
      </c>
      <c r="H174">
        <v>0</v>
      </c>
      <c r="I174">
        <v>0</v>
      </c>
      <c r="J174">
        <v>0</v>
      </c>
      <c r="K174">
        <v>0</v>
      </c>
    </row>
    <row r="175" spans="2:11">
      <c r="B175" t="s">
        <v>178</v>
      </c>
      <c r="C175">
        <v>5</v>
      </c>
      <c r="D175">
        <v>0</v>
      </c>
      <c r="E175">
        <v>0</v>
      </c>
      <c r="F175">
        <v>0</v>
      </c>
      <c r="G175">
        <v>0</v>
      </c>
      <c r="H175">
        <v>0</v>
      </c>
      <c r="I175">
        <v>0</v>
      </c>
      <c r="J175">
        <v>0</v>
      </c>
      <c r="K175">
        <v>99770</v>
      </c>
    </row>
    <row r="176" spans="2:11">
      <c r="B176" t="s">
        <v>179</v>
      </c>
      <c r="C176">
        <v>1942</v>
      </c>
      <c r="D176">
        <v>9195</v>
      </c>
      <c r="E176">
        <v>8312</v>
      </c>
      <c r="F176">
        <v>9424</v>
      </c>
      <c r="G176">
        <v>16243</v>
      </c>
      <c r="H176">
        <v>30678</v>
      </c>
      <c r="I176">
        <v>46718</v>
      </c>
      <c r="J176">
        <v>69853</v>
      </c>
      <c r="K176">
        <v>13035</v>
      </c>
    </row>
    <row r="177" spans="2:11">
      <c r="B177" t="s">
        <v>180</v>
      </c>
      <c r="C177">
        <v>-176</v>
      </c>
      <c r="D177">
        <v>-260</v>
      </c>
      <c r="E177">
        <v>-657</v>
      </c>
      <c r="F177">
        <v>-986</v>
      </c>
      <c r="G177">
        <v>-1199</v>
      </c>
      <c r="H177">
        <v>-1213</v>
      </c>
      <c r="I177">
        <v>-2121</v>
      </c>
      <c r="J177">
        <v>-7452</v>
      </c>
      <c r="K177">
        <v>-9402</v>
      </c>
    </row>
    <row r="178" spans="2:11">
      <c r="B178" t="s">
        <v>181</v>
      </c>
      <c r="C178">
        <v>0</v>
      </c>
      <c r="D178">
        <v>0</v>
      </c>
      <c r="E178">
        <v>0</v>
      </c>
      <c r="F178">
        <v>0</v>
      </c>
      <c r="G178">
        <v>-220</v>
      </c>
      <c r="H178">
        <v>0</v>
      </c>
      <c r="I178">
        <v>-638</v>
      </c>
      <c r="J178">
        <v>-244</v>
      </c>
      <c r="K178">
        <v>-350</v>
      </c>
    </row>
    <row r="179" spans="2:11">
      <c r="B179" t="s">
        <v>182</v>
      </c>
      <c r="C179">
        <v>0</v>
      </c>
      <c r="D179">
        <v>0</v>
      </c>
      <c r="E179">
        <v>-25</v>
      </c>
      <c r="F179">
        <v>-17</v>
      </c>
      <c r="G179">
        <v>-38</v>
      </c>
      <c r="H179">
        <v>-101</v>
      </c>
      <c r="I179">
        <v>-18</v>
      </c>
      <c r="J179">
        <v>0</v>
      </c>
      <c r="K179">
        <v>-151232</v>
      </c>
    </row>
    <row r="180" spans="2:11">
      <c r="B180" t="s">
        <v>183</v>
      </c>
      <c r="C180">
        <v>-3270</v>
      </c>
      <c r="D180">
        <v>-11470</v>
      </c>
      <c r="E180">
        <v>-7255</v>
      </c>
      <c r="F180">
        <v>-11719</v>
      </c>
      <c r="G180">
        <v>-22965</v>
      </c>
      <c r="H180">
        <v>-46724</v>
      </c>
      <c r="I180">
        <v>-57793</v>
      </c>
      <c r="J180">
        <v>-102317</v>
      </c>
      <c r="K180">
        <v>0</v>
      </c>
    </row>
    <row r="181" spans="2:11">
      <c r="B181" t="s">
        <v>184</v>
      </c>
      <c r="C181">
        <v>11</v>
      </c>
      <c r="D181">
        <v>-21</v>
      </c>
      <c r="E181">
        <v>-18</v>
      </c>
      <c r="F181">
        <v>49</v>
      </c>
      <c r="G181">
        <v>-10</v>
      </c>
      <c r="H181">
        <v>-74</v>
      </c>
      <c r="I181">
        <v>-2</v>
      </c>
      <c r="J181">
        <v>-259</v>
      </c>
      <c r="K181">
        <v>-48</v>
      </c>
    </row>
    <row r="182" spans="2:11">
      <c r="B182" t="s">
        <v>185</v>
      </c>
      <c r="C182">
        <v>0</v>
      </c>
      <c r="D182">
        <v>0</v>
      </c>
      <c r="E182">
        <v>0</v>
      </c>
      <c r="F182">
        <v>0</v>
      </c>
      <c r="G182">
        <v>0</v>
      </c>
      <c r="H182">
        <v>0</v>
      </c>
      <c r="I182">
        <v>0</v>
      </c>
      <c r="J182">
        <v>0</v>
      </c>
      <c r="K182">
        <v>0</v>
      </c>
    </row>
    <row r="183" spans="2:11">
      <c r="B183" t="s">
        <v>186</v>
      </c>
      <c r="C183">
        <v>-1488</v>
      </c>
      <c r="D183">
        <v>-2556</v>
      </c>
      <c r="E183">
        <v>357</v>
      </c>
      <c r="F183">
        <v>-3249</v>
      </c>
      <c r="G183">
        <v>-8189</v>
      </c>
      <c r="H183">
        <v>-17434</v>
      </c>
      <c r="I183">
        <v>-13854</v>
      </c>
      <c r="J183">
        <v>-40419</v>
      </c>
      <c r="K183">
        <v>-48227</v>
      </c>
    </row>
    <row r="184" spans="2:11">
      <c r="B184" t="s">
        <v>187</v>
      </c>
      <c r="C184">
        <v>0</v>
      </c>
      <c r="D184">
        <v>0</v>
      </c>
      <c r="E184">
        <v>0</v>
      </c>
      <c r="F184">
        <v>0</v>
      </c>
      <c r="G184">
        <v>0</v>
      </c>
      <c r="H184">
        <v>0</v>
      </c>
      <c r="I184">
        <v>0</v>
      </c>
      <c r="J184">
        <v>0</v>
      </c>
      <c r="K184">
        <v>0</v>
      </c>
    </row>
    <row r="185" spans="2:11">
      <c r="B185" t="s">
        <v>188</v>
      </c>
      <c r="C185">
        <v>427</v>
      </c>
      <c r="D185">
        <v>543</v>
      </c>
      <c r="E185">
        <v>318</v>
      </c>
      <c r="F185">
        <v>365</v>
      </c>
      <c r="G185">
        <v>483</v>
      </c>
      <c r="H185">
        <v>475</v>
      </c>
      <c r="I185">
        <v>912</v>
      </c>
      <c r="J185">
        <v>831</v>
      </c>
      <c r="K185">
        <v>665</v>
      </c>
    </row>
    <row r="186" spans="2:11">
      <c r="B186" t="s">
        <v>189</v>
      </c>
      <c r="C186">
        <v>-300</v>
      </c>
      <c r="D186">
        <v>0</v>
      </c>
      <c r="E186">
        <v>0</v>
      </c>
      <c r="F186">
        <v>0</v>
      </c>
      <c r="G186">
        <v>0</v>
      </c>
      <c r="H186">
        <v>0</v>
      </c>
      <c r="I186">
        <v>0</v>
      </c>
      <c r="J186">
        <v>0</v>
      </c>
      <c r="K186">
        <v>0</v>
      </c>
    </row>
    <row r="187" spans="2:11">
      <c r="B187" t="s">
        <v>190</v>
      </c>
      <c r="C187">
        <v>0</v>
      </c>
      <c r="D187">
        <v>0</v>
      </c>
      <c r="E187">
        <v>-355</v>
      </c>
      <c r="F187">
        <v>-3</v>
      </c>
      <c r="G187">
        <v>-124</v>
      </c>
      <c r="H187">
        <v>0</v>
      </c>
      <c r="I187">
        <v>0</v>
      </c>
      <c r="J187">
        <v>0</v>
      </c>
      <c r="K187">
        <v>0</v>
      </c>
    </row>
    <row r="188" spans="2:11">
      <c r="B188" t="s">
        <v>191</v>
      </c>
      <c r="C188">
        <v>0</v>
      </c>
      <c r="D188">
        <v>0</v>
      </c>
      <c r="E188">
        <v>0</v>
      </c>
      <c r="F188">
        <v>0</v>
      </c>
      <c r="G188">
        <v>0</v>
      </c>
      <c r="H188">
        <v>0</v>
      </c>
      <c r="I188">
        <v>0</v>
      </c>
      <c r="J188">
        <v>0</v>
      </c>
      <c r="K188">
        <v>-2488</v>
      </c>
    </row>
    <row r="189" spans="2:11">
      <c r="B189" t="s">
        <v>192</v>
      </c>
      <c r="C189">
        <v>0</v>
      </c>
      <c r="D189">
        <v>0</v>
      </c>
      <c r="E189">
        <v>361</v>
      </c>
      <c r="F189">
        <v>377</v>
      </c>
      <c r="G189">
        <v>757</v>
      </c>
      <c r="H189">
        <v>188</v>
      </c>
      <c r="I189">
        <v>345</v>
      </c>
      <c r="J189">
        <v>613</v>
      </c>
      <c r="K189">
        <v>125</v>
      </c>
    </row>
    <row r="190" spans="2:11">
      <c r="B190" t="s">
        <v>193</v>
      </c>
      <c r="C190">
        <v>0</v>
      </c>
      <c r="D190">
        <v>0</v>
      </c>
      <c r="E190">
        <v>0</v>
      </c>
      <c r="F190">
        <v>0</v>
      </c>
      <c r="G190">
        <v>0</v>
      </c>
      <c r="H190">
        <v>0</v>
      </c>
      <c r="I190">
        <v>0</v>
      </c>
      <c r="J190">
        <v>0</v>
      </c>
      <c r="K190">
        <v>0</v>
      </c>
    </row>
    <row r="191" spans="2:11">
      <c r="B191" t="s">
        <v>194</v>
      </c>
      <c r="C191">
        <v>127</v>
      </c>
      <c r="D191">
        <v>543</v>
      </c>
      <c r="E191">
        <v>324</v>
      </c>
      <c r="F191">
        <v>739</v>
      </c>
      <c r="G191">
        <v>1116</v>
      </c>
      <c r="H191">
        <v>663</v>
      </c>
      <c r="I191">
        <v>1257</v>
      </c>
      <c r="J191">
        <v>1444</v>
      </c>
      <c r="K191">
        <v>-1698</v>
      </c>
    </row>
    <row r="192" spans="2:11">
      <c r="B192" t="s">
        <v>195</v>
      </c>
      <c r="C192">
        <v>0</v>
      </c>
      <c r="D192">
        <v>0</v>
      </c>
      <c r="E192">
        <v>0</v>
      </c>
      <c r="F192">
        <v>0</v>
      </c>
      <c r="G192">
        <v>0</v>
      </c>
      <c r="H192">
        <v>0</v>
      </c>
      <c r="I192">
        <v>0</v>
      </c>
      <c r="J192">
        <v>0</v>
      </c>
      <c r="K192">
        <v>0</v>
      </c>
    </row>
    <row r="193" spans="2:11">
      <c r="B193" t="s">
        <v>196</v>
      </c>
      <c r="C193">
        <v>-427</v>
      </c>
      <c r="D193">
        <v>522</v>
      </c>
      <c r="E193">
        <v>2901</v>
      </c>
      <c r="F193">
        <v>2960</v>
      </c>
      <c r="G193">
        <v>2523</v>
      </c>
      <c r="H193">
        <v>-6612</v>
      </c>
      <c r="I193">
        <v>5998</v>
      </c>
      <c r="J193">
        <v>-1446</v>
      </c>
      <c r="K193">
        <v>931</v>
      </c>
    </row>
    <row r="194" spans="2:11">
      <c r="B194" t="s">
        <v>197</v>
      </c>
      <c r="C194">
        <v>3396</v>
      </c>
      <c r="D194">
        <v>2969</v>
      </c>
      <c r="E194">
        <v>3491</v>
      </c>
      <c r="F194">
        <v>6392</v>
      </c>
      <c r="G194">
        <v>9352</v>
      </c>
      <c r="H194">
        <v>11875</v>
      </c>
      <c r="I194">
        <v>5263</v>
      </c>
      <c r="J194">
        <v>11261</v>
      </c>
      <c r="K194">
        <v>9815</v>
      </c>
    </row>
    <row r="195" spans="2:11">
      <c r="B195" t="s">
        <v>198</v>
      </c>
      <c r="C195">
        <v>2969</v>
      </c>
      <c r="D195">
        <v>3491</v>
      </c>
      <c r="E195">
        <v>6392</v>
      </c>
      <c r="F195">
        <v>9352</v>
      </c>
      <c r="G195">
        <v>11875</v>
      </c>
      <c r="H195">
        <v>5263</v>
      </c>
      <c r="I195">
        <v>11261</v>
      </c>
      <c r="J195">
        <v>9815</v>
      </c>
      <c r="K195">
        <v>10746</v>
      </c>
    </row>
    <row r="196" spans="2:11">
      <c r="B196" t="s">
        <v>199</v>
      </c>
      <c r="C196">
        <v>4260</v>
      </c>
      <c r="D196">
        <v>5737</v>
      </c>
      <c r="E196">
        <v>7829</v>
      </c>
      <c r="F196">
        <v>9878</v>
      </c>
      <c r="G196">
        <v>14010</v>
      </c>
      <c r="H196">
        <v>14089</v>
      </c>
      <c r="I196">
        <v>30929</v>
      </c>
      <c r="J196">
        <v>55807</v>
      </c>
      <c r="K196">
        <v>80168</v>
      </c>
    </row>
    <row r="197" spans="2:11">
      <c r="B197" t="s">
        <v>200</v>
      </c>
      <c r="C197">
        <v>4019</v>
      </c>
      <c r="D197">
        <v>8194</v>
      </c>
      <c r="E197">
        <v>11486</v>
      </c>
      <c r="F197">
        <v>14128</v>
      </c>
      <c r="G197">
        <v>18469</v>
      </c>
      <c r="H197">
        <v>18887</v>
      </c>
      <c r="I197">
        <v>24498</v>
      </c>
      <c r="J197">
        <v>38315</v>
      </c>
      <c r="K197">
        <v>57512</v>
      </c>
    </row>
    <row r="198" spans="2:11">
      <c r="B198" t="s">
        <v>201</v>
      </c>
      <c r="C198" t="s">
        <v>477</v>
      </c>
      <c r="D198" t="s">
        <v>477</v>
      </c>
      <c r="E198" t="s">
        <v>477</v>
      </c>
      <c r="F198" t="s">
        <v>477</v>
      </c>
      <c r="G198" t="s">
        <v>477</v>
      </c>
      <c r="H198" t="s">
        <v>476</v>
      </c>
      <c r="I198" t="s">
        <v>476</v>
      </c>
      <c r="J198" t="s">
        <v>476</v>
      </c>
      <c r="K198" t="s">
        <v>476</v>
      </c>
    </row>
    <row r="199" spans="2:11">
      <c r="B199" t="s">
        <v>202</v>
      </c>
      <c r="C199" t="s">
        <v>203</v>
      </c>
      <c r="D199" t="s">
        <v>203</v>
      </c>
      <c r="E199" t="s">
        <v>203</v>
      </c>
      <c r="F199" t="s">
        <v>203</v>
      </c>
      <c r="G199" t="s">
        <v>203</v>
      </c>
      <c r="H199" t="s">
        <v>203</v>
      </c>
      <c r="I199" t="s">
        <v>203</v>
      </c>
      <c r="J199" t="s">
        <v>203</v>
      </c>
      <c r="K199" t="s">
        <v>203</v>
      </c>
    </row>
    <row r="200" spans="2:11">
      <c r="B200" t="s">
        <v>204</v>
      </c>
      <c r="C200">
        <v>53.8</v>
      </c>
      <c r="D200">
        <v>34.4</v>
      </c>
      <c r="E200">
        <v>33.9</v>
      </c>
      <c r="F200">
        <v>39.1</v>
      </c>
      <c r="G200">
        <v>21.2</v>
      </c>
      <c r="H200">
        <v>20.399999999999999</v>
      </c>
      <c r="I200">
        <v>18.7</v>
      </c>
      <c r="J200">
        <v>13.8</v>
      </c>
      <c r="K200">
        <v>15.1</v>
      </c>
    </row>
    <row r="201" spans="2:11">
      <c r="B201" t="s">
        <v>205</v>
      </c>
      <c r="C201">
        <v>54.5</v>
      </c>
      <c r="D201">
        <v>35</v>
      </c>
      <c r="E201">
        <v>38.1</v>
      </c>
      <c r="F201">
        <v>39.4</v>
      </c>
      <c r="G201">
        <v>37.9</v>
      </c>
      <c r="H201">
        <v>20.8</v>
      </c>
      <c r="I201">
        <v>19.5</v>
      </c>
      <c r="J201">
        <v>15.3</v>
      </c>
      <c r="K201">
        <v>16</v>
      </c>
    </row>
    <row r="202" spans="2:11">
      <c r="B202" t="s">
        <v>206</v>
      </c>
      <c r="C202">
        <v>27.2</v>
      </c>
      <c r="D202">
        <v>12.1</v>
      </c>
      <c r="E202">
        <v>21.1</v>
      </c>
      <c r="F202">
        <v>18.5</v>
      </c>
      <c r="G202">
        <v>18.8</v>
      </c>
      <c r="H202">
        <v>8.6</v>
      </c>
      <c r="I202">
        <v>11.9</v>
      </c>
      <c r="J202">
        <v>10</v>
      </c>
      <c r="K202">
        <v>8</v>
      </c>
    </row>
    <row r="203" spans="2:11">
      <c r="B203" t="s">
        <v>207</v>
      </c>
      <c r="C203">
        <v>29.1</v>
      </c>
      <c r="D203">
        <v>30.3</v>
      </c>
      <c r="E203">
        <v>30.1</v>
      </c>
      <c r="F203">
        <v>35.299999999999997</v>
      </c>
      <c r="G203">
        <v>35.799999999999997</v>
      </c>
      <c r="H203">
        <v>41.9</v>
      </c>
      <c r="I203">
        <v>41</v>
      </c>
      <c r="J203">
        <v>42.2</v>
      </c>
      <c r="K203">
        <v>46</v>
      </c>
    </row>
    <row r="204" spans="2:11">
      <c r="B204" t="s">
        <v>208</v>
      </c>
      <c r="C204">
        <v>4.5999999999999996</v>
      </c>
      <c r="D204">
        <v>13</v>
      </c>
      <c r="E204">
        <v>14.6</v>
      </c>
      <c r="F204">
        <v>20.9</v>
      </c>
      <c r="G204">
        <v>21.2</v>
      </c>
      <c r="H204">
        <v>28.1</v>
      </c>
      <c r="I204">
        <v>28.4</v>
      </c>
      <c r="J204">
        <v>31.6</v>
      </c>
      <c r="K204">
        <v>35.6</v>
      </c>
    </row>
    <row r="205" spans="2:11">
      <c r="B205" t="s">
        <v>209</v>
      </c>
      <c r="C205">
        <v>3.3</v>
      </c>
      <c r="D205">
        <v>9.6</v>
      </c>
      <c r="E205">
        <v>10.3</v>
      </c>
      <c r="F205">
        <v>14.6</v>
      </c>
      <c r="G205">
        <v>14.9</v>
      </c>
      <c r="H205">
        <v>19.2</v>
      </c>
      <c r="I205">
        <v>21.5</v>
      </c>
      <c r="J205">
        <v>23.9</v>
      </c>
      <c r="K205">
        <v>26.7</v>
      </c>
    </row>
    <row r="206" spans="2:11">
      <c r="B206" t="s">
        <v>210</v>
      </c>
      <c r="C206">
        <v>3.3</v>
      </c>
      <c r="D206">
        <v>9.6</v>
      </c>
      <c r="E206">
        <v>10.3</v>
      </c>
      <c r="F206">
        <v>14.6</v>
      </c>
      <c r="G206">
        <v>14.9</v>
      </c>
      <c r="H206">
        <v>19.2</v>
      </c>
      <c r="I206">
        <v>21.5</v>
      </c>
      <c r="J206">
        <v>23.9</v>
      </c>
      <c r="K206">
        <v>26.7</v>
      </c>
    </row>
    <row r="207" spans="2:11">
      <c r="B207" t="s">
        <v>211</v>
      </c>
      <c r="C207">
        <v>0</v>
      </c>
      <c r="D207">
        <v>0</v>
      </c>
      <c r="E207">
        <v>0</v>
      </c>
      <c r="F207">
        <v>0</v>
      </c>
      <c r="G207">
        <v>0</v>
      </c>
      <c r="H207">
        <v>0</v>
      </c>
      <c r="I207">
        <v>0</v>
      </c>
      <c r="J207">
        <v>0</v>
      </c>
      <c r="K207">
        <v>0</v>
      </c>
    </row>
    <row r="208" spans="2:11">
      <c r="B208" t="s">
        <v>212</v>
      </c>
      <c r="C208">
        <v>0</v>
      </c>
      <c r="D208">
        <v>0</v>
      </c>
      <c r="E208">
        <v>0</v>
      </c>
      <c r="F208">
        <v>0</v>
      </c>
      <c r="G208">
        <v>0</v>
      </c>
      <c r="H208">
        <v>0</v>
      </c>
      <c r="I208">
        <v>0</v>
      </c>
      <c r="J208">
        <v>0</v>
      </c>
      <c r="K208">
        <v>0</v>
      </c>
    </row>
    <row r="209" spans="2:11">
      <c r="B209" t="s">
        <v>213</v>
      </c>
      <c r="C209">
        <v>27.9</v>
      </c>
      <c r="D209">
        <v>26.4</v>
      </c>
      <c r="E209">
        <v>29.4</v>
      </c>
      <c r="F209">
        <v>30.2</v>
      </c>
      <c r="G209">
        <v>29.9</v>
      </c>
      <c r="H209">
        <v>31.8</v>
      </c>
      <c r="I209">
        <v>24.4</v>
      </c>
      <c r="J209">
        <v>24.2</v>
      </c>
      <c r="K209">
        <v>25.2</v>
      </c>
    </row>
    <row r="210" spans="2:11">
      <c r="B210" t="s">
        <v>214</v>
      </c>
      <c r="C210">
        <v>23600</v>
      </c>
      <c r="D210">
        <v>90203</v>
      </c>
      <c r="E210">
        <v>111823</v>
      </c>
      <c r="F210">
        <v>161852</v>
      </c>
      <c r="G210">
        <v>151063</v>
      </c>
      <c r="H210">
        <v>223777</v>
      </c>
      <c r="I210">
        <v>283664</v>
      </c>
      <c r="J210">
        <v>409510</v>
      </c>
      <c r="K210">
        <v>573255</v>
      </c>
    </row>
    <row r="211" spans="2:11">
      <c r="B211" t="s">
        <v>215</v>
      </c>
      <c r="C211">
        <v>51</v>
      </c>
      <c r="D211">
        <v>34.4</v>
      </c>
      <c r="E211">
        <v>33.9</v>
      </c>
      <c r="F211">
        <v>39.1</v>
      </c>
      <c r="G211">
        <v>21.2</v>
      </c>
      <c r="H211">
        <v>20.399999999999999</v>
      </c>
      <c r="I211">
        <v>18.7</v>
      </c>
      <c r="J211">
        <v>13.8</v>
      </c>
      <c r="K211">
        <v>15.1</v>
      </c>
    </row>
    <row r="212" spans="2:11">
      <c r="B212" t="s">
        <v>216</v>
      </c>
      <c r="C212">
        <v>51.7</v>
      </c>
      <c r="D212">
        <v>35</v>
      </c>
      <c r="E212">
        <v>38.1</v>
      </c>
      <c r="F212">
        <v>39.4</v>
      </c>
      <c r="G212">
        <v>37.9</v>
      </c>
      <c r="H212">
        <v>20.8</v>
      </c>
      <c r="I212">
        <v>19.5</v>
      </c>
      <c r="J212">
        <v>15.3</v>
      </c>
      <c r="K212">
        <v>16</v>
      </c>
    </row>
    <row r="213" spans="2:11">
      <c r="B213" t="s">
        <v>217</v>
      </c>
      <c r="C213">
        <v>25.8</v>
      </c>
      <c r="D213">
        <v>12.1</v>
      </c>
      <c r="E213">
        <v>21.1</v>
      </c>
      <c r="F213">
        <v>18.5</v>
      </c>
      <c r="G213">
        <v>18.8</v>
      </c>
      <c r="H213">
        <v>8.6</v>
      </c>
      <c r="I213">
        <v>11.9</v>
      </c>
      <c r="J213">
        <v>10</v>
      </c>
      <c r="K213">
        <v>8</v>
      </c>
    </row>
    <row r="214" spans="2:11">
      <c r="B214" t="s">
        <v>218</v>
      </c>
      <c r="C214">
        <v>3.6</v>
      </c>
      <c r="D214">
        <v>9.6</v>
      </c>
      <c r="E214">
        <v>10.3</v>
      </c>
      <c r="F214">
        <v>14.6</v>
      </c>
      <c r="G214">
        <v>14.9</v>
      </c>
      <c r="H214">
        <v>19.2</v>
      </c>
      <c r="I214">
        <v>21.5</v>
      </c>
      <c r="J214">
        <v>23.9</v>
      </c>
      <c r="K214">
        <v>26.7</v>
      </c>
    </row>
    <row r="215" spans="2:11">
      <c r="B215" t="s">
        <v>219</v>
      </c>
      <c r="C215">
        <v>5.9</v>
      </c>
      <c r="D215">
        <v>17.899999999999999</v>
      </c>
      <c r="E215">
        <v>19.899999999999999</v>
      </c>
      <c r="F215">
        <v>24.1</v>
      </c>
      <c r="G215">
        <v>23</v>
      </c>
      <c r="H215">
        <v>26</v>
      </c>
      <c r="I215">
        <v>29.3</v>
      </c>
      <c r="J215">
        <v>33.799999999999997</v>
      </c>
      <c r="K215">
        <v>35.299999999999997</v>
      </c>
    </row>
    <row r="216" spans="2:11">
      <c r="B216" t="s">
        <v>220</v>
      </c>
      <c r="C216">
        <v>3.7</v>
      </c>
      <c r="D216">
        <v>11.6</v>
      </c>
      <c r="E216">
        <v>11.6</v>
      </c>
      <c r="F216">
        <v>13.8</v>
      </c>
      <c r="G216">
        <v>12.2</v>
      </c>
      <c r="H216">
        <v>17.3</v>
      </c>
      <c r="I216">
        <v>18.600000000000001</v>
      </c>
      <c r="J216">
        <v>22.3</v>
      </c>
      <c r="K216">
        <v>23.7</v>
      </c>
    </row>
    <row r="217" spans="2:11">
      <c r="B217" t="s">
        <v>221</v>
      </c>
      <c r="C217">
        <v>5.9</v>
      </c>
      <c r="D217">
        <v>17.899999999999999</v>
      </c>
      <c r="E217">
        <v>19.899999999999999</v>
      </c>
      <c r="F217">
        <v>24.1</v>
      </c>
      <c r="G217">
        <v>23</v>
      </c>
      <c r="H217">
        <v>26</v>
      </c>
      <c r="I217">
        <v>29.3</v>
      </c>
      <c r="J217">
        <v>33.799999999999997</v>
      </c>
      <c r="K217">
        <v>35.299999999999997</v>
      </c>
    </row>
    <row r="218" spans="2:11">
      <c r="B218" t="s">
        <v>222</v>
      </c>
      <c r="C218">
        <v>25566</v>
      </c>
      <c r="D218">
        <v>90203</v>
      </c>
      <c r="E218">
        <v>111823</v>
      </c>
      <c r="F218">
        <v>161852</v>
      </c>
      <c r="G218">
        <v>151063</v>
      </c>
      <c r="H218">
        <v>223777</v>
      </c>
      <c r="I218">
        <v>283664</v>
      </c>
      <c r="J218">
        <v>409510</v>
      </c>
      <c r="K218">
        <v>573255</v>
      </c>
    </row>
    <row r="219" spans="2:11">
      <c r="B219" t="s">
        <v>223</v>
      </c>
      <c r="C219">
        <v>2.2999999999999998</v>
      </c>
      <c r="D219">
        <v>2.6</v>
      </c>
      <c r="E219">
        <v>1.8</v>
      </c>
      <c r="F219">
        <v>2.1</v>
      </c>
      <c r="G219">
        <v>2.1</v>
      </c>
      <c r="H219">
        <v>2.5</v>
      </c>
      <c r="I219">
        <v>1.7</v>
      </c>
      <c r="J219">
        <v>1.3</v>
      </c>
      <c r="K219">
        <v>1.2</v>
      </c>
    </row>
    <row r="220" spans="2:11">
      <c r="B220" t="s">
        <v>224</v>
      </c>
      <c r="C220">
        <v>2.6</v>
      </c>
      <c r="D220">
        <v>3</v>
      </c>
      <c r="E220">
        <v>2.2000000000000002</v>
      </c>
      <c r="F220">
        <v>2.4</v>
      </c>
      <c r="G220">
        <v>2.5</v>
      </c>
      <c r="H220">
        <v>2.7</v>
      </c>
      <c r="I220">
        <v>2</v>
      </c>
      <c r="J220">
        <v>1.6</v>
      </c>
      <c r="K220">
        <v>1.5</v>
      </c>
    </row>
    <row r="221" spans="2:11">
      <c r="B221" t="s">
        <v>225</v>
      </c>
      <c r="H221">
        <v>6</v>
      </c>
    </row>
    <row r="222" spans="2:11">
      <c r="B222" t="s">
        <v>226</v>
      </c>
      <c r="C222">
        <v>0</v>
      </c>
      <c r="D222">
        <v>0</v>
      </c>
      <c r="E222">
        <v>0</v>
      </c>
      <c r="F222">
        <v>0</v>
      </c>
      <c r="G222">
        <v>0</v>
      </c>
      <c r="H222">
        <v>0</v>
      </c>
      <c r="I222">
        <v>0</v>
      </c>
      <c r="J222">
        <v>0</v>
      </c>
      <c r="K222">
        <v>0</v>
      </c>
    </row>
    <row r="223" spans="2:11">
      <c r="B223" t="s">
        <v>227</v>
      </c>
      <c r="C223">
        <v>0</v>
      </c>
      <c r="D223">
        <v>0</v>
      </c>
      <c r="E223">
        <v>0</v>
      </c>
      <c r="F223">
        <v>0</v>
      </c>
      <c r="G223">
        <v>0</v>
      </c>
      <c r="H223">
        <v>0</v>
      </c>
      <c r="I223">
        <v>0</v>
      </c>
      <c r="J223">
        <v>0</v>
      </c>
      <c r="K223">
        <v>0</v>
      </c>
    </row>
    <row r="224" spans="2:11">
      <c r="B224" t="s">
        <v>228</v>
      </c>
      <c r="C224">
        <v>1.6</v>
      </c>
      <c r="D224">
        <v>1.5</v>
      </c>
      <c r="E224">
        <v>1.7</v>
      </c>
      <c r="F224">
        <v>1.7</v>
      </c>
      <c r="G224">
        <v>1.9</v>
      </c>
      <c r="H224">
        <v>1.5</v>
      </c>
      <c r="I224">
        <v>1.6</v>
      </c>
      <c r="J224">
        <v>1.5</v>
      </c>
      <c r="K224">
        <v>1.5</v>
      </c>
    </row>
    <row r="225" spans="2:11">
      <c r="B225" t="s">
        <v>229</v>
      </c>
      <c r="C225">
        <v>1.1000000000000001</v>
      </c>
      <c r="D225">
        <v>1.4</v>
      </c>
      <c r="E225">
        <v>1.3</v>
      </c>
      <c r="F225">
        <v>1.1000000000000001</v>
      </c>
      <c r="G225">
        <v>1</v>
      </c>
      <c r="H225">
        <v>1</v>
      </c>
      <c r="I225">
        <v>1.1000000000000001</v>
      </c>
      <c r="J225">
        <v>1.1000000000000001</v>
      </c>
      <c r="K225">
        <v>1.1000000000000001</v>
      </c>
    </row>
    <row r="226" spans="2:11">
      <c r="B226" t="s">
        <v>230</v>
      </c>
      <c r="C226">
        <v>35.9</v>
      </c>
      <c r="D226">
        <v>25.1</v>
      </c>
      <c r="E226">
        <v>33.1</v>
      </c>
      <c r="F226">
        <v>39</v>
      </c>
      <c r="G226">
        <v>36.6</v>
      </c>
      <c r="H226">
        <v>12.3</v>
      </c>
      <c r="I226">
        <v>17.3</v>
      </c>
      <c r="J226">
        <v>9.1</v>
      </c>
      <c r="K226">
        <v>6.9</v>
      </c>
    </row>
    <row r="227" spans="2:11">
      <c r="B227" t="s">
        <v>231</v>
      </c>
      <c r="C227">
        <v>9.3000000000000007</v>
      </c>
      <c r="D227">
        <v>6.4</v>
      </c>
      <c r="E227">
        <v>6.5</v>
      </c>
      <c r="F227">
        <v>16.8</v>
      </c>
      <c r="G227">
        <v>14.5</v>
      </c>
      <c r="H227">
        <v>11.8</v>
      </c>
      <c r="I227">
        <v>15.2</v>
      </c>
      <c r="J227">
        <v>10.8</v>
      </c>
      <c r="K227">
        <v>11.9</v>
      </c>
    </row>
    <row r="228" spans="2:11">
      <c r="B228" t="s">
        <v>232</v>
      </c>
      <c r="C228">
        <v>17.2</v>
      </c>
      <c r="D228">
        <v>13.3</v>
      </c>
      <c r="E228">
        <v>12.6</v>
      </c>
      <c r="F228">
        <v>12.3</v>
      </c>
      <c r="G228">
        <v>11.6</v>
      </c>
      <c r="H228">
        <v>9.6999999999999993</v>
      </c>
      <c r="I228">
        <v>8.5</v>
      </c>
      <c r="J228">
        <v>7</v>
      </c>
      <c r="K228">
        <v>6.4</v>
      </c>
    </row>
    <row r="229" spans="2:11">
      <c r="B229" t="s">
        <v>233</v>
      </c>
      <c r="C229">
        <v>5.9</v>
      </c>
      <c r="D229">
        <v>3.8</v>
      </c>
      <c r="E229">
        <v>3.7</v>
      </c>
      <c r="F229">
        <v>3.3</v>
      </c>
      <c r="G229">
        <v>3.4</v>
      </c>
      <c r="H229">
        <v>3.1</v>
      </c>
      <c r="I229">
        <v>2.7</v>
      </c>
      <c r="J229">
        <v>2.2000000000000002</v>
      </c>
      <c r="K229">
        <v>2.2000000000000002</v>
      </c>
    </row>
    <row r="230" spans="2:11">
      <c r="B230" t="s">
        <v>234</v>
      </c>
      <c r="C230">
        <v>2.79</v>
      </c>
      <c r="D230">
        <v>3.99</v>
      </c>
      <c r="E230">
        <v>3.02</v>
      </c>
      <c r="F230">
        <v>2.57</v>
      </c>
      <c r="G230">
        <v>2.74</v>
      </c>
      <c r="H230">
        <v>8.15</v>
      </c>
      <c r="I230">
        <v>5.79</v>
      </c>
      <c r="J230">
        <v>11.03</v>
      </c>
      <c r="K230">
        <v>14.56</v>
      </c>
    </row>
    <row r="231" spans="2:11">
      <c r="B231" t="s">
        <v>235</v>
      </c>
      <c r="C231">
        <v>11.71</v>
      </c>
      <c r="D231">
        <v>17.05</v>
      </c>
      <c r="E231">
        <v>15.08</v>
      </c>
      <c r="F231">
        <v>13.1</v>
      </c>
      <c r="G231">
        <v>13.23</v>
      </c>
      <c r="H231">
        <v>14.52</v>
      </c>
      <c r="I231">
        <v>13.68</v>
      </c>
      <c r="J231">
        <v>13.92</v>
      </c>
      <c r="K231">
        <v>10.130000000000001</v>
      </c>
    </row>
    <row r="232" spans="2:11">
      <c r="B232" t="s">
        <v>236</v>
      </c>
      <c r="C232">
        <v>1.63</v>
      </c>
      <c r="D232">
        <v>1.87</v>
      </c>
      <c r="E232">
        <v>1.93</v>
      </c>
      <c r="F232">
        <v>1.65</v>
      </c>
      <c r="G232">
        <v>1.54</v>
      </c>
      <c r="H232">
        <v>1.36</v>
      </c>
      <c r="I232">
        <v>1.36</v>
      </c>
      <c r="J232">
        <v>1.41</v>
      </c>
      <c r="K232">
        <v>1.32</v>
      </c>
    </row>
    <row r="233" spans="2:11">
      <c r="B233" t="s">
        <v>237</v>
      </c>
      <c r="C233">
        <v>1.63</v>
      </c>
      <c r="D233">
        <v>1.87</v>
      </c>
      <c r="E233">
        <v>1.93</v>
      </c>
      <c r="F233">
        <v>1.65</v>
      </c>
      <c r="G233">
        <v>1.54</v>
      </c>
      <c r="H233">
        <v>1.36</v>
      </c>
      <c r="I233">
        <v>1.36</v>
      </c>
      <c r="J233">
        <v>1.41</v>
      </c>
      <c r="K233">
        <v>1.32</v>
      </c>
    </row>
    <row r="234" spans="2:11">
      <c r="B234" t="s">
        <v>238</v>
      </c>
      <c r="C234">
        <v>10.8</v>
      </c>
      <c r="D234">
        <v>16.7</v>
      </c>
      <c r="E234">
        <v>18</v>
      </c>
      <c r="F234">
        <v>9.1</v>
      </c>
      <c r="G234">
        <v>7.4</v>
      </c>
      <c r="H234">
        <v>8.8000000000000007</v>
      </c>
      <c r="I234">
        <v>8.6999999999999993</v>
      </c>
      <c r="J234">
        <v>10</v>
      </c>
      <c r="K234">
        <v>10.3</v>
      </c>
    </row>
    <row r="235" spans="2:11">
      <c r="B235" t="s">
        <v>239</v>
      </c>
      <c r="C235">
        <v>74.8</v>
      </c>
      <c r="D235">
        <v>73</v>
      </c>
      <c r="E235">
        <v>62</v>
      </c>
      <c r="F235">
        <v>50.4</v>
      </c>
      <c r="G235">
        <v>48.8</v>
      </c>
      <c r="H235">
        <v>51.8</v>
      </c>
      <c r="I235">
        <v>51.1</v>
      </c>
      <c r="J235">
        <v>68.5</v>
      </c>
      <c r="K235">
        <v>107.9</v>
      </c>
    </row>
    <row r="236" spans="2:11">
      <c r="B236" t="s">
        <v>240</v>
      </c>
      <c r="C236">
        <v>33.659999999999997</v>
      </c>
      <c r="D236">
        <v>23.13</v>
      </c>
      <c r="E236">
        <v>23.34</v>
      </c>
      <c r="F236">
        <v>60.42</v>
      </c>
      <c r="G236">
        <v>52.14</v>
      </c>
      <c r="H236">
        <v>42.43</v>
      </c>
      <c r="I236">
        <v>54.77</v>
      </c>
      <c r="J236">
        <v>38.97</v>
      </c>
      <c r="K236">
        <v>43</v>
      </c>
    </row>
    <row r="237" spans="2:11">
      <c r="B237" t="s">
        <v>241</v>
      </c>
      <c r="C237">
        <v>10.7</v>
      </c>
      <c r="D237">
        <v>15.57</v>
      </c>
      <c r="E237">
        <v>15.43</v>
      </c>
      <c r="F237">
        <v>5.96</v>
      </c>
      <c r="G237">
        <v>6.9</v>
      </c>
      <c r="H237">
        <v>8.48</v>
      </c>
      <c r="I237">
        <v>6.57</v>
      </c>
      <c r="J237">
        <v>9.24</v>
      </c>
      <c r="K237">
        <v>8.3699999999999992</v>
      </c>
    </row>
    <row r="238" spans="2:11">
      <c r="B238" t="s">
        <v>242</v>
      </c>
      <c r="C238">
        <v>81.97</v>
      </c>
      <c r="D238">
        <v>84.43</v>
      </c>
      <c r="E238">
        <v>71.540000000000006</v>
      </c>
      <c r="F238">
        <v>69.38</v>
      </c>
      <c r="G238">
        <v>63.81</v>
      </c>
      <c r="H238">
        <v>94.3</v>
      </c>
      <c r="I238">
        <v>62.06</v>
      </c>
      <c r="J238">
        <v>139.5</v>
      </c>
      <c r="K238">
        <v>197.86</v>
      </c>
    </row>
    <row r="239" spans="2:11">
      <c r="B239" t="s">
        <v>243</v>
      </c>
      <c r="C239">
        <v>1</v>
      </c>
      <c r="D239">
        <v>1.2</v>
      </c>
      <c r="E239">
        <v>1.1000000000000001</v>
      </c>
      <c r="F239">
        <v>0.9</v>
      </c>
      <c r="G239">
        <v>0.8</v>
      </c>
      <c r="H239">
        <v>0.9</v>
      </c>
      <c r="I239">
        <v>0.9</v>
      </c>
      <c r="J239">
        <v>0.9</v>
      </c>
      <c r="K239">
        <v>0.9</v>
      </c>
    </row>
    <row r="240" spans="2:11">
      <c r="B240" t="s">
        <v>244</v>
      </c>
      <c r="C240">
        <v>5</v>
      </c>
      <c r="D240">
        <v>5</v>
      </c>
      <c r="E240">
        <v>6</v>
      </c>
      <c r="F240">
        <v>7</v>
      </c>
      <c r="G240">
        <v>7</v>
      </c>
      <c r="H240">
        <v>7</v>
      </c>
      <c r="I240">
        <v>7</v>
      </c>
      <c r="J240">
        <v>5</v>
      </c>
      <c r="K240">
        <v>3</v>
      </c>
    </row>
    <row r="241" spans="2:11">
      <c r="B241" t="s">
        <v>245</v>
      </c>
      <c r="C241">
        <v>9.01</v>
      </c>
      <c r="D241">
        <v>12.34</v>
      </c>
      <c r="E241">
        <v>16.96</v>
      </c>
      <c r="F241">
        <v>25.17</v>
      </c>
      <c r="G241">
        <v>39.049999999999997</v>
      </c>
      <c r="H241">
        <v>35.07</v>
      </c>
      <c r="I241">
        <v>45.5</v>
      </c>
      <c r="J241">
        <v>48.41</v>
      </c>
      <c r="K241">
        <v>61.38</v>
      </c>
    </row>
    <row r="242" spans="2:11">
      <c r="B242" t="s">
        <v>246</v>
      </c>
      <c r="C242">
        <v>10.28</v>
      </c>
      <c r="D242">
        <v>13.83</v>
      </c>
      <c r="E242">
        <v>20.12</v>
      </c>
      <c r="F242">
        <v>29.06</v>
      </c>
      <c r="G242">
        <v>44.55</v>
      </c>
      <c r="H242">
        <v>52.79</v>
      </c>
      <c r="I242">
        <v>82.08</v>
      </c>
      <c r="J242">
        <v>125.23</v>
      </c>
      <c r="K242">
        <v>187.46</v>
      </c>
    </row>
    <row r="243" spans="2:11">
      <c r="B243" t="s">
        <v>247</v>
      </c>
      <c r="C243">
        <v>1.9</v>
      </c>
      <c r="D243">
        <v>1.3</v>
      </c>
      <c r="E243">
        <v>2</v>
      </c>
      <c r="F243">
        <v>2.9</v>
      </c>
      <c r="G243">
        <v>2.2999999999999998</v>
      </c>
      <c r="H243">
        <v>1.8</v>
      </c>
      <c r="I243">
        <v>2.2999999999999998</v>
      </c>
      <c r="J243">
        <v>5.8</v>
      </c>
      <c r="K243">
        <v>4.5</v>
      </c>
    </row>
    <row r="244" spans="2:11">
      <c r="B244" t="s">
        <v>248</v>
      </c>
      <c r="C244">
        <v>1.2</v>
      </c>
      <c r="D244">
        <v>1.2</v>
      </c>
      <c r="E244">
        <v>1.4</v>
      </c>
      <c r="F244">
        <v>1.4</v>
      </c>
      <c r="G244">
        <v>1.6</v>
      </c>
      <c r="H244">
        <v>1.1000000000000001</v>
      </c>
      <c r="I244">
        <v>1.6</v>
      </c>
      <c r="J244">
        <v>0.7</v>
      </c>
      <c r="K244">
        <v>0.5</v>
      </c>
    </row>
    <row r="245" spans="2:11">
      <c r="B245" t="s">
        <v>249</v>
      </c>
      <c r="C245">
        <v>0</v>
      </c>
      <c r="D245">
        <v>0</v>
      </c>
      <c r="E245">
        <v>0</v>
      </c>
      <c r="F245">
        <v>0</v>
      </c>
      <c r="G245">
        <v>0</v>
      </c>
      <c r="H245">
        <v>0</v>
      </c>
      <c r="I245">
        <v>0</v>
      </c>
      <c r="J245">
        <v>0</v>
      </c>
      <c r="K245">
        <v>0</v>
      </c>
    </row>
    <row r="246" spans="2:11">
      <c r="B246" t="s">
        <v>250</v>
      </c>
      <c r="C246">
        <v>3.42</v>
      </c>
      <c r="D246">
        <v>4.17</v>
      </c>
      <c r="E246">
        <v>7.57</v>
      </c>
      <c r="F246">
        <v>10.66</v>
      </c>
      <c r="G246">
        <v>15.86</v>
      </c>
      <c r="H246">
        <v>12.79</v>
      </c>
      <c r="I246">
        <v>22.62</v>
      </c>
      <c r="J246">
        <v>30.1</v>
      </c>
      <c r="K246">
        <v>41.04</v>
      </c>
    </row>
    <row r="247" spans="2:11">
      <c r="B247" t="s">
        <v>251</v>
      </c>
      <c r="C247">
        <v>3.79</v>
      </c>
      <c r="D247">
        <v>4.18</v>
      </c>
      <c r="E247">
        <v>7.47</v>
      </c>
      <c r="F247">
        <v>10.72</v>
      </c>
      <c r="G247">
        <v>13.37</v>
      </c>
      <c r="H247">
        <v>5.85</v>
      </c>
      <c r="I247">
        <v>12.29</v>
      </c>
      <c r="J247">
        <v>10.56</v>
      </c>
      <c r="K247">
        <v>11.44</v>
      </c>
    </row>
    <row r="248" spans="2:11">
      <c r="B248" t="s">
        <v>252</v>
      </c>
      <c r="C248">
        <v>0</v>
      </c>
      <c r="D248">
        <v>0</v>
      </c>
      <c r="E248">
        <v>0</v>
      </c>
      <c r="F248">
        <v>0</v>
      </c>
      <c r="G248">
        <v>0</v>
      </c>
      <c r="H248">
        <v>0</v>
      </c>
      <c r="I248">
        <v>0</v>
      </c>
      <c r="J248">
        <v>0</v>
      </c>
      <c r="K248">
        <v>0</v>
      </c>
    </row>
    <row r="249" spans="2:11">
      <c r="B249" t="s">
        <v>253</v>
      </c>
      <c r="C249">
        <v>0</v>
      </c>
      <c r="D249">
        <v>0</v>
      </c>
      <c r="E249">
        <v>0</v>
      </c>
      <c r="F249">
        <v>0</v>
      </c>
      <c r="G249">
        <v>0</v>
      </c>
      <c r="H249">
        <v>0</v>
      </c>
      <c r="I249">
        <v>0</v>
      </c>
      <c r="J249">
        <v>0</v>
      </c>
      <c r="K249">
        <v>0</v>
      </c>
    </row>
    <row r="250" spans="2:11">
      <c r="B250" t="s">
        <v>254</v>
      </c>
      <c r="C250">
        <v>0</v>
      </c>
      <c r="D250">
        <v>0</v>
      </c>
      <c r="E250">
        <v>0</v>
      </c>
      <c r="F250">
        <v>0</v>
      </c>
      <c r="G250">
        <v>0</v>
      </c>
      <c r="H250">
        <v>0</v>
      </c>
      <c r="I250">
        <v>0</v>
      </c>
      <c r="J250">
        <v>0</v>
      </c>
      <c r="K250">
        <v>0</v>
      </c>
    </row>
    <row r="251" spans="2:11">
      <c r="B251" t="s">
        <v>255</v>
      </c>
      <c r="C251">
        <v>36.9</v>
      </c>
      <c r="D251">
        <v>35.4</v>
      </c>
      <c r="E251">
        <v>42</v>
      </c>
      <c r="F251">
        <v>42.7</v>
      </c>
      <c r="G251">
        <v>46.9</v>
      </c>
      <c r="H251">
        <v>33.4</v>
      </c>
      <c r="I251">
        <v>36.4</v>
      </c>
      <c r="J251">
        <v>34.200000000000003</v>
      </c>
      <c r="K251">
        <v>32.9</v>
      </c>
    </row>
    <row r="252" spans="2:11">
      <c r="B252" t="s">
        <v>256</v>
      </c>
      <c r="C252">
        <v>86.2</v>
      </c>
      <c r="D252">
        <v>91.3</v>
      </c>
      <c r="E252">
        <v>80.5</v>
      </c>
      <c r="F252">
        <v>87.1</v>
      </c>
      <c r="G252">
        <v>97.9</v>
      </c>
      <c r="H252">
        <v>63.4</v>
      </c>
      <c r="I252">
        <v>43.8</v>
      </c>
      <c r="J252">
        <v>22.2</v>
      </c>
      <c r="K252">
        <v>16.2</v>
      </c>
    </row>
    <row r="253" spans="2:11">
      <c r="B253" t="s">
        <v>257</v>
      </c>
      <c r="C253">
        <v>10.57</v>
      </c>
      <c r="D253">
        <v>16.68</v>
      </c>
      <c r="E253">
        <v>22.58</v>
      </c>
      <c r="F253">
        <v>27.52</v>
      </c>
      <c r="G253">
        <v>36.56</v>
      </c>
      <c r="H253">
        <v>47.68</v>
      </c>
      <c r="I253">
        <v>71.209999999999994</v>
      </c>
      <c r="J253">
        <v>116.49</v>
      </c>
      <c r="K253">
        <v>166.64</v>
      </c>
    </row>
    <row r="254" spans="2:11">
      <c r="B254" t="s">
        <v>258</v>
      </c>
      <c r="C254">
        <v>6.48</v>
      </c>
      <c r="D254">
        <v>8.94</v>
      </c>
      <c r="E254">
        <v>11.67</v>
      </c>
      <c r="F254">
        <v>16.66</v>
      </c>
      <c r="G254">
        <v>23.67</v>
      </c>
      <c r="H254">
        <v>35.159999999999997</v>
      </c>
      <c r="I254">
        <v>52.18</v>
      </c>
      <c r="J254">
        <v>82.45</v>
      </c>
      <c r="K254">
        <v>125.86</v>
      </c>
    </row>
    <row r="255" spans="2:11">
      <c r="B255" t="s">
        <v>259</v>
      </c>
      <c r="C255">
        <v>6.36</v>
      </c>
      <c r="D255">
        <v>8.83</v>
      </c>
      <c r="E255">
        <v>11.44</v>
      </c>
      <c r="F255">
        <v>16.18</v>
      </c>
      <c r="G255">
        <v>23.12</v>
      </c>
      <c r="H255">
        <v>34.54</v>
      </c>
      <c r="I255">
        <v>50.99</v>
      </c>
      <c r="J255">
        <v>77.680000000000007</v>
      </c>
      <c r="K255">
        <v>120.16</v>
      </c>
    </row>
    <row r="256" spans="2:11">
      <c r="B256" t="s">
        <v>260</v>
      </c>
      <c r="C256">
        <v>1.83</v>
      </c>
      <c r="D256">
        <v>3.21</v>
      </c>
      <c r="E256">
        <v>3.41</v>
      </c>
      <c r="F256">
        <v>5.58</v>
      </c>
      <c r="G256">
        <v>3.11</v>
      </c>
      <c r="H256">
        <v>3.89</v>
      </c>
      <c r="I256">
        <v>3.98</v>
      </c>
      <c r="J256">
        <v>3.27</v>
      </c>
      <c r="K256">
        <v>4</v>
      </c>
    </row>
    <row r="257" spans="2:11">
      <c r="B257" t="s">
        <v>261</v>
      </c>
      <c r="C257">
        <v>2.99</v>
      </c>
      <c r="D257">
        <v>6</v>
      </c>
      <c r="E257">
        <v>6.6</v>
      </c>
      <c r="F257">
        <v>9.2100000000000009</v>
      </c>
      <c r="G257">
        <v>4.8</v>
      </c>
      <c r="H257">
        <v>5.27</v>
      </c>
      <c r="I257">
        <v>5.44</v>
      </c>
      <c r="J257">
        <v>4.62</v>
      </c>
      <c r="K257">
        <v>5.3</v>
      </c>
    </row>
    <row r="258" spans="2:11">
      <c r="B258" t="s">
        <v>262</v>
      </c>
      <c r="C258">
        <v>3.05</v>
      </c>
      <c r="D258">
        <v>6.07</v>
      </c>
      <c r="E258">
        <v>6.73</v>
      </c>
      <c r="F258">
        <v>9.49</v>
      </c>
      <c r="G258">
        <v>4.92</v>
      </c>
      <c r="H258">
        <v>5.37</v>
      </c>
      <c r="I258">
        <v>5.56</v>
      </c>
      <c r="J258">
        <v>4.91</v>
      </c>
      <c r="K258">
        <v>5.55</v>
      </c>
    </row>
    <row r="259" spans="2:11">
      <c r="B259" t="s">
        <v>263</v>
      </c>
      <c r="C259">
        <v>28.9</v>
      </c>
      <c r="D259">
        <v>15.2</v>
      </c>
      <c r="E259">
        <v>12.2</v>
      </c>
      <c r="F259">
        <v>9.5</v>
      </c>
      <c r="G259">
        <v>20.399999999999999</v>
      </c>
      <c r="H259">
        <v>12</v>
      </c>
      <c r="I259">
        <v>8.1</v>
      </c>
      <c r="J259">
        <v>4.8</v>
      </c>
      <c r="K259">
        <v>3.1</v>
      </c>
    </row>
    <row r="260" spans="2:11">
      <c r="B260" t="s">
        <v>264</v>
      </c>
      <c r="C260">
        <v>5.59</v>
      </c>
      <c r="D260">
        <v>8.16</v>
      </c>
      <c r="E260">
        <v>9.4</v>
      </c>
      <c r="F260">
        <v>14.51</v>
      </c>
      <c r="G260">
        <v>23.19</v>
      </c>
      <c r="H260">
        <v>22.28</v>
      </c>
      <c r="I260">
        <v>22.88</v>
      </c>
      <c r="J260">
        <v>18.309999999999999</v>
      </c>
      <c r="K260">
        <v>20.350000000000001</v>
      </c>
    </row>
    <row r="261" spans="2:11">
      <c r="B261" t="s">
        <v>265</v>
      </c>
      <c r="C261">
        <v>0.54</v>
      </c>
      <c r="D261">
        <v>1.81</v>
      </c>
      <c r="E261">
        <v>2.59</v>
      </c>
      <c r="F261">
        <v>4.37</v>
      </c>
      <c r="G261">
        <v>5.97</v>
      </c>
      <c r="H261">
        <v>9.9700000000000006</v>
      </c>
      <c r="I261">
        <v>16.420000000000002</v>
      </c>
      <c r="J261">
        <v>29.85</v>
      </c>
      <c r="K261">
        <v>47.92</v>
      </c>
    </row>
    <row r="262" spans="2:11">
      <c r="B262" t="s">
        <v>266</v>
      </c>
      <c r="C262">
        <v>0.97</v>
      </c>
      <c r="D262">
        <v>2.72</v>
      </c>
      <c r="E262">
        <v>1.83</v>
      </c>
      <c r="F262">
        <v>5.14</v>
      </c>
      <c r="G262">
        <v>9.1999999999999993</v>
      </c>
      <c r="H262">
        <v>9.94</v>
      </c>
      <c r="I262">
        <v>17.29</v>
      </c>
      <c r="J262">
        <v>32.1</v>
      </c>
      <c r="K262">
        <v>41.12</v>
      </c>
    </row>
    <row r="263" spans="2:11">
      <c r="B263" t="s">
        <v>267</v>
      </c>
      <c r="C263">
        <v>5.4</v>
      </c>
      <c r="D263">
        <v>17.899999999999999</v>
      </c>
      <c r="E263">
        <v>19.899999999999999</v>
      </c>
      <c r="F263">
        <v>24.1</v>
      </c>
      <c r="G263">
        <v>23</v>
      </c>
      <c r="H263">
        <v>26</v>
      </c>
      <c r="I263">
        <v>29.3</v>
      </c>
      <c r="J263">
        <v>33.799999999999997</v>
      </c>
      <c r="K263">
        <v>35.299999999999997</v>
      </c>
    </row>
    <row r="264" spans="2:11">
      <c r="B264" t="s">
        <v>268</v>
      </c>
      <c r="C264">
        <v>5.4</v>
      </c>
      <c r="D264">
        <v>17.899999999999999</v>
      </c>
      <c r="E264">
        <v>19.899999999999999</v>
      </c>
      <c r="F264">
        <v>24.1</v>
      </c>
      <c r="G264">
        <v>23</v>
      </c>
      <c r="H264">
        <v>26</v>
      </c>
      <c r="I264">
        <v>29.3</v>
      </c>
      <c r="J264">
        <v>33.799999999999997</v>
      </c>
      <c r="K264">
        <v>35.299999999999997</v>
      </c>
    </row>
    <row r="265" spans="2:11">
      <c r="B265" t="s">
        <v>269</v>
      </c>
      <c r="C265">
        <v>3.4</v>
      </c>
      <c r="D265">
        <v>11.6</v>
      </c>
      <c r="E265">
        <v>11.6</v>
      </c>
      <c r="F265">
        <v>13.8</v>
      </c>
      <c r="G265">
        <v>12.2</v>
      </c>
      <c r="H265">
        <v>17.3</v>
      </c>
      <c r="I265">
        <v>18.600000000000001</v>
      </c>
      <c r="J265">
        <v>22.3</v>
      </c>
      <c r="K265">
        <v>23.7</v>
      </c>
    </row>
    <row r="266" spans="2:11">
      <c r="B266" t="s">
        <v>270</v>
      </c>
      <c r="C266">
        <v>35.9</v>
      </c>
      <c r="D266">
        <v>29.6</v>
      </c>
      <c r="E266">
        <v>29.7</v>
      </c>
      <c r="F266">
        <v>35.1</v>
      </c>
      <c r="G266">
        <v>19</v>
      </c>
      <c r="H266">
        <v>18.600000000000001</v>
      </c>
      <c r="I266">
        <v>17.3</v>
      </c>
      <c r="J266">
        <v>12.8</v>
      </c>
      <c r="K266">
        <v>13.9</v>
      </c>
    </row>
    <row r="267" spans="2:11">
      <c r="B267" t="s">
        <v>271</v>
      </c>
      <c r="C267">
        <v>20</v>
      </c>
      <c r="D267">
        <v>19.7</v>
      </c>
      <c r="E267">
        <v>42.1</v>
      </c>
      <c r="F267">
        <v>29.9</v>
      </c>
      <c r="G267">
        <v>12.4</v>
      </c>
      <c r="H267">
        <v>18.600000000000001</v>
      </c>
      <c r="I267">
        <v>16.399999999999999</v>
      </c>
      <c r="J267">
        <v>11.9</v>
      </c>
      <c r="K267">
        <v>16.2</v>
      </c>
    </row>
    <row r="268" spans="2:11">
      <c r="B268" t="s">
        <v>272</v>
      </c>
      <c r="C268">
        <v>707909</v>
      </c>
      <c r="D268">
        <v>941284</v>
      </c>
      <c r="E268">
        <v>1085905</v>
      </c>
      <c r="F268">
        <v>1111389</v>
      </c>
      <c r="G268">
        <v>1014969</v>
      </c>
      <c r="H268">
        <v>1165897</v>
      </c>
      <c r="I268">
        <v>1320344</v>
      </c>
      <c r="J268">
        <v>1710095</v>
      </c>
      <c r="K268">
        <v>2149835</v>
      </c>
    </row>
    <row r="269" spans="2:11">
      <c r="B269" t="s">
        <v>273</v>
      </c>
      <c r="C269">
        <v>13.5</v>
      </c>
      <c r="D269">
        <v>18.600000000000001</v>
      </c>
      <c r="E269">
        <v>24.7</v>
      </c>
      <c r="F269">
        <v>27.7</v>
      </c>
      <c r="G269">
        <v>34.200000000000003</v>
      </c>
      <c r="H269">
        <v>44.4</v>
      </c>
      <c r="I269">
        <v>51.5</v>
      </c>
      <c r="J269">
        <v>53.1</v>
      </c>
      <c r="K269">
        <v>63.8</v>
      </c>
    </row>
    <row r="270" spans="2:11">
      <c r="B270" t="s">
        <v>274</v>
      </c>
      <c r="C270">
        <v>10</v>
      </c>
      <c r="D270">
        <v>26.8</v>
      </c>
      <c r="E270">
        <v>40.5</v>
      </c>
      <c r="F270">
        <v>53.8</v>
      </c>
      <c r="G270">
        <v>67.099999999999994</v>
      </c>
      <c r="H270">
        <v>92.2</v>
      </c>
      <c r="I270">
        <v>84.2</v>
      </c>
      <c r="J270">
        <v>99</v>
      </c>
      <c r="K270">
        <v>99</v>
      </c>
    </row>
    <row r="271" spans="2:11">
      <c r="B271" t="s">
        <v>275</v>
      </c>
      <c r="C271">
        <v>48.6</v>
      </c>
      <c r="D271">
        <v>119.1</v>
      </c>
      <c r="E271">
        <v>150.30000000000001</v>
      </c>
      <c r="F271">
        <v>192.6</v>
      </c>
      <c r="G271">
        <v>222.7</v>
      </c>
      <c r="H271">
        <v>313.10000000000002</v>
      </c>
      <c r="I271">
        <v>260.7</v>
      </c>
      <c r="J271">
        <v>272.8</v>
      </c>
      <c r="K271">
        <v>275.60000000000002</v>
      </c>
    </row>
    <row r="272" spans="2:11">
      <c r="B272" t="s">
        <v>276</v>
      </c>
      <c r="C272">
        <v>47.6</v>
      </c>
      <c r="D272">
        <v>145</v>
      </c>
      <c r="E272">
        <v>206.4</v>
      </c>
      <c r="F272">
        <v>215.9</v>
      </c>
      <c r="G272">
        <v>348</v>
      </c>
      <c r="H272">
        <v>255.3</v>
      </c>
      <c r="I272">
        <v>250.9</v>
      </c>
      <c r="J272">
        <v>217.6</v>
      </c>
      <c r="K272">
        <v>376.8</v>
      </c>
    </row>
    <row r="273" spans="2:11">
      <c r="B273" t="s">
        <v>277</v>
      </c>
      <c r="C273">
        <v>108.5</v>
      </c>
      <c r="D273">
        <v>121.7</v>
      </c>
      <c r="E273">
        <v>137.30000000000001</v>
      </c>
      <c r="F273">
        <v>112.1</v>
      </c>
      <c r="G273">
        <v>156.5</v>
      </c>
      <c r="H273">
        <v>81.5</v>
      </c>
      <c r="I273">
        <v>96.2</v>
      </c>
      <c r="J273">
        <v>79.8</v>
      </c>
      <c r="K273">
        <v>136.69999999999999</v>
      </c>
    </row>
    <row r="274" spans="2:11">
      <c r="B274" t="s">
        <v>278</v>
      </c>
      <c r="C274">
        <v>26.7</v>
      </c>
      <c r="D274">
        <v>55.5</v>
      </c>
      <c r="E274">
        <v>84.9</v>
      </c>
      <c r="F274">
        <v>82.5</v>
      </c>
      <c r="G274">
        <v>127</v>
      </c>
      <c r="H274">
        <v>89.3</v>
      </c>
      <c r="I274">
        <v>94.3</v>
      </c>
      <c r="J274">
        <v>129.1</v>
      </c>
      <c r="K274">
        <v>193.4</v>
      </c>
    </row>
    <row r="275" spans="2:11">
      <c r="B275" t="s">
        <v>279</v>
      </c>
      <c r="C275">
        <v>84.7</v>
      </c>
      <c r="D275">
        <v>179.3</v>
      </c>
      <c r="E275">
        <v>224.3</v>
      </c>
      <c r="F275">
        <v>224.1</v>
      </c>
      <c r="G275">
        <v>307.89999999999998</v>
      </c>
      <c r="H275">
        <v>172.9</v>
      </c>
      <c r="I275">
        <v>157.30000000000001</v>
      </c>
      <c r="J275">
        <v>168.6</v>
      </c>
      <c r="K275">
        <v>245.4</v>
      </c>
    </row>
    <row r="276" spans="2:11">
      <c r="B276" t="s">
        <v>280</v>
      </c>
      <c r="C276">
        <v>91.2</v>
      </c>
      <c r="D276">
        <v>123.3</v>
      </c>
      <c r="E276">
        <v>141.1</v>
      </c>
      <c r="F276">
        <v>121</v>
      </c>
      <c r="G276">
        <v>167.9</v>
      </c>
      <c r="H276">
        <v>90.4</v>
      </c>
      <c r="I276">
        <v>100.5</v>
      </c>
      <c r="J276">
        <v>113.9</v>
      </c>
      <c r="K276">
        <v>180.8</v>
      </c>
    </row>
    <row r="277" spans="2:11">
      <c r="B277" t="s">
        <v>281</v>
      </c>
      <c r="C277">
        <v>76.099999999999994</v>
      </c>
      <c r="D277">
        <v>93.8</v>
      </c>
      <c r="E277">
        <v>164.7</v>
      </c>
      <c r="F277">
        <v>75.599999999999994</v>
      </c>
      <c r="G277">
        <v>108.9</v>
      </c>
      <c r="H277">
        <v>74.2</v>
      </c>
      <c r="I277">
        <v>97.2</v>
      </c>
      <c r="J277">
        <v>108.7</v>
      </c>
      <c r="K277">
        <v>160.30000000000001</v>
      </c>
    </row>
    <row r="278" spans="2:11">
      <c r="B278" t="s">
        <v>282</v>
      </c>
      <c r="C278">
        <v>0</v>
      </c>
      <c r="D278">
        <v>0</v>
      </c>
      <c r="E278">
        <v>0</v>
      </c>
      <c r="F278">
        <v>0</v>
      </c>
      <c r="G278">
        <v>0</v>
      </c>
      <c r="H278">
        <v>0</v>
      </c>
      <c r="I278">
        <v>0</v>
      </c>
      <c r="J278">
        <v>0</v>
      </c>
      <c r="K278">
        <v>0</v>
      </c>
    </row>
    <row r="279" spans="2:11">
      <c r="B279" t="s">
        <v>283</v>
      </c>
      <c r="C279">
        <v>185.7</v>
      </c>
      <c r="D279">
        <v>214.3</v>
      </c>
      <c r="E279">
        <v>157.1</v>
      </c>
      <c r="F279">
        <v>160</v>
      </c>
      <c r="G279">
        <v>131.6</v>
      </c>
      <c r="H279">
        <v>150</v>
      </c>
      <c r="I279">
        <v>111.1</v>
      </c>
      <c r="J279">
        <v>133.30000000000001</v>
      </c>
      <c r="K279">
        <v>136.4</v>
      </c>
    </row>
    <row r="280" spans="2:11">
      <c r="B280" t="s">
        <v>284</v>
      </c>
      <c r="C280">
        <v>146.19999999999999</v>
      </c>
      <c r="D280">
        <v>147.80000000000001</v>
      </c>
      <c r="E280">
        <v>144</v>
      </c>
      <c r="F280">
        <v>143.5</v>
      </c>
      <c r="G280">
        <v>142.6</v>
      </c>
      <c r="H280">
        <v>143</v>
      </c>
      <c r="I280">
        <v>133.1</v>
      </c>
      <c r="J280">
        <v>102.4</v>
      </c>
      <c r="K280">
        <v>104.8</v>
      </c>
    </row>
    <row r="281" spans="2:11">
      <c r="B281" t="s">
        <v>285</v>
      </c>
      <c r="C281">
        <v>66.7</v>
      </c>
      <c r="D281">
        <v>151.19999999999999</v>
      </c>
      <c r="E281">
        <v>182.5</v>
      </c>
      <c r="F281">
        <v>202.9</v>
      </c>
      <c r="G281">
        <v>200</v>
      </c>
      <c r="H281">
        <v>196.5</v>
      </c>
      <c r="I281">
        <v>164.2</v>
      </c>
      <c r="J281">
        <v>173.6</v>
      </c>
      <c r="K281">
        <v>158.9</v>
      </c>
    </row>
    <row r="282" spans="2:11">
      <c r="B282" t="s">
        <v>286</v>
      </c>
      <c r="C282">
        <v>73.3</v>
      </c>
      <c r="D282">
        <v>145.5</v>
      </c>
      <c r="E282">
        <v>163.5</v>
      </c>
      <c r="F282">
        <v>194.7</v>
      </c>
      <c r="G282">
        <v>196.1</v>
      </c>
      <c r="H282">
        <v>206.5</v>
      </c>
      <c r="I282">
        <v>164.1</v>
      </c>
      <c r="J282">
        <v>185.3</v>
      </c>
      <c r="K282">
        <v>155.19999999999999</v>
      </c>
    </row>
    <row r="283" spans="2:11">
      <c r="B283" t="s">
        <v>287</v>
      </c>
      <c r="C283">
        <v>73.3</v>
      </c>
      <c r="D283">
        <v>145.5</v>
      </c>
      <c r="E283">
        <v>163.5</v>
      </c>
      <c r="F283">
        <v>194.7</v>
      </c>
      <c r="G283">
        <v>196.1</v>
      </c>
      <c r="H283">
        <v>206.5</v>
      </c>
      <c r="I283">
        <v>164.1</v>
      </c>
      <c r="J283">
        <v>185.3</v>
      </c>
      <c r="K283">
        <v>155.19999999999999</v>
      </c>
    </row>
    <row r="284" spans="2:11">
      <c r="B284" t="s">
        <v>288</v>
      </c>
      <c r="C284">
        <v>23.2</v>
      </c>
      <c r="D284">
        <v>44.6</v>
      </c>
      <c r="E284">
        <v>62</v>
      </c>
      <c r="F284">
        <v>71.7</v>
      </c>
      <c r="G284">
        <v>81</v>
      </c>
      <c r="H284">
        <v>107.4</v>
      </c>
      <c r="I284">
        <v>97.7</v>
      </c>
      <c r="J284">
        <v>142.6</v>
      </c>
      <c r="K284">
        <v>122.1</v>
      </c>
    </row>
    <row r="285" spans="2:11">
      <c r="B285" t="s">
        <v>289</v>
      </c>
      <c r="C285">
        <v>57.1</v>
      </c>
      <c r="D285">
        <v>50</v>
      </c>
      <c r="E285">
        <v>58.6</v>
      </c>
      <c r="F285">
        <v>60.7</v>
      </c>
      <c r="G285">
        <v>73.099999999999994</v>
      </c>
      <c r="H285">
        <v>68.2</v>
      </c>
      <c r="I285">
        <v>80</v>
      </c>
      <c r="J285">
        <v>55.6</v>
      </c>
      <c r="K285">
        <v>60</v>
      </c>
    </row>
  </sheetData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 enableFormatConditionsCalculation="0"/>
  <dimension ref="A1:CZ220"/>
  <sheetViews>
    <sheetView tabSelected="1" zoomScale="85" zoomScaleNormal="85" zoomScalePageLayoutView="85" workbookViewId="0">
      <selection activeCell="K4" sqref="K4"/>
    </sheetView>
  </sheetViews>
  <sheetFormatPr baseColWidth="10" defaultColWidth="8.83203125" defaultRowHeight="13.5" customHeight="1" outlineLevelCol="1" x14ac:dyDescent="0"/>
  <cols>
    <col min="1" max="1" width="3.6640625" style="13" bestFit="1" customWidth="1" outlineLevel="1"/>
    <col min="2" max="2" width="3.6640625" style="2" bestFit="1" customWidth="1" outlineLevel="1"/>
    <col min="3" max="3" width="40.33203125" style="2" bestFit="1" customWidth="1"/>
    <col min="4" max="4" width="24" style="13" bestFit="1" customWidth="1"/>
    <col min="5" max="5" width="9" style="2" bestFit="1" customWidth="1"/>
    <col min="6" max="13" width="12.5" style="2" bestFit="1" customWidth="1"/>
    <col min="14" max="14" width="9" style="2" bestFit="1" customWidth="1"/>
    <col min="15" max="15" width="11.5" style="2" bestFit="1" customWidth="1"/>
    <col min="16" max="17" width="9" style="2" bestFit="1" customWidth="1"/>
    <col min="18" max="53" width="12.5" style="2" bestFit="1" customWidth="1"/>
    <col min="54" max="54" width="9" style="2" bestFit="1" customWidth="1"/>
    <col min="55" max="55" width="11.5" style="2" bestFit="1" customWidth="1"/>
    <col min="56" max="57" width="9" style="2" bestFit="1" customWidth="1"/>
    <col min="58" max="16384" width="8.83203125" style="2"/>
  </cols>
  <sheetData>
    <row r="1" spans="1:104" ht="13.5" customHeight="1">
      <c r="A1" s="25"/>
      <c r="M1" s="26" t="s">
        <v>472</v>
      </c>
    </row>
    <row r="2" spans="1:104" ht="13.5" customHeight="1">
      <c r="A2" s="25"/>
      <c r="C2" s="20"/>
      <c r="D2" s="41"/>
      <c r="E2" s="13"/>
      <c r="M2" s="26" t="s">
        <v>470</v>
      </c>
    </row>
    <row r="3" spans="1:104" ht="13.5" customHeight="1">
      <c r="C3" s="3" t="s">
        <v>0</v>
      </c>
      <c r="D3" s="42" t="s">
        <v>481</v>
      </c>
      <c r="E3" s="13" t="s">
        <v>464</v>
      </c>
      <c r="G3" s="32"/>
      <c r="M3" s="26" t="s">
        <v>471</v>
      </c>
      <c r="N3" s="26">
        <f>$D$7+$D$8</f>
        <v>10</v>
      </c>
      <c r="O3" s="26">
        <f ca="1">COUNTA(OFFSET(INDIRECT($D$3),4,,1,1000))-1</f>
        <v>9</v>
      </c>
      <c r="P3" s="26">
        <f ca="1">$O$3+$D$6-1</f>
        <v>11</v>
      </c>
      <c r="Q3" s="31">
        <f ca="1">$P$3-$D$7</f>
        <v>9</v>
      </c>
    </row>
    <row r="4" spans="1:104" ht="13.5" customHeight="1">
      <c r="C4" s="3" t="s">
        <v>1</v>
      </c>
      <c r="D4" s="1" t="s">
        <v>482</v>
      </c>
      <c r="E4" s="13" t="s">
        <v>464</v>
      </c>
      <c r="M4" s="26" t="s">
        <v>469</v>
      </c>
      <c r="N4" s="26">
        <f>100</f>
        <v>100</v>
      </c>
      <c r="O4" s="26">
        <f ca="1">COUNTA(OFFSET(INDIRECT($D$4),4,,1,1000))-1</f>
        <v>34</v>
      </c>
      <c r="P4" s="26">
        <f ca="1">($O$4+$D$6-1)</f>
        <v>36</v>
      </c>
      <c r="Q4" s="26">
        <f ca="1">$P$4-$D$8-$D$7</f>
        <v>26</v>
      </c>
      <c r="R4" s="44"/>
    </row>
    <row r="5" spans="1:104" ht="13.5" customHeight="1">
      <c r="C5" s="3" t="s">
        <v>2</v>
      </c>
      <c r="D5" s="1">
        <v>5</v>
      </c>
      <c r="M5" s="26" t="s">
        <v>468</v>
      </c>
      <c r="N5" s="26">
        <f>$N$3+$N$4</f>
        <v>110</v>
      </c>
      <c r="O5" s="26">
        <f>ROW($A$11)</f>
        <v>11</v>
      </c>
    </row>
    <row r="6" spans="1:104" ht="13.5" customHeight="1">
      <c r="C6" s="3" t="s">
        <v>3</v>
      </c>
      <c r="D6" s="1">
        <v>3</v>
      </c>
      <c r="M6" s="26" t="s">
        <v>465</v>
      </c>
      <c r="N6" s="26">
        <f>$N5+1</f>
        <v>111</v>
      </c>
      <c r="O6" s="26">
        <f>D7+D8+2</f>
        <v>12</v>
      </c>
      <c r="P6" s="26">
        <f ca="1">OFFSET($A$11,3,$O$6)</f>
        <v>1</v>
      </c>
      <c r="Q6" s="31" t="b">
        <f ca="1">AND(($D$8&gt;$P$6+4),$D$7&gt;0)</f>
        <v>1</v>
      </c>
    </row>
    <row r="7" spans="1:104" ht="13.5" customHeight="1">
      <c r="C7" s="3" t="s">
        <v>4</v>
      </c>
      <c r="D7" s="1">
        <v>2</v>
      </c>
      <c r="F7" s="24"/>
      <c r="M7" s="26" t="s">
        <v>466</v>
      </c>
      <c r="N7" s="26">
        <f>$N6+1</f>
        <v>112</v>
      </c>
      <c r="O7" s="26">
        <f>-4+$O$6</f>
        <v>8</v>
      </c>
      <c r="P7" s="26">
        <f>MATCH($D$7-1,$11:$11,0)</f>
        <v>5</v>
      </c>
    </row>
    <row r="8" spans="1:104" ht="13.5" customHeight="1">
      <c r="C8" s="3" t="s">
        <v>5</v>
      </c>
      <c r="D8" s="1">
        <v>8</v>
      </c>
      <c r="F8" s="13"/>
      <c r="M8" s="26" t="s">
        <v>467</v>
      </c>
      <c r="N8" s="26">
        <f>$N7+1</f>
        <v>113</v>
      </c>
    </row>
    <row r="9" spans="1:104" ht="13.5" customHeight="1">
      <c r="A9" s="25"/>
      <c r="C9" s="20"/>
      <c r="D9" s="19"/>
      <c r="M9" s="26" t="s">
        <v>473</v>
      </c>
    </row>
    <row r="11" spans="1:104" ht="13.5" customHeight="1">
      <c r="A11" s="25"/>
      <c r="C11" s="3" t="s">
        <v>474</v>
      </c>
      <c r="D11" s="43">
        <f>IFERROR(IF($D$7="","",IF(0&lt;$D$7,0,IF($D$8="","",IF(0&lt;$N$3,0,"")))),"")</f>
        <v>0</v>
      </c>
      <c r="E11" s="43">
        <f t="shared" ref="E11:AJ11" si="0">IFERROR(IF($D$7="","",IF(D11+1&lt;$D$7,D11+1,IF($D$8="","",IF(D11+1&lt;$N$3,D11+1,IF(D11&lt;$N$5,$N$5,IF(D11&lt;$N$6,$N$6,IF(D11&lt;$N$7,$N$7,IF(D11&lt;$N$8,$N$8,"")))))))),"")</f>
        <v>1</v>
      </c>
      <c r="F11" s="43">
        <f t="shared" si="0"/>
        <v>2</v>
      </c>
      <c r="G11" s="43">
        <f t="shared" si="0"/>
        <v>3</v>
      </c>
      <c r="H11" s="43">
        <f t="shared" si="0"/>
        <v>4</v>
      </c>
      <c r="I11" s="43">
        <f t="shared" si="0"/>
        <v>5</v>
      </c>
      <c r="J11" s="43">
        <f t="shared" si="0"/>
        <v>6</v>
      </c>
      <c r="K11" s="43">
        <f t="shared" si="0"/>
        <v>7</v>
      </c>
      <c r="L11" s="43">
        <f t="shared" si="0"/>
        <v>8</v>
      </c>
      <c r="M11" s="22">
        <f t="shared" si="0"/>
        <v>9</v>
      </c>
      <c r="N11" s="22">
        <f t="shared" si="0"/>
        <v>110</v>
      </c>
      <c r="O11" s="22">
        <f t="shared" si="0"/>
        <v>111</v>
      </c>
      <c r="P11" s="22">
        <f t="shared" si="0"/>
        <v>112</v>
      </c>
      <c r="Q11" s="22">
        <f t="shared" si="0"/>
        <v>113</v>
      </c>
      <c r="R11" s="22" t="str">
        <f t="shared" si="0"/>
        <v/>
      </c>
      <c r="S11" s="22" t="str">
        <f t="shared" si="0"/>
        <v/>
      </c>
      <c r="T11" s="22" t="str">
        <f t="shared" si="0"/>
        <v/>
      </c>
      <c r="U11" s="22" t="str">
        <f t="shared" si="0"/>
        <v/>
      </c>
      <c r="V11" s="22" t="str">
        <f t="shared" si="0"/>
        <v/>
      </c>
      <c r="W11" s="22" t="str">
        <f t="shared" si="0"/>
        <v/>
      </c>
      <c r="X11" s="22" t="str">
        <f t="shared" si="0"/>
        <v/>
      </c>
      <c r="Y11" s="22" t="str">
        <f t="shared" si="0"/>
        <v/>
      </c>
      <c r="Z11" s="22" t="str">
        <f t="shared" si="0"/>
        <v/>
      </c>
      <c r="AA11" s="22" t="str">
        <f t="shared" si="0"/>
        <v/>
      </c>
      <c r="AB11" s="22" t="str">
        <f t="shared" si="0"/>
        <v/>
      </c>
      <c r="AC11" s="22" t="str">
        <f t="shared" si="0"/>
        <v/>
      </c>
      <c r="AD11" s="22" t="str">
        <f t="shared" si="0"/>
        <v/>
      </c>
      <c r="AE11" s="22" t="str">
        <f t="shared" si="0"/>
        <v/>
      </c>
      <c r="AF11" s="22" t="str">
        <f t="shared" si="0"/>
        <v/>
      </c>
      <c r="AG11" s="22" t="str">
        <f t="shared" si="0"/>
        <v/>
      </c>
      <c r="AH11" s="22" t="str">
        <f t="shared" si="0"/>
        <v/>
      </c>
      <c r="AI11" s="22" t="str">
        <f t="shared" si="0"/>
        <v/>
      </c>
      <c r="AJ11" s="22" t="str">
        <f t="shared" si="0"/>
        <v/>
      </c>
      <c r="AK11" s="22" t="str">
        <f t="shared" ref="AK11:BP11" si="1">IFERROR(IF($D$7="","",IF(AJ11+1&lt;$D$7,AJ11+1,IF($D$8="","",IF(AJ11+1&lt;$N$3,AJ11+1,IF(AJ11&lt;$N$5,$N$5,IF(AJ11&lt;$N$6,$N$6,IF(AJ11&lt;$N$7,$N$7,IF(AJ11&lt;$N$8,$N$8,"")))))))),"")</f>
        <v/>
      </c>
      <c r="AL11" s="22" t="str">
        <f t="shared" si="1"/>
        <v/>
      </c>
      <c r="AM11" s="22" t="str">
        <f t="shared" si="1"/>
        <v/>
      </c>
      <c r="AN11" s="22" t="str">
        <f t="shared" si="1"/>
        <v/>
      </c>
      <c r="AO11" s="22" t="str">
        <f t="shared" si="1"/>
        <v/>
      </c>
      <c r="AP11" s="22" t="str">
        <f t="shared" si="1"/>
        <v/>
      </c>
      <c r="AQ11" s="22" t="str">
        <f t="shared" si="1"/>
        <v/>
      </c>
      <c r="AR11" s="22" t="str">
        <f t="shared" si="1"/>
        <v/>
      </c>
      <c r="AS11" s="22" t="str">
        <f t="shared" si="1"/>
        <v/>
      </c>
      <c r="AT11" s="22" t="str">
        <f t="shared" si="1"/>
        <v/>
      </c>
      <c r="AU11" s="22" t="str">
        <f t="shared" si="1"/>
        <v/>
      </c>
      <c r="AV11" s="22" t="str">
        <f t="shared" si="1"/>
        <v/>
      </c>
      <c r="AW11" s="22" t="str">
        <f t="shared" si="1"/>
        <v/>
      </c>
      <c r="AX11" s="22" t="str">
        <f t="shared" si="1"/>
        <v/>
      </c>
      <c r="AY11" s="22" t="str">
        <f t="shared" si="1"/>
        <v/>
      </c>
      <c r="AZ11" s="22" t="str">
        <f t="shared" si="1"/>
        <v/>
      </c>
      <c r="BA11" s="22" t="str">
        <f t="shared" si="1"/>
        <v/>
      </c>
      <c r="BB11" s="22" t="str">
        <f t="shared" si="1"/>
        <v/>
      </c>
      <c r="BC11" s="22" t="str">
        <f t="shared" si="1"/>
        <v/>
      </c>
      <c r="BD11" s="22" t="str">
        <f t="shared" si="1"/>
        <v/>
      </c>
      <c r="BE11" s="22" t="str">
        <f t="shared" si="1"/>
        <v/>
      </c>
      <c r="BF11" s="22" t="str">
        <f t="shared" si="1"/>
        <v/>
      </c>
      <c r="BG11" s="22" t="str">
        <f t="shared" si="1"/>
        <v/>
      </c>
      <c r="BH11" s="22" t="str">
        <f t="shared" si="1"/>
        <v/>
      </c>
      <c r="BI11" s="22" t="str">
        <f t="shared" si="1"/>
        <v/>
      </c>
      <c r="BJ11" s="22" t="str">
        <f t="shared" si="1"/>
        <v/>
      </c>
      <c r="BK11" s="22" t="str">
        <f t="shared" si="1"/>
        <v/>
      </c>
      <c r="BL11" s="22" t="str">
        <f t="shared" si="1"/>
        <v/>
      </c>
      <c r="BM11" s="22" t="str">
        <f t="shared" si="1"/>
        <v/>
      </c>
      <c r="BN11" s="22" t="str">
        <f t="shared" si="1"/>
        <v/>
      </c>
      <c r="BO11" s="22" t="str">
        <f t="shared" si="1"/>
        <v/>
      </c>
      <c r="BP11" s="22" t="str">
        <f t="shared" si="1"/>
        <v/>
      </c>
      <c r="BQ11" s="22" t="str">
        <f t="shared" ref="BQ11:CZ11" si="2">IFERROR(IF($D$7="","",IF(BP11+1&lt;$D$7,BP11+1,IF($D$8="","",IF(BP11+1&lt;$N$3,BP11+1,IF(BP11&lt;$N$5,$N$5,IF(BP11&lt;$N$6,$N$6,IF(BP11&lt;$N$7,$N$7,IF(BP11&lt;$N$8,$N$8,"")))))))),"")</f>
        <v/>
      </c>
      <c r="BR11" s="22" t="str">
        <f t="shared" si="2"/>
        <v/>
      </c>
      <c r="BS11" s="22" t="str">
        <f t="shared" si="2"/>
        <v/>
      </c>
      <c r="BT11" s="22" t="str">
        <f t="shared" si="2"/>
        <v/>
      </c>
      <c r="BU11" s="22" t="str">
        <f t="shared" si="2"/>
        <v/>
      </c>
      <c r="BV11" s="22" t="str">
        <f t="shared" si="2"/>
        <v/>
      </c>
      <c r="BW11" s="22" t="str">
        <f t="shared" si="2"/>
        <v/>
      </c>
      <c r="BX11" s="22" t="str">
        <f t="shared" si="2"/>
        <v/>
      </c>
      <c r="BY11" s="22" t="str">
        <f t="shared" si="2"/>
        <v/>
      </c>
      <c r="BZ11" s="22" t="str">
        <f t="shared" si="2"/>
        <v/>
      </c>
      <c r="CA11" s="22" t="str">
        <f t="shared" si="2"/>
        <v/>
      </c>
      <c r="CB11" s="22" t="str">
        <f t="shared" si="2"/>
        <v/>
      </c>
      <c r="CC11" s="22" t="str">
        <f t="shared" si="2"/>
        <v/>
      </c>
      <c r="CD11" s="22" t="str">
        <f t="shared" si="2"/>
        <v/>
      </c>
      <c r="CE11" s="22" t="str">
        <f t="shared" si="2"/>
        <v/>
      </c>
      <c r="CF11" s="22" t="str">
        <f t="shared" si="2"/>
        <v/>
      </c>
      <c r="CG11" s="22" t="str">
        <f t="shared" si="2"/>
        <v/>
      </c>
      <c r="CH11" s="22" t="str">
        <f t="shared" si="2"/>
        <v/>
      </c>
      <c r="CI11" s="22" t="str">
        <f t="shared" si="2"/>
        <v/>
      </c>
      <c r="CJ11" s="22" t="str">
        <f t="shared" si="2"/>
        <v/>
      </c>
      <c r="CK11" s="22" t="str">
        <f t="shared" si="2"/>
        <v/>
      </c>
      <c r="CL11" s="22" t="str">
        <f t="shared" si="2"/>
        <v/>
      </c>
      <c r="CM11" s="22" t="str">
        <f t="shared" si="2"/>
        <v/>
      </c>
      <c r="CN11" s="22" t="str">
        <f t="shared" si="2"/>
        <v/>
      </c>
      <c r="CO11" s="22" t="str">
        <f t="shared" si="2"/>
        <v/>
      </c>
      <c r="CP11" s="22" t="str">
        <f t="shared" si="2"/>
        <v/>
      </c>
      <c r="CQ11" s="22" t="str">
        <f t="shared" si="2"/>
        <v/>
      </c>
      <c r="CR11" s="22" t="str">
        <f t="shared" si="2"/>
        <v/>
      </c>
      <c r="CS11" s="22" t="str">
        <f t="shared" si="2"/>
        <v/>
      </c>
      <c r="CT11" s="22" t="str">
        <f t="shared" si="2"/>
        <v/>
      </c>
      <c r="CU11" s="22" t="str">
        <f t="shared" si="2"/>
        <v/>
      </c>
      <c r="CV11" s="22" t="str">
        <f t="shared" si="2"/>
        <v/>
      </c>
      <c r="CW11" s="22" t="str">
        <f t="shared" si="2"/>
        <v/>
      </c>
      <c r="CX11" s="22" t="str">
        <f t="shared" si="2"/>
        <v/>
      </c>
      <c r="CY11" s="22" t="str">
        <f t="shared" si="2"/>
        <v/>
      </c>
      <c r="CZ11" s="22" t="str">
        <f t="shared" si="2"/>
        <v/>
      </c>
    </row>
    <row r="12" spans="1:104" s="49" customFormat="1" ht="13.5" customHeight="1">
      <c r="A12" s="48"/>
      <c r="C12" s="50"/>
      <c r="D12" s="20">
        <f>IF(D$11="","",IF(OR(D$11=$N$5,D$11=$N$6,D$11=$N$7,D$11=$N$8),"",IF(D$11&lt;$D$7,$D$7-D$11-1,IF(C$12=0,$N$3-$D$7-1,C$12-1))))</f>
        <v>1</v>
      </c>
      <c r="E12" s="20">
        <f t="shared" ref="E12:BP12" si="3">IF(E$11="","",IF(OR(E$11=$N$5,E$11=$N$6,E$11=$N$7,E$11=$N$8),"",IF(E$11&lt;$D$7,$D$7-E$11-1,IF(D$12=0,$N$3-$D$7-1,D$12-1))))</f>
        <v>0</v>
      </c>
      <c r="F12" s="20">
        <f t="shared" si="3"/>
        <v>7</v>
      </c>
      <c r="G12" s="20">
        <f t="shared" si="3"/>
        <v>6</v>
      </c>
      <c r="H12" s="20">
        <f t="shared" si="3"/>
        <v>5</v>
      </c>
      <c r="I12" s="20">
        <f t="shared" si="3"/>
        <v>4</v>
      </c>
      <c r="J12" s="20">
        <f t="shared" si="3"/>
        <v>3</v>
      </c>
      <c r="K12" s="20">
        <f t="shared" si="3"/>
        <v>2</v>
      </c>
      <c r="L12" s="20">
        <f t="shared" si="3"/>
        <v>1</v>
      </c>
      <c r="M12" s="20">
        <f t="shared" si="3"/>
        <v>0</v>
      </c>
      <c r="N12" s="20" t="str">
        <f t="shared" si="3"/>
        <v/>
      </c>
      <c r="O12" s="20" t="str">
        <f t="shared" si="3"/>
        <v/>
      </c>
      <c r="P12" s="20" t="str">
        <f t="shared" si="3"/>
        <v/>
      </c>
      <c r="Q12" s="20" t="str">
        <f t="shared" si="3"/>
        <v/>
      </c>
      <c r="R12" s="20" t="str">
        <f t="shared" si="3"/>
        <v/>
      </c>
      <c r="S12" s="20" t="str">
        <f t="shared" si="3"/>
        <v/>
      </c>
      <c r="T12" s="20" t="str">
        <f t="shared" si="3"/>
        <v/>
      </c>
      <c r="U12" s="20" t="str">
        <f t="shared" si="3"/>
        <v/>
      </c>
      <c r="V12" s="20" t="str">
        <f t="shared" si="3"/>
        <v/>
      </c>
      <c r="W12" s="20" t="str">
        <f t="shared" si="3"/>
        <v/>
      </c>
      <c r="X12" s="20" t="str">
        <f t="shared" si="3"/>
        <v/>
      </c>
      <c r="Y12" s="20" t="str">
        <f t="shared" si="3"/>
        <v/>
      </c>
      <c r="Z12" s="20" t="str">
        <f t="shared" si="3"/>
        <v/>
      </c>
      <c r="AA12" s="20" t="str">
        <f t="shared" si="3"/>
        <v/>
      </c>
      <c r="AB12" s="20" t="str">
        <f t="shared" si="3"/>
        <v/>
      </c>
      <c r="AC12" s="20" t="str">
        <f t="shared" si="3"/>
        <v/>
      </c>
      <c r="AD12" s="20" t="str">
        <f t="shared" si="3"/>
        <v/>
      </c>
      <c r="AE12" s="20" t="str">
        <f t="shared" si="3"/>
        <v/>
      </c>
      <c r="AF12" s="20" t="str">
        <f t="shared" si="3"/>
        <v/>
      </c>
      <c r="AG12" s="20" t="str">
        <f t="shared" si="3"/>
        <v/>
      </c>
      <c r="AH12" s="20" t="str">
        <f t="shared" si="3"/>
        <v/>
      </c>
      <c r="AI12" s="20" t="str">
        <f t="shared" si="3"/>
        <v/>
      </c>
      <c r="AJ12" s="20" t="str">
        <f t="shared" si="3"/>
        <v/>
      </c>
      <c r="AK12" s="20" t="str">
        <f t="shared" si="3"/>
        <v/>
      </c>
      <c r="AL12" s="20" t="str">
        <f t="shared" si="3"/>
        <v/>
      </c>
      <c r="AM12" s="20" t="str">
        <f t="shared" si="3"/>
        <v/>
      </c>
      <c r="AN12" s="20" t="str">
        <f t="shared" si="3"/>
        <v/>
      </c>
      <c r="AO12" s="20" t="str">
        <f t="shared" si="3"/>
        <v/>
      </c>
      <c r="AP12" s="20" t="str">
        <f t="shared" si="3"/>
        <v/>
      </c>
      <c r="AQ12" s="20" t="str">
        <f t="shared" si="3"/>
        <v/>
      </c>
      <c r="AR12" s="20" t="str">
        <f t="shared" si="3"/>
        <v/>
      </c>
      <c r="AS12" s="20" t="str">
        <f t="shared" si="3"/>
        <v/>
      </c>
      <c r="AT12" s="20" t="str">
        <f t="shared" si="3"/>
        <v/>
      </c>
      <c r="AU12" s="20" t="str">
        <f t="shared" si="3"/>
        <v/>
      </c>
      <c r="AV12" s="20" t="str">
        <f t="shared" si="3"/>
        <v/>
      </c>
      <c r="AW12" s="20" t="str">
        <f t="shared" si="3"/>
        <v/>
      </c>
      <c r="AX12" s="20" t="str">
        <f t="shared" si="3"/>
        <v/>
      </c>
      <c r="AY12" s="20" t="str">
        <f t="shared" si="3"/>
        <v/>
      </c>
      <c r="AZ12" s="20" t="str">
        <f t="shared" si="3"/>
        <v/>
      </c>
      <c r="BA12" s="20" t="str">
        <f t="shared" si="3"/>
        <v/>
      </c>
      <c r="BB12" s="20" t="str">
        <f t="shared" si="3"/>
        <v/>
      </c>
      <c r="BC12" s="20" t="str">
        <f t="shared" si="3"/>
        <v/>
      </c>
      <c r="BD12" s="20" t="str">
        <f t="shared" si="3"/>
        <v/>
      </c>
      <c r="BE12" s="20" t="str">
        <f t="shared" si="3"/>
        <v/>
      </c>
      <c r="BF12" s="20" t="str">
        <f t="shared" si="3"/>
        <v/>
      </c>
      <c r="BG12" s="20" t="str">
        <f t="shared" si="3"/>
        <v/>
      </c>
      <c r="BH12" s="20" t="str">
        <f t="shared" si="3"/>
        <v/>
      </c>
      <c r="BI12" s="20" t="str">
        <f t="shared" si="3"/>
        <v/>
      </c>
      <c r="BJ12" s="20" t="str">
        <f t="shared" si="3"/>
        <v/>
      </c>
      <c r="BK12" s="20" t="str">
        <f t="shared" si="3"/>
        <v/>
      </c>
      <c r="BL12" s="20" t="str">
        <f t="shared" si="3"/>
        <v/>
      </c>
      <c r="BM12" s="20" t="str">
        <f t="shared" si="3"/>
        <v/>
      </c>
      <c r="BN12" s="20" t="str">
        <f t="shared" si="3"/>
        <v/>
      </c>
      <c r="BO12" s="20" t="str">
        <f t="shared" si="3"/>
        <v/>
      </c>
      <c r="BP12" s="20" t="str">
        <f t="shared" si="3"/>
        <v/>
      </c>
      <c r="BQ12" s="20" t="str">
        <f t="shared" ref="BQ12:CZ12" si="4">IF(BQ$11="","",IF(OR(BQ$11=$N$5,BQ$11=$N$6,BQ$11=$N$7,BQ$11=$N$8),"",IF(BQ$11&lt;$D$7,$D$7-BQ$11-1,IF(BP$12=0,$N$3-$D$7-1,BP$12-1))))</f>
        <v/>
      </c>
      <c r="BR12" s="20" t="str">
        <f t="shared" si="4"/>
        <v/>
      </c>
      <c r="BS12" s="20" t="str">
        <f t="shared" si="4"/>
        <v/>
      </c>
      <c r="BT12" s="20" t="str">
        <f t="shared" si="4"/>
        <v/>
      </c>
      <c r="BU12" s="20" t="str">
        <f t="shared" si="4"/>
        <v/>
      </c>
      <c r="BV12" s="20" t="str">
        <f t="shared" si="4"/>
        <v/>
      </c>
      <c r="BW12" s="20" t="str">
        <f t="shared" si="4"/>
        <v/>
      </c>
      <c r="BX12" s="20" t="str">
        <f t="shared" si="4"/>
        <v/>
      </c>
      <c r="BY12" s="20" t="str">
        <f t="shared" si="4"/>
        <v/>
      </c>
      <c r="BZ12" s="20" t="str">
        <f t="shared" si="4"/>
        <v/>
      </c>
      <c r="CA12" s="20" t="str">
        <f t="shared" si="4"/>
        <v/>
      </c>
      <c r="CB12" s="20" t="str">
        <f t="shared" si="4"/>
        <v/>
      </c>
      <c r="CC12" s="20" t="str">
        <f t="shared" si="4"/>
        <v/>
      </c>
      <c r="CD12" s="20" t="str">
        <f t="shared" si="4"/>
        <v/>
      </c>
      <c r="CE12" s="20" t="str">
        <f t="shared" si="4"/>
        <v/>
      </c>
      <c r="CF12" s="20" t="str">
        <f t="shared" si="4"/>
        <v/>
      </c>
      <c r="CG12" s="20" t="str">
        <f t="shared" si="4"/>
        <v/>
      </c>
      <c r="CH12" s="20" t="str">
        <f t="shared" si="4"/>
        <v/>
      </c>
      <c r="CI12" s="20" t="str">
        <f t="shared" si="4"/>
        <v/>
      </c>
      <c r="CJ12" s="20" t="str">
        <f t="shared" si="4"/>
        <v/>
      </c>
      <c r="CK12" s="20" t="str">
        <f t="shared" si="4"/>
        <v/>
      </c>
      <c r="CL12" s="20" t="str">
        <f t="shared" si="4"/>
        <v/>
      </c>
      <c r="CM12" s="20" t="str">
        <f t="shared" si="4"/>
        <v/>
      </c>
      <c r="CN12" s="20" t="str">
        <f t="shared" si="4"/>
        <v/>
      </c>
      <c r="CO12" s="20" t="str">
        <f t="shared" si="4"/>
        <v/>
      </c>
      <c r="CP12" s="20" t="str">
        <f t="shared" si="4"/>
        <v/>
      </c>
      <c r="CQ12" s="20" t="str">
        <f t="shared" si="4"/>
        <v/>
      </c>
      <c r="CR12" s="20" t="str">
        <f t="shared" si="4"/>
        <v/>
      </c>
      <c r="CS12" s="20" t="str">
        <f t="shared" si="4"/>
        <v/>
      </c>
      <c r="CT12" s="20" t="str">
        <f t="shared" si="4"/>
        <v/>
      </c>
      <c r="CU12" s="20" t="str">
        <f t="shared" si="4"/>
        <v/>
      </c>
      <c r="CV12" s="20" t="str">
        <f t="shared" si="4"/>
        <v/>
      </c>
      <c r="CW12" s="20" t="str">
        <f t="shared" si="4"/>
        <v/>
      </c>
      <c r="CX12" s="20" t="str">
        <f t="shared" si="4"/>
        <v/>
      </c>
      <c r="CY12" s="20" t="str">
        <f t="shared" si="4"/>
        <v/>
      </c>
      <c r="CZ12" s="20" t="str">
        <f t="shared" si="4"/>
        <v/>
      </c>
    </row>
    <row r="13" spans="1:104" s="5" customFormat="1" ht="13.5" customHeight="1">
      <c r="A13" s="27">
        <v>5</v>
      </c>
      <c r="C13" s="6" t="s">
        <v>475</v>
      </c>
      <c r="D13" s="14">
        <f t="shared" ref="D13:AI13" ca="1" si="5">IF(D$11="","",IF(D$11-$N$3=100, $M$5,IF(D$11-$N$3=101, $M$6,IF(D$11-$N$3=102, $M$7,IF(D$11-$N$3=103, $M$8,IF(D$11&lt;$D$7,OFFSET(INDIRECT($D$3),$A13-1,$Q$3+D$11),OFFSET(INDIRECT($D$4),$A13-1,$Q$4+D$11)))))))</f>
        <v>40787</v>
      </c>
      <c r="E13" s="14">
        <f t="shared" ca="1" si="5"/>
        <v>41153</v>
      </c>
      <c r="F13" s="14">
        <f t="shared" ca="1" si="5"/>
        <v>40603</v>
      </c>
      <c r="G13" s="14">
        <f t="shared" ca="1" si="5"/>
        <v>40695</v>
      </c>
      <c r="H13" s="14">
        <f t="shared" ca="1" si="5"/>
        <v>40787</v>
      </c>
      <c r="I13" s="14">
        <f t="shared" ca="1" si="5"/>
        <v>40878</v>
      </c>
      <c r="J13" s="14">
        <f t="shared" ca="1" si="5"/>
        <v>40969</v>
      </c>
      <c r="K13" s="14">
        <f t="shared" ca="1" si="5"/>
        <v>41061</v>
      </c>
      <c r="L13" s="14">
        <f t="shared" ca="1" si="5"/>
        <v>41153</v>
      </c>
      <c r="M13" s="14">
        <f t="shared" ca="1" si="5"/>
        <v>41244</v>
      </c>
      <c r="N13" s="14" t="str">
        <f t="shared" ca="1" si="5"/>
        <v>LTM</v>
      </c>
      <c r="O13" s="14" t="str">
        <f t="shared" ca="1" si="5"/>
        <v>Prior Fiscal</v>
      </c>
      <c r="P13" s="14" t="str">
        <f t="shared" ca="1" si="5"/>
        <v>Current</v>
      </c>
      <c r="Q13" s="14" t="str">
        <f t="shared" ca="1" si="5"/>
        <v>Prior</v>
      </c>
      <c r="R13" s="14" t="str">
        <f t="shared" ca="1" si="5"/>
        <v/>
      </c>
      <c r="S13" s="14" t="str">
        <f t="shared" ca="1" si="5"/>
        <v/>
      </c>
      <c r="T13" s="14" t="str">
        <f t="shared" ca="1" si="5"/>
        <v/>
      </c>
      <c r="U13" s="14" t="str">
        <f t="shared" ca="1" si="5"/>
        <v/>
      </c>
      <c r="V13" s="14" t="str">
        <f t="shared" ca="1" si="5"/>
        <v/>
      </c>
      <c r="W13" s="14" t="str">
        <f t="shared" ca="1" si="5"/>
        <v/>
      </c>
      <c r="X13" s="14" t="str">
        <f t="shared" ca="1" si="5"/>
        <v/>
      </c>
      <c r="Y13" s="14" t="str">
        <f t="shared" ca="1" si="5"/>
        <v/>
      </c>
      <c r="Z13" s="14" t="str">
        <f t="shared" ca="1" si="5"/>
        <v/>
      </c>
      <c r="AA13" s="14" t="str">
        <f t="shared" ca="1" si="5"/>
        <v/>
      </c>
      <c r="AB13" s="14" t="str">
        <f t="shared" ca="1" si="5"/>
        <v/>
      </c>
      <c r="AC13" s="14" t="str">
        <f t="shared" ca="1" si="5"/>
        <v/>
      </c>
      <c r="AD13" s="14" t="str">
        <f t="shared" ca="1" si="5"/>
        <v/>
      </c>
      <c r="AE13" s="14" t="str">
        <f t="shared" ca="1" si="5"/>
        <v/>
      </c>
      <c r="AF13" s="14" t="str">
        <f t="shared" ca="1" si="5"/>
        <v/>
      </c>
      <c r="AG13" s="14" t="str">
        <f t="shared" ca="1" si="5"/>
        <v/>
      </c>
      <c r="AH13" s="14" t="str">
        <f t="shared" ca="1" si="5"/>
        <v/>
      </c>
      <c r="AI13" s="14" t="str">
        <f t="shared" ca="1" si="5"/>
        <v/>
      </c>
      <c r="AJ13" s="14" t="str">
        <f t="shared" ref="AJ13:BO13" ca="1" si="6">IF(AJ$11="","",IF(AJ$11-$N$3=100, $M$5,IF(AJ$11-$N$3=101, $M$6,IF(AJ$11-$N$3=102, $M$7,IF(AJ$11-$N$3=103, $M$8,IF(AJ$11&lt;$D$7,OFFSET(INDIRECT($D$3),$A13-1,$Q$3+AJ$11),OFFSET(INDIRECT($D$4),$A13-1,$Q$4+AJ$11)))))))</f>
        <v/>
      </c>
      <c r="AK13" s="14" t="str">
        <f t="shared" ca="1" si="6"/>
        <v/>
      </c>
      <c r="AL13" s="14" t="str">
        <f t="shared" ca="1" si="6"/>
        <v/>
      </c>
      <c r="AM13" s="14" t="str">
        <f t="shared" ca="1" si="6"/>
        <v/>
      </c>
      <c r="AN13" s="14" t="str">
        <f t="shared" ca="1" si="6"/>
        <v/>
      </c>
      <c r="AO13" s="14" t="str">
        <f t="shared" ca="1" si="6"/>
        <v/>
      </c>
      <c r="AP13" s="14" t="str">
        <f t="shared" ca="1" si="6"/>
        <v/>
      </c>
      <c r="AQ13" s="14" t="str">
        <f t="shared" ca="1" si="6"/>
        <v/>
      </c>
      <c r="AR13" s="14" t="str">
        <f t="shared" ca="1" si="6"/>
        <v/>
      </c>
      <c r="AS13" s="14" t="str">
        <f t="shared" ca="1" si="6"/>
        <v/>
      </c>
      <c r="AT13" s="14" t="str">
        <f t="shared" ca="1" si="6"/>
        <v/>
      </c>
      <c r="AU13" s="14" t="str">
        <f t="shared" ca="1" si="6"/>
        <v/>
      </c>
      <c r="AV13" s="14" t="str">
        <f t="shared" ca="1" si="6"/>
        <v/>
      </c>
      <c r="AW13" s="14" t="str">
        <f t="shared" ca="1" si="6"/>
        <v/>
      </c>
      <c r="AX13" s="14" t="str">
        <f t="shared" ca="1" si="6"/>
        <v/>
      </c>
      <c r="AY13" s="14" t="str">
        <f t="shared" ca="1" si="6"/>
        <v/>
      </c>
      <c r="AZ13" s="14" t="str">
        <f t="shared" ca="1" si="6"/>
        <v/>
      </c>
      <c r="BA13" s="14" t="str">
        <f t="shared" ca="1" si="6"/>
        <v/>
      </c>
      <c r="BB13" s="14" t="str">
        <f t="shared" ca="1" si="6"/>
        <v/>
      </c>
      <c r="BC13" s="14" t="str">
        <f t="shared" ca="1" si="6"/>
        <v/>
      </c>
      <c r="BD13" s="14" t="str">
        <f t="shared" ca="1" si="6"/>
        <v/>
      </c>
      <c r="BE13" s="14" t="str">
        <f t="shared" ca="1" si="6"/>
        <v/>
      </c>
      <c r="BF13" s="14" t="str">
        <f t="shared" ca="1" si="6"/>
        <v/>
      </c>
      <c r="BG13" s="14" t="str">
        <f t="shared" ca="1" si="6"/>
        <v/>
      </c>
      <c r="BH13" s="14" t="str">
        <f t="shared" ca="1" si="6"/>
        <v/>
      </c>
      <c r="BI13" s="14" t="str">
        <f t="shared" ca="1" si="6"/>
        <v/>
      </c>
      <c r="BJ13" s="14" t="str">
        <f t="shared" ca="1" si="6"/>
        <v/>
      </c>
      <c r="BK13" s="14" t="str">
        <f t="shared" ca="1" si="6"/>
        <v/>
      </c>
      <c r="BL13" s="14" t="str">
        <f t="shared" ca="1" si="6"/>
        <v/>
      </c>
      <c r="BM13" s="14" t="str">
        <f t="shared" ca="1" si="6"/>
        <v/>
      </c>
      <c r="BN13" s="14" t="str">
        <f t="shared" ca="1" si="6"/>
        <v/>
      </c>
      <c r="BO13" s="14" t="str">
        <f t="shared" ca="1" si="6"/>
        <v/>
      </c>
      <c r="BP13" s="14" t="str">
        <f t="shared" ref="BP13:CZ13" ca="1" si="7">IF(BP$11="","",IF(BP$11-$N$3=100, $M$5,IF(BP$11-$N$3=101, $M$6,IF(BP$11-$N$3=102, $M$7,IF(BP$11-$N$3=103, $M$8,IF(BP$11&lt;$D$7,OFFSET(INDIRECT($D$3),$A13-1,$Q$3+BP$11),OFFSET(INDIRECT($D$4),$A13-1,$Q$4+BP$11)))))))</f>
        <v/>
      </c>
      <c r="BQ13" s="14" t="str">
        <f t="shared" ca="1" si="7"/>
        <v/>
      </c>
      <c r="BR13" s="14" t="str">
        <f t="shared" ca="1" si="7"/>
        <v/>
      </c>
      <c r="BS13" s="14" t="str">
        <f t="shared" ca="1" si="7"/>
        <v/>
      </c>
      <c r="BT13" s="14" t="str">
        <f t="shared" ca="1" si="7"/>
        <v/>
      </c>
      <c r="BU13" s="14" t="str">
        <f t="shared" ca="1" si="7"/>
        <v/>
      </c>
      <c r="BV13" s="14" t="str">
        <f t="shared" ca="1" si="7"/>
        <v/>
      </c>
      <c r="BW13" s="14" t="str">
        <f t="shared" ca="1" si="7"/>
        <v/>
      </c>
      <c r="BX13" s="14" t="str">
        <f t="shared" ca="1" si="7"/>
        <v/>
      </c>
      <c r="BY13" s="14" t="str">
        <f t="shared" ca="1" si="7"/>
        <v/>
      </c>
      <c r="BZ13" s="14" t="str">
        <f t="shared" ca="1" si="7"/>
        <v/>
      </c>
      <c r="CA13" s="14" t="str">
        <f t="shared" ca="1" si="7"/>
        <v/>
      </c>
      <c r="CB13" s="14" t="str">
        <f t="shared" ca="1" si="7"/>
        <v/>
      </c>
      <c r="CC13" s="14" t="str">
        <f t="shared" ca="1" si="7"/>
        <v/>
      </c>
      <c r="CD13" s="14" t="str">
        <f t="shared" ca="1" si="7"/>
        <v/>
      </c>
      <c r="CE13" s="14" t="str">
        <f t="shared" ca="1" si="7"/>
        <v/>
      </c>
      <c r="CF13" s="14" t="str">
        <f t="shared" ca="1" si="7"/>
        <v/>
      </c>
      <c r="CG13" s="14" t="str">
        <f t="shared" ca="1" si="7"/>
        <v/>
      </c>
      <c r="CH13" s="14" t="str">
        <f t="shared" ca="1" si="7"/>
        <v/>
      </c>
      <c r="CI13" s="14" t="str">
        <f t="shared" ca="1" si="7"/>
        <v/>
      </c>
      <c r="CJ13" s="14" t="str">
        <f t="shared" ca="1" si="7"/>
        <v/>
      </c>
      <c r="CK13" s="14" t="str">
        <f t="shared" ca="1" si="7"/>
        <v/>
      </c>
      <c r="CL13" s="14" t="str">
        <f t="shared" ca="1" si="7"/>
        <v/>
      </c>
      <c r="CM13" s="14" t="str">
        <f t="shared" ca="1" si="7"/>
        <v/>
      </c>
      <c r="CN13" s="14" t="str">
        <f t="shared" ca="1" si="7"/>
        <v/>
      </c>
      <c r="CO13" s="14" t="str">
        <f t="shared" ca="1" si="7"/>
        <v/>
      </c>
      <c r="CP13" s="14" t="str">
        <f t="shared" ca="1" si="7"/>
        <v/>
      </c>
      <c r="CQ13" s="14" t="str">
        <f t="shared" ca="1" si="7"/>
        <v/>
      </c>
      <c r="CR13" s="14" t="str">
        <f t="shared" ca="1" si="7"/>
        <v/>
      </c>
      <c r="CS13" s="14" t="str">
        <f t="shared" ca="1" si="7"/>
        <v/>
      </c>
      <c r="CT13" s="14" t="str">
        <f t="shared" ca="1" si="7"/>
        <v/>
      </c>
      <c r="CU13" s="14" t="str">
        <f t="shared" ca="1" si="7"/>
        <v/>
      </c>
      <c r="CV13" s="14" t="str">
        <f t="shared" ca="1" si="7"/>
        <v/>
      </c>
      <c r="CW13" s="14" t="str">
        <f t="shared" ca="1" si="7"/>
        <v/>
      </c>
      <c r="CX13" s="14" t="str">
        <f t="shared" ca="1" si="7"/>
        <v/>
      </c>
      <c r="CY13" s="14" t="str">
        <f t="shared" ca="1" si="7"/>
        <v/>
      </c>
      <c r="CZ13" s="14" t="str">
        <f t="shared" ca="1" si="7"/>
        <v/>
      </c>
    </row>
    <row r="14" spans="1:104" s="4" customFormat="1" ht="13.5" customHeight="1">
      <c r="A14" s="27">
        <v>8</v>
      </c>
      <c r="B14" s="2"/>
      <c r="C14" s="7" t="s">
        <v>463</v>
      </c>
      <c r="D14" s="13">
        <f t="shared" ref="D14:AI14" ca="1" si="8">IF(D$11="","",IF(D13=$M$5,"-",IF(D13=$M$6,TEXT(OFFSET($A13,,MATCH($D$7-1,11:11,0)-1),"m/d/yyyy"),IF(D13=$M$7,$M$4,IF(D13=$M$8,$M$4,IF(D$11&lt;$D$7,OFFSET(INDIRECT($D$3),$A14-1,$Q$3+D$11),OFFSET(INDIRECT($D$4),$A14-1,$Q$4+D$11)))))))</f>
        <v>4</v>
      </c>
      <c r="E14" s="13">
        <f t="shared" ca="1" si="8"/>
        <v>4</v>
      </c>
      <c r="F14" s="13">
        <f t="shared" ca="1" si="8"/>
        <v>2</v>
      </c>
      <c r="G14" s="13">
        <f t="shared" ca="1" si="8"/>
        <v>3</v>
      </c>
      <c r="H14" s="13">
        <f t="shared" ca="1" si="8"/>
        <v>4</v>
      </c>
      <c r="I14" s="13">
        <f t="shared" ca="1" si="8"/>
        <v>1</v>
      </c>
      <c r="J14" s="13">
        <f t="shared" ca="1" si="8"/>
        <v>2</v>
      </c>
      <c r="K14" s="13">
        <f t="shared" ca="1" si="8"/>
        <v>3</v>
      </c>
      <c r="L14" s="13">
        <f t="shared" ca="1" si="8"/>
        <v>4</v>
      </c>
      <c r="M14" s="13">
        <f t="shared" ca="1" si="8"/>
        <v>1</v>
      </c>
      <c r="N14" s="13" t="str">
        <f t="shared" ca="1" si="8"/>
        <v>-</v>
      </c>
      <c r="O14" s="13" t="str">
        <f t="shared" ca="1" si="8"/>
        <v>9/1/2012</v>
      </c>
      <c r="P14" s="13" t="str">
        <f t="shared" ca="1" si="8"/>
        <v>Stub</v>
      </c>
      <c r="Q14" s="13" t="str">
        <f t="shared" ca="1" si="8"/>
        <v>Stub</v>
      </c>
      <c r="R14" s="13" t="str">
        <f t="shared" ca="1" si="8"/>
        <v/>
      </c>
      <c r="S14" s="13" t="str">
        <f t="shared" ca="1" si="8"/>
        <v/>
      </c>
      <c r="T14" s="13" t="str">
        <f t="shared" ca="1" si="8"/>
        <v/>
      </c>
      <c r="U14" s="13" t="str">
        <f t="shared" ca="1" si="8"/>
        <v/>
      </c>
      <c r="V14" s="13" t="str">
        <f t="shared" ca="1" si="8"/>
        <v/>
      </c>
      <c r="W14" s="13" t="str">
        <f t="shared" ca="1" si="8"/>
        <v/>
      </c>
      <c r="X14" s="33" t="str">
        <f t="shared" ca="1" si="8"/>
        <v/>
      </c>
      <c r="Y14" s="33" t="str">
        <f t="shared" ca="1" si="8"/>
        <v/>
      </c>
      <c r="Z14" s="33" t="str">
        <f t="shared" ca="1" si="8"/>
        <v/>
      </c>
      <c r="AA14" s="33" t="str">
        <f t="shared" ca="1" si="8"/>
        <v/>
      </c>
      <c r="AB14" s="33" t="str">
        <f t="shared" ca="1" si="8"/>
        <v/>
      </c>
      <c r="AC14" s="33" t="str">
        <f t="shared" ca="1" si="8"/>
        <v/>
      </c>
      <c r="AD14" s="33" t="str">
        <f t="shared" ca="1" si="8"/>
        <v/>
      </c>
      <c r="AE14" s="33" t="str">
        <f t="shared" ca="1" si="8"/>
        <v/>
      </c>
      <c r="AF14" s="33" t="str">
        <f t="shared" ca="1" si="8"/>
        <v/>
      </c>
      <c r="AG14" s="33" t="str">
        <f t="shared" ca="1" si="8"/>
        <v/>
      </c>
      <c r="AH14" s="33" t="str">
        <f t="shared" ca="1" si="8"/>
        <v/>
      </c>
      <c r="AI14" s="33" t="str">
        <f t="shared" ca="1" si="8"/>
        <v/>
      </c>
      <c r="AJ14" s="33" t="str">
        <f t="shared" ref="AJ14:BO14" ca="1" si="9">IF(AJ$11="","",IF(AJ13=$M$5,"-",IF(AJ13=$M$6,TEXT(OFFSET($A13,,MATCH($D$7-1,11:11,0)-1),"m/d/yyyy"),IF(AJ13=$M$7,$M$4,IF(AJ13=$M$8,$M$4,IF(AJ$11&lt;$D$7,OFFSET(INDIRECT($D$3),$A14-1,$Q$3+AJ$11),OFFSET(INDIRECT($D$4),$A14-1,$Q$4+AJ$11)))))))</f>
        <v/>
      </c>
      <c r="AK14" s="33" t="str">
        <f t="shared" ca="1" si="9"/>
        <v/>
      </c>
      <c r="AL14" s="33" t="str">
        <f t="shared" ca="1" si="9"/>
        <v/>
      </c>
      <c r="AM14" s="33" t="str">
        <f t="shared" ca="1" si="9"/>
        <v/>
      </c>
      <c r="AN14" s="33" t="str">
        <f t="shared" ca="1" si="9"/>
        <v/>
      </c>
      <c r="AO14" s="33" t="str">
        <f t="shared" ca="1" si="9"/>
        <v/>
      </c>
      <c r="AP14" s="33" t="str">
        <f t="shared" ca="1" si="9"/>
        <v/>
      </c>
      <c r="AQ14" s="33" t="str">
        <f t="shared" ca="1" si="9"/>
        <v/>
      </c>
      <c r="AR14" s="33" t="str">
        <f t="shared" ca="1" si="9"/>
        <v/>
      </c>
      <c r="AS14" s="33" t="str">
        <f t="shared" ca="1" si="9"/>
        <v/>
      </c>
      <c r="AT14" s="33" t="str">
        <f t="shared" ca="1" si="9"/>
        <v/>
      </c>
      <c r="AU14" s="33" t="str">
        <f t="shared" ca="1" si="9"/>
        <v/>
      </c>
      <c r="AV14" s="33" t="str">
        <f t="shared" ca="1" si="9"/>
        <v/>
      </c>
      <c r="AW14" s="33" t="str">
        <f t="shared" ca="1" si="9"/>
        <v/>
      </c>
      <c r="AX14" s="33" t="str">
        <f t="shared" ca="1" si="9"/>
        <v/>
      </c>
      <c r="AY14" s="33" t="str">
        <f t="shared" ca="1" si="9"/>
        <v/>
      </c>
      <c r="AZ14" s="33" t="str">
        <f t="shared" ca="1" si="9"/>
        <v/>
      </c>
      <c r="BA14" s="33" t="str">
        <f t="shared" ca="1" si="9"/>
        <v/>
      </c>
      <c r="BB14" s="33" t="str">
        <f t="shared" ca="1" si="9"/>
        <v/>
      </c>
      <c r="BC14" s="33" t="str">
        <f t="shared" ca="1" si="9"/>
        <v/>
      </c>
      <c r="BD14" s="33" t="str">
        <f t="shared" ca="1" si="9"/>
        <v/>
      </c>
      <c r="BE14" s="33" t="str">
        <f t="shared" ca="1" si="9"/>
        <v/>
      </c>
      <c r="BF14" s="33" t="str">
        <f t="shared" ca="1" si="9"/>
        <v/>
      </c>
      <c r="BG14" s="33" t="str">
        <f t="shared" ca="1" si="9"/>
        <v/>
      </c>
      <c r="BH14" s="33" t="str">
        <f t="shared" ca="1" si="9"/>
        <v/>
      </c>
      <c r="BI14" s="33" t="str">
        <f t="shared" ca="1" si="9"/>
        <v/>
      </c>
      <c r="BJ14" s="33" t="str">
        <f t="shared" ca="1" si="9"/>
        <v/>
      </c>
      <c r="BK14" s="33" t="str">
        <f t="shared" ca="1" si="9"/>
        <v/>
      </c>
      <c r="BL14" s="33" t="str">
        <f t="shared" ca="1" si="9"/>
        <v/>
      </c>
      <c r="BM14" s="33" t="str">
        <f t="shared" ca="1" si="9"/>
        <v/>
      </c>
      <c r="BN14" s="33" t="str">
        <f t="shared" ca="1" si="9"/>
        <v/>
      </c>
      <c r="BO14" s="33" t="str">
        <f t="shared" ca="1" si="9"/>
        <v/>
      </c>
      <c r="BP14" s="33" t="str">
        <f t="shared" ref="BP14:CU14" ca="1" si="10">IF(BP$11="","",IF(BP13=$M$5,"-",IF(BP13=$M$6,TEXT(OFFSET($A13,,MATCH($D$7-1,11:11,0)-1),"m/d/yyyy"),IF(BP13=$M$7,$M$4,IF(BP13=$M$8,$M$4,IF(BP$11&lt;$D$7,OFFSET(INDIRECT($D$3),$A14-1,$Q$3+BP$11),OFFSET(INDIRECT($D$4),$A14-1,$Q$4+BP$11)))))))</f>
        <v/>
      </c>
      <c r="BQ14" s="33" t="str">
        <f t="shared" ca="1" si="10"/>
        <v/>
      </c>
      <c r="BR14" s="33" t="str">
        <f t="shared" ca="1" si="10"/>
        <v/>
      </c>
      <c r="BS14" s="33" t="str">
        <f t="shared" ca="1" si="10"/>
        <v/>
      </c>
      <c r="BT14" s="33" t="str">
        <f t="shared" ca="1" si="10"/>
        <v/>
      </c>
      <c r="BU14" s="33" t="str">
        <f t="shared" ca="1" si="10"/>
        <v/>
      </c>
      <c r="BV14" s="33" t="str">
        <f t="shared" ca="1" si="10"/>
        <v/>
      </c>
      <c r="BW14" s="33" t="str">
        <f t="shared" ca="1" si="10"/>
        <v/>
      </c>
      <c r="BX14" s="33" t="str">
        <f t="shared" ca="1" si="10"/>
        <v/>
      </c>
      <c r="BY14" s="33" t="str">
        <f t="shared" ca="1" si="10"/>
        <v/>
      </c>
      <c r="BZ14" s="33" t="str">
        <f t="shared" ca="1" si="10"/>
        <v/>
      </c>
      <c r="CA14" s="33" t="str">
        <f t="shared" ca="1" si="10"/>
        <v/>
      </c>
      <c r="CB14" s="33" t="str">
        <f t="shared" ca="1" si="10"/>
        <v/>
      </c>
      <c r="CC14" s="33" t="str">
        <f t="shared" ca="1" si="10"/>
        <v/>
      </c>
      <c r="CD14" s="33" t="str">
        <f t="shared" ca="1" si="10"/>
        <v/>
      </c>
      <c r="CE14" s="33" t="str">
        <f t="shared" ca="1" si="10"/>
        <v/>
      </c>
      <c r="CF14" s="33" t="str">
        <f t="shared" ca="1" si="10"/>
        <v/>
      </c>
      <c r="CG14" s="33" t="str">
        <f t="shared" ca="1" si="10"/>
        <v/>
      </c>
      <c r="CH14" s="33" t="str">
        <f t="shared" ca="1" si="10"/>
        <v/>
      </c>
      <c r="CI14" s="33" t="str">
        <f t="shared" ca="1" si="10"/>
        <v/>
      </c>
      <c r="CJ14" s="33" t="str">
        <f t="shared" ca="1" si="10"/>
        <v/>
      </c>
      <c r="CK14" s="33" t="str">
        <f t="shared" ca="1" si="10"/>
        <v/>
      </c>
      <c r="CL14" s="33" t="str">
        <f t="shared" ca="1" si="10"/>
        <v/>
      </c>
      <c r="CM14" s="33" t="str">
        <f t="shared" ca="1" si="10"/>
        <v/>
      </c>
      <c r="CN14" s="33" t="str">
        <f t="shared" ca="1" si="10"/>
        <v/>
      </c>
      <c r="CO14" s="33" t="str">
        <f t="shared" ca="1" si="10"/>
        <v/>
      </c>
      <c r="CP14" s="33" t="str">
        <f t="shared" ca="1" si="10"/>
        <v/>
      </c>
      <c r="CQ14" s="33" t="str">
        <f t="shared" ca="1" si="10"/>
        <v/>
      </c>
      <c r="CR14" s="33" t="str">
        <f t="shared" ca="1" si="10"/>
        <v/>
      </c>
      <c r="CS14" s="33" t="str">
        <f t="shared" ca="1" si="10"/>
        <v/>
      </c>
      <c r="CT14" s="33" t="str">
        <f t="shared" ca="1" si="10"/>
        <v/>
      </c>
      <c r="CU14" s="33" t="str">
        <f t="shared" ca="1" si="10"/>
        <v/>
      </c>
      <c r="CV14" s="33" t="str">
        <f t="shared" ref="CV14:CZ14" ca="1" si="11">IF(CV$11="","",IF(CV13=$M$5,"-",IF(CV13=$M$6,TEXT(OFFSET($A13,,MATCH($D$7-1,11:11,0)-1),"m/d/yyyy"),IF(CV13=$M$7,$M$4,IF(CV13=$M$8,$M$4,IF(CV$11&lt;$D$7,OFFSET(INDIRECT($D$3),$A14-1,$Q$3+CV$11),OFFSET(INDIRECT($D$4),$A14-1,$Q$4+CV$11)))))))</f>
        <v/>
      </c>
      <c r="CW14" s="33" t="str">
        <f t="shared" ca="1" si="11"/>
        <v/>
      </c>
      <c r="CX14" s="33" t="str">
        <f t="shared" ca="1" si="11"/>
        <v/>
      </c>
      <c r="CY14" s="33" t="str">
        <f t="shared" ca="1" si="11"/>
        <v/>
      </c>
      <c r="CZ14" s="33" t="str">
        <f t="shared" ca="1" si="11"/>
        <v/>
      </c>
    </row>
    <row r="15" spans="1:104" ht="13.5" customHeight="1">
      <c r="A15" s="27"/>
      <c r="B15" s="32"/>
      <c r="C15" s="32"/>
      <c r="D15" s="33"/>
      <c r="E15" s="33"/>
      <c r="F15" s="33"/>
      <c r="G15" s="33"/>
      <c r="H15" s="33"/>
      <c r="I15" s="33"/>
      <c r="J15" s="33"/>
      <c r="K15" s="33"/>
      <c r="L15" s="33"/>
      <c r="M15" s="33"/>
      <c r="N15" s="33"/>
      <c r="O15" s="33"/>
      <c r="P15" s="33"/>
      <c r="Q15" s="33"/>
      <c r="R15" s="33"/>
      <c r="S15" s="33"/>
      <c r="T15" s="33"/>
      <c r="U15" s="33"/>
      <c r="V15" s="33"/>
      <c r="W15" s="33"/>
      <c r="X15" s="33"/>
      <c r="Y15" s="33"/>
      <c r="Z15" s="33"/>
      <c r="AA15" s="33"/>
      <c r="AB15" s="33"/>
      <c r="AC15" s="33"/>
      <c r="AD15" s="33"/>
      <c r="AE15" s="33"/>
      <c r="AF15" s="33"/>
      <c r="AG15" s="33"/>
      <c r="AH15" s="33"/>
      <c r="AI15" s="33"/>
      <c r="AJ15" s="33"/>
      <c r="AK15" s="33"/>
      <c r="AL15" s="33"/>
      <c r="AM15" s="33"/>
      <c r="AN15" s="33"/>
      <c r="AO15" s="33"/>
      <c r="AP15" s="33"/>
      <c r="AQ15" s="33"/>
      <c r="AR15" s="33"/>
      <c r="AS15" s="33"/>
      <c r="AT15" s="33"/>
      <c r="AU15" s="33"/>
      <c r="AV15" s="33"/>
      <c r="AW15" s="33"/>
      <c r="AX15" s="33"/>
      <c r="AY15" s="33"/>
      <c r="AZ15" s="33"/>
      <c r="BA15" s="33"/>
      <c r="BB15" s="33"/>
      <c r="BC15" s="33"/>
      <c r="BD15" s="33"/>
      <c r="BE15" s="33"/>
      <c r="BF15" s="33"/>
      <c r="BG15" s="33"/>
      <c r="BH15" s="33"/>
      <c r="BI15" s="33"/>
      <c r="BJ15" s="33"/>
      <c r="BK15" s="33"/>
      <c r="BL15" s="33"/>
      <c r="BM15" s="33"/>
      <c r="BN15" s="33"/>
      <c r="BO15" s="33"/>
      <c r="BP15" s="33"/>
      <c r="BQ15" s="33"/>
      <c r="BR15" s="33"/>
      <c r="BS15" s="33"/>
      <c r="BT15" s="33"/>
      <c r="BU15" s="33"/>
      <c r="BV15" s="33"/>
      <c r="BW15" s="33"/>
      <c r="BX15" s="33"/>
      <c r="BY15" s="33"/>
      <c r="BZ15" s="33"/>
      <c r="CA15" s="33"/>
      <c r="CB15" s="33"/>
      <c r="CC15" s="33"/>
      <c r="CD15" s="33"/>
      <c r="CE15" s="33"/>
      <c r="CF15" s="33"/>
      <c r="CG15" s="33"/>
      <c r="CH15" s="33"/>
      <c r="CI15" s="33"/>
      <c r="CJ15" s="33"/>
      <c r="CK15" s="33"/>
      <c r="CL15" s="33"/>
      <c r="CM15" s="33"/>
      <c r="CN15" s="33"/>
      <c r="CO15" s="33"/>
      <c r="CP15" s="33"/>
      <c r="CQ15" s="33"/>
      <c r="CR15" s="33"/>
      <c r="CS15" s="33"/>
      <c r="CT15" s="33"/>
      <c r="CU15" s="33"/>
      <c r="CV15" s="33"/>
      <c r="CW15" s="33"/>
      <c r="CX15" s="33"/>
      <c r="CY15" s="33"/>
      <c r="CZ15" s="33"/>
    </row>
    <row r="16" spans="1:104" ht="13.5" customHeight="1">
      <c r="A16" s="28">
        <v>15</v>
      </c>
      <c r="B16" s="32"/>
      <c r="C16" s="9" t="s">
        <v>293</v>
      </c>
      <c r="D16" s="34">
        <f ca="1">IF(D$13="","",+D17-D18)</f>
        <v>108249</v>
      </c>
      <c r="E16" s="34">
        <f t="shared" ref="E16:BP16" ca="1" si="12">IF(E$13="","",+E17-E18)</f>
        <v>156508</v>
      </c>
      <c r="F16" s="34">
        <f t="shared" ca="1" si="12"/>
        <v>24667</v>
      </c>
      <c r="G16" s="34">
        <f t="shared" ca="1" si="12"/>
        <v>28571</v>
      </c>
      <c r="H16" s="34">
        <f t="shared" ca="1" si="12"/>
        <v>28270</v>
      </c>
      <c r="I16" s="34">
        <f t="shared" ca="1" si="12"/>
        <v>46333</v>
      </c>
      <c r="J16" s="34">
        <f t="shared" ca="1" si="12"/>
        <v>39186</v>
      </c>
      <c r="K16" s="34">
        <f t="shared" ca="1" si="12"/>
        <v>35023</v>
      </c>
      <c r="L16" s="34">
        <f t="shared" ca="1" si="12"/>
        <v>35966</v>
      </c>
      <c r="M16" s="34">
        <f t="shared" ca="1" si="12"/>
        <v>54512</v>
      </c>
      <c r="N16" s="34">
        <f t="shared" ca="1" si="12"/>
        <v>164687</v>
      </c>
      <c r="O16" s="34">
        <f t="shared" ca="1" si="12"/>
        <v>156508</v>
      </c>
      <c r="P16" s="34">
        <f t="shared" ca="1" si="12"/>
        <v>54512</v>
      </c>
      <c r="Q16" s="34">
        <f t="shared" ca="1" si="12"/>
        <v>46333</v>
      </c>
      <c r="R16" s="34" t="str">
        <f t="shared" ca="1" si="12"/>
        <v/>
      </c>
      <c r="S16" s="34" t="str">
        <f t="shared" ca="1" si="12"/>
        <v/>
      </c>
      <c r="T16" s="34" t="str">
        <f t="shared" ca="1" si="12"/>
        <v/>
      </c>
      <c r="U16" s="34" t="str">
        <f t="shared" ca="1" si="12"/>
        <v/>
      </c>
      <c r="V16" s="34" t="str">
        <f t="shared" ca="1" si="12"/>
        <v/>
      </c>
      <c r="W16" s="34" t="str">
        <f t="shared" ca="1" si="12"/>
        <v/>
      </c>
      <c r="X16" s="34" t="str">
        <f t="shared" ca="1" si="12"/>
        <v/>
      </c>
      <c r="Y16" s="34" t="str">
        <f t="shared" ca="1" si="12"/>
        <v/>
      </c>
      <c r="Z16" s="34" t="str">
        <f t="shared" ca="1" si="12"/>
        <v/>
      </c>
      <c r="AA16" s="34" t="str">
        <f t="shared" ca="1" si="12"/>
        <v/>
      </c>
      <c r="AB16" s="34" t="str">
        <f t="shared" ca="1" si="12"/>
        <v/>
      </c>
      <c r="AC16" s="34" t="str">
        <f t="shared" ca="1" si="12"/>
        <v/>
      </c>
      <c r="AD16" s="34" t="str">
        <f t="shared" ca="1" si="12"/>
        <v/>
      </c>
      <c r="AE16" s="34" t="str">
        <f t="shared" ca="1" si="12"/>
        <v/>
      </c>
      <c r="AF16" s="34" t="str">
        <f t="shared" ca="1" si="12"/>
        <v/>
      </c>
      <c r="AG16" s="34" t="str">
        <f t="shared" ca="1" si="12"/>
        <v/>
      </c>
      <c r="AH16" s="34" t="str">
        <f t="shared" ca="1" si="12"/>
        <v/>
      </c>
      <c r="AI16" s="34" t="str">
        <f t="shared" ca="1" si="12"/>
        <v/>
      </c>
      <c r="AJ16" s="34" t="str">
        <f t="shared" ca="1" si="12"/>
        <v/>
      </c>
      <c r="AK16" s="34" t="str">
        <f t="shared" ca="1" si="12"/>
        <v/>
      </c>
      <c r="AL16" s="34" t="str">
        <f t="shared" ca="1" si="12"/>
        <v/>
      </c>
      <c r="AM16" s="34" t="str">
        <f t="shared" ca="1" si="12"/>
        <v/>
      </c>
      <c r="AN16" s="34" t="str">
        <f t="shared" ca="1" si="12"/>
        <v/>
      </c>
      <c r="AO16" s="34" t="str">
        <f t="shared" ca="1" si="12"/>
        <v/>
      </c>
      <c r="AP16" s="34" t="str">
        <f t="shared" ca="1" si="12"/>
        <v/>
      </c>
      <c r="AQ16" s="34" t="str">
        <f t="shared" ca="1" si="12"/>
        <v/>
      </c>
      <c r="AR16" s="34" t="str">
        <f t="shared" ca="1" si="12"/>
        <v/>
      </c>
      <c r="AS16" s="34" t="str">
        <f t="shared" ca="1" si="12"/>
        <v/>
      </c>
      <c r="AT16" s="34" t="str">
        <f t="shared" ca="1" si="12"/>
        <v/>
      </c>
      <c r="AU16" s="34" t="str">
        <f t="shared" ca="1" si="12"/>
        <v/>
      </c>
      <c r="AV16" s="34" t="str">
        <f t="shared" ca="1" si="12"/>
        <v/>
      </c>
      <c r="AW16" s="34" t="str">
        <f t="shared" ca="1" si="12"/>
        <v/>
      </c>
      <c r="AX16" s="34" t="str">
        <f t="shared" ca="1" si="12"/>
        <v/>
      </c>
      <c r="AY16" s="34" t="str">
        <f t="shared" ca="1" si="12"/>
        <v/>
      </c>
      <c r="AZ16" s="34" t="str">
        <f t="shared" ca="1" si="12"/>
        <v/>
      </c>
      <c r="BA16" s="34" t="str">
        <f t="shared" ca="1" si="12"/>
        <v/>
      </c>
      <c r="BB16" s="34" t="str">
        <f t="shared" ca="1" si="12"/>
        <v/>
      </c>
      <c r="BC16" s="34" t="str">
        <f t="shared" ca="1" si="12"/>
        <v/>
      </c>
      <c r="BD16" s="34" t="str">
        <f t="shared" ca="1" si="12"/>
        <v/>
      </c>
      <c r="BE16" s="34" t="str">
        <f t="shared" ca="1" si="12"/>
        <v/>
      </c>
      <c r="BF16" s="34" t="str">
        <f t="shared" ca="1" si="12"/>
        <v/>
      </c>
      <c r="BG16" s="34" t="str">
        <f t="shared" ca="1" si="12"/>
        <v/>
      </c>
      <c r="BH16" s="34" t="str">
        <f t="shared" ca="1" si="12"/>
        <v/>
      </c>
      <c r="BI16" s="34" t="str">
        <f t="shared" ca="1" si="12"/>
        <v/>
      </c>
      <c r="BJ16" s="34" t="str">
        <f t="shared" ca="1" si="12"/>
        <v/>
      </c>
      <c r="BK16" s="34" t="str">
        <f t="shared" ca="1" si="12"/>
        <v/>
      </c>
      <c r="BL16" s="34" t="str">
        <f t="shared" ca="1" si="12"/>
        <v/>
      </c>
      <c r="BM16" s="34" t="str">
        <f t="shared" ca="1" si="12"/>
        <v/>
      </c>
      <c r="BN16" s="34" t="str">
        <f t="shared" ca="1" si="12"/>
        <v/>
      </c>
      <c r="BO16" s="34" t="str">
        <f t="shared" ca="1" si="12"/>
        <v/>
      </c>
      <c r="BP16" s="34" t="str">
        <f t="shared" ca="1" si="12"/>
        <v/>
      </c>
      <c r="BQ16" s="34" t="str">
        <f t="shared" ref="BQ16:CZ16" ca="1" si="13">IF(BQ$13="","",+BQ17-BQ18)</f>
        <v/>
      </c>
      <c r="BR16" s="34" t="str">
        <f t="shared" ca="1" si="13"/>
        <v/>
      </c>
      <c r="BS16" s="34" t="str">
        <f t="shared" ca="1" si="13"/>
        <v/>
      </c>
      <c r="BT16" s="34" t="str">
        <f t="shared" ca="1" si="13"/>
        <v/>
      </c>
      <c r="BU16" s="34" t="str">
        <f t="shared" ca="1" si="13"/>
        <v/>
      </c>
      <c r="BV16" s="34" t="str">
        <f t="shared" ca="1" si="13"/>
        <v/>
      </c>
      <c r="BW16" s="34" t="str">
        <f t="shared" ca="1" si="13"/>
        <v/>
      </c>
      <c r="BX16" s="34" t="str">
        <f t="shared" ca="1" si="13"/>
        <v/>
      </c>
      <c r="BY16" s="34" t="str">
        <f t="shared" ca="1" si="13"/>
        <v/>
      </c>
      <c r="BZ16" s="34" t="str">
        <f t="shared" ca="1" si="13"/>
        <v/>
      </c>
      <c r="CA16" s="34" t="str">
        <f t="shared" ca="1" si="13"/>
        <v/>
      </c>
      <c r="CB16" s="34" t="str">
        <f t="shared" ca="1" si="13"/>
        <v/>
      </c>
      <c r="CC16" s="34" t="str">
        <f t="shared" ca="1" si="13"/>
        <v/>
      </c>
      <c r="CD16" s="34" t="str">
        <f t="shared" ca="1" si="13"/>
        <v/>
      </c>
      <c r="CE16" s="34" t="str">
        <f t="shared" ca="1" si="13"/>
        <v/>
      </c>
      <c r="CF16" s="34" t="str">
        <f t="shared" ca="1" si="13"/>
        <v/>
      </c>
      <c r="CG16" s="34" t="str">
        <f t="shared" ca="1" si="13"/>
        <v/>
      </c>
      <c r="CH16" s="34" t="str">
        <f t="shared" ca="1" si="13"/>
        <v/>
      </c>
      <c r="CI16" s="34" t="str">
        <f t="shared" ca="1" si="13"/>
        <v/>
      </c>
      <c r="CJ16" s="34" t="str">
        <f t="shared" ca="1" si="13"/>
        <v/>
      </c>
      <c r="CK16" s="34" t="str">
        <f t="shared" ca="1" si="13"/>
        <v/>
      </c>
      <c r="CL16" s="34" t="str">
        <f t="shared" ca="1" si="13"/>
        <v/>
      </c>
      <c r="CM16" s="34" t="str">
        <f t="shared" ca="1" si="13"/>
        <v/>
      </c>
      <c r="CN16" s="34" t="str">
        <f t="shared" ca="1" si="13"/>
        <v/>
      </c>
      <c r="CO16" s="34" t="str">
        <f t="shared" ca="1" si="13"/>
        <v/>
      </c>
      <c r="CP16" s="34" t="str">
        <f t="shared" ca="1" si="13"/>
        <v/>
      </c>
      <c r="CQ16" s="34" t="str">
        <f t="shared" ca="1" si="13"/>
        <v/>
      </c>
      <c r="CR16" s="34" t="str">
        <f t="shared" ca="1" si="13"/>
        <v/>
      </c>
      <c r="CS16" s="34" t="str">
        <f t="shared" ca="1" si="13"/>
        <v/>
      </c>
      <c r="CT16" s="34" t="str">
        <f t="shared" ca="1" si="13"/>
        <v/>
      </c>
      <c r="CU16" s="34" t="str">
        <f t="shared" ca="1" si="13"/>
        <v/>
      </c>
      <c r="CV16" s="34" t="str">
        <f t="shared" ca="1" si="13"/>
        <v/>
      </c>
      <c r="CW16" s="34" t="str">
        <f t="shared" ca="1" si="13"/>
        <v/>
      </c>
      <c r="CX16" s="34" t="str">
        <f t="shared" ca="1" si="13"/>
        <v/>
      </c>
      <c r="CY16" s="34" t="str">
        <f t="shared" ca="1" si="13"/>
        <v/>
      </c>
      <c r="CZ16" s="34" t="str">
        <f t="shared" ca="1" si="13"/>
        <v/>
      </c>
    </row>
    <row r="17" spans="1:104" ht="13.5" customHeight="1">
      <c r="A17" s="27">
        <v>14</v>
      </c>
      <c r="B17" s="33">
        <f t="shared" ref="B17:B80" si="14">ROW($A17)</f>
        <v>17</v>
      </c>
      <c r="C17" s="8" t="s">
        <v>294</v>
      </c>
      <c r="D17" s="23">
        <f t="shared" ref="D17:N21" ca="1" si="15">IF(D$11="","",IF(D$13=$M$5,CHOOSE($Q$6+1,$M$1,E17+F17-G17),IF(D$13=$M$6,CHOOSE($Q$6+1,$M$1,OFFSET($A17,,$P$7-1)),IF(D$13=$M$7,CHOOSE($Q$6+1,$M$1,SUM(OFFSET($A$11,$B17-$O$5,$O$6,1,-$P$6))),IF(D$13=$M$8,CHOOSE($Q$6+1,$M$1,SUM(OFFSET($A$11,$B17-$O$5,$O$7,1,-$P$6))),IF(D$11&lt;$D$7,OFFSET(INDIRECT($D$3),$A17-1,$Q$3+D$11),OFFSET(INDIRECT($D$4),$A17-1,$Q$4+D$11)))))))</f>
        <v>108249</v>
      </c>
      <c r="E17" s="23">
        <f t="shared" ca="1" si="15"/>
        <v>156508</v>
      </c>
      <c r="F17" s="23">
        <f t="shared" ca="1" si="15"/>
        <v>24667</v>
      </c>
      <c r="G17" s="23">
        <f t="shared" ca="1" si="15"/>
        <v>28571</v>
      </c>
      <c r="H17" s="23">
        <f t="shared" ca="1" si="15"/>
        <v>28270</v>
      </c>
      <c r="I17" s="23">
        <f t="shared" ca="1" si="15"/>
        <v>46333</v>
      </c>
      <c r="J17" s="23">
        <f t="shared" ca="1" si="15"/>
        <v>39186</v>
      </c>
      <c r="K17" s="23">
        <f t="shared" ca="1" si="15"/>
        <v>35023</v>
      </c>
      <c r="L17" s="23">
        <f t="shared" ca="1" si="15"/>
        <v>35966</v>
      </c>
      <c r="M17" s="23">
        <f t="shared" ca="1" si="15"/>
        <v>54512</v>
      </c>
      <c r="N17" s="23">
        <f t="shared" ca="1" si="15"/>
        <v>164687</v>
      </c>
      <c r="O17" s="23">
        <f t="shared" ref="N17:W21" ca="1" si="16">IF(O$11="","",IF(O$13=$M$5,CHOOSE($Q$6+1,$M$1,P17+Q17-R17),IF(O$13=$M$6,CHOOSE($Q$6+1,$M$1,OFFSET($A17,,$P$7-1)),IF(O$13=$M$7,CHOOSE($Q$6+1,$M$1,SUM(OFFSET($A$11,$B17-$O$5,$O$6,1,-$P$6))),IF(O$13=$M$8,CHOOSE($Q$6+1,$M$1,SUM(OFFSET($A$11,$B17-$O$5,$O$7,1,-$P$6))),IF(O$11&lt;$D$7,OFFSET(INDIRECT($D$3),$A17-1,$Q$3+O$11),OFFSET(INDIRECT($D$4),$A17-1,$Q$4+O$11)))))))</f>
        <v>156508</v>
      </c>
      <c r="P17" s="23">
        <f t="shared" ca="1" si="16"/>
        <v>54512</v>
      </c>
      <c r="Q17" s="23">
        <f t="shared" ca="1" si="16"/>
        <v>46333</v>
      </c>
      <c r="R17" s="23" t="str">
        <f t="shared" ca="1" si="16"/>
        <v/>
      </c>
      <c r="S17" s="23" t="str">
        <f t="shared" ca="1" si="16"/>
        <v/>
      </c>
      <c r="T17" s="23" t="str">
        <f t="shared" ca="1" si="16"/>
        <v/>
      </c>
      <c r="U17" s="23" t="str">
        <f t="shared" ca="1" si="16"/>
        <v/>
      </c>
      <c r="V17" s="23" t="str">
        <f t="shared" ca="1" si="16"/>
        <v/>
      </c>
      <c r="W17" s="23" t="str">
        <f t="shared" ca="1" si="16"/>
        <v/>
      </c>
      <c r="X17" s="23" t="str">
        <f t="shared" ref="X17:AG21" ca="1" si="17">IF(X$11="","",IF(X$13=$M$5,CHOOSE($Q$6+1,$M$1,Y17+Z17-AA17),IF(X$13=$M$6,CHOOSE($Q$6+1,$M$1,OFFSET($A17,,$P$7-1)),IF(X$13=$M$7,CHOOSE($Q$6+1,$M$1,SUM(OFFSET($A$11,$B17-$O$5,$O$6,1,-$P$6))),IF(X$13=$M$8,CHOOSE($Q$6+1,$M$1,SUM(OFFSET($A$11,$B17-$O$5,$O$7,1,-$P$6))),IF(X$11&lt;$D$7,OFFSET(INDIRECT($D$3),$A17-1,$Q$3+X$11),OFFSET(INDIRECT($D$4),$A17-1,$Q$4+X$11)))))))</f>
        <v/>
      </c>
      <c r="Y17" s="23" t="str">
        <f t="shared" ca="1" si="17"/>
        <v/>
      </c>
      <c r="Z17" s="23" t="str">
        <f t="shared" ca="1" si="17"/>
        <v/>
      </c>
      <c r="AA17" s="23" t="str">
        <f t="shared" ca="1" si="17"/>
        <v/>
      </c>
      <c r="AB17" s="23" t="str">
        <f t="shared" ca="1" si="17"/>
        <v/>
      </c>
      <c r="AC17" s="23" t="str">
        <f t="shared" ca="1" si="17"/>
        <v/>
      </c>
      <c r="AD17" s="23" t="str">
        <f t="shared" ca="1" si="17"/>
        <v/>
      </c>
      <c r="AE17" s="23" t="str">
        <f t="shared" ca="1" si="17"/>
        <v/>
      </c>
      <c r="AF17" s="23" t="str">
        <f t="shared" ca="1" si="17"/>
        <v/>
      </c>
      <c r="AG17" s="23" t="str">
        <f t="shared" ca="1" si="17"/>
        <v/>
      </c>
      <c r="AH17" s="23" t="str">
        <f t="shared" ref="AH17:AQ21" ca="1" si="18">IF(AH$11="","",IF(AH$13=$M$5,CHOOSE($Q$6+1,$M$1,AI17+AJ17-AK17),IF(AH$13=$M$6,CHOOSE($Q$6+1,$M$1,OFFSET($A17,,$P$7-1)),IF(AH$13=$M$7,CHOOSE($Q$6+1,$M$1,SUM(OFFSET($A$11,$B17-$O$5,$O$6,1,-$P$6))),IF(AH$13=$M$8,CHOOSE($Q$6+1,$M$1,SUM(OFFSET($A$11,$B17-$O$5,$O$7,1,-$P$6))),IF(AH$11&lt;$D$7,OFFSET(INDIRECT($D$3),$A17-1,$Q$3+AH$11),OFFSET(INDIRECT($D$4),$A17-1,$Q$4+AH$11)))))))</f>
        <v/>
      </c>
      <c r="AI17" s="23" t="str">
        <f t="shared" ca="1" si="18"/>
        <v/>
      </c>
      <c r="AJ17" s="23" t="str">
        <f t="shared" ca="1" si="18"/>
        <v/>
      </c>
      <c r="AK17" s="23" t="str">
        <f t="shared" ca="1" si="18"/>
        <v/>
      </c>
      <c r="AL17" s="23" t="str">
        <f t="shared" ca="1" si="18"/>
        <v/>
      </c>
      <c r="AM17" s="23" t="str">
        <f t="shared" ca="1" si="18"/>
        <v/>
      </c>
      <c r="AN17" s="23" t="str">
        <f t="shared" ca="1" si="18"/>
        <v/>
      </c>
      <c r="AO17" s="23" t="str">
        <f t="shared" ca="1" si="18"/>
        <v/>
      </c>
      <c r="AP17" s="23" t="str">
        <f t="shared" ca="1" si="18"/>
        <v/>
      </c>
      <c r="AQ17" s="23" t="str">
        <f t="shared" ca="1" si="18"/>
        <v/>
      </c>
      <c r="AR17" s="23" t="str">
        <f t="shared" ref="AR17:BA21" ca="1" si="19">IF(AR$11="","",IF(AR$13=$M$5,CHOOSE($Q$6+1,$M$1,AS17+AT17-AU17),IF(AR$13=$M$6,CHOOSE($Q$6+1,$M$1,OFFSET($A17,,$P$7-1)),IF(AR$13=$M$7,CHOOSE($Q$6+1,$M$1,SUM(OFFSET($A$11,$B17-$O$5,$O$6,1,-$P$6))),IF(AR$13=$M$8,CHOOSE($Q$6+1,$M$1,SUM(OFFSET($A$11,$B17-$O$5,$O$7,1,-$P$6))),IF(AR$11&lt;$D$7,OFFSET(INDIRECT($D$3),$A17-1,$Q$3+AR$11),OFFSET(INDIRECT($D$4),$A17-1,$Q$4+AR$11)))))))</f>
        <v/>
      </c>
      <c r="AS17" s="23" t="str">
        <f t="shared" ca="1" si="19"/>
        <v/>
      </c>
      <c r="AT17" s="23" t="str">
        <f t="shared" ca="1" si="19"/>
        <v/>
      </c>
      <c r="AU17" s="23" t="str">
        <f t="shared" ca="1" si="19"/>
        <v/>
      </c>
      <c r="AV17" s="23" t="str">
        <f t="shared" ca="1" si="19"/>
        <v/>
      </c>
      <c r="AW17" s="23" t="str">
        <f t="shared" ca="1" si="19"/>
        <v/>
      </c>
      <c r="AX17" s="23" t="str">
        <f t="shared" ca="1" si="19"/>
        <v/>
      </c>
      <c r="AY17" s="23" t="str">
        <f t="shared" ca="1" si="19"/>
        <v/>
      </c>
      <c r="AZ17" s="23" t="str">
        <f t="shared" ca="1" si="19"/>
        <v/>
      </c>
      <c r="BA17" s="23" t="str">
        <f t="shared" ca="1" si="19"/>
        <v/>
      </c>
      <c r="BB17" s="23" t="str">
        <f t="shared" ref="BB17:BK21" ca="1" si="20">IF(BB$11="","",IF(BB$13=$M$5,CHOOSE($Q$6+1,$M$1,BC17+BD17-BE17),IF(BB$13=$M$6,CHOOSE($Q$6+1,$M$1,OFFSET($A17,,$P$7-1)),IF(BB$13=$M$7,CHOOSE($Q$6+1,$M$1,SUM(OFFSET($A$11,$B17-$O$5,$O$6,1,-$P$6))),IF(BB$13=$M$8,CHOOSE($Q$6+1,$M$1,SUM(OFFSET($A$11,$B17-$O$5,$O$7,1,-$P$6))),IF(BB$11&lt;$D$7,OFFSET(INDIRECT($D$3),$A17-1,$Q$3+BB$11),OFFSET(INDIRECT($D$4),$A17-1,$Q$4+BB$11)))))))</f>
        <v/>
      </c>
      <c r="BC17" s="23" t="str">
        <f t="shared" ca="1" si="20"/>
        <v/>
      </c>
      <c r="BD17" s="23" t="str">
        <f t="shared" ca="1" si="20"/>
        <v/>
      </c>
      <c r="BE17" s="23" t="str">
        <f t="shared" ca="1" si="20"/>
        <v/>
      </c>
      <c r="BF17" s="23" t="str">
        <f t="shared" ca="1" si="20"/>
        <v/>
      </c>
      <c r="BG17" s="23" t="str">
        <f t="shared" ca="1" si="20"/>
        <v/>
      </c>
      <c r="BH17" s="23" t="str">
        <f t="shared" ca="1" si="20"/>
        <v/>
      </c>
      <c r="BI17" s="23" t="str">
        <f t="shared" ca="1" si="20"/>
        <v/>
      </c>
      <c r="BJ17" s="23" t="str">
        <f t="shared" ca="1" si="20"/>
        <v/>
      </c>
      <c r="BK17" s="23" t="str">
        <f t="shared" ca="1" si="20"/>
        <v/>
      </c>
      <c r="BL17" s="23" t="str">
        <f t="shared" ref="BL17:BU21" ca="1" si="21">IF(BL$11="","",IF(BL$13=$M$5,CHOOSE($Q$6+1,$M$1,BM17+BN17-BO17),IF(BL$13=$M$6,CHOOSE($Q$6+1,$M$1,OFFSET($A17,,$P$7-1)),IF(BL$13=$M$7,CHOOSE($Q$6+1,$M$1,SUM(OFFSET($A$11,$B17-$O$5,$O$6,1,-$P$6))),IF(BL$13=$M$8,CHOOSE($Q$6+1,$M$1,SUM(OFFSET($A$11,$B17-$O$5,$O$7,1,-$P$6))),IF(BL$11&lt;$D$7,OFFSET(INDIRECT($D$3),$A17-1,$Q$3+BL$11),OFFSET(INDIRECT($D$4),$A17-1,$Q$4+BL$11)))))))</f>
        <v/>
      </c>
      <c r="BM17" s="23" t="str">
        <f t="shared" ca="1" si="21"/>
        <v/>
      </c>
      <c r="BN17" s="23" t="str">
        <f t="shared" ca="1" si="21"/>
        <v/>
      </c>
      <c r="BO17" s="23" t="str">
        <f t="shared" ca="1" si="21"/>
        <v/>
      </c>
      <c r="BP17" s="23" t="str">
        <f t="shared" ca="1" si="21"/>
        <v/>
      </c>
      <c r="BQ17" s="23" t="str">
        <f t="shared" ca="1" si="21"/>
        <v/>
      </c>
      <c r="BR17" s="23" t="str">
        <f t="shared" ca="1" si="21"/>
        <v/>
      </c>
      <c r="BS17" s="23" t="str">
        <f t="shared" ca="1" si="21"/>
        <v/>
      </c>
      <c r="BT17" s="23" t="str">
        <f t="shared" ca="1" si="21"/>
        <v/>
      </c>
      <c r="BU17" s="23" t="str">
        <f t="shared" ca="1" si="21"/>
        <v/>
      </c>
      <c r="BV17" s="23" t="str">
        <f t="shared" ref="BV17:CE21" ca="1" si="22">IF(BV$11="","",IF(BV$13=$M$5,CHOOSE($Q$6+1,$M$1,BW17+BX17-BY17),IF(BV$13=$M$6,CHOOSE($Q$6+1,$M$1,OFFSET($A17,,$P$7-1)),IF(BV$13=$M$7,CHOOSE($Q$6+1,$M$1,SUM(OFFSET($A$11,$B17-$O$5,$O$6,1,-$P$6))),IF(BV$13=$M$8,CHOOSE($Q$6+1,$M$1,SUM(OFFSET($A$11,$B17-$O$5,$O$7,1,-$P$6))),IF(BV$11&lt;$D$7,OFFSET(INDIRECT($D$3),$A17-1,$Q$3+BV$11),OFFSET(INDIRECT($D$4),$A17-1,$Q$4+BV$11)))))))</f>
        <v/>
      </c>
      <c r="BW17" s="23" t="str">
        <f t="shared" ca="1" si="22"/>
        <v/>
      </c>
      <c r="BX17" s="23" t="str">
        <f t="shared" ca="1" si="22"/>
        <v/>
      </c>
      <c r="BY17" s="23" t="str">
        <f t="shared" ca="1" si="22"/>
        <v/>
      </c>
      <c r="BZ17" s="23" t="str">
        <f t="shared" ca="1" si="22"/>
        <v/>
      </c>
      <c r="CA17" s="23" t="str">
        <f t="shared" ca="1" si="22"/>
        <v/>
      </c>
      <c r="CB17" s="23" t="str">
        <f t="shared" ca="1" si="22"/>
        <v/>
      </c>
      <c r="CC17" s="23" t="str">
        <f t="shared" ca="1" si="22"/>
        <v/>
      </c>
      <c r="CD17" s="23" t="str">
        <f t="shared" ca="1" si="22"/>
        <v/>
      </c>
      <c r="CE17" s="23" t="str">
        <f t="shared" ca="1" si="22"/>
        <v/>
      </c>
      <c r="CF17" s="23" t="str">
        <f t="shared" ref="CF17:CO21" ca="1" si="23">IF(CF$11="","",IF(CF$13=$M$5,CHOOSE($Q$6+1,$M$1,CG17+CH17-CI17),IF(CF$13=$M$6,CHOOSE($Q$6+1,$M$1,OFFSET($A17,,$P$7-1)),IF(CF$13=$M$7,CHOOSE($Q$6+1,$M$1,SUM(OFFSET($A$11,$B17-$O$5,$O$6,1,-$P$6))),IF(CF$13=$M$8,CHOOSE($Q$6+1,$M$1,SUM(OFFSET($A$11,$B17-$O$5,$O$7,1,-$P$6))),IF(CF$11&lt;$D$7,OFFSET(INDIRECT($D$3),$A17-1,$Q$3+CF$11),OFFSET(INDIRECT($D$4),$A17-1,$Q$4+CF$11)))))))</f>
        <v/>
      </c>
      <c r="CG17" s="23" t="str">
        <f t="shared" ca="1" si="23"/>
        <v/>
      </c>
      <c r="CH17" s="23" t="str">
        <f t="shared" ca="1" si="23"/>
        <v/>
      </c>
      <c r="CI17" s="23" t="str">
        <f t="shared" ca="1" si="23"/>
        <v/>
      </c>
      <c r="CJ17" s="23" t="str">
        <f t="shared" ca="1" si="23"/>
        <v/>
      </c>
      <c r="CK17" s="23" t="str">
        <f t="shared" ca="1" si="23"/>
        <v/>
      </c>
      <c r="CL17" s="23" t="str">
        <f t="shared" ca="1" si="23"/>
        <v/>
      </c>
      <c r="CM17" s="23" t="str">
        <f t="shared" ca="1" si="23"/>
        <v/>
      </c>
      <c r="CN17" s="23" t="str">
        <f t="shared" ca="1" si="23"/>
        <v/>
      </c>
      <c r="CO17" s="23" t="str">
        <f t="shared" ca="1" si="23"/>
        <v/>
      </c>
      <c r="CP17" s="23" t="str">
        <f t="shared" ref="CP17:CW21" ca="1" si="24">IF(CP$11="","",IF(CP$13=$M$5,CHOOSE($Q$6+1,$M$1,CQ17+CR17-CS17),IF(CP$13=$M$6,CHOOSE($Q$6+1,$M$1,OFFSET($A17,,$P$7-1)),IF(CP$13=$M$7,CHOOSE($Q$6+1,$M$1,SUM(OFFSET($A$11,$B17-$O$5,$O$6,1,-$P$6))),IF(CP$13=$M$8,CHOOSE($Q$6+1,$M$1,SUM(OFFSET($A$11,$B17-$O$5,$O$7,1,-$P$6))),IF(CP$11&lt;$D$7,OFFSET(INDIRECT($D$3),$A17-1,$Q$3+CP$11),OFFSET(INDIRECT($D$4),$A17-1,$Q$4+CP$11)))))))</f>
        <v/>
      </c>
      <c r="CQ17" s="23" t="str">
        <f t="shared" ca="1" si="24"/>
        <v/>
      </c>
      <c r="CR17" s="23" t="str">
        <f t="shared" ca="1" si="24"/>
        <v/>
      </c>
      <c r="CS17" s="23" t="str">
        <f t="shared" ca="1" si="24"/>
        <v/>
      </c>
      <c r="CT17" s="23" t="str">
        <f t="shared" ca="1" si="24"/>
        <v/>
      </c>
      <c r="CU17" s="23" t="str">
        <f t="shared" ca="1" si="24"/>
        <v/>
      </c>
      <c r="CV17" s="23" t="str">
        <f t="shared" ca="1" si="24"/>
        <v/>
      </c>
      <c r="CW17" s="23" t="str">
        <f t="shared" ca="1" si="24"/>
        <v/>
      </c>
      <c r="CX17" s="23" t="str">
        <f ca="1">IF(CX$11="","",IF(CX$13=$M$5,CHOOSE($Q$6+1,$M$1,CY17+CZ17-#REF!),IF(CX$13=$M$6,CHOOSE($Q$6+1,$M$1,OFFSET($A17,,$P$7-1)),IF(CX$13=$M$7,CHOOSE($Q$6+1,$M$1,SUM(OFFSET($A$11,$B17-$O$5,$O$6,1,-$P$6))),IF(CX$13=$M$8,CHOOSE($Q$6+1,$M$1,SUM(OFFSET($A$11,$B17-$O$5,$O$7,1,-$P$6))),IF(CX$11&lt;$D$7,OFFSET(INDIRECT($D$3),$A17-1,$Q$3+CX$11),OFFSET(INDIRECT($D$4),$A17-1,$Q$4+CX$11)))))))</f>
        <v/>
      </c>
      <c r="CY17" s="23" t="str">
        <f ca="1">IF(CY$11="","",IF(CY$13=$M$5,CHOOSE($Q$6+1,$M$1,CZ17+#REF!-#REF!),IF(CY$13=$M$6,CHOOSE($Q$6+1,$M$1,OFFSET($A17,,$P$7-1)),IF(CY$13=$M$7,CHOOSE($Q$6+1,$M$1,SUM(OFFSET($A$11,$B17-$O$5,$O$6,1,-$P$6))),IF(CY$13=$M$8,CHOOSE($Q$6+1,$M$1,SUM(OFFSET($A$11,$B17-$O$5,$O$7,1,-$P$6))),IF(CY$11&lt;$D$7,OFFSET(INDIRECT($D$3),$A17-1,$Q$3+CY$11),OFFSET(INDIRECT($D$4),$A17-1,$Q$4+CY$11)))))))</f>
        <v/>
      </c>
      <c r="CZ17" s="23" t="str">
        <f ca="1">IF(CZ$11="","",IF(CZ$13=$M$5,CHOOSE($Q$6+1,$M$1,#REF!+#REF!-#REF!),IF(CZ$13=$M$6,CHOOSE($Q$6+1,$M$1,OFFSET($A17,,$P$7-1)),IF(CZ$13=$M$7,CHOOSE($Q$6+1,$M$1,SUM(OFFSET($A$11,$B17-$O$5,$O$6,1,-$P$6))),IF(CZ$13=$M$8,CHOOSE($Q$6+1,$M$1,SUM(OFFSET($A$11,$B17-$O$5,$O$7,1,-$P$6))),IF(CZ$11&lt;$D$7,OFFSET(INDIRECT($D$3),$A17-1,$Q$3+CZ$11),OFFSET(INDIRECT($D$4),$A17-1,$Q$4+CZ$11)))))))</f>
        <v/>
      </c>
    </row>
    <row r="18" spans="1:104" ht="13.5" customHeight="1">
      <c r="A18" s="27">
        <v>16</v>
      </c>
      <c r="B18" s="33">
        <f t="shared" si="14"/>
        <v>18</v>
      </c>
      <c r="C18" s="8" t="s">
        <v>295</v>
      </c>
      <c r="D18" s="23">
        <f t="shared" ca="1" si="15"/>
        <v>0</v>
      </c>
      <c r="E18" s="23">
        <f t="shared" ca="1" si="15"/>
        <v>0</v>
      </c>
      <c r="F18" s="23">
        <f t="shared" ca="1" si="15"/>
        <v>0</v>
      </c>
      <c r="G18" s="23">
        <f t="shared" ca="1" si="15"/>
        <v>0</v>
      </c>
      <c r="H18" s="23">
        <f t="shared" ca="1" si="15"/>
        <v>0</v>
      </c>
      <c r="I18" s="23">
        <f t="shared" ca="1" si="15"/>
        <v>0</v>
      </c>
      <c r="J18" s="23">
        <f t="shared" ca="1" si="15"/>
        <v>0</v>
      </c>
      <c r="K18" s="23">
        <f t="shared" ca="1" si="15"/>
        <v>0</v>
      </c>
      <c r="L18" s="23">
        <f t="shared" ca="1" si="15"/>
        <v>0</v>
      </c>
      <c r="M18" s="23">
        <f t="shared" ca="1" si="15"/>
        <v>0</v>
      </c>
      <c r="N18" s="23">
        <f t="shared" ca="1" si="16"/>
        <v>0</v>
      </c>
      <c r="O18" s="23">
        <f t="shared" ca="1" si="16"/>
        <v>0</v>
      </c>
      <c r="P18" s="23">
        <f t="shared" ca="1" si="16"/>
        <v>0</v>
      </c>
      <c r="Q18" s="23">
        <f t="shared" ca="1" si="16"/>
        <v>0</v>
      </c>
      <c r="R18" s="23" t="str">
        <f t="shared" ca="1" si="16"/>
        <v/>
      </c>
      <c r="S18" s="23" t="str">
        <f t="shared" ca="1" si="16"/>
        <v/>
      </c>
      <c r="T18" s="23" t="str">
        <f t="shared" ca="1" si="16"/>
        <v/>
      </c>
      <c r="U18" s="23" t="str">
        <f t="shared" ca="1" si="16"/>
        <v/>
      </c>
      <c r="V18" s="23" t="str">
        <f t="shared" ca="1" si="16"/>
        <v/>
      </c>
      <c r="W18" s="23" t="str">
        <f t="shared" ca="1" si="16"/>
        <v/>
      </c>
      <c r="X18" s="23" t="str">
        <f t="shared" ca="1" si="17"/>
        <v/>
      </c>
      <c r="Y18" s="23" t="str">
        <f t="shared" ca="1" si="17"/>
        <v/>
      </c>
      <c r="Z18" s="23" t="str">
        <f t="shared" ca="1" si="17"/>
        <v/>
      </c>
      <c r="AA18" s="23" t="str">
        <f t="shared" ca="1" si="17"/>
        <v/>
      </c>
      <c r="AB18" s="23" t="str">
        <f t="shared" ca="1" si="17"/>
        <v/>
      </c>
      <c r="AC18" s="23" t="str">
        <f t="shared" ca="1" si="17"/>
        <v/>
      </c>
      <c r="AD18" s="23" t="str">
        <f t="shared" ca="1" si="17"/>
        <v/>
      </c>
      <c r="AE18" s="23" t="str">
        <f t="shared" ca="1" si="17"/>
        <v/>
      </c>
      <c r="AF18" s="23" t="str">
        <f t="shared" ca="1" si="17"/>
        <v/>
      </c>
      <c r="AG18" s="23" t="str">
        <f t="shared" ca="1" si="17"/>
        <v/>
      </c>
      <c r="AH18" s="23" t="str">
        <f t="shared" ca="1" si="18"/>
        <v/>
      </c>
      <c r="AI18" s="23" t="str">
        <f t="shared" ca="1" si="18"/>
        <v/>
      </c>
      <c r="AJ18" s="23" t="str">
        <f t="shared" ca="1" si="18"/>
        <v/>
      </c>
      <c r="AK18" s="23" t="str">
        <f t="shared" ca="1" si="18"/>
        <v/>
      </c>
      <c r="AL18" s="23" t="str">
        <f t="shared" ca="1" si="18"/>
        <v/>
      </c>
      <c r="AM18" s="23" t="str">
        <f t="shared" ca="1" si="18"/>
        <v/>
      </c>
      <c r="AN18" s="23" t="str">
        <f t="shared" ca="1" si="18"/>
        <v/>
      </c>
      <c r="AO18" s="23" t="str">
        <f t="shared" ca="1" si="18"/>
        <v/>
      </c>
      <c r="AP18" s="23" t="str">
        <f t="shared" ca="1" si="18"/>
        <v/>
      </c>
      <c r="AQ18" s="23" t="str">
        <f t="shared" ca="1" si="18"/>
        <v/>
      </c>
      <c r="AR18" s="23" t="str">
        <f t="shared" ca="1" si="19"/>
        <v/>
      </c>
      <c r="AS18" s="23" t="str">
        <f t="shared" ca="1" si="19"/>
        <v/>
      </c>
      <c r="AT18" s="23" t="str">
        <f t="shared" ca="1" si="19"/>
        <v/>
      </c>
      <c r="AU18" s="23" t="str">
        <f t="shared" ca="1" si="19"/>
        <v/>
      </c>
      <c r="AV18" s="23" t="str">
        <f t="shared" ca="1" si="19"/>
        <v/>
      </c>
      <c r="AW18" s="23" t="str">
        <f t="shared" ca="1" si="19"/>
        <v/>
      </c>
      <c r="AX18" s="23" t="str">
        <f t="shared" ca="1" si="19"/>
        <v/>
      </c>
      <c r="AY18" s="23" t="str">
        <f t="shared" ca="1" si="19"/>
        <v/>
      </c>
      <c r="AZ18" s="23" t="str">
        <f t="shared" ca="1" si="19"/>
        <v/>
      </c>
      <c r="BA18" s="23" t="str">
        <f t="shared" ca="1" si="19"/>
        <v/>
      </c>
      <c r="BB18" s="23" t="str">
        <f t="shared" ca="1" si="20"/>
        <v/>
      </c>
      <c r="BC18" s="23" t="str">
        <f t="shared" ca="1" si="20"/>
        <v/>
      </c>
      <c r="BD18" s="23" t="str">
        <f t="shared" ca="1" si="20"/>
        <v/>
      </c>
      <c r="BE18" s="23" t="str">
        <f t="shared" ca="1" si="20"/>
        <v/>
      </c>
      <c r="BF18" s="23" t="str">
        <f t="shared" ca="1" si="20"/>
        <v/>
      </c>
      <c r="BG18" s="23" t="str">
        <f t="shared" ca="1" si="20"/>
        <v/>
      </c>
      <c r="BH18" s="23" t="str">
        <f t="shared" ca="1" si="20"/>
        <v/>
      </c>
      <c r="BI18" s="23" t="str">
        <f t="shared" ca="1" si="20"/>
        <v/>
      </c>
      <c r="BJ18" s="23" t="str">
        <f t="shared" ca="1" si="20"/>
        <v/>
      </c>
      <c r="BK18" s="23" t="str">
        <f t="shared" ca="1" si="20"/>
        <v/>
      </c>
      <c r="BL18" s="23" t="str">
        <f t="shared" ca="1" si="21"/>
        <v/>
      </c>
      <c r="BM18" s="23" t="str">
        <f t="shared" ca="1" si="21"/>
        <v/>
      </c>
      <c r="BN18" s="23" t="str">
        <f t="shared" ca="1" si="21"/>
        <v/>
      </c>
      <c r="BO18" s="23" t="str">
        <f t="shared" ca="1" si="21"/>
        <v/>
      </c>
      <c r="BP18" s="23" t="str">
        <f t="shared" ca="1" si="21"/>
        <v/>
      </c>
      <c r="BQ18" s="23" t="str">
        <f t="shared" ca="1" si="21"/>
        <v/>
      </c>
      <c r="BR18" s="23" t="str">
        <f t="shared" ca="1" si="21"/>
        <v/>
      </c>
      <c r="BS18" s="23" t="str">
        <f t="shared" ca="1" si="21"/>
        <v/>
      </c>
      <c r="BT18" s="23" t="str">
        <f t="shared" ca="1" si="21"/>
        <v/>
      </c>
      <c r="BU18" s="23" t="str">
        <f t="shared" ca="1" si="21"/>
        <v/>
      </c>
      <c r="BV18" s="23" t="str">
        <f t="shared" ca="1" si="22"/>
        <v/>
      </c>
      <c r="BW18" s="23" t="str">
        <f t="shared" ca="1" si="22"/>
        <v/>
      </c>
      <c r="BX18" s="23" t="str">
        <f t="shared" ca="1" si="22"/>
        <v/>
      </c>
      <c r="BY18" s="23" t="str">
        <f t="shared" ca="1" si="22"/>
        <v/>
      </c>
      <c r="BZ18" s="23" t="str">
        <f t="shared" ca="1" si="22"/>
        <v/>
      </c>
      <c r="CA18" s="23" t="str">
        <f t="shared" ca="1" si="22"/>
        <v/>
      </c>
      <c r="CB18" s="23" t="str">
        <f t="shared" ca="1" si="22"/>
        <v/>
      </c>
      <c r="CC18" s="23" t="str">
        <f t="shared" ca="1" si="22"/>
        <v/>
      </c>
      <c r="CD18" s="23" t="str">
        <f t="shared" ca="1" si="22"/>
        <v/>
      </c>
      <c r="CE18" s="23" t="str">
        <f t="shared" ca="1" si="22"/>
        <v/>
      </c>
      <c r="CF18" s="23" t="str">
        <f t="shared" ca="1" si="23"/>
        <v/>
      </c>
      <c r="CG18" s="23" t="str">
        <f t="shared" ca="1" si="23"/>
        <v/>
      </c>
      <c r="CH18" s="23" t="str">
        <f t="shared" ca="1" si="23"/>
        <v/>
      </c>
      <c r="CI18" s="23" t="str">
        <f t="shared" ca="1" si="23"/>
        <v/>
      </c>
      <c r="CJ18" s="23" t="str">
        <f t="shared" ca="1" si="23"/>
        <v/>
      </c>
      <c r="CK18" s="23" t="str">
        <f t="shared" ca="1" si="23"/>
        <v/>
      </c>
      <c r="CL18" s="23" t="str">
        <f t="shared" ca="1" si="23"/>
        <v/>
      </c>
      <c r="CM18" s="23" t="str">
        <f t="shared" ca="1" si="23"/>
        <v/>
      </c>
      <c r="CN18" s="23" t="str">
        <f t="shared" ca="1" si="23"/>
        <v/>
      </c>
      <c r="CO18" s="23" t="str">
        <f t="shared" ca="1" si="23"/>
        <v/>
      </c>
      <c r="CP18" s="23" t="str">
        <f t="shared" ca="1" si="24"/>
        <v/>
      </c>
      <c r="CQ18" s="23" t="str">
        <f t="shared" ca="1" si="24"/>
        <v/>
      </c>
      <c r="CR18" s="23" t="str">
        <f t="shared" ca="1" si="24"/>
        <v/>
      </c>
      <c r="CS18" s="23" t="str">
        <f t="shared" ca="1" si="24"/>
        <v/>
      </c>
      <c r="CT18" s="23" t="str">
        <f t="shared" ca="1" si="24"/>
        <v/>
      </c>
      <c r="CU18" s="23" t="str">
        <f t="shared" ca="1" si="24"/>
        <v/>
      </c>
      <c r="CV18" s="23" t="str">
        <f t="shared" ca="1" si="24"/>
        <v/>
      </c>
      <c r="CW18" s="23" t="str">
        <f t="shared" ca="1" si="24"/>
        <v/>
      </c>
      <c r="CX18" s="23" t="str">
        <f ca="1">IF(CX$11="","",IF(CX$13=$M$5,CHOOSE($Q$6+1,$M$1,CY18+CZ18-#REF!),IF(CX$13=$M$6,CHOOSE($Q$6+1,$M$1,OFFSET($A18,,$P$7-1)),IF(CX$13=$M$7,CHOOSE($Q$6+1,$M$1,SUM(OFFSET($A$11,$B18-$O$5,$O$6,1,-$P$6))),IF(CX$13=$M$8,CHOOSE($Q$6+1,$M$1,SUM(OFFSET($A$11,$B18-$O$5,$O$7,1,-$P$6))),IF(CX$11&lt;$D$7,OFFSET(INDIRECT($D$3),$A18-1,$Q$3+CX$11),OFFSET(INDIRECT($D$4),$A18-1,$Q$4+CX$11)))))))</f>
        <v/>
      </c>
      <c r="CY18" s="23" t="str">
        <f ca="1">IF(CY$11="","",IF(CY$13=$M$5,CHOOSE($Q$6+1,$M$1,CZ18+#REF!-#REF!),IF(CY$13=$M$6,CHOOSE($Q$6+1,$M$1,OFFSET($A18,,$P$7-1)),IF(CY$13=$M$7,CHOOSE($Q$6+1,$M$1,SUM(OFFSET($A$11,$B18-$O$5,$O$6,1,-$P$6))),IF(CY$13=$M$8,CHOOSE($Q$6+1,$M$1,SUM(OFFSET($A$11,$B18-$O$5,$O$7,1,-$P$6))),IF(CY$11&lt;$D$7,OFFSET(INDIRECT($D$3),$A18-1,$Q$3+CY$11),OFFSET(INDIRECT($D$4),$A18-1,$Q$4+CY$11)))))))</f>
        <v/>
      </c>
      <c r="CZ18" s="23" t="str">
        <f ca="1">IF(CZ$11="","",IF(CZ$13=$M$5,CHOOSE($Q$6+1,$M$1,#REF!+#REF!-#REF!),IF(CZ$13=$M$6,CHOOSE($Q$6+1,$M$1,OFFSET($A18,,$P$7-1)),IF(CZ$13=$M$7,CHOOSE($Q$6+1,$M$1,SUM(OFFSET($A$11,$B18-$O$5,$O$6,1,-$P$6))),IF(CZ$13=$M$8,CHOOSE($Q$6+1,$M$1,SUM(OFFSET($A$11,$B18-$O$5,$O$7,1,-$P$6))),IF(CZ$11&lt;$D$7,OFFSET(INDIRECT($D$3),$A18-1,$Q$3+CZ$11),OFFSET(INDIRECT($D$4),$A18-1,$Q$4+CZ$11)))))))</f>
        <v/>
      </c>
    </row>
    <row r="19" spans="1:104" ht="13.5" customHeight="1">
      <c r="A19" s="27">
        <v>17</v>
      </c>
      <c r="B19" s="33">
        <f t="shared" si="14"/>
        <v>19</v>
      </c>
      <c r="C19" s="9" t="s">
        <v>296</v>
      </c>
      <c r="D19" s="23">
        <f t="shared" ca="1" si="15"/>
        <v>62617</v>
      </c>
      <c r="E19" s="23">
        <f t="shared" ca="1" si="15"/>
        <v>84569</v>
      </c>
      <c r="F19" s="23">
        <f t="shared" ca="1" si="15"/>
        <v>14015</v>
      </c>
      <c r="G19" s="23">
        <f t="shared" ca="1" si="15"/>
        <v>16168</v>
      </c>
      <c r="H19" s="23">
        <f t="shared" ca="1" si="15"/>
        <v>16347</v>
      </c>
      <c r="I19" s="23">
        <f t="shared" ca="1" si="15"/>
        <v>24909</v>
      </c>
      <c r="J19" s="23">
        <f t="shared" ca="1" si="15"/>
        <v>19882</v>
      </c>
      <c r="K19" s="23">
        <f t="shared" ca="1" si="15"/>
        <v>19194</v>
      </c>
      <c r="L19" s="23">
        <f t="shared" ca="1" si="15"/>
        <v>20584</v>
      </c>
      <c r="M19" s="23">
        <f t="shared" ca="1" si="15"/>
        <v>31864</v>
      </c>
      <c r="N19" s="23">
        <f t="shared" ca="1" si="16"/>
        <v>91524</v>
      </c>
      <c r="O19" s="23">
        <f t="shared" ca="1" si="16"/>
        <v>84569</v>
      </c>
      <c r="P19" s="23">
        <f t="shared" ca="1" si="16"/>
        <v>31864</v>
      </c>
      <c r="Q19" s="23">
        <f t="shared" ca="1" si="16"/>
        <v>24909</v>
      </c>
      <c r="R19" s="23" t="str">
        <f t="shared" ca="1" si="16"/>
        <v/>
      </c>
      <c r="S19" s="23" t="str">
        <f t="shared" ca="1" si="16"/>
        <v/>
      </c>
      <c r="T19" s="23" t="str">
        <f t="shared" ca="1" si="16"/>
        <v/>
      </c>
      <c r="U19" s="23" t="str">
        <f t="shared" ca="1" si="16"/>
        <v/>
      </c>
      <c r="V19" s="23" t="str">
        <f t="shared" ca="1" si="16"/>
        <v/>
      </c>
      <c r="W19" s="23" t="str">
        <f t="shared" ca="1" si="16"/>
        <v/>
      </c>
      <c r="X19" s="23" t="str">
        <f t="shared" ca="1" si="17"/>
        <v/>
      </c>
      <c r="Y19" s="23" t="str">
        <f t="shared" ca="1" si="17"/>
        <v/>
      </c>
      <c r="Z19" s="23" t="str">
        <f t="shared" ca="1" si="17"/>
        <v/>
      </c>
      <c r="AA19" s="23" t="str">
        <f t="shared" ca="1" si="17"/>
        <v/>
      </c>
      <c r="AB19" s="23" t="str">
        <f t="shared" ca="1" si="17"/>
        <v/>
      </c>
      <c r="AC19" s="23" t="str">
        <f t="shared" ca="1" si="17"/>
        <v/>
      </c>
      <c r="AD19" s="23" t="str">
        <f t="shared" ca="1" si="17"/>
        <v/>
      </c>
      <c r="AE19" s="23" t="str">
        <f t="shared" ca="1" si="17"/>
        <v/>
      </c>
      <c r="AF19" s="23" t="str">
        <f t="shared" ca="1" si="17"/>
        <v/>
      </c>
      <c r="AG19" s="23" t="str">
        <f t="shared" ca="1" si="17"/>
        <v/>
      </c>
      <c r="AH19" s="23" t="str">
        <f t="shared" ca="1" si="18"/>
        <v/>
      </c>
      <c r="AI19" s="23" t="str">
        <f t="shared" ca="1" si="18"/>
        <v/>
      </c>
      <c r="AJ19" s="23" t="str">
        <f t="shared" ca="1" si="18"/>
        <v/>
      </c>
      <c r="AK19" s="23" t="str">
        <f t="shared" ca="1" si="18"/>
        <v/>
      </c>
      <c r="AL19" s="23" t="str">
        <f t="shared" ca="1" si="18"/>
        <v/>
      </c>
      <c r="AM19" s="23" t="str">
        <f t="shared" ca="1" si="18"/>
        <v/>
      </c>
      <c r="AN19" s="23" t="str">
        <f t="shared" ca="1" si="18"/>
        <v/>
      </c>
      <c r="AO19" s="23" t="str">
        <f t="shared" ca="1" si="18"/>
        <v/>
      </c>
      <c r="AP19" s="23" t="str">
        <f t="shared" ca="1" si="18"/>
        <v/>
      </c>
      <c r="AQ19" s="23" t="str">
        <f t="shared" ca="1" si="18"/>
        <v/>
      </c>
      <c r="AR19" s="23" t="str">
        <f t="shared" ca="1" si="19"/>
        <v/>
      </c>
      <c r="AS19" s="23" t="str">
        <f t="shared" ca="1" si="19"/>
        <v/>
      </c>
      <c r="AT19" s="23" t="str">
        <f t="shared" ca="1" si="19"/>
        <v/>
      </c>
      <c r="AU19" s="23" t="str">
        <f t="shared" ca="1" si="19"/>
        <v/>
      </c>
      <c r="AV19" s="23" t="str">
        <f t="shared" ca="1" si="19"/>
        <v/>
      </c>
      <c r="AW19" s="23" t="str">
        <f t="shared" ca="1" si="19"/>
        <v/>
      </c>
      <c r="AX19" s="23" t="str">
        <f t="shared" ca="1" si="19"/>
        <v/>
      </c>
      <c r="AY19" s="23" t="str">
        <f t="shared" ca="1" si="19"/>
        <v/>
      </c>
      <c r="AZ19" s="23" t="str">
        <f t="shared" ca="1" si="19"/>
        <v/>
      </c>
      <c r="BA19" s="23" t="str">
        <f t="shared" ca="1" si="19"/>
        <v/>
      </c>
      <c r="BB19" s="23" t="str">
        <f t="shared" ca="1" si="20"/>
        <v/>
      </c>
      <c r="BC19" s="23" t="str">
        <f t="shared" ca="1" si="20"/>
        <v/>
      </c>
      <c r="BD19" s="23" t="str">
        <f t="shared" ca="1" si="20"/>
        <v/>
      </c>
      <c r="BE19" s="23" t="str">
        <f t="shared" ca="1" si="20"/>
        <v/>
      </c>
      <c r="BF19" s="23" t="str">
        <f t="shared" ca="1" si="20"/>
        <v/>
      </c>
      <c r="BG19" s="23" t="str">
        <f t="shared" ca="1" si="20"/>
        <v/>
      </c>
      <c r="BH19" s="23" t="str">
        <f t="shared" ca="1" si="20"/>
        <v/>
      </c>
      <c r="BI19" s="23" t="str">
        <f t="shared" ca="1" si="20"/>
        <v/>
      </c>
      <c r="BJ19" s="23" t="str">
        <f t="shared" ca="1" si="20"/>
        <v/>
      </c>
      <c r="BK19" s="23" t="str">
        <f t="shared" ca="1" si="20"/>
        <v/>
      </c>
      <c r="BL19" s="23" t="str">
        <f t="shared" ca="1" si="21"/>
        <v/>
      </c>
      <c r="BM19" s="23" t="str">
        <f t="shared" ca="1" si="21"/>
        <v/>
      </c>
      <c r="BN19" s="23" t="str">
        <f t="shared" ca="1" si="21"/>
        <v/>
      </c>
      <c r="BO19" s="23" t="str">
        <f t="shared" ca="1" si="21"/>
        <v/>
      </c>
      <c r="BP19" s="23" t="str">
        <f t="shared" ca="1" si="21"/>
        <v/>
      </c>
      <c r="BQ19" s="23" t="str">
        <f t="shared" ca="1" si="21"/>
        <v/>
      </c>
      <c r="BR19" s="23" t="str">
        <f t="shared" ca="1" si="21"/>
        <v/>
      </c>
      <c r="BS19" s="23" t="str">
        <f t="shared" ca="1" si="21"/>
        <v/>
      </c>
      <c r="BT19" s="23" t="str">
        <f t="shared" ca="1" si="21"/>
        <v/>
      </c>
      <c r="BU19" s="23" t="str">
        <f t="shared" ca="1" si="21"/>
        <v/>
      </c>
      <c r="BV19" s="23" t="str">
        <f t="shared" ca="1" si="22"/>
        <v/>
      </c>
      <c r="BW19" s="23" t="str">
        <f t="shared" ca="1" si="22"/>
        <v/>
      </c>
      <c r="BX19" s="23" t="str">
        <f t="shared" ca="1" si="22"/>
        <v/>
      </c>
      <c r="BY19" s="23" t="str">
        <f t="shared" ca="1" si="22"/>
        <v/>
      </c>
      <c r="BZ19" s="23" t="str">
        <f t="shared" ca="1" si="22"/>
        <v/>
      </c>
      <c r="CA19" s="23" t="str">
        <f t="shared" ca="1" si="22"/>
        <v/>
      </c>
      <c r="CB19" s="23" t="str">
        <f t="shared" ca="1" si="22"/>
        <v/>
      </c>
      <c r="CC19" s="23" t="str">
        <f t="shared" ca="1" si="22"/>
        <v/>
      </c>
      <c r="CD19" s="23" t="str">
        <f t="shared" ca="1" si="22"/>
        <v/>
      </c>
      <c r="CE19" s="23" t="str">
        <f t="shared" ca="1" si="22"/>
        <v/>
      </c>
      <c r="CF19" s="23" t="str">
        <f t="shared" ca="1" si="23"/>
        <v/>
      </c>
      <c r="CG19" s="23" t="str">
        <f t="shared" ca="1" si="23"/>
        <v/>
      </c>
      <c r="CH19" s="23" t="str">
        <f t="shared" ca="1" si="23"/>
        <v/>
      </c>
      <c r="CI19" s="23" t="str">
        <f t="shared" ca="1" si="23"/>
        <v/>
      </c>
      <c r="CJ19" s="23" t="str">
        <f t="shared" ca="1" si="23"/>
        <v/>
      </c>
      <c r="CK19" s="23" t="str">
        <f t="shared" ca="1" si="23"/>
        <v/>
      </c>
      <c r="CL19" s="23" t="str">
        <f t="shared" ca="1" si="23"/>
        <v/>
      </c>
      <c r="CM19" s="23" t="str">
        <f t="shared" ca="1" si="23"/>
        <v/>
      </c>
      <c r="CN19" s="23" t="str">
        <f t="shared" ca="1" si="23"/>
        <v/>
      </c>
      <c r="CO19" s="23" t="str">
        <f t="shared" ca="1" si="23"/>
        <v/>
      </c>
      <c r="CP19" s="23" t="str">
        <f t="shared" ca="1" si="24"/>
        <v/>
      </c>
      <c r="CQ19" s="23" t="str">
        <f t="shared" ca="1" si="24"/>
        <v/>
      </c>
      <c r="CR19" s="23" t="str">
        <f t="shared" ca="1" si="24"/>
        <v/>
      </c>
      <c r="CS19" s="23" t="str">
        <f t="shared" ca="1" si="24"/>
        <v/>
      </c>
      <c r="CT19" s="23" t="str">
        <f t="shared" ca="1" si="24"/>
        <v/>
      </c>
      <c r="CU19" s="23" t="str">
        <f t="shared" ca="1" si="24"/>
        <v/>
      </c>
      <c r="CV19" s="23" t="str">
        <f t="shared" ca="1" si="24"/>
        <v/>
      </c>
      <c r="CW19" s="23" t="str">
        <f t="shared" ca="1" si="24"/>
        <v/>
      </c>
      <c r="CX19" s="23" t="str">
        <f ca="1">IF(CX$11="","",IF(CX$13=$M$5,CHOOSE($Q$6+1,$M$1,CY19+CZ19-#REF!),IF(CX$13=$M$6,CHOOSE($Q$6+1,$M$1,OFFSET($A19,,$P$7-1)),IF(CX$13=$M$7,CHOOSE($Q$6+1,$M$1,SUM(OFFSET($A$11,$B19-$O$5,$O$6,1,-$P$6))),IF(CX$13=$M$8,CHOOSE($Q$6+1,$M$1,SUM(OFFSET($A$11,$B19-$O$5,$O$7,1,-$P$6))),IF(CX$11&lt;$D$7,OFFSET(INDIRECT($D$3),$A19-1,$Q$3+CX$11),OFFSET(INDIRECT($D$4),$A19-1,$Q$4+CX$11)))))))</f>
        <v/>
      </c>
      <c r="CY19" s="23" t="str">
        <f ca="1">IF(CY$11="","",IF(CY$13=$M$5,CHOOSE($Q$6+1,$M$1,CZ19+#REF!-#REF!),IF(CY$13=$M$6,CHOOSE($Q$6+1,$M$1,OFFSET($A19,,$P$7-1)),IF(CY$13=$M$7,CHOOSE($Q$6+1,$M$1,SUM(OFFSET($A$11,$B19-$O$5,$O$6,1,-$P$6))),IF(CY$13=$M$8,CHOOSE($Q$6+1,$M$1,SUM(OFFSET($A$11,$B19-$O$5,$O$7,1,-$P$6))),IF(CY$11&lt;$D$7,OFFSET(INDIRECT($D$3),$A19-1,$Q$3+CY$11),OFFSET(INDIRECT($D$4),$A19-1,$Q$4+CY$11)))))))</f>
        <v/>
      </c>
      <c r="CZ19" s="23" t="str">
        <f ca="1">IF(CZ$11="","",IF(CZ$13=$M$5,CHOOSE($Q$6+1,$M$1,#REF!+#REF!-#REF!),IF(CZ$13=$M$6,CHOOSE($Q$6+1,$M$1,OFFSET($A19,,$P$7-1)),IF(CZ$13=$M$7,CHOOSE($Q$6+1,$M$1,SUM(OFFSET($A$11,$B19-$O$5,$O$6,1,-$P$6))),IF(CZ$13=$M$8,CHOOSE($Q$6+1,$M$1,SUM(OFFSET($A$11,$B19-$O$5,$O$7,1,-$P$6))),IF(CZ$11&lt;$D$7,OFFSET(INDIRECT($D$3),$A19-1,$Q$3+CZ$11),OFFSET(INDIRECT($D$4),$A19-1,$Q$4+CZ$11)))))))</f>
        <v/>
      </c>
    </row>
    <row r="20" spans="1:104" ht="13.5" customHeight="1">
      <c r="A20" s="27">
        <v>18</v>
      </c>
      <c r="B20" s="33">
        <f t="shared" si="14"/>
        <v>20</v>
      </c>
      <c r="C20" s="9" t="s">
        <v>297</v>
      </c>
      <c r="D20" s="23">
        <f t="shared" ca="1" si="15"/>
        <v>64431</v>
      </c>
      <c r="E20" s="23">
        <f t="shared" ca="1" si="15"/>
        <v>87846</v>
      </c>
      <c r="F20" s="23">
        <f t="shared" ca="1" si="15"/>
        <v>14449</v>
      </c>
      <c r="G20" s="23">
        <f t="shared" ca="1" si="15"/>
        <v>16649</v>
      </c>
      <c r="H20" s="23">
        <f t="shared" ca="1" si="15"/>
        <v>16890</v>
      </c>
      <c r="I20" s="23">
        <f t="shared" ca="1" si="15"/>
        <v>25630</v>
      </c>
      <c r="J20" s="23">
        <f t="shared" ca="1" si="15"/>
        <v>20622</v>
      </c>
      <c r="K20" s="23">
        <f t="shared" ca="1" si="15"/>
        <v>20029</v>
      </c>
      <c r="L20" s="23">
        <f t="shared" ca="1" si="15"/>
        <v>21565</v>
      </c>
      <c r="M20" s="23">
        <f t="shared" ca="1" si="15"/>
        <v>33452</v>
      </c>
      <c r="N20" s="23">
        <f t="shared" ca="1" si="16"/>
        <v>95668</v>
      </c>
      <c r="O20" s="23">
        <f t="shared" ca="1" si="16"/>
        <v>87846</v>
      </c>
      <c r="P20" s="23">
        <f t="shared" ca="1" si="16"/>
        <v>33452</v>
      </c>
      <c r="Q20" s="23">
        <f t="shared" ca="1" si="16"/>
        <v>25630</v>
      </c>
      <c r="R20" s="23" t="str">
        <f t="shared" ca="1" si="16"/>
        <v/>
      </c>
      <c r="S20" s="23" t="str">
        <f t="shared" ca="1" si="16"/>
        <v/>
      </c>
      <c r="T20" s="23" t="str">
        <f t="shared" ca="1" si="16"/>
        <v/>
      </c>
      <c r="U20" s="23" t="str">
        <f t="shared" ca="1" si="16"/>
        <v/>
      </c>
      <c r="V20" s="23" t="str">
        <f t="shared" ca="1" si="16"/>
        <v/>
      </c>
      <c r="W20" s="23" t="str">
        <f t="shared" ca="1" si="16"/>
        <v/>
      </c>
      <c r="X20" s="23" t="str">
        <f t="shared" ca="1" si="17"/>
        <v/>
      </c>
      <c r="Y20" s="23" t="str">
        <f t="shared" ca="1" si="17"/>
        <v/>
      </c>
      <c r="Z20" s="23" t="str">
        <f t="shared" ca="1" si="17"/>
        <v/>
      </c>
      <c r="AA20" s="23" t="str">
        <f t="shared" ca="1" si="17"/>
        <v/>
      </c>
      <c r="AB20" s="23" t="str">
        <f t="shared" ca="1" si="17"/>
        <v/>
      </c>
      <c r="AC20" s="23" t="str">
        <f t="shared" ca="1" si="17"/>
        <v/>
      </c>
      <c r="AD20" s="23" t="str">
        <f t="shared" ca="1" si="17"/>
        <v/>
      </c>
      <c r="AE20" s="23" t="str">
        <f t="shared" ca="1" si="17"/>
        <v/>
      </c>
      <c r="AF20" s="23" t="str">
        <f t="shared" ca="1" si="17"/>
        <v/>
      </c>
      <c r="AG20" s="23" t="str">
        <f t="shared" ca="1" si="17"/>
        <v/>
      </c>
      <c r="AH20" s="23" t="str">
        <f t="shared" ca="1" si="18"/>
        <v/>
      </c>
      <c r="AI20" s="23" t="str">
        <f t="shared" ca="1" si="18"/>
        <v/>
      </c>
      <c r="AJ20" s="23" t="str">
        <f t="shared" ca="1" si="18"/>
        <v/>
      </c>
      <c r="AK20" s="23" t="str">
        <f t="shared" ca="1" si="18"/>
        <v/>
      </c>
      <c r="AL20" s="23" t="str">
        <f t="shared" ca="1" si="18"/>
        <v/>
      </c>
      <c r="AM20" s="23" t="str">
        <f t="shared" ca="1" si="18"/>
        <v/>
      </c>
      <c r="AN20" s="23" t="str">
        <f t="shared" ca="1" si="18"/>
        <v/>
      </c>
      <c r="AO20" s="23" t="str">
        <f t="shared" ca="1" si="18"/>
        <v/>
      </c>
      <c r="AP20" s="23" t="str">
        <f t="shared" ca="1" si="18"/>
        <v/>
      </c>
      <c r="AQ20" s="23" t="str">
        <f t="shared" ca="1" si="18"/>
        <v/>
      </c>
      <c r="AR20" s="23" t="str">
        <f t="shared" ca="1" si="19"/>
        <v/>
      </c>
      <c r="AS20" s="23" t="str">
        <f t="shared" ca="1" si="19"/>
        <v/>
      </c>
      <c r="AT20" s="23" t="str">
        <f t="shared" ca="1" si="19"/>
        <v/>
      </c>
      <c r="AU20" s="23" t="str">
        <f t="shared" ca="1" si="19"/>
        <v/>
      </c>
      <c r="AV20" s="23" t="str">
        <f t="shared" ca="1" si="19"/>
        <v/>
      </c>
      <c r="AW20" s="23" t="str">
        <f t="shared" ca="1" si="19"/>
        <v/>
      </c>
      <c r="AX20" s="23" t="str">
        <f t="shared" ca="1" si="19"/>
        <v/>
      </c>
      <c r="AY20" s="23" t="str">
        <f t="shared" ca="1" si="19"/>
        <v/>
      </c>
      <c r="AZ20" s="23" t="str">
        <f t="shared" ca="1" si="19"/>
        <v/>
      </c>
      <c r="BA20" s="23" t="str">
        <f t="shared" ca="1" si="19"/>
        <v/>
      </c>
      <c r="BB20" s="23" t="str">
        <f t="shared" ca="1" si="20"/>
        <v/>
      </c>
      <c r="BC20" s="23" t="str">
        <f t="shared" ca="1" si="20"/>
        <v/>
      </c>
      <c r="BD20" s="23" t="str">
        <f t="shared" ca="1" si="20"/>
        <v/>
      </c>
      <c r="BE20" s="23" t="str">
        <f t="shared" ca="1" si="20"/>
        <v/>
      </c>
      <c r="BF20" s="23" t="str">
        <f t="shared" ca="1" si="20"/>
        <v/>
      </c>
      <c r="BG20" s="23" t="str">
        <f t="shared" ca="1" si="20"/>
        <v/>
      </c>
      <c r="BH20" s="23" t="str">
        <f t="shared" ca="1" si="20"/>
        <v/>
      </c>
      <c r="BI20" s="23" t="str">
        <f t="shared" ca="1" si="20"/>
        <v/>
      </c>
      <c r="BJ20" s="23" t="str">
        <f t="shared" ca="1" si="20"/>
        <v/>
      </c>
      <c r="BK20" s="23" t="str">
        <f t="shared" ca="1" si="20"/>
        <v/>
      </c>
      <c r="BL20" s="23" t="str">
        <f t="shared" ca="1" si="21"/>
        <v/>
      </c>
      <c r="BM20" s="23" t="str">
        <f t="shared" ca="1" si="21"/>
        <v/>
      </c>
      <c r="BN20" s="23" t="str">
        <f t="shared" ca="1" si="21"/>
        <v/>
      </c>
      <c r="BO20" s="23" t="str">
        <f t="shared" ca="1" si="21"/>
        <v/>
      </c>
      <c r="BP20" s="23" t="str">
        <f t="shared" ca="1" si="21"/>
        <v/>
      </c>
      <c r="BQ20" s="23" t="str">
        <f t="shared" ca="1" si="21"/>
        <v/>
      </c>
      <c r="BR20" s="23" t="str">
        <f t="shared" ca="1" si="21"/>
        <v/>
      </c>
      <c r="BS20" s="23" t="str">
        <f t="shared" ca="1" si="21"/>
        <v/>
      </c>
      <c r="BT20" s="23" t="str">
        <f t="shared" ca="1" si="21"/>
        <v/>
      </c>
      <c r="BU20" s="23" t="str">
        <f t="shared" ca="1" si="21"/>
        <v/>
      </c>
      <c r="BV20" s="23" t="str">
        <f t="shared" ca="1" si="22"/>
        <v/>
      </c>
      <c r="BW20" s="23" t="str">
        <f t="shared" ca="1" si="22"/>
        <v/>
      </c>
      <c r="BX20" s="23" t="str">
        <f t="shared" ca="1" si="22"/>
        <v/>
      </c>
      <c r="BY20" s="23" t="str">
        <f t="shared" ca="1" si="22"/>
        <v/>
      </c>
      <c r="BZ20" s="23" t="str">
        <f t="shared" ca="1" si="22"/>
        <v/>
      </c>
      <c r="CA20" s="23" t="str">
        <f t="shared" ca="1" si="22"/>
        <v/>
      </c>
      <c r="CB20" s="23" t="str">
        <f t="shared" ca="1" si="22"/>
        <v/>
      </c>
      <c r="CC20" s="23" t="str">
        <f t="shared" ca="1" si="22"/>
        <v/>
      </c>
      <c r="CD20" s="23" t="str">
        <f t="shared" ca="1" si="22"/>
        <v/>
      </c>
      <c r="CE20" s="23" t="str">
        <f t="shared" ca="1" si="22"/>
        <v/>
      </c>
      <c r="CF20" s="23" t="str">
        <f t="shared" ca="1" si="23"/>
        <v/>
      </c>
      <c r="CG20" s="23" t="str">
        <f t="shared" ca="1" si="23"/>
        <v/>
      </c>
      <c r="CH20" s="23" t="str">
        <f t="shared" ca="1" si="23"/>
        <v/>
      </c>
      <c r="CI20" s="23" t="str">
        <f t="shared" ca="1" si="23"/>
        <v/>
      </c>
      <c r="CJ20" s="23" t="str">
        <f t="shared" ca="1" si="23"/>
        <v/>
      </c>
      <c r="CK20" s="23" t="str">
        <f t="shared" ca="1" si="23"/>
        <v/>
      </c>
      <c r="CL20" s="23" t="str">
        <f t="shared" ca="1" si="23"/>
        <v/>
      </c>
      <c r="CM20" s="23" t="str">
        <f t="shared" ca="1" si="23"/>
        <v/>
      </c>
      <c r="CN20" s="23" t="str">
        <f t="shared" ca="1" si="23"/>
        <v/>
      </c>
      <c r="CO20" s="23" t="str">
        <f t="shared" ca="1" si="23"/>
        <v/>
      </c>
      <c r="CP20" s="23" t="str">
        <f t="shared" ca="1" si="24"/>
        <v/>
      </c>
      <c r="CQ20" s="23" t="str">
        <f t="shared" ca="1" si="24"/>
        <v/>
      </c>
      <c r="CR20" s="23" t="str">
        <f t="shared" ca="1" si="24"/>
        <v/>
      </c>
      <c r="CS20" s="23" t="str">
        <f t="shared" ca="1" si="24"/>
        <v/>
      </c>
      <c r="CT20" s="23" t="str">
        <f t="shared" ca="1" si="24"/>
        <v/>
      </c>
      <c r="CU20" s="23" t="str">
        <f t="shared" ca="1" si="24"/>
        <v/>
      </c>
      <c r="CV20" s="23" t="str">
        <f t="shared" ca="1" si="24"/>
        <v/>
      </c>
      <c r="CW20" s="23" t="str">
        <f t="shared" ca="1" si="24"/>
        <v/>
      </c>
      <c r="CX20" s="23" t="str">
        <f ca="1">IF(CX$11="","",IF(CX$13=$M$5,CHOOSE($Q$6+1,$M$1,CY20+CZ20-#REF!),IF(CX$13=$M$6,CHOOSE($Q$6+1,$M$1,OFFSET($A20,,$P$7-1)),IF(CX$13=$M$7,CHOOSE($Q$6+1,$M$1,SUM(OFFSET($A$11,$B20-$O$5,$O$6,1,-$P$6))),IF(CX$13=$M$8,CHOOSE($Q$6+1,$M$1,SUM(OFFSET($A$11,$B20-$O$5,$O$7,1,-$P$6))),IF(CX$11&lt;$D$7,OFFSET(INDIRECT($D$3),$A20-1,$Q$3+CX$11),OFFSET(INDIRECT($D$4),$A20-1,$Q$4+CX$11)))))))</f>
        <v/>
      </c>
      <c r="CY20" s="23" t="str">
        <f ca="1">IF(CY$11="","",IF(CY$13=$M$5,CHOOSE($Q$6+1,$M$1,CZ20+#REF!-#REF!),IF(CY$13=$M$6,CHOOSE($Q$6+1,$M$1,OFFSET($A20,,$P$7-1)),IF(CY$13=$M$7,CHOOSE($Q$6+1,$M$1,SUM(OFFSET($A$11,$B20-$O$5,$O$6,1,-$P$6))),IF(CY$13=$M$8,CHOOSE($Q$6+1,$M$1,SUM(OFFSET($A$11,$B20-$O$5,$O$7,1,-$P$6))),IF(CY$11&lt;$D$7,OFFSET(INDIRECT($D$3),$A20-1,$Q$3+CY$11),OFFSET(INDIRECT($D$4),$A20-1,$Q$4+CY$11)))))))</f>
        <v/>
      </c>
      <c r="CZ20" s="23" t="str">
        <f ca="1">IF(CZ$11="","",IF(CZ$13=$M$5,CHOOSE($Q$6+1,$M$1,#REF!+#REF!-#REF!),IF(CZ$13=$M$6,CHOOSE($Q$6+1,$M$1,OFFSET($A20,,$P$7-1)),IF(CZ$13=$M$7,CHOOSE($Q$6+1,$M$1,SUM(OFFSET($A$11,$B20-$O$5,$O$6,1,-$P$6))),IF(CZ$13=$M$8,CHOOSE($Q$6+1,$M$1,SUM(OFFSET($A$11,$B20-$O$5,$O$7,1,-$P$6))),IF(CZ$11&lt;$D$7,OFFSET(INDIRECT($D$3),$A20-1,$Q$3+CZ$11),OFFSET(INDIRECT($D$4),$A20-1,$Q$4+CZ$11)))))))</f>
        <v/>
      </c>
    </row>
    <row r="21" spans="1:104" ht="13.5" customHeight="1">
      <c r="A21" s="30">
        <v>20</v>
      </c>
      <c r="B21" s="33">
        <f t="shared" si="14"/>
        <v>21</v>
      </c>
      <c r="C21" s="9" t="s">
        <v>298</v>
      </c>
      <c r="D21" s="23">
        <f t="shared" ca="1" si="15"/>
        <v>45632</v>
      </c>
      <c r="E21" s="23">
        <f t="shared" ca="1" si="15"/>
        <v>71939</v>
      </c>
      <c r="F21" s="23">
        <f t="shared" ca="1" si="15"/>
        <v>10652</v>
      </c>
      <c r="G21" s="23">
        <f t="shared" ca="1" si="15"/>
        <v>12403</v>
      </c>
      <c r="H21" s="23">
        <f t="shared" ca="1" si="15"/>
        <v>11923</v>
      </c>
      <c r="I21" s="23">
        <f t="shared" ca="1" si="15"/>
        <v>21424</v>
      </c>
      <c r="J21" s="23">
        <f t="shared" ca="1" si="15"/>
        <v>19304</v>
      </c>
      <c r="K21" s="23">
        <f t="shared" ca="1" si="15"/>
        <v>15829</v>
      </c>
      <c r="L21" s="23">
        <f t="shared" ca="1" si="15"/>
        <v>15382</v>
      </c>
      <c r="M21" s="23">
        <f t="shared" ca="1" si="15"/>
        <v>22648</v>
      </c>
      <c r="N21" s="23">
        <f t="shared" ca="1" si="16"/>
        <v>73163</v>
      </c>
      <c r="O21" s="23">
        <f t="shared" ca="1" si="16"/>
        <v>71939</v>
      </c>
      <c r="P21" s="23">
        <f t="shared" ca="1" si="16"/>
        <v>22648</v>
      </c>
      <c r="Q21" s="23">
        <f t="shared" ca="1" si="16"/>
        <v>21424</v>
      </c>
      <c r="R21" s="23" t="str">
        <f t="shared" ca="1" si="16"/>
        <v/>
      </c>
      <c r="S21" s="23" t="str">
        <f t="shared" ca="1" si="16"/>
        <v/>
      </c>
      <c r="T21" s="23" t="str">
        <f t="shared" ca="1" si="16"/>
        <v/>
      </c>
      <c r="U21" s="23" t="str">
        <f t="shared" ca="1" si="16"/>
        <v/>
      </c>
      <c r="V21" s="23" t="str">
        <f t="shared" ca="1" si="16"/>
        <v/>
      </c>
      <c r="W21" s="23" t="str">
        <f t="shared" ca="1" si="16"/>
        <v/>
      </c>
      <c r="X21" s="23" t="str">
        <f t="shared" ca="1" si="17"/>
        <v/>
      </c>
      <c r="Y21" s="23" t="str">
        <f t="shared" ca="1" si="17"/>
        <v/>
      </c>
      <c r="Z21" s="23" t="str">
        <f t="shared" ca="1" si="17"/>
        <v/>
      </c>
      <c r="AA21" s="23" t="str">
        <f t="shared" ca="1" si="17"/>
        <v/>
      </c>
      <c r="AB21" s="23" t="str">
        <f t="shared" ca="1" si="17"/>
        <v/>
      </c>
      <c r="AC21" s="23" t="str">
        <f t="shared" ca="1" si="17"/>
        <v/>
      </c>
      <c r="AD21" s="23" t="str">
        <f t="shared" ca="1" si="17"/>
        <v/>
      </c>
      <c r="AE21" s="23" t="str">
        <f t="shared" ca="1" si="17"/>
        <v/>
      </c>
      <c r="AF21" s="23" t="str">
        <f t="shared" ca="1" si="17"/>
        <v/>
      </c>
      <c r="AG21" s="23" t="str">
        <f t="shared" ca="1" si="17"/>
        <v/>
      </c>
      <c r="AH21" s="23" t="str">
        <f t="shared" ca="1" si="18"/>
        <v/>
      </c>
      <c r="AI21" s="23" t="str">
        <f t="shared" ca="1" si="18"/>
        <v/>
      </c>
      <c r="AJ21" s="23" t="str">
        <f t="shared" ca="1" si="18"/>
        <v/>
      </c>
      <c r="AK21" s="23" t="str">
        <f t="shared" ca="1" si="18"/>
        <v/>
      </c>
      <c r="AL21" s="23" t="str">
        <f t="shared" ca="1" si="18"/>
        <v/>
      </c>
      <c r="AM21" s="23" t="str">
        <f t="shared" ca="1" si="18"/>
        <v/>
      </c>
      <c r="AN21" s="23" t="str">
        <f t="shared" ca="1" si="18"/>
        <v/>
      </c>
      <c r="AO21" s="23" t="str">
        <f t="shared" ca="1" si="18"/>
        <v/>
      </c>
      <c r="AP21" s="23" t="str">
        <f t="shared" ca="1" si="18"/>
        <v/>
      </c>
      <c r="AQ21" s="23" t="str">
        <f t="shared" ca="1" si="18"/>
        <v/>
      </c>
      <c r="AR21" s="23" t="str">
        <f t="shared" ca="1" si="19"/>
        <v/>
      </c>
      <c r="AS21" s="23" t="str">
        <f t="shared" ca="1" si="19"/>
        <v/>
      </c>
      <c r="AT21" s="23" t="str">
        <f t="shared" ca="1" si="19"/>
        <v/>
      </c>
      <c r="AU21" s="23" t="str">
        <f t="shared" ca="1" si="19"/>
        <v/>
      </c>
      <c r="AV21" s="23" t="str">
        <f t="shared" ca="1" si="19"/>
        <v/>
      </c>
      <c r="AW21" s="23" t="str">
        <f t="shared" ca="1" si="19"/>
        <v/>
      </c>
      <c r="AX21" s="23" t="str">
        <f t="shared" ca="1" si="19"/>
        <v/>
      </c>
      <c r="AY21" s="23" t="str">
        <f t="shared" ca="1" si="19"/>
        <v/>
      </c>
      <c r="AZ21" s="23" t="str">
        <f t="shared" ca="1" si="19"/>
        <v/>
      </c>
      <c r="BA21" s="23" t="str">
        <f t="shared" ca="1" si="19"/>
        <v/>
      </c>
      <c r="BB21" s="23" t="str">
        <f t="shared" ca="1" si="20"/>
        <v/>
      </c>
      <c r="BC21" s="23" t="str">
        <f t="shared" ca="1" si="20"/>
        <v/>
      </c>
      <c r="BD21" s="23" t="str">
        <f t="shared" ca="1" si="20"/>
        <v/>
      </c>
      <c r="BE21" s="23" t="str">
        <f t="shared" ca="1" si="20"/>
        <v/>
      </c>
      <c r="BF21" s="23" t="str">
        <f t="shared" ca="1" si="20"/>
        <v/>
      </c>
      <c r="BG21" s="23" t="str">
        <f t="shared" ca="1" si="20"/>
        <v/>
      </c>
      <c r="BH21" s="23" t="str">
        <f t="shared" ca="1" si="20"/>
        <v/>
      </c>
      <c r="BI21" s="23" t="str">
        <f t="shared" ca="1" si="20"/>
        <v/>
      </c>
      <c r="BJ21" s="23" t="str">
        <f t="shared" ca="1" si="20"/>
        <v/>
      </c>
      <c r="BK21" s="23" t="str">
        <f t="shared" ca="1" si="20"/>
        <v/>
      </c>
      <c r="BL21" s="23" t="str">
        <f t="shared" ca="1" si="21"/>
        <v/>
      </c>
      <c r="BM21" s="23" t="str">
        <f t="shared" ca="1" si="21"/>
        <v/>
      </c>
      <c r="BN21" s="23" t="str">
        <f t="shared" ca="1" si="21"/>
        <v/>
      </c>
      <c r="BO21" s="23" t="str">
        <f t="shared" ca="1" si="21"/>
        <v/>
      </c>
      <c r="BP21" s="23" t="str">
        <f t="shared" ca="1" si="21"/>
        <v/>
      </c>
      <c r="BQ21" s="23" t="str">
        <f t="shared" ca="1" si="21"/>
        <v/>
      </c>
      <c r="BR21" s="23" t="str">
        <f t="shared" ca="1" si="21"/>
        <v/>
      </c>
      <c r="BS21" s="23" t="str">
        <f t="shared" ca="1" si="21"/>
        <v/>
      </c>
      <c r="BT21" s="23" t="str">
        <f t="shared" ca="1" si="21"/>
        <v/>
      </c>
      <c r="BU21" s="23" t="str">
        <f t="shared" ca="1" si="21"/>
        <v/>
      </c>
      <c r="BV21" s="23" t="str">
        <f t="shared" ca="1" si="22"/>
        <v/>
      </c>
      <c r="BW21" s="23" t="str">
        <f t="shared" ca="1" si="22"/>
        <v/>
      </c>
      <c r="BX21" s="23" t="str">
        <f t="shared" ca="1" si="22"/>
        <v/>
      </c>
      <c r="BY21" s="23" t="str">
        <f t="shared" ca="1" si="22"/>
        <v/>
      </c>
      <c r="BZ21" s="23" t="str">
        <f t="shared" ca="1" si="22"/>
        <v/>
      </c>
      <c r="CA21" s="23" t="str">
        <f t="shared" ca="1" si="22"/>
        <v/>
      </c>
      <c r="CB21" s="23" t="str">
        <f t="shared" ca="1" si="22"/>
        <v/>
      </c>
      <c r="CC21" s="23" t="str">
        <f t="shared" ca="1" si="22"/>
        <v/>
      </c>
      <c r="CD21" s="23" t="str">
        <f t="shared" ca="1" si="22"/>
        <v/>
      </c>
      <c r="CE21" s="23" t="str">
        <f t="shared" ca="1" si="22"/>
        <v/>
      </c>
      <c r="CF21" s="23" t="str">
        <f t="shared" ca="1" si="23"/>
        <v/>
      </c>
      <c r="CG21" s="23" t="str">
        <f t="shared" ca="1" si="23"/>
        <v/>
      </c>
      <c r="CH21" s="23" t="str">
        <f t="shared" ca="1" si="23"/>
        <v/>
      </c>
      <c r="CI21" s="23" t="str">
        <f t="shared" ca="1" si="23"/>
        <v/>
      </c>
      <c r="CJ21" s="23" t="str">
        <f t="shared" ca="1" si="23"/>
        <v/>
      </c>
      <c r="CK21" s="23" t="str">
        <f t="shared" ca="1" si="23"/>
        <v/>
      </c>
      <c r="CL21" s="23" t="str">
        <f t="shared" ca="1" si="23"/>
        <v/>
      </c>
      <c r="CM21" s="23" t="str">
        <f t="shared" ca="1" si="23"/>
        <v/>
      </c>
      <c r="CN21" s="23" t="str">
        <f t="shared" ca="1" si="23"/>
        <v/>
      </c>
      <c r="CO21" s="23" t="str">
        <f t="shared" ca="1" si="23"/>
        <v/>
      </c>
      <c r="CP21" s="23" t="str">
        <f t="shared" ca="1" si="24"/>
        <v/>
      </c>
      <c r="CQ21" s="23" t="str">
        <f t="shared" ca="1" si="24"/>
        <v/>
      </c>
      <c r="CR21" s="23" t="str">
        <f t="shared" ca="1" si="24"/>
        <v/>
      </c>
      <c r="CS21" s="23" t="str">
        <f t="shared" ca="1" si="24"/>
        <v/>
      </c>
      <c r="CT21" s="23" t="str">
        <f t="shared" ca="1" si="24"/>
        <v/>
      </c>
      <c r="CU21" s="23" t="str">
        <f t="shared" ca="1" si="24"/>
        <v/>
      </c>
      <c r="CV21" s="23" t="str">
        <f t="shared" ca="1" si="24"/>
        <v/>
      </c>
      <c r="CW21" s="23" t="str">
        <f t="shared" ca="1" si="24"/>
        <v/>
      </c>
      <c r="CX21" s="23" t="str">
        <f ca="1">IF(CX$11="","",IF(CX$13=$M$5,CHOOSE($Q$6+1,$M$1,CY21+CZ21-#REF!),IF(CX$13=$M$6,CHOOSE($Q$6+1,$M$1,OFFSET($A21,,$P$7-1)),IF(CX$13=$M$7,CHOOSE($Q$6+1,$M$1,SUM(OFFSET($A$11,$B21-$O$5,$O$6,1,-$P$6))),IF(CX$13=$M$8,CHOOSE($Q$6+1,$M$1,SUM(OFFSET($A$11,$B21-$O$5,$O$7,1,-$P$6))),IF(CX$11&lt;$D$7,OFFSET(INDIRECT($D$3),$A21-1,$Q$3+CX$11),OFFSET(INDIRECT($D$4),$A21-1,$Q$4+CX$11)))))))</f>
        <v/>
      </c>
      <c r="CY21" s="23" t="str">
        <f ca="1">IF(CY$11="","",IF(CY$13=$M$5,CHOOSE($Q$6+1,$M$1,CZ21+#REF!-#REF!),IF(CY$13=$M$6,CHOOSE($Q$6+1,$M$1,OFFSET($A21,,$P$7-1)),IF(CY$13=$M$7,CHOOSE($Q$6+1,$M$1,SUM(OFFSET($A$11,$B21-$O$5,$O$6,1,-$P$6))),IF(CY$13=$M$8,CHOOSE($Q$6+1,$M$1,SUM(OFFSET($A$11,$B21-$O$5,$O$7,1,-$P$6))),IF(CY$11&lt;$D$7,OFFSET(INDIRECT($D$3),$A21-1,$Q$3+CY$11),OFFSET(INDIRECT($D$4),$A21-1,$Q$4+CY$11)))))))</f>
        <v/>
      </c>
      <c r="CZ21" s="23" t="str">
        <f ca="1">IF(CZ$11="","",IF(CZ$13=$M$5,CHOOSE($Q$6+1,$M$1,#REF!+#REF!-#REF!),IF(CZ$13=$M$6,CHOOSE($Q$6+1,$M$1,OFFSET($A21,,$P$7-1)),IF(CZ$13=$M$7,CHOOSE($Q$6+1,$M$1,SUM(OFFSET($A$11,$B21-$O$5,$O$6,1,-$P$6))),IF(CZ$13=$M$8,CHOOSE($Q$6+1,$M$1,SUM(OFFSET($A$11,$B21-$O$5,$O$7,1,-$P$6))),IF(CZ$11&lt;$D$7,OFFSET(INDIRECT($D$3),$A21-1,$Q$3+CZ$11),OFFSET(INDIRECT($D$4),$A21-1,$Q$4+CZ$11)))))))</f>
        <v/>
      </c>
    </row>
    <row r="22" spans="1:104" ht="13.5" customHeight="1">
      <c r="A22" s="27"/>
      <c r="B22" s="33">
        <f t="shared" si="14"/>
        <v>22</v>
      </c>
      <c r="C22" s="9" t="s">
        <v>299</v>
      </c>
      <c r="D22" s="34">
        <f t="shared" ref="D22:N22" ca="1" si="25">IF(D$13="","",+SUM(D23:D25))</f>
        <v>10028</v>
      </c>
      <c r="E22" s="34">
        <f t="shared" ca="1" si="25"/>
        <v>13421</v>
      </c>
      <c r="F22" s="34">
        <f t="shared" ca="1" si="25"/>
        <v>2344</v>
      </c>
      <c r="G22" s="34">
        <f t="shared" ca="1" si="25"/>
        <v>2543</v>
      </c>
      <c r="H22" s="34">
        <f t="shared" ca="1" si="25"/>
        <v>2670</v>
      </c>
      <c r="I22" s="34">
        <f t="shared" ca="1" si="25"/>
        <v>3363</v>
      </c>
      <c r="J22" s="34">
        <f t="shared" ca="1" si="25"/>
        <v>3180</v>
      </c>
      <c r="K22" s="34">
        <f t="shared" ca="1" si="25"/>
        <v>3421</v>
      </c>
      <c r="L22" s="34">
        <f t="shared" ca="1" si="25"/>
        <v>3457</v>
      </c>
      <c r="M22" s="34">
        <f t="shared" ca="1" si="25"/>
        <v>3850</v>
      </c>
      <c r="N22" s="34">
        <f t="shared" ca="1" si="25"/>
        <v>13908</v>
      </c>
      <c r="O22" s="34">
        <f t="shared" ref="O22:AT22" ca="1" si="26">IF(O$13="","",+SUM(O23:O25))</f>
        <v>13421</v>
      </c>
      <c r="P22" s="34">
        <f t="shared" ca="1" si="26"/>
        <v>3850</v>
      </c>
      <c r="Q22" s="34">
        <f t="shared" ca="1" si="26"/>
        <v>3363</v>
      </c>
      <c r="R22" s="34" t="str">
        <f t="shared" ca="1" si="26"/>
        <v/>
      </c>
      <c r="S22" s="34" t="str">
        <f t="shared" ca="1" si="26"/>
        <v/>
      </c>
      <c r="T22" s="34" t="str">
        <f t="shared" ca="1" si="26"/>
        <v/>
      </c>
      <c r="U22" s="34" t="str">
        <f t="shared" ca="1" si="26"/>
        <v/>
      </c>
      <c r="V22" s="34" t="str">
        <f t="shared" ca="1" si="26"/>
        <v/>
      </c>
      <c r="W22" s="34" t="str">
        <f t="shared" ca="1" si="26"/>
        <v/>
      </c>
      <c r="X22" s="34" t="str">
        <f t="shared" ca="1" si="26"/>
        <v/>
      </c>
      <c r="Y22" s="34" t="str">
        <f t="shared" ca="1" si="26"/>
        <v/>
      </c>
      <c r="Z22" s="34" t="str">
        <f t="shared" ca="1" si="26"/>
        <v/>
      </c>
      <c r="AA22" s="34" t="str">
        <f t="shared" ca="1" si="26"/>
        <v/>
      </c>
      <c r="AB22" s="34" t="str">
        <f t="shared" ca="1" si="26"/>
        <v/>
      </c>
      <c r="AC22" s="34" t="str">
        <f t="shared" ca="1" si="26"/>
        <v/>
      </c>
      <c r="AD22" s="34" t="str">
        <f t="shared" ca="1" si="26"/>
        <v/>
      </c>
      <c r="AE22" s="34" t="str">
        <f t="shared" ca="1" si="26"/>
        <v/>
      </c>
      <c r="AF22" s="34" t="str">
        <f t="shared" ca="1" si="26"/>
        <v/>
      </c>
      <c r="AG22" s="34" t="str">
        <f t="shared" ca="1" si="26"/>
        <v/>
      </c>
      <c r="AH22" s="34" t="str">
        <f t="shared" ca="1" si="26"/>
        <v/>
      </c>
      <c r="AI22" s="34" t="str">
        <f t="shared" ca="1" si="26"/>
        <v/>
      </c>
      <c r="AJ22" s="34" t="str">
        <f t="shared" ca="1" si="26"/>
        <v/>
      </c>
      <c r="AK22" s="34" t="str">
        <f t="shared" ca="1" si="26"/>
        <v/>
      </c>
      <c r="AL22" s="34" t="str">
        <f t="shared" ca="1" si="26"/>
        <v/>
      </c>
      <c r="AM22" s="34" t="str">
        <f t="shared" ca="1" si="26"/>
        <v/>
      </c>
      <c r="AN22" s="34" t="str">
        <f t="shared" ca="1" si="26"/>
        <v/>
      </c>
      <c r="AO22" s="34" t="str">
        <f t="shared" ca="1" si="26"/>
        <v/>
      </c>
      <c r="AP22" s="34" t="str">
        <f t="shared" ca="1" si="26"/>
        <v/>
      </c>
      <c r="AQ22" s="34" t="str">
        <f t="shared" ca="1" si="26"/>
        <v/>
      </c>
      <c r="AR22" s="34" t="str">
        <f t="shared" ca="1" si="26"/>
        <v/>
      </c>
      <c r="AS22" s="34" t="str">
        <f t="shared" ca="1" si="26"/>
        <v/>
      </c>
      <c r="AT22" s="34" t="str">
        <f t="shared" ca="1" si="26"/>
        <v/>
      </c>
      <c r="AU22" s="34" t="str">
        <f t="shared" ref="AU22:BP22" ca="1" si="27">IF(AU$13="","",+SUM(AU23:AU25))</f>
        <v/>
      </c>
      <c r="AV22" s="34" t="str">
        <f t="shared" ca="1" si="27"/>
        <v/>
      </c>
      <c r="AW22" s="34" t="str">
        <f t="shared" ca="1" si="27"/>
        <v/>
      </c>
      <c r="AX22" s="34" t="str">
        <f t="shared" ca="1" si="27"/>
        <v/>
      </c>
      <c r="AY22" s="34" t="str">
        <f t="shared" ca="1" si="27"/>
        <v/>
      </c>
      <c r="AZ22" s="34" t="str">
        <f t="shared" ca="1" si="27"/>
        <v/>
      </c>
      <c r="BA22" s="34" t="str">
        <f t="shared" ca="1" si="27"/>
        <v/>
      </c>
      <c r="BB22" s="34" t="str">
        <f t="shared" ca="1" si="27"/>
        <v/>
      </c>
      <c r="BC22" s="34" t="str">
        <f t="shared" ca="1" si="27"/>
        <v/>
      </c>
      <c r="BD22" s="34" t="str">
        <f t="shared" ca="1" si="27"/>
        <v/>
      </c>
      <c r="BE22" s="34" t="str">
        <f t="shared" ca="1" si="27"/>
        <v/>
      </c>
      <c r="BF22" s="34" t="str">
        <f t="shared" ca="1" si="27"/>
        <v/>
      </c>
      <c r="BG22" s="34" t="str">
        <f t="shared" ca="1" si="27"/>
        <v/>
      </c>
      <c r="BH22" s="34" t="str">
        <f t="shared" ca="1" si="27"/>
        <v/>
      </c>
      <c r="BI22" s="34" t="str">
        <f t="shared" ca="1" si="27"/>
        <v/>
      </c>
      <c r="BJ22" s="34" t="str">
        <f t="shared" ca="1" si="27"/>
        <v/>
      </c>
      <c r="BK22" s="34" t="str">
        <f t="shared" ca="1" si="27"/>
        <v/>
      </c>
      <c r="BL22" s="34" t="str">
        <f t="shared" ca="1" si="27"/>
        <v/>
      </c>
      <c r="BM22" s="34" t="str">
        <f t="shared" ca="1" si="27"/>
        <v/>
      </c>
      <c r="BN22" s="34" t="str">
        <f t="shared" ca="1" si="27"/>
        <v/>
      </c>
      <c r="BO22" s="34" t="str">
        <f t="shared" ca="1" si="27"/>
        <v/>
      </c>
      <c r="BP22" s="34" t="str">
        <f t="shared" ca="1" si="27"/>
        <v/>
      </c>
      <c r="BQ22" s="34" t="str">
        <f t="shared" ref="BQ22:CZ22" ca="1" si="28">IF(BQ$13="","",+SUM(BQ23:BQ25))</f>
        <v/>
      </c>
      <c r="BR22" s="34" t="str">
        <f t="shared" ca="1" si="28"/>
        <v/>
      </c>
      <c r="BS22" s="34" t="str">
        <f t="shared" ca="1" si="28"/>
        <v/>
      </c>
      <c r="BT22" s="34" t="str">
        <f t="shared" ca="1" si="28"/>
        <v/>
      </c>
      <c r="BU22" s="34" t="str">
        <f t="shared" ca="1" si="28"/>
        <v/>
      </c>
      <c r="BV22" s="34" t="str">
        <f t="shared" ca="1" si="28"/>
        <v/>
      </c>
      <c r="BW22" s="34" t="str">
        <f t="shared" ca="1" si="28"/>
        <v/>
      </c>
      <c r="BX22" s="34" t="str">
        <f t="shared" ca="1" si="28"/>
        <v/>
      </c>
      <c r="BY22" s="34" t="str">
        <f t="shared" ca="1" si="28"/>
        <v/>
      </c>
      <c r="BZ22" s="34" t="str">
        <f t="shared" ca="1" si="28"/>
        <v/>
      </c>
      <c r="CA22" s="34" t="str">
        <f t="shared" ca="1" si="28"/>
        <v/>
      </c>
      <c r="CB22" s="34" t="str">
        <f t="shared" ca="1" si="28"/>
        <v/>
      </c>
      <c r="CC22" s="34" t="str">
        <f t="shared" ca="1" si="28"/>
        <v/>
      </c>
      <c r="CD22" s="34" t="str">
        <f t="shared" ca="1" si="28"/>
        <v/>
      </c>
      <c r="CE22" s="34" t="str">
        <f t="shared" ca="1" si="28"/>
        <v/>
      </c>
      <c r="CF22" s="34" t="str">
        <f t="shared" ca="1" si="28"/>
        <v/>
      </c>
      <c r="CG22" s="34" t="str">
        <f t="shared" ca="1" si="28"/>
        <v/>
      </c>
      <c r="CH22" s="34" t="str">
        <f t="shared" ca="1" si="28"/>
        <v/>
      </c>
      <c r="CI22" s="34" t="str">
        <f t="shared" ca="1" si="28"/>
        <v/>
      </c>
      <c r="CJ22" s="34" t="str">
        <f t="shared" ca="1" si="28"/>
        <v/>
      </c>
      <c r="CK22" s="34" t="str">
        <f t="shared" ca="1" si="28"/>
        <v/>
      </c>
      <c r="CL22" s="34" t="str">
        <f t="shared" ca="1" si="28"/>
        <v/>
      </c>
      <c r="CM22" s="34" t="str">
        <f t="shared" ca="1" si="28"/>
        <v/>
      </c>
      <c r="CN22" s="34" t="str">
        <f t="shared" ca="1" si="28"/>
        <v/>
      </c>
      <c r="CO22" s="34" t="str">
        <f t="shared" ca="1" si="28"/>
        <v/>
      </c>
      <c r="CP22" s="34" t="str">
        <f t="shared" ca="1" si="28"/>
        <v/>
      </c>
      <c r="CQ22" s="34" t="str">
        <f t="shared" ca="1" si="28"/>
        <v/>
      </c>
      <c r="CR22" s="34" t="str">
        <f t="shared" ca="1" si="28"/>
        <v/>
      </c>
      <c r="CS22" s="34" t="str">
        <f t="shared" ca="1" si="28"/>
        <v/>
      </c>
      <c r="CT22" s="34" t="str">
        <f t="shared" ca="1" si="28"/>
        <v/>
      </c>
      <c r="CU22" s="34" t="str">
        <f t="shared" ca="1" si="28"/>
        <v/>
      </c>
      <c r="CV22" s="34" t="str">
        <f t="shared" ca="1" si="28"/>
        <v/>
      </c>
      <c r="CW22" s="34" t="str">
        <f t="shared" ca="1" si="28"/>
        <v/>
      </c>
      <c r="CX22" s="34" t="str">
        <f t="shared" ca="1" si="28"/>
        <v/>
      </c>
      <c r="CY22" s="34" t="str">
        <f t="shared" ca="1" si="28"/>
        <v/>
      </c>
      <c r="CZ22" s="34" t="str">
        <f t="shared" ca="1" si="28"/>
        <v/>
      </c>
    </row>
    <row r="23" spans="1:104" ht="13.5" customHeight="1">
      <c r="A23" s="27">
        <v>21</v>
      </c>
      <c r="B23" s="33">
        <f t="shared" si="14"/>
        <v>23</v>
      </c>
      <c r="C23" s="8" t="s">
        <v>300</v>
      </c>
      <c r="D23" s="23">
        <f t="shared" ref="D23:M25" ca="1" si="29">IF(D$11="","",IF(D$13=$M$5,CHOOSE($Q$6+1,$M$1,E23+F23-G23),IF(D$13=$M$6,CHOOSE($Q$6+1,$M$1,OFFSET($A23,,$P$7-1)),IF(D$13=$M$7,CHOOSE($Q$6+1,$M$1,SUM(OFFSET($A$11,$B23-$O$5,$O$6,1,-$P$6))),IF(D$13=$M$8,CHOOSE($Q$6+1,$M$1,SUM(OFFSET($A$11,$B23-$O$5,$O$7,1,-$P$6))),IF(D$11&lt;$D$7,OFFSET(INDIRECT($D$3),$A23-1,$Q$3+D$11),OFFSET(INDIRECT($D$4),$A23-1,$Q$4+D$11)))))))</f>
        <v>2429</v>
      </c>
      <c r="E23" s="23">
        <f t="shared" ca="1" si="29"/>
        <v>3381</v>
      </c>
      <c r="F23" s="23">
        <f t="shared" ca="1" si="29"/>
        <v>581</v>
      </c>
      <c r="G23" s="23">
        <f t="shared" ca="1" si="29"/>
        <v>628</v>
      </c>
      <c r="H23" s="23">
        <f t="shared" ca="1" si="29"/>
        <v>645</v>
      </c>
      <c r="I23" s="23">
        <f t="shared" ca="1" si="29"/>
        <v>758</v>
      </c>
      <c r="J23" s="23">
        <f t="shared" ca="1" si="29"/>
        <v>841</v>
      </c>
      <c r="K23" s="23">
        <f t="shared" ca="1" si="29"/>
        <v>876</v>
      </c>
      <c r="L23" s="23">
        <f t="shared" ca="1" si="29"/>
        <v>906</v>
      </c>
      <c r="M23" s="23">
        <f t="shared" ca="1" si="29"/>
        <v>1010</v>
      </c>
      <c r="N23" s="23">
        <f t="shared" ref="N23:W25" ca="1" si="30">IF(N$11="","",IF(N$13=$M$5,CHOOSE($Q$6+1,$M$1,O23+P23-Q23),IF(N$13=$M$6,CHOOSE($Q$6+1,$M$1,OFFSET($A23,,$P$7-1)),IF(N$13=$M$7,CHOOSE($Q$6+1,$M$1,SUM(OFFSET($A$11,$B23-$O$5,$O$6,1,-$P$6))),IF(N$13=$M$8,CHOOSE($Q$6+1,$M$1,SUM(OFFSET($A$11,$B23-$O$5,$O$7,1,-$P$6))),IF(N$11&lt;$D$7,OFFSET(INDIRECT($D$3),$A23-1,$Q$3+N$11),OFFSET(INDIRECT($D$4),$A23-1,$Q$4+N$11)))))))</f>
        <v>3633</v>
      </c>
      <c r="O23" s="23">
        <f t="shared" ca="1" si="30"/>
        <v>3381</v>
      </c>
      <c r="P23" s="23">
        <f t="shared" ca="1" si="30"/>
        <v>1010</v>
      </c>
      <c r="Q23" s="23">
        <f t="shared" ca="1" si="30"/>
        <v>758</v>
      </c>
      <c r="R23" s="23" t="str">
        <f t="shared" ca="1" si="30"/>
        <v/>
      </c>
      <c r="S23" s="23" t="str">
        <f t="shared" ca="1" si="30"/>
        <v/>
      </c>
      <c r="T23" s="23" t="str">
        <f t="shared" ca="1" si="30"/>
        <v/>
      </c>
      <c r="U23" s="23" t="str">
        <f t="shared" ca="1" si="30"/>
        <v/>
      </c>
      <c r="V23" s="23" t="str">
        <f t="shared" ca="1" si="30"/>
        <v/>
      </c>
      <c r="W23" s="23" t="str">
        <f t="shared" ca="1" si="30"/>
        <v/>
      </c>
      <c r="X23" s="23" t="str">
        <f t="shared" ref="X23:AG25" ca="1" si="31">IF(X$11="","",IF(X$13=$M$5,CHOOSE($Q$6+1,$M$1,Y23+Z23-AA23),IF(X$13=$M$6,CHOOSE($Q$6+1,$M$1,OFFSET($A23,,$P$7-1)),IF(X$13=$M$7,CHOOSE($Q$6+1,$M$1,SUM(OFFSET($A$11,$B23-$O$5,$O$6,1,-$P$6))),IF(X$13=$M$8,CHOOSE($Q$6+1,$M$1,SUM(OFFSET($A$11,$B23-$O$5,$O$7,1,-$P$6))),IF(X$11&lt;$D$7,OFFSET(INDIRECT($D$3),$A23-1,$Q$3+X$11),OFFSET(INDIRECT($D$4),$A23-1,$Q$4+X$11)))))))</f>
        <v/>
      </c>
      <c r="Y23" s="23" t="str">
        <f t="shared" ca="1" si="31"/>
        <v/>
      </c>
      <c r="Z23" s="23" t="str">
        <f t="shared" ca="1" si="31"/>
        <v/>
      </c>
      <c r="AA23" s="23" t="str">
        <f t="shared" ca="1" si="31"/>
        <v/>
      </c>
      <c r="AB23" s="23" t="str">
        <f t="shared" ca="1" si="31"/>
        <v/>
      </c>
      <c r="AC23" s="23" t="str">
        <f t="shared" ca="1" si="31"/>
        <v/>
      </c>
      <c r="AD23" s="23" t="str">
        <f t="shared" ca="1" si="31"/>
        <v/>
      </c>
      <c r="AE23" s="23" t="str">
        <f t="shared" ca="1" si="31"/>
        <v/>
      </c>
      <c r="AF23" s="23" t="str">
        <f t="shared" ca="1" si="31"/>
        <v/>
      </c>
      <c r="AG23" s="23" t="str">
        <f t="shared" ca="1" si="31"/>
        <v/>
      </c>
      <c r="AH23" s="23" t="str">
        <f t="shared" ref="AH23:AQ25" ca="1" si="32">IF(AH$11="","",IF(AH$13=$M$5,CHOOSE($Q$6+1,$M$1,AI23+AJ23-AK23),IF(AH$13=$M$6,CHOOSE($Q$6+1,$M$1,OFFSET($A23,,$P$7-1)),IF(AH$13=$M$7,CHOOSE($Q$6+1,$M$1,SUM(OFFSET($A$11,$B23-$O$5,$O$6,1,-$P$6))),IF(AH$13=$M$8,CHOOSE($Q$6+1,$M$1,SUM(OFFSET($A$11,$B23-$O$5,$O$7,1,-$P$6))),IF(AH$11&lt;$D$7,OFFSET(INDIRECT($D$3),$A23-1,$Q$3+AH$11),OFFSET(INDIRECT($D$4),$A23-1,$Q$4+AH$11)))))))</f>
        <v/>
      </c>
      <c r="AI23" s="23" t="str">
        <f t="shared" ca="1" si="32"/>
        <v/>
      </c>
      <c r="AJ23" s="23" t="str">
        <f t="shared" ca="1" si="32"/>
        <v/>
      </c>
      <c r="AK23" s="23" t="str">
        <f t="shared" ca="1" si="32"/>
        <v/>
      </c>
      <c r="AL23" s="23" t="str">
        <f t="shared" ca="1" si="32"/>
        <v/>
      </c>
      <c r="AM23" s="23" t="str">
        <f t="shared" ca="1" si="32"/>
        <v/>
      </c>
      <c r="AN23" s="23" t="str">
        <f t="shared" ca="1" si="32"/>
        <v/>
      </c>
      <c r="AO23" s="23" t="str">
        <f t="shared" ca="1" si="32"/>
        <v/>
      </c>
      <c r="AP23" s="23" t="str">
        <f t="shared" ca="1" si="32"/>
        <v/>
      </c>
      <c r="AQ23" s="23" t="str">
        <f t="shared" ca="1" si="32"/>
        <v/>
      </c>
      <c r="AR23" s="23" t="str">
        <f t="shared" ref="AR23:BA25" ca="1" si="33">IF(AR$11="","",IF(AR$13=$M$5,CHOOSE($Q$6+1,$M$1,AS23+AT23-AU23),IF(AR$13=$M$6,CHOOSE($Q$6+1,$M$1,OFFSET($A23,,$P$7-1)),IF(AR$13=$M$7,CHOOSE($Q$6+1,$M$1,SUM(OFFSET($A$11,$B23-$O$5,$O$6,1,-$P$6))),IF(AR$13=$M$8,CHOOSE($Q$6+1,$M$1,SUM(OFFSET($A$11,$B23-$O$5,$O$7,1,-$P$6))),IF(AR$11&lt;$D$7,OFFSET(INDIRECT($D$3),$A23-1,$Q$3+AR$11),OFFSET(INDIRECT($D$4),$A23-1,$Q$4+AR$11)))))))</f>
        <v/>
      </c>
      <c r="AS23" s="23" t="str">
        <f t="shared" ca="1" si="33"/>
        <v/>
      </c>
      <c r="AT23" s="23" t="str">
        <f t="shared" ca="1" si="33"/>
        <v/>
      </c>
      <c r="AU23" s="23" t="str">
        <f t="shared" ca="1" si="33"/>
        <v/>
      </c>
      <c r="AV23" s="23" t="str">
        <f t="shared" ca="1" si="33"/>
        <v/>
      </c>
      <c r="AW23" s="23" t="str">
        <f t="shared" ca="1" si="33"/>
        <v/>
      </c>
      <c r="AX23" s="23" t="str">
        <f t="shared" ca="1" si="33"/>
        <v/>
      </c>
      <c r="AY23" s="23" t="str">
        <f t="shared" ca="1" si="33"/>
        <v/>
      </c>
      <c r="AZ23" s="23" t="str">
        <f t="shared" ca="1" si="33"/>
        <v/>
      </c>
      <c r="BA23" s="23" t="str">
        <f t="shared" ca="1" si="33"/>
        <v/>
      </c>
      <c r="BB23" s="23" t="str">
        <f t="shared" ref="BB23:BK25" ca="1" si="34">IF(BB$11="","",IF(BB$13=$M$5,CHOOSE($Q$6+1,$M$1,BC23+BD23-BE23),IF(BB$13=$M$6,CHOOSE($Q$6+1,$M$1,OFFSET($A23,,$P$7-1)),IF(BB$13=$M$7,CHOOSE($Q$6+1,$M$1,SUM(OFFSET($A$11,$B23-$O$5,$O$6,1,-$P$6))),IF(BB$13=$M$8,CHOOSE($Q$6+1,$M$1,SUM(OFFSET($A$11,$B23-$O$5,$O$7,1,-$P$6))),IF(BB$11&lt;$D$7,OFFSET(INDIRECT($D$3),$A23-1,$Q$3+BB$11),OFFSET(INDIRECT($D$4),$A23-1,$Q$4+BB$11)))))))</f>
        <v/>
      </c>
      <c r="BC23" s="23" t="str">
        <f t="shared" ca="1" si="34"/>
        <v/>
      </c>
      <c r="BD23" s="23" t="str">
        <f t="shared" ca="1" si="34"/>
        <v/>
      </c>
      <c r="BE23" s="23" t="str">
        <f t="shared" ca="1" si="34"/>
        <v/>
      </c>
      <c r="BF23" s="23" t="str">
        <f t="shared" ca="1" si="34"/>
        <v/>
      </c>
      <c r="BG23" s="23" t="str">
        <f t="shared" ca="1" si="34"/>
        <v/>
      </c>
      <c r="BH23" s="23" t="str">
        <f t="shared" ca="1" si="34"/>
        <v/>
      </c>
      <c r="BI23" s="23" t="str">
        <f t="shared" ca="1" si="34"/>
        <v/>
      </c>
      <c r="BJ23" s="23" t="str">
        <f t="shared" ca="1" si="34"/>
        <v/>
      </c>
      <c r="BK23" s="23" t="str">
        <f t="shared" ca="1" si="34"/>
        <v/>
      </c>
      <c r="BL23" s="23" t="str">
        <f t="shared" ref="BL23:BU25" ca="1" si="35">IF(BL$11="","",IF(BL$13=$M$5,CHOOSE($Q$6+1,$M$1,BM23+BN23-BO23),IF(BL$13=$M$6,CHOOSE($Q$6+1,$M$1,OFFSET($A23,,$P$7-1)),IF(BL$13=$M$7,CHOOSE($Q$6+1,$M$1,SUM(OFFSET($A$11,$B23-$O$5,$O$6,1,-$P$6))),IF(BL$13=$M$8,CHOOSE($Q$6+1,$M$1,SUM(OFFSET($A$11,$B23-$O$5,$O$7,1,-$P$6))),IF(BL$11&lt;$D$7,OFFSET(INDIRECT($D$3),$A23-1,$Q$3+BL$11),OFFSET(INDIRECT($D$4),$A23-1,$Q$4+BL$11)))))))</f>
        <v/>
      </c>
      <c r="BM23" s="23" t="str">
        <f t="shared" ca="1" si="35"/>
        <v/>
      </c>
      <c r="BN23" s="23" t="str">
        <f t="shared" ca="1" si="35"/>
        <v/>
      </c>
      <c r="BO23" s="23" t="str">
        <f t="shared" ca="1" si="35"/>
        <v/>
      </c>
      <c r="BP23" s="23" t="str">
        <f t="shared" ca="1" si="35"/>
        <v/>
      </c>
      <c r="BQ23" s="23" t="str">
        <f t="shared" ca="1" si="35"/>
        <v/>
      </c>
      <c r="BR23" s="23" t="str">
        <f t="shared" ca="1" si="35"/>
        <v/>
      </c>
      <c r="BS23" s="23" t="str">
        <f t="shared" ca="1" si="35"/>
        <v/>
      </c>
      <c r="BT23" s="23" t="str">
        <f t="shared" ca="1" si="35"/>
        <v/>
      </c>
      <c r="BU23" s="23" t="str">
        <f t="shared" ca="1" si="35"/>
        <v/>
      </c>
      <c r="BV23" s="23" t="str">
        <f t="shared" ref="BV23:CE25" ca="1" si="36">IF(BV$11="","",IF(BV$13=$M$5,CHOOSE($Q$6+1,$M$1,BW23+BX23-BY23),IF(BV$13=$M$6,CHOOSE($Q$6+1,$M$1,OFFSET($A23,,$P$7-1)),IF(BV$13=$M$7,CHOOSE($Q$6+1,$M$1,SUM(OFFSET($A$11,$B23-$O$5,$O$6,1,-$P$6))),IF(BV$13=$M$8,CHOOSE($Q$6+1,$M$1,SUM(OFFSET($A$11,$B23-$O$5,$O$7,1,-$P$6))),IF(BV$11&lt;$D$7,OFFSET(INDIRECT($D$3),$A23-1,$Q$3+BV$11),OFFSET(INDIRECT($D$4),$A23-1,$Q$4+BV$11)))))))</f>
        <v/>
      </c>
      <c r="BW23" s="23" t="str">
        <f t="shared" ca="1" si="36"/>
        <v/>
      </c>
      <c r="BX23" s="23" t="str">
        <f t="shared" ca="1" si="36"/>
        <v/>
      </c>
      <c r="BY23" s="23" t="str">
        <f t="shared" ca="1" si="36"/>
        <v/>
      </c>
      <c r="BZ23" s="23" t="str">
        <f t="shared" ca="1" si="36"/>
        <v/>
      </c>
      <c r="CA23" s="23" t="str">
        <f t="shared" ca="1" si="36"/>
        <v/>
      </c>
      <c r="CB23" s="23" t="str">
        <f t="shared" ca="1" si="36"/>
        <v/>
      </c>
      <c r="CC23" s="23" t="str">
        <f t="shared" ca="1" si="36"/>
        <v/>
      </c>
      <c r="CD23" s="23" t="str">
        <f t="shared" ca="1" si="36"/>
        <v/>
      </c>
      <c r="CE23" s="23" t="str">
        <f t="shared" ca="1" si="36"/>
        <v/>
      </c>
      <c r="CF23" s="23" t="str">
        <f t="shared" ref="CF23:CO25" ca="1" si="37">IF(CF$11="","",IF(CF$13=$M$5,CHOOSE($Q$6+1,$M$1,CG23+CH23-CI23),IF(CF$13=$M$6,CHOOSE($Q$6+1,$M$1,OFFSET($A23,,$P$7-1)),IF(CF$13=$M$7,CHOOSE($Q$6+1,$M$1,SUM(OFFSET($A$11,$B23-$O$5,$O$6,1,-$P$6))),IF(CF$13=$M$8,CHOOSE($Q$6+1,$M$1,SUM(OFFSET($A$11,$B23-$O$5,$O$7,1,-$P$6))),IF(CF$11&lt;$D$7,OFFSET(INDIRECT($D$3),$A23-1,$Q$3+CF$11),OFFSET(INDIRECT($D$4),$A23-1,$Q$4+CF$11)))))))</f>
        <v/>
      </c>
      <c r="CG23" s="23" t="str">
        <f t="shared" ca="1" si="37"/>
        <v/>
      </c>
      <c r="CH23" s="23" t="str">
        <f t="shared" ca="1" si="37"/>
        <v/>
      </c>
      <c r="CI23" s="23" t="str">
        <f t="shared" ca="1" si="37"/>
        <v/>
      </c>
      <c r="CJ23" s="23" t="str">
        <f t="shared" ca="1" si="37"/>
        <v/>
      </c>
      <c r="CK23" s="23" t="str">
        <f t="shared" ca="1" si="37"/>
        <v/>
      </c>
      <c r="CL23" s="23" t="str">
        <f t="shared" ca="1" si="37"/>
        <v/>
      </c>
      <c r="CM23" s="23" t="str">
        <f t="shared" ca="1" si="37"/>
        <v/>
      </c>
      <c r="CN23" s="23" t="str">
        <f t="shared" ca="1" si="37"/>
        <v/>
      </c>
      <c r="CO23" s="23" t="str">
        <f t="shared" ca="1" si="37"/>
        <v/>
      </c>
      <c r="CP23" s="23" t="str">
        <f t="shared" ref="CP23:CW25" ca="1" si="38">IF(CP$11="","",IF(CP$13=$M$5,CHOOSE($Q$6+1,$M$1,CQ23+CR23-CS23),IF(CP$13=$M$6,CHOOSE($Q$6+1,$M$1,OFFSET($A23,,$P$7-1)),IF(CP$13=$M$7,CHOOSE($Q$6+1,$M$1,SUM(OFFSET($A$11,$B23-$O$5,$O$6,1,-$P$6))),IF(CP$13=$M$8,CHOOSE($Q$6+1,$M$1,SUM(OFFSET($A$11,$B23-$O$5,$O$7,1,-$P$6))),IF(CP$11&lt;$D$7,OFFSET(INDIRECT($D$3),$A23-1,$Q$3+CP$11),OFFSET(INDIRECT($D$4),$A23-1,$Q$4+CP$11)))))))</f>
        <v/>
      </c>
      <c r="CQ23" s="23" t="str">
        <f t="shared" ca="1" si="38"/>
        <v/>
      </c>
      <c r="CR23" s="23" t="str">
        <f t="shared" ca="1" si="38"/>
        <v/>
      </c>
      <c r="CS23" s="23" t="str">
        <f t="shared" ca="1" si="38"/>
        <v/>
      </c>
      <c r="CT23" s="23" t="str">
        <f t="shared" ca="1" si="38"/>
        <v/>
      </c>
      <c r="CU23" s="23" t="str">
        <f t="shared" ca="1" si="38"/>
        <v/>
      </c>
      <c r="CV23" s="23" t="str">
        <f t="shared" ca="1" si="38"/>
        <v/>
      </c>
      <c r="CW23" s="23" t="str">
        <f t="shared" ca="1" si="38"/>
        <v/>
      </c>
      <c r="CX23" s="23" t="str">
        <f ca="1">IF(CX$11="","",IF(CX$13=$M$5,CHOOSE($Q$6+1,$M$1,CY23+CZ23-#REF!),IF(CX$13=$M$6,CHOOSE($Q$6+1,$M$1,OFFSET($A23,,$P$7-1)),IF(CX$13=$M$7,CHOOSE($Q$6+1,$M$1,SUM(OFFSET($A$11,$B23-$O$5,$O$6,1,-$P$6))),IF(CX$13=$M$8,CHOOSE($Q$6+1,$M$1,SUM(OFFSET($A$11,$B23-$O$5,$O$7,1,-$P$6))),IF(CX$11&lt;$D$7,OFFSET(INDIRECT($D$3),$A23-1,$Q$3+CX$11),OFFSET(INDIRECT($D$4),$A23-1,$Q$4+CX$11)))))))</f>
        <v/>
      </c>
      <c r="CY23" s="23" t="str">
        <f ca="1">IF(CY$11="","",IF(CY$13=$M$5,CHOOSE($Q$6+1,$M$1,CZ23+#REF!-#REF!),IF(CY$13=$M$6,CHOOSE($Q$6+1,$M$1,OFFSET($A23,,$P$7-1)),IF(CY$13=$M$7,CHOOSE($Q$6+1,$M$1,SUM(OFFSET($A$11,$B23-$O$5,$O$6,1,-$P$6))),IF(CY$13=$M$8,CHOOSE($Q$6+1,$M$1,SUM(OFFSET($A$11,$B23-$O$5,$O$7,1,-$P$6))),IF(CY$11&lt;$D$7,OFFSET(INDIRECT($D$3),$A23-1,$Q$3+CY$11),OFFSET(INDIRECT($D$4),$A23-1,$Q$4+CY$11)))))))</f>
        <v/>
      </c>
      <c r="CZ23" s="23" t="str">
        <f ca="1">IF(CZ$11="","",IF(CZ$13=$M$5,CHOOSE($Q$6+1,$M$1,#REF!+#REF!-#REF!),IF(CZ$13=$M$6,CHOOSE($Q$6+1,$M$1,OFFSET($A23,,$P$7-1)),IF(CZ$13=$M$7,CHOOSE($Q$6+1,$M$1,SUM(OFFSET($A$11,$B23-$O$5,$O$6,1,-$P$6))),IF(CZ$13=$M$8,CHOOSE($Q$6+1,$M$1,SUM(OFFSET($A$11,$B23-$O$5,$O$7,1,-$P$6))),IF(CZ$11&lt;$D$7,OFFSET(INDIRECT($D$3),$A23-1,$Q$3+CZ$11),OFFSET(INDIRECT($D$4),$A23-1,$Q$4+CZ$11)))))))</f>
        <v/>
      </c>
    </row>
    <row r="24" spans="1:104" ht="13.5" customHeight="1">
      <c r="A24" s="27">
        <v>22</v>
      </c>
      <c r="B24" s="33">
        <f t="shared" si="14"/>
        <v>24</v>
      </c>
      <c r="C24" s="8" t="s">
        <v>301</v>
      </c>
      <c r="D24" s="23">
        <f t="shared" ca="1" si="29"/>
        <v>7599</v>
      </c>
      <c r="E24" s="23">
        <f t="shared" ca="1" si="29"/>
        <v>10040</v>
      </c>
      <c r="F24" s="23">
        <f t="shared" ca="1" si="29"/>
        <v>1763</v>
      </c>
      <c r="G24" s="23">
        <f t="shared" ca="1" si="29"/>
        <v>1915</v>
      </c>
      <c r="H24" s="23">
        <f t="shared" ca="1" si="29"/>
        <v>2025</v>
      </c>
      <c r="I24" s="23">
        <f t="shared" ca="1" si="29"/>
        <v>2605</v>
      </c>
      <c r="J24" s="23">
        <f t="shared" ca="1" si="29"/>
        <v>2339</v>
      </c>
      <c r="K24" s="23">
        <f t="shared" ca="1" si="29"/>
        <v>2545</v>
      </c>
      <c r="L24" s="23">
        <f t="shared" ca="1" si="29"/>
        <v>2551</v>
      </c>
      <c r="M24" s="23">
        <f t="shared" ca="1" si="29"/>
        <v>2840</v>
      </c>
      <c r="N24" s="23">
        <f t="shared" ca="1" si="30"/>
        <v>10275</v>
      </c>
      <c r="O24" s="23">
        <f t="shared" ca="1" si="30"/>
        <v>10040</v>
      </c>
      <c r="P24" s="23">
        <f t="shared" ca="1" si="30"/>
        <v>2840</v>
      </c>
      <c r="Q24" s="23">
        <f t="shared" ca="1" si="30"/>
        <v>2605</v>
      </c>
      <c r="R24" s="23" t="str">
        <f t="shared" ca="1" si="30"/>
        <v/>
      </c>
      <c r="S24" s="23" t="str">
        <f t="shared" ca="1" si="30"/>
        <v/>
      </c>
      <c r="T24" s="23" t="str">
        <f t="shared" ca="1" si="30"/>
        <v/>
      </c>
      <c r="U24" s="23" t="str">
        <f t="shared" ca="1" si="30"/>
        <v/>
      </c>
      <c r="V24" s="23" t="str">
        <f t="shared" ca="1" si="30"/>
        <v/>
      </c>
      <c r="W24" s="23" t="str">
        <f t="shared" ca="1" si="30"/>
        <v/>
      </c>
      <c r="X24" s="23" t="str">
        <f t="shared" ca="1" si="31"/>
        <v/>
      </c>
      <c r="Y24" s="23" t="str">
        <f t="shared" ca="1" si="31"/>
        <v/>
      </c>
      <c r="Z24" s="23" t="str">
        <f t="shared" ca="1" si="31"/>
        <v/>
      </c>
      <c r="AA24" s="23" t="str">
        <f t="shared" ca="1" si="31"/>
        <v/>
      </c>
      <c r="AB24" s="23" t="str">
        <f t="shared" ca="1" si="31"/>
        <v/>
      </c>
      <c r="AC24" s="23" t="str">
        <f t="shared" ca="1" si="31"/>
        <v/>
      </c>
      <c r="AD24" s="23" t="str">
        <f t="shared" ca="1" si="31"/>
        <v/>
      </c>
      <c r="AE24" s="23" t="str">
        <f t="shared" ca="1" si="31"/>
        <v/>
      </c>
      <c r="AF24" s="23" t="str">
        <f t="shared" ca="1" si="31"/>
        <v/>
      </c>
      <c r="AG24" s="23" t="str">
        <f t="shared" ca="1" si="31"/>
        <v/>
      </c>
      <c r="AH24" s="23" t="str">
        <f t="shared" ca="1" si="32"/>
        <v/>
      </c>
      <c r="AI24" s="23" t="str">
        <f t="shared" ca="1" si="32"/>
        <v/>
      </c>
      <c r="AJ24" s="23" t="str">
        <f t="shared" ca="1" si="32"/>
        <v/>
      </c>
      <c r="AK24" s="23" t="str">
        <f t="shared" ca="1" si="32"/>
        <v/>
      </c>
      <c r="AL24" s="23" t="str">
        <f t="shared" ca="1" si="32"/>
        <v/>
      </c>
      <c r="AM24" s="23" t="str">
        <f t="shared" ca="1" si="32"/>
        <v/>
      </c>
      <c r="AN24" s="23" t="str">
        <f t="shared" ca="1" si="32"/>
        <v/>
      </c>
      <c r="AO24" s="23" t="str">
        <f t="shared" ca="1" si="32"/>
        <v/>
      </c>
      <c r="AP24" s="23" t="str">
        <f t="shared" ca="1" si="32"/>
        <v/>
      </c>
      <c r="AQ24" s="23" t="str">
        <f t="shared" ca="1" si="32"/>
        <v/>
      </c>
      <c r="AR24" s="23" t="str">
        <f t="shared" ca="1" si="33"/>
        <v/>
      </c>
      <c r="AS24" s="23" t="str">
        <f t="shared" ca="1" si="33"/>
        <v/>
      </c>
      <c r="AT24" s="23" t="str">
        <f t="shared" ca="1" si="33"/>
        <v/>
      </c>
      <c r="AU24" s="23" t="str">
        <f t="shared" ca="1" si="33"/>
        <v/>
      </c>
      <c r="AV24" s="23" t="str">
        <f t="shared" ca="1" si="33"/>
        <v/>
      </c>
      <c r="AW24" s="23" t="str">
        <f t="shared" ca="1" si="33"/>
        <v/>
      </c>
      <c r="AX24" s="23" t="str">
        <f t="shared" ca="1" si="33"/>
        <v/>
      </c>
      <c r="AY24" s="23" t="str">
        <f t="shared" ca="1" si="33"/>
        <v/>
      </c>
      <c r="AZ24" s="23" t="str">
        <f t="shared" ca="1" si="33"/>
        <v/>
      </c>
      <c r="BA24" s="23" t="str">
        <f t="shared" ca="1" si="33"/>
        <v/>
      </c>
      <c r="BB24" s="23" t="str">
        <f t="shared" ca="1" si="34"/>
        <v/>
      </c>
      <c r="BC24" s="23" t="str">
        <f t="shared" ca="1" si="34"/>
        <v/>
      </c>
      <c r="BD24" s="23" t="str">
        <f t="shared" ca="1" si="34"/>
        <v/>
      </c>
      <c r="BE24" s="23" t="str">
        <f t="shared" ca="1" si="34"/>
        <v/>
      </c>
      <c r="BF24" s="23" t="str">
        <f t="shared" ca="1" si="34"/>
        <v/>
      </c>
      <c r="BG24" s="23" t="str">
        <f t="shared" ca="1" si="34"/>
        <v/>
      </c>
      <c r="BH24" s="23" t="str">
        <f t="shared" ca="1" si="34"/>
        <v/>
      </c>
      <c r="BI24" s="23" t="str">
        <f t="shared" ca="1" si="34"/>
        <v/>
      </c>
      <c r="BJ24" s="23" t="str">
        <f t="shared" ca="1" si="34"/>
        <v/>
      </c>
      <c r="BK24" s="23" t="str">
        <f t="shared" ca="1" si="34"/>
        <v/>
      </c>
      <c r="BL24" s="23" t="str">
        <f t="shared" ca="1" si="35"/>
        <v/>
      </c>
      <c r="BM24" s="23" t="str">
        <f t="shared" ca="1" si="35"/>
        <v/>
      </c>
      <c r="BN24" s="23" t="str">
        <f t="shared" ca="1" si="35"/>
        <v/>
      </c>
      <c r="BO24" s="23" t="str">
        <f t="shared" ca="1" si="35"/>
        <v/>
      </c>
      <c r="BP24" s="23" t="str">
        <f t="shared" ca="1" si="35"/>
        <v/>
      </c>
      <c r="BQ24" s="23" t="str">
        <f t="shared" ca="1" si="35"/>
        <v/>
      </c>
      <c r="BR24" s="23" t="str">
        <f t="shared" ca="1" si="35"/>
        <v/>
      </c>
      <c r="BS24" s="23" t="str">
        <f t="shared" ca="1" si="35"/>
        <v/>
      </c>
      <c r="BT24" s="23" t="str">
        <f t="shared" ca="1" si="35"/>
        <v/>
      </c>
      <c r="BU24" s="23" t="str">
        <f t="shared" ca="1" si="35"/>
        <v/>
      </c>
      <c r="BV24" s="23" t="str">
        <f t="shared" ca="1" si="36"/>
        <v/>
      </c>
      <c r="BW24" s="23" t="str">
        <f t="shared" ca="1" si="36"/>
        <v/>
      </c>
      <c r="BX24" s="23" t="str">
        <f t="shared" ca="1" si="36"/>
        <v/>
      </c>
      <c r="BY24" s="23" t="str">
        <f t="shared" ca="1" si="36"/>
        <v/>
      </c>
      <c r="BZ24" s="23" t="str">
        <f t="shared" ca="1" si="36"/>
        <v/>
      </c>
      <c r="CA24" s="23" t="str">
        <f t="shared" ca="1" si="36"/>
        <v/>
      </c>
      <c r="CB24" s="23" t="str">
        <f t="shared" ca="1" si="36"/>
        <v/>
      </c>
      <c r="CC24" s="23" t="str">
        <f t="shared" ca="1" si="36"/>
        <v/>
      </c>
      <c r="CD24" s="23" t="str">
        <f t="shared" ca="1" si="36"/>
        <v/>
      </c>
      <c r="CE24" s="23" t="str">
        <f t="shared" ca="1" si="36"/>
        <v/>
      </c>
      <c r="CF24" s="23" t="str">
        <f t="shared" ca="1" si="37"/>
        <v/>
      </c>
      <c r="CG24" s="23" t="str">
        <f t="shared" ca="1" si="37"/>
        <v/>
      </c>
      <c r="CH24" s="23" t="str">
        <f t="shared" ca="1" si="37"/>
        <v/>
      </c>
      <c r="CI24" s="23" t="str">
        <f t="shared" ca="1" si="37"/>
        <v/>
      </c>
      <c r="CJ24" s="23" t="str">
        <f t="shared" ca="1" si="37"/>
        <v/>
      </c>
      <c r="CK24" s="23" t="str">
        <f t="shared" ca="1" si="37"/>
        <v/>
      </c>
      <c r="CL24" s="23" t="str">
        <f t="shared" ca="1" si="37"/>
        <v/>
      </c>
      <c r="CM24" s="23" t="str">
        <f t="shared" ca="1" si="37"/>
        <v/>
      </c>
      <c r="CN24" s="23" t="str">
        <f t="shared" ca="1" si="37"/>
        <v/>
      </c>
      <c r="CO24" s="23" t="str">
        <f t="shared" ca="1" si="37"/>
        <v/>
      </c>
      <c r="CP24" s="23" t="str">
        <f t="shared" ca="1" si="38"/>
        <v/>
      </c>
      <c r="CQ24" s="23" t="str">
        <f t="shared" ca="1" si="38"/>
        <v/>
      </c>
      <c r="CR24" s="23" t="str">
        <f t="shared" ca="1" si="38"/>
        <v/>
      </c>
      <c r="CS24" s="23" t="str">
        <f t="shared" ca="1" si="38"/>
        <v/>
      </c>
      <c r="CT24" s="23" t="str">
        <f t="shared" ca="1" si="38"/>
        <v/>
      </c>
      <c r="CU24" s="23" t="str">
        <f t="shared" ca="1" si="38"/>
        <v/>
      </c>
      <c r="CV24" s="23" t="str">
        <f t="shared" ca="1" si="38"/>
        <v/>
      </c>
      <c r="CW24" s="23" t="str">
        <f t="shared" ca="1" si="38"/>
        <v/>
      </c>
      <c r="CX24" s="23" t="str">
        <f ca="1">IF(CX$11="","",IF(CX$13=$M$5,CHOOSE($Q$6+1,$M$1,CY24+CZ24-#REF!),IF(CX$13=$M$6,CHOOSE($Q$6+1,$M$1,OFFSET($A24,,$P$7-1)),IF(CX$13=$M$7,CHOOSE($Q$6+1,$M$1,SUM(OFFSET($A$11,$B24-$O$5,$O$6,1,-$P$6))),IF(CX$13=$M$8,CHOOSE($Q$6+1,$M$1,SUM(OFFSET($A$11,$B24-$O$5,$O$7,1,-$P$6))),IF(CX$11&lt;$D$7,OFFSET(INDIRECT($D$3),$A24-1,$Q$3+CX$11),OFFSET(INDIRECT($D$4),$A24-1,$Q$4+CX$11)))))))</f>
        <v/>
      </c>
      <c r="CY24" s="23" t="str">
        <f ca="1">IF(CY$11="","",IF(CY$13=$M$5,CHOOSE($Q$6+1,$M$1,CZ24+#REF!-#REF!),IF(CY$13=$M$6,CHOOSE($Q$6+1,$M$1,OFFSET($A24,,$P$7-1)),IF(CY$13=$M$7,CHOOSE($Q$6+1,$M$1,SUM(OFFSET($A$11,$B24-$O$5,$O$6,1,-$P$6))),IF(CY$13=$M$8,CHOOSE($Q$6+1,$M$1,SUM(OFFSET($A$11,$B24-$O$5,$O$7,1,-$P$6))),IF(CY$11&lt;$D$7,OFFSET(INDIRECT($D$3),$A24-1,$Q$3+CY$11),OFFSET(INDIRECT($D$4),$A24-1,$Q$4+CY$11)))))))</f>
        <v/>
      </c>
      <c r="CZ24" s="23" t="str">
        <f ca="1">IF(CZ$11="","",IF(CZ$13=$M$5,CHOOSE($Q$6+1,$M$1,#REF!+#REF!-#REF!),IF(CZ$13=$M$6,CHOOSE($Q$6+1,$M$1,OFFSET($A24,,$P$7-1)),IF(CZ$13=$M$7,CHOOSE($Q$6+1,$M$1,SUM(OFFSET($A$11,$B24-$O$5,$O$6,1,-$P$6))),IF(CZ$13=$M$8,CHOOSE($Q$6+1,$M$1,SUM(OFFSET($A$11,$B24-$O$5,$O$7,1,-$P$6))),IF(CZ$11&lt;$D$7,OFFSET(INDIRECT($D$3),$A24-1,$Q$3+CZ$11),OFFSET(INDIRECT($D$4),$A24-1,$Q$4+CZ$11)))))))</f>
        <v/>
      </c>
    </row>
    <row r="25" spans="1:104" ht="13.5" customHeight="1">
      <c r="A25" s="27">
        <v>23</v>
      </c>
      <c r="B25" s="33">
        <f t="shared" si="14"/>
        <v>25</v>
      </c>
      <c r="C25" s="8" t="s">
        <v>302</v>
      </c>
      <c r="D25" s="23">
        <f t="shared" ca="1" si="29"/>
        <v>0</v>
      </c>
      <c r="E25" s="23">
        <f t="shared" ca="1" si="29"/>
        <v>0</v>
      </c>
      <c r="F25" s="23">
        <f t="shared" ca="1" si="29"/>
        <v>0</v>
      </c>
      <c r="G25" s="23">
        <f t="shared" ca="1" si="29"/>
        <v>0</v>
      </c>
      <c r="H25" s="23">
        <f t="shared" ca="1" si="29"/>
        <v>0</v>
      </c>
      <c r="I25" s="23">
        <f t="shared" ca="1" si="29"/>
        <v>0</v>
      </c>
      <c r="J25" s="23">
        <f t="shared" ca="1" si="29"/>
        <v>0</v>
      </c>
      <c r="K25" s="23">
        <f t="shared" ca="1" si="29"/>
        <v>0</v>
      </c>
      <c r="L25" s="23">
        <f t="shared" ca="1" si="29"/>
        <v>0</v>
      </c>
      <c r="M25" s="23">
        <f t="shared" ca="1" si="29"/>
        <v>0</v>
      </c>
      <c r="N25" s="23">
        <f t="shared" ca="1" si="30"/>
        <v>0</v>
      </c>
      <c r="O25" s="23">
        <f t="shared" ca="1" si="30"/>
        <v>0</v>
      </c>
      <c r="P25" s="23">
        <f t="shared" ca="1" si="30"/>
        <v>0</v>
      </c>
      <c r="Q25" s="23">
        <f t="shared" ca="1" si="30"/>
        <v>0</v>
      </c>
      <c r="R25" s="23" t="str">
        <f t="shared" ca="1" si="30"/>
        <v/>
      </c>
      <c r="S25" s="23" t="str">
        <f t="shared" ca="1" si="30"/>
        <v/>
      </c>
      <c r="T25" s="23" t="str">
        <f t="shared" ca="1" si="30"/>
        <v/>
      </c>
      <c r="U25" s="23" t="str">
        <f t="shared" ca="1" si="30"/>
        <v/>
      </c>
      <c r="V25" s="23" t="str">
        <f t="shared" ca="1" si="30"/>
        <v/>
      </c>
      <c r="W25" s="23" t="str">
        <f t="shared" ca="1" si="30"/>
        <v/>
      </c>
      <c r="X25" s="23" t="str">
        <f t="shared" ca="1" si="31"/>
        <v/>
      </c>
      <c r="Y25" s="23" t="str">
        <f t="shared" ca="1" si="31"/>
        <v/>
      </c>
      <c r="Z25" s="23" t="str">
        <f t="shared" ca="1" si="31"/>
        <v/>
      </c>
      <c r="AA25" s="23" t="str">
        <f t="shared" ca="1" si="31"/>
        <v/>
      </c>
      <c r="AB25" s="23" t="str">
        <f t="shared" ca="1" si="31"/>
        <v/>
      </c>
      <c r="AC25" s="23" t="str">
        <f t="shared" ca="1" si="31"/>
        <v/>
      </c>
      <c r="AD25" s="23" t="str">
        <f t="shared" ca="1" si="31"/>
        <v/>
      </c>
      <c r="AE25" s="23" t="str">
        <f t="shared" ca="1" si="31"/>
        <v/>
      </c>
      <c r="AF25" s="23" t="str">
        <f t="shared" ca="1" si="31"/>
        <v/>
      </c>
      <c r="AG25" s="23" t="str">
        <f t="shared" ca="1" si="31"/>
        <v/>
      </c>
      <c r="AH25" s="23" t="str">
        <f t="shared" ca="1" si="32"/>
        <v/>
      </c>
      <c r="AI25" s="23" t="str">
        <f t="shared" ca="1" si="32"/>
        <v/>
      </c>
      <c r="AJ25" s="23" t="str">
        <f t="shared" ca="1" si="32"/>
        <v/>
      </c>
      <c r="AK25" s="23" t="str">
        <f t="shared" ca="1" si="32"/>
        <v/>
      </c>
      <c r="AL25" s="23" t="str">
        <f t="shared" ca="1" si="32"/>
        <v/>
      </c>
      <c r="AM25" s="23" t="str">
        <f t="shared" ca="1" si="32"/>
        <v/>
      </c>
      <c r="AN25" s="23" t="str">
        <f t="shared" ca="1" si="32"/>
        <v/>
      </c>
      <c r="AO25" s="23" t="str">
        <f t="shared" ca="1" si="32"/>
        <v/>
      </c>
      <c r="AP25" s="23" t="str">
        <f t="shared" ca="1" si="32"/>
        <v/>
      </c>
      <c r="AQ25" s="23" t="str">
        <f t="shared" ca="1" si="32"/>
        <v/>
      </c>
      <c r="AR25" s="23" t="str">
        <f t="shared" ca="1" si="33"/>
        <v/>
      </c>
      <c r="AS25" s="23" t="str">
        <f t="shared" ca="1" si="33"/>
        <v/>
      </c>
      <c r="AT25" s="23" t="str">
        <f t="shared" ca="1" si="33"/>
        <v/>
      </c>
      <c r="AU25" s="23" t="str">
        <f t="shared" ca="1" si="33"/>
        <v/>
      </c>
      <c r="AV25" s="23" t="str">
        <f t="shared" ca="1" si="33"/>
        <v/>
      </c>
      <c r="AW25" s="23" t="str">
        <f t="shared" ca="1" si="33"/>
        <v/>
      </c>
      <c r="AX25" s="23" t="str">
        <f t="shared" ca="1" si="33"/>
        <v/>
      </c>
      <c r="AY25" s="23" t="str">
        <f t="shared" ca="1" si="33"/>
        <v/>
      </c>
      <c r="AZ25" s="23" t="str">
        <f t="shared" ca="1" si="33"/>
        <v/>
      </c>
      <c r="BA25" s="23" t="str">
        <f t="shared" ca="1" si="33"/>
        <v/>
      </c>
      <c r="BB25" s="23" t="str">
        <f t="shared" ca="1" si="34"/>
        <v/>
      </c>
      <c r="BC25" s="23" t="str">
        <f t="shared" ca="1" si="34"/>
        <v/>
      </c>
      <c r="BD25" s="23" t="str">
        <f t="shared" ca="1" si="34"/>
        <v/>
      </c>
      <c r="BE25" s="23" t="str">
        <f t="shared" ca="1" si="34"/>
        <v/>
      </c>
      <c r="BF25" s="23" t="str">
        <f t="shared" ca="1" si="34"/>
        <v/>
      </c>
      <c r="BG25" s="23" t="str">
        <f t="shared" ca="1" si="34"/>
        <v/>
      </c>
      <c r="BH25" s="23" t="str">
        <f t="shared" ca="1" si="34"/>
        <v/>
      </c>
      <c r="BI25" s="23" t="str">
        <f t="shared" ca="1" si="34"/>
        <v/>
      </c>
      <c r="BJ25" s="23" t="str">
        <f t="shared" ca="1" si="34"/>
        <v/>
      </c>
      <c r="BK25" s="23" t="str">
        <f t="shared" ca="1" si="34"/>
        <v/>
      </c>
      <c r="BL25" s="23" t="str">
        <f t="shared" ca="1" si="35"/>
        <v/>
      </c>
      <c r="BM25" s="23" t="str">
        <f t="shared" ca="1" si="35"/>
        <v/>
      </c>
      <c r="BN25" s="23" t="str">
        <f t="shared" ca="1" si="35"/>
        <v/>
      </c>
      <c r="BO25" s="23" t="str">
        <f t="shared" ca="1" si="35"/>
        <v/>
      </c>
      <c r="BP25" s="23" t="str">
        <f t="shared" ca="1" si="35"/>
        <v/>
      </c>
      <c r="BQ25" s="23" t="str">
        <f t="shared" ca="1" si="35"/>
        <v/>
      </c>
      <c r="BR25" s="23" t="str">
        <f t="shared" ca="1" si="35"/>
        <v/>
      </c>
      <c r="BS25" s="23" t="str">
        <f t="shared" ca="1" si="35"/>
        <v/>
      </c>
      <c r="BT25" s="23" t="str">
        <f t="shared" ca="1" si="35"/>
        <v/>
      </c>
      <c r="BU25" s="23" t="str">
        <f t="shared" ca="1" si="35"/>
        <v/>
      </c>
      <c r="BV25" s="23" t="str">
        <f t="shared" ca="1" si="36"/>
        <v/>
      </c>
      <c r="BW25" s="23" t="str">
        <f t="shared" ca="1" si="36"/>
        <v/>
      </c>
      <c r="BX25" s="23" t="str">
        <f t="shared" ca="1" si="36"/>
        <v/>
      </c>
      <c r="BY25" s="23" t="str">
        <f t="shared" ca="1" si="36"/>
        <v/>
      </c>
      <c r="BZ25" s="23" t="str">
        <f t="shared" ca="1" si="36"/>
        <v/>
      </c>
      <c r="CA25" s="23" t="str">
        <f t="shared" ca="1" si="36"/>
        <v/>
      </c>
      <c r="CB25" s="23" t="str">
        <f t="shared" ca="1" si="36"/>
        <v/>
      </c>
      <c r="CC25" s="23" t="str">
        <f t="shared" ca="1" si="36"/>
        <v/>
      </c>
      <c r="CD25" s="23" t="str">
        <f t="shared" ca="1" si="36"/>
        <v/>
      </c>
      <c r="CE25" s="23" t="str">
        <f t="shared" ca="1" si="36"/>
        <v/>
      </c>
      <c r="CF25" s="23" t="str">
        <f t="shared" ca="1" si="37"/>
        <v/>
      </c>
      <c r="CG25" s="23" t="str">
        <f t="shared" ca="1" si="37"/>
        <v/>
      </c>
      <c r="CH25" s="23" t="str">
        <f t="shared" ca="1" si="37"/>
        <v/>
      </c>
      <c r="CI25" s="23" t="str">
        <f t="shared" ca="1" si="37"/>
        <v/>
      </c>
      <c r="CJ25" s="23" t="str">
        <f t="shared" ca="1" si="37"/>
        <v/>
      </c>
      <c r="CK25" s="23" t="str">
        <f t="shared" ca="1" si="37"/>
        <v/>
      </c>
      <c r="CL25" s="23" t="str">
        <f t="shared" ca="1" si="37"/>
        <v/>
      </c>
      <c r="CM25" s="23" t="str">
        <f t="shared" ca="1" si="37"/>
        <v/>
      </c>
      <c r="CN25" s="23" t="str">
        <f t="shared" ca="1" si="37"/>
        <v/>
      </c>
      <c r="CO25" s="23" t="str">
        <f t="shared" ca="1" si="37"/>
        <v/>
      </c>
      <c r="CP25" s="23" t="str">
        <f t="shared" ca="1" si="38"/>
        <v/>
      </c>
      <c r="CQ25" s="23" t="str">
        <f t="shared" ca="1" si="38"/>
        <v/>
      </c>
      <c r="CR25" s="23" t="str">
        <f t="shared" ca="1" si="38"/>
        <v/>
      </c>
      <c r="CS25" s="23" t="str">
        <f t="shared" ca="1" si="38"/>
        <v/>
      </c>
      <c r="CT25" s="23" t="str">
        <f t="shared" ca="1" si="38"/>
        <v/>
      </c>
      <c r="CU25" s="23" t="str">
        <f t="shared" ca="1" si="38"/>
        <v/>
      </c>
      <c r="CV25" s="23" t="str">
        <f t="shared" ca="1" si="38"/>
        <v/>
      </c>
      <c r="CW25" s="23" t="str">
        <f t="shared" ca="1" si="38"/>
        <v/>
      </c>
      <c r="CX25" s="23" t="str">
        <f ca="1">IF(CX$11="","",IF(CX$13=$M$5,CHOOSE($Q$6+1,$M$1,CY25+CZ25-#REF!),IF(CX$13=$M$6,CHOOSE($Q$6+1,$M$1,OFFSET($A25,,$P$7-1)),IF(CX$13=$M$7,CHOOSE($Q$6+1,$M$1,SUM(OFFSET($A$11,$B25-$O$5,$O$6,1,-$P$6))),IF(CX$13=$M$8,CHOOSE($Q$6+1,$M$1,SUM(OFFSET($A$11,$B25-$O$5,$O$7,1,-$P$6))),IF(CX$11&lt;$D$7,OFFSET(INDIRECT($D$3),$A25-1,$Q$3+CX$11),OFFSET(INDIRECT($D$4),$A25-1,$Q$4+CX$11)))))))</f>
        <v/>
      </c>
      <c r="CY25" s="23" t="str">
        <f ca="1">IF(CY$11="","",IF(CY$13=$M$5,CHOOSE($Q$6+1,$M$1,CZ25+#REF!-#REF!),IF(CY$13=$M$6,CHOOSE($Q$6+1,$M$1,OFFSET($A25,,$P$7-1)),IF(CY$13=$M$7,CHOOSE($Q$6+1,$M$1,SUM(OFFSET($A$11,$B25-$O$5,$O$6,1,-$P$6))),IF(CY$13=$M$8,CHOOSE($Q$6+1,$M$1,SUM(OFFSET($A$11,$B25-$O$5,$O$7,1,-$P$6))),IF(CY$11&lt;$D$7,OFFSET(INDIRECT($D$3),$A25-1,$Q$3+CY$11),OFFSET(INDIRECT($D$4),$A25-1,$Q$4+CY$11)))))))</f>
        <v/>
      </c>
      <c r="CZ25" s="23" t="str">
        <f ca="1">IF(CZ$11="","",IF(CZ$13=$M$5,CHOOSE($Q$6+1,$M$1,#REF!+#REF!-#REF!),IF(CZ$13=$M$6,CHOOSE($Q$6+1,$M$1,OFFSET($A25,,$P$7-1)),IF(CZ$13=$M$7,CHOOSE($Q$6+1,$M$1,SUM(OFFSET($A$11,$B25-$O$5,$O$6,1,-$P$6))),IF(CZ$13=$M$8,CHOOSE($Q$6+1,$M$1,SUM(OFFSET($A$11,$B25-$O$5,$O$7,1,-$P$6))),IF(CZ$11&lt;$D$7,OFFSET(INDIRECT($D$3),$A25-1,$Q$3+CZ$11),OFFSET(INDIRECT($D$4),$A25-1,$Q$4+CZ$11)))))))</f>
        <v/>
      </c>
    </row>
    <row r="26" spans="1:104" ht="13.5" customHeight="1">
      <c r="A26" s="27"/>
      <c r="B26" s="33">
        <f t="shared" si="14"/>
        <v>26</v>
      </c>
      <c r="C26" s="9" t="s">
        <v>303</v>
      </c>
      <c r="D26" s="34">
        <f ca="1">IF(D$13="","",SUM(D27:D29))</f>
        <v>1814</v>
      </c>
      <c r="E26" s="34">
        <f t="shared" ref="E26:BP26" ca="1" si="39">IF(E$13="","",SUM(E27:E29))</f>
        <v>3277</v>
      </c>
      <c r="F26" s="34">
        <f t="shared" ca="1" si="39"/>
        <v>434</v>
      </c>
      <c r="G26" s="34">
        <f t="shared" ca="1" si="39"/>
        <v>481</v>
      </c>
      <c r="H26" s="34">
        <f t="shared" ca="1" si="39"/>
        <v>543</v>
      </c>
      <c r="I26" s="34">
        <f t="shared" ca="1" si="39"/>
        <v>721</v>
      </c>
      <c r="J26" s="34">
        <f t="shared" ca="1" si="39"/>
        <v>740</v>
      </c>
      <c r="K26" s="34">
        <f t="shared" ca="1" si="39"/>
        <v>835</v>
      </c>
      <c r="L26" s="34">
        <f t="shared" ca="1" si="39"/>
        <v>981</v>
      </c>
      <c r="M26" s="34">
        <f t="shared" ca="1" si="39"/>
        <v>1588</v>
      </c>
      <c r="N26" s="34">
        <f t="shared" ca="1" si="39"/>
        <v>4144</v>
      </c>
      <c r="O26" s="34">
        <f t="shared" ca="1" si="39"/>
        <v>3277</v>
      </c>
      <c r="P26" s="34">
        <f t="shared" ca="1" si="39"/>
        <v>1588</v>
      </c>
      <c r="Q26" s="34">
        <f t="shared" ca="1" si="39"/>
        <v>721</v>
      </c>
      <c r="R26" s="34" t="str">
        <f t="shared" ca="1" si="39"/>
        <v/>
      </c>
      <c r="S26" s="34" t="str">
        <f t="shared" ca="1" si="39"/>
        <v/>
      </c>
      <c r="T26" s="34" t="str">
        <f t="shared" ca="1" si="39"/>
        <v/>
      </c>
      <c r="U26" s="34" t="str">
        <f t="shared" ca="1" si="39"/>
        <v/>
      </c>
      <c r="V26" s="34" t="str">
        <f t="shared" ca="1" si="39"/>
        <v/>
      </c>
      <c r="W26" s="34" t="str">
        <f t="shared" ca="1" si="39"/>
        <v/>
      </c>
      <c r="X26" s="34" t="str">
        <f t="shared" ca="1" si="39"/>
        <v/>
      </c>
      <c r="Y26" s="34" t="str">
        <f t="shared" ca="1" si="39"/>
        <v/>
      </c>
      <c r="Z26" s="34" t="str">
        <f t="shared" ca="1" si="39"/>
        <v/>
      </c>
      <c r="AA26" s="34" t="str">
        <f t="shared" ca="1" si="39"/>
        <v/>
      </c>
      <c r="AB26" s="34" t="str">
        <f t="shared" ca="1" si="39"/>
        <v/>
      </c>
      <c r="AC26" s="34" t="str">
        <f t="shared" ca="1" si="39"/>
        <v/>
      </c>
      <c r="AD26" s="34" t="str">
        <f t="shared" ca="1" si="39"/>
        <v/>
      </c>
      <c r="AE26" s="34" t="str">
        <f t="shared" ca="1" si="39"/>
        <v/>
      </c>
      <c r="AF26" s="34" t="str">
        <f t="shared" ca="1" si="39"/>
        <v/>
      </c>
      <c r="AG26" s="34" t="str">
        <f t="shared" ca="1" si="39"/>
        <v/>
      </c>
      <c r="AH26" s="34" t="str">
        <f t="shared" ca="1" si="39"/>
        <v/>
      </c>
      <c r="AI26" s="34" t="str">
        <f t="shared" ca="1" si="39"/>
        <v/>
      </c>
      <c r="AJ26" s="34" t="str">
        <f t="shared" ca="1" si="39"/>
        <v/>
      </c>
      <c r="AK26" s="34" t="str">
        <f t="shared" ca="1" si="39"/>
        <v/>
      </c>
      <c r="AL26" s="34" t="str">
        <f t="shared" ca="1" si="39"/>
        <v/>
      </c>
      <c r="AM26" s="34" t="str">
        <f t="shared" ca="1" si="39"/>
        <v/>
      </c>
      <c r="AN26" s="34" t="str">
        <f t="shared" ca="1" si="39"/>
        <v/>
      </c>
      <c r="AO26" s="34" t="str">
        <f t="shared" ca="1" si="39"/>
        <v/>
      </c>
      <c r="AP26" s="34" t="str">
        <f t="shared" ca="1" si="39"/>
        <v/>
      </c>
      <c r="AQ26" s="34" t="str">
        <f t="shared" ca="1" si="39"/>
        <v/>
      </c>
      <c r="AR26" s="34" t="str">
        <f t="shared" ca="1" si="39"/>
        <v/>
      </c>
      <c r="AS26" s="34" t="str">
        <f t="shared" ca="1" si="39"/>
        <v/>
      </c>
      <c r="AT26" s="34" t="str">
        <f t="shared" ca="1" si="39"/>
        <v/>
      </c>
      <c r="AU26" s="34" t="str">
        <f t="shared" ca="1" si="39"/>
        <v/>
      </c>
      <c r="AV26" s="34" t="str">
        <f t="shared" ca="1" si="39"/>
        <v/>
      </c>
      <c r="AW26" s="34" t="str">
        <f t="shared" ca="1" si="39"/>
        <v/>
      </c>
      <c r="AX26" s="34" t="str">
        <f t="shared" ca="1" si="39"/>
        <v/>
      </c>
      <c r="AY26" s="34" t="str">
        <f t="shared" ca="1" si="39"/>
        <v/>
      </c>
      <c r="AZ26" s="34" t="str">
        <f t="shared" ca="1" si="39"/>
        <v/>
      </c>
      <c r="BA26" s="34" t="str">
        <f t="shared" ca="1" si="39"/>
        <v/>
      </c>
      <c r="BB26" s="34" t="str">
        <f t="shared" ca="1" si="39"/>
        <v/>
      </c>
      <c r="BC26" s="34" t="str">
        <f t="shared" ca="1" si="39"/>
        <v/>
      </c>
      <c r="BD26" s="34" t="str">
        <f t="shared" ca="1" si="39"/>
        <v/>
      </c>
      <c r="BE26" s="34" t="str">
        <f t="shared" ca="1" si="39"/>
        <v/>
      </c>
      <c r="BF26" s="34" t="str">
        <f t="shared" ca="1" si="39"/>
        <v/>
      </c>
      <c r="BG26" s="34" t="str">
        <f t="shared" ca="1" si="39"/>
        <v/>
      </c>
      <c r="BH26" s="34" t="str">
        <f t="shared" ca="1" si="39"/>
        <v/>
      </c>
      <c r="BI26" s="34" t="str">
        <f t="shared" ca="1" si="39"/>
        <v/>
      </c>
      <c r="BJ26" s="34" t="str">
        <f t="shared" ca="1" si="39"/>
        <v/>
      </c>
      <c r="BK26" s="34" t="str">
        <f t="shared" ca="1" si="39"/>
        <v/>
      </c>
      <c r="BL26" s="34" t="str">
        <f t="shared" ca="1" si="39"/>
        <v/>
      </c>
      <c r="BM26" s="34" t="str">
        <f t="shared" ca="1" si="39"/>
        <v/>
      </c>
      <c r="BN26" s="34" t="str">
        <f t="shared" ca="1" si="39"/>
        <v/>
      </c>
      <c r="BO26" s="34" t="str">
        <f t="shared" ca="1" si="39"/>
        <v/>
      </c>
      <c r="BP26" s="34" t="str">
        <f t="shared" ca="1" si="39"/>
        <v/>
      </c>
      <c r="BQ26" s="34" t="str">
        <f t="shared" ref="BQ26:CZ26" ca="1" si="40">IF(BQ$13="","",SUM(BQ27:BQ29))</f>
        <v/>
      </c>
      <c r="BR26" s="34" t="str">
        <f t="shared" ca="1" si="40"/>
        <v/>
      </c>
      <c r="BS26" s="34" t="str">
        <f t="shared" ca="1" si="40"/>
        <v/>
      </c>
      <c r="BT26" s="34" t="str">
        <f t="shared" ca="1" si="40"/>
        <v/>
      </c>
      <c r="BU26" s="34" t="str">
        <f t="shared" ca="1" si="40"/>
        <v/>
      </c>
      <c r="BV26" s="34" t="str">
        <f t="shared" ca="1" si="40"/>
        <v/>
      </c>
      <c r="BW26" s="34" t="str">
        <f t="shared" ca="1" si="40"/>
        <v/>
      </c>
      <c r="BX26" s="34" t="str">
        <f t="shared" ca="1" si="40"/>
        <v/>
      </c>
      <c r="BY26" s="34" t="str">
        <f t="shared" ca="1" si="40"/>
        <v/>
      </c>
      <c r="BZ26" s="34" t="str">
        <f t="shared" ca="1" si="40"/>
        <v/>
      </c>
      <c r="CA26" s="34" t="str">
        <f t="shared" ca="1" si="40"/>
        <v/>
      </c>
      <c r="CB26" s="34" t="str">
        <f t="shared" ca="1" si="40"/>
        <v/>
      </c>
      <c r="CC26" s="34" t="str">
        <f t="shared" ca="1" si="40"/>
        <v/>
      </c>
      <c r="CD26" s="34" t="str">
        <f t="shared" ca="1" si="40"/>
        <v/>
      </c>
      <c r="CE26" s="34" t="str">
        <f t="shared" ca="1" si="40"/>
        <v/>
      </c>
      <c r="CF26" s="34" t="str">
        <f t="shared" ca="1" si="40"/>
        <v/>
      </c>
      <c r="CG26" s="34" t="str">
        <f t="shared" ca="1" si="40"/>
        <v/>
      </c>
      <c r="CH26" s="34" t="str">
        <f t="shared" ca="1" si="40"/>
        <v/>
      </c>
      <c r="CI26" s="34" t="str">
        <f t="shared" ca="1" si="40"/>
        <v/>
      </c>
      <c r="CJ26" s="34" t="str">
        <f t="shared" ca="1" si="40"/>
        <v/>
      </c>
      <c r="CK26" s="34" t="str">
        <f t="shared" ca="1" si="40"/>
        <v/>
      </c>
      <c r="CL26" s="34" t="str">
        <f t="shared" ca="1" si="40"/>
        <v/>
      </c>
      <c r="CM26" s="34" t="str">
        <f t="shared" ca="1" si="40"/>
        <v/>
      </c>
      <c r="CN26" s="34" t="str">
        <f t="shared" ca="1" si="40"/>
        <v/>
      </c>
      <c r="CO26" s="34" t="str">
        <f t="shared" ca="1" si="40"/>
        <v/>
      </c>
      <c r="CP26" s="34" t="str">
        <f t="shared" ca="1" si="40"/>
        <v/>
      </c>
      <c r="CQ26" s="34" t="str">
        <f t="shared" ca="1" si="40"/>
        <v/>
      </c>
      <c r="CR26" s="34" t="str">
        <f t="shared" ca="1" si="40"/>
        <v/>
      </c>
      <c r="CS26" s="34" t="str">
        <f t="shared" ca="1" si="40"/>
        <v/>
      </c>
      <c r="CT26" s="34" t="str">
        <f t="shared" ca="1" si="40"/>
        <v/>
      </c>
      <c r="CU26" s="34" t="str">
        <f t="shared" ca="1" si="40"/>
        <v/>
      </c>
      <c r="CV26" s="34" t="str">
        <f t="shared" ca="1" si="40"/>
        <v/>
      </c>
      <c r="CW26" s="34" t="str">
        <f t="shared" ca="1" si="40"/>
        <v/>
      </c>
      <c r="CX26" s="34" t="str">
        <f t="shared" ca="1" si="40"/>
        <v/>
      </c>
      <c r="CY26" s="34" t="str">
        <f t="shared" ca="1" si="40"/>
        <v/>
      </c>
      <c r="CZ26" s="34" t="str">
        <f t="shared" ca="1" si="40"/>
        <v/>
      </c>
    </row>
    <row r="27" spans="1:104" ht="13.5" customHeight="1">
      <c r="A27" s="27">
        <v>26</v>
      </c>
      <c r="B27" s="33">
        <f t="shared" si="14"/>
        <v>27</v>
      </c>
      <c r="C27" s="8" t="s">
        <v>304</v>
      </c>
      <c r="D27" s="23">
        <f t="shared" ref="D27:M31" ca="1" si="41">IF(D$11="","",IF(D$13=$M$5,CHOOSE($Q$6+1,$M$1,E27+F27-G27),IF(D$13=$M$6,CHOOSE($Q$6+1,$M$1,OFFSET($A27,,$P$7-1)),IF(D$13=$M$7,CHOOSE($Q$6+1,$M$1,SUM(OFFSET($A$11,$B27-$O$5,$O$6,1,-$P$6))),IF(D$13=$M$8,CHOOSE($Q$6+1,$M$1,SUM(OFFSET($A$11,$B27-$O$5,$O$7,1,-$P$6))),IF(D$11&lt;$D$7,OFFSET(INDIRECT($D$3),$A27-1,$Q$3+D$11),OFFSET(INDIRECT($D$4),$A27-1,$Q$4+D$11)))))))</f>
        <v>1814</v>
      </c>
      <c r="E27" s="23">
        <f t="shared" ca="1" si="41"/>
        <v>3277</v>
      </c>
      <c r="F27" s="23">
        <f t="shared" ca="1" si="41"/>
        <v>434</v>
      </c>
      <c r="G27" s="23">
        <f t="shared" ca="1" si="41"/>
        <v>481</v>
      </c>
      <c r="H27" s="23">
        <f t="shared" ca="1" si="41"/>
        <v>543</v>
      </c>
      <c r="I27" s="23">
        <f t="shared" ca="1" si="41"/>
        <v>721</v>
      </c>
      <c r="J27" s="23">
        <f t="shared" ca="1" si="41"/>
        <v>740</v>
      </c>
      <c r="K27" s="23">
        <f t="shared" ca="1" si="41"/>
        <v>835</v>
      </c>
      <c r="L27" s="23">
        <f t="shared" ca="1" si="41"/>
        <v>981</v>
      </c>
      <c r="M27" s="23">
        <f t="shared" ca="1" si="41"/>
        <v>1588</v>
      </c>
      <c r="N27" s="23">
        <f t="shared" ref="N27:W31" ca="1" si="42">IF(N$11="","",IF(N$13=$M$5,CHOOSE($Q$6+1,$M$1,O27+P27-Q27),IF(N$13=$M$6,CHOOSE($Q$6+1,$M$1,OFFSET($A27,,$P$7-1)),IF(N$13=$M$7,CHOOSE($Q$6+1,$M$1,SUM(OFFSET($A$11,$B27-$O$5,$O$6,1,-$P$6))),IF(N$13=$M$8,CHOOSE($Q$6+1,$M$1,SUM(OFFSET($A$11,$B27-$O$5,$O$7,1,-$P$6))),IF(N$11&lt;$D$7,OFFSET(INDIRECT($D$3),$A27-1,$Q$3+N$11),OFFSET(INDIRECT($D$4),$A27-1,$Q$4+N$11)))))))</f>
        <v>4144</v>
      </c>
      <c r="O27" s="23">
        <f t="shared" ca="1" si="42"/>
        <v>3277</v>
      </c>
      <c r="P27" s="23">
        <f t="shared" ca="1" si="42"/>
        <v>1588</v>
      </c>
      <c r="Q27" s="23">
        <f t="shared" ca="1" si="42"/>
        <v>721</v>
      </c>
      <c r="R27" s="23" t="str">
        <f t="shared" ca="1" si="42"/>
        <v/>
      </c>
      <c r="S27" s="23" t="str">
        <f t="shared" ca="1" si="42"/>
        <v/>
      </c>
      <c r="T27" s="23" t="str">
        <f t="shared" ca="1" si="42"/>
        <v/>
      </c>
      <c r="U27" s="23" t="str">
        <f t="shared" ca="1" si="42"/>
        <v/>
      </c>
      <c r="V27" s="23" t="str">
        <f t="shared" ca="1" si="42"/>
        <v/>
      </c>
      <c r="W27" s="23" t="str">
        <f t="shared" ca="1" si="42"/>
        <v/>
      </c>
      <c r="X27" s="23" t="str">
        <f t="shared" ref="X27:AG31" ca="1" si="43">IF(X$11="","",IF(X$13=$M$5,CHOOSE($Q$6+1,$M$1,Y27+Z27-AA27),IF(X$13=$M$6,CHOOSE($Q$6+1,$M$1,OFFSET($A27,,$P$7-1)),IF(X$13=$M$7,CHOOSE($Q$6+1,$M$1,SUM(OFFSET($A$11,$B27-$O$5,$O$6,1,-$P$6))),IF(X$13=$M$8,CHOOSE($Q$6+1,$M$1,SUM(OFFSET($A$11,$B27-$O$5,$O$7,1,-$P$6))),IF(X$11&lt;$D$7,OFFSET(INDIRECT($D$3),$A27-1,$Q$3+X$11),OFFSET(INDIRECT($D$4),$A27-1,$Q$4+X$11)))))))</f>
        <v/>
      </c>
      <c r="Y27" s="23" t="str">
        <f t="shared" ca="1" si="43"/>
        <v/>
      </c>
      <c r="Z27" s="23" t="str">
        <f t="shared" ca="1" si="43"/>
        <v/>
      </c>
      <c r="AA27" s="23" t="str">
        <f t="shared" ca="1" si="43"/>
        <v/>
      </c>
      <c r="AB27" s="23" t="str">
        <f t="shared" ca="1" si="43"/>
        <v/>
      </c>
      <c r="AC27" s="23" t="str">
        <f t="shared" ca="1" si="43"/>
        <v/>
      </c>
      <c r="AD27" s="23" t="str">
        <f t="shared" ca="1" si="43"/>
        <v/>
      </c>
      <c r="AE27" s="23" t="str">
        <f t="shared" ca="1" si="43"/>
        <v/>
      </c>
      <c r="AF27" s="23" t="str">
        <f t="shared" ca="1" si="43"/>
        <v/>
      </c>
      <c r="AG27" s="23" t="str">
        <f t="shared" ca="1" si="43"/>
        <v/>
      </c>
      <c r="AH27" s="23" t="str">
        <f t="shared" ref="AH27:AQ31" ca="1" si="44">IF(AH$11="","",IF(AH$13=$M$5,CHOOSE($Q$6+1,$M$1,AI27+AJ27-AK27),IF(AH$13=$M$6,CHOOSE($Q$6+1,$M$1,OFFSET($A27,,$P$7-1)),IF(AH$13=$M$7,CHOOSE($Q$6+1,$M$1,SUM(OFFSET($A$11,$B27-$O$5,$O$6,1,-$P$6))),IF(AH$13=$M$8,CHOOSE($Q$6+1,$M$1,SUM(OFFSET($A$11,$B27-$O$5,$O$7,1,-$P$6))),IF(AH$11&lt;$D$7,OFFSET(INDIRECT($D$3),$A27-1,$Q$3+AH$11),OFFSET(INDIRECT($D$4),$A27-1,$Q$4+AH$11)))))))</f>
        <v/>
      </c>
      <c r="AI27" s="23" t="str">
        <f t="shared" ca="1" si="44"/>
        <v/>
      </c>
      <c r="AJ27" s="23" t="str">
        <f t="shared" ca="1" si="44"/>
        <v/>
      </c>
      <c r="AK27" s="23" t="str">
        <f t="shared" ca="1" si="44"/>
        <v/>
      </c>
      <c r="AL27" s="23" t="str">
        <f t="shared" ca="1" si="44"/>
        <v/>
      </c>
      <c r="AM27" s="23" t="str">
        <f t="shared" ca="1" si="44"/>
        <v/>
      </c>
      <c r="AN27" s="23" t="str">
        <f t="shared" ca="1" si="44"/>
        <v/>
      </c>
      <c r="AO27" s="23" t="str">
        <f t="shared" ca="1" si="44"/>
        <v/>
      </c>
      <c r="AP27" s="23" t="str">
        <f t="shared" ca="1" si="44"/>
        <v/>
      </c>
      <c r="AQ27" s="23" t="str">
        <f t="shared" ca="1" si="44"/>
        <v/>
      </c>
      <c r="AR27" s="23" t="str">
        <f t="shared" ref="AR27:BA31" ca="1" si="45">IF(AR$11="","",IF(AR$13=$M$5,CHOOSE($Q$6+1,$M$1,AS27+AT27-AU27),IF(AR$13=$M$6,CHOOSE($Q$6+1,$M$1,OFFSET($A27,,$P$7-1)),IF(AR$13=$M$7,CHOOSE($Q$6+1,$M$1,SUM(OFFSET($A$11,$B27-$O$5,$O$6,1,-$P$6))),IF(AR$13=$M$8,CHOOSE($Q$6+1,$M$1,SUM(OFFSET($A$11,$B27-$O$5,$O$7,1,-$P$6))),IF(AR$11&lt;$D$7,OFFSET(INDIRECT($D$3),$A27-1,$Q$3+AR$11),OFFSET(INDIRECT($D$4),$A27-1,$Q$4+AR$11)))))))</f>
        <v/>
      </c>
      <c r="AS27" s="23" t="str">
        <f t="shared" ca="1" si="45"/>
        <v/>
      </c>
      <c r="AT27" s="23" t="str">
        <f t="shared" ca="1" si="45"/>
        <v/>
      </c>
      <c r="AU27" s="23" t="str">
        <f t="shared" ca="1" si="45"/>
        <v/>
      </c>
      <c r="AV27" s="23" t="str">
        <f t="shared" ca="1" si="45"/>
        <v/>
      </c>
      <c r="AW27" s="23" t="str">
        <f t="shared" ca="1" si="45"/>
        <v/>
      </c>
      <c r="AX27" s="23" t="str">
        <f t="shared" ca="1" si="45"/>
        <v/>
      </c>
      <c r="AY27" s="23" t="str">
        <f t="shared" ca="1" si="45"/>
        <v/>
      </c>
      <c r="AZ27" s="23" t="str">
        <f t="shared" ca="1" si="45"/>
        <v/>
      </c>
      <c r="BA27" s="23" t="str">
        <f t="shared" ca="1" si="45"/>
        <v/>
      </c>
      <c r="BB27" s="23" t="str">
        <f t="shared" ref="BB27:BK31" ca="1" si="46">IF(BB$11="","",IF(BB$13=$M$5,CHOOSE($Q$6+1,$M$1,BC27+BD27-BE27),IF(BB$13=$M$6,CHOOSE($Q$6+1,$M$1,OFFSET($A27,,$P$7-1)),IF(BB$13=$M$7,CHOOSE($Q$6+1,$M$1,SUM(OFFSET($A$11,$B27-$O$5,$O$6,1,-$P$6))),IF(BB$13=$M$8,CHOOSE($Q$6+1,$M$1,SUM(OFFSET($A$11,$B27-$O$5,$O$7,1,-$P$6))),IF(BB$11&lt;$D$7,OFFSET(INDIRECT($D$3),$A27-1,$Q$3+BB$11),OFFSET(INDIRECT($D$4),$A27-1,$Q$4+BB$11)))))))</f>
        <v/>
      </c>
      <c r="BC27" s="23" t="str">
        <f t="shared" ca="1" si="46"/>
        <v/>
      </c>
      <c r="BD27" s="23" t="str">
        <f t="shared" ca="1" si="46"/>
        <v/>
      </c>
      <c r="BE27" s="23" t="str">
        <f t="shared" ca="1" si="46"/>
        <v/>
      </c>
      <c r="BF27" s="23" t="str">
        <f t="shared" ca="1" si="46"/>
        <v/>
      </c>
      <c r="BG27" s="23" t="str">
        <f t="shared" ca="1" si="46"/>
        <v/>
      </c>
      <c r="BH27" s="23" t="str">
        <f t="shared" ca="1" si="46"/>
        <v/>
      </c>
      <c r="BI27" s="23" t="str">
        <f t="shared" ca="1" si="46"/>
        <v/>
      </c>
      <c r="BJ27" s="23" t="str">
        <f t="shared" ca="1" si="46"/>
        <v/>
      </c>
      <c r="BK27" s="23" t="str">
        <f t="shared" ca="1" si="46"/>
        <v/>
      </c>
      <c r="BL27" s="23" t="str">
        <f t="shared" ref="BL27:BU31" ca="1" si="47">IF(BL$11="","",IF(BL$13=$M$5,CHOOSE($Q$6+1,$M$1,BM27+BN27-BO27),IF(BL$13=$M$6,CHOOSE($Q$6+1,$M$1,OFFSET($A27,,$P$7-1)),IF(BL$13=$M$7,CHOOSE($Q$6+1,$M$1,SUM(OFFSET($A$11,$B27-$O$5,$O$6,1,-$P$6))),IF(BL$13=$M$8,CHOOSE($Q$6+1,$M$1,SUM(OFFSET($A$11,$B27-$O$5,$O$7,1,-$P$6))),IF(BL$11&lt;$D$7,OFFSET(INDIRECT($D$3),$A27-1,$Q$3+BL$11),OFFSET(INDIRECT($D$4),$A27-1,$Q$4+BL$11)))))))</f>
        <v/>
      </c>
      <c r="BM27" s="23" t="str">
        <f t="shared" ca="1" si="47"/>
        <v/>
      </c>
      <c r="BN27" s="23" t="str">
        <f t="shared" ca="1" si="47"/>
        <v/>
      </c>
      <c r="BO27" s="23" t="str">
        <f t="shared" ca="1" si="47"/>
        <v/>
      </c>
      <c r="BP27" s="23" t="str">
        <f t="shared" ca="1" si="47"/>
        <v/>
      </c>
      <c r="BQ27" s="23" t="str">
        <f t="shared" ca="1" si="47"/>
        <v/>
      </c>
      <c r="BR27" s="23" t="str">
        <f t="shared" ca="1" si="47"/>
        <v/>
      </c>
      <c r="BS27" s="23" t="str">
        <f t="shared" ca="1" si="47"/>
        <v/>
      </c>
      <c r="BT27" s="23" t="str">
        <f t="shared" ca="1" si="47"/>
        <v/>
      </c>
      <c r="BU27" s="23" t="str">
        <f t="shared" ca="1" si="47"/>
        <v/>
      </c>
      <c r="BV27" s="23" t="str">
        <f t="shared" ref="BV27:CE31" ca="1" si="48">IF(BV$11="","",IF(BV$13=$M$5,CHOOSE($Q$6+1,$M$1,BW27+BX27-BY27),IF(BV$13=$M$6,CHOOSE($Q$6+1,$M$1,OFFSET($A27,,$P$7-1)),IF(BV$13=$M$7,CHOOSE($Q$6+1,$M$1,SUM(OFFSET($A$11,$B27-$O$5,$O$6,1,-$P$6))),IF(BV$13=$M$8,CHOOSE($Q$6+1,$M$1,SUM(OFFSET($A$11,$B27-$O$5,$O$7,1,-$P$6))),IF(BV$11&lt;$D$7,OFFSET(INDIRECT($D$3),$A27-1,$Q$3+BV$11),OFFSET(INDIRECT($D$4),$A27-1,$Q$4+BV$11)))))))</f>
        <v/>
      </c>
      <c r="BW27" s="23" t="str">
        <f t="shared" ca="1" si="48"/>
        <v/>
      </c>
      <c r="BX27" s="23" t="str">
        <f t="shared" ca="1" si="48"/>
        <v/>
      </c>
      <c r="BY27" s="23" t="str">
        <f t="shared" ca="1" si="48"/>
        <v/>
      </c>
      <c r="BZ27" s="23" t="str">
        <f t="shared" ca="1" si="48"/>
        <v/>
      </c>
      <c r="CA27" s="23" t="str">
        <f t="shared" ca="1" si="48"/>
        <v/>
      </c>
      <c r="CB27" s="23" t="str">
        <f t="shared" ca="1" si="48"/>
        <v/>
      </c>
      <c r="CC27" s="23" t="str">
        <f t="shared" ca="1" si="48"/>
        <v/>
      </c>
      <c r="CD27" s="23" t="str">
        <f t="shared" ca="1" si="48"/>
        <v/>
      </c>
      <c r="CE27" s="23" t="str">
        <f t="shared" ca="1" si="48"/>
        <v/>
      </c>
      <c r="CF27" s="23" t="str">
        <f t="shared" ref="CF27:CO31" ca="1" si="49">IF(CF$11="","",IF(CF$13=$M$5,CHOOSE($Q$6+1,$M$1,CG27+CH27-CI27),IF(CF$13=$M$6,CHOOSE($Q$6+1,$M$1,OFFSET($A27,,$P$7-1)),IF(CF$13=$M$7,CHOOSE($Q$6+1,$M$1,SUM(OFFSET($A$11,$B27-$O$5,$O$6,1,-$P$6))),IF(CF$13=$M$8,CHOOSE($Q$6+1,$M$1,SUM(OFFSET($A$11,$B27-$O$5,$O$7,1,-$P$6))),IF(CF$11&lt;$D$7,OFFSET(INDIRECT($D$3),$A27-1,$Q$3+CF$11),OFFSET(INDIRECT($D$4),$A27-1,$Q$4+CF$11)))))))</f>
        <v/>
      </c>
      <c r="CG27" s="23" t="str">
        <f t="shared" ca="1" si="49"/>
        <v/>
      </c>
      <c r="CH27" s="23" t="str">
        <f t="shared" ca="1" si="49"/>
        <v/>
      </c>
      <c r="CI27" s="23" t="str">
        <f t="shared" ca="1" si="49"/>
        <v/>
      </c>
      <c r="CJ27" s="23" t="str">
        <f t="shared" ca="1" si="49"/>
        <v/>
      </c>
      <c r="CK27" s="23" t="str">
        <f t="shared" ca="1" si="49"/>
        <v/>
      </c>
      <c r="CL27" s="23" t="str">
        <f t="shared" ca="1" si="49"/>
        <v/>
      </c>
      <c r="CM27" s="23" t="str">
        <f t="shared" ca="1" si="49"/>
        <v/>
      </c>
      <c r="CN27" s="23" t="str">
        <f t="shared" ca="1" si="49"/>
        <v/>
      </c>
      <c r="CO27" s="23" t="str">
        <f t="shared" ca="1" si="49"/>
        <v/>
      </c>
      <c r="CP27" s="23" t="str">
        <f t="shared" ref="CP27:CW31" ca="1" si="50">IF(CP$11="","",IF(CP$13=$M$5,CHOOSE($Q$6+1,$M$1,CQ27+CR27-CS27),IF(CP$13=$M$6,CHOOSE($Q$6+1,$M$1,OFFSET($A27,,$P$7-1)),IF(CP$13=$M$7,CHOOSE($Q$6+1,$M$1,SUM(OFFSET($A$11,$B27-$O$5,$O$6,1,-$P$6))),IF(CP$13=$M$8,CHOOSE($Q$6+1,$M$1,SUM(OFFSET($A$11,$B27-$O$5,$O$7,1,-$P$6))),IF(CP$11&lt;$D$7,OFFSET(INDIRECT($D$3),$A27-1,$Q$3+CP$11),OFFSET(INDIRECT($D$4),$A27-1,$Q$4+CP$11)))))))</f>
        <v/>
      </c>
      <c r="CQ27" s="23" t="str">
        <f t="shared" ca="1" si="50"/>
        <v/>
      </c>
      <c r="CR27" s="23" t="str">
        <f t="shared" ca="1" si="50"/>
        <v/>
      </c>
      <c r="CS27" s="23" t="str">
        <f t="shared" ca="1" si="50"/>
        <v/>
      </c>
      <c r="CT27" s="23" t="str">
        <f t="shared" ca="1" si="50"/>
        <v/>
      </c>
      <c r="CU27" s="23" t="str">
        <f t="shared" ca="1" si="50"/>
        <v/>
      </c>
      <c r="CV27" s="23" t="str">
        <f t="shared" ca="1" si="50"/>
        <v/>
      </c>
      <c r="CW27" s="23" t="str">
        <f t="shared" ca="1" si="50"/>
        <v/>
      </c>
      <c r="CX27" s="23" t="str">
        <f ca="1">IF(CX$11="","",IF(CX$13=$M$5,CHOOSE($Q$6+1,$M$1,CY27+CZ27-#REF!),IF(CX$13=$M$6,CHOOSE($Q$6+1,$M$1,OFFSET($A27,,$P$7-1)),IF(CX$13=$M$7,CHOOSE($Q$6+1,$M$1,SUM(OFFSET($A$11,$B27-$O$5,$O$6,1,-$P$6))),IF(CX$13=$M$8,CHOOSE($Q$6+1,$M$1,SUM(OFFSET($A$11,$B27-$O$5,$O$7,1,-$P$6))),IF(CX$11&lt;$D$7,OFFSET(INDIRECT($D$3),$A27-1,$Q$3+CX$11),OFFSET(INDIRECT($D$4),$A27-1,$Q$4+CX$11)))))))</f>
        <v/>
      </c>
      <c r="CY27" s="23" t="str">
        <f ca="1">IF(CY$11="","",IF(CY$13=$M$5,CHOOSE($Q$6+1,$M$1,CZ27+#REF!-#REF!),IF(CY$13=$M$6,CHOOSE($Q$6+1,$M$1,OFFSET($A27,,$P$7-1)),IF(CY$13=$M$7,CHOOSE($Q$6+1,$M$1,SUM(OFFSET($A$11,$B27-$O$5,$O$6,1,-$P$6))),IF(CY$13=$M$8,CHOOSE($Q$6+1,$M$1,SUM(OFFSET($A$11,$B27-$O$5,$O$7,1,-$P$6))),IF(CY$11&lt;$D$7,OFFSET(INDIRECT($D$3),$A27-1,$Q$3+CY$11),OFFSET(INDIRECT($D$4),$A27-1,$Q$4+CY$11)))))))</f>
        <v/>
      </c>
      <c r="CZ27" s="23" t="str">
        <f ca="1">IF(CZ$11="","",IF(CZ$13=$M$5,CHOOSE($Q$6+1,$M$1,#REF!+#REF!-#REF!),IF(CZ$13=$M$6,CHOOSE($Q$6+1,$M$1,OFFSET($A27,,$P$7-1)),IF(CZ$13=$M$7,CHOOSE($Q$6+1,$M$1,SUM(OFFSET($A$11,$B27-$O$5,$O$6,1,-$P$6))),IF(CZ$13=$M$8,CHOOSE($Q$6+1,$M$1,SUM(OFFSET($A$11,$B27-$O$5,$O$7,1,-$P$6))),IF(CZ$11&lt;$D$7,OFFSET(INDIRECT($D$3),$A27-1,$Q$3+CZ$11),OFFSET(INDIRECT($D$4),$A27-1,$Q$4+CZ$11)))))))</f>
        <v/>
      </c>
    </row>
    <row r="28" spans="1:104" ht="13.5" customHeight="1">
      <c r="A28" s="27">
        <v>28</v>
      </c>
      <c r="B28" s="33">
        <f t="shared" si="14"/>
        <v>28</v>
      </c>
      <c r="C28" s="8" t="s">
        <v>305</v>
      </c>
      <c r="D28" s="23">
        <f t="shared" ca="1" si="41"/>
        <v>0</v>
      </c>
      <c r="E28" s="23">
        <f t="shared" ca="1" si="41"/>
        <v>0</v>
      </c>
      <c r="F28" s="23">
        <f t="shared" ca="1" si="41"/>
        <v>0</v>
      </c>
      <c r="G28" s="23">
        <f t="shared" ca="1" si="41"/>
        <v>0</v>
      </c>
      <c r="H28" s="23">
        <f t="shared" ca="1" si="41"/>
        <v>0</v>
      </c>
      <c r="I28" s="23">
        <f t="shared" ca="1" si="41"/>
        <v>0</v>
      </c>
      <c r="J28" s="23">
        <f t="shared" ca="1" si="41"/>
        <v>0</v>
      </c>
      <c r="K28" s="23">
        <f t="shared" ca="1" si="41"/>
        <v>0</v>
      </c>
      <c r="L28" s="23">
        <f t="shared" ca="1" si="41"/>
        <v>0</v>
      </c>
      <c r="M28" s="23">
        <f t="shared" ca="1" si="41"/>
        <v>0</v>
      </c>
      <c r="N28" s="23">
        <f t="shared" ca="1" si="42"/>
        <v>0</v>
      </c>
      <c r="O28" s="23">
        <f t="shared" ca="1" si="42"/>
        <v>0</v>
      </c>
      <c r="P28" s="23">
        <f t="shared" ca="1" si="42"/>
        <v>0</v>
      </c>
      <c r="Q28" s="23">
        <f t="shared" ca="1" si="42"/>
        <v>0</v>
      </c>
      <c r="R28" s="23" t="str">
        <f t="shared" ca="1" si="42"/>
        <v/>
      </c>
      <c r="S28" s="23" t="str">
        <f t="shared" ca="1" si="42"/>
        <v/>
      </c>
      <c r="T28" s="23" t="str">
        <f t="shared" ca="1" si="42"/>
        <v/>
      </c>
      <c r="U28" s="23" t="str">
        <f t="shared" ca="1" si="42"/>
        <v/>
      </c>
      <c r="V28" s="23" t="str">
        <f t="shared" ca="1" si="42"/>
        <v/>
      </c>
      <c r="W28" s="23" t="str">
        <f t="shared" ca="1" si="42"/>
        <v/>
      </c>
      <c r="X28" s="23" t="str">
        <f t="shared" ca="1" si="43"/>
        <v/>
      </c>
      <c r="Y28" s="23" t="str">
        <f t="shared" ca="1" si="43"/>
        <v/>
      </c>
      <c r="Z28" s="23" t="str">
        <f t="shared" ca="1" si="43"/>
        <v/>
      </c>
      <c r="AA28" s="23" t="str">
        <f t="shared" ca="1" si="43"/>
        <v/>
      </c>
      <c r="AB28" s="23" t="str">
        <f t="shared" ca="1" si="43"/>
        <v/>
      </c>
      <c r="AC28" s="23" t="str">
        <f t="shared" ca="1" si="43"/>
        <v/>
      </c>
      <c r="AD28" s="23" t="str">
        <f t="shared" ca="1" si="43"/>
        <v/>
      </c>
      <c r="AE28" s="23" t="str">
        <f t="shared" ca="1" si="43"/>
        <v/>
      </c>
      <c r="AF28" s="23" t="str">
        <f t="shared" ca="1" si="43"/>
        <v/>
      </c>
      <c r="AG28" s="23" t="str">
        <f t="shared" ca="1" si="43"/>
        <v/>
      </c>
      <c r="AH28" s="23" t="str">
        <f t="shared" ca="1" si="44"/>
        <v/>
      </c>
      <c r="AI28" s="23" t="str">
        <f t="shared" ca="1" si="44"/>
        <v/>
      </c>
      <c r="AJ28" s="23" t="str">
        <f t="shared" ca="1" si="44"/>
        <v/>
      </c>
      <c r="AK28" s="23" t="str">
        <f t="shared" ca="1" si="44"/>
        <v/>
      </c>
      <c r="AL28" s="23" t="str">
        <f t="shared" ca="1" si="44"/>
        <v/>
      </c>
      <c r="AM28" s="23" t="str">
        <f t="shared" ca="1" si="44"/>
        <v/>
      </c>
      <c r="AN28" s="23" t="str">
        <f t="shared" ca="1" si="44"/>
        <v/>
      </c>
      <c r="AO28" s="23" t="str">
        <f t="shared" ca="1" si="44"/>
        <v/>
      </c>
      <c r="AP28" s="23" t="str">
        <f t="shared" ca="1" si="44"/>
        <v/>
      </c>
      <c r="AQ28" s="23" t="str">
        <f t="shared" ca="1" si="44"/>
        <v/>
      </c>
      <c r="AR28" s="23" t="str">
        <f t="shared" ca="1" si="45"/>
        <v/>
      </c>
      <c r="AS28" s="23" t="str">
        <f t="shared" ca="1" si="45"/>
        <v/>
      </c>
      <c r="AT28" s="23" t="str">
        <f t="shared" ca="1" si="45"/>
        <v/>
      </c>
      <c r="AU28" s="23" t="str">
        <f t="shared" ca="1" si="45"/>
        <v/>
      </c>
      <c r="AV28" s="23" t="str">
        <f t="shared" ca="1" si="45"/>
        <v/>
      </c>
      <c r="AW28" s="23" t="str">
        <f t="shared" ca="1" si="45"/>
        <v/>
      </c>
      <c r="AX28" s="23" t="str">
        <f t="shared" ca="1" si="45"/>
        <v/>
      </c>
      <c r="AY28" s="23" t="str">
        <f t="shared" ca="1" si="45"/>
        <v/>
      </c>
      <c r="AZ28" s="23" t="str">
        <f t="shared" ca="1" si="45"/>
        <v/>
      </c>
      <c r="BA28" s="23" t="str">
        <f t="shared" ca="1" si="45"/>
        <v/>
      </c>
      <c r="BB28" s="23" t="str">
        <f t="shared" ca="1" si="46"/>
        <v/>
      </c>
      <c r="BC28" s="23" t="str">
        <f t="shared" ca="1" si="46"/>
        <v/>
      </c>
      <c r="BD28" s="23" t="str">
        <f t="shared" ca="1" si="46"/>
        <v/>
      </c>
      <c r="BE28" s="23" t="str">
        <f t="shared" ca="1" si="46"/>
        <v/>
      </c>
      <c r="BF28" s="23" t="str">
        <f t="shared" ca="1" si="46"/>
        <v/>
      </c>
      <c r="BG28" s="23" t="str">
        <f t="shared" ca="1" si="46"/>
        <v/>
      </c>
      <c r="BH28" s="23" t="str">
        <f t="shared" ca="1" si="46"/>
        <v/>
      </c>
      <c r="BI28" s="23" t="str">
        <f t="shared" ca="1" si="46"/>
        <v/>
      </c>
      <c r="BJ28" s="23" t="str">
        <f t="shared" ca="1" si="46"/>
        <v/>
      </c>
      <c r="BK28" s="23" t="str">
        <f t="shared" ca="1" si="46"/>
        <v/>
      </c>
      <c r="BL28" s="23" t="str">
        <f t="shared" ca="1" si="47"/>
        <v/>
      </c>
      <c r="BM28" s="23" t="str">
        <f t="shared" ca="1" si="47"/>
        <v/>
      </c>
      <c r="BN28" s="23" t="str">
        <f t="shared" ca="1" si="47"/>
        <v/>
      </c>
      <c r="BO28" s="23" t="str">
        <f t="shared" ca="1" si="47"/>
        <v/>
      </c>
      <c r="BP28" s="23" t="str">
        <f t="shared" ca="1" si="47"/>
        <v/>
      </c>
      <c r="BQ28" s="23" t="str">
        <f t="shared" ca="1" si="47"/>
        <v/>
      </c>
      <c r="BR28" s="23" t="str">
        <f t="shared" ca="1" si="47"/>
        <v/>
      </c>
      <c r="BS28" s="23" t="str">
        <f t="shared" ca="1" si="47"/>
        <v/>
      </c>
      <c r="BT28" s="23" t="str">
        <f t="shared" ca="1" si="47"/>
        <v/>
      </c>
      <c r="BU28" s="23" t="str">
        <f t="shared" ca="1" si="47"/>
        <v/>
      </c>
      <c r="BV28" s="23" t="str">
        <f t="shared" ca="1" si="48"/>
        <v/>
      </c>
      <c r="BW28" s="23" t="str">
        <f t="shared" ca="1" si="48"/>
        <v/>
      </c>
      <c r="BX28" s="23" t="str">
        <f t="shared" ca="1" si="48"/>
        <v/>
      </c>
      <c r="BY28" s="23" t="str">
        <f t="shared" ca="1" si="48"/>
        <v/>
      </c>
      <c r="BZ28" s="23" t="str">
        <f t="shared" ca="1" si="48"/>
        <v/>
      </c>
      <c r="CA28" s="23" t="str">
        <f t="shared" ca="1" si="48"/>
        <v/>
      </c>
      <c r="CB28" s="23" t="str">
        <f t="shared" ca="1" si="48"/>
        <v/>
      </c>
      <c r="CC28" s="23" t="str">
        <f t="shared" ca="1" si="48"/>
        <v/>
      </c>
      <c r="CD28" s="23" t="str">
        <f t="shared" ca="1" si="48"/>
        <v/>
      </c>
      <c r="CE28" s="23" t="str">
        <f t="shared" ca="1" si="48"/>
        <v/>
      </c>
      <c r="CF28" s="23" t="str">
        <f t="shared" ca="1" si="49"/>
        <v/>
      </c>
      <c r="CG28" s="23" t="str">
        <f t="shared" ca="1" si="49"/>
        <v/>
      </c>
      <c r="CH28" s="23" t="str">
        <f t="shared" ca="1" si="49"/>
        <v/>
      </c>
      <c r="CI28" s="23" t="str">
        <f t="shared" ca="1" si="49"/>
        <v/>
      </c>
      <c r="CJ28" s="23" t="str">
        <f t="shared" ca="1" si="49"/>
        <v/>
      </c>
      <c r="CK28" s="23" t="str">
        <f t="shared" ca="1" si="49"/>
        <v/>
      </c>
      <c r="CL28" s="23" t="str">
        <f t="shared" ca="1" si="49"/>
        <v/>
      </c>
      <c r="CM28" s="23" t="str">
        <f t="shared" ca="1" si="49"/>
        <v/>
      </c>
      <c r="CN28" s="23" t="str">
        <f t="shared" ca="1" si="49"/>
        <v/>
      </c>
      <c r="CO28" s="23" t="str">
        <f t="shared" ca="1" si="49"/>
        <v/>
      </c>
      <c r="CP28" s="23" t="str">
        <f t="shared" ca="1" si="50"/>
        <v/>
      </c>
      <c r="CQ28" s="23" t="str">
        <f t="shared" ca="1" si="50"/>
        <v/>
      </c>
      <c r="CR28" s="23" t="str">
        <f t="shared" ca="1" si="50"/>
        <v/>
      </c>
      <c r="CS28" s="23" t="str">
        <f t="shared" ca="1" si="50"/>
        <v/>
      </c>
      <c r="CT28" s="23" t="str">
        <f t="shared" ca="1" si="50"/>
        <v/>
      </c>
      <c r="CU28" s="23" t="str">
        <f t="shared" ca="1" si="50"/>
        <v/>
      </c>
      <c r="CV28" s="23" t="str">
        <f t="shared" ca="1" si="50"/>
        <v/>
      </c>
      <c r="CW28" s="23" t="str">
        <f t="shared" ca="1" si="50"/>
        <v/>
      </c>
      <c r="CX28" s="23" t="str">
        <f ca="1">IF(CX$11="","",IF(CX$13=$M$5,CHOOSE($Q$6+1,$M$1,CY28+CZ28-#REF!),IF(CX$13=$M$6,CHOOSE($Q$6+1,$M$1,OFFSET($A28,,$P$7-1)),IF(CX$13=$M$7,CHOOSE($Q$6+1,$M$1,SUM(OFFSET($A$11,$B28-$O$5,$O$6,1,-$P$6))),IF(CX$13=$M$8,CHOOSE($Q$6+1,$M$1,SUM(OFFSET($A$11,$B28-$O$5,$O$7,1,-$P$6))),IF(CX$11&lt;$D$7,OFFSET(INDIRECT($D$3),$A28-1,$Q$3+CX$11),OFFSET(INDIRECT($D$4),$A28-1,$Q$4+CX$11)))))))</f>
        <v/>
      </c>
      <c r="CY28" s="23" t="str">
        <f ca="1">IF(CY$11="","",IF(CY$13=$M$5,CHOOSE($Q$6+1,$M$1,CZ28+#REF!-#REF!),IF(CY$13=$M$6,CHOOSE($Q$6+1,$M$1,OFFSET($A28,,$P$7-1)),IF(CY$13=$M$7,CHOOSE($Q$6+1,$M$1,SUM(OFFSET($A$11,$B28-$O$5,$O$6,1,-$P$6))),IF(CY$13=$M$8,CHOOSE($Q$6+1,$M$1,SUM(OFFSET($A$11,$B28-$O$5,$O$7,1,-$P$6))),IF(CY$11&lt;$D$7,OFFSET(INDIRECT($D$3),$A28-1,$Q$3+CY$11),OFFSET(INDIRECT($D$4),$A28-1,$Q$4+CY$11)))))))</f>
        <v/>
      </c>
      <c r="CZ28" s="23" t="str">
        <f ca="1">IF(CZ$11="","",IF(CZ$13=$M$5,CHOOSE($Q$6+1,$M$1,#REF!+#REF!-#REF!),IF(CZ$13=$M$6,CHOOSE($Q$6+1,$M$1,OFFSET($A28,,$P$7-1)),IF(CZ$13=$M$7,CHOOSE($Q$6+1,$M$1,SUM(OFFSET($A$11,$B28-$O$5,$O$6,1,-$P$6))),IF(CZ$13=$M$8,CHOOSE($Q$6+1,$M$1,SUM(OFFSET($A$11,$B28-$O$5,$O$7,1,-$P$6))),IF(CZ$11&lt;$D$7,OFFSET(INDIRECT($D$3),$A28-1,$Q$3+CZ$11),OFFSET(INDIRECT($D$4),$A28-1,$Q$4+CZ$11)))))))</f>
        <v/>
      </c>
    </row>
    <row r="29" spans="1:104" ht="13.5" customHeight="1">
      <c r="A29" s="27">
        <v>29</v>
      </c>
      <c r="B29" s="33">
        <f t="shared" si="14"/>
        <v>29</v>
      </c>
      <c r="C29" s="8" t="s">
        <v>306</v>
      </c>
      <c r="D29" s="23">
        <f t="shared" ca="1" si="41"/>
        <v>0</v>
      </c>
      <c r="E29" s="23">
        <f t="shared" ca="1" si="41"/>
        <v>0</v>
      </c>
      <c r="F29" s="23">
        <f t="shared" ca="1" si="41"/>
        <v>0</v>
      </c>
      <c r="G29" s="23">
        <f t="shared" ca="1" si="41"/>
        <v>0</v>
      </c>
      <c r="H29" s="23">
        <f t="shared" ca="1" si="41"/>
        <v>0</v>
      </c>
      <c r="I29" s="23">
        <f t="shared" ca="1" si="41"/>
        <v>0</v>
      </c>
      <c r="J29" s="23">
        <f t="shared" ca="1" si="41"/>
        <v>0</v>
      </c>
      <c r="K29" s="23">
        <f t="shared" ca="1" si="41"/>
        <v>0</v>
      </c>
      <c r="L29" s="23">
        <f t="shared" ca="1" si="41"/>
        <v>0</v>
      </c>
      <c r="M29" s="23">
        <f t="shared" ca="1" si="41"/>
        <v>0</v>
      </c>
      <c r="N29" s="23">
        <f t="shared" ca="1" si="42"/>
        <v>0</v>
      </c>
      <c r="O29" s="23">
        <f t="shared" ca="1" si="42"/>
        <v>0</v>
      </c>
      <c r="P29" s="23">
        <f t="shared" ca="1" si="42"/>
        <v>0</v>
      </c>
      <c r="Q29" s="23">
        <f t="shared" ca="1" si="42"/>
        <v>0</v>
      </c>
      <c r="R29" s="23" t="str">
        <f t="shared" ca="1" si="42"/>
        <v/>
      </c>
      <c r="S29" s="23" t="str">
        <f t="shared" ca="1" si="42"/>
        <v/>
      </c>
      <c r="T29" s="23" t="str">
        <f t="shared" ca="1" si="42"/>
        <v/>
      </c>
      <c r="U29" s="23" t="str">
        <f t="shared" ca="1" si="42"/>
        <v/>
      </c>
      <c r="V29" s="23" t="str">
        <f t="shared" ca="1" si="42"/>
        <v/>
      </c>
      <c r="W29" s="23" t="str">
        <f t="shared" ca="1" si="42"/>
        <v/>
      </c>
      <c r="X29" s="23" t="str">
        <f t="shared" ca="1" si="43"/>
        <v/>
      </c>
      <c r="Y29" s="23" t="str">
        <f t="shared" ca="1" si="43"/>
        <v/>
      </c>
      <c r="Z29" s="23" t="str">
        <f t="shared" ca="1" si="43"/>
        <v/>
      </c>
      <c r="AA29" s="23" t="str">
        <f t="shared" ca="1" si="43"/>
        <v/>
      </c>
      <c r="AB29" s="23" t="str">
        <f t="shared" ca="1" si="43"/>
        <v/>
      </c>
      <c r="AC29" s="23" t="str">
        <f t="shared" ca="1" si="43"/>
        <v/>
      </c>
      <c r="AD29" s="23" t="str">
        <f t="shared" ca="1" si="43"/>
        <v/>
      </c>
      <c r="AE29" s="23" t="str">
        <f t="shared" ca="1" si="43"/>
        <v/>
      </c>
      <c r="AF29" s="23" t="str">
        <f t="shared" ca="1" si="43"/>
        <v/>
      </c>
      <c r="AG29" s="23" t="str">
        <f t="shared" ca="1" si="43"/>
        <v/>
      </c>
      <c r="AH29" s="23" t="str">
        <f t="shared" ca="1" si="44"/>
        <v/>
      </c>
      <c r="AI29" s="23" t="str">
        <f t="shared" ca="1" si="44"/>
        <v/>
      </c>
      <c r="AJ29" s="23" t="str">
        <f t="shared" ca="1" si="44"/>
        <v/>
      </c>
      <c r="AK29" s="23" t="str">
        <f t="shared" ca="1" si="44"/>
        <v/>
      </c>
      <c r="AL29" s="23" t="str">
        <f t="shared" ca="1" si="44"/>
        <v/>
      </c>
      <c r="AM29" s="23" t="str">
        <f t="shared" ca="1" si="44"/>
        <v/>
      </c>
      <c r="AN29" s="23" t="str">
        <f t="shared" ca="1" si="44"/>
        <v/>
      </c>
      <c r="AO29" s="23" t="str">
        <f t="shared" ca="1" si="44"/>
        <v/>
      </c>
      <c r="AP29" s="23" t="str">
        <f t="shared" ca="1" si="44"/>
        <v/>
      </c>
      <c r="AQ29" s="23" t="str">
        <f t="shared" ca="1" si="44"/>
        <v/>
      </c>
      <c r="AR29" s="23" t="str">
        <f t="shared" ca="1" si="45"/>
        <v/>
      </c>
      <c r="AS29" s="23" t="str">
        <f t="shared" ca="1" si="45"/>
        <v/>
      </c>
      <c r="AT29" s="23" t="str">
        <f t="shared" ca="1" si="45"/>
        <v/>
      </c>
      <c r="AU29" s="23" t="str">
        <f t="shared" ca="1" si="45"/>
        <v/>
      </c>
      <c r="AV29" s="23" t="str">
        <f t="shared" ca="1" si="45"/>
        <v/>
      </c>
      <c r="AW29" s="23" t="str">
        <f t="shared" ca="1" si="45"/>
        <v/>
      </c>
      <c r="AX29" s="23" t="str">
        <f t="shared" ca="1" si="45"/>
        <v/>
      </c>
      <c r="AY29" s="23" t="str">
        <f t="shared" ca="1" si="45"/>
        <v/>
      </c>
      <c r="AZ29" s="23" t="str">
        <f t="shared" ca="1" si="45"/>
        <v/>
      </c>
      <c r="BA29" s="23" t="str">
        <f t="shared" ca="1" si="45"/>
        <v/>
      </c>
      <c r="BB29" s="23" t="str">
        <f t="shared" ca="1" si="46"/>
        <v/>
      </c>
      <c r="BC29" s="23" t="str">
        <f t="shared" ca="1" si="46"/>
        <v/>
      </c>
      <c r="BD29" s="23" t="str">
        <f t="shared" ca="1" si="46"/>
        <v/>
      </c>
      <c r="BE29" s="23" t="str">
        <f t="shared" ca="1" si="46"/>
        <v/>
      </c>
      <c r="BF29" s="23" t="str">
        <f t="shared" ca="1" si="46"/>
        <v/>
      </c>
      <c r="BG29" s="23" t="str">
        <f t="shared" ca="1" si="46"/>
        <v/>
      </c>
      <c r="BH29" s="23" t="str">
        <f t="shared" ca="1" si="46"/>
        <v/>
      </c>
      <c r="BI29" s="23" t="str">
        <f t="shared" ca="1" si="46"/>
        <v/>
      </c>
      <c r="BJ29" s="23" t="str">
        <f t="shared" ca="1" si="46"/>
        <v/>
      </c>
      <c r="BK29" s="23" t="str">
        <f t="shared" ca="1" si="46"/>
        <v/>
      </c>
      <c r="BL29" s="23" t="str">
        <f t="shared" ca="1" si="47"/>
        <v/>
      </c>
      <c r="BM29" s="23" t="str">
        <f t="shared" ca="1" si="47"/>
        <v/>
      </c>
      <c r="BN29" s="23" t="str">
        <f t="shared" ca="1" si="47"/>
        <v/>
      </c>
      <c r="BO29" s="23" t="str">
        <f t="shared" ca="1" si="47"/>
        <v/>
      </c>
      <c r="BP29" s="23" t="str">
        <f t="shared" ca="1" si="47"/>
        <v/>
      </c>
      <c r="BQ29" s="23" t="str">
        <f t="shared" ca="1" si="47"/>
        <v/>
      </c>
      <c r="BR29" s="23" t="str">
        <f t="shared" ca="1" si="47"/>
        <v/>
      </c>
      <c r="BS29" s="23" t="str">
        <f t="shared" ca="1" si="47"/>
        <v/>
      </c>
      <c r="BT29" s="23" t="str">
        <f t="shared" ca="1" si="47"/>
        <v/>
      </c>
      <c r="BU29" s="23" t="str">
        <f t="shared" ca="1" si="47"/>
        <v/>
      </c>
      <c r="BV29" s="23" t="str">
        <f t="shared" ca="1" si="48"/>
        <v/>
      </c>
      <c r="BW29" s="23" t="str">
        <f t="shared" ca="1" si="48"/>
        <v/>
      </c>
      <c r="BX29" s="23" t="str">
        <f t="shared" ca="1" si="48"/>
        <v/>
      </c>
      <c r="BY29" s="23" t="str">
        <f t="shared" ca="1" si="48"/>
        <v/>
      </c>
      <c r="BZ29" s="23" t="str">
        <f t="shared" ca="1" si="48"/>
        <v/>
      </c>
      <c r="CA29" s="23" t="str">
        <f t="shared" ca="1" si="48"/>
        <v/>
      </c>
      <c r="CB29" s="23" t="str">
        <f t="shared" ca="1" si="48"/>
        <v/>
      </c>
      <c r="CC29" s="23" t="str">
        <f t="shared" ca="1" si="48"/>
        <v/>
      </c>
      <c r="CD29" s="23" t="str">
        <f t="shared" ca="1" si="48"/>
        <v/>
      </c>
      <c r="CE29" s="23" t="str">
        <f t="shared" ca="1" si="48"/>
        <v/>
      </c>
      <c r="CF29" s="23" t="str">
        <f t="shared" ca="1" si="49"/>
        <v/>
      </c>
      <c r="CG29" s="23" t="str">
        <f t="shared" ca="1" si="49"/>
        <v/>
      </c>
      <c r="CH29" s="23" t="str">
        <f t="shared" ca="1" si="49"/>
        <v/>
      </c>
      <c r="CI29" s="23" t="str">
        <f t="shared" ca="1" si="49"/>
        <v/>
      </c>
      <c r="CJ29" s="23" t="str">
        <f t="shared" ca="1" si="49"/>
        <v/>
      </c>
      <c r="CK29" s="23" t="str">
        <f t="shared" ca="1" si="49"/>
        <v/>
      </c>
      <c r="CL29" s="23" t="str">
        <f t="shared" ca="1" si="49"/>
        <v/>
      </c>
      <c r="CM29" s="23" t="str">
        <f t="shared" ca="1" si="49"/>
        <v/>
      </c>
      <c r="CN29" s="23" t="str">
        <f t="shared" ca="1" si="49"/>
        <v/>
      </c>
      <c r="CO29" s="23" t="str">
        <f t="shared" ca="1" si="49"/>
        <v/>
      </c>
      <c r="CP29" s="23" t="str">
        <f t="shared" ca="1" si="50"/>
        <v/>
      </c>
      <c r="CQ29" s="23" t="str">
        <f t="shared" ca="1" si="50"/>
        <v/>
      </c>
      <c r="CR29" s="23" t="str">
        <f t="shared" ca="1" si="50"/>
        <v/>
      </c>
      <c r="CS29" s="23" t="str">
        <f t="shared" ca="1" si="50"/>
        <v/>
      </c>
      <c r="CT29" s="23" t="str">
        <f t="shared" ca="1" si="50"/>
        <v/>
      </c>
      <c r="CU29" s="23" t="str">
        <f t="shared" ca="1" si="50"/>
        <v/>
      </c>
      <c r="CV29" s="23" t="str">
        <f t="shared" ca="1" si="50"/>
        <v/>
      </c>
      <c r="CW29" s="23" t="str">
        <f t="shared" ca="1" si="50"/>
        <v/>
      </c>
      <c r="CX29" s="23" t="str">
        <f ca="1">IF(CX$11="","",IF(CX$13=$M$5,CHOOSE($Q$6+1,$M$1,CY29+CZ29-#REF!),IF(CX$13=$M$6,CHOOSE($Q$6+1,$M$1,OFFSET($A29,,$P$7-1)),IF(CX$13=$M$7,CHOOSE($Q$6+1,$M$1,SUM(OFFSET($A$11,$B29-$O$5,$O$6,1,-$P$6))),IF(CX$13=$M$8,CHOOSE($Q$6+1,$M$1,SUM(OFFSET($A$11,$B29-$O$5,$O$7,1,-$P$6))),IF(CX$11&lt;$D$7,OFFSET(INDIRECT($D$3),$A29-1,$Q$3+CX$11),OFFSET(INDIRECT($D$4),$A29-1,$Q$4+CX$11)))))))</f>
        <v/>
      </c>
      <c r="CY29" s="23" t="str">
        <f ca="1">IF(CY$11="","",IF(CY$13=$M$5,CHOOSE($Q$6+1,$M$1,CZ29+#REF!-#REF!),IF(CY$13=$M$6,CHOOSE($Q$6+1,$M$1,OFFSET($A29,,$P$7-1)),IF(CY$13=$M$7,CHOOSE($Q$6+1,$M$1,SUM(OFFSET($A$11,$B29-$O$5,$O$6,1,-$P$6))),IF(CY$13=$M$8,CHOOSE($Q$6+1,$M$1,SUM(OFFSET($A$11,$B29-$O$5,$O$7,1,-$P$6))),IF(CY$11&lt;$D$7,OFFSET(INDIRECT($D$3),$A29-1,$Q$3+CY$11),OFFSET(INDIRECT($D$4),$A29-1,$Q$4+CY$11)))))))</f>
        <v/>
      </c>
      <c r="CZ29" s="23" t="str">
        <f ca="1">IF(CZ$11="","",IF(CZ$13=$M$5,CHOOSE($Q$6+1,$M$1,#REF!+#REF!-#REF!),IF(CZ$13=$M$6,CHOOSE($Q$6+1,$M$1,OFFSET($A29,,$P$7-1)),IF(CZ$13=$M$7,CHOOSE($Q$6+1,$M$1,SUM(OFFSET($A$11,$B29-$O$5,$O$6,1,-$P$6))),IF(CZ$13=$M$8,CHOOSE($Q$6+1,$M$1,SUM(OFFSET($A$11,$B29-$O$5,$O$7,1,-$P$6))),IF(CZ$11&lt;$D$7,OFFSET(INDIRECT($D$3),$A29-1,$Q$3+CZ$11),OFFSET(INDIRECT($D$4),$A29-1,$Q$4+CZ$11)))))))</f>
        <v/>
      </c>
    </row>
    <row r="30" spans="1:104" ht="13.5" customHeight="1">
      <c r="A30" s="27">
        <v>30</v>
      </c>
      <c r="B30" s="33">
        <f t="shared" si="14"/>
        <v>30</v>
      </c>
      <c r="C30" s="9" t="s">
        <v>307</v>
      </c>
      <c r="D30" s="23">
        <f t="shared" ca="1" si="41"/>
        <v>33790</v>
      </c>
      <c r="E30" s="23">
        <f t="shared" ca="1" si="41"/>
        <v>55241</v>
      </c>
      <c r="F30" s="23">
        <f t="shared" ca="1" si="41"/>
        <v>7874</v>
      </c>
      <c r="G30" s="23">
        <f t="shared" ca="1" si="41"/>
        <v>9379</v>
      </c>
      <c r="H30" s="23">
        <f t="shared" ca="1" si="41"/>
        <v>8710</v>
      </c>
      <c r="I30" s="23">
        <f t="shared" ca="1" si="41"/>
        <v>17340</v>
      </c>
      <c r="J30" s="23">
        <f t="shared" ca="1" si="41"/>
        <v>15384</v>
      </c>
      <c r="K30" s="23">
        <f t="shared" ca="1" si="41"/>
        <v>11573</v>
      </c>
      <c r="L30" s="23">
        <f t="shared" ca="1" si="41"/>
        <v>10944</v>
      </c>
      <c r="M30" s="23">
        <f t="shared" ca="1" si="41"/>
        <v>17210</v>
      </c>
      <c r="N30" s="23">
        <f t="shared" ca="1" si="42"/>
        <v>55111</v>
      </c>
      <c r="O30" s="23">
        <f t="shared" ca="1" si="42"/>
        <v>55241</v>
      </c>
      <c r="P30" s="23">
        <f t="shared" ca="1" si="42"/>
        <v>17210</v>
      </c>
      <c r="Q30" s="23">
        <f t="shared" ca="1" si="42"/>
        <v>17340</v>
      </c>
      <c r="R30" s="23" t="str">
        <f t="shared" ca="1" si="42"/>
        <v/>
      </c>
      <c r="S30" s="23" t="str">
        <f t="shared" ca="1" si="42"/>
        <v/>
      </c>
      <c r="T30" s="23" t="str">
        <f t="shared" ca="1" si="42"/>
        <v/>
      </c>
      <c r="U30" s="23" t="str">
        <f t="shared" ca="1" si="42"/>
        <v/>
      </c>
      <c r="V30" s="23" t="str">
        <f t="shared" ca="1" si="42"/>
        <v/>
      </c>
      <c r="W30" s="23" t="str">
        <f t="shared" ca="1" si="42"/>
        <v/>
      </c>
      <c r="X30" s="23" t="str">
        <f t="shared" ca="1" si="43"/>
        <v/>
      </c>
      <c r="Y30" s="23" t="str">
        <f t="shared" ca="1" si="43"/>
        <v/>
      </c>
      <c r="Z30" s="23" t="str">
        <f t="shared" ca="1" si="43"/>
        <v/>
      </c>
      <c r="AA30" s="23" t="str">
        <f t="shared" ca="1" si="43"/>
        <v/>
      </c>
      <c r="AB30" s="23" t="str">
        <f t="shared" ca="1" si="43"/>
        <v/>
      </c>
      <c r="AC30" s="23" t="str">
        <f t="shared" ca="1" si="43"/>
        <v/>
      </c>
      <c r="AD30" s="23" t="str">
        <f t="shared" ca="1" si="43"/>
        <v/>
      </c>
      <c r="AE30" s="23" t="str">
        <f t="shared" ca="1" si="43"/>
        <v/>
      </c>
      <c r="AF30" s="23" t="str">
        <f t="shared" ca="1" si="43"/>
        <v/>
      </c>
      <c r="AG30" s="23" t="str">
        <f t="shared" ca="1" si="43"/>
        <v/>
      </c>
      <c r="AH30" s="23" t="str">
        <f t="shared" ca="1" si="44"/>
        <v/>
      </c>
      <c r="AI30" s="23" t="str">
        <f t="shared" ca="1" si="44"/>
        <v/>
      </c>
      <c r="AJ30" s="23" t="str">
        <f t="shared" ca="1" si="44"/>
        <v/>
      </c>
      <c r="AK30" s="23" t="str">
        <f t="shared" ca="1" si="44"/>
        <v/>
      </c>
      <c r="AL30" s="23" t="str">
        <f t="shared" ca="1" si="44"/>
        <v/>
      </c>
      <c r="AM30" s="23" t="str">
        <f t="shared" ca="1" si="44"/>
        <v/>
      </c>
      <c r="AN30" s="23" t="str">
        <f t="shared" ca="1" si="44"/>
        <v/>
      </c>
      <c r="AO30" s="23" t="str">
        <f t="shared" ca="1" si="44"/>
        <v/>
      </c>
      <c r="AP30" s="23" t="str">
        <f t="shared" ca="1" si="44"/>
        <v/>
      </c>
      <c r="AQ30" s="23" t="str">
        <f t="shared" ca="1" si="44"/>
        <v/>
      </c>
      <c r="AR30" s="23" t="str">
        <f t="shared" ca="1" si="45"/>
        <v/>
      </c>
      <c r="AS30" s="23" t="str">
        <f t="shared" ca="1" si="45"/>
        <v/>
      </c>
      <c r="AT30" s="23" t="str">
        <f t="shared" ca="1" si="45"/>
        <v/>
      </c>
      <c r="AU30" s="23" t="str">
        <f t="shared" ca="1" si="45"/>
        <v/>
      </c>
      <c r="AV30" s="23" t="str">
        <f t="shared" ca="1" si="45"/>
        <v/>
      </c>
      <c r="AW30" s="23" t="str">
        <f t="shared" ca="1" si="45"/>
        <v/>
      </c>
      <c r="AX30" s="23" t="str">
        <f t="shared" ca="1" si="45"/>
        <v/>
      </c>
      <c r="AY30" s="23" t="str">
        <f t="shared" ca="1" si="45"/>
        <v/>
      </c>
      <c r="AZ30" s="23" t="str">
        <f t="shared" ca="1" si="45"/>
        <v/>
      </c>
      <c r="BA30" s="23" t="str">
        <f t="shared" ca="1" si="45"/>
        <v/>
      </c>
      <c r="BB30" s="23" t="str">
        <f t="shared" ca="1" si="46"/>
        <v/>
      </c>
      <c r="BC30" s="23" t="str">
        <f t="shared" ca="1" si="46"/>
        <v/>
      </c>
      <c r="BD30" s="23" t="str">
        <f t="shared" ca="1" si="46"/>
        <v/>
      </c>
      <c r="BE30" s="23" t="str">
        <f t="shared" ca="1" si="46"/>
        <v/>
      </c>
      <c r="BF30" s="23" t="str">
        <f t="shared" ca="1" si="46"/>
        <v/>
      </c>
      <c r="BG30" s="23" t="str">
        <f t="shared" ca="1" si="46"/>
        <v/>
      </c>
      <c r="BH30" s="23" t="str">
        <f t="shared" ca="1" si="46"/>
        <v/>
      </c>
      <c r="BI30" s="23" t="str">
        <f t="shared" ca="1" si="46"/>
        <v/>
      </c>
      <c r="BJ30" s="23" t="str">
        <f t="shared" ca="1" si="46"/>
        <v/>
      </c>
      <c r="BK30" s="23" t="str">
        <f t="shared" ca="1" si="46"/>
        <v/>
      </c>
      <c r="BL30" s="23" t="str">
        <f t="shared" ca="1" si="47"/>
        <v/>
      </c>
      <c r="BM30" s="23" t="str">
        <f t="shared" ca="1" si="47"/>
        <v/>
      </c>
      <c r="BN30" s="23" t="str">
        <f t="shared" ca="1" si="47"/>
        <v/>
      </c>
      <c r="BO30" s="23" t="str">
        <f t="shared" ca="1" si="47"/>
        <v/>
      </c>
      <c r="BP30" s="23" t="str">
        <f t="shared" ca="1" si="47"/>
        <v/>
      </c>
      <c r="BQ30" s="23" t="str">
        <f t="shared" ca="1" si="47"/>
        <v/>
      </c>
      <c r="BR30" s="23" t="str">
        <f t="shared" ca="1" si="47"/>
        <v/>
      </c>
      <c r="BS30" s="23" t="str">
        <f t="shared" ca="1" si="47"/>
        <v/>
      </c>
      <c r="BT30" s="23" t="str">
        <f t="shared" ca="1" si="47"/>
        <v/>
      </c>
      <c r="BU30" s="23" t="str">
        <f t="shared" ca="1" si="47"/>
        <v/>
      </c>
      <c r="BV30" s="23" t="str">
        <f t="shared" ca="1" si="48"/>
        <v/>
      </c>
      <c r="BW30" s="23" t="str">
        <f t="shared" ca="1" si="48"/>
        <v/>
      </c>
      <c r="BX30" s="23" t="str">
        <f t="shared" ca="1" si="48"/>
        <v/>
      </c>
      <c r="BY30" s="23" t="str">
        <f t="shared" ca="1" si="48"/>
        <v/>
      </c>
      <c r="BZ30" s="23" t="str">
        <f t="shared" ca="1" si="48"/>
        <v/>
      </c>
      <c r="CA30" s="23" t="str">
        <f t="shared" ca="1" si="48"/>
        <v/>
      </c>
      <c r="CB30" s="23" t="str">
        <f t="shared" ca="1" si="48"/>
        <v/>
      </c>
      <c r="CC30" s="23" t="str">
        <f t="shared" ca="1" si="48"/>
        <v/>
      </c>
      <c r="CD30" s="23" t="str">
        <f t="shared" ca="1" si="48"/>
        <v/>
      </c>
      <c r="CE30" s="23" t="str">
        <f t="shared" ca="1" si="48"/>
        <v/>
      </c>
      <c r="CF30" s="23" t="str">
        <f t="shared" ca="1" si="49"/>
        <v/>
      </c>
      <c r="CG30" s="23" t="str">
        <f t="shared" ca="1" si="49"/>
        <v/>
      </c>
      <c r="CH30" s="23" t="str">
        <f t="shared" ca="1" si="49"/>
        <v/>
      </c>
      <c r="CI30" s="23" t="str">
        <f t="shared" ca="1" si="49"/>
        <v/>
      </c>
      <c r="CJ30" s="23" t="str">
        <f t="shared" ca="1" si="49"/>
        <v/>
      </c>
      <c r="CK30" s="23" t="str">
        <f t="shared" ca="1" si="49"/>
        <v/>
      </c>
      <c r="CL30" s="23" t="str">
        <f t="shared" ca="1" si="49"/>
        <v/>
      </c>
      <c r="CM30" s="23" t="str">
        <f t="shared" ca="1" si="49"/>
        <v/>
      </c>
      <c r="CN30" s="23" t="str">
        <f t="shared" ca="1" si="49"/>
        <v/>
      </c>
      <c r="CO30" s="23" t="str">
        <f t="shared" ca="1" si="49"/>
        <v/>
      </c>
      <c r="CP30" s="23" t="str">
        <f t="shared" ca="1" si="50"/>
        <v/>
      </c>
      <c r="CQ30" s="23" t="str">
        <f t="shared" ca="1" si="50"/>
        <v/>
      </c>
      <c r="CR30" s="23" t="str">
        <f t="shared" ca="1" si="50"/>
        <v/>
      </c>
      <c r="CS30" s="23" t="str">
        <f t="shared" ca="1" si="50"/>
        <v/>
      </c>
      <c r="CT30" s="23" t="str">
        <f t="shared" ca="1" si="50"/>
        <v/>
      </c>
      <c r="CU30" s="23" t="str">
        <f t="shared" ca="1" si="50"/>
        <v/>
      </c>
      <c r="CV30" s="23" t="str">
        <f t="shared" ca="1" si="50"/>
        <v/>
      </c>
      <c r="CW30" s="23" t="str">
        <f t="shared" ca="1" si="50"/>
        <v/>
      </c>
      <c r="CX30" s="23" t="str">
        <f ca="1">IF(CX$11="","",IF(CX$13=$M$5,CHOOSE($Q$6+1,$M$1,CY30+CZ30-#REF!),IF(CX$13=$M$6,CHOOSE($Q$6+1,$M$1,OFFSET($A30,,$P$7-1)),IF(CX$13=$M$7,CHOOSE($Q$6+1,$M$1,SUM(OFFSET($A$11,$B30-$O$5,$O$6,1,-$P$6))),IF(CX$13=$M$8,CHOOSE($Q$6+1,$M$1,SUM(OFFSET($A$11,$B30-$O$5,$O$7,1,-$P$6))),IF(CX$11&lt;$D$7,OFFSET(INDIRECT($D$3),$A30-1,$Q$3+CX$11),OFFSET(INDIRECT($D$4),$A30-1,$Q$4+CX$11)))))))</f>
        <v/>
      </c>
      <c r="CY30" s="23" t="str">
        <f ca="1">IF(CY$11="","",IF(CY$13=$M$5,CHOOSE($Q$6+1,$M$1,CZ30+#REF!-#REF!),IF(CY$13=$M$6,CHOOSE($Q$6+1,$M$1,OFFSET($A30,,$P$7-1)),IF(CY$13=$M$7,CHOOSE($Q$6+1,$M$1,SUM(OFFSET($A$11,$B30-$O$5,$O$6,1,-$P$6))),IF(CY$13=$M$8,CHOOSE($Q$6+1,$M$1,SUM(OFFSET($A$11,$B30-$O$5,$O$7,1,-$P$6))),IF(CY$11&lt;$D$7,OFFSET(INDIRECT($D$3),$A30-1,$Q$3+CY$11),OFFSET(INDIRECT($D$4),$A30-1,$Q$4+CY$11)))))))</f>
        <v/>
      </c>
      <c r="CZ30" s="23" t="str">
        <f ca="1">IF(CZ$11="","",IF(CZ$13=$M$5,CHOOSE($Q$6+1,$M$1,#REF!+#REF!-#REF!),IF(CZ$13=$M$6,CHOOSE($Q$6+1,$M$1,OFFSET($A30,,$P$7-1)),IF(CZ$13=$M$7,CHOOSE($Q$6+1,$M$1,SUM(OFFSET($A$11,$B30-$O$5,$O$6,1,-$P$6))),IF(CZ$13=$M$8,CHOOSE($Q$6+1,$M$1,SUM(OFFSET($A$11,$B30-$O$5,$O$7,1,-$P$6))),IF(CZ$11&lt;$D$7,OFFSET(INDIRECT($D$3),$A30-1,$Q$3+CZ$11),OFFSET(INDIRECT($D$4),$A30-1,$Q$4+CZ$11)))))))</f>
        <v/>
      </c>
    </row>
    <row r="31" spans="1:104" ht="13.5" customHeight="1">
      <c r="A31" s="28">
        <v>25</v>
      </c>
      <c r="B31" s="33">
        <f t="shared" si="14"/>
        <v>31</v>
      </c>
      <c r="C31" s="9" t="s">
        <v>32</v>
      </c>
      <c r="D31" s="23">
        <f t="shared" ca="1" si="41"/>
        <v>35604</v>
      </c>
      <c r="E31" s="23">
        <f t="shared" ca="1" si="41"/>
        <v>58518</v>
      </c>
      <c r="F31" s="23">
        <f t="shared" ca="1" si="41"/>
        <v>8308</v>
      </c>
      <c r="G31" s="23">
        <f t="shared" ca="1" si="41"/>
        <v>9860</v>
      </c>
      <c r="H31" s="23">
        <f t="shared" ca="1" si="41"/>
        <v>9253</v>
      </c>
      <c r="I31" s="23">
        <f t="shared" ca="1" si="41"/>
        <v>18061</v>
      </c>
      <c r="J31" s="23">
        <f t="shared" ca="1" si="41"/>
        <v>16124</v>
      </c>
      <c r="K31" s="23">
        <f t="shared" ca="1" si="41"/>
        <v>12408</v>
      </c>
      <c r="L31" s="23">
        <f t="shared" ca="1" si="41"/>
        <v>11925</v>
      </c>
      <c r="M31" s="23">
        <f t="shared" ca="1" si="41"/>
        <v>18798</v>
      </c>
      <c r="N31" s="23">
        <f t="shared" ca="1" si="42"/>
        <v>59255</v>
      </c>
      <c r="O31" s="23">
        <f t="shared" ca="1" si="42"/>
        <v>58518</v>
      </c>
      <c r="P31" s="23">
        <f t="shared" ca="1" si="42"/>
        <v>18798</v>
      </c>
      <c r="Q31" s="23">
        <f t="shared" ca="1" si="42"/>
        <v>18061</v>
      </c>
      <c r="R31" s="23" t="str">
        <f t="shared" ca="1" si="42"/>
        <v/>
      </c>
      <c r="S31" s="23" t="str">
        <f t="shared" ca="1" si="42"/>
        <v/>
      </c>
      <c r="T31" s="23" t="str">
        <f t="shared" ca="1" si="42"/>
        <v/>
      </c>
      <c r="U31" s="23" t="str">
        <f t="shared" ca="1" si="42"/>
        <v/>
      </c>
      <c r="V31" s="23" t="str">
        <f t="shared" ca="1" si="42"/>
        <v/>
      </c>
      <c r="W31" s="23" t="str">
        <f t="shared" ca="1" si="42"/>
        <v/>
      </c>
      <c r="X31" s="23" t="str">
        <f t="shared" ca="1" si="43"/>
        <v/>
      </c>
      <c r="Y31" s="23" t="str">
        <f t="shared" ca="1" si="43"/>
        <v/>
      </c>
      <c r="Z31" s="23" t="str">
        <f t="shared" ca="1" si="43"/>
        <v/>
      </c>
      <c r="AA31" s="23" t="str">
        <f t="shared" ca="1" si="43"/>
        <v/>
      </c>
      <c r="AB31" s="23" t="str">
        <f t="shared" ca="1" si="43"/>
        <v/>
      </c>
      <c r="AC31" s="23" t="str">
        <f t="shared" ca="1" si="43"/>
        <v/>
      </c>
      <c r="AD31" s="23" t="str">
        <f t="shared" ca="1" si="43"/>
        <v/>
      </c>
      <c r="AE31" s="23" t="str">
        <f t="shared" ca="1" si="43"/>
        <v/>
      </c>
      <c r="AF31" s="23" t="str">
        <f t="shared" ca="1" si="43"/>
        <v/>
      </c>
      <c r="AG31" s="23" t="str">
        <f t="shared" ca="1" si="43"/>
        <v/>
      </c>
      <c r="AH31" s="23" t="str">
        <f t="shared" ca="1" si="44"/>
        <v/>
      </c>
      <c r="AI31" s="23" t="str">
        <f t="shared" ca="1" si="44"/>
        <v/>
      </c>
      <c r="AJ31" s="23" t="str">
        <f t="shared" ca="1" si="44"/>
        <v/>
      </c>
      <c r="AK31" s="23" t="str">
        <f t="shared" ca="1" si="44"/>
        <v/>
      </c>
      <c r="AL31" s="23" t="str">
        <f t="shared" ca="1" si="44"/>
        <v/>
      </c>
      <c r="AM31" s="23" t="str">
        <f t="shared" ca="1" si="44"/>
        <v/>
      </c>
      <c r="AN31" s="23" t="str">
        <f t="shared" ca="1" si="44"/>
        <v/>
      </c>
      <c r="AO31" s="23" t="str">
        <f t="shared" ca="1" si="44"/>
        <v/>
      </c>
      <c r="AP31" s="23" t="str">
        <f t="shared" ca="1" si="44"/>
        <v/>
      </c>
      <c r="AQ31" s="23" t="str">
        <f t="shared" ca="1" si="44"/>
        <v/>
      </c>
      <c r="AR31" s="23" t="str">
        <f t="shared" ca="1" si="45"/>
        <v/>
      </c>
      <c r="AS31" s="23" t="str">
        <f t="shared" ca="1" si="45"/>
        <v/>
      </c>
      <c r="AT31" s="23" t="str">
        <f t="shared" ca="1" si="45"/>
        <v/>
      </c>
      <c r="AU31" s="23" t="str">
        <f t="shared" ca="1" si="45"/>
        <v/>
      </c>
      <c r="AV31" s="23" t="str">
        <f t="shared" ca="1" si="45"/>
        <v/>
      </c>
      <c r="AW31" s="23" t="str">
        <f t="shared" ca="1" si="45"/>
        <v/>
      </c>
      <c r="AX31" s="23" t="str">
        <f t="shared" ca="1" si="45"/>
        <v/>
      </c>
      <c r="AY31" s="23" t="str">
        <f t="shared" ca="1" si="45"/>
        <v/>
      </c>
      <c r="AZ31" s="23" t="str">
        <f t="shared" ca="1" si="45"/>
        <v/>
      </c>
      <c r="BA31" s="23" t="str">
        <f t="shared" ca="1" si="45"/>
        <v/>
      </c>
      <c r="BB31" s="23" t="str">
        <f t="shared" ca="1" si="46"/>
        <v/>
      </c>
      <c r="BC31" s="23" t="str">
        <f t="shared" ca="1" si="46"/>
        <v/>
      </c>
      <c r="BD31" s="23" t="str">
        <f t="shared" ca="1" si="46"/>
        <v/>
      </c>
      <c r="BE31" s="23" t="str">
        <f t="shared" ca="1" si="46"/>
        <v/>
      </c>
      <c r="BF31" s="23" t="str">
        <f t="shared" ca="1" si="46"/>
        <v/>
      </c>
      <c r="BG31" s="23" t="str">
        <f t="shared" ca="1" si="46"/>
        <v/>
      </c>
      <c r="BH31" s="23" t="str">
        <f t="shared" ca="1" si="46"/>
        <v/>
      </c>
      <c r="BI31" s="23" t="str">
        <f t="shared" ca="1" si="46"/>
        <v/>
      </c>
      <c r="BJ31" s="23" t="str">
        <f t="shared" ca="1" si="46"/>
        <v/>
      </c>
      <c r="BK31" s="23" t="str">
        <f t="shared" ca="1" si="46"/>
        <v/>
      </c>
      <c r="BL31" s="23" t="str">
        <f t="shared" ca="1" si="47"/>
        <v/>
      </c>
      <c r="BM31" s="23" t="str">
        <f t="shared" ca="1" si="47"/>
        <v/>
      </c>
      <c r="BN31" s="23" t="str">
        <f t="shared" ca="1" si="47"/>
        <v/>
      </c>
      <c r="BO31" s="23" t="str">
        <f t="shared" ca="1" si="47"/>
        <v/>
      </c>
      <c r="BP31" s="23" t="str">
        <f t="shared" ca="1" si="47"/>
        <v/>
      </c>
      <c r="BQ31" s="23" t="str">
        <f t="shared" ca="1" si="47"/>
        <v/>
      </c>
      <c r="BR31" s="23" t="str">
        <f t="shared" ca="1" si="47"/>
        <v/>
      </c>
      <c r="BS31" s="23" t="str">
        <f t="shared" ca="1" si="47"/>
        <v/>
      </c>
      <c r="BT31" s="23" t="str">
        <f t="shared" ca="1" si="47"/>
        <v/>
      </c>
      <c r="BU31" s="23" t="str">
        <f t="shared" ca="1" si="47"/>
        <v/>
      </c>
      <c r="BV31" s="23" t="str">
        <f t="shared" ca="1" si="48"/>
        <v/>
      </c>
      <c r="BW31" s="23" t="str">
        <f t="shared" ca="1" si="48"/>
        <v/>
      </c>
      <c r="BX31" s="23" t="str">
        <f t="shared" ca="1" si="48"/>
        <v/>
      </c>
      <c r="BY31" s="23" t="str">
        <f t="shared" ca="1" si="48"/>
        <v/>
      </c>
      <c r="BZ31" s="23" t="str">
        <f t="shared" ca="1" si="48"/>
        <v/>
      </c>
      <c r="CA31" s="23" t="str">
        <f t="shared" ca="1" si="48"/>
        <v/>
      </c>
      <c r="CB31" s="23" t="str">
        <f t="shared" ca="1" si="48"/>
        <v/>
      </c>
      <c r="CC31" s="23" t="str">
        <f t="shared" ca="1" si="48"/>
        <v/>
      </c>
      <c r="CD31" s="23" t="str">
        <f t="shared" ca="1" si="48"/>
        <v/>
      </c>
      <c r="CE31" s="23" t="str">
        <f t="shared" ca="1" si="48"/>
        <v/>
      </c>
      <c r="CF31" s="23" t="str">
        <f t="shared" ca="1" si="49"/>
        <v/>
      </c>
      <c r="CG31" s="23" t="str">
        <f t="shared" ca="1" si="49"/>
        <v/>
      </c>
      <c r="CH31" s="23" t="str">
        <f t="shared" ca="1" si="49"/>
        <v/>
      </c>
      <c r="CI31" s="23" t="str">
        <f t="shared" ca="1" si="49"/>
        <v/>
      </c>
      <c r="CJ31" s="23" t="str">
        <f t="shared" ca="1" si="49"/>
        <v/>
      </c>
      <c r="CK31" s="23" t="str">
        <f t="shared" ca="1" si="49"/>
        <v/>
      </c>
      <c r="CL31" s="23" t="str">
        <f t="shared" ca="1" si="49"/>
        <v/>
      </c>
      <c r="CM31" s="23" t="str">
        <f t="shared" ca="1" si="49"/>
        <v/>
      </c>
      <c r="CN31" s="23" t="str">
        <f t="shared" ca="1" si="49"/>
        <v/>
      </c>
      <c r="CO31" s="23" t="str">
        <f t="shared" ca="1" si="49"/>
        <v/>
      </c>
      <c r="CP31" s="23" t="str">
        <f t="shared" ca="1" si="50"/>
        <v/>
      </c>
      <c r="CQ31" s="23" t="str">
        <f t="shared" ca="1" si="50"/>
        <v/>
      </c>
      <c r="CR31" s="23" t="str">
        <f t="shared" ca="1" si="50"/>
        <v/>
      </c>
      <c r="CS31" s="23" t="str">
        <f t="shared" ca="1" si="50"/>
        <v/>
      </c>
      <c r="CT31" s="23" t="str">
        <f t="shared" ca="1" si="50"/>
        <v/>
      </c>
      <c r="CU31" s="23" t="str">
        <f t="shared" ca="1" si="50"/>
        <v/>
      </c>
      <c r="CV31" s="23" t="str">
        <f t="shared" ca="1" si="50"/>
        <v/>
      </c>
      <c r="CW31" s="23" t="str">
        <f t="shared" ca="1" si="50"/>
        <v/>
      </c>
      <c r="CX31" s="23" t="str">
        <f ca="1">IF(CX$11="","",IF(CX$13=$M$5,CHOOSE($Q$6+1,$M$1,CY31+CZ31-#REF!),IF(CX$13=$M$6,CHOOSE($Q$6+1,$M$1,OFFSET($A31,,$P$7-1)),IF(CX$13=$M$7,CHOOSE($Q$6+1,$M$1,SUM(OFFSET($A$11,$B31-$O$5,$O$6,1,-$P$6))),IF(CX$13=$M$8,CHOOSE($Q$6+1,$M$1,SUM(OFFSET($A$11,$B31-$O$5,$O$7,1,-$P$6))),IF(CX$11&lt;$D$7,OFFSET(INDIRECT($D$3),$A31-1,$Q$3+CX$11),OFFSET(INDIRECT($D$4),$A31-1,$Q$4+CX$11)))))))</f>
        <v/>
      </c>
      <c r="CY31" s="23" t="str">
        <f ca="1">IF(CY$11="","",IF(CY$13=$M$5,CHOOSE($Q$6+1,$M$1,CZ31+#REF!-#REF!),IF(CY$13=$M$6,CHOOSE($Q$6+1,$M$1,OFFSET($A31,,$P$7-1)),IF(CY$13=$M$7,CHOOSE($Q$6+1,$M$1,SUM(OFFSET($A$11,$B31-$O$5,$O$6,1,-$P$6))),IF(CY$13=$M$8,CHOOSE($Q$6+1,$M$1,SUM(OFFSET($A$11,$B31-$O$5,$O$7,1,-$P$6))),IF(CY$11&lt;$D$7,OFFSET(INDIRECT($D$3),$A31-1,$Q$3+CY$11),OFFSET(INDIRECT($D$4),$A31-1,$Q$4+CY$11)))))))</f>
        <v/>
      </c>
      <c r="CZ31" s="23" t="str">
        <f ca="1">IF(CZ$11="","",IF(CZ$13=$M$5,CHOOSE($Q$6+1,$M$1,#REF!+#REF!-#REF!),IF(CZ$13=$M$6,CHOOSE($Q$6+1,$M$1,OFFSET($A31,,$P$7-1)),IF(CZ$13=$M$7,CHOOSE($Q$6+1,$M$1,SUM(OFFSET($A$11,$B31-$O$5,$O$6,1,-$P$6))),IF(CZ$13=$M$8,CHOOSE($Q$6+1,$M$1,SUM(OFFSET($A$11,$B31-$O$5,$O$7,1,-$P$6))),IF(CZ$11&lt;$D$7,OFFSET(INDIRECT($D$3),$A31-1,$Q$3+CZ$11),OFFSET(INDIRECT($D$4),$A31-1,$Q$4+CZ$11)))))))</f>
        <v/>
      </c>
    </row>
    <row r="32" spans="1:104" ht="13.5" customHeight="1">
      <c r="A32" s="27"/>
      <c r="B32" s="33">
        <f t="shared" si="14"/>
        <v>32</v>
      </c>
      <c r="C32" s="9" t="s">
        <v>308</v>
      </c>
      <c r="D32" s="34">
        <f ca="1">IF(D$13="","",+SUM(D33:D38))</f>
        <v>415</v>
      </c>
      <c r="E32" s="34">
        <f t="shared" ref="E32:BP32" ca="1" si="51">IF(E$13="","",+SUM(E33:E38))</f>
        <v>522</v>
      </c>
      <c r="F32" s="34">
        <f t="shared" ca="1" si="51"/>
        <v>26</v>
      </c>
      <c r="G32" s="34">
        <f t="shared" ca="1" si="51"/>
        <v>172</v>
      </c>
      <c r="H32" s="34">
        <f t="shared" ca="1" si="51"/>
        <v>81</v>
      </c>
      <c r="I32" s="34">
        <f t="shared" ca="1" si="51"/>
        <v>137</v>
      </c>
      <c r="J32" s="34">
        <f t="shared" ca="1" si="51"/>
        <v>148</v>
      </c>
      <c r="K32" s="34">
        <f t="shared" ca="1" si="51"/>
        <v>288</v>
      </c>
      <c r="L32" s="34">
        <f t="shared" ca="1" si="51"/>
        <v>-51</v>
      </c>
      <c r="M32" s="34">
        <f t="shared" ca="1" si="51"/>
        <v>462</v>
      </c>
      <c r="N32" s="34">
        <f t="shared" ca="1" si="51"/>
        <v>847</v>
      </c>
      <c r="O32" s="34">
        <f t="shared" ca="1" si="51"/>
        <v>522</v>
      </c>
      <c r="P32" s="34">
        <f t="shared" ca="1" si="51"/>
        <v>462</v>
      </c>
      <c r="Q32" s="34">
        <f t="shared" ca="1" si="51"/>
        <v>137</v>
      </c>
      <c r="R32" s="34" t="str">
        <f t="shared" ca="1" si="51"/>
        <v/>
      </c>
      <c r="S32" s="34" t="str">
        <f t="shared" ca="1" si="51"/>
        <v/>
      </c>
      <c r="T32" s="34" t="str">
        <f t="shared" ca="1" si="51"/>
        <v/>
      </c>
      <c r="U32" s="34" t="str">
        <f t="shared" ca="1" si="51"/>
        <v/>
      </c>
      <c r="V32" s="34" t="str">
        <f t="shared" ca="1" si="51"/>
        <v/>
      </c>
      <c r="W32" s="34" t="str">
        <f t="shared" ca="1" si="51"/>
        <v/>
      </c>
      <c r="X32" s="34" t="str">
        <f t="shared" ca="1" si="51"/>
        <v/>
      </c>
      <c r="Y32" s="34" t="str">
        <f t="shared" ca="1" si="51"/>
        <v/>
      </c>
      <c r="Z32" s="34" t="str">
        <f t="shared" ca="1" si="51"/>
        <v/>
      </c>
      <c r="AA32" s="34" t="str">
        <f t="shared" ca="1" si="51"/>
        <v/>
      </c>
      <c r="AB32" s="34" t="str">
        <f t="shared" ca="1" si="51"/>
        <v/>
      </c>
      <c r="AC32" s="34" t="str">
        <f t="shared" ca="1" si="51"/>
        <v/>
      </c>
      <c r="AD32" s="34" t="str">
        <f t="shared" ca="1" si="51"/>
        <v/>
      </c>
      <c r="AE32" s="34" t="str">
        <f t="shared" ca="1" si="51"/>
        <v/>
      </c>
      <c r="AF32" s="34" t="str">
        <f t="shared" ca="1" si="51"/>
        <v/>
      </c>
      <c r="AG32" s="34" t="str">
        <f t="shared" ca="1" si="51"/>
        <v/>
      </c>
      <c r="AH32" s="34" t="str">
        <f t="shared" ca="1" si="51"/>
        <v/>
      </c>
      <c r="AI32" s="34" t="str">
        <f t="shared" ca="1" si="51"/>
        <v/>
      </c>
      <c r="AJ32" s="34" t="str">
        <f t="shared" ca="1" si="51"/>
        <v/>
      </c>
      <c r="AK32" s="34" t="str">
        <f t="shared" ca="1" si="51"/>
        <v/>
      </c>
      <c r="AL32" s="34" t="str">
        <f t="shared" ca="1" si="51"/>
        <v/>
      </c>
      <c r="AM32" s="34" t="str">
        <f t="shared" ca="1" si="51"/>
        <v/>
      </c>
      <c r="AN32" s="34" t="str">
        <f t="shared" ca="1" si="51"/>
        <v/>
      </c>
      <c r="AO32" s="34" t="str">
        <f t="shared" ca="1" si="51"/>
        <v/>
      </c>
      <c r="AP32" s="34" t="str">
        <f t="shared" ca="1" si="51"/>
        <v/>
      </c>
      <c r="AQ32" s="34" t="str">
        <f t="shared" ca="1" si="51"/>
        <v/>
      </c>
      <c r="AR32" s="34" t="str">
        <f t="shared" ca="1" si="51"/>
        <v/>
      </c>
      <c r="AS32" s="34" t="str">
        <f t="shared" ca="1" si="51"/>
        <v/>
      </c>
      <c r="AT32" s="34" t="str">
        <f t="shared" ca="1" si="51"/>
        <v/>
      </c>
      <c r="AU32" s="34" t="str">
        <f t="shared" ca="1" si="51"/>
        <v/>
      </c>
      <c r="AV32" s="34" t="str">
        <f t="shared" ca="1" si="51"/>
        <v/>
      </c>
      <c r="AW32" s="34" t="str">
        <f t="shared" ca="1" si="51"/>
        <v/>
      </c>
      <c r="AX32" s="34" t="str">
        <f t="shared" ca="1" si="51"/>
        <v/>
      </c>
      <c r="AY32" s="34" t="str">
        <f t="shared" ca="1" si="51"/>
        <v/>
      </c>
      <c r="AZ32" s="34" t="str">
        <f t="shared" ca="1" si="51"/>
        <v/>
      </c>
      <c r="BA32" s="34" t="str">
        <f t="shared" ca="1" si="51"/>
        <v/>
      </c>
      <c r="BB32" s="34" t="str">
        <f t="shared" ca="1" si="51"/>
        <v/>
      </c>
      <c r="BC32" s="34" t="str">
        <f t="shared" ca="1" si="51"/>
        <v/>
      </c>
      <c r="BD32" s="34" t="str">
        <f t="shared" ca="1" si="51"/>
        <v/>
      </c>
      <c r="BE32" s="34" t="str">
        <f t="shared" ca="1" si="51"/>
        <v/>
      </c>
      <c r="BF32" s="34" t="str">
        <f t="shared" ca="1" si="51"/>
        <v/>
      </c>
      <c r="BG32" s="34" t="str">
        <f t="shared" ca="1" si="51"/>
        <v/>
      </c>
      <c r="BH32" s="34" t="str">
        <f t="shared" ca="1" si="51"/>
        <v/>
      </c>
      <c r="BI32" s="34" t="str">
        <f t="shared" ca="1" si="51"/>
        <v/>
      </c>
      <c r="BJ32" s="34" t="str">
        <f t="shared" ca="1" si="51"/>
        <v/>
      </c>
      <c r="BK32" s="34" t="str">
        <f t="shared" ca="1" si="51"/>
        <v/>
      </c>
      <c r="BL32" s="34" t="str">
        <f t="shared" ca="1" si="51"/>
        <v/>
      </c>
      <c r="BM32" s="34" t="str">
        <f t="shared" ca="1" si="51"/>
        <v/>
      </c>
      <c r="BN32" s="34" t="str">
        <f t="shared" ca="1" si="51"/>
        <v/>
      </c>
      <c r="BO32" s="34" t="str">
        <f t="shared" ca="1" si="51"/>
        <v/>
      </c>
      <c r="BP32" s="34" t="str">
        <f t="shared" ca="1" si="51"/>
        <v/>
      </c>
      <c r="BQ32" s="34" t="str">
        <f t="shared" ref="BQ32:CZ32" ca="1" si="52">IF(BQ$13="","",+SUM(BQ33:BQ38))</f>
        <v/>
      </c>
      <c r="BR32" s="34" t="str">
        <f t="shared" ca="1" si="52"/>
        <v/>
      </c>
      <c r="BS32" s="34" t="str">
        <f t="shared" ca="1" si="52"/>
        <v/>
      </c>
      <c r="BT32" s="34" t="str">
        <f t="shared" ca="1" si="52"/>
        <v/>
      </c>
      <c r="BU32" s="34" t="str">
        <f t="shared" ca="1" si="52"/>
        <v/>
      </c>
      <c r="BV32" s="34" t="str">
        <f t="shared" ca="1" si="52"/>
        <v/>
      </c>
      <c r="BW32" s="34" t="str">
        <f t="shared" ca="1" si="52"/>
        <v/>
      </c>
      <c r="BX32" s="34" t="str">
        <f t="shared" ca="1" si="52"/>
        <v/>
      </c>
      <c r="BY32" s="34" t="str">
        <f t="shared" ca="1" si="52"/>
        <v/>
      </c>
      <c r="BZ32" s="34" t="str">
        <f t="shared" ca="1" si="52"/>
        <v/>
      </c>
      <c r="CA32" s="34" t="str">
        <f t="shared" ca="1" si="52"/>
        <v/>
      </c>
      <c r="CB32" s="34" t="str">
        <f t="shared" ca="1" si="52"/>
        <v/>
      </c>
      <c r="CC32" s="34" t="str">
        <f t="shared" ca="1" si="52"/>
        <v/>
      </c>
      <c r="CD32" s="34" t="str">
        <f t="shared" ca="1" si="52"/>
        <v/>
      </c>
      <c r="CE32" s="34" t="str">
        <f t="shared" ca="1" si="52"/>
        <v/>
      </c>
      <c r="CF32" s="34" t="str">
        <f t="shared" ca="1" si="52"/>
        <v/>
      </c>
      <c r="CG32" s="34" t="str">
        <f t="shared" ca="1" si="52"/>
        <v/>
      </c>
      <c r="CH32" s="34" t="str">
        <f t="shared" ca="1" si="52"/>
        <v/>
      </c>
      <c r="CI32" s="34" t="str">
        <f t="shared" ca="1" si="52"/>
        <v/>
      </c>
      <c r="CJ32" s="34" t="str">
        <f t="shared" ca="1" si="52"/>
        <v/>
      </c>
      <c r="CK32" s="34" t="str">
        <f t="shared" ca="1" si="52"/>
        <v/>
      </c>
      <c r="CL32" s="34" t="str">
        <f t="shared" ca="1" si="52"/>
        <v/>
      </c>
      <c r="CM32" s="34" t="str">
        <f t="shared" ca="1" si="52"/>
        <v/>
      </c>
      <c r="CN32" s="34" t="str">
        <f t="shared" ca="1" si="52"/>
        <v/>
      </c>
      <c r="CO32" s="34" t="str">
        <f t="shared" ca="1" si="52"/>
        <v/>
      </c>
      <c r="CP32" s="34" t="str">
        <f t="shared" ca="1" si="52"/>
        <v/>
      </c>
      <c r="CQ32" s="34" t="str">
        <f t="shared" ca="1" si="52"/>
        <v/>
      </c>
      <c r="CR32" s="34" t="str">
        <f t="shared" ca="1" si="52"/>
        <v/>
      </c>
      <c r="CS32" s="34" t="str">
        <f t="shared" ca="1" si="52"/>
        <v/>
      </c>
      <c r="CT32" s="34" t="str">
        <f t="shared" ca="1" si="52"/>
        <v/>
      </c>
      <c r="CU32" s="34" t="str">
        <f t="shared" ca="1" si="52"/>
        <v/>
      </c>
      <c r="CV32" s="34" t="str">
        <f t="shared" ca="1" si="52"/>
        <v/>
      </c>
      <c r="CW32" s="34" t="str">
        <f t="shared" ca="1" si="52"/>
        <v/>
      </c>
      <c r="CX32" s="34" t="str">
        <f t="shared" ca="1" si="52"/>
        <v/>
      </c>
      <c r="CY32" s="34" t="str">
        <f t="shared" ca="1" si="52"/>
        <v/>
      </c>
      <c r="CZ32" s="34" t="str">
        <f t="shared" ca="1" si="52"/>
        <v/>
      </c>
    </row>
    <row r="33" spans="1:104" ht="13.5" customHeight="1">
      <c r="A33" s="27">
        <v>31</v>
      </c>
      <c r="B33" s="33">
        <f t="shared" si="14"/>
        <v>33</v>
      </c>
      <c r="C33" s="8" t="s">
        <v>309</v>
      </c>
      <c r="D33" s="23">
        <f t="shared" ref="D33:D42" ca="1" si="53">IF(D$11="","",IF(D$13=$M$5,CHOOSE($Q$6+1,$M$1,E33+F33-G33),IF(D$13=$M$6,CHOOSE($Q$6+1,$M$1,OFFSET($A33,,$P$7-1)),IF(D$13=$M$7,CHOOSE($Q$6+1,$M$1,SUM(OFFSET($A$11,$B33-$O$5,$O$6,1,-$P$6))),IF(D$13=$M$8,CHOOSE($Q$6+1,$M$1,SUM(OFFSET($A$11,$B33-$O$5,$O$7,1,-$P$6))),IF(D$11&lt;$D$7,OFFSET(INDIRECT($D$3),$A33-1,$Q$3+D$11),OFFSET(INDIRECT($D$4),$A33-1,$Q$4+D$11)))))))</f>
        <v>519</v>
      </c>
      <c r="E33" s="23">
        <f t="shared" ref="E33:E42" ca="1" si="54">IF(E$11="","",IF(E$13=$M$5,CHOOSE($Q$6+1,$M$1,F33+G33-H33),IF(E$13=$M$6,CHOOSE($Q$6+1,$M$1,OFFSET($A33,,$P$7-1)),IF(E$13=$M$7,CHOOSE($Q$6+1,$M$1,SUM(OFFSET($A$11,$B33-$O$5,$O$6,1,-$P$6))),IF(E$13=$M$8,CHOOSE($Q$6+1,$M$1,SUM(OFFSET($A$11,$B33-$O$5,$O$7,1,-$P$6))),IF(E$11&lt;$D$7,OFFSET(INDIRECT($D$3),$A33-1,$Q$3+E$11),OFFSET(INDIRECT($D$4),$A33-1,$Q$4+E$11)))))))</f>
        <v>1088</v>
      </c>
      <c r="F33" s="23">
        <f t="shared" ref="F33:F42" ca="1" si="55">IF(F$11="","",IF(F$13=$M$5,CHOOSE($Q$6+1,$M$1,G33+H33-I33),IF(F$13=$M$6,CHOOSE($Q$6+1,$M$1,OFFSET($A33,,$P$7-1)),IF(F$13=$M$7,CHOOSE($Q$6+1,$M$1,SUM(OFFSET($A$11,$B33-$O$5,$O$6,1,-$P$6))),IF(F$13=$M$8,CHOOSE($Q$6+1,$M$1,SUM(OFFSET($A$11,$B33-$O$5,$O$7,1,-$P$6))),IF(F$11&lt;$D$7,OFFSET(INDIRECT($D$3),$A33-1,$Q$3+F$11),OFFSET(INDIRECT($D$4),$A33-1,$Q$4+F$11)))))))</f>
        <v>0</v>
      </c>
      <c r="G33" s="23">
        <f t="shared" ref="G33:G42" ca="1" si="56">IF(G$11="","",IF(G$13=$M$5,CHOOSE($Q$6+1,$M$1,H33+I33-J33),IF(G$13=$M$6,CHOOSE($Q$6+1,$M$1,OFFSET($A33,,$P$7-1)),IF(G$13=$M$7,CHOOSE($Q$6+1,$M$1,SUM(OFFSET($A$11,$B33-$O$5,$O$6,1,-$P$6))),IF(G$13=$M$8,CHOOSE($Q$6+1,$M$1,SUM(OFFSET($A$11,$B33-$O$5,$O$7,1,-$P$6))),IF(G$11&lt;$D$7,OFFSET(INDIRECT($D$3),$A33-1,$Q$3+G$11),OFFSET(INDIRECT($D$4),$A33-1,$Q$4+G$11)))))))</f>
        <v>0</v>
      </c>
      <c r="H33" s="23">
        <f t="shared" ref="H33:H42" ca="1" si="57">IF(H$11="","",IF(H$13=$M$5,CHOOSE($Q$6+1,$M$1,I33+J33-K33),IF(H$13=$M$6,CHOOSE($Q$6+1,$M$1,OFFSET($A33,,$P$7-1)),IF(H$13=$M$7,CHOOSE($Q$6+1,$M$1,SUM(OFFSET($A$11,$B33-$O$5,$O$6,1,-$P$6))),IF(H$13=$M$8,CHOOSE($Q$6+1,$M$1,SUM(OFFSET($A$11,$B33-$O$5,$O$7,1,-$P$6))),IF(H$11&lt;$D$7,OFFSET(INDIRECT($D$3),$A33-1,$Q$3+H$11),OFFSET(INDIRECT($D$4),$A33-1,$Q$4+H$11)))))))</f>
        <v>519</v>
      </c>
      <c r="I33" s="23">
        <f t="shared" ref="I33:I42" ca="1" si="58">IF(I$11="","",IF(I$13=$M$5,CHOOSE($Q$6+1,$M$1,J33+K33-L33),IF(I$13=$M$6,CHOOSE($Q$6+1,$M$1,OFFSET($A33,,$P$7-1)),IF(I$13=$M$7,CHOOSE($Q$6+1,$M$1,SUM(OFFSET($A$11,$B33-$O$5,$O$6,1,-$P$6))),IF(I$13=$M$8,CHOOSE($Q$6+1,$M$1,SUM(OFFSET($A$11,$B33-$O$5,$O$7,1,-$P$6))),IF(I$11&lt;$D$7,OFFSET(INDIRECT($D$3),$A33-1,$Q$3+I$11),OFFSET(INDIRECT($D$4),$A33-1,$Q$4+I$11)))))))</f>
        <v>0</v>
      </c>
      <c r="J33" s="23">
        <f t="shared" ref="J33:J42" ca="1" si="59">IF(J$11="","",IF(J$13=$M$5,CHOOSE($Q$6+1,$M$1,K33+L33-M33),IF(J$13=$M$6,CHOOSE($Q$6+1,$M$1,OFFSET($A33,,$P$7-1)),IF(J$13=$M$7,CHOOSE($Q$6+1,$M$1,SUM(OFFSET($A$11,$B33-$O$5,$O$6,1,-$P$6))),IF(J$13=$M$8,CHOOSE($Q$6+1,$M$1,SUM(OFFSET($A$11,$B33-$O$5,$O$7,1,-$P$6))),IF(J$11&lt;$D$7,OFFSET(INDIRECT($D$3),$A33-1,$Q$3+J$11),OFFSET(INDIRECT($D$4),$A33-1,$Q$4+J$11)))))))</f>
        <v>0</v>
      </c>
      <c r="K33" s="23">
        <f t="shared" ref="K33:K42" ca="1" si="60">IF(K$11="","",IF(K$13=$M$5,CHOOSE($Q$6+1,$M$1,L33+M33-N33),IF(K$13=$M$6,CHOOSE($Q$6+1,$M$1,OFFSET($A33,,$P$7-1)),IF(K$13=$M$7,CHOOSE($Q$6+1,$M$1,SUM(OFFSET($A$11,$B33-$O$5,$O$6,1,-$P$6))),IF(K$13=$M$8,CHOOSE($Q$6+1,$M$1,SUM(OFFSET($A$11,$B33-$O$5,$O$7,1,-$P$6))),IF(K$11&lt;$D$7,OFFSET(INDIRECT($D$3),$A33-1,$Q$3+K$11),OFFSET(INDIRECT($D$4),$A33-1,$Q$4+K$11)))))))</f>
        <v>0</v>
      </c>
      <c r="L33" s="23">
        <f t="shared" ref="L33:L42" ca="1" si="61">IF(L$11="","",IF(L$13=$M$5,CHOOSE($Q$6+1,$M$1,M33+N33-O33),IF(L$13=$M$6,CHOOSE($Q$6+1,$M$1,OFFSET($A33,,$P$7-1)),IF(L$13=$M$7,CHOOSE($Q$6+1,$M$1,SUM(OFFSET($A$11,$B33-$O$5,$O$6,1,-$P$6))),IF(L$13=$M$8,CHOOSE($Q$6+1,$M$1,SUM(OFFSET($A$11,$B33-$O$5,$O$7,1,-$P$6))),IF(L$11&lt;$D$7,OFFSET(INDIRECT($D$3),$A33-1,$Q$3+L$11),OFFSET(INDIRECT($D$4),$A33-1,$Q$4+L$11)))))))</f>
        <v>1088</v>
      </c>
      <c r="M33" s="23">
        <f t="shared" ref="M33:M42" ca="1" si="62">IF(M$11="","",IF(M$13=$M$5,CHOOSE($Q$6+1,$M$1,N33+O33-P33),IF(M$13=$M$6,CHOOSE($Q$6+1,$M$1,OFFSET($A33,,$P$7-1)),IF(M$13=$M$7,CHOOSE($Q$6+1,$M$1,SUM(OFFSET($A$11,$B33-$O$5,$O$6,1,-$P$6))),IF(M$13=$M$8,CHOOSE($Q$6+1,$M$1,SUM(OFFSET($A$11,$B33-$O$5,$O$7,1,-$P$6))),IF(M$11&lt;$D$7,OFFSET(INDIRECT($D$3),$A33-1,$Q$3+M$11),OFFSET(INDIRECT($D$4),$A33-1,$Q$4+M$11)))))))</f>
        <v>421</v>
      </c>
      <c r="N33" s="23">
        <f t="shared" ref="N33:N42" ca="1" si="63">IF(N$11="","",IF(N$13=$M$5,CHOOSE($Q$6+1,$M$1,O33+P33-Q33),IF(N$13=$M$6,CHOOSE($Q$6+1,$M$1,OFFSET($A33,,$P$7-1)),IF(N$13=$M$7,CHOOSE($Q$6+1,$M$1,SUM(OFFSET($A$11,$B33-$O$5,$O$6,1,-$P$6))),IF(N$13=$M$8,CHOOSE($Q$6+1,$M$1,SUM(OFFSET($A$11,$B33-$O$5,$O$7,1,-$P$6))),IF(N$11&lt;$D$7,OFFSET(INDIRECT($D$3),$A33-1,$Q$3+N$11),OFFSET(INDIRECT($D$4),$A33-1,$Q$4+N$11)))))))</f>
        <v>1509</v>
      </c>
      <c r="O33" s="23">
        <f t="shared" ref="O33:O42" ca="1" si="64">IF(O$11="","",IF(O$13=$M$5,CHOOSE($Q$6+1,$M$1,P33+Q33-R33),IF(O$13=$M$6,CHOOSE($Q$6+1,$M$1,OFFSET($A33,,$P$7-1)),IF(O$13=$M$7,CHOOSE($Q$6+1,$M$1,SUM(OFFSET($A$11,$B33-$O$5,$O$6,1,-$P$6))),IF(O$13=$M$8,CHOOSE($Q$6+1,$M$1,SUM(OFFSET($A$11,$B33-$O$5,$O$7,1,-$P$6))),IF(O$11&lt;$D$7,OFFSET(INDIRECT($D$3),$A33-1,$Q$3+O$11),OFFSET(INDIRECT($D$4),$A33-1,$Q$4+O$11)))))))</f>
        <v>1088</v>
      </c>
      <c r="P33" s="23">
        <f t="shared" ref="P33:P42" ca="1" si="65">IF(P$11="","",IF(P$13=$M$5,CHOOSE($Q$6+1,$M$1,Q33+R33-S33),IF(P$13=$M$6,CHOOSE($Q$6+1,$M$1,OFFSET($A33,,$P$7-1)),IF(P$13=$M$7,CHOOSE($Q$6+1,$M$1,SUM(OFFSET($A$11,$B33-$O$5,$O$6,1,-$P$6))),IF(P$13=$M$8,CHOOSE($Q$6+1,$M$1,SUM(OFFSET($A$11,$B33-$O$5,$O$7,1,-$P$6))),IF(P$11&lt;$D$7,OFFSET(INDIRECT($D$3),$A33-1,$Q$3+P$11),OFFSET(INDIRECT($D$4),$A33-1,$Q$4+P$11)))))))</f>
        <v>421</v>
      </c>
      <c r="Q33" s="23">
        <f t="shared" ref="Q33:Q42" ca="1" si="66">IF(Q$11="","",IF(Q$13=$M$5,CHOOSE($Q$6+1,$M$1,R33+S33-T33),IF(Q$13=$M$6,CHOOSE($Q$6+1,$M$1,OFFSET($A33,,$P$7-1)),IF(Q$13=$M$7,CHOOSE($Q$6+1,$M$1,SUM(OFFSET($A$11,$B33-$O$5,$O$6,1,-$P$6))),IF(Q$13=$M$8,CHOOSE($Q$6+1,$M$1,SUM(OFFSET($A$11,$B33-$O$5,$O$7,1,-$P$6))),IF(Q$11&lt;$D$7,OFFSET(INDIRECT($D$3),$A33-1,$Q$3+Q$11),OFFSET(INDIRECT($D$4),$A33-1,$Q$4+Q$11)))))))</f>
        <v>0</v>
      </c>
      <c r="R33" s="23" t="str">
        <f t="shared" ref="R33:R42" ca="1" si="67">IF(R$11="","",IF(R$13=$M$5,CHOOSE($Q$6+1,$M$1,S33+T33-U33),IF(R$13=$M$6,CHOOSE($Q$6+1,$M$1,OFFSET($A33,,$P$7-1)),IF(R$13=$M$7,CHOOSE($Q$6+1,$M$1,SUM(OFFSET($A$11,$B33-$O$5,$O$6,1,-$P$6))),IF(R$13=$M$8,CHOOSE($Q$6+1,$M$1,SUM(OFFSET($A$11,$B33-$O$5,$O$7,1,-$P$6))),IF(R$11&lt;$D$7,OFFSET(INDIRECT($D$3),$A33-1,$Q$3+R$11),OFFSET(INDIRECT($D$4),$A33-1,$Q$4+R$11)))))))</f>
        <v/>
      </c>
      <c r="S33" s="23" t="str">
        <f t="shared" ref="S33:S42" ca="1" si="68">IF(S$11="","",IF(S$13=$M$5,CHOOSE($Q$6+1,$M$1,T33+U33-V33),IF(S$13=$M$6,CHOOSE($Q$6+1,$M$1,OFFSET($A33,,$P$7-1)),IF(S$13=$M$7,CHOOSE($Q$6+1,$M$1,SUM(OFFSET($A$11,$B33-$O$5,$O$6,1,-$P$6))),IF(S$13=$M$8,CHOOSE($Q$6+1,$M$1,SUM(OFFSET($A$11,$B33-$O$5,$O$7,1,-$P$6))),IF(S$11&lt;$D$7,OFFSET(INDIRECT($D$3),$A33-1,$Q$3+S$11),OFFSET(INDIRECT($D$4),$A33-1,$Q$4+S$11)))))))</f>
        <v/>
      </c>
      <c r="T33" s="23" t="str">
        <f t="shared" ref="T33:T42" ca="1" si="69">IF(T$11="","",IF(T$13=$M$5,CHOOSE($Q$6+1,$M$1,U33+V33-W33),IF(T$13=$M$6,CHOOSE($Q$6+1,$M$1,OFFSET($A33,,$P$7-1)),IF(T$13=$M$7,CHOOSE($Q$6+1,$M$1,SUM(OFFSET($A$11,$B33-$O$5,$O$6,1,-$P$6))),IF(T$13=$M$8,CHOOSE($Q$6+1,$M$1,SUM(OFFSET($A$11,$B33-$O$5,$O$7,1,-$P$6))),IF(T$11&lt;$D$7,OFFSET(INDIRECT($D$3),$A33-1,$Q$3+T$11),OFFSET(INDIRECT($D$4),$A33-1,$Q$4+T$11)))))))</f>
        <v/>
      </c>
      <c r="U33" s="23" t="str">
        <f t="shared" ref="U33:U42" ca="1" si="70">IF(U$11="","",IF(U$13=$M$5,CHOOSE($Q$6+1,$M$1,V33+W33-X33),IF(U$13=$M$6,CHOOSE($Q$6+1,$M$1,OFFSET($A33,,$P$7-1)),IF(U$13=$M$7,CHOOSE($Q$6+1,$M$1,SUM(OFFSET($A$11,$B33-$O$5,$O$6,1,-$P$6))),IF(U$13=$M$8,CHOOSE($Q$6+1,$M$1,SUM(OFFSET($A$11,$B33-$O$5,$O$7,1,-$P$6))),IF(U$11&lt;$D$7,OFFSET(INDIRECT($D$3),$A33-1,$Q$3+U$11),OFFSET(INDIRECT($D$4),$A33-1,$Q$4+U$11)))))))</f>
        <v/>
      </c>
      <c r="V33" s="23" t="str">
        <f t="shared" ref="V33:V42" ca="1" si="71">IF(V$11="","",IF(V$13=$M$5,CHOOSE($Q$6+1,$M$1,W33+X33-Y33),IF(V$13=$M$6,CHOOSE($Q$6+1,$M$1,OFFSET($A33,,$P$7-1)),IF(V$13=$M$7,CHOOSE($Q$6+1,$M$1,SUM(OFFSET($A$11,$B33-$O$5,$O$6,1,-$P$6))),IF(V$13=$M$8,CHOOSE($Q$6+1,$M$1,SUM(OFFSET($A$11,$B33-$O$5,$O$7,1,-$P$6))),IF(V$11&lt;$D$7,OFFSET(INDIRECT($D$3),$A33-1,$Q$3+V$11),OFFSET(INDIRECT($D$4),$A33-1,$Q$4+V$11)))))))</f>
        <v/>
      </c>
      <c r="W33" s="23" t="str">
        <f t="shared" ref="W33:W42" ca="1" si="72">IF(W$11="","",IF(W$13=$M$5,CHOOSE($Q$6+1,$M$1,X33+Y33-Z33),IF(W$13=$M$6,CHOOSE($Q$6+1,$M$1,OFFSET($A33,,$P$7-1)),IF(W$13=$M$7,CHOOSE($Q$6+1,$M$1,SUM(OFFSET($A$11,$B33-$O$5,$O$6,1,-$P$6))),IF(W$13=$M$8,CHOOSE($Q$6+1,$M$1,SUM(OFFSET($A$11,$B33-$O$5,$O$7,1,-$P$6))),IF(W$11&lt;$D$7,OFFSET(INDIRECT($D$3),$A33-1,$Q$3+W$11),OFFSET(INDIRECT($D$4),$A33-1,$Q$4+W$11)))))))</f>
        <v/>
      </c>
      <c r="X33" s="23" t="str">
        <f t="shared" ref="X33:X42" ca="1" si="73">IF(X$11="","",IF(X$13=$M$5,CHOOSE($Q$6+1,$M$1,Y33+Z33-AA33),IF(X$13=$M$6,CHOOSE($Q$6+1,$M$1,OFFSET($A33,,$P$7-1)),IF(X$13=$M$7,CHOOSE($Q$6+1,$M$1,SUM(OFFSET($A$11,$B33-$O$5,$O$6,1,-$P$6))),IF(X$13=$M$8,CHOOSE($Q$6+1,$M$1,SUM(OFFSET($A$11,$B33-$O$5,$O$7,1,-$P$6))),IF(X$11&lt;$D$7,OFFSET(INDIRECT($D$3),$A33-1,$Q$3+X$11),OFFSET(INDIRECT($D$4),$A33-1,$Q$4+X$11)))))))</f>
        <v/>
      </c>
      <c r="Y33" s="23" t="str">
        <f t="shared" ref="Y33:Y42" ca="1" si="74">IF(Y$11="","",IF(Y$13=$M$5,CHOOSE($Q$6+1,$M$1,Z33+AA33-AB33),IF(Y$13=$M$6,CHOOSE($Q$6+1,$M$1,OFFSET($A33,,$P$7-1)),IF(Y$13=$M$7,CHOOSE($Q$6+1,$M$1,SUM(OFFSET($A$11,$B33-$O$5,$O$6,1,-$P$6))),IF(Y$13=$M$8,CHOOSE($Q$6+1,$M$1,SUM(OFFSET($A$11,$B33-$O$5,$O$7,1,-$P$6))),IF(Y$11&lt;$D$7,OFFSET(INDIRECT($D$3),$A33-1,$Q$3+Y$11),OFFSET(INDIRECT($D$4),$A33-1,$Q$4+Y$11)))))))</f>
        <v/>
      </c>
      <c r="Z33" s="23" t="str">
        <f t="shared" ref="Z33:Z42" ca="1" si="75">IF(Z$11="","",IF(Z$13=$M$5,CHOOSE($Q$6+1,$M$1,AA33+AB33-AC33),IF(Z$13=$M$6,CHOOSE($Q$6+1,$M$1,OFFSET($A33,,$P$7-1)),IF(Z$13=$M$7,CHOOSE($Q$6+1,$M$1,SUM(OFFSET($A$11,$B33-$O$5,$O$6,1,-$P$6))),IF(Z$13=$M$8,CHOOSE($Q$6+1,$M$1,SUM(OFFSET($A$11,$B33-$O$5,$O$7,1,-$P$6))),IF(Z$11&lt;$D$7,OFFSET(INDIRECT($D$3),$A33-1,$Q$3+Z$11),OFFSET(INDIRECT($D$4),$A33-1,$Q$4+Z$11)))))))</f>
        <v/>
      </c>
      <c r="AA33" s="23" t="str">
        <f t="shared" ref="AA33:AA42" ca="1" si="76">IF(AA$11="","",IF(AA$13=$M$5,CHOOSE($Q$6+1,$M$1,AB33+AC33-AD33),IF(AA$13=$M$6,CHOOSE($Q$6+1,$M$1,OFFSET($A33,,$P$7-1)),IF(AA$13=$M$7,CHOOSE($Q$6+1,$M$1,SUM(OFFSET($A$11,$B33-$O$5,$O$6,1,-$P$6))),IF(AA$13=$M$8,CHOOSE($Q$6+1,$M$1,SUM(OFFSET($A$11,$B33-$O$5,$O$7,1,-$P$6))),IF(AA$11&lt;$D$7,OFFSET(INDIRECT($D$3),$A33-1,$Q$3+AA$11),OFFSET(INDIRECT($D$4),$A33-1,$Q$4+AA$11)))))))</f>
        <v/>
      </c>
      <c r="AB33" s="23" t="str">
        <f t="shared" ref="AB33:AB42" ca="1" si="77">IF(AB$11="","",IF(AB$13=$M$5,CHOOSE($Q$6+1,$M$1,AC33+AD33-AE33),IF(AB$13=$M$6,CHOOSE($Q$6+1,$M$1,OFFSET($A33,,$P$7-1)),IF(AB$13=$M$7,CHOOSE($Q$6+1,$M$1,SUM(OFFSET($A$11,$B33-$O$5,$O$6,1,-$P$6))),IF(AB$13=$M$8,CHOOSE($Q$6+1,$M$1,SUM(OFFSET($A$11,$B33-$O$5,$O$7,1,-$P$6))),IF(AB$11&lt;$D$7,OFFSET(INDIRECT($D$3),$A33-1,$Q$3+AB$11),OFFSET(INDIRECT($D$4),$A33-1,$Q$4+AB$11)))))))</f>
        <v/>
      </c>
      <c r="AC33" s="23" t="str">
        <f t="shared" ref="AC33:AC42" ca="1" si="78">IF(AC$11="","",IF(AC$13=$M$5,CHOOSE($Q$6+1,$M$1,AD33+AE33-AF33),IF(AC$13=$M$6,CHOOSE($Q$6+1,$M$1,OFFSET($A33,,$P$7-1)),IF(AC$13=$M$7,CHOOSE($Q$6+1,$M$1,SUM(OFFSET($A$11,$B33-$O$5,$O$6,1,-$P$6))),IF(AC$13=$M$8,CHOOSE($Q$6+1,$M$1,SUM(OFFSET($A$11,$B33-$O$5,$O$7,1,-$P$6))),IF(AC$11&lt;$D$7,OFFSET(INDIRECT($D$3),$A33-1,$Q$3+AC$11),OFFSET(INDIRECT($D$4),$A33-1,$Q$4+AC$11)))))))</f>
        <v/>
      </c>
      <c r="AD33" s="23" t="str">
        <f t="shared" ref="AD33:AD42" ca="1" si="79">IF(AD$11="","",IF(AD$13=$M$5,CHOOSE($Q$6+1,$M$1,AE33+AF33-AG33),IF(AD$13=$M$6,CHOOSE($Q$6+1,$M$1,OFFSET($A33,,$P$7-1)),IF(AD$13=$M$7,CHOOSE($Q$6+1,$M$1,SUM(OFFSET($A$11,$B33-$O$5,$O$6,1,-$P$6))),IF(AD$13=$M$8,CHOOSE($Q$6+1,$M$1,SUM(OFFSET($A$11,$B33-$O$5,$O$7,1,-$P$6))),IF(AD$11&lt;$D$7,OFFSET(INDIRECT($D$3),$A33-1,$Q$3+AD$11),OFFSET(INDIRECT($D$4),$A33-1,$Q$4+AD$11)))))))</f>
        <v/>
      </c>
      <c r="AE33" s="23" t="str">
        <f t="shared" ref="AE33:AE42" ca="1" si="80">IF(AE$11="","",IF(AE$13=$M$5,CHOOSE($Q$6+1,$M$1,AF33+AG33-AH33),IF(AE$13=$M$6,CHOOSE($Q$6+1,$M$1,OFFSET($A33,,$P$7-1)),IF(AE$13=$M$7,CHOOSE($Q$6+1,$M$1,SUM(OFFSET($A$11,$B33-$O$5,$O$6,1,-$P$6))),IF(AE$13=$M$8,CHOOSE($Q$6+1,$M$1,SUM(OFFSET($A$11,$B33-$O$5,$O$7,1,-$P$6))),IF(AE$11&lt;$D$7,OFFSET(INDIRECT($D$3),$A33-1,$Q$3+AE$11),OFFSET(INDIRECT($D$4),$A33-1,$Q$4+AE$11)))))))</f>
        <v/>
      </c>
      <c r="AF33" s="23" t="str">
        <f t="shared" ref="AF33:AF42" ca="1" si="81">IF(AF$11="","",IF(AF$13=$M$5,CHOOSE($Q$6+1,$M$1,AG33+AH33-AI33),IF(AF$13=$M$6,CHOOSE($Q$6+1,$M$1,OFFSET($A33,,$P$7-1)),IF(AF$13=$M$7,CHOOSE($Q$6+1,$M$1,SUM(OFFSET($A$11,$B33-$O$5,$O$6,1,-$P$6))),IF(AF$13=$M$8,CHOOSE($Q$6+1,$M$1,SUM(OFFSET($A$11,$B33-$O$5,$O$7,1,-$P$6))),IF(AF$11&lt;$D$7,OFFSET(INDIRECT($D$3),$A33-1,$Q$3+AF$11),OFFSET(INDIRECT($D$4),$A33-1,$Q$4+AF$11)))))))</f>
        <v/>
      </c>
      <c r="AG33" s="23" t="str">
        <f t="shared" ref="AG33:AG42" ca="1" si="82">IF(AG$11="","",IF(AG$13=$M$5,CHOOSE($Q$6+1,$M$1,AH33+AI33-AJ33),IF(AG$13=$M$6,CHOOSE($Q$6+1,$M$1,OFFSET($A33,,$P$7-1)),IF(AG$13=$M$7,CHOOSE($Q$6+1,$M$1,SUM(OFFSET($A$11,$B33-$O$5,$O$6,1,-$P$6))),IF(AG$13=$M$8,CHOOSE($Q$6+1,$M$1,SUM(OFFSET($A$11,$B33-$O$5,$O$7,1,-$P$6))),IF(AG$11&lt;$D$7,OFFSET(INDIRECT($D$3),$A33-1,$Q$3+AG$11),OFFSET(INDIRECT($D$4),$A33-1,$Q$4+AG$11)))))))</f>
        <v/>
      </c>
      <c r="AH33" s="23" t="str">
        <f t="shared" ref="AH33:AH42" ca="1" si="83">IF(AH$11="","",IF(AH$13=$M$5,CHOOSE($Q$6+1,$M$1,AI33+AJ33-AK33),IF(AH$13=$M$6,CHOOSE($Q$6+1,$M$1,OFFSET($A33,,$P$7-1)),IF(AH$13=$M$7,CHOOSE($Q$6+1,$M$1,SUM(OFFSET($A$11,$B33-$O$5,$O$6,1,-$P$6))),IF(AH$13=$M$8,CHOOSE($Q$6+1,$M$1,SUM(OFFSET($A$11,$B33-$O$5,$O$7,1,-$P$6))),IF(AH$11&lt;$D$7,OFFSET(INDIRECT($D$3),$A33-1,$Q$3+AH$11),OFFSET(INDIRECT($D$4),$A33-1,$Q$4+AH$11)))))))</f>
        <v/>
      </c>
      <c r="AI33" s="23" t="str">
        <f t="shared" ref="AI33:AI42" ca="1" si="84">IF(AI$11="","",IF(AI$13=$M$5,CHOOSE($Q$6+1,$M$1,AJ33+AK33-AL33),IF(AI$13=$M$6,CHOOSE($Q$6+1,$M$1,OFFSET($A33,,$P$7-1)),IF(AI$13=$M$7,CHOOSE($Q$6+1,$M$1,SUM(OFFSET($A$11,$B33-$O$5,$O$6,1,-$P$6))),IF(AI$13=$M$8,CHOOSE($Q$6+1,$M$1,SUM(OFFSET($A$11,$B33-$O$5,$O$7,1,-$P$6))),IF(AI$11&lt;$D$7,OFFSET(INDIRECT($D$3),$A33-1,$Q$3+AI$11),OFFSET(INDIRECT($D$4),$A33-1,$Q$4+AI$11)))))))</f>
        <v/>
      </c>
      <c r="AJ33" s="23" t="str">
        <f t="shared" ref="AJ33:AJ42" ca="1" si="85">IF(AJ$11="","",IF(AJ$13=$M$5,CHOOSE($Q$6+1,$M$1,AK33+AL33-AM33),IF(AJ$13=$M$6,CHOOSE($Q$6+1,$M$1,OFFSET($A33,,$P$7-1)),IF(AJ$13=$M$7,CHOOSE($Q$6+1,$M$1,SUM(OFFSET($A$11,$B33-$O$5,$O$6,1,-$P$6))),IF(AJ$13=$M$8,CHOOSE($Q$6+1,$M$1,SUM(OFFSET($A$11,$B33-$O$5,$O$7,1,-$P$6))),IF(AJ$11&lt;$D$7,OFFSET(INDIRECT($D$3),$A33-1,$Q$3+AJ$11),OFFSET(INDIRECT($D$4),$A33-1,$Q$4+AJ$11)))))))</f>
        <v/>
      </c>
      <c r="AK33" s="23" t="str">
        <f t="shared" ref="AK33:AK42" ca="1" si="86">IF(AK$11="","",IF(AK$13=$M$5,CHOOSE($Q$6+1,$M$1,AL33+AM33-AN33),IF(AK$13=$M$6,CHOOSE($Q$6+1,$M$1,OFFSET($A33,,$P$7-1)),IF(AK$13=$M$7,CHOOSE($Q$6+1,$M$1,SUM(OFFSET($A$11,$B33-$O$5,$O$6,1,-$P$6))),IF(AK$13=$M$8,CHOOSE($Q$6+1,$M$1,SUM(OFFSET($A$11,$B33-$O$5,$O$7,1,-$P$6))),IF(AK$11&lt;$D$7,OFFSET(INDIRECT($D$3),$A33-1,$Q$3+AK$11),OFFSET(INDIRECT($D$4),$A33-1,$Q$4+AK$11)))))))</f>
        <v/>
      </c>
      <c r="AL33" s="23" t="str">
        <f t="shared" ref="AL33:AL42" ca="1" si="87">IF(AL$11="","",IF(AL$13=$M$5,CHOOSE($Q$6+1,$M$1,AM33+AN33-AO33),IF(AL$13=$M$6,CHOOSE($Q$6+1,$M$1,OFFSET($A33,,$P$7-1)),IF(AL$13=$M$7,CHOOSE($Q$6+1,$M$1,SUM(OFFSET($A$11,$B33-$O$5,$O$6,1,-$P$6))),IF(AL$13=$M$8,CHOOSE($Q$6+1,$M$1,SUM(OFFSET($A$11,$B33-$O$5,$O$7,1,-$P$6))),IF(AL$11&lt;$D$7,OFFSET(INDIRECT($D$3),$A33-1,$Q$3+AL$11),OFFSET(INDIRECT($D$4),$A33-1,$Q$4+AL$11)))))))</f>
        <v/>
      </c>
      <c r="AM33" s="23" t="str">
        <f t="shared" ref="AM33:AM42" ca="1" si="88">IF(AM$11="","",IF(AM$13=$M$5,CHOOSE($Q$6+1,$M$1,AN33+AO33-AP33),IF(AM$13=$M$6,CHOOSE($Q$6+1,$M$1,OFFSET($A33,,$P$7-1)),IF(AM$13=$M$7,CHOOSE($Q$6+1,$M$1,SUM(OFFSET($A$11,$B33-$O$5,$O$6,1,-$P$6))),IF(AM$13=$M$8,CHOOSE($Q$6+1,$M$1,SUM(OFFSET($A$11,$B33-$O$5,$O$7,1,-$P$6))),IF(AM$11&lt;$D$7,OFFSET(INDIRECT($D$3),$A33-1,$Q$3+AM$11),OFFSET(INDIRECT($D$4),$A33-1,$Q$4+AM$11)))))))</f>
        <v/>
      </c>
      <c r="AN33" s="23" t="str">
        <f t="shared" ref="AN33:AN42" ca="1" si="89">IF(AN$11="","",IF(AN$13=$M$5,CHOOSE($Q$6+1,$M$1,AO33+AP33-AQ33),IF(AN$13=$M$6,CHOOSE($Q$6+1,$M$1,OFFSET($A33,,$P$7-1)),IF(AN$13=$M$7,CHOOSE($Q$6+1,$M$1,SUM(OFFSET($A$11,$B33-$O$5,$O$6,1,-$P$6))),IF(AN$13=$M$8,CHOOSE($Q$6+1,$M$1,SUM(OFFSET($A$11,$B33-$O$5,$O$7,1,-$P$6))),IF(AN$11&lt;$D$7,OFFSET(INDIRECT($D$3),$A33-1,$Q$3+AN$11),OFFSET(INDIRECT($D$4),$A33-1,$Q$4+AN$11)))))))</f>
        <v/>
      </c>
      <c r="AO33" s="23" t="str">
        <f t="shared" ref="AO33:AO42" ca="1" si="90">IF(AO$11="","",IF(AO$13=$M$5,CHOOSE($Q$6+1,$M$1,AP33+AQ33-AR33),IF(AO$13=$M$6,CHOOSE($Q$6+1,$M$1,OFFSET($A33,,$P$7-1)),IF(AO$13=$M$7,CHOOSE($Q$6+1,$M$1,SUM(OFFSET($A$11,$B33-$O$5,$O$6,1,-$P$6))),IF(AO$13=$M$8,CHOOSE($Q$6+1,$M$1,SUM(OFFSET($A$11,$B33-$O$5,$O$7,1,-$P$6))),IF(AO$11&lt;$D$7,OFFSET(INDIRECT($D$3),$A33-1,$Q$3+AO$11),OFFSET(INDIRECT($D$4),$A33-1,$Q$4+AO$11)))))))</f>
        <v/>
      </c>
      <c r="AP33" s="23" t="str">
        <f t="shared" ref="AP33:AP42" ca="1" si="91">IF(AP$11="","",IF(AP$13=$M$5,CHOOSE($Q$6+1,$M$1,AQ33+AR33-AS33),IF(AP$13=$M$6,CHOOSE($Q$6+1,$M$1,OFFSET($A33,,$P$7-1)),IF(AP$13=$M$7,CHOOSE($Q$6+1,$M$1,SUM(OFFSET($A$11,$B33-$O$5,$O$6,1,-$P$6))),IF(AP$13=$M$8,CHOOSE($Q$6+1,$M$1,SUM(OFFSET($A$11,$B33-$O$5,$O$7,1,-$P$6))),IF(AP$11&lt;$D$7,OFFSET(INDIRECT($D$3),$A33-1,$Q$3+AP$11),OFFSET(INDIRECT($D$4),$A33-1,$Q$4+AP$11)))))))</f>
        <v/>
      </c>
      <c r="AQ33" s="23" t="str">
        <f t="shared" ref="AQ33:AQ42" ca="1" si="92">IF(AQ$11="","",IF(AQ$13=$M$5,CHOOSE($Q$6+1,$M$1,AR33+AS33-AT33),IF(AQ$13=$M$6,CHOOSE($Q$6+1,$M$1,OFFSET($A33,,$P$7-1)),IF(AQ$13=$M$7,CHOOSE($Q$6+1,$M$1,SUM(OFFSET($A$11,$B33-$O$5,$O$6,1,-$P$6))),IF(AQ$13=$M$8,CHOOSE($Q$6+1,$M$1,SUM(OFFSET($A$11,$B33-$O$5,$O$7,1,-$P$6))),IF(AQ$11&lt;$D$7,OFFSET(INDIRECT($D$3),$A33-1,$Q$3+AQ$11),OFFSET(INDIRECT($D$4),$A33-1,$Q$4+AQ$11)))))))</f>
        <v/>
      </c>
      <c r="AR33" s="23" t="str">
        <f t="shared" ref="AR33:AR42" ca="1" si="93">IF(AR$11="","",IF(AR$13=$M$5,CHOOSE($Q$6+1,$M$1,AS33+AT33-AU33),IF(AR$13=$M$6,CHOOSE($Q$6+1,$M$1,OFFSET($A33,,$P$7-1)),IF(AR$13=$M$7,CHOOSE($Q$6+1,$M$1,SUM(OFFSET($A$11,$B33-$O$5,$O$6,1,-$P$6))),IF(AR$13=$M$8,CHOOSE($Q$6+1,$M$1,SUM(OFFSET($A$11,$B33-$O$5,$O$7,1,-$P$6))),IF(AR$11&lt;$D$7,OFFSET(INDIRECT($D$3),$A33-1,$Q$3+AR$11),OFFSET(INDIRECT($D$4),$A33-1,$Q$4+AR$11)))))))</f>
        <v/>
      </c>
      <c r="AS33" s="23" t="str">
        <f t="shared" ref="AS33:AS42" ca="1" si="94">IF(AS$11="","",IF(AS$13=$M$5,CHOOSE($Q$6+1,$M$1,AT33+AU33-AV33),IF(AS$13=$M$6,CHOOSE($Q$6+1,$M$1,OFFSET($A33,,$P$7-1)),IF(AS$13=$M$7,CHOOSE($Q$6+1,$M$1,SUM(OFFSET($A$11,$B33-$O$5,$O$6,1,-$P$6))),IF(AS$13=$M$8,CHOOSE($Q$6+1,$M$1,SUM(OFFSET($A$11,$B33-$O$5,$O$7,1,-$P$6))),IF(AS$11&lt;$D$7,OFFSET(INDIRECT($D$3),$A33-1,$Q$3+AS$11),OFFSET(INDIRECT($D$4),$A33-1,$Q$4+AS$11)))))))</f>
        <v/>
      </c>
      <c r="AT33" s="23" t="str">
        <f t="shared" ref="AT33:AT42" ca="1" si="95">IF(AT$11="","",IF(AT$13=$M$5,CHOOSE($Q$6+1,$M$1,AU33+AV33-AW33),IF(AT$13=$M$6,CHOOSE($Q$6+1,$M$1,OFFSET($A33,,$P$7-1)),IF(AT$13=$M$7,CHOOSE($Q$6+1,$M$1,SUM(OFFSET($A$11,$B33-$O$5,$O$6,1,-$P$6))),IF(AT$13=$M$8,CHOOSE($Q$6+1,$M$1,SUM(OFFSET($A$11,$B33-$O$5,$O$7,1,-$P$6))),IF(AT$11&lt;$D$7,OFFSET(INDIRECT($D$3),$A33-1,$Q$3+AT$11),OFFSET(INDIRECT($D$4),$A33-1,$Q$4+AT$11)))))))</f>
        <v/>
      </c>
      <c r="AU33" s="23" t="str">
        <f t="shared" ref="AU33:AU42" ca="1" si="96">IF(AU$11="","",IF(AU$13=$M$5,CHOOSE($Q$6+1,$M$1,AV33+AW33-AX33),IF(AU$13=$M$6,CHOOSE($Q$6+1,$M$1,OFFSET($A33,,$P$7-1)),IF(AU$13=$M$7,CHOOSE($Q$6+1,$M$1,SUM(OFFSET($A$11,$B33-$O$5,$O$6,1,-$P$6))),IF(AU$13=$M$8,CHOOSE($Q$6+1,$M$1,SUM(OFFSET($A$11,$B33-$O$5,$O$7,1,-$P$6))),IF(AU$11&lt;$D$7,OFFSET(INDIRECT($D$3),$A33-1,$Q$3+AU$11),OFFSET(INDIRECT($D$4),$A33-1,$Q$4+AU$11)))))))</f>
        <v/>
      </c>
      <c r="AV33" s="23" t="str">
        <f t="shared" ref="AV33:AV42" ca="1" si="97">IF(AV$11="","",IF(AV$13=$M$5,CHOOSE($Q$6+1,$M$1,AW33+AX33-AY33),IF(AV$13=$M$6,CHOOSE($Q$6+1,$M$1,OFFSET($A33,,$P$7-1)),IF(AV$13=$M$7,CHOOSE($Q$6+1,$M$1,SUM(OFFSET($A$11,$B33-$O$5,$O$6,1,-$P$6))),IF(AV$13=$M$8,CHOOSE($Q$6+1,$M$1,SUM(OFFSET($A$11,$B33-$O$5,$O$7,1,-$P$6))),IF(AV$11&lt;$D$7,OFFSET(INDIRECT($D$3),$A33-1,$Q$3+AV$11),OFFSET(INDIRECT($D$4),$A33-1,$Q$4+AV$11)))))))</f>
        <v/>
      </c>
      <c r="AW33" s="23" t="str">
        <f t="shared" ref="AW33:AW42" ca="1" si="98">IF(AW$11="","",IF(AW$13=$M$5,CHOOSE($Q$6+1,$M$1,AX33+AY33-AZ33),IF(AW$13=$M$6,CHOOSE($Q$6+1,$M$1,OFFSET($A33,,$P$7-1)),IF(AW$13=$M$7,CHOOSE($Q$6+1,$M$1,SUM(OFFSET($A$11,$B33-$O$5,$O$6,1,-$P$6))),IF(AW$13=$M$8,CHOOSE($Q$6+1,$M$1,SUM(OFFSET($A$11,$B33-$O$5,$O$7,1,-$P$6))),IF(AW$11&lt;$D$7,OFFSET(INDIRECT($D$3),$A33-1,$Q$3+AW$11),OFFSET(INDIRECT($D$4),$A33-1,$Q$4+AW$11)))))))</f>
        <v/>
      </c>
      <c r="AX33" s="23" t="str">
        <f t="shared" ref="AX33:AX42" ca="1" si="99">IF(AX$11="","",IF(AX$13=$M$5,CHOOSE($Q$6+1,$M$1,AY33+AZ33-BA33),IF(AX$13=$M$6,CHOOSE($Q$6+1,$M$1,OFFSET($A33,,$P$7-1)),IF(AX$13=$M$7,CHOOSE($Q$6+1,$M$1,SUM(OFFSET($A$11,$B33-$O$5,$O$6,1,-$P$6))),IF(AX$13=$M$8,CHOOSE($Q$6+1,$M$1,SUM(OFFSET($A$11,$B33-$O$5,$O$7,1,-$P$6))),IF(AX$11&lt;$D$7,OFFSET(INDIRECT($D$3),$A33-1,$Q$3+AX$11),OFFSET(INDIRECT($D$4),$A33-1,$Q$4+AX$11)))))))</f>
        <v/>
      </c>
      <c r="AY33" s="23" t="str">
        <f t="shared" ref="AY33:AY42" ca="1" si="100">IF(AY$11="","",IF(AY$13=$M$5,CHOOSE($Q$6+1,$M$1,AZ33+BA33-BB33),IF(AY$13=$M$6,CHOOSE($Q$6+1,$M$1,OFFSET($A33,,$P$7-1)),IF(AY$13=$M$7,CHOOSE($Q$6+1,$M$1,SUM(OFFSET($A$11,$B33-$O$5,$O$6,1,-$P$6))),IF(AY$13=$M$8,CHOOSE($Q$6+1,$M$1,SUM(OFFSET($A$11,$B33-$O$5,$O$7,1,-$P$6))),IF(AY$11&lt;$D$7,OFFSET(INDIRECT($D$3),$A33-1,$Q$3+AY$11),OFFSET(INDIRECT($D$4),$A33-1,$Q$4+AY$11)))))))</f>
        <v/>
      </c>
      <c r="AZ33" s="23" t="str">
        <f t="shared" ref="AZ33:AZ42" ca="1" si="101">IF(AZ$11="","",IF(AZ$13=$M$5,CHOOSE($Q$6+1,$M$1,BA33+BB33-BC33),IF(AZ$13=$M$6,CHOOSE($Q$6+1,$M$1,OFFSET($A33,,$P$7-1)),IF(AZ$13=$M$7,CHOOSE($Q$6+1,$M$1,SUM(OFFSET($A$11,$B33-$O$5,$O$6,1,-$P$6))),IF(AZ$13=$M$8,CHOOSE($Q$6+1,$M$1,SUM(OFFSET($A$11,$B33-$O$5,$O$7,1,-$P$6))),IF(AZ$11&lt;$D$7,OFFSET(INDIRECT($D$3),$A33-1,$Q$3+AZ$11),OFFSET(INDIRECT($D$4),$A33-1,$Q$4+AZ$11)))))))</f>
        <v/>
      </c>
      <c r="BA33" s="23" t="str">
        <f t="shared" ref="BA33:BA42" ca="1" si="102">IF(BA$11="","",IF(BA$13=$M$5,CHOOSE($Q$6+1,$M$1,BB33+BC33-BD33),IF(BA$13=$M$6,CHOOSE($Q$6+1,$M$1,OFFSET($A33,,$P$7-1)),IF(BA$13=$M$7,CHOOSE($Q$6+1,$M$1,SUM(OFFSET($A$11,$B33-$O$5,$O$6,1,-$P$6))),IF(BA$13=$M$8,CHOOSE($Q$6+1,$M$1,SUM(OFFSET($A$11,$B33-$O$5,$O$7,1,-$P$6))),IF(BA$11&lt;$D$7,OFFSET(INDIRECT($D$3),$A33-1,$Q$3+BA$11),OFFSET(INDIRECT($D$4),$A33-1,$Q$4+BA$11)))))))</f>
        <v/>
      </c>
      <c r="BB33" s="23" t="str">
        <f t="shared" ref="BB33:BB42" ca="1" si="103">IF(BB$11="","",IF(BB$13=$M$5,CHOOSE($Q$6+1,$M$1,BC33+BD33-BE33),IF(BB$13=$M$6,CHOOSE($Q$6+1,$M$1,OFFSET($A33,,$P$7-1)),IF(BB$13=$M$7,CHOOSE($Q$6+1,$M$1,SUM(OFFSET($A$11,$B33-$O$5,$O$6,1,-$P$6))),IF(BB$13=$M$8,CHOOSE($Q$6+1,$M$1,SUM(OFFSET($A$11,$B33-$O$5,$O$7,1,-$P$6))),IF(BB$11&lt;$D$7,OFFSET(INDIRECT($D$3),$A33-1,$Q$3+BB$11),OFFSET(INDIRECT($D$4),$A33-1,$Q$4+BB$11)))))))</f>
        <v/>
      </c>
      <c r="BC33" s="23" t="str">
        <f t="shared" ref="BC33:BC42" ca="1" si="104">IF(BC$11="","",IF(BC$13=$M$5,CHOOSE($Q$6+1,$M$1,BD33+BE33-BF33),IF(BC$13=$M$6,CHOOSE($Q$6+1,$M$1,OFFSET($A33,,$P$7-1)),IF(BC$13=$M$7,CHOOSE($Q$6+1,$M$1,SUM(OFFSET($A$11,$B33-$O$5,$O$6,1,-$P$6))),IF(BC$13=$M$8,CHOOSE($Q$6+1,$M$1,SUM(OFFSET($A$11,$B33-$O$5,$O$7,1,-$P$6))),IF(BC$11&lt;$D$7,OFFSET(INDIRECT($D$3),$A33-1,$Q$3+BC$11),OFFSET(INDIRECT($D$4),$A33-1,$Q$4+BC$11)))))))</f>
        <v/>
      </c>
      <c r="BD33" s="23" t="str">
        <f t="shared" ref="BD33:BD42" ca="1" si="105">IF(BD$11="","",IF(BD$13=$M$5,CHOOSE($Q$6+1,$M$1,BE33+BF33-BG33),IF(BD$13=$M$6,CHOOSE($Q$6+1,$M$1,OFFSET($A33,,$P$7-1)),IF(BD$13=$M$7,CHOOSE($Q$6+1,$M$1,SUM(OFFSET($A$11,$B33-$O$5,$O$6,1,-$P$6))),IF(BD$13=$M$8,CHOOSE($Q$6+1,$M$1,SUM(OFFSET($A$11,$B33-$O$5,$O$7,1,-$P$6))),IF(BD$11&lt;$D$7,OFFSET(INDIRECT($D$3),$A33-1,$Q$3+BD$11),OFFSET(INDIRECT($D$4),$A33-1,$Q$4+BD$11)))))))</f>
        <v/>
      </c>
      <c r="BE33" s="23" t="str">
        <f t="shared" ref="BE33:BE42" ca="1" si="106">IF(BE$11="","",IF(BE$13=$M$5,CHOOSE($Q$6+1,$M$1,BF33+BG33-BH33),IF(BE$13=$M$6,CHOOSE($Q$6+1,$M$1,OFFSET($A33,,$P$7-1)),IF(BE$13=$M$7,CHOOSE($Q$6+1,$M$1,SUM(OFFSET($A$11,$B33-$O$5,$O$6,1,-$P$6))),IF(BE$13=$M$8,CHOOSE($Q$6+1,$M$1,SUM(OFFSET($A$11,$B33-$O$5,$O$7,1,-$P$6))),IF(BE$11&lt;$D$7,OFFSET(INDIRECT($D$3),$A33-1,$Q$3+BE$11),OFFSET(INDIRECT($D$4),$A33-1,$Q$4+BE$11)))))))</f>
        <v/>
      </c>
      <c r="BF33" s="23" t="str">
        <f t="shared" ref="BF33:BF42" ca="1" si="107">IF(BF$11="","",IF(BF$13=$M$5,CHOOSE($Q$6+1,$M$1,BG33+BH33-BI33),IF(BF$13=$M$6,CHOOSE($Q$6+1,$M$1,OFFSET($A33,,$P$7-1)),IF(BF$13=$M$7,CHOOSE($Q$6+1,$M$1,SUM(OFFSET($A$11,$B33-$O$5,$O$6,1,-$P$6))),IF(BF$13=$M$8,CHOOSE($Q$6+1,$M$1,SUM(OFFSET($A$11,$B33-$O$5,$O$7,1,-$P$6))),IF(BF$11&lt;$D$7,OFFSET(INDIRECT($D$3),$A33-1,$Q$3+BF$11),OFFSET(INDIRECT($D$4),$A33-1,$Q$4+BF$11)))))))</f>
        <v/>
      </c>
      <c r="BG33" s="23" t="str">
        <f t="shared" ref="BG33:BG42" ca="1" si="108">IF(BG$11="","",IF(BG$13=$M$5,CHOOSE($Q$6+1,$M$1,BH33+BI33-BJ33),IF(BG$13=$M$6,CHOOSE($Q$6+1,$M$1,OFFSET($A33,,$P$7-1)),IF(BG$13=$M$7,CHOOSE($Q$6+1,$M$1,SUM(OFFSET($A$11,$B33-$O$5,$O$6,1,-$P$6))),IF(BG$13=$M$8,CHOOSE($Q$6+1,$M$1,SUM(OFFSET($A$11,$B33-$O$5,$O$7,1,-$P$6))),IF(BG$11&lt;$D$7,OFFSET(INDIRECT($D$3),$A33-1,$Q$3+BG$11),OFFSET(INDIRECT($D$4),$A33-1,$Q$4+BG$11)))))))</f>
        <v/>
      </c>
      <c r="BH33" s="23" t="str">
        <f t="shared" ref="BH33:BH42" ca="1" si="109">IF(BH$11="","",IF(BH$13=$M$5,CHOOSE($Q$6+1,$M$1,BI33+BJ33-BK33),IF(BH$13=$M$6,CHOOSE($Q$6+1,$M$1,OFFSET($A33,,$P$7-1)),IF(BH$13=$M$7,CHOOSE($Q$6+1,$M$1,SUM(OFFSET($A$11,$B33-$O$5,$O$6,1,-$P$6))),IF(BH$13=$M$8,CHOOSE($Q$6+1,$M$1,SUM(OFFSET($A$11,$B33-$O$5,$O$7,1,-$P$6))),IF(BH$11&lt;$D$7,OFFSET(INDIRECT($D$3),$A33-1,$Q$3+BH$11),OFFSET(INDIRECT($D$4),$A33-1,$Q$4+BH$11)))))))</f>
        <v/>
      </c>
      <c r="BI33" s="23" t="str">
        <f t="shared" ref="BI33:BI42" ca="1" si="110">IF(BI$11="","",IF(BI$13=$M$5,CHOOSE($Q$6+1,$M$1,BJ33+BK33-BL33),IF(BI$13=$M$6,CHOOSE($Q$6+1,$M$1,OFFSET($A33,,$P$7-1)),IF(BI$13=$M$7,CHOOSE($Q$6+1,$M$1,SUM(OFFSET($A$11,$B33-$O$5,$O$6,1,-$P$6))),IF(BI$13=$M$8,CHOOSE($Q$6+1,$M$1,SUM(OFFSET($A$11,$B33-$O$5,$O$7,1,-$P$6))),IF(BI$11&lt;$D$7,OFFSET(INDIRECT($D$3),$A33-1,$Q$3+BI$11),OFFSET(INDIRECT($D$4),$A33-1,$Q$4+BI$11)))))))</f>
        <v/>
      </c>
      <c r="BJ33" s="23" t="str">
        <f t="shared" ref="BJ33:BJ42" ca="1" si="111">IF(BJ$11="","",IF(BJ$13=$M$5,CHOOSE($Q$6+1,$M$1,BK33+BL33-BM33),IF(BJ$13=$M$6,CHOOSE($Q$6+1,$M$1,OFFSET($A33,,$P$7-1)),IF(BJ$13=$M$7,CHOOSE($Q$6+1,$M$1,SUM(OFFSET($A$11,$B33-$O$5,$O$6,1,-$P$6))),IF(BJ$13=$M$8,CHOOSE($Q$6+1,$M$1,SUM(OFFSET($A$11,$B33-$O$5,$O$7,1,-$P$6))),IF(BJ$11&lt;$D$7,OFFSET(INDIRECT($D$3),$A33-1,$Q$3+BJ$11),OFFSET(INDIRECT($D$4),$A33-1,$Q$4+BJ$11)))))))</f>
        <v/>
      </c>
      <c r="BK33" s="23" t="str">
        <f t="shared" ref="BK33:BK42" ca="1" si="112">IF(BK$11="","",IF(BK$13=$M$5,CHOOSE($Q$6+1,$M$1,BL33+BM33-BN33),IF(BK$13=$M$6,CHOOSE($Q$6+1,$M$1,OFFSET($A33,,$P$7-1)),IF(BK$13=$M$7,CHOOSE($Q$6+1,$M$1,SUM(OFFSET($A$11,$B33-$O$5,$O$6,1,-$P$6))),IF(BK$13=$M$8,CHOOSE($Q$6+1,$M$1,SUM(OFFSET($A$11,$B33-$O$5,$O$7,1,-$P$6))),IF(BK$11&lt;$D$7,OFFSET(INDIRECT($D$3),$A33-1,$Q$3+BK$11),OFFSET(INDIRECT($D$4),$A33-1,$Q$4+BK$11)))))))</f>
        <v/>
      </c>
      <c r="BL33" s="23" t="str">
        <f t="shared" ref="BL33:BL42" ca="1" si="113">IF(BL$11="","",IF(BL$13=$M$5,CHOOSE($Q$6+1,$M$1,BM33+BN33-BO33),IF(BL$13=$M$6,CHOOSE($Q$6+1,$M$1,OFFSET($A33,,$P$7-1)),IF(BL$13=$M$7,CHOOSE($Q$6+1,$M$1,SUM(OFFSET($A$11,$B33-$O$5,$O$6,1,-$P$6))),IF(BL$13=$M$8,CHOOSE($Q$6+1,$M$1,SUM(OFFSET($A$11,$B33-$O$5,$O$7,1,-$P$6))),IF(BL$11&lt;$D$7,OFFSET(INDIRECT($D$3),$A33-1,$Q$3+BL$11),OFFSET(INDIRECT($D$4),$A33-1,$Q$4+BL$11)))))))</f>
        <v/>
      </c>
      <c r="BM33" s="23" t="str">
        <f t="shared" ref="BM33:BM42" ca="1" si="114">IF(BM$11="","",IF(BM$13=$M$5,CHOOSE($Q$6+1,$M$1,BN33+BO33-BP33),IF(BM$13=$M$6,CHOOSE($Q$6+1,$M$1,OFFSET($A33,,$P$7-1)),IF(BM$13=$M$7,CHOOSE($Q$6+1,$M$1,SUM(OFFSET($A$11,$B33-$O$5,$O$6,1,-$P$6))),IF(BM$13=$M$8,CHOOSE($Q$6+1,$M$1,SUM(OFFSET($A$11,$B33-$O$5,$O$7,1,-$P$6))),IF(BM$11&lt;$D$7,OFFSET(INDIRECT($D$3),$A33-1,$Q$3+BM$11),OFFSET(INDIRECT($D$4),$A33-1,$Q$4+BM$11)))))))</f>
        <v/>
      </c>
      <c r="BN33" s="23" t="str">
        <f t="shared" ref="BN33:BN42" ca="1" si="115">IF(BN$11="","",IF(BN$13=$M$5,CHOOSE($Q$6+1,$M$1,BO33+BP33-BQ33),IF(BN$13=$M$6,CHOOSE($Q$6+1,$M$1,OFFSET($A33,,$P$7-1)),IF(BN$13=$M$7,CHOOSE($Q$6+1,$M$1,SUM(OFFSET($A$11,$B33-$O$5,$O$6,1,-$P$6))),IF(BN$13=$M$8,CHOOSE($Q$6+1,$M$1,SUM(OFFSET($A$11,$B33-$O$5,$O$7,1,-$P$6))),IF(BN$11&lt;$D$7,OFFSET(INDIRECT($D$3),$A33-1,$Q$3+BN$11),OFFSET(INDIRECT($D$4),$A33-1,$Q$4+BN$11)))))))</f>
        <v/>
      </c>
      <c r="BO33" s="23" t="str">
        <f t="shared" ref="BO33:BO42" ca="1" si="116">IF(BO$11="","",IF(BO$13=$M$5,CHOOSE($Q$6+1,$M$1,BP33+BQ33-BR33),IF(BO$13=$M$6,CHOOSE($Q$6+1,$M$1,OFFSET($A33,,$P$7-1)),IF(BO$13=$M$7,CHOOSE($Q$6+1,$M$1,SUM(OFFSET($A$11,$B33-$O$5,$O$6,1,-$P$6))),IF(BO$13=$M$8,CHOOSE($Q$6+1,$M$1,SUM(OFFSET($A$11,$B33-$O$5,$O$7,1,-$P$6))),IF(BO$11&lt;$D$7,OFFSET(INDIRECT($D$3),$A33-1,$Q$3+BO$11),OFFSET(INDIRECT($D$4),$A33-1,$Q$4+BO$11)))))))</f>
        <v/>
      </c>
      <c r="BP33" s="23" t="str">
        <f t="shared" ref="BP33:BP42" ca="1" si="117">IF(BP$11="","",IF(BP$13=$M$5,CHOOSE($Q$6+1,$M$1,BQ33+BR33-BS33),IF(BP$13=$M$6,CHOOSE($Q$6+1,$M$1,OFFSET($A33,,$P$7-1)),IF(BP$13=$M$7,CHOOSE($Q$6+1,$M$1,SUM(OFFSET($A$11,$B33-$O$5,$O$6,1,-$P$6))),IF(BP$13=$M$8,CHOOSE($Q$6+1,$M$1,SUM(OFFSET($A$11,$B33-$O$5,$O$7,1,-$P$6))),IF(BP$11&lt;$D$7,OFFSET(INDIRECT($D$3),$A33-1,$Q$3+BP$11),OFFSET(INDIRECT($D$4),$A33-1,$Q$4+BP$11)))))))</f>
        <v/>
      </c>
      <c r="BQ33" s="23" t="str">
        <f t="shared" ref="BQ33:BQ42" ca="1" si="118">IF(BQ$11="","",IF(BQ$13=$M$5,CHOOSE($Q$6+1,$M$1,BR33+BS33-BT33),IF(BQ$13=$M$6,CHOOSE($Q$6+1,$M$1,OFFSET($A33,,$P$7-1)),IF(BQ$13=$M$7,CHOOSE($Q$6+1,$M$1,SUM(OFFSET($A$11,$B33-$O$5,$O$6,1,-$P$6))),IF(BQ$13=$M$8,CHOOSE($Q$6+1,$M$1,SUM(OFFSET($A$11,$B33-$O$5,$O$7,1,-$P$6))),IF(BQ$11&lt;$D$7,OFFSET(INDIRECT($D$3),$A33-1,$Q$3+BQ$11),OFFSET(INDIRECT($D$4),$A33-1,$Q$4+BQ$11)))))))</f>
        <v/>
      </c>
      <c r="BR33" s="23" t="str">
        <f t="shared" ref="BR33:BR42" ca="1" si="119">IF(BR$11="","",IF(BR$13=$M$5,CHOOSE($Q$6+1,$M$1,BS33+BT33-BU33),IF(BR$13=$M$6,CHOOSE($Q$6+1,$M$1,OFFSET($A33,,$P$7-1)),IF(BR$13=$M$7,CHOOSE($Q$6+1,$M$1,SUM(OFFSET($A$11,$B33-$O$5,$O$6,1,-$P$6))),IF(BR$13=$M$8,CHOOSE($Q$6+1,$M$1,SUM(OFFSET($A$11,$B33-$O$5,$O$7,1,-$P$6))),IF(BR$11&lt;$D$7,OFFSET(INDIRECT($D$3),$A33-1,$Q$3+BR$11),OFFSET(INDIRECT($D$4),$A33-1,$Q$4+BR$11)))))))</f>
        <v/>
      </c>
      <c r="BS33" s="23" t="str">
        <f t="shared" ref="BS33:BS42" ca="1" si="120">IF(BS$11="","",IF(BS$13=$M$5,CHOOSE($Q$6+1,$M$1,BT33+BU33-BV33),IF(BS$13=$M$6,CHOOSE($Q$6+1,$M$1,OFFSET($A33,,$P$7-1)),IF(BS$13=$M$7,CHOOSE($Q$6+1,$M$1,SUM(OFFSET($A$11,$B33-$O$5,$O$6,1,-$P$6))),IF(BS$13=$M$8,CHOOSE($Q$6+1,$M$1,SUM(OFFSET($A$11,$B33-$O$5,$O$7,1,-$P$6))),IF(BS$11&lt;$D$7,OFFSET(INDIRECT($D$3),$A33-1,$Q$3+BS$11),OFFSET(INDIRECT($D$4),$A33-1,$Q$4+BS$11)))))))</f>
        <v/>
      </c>
      <c r="BT33" s="23" t="str">
        <f t="shared" ref="BT33:BT42" ca="1" si="121">IF(BT$11="","",IF(BT$13=$M$5,CHOOSE($Q$6+1,$M$1,BU33+BV33-BW33),IF(BT$13=$M$6,CHOOSE($Q$6+1,$M$1,OFFSET($A33,,$P$7-1)),IF(BT$13=$M$7,CHOOSE($Q$6+1,$M$1,SUM(OFFSET($A$11,$B33-$O$5,$O$6,1,-$P$6))),IF(BT$13=$M$8,CHOOSE($Q$6+1,$M$1,SUM(OFFSET($A$11,$B33-$O$5,$O$7,1,-$P$6))),IF(BT$11&lt;$D$7,OFFSET(INDIRECT($D$3),$A33-1,$Q$3+BT$11),OFFSET(INDIRECT($D$4),$A33-1,$Q$4+BT$11)))))))</f>
        <v/>
      </c>
      <c r="BU33" s="23" t="str">
        <f t="shared" ref="BU33:BU42" ca="1" si="122">IF(BU$11="","",IF(BU$13=$M$5,CHOOSE($Q$6+1,$M$1,BV33+BW33-BX33),IF(BU$13=$M$6,CHOOSE($Q$6+1,$M$1,OFFSET($A33,,$P$7-1)),IF(BU$13=$M$7,CHOOSE($Q$6+1,$M$1,SUM(OFFSET($A$11,$B33-$O$5,$O$6,1,-$P$6))),IF(BU$13=$M$8,CHOOSE($Q$6+1,$M$1,SUM(OFFSET($A$11,$B33-$O$5,$O$7,1,-$P$6))),IF(BU$11&lt;$D$7,OFFSET(INDIRECT($D$3),$A33-1,$Q$3+BU$11),OFFSET(INDIRECT($D$4),$A33-1,$Q$4+BU$11)))))))</f>
        <v/>
      </c>
      <c r="BV33" s="23" t="str">
        <f t="shared" ref="BV33:BV42" ca="1" si="123">IF(BV$11="","",IF(BV$13=$M$5,CHOOSE($Q$6+1,$M$1,BW33+BX33-BY33),IF(BV$13=$M$6,CHOOSE($Q$6+1,$M$1,OFFSET($A33,,$P$7-1)),IF(BV$13=$M$7,CHOOSE($Q$6+1,$M$1,SUM(OFFSET($A$11,$B33-$O$5,$O$6,1,-$P$6))),IF(BV$13=$M$8,CHOOSE($Q$6+1,$M$1,SUM(OFFSET($A$11,$B33-$O$5,$O$7,1,-$P$6))),IF(BV$11&lt;$D$7,OFFSET(INDIRECT($D$3),$A33-1,$Q$3+BV$11),OFFSET(INDIRECT($D$4),$A33-1,$Q$4+BV$11)))))))</f>
        <v/>
      </c>
      <c r="BW33" s="23" t="str">
        <f t="shared" ref="BW33:BW42" ca="1" si="124">IF(BW$11="","",IF(BW$13=$M$5,CHOOSE($Q$6+1,$M$1,BX33+BY33-BZ33),IF(BW$13=$M$6,CHOOSE($Q$6+1,$M$1,OFFSET($A33,,$P$7-1)),IF(BW$13=$M$7,CHOOSE($Q$6+1,$M$1,SUM(OFFSET($A$11,$B33-$O$5,$O$6,1,-$P$6))),IF(BW$13=$M$8,CHOOSE($Q$6+1,$M$1,SUM(OFFSET($A$11,$B33-$O$5,$O$7,1,-$P$6))),IF(BW$11&lt;$D$7,OFFSET(INDIRECT($D$3),$A33-1,$Q$3+BW$11),OFFSET(INDIRECT($D$4),$A33-1,$Q$4+BW$11)))))))</f>
        <v/>
      </c>
      <c r="BX33" s="23" t="str">
        <f t="shared" ref="BX33:BX42" ca="1" si="125">IF(BX$11="","",IF(BX$13=$M$5,CHOOSE($Q$6+1,$M$1,BY33+BZ33-CA33),IF(BX$13=$M$6,CHOOSE($Q$6+1,$M$1,OFFSET($A33,,$P$7-1)),IF(BX$13=$M$7,CHOOSE($Q$6+1,$M$1,SUM(OFFSET($A$11,$B33-$O$5,$O$6,1,-$P$6))),IF(BX$13=$M$8,CHOOSE($Q$6+1,$M$1,SUM(OFFSET($A$11,$B33-$O$5,$O$7,1,-$P$6))),IF(BX$11&lt;$D$7,OFFSET(INDIRECT($D$3),$A33-1,$Q$3+BX$11),OFFSET(INDIRECT($D$4),$A33-1,$Q$4+BX$11)))))))</f>
        <v/>
      </c>
      <c r="BY33" s="23" t="str">
        <f t="shared" ref="BY33:BY42" ca="1" si="126">IF(BY$11="","",IF(BY$13=$M$5,CHOOSE($Q$6+1,$M$1,BZ33+CA33-CB33),IF(BY$13=$M$6,CHOOSE($Q$6+1,$M$1,OFFSET($A33,,$P$7-1)),IF(BY$13=$M$7,CHOOSE($Q$6+1,$M$1,SUM(OFFSET($A$11,$B33-$O$5,$O$6,1,-$P$6))),IF(BY$13=$M$8,CHOOSE($Q$6+1,$M$1,SUM(OFFSET($A$11,$B33-$O$5,$O$7,1,-$P$6))),IF(BY$11&lt;$D$7,OFFSET(INDIRECT($D$3),$A33-1,$Q$3+BY$11),OFFSET(INDIRECT($D$4),$A33-1,$Q$4+BY$11)))))))</f>
        <v/>
      </c>
      <c r="BZ33" s="23" t="str">
        <f t="shared" ref="BZ33:BZ42" ca="1" si="127">IF(BZ$11="","",IF(BZ$13=$M$5,CHOOSE($Q$6+1,$M$1,CA33+CB33-CC33),IF(BZ$13=$M$6,CHOOSE($Q$6+1,$M$1,OFFSET($A33,,$P$7-1)),IF(BZ$13=$M$7,CHOOSE($Q$6+1,$M$1,SUM(OFFSET($A$11,$B33-$O$5,$O$6,1,-$P$6))),IF(BZ$13=$M$8,CHOOSE($Q$6+1,$M$1,SUM(OFFSET($A$11,$B33-$O$5,$O$7,1,-$P$6))),IF(BZ$11&lt;$D$7,OFFSET(INDIRECT($D$3),$A33-1,$Q$3+BZ$11),OFFSET(INDIRECT($D$4),$A33-1,$Q$4+BZ$11)))))))</f>
        <v/>
      </c>
      <c r="CA33" s="23" t="str">
        <f t="shared" ref="CA33:CA42" ca="1" si="128">IF(CA$11="","",IF(CA$13=$M$5,CHOOSE($Q$6+1,$M$1,CB33+CC33-CD33),IF(CA$13=$M$6,CHOOSE($Q$6+1,$M$1,OFFSET($A33,,$P$7-1)),IF(CA$13=$M$7,CHOOSE($Q$6+1,$M$1,SUM(OFFSET($A$11,$B33-$O$5,$O$6,1,-$P$6))),IF(CA$13=$M$8,CHOOSE($Q$6+1,$M$1,SUM(OFFSET($A$11,$B33-$O$5,$O$7,1,-$P$6))),IF(CA$11&lt;$D$7,OFFSET(INDIRECT($D$3),$A33-1,$Q$3+CA$11),OFFSET(INDIRECT($D$4),$A33-1,$Q$4+CA$11)))))))</f>
        <v/>
      </c>
      <c r="CB33" s="23" t="str">
        <f t="shared" ref="CB33:CB42" ca="1" si="129">IF(CB$11="","",IF(CB$13=$M$5,CHOOSE($Q$6+1,$M$1,CC33+CD33-CE33),IF(CB$13=$M$6,CHOOSE($Q$6+1,$M$1,OFFSET($A33,,$P$7-1)),IF(CB$13=$M$7,CHOOSE($Q$6+1,$M$1,SUM(OFFSET($A$11,$B33-$O$5,$O$6,1,-$P$6))),IF(CB$13=$M$8,CHOOSE($Q$6+1,$M$1,SUM(OFFSET($A$11,$B33-$O$5,$O$7,1,-$P$6))),IF(CB$11&lt;$D$7,OFFSET(INDIRECT($D$3),$A33-1,$Q$3+CB$11),OFFSET(INDIRECT($D$4),$A33-1,$Q$4+CB$11)))))))</f>
        <v/>
      </c>
      <c r="CC33" s="23" t="str">
        <f t="shared" ref="CC33:CC42" ca="1" si="130">IF(CC$11="","",IF(CC$13=$M$5,CHOOSE($Q$6+1,$M$1,CD33+CE33-CF33),IF(CC$13=$M$6,CHOOSE($Q$6+1,$M$1,OFFSET($A33,,$P$7-1)),IF(CC$13=$M$7,CHOOSE($Q$6+1,$M$1,SUM(OFFSET($A$11,$B33-$O$5,$O$6,1,-$P$6))),IF(CC$13=$M$8,CHOOSE($Q$6+1,$M$1,SUM(OFFSET($A$11,$B33-$O$5,$O$7,1,-$P$6))),IF(CC$11&lt;$D$7,OFFSET(INDIRECT($D$3),$A33-1,$Q$3+CC$11),OFFSET(INDIRECT($D$4),$A33-1,$Q$4+CC$11)))))))</f>
        <v/>
      </c>
      <c r="CD33" s="23" t="str">
        <f t="shared" ref="CD33:CD42" ca="1" si="131">IF(CD$11="","",IF(CD$13=$M$5,CHOOSE($Q$6+1,$M$1,CE33+CF33-CG33),IF(CD$13=$M$6,CHOOSE($Q$6+1,$M$1,OFFSET($A33,,$P$7-1)),IF(CD$13=$M$7,CHOOSE($Q$6+1,$M$1,SUM(OFFSET($A$11,$B33-$O$5,$O$6,1,-$P$6))),IF(CD$13=$M$8,CHOOSE($Q$6+1,$M$1,SUM(OFFSET($A$11,$B33-$O$5,$O$7,1,-$P$6))),IF(CD$11&lt;$D$7,OFFSET(INDIRECT($D$3),$A33-1,$Q$3+CD$11),OFFSET(INDIRECT($D$4),$A33-1,$Q$4+CD$11)))))))</f>
        <v/>
      </c>
      <c r="CE33" s="23" t="str">
        <f t="shared" ref="CE33:CE42" ca="1" si="132">IF(CE$11="","",IF(CE$13=$M$5,CHOOSE($Q$6+1,$M$1,CF33+CG33-CH33),IF(CE$13=$M$6,CHOOSE($Q$6+1,$M$1,OFFSET($A33,,$P$7-1)),IF(CE$13=$M$7,CHOOSE($Q$6+1,$M$1,SUM(OFFSET($A$11,$B33-$O$5,$O$6,1,-$P$6))),IF(CE$13=$M$8,CHOOSE($Q$6+1,$M$1,SUM(OFFSET($A$11,$B33-$O$5,$O$7,1,-$P$6))),IF(CE$11&lt;$D$7,OFFSET(INDIRECT($D$3),$A33-1,$Q$3+CE$11),OFFSET(INDIRECT($D$4),$A33-1,$Q$4+CE$11)))))))</f>
        <v/>
      </c>
      <c r="CF33" s="23" t="str">
        <f t="shared" ref="CF33:CF42" ca="1" si="133">IF(CF$11="","",IF(CF$13=$M$5,CHOOSE($Q$6+1,$M$1,CG33+CH33-CI33),IF(CF$13=$M$6,CHOOSE($Q$6+1,$M$1,OFFSET($A33,,$P$7-1)),IF(CF$13=$M$7,CHOOSE($Q$6+1,$M$1,SUM(OFFSET($A$11,$B33-$O$5,$O$6,1,-$P$6))),IF(CF$13=$M$8,CHOOSE($Q$6+1,$M$1,SUM(OFFSET($A$11,$B33-$O$5,$O$7,1,-$P$6))),IF(CF$11&lt;$D$7,OFFSET(INDIRECT($D$3),$A33-1,$Q$3+CF$11),OFFSET(INDIRECT($D$4),$A33-1,$Q$4+CF$11)))))))</f>
        <v/>
      </c>
      <c r="CG33" s="23" t="str">
        <f t="shared" ref="CG33:CG42" ca="1" si="134">IF(CG$11="","",IF(CG$13=$M$5,CHOOSE($Q$6+1,$M$1,CH33+CI33-CJ33),IF(CG$13=$M$6,CHOOSE($Q$6+1,$M$1,OFFSET($A33,,$P$7-1)),IF(CG$13=$M$7,CHOOSE($Q$6+1,$M$1,SUM(OFFSET($A$11,$B33-$O$5,$O$6,1,-$P$6))),IF(CG$13=$M$8,CHOOSE($Q$6+1,$M$1,SUM(OFFSET($A$11,$B33-$O$5,$O$7,1,-$P$6))),IF(CG$11&lt;$D$7,OFFSET(INDIRECT($D$3),$A33-1,$Q$3+CG$11),OFFSET(INDIRECT($D$4),$A33-1,$Q$4+CG$11)))))))</f>
        <v/>
      </c>
      <c r="CH33" s="23" t="str">
        <f t="shared" ref="CH33:CH42" ca="1" si="135">IF(CH$11="","",IF(CH$13=$M$5,CHOOSE($Q$6+1,$M$1,CI33+CJ33-CK33),IF(CH$13=$M$6,CHOOSE($Q$6+1,$M$1,OFFSET($A33,,$P$7-1)),IF(CH$13=$M$7,CHOOSE($Q$6+1,$M$1,SUM(OFFSET($A$11,$B33-$O$5,$O$6,1,-$P$6))),IF(CH$13=$M$8,CHOOSE($Q$6+1,$M$1,SUM(OFFSET($A$11,$B33-$O$5,$O$7,1,-$P$6))),IF(CH$11&lt;$D$7,OFFSET(INDIRECT($D$3),$A33-1,$Q$3+CH$11),OFFSET(INDIRECT($D$4),$A33-1,$Q$4+CH$11)))))))</f>
        <v/>
      </c>
      <c r="CI33" s="23" t="str">
        <f t="shared" ref="CI33:CI42" ca="1" si="136">IF(CI$11="","",IF(CI$13=$M$5,CHOOSE($Q$6+1,$M$1,CJ33+CK33-CL33),IF(CI$13=$M$6,CHOOSE($Q$6+1,$M$1,OFFSET($A33,,$P$7-1)),IF(CI$13=$M$7,CHOOSE($Q$6+1,$M$1,SUM(OFFSET($A$11,$B33-$O$5,$O$6,1,-$P$6))),IF(CI$13=$M$8,CHOOSE($Q$6+1,$M$1,SUM(OFFSET($A$11,$B33-$O$5,$O$7,1,-$P$6))),IF(CI$11&lt;$D$7,OFFSET(INDIRECT($D$3),$A33-1,$Q$3+CI$11),OFFSET(INDIRECT($D$4),$A33-1,$Q$4+CI$11)))))))</f>
        <v/>
      </c>
      <c r="CJ33" s="23" t="str">
        <f t="shared" ref="CJ33:CJ42" ca="1" si="137">IF(CJ$11="","",IF(CJ$13=$M$5,CHOOSE($Q$6+1,$M$1,CK33+CL33-CM33),IF(CJ$13=$M$6,CHOOSE($Q$6+1,$M$1,OFFSET($A33,,$P$7-1)),IF(CJ$13=$M$7,CHOOSE($Q$6+1,$M$1,SUM(OFFSET($A$11,$B33-$O$5,$O$6,1,-$P$6))),IF(CJ$13=$M$8,CHOOSE($Q$6+1,$M$1,SUM(OFFSET($A$11,$B33-$O$5,$O$7,1,-$P$6))),IF(CJ$11&lt;$D$7,OFFSET(INDIRECT($D$3),$A33-1,$Q$3+CJ$11),OFFSET(INDIRECT($D$4),$A33-1,$Q$4+CJ$11)))))))</f>
        <v/>
      </c>
      <c r="CK33" s="23" t="str">
        <f t="shared" ref="CK33:CK42" ca="1" si="138">IF(CK$11="","",IF(CK$13=$M$5,CHOOSE($Q$6+1,$M$1,CL33+CM33-CN33),IF(CK$13=$M$6,CHOOSE($Q$6+1,$M$1,OFFSET($A33,,$P$7-1)),IF(CK$13=$M$7,CHOOSE($Q$6+1,$M$1,SUM(OFFSET($A$11,$B33-$O$5,$O$6,1,-$P$6))),IF(CK$13=$M$8,CHOOSE($Q$6+1,$M$1,SUM(OFFSET($A$11,$B33-$O$5,$O$7,1,-$P$6))),IF(CK$11&lt;$D$7,OFFSET(INDIRECT($D$3),$A33-1,$Q$3+CK$11),OFFSET(INDIRECT($D$4),$A33-1,$Q$4+CK$11)))))))</f>
        <v/>
      </c>
      <c r="CL33" s="23" t="str">
        <f t="shared" ref="CL33:CL42" ca="1" si="139">IF(CL$11="","",IF(CL$13=$M$5,CHOOSE($Q$6+1,$M$1,CM33+CN33-CO33),IF(CL$13=$M$6,CHOOSE($Q$6+1,$M$1,OFFSET($A33,,$P$7-1)),IF(CL$13=$M$7,CHOOSE($Q$6+1,$M$1,SUM(OFFSET($A$11,$B33-$O$5,$O$6,1,-$P$6))),IF(CL$13=$M$8,CHOOSE($Q$6+1,$M$1,SUM(OFFSET($A$11,$B33-$O$5,$O$7,1,-$P$6))),IF(CL$11&lt;$D$7,OFFSET(INDIRECT($D$3),$A33-1,$Q$3+CL$11),OFFSET(INDIRECT($D$4),$A33-1,$Q$4+CL$11)))))))</f>
        <v/>
      </c>
      <c r="CM33" s="23" t="str">
        <f t="shared" ref="CM33:CM42" ca="1" si="140">IF(CM$11="","",IF(CM$13=$M$5,CHOOSE($Q$6+1,$M$1,CN33+CO33-CP33),IF(CM$13=$M$6,CHOOSE($Q$6+1,$M$1,OFFSET($A33,,$P$7-1)),IF(CM$13=$M$7,CHOOSE($Q$6+1,$M$1,SUM(OFFSET($A$11,$B33-$O$5,$O$6,1,-$P$6))),IF(CM$13=$M$8,CHOOSE($Q$6+1,$M$1,SUM(OFFSET($A$11,$B33-$O$5,$O$7,1,-$P$6))),IF(CM$11&lt;$D$7,OFFSET(INDIRECT($D$3),$A33-1,$Q$3+CM$11),OFFSET(INDIRECT($D$4),$A33-1,$Q$4+CM$11)))))))</f>
        <v/>
      </c>
      <c r="CN33" s="23" t="str">
        <f t="shared" ref="CN33:CN42" ca="1" si="141">IF(CN$11="","",IF(CN$13=$M$5,CHOOSE($Q$6+1,$M$1,CO33+CP33-CQ33),IF(CN$13=$M$6,CHOOSE($Q$6+1,$M$1,OFFSET($A33,,$P$7-1)),IF(CN$13=$M$7,CHOOSE($Q$6+1,$M$1,SUM(OFFSET($A$11,$B33-$O$5,$O$6,1,-$P$6))),IF(CN$13=$M$8,CHOOSE($Q$6+1,$M$1,SUM(OFFSET($A$11,$B33-$O$5,$O$7,1,-$P$6))),IF(CN$11&lt;$D$7,OFFSET(INDIRECT($D$3),$A33-1,$Q$3+CN$11),OFFSET(INDIRECT($D$4),$A33-1,$Q$4+CN$11)))))))</f>
        <v/>
      </c>
      <c r="CO33" s="23" t="str">
        <f t="shared" ref="CO33:CO42" ca="1" si="142">IF(CO$11="","",IF(CO$13=$M$5,CHOOSE($Q$6+1,$M$1,CP33+CQ33-CR33),IF(CO$13=$M$6,CHOOSE($Q$6+1,$M$1,OFFSET($A33,,$P$7-1)),IF(CO$13=$M$7,CHOOSE($Q$6+1,$M$1,SUM(OFFSET($A$11,$B33-$O$5,$O$6,1,-$P$6))),IF(CO$13=$M$8,CHOOSE($Q$6+1,$M$1,SUM(OFFSET($A$11,$B33-$O$5,$O$7,1,-$P$6))),IF(CO$11&lt;$D$7,OFFSET(INDIRECT($D$3),$A33-1,$Q$3+CO$11),OFFSET(INDIRECT($D$4),$A33-1,$Q$4+CO$11)))))))</f>
        <v/>
      </c>
      <c r="CP33" s="23" t="str">
        <f t="shared" ref="CP33:CP42" ca="1" si="143">IF(CP$11="","",IF(CP$13=$M$5,CHOOSE($Q$6+1,$M$1,CQ33+CR33-CS33),IF(CP$13=$M$6,CHOOSE($Q$6+1,$M$1,OFFSET($A33,,$P$7-1)),IF(CP$13=$M$7,CHOOSE($Q$6+1,$M$1,SUM(OFFSET($A$11,$B33-$O$5,$O$6,1,-$P$6))),IF(CP$13=$M$8,CHOOSE($Q$6+1,$M$1,SUM(OFFSET($A$11,$B33-$O$5,$O$7,1,-$P$6))),IF(CP$11&lt;$D$7,OFFSET(INDIRECT($D$3),$A33-1,$Q$3+CP$11),OFFSET(INDIRECT($D$4),$A33-1,$Q$4+CP$11)))))))</f>
        <v/>
      </c>
      <c r="CQ33" s="23" t="str">
        <f t="shared" ref="CQ33:CQ42" ca="1" si="144">IF(CQ$11="","",IF(CQ$13=$M$5,CHOOSE($Q$6+1,$M$1,CR33+CS33-CT33),IF(CQ$13=$M$6,CHOOSE($Q$6+1,$M$1,OFFSET($A33,,$P$7-1)),IF(CQ$13=$M$7,CHOOSE($Q$6+1,$M$1,SUM(OFFSET($A$11,$B33-$O$5,$O$6,1,-$P$6))),IF(CQ$13=$M$8,CHOOSE($Q$6+1,$M$1,SUM(OFFSET($A$11,$B33-$O$5,$O$7,1,-$P$6))),IF(CQ$11&lt;$D$7,OFFSET(INDIRECT($D$3),$A33-1,$Q$3+CQ$11),OFFSET(INDIRECT($D$4),$A33-1,$Q$4+CQ$11)))))))</f>
        <v/>
      </c>
      <c r="CR33" s="23" t="str">
        <f t="shared" ref="CR33:CR42" ca="1" si="145">IF(CR$11="","",IF(CR$13=$M$5,CHOOSE($Q$6+1,$M$1,CS33+CT33-CU33),IF(CR$13=$M$6,CHOOSE($Q$6+1,$M$1,OFFSET($A33,,$P$7-1)),IF(CR$13=$M$7,CHOOSE($Q$6+1,$M$1,SUM(OFFSET($A$11,$B33-$O$5,$O$6,1,-$P$6))),IF(CR$13=$M$8,CHOOSE($Q$6+1,$M$1,SUM(OFFSET($A$11,$B33-$O$5,$O$7,1,-$P$6))),IF(CR$11&lt;$D$7,OFFSET(INDIRECT($D$3),$A33-1,$Q$3+CR$11),OFFSET(INDIRECT($D$4),$A33-1,$Q$4+CR$11)))))))</f>
        <v/>
      </c>
      <c r="CS33" s="23" t="str">
        <f t="shared" ref="CS33:CS42" ca="1" si="146">IF(CS$11="","",IF(CS$13=$M$5,CHOOSE($Q$6+1,$M$1,CT33+CU33-CV33),IF(CS$13=$M$6,CHOOSE($Q$6+1,$M$1,OFFSET($A33,,$P$7-1)),IF(CS$13=$M$7,CHOOSE($Q$6+1,$M$1,SUM(OFFSET($A$11,$B33-$O$5,$O$6,1,-$P$6))),IF(CS$13=$M$8,CHOOSE($Q$6+1,$M$1,SUM(OFFSET($A$11,$B33-$O$5,$O$7,1,-$P$6))),IF(CS$11&lt;$D$7,OFFSET(INDIRECT($D$3),$A33-1,$Q$3+CS$11),OFFSET(INDIRECT($D$4),$A33-1,$Q$4+CS$11)))))))</f>
        <v/>
      </c>
      <c r="CT33" s="23" t="str">
        <f t="shared" ref="CT33:CT42" ca="1" si="147">IF(CT$11="","",IF(CT$13=$M$5,CHOOSE($Q$6+1,$M$1,CU33+CV33-CW33),IF(CT$13=$M$6,CHOOSE($Q$6+1,$M$1,OFFSET($A33,,$P$7-1)),IF(CT$13=$M$7,CHOOSE($Q$6+1,$M$1,SUM(OFFSET($A$11,$B33-$O$5,$O$6,1,-$P$6))),IF(CT$13=$M$8,CHOOSE($Q$6+1,$M$1,SUM(OFFSET($A$11,$B33-$O$5,$O$7,1,-$P$6))),IF(CT$11&lt;$D$7,OFFSET(INDIRECT($D$3),$A33-1,$Q$3+CT$11),OFFSET(INDIRECT($D$4),$A33-1,$Q$4+CT$11)))))))</f>
        <v/>
      </c>
      <c r="CU33" s="23" t="str">
        <f t="shared" ref="CU33:CU42" ca="1" si="148">IF(CU$11="","",IF(CU$13=$M$5,CHOOSE($Q$6+1,$M$1,CV33+CW33-CX33),IF(CU$13=$M$6,CHOOSE($Q$6+1,$M$1,OFFSET($A33,,$P$7-1)),IF(CU$13=$M$7,CHOOSE($Q$6+1,$M$1,SUM(OFFSET($A$11,$B33-$O$5,$O$6,1,-$P$6))),IF(CU$13=$M$8,CHOOSE($Q$6+1,$M$1,SUM(OFFSET($A$11,$B33-$O$5,$O$7,1,-$P$6))),IF(CU$11&lt;$D$7,OFFSET(INDIRECT($D$3),$A33-1,$Q$3+CU$11),OFFSET(INDIRECT($D$4),$A33-1,$Q$4+CU$11)))))))</f>
        <v/>
      </c>
      <c r="CV33" s="23" t="str">
        <f t="shared" ref="CV33:CV42" ca="1" si="149">IF(CV$11="","",IF(CV$13=$M$5,CHOOSE($Q$6+1,$M$1,CW33+CX33-CY33),IF(CV$13=$M$6,CHOOSE($Q$6+1,$M$1,OFFSET($A33,,$P$7-1)),IF(CV$13=$M$7,CHOOSE($Q$6+1,$M$1,SUM(OFFSET($A$11,$B33-$O$5,$O$6,1,-$P$6))),IF(CV$13=$M$8,CHOOSE($Q$6+1,$M$1,SUM(OFFSET($A$11,$B33-$O$5,$O$7,1,-$P$6))),IF(CV$11&lt;$D$7,OFFSET(INDIRECT($D$3),$A33-1,$Q$3+CV$11),OFFSET(INDIRECT($D$4),$A33-1,$Q$4+CV$11)))))))</f>
        <v/>
      </c>
      <c r="CW33" s="23" t="str">
        <f t="shared" ref="CW33:CW42" ca="1" si="150">IF(CW$11="","",IF(CW$13=$M$5,CHOOSE($Q$6+1,$M$1,CX33+CY33-CZ33),IF(CW$13=$M$6,CHOOSE($Q$6+1,$M$1,OFFSET($A33,,$P$7-1)),IF(CW$13=$M$7,CHOOSE($Q$6+1,$M$1,SUM(OFFSET($A$11,$B33-$O$5,$O$6,1,-$P$6))),IF(CW$13=$M$8,CHOOSE($Q$6+1,$M$1,SUM(OFFSET($A$11,$B33-$O$5,$O$7,1,-$P$6))),IF(CW$11&lt;$D$7,OFFSET(INDIRECT($D$3),$A33-1,$Q$3+CW$11),OFFSET(INDIRECT($D$4),$A33-1,$Q$4+CW$11)))))))</f>
        <v/>
      </c>
      <c r="CX33" s="23" t="str">
        <f ca="1">IF(CX$11="","",IF(CX$13=$M$5,CHOOSE($Q$6+1,$M$1,CY33+CZ33-#REF!),IF(CX$13=$M$6,CHOOSE($Q$6+1,$M$1,OFFSET($A33,,$P$7-1)),IF(CX$13=$M$7,CHOOSE($Q$6+1,$M$1,SUM(OFFSET($A$11,$B33-$O$5,$O$6,1,-$P$6))),IF(CX$13=$M$8,CHOOSE($Q$6+1,$M$1,SUM(OFFSET($A$11,$B33-$O$5,$O$7,1,-$P$6))),IF(CX$11&lt;$D$7,OFFSET(INDIRECT($D$3),$A33-1,$Q$3+CX$11),OFFSET(INDIRECT($D$4),$A33-1,$Q$4+CX$11)))))))</f>
        <v/>
      </c>
      <c r="CY33" s="23" t="str">
        <f ca="1">IF(CY$11="","",IF(CY$13=$M$5,CHOOSE($Q$6+1,$M$1,CZ33+#REF!-#REF!),IF(CY$13=$M$6,CHOOSE($Q$6+1,$M$1,OFFSET($A33,,$P$7-1)),IF(CY$13=$M$7,CHOOSE($Q$6+1,$M$1,SUM(OFFSET($A$11,$B33-$O$5,$O$6,1,-$P$6))),IF(CY$13=$M$8,CHOOSE($Q$6+1,$M$1,SUM(OFFSET($A$11,$B33-$O$5,$O$7,1,-$P$6))),IF(CY$11&lt;$D$7,OFFSET(INDIRECT($D$3),$A33-1,$Q$3+CY$11),OFFSET(INDIRECT($D$4),$A33-1,$Q$4+CY$11)))))))</f>
        <v/>
      </c>
      <c r="CZ33" s="23" t="str">
        <f ca="1">IF(CZ$11="","",IF(CZ$13=$M$5,CHOOSE($Q$6+1,$M$1,#REF!+#REF!-#REF!),IF(CZ$13=$M$6,CHOOSE($Q$6+1,$M$1,OFFSET($A33,,$P$7-1)),IF(CZ$13=$M$7,CHOOSE($Q$6+1,$M$1,SUM(OFFSET($A$11,$B33-$O$5,$O$6,1,-$P$6))),IF(CZ$13=$M$8,CHOOSE($Q$6+1,$M$1,SUM(OFFSET($A$11,$B33-$O$5,$O$7,1,-$P$6))),IF(CZ$11&lt;$D$7,OFFSET(INDIRECT($D$3),$A33-1,$Q$3+CZ$11),OFFSET(INDIRECT($D$4),$A33-1,$Q$4+CZ$11)))))))</f>
        <v/>
      </c>
    </row>
    <row r="34" spans="1:104" ht="13.5" customHeight="1">
      <c r="A34" s="27">
        <v>32</v>
      </c>
      <c r="B34" s="33">
        <f t="shared" si="14"/>
        <v>34</v>
      </c>
      <c r="C34" s="8" t="s">
        <v>310</v>
      </c>
      <c r="D34" s="23">
        <f t="shared" ca="1" si="53"/>
        <v>0</v>
      </c>
      <c r="E34" s="23">
        <f t="shared" ca="1" si="54"/>
        <v>0</v>
      </c>
      <c r="F34" s="23">
        <f t="shared" ca="1" si="55"/>
        <v>0</v>
      </c>
      <c r="G34" s="23">
        <f t="shared" ca="1" si="56"/>
        <v>0</v>
      </c>
      <c r="H34" s="23">
        <f t="shared" ca="1" si="57"/>
        <v>0</v>
      </c>
      <c r="I34" s="23">
        <f t="shared" ca="1" si="58"/>
        <v>0</v>
      </c>
      <c r="J34" s="23">
        <f t="shared" ca="1" si="59"/>
        <v>0</v>
      </c>
      <c r="K34" s="23">
        <f t="shared" ca="1" si="60"/>
        <v>0</v>
      </c>
      <c r="L34" s="23">
        <f t="shared" ca="1" si="61"/>
        <v>0</v>
      </c>
      <c r="M34" s="23">
        <f t="shared" ca="1" si="62"/>
        <v>0</v>
      </c>
      <c r="N34" s="23">
        <f t="shared" ca="1" si="63"/>
        <v>0</v>
      </c>
      <c r="O34" s="23">
        <f t="shared" ca="1" si="64"/>
        <v>0</v>
      </c>
      <c r="P34" s="23">
        <f t="shared" ca="1" si="65"/>
        <v>0</v>
      </c>
      <c r="Q34" s="23">
        <f t="shared" ca="1" si="66"/>
        <v>0</v>
      </c>
      <c r="R34" s="23" t="str">
        <f t="shared" ca="1" si="67"/>
        <v/>
      </c>
      <c r="S34" s="23" t="str">
        <f t="shared" ca="1" si="68"/>
        <v/>
      </c>
      <c r="T34" s="23" t="str">
        <f t="shared" ca="1" si="69"/>
        <v/>
      </c>
      <c r="U34" s="23" t="str">
        <f t="shared" ca="1" si="70"/>
        <v/>
      </c>
      <c r="V34" s="23" t="str">
        <f t="shared" ca="1" si="71"/>
        <v/>
      </c>
      <c r="W34" s="23" t="str">
        <f t="shared" ca="1" si="72"/>
        <v/>
      </c>
      <c r="X34" s="23" t="str">
        <f t="shared" ca="1" si="73"/>
        <v/>
      </c>
      <c r="Y34" s="23" t="str">
        <f t="shared" ca="1" si="74"/>
        <v/>
      </c>
      <c r="Z34" s="23" t="str">
        <f t="shared" ca="1" si="75"/>
        <v/>
      </c>
      <c r="AA34" s="23" t="str">
        <f t="shared" ca="1" si="76"/>
        <v/>
      </c>
      <c r="AB34" s="23" t="str">
        <f t="shared" ca="1" si="77"/>
        <v/>
      </c>
      <c r="AC34" s="23" t="str">
        <f t="shared" ca="1" si="78"/>
        <v/>
      </c>
      <c r="AD34" s="23" t="str">
        <f t="shared" ca="1" si="79"/>
        <v/>
      </c>
      <c r="AE34" s="23" t="str">
        <f t="shared" ca="1" si="80"/>
        <v/>
      </c>
      <c r="AF34" s="23" t="str">
        <f t="shared" ca="1" si="81"/>
        <v/>
      </c>
      <c r="AG34" s="23" t="str">
        <f t="shared" ca="1" si="82"/>
        <v/>
      </c>
      <c r="AH34" s="23" t="str">
        <f t="shared" ca="1" si="83"/>
        <v/>
      </c>
      <c r="AI34" s="23" t="str">
        <f t="shared" ca="1" si="84"/>
        <v/>
      </c>
      <c r="AJ34" s="23" t="str">
        <f t="shared" ca="1" si="85"/>
        <v/>
      </c>
      <c r="AK34" s="23" t="str">
        <f t="shared" ca="1" si="86"/>
        <v/>
      </c>
      <c r="AL34" s="23" t="str">
        <f t="shared" ca="1" si="87"/>
        <v/>
      </c>
      <c r="AM34" s="23" t="str">
        <f t="shared" ca="1" si="88"/>
        <v/>
      </c>
      <c r="AN34" s="23" t="str">
        <f t="shared" ca="1" si="89"/>
        <v/>
      </c>
      <c r="AO34" s="23" t="str">
        <f t="shared" ca="1" si="90"/>
        <v/>
      </c>
      <c r="AP34" s="23" t="str">
        <f t="shared" ca="1" si="91"/>
        <v/>
      </c>
      <c r="AQ34" s="23" t="str">
        <f t="shared" ca="1" si="92"/>
        <v/>
      </c>
      <c r="AR34" s="23" t="str">
        <f t="shared" ca="1" si="93"/>
        <v/>
      </c>
      <c r="AS34" s="23" t="str">
        <f t="shared" ca="1" si="94"/>
        <v/>
      </c>
      <c r="AT34" s="23" t="str">
        <f t="shared" ca="1" si="95"/>
        <v/>
      </c>
      <c r="AU34" s="23" t="str">
        <f t="shared" ca="1" si="96"/>
        <v/>
      </c>
      <c r="AV34" s="23" t="str">
        <f t="shared" ca="1" si="97"/>
        <v/>
      </c>
      <c r="AW34" s="23" t="str">
        <f t="shared" ca="1" si="98"/>
        <v/>
      </c>
      <c r="AX34" s="23" t="str">
        <f t="shared" ca="1" si="99"/>
        <v/>
      </c>
      <c r="AY34" s="23" t="str">
        <f t="shared" ca="1" si="100"/>
        <v/>
      </c>
      <c r="AZ34" s="23" t="str">
        <f t="shared" ca="1" si="101"/>
        <v/>
      </c>
      <c r="BA34" s="23" t="str">
        <f t="shared" ca="1" si="102"/>
        <v/>
      </c>
      <c r="BB34" s="23" t="str">
        <f t="shared" ca="1" si="103"/>
        <v/>
      </c>
      <c r="BC34" s="23" t="str">
        <f t="shared" ca="1" si="104"/>
        <v/>
      </c>
      <c r="BD34" s="23" t="str">
        <f t="shared" ca="1" si="105"/>
        <v/>
      </c>
      <c r="BE34" s="23" t="str">
        <f t="shared" ca="1" si="106"/>
        <v/>
      </c>
      <c r="BF34" s="23" t="str">
        <f t="shared" ca="1" si="107"/>
        <v/>
      </c>
      <c r="BG34" s="23" t="str">
        <f t="shared" ca="1" si="108"/>
        <v/>
      </c>
      <c r="BH34" s="23" t="str">
        <f t="shared" ca="1" si="109"/>
        <v/>
      </c>
      <c r="BI34" s="23" t="str">
        <f t="shared" ca="1" si="110"/>
        <v/>
      </c>
      <c r="BJ34" s="23" t="str">
        <f t="shared" ca="1" si="111"/>
        <v/>
      </c>
      <c r="BK34" s="23" t="str">
        <f t="shared" ca="1" si="112"/>
        <v/>
      </c>
      <c r="BL34" s="23" t="str">
        <f t="shared" ca="1" si="113"/>
        <v/>
      </c>
      <c r="BM34" s="23" t="str">
        <f t="shared" ca="1" si="114"/>
        <v/>
      </c>
      <c r="BN34" s="23" t="str">
        <f t="shared" ca="1" si="115"/>
        <v/>
      </c>
      <c r="BO34" s="23" t="str">
        <f t="shared" ca="1" si="116"/>
        <v/>
      </c>
      <c r="BP34" s="23" t="str">
        <f t="shared" ca="1" si="117"/>
        <v/>
      </c>
      <c r="BQ34" s="23" t="str">
        <f t="shared" ca="1" si="118"/>
        <v/>
      </c>
      <c r="BR34" s="23" t="str">
        <f t="shared" ca="1" si="119"/>
        <v/>
      </c>
      <c r="BS34" s="23" t="str">
        <f t="shared" ca="1" si="120"/>
        <v/>
      </c>
      <c r="BT34" s="23" t="str">
        <f t="shared" ca="1" si="121"/>
        <v/>
      </c>
      <c r="BU34" s="23" t="str">
        <f t="shared" ca="1" si="122"/>
        <v/>
      </c>
      <c r="BV34" s="23" t="str">
        <f t="shared" ca="1" si="123"/>
        <v/>
      </c>
      <c r="BW34" s="23" t="str">
        <f t="shared" ca="1" si="124"/>
        <v/>
      </c>
      <c r="BX34" s="23" t="str">
        <f t="shared" ca="1" si="125"/>
        <v/>
      </c>
      <c r="BY34" s="23" t="str">
        <f t="shared" ca="1" si="126"/>
        <v/>
      </c>
      <c r="BZ34" s="23" t="str">
        <f t="shared" ca="1" si="127"/>
        <v/>
      </c>
      <c r="CA34" s="23" t="str">
        <f t="shared" ca="1" si="128"/>
        <v/>
      </c>
      <c r="CB34" s="23" t="str">
        <f t="shared" ca="1" si="129"/>
        <v/>
      </c>
      <c r="CC34" s="23" t="str">
        <f t="shared" ca="1" si="130"/>
        <v/>
      </c>
      <c r="CD34" s="23" t="str">
        <f t="shared" ca="1" si="131"/>
        <v/>
      </c>
      <c r="CE34" s="23" t="str">
        <f t="shared" ca="1" si="132"/>
        <v/>
      </c>
      <c r="CF34" s="23" t="str">
        <f t="shared" ca="1" si="133"/>
        <v/>
      </c>
      <c r="CG34" s="23" t="str">
        <f t="shared" ca="1" si="134"/>
        <v/>
      </c>
      <c r="CH34" s="23" t="str">
        <f t="shared" ca="1" si="135"/>
        <v/>
      </c>
      <c r="CI34" s="23" t="str">
        <f t="shared" ca="1" si="136"/>
        <v/>
      </c>
      <c r="CJ34" s="23" t="str">
        <f t="shared" ca="1" si="137"/>
        <v/>
      </c>
      <c r="CK34" s="23" t="str">
        <f t="shared" ca="1" si="138"/>
        <v/>
      </c>
      <c r="CL34" s="23" t="str">
        <f t="shared" ca="1" si="139"/>
        <v/>
      </c>
      <c r="CM34" s="23" t="str">
        <f t="shared" ca="1" si="140"/>
        <v/>
      </c>
      <c r="CN34" s="23" t="str">
        <f t="shared" ca="1" si="141"/>
        <v/>
      </c>
      <c r="CO34" s="23" t="str">
        <f t="shared" ca="1" si="142"/>
        <v/>
      </c>
      <c r="CP34" s="23" t="str">
        <f t="shared" ca="1" si="143"/>
        <v/>
      </c>
      <c r="CQ34" s="23" t="str">
        <f t="shared" ca="1" si="144"/>
        <v/>
      </c>
      <c r="CR34" s="23" t="str">
        <f t="shared" ca="1" si="145"/>
        <v/>
      </c>
      <c r="CS34" s="23" t="str">
        <f t="shared" ca="1" si="146"/>
        <v/>
      </c>
      <c r="CT34" s="23" t="str">
        <f t="shared" ca="1" si="147"/>
        <v/>
      </c>
      <c r="CU34" s="23" t="str">
        <f t="shared" ca="1" si="148"/>
        <v/>
      </c>
      <c r="CV34" s="23" t="str">
        <f t="shared" ca="1" si="149"/>
        <v/>
      </c>
      <c r="CW34" s="23" t="str">
        <f t="shared" ca="1" si="150"/>
        <v/>
      </c>
      <c r="CX34" s="23" t="str">
        <f ca="1">IF(CX$11="","",IF(CX$13=$M$5,CHOOSE($Q$6+1,$M$1,CY34+CZ34-#REF!),IF(CX$13=$M$6,CHOOSE($Q$6+1,$M$1,OFFSET($A34,,$P$7-1)),IF(CX$13=$M$7,CHOOSE($Q$6+1,$M$1,SUM(OFFSET($A$11,$B34-$O$5,$O$6,1,-$P$6))),IF(CX$13=$M$8,CHOOSE($Q$6+1,$M$1,SUM(OFFSET($A$11,$B34-$O$5,$O$7,1,-$P$6))),IF(CX$11&lt;$D$7,OFFSET(INDIRECT($D$3),$A34-1,$Q$3+CX$11),OFFSET(INDIRECT($D$4),$A34-1,$Q$4+CX$11)))))))</f>
        <v/>
      </c>
      <c r="CY34" s="23" t="str">
        <f ca="1">IF(CY$11="","",IF(CY$13=$M$5,CHOOSE($Q$6+1,$M$1,CZ34+#REF!-#REF!),IF(CY$13=$M$6,CHOOSE($Q$6+1,$M$1,OFFSET($A34,,$P$7-1)),IF(CY$13=$M$7,CHOOSE($Q$6+1,$M$1,SUM(OFFSET($A$11,$B34-$O$5,$O$6,1,-$P$6))),IF(CY$13=$M$8,CHOOSE($Q$6+1,$M$1,SUM(OFFSET($A$11,$B34-$O$5,$O$7,1,-$P$6))),IF(CY$11&lt;$D$7,OFFSET(INDIRECT($D$3),$A34-1,$Q$3+CY$11),OFFSET(INDIRECT($D$4),$A34-1,$Q$4+CY$11)))))))</f>
        <v/>
      </c>
      <c r="CZ34" s="23" t="str">
        <f ca="1">IF(CZ$11="","",IF(CZ$13=$M$5,CHOOSE($Q$6+1,$M$1,#REF!+#REF!-#REF!),IF(CZ$13=$M$6,CHOOSE($Q$6+1,$M$1,OFFSET($A34,,$P$7-1)),IF(CZ$13=$M$7,CHOOSE($Q$6+1,$M$1,SUM(OFFSET($A$11,$B34-$O$5,$O$6,1,-$P$6))),IF(CZ$13=$M$8,CHOOSE($Q$6+1,$M$1,SUM(OFFSET($A$11,$B34-$O$5,$O$7,1,-$P$6))),IF(CZ$11&lt;$D$7,OFFSET(INDIRECT($D$3),$A34-1,$Q$3+CZ$11),OFFSET(INDIRECT($D$4),$A34-1,$Q$4+CZ$11)))))))</f>
        <v/>
      </c>
    </row>
    <row r="35" spans="1:104" ht="13.5" customHeight="1">
      <c r="A35" s="27">
        <v>33</v>
      </c>
      <c r="B35" s="33">
        <f t="shared" si="14"/>
        <v>35</v>
      </c>
      <c r="C35" s="8" t="s">
        <v>311</v>
      </c>
      <c r="D35" s="23">
        <f t="shared" ca="1" si="53"/>
        <v>-104</v>
      </c>
      <c r="E35" s="23">
        <f t="shared" ca="1" si="54"/>
        <v>-566</v>
      </c>
      <c r="F35" s="23">
        <f t="shared" ca="1" si="55"/>
        <v>26</v>
      </c>
      <c r="G35" s="23">
        <f t="shared" ca="1" si="56"/>
        <v>172</v>
      </c>
      <c r="H35" s="23">
        <f t="shared" ca="1" si="57"/>
        <v>-438</v>
      </c>
      <c r="I35" s="23">
        <f t="shared" ca="1" si="58"/>
        <v>137</v>
      </c>
      <c r="J35" s="23">
        <f t="shared" ca="1" si="59"/>
        <v>148</v>
      </c>
      <c r="K35" s="23">
        <f t="shared" ca="1" si="60"/>
        <v>288</v>
      </c>
      <c r="L35" s="23">
        <f t="shared" ca="1" si="61"/>
        <v>-1139</v>
      </c>
      <c r="M35" s="23">
        <f t="shared" ca="1" si="62"/>
        <v>41</v>
      </c>
      <c r="N35" s="23">
        <f t="shared" ca="1" si="63"/>
        <v>-662</v>
      </c>
      <c r="O35" s="23">
        <f t="shared" ca="1" si="64"/>
        <v>-566</v>
      </c>
      <c r="P35" s="23">
        <f t="shared" ca="1" si="65"/>
        <v>41</v>
      </c>
      <c r="Q35" s="23">
        <f t="shared" ca="1" si="66"/>
        <v>137</v>
      </c>
      <c r="R35" s="23" t="str">
        <f t="shared" ca="1" si="67"/>
        <v/>
      </c>
      <c r="S35" s="23" t="str">
        <f t="shared" ca="1" si="68"/>
        <v/>
      </c>
      <c r="T35" s="23" t="str">
        <f t="shared" ca="1" si="69"/>
        <v/>
      </c>
      <c r="U35" s="23" t="str">
        <f t="shared" ca="1" si="70"/>
        <v/>
      </c>
      <c r="V35" s="23" t="str">
        <f t="shared" ca="1" si="71"/>
        <v/>
      </c>
      <c r="W35" s="23" t="str">
        <f t="shared" ca="1" si="72"/>
        <v/>
      </c>
      <c r="X35" s="23" t="str">
        <f t="shared" ca="1" si="73"/>
        <v/>
      </c>
      <c r="Y35" s="23" t="str">
        <f t="shared" ca="1" si="74"/>
        <v/>
      </c>
      <c r="Z35" s="23" t="str">
        <f t="shared" ca="1" si="75"/>
        <v/>
      </c>
      <c r="AA35" s="23" t="str">
        <f t="shared" ca="1" si="76"/>
        <v/>
      </c>
      <c r="AB35" s="23" t="str">
        <f t="shared" ca="1" si="77"/>
        <v/>
      </c>
      <c r="AC35" s="23" t="str">
        <f t="shared" ca="1" si="78"/>
        <v/>
      </c>
      <c r="AD35" s="23" t="str">
        <f t="shared" ca="1" si="79"/>
        <v/>
      </c>
      <c r="AE35" s="23" t="str">
        <f t="shared" ca="1" si="80"/>
        <v/>
      </c>
      <c r="AF35" s="23" t="str">
        <f t="shared" ca="1" si="81"/>
        <v/>
      </c>
      <c r="AG35" s="23" t="str">
        <f t="shared" ca="1" si="82"/>
        <v/>
      </c>
      <c r="AH35" s="23" t="str">
        <f t="shared" ca="1" si="83"/>
        <v/>
      </c>
      <c r="AI35" s="23" t="str">
        <f t="shared" ca="1" si="84"/>
        <v/>
      </c>
      <c r="AJ35" s="23" t="str">
        <f t="shared" ca="1" si="85"/>
        <v/>
      </c>
      <c r="AK35" s="23" t="str">
        <f t="shared" ca="1" si="86"/>
        <v/>
      </c>
      <c r="AL35" s="23" t="str">
        <f t="shared" ca="1" si="87"/>
        <v/>
      </c>
      <c r="AM35" s="23" t="str">
        <f t="shared" ca="1" si="88"/>
        <v/>
      </c>
      <c r="AN35" s="23" t="str">
        <f t="shared" ca="1" si="89"/>
        <v/>
      </c>
      <c r="AO35" s="23" t="str">
        <f t="shared" ca="1" si="90"/>
        <v/>
      </c>
      <c r="AP35" s="23" t="str">
        <f t="shared" ca="1" si="91"/>
        <v/>
      </c>
      <c r="AQ35" s="23" t="str">
        <f t="shared" ca="1" si="92"/>
        <v/>
      </c>
      <c r="AR35" s="23" t="str">
        <f t="shared" ca="1" si="93"/>
        <v/>
      </c>
      <c r="AS35" s="23" t="str">
        <f t="shared" ca="1" si="94"/>
        <v/>
      </c>
      <c r="AT35" s="23" t="str">
        <f t="shared" ca="1" si="95"/>
        <v/>
      </c>
      <c r="AU35" s="23" t="str">
        <f t="shared" ca="1" si="96"/>
        <v/>
      </c>
      <c r="AV35" s="23" t="str">
        <f t="shared" ca="1" si="97"/>
        <v/>
      </c>
      <c r="AW35" s="23" t="str">
        <f t="shared" ca="1" si="98"/>
        <v/>
      </c>
      <c r="AX35" s="23" t="str">
        <f t="shared" ca="1" si="99"/>
        <v/>
      </c>
      <c r="AY35" s="23" t="str">
        <f t="shared" ca="1" si="100"/>
        <v/>
      </c>
      <c r="AZ35" s="23" t="str">
        <f t="shared" ca="1" si="101"/>
        <v/>
      </c>
      <c r="BA35" s="23" t="str">
        <f t="shared" ca="1" si="102"/>
        <v/>
      </c>
      <c r="BB35" s="23" t="str">
        <f t="shared" ca="1" si="103"/>
        <v/>
      </c>
      <c r="BC35" s="23" t="str">
        <f t="shared" ca="1" si="104"/>
        <v/>
      </c>
      <c r="BD35" s="23" t="str">
        <f t="shared" ca="1" si="105"/>
        <v/>
      </c>
      <c r="BE35" s="23" t="str">
        <f t="shared" ca="1" si="106"/>
        <v/>
      </c>
      <c r="BF35" s="23" t="str">
        <f t="shared" ca="1" si="107"/>
        <v/>
      </c>
      <c r="BG35" s="23" t="str">
        <f t="shared" ca="1" si="108"/>
        <v/>
      </c>
      <c r="BH35" s="23" t="str">
        <f t="shared" ca="1" si="109"/>
        <v/>
      </c>
      <c r="BI35" s="23" t="str">
        <f t="shared" ca="1" si="110"/>
        <v/>
      </c>
      <c r="BJ35" s="23" t="str">
        <f t="shared" ca="1" si="111"/>
        <v/>
      </c>
      <c r="BK35" s="23" t="str">
        <f t="shared" ca="1" si="112"/>
        <v/>
      </c>
      <c r="BL35" s="23" t="str">
        <f t="shared" ca="1" si="113"/>
        <v/>
      </c>
      <c r="BM35" s="23" t="str">
        <f t="shared" ca="1" si="114"/>
        <v/>
      </c>
      <c r="BN35" s="23" t="str">
        <f t="shared" ca="1" si="115"/>
        <v/>
      </c>
      <c r="BO35" s="23" t="str">
        <f t="shared" ca="1" si="116"/>
        <v/>
      </c>
      <c r="BP35" s="23" t="str">
        <f t="shared" ca="1" si="117"/>
        <v/>
      </c>
      <c r="BQ35" s="23" t="str">
        <f t="shared" ca="1" si="118"/>
        <v/>
      </c>
      <c r="BR35" s="23" t="str">
        <f t="shared" ca="1" si="119"/>
        <v/>
      </c>
      <c r="BS35" s="23" t="str">
        <f t="shared" ca="1" si="120"/>
        <v/>
      </c>
      <c r="BT35" s="23" t="str">
        <f t="shared" ca="1" si="121"/>
        <v/>
      </c>
      <c r="BU35" s="23" t="str">
        <f t="shared" ca="1" si="122"/>
        <v/>
      </c>
      <c r="BV35" s="23" t="str">
        <f t="shared" ca="1" si="123"/>
        <v/>
      </c>
      <c r="BW35" s="23" t="str">
        <f t="shared" ca="1" si="124"/>
        <v/>
      </c>
      <c r="BX35" s="23" t="str">
        <f t="shared" ca="1" si="125"/>
        <v/>
      </c>
      <c r="BY35" s="23" t="str">
        <f t="shared" ca="1" si="126"/>
        <v/>
      </c>
      <c r="BZ35" s="23" t="str">
        <f t="shared" ca="1" si="127"/>
        <v/>
      </c>
      <c r="CA35" s="23" t="str">
        <f t="shared" ca="1" si="128"/>
        <v/>
      </c>
      <c r="CB35" s="23" t="str">
        <f t="shared" ca="1" si="129"/>
        <v/>
      </c>
      <c r="CC35" s="23" t="str">
        <f t="shared" ca="1" si="130"/>
        <v/>
      </c>
      <c r="CD35" s="23" t="str">
        <f t="shared" ca="1" si="131"/>
        <v/>
      </c>
      <c r="CE35" s="23" t="str">
        <f t="shared" ca="1" si="132"/>
        <v/>
      </c>
      <c r="CF35" s="23" t="str">
        <f t="shared" ca="1" si="133"/>
        <v/>
      </c>
      <c r="CG35" s="23" t="str">
        <f t="shared" ca="1" si="134"/>
        <v/>
      </c>
      <c r="CH35" s="23" t="str">
        <f t="shared" ca="1" si="135"/>
        <v/>
      </c>
      <c r="CI35" s="23" t="str">
        <f t="shared" ca="1" si="136"/>
        <v/>
      </c>
      <c r="CJ35" s="23" t="str">
        <f t="shared" ca="1" si="137"/>
        <v/>
      </c>
      <c r="CK35" s="23" t="str">
        <f t="shared" ca="1" si="138"/>
        <v/>
      </c>
      <c r="CL35" s="23" t="str">
        <f t="shared" ca="1" si="139"/>
        <v/>
      </c>
      <c r="CM35" s="23" t="str">
        <f t="shared" ca="1" si="140"/>
        <v/>
      </c>
      <c r="CN35" s="23" t="str">
        <f t="shared" ca="1" si="141"/>
        <v/>
      </c>
      <c r="CO35" s="23" t="str">
        <f t="shared" ca="1" si="142"/>
        <v/>
      </c>
      <c r="CP35" s="23" t="str">
        <f t="shared" ca="1" si="143"/>
        <v/>
      </c>
      <c r="CQ35" s="23" t="str">
        <f t="shared" ca="1" si="144"/>
        <v/>
      </c>
      <c r="CR35" s="23" t="str">
        <f t="shared" ca="1" si="145"/>
        <v/>
      </c>
      <c r="CS35" s="23" t="str">
        <f t="shared" ca="1" si="146"/>
        <v/>
      </c>
      <c r="CT35" s="23" t="str">
        <f t="shared" ca="1" si="147"/>
        <v/>
      </c>
      <c r="CU35" s="23" t="str">
        <f t="shared" ca="1" si="148"/>
        <v/>
      </c>
      <c r="CV35" s="23" t="str">
        <f t="shared" ca="1" si="149"/>
        <v/>
      </c>
      <c r="CW35" s="23" t="str">
        <f t="shared" ca="1" si="150"/>
        <v/>
      </c>
      <c r="CX35" s="23" t="str">
        <f ca="1">IF(CX$11="","",IF(CX$13=$M$5,CHOOSE($Q$6+1,$M$1,CY35+CZ35-#REF!),IF(CX$13=$M$6,CHOOSE($Q$6+1,$M$1,OFFSET($A35,,$P$7-1)),IF(CX$13=$M$7,CHOOSE($Q$6+1,$M$1,SUM(OFFSET($A$11,$B35-$O$5,$O$6,1,-$P$6))),IF(CX$13=$M$8,CHOOSE($Q$6+1,$M$1,SUM(OFFSET($A$11,$B35-$O$5,$O$7,1,-$P$6))),IF(CX$11&lt;$D$7,OFFSET(INDIRECT($D$3),$A35-1,$Q$3+CX$11),OFFSET(INDIRECT($D$4),$A35-1,$Q$4+CX$11)))))))</f>
        <v/>
      </c>
      <c r="CY35" s="23" t="str">
        <f ca="1">IF(CY$11="","",IF(CY$13=$M$5,CHOOSE($Q$6+1,$M$1,CZ35+#REF!-#REF!),IF(CY$13=$M$6,CHOOSE($Q$6+1,$M$1,OFFSET($A35,,$P$7-1)),IF(CY$13=$M$7,CHOOSE($Q$6+1,$M$1,SUM(OFFSET($A$11,$B35-$O$5,$O$6,1,-$P$6))),IF(CY$13=$M$8,CHOOSE($Q$6+1,$M$1,SUM(OFFSET($A$11,$B35-$O$5,$O$7,1,-$P$6))),IF(CY$11&lt;$D$7,OFFSET(INDIRECT($D$3),$A35-1,$Q$3+CY$11),OFFSET(INDIRECT($D$4),$A35-1,$Q$4+CY$11)))))))</f>
        <v/>
      </c>
      <c r="CZ35" s="23" t="str">
        <f ca="1">IF(CZ$11="","",IF(CZ$13=$M$5,CHOOSE($Q$6+1,$M$1,#REF!+#REF!-#REF!),IF(CZ$13=$M$6,CHOOSE($Q$6+1,$M$1,OFFSET($A35,,$P$7-1)),IF(CZ$13=$M$7,CHOOSE($Q$6+1,$M$1,SUM(OFFSET($A$11,$B35-$O$5,$O$6,1,-$P$6))),IF(CZ$13=$M$8,CHOOSE($Q$6+1,$M$1,SUM(OFFSET($A$11,$B35-$O$5,$O$7,1,-$P$6))),IF(CZ$11&lt;$D$7,OFFSET(INDIRECT($D$3),$A35-1,$Q$3+CZ$11),OFFSET(INDIRECT($D$4),$A35-1,$Q$4+CZ$11)))))))</f>
        <v/>
      </c>
    </row>
    <row r="36" spans="1:104" ht="13.5" customHeight="1">
      <c r="A36" s="27">
        <v>34</v>
      </c>
      <c r="B36" s="33">
        <f t="shared" si="14"/>
        <v>36</v>
      </c>
      <c r="C36" s="8" t="s">
        <v>312</v>
      </c>
      <c r="D36" s="23">
        <f t="shared" ca="1" si="53"/>
        <v>0</v>
      </c>
      <c r="E36" s="23">
        <f t="shared" ca="1" si="54"/>
        <v>0</v>
      </c>
      <c r="F36" s="23">
        <f t="shared" ca="1" si="55"/>
        <v>0</v>
      </c>
      <c r="G36" s="23">
        <f t="shared" ca="1" si="56"/>
        <v>0</v>
      </c>
      <c r="H36" s="23">
        <f t="shared" ca="1" si="57"/>
        <v>0</v>
      </c>
      <c r="I36" s="23">
        <f t="shared" ca="1" si="58"/>
        <v>0</v>
      </c>
      <c r="J36" s="23">
        <f t="shared" ca="1" si="59"/>
        <v>0</v>
      </c>
      <c r="K36" s="23">
        <f t="shared" ca="1" si="60"/>
        <v>0</v>
      </c>
      <c r="L36" s="23">
        <f t="shared" ca="1" si="61"/>
        <v>0</v>
      </c>
      <c r="M36" s="23">
        <f t="shared" ca="1" si="62"/>
        <v>0</v>
      </c>
      <c r="N36" s="23">
        <f t="shared" ca="1" si="63"/>
        <v>0</v>
      </c>
      <c r="O36" s="23">
        <f t="shared" ca="1" si="64"/>
        <v>0</v>
      </c>
      <c r="P36" s="23">
        <f t="shared" ca="1" si="65"/>
        <v>0</v>
      </c>
      <c r="Q36" s="23">
        <f t="shared" ca="1" si="66"/>
        <v>0</v>
      </c>
      <c r="R36" s="23" t="str">
        <f t="shared" ca="1" si="67"/>
        <v/>
      </c>
      <c r="S36" s="23" t="str">
        <f t="shared" ca="1" si="68"/>
        <v/>
      </c>
      <c r="T36" s="23" t="str">
        <f t="shared" ca="1" si="69"/>
        <v/>
      </c>
      <c r="U36" s="23" t="str">
        <f t="shared" ca="1" si="70"/>
        <v/>
      </c>
      <c r="V36" s="23" t="str">
        <f t="shared" ca="1" si="71"/>
        <v/>
      </c>
      <c r="W36" s="23" t="str">
        <f t="shared" ca="1" si="72"/>
        <v/>
      </c>
      <c r="X36" s="23" t="str">
        <f t="shared" ca="1" si="73"/>
        <v/>
      </c>
      <c r="Y36" s="23" t="str">
        <f t="shared" ca="1" si="74"/>
        <v/>
      </c>
      <c r="Z36" s="23" t="str">
        <f t="shared" ca="1" si="75"/>
        <v/>
      </c>
      <c r="AA36" s="23" t="str">
        <f t="shared" ca="1" si="76"/>
        <v/>
      </c>
      <c r="AB36" s="23" t="str">
        <f t="shared" ca="1" si="77"/>
        <v/>
      </c>
      <c r="AC36" s="23" t="str">
        <f t="shared" ca="1" si="78"/>
        <v/>
      </c>
      <c r="AD36" s="23" t="str">
        <f t="shared" ca="1" si="79"/>
        <v/>
      </c>
      <c r="AE36" s="23" t="str">
        <f t="shared" ca="1" si="80"/>
        <v/>
      </c>
      <c r="AF36" s="23" t="str">
        <f t="shared" ca="1" si="81"/>
        <v/>
      </c>
      <c r="AG36" s="23" t="str">
        <f t="shared" ca="1" si="82"/>
        <v/>
      </c>
      <c r="AH36" s="23" t="str">
        <f t="shared" ca="1" si="83"/>
        <v/>
      </c>
      <c r="AI36" s="23" t="str">
        <f t="shared" ca="1" si="84"/>
        <v/>
      </c>
      <c r="AJ36" s="23" t="str">
        <f t="shared" ca="1" si="85"/>
        <v/>
      </c>
      <c r="AK36" s="23" t="str">
        <f t="shared" ca="1" si="86"/>
        <v/>
      </c>
      <c r="AL36" s="23" t="str">
        <f t="shared" ca="1" si="87"/>
        <v/>
      </c>
      <c r="AM36" s="23" t="str">
        <f t="shared" ca="1" si="88"/>
        <v/>
      </c>
      <c r="AN36" s="23" t="str">
        <f t="shared" ca="1" si="89"/>
        <v/>
      </c>
      <c r="AO36" s="23" t="str">
        <f t="shared" ca="1" si="90"/>
        <v/>
      </c>
      <c r="AP36" s="23" t="str">
        <f t="shared" ca="1" si="91"/>
        <v/>
      </c>
      <c r="AQ36" s="23" t="str">
        <f t="shared" ca="1" si="92"/>
        <v/>
      </c>
      <c r="AR36" s="23" t="str">
        <f t="shared" ca="1" si="93"/>
        <v/>
      </c>
      <c r="AS36" s="23" t="str">
        <f t="shared" ca="1" si="94"/>
        <v/>
      </c>
      <c r="AT36" s="23" t="str">
        <f t="shared" ca="1" si="95"/>
        <v/>
      </c>
      <c r="AU36" s="23" t="str">
        <f t="shared" ca="1" si="96"/>
        <v/>
      </c>
      <c r="AV36" s="23" t="str">
        <f t="shared" ca="1" si="97"/>
        <v/>
      </c>
      <c r="AW36" s="23" t="str">
        <f t="shared" ca="1" si="98"/>
        <v/>
      </c>
      <c r="AX36" s="23" t="str">
        <f t="shared" ca="1" si="99"/>
        <v/>
      </c>
      <c r="AY36" s="23" t="str">
        <f t="shared" ca="1" si="100"/>
        <v/>
      </c>
      <c r="AZ36" s="23" t="str">
        <f t="shared" ca="1" si="101"/>
        <v/>
      </c>
      <c r="BA36" s="23" t="str">
        <f t="shared" ca="1" si="102"/>
        <v/>
      </c>
      <c r="BB36" s="23" t="str">
        <f t="shared" ca="1" si="103"/>
        <v/>
      </c>
      <c r="BC36" s="23" t="str">
        <f t="shared" ca="1" si="104"/>
        <v/>
      </c>
      <c r="BD36" s="23" t="str">
        <f t="shared" ca="1" si="105"/>
        <v/>
      </c>
      <c r="BE36" s="23" t="str">
        <f t="shared" ca="1" si="106"/>
        <v/>
      </c>
      <c r="BF36" s="23" t="str">
        <f t="shared" ca="1" si="107"/>
        <v/>
      </c>
      <c r="BG36" s="23" t="str">
        <f t="shared" ca="1" si="108"/>
        <v/>
      </c>
      <c r="BH36" s="23" t="str">
        <f t="shared" ca="1" si="109"/>
        <v/>
      </c>
      <c r="BI36" s="23" t="str">
        <f t="shared" ca="1" si="110"/>
        <v/>
      </c>
      <c r="BJ36" s="23" t="str">
        <f t="shared" ca="1" si="111"/>
        <v/>
      </c>
      <c r="BK36" s="23" t="str">
        <f t="shared" ca="1" si="112"/>
        <v/>
      </c>
      <c r="BL36" s="23" t="str">
        <f t="shared" ca="1" si="113"/>
        <v/>
      </c>
      <c r="BM36" s="23" t="str">
        <f t="shared" ca="1" si="114"/>
        <v/>
      </c>
      <c r="BN36" s="23" t="str">
        <f t="shared" ca="1" si="115"/>
        <v/>
      </c>
      <c r="BO36" s="23" t="str">
        <f t="shared" ca="1" si="116"/>
        <v/>
      </c>
      <c r="BP36" s="23" t="str">
        <f t="shared" ca="1" si="117"/>
        <v/>
      </c>
      <c r="BQ36" s="23" t="str">
        <f t="shared" ca="1" si="118"/>
        <v/>
      </c>
      <c r="BR36" s="23" t="str">
        <f t="shared" ca="1" si="119"/>
        <v/>
      </c>
      <c r="BS36" s="23" t="str">
        <f t="shared" ca="1" si="120"/>
        <v/>
      </c>
      <c r="BT36" s="23" t="str">
        <f t="shared" ca="1" si="121"/>
        <v/>
      </c>
      <c r="BU36" s="23" t="str">
        <f t="shared" ca="1" si="122"/>
        <v/>
      </c>
      <c r="BV36" s="23" t="str">
        <f t="shared" ca="1" si="123"/>
        <v/>
      </c>
      <c r="BW36" s="23" t="str">
        <f t="shared" ca="1" si="124"/>
        <v/>
      </c>
      <c r="BX36" s="23" t="str">
        <f t="shared" ca="1" si="125"/>
        <v/>
      </c>
      <c r="BY36" s="23" t="str">
        <f t="shared" ca="1" si="126"/>
        <v/>
      </c>
      <c r="BZ36" s="23" t="str">
        <f t="shared" ca="1" si="127"/>
        <v/>
      </c>
      <c r="CA36" s="23" t="str">
        <f t="shared" ca="1" si="128"/>
        <v/>
      </c>
      <c r="CB36" s="23" t="str">
        <f t="shared" ca="1" si="129"/>
        <v/>
      </c>
      <c r="CC36" s="23" t="str">
        <f t="shared" ca="1" si="130"/>
        <v/>
      </c>
      <c r="CD36" s="23" t="str">
        <f t="shared" ca="1" si="131"/>
        <v/>
      </c>
      <c r="CE36" s="23" t="str">
        <f t="shared" ca="1" si="132"/>
        <v/>
      </c>
      <c r="CF36" s="23" t="str">
        <f t="shared" ca="1" si="133"/>
        <v/>
      </c>
      <c r="CG36" s="23" t="str">
        <f t="shared" ca="1" si="134"/>
        <v/>
      </c>
      <c r="CH36" s="23" t="str">
        <f t="shared" ca="1" si="135"/>
        <v/>
      </c>
      <c r="CI36" s="23" t="str">
        <f t="shared" ca="1" si="136"/>
        <v/>
      </c>
      <c r="CJ36" s="23" t="str">
        <f t="shared" ca="1" si="137"/>
        <v/>
      </c>
      <c r="CK36" s="23" t="str">
        <f t="shared" ca="1" si="138"/>
        <v/>
      </c>
      <c r="CL36" s="23" t="str">
        <f t="shared" ca="1" si="139"/>
        <v/>
      </c>
      <c r="CM36" s="23" t="str">
        <f t="shared" ca="1" si="140"/>
        <v/>
      </c>
      <c r="CN36" s="23" t="str">
        <f t="shared" ca="1" si="141"/>
        <v/>
      </c>
      <c r="CO36" s="23" t="str">
        <f t="shared" ca="1" si="142"/>
        <v/>
      </c>
      <c r="CP36" s="23" t="str">
        <f t="shared" ca="1" si="143"/>
        <v/>
      </c>
      <c r="CQ36" s="23" t="str">
        <f t="shared" ca="1" si="144"/>
        <v/>
      </c>
      <c r="CR36" s="23" t="str">
        <f t="shared" ca="1" si="145"/>
        <v/>
      </c>
      <c r="CS36" s="23" t="str">
        <f t="shared" ca="1" si="146"/>
        <v/>
      </c>
      <c r="CT36" s="23" t="str">
        <f t="shared" ca="1" si="147"/>
        <v/>
      </c>
      <c r="CU36" s="23" t="str">
        <f t="shared" ca="1" si="148"/>
        <v/>
      </c>
      <c r="CV36" s="23" t="str">
        <f t="shared" ca="1" si="149"/>
        <v/>
      </c>
      <c r="CW36" s="23" t="str">
        <f t="shared" ca="1" si="150"/>
        <v/>
      </c>
      <c r="CX36" s="23" t="str">
        <f ca="1">IF(CX$11="","",IF(CX$13=$M$5,CHOOSE($Q$6+1,$M$1,CY36+CZ36-#REF!),IF(CX$13=$M$6,CHOOSE($Q$6+1,$M$1,OFFSET($A36,,$P$7-1)),IF(CX$13=$M$7,CHOOSE($Q$6+1,$M$1,SUM(OFFSET($A$11,$B36-$O$5,$O$6,1,-$P$6))),IF(CX$13=$M$8,CHOOSE($Q$6+1,$M$1,SUM(OFFSET($A$11,$B36-$O$5,$O$7,1,-$P$6))),IF(CX$11&lt;$D$7,OFFSET(INDIRECT($D$3),$A36-1,$Q$3+CX$11),OFFSET(INDIRECT($D$4),$A36-1,$Q$4+CX$11)))))))</f>
        <v/>
      </c>
      <c r="CY36" s="23" t="str">
        <f ca="1">IF(CY$11="","",IF(CY$13=$M$5,CHOOSE($Q$6+1,$M$1,CZ36+#REF!-#REF!),IF(CY$13=$M$6,CHOOSE($Q$6+1,$M$1,OFFSET($A36,,$P$7-1)),IF(CY$13=$M$7,CHOOSE($Q$6+1,$M$1,SUM(OFFSET($A$11,$B36-$O$5,$O$6,1,-$P$6))),IF(CY$13=$M$8,CHOOSE($Q$6+1,$M$1,SUM(OFFSET($A$11,$B36-$O$5,$O$7,1,-$P$6))),IF(CY$11&lt;$D$7,OFFSET(INDIRECT($D$3),$A36-1,$Q$3+CY$11),OFFSET(INDIRECT($D$4),$A36-1,$Q$4+CY$11)))))))</f>
        <v/>
      </c>
      <c r="CZ36" s="23" t="str">
        <f ca="1">IF(CZ$11="","",IF(CZ$13=$M$5,CHOOSE($Q$6+1,$M$1,#REF!+#REF!-#REF!),IF(CZ$13=$M$6,CHOOSE($Q$6+1,$M$1,OFFSET($A36,,$P$7-1)),IF(CZ$13=$M$7,CHOOSE($Q$6+1,$M$1,SUM(OFFSET($A$11,$B36-$O$5,$O$6,1,-$P$6))),IF(CZ$13=$M$8,CHOOSE($Q$6+1,$M$1,SUM(OFFSET($A$11,$B36-$O$5,$O$7,1,-$P$6))),IF(CZ$11&lt;$D$7,OFFSET(INDIRECT($D$3),$A36-1,$Q$3+CZ$11),OFFSET(INDIRECT($D$4),$A36-1,$Q$4+CZ$11)))))))</f>
        <v/>
      </c>
    </row>
    <row r="37" spans="1:104" ht="13.5" customHeight="1">
      <c r="A37" s="27">
        <v>35</v>
      </c>
      <c r="B37" s="33">
        <f t="shared" si="14"/>
        <v>37</v>
      </c>
      <c r="C37" s="8" t="s">
        <v>313</v>
      </c>
      <c r="D37" s="23">
        <f t="shared" ca="1" si="53"/>
        <v>0</v>
      </c>
      <c r="E37" s="23">
        <f t="shared" ca="1" si="54"/>
        <v>0</v>
      </c>
      <c r="F37" s="23">
        <f t="shared" ca="1" si="55"/>
        <v>0</v>
      </c>
      <c r="G37" s="23">
        <f t="shared" ca="1" si="56"/>
        <v>0</v>
      </c>
      <c r="H37" s="23">
        <f t="shared" ca="1" si="57"/>
        <v>0</v>
      </c>
      <c r="I37" s="23">
        <f t="shared" ca="1" si="58"/>
        <v>0</v>
      </c>
      <c r="J37" s="23">
        <f t="shared" ca="1" si="59"/>
        <v>0</v>
      </c>
      <c r="K37" s="23">
        <f t="shared" ca="1" si="60"/>
        <v>0</v>
      </c>
      <c r="L37" s="23">
        <f t="shared" ca="1" si="61"/>
        <v>0</v>
      </c>
      <c r="M37" s="23">
        <f t="shared" ca="1" si="62"/>
        <v>0</v>
      </c>
      <c r="N37" s="23">
        <f t="shared" ca="1" si="63"/>
        <v>0</v>
      </c>
      <c r="O37" s="23">
        <f t="shared" ca="1" si="64"/>
        <v>0</v>
      </c>
      <c r="P37" s="23">
        <f t="shared" ca="1" si="65"/>
        <v>0</v>
      </c>
      <c r="Q37" s="23">
        <f t="shared" ca="1" si="66"/>
        <v>0</v>
      </c>
      <c r="R37" s="23" t="str">
        <f t="shared" ca="1" si="67"/>
        <v/>
      </c>
      <c r="S37" s="23" t="str">
        <f t="shared" ca="1" si="68"/>
        <v/>
      </c>
      <c r="T37" s="23" t="str">
        <f t="shared" ca="1" si="69"/>
        <v/>
      </c>
      <c r="U37" s="23" t="str">
        <f t="shared" ca="1" si="70"/>
        <v/>
      </c>
      <c r="V37" s="23" t="str">
        <f t="shared" ca="1" si="71"/>
        <v/>
      </c>
      <c r="W37" s="23" t="str">
        <f t="shared" ca="1" si="72"/>
        <v/>
      </c>
      <c r="X37" s="23" t="str">
        <f t="shared" ca="1" si="73"/>
        <v/>
      </c>
      <c r="Y37" s="23" t="str">
        <f t="shared" ca="1" si="74"/>
        <v/>
      </c>
      <c r="Z37" s="23" t="str">
        <f t="shared" ca="1" si="75"/>
        <v/>
      </c>
      <c r="AA37" s="23" t="str">
        <f t="shared" ca="1" si="76"/>
        <v/>
      </c>
      <c r="AB37" s="23" t="str">
        <f t="shared" ca="1" si="77"/>
        <v/>
      </c>
      <c r="AC37" s="23" t="str">
        <f t="shared" ca="1" si="78"/>
        <v/>
      </c>
      <c r="AD37" s="23" t="str">
        <f t="shared" ca="1" si="79"/>
        <v/>
      </c>
      <c r="AE37" s="23" t="str">
        <f t="shared" ca="1" si="80"/>
        <v/>
      </c>
      <c r="AF37" s="23" t="str">
        <f t="shared" ca="1" si="81"/>
        <v/>
      </c>
      <c r="AG37" s="23" t="str">
        <f t="shared" ca="1" si="82"/>
        <v/>
      </c>
      <c r="AH37" s="23" t="str">
        <f t="shared" ca="1" si="83"/>
        <v/>
      </c>
      <c r="AI37" s="23" t="str">
        <f t="shared" ca="1" si="84"/>
        <v/>
      </c>
      <c r="AJ37" s="23" t="str">
        <f t="shared" ca="1" si="85"/>
        <v/>
      </c>
      <c r="AK37" s="23" t="str">
        <f t="shared" ca="1" si="86"/>
        <v/>
      </c>
      <c r="AL37" s="23" t="str">
        <f t="shared" ca="1" si="87"/>
        <v/>
      </c>
      <c r="AM37" s="23" t="str">
        <f t="shared" ca="1" si="88"/>
        <v/>
      </c>
      <c r="AN37" s="23" t="str">
        <f t="shared" ca="1" si="89"/>
        <v/>
      </c>
      <c r="AO37" s="23" t="str">
        <f t="shared" ca="1" si="90"/>
        <v/>
      </c>
      <c r="AP37" s="23" t="str">
        <f t="shared" ca="1" si="91"/>
        <v/>
      </c>
      <c r="AQ37" s="23" t="str">
        <f t="shared" ca="1" si="92"/>
        <v/>
      </c>
      <c r="AR37" s="23" t="str">
        <f t="shared" ca="1" si="93"/>
        <v/>
      </c>
      <c r="AS37" s="23" t="str">
        <f t="shared" ca="1" si="94"/>
        <v/>
      </c>
      <c r="AT37" s="23" t="str">
        <f t="shared" ca="1" si="95"/>
        <v/>
      </c>
      <c r="AU37" s="23" t="str">
        <f t="shared" ca="1" si="96"/>
        <v/>
      </c>
      <c r="AV37" s="23" t="str">
        <f t="shared" ca="1" si="97"/>
        <v/>
      </c>
      <c r="AW37" s="23" t="str">
        <f t="shared" ca="1" si="98"/>
        <v/>
      </c>
      <c r="AX37" s="23" t="str">
        <f t="shared" ca="1" si="99"/>
        <v/>
      </c>
      <c r="AY37" s="23" t="str">
        <f t="shared" ca="1" si="100"/>
        <v/>
      </c>
      <c r="AZ37" s="23" t="str">
        <f t="shared" ca="1" si="101"/>
        <v/>
      </c>
      <c r="BA37" s="23" t="str">
        <f t="shared" ca="1" si="102"/>
        <v/>
      </c>
      <c r="BB37" s="23" t="str">
        <f t="shared" ca="1" si="103"/>
        <v/>
      </c>
      <c r="BC37" s="23" t="str">
        <f t="shared" ca="1" si="104"/>
        <v/>
      </c>
      <c r="BD37" s="23" t="str">
        <f t="shared" ca="1" si="105"/>
        <v/>
      </c>
      <c r="BE37" s="23" t="str">
        <f t="shared" ca="1" si="106"/>
        <v/>
      </c>
      <c r="BF37" s="23" t="str">
        <f t="shared" ca="1" si="107"/>
        <v/>
      </c>
      <c r="BG37" s="23" t="str">
        <f t="shared" ca="1" si="108"/>
        <v/>
      </c>
      <c r="BH37" s="23" t="str">
        <f t="shared" ca="1" si="109"/>
        <v/>
      </c>
      <c r="BI37" s="23" t="str">
        <f t="shared" ca="1" si="110"/>
        <v/>
      </c>
      <c r="BJ37" s="23" t="str">
        <f t="shared" ca="1" si="111"/>
        <v/>
      </c>
      <c r="BK37" s="23" t="str">
        <f t="shared" ca="1" si="112"/>
        <v/>
      </c>
      <c r="BL37" s="23" t="str">
        <f t="shared" ca="1" si="113"/>
        <v/>
      </c>
      <c r="BM37" s="23" t="str">
        <f t="shared" ca="1" si="114"/>
        <v/>
      </c>
      <c r="BN37" s="23" t="str">
        <f t="shared" ca="1" si="115"/>
        <v/>
      </c>
      <c r="BO37" s="23" t="str">
        <f t="shared" ca="1" si="116"/>
        <v/>
      </c>
      <c r="BP37" s="23" t="str">
        <f t="shared" ca="1" si="117"/>
        <v/>
      </c>
      <c r="BQ37" s="23" t="str">
        <f t="shared" ca="1" si="118"/>
        <v/>
      </c>
      <c r="BR37" s="23" t="str">
        <f t="shared" ca="1" si="119"/>
        <v/>
      </c>
      <c r="BS37" s="23" t="str">
        <f t="shared" ca="1" si="120"/>
        <v/>
      </c>
      <c r="BT37" s="23" t="str">
        <f t="shared" ca="1" si="121"/>
        <v/>
      </c>
      <c r="BU37" s="23" t="str">
        <f t="shared" ca="1" si="122"/>
        <v/>
      </c>
      <c r="BV37" s="23" t="str">
        <f t="shared" ca="1" si="123"/>
        <v/>
      </c>
      <c r="BW37" s="23" t="str">
        <f t="shared" ca="1" si="124"/>
        <v/>
      </c>
      <c r="BX37" s="23" t="str">
        <f t="shared" ca="1" si="125"/>
        <v/>
      </c>
      <c r="BY37" s="23" t="str">
        <f t="shared" ca="1" si="126"/>
        <v/>
      </c>
      <c r="BZ37" s="23" t="str">
        <f t="shared" ca="1" si="127"/>
        <v/>
      </c>
      <c r="CA37" s="23" t="str">
        <f t="shared" ca="1" si="128"/>
        <v/>
      </c>
      <c r="CB37" s="23" t="str">
        <f t="shared" ca="1" si="129"/>
        <v/>
      </c>
      <c r="CC37" s="23" t="str">
        <f t="shared" ca="1" si="130"/>
        <v/>
      </c>
      <c r="CD37" s="23" t="str">
        <f t="shared" ca="1" si="131"/>
        <v/>
      </c>
      <c r="CE37" s="23" t="str">
        <f t="shared" ca="1" si="132"/>
        <v/>
      </c>
      <c r="CF37" s="23" t="str">
        <f t="shared" ca="1" si="133"/>
        <v/>
      </c>
      <c r="CG37" s="23" t="str">
        <f t="shared" ca="1" si="134"/>
        <v/>
      </c>
      <c r="CH37" s="23" t="str">
        <f t="shared" ca="1" si="135"/>
        <v/>
      </c>
      <c r="CI37" s="23" t="str">
        <f t="shared" ca="1" si="136"/>
        <v/>
      </c>
      <c r="CJ37" s="23" t="str">
        <f t="shared" ca="1" si="137"/>
        <v/>
      </c>
      <c r="CK37" s="23" t="str">
        <f t="shared" ca="1" si="138"/>
        <v/>
      </c>
      <c r="CL37" s="23" t="str">
        <f t="shared" ca="1" si="139"/>
        <v/>
      </c>
      <c r="CM37" s="23" t="str">
        <f t="shared" ca="1" si="140"/>
        <v/>
      </c>
      <c r="CN37" s="23" t="str">
        <f t="shared" ca="1" si="141"/>
        <v/>
      </c>
      <c r="CO37" s="23" t="str">
        <f t="shared" ca="1" si="142"/>
        <v/>
      </c>
      <c r="CP37" s="23" t="str">
        <f t="shared" ca="1" si="143"/>
        <v/>
      </c>
      <c r="CQ37" s="23" t="str">
        <f t="shared" ca="1" si="144"/>
        <v/>
      </c>
      <c r="CR37" s="23" t="str">
        <f t="shared" ca="1" si="145"/>
        <v/>
      </c>
      <c r="CS37" s="23" t="str">
        <f t="shared" ca="1" si="146"/>
        <v/>
      </c>
      <c r="CT37" s="23" t="str">
        <f t="shared" ca="1" si="147"/>
        <v/>
      </c>
      <c r="CU37" s="23" t="str">
        <f t="shared" ca="1" si="148"/>
        <v/>
      </c>
      <c r="CV37" s="23" t="str">
        <f t="shared" ca="1" si="149"/>
        <v/>
      </c>
      <c r="CW37" s="23" t="str">
        <f t="shared" ca="1" si="150"/>
        <v/>
      </c>
      <c r="CX37" s="23" t="str">
        <f ca="1">IF(CX$11="","",IF(CX$13=$M$5,CHOOSE($Q$6+1,$M$1,CY37+CZ37-#REF!),IF(CX$13=$M$6,CHOOSE($Q$6+1,$M$1,OFFSET($A37,,$P$7-1)),IF(CX$13=$M$7,CHOOSE($Q$6+1,$M$1,SUM(OFFSET($A$11,$B37-$O$5,$O$6,1,-$P$6))),IF(CX$13=$M$8,CHOOSE($Q$6+1,$M$1,SUM(OFFSET($A$11,$B37-$O$5,$O$7,1,-$P$6))),IF(CX$11&lt;$D$7,OFFSET(INDIRECT($D$3),$A37-1,$Q$3+CX$11),OFFSET(INDIRECT($D$4),$A37-1,$Q$4+CX$11)))))))</f>
        <v/>
      </c>
      <c r="CY37" s="23" t="str">
        <f ca="1">IF(CY$11="","",IF(CY$13=$M$5,CHOOSE($Q$6+1,$M$1,CZ37+#REF!-#REF!),IF(CY$13=$M$6,CHOOSE($Q$6+1,$M$1,OFFSET($A37,,$P$7-1)),IF(CY$13=$M$7,CHOOSE($Q$6+1,$M$1,SUM(OFFSET($A$11,$B37-$O$5,$O$6,1,-$P$6))),IF(CY$13=$M$8,CHOOSE($Q$6+1,$M$1,SUM(OFFSET($A$11,$B37-$O$5,$O$7,1,-$P$6))),IF(CY$11&lt;$D$7,OFFSET(INDIRECT($D$3),$A37-1,$Q$3+CY$11),OFFSET(INDIRECT($D$4),$A37-1,$Q$4+CY$11)))))))</f>
        <v/>
      </c>
      <c r="CZ37" s="23" t="str">
        <f ca="1">IF(CZ$11="","",IF(CZ$13=$M$5,CHOOSE($Q$6+1,$M$1,#REF!+#REF!-#REF!),IF(CZ$13=$M$6,CHOOSE($Q$6+1,$M$1,OFFSET($A37,,$P$7-1)),IF(CZ$13=$M$7,CHOOSE($Q$6+1,$M$1,SUM(OFFSET($A$11,$B37-$O$5,$O$6,1,-$P$6))),IF(CZ$13=$M$8,CHOOSE($Q$6+1,$M$1,SUM(OFFSET($A$11,$B37-$O$5,$O$7,1,-$P$6))),IF(CZ$11&lt;$D$7,OFFSET(INDIRECT($D$3),$A37-1,$Q$3+CZ$11),OFFSET(INDIRECT($D$4),$A37-1,$Q$4+CZ$11)))))))</f>
        <v/>
      </c>
    </row>
    <row r="38" spans="1:104" ht="13.5" customHeight="1">
      <c r="A38" s="27">
        <v>36</v>
      </c>
      <c r="B38" s="33">
        <f t="shared" si="14"/>
        <v>38</v>
      </c>
      <c r="C38" s="8" t="s">
        <v>314</v>
      </c>
      <c r="D38" s="23">
        <f t="shared" ca="1" si="53"/>
        <v>0</v>
      </c>
      <c r="E38" s="23">
        <f t="shared" ca="1" si="54"/>
        <v>0</v>
      </c>
      <c r="F38" s="23">
        <f t="shared" ca="1" si="55"/>
        <v>0</v>
      </c>
      <c r="G38" s="23">
        <f t="shared" ca="1" si="56"/>
        <v>0</v>
      </c>
      <c r="H38" s="23">
        <f t="shared" ca="1" si="57"/>
        <v>0</v>
      </c>
      <c r="I38" s="23">
        <f t="shared" ca="1" si="58"/>
        <v>0</v>
      </c>
      <c r="J38" s="23">
        <f t="shared" ca="1" si="59"/>
        <v>0</v>
      </c>
      <c r="K38" s="23">
        <f t="shared" ca="1" si="60"/>
        <v>0</v>
      </c>
      <c r="L38" s="23">
        <f t="shared" ca="1" si="61"/>
        <v>0</v>
      </c>
      <c r="M38" s="23">
        <f t="shared" ca="1" si="62"/>
        <v>0</v>
      </c>
      <c r="N38" s="23">
        <f t="shared" ca="1" si="63"/>
        <v>0</v>
      </c>
      <c r="O38" s="23">
        <f t="shared" ca="1" si="64"/>
        <v>0</v>
      </c>
      <c r="P38" s="23">
        <f t="shared" ca="1" si="65"/>
        <v>0</v>
      </c>
      <c r="Q38" s="23">
        <f t="shared" ca="1" si="66"/>
        <v>0</v>
      </c>
      <c r="R38" s="23" t="str">
        <f t="shared" ca="1" si="67"/>
        <v/>
      </c>
      <c r="S38" s="23" t="str">
        <f t="shared" ca="1" si="68"/>
        <v/>
      </c>
      <c r="T38" s="23" t="str">
        <f t="shared" ca="1" si="69"/>
        <v/>
      </c>
      <c r="U38" s="23" t="str">
        <f t="shared" ca="1" si="70"/>
        <v/>
      </c>
      <c r="V38" s="23" t="str">
        <f t="shared" ca="1" si="71"/>
        <v/>
      </c>
      <c r="W38" s="23" t="str">
        <f t="shared" ca="1" si="72"/>
        <v/>
      </c>
      <c r="X38" s="23" t="str">
        <f t="shared" ca="1" si="73"/>
        <v/>
      </c>
      <c r="Y38" s="23" t="str">
        <f t="shared" ca="1" si="74"/>
        <v/>
      </c>
      <c r="Z38" s="23" t="str">
        <f t="shared" ca="1" si="75"/>
        <v/>
      </c>
      <c r="AA38" s="23" t="str">
        <f t="shared" ca="1" si="76"/>
        <v/>
      </c>
      <c r="AB38" s="23" t="str">
        <f t="shared" ca="1" si="77"/>
        <v/>
      </c>
      <c r="AC38" s="23" t="str">
        <f t="shared" ca="1" si="78"/>
        <v/>
      </c>
      <c r="AD38" s="23" t="str">
        <f t="shared" ca="1" si="79"/>
        <v/>
      </c>
      <c r="AE38" s="23" t="str">
        <f t="shared" ca="1" si="80"/>
        <v/>
      </c>
      <c r="AF38" s="23" t="str">
        <f t="shared" ca="1" si="81"/>
        <v/>
      </c>
      <c r="AG38" s="23" t="str">
        <f t="shared" ca="1" si="82"/>
        <v/>
      </c>
      <c r="AH38" s="23" t="str">
        <f t="shared" ca="1" si="83"/>
        <v/>
      </c>
      <c r="AI38" s="23" t="str">
        <f t="shared" ca="1" si="84"/>
        <v/>
      </c>
      <c r="AJ38" s="23" t="str">
        <f t="shared" ca="1" si="85"/>
        <v/>
      </c>
      <c r="AK38" s="23" t="str">
        <f t="shared" ca="1" si="86"/>
        <v/>
      </c>
      <c r="AL38" s="23" t="str">
        <f t="shared" ca="1" si="87"/>
        <v/>
      </c>
      <c r="AM38" s="23" t="str">
        <f t="shared" ca="1" si="88"/>
        <v/>
      </c>
      <c r="AN38" s="23" t="str">
        <f t="shared" ca="1" si="89"/>
        <v/>
      </c>
      <c r="AO38" s="23" t="str">
        <f t="shared" ca="1" si="90"/>
        <v/>
      </c>
      <c r="AP38" s="23" t="str">
        <f t="shared" ca="1" si="91"/>
        <v/>
      </c>
      <c r="AQ38" s="23" t="str">
        <f t="shared" ca="1" si="92"/>
        <v/>
      </c>
      <c r="AR38" s="23" t="str">
        <f t="shared" ca="1" si="93"/>
        <v/>
      </c>
      <c r="AS38" s="23" t="str">
        <f t="shared" ca="1" si="94"/>
        <v/>
      </c>
      <c r="AT38" s="23" t="str">
        <f t="shared" ca="1" si="95"/>
        <v/>
      </c>
      <c r="AU38" s="23" t="str">
        <f t="shared" ca="1" si="96"/>
        <v/>
      </c>
      <c r="AV38" s="23" t="str">
        <f t="shared" ca="1" si="97"/>
        <v/>
      </c>
      <c r="AW38" s="23" t="str">
        <f t="shared" ca="1" si="98"/>
        <v/>
      </c>
      <c r="AX38" s="23" t="str">
        <f t="shared" ca="1" si="99"/>
        <v/>
      </c>
      <c r="AY38" s="23" t="str">
        <f t="shared" ca="1" si="100"/>
        <v/>
      </c>
      <c r="AZ38" s="23" t="str">
        <f t="shared" ca="1" si="101"/>
        <v/>
      </c>
      <c r="BA38" s="23" t="str">
        <f t="shared" ca="1" si="102"/>
        <v/>
      </c>
      <c r="BB38" s="23" t="str">
        <f t="shared" ca="1" si="103"/>
        <v/>
      </c>
      <c r="BC38" s="23" t="str">
        <f t="shared" ca="1" si="104"/>
        <v/>
      </c>
      <c r="BD38" s="23" t="str">
        <f t="shared" ca="1" si="105"/>
        <v/>
      </c>
      <c r="BE38" s="23" t="str">
        <f t="shared" ca="1" si="106"/>
        <v/>
      </c>
      <c r="BF38" s="23" t="str">
        <f t="shared" ca="1" si="107"/>
        <v/>
      </c>
      <c r="BG38" s="23" t="str">
        <f t="shared" ca="1" si="108"/>
        <v/>
      </c>
      <c r="BH38" s="23" t="str">
        <f t="shared" ca="1" si="109"/>
        <v/>
      </c>
      <c r="BI38" s="23" t="str">
        <f t="shared" ca="1" si="110"/>
        <v/>
      </c>
      <c r="BJ38" s="23" t="str">
        <f t="shared" ca="1" si="111"/>
        <v/>
      </c>
      <c r="BK38" s="23" t="str">
        <f t="shared" ca="1" si="112"/>
        <v/>
      </c>
      <c r="BL38" s="23" t="str">
        <f t="shared" ca="1" si="113"/>
        <v/>
      </c>
      <c r="BM38" s="23" t="str">
        <f t="shared" ca="1" si="114"/>
        <v/>
      </c>
      <c r="BN38" s="23" t="str">
        <f t="shared" ca="1" si="115"/>
        <v/>
      </c>
      <c r="BO38" s="23" t="str">
        <f t="shared" ca="1" si="116"/>
        <v/>
      </c>
      <c r="BP38" s="23" t="str">
        <f t="shared" ca="1" si="117"/>
        <v/>
      </c>
      <c r="BQ38" s="23" t="str">
        <f t="shared" ca="1" si="118"/>
        <v/>
      </c>
      <c r="BR38" s="23" t="str">
        <f t="shared" ca="1" si="119"/>
        <v/>
      </c>
      <c r="BS38" s="23" t="str">
        <f t="shared" ca="1" si="120"/>
        <v/>
      </c>
      <c r="BT38" s="23" t="str">
        <f t="shared" ca="1" si="121"/>
        <v/>
      </c>
      <c r="BU38" s="23" t="str">
        <f t="shared" ca="1" si="122"/>
        <v/>
      </c>
      <c r="BV38" s="23" t="str">
        <f t="shared" ca="1" si="123"/>
        <v/>
      </c>
      <c r="BW38" s="23" t="str">
        <f t="shared" ca="1" si="124"/>
        <v/>
      </c>
      <c r="BX38" s="23" t="str">
        <f t="shared" ca="1" si="125"/>
        <v/>
      </c>
      <c r="BY38" s="23" t="str">
        <f t="shared" ca="1" si="126"/>
        <v/>
      </c>
      <c r="BZ38" s="23" t="str">
        <f t="shared" ca="1" si="127"/>
        <v/>
      </c>
      <c r="CA38" s="23" t="str">
        <f t="shared" ca="1" si="128"/>
        <v/>
      </c>
      <c r="CB38" s="23" t="str">
        <f t="shared" ca="1" si="129"/>
        <v/>
      </c>
      <c r="CC38" s="23" t="str">
        <f t="shared" ca="1" si="130"/>
        <v/>
      </c>
      <c r="CD38" s="23" t="str">
        <f t="shared" ca="1" si="131"/>
        <v/>
      </c>
      <c r="CE38" s="23" t="str">
        <f t="shared" ca="1" si="132"/>
        <v/>
      </c>
      <c r="CF38" s="23" t="str">
        <f t="shared" ca="1" si="133"/>
        <v/>
      </c>
      <c r="CG38" s="23" t="str">
        <f t="shared" ca="1" si="134"/>
        <v/>
      </c>
      <c r="CH38" s="23" t="str">
        <f t="shared" ca="1" si="135"/>
        <v/>
      </c>
      <c r="CI38" s="23" t="str">
        <f t="shared" ca="1" si="136"/>
        <v/>
      </c>
      <c r="CJ38" s="23" t="str">
        <f t="shared" ca="1" si="137"/>
        <v/>
      </c>
      <c r="CK38" s="23" t="str">
        <f t="shared" ca="1" si="138"/>
        <v/>
      </c>
      <c r="CL38" s="23" t="str">
        <f t="shared" ca="1" si="139"/>
        <v/>
      </c>
      <c r="CM38" s="23" t="str">
        <f t="shared" ca="1" si="140"/>
        <v/>
      </c>
      <c r="CN38" s="23" t="str">
        <f t="shared" ca="1" si="141"/>
        <v/>
      </c>
      <c r="CO38" s="23" t="str">
        <f t="shared" ca="1" si="142"/>
        <v/>
      </c>
      <c r="CP38" s="23" t="str">
        <f t="shared" ca="1" si="143"/>
        <v/>
      </c>
      <c r="CQ38" s="23" t="str">
        <f t="shared" ca="1" si="144"/>
        <v/>
      </c>
      <c r="CR38" s="23" t="str">
        <f t="shared" ca="1" si="145"/>
        <v/>
      </c>
      <c r="CS38" s="23" t="str">
        <f t="shared" ca="1" si="146"/>
        <v/>
      </c>
      <c r="CT38" s="23" t="str">
        <f t="shared" ca="1" si="147"/>
        <v/>
      </c>
      <c r="CU38" s="23" t="str">
        <f t="shared" ca="1" si="148"/>
        <v/>
      </c>
      <c r="CV38" s="23" t="str">
        <f t="shared" ca="1" si="149"/>
        <v/>
      </c>
      <c r="CW38" s="23" t="str">
        <f t="shared" ca="1" si="150"/>
        <v/>
      </c>
      <c r="CX38" s="23" t="str">
        <f ca="1">IF(CX$11="","",IF(CX$13=$M$5,CHOOSE($Q$6+1,$M$1,CY38+CZ38-#REF!),IF(CX$13=$M$6,CHOOSE($Q$6+1,$M$1,OFFSET($A38,,$P$7-1)),IF(CX$13=$M$7,CHOOSE($Q$6+1,$M$1,SUM(OFFSET($A$11,$B38-$O$5,$O$6,1,-$P$6))),IF(CX$13=$M$8,CHOOSE($Q$6+1,$M$1,SUM(OFFSET($A$11,$B38-$O$5,$O$7,1,-$P$6))),IF(CX$11&lt;$D$7,OFFSET(INDIRECT($D$3),$A38-1,$Q$3+CX$11),OFFSET(INDIRECT($D$4),$A38-1,$Q$4+CX$11)))))))</f>
        <v/>
      </c>
      <c r="CY38" s="23" t="str">
        <f ca="1">IF(CY$11="","",IF(CY$13=$M$5,CHOOSE($Q$6+1,$M$1,CZ38+#REF!-#REF!),IF(CY$13=$M$6,CHOOSE($Q$6+1,$M$1,OFFSET($A38,,$P$7-1)),IF(CY$13=$M$7,CHOOSE($Q$6+1,$M$1,SUM(OFFSET($A$11,$B38-$O$5,$O$6,1,-$P$6))),IF(CY$13=$M$8,CHOOSE($Q$6+1,$M$1,SUM(OFFSET($A$11,$B38-$O$5,$O$7,1,-$P$6))),IF(CY$11&lt;$D$7,OFFSET(INDIRECT($D$3),$A38-1,$Q$3+CY$11),OFFSET(INDIRECT($D$4),$A38-1,$Q$4+CY$11)))))))</f>
        <v/>
      </c>
      <c r="CZ38" s="23" t="str">
        <f ca="1">IF(CZ$11="","",IF(CZ$13=$M$5,CHOOSE($Q$6+1,$M$1,#REF!+#REF!-#REF!),IF(CZ$13=$M$6,CHOOSE($Q$6+1,$M$1,OFFSET($A38,,$P$7-1)),IF(CZ$13=$M$7,CHOOSE($Q$6+1,$M$1,SUM(OFFSET($A$11,$B38-$O$5,$O$6,1,-$P$6))),IF(CZ$13=$M$8,CHOOSE($Q$6+1,$M$1,SUM(OFFSET($A$11,$B38-$O$5,$O$7,1,-$P$6))),IF(CZ$11&lt;$D$7,OFFSET(INDIRECT($D$3),$A38-1,$Q$3+CZ$11),OFFSET(INDIRECT($D$4),$A38-1,$Q$4+CZ$11)))))))</f>
        <v/>
      </c>
    </row>
    <row r="39" spans="1:104" ht="13.5" customHeight="1">
      <c r="A39" s="30">
        <v>38</v>
      </c>
      <c r="B39" s="33">
        <f t="shared" si="14"/>
        <v>39</v>
      </c>
      <c r="C39" s="9" t="s">
        <v>45</v>
      </c>
      <c r="D39" s="23">
        <f t="shared" ca="1" si="53"/>
        <v>34205</v>
      </c>
      <c r="E39" s="23">
        <f t="shared" ca="1" si="54"/>
        <v>55763</v>
      </c>
      <c r="F39" s="23">
        <f t="shared" ca="1" si="55"/>
        <v>7900</v>
      </c>
      <c r="G39" s="23">
        <f t="shared" ca="1" si="56"/>
        <v>9551</v>
      </c>
      <c r="H39" s="23">
        <f t="shared" ca="1" si="57"/>
        <v>8791</v>
      </c>
      <c r="I39" s="23">
        <f t="shared" ca="1" si="58"/>
        <v>17477</v>
      </c>
      <c r="J39" s="23">
        <f t="shared" ca="1" si="59"/>
        <v>15532</v>
      </c>
      <c r="K39" s="23">
        <f t="shared" ca="1" si="60"/>
        <v>11861</v>
      </c>
      <c r="L39" s="23">
        <f t="shared" ca="1" si="61"/>
        <v>10893</v>
      </c>
      <c r="M39" s="23">
        <f t="shared" ca="1" si="62"/>
        <v>17672</v>
      </c>
      <c r="N39" s="23">
        <f t="shared" ca="1" si="63"/>
        <v>55958</v>
      </c>
      <c r="O39" s="23">
        <f t="shared" ca="1" si="64"/>
        <v>55763</v>
      </c>
      <c r="P39" s="23">
        <f t="shared" ca="1" si="65"/>
        <v>17672</v>
      </c>
      <c r="Q39" s="23">
        <f t="shared" ca="1" si="66"/>
        <v>17477</v>
      </c>
      <c r="R39" s="23" t="str">
        <f t="shared" ca="1" si="67"/>
        <v/>
      </c>
      <c r="S39" s="23" t="str">
        <f t="shared" ca="1" si="68"/>
        <v/>
      </c>
      <c r="T39" s="23" t="str">
        <f t="shared" ca="1" si="69"/>
        <v/>
      </c>
      <c r="U39" s="23" t="str">
        <f t="shared" ca="1" si="70"/>
        <v/>
      </c>
      <c r="V39" s="23" t="str">
        <f t="shared" ca="1" si="71"/>
        <v/>
      </c>
      <c r="W39" s="23" t="str">
        <f t="shared" ca="1" si="72"/>
        <v/>
      </c>
      <c r="X39" s="23" t="str">
        <f t="shared" ca="1" si="73"/>
        <v/>
      </c>
      <c r="Y39" s="23" t="str">
        <f t="shared" ca="1" si="74"/>
        <v/>
      </c>
      <c r="Z39" s="23" t="str">
        <f t="shared" ca="1" si="75"/>
        <v/>
      </c>
      <c r="AA39" s="23" t="str">
        <f t="shared" ca="1" si="76"/>
        <v/>
      </c>
      <c r="AB39" s="23" t="str">
        <f t="shared" ca="1" si="77"/>
        <v/>
      </c>
      <c r="AC39" s="23" t="str">
        <f t="shared" ca="1" si="78"/>
        <v/>
      </c>
      <c r="AD39" s="23" t="str">
        <f t="shared" ca="1" si="79"/>
        <v/>
      </c>
      <c r="AE39" s="23" t="str">
        <f t="shared" ca="1" si="80"/>
        <v/>
      </c>
      <c r="AF39" s="23" t="str">
        <f t="shared" ca="1" si="81"/>
        <v/>
      </c>
      <c r="AG39" s="23" t="str">
        <f t="shared" ca="1" si="82"/>
        <v/>
      </c>
      <c r="AH39" s="23" t="str">
        <f t="shared" ca="1" si="83"/>
        <v/>
      </c>
      <c r="AI39" s="23" t="str">
        <f t="shared" ca="1" si="84"/>
        <v/>
      </c>
      <c r="AJ39" s="23" t="str">
        <f t="shared" ca="1" si="85"/>
        <v/>
      </c>
      <c r="AK39" s="23" t="str">
        <f t="shared" ca="1" si="86"/>
        <v/>
      </c>
      <c r="AL39" s="23" t="str">
        <f t="shared" ca="1" si="87"/>
        <v/>
      </c>
      <c r="AM39" s="23" t="str">
        <f t="shared" ca="1" si="88"/>
        <v/>
      </c>
      <c r="AN39" s="23" t="str">
        <f t="shared" ca="1" si="89"/>
        <v/>
      </c>
      <c r="AO39" s="23" t="str">
        <f t="shared" ca="1" si="90"/>
        <v/>
      </c>
      <c r="AP39" s="23" t="str">
        <f t="shared" ca="1" si="91"/>
        <v/>
      </c>
      <c r="AQ39" s="23" t="str">
        <f t="shared" ca="1" si="92"/>
        <v/>
      </c>
      <c r="AR39" s="23" t="str">
        <f t="shared" ca="1" si="93"/>
        <v/>
      </c>
      <c r="AS39" s="23" t="str">
        <f t="shared" ca="1" si="94"/>
        <v/>
      </c>
      <c r="AT39" s="23" t="str">
        <f t="shared" ca="1" si="95"/>
        <v/>
      </c>
      <c r="AU39" s="23" t="str">
        <f t="shared" ca="1" si="96"/>
        <v/>
      </c>
      <c r="AV39" s="23" t="str">
        <f t="shared" ca="1" si="97"/>
        <v/>
      </c>
      <c r="AW39" s="23" t="str">
        <f t="shared" ca="1" si="98"/>
        <v/>
      </c>
      <c r="AX39" s="23" t="str">
        <f t="shared" ca="1" si="99"/>
        <v/>
      </c>
      <c r="AY39" s="23" t="str">
        <f t="shared" ca="1" si="100"/>
        <v/>
      </c>
      <c r="AZ39" s="23" t="str">
        <f t="shared" ca="1" si="101"/>
        <v/>
      </c>
      <c r="BA39" s="23" t="str">
        <f t="shared" ca="1" si="102"/>
        <v/>
      </c>
      <c r="BB39" s="23" t="str">
        <f t="shared" ca="1" si="103"/>
        <v/>
      </c>
      <c r="BC39" s="23" t="str">
        <f t="shared" ca="1" si="104"/>
        <v/>
      </c>
      <c r="BD39" s="23" t="str">
        <f t="shared" ca="1" si="105"/>
        <v/>
      </c>
      <c r="BE39" s="23" t="str">
        <f t="shared" ca="1" si="106"/>
        <v/>
      </c>
      <c r="BF39" s="23" t="str">
        <f t="shared" ca="1" si="107"/>
        <v/>
      </c>
      <c r="BG39" s="23" t="str">
        <f t="shared" ca="1" si="108"/>
        <v/>
      </c>
      <c r="BH39" s="23" t="str">
        <f t="shared" ca="1" si="109"/>
        <v/>
      </c>
      <c r="BI39" s="23" t="str">
        <f t="shared" ca="1" si="110"/>
        <v/>
      </c>
      <c r="BJ39" s="23" t="str">
        <f t="shared" ca="1" si="111"/>
        <v/>
      </c>
      <c r="BK39" s="23" t="str">
        <f t="shared" ca="1" si="112"/>
        <v/>
      </c>
      <c r="BL39" s="23" t="str">
        <f t="shared" ca="1" si="113"/>
        <v/>
      </c>
      <c r="BM39" s="23" t="str">
        <f t="shared" ca="1" si="114"/>
        <v/>
      </c>
      <c r="BN39" s="23" t="str">
        <f t="shared" ca="1" si="115"/>
        <v/>
      </c>
      <c r="BO39" s="23" t="str">
        <f t="shared" ca="1" si="116"/>
        <v/>
      </c>
      <c r="BP39" s="23" t="str">
        <f t="shared" ca="1" si="117"/>
        <v/>
      </c>
      <c r="BQ39" s="23" t="str">
        <f t="shared" ca="1" si="118"/>
        <v/>
      </c>
      <c r="BR39" s="23" t="str">
        <f t="shared" ca="1" si="119"/>
        <v/>
      </c>
      <c r="BS39" s="23" t="str">
        <f t="shared" ca="1" si="120"/>
        <v/>
      </c>
      <c r="BT39" s="23" t="str">
        <f t="shared" ca="1" si="121"/>
        <v/>
      </c>
      <c r="BU39" s="23" t="str">
        <f t="shared" ca="1" si="122"/>
        <v/>
      </c>
      <c r="BV39" s="23" t="str">
        <f t="shared" ca="1" si="123"/>
        <v/>
      </c>
      <c r="BW39" s="23" t="str">
        <f t="shared" ca="1" si="124"/>
        <v/>
      </c>
      <c r="BX39" s="23" t="str">
        <f t="shared" ca="1" si="125"/>
        <v/>
      </c>
      <c r="BY39" s="23" t="str">
        <f t="shared" ca="1" si="126"/>
        <v/>
      </c>
      <c r="BZ39" s="23" t="str">
        <f t="shared" ca="1" si="127"/>
        <v/>
      </c>
      <c r="CA39" s="23" t="str">
        <f t="shared" ca="1" si="128"/>
        <v/>
      </c>
      <c r="CB39" s="23" t="str">
        <f t="shared" ca="1" si="129"/>
        <v/>
      </c>
      <c r="CC39" s="23" t="str">
        <f t="shared" ca="1" si="130"/>
        <v/>
      </c>
      <c r="CD39" s="23" t="str">
        <f t="shared" ca="1" si="131"/>
        <v/>
      </c>
      <c r="CE39" s="23" t="str">
        <f t="shared" ca="1" si="132"/>
        <v/>
      </c>
      <c r="CF39" s="23" t="str">
        <f t="shared" ca="1" si="133"/>
        <v/>
      </c>
      <c r="CG39" s="23" t="str">
        <f t="shared" ca="1" si="134"/>
        <v/>
      </c>
      <c r="CH39" s="23" t="str">
        <f t="shared" ca="1" si="135"/>
        <v/>
      </c>
      <c r="CI39" s="23" t="str">
        <f t="shared" ca="1" si="136"/>
        <v/>
      </c>
      <c r="CJ39" s="23" t="str">
        <f t="shared" ca="1" si="137"/>
        <v/>
      </c>
      <c r="CK39" s="23" t="str">
        <f t="shared" ca="1" si="138"/>
        <v/>
      </c>
      <c r="CL39" s="23" t="str">
        <f t="shared" ca="1" si="139"/>
        <v/>
      </c>
      <c r="CM39" s="23" t="str">
        <f t="shared" ca="1" si="140"/>
        <v/>
      </c>
      <c r="CN39" s="23" t="str">
        <f t="shared" ca="1" si="141"/>
        <v/>
      </c>
      <c r="CO39" s="23" t="str">
        <f t="shared" ca="1" si="142"/>
        <v/>
      </c>
      <c r="CP39" s="23" t="str">
        <f t="shared" ca="1" si="143"/>
        <v/>
      </c>
      <c r="CQ39" s="23" t="str">
        <f t="shared" ca="1" si="144"/>
        <v/>
      </c>
      <c r="CR39" s="23" t="str">
        <f t="shared" ca="1" si="145"/>
        <v/>
      </c>
      <c r="CS39" s="23" t="str">
        <f t="shared" ca="1" si="146"/>
        <v/>
      </c>
      <c r="CT39" s="23" t="str">
        <f t="shared" ca="1" si="147"/>
        <v/>
      </c>
      <c r="CU39" s="23" t="str">
        <f t="shared" ca="1" si="148"/>
        <v/>
      </c>
      <c r="CV39" s="23" t="str">
        <f t="shared" ca="1" si="149"/>
        <v/>
      </c>
      <c r="CW39" s="23" t="str">
        <f t="shared" ca="1" si="150"/>
        <v/>
      </c>
      <c r="CX39" s="23" t="str">
        <f ca="1">IF(CX$11="","",IF(CX$13=$M$5,CHOOSE($Q$6+1,$M$1,CY39+CZ39-#REF!),IF(CX$13=$M$6,CHOOSE($Q$6+1,$M$1,OFFSET($A39,,$P$7-1)),IF(CX$13=$M$7,CHOOSE($Q$6+1,$M$1,SUM(OFFSET($A$11,$B39-$O$5,$O$6,1,-$P$6))),IF(CX$13=$M$8,CHOOSE($Q$6+1,$M$1,SUM(OFFSET($A$11,$B39-$O$5,$O$7,1,-$P$6))),IF(CX$11&lt;$D$7,OFFSET(INDIRECT($D$3),$A39-1,$Q$3+CX$11),OFFSET(INDIRECT($D$4),$A39-1,$Q$4+CX$11)))))))</f>
        <v/>
      </c>
      <c r="CY39" s="23" t="str">
        <f ca="1">IF(CY$11="","",IF(CY$13=$M$5,CHOOSE($Q$6+1,$M$1,CZ39+#REF!-#REF!),IF(CY$13=$M$6,CHOOSE($Q$6+1,$M$1,OFFSET($A39,,$P$7-1)),IF(CY$13=$M$7,CHOOSE($Q$6+1,$M$1,SUM(OFFSET($A$11,$B39-$O$5,$O$6,1,-$P$6))),IF(CY$13=$M$8,CHOOSE($Q$6+1,$M$1,SUM(OFFSET($A$11,$B39-$O$5,$O$7,1,-$P$6))),IF(CY$11&lt;$D$7,OFFSET(INDIRECT($D$3),$A39-1,$Q$3+CY$11),OFFSET(INDIRECT($D$4),$A39-1,$Q$4+CY$11)))))))</f>
        <v/>
      </c>
      <c r="CZ39" s="23" t="str">
        <f ca="1">IF(CZ$11="","",IF(CZ$13=$M$5,CHOOSE($Q$6+1,$M$1,#REF!+#REF!-#REF!),IF(CZ$13=$M$6,CHOOSE($Q$6+1,$M$1,OFFSET($A39,,$P$7-1)),IF(CZ$13=$M$7,CHOOSE($Q$6+1,$M$1,SUM(OFFSET($A$11,$B39-$O$5,$O$6,1,-$P$6))),IF(CZ$13=$M$8,CHOOSE($Q$6+1,$M$1,SUM(OFFSET($A$11,$B39-$O$5,$O$7,1,-$P$6))),IF(CZ$11&lt;$D$7,OFFSET(INDIRECT($D$3),$A39-1,$Q$3+CZ$11),OFFSET(INDIRECT($D$4),$A39-1,$Q$4+CZ$11)))))))</f>
        <v/>
      </c>
    </row>
    <row r="40" spans="1:104" ht="13.5" customHeight="1">
      <c r="A40" s="29">
        <v>39</v>
      </c>
      <c r="B40" s="33">
        <f t="shared" si="14"/>
        <v>40</v>
      </c>
      <c r="C40" s="9" t="s">
        <v>315</v>
      </c>
      <c r="D40" s="23">
        <f t="shared" ca="1" si="53"/>
        <v>0</v>
      </c>
      <c r="E40" s="23">
        <f t="shared" ca="1" si="54"/>
        <v>0</v>
      </c>
      <c r="F40" s="23">
        <f t="shared" ca="1" si="55"/>
        <v>0</v>
      </c>
      <c r="G40" s="23">
        <f t="shared" ca="1" si="56"/>
        <v>0</v>
      </c>
      <c r="H40" s="23">
        <f t="shared" ca="1" si="57"/>
        <v>0</v>
      </c>
      <c r="I40" s="23">
        <f t="shared" ca="1" si="58"/>
        <v>0</v>
      </c>
      <c r="J40" s="23">
        <f t="shared" ca="1" si="59"/>
        <v>0</v>
      </c>
      <c r="K40" s="23">
        <f t="shared" ca="1" si="60"/>
        <v>0</v>
      </c>
      <c r="L40" s="23">
        <f t="shared" ca="1" si="61"/>
        <v>0</v>
      </c>
      <c r="M40" s="23">
        <f t="shared" ca="1" si="62"/>
        <v>0</v>
      </c>
      <c r="N40" s="23">
        <f t="shared" ca="1" si="63"/>
        <v>0</v>
      </c>
      <c r="O40" s="23">
        <f t="shared" ca="1" si="64"/>
        <v>0</v>
      </c>
      <c r="P40" s="23">
        <f t="shared" ca="1" si="65"/>
        <v>0</v>
      </c>
      <c r="Q40" s="23">
        <f t="shared" ca="1" si="66"/>
        <v>0</v>
      </c>
      <c r="R40" s="23" t="str">
        <f t="shared" ca="1" si="67"/>
        <v/>
      </c>
      <c r="S40" s="23" t="str">
        <f t="shared" ca="1" si="68"/>
        <v/>
      </c>
      <c r="T40" s="23" t="str">
        <f t="shared" ca="1" si="69"/>
        <v/>
      </c>
      <c r="U40" s="23" t="str">
        <f t="shared" ca="1" si="70"/>
        <v/>
      </c>
      <c r="V40" s="23" t="str">
        <f t="shared" ca="1" si="71"/>
        <v/>
      </c>
      <c r="W40" s="23" t="str">
        <f t="shared" ca="1" si="72"/>
        <v/>
      </c>
      <c r="X40" s="23" t="str">
        <f t="shared" ca="1" si="73"/>
        <v/>
      </c>
      <c r="Y40" s="23" t="str">
        <f t="shared" ca="1" si="74"/>
        <v/>
      </c>
      <c r="Z40" s="23" t="str">
        <f t="shared" ca="1" si="75"/>
        <v/>
      </c>
      <c r="AA40" s="23" t="str">
        <f t="shared" ca="1" si="76"/>
        <v/>
      </c>
      <c r="AB40" s="23" t="str">
        <f t="shared" ca="1" si="77"/>
        <v/>
      </c>
      <c r="AC40" s="23" t="str">
        <f t="shared" ca="1" si="78"/>
        <v/>
      </c>
      <c r="AD40" s="23" t="str">
        <f t="shared" ca="1" si="79"/>
        <v/>
      </c>
      <c r="AE40" s="23" t="str">
        <f t="shared" ca="1" si="80"/>
        <v/>
      </c>
      <c r="AF40" s="23" t="str">
        <f t="shared" ca="1" si="81"/>
        <v/>
      </c>
      <c r="AG40" s="23" t="str">
        <f t="shared" ca="1" si="82"/>
        <v/>
      </c>
      <c r="AH40" s="23" t="str">
        <f t="shared" ca="1" si="83"/>
        <v/>
      </c>
      <c r="AI40" s="23" t="str">
        <f t="shared" ca="1" si="84"/>
        <v/>
      </c>
      <c r="AJ40" s="23" t="str">
        <f t="shared" ca="1" si="85"/>
        <v/>
      </c>
      <c r="AK40" s="23" t="str">
        <f t="shared" ca="1" si="86"/>
        <v/>
      </c>
      <c r="AL40" s="23" t="str">
        <f t="shared" ca="1" si="87"/>
        <v/>
      </c>
      <c r="AM40" s="23" t="str">
        <f t="shared" ca="1" si="88"/>
        <v/>
      </c>
      <c r="AN40" s="23" t="str">
        <f t="shared" ca="1" si="89"/>
        <v/>
      </c>
      <c r="AO40" s="23" t="str">
        <f t="shared" ca="1" si="90"/>
        <v/>
      </c>
      <c r="AP40" s="23" t="str">
        <f t="shared" ca="1" si="91"/>
        <v/>
      </c>
      <c r="AQ40" s="23" t="str">
        <f t="shared" ca="1" si="92"/>
        <v/>
      </c>
      <c r="AR40" s="23" t="str">
        <f t="shared" ca="1" si="93"/>
        <v/>
      </c>
      <c r="AS40" s="23" t="str">
        <f t="shared" ca="1" si="94"/>
        <v/>
      </c>
      <c r="AT40" s="23" t="str">
        <f t="shared" ca="1" si="95"/>
        <v/>
      </c>
      <c r="AU40" s="23" t="str">
        <f t="shared" ca="1" si="96"/>
        <v/>
      </c>
      <c r="AV40" s="23" t="str">
        <f t="shared" ca="1" si="97"/>
        <v/>
      </c>
      <c r="AW40" s="23" t="str">
        <f t="shared" ca="1" si="98"/>
        <v/>
      </c>
      <c r="AX40" s="23" t="str">
        <f t="shared" ca="1" si="99"/>
        <v/>
      </c>
      <c r="AY40" s="23" t="str">
        <f t="shared" ca="1" si="100"/>
        <v/>
      </c>
      <c r="AZ40" s="23" t="str">
        <f t="shared" ca="1" si="101"/>
        <v/>
      </c>
      <c r="BA40" s="23" t="str">
        <f t="shared" ca="1" si="102"/>
        <v/>
      </c>
      <c r="BB40" s="23" t="str">
        <f t="shared" ca="1" si="103"/>
        <v/>
      </c>
      <c r="BC40" s="23" t="str">
        <f t="shared" ca="1" si="104"/>
        <v/>
      </c>
      <c r="BD40" s="23" t="str">
        <f t="shared" ca="1" si="105"/>
        <v/>
      </c>
      <c r="BE40" s="23" t="str">
        <f t="shared" ca="1" si="106"/>
        <v/>
      </c>
      <c r="BF40" s="23" t="str">
        <f t="shared" ca="1" si="107"/>
        <v/>
      </c>
      <c r="BG40" s="23" t="str">
        <f t="shared" ca="1" si="108"/>
        <v/>
      </c>
      <c r="BH40" s="23" t="str">
        <f t="shared" ca="1" si="109"/>
        <v/>
      </c>
      <c r="BI40" s="23" t="str">
        <f t="shared" ca="1" si="110"/>
        <v/>
      </c>
      <c r="BJ40" s="23" t="str">
        <f t="shared" ca="1" si="111"/>
        <v/>
      </c>
      <c r="BK40" s="23" t="str">
        <f t="shared" ca="1" si="112"/>
        <v/>
      </c>
      <c r="BL40" s="23" t="str">
        <f t="shared" ca="1" si="113"/>
        <v/>
      </c>
      <c r="BM40" s="23" t="str">
        <f t="shared" ca="1" si="114"/>
        <v/>
      </c>
      <c r="BN40" s="23" t="str">
        <f t="shared" ca="1" si="115"/>
        <v/>
      </c>
      <c r="BO40" s="23" t="str">
        <f t="shared" ca="1" si="116"/>
        <v/>
      </c>
      <c r="BP40" s="23" t="str">
        <f t="shared" ca="1" si="117"/>
        <v/>
      </c>
      <c r="BQ40" s="23" t="str">
        <f t="shared" ca="1" si="118"/>
        <v/>
      </c>
      <c r="BR40" s="23" t="str">
        <f t="shared" ca="1" si="119"/>
        <v/>
      </c>
      <c r="BS40" s="23" t="str">
        <f t="shared" ca="1" si="120"/>
        <v/>
      </c>
      <c r="BT40" s="23" t="str">
        <f t="shared" ca="1" si="121"/>
        <v/>
      </c>
      <c r="BU40" s="23" t="str">
        <f t="shared" ca="1" si="122"/>
        <v/>
      </c>
      <c r="BV40" s="23" t="str">
        <f t="shared" ca="1" si="123"/>
        <v/>
      </c>
      <c r="BW40" s="23" t="str">
        <f t="shared" ca="1" si="124"/>
        <v/>
      </c>
      <c r="BX40" s="23" t="str">
        <f t="shared" ca="1" si="125"/>
        <v/>
      </c>
      <c r="BY40" s="23" t="str">
        <f t="shared" ca="1" si="126"/>
        <v/>
      </c>
      <c r="BZ40" s="23" t="str">
        <f t="shared" ca="1" si="127"/>
        <v/>
      </c>
      <c r="CA40" s="23" t="str">
        <f t="shared" ca="1" si="128"/>
        <v/>
      </c>
      <c r="CB40" s="23" t="str">
        <f t="shared" ca="1" si="129"/>
        <v/>
      </c>
      <c r="CC40" s="23" t="str">
        <f t="shared" ca="1" si="130"/>
        <v/>
      </c>
      <c r="CD40" s="23" t="str">
        <f t="shared" ca="1" si="131"/>
        <v/>
      </c>
      <c r="CE40" s="23" t="str">
        <f t="shared" ca="1" si="132"/>
        <v/>
      </c>
      <c r="CF40" s="23" t="str">
        <f t="shared" ca="1" si="133"/>
        <v/>
      </c>
      <c r="CG40" s="23" t="str">
        <f t="shared" ca="1" si="134"/>
        <v/>
      </c>
      <c r="CH40" s="23" t="str">
        <f t="shared" ca="1" si="135"/>
        <v/>
      </c>
      <c r="CI40" s="23" t="str">
        <f t="shared" ca="1" si="136"/>
        <v/>
      </c>
      <c r="CJ40" s="23" t="str">
        <f t="shared" ca="1" si="137"/>
        <v/>
      </c>
      <c r="CK40" s="23" t="str">
        <f t="shared" ca="1" si="138"/>
        <v/>
      </c>
      <c r="CL40" s="23" t="str">
        <f t="shared" ca="1" si="139"/>
        <v/>
      </c>
      <c r="CM40" s="23" t="str">
        <f t="shared" ca="1" si="140"/>
        <v/>
      </c>
      <c r="CN40" s="23" t="str">
        <f t="shared" ca="1" si="141"/>
        <v/>
      </c>
      <c r="CO40" s="23" t="str">
        <f t="shared" ca="1" si="142"/>
        <v/>
      </c>
      <c r="CP40" s="23" t="str">
        <f t="shared" ca="1" si="143"/>
        <v/>
      </c>
      <c r="CQ40" s="23" t="str">
        <f t="shared" ca="1" si="144"/>
        <v/>
      </c>
      <c r="CR40" s="23" t="str">
        <f t="shared" ca="1" si="145"/>
        <v/>
      </c>
      <c r="CS40" s="23" t="str">
        <f t="shared" ca="1" si="146"/>
        <v/>
      </c>
      <c r="CT40" s="23" t="str">
        <f t="shared" ca="1" si="147"/>
        <v/>
      </c>
      <c r="CU40" s="23" t="str">
        <f t="shared" ca="1" si="148"/>
        <v/>
      </c>
      <c r="CV40" s="23" t="str">
        <f t="shared" ca="1" si="149"/>
        <v/>
      </c>
      <c r="CW40" s="23" t="str">
        <f t="shared" ca="1" si="150"/>
        <v/>
      </c>
      <c r="CX40" s="23" t="str">
        <f ca="1">IF(CX$11="","",IF(CX$13=$M$5,CHOOSE($Q$6+1,$M$1,CY40+CZ40-#REF!),IF(CX$13=$M$6,CHOOSE($Q$6+1,$M$1,OFFSET($A40,,$P$7-1)),IF(CX$13=$M$7,CHOOSE($Q$6+1,$M$1,SUM(OFFSET($A$11,$B40-$O$5,$O$6,1,-$P$6))),IF(CX$13=$M$8,CHOOSE($Q$6+1,$M$1,SUM(OFFSET($A$11,$B40-$O$5,$O$7,1,-$P$6))),IF(CX$11&lt;$D$7,OFFSET(INDIRECT($D$3),$A40-1,$Q$3+CX$11),OFFSET(INDIRECT($D$4),$A40-1,$Q$4+CX$11)))))))</f>
        <v/>
      </c>
      <c r="CY40" s="23" t="str">
        <f ca="1">IF(CY$11="","",IF(CY$13=$M$5,CHOOSE($Q$6+1,$M$1,CZ40+#REF!-#REF!),IF(CY$13=$M$6,CHOOSE($Q$6+1,$M$1,OFFSET($A40,,$P$7-1)),IF(CY$13=$M$7,CHOOSE($Q$6+1,$M$1,SUM(OFFSET($A$11,$B40-$O$5,$O$6,1,-$P$6))),IF(CY$13=$M$8,CHOOSE($Q$6+1,$M$1,SUM(OFFSET($A$11,$B40-$O$5,$O$7,1,-$P$6))),IF(CY$11&lt;$D$7,OFFSET(INDIRECT($D$3),$A40-1,$Q$3+CY$11),OFFSET(INDIRECT($D$4),$A40-1,$Q$4+CY$11)))))))</f>
        <v/>
      </c>
      <c r="CZ40" s="23" t="str">
        <f ca="1">IF(CZ$11="","",IF(CZ$13=$M$5,CHOOSE($Q$6+1,$M$1,#REF!+#REF!-#REF!),IF(CZ$13=$M$6,CHOOSE($Q$6+1,$M$1,OFFSET($A40,,$P$7-1)),IF(CZ$13=$M$7,CHOOSE($Q$6+1,$M$1,SUM(OFFSET($A$11,$B40-$O$5,$O$6,1,-$P$6))),IF(CZ$13=$M$8,CHOOSE($Q$6+1,$M$1,SUM(OFFSET($A$11,$B40-$O$5,$O$7,1,-$P$6))),IF(CZ$11&lt;$D$7,OFFSET(INDIRECT($D$3),$A40-1,$Q$3+CZ$11),OFFSET(INDIRECT($D$4),$A40-1,$Q$4+CZ$11)))))))</f>
        <v/>
      </c>
    </row>
    <row r="41" spans="1:104" ht="13.5" customHeight="1">
      <c r="A41" s="29">
        <v>40</v>
      </c>
      <c r="B41" s="33">
        <f t="shared" si="14"/>
        <v>41</v>
      </c>
      <c r="C41" s="9" t="s">
        <v>316</v>
      </c>
      <c r="D41" s="23">
        <f t="shared" ca="1" si="53"/>
        <v>34205</v>
      </c>
      <c r="E41" s="23">
        <f t="shared" ca="1" si="54"/>
        <v>55763</v>
      </c>
      <c r="F41" s="23">
        <f t="shared" ca="1" si="55"/>
        <v>7900</v>
      </c>
      <c r="G41" s="23">
        <f t="shared" ca="1" si="56"/>
        <v>9551</v>
      </c>
      <c r="H41" s="23">
        <f t="shared" ca="1" si="57"/>
        <v>8791</v>
      </c>
      <c r="I41" s="23">
        <f t="shared" ca="1" si="58"/>
        <v>17477</v>
      </c>
      <c r="J41" s="23">
        <f t="shared" ca="1" si="59"/>
        <v>15532</v>
      </c>
      <c r="K41" s="23">
        <f t="shared" ca="1" si="60"/>
        <v>11861</v>
      </c>
      <c r="L41" s="23">
        <f t="shared" ca="1" si="61"/>
        <v>10893</v>
      </c>
      <c r="M41" s="23">
        <f t="shared" ca="1" si="62"/>
        <v>17672</v>
      </c>
      <c r="N41" s="23">
        <f t="shared" ca="1" si="63"/>
        <v>55958</v>
      </c>
      <c r="O41" s="23">
        <f t="shared" ca="1" si="64"/>
        <v>55763</v>
      </c>
      <c r="P41" s="23">
        <f t="shared" ca="1" si="65"/>
        <v>17672</v>
      </c>
      <c r="Q41" s="23">
        <f t="shared" ca="1" si="66"/>
        <v>17477</v>
      </c>
      <c r="R41" s="23" t="str">
        <f t="shared" ca="1" si="67"/>
        <v/>
      </c>
      <c r="S41" s="23" t="str">
        <f t="shared" ca="1" si="68"/>
        <v/>
      </c>
      <c r="T41" s="23" t="str">
        <f t="shared" ca="1" si="69"/>
        <v/>
      </c>
      <c r="U41" s="23" t="str">
        <f t="shared" ca="1" si="70"/>
        <v/>
      </c>
      <c r="V41" s="23" t="str">
        <f t="shared" ca="1" si="71"/>
        <v/>
      </c>
      <c r="W41" s="23" t="str">
        <f t="shared" ca="1" si="72"/>
        <v/>
      </c>
      <c r="X41" s="23" t="str">
        <f t="shared" ca="1" si="73"/>
        <v/>
      </c>
      <c r="Y41" s="23" t="str">
        <f t="shared" ca="1" si="74"/>
        <v/>
      </c>
      <c r="Z41" s="23" t="str">
        <f t="shared" ca="1" si="75"/>
        <v/>
      </c>
      <c r="AA41" s="23" t="str">
        <f t="shared" ca="1" si="76"/>
        <v/>
      </c>
      <c r="AB41" s="23" t="str">
        <f t="shared" ca="1" si="77"/>
        <v/>
      </c>
      <c r="AC41" s="23" t="str">
        <f t="shared" ca="1" si="78"/>
        <v/>
      </c>
      <c r="AD41" s="23" t="str">
        <f t="shared" ca="1" si="79"/>
        <v/>
      </c>
      <c r="AE41" s="23" t="str">
        <f t="shared" ca="1" si="80"/>
        <v/>
      </c>
      <c r="AF41" s="23" t="str">
        <f t="shared" ca="1" si="81"/>
        <v/>
      </c>
      <c r="AG41" s="23" t="str">
        <f t="shared" ca="1" si="82"/>
        <v/>
      </c>
      <c r="AH41" s="23" t="str">
        <f t="shared" ca="1" si="83"/>
        <v/>
      </c>
      <c r="AI41" s="23" t="str">
        <f t="shared" ca="1" si="84"/>
        <v/>
      </c>
      <c r="AJ41" s="23" t="str">
        <f t="shared" ca="1" si="85"/>
        <v/>
      </c>
      <c r="AK41" s="23" t="str">
        <f t="shared" ca="1" si="86"/>
        <v/>
      </c>
      <c r="AL41" s="23" t="str">
        <f t="shared" ca="1" si="87"/>
        <v/>
      </c>
      <c r="AM41" s="23" t="str">
        <f t="shared" ca="1" si="88"/>
        <v/>
      </c>
      <c r="AN41" s="23" t="str">
        <f t="shared" ca="1" si="89"/>
        <v/>
      </c>
      <c r="AO41" s="23" t="str">
        <f t="shared" ca="1" si="90"/>
        <v/>
      </c>
      <c r="AP41" s="23" t="str">
        <f t="shared" ca="1" si="91"/>
        <v/>
      </c>
      <c r="AQ41" s="23" t="str">
        <f t="shared" ca="1" si="92"/>
        <v/>
      </c>
      <c r="AR41" s="23" t="str">
        <f t="shared" ca="1" si="93"/>
        <v/>
      </c>
      <c r="AS41" s="23" t="str">
        <f t="shared" ca="1" si="94"/>
        <v/>
      </c>
      <c r="AT41" s="23" t="str">
        <f t="shared" ca="1" si="95"/>
        <v/>
      </c>
      <c r="AU41" s="23" t="str">
        <f t="shared" ca="1" si="96"/>
        <v/>
      </c>
      <c r="AV41" s="23" t="str">
        <f t="shared" ca="1" si="97"/>
        <v/>
      </c>
      <c r="AW41" s="23" t="str">
        <f t="shared" ca="1" si="98"/>
        <v/>
      </c>
      <c r="AX41" s="23" t="str">
        <f t="shared" ca="1" si="99"/>
        <v/>
      </c>
      <c r="AY41" s="23" t="str">
        <f t="shared" ca="1" si="100"/>
        <v/>
      </c>
      <c r="AZ41" s="23" t="str">
        <f t="shared" ca="1" si="101"/>
        <v/>
      </c>
      <c r="BA41" s="23" t="str">
        <f t="shared" ca="1" si="102"/>
        <v/>
      </c>
      <c r="BB41" s="23" t="str">
        <f t="shared" ca="1" si="103"/>
        <v/>
      </c>
      <c r="BC41" s="23" t="str">
        <f t="shared" ca="1" si="104"/>
        <v/>
      </c>
      <c r="BD41" s="23" t="str">
        <f t="shared" ca="1" si="105"/>
        <v/>
      </c>
      <c r="BE41" s="23" t="str">
        <f t="shared" ca="1" si="106"/>
        <v/>
      </c>
      <c r="BF41" s="23" t="str">
        <f t="shared" ca="1" si="107"/>
        <v/>
      </c>
      <c r="BG41" s="23" t="str">
        <f t="shared" ca="1" si="108"/>
        <v/>
      </c>
      <c r="BH41" s="23" t="str">
        <f t="shared" ca="1" si="109"/>
        <v/>
      </c>
      <c r="BI41" s="23" t="str">
        <f t="shared" ca="1" si="110"/>
        <v/>
      </c>
      <c r="BJ41" s="23" t="str">
        <f t="shared" ca="1" si="111"/>
        <v/>
      </c>
      <c r="BK41" s="23" t="str">
        <f t="shared" ca="1" si="112"/>
        <v/>
      </c>
      <c r="BL41" s="23" t="str">
        <f t="shared" ca="1" si="113"/>
        <v/>
      </c>
      <c r="BM41" s="23" t="str">
        <f t="shared" ca="1" si="114"/>
        <v/>
      </c>
      <c r="BN41" s="23" t="str">
        <f t="shared" ca="1" si="115"/>
        <v/>
      </c>
      <c r="BO41" s="23" t="str">
        <f t="shared" ca="1" si="116"/>
        <v/>
      </c>
      <c r="BP41" s="23" t="str">
        <f t="shared" ca="1" si="117"/>
        <v/>
      </c>
      <c r="BQ41" s="23" t="str">
        <f t="shared" ca="1" si="118"/>
        <v/>
      </c>
      <c r="BR41" s="23" t="str">
        <f t="shared" ca="1" si="119"/>
        <v/>
      </c>
      <c r="BS41" s="23" t="str">
        <f t="shared" ca="1" si="120"/>
        <v/>
      </c>
      <c r="BT41" s="23" t="str">
        <f t="shared" ca="1" si="121"/>
        <v/>
      </c>
      <c r="BU41" s="23" t="str">
        <f t="shared" ca="1" si="122"/>
        <v/>
      </c>
      <c r="BV41" s="23" t="str">
        <f t="shared" ca="1" si="123"/>
        <v/>
      </c>
      <c r="BW41" s="23" t="str">
        <f t="shared" ca="1" si="124"/>
        <v/>
      </c>
      <c r="BX41" s="23" t="str">
        <f t="shared" ca="1" si="125"/>
        <v/>
      </c>
      <c r="BY41" s="23" t="str">
        <f t="shared" ca="1" si="126"/>
        <v/>
      </c>
      <c r="BZ41" s="23" t="str">
        <f t="shared" ca="1" si="127"/>
        <v/>
      </c>
      <c r="CA41" s="23" t="str">
        <f t="shared" ca="1" si="128"/>
        <v/>
      </c>
      <c r="CB41" s="23" t="str">
        <f t="shared" ca="1" si="129"/>
        <v/>
      </c>
      <c r="CC41" s="23" t="str">
        <f t="shared" ca="1" si="130"/>
        <v/>
      </c>
      <c r="CD41" s="23" t="str">
        <f t="shared" ca="1" si="131"/>
        <v/>
      </c>
      <c r="CE41" s="23" t="str">
        <f t="shared" ca="1" si="132"/>
        <v/>
      </c>
      <c r="CF41" s="23" t="str">
        <f t="shared" ca="1" si="133"/>
        <v/>
      </c>
      <c r="CG41" s="23" t="str">
        <f t="shared" ca="1" si="134"/>
        <v/>
      </c>
      <c r="CH41" s="23" t="str">
        <f t="shared" ca="1" si="135"/>
        <v/>
      </c>
      <c r="CI41" s="23" t="str">
        <f t="shared" ca="1" si="136"/>
        <v/>
      </c>
      <c r="CJ41" s="23" t="str">
        <f t="shared" ca="1" si="137"/>
        <v/>
      </c>
      <c r="CK41" s="23" t="str">
        <f t="shared" ca="1" si="138"/>
        <v/>
      </c>
      <c r="CL41" s="23" t="str">
        <f t="shared" ca="1" si="139"/>
        <v/>
      </c>
      <c r="CM41" s="23" t="str">
        <f t="shared" ca="1" si="140"/>
        <v/>
      </c>
      <c r="CN41" s="23" t="str">
        <f t="shared" ca="1" si="141"/>
        <v/>
      </c>
      <c r="CO41" s="23" t="str">
        <f t="shared" ca="1" si="142"/>
        <v/>
      </c>
      <c r="CP41" s="23" t="str">
        <f t="shared" ca="1" si="143"/>
        <v/>
      </c>
      <c r="CQ41" s="23" t="str">
        <f t="shared" ca="1" si="144"/>
        <v/>
      </c>
      <c r="CR41" s="23" t="str">
        <f t="shared" ca="1" si="145"/>
        <v/>
      </c>
      <c r="CS41" s="23" t="str">
        <f t="shared" ca="1" si="146"/>
        <v/>
      </c>
      <c r="CT41" s="23" t="str">
        <f t="shared" ca="1" si="147"/>
        <v/>
      </c>
      <c r="CU41" s="23" t="str">
        <f t="shared" ca="1" si="148"/>
        <v/>
      </c>
      <c r="CV41" s="23" t="str">
        <f t="shared" ca="1" si="149"/>
        <v/>
      </c>
      <c r="CW41" s="23" t="str">
        <f t="shared" ca="1" si="150"/>
        <v/>
      </c>
      <c r="CX41" s="23" t="str">
        <f ca="1">IF(CX$11="","",IF(CX$13=$M$5,CHOOSE($Q$6+1,$M$1,CY41+CZ41-#REF!),IF(CX$13=$M$6,CHOOSE($Q$6+1,$M$1,OFFSET($A41,,$P$7-1)),IF(CX$13=$M$7,CHOOSE($Q$6+1,$M$1,SUM(OFFSET($A$11,$B41-$O$5,$O$6,1,-$P$6))),IF(CX$13=$M$8,CHOOSE($Q$6+1,$M$1,SUM(OFFSET($A$11,$B41-$O$5,$O$7,1,-$P$6))),IF(CX$11&lt;$D$7,OFFSET(INDIRECT($D$3),$A41-1,$Q$3+CX$11),OFFSET(INDIRECT($D$4),$A41-1,$Q$4+CX$11)))))))</f>
        <v/>
      </c>
      <c r="CY41" s="23" t="str">
        <f ca="1">IF(CY$11="","",IF(CY$13=$M$5,CHOOSE($Q$6+1,$M$1,CZ41+#REF!-#REF!),IF(CY$13=$M$6,CHOOSE($Q$6+1,$M$1,OFFSET($A41,,$P$7-1)),IF(CY$13=$M$7,CHOOSE($Q$6+1,$M$1,SUM(OFFSET($A$11,$B41-$O$5,$O$6,1,-$P$6))),IF(CY$13=$M$8,CHOOSE($Q$6+1,$M$1,SUM(OFFSET($A$11,$B41-$O$5,$O$7,1,-$P$6))),IF(CY$11&lt;$D$7,OFFSET(INDIRECT($D$3),$A41-1,$Q$3+CY$11),OFFSET(INDIRECT($D$4),$A41-1,$Q$4+CY$11)))))))</f>
        <v/>
      </c>
      <c r="CZ41" s="23" t="str">
        <f ca="1">IF(CZ$11="","",IF(CZ$13=$M$5,CHOOSE($Q$6+1,$M$1,#REF!+#REF!-#REF!),IF(CZ$13=$M$6,CHOOSE($Q$6+1,$M$1,OFFSET($A41,,$P$7-1)),IF(CZ$13=$M$7,CHOOSE($Q$6+1,$M$1,SUM(OFFSET($A$11,$B41-$O$5,$O$6,1,-$P$6))),IF(CZ$13=$M$8,CHOOSE($Q$6+1,$M$1,SUM(OFFSET($A$11,$B41-$O$5,$O$7,1,-$P$6))),IF(CZ$11&lt;$D$7,OFFSET(INDIRECT($D$3),$A41-1,$Q$3+CZ$11),OFFSET(INDIRECT($D$4),$A41-1,$Q$4+CZ$11)))))))</f>
        <v/>
      </c>
    </row>
    <row r="42" spans="1:104" ht="13.5" customHeight="1">
      <c r="A42" s="29">
        <v>41</v>
      </c>
      <c r="B42" s="33">
        <f t="shared" si="14"/>
        <v>42</v>
      </c>
      <c r="C42" s="9" t="s">
        <v>317</v>
      </c>
      <c r="D42" s="23">
        <f t="shared" ca="1" si="53"/>
        <v>8283</v>
      </c>
      <c r="E42" s="23">
        <f t="shared" ca="1" si="54"/>
        <v>14030</v>
      </c>
      <c r="F42" s="23">
        <f t="shared" ca="1" si="55"/>
        <v>1913</v>
      </c>
      <c r="G42" s="23">
        <f t="shared" ca="1" si="56"/>
        <v>2243</v>
      </c>
      <c r="H42" s="23">
        <f t="shared" ca="1" si="57"/>
        <v>2168</v>
      </c>
      <c r="I42" s="23">
        <f t="shared" ca="1" si="58"/>
        <v>4413</v>
      </c>
      <c r="J42" s="23">
        <f t="shared" ca="1" si="59"/>
        <v>3910</v>
      </c>
      <c r="K42" s="23">
        <f t="shared" ca="1" si="60"/>
        <v>3037</v>
      </c>
      <c r="L42" s="23">
        <f t="shared" ca="1" si="61"/>
        <v>2670</v>
      </c>
      <c r="M42" s="23">
        <f t="shared" ca="1" si="62"/>
        <v>4594</v>
      </c>
      <c r="N42" s="23">
        <f t="shared" ca="1" si="63"/>
        <v>14211</v>
      </c>
      <c r="O42" s="23">
        <f t="shared" ca="1" si="64"/>
        <v>14030</v>
      </c>
      <c r="P42" s="23">
        <f t="shared" ca="1" si="65"/>
        <v>4594</v>
      </c>
      <c r="Q42" s="23">
        <f t="shared" ca="1" si="66"/>
        <v>4413</v>
      </c>
      <c r="R42" s="23" t="str">
        <f t="shared" ca="1" si="67"/>
        <v/>
      </c>
      <c r="S42" s="23" t="str">
        <f t="shared" ca="1" si="68"/>
        <v/>
      </c>
      <c r="T42" s="23" t="str">
        <f t="shared" ca="1" si="69"/>
        <v/>
      </c>
      <c r="U42" s="23" t="str">
        <f t="shared" ca="1" si="70"/>
        <v/>
      </c>
      <c r="V42" s="23" t="str">
        <f t="shared" ca="1" si="71"/>
        <v/>
      </c>
      <c r="W42" s="23" t="str">
        <f t="shared" ca="1" si="72"/>
        <v/>
      </c>
      <c r="X42" s="23" t="str">
        <f t="shared" ca="1" si="73"/>
        <v/>
      </c>
      <c r="Y42" s="23" t="str">
        <f t="shared" ca="1" si="74"/>
        <v/>
      </c>
      <c r="Z42" s="23" t="str">
        <f t="shared" ca="1" si="75"/>
        <v/>
      </c>
      <c r="AA42" s="23" t="str">
        <f t="shared" ca="1" si="76"/>
        <v/>
      </c>
      <c r="AB42" s="23" t="str">
        <f t="shared" ca="1" si="77"/>
        <v/>
      </c>
      <c r="AC42" s="23" t="str">
        <f t="shared" ca="1" si="78"/>
        <v/>
      </c>
      <c r="AD42" s="23" t="str">
        <f t="shared" ca="1" si="79"/>
        <v/>
      </c>
      <c r="AE42" s="23" t="str">
        <f t="shared" ca="1" si="80"/>
        <v/>
      </c>
      <c r="AF42" s="23" t="str">
        <f t="shared" ca="1" si="81"/>
        <v/>
      </c>
      <c r="AG42" s="23" t="str">
        <f t="shared" ca="1" si="82"/>
        <v/>
      </c>
      <c r="AH42" s="23" t="str">
        <f t="shared" ca="1" si="83"/>
        <v/>
      </c>
      <c r="AI42" s="23" t="str">
        <f t="shared" ca="1" si="84"/>
        <v/>
      </c>
      <c r="AJ42" s="23" t="str">
        <f t="shared" ca="1" si="85"/>
        <v/>
      </c>
      <c r="AK42" s="23" t="str">
        <f t="shared" ca="1" si="86"/>
        <v/>
      </c>
      <c r="AL42" s="23" t="str">
        <f t="shared" ca="1" si="87"/>
        <v/>
      </c>
      <c r="AM42" s="23" t="str">
        <f t="shared" ca="1" si="88"/>
        <v/>
      </c>
      <c r="AN42" s="23" t="str">
        <f t="shared" ca="1" si="89"/>
        <v/>
      </c>
      <c r="AO42" s="23" t="str">
        <f t="shared" ca="1" si="90"/>
        <v/>
      </c>
      <c r="AP42" s="23" t="str">
        <f t="shared" ca="1" si="91"/>
        <v/>
      </c>
      <c r="AQ42" s="23" t="str">
        <f t="shared" ca="1" si="92"/>
        <v/>
      </c>
      <c r="AR42" s="23" t="str">
        <f t="shared" ca="1" si="93"/>
        <v/>
      </c>
      <c r="AS42" s="23" t="str">
        <f t="shared" ca="1" si="94"/>
        <v/>
      </c>
      <c r="AT42" s="23" t="str">
        <f t="shared" ca="1" si="95"/>
        <v/>
      </c>
      <c r="AU42" s="23" t="str">
        <f t="shared" ca="1" si="96"/>
        <v/>
      </c>
      <c r="AV42" s="23" t="str">
        <f t="shared" ca="1" si="97"/>
        <v/>
      </c>
      <c r="AW42" s="23" t="str">
        <f t="shared" ca="1" si="98"/>
        <v/>
      </c>
      <c r="AX42" s="23" t="str">
        <f t="shared" ca="1" si="99"/>
        <v/>
      </c>
      <c r="AY42" s="23" t="str">
        <f t="shared" ca="1" si="100"/>
        <v/>
      </c>
      <c r="AZ42" s="23" t="str">
        <f t="shared" ca="1" si="101"/>
        <v/>
      </c>
      <c r="BA42" s="23" t="str">
        <f t="shared" ca="1" si="102"/>
        <v/>
      </c>
      <c r="BB42" s="23" t="str">
        <f t="shared" ca="1" si="103"/>
        <v/>
      </c>
      <c r="BC42" s="23" t="str">
        <f t="shared" ca="1" si="104"/>
        <v/>
      </c>
      <c r="BD42" s="23" t="str">
        <f t="shared" ca="1" si="105"/>
        <v/>
      </c>
      <c r="BE42" s="23" t="str">
        <f t="shared" ca="1" si="106"/>
        <v/>
      </c>
      <c r="BF42" s="23" t="str">
        <f t="shared" ca="1" si="107"/>
        <v/>
      </c>
      <c r="BG42" s="23" t="str">
        <f t="shared" ca="1" si="108"/>
        <v/>
      </c>
      <c r="BH42" s="23" t="str">
        <f t="shared" ca="1" si="109"/>
        <v/>
      </c>
      <c r="BI42" s="23" t="str">
        <f t="shared" ca="1" si="110"/>
        <v/>
      </c>
      <c r="BJ42" s="23" t="str">
        <f t="shared" ca="1" si="111"/>
        <v/>
      </c>
      <c r="BK42" s="23" t="str">
        <f t="shared" ca="1" si="112"/>
        <v/>
      </c>
      <c r="BL42" s="23" t="str">
        <f t="shared" ca="1" si="113"/>
        <v/>
      </c>
      <c r="BM42" s="23" t="str">
        <f t="shared" ca="1" si="114"/>
        <v/>
      </c>
      <c r="BN42" s="23" t="str">
        <f t="shared" ca="1" si="115"/>
        <v/>
      </c>
      <c r="BO42" s="23" t="str">
        <f t="shared" ca="1" si="116"/>
        <v/>
      </c>
      <c r="BP42" s="23" t="str">
        <f t="shared" ca="1" si="117"/>
        <v/>
      </c>
      <c r="BQ42" s="23" t="str">
        <f t="shared" ca="1" si="118"/>
        <v/>
      </c>
      <c r="BR42" s="23" t="str">
        <f t="shared" ca="1" si="119"/>
        <v/>
      </c>
      <c r="BS42" s="23" t="str">
        <f t="shared" ca="1" si="120"/>
        <v/>
      </c>
      <c r="BT42" s="23" t="str">
        <f t="shared" ca="1" si="121"/>
        <v/>
      </c>
      <c r="BU42" s="23" t="str">
        <f t="shared" ca="1" si="122"/>
        <v/>
      </c>
      <c r="BV42" s="23" t="str">
        <f t="shared" ca="1" si="123"/>
        <v/>
      </c>
      <c r="BW42" s="23" t="str">
        <f t="shared" ca="1" si="124"/>
        <v/>
      </c>
      <c r="BX42" s="23" t="str">
        <f t="shared" ca="1" si="125"/>
        <v/>
      </c>
      <c r="BY42" s="23" t="str">
        <f t="shared" ca="1" si="126"/>
        <v/>
      </c>
      <c r="BZ42" s="23" t="str">
        <f t="shared" ca="1" si="127"/>
        <v/>
      </c>
      <c r="CA42" s="23" t="str">
        <f t="shared" ca="1" si="128"/>
        <v/>
      </c>
      <c r="CB42" s="23" t="str">
        <f t="shared" ca="1" si="129"/>
        <v/>
      </c>
      <c r="CC42" s="23" t="str">
        <f t="shared" ca="1" si="130"/>
        <v/>
      </c>
      <c r="CD42" s="23" t="str">
        <f t="shared" ca="1" si="131"/>
        <v/>
      </c>
      <c r="CE42" s="23" t="str">
        <f t="shared" ca="1" si="132"/>
        <v/>
      </c>
      <c r="CF42" s="23" t="str">
        <f t="shared" ca="1" si="133"/>
        <v/>
      </c>
      <c r="CG42" s="23" t="str">
        <f t="shared" ca="1" si="134"/>
        <v/>
      </c>
      <c r="CH42" s="23" t="str">
        <f t="shared" ca="1" si="135"/>
        <v/>
      </c>
      <c r="CI42" s="23" t="str">
        <f t="shared" ca="1" si="136"/>
        <v/>
      </c>
      <c r="CJ42" s="23" t="str">
        <f t="shared" ca="1" si="137"/>
        <v/>
      </c>
      <c r="CK42" s="23" t="str">
        <f t="shared" ca="1" si="138"/>
        <v/>
      </c>
      <c r="CL42" s="23" t="str">
        <f t="shared" ca="1" si="139"/>
        <v/>
      </c>
      <c r="CM42" s="23" t="str">
        <f t="shared" ca="1" si="140"/>
        <v/>
      </c>
      <c r="CN42" s="23" t="str">
        <f t="shared" ca="1" si="141"/>
        <v/>
      </c>
      <c r="CO42" s="23" t="str">
        <f t="shared" ca="1" si="142"/>
        <v/>
      </c>
      <c r="CP42" s="23" t="str">
        <f t="shared" ca="1" si="143"/>
        <v/>
      </c>
      <c r="CQ42" s="23" t="str">
        <f t="shared" ca="1" si="144"/>
        <v/>
      </c>
      <c r="CR42" s="23" t="str">
        <f t="shared" ca="1" si="145"/>
        <v/>
      </c>
      <c r="CS42" s="23" t="str">
        <f t="shared" ca="1" si="146"/>
        <v/>
      </c>
      <c r="CT42" s="23" t="str">
        <f t="shared" ca="1" si="147"/>
        <v/>
      </c>
      <c r="CU42" s="23" t="str">
        <f t="shared" ca="1" si="148"/>
        <v/>
      </c>
      <c r="CV42" s="23" t="str">
        <f t="shared" ca="1" si="149"/>
        <v/>
      </c>
      <c r="CW42" s="23" t="str">
        <f t="shared" ca="1" si="150"/>
        <v/>
      </c>
      <c r="CX42" s="23" t="str">
        <f ca="1">IF(CX$11="","",IF(CX$13=$M$5,CHOOSE($Q$6+1,$M$1,CY42+CZ42-#REF!),IF(CX$13=$M$6,CHOOSE($Q$6+1,$M$1,OFFSET($A42,,$P$7-1)),IF(CX$13=$M$7,CHOOSE($Q$6+1,$M$1,SUM(OFFSET($A$11,$B42-$O$5,$O$6,1,-$P$6))),IF(CX$13=$M$8,CHOOSE($Q$6+1,$M$1,SUM(OFFSET($A$11,$B42-$O$5,$O$7,1,-$P$6))),IF(CX$11&lt;$D$7,OFFSET(INDIRECT($D$3),$A42-1,$Q$3+CX$11),OFFSET(INDIRECT($D$4),$A42-1,$Q$4+CX$11)))))))</f>
        <v/>
      </c>
      <c r="CY42" s="23" t="str">
        <f ca="1">IF(CY$11="","",IF(CY$13=$M$5,CHOOSE($Q$6+1,$M$1,CZ42+#REF!-#REF!),IF(CY$13=$M$6,CHOOSE($Q$6+1,$M$1,OFFSET($A42,,$P$7-1)),IF(CY$13=$M$7,CHOOSE($Q$6+1,$M$1,SUM(OFFSET($A$11,$B42-$O$5,$O$6,1,-$P$6))),IF(CY$13=$M$8,CHOOSE($Q$6+1,$M$1,SUM(OFFSET($A$11,$B42-$O$5,$O$7,1,-$P$6))),IF(CY$11&lt;$D$7,OFFSET(INDIRECT($D$3),$A42-1,$Q$3+CY$11),OFFSET(INDIRECT($D$4),$A42-1,$Q$4+CY$11)))))))</f>
        <v/>
      </c>
      <c r="CZ42" s="23" t="str">
        <f ca="1">IF(CZ$11="","",IF(CZ$13=$M$5,CHOOSE($Q$6+1,$M$1,#REF!+#REF!-#REF!),IF(CZ$13=$M$6,CHOOSE($Q$6+1,$M$1,OFFSET($A42,,$P$7-1)),IF(CZ$13=$M$7,CHOOSE($Q$6+1,$M$1,SUM(OFFSET($A$11,$B42-$O$5,$O$6,1,-$P$6))),IF(CZ$13=$M$8,CHOOSE($Q$6+1,$M$1,SUM(OFFSET($A$11,$B42-$O$5,$O$7,1,-$P$6))),IF(CZ$11&lt;$D$7,OFFSET(INDIRECT($D$3),$A42-1,$Q$3+CZ$11),OFFSET(INDIRECT($D$4),$A42-1,$Q$4+CZ$11)))))))</f>
        <v/>
      </c>
    </row>
    <row r="43" spans="1:104" ht="13.5" customHeight="1">
      <c r="A43" s="30">
        <v>209</v>
      </c>
      <c r="B43" s="33">
        <f t="shared" si="14"/>
        <v>43</v>
      </c>
      <c r="C43" s="9" t="s">
        <v>318</v>
      </c>
      <c r="D43" s="35">
        <f t="shared" ref="D43:AI43" ca="1" si="151">(IF(D$11="","",(IF(D$13=$M$5,CHOOSE($Q$6+1,$M$1,E43+F43-G43),IF(D$13=$M$6,CHOOSE($Q$6+1,$M$1,OFFSET($A43,,$P$7-1)),IF(D$13=$M$7,CHOOSE($Q$6+1,$M$1,SUM(OFFSET($A$11,$B43-$O$5,$O$6,1,-$P$6))),IF(D$13=$M$8,CHOOSE($Q$6+1,$M$1,SUM(OFFSET($A$11,$B43-$O$5,$O$7,1,-$P$6))),IF(D$11&lt;$D$7,OFFSET(INDIRECT($D$3),$A43-1,$Q$3+D$11),OFFSET(INDIRECT($D$4),$A43-1,$Q$4+D$11))))))/100)))</f>
        <v>0.24199999999999999</v>
      </c>
      <c r="E43" s="35">
        <f t="shared" ca="1" si="151"/>
        <v>0.252</v>
      </c>
      <c r="F43" s="35">
        <f t="shared" ca="1" si="151"/>
        <v>0.23699999999999999</v>
      </c>
      <c r="G43" s="35">
        <f t="shared" ca="1" si="151"/>
        <v>0.23499999999999999</v>
      </c>
      <c r="H43" s="35">
        <f t="shared" ca="1" si="151"/>
        <v>0.24199999999999999</v>
      </c>
      <c r="I43" s="35">
        <f t="shared" ca="1" si="151"/>
        <v>0.24600000000000002</v>
      </c>
      <c r="J43" s="35">
        <f t="shared" ca="1" si="151"/>
        <v>0.248</v>
      </c>
      <c r="K43" s="35">
        <f t="shared" ca="1" si="151"/>
        <v>0.252</v>
      </c>
      <c r="L43" s="35">
        <f t="shared" ca="1" si="151"/>
        <v>0.252</v>
      </c>
      <c r="M43" s="35">
        <f t="shared" ca="1" si="151"/>
        <v>0.254</v>
      </c>
      <c r="N43" s="35">
        <f t="shared" ca="1" si="151"/>
        <v>2.5999999999999998E-5</v>
      </c>
      <c r="O43" s="35">
        <f t="shared" ca="1" si="151"/>
        <v>2.5200000000000001E-3</v>
      </c>
      <c r="P43" s="35">
        <f t="shared" ca="1" si="151"/>
        <v>2.5400000000000002E-3</v>
      </c>
      <c r="Q43" s="35">
        <f t="shared" ca="1" si="151"/>
        <v>2.4600000000000004E-3</v>
      </c>
      <c r="R43" s="35" t="str">
        <f t="shared" ca="1" si="151"/>
        <v/>
      </c>
      <c r="S43" s="35" t="str">
        <f t="shared" ca="1" si="151"/>
        <v/>
      </c>
      <c r="T43" s="35" t="str">
        <f t="shared" ca="1" si="151"/>
        <v/>
      </c>
      <c r="U43" s="35" t="str">
        <f t="shared" ca="1" si="151"/>
        <v/>
      </c>
      <c r="V43" s="35" t="str">
        <f t="shared" ca="1" si="151"/>
        <v/>
      </c>
      <c r="W43" s="35" t="str">
        <f t="shared" ca="1" si="151"/>
        <v/>
      </c>
      <c r="X43" s="35" t="str">
        <f t="shared" ca="1" si="151"/>
        <v/>
      </c>
      <c r="Y43" s="35" t="str">
        <f t="shared" ca="1" si="151"/>
        <v/>
      </c>
      <c r="Z43" s="35" t="str">
        <f t="shared" ca="1" si="151"/>
        <v/>
      </c>
      <c r="AA43" s="35" t="str">
        <f t="shared" ca="1" si="151"/>
        <v/>
      </c>
      <c r="AB43" s="35" t="str">
        <f t="shared" ca="1" si="151"/>
        <v/>
      </c>
      <c r="AC43" s="35" t="str">
        <f t="shared" ca="1" si="151"/>
        <v/>
      </c>
      <c r="AD43" s="35" t="str">
        <f t="shared" ca="1" si="151"/>
        <v/>
      </c>
      <c r="AE43" s="35" t="str">
        <f t="shared" ca="1" si="151"/>
        <v/>
      </c>
      <c r="AF43" s="35" t="str">
        <f t="shared" ca="1" si="151"/>
        <v/>
      </c>
      <c r="AG43" s="35" t="str">
        <f t="shared" ca="1" si="151"/>
        <v/>
      </c>
      <c r="AH43" s="35" t="str">
        <f t="shared" ca="1" si="151"/>
        <v/>
      </c>
      <c r="AI43" s="35" t="str">
        <f t="shared" ca="1" si="151"/>
        <v/>
      </c>
      <c r="AJ43" s="35" t="str">
        <f t="shared" ref="AJ43:BO43" ca="1" si="152">(IF(AJ$11="","",(IF(AJ$13=$M$5,CHOOSE($Q$6+1,$M$1,AK43+AL43-AM43),IF(AJ$13=$M$6,CHOOSE($Q$6+1,$M$1,OFFSET($A43,,$P$7-1)),IF(AJ$13=$M$7,CHOOSE($Q$6+1,$M$1,SUM(OFFSET($A$11,$B43-$O$5,$O$6,1,-$P$6))),IF(AJ$13=$M$8,CHOOSE($Q$6+1,$M$1,SUM(OFFSET($A$11,$B43-$O$5,$O$7,1,-$P$6))),IF(AJ$11&lt;$D$7,OFFSET(INDIRECT($D$3),$A43-1,$Q$3+AJ$11),OFFSET(INDIRECT($D$4),$A43-1,$Q$4+AJ$11))))))/100)))</f>
        <v/>
      </c>
      <c r="AK43" s="35" t="str">
        <f t="shared" ca="1" si="152"/>
        <v/>
      </c>
      <c r="AL43" s="35" t="str">
        <f t="shared" ca="1" si="152"/>
        <v/>
      </c>
      <c r="AM43" s="35" t="str">
        <f t="shared" ca="1" si="152"/>
        <v/>
      </c>
      <c r="AN43" s="35" t="str">
        <f t="shared" ca="1" si="152"/>
        <v/>
      </c>
      <c r="AO43" s="35" t="str">
        <f t="shared" ca="1" si="152"/>
        <v/>
      </c>
      <c r="AP43" s="35" t="str">
        <f t="shared" ca="1" si="152"/>
        <v/>
      </c>
      <c r="AQ43" s="35" t="str">
        <f t="shared" ca="1" si="152"/>
        <v/>
      </c>
      <c r="AR43" s="35" t="str">
        <f t="shared" ca="1" si="152"/>
        <v/>
      </c>
      <c r="AS43" s="35" t="str">
        <f t="shared" ca="1" si="152"/>
        <v/>
      </c>
      <c r="AT43" s="35" t="str">
        <f t="shared" ca="1" si="152"/>
        <v/>
      </c>
      <c r="AU43" s="35" t="str">
        <f t="shared" ca="1" si="152"/>
        <v/>
      </c>
      <c r="AV43" s="35" t="str">
        <f t="shared" ca="1" si="152"/>
        <v/>
      </c>
      <c r="AW43" s="35" t="str">
        <f t="shared" ca="1" si="152"/>
        <v/>
      </c>
      <c r="AX43" s="35" t="str">
        <f t="shared" ca="1" si="152"/>
        <v/>
      </c>
      <c r="AY43" s="35" t="str">
        <f t="shared" ca="1" si="152"/>
        <v/>
      </c>
      <c r="AZ43" s="35" t="str">
        <f t="shared" ca="1" si="152"/>
        <v/>
      </c>
      <c r="BA43" s="35" t="str">
        <f t="shared" ca="1" si="152"/>
        <v/>
      </c>
      <c r="BB43" s="35" t="str">
        <f t="shared" ca="1" si="152"/>
        <v/>
      </c>
      <c r="BC43" s="35" t="str">
        <f t="shared" ca="1" si="152"/>
        <v/>
      </c>
      <c r="BD43" s="35" t="str">
        <f t="shared" ca="1" si="152"/>
        <v/>
      </c>
      <c r="BE43" s="35" t="str">
        <f t="shared" ca="1" si="152"/>
        <v/>
      </c>
      <c r="BF43" s="35" t="str">
        <f t="shared" ca="1" si="152"/>
        <v/>
      </c>
      <c r="BG43" s="35" t="str">
        <f t="shared" ca="1" si="152"/>
        <v/>
      </c>
      <c r="BH43" s="35" t="str">
        <f t="shared" ca="1" si="152"/>
        <v/>
      </c>
      <c r="BI43" s="35" t="str">
        <f t="shared" ca="1" si="152"/>
        <v/>
      </c>
      <c r="BJ43" s="35" t="str">
        <f t="shared" ca="1" si="152"/>
        <v/>
      </c>
      <c r="BK43" s="35" t="str">
        <f t="shared" ca="1" si="152"/>
        <v/>
      </c>
      <c r="BL43" s="35" t="str">
        <f t="shared" ca="1" si="152"/>
        <v/>
      </c>
      <c r="BM43" s="35" t="str">
        <f t="shared" ca="1" si="152"/>
        <v/>
      </c>
      <c r="BN43" s="35" t="str">
        <f t="shared" ca="1" si="152"/>
        <v/>
      </c>
      <c r="BO43" s="35" t="str">
        <f t="shared" ca="1" si="152"/>
        <v/>
      </c>
      <c r="BP43" s="35" t="str">
        <f t="shared" ref="BP43:CU43" ca="1" si="153">(IF(BP$11="","",(IF(BP$13=$M$5,CHOOSE($Q$6+1,$M$1,BQ43+BR43-BS43),IF(BP$13=$M$6,CHOOSE($Q$6+1,$M$1,OFFSET($A43,,$P$7-1)),IF(BP$13=$M$7,CHOOSE($Q$6+1,$M$1,SUM(OFFSET($A$11,$B43-$O$5,$O$6,1,-$P$6))),IF(BP$13=$M$8,CHOOSE($Q$6+1,$M$1,SUM(OFFSET($A$11,$B43-$O$5,$O$7,1,-$P$6))),IF(BP$11&lt;$D$7,OFFSET(INDIRECT($D$3),$A43-1,$Q$3+BP$11),OFFSET(INDIRECT($D$4),$A43-1,$Q$4+BP$11))))))/100)))</f>
        <v/>
      </c>
      <c r="BQ43" s="35" t="str">
        <f t="shared" ca="1" si="153"/>
        <v/>
      </c>
      <c r="BR43" s="35" t="str">
        <f t="shared" ca="1" si="153"/>
        <v/>
      </c>
      <c r="BS43" s="35" t="str">
        <f t="shared" ca="1" si="153"/>
        <v/>
      </c>
      <c r="BT43" s="35" t="str">
        <f t="shared" ca="1" si="153"/>
        <v/>
      </c>
      <c r="BU43" s="35" t="str">
        <f t="shared" ca="1" si="153"/>
        <v/>
      </c>
      <c r="BV43" s="35" t="str">
        <f t="shared" ca="1" si="153"/>
        <v/>
      </c>
      <c r="BW43" s="35" t="str">
        <f t="shared" ca="1" si="153"/>
        <v/>
      </c>
      <c r="BX43" s="35" t="str">
        <f t="shared" ca="1" si="153"/>
        <v/>
      </c>
      <c r="BY43" s="35" t="str">
        <f t="shared" ca="1" si="153"/>
        <v/>
      </c>
      <c r="BZ43" s="35" t="str">
        <f t="shared" ca="1" si="153"/>
        <v/>
      </c>
      <c r="CA43" s="35" t="str">
        <f t="shared" ca="1" si="153"/>
        <v/>
      </c>
      <c r="CB43" s="35" t="str">
        <f t="shared" ca="1" si="153"/>
        <v/>
      </c>
      <c r="CC43" s="35" t="str">
        <f t="shared" ca="1" si="153"/>
        <v/>
      </c>
      <c r="CD43" s="35" t="str">
        <f t="shared" ca="1" si="153"/>
        <v/>
      </c>
      <c r="CE43" s="35" t="str">
        <f t="shared" ca="1" si="153"/>
        <v/>
      </c>
      <c r="CF43" s="35" t="str">
        <f t="shared" ca="1" si="153"/>
        <v/>
      </c>
      <c r="CG43" s="35" t="str">
        <f t="shared" ca="1" si="153"/>
        <v/>
      </c>
      <c r="CH43" s="35" t="str">
        <f t="shared" ca="1" si="153"/>
        <v/>
      </c>
      <c r="CI43" s="35" t="str">
        <f t="shared" ca="1" si="153"/>
        <v/>
      </c>
      <c r="CJ43" s="35" t="str">
        <f t="shared" ca="1" si="153"/>
        <v/>
      </c>
      <c r="CK43" s="35" t="str">
        <f t="shared" ca="1" si="153"/>
        <v/>
      </c>
      <c r="CL43" s="35" t="str">
        <f t="shared" ca="1" si="153"/>
        <v/>
      </c>
      <c r="CM43" s="35" t="str">
        <f t="shared" ca="1" si="153"/>
        <v/>
      </c>
      <c r="CN43" s="35" t="str">
        <f t="shared" ca="1" si="153"/>
        <v/>
      </c>
      <c r="CO43" s="35" t="str">
        <f t="shared" ca="1" si="153"/>
        <v/>
      </c>
      <c r="CP43" s="35" t="str">
        <f t="shared" ca="1" si="153"/>
        <v/>
      </c>
      <c r="CQ43" s="35" t="str">
        <f t="shared" ca="1" si="153"/>
        <v/>
      </c>
      <c r="CR43" s="35" t="str">
        <f t="shared" ca="1" si="153"/>
        <v/>
      </c>
      <c r="CS43" s="35" t="str">
        <f t="shared" ca="1" si="153"/>
        <v/>
      </c>
      <c r="CT43" s="35" t="str">
        <f t="shared" ca="1" si="153"/>
        <v/>
      </c>
      <c r="CU43" s="35" t="str">
        <f t="shared" ca="1" si="153"/>
        <v/>
      </c>
      <c r="CV43" s="35" t="str">
        <f t="shared" ref="CV43:CW43" ca="1" si="154">(IF(CV$11="","",(IF(CV$13=$M$5,CHOOSE($Q$6+1,$M$1,CW43+CX43-CY43),IF(CV$13=$M$6,CHOOSE($Q$6+1,$M$1,OFFSET($A43,,$P$7-1)),IF(CV$13=$M$7,CHOOSE($Q$6+1,$M$1,SUM(OFFSET($A$11,$B43-$O$5,$O$6,1,-$P$6))),IF(CV$13=$M$8,CHOOSE($Q$6+1,$M$1,SUM(OFFSET($A$11,$B43-$O$5,$O$7,1,-$P$6))),IF(CV$11&lt;$D$7,OFFSET(INDIRECT($D$3),$A43-1,$Q$3+CV$11),OFFSET(INDIRECT($D$4),$A43-1,$Q$4+CV$11))))))/100)))</f>
        <v/>
      </c>
      <c r="CW43" s="35" t="str">
        <f t="shared" ca="1" si="154"/>
        <v/>
      </c>
      <c r="CX43" s="35" t="str">
        <f ca="1">(IF(CX$11="","",(IF(CX$13=$M$5,CHOOSE($Q$6+1,$M$1,CY43+CZ43-#REF!),IF(CX$13=$M$6,CHOOSE($Q$6+1,$M$1,OFFSET($A43,,$P$7-1)),IF(CX$13=$M$7,CHOOSE($Q$6+1,$M$1,SUM(OFFSET($A$11,$B43-$O$5,$O$6,1,-$P$6))),IF(CX$13=$M$8,CHOOSE($Q$6+1,$M$1,SUM(OFFSET($A$11,$B43-$O$5,$O$7,1,-$P$6))),IF(CX$11&lt;$D$7,OFFSET(INDIRECT($D$3),$A43-1,$Q$3+CX$11),OFFSET(INDIRECT($D$4),$A43-1,$Q$4+CX$11))))))/100)))</f>
        <v/>
      </c>
      <c r="CY43" s="35" t="str">
        <f ca="1">(IF(CY$11="","",(IF(CY$13=$M$5,CHOOSE($Q$6+1,$M$1,CZ43+#REF!-#REF!),IF(CY$13=$M$6,CHOOSE($Q$6+1,$M$1,OFFSET($A43,,$P$7-1)),IF(CY$13=$M$7,CHOOSE($Q$6+1,$M$1,SUM(OFFSET($A$11,$B43-$O$5,$O$6,1,-$P$6))),IF(CY$13=$M$8,CHOOSE($Q$6+1,$M$1,SUM(OFFSET($A$11,$B43-$O$5,$O$7,1,-$P$6))),IF(CY$11&lt;$D$7,OFFSET(INDIRECT($D$3),$A43-1,$Q$3+CY$11),OFFSET(INDIRECT($D$4),$A43-1,$Q$4+CY$11))))))/100)))</f>
        <v/>
      </c>
      <c r="CZ43" s="35" t="str">
        <f ca="1">(IF(CZ$11="","",(IF(CZ$13=$M$5,CHOOSE($Q$6+1,$M$1,#REF!+#REF!-#REF!),IF(CZ$13=$M$6,CHOOSE($Q$6+1,$M$1,OFFSET($A43,,$P$7-1)),IF(CZ$13=$M$7,CHOOSE($Q$6+1,$M$1,SUM(OFFSET($A$11,$B43-$O$5,$O$6,1,-$P$6))),IF(CZ$13=$M$8,CHOOSE($Q$6+1,$M$1,SUM(OFFSET($A$11,$B43-$O$5,$O$7,1,-$P$6))),IF(CZ$11&lt;$D$7,OFFSET(INDIRECT($D$3),$A43-1,$Q$3+CZ$11),OFFSET(INDIRECT($D$4),$A43-1,$Q$4+CZ$11))))))/100)))</f>
        <v/>
      </c>
    </row>
    <row r="44" spans="1:104" ht="13.5" customHeight="1">
      <c r="A44" s="27"/>
      <c r="B44" s="33">
        <f t="shared" si="14"/>
        <v>44</v>
      </c>
      <c r="C44" s="9" t="s">
        <v>319</v>
      </c>
      <c r="D44" s="34">
        <f ca="1">IF(D$13="","",+SUM(D45:D46))</f>
        <v>0</v>
      </c>
      <c r="E44" s="34">
        <f t="shared" ref="E44:BP44" ca="1" si="155">IF(E$13="","",+SUM(E45:E46))</f>
        <v>0</v>
      </c>
      <c r="F44" s="34">
        <f t="shared" ca="1" si="155"/>
        <v>0</v>
      </c>
      <c r="G44" s="34">
        <f t="shared" ca="1" si="155"/>
        <v>0</v>
      </c>
      <c r="H44" s="34">
        <f t="shared" ca="1" si="155"/>
        <v>0</v>
      </c>
      <c r="I44" s="34">
        <f t="shared" ca="1" si="155"/>
        <v>0</v>
      </c>
      <c r="J44" s="34">
        <f t="shared" ca="1" si="155"/>
        <v>0</v>
      </c>
      <c r="K44" s="34">
        <f t="shared" ca="1" si="155"/>
        <v>0</v>
      </c>
      <c r="L44" s="34">
        <f t="shared" ca="1" si="155"/>
        <v>0</v>
      </c>
      <c r="M44" s="34">
        <f t="shared" ca="1" si="155"/>
        <v>0</v>
      </c>
      <c r="N44" s="34">
        <f t="shared" ca="1" si="155"/>
        <v>0</v>
      </c>
      <c r="O44" s="34">
        <f t="shared" ca="1" si="155"/>
        <v>0</v>
      </c>
      <c r="P44" s="34">
        <f t="shared" ca="1" si="155"/>
        <v>0</v>
      </c>
      <c r="Q44" s="34">
        <f t="shared" ca="1" si="155"/>
        <v>0</v>
      </c>
      <c r="R44" s="34" t="str">
        <f t="shared" ca="1" si="155"/>
        <v/>
      </c>
      <c r="S44" s="34" t="str">
        <f t="shared" ca="1" si="155"/>
        <v/>
      </c>
      <c r="T44" s="34" t="str">
        <f t="shared" ca="1" si="155"/>
        <v/>
      </c>
      <c r="U44" s="34" t="str">
        <f t="shared" ca="1" si="155"/>
        <v/>
      </c>
      <c r="V44" s="34" t="str">
        <f t="shared" ca="1" si="155"/>
        <v/>
      </c>
      <c r="W44" s="34" t="str">
        <f t="shared" ca="1" si="155"/>
        <v/>
      </c>
      <c r="X44" s="34" t="str">
        <f t="shared" ca="1" si="155"/>
        <v/>
      </c>
      <c r="Y44" s="34" t="str">
        <f t="shared" ca="1" si="155"/>
        <v/>
      </c>
      <c r="Z44" s="34" t="str">
        <f t="shared" ca="1" si="155"/>
        <v/>
      </c>
      <c r="AA44" s="34" t="str">
        <f t="shared" ca="1" si="155"/>
        <v/>
      </c>
      <c r="AB44" s="34" t="str">
        <f t="shared" ca="1" si="155"/>
        <v/>
      </c>
      <c r="AC44" s="34" t="str">
        <f t="shared" ca="1" si="155"/>
        <v/>
      </c>
      <c r="AD44" s="34" t="str">
        <f t="shared" ca="1" si="155"/>
        <v/>
      </c>
      <c r="AE44" s="34" t="str">
        <f t="shared" ca="1" si="155"/>
        <v/>
      </c>
      <c r="AF44" s="34" t="str">
        <f t="shared" ca="1" si="155"/>
        <v/>
      </c>
      <c r="AG44" s="34" t="str">
        <f t="shared" ca="1" si="155"/>
        <v/>
      </c>
      <c r="AH44" s="34" t="str">
        <f t="shared" ca="1" si="155"/>
        <v/>
      </c>
      <c r="AI44" s="34" t="str">
        <f t="shared" ca="1" si="155"/>
        <v/>
      </c>
      <c r="AJ44" s="34" t="str">
        <f t="shared" ca="1" si="155"/>
        <v/>
      </c>
      <c r="AK44" s="34" t="str">
        <f t="shared" ca="1" si="155"/>
        <v/>
      </c>
      <c r="AL44" s="34" t="str">
        <f t="shared" ca="1" si="155"/>
        <v/>
      </c>
      <c r="AM44" s="34" t="str">
        <f t="shared" ca="1" si="155"/>
        <v/>
      </c>
      <c r="AN44" s="34" t="str">
        <f t="shared" ca="1" si="155"/>
        <v/>
      </c>
      <c r="AO44" s="34" t="str">
        <f t="shared" ca="1" si="155"/>
        <v/>
      </c>
      <c r="AP44" s="34" t="str">
        <f t="shared" ca="1" si="155"/>
        <v/>
      </c>
      <c r="AQ44" s="34" t="str">
        <f t="shared" ca="1" si="155"/>
        <v/>
      </c>
      <c r="AR44" s="34" t="str">
        <f t="shared" ca="1" si="155"/>
        <v/>
      </c>
      <c r="AS44" s="34" t="str">
        <f t="shared" ca="1" si="155"/>
        <v/>
      </c>
      <c r="AT44" s="34" t="str">
        <f t="shared" ca="1" si="155"/>
        <v/>
      </c>
      <c r="AU44" s="34" t="str">
        <f t="shared" ca="1" si="155"/>
        <v/>
      </c>
      <c r="AV44" s="34" t="str">
        <f t="shared" ca="1" si="155"/>
        <v/>
      </c>
      <c r="AW44" s="34" t="str">
        <f t="shared" ca="1" si="155"/>
        <v/>
      </c>
      <c r="AX44" s="34" t="str">
        <f t="shared" ca="1" si="155"/>
        <v/>
      </c>
      <c r="AY44" s="34" t="str">
        <f t="shared" ca="1" si="155"/>
        <v/>
      </c>
      <c r="AZ44" s="34" t="str">
        <f t="shared" ca="1" si="155"/>
        <v/>
      </c>
      <c r="BA44" s="34" t="str">
        <f t="shared" ca="1" si="155"/>
        <v/>
      </c>
      <c r="BB44" s="34" t="str">
        <f t="shared" ca="1" si="155"/>
        <v/>
      </c>
      <c r="BC44" s="34" t="str">
        <f t="shared" ca="1" si="155"/>
        <v/>
      </c>
      <c r="BD44" s="34" t="str">
        <f t="shared" ca="1" si="155"/>
        <v/>
      </c>
      <c r="BE44" s="34" t="str">
        <f t="shared" ca="1" si="155"/>
        <v/>
      </c>
      <c r="BF44" s="34" t="str">
        <f t="shared" ca="1" si="155"/>
        <v/>
      </c>
      <c r="BG44" s="34" t="str">
        <f t="shared" ca="1" si="155"/>
        <v/>
      </c>
      <c r="BH44" s="34" t="str">
        <f t="shared" ca="1" si="155"/>
        <v/>
      </c>
      <c r="BI44" s="34" t="str">
        <f t="shared" ca="1" si="155"/>
        <v/>
      </c>
      <c r="BJ44" s="34" t="str">
        <f t="shared" ca="1" si="155"/>
        <v/>
      </c>
      <c r="BK44" s="34" t="str">
        <f t="shared" ca="1" si="155"/>
        <v/>
      </c>
      <c r="BL44" s="34" t="str">
        <f t="shared" ca="1" si="155"/>
        <v/>
      </c>
      <c r="BM44" s="34" t="str">
        <f t="shared" ca="1" si="155"/>
        <v/>
      </c>
      <c r="BN44" s="34" t="str">
        <f t="shared" ca="1" si="155"/>
        <v/>
      </c>
      <c r="BO44" s="34" t="str">
        <f t="shared" ca="1" si="155"/>
        <v/>
      </c>
      <c r="BP44" s="34" t="str">
        <f t="shared" ca="1" si="155"/>
        <v/>
      </c>
      <c r="BQ44" s="34" t="str">
        <f t="shared" ref="BQ44:CZ44" ca="1" si="156">IF(BQ$13="","",+SUM(BQ45:BQ46))</f>
        <v/>
      </c>
      <c r="BR44" s="34" t="str">
        <f t="shared" ca="1" si="156"/>
        <v/>
      </c>
      <c r="BS44" s="34" t="str">
        <f t="shared" ca="1" si="156"/>
        <v/>
      </c>
      <c r="BT44" s="34" t="str">
        <f t="shared" ca="1" si="156"/>
        <v/>
      </c>
      <c r="BU44" s="34" t="str">
        <f t="shared" ca="1" si="156"/>
        <v/>
      </c>
      <c r="BV44" s="34" t="str">
        <f t="shared" ca="1" si="156"/>
        <v/>
      </c>
      <c r="BW44" s="34" t="str">
        <f t="shared" ca="1" si="156"/>
        <v/>
      </c>
      <c r="BX44" s="34" t="str">
        <f t="shared" ca="1" si="156"/>
        <v/>
      </c>
      <c r="BY44" s="34" t="str">
        <f t="shared" ca="1" si="156"/>
        <v/>
      </c>
      <c r="BZ44" s="34" t="str">
        <f t="shared" ca="1" si="156"/>
        <v/>
      </c>
      <c r="CA44" s="34" t="str">
        <f t="shared" ca="1" si="156"/>
        <v/>
      </c>
      <c r="CB44" s="34" t="str">
        <f t="shared" ca="1" si="156"/>
        <v/>
      </c>
      <c r="CC44" s="34" t="str">
        <f t="shared" ca="1" si="156"/>
        <v/>
      </c>
      <c r="CD44" s="34" t="str">
        <f t="shared" ca="1" si="156"/>
        <v/>
      </c>
      <c r="CE44" s="34" t="str">
        <f t="shared" ca="1" si="156"/>
        <v/>
      </c>
      <c r="CF44" s="34" t="str">
        <f t="shared" ca="1" si="156"/>
        <v/>
      </c>
      <c r="CG44" s="34" t="str">
        <f t="shared" ca="1" si="156"/>
        <v/>
      </c>
      <c r="CH44" s="34" t="str">
        <f t="shared" ca="1" si="156"/>
        <v/>
      </c>
      <c r="CI44" s="34" t="str">
        <f t="shared" ca="1" si="156"/>
        <v/>
      </c>
      <c r="CJ44" s="34" t="str">
        <f t="shared" ca="1" si="156"/>
        <v/>
      </c>
      <c r="CK44" s="34" t="str">
        <f t="shared" ca="1" si="156"/>
        <v/>
      </c>
      <c r="CL44" s="34" t="str">
        <f t="shared" ca="1" si="156"/>
        <v/>
      </c>
      <c r="CM44" s="34" t="str">
        <f t="shared" ca="1" si="156"/>
        <v/>
      </c>
      <c r="CN44" s="34" t="str">
        <f t="shared" ca="1" si="156"/>
        <v/>
      </c>
      <c r="CO44" s="34" t="str">
        <f t="shared" ca="1" si="156"/>
        <v/>
      </c>
      <c r="CP44" s="34" t="str">
        <f t="shared" ca="1" si="156"/>
        <v/>
      </c>
      <c r="CQ44" s="34" t="str">
        <f t="shared" ca="1" si="156"/>
        <v/>
      </c>
      <c r="CR44" s="34" t="str">
        <f t="shared" ca="1" si="156"/>
        <v/>
      </c>
      <c r="CS44" s="34" t="str">
        <f t="shared" ca="1" si="156"/>
        <v/>
      </c>
      <c r="CT44" s="34" t="str">
        <f t="shared" ca="1" si="156"/>
        <v/>
      </c>
      <c r="CU44" s="34" t="str">
        <f t="shared" ca="1" si="156"/>
        <v/>
      </c>
      <c r="CV44" s="34" t="str">
        <f t="shared" ca="1" si="156"/>
        <v/>
      </c>
      <c r="CW44" s="34" t="str">
        <f t="shared" ca="1" si="156"/>
        <v/>
      </c>
      <c r="CX44" s="34" t="str">
        <f t="shared" ca="1" si="156"/>
        <v/>
      </c>
      <c r="CY44" s="34" t="str">
        <f t="shared" ca="1" si="156"/>
        <v/>
      </c>
      <c r="CZ44" s="34" t="str">
        <f t="shared" ca="1" si="156"/>
        <v/>
      </c>
    </row>
    <row r="45" spans="1:104" ht="13.5" customHeight="1">
      <c r="A45" s="27">
        <v>42</v>
      </c>
      <c r="B45" s="33">
        <f t="shared" si="14"/>
        <v>45</v>
      </c>
      <c r="C45" s="8" t="s">
        <v>320</v>
      </c>
      <c r="D45" s="23">
        <f t="shared" ref="D45:D55" ca="1" si="157">IF(D$11="","",IF(D$13=$M$5,CHOOSE($Q$6+1,$M$1,E45+F45-G45),IF(D$13=$M$6,CHOOSE($Q$6+1,$M$1,OFFSET($A45,,$P$7-1)),IF(D$13=$M$7,CHOOSE($Q$6+1,$M$1,SUM(OFFSET($A$11,$B45-$O$5,$O$6,1,-$P$6))),IF(D$13=$M$8,CHOOSE($Q$6+1,$M$1,SUM(OFFSET($A$11,$B45-$O$5,$O$7,1,-$P$6))),IF(D$11&lt;$D$7,OFFSET(INDIRECT($D$3),$A45-1,$Q$3+D$11),OFFSET(INDIRECT($D$4),$A45-1,$Q$4+D$11)))))))</f>
        <v>0</v>
      </c>
      <c r="E45" s="23">
        <f t="shared" ref="E45:E55" ca="1" si="158">IF(E$11="","",IF(E$13=$M$5,CHOOSE($Q$6+1,$M$1,F45+G45-H45),IF(E$13=$M$6,CHOOSE($Q$6+1,$M$1,OFFSET($A45,,$P$7-1)),IF(E$13=$M$7,CHOOSE($Q$6+1,$M$1,SUM(OFFSET($A$11,$B45-$O$5,$O$6,1,-$P$6))),IF(E$13=$M$8,CHOOSE($Q$6+1,$M$1,SUM(OFFSET($A$11,$B45-$O$5,$O$7,1,-$P$6))),IF(E$11&lt;$D$7,OFFSET(INDIRECT($D$3),$A45-1,$Q$3+E$11),OFFSET(INDIRECT($D$4),$A45-1,$Q$4+E$11)))))))</f>
        <v>0</v>
      </c>
      <c r="F45" s="23">
        <f t="shared" ref="F45:F55" ca="1" si="159">IF(F$11="","",IF(F$13=$M$5,CHOOSE($Q$6+1,$M$1,G45+H45-I45),IF(F$13=$M$6,CHOOSE($Q$6+1,$M$1,OFFSET($A45,,$P$7-1)),IF(F$13=$M$7,CHOOSE($Q$6+1,$M$1,SUM(OFFSET($A$11,$B45-$O$5,$O$6,1,-$P$6))),IF(F$13=$M$8,CHOOSE($Q$6+1,$M$1,SUM(OFFSET($A$11,$B45-$O$5,$O$7,1,-$P$6))),IF(F$11&lt;$D$7,OFFSET(INDIRECT($D$3),$A45-1,$Q$3+F$11),OFFSET(INDIRECT($D$4),$A45-1,$Q$4+F$11)))))))</f>
        <v>0</v>
      </c>
      <c r="G45" s="23">
        <f t="shared" ref="G45:G55" ca="1" si="160">IF(G$11="","",IF(G$13=$M$5,CHOOSE($Q$6+1,$M$1,H45+I45-J45),IF(G$13=$M$6,CHOOSE($Q$6+1,$M$1,OFFSET($A45,,$P$7-1)),IF(G$13=$M$7,CHOOSE($Q$6+1,$M$1,SUM(OFFSET($A$11,$B45-$O$5,$O$6,1,-$P$6))),IF(G$13=$M$8,CHOOSE($Q$6+1,$M$1,SUM(OFFSET($A$11,$B45-$O$5,$O$7,1,-$P$6))),IF(G$11&lt;$D$7,OFFSET(INDIRECT($D$3),$A45-1,$Q$3+G$11),OFFSET(INDIRECT($D$4),$A45-1,$Q$4+G$11)))))))</f>
        <v>0</v>
      </c>
      <c r="H45" s="23">
        <f t="shared" ref="H45:H55" ca="1" si="161">IF(H$11="","",IF(H$13=$M$5,CHOOSE($Q$6+1,$M$1,I45+J45-K45),IF(H$13=$M$6,CHOOSE($Q$6+1,$M$1,OFFSET($A45,,$P$7-1)),IF(H$13=$M$7,CHOOSE($Q$6+1,$M$1,SUM(OFFSET($A$11,$B45-$O$5,$O$6,1,-$P$6))),IF(H$13=$M$8,CHOOSE($Q$6+1,$M$1,SUM(OFFSET($A$11,$B45-$O$5,$O$7,1,-$P$6))),IF(H$11&lt;$D$7,OFFSET(INDIRECT($D$3),$A45-1,$Q$3+H$11),OFFSET(INDIRECT($D$4),$A45-1,$Q$4+H$11)))))))</f>
        <v>0</v>
      </c>
      <c r="I45" s="23">
        <f t="shared" ref="I45:I55" ca="1" si="162">IF(I$11="","",IF(I$13=$M$5,CHOOSE($Q$6+1,$M$1,J45+K45-L45),IF(I$13=$M$6,CHOOSE($Q$6+1,$M$1,OFFSET($A45,,$P$7-1)),IF(I$13=$M$7,CHOOSE($Q$6+1,$M$1,SUM(OFFSET($A$11,$B45-$O$5,$O$6,1,-$P$6))),IF(I$13=$M$8,CHOOSE($Q$6+1,$M$1,SUM(OFFSET($A$11,$B45-$O$5,$O$7,1,-$P$6))),IF(I$11&lt;$D$7,OFFSET(INDIRECT($D$3),$A45-1,$Q$3+I$11),OFFSET(INDIRECT($D$4),$A45-1,$Q$4+I$11)))))))</f>
        <v>0</v>
      </c>
      <c r="J45" s="23">
        <f t="shared" ref="J45:J55" ca="1" si="163">IF(J$11="","",IF(J$13=$M$5,CHOOSE($Q$6+1,$M$1,K45+L45-M45),IF(J$13=$M$6,CHOOSE($Q$6+1,$M$1,OFFSET($A45,,$P$7-1)),IF(J$13=$M$7,CHOOSE($Q$6+1,$M$1,SUM(OFFSET($A$11,$B45-$O$5,$O$6,1,-$P$6))),IF(J$13=$M$8,CHOOSE($Q$6+1,$M$1,SUM(OFFSET($A$11,$B45-$O$5,$O$7,1,-$P$6))),IF(J$11&lt;$D$7,OFFSET(INDIRECT($D$3),$A45-1,$Q$3+J$11),OFFSET(INDIRECT($D$4),$A45-1,$Q$4+J$11)))))))</f>
        <v>0</v>
      </c>
      <c r="K45" s="23">
        <f t="shared" ref="K45:K55" ca="1" si="164">IF(K$11="","",IF(K$13=$M$5,CHOOSE($Q$6+1,$M$1,L45+M45-N45),IF(K$13=$M$6,CHOOSE($Q$6+1,$M$1,OFFSET($A45,,$P$7-1)),IF(K$13=$M$7,CHOOSE($Q$6+1,$M$1,SUM(OFFSET($A$11,$B45-$O$5,$O$6,1,-$P$6))),IF(K$13=$M$8,CHOOSE($Q$6+1,$M$1,SUM(OFFSET($A$11,$B45-$O$5,$O$7,1,-$P$6))),IF(K$11&lt;$D$7,OFFSET(INDIRECT($D$3),$A45-1,$Q$3+K$11),OFFSET(INDIRECT($D$4),$A45-1,$Q$4+K$11)))))))</f>
        <v>0</v>
      </c>
      <c r="L45" s="23">
        <f t="shared" ref="L45:L55" ca="1" si="165">IF(L$11="","",IF(L$13=$M$5,CHOOSE($Q$6+1,$M$1,M45+N45-O45),IF(L$13=$M$6,CHOOSE($Q$6+1,$M$1,OFFSET($A45,,$P$7-1)),IF(L$13=$M$7,CHOOSE($Q$6+1,$M$1,SUM(OFFSET($A$11,$B45-$O$5,$O$6,1,-$P$6))),IF(L$13=$M$8,CHOOSE($Q$6+1,$M$1,SUM(OFFSET($A$11,$B45-$O$5,$O$7,1,-$P$6))),IF(L$11&lt;$D$7,OFFSET(INDIRECT($D$3),$A45-1,$Q$3+L$11),OFFSET(INDIRECT($D$4),$A45-1,$Q$4+L$11)))))))</f>
        <v>0</v>
      </c>
      <c r="M45" s="23">
        <f t="shared" ref="M45:M55" ca="1" si="166">IF(M$11="","",IF(M$13=$M$5,CHOOSE($Q$6+1,$M$1,N45+O45-P45),IF(M$13=$M$6,CHOOSE($Q$6+1,$M$1,OFFSET($A45,,$P$7-1)),IF(M$13=$M$7,CHOOSE($Q$6+1,$M$1,SUM(OFFSET($A$11,$B45-$O$5,$O$6,1,-$P$6))),IF(M$13=$M$8,CHOOSE($Q$6+1,$M$1,SUM(OFFSET($A$11,$B45-$O$5,$O$7,1,-$P$6))),IF(M$11&lt;$D$7,OFFSET(INDIRECT($D$3),$A45-1,$Q$3+M$11),OFFSET(INDIRECT($D$4),$A45-1,$Q$4+M$11)))))))</f>
        <v>0</v>
      </c>
      <c r="N45" s="23">
        <f t="shared" ref="N45:N55" ca="1" si="167">IF(N$11="","",IF(N$13=$M$5,CHOOSE($Q$6+1,$M$1,O45+P45-Q45),IF(N$13=$M$6,CHOOSE($Q$6+1,$M$1,OFFSET($A45,,$P$7-1)),IF(N$13=$M$7,CHOOSE($Q$6+1,$M$1,SUM(OFFSET($A$11,$B45-$O$5,$O$6,1,-$P$6))),IF(N$13=$M$8,CHOOSE($Q$6+1,$M$1,SUM(OFFSET($A$11,$B45-$O$5,$O$7,1,-$P$6))),IF(N$11&lt;$D$7,OFFSET(INDIRECT($D$3),$A45-1,$Q$3+N$11),OFFSET(INDIRECT($D$4),$A45-1,$Q$4+N$11)))))))</f>
        <v>0</v>
      </c>
      <c r="O45" s="23">
        <f t="shared" ref="O45:O55" ca="1" si="168">IF(O$11="","",IF(O$13=$M$5,CHOOSE($Q$6+1,$M$1,P45+Q45-R45),IF(O$13=$M$6,CHOOSE($Q$6+1,$M$1,OFFSET($A45,,$P$7-1)),IF(O$13=$M$7,CHOOSE($Q$6+1,$M$1,SUM(OFFSET($A$11,$B45-$O$5,$O$6,1,-$P$6))),IF(O$13=$M$8,CHOOSE($Q$6+1,$M$1,SUM(OFFSET($A$11,$B45-$O$5,$O$7,1,-$P$6))),IF(O$11&lt;$D$7,OFFSET(INDIRECT($D$3),$A45-1,$Q$3+O$11),OFFSET(INDIRECT($D$4),$A45-1,$Q$4+O$11)))))))</f>
        <v>0</v>
      </c>
      <c r="P45" s="23">
        <f t="shared" ref="P45:P55" ca="1" si="169">IF(P$11="","",IF(P$13=$M$5,CHOOSE($Q$6+1,$M$1,Q45+R45-S45),IF(P$13=$M$6,CHOOSE($Q$6+1,$M$1,OFFSET($A45,,$P$7-1)),IF(P$13=$M$7,CHOOSE($Q$6+1,$M$1,SUM(OFFSET($A$11,$B45-$O$5,$O$6,1,-$P$6))),IF(P$13=$M$8,CHOOSE($Q$6+1,$M$1,SUM(OFFSET($A$11,$B45-$O$5,$O$7,1,-$P$6))),IF(P$11&lt;$D$7,OFFSET(INDIRECT($D$3),$A45-1,$Q$3+P$11),OFFSET(INDIRECT($D$4),$A45-1,$Q$4+P$11)))))))</f>
        <v>0</v>
      </c>
      <c r="Q45" s="23">
        <f t="shared" ref="Q45:Q55" ca="1" si="170">IF(Q$11="","",IF(Q$13=$M$5,CHOOSE($Q$6+1,$M$1,R45+S45-T45),IF(Q$13=$M$6,CHOOSE($Q$6+1,$M$1,OFFSET($A45,,$P$7-1)),IF(Q$13=$M$7,CHOOSE($Q$6+1,$M$1,SUM(OFFSET($A$11,$B45-$O$5,$O$6,1,-$P$6))),IF(Q$13=$M$8,CHOOSE($Q$6+1,$M$1,SUM(OFFSET($A$11,$B45-$O$5,$O$7,1,-$P$6))),IF(Q$11&lt;$D$7,OFFSET(INDIRECT($D$3),$A45-1,$Q$3+Q$11),OFFSET(INDIRECT($D$4),$A45-1,$Q$4+Q$11)))))))</f>
        <v>0</v>
      </c>
      <c r="R45" s="23" t="str">
        <f t="shared" ref="R45:R55" ca="1" si="171">IF(R$11="","",IF(R$13=$M$5,CHOOSE($Q$6+1,$M$1,S45+T45-U45),IF(R$13=$M$6,CHOOSE($Q$6+1,$M$1,OFFSET($A45,,$P$7-1)),IF(R$13=$M$7,CHOOSE($Q$6+1,$M$1,SUM(OFFSET($A$11,$B45-$O$5,$O$6,1,-$P$6))),IF(R$13=$M$8,CHOOSE($Q$6+1,$M$1,SUM(OFFSET($A$11,$B45-$O$5,$O$7,1,-$P$6))),IF(R$11&lt;$D$7,OFFSET(INDIRECT($D$3),$A45-1,$Q$3+R$11),OFFSET(INDIRECT($D$4),$A45-1,$Q$4+R$11)))))))</f>
        <v/>
      </c>
      <c r="S45" s="23" t="str">
        <f t="shared" ref="S45:S55" ca="1" si="172">IF(S$11="","",IF(S$13=$M$5,CHOOSE($Q$6+1,$M$1,T45+U45-V45),IF(S$13=$M$6,CHOOSE($Q$6+1,$M$1,OFFSET($A45,,$P$7-1)),IF(S$13=$M$7,CHOOSE($Q$6+1,$M$1,SUM(OFFSET($A$11,$B45-$O$5,$O$6,1,-$P$6))),IF(S$13=$M$8,CHOOSE($Q$6+1,$M$1,SUM(OFFSET($A$11,$B45-$O$5,$O$7,1,-$P$6))),IF(S$11&lt;$D$7,OFFSET(INDIRECT($D$3),$A45-1,$Q$3+S$11),OFFSET(INDIRECT($D$4),$A45-1,$Q$4+S$11)))))))</f>
        <v/>
      </c>
      <c r="T45" s="23" t="str">
        <f t="shared" ref="T45:T55" ca="1" si="173">IF(T$11="","",IF(T$13=$M$5,CHOOSE($Q$6+1,$M$1,U45+V45-W45),IF(T$13=$M$6,CHOOSE($Q$6+1,$M$1,OFFSET($A45,,$P$7-1)),IF(T$13=$M$7,CHOOSE($Q$6+1,$M$1,SUM(OFFSET($A$11,$B45-$O$5,$O$6,1,-$P$6))),IF(T$13=$M$8,CHOOSE($Q$6+1,$M$1,SUM(OFFSET($A$11,$B45-$O$5,$O$7,1,-$P$6))),IF(T$11&lt;$D$7,OFFSET(INDIRECT($D$3),$A45-1,$Q$3+T$11),OFFSET(INDIRECT($D$4),$A45-1,$Q$4+T$11)))))))</f>
        <v/>
      </c>
      <c r="U45" s="23" t="str">
        <f t="shared" ref="U45:U55" ca="1" si="174">IF(U$11="","",IF(U$13=$M$5,CHOOSE($Q$6+1,$M$1,V45+W45-X45),IF(U$13=$M$6,CHOOSE($Q$6+1,$M$1,OFFSET($A45,,$P$7-1)),IF(U$13=$M$7,CHOOSE($Q$6+1,$M$1,SUM(OFFSET($A$11,$B45-$O$5,$O$6,1,-$P$6))),IF(U$13=$M$8,CHOOSE($Q$6+1,$M$1,SUM(OFFSET($A$11,$B45-$O$5,$O$7,1,-$P$6))),IF(U$11&lt;$D$7,OFFSET(INDIRECT($D$3),$A45-1,$Q$3+U$11),OFFSET(INDIRECT($D$4),$A45-1,$Q$4+U$11)))))))</f>
        <v/>
      </c>
      <c r="V45" s="23" t="str">
        <f t="shared" ref="V45:V55" ca="1" si="175">IF(V$11="","",IF(V$13=$M$5,CHOOSE($Q$6+1,$M$1,W45+X45-Y45),IF(V$13=$M$6,CHOOSE($Q$6+1,$M$1,OFFSET($A45,,$P$7-1)),IF(V$13=$M$7,CHOOSE($Q$6+1,$M$1,SUM(OFFSET($A$11,$B45-$O$5,$O$6,1,-$P$6))),IF(V$13=$M$8,CHOOSE($Q$6+1,$M$1,SUM(OFFSET($A$11,$B45-$O$5,$O$7,1,-$P$6))),IF(V$11&lt;$D$7,OFFSET(INDIRECT($D$3),$A45-1,$Q$3+V$11),OFFSET(INDIRECT($D$4),$A45-1,$Q$4+V$11)))))))</f>
        <v/>
      </c>
      <c r="W45" s="23" t="str">
        <f t="shared" ref="W45:W55" ca="1" si="176">IF(W$11="","",IF(W$13=$M$5,CHOOSE($Q$6+1,$M$1,X45+Y45-Z45),IF(W$13=$M$6,CHOOSE($Q$6+1,$M$1,OFFSET($A45,,$P$7-1)),IF(W$13=$M$7,CHOOSE($Q$6+1,$M$1,SUM(OFFSET($A$11,$B45-$O$5,$O$6,1,-$P$6))),IF(W$13=$M$8,CHOOSE($Q$6+1,$M$1,SUM(OFFSET($A$11,$B45-$O$5,$O$7,1,-$P$6))),IF(W$11&lt;$D$7,OFFSET(INDIRECT($D$3),$A45-1,$Q$3+W$11),OFFSET(INDIRECT($D$4),$A45-1,$Q$4+W$11)))))))</f>
        <v/>
      </c>
      <c r="X45" s="23" t="str">
        <f t="shared" ref="X45:X55" ca="1" si="177">IF(X$11="","",IF(X$13=$M$5,CHOOSE($Q$6+1,$M$1,Y45+Z45-AA45),IF(X$13=$M$6,CHOOSE($Q$6+1,$M$1,OFFSET($A45,,$P$7-1)),IF(X$13=$M$7,CHOOSE($Q$6+1,$M$1,SUM(OFFSET($A$11,$B45-$O$5,$O$6,1,-$P$6))),IF(X$13=$M$8,CHOOSE($Q$6+1,$M$1,SUM(OFFSET($A$11,$B45-$O$5,$O$7,1,-$P$6))),IF(X$11&lt;$D$7,OFFSET(INDIRECT($D$3),$A45-1,$Q$3+X$11),OFFSET(INDIRECT($D$4),$A45-1,$Q$4+X$11)))))))</f>
        <v/>
      </c>
      <c r="Y45" s="23" t="str">
        <f t="shared" ref="Y45:Y55" ca="1" si="178">IF(Y$11="","",IF(Y$13=$M$5,CHOOSE($Q$6+1,$M$1,Z45+AA45-AB45),IF(Y$13=$M$6,CHOOSE($Q$6+1,$M$1,OFFSET($A45,,$P$7-1)),IF(Y$13=$M$7,CHOOSE($Q$6+1,$M$1,SUM(OFFSET($A$11,$B45-$O$5,$O$6,1,-$P$6))),IF(Y$13=$M$8,CHOOSE($Q$6+1,$M$1,SUM(OFFSET($A$11,$B45-$O$5,$O$7,1,-$P$6))),IF(Y$11&lt;$D$7,OFFSET(INDIRECT($D$3),$A45-1,$Q$3+Y$11),OFFSET(INDIRECT($D$4),$A45-1,$Q$4+Y$11)))))))</f>
        <v/>
      </c>
      <c r="Z45" s="23" t="str">
        <f t="shared" ref="Z45:Z55" ca="1" si="179">IF(Z$11="","",IF(Z$13=$M$5,CHOOSE($Q$6+1,$M$1,AA45+AB45-AC45),IF(Z$13=$M$6,CHOOSE($Q$6+1,$M$1,OFFSET($A45,,$P$7-1)),IF(Z$13=$M$7,CHOOSE($Q$6+1,$M$1,SUM(OFFSET($A$11,$B45-$O$5,$O$6,1,-$P$6))),IF(Z$13=$M$8,CHOOSE($Q$6+1,$M$1,SUM(OFFSET($A$11,$B45-$O$5,$O$7,1,-$P$6))),IF(Z$11&lt;$D$7,OFFSET(INDIRECT($D$3),$A45-1,$Q$3+Z$11),OFFSET(INDIRECT($D$4),$A45-1,$Q$4+Z$11)))))))</f>
        <v/>
      </c>
      <c r="AA45" s="23" t="str">
        <f t="shared" ref="AA45:AA55" ca="1" si="180">IF(AA$11="","",IF(AA$13=$M$5,CHOOSE($Q$6+1,$M$1,AB45+AC45-AD45),IF(AA$13=$M$6,CHOOSE($Q$6+1,$M$1,OFFSET($A45,,$P$7-1)),IF(AA$13=$M$7,CHOOSE($Q$6+1,$M$1,SUM(OFFSET($A$11,$B45-$O$5,$O$6,1,-$P$6))),IF(AA$13=$M$8,CHOOSE($Q$6+1,$M$1,SUM(OFFSET($A$11,$B45-$O$5,$O$7,1,-$P$6))),IF(AA$11&lt;$D$7,OFFSET(INDIRECT($D$3),$A45-1,$Q$3+AA$11),OFFSET(INDIRECT($D$4),$A45-1,$Q$4+AA$11)))))))</f>
        <v/>
      </c>
      <c r="AB45" s="23" t="str">
        <f t="shared" ref="AB45:AB55" ca="1" si="181">IF(AB$11="","",IF(AB$13=$M$5,CHOOSE($Q$6+1,$M$1,AC45+AD45-AE45),IF(AB$13=$M$6,CHOOSE($Q$6+1,$M$1,OFFSET($A45,,$P$7-1)),IF(AB$13=$M$7,CHOOSE($Q$6+1,$M$1,SUM(OFFSET($A$11,$B45-$O$5,$O$6,1,-$P$6))),IF(AB$13=$M$8,CHOOSE($Q$6+1,$M$1,SUM(OFFSET($A$11,$B45-$O$5,$O$7,1,-$P$6))),IF(AB$11&lt;$D$7,OFFSET(INDIRECT($D$3),$A45-1,$Q$3+AB$11),OFFSET(INDIRECT($D$4),$A45-1,$Q$4+AB$11)))))))</f>
        <v/>
      </c>
      <c r="AC45" s="23" t="str">
        <f t="shared" ref="AC45:AC55" ca="1" si="182">IF(AC$11="","",IF(AC$13=$M$5,CHOOSE($Q$6+1,$M$1,AD45+AE45-AF45),IF(AC$13=$M$6,CHOOSE($Q$6+1,$M$1,OFFSET($A45,,$P$7-1)),IF(AC$13=$M$7,CHOOSE($Q$6+1,$M$1,SUM(OFFSET($A$11,$B45-$O$5,$O$6,1,-$P$6))),IF(AC$13=$M$8,CHOOSE($Q$6+1,$M$1,SUM(OFFSET($A$11,$B45-$O$5,$O$7,1,-$P$6))),IF(AC$11&lt;$D$7,OFFSET(INDIRECT($D$3),$A45-1,$Q$3+AC$11),OFFSET(INDIRECT($D$4),$A45-1,$Q$4+AC$11)))))))</f>
        <v/>
      </c>
      <c r="AD45" s="23" t="str">
        <f t="shared" ref="AD45:AD55" ca="1" si="183">IF(AD$11="","",IF(AD$13=$M$5,CHOOSE($Q$6+1,$M$1,AE45+AF45-AG45),IF(AD$13=$M$6,CHOOSE($Q$6+1,$M$1,OFFSET($A45,,$P$7-1)),IF(AD$13=$M$7,CHOOSE($Q$6+1,$M$1,SUM(OFFSET($A$11,$B45-$O$5,$O$6,1,-$P$6))),IF(AD$13=$M$8,CHOOSE($Q$6+1,$M$1,SUM(OFFSET($A$11,$B45-$O$5,$O$7,1,-$P$6))),IF(AD$11&lt;$D$7,OFFSET(INDIRECT($D$3),$A45-1,$Q$3+AD$11),OFFSET(INDIRECT($D$4),$A45-1,$Q$4+AD$11)))))))</f>
        <v/>
      </c>
      <c r="AE45" s="23" t="str">
        <f t="shared" ref="AE45:AE55" ca="1" si="184">IF(AE$11="","",IF(AE$13=$M$5,CHOOSE($Q$6+1,$M$1,AF45+AG45-AH45),IF(AE$13=$M$6,CHOOSE($Q$6+1,$M$1,OFFSET($A45,,$P$7-1)),IF(AE$13=$M$7,CHOOSE($Q$6+1,$M$1,SUM(OFFSET($A$11,$B45-$O$5,$O$6,1,-$P$6))),IF(AE$13=$M$8,CHOOSE($Q$6+1,$M$1,SUM(OFFSET($A$11,$B45-$O$5,$O$7,1,-$P$6))),IF(AE$11&lt;$D$7,OFFSET(INDIRECT($D$3),$A45-1,$Q$3+AE$11),OFFSET(INDIRECT($D$4),$A45-1,$Q$4+AE$11)))))))</f>
        <v/>
      </c>
      <c r="AF45" s="23" t="str">
        <f t="shared" ref="AF45:AF55" ca="1" si="185">IF(AF$11="","",IF(AF$13=$M$5,CHOOSE($Q$6+1,$M$1,AG45+AH45-AI45),IF(AF$13=$M$6,CHOOSE($Q$6+1,$M$1,OFFSET($A45,,$P$7-1)),IF(AF$13=$M$7,CHOOSE($Q$6+1,$M$1,SUM(OFFSET($A$11,$B45-$O$5,$O$6,1,-$P$6))),IF(AF$13=$M$8,CHOOSE($Q$6+1,$M$1,SUM(OFFSET($A$11,$B45-$O$5,$O$7,1,-$P$6))),IF(AF$11&lt;$D$7,OFFSET(INDIRECT($D$3),$A45-1,$Q$3+AF$11),OFFSET(INDIRECT($D$4),$A45-1,$Q$4+AF$11)))))))</f>
        <v/>
      </c>
      <c r="AG45" s="23" t="str">
        <f t="shared" ref="AG45:AG55" ca="1" si="186">IF(AG$11="","",IF(AG$13=$M$5,CHOOSE($Q$6+1,$M$1,AH45+AI45-AJ45),IF(AG$13=$M$6,CHOOSE($Q$6+1,$M$1,OFFSET($A45,,$P$7-1)),IF(AG$13=$M$7,CHOOSE($Q$6+1,$M$1,SUM(OFFSET($A$11,$B45-$O$5,$O$6,1,-$P$6))),IF(AG$13=$M$8,CHOOSE($Q$6+1,$M$1,SUM(OFFSET($A$11,$B45-$O$5,$O$7,1,-$P$6))),IF(AG$11&lt;$D$7,OFFSET(INDIRECT($D$3),$A45-1,$Q$3+AG$11),OFFSET(INDIRECT($D$4),$A45-1,$Q$4+AG$11)))))))</f>
        <v/>
      </c>
      <c r="AH45" s="23" t="str">
        <f t="shared" ref="AH45:AH55" ca="1" si="187">IF(AH$11="","",IF(AH$13=$M$5,CHOOSE($Q$6+1,$M$1,AI45+AJ45-AK45),IF(AH$13=$M$6,CHOOSE($Q$6+1,$M$1,OFFSET($A45,,$P$7-1)),IF(AH$13=$M$7,CHOOSE($Q$6+1,$M$1,SUM(OFFSET($A$11,$B45-$O$5,$O$6,1,-$P$6))),IF(AH$13=$M$8,CHOOSE($Q$6+1,$M$1,SUM(OFFSET($A$11,$B45-$O$5,$O$7,1,-$P$6))),IF(AH$11&lt;$D$7,OFFSET(INDIRECT($D$3),$A45-1,$Q$3+AH$11),OFFSET(INDIRECT($D$4),$A45-1,$Q$4+AH$11)))))))</f>
        <v/>
      </c>
      <c r="AI45" s="23" t="str">
        <f t="shared" ref="AI45:AI55" ca="1" si="188">IF(AI$11="","",IF(AI$13=$M$5,CHOOSE($Q$6+1,$M$1,AJ45+AK45-AL45),IF(AI$13=$M$6,CHOOSE($Q$6+1,$M$1,OFFSET($A45,,$P$7-1)),IF(AI$13=$M$7,CHOOSE($Q$6+1,$M$1,SUM(OFFSET($A$11,$B45-$O$5,$O$6,1,-$P$6))),IF(AI$13=$M$8,CHOOSE($Q$6+1,$M$1,SUM(OFFSET($A$11,$B45-$O$5,$O$7,1,-$P$6))),IF(AI$11&lt;$D$7,OFFSET(INDIRECT($D$3),$A45-1,$Q$3+AI$11),OFFSET(INDIRECT($D$4),$A45-1,$Q$4+AI$11)))))))</f>
        <v/>
      </c>
      <c r="AJ45" s="23" t="str">
        <f t="shared" ref="AJ45:AJ55" ca="1" si="189">IF(AJ$11="","",IF(AJ$13=$M$5,CHOOSE($Q$6+1,$M$1,AK45+AL45-AM45),IF(AJ$13=$M$6,CHOOSE($Q$6+1,$M$1,OFFSET($A45,,$P$7-1)),IF(AJ$13=$M$7,CHOOSE($Q$6+1,$M$1,SUM(OFFSET($A$11,$B45-$O$5,$O$6,1,-$P$6))),IF(AJ$13=$M$8,CHOOSE($Q$6+1,$M$1,SUM(OFFSET($A$11,$B45-$O$5,$O$7,1,-$P$6))),IF(AJ$11&lt;$D$7,OFFSET(INDIRECT($D$3),$A45-1,$Q$3+AJ$11),OFFSET(INDIRECT($D$4),$A45-1,$Q$4+AJ$11)))))))</f>
        <v/>
      </c>
      <c r="AK45" s="23" t="str">
        <f t="shared" ref="AK45:AK55" ca="1" si="190">IF(AK$11="","",IF(AK$13=$M$5,CHOOSE($Q$6+1,$M$1,AL45+AM45-AN45),IF(AK$13=$M$6,CHOOSE($Q$6+1,$M$1,OFFSET($A45,,$P$7-1)),IF(AK$13=$M$7,CHOOSE($Q$6+1,$M$1,SUM(OFFSET($A$11,$B45-$O$5,$O$6,1,-$P$6))),IF(AK$13=$M$8,CHOOSE($Q$6+1,$M$1,SUM(OFFSET($A$11,$B45-$O$5,$O$7,1,-$P$6))),IF(AK$11&lt;$D$7,OFFSET(INDIRECT($D$3),$A45-1,$Q$3+AK$11),OFFSET(INDIRECT($D$4),$A45-1,$Q$4+AK$11)))))))</f>
        <v/>
      </c>
      <c r="AL45" s="23" t="str">
        <f t="shared" ref="AL45:AL55" ca="1" si="191">IF(AL$11="","",IF(AL$13=$M$5,CHOOSE($Q$6+1,$M$1,AM45+AN45-AO45),IF(AL$13=$M$6,CHOOSE($Q$6+1,$M$1,OFFSET($A45,,$P$7-1)),IF(AL$13=$M$7,CHOOSE($Q$6+1,$M$1,SUM(OFFSET($A$11,$B45-$O$5,$O$6,1,-$P$6))),IF(AL$13=$M$8,CHOOSE($Q$6+1,$M$1,SUM(OFFSET($A$11,$B45-$O$5,$O$7,1,-$P$6))),IF(AL$11&lt;$D$7,OFFSET(INDIRECT($D$3),$A45-1,$Q$3+AL$11),OFFSET(INDIRECT($D$4),$A45-1,$Q$4+AL$11)))))))</f>
        <v/>
      </c>
      <c r="AM45" s="23" t="str">
        <f t="shared" ref="AM45:AM55" ca="1" si="192">IF(AM$11="","",IF(AM$13=$M$5,CHOOSE($Q$6+1,$M$1,AN45+AO45-AP45),IF(AM$13=$M$6,CHOOSE($Q$6+1,$M$1,OFFSET($A45,,$P$7-1)),IF(AM$13=$M$7,CHOOSE($Q$6+1,$M$1,SUM(OFFSET($A$11,$B45-$O$5,$O$6,1,-$P$6))),IF(AM$13=$M$8,CHOOSE($Q$6+1,$M$1,SUM(OFFSET($A$11,$B45-$O$5,$O$7,1,-$P$6))),IF(AM$11&lt;$D$7,OFFSET(INDIRECT($D$3),$A45-1,$Q$3+AM$11),OFFSET(INDIRECT($D$4),$A45-1,$Q$4+AM$11)))))))</f>
        <v/>
      </c>
      <c r="AN45" s="23" t="str">
        <f t="shared" ref="AN45:AN55" ca="1" si="193">IF(AN$11="","",IF(AN$13=$M$5,CHOOSE($Q$6+1,$M$1,AO45+AP45-AQ45),IF(AN$13=$M$6,CHOOSE($Q$6+1,$M$1,OFFSET($A45,,$P$7-1)),IF(AN$13=$M$7,CHOOSE($Q$6+1,$M$1,SUM(OFFSET($A$11,$B45-$O$5,$O$6,1,-$P$6))),IF(AN$13=$M$8,CHOOSE($Q$6+1,$M$1,SUM(OFFSET($A$11,$B45-$O$5,$O$7,1,-$P$6))),IF(AN$11&lt;$D$7,OFFSET(INDIRECT($D$3),$A45-1,$Q$3+AN$11),OFFSET(INDIRECT($D$4),$A45-1,$Q$4+AN$11)))))))</f>
        <v/>
      </c>
      <c r="AO45" s="23" t="str">
        <f t="shared" ref="AO45:AO55" ca="1" si="194">IF(AO$11="","",IF(AO$13=$M$5,CHOOSE($Q$6+1,$M$1,AP45+AQ45-AR45),IF(AO$13=$M$6,CHOOSE($Q$6+1,$M$1,OFFSET($A45,,$P$7-1)),IF(AO$13=$M$7,CHOOSE($Q$6+1,$M$1,SUM(OFFSET($A$11,$B45-$O$5,$O$6,1,-$P$6))),IF(AO$13=$M$8,CHOOSE($Q$6+1,$M$1,SUM(OFFSET($A$11,$B45-$O$5,$O$7,1,-$P$6))),IF(AO$11&lt;$D$7,OFFSET(INDIRECT($D$3),$A45-1,$Q$3+AO$11),OFFSET(INDIRECT($D$4),$A45-1,$Q$4+AO$11)))))))</f>
        <v/>
      </c>
      <c r="AP45" s="23" t="str">
        <f t="shared" ref="AP45:AP55" ca="1" si="195">IF(AP$11="","",IF(AP$13=$M$5,CHOOSE($Q$6+1,$M$1,AQ45+AR45-AS45),IF(AP$13=$M$6,CHOOSE($Q$6+1,$M$1,OFFSET($A45,,$P$7-1)),IF(AP$13=$M$7,CHOOSE($Q$6+1,$M$1,SUM(OFFSET($A$11,$B45-$O$5,$O$6,1,-$P$6))),IF(AP$13=$M$8,CHOOSE($Q$6+1,$M$1,SUM(OFFSET($A$11,$B45-$O$5,$O$7,1,-$P$6))),IF(AP$11&lt;$D$7,OFFSET(INDIRECT($D$3),$A45-1,$Q$3+AP$11),OFFSET(INDIRECT($D$4),$A45-1,$Q$4+AP$11)))))))</f>
        <v/>
      </c>
      <c r="AQ45" s="23" t="str">
        <f t="shared" ref="AQ45:AQ55" ca="1" si="196">IF(AQ$11="","",IF(AQ$13=$M$5,CHOOSE($Q$6+1,$M$1,AR45+AS45-AT45),IF(AQ$13=$M$6,CHOOSE($Q$6+1,$M$1,OFFSET($A45,,$P$7-1)),IF(AQ$13=$M$7,CHOOSE($Q$6+1,$M$1,SUM(OFFSET($A$11,$B45-$O$5,$O$6,1,-$P$6))),IF(AQ$13=$M$8,CHOOSE($Q$6+1,$M$1,SUM(OFFSET($A$11,$B45-$O$5,$O$7,1,-$P$6))),IF(AQ$11&lt;$D$7,OFFSET(INDIRECT($D$3),$A45-1,$Q$3+AQ$11),OFFSET(INDIRECT($D$4),$A45-1,$Q$4+AQ$11)))))))</f>
        <v/>
      </c>
      <c r="AR45" s="23" t="str">
        <f t="shared" ref="AR45:AR55" ca="1" si="197">IF(AR$11="","",IF(AR$13=$M$5,CHOOSE($Q$6+1,$M$1,AS45+AT45-AU45),IF(AR$13=$M$6,CHOOSE($Q$6+1,$M$1,OFFSET($A45,,$P$7-1)),IF(AR$13=$M$7,CHOOSE($Q$6+1,$M$1,SUM(OFFSET($A$11,$B45-$O$5,$O$6,1,-$P$6))),IF(AR$13=$M$8,CHOOSE($Q$6+1,$M$1,SUM(OFFSET($A$11,$B45-$O$5,$O$7,1,-$P$6))),IF(AR$11&lt;$D$7,OFFSET(INDIRECT($D$3),$A45-1,$Q$3+AR$11),OFFSET(INDIRECT($D$4),$A45-1,$Q$4+AR$11)))))))</f>
        <v/>
      </c>
      <c r="AS45" s="23" t="str">
        <f t="shared" ref="AS45:AS55" ca="1" si="198">IF(AS$11="","",IF(AS$13=$M$5,CHOOSE($Q$6+1,$M$1,AT45+AU45-AV45),IF(AS$13=$M$6,CHOOSE($Q$6+1,$M$1,OFFSET($A45,,$P$7-1)),IF(AS$13=$M$7,CHOOSE($Q$6+1,$M$1,SUM(OFFSET($A$11,$B45-$O$5,$O$6,1,-$P$6))),IF(AS$13=$M$8,CHOOSE($Q$6+1,$M$1,SUM(OFFSET($A$11,$B45-$O$5,$O$7,1,-$P$6))),IF(AS$11&lt;$D$7,OFFSET(INDIRECT($D$3),$A45-1,$Q$3+AS$11),OFFSET(INDIRECT($D$4),$A45-1,$Q$4+AS$11)))))))</f>
        <v/>
      </c>
      <c r="AT45" s="23" t="str">
        <f t="shared" ref="AT45:AT55" ca="1" si="199">IF(AT$11="","",IF(AT$13=$M$5,CHOOSE($Q$6+1,$M$1,AU45+AV45-AW45),IF(AT$13=$M$6,CHOOSE($Q$6+1,$M$1,OFFSET($A45,,$P$7-1)),IF(AT$13=$M$7,CHOOSE($Q$6+1,$M$1,SUM(OFFSET($A$11,$B45-$O$5,$O$6,1,-$P$6))),IF(AT$13=$M$8,CHOOSE($Q$6+1,$M$1,SUM(OFFSET($A$11,$B45-$O$5,$O$7,1,-$P$6))),IF(AT$11&lt;$D$7,OFFSET(INDIRECT($D$3),$A45-1,$Q$3+AT$11),OFFSET(INDIRECT($D$4),$A45-1,$Q$4+AT$11)))))))</f>
        <v/>
      </c>
      <c r="AU45" s="23" t="str">
        <f t="shared" ref="AU45:AU55" ca="1" si="200">IF(AU$11="","",IF(AU$13=$M$5,CHOOSE($Q$6+1,$M$1,AV45+AW45-AX45),IF(AU$13=$M$6,CHOOSE($Q$6+1,$M$1,OFFSET($A45,,$P$7-1)),IF(AU$13=$M$7,CHOOSE($Q$6+1,$M$1,SUM(OFFSET($A$11,$B45-$O$5,$O$6,1,-$P$6))),IF(AU$13=$M$8,CHOOSE($Q$6+1,$M$1,SUM(OFFSET($A$11,$B45-$O$5,$O$7,1,-$P$6))),IF(AU$11&lt;$D$7,OFFSET(INDIRECT($D$3),$A45-1,$Q$3+AU$11),OFFSET(INDIRECT($D$4),$A45-1,$Q$4+AU$11)))))))</f>
        <v/>
      </c>
      <c r="AV45" s="23" t="str">
        <f t="shared" ref="AV45:AV55" ca="1" si="201">IF(AV$11="","",IF(AV$13=$M$5,CHOOSE($Q$6+1,$M$1,AW45+AX45-AY45),IF(AV$13=$M$6,CHOOSE($Q$6+1,$M$1,OFFSET($A45,,$P$7-1)),IF(AV$13=$M$7,CHOOSE($Q$6+1,$M$1,SUM(OFFSET($A$11,$B45-$O$5,$O$6,1,-$P$6))),IF(AV$13=$M$8,CHOOSE($Q$6+1,$M$1,SUM(OFFSET($A$11,$B45-$O$5,$O$7,1,-$P$6))),IF(AV$11&lt;$D$7,OFFSET(INDIRECT($D$3),$A45-1,$Q$3+AV$11),OFFSET(INDIRECT($D$4),$A45-1,$Q$4+AV$11)))))))</f>
        <v/>
      </c>
      <c r="AW45" s="23" t="str">
        <f t="shared" ref="AW45:AW55" ca="1" si="202">IF(AW$11="","",IF(AW$13=$M$5,CHOOSE($Q$6+1,$M$1,AX45+AY45-AZ45),IF(AW$13=$M$6,CHOOSE($Q$6+1,$M$1,OFFSET($A45,,$P$7-1)),IF(AW$13=$M$7,CHOOSE($Q$6+1,$M$1,SUM(OFFSET($A$11,$B45-$O$5,$O$6,1,-$P$6))),IF(AW$13=$M$8,CHOOSE($Q$6+1,$M$1,SUM(OFFSET($A$11,$B45-$O$5,$O$7,1,-$P$6))),IF(AW$11&lt;$D$7,OFFSET(INDIRECT($D$3),$A45-1,$Q$3+AW$11),OFFSET(INDIRECT($D$4),$A45-1,$Q$4+AW$11)))))))</f>
        <v/>
      </c>
      <c r="AX45" s="23" t="str">
        <f t="shared" ref="AX45:AX55" ca="1" si="203">IF(AX$11="","",IF(AX$13=$M$5,CHOOSE($Q$6+1,$M$1,AY45+AZ45-BA45),IF(AX$13=$M$6,CHOOSE($Q$6+1,$M$1,OFFSET($A45,,$P$7-1)),IF(AX$13=$M$7,CHOOSE($Q$6+1,$M$1,SUM(OFFSET($A$11,$B45-$O$5,$O$6,1,-$P$6))),IF(AX$13=$M$8,CHOOSE($Q$6+1,$M$1,SUM(OFFSET($A$11,$B45-$O$5,$O$7,1,-$P$6))),IF(AX$11&lt;$D$7,OFFSET(INDIRECT($D$3),$A45-1,$Q$3+AX$11),OFFSET(INDIRECT($D$4),$A45-1,$Q$4+AX$11)))))))</f>
        <v/>
      </c>
      <c r="AY45" s="23" t="str">
        <f t="shared" ref="AY45:AY55" ca="1" si="204">IF(AY$11="","",IF(AY$13=$M$5,CHOOSE($Q$6+1,$M$1,AZ45+BA45-BB45),IF(AY$13=$M$6,CHOOSE($Q$6+1,$M$1,OFFSET($A45,,$P$7-1)),IF(AY$13=$M$7,CHOOSE($Q$6+1,$M$1,SUM(OFFSET($A$11,$B45-$O$5,$O$6,1,-$P$6))),IF(AY$13=$M$8,CHOOSE($Q$6+1,$M$1,SUM(OFFSET($A$11,$B45-$O$5,$O$7,1,-$P$6))),IF(AY$11&lt;$D$7,OFFSET(INDIRECT($D$3),$A45-1,$Q$3+AY$11),OFFSET(INDIRECT($D$4),$A45-1,$Q$4+AY$11)))))))</f>
        <v/>
      </c>
      <c r="AZ45" s="23" t="str">
        <f t="shared" ref="AZ45:AZ55" ca="1" si="205">IF(AZ$11="","",IF(AZ$13=$M$5,CHOOSE($Q$6+1,$M$1,BA45+BB45-BC45),IF(AZ$13=$M$6,CHOOSE($Q$6+1,$M$1,OFFSET($A45,,$P$7-1)),IF(AZ$13=$M$7,CHOOSE($Q$6+1,$M$1,SUM(OFFSET($A$11,$B45-$O$5,$O$6,1,-$P$6))),IF(AZ$13=$M$8,CHOOSE($Q$6+1,$M$1,SUM(OFFSET($A$11,$B45-$O$5,$O$7,1,-$P$6))),IF(AZ$11&lt;$D$7,OFFSET(INDIRECT($D$3),$A45-1,$Q$3+AZ$11),OFFSET(INDIRECT($D$4),$A45-1,$Q$4+AZ$11)))))))</f>
        <v/>
      </c>
      <c r="BA45" s="23" t="str">
        <f t="shared" ref="BA45:BA55" ca="1" si="206">IF(BA$11="","",IF(BA$13=$M$5,CHOOSE($Q$6+1,$M$1,BB45+BC45-BD45),IF(BA$13=$M$6,CHOOSE($Q$6+1,$M$1,OFFSET($A45,,$P$7-1)),IF(BA$13=$M$7,CHOOSE($Q$6+1,$M$1,SUM(OFFSET($A$11,$B45-$O$5,$O$6,1,-$P$6))),IF(BA$13=$M$8,CHOOSE($Q$6+1,$M$1,SUM(OFFSET($A$11,$B45-$O$5,$O$7,1,-$P$6))),IF(BA$11&lt;$D$7,OFFSET(INDIRECT($D$3),$A45-1,$Q$3+BA$11),OFFSET(INDIRECT($D$4),$A45-1,$Q$4+BA$11)))))))</f>
        <v/>
      </c>
      <c r="BB45" s="23" t="str">
        <f t="shared" ref="BB45:BB55" ca="1" si="207">IF(BB$11="","",IF(BB$13=$M$5,CHOOSE($Q$6+1,$M$1,BC45+BD45-BE45),IF(BB$13=$M$6,CHOOSE($Q$6+1,$M$1,OFFSET($A45,,$P$7-1)),IF(BB$13=$M$7,CHOOSE($Q$6+1,$M$1,SUM(OFFSET($A$11,$B45-$O$5,$O$6,1,-$P$6))),IF(BB$13=$M$8,CHOOSE($Q$6+1,$M$1,SUM(OFFSET($A$11,$B45-$O$5,$O$7,1,-$P$6))),IF(BB$11&lt;$D$7,OFFSET(INDIRECT($D$3),$A45-1,$Q$3+BB$11),OFFSET(INDIRECT($D$4),$A45-1,$Q$4+BB$11)))))))</f>
        <v/>
      </c>
      <c r="BC45" s="23" t="str">
        <f t="shared" ref="BC45:BC55" ca="1" si="208">IF(BC$11="","",IF(BC$13=$M$5,CHOOSE($Q$6+1,$M$1,BD45+BE45-BF45),IF(BC$13=$M$6,CHOOSE($Q$6+1,$M$1,OFFSET($A45,,$P$7-1)),IF(BC$13=$M$7,CHOOSE($Q$6+1,$M$1,SUM(OFFSET($A$11,$B45-$O$5,$O$6,1,-$P$6))),IF(BC$13=$M$8,CHOOSE($Q$6+1,$M$1,SUM(OFFSET($A$11,$B45-$O$5,$O$7,1,-$P$6))),IF(BC$11&lt;$D$7,OFFSET(INDIRECT($D$3),$A45-1,$Q$3+BC$11),OFFSET(INDIRECT($D$4),$A45-1,$Q$4+BC$11)))))))</f>
        <v/>
      </c>
      <c r="BD45" s="23" t="str">
        <f t="shared" ref="BD45:BD55" ca="1" si="209">IF(BD$11="","",IF(BD$13=$M$5,CHOOSE($Q$6+1,$M$1,BE45+BF45-BG45),IF(BD$13=$M$6,CHOOSE($Q$6+1,$M$1,OFFSET($A45,,$P$7-1)),IF(BD$13=$M$7,CHOOSE($Q$6+1,$M$1,SUM(OFFSET($A$11,$B45-$O$5,$O$6,1,-$P$6))),IF(BD$13=$M$8,CHOOSE($Q$6+1,$M$1,SUM(OFFSET($A$11,$B45-$O$5,$O$7,1,-$P$6))),IF(BD$11&lt;$D$7,OFFSET(INDIRECT($D$3),$A45-1,$Q$3+BD$11),OFFSET(INDIRECT($D$4),$A45-1,$Q$4+BD$11)))))))</f>
        <v/>
      </c>
      <c r="BE45" s="23" t="str">
        <f t="shared" ref="BE45:BE55" ca="1" si="210">IF(BE$11="","",IF(BE$13=$M$5,CHOOSE($Q$6+1,$M$1,BF45+BG45-BH45),IF(BE$13=$M$6,CHOOSE($Q$6+1,$M$1,OFFSET($A45,,$P$7-1)),IF(BE$13=$M$7,CHOOSE($Q$6+1,$M$1,SUM(OFFSET($A$11,$B45-$O$5,$O$6,1,-$P$6))),IF(BE$13=$M$8,CHOOSE($Q$6+1,$M$1,SUM(OFFSET($A$11,$B45-$O$5,$O$7,1,-$P$6))),IF(BE$11&lt;$D$7,OFFSET(INDIRECT($D$3),$A45-1,$Q$3+BE$11),OFFSET(INDIRECT($D$4),$A45-1,$Q$4+BE$11)))))))</f>
        <v/>
      </c>
      <c r="BF45" s="23" t="str">
        <f t="shared" ref="BF45:BF55" ca="1" si="211">IF(BF$11="","",IF(BF$13=$M$5,CHOOSE($Q$6+1,$M$1,BG45+BH45-BI45),IF(BF$13=$M$6,CHOOSE($Q$6+1,$M$1,OFFSET($A45,,$P$7-1)),IF(BF$13=$M$7,CHOOSE($Q$6+1,$M$1,SUM(OFFSET($A$11,$B45-$O$5,$O$6,1,-$P$6))),IF(BF$13=$M$8,CHOOSE($Q$6+1,$M$1,SUM(OFFSET($A$11,$B45-$O$5,$O$7,1,-$P$6))),IF(BF$11&lt;$D$7,OFFSET(INDIRECT($D$3),$A45-1,$Q$3+BF$11),OFFSET(INDIRECT($D$4),$A45-1,$Q$4+BF$11)))))))</f>
        <v/>
      </c>
      <c r="BG45" s="23" t="str">
        <f t="shared" ref="BG45:BG55" ca="1" si="212">IF(BG$11="","",IF(BG$13=$M$5,CHOOSE($Q$6+1,$M$1,BH45+BI45-BJ45),IF(BG$13=$M$6,CHOOSE($Q$6+1,$M$1,OFFSET($A45,,$P$7-1)),IF(BG$13=$M$7,CHOOSE($Q$6+1,$M$1,SUM(OFFSET($A$11,$B45-$O$5,$O$6,1,-$P$6))),IF(BG$13=$M$8,CHOOSE($Q$6+1,$M$1,SUM(OFFSET($A$11,$B45-$O$5,$O$7,1,-$P$6))),IF(BG$11&lt;$D$7,OFFSET(INDIRECT($D$3),$A45-1,$Q$3+BG$11),OFFSET(INDIRECT($D$4),$A45-1,$Q$4+BG$11)))))))</f>
        <v/>
      </c>
      <c r="BH45" s="23" t="str">
        <f t="shared" ref="BH45:BH55" ca="1" si="213">IF(BH$11="","",IF(BH$13=$M$5,CHOOSE($Q$6+1,$M$1,BI45+BJ45-BK45),IF(BH$13=$M$6,CHOOSE($Q$6+1,$M$1,OFFSET($A45,,$P$7-1)),IF(BH$13=$M$7,CHOOSE($Q$6+1,$M$1,SUM(OFFSET($A$11,$B45-$O$5,$O$6,1,-$P$6))),IF(BH$13=$M$8,CHOOSE($Q$6+1,$M$1,SUM(OFFSET($A$11,$B45-$O$5,$O$7,1,-$P$6))),IF(BH$11&lt;$D$7,OFFSET(INDIRECT($D$3),$A45-1,$Q$3+BH$11),OFFSET(INDIRECT($D$4),$A45-1,$Q$4+BH$11)))))))</f>
        <v/>
      </c>
      <c r="BI45" s="23" t="str">
        <f t="shared" ref="BI45:BI55" ca="1" si="214">IF(BI$11="","",IF(BI$13=$M$5,CHOOSE($Q$6+1,$M$1,BJ45+BK45-BL45),IF(BI$13=$M$6,CHOOSE($Q$6+1,$M$1,OFFSET($A45,,$P$7-1)),IF(BI$13=$M$7,CHOOSE($Q$6+1,$M$1,SUM(OFFSET($A$11,$B45-$O$5,$O$6,1,-$P$6))),IF(BI$13=$M$8,CHOOSE($Q$6+1,$M$1,SUM(OFFSET($A$11,$B45-$O$5,$O$7,1,-$P$6))),IF(BI$11&lt;$D$7,OFFSET(INDIRECT($D$3),$A45-1,$Q$3+BI$11),OFFSET(INDIRECT($D$4),$A45-1,$Q$4+BI$11)))))))</f>
        <v/>
      </c>
      <c r="BJ45" s="23" t="str">
        <f t="shared" ref="BJ45:BJ55" ca="1" si="215">IF(BJ$11="","",IF(BJ$13=$M$5,CHOOSE($Q$6+1,$M$1,BK45+BL45-BM45),IF(BJ$13=$M$6,CHOOSE($Q$6+1,$M$1,OFFSET($A45,,$P$7-1)),IF(BJ$13=$M$7,CHOOSE($Q$6+1,$M$1,SUM(OFFSET($A$11,$B45-$O$5,$O$6,1,-$P$6))),IF(BJ$13=$M$8,CHOOSE($Q$6+1,$M$1,SUM(OFFSET($A$11,$B45-$O$5,$O$7,1,-$P$6))),IF(BJ$11&lt;$D$7,OFFSET(INDIRECT($D$3),$A45-1,$Q$3+BJ$11),OFFSET(INDIRECT($D$4),$A45-1,$Q$4+BJ$11)))))))</f>
        <v/>
      </c>
      <c r="BK45" s="23" t="str">
        <f t="shared" ref="BK45:BK55" ca="1" si="216">IF(BK$11="","",IF(BK$13=$M$5,CHOOSE($Q$6+1,$M$1,BL45+BM45-BN45),IF(BK$13=$M$6,CHOOSE($Q$6+1,$M$1,OFFSET($A45,,$P$7-1)),IF(BK$13=$M$7,CHOOSE($Q$6+1,$M$1,SUM(OFFSET($A$11,$B45-$O$5,$O$6,1,-$P$6))),IF(BK$13=$M$8,CHOOSE($Q$6+1,$M$1,SUM(OFFSET($A$11,$B45-$O$5,$O$7,1,-$P$6))),IF(BK$11&lt;$D$7,OFFSET(INDIRECT($D$3),$A45-1,$Q$3+BK$11),OFFSET(INDIRECT($D$4),$A45-1,$Q$4+BK$11)))))))</f>
        <v/>
      </c>
      <c r="BL45" s="23" t="str">
        <f t="shared" ref="BL45:BL55" ca="1" si="217">IF(BL$11="","",IF(BL$13=$M$5,CHOOSE($Q$6+1,$M$1,BM45+BN45-BO45),IF(BL$13=$M$6,CHOOSE($Q$6+1,$M$1,OFFSET($A45,,$P$7-1)),IF(BL$13=$M$7,CHOOSE($Q$6+1,$M$1,SUM(OFFSET($A$11,$B45-$O$5,$O$6,1,-$P$6))),IF(BL$13=$M$8,CHOOSE($Q$6+1,$M$1,SUM(OFFSET($A$11,$B45-$O$5,$O$7,1,-$P$6))),IF(BL$11&lt;$D$7,OFFSET(INDIRECT($D$3),$A45-1,$Q$3+BL$11),OFFSET(INDIRECT($D$4),$A45-1,$Q$4+BL$11)))))))</f>
        <v/>
      </c>
      <c r="BM45" s="23" t="str">
        <f t="shared" ref="BM45:BM55" ca="1" si="218">IF(BM$11="","",IF(BM$13=$M$5,CHOOSE($Q$6+1,$M$1,BN45+BO45-BP45),IF(BM$13=$M$6,CHOOSE($Q$6+1,$M$1,OFFSET($A45,,$P$7-1)),IF(BM$13=$M$7,CHOOSE($Q$6+1,$M$1,SUM(OFFSET($A$11,$B45-$O$5,$O$6,1,-$P$6))),IF(BM$13=$M$8,CHOOSE($Q$6+1,$M$1,SUM(OFFSET($A$11,$B45-$O$5,$O$7,1,-$P$6))),IF(BM$11&lt;$D$7,OFFSET(INDIRECT($D$3),$A45-1,$Q$3+BM$11),OFFSET(INDIRECT($D$4),$A45-1,$Q$4+BM$11)))))))</f>
        <v/>
      </c>
      <c r="BN45" s="23" t="str">
        <f t="shared" ref="BN45:BN55" ca="1" si="219">IF(BN$11="","",IF(BN$13=$M$5,CHOOSE($Q$6+1,$M$1,BO45+BP45-BQ45),IF(BN$13=$M$6,CHOOSE($Q$6+1,$M$1,OFFSET($A45,,$P$7-1)),IF(BN$13=$M$7,CHOOSE($Q$6+1,$M$1,SUM(OFFSET($A$11,$B45-$O$5,$O$6,1,-$P$6))),IF(BN$13=$M$8,CHOOSE($Q$6+1,$M$1,SUM(OFFSET($A$11,$B45-$O$5,$O$7,1,-$P$6))),IF(BN$11&lt;$D$7,OFFSET(INDIRECT($D$3),$A45-1,$Q$3+BN$11),OFFSET(INDIRECT($D$4),$A45-1,$Q$4+BN$11)))))))</f>
        <v/>
      </c>
      <c r="BO45" s="23" t="str">
        <f t="shared" ref="BO45:BO55" ca="1" si="220">IF(BO$11="","",IF(BO$13=$M$5,CHOOSE($Q$6+1,$M$1,BP45+BQ45-BR45),IF(BO$13=$M$6,CHOOSE($Q$6+1,$M$1,OFFSET($A45,,$P$7-1)),IF(BO$13=$M$7,CHOOSE($Q$6+1,$M$1,SUM(OFFSET($A$11,$B45-$O$5,$O$6,1,-$P$6))),IF(BO$13=$M$8,CHOOSE($Q$6+1,$M$1,SUM(OFFSET($A$11,$B45-$O$5,$O$7,1,-$P$6))),IF(BO$11&lt;$D$7,OFFSET(INDIRECT($D$3),$A45-1,$Q$3+BO$11),OFFSET(INDIRECT($D$4),$A45-1,$Q$4+BO$11)))))))</f>
        <v/>
      </c>
      <c r="BP45" s="23" t="str">
        <f t="shared" ref="BP45:BP55" ca="1" si="221">IF(BP$11="","",IF(BP$13=$M$5,CHOOSE($Q$6+1,$M$1,BQ45+BR45-BS45),IF(BP$13=$M$6,CHOOSE($Q$6+1,$M$1,OFFSET($A45,,$P$7-1)),IF(BP$13=$M$7,CHOOSE($Q$6+1,$M$1,SUM(OFFSET($A$11,$B45-$O$5,$O$6,1,-$P$6))),IF(BP$13=$M$8,CHOOSE($Q$6+1,$M$1,SUM(OFFSET($A$11,$B45-$O$5,$O$7,1,-$P$6))),IF(BP$11&lt;$D$7,OFFSET(INDIRECT($D$3),$A45-1,$Q$3+BP$11),OFFSET(INDIRECT($D$4),$A45-1,$Q$4+BP$11)))))))</f>
        <v/>
      </c>
      <c r="BQ45" s="23" t="str">
        <f t="shared" ref="BQ45:BQ55" ca="1" si="222">IF(BQ$11="","",IF(BQ$13=$M$5,CHOOSE($Q$6+1,$M$1,BR45+BS45-BT45),IF(BQ$13=$M$6,CHOOSE($Q$6+1,$M$1,OFFSET($A45,,$P$7-1)),IF(BQ$13=$M$7,CHOOSE($Q$6+1,$M$1,SUM(OFFSET($A$11,$B45-$O$5,$O$6,1,-$P$6))),IF(BQ$13=$M$8,CHOOSE($Q$6+1,$M$1,SUM(OFFSET($A$11,$B45-$O$5,$O$7,1,-$P$6))),IF(BQ$11&lt;$D$7,OFFSET(INDIRECT($D$3),$A45-1,$Q$3+BQ$11),OFFSET(INDIRECT($D$4),$A45-1,$Q$4+BQ$11)))))))</f>
        <v/>
      </c>
      <c r="BR45" s="23" t="str">
        <f t="shared" ref="BR45:BR55" ca="1" si="223">IF(BR$11="","",IF(BR$13=$M$5,CHOOSE($Q$6+1,$M$1,BS45+BT45-BU45),IF(BR$13=$M$6,CHOOSE($Q$6+1,$M$1,OFFSET($A45,,$P$7-1)),IF(BR$13=$M$7,CHOOSE($Q$6+1,$M$1,SUM(OFFSET($A$11,$B45-$O$5,$O$6,1,-$P$6))),IF(BR$13=$M$8,CHOOSE($Q$6+1,$M$1,SUM(OFFSET($A$11,$B45-$O$5,$O$7,1,-$P$6))),IF(BR$11&lt;$D$7,OFFSET(INDIRECT($D$3),$A45-1,$Q$3+BR$11),OFFSET(INDIRECT($D$4),$A45-1,$Q$4+BR$11)))))))</f>
        <v/>
      </c>
      <c r="BS45" s="23" t="str">
        <f t="shared" ref="BS45:BS55" ca="1" si="224">IF(BS$11="","",IF(BS$13=$M$5,CHOOSE($Q$6+1,$M$1,BT45+BU45-BV45),IF(BS$13=$M$6,CHOOSE($Q$6+1,$M$1,OFFSET($A45,,$P$7-1)),IF(BS$13=$M$7,CHOOSE($Q$6+1,$M$1,SUM(OFFSET($A$11,$B45-$O$5,$O$6,1,-$P$6))),IF(BS$13=$M$8,CHOOSE($Q$6+1,$M$1,SUM(OFFSET($A$11,$B45-$O$5,$O$7,1,-$P$6))),IF(BS$11&lt;$D$7,OFFSET(INDIRECT($D$3),$A45-1,$Q$3+BS$11),OFFSET(INDIRECT($D$4),$A45-1,$Q$4+BS$11)))))))</f>
        <v/>
      </c>
      <c r="BT45" s="23" t="str">
        <f t="shared" ref="BT45:BT55" ca="1" si="225">IF(BT$11="","",IF(BT$13=$M$5,CHOOSE($Q$6+1,$M$1,BU45+BV45-BW45),IF(BT$13=$M$6,CHOOSE($Q$6+1,$M$1,OFFSET($A45,,$P$7-1)),IF(BT$13=$M$7,CHOOSE($Q$6+1,$M$1,SUM(OFFSET($A$11,$B45-$O$5,$O$6,1,-$P$6))),IF(BT$13=$M$8,CHOOSE($Q$6+1,$M$1,SUM(OFFSET($A$11,$B45-$O$5,$O$7,1,-$P$6))),IF(BT$11&lt;$D$7,OFFSET(INDIRECT($D$3),$A45-1,$Q$3+BT$11),OFFSET(INDIRECT($D$4),$A45-1,$Q$4+BT$11)))))))</f>
        <v/>
      </c>
      <c r="BU45" s="23" t="str">
        <f t="shared" ref="BU45:BU55" ca="1" si="226">IF(BU$11="","",IF(BU$13=$M$5,CHOOSE($Q$6+1,$M$1,BV45+BW45-BX45),IF(BU$13=$M$6,CHOOSE($Q$6+1,$M$1,OFFSET($A45,,$P$7-1)),IF(BU$13=$M$7,CHOOSE($Q$6+1,$M$1,SUM(OFFSET($A$11,$B45-$O$5,$O$6,1,-$P$6))),IF(BU$13=$M$8,CHOOSE($Q$6+1,$M$1,SUM(OFFSET($A$11,$B45-$O$5,$O$7,1,-$P$6))),IF(BU$11&lt;$D$7,OFFSET(INDIRECT($D$3),$A45-1,$Q$3+BU$11),OFFSET(INDIRECT($D$4),$A45-1,$Q$4+BU$11)))))))</f>
        <v/>
      </c>
      <c r="BV45" s="23" t="str">
        <f t="shared" ref="BV45:BV55" ca="1" si="227">IF(BV$11="","",IF(BV$13=$M$5,CHOOSE($Q$6+1,$M$1,BW45+BX45-BY45),IF(BV$13=$M$6,CHOOSE($Q$6+1,$M$1,OFFSET($A45,,$P$7-1)),IF(BV$13=$M$7,CHOOSE($Q$6+1,$M$1,SUM(OFFSET($A$11,$B45-$O$5,$O$6,1,-$P$6))),IF(BV$13=$M$8,CHOOSE($Q$6+1,$M$1,SUM(OFFSET($A$11,$B45-$O$5,$O$7,1,-$P$6))),IF(BV$11&lt;$D$7,OFFSET(INDIRECT($D$3),$A45-1,$Q$3+BV$11),OFFSET(INDIRECT($D$4),$A45-1,$Q$4+BV$11)))))))</f>
        <v/>
      </c>
      <c r="BW45" s="23" t="str">
        <f t="shared" ref="BW45:BW55" ca="1" si="228">IF(BW$11="","",IF(BW$13=$M$5,CHOOSE($Q$6+1,$M$1,BX45+BY45-BZ45),IF(BW$13=$M$6,CHOOSE($Q$6+1,$M$1,OFFSET($A45,,$P$7-1)),IF(BW$13=$M$7,CHOOSE($Q$6+1,$M$1,SUM(OFFSET($A$11,$B45-$O$5,$O$6,1,-$P$6))),IF(BW$13=$M$8,CHOOSE($Q$6+1,$M$1,SUM(OFFSET($A$11,$B45-$O$5,$O$7,1,-$P$6))),IF(BW$11&lt;$D$7,OFFSET(INDIRECT($D$3),$A45-1,$Q$3+BW$11),OFFSET(INDIRECT($D$4),$A45-1,$Q$4+BW$11)))))))</f>
        <v/>
      </c>
      <c r="BX45" s="23" t="str">
        <f t="shared" ref="BX45:BX55" ca="1" si="229">IF(BX$11="","",IF(BX$13=$M$5,CHOOSE($Q$6+1,$M$1,BY45+BZ45-CA45),IF(BX$13=$M$6,CHOOSE($Q$6+1,$M$1,OFFSET($A45,,$P$7-1)),IF(BX$13=$M$7,CHOOSE($Q$6+1,$M$1,SUM(OFFSET($A$11,$B45-$O$5,$O$6,1,-$P$6))),IF(BX$13=$M$8,CHOOSE($Q$6+1,$M$1,SUM(OFFSET($A$11,$B45-$O$5,$O$7,1,-$P$6))),IF(BX$11&lt;$D$7,OFFSET(INDIRECT($D$3),$A45-1,$Q$3+BX$11),OFFSET(INDIRECT($D$4),$A45-1,$Q$4+BX$11)))))))</f>
        <v/>
      </c>
      <c r="BY45" s="23" t="str">
        <f t="shared" ref="BY45:BY55" ca="1" si="230">IF(BY$11="","",IF(BY$13=$M$5,CHOOSE($Q$6+1,$M$1,BZ45+CA45-CB45),IF(BY$13=$M$6,CHOOSE($Q$6+1,$M$1,OFFSET($A45,,$P$7-1)),IF(BY$13=$M$7,CHOOSE($Q$6+1,$M$1,SUM(OFFSET($A$11,$B45-$O$5,$O$6,1,-$P$6))),IF(BY$13=$M$8,CHOOSE($Q$6+1,$M$1,SUM(OFFSET($A$11,$B45-$O$5,$O$7,1,-$P$6))),IF(BY$11&lt;$D$7,OFFSET(INDIRECT($D$3),$A45-1,$Q$3+BY$11),OFFSET(INDIRECT($D$4),$A45-1,$Q$4+BY$11)))))))</f>
        <v/>
      </c>
      <c r="BZ45" s="23" t="str">
        <f t="shared" ref="BZ45:BZ55" ca="1" si="231">IF(BZ$11="","",IF(BZ$13=$M$5,CHOOSE($Q$6+1,$M$1,CA45+CB45-CC45),IF(BZ$13=$M$6,CHOOSE($Q$6+1,$M$1,OFFSET($A45,,$P$7-1)),IF(BZ$13=$M$7,CHOOSE($Q$6+1,$M$1,SUM(OFFSET($A$11,$B45-$O$5,$O$6,1,-$P$6))),IF(BZ$13=$M$8,CHOOSE($Q$6+1,$M$1,SUM(OFFSET($A$11,$B45-$O$5,$O$7,1,-$P$6))),IF(BZ$11&lt;$D$7,OFFSET(INDIRECT($D$3),$A45-1,$Q$3+BZ$11),OFFSET(INDIRECT($D$4),$A45-1,$Q$4+BZ$11)))))))</f>
        <v/>
      </c>
      <c r="CA45" s="23" t="str">
        <f t="shared" ref="CA45:CA55" ca="1" si="232">IF(CA$11="","",IF(CA$13=$M$5,CHOOSE($Q$6+1,$M$1,CB45+CC45-CD45),IF(CA$13=$M$6,CHOOSE($Q$6+1,$M$1,OFFSET($A45,,$P$7-1)),IF(CA$13=$M$7,CHOOSE($Q$6+1,$M$1,SUM(OFFSET($A$11,$B45-$O$5,$O$6,1,-$P$6))),IF(CA$13=$M$8,CHOOSE($Q$6+1,$M$1,SUM(OFFSET($A$11,$B45-$O$5,$O$7,1,-$P$6))),IF(CA$11&lt;$D$7,OFFSET(INDIRECT($D$3),$A45-1,$Q$3+CA$11),OFFSET(INDIRECT($D$4),$A45-1,$Q$4+CA$11)))))))</f>
        <v/>
      </c>
      <c r="CB45" s="23" t="str">
        <f t="shared" ref="CB45:CB55" ca="1" si="233">IF(CB$11="","",IF(CB$13=$M$5,CHOOSE($Q$6+1,$M$1,CC45+CD45-CE45),IF(CB$13=$M$6,CHOOSE($Q$6+1,$M$1,OFFSET($A45,,$P$7-1)),IF(CB$13=$M$7,CHOOSE($Q$6+1,$M$1,SUM(OFFSET($A$11,$B45-$O$5,$O$6,1,-$P$6))),IF(CB$13=$M$8,CHOOSE($Q$6+1,$M$1,SUM(OFFSET($A$11,$B45-$O$5,$O$7,1,-$P$6))),IF(CB$11&lt;$D$7,OFFSET(INDIRECT($D$3),$A45-1,$Q$3+CB$11),OFFSET(INDIRECT($D$4),$A45-1,$Q$4+CB$11)))))))</f>
        <v/>
      </c>
      <c r="CC45" s="23" t="str">
        <f t="shared" ref="CC45:CC55" ca="1" si="234">IF(CC$11="","",IF(CC$13=$M$5,CHOOSE($Q$6+1,$M$1,CD45+CE45-CF45),IF(CC$13=$M$6,CHOOSE($Q$6+1,$M$1,OFFSET($A45,,$P$7-1)),IF(CC$13=$M$7,CHOOSE($Q$6+1,$M$1,SUM(OFFSET($A$11,$B45-$O$5,$O$6,1,-$P$6))),IF(CC$13=$M$8,CHOOSE($Q$6+1,$M$1,SUM(OFFSET($A$11,$B45-$O$5,$O$7,1,-$P$6))),IF(CC$11&lt;$D$7,OFFSET(INDIRECT($D$3),$A45-1,$Q$3+CC$11),OFFSET(INDIRECT($D$4),$A45-1,$Q$4+CC$11)))))))</f>
        <v/>
      </c>
      <c r="CD45" s="23" t="str">
        <f t="shared" ref="CD45:CD55" ca="1" si="235">IF(CD$11="","",IF(CD$13=$M$5,CHOOSE($Q$6+1,$M$1,CE45+CF45-CG45),IF(CD$13=$M$6,CHOOSE($Q$6+1,$M$1,OFFSET($A45,,$P$7-1)),IF(CD$13=$M$7,CHOOSE($Q$6+1,$M$1,SUM(OFFSET($A$11,$B45-$O$5,$O$6,1,-$P$6))),IF(CD$13=$M$8,CHOOSE($Q$6+1,$M$1,SUM(OFFSET($A$11,$B45-$O$5,$O$7,1,-$P$6))),IF(CD$11&lt;$D$7,OFFSET(INDIRECT($D$3),$A45-1,$Q$3+CD$11),OFFSET(INDIRECT($D$4),$A45-1,$Q$4+CD$11)))))))</f>
        <v/>
      </c>
      <c r="CE45" s="23" t="str">
        <f t="shared" ref="CE45:CE55" ca="1" si="236">IF(CE$11="","",IF(CE$13=$M$5,CHOOSE($Q$6+1,$M$1,CF45+CG45-CH45),IF(CE$13=$M$6,CHOOSE($Q$6+1,$M$1,OFFSET($A45,,$P$7-1)),IF(CE$13=$M$7,CHOOSE($Q$6+1,$M$1,SUM(OFFSET($A$11,$B45-$O$5,$O$6,1,-$P$6))),IF(CE$13=$M$8,CHOOSE($Q$6+1,$M$1,SUM(OFFSET($A$11,$B45-$O$5,$O$7,1,-$P$6))),IF(CE$11&lt;$D$7,OFFSET(INDIRECT($D$3),$A45-1,$Q$3+CE$11),OFFSET(INDIRECT($D$4),$A45-1,$Q$4+CE$11)))))))</f>
        <v/>
      </c>
      <c r="CF45" s="23" t="str">
        <f t="shared" ref="CF45:CF55" ca="1" si="237">IF(CF$11="","",IF(CF$13=$M$5,CHOOSE($Q$6+1,$M$1,CG45+CH45-CI45),IF(CF$13=$M$6,CHOOSE($Q$6+1,$M$1,OFFSET($A45,,$P$7-1)),IF(CF$13=$M$7,CHOOSE($Q$6+1,$M$1,SUM(OFFSET($A$11,$B45-$O$5,$O$6,1,-$P$6))),IF(CF$13=$M$8,CHOOSE($Q$6+1,$M$1,SUM(OFFSET($A$11,$B45-$O$5,$O$7,1,-$P$6))),IF(CF$11&lt;$D$7,OFFSET(INDIRECT($D$3),$A45-1,$Q$3+CF$11),OFFSET(INDIRECT($D$4),$A45-1,$Q$4+CF$11)))))))</f>
        <v/>
      </c>
      <c r="CG45" s="23" t="str">
        <f t="shared" ref="CG45:CG55" ca="1" si="238">IF(CG$11="","",IF(CG$13=$M$5,CHOOSE($Q$6+1,$M$1,CH45+CI45-CJ45),IF(CG$13=$M$6,CHOOSE($Q$6+1,$M$1,OFFSET($A45,,$P$7-1)),IF(CG$13=$M$7,CHOOSE($Q$6+1,$M$1,SUM(OFFSET($A$11,$B45-$O$5,$O$6,1,-$P$6))),IF(CG$13=$M$8,CHOOSE($Q$6+1,$M$1,SUM(OFFSET($A$11,$B45-$O$5,$O$7,1,-$P$6))),IF(CG$11&lt;$D$7,OFFSET(INDIRECT($D$3),$A45-1,$Q$3+CG$11),OFFSET(INDIRECT($D$4),$A45-1,$Q$4+CG$11)))))))</f>
        <v/>
      </c>
      <c r="CH45" s="23" t="str">
        <f t="shared" ref="CH45:CH55" ca="1" si="239">IF(CH$11="","",IF(CH$13=$M$5,CHOOSE($Q$6+1,$M$1,CI45+CJ45-CK45),IF(CH$13=$M$6,CHOOSE($Q$6+1,$M$1,OFFSET($A45,,$P$7-1)),IF(CH$13=$M$7,CHOOSE($Q$6+1,$M$1,SUM(OFFSET($A$11,$B45-$O$5,$O$6,1,-$P$6))),IF(CH$13=$M$8,CHOOSE($Q$6+1,$M$1,SUM(OFFSET($A$11,$B45-$O$5,$O$7,1,-$P$6))),IF(CH$11&lt;$D$7,OFFSET(INDIRECT($D$3),$A45-1,$Q$3+CH$11),OFFSET(INDIRECT($D$4),$A45-1,$Q$4+CH$11)))))))</f>
        <v/>
      </c>
      <c r="CI45" s="23" t="str">
        <f t="shared" ref="CI45:CI55" ca="1" si="240">IF(CI$11="","",IF(CI$13=$M$5,CHOOSE($Q$6+1,$M$1,CJ45+CK45-CL45),IF(CI$13=$M$6,CHOOSE($Q$6+1,$M$1,OFFSET($A45,,$P$7-1)),IF(CI$13=$M$7,CHOOSE($Q$6+1,$M$1,SUM(OFFSET($A$11,$B45-$O$5,$O$6,1,-$P$6))),IF(CI$13=$M$8,CHOOSE($Q$6+1,$M$1,SUM(OFFSET($A$11,$B45-$O$5,$O$7,1,-$P$6))),IF(CI$11&lt;$D$7,OFFSET(INDIRECT($D$3),$A45-1,$Q$3+CI$11),OFFSET(INDIRECT($D$4),$A45-1,$Q$4+CI$11)))))))</f>
        <v/>
      </c>
      <c r="CJ45" s="23" t="str">
        <f t="shared" ref="CJ45:CJ55" ca="1" si="241">IF(CJ$11="","",IF(CJ$13=$M$5,CHOOSE($Q$6+1,$M$1,CK45+CL45-CM45),IF(CJ$13=$M$6,CHOOSE($Q$6+1,$M$1,OFFSET($A45,,$P$7-1)),IF(CJ$13=$M$7,CHOOSE($Q$6+1,$M$1,SUM(OFFSET($A$11,$B45-$O$5,$O$6,1,-$P$6))),IF(CJ$13=$M$8,CHOOSE($Q$6+1,$M$1,SUM(OFFSET($A$11,$B45-$O$5,$O$7,1,-$P$6))),IF(CJ$11&lt;$D$7,OFFSET(INDIRECT($D$3),$A45-1,$Q$3+CJ$11),OFFSET(INDIRECT($D$4),$A45-1,$Q$4+CJ$11)))))))</f>
        <v/>
      </c>
      <c r="CK45" s="23" t="str">
        <f t="shared" ref="CK45:CK55" ca="1" si="242">IF(CK$11="","",IF(CK$13=$M$5,CHOOSE($Q$6+1,$M$1,CL45+CM45-CN45),IF(CK$13=$M$6,CHOOSE($Q$6+1,$M$1,OFFSET($A45,,$P$7-1)),IF(CK$13=$M$7,CHOOSE($Q$6+1,$M$1,SUM(OFFSET($A$11,$B45-$O$5,$O$6,1,-$P$6))),IF(CK$13=$M$8,CHOOSE($Q$6+1,$M$1,SUM(OFFSET($A$11,$B45-$O$5,$O$7,1,-$P$6))),IF(CK$11&lt;$D$7,OFFSET(INDIRECT($D$3),$A45-1,$Q$3+CK$11),OFFSET(INDIRECT($D$4),$A45-1,$Q$4+CK$11)))))))</f>
        <v/>
      </c>
      <c r="CL45" s="23" t="str">
        <f t="shared" ref="CL45:CL55" ca="1" si="243">IF(CL$11="","",IF(CL$13=$M$5,CHOOSE($Q$6+1,$M$1,CM45+CN45-CO45),IF(CL$13=$M$6,CHOOSE($Q$6+1,$M$1,OFFSET($A45,,$P$7-1)),IF(CL$13=$M$7,CHOOSE($Q$6+1,$M$1,SUM(OFFSET($A$11,$B45-$O$5,$O$6,1,-$P$6))),IF(CL$13=$M$8,CHOOSE($Q$6+1,$M$1,SUM(OFFSET($A$11,$B45-$O$5,$O$7,1,-$P$6))),IF(CL$11&lt;$D$7,OFFSET(INDIRECT($D$3),$A45-1,$Q$3+CL$11),OFFSET(INDIRECT($D$4),$A45-1,$Q$4+CL$11)))))))</f>
        <v/>
      </c>
      <c r="CM45" s="23" t="str">
        <f t="shared" ref="CM45:CM55" ca="1" si="244">IF(CM$11="","",IF(CM$13=$M$5,CHOOSE($Q$6+1,$M$1,CN45+CO45-CP45),IF(CM$13=$M$6,CHOOSE($Q$6+1,$M$1,OFFSET($A45,,$P$7-1)),IF(CM$13=$M$7,CHOOSE($Q$6+1,$M$1,SUM(OFFSET($A$11,$B45-$O$5,$O$6,1,-$P$6))),IF(CM$13=$M$8,CHOOSE($Q$6+1,$M$1,SUM(OFFSET($A$11,$B45-$O$5,$O$7,1,-$P$6))),IF(CM$11&lt;$D$7,OFFSET(INDIRECT($D$3),$A45-1,$Q$3+CM$11),OFFSET(INDIRECT($D$4),$A45-1,$Q$4+CM$11)))))))</f>
        <v/>
      </c>
      <c r="CN45" s="23" t="str">
        <f t="shared" ref="CN45:CN55" ca="1" si="245">IF(CN$11="","",IF(CN$13=$M$5,CHOOSE($Q$6+1,$M$1,CO45+CP45-CQ45),IF(CN$13=$M$6,CHOOSE($Q$6+1,$M$1,OFFSET($A45,,$P$7-1)),IF(CN$13=$M$7,CHOOSE($Q$6+1,$M$1,SUM(OFFSET($A$11,$B45-$O$5,$O$6,1,-$P$6))),IF(CN$13=$M$8,CHOOSE($Q$6+1,$M$1,SUM(OFFSET($A$11,$B45-$O$5,$O$7,1,-$P$6))),IF(CN$11&lt;$D$7,OFFSET(INDIRECT($D$3),$A45-1,$Q$3+CN$11),OFFSET(INDIRECT($D$4),$A45-1,$Q$4+CN$11)))))))</f>
        <v/>
      </c>
      <c r="CO45" s="23" t="str">
        <f t="shared" ref="CO45:CO55" ca="1" si="246">IF(CO$11="","",IF(CO$13=$M$5,CHOOSE($Q$6+1,$M$1,CP45+CQ45-CR45),IF(CO$13=$M$6,CHOOSE($Q$6+1,$M$1,OFFSET($A45,,$P$7-1)),IF(CO$13=$M$7,CHOOSE($Q$6+1,$M$1,SUM(OFFSET($A$11,$B45-$O$5,$O$6,1,-$P$6))),IF(CO$13=$M$8,CHOOSE($Q$6+1,$M$1,SUM(OFFSET($A$11,$B45-$O$5,$O$7,1,-$P$6))),IF(CO$11&lt;$D$7,OFFSET(INDIRECT($D$3),$A45-1,$Q$3+CO$11),OFFSET(INDIRECT($D$4),$A45-1,$Q$4+CO$11)))))))</f>
        <v/>
      </c>
      <c r="CP45" s="23" t="str">
        <f t="shared" ref="CP45:CP55" ca="1" si="247">IF(CP$11="","",IF(CP$13=$M$5,CHOOSE($Q$6+1,$M$1,CQ45+CR45-CS45),IF(CP$13=$M$6,CHOOSE($Q$6+1,$M$1,OFFSET($A45,,$P$7-1)),IF(CP$13=$M$7,CHOOSE($Q$6+1,$M$1,SUM(OFFSET($A$11,$B45-$O$5,$O$6,1,-$P$6))),IF(CP$13=$M$8,CHOOSE($Q$6+1,$M$1,SUM(OFFSET($A$11,$B45-$O$5,$O$7,1,-$P$6))),IF(CP$11&lt;$D$7,OFFSET(INDIRECT($D$3),$A45-1,$Q$3+CP$11),OFFSET(INDIRECT($D$4),$A45-1,$Q$4+CP$11)))))))</f>
        <v/>
      </c>
      <c r="CQ45" s="23" t="str">
        <f t="shared" ref="CQ45:CQ55" ca="1" si="248">IF(CQ$11="","",IF(CQ$13=$M$5,CHOOSE($Q$6+1,$M$1,CR45+CS45-CT45),IF(CQ$13=$M$6,CHOOSE($Q$6+1,$M$1,OFFSET($A45,,$P$7-1)),IF(CQ$13=$M$7,CHOOSE($Q$6+1,$M$1,SUM(OFFSET($A$11,$B45-$O$5,$O$6,1,-$P$6))),IF(CQ$13=$M$8,CHOOSE($Q$6+1,$M$1,SUM(OFFSET($A$11,$B45-$O$5,$O$7,1,-$P$6))),IF(CQ$11&lt;$D$7,OFFSET(INDIRECT($D$3),$A45-1,$Q$3+CQ$11),OFFSET(INDIRECT($D$4),$A45-1,$Q$4+CQ$11)))))))</f>
        <v/>
      </c>
      <c r="CR45" s="23" t="str">
        <f t="shared" ref="CR45:CR55" ca="1" si="249">IF(CR$11="","",IF(CR$13=$M$5,CHOOSE($Q$6+1,$M$1,CS45+CT45-CU45),IF(CR$13=$M$6,CHOOSE($Q$6+1,$M$1,OFFSET($A45,,$P$7-1)),IF(CR$13=$M$7,CHOOSE($Q$6+1,$M$1,SUM(OFFSET($A$11,$B45-$O$5,$O$6,1,-$P$6))),IF(CR$13=$M$8,CHOOSE($Q$6+1,$M$1,SUM(OFFSET($A$11,$B45-$O$5,$O$7,1,-$P$6))),IF(CR$11&lt;$D$7,OFFSET(INDIRECT($D$3),$A45-1,$Q$3+CR$11),OFFSET(INDIRECT($D$4),$A45-1,$Q$4+CR$11)))))))</f>
        <v/>
      </c>
      <c r="CS45" s="23" t="str">
        <f t="shared" ref="CS45:CS55" ca="1" si="250">IF(CS$11="","",IF(CS$13=$M$5,CHOOSE($Q$6+1,$M$1,CT45+CU45-CV45),IF(CS$13=$M$6,CHOOSE($Q$6+1,$M$1,OFFSET($A45,,$P$7-1)),IF(CS$13=$M$7,CHOOSE($Q$6+1,$M$1,SUM(OFFSET($A$11,$B45-$O$5,$O$6,1,-$P$6))),IF(CS$13=$M$8,CHOOSE($Q$6+1,$M$1,SUM(OFFSET($A$11,$B45-$O$5,$O$7,1,-$P$6))),IF(CS$11&lt;$D$7,OFFSET(INDIRECT($D$3),$A45-1,$Q$3+CS$11),OFFSET(INDIRECT($D$4),$A45-1,$Q$4+CS$11)))))))</f>
        <v/>
      </c>
      <c r="CT45" s="23" t="str">
        <f t="shared" ref="CT45:CT55" ca="1" si="251">IF(CT$11="","",IF(CT$13=$M$5,CHOOSE($Q$6+1,$M$1,CU45+CV45-CW45),IF(CT$13=$M$6,CHOOSE($Q$6+1,$M$1,OFFSET($A45,,$P$7-1)),IF(CT$13=$M$7,CHOOSE($Q$6+1,$M$1,SUM(OFFSET($A$11,$B45-$O$5,$O$6,1,-$P$6))),IF(CT$13=$M$8,CHOOSE($Q$6+1,$M$1,SUM(OFFSET($A$11,$B45-$O$5,$O$7,1,-$P$6))),IF(CT$11&lt;$D$7,OFFSET(INDIRECT($D$3),$A45-1,$Q$3+CT$11),OFFSET(INDIRECT($D$4),$A45-1,$Q$4+CT$11)))))))</f>
        <v/>
      </c>
      <c r="CU45" s="23" t="str">
        <f t="shared" ref="CU45:CU55" ca="1" si="252">IF(CU$11="","",IF(CU$13=$M$5,CHOOSE($Q$6+1,$M$1,CV45+CW45-CX45),IF(CU$13=$M$6,CHOOSE($Q$6+1,$M$1,OFFSET($A45,,$P$7-1)),IF(CU$13=$M$7,CHOOSE($Q$6+1,$M$1,SUM(OFFSET($A$11,$B45-$O$5,$O$6,1,-$P$6))),IF(CU$13=$M$8,CHOOSE($Q$6+1,$M$1,SUM(OFFSET($A$11,$B45-$O$5,$O$7,1,-$P$6))),IF(CU$11&lt;$D$7,OFFSET(INDIRECT($D$3),$A45-1,$Q$3+CU$11),OFFSET(INDIRECT($D$4),$A45-1,$Q$4+CU$11)))))))</f>
        <v/>
      </c>
      <c r="CV45" s="23" t="str">
        <f t="shared" ref="CV45:CV55" ca="1" si="253">IF(CV$11="","",IF(CV$13=$M$5,CHOOSE($Q$6+1,$M$1,CW45+CX45-CY45),IF(CV$13=$M$6,CHOOSE($Q$6+1,$M$1,OFFSET($A45,,$P$7-1)),IF(CV$13=$M$7,CHOOSE($Q$6+1,$M$1,SUM(OFFSET($A$11,$B45-$O$5,$O$6,1,-$P$6))),IF(CV$13=$M$8,CHOOSE($Q$6+1,$M$1,SUM(OFFSET($A$11,$B45-$O$5,$O$7,1,-$P$6))),IF(CV$11&lt;$D$7,OFFSET(INDIRECT($D$3),$A45-1,$Q$3+CV$11),OFFSET(INDIRECT($D$4),$A45-1,$Q$4+CV$11)))))))</f>
        <v/>
      </c>
      <c r="CW45" s="23" t="str">
        <f t="shared" ref="CW45:CW55" ca="1" si="254">IF(CW$11="","",IF(CW$13=$M$5,CHOOSE($Q$6+1,$M$1,CX45+CY45-CZ45),IF(CW$13=$M$6,CHOOSE($Q$6+1,$M$1,OFFSET($A45,,$P$7-1)),IF(CW$13=$M$7,CHOOSE($Q$6+1,$M$1,SUM(OFFSET($A$11,$B45-$O$5,$O$6,1,-$P$6))),IF(CW$13=$M$8,CHOOSE($Q$6+1,$M$1,SUM(OFFSET($A$11,$B45-$O$5,$O$7,1,-$P$6))),IF(CW$11&lt;$D$7,OFFSET(INDIRECT($D$3),$A45-1,$Q$3+CW$11),OFFSET(INDIRECT($D$4),$A45-1,$Q$4+CW$11)))))))</f>
        <v/>
      </c>
      <c r="CX45" s="23" t="str">
        <f ca="1">IF(CX$11="","",IF(CX$13=$M$5,CHOOSE($Q$6+1,$M$1,CY45+CZ45-#REF!),IF(CX$13=$M$6,CHOOSE($Q$6+1,$M$1,OFFSET($A45,,$P$7-1)),IF(CX$13=$M$7,CHOOSE($Q$6+1,$M$1,SUM(OFFSET($A$11,$B45-$O$5,$O$6,1,-$P$6))),IF(CX$13=$M$8,CHOOSE($Q$6+1,$M$1,SUM(OFFSET($A$11,$B45-$O$5,$O$7,1,-$P$6))),IF(CX$11&lt;$D$7,OFFSET(INDIRECT($D$3),$A45-1,$Q$3+CX$11),OFFSET(INDIRECT($D$4),$A45-1,$Q$4+CX$11)))))))</f>
        <v/>
      </c>
      <c r="CY45" s="23" t="str">
        <f ca="1">IF(CY$11="","",IF(CY$13=$M$5,CHOOSE($Q$6+1,$M$1,CZ45+#REF!-#REF!),IF(CY$13=$M$6,CHOOSE($Q$6+1,$M$1,OFFSET($A45,,$P$7-1)),IF(CY$13=$M$7,CHOOSE($Q$6+1,$M$1,SUM(OFFSET($A$11,$B45-$O$5,$O$6,1,-$P$6))),IF(CY$13=$M$8,CHOOSE($Q$6+1,$M$1,SUM(OFFSET($A$11,$B45-$O$5,$O$7,1,-$P$6))),IF(CY$11&lt;$D$7,OFFSET(INDIRECT($D$3),$A45-1,$Q$3+CY$11),OFFSET(INDIRECT($D$4),$A45-1,$Q$4+CY$11)))))))</f>
        <v/>
      </c>
      <c r="CZ45" s="23" t="str">
        <f ca="1">IF(CZ$11="","",IF(CZ$13=$M$5,CHOOSE($Q$6+1,$M$1,#REF!+#REF!-#REF!),IF(CZ$13=$M$6,CHOOSE($Q$6+1,$M$1,OFFSET($A45,,$P$7-1)),IF(CZ$13=$M$7,CHOOSE($Q$6+1,$M$1,SUM(OFFSET($A$11,$B45-$O$5,$O$6,1,-$P$6))),IF(CZ$13=$M$8,CHOOSE($Q$6+1,$M$1,SUM(OFFSET($A$11,$B45-$O$5,$O$7,1,-$P$6))),IF(CZ$11&lt;$D$7,OFFSET(INDIRECT($D$3),$A45-1,$Q$3+CZ$11),OFFSET(INDIRECT($D$4),$A45-1,$Q$4+CZ$11)))))))</f>
        <v/>
      </c>
    </row>
    <row r="46" spans="1:104" ht="13.5" customHeight="1">
      <c r="A46" s="27">
        <v>43</v>
      </c>
      <c r="B46" s="33">
        <f t="shared" si="14"/>
        <v>46</v>
      </c>
      <c r="C46" s="8" t="s">
        <v>321</v>
      </c>
      <c r="D46" s="23">
        <f t="shared" ca="1" si="157"/>
        <v>0</v>
      </c>
      <c r="E46" s="23">
        <f t="shared" ca="1" si="158"/>
        <v>0</v>
      </c>
      <c r="F46" s="23">
        <f t="shared" ca="1" si="159"/>
        <v>0</v>
      </c>
      <c r="G46" s="23">
        <f t="shared" ca="1" si="160"/>
        <v>0</v>
      </c>
      <c r="H46" s="23">
        <f t="shared" ca="1" si="161"/>
        <v>0</v>
      </c>
      <c r="I46" s="23">
        <f t="shared" ca="1" si="162"/>
        <v>0</v>
      </c>
      <c r="J46" s="23">
        <f t="shared" ca="1" si="163"/>
        <v>0</v>
      </c>
      <c r="K46" s="23">
        <f t="shared" ca="1" si="164"/>
        <v>0</v>
      </c>
      <c r="L46" s="23">
        <f t="shared" ca="1" si="165"/>
        <v>0</v>
      </c>
      <c r="M46" s="23">
        <f t="shared" ca="1" si="166"/>
        <v>0</v>
      </c>
      <c r="N46" s="23">
        <f t="shared" ca="1" si="167"/>
        <v>0</v>
      </c>
      <c r="O46" s="23">
        <f t="shared" ca="1" si="168"/>
        <v>0</v>
      </c>
      <c r="P46" s="23">
        <f t="shared" ca="1" si="169"/>
        <v>0</v>
      </c>
      <c r="Q46" s="23">
        <f t="shared" ca="1" si="170"/>
        <v>0</v>
      </c>
      <c r="R46" s="23" t="str">
        <f t="shared" ca="1" si="171"/>
        <v/>
      </c>
      <c r="S46" s="23" t="str">
        <f t="shared" ca="1" si="172"/>
        <v/>
      </c>
      <c r="T46" s="23" t="str">
        <f t="shared" ca="1" si="173"/>
        <v/>
      </c>
      <c r="U46" s="23" t="str">
        <f t="shared" ca="1" si="174"/>
        <v/>
      </c>
      <c r="V46" s="23" t="str">
        <f t="shared" ca="1" si="175"/>
        <v/>
      </c>
      <c r="W46" s="23" t="str">
        <f t="shared" ca="1" si="176"/>
        <v/>
      </c>
      <c r="X46" s="23" t="str">
        <f t="shared" ca="1" si="177"/>
        <v/>
      </c>
      <c r="Y46" s="23" t="str">
        <f t="shared" ca="1" si="178"/>
        <v/>
      </c>
      <c r="Z46" s="23" t="str">
        <f t="shared" ca="1" si="179"/>
        <v/>
      </c>
      <c r="AA46" s="23" t="str">
        <f t="shared" ca="1" si="180"/>
        <v/>
      </c>
      <c r="AB46" s="23" t="str">
        <f t="shared" ca="1" si="181"/>
        <v/>
      </c>
      <c r="AC46" s="23" t="str">
        <f t="shared" ca="1" si="182"/>
        <v/>
      </c>
      <c r="AD46" s="23" t="str">
        <f t="shared" ca="1" si="183"/>
        <v/>
      </c>
      <c r="AE46" s="23" t="str">
        <f t="shared" ca="1" si="184"/>
        <v/>
      </c>
      <c r="AF46" s="23" t="str">
        <f t="shared" ca="1" si="185"/>
        <v/>
      </c>
      <c r="AG46" s="23" t="str">
        <f t="shared" ca="1" si="186"/>
        <v/>
      </c>
      <c r="AH46" s="23" t="str">
        <f t="shared" ca="1" si="187"/>
        <v/>
      </c>
      <c r="AI46" s="23" t="str">
        <f t="shared" ca="1" si="188"/>
        <v/>
      </c>
      <c r="AJ46" s="23" t="str">
        <f t="shared" ca="1" si="189"/>
        <v/>
      </c>
      <c r="AK46" s="23" t="str">
        <f t="shared" ca="1" si="190"/>
        <v/>
      </c>
      <c r="AL46" s="23" t="str">
        <f t="shared" ca="1" si="191"/>
        <v/>
      </c>
      <c r="AM46" s="23" t="str">
        <f t="shared" ca="1" si="192"/>
        <v/>
      </c>
      <c r="AN46" s="23" t="str">
        <f t="shared" ca="1" si="193"/>
        <v/>
      </c>
      <c r="AO46" s="23" t="str">
        <f t="shared" ca="1" si="194"/>
        <v/>
      </c>
      <c r="AP46" s="23" t="str">
        <f t="shared" ca="1" si="195"/>
        <v/>
      </c>
      <c r="AQ46" s="23" t="str">
        <f t="shared" ca="1" si="196"/>
        <v/>
      </c>
      <c r="AR46" s="23" t="str">
        <f t="shared" ca="1" si="197"/>
        <v/>
      </c>
      <c r="AS46" s="23" t="str">
        <f t="shared" ca="1" si="198"/>
        <v/>
      </c>
      <c r="AT46" s="23" t="str">
        <f t="shared" ca="1" si="199"/>
        <v/>
      </c>
      <c r="AU46" s="23" t="str">
        <f t="shared" ca="1" si="200"/>
        <v/>
      </c>
      <c r="AV46" s="23" t="str">
        <f t="shared" ca="1" si="201"/>
        <v/>
      </c>
      <c r="AW46" s="23" t="str">
        <f t="shared" ca="1" si="202"/>
        <v/>
      </c>
      <c r="AX46" s="23" t="str">
        <f t="shared" ca="1" si="203"/>
        <v/>
      </c>
      <c r="AY46" s="23" t="str">
        <f t="shared" ca="1" si="204"/>
        <v/>
      </c>
      <c r="AZ46" s="23" t="str">
        <f t="shared" ca="1" si="205"/>
        <v/>
      </c>
      <c r="BA46" s="23" t="str">
        <f t="shared" ca="1" si="206"/>
        <v/>
      </c>
      <c r="BB46" s="23" t="str">
        <f t="shared" ca="1" si="207"/>
        <v/>
      </c>
      <c r="BC46" s="23" t="str">
        <f t="shared" ca="1" si="208"/>
        <v/>
      </c>
      <c r="BD46" s="23" t="str">
        <f t="shared" ca="1" si="209"/>
        <v/>
      </c>
      <c r="BE46" s="23" t="str">
        <f t="shared" ca="1" si="210"/>
        <v/>
      </c>
      <c r="BF46" s="23" t="str">
        <f t="shared" ca="1" si="211"/>
        <v/>
      </c>
      <c r="BG46" s="23" t="str">
        <f t="shared" ca="1" si="212"/>
        <v/>
      </c>
      <c r="BH46" s="23" t="str">
        <f t="shared" ca="1" si="213"/>
        <v/>
      </c>
      <c r="BI46" s="23" t="str">
        <f t="shared" ca="1" si="214"/>
        <v/>
      </c>
      <c r="BJ46" s="23" t="str">
        <f t="shared" ca="1" si="215"/>
        <v/>
      </c>
      <c r="BK46" s="23" t="str">
        <f t="shared" ca="1" si="216"/>
        <v/>
      </c>
      <c r="BL46" s="23" t="str">
        <f t="shared" ca="1" si="217"/>
        <v/>
      </c>
      <c r="BM46" s="23" t="str">
        <f t="shared" ca="1" si="218"/>
        <v/>
      </c>
      <c r="BN46" s="23" t="str">
        <f t="shared" ca="1" si="219"/>
        <v/>
      </c>
      <c r="BO46" s="23" t="str">
        <f t="shared" ca="1" si="220"/>
        <v/>
      </c>
      <c r="BP46" s="23" t="str">
        <f t="shared" ca="1" si="221"/>
        <v/>
      </c>
      <c r="BQ46" s="23" t="str">
        <f t="shared" ca="1" si="222"/>
        <v/>
      </c>
      <c r="BR46" s="23" t="str">
        <f t="shared" ca="1" si="223"/>
        <v/>
      </c>
      <c r="BS46" s="23" t="str">
        <f t="shared" ca="1" si="224"/>
        <v/>
      </c>
      <c r="BT46" s="23" t="str">
        <f t="shared" ca="1" si="225"/>
        <v/>
      </c>
      <c r="BU46" s="23" t="str">
        <f t="shared" ca="1" si="226"/>
        <v/>
      </c>
      <c r="BV46" s="23" t="str">
        <f t="shared" ca="1" si="227"/>
        <v/>
      </c>
      <c r="BW46" s="23" t="str">
        <f t="shared" ca="1" si="228"/>
        <v/>
      </c>
      <c r="BX46" s="23" t="str">
        <f t="shared" ca="1" si="229"/>
        <v/>
      </c>
      <c r="BY46" s="23" t="str">
        <f t="shared" ca="1" si="230"/>
        <v/>
      </c>
      <c r="BZ46" s="23" t="str">
        <f t="shared" ca="1" si="231"/>
        <v/>
      </c>
      <c r="CA46" s="23" t="str">
        <f t="shared" ca="1" si="232"/>
        <v/>
      </c>
      <c r="CB46" s="23" t="str">
        <f t="shared" ca="1" si="233"/>
        <v/>
      </c>
      <c r="CC46" s="23" t="str">
        <f t="shared" ca="1" si="234"/>
        <v/>
      </c>
      <c r="CD46" s="23" t="str">
        <f t="shared" ca="1" si="235"/>
        <v/>
      </c>
      <c r="CE46" s="23" t="str">
        <f t="shared" ca="1" si="236"/>
        <v/>
      </c>
      <c r="CF46" s="23" t="str">
        <f t="shared" ca="1" si="237"/>
        <v/>
      </c>
      <c r="CG46" s="23" t="str">
        <f t="shared" ca="1" si="238"/>
        <v/>
      </c>
      <c r="CH46" s="23" t="str">
        <f t="shared" ca="1" si="239"/>
        <v/>
      </c>
      <c r="CI46" s="23" t="str">
        <f t="shared" ca="1" si="240"/>
        <v/>
      </c>
      <c r="CJ46" s="23" t="str">
        <f t="shared" ca="1" si="241"/>
        <v/>
      </c>
      <c r="CK46" s="23" t="str">
        <f t="shared" ca="1" si="242"/>
        <v/>
      </c>
      <c r="CL46" s="23" t="str">
        <f t="shared" ca="1" si="243"/>
        <v/>
      </c>
      <c r="CM46" s="23" t="str">
        <f t="shared" ca="1" si="244"/>
        <v/>
      </c>
      <c r="CN46" s="23" t="str">
        <f t="shared" ca="1" si="245"/>
        <v/>
      </c>
      <c r="CO46" s="23" t="str">
        <f t="shared" ca="1" si="246"/>
        <v/>
      </c>
      <c r="CP46" s="23" t="str">
        <f t="shared" ca="1" si="247"/>
        <v/>
      </c>
      <c r="CQ46" s="23" t="str">
        <f t="shared" ca="1" si="248"/>
        <v/>
      </c>
      <c r="CR46" s="23" t="str">
        <f t="shared" ca="1" si="249"/>
        <v/>
      </c>
      <c r="CS46" s="23" t="str">
        <f t="shared" ca="1" si="250"/>
        <v/>
      </c>
      <c r="CT46" s="23" t="str">
        <f t="shared" ca="1" si="251"/>
        <v/>
      </c>
      <c r="CU46" s="23" t="str">
        <f t="shared" ca="1" si="252"/>
        <v/>
      </c>
      <c r="CV46" s="23" t="str">
        <f t="shared" ca="1" si="253"/>
        <v/>
      </c>
      <c r="CW46" s="23" t="str">
        <f t="shared" ca="1" si="254"/>
        <v/>
      </c>
      <c r="CX46" s="23" t="str">
        <f ca="1">IF(CX$11="","",IF(CX$13=$M$5,CHOOSE($Q$6+1,$M$1,CY46+CZ46-#REF!),IF(CX$13=$M$6,CHOOSE($Q$6+1,$M$1,OFFSET($A46,,$P$7-1)),IF(CX$13=$M$7,CHOOSE($Q$6+1,$M$1,SUM(OFFSET($A$11,$B46-$O$5,$O$6,1,-$P$6))),IF(CX$13=$M$8,CHOOSE($Q$6+1,$M$1,SUM(OFFSET($A$11,$B46-$O$5,$O$7,1,-$P$6))),IF(CX$11&lt;$D$7,OFFSET(INDIRECT($D$3),$A46-1,$Q$3+CX$11),OFFSET(INDIRECT($D$4),$A46-1,$Q$4+CX$11)))))))</f>
        <v/>
      </c>
      <c r="CY46" s="23" t="str">
        <f ca="1">IF(CY$11="","",IF(CY$13=$M$5,CHOOSE($Q$6+1,$M$1,CZ46+#REF!-#REF!),IF(CY$13=$M$6,CHOOSE($Q$6+1,$M$1,OFFSET($A46,,$P$7-1)),IF(CY$13=$M$7,CHOOSE($Q$6+1,$M$1,SUM(OFFSET($A$11,$B46-$O$5,$O$6,1,-$P$6))),IF(CY$13=$M$8,CHOOSE($Q$6+1,$M$1,SUM(OFFSET($A$11,$B46-$O$5,$O$7,1,-$P$6))),IF(CY$11&lt;$D$7,OFFSET(INDIRECT($D$3),$A46-1,$Q$3+CY$11),OFFSET(INDIRECT($D$4),$A46-1,$Q$4+CY$11)))))))</f>
        <v/>
      </c>
      <c r="CZ46" s="23" t="str">
        <f ca="1">IF(CZ$11="","",IF(CZ$13=$M$5,CHOOSE($Q$6+1,$M$1,#REF!+#REF!-#REF!),IF(CZ$13=$M$6,CHOOSE($Q$6+1,$M$1,OFFSET($A46,,$P$7-1)),IF(CZ$13=$M$7,CHOOSE($Q$6+1,$M$1,SUM(OFFSET($A$11,$B46-$O$5,$O$6,1,-$P$6))),IF(CZ$13=$M$8,CHOOSE($Q$6+1,$M$1,SUM(OFFSET($A$11,$B46-$O$5,$O$7,1,-$P$6))),IF(CZ$11&lt;$D$7,OFFSET(INDIRECT($D$3),$A46-1,$Q$3+CZ$11),OFFSET(INDIRECT($D$4),$A46-1,$Q$4+CZ$11)))))))</f>
        <v/>
      </c>
    </row>
    <row r="47" spans="1:104" ht="13.5" customHeight="1">
      <c r="A47" s="30">
        <v>44</v>
      </c>
      <c r="B47" s="33">
        <f t="shared" si="14"/>
        <v>47</v>
      </c>
      <c r="C47" s="9" t="s">
        <v>322</v>
      </c>
      <c r="D47" s="23">
        <f t="shared" ca="1" si="157"/>
        <v>34205</v>
      </c>
      <c r="E47" s="23">
        <f t="shared" ca="1" si="158"/>
        <v>55763</v>
      </c>
      <c r="F47" s="23">
        <f t="shared" ca="1" si="159"/>
        <v>7900</v>
      </c>
      <c r="G47" s="23">
        <f t="shared" ca="1" si="160"/>
        <v>9551</v>
      </c>
      <c r="H47" s="23">
        <f t="shared" ca="1" si="161"/>
        <v>8791</v>
      </c>
      <c r="I47" s="23">
        <f t="shared" ca="1" si="162"/>
        <v>17477</v>
      </c>
      <c r="J47" s="23">
        <f t="shared" ca="1" si="163"/>
        <v>15532</v>
      </c>
      <c r="K47" s="23">
        <f t="shared" ca="1" si="164"/>
        <v>11861</v>
      </c>
      <c r="L47" s="23">
        <f t="shared" ca="1" si="165"/>
        <v>10893</v>
      </c>
      <c r="M47" s="23">
        <f t="shared" ca="1" si="166"/>
        <v>17672</v>
      </c>
      <c r="N47" s="23">
        <f t="shared" ca="1" si="167"/>
        <v>55958</v>
      </c>
      <c r="O47" s="23">
        <f t="shared" ca="1" si="168"/>
        <v>55763</v>
      </c>
      <c r="P47" s="23">
        <f t="shared" ca="1" si="169"/>
        <v>17672</v>
      </c>
      <c r="Q47" s="23">
        <f t="shared" ca="1" si="170"/>
        <v>17477</v>
      </c>
      <c r="R47" s="23" t="str">
        <f t="shared" ca="1" si="171"/>
        <v/>
      </c>
      <c r="S47" s="23" t="str">
        <f t="shared" ca="1" si="172"/>
        <v/>
      </c>
      <c r="T47" s="23" t="str">
        <f t="shared" ca="1" si="173"/>
        <v/>
      </c>
      <c r="U47" s="23" t="str">
        <f t="shared" ca="1" si="174"/>
        <v/>
      </c>
      <c r="V47" s="23" t="str">
        <f t="shared" ca="1" si="175"/>
        <v/>
      </c>
      <c r="W47" s="23" t="str">
        <f t="shared" ca="1" si="176"/>
        <v/>
      </c>
      <c r="X47" s="23" t="str">
        <f t="shared" ca="1" si="177"/>
        <v/>
      </c>
      <c r="Y47" s="23" t="str">
        <f t="shared" ca="1" si="178"/>
        <v/>
      </c>
      <c r="Z47" s="23" t="str">
        <f t="shared" ca="1" si="179"/>
        <v/>
      </c>
      <c r="AA47" s="23" t="str">
        <f t="shared" ca="1" si="180"/>
        <v/>
      </c>
      <c r="AB47" s="23" t="str">
        <f t="shared" ca="1" si="181"/>
        <v/>
      </c>
      <c r="AC47" s="23" t="str">
        <f t="shared" ca="1" si="182"/>
        <v/>
      </c>
      <c r="AD47" s="23" t="str">
        <f t="shared" ca="1" si="183"/>
        <v/>
      </c>
      <c r="AE47" s="23" t="str">
        <f t="shared" ca="1" si="184"/>
        <v/>
      </c>
      <c r="AF47" s="23" t="str">
        <f t="shared" ca="1" si="185"/>
        <v/>
      </c>
      <c r="AG47" s="23" t="str">
        <f t="shared" ca="1" si="186"/>
        <v/>
      </c>
      <c r="AH47" s="23" t="str">
        <f t="shared" ca="1" si="187"/>
        <v/>
      </c>
      <c r="AI47" s="23" t="str">
        <f t="shared" ca="1" si="188"/>
        <v/>
      </c>
      <c r="AJ47" s="23" t="str">
        <f t="shared" ca="1" si="189"/>
        <v/>
      </c>
      <c r="AK47" s="23" t="str">
        <f t="shared" ca="1" si="190"/>
        <v/>
      </c>
      <c r="AL47" s="23" t="str">
        <f t="shared" ca="1" si="191"/>
        <v/>
      </c>
      <c r="AM47" s="23" t="str">
        <f t="shared" ca="1" si="192"/>
        <v/>
      </c>
      <c r="AN47" s="23" t="str">
        <f t="shared" ca="1" si="193"/>
        <v/>
      </c>
      <c r="AO47" s="23" t="str">
        <f t="shared" ca="1" si="194"/>
        <v/>
      </c>
      <c r="AP47" s="23" t="str">
        <f t="shared" ca="1" si="195"/>
        <v/>
      </c>
      <c r="AQ47" s="23" t="str">
        <f t="shared" ca="1" si="196"/>
        <v/>
      </c>
      <c r="AR47" s="23" t="str">
        <f t="shared" ca="1" si="197"/>
        <v/>
      </c>
      <c r="AS47" s="23" t="str">
        <f t="shared" ca="1" si="198"/>
        <v/>
      </c>
      <c r="AT47" s="23" t="str">
        <f t="shared" ca="1" si="199"/>
        <v/>
      </c>
      <c r="AU47" s="23" t="str">
        <f t="shared" ca="1" si="200"/>
        <v/>
      </c>
      <c r="AV47" s="23" t="str">
        <f t="shared" ca="1" si="201"/>
        <v/>
      </c>
      <c r="AW47" s="23" t="str">
        <f t="shared" ca="1" si="202"/>
        <v/>
      </c>
      <c r="AX47" s="23" t="str">
        <f t="shared" ca="1" si="203"/>
        <v/>
      </c>
      <c r="AY47" s="23" t="str">
        <f t="shared" ca="1" si="204"/>
        <v/>
      </c>
      <c r="AZ47" s="23" t="str">
        <f t="shared" ca="1" si="205"/>
        <v/>
      </c>
      <c r="BA47" s="23" t="str">
        <f t="shared" ca="1" si="206"/>
        <v/>
      </c>
      <c r="BB47" s="23" t="str">
        <f t="shared" ca="1" si="207"/>
        <v/>
      </c>
      <c r="BC47" s="23" t="str">
        <f t="shared" ca="1" si="208"/>
        <v/>
      </c>
      <c r="BD47" s="23" t="str">
        <f t="shared" ca="1" si="209"/>
        <v/>
      </c>
      <c r="BE47" s="23" t="str">
        <f t="shared" ca="1" si="210"/>
        <v/>
      </c>
      <c r="BF47" s="23" t="str">
        <f t="shared" ca="1" si="211"/>
        <v/>
      </c>
      <c r="BG47" s="23" t="str">
        <f t="shared" ca="1" si="212"/>
        <v/>
      </c>
      <c r="BH47" s="23" t="str">
        <f t="shared" ca="1" si="213"/>
        <v/>
      </c>
      <c r="BI47" s="23" t="str">
        <f t="shared" ca="1" si="214"/>
        <v/>
      </c>
      <c r="BJ47" s="23" t="str">
        <f t="shared" ca="1" si="215"/>
        <v/>
      </c>
      <c r="BK47" s="23" t="str">
        <f t="shared" ca="1" si="216"/>
        <v/>
      </c>
      <c r="BL47" s="23" t="str">
        <f t="shared" ca="1" si="217"/>
        <v/>
      </c>
      <c r="BM47" s="23" t="str">
        <f t="shared" ca="1" si="218"/>
        <v/>
      </c>
      <c r="BN47" s="23" t="str">
        <f t="shared" ca="1" si="219"/>
        <v/>
      </c>
      <c r="BO47" s="23" t="str">
        <f t="shared" ca="1" si="220"/>
        <v/>
      </c>
      <c r="BP47" s="23" t="str">
        <f t="shared" ca="1" si="221"/>
        <v/>
      </c>
      <c r="BQ47" s="23" t="str">
        <f t="shared" ca="1" si="222"/>
        <v/>
      </c>
      <c r="BR47" s="23" t="str">
        <f t="shared" ca="1" si="223"/>
        <v/>
      </c>
      <c r="BS47" s="23" t="str">
        <f t="shared" ca="1" si="224"/>
        <v/>
      </c>
      <c r="BT47" s="23" t="str">
        <f t="shared" ca="1" si="225"/>
        <v/>
      </c>
      <c r="BU47" s="23" t="str">
        <f t="shared" ca="1" si="226"/>
        <v/>
      </c>
      <c r="BV47" s="23" t="str">
        <f t="shared" ca="1" si="227"/>
        <v/>
      </c>
      <c r="BW47" s="23" t="str">
        <f t="shared" ca="1" si="228"/>
        <v/>
      </c>
      <c r="BX47" s="23" t="str">
        <f t="shared" ca="1" si="229"/>
        <v/>
      </c>
      <c r="BY47" s="23" t="str">
        <f t="shared" ca="1" si="230"/>
        <v/>
      </c>
      <c r="BZ47" s="23" t="str">
        <f t="shared" ca="1" si="231"/>
        <v/>
      </c>
      <c r="CA47" s="23" t="str">
        <f t="shared" ca="1" si="232"/>
        <v/>
      </c>
      <c r="CB47" s="23" t="str">
        <f t="shared" ca="1" si="233"/>
        <v/>
      </c>
      <c r="CC47" s="23" t="str">
        <f t="shared" ca="1" si="234"/>
        <v/>
      </c>
      <c r="CD47" s="23" t="str">
        <f t="shared" ca="1" si="235"/>
        <v/>
      </c>
      <c r="CE47" s="23" t="str">
        <f t="shared" ca="1" si="236"/>
        <v/>
      </c>
      <c r="CF47" s="23" t="str">
        <f t="shared" ca="1" si="237"/>
        <v/>
      </c>
      <c r="CG47" s="23" t="str">
        <f t="shared" ca="1" si="238"/>
        <v/>
      </c>
      <c r="CH47" s="23" t="str">
        <f t="shared" ca="1" si="239"/>
        <v/>
      </c>
      <c r="CI47" s="23" t="str">
        <f t="shared" ca="1" si="240"/>
        <v/>
      </c>
      <c r="CJ47" s="23" t="str">
        <f t="shared" ca="1" si="241"/>
        <v/>
      </c>
      <c r="CK47" s="23" t="str">
        <f t="shared" ca="1" si="242"/>
        <v/>
      </c>
      <c r="CL47" s="23" t="str">
        <f t="shared" ca="1" si="243"/>
        <v/>
      </c>
      <c r="CM47" s="23" t="str">
        <f t="shared" ca="1" si="244"/>
        <v/>
      </c>
      <c r="CN47" s="23" t="str">
        <f t="shared" ca="1" si="245"/>
        <v/>
      </c>
      <c r="CO47" s="23" t="str">
        <f t="shared" ca="1" si="246"/>
        <v/>
      </c>
      <c r="CP47" s="23" t="str">
        <f t="shared" ca="1" si="247"/>
        <v/>
      </c>
      <c r="CQ47" s="23" t="str">
        <f t="shared" ca="1" si="248"/>
        <v/>
      </c>
      <c r="CR47" s="23" t="str">
        <f t="shared" ca="1" si="249"/>
        <v/>
      </c>
      <c r="CS47" s="23" t="str">
        <f t="shared" ca="1" si="250"/>
        <v/>
      </c>
      <c r="CT47" s="23" t="str">
        <f t="shared" ca="1" si="251"/>
        <v/>
      </c>
      <c r="CU47" s="23" t="str">
        <f t="shared" ca="1" si="252"/>
        <v/>
      </c>
      <c r="CV47" s="23" t="str">
        <f t="shared" ca="1" si="253"/>
        <v/>
      </c>
      <c r="CW47" s="23" t="str">
        <f t="shared" ca="1" si="254"/>
        <v/>
      </c>
      <c r="CX47" s="23" t="str">
        <f ca="1">IF(CX$11="","",IF(CX$13=$M$5,CHOOSE($Q$6+1,$M$1,CY47+CZ47-#REF!),IF(CX$13=$M$6,CHOOSE($Q$6+1,$M$1,OFFSET($A47,,$P$7-1)),IF(CX$13=$M$7,CHOOSE($Q$6+1,$M$1,SUM(OFFSET($A$11,$B47-$O$5,$O$6,1,-$P$6))),IF(CX$13=$M$8,CHOOSE($Q$6+1,$M$1,SUM(OFFSET($A$11,$B47-$O$5,$O$7,1,-$P$6))),IF(CX$11&lt;$D$7,OFFSET(INDIRECT($D$3),$A47-1,$Q$3+CX$11),OFFSET(INDIRECT($D$4),$A47-1,$Q$4+CX$11)))))))</f>
        <v/>
      </c>
      <c r="CY47" s="23" t="str">
        <f ca="1">IF(CY$11="","",IF(CY$13=$M$5,CHOOSE($Q$6+1,$M$1,CZ47+#REF!-#REF!),IF(CY$13=$M$6,CHOOSE($Q$6+1,$M$1,OFFSET($A47,,$P$7-1)),IF(CY$13=$M$7,CHOOSE($Q$6+1,$M$1,SUM(OFFSET($A$11,$B47-$O$5,$O$6,1,-$P$6))),IF(CY$13=$M$8,CHOOSE($Q$6+1,$M$1,SUM(OFFSET($A$11,$B47-$O$5,$O$7,1,-$P$6))),IF(CY$11&lt;$D$7,OFFSET(INDIRECT($D$3),$A47-1,$Q$3+CY$11),OFFSET(INDIRECT($D$4),$A47-1,$Q$4+CY$11)))))))</f>
        <v/>
      </c>
      <c r="CZ47" s="23" t="str">
        <f ca="1">IF(CZ$11="","",IF(CZ$13=$M$5,CHOOSE($Q$6+1,$M$1,#REF!+#REF!-#REF!),IF(CZ$13=$M$6,CHOOSE($Q$6+1,$M$1,OFFSET($A47,,$P$7-1)),IF(CZ$13=$M$7,CHOOSE($Q$6+1,$M$1,SUM(OFFSET($A$11,$B47-$O$5,$O$6,1,-$P$6))),IF(CZ$13=$M$8,CHOOSE($Q$6+1,$M$1,SUM(OFFSET($A$11,$B47-$O$5,$O$7,1,-$P$6))),IF(CZ$11&lt;$D$7,OFFSET(INDIRECT($D$3),$A47-1,$Q$3+CZ$11),OFFSET(INDIRECT($D$4),$A47-1,$Q$4+CZ$11)))))))</f>
        <v/>
      </c>
    </row>
    <row r="48" spans="1:104" ht="13.5" customHeight="1">
      <c r="A48" s="30">
        <v>45</v>
      </c>
      <c r="B48" s="33">
        <f t="shared" si="14"/>
        <v>48</v>
      </c>
      <c r="C48" s="9" t="s">
        <v>323</v>
      </c>
      <c r="D48" s="23">
        <f t="shared" ca="1" si="157"/>
        <v>25922</v>
      </c>
      <c r="E48" s="23">
        <f t="shared" ca="1" si="158"/>
        <v>41733</v>
      </c>
      <c r="F48" s="23">
        <f t="shared" ca="1" si="159"/>
        <v>5987</v>
      </c>
      <c r="G48" s="23">
        <f t="shared" ca="1" si="160"/>
        <v>7308</v>
      </c>
      <c r="H48" s="23">
        <f t="shared" ca="1" si="161"/>
        <v>6623</v>
      </c>
      <c r="I48" s="23">
        <f t="shared" ca="1" si="162"/>
        <v>13064</v>
      </c>
      <c r="J48" s="23">
        <f t="shared" ca="1" si="163"/>
        <v>11622</v>
      </c>
      <c r="K48" s="23">
        <f t="shared" ca="1" si="164"/>
        <v>8824</v>
      </c>
      <c r="L48" s="23">
        <f t="shared" ca="1" si="165"/>
        <v>8223</v>
      </c>
      <c r="M48" s="23">
        <f t="shared" ca="1" si="166"/>
        <v>13078</v>
      </c>
      <c r="N48" s="23">
        <f t="shared" ca="1" si="167"/>
        <v>41747</v>
      </c>
      <c r="O48" s="23">
        <f t="shared" ca="1" si="168"/>
        <v>41733</v>
      </c>
      <c r="P48" s="23">
        <f t="shared" ca="1" si="169"/>
        <v>13078</v>
      </c>
      <c r="Q48" s="23">
        <f t="shared" ca="1" si="170"/>
        <v>13064</v>
      </c>
      <c r="R48" s="23" t="str">
        <f t="shared" ca="1" si="171"/>
        <v/>
      </c>
      <c r="S48" s="23" t="str">
        <f t="shared" ca="1" si="172"/>
        <v/>
      </c>
      <c r="T48" s="23" t="str">
        <f t="shared" ca="1" si="173"/>
        <v/>
      </c>
      <c r="U48" s="23" t="str">
        <f t="shared" ca="1" si="174"/>
        <v/>
      </c>
      <c r="V48" s="23" t="str">
        <f t="shared" ca="1" si="175"/>
        <v/>
      </c>
      <c r="W48" s="23" t="str">
        <f t="shared" ca="1" si="176"/>
        <v/>
      </c>
      <c r="X48" s="23" t="str">
        <f t="shared" ca="1" si="177"/>
        <v/>
      </c>
      <c r="Y48" s="23" t="str">
        <f t="shared" ca="1" si="178"/>
        <v/>
      </c>
      <c r="Z48" s="23" t="str">
        <f t="shared" ca="1" si="179"/>
        <v/>
      </c>
      <c r="AA48" s="23" t="str">
        <f t="shared" ca="1" si="180"/>
        <v/>
      </c>
      <c r="AB48" s="23" t="str">
        <f t="shared" ca="1" si="181"/>
        <v/>
      </c>
      <c r="AC48" s="23" t="str">
        <f t="shared" ca="1" si="182"/>
        <v/>
      </c>
      <c r="AD48" s="23" t="str">
        <f t="shared" ca="1" si="183"/>
        <v/>
      </c>
      <c r="AE48" s="23" t="str">
        <f t="shared" ca="1" si="184"/>
        <v/>
      </c>
      <c r="AF48" s="23" t="str">
        <f t="shared" ca="1" si="185"/>
        <v/>
      </c>
      <c r="AG48" s="23" t="str">
        <f t="shared" ca="1" si="186"/>
        <v/>
      </c>
      <c r="AH48" s="23" t="str">
        <f t="shared" ca="1" si="187"/>
        <v/>
      </c>
      <c r="AI48" s="23" t="str">
        <f t="shared" ca="1" si="188"/>
        <v/>
      </c>
      <c r="AJ48" s="23" t="str">
        <f t="shared" ca="1" si="189"/>
        <v/>
      </c>
      <c r="AK48" s="23" t="str">
        <f t="shared" ca="1" si="190"/>
        <v/>
      </c>
      <c r="AL48" s="23" t="str">
        <f t="shared" ca="1" si="191"/>
        <v/>
      </c>
      <c r="AM48" s="23" t="str">
        <f t="shared" ca="1" si="192"/>
        <v/>
      </c>
      <c r="AN48" s="23" t="str">
        <f t="shared" ca="1" si="193"/>
        <v/>
      </c>
      <c r="AO48" s="23" t="str">
        <f t="shared" ca="1" si="194"/>
        <v/>
      </c>
      <c r="AP48" s="23" t="str">
        <f t="shared" ca="1" si="195"/>
        <v/>
      </c>
      <c r="AQ48" s="23" t="str">
        <f t="shared" ca="1" si="196"/>
        <v/>
      </c>
      <c r="AR48" s="23" t="str">
        <f t="shared" ca="1" si="197"/>
        <v/>
      </c>
      <c r="AS48" s="23" t="str">
        <f t="shared" ca="1" si="198"/>
        <v/>
      </c>
      <c r="AT48" s="23" t="str">
        <f t="shared" ca="1" si="199"/>
        <v/>
      </c>
      <c r="AU48" s="23" t="str">
        <f t="shared" ca="1" si="200"/>
        <v/>
      </c>
      <c r="AV48" s="23" t="str">
        <f t="shared" ca="1" si="201"/>
        <v/>
      </c>
      <c r="AW48" s="23" t="str">
        <f t="shared" ca="1" si="202"/>
        <v/>
      </c>
      <c r="AX48" s="23" t="str">
        <f t="shared" ca="1" si="203"/>
        <v/>
      </c>
      <c r="AY48" s="23" t="str">
        <f t="shared" ca="1" si="204"/>
        <v/>
      </c>
      <c r="AZ48" s="23" t="str">
        <f t="shared" ca="1" si="205"/>
        <v/>
      </c>
      <c r="BA48" s="23" t="str">
        <f t="shared" ca="1" si="206"/>
        <v/>
      </c>
      <c r="BB48" s="23" t="str">
        <f t="shared" ca="1" si="207"/>
        <v/>
      </c>
      <c r="BC48" s="23" t="str">
        <f t="shared" ca="1" si="208"/>
        <v/>
      </c>
      <c r="BD48" s="23" t="str">
        <f t="shared" ca="1" si="209"/>
        <v/>
      </c>
      <c r="BE48" s="23" t="str">
        <f t="shared" ca="1" si="210"/>
        <v/>
      </c>
      <c r="BF48" s="23" t="str">
        <f t="shared" ca="1" si="211"/>
        <v/>
      </c>
      <c r="BG48" s="23" t="str">
        <f t="shared" ca="1" si="212"/>
        <v/>
      </c>
      <c r="BH48" s="23" t="str">
        <f t="shared" ca="1" si="213"/>
        <v/>
      </c>
      <c r="BI48" s="23" t="str">
        <f t="shared" ca="1" si="214"/>
        <v/>
      </c>
      <c r="BJ48" s="23" t="str">
        <f t="shared" ca="1" si="215"/>
        <v/>
      </c>
      <c r="BK48" s="23" t="str">
        <f t="shared" ca="1" si="216"/>
        <v/>
      </c>
      <c r="BL48" s="23" t="str">
        <f t="shared" ca="1" si="217"/>
        <v/>
      </c>
      <c r="BM48" s="23" t="str">
        <f t="shared" ca="1" si="218"/>
        <v/>
      </c>
      <c r="BN48" s="23" t="str">
        <f t="shared" ca="1" si="219"/>
        <v/>
      </c>
      <c r="BO48" s="23" t="str">
        <f t="shared" ca="1" si="220"/>
        <v/>
      </c>
      <c r="BP48" s="23" t="str">
        <f t="shared" ca="1" si="221"/>
        <v/>
      </c>
      <c r="BQ48" s="23" t="str">
        <f t="shared" ca="1" si="222"/>
        <v/>
      </c>
      <c r="BR48" s="23" t="str">
        <f t="shared" ca="1" si="223"/>
        <v/>
      </c>
      <c r="BS48" s="23" t="str">
        <f t="shared" ca="1" si="224"/>
        <v/>
      </c>
      <c r="BT48" s="23" t="str">
        <f t="shared" ca="1" si="225"/>
        <v/>
      </c>
      <c r="BU48" s="23" t="str">
        <f t="shared" ca="1" si="226"/>
        <v/>
      </c>
      <c r="BV48" s="23" t="str">
        <f t="shared" ca="1" si="227"/>
        <v/>
      </c>
      <c r="BW48" s="23" t="str">
        <f t="shared" ca="1" si="228"/>
        <v/>
      </c>
      <c r="BX48" s="23" t="str">
        <f t="shared" ca="1" si="229"/>
        <v/>
      </c>
      <c r="BY48" s="23" t="str">
        <f t="shared" ca="1" si="230"/>
        <v/>
      </c>
      <c r="BZ48" s="23" t="str">
        <f t="shared" ca="1" si="231"/>
        <v/>
      </c>
      <c r="CA48" s="23" t="str">
        <f t="shared" ca="1" si="232"/>
        <v/>
      </c>
      <c r="CB48" s="23" t="str">
        <f t="shared" ca="1" si="233"/>
        <v/>
      </c>
      <c r="CC48" s="23" t="str">
        <f t="shared" ca="1" si="234"/>
        <v/>
      </c>
      <c r="CD48" s="23" t="str">
        <f t="shared" ca="1" si="235"/>
        <v/>
      </c>
      <c r="CE48" s="23" t="str">
        <f t="shared" ca="1" si="236"/>
        <v/>
      </c>
      <c r="CF48" s="23" t="str">
        <f t="shared" ca="1" si="237"/>
        <v/>
      </c>
      <c r="CG48" s="23" t="str">
        <f t="shared" ca="1" si="238"/>
        <v/>
      </c>
      <c r="CH48" s="23" t="str">
        <f t="shared" ca="1" si="239"/>
        <v/>
      </c>
      <c r="CI48" s="23" t="str">
        <f t="shared" ca="1" si="240"/>
        <v/>
      </c>
      <c r="CJ48" s="23" t="str">
        <f t="shared" ca="1" si="241"/>
        <v/>
      </c>
      <c r="CK48" s="23" t="str">
        <f t="shared" ca="1" si="242"/>
        <v/>
      </c>
      <c r="CL48" s="23" t="str">
        <f t="shared" ca="1" si="243"/>
        <v/>
      </c>
      <c r="CM48" s="23" t="str">
        <f t="shared" ca="1" si="244"/>
        <v/>
      </c>
      <c r="CN48" s="23" t="str">
        <f t="shared" ca="1" si="245"/>
        <v/>
      </c>
      <c r="CO48" s="23" t="str">
        <f t="shared" ca="1" si="246"/>
        <v/>
      </c>
      <c r="CP48" s="23" t="str">
        <f t="shared" ca="1" si="247"/>
        <v/>
      </c>
      <c r="CQ48" s="23" t="str">
        <f t="shared" ca="1" si="248"/>
        <v/>
      </c>
      <c r="CR48" s="23" t="str">
        <f t="shared" ca="1" si="249"/>
        <v/>
      </c>
      <c r="CS48" s="23" t="str">
        <f t="shared" ca="1" si="250"/>
        <v/>
      </c>
      <c r="CT48" s="23" t="str">
        <f t="shared" ca="1" si="251"/>
        <v/>
      </c>
      <c r="CU48" s="23" t="str">
        <f t="shared" ca="1" si="252"/>
        <v/>
      </c>
      <c r="CV48" s="23" t="str">
        <f t="shared" ca="1" si="253"/>
        <v/>
      </c>
      <c r="CW48" s="23" t="str">
        <f t="shared" ca="1" si="254"/>
        <v/>
      </c>
      <c r="CX48" s="23" t="str">
        <f ca="1">IF(CX$11="","",IF(CX$13=$M$5,CHOOSE($Q$6+1,$M$1,CY48+CZ48-#REF!),IF(CX$13=$M$6,CHOOSE($Q$6+1,$M$1,OFFSET($A48,,$P$7-1)),IF(CX$13=$M$7,CHOOSE($Q$6+1,$M$1,SUM(OFFSET($A$11,$B48-$O$5,$O$6,1,-$P$6))),IF(CX$13=$M$8,CHOOSE($Q$6+1,$M$1,SUM(OFFSET($A$11,$B48-$O$5,$O$7,1,-$P$6))),IF(CX$11&lt;$D$7,OFFSET(INDIRECT($D$3),$A48-1,$Q$3+CX$11),OFFSET(INDIRECT($D$4),$A48-1,$Q$4+CX$11)))))))</f>
        <v/>
      </c>
      <c r="CY48" s="23" t="str">
        <f ca="1">IF(CY$11="","",IF(CY$13=$M$5,CHOOSE($Q$6+1,$M$1,CZ48+#REF!-#REF!),IF(CY$13=$M$6,CHOOSE($Q$6+1,$M$1,OFFSET($A48,,$P$7-1)),IF(CY$13=$M$7,CHOOSE($Q$6+1,$M$1,SUM(OFFSET($A$11,$B48-$O$5,$O$6,1,-$P$6))),IF(CY$13=$M$8,CHOOSE($Q$6+1,$M$1,SUM(OFFSET($A$11,$B48-$O$5,$O$7,1,-$P$6))),IF(CY$11&lt;$D$7,OFFSET(INDIRECT($D$3),$A48-1,$Q$3+CY$11),OFFSET(INDIRECT($D$4),$A48-1,$Q$4+CY$11)))))))</f>
        <v/>
      </c>
      <c r="CZ48" s="23" t="str">
        <f ca="1">IF(CZ$11="","",IF(CZ$13=$M$5,CHOOSE($Q$6+1,$M$1,#REF!+#REF!-#REF!),IF(CZ$13=$M$6,CHOOSE($Q$6+1,$M$1,OFFSET($A48,,$P$7-1)),IF(CZ$13=$M$7,CHOOSE($Q$6+1,$M$1,SUM(OFFSET($A$11,$B48-$O$5,$O$6,1,-$P$6))),IF(CZ$13=$M$8,CHOOSE($Q$6+1,$M$1,SUM(OFFSET($A$11,$B48-$O$5,$O$7,1,-$P$6))),IF(CZ$11&lt;$D$7,OFFSET(INDIRECT($D$3),$A48-1,$Q$3+CZ$11),OFFSET(INDIRECT($D$4),$A48-1,$Q$4+CZ$11)))))))</f>
        <v/>
      </c>
    </row>
    <row r="49" spans="1:104" ht="13.5" customHeight="1">
      <c r="A49" s="27">
        <v>46</v>
      </c>
      <c r="B49" s="33">
        <f t="shared" si="14"/>
        <v>49</v>
      </c>
      <c r="C49" s="9" t="s">
        <v>324</v>
      </c>
      <c r="D49" s="23">
        <f t="shared" ca="1" si="157"/>
        <v>0</v>
      </c>
      <c r="E49" s="23">
        <f t="shared" ca="1" si="158"/>
        <v>0</v>
      </c>
      <c r="F49" s="23">
        <f t="shared" ca="1" si="159"/>
        <v>0</v>
      </c>
      <c r="G49" s="23">
        <f t="shared" ca="1" si="160"/>
        <v>0</v>
      </c>
      <c r="H49" s="23">
        <f t="shared" ca="1" si="161"/>
        <v>0</v>
      </c>
      <c r="I49" s="23">
        <f t="shared" ca="1" si="162"/>
        <v>0</v>
      </c>
      <c r="J49" s="23">
        <f t="shared" ca="1" si="163"/>
        <v>0</v>
      </c>
      <c r="K49" s="23">
        <f t="shared" ca="1" si="164"/>
        <v>0</v>
      </c>
      <c r="L49" s="23">
        <f t="shared" ca="1" si="165"/>
        <v>0</v>
      </c>
      <c r="M49" s="23">
        <f t="shared" ca="1" si="166"/>
        <v>0</v>
      </c>
      <c r="N49" s="23">
        <f t="shared" ca="1" si="167"/>
        <v>0</v>
      </c>
      <c r="O49" s="23">
        <f t="shared" ca="1" si="168"/>
        <v>0</v>
      </c>
      <c r="P49" s="23">
        <f t="shared" ca="1" si="169"/>
        <v>0</v>
      </c>
      <c r="Q49" s="23">
        <f t="shared" ca="1" si="170"/>
        <v>0</v>
      </c>
      <c r="R49" s="23" t="str">
        <f t="shared" ca="1" si="171"/>
        <v/>
      </c>
      <c r="S49" s="23" t="str">
        <f t="shared" ca="1" si="172"/>
        <v/>
      </c>
      <c r="T49" s="23" t="str">
        <f t="shared" ca="1" si="173"/>
        <v/>
      </c>
      <c r="U49" s="23" t="str">
        <f t="shared" ca="1" si="174"/>
        <v/>
      </c>
      <c r="V49" s="23" t="str">
        <f t="shared" ca="1" si="175"/>
        <v/>
      </c>
      <c r="W49" s="23" t="str">
        <f t="shared" ca="1" si="176"/>
        <v/>
      </c>
      <c r="X49" s="23" t="str">
        <f t="shared" ca="1" si="177"/>
        <v/>
      </c>
      <c r="Y49" s="23" t="str">
        <f t="shared" ca="1" si="178"/>
        <v/>
      </c>
      <c r="Z49" s="23" t="str">
        <f t="shared" ca="1" si="179"/>
        <v/>
      </c>
      <c r="AA49" s="23" t="str">
        <f t="shared" ca="1" si="180"/>
        <v/>
      </c>
      <c r="AB49" s="23" t="str">
        <f t="shared" ca="1" si="181"/>
        <v/>
      </c>
      <c r="AC49" s="23" t="str">
        <f t="shared" ca="1" si="182"/>
        <v/>
      </c>
      <c r="AD49" s="23" t="str">
        <f t="shared" ca="1" si="183"/>
        <v/>
      </c>
      <c r="AE49" s="23" t="str">
        <f t="shared" ca="1" si="184"/>
        <v/>
      </c>
      <c r="AF49" s="23" t="str">
        <f t="shared" ca="1" si="185"/>
        <v/>
      </c>
      <c r="AG49" s="23" t="str">
        <f t="shared" ca="1" si="186"/>
        <v/>
      </c>
      <c r="AH49" s="23" t="str">
        <f t="shared" ca="1" si="187"/>
        <v/>
      </c>
      <c r="AI49" s="23" t="str">
        <f t="shared" ca="1" si="188"/>
        <v/>
      </c>
      <c r="AJ49" s="23" t="str">
        <f t="shared" ca="1" si="189"/>
        <v/>
      </c>
      <c r="AK49" s="23" t="str">
        <f t="shared" ca="1" si="190"/>
        <v/>
      </c>
      <c r="AL49" s="23" t="str">
        <f t="shared" ca="1" si="191"/>
        <v/>
      </c>
      <c r="AM49" s="23" t="str">
        <f t="shared" ca="1" si="192"/>
        <v/>
      </c>
      <c r="AN49" s="23" t="str">
        <f t="shared" ca="1" si="193"/>
        <v/>
      </c>
      <c r="AO49" s="23" t="str">
        <f t="shared" ca="1" si="194"/>
        <v/>
      </c>
      <c r="AP49" s="23" t="str">
        <f t="shared" ca="1" si="195"/>
        <v/>
      </c>
      <c r="AQ49" s="23" t="str">
        <f t="shared" ca="1" si="196"/>
        <v/>
      </c>
      <c r="AR49" s="23" t="str">
        <f t="shared" ca="1" si="197"/>
        <v/>
      </c>
      <c r="AS49" s="23" t="str">
        <f t="shared" ca="1" si="198"/>
        <v/>
      </c>
      <c r="AT49" s="23" t="str">
        <f t="shared" ca="1" si="199"/>
        <v/>
      </c>
      <c r="AU49" s="23" t="str">
        <f t="shared" ca="1" si="200"/>
        <v/>
      </c>
      <c r="AV49" s="23" t="str">
        <f t="shared" ca="1" si="201"/>
        <v/>
      </c>
      <c r="AW49" s="23" t="str">
        <f t="shared" ca="1" si="202"/>
        <v/>
      </c>
      <c r="AX49" s="23" t="str">
        <f t="shared" ca="1" si="203"/>
        <v/>
      </c>
      <c r="AY49" s="23" t="str">
        <f t="shared" ca="1" si="204"/>
        <v/>
      </c>
      <c r="AZ49" s="23" t="str">
        <f t="shared" ca="1" si="205"/>
        <v/>
      </c>
      <c r="BA49" s="23" t="str">
        <f t="shared" ca="1" si="206"/>
        <v/>
      </c>
      <c r="BB49" s="23" t="str">
        <f t="shared" ca="1" si="207"/>
        <v/>
      </c>
      <c r="BC49" s="23" t="str">
        <f t="shared" ca="1" si="208"/>
        <v/>
      </c>
      <c r="BD49" s="23" t="str">
        <f t="shared" ca="1" si="209"/>
        <v/>
      </c>
      <c r="BE49" s="23" t="str">
        <f t="shared" ca="1" si="210"/>
        <v/>
      </c>
      <c r="BF49" s="23" t="str">
        <f t="shared" ca="1" si="211"/>
        <v/>
      </c>
      <c r="BG49" s="23" t="str">
        <f t="shared" ca="1" si="212"/>
        <v/>
      </c>
      <c r="BH49" s="23" t="str">
        <f t="shared" ca="1" si="213"/>
        <v/>
      </c>
      <c r="BI49" s="23" t="str">
        <f t="shared" ca="1" si="214"/>
        <v/>
      </c>
      <c r="BJ49" s="23" t="str">
        <f t="shared" ca="1" si="215"/>
        <v/>
      </c>
      <c r="BK49" s="23" t="str">
        <f t="shared" ca="1" si="216"/>
        <v/>
      </c>
      <c r="BL49" s="23" t="str">
        <f t="shared" ca="1" si="217"/>
        <v/>
      </c>
      <c r="BM49" s="23" t="str">
        <f t="shared" ca="1" si="218"/>
        <v/>
      </c>
      <c r="BN49" s="23" t="str">
        <f t="shared" ca="1" si="219"/>
        <v/>
      </c>
      <c r="BO49" s="23" t="str">
        <f t="shared" ca="1" si="220"/>
        <v/>
      </c>
      <c r="BP49" s="23" t="str">
        <f t="shared" ca="1" si="221"/>
        <v/>
      </c>
      <c r="BQ49" s="23" t="str">
        <f t="shared" ca="1" si="222"/>
        <v/>
      </c>
      <c r="BR49" s="23" t="str">
        <f t="shared" ca="1" si="223"/>
        <v/>
      </c>
      <c r="BS49" s="23" t="str">
        <f t="shared" ca="1" si="224"/>
        <v/>
      </c>
      <c r="BT49" s="23" t="str">
        <f t="shared" ca="1" si="225"/>
        <v/>
      </c>
      <c r="BU49" s="23" t="str">
        <f t="shared" ca="1" si="226"/>
        <v/>
      </c>
      <c r="BV49" s="23" t="str">
        <f t="shared" ca="1" si="227"/>
        <v/>
      </c>
      <c r="BW49" s="23" t="str">
        <f t="shared" ca="1" si="228"/>
        <v/>
      </c>
      <c r="BX49" s="23" t="str">
        <f t="shared" ca="1" si="229"/>
        <v/>
      </c>
      <c r="BY49" s="23" t="str">
        <f t="shared" ca="1" si="230"/>
        <v/>
      </c>
      <c r="BZ49" s="23" t="str">
        <f t="shared" ca="1" si="231"/>
        <v/>
      </c>
      <c r="CA49" s="23" t="str">
        <f t="shared" ca="1" si="232"/>
        <v/>
      </c>
      <c r="CB49" s="23" t="str">
        <f t="shared" ca="1" si="233"/>
        <v/>
      </c>
      <c r="CC49" s="23" t="str">
        <f t="shared" ca="1" si="234"/>
        <v/>
      </c>
      <c r="CD49" s="23" t="str">
        <f t="shared" ca="1" si="235"/>
        <v/>
      </c>
      <c r="CE49" s="23" t="str">
        <f t="shared" ca="1" si="236"/>
        <v/>
      </c>
      <c r="CF49" s="23" t="str">
        <f t="shared" ca="1" si="237"/>
        <v/>
      </c>
      <c r="CG49" s="23" t="str">
        <f t="shared" ca="1" si="238"/>
        <v/>
      </c>
      <c r="CH49" s="23" t="str">
        <f t="shared" ca="1" si="239"/>
        <v/>
      </c>
      <c r="CI49" s="23" t="str">
        <f t="shared" ca="1" si="240"/>
        <v/>
      </c>
      <c r="CJ49" s="23" t="str">
        <f t="shared" ca="1" si="241"/>
        <v/>
      </c>
      <c r="CK49" s="23" t="str">
        <f t="shared" ca="1" si="242"/>
        <v/>
      </c>
      <c r="CL49" s="23" t="str">
        <f t="shared" ca="1" si="243"/>
        <v/>
      </c>
      <c r="CM49" s="23" t="str">
        <f t="shared" ca="1" si="244"/>
        <v/>
      </c>
      <c r="CN49" s="23" t="str">
        <f t="shared" ca="1" si="245"/>
        <v/>
      </c>
      <c r="CO49" s="23" t="str">
        <f t="shared" ca="1" si="246"/>
        <v/>
      </c>
      <c r="CP49" s="23" t="str">
        <f t="shared" ca="1" si="247"/>
        <v/>
      </c>
      <c r="CQ49" s="23" t="str">
        <f t="shared" ca="1" si="248"/>
        <v/>
      </c>
      <c r="CR49" s="23" t="str">
        <f t="shared" ca="1" si="249"/>
        <v/>
      </c>
      <c r="CS49" s="23" t="str">
        <f t="shared" ca="1" si="250"/>
        <v/>
      </c>
      <c r="CT49" s="23" t="str">
        <f t="shared" ca="1" si="251"/>
        <v/>
      </c>
      <c r="CU49" s="23" t="str">
        <f t="shared" ca="1" si="252"/>
        <v/>
      </c>
      <c r="CV49" s="23" t="str">
        <f t="shared" ca="1" si="253"/>
        <v/>
      </c>
      <c r="CW49" s="23" t="str">
        <f t="shared" ca="1" si="254"/>
        <v/>
      </c>
      <c r="CX49" s="23" t="str">
        <f ca="1">IF(CX$11="","",IF(CX$13=$M$5,CHOOSE($Q$6+1,$M$1,CY49+CZ49-#REF!),IF(CX$13=$M$6,CHOOSE($Q$6+1,$M$1,OFFSET($A49,,$P$7-1)),IF(CX$13=$M$7,CHOOSE($Q$6+1,$M$1,SUM(OFFSET($A$11,$B49-$O$5,$O$6,1,-$P$6))),IF(CX$13=$M$8,CHOOSE($Q$6+1,$M$1,SUM(OFFSET($A$11,$B49-$O$5,$O$7,1,-$P$6))),IF(CX$11&lt;$D$7,OFFSET(INDIRECT($D$3),$A49-1,$Q$3+CX$11),OFFSET(INDIRECT($D$4),$A49-1,$Q$4+CX$11)))))))</f>
        <v/>
      </c>
      <c r="CY49" s="23" t="str">
        <f ca="1">IF(CY$11="","",IF(CY$13=$M$5,CHOOSE($Q$6+1,$M$1,CZ49+#REF!-#REF!),IF(CY$13=$M$6,CHOOSE($Q$6+1,$M$1,OFFSET($A49,,$P$7-1)),IF(CY$13=$M$7,CHOOSE($Q$6+1,$M$1,SUM(OFFSET($A$11,$B49-$O$5,$O$6,1,-$P$6))),IF(CY$13=$M$8,CHOOSE($Q$6+1,$M$1,SUM(OFFSET($A$11,$B49-$O$5,$O$7,1,-$P$6))),IF(CY$11&lt;$D$7,OFFSET(INDIRECT($D$3),$A49-1,$Q$3+CY$11),OFFSET(INDIRECT($D$4),$A49-1,$Q$4+CY$11)))))))</f>
        <v/>
      </c>
      <c r="CZ49" s="23" t="str">
        <f ca="1">IF(CZ$11="","",IF(CZ$13=$M$5,CHOOSE($Q$6+1,$M$1,#REF!+#REF!-#REF!),IF(CZ$13=$M$6,CHOOSE($Q$6+1,$M$1,OFFSET($A49,,$P$7-1)),IF(CZ$13=$M$7,CHOOSE($Q$6+1,$M$1,SUM(OFFSET($A$11,$B49-$O$5,$O$6,1,-$P$6))),IF(CZ$13=$M$8,CHOOSE($Q$6+1,$M$1,SUM(OFFSET($A$11,$B49-$O$5,$O$7,1,-$P$6))),IF(CZ$11&lt;$D$7,OFFSET(INDIRECT($D$3),$A49-1,$Q$3+CZ$11),OFFSET(INDIRECT($D$4),$A49-1,$Q$4+CZ$11)))))))</f>
        <v/>
      </c>
    </row>
    <row r="50" spans="1:104" ht="13.5" customHeight="1">
      <c r="A50" s="30">
        <v>47</v>
      </c>
      <c r="B50" s="33">
        <f t="shared" si="14"/>
        <v>50</v>
      </c>
      <c r="C50" s="9" t="s">
        <v>325</v>
      </c>
      <c r="D50" s="23">
        <f t="shared" ca="1" si="157"/>
        <v>25922</v>
      </c>
      <c r="E50" s="23">
        <f t="shared" ca="1" si="158"/>
        <v>41733</v>
      </c>
      <c r="F50" s="23">
        <f t="shared" ca="1" si="159"/>
        <v>5987</v>
      </c>
      <c r="G50" s="23">
        <f t="shared" ca="1" si="160"/>
        <v>7308</v>
      </c>
      <c r="H50" s="23">
        <f t="shared" ca="1" si="161"/>
        <v>6623</v>
      </c>
      <c r="I50" s="23">
        <f t="shared" ca="1" si="162"/>
        <v>13064</v>
      </c>
      <c r="J50" s="23">
        <f t="shared" ca="1" si="163"/>
        <v>11622</v>
      </c>
      <c r="K50" s="23">
        <f t="shared" ca="1" si="164"/>
        <v>8824</v>
      </c>
      <c r="L50" s="23">
        <f t="shared" ca="1" si="165"/>
        <v>8223</v>
      </c>
      <c r="M50" s="23">
        <f t="shared" ca="1" si="166"/>
        <v>13078</v>
      </c>
      <c r="N50" s="23">
        <f t="shared" ca="1" si="167"/>
        <v>41747</v>
      </c>
      <c r="O50" s="23">
        <f t="shared" ca="1" si="168"/>
        <v>41733</v>
      </c>
      <c r="P50" s="23">
        <f t="shared" ca="1" si="169"/>
        <v>13078</v>
      </c>
      <c r="Q50" s="23">
        <f t="shared" ca="1" si="170"/>
        <v>13064</v>
      </c>
      <c r="R50" s="23" t="str">
        <f t="shared" ca="1" si="171"/>
        <v/>
      </c>
      <c r="S50" s="23" t="str">
        <f t="shared" ca="1" si="172"/>
        <v/>
      </c>
      <c r="T50" s="23" t="str">
        <f t="shared" ca="1" si="173"/>
        <v/>
      </c>
      <c r="U50" s="23" t="str">
        <f t="shared" ca="1" si="174"/>
        <v/>
      </c>
      <c r="V50" s="23" t="str">
        <f t="shared" ca="1" si="175"/>
        <v/>
      </c>
      <c r="W50" s="23" t="str">
        <f t="shared" ca="1" si="176"/>
        <v/>
      </c>
      <c r="X50" s="23" t="str">
        <f t="shared" ca="1" si="177"/>
        <v/>
      </c>
      <c r="Y50" s="23" t="str">
        <f t="shared" ca="1" si="178"/>
        <v/>
      </c>
      <c r="Z50" s="23" t="str">
        <f t="shared" ca="1" si="179"/>
        <v/>
      </c>
      <c r="AA50" s="23" t="str">
        <f t="shared" ca="1" si="180"/>
        <v/>
      </c>
      <c r="AB50" s="23" t="str">
        <f t="shared" ca="1" si="181"/>
        <v/>
      </c>
      <c r="AC50" s="23" t="str">
        <f t="shared" ca="1" si="182"/>
        <v/>
      </c>
      <c r="AD50" s="23" t="str">
        <f t="shared" ca="1" si="183"/>
        <v/>
      </c>
      <c r="AE50" s="23" t="str">
        <f t="shared" ca="1" si="184"/>
        <v/>
      </c>
      <c r="AF50" s="23" t="str">
        <f t="shared" ca="1" si="185"/>
        <v/>
      </c>
      <c r="AG50" s="23" t="str">
        <f t="shared" ca="1" si="186"/>
        <v/>
      </c>
      <c r="AH50" s="23" t="str">
        <f t="shared" ca="1" si="187"/>
        <v/>
      </c>
      <c r="AI50" s="23" t="str">
        <f t="shared" ca="1" si="188"/>
        <v/>
      </c>
      <c r="AJ50" s="23" t="str">
        <f t="shared" ca="1" si="189"/>
        <v/>
      </c>
      <c r="AK50" s="23" t="str">
        <f t="shared" ca="1" si="190"/>
        <v/>
      </c>
      <c r="AL50" s="23" t="str">
        <f t="shared" ca="1" si="191"/>
        <v/>
      </c>
      <c r="AM50" s="23" t="str">
        <f t="shared" ca="1" si="192"/>
        <v/>
      </c>
      <c r="AN50" s="23" t="str">
        <f t="shared" ca="1" si="193"/>
        <v/>
      </c>
      <c r="AO50" s="23" t="str">
        <f t="shared" ca="1" si="194"/>
        <v/>
      </c>
      <c r="AP50" s="23" t="str">
        <f t="shared" ca="1" si="195"/>
        <v/>
      </c>
      <c r="AQ50" s="23" t="str">
        <f t="shared" ca="1" si="196"/>
        <v/>
      </c>
      <c r="AR50" s="23" t="str">
        <f t="shared" ca="1" si="197"/>
        <v/>
      </c>
      <c r="AS50" s="23" t="str">
        <f t="shared" ca="1" si="198"/>
        <v/>
      </c>
      <c r="AT50" s="23" t="str">
        <f t="shared" ca="1" si="199"/>
        <v/>
      </c>
      <c r="AU50" s="23" t="str">
        <f t="shared" ca="1" si="200"/>
        <v/>
      </c>
      <c r="AV50" s="23" t="str">
        <f t="shared" ca="1" si="201"/>
        <v/>
      </c>
      <c r="AW50" s="23" t="str">
        <f t="shared" ca="1" si="202"/>
        <v/>
      </c>
      <c r="AX50" s="23" t="str">
        <f t="shared" ca="1" si="203"/>
        <v/>
      </c>
      <c r="AY50" s="23" t="str">
        <f t="shared" ca="1" si="204"/>
        <v/>
      </c>
      <c r="AZ50" s="23" t="str">
        <f t="shared" ca="1" si="205"/>
        <v/>
      </c>
      <c r="BA50" s="23" t="str">
        <f t="shared" ca="1" si="206"/>
        <v/>
      </c>
      <c r="BB50" s="23" t="str">
        <f t="shared" ca="1" si="207"/>
        <v/>
      </c>
      <c r="BC50" s="23" t="str">
        <f t="shared" ca="1" si="208"/>
        <v/>
      </c>
      <c r="BD50" s="23" t="str">
        <f t="shared" ca="1" si="209"/>
        <v/>
      </c>
      <c r="BE50" s="23" t="str">
        <f t="shared" ca="1" si="210"/>
        <v/>
      </c>
      <c r="BF50" s="23" t="str">
        <f t="shared" ca="1" si="211"/>
        <v/>
      </c>
      <c r="BG50" s="23" t="str">
        <f t="shared" ca="1" si="212"/>
        <v/>
      </c>
      <c r="BH50" s="23" t="str">
        <f t="shared" ca="1" si="213"/>
        <v/>
      </c>
      <c r="BI50" s="23" t="str">
        <f t="shared" ca="1" si="214"/>
        <v/>
      </c>
      <c r="BJ50" s="23" t="str">
        <f t="shared" ca="1" si="215"/>
        <v/>
      </c>
      <c r="BK50" s="23" t="str">
        <f t="shared" ca="1" si="216"/>
        <v/>
      </c>
      <c r="BL50" s="23" t="str">
        <f t="shared" ca="1" si="217"/>
        <v/>
      </c>
      <c r="BM50" s="23" t="str">
        <f t="shared" ca="1" si="218"/>
        <v/>
      </c>
      <c r="BN50" s="23" t="str">
        <f t="shared" ca="1" si="219"/>
        <v/>
      </c>
      <c r="BO50" s="23" t="str">
        <f t="shared" ca="1" si="220"/>
        <v/>
      </c>
      <c r="BP50" s="23" t="str">
        <f t="shared" ca="1" si="221"/>
        <v/>
      </c>
      <c r="BQ50" s="23" t="str">
        <f t="shared" ca="1" si="222"/>
        <v/>
      </c>
      <c r="BR50" s="23" t="str">
        <f t="shared" ca="1" si="223"/>
        <v/>
      </c>
      <c r="BS50" s="23" t="str">
        <f t="shared" ca="1" si="224"/>
        <v/>
      </c>
      <c r="BT50" s="23" t="str">
        <f t="shared" ca="1" si="225"/>
        <v/>
      </c>
      <c r="BU50" s="23" t="str">
        <f t="shared" ca="1" si="226"/>
        <v/>
      </c>
      <c r="BV50" s="23" t="str">
        <f t="shared" ca="1" si="227"/>
        <v/>
      </c>
      <c r="BW50" s="23" t="str">
        <f t="shared" ca="1" si="228"/>
        <v/>
      </c>
      <c r="BX50" s="23" t="str">
        <f t="shared" ca="1" si="229"/>
        <v/>
      </c>
      <c r="BY50" s="23" t="str">
        <f t="shared" ca="1" si="230"/>
        <v/>
      </c>
      <c r="BZ50" s="23" t="str">
        <f t="shared" ca="1" si="231"/>
        <v/>
      </c>
      <c r="CA50" s="23" t="str">
        <f t="shared" ca="1" si="232"/>
        <v/>
      </c>
      <c r="CB50" s="23" t="str">
        <f t="shared" ca="1" si="233"/>
        <v/>
      </c>
      <c r="CC50" s="23" t="str">
        <f t="shared" ca="1" si="234"/>
        <v/>
      </c>
      <c r="CD50" s="23" t="str">
        <f t="shared" ca="1" si="235"/>
        <v/>
      </c>
      <c r="CE50" s="23" t="str">
        <f t="shared" ca="1" si="236"/>
        <v/>
      </c>
      <c r="CF50" s="23" t="str">
        <f t="shared" ca="1" si="237"/>
        <v/>
      </c>
      <c r="CG50" s="23" t="str">
        <f t="shared" ca="1" si="238"/>
        <v/>
      </c>
      <c r="CH50" s="23" t="str">
        <f t="shared" ca="1" si="239"/>
        <v/>
      </c>
      <c r="CI50" s="23" t="str">
        <f t="shared" ca="1" si="240"/>
        <v/>
      </c>
      <c r="CJ50" s="23" t="str">
        <f t="shared" ca="1" si="241"/>
        <v/>
      </c>
      <c r="CK50" s="23" t="str">
        <f t="shared" ca="1" si="242"/>
        <v/>
      </c>
      <c r="CL50" s="23" t="str">
        <f t="shared" ca="1" si="243"/>
        <v/>
      </c>
      <c r="CM50" s="23" t="str">
        <f t="shared" ca="1" si="244"/>
        <v/>
      </c>
      <c r="CN50" s="23" t="str">
        <f t="shared" ca="1" si="245"/>
        <v/>
      </c>
      <c r="CO50" s="23" t="str">
        <f t="shared" ca="1" si="246"/>
        <v/>
      </c>
      <c r="CP50" s="23" t="str">
        <f t="shared" ca="1" si="247"/>
        <v/>
      </c>
      <c r="CQ50" s="23" t="str">
        <f t="shared" ca="1" si="248"/>
        <v/>
      </c>
      <c r="CR50" s="23" t="str">
        <f t="shared" ca="1" si="249"/>
        <v/>
      </c>
      <c r="CS50" s="23" t="str">
        <f t="shared" ca="1" si="250"/>
        <v/>
      </c>
      <c r="CT50" s="23" t="str">
        <f t="shared" ca="1" si="251"/>
        <v/>
      </c>
      <c r="CU50" s="23" t="str">
        <f t="shared" ca="1" si="252"/>
        <v/>
      </c>
      <c r="CV50" s="23" t="str">
        <f t="shared" ca="1" si="253"/>
        <v/>
      </c>
      <c r="CW50" s="23" t="str">
        <f t="shared" ca="1" si="254"/>
        <v/>
      </c>
      <c r="CX50" s="23" t="str">
        <f ca="1">IF(CX$11="","",IF(CX$13=$M$5,CHOOSE($Q$6+1,$M$1,CY50+CZ50-#REF!),IF(CX$13=$M$6,CHOOSE($Q$6+1,$M$1,OFFSET($A50,,$P$7-1)),IF(CX$13=$M$7,CHOOSE($Q$6+1,$M$1,SUM(OFFSET($A$11,$B50-$O$5,$O$6,1,-$P$6))),IF(CX$13=$M$8,CHOOSE($Q$6+1,$M$1,SUM(OFFSET($A$11,$B50-$O$5,$O$7,1,-$P$6))),IF(CX$11&lt;$D$7,OFFSET(INDIRECT($D$3),$A50-1,$Q$3+CX$11),OFFSET(INDIRECT($D$4),$A50-1,$Q$4+CX$11)))))))</f>
        <v/>
      </c>
      <c r="CY50" s="23" t="str">
        <f ca="1">IF(CY$11="","",IF(CY$13=$M$5,CHOOSE($Q$6+1,$M$1,CZ50+#REF!-#REF!),IF(CY$13=$M$6,CHOOSE($Q$6+1,$M$1,OFFSET($A50,,$P$7-1)),IF(CY$13=$M$7,CHOOSE($Q$6+1,$M$1,SUM(OFFSET($A$11,$B50-$O$5,$O$6,1,-$P$6))),IF(CY$13=$M$8,CHOOSE($Q$6+1,$M$1,SUM(OFFSET($A$11,$B50-$O$5,$O$7,1,-$P$6))),IF(CY$11&lt;$D$7,OFFSET(INDIRECT($D$3),$A50-1,$Q$3+CY$11),OFFSET(INDIRECT($D$4),$A50-1,$Q$4+CY$11)))))))</f>
        <v/>
      </c>
      <c r="CZ50" s="23" t="str">
        <f ca="1">IF(CZ$11="","",IF(CZ$13=$M$5,CHOOSE($Q$6+1,$M$1,#REF!+#REF!-#REF!),IF(CZ$13=$M$6,CHOOSE($Q$6+1,$M$1,OFFSET($A50,,$P$7-1)),IF(CZ$13=$M$7,CHOOSE($Q$6+1,$M$1,SUM(OFFSET($A$11,$B50-$O$5,$O$6,1,-$P$6))),IF(CZ$13=$M$8,CHOOSE($Q$6+1,$M$1,SUM(OFFSET($A$11,$B50-$O$5,$O$7,1,-$P$6))),IF(CZ$11&lt;$D$7,OFFSET(INDIRECT($D$3),$A50-1,$Q$3+CZ$11),OFFSET(INDIRECT($D$4),$A50-1,$Q$4+CZ$11)))))))</f>
        <v/>
      </c>
    </row>
    <row r="51" spans="1:104" ht="13.5" customHeight="1">
      <c r="A51" s="27">
        <v>48</v>
      </c>
      <c r="B51" s="33">
        <f t="shared" si="14"/>
        <v>51</v>
      </c>
      <c r="C51" s="8" t="s">
        <v>326</v>
      </c>
      <c r="D51" s="23">
        <f t="shared" ca="1" si="157"/>
        <v>0</v>
      </c>
      <c r="E51" s="23">
        <f t="shared" ca="1" si="158"/>
        <v>0</v>
      </c>
      <c r="F51" s="23">
        <f t="shared" ca="1" si="159"/>
        <v>0</v>
      </c>
      <c r="G51" s="23">
        <f t="shared" ca="1" si="160"/>
        <v>0</v>
      </c>
      <c r="H51" s="23">
        <f t="shared" ca="1" si="161"/>
        <v>0</v>
      </c>
      <c r="I51" s="23">
        <f t="shared" ca="1" si="162"/>
        <v>0</v>
      </c>
      <c r="J51" s="23">
        <f t="shared" ca="1" si="163"/>
        <v>0</v>
      </c>
      <c r="K51" s="23">
        <f t="shared" ca="1" si="164"/>
        <v>0</v>
      </c>
      <c r="L51" s="23">
        <f t="shared" ca="1" si="165"/>
        <v>0</v>
      </c>
      <c r="M51" s="23">
        <f t="shared" ca="1" si="166"/>
        <v>0</v>
      </c>
      <c r="N51" s="23">
        <f t="shared" ca="1" si="167"/>
        <v>0</v>
      </c>
      <c r="O51" s="23">
        <f t="shared" ca="1" si="168"/>
        <v>0</v>
      </c>
      <c r="P51" s="23">
        <f t="shared" ca="1" si="169"/>
        <v>0</v>
      </c>
      <c r="Q51" s="23">
        <f t="shared" ca="1" si="170"/>
        <v>0</v>
      </c>
      <c r="R51" s="23" t="str">
        <f t="shared" ca="1" si="171"/>
        <v/>
      </c>
      <c r="S51" s="23" t="str">
        <f t="shared" ca="1" si="172"/>
        <v/>
      </c>
      <c r="T51" s="23" t="str">
        <f t="shared" ca="1" si="173"/>
        <v/>
      </c>
      <c r="U51" s="23" t="str">
        <f t="shared" ca="1" si="174"/>
        <v/>
      </c>
      <c r="V51" s="23" t="str">
        <f t="shared" ca="1" si="175"/>
        <v/>
      </c>
      <c r="W51" s="23" t="str">
        <f t="shared" ca="1" si="176"/>
        <v/>
      </c>
      <c r="X51" s="23" t="str">
        <f t="shared" ca="1" si="177"/>
        <v/>
      </c>
      <c r="Y51" s="23" t="str">
        <f t="shared" ca="1" si="178"/>
        <v/>
      </c>
      <c r="Z51" s="23" t="str">
        <f t="shared" ca="1" si="179"/>
        <v/>
      </c>
      <c r="AA51" s="23" t="str">
        <f t="shared" ca="1" si="180"/>
        <v/>
      </c>
      <c r="AB51" s="23" t="str">
        <f t="shared" ca="1" si="181"/>
        <v/>
      </c>
      <c r="AC51" s="23" t="str">
        <f t="shared" ca="1" si="182"/>
        <v/>
      </c>
      <c r="AD51" s="23" t="str">
        <f t="shared" ca="1" si="183"/>
        <v/>
      </c>
      <c r="AE51" s="23" t="str">
        <f t="shared" ca="1" si="184"/>
        <v/>
      </c>
      <c r="AF51" s="23" t="str">
        <f t="shared" ca="1" si="185"/>
        <v/>
      </c>
      <c r="AG51" s="23" t="str">
        <f t="shared" ca="1" si="186"/>
        <v/>
      </c>
      <c r="AH51" s="23" t="str">
        <f t="shared" ca="1" si="187"/>
        <v/>
      </c>
      <c r="AI51" s="23" t="str">
        <f t="shared" ca="1" si="188"/>
        <v/>
      </c>
      <c r="AJ51" s="23" t="str">
        <f t="shared" ca="1" si="189"/>
        <v/>
      </c>
      <c r="AK51" s="23" t="str">
        <f t="shared" ca="1" si="190"/>
        <v/>
      </c>
      <c r="AL51" s="23" t="str">
        <f t="shared" ca="1" si="191"/>
        <v/>
      </c>
      <c r="AM51" s="23" t="str">
        <f t="shared" ca="1" si="192"/>
        <v/>
      </c>
      <c r="AN51" s="23" t="str">
        <f t="shared" ca="1" si="193"/>
        <v/>
      </c>
      <c r="AO51" s="23" t="str">
        <f t="shared" ca="1" si="194"/>
        <v/>
      </c>
      <c r="AP51" s="23" t="str">
        <f t="shared" ca="1" si="195"/>
        <v/>
      </c>
      <c r="AQ51" s="23" t="str">
        <f t="shared" ca="1" si="196"/>
        <v/>
      </c>
      <c r="AR51" s="23" t="str">
        <f t="shared" ca="1" si="197"/>
        <v/>
      </c>
      <c r="AS51" s="23" t="str">
        <f t="shared" ca="1" si="198"/>
        <v/>
      </c>
      <c r="AT51" s="23" t="str">
        <f t="shared" ca="1" si="199"/>
        <v/>
      </c>
      <c r="AU51" s="23" t="str">
        <f t="shared" ca="1" si="200"/>
        <v/>
      </c>
      <c r="AV51" s="23" t="str">
        <f t="shared" ca="1" si="201"/>
        <v/>
      </c>
      <c r="AW51" s="23" t="str">
        <f t="shared" ca="1" si="202"/>
        <v/>
      </c>
      <c r="AX51" s="23" t="str">
        <f t="shared" ca="1" si="203"/>
        <v/>
      </c>
      <c r="AY51" s="23" t="str">
        <f t="shared" ca="1" si="204"/>
        <v/>
      </c>
      <c r="AZ51" s="23" t="str">
        <f t="shared" ca="1" si="205"/>
        <v/>
      </c>
      <c r="BA51" s="23" t="str">
        <f t="shared" ca="1" si="206"/>
        <v/>
      </c>
      <c r="BB51" s="23" t="str">
        <f t="shared" ca="1" si="207"/>
        <v/>
      </c>
      <c r="BC51" s="23" t="str">
        <f t="shared" ca="1" si="208"/>
        <v/>
      </c>
      <c r="BD51" s="23" t="str">
        <f t="shared" ca="1" si="209"/>
        <v/>
      </c>
      <c r="BE51" s="23" t="str">
        <f t="shared" ca="1" si="210"/>
        <v/>
      </c>
      <c r="BF51" s="23" t="str">
        <f t="shared" ca="1" si="211"/>
        <v/>
      </c>
      <c r="BG51" s="23" t="str">
        <f t="shared" ca="1" si="212"/>
        <v/>
      </c>
      <c r="BH51" s="23" t="str">
        <f t="shared" ca="1" si="213"/>
        <v/>
      </c>
      <c r="BI51" s="23" t="str">
        <f t="shared" ca="1" si="214"/>
        <v/>
      </c>
      <c r="BJ51" s="23" t="str">
        <f t="shared" ca="1" si="215"/>
        <v/>
      </c>
      <c r="BK51" s="23" t="str">
        <f t="shared" ca="1" si="216"/>
        <v/>
      </c>
      <c r="BL51" s="23" t="str">
        <f t="shared" ca="1" si="217"/>
        <v/>
      </c>
      <c r="BM51" s="23" t="str">
        <f t="shared" ca="1" si="218"/>
        <v/>
      </c>
      <c r="BN51" s="23" t="str">
        <f t="shared" ca="1" si="219"/>
        <v/>
      </c>
      <c r="BO51" s="23" t="str">
        <f t="shared" ca="1" si="220"/>
        <v/>
      </c>
      <c r="BP51" s="23" t="str">
        <f t="shared" ca="1" si="221"/>
        <v/>
      </c>
      <c r="BQ51" s="23" t="str">
        <f t="shared" ca="1" si="222"/>
        <v/>
      </c>
      <c r="BR51" s="23" t="str">
        <f t="shared" ca="1" si="223"/>
        <v/>
      </c>
      <c r="BS51" s="23" t="str">
        <f t="shared" ca="1" si="224"/>
        <v/>
      </c>
      <c r="BT51" s="23" t="str">
        <f t="shared" ca="1" si="225"/>
        <v/>
      </c>
      <c r="BU51" s="23" t="str">
        <f t="shared" ca="1" si="226"/>
        <v/>
      </c>
      <c r="BV51" s="23" t="str">
        <f t="shared" ca="1" si="227"/>
        <v/>
      </c>
      <c r="BW51" s="23" t="str">
        <f t="shared" ca="1" si="228"/>
        <v/>
      </c>
      <c r="BX51" s="23" t="str">
        <f t="shared" ca="1" si="229"/>
        <v/>
      </c>
      <c r="BY51" s="23" t="str">
        <f t="shared" ca="1" si="230"/>
        <v/>
      </c>
      <c r="BZ51" s="23" t="str">
        <f t="shared" ca="1" si="231"/>
        <v/>
      </c>
      <c r="CA51" s="23" t="str">
        <f t="shared" ca="1" si="232"/>
        <v/>
      </c>
      <c r="CB51" s="23" t="str">
        <f t="shared" ca="1" si="233"/>
        <v/>
      </c>
      <c r="CC51" s="23" t="str">
        <f t="shared" ca="1" si="234"/>
        <v/>
      </c>
      <c r="CD51" s="23" t="str">
        <f t="shared" ca="1" si="235"/>
        <v/>
      </c>
      <c r="CE51" s="23" t="str">
        <f t="shared" ca="1" si="236"/>
        <v/>
      </c>
      <c r="CF51" s="23" t="str">
        <f t="shared" ca="1" si="237"/>
        <v/>
      </c>
      <c r="CG51" s="23" t="str">
        <f t="shared" ca="1" si="238"/>
        <v/>
      </c>
      <c r="CH51" s="23" t="str">
        <f t="shared" ca="1" si="239"/>
        <v/>
      </c>
      <c r="CI51" s="23" t="str">
        <f t="shared" ca="1" si="240"/>
        <v/>
      </c>
      <c r="CJ51" s="23" t="str">
        <f t="shared" ca="1" si="241"/>
        <v/>
      </c>
      <c r="CK51" s="23" t="str">
        <f t="shared" ca="1" si="242"/>
        <v/>
      </c>
      <c r="CL51" s="23" t="str">
        <f t="shared" ca="1" si="243"/>
        <v/>
      </c>
      <c r="CM51" s="23" t="str">
        <f t="shared" ca="1" si="244"/>
        <v/>
      </c>
      <c r="CN51" s="23" t="str">
        <f t="shared" ca="1" si="245"/>
        <v/>
      </c>
      <c r="CO51" s="23" t="str">
        <f t="shared" ca="1" si="246"/>
        <v/>
      </c>
      <c r="CP51" s="23" t="str">
        <f t="shared" ca="1" si="247"/>
        <v/>
      </c>
      <c r="CQ51" s="23" t="str">
        <f t="shared" ca="1" si="248"/>
        <v/>
      </c>
      <c r="CR51" s="23" t="str">
        <f t="shared" ca="1" si="249"/>
        <v/>
      </c>
      <c r="CS51" s="23" t="str">
        <f t="shared" ca="1" si="250"/>
        <v/>
      </c>
      <c r="CT51" s="23" t="str">
        <f t="shared" ca="1" si="251"/>
        <v/>
      </c>
      <c r="CU51" s="23" t="str">
        <f t="shared" ca="1" si="252"/>
        <v/>
      </c>
      <c r="CV51" s="23" t="str">
        <f t="shared" ca="1" si="253"/>
        <v/>
      </c>
      <c r="CW51" s="23" t="str">
        <f t="shared" ca="1" si="254"/>
        <v/>
      </c>
      <c r="CX51" s="23" t="str">
        <f ca="1">IF(CX$11="","",IF(CX$13=$M$5,CHOOSE($Q$6+1,$M$1,CY51+CZ51-#REF!),IF(CX$13=$M$6,CHOOSE($Q$6+1,$M$1,OFFSET($A51,,$P$7-1)),IF(CX$13=$M$7,CHOOSE($Q$6+1,$M$1,SUM(OFFSET($A$11,$B51-$O$5,$O$6,1,-$P$6))),IF(CX$13=$M$8,CHOOSE($Q$6+1,$M$1,SUM(OFFSET($A$11,$B51-$O$5,$O$7,1,-$P$6))),IF(CX$11&lt;$D$7,OFFSET(INDIRECT($D$3),$A51-1,$Q$3+CX$11),OFFSET(INDIRECT($D$4),$A51-1,$Q$4+CX$11)))))))</f>
        <v/>
      </c>
      <c r="CY51" s="23" t="str">
        <f ca="1">IF(CY$11="","",IF(CY$13=$M$5,CHOOSE($Q$6+1,$M$1,CZ51+#REF!-#REF!),IF(CY$13=$M$6,CHOOSE($Q$6+1,$M$1,OFFSET($A51,,$P$7-1)),IF(CY$13=$M$7,CHOOSE($Q$6+1,$M$1,SUM(OFFSET($A$11,$B51-$O$5,$O$6,1,-$P$6))),IF(CY$13=$M$8,CHOOSE($Q$6+1,$M$1,SUM(OFFSET($A$11,$B51-$O$5,$O$7,1,-$P$6))),IF(CY$11&lt;$D$7,OFFSET(INDIRECT($D$3),$A51-1,$Q$3+CY$11),OFFSET(INDIRECT($D$4),$A51-1,$Q$4+CY$11)))))))</f>
        <v/>
      </c>
      <c r="CZ51" s="23" t="str">
        <f ca="1">IF(CZ$11="","",IF(CZ$13=$M$5,CHOOSE($Q$6+1,$M$1,#REF!+#REF!-#REF!),IF(CZ$13=$M$6,CHOOSE($Q$6+1,$M$1,OFFSET($A51,,$P$7-1)),IF(CZ$13=$M$7,CHOOSE($Q$6+1,$M$1,SUM(OFFSET($A$11,$B51-$O$5,$O$6,1,-$P$6))),IF(CZ$13=$M$8,CHOOSE($Q$6+1,$M$1,SUM(OFFSET($A$11,$B51-$O$5,$O$7,1,-$P$6))),IF(CZ$11&lt;$D$7,OFFSET(INDIRECT($D$3),$A51-1,$Q$3+CZ$11),OFFSET(INDIRECT($D$4),$A51-1,$Q$4+CZ$11)))))))</f>
        <v/>
      </c>
    </row>
    <row r="52" spans="1:104" ht="13.5" customHeight="1">
      <c r="A52" s="27">
        <v>49</v>
      </c>
      <c r="B52" s="33">
        <f t="shared" si="14"/>
        <v>52</v>
      </c>
      <c r="C52" s="8" t="s">
        <v>327</v>
      </c>
      <c r="D52" s="23">
        <f t="shared" ca="1" si="157"/>
        <v>0</v>
      </c>
      <c r="E52" s="23">
        <f t="shared" ca="1" si="158"/>
        <v>0</v>
      </c>
      <c r="F52" s="23">
        <f t="shared" ca="1" si="159"/>
        <v>0</v>
      </c>
      <c r="G52" s="23">
        <f t="shared" ca="1" si="160"/>
        <v>0</v>
      </c>
      <c r="H52" s="23">
        <f t="shared" ca="1" si="161"/>
        <v>0</v>
      </c>
      <c r="I52" s="23">
        <f t="shared" ca="1" si="162"/>
        <v>0</v>
      </c>
      <c r="J52" s="23">
        <f t="shared" ca="1" si="163"/>
        <v>0</v>
      </c>
      <c r="K52" s="23">
        <f t="shared" ca="1" si="164"/>
        <v>0</v>
      </c>
      <c r="L52" s="23">
        <f t="shared" ca="1" si="165"/>
        <v>0</v>
      </c>
      <c r="M52" s="23">
        <f t="shared" ca="1" si="166"/>
        <v>0</v>
      </c>
      <c r="N52" s="23">
        <f t="shared" ca="1" si="167"/>
        <v>0</v>
      </c>
      <c r="O52" s="23">
        <f t="shared" ca="1" si="168"/>
        <v>0</v>
      </c>
      <c r="P52" s="23">
        <f t="shared" ca="1" si="169"/>
        <v>0</v>
      </c>
      <c r="Q52" s="23">
        <f t="shared" ca="1" si="170"/>
        <v>0</v>
      </c>
      <c r="R52" s="23" t="str">
        <f t="shared" ca="1" si="171"/>
        <v/>
      </c>
      <c r="S52" s="23" t="str">
        <f t="shared" ca="1" si="172"/>
        <v/>
      </c>
      <c r="T52" s="23" t="str">
        <f t="shared" ca="1" si="173"/>
        <v/>
      </c>
      <c r="U52" s="23" t="str">
        <f t="shared" ca="1" si="174"/>
        <v/>
      </c>
      <c r="V52" s="23" t="str">
        <f t="shared" ca="1" si="175"/>
        <v/>
      </c>
      <c r="W52" s="23" t="str">
        <f t="shared" ca="1" si="176"/>
        <v/>
      </c>
      <c r="X52" s="23" t="str">
        <f t="shared" ca="1" si="177"/>
        <v/>
      </c>
      <c r="Y52" s="23" t="str">
        <f t="shared" ca="1" si="178"/>
        <v/>
      </c>
      <c r="Z52" s="23" t="str">
        <f t="shared" ca="1" si="179"/>
        <v/>
      </c>
      <c r="AA52" s="23" t="str">
        <f t="shared" ca="1" si="180"/>
        <v/>
      </c>
      <c r="AB52" s="23" t="str">
        <f t="shared" ca="1" si="181"/>
        <v/>
      </c>
      <c r="AC52" s="23" t="str">
        <f t="shared" ca="1" si="182"/>
        <v/>
      </c>
      <c r="AD52" s="23" t="str">
        <f t="shared" ca="1" si="183"/>
        <v/>
      </c>
      <c r="AE52" s="23" t="str">
        <f t="shared" ca="1" si="184"/>
        <v/>
      </c>
      <c r="AF52" s="23" t="str">
        <f t="shared" ca="1" si="185"/>
        <v/>
      </c>
      <c r="AG52" s="23" t="str">
        <f t="shared" ca="1" si="186"/>
        <v/>
      </c>
      <c r="AH52" s="23" t="str">
        <f t="shared" ca="1" si="187"/>
        <v/>
      </c>
      <c r="AI52" s="23" t="str">
        <f t="shared" ca="1" si="188"/>
        <v/>
      </c>
      <c r="AJ52" s="23" t="str">
        <f t="shared" ca="1" si="189"/>
        <v/>
      </c>
      <c r="AK52" s="23" t="str">
        <f t="shared" ca="1" si="190"/>
        <v/>
      </c>
      <c r="AL52" s="23" t="str">
        <f t="shared" ca="1" si="191"/>
        <v/>
      </c>
      <c r="AM52" s="23" t="str">
        <f t="shared" ca="1" si="192"/>
        <v/>
      </c>
      <c r="AN52" s="23" t="str">
        <f t="shared" ca="1" si="193"/>
        <v/>
      </c>
      <c r="AO52" s="23" t="str">
        <f t="shared" ca="1" si="194"/>
        <v/>
      </c>
      <c r="AP52" s="23" t="str">
        <f t="shared" ca="1" si="195"/>
        <v/>
      </c>
      <c r="AQ52" s="23" t="str">
        <f t="shared" ca="1" si="196"/>
        <v/>
      </c>
      <c r="AR52" s="23" t="str">
        <f t="shared" ca="1" si="197"/>
        <v/>
      </c>
      <c r="AS52" s="23" t="str">
        <f t="shared" ca="1" si="198"/>
        <v/>
      </c>
      <c r="AT52" s="23" t="str">
        <f t="shared" ca="1" si="199"/>
        <v/>
      </c>
      <c r="AU52" s="23" t="str">
        <f t="shared" ca="1" si="200"/>
        <v/>
      </c>
      <c r="AV52" s="23" t="str">
        <f t="shared" ca="1" si="201"/>
        <v/>
      </c>
      <c r="AW52" s="23" t="str">
        <f t="shared" ca="1" si="202"/>
        <v/>
      </c>
      <c r="AX52" s="23" t="str">
        <f t="shared" ca="1" si="203"/>
        <v/>
      </c>
      <c r="AY52" s="23" t="str">
        <f t="shared" ca="1" si="204"/>
        <v/>
      </c>
      <c r="AZ52" s="23" t="str">
        <f t="shared" ca="1" si="205"/>
        <v/>
      </c>
      <c r="BA52" s="23" t="str">
        <f t="shared" ca="1" si="206"/>
        <v/>
      </c>
      <c r="BB52" s="23" t="str">
        <f t="shared" ca="1" si="207"/>
        <v/>
      </c>
      <c r="BC52" s="23" t="str">
        <f t="shared" ca="1" si="208"/>
        <v/>
      </c>
      <c r="BD52" s="23" t="str">
        <f t="shared" ca="1" si="209"/>
        <v/>
      </c>
      <c r="BE52" s="23" t="str">
        <f t="shared" ca="1" si="210"/>
        <v/>
      </c>
      <c r="BF52" s="23" t="str">
        <f t="shared" ca="1" si="211"/>
        <v/>
      </c>
      <c r="BG52" s="23" t="str">
        <f t="shared" ca="1" si="212"/>
        <v/>
      </c>
      <c r="BH52" s="23" t="str">
        <f t="shared" ca="1" si="213"/>
        <v/>
      </c>
      <c r="BI52" s="23" t="str">
        <f t="shared" ca="1" si="214"/>
        <v/>
      </c>
      <c r="BJ52" s="23" t="str">
        <f t="shared" ca="1" si="215"/>
        <v/>
      </c>
      <c r="BK52" s="23" t="str">
        <f t="shared" ca="1" si="216"/>
        <v/>
      </c>
      <c r="BL52" s="23" t="str">
        <f t="shared" ca="1" si="217"/>
        <v/>
      </c>
      <c r="BM52" s="23" t="str">
        <f t="shared" ca="1" si="218"/>
        <v/>
      </c>
      <c r="BN52" s="23" t="str">
        <f t="shared" ca="1" si="219"/>
        <v/>
      </c>
      <c r="BO52" s="23" t="str">
        <f t="shared" ca="1" si="220"/>
        <v/>
      </c>
      <c r="BP52" s="23" t="str">
        <f t="shared" ca="1" si="221"/>
        <v/>
      </c>
      <c r="BQ52" s="23" t="str">
        <f t="shared" ca="1" si="222"/>
        <v/>
      </c>
      <c r="BR52" s="23" t="str">
        <f t="shared" ca="1" si="223"/>
        <v/>
      </c>
      <c r="BS52" s="23" t="str">
        <f t="shared" ca="1" si="224"/>
        <v/>
      </c>
      <c r="BT52" s="23" t="str">
        <f t="shared" ca="1" si="225"/>
        <v/>
      </c>
      <c r="BU52" s="23" t="str">
        <f t="shared" ca="1" si="226"/>
        <v/>
      </c>
      <c r="BV52" s="23" t="str">
        <f t="shared" ca="1" si="227"/>
        <v/>
      </c>
      <c r="BW52" s="23" t="str">
        <f t="shared" ca="1" si="228"/>
        <v/>
      </c>
      <c r="BX52" s="23" t="str">
        <f t="shared" ca="1" si="229"/>
        <v/>
      </c>
      <c r="BY52" s="23" t="str">
        <f t="shared" ca="1" si="230"/>
        <v/>
      </c>
      <c r="BZ52" s="23" t="str">
        <f t="shared" ca="1" si="231"/>
        <v/>
      </c>
      <c r="CA52" s="23" t="str">
        <f t="shared" ca="1" si="232"/>
        <v/>
      </c>
      <c r="CB52" s="23" t="str">
        <f t="shared" ca="1" si="233"/>
        <v/>
      </c>
      <c r="CC52" s="23" t="str">
        <f t="shared" ca="1" si="234"/>
        <v/>
      </c>
      <c r="CD52" s="23" t="str">
        <f t="shared" ca="1" si="235"/>
        <v/>
      </c>
      <c r="CE52" s="23" t="str">
        <f t="shared" ca="1" si="236"/>
        <v/>
      </c>
      <c r="CF52" s="23" t="str">
        <f t="shared" ca="1" si="237"/>
        <v/>
      </c>
      <c r="CG52" s="23" t="str">
        <f t="shared" ca="1" si="238"/>
        <v/>
      </c>
      <c r="CH52" s="23" t="str">
        <f t="shared" ca="1" si="239"/>
        <v/>
      </c>
      <c r="CI52" s="23" t="str">
        <f t="shared" ca="1" si="240"/>
        <v/>
      </c>
      <c r="CJ52" s="23" t="str">
        <f t="shared" ca="1" si="241"/>
        <v/>
      </c>
      <c r="CK52" s="23" t="str">
        <f t="shared" ca="1" si="242"/>
        <v/>
      </c>
      <c r="CL52" s="23" t="str">
        <f t="shared" ca="1" si="243"/>
        <v/>
      </c>
      <c r="CM52" s="23" t="str">
        <f t="shared" ca="1" si="244"/>
        <v/>
      </c>
      <c r="CN52" s="23" t="str">
        <f t="shared" ca="1" si="245"/>
        <v/>
      </c>
      <c r="CO52" s="23" t="str">
        <f t="shared" ca="1" si="246"/>
        <v/>
      </c>
      <c r="CP52" s="23" t="str">
        <f t="shared" ca="1" si="247"/>
        <v/>
      </c>
      <c r="CQ52" s="23" t="str">
        <f t="shared" ca="1" si="248"/>
        <v/>
      </c>
      <c r="CR52" s="23" t="str">
        <f t="shared" ca="1" si="249"/>
        <v/>
      </c>
      <c r="CS52" s="23" t="str">
        <f t="shared" ca="1" si="250"/>
        <v/>
      </c>
      <c r="CT52" s="23" t="str">
        <f t="shared" ca="1" si="251"/>
        <v/>
      </c>
      <c r="CU52" s="23" t="str">
        <f t="shared" ca="1" si="252"/>
        <v/>
      </c>
      <c r="CV52" s="23" t="str">
        <f t="shared" ca="1" si="253"/>
        <v/>
      </c>
      <c r="CW52" s="23" t="str">
        <f t="shared" ca="1" si="254"/>
        <v/>
      </c>
      <c r="CX52" s="23" t="str">
        <f ca="1">IF(CX$11="","",IF(CX$13=$M$5,CHOOSE($Q$6+1,$M$1,CY52+CZ52-#REF!),IF(CX$13=$M$6,CHOOSE($Q$6+1,$M$1,OFFSET($A52,,$P$7-1)),IF(CX$13=$M$7,CHOOSE($Q$6+1,$M$1,SUM(OFFSET($A$11,$B52-$O$5,$O$6,1,-$P$6))),IF(CX$13=$M$8,CHOOSE($Q$6+1,$M$1,SUM(OFFSET($A$11,$B52-$O$5,$O$7,1,-$P$6))),IF(CX$11&lt;$D$7,OFFSET(INDIRECT($D$3),$A52-1,$Q$3+CX$11),OFFSET(INDIRECT($D$4),$A52-1,$Q$4+CX$11)))))))</f>
        <v/>
      </c>
      <c r="CY52" s="23" t="str">
        <f ca="1">IF(CY$11="","",IF(CY$13=$M$5,CHOOSE($Q$6+1,$M$1,CZ52+#REF!-#REF!),IF(CY$13=$M$6,CHOOSE($Q$6+1,$M$1,OFFSET($A52,,$P$7-1)),IF(CY$13=$M$7,CHOOSE($Q$6+1,$M$1,SUM(OFFSET($A$11,$B52-$O$5,$O$6,1,-$P$6))),IF(CY$13=$M$8,CHOOSE($Q$6+1,$M$1,SUM(OFFSET($A$11,$B52-$O$5,$O$7,1,-$P$6))),IF(CY$11&lt;$D$7,OFFSET(INDIRECT($D$3),$A52-1,$Q$3+CY$11),OFFSET(INDIRECT($D$4),$A52-1,$Q$4+CY$11)))))))</f>
        <v/>
      </c>
      <c r="CZ52" s="23" t="str">
        <f ca="1">IF(CZ$11="","",IF(CZ$13=$M$5,CHOOSE($Q$6+1,$M$1,#REF!+#REF!-#REF!),IF(CZ$13=$M$6,CHOOSE($Q$6+1,$M$1,OFFSET($A52,,$P$7-1)),IF(CZ$13=$M$7,CHOOSE($Q$6+1,$M$1,SUM(OFFSET($A$11,$B52-$O$5,$O$6,1,-$P$6))),IF(CZ$13=$M$8,CHOOSE($Q$6+1,$M$1,SUM(OFFSET($A$11,$B52-$O$5,$O$7,1,-$P$6))),IF(CZ$11&lt;$D$7,OFFSET(INDIRECT($D$3),$A52-1,$Q$3+CZ$11),OFFSET(INDIRECT($D$4),$A52-1,$Q$4+CZ$11)))))))</f>
        <v/>
      </c>
    </row>
    <row r="53" spans="1:104" ht="13.5" customHeight="1">
      <c r="A53" s="27">
        <v>50</v>
      </c>
      <c r="B53" s="33">
        <f t="shared" si="14"/>
        <v>53</v>
      </c>
      <c r="C53" s="8" t="s">
        <v>328</v>
      </c>
      <c r="D53" s="23">
        <f t="shared" ca="1" si="157"/>
        <v>0</v>
      </c>
      <c r="E53" s="23">
        <f t="shared" ca="1" si="158"/>
        <v>0</v>
      </c>
      <c r="F53" s="23">
        <f t="shared" ca="1" si="159"/>
        <v>0</v>
      </c>
      <c r="G53" s="23">
        <f t="shared" ca="1" si="160"/>
        <v>0</v>
      </c>
      <c r="H53" s="23">
        <f t="shared" ca="1" si="161"/>
        <v>0</v>
      </c>
      <c r="I53" s="23">
        <f t="shared" ca="1" si="162"/>
        <v>0</v>
      </c>
      <c r="J53" s="23">
        <f t="shared" ca="1" si="163"/>
        <v>0</v>
      </c>
      <c r="K53" s="23">
        <f t="shared" ca="1" si="164"/>
        <v>0</v>
      </c>
      <c r="L53" s="23">
        <f t="shared" ca="1" si="165"/>
        <v>0</v>
      </c>
      <c r="M53" s="23">
        <f t="shared" ca="1" si="166"/>
        <v>0</v>
      </c>
      <c r="N53" s="23">
        <f t="shared" ca="1" si="167"/>
        <v>0</v>
      </c>
      <c r="O53" s="23">
        <f t="shared" ca="1" si="168"/>
        <v>0</v>
      </c>
      <c r="P53" s="23">
        <f t="shared" ca="1" si="169"/>
        <v>0</v>
      </c>
      <c r="Q53" s="23">
        <f t="shared" ca="1" si="170"/>
        <v>0</v>
      </c>
      <c r="R53" s="23" t="str">
        <f t="shared" ca="1" si="171"/>
        <v/>
      </c>
      <c r="S53" s="23" t="str">
        <f t="shared" ca="1" si="172"/>
        <v/>
      </c>
      <c r="T53" s="23" t="str">
        <f t="shared" ca="1" si="173"/>
        <v/>
      </c>
      <c r="U53" s="23" t="str">
        <f t="shared" ca="1" si="174"/>
        <v/>
      </c>
      <c r="V53" s="23" t="str">
        <f t="shared" ca="1" si="175"/>
        <v/>
      </c>
      <c r="W53" s="23" t="str">
        <f t="shared" ca="1" si="176"/>
        <v/>
      </c>
      <c r="X53" s="23" t="str">
        <f t="shared" ca="1" si="177"/>
        <v/>
      </c>
      <c r="Y53" s="23" t="str">
        <f t="shared" ca="1" si="178"/>
        <v/>
      </c>
      <c r="Z53" s="23" t="str">
        <f t="shared" ca="1" si="179"/>
        <v/>
      </c>
      <c r="AA53" s="23" t="str">
        <f t="shared" ca="1" si="180"/>
        <v/>
      </c>
      <c r="AB53" s="23" t="str">
        <f t="shared" ca="1" si="181"/>
        <v/>
      </c>
      <c r="AC53" s="23" t="str">
        <f t="shared" ca="1" si="182"/>
        <v/>
      </c>
      <c r="AD53" s="23" t="str">
        <f t="shared" ca="1" si="183"/>
        <v/>
      </c>
      <c r="AE53" s="23" t="str">
        <f t="shared" ca="1" si="184"/>
        <v/>
      </c>
      <c r="AF53" s="23" t="str">
        <f t="shared" ca="1" si="185"/>
        <v/>
      </c>
      <c r="AG53" s="23" t="str">
        <f t="shared" ca="1" si="186"/>
        <v/>
      </c>
      <c r="AH53" s="23" t="str">
        <f t="shared" ca="1" si="187"/>
        <v/>
      </c>
      <c r="AI53" s="23" t="str">
        <f t="shared" ca="1" si="188"/>
        <v/>
      </c>
      <c r="AJ53" s="23" t="str">
        <f t="shared" ca="1" si="189"/>
        <v/>
      </c>
      <c r="AK53" s="23" t="str">
        <f t="shared" ca="1" si="190"/>
        <v/>
      </c>
      <c r="AL53" s="23" t="str">
        <f t="shared" ca="1" si="191"/>
        <v/>
      </c>
      <c r="AM53" s="23" t="str">
        <f t="shared" ca="1" si="192"/>
        <v/>
      </c>
      <c r="AN53" s="23" t="str">
        <f t="shared" ca="1" si="193"/>
        <v/>
      </c>
      <c r="AO53" s="23" t="str">
        <f t="shared" ca="1" si="194"/>
        <v/>
      </c>
      <c r="AP53" s="23" t="str">
        <f t="shared" ca="1" si="195"/>
        <v/>
      </c>
      <c r="AQ53" s="23" t="str">
        <f t="shared" ca="1" si="196"/>
        <v/>
      </c>
      <c r="AR53" s="23" t="str">
        <f t="shared" ca="1" si="197"/>
        <v/>
      </c>
      <c r="AS53" s="23" t="str">
        <f t="shared" ca="1" si="198"/>
        <v/>
      </c>
      <c r="AT53" s="23" t="str">
        <f t="shared" ca="1" si="199"/>
        <v/>
      </c>
      <c r="AU53" s="23" t="str">
        <f t="shared" ca="1" si="200"/>
        <v/>
      </c>
      <c r="AV53" s="23" t="str">
        <f t="shared" ca="1" si="201"/>
        <v/>
      </c>
      <c r="AW53" s="23" t="str">
        <f t="shared" ca="1" si="202"/>
        <v/>
      </c>
      <c r="AX53" s="23" t="str">
        <f t="shared" ca="1" si="203"/>
        <v/>
      </c>
      <c r="AY53" s="23" t="str">
        <f t="shared" ca="1" si="204"/>
        <v/>
      </c>
      <c r="AZ53" s="23" t="str">
        <f t="shared" ca="1" si="205"/>
        <v/>
      </c>
      <c r="BA53" s="23" t="str">
        <f t="shared" ca="1" si="206"/>
        <v/>
      </c>
      <c r="BB53" s="23" t="str">
        <f t="shared" ca="1" si="207"/>
        <v/>
      </c>
      <c r="BC53" s="23" t="str">
        <f t="shared" ca="1" si="208"/>
        <v/>
      </c>
      <c r="BD53" s="23" t="str">
        <f t="shared" ca="1" si="209"/>
        <v/>
      </c>
      <c r="BE53" s="23" t="str">
        <f t="shared" ca="1" si="210"/>
        <v/>
      </c>
      <c r="BF53" s="23" t="str">
        <f t="shared" ca="1" si="211"/>
        <v/>
      </c>
      <c r="BG53" s="23" t="str">
        <f t="shared" ca="1" si="212"/>
        <v/>
      </c>
      <c r="BH53" s="23" t="str">
        <f t="shared" ca="1" si="213"/>
        <v/>
      </c>
      <c r="BI53" s="23" t="str">
        <f t="shared" ca="1" si="214"/>
        <v/>
      </c>
      <c r="BJ53" s="23" t="str">
        <f t="shared" ca="1" si="215"/>
        <v/>
      </c>
      <c r="BK53" s="23" t="str">
        <f t="shared" ca="1" si="216"/>
        <v/>
      </c>
      <c r="BL53" s="23" t="str">
        <f t="shared" ca="1" si="217"/>
        <v/>
      </c>
      <c r="BM53" s="23" t="str">
        <f t="shared" ca="1" si="218"/>
        <v/>
      </c>
      <c r="BN53" s="23" t="str">
        <f t="shared" ca="1" si="219"/>
        <v/>
      </c>
      <c r="BO53" s="23" t="str">
        <f t="shared" ca="1" si="220"/>
        <v/>
      </c>
      <c r="BP53" s="23" t="str">
        <f t="shared" ca="1" si="221"/>
        <v/>
      </c>
      <c r="BQ53" s="23" t="str">
        <f t="shared" ca="1" si="222"/>
        <v/>
      </c>
      <c r="BR53" s="23" t="str">
        <f t="shared" ca="1" si="223"/>
        <v/>
      </c>
      <c r="BS53" s="23" t="str">
        <f t="shared" ca="1" si="224"/>
        <v/>
      </c>
      <c r="BT53" s="23" t="str">
        <f t="shared" ca="1" si="225"/>
        <v/>
      </c>
      <c r="BU53" s="23" t="str">
        <f t="shared" ca="1" si="226"/>
        <v/>
      </c>
      <c r="BV53" s="23" t="str">
        <f t="shared" ca="1" si="227"/>
        <v/>
      </c>
      <c r="BW53" s="23" t="str">
        <f t="shared" ca="1" si="228"/>
        <v/>
      </c>
      <c r="BX53" s="23" t="str">
        <f t="shared" ca="1" si="229"/>
        <v/>
      </c>
      <c r="BY53" s="23" t="str">
        <f t="shared" ca="1" si="230"/>
        <v/>
      </c>
      <c r="BZ53" s="23" t="str">
        <f t="shared" ca="1" si="231"/>
        <v/>
      </c>
      <c r="CA53" s="23" t="str">
        <f t="shared" ca="1" si="232"/>
        <v/>
      </c>
      <c r="CB53" s="23" t="str">
        <f t="shared" ca="1" si="233"/>
        <v/>
      </c>
      <c r="CC53" s="23" t="str">
        <f t="shared" ca="1" si="234"/>
        <v/>
      </c>
      <c r="CD53" s="23" t="str">
        <f t="shared" ca="1" si="235"/>
        <v/>
      </c>
      <c r="CE53" s="23" t="str">
        <f t="shared" ca="1" si="236"/>
        <v/>
      </c>
      <c r="CF53" s="23" t="str">
        <f t="shared" ca="1" si="237"/>
        <v/>
      </c>
      <c r="CG53" s="23" t="str">
        <f t="shared" ca="1" si="238"/>
        <v/>
      </c>
      <c r="CH53" s="23" t="str">
        <f t="shared" ca="1" si="239"/>
        <v/>
      </c>
      <c r="CI53" s="23" t="str">
        <f t="shared" ca="1" si="240"/>
        <v/>
      </c>
      <c r="CJ53" s="23" t="str">
        <f t="shared" ca="1" si="241"/>
        <v/>
      </c>
      <c r="CK53" s="23" t="str">
        <f t="shared" ca="1" si="242"/>
        <v/>
      </c>
      <c r="CL53" s="23" t="str">
        <f t="shared" ca="1" si="243"/>
        <v/>
      </c>
      <c r="CM53" s="23" t="str">
        <f t="shared" ca="1" si="244"/>
        <v/>
      </c>
      <c r="CN53" s="23" t="str">
        <f t="shared" ca="1" si="245"/>
        <v/>
      </c>
      <c r="CO53" s="23" t="str">
        <f t="shared" ca="1" si="246"/>
        <v/>
      </c>
      <c r="CP53" s="23" t="str">
        <f t="shared" ca="1" si="247"/>
        <v/>
      </c>
      <c r="CQ53" s="23" t="str">
        <f t="shared" ca="1" si="248"/>
        <v/>
      </c>
      <c r="CR53" s="23" t="str">
        <f t="shared" ca="1" si="249"/>
        <v/>
      </c>
      <c r="CS53" s="23" t="str">
        <f t="shared" ca="1" si="250"/>
        <v/>
      </c>
      <c r="CT53" s="23" t="str">
        <f t="shared" ca="1" si="251"/>
        <v/>
      </c>
      <c r="CU53" s="23" t="str">
        <f t="shared" ca="1" si="252"/>
        <v/>
      </c>
      <c r="CV53" s="23" t="str">
        <f t="shared" ca="1" si="253"/>
        <v/>
      </c>
      <c r="CW53" s="23" t="str">
        <f t="shared" ca="1" si="254"/>
        <v/>
      </c>
      <c r="CX53" s="23" t="str">
        <f ca="1">IF(CX$11="","",IF(CX$13=$M$5,CHOOSE($Q$6+1,$M$1,CY53+CZ53-#REF!),IF(CX$13=$M$6,CHOOSE($Q$6+1,$M$1,OFFSET($A53,,$P$7-1)),IF(CX$13=$M$7,CHOOSE($Q$6+1,$M$1,SUM(OFFSET($A$11,$B53-$O$5,$O$6,1,-$P$6))),IF(CX$13=$M$8,CHOOSE($Q$6+1,$M$1,SUM(OFFSET($A$11,$B53-$O$5,$O$7,1,-$P$6))),IF(CX$11&lt;$D$7,OFFSET(INDIRECT($D$3),$A53-1,$Q$3+CX$11),OFFSET(INDIRECT($D$4),$A53-1,$Q$4+CX$11)))))))</f>
        <v/>
      </c>
      <c r="CY53" s="23" t="str">
        <f ca="1">IF(CY$11="","",IF(CY$13=$M$5,CHOOSE($Q$6+1,$M$1,CZ53+#REF!-#REF!),IF(CY$13=$M$6,CHOOSE($Q$6+1,$M$1,OFFSET($A53,,$P$7-1)),IF(CY$13=$M$7,CHOOSE($Q$6+1,$M$1,SUM(OFFSET($A$11,$B53-$O$5,$O$6,1,-$P$6))),IF(CY$13=$M$8,CHOOSE($Q$6+1,$M$1,SUM(OFFSET($A$11,$B53-$O$5,$O$7,1,-$P$6))),IF(CY$11&lt;$D$7,OFFSET(INDIRECT($D$3),$A53-1,$Q$3+CY$11),OFFSET(INDIRECT($D$4),$A53-1,$Q$4+CY$11)))))))</f>
        <v/>
      </c>
      <c r="CZ53" s="23" t="str">
        <f ca="1">IF(CZ$11="","",IF(CZ$13=$M$5,CHOOSE($Q$6+1,$M$1,#REF!+#REF!-#REF!),IF(CZ$13=$M$6,CHOOSE($Q$6+1,$M$1,OFFSET($A53,,$P$7-1)),IF(CZ$13=$M$7,CHOOSE($Q$6+1,$M$1,SUM(OFFSET($A$11,$B53-$O$5,$O$6,1,-$P$6))),IF(CZ$13=$M$8,CHOOSE($Q$6+1,$M$1,SUM(OFFSET($A$11,$B53-$O$5,$O$7,1,-$P$6))),IF(CZ$11&lt;$D$7,OFFSET(INDIRECT($D$3),$A53-1,$Q$3+CZ$11),OFFSET(INDIRECT($D$4),$A53-1,$Q$4+CZ$11)))))))</f>
        <v/>
      </c>
    </row>
    <row r="54" spans="1:104" ht="13.5" customHeight="1">
      <c r="A54" s="27">
        <v>51</v>
      </c>
      <c r="B54" s="33">
        <f t="shared" si="14"/>
        <v>54</v>
      </c>
      <c r="C54" s="8" t="s">
        <v>329</v>
      </c>
      <c r="D54" s="23">
        <f t="shared" ca="1" si="157"/>
        <v>0</v>
      </c>
      <c r="E54" s="23">
        <f t="shared" ca="1" si="158"/>
        <v>0</v>
      </c>
      <c r="F54" s="23">
        <f t="shared" ca="1" si="159"/>
        <v>0</v>
      </c>
      <c r="G54" s="23">
        <f t="shared" ca="1" si="160"/>
        <v>0</v>
      </c>
      <c r="H54" s="23">
        <f t="shared" ca="1" si="161"/>
        <v>0</v>
      </c>
      <c r="I54" s="23">
        <f t="shared" ca="1" si="162"/>
        <v>0</v>
      </c>
      <c r="J54" s="23">
        <f t="shared" ca="1" si="163"/>
        <v>0</v>
      </c>
      <c r="K54" s="23">
        <f t="shared" ca="1" si="164"/>
        <v>0</v>
      </c>
      <c r="L54" s="23">
        <f t="shared" ca="1" si="165"/>
        <v>0</v>
      </c>
      <c r="M54" s="23">
        <f t="shared" ca="1" si="166"/>
        <v>0</v>
      </c>
      <c r="N54" s="23">
        <f t="shared" ca="1" si="167"/>
        <v>0</v>
      </c>
      <c r="O54" s="23">
        <f t="shared" ca="1" si="168"/>
        <v>0</v>
      </c>
      <c r="P54" s="23">
        <f t="shared" ca="1" si="169"/>
        <v>0</v>
      </c>
      <c r="Q54" s="23">
        <f t="shared" ca="1" si="170"/>
        <v>0</v>
      </c>
      <c r="R54" s="23" t="str">
        <f t="shared" ca="1" si="171"/>
        <v/>
      </c>
      <c r="S54" s="23" t="str">
        <f t="shared" ca="1" si="172"/>
        <v/>
      </c>
      <c r="T54" s="23" t="str">
        <f t="shared" ca="1" si="173"/>
        <v/>
      </c>
      <c r="U54" s="23" t="str">
        <f t="shared" ca="1" si="174"/>
        <v/>
      </c>
      <c r="V54" s="23" t="str">
        <f t="shared" ca="1" si="175"/>
        <v/>
      </c>
      <c r="W54" s="23" t="str">
        <f t="shared" ca="1" si="176"/>
        <v/>
      </c>
      <c r="X54" s="23" t="str">
        <f t="shared" ca="1" si="177"/>
        <v/>
      </c>
      <c r="Y54" s="23" t="str">
        <f t="shared" ca="1" si="178"/>
        <v/>
      </c>
      <c r="Z54" s="23" t="str">
        <f t="shared" ca="1" si="179"/>
        <v/>
      </c>
      <c r="AA54" s="23" t="str">
        <f t="shared" ca="1" si="180"/>
        <v/>
      </c>
      <c r="AB54" s="23" t="str">
        <f t="shared" ca="1" si="181"/>
        <v/>
      </c>
      <c r="AC54" s="23" t="str">
        <f t="shared" ca="1" si="182"/>
        <v/>
      </c>
      <c r="AD54" s="23" t="str">
        <f t="shared" ca="1" si="183"/>
        <v/>
      </c>
      <c r="AE54" s="23" t="str">
        <f t="shared" ca="1" si="184"/>
        <v/>
      </c>
      <c r="AF54" s="23" t="str">
        <f t="shared" ca="1" si="185"/>
        <v/>
      </c>
      <c r="AG54" s="23" t="str">
        <f t="shared" ca="1" si="186"/>
        <v/>
      </c>
      <c r="AH54" s="23" t="str">
        <f t="shared" ca="1" si="187"/>
        <v/>
      </c>
      <c r="AI54" s="23" t="str">
        <f t="shared" ca="1" si="188"/>
        <v/>
      </c>
      <c r="AJ54" s="23" t="str">
        <f t="shared" ca="1" si="189"/>
        <v/>
      </c>
      <c r="AK54" s="23" t="str">
        <f t="shared" ca="1" si="190"/>
        <v/>
      </c>
      <c r="AL54" s="23" t="str">
        <f t="shared" ca="1" si="191"/>
        <v/>
      </c>
      <c r="AM54" s="23" t="str">
        <f t="shared" ca="1" si="192"/>
        <v/>
      </c>
      <c r="AN54" s="23" t="str">
        <f t="shared" ca="1" si="193"/>
        <v/>
      </c>
      <c r="AO54" s="23" t="str">
        <f t="shared" ca="1" si="194"/>
        <v/>
      </c>
      <c r="AP54" s="23" t="str">
        <f t="shared" ca="1" si="195"/>
        <v/>
      </c>
      <c r="AQ54" s="23" t="str">
        <f t="shared" ca="1" si="196"/>
        <v/>
      </c>
      <c r="AR54" s="23" t="str">
        <f t="shared" ca="1" si="197"/>
        <v/>
      </c>
      <c r="AS54" s="23" t="str">
        <f t="shared" ca="1" si="198"/>
        <v/>
      </c>
      <c r="AT54" s="23" t="str">
        <f t="shared" ca="1" si="199"/>
        <v/>
      </c>
      <c r="AU54" s="23" t="str">
        <f t="shared" ca="1" si="200"/>
        <v/>
      </c>
      <c r="AV54" s="23" t="str">
        <f t="shared" ca="1" si="201"/>
        <v/>
      </c>
      <c r="AW54" s="23" t="str">
        <f t="shared" ca="1" si="202"/>
        <v/>
      </c>
      <c r="AX54" s="23" t="str">
        <f t="shared" ca="1" si="203"/>
        <v/>
      </c>
      <c r="AY54" s="23" t="str">
        <f t="shared" ca="1" si="204"/>
        <v/>
      </c>
      <c r="AZ54" s="23" t="str">
        <f t="shared" ca="1" si="205"/>
        <v/>
      </c>
      <c r="BA54" s="23" t="str">
        <f t="shared" ca="1" si="206"/>
        <v/>
      </c>
      <c r="BB54" s="23" t="str">
        <f t="shared" ca="1" si="207"/>
        <v/>
      </c>
      <c r="BC54" s="23" t="str">
        <f t="shared" ca="1" si="208"/>
        <v/>
      </c>
      <c r="BD54" s="23" t="str">
        <f t="shared" ca="1" si="209"/>
        <v/>
      </c>
      <c r="BE54" s="23" t="str">
        <f t="shared" ca="1" si="210"/>
        <v/>
      </c>
      <c r="BF54" s="23" t="str">
        <f t="shared" ca="1" si="211"/>
        <v/>
      </c>
      <c r="BG54" s="23" t="str">
        <f t="shared" ca="1" si="212"/>
        <v/>
      </c>
      <c r="BH54" s="23" t="str">
        <f t="shared" ca="1" si="213"/>
        <v/>
      </c>
      <c r="BI54" s="23" t="str">
        <f t="shared" ca="1" si="214"/>
        <v/>
      </c>
      <c r="BJ54" s="23" t="str">
        <f t="shared" ca="1" si="215"/>
        <v/>
      </c>
      <c r="BK54" s="23" t="str">
        <f t="shared" ca="1" si="216"/>
        <v/>
      </c>
      <c r="BL54" s="23" t="str">
        <f t="shared" ca="1" si="217"/>
        <v/>
      </c>
      <c r="BM54" s="23" t="str">
        <f t="shared" ca="1" si="218"/>
        <v/>
      </c>
      <c r="BN54" s="23" t="str">
        <f t="shared" ca="1" si="219"/>
        <v/>
      </c>
      <c r="BO54" s="23" t="str">
        <f t="shared" ca="1" si="220"/>
        <v/>
      </c>
      <c r="BP54" s="23" t="str">
        <f t="shared" ca="1" si="221"/>
        <v/>
      </c>
      <c r="BQ54" s="23" t="str">
        <f t="shared" ca="1" si="222"/>
        <v/>
      </c>
      <c r="BR54" s="23" t="str">
        <f t="shared" ca="1" si="223"/>
        <v/>
      </c>
      <c r="BS54" s="23" t="str">
        <f t="shared" ca="1" si="224"/>
        <v/>
      </c>
      <c r="BT54" s="23" t="str">
        <f t="shared" ca="1" si="225"/>
        <v/>
      </c>
      <c r="BU54" s="23" t="str">
        <f t="shared" ca="1" si="226"/>
        <v/>
      </c>
      <c r="BV54" s="23" t="str">
        <f t="shared" ca="1" si="227"/>
        <v/>
      </c>
      <c r="BW54" s="23" t="str">
        <f t="shared" ca="1" si="228"/>
        <v/>
      </c>
      <c r="BX54" s="23" t="str">
        <f t="shared" ca="1" si="229"/>
        <v/>
      </c>
      <c r="BY54" s="23" t="str">
        <f t="shared" ca="1" si="230"/>
        <v/>
      </c>
      <c r="BZ54" s="23" t="str">
        <f t="shared" ca="1" si="231"/>
        <v/>
      </c>
      <c r="CA54" s="23" t="str">
        <f t="shared" ca="1" si="232"/>
        <v/>
      </c>
      <c r="CB54" s="23" t="str">
        <f t="shared" ca="1" si="233"/>
        <v/>
      </c>
      <c r="CC54" s="23" t="str">
        <f t="shared" ca="1" si="234"/>
        <v/>
      </c>
      <c r="CD54" s="23" t="str">
        <f t="shared" ca="1" si="235"/>
        <v/>
      </c>
      <c r="CE54" s="23" t="str">
        <f t="shared" ca="1" si="236"/>
        <v/>
      </c>
      <c r="CF54" s="23" t="str">
        <f t="shared" ca="1" si="237"/>
        <v/>
      </c>
      <c r="CG54" s="23" t="str">
        <f t="shared" ca="1" si="238"/>
        <v/>
      </c>
      <c r="CH54" s="23" t="str">
        <f t="shared" ca="1" si="239"/>
        <v/>
      </c>
      <c r="CI54" s="23" t="str">
        <f t="shared" ca="1" si="240"/>
        <v/>
      </c>
      <c r="CJ54" s="23" t="str">
        <f t="shared" ca="1" si="241"/>
        <v/>
      </c>
      <c r="CK54" s="23" t="str">
        <f t="shared" ca="1" si="242"/>
        <v/>
      </c>
      <c r="CL54" s="23" t="str">
        <f t="shared" ca="1" si="243"/>
        <v/>
      </c>
      <c r="CM54" s="23" t="str">
        <f t="shared" ca="1" si="244"/>
        <v/>
      </c>
      <c r="CN54" s="23" t="str">
        <f t="shared" ca="1" si="245"/>
        <v/>
      </c>
      <c r="CO54" s="23" t="str">
        <f t="shared" ca="1" si="246"/>
        <v/>
      </c>
      <c r="CP54" s="23" t="str">
        <f t="shared" ca="1" si="247"/>
        <v/>
      </c>
      <c r="CQ54" s="23" t="str">
        <f t="shared" ca="1" si="248"/>
        <v/>
      </c>
      <c r="CR54" s="23" t="str">
        <f t="shared" ca="1" si="249"/>
        <v/>
      </c>
      <c r="CS54" s="23" t="str">
        <f t="shared" ca="1" si="250"/>
        <v/>
      </c>
      <c r="CT54" s="23" t="str">
        <f t="shared" ca="1" si="251"/>
        <v/>
      </c>
      <c r="CU54" s="23" t="str">
        <f t="shared" ca="1" si="252"/>
        <v/>
      </c>
      <c r="CV54" s="23" t="str">
        <f t="shared" ca="1" si="253"/>
        <v/>
      </c>
      <c r="CW54" s="23" t="str">
        <f t="shared" ca="1" si="254"/>
        <v/>
      </c>
      <c r="CX54" s="23" t="str">
        <f ca="1">IF(CX$11="","",IF(CX$13=$M$5,CHOOSE($Q$6+1,$M$1,CY54+CZ54-#REF!),IF(CX$13=$M$6,CHOOSE($Q$6+1,$M$1,OFFSET($A54,,$P$7-1)),IF(CX$13=$M$7,CHOOSE($Q$6+1,$M$1,SUM(OFFSET($A$11,$B54-$O$5,$O$6,1,-$P$6))),IF(CX$13=$M$8,CHOOSE($Q$6+1,$M$1,SUM(OFFSET($A$11,$B54-$O$5,$O$7,1,-$P$6))),IF(CX$11&lt;$D$7,OFFSET(INDIRECT($D$3),$A54-1,$Q$3+CX$11),OFFSET(INDIRECT($D$4),$A54-1,$Q$4+CX$11)))))))</f>
        <v/>
      </c>
      <c r="CY54" s="23" t="str">
        <f ca="1">IF(CY$11="","",IF(CY$13=$M$5,CHOOSE($Q$6+1,$M$1,CZ54+#REF!-#REF!),IF(CY$13=$M$6,CHOOSE($Q$6+1,$M$1,OFFSET($A54,,$P$7-1)),IF(CY$13=$M$7,CHOOSE($Q$6+1,$M$1,SUM(OFFSET($A$11,$B54-$O$5,$O$6,1,-$P$6))),IF(CY$13=$M$8,CHOOSE($Q$6+1,$M$1,SUM(OFFSET($A$11,$B54-$O$5,$O$7,1,-$P$6))),IF(CY$11&lt;$D$7,OFFSET(INDIRECT($D$3),$A54-1,$Q$3+CY$11),OFFSET(INDIRECT($D$4),$A54-1,$Q$4+CY$11)))))))</f>
        <v/>
      </c>
      <c r="CZ54" s="23" t="str">
        <f ca="1">IF(CZ$11="","",IF(CZ$13=$M$5,CHOOSE($Q$6+1,$M$1,#REF!+#REF!-#REF!),IF(CZ$13=$M$6,CHOOSE($Q$6+1,$M$1,OFFSET($A54,,$P$7-1)),IF(CZ$13=$M$7,CHOOSE($Q$6+1,$M$1,SUM(OFFSET($A$11,$B54-$O$5,$O$6,1,-$P$6))),IF(CZ$13=$M$8,CHOOSE($Q$6+1,$M$1,SUM(OFFSET($A$11,$B54-$O$5,$O$7,1,-$P$6))),IF(CZ$11&lt;$D$7,OFFSET(INDIRECT($D$3),$A54-1,$Q$3+CZ$11),OFFSET(INDIRECT($D$4),$A54-1,$Q$4+CZ$11)))))))</f>
        <v/>
      </c>
    </row>
    <row r="55" spans="1:104" ht="13.5" customHeight="1">
      <c r="A55" s="30">
        <v>52</v>
      </c>
      <c r="B55" s="33">
        <f t="shared" si="14"/>
        <v>55</v>
      </c>
      <c r="C55" s="9" t="s">
        <v>330</v>
      </c>
      <c r="D55" s="23">
        <f t="shared" ca="1" si="157"/>
        <v>25922</v>
      </c>
      <c r="E55" s="23">
        <f t="shared" ca="1" si="158"/>
        <v>41733</v>
      </c>
      <c r="F55" s="23">
        <f t="shared" ca="1" si="159"/>
        <v>5987</v>
      </c>
      <c r="G55" s="23">
        <f t="shared" ca="1" si="160"/>
        <v>7308</v>
      </c>
      <c r="H55" s="23">
        <f t="shared" ca="1" si="161"/>
        <v>6623</v>
      </c>
      <c r="I55" s="23">
        <f t="shared" ca="1" si="162"/>
        <v>13064</v>
      </c>
      <c r="J55" s="23">
        <f t="shared" ca="1" si="163"/>
        <v>11622</v>
      </c>
      <c r="K55" s="23">
        <f t="shared" ca="1" si="164"/>
        <v>8824</v>
      </c>
      <c r="L55" s="23">
        <f t="shared" ca="1" si="165"/>
        <v>8223</v>
      </c>
      <c r="M55" s="23">
        <f t="shared" ca="1" si="166"/>
        <v>13078</v>
      </c>
      <c r="N55" s="23">
        <f t="shared" ca="1" si="167"/>
        <v>41747</v>
      </c>
      <c r="O55" s="23">
        <f t="shared" ca="1" si="168"/>
        <v>41733</v>
      </c>
      <c r="P55" s="23">
        <f t="shared" ca="1" si="169"/>
        <v>13078</v>
      </c>
      <c r="Q55" s="23">
        <f t="shared" ca="1" si="170"/>
        <v>13064</v>
      </c>
      <c r="R55" s="23" t="str">
        <f t="shared" ca="1" si="171"/>
        <v/>
      </c>
      <c r="S55" s="23" t="str">
        <f t="shared" ca="1" si="172"/>
        <v/>
      </c>
      <c r="T55" s="23" t="str">
        <f t="shared" ca="1" si="173"/>
        <v/>
      </c>
      <c r="U55" s="23" t="str">
        <f t="shared" ca="1" si="174"/>
        <v/>
      </c>
      <c r="V55" s="23" t="str">
        <f t="shared" ca="1" si="175"/>
        <v/>
      </c>
      <c r="W55" s="23" t="str">
        <f t="shared" ca="1" si="176"/>
        <v/>
      </c>
      <c r="X55" s="23" t="str">
        <f t="shared" ca="1" si="177"/>
        <v/>
      </c>
      <c r="Y55" s="23" t="str">
        <f t="shared" ca="1" si="178"/>
        <v/>
      </c>
      <c r="Z55" s="23" t="str">
        <f t="shared" ca="1" si="179"/>
        <v/>
      </c>
      <c r="AA55" s="23" t="str">
        <f t="shared" ca="1" si="180"/>
        <v/>
      </c>
      <c r="AB55" s="23" t="str">
        <f t="shared" ca="1" si="181"/>
        <v/>
      </c>
      <c r="AC55" s="23" t="str">
        <f t="shared" ca="1" si="182"/>
        <v/>
      </c>
      <c r="AD55" s="23" t="str">
        <f t="shared" ca="1" si="183"/>
        <v/>
      </c>
      <c r="AE55" s="23" t="str">
        <f t="shared" ca="1" si="184"/>
        <v/>
      </c>
      <c r="AF55" s="23" t="str">
        <f t="shared" ca="1" si="185"/>
        <v/>
      </c>
      <c r="AG55" s="23" t="str">
        <f t="shared" ca="1" si="186"/>
        <v/>
      </c>
      <c r="AH55" s="23" t="str">
        <f t="shared" ca="1" si="187"/>
        <v/>
      </c>
      <c r="AI55" s="23" t="str">
        <f t="shared" ca="1" si="188"/>
        <v/>
      </c>
      <c r="AJ55" s="23" t="str">
        <f t="shared" ca="1" si="189"/>
        <v/>
      </c>
      <c r="AK55" s="23" t="str">
        <f t="shared" ca="1" si="190"/>
        <v/>
      </c>
      <c r="AL55" s="23" t="str">
        <f t="shared" ca="1" si="191"/>
        <v/>
      </c>
      <c r="AM55" s="23" t="str">
        <f t="shared" ca="1" si="192"/>
        <v/>
      </c>
      <c r="AN55" s="23" t="str">
        <f t="shared" ca="1" si="193"/>
        <v/>
      </c>
      <c r="AO55" s="23" t="str">
        <f t="shared" ca="1" si="194"/>
        <v/>
      </c>
      <c r="AP55" s="23" t="str">
        <f t="shared" ca="1" si="195"/>
        <v/>
      </c>
      <c r="AQ55" s="23" t="str">
        <f t="shared" ca="1" si="196"/>
        <v/>
      </c>
      <c r="AR55" s="23" t="str">
        <f t="shared" ca="1" si="197"/>
        <v/>
      </c>
      <c r="AS55" s="23" t="str">
        <f t="shared" ca="1" si="198"/>
        <v/>
      </c>
      <c r="AT55" s="23" t="str">
        <f t="shared" ca="1" si="199"/>
        <v/>
      </c>
      <c r="AU55" s="23" t="str">
        <f t="shared" ca="1" si="200"/>
        <v/>
      </c>
      <c r="AV55" s="23" t="str">
        <f t="shared" ca="1" si="201"/>
        <v/>
      </c>
      <c r="AW55" s="23" t="str">
        <f t="shared" ca="1" si="202"/>
        <v/>
      </c>
      <c r="AX55" s="23" t="str">
        <f t="shared" ca="1" si="203"/>
        <v/>
      </c>
      <c r="AY55" s="23" t="str">
        <f t="shared" ca="1" si="204"/>
        <v/>
      </c>
      <c r="AZ55" s="23" t="str">
        <f t="shared" ca="1" si="205"/>
        <v/>
      </c>
      <c r="BA55" s="23" t="str">
        <f t="shared" ca="1" si="206"/>
        <v/>
      </c>
      <c r="BB55" s="23" t="str">
        <f t="shared" ca="1" si="207"/>
        <v/>
      </c>
      <c r="BC55" s="23" t="str">
        <f t="shared" ca="1" si="208"/>
        <v/>
      </c>
      <c r="BD55" s="23" t="str">
        <f t="shared" ca="1" si="209"/>
        <v/>
      </c>
      <c r="BE55" s="23" t="str">
        <f t="shared" ca="1" si="210"/>
        <v/>
      </c>
      <c r="BF55" s="23" t="str">
        <f t="shared" ca="1" si="211"/>
        <v/>
      </c>
      <c r="BG55" s="23" t="str">
        <f t="shared" ca="1" si="212"/>
        <v/>
      </c>
      <c r="BH55" s="23" t="str">
        <f t="shared" ca="1" si="213"/>
        <v/>
      </c>
      <c r="BI55" s="23" t="str">
        <f t="shared" ca="1" si="214"/>
        <v/>
      </c>
      <c r="BJ55" s="23" t="str">
        <f t="shared" ca="1" si="215"/>
        <v/>
      </c>
      <c r="BK55" s="23" t="str">
        <f t="shared" ca="1" si="216"/>
        <v/>
      </c>
      <c r="BL55" s="23" t="str">
        <f t="shared" ca="1" si="217"/>
        <v/>
      </c>
      <c r="BM55" s="23" t="str">
        <f t="shared" ca="1" si="218"/>
        <v/>
      </c>
      <c r="BN55" s="23" t="str">
        <f t="shared" ca="1" si="219"/>
        <v/>
      </c>
      <c r="BO55" s="23" t="str">
        <f t="shared" ca="1" si="220"/>
        <v/>
      </c>
      <c r="BP55" s="23" t="str">
        <f t="shared" ca="1" si="221"/>
        <v/>
      </c>
      <c r="BQ55" s="23" t="str">
        <f t="shared" ca="1" si="222"/>
        <v/>
      </c>
      <c r="BR55" s="23" t="str">
        <f t="shared" ca="1" si="223"/>
        <v/>
      </c>
      <c r="BS55" s="23" t="str">
        <f t="shared" ca="1" si="224"/>
        <v/>
      </c>
      <c r="BT55" s="23" t="str">
        <f t="shared" ca="1" si="225"/>
        <v/>
      </c>
      <c r="BU55" s="23" t="str">
        <f t="shared" ca="1" si="226"/>
        <v/>
      </c>
      <c r="BV55" s="23" t="str">
        <f t="shared" ca="1" si="227"/>
        <v/>
      </c>
      <c r="BW55" s="23" t="str">
        <f t="shared" ca="1" si="228"/>
        <v/>
      </c>
      <c r="BX55" s="23" t="str">
        <f t="shared" ca="1" si="229"/>
        <v/>
      </c>
      <c r="BY55" s="23" t="str">
        <f t="shared" ca="1" si="230"/>
        <v/>
      </c>
      <c r="BZ55" s="23" t="str">
        <f t="shared" ca="1" si="231"/>
        <v/>
      </c>
      <c r="CA55" s="23" t="str">
        <f t="shared" ca="1" si="232"/>
        <v/>
      </c>
      <c r="CB55" s="23" t="str">
        <f t="shared" ca="1" si="233"/>
        <v/>
      </c>
      <c r="CC55" s="23" t="str">
        <f t="shared" ca="1" si="234"/>
        <v/>
      </c>
      <c r="CD55" s="23" t="str">
        <f t="shared" ca="1" si="235"/>
        <v/>
      </c>
      <c r="CE55" s="23" t="str">
        <f t="shared" ca="1" si="236"/>
        <v/>
      </c>
      <c r="CF55" s="23" t="str">
        <f t="shared" ca="1" si="237"/>
        <v/>
      </c>
      <c r="CG55" s="23" t="str">
        <f t="shared" ca="1" si="238"/>
        <v/>
      </c>
      <c r="CH55" s="23" t="str">
        <f t="shared" ca="1" si="239"/>
        <v/>
      </c>
      <c r="CI55" s="23" t="str">
        <f t="shared" ca="1" si="240"/>
        <v/>
      </c>
      <c r="CJ55" s="23" t="str">
        <f t="shared" ca="1" si="241"/>
        <v/>
      </c>
      <c r="CK55" s="23" t="str">
        <f t="shared" ca="1" si="242"/>
        <v/>
      </c>
      <c r="CL55" s="23" t="str">
        <f t="shared" ca="1" si="243"/>
        <v/>
      </c>
      <c r="CM55" s="23" t="str">
        <f t="shared" ca="1" si="244"/>
        <v/>
      </c>
      <c r="CN55" s="23" t="str">
        <f t="shared" ca="1" si="245"/>
        <v/>
      </c>
      <c r="CO55" s="23" t="str">
        <f t="shared" ca="1" si="246"/>
        <v/>
      </c>
      <c r="CP55" s="23" t="str">
        <f t="shared" ca="1" si="247"/>
        <v/>
      </c>
      <c r="CQ55" s="23" t="str">
        <f t="shared" ca="1" si="248"/>
        <v/>
      </c>
      <c r="CR55" s="23" t="str">
        <f t="shared" ca="1" si="249"/>
        <v/>
      </c>
      <c r="CS55" s="23" t="str">
        <f t="shared" ca="1" si="250"/>
        <v/>
      </c>
      <c r="CT55" s="23" t="str">
        <f t="shared" ca="1" si="251"/>
        <v/>
      </c>
      <c r="CU55" s="23" t="str">
        <f t="shared" ca="1" si="252"/>
        <v/>
      </c>
      <c r="CV55" s="23" t="str">
        <f t="shared" ca="1" si="253"/>
        <v/>
      </c>
      <c r="CW55" s="23" t="str">
        <f t="shared" ca="1" si="254"/>
        <v/>
      </c>
      <c r="CX55" s="23" t="str">
        <f ca="1">IF(CX$11="","",IF(CX$13=$M$5,CHOOSE($Q$6+1,$M$1,CY55+CZ55-#REF!),IF(CX$13=$M$6,CHOOSE($Q$6+1,$M$1,OFFSET($A55,,$P$7-1)),IF(CX$13=$M$7,CHOOSE($Q$6+1,$M$1,SUM(OFFSET($A$11,$B55-$O$5,$O$6,1,-$P$6))),IF(CX$13=$M$8,CHOOSE($Q$6+1,$M$1,SUM(OFFSET($A$11,$B55-$O$5,$O$7,1,-$P$6))),IF(CX$11&lt;$D$7,OFFSET(INDIRECT($D$3),$A55-1,$Q$3+CX$11),OFFSET(INDIRECT($D$4),$A55-1,$Q$4+CX$11)))))))</f>
        <v/>
      </c>
      <c r="CY55" s="23" t="str">
        <f ca="1">IF(CY$11="","",IF(CY$13=$M$5,CHOOSE($Q$6+1,$M$1,CZ55+#REF!-#REF!),IF(CY$13=$M$6,CHOOSE($Q$6+1,$M$1,OFFSET($A55,,$P$7-1)),IF(CY$13=$M$7,CHOOSE($Q$6+1,$M$1,SUM(OFFSET($A$11,$B55-$O$5,$O$6,1,-$P$6))),IF(CY$13=$M$8,CHOOSE($Q$6+1,$M$1,SUM(OFFSET($A$11,$B55-$O$5,$O$7,1,-$P$6))),IF(CY$11&lt;$D$7,OFFSET(INDIRECT($D$3),$A55-1,$Q$3+CY$11),OFFSET(INDIRECT($D$4),$A55-1,$Q$4+CY$11)))))))</f>
        <v/>
      </c>
      <c r="CZ55" s="23" t="str">
        <f ca="1">IF(CZ$11="","",IF(CZ$13=$M$5,CHOOSE($Q$6+1,$M$1,#REF!+#REF!-#REF!),IF(CZ$13=$M$6,CHOOSE($Q$6+1,$M$1,OFFSET($A55,,$P$7-1)),IF(CZ$13=$M$7,CHOOSE($Q$6+1,$M$1,SUM(OFFSET($A$11,$B55-$O$5,$O$6,1,-$P$6))),IF(CZ$13=$M$8,CHOOSE($Q$6+1,$M$1,SUM(OFFSET($A$11,$B55-$O$5,$O$7,1,-$P$6))),IF(CZ$11&lt;$D$7,OFFSET(INDIRECT($D$3),$A55-1,$Q$3+CZ$11),OFFSET(INDIRECT($D$4),$A55-1,$Q$4+CZ$11)))))))</f>
        <v/>
      </c>
    </row>
    <row r="56" spans="1:104" ht="13.5" customHeight="1">
      <c r="A56" s="27"/>
      <c r="B56" s="33">
        <f t="shared" si="14"/>
        <v>56</v>
      </c>
      <c r="C56" s="11"/>
      <c r="D56" s="34"/>
      <c r="E56" s="34"/>
      <c r="F56" s="34"/>
      <c r="G56" s="34"/>
      <c r="H56" s="34"/>
      <c r="I56" s="34"/>
      <c r="J56" s="34"/>
      <c r="K56" s="34"/>
      <c r="L56" s="34"/>
      <c r="M56" s="34"/>
      <c r="N56" s="34"/>
      <c r="O56" s="34"/>
      <c r="P56" s="34"/>
      <c r="Q56" s="34"/>
      <c r="R56" s="34"/>
      <c r="S56" s="34"/>
      <c r="T56" s="34"/>
      <c r="U56" s="34"/>
      <c r="V56" s="34"/>
      <c r="W56" s="34"/>
      <c r="X56" s="34"/>
      <c r="Y56" s="34"/>
      <c r="Z56" s="34"/>
      <c r="AA56" s="34"/>
      <c r="AB56" s="34"/>
      <c r="AC56" s="34"/>
      <c r="AD56" s="34"/>
      <c r="AE56" s="34"/>
      <c r="AF56" s="34"/>
      <c r="AG56" s="34"/>
      <c r="AH56" s="34"/>
      <c r="AI56" s="34"/>
      <c r="AJ56" s="34"/>
      <c r="AK56" s="34"/>
      <c r="AL56" s="34"/>
      <c r="AM56" s="34"/>
      <c r="AN56" s="34"/>
      <c r="AO56" s="34"/>
      <c r="AP56" s="34"/>
      <c r="AQ56" s="34"/>
      <c r="AR56" s="34"/>
      <c r="AS56" s="34"/>
      <c r="AT56" s="34"/>
      <c r="AU56" s="34"/>
      <c r="AV56" s="34"/>
      <c r="AW56" s="34"/>
      <c r="AX56" s="34"/>
      <c r="AY56" s="34"/>
      <c r="AZ56" s="34"/>
      <c r="BA56" s="34"/>
      <c r="BB56" s="34"/>
      <c r="BC56" s="34"/>
      <c r="BD56" s="34"/>
      <c r="BE56" s="34"/>
      <c r="BF56" s="34"/>
      <c r="BG56" s="34"/>
      <c r="BH56" s="34"/>
      <c r="BI56" s="34"/>
      <c r="BJ56" s="34"/>
      <c r="BK56" s="34"/>
      <c r="BL56" s="34"/>
      <c r="BM56" s="34"/>
      <c r="BN56" s="34"/>
      <c r="BO56" s="34"/>
      <c r="BP56" s="34"/>
      <c r="BQ56" s="34"/>
      <c r="BR56" s="34"/>
      <c r="BS56" s="34"/>
      <c r="BT56" s="34"/>
      <c r="BU56" s="34"/>
      <c r="BV56" s="34"/>
      <c r="BW56" s="34"/>
      <c r="BX56" s="34"/>
      <c r="BY56" s="34"/>
      <c r="BZ56" s="34"/>
      <c r="CA56" s="34"/>
      <c r="CB56" s="34"/>
      <c r="CC56" s="34"/>
      <c r="CD56" s="34"/>
      <c r="CE56" s="34"/>
      <c r="CF56" s="34"/>
      <c r="CG56" s="34"/>
      <c r="CH56" s="34"/>
      <c r="CI56" s="34"/>
      <c r="CJ56" s="34"/>
      <c r="CK56" s="34"/>
      <c r="CL56" s="34"/>
      <c r="CM56" s="34"/>
      <c r="CN56" s="34"/>
      <c r="CO56" s="34"/>
      <c r="CP56" s="34"/>
      <c r="CQ56" s="34"/>
      <c r="CR56" s="34"/>
      <c r="CS56" s="34"/>
      <c r="CT56" s="34"/>
      <c r="CU56" s="34"/>
      <c r="CV56" s="34"/>
      <c r="CW56" s="34"/>
      <c r="CX56" s="34"/>
      <c r="CY56" s="34"/>
      <c r="CZ56" s="34"/>
    </row>
    <row r="57" spans="1:104" s="13" customFormat="1" ht="13.5" customHeight="1">
      <c r="A57" s="38"/>
      <c r="B57" s="33">
        <f t="shared" si="14"/>
        <v>57</v>
      </c>
      <c r="C57" s="46">
        <v>1</v>
      </c>
      <c r="D57" s="36" t="str">
        <f t="shared" ref="D57:AI57" ca="1" si="255">IF(D$13="","",IF(OR(D$13=$M$5,D$13=$M$6,D$13=$M$7,D$13=$M$8),"",IF(ABS(D$55-IF(D$11&lt;$D$7,OFFSET(INDIRECT($D$3),$A55-1,$Q$3+D$11),OFFSET(INDIRECT($D$4),$A55-1,$Q$4+D$11)))&lt;=$C$57,$M$3,$M$9)))</f>
        <v>Balance</v>
      </c>
      <c r="E57" s="36" t="str">
        <f t="shared" ca="1" si="255"/>
        <v>Balance</v>
      </c>
      <c r="F57" s="36" t="str">
        <f t="shared" ca="1" si="255"/>
        <v>Balance</v>
      </c>
      <c r="G57" s="36" t="str">
        <f t="shared" ca="1" si="255"/>
        <v>Balance</v>
      </c>
      <c r="H57" s="36" t="str">
        <f t="shared" ca="1" si="255"/>
        <v>Balance</v>
      </c>
      <c r="I57" s="36" t="str">
        <f t="shared" ca="1" si="255"/>
        <v>Balance</v>
      </c>
      <c r="J57" s="36" t="str">
        <f t="shared" ca="1" si="255"/>
        <v>Balance</v>
      </c>
      <c r="K57" s="36" t="str">
        <f t="shared" ca="1" si="255"/>
        <v>Balance</v>
      </c>
      <c r="L57" s="36" t="str">
        <f t="shared" ca="1" si="255"/>
        <v>Balance</v>
      </c>
      <c r="M57" s="36" t="str">
        <f t="shared" ca="1" si="255"/>
        <v>Balance</v>
      </c>
      <c r="N57" s="36" t="str">
        <f t="shared" ca="1" si="255"/>
        <v/>
      </c>
      <c r="O57" s="36" t="str">
        <f t="shared" ca="1" si="255"/>
        <v/>
      </c>
      <c r="P57" s="36" t="str">
        <f t="shared" ca="1" si="255"/>
        <v/>
      </c>
      <c r="Q57" s="36" t="str">
        <f t="shared" ca="1" si="255"/>
        <v/>
      </c>
      <c r="R57" s="36" t="str">
        <f t="shared" ca="1" si="255"/>
        <v/>
      </c>
      <c r="S57" s="36" t="str">
        <f t="shared" ca="1" si="255"/>
        <v/>
      </c>
      <c r="T57" s="36" t="str">
        <f t="shared" ca="1" si="255"/>
        <v/>
      </c>
      <c r="U57" s="36" t="str">
        <f t="shared" ca="1" si="255"/>
        <v/>
      </c>
      <c r="V57" s="36" t="str">
        <f t="shared" ca="1" si="255"/>
        <v/>
      </c>
      <c r="W57" s="36" t="str">
        <f t="shared" ca="1" si="255"/>
        <v/>
      </c>
      <c r="X57" s="36" t="str">
        <f t="shared" ca="1" si="255"/>
        <v/>
      </c>
      <c r="Y57" s="36" t="str">
        <f t="shared" ca="1" si="255"/>
        <v/>
      </c>
      <c r="Z57" s="36" t="str">
        <f t="shared" ca="1" si="255"/>
        <v/>
      </c>
      <c r="AA57" s="36" t="str">
        <f t="shared" ca="1" si="255"/>
        <v/>
      </c>
      <c r="AB57" s="36" t="str">
        <f t="shared" ca="1" si="255"/>
        <v/>
      </c>
      <c r="AC57" s="36" t="str">
        <f t="shared" ca="1" si="255"/>
        <v/>
      </c>
      <c r="AD57" s="36" t="str">
        <f t="shared" ca="1" si="255"/>
        <v/>
      </c>
      <c r="AE57" s="36" t="str">
        <f t="shared" ca="1" si="255"/>
        <v/>
      </c>
      <c r="AF57" s="36" t="str">
        <f t="shared" ca="1" si="255"/>
        <v/>
      </c>
      <c r="AG57" s="18" t="str">
        <f t="shared" ca="1" si="255"/>
        <v/>
      </c>
      <c r="AH57" s="18" t="str">
        <f t="shared" ca="1" si="255"/>
        <v/>
      </c>
      <c r="AI57" s="18" t="str">
        <f t="shared" ca="1" si="255"/>
        <v/>
      </c>
      <c r="AJ57" s="18" t="str">
        <f t="shared" ref="AJ57:BO57" ca="1" si="256">IF(AJ$13="","",IF(OR(AJ$13=$M$5,AJ$13=$M$6,AJ$13=$M$7,AJ$13=$M$8),"",IF(ABS(AJ$55-IF(AJ$11&lt;$D$7,OFFSET(INDIRECT($D$3),$A55-1,$Q$3+AJ$11),OFFSET(INDIRECT($D$4),$A55-1,$Q$4+AJ$11)))&lt;=$C$57,$M$3,$M$9)))</f>
        <v/>
      </c>
      <c r="AK57" s="18" t="str">
        <f t="shared" ca="1" si="256"/>
        <v/>
      </c>
      <c r="AL57" s="18" t="str">
        <f t="shared" ca="1" si="256"/>
        <v/>
      </c>
      <c r="AM57" s="18" t="str">
        <f t="shared" ca="1" si="256"/>
        <v/>
      </c>
      <c r="AN57" s="18" t="str">
        <f t="shared" ca="1" si="256"/>
        <v/>
      </c>
      <c r="AO57" s="18" t="str">
        <f t="shared" ca="1" si="256"/>
        <v/>
      </c>
      <c r="AP57" s="18" t="str">
        <f t="shared" ca="1" si="256"/>
        <v/>
      </c>
      <c r="AQ57" s="18" t="str">
        <f t="shared" ca="1" si="256"/>
        <v/>
      </c>
      <c r="AR57" s="18" t="str">
        <f t="shared" ca="1" si="256"/>
        <v/>
      </c>
      <c r="AS57" s="18" t="str">
        <f t="shared" ca="1" si="256"/>
        <v/>
      </c>
      <c r="AT57" s="18" t="str">
        <f t="shared" ca="1" si="256"/>
        <v/>
      </c>
      <c r="AU57" s="18" t="str">
        <f t="shared" ca="1" si="256"/>
        <v/>
      </c>
      <c r="AV57" s="18" t="str">
        <f t="shared" ca="1" si="256"/>
        <v/>
      </c>
      <c r="AW57" s="18" t="str">
        <f t="shared" ca="1" si="256"/>
        <v/>
      </c>
      <c r="AX57" s="18" t="str">
        <f t="shared" ca="1" si="256"/>
        <v/>
      </c>
      <c r="AY57" s="18" t="str">
        <f t="shared" ca="1" si="256"/>
        <v/>
      </c>
      <c r="AZ57" s="18" t="str">
        <f t="shared" ca="1" si="256"/>
        <v/>
      </c>
      <c r="BA57" s="18" t="str">
        <f t="shared" ca="1" si="256"/>
        <v/>
      </c>
      <c r="BB57" s="18" t="str">
        <f t="shared" ca="1" si="256"/>
        <v/>
      </c>
      <c r="BC57" s="18" t="str">
        <f t="shared" ca="1" si="256"/>
        <v/>
      </c>
      <c r="BD57" s="18" t="str">
        <f t="shared" ca="1" si="256"/>
        <v/>
      </c>
      <c r="BE57" s="18" t="str">
        <f t="shared" ca="1" si="256"/>
        <v/>
      </c>
      <c r="BF57" s="18" t="str">
        <f t="shared" ca="1" si="256"/>
        <v/>
      </c>
      <c r="BG57" s="18" t="str">
        <f t="shared" ca="1" si="256"/>
        <v/>
      </c>
      <c r="BH57" s="18" t="str">
        <f t="shared" ca="1" si="256"/>
        <v/>
      </c>
      <c r="BI57" s="18" t="str">
        <f t="shared" ca="1" si="256"/>
        <v/>
      </c>
      <c r="BJ57" s="18" t="str">
        <f t="shared" ca="1" si="256"/>
        <v/>
      </c>
      <c r="BK57" s="18" t="str">
        <f t="shared" ca="1" si="256"/>
        <v/>
      </c>
      <c r="BL57" s="18" t="str">
        <f t="shared" ca="1" si="256"/>
        <v/>
      </c>
      <c r="BM57" s="18" t="str">
        <f t="shared" ca="1" si="256"/>
        <v/>
      </c>
      <c r="BN57" s="18" t="str">
        <f t="shared" ca="1" si="256"/>
        <v/>
      </c>
      <c r="BO57" s="18" t="str">
        <f t="shared" ca="1" si="256"/>
        <v/>
      </c>
      <c r="BP57" s="18" t="str">
        <f t="shared" ref="BP57:CZ57" ca="1" si="257">IF(BP$13="","",IF(OR(BP$13=$M$5,BP$13=$M$6,BP$13=$M$7,BP$13=$M$8),"",IF(ABS(BP$55-IF(BP$11&lt;$D$7,OFFSET(INDIRECT($D$3),$A55-1,$Q$3+BP$11),OFFSET(INDIRECT($D$4),$A55-1,$Q$4+BP$11)))&lt;=$C$57,$M$3,$M$9)))</f>
        <v/>
      </c>
      <c r="BQ57" s="18" t="str">
        <f t="shared" ca="1" si="257"/>
        <v/>
      </c>
      <c r="BR57" s="18" t="str">
        <f t="shared" ca="1" si="257"/>
        <v/>
      </c>
      <c r="BS57" s="18" t="str">
        <f t="shared" ca="1" si="257"/>
        <v/>
      </c>
      <c r="BT57" s="18" t="str">
        <f t="shared" ca="1" si="257"/>
        <v/>
      </c>
      <c r="BU57" s="18" t="str">
        <f t="shared" ca="1" si="257"/>
        <v/>
      </c>
      <c r="BV57" s="18" t="str">
        <f t="shared" ca="1" si="257"/>
        <v/>
      </c>
      <c r="BW57" s="18" t="str">
        <f t="shared" ca="1" si="257"/>
        <v/>
      </c>
      <c r="BX57" s="18" t="str">
        <f t="shared" ca="1" si="257"/>
        <v/>
      </c>
      <c r="BY57" s="18" t="str">
        <f t="shared" ca="1" si="257"/>
        <v/>
      </c>
      <c r="BZ57" s="18" t="str">
        <f t="shared" ca="1" si="257"/>
        <v/>
      </c>
      <c r="CA57" s="18" t="str">
        <f t="shared" ca="1" si="257"/>
        <v/>
      </c>
      <c r="CB57" s="18" t="str">
        <f t="shared" ca="1" si="257"/>
        <v/>
      </c>
      <c r="CC57" s="18" t="str">
        <f t="shared" ca="1" si="257"/>
        <v/>
      </c>
      <c r="CD57" s="18" t="str">
        <f t="shared" ca="1" si="257"/>
        <v/>
      </c>
      <c r="CE57" s="18" t="str">
        <f t="shared" ca="1" si="257"/>
        <v/>
      </c>
      <c r="CF57" s="18" t="str">
        <f t="shared" ca="1" si="257"/>
        <v/>
      </c>
      <c r="CG57" s="18" t="str">
        <f t="shared" ca="1" si="257"/>
        <v/>
      </c>
      <c r="CH57" s="18" t="str">
        <f t="shared" ca="1" si="257"/>
        <v/>
      </c>
      <c r="CI57" s="18" t="str">
        <f t="shared" ca="1" si="257"/>
        <v/>
      </c>
      <c r="CJ57" s="18" t="str">
        <f t="shared" ca="1" si="257"/>
        <v/>
      </c>
      <c r="CK57" s="18" t="str">
        <f t="shared" ca="1" si="257"/>
        <v/>
      </c>
      <c r="CL57" s="18" t="str">
        <f t="shared" ca="1" si="257"/>
        <v/>
      </c>
      <c r="CM57" s="18" t="str">
        <f t="shared" ca="1" si="257"/>
        <v/>
      </c>
      <c r="CN57" s="18" t="str">
        <f t="shared" ca="1" si="257"/>
        <v/>
      </c>
      <c r="CO57" s="18" t="str">
        <f t="shared" ca="1" si="257"/>
        <v/>
      </c>
      <c r="CP57" s="18" t="str">
        <f t="shared" ca="1" si="257"/>
        <v/>
      </c>
      <c r="CQ57" s="18" t="str">
        <f t="shared" ca="1" si="257"/>
        <v/>
      </c>
      <c r="CR57" s="18" t="str">
        <f t="shared" ca="1" si="257"/>
        <v/>
      </c>
      <c r="CS57" s="18" t="str">
        <f t="shared" ca="1" si="257"/>
        <v/>
      </c>
      <c r="CT57" s="18" t="str">
        <f t="shared" ca="1" si="257"/>
        <v/>
      </c>
      <c r="CU57" s="18" t="str">
        <f t="shared" ca="1" si="257"/>
        <v/>
      </c>
      <c r="CV57" s="18" t="str">
        <f t="shared" ca="1" si="257"/>
        <v/>
      </c>
      <c r="CW57" s="18" t="str">
        <f t="shared" ca="1" si="257"/>
        <v/>
      </c>
      <c r="CX57" s="18" t="str">
        <f t="shared" ca="1" si="257"/>
        <v/>
      </c>
      <c r="CY57" s="18" t="str">
        <f t="shared" ca="1" si="257"/>
        <v/>
      </c>
      <c r="CZ57" s="18" t="str">
        <f t="shared" ca="1" si="257"/>
        <v/>
      </c>
    </row>
    <row r="58" spans="1:104" ht="13.5" customHeight="1">
      <c r="A58" s="27"/>
      <c r="B58" s="33">
        <f t="shared" si="14"/>
        <v>58</v>
      </c>
      <c r="C58" s="11"/>
      <c r="D58" s="34"/>
      <c r="E58" s="34"/>
      <c r="F58" s="34"/>
      <c r="G58" s="34"/>
      <c r="H58" s="34"/>
      <c r="I58" s="34"/>
      <c r="J58" s="34"/>
      <c r="K58" s="34"/>
      <c r="L58" s="34"/>
      <c r="M58" s="34"/>
      <c r="N58" s="34"/>
      <c r="O58" s="34"/>
      <c r="P58" s="34"/>
      <c r="Q58" s="34"/>
      <c r="R58" s="34"/>
      <c r="S58" s="34"/>
      <c r="T58" s="34"/>
      <c r="U58" s="34"/>
      <c r="V58" s="34"/>
      <c r="W58" s="34"/>
      <c r="X58" s="34"/>
      <c r="Y58" s="34"/>
      <c r="Z58" s="34"/>
      <c r="AA58" s="34"/>
      <c r="AB58" s="34"/>
      <c r="AC58" s="34"/>
      <c r="AD58" s="34"/>
      <c r="AE58" s="34"/>
      <c r="AF58" s="34"/>
      <c r="AG58" s="34"/>
      <c r="AH58" s="34"/>
      <c r="AI58" s="34"/>
      <c r="AJ58" s="34"/>
      <c r="AK58" s="34"/>
      <c r="AL58" s="34"/>
      <c r="AM58" s="34"/>
      <c r="AN58" s="34"/>
      <c r="AO58" s="34"/>
      <c r="AP58" s="34"/>
      <c r="AQ58" s="34"/>
      <c r="AR58" s="34"/>
      <c r="AS58" s="34"/>
      <c r="AT58" s="34"/>
      <c r="AU58" s="34"/>
      <c r="AV58" s="34"/>
      <c r="AW58" s="34"/>
      <c r="AX58" s="34"/>
      <c r="AY58" s="34"/>
      <c r="AZ58" s="34"/>
      <c r="BA58" s="34"/>
      <c r="BB58" s="34"/>
      <c r="BC58" s="34"/>
      <c r="BD58" s="34"/>
      <c r="BE58" s="34"/>
      <c r="BF58" s="34"/>
      <c r="BG58" s="34"/>
      <c r="BH58" s="34"/>
      <c r="BI58" s="34"/>
      <c r="BJ58" s="34"/>
      <c r="BK58" s="34"/>
      <c r="BL58" s="34"/>
      <c r="BM58" s="34"/>
      <c r="BN58" s="34"/>
      <c r="BO58" s="34"/>
      <c r="BP58" s="34"/>
      <c r="BQ58" s="34"/>
      <c r="BR58" s="34"/>
      <c r="BS58" s="34"/>
      <c r="BT58" s="34"/>
      <c r="BU58" s="34"/>
      <c r="BV58" s="34"/>
      <c r="BW58" s="34"/>
      <c r="BX58" s="34"/>
      <c r="BY58" s="34"/>
      <c r="BZ58" s="34"/>
      <c r="CA58" s="34"/>
      <c r="CB58" s="34"/>
      <c r="CC58" s="34"/>
      <c r="CD58" s="34"/>
      <c r="CE58" s="34"/>
      <c r="CF58" s="34"/>
      <c r="CG58" s="34"/>
      <c r="CH58" s="34"/>
      <c r="CI58" s="34"/>
      <c r="CJ58" s="34"/>
      <c r="CK58" s="34"/>
      <c r="CL58" s="34"/>
      <c r="CM58" s="34"/>
      <c r="CN58" s="34"/>
      <c r="CO58" s="34"/>
      <c r="CP58" s="34"/>
      <c r="CQ58" s="34"/>
      <c r="CR58" s="34"/>
      <c r="CS58" s="34"/>
      <c r="CT58" s="34"/>
      <c r="CU58" s="34"/>
      <c r="CV58" s="34"/>
      <c r="CW58" s="34"/>
      <c r="CX58" s="34"/>
      <c r="CY58" s="34"/>
      <c r="CZ58" s="34"/>
    </row>
    <row r="59" spans="1:104" ht="13.5" customHeight="1">
      <c r="A59" s="27">
        <v>196</v>
      </c>
      <c r="B59" s="33">
        <f t="shared" si="14"/>
        <v>59</v>
      </c>
      <c r="C59" s="9" t="s">
        <v>331</v>
      </c>
      <c r="D59" s="23">
        <f t="shared" ref="D59:M60" ca="1" si="258">IF(D$11="","",IF(D$11&lt;$D$7,OFFSET(INDIRECT($D$3),$A59-1,$Q$3+D$11),""))</f>
        <v>55807</v>
      </c>
      <c r="E59" s="23">
        <f t="shared" ca="1" si="258"/>
        <v>80168</v>
      </c>
      <c r="F59" s="23" t="str">
        <f t="shared" ca="1" si="258"/>
        <v/>
      </c>
      <c r="G59" s="23" t="str">
        <f t="shared" ca="1" si="258"/>
        <v/>
      </c>
      <c r="H59" s="23" t="str">
        <f t="shared" ca="1" si="258"/>
        <v/>
      </c>
      <c r="I59" s="23" t="str">
        <f t="shared" ca="1" si="258"/>
        <v/>
      </c>
      <c r="J59" s="23" t="str">
        <f t="shared" ca="1" si="258"/>
        <v/>
      </c>
      <c r="K59" s="23" t="str">
        <f t="shared" ca="1" si="258"/>
        <v/>
      </c>
      <c r="L59" s="23" t="str">
        <f t="shared" ca="1" si="258"/>
        <v/>
      </c>
      <c r="M59" s="23" t="str">
        <f t="shared" ca="1" si="258"/>
        <v/>
      </c>
      <c r="N59" s="23" t="str">
        <f t="shared" ref="N59:W60" ca="1" si="259">IF(N$11="","",IF(N$11&lt;$D$7,OFFSET(INDIRECT($D$3),$A59-1,$Q$3+N$11),""))</f>
        <v/>
      </c>
      <c r="O59" s="23" t="str">
        <f t="shared" ca="1" si="259"/>
        <v/>
      </c>
      <c r="P59" s="23" t="str">
        <f t="shared" ca="1" si="259"/>
        <v/>
      </c>
      <c r="Q59" s="23" t="str">
        <f t="shared" ca="1" si="259"/>
        <v/>
      </c>
      <c r="R59" s="23" t="str">
        <f t="shared" ca="1" si="259"/>
        <v/>
      </c>
      <c r="S59" s="23" t="str">
        <f t="shared" ca="1" si="259"/>
        <v/>
      </c>
      <c r="T59" s="23" t="str">
        <f t="shared" ca="1" si="259"/>
        <v/>
      </c>
      <c r="U59" s="23" t="str">
        <f t="shared" ca="1" si="259"/>
        <v/>
      </c>
      <c r="V59" s="23" t="str">
        <f t="shared" ca="1" si="259"/>
        <v/>
      </c>
      <c r="W59" s="23" t="str">
        <f t="shared" ca="1" si="259"/>
        <v/>
      </c>
      <c r="X59" s="23" t="str">
        <f t="shared" ref="X59:AG60" ca="1" si="260">IF(X$11="","",IF(X$11&lt;$D$7,OFFSET(INDIRECT($D$3),$A59-1,$Q$3+X$11),""))</f>
        <v/>
      </c>
      <c r="Y59" s="23" t="str">
        <f t="shared" ca="1" si="260"/>
        <v/>
      </c>
      <c r="Z59" s="23" t="str">
        <f t="shared" ca="1" si="260"/>
        <v/>
      </c>
      <c r="AA59" s="23" t="str">
        <f t="shared" ca="1" si="260"/>
        <v/>
      </c>
      <c r="AB59" s="23" t="str">
        <f t="shared" ca="1" si="260"/>
        <v/>
      </c>
      <c r="AC59" s="23" t="str">
        <f t="shared" ca="1" si="260"/>
        <v/>
      </c>
      <c r="AD59" s="23" t="str">
        <f t="shared" ca="1" si="260"/>
        <v/>
      </c>
      <c r="AE59" s="23" t="str">
        <f t="shared" ca="1" si="260"/>
        <v/>
      </c>
      <c r="AF59" s="23" t="str">
        <f t="shared" ca="1" si="260"/>
        <v/>
      </c>
      <c r="AG59" s="23" t="str">
        <f t="shared" ca="1" si="260"/>
        <v/>
      </c>
      <c r="AH59" s="23" t="str">
        <f t="shared" ref="AH59:AQ60" ca="1" si="261">IF(AH$11="","",IF(AH$11&lt;$D$7,OFFSET(INDIRECT($D$3),$A59-1,$Q$3+AH$11),""))</f>
        <v/>
      </c>
      <c r="AI59" s="23" t="str">
        <f t="shared" ca="1" si="261"/>
        <v/>
      </c>
      <c r="AJ59" s="23" t="str">
        <f t="shared" ca="1" si="261"/>
        <v/>
      </c>
      <c r="AK59" s="23" t="str">
        <f t="shared" ca="1" si="261"/>
        <v/>
      </c>
      <c r="AL59" s="23" t="str">
        <f t="shared" ca="1" si="261"/>
        <v/>
      </c>
      <c r="AM59" s="23" t="str">
        <f t="shared" ca="1" si="261"/>
        <v/>
      </c>
      <c r="AN59" s="23" t="str">
        <f t="shared" ca="1" si="261"/>
        <v/>
      </c>
      <c r="AO59" s="23" t="str">
        <f t="shared" ca="1" si="261"/>
        <v/>
      </c>
      <c r="AP59" s="23" t="str">
        <f t="shared" ca="1" si="261"/>
        <v/>
      </c>
      <c r="AQ59" s="23" t="str">
        <f t="shared" ca="1" si="261"/>
        <v/>
      </c>
      <c r="AR59" s="23" t="str">
        <f t="shared" ref="AR59:BA60" ca="1" si="262">IF(AR$11="","",IF(AR$11&lt;$D$7,OFFSET(INDIRECT($D$3),$A59-1,$Q$3+AR$11),""))</f>
        <v/>
      </c>
      <c r="AS59" s="23" t="str">
        <f t="shared" ca="1" si="262"/>
        <v/>
      </c>
      <c r="AT59" s="23" t="str">
        <f t="shared" ca="1" si="262"/>
        <v/>
      </c>
      <c r="AU59" s="23" t="str">
        <f t="shared" ca="1" si="262"/>
        <v/>
      </c>
      <c r="AV59" s="23" t="str">
        <f t="shared" ca="1" si="262"/>
        <v/>
      </c>
      <c r="AW59" s="23" t="str">
        <f t="shared" ca="1" si="262"/>
        <v/>
      </c>
      <c r="AX59" s="23" t="str">
        <f t="shared" ca="1" si="262"/>
        <v/>
      </c>
      <c r="AY59" s="23" t="str">
        <f t="shared" ca="1" si="262"/>
        <v/>
      </c>
      <c r="AZ59" s="23" t="str">
        <f t="shared" ca="1" si="262"/>
        <v/>
      </c>
      <c r="BA59" s="23" t="str">
        <f t="shared" ca="1" si="262"/>
        <v/>
      </c>
      <c r="BB59" s="23" t="str">
        <f t="shared" ref="BB59:BK60" ca="1" si="263">IF(BB$11="","",IF(BB$11&lt;$D$7,OFFSET(INDIRECT($D$3),$A59-1,$Q$3+BB$11),""))</f>
        <v/>
      </c>
      <c r="BC59" s="23" t="str">
        <f t="shared" ca="1" si="263"/>
        <v/>
      </c>
      <c r="BD59" s="23" t="str">
        <f t="shared" ca="1" si="263"/>
        <v/>
      </c>
      <c r="BE59" s="23" t="str">
        <f t="shared" ca="1" si="263"/>
        <v/>
      </c>
      <c r="BF59" s="23" t="str">
        <f t="shared" ca="1" si="263"/>
        <v/>
      </c>
      <c r="BG59" s="23" t="str">
        <f t="shared" ca="1" si="263"/>
        <v/>
      </c>
      <c r="BH59" s="23" t="str">
        <f t="shared" ca="1" si="263"/>
        <v/>
      </c>
      <c r="BI59" s="23" t="str">
        <f t="shared" ca="1" si="263"/>
        <v/>
      </c>
      <c r="BJ59" s="23" t="str">
        <f t="shared" ca="1" si="263"/>
        <v/>
      </c>
      <c r="BK59" s="23" t="str">
        <f t="shared" ca="1" si="263"/>
        <v/>
      </c>
      <c r="BL59" s="23" t="str">
        <f t="shared" ref="BL59:BU60" ca="1" si="264">IF(BL$11="","",IF(BL$11&lt;$D$7,OFFSET(INDIRECT($D$3),$A59-1,$Q$3+BL$11),""))</f>
        <v/>
      </c>
      <c r="BM59" s="23" t="str">
        <f t="shared" ca="1" si="264"/>
        <v/>
      </c>
      <c r="BN59" s="23" t="str">
        <f t="shared" ca="1" si="264"/>
        <v/>
      </c>
      <c r="BO59" s="23" t="str">
        <f t="shared" ca="1" si="264"/>
        <v/>
      </c>
      <c r="BP59" s="23" t="str">
        <f t="shared" ca="1" si="264"/>
        <v/>
      </c>
      <c r="BQ59" s="23" t="str">
        <f t="shared" ca="1" si="264"/>
        <v/>
      </c>
      <c r="BR59" s="23" t="str">
        <f t="shared" ca="1" si="264"/>
        <v/>
      </c>
      <c r="BS59" s="23" t="str">
        <f t="shared" ca="1" si="264"/>
        <v/>
      </c>
      <c r="BT59" s="23" t="str">
        <f t="shared" ca="1" si="264"/>
        <v/>
      </c>
      <c r="BU59" s="23" t="str">
        <f t="shared" ca="1" si="264"/>
        <v/>
      </c>
      <c r="BV59" s="23" t="str">
        <f t="shared" ref="BV59:CE60" ca="1" si="265">IF(BV$11="","",IF(BV$11&lt;$D$7,OFFSET(INDIRECT($D$3),$A59-1,$Q$3+BV$11),""))</f>
        <v/>
      </c>
      <c r="BW59" s="23" t="str">
        <f t="shared" ca="1" si="265"/>
        <v/>
      </c>
      <c r="BX59" s="23" t="str">
        <f t="shared" ca="1" si="265"/>
        <v/>
      </c>
      <c r="BY59" s="23" t="str">
        <f t="shared" ca="1" si="265"/>
        <v/>
      </c>
      <c r="BZ59" s="23" t="str">
        <f t="shared" ca="1" si="265"/>
        <v/>
      </c>
      <c r="CA59" s="23" t="str">
        <f t="shared" ca="1" si="265"/>
        <v/>
      </c>
      <c r="CB59" s="23" t="str">
        <f t="shared" ca="1" si="265"/>
        <v/>
      </c>
      <c r="CC59" s="23" t="str">
        <f t="shared" ca="1" si="265"/>
        <v/>
      </c>
      <c r="CD59" s="23" t="str">
        <f t="shared" ca="1" si="265"/>
        <v/>
      </c>
      <c r="CE59" s="23" t="str">
        <f t="shared" ca="1" si="265"/>
        <v/>
      </c>
      <c r="CF59" s="23" t="str">
        <f t="shared" ref="CF59:CO60" ca="1" si="266">IF(CF$11="","",IF(CF$11&lt;$D$7,OFFSET(INDIRECT($D$3),$A59-1,$Q$3+CF$11),""))</f>
        <v/>
      </c>
      <c r="CG59" s="23" t="str">
        <f t="shared" ca="1" si="266"/>
        <v/>
      </c>
      <c r="CH59" s="23" t="str">
        <f t="shared" ca="1" si="266"/>
        <v/>
      </c>
      <c r="CI59" s="23" t="str">
        <f t="shared" ca="1" si="266"/>
        <v/>
      </c>
      <c r="CJ59" s="23" t="str">
        <f t="shared" ca="1" si="266"/>
        <v/>
      </c>
      <c r="CK59" s="23" t="str">
        <f t="shared" ca="1" si="266"/>
        <v/>
      </c>
      <c r="CL59" s="23" t="str">
        <f t="shared" ca="1" si="266"/>
        <v/>
      </c>
      <c r="CM59" s="23" t="str">
        <f t="shared" ca="1" si="266"/>
        <v/>
      </c>
      <c r="CN59" s="23" t="str">
        <f t="shared" ca="1" si="266"/>
        <v/>
      </c>
      <c r="CO59" s="23" t="str">
        <f t="shared" ca="1" si="266"/>
        <v/>
      </c>
      <c r="CP59" s="23" t="str">
        <f t="shared" ref="CP59:CZ60" ca="1" si="267">IF(CP$11="","",IF(CP$11&lt;$D$7,OFFSET(INDIRECT($D$3),$A59-1,$Q$3+CP$11),""))</f>
        <v/>
      </c>
      <c r="CQ59" s="23" t="str">
        <f t="shared" ca="1" si="267"/>
        <v/>
      </c>
      <c r="CR59" s="23" t="str">
        <f t="shared" ca="1" si="267"/>
        <v/>
      </c>
      <c r="CS59" s="23" t="str">
        <f t="shared" ca="1" si="267"/>
        <v/>
      </c>
      <c r="CT59" s="23" t="str">
        <f t="shared" ca="1" si="267"/>
        <v/>
      </c>
      <c r="CU59" s="23" t="str">
        <f t="shared" ca="1" si="267"/>
        <v/>
      </c>
      <c r="CV59" s="23" t="str">
        <f t="shared" ca="1" si="267"/>
        <v/>
      </c>
      <c r="CW59" s="23" t="str">
        <f t="shared" ca="1" si="267"/>
        <v/>
      </c>
      <c r="CX59" s="23" t="str">
        <f t="shared" ca="1" si="267"/>
        <v/>
      </c>
      <c r="CY59" s="23" t="str">
        <f t="shared" ca="1" si="267"/>
        <v/>
      </c>
      <c r="CZ59" s="23" t="str">
        <f t="shared" ca="1" si="267"/>
        <v/>
      </c>
    </row>
    <row r="60" spans="1:104" ht="13.5" customHeight="1">
      <c r="A60" s="27">
        <v>197</v>
      </c>
      <c r="B60" s="33">
        <f t="shared" si="14"/>
        <v>60</v>
      </c>
      <c r="C60" s="9" t="s">
        <v>332</v>
      </c>
      <c r="D60" s="23">
        <f t="shared" ca="1" si="258"/>
        <v>38315</v>
      </c>
      <c r="E60" s="23">
        <f t="shared" ca="1" si="258"/>
        <v>57512</v>
      </c>
      <c r="F60" s="23" t="str">
        <f t="shared" ca="1" si="258"/>
        <v/>
      </c>
      <c r="G60" s="23" t="str">
        <f t="shared" ca="1" si="258"/>
        <v/>
      </c>
      <c r="H60" s="23" t="str">
        <f t="shared" ca="1" si="258"/>
        <v/>
      </c>
      <c r="I60" s="23" t="str">
        <f t="shared" ca="1" si="258"/>
        <v/>
      </c>
      <c r="J60" s="23" t="str">
        <f t="shared" ca="1" si="258"/>
        <v/>
      </c>
      <c r="K60" s="23" t="str">
        <f t="shared" ca="1" si="258"/>
        <v/>
      </c>
      <c r="L60" s="23" t="str">
        <f t="shared" ca="1" si="258"/>
        <v/>
      </c>
      <c r="M60" s="23" t="str">
        <f t="shared" ca="1" si="258"/>
        <v/>
      </c>
      <c r="N60" s="23" t="str">
        <f t="shared" ca="1" si="259"/>
        <v/>
      </c>
      <c r="O60" s="23" t="str">
        <f t="shared" ca="1" si="259"/>
        <v/>
      </c>
      <c r="P60" s="23" t="str">
        <f t="shared" ca="1" si="259"/>
        <v/>
      </c>
      <c r="Q60" s="23" t="str">
        <f t="shared" ca="1" si="259"/>
        <v/>
      </c>
      <c r="R60" s="23" t="str">
        <f t="shared" ca="1" si="259"/>
        <v/>
      </c>
      <c r="S60" s="23" t="str">
        <f t="shared" ca="1" si="259"/>
        <v/>
      </c>
      <c r="T60" s="23" t="str">
        <f t="shared" ca="1" si="259"/>
        <v/>
      </c>
      <c r="U60" s="23" t="str">
        <f t="shared" ca="1" si="259"/>
        <v/>
      </c>
      <c r="V60" s="23" t="str">
        <f t="shared" ca="1" si="259"/>
        <v/>
      </c>
      <c r="W60" s="23" t="str">
        <f t="shared" ca="1" si="259"/>
        <v/>
      </c>
      <c r="X60" s="23" t="str">
        <f t="shared" ca="1" si="260"/>
        <v/>
      </c>
      <c r="Y60" s="23" t="str">
        <f t="shared" ca="1" si="260"/>
        <v/>
      </c>
      <c r="Z60" s="23" t="str">
        <f t="shared" ca="1" si="260"/>
        <v/>
      </c>
      <c r="AA60" s="23" t="str">
        <f t="shared" ca="1" si="260"/>
        <v/>
      </c>
      <c r="AB60" s="23" t="str">
        <f t="shared" ca="1" si="260"/>
        <v/>
      </c>
      <c r="AC60" s="23" t="str">
        <f t="shared" ca="1" si="260"/>
        <v/>
      </c>
      <c r="AD60" s="23" t="str">
        <f t="shared" ca="1" si="260"/>
        <v/>
      </c>
      <c r="AE60" s="23" t="str">
        <f t="shared" ca="1" si="260"/>
        <v/>
      </c>
      <c r="AF60" s="23" t="str">
        <f t="shared" ca="1" si="260"/>
        <v/>
      </c>
      <c r="AG60" s="23" t="str">
        <f t="shared" ca="1" si="260"/>
        <v/>
      </c>
      <c r="AH60" s="23" t="str">
        <f t="shared" ca="1" si="261"/>
        <v/>
      </c>
      <c r="AI60" s="23" t="str">
        <f t="shared" ca="1" si="261"/>
        <v/>
      </c>
      <c r="AJ60" s="23" t="str">
        <f t="shared" ca="1" si="261"/>
        <v/>
      </c>
      <c r="AK60" s="23" t="str">
        <f t="shared" ca="1" si="261"/>
        <v/>
      </c>
      <c r="AL60" s="23" t="str">
        <f t="shared" ca="1" si="261"/>
        <v/>
      </c>
      <c r="AM60" s="23" t="str">
        <f t="shared" ca="1" si="261"/>
        <v/>
      </c>
      <c r="AN60" s="23" t="str">
        <f t="shared" ca="1" si="261"/>
        <v/>
      </c>
      <c r="AO60" s="23" t="str">
        <f t="shared" ca="1" si="261"/>
        <v/>
      </c>
      <c r="AP60" s="23" t="str">
        <f t="shared" ca="1" si="261"/>
        <v/>
      </c>
      <c r="AQ60" s="23" t="str">
        <f t="shared" ca="1" si="261"/>
        <v/>
      </c>
      <c r="AR60" s="23" t="str">
        <f t="shared" ca="1" si="262"/>
        <v/>
      </c>
      <c r="AS60" s="23" t="str">
        <f t="shared" ca="1" si="262"/>
        <v/>
      </c>
      <c r="AT60" s="23" t="str">
        <f t="shared" ca="1" si="262"/>
        <v/>
      </c>
      <c r="AU60" s="23" t="str">
        <f t="shared" ca="1" si="262"/>
        <v/>
      </c>
      <c r="AV60" s="23" t="str">
        <f t="shared" ca="1" si="262"/>
        <v/>
      </c>
      <c r="AW60" s="23" t="str">
        <f t="shared" ca="1" si="262"/>
        <v/>
      </c>
      <c r="AX60" s="23" t="str">
        <f t="shared" ca="1" si="262"/>
        <v/>
      </c>
      <c r="AY60" s="23" t="str">
        <f t="shared" ca="1" si="262"/>
        <v/>
      </c>
      <c r="AZ60" s="23" t="str">
        <f t="shared" ca="1" si="262"/>
        <v/>
      </c>
      <c r="BA60" s="23" t="str">
        <f t="shared" ca="1" si="262"/>
        <v/>
      </c>
      <c r="BB60" s="23" t="str">
        <f t="shared" ca="1" si="263"/>
        <v/>
      </c>
      <c r="BC60" s="23" t="str">
        <f t="shared" ca="1" si="263"/>
        <v/>
      </c>
      <c r="BD60" s="23" t="str">
        <f t="shared" ca="1" si="263"/>
        <v/>
      </c>
      <c r="BE60" s="23" t="str">
        <f t="shared" ca="1" si="263"/>
        <v/>
      </c>
      <c r="BF60" s="23" t="str">
        <f t="shared" ca="1" si="263"/>
        <v/>
      </c>
      <c r="BG60" s="23" t="str">
        <f t="shared" ca="1" si="263"/>
        <v/>
      </c>
      <c r="BH60" s="23" t="str">
        <f t="shared" ca="1" si="263"/>
        <v/>
      </c>
      <c r="BI60" s="23" t="str">
        <f t="shared" ca="1" si="263"/>
        <v/>
      </c>
      <c r="BJ60" s="23" t="str">
        <f t="shared" ca="1" si="263"/>
        <v/>
      </c>
      <c r="BK60" s="23" t="str">
        <f t="shared" ca="1" si="263"/>
        <v/>
      </c>
      <c r="BL60" s="23" t="str">
        <f t="shared" ca="1" si="264"/>
        <v/>
      </c>
      <c r="BM60" s="23" t="str">
        <f t="shared" ca="1" si="264"/>
        <v/>
      </c>
      <c r="BN60" s="23" t="str">
        <f t="shared" ca="1" si="264"/>
        <v/>
      </c>
      <c r="BO60" s="23" t="str">
        <f t="shared" ca="1" si="264"/>
        <v/>
      </c>
      <c r="BP60" s="23" t="str">
        <f t="shared" ca="1" si="264"/>
        <v/>
      </c>
      <c r="BQ60" s="23" t="str">
        <f t="shared" ca="1" si="264"/>
        <v/>
      </c>
      <c r="BR60" s="23" t="str">
        <f t="shared" ca="1" si="264"/>
        <v/>
      </c>
      <c r="BS60" s="23" t="str">
        <f t="shared" ca="1" si="264"/>
        <v/>
      </c>
      <c r="BT60" s="23" t="str">
        <f t="shared" ca="1" si="264"/>
        <v/>
      </c>
      <c r="BU60" s="23" t="str">
        <f t="shared" ca="1" si="264"/>
        <v/>
      </c>
      <c r="BV60" s="23" t="str">
        <f t="shared" ca="1" si="265"/>
        <v/>
      </c>
      <c r="BW60" s="23" t="str">
        <f t="shared" ca="1" si="265"/>
        <v/>
      </c>
      <c r="BX60" s="23" t="str">
        <f t="shared" ca="1" si="265"/>
        <v/>
      </c>
      <c r="BY60" s="23" t="str">
        <f t="shared" ca="1" si="265"/>
        <v/>
      </c>
      <c r="BZ60" s="23" t="str">
        <f t="shared" ca="1" si="265"/>
        <v/>
      </c>
      <c r="CA60" s="23" t="str">
        <f t="shared" ca="1" si="265"/>
        <v/>
      </c>
      <c r="CB60" s="23" t="str">
        <f t="shared" ca="1" si="265"/>
        <v/>
      </c>
      <c r="CC60" s="23" t="str">
        <f t="shared" ca="1" si="265"/>
        <v/>
      </c>
      <c r="CD60" s="23" t="str">
        <f t="shared" ca="1" si="265"/>
        <v/>
      </c>
      <c r="CE60" s="23" t="str">
        <f t="shared" ca="1" si="265"/>
        <v/>
      </c>
      <c r="CF60" s="23" t="str">
        <f t="shared" ca="1" si="266"/>
        <v/>
      </c>
      <c r="CG60" s="23" t="str">
        <f t="shared" ca="1" si="266"/>
        <v/>
      </c>
      <c r="CH60" s="23" t="str">
        <f t="shared" ca="1" si="266"/>
        <v/>
      </c>
      <c r="CI60" s="23" t="str">
        <f t="shared" ca="1" si="266"/>
        <v/>
      </c>
      <c r="CJ60" s="23" t="str">
        <f t="shared" ca="1" si="266"/>
        <v/>
      </c>
      <c r="CK60" s="23" t="str">
        <f t="shared" ca="1" si="266"/>
        <v/>
      </c>
      <c r="CL60" s="23" t="str">
        <f t="shared" ca="1" si="266"/>
        <v/>
      </c>
      <c r="CM60" s="23" t="str">
        <f t="shared" ca="1" si="266"/>
        <v/>
      </c>
      <c r="CN60" s="23" t="str">
        <f t="shared" ca="1" si="266"/>
        <v/>
      </c>
      <c r="CO60" s="23" t="str">
        <f t="shared" ca="1" si="266"/>
        <v/>
      </c>
      <c r="CP60" s="23" t="str">
        <f t="shared" ca="1" si="267"/>
        <v/>
      </c>
      <c r="CQ60" s="23" t="str">
        <f t="shared" ca="1" si="267"/>
        <v/>
      </c>
      <c r="CR60" s="23" t="str">
        <f t="shared" ca="1" si="267"/>
        <v/>
      </c>
      <c r="CS60" s="23" t="str">
        <f t="shared" ca="1" si="267"/>
        <v/>
      </c>
      <c r="CT60" s="23" t="str">
        <f t="shared" ca="1" si="267"/>
        <v/>
      </c>
      <c r="CU60" s="23" t="str">
        <f t="shared" ca="1" si="267"/>
        <v/>
      </c>
      <c r="CV60" s="23" t="str">
        <f t="shared" ca="1" si="267"/>
        <v/>
      </c>
      <c r="CW60" s="23" t="str">
        <f t="shared" ca="1" si="267"/>
        <v/>
      </c>
      <c r="CX60" s="23" t="str">
        <f t="shared" ca="1" si="267"/>
        <v/>
      </c>
      <c r="CY60" s="23" t="str">
        <f t="shared" ca="1" si="267"/>
        <v/>
      </c>
      <c r="CZ60" s="23" t="str">
        <f t="shared" ca="1" si="267"/>
        <v/>
      </c>
    </row>
    <row r="61" spans="1:104" ht="13.5" customHeight="1">
      <c r="A61" s="27"/>
      <c r="B61" s="33">
        <f t="shared" si="14"/>
        <v>61</v>
      </c>
      <c r="C61" s="11"/>
      <c r="D61" s="34"/>
      <c r="E61" s="34"/>
      <c r="F61" s="34"/>
      <c r="G61" s="34"/>
      <c r="H61" s="34"/>
      <c r="I61" s="34"/>
      <c r="J61" s="34"/>
      <c r="K61" s="34"/>
      <c r="L61" s="34"/>
      <c r="M61" s="34"/>
      <c r="N61" s="34"/>
      <c r="O61" s="34"/>
      <c r="P61" s="34"/>
      <c r="Q61" s="34"/>
      <c r="R61" s="34"/>
      <c r="S61" s="34"/>
      <c r="T61" s="34"/>
      <c r="U61" s="34"/>
      <c r="V61" s="34"/>
      <c r="W61" s="34"/>
      <c r="X61" s="34"/>
      <c r="Y61" s="34"/>
      <c r="Z61" s="34"/>
      <c r="AA61" s="34"/>
      <c r="AB61" s="34"/>
      <c r="AC61" s="34"/>
      <c r="AD61" s="34"/>
      <c r="AE61" s="34"/>
      <c r="AF61" s="34"/>
      <c r="AG61" s="34"/>
      <c r="AH61" s="34"/>
      <c r="AI61" s="34"/>
      <c r="AJ61" s="34"/>
      <c r="AK61" s="34"/>
      <c r="AL61" s="34"/>
      <c r="AM61" s="34"/>
      <c r="AN61" s="34"/>
      <c r="AO61" s="34"/>
      <c r="AP61" s="34"/>
      <c r="AQ61" s="34"/>
      <c r="AR61" s="34"/>
      <c r="AS61" s="34"/>
      <c r="AT61" s="34"/>
      <c r="AU61" s="34"/>
      <c r="AV61" s="34"/>
      <c r="AW61" s="34"/>
      <c r="AX61" s="34"/>
      <c r="AY61" s="34"/>
      <c r="AZ61" s="34"/>
      <c r="BA61" s="34"/>
      <c r="BB61" s="34"/>
      <c r="BC61" s="34"/>
      <c r="BD61" s="34"/>
      <c r="BE61" s="34"/>
      <c r="BF61" s="34"/>
      <c r="BG61" s="34"/>
      <c r="BH61" s="34"/>
      <c r="BI61" s="34"/>
      <c r="BJ61" s="34"/>
      <c r="BK61" s="34"/>
      <c r="BL61" s="34"/>
      <c r="BM61" s="34"/>
      <c r="BN61" s="34"/>
      <c r="BO61" s="34"/>
      <c r="BP61" s="34"/>
      <c r="BQ61" s="34"/>
      <c r="BR61" s="34"/>
      <c r="BS61" s="34"/>
      <c r="BT61" s="34"/>
      <c r="BU61" s="34"/>
      <c r="BV61" s="34"/>
      <c r="BW61" s="34"/>
      <c r="BX61" s="34"/>
      <c r="BY61" s="34"/>
      <c r="BZ61" s="34"/>
      <c r="CA61" s="34"/>
      <c r="CB61" s="34"/>
      <c r="CC61" s="34"/>
      <c r="CD61" s="34"/>
      <c r="CE61" s="34"/>
      <c r="CF61" s="34"/>
      <c r="CG61" s="34"/>
      <c r="CH61" s="34"/>
      <c r="CI61" s="34"/>
      <c r="CJ61" s="34"/>
      <c r="CK61" s="34"/>
      <c r="CL61" s="34"/>
      <c r="CM61" s="34"/>
      <c r="CN61" s="34"/>
      <c r="CO61" s="34"/>
      <c r="CP61" s="34"/>
      <c r="CQ61" s="34"/>
      <c r="CR61" s="34"/>
      <c r="CS61" s="34"/>
      <c r="CT61" s="34"/>
      <c r="CU61" s="34"/>
      <c r="CV61" s="34"/>
      <c r="CW61" s="34"/>
      <c r="CX61" s="34"/>
      <c r="CY61" s="34"/>
      <c r="CZ61" s="34"/>
    </row>
    <row r="62" spans="1:104" ht="13.5" customHeight="1">
      <c r="A62" s="27">
        <v>53</v>
      </c>
      <c r="B62" s="33">
        <f t="shared" si="14"/>
        <v>62</v>
      </c>
      <c r="C62" s="9" t="s">
        <v>333</v>
      </c>
      <c r="D62" s="23">
        <f t="shared" ref="D62:M66" ca="1" si="268">IF(D$11="","",IF(D$13=$M$5,CHOOSE($Q$6+1,$M$1,E62+F62-G62),IF(D$13=$M$6,CHOOSE($Q$6+1,$M$1,OFFSET($A62,,$P$7-1)),IF(D$13=$M$7,CHOOSE($Q$6+1,$M$1,SUM(OFFSET($A$11,$B62-$O$5,$O$6,1,-$P$6))),IF(D$13=$M$8,CHOOSE($Q$6+1,$M$1,SUM(OFFSET($A$11,$B62-$O$5,$O$7,1,-$P$6))),IF(D$11&lt;$D$7,OFFSET(INDIRECT($D$3),$A62-1,$Q$3+D$11),OFFSET(INDIRECT($D$4),$A62-1,$Q$4+D$11)))))))</f>
        <v>25922</v>
      </c>
      <c r="E62" s="23">
        <f t="shared" ca="1" si="268"/>
        <v>41733</v>
      </c>
      <c r="F62" s="23">
        <f t="shared" ca="1" si="268"/>
        <v>5987</v>
      </c>
      <c r="G62" s="23">
        <f t="shared" ca="1" si="268"/>
        <v>7308</v>
      </c>
      <c r="H62" s="23">
        <f t="shared" ca="1" si="268"/>
        <v>6623</v>
      </c>
      <c r="I62" s="23">
        <f t="shared" ca="1" si="268"/>
        <v>13064</v>
      </c>
      <c r="J62" s="23">
        <f t="shared" ca="1" si="268"/>
        <v>11622</v>
      </c>
      <c r="K62" s="23">
        <f t="shared" ca="1" si="268"/>
        <v>8824</v>
      </c>
      <c r="L62" s="23">
        <f t="shared" ca="1" si="268"/>
        <v>8223</v>
      </c>
      <c r="M62" s="23">
        <f t="shared" ca="1" si="268"/>
        <v>13078</v>
      </c>
      <c r="N62" s="23">
        <f t="shared" ref="N62:W66" ca="1" si="269">IF(N$11="","",IF(N$13=$M$5,CHOOSE($Q$6+1,$M$1,O62+P62-Q62),IF(N$13=$M$6,CHOOSE($Q$6+1,$M$1,OFFSET($A62,,$P$7-1)),IF(N$13=$M$7,CHOOSE($Q$6+1,$M$1,SUM(OFFSET($A$11,$B62-$O$5,$O$6,1,-$P$6))),IF(N$13=$M$8,CHOOSE($Q$6+1,$M$1,SUM(OFFSET($A$11,$B62-$O$5,$O$7,1,-$P$6))),IF(N$11&lt;$D$7,OFFSET(INDIRECT($D$3),$A62-1,$Q$3+N$11),OFFSET(INDIRECT($D$4),$A62-1,$Q$4+N$11)))))))</f>
        <v>41747</v>
      </c>
      <c r="O62" s="23">
        <f t="shared" ca="1" si="269"/>
        <v>41733</v>
      </c>
      <c r="P62" s="23">
        <f t="shared" ca="1" si="269"/>
        <v>13078</v>
      </c>
      <c r="Q62" s="23">
        <f t="shared" ca="1" si="269"/>
        <v>13064</v>
      </c>
      <c r="R62" s="23" t="str">
        <f t="shared" ca="1" si="269"/>
        <v/>
      </c>
      <c r="S62" s="23" t="str">
        <f t="shared" ca="1" si="269"/>
        <v/>
      </c>
      <c r="T62" s="23" t="str">
        <f t="shared" ca="1" si="269"/>
        <v/>
      </c>
      <c r="U62" s="23" t="str">
        <f t="shared" ca="1" si="269"/>
        <v/>
      </c>
      <c r="V62" s="23" t="str">
        <f t="shared" ca="1" si="269"/>
        <v/>
      </c>
      <c r="W62" s="23" t="str">
        <f t="shared" ca="1" si="269"/>
        <v/>
      </c>
      <c r="X62" s="23" t="str">
        <f t="shared" ref="X62:AG66" ca="1" si="270">IF(X$11="","",IF(X$13=$M$5,CHOOSE($Q$6+1,$M$1,Y62+Z62-AA62),IF(X$13=$M$6,CHOOSE($Q$6+1,$M$1,OFFSET($A62,,$P$7-1)),IF(X$13=$M$7,CHOOSE($Q$6+1,$M$1,SUM(OFFSET($A$11,$B62-$O$5,$O$6,1,-$P$6))),IF(X$13=$M$8,CHOOSE($Q$6+1,$M$1,SUM(OFFSET($A$11,$B62-$O$5,$O$7,1,-$P$6))),IF(X$11&lt;$D$7,OFFSET(INDIRECT($D$3),$A62-1,$Q$3+X$11),OFFSET(INDIRECT($D$4),$A62-1,$Q$4+X$11)))))))</f>
        <v/>
      </c>
      <c r="Y62" s="23" t="str">
        <f t="shared" ca="1" si="270"/>
        <v/>
      </c>
      <c r="Z62" s="23" t="str">
        <f t="shared" ca="1" si="270"/>
        <v/>
      </c>
      <c r="AA62" s="23" t="str">
        <f t="shared" ca="1" si="270"/>
        <v/>
      </c>
      <c r="AB62" s="23" t="str">
        <f t="shared" ca="1" si="270"/>
        <v/>
      </c>
      <c r="AC62" s="23" t="str">
        <f t="shared" ca="1" si="270"/>
        <v/>
      </c>
      <c r="AD62" s="23" t="str">
        <f t="shared" ca="1" si="270"/>
        <v/>
      </c>
      <c r="AE62" s="23" t="str">
        <f t="shared" ca="1" si="270"/>
        <v/>
      </c>
      <c r="AF62" s="23" t="str">
        <f t="shared" ca="1" si="270"/>
        <v/>
      </c>
      <c r="AG62" s="23" t="str">
        <f t="shared" ca="1" si="270"/>
        <v/>
      </c>
      <c r="AH62" s="23" t="str">
        <f t="shared" ref="AH62:AQ66" ca="1" si="271">IF(AH$11="","",IF(AH$13=$M$5,CHOOSE($Q$6+1,$M$1,AI62+AJ62-AK62),IF(AH$13=$M$6,CHOOSE($Q$6+1,$M$1,OFFSET($A62,,$P$7-1)),IF(AH$13=$M$7,CHOOSE($Q$6+1,$M$1,SUM(OFFSET($A$11,$B62-$O$5,$O$6,1,-$P$6))),IF(AH$13=$M$8,CHOOSE($Q$6+1,$M$1,SUM(OFFSET($A$11,$B62-$O$5,$O$7,1,-$P$6))),IF(AH$11&lt;$D$7,OFFSET(INDIRECT($D$3),$A62-1,$Q$3+AH$11),OFFSET(INDIRECT($D$4),$A62-1,$Q$4+AH$11)))))))</f>
        <v/>
      </c>
      <c r="AI62" s="23" t="str">
        <f t="shared" ca="1" si="271"/>
        <v/>
      </c>
      <c r="AJ62" s="23" t="str">
        <f t="shared" ca="1" si="271"/>
        <v/>
      </c>
      <c r="AK62" s="23" t="str">
        <f t="shared" ca="1" si="271"/>
        <v/>
      </c>
      <c r="AL62" s="23" t="str">
        <f t="shared" ca="1" si="271"/>
        <v/>
      </c>
      <c r="AM62" s="23" t="str">
        <f t="shared" ca="1" si="271"/>
        <v/>
      </c>
      <c r="AN62" s="23" t="str">
        <f t="shared" ca="1" si="271"/>
        <v/>
      </c>
      <c r="AO62" s="23" t="str">
        <f t="shared" ca="1" si="271"/>
        <v/>
      </c>
      <c r="AP62" s="23" t="str">
        <f t="shared" ca="1" si="271"/>
        <v/>
      </c>
      <c r="AQ62" s="23" t="str">
        <f t="shared" ca="1" si="271"/>
        <v/>
      </c>
      <c r="AR62" s="23" t="str">
        <f t="shared" ref="AR62:BA66" ca="1" si="272">IF(AR$11="","",IF(AR$13=$M$5,CHOOSE($Q$6+1,$M$1,AS62+AT62-AU62),IF(AR$13=$M$6,CHOOSE($Q$6+1,$M$1,OFFSET($A62,,$P$7-1)),IF(AR$13=$M$7,CHOOSE($Q$6+1,$M$1,SUM(OFFSET($A$11,$B62-$O$5,$O$6,1,-$P$6))),IF(AR$13=$M$8,CHOOSE($Q$6+1,$M$1,SUM(OFFSET($A$11,$B62-$O$5,$O$7,1,-$P$6))),IF(AR$11&lt;$D$7,OFFSET(INDIRECT($D$3),$A62-1,$Q$3+AR$11),OFFSET(INDIRECT($D$4),$A62-1,$Q$4+AR$11)))))))</f>
        <v/>
      </c>
      <c r="AS62" s="23" t="str">
        <f t="shared" ca="1" si="272"/>
        <v/>
      </c>
      <c r="AT62" s="23" t="str">
        <f t="shared" ca="1" si="272"/>
        <v/>
      </c>
      <c r="AU62" s="23" t="str">
        <f t="shared" ca="1" si="272"/>
        <v/>
      </c>
      <c r="AV62" s="23" t="str">
        <f t="shared" ca="1" si="272"/>
        <v/>
      </c>
      <c r="AW62" s="23" t="str">
        <f t="shared" ca="1" si="272"/>
        <v/>
      </c>
      <c r="AX62" s="23" t="str">
        <f t="shared" ca="1" si="272"/>
        <v/>
      </c>
      <c r="AY62" s="23" t="str">
        <f t="shared" ca="1" si="272"/>
        <v/>
      </c>
      <c r="AZ62" s="23" t="str">
        <f t="shared" ca="1" si="272"/>
        <v/>
      </c>
      <c r="BA62" s="23" t="str">
        <f t="shared" ca="1" si="272"/>
        <v/>
      </c>
      <c r="BB62" s="23" t="str">
        <f t="shared" ref="BB62:BK66" ca="1" si="273">IF(BB$11="","",IF(BB$13=$M$5,CHOOSE($Q$6+1,$M$1,BC62+BD62-BE62),IF(BB$13=$M$6,CHOOSE($Q$6+1,$M$1,OFFSET($A62,,$P$7-1)),IF(BB$13=$M$7,CHOOSE($Q$6+1,$M$1,SUM(OFFSET($A$11,$B62-$O$5,$O$6,1,-$P$6))),IF(BB$13=$M$8,CHOOSE($Q$6+1,$M$1,SUM(OFFSET($A$11,$B62-$O$5,$O$7,1,-$P$6))),IF(BB$11&lt;$D$7,OFFSET(INDIRECT($D$3),$A62-1,$Q$3+BB$11),OFFSET(INDIRECT($D$4),$A62-1,$Q$4+BB$11)))))))</f>
        <v/>
      </c>
      <c r="BC62" s="23" t="str">
        <f t="shared" ca="1" si="273"/>
        <v/>
      </c>
      <c r="BD62" s="23" t="str">
        <f t="shared" ca="1" si="273"/>
        <v/>
      </c>
      <c r="BE62" s="23" t="str">
        <f t="shared" ca="1" si="273"/>
        <v/>
      </c>
      <c r="BF62" s="23" t="str">
        <f t="shared" ca="1" si="273"/>
        <v/>
      </c>
      <c r="BG62" s="23" t="str">
        <f t="shared" ca="1" si="273"/>
        <v/>
      </c>
      <c r="BH62" s="23" t="str">
        <f t="shared" ca="1" si="273"/>
        <v/>
      </c>
      <c r="BI62" s="23" t="str">
        <f t="shared" ca="1" si="273"/>
        <v/>
      </c>
      <c r="BJ62" s="23" t="str">
        <f t="shared" ca="1" si="273"/>
        <v/>
      </c>
      <c r="BK62" s="23" t="str">
        <f t="shared" ca="1" si="273"/>
        <v/>
      </c>
      <c r="BL62" s="23" t="str">
        <f t="shared" ref="BL62:BU66" ca="1" si="274">IF(BL$11="","",IF(BL$13=$M$5,CHOOSE($Q$6+1,$M$1,BM62+BN62-BO62),IF(BL$13=$M$6,CHOOSE($Q$6+1,$M$1,OFFSET($A62,,$P$7-1)),IF(BL$13=$M$7,CHOOSE($Q$6+1,$M$1,SUM(OFFSET($A$11,$B62-$O$5,$O$6,1,-$P$6))),IF(BL$13=$M$8,CHOOSE($Q$6+1,$M$1,SUM(OFFSET($A$11,$B62-$O$5,$O$7,1,-$P$6))),IF(BL$11&lt;$D$7,OFFSET(INDIRECT($D$3),$A62-1,$Q$3+BL$11),OFFSET(INDIRECT($D$4),$A62-1,$Q$4+BL$11)))))))</f>
        <v/>
      </c>
      <c r="BM62" s="23" t="str">
        <f t="shared" ca="1" si="274"/>
        <v/>
      </c>
      <c r="BN62" s="23" t="str">
        <f t="shared" ca="1" si="274"/>
        <v/>
      </c>
      <c r="BO62" s="23" t="str">
        <f t="shared" ca="1" si="274"/>
        <v/>
      </c>
      <c r="BP62" s="23" t="str">
        <f t="shared" ca="1" si="274"/>
        <v/>
      </c>
      <c r="BQ62" s="23" t="str">
        <f t="shared" ca="1" si="274"/>
        <v/>
      </c>
      <c r="BR62" s="23" t="str">
        <f t="shared" ca="1" si="274"/>
        <v/>
      </c>
      <c r="BS62" s="23" t="str">
        <f t="shared" ca="1" si="274"/>
        <v/>
      </c>
      <c r="BT62" s="23" t="str">
        <f t="shared" ca="1" si="274"/>
        <v/>
      </c>
      <c r="BU62" s="23" t="str">
        <f t="shared" ca="1" si="274"/>
        <v/>
      </c>
      <c r="BV62" s="23" t="str">
        <f t="shared" ref="BV62:CE66" ca="1" si="275">IF(BV$11="","",IF(BV$13=$M$5,CHOOSE($Q$6+1,$M$1,BW62+BX62-BY62),IF(BV$13=$M$6,CHOOSE($Q$6+1,$M$1,OFFSET($A62,,$P$7-1)),IF(BV$13=$M$7,CHOOSE($Q$6+1,$M$1,SUM(OFFSET($A$11,$B62-$O$5,$O$6,1,-$P$6))),IF(BV$13=$M$8,CHOOSE($Q$6+1,$M$1,SUM(OFFSET($A$11,$B62-$O$5,$O$7,1,-$P$6))),IF(BV$11&lt;$D$7,OFFSET(INDIRECT($D$3),$A62-1,$Q$3+BV$11),OFFSET(INDIRECT($D$4),$A62-1,$Q$4+BV$11)))))))</f>
        <v/>
      </c>
      <c r="BW62" s="23" t="str">
        <f t="shared" ca="1" si="275"/>
        <v/>
      </c>
      <c r="BX62" s="23" t="str">
        <f t="shared" ca="1" si="275"/>
        <v/>
      </c>
      <c r="BY62" s="23" t="str">
        <f t="shared" ca="1" si="275"/>
        <v/>
      </c>
      <c r="BZ62" s="23" t="str">
        <f t="shared" ca="1" si="275"/>
        <v/>
      </c>
      <c r="CA62" s="23" t="str">
        <f t="shared" ca="1" si="275"/>
        <v/>
      </c>
      <c r="CB62" s="23" t="str">
        <f t="shared" ca="1" si="275"/>
        <v/>
      </c>
      <c r="CC62" s="23" t="str">
        <f t="shared" ca="1" si="275"/>
        <v/>
      </c>
      <c r="CD62" s="23" t="str">
        <f t="shared" ca="1" si="275"/>
        <v/>
      </c>
      <c r="CE62" s="23" t="str">
        <f t="shared" ca="1" si="275"/>
        <v/>
      </c>
      <c r="CF62" s="23" t="str">
        <f t="shared" ref="CF62:CO66" ca="1" si="276">IF(CF$11="","",IF(CF$13=$M$5,CHOOSE($Q$6+1,$M$1,CG62+CH62-CI62),IF(CF$13=$M$6,CHOOSE($Q$6+1,$M$1,OFFSET($A62,,$P$7-1)),IF(CF$13=$M$7,CHOOSE($Q$6+1,$M$1,SUM(OFFSET($A$11,$B62-$O$5,$O$6,1,-$P$6))),IF(CF$13=$M$8,CHOOSE($Q$6+1,$M$1,SUM(OFFSET($A$11,$B62-$O$5,$O$7,1,-$P$6))),IF(CF$11&lt;$D$7,OFFSET(INDIRECT($D$3),$A62-1,$Q$3+CF$11),OFFSET(INDIRECT($D$4),$A62-1,$Q$4+CF$11)))))))</f>
        <v/>
      </c>
      <c r="CG62" s="23" t="str">
        <f t="shared" ca="1" si="276"/>
        <v/>
      </c>
      <c r="CH62" s="23" t="str">
        <f t="shared" ca="1" si="276"/>
        <v/>
      </c>
      <c r="CI62" s="23" t="str">
        <f t="shared" ca="1" si="276"/>
        <v/>
      </c>
      <c r="CJ62" s="23" t="str">
        <f t="shared" ca="1" si="276"/>
        <v/>
      </c>
      <c r="CK62" s="23" t="str">
        <f t="shared" ca="1" si="276"/>
        <v/>
      </c>
      <c r="CL62" s="23" t="str">
        <f t="shared" ca="1" si="276"/>
        <v/>
      </c>
      <c r="CM62" s="23" t="str">
        <f t="shared" ca="1" si="276"/>
        <v/>
      </c>
      <c r="CN62" s="23" t="str">
        <f t="shared" ca="1" si="276"/>
        <v/>
      </c>
      <c r="CO62" s="23" t="str">
        <f t="shared" ca="1" si="276"/>
        <v/>
      </c>
      <c r="CP62" s="23" t="str">
        <f t="shared" ref="CP62:CW66" ca="1" si="277">IF(CP$11="","",IF(CP$13=$M$5,CHOOSE($Q$6+1,$M$1,CQ62+CR62-CS62),IF(CP$13=$M$6,CHOOSE($Q$6+1,$M$1,OFFSET($A62,,$P$7-1)),IF(CP$13=$M$7,CHOOSE($Q$6+1,$M$1,SUM(OFFSET($A$11,$B62-$O$5,$O$6,1,-$P$6))),IF(CP$13=$M$8,CHOOSE($Q$6+1,$M$1,SUM(OFFSET($A$11,$B62-$O$5,$O$7,1,-$P$6))),IF(CP$11&lt;$D$7,OFFSET(INDIRECT($D$3),$A62-1,$Q$3+CP$11),OFFSET(INDIRECT($D$4),$A62-1,$Q$4+CP$11)))))))</f>
        <v/>
      </c>
      <c r="CQ62" s="23" t="str">
        <f t="shared" ca="1" si="277"/>
        <v/>
      </c>
      <c r="CR62" s="23" t="str">
        <f t="shared" ca="1" si="277"/>
        <v/>
      </c>
      <c r="CS62" s="23" t="str">
        <f t="shared" ca="1" si="277"/>
        <v/>
      </c>
      <c r="CT62" s="23" t="str">
        <f t="shared" ca="1" si="277"/>
        <v/>
      </c>
      <c r="CU62" s="23" t="str">
        <f t="shared" ca="1" si="277"/>
        <v/>
      </c>
      <c r="CV62" s="23" t="str">
        <f t="shared" ca="1" si="277"/>
        <v/>
      </c>
      <c r="CW62" s="23" t="str">
        <f t="shared" ca="1" si="277"/>
        <v/>
      </c>
      <c r="CX62" s="23" t="str">
        <f ca="1">IF(CX$11="","",IF(CX$13=$M$5,CHOOSE($Q$6+1,$M$1,CY62+CZ62-#REF!),IF(CX$13=$M$6,CHOOSE($Q$6+1,$M$1,OFFSET($A62,,$P$7-1)),IF(CX$13=$M$7,CHOOSE($Q$6+1,$M$1,SUM(OFFSET($A$11,$B62-$O$5,$O$6,1,-$P$6))),IF(CX$13=$M$8,CHOOSE($Q$6+1,$M$1,SUM(OFFSET($A$11,$B62-$O$5,$O$7,1,-$P$6))),IF(CX$11&lt;$D$7,OFFSET(INDIRECT($D$3),$A62-1,$Q$3+CX$11),OFFSET(INDIRECT($D$4),$A62-1,$Q$4+CX$11)))))))</f>
        <v/>
      </c>
      <c r="CY62" s="23" t="str">
        <f ca="1">IF(CY$11="","",IF(CY$13=$M$5,CHOOSE($Q$6+1,$M$1,CZ62+#REF!-#REF!),IF(CY$13=$M$6,CHOOSE($Q$6+1,$M$1,OFFSET($A62,,$P$7-1)),IF(CY$13=$M$7,CHOOSE($Q$6+1,$M$1,SUM(OFFSET($A$11,$B62-$O$5,$O$6,1,-$P$6))),IF(CY$13=$M$8,CHOOSE($Q$6+1,$M$1,SUM(OFFSET($A$11,$B62-$O$5,$O$7,1,-$P$6))),IF(CY$11&lt;$D$7,OFFSET(INDIRECT($D$3),$A62-1,$Q$3+CY$11),OFFSET(INDIRECT($D$4),$A62-1,$Q$4+CY$11)))))))</f>
        <v/>
      </c>
      <c r="CZ62" s="23" t="str">
        <f ca="1">IF(CZ$11="","",IF(CZ$13=$M$5,CHOOSE($Q$6+1,$M$1,#REF!+#REF!-#REF!),IF(CZ$13=$M$6,CHOOSE($Q$6+1,$M$1,OFFSET($A62,,$P$7-1)),IF(CZ$13=$M$7,CHOOSE($Q$6+1,$M$1,SUM(OFFSET($A$11,$B62-$O$5,$O$6,1,-$P$6))),IF(CZ$13=$M$8,CHOOSE($Q$6+1,$M$1,SUM(OFFSET($A$11,$B62-$O$5,$O$7,1,-$P$6))),IF(CZ$11&lt;$D$7,OFFSET(INDIRECT($D$3),$A62-1,$Q$3+CZ$11),OFFSET(INDIRECT($D$4),$A62-1,$Q$4+CZ$11)))))))</f>
        <v/>
      </c>
    </row>
    <row r="63" spans="1:104" ht="13.5" customHeight="1">
      <c r="A63" s="27">
        <v>54</v>
      </c>
      <c r="B63" s="33">
        <f t="shared" si="14"/>
        <v>63</v>
      </c>
      <c r="C63" s="9" t="s">
        <v>334</v>
      </c>
      <c r="D63" s="23">
        <f t="shared" ca="1" si="268"/>
        <v>25922</v>
      </c>
      <c r="E63" s="23">
        <f t="shared" ca="1" si="268"/>
        <v>41733</v>
      </c>
      <c r="F63" s="23">
        <f t="shared" ca="1" si="268"/>
        <v>5987</v>
      </c>
      <c r="G63" s="23">
        <f t="shared" ca="1" si="268"/>
        <v>7308</v>
      </c>
      <c r="H63" s="23">
        <f t="shared" ca="1" si="268"/>
        <v>6623</v>
      </c>
      <c r="I63" s="23">
        <f t="shared" ca="1" si="268"/>
        <v>13064</v>
      </c>
      <c r="J63" s="23">
        <f t="shared" ca="1" si="268"/>
        <v>11622</v>
      </c>
      <c r="K63" s="23">
        <f t="shared" ca="1" si="268"/>
        <v>8824</v>
      </c>
      <c r="L63" s="23">
        <f t="shared" ca="1" si="268"/>
        <v>8223</v>
      </c>
      <c r="M63" s="23">
        <f t="shared" ca="1" si="268"/>
        <v>13078</v>
      </c>
      <c r="N63" s="23">
        <f t="shared" ca="1" si="269"/>
        <v>41747</v>
      </c>
      <c r="O63" s="23">
        <f t="shared" ca="1" si="269"/>
        <v>41733</v>
      </c>
      <c r="P63" s="23">
        <f t="shared" ca="1" si="269"/>
        <v>13078</v>
      </c>
      <c r="Q63" s="23">
        <f t="shared" ca="1" si="269"/>
        <v>13064</v>
      </c>
      <c r="R63" s="23" t="str">
        <f t="shared" ca="1" si="269"/>
        <v/>
      </c>
      <c r="S63" s="23" t="str">
        <f t="shared" ca="1" si="269"/>
        <v/>
      </c>
      <c r="T63" s="23" t="str">
        <f t="shared" ca="1" si="269"/>
        <v/>
      </c>
      <c r="U63" s="23" t="str">
        <f t="shared" ca="1" si="269"/>
        <v/>
      </c>
      <c r="V63" s="23" t="str">
        <f t="shared" ca="1" si="269"/>
        <v/>
      </c>
      <c r="W63" s="23" t="str">
        <f t="shared" ca="1" si="269"/>
        <v/>
      </c>
      <c r="X63" s="23" t="str">
        <f t="shared" ca="1" si="270"/>
        <v/>
      </c>
      <c r="Y63" s="23" t="str">
        <f t="shared" ca="1" si="270"/>
        <v/>
      </c>
      <c r="Z63" s="23" t="str">
        <f t="shared" ca="1" si="270"/>
        <v/>
      </c>
      <c r="AA63" s="23" t="str">
        <f t="shared" ca="1" si="270"/>
        <v/>
      </c>
      <c r="AB63" s="23" t="str">
        <f t="shared" ca="1" si="270"/>
        <v/>
      </c>
      <c r="AC63" s="23" t="str">
        <f t="shared" ca="1" si="270"/>
        <v/>
      </c>
      <c r="AD63" s="23" t="str">
        <f t="shared" ca="1" si="270"/>
        <v/>
      </c>
      <c r="AE63" s="23" t="str">
        <f t="shared" ca="1" si="270"/>
        <v/>
      </c>
      <c r="AF63" s="23" t="str">
        <f t="shared" ca="1" si="270"/>
        <v/>
      </c>
      <c r="AG63" s="23" t="str">
        <f t="shared" ca="1" si="270"/>
        <v/>
      </c>
      <c r="AH63" s="23" t="str">
        <f t="shared" ca="1" si="271"/>
        <v/>
      </c>
      <c r="AI63" s="23" t="str">
        <f t="shared" ca="1" si="271"/>
        <v/>
      </c>
      <c r="AJ63" s="23" t="str">
        <f t="shared" ca="1" si="271"/>
        <v/>
      </c>
      <c r="AK63" s="23" t="str">
        <f t="shared" ca="1" si="271"/>
        <v/>
      </c>
      <c r="AL63" s="23" t="str">
        <f t="shared" ca="1" si="271"/>
        <v/>
      </c>
      <c r="AM63" s="23" t="str">
        <f t="shared" ca="1" si="271"/>
        <v/>
      </c>
      <c r="AN63" s="23" t="str">
        <f t="shared" ca="1" si="271"/>
        <v/>
      </c>
      <c r="AO63" s="23" t="str">
        <f t="shared" ca="1" si="271"/>
        <v/>
      </c>
      <c r="AP63" s="23" t="str">
        <f t="shared" ca="1" si="271"/>
        <v/>
      </c>
      <c r="AQ63" s="23" t="str">
        <f t="shared" ca="1" si="271"/>
        <v/>
      </c>
      <c r="AR63" s="23" t="str">
        <f t="shared" ca="1" si="272"/>
        <v/>
      </c>
      <c r="AS63" s="23" t="str">
        <f t="shared" ca="1" si="272"/>
        <v/>
      </c>
      <c r="AT63" s="23" t="str">
        <f t="shared" ca="1" si="272"/>
        <v/>
      </c>
      <c r="AU63" s="23" t="str">
        <f t="shared" ca="1" si="272"/>
        <v/>
      </c>
      <c r="AV63" s="23" t="str">
        <f t="shared" ca="1" si="272"/>
        <v/>
      </c>
      <c r="AW63" s="23" t="str">
        <f t="shared" ca="1" si="272"/>
        <v/>
      </c>
      <c r="AX63" s="23" t="str">
        <f t="shared" ca="1" si="272"/>
        <v/>
      </c>
      <c r="AY63" s="23" t="str">
        <f t="shared" ca="1" si="272"/>
        <v/>
      </c>
      <c r="AZ63" s="23" t="str">
        <f t="shared" ca="1" si="272"/>
        <v/>
      </c>
      <c r="BA63" s="23" t="str">
        <f t="shared" ca="1" si="272"/>
        <v/>
      </c>
      <c r="BB63" s="23" t="str">
        <f t="shared" ca="1" si="273"/>
        <v/>
      </c>
      <c r="BC63" s="23" t="str">
        <f t="shared" ca="1" si="273"/>
        <v/>
      </c>
      <c r="BD63" s="23" t="str">
        <f t="shared" ca="1" si="273"/>
        <v/>
      </c>
      <c r="BE63" s="23" t="str">
        <f t="shared" ca="1" si="273"/>
        <v/>
      </c>
      <c r="BF63" s="23" t="str">
        <f t="shared" ca="1" si="273"/>
        <v/>
      </c>
      <c r="BG63" s="23" t="str">
        <f t="shared" ca="1" si="273"/>
        <v/>
      </c>
      <c r="BH63" s="23" t="str">
        <f t="shared" ca="1" si="273"/>
        <v/>
      </c>
      <c r="BI63" s="23" t="str">
        <f t="shared" ca="1" si="273"/>
        <v/>
      </c>
      <c r="BJ63" s="23" t="str">
        <f t="shared" ca="1" si="273"/>
        <v/>
      </c>
      <c r="BK63" s="23" t="str">
        <f t="shared" ca="1" si="273"/>
        <v/>
      </c>
      <c r="BL63" s="23" t="str">
        <f t="shared" ca="1" si="274"/>
        <v/>
      </c>
      <c r="BM63" s="23" t="str">
        <f t="shared" ca="1" si="274"/>
        <v/>
      </c>
      <c r="BN63" s="23" t="str">
        <f t="shared" ca="1" si="274"/>
        <v/>
      </c>
      <c r="BO63" s="23" t="str">
        <f t="shared" ca="1" si="274"/>
        <v/>
      </c>
      <c r="BP63" s="23" t="str">
        <f t="shared" ca="1" si="274"/>
        <v/>
      </c>
      <c r="BQ63" s="23" t="str">
        <f t="shared" ca="1" si="274"/>
        <v/>
      </c>
      <c r="BR63" s="23" t="str">
        <f t="shared" ca="1" si="274"/>
        <v/>
      </c>
      <c r="BS63" s="23" t="str">
        <f t="shared" ca="1" si="274"/>
        <v/>
      </c>
      <c r="BT63" s="23" t="str">
        <f t="shared" ca="1" si="274"/>
        <v/>
      </c>
      <c r="BU63" s="23" t="str">
        <f t="shared" ca="1" si="274"/>
        <v/>
      </c>
      <c r="BV63" s="23" t="str">
        <f t="shared" ca="1" si="275"/>
        <v/>
      </c>
      <c r="BW63" s="23" t="str">
        <f t="shared" ca="1" si="275"/>
        <v/>
      </c>
      <c r="BX63" s="23" t="str">
        <f t="shared" ca="1" si="275"/>
        <v/>
      </c>
      <c r="BY63" s="23" t="str">
        <f t="shared" ca="1" si="275"/>
        <v/>
      </c>
      <c r="BZ63" s="23" t="str">
        <f t="shared" ca="1" si="275"/>
        <v/>
      </c>
      <c r="CA63" s="23" t="str">
        <f t="shared" ca="1" si="275"/>
        <v/>
      </c>
      <c r="CB63" s="23" t="str">
        <f t="shared" ca="1" si="275"/>
        <v/>
      </c>
      <c r="CC63" s="23" t="str">
        <f t="shared" ca="1" si="275"/>
        <v/>
      </c>
      <c r="CD63" s="23" t="str">
        <f t="shared" ca="1" si="275"/>
        <v/>
      </c>
      <c r="CE63" s="23" t="str">
        <f t="shared" ca="1" si="275"/>
        <v/>
      </c>
      <c r="CF63" s="23" t="str">
        <f t="shared" ca="1" si="276"/>
        <v/>
      </c>
      <c r="CG63" s="23" t="str">
        <f t="shared" ca="1" si="276"/>
        <v/>
      </c>
      <c r="CH63" s="23" t="str">
        <f t="shared" ca="1" si="276"/>
        <v/>
      </c>
      <c r="CI63" s="23" t="str">
        <f t="shared" ca="1" si="276"/>
        <v/>
      </c>
      <c r="CJ63" s="23" t="str">
        <f t="shared" ca="1" si="276"/>
        <v/>
      </c>
      <c r="CK63" s="23" t="str">
        <f t="shared" ca="1" si="276"/>
        <v/>
      </c>
      <c r="CL63" s="23" t="str">
        <f t="shared" ca="1" si="276"/>
        <v/>
      </c>
      <c r="CM63" s="23" t="str">
        <f t="shared" ca="1" si="276"/>
        <v/>
      </c>
      <c r="CN63" s="23" t="str">
        <f t="shared" ca="1" si="276"/>
        <v/>
      </c>
      <c r="CO63" s="23" t="str">
        <f t="shared" ca="1" si="276"/>
        <v/>
      </c>
      <c r="CP63" s="23" t="str">
        <f t="shared" ca="1" si="277"/>
        <v/>
      </c>
      <c r="CQ63" s="23" t="str">
        <f t="shared" ca="1" si="277"/>
        <v/>
      </c>
      <c r="CR63" s="23" t="str">
        <f t="shared" ca="1" si="277"/>
        <v/>
      </c>
      <c r="CS63" s="23" t="str">
        <f t="shared" ca="1" si="277"/>
        <v/>
      </c>
      <c r="CT63" s="23" t="str">
        <f t="shared" ca="1" si="277"/>
        <v/>
      </c>
      <c r="CU63" s="23" t="str">
        <f t="shared" ca="1" si="277"/>
        <v/>
      </c>
      <c r="CV63" s="23" t="str">
        <f t="shared" ca="1" si="277"/>
        <v/>
      </c>
      <c r="CW63" s="23" t="str">
        <f t="shared" ca="1" si="277"/>
        <v/>
      </c>
      <c r="CX63" s="23" t="str">
        <f ca="1">IF(CX$11="","",IF(CX$13=$M$5,CHOOSE($Q$6+1,$M$1,CY63+CZ63-#REF!),IF(CX$13=$M$6,CHOOSE($Q$6+1,$M$1,OFFSET($A63,,$P$7-1)),IF(CX$13=$M$7,CHOOSE($Q$6+1,$M$1,SUM(OFFSET($A$11,$B63-$O$5,$O$6,1,-$P$6))),IF(CX$13=$M$8,CHOOSE($Q$6+1,$M$1,SUM(OFFSET($A$11,$B63-$O$5,$O$7,1,-$P$6))),IF(CX$11&lt;$D$7,OFFSET(INDIRECT($D$3),$A63-1,$Q$3+CX$11),OFFSET(INDIRECT($D$4),$A63-1,$Q$4+CX$11)))))))</f>
        <v/>
      </c>
      <c r="CY63" s="23" t="str">
        <f ca="1">IF(CY$11="","",IF(CY$13=$M$5,CHOOSE($Q$6+1,$M$1,CZ63+#REF!-#REF!),IF(CY$13=$M$6,CHOOSE($Q$6+1,$M$1,OFFSET($A63,,$P$7-1)),IF(CY$13=$M$7,CHOOSE($Q$6+1,$M$1,SUM(OFFSET($A$11,$B63-$O$5,$O$6,1,-$P$6))),IF(CY$13=$M$8,CHOOSE($Q$6+1,$M$1,SUM(OFFSET($A$11,$B63-$O$5,$O$7,1,-$P$6))),IF(CY$11&lt;$D$7,OFFSET(INDIRECT($D$3),$A63-1,$Q$3+CY$11),OFFSET(INDIRECT($D$4),$A63-1,$Q$4+CY$11)))))))</f>
        <v/>
      </c>
      <c r="CZ63" s="23" t="str">
        <f ca="1">IF(CZ$11="","",IF(CZ$13=$M$5,CHOOSE($Q$6+1,$M$1,#REF!+#REF!-#REF!),IF(CZ$13=$M$6,CHOOSE($Q$6+1,$M$1,OFFSET($A63,,$P$7-1)),IF(CZ$13=$M$7,CHOOSE($Q$6+1,$M$1,SUM(OFFSET($A$11,$B63-$O$5,$O$6,1,-$P$6))),IF(CZ$13=$M$8,CHOOSE($Q$6+1,$M$1,SUM(OFFSET($A$11,$B63-$O$5,$O$7,1,-$P$6))),IF(CZ$11&lt;$D$7,OFFSET(INDIRECT($D$3),$A63-1,$Q$3+CZ$11),OFFSET(INDIRECT($D$4),$A63-1,$Q$4+CZ$11)))))))</f>
        <v/>
      </c>
    </row>
    <row r="64" spans="1:104" ht="13.5" customHeight="1">
      <c r="A64" s="27">
        <v>75</v>
      </c>
      <c r="B64" s="33">
        <f t="shared" si="14"/>
        <v>64</v>
      </c>
      <c r="C64" s="9" t="s">
        <v>335</v>
      </c>
      <c r="D64" s="23">
        <f t="shared" ca="1" si="268"/>
        <v>0</v>
      </c>
      <c r="E64" s="23">
        <f t="shared" ca="1" si="268"/>
        <v>2.65</v>
      </c>
      <c r="F64" s="23">
        <f t="shared" ca="1" si="268"/>
        <v>0</v>
      </c>
      <c r="G64" s="23">
        <f t="shared" ca="1" si="268"/>
        <v>0</v>
      </c>
      <c r="H64" s="23">
        <f t="shared" ca="1" si="268"/>
        <v>0</v>
      </c>
      <c r="I64" s="23">
        <f t="shared" ca="1" si="268"/>
        <v>0</v>
      </c>
      <c r="J64" s="23">
        <f t="shared" ca="1" si="268"/>
        <v>0</v>
      </c>
      <c r="K64" s="23">
        <f t="shared" ca="1" si="268"/>
        <v>0</v>
      </c>
      <c r="L64" s="23">
        <f t="shared" ca="1" si="268"/>
        <v>2.65</v>
      </c>
      <c r="M64" s="23">
        <f t="shared" ca="1" si="268"/>
        <v>2.65</v>
      </c>
      <c r="N64" s="23">
        <f t="shared" ca="1" si="269"/>
        <v>5.3</v>
      </c>
      <c r="O64" s="23">
        <f t="shared" ca="1" si="269"/>
        <v>2.65</v>
      </c>
      <c r="P64" s="23">
        <f t="shared" ca="1" si="269"/>
        <v>2.65</v>
      </c>
      <c r="Q64" s="23">
        <f t="shared" ca="1" si="269"/>
        <v>0</v>
      </c>
      <c r="R64" s="23" t="str">
        <f t="shared" ca="1" si="269"/>
        <v/>
      </c>
      <c r="S64" s="23" t="str">
        <f t="shared" ca="1" si="269"/>
        <v/>
      </c>
      <c r="T64" s="23" t="str">
        <f t="shared" ca="1" si="269"/>
        <v/>
      </c>
      <c r="U64" s="23" t="str">
        <f t="shared" ca="1" si="269"/>
        <v/>
      </c>
      <c r="V64" s="23" t="str">
        <f t="shared" ca="1" si="269"/>
        <v/>
      </c>
      <c r="W64" s="23" t="str">
        <f t="shared" ca="1" si="269"/>
        <v/>
      </c>
      <c r="X64" s="23" t="str">
        <f t="shared" ca="1" si="270"/>
        <v/>
      </c>
      <c r="Y64" s="23" t="str">
        <f t="shared" ca="1" si="270"/>
        <v/>
      </c>
      <c r="Z64" s="23" t="str">
        <f t="shared" ca="1" si="270"/>
        <v/>
      </c>
      <c r="AA64" s="23" t="str">
        <f t="shared" ca="1" si="270"/>
        <v/>
      </c>
      <c r="AB64" s="23" t="str">
        <f t="shared" ca="1" si="270"/>
        <v/>
      </c>
      <c r="AC64" s="23" t="str">
        <f t="shared" ca="1" si="270"/>
        <v/>
      </c>
      <c r="AD64" s="23" t="str">
        <f t="shared" ca="1" si="270"/>
        <v/>
      </c>
      <c r="AE64" s="23" t="str">
        <f t="shared" ca="1" si="270"/>
        <v/>
      </c>
      <c r="AF64" s="23" t="str">
        <f t="shared" ca="1" si="270"/>
        <v/>
      </c>
      <c r="AG64" s="23" t="str">
        <f t="shared" ca="1" si="270"/>
        <v/>
      </c>
      <c r="AH64" s="23" t="str">
        <f t="shared" ca="1" si="271"/>
        <v/>
      </c>
      <c r="AI64" s="23" t="str">
        <f t="shared" ca="1" si="271"/>
        <v/>
      </c>
      <c r="AJ64" s="23" t="str">
        <f t="shared" ca="1" si="271"/>
        <v/>
      </c>
      <c r="AK64" s="23" t="str">
        <f t="shared" ca="1" si="271"/>
        <v/>
      </c>
      <c r="AL64" s="23" t="str">
        <f t="shared" ca="1" si="271"/>
        <v/>
      </c>
      <c r="AM64" s="23" t="str">
        <f t="shared" ca="1" si="271"/>
        <v/>
      </c>
      <c r="AN64" s="23" t="str">
        <f t="shared" ca="1" si="271"/>
        <v/>
      </c>
      <c r="AO64" s="23" t="str">
        <f t="shared" ca="1" si="271"/>
        <v/>
      </c>
      <c r="AP64" s="23" t="str">
        <f t="shared" ca="1" si="271"/>
        <v/>
      </c>
      <c r="AQ64" s="23" t="str">
        <f t="shared" ca="1" si="271"/>
        <v/>
      </c>
      <c r="AR64" s="23" t="str">
        <f t="shared" ca="1" si="272"/>
        <v/>
      </c>
      <c r="AS64" s="23" t="str">
        <f t="shared" ca="1" si="272"/>
        <v/>
      </c>
      <c r="AT64" s="23" t="str">
        <f t="shared" ca="1" si="272"/>
        <v/>
      </c>
      <c r="AU64" s="23" t="str">
        <f t="shared" ca="1" si="272"/>
        <v/>
      </c>
      <c r="AV64" s="23" t="str">
        <f t="shared" ca="1" si="272"/>
        <v/>
      </c>
      <c r="AW64" s="23" t="str">
        <f t="shared" ca="1" si="272"/>
        <v/>
      </c>
      <c r="AX64" s="23" t="str">
        <f t="shared" ca="1" si="272"/>
        <v/>
      </c>
      <c r="AY64" s="23" t="str">
        <f t="shared" ca="1" si="272"/>
        <v/>
      </c>
      <c r="AZ64" s="23" t="str">
        <f t="shared" ca="1" si="272"/>
        <v/>
      </c>
      <c r="BA64" s="23" t="str">
        <f t="shared" ca="1" si="272"/>
        <v/>
      </c>
      <c r="BB64" s="23" t="str">
        <f t="shared" ca="1" si="273"/>
        <v/>
      </c>
      <c r="BC64" s="23" t="str">
        <f t="shared" ca="1" si="273"/>
        <v/>
      </c>
      <c r="BD64" s="23" t="str">
        <f t="shared" ca="1" si="273"/>
        <v/>
      </c>
      <c r="BE64" s="23" t="str">
        <f t="shared" ca="1" si="273"/>
        <v/>
      </c>
      <c r="BF64" s="23" t="str">
        <f t="shared" ca="1" si="273"/>
        <v/>
      </c>
      <c r="BG64" s="23" t="str">
        <f t="shared" ca="1" si="273"/>
        <v/>
      </c>
      <c r="BH64" s="23" t="str">
        <f t="shared" ca="1" si="273"/>
        <v/>
      </c>
      <c r="BI64" s="23" t="str">
        <f t="shared" ca="1" si="273"/>
        <v/>
      </c>
      <c r="BJ64" s="23" t="str">
        <f t="shared" ca="1" si="273"/>
        <v/>
      </c>
      <c r="BK64" s="23" t="str">
        <f t="shared" ca="1" si="273"/>
        <v/>
      </c>
      <c r="BL64" s="23" t="str">
        <f t="shared" ca="1" si="274"/>
        <v/>
      </c>
      <c r="BM64" s="23" t="str">
        <f t="shared" ca="1" si="274"/>
        <v/>
      </c>
      <c r="BN64" s="23" t="str">
        <f t="shared" ca="1" si="274"/>
        <v/>
      </c>
      <c r="BO64" s="23" t="str">
        <f t="shared" ca="1" si="274"/>
        <v/>
      </c>
      <c r="BP64" s="23" t="str">
        <f t="shared" ca="1" si="274"/>
        <v/>
      </c>
      <c r="BQ64" s="23" t="str">
        <f t="shared" ca="1" si="274"/>
        <v/>
      </c>
      <c r="BR64" s="23" t="str">
        <f t="shared" ca="1" si="274"/>
        <v/>
      </c>
      <c r="BS64" s="23" t="str">
        <f t="shared" ca="1" si="274"/>
        <v/>
      </c>
      <c r="BT64" s="23" t="str">
        <f t="shared" ca="1" si="274"/>
        <v/>
      </c>
      <c r="BU64" s="23" t="str">
        <f t="shared" ca="1" si="274"/>
        <v/>
      </c>
      <c r="BV64" s="23" t="str">
        <f t="shared" ca="1" si="275"/>
        <v/>
      </c>
      <c r="BW64" s="23" t="str">
        <f t="shared" ca="1" si="275"/>
        <v/>
      </c>
      <c r="BX64" s="23" t="str">
        <f t="shared" ca="1" si="275"/>
        <v/>
      </c>
      <c r="BY64" s="23" t="str">
        <f t="shared" ca="1" si="275"/>
        <v/>
      </c>
      <c r="BZ64" s="23" t="str">
        <f t="shared" ca="1" si="275"/>
        <v/>
      </c>
      <c r="CA64" s="23" t="str">
        <f t="shared" ca="1" si="275"/>
        <v/>
      </c>
      <c r="CB64" s="23" t="str">
        <f t="shared" ca="1" si="275"/>
        <v/>
      </c>
      <c r="CC64" s="23" t="str">
        <f t="shared" ca="1" si="275"/>
        <v/>
      </c>
      <c r="CD64" s="23" t="str">
        <f t="shared" ca="1" si="275"/>
        <v/>
      </c>
      <c r="CE64" s="23" t="str">
        <f t="shared" ca="1" si="275"/>
        <v/>
      </c>
      <c r="CF64" s="23" t="str">
        <f t="shared" ca="1" si="276"/>
        <v/>
      </c>
      <c r="CG64" s="23" t="str">
        <f t="shared" ca="1" si="276"/>
        <v/>
      </c>
      <c r="CH64" s="23" t="str">
        <f t="shared" ca="1" si="276"/>
        <v/>
      </c>
      <c r="CI64" s="23" t="str">
        <f t="shared" ca="1" si="276"/>
        <v/>
      </c>
      <c r="CJ64" s="23" t="str">
        <f t="shared" ca="1" si="276"/>
        <v/>
      </c>
      <c r="CK64" s="23" t="str">
        <f t="shared" ca="1" si="276"/>
        <v/>
      </c>
      <c r="CL64" s="23" t="str">
        <f t="shared" ca="1" si="276"/>
        <v/>
      </c>
      <c r="CM64" s="23" t="str">
        <f t="shared" ca="1" si="276"/>
        <v/>
      </c>
      <c r="CN64" s="23" t="str">
        <f t="shared" ca="1" si="276"/>
        <v/>
      </c>
      <c r="CO64" s="23" t="str">
        <f t="shared" ca="1" si="276"/>
        <v/>
      </c>
      <c r="CP64" s="23" t="str">
        <f t="shared" ca="1" si="277"/>
        <v/>
      </c>
      <c r="CQ64" s="23" t="str">
        <f t="shared" ca="1" si="277"/>
        <v/>
      </c>
      <c r="CR64" s="23" t="str">
        <f t="shared" ca="1" si="277"/>
        <v/>
      </c>
      <c r="CS64" s="23" t="str">
        <f t="shared" ca="1" si="277"/>
        <v/>
      </c>
      <c r="CT64" s="23" t="str">
        <f t="shared" ca="1" si="277"/>
        <v/>
      </c>
      <c r="CU64" s="23" t="str">
        <f t="shared" ca="1" si="277"/>
        <v/>
      </c>
      <c r="CV64" s="23" t="str">
        <f t="shared" ca="1" si="277"/>
        <v/>
      </c>
      <c r="CW64" s="23" t="str">
        <f t="shared" ca="1" si="277"/>
        <v/>
      </c>
      <c r="CX64" s="23" t="str">
        <f ca="1">IF(CX$11="","",IF(CX$13=$M$5,CHOOSE($Q$6+1,$M$1,CY64+CZ64-#REF!),IF(CX$13=$M$6,CHOOSE($Q$6+1,$M$1,OFFSET($A64,,$P$7-1)),IF(CX$13=$M$7,CHOOSE($Q$6+1,$M$1,SUM(OFFSET($A$11,$B64-$O$5,$O$6,1,-$P$6))),IF(CX$13=$M$8,CHOOSE($Q$6+1,$M$1,SUM(OFFSET($A$11,$B64-$O$5,$O$7,1,-$P$6))),IF(CX$11&lt;$D$7,OFFSET(INDIRECT($D$3),$A64-1,$Q$3+CX$11),OFFSET(INDIRECT($D$4),$A64-1,$Q$4+CX$11)))))))</f>
        <v/>
      </c>
      <c r="CY64" s="23" t="str">
        <f ca="1">IF(CY$11="","",IF(CY$13=$M$5,CHOOSE($Q$6+1,$M$1,CZ64+#REF!-#REF!),IF(CY$13=$M$6,CHOOSE($Q$6+1,$M$1,OFFSET($A64,,$P$7-1)),IF(CY$13=$M$7,CHOOSE($Q$6+1,$M$1,SUM(OFFSET($A$11,$B64-$O$5,$O$6,1,-$P$6))),IF(CY$13=$M$8,CHOOSE($Q$6+1,$M$1,SUM(OFFSET($A$11,$B64-$O$5,$O$7,1,-$P$6))),IF(CY$11&lt;$D$7,OFFSET(INDIRECT($D$3),$A64-1,$Q$3+CY$11),OFFSET(INDIRECT($D$4),$A64-1,$Q$4+CY$11)))))))</f>
        <v/>
      </c>
      <c r="CZ64" s="23" t="str">
        <f ca="1">IF(CZ$11="","",IF(CZ$13=$M$5,CHOOSE($Q$6+1,$M$1,#REF!+#REF!-#REF!),IF(CZ$13=$M$6,CHOOSE($Q$6+1,$M$1,OFFSET($A64,,$P$7-1)),IF(CZ$13=$M$7,CHOOSE($Q$6+1,$M$1,SUM(OFFSET($A$11,$B64-$O$5,$O$6,1,-$P$6))),IF(CZ$13=$M$8,CHOOSE($Q$6+1,$M$1,SUM(OFFSET($A$11,$B64-$O$5,$O$7,1,-$P$6))),IF(CZ$11&lt;$D$7,OFFSET(INDIRECT($D$3),$A64-1,$Q$3+CZ$11),OFFSET(INDIRECT($D$4),$A64-1,$Q$4+CZ$11)))))))</f>
        <v/>
      </c>
    </row>
    <row r="65" spans="1:104" ht="13.5" customHeight="1">
      <c r="A65" s="27">
        <v>55</v>
      </c>
      <c r="B65" s="33">
        <f t="shared" si="14"/>
        <v>65</v>
      </c>
      <c r="C65" s="9" t="s">
        <v>336</v>
      </c>
      <c r="D65" s="23">
        <f t="shared" ca="1" si="268"/>
        <v>0</v>
      </c>
      <c r="E65" s="23">
        <f t="shared" ca="1" si="268"/>
        <v>0</v>
      </c>
      <c r="F65" s="23">
        <f t="shared" ca="1" si="268"/>
        <v>0</v>
      </c>
      <c r="G65" s="23">
        <f t="shared" ca="1" si="268"/>
        <v>0</v>
      </c>
      <c r="H65" s="23">
        <f t="shared" ca="1" si="268"/>
        <v>0</v>
      </c>
      <c r="I65" s="23">
        <f t="shared" ca="1" si="268"/>
        <v>0</v>
      </c>
      <c r="J65" s="23">
        <f t="shared" ca="1" si="268"/>
        <v>0</v>
      </c>
      <c r="K65" s="23">
        <f t="shared" ca="1" si="268"/>
        <v>0</v>
      </c>
      <c r="L65" s="23">
        <f t="shared" ca="1" si="268"/>
        <v>0</v>
      </c>
      <c r="M65" s="23">
        <f t="shared" ca="1" si="268"/>
        <v>0</v>
      </c>
      <c r="N65" s="23">
        <f t="shared" ca="1" si="269"/>
        <v>0</v>
      </c>
      <c r="O65" s="23">
        <f t="shared" ca="1" si="269"/>
        <v>0</v>
      </c>
      <c r="P65" s="23">
        <f t="shared" ca="1" si="269"/>
        <v>0</v>
      </c>
      <c r="Q65" s="23">
        <f t="shared" ca="1" si="269"/>
        <v>0</v>
      </c>
      <c r="R65" s="23" t="str">
        <f t="shared" ca="1" si="269"/>
        <v/>
      </c>
      <c r="S65" s="23" t="str">
        <f t="shared" ca="1" si="269"/>
        <v/>
      </c>
      <c r="T65" s="23" t="str">
        <f t="shared" ca="1" si="269"/>
        <v/>
      </c>
      <c r="U65" s="23" t="str">
        <f t="shared" ca="1" si="269"/>
        <v/>
      </c>
      <c r="V65" s="23" t="str">
        <f t="shared" ca="1" si="269"/>
        <v/>
      </c>
      <c r="W65" s="23" t="str">
        <f t="shared" ca="1" si="269"/>
        <v/>
      </c>
      <c r="X65" s="23" t="str">
        <f t="shared" ca="1" si="270"/>
        <v/>
      </c>
      <c r="Y65" s="23" t="str">
        <f t="shared" ca="1" si="270"/>
        <v/>
      </c>
      <c r="Z65" s="23" t="str">
        <f t="shared" ca="1" si="270"/>
        <v/>
      </c>
      <c r="AA65" s="23" t="str">
        <f t="shared" ca="1" si="270"/>
        <v/>
      </c>
      <c r="AB65" s="23" t="str">
        <f t="shared" ca="1" si="270"/>
        <v/>
      </c>
      <c r="AC65" s="23" t="str">
        <f t="shared" ca="1" si="270"/>
        <v/>
      </c>
      <c r="AD65" s="23" t="str">
        <f t="shared" ca="1" si="270"/>
        <v/>
      </c>
      <c r="AE65" s="23" t="str">
        <f t="shared" ca="1" si="270"/>
        <v/>
      </c>
      <c r="AF65" s="23" t="str">
        <f t="shared" ca="1" si="270"/>
        <v/>
      </c>
      <c r="AG65" s="23" t="str">
        <f t="shared" ca="1" si="270"/>
        <v/>
      </c>
      <c r="AH65" s="23" t="str">
        <f t="shared" ca="1" si="271"/>
        <v/>
      </c>
      <c r="AI65" s="23" t="str">
        <f t="shared" ca="1" si="271"/>
        <v/>
      </c>
      <c r="AJ65" s="23" t="str">
        <f t="shared" ca="1" si="271"/>
        <v/>
      </c>
      <c r="AK65" s="23" t="str">
        <f t="shared" ca="1" si="271"/>
        <v/>
      </c>
      <c r="AL65" s="23" t="str">
        <f t="shared" ca="1" si="271"/>
        <v/>
      </c>
      <c r="AM65" s="23" t="str">
        <f t="shared" ca="1" si="271"/>
        <v/>
      </c>
      <c r="AN65" s="23" t="str">
        <f t="shared" ca="1" si="271"/>
        <v/>
      </c>
      <c r="AO65" s="23" t="str">
        <f t="shared" ca="1" si="271"/>
        <v/>
      </c>
      <c r="AP65" s="23" t="str">
        <f t="shared" ca="1" si="271"/>
        <v/>
      </c>
      <c r="AQ65" s="23" t="str">
        <f t="shared" ca="1" si="271"/>
        <v/>
      </c>
      <c r="AR65" s="23" t="str">
        <f t="shared" ca="1" si="272"/>
        <v/>
      </c>
      <c r="AS65" s="23" t="str">
        <f t="shared" ca="1" si="272"/>
        <v/>
      </c>
      <c r="AT65" s="23" t="str">
        <f t="shared" ca="1" si="272"/>
        <v/>
      </c>
      <c r="AU65" s="23" t="str">
        <f t="shared" ca="1" si="272"/>
        <v/>
      </c>
      <c r="AV65" s="23" t="str">
        <f t="shared" ca="1" si="272"/>
        <v/>
      </c>
      <c r="AW65" s="23" t="str">
        <f t="shared" ca="1" si="272"/>
        <v/>
      </c>
      <c r="AX65" s="23" t="str">
        <f t="shared" ca="1" si="272"/>
        <v/>
      </c>
      <c r="AY65" s="23" t="str">
        <f t="shared" ca="1" si="272"/>
        <v/>
      </c>
      <c r="AZ65" s="23" t="str">
        <f t="shared" ca="1" si="272"/>
        <v/>
      </c>
      <c r="BA65" s="23" t="str">
        <f t="shared" ca="1" si="272"/>
        <v/>
      </c>
      <c r="BB65" s="23" t="str">
        <f t="shared" ca="1" si="273"/>
        <v/>
      </c>
      <c r="BC65" s="23" t="str">
        <f t="shared" ca="1" si="273"/>
        <v/>
      </c>
      <c r="BD65" s="23" t="str">
        <f t="shared" ca="1" si="273"/>
        <v/>
      </c>
      <c r="BE65" s="23" t="str">
        <f t="shared" ca="1" si="273"/>
        <v/>
      </c>
      <c r="BF65" s="23" t="str">
        <f t="shared" ca="1" si="273"/>
        <v/>
      </c>
      <c r="BG65" s="23" t="str">
        <f t="shared" ca="1" si="273"/>
        <v/>
      </c>
      <c r="BH65" s="23" t="str">
        <f t="shared" ca="1" si="273"/>
        <v/>
      </c>
      <c r="BI65" s="23" t="str">
        <f t="shared" ca="1" si="273"/>
        <v/>
      </c>
      <c r="BJ65" s="23" t="str">
        <f t="shared" ca="1" si="273"/>
        <v/>
      </c>
      <c r="BK65" s="23" t="str">
        <f t="shared" ca="1" si="273"/>
        <v/>
      </c>
      <c r="BL65" s="23" t="str">
        <f t="shared" ca="1" si="274"/>
        <v/>
      </c>
      <c r="BM65" s="23" t="str">
        <f t="shared" ca="1" si="274"/>
        <v/>
      </c>
      <c r="BN65" s="23" t="str">
        <f t="shared" ca="1" si="274"/>
        <v/>
      </c>
      <c r="BO65" s="23" t="str">
        <f t="shared" ca="1" si="274"/>
        <v/>
      </c>
      <c r="BP65" s="23" t="str">
        <f t="shared" ca="1" si="274"/>
        <v/>
      </c>
      <c r="BQ65" s="23" t="str">
        <f t="shared" ca="1" si="274"/>
        <v/>
      </c>
      <c r="BR65" s="23" t="str">
        <f t="shared" ca="1" si="274"/>
        <v/>
      </c>
      <c r="BS65" s="23" t="str">
        <f t="shared" ca="1" si="274"/>
        <v/>
      </c>
      <c r="BT65" s="23" t="str">
        <f t="shared" ca="1" si="274"/>
        <v/>
      </c>
      <c r="BU65" s="23" t="str">
        <f t="shared" ca="1" si="274"/>
        <v/>
      </c>
      <c r="BV65" s="23" t="str">
        <f t="shared" ca="1" si="275"/>
        <v/>
      </c>
      <c r="BW65" s="23" t="str">
        <f t="shared" ca="1" si="275"/>
        <v/>
      </c>
      <c r="BX65" s="23" t="str">
        <f t="shared" ca="1" si="275"/>
        <v/>
      </c>
      <c r="BY65" s="23" t="str">
        <f t="shared" ca="1" si="275"/>
        <v/>
      </c>
      <c r="BZ65" s="23" t="str">
        <f t="shared" ca="1" si="275"/>
        <v/>
      </c>
      <c r="CA65" s="23" t="str">
        <f t="shared" ca="1" si="275"/>
        <v/>
      </c>
      <c r="CB65" s="23" t="str">
        <f t="shared" ca="1" si="275"/>
        <v/>
      </c>
      <c r="CC65" s="23" t="str">
        <f t="shared" ca="1" si="275"/>
        <v/>
      </c>
      <c r="CD65" s="23" t="str">
        <f t="shared" ca="1" si="275"/>
        <v/>
      </c>
      <c r="CE65" s="23" t="str">
        <f t="shared" ca="1" si="275"/>
        <v/>
      </c>
      <c r="CF65" s="23" t="str">
        <f t="shared" ca="1" si="276"/>
        <v/>
      </c>
      <c r="CG65" s="23" t="str">
        <f t="shared" ca="1" si="276"/>
        <v/>
      </c>
      <c r="CH65" s="23" t="str">
        <f t="shared" ca="1" si="276"/>
        <v/>
      </c>
      <c r="CI65" s="23" t="str">
        <f t="shared" ca="1" si="276"/>
        <v/>
      </c>
      <c r="CJ65" s="23" t="str">
        <f t="shared" ca="1" si="276"/>
        <v/>
      </c>
      <c r="CK65" s="23" t="str">
        <f t="shared" ca="1" si="276"/>
        <v/>
      </c>
      <c r="CL65" s="23" t="str">
        <f t="shared" ca="1" si="276"/>
        <v/>
      </c>
      <c r="CM65" s="23" t="str">
        <f t="shared" ca="1" si="276"/>
        <v/>
      </c>
      <c r="CN65" s="23" t="str">
        <f t="shared" ca="1" si="276"/>
        <v/>
      </c>
      <c r="CO65" s="23" t="str">
        <f t="shared" ca="1" si="276"/>
        <v/>
      </c>
      <c r="CP65" s="23" t="str">
        <f t="shared" ca="1" si="277"/>
        <v/>
      </c>
      <c r="CQ65" s="23" t="str">
        <f t="shared" ca="1" si="277"/>
        <v/>
      </c>
      <c r="CR65" s="23" t="str">
        <f t="shared" ca="1" si="277"/>
        <v/>
      </c>
      <c r="CS65" s="23" t="str">
        <f t="shared" ca="1" si="277"/>
        <v/>
      </c>
      <c r="CT65" s="23" t="str">
        <f t="shared" ca="1" si="277"/>
        <v/>
      </c>
      <c r="CU65" s="23" t="str">
        <f t="shared" ca="1" si="277"/>
        <v/>
      </c>
      <c r="CV65" s="23" t="str">
        <f t="shared" ca="1" si="277"/>
        <v/>
      </c>
      <c r="CW65" s="23" t="str">
        <f t="shared" ca="1" si="277"/>
        <v/>
      </c>
      <c r="CX65" s="23" t="str">
        <f ca="1">IF(CX$11="","",IF(CX$13=$M$5,CHOOSE($Q$6+1,$M$1,CY65+CZ65-#REF!),IF(CX$13=$M$6,CHOOSE($Q$6+1,$M$1,OFFSET($A65,,$P$7-1)),IF(CX$13=$M$7,CHOOSE($Q$6+1,$M$1,SUM(OFFSET($A$11,$B65-$O$5,$O$6,1,-$P$6))),IF(CX$13=$M$8,CHOOSE($Q$6+1,$M$1,SUM(OFFSET($A$11,$B65-$O$5,$O$7,1,-$P$6))),IF(CX$11&lt;$D$7,OFFSET(INDIRECT($D$3),$A65-1,$Q$3+CX$11),OFFSET(INDIRECT($D$4),$A65-1,$Q$4+CX$11)))))))</f>
        <v/>
      </c>
      <c r="CY65" s="23" t="str">
        <f ca="1">IF(CY$11="","",IF(CY$13=$M$5,CHOOSE($Q$6+1,$M$1,CZ65+#REF!-#REF!),IF(CY$13=$M$6,CHOOSE($Q$6+1,$M$1,OFFSET($A65,,$P$7-1)),IF(CY$13=$M$7,CHOOSE($Q$6+1,$M$1,SUM(OFFSET($A$11,$B65-$O$5,$O$6,1,-$P$6))),IF(CY$13=$M$8,CHOOSE($Q$6+1,$M$1,SUM(OFFSET($A$11,$B65-$O$5,$O$7,1,-$P$6))),IF(CY$11&lt;$D$7,OFFSET(INDIRECT($D$3),$A65-1,$Q$3+CY$11),OFFSET(INDIRECT($D$4),$A65-1,$Q$4+CY$11)))))))</f>
        <v/>
      </c>
      <c r="CZ65" s="23" t="str">
        <f ca="1">IF(CZ$11="","",IF(CZ$13=$M$5,CHOOSE($Q$6+1,$M$1,#REF!+#REF!-#REF!),IF(CZ$13=$M$6,CHOOSE($Q$6+1,$M$1,OFFSET($A65,,$P$7-1)),IF(CZ$13=$M$7,CHOOSE($Q$6+1,$M$1,SUM(OFFSET($A$11,$B65-$O$5,$O$6,1,-$P$6))),IF(CZ$13=$M$8,CHOOSE($Q$6+1,$M$1,SUM(OFFSET($A$11,$B65-$O$5,$O$7,1,-$P$6))),IF(CZ$11&lt;$D$7,OFFSET(INDIRECT($D$3),$A65-1,$Q$3+CZ$11),OFFSET(INDIRECT($D$4),$A65-1,$Q$4+CZ$11)))))))</f>
        <v/>
      </c>
    </row>
    <row r="66" spans="1:104" ht="13.5" customHeight="1">
      <c r="A66" s="27">
        <v>56</v>
      </c>
      <c r="B66" s="33">
        <f t="shared" si="14"/>
        <v>66</v>
      </c>
      <c r="C66" s="9" t="s">
        <v>337</v>
      </c>
      <c r="D66" s="23">
        <f t="shared" ca="1" si="268"/>
        <v>0</v>
      </c>
      <c r="E66" s="23">
        <f t="shared" ca="1" si="268"/>
        <v>0</v>
      </c>
      <c r="F66" s="23">
        <f t="shared" ca="1" si="268"/>
        <v>0</v>
      </c>
      <c r="G66" s="23">
        <f t="shared" ca="1" si="268"/>
        <v>0</v>
      </c>
      <c r="H66" s="23">
        <f t="shared" ca="1" si="268"/>
        <v>0</v>
      </c>
      <c r="I66" s="23">
        <f t="shared" ca="1" si="268"/>
        <v>0</v>
      </c>
      <c r="J66" s="23">
        <f t="shared" ca="1" si="268"/>
        <v>0</v>
      </c>
      <c r="K66" s="23">
        <f t="shared" ca="1" si="268"/>
        <v>0</v>
      </c>
      <c r="L66" s="23">
        <f t="shared" ca="1" si="268"/>
        <v>0</v>
      </c>
      <c r="M66" s="23">
        <f t="shared" ca="1" si="268"/>
        <v>0</v>
      </c>
      <c r="N66" s="23">
        <f t="shared" ca="1" si="269"/>
        <v>0</v>
      </c>
      <c r="O66" s="23">
        <f t="shared" ca="1" si="269"/>
        <v>0</v>
      </c>
      <c r="P66" s="23">
        <f t="shared" ca="1" si="269"/>
        <v>0</v>
      </c>
      <c r="Q66" s="23">
        <f t="shared" ca="1" si="269"/>
        <v>0</v>
      </c>
      <c r="R66" s="23" t="str">
        <f t="shared" ca="1" si="269"/>
        <v/>
      </c>
      <c r="S66" s="23" t="str">
        <f t="shared" ca="1" si="269"/>
        <v/>
      </c>
      <c r="T66" s="23" t="str">
        <f t="shared" ca="1" si="269"/>
        <v/>
      </c>
      <c r="U66" s="23" t="str">
        <f t="shared" ca="1" si="269"/>
        <v/>
      </c>
      <c r="V66" s="23" t="str">
        <f t="shared" ca="1" si="269"/>
        <v/>
      </c>
      <c r="W66" s="23" t="str">
        <f t="shared" ca="1" si="269"/>
        <v/>
      </c>
      <c r="X66" s="23" t="str">
        <f t="shared" ca="1" si="270"/>
        <v/>
      </c>
      <c r="Y66" s="23" t="str">
        <f t="shared" ca="1" si="270"/>
        <v/>
      </c>
      <c r="Z66" s="23" t="str">
        <f t="shared" ca="1" si="270"/>
        <v/>
      </c>
      <c r="AA66" s="23" t="str">
        <f t="shared" ca="1" si="270"/>
        <v/>
      </c>
      <c r="AB66" s="23" t="str">
        <f t="shared" ca="1" si="270"/>
        <v/>
      </c>
      <c r="AC66" s="23" t="str">
        <f t="shared" ca="1" si="270"/>
        <v/>
      </c>
      <c r="AD66" s="23" t="str">
        <f t="shared" ca="1" si="270"/>
        <v/>
      </c>
      <c r="AE66" s="23" t="str">
        <f t="shared" ca="1" si="270"/>
        <v/>
      </c>
      <c r="AF66" s="23" t="str">
        <f t="shared" ca="1" si="270"/>
        <v/>
      </c>
      <c r="AG66" s="23" t="str">
        <f t="shared" ca="1" si="270"/>
        <v/>
      </c>
      <c r="AH66" s="23" t="str">
        <f t="shared" ca="1" si="271"/>
        <v/>
      </c>
      <c r="AI66" s="23" t="str">
        <f t="shared" ca="1" si="271"/>
        <v/>
      </c>
      <c r="AJ66" s="23" t="str">
        <f t="shared" ca="1" si="271"/>
        <v/>
      </c>
      <c r="AK66" s="23" t="str">
        <f t="shared" ca="1" si="271"/>
        <v/>
      </c>
      <c r="AL66" s="23" t="str">
        <f t="shared" ca="1" si="271"/>
        <v/>
      </c>
      <c r="AM66" s="23" t="str">
        <f t="shared" ca="1" si="271"/>
        <v/>
      </c>
      <c r="AN66" s="23" t="str">
        <f t="shared" ca="1" si="271"/>
        <v/>
      </c>
      <c r="AO66" s="23" t="str">
        <f t="shared" ca="1" si="271"/>
        <v/>
      </c>
      <c r="AP66" s="23" t="str">
        <f t="shared" ca="1" si="271"/>
        <v/>
      </c>
      <c r="AQ66" s="23" t="str">
        <f t="shared" ca="1" si="271"/>
        <v/>
      </c>
      <c r="AR66" s="23" t="str">
        <f t="shared" ca="1" si="272"/>
        <v/>
      </c>
      <c r="AS66" s="23" t="str">
        <f t="shared" ca="1" si="272"/>
        <v/>
      </c>
      <c r="AT66" s="23" t="str">
        <f t="shared" ca="1" si="272"/>
        <v/>
      </c>
      <c r="AU66" s="23" t="str">
        <f t="shared" ca="1" si="272"/>
        <v/>
      </c>
      <c r="AV66" s="23" t="str">
        <f t="shared" ca="1" si="272"/>
        <v/>
      </c>
      <c r="AW66" s="23" t="str">
        <f t="shared" ca="1" si="272"/>
        <v/>
      </c>
      <c r="AX66" s="23" t="str">
        <f t="shared" ca="1" si="272"/>
        <v/>
      </c>
      <c r="AY66" s="23" t="str">
        <f t="shared" ca="1" si="272"/>
        <v/>
      </c>
      <c r="AZ66" s="23" t="str">
        <f t="shared" ca="1" si="272"/>
        <v/>
      </c>
      <c r="BA66" s="23" t="str">
        <f t="shared" ca="1" si="272"/>
        <v/>
      </c>
      <c r="BB66" s="23" t="str">
        <f t="shared" ca="1" si="273"/>
        <v/>
      </c>
      <c r="BC66" s="23" t="str">
        <f t="shared" ca="1" si="273"/>
        <v/>
      </c>
      <c r="BD66" s="23" t="str">
        <f t="shared" ca="1" si="273"/>
        <v/>
      </c>
      <c r="BE66" s="23" t="str">
        <f t="shared" ca="1" si="273"/>
        <v/>
      </c>
      <c r="BF66" s="23" t="str">
        <f t="shared" ca="1" si="273"/>
        <v/>
      </c>
      <c r="BG66" s="23" t="str">
        <f t="shared" ca="1" si="273"/>
        <v/>
      </c>
      <c r="BH66" s="23" t="str">
        <f t="shared" ca="1" si="273"/>
        <v/>
      </c>
      <c r="BI66" s="23" t="str">
        <f t="shared" ca="1" si="273"/>
        <v/>
      </c>
      <c r="BJ66" s="23" t="str">
        <f t="shared" ca="1" si="273"/>
        <v/>
      </c>
      <c r="BK66" s="23" t="str">
        <f t="shared" ca="1" si="273"/>
        <v/>
      </c>
      <c r="BL66" s="23" t="str">
        <f t="shared" ca="1" si="274"/>
        <v/>
      </c>
      <c r="BM66" s="23" t="str">
        <f t="shared" ca="1" si="274"/>
        <v/>
      </c>
      <c r="BN66" s="23" t="str">
        <f t="shared" ca="1" si="274"/>
        <v/>
      </c>
      <c r="BO66" s="23" t="str">
        <f t="shared" ca="1" si="274"/>
        <v/>
      </c>
      <c r="BP66" s="23" t="str">
        <f t="shared" ca="1" si="274"/>
        <v/>
      </c>
      <c r="BQ66" s="23" t="str">
        <f t="shared" ca="1" si="274"/>
        <v/>
      </c>
      <c r="BR66" s="23" t="str">
        <f t="shared" ca="1" si="274"/>
        <v/>
      </c>
      <c r="BS66" s="23" t="str">
        <f t="shared" ca="1" si="274"/>
        <v/>
      </c>
      <c r="BT66" s="23" t="str">
        <f t="shared" ca="1" si="274"/>
        <v/>
      </c>
      <c r="BU66" s="23" t="str">
        <f t="shared" ca="1" si="274"/>
        <v/>
      </c>
      <c r="BV66" s="23" t="str">
        <f t="shared" ca="1" si="275"/>
        <v/>
      </c>
      <c r="BW66" s="23" t="str">
        <f t="shared" ca="1" si="275"/>
        <v/>
      </c>
      <c r="BX66" s="23" t="str">
        <f t="shared" ca="1" si="275"/>
        <v/>
      </c>
      <c r="BY66" s="23" t="str">
        <f t="shared" ca="1" si="275"/>
        <v/>
      </c>
      <c r="BZ66" s="23" t="str">
        <f t="shared" ca="1" si="275"/>
        <v/>
      </c>
      <c r="CA66" s="23" t="str">
        <f t="shared" ca="1" si="275"/>
        <v/>
      </c>
      <c r="CB66" s="23" t="str">
        <f t="shared" ca="1" si="275"/>
        <v/>
      </c>
      <c r="CC66" s="23" t="str">
        <f t="shared" ca="1" si="275"/>
        <v/>
      </c>
      <c r="CD66" s="23" t="str">
        <f t="shared" ca="1" si="275"/>
        <v/>
      </c>
      <c r="CE66" s="23" t="str">
        <f t="shared" ca="1" si="275"/>
        <v/>
      </c>
      <c r="CF66" s="23" t="str">
        <f t="shared" ca="1" si="276"/>
        <v/>
      </c>
      <c r="CG66" s="23" t="str">
        <f t="shared" ca="1" si="276"/>
        <v/>
      </c>
      <c r="CH66" s="23" t="str">
        <f t="shared" ca="1" si="276"/>
        <v/>
      </c>
      <c r="CI66" s="23" t="str">
        <f t="shared" ca="1" si="276"/>
        <v/>
      </c>
      <c r="CJ66" s="23" t="str">
        <f t="shared" ca="1" si="276"/>
        <v/>
      </c>
      <c r="CK66" s="23" t="str">
        <f t="shared" ca="1" si="276"/>
        <v/>
      </c>
      <c r="CL66" s="23" t="str">
        <f t="shared" ca="1" si="276"/>
        <v/>
      </c>
      <c r="CM66" s="23" t="str">
        <f t="shared" ca="1" si="276"/>
        <v/>
      </c>
      <c r="CN66" s="23" t="str">
        <f t="shared" ca="1" si="276"/>
        <v/>
      </c>
      <c r="CO66" s="23" t="str">
        <f t="shared" ca="1" si="276"/>
        <v/>
      </c>
      <c r="CP66" s="23" t="str">
        <f t="shared" ca="1" si="277"/>
        <v/>
      </c>
      <c r="CQ66" s="23" t="str">
        <f t="shared" ca="1" si="277"/>
        <v/>
      </c>
      <c r="CR66" s="23" t="str">
        <f t="shared" ca="1" si="277"/>
        <v/>
      </c>
      <c r="CS66" s="23" t="str">
        <f t="shared" ca="1" si="277"/>
        <v/>
      </c>
      <c r="CT66" s="23" t="str">
        <f t="shared" ca="1" si="277"/>
        <v/>
      </c>
      <c r="CU66" s="23" t="str">
        <f t="shared" ca="1" si="277"/>
        <v/>
      </c>
      <c r="CV66" s="23" t="str">
        <f t="shared" ca="1" si="277"/>
        <v/>
      </c>
      <c r="CW66" s="23" t="str">
        <f t="shared" ca="1" si="277"/>
        <v/>
      </c>
      <c r="CX66" s="23" t="str">
        <f ca="1">IF(CX$11="","",IF(CX$13=$M$5,CHOOSE($Q$6+1,$M$1,CY66+CZ66-#REF!),IF(CX$13=$M$6,CHOOSE($Q$6+1,$M$1,OFFSET($A66,,$P$7-1)),IF(CX$13=$M$7,CHOOSE($Q$6+1,$M$1,SUM(OFFSET($A$11,$B66-$O$5,$O$6,1,-$P$6))),IF(CX$13=$M$8,CHOOSE($Q$6+1,$M$1,SUM(OFFSET($A$11,$B66-$O$5,$O$7,1,-$P$6))),IF(CX$11&lt;$D$7,OFFSET(INDIRECT($D$3),$A66-1,$Q$3+CX$11),OFFSET(INDIRECT($D$4),$A66-1,$Q$4+CX$11)))))))</f>
        <v/>
      </c>
      <c r="CY66" s="23" t="str">
        <f ca="1">IF(CY$11="","",IF(CY$13=$M$5,CHOOSE($Q$6+1,$M$1,CZ66+#REF!-#REF!),IF(CY$13=$M$6,CHOOSE($Q$6+1,$M$1,OFFSET($A66,,$P$7-1)),IF(CY$13=$M$7,CHOOSE($Q$6+1,$M$1,SUM(OFFSET($A$11,$B66-$O$5,$O$6,1,-$P$6))),IF(CY$13=$M$8,CHOOSE($Q$6+1,$M$1,SUM(OFFSET($A$11,$B66-$O$5,$O$7,1,-$P$6))),IF(CY$11&lt;$D$7,OFFSET(INDIRECT($D$3),$A66-1,$Q$3+CY$11),OFFSET(INDIRECT($D$4),$A66-1,$Q$4+CY$11)))))))</f>
        <v/>
      </c>
      <c r="CZ66" s="23" t="str">
        <f ca="1">IF(CZ$11="","",IF(CZ$13=$M$5,CHOOSE($Q$6+1,$M$1,#REF!+#REF!-#REF!),IF(CZ$13=$M$6,CHOOSE($Q$6+1,$M$1,OFFSET($A66,,$P$7-1)),IF(CZ$13=$M$7,CHOOSE($Q$6+1,$M$1,SUM(OFFSET($A$11,$B66-$O$5,$O$6,1,-$P$6))),IF(CZ$13=$M$8,CHOOSE($Q$6+1,$M$1,SUM(OFFSET($A$11,$B66-$O$5,$O$7,1,-$P$6))),IF(CZ$11&lt;$D$7,OFFSET(INDIRECT($D$3),$A66-1,$Q$3+CZ$11),OFFSET(INDIRECT($D$4),$A66-1,$Q$4+CZ$11)))))))</f>
        <v/>
      </c>
    </row>
    <row r="67" spans="1:104" ht="13.5" customHeight="1">
      <c r="A67" s="27"/>
      <c r="B67" s="33">
        <f t="shared" si="14"/>
        <v>67</v>
      </c>
      <c r="C67" s="11"/>
      <c r="D67" s="34"/>
      <c r="E67" s="34"/>
      <c r="F67" s="34"/>
      <c r="G67" s="34"/>
      <c r="H67" s="34"/>
      <c r="I67" s="34"/>
      <c r="J67" s="34"/>
      <c r="K67" s="34"/>
      <c r="L67" s="34"/>
      <c r="M67" s="34"/>
      <c r="N67" s="34"/>
      <c r="O67" s="34"/>
      <c r="P67" s="34"/>
      <c r="Q67" s="34"/>
      <c r="R67" s="34"/>
      <c r="S67" s="34"/>
      <c r="T67" s="34"/>
      <c r="U67" s="34"/>
      <c r="V67" s="34"/>
      <c r="W67" s="34"/>
      <c r="X67" s="34"/>
      <c r="Y67" s="34"/>
      <c r="Z67" s="34"/>
      <c r="AA67" s="34"/>
      <c r="AB67" s="34"/>
      <c r="AC67" s="34"/>
      <c r="AD67" s="34"/>
      <c r="AE67" s="34"/>
      <c r="AF67" s="34"/>
      <c r="AG67" s="34"/>
      <c r="AH67" s="34"/>
      <c r="AI67" s="34"/>
      <c r="AJ67" s="34"/>
      <c r="AK67" s="34"/>
      <c r="AL67" s="34"/>
      <c r="AM67" s="34"/>
      <c r="AN67" s="34"/>
      <c r="AO67" s="34"/>
      <c r="AP67" s="34"/>
      <c r="AQ67" s="34"/>
      <c r="AR67" s="34"/>
      <c r="AS67" s="34"/>
      <c r="AT67" s="34"/>
      <c r="AU67" s="34"/>
      <c r="AV67" s="34"/>
      <c r="AW67" s="34"/>
      <c r="AX67" s="34"/>
      <c r="AY67" s="34"/>
      <c r="AZ67" s="34"/>
      <c r="BA67" s="34"/>
      <c r="BB67" s="34"/>
      <c r="BC67" s="34"/>
      <c r="BD67" s="34"/>
      <c r="BE67" s="34"/>
      <c r="BF67" s="34"/>
      <c r="BG67" s="34"/>
      <c r="BH67" s="34"/>
      <c r="BI67" s="34"/>
      <c r="BJ67" s="34"/>
      <c r="BK67" s="34"/>
      <c r="BL67" s="34"/>
      <c r="BM67" s="34"/>
      <c r="BN67" s="34"/>
      <c r="BO67" s="34"/>
      <c r="BP67" s="34"/>
      <c r="BQ67" s="34"/>
      <c r="BR67" s="34"/>
      <c r="BS67" s="34"/>
      <c r="BT67" s="34"/>
      <c r="BU67" s="34"/>
      <c r="BV67" s="34"/>
      <c r="BW67" s="34"/>
      <c r="BX67" s="34"/>
      <c r="BY67" s="34"/>
      <c r="BZ67" s="34"/>
      <c r="CA67" s="34"/>
      <c r="CB67" s="34"/>
      <c r="CC67" s="34"/>
      <c r="CD67" s="34"/>
      <c r="CE67" s="34"/>
      <c r="CF67" s="34"/>
      <c r="CG67" s="34"/>
      <c r="CH67" s="34"/>
      <c r="CI67" s="34"/>
      <c r="CJ67" s="34"/>
      <c r="CK67" s="34"/>
      <c r="CL67" s="34"/>
      <c r="CM67" s="34"/>
      <c r="CN67" s="34"/>
      <c r="CO67" s="34"/>
      <c r="CP67" s="34"/>
      <c r="CQ67" s="34"/>
      <c r="CR67" s="34"/>
      <c r="CS67" s="34"/>
      <c r="CT67" s="34"/>
      <c r="CU67" s="34"/>
      <c r="CV67" s="34"/>
      <c r="CW67" s="34"/>
      <c r="CX67" s="34"/>
      <c r="CY67" s="34"/>
      <c r="CZ67" s="34"/>
    </row>
    <row r="68" spans="1:104" ht="13.5" customHeight="1">
      <c r="A68" s="27">
        <v>57</v>
      </c>
      <c r="B68" s="33">
        <f t="shared" si="14"/>
        <v>68</v>
      </c>
      <c r="C68" s="9" t="s">
        <v>338</v>
      </c>
      <c r="D68" s="23">
        <f t="shared" ref="D68:D76" ca="1" si="278">IF(D$11="","",IF(D$13=$M$5,CHOOSE($Q$6+1,$M$1,E68+F68-G68),IF(D$13=$M$6,CHOOSE($Q$6+1,$M$1,OFFSET($A68,,$P$7-1)),IF(D$13=$M$7,CHOOSE($Q$6+1,$M$1,SUM(OFFSET($A$11,$B68-$O$5,$O$6,1,-$P$6))),IF(D$13=$M$8,CHOOSE($Q$6+1,$M$1,SUM(OFFSET($A$11,$B68-$O$5,$O$7,1,-$P$6))),IF(D$11&lt;$D$7,OFFSET(INDIRECT($D$3),$A68-1,$Q$3+D$11),OFFSET(INDIRECT($D$4),$A68-1,$Q$4+D$11)))))))</f>
        <v>28.05</v>
      </c>
      <c r="E68" s="23">
        <f t="shared" ref="E68:E76" ca="1" si="279">IF(E$11="","",IF(E$13=$M$5,CHOOSE($Q$6+1,$M$1,F68+G68-H68),IF(E$13=$M$6,CHOOSE($Q$6+1,$M$1,OFFSET($A68,,$P$7-1)),IF(E$13=$M$7,CHOOSE($Q$6+1,$M$1,SUM(OFFSET($A$11,$B68-$O$5,$O$6,1,-$P$6))),IF(E$13=$M$8,CHOOSE($Q$6+1,$M$1,SUM(OFFSET($A$11,$B68-$O$5,$O$7,1,-$P$6))),IF(E$11&lt;$D$7,OFFSET(INDIRECT($D$3),$A68-1,$Q$3+E$11),OFFSET(INDIRECT($D$4),$A68-1,$Q$4+E$11)))))))</f>
        <v>44.64</v>
      </c>
      <c r="F68" s="23">
        <f t="shared" ref="F68:F76" ca="1" si="280">IF(F$11="","",IF(F$13=$M$5,CHOOSE($Q$6+1,$M$1,G68+H68-I68),IF(F$13=$M$6,CHOOSE($Q$6+1,$M$1,OFFSET($A68,,$P$7-1)),IF(F$13=$M$7,CHOOSE($Q$6+1,$M$1,SUM(OFFSET($A$11,$B68-$O$5,$O$6,1,-$P$6))),IF(F$13=$M$8,CHOOSE($Q$6+1,$M$1,SUM(OFFSET($A$11,$B68-$O$5,$O$7,1,-$P$6))),IF(F$11&lt;$D$7,OFFSET(INDIRECT($D$3),$A68-1,$Q$3+F$11),OFFSET(INDIRECT($D$4),$A68-1,$Q$4+F$11)))))))</f>
        <v>6.49</v>
      </c>
      <c r="G68" s="23">
        <f t="shared" ref="G68:G76" ca="1" si="281">IF(G$11="","",IF(G$13=$M$5,CHOOSE($Q$6+1,$M$1,H68+I68-J68),IF(G$13=$M$6,CHOOSE($Q$6+1,$M$1,OFFSET($A68,,$P$7-1)),IF(G$13=$M$7,CHOOSE($Q$6+1,$M$1,SUM(OFFSET($A$11,$B68-$O$5,$O$6,1,-$P$6))),IF(G$13=$M$8,CHOOSE($Q$6+1,$M$1,SUM(OFFSET($A$11,$B68-$O$5,$O$7,1,-$P$6))),IF(G$11&lt;$D$7,OFFSET(INDIRECT($D$3),$A68-1,$Q$3+G$11),OFFSET(INDIRECT($D$4),$A68-1,$Q$4+G$11)))))))</f>
        <v>7.89</v>
      </c>
      <c r="H68" s="23">
        <f t="shared" ref="H68:H76" ca="1" si="282">IF(H$11="","",IF(H$13=$M$5,CHOOSE($Q$6+1,$M$1,I68+J68-K68),IF(H$13=$M$6,CHOOSE($Q$6+1,$M$1,OFFSET($A68,,$P$7-1)),IF(H$13=$M$7,CHOOSE($Q$6+1,$M$1,SUM(OFFSET($A$11,$B68-$O$5,$O$6,1,-$P$6))),IF(H$13=$M$8,CHOOSE($Q$6+1,$M$1,SUM(OFFSET($A$11,$B68-$O$5,$O$7,1,-$P$6))),IF(H$11&lt;$D$7,OFFSET(INDIRECT($D$3),$A68-1,$Q$3+H$11),OFFSET(INDIRECT($D$4),$A68-1,$Q$4+H$11)))))))</f>
        <v>7.14</v>
      </c>
      <c r="I68" s="23">
        <f t="shared" ref="I68:I76" ca="1" si="283">IF(I$11="","",IF(I$13=$M$5,CHOOSE($Q$6+1,$M$1,J68+K68-L68),IF(I$13=$M$6,CHOOSE($Q$6+1,$M$1,OFFSET($A68,,$P$7-1)),IF(I$13=$M$7,CHOOSE($Q$6+1,$M$1,SUM(OFFSET($A$11,$B68-$O$5,$O$6,1,-$P$6))),IF(I$13=$M$8,CHOOSE($Q$6+1,$M$1,SUM(OFFSET($A$11,$B68-$O$5,$O$7,1,-$P$6))),IF(I$11&lt;$D$7,OFFSET(INDIRECT($D$3),$A68-1,$Q$3+I$11),OFFSET(INDIRECT($D$4),$A68-1,$Q$4+I$11)))))))</f>
        <v>14.03</v>
      </c>
      <c r="J68" s="23">
        <f t="shared" ref="J68:J76" ca="1" si="284">IF(J$11="","",IF(J$13=$M$5,CHOOSE($Q$6+1,$M$1,K68+L68-M68),IF(J$13=$M$6,CHOOSE($Q$6+1,$M$1,OFFSET($A68,,$P$7-1)),IF(J$13=$M$7,CHOOSE($Q$6+1,$M$1,SUM(OFFSET($A$11,$B68-$O$5,$O$6,1,-$P$6))),IF(J$13=$M$8,CHOOSE($Q$6+1,$M$1,SUM(OFFSET($A$11,$B68-$O$5,$O$7,1,-$P$6))),IF(J$11&lt;$D$7,OFFSET(INDIRECT($D$3),$A68-1,$Q$3+J$11),OFFSET(INDIRECT($D$4),$A68-1,$Q$4+J$11)))))))</f>
        <v>12.45</v>
      </c>
      <c r="K68" s="23">
        <f t="shared" ref="K68:K76" ca="1" si="285">IF(K$11="","",IF(K$13=$M$5,CHOOSE($Q$6+1,$M$1,L68+M68-N68),IF(K$13=$M$6,CHOOSE($Q$6+1,$M$1,OFFSET($A68,,$P$7-1)),IF(K$13=$M$7,CHOOSE($Q$6+1,$M$1,SUM(OFFSET($A$11,$B68-$O$5,$O$6,1,-$P$6))),IF(K$13=$M$8,CHOOSE($Q$6+1,$M$1,SUM(OFFSET($A$11,$B68-$O$5,$O$7,1,-$P$6))),IF(K$11&lt;$D$7,OFFSET(INDIRECT($D$3),$A68-1,$Q$3+K$11),OFFSET(INDIRECT($D$4),$A68-1,$Q$4+K$11)))))))</f>
        <v>9.42</v>
      </c>
      <c r="L68" s="23">
        <f t="shared" ref="L68:L76" ca="1" si="286">IF(L$11="","",IF(L$13=$M$5,CHOOSE($Q$6+1,$M$1,M68+N68-O68),IF(L$13=$M$6,CHOOSE($Q$6+1,$M$1,OFFSET($A68,,$P$7-1)),IF(L$13=$M$7,CHOOSE($Q$6+1,$M$1,SUM(OFFSET($A$11,$B68-$O$5,$O$6,1,-$P$6))),IF(L$13=$M$8,CHOOSE($Q$6+1,$M$1,SUM(OFFSET($A$11,$B68-$O$5,$O$7,1,-$P$6))),IF(L$11&lt;$D$7,OFFSET(INDIRECT($D$3),$A68-1,$Q$3+L$11),OFFSET(INDIRECT($D$4),$A68-1,$Q$4+L$11)))))))</f>
        <v>8.75</v>
      </c>
      <c r="M68" s="23">
        <f t="shared" ref="M68:M76" ca="1" si="287">IF(M$11="","",IF(M$13=$M$5,CHOOSE($Q$6+1,$M$1,N68+O68-P68),IF(M$13=$M$6,CHOOSE($Q$6+1,$M$1,OFFSET($A68,,$P$7-1)),IF(M$13=$M$7,CHOOSE($Q$6+1,$M$1,SUM(OFFSET($A$11,$B68-$O$5,$O$6,1,-$P$6))),IF(M$13=$M$8,CHOOSE($Q$6+1,$M$1,SUM(OFFSET($A$11,$B68-$O$5,$O$7,1,-$P$6))),IF(M$11&lt;$D$7,OFFSET(INDIRECT($D$3),$A68-1,$Q$3+M$11),OFFSET(INDIRECT($D$4),$A68-1,$Q$4+M$11)))))))</f>
        <v>13.93</v>
      </c>
      <c r="N68" s="23">
        <f t="shared" ref="N68:N76" ca="1" si="288">IF(N$11="","",IF(N$13=$M$5,CHOOSE($Q$6+1,$M$1,O68+P68-Q68),IF(N$13=$M$6,CHOOSE($Q$6+1,$M$1,OFFSET($A68,,$P$7-1)),IF(N$13=$M$7,CHOOSE($Q$6+1,$M$1,SUM(OFFSET($A$11,$B68-$O$5,$O$6,1,-$P$6))),IF(N$13=$M$8,CHOOSE($Q$6+1,$M$1,SUM(OFFSET($A$11,$B68-$O$5,$O$7,1,-$P$6))),IF(N$11&lt;$D$7,OFFSET(INDIRECT($D$3),$A68-1,$Q$3+N$11),OFFSET(INDIRECT($D$4),$A68-1,$Q$4+N$11)))))))</f>
        <v>44.54</v>
      </c>
      <c r="O68" s="23">
        <f t="shared" ref="O68:O76" ca="1" si="289">IF(O$11="","",IF(O$13=$M$5,CHOOSE($Q$6+1,$M$1,P68+Q68-R68),IF(O$13=$M$6,CHOOSE($Q$6+1,$M$1,OFFSET($A68,,$P$7-1)),IF(O$13=$M$7,CHOOSE($Q$6+1,$M$1,SUM(OFFSET($A$11,$B68-$O$5,$O$6,1,-$P$6))),IF(O$13=$M$8,CHOOSE($Q$6+1,$M$1,SUM(OFFSET($A$11,$B68-$O$5,$O$7,1,-$P$6))),IF(O$11&lt;$D$7,OFFSET(INDIRECT($D$3),$A68-1,$Q$3+O$11),OFFSET(INDIRECT($D$4),$A68-1,$Q$4+O$11)))))))</f>
        <v>44.64</v>
      </c>
      <c r="P68" s="23">
        <f t="shared" ref="P68:P76" ca="1" si="290">IF(P$11="","",IF(P$13=$M$5,CHOOSE($Q$6+1,$M$1,Q68+R68-S68),IF(P$13=$M$6,CHOOSE($Q$6+1,$M$1,OFFSET($A68,,$P$7-1)),IF(P$13=$M$7,CHOOSE($Q$6+1,$M$1,SUM(OFFSET($A$11,$B68-$O$5,$O$6,1,-$P$6))),IF(P$13=$M$8,CHOOSE($Q$6+1,$M$1,SUM(OFFSET($A$11,$B68-$O$5,$O$7,1,-$P$6))),IF(P$11&lt;$D$7,OFFSET(INDIRECT($D$3),$A68-1,$Q$3+P$11),OFFSET(INDIRECT($D$4),$A68-1,$Q$4+P$11)))))))</f>
        <v>13.93</v>
      </c>
      <c r="Q68" s="23">
        <f t="shared" ref="Q68:Q76" ca="1" si="291">IF(Q$11="","",IF(Q$13=$M$5,CHOOSE($Q$6+1,$M$1,R68+S68-T68),IF(Q$13=$M$6,CHOOSE($Q$6+1,$M$1,OFFSET($A68,,$P$7-1)),IF(Q$13=$M$7,CHOOSE($Q$6+1,$M$1,SUM(OFFSET($A$11,$B68-$O$5,$O$6,1,-$P$6))),IF(Q$13=$M$8,CHOOSE($Q$6+1,$M$1,SUM(OFFSET($A$11,$B68-$O$5,$O$7,1,-$P$6))),IF(Q$11&lt;$D$7,OFFSET(INDIRECT($D$3),$A68-1,$Q$3+Q$11),OFFSET(INDIRECT($D$4),$A68-1,$Q$4+Q$11)))))))</f>
        <v>14.03</v>
      </c>
      <c r="R68" s="23" t="str">
        <f t="shared" ref="R68:R76" ca="1" si="292">IF(R$11="","",IF(R$13=$M$5,CHOOSE($Q$6+1,$M$1,S68+T68-U68),IF(R$13=$M$6,CHOOSE($Q$6+1,$M$1,OFFSET($A68,,$P$7-1)),IF(R$13=$M$7,CHOOSE($Q$6+1,$M$1,SUM(OFFSET($A$11,$B68-$O$5,$O$6,1,-$P$6))),IF(R$13=$M$8,CHOOSE($Q$6+1,$M$1,SUM(OFFSET($A$11,$B68-$O$5,$O$7,1,-$P$6))),IF(R$11&lt;$D$7,OFFSET(INDIRECT($D$3),$A68-1,$Q$3+R$11),OFFSET(INDIRECT($D$4),$A68-1,$Q$4+R$11)))))))</f>
        <v/>
      </c>
      <c r="S68" s="23" t="str">
        <f t="shared" ref="S68:S76" ca="1" si="293">IF(S$11="","",IF(S$13=$M$5,CHOOSE($Q$6+1,$M$1,T68+U68-V68),IF(S$13=$M$6,CHOOSE($Q$6+1,$M$1,OFFSET($A68,,$P$7-1)),IF(S$13=$M$7,CHOOSE($Q$6+1,$M$1,SUM(OFFSET($A$11,$B68-$O$5,$O$6,1,-$P$6))),IF(S$13=$M$8,CHOOSE($Q$6+1,$M$1,SUM(OFFSET($A$11,$B68-$O$5,$O$7,1,-$P$6))),IF(S$11&lt;$D$7,OFFSET(INDIRECT($D$3),$A68-1,$Q$3+S$11),OFFSET(INDIRECT($D$4),$A68-1,$Q$4+S$11)))))))</f>
        <v/>
      </c>
      <c r="T68" s="23" t="str">
        <f t="shared" ref="T68:T76" ca="1" si="294">IF(T$11="","",IF(T$13=$M$5,CHOOSE($Q$6+1,$M$1,U68+V68-W68),IF(T$13=$M$6,CHOOSE($Q$6+1,$M$1,OFFSET($A68,,$P$7-1)),IF(T$13=$M$7,CHOOSE($Q$6+1,$M$1,SUM(OFFSET($A$11,$B68-$O$5,$O$6,1,-$P$6))),IF(T$13=$M$8,CHOOSE($Q$6+1,$M$1,SUM(OFFSET($A$11,$B68-$O$5,$O$7,1,-$P$6))),IF(T$11&lt;$D$7,OFFSET(INDIRECT($D$3),$A68-1,$Q$3+T$11),OFFSET(INDIRECT($D$4),$A68-1,$Q$4+T$11)))))))</f>
        <v/>
      </c>
      <c r="U68" s="23" t="str">
        <f t="shared" ref="U68:U76" ca="1" si="295">IF(U$11="","",IF(U$13=$M$5,CHOOSE($Q$6+1,$M$1,V68+W68-X68),IF(U$13=$M$6,CHOOSE($Q$6+1,$M$1,OFFSET($A68,,$P$7-1)),IF(U$13=$M$7,CHOOSE($Q$6+1,$M$1,SUM(OFFSET($A$11,$B68-$O$5,$O$6,1,-$P$6))),IF(U$13=$M$8,CHOOSE($Q$6+1,$M$1,SUM(OFFSET($A$11,$B68-$O$5,$O$7,1,-$P$6))),IF(U$11&lt;$D$7,OFFSET(INDIRECT($D$3),$A68-1,$Q$3+U$11),OFFSET(INDIRECT($D$4),$A68-1,$Q$4+U$11)))))))</f>
        <v/>
      </c>
      <c r="V68" s="23" t="str">
        <f t="shared" ref="V68:V76" ca="1" si="296">IF(V$11="","",IF(V$13=$M$5,CHOOSE($Q$6+1,$M$1,W68+X68-Y68),IF(V$13=$M$6,CHOOSE($Q$6+1,$M$1,OFFSET($A68,,$P$7-1)),IF(V$13=$M$7,CHOOSE($Q$6+1,$M$1,SUM(OFFSET($A$11,$B68-$O$5,$O$6,1,-$P$6))),IF(V$13=$M$8,CHOOSE($Q$6+1,$M$1,SUM(OFFSET($A$11,$B68-$O$5,$O$7,1,-$P$6))),IF(V$11&lt;$D$7,OFFSET(INDIRECT($D$3),$A68-1,$Q$3+V$11),OFFSET(INDIRECT($D$4),$A68-1,$Q$4+V$11)))))))</f>
        <v/>
      </c>
      <c r="W68" s="23" t="str">
        <f t="shared" ref="W68:W76" ca="1" si="297">IF(W$11="","",IF(W$13=$M$5,CHOOSE($Q$6+1,$M$1,X68+Y68-Z68),IF(W$13=$M$6,CHOOSE($Q$6+1,$M$1,OFFSET($A68,,$P$7-1)),IF(W$13=$M$7,CHOOSE($Q$6+1,$M$1,SUM(OFFSET($A$11,$B68-$O$5,$O$6,1,-$P$6))),IF(W$13=$M$8,CHOOSE($Q$6+1,$M$1,SUM(OFFSET($A$11,$B68-$O$5,$O$7,1,-$P$6))),IF(W$11&lt;$D$7,OFFSET(INDIRECT($D$3),$A68-1,$Q$3+W$11),OFFSET(INDIRECT($D$4),$A68-1,$Q$4+W$11)))))))</f>
        <v/>
      </c>
      <c r="X68" s="23" t="str">
        <f t="shared" ref="X68:X76" ca="1" si="298">IF(X$11="","",IF(X$13=$M$5,CHOOSE($Q$6+1,$M$1,Y68+Z68-AA68),IF(X$13=$M$6,CHOOSE($Q$6+1,$M$1,OFFSET($A68,,$P$7-1)),IF(X$13=$M$7,CHOOSE($Q$6+1,$M$1,SUM(OFFSET($A$11,$B68-$O$5,$O$6,1,-$P$6))),IF(X$13=$M$8,CHOOSE($Q$6+1,$M$1,SUM(OFFSET($A$11,$B68-$O$5,$O$7,1,-$P$6))),IF(X$11&lt;$D$7,OFFSET(INDIRECT($D$3),$A68-1,$Q$3+X$11),OFFSET(INDIRECT($D$4),$A68-1,$Q$4+X$11)))))))</f>
        <v/>
      </c>
      <c r="Y68" s="23" t="str">
        <f t="shared" ref="Y68:Y76" ca="1" si="299">IF(Y$11="","",IF(Y$13=$M$5,CHOOSE($Q$6+1,$M$1,Z68+AA68-AB68),IF(Y$13=$M$6,CHOOSE($Q$6+1,$M$1,OFFSET($A68,,$P$7-1)),IF(Y$13=$M$7,CHOOSE($Q$6+1,$M$1,SUM(OFFSET($A$11,$B68-$O$5,$O$6,1,-$P$6))),IF(Y$13=$M$8,CHOOSE($Q$6+1,$M$1,SUM(OFFSET($A$11,$B68-$O$5,$O$7,1,-$P$6))),IF(Y$11&lt;$D$7,OFFSET(INDIRECT($D$3),$A68-1,$Q$3+Y$11),OFFSET(INDIRECT($D$4),$A68-1,$Q$4+Y$11)))))))</f>
        <v/>
      </c>
      <c r="Z68" s="23" t="str">
        <f t="shared" ref="Z68:Z76" ca="1" si="300">IF(Z$11="","",IF(Z$13=$M$5,CHOOSE($Q$6+1,$M$1,AA68+AB68-AC68),IF(Z$13=$M$6,CHOOSE($Q$6+1,$M$1,OFFSET($A68,,$P$7-1)),IF(Z$13=$M$7,CHOOSE($Q$6+1,$M$1,SUM(OFFSET($A$11,$B68-$O$5,$O$6,1,-$P$6))),IF(Z$13=$M$8,CHOOSE($Q$6+1,$M$1,SUM(OFFSET($A$11,$B68-$O$5,$O$7,1,-$P$6))),IF(Z$11&lt;$D$7,OFFSET(INDIRECT($D$3),$A68-1,$Q$3+Z$11),OFFSET(INDIRECT($D$4),$A68-1,$Q$4+Z$11)))))))</f>
        <v/>
      </c>
      <c r="AA68" s="23" t="str">
        <f t="shared" ref="AA68:AA76" ca="1" si="301">IF(AA$11="","",IF(AA$13=$M$5,CHOOSE($Q$6+1,$M$1,AB68+AC68-AD68),IF(AA$13=$M$6,CHOOSE($Q$6+1,$M$1,OFFSET($A68,,$P$7-1)),IF(AA$13=$M$7,CHOOSE($Q$6+1,$M$1,SUM(OFFSET($A$11,$B68-$O$5,$O$6,1,-$P$6))),IF(AA$13=$M$8,CHOOSE($Q$6+1,$M$1,SUM(OFFSET($A$11,$B68-$O$5,$O$7,1,-$P$6))),IF(AA$11&lt;$D$7,OFFSET(INDIRECT($D$3),$A68-1,$Q$3+AA$11),OFFSET(INDIRECT($D$4),$A68-1,$Q$4+AA$11)))))))</f>
        <v/>
      </c>
      <c r="AB68" s="23" t="str">
        <f t="shared" ref="AB68:AB76" ca="1" si="302">IF(AB$11="","",IF(AB$13=$M$5,CHOOSE($Q$6+1,$M$1,AC68+AD68-AE68),IF(AB$13=$M$6,CHOOSE($Q$6+1,$M$1,OFFSET($A68,,$P$7-1)),IF(AB$13=$M$7,CHOOSE($Q$6+1,$M$1,SUM(OFFSET($A$11,$B68-$O$5,$O$6,1,-$P$6))),IF(AB$13=$M$8,CHOOSE($Q$6+1,$M$1,SUM(OFFSET($A$11,$B68-$O$5,$O$7,1,-$P$6))),IF(AB$11&lt;$D$7,OFFSET(INDIRECT($D$3),$A68-1,$Q$3+AB$11),OFFSET(INDIRECT($D$4),$A68-1,$Q$4+AB$11)))))))</f>
        <v/>
      </c>
      <c r="AC68" s="23" t="str">
        <f t="shared" ref="AC68:AC76" ca="1" si="303">IF(AC$11="","",IF(AC$13=$M$5,CHOOSE($Q$6+1,$M$1,AD68+AE68-AF68),IF(AC$13=$M$6,CHOOSE($Q$6+1,$M$1,OFFSET($A68,,$P$7-1)),IF(AC$13=$M$7,CHOOSE($Q$6+1,$M$1,SUM(OFFSET($A$11,$B68-$O$5,$O$6,1,-$P$6))),IF(AC$13=$M$8,CHOOSE($Q$6+1,$M$1,SUM(OFFSET($A$11,$B68-$O$5,$O$7,1,-$P$6))),IF(AC$11&lt;$D$7,OFFSET(INDIRECT($D$3),$A68-1,$Q$3+AC$11),OFFSET(INDIRECT($D$4),$A68-1,$Q$4+AC$11)))))))</f>
        <v/>
      </c>
      <c r="AD68" s="23" t="str">
        <f t="shared" ref="AD68:AD76" ca="1" si="304">IF(AD$11="","",IF(AD$13=$M$5,CHOOSE($Q$6+1,$M$1,AE68+AF68-AG68),IF(AD$13=$M$6,CHOOSE($Q$6+1,$M$1,OFFSET($A68,,$P$7-1)),IF(AD$13=$M$7,CHOOSE($Q$6+1,$M$1,SUM(OFFSET($A$11,$B68-$O$5,$O$6,1,-$P$6))),IF(AD$13=$M$8,CHOOSE($Q$6+1,$M$1,SUM(OFFSET($A$11,$B68-$O$5,$O$7,1,-$P$6))),IF(AD$11&lt;$D$7,OFFSET(INDIRECT($D$3),$A68-1,$Q$3+AD$11),OFFSET(INDIRECT($D$4),$A68-1,$Q$4+AD$11)))))))</f>
        <v/>
      </c>
      <c r="AE68" s="23" t="str">
        <f t="shared" ref="AE68:AE76" ca="1" si="305">IF(AE$11="","",IF(AE$13=$M$5,CHOOSE($Q$6+1,$M$1,AF68+AG68-AH68),IF(AE$13=$M$6,CHOOSE($Q$6+1,$M$1,OFFSET($A68,,$P$7-1)),IF(AE$13=$M$7,CHOOSE($Q$6+1,$M$1,SUM(OFFSET($A$11,$B68-$O$5,$O$6,1,-$P$6))),IF(AE$13=$M$8,CHOOSE($Q$6+1,$M$1,SUM(OFFSET($A$11,$B68-$O$5,$O$7,1,-$P$6))),IF(AE$11&lt;$D$7,OFFSET(INDIRECT($D$3),$A68-1,$Q$3+AE$11),OFFSET(INDIRECT($D$4),$A68-1,$Q$4+AE$11)))))))</f>
        <v/>
      </c>
      <c r="AF68" s="23" t="str">
        <f t="shared" ref="AF68:AF76" ca="1" si="306">IF(AF$11="","",IF(AF$13=$M$5,CHOOSE($Q$6+1,$M$1,AG68+AH68-AI68),IF(AF$13=$M$6,CHOOSE($Q$6+1,$M$1,OFFSET($A68,,$P$7-1)),IF(AF$13=$M$7,CHOOSE($Q$6+1,$M$1,SUM(OFFSET($A$11,$B68-$O$5,$O$6,1,-$P$6))),IF(AF$13=$M$8,CHOOSE($Q$6+1,$M$1,SUM(OFFSET($A$11,$B68-$O$5,$O$7,1,-$P$6))),IF(AF$11&lt;$D$7,OFFSET(INDIRECT($D$3),$A68-1,$Q$3+AF$11),OFFSET(INDIRECT($D$4),$A68-1,$Q$4+AF$11)))))))</f>
        <v/>
      </c>
      <c r="AG68" s="23" t="str">
        <f t="shared" ref="AG68:AG76" ca="1" si="307">IF(AG$11="","",IF(AG$13=$M$5,CHOOSE($Q$6+1,$M$1,AH68+AI68-AJ68),IF(AG$13=$M$6,CHOOSE($Q$6+1,$M$1,OFFSET($A68,,$P$7-1)),IF(AG$13=$M$7,CHOOSE($Q$6+1,$M$1,SUM(OFFSET($A$11,$B68-$O$5,$O$6,1,-$P$6))),IF(AG$13=$M$8,CHOOSE($Q$6+1,$M$1,SUM(OFFSET($A$11,$B68-$O$5,$O$7,1,-$P$6))),IF(AG$11&lt;$D$7,OFFSET(INDIRECT($D$3),$A68-1,$Q$3+AG$11),OFFSET(INDIRECT($D$4),$A68-1,$Q$4+AG$11)))))))</f>
        <v/>
      </c>
      <c r="AH68" s="23" t="str">
        <f t="shared" ref="AH68:AH76" ca="1" si="308">IF(AH$11="","",IF(AH$13=$M$5,CHOOSE($Q$6+1,$M$1,AI68+AJ68-AK68),IF(AH$13=$M$6,CHOOSE($Q$6+1,$M$1,OFFSET($A68,,$P$7-1)),IF(AH$13=$M$7,CHOOSE($Q$6+1,$M$1,SUM(OFFSET($A$11,$B68-$O$5,$O$6,1,-$P$6))),IF(AH$13=$M$8,CHOOSE($Q$6+1,$M$1,SUM(OFFSET($A$11,$B68-$O$5,$O$7,1,-$P$6))),IF(AH$11&lt;$D$7,OFFSET(INDIRECT($D$3),$A68-1,$Q$3+AH$11),OFFSET(INDIRECT($D$4),$A68-1,$Q$4+AH$11)))))))</f>
        <v/>
      </c>
      <c r="AI68" s="23" t="str">
        <f t="shared" ref="AI68:AI76" ca="1" si="309">IF(AI$11="","",IF(AI$13=$M$5,CHOOSE($Q$6+1,$M$1,AJ68+AK68-AL68),IF(AI$13=$M$6,CHOOSE($Q$6+1,$M$1,OFFSET($A68,,$P$7-1)),IF(AI$13=$M$7,CHOOSE($Q$6+1,$M$1,SUM(OFFSET($A$11,$B68-$O$5,$O$6,1,-$P$6))),IF(AI$13=$M$8,CHOOSE($Q$6+1,$M$1,SUM(OFFSET($A$11,$B68-$O$5,$O$7,1,-$P$6))),IF(AI$11&lt;$D$7,OFFSET(INDIRECT($D$3),$A68-1,$Q$3+AI$11),OFFSET(INDIRECT($D$4),$A68-1,$Q$4+AI$11)))))))</f>
        <v/>
      </c>
      <c r="AJ68" s="23" t="str">
        <f t="shared" ref="AJ68:AJ76" ca="1" si="310">IF(AJ$11="","",IF(AJ$13=$M$5,CHOOSE($Q$6+1,$M$1,AK68+AL68-AM68),IF(AJ$13=$M$6,CHOOSE($Q$6+1,$M$1,OFFSET($A68,,$P$7-1)),IF(AJ$13=$M$7,CHOOSE($Q$6+1,$M$1,SUM(OFFSET($A$11,$B68-$O$5,$O$6,1,-$P$6))),IF(AJ$13=$M$8,CHOOSE($Q$6+1,$M$1,SUM(OFFSET($A$11,$B68-$O$5,$O$7,1,-$P$6))),IF(AJ$11&lt;$D$7,OFFSET(INDIRECT($D$3),$A68-1,$Q$3+AJ$11),OFFSET(INDIRECT($D$4),$A68-1,$Q$4+AJ$11)))))))</f>
        <v/>
      </c>
      <c r="AK68" s="23" t="str">
        <f t="shared" ref="AK68:AK76" ca="1" si="311">IF(AK$11="","",IF(AK$13=$M$5,CHOOSE($Q$6+1,$M$1,AL68+AM68-AN68),IF(AK$13=$M$6,CHOOSE($Q$6+1,$M$1,OFFSET($A68,,$P$7-1)),IF(AK$13=$M$7,CHOOSE($Q$6+1,$M$1,SUM(OFFSET($A$11,$B68-$O$5,$O$6,1,-$P$6))),IF(AK$13=$M$8,CHOOSE($Q$6+1,$M$1,SUM(OFFSET($A$11,$B68-$O$5,$O$7,1,-$P$6))),IF(AK$11&lt;$D$7,OFFSET(INDIRECT($D$3),$A68-1,$Q$3+AK$11),OFFSET(INDIRECT($D$4),$A68-1,$Q$4+AK$11)))))))</f>
        <v/>
      </c>
      <c r="AL68" s="23" t="str">
        <f t="shared" ref="AL68:AL76" ca="1" si="312">IF(AL$11="","",IF(AL$13=$M$5,CHOOSE($Q$6+1,$M$1,AM68+AN68-AO68),IF(AL$13=$M$6,CHOOSE($Q$6+1,$M$1,OFFSET($A68,,$P$7-1)),IF(AL$13=$M$7,CHOOSE($Q$6+1,$M$1,SUM(OFFSET($A$11,$B68-$O$5,$O$6,1,-$P$6))),IF(AL$13=$M$8,CHOOSE($Q$6+1,$M$1,SUM(OFFSET($A$11,$B68-$O$5,$O$7,1,-$P$6))),IF(AL$11&lt;$D$7,OFFSET(INDIRECT($D$3),$A68-1,$Q$3+AL$11),OFFSET(INDIRECT($D$4),$A68-1,$Q$4+AL$11)))))))</f>
        <v/>
      </c>
      <c r="AM68" s="23" t="str">
        <f t="shared" ref="AM68:AM76" ca="1" si="313">IF(AM$11="","",IF(AM$13=$M$5,CHOOSE($Q$6+1,$M$1,AN68+AO68-AP68),IF(AM$13=$M$6,CHOOSE($Q$6+1,$M$1,OFFSET($A68,,$P$7-1)),IF(AM$13=$M$7,CHOOSE($Q$6+1,$M$1,SUM(OFFSET($A$11,$B68-$O$5,$O$6,1,-$P$6))),IF(AM$13=$M$8,CHOOSE($Q$6+1,$M$1,SUM(OFFSET($A$11,$B68-$O$5,$O$7,1,-$P$6))),IF(AM$11&lt;$D$7,OFFSET(INDIRECT($D$3),$A68-1,$Q$3+AM$11),OFFSET(INDIRECT($D$4),$A68-1,$Q$4+AM$11)))))))</f>
        <v/>
      </c>
      <c r="AN68" s="23" t="str">
        <f t="shared" ref="AN68:AN76" ca="1" si="314">IF(AN$11="","",IF(AN$13=$M$5,CHOOSE($Q$6+1,$M$1,AO68+AP68-AQ68),IF(AN$13=$M$6,CHOOSE($Q$6+1,$M$1,OFFSET($A68,,$P$7-1)),IF(AN$13=$M$7,CHOOSE($Q$6+1,$M$1,SUM(OFFSET($A$11,$B68-$O$5,$O$6,1,-$P$6))),IF(AN$13=$M$8,CHOOSE($Q$6+1,$M$1,SUM(OFFSET($A$11,$B68-$O$5,$O$7,1,-$P$6))),IF(AN$11&lt;$D$7,OFFSET(INDIRECT($D$3),$A68-1,$Q$3+AN$11),OFFSET(INDIRECT($D$4),$A68-1,$Q$4+AN$11)))))))</f>
        <v/>
      </c>
      <c r="AO68" s="23" t="str">
        <f t="shared" ref="AO68:AO76" ca="1" si="315">IF(AO$11="","",IF(AO$13=$M$5,CHOOSE($Q$6+1,$M$1,AP68+AQ68-AR68),IF(AO$13=$M$6,CHOOSE($Q$6+1,$M$1,OFFSET($A68,,$P$7-1)),IF(AO$13=$M$7,CHOOSE($Q$6+1,$M$1,SUM(OFFSET($A$11,$B68-$O$5,$O$6,1,-$P$6))),IF(AO$13=$M$8,CHOOSE($Q$6+1,$M$1,SUM(OFFSET($A$11,$B68-$O$5,$O$7,1,-$P$6))),IF(AO$11&lt;$D$7,OFFSET(INDIRECT($D$3),$A68-1,$Q$3+AO$11),OFFSET(INDIRECT($D$4),$A68-1,$Q$4+AO$11)))))))</f>
        <v/>
      </c>
      <c r="AP68" s="23" t="str">
        <f t="shared" ref="AP68:AP76" ca="1" si="316">IF(AP$11="","",IF(AP$13=$M$5,CHOOSE($Q$6+1,$M$1,AQ68+AR68-AS68),IF(AP$13=$M$6,CHOOSE($Q$6+1,$M$1,OFFSET($A68,,$P$7-1)),IF(AP$13=$M$7,CHOOSE($Q$6+1,$M$1,SUM(OFFSET($A$11,$B68-$O$5,$O$6,1,-$P$6))),IF(AP$13=$M$8,CHOOSE($Q$6+1,$M$1,SUM(OFFSET($A$11,$B68-$O$5,$O$7,1,-$P$6))),IF(AP$11&lt;$D$7,OFFSET(INDIRECT($D$3),$A68-1,$Q$3+AP$11),OFFSET(INDIRECT($D$4),$A68-1,$Q$4+AP$11)))))))</f>
        <v/>
      </c>
      <c r="AQ68" s="23" t="str">
        <f t="shared" ref="AQ68:AQ76" ca="1" si="317">IF(AQ$11="","",IF(AQ$13=$M$5,CHOOSE($Q$6+1,$M$1,AR68+AS68-AT68),IF(AQ$13=$M$6,CHOOSE($Q$6+1,$M$1,OFFSET($A68,,$P$7-1)),IF(AQ$13=$M$7,CHOOSE($Q$6+1,$M$1,SUM(OFFSET($A$11,$B68-$O$5,$O$6,1,-$P$6))),IF(AQ$13=$M$8,CHOOSE($Q$6+1,$M$1,SUM(OFFSET($A$11,$B68-$O$5,$O$7,1,-$P$6))),IF(AQ$11&lt;$D$7,OFFSET(INDIRECT($D$3),$A68-1,$Q$3+AQ$11),OFFSET(INDIRECT($D$4),$A68-1,$Q$4+AQ$11)))))))</f>
        <v/>
      </c>
      <c r="AR68" s="23" t="str">
        <f t="shared" ref="AR68:AR76" ca="1" si="318">IF(AR$11="","",IF(AR$13=$M$5,CHOOSE($Q$6+1,$M$1,AS68+AT68-AU68),IF(AR$13=$M$6,CHOOSE($Q$6+1,$M$1,OFFSET($A68,,$P$7-1)),IF(AR$13=$M$7,CHOOSE($Q$6+1,$M$1,SUM(OFFSET($A$11,$B68-$O$5,$O$6,1,-$P$6))),IF(AR$13=$M$8,CHOOSE($Q$6+1,$M$1,SUM(OFFSET($A$11,$B68-$O$5,$O$7,1,-$P$6))),IF(AR$11&lt;$D$7,OFFSET(INDIRECT($D$3),$A68-1,$Q$3+AR$11),OFFSET(INDIRECT($D$4),$A68-1,$Q$4+AR$11)))))))</f>
        <v/>
      </c>
      <c r="AS68" s="23" t="str">
        <f t="shared" ref="AS68:AS76" ca="1" si="319">IF(AS$11="","",IF(AS$13=$M$5,CHOOSE($Q$6+1,$M$1,AT68+AU68-AV68),IF(AS$13=$M$6,CHOOSE($Q$6+1,$M$1,OFFSET($A68,,$P$7-1)),IF(AS$13=$M$7,CHOOSE($Q$6+1,$M$1,SUM(OFFSET($A$11,$B68-$O$5,$O$6,1,-$P$6))),IF(AS$13=$M$8,CHOOSE($Q$6+1,$M$1,SUM(OFFSET($A$11,$B68-$O$5,$O$7,1,-$P$6))),IF(AS$11&lt;$D$7,OFFSET(INDIRECT($D$3),$A68-1,$Q$3+AS$11),OFFSET(INDIRECT($D$4),$A68-1,$Q$4+AS$11)))))))</f>
        <v/>
      </c>
      <c r="AT68" s="23" t="str">
        <f t="shared" ref="AT68:AT76" ca="1" si="320">IF(AT$11="","",IF(AT$13=$M$5,CHOOSE($Q$6+1,$M$1,AU68+AV68-AW68),IF(AT$13=$M$6,CHOOSE($Q$6+1,$M$1,OFFSET($A68,,$P$7-1)),IF(AT$13=$M$7,CHOOSE($Q$6+1,$M$1,SUM(OFFSET($A$11,$B68-$O$5,$O$6,1,-$P$6))),IF(AT$13=$M$8,CHOOSE($Q$6+1,$M$1,SUM(OFFSET($A$11,$B68-$O$5,$O$7,1,-$P$6))),IF(AT$11&lt;$D$7,OFFSET(INDIRECT($D$3),$A68-1,$Q$3+AT$11),OFFSET(INDIRECT($D$4),$A68-1,$Q$4+AT$11)))))))</f>
        <v/>
      </c>
      <c r="AU68" s="23" t="str">
        <f t="shared" ref="AU68:AU76" ca="1" si="321">IF(AU$11="","",IF(AU$13=$M$5,CHOOSE($Q$6+1,$M$1,AV68+AW68-AX68),IF(AU$13=$M$6,CHOOSE($Q$6+1,$M$1,OFFSET($A68,,$P$7-1)),IF(AU$13=$M$7,CHOOSE($Q$6+1,$M$1,SUM(OFFSET($A$11,$B68-$O$5,$O$6,1,-$P$6))),IF(AU$13=$M$8,CHOOSE($Q$6+1,$M$1,SUM(OFFSET($A$11,$B68-$O$5,$O$7,1,-$P$6))),IF(AU$11&lt;$D$7,OFFSET(INDIRECT($D$3),$A68-1,$Q$3+AU$11),OFFSET(INDIRECT($D$4),$A68-1,$Q$4+AU$11)))))))</f>
        <v/>
      </c>
      <c r="AV68" s="23" t="str">
        <f t="shared" ref="AV68:AV76" ca="1" si="322">IF(AV$11="","",IF(AV$13=$M$5,CHOOSE($Q$6+1,$M$1,AW68+AX68-AY68),IF(AV$13=$M$6,CHOOSE($Q$6+1,$M$1,OFFSET($A68,,$P$7-1)),IF(AV$13=$M$7,CHOOSE($Q$6+1,$M$1,SUM(OFFSET($A$11,$B68-$O$5,$O$6,1,-$P$6))),IF(AV$13=$M$8,CHOOSE($Q$6+1,$M$1,SUM(OFFSET($A$11,$B68-$O$5,$O$7,1,-$P$6))),IF(AV$11&lt;$D$7,OFFSET(INDIRECT($D$3),$A68-1,$Q$3+AV$11),OFFSET(INDIRECT($D$4),$A68-1,$Q$4+AV$11)))))))</f>
        <v/>
      </c>
      <c r="AW68" s="23" t="str">
        <f t="shared" ref="AW68:AW76" ca="1" si="323">IF(AW$11="","",IF(AW$13=$M$5,CHOOSE($Q$6+1,$M$1,AX68+AY68-AZ68),IF(AW$13=$M$6,CHOOSE($Q$6+1,$M$1,OFFSET($A68,,$P$7-1)),IF(AW$13=$M$7,CHOOSE($Q$6+1,$M$1,SUM(OFFSET($A$11,$B68-$O$5,$O$6,1,-$P$6))),IF(AW$13=$M$8,CHOOSE($Q$6+1,$M$1,SUM(OFFSET($A$11,$B68-$O$5,$O$7,1,-$P$6))),IF(AW$11&lt;$D$7,OFFSET(INDIRECT($D$3),$A68-1,$Q$3+AW$11),OFFSET(INDIRECT($D$4),$A68-1,$Q$4+AW$11)))))))</f>
        <v/>
      </c>
      <c r="AX68" s="23" t="str">
        <f t="shared" ref="AX68:AX76" ca="1" si="324">IF(AX$11="","",IF(AX$13=$M$5,CHOOSE($Q$6+1,$M$1,AY68+AZ68-BA68),IF(AX$13=$M$6,CHOOSE($Q$6+1,$M$1,OFFSET($A68,,$P$7-1)),IF(AX$13=$M$7,CHOOSE($Q$6+1,$M$1,SUM(OFFSET($A$11,$B68-$O$5,$O$6,1,-$P$6))),IF(AX$13=$M$8,CHOOSE($Q$6+1,$M$1,SUM(OFFSET($A$11,$B68-$O$5,$O$7,1,-$P$6))),IF(AX$11&lt;$D$7,OFFSET(INDIRECT($D$3),$A68-1,$Q$3+AX$11),OFFSET(INDIRECT($D$4),$A68-1,$Q$4+AX$11)))))))</f>
        <v/>
      </c>
      <c r="AY68" s="23" t="str">
        <f t="shared" ref="AY68:AY76" ca="1" si="325">IF(AY$11="","",IF(AY$13=$M$5,CHOOSE($Q$6+1,$M$1,AZ68+BA68-BB68),IF(AY$13=$M$6,CHOOSE($Q$6+1,$M$1,OFFSET($A68,,$P$7-1)),IF(AY$13=$M$7,CHOOSE($Q$6+1,$M$1,SUM(OFFSET($A$11,$B68-$O$5,$O$6,1,-$P$6))),IF(AY$13=$M$8,CHOOSE($Q$6+1,$M$1,SUM(OFFSET($A$11,$B68-$O$5,$O$7,1,-$P$6))),IF(AY$11&lt;$D$7,OFFSET(INDIRECT($D$3),$A68-1,$Q$3+AY$11),OFFSET(INDIRECT($D$4),$A68-1,$Q$4+AY$11)))))))</f>
        <v/>
      </c>
      <c r="AZ68" s="23" t="str">
        <f t="shared" ref="AZ68:AZ76" ca="1" si="326">IF(AZ$11="","",IF(AZ$13=$M$5,CHOOSE($Q$6+1,$M$1,BA68+BB68-BC68),IF(AZ$13=$M$6,CHOOSE($Q$6+1,$M$1,OFFSET($A68,,$P$7-1)),IF(AZ$13=$M$7,CHOOSE($Q$6+1,$M$1,SUM(OFFSET($A$11,$B68-$O$5,$O$6,1,-$P$6))),IF(AZ$13=$M$8,CHOOSE($Q$6+1,$M$1,SUM(OFFSET($A$11,$B68-$O$5,$O$7,1,-$P$6))),IF(AZ$11&lt;$D$7,OFFSET(INDIRECT($D$3),$A68-1,$Q$3+AZ$11),OFFSET(INDIRECT($D$4),$A68-1,$Q$4+AZ$11)))))))</f>
        <v/>
      </c>
      <c r="BA68" s="23" t="str">
        <f t="shared" ref="BA68:BA76" ca="1" si="327">IF(BA$11="","",IF(BA$13=$M$5,CHOOSE($Q$6+1,$M$1,BB68+BC68-BD68),IF(BA$13=$M$6,CHOOSE($Q$6+1,$M$1,OFFSET($A68,,$P$7-1)),IF(BA$13=$M$7,CHOOSE($Q$6+1,$M$1,SUM(OFFSET($A$11,$B68-$O$5,$O$6,1,-$P$6))),IF(BA$13=$M$8,CHOOSE($Q$6+1,$M$1,SUM(OFFSET($A$11,$B68-$O$5,$O$7,1,-$P$6))),IF(BA$11&lt;$D$7,OFFSET(INDIRECT($D$3),$A68-1,$Q$3+BA$11),OFFSET(INDIRECT($D$4),$A68-1,$Q$4+BA$11)))))))</f>
        <v/>
      </c>
      <c r="BB68" s="23" t="str">
        <f t="shared" ref="BB68:BB76" ca="1" si="328">IF(BB$11="","",IF(BB$13=$M$5,CHOOSE($Q$6+1,$M$1,BC68+BD68-BE68),IF(BB$13=$M$6,CHOOSE($Q$6+1,$M$1,OFFSET($A68,,$P$7-1)),IF(BB$13=$M$7,CHOOSE($Q$6+1,$M$1,SUM(OFFSET($A$11,$B68-$O$5,$O$6,1,-$P$6))),IF(BB$13=$M$8,CHOOSE($Q$6+1,$M$1,SUM(OFFSET($A$11,$B68-$O$5,$O$7,1,-$P$6))),IF(BB$11&lt;$D$7,OFFSET(INDIRECT($D$3),$A68-1,$Q$3+BB$11),OFFSET(INDIRECT($D$4),$A68-1,$Q$4+BB$11)))))))</f>
        <v/>
      </c>
      <c r="BC68" s="23" t="str">
        <f t="shared" ref="BC68:BC76" ca="1" si="329">IF(BC$11="","",IF(BC$13=$M$5,CHOOSE($Q$6+1,$M$1,BD68+BE68-BF68),IF(BC$13=$M$6,CHOOSE($Q$6+1,$M$1,OFFSET($A68,,$P$7-1)),IF(BC$13=$M$7,CHOOSE($Q$6+1,$M$1,SUM(OFFSET($A$11,$B68-$O$5,$O$6,1,-$P$6))),IF(BC$13=$M$8,CHOOSE($Q$6+1,$M$1,SUM(OFFSET($A$11,$B68-$O$5,$O$7,1,-$P$6))),IF(BC$11&lt;$D$7,OFFSET(INDIRECT($D$3),$A68-1,$Q$3+BC$11),OFFSET(INDIRECT($D$4),$A68-1,$Q$4+BC$11)))))))</f>
        <v/>
      </c>
      <c r="BD68" s="23" t="str">
        <f t="shared" ref="BD68:BD76" ca="1" si="330">IF(BD$11="","",IF(BD$13=$M$5,CHOOSE($Q$6+1,$M$1,BE68+BF68-BG68),IF(BD$13=$M$6,CHOOSE($Q$6+1,$M$1,OFFSET($A68,,$P$7-1)),IF(BD$13=$M$7,CHOOSE($Q$6+1,$M$1,SUM(OFFSET($A$11,$B68-$O$5,$O$6,1,-$P$6))),IF(BD$13=$M$8,CHOOSE($Q$6+1,$M$1,SUM(OFFSET($A$11,$B68-$O$5,$O$7,1,-$P$6))),IF(BD$11&lt;$D$7,OFFSET(INDIRECT($D$3),$A68-1,$Q$3+BD$11),OFFSET(INDIRECT($D$4),$A68-1,$Q$4+BD$11)))))))</f>
        <v/>
      </c>
      <c r="BE68" s="23" t="str">
        <f t="shared" ref="BE68:BE76" ca="1" si="331">IF(BE$11="","",IF(BE$13=$M$5,CHOOSE($Q$6+1,$M$1,BF68+BG68-BH68),IF(BE$13=$M$6,CHOOSE($Q$6+1,$M$1,OFFSET($A68,,$P$7-1)),IF(BE$13=$M$7,CHOOSE($Q$6+1,$M$1,SUM(OFFSET($A$11,$B68-$O$5,$O$6,1,-$P$6))),IF(BE$13=$M$8,CHOOSE($Q$6+1,$M$1,SUM(OFFSET($A$11,$B68-$O$5,$O$7,1,-$P$6))),IF(BE$11&lt;$D$7,OFFSET(INDIRECT($D$3),$A68-1,$Q$3+BE$11),OFFSET(INDIRECT($D$4),$A68-1,$Q$4+BE$11)))))))</f>
        <v/>
      </c>
      <c r="BF68" s="23" t="str">
        <f t="shared" ref="BF68:BF76" ca="1" si="332">IF(BF$11="","",IF(BF$13=$M$5,CHOOSE($Q$6+1,$M$1,BG68+BH68-BI68),IF(BF$13=$M$6,CHOOSE($Q$6+1,$M$1,OFFSET($A68,,$P$7-1)),IF(BF$13=$M$7,CHOOSE($Q$6+1,$M$1,SUM(OFFSET($A$11,$B68-$O$5,$O$6,1,-$P$6))),IF(BF$13=$M$8,CHOOSE($Q$6+1,$M$1,SUM(OFFSET($A$11,$B68-$O$5,$O$7,1,-$P$6))),IF(BF$11&lt;$D$7,OFFSET(INDIRECT($D$3),$A68-1,$Q$3+BF$11),OFFSET(INDIRECT($D$4),$A68-1,$Q$4+BF$11)))))))</f>
        <v/>
      </c>
      <c r="BG68" s="23" t="str">
        <f t="shared" ref="BG68:BG76" ca="1" si="333">IF(BG$11="","",IF(BG$13=$M$5,CHOOSE($Q$6+1,$M$1,BH68+BI68-BJ68),IF(BG$13=$M$6,CHOOSE($Q$6+1,$M$1,OFFSET($A68,,$P$7-1)),IF(BG$13=$M$7,CHOOSE($Q$6+1,$M$1,SUM(OFFSET($A$11,$B68-$O$5,$O$6,1,-$P$6))),IF(BG$13=$M$8,CHOOSE($Q$6+1,$M$1,SUM(OFFSET($A$11,$B68-$O$5,$O$7,1,-$P$6))),IF(BG$11&lt;$D$7,OFFSET(INDIRECT($D$3),$A68-1,$Q$3+BG$11),OFFSET(INDIRECT($D$4),$A68-1,$Q$4+BG$11)))))))</f>
        <v/>
      </c>
      <c r="BH68" s="23" t="str">
        <f t="shared" ref="BH68:BH76" ca="1" si="334">IF(BH$11="","",IF(BH$13=$M$5,CHOOSE($Q$6+1,$M$1,BI68+BJ68-BK68),IF(BH$13=$M$6,CHOOSE($Q$6+1,$M$1,OFFSET($A68,,$P$7-1)),IF(BH$13=$M$7,CHOOSE($Q$6+1,$M$1,SUM(OFFSET($A$11,$B68-$O$5,$O$6,1,-$P$6))),IF(BH$13=$M$8,CHOOSE($Q$6+1,$M$1,SUM(OFFSET($A$11,$B68-$O$5,$O$7,1,-$P$6))),IF(BH$11&lt;$D$7,OFFSET(INDIRECT($D$3),$A68-1,$Q$3+BH$11),OFFSET(INDIRECT($D$4),$A68-1,$Q$4+BH$11)))))))</f>
        <v/>
      </c>
      <c r="BI68" s="23" t="str">
        <f t="shared" ref="BI68:BI76" ca="1" si="335">IF(BI$11="","",IF(BI$13=$M$5,CHOOSE($Q$6+1,$M$1,BJ68+BK68-BL68),IF(BI$13=$M$6,CHOOSE($Q$6+1,$M$1,OFFSET($A68,,$P$7-1)),IF(BI$13=$M$7,CHOOSE($Q$6+1,$M$1,SUM(OFFSET($A$11,$B68-$O$5,$O$6,1,-$P$6))),IF(BI$13=$M$8,CHOOSE($Q$6+1,$M$1,SUM(OFFSET($A$11,$B68-$O$5,$O$7,1,-$P$6))),IF(BI$11&lt;$D$7,OFFSET(INDIRECT($D$3),$A68-1,$Q$3+BI$11),OFFSET(INDIRECT($D$4),$A68-1,$Q$4+BI$11)))))))</f>
        <v/>
      </c>
      <c r="BJ68" s="23" t="str">
        <f t="shared" ref="BJ68:BJ76" ca="1" si="336">IF(BJ$11="","",IF(BJ$13=$M$5,CHOOSE($Q$6+1,$M$1,BK68+BL68-BM68),IF(BJ$13=$M$6,CHOOSE($Q$6+1,$M$1,OFFSET($A68,,$P$7-1)),IF(BJ$13=$M$7,CHOOSE($Q$6+1,$M$1,SUM(OFFSET($A$11,$B68-$O$5,$O$6,1,-$P$6))),IF(BJ$13=$M$8,CHOOSE($Q$6+1,$M$1,SUM(OFFSET($A$11,$B68-$O$5,$O$7,1,-$P$6))),IF(BJ$11&lt;$D$7,OFFSET(INDIRECT($D$3),$A68-1,$Q$3+BJ$11),OFFSET(INDIRECT($D$4),$A68-1,$Q$4+BJ$11)))))))</f>
        <v/>
      </c>
      <c r="BK68" s="23" t="str">
        <f t="shared" ref="BK68:BK76" ca="1" si="337">IF(BK$11="","",IF(BK$13=$M$5,CHOOSE($Q$6+1,$M$1,BL68+BM68-BN68),IF(BK$13=$M$6,CHOOSE($Q$6+1,$M$1,OFFSET($A68,,$P$7-1)),IF(BK$13=$M$7,CHOOSE($Q$6+1,$M$1,SUM(OFFSET($A$11,$B68-$O$5,$O$6,1,-$P$6))),IF(BK$13=$M$8,CHOOSE($Q$6+1,$M$1,SUM(OFFSET($A$11,$B68-$O$5,$O$7,1,-$P$6))),IF(BK$11&lt;$D$7,OFFSET(INDIRECT($D$3),$A68-1,$Q$3+BK$11),OFFSET(INDIRECT($D$4),$A68-1,$Q$4+BK$11)))))))</f>
        <v/>
      </c>
      <c r="BL68" s="23" t="str">
        <f t="shared" ref="BL68:BL76" ca="1" si="338">IF(BL$11="","",IF(BL$13=$M$5,CHOOSE($Q$6+1,$M$1,BM68+BN68-BO68),IF(BL$13=$M$6,CHOOSE($Q$6+1,$M$1,OFFSET($A68,,$P$7-1)),IF(BL$13=$M$7,CHOOSE($Q$6+1,$M$1,SUM(OFFSET($A$11,$B68-$O$5,$O$6,1,-$P$6))),IF(BL$13=$M$8,CHOOSE($Q$6+1,$M$1,SUM(OFFSET($A$11,$B68-$O$5,$O$7,1,-$P$6))),IF(BL$11&lt;$D$7,OFFSET(INDIRECT($D$3),$A68-1,$Q$3+BL$11),OFFSET(INDIRECT($D$4),$A68-1,$Q$4+BL$11)))))))</f>
        <v/>
      </c>
      <c r="BM68" s="23" t="str">
        <f t="shared" ref="BM68:BM76" ca="1" si="339">IF(BM$11="","",IF(BM$13=$M$5,CHOOSE($Q$6+1,$M$1,BN68+BO68-BP68),IF(BM$13=$M$6,CHOOSE($Q$6+1,$M$1,OFFSET($A68,,$P$7-1)),IF(BM$13=$M$7,CHOOSE($Q$6+1,$M$1,SUM(OFFSET($A$11,$B68-$O$5,$O$6,1,-$P$6))),IF(BM$13=$M$8,CHOOSE($Q$6+1,$M$1,SUM(OFFSET($A$11,$B68-$O$5,$O$7,1,-$P$6))),IF(BM$11&lt;$D$7,OFFSET(INDIRECT($D$3),$A68-1,$Q$3+BM$11),OFFSET(INDIRECT($D$4),$A68-1,$Q$4+BM$11)))))))</f>
        <v/>
      </c>
      <c r="BN68" s="23" t="str">
        <f t="shared" ref="BN68:BN76" ca="1" si="340">IF(BN$11="","",IF(BN$13=$M$5,CHOOSE($Q$6+1,$M$1,BO68+BP68-BQ68),IF(BN$13=$M$6,CHOOSE($Q$6+1,$M$1,OFFSET($A68,,$P$7-1)),IF(BN$13=$M$7,CHOOSE($Q$6+1,$M$1,SUM(OFFSET($A$11,$B68-$O$5,$O$6,1,-$P$6))),IF(BN$13=$M$8,CHOOSE($Q$6+1,$M$1,SUM(OFFSET($A$11,$B68-$O$5,$O$7,1,-$P$6))),IF(BN$11&lt;$D$7,OFFSET(INDIRECT($D$3),$A68-1,$Q$3+BN$11),OFFSET(INDIRECT($D$4),$A68-1,$Q$4+BN$11)))))))</f>
        <v/>
      </c>
      <c r="BO68" s="23" t="str">
        <f t="shared" ref="BO68:BO76" ca="1" si="341">IF(BO$11="","",IF(BO$13=$M$5,CHOOSE($Q$6+1,$M$1,BP68+BQ68-BR68),IF(BO$13=$M$6,CHOOSE($Q$6+1,$M$1,OFFSET($A68,,$P$7-1)),IF(BO$13=$M$7,CHOOSE($Q$6+1,$M$1,SUM(OFFSET($A$11,$B68-$O$5,$O$6,1,-$P$6))),IF(BO$13=$M$8,CHOOSE($Q$6+1,$M$1,SUM(OFFSET($A$11,$B68-$O$5,$O$7,1,-$P$6))),IF(BO$11&lt;$D$7,OFFSET(INDIRECT($D$3),$A68-1,$Q$3+BO$11),OFFSET(INDIRECT($D$4),$A68-1,$Q$4+BO$11)))))))</f>
        <v/>
      </c>
      <c r="BP68" s="23" t="str">
        <f t="shared" ref="BP68:BP76" ca="1" si="342">IF(BP$11="","",IF(BP$13=$M$5,CHOOSE($Q$6+1,$M$1,BQ68+BR68-BS68),IF(BP$13=$M$6,CHOOSE($Q$6+1,$M$1,OFFSET($A68,,$P$7-1)),IF(BP$13=$M$7,CHOOSE($Q$6+1,$M$1,SUM(OFFSET($A$11,$B68-$O$5,$O$6,1,-$P$6))),IF(BP$13=$M$8,CHOOSE($Q$6+1,$M$1,SUM(OFFSET($A$11,$B68-$O$5,$O$7,1,-$P$6))),IF(BP$11&lt;$D$7,OFFSET(INDIRECT($D$3),$A68-1,$Q$3+BP$11),OFFSET(INDIRECT($D$4),$A68-1,$Q$4+BP$11)))))))</f>
        <v/>
      </c>
      <c r="BQ68" s="23" t="str">
        <f t="shared" ref="BQ68:BQ76" ca="1" si="343">IF(BQ$11="","",IF(BQ$13=$M$5,CHOOSE($Q$6+1,$M$1,BR68+BS68-BT68),IF(BQ$13=$M$6,CHOOSE($Q$6+1,$M$1,OFFSET($A68,,$P$7-1)),IF(BQ$13=$M$7,CHOOSE($Q$6+1,$M$1,SUM(OFFSET($A$11,$B68-$O$5,$O$6,1,-$P$6))),IF(BQ$13=$M$8,CHOOSE($Q$6+1,$M$1,SUM(OFFSET($A$11,$B68-$O$5,$O$7,1,-$P$6))),IF(BQ$11&lt;$D$7,OFFSET(INDIRECT($D$3),$A68-1,$Q$3+BQ$11),OFFSET(INDIRECT($D$4),$A68-1,$Q$4+BQ$11)))))))</f>
        <v/>
      </c>
      <c r="BR68" s="23" t="str">
        <f t="shared" ref="BR68:BR76" ca="1" si="344">IF(BR$11="","",IF(BR$13=$M$5,CHOOSE($Q$6+1,$M$1,BS68+BT68-BU68),IF(BR$13=$M$6,CHOOSE($Q$6+1,$M$1,OFFSET($A68,,$P$7-1)),IF(BR$13=$M$7,CHOOSE($Q$6+1,$M$1,SUM(OFFSET($A$11,$B68-$O$5,$O$6,1,-$P$6))),IF(BR$13=$M$8,CHOOSE($Q$6+1,$M$1,SUM(OFFSET($A$11,$B68-$O$5,$O$7,1,-$P$6))),IF(BR$11&lt;$D$7,OFFSET(INDIRECT($D$3),$A68-1,$Q$3+BR$11),OFFSET(INDIRECT($D$4),$A68-1,$Q$4+BR$11)))))))</f>
        <v/>
      </c>
      <c r="BS68" s="23" t="str">
        <f t="shared" ref="BS68:BS76" ca="1" si="345">IF(BS$11="","",IF(BS$13=$M$5,CHOOSE($Q$6+1,$M$1,BT68+BU68-BV68),IF(BS$13=$M$6,CHOOSE($Q$6+1,$M$1,OFFSET($A68,,$P$7-1)),IF(BS$13=$M$7,CHOOSE($Q$6+1,$M$1,SUM(OFFSET($A$11,$B68-$O$5,$O$6,1,-$P$6))),IF(BS$13=$M$8,CHOOSE($Q$6+1,$M$1,SUM(OFFSET($A$11,$B68-$O$5,$O$7,1,-$P$6))),IF(BS$11&lt;$D$7,OFFSET(INDIRECT($D$3),$A68-1,$Q$3+BS$11),OFFSET(INDIRECT($D$4),$A68-1,$Q$4+BS$11)))))))</f>
        <v/>
      </c>
      <c r="BT68" s="23" t="str">
        <f t="shared" ref="BT68:BT76" ca="1" si="346">IF(BT$11="","",IF(BT$13=$M$5,CHOOSE($Q$6+1,$M$1,BU68+BV68-BW68),IF(BT$13=$M$6,CHOOSE($Q$6+1,$M$1,OFFSET($A68,,$P$7-1)),IF(BT$13=$M$7,CHOOSE($Q$6+1,$M$1,SUM(OFFSET($A$11,$B68-$O$5,$O$6,1,-$P$6))),IF(BT$13=$M$8,CHOOSE($Q$6+1,$M$1,SUM(OFFSET($A$11,$B68-$O$5,$O$7,1,-$P$6))),IF(BT$11&lt;$D$7,OFFSET(INDIRECT($D$3),$A68-1,$Q$3+BT$11),OFFSET(INDIRECT($D$4),$A68-1,$Q$4+BT$11)))))))</f>
        <v/>
      </c>
      <c r="BU68" s="23" t="str">
        <f t="shared" ref="BU68:BU76" ca="1" si="347">IF(BU$11="","",IF(BU$13=$M$5,CHOOSE($Q$6+1,$M$1,BV68+BW68-BX68),IF(BU$13=$M$6,CHOOSE($Q$6+1,$M$1,OFFSET($A68,,$P$7-1)),IF(BU$13=$M$7,CHOOSE($Q$6+1,$M$1,SUM(OFFSET($A$11,$B68-$O$5,$O$6,1,-$P$6))),IF(BU$13=$M$8,CHOOSE($Q$6+1,$M$1,SUM(OFFSET($A$11,$B68-$O$5,$O$7,1,-$P$6))),IF(BU$11&lt;$D$7,OFFSET(INDIRECT($D$3),$A68-1,$Q$3+BU$11),OFFSET(INDIRECT($D$4),$A68-1,$Q$4+BU$11)))))))</f>
        <v/>
      </c>
      <c r="BV68" s="23" t="str">
        <f t="shared" ref="BV68:BV76" ca="1" si="348">IF(BV$11="","",IF(BV$13=$M$5,CHOOSE($Q$6+1,$M$1,BW68+BX68-BY68),IF(BV$13=$M$6,CHOOSE($Q$6+1,$M$1,OFFSET($A68,,$P$7-1)),IF(BV$13=$M$7,CHOOSE($Q$6+1,$M$1,SUM(OFFSET($A$11,$B68-$O$5,$O$6,1,-$P$6))),IF(BV$13=$M$8,CHOOSE($Q$6+1,$M$1,SUM(OFFSET($A$11,$B68-$O$5,$O$7,1,-$P$6))),IF(BV$11&lt;$D$7,OFFSET(INDIRECT($D$3),$A68-1,$Q$3+BV$11),OFFSET(INDIRECT($D$4),$A68-1,$Q$4+BV$11)))))))</f>
        <v/>
      </c>
      <c r="BW68" s="23" t="str">
        <f t="shared" ref="BW68:BW76" ca="1" si="349">IF(BW$11="","",IF(BW$13=$M$5,CHOOSE($Q$6+1,$M$1,BX68+BY68-BZ68),IF(BW$13=$M$6,CHOOSE($Q$6+1,$M$1,OFFSET($A68,,$P$7-1)),IF(BW$13=$M$7,CHOOSE($Q$6+1,$M$1,SUM(OFFSET($A$11,$B68-$O$5,$O$6,1,-$P$6))),IF(BW$13=$M$8,CHOOSE($Q$6+1,$M$1,SUM(OFFSET($A$11,$B68-$O$5,$O$7,1,-$P$6))),IF(BW$11&lt;$D$7,OFFSET(INDIRECT($D$3),$A68-1,$Q$3+BW$11),OFFSET(INDIRECT($D$4),$A68-1,$Q$4+BW$11)))))))</f>
        <v/>
      </c>
      <c r="BX68" s="23" t="str">
        <f t="shared" ref="BX68:BX76" ca="1" si="350">IF(BX$11="","",IF(BX$13=$M$5,CHOOSE($Q$6+1,$M$1,BY68+BZ68-CA68),IF(BX$13=$M$6,CHOOSE($Q$6+1,$M$1,OFFSET($A68,,$P$7-1)),IF(BX$13=$M$7,CHOOSE($Q$6+1,$M$1,SUM(OFFSET($A$11,$B68-$O$5,$O$6,1,-$P$6))),IF(BX$13=$M$8,CHOOSE($Q$6+1,$M$1,SUM(OFFSET($A$11,$B68-$O$5,$O$7,1,-$P$6))),IF(BX$11&lt;$D$7,OFFSET(INDIRECT($D$3),$A68-1,$Q$3+BX$11),OFFSET(INDIRECT($D$4),$A68-1,$Q$4+BX$11)))))))</f>
        <v/>
      </c>
      <c r="BY68" s="23" t="str">
        <f t="shared" ref="BY68:BY76" ca="1" si="351">IF(BY$11="","",IF(BY$13=$M$5,CHOOSE($Q$6+1,$M$1,BZ68+CA68-CB68),IF(BY$13=$M$6,CHOOSE($Q$6+1,$M$1,OFFSET($A68,,$P$7-1)),IF(BY$13=$M$7,CHOOSE($Q$6+1,$M$1,SUM(OFFSET($A$11,$B68-$O$5,$O$6,1,-$P$6))),IF(BY$13=$M$8,CHOOSE($Q$6+1,$M$1,SUM(OFFSET($A$11,$B68-$O$5,$O$7,1,-$P$6))),IF(BY$11&lt;$D$7,OFFSET(INDIRECT($D$3),$A68-1,$Q$3+BY$11),OFFSET(INDIRECT($D$4),$A68-1,$Q$4+BY$11)))))))</f>
        <v/>
      </c>
      <c r="BZ68" s="23" t="str">
        <f t="shared" ref="BZ68:BZ76" ca="1" si="352">IF(BZ$11="","",IF(BZ$13=$M$5,CHOOSE($Q$6+1,$M$1,CA68+CB68-CC68),IF(BZ$13=$M$6,CHOOSE($Q$6+1,$M$1,OFFSET($A68,,$P$7-1)),IF(BZ$13=$M$7,CHOOSE($Q$6+1,$M$1,SUM(OFFSET($A$11,$B68-$O$5,$O$6,1,-$P$6))),IF(BZ$13=$M$8,CHOOSE($Q$6+1,$M$1,SUM(OFFSET($A$11,$B68-$O$5,$O$7,1,-$P$6))),IF(BZ$11&lt;$D$7,OFFSET(INDIRECT($D$3),$A68-1,$Q$3+BZ$11),OFFSET(INDIRECT($D$4),$A68-1,$Q$4+BZ$11)))))))</f>
        <v/>
      </c>
      <c r="CA68" s="23" t="str">
        <f t="shared" ref="CA68:CA76" ca="1" si="353">IF(CA$11="","",IF(CA$13=$M$5,CHOOSE($Q$6+1,$M$1,CB68+CC68-CD68),IF(CA$13=$M$6,CHOOSE($Q$6+1,$M$1,OFFSET($A68,,$P$7-1)),IF(CA$13=$M$7,CHOOSE($Q$6+1,$M$1,SUM(OFFSET($A$11,$B68-$O$5,$O$6,1,-$P$6))),IF(CA$13=$M$8,CHOOSE($Q$6+1,$M$1,SUM(OFFSET($A$11,$B68-$O$5,$O$7,1,-$P$6))),IF(CA$11&lt;$D$7,OFFSET(INDIRECT($D$3),$A68-1,$Q$3+CA$11),OFFSET(INDIRECT($D$4),$A68-1,$Q$4+CA$11)))))))</f>
        <v/>
      </c>
      <c r="CB68" s="23" t="str">
        <f t="shared" ref="CB68:CB76" ca="1" si="354">IF(CB$11="","",IF(CB$13=$M$5,CHOOSE($Q$6+1,$M$1,CC68+CD68-CE68),IF(CB$13=$M$6,CHOOSE($Q$6+1,$M$1,OFFSET($A68,,$P$7-1)),IF(CB$13=$M$7,CHOOSE($Q$6+1,$M$1,SUM(OFFSET($A$11,$B68-$O$5,$O$6,1,-$P$6))),IF(CB$13=$M$8,CHOOSE($Q$6+1,$M$1,SUM(OFFSET($A$11,$B68-$O$5,$O$7,1,-$P$6))),IF(CB$11&lt;$D$7,OFFSET(INDIRECT($D$3),$A68-1,$Q$3+CB$11),OFFSET(INDIRECT($D$4),$A68-1,$Q$4+CB$11)))))))</f>
        <v/>
      </c>
      <c r="CC68" s="23" t="str">
        <f t="shared" ref="CC68:CC76" ca="1" si="355">IF(CC$11="","",IF(CC$13=$M$5,CHOOSE($Q$6+1,$M$1,CD68+CE68-CF68),IF(CC$13=$M$6,CHOOSE($Q$6+1,$M$1,OFFSET($A68,,$P$7-1)),IF(CC$13=$M$7,CHOOSE($Q$6+1,$M$1,SUM(OFFSET($A$11,$B68-$O$5,$O$6,1,-$P$6))),IF(CC$13=$M$8,CHOOSE($Q$6+1,$M$1,SUM(OFFSET($A$11,$B68-$O$5,$O$7,1,-$P$6))),IF(CC$11&lt;$D$7,OFFSET(INDIRECT($D$3),$A68-1,$Q$3+CC$11),OFFSET(INDIRECT($D$4),$A68-1,$Q$4+CC$11)))))))</f>
        <v/>
      </c>
      <c r="CD68" s="23" t="str">
        <f t="shared" ref="CD68:CD76" ca="1" si="356">IF(CD$11="","",IF(CD$13=$M$5,CHOOSE($Q$6+1,$M$1,CE68+CF68-CG68),IF(CD$13=$M$6,CHOOSE($Q$6+1,$M$1,OFFSET($A68,,$P$7-1)),IF(CD$13=$M$7,CHOOSE($Q$6+1,$M$1,SUM(OFFSET($A$11,$B68-$O$5,$O$6,1,-$P$6))),IF(CD$13=$M$8,CHOOSE($Q$6+1,$M$1,SUM(OFFSET($A$11,$B68-$O$5,$O$7,1,-$P$6))),IF(CD$11&lt;$D$7,OFFSET(INDIRECT($D$3),$A68-1,$Q$3+CD$11),OFFSET(INDIRECT($D$4),$A68-1,$Q$4+CD$11)))))))</f>
        <v/>
      </c>
      <c r="CE68" s="23" t="str">
        <f t="shared" ref="CE68:CE76" ca="1" si="357">IF(CE$11="","",IF(CE$13=$M$5,CHOOSE($Q$6+1,$M$1,CF68+CG68-CH68),IF(CE$13=$M$6,CHOOSE($Q$6+1,$M$1,OFFSET($A68,,$P$7-1)),IF(CE$13=$M$7,CHOOSE($Q$6+1,$M$1,SUM(OFFSET($A$11,$B68-$O$5,$O$6,1,-$P$6))),IF(CE$13=$M$8,CHOOSE($Q$6+1,$M$1,SUM(OFFSET($A$11,$B68-$O$5,$O$7,1,-$P$6))),IF(CE$11&lt;$D$7,OFFSET(INDIRECT($D$3),$A68-1,$Q$3+CE$11),OFFSET(INDIRECT($D$4),$A68-1,$Q$4+CE$11)))))))</f>
        <v/>
      </c>
      <c r="CF68" s="23" t="str">
        <f t="shared" ref="CF68:CF76" ca="1" si="358">IF(CF$11="","",IF(CF$13=$M$5,CHOOSE($Q$6+1,$M$1,CG68+CH68-CI68),IF(CF$13=$M$6,CHOOSE($Q$6+1,$M$1,OFFSET($A68,,$P$7-1)),IF(CF$13=$M$7,CHOOSE($Q$6+1,$M$1,SUM(OFFSET($A$11,$B68-$O$5,$O$6,1,-$P$6))),IF(CF$13=$M$8,CHOOSE($Q$6+1,$M$1,SUM(OFFSET($A$11,$B68-$O$5,$O$7,1,-$P$6))),IF(CF$11&lt;$D$7,OFFSET(INDIRECT($D$3),$A68-1,$Q$3+CF$11),OFFSET(INDIRECT($D$4),$A68-1,$Q$4+CF$11)))))))</f>
        <v/>
      </c>
      <c r="CG68" s="23" t="str">
        <f t="shared" ref="CG68:CG76" ca="1" si="359">IF(CG$11="","",IF(CG$13=$M$5,CHOOSE($Q$6+1,$M$1,CH68+CI68-CJ68),IF(CG$13=$M$6,CHOOSE($Q$6+1,$M$1,OFFSET($A68,,$P$7-1)),IF(CG$13=$M$7,CHOOSE($Q$6+1,$M$1,SUM(OFFSET($A$11,$B68-$O$5,$O$6,1,-$P$6))),IF(CG$13=$M$8,CHOOSE($Q$6+1,$M$1,SUM(OFFSET($A$11,$B68-$O$5,$O$7,1,-$P$6))),IF(CG$11&lt;$D$7,OFFSET(INDIRECT($D$3),$A68-1,$Q$3+CG$11),OFFSET(INDIRECT($D$4),$A68-1,$Q$4+CG$11)))))))</f>
        <v/>
      </c>
      <c r="CH68" s="23" t="str">
        <f t="shared" ref="CH68:CH76" ca="1" si="360">IF(CH$11="","",IF(CH$13=$M$5,CHOOSE($Q$6+1,$M$1,CI68+CJ68-CK68),IF(CH$13=$M$6,CHOOSE($Q$6+1,$M$1,OFFSET($A68,,$P$7-1)),IF(CH$13=$M$7,CHOOSE($Q$6+1,$M$1,SUM(OFFSET($A$11,$B68-$O$5,$O$6,1,-$P$6))),IF(CH$13=$M$8,CHOOSE($Q$6+1,$M$1,SUM(OFFSET($A$11,$B68-$O$5,$O$7,1,-$P$6))),IF(CH$11&lt;$D$7,OFFSET(INDIRECT($D$3),$A68-1,$Q$3+CH$11),OFFSET(INDIRECT($D$4),$A68-1,$Q$4+CH$11)))))))</f>
        <v/>
      </c>
      <c r="CI68" s="23" t="str">
        <f t="shared" ref="CI68:CI76" ca="1" si="361">IF(CI$11="","",IF(CI$13=$M$5,CHOOSE($Q$6+1,$M$1,CJ68+CK68-CL68),IF(CI$13=$M$6,CHOOSE($Q$6+1,$M$1,OFFSET($A68,,$P$7-1)),IF(CI$13=$M$7,CHOOSE($Q$6+1,$M$1,SUM(OFFSET($A$11,$B68-$O$5,$O$6,1,-$P$6))),IF(CI$13=$M$8,CHOOSE($Q$6+1,$M$1,SUM(OFFSET($A$11,$B68-$O$5,$O$7,1,-$P$6))),IF(CI$11&lt;$D$7,OFFSET(INDIRECT($D$3),$A68-1,$Q$3+CI$11),OFFSET(INDIRECT($D$4),$A68-1,$Q$4+CI$11)))))))</f>
        <v/>
      </c>
      <c r="CJ68" s="23" t="str">
        <f t="shared" ref="CJ68:CJ76" ca="1" si="362">IF(CJ$11="","",IF(CJ$13=$M$5,CHOOSE($Q$6+1,$M$1,CK68+CL68-CM68),IF(CJ$13=$M$6,CHOOSE($Q$6+1,$M$1,OFFSET($A68,,$P$7-1)),IF(CJ$13=$M$7,CHOOSE($Q$6+1,$M$1,SUM(OFFSET($A$11,$B68-$O$5,$O$6,1,-$P$6))),IF(CJ$13=$M$8,CHOOSE($Q$6+1,$M$1,SUM(OFFSET($A$11,$B68-$O$5,$O$7,1,-$P$6))),IF(CJ$11&lt;$D$7,OFFSET(INDIRECT($D$3),$A68-1,$Q$3+CJ$11),OFFSET(INDIRECT($D$4),$A68-1,$Q$4+CJ$11)))))))</f>
        <v/>
      </c>
      <c r="CK68" s="23" t="str">
        <f t="shared" ref="CK68:CK76" ca="1" si="363">IF(CK$11="","",IF(CK$13=$M$5,CHOOSE($Q$6+1,$M$1,CL68+CM68-CN68),IF(CK$13=$M$6,CHOOSE($Q$6+1,$M$1,OFFSET($A68,,$P$7-1)),IF(CK$13=$M$7,CHOOSE($Q$6+1,$M$1,SUM(OFFSET($A$11,$B68-$O$5,$O$6,1,-$P$6))),IF(CK$13=$M$8,CHOOSE($Q$6+1,$M$1,SUM(OFFSET($A$11,$B68-$O$5,$O$7,1,-$P$6))),IF(CK$11&lt;$D$7,OFFSET(INDIRECT($D$3),$A68-1,$Q$3+CK$11),OFFSET(INDIRECT($D$4),$A68-1,$Q$4+CK$11)))))))</f>
        <v/>
      </c>
      <c r="CL68" s="23" t="str">
        <f t="shared" ref="CL68:CL76" ca="1" si="364">IF(CL$11="","",IF(CL$13=$M$5,CHOOSE($Q$6+1,$M$1,CM68+CN68-CO68),IF(CL$13=$M$6,CHOOSE($Q$6+1,$M$1,OFFSET($A68,,$P$7-1)),IF(CL$13=$M$7,CHOOSE($Q$6+1,$M$1,SUM(OFFSET($A$11,$B68-$O$5,$O$6,1,-$P$6))),IF(CL$13=$M$8,CHOOSE($Q$6+1,$M$1,SUM(OFFSET($A$11,$B68-$O$5,$O$7,1,-$P$6))),IF(CL$11&lt;$D$7,OFFSET(INDIRECT($D$3),$A68-1,$Q$3+CL$11),OFFSET(INDIRECT($D$4),$A68-1,$Q$4+CL$11)))))))</f>
        <v/>
      </c>
      <c r="CM68" s="23" t="str">
        <f t="shared" ref="CM68:CM76" ca="1" si="365">IF(CM$11="","",IF(CM$13=$M$5,CHOOSE($Q$6+1,$M$1,CN68+CO68-CP68),IF(CM$13=$M$6,CHOOSE($Q$6+1,$M$1,OFFSET($A68,,$P$7-1)),IF(CM$13=$M$7,CHOOSE($Q$6+1,$M$1,SUM(OFFSET($A$11,$B68-$O$5,$O$6,1,-$P$6))),IF(CM$13=$M$8,CHOOSE($Q$6+1,$M$1,SUM(OFFSET($A$11,$B68-$O$5,$O$7,1,-$P$6))),IF(CM$11&lt;$D$7,OFFSET(INDIRECT($D$3),$A68-1,$Q$3+CM$11),OFFSET(INDIRECT($D$4),$A68-1,$Q$4+CM$11)))))))</f>
        <v/>
      </c>
      <c r="CN68" s="23" t="str">
        <f t="shared" ref="CN68:CN76" ca="1" si="366">IF(CN$11="","",IF(CN$13=$M$5,CHOOSE($Q$6+1,$M$1,CO68+CP68-CQ68),IF(CN$13=$M$6,CHOOSE($Q$6+1,$M$1,OFFSET($A68,,$P$7-1)),IF(CN$13=$M$7,CHOOSE($Q$6+1,$M$1,SUM(OFFSET($A$11,$B68-$O$5,$O$6,1,-$P$6))),IF(CN$13=$M$8,CHOOSE($Q$6+1,$M$1,SUM(OFFSET($A$11,$B68-$O$5,$O$7,1,-$P$6))),IF(CN$11&lt;$D$7,OFFSET(INDIRECT($D$3),$A68-1,$Q$3+CN$11),OFFSET(INDIRECT($D$4),$A68-1,$Q$4+CN$11)))))))</f>
        <v/>
      </c>
      <c r="CO68" s="23" t="str">
        <f t="shared" ref="CO68:CO76" ca="1" si="367">IF(CO$11="","",IF(CO$13=$M$5,CHOOSE($Q$6+1,$M$1,CP68+CQ68-CR68),IF(CO$13=$M$6,CHOOSE($Q$6+1,$M$1,OFFSET($A68,,$P$7-1)),IF(CO$13=$M$7,CHOOSE($Q$6+1,$M$1,SUM(OFFSET($A$11,$B68-$O$5,$O$6,1,-$P$6))),IF(CO$13=$M$8,CHOOSE($Q$6+1,$M$1,SUM(OFFSET($A$11,$B68-$O$5,$O$7,1,-$P$6))),IF(CO$11&lt;$D$7,OFFSET(INDIRECT($D$3),$A68-1,$Q$3+CO$11),OFFSET(INDIRECT($D$4),$A68-1,$Q$4+CO$11)))))))</f>
        <v/>
      </c>
      <c r="CP68" s="23" t="str">
        <f t="shared" ref="CP68:CP76" ca="1" si="368">IF(CP$11="","",IF(CP$13=$M$5,CHOOSE($Q$6+1,$M$1,CQ68+CR68-CS68),IF(CP$13=$M$6,CHOOSE($Q$6+1,$M$1,OFFSET($A68,,$P$7-1)),IF(CP$13=$M$7,CHOOSE($Q$6+1,$M$1,SUM(OFFSET($A$11,$B68-$O$5,$O$6,1,-$P$6))),IF(CP$13=$M$8,CHOOSE($Q$6+1,$M$1,SUM(OFFSET($A$11,$B68-$O$5,$O$7,1,-$P$6))),IF(CP$11&lt;$D$7,OFFSET(INDIRECT($D$3),$A68-1,$Q$3+CP$11),OFFSET(INDIRECT($D$4),$A68-1,$Q$4+CP$11)))))))</f>
        <v/>
      </c>
      <c r="CQ68" s="23" t="str">
        <f t="shared" ref="CQ68:CQ76" ca="1" si="369">IF(CQ$11="","",IF(CQ$13=$M$5,CHOOSE($Q$6+1,$M$1,CR68+CS68-CT68),IF(CQ$13=$M$6,CHOOSE($Q$6+1,$M$1,OFFSET($A68,,$P$7-1)),IF(CQ$13=$M$7,CHOOSE($Q$6+1,$M$1,SUM(OFFSET($A$11,$B68-$O$5,$O$6,1,-$P$6))),IF(CQ$13=$M$8,CHOOSE($Q$6+1,$M$1,SUM(OFFSET($A$11,$B68-$O$5,$O$7,1,-$P$6))),IF(CQ$11&lt;$D$7,OFFSET(INDIRECT($D$3),$A68-1,$Q$3+CQ$11),OFFSET(INDIRECT($D$4),$A68-1,$Q$4+CQ$11)))))))</f>
        <v/>
      </c>
      <c r="CR68" s="23" t="str">
        <f t="shared" ref="CR68:CR76" ca="1" si="370">IF(CR$11="","",IF(CR$13=$M$5,CHOOSE($Q$6+1,$M$1,CS68+CT68-CU68),IF(CR$13=$M$6,CHOOSE($Q$6+1,$M$1,OFFSET($A68,,$P$7-1)),IF(CR$13=$M$7,CHOOSE($Q$6+1,$M$1,SUM(OFFSET($A$11,$B68-$O$5,$O$6,1,-$P$6))),IF(CR$13=$M$8,CHOOSE($Q$6+1,$M$1,SUM(OFFSET($A$11,$B68-$O$5,$O$7,1,-$P$6))),IF(CR$11&lt;$D$7,OFFSET(INDIRECT($D$3),$A68-1,$Q$3+CR$11),OFFSET(INDIRECT($D$4),$A68-1,$Q$4+CR$11)))))))</f>
        <v/>
      </c>
      <c r="CS68" s="23" t="str">
        <f t="shared" ref="CS68:CS76" ca="1" si="371">IF(CS$11="","",IF(CS$13=$M$5,CHOOSE($Q$6+1,$M$1,CT68+CU68-CV68),IF(CS$13=$M$6,CHOOSE($Q$6+1,$M$1,OFFSET($A68,,$P$7-1)),IF(CS$13=$M$7,CHOOSE($Q$6+1,$M$1,SUM(OFFSET($A$11,$B68-$O$5,$O$6,1,-$P$6))),IF(CS$13=$M$8,CHOOSE($Q$6+1,$M$1,SUM(OFFSET($A$11,$B68-$O$5,$O$7,1,-$P$6))),IF(CS$11&lt;$D$7,OFFSET(INDIRECT($D$3),$A68-1,$Q$3+CS$11),OFFSET(INDIRECT($D$4),$A68-1,$Q$4+CS$11)))))))</f>
        <v/>
      </c>
      <c r="CT68" s="23" t="str">
        <f t="shared" ref="CT68:CT76" ca="1" si="372">IF(CT$11="","",IF(CT$13=$M$5,CHOOSE($Q$6+1,$M$1,CU68+CV68-CW68),IF(CT$13=$M$6,CHOOSE($Q$6+1,$M$1,OFFSET($A68,,$P$7-1)),IF(CT$13=$M$7,CHOOSE($Q$6+1,$M$1,SUM(OFFSET($A$11,$B68-$O$5,$O$6,1,-$P$6))),IF(CT$13=$M$8,CHOOSE($Q$6+1,$M$1,SUM(OFFSET($A$11,$B68-$O$5,$O$7,1,-$P$6))),IF(CT$11&lt;$D$7,OFFSET(INDIRECT($D$3),$A68-1,$Q$3+CT$11),OFFSET(INDIRECT($D$4),$A68-1,$Q$4+CT$11)))))))</f>
        <v/>
      </c>
      <c r="CU68" s="23" t="str">
        <f t="shared" ref="CU68:CU76" ca="1" si="373">IF(CU$11="","",IF(CU$13=$M$5,CHOOSE($Q$6+1,$M$1,CV68+CW68-CX68),IF(CU$13=$M$6,CHOOSE($Q$6+1,$M$1,OFFSET($A68,,$P$7-1)),IF(CU$13=$M$7,CHOOSE($Q$6+1,$M$1,SUM(OFFSET($A$11,$B68-$O$5,$O$6,1,-$P$6))),IF(CU$13=$M$8,CHOOSE($Q$6+1,$M$1,SUM(OFFSET($A$11,$B68-$O$5,$O$7,1,-$P$6))),IF(CU$11&lt;$D$7,OFFSET(INDIRECT($D$3),$A68-1,$Q$3+CU$11),OFFSET(INDIRECT($D$4),$A68-1,$Q$4+CU$11)))))))</f>
        <v/>
      </c>
      <c r="CV68" s="23" t="str">
        <f t="shared" ref="CV68:CV76" ca="1" si="374">IF(CV$11="","",IF(CV$13=$M$5,CHOOSE($Q$6+1,$M$1,CW68+CX68-CY68),IF(CV$13=$M$6,CHOOSE($Q$6+1,$M$1,OFFSET($A68,,$P$7-1)),IF(CV$13=$M$7,CHOOSE($Q$6+1,$M$1,SUM(OFFSET($A$11,$B68-$O$5,$O$6,1,-$P$6))),IF(CV$13=$M$8,CHOOSE($Q$6+1,$M$1,SUM(OFFSET($A$11,$B68-$O$5,$O$7,1,-$P$6))),IF(CV$11&lt;$D$7,OFFSET(INDIRECT($D$3),$A68-1,$Q$3+CV$11),OFFSET(INDIRECT($D$4),$A68-1,$Q$4+CV$11)))))))</f>
        <v/>
      </c>
      <c r="CW68" s="23" t="str">
        <f t="shared" ref="CW68:CW76" ca="1" si="375">IF(CW$11="","",IF(CW$13=$M$5,CHOOSE($Q$6+1,$M$1,CX68+CY68-CZ68),IF(CW$13=$M$6,CHOOSE($Q$6+1,$M$1,OFFSET($A68,,$P$7-1)),IF(CW$13=$M$7,CHOOSE($Q$6+1,$M$1,SUM(OFFSET($A$11,$B68-$O$5,$O$6,1,-$P$6))),IF(CW$13=$M$8,CHOOSE($Q$6+1,$M$1,SUM(OFFSET($A$11,$B68-$O$5,$O$7,1,-$P$6))),IF(CW$11&lt;$D$7,OFFSET(INDIRECT($D$3),$A68-1,$Q$3+CW$11),OFFSET(INDIRECT($D$4),$A68-1,$Q$4+CW$11)))))))</f>
        <v/>
      </c>
      <c r="CX68" s="23" t="str">
        <f ca="1">IF(CX$11="","",IF(CX$13=$M$5,CHOOSE($Q$6+1,$M$1,CY68+CZ68-#REF!),IF(CX$13=$M$6,CHOOSE($Q$6+1,$M$1,OFFSET($A68,,$P$7-1)),IF(CX$13=$M$7,CHOOSE($Q$6+1,$M$1,SUM(OFFSET($A$11,$B68-$O$5,$O$6,1,-$P$6))),IF(CX$13=$M$8,CHOOSE($Q$6+1,$M$1,SUM(OFFSET($A$11,$B68-$O$5,$O$7,1,-$P$6))),IF(CX$11&lt;$D$7,OFFSET(INDIRECT($D$3),$A68-1,$Q$3+CX$11),OFFSET(INDIRECT($D$4),$A68-1,$Q$4+CX$11)))))))</f>
        <v/>
      </c>
      <c r="CY68" s="23" t="str">
        <f ca="1">IF(CY$11="","",IF(CY$13=$M$5,CHOOSE($Q$6+1,$M$1,CZ68+#REF!-#REF!),IF(CY$13=$M$6,CHOOSE($Q$6+1,$M$1,OFFSET($A68,,$P$7-1)),IF(CY$13=$M$7,CHOOSE($Q$6+1,$M$1,SUM(OFFSET($A$11,$B68-$O$5,$O$6,1,-$P$6))),IF(CY$13=$M$8,CHOOSE($Q$6+1,$M$1,SUM(OFFSET($A$11,$B68-$O$5,$O$7,1,-$P$6))),IF(CY$11&lt;$D$7,OFFSET(INDIRECT($D$3),$A68-1,$Q$3+CY$11),OFFSET(INDIRECT($D$4),$A68-1,$Q$4+CY$11)))))))</f>
        <v/>
      </c>
      <c r="CZ68" s="23" t="str">
        <f ca="1">IF(CZ$11="","",IF(CZ$13=$M$5,CHOOSE($Q$6+1,$M$1,#REF!+#REF!-#REF!),IF(CZ$13=$M$6,CHOOSE($Q$6+1,$M$1,OFFSET($A68,,$P$7-1)),IF(CZ$13=$M$7,CHOOSE($Q$6+1,$M$1,SUM(OFFSET($A$11,$B68-$O$5,$O$6,1,-$P$6))),IF(CZ$13=$M$8,CHOOSE($Q$6+1,$M$1,SUM(OFFSET($A$11,$B68-$O$5,$O$7,1,-$P$6))),IF(CZ$11&lt;$D$7,OFFSET(INDIRECT($D$3),$A68-1,$Q$3+CZ$11),OFFSET(INDIRECT($D$4),$A68-1,$Q$4+CZ$11)))))))</f>
        <v/>
      </c>
    </row>
    <row r="69" spans="1:104" ht="13.5" customHeight="1">
      <c r="A69" s="27">
        <v>58</v>
      </c>
      <c r="B69" s="33">
        <f t="shared" si="14"/>
        <v>69</v>
      </c>
      <c r="C69" s="9" t="s">
        <v>339</v>
      </c>
      <c r="D69" s="23">
        <f t="shared" ca="1" si="278"/>
        <v>0</v>
      </c>
      <c r="E69" s="23">
        <f t="shared" ca="1" si="279"/>
        <v>0</v>
      </c>
      <c r="F69" s="23">
        <f t="shared" ca="1" si="280"/>
        <v>0</v>
      </c>
      <c r="G69" s="23">
        <f t="shared" ca="1" si="281"/>
        <v>0</v>
      </c>
      <c r="H69" s="23">
        <f t="shared" ca="1" si="282"/>
        <v>0</v>
      </c>
      <c r="I69" s="23">
        <f t="shared" ca="1" si="283"/>
        <v>0</v>
      </c>
      <c r="J69" s="23">
        <f t="shared" ca="1" si="284"/>
        <v>0</v>
      </c>
      <c r="K69" s="23">
        <f t="shared" ca="1" si="285"/>
        <v>0</v>
      </c>
      <c r="L69" s="23">
        <f t="shared" ca="1" si="286"/>
        <v>0</v>
      </c>
      <c r="M69" s="23">
        <f t="shared" ca="1" si="287"/>
        <v>0</v>
      </c>
      <c r="N69" s="23">
        <f t="shared" ca="1" si="288"/>
        <v>0</v>
      </c>
      <c r="O69" s="23">
        <f t="shared" ca="1" si="289"/>
        <v>0</v>
      </c>
      <c r="P69" s="23">
        <f t="shared" ca="1" si="290"/>
        <v>0</v>
      </c>
      <c r="Q69" s="23">
        <f t="shared" ca="1" si="291"/>
        <v>0</v>
      </c>
      <c r="R69" s="23" t="str">
        <f t="shared" ca="1" si="292"/>
        <v/>
      </c>
      <c r="S69" s="23" t="str">
        <f t="shared" ca="1" si="293"/>
        <v/>
      </c>
      <c r="T69" s="23" t="str">
        <f t="shared" ca="1" si="294"/>
        <v/>
      </c>
      <c r="U69" s="23" t="str">
        <f t="shared" ca="1" si="295"/>
        <v/>
      </c>
      <c r="V69" s="23" t="str">
        <f t="shared" ca="1" si="296"/>
        <v/>
      </c>
      <c r="W69" s="23" t="str">
        <f t="shared" ca="1" si="297"/>
        <v/>
      </c>
      <c r="X69" s="23" t="str">
        <f t="shared" ca="1" si="298"/>
        <v/>
      </c>
      <c r="Y69" s="23" t="str">
        <f t="shared" ca="1" si="299"/>
        <v/>
      </c>
      <c r="Z69" s="23" t="str">
        <f t="shared" ca="1" si="300"/>
        <v/>
      </c>
      <c r="AA69" s="23" t="str">
        <f t="shared" ca="1" si="301"/>
        <v/>
      </c>
      <c r="AB69" s="23" t="str">
        <f t="shared" ca="1" si="302"/>
        <v/>
      </c>
      <c r="AC69" s="23" t="str">
        <f t="shared" ca="1" si="303"/>
        <v/>
      </c>
      <c r="AD69" s="23" t="str">
        <f t="shared" ca="1" si="304"/>
        <v/>
      </c>
      <c r="AE69" s="23" t="str">
        <f t="shared" ca="1" si="305"/>
        <v/>
      </c>
      <c r="AF69" s="23" t="str">
        <f t="shared" ca="1" si="306"/>
        <v/>
      </c>
      <c r="AG69" s="23" t="str">
        <f t="shared" ca="1" si="307"/>
        <v/>
      </c>
      <c r="AH69" s="23" t="str">
        <f t="shared" ca="1" si="308"/>
        <v/>
      </c>
      <c r="AI69" s="23" t="str">
        <f t="shared" ca="1" si="309"/>
        <v/>
      </c>
      <c r="AJ69" s="23" t="str">
        <f t="shared" ca="1" si="310"/>
        <v/>
      </c>
      <c r="AK69" s="23" t="str">
        <f t="shared" ca="1" si="311"/>
        <v/>
      </c>
      <c r="AL69" s="23" t="str">
        <f t="shared" ca="1" si="312"/>
        <v/>
      </c>
      <c r="AM69" s="23" t="str">
        <f t="shared" ca="1" si="313"/>
        <v/>
      </c>
      <c r="AN69" s="23" t="str">
        <f t="shared" ca="1" si="314"/>
        <v/>
      </c>
      <c r="AO69" s="23" t="str">
        <f t="shared" ca="1" si="315"/>
        <v/>
      </c>
      <c r="AP69" s="23" t="str">
        <f t="shared" ca="1" si="316"/>
        <v/>
      </c>
      <c r="AQ69" s="23" t="str">
        <f t="shared" ca="1" si="317"/>
        <v/>
      </c>
      <c r="AR69" s="23" t="str">
        <f t="shared" ca="1" si="318"/>
        <v/>
      </c>
      <c r="AS69" s="23" t="str">
        <f t="shared" ca="1" si="319"/>
        <v/>
      </c>
      <c r="AT69" s="23" t="str">
        <f t="shared" ca="1" si="320"/>
        <v/>
      </c>
      <c r="AU69" s="23" t="str">
        <f t="shared" ca="1" si="321"/>
        <v/>
      </c>
      <c r="AV69" s="23" t="str">
        <f t="shared" ca="1" si="322"/>
        <v/>
      </c>
      <c r="AW69" s="23" t="str">
        <f t="shared" ca="1" si="323"/>
        <v/>
      </c>
      <c r="AX69" s="23" t="str">
        <f t="shared" ca="1" si="324"/>
        <v/>
      </c>
      <c r="AY69" s="23" t="str">
        <f t="shared" ca="1" si="325"/>
        <v/>
      </c>
      <c r="AZ69" s="23" t="str">
        <f t="shared" ca="1" si="326"/>
        <v/>
      </c>
      <c r="BA69" s="23" t="str">
        <f t="shared" ca="1" si="327"/>
        <v/>
      </c>
      <c r="BB69" s="23" t="str">
        <f t="shared" ca="1" si="328"/>
        <v/>
      </c>
      <c r="BC69" s="23" t="str">
        <f t="shared" ca="1" si="329"/>
        <v/>
      </c>
      <c r="BD69" s="23" t="str">
        <f t="shared" ca="1" si="330"/>
        <v/>
      </c>
      <c r="BE69" s="23" t="str">
        <f t="shared" ca="1" si="331"/>
        <v/>
      </c>
      <c r="BF69" s="23" t="str">
        <f t="shared" ca="1" si="332"/>
        <v/>
      </c>
      <c r="BG69" s="23" t="str">
        <f t="shared" ca="1" si="333"/>
        <v/>
      </c>
      <c r="BH69" s="23" t="str">
        <f t="shared" ca="1" si="334"/>
        <v/>
      </c>
      <c r="BI69" s="23" t="str">
        <f t="shared" ca="1" si="335"/>
        <v/>
      </c>
      <c r="BJ69" s="23" t="str">
        <f t="shared" ca="1" si="336"/>
        <v/>
      </c>
      <c r="BK69" s="23" t="str">
        <f t="shared" ca="1" si="337"/>
        <v/>
      </c>
      <c r="BL69" s="23" t="str">
        <f t="shared" ca="1" si="338"/>
        <v/>
      </c>
      <c r="BM69" s="23" t="str">
        <f t="shared" ca="1" si="339"/>
        <v/>
      </c>
      <c r="BN69" s="23" t="str">
        <f t="shared" ca="1" si="340"/>
        <v/>
      </c>
      <c r="BO69" s="23" t="str">
        <f t="shared" ca="1" si="341"/>
        <v/>
      </c>
      <c r="BP69" s="23" t="str">
        <f t="shared" ca="1" si="342"/>
        <v/>
      </c>
      <c r="BQ69" s="23" t="str">
        <f t="shared" ca="1" si="343"/>
        <v/>
      </c>
      <c r="BR69" s="23" t="str">
        <f t="shared" ca="1" si="344"/>
        <v/>
      </c>
      <c r="BS69" s="23" t="str">
        <f t="shared" ca="1" si="345"/>
        <v/>
      </c>
      <c r="BT69" s="23" t="str">
        <f t="shared" ca="1" si="346"/>
        <v/>
      </c>
      <c r="BU69" s="23" t="str">
        <f t="shared" ca="1" si="347"/>
        <v/>
      </c>
      <c r="BV69" s="23" t="str">
        <f t="shared" ca="1" si="348"/>
        <v/>
      </c>
      <c r="BW69" s="23" t="str">
        <f t="shared" ca="1" si="349"/>
        <v/>
      </c>
      <c r="BX69" s="23" t="str">
        <f t="shared" ca="1" si="350"/>
        <v/>
      </c>
      <c r="BY69" s="23" t="str">
        <f t="shared" ca="1" si="351"/>
        <v/>
      </c>
      <c r="BZ69" s="23" t="str">
        <f t="shared" ca="1" si="352"/>
        <v/>
      </c>
      <c r="CA69" s="23" t="str">
        <f t="shared" ca="1" si="353"/>
        <v/>
      </c>
      <c r="CB69" s="23" t="str">
        <f t="shared" ca="1" si="354"/>
        <v/>
      </c>
      <c r="CC69" s="23" t="str">
        <f t="shared" ca="1" si="355"/>
        <v/>
      </c>
      <c r="CD69" s="23" t="str">
        <f t="shared" ca="1" si="356"/>
        <v/>
      </c>
      <c r="CE69" s="23" t="str">
        <f t="shared" ca="1" si="357"/>
        <v/>
      </c>
      <c r="CF69" s="23" t="str">
        <f t="shared" ca="1" si="358"/>
        <v/>
      </c>
      <c r="CG69" s="23" t="str">
        <f t="shared" ca="1" si="359"/>
        <v/>
      </c>
      <c r="CH69" s="23" t="str">
        <f t="shared" ca="1" si="360"/>
        <v/>
      </c>
      <c r="CI69" s="23" t="str">
        <f t="shared" ca="1" si="361"/>
        <v/>
      </c>
      <c r="CJ69" s="23" t="str">
        <f t="shared" ca="1" si="362"/>
        <v/>
      </c>
      <c r="CK69" s="23" t="str">
        <f t="shared" ca="1" si="363"/>
        <v/>
      </c>
      <c r="CL69" s="23" t="str">
        <f t="shared" ca="1" si="364"/>
        <v/>
      </c>
      <c r="CM69" s="23" t="str">
        <f t="shared" ca="1" si="365"/>
        <v/>
      </c>
      <c r="CN69" s="23" t="str">
        <f t="shared" ca="1" si="366"/>
        <v/>
      </c>
      <c r="CO69" s="23" t="str">
        <f t="shared" ca="1" si="367"/>
        <v/>
      </c>
      <c r="CP69" s="23" t="str">
        <f t="shared" ca="1" si="368"/>
        <v/>
      </c>
      <c r="CQ69" s="23" t="str">
        <f t="shared" ca="1" si="369"/>
        <v/>
      </c>
      <c r="CR69" s="23" t="str">
        <f t="shared" ca="1" si="370"/>
        <v/>
      </c>
      <c r="CS69" s="23" t="str">
        <f t="shared" ca="1" si="371"/>
        <v/>
      </c>
      <c r="CT69" s="23" t="str">
        <f t="shared" ca="1" si="372"/>
        <v/>
      </c>
      <c r="CU69" s="23" t="str">
        <f t="shared" ca="1" si="373"/>
        <v/>
      </c>
      <c r="CV69" s="23" t="str">
        <f t="shared" ca="1" si="374"/>
        <v/>
      </c>
      <c r="CW69" s="23" t="str">
        <f t="shared" ca="1" si="375"/>
        <v/>
      </c>
      <c r="CX69" s="23" t="str">
        <f ca="1">IF(CX$11="","",IF(CX$13=$M$5,CHOOSE($Q$6+1,$M$1,CY69+CZ69-#REF!),IF(CX$13=$M$6,CHOOSE($Q$6+1,$M$1,OFFSET($A69,,$P$7-1)),IF(CX$13=$M$7,CHOOSE($Q$6+1,$M$1,SUM(OFFSET($A$11,$B69-$O$5,$O$6,1,-$P$6))),IF(CX$13=$M$8,CHOOSE($Q$6+1,$M$1,SUM(OFFSET($A$11,$B69-$O$5,$O$7,1,-$P$6))),IF(CX$11&lt;$D$7,OFFSET(INDIRECT($D$3),$A69-1,$Q$3+CX$11),OFFSET(INDIRECT($D$4),$A69-1,$Q$4+CX$11)))))))</f>
        <v/>
      </c>
      <c r="CY69" s="23" t="str">
        <f ca="1">IF(CY$11="","",IF(CY$13=$M$5,CHOOSE($Q$6+1,$M$1,CZ69+#REF!-#REF!),IF(CY$13=$M$6,CHOOSE($Q$6+1,$M$1,OFFSET($A69,,$P$7-1)),IF(CY$13=$M$7,CHOOSE($Q$6+1,$M$1,SUM(OFFSET($A$11,$B69-$O$5,$O$6,1,-$P$6))),IF(CY$13=$M$8,CHOOSE($Q$6+1,$M$1,SUM(OFFSET($A$11,$B69-$O$5,$O$7,1,-$P$6))),IF(CY$11&lt;$D$7,OFFSET(INDIRECT($D$3),$A69-1,$Q$3+CY$11),OFFSET(INDIRECT($D$4),$A69-1,$Q$4+CY$11)))))))</f>
        <v/>
      </c>
      <c r="CZ69" s="23" t="str">
        <f ca="1">IF(CZ$11="","",IF(CZ$13=$M$5,CHOOSE($Q$6+1,$M$1,#REF!+#REF!-#REF!),IF(CZ$13=$M$6,CHOOSE($Q$6+1,$M$1,OFFSET($A69,,$P$7-1)),IF(CZ$13=$M$7,CHOOSE($Q$6+1,$M$1,SUM(OFFSET($A$11,$B69-$O$5,$O$6,1,-$P$6))),IF(CZ$13=$M$8,CHOOSE($Q$6+1,$M$1,SUM(OFFSET($A$11,$B69-$O$5,$O$7,1,-$P$6))),IF(CZ$11&lt;$D$7,OFFSET(INDIRECT($D$3),$A69-1,$Q$3+CZ$11),OFFSET(INDIRECT($D$4),$A69-1,$Q$4+CZ$11)))))))</f>
        <v/>
      </c>
    </row>
    <row r="70" spans="1:104" ht="13.5" customHeight="1">
      <c r="A70" s="27">
        <v>59</v>
      </c>
      <c r="B70" s="33">
        <f t="shared" si="14"/>
        <v>70</v>
      </c>
      <c r="C70" s="9" t="s">
        <v>340</v>
      </c>
      <c r="D70" s="23">
        <f t="shared" ca="1" si="278"/>
        <v>28.05</v>
      </c>
      <c r="E70" s="23">
        <f t="shared" ca="1" si="279"/>
        <v>44.64</v>
      </c>
      <c r="F70" s="23">
        <f t="shared" ca="1" si="280"/>
        <v>6.49</v>
      </c>
      <c r="G70" s="23">
        <f t="shared" ca="1" si="281"/>
        <v>7.89</v>
      </c>
      <c r="H70" s="23">
        <f t="shared" ca="1" si="282"/>
        <v>7.14</v>
      </c>
      <c r="I70" s="23">
        <f t="shared" ca="1" si="283"/>
        <v>14.03</v>
      </c>
      <c r="J70" s="23">
        <f t="shared" ca="1" si="284"/>
        <v>12.45</v>
      </c>
      <c r="K70" s="23">
        <f t="shared" ca="1" si="285"/>
        <v>9.42</v>
      </c>
      <c r="L70" s="23">
        <f t="shared" ca="1" si="286"/>
        <v>8.75</v>
      </c>
      <c r="M70" s="23">
        <f t="shared" ca="1" si="287"/>
        <v>13.93</v>
      </c>
      <c r="N70" s="23">
        <f t="shared" ca="1" si="288"/>
        <v>44.54</v>
      </c>
      <c r="O70" s="23">
        <f t="shared" ca="1" si="289"/>
        <v>44.64</v>
      </c>
      <c r="P70" s="23">
        <f t="shared" ca="1" si="290"/>
        <v>13.93</v>
      </c>
      <c r="Q70" s="23">
        <f t="shared" ca="1" si="291"/>
        <v>14.03</v>
      </c>
      <c r="R70" s="23" t="str">
        <f t="shared" ca="1" si="292"/>
        <v/>
      </c>
      <c r="S70" s="23" t="str">
        <f t="shared" ca="1" si="293"/>
        <v/>
      </c>
      <c r="T70" s="23" t="str">
        <f t="shared" ca="1" si="294"/>
        <v/>
      </c>
      <c r="U70" s="23" t="str">
        <f t="shared" ca="1" si="295"/>
        <v/>
      </c>
      <c r="V70" s="23" t="str">
        <f t="shared" ca="1" si="296"/>
        <v/>
      </c>
      <c r="W70" s="23" t="str">
        <f t="shared" ca="1" si="297"/>
        <v/>
      </c>
      <c r="X70" s="23" t="str">
        <f t="shared" ca="1" si="298"/>
        <v/>
      </c>
      <c r="Y70" s="23" t="str">
        <f t="shared" ca="1" si="299"/>
        <v/>
      </c>
      <c r="Z70" s="23" t="str">
        <f t="shared" ca="1" si="300"/>
        <v/>
      </c>
      <c r="AA70" s="23" t="str">
        <f t="shared" ca="1" si="301"/>
        <v/>
      </c>
      <c r="AB70" s="23" t="str">
        <f t="shared" ca="1" si="302"/>
        <v/>
      </c>
      <c r="AC70" s="23" t="str">
        <f t="shared" ca="1" si="303"/>
        <v/>
      </c>
      <c r="AD70" s="23" t="str">
        <f t="shared" ca="1" si="304"/>
        <v/>
      </c>
      <c r="AE70" s="23" t="str">
        <f t="shared" ca="1" si="305"/>
        <v/>
      </c>
      <c r="AF70" s="23" t="str">
        <f t="shared" ca="1" si="306"/>
        <v/>
      </c>
      <c r="AG70" s="23" t="str">
        <f t="shared" ca="1" si="307"/>
        <v/>
      </c>
      <c r="AH70" s="23" t="str">
        <f t="shared" ca="1" si="308"/>
        <v/>
      </c>
      <c r="AI70" s="23" t="str">
        <f t="shared" ca="1" si="309"/>
        <v/>
      </c>
      <c r="AJ70" s="23" t="str">
        <f t="shared" ca="1" si="310"/>
        <v/>
      </c>
      <c r="AK70" s="23" t="str">
        <f t="shared" ca="1" si="311"/>
        <v/>
      </c>
      <c r="AL70" s="23" t="str">
        <f t="shared" ca="1" si="312"/>
        <v/>
      </c>
      <c r="AM70" s="23" t="str">
        <f t="shared" ca="1" si="313"/>
        <v/>
      </c>
      <c r="AN70" s="23" t="str">
        <f t="shared" ca="1" si="314"/>
        <v/>
      </c>
      <c r="AO70" s="23" t="str">
        <f t="shared" ca="1" si="315"/>
        <v/>
      </c>
      <c r="AP70" s="23" t="str">
        <f t="shared" ca="1" si="316"/>
        <v/>
      </c>
      <c r="AQ70" s="23" t="str">
        <f t="shared" ca="1" si="317"/>
        <v/>
      </c>
      <c r="AR70" s="23" t="str">
        <f t="shared" ca="1" si="318"/>
        <v/>
      </c>
      <c r="AS70" s="23" t="str">
        <f t="shared" ca="1" si="319"/>
        <v/>
      </c>
      <c r="AT70" s="23" t="str">
        <f t="shared" ca="1" si="320"/>
        <v/>
      </c>
      <c r="AU70" s="23" t="str">
        <f t="shared" ca="1" si="321"/>
        <v/>
      </c>
      <c r="AV70" s="23" t="str">
        <f t="shared" ca="1" si="322"/>
        <v/>
      </c>
      <c r="AW70" s="23" t="str">
        <f t="shared" ca="1" si="323"/>
        <v/>
      </c>
      <c r="AX70" s="23" t="str">
        <f t="shared" ca="1" si="324"/>
        <v/>
      </c>
      <c r="AY70" s="23" t="str">
        <f t="shared" ca="1" si="325"/>
        <v/>
      </c>
      <c r="AZ70" s="23" t="str">
        <f t="shared" ca="1" si="326"/>
        <v/>
      </c>
      <c r="BA70" s="23" t="str">
        <f t="shared" ca="1" si="327"/>
        <v/>
      </c>
      <c r="BB70" s="23" t="str">
        <f t="shared" ca="1" si="328"/>
        <v/>
      </c>
      <c r="BC70" s="23" t="str">
        <f t="shared" ca="1" si="329"/>
        <v/>
      </c>
      <c r="BD70" s="23" t="str">
        <f t="shared" ca="1" si="330"/>
        <v/>
      </c>
      <c r="BE70" s="23" t="str">
        <f t="shared" ca="1" si="331"/>
        <v/>
      </c>
      <c r="BF70" s="23" t="str">
        <f t="shared" ca="1" si="332"/>
        <v/>
      </c>
      <c r="BG70" s="23" t="str">
        <f t="shared" ca="1" si="333"/>
        <v/>
      </c>
      <c r="BH70" s="23" t="str">
        <f t="shared" ca="1" si="334"/>
        <v/>
      </c>
      <c r="BI70" s="23" t="str">
        <f t="shared" ca="1" si="335"/>
        <v/>
      </c>
      <c r="BJ70" s="23" t="str">
        <f t="shared" ca="1" si="336"/>
        <v/>
      </c>
      <c r="BK70" s="23" t="str">
        <f t="shared" ca="1" si="337"/>
        <v/>
      </c>
      <c r="BL70" s="23" t="str">
        <f t="shared" ca="1" si="338"/>
        <v/>
      </c>
      <c r="BM70" s="23" t="str">
        <f t="shared" ca="1" si="339"/>
        <v/>
      </c>
      <c r="BN70" s="23" t="str">
        <f t="shared" ca="1" si="340"/>
        <v/>
      </c>
      <c r="BO70" s="23" t="str">
        <f t="shared" ca="1" si="341"/>
        <v/>
      </c>
      <c r="BP70" s="23" t="str">
        <f t="shared" ca="1" si="342"/>
        <v/>
      </c>
      <c r="BQ70" s="23" t="str">
        <f t="shared" ca="1" si="343"/>
        <v/>
      </c>
      <c r="BR70" s="23" t="str">
        <f t="shared" ca="1" si="344"/>
        <v/>
      </c>
      <c r="BS70" s="23" t="str">
        <f t="shared" ca="1" si="345"/>
        <v/>
      </c>
      <c r="BT70" s="23" t="str">
        <f t="shared" ca="1" si="346"/>
        <v/>
      </c>
      <c r="BU70" s="23" t="str">
        <f t="shared" ca="1" si="347"/>
        <v/>
      </c>
      <c r="BV70" s="23" t="str">
        <f t="shared" ca="1" si="348"/>
        <v/>
      </c>
      <c r="BW70" s="23" t="str">
        <f t="shared" ca="1" si="349"/>
        <v/>
      </c>
      <c r="BX70" s="23" t="str">
        <f t="shared" ca="1" si="350"/>
        <v/>
      </c>
      <c r="BY70" s="23" t="str">
        <f t="shared" ca="1" si="351"/>
        <v/>
      </c>
      <c r="BZ70" s="23" t="str">
        <f t="shared" ca="1" si="352"/>
        <v/>
      </c>
      <c r="CA70" s="23" t="str">
        <f t="shared" ca="1" si="353"/>
        <v/>
      </c>
      <c r="CB70" s="23" t="str">
        <f t="shared" ca="1" si="354"/>
        <v/>
      </c>
      <c r="CC70" s="23" t="str">
        <f t="shared" ca="1" si="355"/>
        <v/>
      </c>
      <c r="CD70" s="23" t="str">
        <f t="shared" ca="1" si="356"/>
        <v/>
      </c>
      <c r="CE70" s="23" t="str">
        <f t="shared" ca="1" si="357"/>
        <v/>
      </c>
      <c r="CF70" s="23" t="str">
        <f t="shared" ca="1" si="358"/>
        <v/>
      </c>
      <c r="CG70" s="23" t="str">
        <f t="shared" ca="1" si="359"/>
        <v/>
      </c>
      <c r="CH70" s="23" t="str">
        <f t="shared" ca="1" si="360"/>
        <v/>
      </c>
      <c r="CI70" s="23" t="str">
        <f t="shared" ca="1" si="361"/>
        <v/>
      </c>
      <c r="CJ70" s="23" t="str">
        <f t="shared" ca="1" si="362"/>
        <v/>
      </c>
      <c r="CK70" s="23" t="str">
        <f t="shared" ca="1" si="363"/>
        <v/>
      </c>
      <c r="CL70" s="23" t="str">
        <f t="shared" ca="1" si="364"/>
        <v/>
      </c>
      <c r="CM70" s="23" t="str">
        <f t="shared" ca="1" si="365"/>
        <v/>
      </c>
      <c r="CN70" s="23" t="str">
        <f t="shared" ca="1" si="366"/>
        <v/>
      </c>
      <c r="CO70" s="23" t="str">
        <f t="shared" ca="1" si="367"/>
        <v/>
      </c>
      <c r="CP70" s="23" t="str">
        <f t="shared" ca="1" si="368"/>
        <v/>
      </c>
      <c r="CQ70" s="23" t="str">
        <f t="shared" ca="1" si="369"/>
        <v/>
      </c>
      <c r="CR70" s="23" t="str">
        <f t="shared" ca="1" si="370"/>
        <v/>
      </c>
      <c r="CS70" s="23" t="str">
        <f t="shared" ca="1" si="371"/>
        <v/>
      </c>
      <c r="CT70" s="23" t="str">
        <f t="shared" ca="1" si="372"/>
        <v/>
      </c>
      <c r="CU70" s="23" t="str">
        <f t="shared" ca="1" si="373"/>
        <v/>
      </c>
      <c r="CV70" s="23" t="str">
        <f t="shared" ca="1" si="374"/>
        <v/>
      </c>
      <c r="CW70" s="23" t="str">
        <f t="shared" ca="1" si="375"/>
        <v/>
      </c>
      <c r="CX70" s="23" t="str">
        <f ca="1">IF(CX$11="","",IF(CX$13=$M$5,CHOOSE($Q$6+1,$M$1,CY70+CZ70-#REF!),IF(CX$13=$M$6,CHOOSE($Q$6+1,$M$1,OFFSET($A70,,$P$7-1)),IF(CX$13=$M$7,CHOOSE($Q$6+1,$M$1,SUM(OFFSET($A$11,$B70-$O$5,$O$6,1,-$P$6))),IF(CX$13=$M$8,CHOOSE($Q$6+1,$M$1,SUM(OFFSET($A$11,$B70-$O$5,$O$7,1,-$P$6))),IF(CX$11&lt;$D$7,OFFSET(INDIRECT($D$3),$A70-1,$Q$3+CX$11),OFFSET(INDIRECT($D$4),$A70-1,$Q$4+CX$11)))))))</f>
        <v/>
      </c>
      <c r="CY70" s="23" t="str">
        <f ca="1">IF(CY$11="","",IF(CY$13=$M$5,CHOOSE($Q$6+1,$M$1,CZ70+#REF!-#REF!),IF(CY$13=$M$6,CHOOSE($Q$6+1,$M$1,OFFSET($A70,,$P$7-1)),IF(CY$13=$M$7,CHOOSE($Q$6+1,$M$1,SUM(OFFSET($A$11,$B70-$O$5,$O$6,1,-$P$6))),IF(CY$13=$M$8,CHOOSE($Q$6+1,$M$1,SUM(OFFSET($A$11,$B70-$O$5,$O$7,1,-$P$6))),IF(CY$11&lt;$D$7,OFFSET(INDIRECT($D$3),$A70-1,$Q$3+CY$11),OFFSET(INDIRECT($D$4),$A70-1,$Q$4+CY$11)))))))</f>
        <v/>
      </c>
      <c r="CZ70" s="23" t="str">
        <f ca="1">IF(CZ$11="","",IF(CZ$13=$M$5,CHOOSE($Q$6+1,$M$1,#REF!+#REF!-#REF!),IF(CZ$13=$M$6,CHOOSE($Q$6+1,$M$1,OFFSET($A70,,$P$7-1)),IF(CZ$13=$M$7,CHOOSE($Q$6+1,$M$1,SUM(OFFSET($A$11,$B70-$O$5,$O$6,1,-$P$6))),IF(CZ$13=$M$8,CHOOSE($Q$6+1,$M$1,SUM(OFFSET($A$11,$B70-$O$5,$O$7,1,-$P$6))),IF(CZ$11&lt;$D$7,OFFSET(INDIRECT($D$3),$A70-1,$Q$3+CZ$11),OFFSET(INDIRECT($D$4),$A70-1,$Q$4+CZ$11)))))))</f>
        <v/>
      </c>
    </row>
    <row r="71" spans="1:104" ht="13.5" customHeight="1">
      <c r="A71" s="27">
        <v>60</v>
      </c>
      <c r="B71" s="33">
        <f t="shared" si="14"/>
        <v>71</v>
      </c>
      <c r="C71" s="9" t="s">
        <v>341</v>
      </c>
      <c r="D71" s="23">
        <f t="shared" ca="1" si="278"/>
        <v>0</v>
      </c>
      <c r="E71" s="23">
        <f t="shared" ca="1" si="279"/>
        <v>0</v>
      </c>
      <c r="F71" s="23">
        <f t="shared" ca="1" si="280"/>
        <v>0</v>
      </c>
      <c r="G71" s="23">
        <f t="shared" ca="1" si="281"/>
        <v>0</v>
      </c>
      <c r="H71" s="23">
        <f t="shared" ca="1" si="282"/>
        <v>0</v>
      </c>
      <c r="I71" s="23">
        <f t="shared" ca="1" si="283"/>
        <v>0</v>
      </c>
      <c r="J71" s="23">
        <f t="shared" ca="1" si="284"/>
        <v>0</v>
      </c>
      <c r="K71" s="23">
        <f t="shared" ca="1" si="285"/>
        <v>0</v>
      </c>
      <c r="L71" s="23">
        <f t="shared" ca="1" si="286"/>
        <v>0</v>
      </c>
      <c r="M71" s="23">
        <f t="shared" ca="1" si="287"/>
        <v>0</v>
      </c>
      <c r="N71" s="23">
        <f t="shared" ca="1" si="288"/>
        <v>0</v>
      </c>
      <c r="O71" s="23">
        <f t="shared" ca="1" si="289"/>
        <v>0</v>
      </c>
      <c r="P71" s="23">
        <f t="shared" ca="1" si="290"/>
        <v>0</v>
      </c>
      <c r="Q71" s="23">
        <f t="shared" ca="1" si="291"/>
        <v>0</v>
      </c>
      <c r="R71" s="23" t="str">
        <f t="shared" ca="1" si="292"/>
        <v/>
      </c>
      <c r="S71" s="23" t="str">
        <f t="shared" ca="1" si="293"/>
        <v/>
      </c>
      <c r="T71" s="23" t="str">
        <f t="shared" ca="1" si="294"/>
        <v/>
      </c>
      <c r="U71" s="23" t="str">
        <f t="shared" ca="1" si="295"/>
        <v/>
      </c>
      <c r="V71" s="23" t="str">
        <f t="shared" ca="1" si="296"/>
        <v/>
      </c>
      <c r="W71" s="23" t="str">
        <f t="shared" ca="1" si="297"/>
        <v/>
      </c>
      <c r="X71" s="23" t="str">
        <f t="shared" ca="1" si="298"/>
        <v/>
      </c>
      <c r="Y71" s="23" t="str">
        <f t="shared" ca="1" si="299"/>
        <v/>
      </c>
      <c r="Z71" s="23" t="str">
        <f t="shared" ca="1" si="300"/>
        <v/>
      </c>
      <c r="AA71" s="23" t="str">
        <f t="shared" ca="1" si="301"/>
        <v/>
      </c>
      <c r="AB71" s="23" t="str">
        <f t="shared" ca="1" si="302"/>
        <v/>
      </c>
      <c r="AC71" s="23" t="str">
        <f t="shared" ca="1" si="303"/>
        <v/>
      </c>
      <c r="AD71" s="23" t="str">
        <f t="shared" ca="1" si="304"/>
        <v/>
      </c>
      <c r="AE71" s="23" t="str">
        <f t="shared" ca="1" si="305"/>
        <v/>
      </c>
      <c r="AF71" s="23" t="str">
        <f t="shared" ca="1" si="306"/>
        <v/>
      </c>
      <c r="AG71" s="23" t="str">
        <f t="shared" ca="1" si="307"/>
        <v/>
      </c>
      <c r="AH71" s="23" t="str">
        <f t="shared" ca="1" si="308"/>
        <v/>
      </c>
      <c r="AI71" s="23" t="str">
        <f t="shared" ca="1" si="309"/>
        <v/>
      </c>
      <c r="AJ71" s="23" t="str">
        <f t="shared" ca="1" si="310"/>
        <v/>
      </c>
      <c r="AK71" s="23" t="str">
        <f t="shared" ca="1" si="311"/>
        <v/>
      </c>
      <c r="AL71" s="23" t="str">
        <f t="shared" ca="1" si="312"/>
        <v/>
      </c>
      <c r="AM71" s="23" t="str">
        <f t="shared" ca="1" si="313"/>
        <v/>
      </c>
      <c r="AN71" s="23" t="str">
        <f t="shared" ca="1" si="314"/>
        <v/>
      </c>
      <c r="AO71" s="23" t="str">
        <f t="shared" ca="1" si="315"/>
        <v/>
      </c>
      <c r="AP71" s="23" t="str">
        <f t="shared" ca="1" si="316"/>
        <v/>
      </c>
      <c r="AQ71" s="23" t="str">
        <f t="shared" ca="1" si="317"/>
        <v/>
      </c>
      <c r="AR71" s="23" t="str">
        <f t="shared" ca="1" si="318"/>
        <v/>
      </c>
      <c r="AS71" s="23" t="str">
        <f t="shared" ca="1" si="319"/>
        <v/>
      </c>
      <c r="AT71" s="23" t="str">
        <f t="shared" ca="1" si="320"/>
        <v/>
      </c>
      <c r="AU71" s="23" t="str">
        <f t="shared" ca="1" si="321"/>
        <v/>
      </c>
      <c r="AV71" s="23" t="str">
        <f t="shared" ca="1" si="322"/>
        <v/>
      </c>
      <c r="AW71" s="23" t="str">
        <f t="shared" ca="1" si="323"/>
        <v/>
      </c>
      <c r="AX71" s="23" t="str">
        <f t="shared" ca="1" si="324"/>
        <v/>
      </c>
      <c r="AY71" s="23" t="str">
        <f t="shared" ca="1" si="325"/>
        <v/>
      </c>
      <c r="AZ71" s="23" t="str">
        <f t="shared" ca="1" si="326"/>
        <v/>
      </c>
      <c r="BA71" s="23" t="str">
        <f t="shared" ca="1" si="327"/>
        <v/>
      </c>
      <c r="BB71" s="23" t="str">
        <f t="shared" ca="1" si="328"/>
        <v/>
      </c>
      <c r="BC71" s="23" t="str">
        <f t="shared" ca="1" si="329"/>
        <v/>
      </c>
      <c r="BD71" s="23" t="str">
        <f t="shared" ca="1" si="330"/>
        <v/>
      </c>
      <c r="BE71" s="23" t="str">
        <f t="shared" ca="1" si="331"/>
        <v/>
      </c>
      <c r="BF71" s="23" t="str">
        <f t="shared" ca="1" si="332"/>
        <v/>
      </c>
      <c r="BG71" s="23" t="str">
        <f t="shared" ca="1" si="333"/>
        <v/>
      </c>
      <c r="BH71" s="23" t="str">
        <f t="shared" ca="1" si="334"/>
        <v/>
      </c>
      <c r="BI71" s="23" t="str">
        <f t="shared" ca="1" si="335"/>
        <v/>
      </c>
      <c r="BJ71" s="23" t="str">
        <f t="shared" ca="1" si="336"/>
        <v/>
      </c>
      <c r="BK71" s="23" t="str">
        <f t="shared" ca="1" si="337"/>
        <v/>
      </c>
      <c r="BL71" s="23" t="str">
        <f t="shared" ca="1" si="338"/>
        <v/>
      </c>
      <c r="BM71" s="23" t="str">
        <f t="shared" ca="1" si="339"/>
        <v/>
      </c>
      <c r="BN71" s="23" t="str">
        <f t="shared" ca="1" si="340"/>
        <v/>
      </c>
      <c r="BO71" s="23" t="str">
        <f t="shared" ca="1" si="341"/>
        <v/>
      </c>
      <c r="BP71" s="23" t="str">
        <f t="shared" ca="1" si="342"/>
        <v/>
      </c>
      <c r="BQ71" s="23" t="str">
        <f t="shared" ca="1" si="343"/>
        <v/>
      </c>
      <c r="BR71" s="23" t="str">
        <f t="shared" ca="1" si="344"/>
        <v/>
      </c>
      <c r="BS71" s="23" t="str">
        <f t="shared" ca="1" si="345"/>
        <v/>
      </c>
      <c r="BT71" s="23" t="str">
        <f t="shared" ca="1" si="346"/>
        <v/>
      </c>
      <c r="BU71" s="23" t="str">
        <f t="shared" ca="1" si="347"/>
        <v/>
      </c>
      <c r="BV71" s="23" t="str">
        <f t="shared" ca="1" si="348"/>
        <v/>
      </c>
      <c r="BW71" s="23" t="str">
        <f t="shared" ca="1" si="349"/>
        <v/>
      </c>
      <c r="BX71" s="23" t="str">
        <f t="shared" ca="1" si="350"/>
        <v/>
      </c>
      <c r="BY71" s="23" t="str">
        <f t="shared" ca="1" si="351"/>
        <v/>
      </c>
      <c r="BZ71" s="23" t="str">
        <f t="shared" ca="1" si="352"/>
        <v/>
      </c>
      <c r="CA71" s="23" t="str">
        <f t="shared" ca="1" si="353"/>
        <v/>
      </c>
      <c r="CB71" s="23" t="str">
        <f t="shared" ca="1" si="354"/>
        <v/>
      </c>
      <c r="CC71" s="23" t="str">
        <f t="shared" ca="1" si="355"/>
        <v/>
      </c>
      <c r="CD71" s="23" t="str">
        <f t="shared" ca="1" si="356"/>
        <v/>
      </c>
      <c r="CE71" s="23" t="str">
        <f t="shared" ca="1" si="357"/>
        <v/>
      </c>
      <c r="CF71" s="23" t="str">
        <f t="shared" ca="1" si="358"/>
        <v/>
      </c>
      <c r="CG71" s="23" t="str">
        <f t="shared" ca="1" si="359"/>
        <v/>
      </c>
      <c r="CH71" s="23" t="str">
        <f t="shared" ca="1" si="360"/>
        <v/>
      </c>
      <c r="CI71" s="23" t="str">
        <f t="shared" ca="1" si="361"/>
        <v/>
      </c>
      <c r="CJ71" s="23" t="str">
        <f t="shared" ca="1" si="362"/>
        <v/>
      </c>
      <c r="CK71" s="23" t="str">
        <f t="shared" ca="1" si="363"/>
        <v/>
      </c>
      <c r="CL71" s="23" t="str">
        <f t="shared" ca="1" si="364"/>
        <v/>
      </c>
      <c r="CM71" s="23" t="str">
        <f t="shared" ca="1" si="365"/>
        <v/>
      </c>
      <c r="CN71" s="23" t="str">
        <f t="shared" ca="1" si="366"/>
        <v/>
      </c>
      <c r="CO71" s="23" t="str">
        <f t="shared" ca="1" si="367"/>
        <v/>
      </c>
      <c r="CP71" s="23" t="str">
        <f t="shared" ca="1" si="368"/>
        <v/>
      </c>
      <c r="CQ71" s="23" t="str">
        <f t="shared" ca="1" si="369"/>
        <v/>
      </c>
      <c r="CR71" s="23" t="str">
        <f t="shared" ca="1" si="370"/>
        <v/>
      </c>
      <c r="CS71" s="23" t="str">
        <f t="shared" ca="1" si="371"/>
        <v/>
      </c>
      <c r="CT71" s="23" t="str">
        <f t="shared" ca="1" si="372"/>
        <v/>
      </c>
      <c r="CU71" s="23" t="str">
        <f t="shared" ca="1" si="373"/>
        <v/>
      </c>
      <c r="CV71" s="23" t="str">
        <f t="shared" ca="1" si="374"/>
        <v/>
      </c>
      <c r="CW71" s="23" t="str">
        <f t="shared" ca="1" si="375"/>
        <v/>
      </c>
      <c r="CX71" s="23" t="str">
        <f ca="1">IF(CX$11="","",IF(CX$13=$M$5,CHOOSE($Q$6+1,$M$1,CY71+CZ71-#REF!),IF(CX$13=$M$6,CHOOSE($Q$6+1,$M$1,OFFSET($A71,,$P$7-1)),IF(CX$13=$M$7,CHOOSE($Q$6+1,$M$1,SUM(OFFSET($A$11,$B71-$O$5,$O$6,1,-$P$6))),IF(CX$13=$M$8,CHOOSE($Q$6+1,$M$1,SUM(OFFSET($A$11,$B71-$O$5,$O$7,1,-$P$6))),IF(CX$11&lt;$D$7,OFFSET(INDIRECT($D$3),$A71-1,$Q$3+CX$11),OFFSET(INDIRECT($D$4),$A71-1,$Q$4+CX$11)))))))</f>
        <v/>
      </c>
      <c r="CY71" s="23" t="str">
        <f ca="1">IF(CY$11="","",IF(CY$13=$M$5,CHOOSE($Q$6+1,$M$1,CZ71+#REF!-#REF!),IF(CY$13=$M$6,CHOOSE($Q$6+1,$M$1,OFFSET($A71,,$P$7-1)),IF(CY$13=$M$7,CHOOSE($Q$6+1,$M$1,SUM(OFFSET($A$11,$B71-$O$5,$O$6,1,-$P$6))),IF(CY$13=$M$8,CHOOSE($Q$6+1,$M$1,SUM(OFFSET($A$11,$B71-$O$5,$O$7,1,-$P$6))),IF(CY$11&lt;$D$7,OFFSET(INDIRECT($D$3),$A71-1,$Q$3+CY$11),OFFSET(INDIRECT($D$4),$A71-1,$Q$4+CY$11)))))))</f>
        <v/>
      </c>
      <c r="CZ71" s="23" t="str">
        <f ca="1">IF(CZ$11="","",IF(CZ$13=$M$5,CHOOSE($Q$6+1,$M$1,#REF!+#REF!-#REF!),IF(CZ$13=$M$6,CHOOSE($Q$6+1,$M$1,OFFSET($A71,,$P$7-1)),IF(CZ$13=$M$7,CHOOSE($Q$6+1,$M$1,SUM(OFFSET($A$11,$B71-$O$5,$O$6,1,-$P$6))),IF(CZ$13=$M$8,CHOOSE($Q$6+1,$M$1,SUM(OFFSET($A$11,$B71-$O$5,$O$7,1,-$P$6))),IF(CZ$11&lt;$D$7,OFFSET(INDIRECT($D$3),$A71-1,$Q$3+CZ$11),OFFSET(INDIRECT($D$4),$A71-1,$Q$4+CZ$11)))))))</f>
        <v/>
      </c>
    </row>
    <row r="72" spans="1:104" ht="13.5" customHeight="1">
      <c r="A72" s="27">
        <v>61</v>
      </c>
      <c r="B72" s="33">
        <f t="shared" si="14"/>
        <v>72</v>
      </c>
      <c r="C72" s="9" t="s">
        <v>342</v>
      </c>
      <c r="D72" s="23">
        <f t="shared" ca="1" si="278"/>
        <v>0</v>
      </c>
      <c r="E72" s="23">
        <f t="shared" ca="1" si="279"/>
        <v>0</v>
      </c>
      <c r="F72" s="23">
        <f t="shared" ca="1" si="280"/>
        <v>0</v>
      </c>
      <c r="G72" s="23">
        <f t="shared" ca="1" si="281"/>
        <v>0</v>
      </c>
      <c r="H72" s="23">
        <f t="shared" ca="1" si="282"/>
        <v>0</v>
      </c>
      <c r="I72" s="23">
        <f t="shared" ca="1" si="283"/>
        <v>0</v>
      </c>
      <c r="J72" s="23">
        <f t="shared" ca="1" si="284"/>
        <v>0</v>
      </c>
      <c r="K72" s="23">
        <f t="shared" ca="1" si="285"/>
        <v>0</v>
      </c>
      <c r="L72" s="23">
        <f t="shared" ca="1" si="286"/>
        <v>0</v>
      </c>
      <c r="M72" s="23">
        <f t="shared" ca="1" si="287"/>
        <v>0</v>
      </c>
      <c r="N72" s="23">
        <f t="shared" ca="1" si="288"/>
        <v>0</v>
      </c>
      <c r="O72" s="23">
        <f t="shared" ca="1" si="289"/>
        <v>0</v>
      </c>
      <c r="P72" s="23">
        <f t="shared" ca="1" si="290"/>
        <v>0</v>
      </c>
      <c r="Q72" s="23">
        <f t="shared" ca="1" si="291"/>
        <v>0</v>
      </c>
      <c r="R72" s="23" t="str">
        <f t="shared" ca="1" si="292"/>
        <v/>
      </c>
      <c r="S72" s="23" t="str">
        <f t="shared" ca="1" si="293"/>
        <v/>
      </c>
      <c r="T72" s="23" t="str">
        <f t="shared" ca="1" si="294"/>
        <v/>
      </c>
      <c r="U72" s="23" t="str">
        <f t="shared" ca="1" si="295"/>
        <v/>
      </c>
      <c r="V72" s="23" t="str">
        <f t="shared" ca="1" si="296"/>
        <v/>
      </c>
      <c r="W72" s="23" t="str">
        <f t="shared" ca="1" si="297"/>
        <v/>
      </c>
      <c r="X72" s="23" t="str">
        <f t="shared" ca="1" si="298"/>
        <v/>
      </c>
      <c r="Y72" s="23" t="str">
        <f t="shared" ca="1" si="299"/>
        <v/>
      </c>
      <c r="Z72" s="23" t="str">
        <f t="shared" ca="1" si="300"/>
        <v/>
      </c>
      <c r="AA72" s="23" t="str">
        <f t="shared" ca="1" si="301"/>
        <v/>
      </c>
      <c r="AB72" s="23" t="str">
        <f t="shared" ca="1" si="302"/>
        <v/>
      </c>
      <c r="AC72" s="23" t="str">
        <f t="shared" ca="1" si="303"/>
        <v/>
      </c>
      <c r="AD72" s="23" t="str">
        <f t="shared" ca="1" si="304"/>
        <v/>
      </c>
      <c r="AE72" s="23" t="str">
        <f t="shared" ca="1" si="305"/>
        <v/>
      </c>
      <c r="AF72" s="23" t="str">
        <f t="shared" ca="1" si="306"/>
        <v/>
      </c>
      <c r="AG72" s="23" t="str">
        <f t="shared" ca="1" si="307"/>
        <v/>
      </c>
      <c r="AH72" s="23" t="str">
        <f t="shared" ca="1" si="308"/>
        <v/>
      </c>
      <c r="AI72" s="23" t="str">
        <f t="shared" ca="1" si="309"/>
        <v/>
      </c>
      <c r="AJ72" s="23" t="str">
        <f t="shared" ca="1" si="310"/>
        <v/>
      </c>
      <c r="AK72" s="23" t="str">
        <f t="shared" ca="1" si="311"/>
        <v/>
      </c>
      <c r="AL72" s="23" t="str">
        <f t="shared" ca="1" si="312"/>
        <v/>
      </c>
      <c r="AM72" s="23" t="str">
        <f t="shared" ca="1" si="313"/>
        <v/>
      </c>
      <c r="AN72" s="23" t="str">
        <f t="shared" ca="1" si="314"/>
        <v/>
      </c>
      <c r="AO72" s="23" t="str">
        <f t="shared" ca="1" si="315"/>
        <v/>
      </c>
      <c r="AP72" s="23" t="str">
        <f t="shared" ca="1" si="316"/>
        <v/>
      </c>
      <c r="AQ72" s="23" t="str">
        <f t="shared" ca="1" si="317"/>
        <v/>
      </c>
      <c r="AR72" s="23" t="str">
        <f t="shared" ca="1" si="318"/>
        <v/>
      </c>
      <c r="AS72" s="23" t="str">
        <f t="shared" ca="1" si="319"/>
        <v/>
      </c>
      <c r="AT72" s="23" t="str">
        <f t="shared" ca="1" si="320"/>
        <v/>
      </c>
      <c r="AU72" s="23" t="str">
        <f t="shared" ca="1" si="321"/>
        <v/>
      </c>
      <c r="AV72" s="23" t="str">
        <f t="shared" ca="1" si="322"/>
        <v/>
      </c>
      <c r="AW72" s="23" t="str">
        <f t="shared" ca="1" si="323"/>
        <v/>
      </c>
      <c r="AX72" s="23" t="str">
        <f t="shared" ca="1" si="324"/>
        <v/>
      </c>
      <c r="AY72" s="23" t="str">
        <f t="shared" ca="1" si="325"/>
        <v/>
      </c>
      <c r="AZ72" s="23" t="str">
        <f t="shared" ca="1" si="326"/>
        <v/>
      </c>
      <c r="BA72" s="23" t="str">
        <f t="shared" ca="1" si="327"/>
        <v/>
      </c>
      <c r="BB72" s="23" t="str">
        <f t="shared" ca="1" si="328"/>
        <v/>
      </c>
      <c r="BC72" s="23" t="str">
        <f t="shared" ca="1" si="329"/>
        <v/>
      </c>
      <c r="BD72" s="23" t="str">
        <f t="shared" ca="1" si="330"/>
        <v/>
      </c>
      <c r="BE72" s="23" t="str">
        <f t="shared" ca="1" si="331"/>
        <v/>
      </c>
      <c r="BF72" s="23" t="str">
        <f t="shared" ca="1" si="332"/>
        <v/>
      </c>
      <c r="BG72" s="23" t="str">
        <f t="shared" ca="1" si="333"/>
        <v/>
      </c>
      <c r="BH72" s="23" t="str">
        <f t="shared" ca="1" si="334"/>
        <v/>
      </c>
      <c r="BI72" s="23" t="str">
        <f t="shared" ca="1" si="335"/>
        <v/>
      </c>
      <c r="BJ72" s="23" t="str">
        <f t="shared" ca="1" si="336"/>
        <v/>
      </c>
      <c r="BK72" s="23" t="str">
        <f t="shared" ca="1" si="337"/>
        <v/>
      </c>
      <c r="BL72" s="23" t="str">
        <f t="shared" ca="1" si="338"/>
        <v/>
      </c>
      <c r="BM72" s="23" t="str">
        <f t="shared" ca="1" si="339"/>
        <v/>
      </c>
      <c r="BN72" s="23" t="str">
        <f t="shared" ca="1" si="340"/>
        <v/>
      </c>
      <c r="BO72" s="23" t="str">
        <f t="shared" ca="1" si="341"/>
        <v/>
      </c>
      <c r="BP72" s="23" t="str">
        <f t="shared" ca="1" si="342"/>
        <v/>
      </c>
      <c r="BQ72" s="23" t="str">
        <f t="shared" ca="1" si="343"/>
        <v/>
      </c>
      <c r="BR72" s="23" t="str">
        <f t="shared" ca="1" si="344"/>
        <v/>
      </c>
      <c r="BS72" s="23" t="str">
        <f t="shared" ca="1" si="345"/>
        <v/>
      </c>
      <c r="BT72" s="23" t="str">
        <f t="shared" ca="1" si="346"/>
        <v/>
      </c>
      <c r="BU72" s="23" t="str">
        <f t="shared" ca="1" si="347"/>
        <v/>
      </c>
      <c r="BV72" s="23" t="str">
        <f t="shared" ca="1" si="348"/>
        <v/>
      </c>
      <c r="BW72" s="23" t="str">
        <f t="shared" ca="1" si="349"/>
        <v/>
      </c>
      <c r="BX72" s="23" t="str">
        <f t="shared" ca="1" si="350"/>
        <v/>
      </c>
      <c r="BY72" s="23" t="str">
        <f t="shared" ca="1" si="351"/>
        <v/>
      </c>
      <c r="BZ72" s="23" t="str">
        <f t="shared" ca="1" si="352"/>
        <v/>
      </c>
      <c r="CA72" s="23" t="str">
        <f t="shared" ca="1" si="353"/>
        <v/>
      </c>
      <c r="CB72" s="23" t="str">
        <f t="shared" ca="1" si="354"/>
        <v/>
      </c>
      <c r="CC72" s="23" t="str">
        <f t="shared" ca="1" si="355"/>
        <v/>
      </c>
      <c r="CD72" s="23" t="str">
        <f t="shared" ca="1" si="356"/>
        <v/>
      </c>
      <c r="CE72" s="23" t="str">
        <f t="shared" ca="1" si="357"/>
        <v/>
      </c>
      <c r="CF72" s="23" t="str">
        <f t="shared" ca="1" si="358"/>
        <v/>
      </c>
      <c r="CG72" s="23" t="str">
        <f t="shared" ca="1" si="359"/>
        <v/>
      </c>
      <c r="CH72" s="23" t="str">
        <f t="shared" ca="1" si="360"/>
        <v/>
      </c>
      <c r="CI72" s="23" t="str">
        <f t="shared" ca="1" si="361"/>
        <v/>
      </c>
      <c r="CJ72" s="23" t="str">
        <f t="shared" ca="1" si="362"/>
        <v/>
      </c>
      <c r="CK72" s="23" t="str">
        <f t="shared" ca="1" si="363"/>
        <v/>
      </c>
      <c r="CL72" s="23" t="str">
        <f t="shared" ca="1" si="364"/>
        <v/>
      </c>
      <c r="CM72" s="23" t="str">
        <f t="shared" ca="1" si="365"/>
        <v/>
      </c>
      <c r="CN72" s="23" t="str">
        <f t="shared" ca="1" si="366"/>
        <v/>
      </c>
      <c r="CO72" s="23" t="str">
        <f t="shared" ca="1" si="367"/>
        <v/>
      </c>
      <c r="CP72" s="23" t="str">
        <f t="shared" ca="1" si="368"/>
        <v/>
      </c>
      <c r="CQ72" s="23" t="str">
        <f t="shared" ca="1" si="369"/>
        <v/>
      </c>
      <c r="CR72" s="23" t="str">
        <f t="shared" ca="1" si="370"/>
        <v/>
      </c>
      <c r="CS72" s="23" t="str">
        <f t="shared" ca="1" si="371"/>
        <v/>
      </c>
      <c r="CT72" s="23" t="str">
        <f t="shared" ca="1" si="372"/>
        <v/>
      </c>
      <c r="CU72" s="23" t="str">
        <f t="shared" ca="1" si="373"/>
        <v/>
      </c>
      <c r="CV72" s="23" t="str">
        <f t="shared" ca="1" si="374"/>
        <v/>
      </c>
      <c r="CW72" s="23" t="str">
        <f t="shared" ca="1" si="375"/>
        <v/>
      </c>
      <c r="CX72" s="23" t="str">
        <f ca="1">IF(CX$11="","",IF(CX$13=$M$5,CHOOSE($Q$6+1,$M$1,CY72+CZ72-#REF!),IF(CX$13=$M$6,CHOOSE($Q$6+1,$M$1,OFFSET($A72,,$P$7-1)),IF(CX$13=$M$7,CHOOSE($Q$6+1,$M$1,SUM(OFFSET($A$11,$B72-$O$5,$O$6,1,-$P$6))),IF(CX$13=$M$8,CHOOSE($Q$6+1,$M$1,SUM(OFFSET($A$11,$B72-$O$5,$O$7,1,-$P$6))),IF(CX$11&lt;$D$7,OFFSET(INDIRECT($D$3),$A72-1,$Q$3+CX$11),OFFSET(INDIRECT($D$4),$A72-1,$Q$4+CX$11)))))))</f>
        <v/>
      </c>
      <c r="CY72" s="23" t="str">
        <f ca="1">IF(CY$11="","",IF(CY$13=$M$5,CHOOSE($Q$6+1,$M$1,CZ72+#REF!-#REF!),IF(CY$13=$M$6,CHOOSE($Q$6+1,$M$1,OFFSET($A72,,$P$7-1)),IF(CY$13=$M$7,CHOOSE($Q$6+1,$M$1,SUM(OFFSET($A$11,$B72-$O$5,$O$6,1,-$P$6))),IF(CY$13=$M$8,CHOOSE($Q$6+1,$M$1,SUM(OFFSET($A$11,$B72-$O$5,$O$7,1,-$P$6))),IF(CY$11&lt;$D$7,OFFSET(INDIRECT($D$3),$A72-1,$Q$3+CY$11),OFFSET(INDIRECT($D$4),$A72-1,$Q$4+CY$11)))))))</f>
        <v/>
      </c>
      <c r="CZ72" s="23" t="str">
        <f ca="1">IF(CZ$11="","",IF(CZ$13=$M$5,CHOOSE($Q$6+1,$M$1,#REF!+#REF!-#REF!),IF(CZ$13=$M$6,CHOOSE($Q$6+1,$M$1,OFFSET($A72,,$P$7-1)),IF(CZ$13=$M$7,CHOOSE($Q$6+1,$M$1,SUM(OFFSET($A$11,$B72-$O$5,$O$6,1,-$P$6))),IF(CZ$13=$M$8,CHOOSE($Q$6+1,$M$1,SUM(OFFSET($A$11,$B72-$O$5,$O$7,1,-$P$6))),IF(CZ$11&lt;$D$7,OFFSET(INDIRECT($D$3),$A72-1,$Q$3+CZ$11),OFFSET(INDIRECT($D$4),$A72-1,$Q$4+CZ$11)))))))</f>
        <v/>
      </c>
    </row>
    <row r="73" spans="1:104" ht="13.5" customHeight="1">
      <c r="A73" s="27">
        <v>62</v>
      </c>
      <c r="B73" s="33">
        <f t="shared" si="14"/>
        <v>73</v>
      </c>
      <c r="C73" s="9" t="s">
        <v>343</v>
      </c>
      <c r="D73" s="23">
        <f t="shared" ca="1" si="278"/>
        <v>0</v>
      </c>
      <c r="E73" s="23">
        <f t="shared" ca="1" si="279"/>
        <v>0</v>
      </c>
      <c r="F73" s="23">
        <f t="shared" ca="1" si="280"/>
        <v>0</v>
      </c>
      <c r="G73" s="23">
        <f t="shared" ca="1" si="281"/>
        <v>0</v>
      </c>
      <c r="H73" s="23">
        <f t="shared" ca="1" si="282"/>
        <v>0</v>
      </c>
      <c r="I73" s="23">
        <f t="shared" ca="1" si="283"/>
        <v>0</v>
      </c>
      <c r="J73" s="23">
        <f t="shared" ca="1" si="284"/>
        <v>0</v>
      </c>
      <c r="K73" s="23">
        <f t="shared" ca="1" si="285"/>
        <v>0</v>
      </c>
      <c r="L73" s="23">
        <f t="shared" ca="1" si="286"/>
        <v>0</v>
      </c>
      <c r="M73" s="23">
        <f t="shared" ca="1" si="287"/>
        <v>0</v>
      </c>
      <c r="N73" s="23">
        <f t="shared" ca="1" si="288"/>
        <v>0</v>
      </c>
      <c r="O73" s="23">
        <f t="shared" ca="1" si="289"/>
        <v>0</v>
      </c>
      <c r="P73" s="23">
        <f t="shared" ca="1" si="290"/>
        <v>0</v>
      </c>
      <c r="Q73" s="23">
        <f t="shared" ca="1" si="291"/>
        <v>0</v>
      </c>
      <c r="R73" s="23" t="str">
        <f t="shared" ca="1" si="292"/>
        <v/>
      </c>
      <c r="S73" s="23" t="str">
        <f t="shared" ca="1" si="293"/>
        <v/>
      </c>
      <c r="T73" s="23" t="str">
        <f t="shared" ca="1" si="294"/>
        <v/>
      </c>
      <c r="U73" s="23" t="str">
        <f t="shared" ca="1" si="295"/>
        <v/>
      </c>
      <c r="V73" s="23" t="str">
        <f t="shared" ca="1" si="296"/>
        <v/>
      </c>
      <c r="W73" s="23" t="str">
        <f t="shared" ca="1" si="297"/>
        <v/>
      </c>
      <c r="X73" s="23" t="str">
        <f t="shared" ca="1" si="298"/>
        <v/>
      </c>
      <c r="Y73" s="23" t="str">
        <f t="shared" ca="1" si="299"/>
        <v/>
      </c>
      <c r="Z73" s="23" t="str">
        <f t="shared" ca="1" si="300"/>
        <v/>
      </c>
      <c r="AA73" s="23" t="str">
        <f t="shared" ca="1" si="301"/>
        <v/>
      </c>
      <c r="AB73" s="23" t="str">
        <f t="shared" ca="1" si="302"/>
        <v/>
      </c>
      <c r="AC73" s="23" t="str">
        <f t="shared" ca="1" si="303"/>
        <v/>
      </c>
      <c r="AD73" s="23" t="str">
        <f t="shared" ca="1" si="304"/>
        <v/>
      </c>
      <c r="AE73" s="23" t="str">
        <f t="shared" ca="1" si="305"/>
        <v/>
      </c>
      <c r="AF73" s="23" t="str">
        <f t="shared" ca="1" si="306"/>
        <v/>
      </c>
      <c r="AG73" s="23" t="str">
        <f t="shared" ca="1" si="307"/>
        <v/>
      </c>
      <c r="AH73" s="23" t="str">
        <f t="shared" ca="1" si="308"/>
        <v/>
      </c>
      <c r="AI73" s="23" t="str">
        <f t="shared" ca="1" si="309"/>
        <v/>
      </c>
      <c r="AJ73" s="23" t="str">
        <f t="shared" ca="1" si="310"/>
        <v/>
      </c>
      <c r="AK73" s="23" t="str">
        <f t="shared" ca="1" si="311"/>
        <v/>
      </c>
      <c r="AL73" s="23" t="str">
        <f t="shared" ca="1" si="312"/>
        <v/>
      </c>
      <c r="AM73" s="23" t="str">
        <f t="shared" ca="1" si="313"/>
        <v/>
      </c>
      <c r="AN73" s="23" t="str">
        <f t="shared" ca="1" si="314"/>
        <v/>
      </c>
      <c r="AO73" s="23" t="str">
        <f t="shared" ca="1" si="315"/>
        <v/>
      </c>
      <c r="AP73" s="23" t="str">
        <f t="shared" ca="1" si="316"/>
        <v/>
      </c>
      <c r="AQ73" s="23" t="str">
        <f t="shared" ca="1" si="317"/>
        <v/>
      </c>
      <c r="AR73" s="23" t="str">
        <f t="shared" ca="1" si="318"/>
        <v/>
      </c>
      <c r="AS73" s="23" t="str">
        <f t="shared" ca="1" si="319"/>
        <v/>
      </c>
      <c r="AT73" s="23" t="str">
        <f t="shared" ca="1" si="320"/>
        <v/>
      </c>
      <c r="AU73" s="23" t="str">
        <f t="shared" ca="1" si="321"/>
        <v/>
      </c>
      <c r="AV73" s="23" t="str">
        <f t="shared" ca="1" si="322"/>
        <v/>
      </c>
      <c r="AW73" s="23" t="str">
        <f t="shared" ca="1" si="323"/>
        <v/>
      </c>
      <c r="AX73" s="23" t="str">
        <f t="shared" ca="1" si="324"/>
        <v/>
      </c>
      <c r="AY73" s="23" t="str">
        <f t="shared" ca="1" si="325"/>
        <v/>
      </c>
      <c r="AZ73" s="23" t="str">
        <f t="shared" ca="1" si="326"/>
        <v/>
      </c>
      <c r="BA73" s="23" t="str">
        <f t="shared" ca="1" si="327"/>
        <v/>
      </c>
      <c r="BB73" s="23" t="str">
        <f t="shared" ca="1" si="328"/>
        <v/>
      </c>
      <c r="BC73" s="23" t="str">
        <f t="shared" ca="1" si="329"/>
        <v/>
      </c>
      <c r="BD73" s="23" t="str">
        <f t="shared" ca="1" si="330"/>
        <v/>
      </c>
      <c r="BE73" s="23" t="str">
        <f t="shared" ca="1" si="331"/>
        <v/>
      </c>
      <c r="BF73" s="23" t="str">
        <f t="shared" ca="1" si="332"/>
        <v/>
      </c>
      <c r="BG73" s="23" t="str">
        <f t="shared" ca="1" si="333"/>
        <v/>
      </c>
      <c r="BH73" s="23" t="str">
        <f t="shared" ca="1" si="334"/>
        <v/>
      </c>
      <c r="BI73" s="23" t="str">
        <f t="shared" ca="1" si="335"/>
        <v/>
      </c>
      <c r="BJ73" s="23" t="str">
        <f t="shared" ca="1" si="336"/>
        <v/>
      </c>
      <c r="BK73" s="23" t="str">
        <f t="shared" ca="1" si="337"/>
        <v/>
      </c>
      <c r="BL73" s="23" t="str">
        <f t="shared" ca="1" si="338"/>
        <v/>
      </c>
      <c r="BM73" s="23" t="str">
        <f t="shared" ca="1" si="339"/>
        <v/>
      </c>
      <c r="BN73" s="23" t="str">
        <f t="shared" ca="1" si="340"/>
        <v/>
      </c>
      <c r="BO73" s="23" t="str">
        <f t="shared" ca="1" si="341"/>
        <v/>
      </c>
      <c r="BP73" s="23" t="str">
        <f t="shared" ca="1" si="342"/>
        <v/>
      </c>
      <c r="BQ73" s="23" t="str">
        <f t="shared" ca="1" si="343"/>
        <v/>
      </c>
      <c r="BR73" s="23" t="str">
        <f t="shared" ca="1" si="344"/>
        <v/>
      </c>
      <c r="BS73" s="23" t="str">
        <f t="shared" ca="1" si="345"/>
        <v/>
      </c>
      <c r="BT73" s="23" t="str">
        <f t="shared" ca="1" si="346"/>
        <v/>
      </c>
      <c r="BU73" s="23" t="str">
        <f t="shared" ca="1" si="347"/>
        <v/>
      </c>
      <c r="BV73" s="23" t="str">
        <f t="shared" ca="1" si="348"/>
        <v/>
      </c>
      <c r="BW73" s="23" t="str">
        <f t="shared" ca="1" si="349"/>
        <v/>
      </c>
      <c r="BX73" s="23" t="str">
        <f t="shared" ca="1" si="350"/>
        <v/>
      </c>
      <c r="BY73" s="23" t="str">
        <f t="shared" ca="1" si="351"/>
        <v/>
      </c>
      <c r="BZ73" s="23" t="str">
        <f t="shared" ca="1" si="352"/>
        <v/>
      </c>
      <c r="CA73" s="23" t="str">
        <f t="shared" ca="1" si="353"/>
        <v/>
      </c>
      <c r="CB73" s="23" t="str">
        <f t="shared" ca="1" si="354"/>
        <v/>
      </c>
      <c r="CC73" s="23" t="str">
        <f t="shared" ca="1" si="355"/>
        <v/>
      </c>
      <c r="CD73" s="23" t="str">
        <f t="shared" ca="1" si="356"/>
        <v/>
      </c>
      <c r="CE73" s="23" t="str">
        <f t="shared" ca="1" si="357"/>
        <v/>
      </c>
      <c r="CF73" s="23" t="str">
        <f t="shared" ca="1" si="358"/>
        <v/>
      </c>
      <c r="CG73" s="23" t="str">
        <f t="shared" ca="1" si="359"/>
        <v/>
      </c>
      <c r="CH73" s="23" t="str">
        <f t="shared" ca="1" si="360"/>
        <v/>
      </c>
      <c r="CI73" s="23" t="str">
        <f t="shared" ca="1" si="361"/>
        <v/>
      </c>
      <c r="CJ73" s="23" t="str">
        <f t="shared" ca="1" si="362"/>
        <v/>
      </c>
      <c r="CK73" s="23" t="str">
        <f t="shared" ca="1" si="363"/>
        <v/>
      </c>
      <c r="CL73" s="23" t="str">
        <f t="shared" ca="1" si="364"/>
        <v/>
      </c>
      <c r="CM73" s="23" t="str">
        <f t="shared" ca="1" si="365"/>
        <v/>
      </c>
      <c r="CN73" s="23" t="str">
        <f t="shared" ca="1" si="366"/>
        <v/>
      </c>
      <c r="CO73" s="23" t="str">
        <f t="shared" ca="1" si="367"/>
        <v/>
      </c>
      <c r="CP73" s="23" t="str">
        <f t="shared" ca="1" si="368"/>
        <v/>
      </c>
      <c r="CQ73" s="23" t="str">
        <f t="shared" ca="1" si="369"/>
        <v/>
      </c>
      <c r="CR73" s="23" t="str">
        <f t="shared" ca="1" si="370"/>
        <v/>
      </c>
      <c r="CS73" s="23" t="str">
        <f t="shared" ca="1" si="371"/>
        <v/>
      </c>
      <c r="CT73" s="23" t="str">
        <f t="shared" ca="1" si="372"/>
        <v/>
      </c>
      <c r="CU73" s="23" t="str">
        <f t="shared" ca="1" si="373"/>
        <v/>
      </c>
      <c r="CV73" s="23" t="str">
        <f t="shared" ca="1" si="374"/>
        <v/>
      </c>
      <c r="CW73" s="23" t="str">
        <f t="shared" ca="1" si="375"/>
        <v/>
      </c>
      <c r="CX73" s="23" t="str">
        <f ca="1">IF(CX$11="","",IF(CX$13=$M$5,CHOOSE($Q$6+1,$M$1,CY73+CZ73-#REF!),IF(CX$13=$M$6,CHOOSE($Q$6+1,$M$1,OFFSET($A73,,$P$7-1)),IF(CX$13=$M$7,CHOOSE($Q$6+1,$M$1,SUM(OFFSET($A$11,$B73-$O$5,$O$6,1,-$P$6))),IF(CX$13=$M$8,CHOOSE($Q$6+1,$M$1,SUM(OFFSET($A$11,$B73-$O$5,$O$7,1,-$P$6))),IF(CX$11&lt;$D$7,OFFSET(INDIRECT($D$3),$A73-1,$Q$3+CX$11),OFFSET(INDIRECT($D$4),$A73-1,$Q$4+CX$11)))))))</f>
        <v/>
      </c>
      <c r="CY73" s="23" t="str">
        <f ca="1">IF(CY$11="","",IF(CY$13=$M$5,CHOOSE($Q$6+1,$M$1,CZ73+#REF!-#REF!),IF(CY$13=$M$6,CHOOSE($Q$6+1,$M$1,OFFSET($A73,,$P$7-1)),IF(CY$13=$M$7,CHOOSE($Q$6+1,$M$1,SUM(OFFSET($A$11,$B73-$O$5,$O$6,1,-$P$6))),IF(CY$13=$M$8,CHOOSE($Q$6+1,$M$1,SUM(OFFSET($A$11,$B73-$O$5,$O$7,1,-$P$6))),IF(CY$11&lt;$D$7,OFFSET(INDIRECT($D$3),$A73-1,$Q$3+CY$11),OFFSET(INDIRECT($D$4),$A73-1,$Q$4+CY$11)))))))</f>
        <v/>
      </c>
      <c r="CZ73" s="23" t="str">
        <f ca="1">IF(CZ$11="","",IF(CZ$13=$M$5,CHOOSE($Q$6+1,$M$1,#REF!+#REF!-#REF!),IF(CZ$13=$M$6,CHOOSE($Q$6+1,$M$1,OFFSET($A73,,$P$7-1)),IF(CZ$13=$M$7,CHOOSE($Q$6+1,$M$1,SUM(OFFSET($A$11,$B73-$O$5,$O$6,1,-$P$6))),IF(CZ$13=$M$8,CHOOSE($Q$6+1,$M$1,SUM(OFFSET($A$11,$B73-$O$5,$O$7,1,-$P$6))),IF(CZ$11&lt;$D$7,OFFSET(INDIRECT($D$3),$A73-1,$Q$3+CZ$11),OFFSET(INDIRECT($D$4),$A73-1,$Q$4+CZ$11)))))))</f>
        <v/>
      </c>
    </row>
    <row r="74" spans="1:104" ht="13.5" customHeight="1">
      <c r="A74" s="27">
        <v>63</v>
      </c>
      <c r="B74" s="33">
        <f t="shared" si="14"/>
        <v>74</v>
      </c>
      <c r="C74" s="9" t="s">
        <v>344</v>
      </c>
      <c r="D74" s="23">
        <f t="shared" ca="1" si="278"/>
        <v>0</v>
      </c>
      <c r="E74" s="23">
        <f t="shared" ca="1" si="279"/>
        <v>0</v>
      </c>
      <c r="F74" s="23">
        <f t="shared" ca="1" si="280"/>
        <v>0</v>
      </c>
      <c r="G74" s="23">
        <f t="shared" ca="1" si="281"/>
        <v>0</v>
      </c>
      <c r="H74" s="23">
        <f t="shared" ca="1" si="282"/>
        <v>0</v>
      </c>
      <c r="I74" s="23">
        <f t="shared" ca="1" si="283"/>
        <v>0</v>
      </c>
      <c r="J74" s="23">
        <f t="shared" ca="1" si="284"/>
        <v>0</v>
      </c>
      <c r="K74" s="23">
        <f t="shared" ca="1" si="285"/>
        <v>0</v>
      </c>
      <c r="L74" s="23">
        <f t="shared" ca="1" si="286"/>
        <v>0</v>
      </c>
      <c r="M74" s="23">
        <f t="shared" ca="1" si="287"/>
        <v>0</v>
      </c>
      <c r="N74" s="23">
        <f t="shared" ca="1" si="288"/>
        <v>0</v>
      </c>
      <c r="O74" s="23">
        <f t="shared" ca="1" si="289"/>
        <v>0</v>
      </c>
      <c r="P74" s="23">
        <f t="shared" ca="1" si="290"/>
        <v>0</v>
      </c>
      <c r="Q74" s="23">
        <f t="shared" ca="1" si="291"/>
        <v>0</v>
      </c>
      <c r="R74" s="23" t="str">
        <f t="shared" ca="1" si="292"/>
        <v/>
      </c>
      <c r="S74" s="23" t="str">
        <f t="shared" ca="1" si="293"/>
        <v/>
      </c>
      <c r="T74" s="23" t="str">
        <f t="shared" ca="1" si="294"/>
        <v/>
      </c>
      <c r="U74" s="23" t="str">
        <f t="shared" ca="1" si="295"/>
        <v/>
      </c>
      <c r="V74" s="23" t="str">
        <f t="shared" ca="1" si="296"/>
        <v/>
      </c>
      <c r="W74" s="23" t="str">
        <f t="shared" ca="1" si="297"/>
        <v/>
      </c>
      <c r="X74" s="23" t="str">
        <f t="shared" ca="1" si="298"/>
        <v/>
      </c>
      <c r="Y74" s="23" t="str">
        <f t="shared" ca="1" si="299"/>
        <v/>
      </c>
      <c r="Z74" s="23" t="str">
        <f t="shared" ca="1" si="300"/>
        <v/>
      </c>
      <c r="AA74" s="23" t="str">
        <f t="shared" ca="1" si="301"/>
        <v/>
      </c>
      <c r="AB74" s="23" t="str">
        <f t="shared" ca="1" si="302"/>
        <v/>
      </c>
      <c r="AC74" s="23" t="str">
        <f t="shared" ca="1" si="303"/>
        <v/>
      </c>
      <c r="AD74" s="23" t="str">
        <f t="shared" ca="1" si="304"/>
        <v/>
      </c>
      <c r="AE74" s="23" t="str">
        <f t="shared" ca="1" si="305"/>
        <v/>
      </c>
      <c r="AF74" s="23" t="str">
        <f t="shared" ca="1" si="306"/>
        <v/>
      </c>
      <c r="AG74" s="23" t="str">
        <f t="shared" ca="1" si="307"/>
        <v/>
      </c>
      <c r="AH74" s="23" t="str">
        <f t="shared" ca="1" si="308"/>
        <v/>
      </c>
      <c r="AI74" s="23" t="str">
        <f t="shared" ca="1" si="309"/>
        <v/>
      </c>
      <c r="AJ74" s="23" t="str">
        <f t="shared" ca="1" si="310"/>
        <v/>
      </c>
      <c r="AK74" s="23" t="str">
        <f t="shared" ca="1" si="311"/>
        <v/>
      </c>
      <c r="AL74" s="23" t="str">
        <f t="shared" ca="1" si="312"/>
        <v/>
      </c>
      <c r="AM74" s="23" t="str">
        <f t="shared" ca="1" si="313"/>
        <v/>
      </c>
      <c r="AN74" s="23" t="str">
        <f t="shared" ca="1" si="314"/>
        <v/>
      </c>
      <c r="AO74" s="23" t="str">
        <f t="shared" ca="1" si="315"/>
        <v/>
      </c>
      <c r="AP74" s="23" t="str">
        <f t="shared" ca="1" si="316"/>
        <v/>
      </c>
      <c r="AQ74" s="23" t="str">
        <f t="shared" ca="1" si="317"/>
        <v/>
      </c>
      <c r="AR74" s="23" t="str">
        <f t="shared" ca="1" si="318"/>
        <v/>
      </c>
      <c r="AS74" s="23" t="str">
        <f t="shared" ca="1" si="319"/>
        <v/>
      </c>
      <c r="AT74" s="23" t="str">
        <f t="shared" ca="1" si="320"/>
        <v/>
      </c>
      <c r="AU74" s="23" t="str">
        <f t="shared" ca="1" si="321"/>
        <v/>
      </c>
      <c r="AV74" s="23" t="str">
        <f t="shared" ca="1" si="322"/>
        <v/>
      </c>
      <c r="AW74" s="23" t="str">
        <f t="shared" ca="1" si="323"/>
        <v/>
      </c>
      <c r="AX74" s="23" t="str">
        <f t="shared" ca="1" si="324"/>
        <v/>
      </c>
      <c r="AY74" s="23" t="str">
        <f t="shared" ca="1" si="325"/>
        <v/>
      </c>
      <c r="AZ74" s="23" t="str">
        <f t="shared" ca="1" si="326"/>
        <v/>
      </c>
      <c r="BA74" s="23" t="str">
        <f t="shared" ca="1" si="327"/>
        <v/>
      </c>
      <c r="BB74" s="23" t="str">
        <f t="shared" ca="1" si="328"/>
        <v/>
      </c>
      <c r="BC74" s="23" t="str">
        <f t="shared" ca="1" si="329"/>
        <v/>
      </c>
      <c r="BD74" s="23" t="str">
        <f t="shared" ca="1" si="330"/>
        <v/>
      </c>
      <c r="BE74" s="23" t="str">
        <f t="shared" ca="1" si="331"/>
        <v/>
      </c>
      <c r="BF74" s="23" t="str">
        <f t="shared" ca="1" si="332"/>
        <v/>
      </c>
      <c r="BG74" s="23" t="str">
        <f t="shared" ca="1" si="333"/>
        <v/>
      </c>
      <c r="BH74" s="23" t="str">
        <f t="shared" ca="1" si="334"/>
        <v/>
      </c>
      <c r="BI74" s="23" t="str">
        <f t="shared" ca="1" si="335"/>
        <v/>
      </c>
      <c r="BJ74" s="23" t="str">
        <f t="shared" ca="1" si="336"/>
        <v/>
      </c>
      <c r="BK74" s="23" t="str">
        <f t="shared" ca="1" si="337"/>
        <v/>
      </c>
      <c r="BL74" s="23" t="str">
        <f t="shared" ca="1" si="338"/>
        <v/>
      </c>
      <c r="BM74" s="23" t="str">
        <f t="shared" ca="1" si="339"/>
        <v/>
      </c>
      <c r="BN74" s="23" t="str">
        <f t="shared" ca="1" si="340"/>
        <v/>
      </c>
      <c r="BO74" s="23" t="str">
        <f t="shared" ca="1" si="341"/>
        <v/>
      </c>
      <c r="BP74" s="23" t="str">
        <f t="shared" ca="1" si="342"/>
        <v/>
      </c>
      <c r="BQ74" s="23" t="str">
        <f t="shared" ca="1" si="343"/>
        <v/>
      </c>
      <c r="BR74" s="23" t="str">
        <f t="shared" ca="1" si="344"/>
        <v/>
      </c>
      <c r="BS74" s="23" t="str">
        <f t="shared" ca="1" si="345"/>
        <v/>
      </c>
      <c r="BT74" s="23" t="str">
        <f t="shared" ca="1" si="346"/>
        <v/>
      </c>
      <c r="BU74" s="23" t="str">
        <f t="shared" ca="1" si="347"/>
        <v/>
      </c>
      <c r="BV74" s="23" t="str">
        <f t="shared" ca="1" si="348"/>
        <v/>
      </c>
      <c r="BW74" s="23" t="str">
        <f t="shared" ca="1" si="349"/>
        <v/>
      </c>
      <c r="BX74" s="23" t="str">
        <f t="shared" ca="1" si="350"/>
        <v/>
      </c>
      <c r="BY74" s="23" t="str">
        <f t="shared" ca="1" si="351"/>
        <v/>
      </c>
      <c r="BZ74" s="23" t="str">
        <f t="shared" ca="1" si="352"/>
        <v/>
      </c>
      <c r="CA74" s="23" t="str">
        <f t="shared" ca="1" si="353"/>
        <v/>
      </c>
      <c r="CB74" s="23" t="str">
        <f t="shared" ca="1" si="354"/>
        <v/>
      </c>
      <c r="CC74" s="23" t="str">
        <f t="shared" ca="1" si="355"/>
        <v/>
      </c>
      <c r="CD74" s="23" t="str">
        <f t="shared" ca="1" si="356"/>
        <v/>
      </c>
      <c r="CE74" s="23" t="str">
        <f t="shared" ca="1" si="357"/>
        <v/>
      </c>
      <c r="CF74" s="23" t="str">
        <f t="shared" ca="1" si="358"/>
        <v/>
      </c>
      <c r="CG74" s="23" t="str">
        <f t="shared" ca="1" si="359"/>
        <v/>
      </c>
      <c r="CH74" s="23" t="str">
        <f t="shared" ca="1" si="360"/>
        <v/>
      </c>
      <c r="CI74" s="23" t="str">
        <f t="shared" ca="1" si="361"/>
        <v/>
      </c>
      <c r="CJ74" s="23" t="str">
        <f t="shared" ca="1" si="362"/>
        <v/>
      </c>
      <c r="CK74" s="23" t="str">
        <f t="shared" ca="1" si="363"/>
        <v/>
      </c>
      <c r="CL74" s="23" t="str">
        <f t="shared" ca="1" si="364"/>
        <v/>
      </c>
      <c r="CM74" s="23" t="str">
        <f t="shared" ca="1" si="365"/>
        <v/>
      </c>
      <c r="CN74" s="23" t="str">
        <f t="shared" ca="1" si="366"/>
        <v/>
      </c>
      <c r="CO74" s="23" t="str">
        <f t="shared" ca="1" si="367"/>
        <v/>
      </c>
      <c r="CP74" s="23" t="str">
        <f t="shared" ca="1" si="368"/>
        <v/>
      </c>
      <c r="CQ74" s="23" t="str">
        <f t="shared" ca="1" si="369"/>
        <v/>
      </c>
      <c r="CR74" s="23" t="str">
        <f t="shared" ca="1" si="370"/>
        <v/>
      </c>
      <c r="CS74" s="23" t="str">
        <f t="shared" ca="1" si="371"/>
        <v/>
      </c>
      <c r="CT74" s="23" t="str">
        <f t="shared" ca="1" si="372"/>
        <v/>
      </c>
      <c r="CU74" s="23" t="str">
        <f t="shared" ca="1" si="373"/>
        <v/>
      </c>
      <c r="CV74" s="23" t="str">
        <f t="shared" ca="1" si="374"/>
        <v/>
      </c>
      <c r="CW74" s="23" t="str">
        <f t="shared" ca="1" si="375"/>
        <v/>
      </c>
      <c r="CX74" s="23" t="str">
        <f ca="1">IF(CX$11="","",IF(CX$13=$M$5,CHOOSE($Q$6+1,$M$1,CY74+CZ74-#REF!),IF(CX$13=$M$6,CHOOSE($Q$6+1,$M$1,OFFSET($A74,,$P$7-1)),IF(CX$13=$M$7,CHOOSE($Q$6+1,$M$1,SUM(OFFSET($A$11,$B74-$O$5,$O$6,1,-$P$6))),IF(CX$13=$M$8,CHOOSE($Q$6+1,$M$1,SUM(OFFSET($A$11,$B74-$O$5,$O$7,1,-$P$6))),IF(CX$11&lt;$D$7,OFFSET(INDIRECT($D$3),$A74-1,$Q$3+CX$11),OFFSET(INDIRECT($D$4),$A74-1,$Q$4+CX$11)))))))</f>
        <v/>
      </c>
      <c r="CY74" s="23" t="str">
        <f ca="1">IF(CY$11="","",IF(CY$13=$M$5,CHOOSE($Q$6+1,$M$1,CZ74+#REF!-#REF!),IF(CY$13=$M$6,CHOOSE($Q$6+1,$M$1,OFFSET($A74,,$P$7-1)),IF(CY$13=$M$7,CHOOSE($Q$6+1,$M$1,SUM(OFFSET($A$11,$B74-$O$5,$O$6,1,-$P$6))),IF(CY$13=$M$8,CHOOSE($Q$6+1,$M$1,SUM(OFFSET($A$11,$B74-$O$5,$O$7,1,-$P$6))),IF(CY$11&lt;$D$7,OFFSET(INDIRECT($D$3),$A74-1,$Q$3+CY$11),OFFSET(INDIRECT($D$4),$A74-1,$Q$4+CY$11)))))))</f>
        <v/>
      </c>
      <c r="CZ74" s="23" t="str">
        <f ca="1">IF(CZ$11="","",IF(CZ$13=$M$5,CHOOSE($Q$6+1,$M$1,#REF!+#REF!-#REF!),IF(CZ$13=$M$6,CHOOSE($Q$6+1,$M$1,OFFSET($A74,,$P$7-1)),IF(CZ$13=$M$7,CHOOSE($Q$6+1,$M$1,SUM(OFFSET($A$11,$B74-$O$5,$O$6,1,-$P$6))),IF(CZ$13=$M$8,CHOOSE($Q$6+1,$M$1,SUM(OFFSET($A$11,$B74-$O$5,$O$7,1,-$P$6))),IF(CZ$11&lt;$D$7,OFFSET(INDIRECT($D$3),$A74-1,$Q$3+CZ$11),OFFSET(INDIRECT($D$4),$A74-1,$Q$4+CZ$11)))))))</f>
        <v/>
      </c>
    </row>
    <row r="75" spans="1:104" ht="13.5" customHeight="1">
      <c r="A75" s="27">
        <v>64</v>
      </c>
      <c r="B75" s="33">
        <f t="shared" si="14"/>
        <v>75</v>
      </c>
      <c r="C75" s="9" t="s">
        <v>345</v>
      </c>
      <c r="D75" s="23">
        <f t="shared" ca="1" si="278"/>
        <v>28.05</v>
      </c>
      <c r="E75" s="23">
        <f t="shared" ca="1" si="279"/>
        <v>44.64</v>
      </c>
      <c r="F75" s="23">
        <f t="shared" ca="1" si="280"/>
        <v>6.49</v>
      </c>
      <c r="G75" s="23">
        <f t="shared" ca="1" si="281"/>
        <v>7.89</v>
      </c>
      <c r="H75" s="23">
        <f t="shared" ca="1" si="282"/>
        <v>7.14</v>
      </c>
      <c r="I75" s="23">
        <f t="shared" ca="1" si="283"/>
        <v>14.03</v>
      </c>
      <c r="J75" s="23">
        <f t="shared" ca="1" si="284"/>
        <v>12.45</v>
      </c>
      <c r="K75" s="23">
        <f t="shared" ca="1" si="285"/>
        <v>9.42</v>
      </c>
      <c r="L75" s="23">
        <f t="shared" ca="1" si="286"/>
        <v>8.75</v>
      </c>
      <c r="M75" s="23">
        <f t="shared" ca="1" si="287"/>
        <v>13.93</v>
      </c>
      <c r="N75" s="23">
        <f t="shared" ca="1" si="288"/>
        <v>44.54</v>
      </c>
      <c r="O75" s="23">
        <f t="shared" ca="1" si="289"/>
        <v>44.64</v>
      </c>
      <c r="P75" s="23">
        <f t="shared" ca="1" si="290"/>
        <v>13.93</v>
      </c>
      <c r="Q75" s="23">
        <f t="shared" ca="1" si="291"/>
        <v>14.03</v>
      </c>
      <c r="R75" s="23" t="str">
        <f t="shared" ca="1" si="292"/>
        <v/>
      </c>
      <c r="S75" s="23" t="str">
        <f t="shared" ca="1" si="293"/>
        <v/>
      </c>
      <c r="T75" s="23" t="str">
        <f t="shared" ca="1" si="294"/>
        <v/>
      </c>
      <c r="U75" s="23" t="str">
        <f t="shared" ca="1" si="295"/>
        <v/>
      </c>
      <c r="V75" s="23" t="str">
        <f t="shared" ca="1" si="296"/>
        <v/>
      </c>
      <c r="W75" s="23" t="str">
        <f t="shared" ca="1" si="297"/>
        <v/>
      </c>
      <c r="X75" s="23" t="str">
        <f t="shared" ca="1" si="298"/>
        <v/>
      </c>
      <c r="Y75" s="23" t="str">
        <f t="shared" ca="1" si="299"/>
        <v/>
      </c>
      <c r="Z75" s="23" t="str">
        <f t="shared" ca="1" si="300"/>
        <v/>
      </c>
      <c r="AA75" s="23" t="str">
        <f t="shared" ca="1" si="301"/>
        <v/>
      </c>
      <c r="AB75" s="23" t="str">
        <f t="shared" ca="1" si="302"/>
        <v/>
      </c>
      <c r="AC75" s="23" t="str">
        <f t="shared" ca="1" si="303"/>
        <v/>
      </c>
      <c r="AD75" s="23" t="str">
        <f t="shared" ca="1" si="304"/>
        <v/>
      </c>
      <c r="AE75" s="23" t="str">
        <f t="shared" ca="1" si="305"/>
        <v/>
      </c>
      <c r="AF75" s="23" t="str">
        <f t="shared" ca="1" si="306"/>
        <v/>
      </c>
      <c r="AG75" s="23" t="str">
        <f t="shared" ca="1" si="307"/>
        <v/>
      </c>
      <c r="AH75" s="23" t="str">
        <f t="shared" ca="1" si="308"/>
        <v/>
      </c>
      <c r="AI75" s="23" t="str">
        <f t="shared" ca="1" si="309"/>
        <v/>
      </c>
      <c r="AJ75" s="23" t="str">
        <f t="shared" ca="1" si="310"/>
        <v/>
      </c>
      <c r="AK75" s="23" t="str">
        <f t="shared" ca="1" si="311"/>
        <v/>
      </c>
      <c r="AL75" s="23" t="str">
        <f t="shared" ca="1" si="312"/>
        <v/>
      </c>
      <c r="AM75" s="23" t="str">
        <f t="shared" ca="1" si="313"/>
        <v/>
      </c>
      <c r="AN75" s="23" t="str">
        <f t="shared" ca="1" si="314"/>
        <v/>
      </c>
      <c r="AO75" s="23" t="str">
        <f t="shared" ca="1" si="315"/>
        <v/>
      </c>
      <c r="AP75" s="23" t="str">
        <f t="shared" ca="1" si="316"/>
        <v/>
      </c>
      <c r="AQ75" s="23" t="str">
        <f t="shared" ca="1" si="317"/>
        <v/>
      </c>
      <c r="AR75" s="23" t="str">
        <f t="shared" ca="1" si="318"/>
        <v/>
      </c>
      <c r="AS75" s="23" t="str">
        <f t="shared" ca="1" si="319"/>
        <v/>
      </c>
      <c r="AT75" s="23" t="str">
        <f t="shared" ca="1" si="320"/>
        <v/>
      </c>
      <c r="AU75" s="23" t="str">
        <f t="shared" ca="1" si="321"/>
        <v/>
      </c>
      <c r="AV75" s="23" t="str">
        <f t="shared" ca="1" si="322"/>
        <v/>
      </c>
      <c r="AW75" s="23" t="str">
        <f t="shared" ca="1" si="323"/>
        <v/>
      </c>
      <c r="AX75" s="23" t="str">
        <f t="shared" ca="1" si="324"/>
        <v/>
      </c>
      <c r="AY75" s="23" t="str">
        <f t="shared" ca="1" si="325"/>
        <v/>
      </c>
      <c r="AZ75" s="23" t="str">
        <f t="shared" ca="1" si="326"/>
        <v/>
      </c>
      <c r="BA75" s="23" t="str">
        <f t="shared" ca="1" si="327"/>
        <v/>
      </c>
      <c r="BB75" s="23" t="str">
        <f t="shared" ca="1" si="328"/>
        <v/>
      </c>
      <c r="BC75" s="23" t="str">
        <f t="shared" ca="1" si="329"/>
        <v/>
      </c>
      <c r="BD75" s="23" t="str">
        <f t="shared" ca="1" si="330"/>
        <v/>
      </c>
      <c r="BE75" s="23" t="str">
        <f t="shared" ca="1" si="331"/>
        <v/>
      </c>
      <c r="BF75" s="23" t="str">
        <f t="shared" ca="1" si="332"/>
        <v/>
      </c>
      <c r="BG75" s="23" t="str">
        <f t="shared" ca="1" si="333"/>
        <v/>
      </c>
      <c r="BH75" s="23" t="str">
        <f t="shared" ca="1" si="334"/>
        <v/>
      </c>
      <c r="BI75" s="23" t="str">
        <f t="shared" ca="1" si="335"/>
        <v/>
      </c>
      <c r="BJ75" s="23" t="str">
        <f t="shared" ca="1" si="336"/>
        <v/>
      </c>
      <c r="BK75" s="23" t="str">
        <f t="shared" ca="1" si="337"/>
        <v/>
      </c>
      <c r="BL75" s="23" t="str">
        <f t="shared" ca="1" si="338"/>
        <v/>
      </c>
      <c r="BM75" s="23" t="str">
        <f t="shared" ca="1" si="339"/>
        <v/>
      </c>
      <c r="BN75" s="23" t="str">
        <f t="shared" ca="1" si="340"/>
        <v/>
      </c>
      <c r="BO75" s="23" t="str">
        <f t="shared" ca="1" si="341"/>
        <v/>
      </c>
      <c r="BP75" s="23" t="str">
        <f t="shared" ca="1" si="342"/>
        <v/>
      </c>
      <c r="BQ75" s="23" t="str">
        <f t="shared" ca="1" si="343"/>
        <v/>
      </c>
      <c r="BR75" s="23" t="str">
        <f t="shared" ca="1" si="344"/>
        <v/>
      </c>
      <c r="BS75" s="23" t="str">
        <f t="shared" ca="1" si="345"/>
        <v/>
      </c>
      <c r="BT75" s="23" t="str">
        <f t="shared" ca="1" si="346"/>
        <v/>
      </c>
      <c r="BU75" s="23" t="str">
        <f t="shared" ca="1" si="347"/>
        <v/>
      </c>
      <c r="BV75" s="23" t="str">
        <f t="shared" ca="1" si="348"/>
        <v/>
      </c>
      <c r="BW75" s="23" t="str">
        <f t="shared" ca="1" si="349"/>
        <v/>
      </c>
      <c r="BX75" s="23" t="str">
        <f t="shared" ca="1" si="350"/>
        <v/>
      </c>
      <c r="BY75" s="23" t="str">
        <f t="shared" ca="1" si="351"/>
        <v/>
      </c>
      <c r="BZ75" s="23" t="str">
        <f t="shared" ca="1" si="352"/>
        <v/>
      </c>
      <c r="CA75" s="23" t="str">
        <f t="shared" ca="1" si="353"/>
        <v/>
      </c>
      <c r="CB75" s="23" t="str">
        <f t="shared" ca="1" si="354"/>
        <v/>
      </c>
      <c r="CC75" s="23" t="str">
        <f t="shared" ca="1" si="355"/>
        <v/>
      </c>
      <c r="CD75" s="23" t="str">
        <f t="shared" ca="1" si="356"/>
        <v/>
      </c>
      <c r="CE75" s="23" t="str">
        <f t="shared" ca="1" si="357"/>
        <v/>
      </c>
      <c r="CF75" s="23" t="str">
        <f t="shared" ca="1" si="358"/>
        <v/>
      </c>
      <c r="CG75" s="23" t="str">
        <f t="shared" ca="1" si="359"/>
        <v/>
      </c>
      <c r="CH75" s="23" t="str">
        <f t="shared" ca="1" si="360"/>
        <v/>
      </c>
      <c r="CI75" s="23" t="str">
        <f t="shared" ca="1" si="361"/>
        <v/>
      </c>
      <c r="CJ75" s="23" t="str">
        <f t="shared" ca="1" si="362"/>
        <v/>
      </c>
      <c r="CK75" s="23" t="str">
        <f t="shared" ca="1" si="363"/>
        <v/>
      </c>
      <c r="CL75" s="23" t="str">
        <f t="shared" ca="1" si="364"/>
        <v/>
      </c>
      <c r="CM75" s="23" t="str">
        <f t="shared" ca="1" si="365"/>
        <v/>
      </c>
      <c r="CN75" s="23" t="str">
        <f t="shared" ca="1" si="366"/>
        <v/>
      </c>
      <c r="CO75" s="23" t="str">
        <f t="shared" ca="1" si="367"/>
        <v/>
      </c>
      <c r="CP75" s="23" t="str">
        <f t="shared" ca="1" si="368"/>
        <v/>
      </c>
      <c r="CQ75" s="23" t="str">
        <f t="shared" ca="1" si="369"/>
        <v/>
      </c>
      <c r="CR75" s="23" t="str">
        <f t="shared" ca="1" si="370"/>
        <v/>
      </c>
      <c r="CS75" s="23" t="str">
        <f t="shared" ca="1" si="371"/>
        <v/>
      </c>
      <c r="CT75" s="23" t="str">
        <f t="shared" ca="1" si="372"/>
        <v/>
      </c>
      <c r="CU75" s="23" t="str">
        <f t="shared" ca="1" si="373"/>
        <v/>
      </c>
      <c r="CV75" s="23" t="str">
        <f t="shared" ca="1" si="374"/>
        <v/>
      </c>
      <c r="CW75" s="23" t="str">
        <f t="shared" ca="1" si="375"/>
        <v/>
      </c>
      <c r="CX75" s="23" t="str">
        <f ca="1">IF(CX$11="","",IF(CX$13=$M$5,CHOOSE($Q$6+1,$M$1,CY75+CZ75-#REF!),IF(CX$13=$M$6,CHOOSE($Q$6+1,$M$1,OFFSET($A75,,$P$7-1)),IF(CX$13=$M$7,CHOOSE($Q$6+1,$M$1,SUM(OFFSET($A$11,$B75-$O$5,$O$6,1,-$P$6))),IF(CX$13=$M$8,CHOOSE($Q$6+1,$M$1,SUM(OFFSET($A$11,$B75-$O$5,$O$7,1,-$P$6))),IF(CX$11&lt;$D$7,OFFSET(INDIRECT($D$3),$A75-1,$Q$3+CX$11),OFFSET(INDIRECT($D$4),$A75-1,$Q$4+CX$11)))))))</f>
        <v/>
      </c>
      <c r="CY75" s="23" t="str">
        <f ca="1">IF(CY$11="","",IF(CY$13=$M$5,CHOOSE($Q$6+1,$M$1,CZ75+#REF!-#REF!),IF(CY$13=$M$6,CHOOSE($Q$6+1,$M$1,OFFSET($A75,,$P$7-1)),IF(CY$13=$M$7,CHOOSE($Q$6+1,$M$1,SUM(OFFSET($A$11,$B75-$O$5,$O$6,1,-$P$6))),IF(CY$13=$M$8,CHOOSE($Q$6+1,$M$1,SUM(OFFSET($A$11,$B75-$O$5,$O$7,1,-$P$6))),IF(CY$11&lt;$D$7,OFFSET(INDIRECT($D$3),$A75-1,$Q$3+CY$11),OFFSET(INDIRECT($D$4),$A75-1,$Q$4+CY$11)))))))</f>
        <v/>
      </c>
      <c r="CZ75" s="23" t="str">
        <f ca="1">IF(CZ$11="","",IF(CZ$13=$M$5,CHOOSE($Q$6+1,$M$1,#REF!+#REF!-#REF!),IF(CZ$13=$M$6,CHOOSE($Q$6+1,$M$1,OFFSET($A75,,$P$7-1)),IF(CZ$13=$M$7,CHOOSE($Q$6+1,$M$1,SUM(OFFSET($A$11,$B75-$O$5,$O$6,1,-$P$6))),IF(CZ$13=$M$8,CHOOSE($Q$6+1,$M$1,SUM(OFFSET($A$11,$B75-$O$5,$O$7,1,-$P$6))),IF(CZ$11&lt;$D$7,OFFSET(INDIRECT($D$3),$A75-1,$Q$3+CZ$11),OFFSET(INDIRECT($D$4),$A75-1,$Q$4+CZ$11)))))))</f>
        <v/>
      </c>
    </row>
    <row r="76" spans="1:104" ht="13.5" customHeight="1">
      <c r="A76" s="27">
        <v>65</v>
      </c>
      <c r="B76" s="33">
        <f t="shared" si="14"/>
        <v>76</v>
      </c>
      <c r="C76" s="9" t="s">
        <v>346</v>
      </c>
      <c r="D76" s="23">
        <f t="shared" ca="1" si="278"/>
        <v>28.05</v>
      </c>
      <c r="E76" s="23">
        <f t="shared" ca="1" si="279"/>
        <v>44.64</v>
      </c>
      <c r="F76" s="23">
        <f t="shared" ca="1" si="280"/>
        <v>6.49</v>
      </c>
      <c r="G76" s="23">
        <f t="shared" ca="1" si="281"/>
        <v>7.89</v>
      </c>
      <c r="H76" s="23">
        <f t="shared" ca="1" si="282"/>
        <v>7.14</v>
      </c>
      <c r="I76" s="23">
        <f t="shared" ca="1" si="283"/>
        <v>14.03</v>
      </c>
      <c r="J76" s="23">
        <f t="shared" ca="1" si="284"/>
        <v>12.45</v>
      </c>
      <c r="K76" s="23">
        <f t="shared" ca="1" si="285"/>
        <v>9.42</v>
      </c>
      <c r="L76" s="23">
        <f t="shared" ca="1" si="286"/>
        <v>8.75</v>
      </c>
      <c r="M76" s="23">
        <f t="shared" ca="1" si="287"/>
        <v>13.93</v>
      </c>
      <c r="N76" s="23">
        <f t="shared" ca="1" si="288"/>
        <v>44.54</v>
      </c>
      <c r="O76" s="23">
        <f t="shared" ca="1" si="289"/>
        <v>44.64</v>
      </c>
      <c r="P76" s="23">
        <f t="shared" ca="1" si="290"/>
        <v>13.93</v>
      </c>
      <c r="Q76" s="23">
        <f t="shared" ca="1" si="291"/>
        <v>14.03</v>
      </c>
      <c r="R76" s="23" t="str">
        <f t="shared" ca="1" si="292"/>
        <v/>
      </c>
      <c r="S76" s="23" t="str">
        <f t="shared" ca="1" si="293"/>
        <v/>
      </c>
      <c r="T76" s="23" t="str">
        <f t="shared" ca="1" si="294"/>
        <v/>
      </c>
      <c r="U76" s="23" t="str">
        <f t="shared" ca="1" si="295"/>
        <v/>
      </c>
      <c r="V76" s="23" t="str">
        <f t="shared" ca="1" si="296"/>
        <v/>
      </c>
      <c r="W76" s="23" t="str">
        <f t="shared" ca="1" si="297"/>
        <v/>
      </c>
      <c r="X76" s="23" t="str">
        <f t="shared" ca="1" si="298"/>
        <v/>
      </c>
      <c r="Y76" s="23" t="str">
        <f t="shared" ca="1" si="299"/>
        <v/>
      </c>
      <c r="Z76" s="23" t="str">
        <f t="shared" ca="1" si="300"/>
        <v/>
      </c>
      <c r="AA76" s="23" t="str">
        <f t="shared" ca="1" si="301"/>
        <v/>
      </c>
      <c r="AB76" s="23" t="str">
        <f t="shared" ca="1" si="302"/>
        <v/>
      </c>
      <c r="AC76" s="23" t="str">
        <f t="shared" ca="1" si="303"/>
        <v/>
      </c>
      <c r="AD76" s="23" t="str">
        <f t="shared" ca="1" si="304"/>
        <v/>
      </c>
      <c r="AE76" s="23" t="str">
        <f t="shared" ca="1" si="305"/>
        <v/>
      </c>
      <c r="AF76" s="23" t="str">
        <f t="shared" ca="1" si="306"/>
        <v/>
      </c>
      <c r="AG76" s="23" t="str">
        <f t="shared" ca="1" si="307"/>
        <v/>
      </c>
      <c r="AH76" s="23" t="str">
        <f t="shared" ca="1" si="308"/>
        <v/>
      </c>
      <c r="AI76" s="23" t="str">
        <f t="shared" ca="1" si="309"/>
        <v/>
      </c>
      <c r="AJ76" s="23" t="str">
        <f t="shared" ca="1" si="310"/>
        <v/>
      </c>
      <c r="AK76" s="23" t="str">
        <f t="shared" ca="1" si="311"/>
        <v/>
      </c>
      <c r="AL76" s="23" t="str">
        <f t="shared" ca="1" si="312"/>
        <v/>
      </c>
      <c r="AM76" s="23" t="str">
        <f t="shared" ca="1" si="313"/>
        <v/>
      </c>
      <c r="AN76" s="23" t="str">
        <f t="shared" ca="1" si="314"/>
        <v/>
      </c>
      <c r="AO76" s="23" t="str">
        <f t="shared" ca="1" si="315"/>
        <v/>
      </c>
      <c r="AP76" s="23" t="str">
        <f t="shared" ca="1" si="316"/>
        <v/>
      </c>
      <c r="AQ76" s="23" t="str">
        <f t="shared" ca="1" si="317"/>
        <v/>
      </c>
      <c r="AR76" s="23" t="str">
        <f t="shared" ca="1" si="318"/>
        <v/>
      </c>
      <c r="AS76" s="23" t="str">
        <f t="shared" ca="1" si="319"/>
        <v/>
      </c>
      <c r="AT76" s="23" t="str">
        <f t="shared" ca="1" si="320"/>
        <v/>
      </c>
      <c r="AU76" s="23" t="str">
        <f t="shared" ca="1" si="321"/>
        <v/>
      </c>
      <c r="AV76" s="23" t="str">
        <f t="shared" ca="1" si="322"/>
        <v/>
      </c>
      <c r="AW76" s="23" t="str">
        <f t="shared" ca="1" si="323"/>
        <v/>
      </c>
      <c r="AX76" s="23" t="str">
        <f t="shared" ca="1" si="324"/>
        <v/>
      </c>
      <c r="AY76" s="23" t="str">
        <f t="shared" ca="1" si="325"/>
        <v/>
      </c>
      <c r="AZ76" s="23" t="str">
        <f t="shared" ca="1" si="326"/>
        <v/>
      </c>
      <c r="BA76" s="23" t="str">
        <f t="shared" ca="1" si="327"/>
        <v/>
      </c>
      <c r="BB76" s="23" t="str">
        <f t="shared" ca="1" si="328"/>
        <v/>
      </c>
      <c r="BC76" s="23" t="str">
        <f t="shared" ca="1" si="329"/>
        <v/>
      </c>
      <c r="BD76" s="23" t="str">
        <f t="shared" ca="1" si="330"/>
        <v/>
      </c>
      <c r="BE76" s="23" t="str">
        <f t="shared" ca="1" si="331"/>
        <v/>
      </c>
      <c r="BF76" s="23" t="str">
        <f t="shared" ca="1" si="332"/>
        <v/>
      </c>
      <c r="BG76" s="23" t="str">
        <f t="shared" ca="1" si="333"/>
        <v/>
      </c>
      <c r="BH76" s="23" t="str">
        <f t="shared" ca="1" si="334"/>
        <v/>
      </c>
      <c r="BI76" s="23" t="str">
        <f t="shared" ca="1" si="335"/>
        <v/>
      </c>
      <c r="BJ76" s="23" t="str">
        <f t="shared" ca="1" si="336"/>
        <v/>
      </c>
      <c r="BK76" s="23" t="str">
        <f t="shared" ca="1" si="337"/>
        <v/>
      </c>
      <c r="BL76" s="23" t="str">
        <f t="shared" ca="1" si="338"/>
        <v/>
      </c>
      <c r="BM76" s="23" t="str">
        <f t="shared" ca="1" si="339"/>
        <v/>
      </c>
      <c r="BN76" s="23" t="str">
        <f t="shared" ca="1" si="340"/>
        <v/>
      </c>
      <c r="BO76" s="23" t="str">
        <f t="shared" ca="1" si="341"/>
        <v/>
      </c>
      <c r="BP76" s="23" t="str">
        <f t="shared" ca="1" si="342"/>
        <v/>
      </c>
      <c r="BQ76" s="23" t="str">
        <f t="shared" ca="1" si="343"/>
        <v/>
      </c>
      <c r="BR76" s="23" t="str">
        <f t="shared" ca="1" si="344"/>
        <v/>
      </c>
      <c r="BS76" s="23" t="str">
        <f t="shared" ca="1" si="345"/>
        <v/>
      </c>
      <c r="BT76" s="23" t="str">
        <f t="shared" ca="1" si="346"/>
        <v/>
      </c>
      <c r="BU76" s="23" t="str">
        <f t="shared" ca="1" si="347"/>
        <v/>
      </c>
      <c r="BV76" s="23" t="str">
        <f t="shared" ca="1" si="348"/>
        <v/>
      </c>
      <c r="BW76" s="23" t="str">
        <f t="shared" ca="1" si="349"/>
        <v/>
      </c>
      <c r="BX76" s="23" t="str">
        <f t="shared" ca="1" si="350"/>
        <v/>
      </c>
      <c r="BY76" s="23" t="str">
        <f t="shared" ca="1" si="351"/>
        <v/>
      </c>
      <c r="BZ76" s="23" t="str">
        <f t="shared" ca="1" si="352"/>
        <v/>
      </c>
      <c r="CA76" s="23" t="str">
        <f t="shared" ca="1" si="353"/>
        <v/>
      </c>
      <c r="CB76" s="23" t="str">
        <f t="shared" ca="1" si="354"/>
        <v/>
      </c>
      <c r="CC76" s="23" t="str">
        <f t="shared" ca="1" si="355"/>
        <v/>
      </c>
      <c r="CD76" s="23" t="str">
        <f t="shared" ca="1" si="356"/>
        <v/>
      </c>
      <c r="CE76" s="23" t="str">
        <f t="shared" ca="1" si="357"/>
        <v/>
      </c>
      <c r="CF76" s="23" t="str">
        <f t="shared" ca="1" si="358"/>
        <v/>
      </c>
      <c r="CG76" s="23" t="str">
        <f t="shared" ca="1" si="359"/>
        <v/>
      </c>
      <c r="CH76" s="23" t="str">
        <f t="shared" ca="1" si="360"/>
        <v/>
      </c>
      <c r="CI76" s="23" t="str">
        <f t="shared" ca="1" si="361"/>
        <v/>
      </c>
      <c r="CJ76" s="23" t="str">
        <f t="shared" ca="1" si="362"/>
        <v/>
      </c>
      <c r="CK76" s="23" t="str">
        <f t="shared" ca="1" si="363"/>
        <v/>
      </c>
      <c r="CL76" s="23" t="str">
        <f t="shared" ca="1" si="364"/>
        <v/>
      </c>
      <c r="CM76" s="23" t="str">
        <f t="shared" ca="1" si="365"/>
        <v/>
      </c>
      <c r="CN76" s="23" t="str">
        <f t="shared" ca="1" si="366"/>
        <v/>
      </c>
      <c r="CO76" s="23" t="str">
        <f t="shared" ca="1" si="367"/>
        <v/>
      </c>
      <c r="CP76" s="23" t="str">
        <f t="shared" ca="1" si="368"/>
        <v/>
      </c>
      <c r="CQ76" s="23" t="str">
        <f t="shared" ca="1" si="369"/>
        <v/>
      </c>
      <c r="CR76" s="23" t="str">
        <f t="shared" ca="1" si="370"/>
        <v/>
      </c>
      <c r="CS76" s="23" t="str">
        <f t="shared" ca="1" si="371"/>
        <v/>
      </c>
      <c r="CT76" s="23" t="str">
        <f t="shared" ca="1" si="372"/>
        <v/>
      </c>
      <c r="CU76" s="23" t="str">
        <f t="shared" ca="1" si="373"/>
        <v/>
      </c>
      <c r="CV76" s="23" t="str">
        <f t="shared" ca="1" si="374"/>
        <v/>
      </c>
      <c r="CW76" s="23" t="str">
        <f t="shared" ca="1" si="375"/>
        <v/>
      </c>
      <c r="CX76" s="23" t="str">
        <f ca="1">IF(CX$11="","",IF(CX$13=$M$5,CHOOSE($Q$6+1,$M$1,CY76+CZ76-#REF!),IF(CX$13=$M$6,CHOOSE($Q$6+1,$M$1,OFFSET($A76,,$P$7-1)),IF(CX$13=$M$7,CHOOSE($Q$6+1,$M$1,SUM(OFFSET($A$11,$B76-$O$5,$O$6,1,-$P$6))),IF(CX$13=$M$8,CHOOSE($Q$6+1,$M$1,SUM(OFFSET($A$11,$B76-$O$5,$O$7,1,-$P$6))),IF(CX$11&lt;$D$7,OFFSET(INDIRECT($D$3),$A76-1,$Q$3+CX$11),OFFSET(INDIRECT($D$4),$A76-1,$Q$4+CX$11)))))))</f>
        <v/>
      </c>
      <c r="CY76" s="23" t="str">
        <f ca="1">IF(CY$11="","",IF(CY$13=$M$5,CHOOSE($Q$6+1,$M$1,CZ76+#REF!-#REF!),IF(CY$13=$M$6,CHOOSE($Q$6+1,$M$1,OFFSET($A76,,$P$7-1)),IF(CY$13=$M$7,CHOOSE($Q$6+1,$M$1,SUM(OFFSET($A$11,$B76-$O$5,$O$6,1,-$P$6))),IF(CY$13=$M$8,CHOOSE($Q$6+1,$M$1,SUM(OFFSET($A$11,$B76-$O$5,$O$7,1,-$P$6))),IF(CY$11&lt;$D$7,OFFSET(INDIRECT($D$3),$A76-1,$Q$3+CY$11),OFFSET(INDIRECT($D$4),$A76-1,$Q$4+CY$11)))))))</f>
        <v/>
      </c>
      <c r="CZ76" s="23" t="str">
        <f ca="1">IF(CZ$11="","",IF(CZ$13=$M$5,CHOOSE($Q$6+1,$M$1,#REF!+#REF!-#REF!),IF(CZ$13=$M$6,CHOOSE($Q$6+1,$M$1,OFFSET($A76,,$P$7-1)),IF(CZ$13=$M$7,CHOOSE($Q$6+1,$M$1,SUM(OFFSET($A$11,$B76-$O$5,$O$6,1,-$P$6))),IF(CZ$13=$M$8,CHOOSE($Q$6+1,$M$1,SUM(OFFSET($A$11,$B76-$O$5,$O$7,1,-$P$6))),IF(CZ$11&lt;$D$7,OFFSET(INDIRECT($D$3),$A76-1,$Q$3+CZ$11),OFFSET(INDIRECT($D$4),$A76-1,$Q$4+CZ$11)))))))</f>
        <v/>
      </c>
    </row>
    <row r="77" spans="1:104" ht="13.5" customHeight="1">
      <c r="A77" s="27"/>
      <c r="B77" s="33">
        <f t="shared" si="14"/>
        <v>77</v>
      </c>
      <c r="C77" s="11"/>
      <c r="D77" s="34"/>
      <c r="E77" s="34"/>
      <c r="F77" s="34"/>
      <c r="G77" s="34"/>
      <c r="H77" s="34"/>
      <c r="I77" s="34"/>
      <c r="J77" s="34"/>
      <c r="K77" s="34"/>
      <c r="L77" s="34"/>
      <c r="M77" s="34"/>
      <c r="N77" s="34"/>
      <c r="O77" s="34"/>
      <c r="P77" s="34"/>
      <c r="Q77" s="34"/>
      <c r="R77" s="34"/>
      <c r="S77" s="34"/>
      <c r="T77" s="34"/>
      <c r="U77" s="34"/>
      <c r="V77" s="34"/>
      <c r="W77" s="34"/>
      <c r="X77" s="34"/>
      <c r="Y77" s="34"/>
      <c r="Z77" s="34"/>
      <c r="AA77" s="34"/>
      <c r="AB77" s="34"/>
      <c r="AC77" s="34"/>
      <c r="AD77" s="34"/>
      <c r="AE77" s="34"/>
      <c r="AF77" s="34"/>
      <c r="AG77" s="34"/>
      <c r="AH77" s="34"/>
      <c r="AI77" s="34"/>
      <c r="AJ77" s="34"/>
      <c r="AK77" s="34"/>
      <c r="AL77" s="34"/>
      <c r="AM77" s="34"/>
      <c r="AN77" s="34"/>
      <c r="AO77" s="34"/>
      <c r="AP77" s="34"/>
      <c r="AQ77" s="34"/>
      <c r="AR77" s="34"/>
      <c r="AS77" s="34"/>
      <c r="AT77" s="34"/>
      <c r="AU77" s="34"/>
      <c r="AV77" s="34"/>
      <c r="AW77" s="34"/>
      <c r="AX77" s="34"/>
      <c r="AY77" s="34"/>
      <c r="AZ77" s="34"/>
      <c r="BA77" s="34"/>
      <c r="BB77" s="34"/>
      <c r="BC77" s="34"/>
      <c r="BD77" s="34"/>
      <c r="BE77" s="34"/>
      <c r="BF77" s="34"/>
      <c r="BG77" s="34"/>
      <c r="BH77" s="34"/>
      <c r="BI77" s="34"/>
      <c r="BJ77" s="34"/>
      <c r="BK77" s="34"/>
      <c r="BL77" s="34"/>
      <c r="BM77" s="34"/>
      <c r="BN77" s="34"/>
      <c r="BO77" s="34"/>
      <c r="BP77" s="34"/>
      <c r="BQ77" s="34"/>
      <c r="BR77" s="34"/>
      <c r="BS77" s="34"/>
      <c r="BT77" s="34"/>
      <c r="BU77" s="34"/>
      <c r="BV77" s="34"/>
      <c r="BW77" s="34"/>
      <c r="BX77" s="34"/>
      <c r="BY77" s="34"/>
      <c r="BZ77" s="34"/>
      <c r="CA77" s="34"/>
      <c r="CB77" s="34"/>
      <c r="CC77" s="34"/>
      <c r="CD77" s="34"/>
      <c r="CE77" s="34"/>
      <c r="CF77" s="34"/>
      <c r="CG77" s="34"/>
      <c r="CH77" s="34"/>
      <c r="CI77" s="34"/>
      <c r="CJ77" s="34"/>
      <c r="CK77" s="34"/>
      <c r="CL77" s="34"/>
      <c r="CM77" s="34"/>
      <c r="CN77" s="34"/>
      <c r="CO77" s="34"/>
      <c r="CP77" s="34"/>
      <c r="CQ77" s="34"/>
      <c r="CR77" s="34"/>
      <c r="CS77" s="34"/>
      <c r="CT77" s="34"/>
      <c r="CU77" s="34"/>
      <c r="CV77" s="34"/>
      <c r="CW77" s="34"/>
      <c r="CX77" s="34"/>
      <c r="CY77" s="34"/>
      <c r="CZ77" s="34"/>
    </row>
    <row r="78" spans="1:104" ht="13.5" customHeight="1">
      <c r="A78" s="27">
        <v>66</v>
      </c>
      <c r="B78" s="33">
        <f t="shared" si="14"/>
        <v>78</v>
      </c>
      <c r="C78" s="9" t="s">
        <v>347</v>
      </c>
      <c r="D78" s="23">
        <f t="shared" ref="D78:D86" ca="1" si="376">IF(D$11="","",IF(D$13=$M$5,CHOOSE($Q$6+1,$M$1,E78+F78-G78),IF(D$13=$M$6,CHOOSE($Q$6+1,$M$1,OFFSET($A78,,$P$7-1)),IF(D$13=$M$7,CHOOSE($Q$6+1,$M$1,SUM(OFFSET($A$11,$B78-$O$5,$O$6,1,-$P$6))),IF(D$13=$M$8,CHOOSE($Q$6+1,$M$1,SUM(OFFSET($A$11,$B78-$O$5,$O$7,1,-$P$6))),IF(D$11&lt;$D$7,OFFSET(INDIRECT($D$3),$A78-1,$Q$3+D$11),OFFSET(INDIRECT($D$4),$A78-1,$Q$4+D$11)))))))</f>
        <v>27.68</v>
      </c>
      <c r="E78" s="23">
        <f t="shared" ref="E78:E86" ca="1" si="377">IF(E$11="","",IF(E$13=$M$5,CHOOSE($Q$6+1,$M$1,F78+G78-H78),IF(E$13=$M$6,CHOOSE($Q$6+1,$M$1,OFFSET($A78,,$P$7-1)),IF(E$13=$M$7,CHOOSE($Q$6+1,$M$1,SUM(OFFSET($A$11,$B78-$O$5,$O$6,1,-$P$6))),IF(E$13=$M$8,CHOOSE($Q$6+1,$M$1,SUM(OFFSET($A$11,$B78-$O$5,$O$7,1,-$P$6))),IF(E$11&lt;$D$7,OFFSET(INDIRECT($D$3),$A78-1,$Q$3+E$11),OFFSET(INDIRECT($D$4),$A78-1,$Q$4+E$11)))))))</f>
        <v>44.15</v>
      </c>
      <c r="F78" s="23">
        <f t="shared" ref="F78:F86" ca="1" si="378">IF(F$11="","",IF(F$13=$M$5,CHOOSE($Q$6+1,$M$1,G78+H78-I78),IF(F$13=$M$6,CHOOSE($Q$6+1,$M$1,OFFSET($A78,,$P$7-1)),IF(F$13=$M$7,CHOOSE($Q$6+1,$M$1,SUM(OFFSET($A$11,$B78-$O$5,$O$6,1,-$P$6))),IF(F$13=$M$8,CHOOSE($Q$6+1,$M$1,SUM(OFFSET($A$11,$B78-$O$5,$O$7,1,-$P$6))),IF(F$11&lt;$D$7,OFFSET(INDIRECT($D$3),$A78-1,$Q$3+F$11),OFFSET(INDIRECT($D$4),$A78-1,$Q$4+F$11)))))))</f>
        <v>6.4</v>
      </c>
      <c r="G78" s="23">
        <f t="shared" ref="G78:G86" ca="1" si="379">IF(G$11="","",IF(G$13=$M$5,CHOOSE($Q$6+1,$M$1,H78+I78-J78),IF(G$13=$M$6,CHOOSE($Q$6+1,$M$1,OFFSET($A78,,$P$7-1)),IF(G$13=$M$7,CHOOSE($Q$6+1,$M$1,SUM(OFFSET($A$11,$B78-$O$5,$O$6,1,-$P$6))),IF(G$13=$M$8,CHOOSE($Q$6+1,$M$1,SUM(OFFSET($A$11,$B78-$O$5,$O$7,1,-$P$6))),IF(G$11&lt;$D$7,OFFSET(INDIRECT($D$3),$A78-1,$Q$3+G$11),OFFSET(INDIRECT($D$4),$A78-1,$Q$4+G$11)))))))</f>
        <v>7.79</v>
      </c>
      <c r="H78" s="23">
        <f t="shared" ref="H78:H86" ca="1" si="380">IF(H$11="","",IF(H$13=$M$5,CHOOSE($Q$6+1,$M$1,I78+J78-K78),IF(H$13=$M$6,CHOOSE($Q$6+1,$M$1,OFFSET($A78,,$P$7-1)),IF(H$13=$M$7,CHOOSE($Q$6+1,$M$1,SUM(OFFSET($A$11,$B78-$O$5,$O$6,1,-$P$6))),IF(H$13=$M$8,CHOOSE($Q$6+1,$M$1,SUM(OFFSET($A$11,$B78-$O$5,$O$7,1,-$P$6))),IF(H$11&lt;$D$7,OFFSET(INDIRECT($D$3),$A78-1,$Q$3+H$11),OFFSET(INDIRECT($D$4),$A78-1,$Q$4+H$11)))))))</f>
        <v>7.05</v>
      </c>
      <c r="I78" s="23">
        <f t="shared" ref="I78:I86" ca="1" si="381">IF(I$11="","",IF(I$13=$M$5,CHOOSE($Q$6+1,$M$1,J78+K78-L78),IF(I$13=$M$6,CHOOSE($Q$6+1,$M$1,OFFSET($A78,,$P$7-1)),IF(I$13=$M$7,CHOOSE($Q$6+1,$M$1,SUM(OFFSET($A$11,$B78-$O$5,$O$6,1,-$P$6))),IF(I$13=$M$8,CHOOSE($Q$6+1,$M$1,SUM(OFFSET($A$11,$B78-$O$5,$O$7,1,-$P$6))),IF(I$11&lt;$D$7,OFFSET(INDIRECT($D$3),$A78-1,$Q$3+I$11),OFFSET(INDIRECT($D$4),$A78-1,$Q$4+I$11)))))))</f>
        <v>13.87</v>
      </c>
      <c r="J78" s="23">
        <f t="shared" ref="J78:J86" ca="1" si="382">IF(J$11="","",IF(J$13=$M$5,CHOOSE($Q$6+1,$M$1,K78+L78-M78),IF(J$13=$M$6,CHOOSE($Q$6+1,$M$1,OFFSET($A78,,$P$7-1)),IF(J$13=$M$7,CHOOSE($Q$6+1,$M$1,SUM(OFFSET($A$11,$B78-$O$5,$O$6,1,-$P$6))),IF(J$13=$M$8,CHOOSE($Q$6+1,$M$1,SUM(OFFSET($A$11,$B78-$O$5,$O$7,1,-$P$6))),IF(J$11&lt;$D$7,OFFSET(INDIRECT($D$3),$A78-1,$Q$3+J$11),OFFSET(INDIRECT($D$4),$A78-1,$Q$4+J$11)))))))</f>
        <v>12.3</v>
      </c>
      <c r="K78" s="23">
        <f t="shared" ref="K78:K86" ca="1" si="383">IF(K$11="","",IF(K$13=$M$5,CHOOSE($Q$6+1,$M$1,L78+M78-N78),IF(K$13=$M$6,CHOOSE($Q$6+1,$M$1,OFFSET($A78,,$P$7-1)),IF(K$13=$M$7,CHOOSE($Q$6+1,$M$1,SUM(OFFSET($A$11,$B78-$O$5,$O$6,1,-$P$6))),IF(K$13=$M$8,CHOOSE($Q$6+1,$M$1,SUM(OFFSET($A$11,$B78-$O$5,$O$7,1,-$P$6))),IF(K$11&lt;$D$7,OFFSET(INDIRECT($D$3),$A78-1,$Q$3+K$11),OFFSET(INDIRECT($D$4),$A78-1,$Q$4+K$11)))))))</f>
        <v>9.32</v>
      </c>
      <c r="L78" s="23">
        <f t="shared" ref="L78:L86" ca="1" si="384">IF(L$11="","",IF(L$13=$M$5,CHOOSE($Q$6+1,$M$1,M78+N78-O78),IF(L$13=$M$6,CHOOSE($Q$6+1,$M$1,OFFSET($A78,,$P$7-1)),IF(L$13=$M$7,CHOOSE($Q$6+1,$M$1,SUM(OFFSET($A$11,$B78-$O$5,$O$6,1,-$P$6))),IF(L$13=$M$8,CHOOSE($Q$6+1,$M$1,SUM(OFFSET($A$11,$B78-$O$5,$O$7,1,-$P$6))),IF(L$11&lt;$D$7,OFFSET(INDIRECT($D$3),$A78-1,$Q$3+L$11),OFFSET(INDIRECT($D$4),$A78-1,$Q$4+L$11)))))))</f>
        <v>8.67</v>
      </c>
      <c r="M78" s="23">
        <f t="shared" ref="M78:M86" ca="1" si="385">IF(M$11="","",IF(M$13=$M$5,CHOOSE($Q$6+1,$M$1,N78+O78-P78),IF(M$13=$M$6,CHOOSE($Q$6+1,$M$1,OFFSET($A78,,$P$7-1)),IF(M$13=$M$7,CHOOSE($Q$6+1,$M$1,SUM(OFFSET($A$11,$B78-$O$5,$O$6,1,-$P$6))),IF(M$13=$M$8,CHOOSE($Q$6+1,$M$1,SUM(OFFSET($A$11,$B78-$O$5,$O$7,1,-$P$6))),IF(M$11&lt;$D$7,OFFSET(INDIRECT($D$3),$A78-1,$Q$3+M$11),OFFSET(INDIRECT($D$4),$A78-1,$Q$4+M$11)))))))</f>
        <v>13.81</v>
      </c>
      <c r="N78" s="23">
        <f t="shared" ref="N78:N86" ca="1" si="386">IF(N$11="","",IF(N$13=$M$5,CHOOSE($Q$6+1,$M$1,O78+P78-Q78),IF(N$13=$M$6,CHOOSE($Q$6+1,$M$1,OFFSET($A78,,$P$7-1)),IF(N$13=$M$7,CHOOSE($Q$6+1,$M$1,SUM(OFFSET($A$11,$B78-$O$5,$O$6,1,-$P$6))),IF(N$13=$M$8,CHOOSE($Q$6+1,$M$1,SUM(OFFSET($A$11,$B78-$O$5,$O$7,1,-$P$6))),IF(N$11&lt;$D$7,OFFSET(INDIRECT($D$3),$A78-1,$Q$3+N$11),OFFSET(INDIRECT($D$4),$A78-1,$Q$4+N$11)))))))</f>
        <v>44.09</v>
      </c>
      <c r="O78" s="23">
        <f t="shared" ref="O78:O86" ca="1" si="387">IF(O$11="","",IF(O$13=$M$5,CHOOSE($Q$6+1,$M$1,P78+Q78-R78),IF(O$13=$M$6,CHOOSE($Q$6+1,$M$1,OFFSET($A78,,$P$7-1)),IF(O$13=$M$7,CHOOSE($Q$6+1,$M$1,SUM(OFFSET($A$11,$B78-$O$5,$O$6,1,-$P$6))),IF(O$13=$M$8,CHOOSE($Q$6+1,$M$1,SUM(OFFSET($A$11,$B78-$O$5,$O$7,1,-$P$6))),IF(O$11&lt;$D$7,OFFSET(INDIRECT($D$3),$A78-1,$Q$3+O$11),OFFSET(INDIRECT($D$4),$A78-1,$Q$4+O$11)))))))</f>
        <v>44.15</v>
      </c>
      <c r="P78" s="23">
        <f t="shared" ref="P78:P86" ca="1" si="388">IF(P$11="","",IF(P$13=$M$5,CHOOSE($Q$6+1,$M$1,Q78+R78-S78),IF(P$13=$M$6,CHOOSE($Q$6+1,$M$1,OFFSET($A78,,$P$7-1)),IF(P$13=$M$7,CHOOSE($Q$6+1,$M$1,SUM(OFFSET($A$11,$B78-$O$5,$O$6,1,-$P$6))),IF(P$13=$M$8,CHOOSE($Q$6+1,$M$1,SUM(OFFSET($A$11,$B78-$O$5,$O$7,1,-$P$6))),IF(P$11&lt;$D$7,OFFSET(INDIRECT($D$3),$A78-1,$Q$3+P$11),OFFSET(INDIRECT($D$4),$A78-1,$Q$4+P$11)))))))</f>
        <v>13.81</v>
      </c>
      <c r="Q78" s="23">
        <f t="shared" ref="Q78:Q86" ca="1" si="389">IF(Q$11="","",IF(Q$13=$M$5,CHOOSE($Q$6+1,$M$1,R78+S78-T78),IF(Q$13=$M$6,CHOOSE($Q$6+1,$M$1,OFFSET($A78,,$P$7-1)),IF(Q$13=$M$7,CHOOSE($Q$6+1,$M$1,SUM(OFFSET($A$11,$B78-$O$5,$O$6,1,-$P$6))),IF(Q$13=$M$8,CHOOSE($Q$6+1,$M$1,SUM(OFFSET($A$11,$B78-$O$5,$O$7,1,-$P$6))),IF(Q$11&lt;$D$7,OFFSET(INDIRECT($D$3),$A78-1,$Q$3+Q$11),OFFSET(INDIRECT($D$4),$A78-1,$Q$4+Q$11)))))))</f>
        <v>13.87</v>
      </c>
      <c r="R78" s="23" t="str">
        <f t="shared" ref="R78:R86" ca="1" si="390">IF(R$11="","",IF(R$13=$M$5,CHOOSE($Q$6+1,$M$1,S78+T78-U78),IF(R$13=$M$6,CHOOSE($Q$6+1,$M$1,OFFSET($A78,,$P$7-1)),IF(R$13=$M$7,CHOOSE($Q$6+1,$M$1,SUM(OFFSET($A$11,$B78-$O$5,$O$6,1,-$P$6))),IF(R$13=$M$8,CHOOSE($Q$6+1,$M$1,SUM(OFFSET($A$11,$B78-$O$5,$O$7,1,-$P$6))),IF(R$11&lt;$D$7,OFFSET(INDIRECT($D$3),$A78-1,$Q$3+R$11),OFFSET(INDIRECT($D$4),$A78-1,$Q$4+R$11)))))))</f>
        <v/>
      </c>
      <c r="S78" s="23" t="str">
        <f t="shared" ref="S78:S86" ca="1" si="391">IF(S$11="","",IF(S$13=$M$5,CHOOSE($Q$6+1,$M$1,T78+U78-V78),IF(S$13=$M$6,CHOOSE($Q$6+1,$M$1,OFFSET($A78,,$P$7-1)),IF(S$13=$M$7,CHOOSE($Q$6+1,$M$1,SUM(OFFSET($A$11,$B78-$O$5,$O$6,1,-$P$6))),IF(S$13=$M$8,CHOOSE($Q$6+1,$M$1,SUM(OFFSET($A$11,$B78-$O$5,$O$7,1,-$P$6))),IF(S$11&lt;$D$7,OFFSET(INDIRECT($D$3),$A78-1,$Q$3+S$11),OFFSET(INDIRECT($D$4),$A78-1,$Q$4+S$11)))))))</f>
        <v/>
      </c>
      <c r="T78" s="23" t="str">
        <f t="shared" ref="T78:T86" ca="1" si="392">IF(T$11="","",IF(T$13=$M$5,CHOOSE($Q$6+1,$M$1,U78+V78-W78),IF(T$13=$M$6,CHOOSE($Q$6+1,$M$1,OFFSET($A78,,$P$7-1)),IF(T$13=$M$7,CHOOSE($Q$6+1,$M$1,SUM(OFFSET($A$11,$B78-$O$5,$O$6,1,-$P$6))),IF(T$13=$M$8,CHOOSE($Q$6+1,$M$1,SUM(OFFSET($A$11,$B78-$O$5,$O$7,1,-$P$6))),IF(T$11&lt;$D$7,OFFSET(INDIRECT($D$3),$A78-1,$Q$3+T$11),OFFSET(INDIRECT($D$4),$A78-1,$Q$4+T$11)))))))</f>
        <v/>
      </c>
      <c r="U78" s="23" t="str">
        <f t="shared" ref="U78:U86" ca="1" si="393">IF(U$11="","",IF(U$13=$M$5,CHOOSE($Q$6+1,$M$1,V78+W78-X78),IF(U$13=$M$6,CHOOSE($Q$6+1,$M$1,OFFSET($A78,,$P$7-1)),IF(U$13=$M$7,CHOOSE($Q$6+1,$M$1,SUM(OFFSET($A$11,$B78-$O$5,$O$6,1,-$P$6))),IF(U$13=$M$8,CHOOSE($Q$6+1,$M$1,SUM(OFFSET($A$11,$B78-$O$5,$O$7,1,-$P$6))),IF(U$11&lt;$D$7,OFFSET(INDIRECT($D$3),$A78-1,$Q$3+U$11),OFFSET(INDIRECT($D$4),$A78-1,$Q$4+U$11)))))))</f>
        <v/>
      </c>
      <c r="V78" s="23" t="str">
        <f t="shared" ref="V78:V86" ca="1" si="394">IF(V$11="","",IF(V$13=$M$5,CHOOSE($Q$6+1,$M$1,W78+X78-Y78),IF(V$13=$M$6,CHOOSE($Q$6+1,$M$1,OFFSET($A78,,$P$7-1)),IF(V$13=$M$7,CHOOSE($Q$6+1,$M$1,SUM(OFFSET($A$11,$B78-$O$5,$O$6,1,-$P$6))),IF(V$13=$M$8,CHOOSE($Q$6+1,$M$1,SUM(OFFSET($A$11,$B78-$O$5,$O$7,1,-$P$6))),IF(V$11&lt;$D$7,OFFSET(INDIRECT($D$3),$A78-1,$Q$3+V$11),OFFSET(INDIRECT($D$4),$A78-1,$Q$4+V$11)))))))</f>
        <v/>
      </c>
      <c r="W78" s="23" t="str">
        <f t="shared" ref="W78:W86" ca="1" si="395">IF(W$11="","",IF(W$13=$M$5,CHOOSE($Q$6+1,$M$1,X78+Y78-Z78),IF(W$13=$M$6,CHOOSE($Q$6+1,$M$1,OFFSET($A78,,$P$7-1)),IF(W$13=$M$7,CHOOSE($Q$6+1,$M$1,SUM(OFFSET($A$11,$B78-$O$5,$O$6,1,-$P$6))),IF(W$13=$M$8,CHOOSE($Q$6+1,$M$1,SUM(OFFSET($A$11,$B78-$O$5,$O$7,1,-$P$6))),IF(W$11&lt;$D$7,OFFSET(INDIRECT($D$3),$A78-1,$Q$3+W$11),OFFSET(INDIRECT($D$4),$A78-1,$Q$4+W$11)))))))</f>
        <v/>
      </c>
      <c r="X78" s="23" t="str">
        <f t="shared" ref="X78:X86" ca="1" si="396">IF(X$11="","",IF(X$13=$M$5,CHOOSE($Q$6+1,$M$1,Y78+Z78-AA78),IF(X$13=$M$6,CHOOSE($Q$6+1,$M$1,OFFSET($A78,,$P$7-1)),IF(X$13=$M$7,CHOOSE($Q$6+1,$M$1,SUM(OFFSET($A$11,$B78-$O$5,$O$6,1,-$P$6))),IF(X$13=$M$8,CHOOSE($Q$6+1,$M$1,SUM(OFFSET($A$11,$B78-$O$5,$O$7,1,-$P$6))),IF(X$11&lt;$D$7,OFFSET(INDIRECT($D$3),$A78-1,$Q$3+X$11),OFFSET(INDIRECT($D$4),$A78-1,$Q$4+X$11)))))))</f>
        <v/>
      </c>
      <c r="Y78" s="23" t="str">
        <f t="shared" ref="Y78:Y86" ca="1" si="397">IF(Y$11="","",IF(Y$13=$M$5,CHOOSE($Q$6+1,$M$1,Z78+AA78-AB78),IF(Y$13=$M$6,CHOOSE($Q$6+1,$M$1,OFFSET($A78,,$P$7-1)),IF(Y$13=$M$7,CHOOSE($Q$6+1,$M$1,SUM(OFFSET($A$11,$B78-$O$5,$O$6,1,-$P$6))),IF(Y$13=$M$8,CHOOSE($Q$6+1,$M$1,SUM(OFFSET($A$11,$B78-$O$5,$O$7,1,-$P$6))),IF(Y$11&lt;$D$7,OFFSET(INDIRECT($D$3),$A78-1,$Q$3+Y$11),OFFSET(INDIRECT($D$4),$A78-1,$Q$4+Y$11)))))))</f>
        <v/>
      </c>
      <c r="Z78" s="23" t="str">
        <f t="shared" ref="Z78:Z86" ca="1" si="398">IF(Z$11="","",IF(Z$13=$M$5,CHOOSE($Q$6+1,$M$1,AA78+AB78-AC78),IF(Z$13=$M$6,CHOOSE($Q$6+1,$M$1,OFFSET($A78,,$P$7-1)),IF(Z$13=$M$7,CHOOSE($Q$6+1,$M$1,SUM(OFFSET($A$11,$B78-$O$5,$O$6,1,-$P$6))),IF(Z$13=$M$8,CHOOSE($Q$6+1,$M$1,SUM(OFFSET($A$11,$B78-$O$5,$O$7,1,-$P$6))),IF(Z$11&lt;$D$7,OFFSET(INDIRECT($D$3),$A78-1,$Q$3+Z$11),OFFSET(INDIRECT($D$4),$A78-1,$Q$4+Z$11)))))))</f>
        <v/>
      </c>
      <c r="AA78" s="23" t="str">
        <f t="shared" ref="AA78:AA86" ca="1" si="399">IF(AA$11="","",IF(AA$13=$M$5,CHOOSE($Q$6+1,$M$1,AB78+AC78-AD78),IF(AA$13=$M$6,CHOOSE($Q$6+1,$M$1,OFFSET($A78,,$P$7-1)),IF(AA$13=$M$7,CHOOSE($Q$6+1,$M$1,SUM(OFFSET($A$11,$B78-$O$5,$O$6,1,-$P$6))),IF(AA$13=$M$8,CHOOSE($Q$6+1,$M$1,SUM(OFFSET($A$11,$B78-$O$5,$O$7,1,-$P$6))),IF(AA$11&lt;$D$7,OFFSET(INDIRECT($D$3),$A78-1,$Q$3+AA$11),OFFSET(INDIRECT($D$4),$A78-1,$Q$4+AA$11)))))))</f>
        <v/>
      </c>
      <c r="AB78" s="23" t="str">
        <f t="shared" ref="AB78:AB86" ca="1" si="400">IF(AB$11="","",IF(AB$13=$M$5,CHOOSE($Q$6+1,$M$1,AC78+AD78-AE78),IF(AB$13=$M$6,CHOOSE($Q$6+1,$M$1,OFFSET($A78,,$P$7-1)),IF(AB$13=$M$7,CHOOSE($Q$6+1,$M$1,SUM(OFFSET($A$11,$B78-$O$5,$O$6,1,-$P$6))),IF(AB$13=$M$8,CHOOSE($Q$6+1,$M$1,SUM(OFFSET($A$11,$B78-$O$5,$O$7,1,-$P$6))),IF(AB$11&lt;$D$7,OFFSET(INDIRECT($D$3),$A78-1,$Q$3+AB$11),OFFSET(INDIRECT($D$4),$A78-1,$Q$4+AB$11)))))))</f>
        <v/>
      </c>
      <c r="AC78" s="23" t="str">
        <f t="shared" ref="AC78:AC86" ca="1" si="401">IF(AC$11="","",IF(AC$13=$M$5,CHOOSE($Q$6+1,$M$1,AD78+AE78-AF78),IF(AC$13=$M$6,CHOOSE($Q$6+1,$M$1,OFFSET($A78,,$P$7-1)),IF(AC$13=$M$7,CHOOSE($Q$6+1,$M$1,SUM(OFFSET($A$11,$B78-$O$5,$O$6,1,-$P$6))),IF(AC$13=$M$8,CHOOSE($Q$6+1,$M$1,SUM(OFFSET($A$11,$B78-$O$5,$O$7,1,-$P$6))),IF(AC$11&lt;$D$7,OFFSET(INDIRECT($D$3),$A78-1,$Q$3+AC$11),OFFSET(INDIRECT($D$4),$A78-1,$Q$4+AC$11)))))))</f>
        <v/>
      </c>
      <c r="AD78" s="23" t="str">
        <f t="shared" ref="AD78:AD86" ca="1" si="402">IF(AD$11="","",IF(AD$13=$M$5,CHOOSE($Q$6+1,$M$1,AE78+AF78-AG78),IF(AD$13=$M$6,CHOOSE($Q$6+1,$M$1,OFFSET($A78,,$P$7-1)),IF(AD$13=$M$7,CHOOSE($Q$6+1,$M$1,SUM(OFFSET($A$11,$B78-$O$5,$O$6,1,-$P$6))),IF(AD$13=$M$8,CHOOSE($Q$6+1,$M$1,SUM(OFFSET($A$11,$B78-$O$5,$O$7,1,-$P$6))),IF(AD$11&lt;$D$7,OFFSET(INDIRECT($D$3),$A78-1,$Q$3+AD$11),OFFSET(INDIRECT($D$4),$A78-1,$Q$4+AD$11)))))))</f>
        <v/>
      </c>
      <c r="AE78" s="23" t="str">
        <f t="shared" ref="AE78:AE86" ca="1" si="403">IF(AE$11="","",IF(AE$13=$M$5,CHOOSE($Q$6+1,$M$1,AF78+AG78-AH78),IF(AE$13=$M$6,CHOOSE($Q$6+1,$M$1,OFFSET($A78,,$P$7-1)),IF(AE$13=$M$7,CHOOSE($Q$6+1,$M$1,SUM(OFFSET($A$11,$B78-$O$5,$O$6,1,-$P$6))),IF(AE$13=$M$8,CHOOSE($Q$6+1,$M$1,SUM(OFFSET($A$11,$B78-$O$5,$O$7,1,-$P$6))),IF(AE$11&lt;$D$7,OFFSET(INDIRECT($D$3),$A78-1,$Q$3+AE$11),OFFSET(INDIRECT($D$4),$A78-1,$Q$4+AE$11)))))))</f>
        <v/>
      </c>
      <c r="AF78" s="23" t="str">
        <f t="shared" ref="AF78:AF86" ca="1" si="404">IF(AF$11="","",IF(AF$13=$M$5,CHOOSE($Q$6+1,$M$1,AG78+AH78-AI78),IF(AF$13=$M$6,CHOOSE($Q$6+1,$M$1,OFFSET($A78,,$P$7-1)),IF(AF$13=$M$7,CHOOSE($Q$6+1,$M$1,SUM(OFFSET($A$11,$B78-$O$5,$O$6,1,-$P$6))),IF(AF$13=$M$8,CHOOSE($Q$6+1,$M$1,SUM(OFFSET($A$11,$B78-$O$5,$O$7,1,-$P$6))),IF(AF$11&lt;$D$7,OFFSET(INDIRECT($D$3),$A78-1,$Q$3+AF$11),OFFSET(INDIRECT($D$4),$A78-1,$Q$4+AF$11)))))))</f>
        <v/>
      </c>
      <c r="AG78" s="23" t="str">
        <f t="shared" ref="AG78:AG86" ca="1" si="405">IF(AG$11="","",IF(AG$13=$M$5,CHOOSE($Q$6+1,$M$1,AH78+AI78-AJ78),IF(AG$13=$M$6,CHOOSE($Q$6+1,$M$1,OFFSET($A78,,$P$7-1)),IF(AG$13=$M$7,CHOOSE($Q$6+1,$M$1,SUM(OFFSET($A$11,$B78-$O$5,$O$6,1,-$P$6))),IF(AG$13=$M$8,CHOOSE($Q$6+1,$M$1,SUM(OFFSET($A$11,$B78-$O$5,$O$7,1,-$P$6))),IF(AG$11&lt;$D$7,OFFSET(INDIRECT($D$3),$A78-1,$Q$3+AG$11),OFFSET(INDIRECT($D$4),$A78-1,$Q$4+AG$11)))))))</f>
        <v/>
      </c>
      <c r="AH78" s="23" t="str">
        <f t="shared" ref="AH78:AH86" ca="1" si="406">IF(AH$11="","",IF(AH$13=$M$5,CHOOSE($Q$6+1,$M$1,AI78+AJ78-AK78),IF(AH$13=$M$6,CHOOSE($Q$6+1,$M$1,OFFSET($A78,,$P$7-1)),IF(AH$13=$M$7,CHOOSE($Q$6+1,$M$1,SUM(OFFSET($A$11,$B78-$O$5,$O$6,1,-$P$6))),IF(AH$13=$M$8,CHOOSE($Q$6+1,$M$1,SUM(OFFSET($A$11,$B78-$O$5,$O$7,1,-$P$6))),IF(AH$11&lt;$D$7,OFFSET(INDIRECT($D$3),$A78-1,$Q$3+AH$11),OFFSET(INDIRECT($D$4),$A78-1,$Q$4+AH$11)))))))</f>
        <v/>
      </c>
      <c r="AI78" s="23" t="str">
        <f t="shared" ref="AI78:AI86" ca="1" si="407">IF(AI$11="","",IF(AI$13=$M$5,CHOOSE($Q$6+1,$M$1,AJ78+AK78-AL78),IF(AI$13=$M$6,CHOOSE($Q$6+1,$M$1,OFFSET($A78,,$P$7-1)),IF(AI$13=$M$7,CHOOSE($Q$6+1,$M$1,SUM(OFFSET($A$11,$B78-$O$5,$O$6,1,-$P$6))),IF(AI$13=$M$8,CHOOSE($Q$6+1,$M$1,SUM(OFFSET($A$11,$B78-$O$5,$O$7,1,-$P$6))),IF(AI$11&lt;$D$7,OFFSET(INDIRECT($D$3),$A78-1,$Q$3+AI$11),OFFSET(INDIRECT($D$4),$A78-1,$Q$4+AI$11)))))))</f>
        <v/>
      </c>
      <c r="AJ78" s="23" t="str">
        <f t="shared" ref="AJ78:AJ86" ca="1" si="408">IF(AJ$11="","",IF(AJ$13=$M$5,CHOOSE($Q$6+1,$M$1,AK78+AL78-AM78),IF(AJ$13=$M$6,CHOOSE($Q$6+1,$M$1,OFFSET($A78,,$P$7-1)),IF(AJ$13=$M$7,CHOOSE($Q$6+1,$M$1,SUM(OFFSET($A$11,$B78-$O$5,$O$6,1,-$P$6))),IF(AJ$13=$M$8,CHOOSE($Q$6+1,$M$1,SUM(OFFSET($A$11,$B78-$O$5,$O$7,1,-$P$6))),IF(AJ$11&lt;$D$7,OFFSET(INDIRECT($D$3),$A78-1,$Q$3+AJ$11),OFFSET(INDIRECT($D$4),$A78-1,$Q$4+AJ$11)))))))</f>
        <v/>
      </c>
      <c r="AK78" s="23" t="str">
        <f t="shared" ref="AK78:AK86" ca="1" si="409">IF(AK$11="","",IF(AK$13=$M$5,CHOOSE($Q$6+1,$M$1,AL78+AM78-AN78),IF(AK$13=$M$6,CHOOSE($Q$6+1,$M$1,OFFSET($A78,,$P$7-1)),IF(AK$13=$M$7,CHOOSE($Q$6+1,$M$1,SUM(OFFSET($A$11,$B78-$O$5,$O$6,1,-$P$6))),IF(AK$13=$M$8,CHOOSE($Q$6+1,$M$1,SUM(OFFSET($A$11,$B78-$O$5,$O$7,1,-$P$6))),IF(AK$11&lt;$D$7,OFFSET(INDIRECT($D$3),$A78-1,$Q$3+AK$11),OFFSET(INDIRECT($D$4),$A78-1,$Q$4+AK$11)))))))</f>
        <v/>
      </c>
      <c r="AL78" s="23" t="str">
        <f t="shared" ref="AL78:AL86" ca="1" si="410">IF(AL$11="","",IF(AL$13=$M$5,CHOOSE($Q$6+1,$M$1,AM78+AN78-AO78),IF(AL$13=$M$6,CHOOSE($Q$6+1,$M$1,OFFSET($A78,,$P$7-1)),IF(AL$13=$M$7,CHOOSE($Q$6+1,$M$1,SUM(OFFSET($A$11,$B78-$O$5,$O$6,1,-$P$6))),IF(AL$13=$M$8,CHOOSE($Q$6+1,$M$1,SUM(OFFSET($A$11,$B78-$O$5,$O$7,1,-$P$6))),IF(AL$11&lt;$D$7,OFFSET(INDIRECT($D$3),$A78-1,$Q$3+AL$11),OFFSET(INDIRECT($D$4),$A78-1,$Q$4+AL$11)))))))</f>
        <v/>
      </c>
      <c r="AM78" s="23" t="str">
        <f t="shared" ref="AM78:AM86" ca="1" si="411">IF(AM$11="","",IF(AM$13=$M$5,CHOOSE($Q$6+1,$M$1,AN78+AO78-AP78),IF(AM$13=$M$6,CHOOSE($Q$6+1,$M$1,OFFSET($A78,,$P$7-1)),IF(AM$13=$M$7,CHOOSE($Q$6+1,$M$1,SUM(OFFSET($A$11,$B78-$O$5,$O$6,1,-$P$6))),IF(AM$13=$M$8,CHOOSE($Q$6+1,$M$1,SUM(OFFSET($A$11,$B78-$O$5,$O$7,1,-$P$6))),IF(AM$11&lt;$D$7,OFFSET(INDIRECT($D$3),$A78-1,$Q$3+AM$11),OFFSET(INDIRECT($D$4),$A78-1,$Q$4+AM$11)))))))</f>
        <v/>
      </c>
      <c r="AN78" s="23" t="str">
        <f t="shared" ref="AN78:AN86" ca="1" si="412">IF(AN$11="","",IF(AN$13=$M$5,CHOOSE($Q$6+1,$M$1,AO78+AP78-AQ78),IF(AN$13=$M$6,CHOOSE($Q$6+1,$M$1,OFFSET($A78,,$P$7-1)),IF(AN$13=$M$7,CHOOSE($Q$6+1,$M$1,SUM(OFFSET($A$11,$B78-$O$5,$O$6,1,-$P$6))),IF(AN$13=$M$8,CHOOSE($Q$6+1,$M$1,SUM(OFFSET($A$11,$B78-$O$5,$O$7,1,-$P$6))),IF(AN$11&lt;$D$7,OFFSET(INDIRECT($D$3),$A78-1,$Q$3+AN$11),OFFSET(INDIRECT($D$4),$A78-1,$Q$4+AN$11)))))))</f>
        <v/>
      </c>
      <c r="AO78" s="23" t="str">
        <f t="shared" ref="AO78:AO86" ca="1" si="413">IF(AO$11="","",IF(AO$13=$M$5,CHOOSE($Q$6+1,$M$1,AP78+AQ78-AR78),IF(AO$13=$M$6,CHOOSE($Q$6+1,$M$1,OFFSET($A78,,$P$7-1)),IF(AO$13=$M$7,CHOOSE($Q$6+1,$M$1,SUM(OFFSET($A$11,$B78-$O$5,$O$6,1,-$P$6))),IF(AO$13=$M$8,CHOOSE($Q$6+1,$M$1,SUM(OFFSET($A$11,$B78-$O$5,$O$7,1,-$P$6))),IF(AO$11&lt;$D$7,OFFSET(INDIRECT($D$3),$A78-1,$Q$3+AO$11),OFFSET(INDIRECT($D$4),$A78-1,$Q$4+AO$11)))))))</f>
        <v/>
      </c>
      <c r="AP78" s="23" t="str">
        <f t="shared" ref="AP78:AP86" ca="1" si="414">IF(AP$11="","",IF(AP$13=$M$5,CHOOSE($Q$6+1,$M$1,AQ78+AR78-AS78),IF(AP$13=$M$6,CHOOSE($Q$6+1,$M$1,OFFSET($A78,,$P$7-1)),IF(AP$13=$M$7,CHOOSE($Q$6+1,$M$1,SUM(OFFSET($A$11,$B78-$O$5,$O$6,1,-$P$6))),IF(AP$13=$M$8,CHOOSE($Q$6+1,$M$1,SUM(OFFSET($A$11,$B78-$O$5,$O$7,1,-$P$6))),IF(AP$11&lt;$D$7,OFFSET(INDIRECT($D$3),$A78-1,$Q$3+AP$11),OFFSET(INDIRECT($D$4),$A78-1,$Q$4+AP$11)))))))</f>
        <v/>
      </c>
      <c r="AQ78" s="23" t="str">
        <f t="shared" ref="AQ78:AQ86" ca="1" si="415">IF(AQ$11="","",IF(AQ$13=$M$5,CHOOSE($Q$6+1,$M$1,AR78+AS78-AT78),IF(AQ$13=$M$6,CHOOSE($Q$6+1,$M$1,OFFSET($A78,,$P$7-1)),IF(AQ$13=$M$7,CHOOSE($Q$6+1,$M$1,SUM(OFFSET($A$11,$B78-$O$5,$O$6,1,-$P$6))),IF(AQ$13=$M$8,CHOOSE($Q$6+1,$M$1,SUM(OFFSET($A$11,$B78-$O$5,$O$7,1,-$P$6))),IF(AQ$11&lt;$D$7,OFFSET(INDIRECT($D$3),$A78-1,$Q$3+AQ$11),OFFSET(INDIRECT($D$4),$A78-1,$Q$4+AQ$11)))))))</f>
        <v/>
      </c>
      <c r="AR78" s="23" t="str">
        <f t="shared" ref="AR78:AR86" ca="1" si="416">IF(AR$11="","",IF(AR$13=$M$5,CHOOSE($Q$6+1,$M$1,AS78+AT78-AU78),IF(AR$13=$M$6,CHOOSE($Q$6+1,$M$1,OFFSET($A78,,$P$7-1)),IF(AR$13=$M$7,CHOOSE($Q$6+1,$M$1,SUM(OFFSET($A$11,$B78-$O$5,$O$6,1,-$P$6))),IF(AR$13=$M$8,CHOOSE($Q$6+1,$M$1,SUM(OFFSET($A$11,$B78-$O$5,$O$7,1,-$P$6))),IF(AR$11&lt;$D$7,OFFSET(INDIRECT($D$3),$A78-1,$Q$3+AR$11),OFFSET(INDIRECT($D$4),$A78-1,$Q$4+AR$11)))))))</f>
        <v/>
      </c>
      <c r="AS78" s="23" t="str">
        <f t="shared" ref="AS78:AS86" ca="1" si="417">IF(AS$11="","",IF(AS$13=$M$5,CHOOSE($Q$6+1,$M$1,AT78+AU78-AV78),IF(AS$13=$M$6,CHOOSE($Q$6+1,$M$1,OFFSET($A78,,$P$7-1)),IF(AS$13=$M$7,CHOOSE($Q$6+1,$M$1,SUM(OFFSET($A$11,$B78-$O$5,$O$6,1,-$P$6))),IF(AS$13=$M$8,CHOOSE($Q$6+1,$M$1,SUM(OFFSET($A$11,$B78-$O$5,$O$7,1,-$P$6))),IF(AS$11&lt;$D$7,OFFSET(INDIRECT($D$3),$A78-1,$Q$3+AS$11),OFFSET(INDIRECT($D$4),$A78-1,$Q$4+AS$11)))))))</f>
        <v/>
      </c>
      <c r="AT78" s="23" t="str">
        <f t="shared" ref="AT78:AT86" ca="1" si="418">IF(AT$11="","",IF(AT$13=$M$5,CHOOSE($Q$6+1,$M$1,AU78+AV78-AW78),IF(AT$13=$M$6,CHOOSE($Q$6+1,$M$1,OFFSET($A78,,$P$7-1)),IF(AT$13=$M$7,CHOOSE($Q$6+1,$M$1,SUM(OFFSET($A$11,$B78-$O$5,$O$6,1,-$P$6))),IF(AT$13=$M$8,CHOOSE($Q$6+1,$M$1,SUM(OFFSET($A$11,$B78-$O$5,$O$7,1,-$P$6))),IF(AT$11&lt;$D$7,OFFSET(INDIRECT($D$3),$A78-1,$Q$3+AT$11),OFFSET(INDIRECT($D$4),$A78-1,$Q$4+AT$11)))))))</f>
        <v/>
      </c>
      <c r="AU78" s="23" t="str">
        <f t="shared" ref="AU78:AU86" ca="1" si="419">IF(AU$11="","",IF(AU$13=$M$5,CHOOSE($Q$6+1,$M$1,AV78+AW78-AX78),IF(AU$13=$M$6,CHOOSE($Q$6+1,$M$1,OFFSET($A78,,$P$7-1)),IF(AU$13=$M$7,CHOOSE($Q$6+1,$M$1,SUM(OFFSET($A$11,$B78-$O$5,$O$6,1,-$P$6))),IF(AU$13=$M$8,CHOOSE($Q$6+1,$M$1,SUM(OFFSET($A$11,$B78-$O$5,$O$7,1,-$P$6))),IF(AU$11&lt;$D$7,OFFSET(INDIRECT($D$3),$A78-1,$Q$3+AU$11),OFFSET(INDIRECT($D$4),$A78-1,$Q$4+AU$11)))))))</f>
        <v/>
      </c>
      <c r="AV78" s="23" t="str">
        <f t="shared" ref="AV78:AV86" ca="1" si="420">IF(AV$11="","",IF(AV$13=$M$5,CHOOSE($Q$6+1,$M$1,AW78+AX78-AY78),IF(AV$13=$M$6,CHOOSE($Q$6+1,$M$1,OFFSET($A78,,$P$7-1)),IF(AV$13=$M$7,CHOOSE($Q$6+1,$M$1,SUM(OFFSET($A$11,$B78-$O$5,$O$6,1,-$P$6))),IF(AV$13=$M$8,CHOOSE($Q$6+1,$M$1,SUM(OFFSET($A$11,$B78-$O$5,$O$7,1,-$P$6))),IF(AV$11&lt;$D$7,OFFSET(INDIRECT($D$3),$A78-1,$Q$3+AV$11),OFFSET(INDIRECT($D$4),$A78-1,$Q$4+AV$11)))))))</f>
        <v/>
      </c>
      <c r="AW78" s="23" t="str">
        <f t="shared" ref="AW78:AW86" ca="1" si="421">IF(AW$11="","",IF(AW$13=$M$5,CHOOSE($Q$6+1,$M$1,AX78+AY78-AZ78),IF(AW$13=$M$6,CHOOSE($Q$6+1,$M$1,OFFSET($A78,,$P$7-1)),IF(AW$13=$M$7,CHOOSE($Q$6+1,$M$1,SUM(OFFSET($A$11,$B78-$O$5,$O$6,1,-$P$6))),IF(AW$13=$M$8,CHOOSE($Q$6+1,$M$1,SUM(OFFSET($A$11,$B78-$O$5,$O$7,1,-$P$6))),IF(AW$11&lt;$D$7,OFFSET(INDIRECT($D$3),$A78-1,$Q$3+AW$11),OFFSET(INDIRECT($D$4),$A78-1,$Q$4+AW$11)))))))</f>
        <v/>
      </c>
      <c r="AX78" s="23" t="str">
        <f t="shared" ref="AX78:AX86" ca="1" si="422">IF(AX$11="","",IF(AX$13=$M$5,CHOOSE($Q$6+1,$M$1,AY78+AZ78-BA78),IF(AX$13=$M$6,CHOOSE($Q$6+1,$M$1,OFFSET($A78,,$P$7-1)),IF(AX$13=$M$7,CHOOSE($Q$6+1,$M$1,SUM(OFFSET($A$11,$B78-$O$5,$O$6,1,-$P$6))),IF(AX$13=$M$8,CHOOSE($Q$6+1,$M$1,SUM(OFFSET($A$11,$B78-$O$5,$O$7,1,-$P$6))),IF(AX$11&lt;$D$7,OFFSET(INDIRECT($D$3),$A78-1,$Q$3+AX$11),OFFSET(INDIRECT($D$4),$A78-1,$Q$4+AX$11)))))))</f>
        <v/>
      </c>
      <c r="AY78" s="23" t="str">
        <f t="shared" ref="AY78:AY86" ca="1" si="423">IF(AY$11="","",IF(AY$13=$M$5,CHOOSE($Q$6+1,$M$1,AZ78+BA78-BB78),IF(AY$13=$M$6,CHOOSE($Q$6+1,$M$1,OFFSET($A78,,$P$7-1)),IF(AY$13=$M$7,CHOOSE($Q$6+1,$M$1,SUM(OFFSET($A$11,$B78-$O$5,$O$6,1,-$P$6))),IF(AY$13=$M$8,CHOOSE($Q$6+1,$M$1,SUM(OFFSET($A$11,$B78-$O$5,$O$7,1,-$P$6))),IF(AY$11&lt;$D$7,OFFSET(INDIRECT($D$3),$A78-1,$Q$3+AY$11),OFFSET(INDIRECT($D$4),$A78-1,$Q$4+AY$11)))))))</f>
        <v/>
      </c>
      <c r="AZ78" s="23" t="str">
        <f t="shared" ref="AZ78:AZ86" ca="1" si="424">IF(AZ$11="","",IF(AZ$13=$M$5,CHOOSE($Q$6+1,$M$1,BA78+BB78-BC78),IF(AZ$13=$M$6,CHOOSE($Q$6+1,$M$1,OFFSET($A78,,$P$7-1)),IF(AZ$13=$M$7,CHOOSE($Q$6+1,$M$1,SUM(OFFSET($A$11,$B78-$O$5,$O$6,1,-$P$6))),IF(AZ$13=$M$8,CHOOSE($Q$6+1,$M$1,SUM(OFFSET($A$11,$B78-$O$5,$O$7,1,-$P$6))),IF(AZ$11&lt;$D$7,OFFSET(INDIRECT($D$3),$A78-1,$Q$3+AZ$11),OFFSET(INDIRECT($D$4),$A78-1,$Q$4+AZ$11)))))))</f>
        <v/>
      </c>
      <c r="BA78" s="23" t="str">
        <f t="shared" ref="BA78:BA86" ca="1" si="425">IF(BA$11="","",IF(BA$13=$M$5,CHOOSE($Q$6+1,$M$1,BB78+BC78-BD78),IF(BA$13=$M$6,CHOOSE($Q$6+1,$M$1,OFFSET($A78,,$P$7-1)),IF(BA$13=$M$7,CHOOSE($Q$6+1,$M$1,SUM(OFFSET($A$11,$B78-$O$5,$O$6,1,-$P$6))),IF(BA$13=$M$8,CHOOSE($Q$6+1,$M$1,SUM(OFFSET($A$11,$B78-$O$5,$O$7,1,-$P$6))),IF(BA$11&lt;$D$7,OFFSET(INDIRECT($D$3),$A78-1,$Q$3+BA$11),OFFSET(INDIRECT($D$4),$A78-1,$Q$4+BA$11)))))))</f>
        <v/>
      </c>
      <c r="BB78" s="23" t="str">
        <f t="shared" ref="BB78:BB86" ca="1" si="426">IF(BB$11="","",IF(BB$13=$M$5,CHOOSE($Q$6+1,$M$1,BC78+BD78-BE78),IF(BB$13=$M$6,CHOOSE($Q$6+1,$M$1,OFFSET($A78,,$P$7-1)),IF(BB$13=$M$7,CHOOSE($Q$6+1,$M$1,SUM(OFFSET($A$11,$B78-$O$5,$O$6,1,-$P$6))),IF(BB$13=$M$8,CHOOSE($Q$6+1,$M$1,SUM(OFFSET($A$11,$B78-$O$5,$O$7,1,-$P$6))),IF(BB$11&lt;$D$7,OFFSET(INDIRECT($D$3),$A78-1,$Q$3+BB$11),OFFSET(INDIRECT($D$4),$A78-1,$Q$4+BB$11)))))))</f>
        <v/>
      </c>
      <c r="BC78" s="23" t="str">
        <f t="shared" ref="BC78:BC86" ca="1" si="427">IF(BC$11="","",IF(BC$13=$M$5,CHOOSE($Q$6+1,$M$1,BD78+BE78-BF78),IF(BC$13=$M$6,CHOOSE($Q$6+1,$M$1,OFFSET($A78,,$P$7-1)),IF(BC$13=$M$7,CHOOSE($Q$6+1,$M$1,SUM(OFFSET($A$11,$B78-$O$5,$O$6,1,-$P$6))),IF(BC$13=$M$8,CHOOSE($Q$6+1,$M$1,SUM(OFFSET($A$11,$B78-$O$5,$O$7,1,-$P$6))),IF(BC$11&lt;$D$7,OFFSET(INDIRECT($D$3),$A78-1,$Q$3+BC$11),OFFSET(INDIRECT($D$4),$A78-1,$Q$4+BC$11)))))))</f>
        <v/>
      </c>
      <c r="BD78" s="23" t="str">
        <f t="shared" ref="BD78:BD86" ca="1" si="428">IF(BD$11="","",IF(BD$13=$M$5,CHOOSE($Q$6+1,$M$1,BE78+BF78-BG78),IF(BD$13=$M$6,CHOOSE($Q$6+1,$M$1,OFFSET($A78,,$P$7-1)),IF(BD$13=$M$7,CHOOSE($Q$6+1,$M$1,SUM(OFFSET($A$11,$B78-$O$5,$O$6,1,-$P$6))),IF(BD$13=$M$8,CHOOSE($Q$6+1,$M$1,SUM(OFFSET($A$11,$B78-$O$5,$O$7,1,-$P$6))),IF(BD$11&lt;$D$7,OFFSET(INDIRECT($D$3),$A78-1,$Q$3+BD$11),OFFSET(INDIRECT($D$4),$A78-1,$Q$4+BD$11)))))))</f>
        <v/>
      </c>
      <c r="BE78" s="23" t="str">
        <f t="shared" ref="BE78:BE86" ca="1" si="429">IF(BE$11="","",IF(BE$13=$M$5,CHOOSE($Q$6+1,$M$1,BF78+BG78-BH78),IF(BE$13=$M$6,CHOOSE($Q$6+1,$M$1,OFFSET($A78,,$P$7-1)),IF(BE$13=$M$7,CHOOSE($Q$6+1,$M$1,SUM(OFFSET($A$11,$B78-$O$5,$O$6,1,-$P$6))),IF(BE$13=$M$8,CHOOSE($Q$6+1,$M$1,SUM(OFFSET($A$11,$B78-$O$5,$O$7,1,-$P$6))),IF(BE$11&lt;$D$7,OFFSET(INDIRECT($D$3),$A78-1,$Q$3+BE$11),OFFSET(INDIRECT($D$4),$A78-1,$Q$4+BE$11)))))))</f>
        <v/>
      </c>
      <c r="BF78" s="23" t="str">
        <f t="shared" ref="BF78:BF86" ca="1" si="430">IF(BF$11="","",IF(BF$13=$M$5,CHOOSE($Q$6+1,$M$1,BG78+BH78-BI78),IF(BF$13=$M$6,CHOOSE($Q$6+1,$M$1,OFFSET($A78,,$P$7-1)),IF(BF$13=$M$7,CHOOSE($Q$6+1,$M$1,SUM(OFFSET($A$11,$B78-$O$5,$O$6,1,-$P$6))),IF(BF$13=$M$8,CHOOSE($Q$6+1,$M$1,SUM(OFFSET($A$11,$B78-$O$5,$O$7,1,-$P$6))),IF(BF$11&lt;$D$7,OFFSET(INDIRECT($D$3),$A78-1,$Q$3+BF$11),OFFSET(INDIRECT($D$4),$A78-1,$Q$4+BF$11)))))))</f>
        <v/>
      </c>
      <c r="BG78" s="23" t="str">
        <f t="shared" ref="BG78:BG86" ca="1" si="431">IF(BG$11="","",IF(BG$13=$M$5,CHOOSE($Q$6+1,$M$1,BH78+BI78-BJ78),IF(BG$13=$M$6,CHOOSE($Q$6+1,$M$1,OFFSET($A78,,$P$7-1)),IF(BG$13=$M$7,CHOOSE($Q$6+1,$M$1,SUM(OFFSET($A$11,$B78-$O$5,$O$6,1,-$P$6))),IF(BG$13=$M$8,CHOOSE($Q$6+1,$M$1,SUM(OFFSET($A$11,$B78-$O$5,$O$7,1,-$P$6))),IF(BG$11&lt;$D$7,OFFSET(INDIRECT($D$3),$A78-1,$Q$3+BG$11),OFFSET(INDIRECT($D$4),$A78-1,$Q$4+BG$11)))))))</f>
        <v/>
      </c>
      <c r="BH78" s="23" t="str">
        <f t="shared" ref="BH78:BH86" ca="1" si="432">IF(BH$11="","",IF(BH$13=$M$5,CHOOSE($Q$6+1,$M$1,BI78+BJ78-BK78),IF(BH$13=$M$6,CHOOSE($Q$6+1,$M$1,OFFSET($A78,,$P$7-1)),IF(BH$13=$M$7,CHOOSE($Q$6+1,$M$1,SUM(OFFSET($A$11,$B78-$O$5,$O$6,1,-$P$6))),IF(BH$13=$M$8,CHOOSE($Q$6+1,$M$1,SUM(OFFSET($A$11,$B78-$O$5,$O$7,1,-$P$6))),IF(BH$11&lt;$D$7,OFFSET(INDIRECT($D$3),$A78-1,$Q$3+BH$11),OFFSET(INDIRECT($D$4),$A78-1,$Q$4+BH$11)))))))</f>
        <v/>
      </c>
      <c r="BI78" s="23" t="str">
        <f t="shared" ref="BI78:BI86" ca="1" si="433">IF(BI$11="","",IF(BI$13=$M$5,CHOOSE($Q$6+1,$M$1,BJ78+BK78-BL78),IF(BI$13=$M$6,CHOOSE($Q$6+1,$M$1,OFFSET($A78,,$P$7-1)),IF(BI$13=$M$7,CHOOSE($Q$6+1,$M$1,SUM(OFFSET($A$11,$B78-$O$5,$O$6,1,-$P$6))),IF(BI$13=$M$8,CHOOSE($Q$6+1,$M$1,SUM(OFFSET($A$11,$B78-$O$5,$O$7,1,-$P$6))),IF(BI$11&lt;$D$7,OFFSET(INDIRECT($D$3),$A78-1,$Q$3+BI$11),OFFSET(INDIRECT($D$4),$A78-1,$Q$4+BI$11)))))))</f>
        <v/>
      </c>
      <c r="BJ78" s="23" t="str">
        <f t="shared" ref="BJ78:BJ86" ca="1" si="434">IF(BJ$11="","",IF(BJ$13=$M$5,CHOOSE($Q$6+1,$M$1,BK78+BL78-BM78),IF(BJ$13=$M$6,CHOOSE($Q$6+1,$M$1,OFFSET($A78,,$P$7-1)),IF(BJ$13=$M$7,CHOOSE($Q$6+1,$M$1,SUM(OFFSET($A$11,$B78-$O$5,$O$6,1,-$P$6))),IF(BJ$13=$M$8,CHOOSE($Q$6+1,$M$1,SUM(OFFSET($A$11,$B78-$O$5,$O$7,1,-$P$6))),IF(BJ$11&lt;$D$7,OFFSET(INDIRECT($D$3),$A78-1,$Q$3+BJ$11),OFFSET(INDIRECT($D$4),$A78-1,$Q$4+BJ$11)))))))</f>
        <v/>
      </c>
      <c r="BK78" s="23" t="str">
        <f t="shared" ref="BK78:BK86" ca="1" si="435">IF(BK$11="","",IF(BK$13=$M$5,CHOOSE($Q$6+1,$M$1,BL78+BM78-BN78),IF(BK$13=$M$6,CHOOSE($Q$6+1,$M$1,OFFSET($A78,,$P$7-1)),IF(BK$13=$M$7,CHOOSE($Q$6+1,$M$1,SUM(OFFSET($A$11,$B78-$O$5,$O$6,1,-$P$6))),IF(BK$13=$M$8,CHOOSE($Q$6+1,$M$1,SUM(OFFSET($A$11,$B78-$O$5,$O$7,1,-$P$6))),IF(BK$11&lt;$D$7,OFFSET(INDIRECT($D$3),$A78-1,$Q$3+BK$11),OFFSET(INDIRECT($D$4),$A78-1,$Q$4+BK$11)))))))</f>
        <v/>
      </c>
      <c r="BL78" s="23" t="str">
        <f t="shared" ref="BL78:BL86" ca="1" si="436">IF(BL$11="","",IF(BL$13=$M$5,CHOOSE($Q$6+1,$M$1,BM78+BN78-BO78),IF(BL$13=$M$6,CHOOSE($Q$6+1,$M$1,OFFSET($A78,,$P$7-1)),IF(BL$13=$M$7,CHOOSE($Q$6+1,$M$1,SUM(OFFSET($A$11,$B78-$O$5,$O$6,1,-$P$6))),IF(BL$13=$M$8,CHOOSE($Q$6+1,$M$1,SUM(OFFSET($A$11,$B78-$O$5,$O$7,1,-$P$6))),IF(BL$11&lt;$D$7,OFFSET(INDIRECT($D$3),$A78-1,$Q$3+BL$11),OFFSET(INDIRECT($D$4),$A78-1,$Q$4+BL$11)))))))</f>
        <v/>
      </c>
      <c r="BM78" s="23" t="str">
        <f t="shared" ref="BM78:BM86" ca="1" si="437">IF(BM$11="","",IF(BM$13=$M$5,CHOOSE($Q$6+1,$M$1,BN78+BO78-BP78),IF(BM$13=$M$6,CHOOSE($Q$6+1,$M$1,OFFSET($A78,,$P$7-1)),IF(BM$13=$M$7,CHOOSE($Q$6+1,$M$1,SUM(OFFSET($A$11,$B78-$O$5,$O$6,1,-$P$6))),IF(BM$13=$M$8,CHOOSE($Q$6+1,$M$1,SUM(OFFSET($A$11,$B78-$O$5,$O$7,1,-$P$6))),IF(BM$11&lt;$D$7,OFFSET(INDIRECT($D$3),$A78-1,$Q$3+BM$11),OFFSET(INDIRECT($D$4),$A78-1,$Q$4+BM$11)))))))</f>
        <v/>
      </c>
      <c r="BN78" s="23" t="str">
        <f t="shared" ref="BN78:BN86" ca="1" si="438">IF(BN$11="","",IF(BN$13=$M$5,CHOOSE($Q$6+1,$M$1,BO78+BP78-BQ78),IF(BN$13=$M$6,CHOOSE($Q$6+1,$M$1,OFFSET($A78,,$P$7-1)),IF(BN$13=$M$7,CHOOSE($Q$6+1,$M$1,SUM(OFFSET($A$11,$B78-$O$5,$O$6,1,-$P$6))),IF(BN$13=$M$8,CHOOSE($Q$6+1,$M$1,SUM(OFFSET($A$11,$B78-$O$5,$O$7,1,-$P$6))),IF(BN$11&lt;$D$7,OFFSET(INDIRECT($D$3),$A78-1,$Q$3+BN$11),OFFSET(INDIRECT($D$4),$A78-1,$Q$4+BN$11)))))))</f>
        <v/>
      </c>
      <c r="BO78" s="23" t="str">
        <f t="shared" ref="BO78:BO86" ca="1" si="439">IF(BO$11="","",IF(BO$13=$M$5,CHOOSE($Q$6+1,$M$1,BP78+BQ78-BR78),IF(BO$13=$M$6,CHOOSE($Q$6+1,$M$1,OFFSET($A78,,$P$7-1)),IF(BO$13=$M$7,CHOOSE($Q$6+1,$M$1,SUM(OFFSET($A$11,$B78-$O$5,$O$6,1,-$P$6))),IF(BO$13=$M$8,CHOOSE($Q$6+1,$M$1,SUM(OFFSET($A$11,$B78-$O$5,$O$7,1,-$P$6))),IF(BO$11&lt;$D$7,OFFSET(INDIRECT($D$3),$A78-1,$Q$3+BO$11),OFFSET(INDIRECT($D$4),$A78-1,$Q$4+BO$11)))))))</f>
        <v/>
      </c>
      <c r="BP78" s="23" t="str">
        <f t="shared" ref="BP78:BP86" ca="1" si="440">IF(BP$11="","",IF(BP$13=$M$5,CHOOSE($Q$6+1,$M$1,BQ78+BR78-BS78),IF(BP$13=$M$6,CHOOSE($Q$6+1,$M$1,OFFSET($A78,,$P$7-1)),IF(BP$13=$M$7,CHOOSE($Q$6+1,$M$1,SUM(OFFSET($A$11,$B78-$O$5,$O$6,1,-$P$6))),IF(BP$13=$M$8,CHOOSE($Q$6+1,$M$1,SUM(OFFSET($A$11,$B78-$O$5,$O$7,1,-$P$6))),IF(BP$11&lt;$D$7,OFFSET(INDIRECT($D$3),$A78-1,$Q$3+BP$11),OFFSET(INDIRECT($D$4),$A78-1,$Q$4+BP$11)))))))</f>
        <v/>
      </c>
      <c r="BQ78" s="23" t="str">
        <f t="shared" ref="BQ78:BQ86" ca="1" si="441">IF(BQ$11="","",IF(BQ$13=$M$5,CHOOSE($Q$6+1,$M$1,BR78+BS78-BT78),IF(BQ$13=$M$6,CHOOSE($Q$6+1,$M$1,OFFSET($A78,,$P$7-1)),IF(BQ$13=$M$7,CHOOSE($Q$6+1,$M$1,SUM(OFFSET($A$11,$B78-$O$5,$O$6,1,-$P$6))),IF(BQ$13=$M$8,CHOOSE($Q$6+1,$M$1,SUM(OFFSET($A$11,$B78-$O$5,$O$7,1,-$P$6))),IF(BQ$11&lt;$D$7,OFFSET(INDIRECT($D$3),$A78-1,$Q$3+BQ$11),OFFSET(INDIRECT($D$4),$A78-1,$Q$4+BQ$11)))))))</f>
        <v/>
      </c>
      <c r="BR78" s="23" t="str">
        <f t="shared" ref="BR78:BR86" ca="1" si="442">IF(BR$11="","",IF(BR$13=$M$5,CHOOSE($Q$6+1,$M$1,BS78+BT78-BU78),IF(BR$13=$M$6,CHOOSE($Q$6+1,$M$1,OFFSET($A78,,$P$7-1)),IF(BR$13=$M$7,CHOOSE($Q$6+1,$M$1,SUM(OFFSET($A$11,$B78-$O$5,$O$6,1,-$P$6))),IF(BR$13=$M$8,CHOOSE($Q$6+1,$M$1,SUM(OFFSET($A$11,$B78-$O$5,$O$7,1,-$P$6))),IF(BR$11&lt;$D$7,OFFSET(INDIRECT($D$3),$A78-1,$Q$3+BR$11),OFFSET(INDIRECT($D$4),$A78-1,$Q$4+BR$11)))))))</f>
        <v/>
      </c>
      <c r="BS78" s="23" t="str">
        <f t="shared" ref="BS78:BS86" ca="1" si="443">IF(BS$11="","",IF(BS$13=$M$5,CHOOSE($Q$6+1,$M$1,BT78+BU78-BV78),IF(BS$13=$M$6,CHOOSE($Q$6+1,$M$1,OFFSET($A78,,$P$7-1)),IF(BS$13=$M$7,CHOOSE($Q$6+1,$M$1,SUM(OFFSET($A$11,$B78-$O$5,$O$6,1,-$P$6))),IF(BS$13=$M$8,CHOOSE($Q$6+1,$M$1,SUM(OFFSET($A$11,$B78-$O$5,$O$7,1,-$P$6))),IF(BS$11&lt;$D$7,OFFSET(INDIRECT($D$3),$A78-1,$Q$3+BS$11),OFFSET(INDIRECT($D$4),$A78-1,$Q$4+BS$11)))))))</f>
        <v/>
      </c>
      <c r="BT78" s="23" t="str">
        <f t="shared" ref="BT78:BT86" ca="1" si="444">IF(BT$11="","",IF(BT$13=$M$5,CHOOSE($Q$6+1,$M$1,BU78+BV78-BW78),IF(BT$13=$M$6,CHOOSE($Q$6+1,$M$1,OFFSET($A78,,$P$7-1)),IF(BT$13=$M$7,CHOOSE($Q$6+1,$M$1,SUM(OFFSET($A$11,$B78-$O$5,$O$6,1,-$P$6))),IF(BT$13=$M$8,CHOOSE($Q$6+1,$M$1,SUM(OFFSET($A$11,$B78-$O$5,$O$7,1,-$P$6))),IF(BT$11&lt;$D$7,OFFSET(INDIRECT($D$3),$A78-1,$Q$3+BT$11),OFFSET(INDIRECT($D$4),$A78-1,$Q$4+BT$11)))))))</f>
        <v/>
      </c>
      <c r="BU78" s="23" t="str">
        <f t="shared" ref="BU78:BU86" ca="1" si="445">IF(BU$11="","",IF(BU$13=$M$5,CHOOSE($Q$6+1,$M$1,BV78+BW78-BX78),IF(BU$13=$M$6,CHOOSE($Q$6+1,$M$1,OFFSET($A78,,$P$7-1)),IF(BU$13=$M$7,CHOOSE($Q$6+1,$M$1,SUM(OFFSET($A$11,$B78-$O$5,$O$6,1,-$P$6))),IF(BU$13=$M$8,CHOOSE($Q$6+1,$M$1,SUM(OFFSET($A$11,$B78-$O$5,$O$7,1,-$P$6))),IF(BU$11&lt;$D$7,OFFSET(INDIRECT($D$3),$A78-1,$Q$3+BU$11),OFFSET(INDIRECT($D$4),$A78-1,$Q$4+BU$11)))))))</f>
        <v/>
      </c>
      <c r="BV78" s="23" t="str">
        <f t="shared" ref="BV78:BV86" ca="1" si="446">IF(BV$11="","",IF(BV$13=$M$5,CHOOSE($Q$6+1,$M$1,BW78+BX78-BY78),IF(BV$13=$M$6,CHOOSE($Q$6+1,$M$1,OFFSET($A78,,$P$7-1)),IF(BV$13=$M$7,CHOOSE($Q$6+1,$M$1,SUM(OFFSET($A$11,$B78-$O$5,$O$6,1,-$P$6))),IF(BV$13=$M$8,CHOOSE($Q$6+1,$M$1,SUM(OFFSET($A$11,$B78-$O$5,$O$7,1,-$P$6))),IF(BV$11&lt;$D$7,OFFSET(INDIRECT($D$3),$A78-1,$Q$3+BV$11),OFFSET(INDIRECT($D$4),$A78-1,$Q$4+BV$11)))))))</f>
        <v/>
      </c>
      <c r="BW78" s="23" t="str">
        <f t="shared" ref="BW78:BW86" ca="1" si="447">IF(BW$11="","",IF(BW$13=$M$5,CHOOSE($Q$6+1,$M$1,BX78+BY78-BZ78),IF(BW$13=$M$6,CHOOSE($Q$6+1,$M$1,OFFSET($A78,,$P$7-1)),IF(BW$13=$M$7,CHOOSE($Q$6+1,$M$1,SUM(OFFSET($A$11,$B78-$O$5,$O$6,1,-$P$6))),IF(BW$13=$M$8,CHOOSE($Q$6+1,$M$1,SUM(OFFSET($A$11,$B78-$O$5,$O$7,1,-$P$6))),IF(BW$11&lt;$D$7,OFFSET(INDIRECT($D$3),$A78-1,$Q$3+BW$11),OFFSET(INDIRECT($D$4),$A78-1,$Q$4+BW$11)))))))</f>
        <v/>
      </c>
      <c r="BX78" s="23" t="str">
        <f t="shared" ref="BX78:BX86" ca="1" si="448">IF(BX$11="","",IF(BX$13=$M$5,CHOOSE($Q$6+1,$M$1,BY78+BZ78-CA78),IF(BX$13=$M$6,CHOOSE($Q$6+1,$M$1,OFFSET($A78,,$P$7-1)),IF(BX$13=$M$7,CHOOSE($Q$6+1,$M$1,SUM(OFFSET($A$11,$B78-$O$5,$O$6,1,-$P$6))),IF(BX$13=$M$8,CHOOSE($Q$6+1,$M$1,SUM(OFFSET($A$11,$B78-$O$5,$O$7,1,-$P$6))),IF(BX$11&lt;$D$7,OFFSET(INDIRECT($D$3),$A78-1,$Q$3+BX$11),OFFSET(INDIRECT($D$4),$A78-1,$Q$4+BX$11)))))))</f>
        <v/>
      </c>
      <c r="BY78" s="23" t="str">
        <f t="shared" ref="BY78:BY86" ca="1" si="449">IF(BY$11="","",IF(BY$13=$M$5,CHOOSE($Q$6+1,$M$1,BZ78+CA78-CB78),IF(BY$13=$M$6,CHOOSE($Q$6+1,$M$1,OFFSET($A78,,$P$7-1)),IF(BY$13=$M$7,CHOOSE($Q$6+1,$M$1,SUM(OFFSET($A$11,$B78-$O$5,$O$6,1,-$P$6))),IF(BY$13=$M$8,CHOOSE($Q$6+1,$M$1,SUM(OFFSET($A$11,$B78-$O$5,$O$7,1,-$P$6))),IF(BY$11&lt;$D$7,OFFSET(INDIRECT($D$3),$A78-1,$Q$3+BY$11),OFFSET(INDIRECT($D$4),$A78-1,$Q$4+BY$11)))))))</f>
        <v/>
      </c>
      <c r="BZ78" s="23" t="str">
        <f t="shared" ref="BZ78:BZ86" ca="1" si="450">IF(BZ$11="","",IF(BZ$13=$M$5,CHOOSE($Q$6+1,$M$1,CA78+CB78-CC78),IF(BZ$13=$M$6,CHOOSE($Q$6+1,$M$1,OFFSET($A78,,$P$7-1)),IF(BZ$13=$M$7,CHOOSE($Q$6+1,$M$1,SUM(OFFSET($A$11,$B78-$O$5,$O$6,1,-$P$6))),IF(BZ$13=$M$8,CHOOSE($Q$6+1,$M$1,SUM(OFFSET($A$11,$B78-$O$5,$O$7,1,-$P$6))),IF(BZ$11&lt;$D$7,OFFSET(INDIRECT($D$3),$A78-1,$Q$3+BZ$11),OFFSET(INDIRECT($D$4),$A78-1,$Q$4+BZ$11)))))))</f>
        <v/>
      </c>
      <c r="CA78" s="23" t="str">
        <f t="shared" ref="CA78:CA86" ca="1" si="451">IF(CA$11="","",IF(CA$13=$M$5,CHOOSE($Q$6+1,$M$1,CB78+CC78-CD78),IF(CA$13=$M$6,CHOOSE($Q$6+1,$M$1,OFFSET($A78,,$P$7-1)),IF(CA$13=$M$7,CHOOSE($Q$6+1,$M$1,SUM(OFFSET($A$11,$B78-$O$5,$O$6,1,-$P$6))),IF(CA$13=$M$8,CHOOSE($Q$6+1,$M$1,SUM(OFFSET($A$11,$B78-$O$5,$O$7,1,-$P$6))),IF(CA$11&lt;$D$7,OFFSET(INDIRECT($D$3),$A78-1,$Q$3+CA$11),OFFSET(INDIRECT($D$4),$A78-1,$Q$4+CA$11)))))))</f>
        <v/>
      </c>
      <c r="CB78" s="23" t="str">
        <f t="shared" ref="CB78:CB86" ca="1" si="452">IF(CB$11="","",IF(CB$13=$M$5,CHOOSE($Q$6+1,$M$1,CC78+CD78-CE78),IF(CB$13=$M$6,CHOOSE($Q$6+1,$M$1,OFFSET($A78,,$P$7-1)),IF(CB$13=$M$7,CHOOSE($Q$6+1,$M$1,SUM(OFFSET($A$11,$B78-$O$5,$O$6,1,-$P$6))),IF(CB$13=$M$8,CHOOSE($Q$6+1,$M$1,SUM(OFFSET($A$11,$B78-$O$5,$O$7,1,-$P$6))),IF(CB$11&lt;$D$7,OFFSET(INDIRECT($D$3),$A78-1,$Q$3+CB$11),OFFSET(INDIRECT($D$4),$A78-1,$Q$4+CB$11)))))))</f>
        <v/>
      </c>
      <c r="CC78" s="23" t="str">
        <f t="shared" ref="CC78:CC86" ca="1" si="453">IF(CC$11="","",IF(CC$13=$M$5,CHOOSE($Q$6+1,$M$1,CD78+CE78-CF78),IF(CC$13=$M$6,CHOOSE($Q$6+1,$M$1,OFFSET($A78,,$P$7-1)),IF(CC$13=$M$7,CHOOSE($Q$6+1,$M$1,SUM(OFFSET($A$11,$B78-$O$5,$O$6,1,-$P$6))),IF(CC$13=$M$8,CHOOSE($Q$6+1,$M$1,SUM(OFFSET($A$11,$B78-$O$5,$O$7,1,-$P$6))),IF(CC$11&lt;$D$7,OFFSET(INDIRECT($D$3),$A78-1,$Q$3+CC$11),OFFSET(INDIRECT($D$4),$A78-1,$Q$4+CC$11)))))))</f>
        <v/>
      </c>
      <c r="CD78" s="23" t="str">
        <f t="shared" ref="CD78:CD86" ca="1" si="454">IF(CD$11="","",IF(CD$13=$M$5,CHOOSE($Q$6+1,$M$1,CE78+CF78-CG78),IF(CD$13=$M$6,CHOOSE($Q$6+1,$M$1,OFFSET($A78,,$P$7-1)),IF(CD$13=$M$7,CHOOSE($Q$6+1,$M$1,SUM(OFFSET($A$11,$B78-$O$5,$O$6,1,-$P$6))),IF(CD$13=$M$8,CHOOSE($Q$6+1,$M$1,SUM(OFFSET($A$11,$B78-$O$5,$O$7,1,-$P$6))),IF(CD$11&lt;$D$7,OFFSET(INDIRECT($D$3),$A78-1,$Q$3+CD$11),OFFSET(INDIRECT($D$4),$A78-1,$Q$4+CD$11)))))))</f>
        <v/>
      </c>
      <c r="CE78" s="23" t="str">
        <f t="shared" ref="CE78:CE86" ca="1" si="455">IF(CE$11="","",IF(CE$13=$M$5,CHOOSE($Q$6+1,$M$1,CF78+CG78-CH78),IF(CE$13=$M$6,CHOOSE($Q$6+1,$M$1,OFFSET($A78,,$P$7-1)),IF(CE$13=$M$7,CHOOSE($Q$6+1,$M$1,SUM(OFFSET($A$11,$B78-$O$5,$O$6,1,-$P$6))),IF(CE$13=$M$8,CHOOSE($Q$6+1,$M$1,SUM(OFFSET($A$11,$B78-$O$5,$O$7,1,-$P$6))),IF(CE$11&lt;$D$7,OFFSET(INDIRECT($D$3),$A78-1,$Q$3+CE$11),OFFSET(INDIRECT($D$4),$A78-1,$Q$4+CE$11)))))))</f>
        <v/>
      </c>
      <c r="CF78" s="23" t="str">
        <f t="shared" ref="CF78:CF86" ca="1" si="456">IF(CF$11="","",IF(CF$13=$M$5,CHOOSE($Q$6+1,$M$1,CG78+CH78-CI78),IF(CF$13=$M$6,CHOOSE($Q$6+1,$M$1,OFFSET($A78,,$P$7-1)),IF(CF$13=$M$7,CHOOSE($Q$6+1,$M$1,SUM(OFFSET($A$11,$B78-$O$5,$O$6,1,-$P$6))),IF(CF$13=$M$8,CHOOSE($Q$6+1,$M$1,SUM(OFFSET($A$11,$B78-$O$5,$O$7,1,-$P$6))),IF(CF$11&lt;$D$7,OFFSET(INDIRECT($D$3),$A78-1,$Q$3+CF$11),OFFSET(INDIRECT($D$4),$A78-1,$Q$4+CF$11)))))))</f>
        <v/>
      </c>
      <c r="CG78" s="23" t="str">
        <f t="shared" ref="CG78:CG86" ca="1" si="457">IF(CG$11="","",IF(CG$13=$M$5,CHOOSE($Q$6+1,$M$1,CH78+CI78-CJ78),IF(CG$13=$M$6,CHOOSE($Q$6+1,$M$1,OFFSET($A78,,$P$7-1)),IF(CG$13=$M$7,CHOOSE($Q$6+1,$M$1,SUM(OFFSET($A$11,$B78-$O$5,$O$6,1,-$P$6))),IF(CG$13=$M$8,CHOOSE($Q$6+1,$M$1,SUM(OFFSET($A$11,$B78-$O$5,$O$7,1,-$P$6))),IF(CG$11&lt;$D$7,OFFSET(INDIRECT($D$3),$A78-1,$Q$3+CG$11),OFFSET(INDIRECT($D$4),$A78-1,$Q$4+CG$11)))))))</f>
        <v/>
      </c>
      <c r="CH78" s="23" t="str">
        <f t="shared" ref="CH78:CH86" ca="1" si="458">IF(CH$11="","",IF(CH$13=$M$5,CHOOSE($Q$6+1,$M$1,CI78+CJ78-CK78),IF(CH$13=$M$6,CHOOSE($Q$6+1,$M$1,OFFSET($A78,,$P$7-1)),IF(CH$13=$M$7,CHOOSE($Q$6+1,$M$1,SUM(OFFSET($A$11,$B78-$O$5,$O$6,1,-$P$6))),IF(CH$13=$M$8,CHOOSE($Q$6+1,$M$1,SUM(OFFSET($A$11,$B78-$O$5,$O$7,1,-$P$6))),IF(CH$11&lt;$D$7,OFFSET(INDIRECT($D$3),$A78-1,$Q$3+CH$11),OFFSET(INDIRECT($D$4),$A78-1,$Q$4+CH$11)))))))</f>
        <v/>
      </c>
      <c r="CI78" s="23" t="str">
        <f t="shared" ref="CI78:CI86" ca="1" si="459">IF(CI$11="","",IF(CI$13=$M$5,CHOOSE($Q$6+1,$M$1,CJ78+CK78-CL78),IF(CI$13=$M$6,CHOOSE($Q$6+1,$M$1,OFFSET($A78,,$P$7-1)),IF(CI$13=$M$7,CHOOSE($Q$6+1,$M$1,SUM(OFFSET($A$11,$B78-$O$5,$O$6,1,-$P$6))),IF(CI$13=$M$8,CHOOSE($Q$6+1,$M$1,SUM(OFFSET($A$11,$B78-$O$5,$O$7,1,-$P$6))),IF(CI$11&lt;$D$7,OFFSET(INDIRECT($D$3),$A78-1,$Q$3+CI$11),OFFSET(INDIRECT($D$4),$A78-1,$Q$4+CI$11)))))))</f>
        <v/>
      </c>
      <c r="CJ78" s="23" t="str">
        <f t="shared" ref="CJ78:CJ86" ca="1" si="460">IF(CJ$11="","",IF(CJ$13=$M$5,CHOOSE($Q$6+1,$M$1,CK78+CL78-CM78),IF(CJ$13=$M$6,CHOOSE($Q$6+1,$M$1,OFFSET($A78,,$P$7-1)),IF(CJ$13=$M$7,CHOOSE($Q$6+1,$M$1,SUM(OFFSET($A$11,$B78-$O$5,$O$6,1,-$P$6))),IF(CJ$13=$M$8,CHOOSE($Q$6+1,$M$1,SUM(OFFSET($A$11,$B78-$O$5,$O$7,1,-$P$6))),IF(CJ$11&lt;$D$7,OFFSET(INDIRECT($D$3),$A78-1,$Q$3+CJ$11),OFFSET(INDIRECT($D$4),$A78-1,$Q$4+CJ$11)))))))</f>
        <v/>
      </c>
      <c r="CK78" s="23" t="str">
        <f t="shared" ref="CK78:CK86" ca="1" si="461">IF(CK$11="","",IF(CK$13=$M$5,CHOOSE($Q$6+1,$M$1,CL78+CM78-CN78),IF(CK$13=$M$6,CHOOSE($Q$6+1,$M$1,OFFSET($A78,,$P$7-1)),IF(CK$13=$M$7,CHOOSE($Q$6+1,$M$1,SUM(OFFSET($A$11,$B78-$O$5,$O$6,1,-$P$6))),IF(CK$13=$M$8,CHOOSE($Q$6+1,$M$1,SUM(OFFSET($A$11,$B78-$O$5,$O$7,1,-$P$6))),IF(CK$11&lt;$D$7,OFFSET(INDIRECT($D$3),$A78-1,$Q$3+CK$11),OFFSET(INDIRECT($D$4),$A78-1,$Q$4+CK$11)))))))</f>
        <v/>
      </c>
      <c r="CL78" s="23" t="str">
        <f t="shared" ref="CL78:CL86" ca="1" si="462">IF(CL$11="","",IF(CL$13=$M$5,CHOOSE($Q$6+1,$M$1,CM78+CN78-CO78),IF(CL$13=$M$6,CHOOSE($Q$6+1,$M$1,OFFSET($A78,,$P$7-1)),IF(CL$13=$M$7,CHOOSE($Q$6+1,$M$1,SUM(OFFSET($A$11,$B78-$O$5,$O$6,1,-$P$6))),IF(CL$13=$M$8,CHOOSE($Q$6+1,$M$1,SUM(OFFSET($A$11,$B78-$O$5,$O$7,1,-$P$6))),IF(CL$11&lt;$D$7,OFFSET(INDIRECT($D$3),$A78-1,$Q$3+CL$11),OFFSET(INDIRECT($D$4),$A78-1,$Q$4+CL$11)))))))</f>
        <v/>
      </c>
      <c r="CM78" s="23" t="str">
        <f t="shared" ref="CM78:CM86" ca="1" si="463">IF(CM$11="","",IF(CM$13=$M$5,CHOOSE($Q$6+1,$M$1,CN78+CO78-CP78),IF(CM$13=$M$6,CHOOSE($Q$6+1,$M$1,OFFSET($A78,,$P$7-1)),IF(CM$13=$M$7,CHOOSE($Q$6+1,$M$1,SUM(OFFSET($A$11,$B78-$O$5,$O$6,1,-$P$6))),IF(CM$13=$M$8,CHOOSE($Q$6+1,$M$1,SUM(OFFSET($A$11,$B78-$O$5,$O$7,1,-$P$6))),IF(CM$11&lt;$D$7,OFFSET(INDIRECT($D$3),$A78-1,$Q$3+CM$11),OFFSET(INDIRECT($D$4),$A78-1,$Q$4+CM$11)))))))</f>
        <v/>
      </c>
      <c r="CN78" s="23" t="str">
        <f t="shared" ref="CN78:CN86" ca="1" si="464">IF(CN$11="","",IF(CN$13=$M$5,CHOOSE($Q$6+1,$M$1,CO78+CP78-CQ78),IF(CN$13=$M$6,CHOOSE($Q$6+1,$M$1,OFFSET($A78,,$P$7-1)),IF(CN$13=$M$7,CHOOSE($Q$6+1,$M$1,SUM(OFFSET($A$11,$B78-$O$5,$O$6,1,-$P$6))),IF(CN$13=$M$8,CHOOSE($Q$6+1,$M$1,SUM(OFFSET($A$11,$B78-$O$5,$O$7,1,-$P$6))),IF(CN$11&lt;$D$7,OFFSET(INDIRECT($D$3),$A78-1,$Q$3+CN$11),OFFSET(INDIRECT($D$4),$A78-1,$Q$4+CN$11)))))))</f>
        <v/>
      </c>
      <c r="CO78" s="23" t="str">
        <f t="shared" ref="CO78:CO86" ca="1" si="465">IF(CO$11="","",IF(CO$13=$M$5,CHOOSE($Q$6+1,$M$1,CP78+CQ78-CR78),IF(CO$13=$M$6,CHOOSE($Q$6+1,$M$1,OFFSET($A78,,$P$7-1)),IF(CO$13=$M$7,CHOOSE($Q$6+1,$M$1,SUM(OFFSET($A$11,$B78-$O$5,$O$6,1,-$P$6))),IF(CO$13=$M$8,CHOOSE($Q$6+1,$M$1,SUM(OFFSET($A$11,$B78-$O$5,$O$7,1,-$P$6))),IF(CO$11&lt;$D$7,OFFSET(INDIRECT($D$3),$A78-1,$Q$3+CO$11),OFFSET(INDIRECT($D$4),$A78-1,$Q$4+CO$11)))))))</f>
        <v/>
      </c>
      <c r="CP78" s="23" t="str">
        <f t="shared" ref="CP78:CP86" ca="1" si="466">IF(CP$11="","",IF(CP$13=$M$5,CHOOSE($Q$6+1,$M$1,CQ78+CR78-CS78),IF(CP$13=$M$6,CHOOSE($Q$6+1,$M$1,OFFSET($A78,,$P$7-1)),IF(CP$13=$M$7,CHOOSE($Q$6+1,$M$1,SUM(OFFSET($A$11,$B78-$O$5,$O$6,1,-$P$6))),IF(CP$13=$M$8,CHOOSE($Q$6+1,$M$1,SUM(OFFSET($A$11,$B78-$O$5,$O$7,1,-$P$6))),IF(CP$11&lt;$D$7,OFFSET(INDIRECT($D$3),$A78-1,$Q$3+CP$11),OFFSET(INDIRECT($D$4),$A78-1,$Q$4+CP$11)))))))</f>
        <v/>
      </c>
      <c r="CQ78" s="23" t="str">
        <f t="shared" ref="CQ78:CQ86" ca="1" si="467">IF(CQ$11="","",IF(CQ$13=$M$5,CHOOSE($Q$6+1,$M$1,CR78+CS78-CT78),IF(CQ$13=$M$6,CHOOSE($Q$6+1,$M$1,OFFSET($A78,,$P$7-1)),IF(CQ$13=$M$7,CHOOSE($Q$6+1,$M$1,SUM(OFFSET($A$11,$B78-$O$5,$O$6,1,-$P$6))),IF(CQ$13=$M$8,CHOOSE($Q$6+1,$M$1,SUM(OFFSET($A$11,$B78-$O$5,$O$7,1,-$P$6))),IF(CQ$11&lt;$D$7,OFFSET(INDIRECT($D$3),$A78-1,$Q$3+CQ$11),OFFSET(INDIRECT($D$4),$A78-1,$Q$4+CQ$11)))))))</f>
        <v/>
      </c>
      <c r="CR78" s="23" t="str">
        <f t="shared" ref="CR78:CR86" ca="1" si="468">IF(CR$11="","",IF(CR$13=$M$5,CHOOSE($Q$6+1,$M$1,CS78+CT78-CU78),IF(CR$13=$M$6,CHOOSE($Q$6+1,$M$1,OFFSET($A78,,$P$7-1)),IF(CR$13=$M$7,CHOOSE($Q$6+1,$M$1,SUM(OFFSET($A$11,$B78-$O$5,$O$6,1,-$P$6))),IF(CR$13=$M$8,CHOOSE($Q$6+1,$M$1,SUM(OFFSET($A$11,$B78-$O$5,$O$7,1,-$P$6))),IF(CR$11&lt;$D$7,OFFSET(INDIRECT($D$3),$A78-1,$Q$3+CR$11),OFFSET(INDIRECT($D$4),$A78-1,$Q$4+CR$11)))))))</f>
        <v/>
      </c>
      <c r="CS78" s="23" t="str">
        <f t="shared" ref="CS78:CS86" ca="1" si="469">IF(CS$11="","",IF(CS$13=$M$5,CHOOSE($Q$6+1,$M$1,CT78+CU78-CV78),IF(CS$13=$M$6,CHOOSE($Q$6+1,$M$1,OFFSET($A78,,$P$7-1)),IF(CS$13=$M$7,CHOOSE($Q$6+1,$M$1,SUM(OFFSET($A$11,$B78-$O$5,$O$6,1,-$P$6))),IF(CS$13=$M$8,CHOOSE($Q$6+1,$M$1,SUM(OFFSET($A$11,$B78-$O$5,$O$7,1,-$P$6))),IF(CS$11&lt;$D$7,OFFSET(INDIRECT($D$3),$A78-1,$Q$3+CS$11),OFFSET(INDIRECT($D$4),$A78-1,$Q$4+CS$11)))))))</f>
        <v/>
      </c>
      <c r="CT78" s="23" t="str">
        <f t="shared" ref="CT78:CT86" ca="1" si="470">IF(CT$11="","",IF(CT$13=$M$5,CHOOSE($Q$6+1,$M$1,CU78+CV78-CW78),IF(CT$13=$M$6,CHOOSE($Q$6+1,$M$1,OFFSET($A78,,$P$7-1)),IF(CT$13=$M$7,CHOOSE($Q$6+1,$M$1,SUM(OFFSET($A$11,$B78-$O$5,$O$6,1,-$P$6))),IF(CT$13=$M$8,CHOOSE($Q$6+1,$M$1,SUM(OFFSET($A$11,$B78-$O$5,$O$7,1,-$P$6))),IF(CT$11&lt;$D$7,OFFSET(INDIRECT($D$3),$A78-1,$Q$3+CT$11),OFFSET(INDIRECT($D$4),$A78-1,$Q$4+CT$11)))))))</f>
        <v/>
      </c>
      <c r="CU78" s="23" t="str">
        <f t="shared" ref="CU78:CU86" ca="1" si="471">IF(CU$11="","",IF(CU$13=$M$5,CHOOSE($Q$6+1,$M$1,CV78+CW78-CX78),IF(CU$13=$M$6,CHOOSE($Q$6+1,$M$1,OFFSET($A78,,$P$7-1)),IF(CU$13=$M$7,CHOOSE($Q$6+1,$M$1,SUM(OFFSET($A$11,$B78-$O$5,$O$6,1,-$P$6))),IF(CU$13=$M$8,CHOOSE($Q$6+1,$M$1,SUM(OFFSET($A$11,$B78-$O$5,$O$7,1,-$P$6))),IF(CU$11&lt;$D$7,OFFSET(INDIRECT($D$3),$A78-1,$Q$3+CU$11),OFFSET(INDIRECT($D$4),$A78-1,$Q$4+CU$11)))))))</f>
        <v/>
      </c>
      <c r="CV78" s="23" t="str">
        <f t="shared" ref="CV78:CV86" ca="1" si="472">IF(CV$11="","",IF(CV$13=$M$5,CHOOSE($Q$6+1,$M$1,CW78+CX78-CY78),IF(CV$13=$M$6,CHOOSE($Q$6+1,$M$1,OFFSET($A78,,$P$7-1)),IF(CV$13=$M$7,CHOOSE($Q$6+1,$M$1,SUM(OFFSET($A$11,$B78-$O$5,$O$6,1,-$P$6))),IF(CV$13=$M$8,CHOOSE($Q$6+1,$M$1,SUM(OFFSET($A$11,$B78-$O$5,$O$7,1,-$P$6))),IF(CV$11&lt;$D$7,OFFSET(INDIRECT($D$3),$A78-1,$Q$3+CV$11),OFFSET(INDIRECT($D$4),$A78-1,$Q$4+CV$11)))))))</f>
        <v/>
      </c>
      <c r="CW78" s="23" t="str">
        <f t="shared" ref="CW78:CW86" ca="1" si="473">IF(CW$11="","",IF(CW$13=$M$5,CHOOSE($Q$6+1,$M$1,CX78+CY78-CZ78),IF(CW$13=$M$6,CHOOSE($Q$6+1,$M$1,OFFSET($A78,,$P$7-1)),IF(CW$13=$M$7,CHOOSE($Q$6+1,$M$1,SUM(OFFSET($A$11,$B78-$O$5,$O$6,1,-$P$6))),IF(CW$13=$M$8,CHOOSE($Q$6+1,$M$1,SUM(OFFSET($A$11,$B78-$O$5,$O$7,1,-$P$6))),IF(CW$11&lt;$D$7,OFFSET(INDIRECT($D$3),$A78-1,$Q$3+CW$11),OFFSET(INDIRECT($D$4),$A78-1,$Q$4+CW$11)))))))</f>
        <v/>
      </c>
      <c r="CX78" s="23" t="str">
        <f ca="1">IF(CX$11="","",IF(CX$13=$M$5,CHOOSE($Q$6+1,$M$1,CY78+CZ78-#REF!),IF(CX$13=$M$6,CHOOSE($Q$6+1,$M$1,OFFSET($A78,,$P$7-1)),IF(CX$13=$M$7,CHOOSE($Q$6+1,$M$1,SUM(OFFSET($A$11,$B78-$O$5,$O$6,1,-$P$6))),IF(CX$13=$M$8,CHOOSE($Q$6+1,$M$1,SUM(OFFSET($A$11,$B78-$O$5,$O$7,1,-$P$6))),IF(CX$11&lt;$D$7,OFFSET(INDIRECT($D$3),$A78-1,$Q$3+CX$11),OFFSET(INDIRECT($D$4),$A78-1,$Q$4+CX$11)))))))</f>
        <v/>
      </c>
      <c r="CY78" s="23" t="str">
        <f ca="1">IF(CY$11="","",IF(CY$13=$M$5,CHOOSE($Q$6+1,$M$1,CZ78+#REF!-#REF!),IF(CY$13=$M$6,CHOOSE($Q$6+1,$M$1,OFFSET($A78,,$P$7-1)),IF(CY$13=$M$7,CHOOSE($Q$6+1,$M$1,SUM(OFFSET($A$11,$B78-$O$5,$O$6,1,-$P$6))),IF(CY$13=$M$8,CHOOSE($Q$6+1,$M$1,SUM(OFFSET($A$11,$B78-$O$5,$O$7,1,-$P$6))),IF(CY$11&lt;$D$7,OFFSET(INDIRECT($D$3),$A78-1,$Q$3+CY$11),OFFSET(INDIRECT($D$4),$A78-1,$Q$4+CY$11)))))))</f>
        <v/>
      </c>
      <c r="CZ78" s="23" t="str">
        <f ca="1">IF(CZ$11="","",IF(CZ$13=$M$5,CHOOSE($Q$6+1,$M$1,#REF!+#REF!-#REF!),IF(CZ$13=$M$6,CHOOSE($Q$6+1,$M$1,OFFSET($A78,,$P$7-1)),IF(CZ$13=$M$7,CHOOSE($Q$6+1,$M$1,SUM(OFFSET($A$11,$B78-$O$5,$O$6,1,-$P$6))),IF(CZ$13=$M$8,CHOOSE($Q$6+1,$M$1,SUM(OFFSET($A$11,$B78-$O$5,$O$7,1,-$P$6))),IF(CZ$11&lt;$D$7,OFFSET(INDIRECT($D$3),$A78-1,$Q$3+CZ$11),OFFSET(INDIRECT($D$4),$A78-1,$Q$4+CZ$11)))))))</f>
        <v/>
      </c>
    </row>
    <row r="79" spans="1:104" ht="13.5" customHeight="1">
      <c r="A79" s="27">
        <v>67</v>
      </c>
      <c r="B79" s="33">
        <f t="shared" si="14"/>
        <v>79</v>
      </c>
      <c r="C79" s="9" t="s">
        <v>348</v>
      </c>
      <c r="D79" s="23">
        <f t="shared" ca="1" si="376"/>
        <v>0</v>
      </c>
      <c r="E79" s="23">
        <f t="shared" ca="1" si="377"/>
        <v>0</v>
      </c>
      <c r="F79" s="23">
        <f t="shared" ca="1" si="378"/>
        <v>0</v>
      </c>
      <c r="G79" s="23">
        <f t="shared" ca="1" si="379"/>
        <v>0</v>
      </c>
      <c r="H79" s="23">
        <f t="shared" ca="1" si="380"/>
        <v>0</v>
      </c>
      <c r="I79" s="23">
        <f t="shared" ca="1" si="381"/>
        <v>0</v>
      </c>
      <c r="J79" s="23">
        <f t="shared" ca="1" si="382"/>
        <v>0</v>
      </c>
      <c r="K79" s="23">
        <f t="shared" ca="1" si="383"/>
        <v>0</v>
      </c>
      <c r="L79" s="23">
        <f t="shared" ca="1" si="384"/>
        <v>0</v>
      </c>
      <c r="M79" s="23">
        <f t="shared" ca="1" si="385"/>
        <v>0</v>
      </c>
      <c r="N79" s="23">
        <f t="shared" ca="1" si="386"/>
        <v>0</v>
      </c>
      <c r="O79" s="23">
        <f t="shared" ca="1" si="387"/>
        <v>0</v>
      </c>
      <c r="P79" s="23">
        <f t="shared" ca="1" si="388"/>
        <v>0</v>
      </c>
      <c r="Q79" s="23">
        <f t="shared" ca="1" si="389"/>
        <v>0</v>
      </c>
      <c r="R79" s="23" t="str">
        <f t="shared" ca="1" si="390"/>
        <v/>
      </c>
      <c r="S79" s="23" t="str">
        <f t="shared" ca="1" si="391"/>
        <v/>
      </c>
      <c r="T79" s="23" t="str">
        <f t="shared" ca="1" si="392"/>
        <v/>
      </c>
      <c r="U79" s="23" t="str">
        <f t="shared" ca="1" si="393"/>
        <v/>
      </c>
      <c r="V79" s="23" t="str">
        <f t="shared" ca="1" si="394"/>
        <v/>
      </c>
      <c r="W79" s="23" t="str">
        <f t="shared" ca="1" si="395"/>
        <v/>
      </c>
      <c r="X79" s="23" t="str">
        <f t="shared" ca="1" si="396"/>
        <v/>
      </c>
      <c r="Y79" s="23" t="str">
        <f t="shared" ca="1" si="397"/>
        <v/>
      </c>
      <c r="Z79" s="23" t="str">
        <f t="shared" ca="1" si="398"/>
        <v/>
      </c>
      <c r="AA79" s="23" t="str">
        <f t="shared" ca="1" si="399"/>
        <v/>
      </c>
      <c r="AB79" s="23" t="str">
        <f t="shared" ca="1" si="400"/>
        <v/>
      </c>
      <c r="AC79" s="23" t="str">
        <f t="shared" ca="1" si="401"/>
        <v/>
      </c>
      <c r="AD79" s="23" t="str">
        <f t="shared" ca="1" si="402"/>
        <v/>
      </c>
      <c r="AE79" s="23" t="str">
        <f t="shared" ca="1" si="403"/>
        <v/>
      </c>
      <c r="AF79" s="23" t="str">
        <f t="shared" ca="1" si="404"/>
        <v/>
      </c>
      <c r="AG79" s="23" t="str">
        <f t="shared" ca="1" si="405"/>
        <v/>
      </c>
      <c r="AH79" s="23" t="str">
        <f t="shared" ca="1" si="406"/>
        <v/>
      </c>
      <c r="AI79" s="23" t="str">
        <f t="shared" ca="1" si="407"/>
        <v/>
      </c>
      <c r="AJ79" s="23" t="str">
        <f t="shared" ca="1" si="408"/>
        <v/>
      </c>
      <c r="AK79" s="23" t="str">
        <f t="shared" ca="1" si="409"/>
        <v/>
      </c>
      <c r="AL79" s="23" t="str">
        <f t="shared" ca="1" si="410"/>
        <v/>
      </c>
      <c r="AM79" s="23" t="str">
        <f t="shared" ca="1" si="411"/>
        <v/>
      </c>
      <c r="AN79" s="23" t="str">
        <f t="shared" ca="1" si="412"/>
        <v/>
      </c>
      <c r="AO79" s="23" t="str">
        <f t="shared" ca="1" si="413"/>
        <v/>
      </c>
      <c r="AP79" s="23" t="str">
        <f t="shared" ca="1" si="414"/>
        <v/>
      </c>
      <c r="AQ79" s="23" t="str">
        <f t="shared" ca="1" si="415"/>
        <v/>
      </c>
      <c r="AR79" s="23" t="str">
        <f t="shared" ca="1" si="416"/>
        <v/>
      </c>
      <c r="AS79" s="23" t="str">
        <f t="shared" ca="1" si="417"/>
        <v/>
      </c>
      <c r="AT79" s="23" t="str">
        <f t="shared" ca="1" si="418"/>
        <v/>
      </c>
      <c r="AU79" s="23" t="str">
        <f t="shared" ca="1" si="419"/>
        <v/>
      </c>
      <c r="AV79" s="23" t="str">
        <f t="shared" ca="1" si="420"/>
        <v/>
      </c>
      <c r="AW79" s="23" t="str">
        <f t="shared" ca="1" si="421"/>
        <v/>
      </c>
      <c r="AX79" s="23" t="str">
        <f t="shared" ca="1" si="422"/>
        <v/>
      </c>
      <c r="AY79" s="23" t="str">
        <f t="shared" ca="1" si="423"/>
        <v/>
      </c>
      <c r="AZ79" s="23" t="str">
        <f t="shared" ca="1" si="424"/>
        <v/>
      </c>
      <c r="BA79" s="23" t="str">
        <f t="shared" ca="1" si="425"/>
        <v/>
      </c>
      <c r="BB79" s="23" t="str">
        <f t="shared" ca="1" si="426"/>
        <v/>
      </c>
      <c r="BC79" s="23" t="str">
        <f t="shared" ca="1" si="427"/>
        <v/>
      </c>
      <c r="BD79" s="23" t="str">
        <f t="shared" ca="1" si="428"/>
        <v/>
      </c>
      <c r="BE79" s="23" t="str">
        <f t="shared" ca="1" si="429"/>
        <v/>
      </c>
      <c r="BF79" s="23" t="str">
        <f t="shared" ca="1" si="430"/>
        <v/>
      </c>
      <c r="BG79" s="23" t="str">
        <f t="shared" ca="1" si="431"/>
        <v/>
      </c>
      <c r="BH79" s="23" t="str">
        <f t="shared" ca="1" si="432"/>
        <v/>
      </c>
      <c r="BI79" s="23" t="str">
        <f t="shared" ca="1" si="433"/>
        <v/>
      </c>
      <c r="BJ79" s="23" t="str">
        <f t="shared" ca="1" si="434"/>
        <v/>
      </c>
      <c r="BK79" s="23" t="str">
        <f t="shared" ca="1" si="435"/>
        <v/>
      </c>
      <c r="BL79" s="23" t="str">
        <f t="shared" ca="1" si="436"/>
        <v/>
      </c>
      <c r="BM79" s="23" t="str">
        <f t="shared" ca="1" si="437"/>
        <v/>
      </c>
      <c r="BN79" s="23" t="str">
        <f t="shared" ca="1" si="438"/>
        <v/>
      </c>
      <c r="BO79" s="23" t="str">
        <f t="shared" ca="1" si="439"/>
        <v/>
      </c>
      <c r="BP79" s="23" t="str">
        <f t="shared" ca="1" si="440"/>
        <v/>
      </c>
      <c r="BQ79" s="23" t="str">
        <f t="shared" ca="1" si="441"/>
        <v/>
      </c>
      <c r="BR79" s="23" t="str">
        <f t="shared" ca="1" si="442"/>
        <v/>
      </c>
      <c r="BS79" s="23" t="str">
        <f t="shared" ca="1" si="443"/>
        <v/>
      </c>
      <c r="BT79" s="23" t="str">
        <f t="shared" ca="1" si="444"/>
        <v/>
      </c>
      <c r="BU79" s="23" t="str">
        <f t="shared" ca="1" si="445"/>
        <v/>
      </c>
      <c r="BV79" s="23" t="str">
        <f t="shared" ca="1" si="446"/>
        <v/>
      </c>
      <c r="BW79" s="23" t="str">
        <f t="shared" ca="1" si="447"/>
        <v/>
      </c>
      <c r="BX79" s="23" t="str">
        <f t="shared" ca="1" si="448"/>
        <v/>
      </c>
      <c r="BY79" s="23" t="str">
        <f t="shared" ca="1" si="449"/>
        <v/>
      </c>
      <c r="BZ79" s="23" t="str">
        <f t="shared" ca="1" si="450"/>
        <v/>
      </c>
      <c r="CA79" s="23" t="str">
        <f t="shared" ca="1" si="451"/>
        <v/>
      </c>
      <c r="CB79" s="23" t="str">
        <f t="shared" ca="1" si="452"/>
        <v/>
      </c>
      <c r="CC79" s="23" t="str">
        <f t="shared" ca="1" si="453"/>
        <v/>
      </c>
      <c r="CD79" s="23" t="str">
        <f t="shared" ca="1" si="454"/>
        <v/>
      </c>
      <c r="CE79" s="23" t="str">
        <f t="shared" ca="1" si="455"/>
        <v/>
      </c>
      <c r="CF79" s="23" t="str">
        <f t="shared" ca="1" si="456"/>
        <v/>
      </c>
      <c r="CG79" s="23" t="str">
        <f t="shared" ca="1" si="457"/>
        <v/>
      </c>
      <c r="CH79" s="23" t="str">
        <f t="shared" ca="1" si="458"/>
        <v/>
      </c>
      <c r="CI79" s="23" t="str">
        <f t="shared" ca="1" si="459"/>
        <v/>
      </c>
      <c r="CJ79" s="23" t="str">
        <f t="shared" ca="1" si="460"/>
        <v/>
      </c>
      <c r="CK79" s="23" t="str">
        <f t="shared" ca="1" si="461"/>
        <v/>
      </c>
      <c r="CL79" s="23" t="str">
        <f t="shared" ca="1" si="462"/>
        <v/>
      </c>
      <c r="CM79" s="23" t="str">
        <f t="shared" ca="1" si="463"/>
        <v/>
      </c>
      <c r="CN79" s="23" t="str">
        <f t="shared" ca="1" si="464"/>
        <v/>
      </c>
      <c r="CO79" s="23" t="str">
        <f t="shared" ca="1" si="465"/>
        <v/>
      </c>
      <c r="CP79" s="23" t="str">
        <f t="shared" ca="1" si="466"/>
        <v/>
      </c>
      <c r="CQ79" s="23" t="str">
        <f t="shared" ca="1" si="467"/>
        <v/>
      </c>
      <c r="CR79" s="23" t="str">
        <f t="shared" ca="1" si="468"/>
        <v/>
      </c>
      <c r="CS79" s="23" t="str">
        <f t="shared" ca="1" si="469"/>
        <v/>
      </c>
      <c r="CT79" s="23" t="str">
        <f t="shared" ca="1" si="470"/>
        <v/>
      </c>
      <c r="CU79" s="23" t="str">
        <f t="shared" ca="1" si="471"/>
        <v/>
      </c>
      <c r="CV79" s="23" t="str">
        <f t="shared" ca="1" si="472"/>
        <v/>
      </c>
      <c r="CW79" s="23" t="str">
        <f t="shared" ca="1" si="473"/>
        <v/>
      </c>
      <c r="CX79" s="23" t="str">
        <f ca="1">IF(CX$11="","",IF(CX$13=$M$5,CHOOSE($Q$6+1,$M$1,CY79+CZ79-#REF!),IF(CX$13=$M$6,CHOOSE($Q$6+1,$M$1,OFFSET($A79,,$P$7-1)),IF(CX$13=$M$7,CHOOSE($Q$6+1,$M$1,SUM(OFFSET($A$11,$B79-$O$5,$O$6,1,-$P$6))),IF(CX$13=$M$8,CHOOSE($Q$6+1,$M$1,SUM(OFFSET($A$11,$B79-$O$5,$O$7,1,-$P$6))),IF(CX$11&lt;$D$7,OFFSET(INDIRECT($D$3),$A79-1,$Q$3+CX$11),OFFSET(INDIRECT($D$4),$A79-1,$Q$4+CX$11)))))))</f>
        <v/>
      </c>
      <c r="CY79" s="23" t="str">
        <f ca="1">IF(CY$11="","",IF(CY$13=$M$5,CHOOSE($Q$6+1,$M$1,CZ79+#REF!-#REF!),IF(CY$13=$M$6,CHOOSE($Q$6+1,$M$1,OFFSET($A79,,$P$7-1)),IF(CY$13=$M$7,CHOOSE($Q$6+1,$M$1,SUM(OFFSET($A$11,$B79-$O$5,$O$6,1,-$P$6))),IF(CY$13=$M$8,CHOOSE($Q$6+1,$M$1,SUM(OFFSET($A$11,$B79-$O$5,$O$7,1,-$P$6))),IF(CY$11&lt;$D$7,OFFSET(INDIRECT($D$3),$A79-1,$Q$3+CY$11),OFFSET(INDIRECT($D$4),$A79-1,$Q$4+CY$11)))))))</f>
        <v/>
      </c>
      <c r="CZ79" s="23" t="str">
        <f ca="1">IF(CZ$11="","",IF(CZ$13=$M$5,CHOOSE($Q$6+1,$M$1,#REF!+#REF!-#REF!),IF(CZ$13=$M$6,CHOOSE($Q$6+1,$M$1,OFFSET($A79,,$P$7-1)),IF(CZ$13=$M$7,CHOOSE($Q$6+1,$M$1,SUM(OFFSET($A$11,$B79-$O$5,$O$6,1,-$P$6))),IF(CZ$13=$M$8,CHOOSE($Q$6+1,$M$1,SUM(OFFSET($A$11,$B79-$O$5,$O$7,1,-$P$6))),IF(CZ$11&lt;$D$7,OFFSET(INDIRECT($D$3),$A79-1,$Q$3+CZ$11),OFFSET(INDIRECT($D$4),$A79-1,$Q$4+CZ$11)))))))</f>
        <v/>
      </c>
    </row>
    <row r="80" spans="1:104" ht="13.5" customHeight="1">
      <c r="A80" s="27">
        <v>68</v>
      </c>
      <c r="B80" s="33">
        <f t="shared" si="14"/>
        <v>80</v>
      </c>
      <c r="C80" s="9" t="s">
        <v>349</v>
      </c>
      <c r="D80" s="23">
        <f t="shared" ca="1" si="376"/>
        <v>27.68</v>
      </c>
      <c r="E80" s="23">
        <f t="shared" ca="1" si="377"/>
        <v>44.15</v>
      </c>
      <c r="F80" s="23">
        <f t="shared" ca="1" si="378"/>
        <v>6.4</v>
      </c>
      <c r="G80" s="23">
        <f t="shared" ca="1" si="379"/>
        <v>7.79</v>
      </c>
      <c r="H80" s="23">
        <f t="shared" ca="1" si="380"/>
        <v>7.05</v>
      </c>
      <c r="I80" s="23">
        <f t="shared" ca="1" si="381"/>
        <v>13.87</v>
      </c>
      <c r="J80" s="23">
        <f t="shared" ca="1" si="382"/>
        <v>12.3</v>
      </c>
      <c r="K80" s="23">
        <f t="shared" ca="1" si="383"/>
        <v>9.32</v>
      </c>
      <c r="L80" s="23">
        <f t="shared" ca="1" si="384"/>
        <v>8.67</v>
      </c>
      <c r="M80" s="23">
        <f t="shared" ca="1" si="385"/>
        <v>13.81</v>
      </c>
      <c r="N80" s="23">
        <f t="shared" ca="1" si="386"/>
        <v>44.09</v>
      </c>
      <c r="O80" s="23">
        <f t="shared" ca="1" si="387"/>
        <v>44.15</v>
      </c>
      <c r="P80" s="23">
        <f t="shared" ca="1" si="388"/>
        <v>13.81</v>
      </c>
      <c r="Q80" s="23">
        <f t="shared" ca="1" si="389"/>
        <v>13.87</v>
      </c>
      <c r="R80" s="23" t="str">
        <f t="shared" ca="1" si="390"/>
        <v/>
      </c>
      <c r="S80" s="23" t="str">
        <f t="shared" ca="1" si="391"/>
        <v/>
      </c>
      <c r="T80" s="23" t="str">
        <f t="shared" ca="1" si="392"/>
        <v/>
      </c>
      <c r="U80" s="23" t="str">
        <f t="shared" ca="1" si="393"/>
        <v/>
      </c>
      <c r="V80" s="23" t="str">
        <f t="shared" ca="1" si="394"/>
        <v/>
      </c>
      <c r="W80" s="23" t="str">
        <f t="shared" ca="1" si="395"/>
        <v/>
      </c>
      <c r="X80" s="23" t="str">
        <f t="shared" ca="1" si="396"/>
        <v/>
      </c>
      <c r="Y80" s="23" t="str">
        <f t="shared" ca="1" si="397"/>
        <v/>
      </c>
      <c r="Z80" s="23" t="str">
        <f t="shared" ca="1" si="398"/>
        <v/>
      </c>
      <c r="AA80" s="23" t="str">
        <f t="shared" ca="1" si="399"/>
        <v/>
      </c>
      <c r="AB80" s="23" t="str">
        <f t="shared" ca="1" si="400"/>
        <v/>
      </c>
      <c r="AC80" s="23" t="str">
        <f t="shared" ca="1" si="401"/>
        <v/>
      </c>
      <c r="AD80" s="23" t="str">
        <f t="shared" ca="1" si="402"/>
        <v/>
      </c>
      <c r="AE80" s="23" t="str">
        <f t="shared" ca="1" si="403"/>
        <v/>
      </c>
      <c r="AF80" s="23" t="str">
        <f t="shared" ca="1" si="404"/>
        <v/>
      </c>
      <c r="AG80" s="23" t="str">
        <f t="shared" ca="1" si="405"/>
        <v/>
      </c>
      <c r="AH80" s="23" t="str">
        <f t="shared" ca="1" si="406"/>
        <v/>
      </c>
      <c r="AI80" s="23" t="str">
        <f t="shared" ca="1" si="407"/>
        <v/>
      </c>
      <c r="AJ80" s="23" t="str">
        <f t="shared" ca="1" si="408"/>
        <v/>
      </c>
      <c r="AK80" s="23" t="str">
        <f t="shared" ca="1" si="409"/>
        <v/>
      </c>
      <c r="AL80" s="23" t="str">
        <f t="shared" ca="1" si="410"/>
        <v/>
      </c>
      <c r="AM80" s="23" t="str">
        <f t="shared" ca="1" si="411"/>
        <v/>
      </c>
      <c r="AN80" s="23" t="str">
        <f t="shared" ca="1" si="412"/>
        <v/>
      </c>
      <c r="AO80" s="23" t="str">
        <f t="shared" ca="1" si="413"/>
        <v/>
      </c>
      <c r="AP80" s="23" t="str">
        <f t="shared" ca="1" si="414"/>
        <v/>
      </c>
      <c r="AQ80" s="23" t="str">
        <f t="shared" ca="1" si="415"/>
        <v/>
      </c>
      <c r="AR80" s="23" t="str">
        <f t="shared" ca="1" si="416"/>
        <v/>
      </c>
      <c r="AS80" s="23" t="str">
        <f t="shared" ca="1" si="417"/>
        <v/>
      </c>
      <c r="AT80" s="23" t="str">
        <f t="shared" ca="1" si="418"/>
        <v/>
      </c>
      <c r="AU80" s="23" t="str">
        <f t="shared" ca="1" si="419"/>
        <v/>
      </c>
      <c r="AV80" s="23" t="str">
        <f t="shared" ca="1" si="420"/>
        <v/>
      </c>
      <c r="AW80" s="23" t="str">
        <f t="shared" ca="1" si="421"/>
        <v/>
      </c>
      <c r="AX80" s="23" t="str">
        <f t="shared" ca="1" si="422"/>
        <v/>
      </c>
      <c r="AY80" s="23" t="str">
        <f t="shared" ca="1" si="423"/>
        <v/>
      </c>
      <c r="AZ80" s="23" t="str">
        <f t="shared" ca="1" si="424"/>
        <v/>
      </c>
      <c r="BA80" s="23" t="str">
        <f t="shared" ca="1" si="425"/>
        <v/>
      </c>
      <c r="BB80" s="23" t="str">
        <f t="shared" ca="1" si="426"/>
        <v/>
      </c>
      <c r="BC80" s="23" t="str">
        <f t="shared" ca="1" si="427"/>
        <v/>
      </c>
      <c r="BD80" s="23" t="str">
        <f t="shared" ca="1" si="428"/>
        <v/>
      </c>
      <c r="BE80" s="23" t="str">
        <f t="shared" ca="1" si="429"/>
        <v/>
      </c>
      <c r="BF80" s="23" t="str">
        <f t="shared" ca="1" si="430"/>
        <v/>
      </c>
      <c r="BG80" s="23" t="str">
        <f t="shared" ca="1" si="431"/>
        <v/>
      </c>
      <c r="BH80" s="23" t="str">
        <f t="shared" ca="1" si="432"/>
        <v/>
      </c>
      <c r="BI80" s="23" t="str">
        <f t="shared" ca="1" si="433"/>
        <v/>
      </c>
      <c r="BJ80" s="23" t="str">
        <f t="shared" ca="1" si="434"/>
        <v/>
      </c>
      <c r="BK80" s="23" t="str">
        <f t="shared" ca="1" si="435"/>
        <v/>
      </c>
      <c r="BL80" s="23" t="str">
        <f t="shared" ca="1" si="436"/>
        <v/>
      </c>
      <c r="BM80" s="23" t="str">
        <f t="shared" ca="1" si="437"/>
        <v/>
      </c>
      <c r="BN80" s="23" t="str">
        <f t="shared" ca="1" si="438"/>
        <v/>
      </c>
      <c r="BO80" s="23" t="str">
        <f t="shared" ca="1" si="439"/>
        <v/>
      </c>
      <c r="BP80" s="23" t="str">
        <f t="shared" ca="1" si="440"/>
        <v/>
      </c>
      <c r="BQ80" s="23" t="str">
        <f t="shared" ca="1" si="441"/>
        <v/>
      </c>
      <c r="BR80" s="23" t="str">
        <f t="shared" ca="1" si="442"/>
        <v/>
      </c>
      <c r="BS80" s="23" t="str">
        <f t="shared" ca="1" si="443"/>
        <v/>
      </c>
      <c r="BT80" s="23" t="str">
        <f t="shared" ca="1" si="444"/>
        <v/>
      </c>
      <c r="BU80" s="23" t="str">
        <f t="shared" ca="1" si="445"/>
        <v/>
      </c>
      <c r="BV80" s="23" t="str">
        <f t="shared" ca="1" si="446"/>
        <v/>
      </c>
      <c r="BW80" s="23" t="str">
        <f t="shared" ca="1" si="447"/>
        <v/>
      </c>
      <c r="BX80" s="23" t="str">
        <f t="shared" ca="1" si="448"/>
        <v/>
      </c>
      <c r="BY80" s="23" t="str">
        <f t="shared" ca="1" si="449"/>
        <v/>
      </c>
      <c r="BZ80" s="23" t="str">
        <f t="shared" ca="1" si="450"/>
        <v/>
      </c>
      <c r="CA80" s="23" t="str">
        <f t="shared" ca="1" si="451"/>
        <v/>
      </c>
      <c r="CB80" s="23" t="str">
        <f t="shared" ca="1" si="452"/>
        <v/>
      </c>
      <c r="CC80" s="23" t="str">
        <f t="shared" ca="1" si="453"/>
        <v/>
      </c>
      <c r="CD80" s="23" t="str">
        <f t="shared" ca="1" si="454"/>
        <v/>
      </c>
      <c r="CE80" s="23" t="str">
        <f t="shared" ca="1" si="455"/>
        <v/>
      </c>
      <c r="CF80" s="23" t="str">
        <f t="shared" ca="1" si="456"/>
        <v/>
      </c>
      <c r="CG80" s="23" t="str">
        <f t="shared" ca="1" si="457"/>
        <v/>
      </c>
      <c r="CH80" s="23" t="str">
        <f t="shared" ca="1" si="458"/>
        <v/>
      </c>
      <c r="CI80" s="23" t="str">
        <f t="shared" ca="1" si="459"/>
        <v/>
      </c>
      <c r="CJ80" s="23" t="str">
        <f t="shared" ca="1" si="460"/>
        <v/>
      </c>
      <c r="CK80" s="23" t="str">
        <f t="shared" ca="1" si="461"/>
        <v/>
      </c>
      <c r="CL80" s="23" t="str">
        <f t="shared" ca="1" si="462"/>
        <v/>
      </c>
      <c r="CM80" s="23" t="str">
        <f t="shared" ca="1" si="463"/>
        <v/>
      </c>
      <c r="CN80" s="23" t="str">
        <f t="shared" ca="1" si="464"/>
        <v/>
      </c>
      <c r="CO80" s="23" t="str">
        <f t="shared" ca="1" si="465"/>
        <v/>
      </c>
      <c r="CP80" s="23" t="str">
        <f t="shared" ca="1" si="466"/>
        <v/>
      </c>
      <c r="CQ80" s="23" t="str">
        <f t="shared" ca="1" si="467"/>
        <v/>
      </c>
      <c r="CR80" s="23" t="str">
        <f t="shared" ca="1" si="468"/>
        <v/>
      </c>
      <c r="CS80" s="23" t="str">
        <f t="shared" ca="1" si="469"/>
        <v/>
      </c>
      <c r="CT80" s="23" t="str">
        <f t="shared" ca="1" si="470"/>
        <v/>
      </c>
      <c r="CU80" s="23" t="str">
        <f t="shared" ca="1" si="471"/>
        <v/>
      </c>
      <c r="CV80" s="23" t="str">
        <f t="shared" ca="1" si="472"/>
        <v/>
      </c>
      <c r="CW80" s="23" t="str">
        <f t="shared" ca="1" si="473"/>
        <v/>
      </c>
      <c r="CX80" s="23" t="str">
        <f ca="1">IF(CX$11="","",IF(CX$13=$M$5,CHOOSE($Q$6+1,$M$1,CY80+CZ80-#REF!),IF(CX$13=$M$6,CHOOSE($Q$6+1,$M$1,OFFSET($A80,,$P$7-1)),IF(CX$13=$M$7,CHOOSE($Q$6+1,$M$1,SUM(OFFSET($A$11,$B80-$O$5,$O$6,1,-$P$6))),IF(CX$13=$M$8,CHOOSE($Q$6+1,$M$1,SUM(OFFSET($A$11,$B80-$O$5,$O$7,1,-$P$6))),IF(CX$11&lt;$D$7,OFFSET(INDIRECT($D$3),$A80-1,$Q$3+CX$11),OFFSET(INDIRECT($D$4),$A80-1,$Q$4+CX$11)))))))</f>
        <v/>
      </c>
      <c r="CY80" s="23" t="str">
        <f ca="1">IF(CY$11="","",IF(CY$13=$M$5,CHOOSE($Q$6+1,$M$1,CZ80+#REF!-#REF!),IF(CY$13=$M$6,CHOOSE($Q$6+1,$M$1,OFFSET($A80,,$P$7-1)),IF(CY$13=$M$7,CHOOSE($Q$6+1,$M$1,SUM(OFFSET($A$11,$B80-$O$5,$O$6,1,-$P$6))),IF(CY$13=$M$8,CHOOSE($Q$6+1,$M$1,SUM(OFFSET($A$11,$B80-$O$5,$O$7,1,-$P$6))),IF(CY$11&lt;$D$7,OFFSET(INDIRECT($D$3),$A80-1,$Q$3+CY$11),OFFSET(INDIRECT($D$4),$A80-1,$Q$4+CY$11)))))))</f>
        <v/>
      </c>
      <c r="CZ80" s="23" t="str">
        <f ca="1">IF(CZ$11="","",IF(CZ$13=$M$5,CHOOSE($Q$6+1,$M$1,#REF!+#REF!-#REF!),IF(CZ$13=$M$6,CHOOSE($Q$6+1,$M$1,OFFSET($A80,,$P$7-1)),IF(CZ$13=$M$7,CHOOSE($Q$6+1,$M$1,SUM(OFFSET($A$11,$B80-$O$5,$O$6,1,-$P$6))),IF(CZ$13=$M$8,CHOOSE($Q$6+1,$M$1,SUM(OFFSET($A$11,$B80-$O$5,$O$7,1,-$P$6))),IF(CZ$11&lt;$D$7,OFFSET(INDIRECT($D$3),$A80-1,$Q$3+CZ$11),OFFSET(INDIRECT($D$4),$A80-1,$Q$4+CZ$11)))))))</f>
        <v/>
      </c>
    </row>
    <row r="81" spans="1:104" ht="13.5" customHeight="1">
      <c r="A81" s="27">
        <v>69</v>
      </c>
      <c r="B81" s="33">
        <f t="shared" ref="B81:B144" si="474">ROW($A81)</f>
        <v>81</v>
      </c>
      <c r="C81" s="9" t="s">
        <v>350</v>
      </c>
      <c r="D81" s="23">
        <f t="shared" ca="1" si="376"/>
        <v>0</v>
      </c>
      <c r="E81" s="23">
        <f t="shared" ca="1" si="377"/>
        <v>0</v>
      </c>
      <c r="F81" s="23">
        <f t="shared" ca="1" si="378"/>
        <v>0</v>
      </c>
      <c r="G81" s="23">
        <f t="shared" ca="1" si="379"/>
        <v>0</v>
      </c>
      <c r="H81" s="23">
        <f t="shared" ca="1" si="380"/>
        <v>0</v>
      </c>
      <c r="I81" s="23">
        <f t="shared" ca="1" si="381"/>
        <v>0</v>
      </c>
      <c r="J81" s="23">
        <f t="shared" ca="1" si="382"/>
        <v>0</v>
      </c>
      <c r="K81" s="23">
        <f t="shared" ca="1" si="383"/>
        <v>0</v>
      </c>
      <c r="L81" s="23">
        <f t="shared" ca="1" si="384"/>
        <v>0</v>
      </c>
      <c r="M81" s="23">
        <f t="shared" ca="1" si="385"/>
        <v>0</v>
      </c>
      <c r="N81" s="23">
        <f t="shared" ca="1" si="386"/>
        <v>0</v>
      </c>
      <c r="O81" s="23">
        <f t="shared" ca="1" si="387"/>
        <v>0</v>
      </c>
      <c r="P81" s="23">
        <f t="shared" ca="1" si="388"/>
        <v>0</v>
      </c>
      <c r="Q81" s="23">
        <f t="shared" ca="1" si="389"/>
        <v>0</v>
      </c>
      <c r="R81" s="23" t="str">
        <f t="shared" ca="1" si="390"/>
        <v/>
      </c>
      <c r="S81" s="23" t="str">
        <f t="shared" ca="1" si="391"/>
        <v/>
      </c>
      <c r="T81" s="23" t="str">
        <f t="shared" ca="1" si="392"/>
        <v/>
      </c>
      <c r="U81" s="23" t="str">
        <f t="shared" ca="1" si="393"/>
        <v/>
      </c>
      <c r="V81" s="23" t="str">
        <f t="shared" ca="1" si="394"/>
        <v/>
      </c>
      <c r="W81" s="23" t="str">
        <f t="shared" ca="1" si="395"/>
        <v/>
      </c>
      <c r="X81" s="23" t="str">
        <f t="shared" ca="1" si="396"/>
        <v/>
      </c>
      <c r="Y81" s="23" t="str">
        <f t="shared" ca="1" si="397"/>
        <v/>
      </c>
      <c r="Z81" s="23" t="str">
        <f t="shared" ca="1" si="398"/>
        <v/>
      </c>
      <c r="AA81" s="23" t="str">
        <f t="shared" ca="1" si="399"/>
        <v/>
      </c>
      <c r="AB81" s="23" t="str">
        <f t="shared" ca="1" si="400"/>
        <v/>
      </c>
      <c r="AC81" s="23" t="str">
        <f t="shared" ca="1" si="401"/>
        <v/>
      </c>
      <c r="AD81" s="23" t="str">
        <f t="shared" ca="1" si="402"/>
        <v/>
      </c>
      <c r="AE81" s="23" t="str">
        <f t="shared" ca="1" si="403"/>
        <v/>
      </c>
      <c r="AF81" s="23" t="str">
        <f t="shared" ca="1" si="404"/>
        <v/>
      </c>
      <c r="AG81" s="23" t="str">
        <f t="shared" ca="1" si="405"/>
        <v/>
      </c>
      <c r="AH81" s="23" t="str">
        <f t="shared" ca="1" si="406"/>
        <v/>
      </c>
      <c r="AI81" s="23" t="str">
        <f t="shared" ca="1" si="407"/>
        <v/>
      </c>
      <c r="AJ81" s="23" t="str">
        <f t="shared" ca="1" si="408"/>
        <v/>
      </c>
      <c r="AK81" s="23" t="str">
        <f t="shared" ca="1" si="409"/>
        <v/>
      </c>
      <c r="AL81" s="23" t="str">
        <f t="shared" ca="1" si="410"/>
        <v/>
      </c>
      <c r="AM81" s="23" t="str">
        <f t="shared" ca="1" si="411"/>
        <v/>
      </c>
      <c r="AN81" s="23" t="str">
        <f t="shared" ca="1" si="412"/>
        <v/>
      </c>
      <c r="AO81" s="23" t="str">
        <f t="shared" ca="1" si="413"/>
        <v/>
      </c>
      <c r="AP81" s="23" t="str">
        <f t="shared" ca="1" si="414"/>
        <v/>
      </c>
      <c r="AQ81" s="23" t="str">
        <f t="shared" ca="1" si="415"/>
        <v/>
      </c>
      <c r="AR81" s="23" t="str">
        <f t="shared" ca="1" si="416"/>
        <v/>
      </c>
      <c r="AS81" s="23" t="str">
        <f t="shared" ca="1" si="417"/>
        <v/>
      </c>
      <c r="AT81" s="23" t="str">
        <f t="shared" ca="1" si="418"/>
        <v/>
      </c>
      <c r="AU81" s="23" t="str">
        <f t="shared" ca="1" si="419"/>
        <v/>
      </c>
      <c r="AV81" s="23" t="str">
        <f t="shared" ca="1" si="420"/>
        <v/>
      </c>
      <c r="AW81" s="23" t="str">
        <f t="shared" ca="1" si="421"/>
        <v/>
      </c>
      <c r="AX81" s="23" t="str">
        <f t="shared" ca="1" si="422"/>
        <v/>
      </c>
      <c r="AY81" s="23" t="str">
        <f t="shared" ca="1" si="423"/>
        <v/>
      </c>
      <c r="AZ81" s="23" t="str">
        <f t="shared" ca="1" si="424"/>
        <v/>
      </c>
      <c r="BA81" s="23" t="str">
        <f t="shared" ca="1" si="425"/>
        <v/>
      </c>
      <c r="BB81" s="23" t="str">
        <f t="shared" ca="1" si="426"/>
        <v/>
      </c>
      <c r="BC81" s="23" t="str">
        <f t="shared" ca="1" si="427"/>
        <v/>
      </c>
      <c r="BD81" s="23" t="str">
        <f t="shared" ca="1" si="428"/>
        <v/>
      </c>
      <c r="BE81" s="23" t="str">
        <f t="shared" ca="1" si="429"/>
        <v/>
      </c>
      <c r="BF81" s="23" t="str">
        <f t="shared" ca="1" si="430"/>
        <v/>
      </c>
      <c r="BG81" s="23" t="str">
        <f t="shared" ca="1" si="431"/>
        <v/>
      </c>
      <c r="BH81" s="23" t="str">
        <f t="shared" ca="1" si="432"/>
        <v/>
      </c>
      <c r="BI81" s="23" t="str">
        <f t="shared" ca="1" si="433"/>
        <v/>
      </c>
      <c r="BJ81" s="23" t="str">
        <f t="shared" ca="1" si="434"/>
        <v/>
      </c>
      <c r="BK81" s="23" t="str">
        <f t="shared" ca="1" si="435"/>
        <v/>
      </c>
      <c r="BL81" s="23" t="str">
        <f t="shared" ca="1" si="436"/>
        <v/>
      </c>
      <c r="BM81" s="23" t="str">
        <f t="shared" ca="1" si="437"/>
        <v/>
      </c>
      <c r="BN81" s="23" t="str">
        <f t="shared" ca="1" si="438"/>
        <v/>
      </c>
      <c r="BO81" s="23" t="str">
        <f t="shared" ca="1" si="439"/>
        <v/>
      </c>
      <c r="BP81" s="23" t="str">
        <f t="shared" ca="1" si="440"/>
        <v/>
      </c>
      <c r="BQ81" s="23" t="str">
        <f t="shared" ca="1" si="441"/>
        <v/>
      </c>
      <c r="BR81" s="23" t="str">
        <f t="shared" ca="1" si="442"/>
        <v/>
      </c>
      <c r="BS81" s="23" t="str">
        <f t="shared" ca="1" si="443"/>
        <v/>
      </c>
      <c r="BT81" s="23" t="str">
        <f t="shared" ca="1" si="444"/>
        <v/>
      </c>
      <c r="BU81" s="23" t="str">
        <f t="shared" ca="1" si="445"/>
        <v/>
      </c>
      <c r="BV81" s="23" t="str">
        <f t="shared" ca="1" si="446"/>
        <v/>
      </c>
      <c r="BW81" s="23" t="str">
        <f t="shared" ca="1" si="447"/>
        <v/>
      </c>
      <c r="BX81" s="23" t="str">
        <f t="shared" ca="1" si="448"/>
        <v/>
      </c>
      <c r="BY81" s="23" t="str">
        <f t="shared" ca="1" si="449"/>
        <v/>
      </c>
      <c r="BZ81" s="23" t="str">
        <f t="shared" ca="1" si="450"/>
        <v/>
      </c>
      <c r="CA81" s="23" t="str">
        <f t="shared" ca="1" si="451"/>
        <v/>
      </c>
      <c r="CB81" s="23" t="str">
        <f t="shared" ca="1" si="452"/>
        <v/>
      </c>
      <c r="CC81" s="23" t="str">
        <f t="shared" ca="1" si="453"/>
        <v/>
      </c>
      <c r="CD81" s="23" t="str">
        <f t="shared" ca="1" si="454"/>
        <v/>
      </c>
      <c r="CE81" s="23" t="str">
        <f t="shared" ca="1" si="455"/>
        <v/>
      </c>
      <c r="CF81" s="23" t="str">
        <f t="shared" ca="1" si="456"/>
        <v/>
      </c>
      <c r="CG81" s="23" t="str">
        <f t="shared" ca="1" si="457"/>
        <v/>
      </c>
      <c r="CH81" s="23" t="str">
        <f t="shared" ca="1" si="458"/>
        <v/>
      </c>
      <c r="CI81" s="23" t="str">
        <f t="shared" ca="1" si="459"/>
        <v/>
      </c>
      <c r="CJ81" s="23" t="str">
        <f t="shared" ca="1" si="460"/>
        <v/>
      </c>
      <c r="CK81" s="23" t="str">
        <f t="shared" ca="1" si="461"/>
        <v/>
      </c>
      <c r="CL81" s="23" t="str">
        <f t="shared" ca="1" si="462"/>
        <v/>
      </c>
      <c r="CM81" s="23" t="str">
        <f t="shared" ca="1" si="463"/>
        <v/>
      </c>
      <c r="CN81" s="23" t="str">
        <f t="shared" ca="1" si="464"/>
        <v/>
      </c>
      <c r="CO81" s="23" t="str">
        <f t="shared" ca="1" si="465"/>
        <v/>
      </c>
      <c r="CP81" s="23" t="str">
        <f t="shared" ca="1" si="466"/>
        <v/>
      </c>
      <c r="CQ81" s="23" t="str">
        <f t="shared" ca="1" si="467"/>
        <v/>
      </c>
      <c r="CR81" s="23" t="str">
        <f t="shared" ca="1" si="468"/>
        <v/>
      </c>
      <c r="CS81" s="23" t="str">
        <f t="shared" ca="1" si="469"/>
        <v/>
      </c>
      <c r="CT81" s="23" t="str">
        <f t="shared" ca="1" si="470"/>
        <v/>
      </c>
      <c r="CU81" s="23" t="str">
        <f t="shared" ca="1" si="471"/>
        <v/>
      </c>
      <c r="CV81" s="23" t="str">
        <f t="shared" ca="1" si="472"/>
        <v/>
      </c>
      <c r="CW81" s="23" t="str">
        <f t="shared" ca="1" si="473"/>
        <v/>
      </c>
      <c r="CX81" s="23" t="str">
        <f ca="1">IF(CX$11="","",IF(CX$13=$M$5,CHOOSE($Q$6+1,$M$1,CY81+CZ81-#REF!),IF(CX$13=$M$6,CHOOSE($Q$6+1,$M$1,OFFSET($A81,,$P$7-1)),IF(CX$13=$M$7,CHOOSE($Q$6+1,$M$1,SUM(OFFSET($A$11,$B81-$O$5,$O$6,1,-$P$6))),IF(CX$13=$M$8,CHOOSE($Q$6+1,$M$1,SUM(OFFSET($A$11,$B81-$O$5,$O$7,1,-$P$6))),IF(CX$11&lt;$D$7,OFFSET(INDIRECT($D$3),$A81-1,$Q$3+CX$11),OFFSET(INDIRECT($D$4),$A81-1,$Q$4+CX$11)))))))</f>
        <v/>
      </c>
      <c r="CY81" s="23" t="str">
        <f ca="1">IF(CY$11="","",IF(CY$13=$M$5,CHOOSE($Q$6+1,$M$1,CZ81+#REF!-#REF!),IF(CY$13=$M$6,CHOOSE($Q$6+1,$M$1,OFFSET($A81,,$P$7-1)),IF(CY$13=$M$7,CHOOSE($Q$6+1,$M$1,SUM(OFFSET($A$11,$B81-$O$5,$O$6,1,-$P$6))),IF(CY$13=$M$8,CHOOSE($Q$6+1,$M$1,SUM(OFFSET($A$11,$B81-$O$5,$O$7,1,-$P$6))),IF(CY$11&lt;$D$7,OFFSET(INDIRECT($D$3),$A81-1,$Q$3+CY$11),OFFSET(INDIRECT($D$4),$A81-1,$Q$4+CY$11)))))))</f>
        <v/>
      </c>
      <c r="CZ81" s="23" t="str">
        <f ca="1">IF(CZ$11="","",IF(CZ$13=$M$5,CHOOSE($Q$6+1,$M$1,#REF!+#REF!-#REF!),IF(CZ$13=$M$6,CHOOSE($Q$6+1,$M$1,OFFSET($A81,,$P$7-1)),IF(CZ$13=$M$7,CHOOSE($Q$6+1,$M$1,SUM(OFFSET($A$11,$B81-$O$5,$O$6,1,-$P$6))),IF(CZ$13=$M$8,CHOOSE($Q$6+1,$M$1,SUM(OFFSET($A$11,$B81-$O$5,$O$7,1,-$P$6))),IF(CZ$11&lt;$D$7,OFFSET(INDIRECT($D$3),$A81-1,$Q$3+CZ$11),OFFSET(INDIRECT($D$4),$A81-1,$Q$4+CZ$11)))))))</f>
        <v/>
      </c>
    </row>
    <row r="82" spans="1:104" ht="13.5" customHeight="1">
      <c r="A82" s="27">
        <v>70</v>
      </c>
      <c r="B82" s="33">
        <f t="shared" si="474"/>
        <v>82</v>
      </c>
      <c r="C82" s="9" t="s">
        <v>351</v>
      </c>
      <c r="D82" s="23">
        <f t="shared" ca="1" si="376"/>
        <v>0</v>
      </c>
      <c r="E82" s="23">
        <f t="shared" ca="1" si="377"/>
        <v>0</v>
      </c>
      <c r="F82" s="23">
        <f t="shared" ca="1" si="378"/>
        <v>0</v>
      </c>
      <c r="G82" s="23">
        <f t="shared" ca="1" si="379"/>
        <v>0</v>
      </c>
      <c r="H82" s="23">
        <f t="shared" ca="1" si="380"/>
        <v>0</v>
      </c>
      <c r="I82" s="23">
        <f t="shared" ca="1" si="381"/>
        <v>0</v>
      </c>
      <c r="J82" s="23">
        <f t="shared" ca="1" si="382"/>
        <v>0</v>
      </c>
      <c r="K82" s="23">
        <f t="shared" ca="1" si="383"/>
        <v>0</v>
      </c>
      <c r="L82" s="23">
        <f t="shared" ca="1" si="384"/>
        <v>0</v>
      </c>
      <c r="M82" s="23">
        <f t="shared" ca="1" si="385"/>
        <v>0</v>
      </c>
      <c r="N82" s="23">
        <f t="shared" ca="1" si="386"/>
        <v>0</v>
      </c>
      <c r="O82" s="23">
        <f t="shared" ca="1" si="387"/>
        <v>0</v>
      </c>
      <c r="P82" s="23">
        <f t="shared" ca="1" si="388"/>
        <v>0</v>
      </c>
      <c r="Q82" s="23">
        <f t="shared" ca="1" si="389"/>
        <v>0</v>
      </c>
      <c r="R82" s="23" t="str">
        <f t="shared" ca="1" si="390"/>
        <v/>
      </c>
      <c r="S82" s="23" t="str">
        <f t="shared" ca="1" si="391"/>
        <v/>
      </c>
      <c r="T82" s="23" t="str">
        <f t="shared" ca="1" si="392"/>
        <v/>
      </c>
      <c r="U82" s="23" t="str">
        <f t="shared" ca="1" si="393"/>
        <v/>
      </c>
      <c r="V82" s="23" t="str">
        <f t="shared" ca="1" si="394"/>
        <v/>
      </c>
      <c r="W82" s="23" t="str">
        <f t="shared" ca="1" si="395"/>
        <v/>
      </c>
      <c r="X82" s="23" t="str">
        <f t="shared" ca="1" si="396"/>
        <v/>
      </c>
      <c r="Y82" s="23" t="str">
        <f t="shared" ca="1" si="397"/>
        <v/>
      </c>
      <c r="Z82" s="23" t="str">
        <f t="shared" ca="1" si="398"/>
        <v/>
      </c>
      <c r="AA82" s="23" t="str">
        <f t="shared" ca="1" si="399"/>
        <v/>
      </c>
      <c r="AB82" s="23" t="str">
        <f t="shared" ca="1" si="400"/>
        <v/>
      </c>
      <c r="AC82" s="23" t="str">
        <f t="shared" ca="1" si="401"/>
        <v/>
      </c>
      <c r="AD82" s="23" t="str">
        <f t="shared" ca="1" si="402"/>
        <v/>
      </c>
      <c r="AE82" s="23" t="str">
        <f t="shared" ca="1" si="403"/>
        <v/>
      </c>
      <c r="AF82" s="23" t="str">
        <f t="shared" ca="1" si="404"/>
        <v/>
      </c>
      <c r="AG82" s="23" t="str">
        <f t="shared" ca="1" si="405"/>
        <v/>
      </c>
      <c r="AH82" s="23" t="str">
        <f t="shared" ca="1" si="406"/>
        <v/>
      </c>
      <c r="AI82" s="23" t="str">
        <f t="shared" ca="1" si="407"/>
        <v/>
      </c>
      <c r="AJ82" s="23" t="str">
        <f t="shared" ca="1" si="408"/>
        <v/>
      </c>
      <c r="AK82" s="23" t="str">
        <f t="shared" ca="1" si="409"/>
        <v/>
      </c>
      <c r="AL82" s="23" t="str">
        <f t="shared" ca="1" si="410"/>
        <v/>
      </c>
      <c r="AM82" s="23" t="str">
        <f t="shared" ca="1" si="411"/>
        <v/>
      </c>
      <c r="AN82" s="23" t="str">
        <f t="shared" ca="1" si="412"/>
        <v/>
      </c>
      <c r="AO82" s="23" t="str">
        <f t="shared" ca="1" si="413"/>
        <v/>
      </c>
      <c r="AP82" s="23" t="str">
        <f t="shared" ca="1" si="414"/>
        <v/>
      </c>
      <c r="AQ82" s="23" t="str">
        <f t="shared" ca="1" si="415"/>
        <v/>
      </c>
      <c r="AR82" s="23" t="str">
        <f t="shared" ca="1" si="416"/>
        <v/>
      </c>
      <c r="AS82" s="23" t="str">
        <f t="shared" ca="1" si="417"/>
        <v/>
      </c>
      <c r="AT82" s="23" t="str">
        <f t="shared" ca="1" si="418"/>
        <v/>
      </c>
      <c r="AU82" s="23" t="str">
        <f t="shared" ca="1" si="419"/>
        <v/>
      </c>
      <c r="AV82" s="23" t="str">
        <f t="shared" ca="1" si="420"/>
        <v/>
      </c>
      <c r="AW82" s="23" t="str">
        <f t="shared" ca="1" si="421"/>
        <v/>
      </c>
      <c r="AX82" s="23" t="str">
        <f t="shared" ca="1" si="422"/>
        <v/>
      </c>
      <c r="AY82" s="23" t="str">
        <f t="shared" ca="1" si="423"/>
        <v/>
      </c>
      <c r="AZ82" s="23" t="str">
        <f t="shared" ca="1" si="424"/>
        <v/>
      </c>
      <c r="BA82" s="23" t="str">
        <f t="shared" ca="1" si="425"/>
        <v/>
      </c>
      <c r="BB82" s="23" t="str">
        <f t="shared" ca="1" si="426"/>
        <v/>
      </c>
      <c r="BC82" s="23" t="str">
        <f t="shared" ca="1" si="427"/>
        <v/>
      </c>
      <c r="BD82" s="23" t="str">
        <f t="shared" ca="1" si="428"/>
        <v/>
      </c>
      <c r="BE82" s="23" t="str">
        <f t="shared" ca="1" si="429"/>
        <v/>
      </c>
      <c r="BF82" s="23" t="str">
        <f t="shared" ca="1" si="430"/>
        <v/>
      </c>
      <c r="BG82" s="23" t="str">
        <f t="shared" ca="1" si="431"/>
        <v/>
      </c>
      <c r="BH82" s="23" t="str">
        <f t="shared" ca="1" si="432"/>
        <v/>
      </c>
      <c r="BI82" s="23" t="str">
        <f t="shared" ca="1" si="433"/>
        <v/>
      </c>
      <c r="BJ82" s="23" t="str">
        <f t="shared" ca="1" si="434"/>
        <v/>
      </c>
      <c r="BK82" s="23" t="str">
        <f t="shared" ca="1" si="435"/>
        <v/>
      </c>
      <c r="BL82" s="23" t="str">
        <f t="shared" ca="1" si="436"/>
        <v/>
      </c>
      <c r="BM82" s="23" t="str">
        <f t="shared" ca="1" si="437"/>
        <v/>
      </c>
      <c r="BN82" s="23" t="str">
        <f t="shared" ca="1" si="438"/>
        <v/>
      </c>
      <c r="BO82" s="23" t="str">
        <f t="shared" ca="1" si="439"/>
        <v/>
      </c>
      <c r="BP82" s="23" t="str">
        <f t="shared" ca="1" si="440"/>
        <v/>
      </c>
      <c r="BQ82" s="23" t="str">
        <f t="shared" ca="1" si="441"/>
        <v/>
      </c>
      <c r="BR82" s="23" t="str">
        <f t="shared" ca="1" si="442"/>
        <v/>
      </c>
      <c r="BS82" s="23" t="str">
        <f t="shared" ca="1" si="443"/>
        <v/>
      </c>
      <c r="BT82" s="23" t="str">
        <f t="shared" ca="1" si="444"/>
        <v/>
      </c>
      <c r="BU82" s="23" t="str">
        <f t="shared" ca="1" si="445"/>
        <v/>
      </c>
      <c r="BV82" s="23" t="str">
        <f t="shared" ca="1" si="446"/>
        <v/>
      </c>
      <c r="BW82" s="23" t="str">
        <f t="shared" ca="1" si="447"/>
        <v/>
      </c>
      <c r="BX82" s="23" t="str">
        <f t="shared" ca="1" si="448"/>
        <v/>
      </c>
      <c r="BY82" s="23" t="str">
        <f t="shared" ca="1" si="449"/>
        <v/>
      </c>
      <c r="BZ82" s="23" t="str">
        <f t="shared" ca="1" si="450"/>
        <v/>
      </c>
      <c r="CA82" s="23" t="str">
        <f t="shared" ca="1" si="451"/>
        <v/>
      </c>
      <c r="CB82" s="23" t="str">
        <f t="shared" ca="1" si="452"/>
        <v/>
      </c>
      <c r="CC82" s="23" t="str">
        <f t="shared" ca="1" si="453"/>
        <v/>
      </c>
      <c r="CD82" s="23" t="str">
        <f t="shared" ca="1" si="454"/>
        <v/>
      </c>
      <c r="CE82" s="23" t="str">
        <f t="shared" ca="1" si="455"/>
        <v/>
      </c>
      <c r="CF82" s="23" t="str">
        <f t="shared" ca="1" si="456"/>
        <v/>
      </c>
      <c r="CG82" s="23" t="str">
        <f t="shared" ca="1" si="457"/>
        <v/>
      </c>
      <c r="CH82" s="23" t="str">
        <f t="shared" ca="1" si="458"/>
        <v/>
      </c>
      <c r="CI82" s="23" t="str">
        <f t="shared" ca="1" si="459"/>
        <v/>
      </c>
      <c r="CJ82" s="23" t="str">
        <f t="shared" ca="1" si="460"/>
        <v/>
      </c>
      <c r="CK82" s="23" t="str">
        <f t="shared" ca="1" si="461"/>
        <v/>
      </c>
      <c r="CL82" s="23" t="str">
        <f t="shared" ca="1" si="462"/>
        <v/>
      </c>
      <c r="CM82" s="23" t="str">
        <f t="shared" ca="1" si="463"/>
        <v/>
      </c>
      <c r="CN82" s="23" t="str">
        <f t="shared" ca="1" si="464"/>
        <v/>
      </c>
      <c r="CO82" s="23" t="str">
        <f t="shared" ca="1" si="465"/>
        <v/>
      </c>
      <c r="CP82" s="23" t="str">
        <f t="shared" ca="1" si="466"/>
        <v/>
      </c>
      <c r="CQ82" s="23" t="str">
        <f t="shared" ca="1" si="467"/>
        <v/>
      </c>
      <c r="CR82" s="23" t="str">
        <f t="shared" ca="1" si="468"/>
        <v/>
      </c>
      <c r="CS82" s="23" t="str">
        <f t="shared" ca="1" si="469"/>
        <v/>
      </c>
      <c r="CT82" s="23" t="str">
        <f t="shared" ca="1" si="470"/>
        <v/>
      </c>
      <c r="CU82" s="23" t="str">
        <f t="shared" ca="1" si="471"/>
        <v/>
      </c>
      <c r="CV82" s="23" t="str">
        <f t="shared" ca="1" si="472"/>
        <v/>
      </c>
      <c r="CW82" s="23" t="str">
        <f t="shared" ca="1" si="473"/>
        <v/>
      </c>
      <c r="CX82" s="23" t="str">
        <f ca="1">IF(CX$11="","",IF(CX$13=$M$5,CHOOSE($Q$6+1,$M$1,CY82+CZ82-#REF!),IF(CX$13=$M$6,CHOOSE($Q$6+1,$M$1,OFFSET($A82,,$P$7-1)),IF(CX$13=$M$7,CHOOSE($Q$6+1,$M$1,SUM(OFFSET($A$11,$B82-$O$5,$O$6,1,-$P$6))),IF(CX$13=$M$8,CHOOSE($Q$6+1,$M$1,SUM(OFFSET($A$11,$B82-$O$5,$O$7,1,-$P$6))),IF(CX$11&lt;$D$7,OFFSET(INDIRECT($D$3),$A82-1,$Q$3+CX$11),OFFSET(INDIRECT($D$4),$A82-1,$Q$4+CX$11)))))))</f>
        <v/>
      </c>
      <c r="CY82" s="23" t="str">
        <f ca="1">IF(CY$11="","",IF(CY$13=$M$5,CHOOSE($Q$6+1,$M$1,CZ82+#REF!-#REF!),IF(CY$13=$M$6,CHOOSE($Q$6+1,$M$1,OFFSET($A82,,$P$7-1)),IF(CY$13=$M$7,CHOOSE($Q$6+1,$M$1,SUM(OFFSET($A$11,$B82-$O$5,$O$6,1,-$P$6))),IF(CY$13=$M$8,CHOOSE($Q$6+1,$M$1,SUM(OFFSET($A$11,$B82-$O$5,$O$7,1,-$P$6))),IF(CY$11&lt;$D$7,OFFSET(INDIRECT($D$3),$A82-1,$Q$3+CY$11),OFFSET(INDIRECT($D$4),$A82-1,$Q$4+CY$11)))))))</f>
        <v/>
      </c>
      <c r="CZ82" s="23" t="str">
        <f ca="1">IF(CZ$11="","",IF(CZ$13=$M$5,CHOOSE($Q$6+1,$M$1,#REF!+#REF!-#REF!),IF(CZ$13=$M$6,CHOOSE($Q$6+1,$M$1,OFFSET($A82,,$P$7-1)),IF(CZ$13=$M$7,CHOOSE($Q$6+1,$M$1,SUM(OFFSET($A$11,$B82-$O$5,$O$6,1,-$P$6))),IF(CZ$13=$M$8,CHOOSE($Q$6+1,$M$1,SUM(OFFSET($A$11,$B82-$O$5,$O$7,1,-$P$6))),IF(CZ$11&lt;$D$7,OFFSET(INDIRECT($D$3),$A82-1,$Q$3+CZ$11),OFFSET(INDIRECT($D$4),$A82-1,$Q$4+CZ$11)))))))</f>
        <v/>
      </c>
    </row>
    <row r="83" spans="1:104" ht="13.5" customHeight="1">
      <c r="A83" s="27">
        <v>71</v>
      </c>
      <c r="B83" s="33">
        <f t="shared" si="474"/>
        <v>83</v>
      </c>
      <c r="C83" s="9" t="s">
        <v>352</v>
      </c>
      <c r="D83" s="23">
        <f t="shared" ca="1" si="376"/>
        <v>0</v>
      </c>
      <c r="E83" s="23">
        <f t="shared" ca="1" si="377"/>
        <v>0</v>
      </c>
      <c r="F83" s="23">
        <f t="shared" ca="1" si="378"/>
        <v>0</v>
      </c>
      <c r="G83" s="23">
        <f t="shared" ca="1" si="379"/>
        <v>0</v>
      </c>
      <c r="H83" s="23">
        <f t="shared" ca="1" si="380"/>
        <v>0</v>
      </c>
      <c r="I83" s="23">
        <f t="shared" ca="1" si="381"/>
        <v>0</v>
      </c>
      <c r="J83" s="23">
        <f t="shared" ca="1" si="382"/>
        <v>0</v>
      </c>
      <c r="K83" s="23">
        <f t="shared" ca="1" si="383"/>
        <v>0</v>
      </c>
      <c r="L83" s="23">
        <f t="shared" ca="1" si="384"/>
        <v>0</v>
      </c>
      <c r="M83" s="23">
        <f t="shared" ca="1" si="385"/>
        <v>0</v>
      </c>
      <c r="N83" s="23">
        <f t="shared" ca="1" si="386"/>
        <v>0</v>
      </c>
      <c r="O83" s="23">
        <f t="shared" ca="1" si="387"/>
        <v>0</v>
      </c>
      <c r="P83" s="23">
        <f t="shared" ca="1" si="388"/>
        <v>0</v>
      </c>
      <c r="Q83" s="23">
        <f t="shared" ca="1" si="389"/>
        <v>0</v>
      </c>
      <c r="R83" s="23" t="str">
        <f t="shared" ca="1" si="390"/>
        <v/>
      </c>
      <c r="S83" s="23" t="str">
        <f t="shared" ca="1" si="391"/>
        <v/>
      </c>
      <c r="T83" s="23" t="str">
        <f t="shared" ca="1" si="392"/>
        <v/>
      </c>
      <c r="U83" s="23" t="str">
        <f t="shared" ca="1" si="393"/>
        <v/>
      </c>
      <c r="V83" s="23" t="str">
        <f t="shared" ca="1" si="394"/>
        <v/>
      </c>
      <c r="W83" s="23" t="str">
        <f t="shared" ca="1" si="395"/>
        <v/>
      </c>
      <c r="X83" s="23" t="str">
        <f t="shared" ca="1" si="396"/>
        <v/>
      </c>
      <c r="Y83" s="23" t="str">
        <f t="shared" ca="1" si="397"/>
        <v/>
      </c>
      <c r="Z83" s="23" t="str">
        <f t="shared" ca="1" si="398"/>
        <v/>
      </c>
      <c r="AA83" s="23" t="str">
        <f t="shared" ca="1" si="399"/>
        <v/>
      </c>
      <c r="AB83" s="23" t="str">
        <f t="shared" ca="1" si="400"/>
        <v/>
      </c>
      <c r="AC83" s="23" t="str">
        <f t="shared" ca="1" si="401"/>
        <v/>
      </c>
      <c r="AD83" s="23" t="str">
        <f t="shared" ca="1" si="402"/>
        <v/>
      </c>
      <c r="AE83" s="23" t="str">
        <f t="shared" ca="1" si="403"/>
        <v/>
      </c>
      <c r="AF83" s="23" t="str">
        <f t="shared" ca="1" si="404"/>
        <v/>
      </c>
      <c r="AG83" s="23" t="str">
        <f t="shared" ca="1" si="405"/>
        <v/>
      </c>
      <c r="AH83" s="23" t="str">
        <f t="shared" ca="1" si="406"/>
        <v/>
      </c>
      <c r="AI83" s="23" t="str">
        <f t="shared" ca="1" si="407"/>
        <v/>
      </c>
      <c r="AJ83" s="23" t="str">
        <f t="shared" ca="1" si="408"/>
        <v/>
      </c>
      <c r="AK83" s="23" t="str">
        <f t="shared" ca="1" si="409"/>
        <v/>
      </c>
      <c r="AL83" s="23" t="str">
        <f t="shared" ca="1" si="410"/>
        <v/>
      </c>
      <c r="AM83" s="23" t="str">
        <f t="shared" ca="1" si="411"/>
        <v/>
      </c>
      <c r="AN83" s="23" t="str">
        <f t="shared" ca="1" si="412"/>
        <v/>
      </c>
      <c r="AO83" s="23" t="str">
        <f t="shared" ca="1" si="413"/>
        <v/>
      </c>
      <c r="AP83" s="23" t="str">
        <f t="shared" ca="1" si="414"/>
        <v/>
      </c>
      <c r="AQ83" s="23" t="str">
        <f t="shared" ca="1" si="415"/>
        <v/>
      </c>
      <c r="AR83" s="23" t="str">
        <f t="shared" ca="1" si="416"/>
        <v/>
      </c>
      <c r="AS83" s="23" t="str">
        <f t="shared" ca="1" si="417"/>
        <v/>
      </c>
      <c r="AT83" s="23" t="str">
        <f t="shared" ca="1" si="418"/>
        <v/>
      </c>
      <c r="AU83" s="23" t="str">
        <f t="shared" ca="1" si="419"/>
        <v/>
      </c>
      <c r="AV83" s="23" t="str">
        <f t="shared" ca="1" si="420"/>
        <v/>
      </c>
      <c r="AW83" s="23" t="str">
        <f t="shared" ca="1" si="421"/>
        <v/>
      </c>
      <c r="AX83" s="23" t="str">
        <f t="shared" ca="1" si="422"/>
        <v/>
      </c>
      <c r="AY83" s="23" t="str">
        <f t="shared" ca="1" si="423"/>
        <v/>
      </c>
      <c r="AZ83" s="23" t="str">
        <f t="shared" ca="1" si="424"/>
        <v/>
      </c>
      <c r="BA83" s="23" t="str">
        <f t="shared" ca="1" si="425"/>
        <v/>
      </c>
      <c r="BB83" s="23" t="str">
        <f t="shared" ca="1" si="426"/>
        <v/>
      </c>
      <c r="BC83" s="23" t="str">
        <f t="shared" ca="1" si="427"/>
        <v/>
      </c>
      <c r="BD83" s="23" t="str">
        <f t="shared" ca="1" si="428"/>
        <v/>
      </c>
      <c r="BE83" s="23" t="str">
        <f t="shared" ca="1" si="429"/>
        <v/>
      </c>
      <c r="BF83" s="23" t="str">
        <f t="shared" ca="1" si="430"/>
        <v/>
      </c>
      <c r="BG83" s="23" t="str">
        <f t="shared" ca="1" si="431"/>
        <v/>
      </c>
      <c r="BH83" s="23" t="str">
        <f t="shared" ca="1" si="432"/>
        <v/>
      </c>
      <c r="BI83" s="23" t="str">
        <f t="shared" ca="1" si="433"/>
        <v/>
      </c>
      <c r="BJ83" s="23" t="str">
        <f t="shared" ca="1" si="434"/>
        <v/>
      </c>
      <c r="BK83" s="23" t="str">
        <f t="shared" ca="1" si="435"/>
        <v/>
      </c>
      <c r="BL83" s="23" t="str">
        <f t="shared" ca="1" si="436"/>
        <v/>
      </c>
      <c r="BM83" s="23" t="str">
        <f t="shared" ca="1" si="437"/>
        <v/>
      </c>
      <c r="BN83" s="23" t="str">
        <f t="shared" ca="1" si="438"/>
        <v/>
      </c>
      <c r="BO83" s="23" t="str">
        <f t="shared" ca="1" si="439"/>
        <v/>
      </c>
      <c r="BP83" s="23" t="str">
        <f t="shared" ca="1" si="440"/>
        <v/>
      </c>
      <c r="BQ83" s="23" t="str">
        <f t="shared" ca="1" si="441"/>
        <v/>
      </c>
      <c r="BR83" s="23" t="str">
        <f t="shared" ca="1" si="442"/>
        <v/>
      </c>
      <c r="BS83" s="23" t="str">
        <f t="shared" ca="1" si="443"/>
        <v/>
      </c>
      <c r="BT83" s="23" t="str">
        <f t="shared" ca="1" si="444"/>
        <v/>
      </c>
      <c r="BU83" s="23" t="str">
        <f t="shared" ca="1" si="445"/>
        <v/>
      </c>
      <c r="BV83" s="23" t="str">
        <f t="shared" ca="1" si="446"/>
        <v/>
      </c>
      <c r="BW83" s="23" t="str">
        <f t="shared" ca="1" si="447"/>
        <v/>
      </c>
      <c r="BX83" s="23" t="str">
        <f t="shared" ca="1" si="448"/>
        <v/>
      </c>
      <c r="BY83" s="23" t="str">
        <f t="shared" ca="1" si="449"/>
        <v/>
      </c>
      <c r="BZ83" s="23" t="str">
        <f t="shared" ca="1" si="450"/>
        <v/>
      </c>
      <c r="CA83" s="23" t="str">
        <f t="shared" ca="1" si="451"/>
        <v/>
      </c>
      <c r="CB83" s="23" t="str">
        <f t="shared" ca="1" si="452"/>
        <v/>
      </c>
      <c r="CC83" s="23" t="str">
        <f t="shared" ca="1" si="453"/>
        <v/>
      </c>
      <c r="CD83" s="23" t="str">
        <f t="shared" ca="1" si="454"/>
        <v/>
      </c>
      <c r="CE83" s="23" t="str">
        <f t="shared" ca="1" si="455"/>
        <v/>
      </c>
      <c r="CF83" s="23" t="str">
        <f t="shared" ca="1" si="456"/>
        <v/>
      </c>
      <c r="CG83" s="23" t="str">
        <f t="shared" ca="1" si="457"/>
        <v/>
      </c>
      <c r="CH83" s="23" t="str">
        <f t="shared" ca="1" si="458"/>
        <v/>
      </c>
      <c r="CI83" s="23" t="str">
        <f t="shared" ca="1" si="459"/>
        <v/>
      </c>
      <c r="CJ83" s="23" t="str">
        <f t="shared" ca="1" si="460"/>
        <v/>
      </c>
      <c r="CK83" s="23" t="str">
        <f t="shared" ca="1" si="461"/>
        <v/>
      </c>
      <c r="CL83" s="23" t="str">
        <f t="shared" ca="1" si="462"/>
        <v/>
      </c>
      <c r="CM83" s="23" t="str">
        <f t="shared" ca="1" si="463"/>
        <v/>
      </c>
      <c r="CN83" s="23" t="str">
        <f t="shared" ca="1" si="464"/>
        <v/>
      </c>
      <c r="CO83" s="23" t="str">
        <f t="shared" ca="1" si="465"/>
        <v/>
      </c>
      <c r="CP83" s="23" t="str">
        <f t="shared" ca="1" si="466"/>
        <v/>
      </c>
      <c r="CQ83" s="23" t="str">
        <f t="shared" ca="1" si="467"/>
        <v/>
      </c>
      <c r="CR83" s="23" t="str">
        <f t="shared" ca="1" si="468"/>
        <v/>
      </c>
      <c r="CS83" s="23" t="str">
        <f t="shared" ca="1" si="469"/>
        <v/>
      </c>
      <c r="CT83" s="23" t="str">
        <f t="shared" ca="1" si="470"/>
        <v/>
      </c>
      <c r="CU83" s="23" t="str">
        <f t="shared" ca="1" si="471"/>
        <v/>
      </c>
      <c r="CV83" s="23" t="str">
        <f t="shared" ca="1" si="472"/>
        <v/>
      </c>
      <c r="CW83" s="23" t="str">
        <f t="shared" ca="1" si="473"/>
        <v/>
      </c>
      <c r="CX83" s="23" t="str">
        <f ca="1">IF(CX$11="","",IF(CX$13=$M$5,CHOOSE($Q$6+1,$M$1,CY83+CZ83-#REF!),IF(CX$13=$M$6,CHOOSE($Q$6+1,$M$1,OFFSET($A83,,$P$7-1)),IF(CX$13=$M$7,CHOOSE($Q$6+1,$M$1,SUM(OFFSET($A$11,$B83-$O$5,$O$6,1,-$P$6))),IF(CX$13=$M$8,CHOOSE($Q$6+1,$M$1,SUM(OFFSET($A$11,$B83-$O$5,$O$7,1,-$P$6))),IF(CX$11&lt;$D$7,OFFSET(INDIRECT($D$3),$A83-1,$Q$3+CX$11),OFFSET(INDIRECT($D$4),$A83-1,$Q$4+CX$11)))))))</f>
        <v/>
      </c>
      <c r="CY83" s="23" t="str">
        <f ca="1">IF(CY$11="","",IF(CY$13=$M$5,CHOOSE($Q$6+1,$M$1,CZ83+#REF!-#REF!),IF(CY$13=$M$6,CHOOSE($Q$6+1,$M$1,OFFSET($A83,,$P$7-1)),IF(CY$13=$M$7,CHOOSE($Q$6+1,$M$1,SUM(OFFSET($A$11,$B83-$O$5,$O$6,1,-$P$6))),IF(CY$13=$M$8,CHOOSE($Q$6+1,$M$1,SUM(OFFSET($A$11,$B83-$O$5,$O$7,1,-$P$6))),IF(CY$11&lt;$D$7,OFFSET(INDIRECT($D$3),$A83-1,$Q$3+CY$11),OFFSET(INDIRECT($D$4),$A83-1,$Q$4+CY$11)))))))</f>
        <v/>
      </c>
      <c r="CZ83" s="23" t="str">
        <f ca="1">IF(CZ$11="","",IF(CZ$13=$M$5,CHOOSE($Q$6+1,$M$1,#REF!+#REF!-#REF!),IF(CZ$13=$M$6,CHOOSE($Q$6+1,$M$1,OFFSET($A83,,$P$7-1)),IF(CZ$13=$M$7,CHOOSE($Q$6+1,$M$1,SUM(OFFSET($A$11,$B83-$O$5,$O$6,1,-$P$6))),IF(CZ$13=$M$8,CHOOSE($Q$6+1,$M$1,SUM(OFFSET($A$11,$B83-$O$5,$O$7,1,-$P$6))),IF(CZ$11&lt;$D$7,OFFSET(INDIRECT($D$3),$A83-1,$Q$3+CZ$11),OFFSET(INDIRECT($D$4),$A83-1,$Q$4+CZ$11)))))))</f>
        <v/>
      </c>
    </row>
    <row r="84" spans="1:104" ht="13.5" customHeight="1">
      <c r="A84" s="27">
        <v>72</v>
      </c>
      <c r="B84" s="33">
        <f t="shared" si="474"/>
        <v>84</v>
      </c>
      <c r="C84" s="9" t="s">
        <v>353</v>
      </c>
      <c r="D84" s="23">
        <f t="shared" ca="1" si="376"/>
        <v>0</v>
      </c>
      <c r="E84" s="23">
        <f t="shared" ca="1" si="377"/>
        <v>0</v>
      </c>
      <c r="F84" s="23">
        <f t="shared" ca="1" si="378"/>
        <v>0</v>
      </c>
      <c r="G84" s="23">
        <f t="shared" ca="1" si="379"/>
        <v>0</v>
      </c>
      <c r="H84" s="23">
        <f t="shared" ca="1" si="380"/>
        <v>0</v>
      </c>
      <c r="I84" s="23">
        <f t="shared" ca="1" si="381"/>
        <v>0</v>
      </c>
      <c r="J84" s="23">
        <f t="shared" ca="1" si="382"/>
        <v>0</v>
      </c>
      <c r="K84" s="23">
        <f t="shared" ca="1" si="383"/>
        <v>0</v>
      </c>
      <c r="L84" s="23">
        <f t="shared" ca="1" si="384"/>
        <v>0</v>
      </c>
      <c r="M84" s="23">
        <f t="shared" ca="1" si="385"/>
        <v>0</v>
      </c>
      <c r="N84" s="23">
        <f t="shared" ca="1" si="386"/>
        <v>0</v>
      </c>
      <c r="O84" s="23">
        <f t="shared" ca="1" si="387"/>
        <v>0</v>
      </c>
      <c r="P84" s="23">
        <f t="shared" ca="1" si="388"/>
        <v>0</v>
      </c>
      <c r="Q84" s="23">
        <f t="shared" ca="1" si="389"/>
        <v>0</v>
      </c>
      <c r="R84" s="23" t="str">
        <f t="shared" ca="1" si="390"/>
        <v/>
      </c>
      <c r="S84" s="23" t="str">
        <f t="shared" ca="1" si="391"/>
        <v/>
      </c>
      <c r="T84" s="23" t="str">
        <f t="shared" ca="1" si="392"/>
        <v/>
      </c>
      <c r="U84" s="23" t="str">
        <f t="shared" ca="1" si="393"/>
        <v/>
      </c>
      <c r="V84" s="23" t="str">
        <f t="shared" ca="1" si="394"/>
        <v/>
      </c>
      <c r="W84" s="23" t="str">
        <f t="shared" ca="1" si="395"/>
        <v/>
      </c>
      <c r="X84" s="23" t="str">
        <f t="shared" ca="1" si="396"/>
        <v/>
      </c>
      <c r="Y84" s="23" t="str">
        <f t="shared" ca="1" si="397"/>
        <v/>
      </c>
      <c r="Z84" s="23" t="str">
        <f t="shared" ca="1" si="398"/>
        <v/>
      </c>
      <c r="AA84" s="23" t="str">
        <f t="shared" ca="1" si="399"/>
        <v/>
      </c>
      <c r="AB84" s="23" t="str">
        <f t="shared" ca="1" si="400"/>
        <v/>
      </c>
      <c r="AC84" s="23" t="str">
        <f t="shared" ca="1" si="401"/>
        <v/>
      </c>
      <c r="AD84" s="23" t="str">
        <f t="shared" ca="1" si="402"/>
        <v/>
      </c>
      <c r="AE84" s="23" t="str">
        <f t="shared" ca="1" si="403"/>
        <v/>
      </c>
      <c r="AF84" s="23" t="str">
        <f t="shared" ca="1" si="404"/>
        <v/>
      </c>
      <c r="AG84" s="23" t="str">
        <f t="shared" ca="1" si="405"/>
        <v/>
      </c>
      <c r="AH84" s="23" t="str">
        <f t="shared" ca="1" si="406"/>
        <v/>
      </c>
      <c r="AI84" s="23" t="str">
        <f t="shared" ca="1" si="407"/>
        <v/>
      </c>
      <c r="AJ84" s="23" t="str">
        <f t="shared" ca="1" si="408"/>
        <v/>
      </c>
      <c r="AK84" s="23" t="str">
        <f t="shared" ca="1" si="409"/>
        <v/>
      </c>
      <c r="AL84" s="23" t="str">
        <f t="shared" ca="1" si="410"/>
        <v/>
      </c>
      <c r="AM84" s="23" t="str">
        <f t="shared" ca="1" si="411"/>
        <v/>
      </c>
      <c r="AN84" s="23" t="str">
        <f t="shared" ca="1" si="412"/>
        <v/>
      </c>
      <c r="AO84" s="23" t="str">
        <f t="shared" ca="1" si="413"/>
        <v/>
      </c>
      <c r="AP84" s="23" t="str">
        <f t="shared" ca="1" si="414"/>
        <v/>
      </c>
      <c r="AQ84" s="23" t="str">
        <f t="shared" ca="1" si="415"/>
        <v/>
      </c>
      <c r="AR84" s="23" t="str">
        <f t="shared" ca="1" si="416"/>
        <v/>
      </c>
      <c r="AS84" s="23" t="str">
        <f t="shared" ca="1" si="417"/>
        <v/>
      </c>
      <c r="AT84" s="23" t="str">
        <f t="shared" ca="1" si="418"/>
        <v/>
      </c>
      <c r="AU84" s="23" t="str">
        <f t="shared" ca="1" si="419"/>
        <v/>
      </c>
      <c r="AV84" s="23" t="str">
        <f t="shared" ca="1" si="420"/>
        <v/>
      </c>
      <c r="AW84" s="23" t="str">
        <f t="shared" ca="1" si="421"/>
        <v/>
      </c>
      <c r="AX84" s="23" t="str">
        <f t="shared" ca="1" si="422"/>
        <v/>
      </c>
      <c r="AY84" s="23" t="str">
        <f t="shared" ca="1" si="423"/>
        <v/>
      </c>
      <c r="AZ84" s="23" t="str">
        <f t="shared" ca="1" si="424"/>
        <v/>
      </c>
      <c r="BA84" s="23" t="str">
        <f t="shared" ca="1" si="425"/>
        <v/>
      </c>
      <c r="BB84" s="23" t="str">
        <f t="shared" ca="1" si="426"/>
        <v/>
      </c>
      <c r="BC84" s="23" t="str">
        <f t="shared" ca="1" si="427"/>
        <v/>
      </c>
      <c r="BD84" s="23" t="str">
        <f t="shared" ca="1" si="428"/>
        <v/>
      </c>
      <c r="BE84" s="23" t="str">
        <f t="shared" ca="1" si="429"/>
        <v/>
      </c>
      <c r="BF84" s="23" t="str">
        <f t="shared" ca="1" si="430"/>
        <v/>
      </c>
      <c r="BG84" s="23" t="str">
        <f t="shared" ca="1" si="431"/>
        <v/>
      </c>
      <c r="BH84" s="23" t="str">
        <f t="shared" ca="1" si="432"/>
        <v/>
      </c>
      <c r="BI84" s="23" t="str">
        <f t="shared" ca="1" si="433"/>
        <v/>
      </c>
      <c r="BJ84" s="23" t="str">
        <f t="shared" ca="1" si="434"/>
        <v/>
      </c>
      <c r="BK84" s="23" t="str">
        <f t="shared" ca="1" si="435"/>
        <v/>
      </c>
      <c r="BL84" s="23" t="str">
        <f t="shared" ca="1" si="436"/>
        <v/>
      </c>
      <c r="BM84" s="23" t="str">
        <f t="shared" ca="1" si="437"/>
        <v/>
      </c>
      <c r="BN84" s="23" t="str">
        <f t="shared" ca="1" si="438"/>
        <v/>
      </c>
      <c r="BO84" s="23" t="str">
        <f t="shared" ca="1" si="439"/>
        <v/>
      </c>
      <c r="BP84" s="23" t="str">
        <f t="shared" ca="1" si="440"/>
        <v/>
      </c>
      <c r="BQ84" s="23" t="str">
        <f t="shared" ca="1" si="441"/>
        <v/>
      </c>
      <c r="BR84" s="23" t="str">
        <f t="shared" ca="1" si="442"/>
        <v/>
      </c>
      <c r="BS84" s="23" t="str">
        <f t="shared" ca="1" si="443"/>
        <v/>
      </c>
      <c r="BT84" s="23" t="str">
        <f t="shared" ca="1" si="444"/>
        <v/>
      </c>
      <c r="BU84" s="23" t="str">
        <f t="shared" ca="1" si="445"/>
        <v/>
      </c>
      <c r="BV84" s="23" t="str">
        <f t="shared" ca="1" si="446"/>
        <v/>
      </c>
      <c r="BW84" s="23" t="str">
        <f t="shared" ca="1" si="447"/>
        <v/>
      </c>
      <c r="BX84" s="23" t="str">
        <f t="shared" ca="1" si="448"/>
        <v/>
      </c>
      <c r="BY84" s="23" t="str">
        <f t="shared" ca="1" si="449"/>
        <v/>
      </c>
      <c r="BZ84" s="23" t="str">
        <f t="shared" ca="1" si="450"/>
        <v/>
      </c>
      <c r="CA84" s="23" t="str">
        <f t="shared" ca="1" si="451"/>
        <v/>
      </c>
      <c r="CB84" s="23" t="str">
        <f t="shared" ca="1" si="452"/>
        <v/>
      </c>
      <c r="CC84" s="23" t="str">
        <f t="shared" ca="1" si="453"/>
        <v/>
      </c>
      <c r="CD84" s="23" t="str">
        <f t="shared" ca="1" si="454"/>
        <v/>
      </c>
      <c r="CE84" s="23" t="str">
        <f t="shared" ca="1" si="455"/>
        <v/>
      </c>
      <c r="CF84" s="23" t="str">
        <f t="shared" ca="1" si="456"/>
        <v/>
      </c>
      <c r="CG84" s="23" t="str">
        <f t="shared" ca="1" si="457"/>
        <v/>
      </c>
      <c r="CH84" s="23" t="str">
        <f t="shared" ca="1" si="458"/>
        <v/>
      </c>
      <c r="CI84" s="23" t="str">
        <f t="shared" ca="1" si="459"/>
        <v/>
      </c>
      <c r="CJ84" s="23" t="str">
        <f t="shared" ca="1" si="460"/>
        <v/>
      </c>
      <c r="CK84" s="23" t="str">
        <f t="shared" ca="1" si="461"/>
        <v/>
      </c>
      <c r="CL84" s="23" t="str">
        <f t="shared" ca="1" si="462"/>
        <v/>
      </c>
      <c r="CM84" s="23" t="str">
        <f t="shared" ca="1" si="463"/>
        <v/>
      </c>
      <c r="CN84" s="23" t="str">
        <f t="shared" ca="1" si="464"/>
        <v/>
      </c>
      <c r="CO84" s="23" t="str">
        <f t="shared" ca="1" si="465"/>
        <v/>
      </c>
      <c r="CP84" s="23" t="str">
        <f t="shared" ca="1" si="466"/>
        <v/>
      </c>
      <c r="CQ84" s="23" t="str">
        <f t="shared" ca="1" si="467"/>
        <v/>
      </c>
      <c r="CR84" s="23" t="str">
        <f t="shared" ca="1" si="468"/>
        <v/>
      </c>
      <c r="CS84" s="23" t="str">
        <f t="shared" ca="1" si="469"/>
        <v/>
      </c>
      <c r="CT84" s="23" t="str">
        <f t="shared" ca="1" si="470"/>
        <v/>
      </c>
      <c r="CU84" s="23" t="str">
        <f t="shared" ca="1" si="471"/>
        <v/>
      </c>
      <c r="CV84" s="23" t="str">
        <f t="shared" ca="1" si="472"/>
        <v/>
      </c>
      <c r="CW84" s="23" t="str">
        <f t="shared" ca="1" si="473"/>
        <v/>
      </c>
      <c r="CX84" s="23" t="str">
        <f ca="1">IF(CX$11="","",IF(CX$13=$M$5,CHOOSE($Q$6+1,$M$1,CY84+CZ84-#REF!),IF(CX$13=$M$6,CHOOSE($Q$6+1,$M$1,OFFSET($A84,,$P$7-1)),IF(CX$13=$M$7,CHOOSE($Q$6+1,$M$1,SUM(OFFSET($A$11,$B84-$O$5,$O$6,1,-$P$6))),IF(CX$13=$M$8,CHOOSE($Q$6+1,$M$1,SUM(OFFSET($A$11,$B84-$O$5,$O$7,1,-$P$6))),IF(CX$11&lt;$D$7,OFFSET(INDIRECT($D$3),$A84-1,$Q$3+CX$11),OFFSET(INDIRECT($D$4),$A84-1,$Q$4+CX$11)))))))</f>
        <v/>
      </c>
      <c r="CY84" s="23" t="str">
        <f ca="1">IF(CY$11="","",IF(CY$13=$M$5,CHOOSE($Q$6+1,$M$1,CZ84+#REF!-#REF!),IF(CY$13=$M$6,CHOOSE($Q$6+1,$M$1,OFFSET($A84,,$P$7-1)),IF(CY$13=$M$7,CHOOSE($Q$6+1,$M$1,SUM(OFFSET($A$11,$B84-$O$5,$O$6,1,-$P$6))),IF(CY$13=$M$8,CHOOSE($Q$6+1,$M$1,SUM(OFFSET($A$11,$B84-$O$5,$O$7,1,-$P$6))),IF(CY$11&lt;$D$7,OFFSET(INDIRECT($D$3),$A84-1,$Q$3+CY$11),OFFSET(INDIRECT($D$4),$A84-1,$Q$4+CY$11)))))))</f>
        <v/>
      </c>
      <c r="CZ84" s="23" t="str">
        <f ca="1">IF(CZ$11="","",IF(CZ$13=$M$5,CHOOSE($Q$6+1,$M$1,#REF!+#REF!-#REF!),IF(CZ$13=$M$6,CHOOSE($Q$6+1,$M$1,OFFSET($A84,,$P$7-1)),IF(CZ$13=$M$7,CHOOSE($Q$6+1,$M$1,SUM(OFFSET($A$11,$B84-$O$5,$O$6,1,-$P$6))),IF(CZ$13=$M$8,CHOOSE($Q$6+1,$M$1,SUM(OFFSET($A$11,$B84-$O$5,$O$7,1,-$P$6))),IF(CZ$11&lt;$D$7,OFFSET(INDIRECT($D$3),$A84-1,$Q$3+CZ$11),OFFSET(INDIRECT($D$4),$A84-1,$Q$4+CZ$11)))))))</f>
        <v/>
      </c>
    </row>
    <row r="85" spans="1:104" ht="13.5" customHeight="1">
      <c r="A85" s="27">
        <v>73</v>
      </c>
      <c r="B85" s="33">
        <f t="shared" si="474"/>
        <v>85</v>
      </c>
      <c r="C85" s="9" t="s">
        <v>354</v>
      </c>
      <c r="D85" s="23">
        <f t="shared" ca="1" si="376"/>
        <v>27.68</v>
      </c>
      <c r="E85" s="23">
        <f t="shared" ca="1" si="377"/>
        <v>44.15</v>
      </c>
      <c r="F85" s="23">
        <f t="shared" ca="1" si="378"/>
        <v>6.4</v>
      </c>
      <c r="G85" s="23">
        <f t="shared" ca="1" si="379"/>
        <v>7.79</v>
      </c>
      <c r="H85" s="23">
        <f t="shared" ca="1" si="380"/>
        <v>7.05</v>
      </c>
      <c r="I85" s="23">
        <f t="shared" ca="1" si="381"/>
        <v>13.87</v>
      </c>
      <c r="J85" s="23">
        <f t="shared" ca="1" si="382"/>
        <v>12.3</v>
      </c>
      <c r="K85" s="23">
        <f t="shared" ca="1" si="383"/>
        <v>9.32</v>
      </c>
      <c r="L85" s="23">
        <f t="shared" ca="1" si="384"/>
        <v>8.67</v>
      </c>
      <c r="M85" s="23">
        <f t="shared" ca="1" si="385"/>
        <v>13.81</v>
      </c>
      <c r="N85" s="23">
        <f t="shared" ca="1" si="386"/>
        <v>44.09</v>
      </c>
      <c r="O85" s="23">
        <f t="shared" ca="1" si="387"/>
        <v>44.15</v>
      </c>
      <c r="P85" s="23">
        <f t="shared" ca="1" si="388"/>
        <v>13.81</v>
      </c>
      <c r="Q85" s="23">
        <f t="shared" ca="1" si="389"/>
        <v>13.87</v>
      </c>
      <c r="R85" s="23" t="str">
        <f t="shared" ca="1" si="390"/>
        <v/>
      </c>
      <c r="S85" s="23" t="str">
        <f t="shared" ca="1" si="391"/>
        <v/>
      </c>
      <c r="T85" s="23" t="str">
        <f t="shared" ca="1" si="392"/>
        <v/>
      </c>
      <c r="U85" s="23" t="str">
        <f t="shared" ca="1" si="393"/>
        <v/>
      </c>
      <c r="V85" s="23" t="str">
        <f t="shared" ca="1" si="394"/>
        <v/>
      </c>
      <c r="W85" s="23" t="str">
        <f t="shared" ca="1" si="395"/>
        <v/>
      </c>
      <c r="X85" s="23" t="str">
        <f t="shared" ca="1" si="396"/>
        <v/>
      </c>
      <c r="Y85" s="23" t="str">
        <f t="shared" ca="1" si="397"/>
        <v/>
      </c>
      <c r="Z85" s="23" t="str">
        <f t="shared" ca="1" si="398"/>
        <v/>
      </c>
      <c r="AA85" s="23" t="str">
        <f t="shared" ca="1" si="399"/>
        <v/>
      </c>
      <c r="AB85" s="23" t="str">
        <f t="shared" ca="1" si="400"/>
        <v/>
      </c>
      <c r="AC85" s="23" t="str">
        <f t="shared" ca="1" si="401"/>
        <v/>
      </c>
      <c r="AD85" s="23" t="str">
        <f t="shared" ca="1" si="402"/>
        <v/>
      </c>
      <c r="AE85" s="23" t="str">
        <f t="shared" ca="1" si="403"/>
        <v/>
      </c>
      <c r="AF85" s="23" t="str">
        <f t="shared" ca="1" si="404"/>
        <v/>
      </c>
      <c r="AG85" s="23" t="str">
        <f t="shared" ca="1" si="405"/>
        <v/>
      </c>
      <c r="AH85" s="23" t="str">
        <f t="shared" ca="1" si="406"/>
        <v/>
      </c>
      <c r="AI85" s="23" t="str">
        <f t="shared" ca="1" si="407"/>
        <v/>
      </c>
      <c r="AJ85" s="23" t="str">
        <f t="shared" ca="1" si="408"/>
        <v/>
      </c>
      <c r="AK85" s="23" t="str">
        <f t="shared" ca="1" si="409"/>
        <v/>
      </c>
      <c r="AL85" s="23" t="str">
        <f t="shared" ca="1" si="410"/>
        <v/>
      </c>
      <c r="AM85" s="23" t="str">
        <f t="shared" ca="1" si="411"/>
        <v/>
      </c>
      <c r="AN85" s="23" t="str">
        <f t="shared" ca="1" si="412"/>
        <v/>
      </c>
      <c r="AO85" s="23" t="str">
        <f t="shared" ca="1" si="413"/>
        <v/>
      </c>
      <c r="AP85" s="23" t="str">
        <f t="shared" ca="1" si="414"/>
        <v/>
      </c>
      <c r="AQ85" s="23" t="str">
        <f t="shared" ca="1" si="415"/>
        <v/>
      </c>
      <c r="AR85" s="23" t="str">
        <f t="shared" ca="1" si="416"/>
        <v/>
      </c>
      <c r="AS85" s="23" t="str">
        <f t="shared" ca="1" si="417"/>
        <v/>
      </c>
      <c r="AT85" s="23" t="str">
        <f t="shared" ca="1" si="418"/>
        <v/>
      </c>
      <c r="AU85" s="23" t="str">
        <f t="shared" ca="1" si="419"/>
        <v/>
      </c>
      <c r="AV85" s="23" t="str">
        <f t="shared" ca="1" si="420"/>
        <v/>
      </c>
      <c r="AW85" s="23" t="str">
        <f t="shared" ca="1" si="421"/>
        <v/>
      </c>
      <c r="AX85" s="23" t="str">
        <f t="shared" ca="1" si="422"/>
        <v/>
      </c>
      <c r="AY85" s="23" t="str">
        <f t="shared" ca="1" si="423"/>
        <v/>
      </c>
      <c r="AZ85" s="23" t="str">
        <f t="shared" ca="1" si="424"/>
        <v/>
      </c>
      <c r="BA85" s="23" t="str">
        <f t="shared" ca="1" si="425"/>
        <v/>
      </c>
      <c r="BB85" s="23" t="str">
        <f t="shared" ca="1" si="426"/>
        <v/>
      </c>
      <c r="BC85" s="23" t="str">
        <f t="shared" ca="1" si="427"/>
        <v/>
      </c>
      <c r="BD85" s="23" t="str">
        <f t="shared" ca="1" si="428"/>
        <v/>
      </c>
      <c r="BE85" s="23" t="str">
        <f t="shared" ca="1" si="429"/>
        <v/>
      </c>
      <c r="BF85" s="23" t="str">
        <f t="shared" ca="1" si="430"/>
        <v/>
      </c>
      <c r="BG85" s="23" t="str">
        <f t="shared" ca="1" si="431"/>
        <v/>
      </c>
      <c r="BH85" s="23" t="str">
        <f t="shared" ca="1" si="432"/>
        <v/>
      </c>
      <c r="BI85" s="23" t="str">
        <f t="shared" ca="1" si="433"/>
        <v/>
      </c>
      <c r="BJ85" s="23" t="str">
        <f t="shared" ca="1" si="434"/>
        <v/>
      </c>
      <c r="BK85" s="23" t="str">
        <f t="shared" ca="1" si="435"/>
        <v/>
      </c>
      <c r="BL85" s="23" t="str">
        <f t="shared" ca="1" si="436"/>
        <v/>
      </c>
      <c r="BM85" s="23" t="str">
        <f t="shared" ca="1" si="437"/>
        <v/>
      </c>
      <c r="BN85" s="23" t="str">
        <f t="shared" ca="1" si="438"/>
        <v/>
      </c>
      <c r="BO85" s="23" t="str">
        <f t="shared" ca="1" si="439"/>
        <v/>
      </c>
      <c r="BP85" s="23" t="str">
        <f t="shared" ca="1" si="440"/>
        <v/>
      </c>
      <c r="BQ85" s="23" t="str">
        <f t="shared" ca="1" si="441"/>
        <v/>
      </c>
      <c r="BR85" s="23" t="str">
        <f t="shared" ca="1" si="442"/>
        <v/>
      </c>
      <c r="BS85" s="23" t="str">
        <f t="shared" ca="1" si="443"/>
        <v/>
      </c>
      <c r="BT85" s="23" t="str">
        <f t="shared" ca="1" si="444"/>
        <v/>
      </c>
      <c r="BU85" s="23" t="str">
        <f t="shared" ca="1" si="445"/>
        <v/>
      </c>
      <c r="BV85" s="23" t="str">
        <f t="shared" ca="1" si="446"/>
        <v/>
      </c>
      <c r="BW85" s="23" t="str">
        <f t="shared" ca="1" si="447"/>
        <v/>
      </c>
      <c r="BX85" s="23" t="str">
        <f t="shared" ca="1" si="448"/>
        <v/>
      </c>
      <c r="BY85" s="23" t="str">
        <f t="shared" ca="1" si="449"/>
        <v/>
      </c>
      <c r="BZ85" s="23" t="str">
        <f t="shared" ca="1" si="450"/>
        <v/>
      </c>
      <c r="CA85" s="23" t="str">
        <f t="shared" ca="1" si="451"/>
        <v/>
      </c>
      <c r="CB85" s="23" t="str">
        <f t="shared" ca="1" si="452"/>
        <v/>
      </c>
      <c r="CC85" s="23" t="str">
        <f t="shared" ca="1" si="453"/>
        <v/>
      </c>
      <c r="CD85" s="23" t="str">
        <f t="shared" ca="1" si="454"/>
        <v/>
      </c>
      <c r="CE85" s="23" t="str">
        <f t="shared" ca="1" si="455"/>
        <v/>
      </c>
      <c r="CF85" s="23" t="str">
        <f t="shared" ca="1" si="456"/>
        <v/>
      </c>
      <c r="CG85" s="23" t="str">
        <f t="shared" ca="1" si="457"/>
        <v/>
      </c>
      <c r="CH85" s="23" t="str">
        <f t="shared" ca="1" si="458"/>
        <v/>
      </c>
      <c r="CI85" s="23" t="str">
        <f t="shared" ca="1" si="459"/>
        <v/>
      </c>
      <c r="CJ85" s="23" t="str">
        <f t="shared" ca="1" si="460"/>
        <v/>
      </c>
      <c r="CK85" s="23" t="str">
        <f t="shared" ca="1" si="461"/>
        <v/>
      </c>
      <c r="CL85" s="23" t="str">
        <f t="shared" ca="1" si="462"/>
        <v/>
      </c>
      <c r="CM85" s="23" t="str">
        <f t="shared" ca="1" si="463"/>
        <v/>
      </c>
      <c r="CN85" s="23" t="str">
        <f t="shared" ca="1" si="464"/>
        <v/>
      </c>
      <c r="CO85" s="23" t="str">
        <f t="shared" ca="1" si="465"/>
        <v/>
      </c>
      <c r="CP85" s="23" t="str">
        <f t="shared" ca="1" si="466"/>
        <v/>
      </c>
      <c r="CQ85" s="23" t="str">
        <f t="shared" ca="1" si="467"/>
        <v/>
      </c>
      <c r="CR85" s="23" t="str">
        <f t="shared" ca="1" si="468"/>
        <v/>
      </c>
      <c r="CS85" s="23" t="str">
        <f t="shared" ca="1" si="469"/>
        <v/>
      </c>
      <c r="CT85" s="23" t="str">
        <f t="shared" ca="1" si="470"/>
        <v/>
      </c>
      <c r="CU85" s="23" t="str">
        <f t="shared" ca="1" si="471"/>
        <v/>
      </c>
      <c r="CV85" s="23" t="str">
        <f t="shared" ca="1" si="472"/>
        <v/>
      </c>
      <c r="CW85" s="23" t="str">
        <f t="shared" ca="1" si="473"/>
        <v/>
      </c>
      <c r="CX85" s="23" t="str">
        <f ca="1">IF(CX$11="","",IF(CX$13=$M$5,CHOOSE($Q$6+1,$M$1,CY85+CZ85-#REF!),IF(CX$13=$M$6,CHOOSE($Q$6+1,$M$1,OFFSET($A85,,$P$7-1)),IF(CX$13=$M$7,CHOOSE($Q$6+1,$M$1,SUM(OFFSET($A$11,$B85-$O$5,$O$6,1,-$P$6))),IF(CX$13=$M$8,CHOOSE($Q$6+1,$M$1,SUM(OFFSET($A$11,$B85-$O$5,$O$7,1,-$P$6))),IF(CX$11&lt;$D$7,OFFSET(INDIRECT($D$3),$A85-1,$Q$3+CX$11),OFFSET(INDIRECT($D$4),$A85-1,$Q$4+CX$11)))))))</f>
        <v/>
      </c>
      <c r="CY85" s="23" t="str">
        <f ca="1">IF(CY$11="","",IF(CY$13=$M$5,CHOOSE($Q$6+1,$M$1,CZ85+#REF!-#REF!),IF(CY$13=$M$6,CHOOSE($Q$6+1,$M$1,OFFSET($A85,,$P$7-1)),IF(CY$13=$M$7,CHOOSE($Q$6+1,$M$1,SUM(OFFSET($A$11,$B85-$O$5,$O$6,1,-$P$6))),IF(CY$13=$M$8,CHOOSE($Q$6+1,$M$1,SUM(OFFSET($A$11,$B85-$O$5,$O$7,1,-$P$6))),IF(CY$11&lt;$D$7,OFFSET(INDIRECT($D$3),$A85-1,$Q$3+CY$11),OFFSET(INDIRECT($D$4),$A85-1,$Q$4+CY$11)))))))</f>
        <v/>
      </c>
      <c r="CZ85" s="23" t="str">
        <f ca="1">IF(CZ$11="","",IF(CZ$13=$M$5,CHOOSE($Q$6+1,$M$1,#REF!+#REF!-#REF!),IF(CZ$13=$M$6,CHOOSE($Q$6+1,$M$1,OFFSET($A85,,$P$7-1)),IF(CZ$13=$M$7,CHOOSE($Q$6+1,$M$1,SUM(OFFSET($A$11,$B85-$O$5,$O$6,1,-$P$6))),IF(CZ$13=$M$8,CHOOSE($Q$6+1,$M$1,SUM(OFFSET($A$11,$B85-$O$5,$O$7,1,-$P$6))),IF(CZ$11&lt;$D$7,OFFSET(INDIRECT($D$3),$A85-1,$Q$3+CZ$11),OFFSET(INDIRECT($D$4),$A85-1,$Q$4+CZ$11)))))))</f>
        <v/>
      </c>
    </row>
    <row r="86" spans="1:104" ht="13.5" customHeight="1">
      <c r="A86" s="27">
        <v>74</v>
      </c>
      <c r="B86" s="33">
        <f t="shared" si="474"/>
        <v>86</v>
      </c>
      <c r="C86" s="9" t="s">
        <v>355</v>
      </c>
      <c r="D86" s="23">
        <f t="shared" ca="1" si="376"/>
        <v>27.68</v>
      </c>
      <c r="E86" s="23">
        <f t="shared" ca="1" si="377"/>
        <v>44.15</v>
      </c>
      <c r="F86" s="23">
        <f t="shared" ca="1" si="378"/>
        <v>6.4</v>
      </c>
      <c r="G86" s="23">
        <f t="shared" ca="1" si="379"/>
        <v>7.79</v>
      </c>
      <c r="H86" s="23">
        <f t="shared" ca="1" si="380"/>
        <v>7.05</v>
      </c>
      <c r="I86" s="23">
        <f t="shared" ca="1" si="381"/>
        <v>13.87</v>
      </c>
      <c r="J86" s="23">
        <f t="shared" ca="1" si="382"/>
        <v>12.3</v>
      </c>
      <c r="K86" s="23">
        <f t="shared" ca="1" si="383"/>
        <v>9.32</v>
      </c>
      <c r="L86" s="23">
        <f t="shared" ca="1" si="384"/>
        <v>8.67</v>
      </c>
      <c r="M86" s="23">
        <f t="shared" ca="1" si="385"/>
        <v>13.81</v>
      </c>
      <c r="N86" s="23">
        <f t="shared" ca="1" si="386"/>
        <v>44.09</v>
      </c>
      <c r="O86" s="23">
        <f t="shared" ca="1" si="387"/>
        <v>44.15</v>
      </c>
      <c r="P86" s="23">
        <f t="shared" ca="1" si="388"/>
        <v>13.81</v>
      </c>
      <c r="Q86" s="23">
        <f t="shared" ca="1" si="389"/>
        <v>13.87</v>
      </c>
      <c r="R86" s="23" t="str">
        <f t="shared" ca="1" si="390"/>
        <v/>
      </c>
      <c r="S86" s="23" t="str">
        <f t="shared" ca="1" si="391"/>
        <v/>
      </c>
      <c r="T86" s="23" t="str">
        <f t="shared" ca="1" si="392"/>
        <v/>
      </c>
      <c r="U86" s="23" t="str">
        <f t="shared" ca="1" si="393"/>
        <v/>
      </c>
      <c r="V86" s="23" t="str">
        <f t="shared" ca="1" si="394"/>
        <v/>
      </c>
      <c r="W86" s="23" t="str">
        <f t="shared" ca="1" si="395"/>
        <v/>
      </c>
      <c r="X86" s="23" t="str">
        <f t="shared" ca="1" si="396"/>
        <v/>
      </c>
      <c r="Y86" s="23" t="str">
        <f t="shared" ca="1" si="397"/>
        <v/>
      </c>
      <c r="Z86" s="23" t="str">
        <f t="shared" ca="1" si="398"/>
        <v/>
      </c>
      <c r="AA86" s="23" t="str">
        <f t="shared" ca="1" si="399"/>
        <v/>
      </c>
      <c r="AB86" s="23" t="str">
        <f t="shared" ca="1" si="400"/>
        <v/>
      </c>
      <c r="AC86" s="23" t="str">
        <f t="shared" ca="1" si="401"/>
        <v/>
      </c>
      <c r="AD86" s="23" t="str">
        <f t="shared" ca="1" si="402"/>
        <v/>
      </c>
      <c r="AE86" s="23" t="str">
        <f t="shared" ca="1" si="403"/>
        <v/>
      </c>
      <c r="AF86" s="23" t="str">
        <f t="shared" ca="1" si="404"/>
        <v/>
      </c>
      <c r="AG86" s="23" t="str">
        <f t="shared" ca="1" si="405"/>
        <v/>
      </c>
      <c r="AH86" s="23" t="str">
        <f t="shared" ca="1" si="406"/>
        <v/>
      </c>
      <c r="AI86" s="23" t="str">
        <f t="shared" ca="1" si="407"/>
        <v/>
      </c>
      <c r="AJ86" s="23" t="str">
        <f t="shared" ca="1" si="408"/>
        <v/>
      </c>
      <c r="AK86" s="23" t="str">
        <f t="shared" ca="1" si="409"/>
        <v/>
      </c>
      <c r="AL86" s="23" t="str">
        <f t="shared" ca="1" si="410"/>
        <v/>
      </c>
      <c r="AM86" s="23" t="str">
        <f t="shared" ca="1" si="411"/>
        <v/>
      </c>
      <c r="AN86" s="23" t="str">
        <f t="shared" ca="1" si="412"/>
        <v/>
      </c>
      <c r="AO86" s="23" t="str">
        <f t="shared" ca="1" si="413"/>
        <v/>
      </c>
      <c r="AP86" s="23" t="str">
        <f t="shared" ca="1" si="414"/>
        <v/>
      </c>
      <c r="AQ86" s="23" t="str">
        <f t="shared" ca="1" si="415"/>
        <v/>
      </c>
      <c r="AR86" s="23" t="str">
        <f t="shared" ca="1" si="416"/>
        <v/>
      </c>
      <c r="AS86" s="23" t="str">
        <f t="shared" ca="1" si="417"/>
        <v/>
      </c>
      <c r="AT86" s="23" t="str">
        <f t="shared" ca="1" si="418"/>
        <v/>
      </c>
      <c r="AU86" s="23" t="str">
        <f t="shared" ca="1" si="419"/>
        <v/>
      </c>
      <c r="AV86" s="23" t="str">
        <f t="shared" ca="1" si="420"/>
        <v/>
      </c>
      <c r="AW86" s="23" t="str">
        <f t="shared" ca="1" si="421"/>
        <v/>
      </c>
      <c r="AX86" s="23" t="str">
        <f t="shared" ca="1" si="422"/>
        <v/>
      </c>
      <c r="AY86" s="23" t="str">
        <f t="shared" ca="1" si="423"/>
        <v/>
      </c>
      <c r="AZ86" s="23" t="str">
        <f t="shared" ca="1" si="424"/>
        <v/>
      </c>
      <c r="BA86" s="23" t="str">
        <f t="shared" ca="1" si="425"/>
        <v/>
      </c>
      <c r="BB86" s="23" t="str">
        <f t="shared" ca="1" si="426"/>
        <v/>
      </c>
      <c r="BC86" s="23" t="str">
        <f t="shared" ca="1" si="427"/>
        <v/>
      </c>
      <c r="BD86" s="23" t="str">
        <f t="shared" ca="1" si="428"/>
        <v/>
      </c>
      <c r="BE86" s="23" t="str">
        <f t="shared" ca="1" si="429"/>
        <v/>
      </c>
      <c r="BF86" s="23" t="str">
        <f t="shared" ca="1" si="430"/>
        <v/>
      </c>
      <c r="BG86" s="23" t="str">
        <f t="shared" ca="1" si="431"/>
        <v/>
      </c>
      <c r="BH86" s="23" t="str">
        <f t="shared" ca="1" si="432"/>
        <v/>
      </c>
      <c r="BI86" s="23" t="str">
        <f t="shared" ca="1" si="433"/>
        <v/>
      </c>
      <c r="BJ86" s="23" t="str">
        <f t="shared" ca="1" si="434"/>
        <v/>
      </c>
      <c r="BK86" s="23" t="str">
        <f t="shared" ca="1" si="435"/>
        <v/>
      </c>
      <c r="BL86" s="23" t="str">
        <f t="shared" ca="1" si="436"/>
        <v/>
      </c>
      <c r="BM86" s="23" t="str">
        <f t="shared" ca="1" si="437"/>
        <v/>
      </c>
      <c r="BN86" s="23" t="str">
        <f t="shared" ca="1" si="438"/>
        <v/>
      </c>
      <c r="BO86" s="23" t="str">
        <f t="shared" ca="1" si="439"/>
        <v/>
      </c>
      <c r="BP86" s="23" t="str">
        <f t="shared" ca="1" si="440"/>
        <v/>
      </c>
      <c r="BQ86" s="23" t="str">
        <f t="shared" ca="1" si="441"/>
        <v/>
      </c>
      <c r="BR86" s="23" t="str">
        <f t="shared" ca="1" si="442"/>
        <v/>
      </c>
      <c r="BS86" s="23" t="str">
        <f t="shared" ca="1" si="443"/>
        <v/>
      </c>
      <c r="BT86" s="23" t="str">
        <f t="shared" ca="1" si="444"/>
        <v/>
      </c>
      <c r="BU86" s="23" t="str">
        <f t="shared" ca="1" si="445"/>
        <v/>
      </c>
      <c r="BV86" s="23" t="str">
        <f t="shared" ca="1" si="446"/>
        <v/>
      </c>
      <c r="BW86" s="23" t="str">
        <f t="shared" ca="1" si="447"/>
        <v/>
      </c>
      <c r="BX86" s="23" t="str">
        <f t="shared" ca="1" si="448"/>
        <v/>
      </c>
      <c r="BY86" s="23" t="str">
        <f t="shared" ca="1" si="449"/>
        <v/>
      </c>
      <c r="BZ86" s="23" t="str">
        <f t="shared" ca="1" si="450"/>
        <v/>
      </c>
      <c r="CA86" s="23" t="str">
        <f t="shared" ca="1" si="451"/>
        <v/>
      </c>
      <c r="CB86" s="23" t="str">
        <f t="shared" ca="1" si="452"/>
        <v/>
      </c>
      <c r="CC86" s="23" t="str">
        <f t="shared" ca="1" si="453"/>
        <v/>
      </c>
      <c r="CD86" s="23" t="str">
        <f t="shared" ca="1" si="454"/>
        <v/>
      </c>
      <c r="CE86" s="23" t="str">
        <f t="shared" ca="1" si="455"/>
        <v/>
      </c>
      <c r="CF86" s="23" t="str">
        <f t="shared" ca="1" si="456"/>
        <v/>
      </c>
      <c r="CG86" s="23" t="str">
        <f t="shared" ca="1" si="457"/>
        <v/>
      </c>
      <c r="CH86" s="23" t="str">
        <f t="shared" ca="1" si="458"/>
        <v/>
      </c>
      <c r="CI86" s="23" t="str">
        <f t="shared" ca="1" si="459"/>
        <v/>
      </c>
      <c r="CJ86" s="23" t="str">
        <f t="shared" ca="1" si="460"/>
        <v/>
      </c>
      <c r="CK86" s="23" t="str">
        <f t="shared" ca="1" si="461"/>
        <v/>
      </c>
      <c r="CL86" s="23" t="str">
        <f t="shared" ca="1" si="462"/>
        <v/>
      </c>
      <c r="CM86" s="23" t="str">
        <f t="shared" ca="1" si="463"/>
        <v/>
      </c>
      <c r="CN86" s="23" t="str">
        <f t="shared" ca="1" si="464"/>
        <v/>
      </c>
      <c r="CO86" s="23" t="str">
        <f t="shared" ca="1" si="465"/>
        <v/>
      </c>
      <c r="CP86" s="23" t="str">
        <f t="shared" ca="1" si="466"/>
        <v/>
      </c>
      <c r="CQ86" s="23" t="str">
        <f t="shared" ca="1" si="467"/>
        <v/>
      </c>
      <c r="CR86" s="23" t="str">
        <f t="shared" ca="1" si="468"/>
        <v/>
      </c>
      <c r="CS86" s="23" t="str">
        <f t="shared" ca="1" si="469"/>
        <v/>
      </c>
      <c r="CT86" s="23" t="str">
        <f t="shared" ca="1" si="470"/>
        <v/>
      </c>
      <c r="CU86" s="23" t="str">
        <f t="shared" ca="1" si="471"/>
        <v/>
      </c>
      <c r="CV86" s="23" t="str">
        <f t="shared" ca="1" si="472"/>
        <v/>
      </c>
      <c r="CW86" s="23" t="str">
        <f t="shared" ca="1" si="473"/>
        <v/>
      </c>
      <c r="CX86" s="23" t="str">
        <f ca="1">IF(CX$11="","",IF(CX$13=$M$5,CHOOSE($Q$6+1,$M$1,CY86+CZ86-#REF!),IF(CX$13=$M$6,CHOOSE($Q$6+1,$M$1,OFFSET($A86,,$P$7-1)),IF(CX$13=$M$7,CHOOSE($Q$6+1,$M$1,SUM(OFFSET($A$11,$B86-$O$5,$O$6,1,-$P$6))),IF(CX$13=$M$8,CHOOSE($Q$6+1,$M$1,SUM(OFFSET($A$11,$B86-$O$5,$O$7,1,-$P$6))),IF(CX$11&lt;$D$7,OFFSET(INDIRECT($D$3),$A86-1,$Q$3+CX$11),OFFSET(INDIRECT($D$4),$A86-1,$Q$4+CX$11)))))))</f>
        <v/>
      </c>
      <c r="CY86" s="23" t="str">
        <f ca="1">IF(CY$11="","",IF(CY$13=$M$5,CHOOSE($Q$6+1,$M$1,CZ86+#REF!-#REF!),IF(CY$13=$M$6,CHOOSE($Q$6+1,$M$1,OFFSET($A86,,$P$7-1)),IF(CY$13=$M$7,CHOOSE($Q$6+1,$M$1,SUM(OFFSET($A$11,$B86-$O$5,$O$6,1,-$P$6))),IF(CY$13=$M$8,CHOOSE($Q$6+1,$M$1,SUM(OFFSET($A$11,$B86-$O$5,$O$7,1,-$P$6))),IF(CY$11&lt;$D$7,OFFSET(INDIRECT($D$3),$A86-1,$Q$3+CY$11),OFFSET(INDIRECT($D$4),$A86-1,$Q$4+CY$11)))))))</f>
        <v/>
      </c>
      <c r="CZ86" s="23" t="str">
        <f ca="1">IF(CZ$11="","",IF(CZ$13=$M$5,CHOOSE($Q$6+1,$M$1,#REF!+#REF!-#REF!),IF(CZ$13=$M$6,CHOOSE($Q$6+1,$M$1,OFFSET($A86,,$P$7-1)),IF(CZ$13=$M$7,CHOOSE($Q$6+1,$M$1,SUM(OFFSET($A$11,$B86-$O$5,$O$6,1,-$P$6))),IF(CZ$13=$M$8,CHOOSE($Q$6+1,$M$1,SUM(OFFSET($A$11,$B86-$O$5,$O$7,1,-$P$6))),IF(CZ$11&lt;$D$7,OFFSET(INDIRECT($D$3),$A86-1,$Q$3+CZ$11),OFFSET(INDIRECT($D$4),$A86-1,$Q$4+CZ$11)))))))</f>
        <v/>
      </c>
    </row>
    <row r="87" spans="1:104" ht="13.5" customHeight="1">
      <c r="A87" s="27"/>
      <c r="B87" s="33">
        <f t="shared" si="474"/>
        <v>87</v>
      </c>
      <c r="C87" s="11"/>
      <c r="D87" s="34"/>
      <c r="E87" s="34"/>
      <c r="F87" s="34"/>
      <c r="G87" s="34"/>
      <c r="H87" s="34"/>
      <c r="I87" s="34"/>
      <c r="J87" s="34"/>
      <c r="K87" s="34"/>
      <c r="L87" s="34"/>
      <c r="M87" s="34"/>
      <c r="N87" s="34"/>
      <c r="O87" s="34"/>
      <c r="P87" s="34"/>
      <c r="Q87" s="34"/>
      <c r="R87" s="34"/>
      <c r="S87" s="34"/>
      <c r="T87" s="34"/>
      <c r="U87" s="34"/>
      <c r="V87" s="34"/>
      <c r="W87" s="34"/>
      <c r="X87" s="34"/>
      <c r="Y87" s="34"/>
      <c r="Z87" s="34"/>
      <c r="AA87" s="34"/>
      <c r="AB87" s="34"/>
      <c r="AC87" s="34"/>
      <c r="AD87" s="34"/>
      <c r="AE87" s="34"/>
      <c r="AF87" s="34"/>
      <c r="AG87" s="34"/>
      <c r="AH87" s="34"/>
      <c r="AI87" s="34"/>
      <c r="AJ87" s="34"/>
      <c r="AK87" s="34"/>
      <c r="AL87" s="34"/>
      <c r="AM87" s="34"/>
      <c r="AN87" s="34"/>
      <c r="AO87" s="34"/>
      <c r="AP87" s="34"/>
      <c r="AQ87" s="34"/>
      <c r="AR87" s="34"/>
      <c r="AS87" s="34"/>
      <c r="AT87" s="34"/>
      <c r="AU87" s="34"/>
      <c r="AV87" s="34"/>
      <c r="AW87" s="34"/>
      <c r="AX87" s="34"/>
      <c r="AY87" s="34"/>
      <c r="AZ87" s="34"/>
      <c r="BA87" s="34"/>
      <c r="BB87" s="34"/>
      <c r="BC87" s="34"/>
      <c r="BD87" s="34"/>
      <c r="BE87" s="34"/>
      <c r="BF87" s="34"/>
      <c r="BG87" s="34"/>
      <c r="BH87" s="34"/>
      <c r="BI87" s="34"/>
      <c r="BJ87" s="34"/>
      <c r="BK87" s="34"/>
      <c r="BL87" s="34"/>
      <c r="BM87" s="34"/>
      <c r="BN87" s="34"/>
      <c r="BO87" s="34"/>
      <c r="BP87" s="34"/>
      <c r="BQ87" s="34"/>
      <c r="BR87" s="34"/>
      <c r="BS87" s="34"/>
      <c r="BT87" s="34"/>
      <c r="BU87" s="34"/>
      <c r="BV87" s="34"/>
      <c r="BW87" s="34"/>
      <c r="BX87" s="34"/>
      <c r="BY87" s="34"/>
      <c r="BZ87" s="34"/>
      <c r="CA87" s="34"/>
      <c r="CB87" s="34"/>
      <c r="CC87" s="34"/>
      <c r="CD87" s="34"/>
      <c r="CE87" s="34"/>
      <c r="CF87" s="34"/>
      <c r="CG87" s="34"/>
      <c r="CH87" s="34"/>
      <c r="CI87" s="34"/>
      <c r="CJ87" s="34"/>
      <c r="CK87" s="34"/>
      <c r="CL87" s="34"/>
      <c r="CM87" s="34"/>
      <c r="CN87" s="34"/>
      <c r="CO87" s="34"/>
      <c r="CP87" s="34"/>
      <c r="CQ87" s="34"/>
      <c r="CR87" s="34"/>
      <c r="CS87" s="34"/>
      <c r="CT87" s="34"/>
      <c r="CU87" s="34"/>
      <c r="CV87" s="34"/>
      <c r="CW87" s="34"/>
      <c r="CX87" s="34"/>
      <c r="CY87" s="34"/>
      <c r="CZ87" s="34"/>
    </row>
    <row r="88" spans="1:104" ht="13.5" customHeight="1">
      <c r="A88" s="38"/>
      <c r="B88" s="33">
        <f t="shared" si="474"/>
        <v>88</v>
      </c>
      <c r="C88" s="11"/>
      <c r="D88" s="34"/>
      <c r="E88" s="34"/>
      <c r="F88" s="34"/>
      <c r="G88" s="34"/>
      <c r="H88" s="34"/>
      <c r="I88" s="34"/>
      <c r="J88" s="34"/>
      <c r="K88" s="34"/>
      <c r="L88" s="34"/>
      <c r="M88" s="34"/>
      <c r="N88" s="34"/>
      <c r="O88" s="34"/>
      <c r="P88" s="34"/>
      <c r="Q88" s="34"/>
      <c r="R88" s="34"/>
      <c r="S88" s="34"/>
      <c r="T88" s="34"/>
      <c r="U88" s="34"/>
      <c r="V88" s="34"/>
      <c r="W88" s="34"/>
      <c r="X88" s="34"/>
      <c r="Y88" s="34"/>
      <c r="Z88" s="34"/>
      <c r="AA88" s="34"/>
      <c r="AB88" s="34"/>
      <c r="AC88" s="34"/>
      <c r="AD88" s="34"/>
      <c r="AE88" s="34"/>
      <c r="AF88" s="34"/>
      <c r="AG88" s="34"/>
      <c r="AH88" s="34"/>
      <c r="AI88" s="34"/>
      <c r="AJ88" s="34"/>
      <c r="AK88" s="34"/>
      <c r="AL88" s="34"/>
      <c r="AM88" s="34"/>
      <c r="AN88" s="34"/>
      <c r="AO88" s="34"/>
      <c r="AP88" s="34"/>
      <c r="AQ88" s="34"/>
      <c r="AR88" s="34"/>
      <c r="AS88" s="34"/>
      <c r="AT88" s="34"/>
      <c r="AU88" s="34"/>
      <c r="AV88" s="34"/>
      <c r="AW88" s="34"/>
      <c r="AX88" s="34"/>
      <c r="AY88" s="34"/>
      <c r="AZ88" s="34"/>
      <c r="BA88" s="34"/>
      <c r="BB88" s="34"/>
      <c r="BC88" s="34"/>
      <c r="BD88" s="34"/>
      <c r="BE88" s="34"/>
      <c r="BF88" s="34"/>
      <c r="BG88" s="34"/>
      <c r="BH88" s="34"/>
      <c r="BI88" s="34"/>
      <c r="BJ88" s="34"/>
      <c r="BK88" s="34"/>
      <c r="BL88" s="34"/>
      <c r="BM88" s="34"/>
      <c r="BN88" s="34"/>
      <c r="BO88" s="34"/>
      <c r="BP88" s="34"/>
      <c r="BQ88" s="34"/>
      <c r="BR88" s="34"/>
      <c r="BS88" s="34"/>
      <c r="BT88" s="34"/>
      <c r="BU88" s="34"/>
      <c r="BV88" s="34"/>
      <c r="BW88" s="34"/>
      <c r="BX88" s="34"/>
      <c r="BY88" s="34"/>
      <c r="BZ88" s="34"/>
      <c r="CA88" s="34"/>
      <c r="CB88" s="34"/>
      <c r="CC88" s="34"/>
      <c r="CD88" s="34"/>
      <c r="CE88" s="34"/>
      <c r="CF88" s="34"/>
      <c r="CG88" s="34"/>
      <c r="CH88" s="34"/>
      <c r="CI88" s="34"/>
      <c r="CJ88" s="34"/>
      <c r="CK88" s="34"/>
      <c r="CL88" s="34"/>
      <c r="CM88" s="34"/>
      <c r="CN88" s="34"/>
      <c r="CO88" s="34"/>
      <c r="CP88" s="34"/>
      <c r="CQ88" s="34"/>
      <c r="CR88" s="34"/>
      <c r="CS88" s="34"/>
      <c r="CT88" s="34"/>
      <c r="CU88" s="34"/>
      <c r="CV88" s="34"/>
      <c r="CW88" s="34"/>
      <c r="CX88" s="34"/>
      <c r="CY88" s="34"/>
      <c r="CZ88" s="34"/>
    </row>
    <row r="89" spans="1:104" ht="13.5" customHeight="1">
      <c r="A89" s="27"/>
      <c r="B89" s="33">
        <f t="shared" si="474"/>
        <v>89</v>
      </c>
      <c r="C89" s="39" t="s">
        <v>356</v>
      </c>
      <c r="D89" s="36">
        <f t="shared" ref="D89:AI89" ca="1" si="475">IF(D$11="","",IF(D$13=$M$5,$M$2,IF(OR(D$13=$M$6,D$13=$M$7,D$13=$M$8),"",D$13)))</f>
        <v>40787</v>
      </c>
      <c r="E89" s="36">
        <f t="shared" ca="1" si="475"/>
        <v>41153</v>
      </c>
      <c r="F89" s="36">
        <f t="shared" ca="1" si="475"/>
        <v>40603</v>
      </c>
      <c r="G89" s="36">
        <f t="shared" ca="1" si="475"/>
        <v>40695</v>
      </c>
      <c r="H89" s="36">
        <f t="shared" ca="1" si="475"/>
        <v>40787</v>
      </c>
      <c r="I89" s="36">
        <f t="shared" ca="1" si="475"/>
        <v>40878</v>
      </c>
      <c r="J89" s="36">
        <f t="shared" ca="1" si="475"/>
        <v>40969</v>
      </c>
      <c r="K89" s="36">
        <f t="shared" ca="1" si="475"/>
        <v>41061</v>
      </c>
      <c r="L89" s="36">
        <f t="shared" ca="1" si="475"/>
        <v>41153</v>
      </c>
      <c r="M89" s="36">
        <f t="shared" ca="1" si="475"/>
        <v>41244</v>
      </c>
      <c r="N89" s="36" t="str">
        <f t="shared" ca="1" si="475"/>
        <v>Opening</v>
      </c>
      <c r="O89" s="36" t="str">
        <f t="shared" ca="1" si="475"/>
        <v/>
      </c>
      <c r="P89" s="36" t="str">
        <f t="shared" ca="1" si="475"/>
        <v/>
      </c>
      <c r="Q89" s="36" t="str">
        <f t="shared" ca="1" si="475"/>
        <v/>
      </c>
      <c r="R89" s="36" t="str">
        <f t="shared" si="475"/>
        <v/>
      </c>
      <c r="S89" s="36" t="str">
        <f t="shared" si="475"/>
        <v/>
      </c>
      <c r="T89" s="36" t="str">
        <f t="shared" si="475"/>
        <v/>
      </c>
      <c r="U89" s="36" t="str">
        <f t="shared" si="475"/>
        <v/>
      </c>
      <c r="V89" s="36" t="str">
        <f t="shared" si="475"/>
        <v/>
      </c>
      <c r="W89" s="36" t="str">
        <f t="shared" si="475"/>
        <v/>
      </c>
      <c r="X89" s="36" t="str">
        <f t="shared" si="475"/>
        <v/>
      </c>
      <c r="Y89" s="36" t="str">
        <f t="shared" si="475"/>
        <v/>
      </c>
      <c r="Z89" s="36" t="str">
        <f t="shared" si="475"/>
        <v/>
      </c>
      <c r="AA89" s="36" t="str">
        <f t="shared" si="475"/>
        <v/>
      </c>
      <c r="AB89" s="36" t="str">
        <f t="shared" si="475"/>
        <v/>
      </c>
      <c r="AC89" s="36" t="str">
        <f t="shared" si="475"/>
        <v/>
      </c>
      <c r="AD89" s="36" t="str">
        <f t="shared" si="475"/>
        <v/>
      </c>
      <c r="AE89" s="36" t="str">
        <f t="shared" si="475"/>
        <v/>
      </c>
      <c r="AF89" s="36" t="str">
        <f t="shared" si="475"/>
        <v/>
      </c>
      <c r="AG89" s="36" t="str">
        <f t="shared" si="475"/>
        <v/>
      </c>
      <c r="AH89" s="36" t="str">
        <f t="shared" si="475"/>
        <v/>
      </c>
      <c r="AI89" s="36" t="str">
        <f t="shared" si="475"/>
        <v/>
      </c>
      <c r="AJ89" s="36" t="str">
        <f t="shared" ref="AJ89:BO89" si="476">IF(AJ$11="","",IF(AJ$13=$M$5,$M$2,IF(OR(AJ$13=$M$6,AJ$13=$M$7,AJ$13=$M$8),"",AJ$13)))</f>
        <v/>
      </c>
      <c r="AK89" s="36" t="str">
        <f t="shared" si="476"/>
        <v/>
      </c>
      <c r="AL89" s="36" t="str">
        <f t="shared" si="476"/>
        <v/>
      </c>
      <c r="AM89" s="36" t="str">
        <f t="shared" si="476"/>
        <v/>
      </c>
      <c r="AN89" s="36" t="str">
        <f t="shared" si="476"/>
        <v/>
      </c>
      <c r="AO89" s="36" t="str">
        <f t="shared" si="476"/>
        <v/>
      </c>
      <c r="AP89" s="36" t="str">
        <f t="shared" si="476"/>
        <v/>
      </c>
      <c r="AQ89" s="36" t="str">
        <f t="shared" si="476"/>
        <v/>
      </c>
      <c r="AR89" s="36" t="str">
        <f t="shared" si="476"/>
        <v/>
      </c>
      <c r="AS89" s="36" t="str">
        <f t="shared" si="476"/>
        <v/>
      </c>
      <c r="AT89" s="36" t="str">
        <f t="shared" si="476"/>
        <v/>
      </c>
      <c r="AU89" s="36" t="str">
        <f t="shared" si="476"/>
        <v/>
      </c>
      <c r="AV89" s="36" t="str">
        <f t="shared" si="476"/>
        <v/>
      </c>
      <c r="AW89" s="36" t="str">
        <f t="shared" si="476"/>
        <v/>
      </c>
      <c r="AX89" s="36" t="str">
        <f t="shared" si="476"/>
        <v/>
      </c>
      <c r="AY89" s="36" t="str">
        <f t="shared" si="476"/>
        <v/>
      </c>
      <c r="AZ89" s="36" t="str">
        <f t="shared" si="476"/>
        <v/>
      </c>
      <c r="BA89" s="36" t="str">
        <f t="shared" si="476"/>
        <v/>
      </c>
      <c r="BB89" s="36" t="str">
        <f t="shared" si="476"/>
        <v/>
      </c>
      <c r="BC89" s="36" t="str">
        <f t="shared" si="476"/>
        <v/>
      </c>
      <c r="BD89" s="36" t="str">
        <f t="shared" si="476"/>
        <v/>
      </c>
      <c r="BE89" s="36" t="str">
        <f t="shared" si="476"/>
        <v/>
      </c>
      <c r="BF89" s="36" t="str">
        <f t="shared" si="476"/>
        <v/>
      </c>
      <c r="BG89" s="36" t="str">
        <f t="shared" si="476"/>
        <v/>
      </c>
      <c r="BH89" s="36" t="str">
        <f t="shared" si="476"/>
        <v/>
      </c>
      <c r="BI89" s="36" t="str">
        <f t="shared" si="476"/>
        <v/>
      </c>
      <c r="BJ89" s="36" t="str">
        <f t="shared" si="476"/>
        <v/>
      </c>
      <c r="BK89" s="36" t="str">
        <f t="shared" si="476"/>
        <v/>
      </c>
      <c r="BL89" s="36" t="str">
        <f t="shared" si="476"/>
        <v/>
      </c>
      <c r="BM89" s="36" t="str">
        <f t="shared" si="476"/>
        <v/>
      </c>
      <c r="BN89" s="36" t="str">
        <f t="shared" si="476"/>
        <v/>
      </c>
      <c r="BO89" s="36" t="str">
        <f t="shared" si="476"/>
        <v/>
      </c>
      <c r="BP89" s="36" t="str">
        <f t="shared" ref="BP89:CZ89" si="477">IF(BP$11="","",IF(BP$13=$M$5,$M$2,IF(OR(BP$13=$M$6,BP$13=$M$7,BP$13=$M$8),"",BP$13)))</f>
        <v/>
      </c>
      <c r="BQ89" s="36" t="str">
        <f t="shared" si="477"/>
        <v/>
      </c>
      <c r="BR89" s="36" t="str">
        <f t="shared" si="477"/>
        <v/>
      </c>
      <c r="BS89" s="36" t="str">
        <f t="shared" si="477"/>
        <v/>
      </c>
      <c r="BT89" s="36" t="str">
        <f t="shared" si="477"/>
        <v/>
      </c>
      <c r="BU89" s="36" t="str">
        <f t="shared" si="477"/>
        <v/>
      </c>
      <c r="BV89" s="36" t="str">
        <f t="shared" si="477"/>
        <v/>
      </c>
      <c r="BW89" s="36" t="str">
        <f t="shared" si="477"/>
        <v/>
      </c>
      <c r="BX89" s="36" t="str">
        <f t="shared" si="477"/>
        <v/>
      </c>
      <c r="BY89" s="36" t="str">
        <f t="shared" si="477"/>
        <v/>
      </c>
      <c r="BZ89" s="36" t="str">
        <f t="shared" si="477"/>
        <v/>
      </c>
      <c r="CA89" s="36" t="str">
        <f t="shared" si="477"/>
        <v/>
      </c>
      <c r="CB89" s="36" t="str">
        <f t="shared" si="477"/>
        <v/>
      </c>
      <c r="CC89" s="36" t="str">
        <f t="shared" si="477"/>
        <v/>
      </c>
      <c r="CD89" s="36" t="str">
        <f t="shared" si="477"/>
        <v/>
      </c>
      <c r="CE89" s="36" t="str">
        <f t="shared" si="477"/>
        <v/>
      </c>
      <c r="CF89" s="36" t="str">
        <f t="shared" si="477"/>
        <v/>
      </c>
      <c r="CG89" s="36" t="str">
        <f t="shared" si="477"/>
        <v/>
      </c>
      <c r="CH89" s="36" t="str">
        <f t="shared" si="477"/>
        <v/>
      </c>
      <c r="CI89" s="36" t="str">
        <f t="shared" si="477"/>
        <v/>
      </c>
      <c r="CJ89" s="36" t="str">
        <f t="shared" si="477"/>
        <v/>
      </c>
      <c r="CK89" s="36" t="str">
        <f t="shared" si="477"/>
        <v/>
      </c>
      <c r="CL89" s="36" t="str">
        <f t="shared" si="477"/>
        <v/>
      </c>
      <c r="CM89" s="36" t="str">
        <f t="shared" si="477"/>
        <v/>
      </c>
      <c r="CN89" s="36" t="str">
        <f t="shared" si="477"/>
        <v/>
      </c>
      <c r="CO89" s="36" t="str">
        <f t="shared" si="477"/>
        <v/>
      </c>
      <c r="CP89" s="36" t="str">
        <f t="shared" si="477"/>
        <v/>
      </c>
      <c r="CQ89" s="36" t="str">
        <f t="shared" si="477"/>
        <v/>
      </c>
      <c r="CR89" s="36" t="str">
        <f t="shared" si="477"/>
        <v/>
      </c>
      <c r="CS89" s="36" t="str">
        <f t="shared" si="477"/>
        <v/>
      </c>
      <c r="CT89" s="36" t="str">
        <f t="shared" si="477"/>
        <v/>
      </c>
      <c r="CU89" s="36" t="str">
        <f t="shared" si="477"/>
        <v/>
      </c>
      <c r="CV89" s="36" t="str">
        <f t="shared" si="477"/>
        <v/>
      </c>
      <c r="CW89" s="36" t="str">
        <f t="shared" si="477"/>
        <v/>
      </c>
      <c r="CX89" s="36" t="str">
        <f t="shared" si="477"/>
        <v/>
      </c>
      <c r="CY89" s="36" t="str">
        <f t="shared" si="477"/>
        <v/>
      </c>
      <c r="CZ89" s="36" t="str">
        <f t="shared" si="477"/>
        <v/>
      </c>
    </row>
    <row r="90" spans="1:104" ht="13.5" customHeight="1">
      <c r="A90" s="27"/>
      <c r="B90" s="33">
        <f t="shared" si="474"/>
        <v>90</v>
      </c>
      <c r="C90" s="39" t="s">
        <v>463</v>
      </c>
      <c r="D90" s="36">
        <f t="shared" ref="D90:AI90" ca="1" si="478">IF(D$11="","",IF(D$89=$M$2,$M$3,IF(OR(D$13=$M$6,D$13=$M$7,D$13=$M$8),"",D$14)))</f>
        <v>4</v>
      </c>
      <c r="E90" s="36">
        <f t="shared" ca="1" si="478"/>
        <v>4</v>
      </c>
      <c r="F90" s="36">
        <f t="shared" ca="1" si="478"/>
        <v>2</v>
      </c>
      <c r="G90" s="36">
        <f t="shared" ca="1" si="478"/>
        <v>3</v>
      </c>
      <c r="H90" s="36">
        <f t="shared" ca="1" si="478"/>
        <v>4</v>
      </c>
      <c r="I90" s="36">
        <f t="shared" ca="1" si="478"/>
        <v>1</v>
      </c>
      <c r="J90" s="36">
        <f t="shared" ca="1" si="478"/>
        <v>2</v>
      </c>
      <c r="K90" s="36">
        <f t="shared" ca="1" si="478"/>
        <v>3</v>
      </c>
      <c r="L90" s="36">
        <f t="shared" ca="1" si="478"/>
        <v>4</v>
      </c>
      <c r="M90" s="36">
        <f t="shared" ca="1" si="478"/>
        <v>1</v>
      </c>
      <c r="N90" s="36" t="str">
        <f t="shared" ca="1" si="478"/>
        <v>Balance</v>
      </c>
      <c r="O90" s="36" t="str">
        <f t="shared" ca="1" si="478"/>
        <v/>
      </c>
      <c r="P90" s="36" t="str">
        <f t="shared" ca="1" si="478"/>
        <v/>
      </c>
      <c r="Q90" s="36" t="str">
        <f t="shared" ca="1" si="478"/>
        <v/>
      </c>
      <c r="R90" s="36" t="str">
        <f t="shared" si="478"/>
        <v/>
      </c>
      <c r="S90" s="36" t="str">
        <f t="shared" si="478"/>
        <v/>
      </c>
      <c r="T90" s="36" t="str">
        <f t="shared" si="478"/>
        <v/>
      </c>
      <c r="U90" s="36" t="str">
        <f t="shared" si="478"/>
        <v/>
      </c>
      <c r="V90" s="36" t="str">
        <f t="shared" si="478"/>
        <v/>
      </c>
      <c r="W90" s="36" t="str">
        <f t="shared" si="478"/>
        <v/>
      </c>
      <c r="X90" s="36" t="str">
        <f t="shared" si="478"/>
        <v/>
      </c>
      <c r="Y90" s="36" t="str">
        <f t="shared" si="478"/>
        <v/>
      </c>
      <c r="Z90" s="36" t="str">
        <f t="shared" si="478"/>
        <v/>
      </c>
      <c r="AA90" s="36" t="str">
        <f t="shared" si="478"/>
        <v/>
      </c>
      <c r="AB90" s="36" t="str">
        <f t="shared" si="478"/>
        <v/>
      </c>
      <c r="AC90" s="36" t="str">
        <f t="shared" si="478"/>
        <v/>
      </c>
      <c r="AD90" s="36" t="str">
        <f t="shared" si="478"/>
        <v/>
      </c>
      <c r="AE90" s="36" t="str">
        <f t="shared" si="478"/>
        <v/>
      </c>
      <c r="AF90" s="36" t="str">
        <f t="shared" si="478"/>
        <v/>
      </c>
      <c r="AG90" s="36" t="str">
        <f t="shared" si="478"/>
        <v/>
      </c>
      <c r="AH90" s="36" t="str">
        <f t="shared" si="478"/>
        <v/>
      </c>
      <c r="AI90" s="36" t="str">
        <f t="shared" si="478"/>
        <v/>
      </c>
      <c r="AJ90" s="36" t="str">
        <f t="shared" ref="AJ90:BO90" si="479">IF(AJ$11="","",IF(AJ$89=$M$2,$M$3,IF(OR(AJ$13=$M$6,AJ$13=$M$7,AJ$13=$M$8),"",AJ$14)))</f>
        <v/>
      </c>
      <c r="AK90" s="36" t="str">
        <f t="shared" si="479"/>
        <v/>
      </c>
      <c r="AL90" s="36" t="str">
        <f t="shared" si="479"/>
        <v/>
      </c>
      <c r="AM90" s="36" t="str">
        <f t="shared" si="479"/>
        <v/>
      </c>
      <c r="AN90" s="36" t="str">
        <f t="shared" si="479"/>
        <v/>
      </c>
      <c r="AO90" s="36" t="str">
        <f t="shared" si="479"/>
        <v/>
      </c>
      <c r="AP90" s="36" t="str">
        <f t="shared" si="479"/>
        <v/>
      </c>
      <c r="AQ90" s="36" t="str">
        <f t="shared" si="479"/>
        <v/>
      </c>
      <c r="AR90" s="36" t="str">
        <f t="shared" si="479"/>
        <v/>
      </c>
      <c r="AS90" s="36" t="str">
        <f t="shared" si="479"/>
        <v/>
      </c>
      <c r="AT90" s="36" t="str">
        <f t="shared" si="479"/>
        <v/>
      </c>
      <c r="AU90" s="36" t="str">
        <f t="shared" si="479"/>
        <v/>
      </c>
      <c r="AV90" s="36" t="str">
        <f t="shared" si="479"/>
        <v/>
      </c>
      <c r="AW90" s="36" t="str">
        <f t="shared" si="479"/>
        <v/>
      </c>
      <c r="AX90" s="36" t="str">
        <f t="shared" si="479"/>
        <v/>
      </c>
      <c r="AY90" s="36" t="str">
        <f t="shared" si="479"/>
        <v/>
      </c>
      <c r="AZ90" s="36" t="str">
        <f t="shared" si="479"/>
        <v/>
      </c>
      <c r="BA90" s="36" t="str">
        <f t="shared" si="479"/>
        <v/>
      </c>
      <c r="BB90" s="36" t="str">
        <f t="shared" si="479"/>
        <v/>
      </c>
      <c r="BC90" s="36" t="str">
        <f t="shared" si="479"/>
        <v/>
      </c>
      <c r="BD90" s="36" t="str">
        <f t="shared" si="479"/>
        <v/>
      </c>
      <c r="BE90" s="36" t="str">
        <f t="shared" si="479"/>
        <v/>
      </c>
      <c r="BF90" s="36" t="str">
        <f t="shared" si="479"/>
        <v/>
      </c>
      <c r="BG90" s="36" t="str">
        <f t="shared" si="479"/>
        <v/>
      </c>
      <c r="BH90" s="36" t="str">
        <f t="shared" si="479"/>
        <v/>
      </c>
      <c r="BI90" s="36" t="str">
        <f t="shared" si="479"/>
        <v/>
      </c>
      <c r="BJ90" s="36" t="str">
        <f t="shared" si="479"/>
        <v/>
      </c>
      <c r="BK90" s="36" t="str">
        <f t="shared" si="479"/>
        <v/>
      </c>
      <c r="BL90" s="36" t="str">
        <f t="shared" si="479"/>
        <v/>
      </c>
      <c r="BM90" s="36" t="str">
        <f t="shared" si="479"/>
        <v/>
      </c>
      <c r="BN90" s="36" t="str">
        <f t="shared" si="479"/>
        <v/>
      </c>
      <c r="BO90" s="36" t="str">
        <f t="shared" si="479"/>
        <v/>
      </c>
      <c r="BP90" s="36" t="str">
        <f t="shared" ref="BP90:CZ90" si="480">IF(BP$11="","",IF(BP$89=$M$2,$M$3,IF(OR(BP$13=$M$6,BP$13=$M$7,BP$13=$M$8),"",BP$14)))</f>
        <v/>
      </c>
      <c r="BQ90" s="36" t="str">
        <f t="shared" si="480"/>
        <v/>
      </c>
      <c r="BR90" s="36" t="str">
        <f t="shared" si="480"/>
        <v/>
      </c>
      <c r="BS90" s="36" t="str">
        <f t="shared" si="480"/>
        <v/>
      </c>
      <c r="BT90" s="36" t="str">
        <f t="shared" si="480"/>
        <v/>
      </c>
      <c r="BU90" s="36" t="str">
        <f t="shared" si="480"/>
        <v/>
      </c>
      <c r="BV90" s="36" t="str">
        <f t="shared" si="480"/>
        <v/>
      </c>
      <c r="BW90" s="36" t="str">
        <f t="shared" si="480"/>
        <v/>
      </c>
      <c r="BX90" s="36" t="str">
        <f t="shared" si="480"/>
        <v/>
      </c>
      <c r="BY90" s="36" t="str">
        <f t="shared" si="480"/>
        <v/>
      </c>
      <c r="BZ90" s="36" t="str">
        <f t="shared" si="480"/>
        <v/>
      </c>
      <c r="CA90" s="36" t="str">
        <f t="shared" si="480"/>
        <v/>
      </c>
      <c r="CB90" s="36" t="str">
        <f t="shared" si="480"/>
        <v/>
      </c>
      <c r="CC90" s="36" t="str">
        <f t="shared" si="480"/>
        <v/>
      </c>
      <c r="CD90" s="36" t="str">
        <f t="shared" si="480"/>
        <v/>
      </c>
      <c r="CE90" s="36" t="str">
        <f t="shared" si="480"/>
        <v/>
      </c>
      <c r="CF90" s="36" t="str">
        <f t="shared" si="480"/>
        <v/>
      </c>
      <c r="CG90" s="36" t="str">
        <f t="shared" si="480"/>
        <v/>
      </c>
      <c r="CH90" s="36" t="str">
        <f t="shared" si="480"/>
        <v/>
      </c>
      <c r="CI90" s="36" t="str">
        <f t="shared" si="480"/>
        <v/>
      </c>
      <c r="CJ90" s="36" t="str">
        <f t="shared" si="480"/>
        <v/>
      </c>
      <c r="CK90" s="36" t="str">
        <f t="shared" si="480"/>
        <v/>
      </c>
      <c r="CL90" s="36" t="str">
        <f t="shared" si="480"/>
        <v/>
      </c>
      <c r="CM90" s="36" t="str">
        <f t="shared" si="480"/>
        <v/>
      </c>
      <c r="CN90" s="36" t="str">
        <f t="shared" si="480"/>
        <v/>
      </c>
      <c r="CO90" s="36" t="str">
        <f t="shared" si="480"/>
        <v/>
      </c>
      <c r="CP90" s="36" t="str">
        <f t="shared" si="480"/>
        <v/>
      </c>
      <c r="CQ90" s="36" t="str">
        <f t="shared" si="480"/>
        <v/>
      </c>
      <c r="CR90" s="36" t="str">
        <f t="shared" si="480"/>
        <v/>
      </c>
      <c r="CS90" s="36" t="str">
        <f t="shared" si="480"/>
        <v/>
      </c>
      <c r="CT90" s="36" t="str">
        <f t="shared" si="480"/>
        <v/>
      </c>
      <c r="CU90" s="36" t="str">
        <f t="shared" si="480"/>
        <v/>
      </c>
      <c r="CV90" s="36" t="str">
        <f t="shared" si="480"/>
        <v/>
      </c>
      <c r="CW90" s="36" t="str">
        <f t="shared" si="480"/>
        <v/>
      </c>
      <c r="CX90" s="36" t="str">
        <f t="shared" si="480"/>
        <v/>
      </c>
      <c r="CY90" s="36" t="str">
        <f t="shared" si="480"/>
        <v/>
      </c>
      <c r="CZ90" s="36" t="str">
        <f t="shared" si="480"/>
        <v/>
      </c>
    </row>
    <row r="91" spans="1:104" ht="13.5" customHeight="1">
      <c r="A91" s="27"/>
      <c r="B91" s="33">
        <f t="shared" si="474"/>
        <v>91</v>
      </c>
      <c r="C91" s="10"/>
      <c r="D91" s="34"/>
      <c r="E91" s="34"/>
      <c r="F91" s="34"/>
      <c r="G91" s="34"/>
      <c r="H91" s="34"/>
      <c r="I91" s="34"/>
      <c r="J91" s="34"/>
      <c r="K91" s="34"/>
      <c r="L91" s="34"/>
      <c r="M91" s="34"/>
      <c r="N91" s="34"/>
      <c r="O91" s="34"/>
      <c r="P91" s="34"/>
      <c r="Q91" s="34"/>
      <c r="R91" s="34"/>
      <c r="S91" s="34"/>
      <c r="T91" s="34"/>
      <c r="U91" s="34"/>
      <c r="V91" s="34"/>
      <c r="W91" s="34"/>
      <c r="X91" s="34"/>
      <c r="Y91" s="34"/>
      <c r="Z91" s="34"/>
      <c r="AA91" s="34"/>
      <c r="AB91" s="34"/>
      <c r="AC91" s="34"/>
      <c r="AD91" s="34"/>
      <c r="AE91" s="34"/>
      <c r="AF91" s="34"/>
      <c r="AG91" s="34"/>
      <c r="AH91" s="34"/>
      <c r="AI91" s="34"/>
      <c r="AJ91" s="34"/>
      <c r="AK91" s="34"/>
      <c r="AL91" s="34"/>
      <c r="AM91" s="34"/>
      <c r="AN91" s="34"/>
      <c r="AO91" s="34"/>
      <c r="AP91" s="34"/>
      <c r="AQ91" s="34"/>
      <c r="AR91" s="34"/>
      <c r="AS91" s="34"/>
      <c r="AT91" s="34"/>
      <c r="AU91" s="34"/>
      <c r="AV91" s="34"/>
      <c r="AW91" s="34"/>
      <c r="AX91" s="34"/>
      <c r="AY91" s="34"/>
      <c r="AZ91" s="34"/>
      <c r="BA91" s="34"/>
      <c r="BB91" s="34"/>
      <c r="BC91" s="34"/>
      <c r="BD91" s="34"/>
      <c r="BE91" s="34"/>
      <c r="BF91" s="34"/>
      <c r="BG91" s="34"/>
      <c r="BH91" s="34"/>
      <c r="BI91" s="34"/>
      <c r="BJ91" s="34"/>
      <c r="BK91" s="34"/>
      <c r="BL91" s="34"/>
      <c r="BM91" s="34"/>
      <c r="BN91" s="34"/>
      <c r="BO91" s="34"/>
      <c r="BP91" s="34"/>
      <c r="BQ91" s="34"/>
      <c r="BR91" s="34"/>
      <c r="BS91" s="34"/>
      <c r="BT91" s="34"/>
      <c r="BU91" s="34"/>
      <c r="BV91" s="34"/>
      <c r="BW91" s="34"/>
      <c r="BX91" s="34"/>
      <c r="BY91" s="34"/>
      <c r="BZ91" s="34"/>
      <c r="CA91" s="34"/>
      <c r="CB91" s="34"/>
      <c r="CC91" s="34"/>
      <c r="CD91" s="34"/>
      <c r="CE91" s="34"/>
      <c r="CF91" s="34"/>
      <c r="CG91" s="34"/>
      <c r="CH91" s="34"/>
      <c r="CI91" s="34"/>
      <c r="CJ91" s="34"/>
      <c r="CK91" s="34"/>
      <c r="CL91" s="34"/>
      <c r="CM91" s="34"/>
      <c r="CN91" s="34"/>
      <c r="CO91" s="34"/>
      <c r="CP91" s="34"/>
      <c r="CQ91" s="34"/>
      <c r="CR91" s="34"/>
      <c r="CS91" s="34"/>
      <c r="CT91" s="34"/>
      <c r="CU91" s="34"/>
      <c r="CV91" s="34"/>
      <c r="CW91" s="34"/>
      <c r="CX91" s="34"/>
      <c r="CY91" s="34"/>
      <c r="CZ91" s="34"/>
    </row>
    <row r="92" spans="1:104" ht="13.5" customHeight="1">
      <c r="A92" s="30">
        <v>193</v>
      </c>
      <c r="B92" s="33">
        <f t="shared" si="474"/>
        <v>92</v>
      </c>
      <c r="C92" s="9" t="s">
        <v>357</v>
      </c>
      <c r="D92" s="34">
        <f ca="1">IF(D$89="","",IF(D$89=$M$2,C92,SUM(D93:D95)))</f>
        <v>25952</v>
      </c>
      <c r="E92" s="34">
        <f t="shared" ref="E92:BP92" ca="1" si="481">IF(E$89="","",IF(E$89=$M$2,D92,SUM(E93:E95)))</f>
        <v>29129</v>
      </c>
      <c r="F92" s="34">
        <f t="shared" ca="1" si="481"/>
        <v>29234</v>
      </c>
      <c r="G92" s="34">
        <f t="shared" ca="1" si="481"/>
        <v>28395</v>
      </c>
      <c r="H92" s="34">
        <f t="shared" ca="1" si="481"/>
        <v>25952</v>
      </c>
      <c r="I92" s="34">
        <f t="shared" ca="1" si="481"/>
        <v>30156</v>
      </c>
      <c r="J92" s="34">
        <f t="shared" ca="1" si="481"/>
        <v>28538</v>
      </c>
      <c r="K92" s="34">
        <f t="shared" ca="1" si="481"/>
        <v>27654</v>
      </c>
      <c r="L92" s="34">
        <f t="shared" ca="1" si="481"/>
        <v>29129</v>
      </c>
      <c r="M92" s="34">
        <f t="shared" ca="1" si="481"/>
        <v>39820</v>
      </c>
      <c r="N92" s="34">
        <f t="shared" ca="1" si="481"/>
        <v>39820</v>
      </c>
      <c r="O92" s="34" t="str">
        <f t="shared" ca="1" si="481"/>
        <v/>
      </c>
      <c r="P92" s="34" t="str">
        <f t="shared" ca="1" si="481"/>
        <v/>
      </c>
      <c r="Q92" s="34" t="str">
        <f t="shared" ca="1" si="481"/>
        <v/>
      </c>
      <c r="R92" s="34" t="str">
        <f t="shared" si="481"/>
        <v/>
      </c>
      <c r="S92" s="34" t="str">
        <f t="shared" si="481"/>
        <v/>
      </c>
      <c r="T92" s="34" t="str">
        <f t="shared" si="481"/>
        <v/>
      </c>
      <c r="U92" s="34" t="str">
        <f t="shared" si="481"/>
        <v/>
      </c>
      <c r="V92" s="34" t="str">
        <f t="shared" si="481"/>
        <v/>
      </c>
      <c r="W92" s="34" t="str">
        <f t="shared" si="481"/>
        <v/>
      </c>
      <c r="X92" s="34" t="str">
        <f t="shared" si="481"/>
        <v/>
      </c>
      <c r="Y92" s="34" t="str">
        <f t="shared" si="481"/>
        <v/>
      </c>
      <c r="Z92" s="34" t="str">
        <f t="shared" si="481"/>
        <v/>
      </c>
      <c r="AA92" s="34" t="str">
        <f t="shared" si="481"/>
        <v/>
      </c>
      <c r="AB92" s="34" t="str">
        <f t="shared" si="481"/>
        <v/>
      </c>
      <c r="AC92" s="34" t="str">
        <f t="shared" si="481"/>
        <v/>
      </c>
      <c r="AD92" s="34" t="str">
        <f t="shared" si="481"/>
        <v/>
      </c>
      <c r="AE92" s="34" t="str">
        <f t="shared" si="481"/>
        <v/>
      </c>
      <c r="AF92" s="34" t="str">
        <f t="shared" si="481"/>
        <v/>
      </c>
      <c r="AG92" s="34" t="str">
        <f t="shared" si="481"/>
        <v/>
      </c>
      <c r="AH92" s="34" t="str">
        <f t="shared" si="481"/>
        <v/>
      </c>
      <c r="AI92" s="34" t="str">
        <f t="shared" si="481"/>
        <v/>
      </c>
      <c r="AJ92" s="34" t="str">
        <f t="shared" si="481"/>
        <v/>
      </c>
      <c r="AK92" s="34" t="str">
        <f t="shared" si="481"/>
        <v/>
      </c>
      <c r="AL92" s="34" t="str">
        <f t="shared" si="481"/>
        <v/>
      </c>
      <c r="AM92" s="34" t="str">
        <f t="shared" si="481"/>
        <v/>
      </c>
      <c r="AN92" s="34" t="str">
        <f t="shared" si="481"/>
        <v/>
      </c>
      <c r="AO92" s="34" t="str">
        <f t="shared" si="481"/>
        <v/>
      </c>
      <c r="AP92" s="34" t="str">
        <f t="shared" si="481"/>
        <v/>
      </c>
      <c r="AQ92" s="34" t="str">
        <f t="shared" si="481"/>
        <v/>
      </c>
      <c r="AR92" s="34" t="str">
        <f t="shared" si="481"/>
        <v/>
      </c>
      <c r="AS92" s="34" t="str">
        <f t="shared" si="481"/>
        <v/>
      </c>
      <c r="AT92" s="34" t="str">
        <f t="shared" si="481"/>
        <v/>
      </c>
      <c r="AU92" s="34" t="str">
        <f t="shared" si="481"/>
        <v/>
      </c>
      <c r="AV92" s="34" t="str">
        <f t="shared" si="481"/>
        <v/>
      </c>
      <c r="AW92" s="34" t="str">
        <f t="shared" si="481"/>
        <v/>
      </c>
      <c r="AX92" s="34" t="str">
        <f t="shared" si="481"/>
        <v/>
      </c>
      <c r="AY92" s="34" t="str">
        <f t="shared" si="481"/>
        <v/>
      </c>
      <c r="AZ92" s="34" t="str">
        <f t="shared" si="481"/>
        <v/>
      </c>
      <c r="BA92" s="34" t="str">
        <f t="shared" si="481"/>
        <v/>
      </c>
      <c r="BB92" s="34" t="str">
        <f t="shared" si="481"/>
        <v/>
      </c>
      <c r="BC92" s="34" t="str">
        <f t="shared" si="481"/>
        <v/>
      </c>
      <c r="BD92" s="34" t="str">
        <f t="shared" si="481"/>
        <v/>
      </c>
      <c r="BE92" s="34" t="str">
        <f t="shared" si="481"/>
        <v/>
      </c>
      <c r="BF92" s="34" t="str">
        <f t="shared" si="481"/>
        <v/>
      </c>
      <c r="BG92" s="34" t="str">
        <f t="shared" si="481"/>
        <v/>
      </c>
      <c r="BH92" s="34" t="str">
        <f t="shared" si="481"/>
        <v/>
      </c>
      <c r="BI92" s="34" t="str">
        <f t="shared" si="481"/>
        <v/>
      </c>
      <c r="BJ92" s="34" t="str">
        <f t="shared" si="481"/>
        <v/>
      </c>
      <c r="BK92" s="34" t="str">
        <f t="shared" si="481"/>
        <v/>
      </c>
      <c r="BL92" s="34" t="str">
        <f t="shared" si="481"/>
        <v/>
      </c>
      <c r="BM92" s="34" t="str">
        <f t="shared" si="481"/>
        <v/>
      </c>
      <c r="BN92" s="34" t="str">
        <f t="shared" si="481"/>
        <v/>
      </c>
      <c r="BO92" s="34" t="str">
        <f t="shared" si="481"/>
        <v/>
      </c>
      <c r="BP92" s="34" t="str">
        <f t="shared" si="481"/>
        <v/>
      </c>
      <c r="BQ92" s="34" t="str">
        <f t="shared" ref="BQ92:CZ92" si="482">IF(BQ$89="","",IF(BQ$89=$M$2,BP92,SUM(BQ93:BQ95)))</f>
        <v/>
      </c>
      <c r="BR92" s="34" t="str">
        <f t="shared" si="482"/>
        <v/>
      </c>
      <c r="BS92" s="34" t="str">
        <f t="shared" si="482"/>
        <v/>
      </c>
      <c r="BT92" s="34" t="str">
        <f t="shared" si="482"/>
        <v/>
      </c>
      <c r="BU92" s="34" t="str">
        <f t="shared" si="482"/>
        <v/>
      </c>
      <c r="BV92" s="34" t="str">
        <f t="shared" si="482"/>
        <v/>
      </c>
      <c r="BW92" s="34" t="str">
        <f t="shared" si="482"/>
        <v/>
      </c>
      <c r="BX92" s="34" t="str">
        <f t="shared" si="482"/>
        <v/>
      </c>
      <c r="BY92" s="34" t="str">
        <f t="shared" si="482"/>
        <v/>
      </c>
      <c r="BZ92" s="34" t="str">
        <f t="shared" si="482"/>
        <v/>
      </c>
      <c r="CA92" s="34" t="str">
        <f t="shared" si="482"/>
        <v/>
      </c>
      <c r="CB92" s="34" t="str">
        <f t="shared" si="482"/>
        <v/>
      </c>
      <c r="CC92" s="34" t="str">
        <f t="shared" si="482"/>
        <v/>
      </c>
      <c r="CD92" s="34" t="str">
        <f t="shared" si="482"/>
        <v/>
      </c>
      <c r="CE92" s="34" t="str">
        <f t="shared" si="482"/>
        <v/>
      </c>
      <c r="CF92" s="34" t="str">
        <f t="shared" si="482"/>
        <v/>
      </c>
      <c r="CG92" s="34" t="str">
        <f t="shared" si="482"/>
        <v/>
      </c>
      <c r="CH92" s="34" t="str">
        <f t="shared" si="482"/>
        <v/>
      </c>
      <c r="CI92" s="34" t="str">
        <f t="shared" si="482"/>
        <v/>
      </c>
      <c r="CJ92" s="34" t="str">
        <f t="shared" si="482"/>
        <v/>
      </c>
      <c r="CK92" s="34" t="str">
        <f t="shared" si="482"/>
        <v/>
      </c>
      <c r="CL92" s="34" t="str">
        <f t="shared" si="482"/>
        <v/>
      </c>
      <c r="CM92" s="34" t="str">
        <f t="shared" si="482"/>
        <v/>
      </c>
      <c r="CN92" s="34" t="str">
        <f t="shared" si="482"/>
        <v/>
      </c>
      <c r="CO92" s="34" t="str">
        <f t="shared" si="482"/>
        <v/>
      </c>
      <c r="CP92" s="34" t="str">
        <f t="shared" si="482"/>
        <v/>
      </c>
      <c r="CQ92" s="34" t="str">
        <f t="shared" si="482"/>
        <v/>
      </c>
      <c r="CR92" s="34" t="str">
        <f t="shared" si="482"/>
        <v/>
      </c>
      <c r="CS92" s="34" t="str">
        <f t="shared" si="482"/>
        <v/>
      </c>
      <c r="CT92" s="34" t="str">
        <f t="shared" si="482"/>
        <v/>
      </c>
      <c r="CU92" s="34" t="str">
        <f t="shared" si="482"/>
        <v/>
      </c>
      <c r="CV92" s="34" t="str">
        <f t="shared" si="482"/>
        <v/>
      </c>
      <c r="CW92" s="34" t="str">
        <f t="shared" si="482"/>
        <v/>
      </c>
      <c r="CX92" s="34" t="str">
        <f t="shared" si="482"/>
        <v/>
      </c>
      <c r="CY92" s="34" t="str">
        <f t="shared" si="482"/>
        <v/>
      </c>
      <c r="CZ92" s="34" t="str">
        <f t="shared" si="482"/>
        <v/>
      </c>
    </row>
    <row r="93" spans="1:104" ht="13.5" customHeight="1">
      <c r="A93" s="30">
        <v>80</v>
      </c>
      <c r="B93" s="33">
        <f t="shared" si="474"/>
        <v>93</v>
      </c>
      <c r="C93" s="8" t="s">
        <v>358</v>
      </c>
      <c r="D93" s="34">
        <f t="shared" ref="D93:AI93" ca="1" si="483">IF(D$89="","",IF(D$89=$M$2,C93,IF(D$11&lt;$D$7,OFFSET(INDIRECT($D$3),$A93-1,$Q$3+D$11),OFFSET(INDIRECT($D$4),$A93-1,$Q$4+D$11))))</f>
        <v>9815</v>
      </c>
      <c r="E93" s="34">
        <f t="shared" ca="1" si="483"/>
        <v>10746</v>
      </c>
      <c r="F93" s="34">
        <f t="shared" ca="1" si="483"/>
        <v>15978</v>
      </c>
      <c r="G93" s="34">
        <f t="shared" ca="1" si="483"/>
        <v>12091</v>
      </c>
      <c r="H93" s="34">
        <f t="shared" ca="1" si="483"/>
        <v>9815</v>
      </c>
      <c r="I93" s="34">
        <f t="shared" ca="1" si="483"/>
        <v>10310</v>
      </c>
      <c r="J93" s="34">
        <f t="shared" ca="1" si="483"/>
        <v>10121</v>
      </c>
      <c r="K93" s="34">
        <f t="shared" ca="1" si="483"/>
        <v>7945</v>
      </c>
      <c r="L93" s="34">
        <f t="shared" ca="1" si="483"/>
        <v>10746</v>
      </c>
      <c r="M93" s="34">
        <f t="shared" ca="1" si="483"/>
        <v>16154</v>
      </c>
      <c r="N93" s="34">
        <f t="shared" ca="1" si="483"/>
        <v>16154</v>
      </c>
      <c r="O93" s="34" t="str">
        <f t="shared" ca="1" si="483"/>
        <v/>
      </c>
      <c r="P93" s="34" t="str">
        <f t="shared" ca="1" si="483"/>
        <v/>
      </c>
      <c r="Q93" s="34" t="str">
        <f t="shared" ca="1" si="483"/>
        <v/>
      </c>
      <c r="R93" s="34" t="str">
        <f t="shared" ca="1" si="483"/>
        <v/>
      </c>
      <c r="S93" s="34" t="str">
        <f t="shared" ca="1" si="483"/>
        <v/>
      </c>
      <c r="T93" s="34" t="str">
        <f t="shared" ca="1" si="483"/>
        <v/>
      </c>
      <c r="U93" s="34" t="str">
        <f t="shared" ca="1" si="483"/>
        <v/>
      </c>
      <c r="V93" s="34" t="str">
        <f t="shared" ca="1" si="483"/>
        <v/>
      </c>
      <c r="W93" s="34" t="str">
        <f t="shared" ca="1" si="483"/>
        <v/>
      </c>
      <c r="X93" s="34" t="str">
        <f t="shared" ca="1" si="483"/>
        <v/>
      </c>
      <c r="Y93" s="34" t="str">
        <f t="shared" ca="1" si="483"/>
        <v/>
      </c>
      <c r="Z93" s="34" t="str">
        <f t="shared" ca="1" si="483"/>
        <v/>
      </c>
      <c r="AA93" s="34" t="str">
        <f t="shared" ca="1" si="483"/>
        <v/>
      </c>
      <c r="AB93" s="34" t="str">
        <f t="shared" ca="1" si="483"/>
        <v/>
      </c>
      <c r="AC93" s="34" t="str">
        <f t="shared" ca="1" si="483"/>
        <v/>
      </c>
      <c r="AD93" s="34" t="str">
        <f t="shared" ca="1" si="483"/>
        <v/>
      </c>
      <c r="AE93" s="34" t="str">
        <f t="shared" ca="1" si="483"/>
        <v/>
      </c>
      <c r="AF93" s="34" t="str">
        <f t="shared" ca="1" si="483"/>
        <v/>
      </c>
      <c r="AG93" s="34" t="str">
        <f t="shared" ca="1" si="483"/>
        <v/>
      </c>
      <c r="AH93" s="34" t="str">
        <f t="shared" ca="1" si="483"/>
        <v/>
      </c>
      <c r="AI93" s="34" t="str">
        <f t="shared" ca="1" si="483"/>
        <v/>
      </c>
      <c r="AJ93" s="34" t="str">
        <f t="shared" ref="AJ93:BO93" ca="1" si="484">IF(AJ$89="","",IF(AJ$89=$M$2,AI93,IF(AJ$11&lt;$D$7,OFFSET(INDIRECT($D$3),$A93-1,$Q$3+AJ$11),OFFSET(INDIRECT($D$4),$A93-1,$Q$4+AJ$11))))</f>
        <v/>
      </c>
      <c r="AK93" s="34" t="str">
        <f t="shared" ca="1" si="484"/>
        <v/>
      </c>
      <c r="AL93" s="34" t="str">
        <f t="shared" ca="1" si="484"/>
        <v/>
      </c>
      <c r="AM93" s="34" t="str">
        <f t="shared" ca="1" si="484"/>
        <v/>
      </c>
      <c r="AN93" s="34" t="str">
        <f t="shared" ca="1" si="484"/>
        <v/>
      </c>
      <c r="AO93" s="34" t="str">
        <f t="shared" ca="1" si="484"/>
        <v/>
      </c>
      <c r="AP93" s="34" t="str">
        <f t="shared" ca="1" si="484"/>
        <v/>
      </c>
      <c r="AQ93" s="34" t="str">
        <f t="shared" ca="1" si="484"/>
        <v/>
      </c>
      <c r="AR93" s="34" t="str">
        <f t="shared" ca="1" si="484"/>
        <v/>
      </c>
      <c r="AS93" s="34" t="str">
        <f t="shared" ca="1" si="484"/>
        <v/>
      </c>
      <c r="AT93" s="34" t="str">
        <f t="shared" ca="1" si="484"/>
        <v/>
      </c>
      <c r="AU93" s="34" t="str">
        <f t="shared" ca="1" si="484"/>
        <v/>
      </c>
      <c r="AV93" s="34" t="str">
        <f t="shared" ca="1" si="484"/>
        <v/>
      </c>
      <c r="AW93" s="34" t="str">
        <f t="shared" ca="1" si="484"/>
        <v/>
      </c>
      <c r="AX93" s="34" t="str">
        <f t="shared" ca="1" si="484"/>
        <v/>
      </c>
      <c r="AY93" s="34" t="str">
        <f t="shared" ca="1" si="484"/>
        <v/>
      </c>
      <c r="AZ93" s="34" t="str">
        <f t="shared" ca="1" si="484"/>
        <v/>
      </c>
      <c r="BA93" s="34" t="str">
        <f t="shared" ca="1" si="484"/>
        <v/>
      </c>
      <c r="BB93" s="34" t="str">
        <f t="shared" ca="1" si="484"/>
        <v/>
      </c>
      <c r="BC93" s="34" t="str">
        <f t="shared" ca="1" si="484"/>
        <v/>
      </c>
      <c r="BD93" s="34" t="str">
        <f t="shared" ca="1" si="484"/>
        <v/>
      </c>
      <c r="BE93" s="34" t="str">
        <f t="shared" ca="1" si="484"/>
        <v/>
      </c>
      <c r="BF93" s="34" t="str">
        <f t="shared" ca="1" si="484"/>
        <v/>
      </c>
      <c r="BG93" s="34" t="str">
        <f t="shared" ca="1" si="484"/>
        <v/>
      </c>
      <c r="BH93" s="34" t="str">
        <f t="shared" ca="1" si="484"/>
        <v/>
      </c>
      <c r="BI93" s="34" t="str">
        <f t="shared" ca="1" si="484"/>
        <v/>
      </c>
      <c r="BJ93" s="34" t="str">
        <f t="shared" ca="1" si="484"/>
        <v/>
      </c>
      <c r="BK93" s="34" t="str">
        <f t="shared" ca="1" si="484"/>
        <v/>
      </c>
      <c r="BL93" s="34" t="str">
        <f t="shared" ca="1" si="484"/>
        <v/>
      </c>
      <c r="BM93" s="34" t="str">
        <f t="shared" ca="1" si="484"/>
        <v/>
      </c>
      <c r="BN93" s="34" t="str">
        <f t="shared" ca="1" si="484"/>
        <v/>
      </c>
      <c r="BO93" s="34" t="str">
        <f t="shared" ca="1" si="484"/>
        <v/>
      </c>
      <c r="BP93" s="34" t="str">
        <f t="shared" ref="BP93:CZ93" ca="1" si="485">IF(BP$89="","",IF(BP$89=$M$2,BO93,IF(BP$11&lt;$D$7,OFFSET(INDIRECT($D$3),$A93-1,$Q$3+BP$11),OFFSET(INDIRECT($D$4),$A93-1,$Q$4+BP$11))))</f>
        <v/>
      </c>
      <c r="BQ93" s="34" t="str">
        <f t="shared" ca="1" si="485"/>
        <v/>
      </c>
      <c r="BR93" s="34" t="str">
        <f t="shared" ca="1" si="485"/>
        <v/>
      </c>
      <c r="BS93" s="34" t="str">
        <f t="shared" ca="1" si="485"/>
        <v/>
      </c>
      <c r="BT93" s="34" t="str">
        <f t="shared" ca="1" si="485"/>
        <v/>
      </c>
      <c r="BU93" s="34" t="str">
        <f t="shared" ca="1" si="485"/>
        <v/>
      </c>
      <c r="BV93" s="34" t="str">
        <f t="shared" ca="1" si="485"/>
        <v/>
      </c>
      <c r="BW93" s="34" t="str">
        <f t="shared" ca="1" si="485"/>
        <v/>
      </c>
      <c r="BX93" s="34" t="str">
        <f t="shared" ca="1" si="485"/>
        <v/>
      </c>
      <c r="BY93" s="34" t="str">
        <f t="shared" ca="1" si="485"/>
        <v/>
      </c>
      <c r="BZ93" s="34" t="str">
        <f t="shared" ca="1" si="485"/>
        <v/>
      </c>
      <c r="CA93" s="34" t="str">
        <f t="shared" ca="1" si="485"/>
        <v/>
      </c>
      <c r="CB93" s="34" t="str">
        <f t="shared" ca="1" si="485"/>
        <v/>
      </c>
      <c r="CC93" s="34" t="str">
        <f t="shared" ca="1" si="485"/>
        <v/>
      </c>
      <c r="CD93" s="34" t="str">
        <f t="shared" ca="1" si="485"/>
        <v/>
      </c>
      <c r="CE93" s="34" t="str">
        <f t="shared" ca="1" si="485"/>
        <v/>
      </c>
      <c r="CF93" s="34" t="str">
        <f t="shared" ca="1" si="485"/>
        <v/>
      </c>
      <c r="CG93" s="34" t="str">
        <f t="shared" ca="1" si="485"/>
        <v/>
      </c>
      <c r="CH93" s="34" t="str">
        <f t="shared" ca="1" si="485"/>
        <v/>
      </c>
      <c r="CI93" s="34" t="str">
        <f t="shared" ca="1" si="485"/>
        <v/>
      </c>
      <c r="CJ93" s="34" t="str">
        <f t="shared" ca="1" si="485"/>
        <v/>
      </c>
      <c r="CK93" s="34" t="str">
        <f t="shared" ca="1" si="485"/>
        <v/>
      </c>
      <c r="CL93" s="34" t="str">
        <f t="shared" ca="1" si="485"/>
        <v/>
      </c>
      <c r="CM93" s="34" t="str">
        <f t="shared" ca="1" si="485"/>
        <v/>
      </c>
      <c r="CN93" s="34" t="str">
        <f t="shared" ca="1" si="485"/>
        <v/>
      </c>
      <c r="CO93" s="34" t="str">
        <f t="shared" ca="1" si="485"/>
        <v/>
      </c>
      <c r="CP93" s="34" t="str">
        <f t="shared" ca="1" si="485"/>
        <v/>
      </c>
      <c r="CQ93" s="34" t="str">
        <f t="shared" ca="1" si="485"/>
        <v/>
      </c>
      <c r="CR93" s="34" t="str">
        <f t="shared" ca="1" si="485"/>
        <v/>
      </c>
      <c r="CS93" s="34" t="str">
        <f t="shared" ca="1" si="485"/>
        <v/>
      </c>
      <c r="CT93" s="34" t="str">
        <f t="shared" ca="1" si="485"/>
        <v/>
      </c>
      <c r="CU93" s="34" t="str">
        <f t="shared" ca="1" si="485"/>
        <v/>
      </c>
      <c r="CV93" s="34" t="str">
        <f t="shared" ca="1" si="485"/>
        <v/>
      </c>
      <c r="CW93" s="34" t="str">
        <f t="shared" ca="1" si="485"/>
        <v/>
      </c>
      <c r="CX93" s="34" t="str">
        <f t="shared" ca="1" si="485"/>
        <v/>
      </c>
      <c r="CY93" s="34" t="str">
        <f t="shared" ca="1" si="485"/>
        <v/>
      </c>
      <c r="CZ93" s="34" t="str">
        <f t="shared" ca="1" si="485"/>
        <v/>
      </c>
    </row>
    <row r="94" spans="1:104" ht="13.5" customHeight="1">
      <c r="A94" s="27">
        <v>81</v>
      </c>
      <c r="B94" s="33">
        <f t="shared" si="474"/>
        <v>94</v>
      </c>
      <c r="C94" s="8" t="s">
        <v>359</v>
      </c>
      <c r="D94" s="34">
        <f t="shared" ref="D94:AI94" ca="1" si="486">IF(D$89="","",IF(D$89=$M$2,C94,IF(D$11&lt;$D$7,OFFSET(INDIRECT($D$3),$A94-1,$Q$3+D$11),OFFSET(INDIRECT($D$4),$A94-1,$Q$4+D$11))))</f>
        <v>0</v>
      </c>
      <c r="E94" s="34">
        <f t="shared" ca="1" si="486"/>
        <v>0</v>
      </c>
      <c r="F94" s="34">
        <f t="shared" ca="1" si="486"/>
        <v>0</v>
      </c>
      <c r="G94" s="34">
        <f t="shared" ca="1" si="486"/>
        <v>0</v>
      </c>
      <c r="H94" s="34">
        <f t="shared" ca="1" si="486"/>
        <v>0</v>
      </c>
      <c r="I94" s="34">
        <f t="shared" ca="1" si="486"/>
        <v>0</v>
      </c>
      <c r="J94" s="34">
        <f t="shared" ca="1" si="486"/>
        <v>0</v>
      </c>
      <c r="K94" s="34">
        <f t="shared" ca="1" si="486"/>
        <v>0</v>
      </c>
      <c r="L94" s="34">
        <f t="shared" ca="1" si="486"/>
        <v>0</v>
      </c>
      <c r="M94" s="34">
        <f t="shared" ca="1" si="486"/>
        <v>0</v>
      </c>
      <c r="N94" s="34">
        <f t="shared" ca="1" si="486"/>
        <v>0</v>
      </c>
      <c r="O94" s="34" t="str">
        <f t="shared" ca="1" si="486"/>
        <v/>
      </c>
      <c r="P94" s="34" t="str">
        <f t="shared" ca="1" si="486"/>
        <v/>
      </c>
      <c r="Q94" s="34" t="str">
        <f t="shared" ca="1" si="486"/>
        <v/>
      </c>
      <c r="R94" s="34" t="str">
        <f t="shared" ca="1" si="486"/>
        <v/>
      </c>
      <c r="S94" s="34" t="str">
        <f t="shared" ca="1" si="486"/>
        <v/>
      </c>
      <c r="T94" s="34" t="str">
        <f t="shared" ca="1" si="486"/>
        <v/>
      </c>
      <c r="U94" s="34" t="str">
        <f t="shared" ca="1" si="486"/>
        <v/>
      </c>
      <c r="V94" s="34" t="str">
        <f t="shared" ca="1" si="486"/>
        <v/>
      </c>
      <c r="W94" s="34" t="str">
        <f t="shared" ca="1" si="486"/>
        <v/>
      </c>
      <c r="X94" s="34" t="str">
        <f t="shared" ca="1" si="486"/>
        <v/>
      </c>
      <c r="Y94" s="34" t="str">
        <f t="shared" ca="1" si="486"/>
        <v/>
      </c>
      <c r="Z94" s="34" t="str">
        <f t="shared" ca="1" si="486"/>
        <v/>
      </c>
      <c r="AA94" s="34" t="str">
        <f t="shared" ca="1" si="486"/>
        <v/>
      </c>
      <c r="AB94" s="34" t="str">
        <f t="shared" ca="1" si="486"/>
        <v/>
      </c>
      <c r="AC94" s="34" t="str">
        <f t="shared" ca="1" si="486"/>
        <v/>
      </c>
      <c r="AD94" s="34" t="str">
        <f t="shared" ca="1" si="486"/>
        <v/>
      </c>
      <c r="AE94" s="34" t="str">
        <f t="shared" ca="1" si="486"/>
        <v/>
      </c>
      <c r="AF94" s="34" t="str">
        <f t="shared" ca="1" si="486"/>
        <v/>
      </c>
      <c r="AG94" s="34" t="str">
        <f t="shared" ca="1" si="486"/>
        <v/>
      </c>
      <c r="AH94" s="34" t="str">
        <f t="shared" ca="1" si="486"/>
        <v/>
      </c>
      <c r="AI94" s="34" t="str">
        <f t="shared" ca="1" si="486"/>
        <v/>
      </c>
      <c r="AJ94" s="34" t="str">
        <f t="shared" ref="AJ94:BO94" ca="1" si="487">IF(AJ$89="","",IF(AJ$89=$M$2,AI94,IF(AJ$11&lt;$D$7,OFFSET(INDIRECT($D$3),$A94-1,$Q$3+AJ$11),OFFSET(INDIRECT($D$4),$A94-1,$Q$4+AJ$11))))</f>
        <v/>
      </c>
      <c r="AK94" s="34" t="str">
        <f t="shared" ca="1" si="487"/>
        <v/>
      </c>
      <c r="AL94" s="34" t="str">
        <f t="shared" ca="1" si="487"/>
        <v/>
      </c>
      <c r="AM94" s="34" t="str">
        <f t="shared" ca="1" si="487"/>
        <v/>
      </c>
      <c r="AN94" s="34" t="str">
        <f t="shared" ca="1" si="487"/>
        <v/>
      </c>
      <c r="AO94" s="34" t="str">
        <f t="shared" ca="1" si="487"/>
        <v/>
      </c>
      <c r="AP94" s="34" t="str">
        <f t="shared" ca="1" si="487"/>
        <v/>
      </c>
      <c r="AQ94" s="34" t="str">
        <f t="shared" ca="1" si="487"/>
        <v/>
      </c>
      <c r="AR94" s="34" t="str">
        <f t="shared" ca="1" si="487"/>
        <v/>
      </c>
      <c r="AS94" s="34" t="str">
        <f t="shared" ca="1" si="487"/>
        <v/>
      </c>
      <c r="AT94" s="34" t="str">
        <f t="shared" ca="1" si="487"/>
        <v/>
      </c>
      <c r="AU94" s="34" t="str">
        <f t="shared" ca="1" si="487"/>
        <v/>
      </c>
      <c r="AV94" s="34" t="str">
        <f t="shared" ca="1" si="487"/>
        <v/>
      </c>
      <c r="AW94" s="34" t="str">
        <f t="shared" ca="1" si="487"/>
        <v/>
      </c>
      <c r="AX94" s="34" t="str">
        <f t="shared" ca="1" si="487"/>
        <v/>
      </c>
      <c r="AY94" s="34" t="str">
        <f t="shared" ca="1" si="487"/>
        <v/>
      </c>
      <c r="AZ94" s="34" t="str">
        <f t="shared" ca="1" si="487"/>
        <v/>
      </c>
      <c r="BA94" s="34" t="str">
        <f t="shared" ca="1" si="487"/>
        <v/>
      </c>
      <c r="BB94" s="34" t="str">
        <f t="shared" ca="1" si="487"/>
        <v/>
      </c>
      <c r="BC94" s="34" t="str">
        <f t="shared" ca="1" si="487"/>
        <v/>
      </c>
      <c r="BD94" s="34" t="str">
        <f t="shared" ca="1" si="487"/>
        <v/>
      </c>
      <c r="BE94" s="34" t="str">
        <f t="shared" ca="1" si="487"/>
        <v/>
      </c>
      <c r="BF94" s="34" t="str">
        <f t="shared" ca="1" si="487"/>
        <v/>
      </c>
      <c r="BG94" s="34" t="str">
        <f t="shared" ca="1" si="487"/>
        <v/>
      </c>
      <c r="BH94" s="34" t="str">
        <f t="shared" ca="1" si="487"/>
        <v/>
      </c>
      <c r="BI94" s="34" t="str">
        <f t="shared" ca="1" si="487"/>
        <v/>
      </c>
      <c r="BJ94" s="34" t="str">
        <f t="shared" ca="1" si="487"/>
        <v/>
      </c>
      <c r="BK94" s="34" t="str">
        <f t="shared" ca="1" si="487"/>
        <v/>
      </c>
      <c r="BL94" s="34" t="str">
        <f t="shared" ca="1" si="487"/>
        <v/>
      </c>
      <c r="BM94" s="34" t="str">
        <f t="shared" ca="1" si="487"/>
        <v/>
      </c>
      <c r="BN94" s="34" t="str">
        <f t="shared" ca="1" si="487"/>
        <v/>
      </c>
      <c r="BO94" s="34" t="str">
        <f t="shared" ca="1" si="487"/>
        <v/>
      </c>
      <c r="BP94" s="34" t="str">
        <f t="shared" ref="BP94:CZ94" ca="1" si="488">IF(BP$89="","",IF(BP$89=$M$2,BO94,IF(BP$11&lt;$D$7,OFFSET(INDIRECT($D$3),$A94-1,$Q$3+BP$11),OFFSET(INDIRECT($D$4),$A94-1,$Q$4+BP$11))))</f>
        <v/>
      </c>
      <c r="BQ94" s="34" t="str">
        <f t="shared" ca="1" si="488"/>
        <v/>
      </c>
      <c r="BR94" s="34" t="str">
        <f t="shared" ca="1" si="488"/>
        <v/>
      </c>
      <c r="BS94" s="34" t="str">
        <f t="shared" ca="1" si="488"/>
        <v/>
      </c>
      <c r="BT94" s="34" t="str">
        <f t="shared" ca="1" si="488"/>
        <v/>
      </c>
      <c r="BU94" s="34" t="str">
        <f t="shared" ca="1" si="488"/>
        <v/>
      </c>
      <c r="BV94" s="34" t="str">
        <f t="shared" ca="1" si="488"/>
        <v/>
      </c>
      <c r="BW94" s="34" t="str">
        <f t="shared" ca="1" si="488"/>
        <v/>
      </c>
      <c r="BX94" s="34" t="str">
        <f t="shared" ca="1" si="488"/>
        <v/>
      </c>
      <c r="BY94" s="34" t="str">
        <f t="shared" ca="1" si="488"/>
        <v/>
      </c>
      <c r="BZ94" s="34" t="str">
        <f t="shared" ca="1" si="488"/>
        <v/>
      </c>
      <c r="CA94" s="34" t="str">
        <f t="shared" ca="1" si="488"/>
        <v/>
      </c>
      <c r="CB94" s="34" t="str">
        <f t="shared" ca="1" si="488"/>
        <v/>
      </c>
      <c r="CC94" s="34" t="str">
        <f t="shared" ca="1" si="488"/>
        <v/>
      </c>
      <c r="CD94" s="34" t="str">
        <f t="shared" ca="1" si="488"/>
        <v/>
      </c>
      <c r="CE94" s="34" t="str">
        <f t="shared" ca="1" si="488"/>
        <v/>
      </c>
      <c r="CF94" s="34" t="str">
        <f t="shared" ca="1" si="488"/>
        <v/>
      </c>
      <c r="CG94" s="34" t="str">
        <f t="shared" ca="1" si="488"/>
        <v/>
      </c>
      <c r="CH94" s="34" t="str">
        <f t="shared" ca="1" si="488"/>
        <v/>
      </c>
      <c r="CI94" s="34" t="str">
        <f t="shared" ca="1" si="488"/>
        <v/>
      </c>
      <c r="CJ94" s="34" t="str">
        <f t="shared" ca="1" si="488"/>
        <v/>
      </c>
      <c r="CK94" s="34" t="str">
        <f t="shared" ca="1" si="488"/>
        <v/>
      </c>
      <c r="CL94" s="34" t="str">
        <f t="shared" ca="1" si="488"/>
        <v/>
      </c>
      <c r="CM94" s="34" t="str">
        <f t="shared" ca="1" si="488"/>
        <v/>
      </c>
      <c r="CN94" s="34" t="str">
        <f t="shared" ca="1" si="488"/>
        <v/>
      </c>
      <c r="CO94" s="34" t="str">
        <f t="shared" ca="1" si="488"/>
        <v/>
      </c>
      <c r="CP94" s="34" t="str">
        <f t="shared" ca="1" si="488"/>
        <v/>
      </c>
      <c r="CQ94" s="34" t="str">
        <f t="shared" ca="1" si="488"/>
        <v/>
      </c>
      <c r="CR94" s="34" t="str">
        <f t="shared" ca="1" si="488"/>
        <v/>
      </c>
      <c r="CS94" s="34" t="str">
        <f t="shared" ca="1" si="488"/>
        <v/>
      </c>
      <c r="CT94" s="34" t="str">
        <f t="shared" ca="1" si="488"/>
        <v/>
      </c>
      <c r="CU94" s="34" t="str">
        <f t="shared" ca="1" si="488"/>
        <v/>
      </c>
      <c r="CV94" s="34" t="str">
        <f t="shared" ca="1" si="488"/>
        <v/>
      </c>
      <c r="CW94" s="34" t="str">
        <f t="shared" ca="1" si="488"/>
        <v/>
      </c>
      <c r="CX94" s="34" t="str">
        <f t="shared" ca="1" si="488"/>
        <v/>
      </c>
      <c r="CY94" s="34" t="str">
        <f t="shared" ca="1" si="488"/>
        <v/>
      </c>
      <c r="CZ94" s="34" t="str">
        <f t="shared" ca="1" si="488"/>
        <v/>
      </c>
    </row>
    <row r="95" spans="1:104" ht="13.5" customHeight="1">
      <c r="A95" s="27">
        <v>82</v>
      </c>
      <c r="B95" s="33">
        <f t="shared" si="474"/>
        <v>95</v>
      </c>
      <c r="C95" s="8" t="s">
        <v>360</v>
      </c>
      <c r="D95" s="34">
        <f t="shared" ref="D95:AI95" ca="1" si="489">IF(D$89="","",IF(D$89=$M$2,C95,IF(D$11&lt;$D$7,OFFSET(INDIRECT($D$3),$A95-1,$Q$3+D$11),OFFSET(INDIRECT($D$4),$A95-1,$Q$4+D$11))))</f>
        <v>16137</v>
      </c>
      <c r="E95" s="34">
        <f t="shared" ca="1" si="489"/>
        <v>18383</v>
      </c>
      <c r="F95" s="34">
        <f t="shared" ca="1" si="489"/>
        <v>13256</v>
      </c>
      <c r="G95" s="34">
        <f t="shared" ca="1" si="489"/>
        <v>16304</v>
      </c>
      <c r="H95" s="34">
        <f t="shared" ca="1" si="489"/>
        <v>16137</v>
      </c>
      <c r="I95" s="34">
        <f t="shared" ca="1" si="489"/>
        <v>19846</v>
      </c>
      <c r="J95" s="34">
        <f t="shared" ca="1" si="489"/>
        <v>18417</v>
      </c>
      <c r="K95" s="34">
        <f t="shared" ca="1" si="489"/>
        <v>19709</v>
      </c>
      <c r="L95" s="34">
        <f t="shared" ca="1" si="489"/>
        <v>18383</v>
      </c>
      <c r="M95" s="34">
        <f t="shared" ca="1" si="489"/>
        <v>23666</v>
      </c>
      <c r="N95" s="34">
        <f t="shared" ca="1" si="489"/>
        <v>23666</v>
      </c>
      <c r="O95" s="34" t="str">
        <f t="shared" ca="1" si="489"/>
        <v/>
      </c>
      <c r="P95" s="34" t="str">
        <f t="shared" ca="1" si="489"/>
        <v/>
      </c>
      <c r="Q95" s="34" t="str">
        <f t="shared" ca="1" si="489"/>
        <v/>
      </c>
      <c r="R95" s="34" t="str">
        <f t="shared" ca="1" si="489"/>
        <v/>
      </c>
      <c r="S95" s="34" t="str">
        <f t="shared" ca="1" si="489"/>
        <v/>
      </c>
      <c r="T95" s="34" t="str">
        <f t="shared" ca="1" si="489"/>
        <v/>
      </c>
      <c r="U95" s="34" t="str">
        <f t="shared" ca="1" si="489"/>
        <v/>
      </c>
      <c r="V95" s="34" t="str">
        <f t="shared" ca="1" si="489"/>
        <v/>
      </c>
      <c r="W95" s="34" t="str">
        <f t="shared" ca="1" si="489"/>
        <v/>
      </c>
      <c r="X95" s="34" t="str">
        <f t="shared" ca="1" si="489"/>
        <v/>
      </c>
      <c r="Y95" s="34" t="str">
        <f t="shared" ca="1" si="489"/>
        <v/>
      </c>
      <c r="Z95" s="34" t="str">
        <f t="shared" ca="1" si="489"/>
        <v/>
      </c>
      <c r="AA95" s="34" t="str">
        <f t="shared" ca="1" si="489"/>
        <v/>
      </c>
      <c r="AB95" s="34" t="str">
        <f t="shared" ca="1" si="489"/>
        <v/>
      </c>
      <c r="AC95" s="34" t="str">
        <f t="shared" ca="1" si="489"/>
        <v/>
      </c>
      <c r="AD95" s="34" t="str">
        <f t="shared" ca="1" si="489"/>
        <v/>
      </c>
      <c r="AE95" s="34" t="str">
        <f t="shared" ca="1" si="489"/>
        <v/>
      </c>
      <c r="AF95" s="34" t="str">
        <f t="shared" ca="1" si="489"/>
        <v/>
      </c>
      <c r="AG95" s="34" t="str">
        <f t="shared" ca="1" si="489"/>
        <v/>
      </c>
      <c r="AH95" s="34" t="str">
        <f t="shared" ca="1" si="489"/>
        <v/>
      </c>
      <c r="AI95" s="34" t="str">
        <f t="shared" ca="1" si="489"/>
        <v/>
      </c>
      <c r="AJ95" s="34" t="str">
        <f t="shared" ref="AJ95:BO95" ca="1" si="490">IF(AJ$89="","",IF(AJ$89=$M$2,AI95,IF(AJ$11&lt;$D$7,OFFSET(INDIRECT($D$3),$A95-1,$Q$3+AJ$11),OFFSET(INDIRECT($D$4),$A95-1,$Q$4+AJ$11))))</f>
        <v/>
      </c>
      <c r="AK95" s="34" t="str">
        <f t="shared" ca="1" si="490"/>
        <v/>
      </c>
      <c r="AL95" s="34" t="str">
        <f t="shared" ca="1" si="490"/>
        <v/>
      </c>
      <c r="AM95" s="34" t="str">
        <f t="shared" ca="1" si="490"/>
        <v/>
      </c>
      <c r="AN95" s="34" t="str">
        <f t="shared" ca="1" si="490"/>
        <v/>
      </c>
      <c r="AO95" s="34" t="str">
        <f t="shared" ca="1" si="490"/>
        <v/>
      </c>
      <c r="AP95" s="34" t="str">
        <f t="shared" ca="1" si="490"/>
        <v/>
      </c>
      <c r="AQ95" s="34" t="str">
        <f t="shared" ca="1" si="490"/>
        <v/>
      </c>
      <c r="AR95" s="34" t="str">
        <f t="shared" ca="1" si="490"/>
        <v/>
      </c>
      <c r="AS95" s="34" t="str">
        <f t="shared" ca="1" si="490"/>
        <v/>
      </c>
      <c r="AT95" s="34" t="str">
        <f t="shared" ca="1" si="490"/>
        <v/>
      </c>
      <c r="AU95" s="34" t="str">
        <f t="shared" ca="1" si="490"/>
        <v/>
      </c>
      <c r="AV95" s="34" t="str">
        <f t="shared" ca="1" si="490"/>
        <v/>
      </c>
      <c r="AW95" s="34" t="str">
        <f t="shared" ca="1" si="490"/>
        <v/>
      </c>
      <c r="AX95" s="34" t="str">
        <f t="shared" ca="1" si="490"/>
        <v/>
      </c>
      <c r="AY95" s="34" t="str">
        <f t="shared" ca="1" si="490"/>
        <v/>
      </c>
      <c r="AZ95" s="34" t="str">
        <f t="shared" ca="1" si="490"/>
        <v/>
      </c>
      <c r="BA95" s="34" t="str">
        <f t="shared" ca="1" si="490"/>
        <v/>
      </c>
      <c r="BB95" s="34" t="str">
        <f t="shared" ca="1" si="490"/>
        <v/>
      </c>
      <c r="BC95" s="34" t="str">
        <f t="shared" ca="1" si="490"/>
        <v/>
      </c>
      <c r="BD95" s="34" t="str">
        <f t="shared" ca="1" si="490"/>
        <v/>
      </c>
      <c r="BE95" s="34" t="str">
        <f t="shared" ca="1" si="490"/>
        <v/>
      </c>
      <c r="BF95" s="34" t="str">
        <f t="shared" ca="1" si="490"/>
        <v/>
      </c>
      <c r="BG95" s="34" t="str">
        <f t="shared" ca="1" si="490"/>
        <v/>
      </c>
      <c r="BH95" s="34" t="str">
        <f t="shared" ca="1" si="490"/>
        <v/>
      </c>
      <c r="BI95" s="34" t="str">
        <f t="shared" ca="1" si="490"/>
        <v/>
      </c>
      <c r="BJ95" s="34" t="str">
        <f t="shared" ca="1" si="490"/>
        <v/>
      </c>
      <c r="BK95" s="34" t="str">
        <f t="shared" ca="1" si="490"/>
        <v/>
      </c>
      <c r="BL95" s="34" t="str">
        <f t="shared" ca="1" si="490"/>
        <v/>
      </c>
      <c r="BM95" s="34" t="str">
        <f t="shared" ca="1" si="490"/>
        <v/>
      </c>
      <c r="BN95" s="34" t="str">
        <f t="shared" ca="1" si="490"/>
        <v/>
      </c>
      <c r="BO95" s="34" t="str">
        <f t="shared" ca="1" si="490"/>
        <v/>
      </c>
      <c r="BP95" s="34" t="str">
        <f t="shared" ref="BP95:CZ95" ca="1" si="491">IF(BP$89="","",IF(BP$89=$M$2,BO95,IF(BP$11&lt;$D$7,OFFSET(INDIRECT($D$3),$A95-1,$Q$3+BP$11),OFFSET(INDIRECT($D$4),$A95-1,$Q$4+BP$11))))</f>
        <v/>
      </c>
      <c r="BQ95" s="34" t="str">
        <f t="shared" ca="1" si="491"/>
        <v/>
      </c>
      <c r="BR95" s="34" t="str">
        <f t="shared" ca="1" si="491"/>
        <v/>
      </c>
      <c r="BS95" s="34" t="str">
        <f t="shared" ca="1" si="491"/>
        <v/>
      </c>
      <c r="BT95" s="34" t="str">
        <f t="shared" ca="1" si="491"/>
        <v/>
      </c>
      <c r="BU95" s="34" t="str">
        <f t="shared" ca="1" si="491"/>
        <v/>
      </c>
      <c r="BV95" s="34" t="str">
        <f t="shared" ca="1" si="491"/>
        <v/>
      </c>
      <c r="BW95" s="34" t="str">
        <f t="shared" ca="1" si="491"/>
        <v/>
      </c>
      <c r="BX95" s="34" t="str">
        <f t="shared" ca="1" si="491"/>
        <v/>
      </c>
      <c r="BY95" s="34" t="str">
        <f t="shared" ca="1" si="491"/>
        <v/>
      </c>
      <c r="BZ95" s="34" t="str">
        <f t="shared" ca="1" si="491"/>
        <v/>
      </c>
      <c r="CA95" s="34" t="str">
        <f t="shared" ca="1" si="491"/>
        <v/>
      </c>
      <c r="CB95" s="34" t="str">
        <f t="shared" ca="1" si="491"/>
        <v/>
      </c>
      <c r="CC95" s="34" t="str">
        <f t="shared" ca="1" si="491"/>
        <v/>
      </c>
      <c r="CD95" s="34" t="str">
        <f t="shared" ca="1" si="491"/>
        <v/>
      </c>
      <c r="CE95" s="34" t="str">
        <f t="shared" ca="1" si="491"/>
        <v/>
      </c>
      <c r="CF95" s="34" t="str">
        <f t="shared" ca="1" si="491"/>
        <v/>
      </c>
      <c r="CG95" s="34" t="str">
        <f t="shared" ca="1" si="491"/>
        <v/>
      </c>
      <c r="CH95" s="34" t="str">
        <f t="shared" ca="1" si="491"/>
        <v/>
      </c>
      <c r="CI95" s="34" t="str">
        <f t="shared" ca="1" si="491"/>
        <v/>
      </c>
      <c r="CJ95" s="34" t="str">
        <f t="shared" ca="1" si="491"/>
        <v/>
      </c>
      <c r="CK95" s="34" t="str">
        <f t="shared" ca="1" si="491"/>
        <v/>
      </c>
      <c r="CL95" s="34" t="str">
        <f t="shared" ca="1" si="491"/>
        <v/>
      </c>
      <c r="CM95" s="34" t="str">
        <f t="shared" ca="1" si="491"/>
        <v/>
      </c>
      <c r="CN95" s="34" t="str">
        <f t="shared" ca="1" si="491"/>
        <v/>
      </c>
      <c r="CO95" s="34" t="str">
        <f t="shared" ca="1" si="491"/>
        <v/>
      </c>
      <c r="CP95" s="34" t="str">
        <f t="shared" ca="1" si="491"/>
        <v/>
      </c>
      <c r="CQ95" s="34" t="str">
        <f t="shared" ca="1" si="491"/>
        <v/>
      </c>
      <c r="CR95" s="34" t="str">
        <f t="shared" ca="1" si="491"/>
        <v/>
      </c>
      <c r="CS95" s="34" t="str">
        <f t="shared" ca="1" si="491"/>
        <v/>
      </c>
      <c r="CT95" s="34" t="str">
        <f t="shared" ca="1" si="491"/>
        <v/>
      </c>
      <c r="CU95" s="34" t="str">
        <f t="shared" ca="1" si="491"/>
        <v/>
      </c>
      <c r="CV95" s="34" t="str">
        <f t="shared" ca="1" si="491"/>
        <v/>
      </c>
      <c r="CW95" s="34" t="str">
        <f t="shared" ca="1" si="491"/>
        <v/>
      </c>
      <c r="CX95" s="34" t="str">
        <f t="shared" ca="1" si="491"/>
        <v/>
      </c>
      <c r="CY95" s="34" t="str">
        <f t="shared" ca="1" si="491"/>
        <v/>
      </c>
      <c r="CZ95" s="34" t="str">
        <f t="shared" ca="1" si="491"/>
        <v/>
      </c>
    </row>
    <row r="96" spans="1:104" ht="13.5" customHeight="1">
      <c r="A96" s="27">
        <v>86</v>
      </c>
      <c r="B96" s="33">
        <f t="shared" si="474"/>
        <v>96</v>
      </c>
      <c r="C96" s="9" t="s">
        <v>361</v>
      </c>
      <c r="D96" s="34">
        <f t="shared" ref="D96:AI96" ca="1" si="492">IF(D$89="","",IF(D$89=$M$2,C96,IF(D$11&lt;$D$7,OFFSET(INDIRECT($D$3),$A96-1,$Q$3+D$11),OFFSET(INDIRECT($D$4),$A96-1,$Q$4+D$11))))</f>
        <v>11717</v>
      </c>
      <c r="E96" s="34">
        <f t="shared" ca="1" si="492"/>
        <v>18692</v>
      </c>
      <c r="F96" s="34">
        <f t="shared" ca="1" si="492"/>
        <v>11095</v>
      </c>
      <c r="G96" s="34">
        <f t="shared" ca="1" si="492"/>
        <v>11471</v>
      </c>
      <c r="H96" s="34">
        <f t="shared" ca="1" si="492"/>
        <v>11717</v>
      </c>
      <c r="I96" s="34">
        <f t="shared" ca="1" si="492"/>
        <v>16484</v>
      </c>
      <c r="J96" s="34">
        <f t="shared" ca="1" si="492"/>
        <v>13769</v>
      </c>
      <c r="K96" s="34">
        <f t="shared" ca="1" si="492"/>
        <v>14298</v>
      </c>
      <c r="L96" s="34">
        <f t="shared" ca="1" si="492"/>
        <v>18692</v>
      </c>
      <c r="M96" s="34">
        <f t="shared" ca="1" si="492"/>
        <v>21534</v>
      </c>
      <c r="N96" s="34">
        <f t="shared" ca="1" si="492"/>
        <v>21534</v>
      </c>
      <c r="O96" s="34" t="str">
        <f t="shared" ca="1" si="492"/>
        <v/>
      </c>
      <c r="P96" s="34" t="str">
        <f t="shared" ca="1" si="492"/>
        <v/>
      </c>
      <c r="Q96" s="34" t="str">
        <f t="shared" ca="1" si="492"/>
        <v/>
      </c>
      <c r="R96" s="34" t="str">
        <f t="shared" ca="1" si="492"/>
        <v/>
      </c>
      <c r="S96" s="34" t="str">
        <f t="shared" ca="1" si="492"/>
        <v/>
      </c>
      <c r="T96" s="34" t="str">
        <f t="shared" ca="1" si="492"/>
        <v/>
      </c>
      <c r="U96" s="34" t="str">
        <f t="shared" ca="1" si="492"/>
        <v/>
      </c>
      <c r="V96" s="34" t="str">
        <f t="shared" ca="1" si="492"/>
        <v/>
      </c>
      <c r="W96" s="34" t="str">
        <f t="shared" ca="1" si="492"/>
        <v/>
      </c>
      <c r="X96" s="34" t="str">
        <f t="shared" ca="1" si="492"/>
        <v/>
      </c>
      <c r="Y96" s="34" t="str">
        <f t="shared" ca="1" si="492"/>
        <v/>
      </c>
      <c r="Z96" s="34" t="str">
        <f t="shared" ca="1" si="492"/>
        <v/>
      </c>
      <c r="AA96" s="34" t="str">
        <f t="shared" ca="1" si="492"/>
        <v/>
      </c>
      <c r="AB96" s="34" t="str">
        <f t="shared" ca="1" si="492"/>
        <v/>
      </c>
      <c r="AC96" s="34" t="str">
        <f t="shared" ca="1" si="492"/>
        <v/>
      </c>
      <c r="AD96" s="34" t="str">
        <f t="shared" ca="1" si="492"/>
        <v/>
      </c>
      <c r="AE96" s="34" t="str">
        <f t="shared" ca="1" si="492"/>
        <v/>
      </c>
      <c r="AF96" s="34" t="str">
        <f t="shared" ca="1" si="492"/>
        <v/>
      </c>
      <c r="AG96" s="34" t="str">
        <f t="shared" ca="1" si="492"/>
        <v/>
      </c>
      <c r="AH96" s="34" t="str">
        <f t="shared" ca="1" si="492"/>
        <v/>
      </c>
      <c r="AI96" s="34" t="str">
        <f t="shared" ca="1" si="492"/>
        <v/>
      </c>
      <c r="AJ96" s="34" t="str">
        <f t="shared" ref="AJ96:BO96" ca="1" si="493">IF(AJ$89="","",IF(AJ$89=$M$2,AI96,IF(AJ$11&lt;$D$7,OFFSET(INDIRECT($D$3),$A96-1,$Q$3+AJ$11),OFFSET(INDIRECT($D$4),$A96-1,$Q$4+AJ$11))))</f>
        <v/>
      </c>
      <c r="AK96" s="34" t="str">
        <f t="shared" ca="1" si="493"/>
        <v/>
      </c>
      <c r="AL96" s="34" t="str">
        <f t="shared" ca="1" si="493"/>
        <v/>
      </c>
      <c r="AM96" s="34" t="str">
        <f t="shared" ca="1" si="493"/>
        <v/>
      </c>
      <c r="AN96" s="34" t="str">
        <f t="shared" ca="1" si="493"/>
        <v/>
      </c>
      <c r="AO96" s="34" t="str">
        <f t="shared" ca="1" si="493"/>
        <v/>
      </c>
      <c r="AP96" s="34" t="str">
        <f t="shared" ca="1" si="493"/>
        <v/>
      </c>
      <c r="AQ96" s="34" t="str">
        <f t="shared" ca="1" si="493"/>
        <v/>
      </c>
      <c r="AR96" s="34" t="str">
        <f t="shared" ca="1" si="493"/>
        <v/>
      </c>
      <c r="AS96" s="34" t="str">
        <f t="shared" ca="1" si="493"/>
        <v/>
      </c>
      <c r="AT96" s="34" t="str">
        <f t="shared" ca="1" si="493"/>
        <v/>
      </c>
      <c r="AU96" s="34" t="str">
        <f t="shared" ca="1" si="493"/>
        <v/>
      </c>
      <c r="AV96" s="34" t="str">
        <f t="shared" ca="1" si="493"/>
        <v/>
      </c>
      <c r="AW96" s="34" t="str">
        <f t="shared" ca="1" si="493"/>
        <v/>
      </c>
      <c r="AX96" s="34" t="str">
        <f t="shared" ca="1" si="493"/>
        <v/>
      </c>
      <c r="AY96" s="34" t="str">
        <f t="shared" ca="1" si="493"/>
        <v/>
      </c>
      <c r="AZ96" s="34" t="str">
        <f t="shared" ca="1" si="493"/>
        <v/>
      </c>
      <c r="BA96" s="34" t="str">
        <f t="shared" ca="1" si="493"/>
        <v/>
      </c>
      <c r="BB96" s="34" t="str">
        <f t="shared" ca="1" si="493"/>
        <v/>
      </c>
      <c r="BC96" s="34" t="str">
        <f t="shared" ca="1" si="493"/>
        <v/>
      </c>
      <c r="BD96" s="34" t="str">
        <f t="shared" ca="1" si="493"/>
        <v/>
      </c>
      <c r="BE96" s="34" t="str">
        <f t="shared" ca="1" si="493"/>
        <v/>
      </c>
      <c r="BF96" s="34" t="str">
        <f t="shared" ca="1" si="493"/>
        <v/>
      </c>
      <c r="BG96" s="34" t="str">
        <f t="shared" ca="1" si="493"/>
        <v/>
      </c>
      <c r="BH96" s="34" t="str">
        <f t="shared" ca="1" si="493"/>
        <v/>
      </c>
      <c r="BI96" s="34" t="str">
        <f t="shared" ca="1" si="493"/>
        <v/>
      </c>
      <c r="BJ96" s="34" t="str">
        <f t="shared" ca="1" si="493"/>
        <v/>
      </c>
      <c r="BK96" s="34" t="str">
        <f t="shared" ca="1" si="493"/>
        <v/>
      </c>
      <c r="BL96" s="34" t="str">
        <f t="shared" ca="1" si="493"/>
        <v/>
      </c>
      <c r="BM96" s="34" t="str">
        <f t="shared" ca="1" si="493"/>
        <v/>
      </c>
      <c r="BN96" s="34" t="str">
        <f t="shared" ca="1" si="493"/>
        <v/>
      </c>
      <c r="BO96" s="34" t="str">
        <f t="shared" ca="1" si="493"/>
        <v/>
      </c>
      <c r="BP96" s="34" t="str">
        <f t="shared" ref="BP96:CZ96" ca="1" si="494">IF(BP$89="","",IF(BP$89=$M$2,BO96,IF(BP$11&lt;$D$7,OFFSET(INDIRECT($D$3),$A96-1,$Q$3+BP$11),OFFSET(INDIRECT($D$4),$A96-1,$Q$4+BP$11))))</f>
        <v/>
      </c>
      <c r="BQ96" s="34" t="str">
        <f t="shared" ca="1" si="494"/>
        <v/>
      </c>
      <c r="BR96" s="34" t="str">
        <f t="shared" ca="1" si="494"/>
        <v/>
      </c>
      <c r="BS96" s="34" t="str">
        <f t="shared" ca="1" si="494"/>
        <v/>
      </c>
      <c r="BT96" s="34" t="str">
        <f t="shared" ca="1" si="494"/>
        <v/>
      </c>
      <c r="BU96" s="34" t="str">
        <f t="shared" ca="1" si="494"/>
        <v/>
      </c>
      <c r="BV96" s="34" t="str">
        <f t="shared" ca="1" si="494"/>
        <v/>
      </c>
      <c r="BW96" s="34" t="str">
        <f t="shared" ca="1" si="494"/>
        <v/>
      </c>
      <c r="BX96" s="34" t="str">
        <f t="shared" ca="1" si="494"/>
        <v/>
      </c>
      <c r="BY96" s="34" t="str">
        <f t="shared" ca="1" si="494"/>
        <v/>
      </c>
      <c r="BZ96" s="34" t="str">
        <f t="shared" ca="1" si="494"/>
        <v/>
      </c>
      <c r="CA96" s="34" t="str">
        <f t="shared" ca="1" si="494"/>
        <v/>
      </c>
      <c r="CB96" s="34" t="str">
        <f t="shared" ca="1" si="494"/>
        <v/>
      </c>
      <c r="CC96" s="34" t="str">
        <f t="shared" ca="1" si="494"/>
        <v/>
      </c>
      <c r="CD96" s="34" t="str">
        <f t="shared" ca="1" si="494"/>
        <v/>
      </c>
      <c r="CE96" s="34" t="str">
        <f t="shared" ca="1" si="494"/>
        <v/>
      </c>
      <c r="CF96" s="34" t="str">
        <f t="shared" ca="1" si="494"/>
        <v/>
      </c>
      <c r="CG96" s="34" t="str">
        <f t="shared" ca="1" si="494"/>
        <v/>
      </c>
      <c r="CH96" s="34" t="str">
        <f t="shared" ca="1" si="494"/>
        <v/>
      </c>
      <c r="CI96" s="34" t="str">
        <f t="shared" ca="1" si="494"/>
        <v/>
      </c>
      <c r="CJ96" s="34" t="str">
        <f t="shared" ca="1" si="494"/>
        <v/>
      </c>
      <c r="CK96" s="34" t="str">
        <f t="shared" ca="1" si="494"/>
        <v/>
      </c>
      <c r="CL96" s="34" t="str">
        <f t="shared" ca="1" si="494"/>
        <v/>
      </c>
      <c r="CM96" s="34" t="str">
        <f t="shared" ca="1" si="494"/>
        <v/>
      </c>
      <c r="CN96" s="34" t="str">
        <f t="shared" ca="1" si="494"/>
        <v/>
      </c>
      <c r="CO96" s="34" t="str">
        <f t="shared" ca="1" si="494"/>
        <v/>
      </c>
      <c r="CP96" s="34" t="str">
        <f t="shared" ca="1" si="494"/>
        <v/>
      </c>
      <c r="CQ96" s="34" t="str">
        <f t="shared" ca="1" si="494"/>
        <v/>
      </c>
      <c r="CR96" s="34" t="str">
        <f t="shared" ca="1" si="494"/>
        <v/>
      </c>
      <c r="CS96" s="34" t="str">
        <f t="shared" ca="1" si="494"/>
        <v/>
      </c>
      <c r="CT96" s="34" t="str">
        <f t="shared" ca="1" si="494"/>
        <v/>
      </c>
      <c r="CU96" s="34" t="str">
        <f t="shared" ca="1" si="494"/>
        <v/>
      </c>
      <c r="CV96" s="34" t="str">
        <f t="shared" ca="1" si="494"/>
        <v/>
      </c>
      <c r="CW96" s="34" t="str">
        <f t="shared" ca="1" si="494"/>
        <v/>
      </c>
      <c r="CX96" s="34" t="str">
        <f t="shared" ca="1" si="494"/>
        <v/>
      </c>
      <c r="CY96" s="34" t="str">
        <f t="shared" ca="1" si="494"/>
        <v/>
      </c>
      <c r="CZ96" s="34" t="str">
        <f t="shared" ca="1" si="494"/>
        <v/>
      </c>
    </row>
    <row r="97" spans="1:104" ht="13.5" customHeight="1">
      <c r="A97" s="27">
        <v>83</v>
      </c>
      <c r="B97" s="33">
        <f t="shared" si="474"/>
        <v>97</v>
      </c>
      <c r="C97" s="8" t="s">
        <v>362</v>
      </c>
      <c r="D97" s="34">
        <f t="shared" ref="D97:AI97" ca="1" si="495">IF(D$89="","",IF(D$89=$M$2,C97,IF(D$11&lt;$D$7,OFFSET(INDIRECT($D$3),$A97-1,$Q$3+D$11),OFFSET(INDIRECT($D$4),$A97-1,$Q$4+D$11))))</f>
        <v>5369</v>
      </c>
      <c r="E97" s="34">
        <f t="shared" ca="1" si="495"/>
        <v>10930</v>
      </c>
      <c r="F97" s="34">
        <f t="shared" ca="1" si="495"/>
        <v>5798</v>
      </c>
      <c r="G97" s="34">
        <f t="shared" ca="1" si="495"/>
        <v>6102</v>
      </c>
      <c r="H97" s="34">
        <f t="shared" ca="1" si="495"/>
        <v>5369</v>
      </c>
      <c r="I97" s="34">
        <f t="shared" ca="1" si="495"/>
        <v>8930</v>
      </c>
      <c r="J97" s="34">
        <f t="shared" ca="1" si="495"/>
        <v>7042</v>
      </c>
      <c r="K97" s="34">
        <f t="shared" ca="1" si="495"/>
        <v>7657</v>
      </c>
      <c r="L97" s="34">
        <f t="shared" ca="1" si="495"/>
        <v>10930</v>
      </c>
      <c r="M97" s="34">
        <f t="shared" ca="1" si="495"/>
        <v>11598</v>
      </c>
      <c r="N97" s="34">
        <f t="shared" ca="1" si="495"/>
        <v>11598</v>
      </c>
      <c r="O97" s="34" t="str">
        <f t="shared" ca="1" si="495"/>
        <v/>
      </c>
      <c r="P97" s="34" t="str">
        <f t="shared" ca="1" si="495"/>
        <v/>
      </c>
      <c r="Q97" s="34" t="str">
        <f t="shared" ca="1" si="495"/>
        <v/>
      </c>
      <c r="R97" s="34" t="str">
        <f t="shared" ca="1" si="495"/>
        <v/>
      </c>
      <c r="S97" s="34" t="str">
        <f t="shared" ca="1" si="495"/>
        <v/>
      </c>
      <c r="T97" s="34" t="str">
        <f t="shared" ca="1" si="495"/>
        <v/>
      </c>
      <c r="U97" s="34" t="str">
        <f t="shared" ca="1" si="495"/>
        <v/>
      </c>
      <c r="V97" s="34" t="str">
        <f t="shared" ca="1" si="495"/>
        <v/>
      </c>
      <c r="W97" s="34" t="str">
        <f t="shared" ca="1" si="495"/>
        <v/>
      </c>
      <c r="X97" s="34" t="str">
        <f t="shared" ca="1" si="495"/>
        <v/>
      </c>
      <c r="Y97" s="34" t="str">
        <f t="shared" ca="1" si="495"/>
        <v/>
      </c>
      <c r="Z97" s="34" t="str">
        <f t="shared" ca="1" si="495"/>
        <v/>
      </c>
      <c r="AA97" s="34" t="str">
        <f t="shared" ca="1" si="495"/>
        <v/>
      </c>
      <c r="AB97" s="34" t="str">
        <f t="shared" ca="1" si="495"/>
        <v/>
      </c>
      <c r="AC97" s="34" t="str">
        <f t="shared" ca="1" si="495"/>
        <v/>
      </c>
      <c r="AD97" s="34" t="str">
        <f t="shared" ca="1" si="495"/>
        <v/>
      </c>
      <c r="AE97" s="34" t="str">
        <f t="shared" ca="1" si="495"/>
        <v/>
      </c>
      <c r="AF97" s="34" t="str">
        <f t="shared" ca="1" si="495"/>
        <v/>
      </c>
      <c r="AG97" s="34" t="str">
        <f t="shared" ca="1" si="495"/>
        <v/>
      </c>
      <c r="AH97" s="34" t="str">
        <f t="shared" ca="1" si="495"/>
        <v/>
      </c>
      <c r="AI97" s="34" t="str">
        <f t="shared" ca="1" si="495"/>
        <v/>
      </c>
      <c r="AJ97" s="34" t="str">
        <f t="shared" ref="AJ97:BO97" ca="1" si="496">IF(AJ$89="","",IF(AJ$89=$M$2,AI97,IF(AJ$11&lt;$D$7,OFFSET(INDIRECT($D$3),$A97-1,$Q$3+AJ$11),OFFSET(INDIRECT($D$4),$A97-1,$Q$4+AJ$11))))</f>
        <v/>
      </c>
      <c r="AK97" s="34" t="str">
        <f t="shared" ca="1" si="496"/>
        <v/>
      </c>
      <c r="AL97" s="34" t="str">
        <f t="shared" ca="1" si="496"/>
        <v/>
      </c>
      <c r="AM97" s="34" t="str">
        <f t="shared" ca="1" si="496"/>
        <v/>
      </c>
      <c r="AN97" s="34" t="str">
        <f t="shared" ca="1" si="496"/>
        <v/>
      </c>
      <c r="AO97" s="34" t="str">
        <f t="shared" ca="1" si="496"/>
        <v/>
      </c>
      <c r="AP97" s="34" t="str">
        <f t="shared" ca="1" si="496"/>
        <v/>
      </c>
      <c r="AQ97" s="34" t="str">
        <f t="shared" ca="1" si="496"/>
        <v/>
      </c>
      <c r="AR97" s="34" t="str">
        <f t="shared" ca="1" si="496"/>
        <v/>
      </c>
      <c r="AS97" s="34" t="str">
        <f t="shared" ca="1" si="496"/>
        <v/>
      </c>
      <c r="AT97" s="34" t="str">
        <f t="shared" ca="1" si="496"/>
        <v/>
      </c>
      <c r="AU97" s="34" t="str">
        <f t="shared" ca="1" si="496"/>
        <v/>
      </c>
      <c r="AV97" s="34" t="str">
        <f t="shared" ca="1" si="496"/>
        <v/>
      </c>
      <c r="AW97" s="34" t="str">
        <f t="shared" ca="1" si="496"/>
        <v/>
      </c>
      <c r="AX97" s="34" t="str">
        <f t="shared" ca="1" si="496"/>
        <v/>
      </c>
      <c r="AY97" s="34" t="str">
        <f t="shared" ca="1" si="496"/>
        <v/>
      </c>
      <c r="AZ97" s="34" t="str">
        <f t="shared" ca="1" si="496"/>
        <v/>
      </c>
      <c r="BA97" s="34" t="str">
        <f t="shared" ca="1" si="496"/>
        <v/>
      </c>
      <c r="BB97" s="34" t="str">
        <f t="shared" ca="1" si="496"/>
        <v/>
      </c>
      <c r="BC97" s="34" t="str">
        <f t="shared" ca="1" si="496"/>
        <v/>
      </c>
      <c r="BD97" s="34" t="str">
        <f t="shared" ca="1" si="496"/>
        <v/>
      </c>
      <c r="BE97" s="34" t="str">
        <f t="shared" ca="1" si="496"/>
        <v/>
      </c>
      <c r="BF97" s="34" t="str">
        <f t="shared" ca="1" si="496"/>
        <v/>
      </c>
      <c r="BG97" s="34" t="str">
        <f t="shared" ca="1" si="496"/>
        <v/>
      </c>
      <c r="BH97" s="34" t="str">
        <f t="shared" ca="1" si="496"/>
        <v/>
      </c>
      <c r="BI97" s="34" t="str">
        <f t="shared" ca="1" si="496"/>
        <v/>
      </c>
      <c r="BJ97" s="34" t="str">
        <f t="shared" ca="1" si="496"/>
        <v/>
      </c>
      <c r="BK97" s="34" t="str">
        <f t="shared" ca="1" si="496"/>
        <v/>
      </c>
      <c r="BL97" s="34" t="str">
        <f t="shared" ca="1" si="496"/>
        <v/>
      </c>
      <c r="BM97" s="34" t="str">
        <f t="shared" ca="1" si="496"/>
        <v/>
      </c>
      <c r="BN97" s="34" t="str">
        <f t="shared" ca="1" si="496"/>
        <v/>
      </c>
      <c r="BO97" s="34" t="str">
        <f t="shared" ca="1" si="496"/>
        <v/>
      </c>
      <c r="BP97" s="34" t="str">
        <f t="shared" ref="BP97:CZ97" ca="1" si="497">IF(BP$89="","",IF(BP$89=$M$2,BO97,IF(BP$11&lt;$D$7,OFFSET(INDIRECT($D$3),$A97-1,$Q$3+BP$11),OFFSET(INDIRECT($D$4),$A97-1,$Q$4+BP$11))))</f>
        <v/>
      </c>
      <c r="BQ97" s="34" t="str">
        <f t="shared" ca="1" si="497"/>
        <v/>
      </c>
      <c r="BR97" s="34" t="str">
        <f t="shared" ca="1" si="497"/>
        <v/>
      </c>
      <c r="BS97" s="34" t="str">
        <f t="shared" ca="1" si="497"/>
        <v/>
      </c>
      <c r="BT97" s="34" t="str">
        <f t="shared" ca="1" si="497"/>
        <v/>
      </c>
      <c r="BU97" s="34" t="str">
        <f t="shared" ca="1" si="497"/>
        <v/>
      </c>
      <c r="BV97" s="34" t="str">
        <f t="shared" ca="1" si="497"/>
        <v/>
      </c>
      <c r="BW97" s="34" t="str">
        <f t="shared" ca="1" si="497"/>
        <v/>
      </c>
      <c r="BX97" s="34" t="str">
        <f t="shared" ca="1" si="497"/>
        <v/>
      </c>
      <c r="BY97" s="34" t="str">
        <f t="shared" ca="1" si="497"/>
        <v/>
      </c>
      <c r="BZ97" s="34" t="str">
        <f t="shared" ca="1" si="497"/>
        <v/>
      </c>
      <c r="CA97" s="34" t="str">
        <f t="shared" ca="1" si="497"/>
        <v/>
      </c>
      <c r="CB97" s="34" t="str">
        <f t="shared" ca="1" si="497"/>
        <v/>
      </c>
      <c r="CC97" s="34" t="str">
        <f t="shared" ca="1" si="497"/>
        <v/>
      </c>
      <c r="CD97" s="34" t="str">
        <f t="shared" ca="1" si="497"/>
        <v/>
      </c>
      <c r="CE97" s="34" t="str">
        <f t="shared" ca="1" si="497"/>
        <v/>
      </c>
      <c r="CF97" s="34" t="str">
        <f t="shared" ca="1" si="497"/>
        <v/>
      </c>
      <c r="CG97" s="34" t="str">
        <f t="shared" ca="1" si="497"/>
        <v/>
      </c>
      <c r="CH97" s="34" t="str">
        <f t="shared" ca="1" si="497"/>
        <v/>
      </c>
      <c r="CI97" s="34" t="str">
        <f t="shared" ca="1" si="497"/>
        <v/>
      </c>
      <c r="CJ97" s="34" t="str">
        <f t="shared" ca="1" si="497"/>
        <v/>
      </c>
      <c r="CK97" s="34" t="str">
        <f t="shared" ca="1" si="497"/>
        <v/>
      </c>
      <c r="CL97" s="34" t="str">
        <f t="shared" ca="1" si="497"/>
        <v/>
      </c>
      <c r="CM97" s="34" t="str">
        <f t="shared" ca="1" si="497"/>
        <v/>
      </c>
      <c r="CN97" s="34" t="str">
        <f t="shared" ca="1" si="497"/>
        <v/>
      </c>
      <c r="CO97" s="34" t="str">
        <f t="shared" ca="1" si="497"/>
        <v/>
      </c>
      <c r="CP97" s="34" t="str">
        <f t="shared" ca="1" si="497"/>
        <v/>
      </c>
      <c r="CQ97" s="34" t="str">
        <f t="shared" ca="1" si="497"/>
        <v/>
      </c>
      <c r="CR97" s="34" t="str">
        <f t="shared" ca="1" si="497"/>
        <v/>
      </c>
      <c r="CS97" s="34" t="str">
        <f t="shared" ca="1" si="497"/>
        <v/>
      </c>
      <c r="CT97" s="34" t="str">
        <f t="shared" ca="1" si="497"/>
        <v/>
      </c>
      <c r="CU97" s="34" t="str">
        <f t="shared" ca="1" si="497"/>
        <v/>
      </c>
      <c r="CV97" s="34" t="str">
        <f t="shared" ca="1" si="497"/>
        <v/>
      </c>
      <c r="CW97" s="34" t="str">
        <f t="shared" ca="1" si="497"/>
        <v/>
      </c>
      <c r="CX97" s="34" t="str">
        <f t="shared" ca="1" si="497"/>
        <v/>
      </c>
      <c r="CY97" s="34" t="str">
        <f t="shared" ca="1" si="497"/>
        <v/>
      </c>
      <c r="CZ97" s="34" t="str">
        <f t="shared" ca="1" si="497"/>
        <v/>
      </c>
    </row>
    <row r="98" spans="1:104" ht="13.5" customHeight="1">
      <c r="A98" s="27">
        <v>84</v>
      </c>
      <c r="B98" s="33">
        <f t="shared" si="474"/>
        <v>98</v>
      </c>
      <c r="C98" s="8" t="s">
        <v>363</v>
      </c>
      <c r="D98" s="34">
        <f t="shared" ref="D98:AI98" ca="1" si="498">IF(D$89="","",IF(D$89=$M$2,C98,IF(D$11&lt;$D$7,OFFSET(INDIRECT($D$3),$A98-1,$Q$3+D$11),OFFSET(INDIRECT($D$4),$A98-1,$Q$4+D$11))))</f>
        <v>0</v>
      </c>
      <c r="E98" s="34">
        <f t="shared" ca="1" si="498"/>
        <v>0</v>
      </c>
      <c r="F98" s="34">
        <f t="shared" ca="1" si="498"/>
        <v>0</v>
      </c>
      <c r="G98" s="34">
        <f t="shared" ca="1" si="498"/>
        <v>0</v>
      </c>
      <c r="H98" s="34">
        <f t="shared" ca="1" si="498"/>
        <v>0</v>
      </c>
      <c r="I98" s="34">
        <f t="shared" ca="1" si="498"/>
        <v>0</v>
      </c>
      <c r="J98" s="34">
        <f t="shared" ca="1" si="498"/>
        <v>0</v>
      </c>
      <c r="K98" s="34">
        <f t="shared" ca="1" si="498"/>
        <v>0</v>
      </c>
      <c r="L98" s="34">
        <f t="shared" ca="1" si="498"/>
        <v>0</v>
      </c>
      <c r="M98" s="34">
        <f t="shared" ca="1" si="498"/>
        <v>0</v>
      </c>
      <c r="N98" s="34">
        <f t="shared" ca="1" si="498"/>
        <v>0</v>
      </c>
      <c r="O98" s="34" t="str">
        <f t="shared" ca="1" si="498"/>
        <v/>
      </c>
      <c r="P98" s="34" t="str">
        <f t="shared" ca="1" si="498"/>
        <v/>
      </c>
      <c r="Q98" s="34" t="str">
        <f t="shared" ca="1" si="498"/>
        <v/>
      </c>
      <c r="R98" s="34" t="str">
        <f t="shared" ca="1" si="498"/>
        <v/>
      </c>
      <c r="S98" s="34" t="str">
        <f t="shared" ca="1" si="498"/>
        <v/>
      </c>
      <c r="T98" s="34" t="str">
        <f t="shared" ca="1" si="498"/>
        <v/>
      </c>
      <c r="U98" s="34" t="str">
        <f t="shared" ca="1" si="498"/>
        <v/>
      </c>
      <c r="V98" s="34" t="str">
        <f t="shared" ca="1" si="498"/>
        <v/>
      </c>
      <c r="W98" s="34" t="str">
        <f t="shared" ca="1" si="498"/>
        <v/>
      </c>
      <c r="X98" s="34" t="str">
        <f t="shared" ca="1" si="498"/>
        <v/>
      </c>
      <c r="Y98" s="34" t="str">
        <f t="shared" ca="1" si="498"/>
        <v/>
      </c>
      <c r="Z98" s="34" t="str">
        <f t="shared" ca="1" si="498"/>
        <v/>
      </c>
      <c r="AA98" s="34" t="str">
        <f t="shared" ca="1" si="498"/>
        <v/>
      </c>
      <c r="AB98" s="34" t="str">
        <f t="shared" ca="1" si="498"/>
        <v/>
      </c>
      <c r="AC98" s="34" t="str">
        <f t="shared" ca="1" si="498"/>
        <v/>
      </c>
      <c r="AD98" s="34" t="str">
        <f t="shared" ca="1" si="498"/>
        <v/>
      </c>
      <c r="AE98" s="34" t="str">
        <f t="shared" ca="1" si="498"/>
        <v/>
      </c>
      <c r="AF98" s="34" t="str">
        <f t="shared" ca="1" si="498"/>
        <v/>
      </c>
      <c r="AG98" s="34" t="str">
        <f t="shared" ca="1" si="498"/>
        <v/>
      </c>
      <c r="AH98" s="34" t="str">
        <f t="shared" ca="1" si="498"/>
        <v/>
      </c>
      <c r="AI98" s="34" t="str">
        <f t="shared" ca="1" si="498"/>
        <v/>
      </c>
      <c r="AJ98" s="34" t="str">
        <f t="shared" ref="AJ98:BO98" ca="1" si="499">IF(AJ$89="","",IF(AJ$89=$M$2,AI98,IF(AJ$11&lt;$D$7,OFFSET(INDIRECT($D$3),$A98-1,$Q$3+AJ$11),OFFSET(INDIRECT($D$4),$A98-1,$Q$4+AJ$11))))</f>
        <v/>
      </c>
      <c r="AK98" s="34" t="str">
        <f t="shared" ca="1" si="499"/>
        <v/>
      </c>
      <c r="AL98" s="34" t="str">
        <f t="shared" ca="1" si="499"/>
        <v/>
      </c>
      <c r="AM98" s="34" t="str">
        <f t="shared" ca="1" si="499"/>
        <v/>
      </c>
      <c r="AN98" s="34" t="str">
        <f t="shared" ca="1" si="499"/>
        <v/>
      </c>
      <c r="AO98" s="34" t="str">
        <f t="shared" ca="1" si="499"/>
        <v/>
      </c>
      <c r="AP98" s="34" t="str">
        <f t="shared" ca="1" si="499"/>
        <v/>
      </c>
      <c r="AQ98" s="34" t="str">
        <f t="shared" ca="1" si="499"/>
        <v/>
      </c>
      <c r="AR98" s="34" t="str">
        <f t="shared" ca="1" si="499"/>
        <v/>
      </c>
      <c r="AS98" s="34" t="str">
        <f t="shared" ca="1" si="499"/>
        <v/>
      </c>
      <c r="AT98" s="34" t="str">
        <f t="shared" ca="1" si="499"/>
        <v/>
      </c>
      <c r="AU98" s="34" t="str">
        <f t="shared" ca="1" si="499"/>
        <v/>
      </c>
      <c r="AV98" s="34" t="str">
        <f t="shared" ca="1" si="499"/>
        <v/>
      </c>
      <c r="AW98" s="34" t="str">
        <f t="shared" ca="1" si="499"/>
        <v/>
      </c>
      <c r="AX98" s="34" t="str">
        <f t="shared" ca="1" si="499"/>
        <v/>
      </c>
      <c r="AY98" s="34" t="str">
        <f t="shared" ca="1" si="499"/>
        <v/>
      </c>
      <c r="AZ98" s="34" t="str">
        <f t="shared" ca="1" si="499"/>
        <v/>
      </c>
      <c r="BA98" s="34" t="str">
        <f t="shared" ca="1" si="499"/>
        <v/>
      </c>
      <c r="BB98" s="34" t="str">
        <f t="shared" ca="1" si="499"/>
        <v/>
      </c>
      <c r="BC98" s="34" t="str">
        <f t="shared" ca="1" si="499"/>
        <v/>
      </c>
      <c r="BD98" s="34" t="str">
        <f t="shared" ca="1" si="499"/>
        <v/>
      </c>
      <c r="BE98" s="34" t="str">
        <f t="shared" ca="1" si="499"/>
        <v/>
      </c>
      <c r="BF98" s="34" t="str">
        <f t="shared" ca="1" si="499"/>
        <v/>
      </c>
      <c r="BG98" s="34" t="str">
        <f t="shared" ca="1" si="499"/>
        <v/>
      </c>
      <c r="BH98" s="34" t="str">
        <f t="shared" ca="1" si="499"/>
        <v/>
      </c>
      <c r="BI98" s="34" t="str">
        <f t="shared" ca="1" si="499"/>
        <v/>
      </c>
      <c r="BJ98" s="34" t="str">
        <f t="shared" ca="1" si="499"/>
        <v/>
      </c>
      <c r="BK98" s="34" t="str">
        <f t="shared" ca="1" si="499"/>
        <v/>
      </c>
      <c r="BL98" s="34" t="str">
        <f t="shared" ca="1" si="499"/>
        <v/>
      </c>
      <c r="BM98" s="34" t="str">
        <f t="shared" ca="1" si="499"/>
        <v/>
      </c>
      <c r="BN98" s="34" t="str">
        <f t="shared" ca="1" si="499"/>
        <v/>
      </c>
      <c r="BO98" s="34" t="str">
        <f t="shared" ca="1" si="499"/>
        <v/>
      </c>
      <c r="BP98" s="34" t="str">
        <f t="shared" ref="BP98:CZ98" ca="1" si="500">IF(BP$89="","",IF(BP$89=$M$2,BO98,IF(BP$11&lt;$D$7,OFFSET(INDIRECT($D$3),$A98-1,$Q$3+BP$11),OFFSET(INDIRECT($D$4),$A98-1,$Q$4+BP$11))))</f>
        <v/>
      </c>
      <c r="BQ98" s="34" t="str">
        <f t="shared" ca="1" si="500"/>
        <v/>
      </c>
      <c r="BR98" s="34" t="str">
        <f t="shared" ca="1" si="500"/>
        <v/>
      </c>
      <c r="BS98" s="34" t="str">
        <f t="shared" ca="1" si="500"/>
        <v/>
      </c>
      <c r="BT98" s="34" t="str">
        <f t="shared" ca="1" si="500"/>
        <v/>
      </c>
      <c r="BU98" s="34" t="str">
        <f t="shared" ca="1" si="500"/>
        <v/>
      </c>
      <c r="BV98" s="34" t="str">
        <f t="shared" ca="1" si="500"/>
        <v/>
      </c>
      <c r="BW98" s="34" t="str">
        <f t="shared" ca="1" si="500"/>
        <v/>
      </c>
      <c r="BX98" s="34" t="str">
        <f t="shared" ca="1" si="500"/>
        <v/>
      </c>
      <c r="BY98" s="34" t="str">
        <f t="shared" ca="1" si="500"/>
        <v/>
      </c>
      <c r="BZ98" s="34" t="str">
        <f t="shared" ca="1" si="500"/>
        <v/>
      </c>
      <c r="CA98" s="34" t="str">
        <f t="shared" ca="1" si="500"/>
        <v/>
      </c>
      <c r="CB98" s="34" t="str">
        <f t="shared" ca="1" si="500"/>
        <v/>
      </c>
      <c r="CC98" s="34" t="str">
        <f t="shared" ca="1" si="500"/>
        <v/>
      </c>
      <c r="CD98" s="34" t="str">
        <f t="shared" ca="1" si="500"/>
        <v/>
      </c>
      <c r="CE98" s="34" t="str">
        <f t="shared" ca="1" si="500"/>
        <v/>
      </c>
      <c r="CF98" s="34" t="str">
        <f t="shared" ca="1" si="500"/>
        <v/>
      </c>
      <c r="CG98" s="34" t="str">
        <f t="shared" ca="1" si="500"/>
        <v/>
      </c>
      <c r="CH98" s="34" t="str">
        <f t="shared" ca="1" si="500"/>
        <v/>
      </c>
      <c r="CI98" s="34" t="str">
        <f t="shared" ca="1" si="500"/>
        <v/>
      </c>
      <c r="CJ98" s="34" t="str">
        <f t="shared" ca="1" si="500"/>
        <v/>
      </c>
      <c r="CK98" s="34" t="str">
        <f t="shared" ca="1" si="500"/>
        <v/>
      </c>
      <c r="CL98" s="34" t="str">
        <f t="shared" ca="1" si="500"/>
        <v/>
      </c>
      <c r="CM98" s="34" t="str">
        <f t="shared" ca="1" si="500"/>
        <v/>
      </c>
      <c r="CN98" s="34" t="str">
        <f t="shared" ca="1" si="500"/>
        <v/>
      </c>
      <c r="CO98" s="34" t="str">
        <f t="shared" ca="1" si="500"/>
        <v/>
      </c>
      <c r="CP98" s="34" t="str">
        <f t="shared" ca="1" si="500"/>
        <v/>
      </c>
      <c r="CQ98" s="34" t="str">
        <f t="shared" ca="1" si="500"/>
        <v/>
      </c>
      <c r="CR98" s="34" t="str">
        <f t="shared" ca="1" si="500"/>
        <v/>
      </c>
      <c r="CS98" s="34" t="str">
        <f t="shared" ca="1" si="500"/>
        <v/>
      </c>
      <c r="CT98" s="34" t="str">
        <f t="shared" ca="1" si="500"/>
        <v/>
      </c>
      <c r="CU98" s="34" t="str">
        <f t="shared" ca="1" si="500"/>
        <v/>
      </c>
      <c r="CV98" s="34" t="str">
        <f t="shared" ca="1" si="500"/>
        <v/>
      </c>
      <c r="CW98" s="34" t="str">
        <f t="shared" ca="1" si="500"/>
        <v/>
      </c>
      <c r="CX98" s="34" t="str">
        <f t="shared" ca="1" si="500"/>
        <v/>
      </c>
      <c r="CY98" s="34" t="str">
        <f t="shared" ca="1" si="500"/>
        <v/>
      </c>
      <c r="CZ98" s="34" t="str">
        <f t="shared" ca="1" si="500"/>
        <v/>
      </c>
    </row>
    <row r="99" spans="1:104" ht="13.5" customHeight="1">
      <c r="A99" s="27">
        <v>85</v>
      </c>
      <c r="B99" s="33">
        <f t="shared" si="474"/>
        <v>99</v>
      </c>
      <c r="C99" s="8" t="s">
        <v>364</v>
      </c>
      <c r="D99" s="34">
        <f t="shared" ref="D99:AI99" ca="1" si="501">IF(D$89="","",IF(D$89=$M$2,C99,IF(D$11&lt;$D$7,OFFSET(INDIRECT($D$3),$A99-1,$Q$3+D$11),OFFSET(INDIRECT($D$4),$A99-1,$Q$4+D$11))))</f>
        <v>6348</v>
      </c>
      <c r="E99" s="34">
        <f t="shared" ca="1" si="501"/>
        <v>7762</v>
      </c>
      <c r="F99" s="34">
        <f t="shared" ca="1" si="501"/>
        <v>5297</v>
      </c>
      <c r="G99" s="34">
        <f t="shared" ca="1" si="501"/>
        <v>5369</v>
      </c>
      <c r="H99" s="34">
        <f t="shared" ca="1" si="501"/>
        <v>6348</v>
      </c>
      <c r="I99" s="34">
        <f t="shared" ca="1" si="501"/>
        <v>7554</v>
      </c>
      <c r="J99" s="34">
        <f t="shared" ca="1" si="501"/>
        <v>6727</v>
      </c>
      <c r="K99" s="34">
        <f t="shared" ca="1" si="501"/>
        <v>6641</v>
      </c>
      <c r="L99" s="34">
        <f t="shared" ca="1" si="501"/>
        <v>7762</v>
      </c>
      <c r="M99" s="34">
        <f t="shared" ca="1" si="501"/>
        <v>9936</v>
      </c>
      <c r="N99" s="34">
        <f t="shared" ca="1" si="501"/>
        <v>9936</v>
      </c>
      <c r="O99" s="34" t="str">
        <f t="shared" ca="1" si="501"/>
        <v/>
      </c>
      <c r="P99" s="34" t="str">
        <f t="shared" ca="1" si="501"/>
        <v/>
      </c>
      <c r="Q99" s="34" t="str">
        <f t="shared" ca="1" si="501"/>
        <v/>
      </c>
      <c r="R99" s="34" t="str">
        <f t="shared" ca="1" si="501"/>
        <v/>
      </c>
      <c r="S99" s="34" t="str">
        <f t="shared" ca="1" si="501"/>
        <v/>
      </c>
      <c r="T99" s="34" t="str">
        <f t="shared" ca="1" si="501"/>
        <v/>
      </c>
      <c r="U99" s="34" t="str">
        <f t="shared" ca="1" si="501"/>
        <v/>
      </c>
      <c r="V99" s="34" t="str">
        <f t="shared" ca="1" si="501"/>
        <v/>
      </c>
      <c r="W99" s="34" t="str">
        <f t="shared" ca="1" si="501"/>
        <v/>
      </c>
      <c r="X99" s="34" t="str">
        <f t="shared" ca="1" si="501"/>
        <v/>
      </c>
      <c r="Y99" s="34" t="str">
        <f t="shared" ca="1" si="501"/>
        <v/>
      </c>
      <c r="Z99" s="34" t="str">
        <f t="shared" ca="1" si="501"/>
        <v/>
      </c>
      <c r="AA99" s="34" t="str">
        <f t="shared" ca="1" si="501"/>
        <v/>
      </c>
      <c r="AB99" s="34" t="str">
        <f t="shared" ca="1" si="501"/>
        <v/>
      </c>
      <c r="AC99" s="34" t="str">
        <f t="shared" ca="1" si="501"/>
        <v/>
      </c>
      <c r="AD99" s="34" t="str">
        <f t="shared" ca="1" si="501"/>
        <v/>
      </c>
      <c r="AE99" s="34" t="str">
        <f t="shared" ca="1" si="501"/>
        <v/>
      </c>
      <c r="AF99" s="34" t="str">
        <f t="shared" ca="1" si="501"/>
        <v/>
      </c>
      <c r="AG99" s="34" t="str">
        <f t="shared" ca="1" si="501"/>
        <v/>
      </c>
      <c r="AH99" s="34" t="str">
        <f t="shared" ca="1" si="501"/>
        <v/>
      </c>
      <c r="AI99" s="34" t="str">
        <f t="shared" ca="1" si="501"/>
        <v/>
      </c>
      <c r="AJ99" s="34" t="str">
        <f t="shared" ref="AJ99:BO99" ca="1" si="502">IF(AJ$89="","",IF(AJ$89=$M$2,AI99,IF(AJ$11&lt;$D$7,OFFSET(INDIRECT($D$3),$A99-1,$Q$3+AJ$11),OFFSET(INDIRECT($D$4),$A99-1,$Q$4+AJ$11))))</f>
        <v/>
      </c>
      <c r="AK99" s="34" t="str">
        <f t="shared" ca="1" si="502"/>
        <v/>
      </c>
      <c r="AL99" s="34" t="str">
        <f t="shared" ca="1" si="502"/>
        <v/>
      </c>
      <c r="AM99" s="34" t="str">
        <f t="shared" ca="1" si="502"/>
        <v/>
      </c>
      <c r="AN99" s="34" t="str">
        <f t="shared" ca="1" si="502"/>
        <v/>
      </c>
      <c r="AO99" s="34" t="str">
        <f t="shared" ca="1" si="502"/>
        <v/>
      </c>
      <c r="AP99" s="34" t="str">
        <f t="shared" ca="1" si="502"/>
        <v/>
      </c>
      <c r="AQ99" s="34" t="str">
        <f t="shared" ca="1" si="502"/>
        <v/>
      </c>
      <c r="AR99" s="34" t="str">
        <f t="shared" ca="1" si="502"/>
        <v/>
      </c>
      <c r="AS99" s="34" t="str">
        <f t="shared" ca="1" si="502"/>
        <v/>
      </c>
      <c r="AT99" s="34" t="str">
        <f t="shared" ca="1" si="502"/>
        <v/>
      </c>
      <c r="AU99" s="34" t="str">
        <f t="shared" ca="1" si="502"/>
        <v/>
      </c>
      <c r="AV99" s="34" t="str">
        <f t="shared" ca="1" si="502"/>
        <v/>
      </c>
      <c r="AW99" s="34" t="str">
        <f t="shared" ca="1" si="502"/>
        <v/>
      </c>
      <c r="AX99" s="34" t="str">
        <f t="shared" ca="1" si="502"/>
        <v/>
      </c>
      <c r="AY99" s="34" t="str">
        <f t="shared" ca="1" si="502"/>
        <v/>
      </c>
      <c r="AZ99" s="34" t="str">
        <f t="shared" ca="1" si="502"/>
        <v/>
      </c>
      <c r="BA99" s="34" t="str">
        <f t="shared" ca="1" si="502"/>
        <v/>
      </c>
      <c r="BB99" s="34" t="str">
        <f t="shared" ca="1" si="502"/>
        <v/>
      </c>
      <c r="BC99" s="34" t="str">
        <f t="shared" ca="1" si="502"/>
        <v/>
      </c>
      <c r="BD99" s="34" t="str">
        <f t="shared" ca="1" si="502"/>
        <v/>
      </c>
      <c r="BE99" s="34" t="str">
        <f t="shared" ca="1" si="502"/>
        <v/>
      </c>
      <c r="BF99" s="34" t="str">
        <f t="shared" ca="1" si="502"/>
        <v/>
      </c>
      <c r="BG99" s="34" t="str">
        <f t="shared" ca="1" si="502"/>
        <v/>
      </c>
      <c r="BH99" s="34" t="str">
        <f t="shared" ca="1" si="502"/>
        <v/>
      </c>
      <c r="BI99" s="34" t="str">
        <f t="shared" ca="1" si="502"/>
        <v/>
      </c>
      <c r="BJ99" s="34" t="str">
        <f t="shared" ca="1" si="502"/>
        <v/>
      </c>
      <c r="BK99" s="34" t="str">
        <f t="shared" ca="1" si="502"/>
        <v/>
      </c>
      <c r="BL99" s="34" t="str">
        <f t="shared" ca="1" si="502"/>
        <v/>
      </c>
      <c r="BM99" s="34" t="str">
        <f t="shared" ca="1" si="502"/>
        <v/>
      </c>
      <c r="BN99" s="34" t="str">
        <f t="shared" ca="1" si="502"/>
        <v/>
      </c>
      <c r="BO99" s="34" t="str">
        <f t="shared" ca="1" si="502"/>
        <v/>
      </c>
      <c r="BP99" s="34" t="str">
        <f t="shared" ref="BP99:CZ99" ca="1" si="503">IF(BP$89="","",IF(BP$89=$M$2,BO99,IF(BP$11&lt;$D$7,OFFSET(INDIRECT($D$3),$A99-1,$Q$3+BP$11),OFFSET(INDIRECT($D$4),$A99-1,$Q$4+BP$11))))</f>
        <v/>
      </c>
      <c r="BQ99" s="34" t="str">
        <f t="shared" ca="1" si="503"/>
        <v/>
      </c>
      <c r="BR99" s="34" t="str">
        <f t="shared" ca="1" si="503"/>
        <v/>
      </c>
      <c r="BS99" s="34" t="str">
        <f t="shared" ca="1" si="503"/>
        <v/>
      </c>
      <c r="BT99" s="34" t="str">
        <f t="shared" ca="1" si="503"/>
        <v/>
      </c>
      <c r="BU99" s="34" t="str">
        <f t="shared" ca="1" si="503"/>
        <v/>
      </c>
      <c r="BV99" s="34" t="str">
        <f t="shared" ca="1" si="503"/>
        <v/>
      </c>
      <c r="BW99" s="34" t="str">
        <f t="shared" ca="1" si="503"/>
        <v/>
      </c>
      <c r="BX99" s="34" t="str">
        <f t="shared" ca="1" si="503"/>
        <v/>
      </c>
      <c r="BY99" s="34" t="str">
        <f t="shared" ca="1" si="503"/>
        <v/>
      </c>
      <c r="BZ99" s="34" t="str">
        <f t="shared" ca="1" si="503"/>
        <v/>
      </c>
      <c r="CA99" s="34" t="str">
        <f t="shared" ca="1" si="503"/>
        <v/>
      </c>
      <c r="CB99" s="34" t="str">
        <f t="shared" ca="1" si="503"/>
        <v/>
      </c>
      <c r="CC99" s="34" t="str">
        <f t="shared" ca="1" si="503"/>
        <v/>
      </c>
      <c r="CD99" s="34" t="str">
        <f t="shared" ca="1" si="503"/>
        <v/>
      </c>
      <c r="CE99" s="34" t="str">
        <f t="shared" ca="1" si="503"/>
        <v/>
      </c>
      <c r="CF99" s="34" t="str">
        <f t="shared" ca="1" si="503"/>
        <v/>
      </c>
      <c r="CG99" s="34" t="str">
        <f t="shared" ca="1" si="503"/>
        <v/>
      </c>
      <c r="CH99" s="34" t="str">
        <f t="shared" ca="1" si="503"/>
        <v/>
      </c>
      <c r="CI99" s="34" t="str">
        <f t="shared" ca="1" si="503"/>
        <v/>
      </c>
      <c r="CJ99" s="34" t="str">
        <f t="shared" ca="1" si="503"/>
        <v/>
      </c>
      <c r="CK99" s="34" t="str">
        <f t="shared" ca="1" si="503"/>
        <v/>
      </c>
      <c r="CL99" s="34" t="str">
        <f t="shared" ca="1" si="503"/>
        <v/>
      </c>
      <c r="CM99" s="34" t="str">
        <f t="shared" ca="1" si="503"/>
        <v/>
      </c>
      <c r="CN99" s="34" t="str">
        <f t="shared" ca="1" si="503"/>
        <v/>
      </c>
      <c r="CO99" s="34" t="str">
        <f t="shared" ca="1" si="503"/>
        <v/>
      </c>
      <c r="CP99" s="34" t="str">
        <f t="shared" ca="1" si="503"/>
        <v/>
      </c>
      <c r="CQ99" s="34" t="str">
        <f t="shared" ca="1" si="503"/>
        <v/>
      </c>
      <c r="CR99" s="34" t="str">
        <f t="shared" ca="1" si="503"/>
        <v/>
      </c>
      <c r="CS99" s="34" t="str">
        <f t="shared" ca="1" si="503"/>
        <v/>
      </c>
      <c r="CT99" s="34" t="str">
        <f t="shared" ca="1" si="503"/>
        <v/>
      </c>
      <c r="CU99" s="34" t="str">
        <f t="shared" ca="1" si="503"/>
        <v/>
      </c>
      <c r="CV99" s="34" t="str">
        <f t="shared" ca="1" si="503"/>
        <v/>
      </c>
      <c r="CW99" s="34" t="str">
        <f t="shared" ca="1" si="503"/>
        <v/>
      </c>
      <c r="CX99" s="34" t="str">
        <f t="shared" ca="1" si="503"/>
        <v/>
      </c>
      <c r="CY99" s="34" t="str">
        <f t="shared" ca="1" si="503"/>
        <v/>
      </c>
      <c r="CZ99" s="34" t="str">
        <f t="shared" ca="1" si="503"/>
        <v/>
      </c>
    </row>
    <row r="100" spans="1:104" ht="13.5" customHeight="1">
      <c r="A100" s="27">
        <v>93</v>
      </c>
      <c r="B100" s="33">
        <f t="shared" si="474"/>
        <v>100</v>
      </c>
      <c r="C100" s="9" t="s">
        <v>365</v>
      </c>
      <c r="D100" s="34">
        <f t="shared" ref="D100:AI100" ca="1" si="504">IF(D$89="","",IF(D$89=$M$2,C100,IF(D$11&lt;$D$7,OFFSET(INDIRECT($D$3),$A100-1,$Q$3+D$11),OFFSET(INDIRECT($D$4),$A100-1,$Q$4+D$11))))</f>
        <v>776</v>
      </c>
      <c r="E100" s="34">
        <f t="shared" ca="1" si="504"/>
        <v>791</v>
      </c>
      <c r="F100" s="34">
        <f t="shared" ca="1" si="504"/>
        <v>930</v>
      </c>
      <c r="G100" s="34">
        <f t="shared" ca="1" si="504"/>
        <v>889</v>
      </c>
      <c r="H100" s="34">
        <f t="shared" ca="1" si="504"/>
        <v>776</v>
      </c>
      <c r="I100" s="34">
        <f t="shared" ca="1" si="504"/>
        <v>1236</v>
      </c>
      <c r="J100" s="34">
        <f t="shared" ca="1" si="504"/>
        <v>1102</v>
      </c>
      <c r="K100" s="34">
        <f t="shared" ca="1" si="504"/>
        <v>1122</v>
      </c>
      <c r="L100" s="34">
        <f t="shared" ca="1" si="504"/>
        <v>791</v>
      </c>
      <c r="M100" s="34">
        <f t="shared" ca="1" si="504"/>
        <v>1455</v>
      </c>
      <c r="N100" s="34">
        <f t="shared" ca="1" si="504"/>
        <v>1455</v>
      </c>
      <c r="O100" s="34" t="str">
        <f t="shared" ca="1" si="504"/>
        <v/>
      </c>
      <c r="P100" s="34" t="str">
        <f t="shared" ca="1" si="504"/>
        <v/>
      </c>
      <c r="Q100" s="34" t="str">
        <f t="shared" ca="1" si="504"/>
        <v/>
      </c>
      <c r="R100" s="34" t="str">
        <f t="shared" ca="1" si="504"/>
        <v/>
      </c>
      <c r="S100" s="34" t="str">
        <f t="shared" ca="1" si="504"/>
        <v/>
      </c>
      <c r="T100" s="34" t="str">
        <f t="shared" ca="1" si="504"/>
        <v/>
      </c>
      <c r="U100" s="34" t="str">
        <f t="shared" ca="1" si="504"/>
        <v/>
      </c>
      <c r="V100" s="34" t="str">
        <f t="shared" ca="1" si="504"/>
        <v/>
      </c>
      <c r="W100" s="34" t="str">
        <f t="shared" ca="1" si="504"/>
        <v/>
      </c>
      <c r="X100" s="34" t="str">
        <f t="shared" ca="1" si="504"/>
        <v/>
      </c>
      <c r="Y100" s="34" t="str">
        <f t="shared" ca="1" si="504"/>
        <v/>
      </c>
      <c r="Z100" s="34" t="str">
        <f t="shared" ca="1" si="504"/>
        <v/>
      </c>
      <c r="AA100" s="34" t="str">
        <f t="shared" ca="1" si="504"/>
        <v/>
      </c>
      <c r="AB100" s="34" t="str">
        <f t="shared" ca="1" si="504"/>
        <v/>
      </c>
      <c r="AC100" s="34" t="str">
        <f t="shared" ca="1" si="504"/>
        <v/>
      </c>
      <c r="AD100" s="34" t="str">
        <f t="shared" ca="1" si="504"/>
        <v/>
      </c>
      <c r="AE100" s="34" t="str">
        <f t="shared" ca="1" si="504"/>
        <v/>
      </c>
      <c r="AF100" s="34" t="str">
        <f t="shared" ca="1" si="504"/>
        <v/>
      </c>
      <c r="AG100" s="34" t="str">
        <f t="shared" ca="1" si="504"/>
        <v/>
      </c>
      <c r="AH100" s="34" t="str">
        <f t="shared" ca="1" si="504"/>
        <v/>
      </c>
      <c r="AI100" s="34" t="str">
        <f t="shared" ca="1" si="504"/>
        <v/>
      </c>
      <c r="AJ100" s="34" t="str">
        <f t="shared" ref="AJ100:BO100" ca="1" si="505">IF(AJ$89="","",IF(AJ$89=$M$2,AI100,IF(AJ$11&lt;$D$7,OFFSET(INDIRECT($D$3),$A100-1,$Q$3+AJ$11),OFFSET(INDIRECT($D$4),$A100-1,$Q$4+AJ$11))))</f>
        <v/>
      </c>
      <c r="AK100" s="34" t="str">
        <f t="shared" ca="1" si="505"/>
        <v/>
      </c>
      <c r="AL100" s="34" t="str">
        <f t="shared" ca="1" si="505"/>
        <v/>
      </c>
      <c r="AM100" s="34" t="str">
        <f t="shared" ca="1" si="505"/>
        <v/>
      </c>
      <c r="AN100" s="34" t="str">
        <f t="shared" ca="1" si="505"/>
        <v/>
      </c>
      <c r="AO100" s="34" t="str">
        <f t="shared" ca="1" si="505"/>
        <v/>
      </c>
      <c r="AP100" s="34" t="str">
        <f t="shared" ca="1" si="505"/>
        <v/>
      </c>
      <c r="AQ100" s="34" t="str">
        <f t="shared" ca="1" si="505"/>
        <v/>
      </c>
      <c r="AR100" s="34" t="str">
        <f t="shared" ca="1" si="505"/>
        <v/>
      </c>
      <c r="AS100" s="34" t="str">
        <f t="shared" ca="1" si="505"/>
        <v/>
      </c>
      <c r="AT100" s="34" t="str">
        <f t="shared" ca="1" si="505"/>
        <v/>
      </c>
      <c r="AU100" s="34" t="str">
        <f t="shared" ca="1" si="505"/>
        <v/>
      </c>
      <c r="AV100" s="34" t="str">
        <f t="shared" ca="1" si="505"/>
        <v/>
      </c>
      <c r="AW100" s="34" t="str">
        <f t="shared" ca="1" si="505"/>
        <v/>
      </c>
      <c r="AX100" s="34" t="str">
        <f t="shared" ca="1" si="505"/>
        <v/>
      </c>
      <c r="AY100" s="34" t="str">
        <f t="shared" ca="1" si="505"/>
        <v/>
      </c>
      <c r="AZ100" s="34" t="str">
        <f t="shared" ca="1" si="505"/>
        <v/>
      </c>
      <c r="BA100" s="34" t="str">
        <f t="shared" ca="1" si="505"/>
        <v/>
      </c>
      <c r="BB100" s="34" t="str">
        <f t="shared" ca="1" si="505"/>
        <v/>
      </c>
      <c r="BC100" s="34" t="str">
        <f t="shared" ca="1" si="505"/>
        <v/>
      </c>
      <c r="BD100" s="34" t="str">
        <f t="shared" ca="1" si="505"/>
        <v/>
      </c>
      <c r="BE100" s="34" t="str">
        <f t="shared" ca="1" si="505"/>
        <v/>
      </c>
      <c r="BF100" s="34" t="str">
        <f t="shared" ca="1" si="505"/>
        <v/>
      </c>
      <c r="BG100" s="34" t="str">
        <f t="shared" ca="1" si="505"/>
        <v/>
      </c>
      <c r="BH100" s="34" t="str">
        <f t="shared" ca="1" si="505"/>
        <v/>
      </c>
      <c r="BI100" s="34" t="str">
        <f t="shared" ca="1" si="505"/>
        <v/>
      </c>
      <c r="BJ100" s="34" t="str">
        <f t="shared" ca="1" si="505"/>
        <v/>
      </c>
      <c r="BK100" s="34" t="str">
        <f t="shared" ca="1" si="505"/>
        <v/>
      </c>
      <c r="BL100" s="34" t="str">
        <f t="shared" ca="1" si="505"/>
        <v/>
      </c>
      <c r="BM100" s="34" t="str">
        <f t="shared" ca="1" si="505"/>
        <v/>
      </c>
      <c r="BN100" s="34" t="str">
        <f t="shared" ca="1" si="505"/>
        <v/>
      </c>
      <c r="BO100" s="34" t="str">
        <f t="shared" ca="1" si="505"/>
        <v/>
      </c>
      <c r="BP100" s="34" t="str">
        <f t="shared" ref="BP100:CZ100" ca="1" si="506">IF(BP$89="","",IF(BP$89=$M$2,BO100,IF(BP$11&lt;$D$7,OFFSET(INDIRECT($D$3),$A100-1,$Q$3+BP$11),OFFSET(INDIRECT($D$4),$A100-1,$Q$4+BP$11))))</f>
        <v/>
      </c>
      <c r="BQ100" s="34" t="str">
        <f t="shared" ca="1" si="506"/>
        <v/>
      </c>
      <c r="BR100" s="34" t="str">
        <f t="shared" ca="1" si="506"/>
        <v/>
      </c>
      <c r="BS100" s="34" t="str">
        <f t="shared" ca="1" si="506"/>
        <v/>
      </c>
      <c r="BT100" s="34" t="str">
        <f t="shared" ca="1" si="506"/>
        <v/>
      </c>
      <c r="BU100" s="34" t="str">
        <f t="shared" ca="1" si="506"/>
        <v/>
      </c>
      <c r="BV100" s="34" t="str">
        <f t="shared" ca="1" si="506"/>
        <v/>
      </c>
      <c r="BW100" s="34" t="str">
        <f t="shared" ca="1" si="506"/>
        <v/>
      </c>
      <c r="BX100" s="34" t="str">
        <f t="shared" ca="1" si="506"/>
        <v/>
      </c>
      <c r="BY100" s="34" t="str">
        <f t="shared" ca="1" si="506"/>
        <v/>
      </c>
      <c r="BZ100" s="34" t="str">
        <f t="shared" ca="1" si="506"/>
        <v/>
      </c>
      <c r="CA100" s="34" t="str">
        <f t="shared" ca="1" si="506"/>
        <v/>
      </c>
      <c r="CB100" s="34" t="str">
        <f t="shared" ca="1" si="506"/>
        <v/>
      </c>
      <c r="CC100" s="34" t="str">
        <f t="shared" ca="1" si="506"/>
        <v/>
      </c>
      <c r="CD100" s="34" t="str">
        <f t="shared" ca="1" si="506"/>
        <v/>
      </c>
      <c r="CE100" s="34" t="str">
        <f t="shared" ca="1" si="506"/>
        <v/>
      </c>
      <c r="CF100" s="34" t="str">
        <f t="shared" ca="1" si="506"/>
        <v/>
      </c>
      <c r="CG100" s="34" t="str">
        <f t="shared" ca="1" si="506"/>
        <v/>
      </c>
      <c r="CH100" s="34" t="str">
        <f t="shared" ca="1" si="506"/>
        <v/>
      </c>
      <c r="CI100" s="34" t="str">
        <f t="shared" ca="1" si="506"/>
        <v/>
      </c>
      <c r="CJ100" s="34" t="str">
        <f t="shared" ca="1" si="506"/>
        <v/>
      </c>
      <c r="CK100" s="34" t="str">
        <f t="shared" ca="1" si="506"/>
        <v/>
      </c>
      <c r="CL100" s="34" t="str">
        <f t="shared" ca="1" si="506"/>
        <v/>
      </c>
      <c r="CM100" s="34" t="str">
        <f t="shared" ca="1" si="506"/>
        <v/>
      </c>
      <c r="CN100" s="34" t="str">
        <f t="shared" ca="1" si="506"/>
        <v/>
      </c>
      <c r="CO100" s="34" t="str">
        <f t="shared" ca="1" si="506"/>
        <v/>
      </c>
      <c r="CP100" s="34" t="str">
        <f t="shared" ca="1" si="506"/>
        <v/>
      </c>
      <c r="CQ100" s="34" t="str">
        <f t="shared" ca="1" si="506"/>
        <v/>
      </c>
      <c r="CR100" s="34" t="str">
        <f t="shared" ca="1" si="506"/>
        <v/>
      </c>
      <c r="CS100" s="34" t="str">
        <f t="shared" ca="1" si="506"/>
        <v/>
      </c>
      <c r="CT100" s="34" t="str">
        <f t="shared" ca="1" si="506"/>
        <v/>
      </c>
      <c r="CU100" s="34" t="str">
        <f t="shared" ca="1" si="506"/>
        <v/>
      </c>
      <c r="CV100" s="34" t="str">
        <f t="shared" ca="1" si="506"/>
        <v/>
      </c>
      <c r="CW100" s="34" t="str">
        <f t="shared" ca="1" si="506"/>
        <v/>
      </c>
      <c r="CX100" s="34" t="str">
        <f t="shared" ca="1" si="506"/>
        <v/>
      </c>
      <c r="CY100" s="34" t="str">
        <f t="shared" ca="1" si="506"/>
        <v/>
      </c>
      <c r="CZ100" s="34" t="str">
        <f t="shared" ca="1" si="506"/>
        <v/>
      </c>
    </row>
    <row r="101" spans="1:104" ht="13.5" customHeight="1">
      <c r="A101" s="27">
        <v>87</v>
      </c>
      <c r="B101" s="33">
        <f t="shared" si="474"/>
        <v>101</v>
      </c>
      <c r="C101" s="8" t="s">
        <v>366</v>
      </c>
      <c r="D101" s="34">
        <f t="shared" ref="D101:AI101" ca="1" si="507">IF(D$89="","",IF(D$89=$M$2,C101,IF(D$11&lt;$D$7,OFFSET(INDIRECT($D$3),$A101-1,$Q$3+D$11),OFFSET(INDIRECT($D$4),$A101-1,$Q$4+D$11))))</f>
        <v>0</v>
      </c>
      <c r="E101" s="34">
        <f t="shared" ca="1" si="507"/>
        <v>0</v>
      </c>
      <c r="F101" s="34">
        <f t="shared" ca="1" si="507"/>
        <v>0</v>
      </c>
      <c r="G101" s="34">
        <f t="shared" ca="1" si="507"/>
        <v>0</v>
      </c>
      <c r="H101" s="34">
        <f t="shared" ca="1" si="507"/>
        <v>0</v>
      </c>
      <c r="I101" s="34">
        <f t="shared" ca="1" si="507"/>
        <v>0</v>
      </c>
      <c r="J101" s="34">
        <f t="shared" ca="1" si="507"/>
        <v>0</v>
      </c>
      <c r="K101" s="34">
        <f t="shared" ca="1" si="507"/>
        <v>0</v>
      </c>
      <c r="L101" s="34">
        <f t="shared" ca="1" si="507"/>
        <v>0</v>
      </c>
      <c r="M101" s="34">
        <f t="shared" ca="1" si="507"/>
        <v>0</v>
      </c>
      <c r="N101" s="34">
        <f t="shared" ca="1" si="507"/>
        <v>0</v>
      </c>
      <c r="O101" s="34" t="str">
        <f t="shared" ca="1" si="507"/>
        <v/>
      </c>
      <c r="P101" s="34" t="str">
        <f t="shared" ca="1" si="507"/>
        <v/>
      </c>
      <c r="Q101" s="34" t="str">
        <f t="shared" ca="1" si="507"/>
        <v/>
      </c>
      <c r="R101" s="34" t="str">
        <f t="shared" ca="1" si="507"/>
        <v/>
      </c>
      <c r="S101" s="34" t="str">
        <f t="shared" ca="1" si="507"/>
        <v/>
      </c>
      <c r="T101" s="34" t="str">
        <f t="shared" ca="1" si="507"/>
        <v/>
      </c>
      <c r="U101" s="34" t="str">
        <f t="shared" ca="1" si="507"/>
        <v/>
      </c>
      <c r="V101" s="34" t="str">
        <f t="shared" ca="1" si="507"/>
        <v/>
      </c>
      <c r="W101" s="34" t="str">
        <f t="shared" ca="1" si="507"/>
        <v/>
      </c>
      <c r="X101" s="34" t="str">
        <f t="shared" ca="1" si="507"/>
        <v/>
      </c>
      <c r="Y101" s="34" t="str">
        <f t="shared" ca="1" si="507"/>
        <v/>
      </c>
      <c r="Z101" s="34" t="str">
        <f t="shared" ca="1" si="507"/>
        <v/>
      </c>
      <c r="AA101" s="34" t="str">
        <f t="shared" ca="1" si="507"/>
        <v/>
      </c>
      <c r="AB101" s="34" t="str">
        <f t="shared" ca="1" si="507"/>
        <v/>
      </c>
      <c r="AC101" s="34" t="str">
        <f t="shared" ca="1" si="507"/>
        <v/>
      </c>
      <c r="AD101" s="34" t="str">
        <f t="shared" ca="1" si="507"/>
        <v/>
      </c>
      <c r="AE101" s="34" t="str">
        <f t="shared" ca="1" si="507"/>
        <v/>
      </c>
      <c r="AF101" s="34" t="str">
        <f t="shared" ca="1" si="507"/>
        <v/>
      </c>
      <c r="AG101" s="34" t="str">
        <f t="shared" ca="1" si="507"/>
        <v/>
      </c>
      <c r="AH101" s="34" t="str">
        <f t="shared" ca="1" si="507"/>
        <v/>
      </c>
      <c r="AI101" s="34" t="str">
        <f t="shared" ca="1" si="507"/>
        <v/>
      </c>
      <c r="AJ101" s="34" t="str">
        <f t="shared" ref="AJ101:BO101" ca="1" si="508">IF(AJ$89="","",IF(AJ$89=$M$2,AI101,IF(AJ$11&lt;$D$7,OFFSET(INDIRECT($D$3),$A101-1,$Q$3+AJ$11),OFFSET(INDIRECT($D$4),$A101-1,$Q$4+AJ$11))))</f>
        <v/>
      </c>
      <c r="AK101" s="34" t="str">
        <f t="shared" ca="1" si="508"/>
        <v/>
      </c>
      <c r="AL101" s="34" t="str">
        <f t="shared" ca="1" si="508"/>
        <v/>
      </c>
      <c r="AM101" s="34" t="str">
        <f t="shared" ca="1" si="508"/>
        <v/>
      </c>
      <c r="AN101" s="34" t="str">
        <f t="shared" ca="1" si="508"/>
        <v/>
      </c>
      <c r="AO101" s="34" t="str">
        <f t="shared" ca="1" si="508"/>
        <v/>
      </c>
      <c r="AP101" s="34" t="str">
        <f t="shared" ca="1" si="508"/>
        <v/>
      </c>
      <c r="AQ101" s="34" t="str">
        <f t="shared" ca="1" si="508"/>
        <v/>
      </c>
      <c r="AR101" s="34" t="str">
        <f t="shared" ca="1" si="508"/>
        <v/>
      </c>
      <c r="AS101" s="34" t="str">
        <f t="shared" ca="1" si="508"/>
        <v/>
      </c>
      <c r="AT101" s="34" t="str">
        <f t="shared" ca="1" si="508"/>
        <v/>
      </c>
      <c r="AU101" s="34" t="str">
        <f t="shared" ca="1" si="508"/>
        <v/>
      </c>
      <c r="AV101" s="34" t="str">
        <f t="shared" ca="1" si="508"/>
        <v/>
      </c>
      <c r="AW101" s="34" t="str">
        <f t="shared" ca="1" si="508"/>
        <v/>
      </c>
      <c r="AX101" s="34" t="str">
        <f t="shared" ca="1" si="508"/>
        <v/>
      </c>
      <c r="AY101" s="34" t="str">
        <f t="shared" ca="1" si="508"/>
        <v/>
      </c>
      <c r="AZ101" s="34" t="str">
        <f t="shared" ca="1" si="508"/>
        <v/>
      </c>
      <c r="BA101" s="34" t="str">
        <f t="shared" ca="1" si="508"/>
        <v/>
      </c>
      <c r="BB101" s="34" t="str">
        <f t="shared" ca="1" si="508"/>
        <v/>
      </c>
      <c r="BC101" s="34" t="str">
        <f t="shared" ca="1" si="508"/>
        <v/>
      </c>
      <c r="BD101" s="34" t="str">
        <f t="shared" ca="1" si="508"/>
        <v/>
      </c>
      <c r="BE101" s="34" t="str">
        <f t="shared" ca="1" si="508"/>
        <v/>
      </c>
      <c r="BF101" s="34" t="str">
        <f t="shared" ca="1" si="508"/>
        <v/>
      </c>
      <c r="BG101" s="34" t="str">
        <f t="shared" ca="1" si="508"/>
        <v/>
      </c>
      <c r="BH101" s="34" t="str">
        <f t="shared" ca="1" si="508"/>
        <v/>
      </c>
      <c r="BI101" s="34" t="str">
        <f t="shared" ca="1" si="508"/>
        <v/>
      </c>
      <c r="BJ101" s="34" t="str">
        <f t="shared" ca="1" si="508"/>
        <v/>
      </c>
      <c r="BK101" s="34" t="str">
        <f t="shared" ca="1" si="508"/>
        <v/>
      </c>
      <c r="BL101" s="34" t="str">
        <f t="shared" ca="1" si="508"/>
        <v/>
      </c>
      <c r="BM101" s="34" t="str">
        <f t="shared" ca="1" si="508"/>
        <v/>
      </c>
      <c r="BN101" s="34" t="str">
        <f t="shared" ca="1" si="508"/>
        <v/>
      </c>
      <c r="BO101" s="34" t="str">
        <f t="shared" ca="1" si="508"/>
        <v/>
      </c>
      <c r="BP101" s="34" t="str">
        <f t="shared" ref="BP101:CZ101" ca="1" si="509">IF(BP$89="","",IF(BP$89=$M$2,BO101,IF(BP$11&lt;$D$7,OFFSET(INDIRECT($D$3),$A101-1,$Q$3+BP$11),OFFSET(INDIRECT($D$4),$A101-1,$Q$4+BP$11))))</f>
        <v/>
      </c>
      <c r="BQ101" s="34" t="str">
        <f t="shared" ca="1" si="509"/>
        <v/>
      </c>
      <c r="BR101" s="34" t="str">
        <f t="shared" ca="1" si="509"/>
        <v/>
      </c>
      <c r="BS101" s="34" t="str">
        <f t="shared" ca="1" si="509"/>
        <v/>
      </c>
      <c r="BT101" s="34" t="str">
        <f t="shared" ca="1" si="509"/>
        <v/>
      </c>
      <c r="BU101" s="34" t="str">
        <f t="shared" ca="1" si="509"/>
        <v/>
      </c>
      <c r="BV101" s="34" t="str">
        <f t="shared" ca="1" si="509"/>
        <v/>
      </c>
      <c r="BW101" s="34" t="str">
        <f t="shared" ca="1" si="509"/>
        <v/>
      </c>
      <c r="BX101" s="34" t="str">
        <f t="shared" ca="1" si="509"/>
        <v/>
      </c>
      <c r="BY101" s="34" t="str">
        <f t="shared" ca="1" si="509"/>
        <v/>
      </c>
      <c r="BZ101" s="34" t="str">
        <f t="shared" ca="1" si="509"/>
        <v/>
      </c>
      <c r="CA101" s="34" t="str">
        <f t="shared" ca="1" si="509"/>
        <v/>
      </c>
      <c r="CB101" s="34" t="str">
        <f t="shared" ca="1" si="509"/>
        <v/>
      </c>
      <c r="CC101" s="34" t="str">
        <f t="shared" ca="1" si="509"/>
        <v/>
      </c>
      <c r="CD101" s="34" t="str">
        <f t="shared" ca="1" si="509"/>
        <v/>
      </c>
      <c r="CE101" s="34" t="str">
        <f t="shared" ca="1" si="509"/>
        <v/>
      </c>
      <c r="CF101" s="34" t="str">
        <f t="shared" ca="1" si="509"/>
        <v/>
      </c>
      <c r="CG101" s="34" t="str">
        <f t="shared" ca="1" si="509"/>
        <v/>
      </c>
      <c r="CH101" s="34" t="str">
        <f t="shared" ca="1" si="509"/>
        <v/>
      </c>
      <c r="CI101" s="34" t="str">
        <f t="shared" ca="1" si="509"/>
        <v/>
      </c>
      <c r="CJ101" s="34" t="str">
        <f t="shared" ca="1" si="509"/>
        <v/>
      </c>
      <c r="CK101" s="34" t="str">
        <f t="shared" ca="1" si="509"/>
        <v/>
      </c>
      <c r="CL101" s="34" t="str">
        <f t="shared" ca="1" si="509"/>
        <v/>
      </c>
      <c r="CM101" s="34" t="str">
        <f t="shared" ca="1" si="509"/>
        <v/>
      </c>
      <c r="CN101" s="34" t="str">
        <f t="shared" ca="1" si="509"/>
        <v/>
      </c>
      <c r="CO101" s="34" t="str">
        <f t="shared" ca="1" si="509"/>
        <v/>
      </c>
      <c r="CP101" s="34" t="str">
        <f t="shared" ca="1" si="509"/>
        <v/>
      </c>
      <c r="CQ101" s="34" t="str">
        <f t="shared" ca="1" si="509"/>
        <v/>
      </c>
      <c r="CR101" s="34" t="str">
        <f t="shared" ca="1" si="509"/>
        <v/>
      </c>
      <c r="CS101" s="34" t="str">
        <f t="shared" ca="1" si="509"/>
        <v/>
      </c>
      <c r="CT101" s="34" t="str">
        <f t="shared" ca="1" si="509"/>
        <v/>
      </c>
      <c r="CU101" s="34" t="str">
        <f t="shared" ca="1" si="509"/>
        <v/>
      </c>
      <c r="CV101" s="34" t="str">
        <f t="shared" ca="1" si="509"/>
        <v/>
      </c>
      <c r="CW101" s="34" t="str">
        <f t="shared" ca="1" si="509"/>
        <v/>
      </c>
      <c r="CX101" s="34" t="str">
        <f t="shared" ca="1" si="509"/>
        <v/>
      </c>
      <c r="CY101" s="34" t="str">
        <f t="shared" ca="1" si="509"/>
        <v/>
      </c>
      <c r="CZ101" s="34" t="str">
        <f t="shared" ca="1" si="509"/>
        <v/>
      </c>
    </row>
    <row r="102" spans="1:104" ht="13.5" customHeight="1">
      <c r="A102" s="27">
        <v>88</v>
      </c>
      <c r="B102" s="33">
        <f t="shared" si="474"/>
        <v>102</v>
      </c>
      <c r="C102" s="8" t="s">
        <v>367</v>
      </c>
      <c r="D102" s="34">
        <f t="shared" ref="D102:AI102" ca="1" si="510">IF(D$89="","",IF(D$89=$M$2,C102,IF(D$11&lt;$D$7,OFFSET(INDIRECT($D$3),$A102-1,$Q$3+D$11),OFFSET(INDIRECT($D$4),$A102-1,$Q$4+D$11))))</f>
        <v>0</v>
      </c>
      <c r="E102" s="34">
        <f t="shared" ca="1" si="510"/>
        <v>0</v>
      </c>
      <c r="F102" s="34">
        <f t="shared" ca="1" si="510"/>
        <v>0</v>
      </c>
      <c r="G102" s="34">
        <f t="shared" ca="1" si="510"/>
        <v>0</v>
      </c>
      <c r="H102" s="34">
        <f t="shared" ca="1" si="510"/>
        <v>0</v>
      </c>
      <c r="I102" s="34">
        <f t="shared" ca="1" si="510"/>
        <v>0</v>
      </c>
      <c r="J102" s="34">
        <f t="shared" ca="1" si="510"/>
        <v>0</v>
      </c>
      <c r="K102" s="34">
        <f t="shared" ca="1" si="510"/>
        <v>0</v>
      </c>
      <c r="L102" s="34">
        <f t="shared" ca="1" si="510"/>
        <v>0</v>
      </c>
      <c r="M102" s="34">
        <f t="shared" ca="1" si="510"/>
        <v>0</v>
      </c>
      <c r="N102" s="34">
        <f t="shared" ca="1" si="510"/>
        <v>0</v>
      </c>
      <c r="O102" s="34" t="str">
        <f t="shared" ca="1" si="510"/>
        <v/>
      </c>
      <c r="P102" s="34" t="str">
        <f t="shared" ca="1" si="510"/>
        <v/>
      </c>
      <c r="Q102" s="34" t="str">
        <f t="shared" ca="1" si="510"/>
        <v/>
      </c>
      <c r="R102" s="34" t="str">
        <f t="shared" ca="1" si="510"/>
        <v/>
      </c>
      <c r="S102" s="34" t="str">
        <f t="shared" ca="1" si="510"/>
        <v/>
      </c>
      <c r="T102" s="34" t="str">
        <f t="shared" ca="1" si="510"/>
        <v/>
      </c>
      <c r="U102" s="34" t="str">
        <f t="shared" ca="1" si="510"/>
        <v/>
      </c>
      <c r="V102" s="34" t="str">
        <f t="shared" ca="1" si="510"/>
        <v/>
      </c>
      <c r="W102" s="34" t="str">
        <f t="shared" ca="1" si="510"/>
        <v/>
      </c>
      <c r="X102" s="34" t="str">
        <f t="shared" ca="1" si="510"/>
        <v/>
      </c>
      <c r="Y102" s="34" t="str">
        <f t="shared" ca="1" si="510"/>
        <v/>
      </c>
      <c r="Z102" s="34" t="str">
        <f t="shared" ca="1" si="510"/>
        <v/>
      </c>
      <c r="AA102" s="34" t="str">
        <f t="shared" ca="1" si="510"/>
        <v/>
      </c>
      <c r="AB102" s="34" t="str">
        <f t="shared" ca="1" si="510"/>
        <v/>
      </c>
      <c r="AC102" s="34" t="str">
        <f t="shared" ca="1" si="510"/>
        <v/>
      </c>
      <c r="AD102" s="34" t="str">
        <f t="shared" ca="1" si="510"/>
        <v/>
      </c>
      <c r="AE102" s="34" t="str">
        <f t="shared" ca="1" si="510"/>
        <v/>
      </c>
      <c r="AF102" s="34" t="str">
        <f t="shared" ca="1" si="510"/>
        <v/>
      </c>
      <c r="AG102" s="34" t="str">
        <f t="shared" ca="1" si="510"/>
        <v/>
      </c>
      <c r="AH102" s="34" t="str">
        <f t="shared" ca="1" si="510"/>
        <v/>
      </c>
      <c r="AI102" s="34" t="str">
        <f t="shared" ca="1" si="510"/>
        <v/>
      </c>
      <c r="AJ102" s="34" t="str">
        <f t="shared" ref="AJ102:BO102" ca="1" si="511">IF(AJ$89="","",IF(AJ$89=$M$2,AI102,IF(AJ$11&lt;$D$7,OFFSET(INDIRECT($D$3),$A102-1,$Q$3+AJ$11),OFFSET(INDIRECT($D$4),$A102-1,$Q$4+AJ$11))))</f>
        <v/>
      </c>
      <c r="AK102" s="34" t="str">
        <f t="shared" ca="1" si="511"/>
        <v/>
      </c>
      <c r="AL102" s="34" t="str">
        <f t="shared" ca="1" si="511"/>
        <v/>
      </c>
      <c r="AM102" s="34" t="str">
        <f t="shared" ca="1" si="511"/>
        <v/>
      </c>
      <c r="AN102" s="34" t="str">
        <f t="shared" ca="1" si="511"/>
        <v/>
      </c>
      <c r="AO102" s="34" t="str">
        <f t="shared" ca="1" si="511"/>
        <v/>
      </c>
      <c r="AP102" s="34" t="str">
        <f t="shared" ca="1" si="511"/>
        <v/>
      </c>
      <c r="AQ102" s="34" t="str">
        <f t="shared" ca="1" si="511"/>
        <v/>
      </c>
      <c r="AR102" s="34" t="str">
        <f t="shared" ca="1" si="511"/>
        <v/>
      </c>
      <c r="AS102" s="34" t="str">
        <f t="shared" ca="1" si="511"/>
        <v/>
      </c>
      <c r="AT102" s="34" t="str">
        <f t="shared" ca="1" si="511"/>
        <v/>
      </c>
      <c r="AU102" s="34" t="str">
        <f t="shared" ca="1" si="511"/>
        <v/>
      </c>
      <c r="AV102" s="34" t="str">
        <f t="shared" ca="1" si="511"/>
        <v/>
      </c>
      <c r="AW102" s="34" t="str">
        <f t="shared" ca="1" si="511"/>
        <v/>
      </c>
      <c r="AX102" s="34" t="str">
        <f t="shared" ca="1" si="511"/>
        <v/>
      </c>
      <c r="AY102" s="34" t="str">
        <f t="shared" ca="1" si="511"/>
        <v/>
      </c>
      <c r="AZ102" s="34" t="str">
        <f t="shared" ca="1" si="511"/>
        <v/>
      </c>
      <c r="BA102" s="34" t="str">
        <f t="shared" ca="1" si="511"/>
        <v/>
      </c>
      <c r="BB102" s="34" t="str">
        <f t="shared" ca="1" si="511"/>
        <v/>
      </c>
      <c r="BC102" s="34" t="str">
        <f t="shared" ca="1" si="511"/>
        <v/>
      </c>
      <c r="BD102" s="34" t="str">
        <f t="shared" ca="1" si="511"/>
        <v/>
      </c>
      <c r="BE102" s="34" t="str">
        <f t="shared" ca="1" si="511"/>
        <v/>
      </c>
      <c r="BF102" s="34" t="str">
        <f t="shared" ca="1" si="511"/>
        <v/>
      </c>
      <c r="BG102" s="34" t="str">
        <f t="shared" ca="1" si="511"/>
        <v/>
      </c>
      <c r="BH102" s="34" t="str">
        <f t="shared" ca="1" si="511"/>
        <v/>
      </c>
      <c r="BI102" s="34" t="str">
        <f t="shared" ca="1" si="511"/>
        <v/>
      </c>
      <c r="BJ102" s="34" t="str">
        <f t="shared" ca="1" si="511"/>
        <v/>
      </c>
      <c r="BK102" s="34" t="str">
        <f t="shared" ca="1" si="511"/>
        <v/>
      </c>
      <c r="BL102" s="34" t="str">
        <f t="shared" ca="1" si="511"/>
        <v/>
      </c>
      <c r="BM102" s="34" t="str">
        <f t="shared" ca="1" si="511"/>
        <v/>
      </c>
      <c r="BN102" s="34" t="str">
        <f t="shared" ca="1" si="511"/>
        <v/>
      </c>
      <c r="BO102" s="34" t="str">
        <f t="shared" ca="1" si="511"/>
        <v/>
      </c>
      <c r="BP102" s="34" t="str">
        <f t="shared" ref="BP102:CZ102" ca="1" si="512">IF(BP$89="","",IF(BP$89=$M$2,BO102,IF(BP$11&lt;$D$7,OFFSET(INDIRECT($D$3),$A102-1,$Q$3+BP$11),OFFSET(INDIRECT($D$4),$A102-1,$Q$4+BP$11))))</f>
        <v/>
      </c>
      <c r="BQ102" s="34" t="str">
        <f t="shared" ca="1" si="512"/>
        <v/>
      </c>
      <c r="BR102" s="34" t="str">
        <f t="shared" ca="1" si="512"/>
        <v/>
      </c>
      <c r="BS102" s="34" t="str">
        <f t="shared" ca="1" si="512"/>
        <v/>
      </c>
      <c r="BT102" s="34" t="str">
        <f t="shared" ca="1" si="512"/>
        <v/>
      </c>
      <c r="BU102" s="34" t="str">
        <f t="shared" ca="1" si="512"/>
        <v/>
      </c>
      <c r="BV102" s="34" t="str">
        <f t="shared" ca="1" si="512"/>
        <v/>
      </c>
      <c r="BW102" s="34" t="str">
        <f t="shared" ca="1" si="512"/>
        <v/>
      </c>
      <c r="BX102" s="34" t="str">
        <f t="shared" ca="1" si="512"/>
        <v/>
      </c>
      <c r="BY102" s="34" t="str">
        <f t="shared" ca="1" si="512"/>
        <v/>
      </c>
      <c r="BZ102" s="34" t="str">
        <f t="shared" ca="1" si="512"/>
        <v/>
      </c>
      <c r="CA102" s="34" t="str">
        <f t="shared" ca="1" si="512"/>
        <v/>
      </c>
      <c r="CB102" s="34" t="str">
        <f t="shared" ca="1" si="512"/>
        <v/>
      </c>
      <c r="CC102" s="34" t="str">
        <f t="shared" ca="1" si="512"/>
        <v/>
      </c>
      <c r="CD102" s="34" t="str">
        <f t="shared" ca="1" si="512"/>
        <v/>
      </c>
      <c r="CE102" s="34" t="str">
        <f t="shared" ca="1" si="512"/>
        <v/>
      </c>
      <c r="CF102" s="34" t="str">
        <f t="shared" ca="1" si="512"/>
        <v/>
      </c>
      <c r="CG102" s="34" t="str">
        <f t="shared" ca="1" si="512"/>
        <v/>
      </c>
      <c r="CH102" s="34" t="str">
        <f t="shared" ca="1" si="512"/>
        <v/>
      </c>
      <c r="CI102" s="34" t="str">
        <f t="shared" ca="1" si="512"/>
        <v/>
      </c>
      <c r="CJ102" s="34" t="str">
        <f t="shared" ca="1" si="512"/>
        <v/>
      </c>
      <c r="CK102" s="34" t="str">
        <f t="shared" ca="1" si="512"/>
        <v/>
      </c>
      <c r="CL102" s="34" t="str">
        <f t="shared" ca="1" si="512"/>
        <v/>
      </c>
      <c r="CM102" s="34" t="str">
        <f t="shared" ca="1" si="512"/>
        <v/>
      </c>
      <c r="CN102" s="34" t="str">
        <f t="shared" ca="1" si="512"/>
        <v/>
      </c>
      <c r="CO102" s="34" t="str">
        <f t="shared" ca="1" si="512"/>
        <v/>
      </c>
      <c r="CP102" s="34" t="str">
        <f t="shared" ca="1" si="512"/>
        <v/>
      </c>
      <c r="CQ102" s="34" t="str">
        <f t="shared" ca="1" si="512"/>
        <v/>
      </c>
      <c r="CR102" s="34" t="str">
        <f t="shared" ca="1" si="512"/>
        <v/>
      </c>
      <c r="CS102" s="34" t="str">
        <f t="shared" ca="1" si="512"/>
        <v/>
      </c>
      <c r="CT102" s="34" t="str">
        <f t="shared" ca="1" si="512"/>
        <v/>
      </c>
      <c r="CU102" s="34" t="str">
        <f t="shared" ca="1" si="512"/>
        <v/>
      </c>
      <c r="CV102" s="34" t="str">
        <f t="shared" ca="1" si="512"/>
        <v/>
      </c>
      <c r="CW102" s="34" t="str">
        <f t="shared" ca="1" si="512"/>
        <v/>
      </c>
      <c r="CX102" s="34" t="str">
        <f t="shared" ca="1" si="512"/>
        <v/>
      </c>
      <c r="CY102" s="34" t="str">
        <f t="shared" ca="1" si="512"/>
        <v/>
      </c>
      <c r="CZ102" s="34" t="str">
        <f t="shared" ca="1" si="512"/>
        <v/>
      </c>
    </row>
    <row r="103" spans="1:104" ht="13.5" customHeight="1">
      <c r="A103" s="27">
        <v>89</v>
      </c>
      <c r="B103" s="33">
        <f t="shared" si="474"/>
        <v>103</v>
      </c>
      <c r="C103" s="8" t="s">
        <v>368</v>
      </c>
      <c r="D103" s="34">
        <f t="shared" ref="D103:AI103" ca="1" si="513">IF(D$89="","",IF(D$89=$M$2,C103,IF(D$11&lt;$D$7,OFFSET(INDIRECT($D$3),$A103-1,$Q$3+D$11),OFFSET(INDIRECT($D$4),$A103-1,$Q$4+D$11))))</f>
        <v>0</v>
      </c>
      <c r="E103" s="34">
        <f t="shared" ca="1" si="513"/>
        <v>0</v>
      </c>
      <c r="F103" s="34">
        <f t="shared" ca="1" si="513"/>
        <v>0</v>
      </c>
      <c r="G103" s="34">
        <f t="shared" ca="1" si="513"/>
        <v>0</v>
      </c>
      <c r="H103" s="34">
        <f t="shared" ca="1" si="513"/>
        <v>0</v>
      </c>
      <c r="I103" s="34">
        <f t="shared" ca="1" si="513"/>
        <v>0</v>
      </c>
      <c r="J103" s="34">
        <f t="shared" ca="1" si="513"/>
        <v>0</v>
      </c>
      <c r="K103" s="34">
        <f t="shared" ca="1" si="513"/>
        <v>0</v>
      </c>
      <c r="L103" s="34">
        <f t="shared" ca="1" si="513"/>
        <v>0</v>
      </c>
      <c r="M103" s="34">
        <f t="shared" ca="1" si="513"/>
        <v>0</v>
      </c>
      <c r="N103" s="34">
        <f t="shared" ca="1" si="513"/>
        <v>0</v>
      </c>
      <c r="O103" s="34" t="str">
        <f t="shared" ca="1" si="513"/>
        <v/>
      </c>
      <c r="P103" s="34" t="str">
        <f t="shared" ca="1" si="513"/>
        <v/>
      </c>
      <c r="Q103" s="34" t="str">
        <f t="shared" ca="1" si="513"/>
        <v/>
      </c>
      <c r="R103" s="34" t="str">
        <f t="shared" ca="1" si="513"/>
        <v/>
      </c>
      <c r="S103" s="34" t="str">
        <f t="shared" ca="1" si="513"/>
        <v/>
      </c>
      <c r="T103" s="34" t="str">
        <f t="shared" ca="1" si="513"/>
        <v/>
      </c>
      <c r="U103" s="34" t="str">
        <f t="shared" ca="1" si="513"/>
        <v/>
      </c>
      <c r="V103" s="34" t="str">
        <f t="shared" ca="1" si="513"/>
        <v/>
      </c>
      <c r="W103" s="34" t="str">
        <f t="shared" ca="1" si="513"/>
        <v/>
      </c>
      <c r="X103" s="34" t="str">
        <f t="shared" ca="1" si="513"/>
        <v/>
      </c>
      <c r="Y103" s="34" t="str">
        <f t="shared" ca="1" si="513"/>
        <v/>
      </c>
      <c r="Z103" s="34" t="str">
        <f t="shared" ca="1" si="513"/>
        <v/>
      </c>
      <c r="AA103" s="34" t="str">
        <f t="shared" ca="1" si="513"/>
        <v/>
      </c>
      <c r="AB103" s="34" t="str">
        <f t="shared" ca="1" si="513"/>
        <v/>
      </c>
      <c r="AC103" s="34" t="str">
        <f t="shared" ca="1" si="513"/>
        <v/>
      </c>
      <c r="AD103" s="34" t="str">
        <f t="shared" ca="1" si="513"/>
        <v/>
      </c>
      <c r="AE103" s="34" t="str">
        <f t="shared" ca="1" si="513"/>
        <v/>
      </c>
      <c r="AF103" s="34" t="str">
        <f t="shared" ca="1" si="513"/>
        <v/>
      </c>
      <c r="AG103" s="34" t="str">
        <f t="shared" ca="1" si="513"/>
        <v/>
      </c>
      <c r="AH103" s="34" t="str">
        <f t="shared" ca="1" si="513"/>
        <v/>
      </c>
      <c r="AI103" s="34" t="str">
        <f t="shared" ca="1" si="513"/>
        <v/>
      </c>
      <c r="AJ103" s="34" t="str">
        <f t="shared" ref="AJ103:BO103" ca="1" si="514">IF(AJ$89="","",IF(AJ$89=$M$2,AI103,IF(AJ$11&lt;$D$7,OFFSET(INDIRECT($D$3),$A103-1,$Q$3+AJ$11),OFFSET(INDIRECT($D$4),$A103-1,$Q$4+AJ$11))))</f>
        <v/>
      </c>
      <c r="AK103" s="34" t="str">
        <f t="shared" ca="1" si="514"/>
        <v/>
      </c>
      <c r="AL103" s="34" t="str">
        <f t="shared" ca="1" si="514"/>
        <v/>
      </c>
      <c r="AM103" s="34" t="str">
        <f t="shared" ca="1" si="514"/>
        <v/>
      </c>
      <c r="AN103" s="34" t="str">
        <f t="shared" ca="1" si="514"/>
        <v/>
      </c>
      <c r="AO103" s="34" t="str">
        <f t="shared" ca="1" si="514"/>
        <v/>
      </c>
      <c r="AP103" s="34" t="str">
        <f t="shared" ca="1" si="514"/>
        <v/>
      </c>
      <c r="AQ103" s="34" t="str">
        <f t="shared" ca="1" si="514"/>
        <v/>
      </c>
      <c r="AR103" s="34" t="str">
        <f t="shared" ca="1" si="514"/>
        <v/>
      </c>
      <c r="AS103" s="34" t="str">
        <f t="shared" ca="1" si="514"/>
        <v/>
      </c>
      <c r="AT103" s="34" t="str">
        <f t="shared" ca="1" si="514"/>
        <v/>
      </c>
      <c r="AU103" s="34" t="str">
        <f t="shared" ca="1" si="514"/>
        <v/>
      </c>
      <c r="AV103" s="34" t="str">
        <f t="shared" ca="1" si="514"/>
        <v/>
      </c>
      <c r="AW103" s="34" t="str">
        <f t="shared" ca="1" si="514"/>
        <v/>
      </c>
      <c r="AX103" s="34" t="str">
        <f t="shared" ca="1" si="514"/>
        <v/>
      </c>
      <c r="AY103" s="34" t="str">
        <f t="shared" ca="1" si="514"/>
        <v/>
      </c>
      <c r="AZ103" s="34" t="str">
        <f t="shared" ca="1" si="514"/>
        <v/>
      </c>
      <c r="BA103" s="34" t="str">
        <f t="shared" ca="1" si="514"/>
        <v/>
      </c>
      <c r="BB103" s="34" t="str">
        <f t="shared" ca="1" si="514"/>
        <v/>
      </c>
      <c r="BC103" s="34" t="str">
        <f t="shared" ca="1" si="514"/>
        <v/>
      </c>
      <c r="BD103" s="34" t="str">
        <f t="shared" ca="1" si="514"/>
        <v/>
      </c>
      <c r="BE103" s="34" t="str">
        <f t="shared" ca="1" si="514"/>
        <v/>
      </c>
      <c r="BF103" s="34" t="str">
        <f t="shared" ca="1" si="514"/>
        <v/>
      </c>
      <c r="BG103" s="34" t="str">
        <f t="shared" ca="1" si="514"/>
        <v/>
      </c>
      <c r="BH103" s="34" t="str">
        <f t="shared" ca="1" si="514"/>
        <v/>
      </c>
      <c r="BI103" s="34" t="str">
        <f t="shared" ca="1" si="514"/>
        <v/>
      </c>
      <c r="BJ103" s="34" t="str">
        <f t="shared" ca="1" si="514"/>
        <v/>
      </c>
      <c r="BK103" s="34" t="str">
        <f t="shared" ca="1" si="514"/>
        <v/>
      </c>
      <c r="BL103" s="34" t="str">
        <f t="shared" ca="1" si="514"/>
        <v/>
      </c>
      <c r="BM103" s="34" t="str">
        <f t="shared" ca="1" si="514"/>
        <v/>
      </c>
      <c r="BN103" s="34" t="str">
        <f t="shared" ca="1" si="514"/>
        <v/>
      </c>
      <c r="BO103" s="34" t="str">
        <f t="shared" ca="1" si="514"/>
        <v/>
      </c>
      <c r="BP103" s="34" t="str">
        <f t="shared" ref="BP103:CZ103" ca="1" si="515">IF(BP$89="","",IF(BP$89=$M$2,BO103,IF(BP$11&lt;$D$7,OFFSET(INDIRECT($D$3),$A103-1,$Q$3+BP$11),OFFSET(INDIRECT($D$4),$A103-1,$Q$4+BP$11))))</f>
        <v/>
      </c>
      <c r="BQ103" s="34" t="str">
        <f t="shared" ca="1" si="515"/>
        <v/>
      </c>
      <c r="BR103" s="34" t="str">
        <f t="shared" ca="1" si="515"/>
        <v/>
      </c>
      <c r="BS103" s="34" t="str">
        <f t="shared" ca="1" si="515"/>
        <v/>
      </c>
      <c r="BT103" s="34" t="str">
        <f t="shared" ca="1" si="515"/>
        <v/>
      </c>
      <c r="BU103" s="34" t="str">
        <f t="shared" ca="1" si="515"/>
        <v/>
      </c>
      <c r="BV103" s="34" t="str">
        <f t="shared" ca="1" si="515"/>
        <v/>
      </c>
      <c r="BW103" s="34" t="str">
        <f t="shared" ca="1" si="515"/>
        <v/>
      </c>
      <c r="BX103" s="34" t="str">
        <f t="shared" ca="1" si="515"/>
        <v/>
      </c>
      <c r="BY103" s="34" t="str">
        <f t="shared" ca="1" si="515"/>
        <v/>
      </c>
      <c r="BZ103" s="34" t="str">
        <f t="shared" ca="1" si="515"/>
        <v/>
      </c>
      <c r="CA103" s="34" t="str">
        <f t="shared" ca="1" si="515"/>
        <v/>
      </c>
      <c r="CB103" s="34" t="str">
        <f t="shared" ca="1" si="515"/>
        <v/>
      </c>
      <c r="CC103" s="34" t="str">
        <f t="shared" ca="1" si="515"/>
        <v/>
      </c>
      <c r="CD103" s="34" t="str">
        <f t="shared" ca="1" si="515"/>
        <v/>
      </c>
      <c r="CE103" s="34" t="str">
        <f t="shared" ca="1" si="515"/>
        <v/>
      </c>
      <c r="CF103" s="34" t="str">
        <f t="shared" ca="1" si="515"/>
        <v/>
      </c>
      <c r="CG103" s="34" t="str">
        <f t="shared" ca="1" si="515"/>
        <v/>
      </c>
      <c r="CH103" s="34" t="str">
        <f t="shared" ca="1" si="515"/>
        <v/>
      </c>
      <c r="CI103" s="34" t="str">
        <f t="shared" ca="1" si="515"/>
        <v/>
      </c>
      <c r="CJ103" s="34" t="str">
        <f t="shared" ca="1" si="515"/>
        <v/>
      </c>
      <c r="CK103" s="34" t="str">
        <f t="shared" ca="1" si="515"/>
        <v/>
      </c>
      <c r="CL103" s="34" t="str">
        <f t="shared" ca="1" si="515"/>
        <v/>
      </c>
      <c r="CM103" s="34" t="str">
        <f t="shared" ca="1" si="515"/>
        <v/>
      </c>
      <c r="CN103" s="34" t="str">
        <f t="shared" ca="1" si="515"/>
        <v/>
      </c>
      <c r="CO103" s="34" t="str">
        <f t="shared" ca="1" si="515"/>
        <v/>
      </c>
      <c r="CP103" s="34" t="str">
        <f t="shared" ca="1" si="515"/>
        <v/>
      </c>
      <c r="CQ103" s="34" t="str">
        <f t="shared" ca="1" si="515"/>
        <v/>
      </c>
      <c r="CR103" s="34" t="str">
        <f t="shared" ca="1" si="515"/>
        <v/>
      </c>
      <c r="CS103" s="34" t="str">
        <f t="shared" ca="1" si="515"/>
        <v/>
      </c>
      <c r="CT103" s="34" t="str">
        <f t="shared" ca="1" si="515"/>
        <v/>
      </c>
      <c r="CU103" s="34" t="str">
        <f t="shared" ca="1" si="515"/>
        <v/>
      </c>
      <c r="CV103" s="34" t="str">
        <f t="shared" ca="1" si="515"/>
        <v/>
      </c>
      <c r="CW103" s="34" t="str">
        <f t="shared" ca="1" si="515"/>
        <v/>
      </c>
      <c r="CX103" s="34" t="str">
        <f t="shared" ca="1" si="515"/>
        <v/>
      </c>
      <c r="CY103" s="34" t="str">
        <f t="shared" ca="1" si="515"/>
        <v/>
      </c>
      <c r="CZ103" s="34" t="str">
        <f t="shared" ca="1" si="515"/>
        <v/>
      </c>
    </row>
    <row r="104" spans="1:104" ht="13.5" customHeight="1">
      <c r="A104" s="27">
        <v>90</v>
      </c>
      <c r="B104" s="33">
        <f t="shared" si="474"/>
        <v>104</v>
      </c>
      <c r="C104" s="8" t="s">
        <v>369</v>
      </c>
      <c r="D104" s="34">
        <f t="shared" ref="D104:AI104" ca="1" si="516">IF(D$89="","",IF(D$89=$M$2,C104,IF(D$11&lt;$D$7,OFFSET(INDIRECT($D$3),$A104-1,$Q$3+D$11),OFFSET(INDIRECT($D$4),$A104-1,$Q$4+D$11))))</f>
        <v>0</v>
      </c>
      <c r="E104" s="34">
        <f t="shared" ca="1" si="516"/>
        <v>0</v>
      </c>
      <c r="F104" s="34">
        <f t="shared" ca="1" si="516"/>
        <v>0</v>
      </c>
      <c r="G104" s="34">
        <f t="shared" ca="1" si="516"/>
        <v>0</v>
      </c>
      <c r="H104" s="34">
        <f t="shared" ca="1" si="516"/>
        <v>0</v>
      </c>
      <c r="I104" s="34">
        <f t="shared" ca="1" si="516"/>
        <v>0</v>
      </c>
      <c r="J104" s="34">
        <f t="shared" ca="1" si="516"/>
        <v>0</v>
      </c>
      <c r="K104" s="34">
        <f t="shared" ca="1" si="516"/>
        <v>0</v>
      </c>
      <c r="L104" s="34">
        <f t="shared" ca="1" si="516"/>
        <v>0</v>
      </c>
      <c r="M104" s="34">
        <f t="shared" ca="1" si="516"/>
        <v>0</v>
      </c>
      <c r="N104" s="34">
        <f t="shared" ca="1" si="516"/>
        <v>0</v>
      </c>
      <c r="O104" s="34" t="str">
        <f t="shared" ca="1" si="516"/>
        <v/>
      </c>
      <c r="P104" s="34" t="str">
        <f t="shared" ca="1" si="516"/>
        <v/>
      </c>
      <c r="Q104" s="34" t="str">
        <f t="shared" ca="1" si="516"/>
        <v/>
      </c>
      <c r="R104" s="34" t="str">
        <f t="shared" ca="1" si="516"/>
        <v/>
      </c>
      <c r="S104" s="34" t="str">
        <f t="shared" ca="1" si="516"/>
        <v/>
      </c>
      <c r="T104" s="34" t="str">
        <f t="shared" ca="1" si="516"/>
        <v/>
      </c>
      <c r="U104" s="34" t="str">
        <f t="shared" ca="1" si="516"/>
        <v/>
      </c>
      <c r="V104" s="34" t="str">
        <f t="shared" ca="1" si="516"/>
        <v/>
      </c>
      <c r="W104" s="34" t="str">
        <f t="shared" ca="1" si="516"/>
        <v/>
      </c>
      <c r="X104" s="34" t="str">
        <f t="shared" ca="1" si="516"/>
        <v/>
      </c>
      <c r="Y104" s="34" t="str">
        <f t="shared" ca="1" si="516"/>
        <v/>
      </c>
      <c r="Z104" s="34" t="str">
        <f t="shared" ca="1" si="516"/>
        <v/>
      </c>
      <c r="AA104" s="34" t="str">
        <f t="shared" ca="1" si="516"/>
        <v/>
      </c>
      <c r="AB104" s="34" t="str">
        <f t="shared" ca="1" si="516"/>
        <v/>
      </c>
      <c r="AC104" s="34" t="str">
        <f t="shared" ca="1" si="516"/>
        <v/>
      </c>
      <c r="AD104" s="34" t="str">
        <f t="shared" ca="1" si="516"/>
        <v/>
      </c>
      <c r="AE104" s="34" t="str">
        <f t="shared" ca="1" si="516"/>
        <v/>
      </c>
      <c r="AF104" s="34" t="str">
        <f t="shared" ca="1" si="516"/>
        <v/>
      </c>
      <c r="AG104" s="34" t="str">
        <f t="shared" ca="1" si="516"/>
        <v/>
      </c>
      <c r="AH104" s="34" t="str">
        <f t="shared" ca="1" si="516"/>
        <v/>
      </c>
      <c r="AI104" s="34" t="str">
        <f t="shared" ca="1" si="516"/>
        <v/>
      </c>
      <c r="AJ104" s="34" t="str">
        <f t="shared" ref="AJ104:BO104" ca="1" si="517">IF(AJ$89="","",IF(AJ$89=$M$2,AI104,IF(AJ$11&lt;$D$7,OFFSET(INDIRECT($D$3),$A104-1,$Q$3+AJ$11),OFFSET(INDIRECT($D$4),$A104-1,$Q$4+AJ$11))))</f>
        <v/>
      </c>
      <c r="AK104" s="34" t="str">
        <f t="shared" ca="1" si="517"/>
        <v/>
      </c>
      <c r="AL104" s="34" t="str">
        <f t="shared" ca="1" si="517"/>
        <v/>
      </c>
      <c r="AM104" s="34" t="str">
        <f t="shared" ca="1" si="517"/>
        <v/>
      </c>
      <c r="AN104" s="34" t="str">
        <f t="shared" ca="1" si="517"/>
        <v/>
      </c>
      <c r="AO104" s="34" t="str">
        <f t="shared" ca="1" si="517"/>
        <v/>
      </c>
      <c r="AP104" s="34" t="str">
        <f t="shared" ca="1" si="517"/>
        <v/>
      </c>
      <c r="AQ104" s="34" t="str">
        <f t="shared" ca="1" si="517"/>
        <v/>
      </c>
      <c r="AR104" s="34" t="str">
        <f t="shared" ca="1" si="517"/>
        <v/>
      </c>
      <c r="AS104" s="34" t="str">
        <f t="shared" ca="1" si="517"/>
        <v/>
      </c>
      <c r="AT104" s="34" t="str">
        <f t="shared" ca="1" si="517"/>
        <v/>
      </c>
      <c r="AU104" s="34" t="str">
        <f t="shared" ca="1" si="517"/>
        <v/>
      </c>
      <c r="AV104" s="34" t="str">
        <f t="shared" ca="1" si="517"/>
        <v/>
      </c>
      <c r="AW104" s="34" t="str">
        <f t="shared" ca="1" si="517"/>
        <v/>
      </c>
      <c r="AX104" s="34" t="str">
        <f t="shared" ca="1" si="517"/>
        <v/>
      </c>
      <c r="AY104" s="34" t="str">
        <f t="shared" ca="1" si="517"/>
        <v/>
      </c>
      <c r="AZ104" s="34" t="str">
        <f t="shared" ca="1" si="517"/>
        <v/>
      </c>
      <c r="BA104" s="34" t="str">
        <f t="shared" ca="1" si="517"/>
        <v/>
      </c>
      <c r="BB104" s="34" t="str">
        <f t="shared" ca="1" si="517"/>
        <v/>
      </c>
      <c r="BC104" s="34" t="str">
        <f t="shared" ca="1" si="517"/>
        <v/>
      </c>
      <c r="BD104" s="34" t="str">
        <f t="shared" ca="1" si="517"/>
        <v/>
      </c>
      <c r="BE104" s="34" t="str">
        <f t="shared" ca="1" si="517"/>
        <v/>
      </c>
      <c r="BF104" s="34" t="str">
        <f t="shared" ca="1" si="517"/>
        <v/>
      </c>
      <c r="BG104" s="34" t="str">
        <f t="shared" ca="1" si="517"/>
        <v/>
      </c>
      <c r="BH104" s="34" t="str">
        <f t="shared" ca="1" si="517"/>
        <v/>
      </c>
      <c r="BI104" s="34" t="str">
        <f t="shared" ca="1" si="517"/>
        <v/>
      </c>
      <c r="BJ104" s="34" t="str">
        <f t="shared" ca="1" si="517"/>
        <v/>
      </c>
      <c r="BK104" s="34" t="str">
        <f t="shared" ca="1" si="517"/>
        <v/>
      </c>
      <c r="BL104" s="34" t="str">
        <f t="shared" ca="1" si="517"/>
        <v/>
      </c>
      <c r="BM104" s="34" t="str">
        <f t="shared" ca="1" si="517"/>
        <v/>
      </c>
      <c r="BN104" s="34" t="str">
        <f t="shared" ca="1" si="517"/>
        <v/>
      </c>
      <c r="BO104" s="34" t="str">
        <f t="shared" ca="1" si="517"/>
        <v/>
      </c>
      <c r="BP104" s="34" t="str">
        <f t="shared" ref="BP104:CZ104" ca="1" si="518">IF(BP$89="","",IF(BP$89=$M$2,BO104,IF(BP$11&lt;$D$7,OFFSET(INDIRECT($D$3),$A104-1,$Q$3+BP$11),OFFSET(INDIRECT($D$4),$A104-1,$Q$4+BP$11))))</f>
        <v/>
      </c>
      <c r="BQ104" s="34" t="str">
        <f t="shared" ca="1" si="518"/>
        <v/>
      </c>
      <c r="BR104" s="34" t="str">
        <f t="shared" ca="1" si="518"/>
        <v/>
      </c>
      <c r="BS104" s="34" t="str">
        <f t="shared" ca="1" si="518"/>
        <v/>
      </c>
      <c r="BT104" s="34" t="str">
        <f t="shared" ca="1" si="518"/>
        <v/>
      </c>
      <c r="BU104" s="34" t="str">
        <f t="shared" ca="1" si="518"/>
        <v/>
      </c>
      <c r="BV104" s="34" t="str">
        <f t="shared" ca="1" si="518"/>
        <v/>
      </c>
      <c r="BW104" s="34" t="str">
        <f t="shared" ca="1" si="518"/>
        <v/>
      </c>
      <c r="BX104" s="34" t="str">
        <f t="shared" ca="1" si="518"/>
        <v/>
      </c>
      <c r="BY104" s="34" t="str">
        <f t="shared" ca="1" si="518"/>
        <v/>
      </c>
      <c r="BZ104" s="34" t="str">
        <f t="shared" ca="1" si="518"/>
        <v/>
      </c>
      <c r="CA104" s="34" t="str">
        <f t="shared" ca="1" si="518"/>
        <v/>
      </c>
      <c r="CB104" s="34" t="str">
        <f t="shared" ca="1" si="518"/>
        <v/>
      </c>
      <c r="CC104" s="34" t="str">
        <f t="shared" ca="1" si="518"/>
        <v/>
      </c>
      <c r="CD104" s="34" t="str">
        <f t="shared" ca="1" si="518"/>
        <v/>
      </c>
      <c r="CE104" s="34" t="str">
        <f t="shared" ca="1" si="518"/>
        <v/>
      </c>
      <c r="CF104" s="34" t="str">
        <f t="shared" ca="1" si="518"/>
        <v/>
      </c>
      <c r="CG104" s="34" t="str">
        <f t="shared" ca="1" si="518"/>
        <v/>
      </c>
      <c r="CH104" s="34" t="str">
        <f t="shared" ca="1" si="518"/>
        <v/>
      </c>
      <c r="CI104" s="34" t="str">
        <f t="shared" ca="1" si="518"/>
        <v/>
      </c>
      <c r="CJ104" s="34" t="str">
        <f t="shared" ca="1" si="518"/>
        <v/>
      </c>
      <c r="CK104" s="34" t="str">
        <f t="shared" ca="1" si="518"/>
        <v/>
      </c>
      <c r="CL104" s="34" t="str">
        <f t="shared" ca="1" si="518"/>
        <v/>
      </c>
      <c r="CM104" s="34" t="str">
        <f t="shared" ca="1" si="518"/>
        <v/>
      </c>
      <c r="CN104" s="34" t="str">
        <f t="shared" ca="1" si="518"/>
        <v/>
      </c>
      <c r="CO104" s="34" t="str">
        <f t="shared" ca="1" si="518"/>
        <v/>
      </c>
      <c r="CP104" s="34" t="str">
        <f t="shared" ca="1" si="518"/>
        <v/>
      </c>
      <c r="CQ104" s="34" t="str">
        <f t="shared" ca="1" si="518"/>
        <v/>
      </c>
      <c r="CR104" s="34" t="str">
        <f t="shared" ca="1" si="518"/>
        <v/>
      </c>
      <c r="CS104" s="34" t="str">
        <f t="shared" ca="1" si="518"/>
        <v/>
      </c>
      <c r="CT104" s="34" t="str">
        <f t="shared" ca="1" si="518"/>
        <v/>
      </c>
      <c r="CU104" s="34" t="str">
        <f t="shared" ca="1" si="518"/>
        <v/>
      </c>
      <c r="CV104" s="34" t="str">
        <f t="shared" ca="1" si="518"/>
        <v/>
      </c>
      <c r="CW104" s="34" t="str">
        <f t="shared" ca="1" si="518"/>
        <v/>
      </c>
      <c r="CX104" s="34" t="str">
        <f t="shared" ca="1" si="518"/>
        <v/>
      </c>
      <c r="CY104" s="34" t="str">
        <f t="shared" ca="1" si="518"/>
        <v/>
      </c>
      <c r="CZ104" s="34" t="str">
        <f t="shared" ca="1" si="518"/>
        <v/>
      </c>
    </row>
    <row r="105" spans="1:104" ht="13.5" customHeight="1">
      <c r="A105" s="27">
        <v>91</v>
      </c>
      <c r="B105" s="33">
        <f t="shared" si="474"/>
        <v>105</v>
      </c>
      <c r="C105" s="8" t="s">
        <v>370</v>
      </c>
      <c r="D105" s="34">
        <f t="shared" ref="D105:AI105" ca="1" si="519">IF(D$89="","",IF(D$89=$M$2,C105,IF(D$11&lt;$D$7,OFFSET(INDIRECT($D$3),$A105-1,$Q$3+D$11),OFFSET(INDIRECT($D$4),$A105-1,$Q$4+D$11))))</f>
        <v>776</v>
      </c>
      <c r="E105" s="34">
        <f t="shared" ca="1" si="519"/>
        <v>791</v>
      </c>
      <c r="F105" s="34">
        <f t="shared" ca="1" si="519"/>
        <v>930</v>
      </c>
      <c r="G105" s="34">
        <f t="shared" ca="1" si="519"/>
        <v>889</v>
      </c>
      <c r="H105" s="34">
        <f t="shared" ca="1" si="519"/>
        <v>776</v>
      </c>
      <c r="I105" s="34">
        <f t="shared" ca="1" si="519"/>
        <v>1236</v>
      </c>
      <c r="J105" s="34">
        <f t="shared" ca="1" si="519"/>
        <v>1102</v>
      </c>
      <c r="K105" s="34">
        <f t="shared" ca="1" si="519"/>
        <v>1122</v>
      </c>
      <c r="L105" s="34">
        <f t="shared" ca="1" si="519"/>
        <v>791</v>
      </c>
      <c r="M105" s="34">
        <f t="shared" ca="1" si="519"/>
        <v>1455</v>
      </c>
      <c r="N105" s="34">
        <f t="shared" ca="1" si="519"/>
        <v>1455</v>
      </c>
      <c r="O105" s="34" t="str">
        <f t="shared" ca="1" si="519"/>
        <v/>
      </c>
      <c r="P105" s="34" t="str">
        <f t="shared" ca="1" si="519"/>
        <v/>
      </c>
      <c r="Q105" s="34" t="str">
        <f t="shared" ca="1" si="519"/>
        <v/>
      </c>
      <c r="R105" s="34" t="str">
        <f t="shared" ca="1" si="519"/>
        <v/>
      </c>
      <c r="S105" s="34" t="str">
        <f t="shared" ca="1" si="519"/>
        <v/>
      </c>
      <c r="T105" s="34" t="str">
        <f t="shared" ca="1" si="519"/>
        <v/>
      </c>
      <c r="U105" s="34" t="str">
        <f t="shared" ca="1" si="519"/>
        <v/>
      </c>
      <c r="V105" s="34" t="str">
        <f t="shared" ca="1" si="519"/>
        <v/>
      </c>
      <c r="W105" s="34" t="str">
        <f t="shared" ca="1" si="519"/>
        <v/>
      </c>
      <c r="X105" s="34" t="str">
        <f t="shared" ca="1" si="519"/>
        <v/>
      </c>
      <c r="Y105" s="34" t="str">
        <f t="shared" ca="1" si="519"/>
        <v/>
      </c>
      <c r="Z105" s="34" t="str">
        <f t="shared" ca="1" si="519"/>
        <v/>
      </c>
      <c r="AA105" s="34" t="str">
        <f t="shared" ca="1" si="519"/>
        <v/>
      </c>
      <c r="AB105" s="34" t="str">
        <f t="shared" ca="1" si="519"/>
        <v/>
      </c>
      <c r="AC105" s="34" t="str">
        <f t="shared" ca="1" si="519"/>
        <v/>
      </c>
      <c r="AD105" s="34" t="str">
        <f t="shared" ca="1" si="519"/>
        <v/>
      </c>
      <c r="AE105" s="34" t="str">
        <f t="shared" ca="1" si="519"/>
        <v/>
      </c>
      <c r="AF105" s="34" t="str">
        <f t="shared" ca="1" si="519"/>
        <v/>
      </c>
      <c r="AG105" s="34" t="str">
        <f t="shared" ca="1" si="519"/>
        <v/>
      </c>
      <c r="AH105" s="34" t="str">
        <f t="shared" ca="1" si="519"/>
        <v/>
      </c>
      <c r="AI105" s="34" t="str">
        <f t="shared" ca="1" si="519"/>
        <v/>
      </c>
      <c r="AJ105" s="34" t="str">
        <f t="shared" ref="AJ105:BO105" ca="1" si="520">IF(AJ$89="","",IF(AJ$89=$M$2,AI105,IF(AJ$11&lt;$D$7,OFFSET(INDIRECT($D$3),$A105-1,$Q$3+AJ$11),OFFSET(INDIRECT($D$4),$A105-1,$Q$4+AJ$11))))</f>
        <v/>
      </c>
      <c r="AK105" s="34" t="str">
        <f t="shared" ca="1" si="520"/>
        <v/>
      </c>
      <c r="AL105" s="34" t="str">
        <f t="shared" ca="1" si="520"/>
        <v/>
      </c>
      <c r="AM105" s="34" t="str">
        <f t="shared" ca="1" si="520"/>
        <v/>
      </c>
      <c r="AN105" s="34" t="str">
        <f t="shared" ca="1" si="520"/>
        <v/>
      </c>
      <c r="AO105" s="34" t="str">
        <f t="shared" ca="1" si="520"/>
        <v/>
      </c>
      <c r="AP105" s="34" t="str">
        <f t="shared" ca="1" si="520"/>
        <v/>
      </c>
      <c r="AQ105" s="34" t="str">
        <f t="shared" ca="1" si="520"/>
        <v/>
      </c>
      <c r="AR105" s="34" t="str">
        <f t="shared" ca="1" si="520"/>
        <v/>
      </c>
      <c r="AS105" s="34" t="str">
        <f t="shared" ca="1" si="520"/>
        <v/>
      </c>
      <c r="AT105" s="34" t="str">
        <f t="shared" ca="1" si="520"/>
        <v/>
      </c>
      <c r="AU105" s="34" t="str">
        <f t="shared" ca="1" si="520"/>
        <v/>
      </c>
      <c r="AV105" s="34" t="str">
        <f t="shared" ca="1" si="520"/>
        <v/>
      </c>
      <c r="AW105" s="34" t="str">
        <f t="shared" ca="1" si="520"/>
        <v/>
      </c>
      <c r="AX105" s="34" t="str">
        <f t="shared" ca="1" si="520"/>
        <v/>
      </c>
      <c r="AY105" s="34" t="str">
        <f t="shared" ca="1" si="520"/>
        <v/>
      </c>
      <c r="AZ105" s="34" t="str">
        <f t="shared" ca="1" si="520"/>
        <v/>
      </c>
      <c r="BA105" s="34" t="str">
        <f t="shared" ca="1" si="520"/>
        <v/>
      </c>
      <c r="BB105" s="34" t="str">
        <f t="shared" ca="1" si="520"/>
        <v/>
      </c>
      <c r="BC105" s="34" t="str">
        <f t="shared" ca="1" si="520"/>
        <v/>
      </c>
      <c r="BD105" s="34" t="str">
        <f t="shared" ca="1" si="520"/>
        <v/>
      </c>
      <c r="BE105" s="34" t="str">
        <f t="shared" ca="1" si="520"/>
        <v/>
      </c>
      <c r="BF105" s="34" t="str">
        <f t="shared" ca="1" si="520"/>
        <v/>
      </c>
      <c r="BG105" s="34" t="str">
        <f t="shared" ca="1" si="520"/>
        <v/>
      </c>
      <c r="BH105" s="34" t="str">
        <f t="shared" ca="1" si="520"/>
        <v/>
      </c>
      <c r="BI105" s="34" t="str">
        <f t="shared" ca="1" si="520"/>
        <v/>
      </c>
      <c r="BJ105" s="34" t="str">
        <f t="shared" ca="1" si="520"/>
        <v/>
      </c>
      <c r="BK105" s="34" t="str">
        <f t="shared" ca="1" si="520"/>
        <v/>
      </c>
      <c r="BL105" s="34" t="str">
        <f t="shared" ca="1" si="520"/>
        <v/>
      </c>
      <c r="BM105" s="34" t="str">
        <f t="shared" ca="1" si="520"/>
        <v/>
      </c>
      <c r="BN105" s="34" t="str">
        <f t="shared" ca="1" si="520"/>
        <v/>
      </c>
      <c r="BO105" s="34" t="str">
        <f t="shared" ca="1" si="520"/>
        <v/>
      </c>
      <c r="BP105" s="34" t="str">
        <f t="shared" ref="BP105:CZ105" ca="1" si="521">IF(BP$89="","",IF(BP$89=$M$2,BO105,IF(BP$11&lt;$D$7,OFFSET(INDIRECT($D$3),$A105-1,$Q$3+BP$11),OFFSET(INDIRECT($D$4),$A105-1,$Q$4+BP$11))))</f>
        <v/>
      </c>
      <c r="BQ105" s="34" t="str">
        <f t="shared" ca="1" si="521"/>
        <v/>
      </c>
      <c r="BR105" s="34" t="str">
        <f t="shared" ca="1" si="521"/>
        <v/>
      </c>
      <c r="BS105" s="34" t="str">
        <f t="shared" ca="1" si="521"/>
        <v/>
      </c>
      <c r="BT105" s="34" t="str">
        <f t="shared" ca="1" si="521"/>
        <v/>
      </c>
      <c r="BU105" s="34" t="str">
        <f t="shared" ca="1" si="521"/>
        <v/>
      </c>
      <c r="BV105" s="34" t="str">
        <f t="shared" ca="1" si="521"/>
        <v/>
      </c>
      <c r="BW105" s="34" t="str">
        <f t="shared" ca="1" si="521"/>
        <v/>
      </c>
      <c r="BX105" s="34" t="str">
        <f t="shared" ca="1" si="521"/>
        <v/>
      </c>
      <c r="BY105" s="34" t="str">
        <f t="shared" ca="1" si="521"/>
        <v/>
      </c>
      <c r="BZ105" s="34" t="str">
        <f t="shared" ca="1" si="521"/>
        <v/>
      </c>
      <c r="CA105" s="34" t="str">
        <f t="shared" ca="1" si="521"/>
        <v/>
      </c>
      <c r="CB105" s="34" t="str">
        <f t="shared" ca="1" si="521"/>
        <v/>
      </c>
      <c r="CC105" s="34" t="str">
        <f t="shared" ca="1" si="521"/>
        <v/>
      </c>
      <c r="CD105" s="34" t="str">
        <f t="shared" ca="1" si="521"/>
        <v/>
      </c>
      <c r="CE105" s="34" t="str">
        <f t="shared" ca="1" si="521"/>
        <v/>
      </c>
      <c r="CF105" s="34" t="str">
        <f t="shared" ca="1" si="521"/>
        <v/>
      </c>
      <c r="CG105" s="34" t="str">
        <f t="shared" ca="1" si="521"/>
        <v/>
      </c>
      <c r="CH105" s="34" t="str">
        <f t="shared" ca="1" si="521"/>
        <v/>
      </c>
      <c r="CI105" s="34" t="str">
        <f t="shared" ca="1" si="521"/>
        <v/>
      </c>
      <c r="CJ105" s="34" t="str">
        <f t="shared" ca="1" si="521"/>
        <v/>
      </c>
      <c r="CK105" s="34" t="str">
        <f t="shared" ca="1" si="521"/>
        <v/>
      </c>
      <c r="CL105" s="34" t="str">
        <f t="shared" ca="1" si="521"/>
        <v/>
      </c>
      <c r="CM105" s="34" t="str">
        <f t="shared" ca="1" si="521"/>
        <v/>
      </c>
      <c r="CN105" s="34" t="str">
        <f t="shared" ca="1" si="521"/>
        <v/>
      </c>
      <c r="CO105" s="34" t="str">
        <f t="shared" ca="1" si="521"/>
        <v/>
      </c>
      <c r="CP105" s="34" t="str">
        <f t="shared" ca="1" si="521"/>
        <v/>
      </c>
      <c r="CQ105" s="34" t="str">
        <f t="shared" ca="1" si="521"/>
        <v/>
      </c>
      <c r="CR105" s="34" t="str">
        <f t="shared" ca="1" si="521"/>
        <v/>
      </c>
      <c r="CS105" s="34" t="str">
        <f t="shared" ca="1" si="521"/>
        <v/>
      </c>
      <c r="CT105" s="34" t="str">
        <f t="shared" ca="1" si="521"/>
        <v/>
      </c>
      <c r="CU105" s="34" t="str">
        <f t="shared" ca="1" si="521"/>
        <v/>
      </c>
      <c r="CV105" s="34" t="str">
        <f t="shared" ca="1" si="521"/>
        <v/>
      </c>
      <c r="CW105" s="34" t="str">
        <f t="shared" ca="1" si="521"/>
        <v/>
      </c>
      <c r="CX105" s="34" t="str">
        <f t="shared" ca="1" si="521"/>
        <v/>
      </c>
      <c r="CY105" s="34" t="str">
        <f t="shared" ca="1" si="521"/>
        <v/>
      </c>
      <c r="CZ105" s="34" t="str">
        <f t="shared" ca="1" si="521"/>
        <v/>
      </c>
    </row>
    <row r="106" spans="1:104" ht="13.5" customHeight="1">
      <c r="A106" s="27">
        <v>92</v>
      </c>
      <c r="B106" s="33">
        <f t="shared" si="474"/>
        <v>106</v>
      </c>
      <c r="C106" s="8" t="s">
        <v>371</v>
      </c>
      <c r="D106" s="34">
        <f t="shared" ref="D106:AI106" ca="1" si="522">IF(D$89="","",IF(D$89=$M$2,C106,IF(D$11&lt;$D$7,OFFSET(INDIRECT($D$3),$A106-1,$Q$3+D$11),OFFSET(INDIRECT($D$4),$A106-1,$Q$4+D$11))))</f>
        <v>0</v>
      </c>
      <c r="E106" s="34">
        <f t="shared" ca="1" si="522"/>
        <v>0</v>
      </c>
      <c r="F106" s="34">
        <f t="shared" ca="1" si="522"/>
        <v>0</v>
      </c>
      <c r="G106" s="34">
        <f t="shared" ca="1" si="522"/>
        <v>0</v>
      </c>
      <c r="H106" s="34">
        <f t="shared" ca="1" si="522"/>
        <v>0</v>
      </c>
      <c r="I106" s="34">
        <f t="shared" ca="1" si="522"/>
        <v>0</v>
      </c>
      <c r="J106" s="34">
        <f t="shared" ca="1" si="522"/>
        <v>0</v>
      </c>
      <c r="K106" s="34">
        <f t="shared" ca="1" si="522"/>
        <v>0</v>
      </c>
      <c r="L106" s="34">
        <f t="shared" ca="1" si="522"/>
        <v>0</v>
      </c>
      <c r="M106" s="34">
        <f t="shared" ca="1" si="522"/>
        <v>0</v>
      </c>
      <c r="N106" s="34">
        <f t="shared" ca="1" si="522"/>
        <v>0</v>
      </c>
      <c r="O106" s="34" t="str">
        <f t="shared" ca="1" si="522"/>
        <v/>
      </c>
      <c r="P106" s="34" t="str">
        <f t="shared" ca="1" si="522"/>
        <v/>
      </c>
      <c r="Q106" s="34" t="str">
        <f t="shared" ca="1" si="522"/>
        <v/>
      </c>
      <c r="R106" s="34" t="str">
        <f t="shared" ca="1" si="522"/>
        <v/>
      </c>
      <c r="S106" s="34" t="str">
        <f t="shared" ca="1" si="522"/>
        <v/>
      </c>
      <c r="T106" s="34" t="str">
        <f t="shared" ca="1" si="522"/>
        <v/>
      </c>
      <c r="U106" s="34" t="str">
        <f t="shared" ca="1" si="522"/>
        <v/>
      </c>
      <c r="V106" s="34" t="str">
        <f t="shared" ca="1" si="522"/>
        <v/>
      </c>
      <c r="W106" s="34" t="str">
        <f t="shared" ca="1" si="522"/>
        <v/>
      </c>
      <c r="X106" s="34" t="str">
        <f t="shared" ca="1" si="522"/>
        <v/>
      </c>
      <c r="Y106" s="34" t="str">
        <f t="shared" ca="1" si="522"/>
        <v/>
      </c>
      <c r="Z106" s="34" t="str">
        <f t="shared" ca="1" si="522"/>
        <v/>
      </c>
      <c r="AA106" s="34" t="str">
        <f t="shared" ca="1" si="522"/>
        <v/>
      </c>
      <c r="AB106" s="34" t="str">
        <f t="shared" ca="1" si="522"/>
        <v/>
      </c>
      <c r="AC106" s="34" t="str">
        <f t="shared" ca="1" si="522"/>
        <v/>
      </c>
      <c r="AD106" s="34" t="str">
        <f t="shared" ca="1" si="522"/>
        <v/>
      </c>
      <c r="AE106" s="34" t="str">
        <f t="shared" ca="1" si="522"/>
        <v/>
      </c>
      <c r="AF106" s="34" t="str">
        <f t="shared" ca="1" si="522"/>
        <v/>
      </c>
      <c r="AG106" s="34" t="str">
        <f t="shared" ca="1" si="522"/>
        <v/>
      </c>
      <c r="AH106" s="34" t="str">
        <f t="shared" ca="1" si="522"/>
        <v/>
      </c>
      <c r="AI106" s="34" t="str">
        <f t="shared" ca="1" si="522"/>
        <v/>
      </c>
      <c r="AJ106" s="34" t="str">
        <f t="shared" ref="AJ106:BO106" ca="1" si="523">IF(AJ$89="","",IF(AJ$89=$M$2,AI106,IF(AJ$11&lt;$D$7,OFFSET(INDIRECT($D$3),$A106-1,$Q$3+AJ$11),OFFSET(INDIRECT($D$4),$A106-1,$Q$4+AJ$11))))</f>
        <v/>
      </c>
      <c r="AK106" s="34" t="str">
        <f t="shared" ca="1" si="523"/>
        <v/>
      </c>
      <c r="AL106" s="34" t="str">
        <f t="shared" ca="1" si="523"/>
        <v/>
      </c>
      <c r="AM106" s="34" t="str">
        <f t="shared" ca="1" si="523"/>
        <v/>
      </c>
      <c r="AN106" s="34" t="str">
        <f t="shared" ca="1" si="523"/>
        <v/>
      </c>
      <c r="AO106" s="34" t="str">
        <f t="shared" ca="1" si="523"/>
        <v/>
      </c>
      <c r="AP106" s="34" t="str">
        <f t="shared" ca="1" si="523"/>
        <v/>
      </c>
      <c r="AQ106" s="34" t="str">
        <f t="shared" ca="1" si="523"/>
        <v/>
      </c>
      <c r="AR106" s="34" t="str">
        <f t="shared" ca="1" si="523"/>
        <v/>
      </c>
      <c r="AS106" s="34" t="str">
        <f t="shared" ca="1" si="523"/>
        <v/>
      </c>
      <c r="AT106" s="34" t="str">
        <f t="shared" ca="1" si="523"/>
        <v/>
      </c>
      <c r="AU106" s="34" t="str">
        <f t="shared" ca="1" si="523"/>
        <v/>
      </c>
      <c r="AV106" s="34" t="str">
        <f t="shared" ca="1" si="523"/>
        <v/>
      </c>
      <c r="AW106" s="34" t="str">
        <f t="shared" ca="1" si="523"/>
        <v/>
      </c>
      <c r="AX106" s="34" t="str">
        <f t="shared" ca="1" si="523"/>
        <v/>
      </c>
      <c r="AY106" s="34" t="str">
        <f t="shared" ca="1" si="523"/>
        <v/>
      </c>
      <c r="AZ106" s="34" t="str">
        <f t="shared" ca="1" si="523"/>
        <v/>
      </c>
      <c r="BA106" s="34" t="str">
        <f t="shared" ca="1" si="523"/>
        <v/>
      </c>
      <c r="BB106" s="34" t="str">
        <f t="shared" ca="1" si="523"/>
        <v/>
      </c>
      <c r="BC106" s="34" t="str">
        <f t="shared" ca="1" si="523"/>
        <v/>
      </c>
      <c r="BD106" s="34" t="str">
        <f t="shared" ca="1" si="523"/>
        <v/>
      </c>
      <c r="BE106" s="34" t="str">
        <f t="shared" ca="1" si="523"/>
        <v/>
      </c>
      <c r="BF106" s="34" t="str">
        <f t="shared" ca="1" si="523"/>
        <v/>
      </c>
      <c r="BG106" s="34" t="str">
        <f t="shared" ca="1" si="523"/>
        <v/>
      </c>
      <c r="BH106" s="34" t="str">
        <f t="shared" ca="1" si="523"/>
        <v/>
      </c>
      <c r="BI106" s="34" t="str">
        <f t="shared" ca="1" si="523"/>
        <v/>
      </c>
      <c r="BJ106" s="34" t="str">
        <f t="shared" ca="1" si="523"/>
        <v/>
      </c>
      <c r="BK106" s="34" t="str">
        <f t="shared" ca="1" si="523"/>
        <v/>
      </c>
      <c r="BL106" s="34" t="str">
        <f t="shared" ca="1" si="523"/>
        <v/>
      </c>
      <c r="BM106" s="34" t="str">
        <f t="shared" ca="1" si="523"/>
        <v/>
      </c>
      <c r="BN106" s="34" t="str">
        <f t="shared" ca="1" si="523"/>
        <v/>
      </c>
      <c r="BO106" s="34" t="str">
        <f t="shared" ca="1" si="523"/>
        <v/>
      </c>
      <c r="BP106" s="34" t="str">
        <f t="shared" ref="BP106:CZ106" ca="1" si="524">IF(BP$89="","",IF(BP$89=$M$2,BO106,IF(BP$11&lt;$D$7,OFFSET(INDIRECT($D$3),$A106-1,$Q$3+BP$11),OFFSET(INDIRECT($D$4),$A106-1,$Q$4+BP$11))))</f>
        <v/>
      </c>
      <c r="BQ106" s="34" t="str">
        <f t="shared" ca="1" si="524"/>
        <v/>
      </c>
      <c r="BR106" s="34" t="str">
        <f t="shared" ca="1" si="524"/>
        <v/>
      </c>
      <c r="BS106" s="34" t="str">
        <f t="shared" ca="1" si="524"/>
        <v/>
      </c>
      <c r="BT106" s="34" t="str">
        <f t="shared" ca="1" si="524"/>
        <v/>
      </c>
      <c r="BU106" s="34" t="str">
        <f t="shared" ca="1" si="524"/>
        <v/>
      </c>
      <c r="BV106" s="34" t="str">
        <f t="shared" ca="1" si="524"/>
        <v/>
      </c>
      <c r="BW106" s="34" t="str">
        <f t="shared" ca="1" si="524"/>
        <v/>
      </c>
      <c r="BX106" s="34" t="str">
        <f t="shared" ca="1" si="524"/>
        <v/>
      </c>
      <c r="BY106" s="34" t="str">
        <f t="shared" ca="1" si="524"/>
        <v/>
      </c>
      <c r="BZ106" s="34" t="str">
        <f t="shared" ca="1" si="524"/>
        <v/>
      </c>
      <c r="CA106" s="34" t="str">
        <f t="shared" ca="1" si="524"/>
        <v/>
      </c>
      <c r="CB106" s="34" t="str">
        <f t="shared" ca="1" si="524"/>
        <v/>
      </c>
      <c r="CC106" s="34" t="str">
        <f t="shared" ca="1" si="524"/>
        <v/>
      </c>
      <c r="CD106" s="34" t="str">
        <f t="shared" ca="1" si="524"/>
        <v/>
      </c>
      <c r="CE106" s="34" t="str">
        <f t="shared" ca="1" si="524"/>
        <v/>
      </c>
      <c r="CF106" s="34" t="str">
        <f t="shared" ca="1" si="524"/>
        <v/>
      </c>
      <c r="CG106" s="34" t="str">
        <f t="shared" ca="1" si="524"/>
        <v/>
      </c>
      <c r="CH106" s="34" t="str">
        <f t="shared" ca="1" si="524"/>
        <v/>
      </c>
      <c r="CI106" s="34" t="str">
        <f t="shared" ca="1" si="524"/>
        <v/>
      </c>
      <c r="CJ106" s="34" t="str">
        <f t="shared" ca="1" si="524"/>
        <v/>
      </c>
      <c r="CK106" s="34" t="str">
        <f t="shared" ca="1" si="524"/>
        <v/>
      </c>
      <c r="CL106" s="34" t="str">
        <f t="shared" ca="1" si="524"/>
        <v/>
      </c>
      <c r="CM106" s="34" t="str">
        <f t="shared" ca="1" si="524"/>
        <v/>
      </c>
      <c r="CN106" s="34" t="str">
        <f t="shared" ca="1" si="524"/>
        <v/>
      </c>
      <c r="CO106" s="34" t="str">
        <f t="shared" ca="1" si="524"/>
        <v/>
      </c>
      <c r="CP106" s="34" t="str">
        <f t="shared" ca="1" si="524"/>
        <v/>
      </c>
      <c r="CQ106" s="34" t="str">
        <f t="shared" ca="1" si="524"/>
        <v/>
      </c>
      <c r="CR106" s="34" t="str">
        <f t="shared" ca="1" si="524"/>
        <v/>
      </c>
      <c r="CS106" s="34" t="str">
        <f t="shared" ca="1" si="524"/>
        <v/>
      </c>
      <c r="CT106" s="34" t="str">
        <f t="shared" ca="1" si="524"/>
        <v/>
      </c>
      <c r="CU106" s="34" t="str">
        <f t="shared" ca="1" si="524"/>
        <v/>
      </c>
      <c r="CV106" s="34" t="str">
        <f t="shared" ca="1" si="524"/>
        <v/>
      </c>
      <c r="CW106" s="34" t="str">
        <f t="shared" ca="1" si="524"/>
        <v/>
      </c>
      <c r="CX106" s="34" t="str">
        <f t="shared" ca="1" si="524"/>
        <v/>
      </c>
      <c r="CY106" s="34" t="str">
        <f t="shared" ca="1" si="524"/>
        <v/>
      </c>
      <c r="CZ106" s="34" t="str">
        <f t="shared" ca="1" si="524"/>
        <v/>
      </c>
    </row>
    <row r="107" spans="1:104" ht="13.5" customHeight="1">
      <c r="A107" s="12"/>
      <c r="B107" s="33">
        <f t="shared" si="474"/>
        <v>107</v>
      </c>
      <c r="C107" s="9" t="s">
        <v>372</v>
      </c>
      <c r="D107" s="34">
        <f t="shared" ref="D107:AI107" ca="1" si="525">IF(D$89="","",IF(D$89=$M$2,C107,SUM(D108:D110)))</f>
        <v>6543</v>
      </c>
      <c r="E107" s="34">
        <f t="shared" ca="1" si="525"/>
        <v>9041</v>
      </c>
      <c r="F107" s="34">
        <f t="shared" ca="1" si="525"/>
        <v>5738</v>
      </c>
      <c r="G107" s="34">
        <f t="shared" ca="1" si="525"/>
        <v>6143</v>
      </c>
      <c r="H107" s="34">
        <f t="shared" ca="1" si="525"/>
        <v>6543</v>
      </c>
      <c r="I107" s="34">
        <f t="shared" ca="1" si="525"/>
        <v>6895</v>
      </c>
      <c r="J107" s="34">
        <f t="shared" ca="1" si="525"/>
        <v>7303</v>
      </c>
      <c r="K107" s="34">
        <f t="shared" ca="1" si="525"/>
        <v>8869</v>
      </c>
      <c r="L107" s="34">
        <f t="shared" ca="1" si="525"/>
        <v>9041</v>
      </c>
      <c r="M107" s="34">
        <f t="shared" ca="1" si="525"/>
        <v>9539</v>
      </c>
      <c r="N107" s="34">
        <f t="shared" ca="1" si="525"/>
        <v>9539</v>
      </c>
      <c r="O107" s="34" t="str">
        <f t="shared" ca="1" si="525"/>
        <v/>
      </c>
      <c r="P107" s="34" t="str">
        <f t="shared" ca="1" si="525"/>
        <v/>
      </c>
      <c r="Q107" s="34" t="str">
        <f t="shared" ca="1" si="525"/>
        <v/>
      </c>
      <c r="R107" s="34" t="str">
        <f t="shared" si="525"/>
        <v/>
      </c>
      <c r="S107" s="34" t="str">
        <f t="shared" si="525"/>
        <v/>
      </c>
      <c r="T107" s="34" t="str">
        <f t="shared" si="525"/>
        <v/>
      </c>
      <c r="U107" s="34" t="str">
        <f t="shared" si="525"/>
        <v/>
      </c>
      <c r="V107" s="34" t="str">
        <f t="shared" si="525"/>
        <v/>
      </c>
      <c r="W107" s="34" t="str">
        <f t="shared" si="525"/>
        <v/>
      </c>
      <c r="X107" s="34" t="str">
        <f t="shared" si="525"/>
        <v/>
      </c>
      <c r="Y107" s="34" t="str">
        <f t="shared" si="525"/>
        <v/>
      </c>
      <c r="Z107" s="34" t="str">
        <f t="shared" si="525"/>
        <v/>
      </c>
      <c r="AA107" s="34" t="str">
        <f t="shared" si="525"/>
        <v/>
      </c>
      <c r="AB107" s="34" t="str">
        <f t="shared" si="525"/>
        <v/>
      </c>
      <c r="AC107" s="34" t="str">
        <f t="shared" si="525"/>
        <v/>
      </c>
      <c r="AD107" s="34" t="str">
        <f t="shared" si="525"/>
        <v/>
      </c>
      <c r="AE107" s="34" t="str">
        <f t="shared" si="525"/>
        <v/>
      </c>
      <c r="AF107" s="34" t="str">
        <f t="shared" si="525"/>
        <v/>
      </c>
      <c r="AG107" s="34" t="str">
        <f t="shared" si="525"/>
        <v/>
      </c>
      <c r="AH107" s="34" t="str">
        <f t="shared" si="525"/>
        <v/>
      </c>
      <c r="AI107" s="34" t="str">
        <f t="shared" si="525"/>
        <v/>
      </c>
      <c r="AJ107" s="34" t="str">
        <f t="shared" ref="AJ107:BO107" si="526">IF(AJ$89="","",IF(AJ$89=$M$2,AI107,SUM(AJ108:AJ110)))</f>
        <v/>
      </c>
      <c r="AK107" s="34" t="str">
        <f t="shared" si="526"/>
        <v/>
      </c>
      <c r="AL107" s="34" t="str">
        <f t="shared" si="526"/>
        <v/>
      </c>
      <c r="AM107" s="34" t="str">
        <f t="shared" si="526"/>
        <v/>
      </c>
      <c r="AN107" s="34" t="str">
        <f t="shared" si="526"/>
        <v/>
      </c>
      <c r="AO107" s="34" t="str">
        <f t="shared" si="526"/>
        <v/>
      </c>
      <c r="AP107" s="34" t="str">
        <f t="shared" si="526"/>
        <v/>
      </c>
      <c r="AQ107" s="34" t="str">
        <f t="shared" si="526"/>
        <v/>
      </c>
      <c r="AR107" s="34" t="str">
        <f t="shared" si="526"/>
        <v/>
      </c>
      <c r="AS107" s="34" t="str">
        <f t="shared" si="526"/>
        <v/>
      </c>
      <c r="AT107" s="34" t="str">
        <f t="shared" si="526"/>
        <v/>
      </c>
      <c r="AU107" s="34" t="str">
        <f t="shared" si="526"/>
        <v/>
      </c>
      <c r="AV107" s="34" t="str">
        <f t="shared" si="526"/>
        <v/>
      </c>
      <c r="AW107" s="34" t="str">
        <f t="shared" si="526"/>
        <v/>
      </c>
      <c r="AX107" s="34" t="str">
        <f t="shared" si="526"/>
        <v/>
      </c>
      <c r="AY107" s="34" t="str">
        <f t="shared" si="526"/>
        <v/>
      </c>
      <c r="AZ107" s="34" t="str">
        <f t="shared" si="526"/>
        <v/>
      </c>
      <c r="BA107" s="34" t="str">
        <f t="shared" si="526"/>
        <v/>
      </c>
      <c r="BB107" s="34" t="str">
        <f t="shared" si="526"/>
        <v/>
      </c>
      <c r="BC107" s="34" t="str">
        <f t="shared" si="526"/>
        <v/>
      </c>
      <c r="BD107" s="34" t="str">
        <f t="shared" si="526"/>
        <v/>
      </c>
      <c r="BE107" s="34" t="str">
        <f t="shared" si="526"/>
        <v/>
      </c>
      <c r="BF107" s="34" t="str">
        <f t="shared" si="526"/>
        <v/>
      </c>
      <c r="BG107" s="34" t="str">
        <f t="shared" si="526"/>
        <v/>
      </c>
      <c r="BH107" s="34" t="str">
        <f t="shared" si="526"/>
        <v/>
      </c>
      <c r="BI107" s="34" t="str">
        <f t="shared" si="526"/>
        <v/>
      </c>
      <c r="BJ107" s="34" t="str">
        <f t="shared" si="526"/>
        <v/>
      </c>
      <c r="BK107" s="34" t="str">
        <f t="shared" si="526"/>
        <v/>
      </c>
      <c r="BL107" s="34" t="str">
        <f t="shared" si="526"/>
        <v/>
      </c>
      <c r="BM107" s="34" t="str">
        <f t="shared" si="526"/>
        <v/>
      </c>
      <c r="BN107" s="34" t="str">
        <f t="shared" si="526"/>
        <v/>
      </c>
      <c r="BO107" s="34" t="str">
        <f t="shared" si="526"/>
        <v/>
      </c>
      <c r="BP107" s="34" t="str">
        <f t="shared" ref="BP107:CU107" si="527">IF(BP$89="","",IF(BP$89=$M$2,BO107,SUM(BP108:BP110)))</f>
        <v/>
      </c>
      <c r="BQ107" s="34" t="str">
        <f t="shared" si="527"/>
        <v/>
      </c>
      <c r="BR107" s="34" t="str">
        <f t="shared" si="527"/>
        <v/>
      </c>
      <c r="BS107" s="34" t="str">
        <f t="shared" si="527"/>
        <v/>
      </c>
      <c r="BT107" s="34" t="str">
        <f t="shared" si="527"/>
        <v/>
      </c>
      <c r="BU107" s="34" t="str">
        <f t="shared" si="527"/>
        <v/>
      </c>
      <c r="BV107" s="34" t="str">
        <f t="shared" si="527"/>
        <v/>
      </c>
      <c r="BW107" s="34" t="str">
        <f t="shared" si="527"/>
        <v/>
      </c>
      <c r="BX107" s="34" t="str">
        <f t="shared" si="527"/>
        <v/>
      </c>
      <c r="BY107" s="34" t="str">
        <f t="shared" si="527"/>
        <v/>
      </c>
      <c r="BZ107" s="34" t="str">
        <f t="shared" si="527"/>
        <v/>
      </c>
      <c r="CA107" s="34" t="str">
        <f t="shared" si="527"/>
        <v/>
      </c>
      <c r="CB107" s="34" t="str">
        <f t="shared" si="527"/>
        <v/>
      </c>
      <c r="CC107" s="34" t="str">
        <f t="shared" si="527"/>
        <v/>
      </c>
      <c r="CD107" s="34" t="str">
        <f t="shared" si="527"/>
        <v/>
      </c>
      <c r="CE107" s="34" t="str">
        <f t="shared" si="527"/>
        <v/>
      </c>
      <c r="CF107" s="34" t="str">
        <f t="shared" si="527"/>
        <v/>
      </c>
      <c r="CG107" s="34" t="str">
        <f t="shared" si="527"/>
        <v/>
      </c>
      <c r="CH107" s="34" t="str">
        <f t="shared" si="527"/>
        <v/>
      </c>
      <c r="CI107" s="34" t="str">
        <f t="shared" si="527"/>
        <v/>
      </c>
      <c r="CJ107" s="34" t="str">
        <f t="shared" si="527"/>
        <v/>
      </c>
      <c r="CK107" s="34" t="str">
        <f t="shared" si="527"/>
        <v/>
      </c>
      <c r="CL107" s="34" t="str">
        <f t="shared" si="527"/>
        <v/>
      </c>
      <c r="CM107" s="34" t="str">
        <f t="shared" si="527"/>
        <v/>
      </c>
      <c r="CN107" s="34" t="str">
        <f t="shared" si="527"/>
        <v/>
      </c>
      <c r="CO107" s="34" t="str">
        <f t="shared" si="527"/>
        <v/>
      </c>
      <c r="CP107" s="34" t="str">
        <f t="shared" si="527"/>
        <v/>
      </c>
      <c r="CQ107" s="34" t="str">
        <f t="shared" si="527"/>
        <v/>
      </c>
      <c r="CR107" s="34" t="str">
        <f t="shared" si="527"/>
        <v/>
      </c>
      <c r="CS107" s="34" t="str">
        <f t="shared" si="527"/>
        <v/>
      </c>
      <c r="CT107" s="34" t="str">
        <f t="shared" si="527"/>
        <v/>
      </c>
      <c r="CU107" s="34" t="str">
        <f t="shared" si="527"/>
        <v/>
      </c>
      <c r="CV107" s="34" t="str">
        <f t="shared" ref="CV107:CZ107" si="528">IF(CV$89="","",IF(CV$89=$M$2,CU107,SUM(CV108:CV110)))</f>
        <v/>
      </c>
      <c r="CW107" s="34" t="str">
        <f t="shared" si="528"/>
        <v/>
      </c>
      <c r="CX107" s="34" t="str">
        <f t="shared" si="528"/>
        <v/>
      </c>
      <c r="CY107" s="34" t="str">
        <f t="shared" si="528"/>
        <v/>
      </c>
      <c r="CZ107" s="34" t="str">
        <f t="shared" si="528"/>
        <v/>
      </c>
    </row>
    <row r="108" spans="1:104" ht="13.5" customHeight="1">
      <c r="A108" s="27">
        <v>94</v>
      </c>
      <c r="B108" s="33">
        <f t="shared" si="474"/>
        <v>108</v>
      </c>
      <c r="C108" s="8" t="s">
        <v>373</v>
      </c>
      <c r="D108" s="34">
        <f t="shared" ref="D108:AI108" ca="1" si="529">IF(D$89="","",IF(D$89=$M$2,C108,IF(D$11&lt;$D$7,OFFSET(INDIRECT($D$3),$A108-1,$Q$3+D$11),OFFSET(INDIRECT($D$4),$A108-1,$Q$4+D$11))))</f>
        <v>0</v>
      </c>
      <c r="E108" s="34">
        <f t="shared" ca="1" si="529"/>
        <v>0</v>
      </c>
      <c r="F108" s="34">
        <f t="shared" ca="1" si="529"/>
        <v>0</v>
      </c>
      <c r="G108" s="34">
        <f t="shared" ca="1" si="529"/>
        <v>0</v>
      </c>
      <c r="H108" s="34">
        <f t="shared" ca="1" si="529"/>
        <v>0</v>
      </c>
      <c r="I108" s="34">
        <f t="shared" ca="1" si="529"/>
        <v>0</v>
      </c>
      <c r="J108" s="34">
        <f t="shared" ca="1" si="529"/>
        <v>0</v>
      </c>
      <c r="K108" s="34">
        <f t="shared" ca="1" si="529"/>
        <v>0</v>
      </c>
      <c r="L108" s="34">
        <f t="shared" ca="1" si="529"/>
        <v>0</v>
      </c>
      <c r="M108" s="34">
        <f t="shared" ca="1" si="529"/>
        <v>0</v>
      </c>
      <c r="N108" s="34">
        <f t="shared" ca="1" si="529"/>
        <v>0</v>
      </c>
      <c r="O108" s="34" t="str">
        <f t="shared" ca="1" si="529"/>
        <v/>
      </c>
      <c r="P108" s="34" t="str">
        <f t="shared" ca="1" si="529"/>
        <v/>
      </c>
      <c r="Q108" s="34" t="str">
        <f t="shared" ca="1" si="529"/>
        <v/>
      </c>
      <c r="R108" s="34" t="str">
        <f t="shared" ca="1" si="529"/>
        <v/>
      </c>
      <c r="S108" s="34" t="str">
        <f t="shared" ca="1" si="529"/>
        <v/>
      </c>
      <c r="T108" s="34" t="str">
        <f t="shared" ca="1" si="529"/>
        <v/>
      </c>
      <c r="U108" s="34" t="str">
        <f t="shared" ca="1" si="529"/>
        <v/>
      </c>
      <c r="V108" s="34" t="str">
        <f t="shared" ca="1" si="529"/>
        <v/>
      </c>
      <c r="W108" s="34" t="str">
        <f t="shared" ca="1" si="529"/>
        <v/>
      </c>
      <c r="X108" s="34" t="str">
        <f t="shared" ca="1" si="529"/>
        <v/>
      </c>
      <c r="Y108" s="34" t="str">
        <f t="shared" ca="1" si="529"/>
        <v/>
      </c>
      <c r="Z108" s="34" t="str">
        <f t="shared" ca="1" si="529"/>
        <v/>
      </c>
      <c r="AA108" s="34" t="str">
        <f t="shared" ca="1" si="529"/>
        <v/>
      </c>
      <c r="AB108" s="34" t="str">
        <f t="shared" ca="1" si="529"/>
        <v/>
      </c>
      <c r="AC108" s="34" t="str">
        <f t="shared" ca="1" si="529"/>
        <v/>
      </c>
      <c r="AD108" s="34" t="str">
        <f t="shared" ca="1" si="529"/>
        <v/>
      </c>
      <c r="AE108" s="34" t="str">
        <f t="shared" ca="1" si="529"/>
        <v/>
      </c>
      <c r="AF108" s="34" t="str">
        <f t="shared" ca="1" si="529"/>
        <v/>
      </c>
      <c r="AG108" s="34" t="str">
        <f t="shared" ca="1" si="529"/>
        <v/>
      </c>
      <c r="AH108" s="34" t="str">
        <f t="shared" ca="1" si="529"/>
        <v/>
      </c>
      <c r="AI108" s="34" t="str">
        <f t="shared" ca="1" si="529"/>
        <v/>
      </c>
      <c r="AJ108" s="34" t="str">
        <f t="shared" ref="AJ108:BO108" ca="1" si="530">IF(AJ$89="","",IF(AJ$89=$M$2,AI108,IF(AJ$11&lt;$D$7,OFFSET(INDIRECT($D$3),$A108-1,$Q$3+AJ$11),OFFSET(INDIRECT($D$4),$A108-1,$Q$4+AJ$11))))</f>
        <v/>
      </c>
      <c r="AK108" s="34" t="str">
        <f t="shared" ca="1" si="530"/>
        <v/>
      </c>
      <c r="AL108" s="34" t="str">
        <f t="shared" ca="1" si="530"/>
        <v/>
      </c>
      <c r="AM108" s="34" t="str">
        <f t="shared" ca="1" si="530"/>
        <v/>
      </c>
      <c r="AN108" s="34" t="str">
        <f t="shared" ca="1" si="530"/>
        <v/>
      </c>
      <c r="AO108" s="34" t="str">
        <f t="shared" ca="1" si="530"/>
        <v/>
      </c>
      <c r="AP108" s="34" t="str">
        <f t="shared" ca="1" si="530"/>
        <v/>
      </c>
      <c r="AQ108" s="34" t="str">
        <f t="shared" ca="1" si="530"/>
        <v/>
      </c>
      <c r="AR108" s="34" t="str">
        <f t="shared" ca="1" si="530"/>
        <v/>
      </c>
      <c r="AS108" s="34" t="str">
        <f t="shared" ca="1" si="530"/>
        <v/>
      </c>
      <c r="AT108" s="34" t="str">
        <f t="shared" ca="1" si="530"/>
        <v/>
      </c>
      <c r="AU108" s="34" t="str">
        <f t="shared" ca="1" si="530"/>
        <v/>
      </c>
      <c r="AV108" s="34" t="str">
        <f t="shared" ca="1" si="530"/>
        <v/>
      </c>
      <c r="AW108" s="34" t="str">
        <f t="shared" ca="1" si="530"/>
        <v/>
      </c>
      <c r="AX108" s="34" t="str">
        <f t="shared" ca="1" si="530"/>
        <v/>
      </c>
      <c r="AY108" s="34" t="str">
        <f t="shared" ca="1" si="530"/>
        <v/>
      </c>
      <c r="AZ108" s="34" t="str">
        <f t="shared" ca="1" si="530"/>
        <v/>
      </c>
      <c r="BA108" s="34" t="str">
        <f t="shared" ca="1" si="530"/>
        <v/>
      </c>
      <c r="BB108" s="34" t="str">
        <f t="shared" ca="1" si="530"/>
        <v/>
      </c>
      <c r="BC108" s="34" t="str">
        <f t="shared" ca="1" si="530"/>
        <v/>
      </c>
      <c r="BD108" s="34" t="str">
        <f t="shared" ca="1" si="530"/>
        <v/>
      </c>
      <c r="BE108" s="34" t="str">
        <f t="shared" ca="1" si="530"/>
        <v/>
      </c>
      <c r="BF108" s="34" t="str">
        <f t="shared" ca="1" si="530"/>
        <v/>
      </c>
      <c r="BG108" s="34" t="str">
        <f t="shared" ca="1" si="530"/>
        <v/>
      </c>
      <c r="BH108" s="34" t="str">
        <f t="shared" ca="1" si="530"/>
        <v/>
      </c>
      <c r="BI108" s="34" t="str">
        <f t="shared" ca="1" si="530"/>
        <v/>
      </c>
      <c r="BJ108" s="34" t="str">
        <f t="shared" ca="1" si="530"/>
        <v/>
      </c>
      <c r="BK108" s="34" t="str">
        <f t="shared" ca="1" si="530"/>
        <v/>
      </c>
      <c r="BL108" s="34" t="str">
        <f t="shared" ca="1" si="530"/>
        <v/>
      </c>
      <c r="BM108" s="34" t="str">
        <f t="shared" ca="1" si="530"/>
        <v/>
      </c>
      <c r="BN108" s="34" t="str">
        <f t="shared" ca="1" si="530"/>
        <v/>
      </c>
      <c r="BO108" s="34" t="str">
        <f t="shared" ca="1" si="530"/>
        <v/>
      </c>
      <c r="BP108" s="34" t="str">
        <f t="shared" ref="BP108:CZ108" ca="1" si="531">IF(BP$89="","",IF(BP$89=$M$2,BO108,IF(BP$11&lt;$D$7,OFFSET(INDIRECT($D$3),$A108-1,$Q$3+BP$11),OFFSET(INDIRECT($D$4),$A108-1,$Q$4+BP$11))))</f>
        <v/>
      </c>
      <c r="BQ108" s="34" t="str">
        <f t="shared" ca="1" si="531"/>
        <v/>
      </c>
      <c r="BR108" s="34" t="str">
        <f t="shared" ca="1" si="531"/>
        <v/>
      </c>
      <c r="BS108" s="34" t="str">
        <f t="shared" ca="1" si="531"/>
        <v/>
      </c>
      <c r="BT108" s="34" t="str">
        <f t="shared" ca="1" si="531"/>
        <v/>
      </c>
      <c r="BU108" s="34" t="str">
        <f t="shared" ca="1" si="531"/>
        <v/>
      </c>
      <c r="BV108" s="34" t="str">
        <f t="shared" ca="1" si="531"/>
        <v/>
      </c>
      <c r="BW108" s="34" t="str">
        <f t="shared" ca="1" si="531"/>
        <v/>
      </c>
      <c r="BX108" s="34" t="str">
        <f t="shared" ca="1" si="531"/>
        <v/>
      </c>
      <c r="BY108" s="34" t="str">
        <f t="shared" ca="1" si="531"/>
        <v/>
      </c>
      <c r="BZ108" s="34" t="str">
        <f t="shared" ca="1" si="531"/>
        <v/>
      </c>
      <c r="CA108" s="34" t="str">
        <f t="shared" ca="1" si="531"/>
        <v/>
      </c>
      <c r="CB108" s="34" t="str">
        <f t="shared" ca="1" si="531"/>
        <v/>
      </c>
      <c r="CC108" s="34" t="str">
        <f t="shared" ca="1" si="531"/>
        <v/>
      </c>
      <c r="CD108" s="34" t="str">
        <f t="shared" ca="1" si="531"/>
        <v/>
      </c>
      <c r="CE108" s="34" t="str">
        <f t="shared" ca="1" si="531"/>
        <v/>
      </c>
      <c r="CF108" s="34" t="str">
        <f t="shared" ca="1" si="531"/>
        <v/>
      </c>
      <c r="CG108" s="34" t="str">
        <f t="shared" ca="1" si="531"/>
        <v/>
      </c>
      <c r="CH108" s="34" t="str">
        <f t="shared" ca="1" si="531"/>
        <v/>
      </c>
      <c r="CI108" s="34" t="str">
        <f t="shared" ca="1" si="531"/>
        <v/>
      </c>
      <c r="CJ108" s="34" t="str">
        <f t="shared" ca="1" si="531"/>
        <v/>
      </c>
      <c r="CK108" s="34" t="str">
        <f t="shared" ca="1" si="531"/>
        <v/>
      </c>
      <c r="CL108" s="34" t="str">
        <f t="shared" ca="1" si="531"/>
        <v/>
      </c>
      <c r="CM108" s="34" t="str">
        <f t="shared" ca="1" si="531"/>
        <v/>
      </c>
      <c r="CN108" s="34" t="str">
        <f t="shared" ca="1" si="531"/>
        <v/>
      </c>
      <c r="CO108" s="34" t="str">
        <f t="shared" ca="1" si="531"/>
        <v/>
      </c>
      <c r="CP108" s="34" t="str">
        <f t="shared" ca="1" si="531"/>
        <v/>
      </c>
      <c r="CQ108" s="34" t="str">
        <f t="shared" ca="1" si="531"/>
        <v/>
      </c>
      <c r="CR108" s="34" t="str">
        <f t="shared" ca="1" si="531"/>
        <v/>
      </c>
      <c r="CS108" s="34" t="str">
        <f t="shared" ca="1" si="531"/>
        <v/>
      </c>
      <c r="CT108" s="34" t="str">
        <f t="shared" ca="1" si="531"/>
        <v/>
      </c>
      <c r="CU108" s="34" t="str">
        <f t="shared" ca="1" si="531"/>
        <v/>
      </c>
      <c r="CV108" s="34" t="str">
        <f t="shared" ca="1" si="531"/>
        <v/>
      </c>
      <c r="CW108" s="34" t="str">
        <f t="shared" ca="1" si="531"/>
        <v/>
      </c>
      <c r="CX108" s="34" t="str">
        <f t="shared" ca="1" si="531"/>
        <v/>
      </c>
      <c r="CY108" s="34" t="str">
        <f t="shared" ca="1" si="531"/>
        <v/>
      </c>
      <c r="CZ108" s="34" t="str">
        <f t="shared" ca="1" si="531"/>
        <v/>
      </c>
    </row>
    <row r="109" spans="1:104" ht="13.5" customHeight="1">
      <c r="A109" s="27">
        <v>95</v>
      </c>
      <c r="B109" s="33">
        <f t="shared" si="474"/>
        <v>109</v>
      </c>
      <c r="C109" s="8" t="s">
        <v>374</v>
      </c>
      <c r="D109" s="34">
        <f t="shared" ref="D109:AI109" ca="1" si="532">IF(D$89="","",IF(D$89=$M$2,C109,IF(D$11&lt;$D$7,OFFSET(INDIRECT($D$3),$A109-1,$Q$3+D$11),OFFSET(INDIRECT($D$4),$A109-1,$Q$4+D$11))))</f>
        <v>2014</v>
      </c>
      <c r="E109" s="34">
        <f t="shared" ca="1" si="532"/>
        <v>2583</v>
      </c>
      <c r="F109" s="34">
        <f t="shared" ca="1" si="532"/>
        <v>1683</v>
      </c>
      <c r="G109" s="34">
        <f t="shared" ca="1" si="532"/>
        <v>1892</v>
      </c>
      <c r="H109" s="34">
        <f t="shared" ca="1" si="532"/>
        <v>2014</v>
      </c>
      <c r="I109" s="34">
        <f t="shared" ca="1" si="532"/>
        <v>1937</v>
      </c>
      <c r="J109" s="34">
        <f t="shared" ca="1" si="532"/>
        <v>2253</v>
      </c>
      <c r="K109" s="34">
        <f t="shared" ca="1" si="532"/>
        <v>2309</v>
      </c>
      <c r="L109" s="34">
        <f t="shared" ca="1" si="532"/>
        <v>2583</v>
      </c>
      <c r="M109" s="34">
        <f t="shared" ca="1" si="532"/>
        <v>2895</v>
      </c>
      <c r="N109" s="34">
        <f t="shared" ca="1" si="532"/>
        <v>2895</v>
      </c>
      <c r="O109" s="34" t="str">
        <f t="shared" ca="1" si="532"/>
        <v/>
      </c>
      <c r="P109" s="34" t="str">
        <f t="shared" ca="1" si="532"/>
        <v/>
      </c>
      <c r="Q109" s="34" t="str">
        <f t="shared" ca="1" si="532"/>
        <v/>
      </c>
      <c r="R109" s="34" t="str">
        <f t="shared" ca="1" si="532"/>
        <v/>
      </c>
      <c r="S109" s="34" t="str">
        <f t="shared" ca="1" si="532"/>
        <v/>
      </c>
      <c r="T109" s="34" t="str">
        <f t="shared" ca="1" si="532"/>
        <v/>
      </c>
      <c r="U109" s="34" t="str">
        <f t="shared" ca="1" si="532"/>
        <v/>
      </c>
      <c r="V109" s="34" t="str">
        <f t="shared" ca="1" si="532"/>
        <v/>
      </c>
      <c r="W109" s="34" t="str">
        <f t="shared" ca="1" si="532"/>
        <v/>
      </c>
      <c r="X109" s="34" t="str">
        <f t="shared" ca="1" si="532"/>
        <v/>
      </c>
      <c r="Y109" s="34" t="str">
        <f t="shared" ca="1" si="532"/>
        <v/>
      </c>
      <c r="Z109" s="34" t="str">
        <f t="shared" ca="1" si="532"/>
        <v/>
      </c>
      <c r="AA109" s="34" t="str">
        <f t="shared" ca="1" si="532"/>
        <v/>
      </c>
      <c r="AB109" s="34" t="str">
        <f t="shared" ca="1" si="532"/>
        <v/>
      </c>
      <c r="AC109" s="34" t="str">
        <f t="shared" ca="1" si="532"/>
        <v/>
      </c>
      <c r="AD109" s="34" t="str">
        <f t="shared" ca="1" si="532"/>
        <v/>
      </c>
      <c r="AE109" s="34" t="str">
        <f t="shared" ca="1" si="532"/>
        <v/>
      </c>
      <c r="AF109" s="34" t="str">
        <f t="shared" ca="1" si="532"/>
        <v/>
      </c>
      <c r="AG109" s="34" t="str">
        <f t="shared" ca="1" si="532"/>
        <v/>
      </c>
      <c r="AH109" s="34" t="str">
        <f t="shared" ca="1" si="532"/>
        <v/>
      </c>
      <c r="AI109" s="34" t="str">
        <f t="shared" ca="1" si="532"/>
        <v/>
      </c>
      <c r="AJ109" s="34" t="str">
        <f t="shared" ref="AJ109:BO109" ca="1" si="533">IF(AJ$89="","",IF(AJ$89=$M$2,AI109,IF(AJ$11&lt;$D$7,OFFSET(INDIRECT($D$3),$A109-1,$Q$3+AJ$11),OFFSET(INDIRECT($D$4),$A109-1,$Q$4+AJ$11))))</f>
        <v/>
      </c>
      <c r="AK109" s="34" t="str">
        <f t="shared" ca="1" si="533"/>
        <v/>
      </c>
      <c r="AL109" s="34" t="str">
        <f t="shared" ca="1" si="533"/>
        <v/>
      </c>
      <c r="AM109" s="34" t="str">
        <f t="shared" ca="1" si="533"/>
        <v/>
      </c>
      <c r="AN109" s="34" t="str">
        <f t="shared" ca="1" si="533"/>
        <v/>
      </c>
      <c r="AO109" s="34" t="str">
        <f t="shared" ca="1" si="533"/>
        <v/>
      </c>
      <c r="AP109" s="34" t="str">
        <f t="shared" ca="1" si="533"/>
        <v/>
      </c>
      <c r="AQ109" s="34" t="str">
        <f t="shared" ca="1" si="533"/>
        <v/>
      </c>
      <c r="AR109" s="34" t="str">
        <f t="shared" ca="1" si="533"/>
        <v/>
      </c>
      <c r="AS109" s="34" t="str">
        <f t="shared" ca="1" si="533"/>
        <v/>
      </c>
      <c r="AT109" s="34" t="str">
        <f t="shared" ca="1" si="533"/>
        <v/>
      </c>
      <c r="AU109" s="34" t="str">
        <f t="shared" ca="1" si="533"/>
        <v/>
      </c>
      <c r="AV109" s="34" t="str">
        <f t="shared" ca="1" si="533"/>
        <v/>
      </c>
      <c r="AW109" s="34" t="str">
        <f t="shared" ca="1" si="533"/>
        <v/>
      </c>
      <c r="AX109" s="34" t="str">
        <f t="shared" ca="1" si="533"/>
        <v/>
      </c>
      <c r="AY109" s="34" t="str">
        <f t="shared" ca="1" si="533"/>
        <v/>
      </c>
      <c r="AZ109" s="34" t="str">
        <f t="shared" ca="1" si="533"/>
        <v/>
      </c>
      <c r="BA109" s="34" t="str">
        <f t="shared" ca="1" si="533"/>
        <v/>
      </c>
      <c r="BB109" s="34" t="str">
        <f t="shared" ca="1" si="533"/>
        <v/>
      </c>
      <c r="BC109" s="34" t="str">
        <f t="shared" ca="1" si="533"/>
        <v/>
      </c>
      <c r="BD109" s="34" t="str">
        <f t="shared" ca="1" si="533"/>
        <v/>
      </c>
      <c r="BE109" s="34" t="str">
        <f t="shared" ca="1" si="533"/>
        <v/>
      </c>
      <c r="BF109" s="34" t="str">
        <f t="shared" ca="1" si="533"/>
        <v/>
      </c>
      <c r="BG109" s="34" t="str">
        <f t="shared" ca="1" si="533"/>
        <v/>
      </c>
      <c r="BH109" s="34" t="str">
        <f t="shared" ca="1" si="533"/>
        <v/>
      </c>
      <c r="BI109" s="34" t="str">
        <f t="shared" ca="1" si="533"/>
        <v/>
      </c>
      <c r="BJ109" s="34" t="str">
        <f t="shared" ca="1" si="533"/>
        <v/>
      </c>
      <c r="BK109" s="34" t="str">
        <f t="shared" ca="1" si="533"/>
        <v/>
      </c>
      <c r="BL109" s="34" t="str">
        <f t="shared" ca="1" si="533"/>
        <v/>
      </c>
      <c r="BM109" s="34" t="str">
        <f t="shared" ca="1" si="533"/>
        <v/>
      </c>
      <c r="BN109" s="34" t="str">
        <f t="shared" ca="1" si="533"/>
        <v/>
      </c>
      <c r="BO109" s="34" t="str">
        <f t="shared" ca="1" si="533"/>
        <v/>
      </c>
      <c r="BP109" s="34" t="str">
        <f t="shared" ref="BP109:CZ109" ca="1" si="534">IF(BP$89="","",IF(BP$89=$M$2,BO109,IF(BP$11&lt;$D$7,OFFSET(INDIRECT($D$3),$A109-1,$Q$3+BP$11),OFFSET(INDIRECT($D$4),$A109-1,$Q$4+BP$11))))</f>
        <v/>
      </c>
      <c r="BQ109" s="34" t="str">
        <f t="shared" ca="1" si="534"/>
        <v/>
      </c>
      <c r="BR109" s="34" t="str">
        <f t="shared" ca="1" si="534"/>
        <v/>
      </c>
      <c r="BS109" s="34" t="str">
        <f t="shared" ca="1" si="534"/>
        <v/>
      </c>
      <c r="BT109" s="34" t="str">
        <f t="shared" ca="1" si="534"/>
        <v/>
      </c>
      <c r="BU109" s="34" t="str">
        <f t="shared" ca="1" si="534"/>
        <v/>
      </c>
      <c r="BV109" s="34" t="str">
        <f t="shared" ca="1" si="534"/>
        <v/>
      </c>
      <c r="BW109" s="34" t="str">
        <f t="shared" ca="1" si="534"/>
        <v/>
      </c>
      <c r="BX109" s="34" t="str">
        <f t="shared" ca="1" si="534"/>
        <v/>
      </c>
      <c r="BY109" s="34" t="str">
        <f t="shared" ca="1" si="534"/>
        <v/>
      </c>
      <c r="BZ109" s="34" t="str">
        <f t="shared" ca="1" si="534"/>
        <v/>
      </c>
      <c r="CA109" s="34" t="str">
        <f t="shared" ca="1" si="534"/>
        <v/>
      </c>
      <c r="CB109" s="34" t="str">
        <f t="shared" ca="1" si="534"/>
        <v/>
      </c>
      <c r="CC109" s="34" t="str">
        <f t="shared" ca="1" si="534"/>
        <v/>
      </c>
      <c r="CD109" s="34" t="str">
        <f t="shared" ca="1" si="534"/>
        <v/>
      </c>
      <c r="CE109" s="34" t="str">
        <f t="shared" ca="1" si="534"/>
        <v/>
      </c>
      <c r="CF109" s="34" t="str">
        <f t="shared" ca="1" si="534"/>
        <v/>
      </c>
      <c r="CG109" s="34" t="str">
        <f t="shared" ca="1" si="534"/>
        <v/>
      </c>
      <c r="CH109" s="34" t="str">
        <f t="shared" ca="1" si="534"/>
        <v/>
      </c>
      <c r="CI109" s="34" t="str">
        <f t="shared" ca="1" si="534"/>
        <v/>
      </c>
      <c r="CJ109" s="34" t="str">
        <f t="shared" ca="1" si="534"/>
        <v/>
      </c>
      <c r="CK109" s="34" t="str">
        <f t="shared" ca="1" si="534"/>
        <v/>
      </c>
      <c r="CL109" s="34" t="str">
        <f t="shared" ca="1" si="534"/>
        <v/>
      </c>
      <c r="CM109" s="34" t="str">
        <f t="shared" ca="1" si="534"/>
        <v/>
      </c>
      <c r="CN109" s="34" t="str">
        <f t="shared" ca="1" si="534"/>
        <v/>
      </c>
      <c r="CO109" s="34" t="str">
        <f t="shared" ca="1" si="534"/>
        <v/>
      </c>
      <c r="CP109" s="34" t="str">
        <f t="shared" ca="1" si="534"/>
        <v/>
      </c>
      <c r="CQ109" s="34" t="str">
        <f t="shared" ca="1" si="534"/>
        <v/>
      </c>
      <c r="CR109" s="34" t="str">
        <f t="shared" ca="1" si="534"/>
        <v/>
      </c>
      <c r="CS109" s="34" t="str">
        <f t="shared" ca="1" si="534"/>
        <v/>
      </c>
      <c r="CT109" s="34" t="str">
        <f t="shared" ca="1" si="534"/>
        <v/>
      </c>
      <c r="CU109" s="34" t="str">
        <f t="shared" ca="1" si="534"/>
        <v/>
      </c>
      <c r="CV109" s="34" t="str">
        <f t="shared" ca="1" si="534"/>
        <v/>
      </c>
      <c r="CW109" s="34" t="str">
        <f t="shared" ca="1" si="534"/>
        <v/>
      </c>
      <c r="CX109" s="34" t="str">
        <f t="shared" ca="1" si="534"/>
        <v/>
      </c>
      <c r="CY109" s="34" t="str">
        <f t="shared" ca="1" si="534"/>
        <v/>
      </c>
      <c r="CZ109" s="34" t="str">
        <f t="shared" ca="1" si="534"/>
        <v/>
      </c>
    </row>
    <row r="110" spans="1:104" ht="13.5" customHeight="1">
      <c r="A110" s="27">
        <v>96</v>
      </c>
      <c r="B110" s="33">
        <f t="shared" si="474"/>
        <v>110</v>
      </c>
      <c r="C110" s="8" t="s">
        <v>372</v>
      </c>
      <c r="D110" s="34">
        <f t="shared" ref="D110:AI110" ca="1" si="535">IF(D$89="","",IF(D$89=$M$2,C110,IF(D$11&lt;$D$7,OFFSET(INDIRECT($D$3),$A110-1,$Q$3+D$11),OFFSET(INDIRECT($D$4),$A110-1,$Q$4+D$11))))</f>
        <v>4529</v>
      </c>
      <c r="E110" s="34">
        <f t="shared" ca="1" si="535"/>
        <v>6458</v>
      </c>
      <c r="F110" s="34">
        <f t="shared" ca="1" si="535"/>
        <v>4055</v>
      </c>
      <c r="G110" s="34">
        <f t="shared" ca="1" si="535"/>
        <v>4251</v>
      </c>
      <c r="H110" s="34">
        <f t="shared" ca="1" si="535"/>
        <v>4529</v>
      </c>
      <c r="I110" s="34">
        <f t="shared" ca="1" si="535"/>
        <v>4958</v>
      </c>
      <c r="J110" s="34">
        <f t="shared" ca="1" si="535"/>
        <v>5050</v>
      </c>
      <c r="K110" s="34">
        <f t="shared" ca="1" si="535"/>
        <v>6560</v>
      </c>
      <c r="L110" s="34">
        <f t="shared" ca="1" si="535"/>
        <v>6458</v>
      </c>
      <c r="M110" s="34">
        <f t="shared" ca="1" si="535"/>
        <v>6644</v>
      </c>
      <c r="N110" s="34">
        <f t="shared" ca="1" si="535"/>
        <v>6644</v>
      </c>
      <c r="O110" s="34" t="str">
        <f t="shared" ca="1" si="535"/>
        <v/>
      </c>
      <c r="P110" s="34" t="str">
        <f t="shared" ca="1" si="535"/>
        <v/>
      </c>
      <c r="Q110" s="34" t="str">
        <f t="shared" ca="1" si="535"/>
        <v/>
      </c>
      <c r="R110" s="34" t="str">
        <f t="shared" ca="1" si="535"/>
        <v/>
      </c>
      <c r="S110" s="34" t="str">
        <f t="shared" ca="1" si="535"/>
        <v/>
      </c>
      <c r="T110" s="34" t="str">
        <f t="shared" ca="1" si="535"/>
        <v/>
      </c>
      <c r="U110" s="34" t="str">
        <f t="shared" ca="1" si="535"/>
        <v/>
      </c>
      <c r="V110" s="34" t="str">
        <f t="shared" ca="1" si="535"/>
        <v/>
      </c>
      <c r="W110" s="34" t="str">
        <f t="shared" ca="1" si="535"/>
        <v/>
      </c>
      <c r="X110" s="34" t="str">
        <f t="shared" ca="1" si="535"/>
        <v/>
      </c>
      <c r="Y110" s="34" t="str">
        <f t="shared" ca="1" si="535"/>
        <v/>
      </c>
      <c r="Z110" s="34" t="str">
        <f t="shared" ca="1" si="535"/>
        <v/>
      </c>
      <c r="AA110" s="34" t="str">
        <f t="shared" ca="1" si="535"/>
        <v/>
      </c>
      <c r="AB110" s="34" t="str">
        <f t="shared" ca="1" si="535"/>
        <v/>
      </c>
      <c r="AC110" s="34" t="str">
        <f t="shared" ca="1" si="535"/>
        <v/>
      </c>
      <c r="AD110" s="34" t="str">
        <f t="shared" ca="1" si="535"/>
        <v/>
      </c>
      <c r="AE110" s="34" t="str">
        <f t="shared" ca="1" si="535"/>
        <v/>
      </c>
      <c r="AF110" s="34" t="str">
        <f t="shared" ca="1" si="535"/>
        <v/>
      </c>
      <c r="AG110" s="34" t="str">
        <f t="shared" ca="1" si="535"/>
        <v/>
      </c>
      <c r="AH110" s="34" t="str">
        <f t="shared" ca="1" si="535"/>
        <v/>
      </c>
      <c r="AI110" s="34" t="str">
        <f t="shared" ca="1" si="535"/>
        <v/>
      </c>
      <c r="AJ110" s="34" t="str">
        <f t="shared" ref="AJ110:BO110" ca="1" si="536">IF(AJ$89="","",IF(AJ$89=$M$2,AI110,IF(AJ$11&lt;$D$7,OFFSET(INDIRECT($D$3),$A110-1,$Q$3+AJ$11),OFFSET(INDIRECT($D$4),$A110-1,$Q$4+AJ$11))))</f>
        <v/>
      </c>
      <c r="AK110" s="34" t="str">
        <f t="shared" ca="1" si="536"/>
        <v/>
      </c>
      <c r="AL110" s="34" t="str">
        <f t="shared" ca="1" si="536"/>
        <v/>
      </c>
      <c r="AM110" s="34" t="str">
        <f t="shared" ca="1" si="536"/>
        <v/>
      </c>
      <c r="AN110" s="34" t="str">
        <f t="shared" ca="1" si="536"/>
        <v/>
      </c>
      <c r="AO110" s="34" t="str">
        <f t="shared" ca="1" si="536"/>
        <v/>
      </c>
      <c r="AP110" s="34" t="str">
        <f t="shared" ca="1" si="536"/>
        <v/>
      </c>
      <c r="AQ110" s="34" t="str">
        <f t="shared" ca="1" si="536"/>
        <v/>
      </c>
      <c r="AR110" s="34" t="str">
        <f t="shared" ca="1" si="536"/>
        <v/>
      </c>
      <c r="AS110" s="34" t="str">
        <f t="shared" ca="1" si="536"/>
        <v/>
      </c>
      <c r="AT110" s="34" t="str">
        <f t="shared" ca="1" si="536"/>
        <v/>
      </c>
      <c r="AU110" s="34" t="str">
        <f t="shared" ca="1" si="536"/>
        <v/>
      </c>
      <c r="AV110" s="34" t="str">
        <f t="shared" ca="1" si="536"/>
        <v/>
      </c>
      <c r="AW110" s="34" t="str">
        <f t="shared" ca="1" si="536"/>
        <v/>
      </c>
      <c r="AX110" s="34" t="str">
        <f t="shared" ca="1" si="536"/>
        <v/>
      </c>
      <c r="AY110" s="34" t="str">
        <f t="shared" ca="1" si="536"/>
        <v/>
      </c>
      <c r="AZ110" s="34" t="str">
        <f t="shared" ca="1" si="536"/>
        <v/>
      </c>
      <c r="BA110" s="34" t="str">
        <f t="shared" ca="1" si="536"/>
        <v/>
      </c>
      <c r="BB110" s="34" t="str">
        <f t="shared" ca="1" si="536"/>
        <v/>
      </c>
      <c r="BC110" s="34" t="str">
        <f t="shared" ca="1" si="536"/>
        <v/>
      </c>
      <c r="BD110" s="34" t="str">
        <f t="shared" ca="1" si="536"/>
        <v/>
      </c>
      <c r="BE110" s="34" t="str">
        <f t="shared" ca="1" si="536"/>
        <v/>
      </c>
      <c r="BF110" s="34" t="str">
        <f t="shared" ca="1" si="536"/>
        <v/>
      </c>
      <c r="BG110" s="34" t="str">
        <f t="shared" ca="1" si="536"/>
        <v/>
      </c>
      <c r="BH110" s="34" t="str">
        <f t="shared" ca="1" si="536"/>
        <v/>
      </c>
      <c r="BI110" s="34" t="str">
        <f t="shared" ca="1" si="536"/>
        <v/>
      </c>
      <c r="BJ110" s="34" t="str">
        <f t="shared" ca="1" si="536"/>
        <v/>
      </c>
      <c r="BK110" s="34" t="str">
        <f t="shared" ca="1" si="536"/>
        <v/>
      </c>
      <c r="BL110" s="34" t="str">
        <f t="shared" ca="1" si="536"/>
        <v/>
      </c>
      <c r="BM110" s="34" t="str">
        <f t="shared" ca="1" si="536"/>
        <v/>
      </c>
      <c r="BN110" s="34" t="str">
        <f t="shared" ca="1" si="536"/>
        <v/>
      </c>
      <c r="BO110" s="34" t="str">
        <f t="shared" ca="1" si="536"/>
        <v/>
      </c>
      <c r="BP110" s="34" t="str">
        <f t="shared" ref="BP110:CZ110" ca="1" si="537">IF(BP$89="","",IF(BP$89=$M$2,BO110,IF(BP$11&lt;$D$7,OFFSET(INDIRECT($D$3),$A110-1,$Q$3+BP$11),OFFSET(INDIRECT($D$4),$A110-1,$Q$4+BP$11))))</f>
        <v/>
      </c>
      <c r="BQ110" s="34" t="str">
        <f t="shared" ca="1" si="537"/>
        <v/>
      </c>
      <c r="BR110" s="34" t="str">
        <f t="shared" ca="1" si="537"/>
        <v/>
      </c>
      <c r="BS110" s="34" t="str">
        <f t="shared" ca="1" si="537"/>
        <v/>
      </c>
      <c r="BT110" s="34" t="str">
        <f t="shared" ca="1" si="537"/>
        <v/>
      </c>
      <c r="BU110" s="34" t="str">
        <f t="shared" ca="1" si="537"/>
        <v/>
      </c>
      <c r="BV110" s="34" t="str">
        <f t="shared" ca="1" si="537"/>
        <v/>
      </c>
      <c r="BW110" s="34" t="str">
        <f t="shared" ca="1" si="537"/>
        <v/>
      </c>
      <c r="BX110" s="34" t="str">
        <f t="shared" ca="1" si="537"/>
        <v/>
      </c>
      <c r="BY110" s="34" t="str">
        <f t="shared" ca="1" si="537"/>
        <v/>
      </c>
      <c r="BZ110" s="34" t="str">
        <f t="shared" ca="1" si="537"/>
        <v/>
      </c>
      <c r="CA110" s="34" t="str">
        <f t="shared" ca="1" si="537"/>
        <v/>
      </c>
      <c r="CB110" s="34" t="str">
        <f t="shared" ca="1" si="537"/>
        <v/>
      </c>
      <c r="CC110" s="34" t="str">
        <f t="shared" ca="1" si="537"/>
        <v/>
      </c>
      <c r="CD110" s="34" t="str">
        <f t="shared" ca="1" si="537"/>
        <v/>
      </c>
      <c r="CE110" s="34" t="str">
        <f t="shared" ca="1" si="537"/>
        <v/>
      </c>
      <c r="CF110" s="34" t="str">
        <f t="shared" ca="1" si="537"/>
        <v/>
      </c>
      <c r="CG110" s="34" t="str">
        <f t="shared" ca="1" si="537"/>
        <v/>
      </c>
      <c r="CH110" s="34" t="str">
        <f t="shared" ca="1" si="537"/>
        <v/>
      </c>
      <c r="CI110" s="34" t="str">
        <f t="shared" ca="1" si="537"/>
        <v/>
      </c>
      <c r="CJ110" s="34" t="str">
        <f t="shared" ca="1" si="537"/>
        <v/>
      </c>
      <c r="CK110" s="34" t="str">
        <f t="shared" ca="1" si="537"/>
        <v/>
      </c>
      <c r="CL110" s="34" t="str">
        <f t="shared" ca="1" si="537"/>
        <v/>
      </c>
      <c r="CM110" s="34" t="str">
        <f t="shared" ca="1" si="537"/>
        <v/>
      </c>
      <c r="CN110" s="34" t="str">
        <f t="shared" ca="1" si="537"/>
        <v/>
      </c>
      <c r="CO110" s="34" t="str">
        <f t="shared" ca="1" si="537"/>
        <v/>
      </c>
      <c r="CP110" s="34" t="str">
        <f t="shared" ca="1" si="537"/>
        <v/>
      </c>
      <c r="CQ110" s="34" t="str">
        <f t="shared" ca="1" si="537"/>
        <v/>
      </c>
      <c r="CR110" s="34" t="str">
        <f t="shared" ca="1" si="537"/>
        <v/>
      </c>
      <c r="CS110" s="34" t="str">
        <f t="shared" ca="1" si="537"/>
        <v/>
      </c>
      <c r="CT110" s="34" t="str">
        <f t="shared" ca="1" si="537"/>
        <v/>
      </c>
      <c r="CU110" s="34" t="str">
        <f t="shared" ca="1" si="537"/>
        <v/>
      </c>
      <c r="CV110" s="34" t="str">
        <f t="shared" ca="1" si="537"/>
        <v/>
      </c>
      <c r="CW110" s="34" t="str">
        <f t="shared" ca="1" si="537"/>
        <v/>
      </c>
      <c r="CX110" s="34" t="str">
        <f t="shared" ca="1" si="537"/>
        <v/>
      </c>
      <c r="CY110" s="34" t="str">
        <f t="shared" ca="1" si="537"/>
        <v/>
      </c>
      <c r="CZ110" s="34" t="str">
        <f t="shared" ca="1" si="537"/>
        <v/>
      </c>
    </row>
    <row r="111" spans="1:104" ht="13.5" customHeight="1">
      <c r="A111" s="27">
        <v>97</v>
      </c>
      <c r="B111" s="33">
        <f t="shared" si="474"/>
        <v>111</v>
      </c>
      <c r="C111" s="9" t="s">
        <v>375</v>
      </c>
      <c r="D111" s="34">
        <f t="shared" ref="D111:AI111" ca="1" si="538">IF(D$89="","",IF(D$89=$M$2,C111,IF(D$11&lt;$D$7,OFFSET(INDIRECT($D$3),$A111-1,$Q$3+D$11),OFFSET(INDIRECT($D$4),$A111-1,$Q$4+D$11))))</f>
        <v>44988</v>
      </c>
      <c r="E111" s="34">
        <f t="shared" ca="1" si="538"/>
        <v>57653</v>
      </c>
      <c r="F111" s="34">
        <f t="shared" ca="1" si="538"/>
        <v>46997</v>
      </c>
      <c r="G111" s="34">
        <f t="shared" ca="1" si="538"/>
        <v>46898</v>
      </c>
      <c r="H111" s="34">
        <f t="shared" ca="1" si="538"/>
        <v>44988</v>
      </c>
      <c r="I111" s="34">
        <f t="shared" ca="1" si="538"/>
        <v>54771</v>
      </c>
      <c r="J111" s="34">
        <f t="shared" ca="1" si="538"/>
        <v>50712</v>
      </c>
      <c r="K111" s="34">
        <f t="shared" ca="1" si="538"/>
        <v>51943</v>
      </c>
      <c r="L111" s="34">
        <f t="shared" ca="1" si="538"/>
        <v>57653</v>
      </c>
      <c r="M111" s="34">
        <f t="shared" ca="1" si="538"/>
        <v>72348</v>
      </c>
      <c r="N111" s="34">
        <f t="shared" ca="1" si="538"/>
        <v>72348</v>
      </c>
      <c r="O111" s="34" t="str">
        <f t="shared" ca="1" si="538"/>
        <v/>
      </c>
      <c r="P111" s="34" t="str">
        <f t="shared" ca="1" si="538"/>
        <v/>
      </c>
      <c r="Q111" s="34" t="str">
        <f t="shared" ca="1" si="538"/>
        <v/>
      </c>
      <c r="R111" s="34" t="str">
        <f t="shared" ca="1" si="538"/>
        <v/>
      </c>
      <c r="S111" s="34" t="str">
        <f t="shared" ca="1" si="538"/>
        <v/>
      </c>
      <c r="T111" s="34" t="str">
        <f t="shared" ca="1" si="538"/>
        <v/>
      </c>
      <c r="U111" s="34" t="str">
        <f t="shared" ca="1" si="538"/>
        <v/>
      </c>
      <c r="V111" s="34" t="str">
        <f t="shared" ca="1" si="538"/>
        <v/>
      </c>
      <c r="W111" s="34" t="str">
        <f t="shared" ca="1" si="538"/>
        <v/>
      </c>
      <c r="X111" s="34" t="str">
        <f t="shared" ca="1" si="538"/>
        <v/>
      </c>
      <c r="Y111" s="34" t="str">
        <f t="shared" ca="1" si="538"/>
        <v/>
      </c>
      <c r="Z111" s="34" t="str">
        <f t="shared" ca="1" si="538"/>
        <v/>
      </c>
      <c r="AA111" s="34" t="str">
        <f t="shared" ca="1" si="538"/>
        <v/>
      </c>
      <c r="AB111" s="34" t="str">
        <f t="shared" ca="1" si="538"/>
        <v/>
      </c>
      <c r="AC111" s="34" t="str">
        <f t="shared" ca="1" si="538"/>
        <v/>
      </c>
      <c r="AD111" s="34" t="str">
        <f t="shared" ca="1" si="538"/>
        <v/>
      </c>
      <c r="AE111" s="34" t="str">
        <f t="shared" ca="1" si="538"/>
        <v/>
      </c>
      <c r="AF111" s="34" t="str">
        <f t="shared" ca="1" si="538"/>
        <v/>
      </c>
      <c r="AG111" s="34" t="str">
        <f t="shared" ca="1" si="538"/>
        <v/>
      </c>
      <c r="AH111" s="34" t="str">
        <f t="shared" ca="1" si="538"/>
        <v/>
      </c>
      <c r="AI111" s="34" t="str">
        <f t="shared" ca="1" si="538"/>
        <v/>
      </c>
      <c r="AJ111" s="34" t="str">
        <f t="shared" ref="AJ111:BO111" ca="1" si="539">IF(AJ$89="","",IF(AJ$89=$M$2,AI111,IF(AJ$11&lt;$D$7,OFFSET(INDIRECT($D$3),$A111-1,$Q$3+AJ$11),OFFSET(INDIRECT($D$4),$A111-1,$Q$4+AJ$11))))</f>
        <v/>
      </c>
      <c r="AK111" s="34" t="str">
        <f t="shared" ca="1" si="539"/>
        <v/>
      </c>
      <c r="AL111" s="34" t="str">
        <f t="shared" ca="1" si="539"/>
        <v/>
      </c>
      <c r="AM111" s="34" t="str">
        <f t="shared" ca="1" si="539"/>
        <v/>
      </c>
      <c r="AN111" s="34" t="str">
        <f t="shared" ca="1" si="539"/>
        <v/>
      </c>
      <c r="AO111" s="34" t="str">
        <f t="shared" ca="1" si="539"/>
        <v/>
      </c>
      <c r="AP111" s="34" t="str">
        <f t="shared" ca="1" si="539"/>
        <v/>
      </c>
      <c r="AQ111" s="34" t="str">
        <f t="shared" ca="1" si="539"/>
        <v/>
      </c>
      <c r="AR111" s="34" t="str">
        <f t="shared" ca="1" si="539"/>
        <v/>
      </c>
      <c r="AS111" s="34" t="str">
        <f t="shared" ca="1" si="539"/>
        <v/>
      </c>
      <c r="AT111" s="34" t="str">
        <f t="shared" ca="1" si="539"/>
        <v/>
      </c>
      <c r="AU111" s="34" t="str">
        <f t="shared" ca="1" si="539"/>
        <v/>
      </c>
      <c r="AV111" s="34" t="str">
        <f t="shared" ca="1" si="539"/>
        <v/>
      </c>
      <c r="AW111" s="34" t="str">
        <f t="shared" ca="1" si="539"/>
        <v/>
      </c>
      <c r="AX111" s="34" t="str">
        <f t="shared" ca="1" si="539"/>
        <v/>
      </c>
      <c r="AY111" s="34" t="str">
        <f t="shared" ca="1" si="539"/>
        <v/>
      </c>
      <c r="AZ111" s="34" t="str">
        <f t="shared" ca="1" si="539"/>
        <v/>
      </c>
      <c r="BA111" s="34" t="str">
        <f t="shared" ca="1" si="539"/>
        <v/>
      </c>
      <c r="BB111" s="34" t="str">
        <f t="shared" ca="1" si="539"/>
        <v/>
      </c>
      <c r="BC111" s="34" t="str">
        <f t="shared" ca="1" si="539"/>
        <v/>
      </c>
      <c r="BD111" s="34" t="str">
        <f t="shared" ca="1" si="539"/>
        <v/>
      </c>
      <c r="BE111" s="34" t="str">
        <f t="shared" ca="1" si="539"/>
        <v/>
      </c>
      <c r="BF111" s="34" t="str">
        <f t="shared" ca="1" si="539"/>
        <v/>
      </c>
      <c r="BG111" s="34" t="str">
        <f t="shared" ca="1" si="539"/>
        <v/>
      </c>
      <c r="BH111" s="34" t="str">
        <f t="shared" ca="1" si="539"/>
        <v/>
      </c>
      <c r="BI111" s="34" t="str">
        <f t="shared" ca="1" si="539"/>
        <v/>
      </c>
      <c r="BJ111" s="34" t="str">
        <f t="shared" ca="1" si="539"/>
        <v/>
      </c>
      <c r="BK111" s="34" t="str">
        <f t="shared" ca="1" si="539"/>
        <v/>
      </c>
      <c r="BL111" s="34" t="str">
        <f t="shared" ca="1" si="539"/>
        <v/>
      </c>
      <c r="BM111" s="34" t="str">
        <f t="shared" ca="1" si="539"/>
        <v/>
      </c>
      <c r="BN111" s="34" t="str">
        <f t="shared" ca="1" si="539"/>
        <v/>
      </c>
      <c r="BO111" s="34" t="str">
        <f t="shared" ca="1" si="539"/>
        <v/>
      </c>
      <c r="BP111" s="34" t="str">
        <f t="shared" ref="BP111:CZ111" ca="1" si="540">IF(BP$89="","",IF(BP$89=$M$2,BO111,IF(BP$11&lt;$D$7,OFFSET(INDIRECT($D$3),$A111-1,$Q$3+BP$11),OFFSET(INDIRECT($D$4),$A111-1,$Q$4+BP$11))))</f>
        <v/>
      </c>
      <c r="BQ111" s="34" t="str">
        <f t="shared" ca="1" si="540"/>
        <v/>
      </c>
      <c r="BR111" s="34" t="str">
        <f t="shared" ca="1" si="540"/>
        <v/>
      </c>
      <c r="BS111" s="34" t="str">
        <f t="shared" ca="1" si="540"/>
        <v/>
      </c>
      <c r="BT111" s="34" t="str">
        <f t="shared" ca="1" si="540"/>
        <v/>
      </c>
      <c r="BU111" s="34" t="str">
        <f t="shared" ca="1" si="540"/>
        <v/>
      </c>
      <c r="BV111" s="34" t="str">
        <f t="shared" ca="1" si="540"/>
        <v/>
      </c>
      <c r="BW111" s="34" t="str">
        <f t="shared" ca="1" si="540"/>
        <v/>
      </c>
      <c r="BX111" s="34" t="str">
        <f t="shared" ca="1" si="540"/>
        <v/>
      </c>
      <c r="BY111" s="34" t="str">
        <f t="shared" ca="1" si="540"/>
        <v/>
      </c>
      <c r="BZ111" s="34" t="str">
        <f t="shared" ca="1" si="540"/>
        <v/>
      </c>
      <c r="CA111" s="34" t="str">
        <f t="shared" ca="1" si="540"/>
        <v/>
      </c>
      <c r="CB111" s="34" t="str">
        <f t="shared" ca="1" si="540"/>
        <v/>
      </c>
      <c r="CC111" s="34" t="str">
        <f t="shared" ca="1" si="540"/>
        <v/>
      </c>
      <c r="CD111" s="34" t="str">
        <f t="shared" ca="1" si="540"/>
        <v/>
      </c>
      <c r="CE111" s="34" t="str">
        <f t="shared" ca="1" si="540"/>
        <v/>
      </c>
      <c r="CF111" s="34" t="str">
        <f t="shared" ca="1" si="540"/>
        <v/>
      </c>
      <c r="CG111" s="34" t="str">
        <f t="shared" ca="1" si="540"/>
        <v/>
      </c>
      <c r="CH111" s="34" t="str">
        <f t="shared" ca="1" si="540"/>
        <v/>
      </c>
      <c r="CI111" s="34" t="str">
        <f t="shared" ca="1" si="540"/>
        <v/>
      </c>
      <c r="CJ111" s="34" t="str">
        <f t="shared" ca="1" si="540"/>
        <v/>
      </c>
      <c r="CK111" s="34" t="str">
        <f t="shared" ca="1" si="540"/>
        <v/>
      </c>
      <c r="CL111" s="34" t="str">
        <f t="shared" ca="1" si="540"/>
        <v/>
      </c>
      <c r="CM111" s="34" t="str">
        <f t="shared" ca="1" si="540"/>
        <v/>
      </c>
      <c r="CN111" s="34" t="str">
        <f t="shared" ca="1" si="540"/>
        <v/>
      </c>
      <c r="CO111" s="34" t="str">
        <f t="shared" ca="1" si="540"/>
        <v/>
      </c>
      <c r="CP111" s="34" t="str">
        <f t="shared" ca="1" si="540"/>
        <v/>
      </c>
      <c r="CQ111" s="34" t="str">
        <f t="shared" ca="1" si="540"/>
        <v/>
      </c>
      <c r="CR111" s="34" t="str">
        <f t="shared" ca="1" si="540"/>
        <v/>
      </c>
      <c r="CS111" s="34" t="str">
        <f t="shared" ca="1" si="540"/>
        <v/>
      </c>
      <c r="CT111" s="34" t="str">
        <f t="shared" ca="1" si="540"/>
        <v/>
      </c>
      <c r="CU111" s="34" t="str">
        <f t="shared" ca="1" si="540"/>
        <v/>
      </c>
      <c r="CV111" s="34" t="str">
        <f t="shared" ca="1" si="540"/>
        <v/>
      </c>
      <c r="CW111" s="34" t="str">
        <f t="shared" ca="1" si="540"/>
        <v/>
      </c>
      <c r="CX111" s="34" t="str">
        <f t="shared" ca="1" si="540"/>
        <v/>
      </c>
      <c r="CY111" s="34" t="str">
        <f t="shared" ca="1" si="540"/>
        <v/>
      </c>
      <c r="CZ111" s="34" t="str">
        <f t="shared" ca="1" si="540"/>
        <v/>
      </c>
    </row>
    <row r="112" spans="1:104" ht="13.5" customHeight="1">
      <c r="A112" s="27">
        <v>103</v>
      </c>
      <c r="B112" s="33">
        <f t="shared" si="474"/>
        <v>112</v>
      </c>
      <c r="C112" s="9" t="s">
        <v>376</v>
      </c>
      <c r="D112" s="34">
        <f t="shared" ref="D112:AI112" ca="1" si="541">IF(D$89="","",IF(D$89=$M$2,C112,IF(D$11&lt;$D$7,OFFSET(INDIRECT($D$3),$A112-1,$Q$3+D$11),OFFSET(INDIRECT($D$4),$A112-1,$Q$4+D$11))))</f>
        <v>11768</v>
      </c>
      <c r="E112" s="34">
        <f t="shared" ca="1" si="541"/>
        <v>21887</v>
      </c>
      <c r="F112" s="34">
        <f t="shared" ca="1" si="541"/>
        <v>9416</v>
      </c>
      <c r="G112" s="34">
        <f t="shared" ca="1" si="541"/>
        <v>10348</v>
      </c>
      <c r="H112" s="34">
        <f t="shared" ca="1" si="541"/>
        <v>11768</v>
      </c>
      <c r="I112" s="34">
        <f t="shared" ca="1" si="541"/>
        <v>12340</v>
      </c>
      <c r="J112" s="34">
        <f t="shared" ca="1" si="541"/>
        <v>13941</v>
      </c>
      <c r="K112" s="34">
        <f t="shared" ca="1" si="541"/>
        <v>16205</v>
      </c>
      <c r="L112" s="34">
        <f t="shared" ca="1" si="541"/>
        <v>21887</v>
      </c>
      <c r="M112" s="34">
        <f t="shared" ca="1" si="541"/>
        <v>23214</v>
      </c>
      <c r="N112" s="34">
        <f t="shared" ca="1" si="541"/>
        <v>23214</v>
      </c>
      <c r="O112" s="34" t="str">
        <f t="shared" ca="1" si="541"/>
        <v/>
      </c>
      <c r="P112" s="34" t="str">
        <f t="shared" ca="1" si="541"/>
        <v/>
      </c>
      <c r="Q112" s="34" t="str">
        <f t="shared" ca="1" si="541"/>
        <v/>
      </c>
      <c r="R112" s="34" t="str">
        <f t="shared" ca="1" si="541"/>
        <v/>
      </c>
      <c r="S112" s="34" t="str">
        <f t="shared" ca="1" si="541"/>
        <v/>
      </c>
      <c r="T112" s="34" t="str">
        <f t="shared" ca="1" si="541"/>
        <v/>
      </c>
      <c r="U112" s="34" t="str">
        <f t="shared" ca="1" si="541"/>
        <v/>
      </c>
      <c r="V112" s="34" t="str">
        <f t="shared" ca="1" si="541"/>
        <v/>
      </c>
      <c r="W112" s="34" t="str">
        <f t="shared" ca="1" si="541"/>
        <v/>
      </c>
      <c r="X112" s="34" t="str">
        <f t="shared" ca="1" si="541"/>
        <v/>
      </c>
      <c r="Y112" s="34" t="str">
        <f t="shared" ca="1" si="541"/>
        <v/>
      </c>
      <c r="Z112" s="34" t="str">
        <f t="shared" ca="1" si="541"/>
        <v/>
      </c>
      <c r="AA112" s="34" t="str">
        <f t="shared" ca="1" si="541"/>
        <v/>
      </c>
      <c r="AB112" s="34" t="str">
        <f t="shared" ca="1" si="541"/>
        <v/>
      </c>
      <c r="AC112" s="34" t="str">
        <f t="shared" ca="1" si="541"/>
        <v/>
      </c>
      <c r="AD112" s="34" t="str">
        <f t="shared" ca="1" si="541"/>
        <v/>
      </c>
      <c r="AE112" s="34" t="str">
        <f t="shared" ca="1" si="541"/>
        <v/>
      </c>
      <c r="AF112" s="34" t="str">
        <f t="shared" ca="1" si="541"/>
        <v/>
      </c>
      <c r="AG112" s="34" t="str">
        <f t="shared" ca="1" si="541"/>
        <v/>
      </c>
      <c r="AH112" s="34" t="str">
        <f t="shared" ca="1" si="541"/>
        <v/>
      </c>
      <c r="AI112" s="34" t="str">
        <f t="shared" ca="1" si="541"/>
        <v/>
      </c>
      <c r="AJ112" s="34" t="str">
        <f t="shared" ref="AJ112:BO112" ca="1" si="542">IF(AJ$89="","",IF(AJ$89=$M$2,AI112,IF(AJ$11&lt;$D$7,OFFSET(INDIRECT($D$3),$A112-1,$Q$3+AJ$11),OFFSET(INDIRECT($D$4),$A112-1,$Q$4+AJ$11))))</f>
        <v/>
      </c>
      <c r="AK112" s="34" t="str">
        <f t="shared" ca="1" si="542"/>
        <v/>
      </c>
      <c r="AL112" s="34" t="str">
        <f t="shared" ca="1" si="542"/>
        <v/>
      </c>
      <c r="AM112" s="34" t="str">
        <f t="shared" ca="1" si="542"/>
        <v/>
      </c>
      <c r="AN112" s="34" t="str">
        <f t="shared" ca="1" si="542"/>
        <v/>
      </c>
      <c r="AO112" s="34" t="str">
        <f t="shared" ca="1" si="542"/>
        <v/>
      </c>
      <c r="AP112" s="34" t="str">
        <f t="shared" ca="1" si="542"/>
        <v/>
      </c>
      <c r="AQ112" s="34" t="str">
        <f t="shared" ca="1" si="542"/>
        <v/>
      </c>
      <c r="AR112" s="34" t="str">
        <f t="shared" ca="1" si="542"/>
        <v/>
      </c>
      <c r="AS112" s="34" t="str">
        <f t="shared" ca="1" si="542"/>
        <v/>
      </c>
      <c r="AT112" s="34" t="str">
        <f t="shared" ca="1" si="542"/>
        <v/>
      </c>
      <c r="AU112" s="34" t="str">
        <f t="shared" ca="1" si="542"/>
        <v/>
      </c>
      <c r="AV112" s="34" t="str">
        <f t="shared" ca="1" si="542"/>
        <v/>
      </c>
      <c r="AW112" s="34" t="str">
        <f t="shared" ca="1" si="542"/>
        <v/>
      </c>
      <c r="AX112" s="34" t="str">
        <f t="shared" ca="1" si="542"/>
        <v/>
      </c>
      <c r="AY112" s="34" t="str">
        <f t="shared" ca="1" si="542"/>
        <v/>
      </c>
      <c r="AZ112" s="34" t="str">
        <f t="shared" ca="1" si="542"/>
        <v/>
      </c>
      <c r="BA112" s="34" t="str">
        <f t="shared" ca="1" si="542"/>
        <v/>
      </c>
      <c r="BB112" s="34" t="str">
        <f t="shared" ca="1" si="542"/>
        <v/>
      </c>
      <c r="BC112" s="34" t="str">
        <f t="shared" ca="1" si="542"/>
        <v/>
      </c>
      <c r="BD112" s="34" t="str">
        <f t="shared" ca="1" si="542"/>
        <v/>
      </c>
      <c r="BE112" s="34" t="str">
        <f t="shared" ca="1" si="542"/>
        <v/>
      </c>
      <c r="BF112" s="34" t="str">
        <f t="shared" ca="1" si="542"/>
        <v/>
      </c>
      <c r="BG112" s="34" t="str">
        <f t="shared" ca="1" si="542"/>
        <v/>
      </c>
      <c r="BH112" s="34" t="str">
        <f t="shared" ca="1" si="542"/>
        <v/>
      </c>
      <c r="BI112" s="34" t="str">
        <f t="shared" ca="1" si="542"/>
        <v/>
      </c>
      <c r="BJ112" s="34" t="str">
        <f t="shared" ca="1" si="542"/>
        <v/>
      </c>
      <c r="BK112" s="34" t="str">
        <f t="shared" ca="1" si="542"/>
        <v/>
      </c>
      <c r="BL112" s="34" t="str">
        <f t="shared" ca="1" si="542"/>
        <v/>
      </c>
      <c r="BM112" s="34" t="str">
        <f t="shared" ca="1" si="542"/>
        <v/>
      </c>
      <c r="BN112" s="34" t="str">
        <f t="shared" ca="1" si="542"/>
        <v/>
      </c>
      <c r="BO112" s="34" t="str">
        <f t="shared" ca="1" si="542"/>
        <v/>
      </c>
      <c r="BP112" s="34" t="str">
        <f t="shared" ref="BP112:CZ112" ca="1" si="543">IF(BP$89="","",IF(BP$89=$M$2,BO112,IF(BP$11&lt;$D$7,OFFSET(INDIRECT($D$3),$A112-1,$Q$3+BP$11),OFFSET(INDIRECT($D$4),$A112-1,$Q$4+BP$11))))</f>
        <v/>
      </c>
      <c r="BQ112" s="34" t="str">
        <f t="shared" ca="1" si="543"/>
        <v/>
      </c>
      <c r="BR112" s="34" t="str">
        <f t="shared" ca="1" si="543"/>
        <v/>
      </c>
      <c r="BS112" s="34" t="str">
        <f t="shared" ca="1" si="543"/>
        <v/>
      </c>
      <c r="BT112" s="34" t="str">
        <f t="shared" ca="1" si="543"/>
        <v/>
      </c>
      <c r="BU112" s="34" t="str">
        <f t="shared" ca="1" si="543"/>
        <v/>
      </c>
      <c r="BV112" s="34" t="str">
        <f t="shared" ca="1" si="543"/>
        <v/>
      </c>
      <c r="BW112" s="34" t="str">
        <f t="shared" ca="1" si="543"/>
        <v/>
      </c>
      <c r="BX112" s="34" t="str">
        <f t="shared" ca="1" si="543"/>
        <v/>
      </c>
      <c r="BY112" s="34" t="str">
        <f t="shared" ca="1" si="543"/>
        <v/>
      </c>
      <c r="BZ112" s="34" t="str">
        <f t="shared" ca="1" si="543"/>
        <v/>
      </c>
      <c r="CA112" s="34" t="str">
        <f t="shared" ca="1" si="543"/>
        <v/>
      </c>
      <c r="CB112" s="34" t="str">
        <f t="shared" ca="1" si="543"/>
        <v/>
      </c>
      <c r="CC112" s="34" t="str">
        <f t="shared" ca="1" si="543"/>
        <v/>
      </c>
      <c r="CD112" s="34" t="str">
        <f t="shared" ca="1" si="543"/>
        <v/>
      </c>
      <c r="CE112" s="34" t="str">
        <f t="shared" ca="1" si="543"/>
        <v/>
      </c>
      <c r="CF112" s="34" t="str">
        <f t="shared" ca="1" si="543"/>
        <v/>
      </c>
      <c r="CG112" s="34" t="str">
        <f t="shared" ca="1" si="543"/>
        <v/>
      </c>
      <c r="CH112" s="34" t="str">
        <f t="shared" ca="1" si="543"/>
        <v/>
      </c>
      <c r="CI112" s="34" t="str">
        <f t="shared" ca="1" si="543"/>
        <v/>
      </c>
      <c r="CJ112" s="34" t="str">
        <f t="shared" ca="1" si="543"/>
        <v/>
      </c>
      <c r="CK112" s="34" t="str">
        <f t="shared" ca="1" si="543"/>
        <v/>
      </c>
      <c r="CL112" s="34" t="str">
        <f t="shared" ca="1" si="543"/>
        <v/>
      </c>
      <c r="CM112" s="34" t="str">
        <f t="shared" ca="1" si="543"/>
        <v/>
      </c>
      <c r="CN112" s="34" t="str">
        <f t="shared" ca="1" si="543"/>
        <v/>
      </c>
      <c r="CO112" s="34" t="str">
        <f t="shared" ca="1" si="543"/>
        <v/>
      </c>
      <c r="CP112" s="34" t="str">
        <f t="shared" ca="1" si="543"/>
        <v/>
      </c>
      <c r="CQ112" s="34" t="str">
        <f t="shared" ca="1" si="543"/>
        <v/>
      </c>
      <c r="CR112" s="34" t="str">
        <f t="shared" ca="1" si="543"/>
        <v/>
      </c>
      <c r="CS112" s="34" t="str">
        <f t="shared" ca="1" si="543"/>
        <v/>
      </c>
      <c r="CT112" s="34" t="str">
        <f t="shared" ca="1" si="543"/>
        <v/>
      </c>
      <c r="CU112" s="34" t="str">
        <f t="shared" ca="1" si="543"/>
        <v/>
      </c>
      <c r="CV112" s="34" t="str">
        <f t="shared" ca="1" si="543"/>
        <v/>
      </c>
      <c r="CW112" s="34" t="str">
        <f t="shared" ca="1" si="543"/>
        <v/>
      </c>
      <c r="CX112" s="34" t="str">
        <f t="shared" ca="1" si="543"/>
        <v/>
      </c>
      <c r="CY112" s="34" t="str">
        <f t="shared" ca="1" si="543"/>
        <v/>
      </c>
      <c r="CZ112" s="34" t="str">
        <f t="shared" ca="1" si="543"/>
        <v/>
      </c>
    </row>
    <row r="113" spans="1:104" ht="13.5" customHeight="1">
      <c r="A113" s="27">
        <v>98</v>
      </c>
      <c r="B113" s="33">
        <f t="shared" si="474"/>
        <v>113</v>
      </c>
      <c r="C113" s="8" t="s">
        <v>377</v>
      </c>
      <c r="D113" s="34">
        <f t="shared" ref="D113:AI113" ca="1" si="544">IF(D$89="","",IF(D$89=$M$2,C113,IF(D$11&lt;$D$7,OFFSET(INDIRECT($D$3),$A113-1,$Q$3+D$11),OFFSET(INDIRECT($D$4),$A113-1,$Q$4+D$11))))</f>
        <v>2059</v>
      </c>
      <c r="E113" s="34">
        <f t="shared" ca="1" si="544"/>
        <v>2439</v>
      </c>
      <c r="F113" s="34">
        <f t="shared" ca="1" si="544"/>
        <v>1995</v>
      </c>
      <c r="G113" s="34">
        <f t="shared" ca="1" si="544"/>
        <v>2028</v>
      </c>
      <c r="H113" s="34">
        <f t="shared" ca="1" si="544"/>
        <v>2059</v>
      </c>
      <c r="I113" s="34">
        <f t="shared" ca="1" si="544"/>
        <v>2090</v>
      </c>
      <c r="J113" s="34">
        <f t="shared" ca="1" si="544"/>
        <v>2156</v>
      </c>
      <c r="K113" s="34">
        <f t="shared" ca="1" si="544"/>
        <v>2315</v>
      </c>
      <c r="L113" s="34">
        <f t="shared" ca="1" si="544"/>
        <v>2439</v>
      </c>
      <c r="M113" s="34">
        <f t="shared" ca="1" si="544"/>
        <v>2627</v>
      </c>
      <c r="N113" s="34">
        <f t="shared" ca="1" si="544"/>
        <v>2627</v>
      </c>
      <c r="O113" s="34" t="str">
        <f t="shared" ca="1" si="544"/>
        <v/>
      </c>
      <c r="P113" s="34" t="str">
        <f t="shared" ca="1" si="544"/>
        <v/>
      </c>
      <c r="Q113" s="34" t="str">
        <f t="shared" ca="1" si="544"/>
        <v/>
      </c>
      <c r="R113" s="34" t="str">
        <f t="shared" ca="1" si="544"/>
        <v/>
      </c>
      <c r="S113" s="34" t="str">
        <f t="shared" ca="1" si="544"/>
        <v/>
      </c>
      <c r="T113" s="34" t="str">
        <f t="shared" ca="1" si="544"/>
        <v/>
      </c>
      <c r="U113" s="34" t="str">
        <f t="shared" ca="1" si="544"/>
        <v/>
      </c>
      <c r="V113" s="34" t="str">
        <f t="shared" ca="1" si="544"/>
        <v/>
      </c>
      <c r="W113" s="34" t="str">
        <f t="shared" ca="1" si="544"/>
        <v/>
      </c>
      <c r="X113" s="34" t="str">
        <f t="shared" ca="1" si="544"/>
        <v/>
      </c>
      <c r="Y113" s="34" t="str">
        <f t="shared" ca="1" si="544"/>
        <v/>
      </c>
      <c r="Z113" s="34" t="str">
        <f t="shared" ca="1" si="544"/>
        <v/>
      </c>
      <c r="AA113" s="34" t="str">
        <f t="shared" ca="1" si="544"/>
        <v/>
      </c>
      <c r="AB113" s="34" t="str">
        <f t="shared" ca="1" si="544"/>
        <v/>
      </c>
      <c r="AC113" s="34" t="str">
        <f t="shared" ca="1" si="544"/>
        <v/>
      </c>
      <c r="AD113" s="34" t="str">
        <f t="shared" ca="1" si="544"/>
        <v/>
      </c>
      <c r="AE113" s="34" t="str">
        <f t="shared" ca="1" si="544"/>
        <v/>
      </c>
      <c r="AF113" s="34" t="str">
        <f t="shared" ca="1" si="544"/>
        <v/>
      </c>
      <c r="AG113" s="34" t="str">
        <f t="shared" ca="1" si="544"/>
        <v/>
      </c>
      <c r="AH113" s="34" t="str">
        <f t="shared" ca="1" si="544"/>
        <v/>
      </c>
      <c r="AI113" s="34" t="str">
        <f t="shared" ca="1" si="544"/>
        <v/>
      </c>
      <c r="AJ113" s="34" t="str">
        <f t="shared" ref="AJ113:BO113" ca="1" si="545">IF(AJ$89="","",IF(AJ$89=$M$2,AI113,IF(AJ$11&lt;$D$7,OFFSET(INDIRECT($D$3),$A113-1,$Q$3+AJ$11),OFFSET(INDIRECT($D$4),$A113-1,$Q$4+AJ$11))))</f>
        <v/>
      </c>
      <c r="AK113" s="34" t="str">
        <f t="shared" ca="1" si="545"/>
        <v/>
      </c>
      <c r="AL113" s="34" t="str">
        <f t="shared" ca="1" si="545"/>
        <v/>
      </c>
      <c r="AM113" s="34" t="str">
        <f t="shared" ca="1" si="545"/>
        <v/>
      </c>
      <c r="AN113" s="34" t="str">
        <f t="shared" ca="1" si="545"/>
        <v/>
      </c>
      <c r="AO113" s="34" t="str">
        <f t="shared" ca="1" si="545"/>
        <v/>
      </c>
      <c r="AP113" s="34" t="str">
        <f t="shared" ca="1" si="545"/>
        <v/>
      </c>
      <c r="AQ113" s="34" t="str">
        <f t="shared" ca="1" si="545"/>
        <v/>
      </c>
      <c r="AR113" s="34" t="str">
        <f t="shared" ca="1" si="545"/>
        <v/>
      </c>
      <c r="AS113" s="34" t="str">
        <f t="shared" ca="1" si="545"/>
        <v/>
      </c>
      <c r="AT113" s="34" t="str">
        <f t="shared" ca="1" si="545"/>
        <v/>
      </c>
      <c r="AU113" s="34" t="str">
        <f t="shared" ca="1" si="545"/>
        <v/>
      </c>
      <c r="AV113" s="34" t="str">
        <f t="shared" ca="1" si="545"/>
        <v/>
      </c>
      <c r="AW113" s="34" t="str">
        <f t="shared" ca="1" si="545"/>
        <v/>
      </c>
      <c r="AX113" s="34" t="str">
        <f t="shared" ca="1" si="545"/>
        <v/>
      </c>
      <c r="AY113" s="34" t="str">
        <f t="shared" ca="1" si="545"/>
        <v/>
      </c>
      <c r="AZ113" s="34" t="str">
        <f t="shared" ca="1" si="545"/>
        <v/>
      </c>
      <c r="BA113" s="34" t="str">
        <f t="shared" ca="1" si="545"/>
        <v/>
      </c>
      <c r="BB113" s="34" t="str">
        <f t="shared" ca="1" si="545"/>
        <v/>
      </c>
      <c r="BC113" s="34" t="str">
        <f t="shared" ca="1" si="545"/>
        <v/>
      </c>
      <c r="BD113" s="34" t="str">
        <f t="shared" ca="1" si="545"/>
        <v/>
      </c>
      <c r="BE113" s="34" t="str">
        <f t="shared" ca="1" si="545"/>
        <v/>
      </c>
      <c r="BF113" s="34" t="str">
        <f t="shared" ca="1" si="545"/>
        <v/>
      </c>
      <c r="BG113" s="34" t="str">
        <f t="shared" ca="1" si="545"/>
        <v/>
      </c>
      <c r="BH113" s="34" t="str">
        <f t="shared" ca="1" si="545"/>
        <v/>
      </c>
      <c r="BI113" s="34" t="str">
        <f t="shared" ca="1" si="545"/>
        <v/>
      </c>
      <c r="BJ113" s="34" t="str">
        <f t="shared" ca="1" si="545"/>
        <v/>
      </c>
      <c r="BK113" s="34" t="str">
        <f t="shared" ca="1" si="545"/>
        <v/>
      </c>
      <c r="BL113" s="34" t="str">
        <f t="shared" ca="1" si="545"/>
        <v/>
      </c>
      <c r="BM113" s="34" t="str">
        <f t="shared" ca="1" si="545"/>
        <v/>
      </c>
      <c r="BN113" s="34" t="str">
        <f t="shared" ca="1" si="545"/>
        <v/>
      </c>
      <c r="BO113" s="34" t="str">
        <f t="shared" ca="1" si="545"/>
        <v/>
      </c>
      <c r="BP113" s="34" t="str">
        <f t="shared" ref="BP113:CZ113" ca="1" si="546">IF(BP$89="","",IF(BP$89=$M$2,BO113,IF(BP$11&lt;$D$7,OFFSET(INDIRECT($D$3),$A113-1,$Q$3+BP$11),OFFSET(INDIRECT($D$4),$A113-1,$Q$4+BP$11))))</f>
        <v/>
      </c>
      <c r="BQ113" s="34" t="str">
        <f t="shared" ca="1" si="546"/>
        <v/>
      </c>
      <c r="BR113" s="34" t="str">
        <f t="shared" ca="1" si="546"/>
        <v/>
      </c>
      <c r="BS113" s="34" t="str">
        <f t="shared" ca="1" si="546"/>
        <v/>
      </c>
      <c r="BT113" s="34" t="str">
        <f t="shared" ca="1" si="546"/>
        <v/>
      </c>
      <c r="BU113" s="34" t="str">
        <f t="shared" ca="1" si="546"/>
        <v/>
      </c>
      <c r="BV113" s="34" t="str">
        <f t="shared" ca="1" si="546"/>
        <v/>
      </c>
      <c r="BW113" s="34" t="str">
        <f t="shared" ca="1" si="546"/>
        <v/>
      </c>
      <c r="BX113" s="34" t="str">
        <f t="shared" ca="1" si="546"/>
        <v/>
      </c>
      <c r="BY113" s="34" t="str">
        <f t="shared" ca="1" si="546"/>
        <v/>
      </c>
      <c r="BZ113" s="34" t="str">
        <f t="shared" ca="1" si="546"/>
        <v/>
      </c>
      <c r="CA113" s="34" t="str">
        <f t="shared" ca="1" si="546"/>
        <v/>
      </c>
      <c r="CB113" s="34" t="str">
        <f t="shared" ca="1" si="546"/>
        <v/>
      </c>
      <c r="CC113" s="34" t="str">
        <f t="shared" ca="1" si="546"/>
        <v/>
      </c>
      <c r="CD113" s="34" t="str">
        <f t="shared" ca="1" si="546"/>
        <v/>
      </c>
      <c r="CE113" s="34" t="str">
        <f t="shared" ca="1" si="546"/>
        <v/>
      </c>
      <c r="CF113" s="34" t="str">
        <f t="shared" ca="1" si="546"/>
        <v/>
      </c>
      <c r="CG113" s="34" t="str">
        <f t="shared" ca="1" si="546"/>
        <v/>
      </c>
      <c r="CH113" s="34" t="str">
        <f t="shared" ca="1" si="546"/>
        <v/>
      </c>
      <c r="CI113" s="34" t="str">
        <f t="shared" ca="1" si="546"/>
        <v/>
      </c>
      <c r="CJ113" s="34" t="str">
        <f t="shared" ca="1" si="546"/>
        <v/>
      </c>
      <c r="CK113" s="34" t="str">
        <f t="shared" ca="1" si="546"/>
        <v/>
      </c>
      <c r="CL113" s="34" t="str">
        <f t="shared" ca="1" si="546"/>
        <v/>
      </c>
      <c r="CM113" s="34" t="str">
        <f t="shared" ca="1" si="546"/>
        <v/>
      </c>
      <c r="CN113" s="34" t="str">
        <f t="shared" ca="1" si="546"/>
        <v/>
      </c>
      <c r="CO113" s="34" t="str">
        <f t="shared" ca="1" si="546"/>
        <v/>
      </c>
      <c r="CP113" s="34" t="str">
        <f t="shared" ca="1" si="546"/>
        <v/>
      </c>
      <c r="CQ113" s="34" t="str">
        <f t="shared" ca="1" si="546"/>
        <v/>
      </c>
      <c r="CR113" s="34" t="str">
        <f t="shared" ca="1" si="546"/>
        <v/>
      </c>
      <c r="CS113" s="34" t="str">
        <f t="shared" ca="1" si="546"/>
        <v/>
      </c>
      <c r="CT113" s="34" t="str">
        <f t="shared" ca="1" si="546"/>
        <v/>
      </c>
      <c r="CU113" s="34" t="str">
        <f t="shared" ca="1" si="546"/>
        <v/>
      </c>
      <c r="CV113" s="34" t="str">
        <f t="shared" ca="1" si="546"/>
        <v/>
      </c>
      <c r="CW113" s="34" t="str">
        <f t="shared" ca="1" si="546"/>
        <v/>
      </c>
      <c r="CX113" s="34" t="str">
        <f t="shared" ca="1" si="546"/>
        <v/>
      </c>
      <c r="CY113" s="34" t="str">
        <f t="shared" ca="1" si="546"/>
        <v/>
      </c>
      <c r="CZ113" s="34" t="str">
        <f t="shared" ca="1" si="546"/>
        <v/>
      </c>
    </row>
    <row r="114" spans="1:104" ht="13.5" customHeight="1">
      <c r="A114" s="27">
        <v>99</v>
      </c>
      <c r="B114" s="33">
        <f t="shared" si="474"/>
        <v>114</v>
      </c>
      <c r="C114" s="8" t="s">
        <v>378</v>
      </c>
      <c r="D114" s="34">
        <f t="shared" ref="D114:AI114" ca="1" si="547">IF(D$89="","",IF(D$89=$M$2,C114,IF(D$11&lt;$D$7,OFFSET(INDIRECT($D$3),$A114-1,$Q$3+D$11),OFFSET(INDIRECT($D$4),$A114-1,$Q$4+D$11))))</f>
        <v>2599</v>
      </c>
      <c r="E114" s="34">
        <f t="shared" ca="1" si="547"/>
        <v>3464</v>
      </c>
      <c r="F114" s="34">
        <f t="shared" ca="1" si="547"/>
        <v>2187</v>
      </c>
      <c r="G114" s="34">
        <f t="shared" ca="1" si="547"/>
        <v>2359</v>
      </c>
      <c r="H114" s="34">
        <f t="shared" ca="1" si="547"/>
        <v>2599</v>
      </c>
      <c r="I114" s="34">
        <f t="shared" ca="1" si="547"/>
        <v>2742</v>
      </c>
      <c r="J114" s="34">
        <f t="shared" ca="1" si="547"/>
        <v>2930</v>
      </c>
      <c r="K114" s="34">
        <f t="shared" ca="1" si="547"/>
        <v>3086</v>
      </c>
      <c r="L114" s="34">
        <f t="shared" ca="1" si="547"/>
        <v>3464</v>
      </c>
      <c r="M114" s="34">
        <f t="shared" ca="1" si="547"/>
        <v>3593</v>
      </c>
      <c r="N114" s="34">
        <f t="shared" ca="1" si="547"/>
        <v>3593</v>
      </c>
      <c r="O114" s="34" t="str">
        <f t="shared" ca="1" si="547"/>
        <v/>
      </c>
      <c r="P114" s="34" t="str">
        <f t="shared" ca="1" si="547"/>
        <v/>
      </c>
      <c r="Q114" s="34" t="str">
        <f t="shared" ca="1" si="547"/>
        <v/>
      </c>
      <c r="R114" s="34" t="str">
        <f t="shared" ca="1" si="547"/>
        <v/>
      </c>
      <c r="S114" s="34" t="str">
        <f t="shared" ca="1" si="547"/>
        <v/>
      </c>
      <c r="T114" s="34" t="str">
        <f t="shared" ca="1" si="547"/>
        <v/>
      </c>
      <c r="U114" s="34" t="str">
        <f t="shared" ca="1" si="547"/>
        <v/>
      </c>
      <c r="V114" s="34" t="str">
        <f t="shared" ca="1" si="547"/>
        <v/>
      </c>
      <c r="W114" s="34" t="str">
        <f t="shared" ca="1" si="547"/>
        <v/>
      </c>
      <c r="X114" s="34" t="str">
        <f t="shared" ca="1" si="547"/>
        <v/>
      </c>
      <c r="Y114" s="34" t="str">
        <f t="shared" ca="1" si="547"/>
        <v/>
      </c>
      <c r="Z114" s="34" t="str">
        <f t="shared" ca="1" si="547"/>
        <v/>
      </c>
      <c r="AA114" s="34" t="str">
        <f t="shared" ca="1" si="547"/>
        <v/>
      </c>
      <c r="AB114" s="34" t="str">
        <f t="shared" ca="1" si="547"/>
        <v/>
      </c>
      <c r="AC114" s="34" t="str">
        <f t="shared" ca="1" si="547"/>
        <v/>
      </c>
      <c r="AD114" s="34" t="str">
        <f t="shared" ca="1" si="547"/>
        <v/>
      </c>
      <c r="AE114" s="34" t="str">
        <f t="shared" ca="1" si="547"/>
        <v/>
      </c>
      <c r="AF114" s="34" t="str">
        <f t="shared" ca="1" si="547"/>
        <v/>
      </c>
      <c r="AG114" s="34" t="str">
        <f t="shared" ca="1" si="547"/>
        <v/>
      </c>
      <c r="AH114" s="34" t="str">
        <f t="shared" ca="1" si="547"/>
        <v/>
      </c>
      <c r="AI114" s="34" t="str">
        <f t="shared" ca="1" si="547"/>
        <v/>
      </c>
      <c r="AJ114" s="34" t="str">
        <f t="shared" ref="AJ114:BO114" ca="1" si="548">IF(AJ$89="","",IF(AJ$89=$M$2,AI114,IF(AJ$11&lt;$D$7,OFFSET(INDIRECT($D$3),$A114-1,$Q$3+AJ$11),OFFSET(INDIRECT($D$4),$A114-1,$Q$4+AJ$11))))</f>
        <v/>
      </c>
      <c r="AK114" s="34" t="str">
        <f t="shared" ca="1" si="548"/>
        <v/>
      </c>
      <c r="AL114" s="34" t="str">
        <f t="shared" ca="1" si="548"/>
        <v/>
      </c>
      <c r="AM114" s="34" t="str">
        <f t="shared" ca="1" si="548"/>
        <v/>
      </c>
      <c r="AN114" s="34" t="str">
        <f t="shared" ca="1" si="548"/>
        <v/>
      </c>
      <c r="AO114" s="34" t="str">
        <f t="shared" ca="1" si="548"/>
        <v/>
      </c>
      <c r="AP114" s="34" t="str">
        <f t="shared" ca="1" si="548"/>
        <v/>
      </c>
      <c r="AQ114" s="34" t="str">
        <f t="shared" ca="1" si="548"/>
        <v/>
      </c>
      <c r="AR114" s="34" t="str">
        <f t="shared" ca="1" si="548"/>
        <v/>
      </c>
      <c r="AS114" s="34" t="str">
        <f t="shared" ca="1" si="548"/>
        <v/>
      </c>
      <c r="AT114" s="34" t="str">
        <f t="shared" ca="1" si="548"/>
        <v/>
      </c>
      <c r="AU114" s="34" t="str">
        <f t="shared" ca="1" si="548"/>
        <v/>
      </c>
      <c r="AV114" s="34" t="str">
        <f t="shared" ca="1" si="548"/>
        <v/>
      </c>
      <c r="AW114" s="34" t="str">
        <f t="shared" ca="1" si="548"/>
        <v/>
      </c>
      <c r="AX114" s="34" t="str">
        <f t="shared" ca="1" si="548"/>
        <v/>
      </c>
      <c r="AY114" s="34" t="str">
        <f t="shared" ca="1" si="548"/>
        <v/>
      </c>
      <c r="AZ114" s="34" t="str">
        <f t="shared" ca="1" si="548"/>
        <v/>
      </c>
      <c r="BA114" s="34" t="str">
        <f t="shared" ca="1" si="548"/>
        <v/>
      </c>
      <c r="BB114" s="34" t="str">
        <f t="shared" ca="1" si="548"/>
        <v/>
      </c>
      <c r="BC114" s="34" t="str">
        <f t="shared" ca="1" si="548"/>
        <v/>
      </c>
      <c r="BD114" s="34" t="str">
        <f t="shared" ca="1" si="548"/>
        <v/>
      </c>
      <c r="BE114" s="34" t="str">
        <f t="shared" ca="1" si="548"/>
        <v/>
      </c>
      <c r="BF114" s="34" t="str">
        <f t="shared" ca="1" si="548"/>
        <v/>
      </c>
      <c r="BG114" s="34" t="str">
        <f t="shared" ca="1" si="548"/>
        <v/>
      </c>
      <c r="BH114" s="34" t="str">
        <f t="shared" ca="1" si="548"/>
        <v/>
      </c>
      <c r="BI114" s="34" t="str">
        <f t="shared" ca="1" si="548"/>
        <v/>
      </c>
      <c r="BJ114" s="34" t="str">
        <f t="shared" ca="1" si="548"/>
        <v/>
      </c>
      <c r="BK114" s="34" t="str">
        <f t="shared" ca="1" si="548"/>
        <v/>
      </c>
      <c r="BL114" s="34" t="str">
        <f t="shared" ca="1" si="548"/>
        <v/>
      </c>
      <c r="BM114" s="34" t="str">
        <f t="shared" ca="1" si="548"/>
        <v/>
      </c>
      <c r="BN114" s="34" t="str">
        <f t="shared" ca="1" si="548"/>
        <v/>
      </c>
      <c r="BO114" s="34" t="str">
        <f t="shared" ca="1" si="548"/>
        <v/>
      </c>
      <c r="BP114" s="34" t="str">
        <f t="shared" ref="BP114:CZ114" ca="1" si="549">IF(BP$89="","",IF(BP$89=$M$2,BO114,IF(BP$11&lt;$D$7,OFFSET(INDIRECT($D$3),$A114-1,$Q$3+BP$11),OFFSET(INDIRECT($D$4),$A114-1,$Q$4+BP$11))))</f>
        <v/>
      </c>
      <c r="BQ114" s="34" t="str">
        <f t="shared" ca="1" si="549"/>
        <v/>
      </c>
      <c r="BR114" s="34" t="str">
        <f t="shared" ca="1" si="549"/>
        <v/>
      </c>
      <c r="BS114" s="34" t="str">
        <f t="shared" ca="1" si="549"/>
        <v/>
      </c>
      <c r="BT114" s="34" t="str">
        <f t="shared" ca="1" si="549"/>
        <v/>
      </c>
      <c r="BU114" s="34" t="str">
        <f t="shared" ca="1" si="549"/>
        <v/>
      </c>
      <c r="BV114" s="34" t="str">
        <f t="shared" ca="1" si="549"/>
        <v/>
      </c>
      <c r="BW114" s="34" t="str">
        <f t="shared" ca="1" si="549"/>
        <v/>
      </c>
      <c r="BX114" s="34" t="str">
        <f t="shared" ca="1" si="549"/>
        <v/>
      </c>
      <c r="BY114" s="34" t="str">
        <f t="shared" ca="1" si="549"/>
        <v/>
      </c>
      <c r="BZ114" s="34" t="str">
        <f t="shared" ca="1" si="549"/>
        <v/>
      </c>
      <c r="CA114" s="34" t="str">
        <f t="shared" ca="1" si="549"/>
        <v/>
      </c>
      <c r="CB114" s="34" t="str">
        <f t="shared" ca="1" si="549"/>
        <v/>
      </c>
      <c r="CC114" s="34" t="str">
        <f t="shared" ca="1" si="549"/>
        <v/>
      </c>
      <c r="CD114" s="34" t="str">
        <f t="shared" ca="1" si="549"/>
        <v/>
      </c>
      <c r="CE114" s="34" t="str">
        <f t="shared" ca="1" si="549"/>
        <v/>
      </c>
      <c r="CF114" s="34" t="str">
        <f t="shared" ca="1" si="549"/>
        <v/>
      </c>
      <c r="CG114" s="34" t="str">
        <f t="shared" ca="1" si="549"/>
        <v/>
      </c>
      <c r="CH114" s="34" t="str">
        <f t="shared" ca="1" si="549"/>
        <v/>
      </c>
      <c r="CI114" s="34" t="str">
        <f t="shared" ca="1" si="549"/>
        <v/>
      </c>
      <c r="CJ114" s="34" t="str">
        <f t="shared" ca="1" si="549"/>
        <v/>
      </c>
      <c r="CK114" s="34" t="str">
        <f t="shared" ca="1" si="549"/>
        <v/>
      </c>
      <c r="CL114" s="34" t="str">
        <f t="shared" ca="1" si="549"/>
        <v/>
      </c>
      <c r="CM114" s="34" t="str">
        <f t="shared" ca="1" si="549"/>
        <v/>
      </c>
      <c r="CN114" s="34" t="str">
        <f t="shared" ca="1" si="549"/>
        <v/>
      </c>
      <c r="CO114" s="34" t="str">
        <f t="shared" ca="1" si="549"/>
        <v/>
      </c>
      <c r="CP114" s="34" t="str">
        <f t="shared" ca="1" si="549"/>
        <v/>
      </c>
      <c r="CQ114" s="34" t="str">
        <f t="shared" ca="1" si="549"/>
        <v/>
      </c>
      <c r="CR114" s="34" t="str">
        <f t="shared" ca="1" si="549"/>
        <v/>
      </c>
      <c r="CS114" s="34" t="str">
        <f t="shared" ca="1" si="549"/>
        <v/>
      </c>
      <c r="CT114" s="34" t="str">
        <f t="shared" ca="1" si="549"/>
        <v/>
      </c>
      <c r="CU114" s="34" t="str">
        <f t="shared" ca="1" si="549"/>
        <v/>
      </c>
      <c r="CV114" s="34" t="str">
        <f t="shared" ca="1" si="549"/>
        <v/>
      </c>
      <c r="CW114" s="34" t="str">
        <f t="shared" ca="1" si="549"/>
        <v/>
      </c>
      <c r="CX114" s="34" t="str">
        <f t="shared" ca="1" si="549"/>
        <v/>
      </c>
      <c r="CY114" s="34" t="str">
        <f t="shared" ca="1" si="549"/>
        <v/>
      </c>
      <c r="CZ114" s="34" t="str">
        <f t="shared" ca="1" si="549"/>
        <v/>
      </c>
    </row>
    <row r="115" spans="1:104" ht="13.5" customHeight="1">
      <c r="A115" s="27">
        <v>100</v>
      </c>
      <c r="B115" s="33">
        <f t="shared" si="474"/>
        <v>115</v>
      </c>
      <c r="C115" s="8" t="s">
        <v>379</v>
      </c>
      <c r="D115" s="34">
        <f t="shared" ref="D115:AI115" ca="1" si="550">IF(D$89="","",IF(D$89=$M$2,C115,IF(D$11&lt;$D$7,OFFSET(INDIRECT($D$3),$A115-1,$Q$3+D$11),OFFSET(INDIRECT($D$4),$A115-1,$Q$4+D$11))))</f>
        <v>7110</v>
      </c>
      <c r="E115" s="34">
        <f t="shared" ca="1" si="550"/>
        <v>10000</v>
      </c>
      <c r="F115" s="34">
        <f t="shared" ca="1" si="550"/>
        <v>5234</v>
      </c>
      <c r="G115" s="34">
        <f t="shared" ca="1" si="550"/>
        <v>5961</v>
      </c>
      <c r="H115" s="34">
        <f t="shared" ca="1" si="550"/>
        <v>7110</v>
      </c>
      <c r="I115" s="34">
        <f t="shared" ca="1" si="550"/>
        <v>7508</v>
      </c>
      <c r="J115" s="34">
        <f t="shared" ca="1" si="550"/>
        <v>8855</v>
      </c>
      <c r="K115" s="34">
        <f t="shared" ca="1" si="550"/>
        <v>10000</v>
      </c>
      <c r="L115" s="34">
        <f t="shared" ca="1" si="550"/>
        <v>10000</v>
      </c>
      <c r="M115" s="34">
        <f t="shared" ca="1" si="550"/>
        <v>10000</v>
      </c>
      <c r="N115" s="34">
        <f t="shared" ca="1" si="550"/>
        <v>10000</v>
      </c>
      <c r="O115" s="34" t="str">
        <f t="shared" ca="1" si="550"/>
        <v/>
      </c>
      <c r="P115" s="34" t="str">
        <f t="shared" ca="1" si="550"/>
        <v/>
      </c>
      <c r="Q115" s="34" t="str">
        <f t="shared" ca="1" si="550"/>
        <v/>
      </c>
      <c r="R115" s="34" t="str">
        <f t="shared" ca="1" si="550"/>
        <v/>
      </c>
      <c r="S115" s="34" t="str">
        <f t="shared" ca="1" si="550"/>
        <v/>
      </c>
      <c r="T115" s="34" t="str">
        <f t="shared" ca="1" si="550"/>
        <v/>
      </c>
      <c r="U115" s="34" t="str">
        <f t="shared" ca="1" si="550"/>
        <v/>
      </c>
      <c r="V115" s="34" t="str">
        <f t="shared" ca="1" si="550"/>
        <v/>
      </c>
      <c r="W115" s="34" t="str">
        <f t="shared" ca="1" si="550"/>
        <v/>
      </c>
      <c r="X115" s="34" t="str">
        <f t="shared" ca="1" si="550"/>
        <v/>
      </c>
      <c r="Y115" s="34" t="str">
        <f t="shared" ca="1" si="550"/>
        <v/>
      </c>
      <c r="Z115" s="34" t="str">
        <f t="shared" ca="1" si="550"/>
        <v/>
      </c>
      <c r="AA115" s="34" t="str">
        <f t="shared" ca="1" si="550"/>
        <v/>
      </c>
      <c r="AB115" s="34" t="str">
        <f t="shared" ca="1" si="550"/>
        <v/>
      </c>
      <c r="AC115" s="34" t="str">
        <f t="shared" ca="1" si="550"/>
        <v/>
      </c>
      <c r="AD115" s="34" t="str">
        <f t="shared" ca="1" si="550"/>
        <v/>
      </c>
      <c r="AE115" s="34" t="str">
        <f t="shared" ca="1" si="550"/>
        <v/>
      </c>
      <c r="AF115" s="34" t="str">
        <f t="shared" ca="1" si="550"/>
        <v/>
      </c>
      <c r="AG115" s="34" t="str">
        <f t="shared" ca="1" si="550"/>
        <v/>
      </c>
      <c r="AH115" s="34" t="str">
        <f t="shared" ca="1" si="550"/>
        <v/>
      </c>
      <c r="AI115" s="34" t="str">
        <f t="shared" ca="1" si="550"/>
        <v/>
      </c>
      <c r="AJ115" s="34" t="str">
        <f t="shared" ref="AJ115:BO115" ca="1" si="551">IF(AJ$89="","",IF(AJ$89=$M$2,AI115,IF(AJ$11&lt;$D$7,OFFSET(INDIRECT($D$3),$A115-1,$Q$3+AJ$11),OFFSET(INDIRECT($D$4),$A115-1,$Q$4+AJ$11))))</f>
        <v/>
      </c>
      <c r="AK115" s="34" t="str">
        <f t="shared" ca="1" si="551"/>
        <v/>
      </c>
      <c r="AL115" s="34" t="str">
        <f t="shared" ca="1" si="551"/>
        <v/>
      </c>
      <c r="AM115" s="34" t="str">
        <f t="shared" ca="1" si="551"/>
        <v/>
      </c>
      <c r="AN115" s="34" t="str">
        <f t="shared" ca="1" si="551"/>
        <v/>
      </c>
      <c r="AO115" s="34" t="str">
        <f t="shared" ca="1" si="551"/>
        <v/>
      </c>
      <c r="AP115" s="34" t="str">
        <f t="shared" ca="1" si="551"/>
        <v/>
      </c>
      <c r="AQ115" s="34" t="str">
        <f t="shared" ca="1" si="551"/>
        <v/>
      </c>
      <c r="AR115" s="34" t="str">
        <f t="shared" ca="1" si="551"/>
        <v/>
      </c>
      <c r="AS115" s="34" t="str">
        <f t="shared" ca="1" si="551"/>
        <v/>
      </c>
      <c r="AT115" s="34" t="str">
        <f t="shared" ca="1" si="551"/>
        <v/>
      </c>
      <c r="AU115" s="34" t="str">
        <f t="shared" ca="1" si="551"/>
        <v/>
      </c>
      <c r="AV115" s="34" t="str">
        <f t="shared" ca="1" si="551"/>
        <v/>
      </c>
      <c r="AW115" s="34" t="str">
        <f t="shared" ca="1" si="551"/>
        <v/>
      </c>
      <c r="AX115" s="34" t="str">
        <f t="shared" ca="1" si="551"/>
        <v/>
      </c>
      <c r="AY115" s="34" t="str">
        <f t="shared" ca="1" si="551"/>
        <v/>
      </c>
      <c r="AZ115" s="34" t="str">
        <f t="shared" ca="1" si="551"/>
        <v/>
      </c>
      <c r="BA115" s="34" t="str">
        <f t="shared" ca="1" si="551"/>
        <v/>
      </c>
      <c r="BB115" s="34" t="str">
        <f t="shared" ca="1" si="551"/>
        <v/>
      </c>
      <c r="BC115" s="34" t="str">
        <f t="shared" ca="1" si="551"/>
        <v/>
      </c>
      <c r="BD115" s="34" t="str">
        <f t="shared" ca="1" si="551"/>
        <v/>
      </c>
      <c r="BE115" s="34" t="str">
        <f t="shared" ca="1" si="551"/>
        <v/>
      </c>
      <c r="BF115" s="34" t="str">
        <f t="shared" ca="1" si="551"/>
        <v/>
      </c>
      <c r="BG115" s="34" t="str">
        <f t="shared" ca="1" si="551"/>
        <v/>
      </c>
      <c r="BH115" s="34" t="str">
        <f t="shared" ca="1" si="551"/>
        <v/>
      </c>
      <c r="BI115" s="34" t="str">
        <f t="shared" ca="1" si="551"/>
        <v/>
      </c>
      <c r="BJ115" s="34" t="str">
        <f t="shared" ca="1" si="551"/>
        <v/>
      </c>
      <c r="BK115" s="34" t="str">
        <f t="shared" ca="1" si="551"/>
        <v/>
      </c>
      <c r="BL115" s="34" t="str">
        <f t="shared" ca="1" si="551"/>
        <v/>
      </c>
      <c r="BM115" s="34" t="str">
        <f t="shared" ca="1" si="551"/>
        <v/>
      </c>
      <c r="BN115" s="34" t="str">
        <f t="shared" ca="1" si="551"/>
        <v/>
      </c>
      <c r="BO115" s="34" t="str">
        <f t="shared" ca="1" si="551"/>
        <v/>
      </c>
      <c r="BP115" s="34" t="str">
        <f t="shared" ref="BP115:CZ115" ca="1" si="552">IF(BP$89="","",IF(BP$89=$M$2,BO115,IF(BP$11&lt;$D$7,OFFSET(INDIRECT($D$3),$A115-1,$Q$3+BP$11),OFFSET(INDIRECT($D$4),$A115-1,$Q$4+BP$11))))</f>
        <v/>
      </c>
      <c r="BQ115" s="34" t="str">
        <f t="shared" ca="1" si="552"/>
        <v/>
      </c>
      <c r="BR115" s="34" t="str">
        <f t="shared" ca="1" si="552"/>
        <v/>
      </c>
      <c r="BS115" s="34" t="str">
        <f t="shared" ca="1" si="552"/>
        <v/>
      </c>
      <c r="BT115" s="34" t="str">
        <f t="shared" ca="1" si="552"/>
        <v/>
      </c>
      <c r="BU115" s="34" t="str">
        <f t="shared" ca="1" si="552"/>
        <v/>
      </c>
      <c r="BV115" s="34" t="str">
        <f t="shared" ca="1" si="552"/>
        <v/>
      </c>
      <c r="BW115" s="34" t="str">
        <f t="shared" ca="1" si="552"/>
        <v/>
      </c>
      <c r="BX115" s="34" t="str">
        <f t="shared" ca="1" si="552"/>
        <v/>
      </c>
      <c r="BY115" s="34" t="str">
        <f t="shared" ca="1" si="552"/>
        <v/>
      </c>
      <c r="BZ115" s="34" t="str">
        <f t="shared" ca="1" si="552"/>
        <v/>
      </c>
      <c r="CA115" s="34" t="str">
        <f t="shared" ca="1" si="552"/>
        <v/>
      </c>
      <c r="CB115" s="34" t="str">
        <f t="shared" ca="1" si="552"/>
        <v/>
      </c>
      <c r="CC115" s="34" t="str">
        <f t="shared" ca="1" si="552"/>
        <v/>
      </c>
      <c r="CD115" s="34" t="str">
        <f t="shared" ca="1" si="552"/>
        <v/>
      </c>
      <c r="CE115" s="34" t="str">
        <f t="shared" ca="1" si="552"/>
        <v/>
      </c>
      <c r="CF115" s="34" t="str">
        <f t="shared" ca="1" si="552"/>
        <v/>
      </c>
      <c r="CG115" s="34" t="str">
        <f t="shared" ca="1" si="552"/>
        <v/>
      </c>
      <c r="CH115" s="34" t="str">
        <f t="shared" ca="1" si="552"/>
        <v/>
      </c>
      <c r="CI115" s="34" t="str">
        <f t="shared" ca="1" si="552"/>
        <v/>
      </c>
      <c r="CJ115" s="34" t="str">
        <f t="shared" ca="1" si="552"/>
        <v/>
      </c>
      <c r="CK115" s="34" t="str">
        <f t="shared" ca="1" si="552"/>
        <v/>
      </c>
      <c r="CL115" s="34" t="str">
        <f t="shared" ca="1" si="552"/>
        <v/>
      </c>
      <c r="CM115" s="34" t="str">
        <f t="shared" ca="1" si="552"/>
        <v/>
      </c>
      <c r="CN115" s="34" t="str">
        <f t="shared" ca="1" si="552"/>
        <v/>
      </c>
      <c r="CO115" s="34" t="str">
        <f t="shared" ca="1" si="552"/>
        <v/>
      </c>
      <c r="CP115" s="34" t="str">
        <f t="shared" ca="1" si="552"/>
        <v/>
      </c>
      <c r="CQ115" s="34" t="str">
        <f t="shared" ca="1" si="552"/>
        <v/>
      </c>
      <c r="CR115" s="34" t="str">
        <f t="shared" ca="1" si="552"/>
        <v/>
      </c>
      <c r="CS115" s="34" t="str">
        <f t="shared" ca="1" si="552"/>
        <v/>
      </c>
      <c r="CT115" s="34" t="str">
        <f t="shared" ca="1" si="552"/>
        <v/>
      </c>
      <c r="CU115" s="34" t="str">
        <f t="shared" ca="1" si="552"/>
        <v/>
      </c>
      <c r="CV115" s="34" t="str">
        <f t="shared" ca="1" si="552"/>
        <v/>
      </c>
      <c r="CW115" s="34" t="str">
        <f t="shared" ca="1" si="552"/>
        <v/>
      </c>
      <c r="CX115" s="34" t="str">
        <f t="shared" ca="1" si="552"/>
        <v/>
      </c>
      <c r="CY115" s="34" t="str">
        <f t="shared" ca="1" si="552"/>
        <v/>
      </c>
      <c r="CZ115" s="34" t="str">
        <f t="shared" ca="1" si="552"/>
        <v/>
      </c>
    </row>
    <row r="116" spans="1:104" ht="13.5" customHeight="1">
      <c r="A116" s="27">
        <v>101</v>
      </c>
      <c r="B116" s="33">
        <f t="shared" si="474"/>
        <v>116</v>
      </c>
      <c r="C116" s="8" t="s">
        <v>380</v>
      </c>
      <c r="D116" s="34">
        <f t="shared" ref="D116:AI116" ca="1" si="553">IF(D$89="","",IF(D$89=$M$2,C116,IF(D$11&lt;$D$7,OFFSET(INDIRECT($D$3),$A116-1,$Q$3+D$11),OFFSET(INDIRECT($D$4),$A116-1,$Q$4+D$11))))</f>
        <v>0</v>
      </c>
      <c r="E116" s="34">
        <f t="shared" ca="1" si="553"/>
        <v>0</v>
      </c>
      <c r="F116" s="34">
        <f t="shared" ca="1" si="553"/>
        <v>0</v>
      </c>
      <c r="G116" s="34">
        <f t="shared" ca="1" si="553"/>
        <v>0</v>
      </c>
      <c r="H116" s="34">
        <f t="shared" ca="1" si="553"/>
        <v>0</v>
      </c>
      <c r="I116" s="34">
        <f t="shared" ca="1" si="553"/>
        <v>0</v>
      </c>
      <c r="J116" s="34">
        <f t="shared" ca="1" si="553"/>
        <v>0</v>
      </c>
      <c r="K116" s="34">
        <f t="shared" ca="1" si="553"/>
        <v>0</v>
      </c>
      <c r="L116" s="34">
        <f t="shared" ca="1" si="553"/>
        <v>0</v>
      </c>
      <c r="M116" s="34">
        <f t="shared" ca="1" si="553"/>
        <v>0</v>
      </c>
      <c r="N116" s="34">
        <f t="shared" ca="1" si="553"/>
        <v>0</v>
      </c>
      <c r="O116" s="34" t="str">
        <f t="shared" ca="1" si="553"/>
        <v/>
      </c>
      <c r="P116" s="34" t="str">
        <f t="shared" ca="1" si="553"/>
        <v/>
      </c>
      <c r="Q116" s="34" t="str">
        <f t="shared" ca="1" si="553"/>
        <v/>
      </c>
      <c r="R116" s="34" t="str">
        <f t="shared" ca="1" si="553"/>
        <v/>
      </c>
      <c r="S116" s="34" t="str">
        <f t="shared" ca="1" si="553"/>
        <v/>
      </c>
      <c r="T116" s="34" t="str">
        <f t="shared" ca="1" si="553"/>
        <v/>
      </c>
      <c r="U116" s="34" t="str">
        <f t="shared" ca="1" si="553"/>
        <v/>
      </c>
      <c r="V116" s="34" t="str">
        <f t="shared" ca="1" si="553"/>
        <v/>
      </c>
      <c r="W116" s="34" t="str">
        <f t="shared" ca="1" si="553"/>
        <v/>
      </c>
      <c r="X116" s="34" t="str">
        <f t="shared" ca="1" si="553"/>
        <v/>
      </c>
      <c r="Y116" s="34" t="str">
        <f t="shared" ca="1" si="553"/>
        <v/>
      </c>
      <c r="Z116" s="34" t="str">
        <f t="shared" ca="1" si="553"/>
        <v/>
      </c>
      <c r="AA116" s="34" t="str">
        <f t="shared" ca="1" si="553"/>
        <v/>
      </c>
      <c r="AB116" s="34" t="str">
        <f t="shared" ca="1" si="553"/>
        <v/>
      </c>
      <c r="AC116" s="34" t="str">
        <f t="shared" ca="1" si="553"/>
        <v/>
      </c>
      <c r="AD116" s="34" t="str">
        <f t="shared" ca="1" si="553"/>
        <v/>
      </c>
      <c r="AE116" s="34" t="str">
        <f t="shared" ca="1" si="553"/>
        <v/>
      </c>
      <c r="AF116" s="34" t="str">
        <f t="shared" ca="1" si="553"/>
        <v/>
      </c>
      <c r="AG116" s="34" t="str">
        <f t="shared" ca="1" si="553"/>
        <v/>
      </c>
      <c r="AH116" s="34" t="str">
        <f t="shared" ca="1" si="553"/>
        <v/>
      </c>
      <c r="AI116" s="34" t="str">
        <f t="shared" ca="1" si="553"/>
        <v/>
      </c>
      <c r="AJ116" s="34" t="str">
        <f t="shared" ref="AJ116:BO116" ca="1" si="554">IF(AJ$89="","",IF(AJ$89=$M$2,AI116,IF(AJ$11&lt;$D$7,OFFSET(INDIRECT($D$3),$A116-1,$Q$3+AJ$11),OFFSET(INDIRECT($D$4),$A116-1,$Q$4+AJ$11))))</f>
        <v/>
      </c>
      <c r="AK116" s="34" t="str">
        <f t="shared" ca="1" si="554"/>
        <v/>
      </c>
      <c r="AL116" s="34" t="str">
        <f t="shared" ca="1" si="554"/>
        <v/>
      </c>
      <c r="AM116" s="34" t="str">
        <f t="shared" ca="1" si="554"/>
        <v/>
      </c>
      <c r="AN116" s="34" t="str">
        <f t="shared" ca="1" si="554"/>
        <v/>
      </c>
      <c r="AO116" s="34" t="str">
        <f t="shared" ca="1" si="554"/>
        <v/>
      </c>
      <c r="AP116" s="34" t="str">
        <f t="shared" ca="1" si="554"/>
        <v/>
      </c>
      <c r="AQ116" s="34" t="str">
        <f t="shared" ca="1" si="554"/>
        <v/>
      </c>
      <c r="AR116" s="34" t="str">
        <f t="shared" ca="1" si="554"/>
        <v/>
      </c>
      <c r="AS116" s="34" t="str">
        <f t="shared" ca="1" si="554"/>
        <v/>
      </c>
      <c r="AT116" s="34" t="str">
        <f t="shared" ca="1" si="554"/>
        <v/>
      </c>
      <c r="AU116" s="34" t="str">
        <f t="shared" ca="1" si="554"/>
        <v/>
      </c>
      <c r="AV116" s="34" t="str">
        <f t="shared" ca="1" si="554"/>
        <v/>
      </c>
      <c r="AW116" s="34" t="str">
        <f t="shared" ca="1" si="554"/>
        <v/>
      </c>
      <c r="AX116" s="34" t="str">
        <f t="shared" ca="1" si="554"/>
        <v/>
      </c>
      <c r="AY116" s="34" t="str">
        <f t="shared" ca="1" si="554"/>
        <v/>
      </c>
      <c r="AZ116" s="34" t="str">
        <f t="shared" ca="1" si="554"/>
        <v/>
      </c>
      <c r="BA116" s="34" t="str">
        <f t="shared" ca="1" si="554"/>
        <v/>
      </c>
      <c r="BB116" s="34" t="str">
        <f t="shared" ca="1" si="554"/>
        <v/>
      </c>
      <c r="BC116" s="34" t="str">
        <f t="shared" ca="1" si="554"/>
        <v/>
      </c>
      <c r="BD116" s="34" t="str">
        <f t="shared" ca="1" si="554"/>
        <v/>
      </c>
      <c r="BE116" s="34" t="str">
        <f t="shared" ca="1" si="554"/>
        <v/>
      </c>
      <c r="BF116" s="34" t="str">
        <f t="shared" ca="1" si="554"/>
        <v/>
      </c>
      <c r="BG116" s="34" t="str">
        <f t="shared" ca="1" si="554"/>
        <v/>
      </c>
      <c r="BH116" s="34" t="str">
        <f t="shared" ca="1" si="554"/>
        <v/>
      </c>
      <c r="BI116" s="34" t="str">
        <f t="shared" ca="1" si="554"/>
        <v/>
      </c>
      <c r="BJ116" s="34" t="str">
        <f t="shared" ca="1" si="554"/>
        <v/>
      </c>
      <c r="BK116" s="34" t="str">
        <f t="shared" ca="1" si="554"/>
        <v/>
      </c>
      <c r="BL116" s="34" t="str">
        <f t="shared" ca="1" si="554"/>
        <v/>
      </c>
      <c r="BM116" s="34" t="str">
        <f t="shared" ca="1" si="554"/>
        <v/>
      </c>
      <c r="BN116" s="34" t="str">
        <f t="shared" ca="1" si="554"/>
        <v/>
      </c>
      <c r="BO116" s="34" t="str">
        <f t="shared" ca="1" si="554"/>
        <v/>
      </c>
      <c r="BP116" s="34" t="str">
        <f t="shared" ref="BP116:CZ116" ca="1" si="555">IF(BP$89="","",IF(BP$89=$M$2,BO116,IF(BP$11&lt;$D$7,OFFSET(INDIRECT($D$3),$A116-1,$Q$3+BP$11),OFFSET(INDIRECT($D$4),$A116-1,$Q$4+BP$11))))</f>
        <v/>
      </c>
      <c r="BQ116" s="34" t="str">
        <f t="shared" ca="1" si="555"/>
        <v/>
      </c>
      <c r="BR116" s="34" t="str">
        <f t="shared" ca="1" si="555"/>
        <v/>
      </c>
      <c r="BS116" s="34" t="str">
        <f t="shared" ca="1" si="555"/>
        <v/>
      </c>
      <c r="BT116" s="34" t="str">
        <f t="shared" ca="1" si="555"/>
        <v/>
      </c>
      <c r="BU116" s="34" t="str">
        <f t="shared" ca="1" si="555"/>
        <v/>
      </c>
      <c r="BV116" s="34" t="str">
        <f t="shared" ca="1" si="555"/>
        <v/>
      </c>
      <c r="BW116" s="34" t="str">
        <f t="shared" ca="1" si="555"/>
        <v/>
      </c>
      <c r="BX116" s="34" t="str">
        <f t="shared" ca="1" si="555"/>
        <v/>
      </c>
      <c r="BY116" s="34" t="str">
        <f t="shared" ca="1" si="555"/>
        <v/>
      </c>
      <c r="BZ116" s="34" t="str">
        <f t="shared" ca="1" si="555"/>
        <v/>
      </c>
      <c r="CA116" s="34" t="str">
        <f t="shared" ca="1" si="555"/>
        <v/>
      </c>
      <c r="CB116" s="34" t="str">
        <f t="shared" ca="1" si="555"/>
        <v/>
      </c>
      <c r="CC116" s="34" t="str">
        <f t="shared" ca="1" si="555"/>
        <v/>
      </c>
      <c r="CD116" s="34" t="str">
        <f t="shared" ca="1" si="555"/>
        <v/>
      </c>
      <c r="CE116" s="34" t="str">
        <f t="shared" ca="1" si="555"/>
        <v/>
      </c>
      <c r="CF116" s="34" t="str">
        <f t="shared" ca="1" si="555"/>
        <v/>
      </c>
      <c r="CG116" s="34" t="str">
        <f t="shared" ca="1" si="555"/>
        <v/>
      </c>
      <c r="CH116" s="34" t="str">
        <f t="shared" ca="1" si="555"/>
        <v/>
      </c>
      <c r="CI116" s="34" t="str">
        <f t="shared" ca="1" si="555"/>
        <v/>
      </c>
      <c r="CJ116" s="34" t="str">
        <f t="shared" ca="1" si="555"/>
        <v/>
      </c>
      <c r="CK116" s="34" t="str">
        <f t="shared" ca="1" si="555"/>
        <v/>
      </c>
      <c r="CL116" s="34" t="str">
        <f t="shared" ca="1" si="555"/>
        <v/>
      </c>
      <c r="CM116" s="34" t="str">
        <f t="shared" ca="1" si="555"/>
        <v/>
      </c>
      <c r="CN116" s="34" t="str">
        <f t="shared" ca="1" si="555"/>
        <v/>
      </c>
      <c r="CO116" s="34" t="str">
        <f t="shared" ca="1" si="555"/>
        <v/>
      </c>
      <c r="CP116" s="34" t="str">
        <f t="shared" ca="1" si="555"/>
        <v/>
      </c>
      <c r="CQ116" s="34" t="str">
        <f t="shared" ca="1" si="555"/>
        <v/>
      </c>
      <c r="CR116" s="34" t="str">
        <f t="shared" ca="1" si="555"/>
        <v/>
      </c>
      <c r="CS116" s="34" t="str">
        <f t="shared" ca="1" si="555"/>
        <v/>
      </c>
      <c r="CT116" s="34" t="str">
        <f t="shared" ca="1" si="555"/>
        <v/>
      </c>
      <c r="CU116" s="34" t="str">
        <f t="shared" ca="1" si="555"/>
        <v/>
      </c>
      <c r="CV116" s="34" t="str">
        <f t="shared" ca="1" si="555"/>
        <v/>
      </c>
      <c r="CW116" s="34" t="str">
        <f t="shared" ca="1" si="555"/>
        <v/>
      </c>
      <c r="CX116" s="34" t="str">
        <f t="shared" ca="1" si="555"/>
        <v/>
      </c>
      <c r="CY116" s="34" t="str">
        <f t="shared" ca="1" si="555"/>
        <v/>
      </c>
      <c r="CZ116" s="34" t="str">
        <f t="shared" ca="1" si="555"/>
        <v/>
      </c>
    </row>
    <row r="117" spans="1:104" ht="13.5" customHeight="1">
      <c r="A117" s="27">
        <v>102</v>
      </c>
      <c r="B117" s="33">
        <f t="shared" si="474"/>
        <v>117</v>
      </c>
      <c r="C117" s="8" t="s">
        <v>381</v>
      </c>
      <c r="D117" s="34">
        <f t="shared" ref="D117:AI117" ca="1" si="556">IF(D$89="","",IF(D$89=$M$2,C117,IF(D$11&lt;$D$7,OFFSET(INDIRECT($D$3),$A117-1,$Q$3+D$11),OFFSET(INDIRECT($D$4),$A117-1,$Q$4+D$11))))</f>
        <v>0</v>
      </c>
      <c r="E117" s="34">
        <f t="shared" ca="1" si="556"/>
        <v>0</v>
      </c>
      <c r="F117" s="34">
        <f t="shared" ca="1" si="556"/>
        <v>0</v>
      </c>
      <c r="G117" s="34">
        <f t="shared" ca="1" si="556"/>
        <v>0</v>
      </c>
      <c r="H117" s="34">
        <f t="shared" ca="1" si="556"/>
        <v>0</v>
      </c>
      <c r="I117" s="34">
        <f t="shared" ca="1" si="556"/>
        <v>0</v>
      </c>
      <c r="J117" s="34">
        <f t="shared" ca="1" si="556"/>
        <v>0</v>
      </c>
      <c r="K117" s="34">
        <f t="shared" ca="1" si="556"/>
        <v>0</v>
      </c>
      <c r="L117" s="34">
        <f t="shared" ca="1" si="556"/>
        <v>0</v>
      </c>
      <c r="M117" s="34">
        <f t="shared" ca="1" si="556"/>
        <v>0</v>
      </c>
      <c r="N117" s="34">
        <f t="shared" ca="1" si="556"/>
        <v>0</v>
      </c>
      <c r="O117" s="34" t="str">
        <f t="shared" ca="1" si="556"/>
        <v/>
      </c>
      <c r="P117" s="34" t="str">
        <f t="shared" ca="1" si="556"/>
        <v/>
      </c>
      <c r="Q117" s="34" t="str">
        <f t="shared" ca="1" si="556"/>
        <v/>
      </c>
      <c r="R117" s="34" t="str">
        <f t="shared" ca="1" si="556"/>
        <v/>
      </c>
      <c r="S117" s="34" t="str">
        <f t="shared" ca="1" si="556"/>
        <v/>
      </c>
      <c r="T117" s="34" t="str">
        <f t="shared" ca="1" si="556"/>
        <v/>
      </c>
      <c r="U117" s="34" t="str">
        <f t="shared" ca="1" si="556"/>
        <v/>
      </c>
      <c r="V117" s="34" t="str">
        <f t="shared" ca="1" si="556"/>
        <v/>
      </c>
      <c r="W117" s="34" t="str">
        <f t="shared" ca="1" si="556"/>
        <v/>
      </c>
      <c r="X117" s="34" t="str">
        <f t="shared" ca="1" si="556"/>
        <v/>
      </c>
      <c r="Y117" s="34" t="str">
        <f t="shared" ca="1" si="556"/>
        <v/>
      </c>
      <c r="Z117" s="34" t="str">
        <f t="shared" ca="1" si="556"/>
        <v/>
      </c>
      <c r="AA117" s="34" t="str">
        <f t="shared" ca="1" si="556"/>
        <v/>
      </c>
      <c r="AB117" s="34" t="str">
        <f t="shared" ca="1" si="556"/>
        <v/>
      </c>
      <c r="AC117" s="34" t="str">
        <f t="shared" ca="1" si="556"/>
        <v/>
      </c>
      <c r="AD117" s="34" t="str">
        <f t="shared" ca="1" si="556"/>
        <v/>
      </c>
      <c r="AE117" s="34" t="str">
        <f t="shared" ca="1" si="556"/>
        <v/>
      </c>
      <c r="AF117" s="34" t="str">
        <f t="shared" ca="1" si="556"/>
        <v/>
      </c>
      <c r="AG117" s="34" t="str">
        <f t="shared" ca="1" si="556"/>
        <v/>
      </c>
      <c r="AH117" s="34" t="str">
        <f t="shared" ca="1" si="556"/>
        <v/>
      </c>
      <c r="AI117" s="34" t="str">
        <f t="shared" ca="1" si="556"/>
        <v/>
      </c>
      <c r="AJ117" s="34" t="str">
        <f t="shared" ref="AJ117:BO117" ca="1" si="557">IF(AJ$89="","",IF(AJ$89=$M$2,AI117,IF(AJ$11&lt;$D$7,OFFSET(INDIRECT($D$3),$A117-1,$Q$3+AJ$11),OFFSET(INDIRECT($D$4),$A117-1,$Q$4+AJ$11))))</f>
        <v/>
      </c>
      <c r="AK117" s="34" t="str">
        <f t="shared" ca="1" si="557"/>
        <v/>
      </c>
      <c r="AL117" s="34" t="str">
        <f t="shared" ca="1" si="557"/>
        <v/>
      </c>
      <c r="AM117" s="34" t="str">
        <f t="shared" ca="1" si="557"/>
        <v/>
      </c>
      <c r="AN117" s="34" t="str">
        <f t="shared" ca="1" si="557"/>
        <v/>
      </c>
      <c r="AO117" s="34" t="str">
        <f t="shared" ca="1" si="557"/>
        <v/>
      </c>
      <c r="AP117" s="34" t="str">
        <f t="shared" ca="1" si="557"/>
        <v/>
      </c>
      <c r="AQ117" s="34" t="str">
        <f t="shared" ca="1" si="557"/>
        <v/>
      </c>
      <c r="AR117" s="34" t="str">
        <f t="shared" ca="1" si="557"/>
        <v/>
      </c>
      <c r="AS117" s="34" t="str">
        <f t="shared" ca="1" si="557"/>
        <v/>
      </c>
      <c r="AT117" s="34" t="str">
        <f t="shared" ca="1" si="557"/>
        <v/>
      </c>
      <c r="AU117" s="34" t="str">
        <f t="shared" ca="1" si="557"/>
        <v/>
      </c>
      <c r="AV117" s="34" t="str">
        <f t="shared" ca="1" si="557"/>
        <v/>
      </c>
      <c r="AW117" s="34" t="str">
        <f t="shared" ca="1" si="557"/>
        <v/>
      </c>
      <c r="AX117" s="34" t="str">
        <f t="shared" ca="1" si="557"/>
        <v/>
      </c>
      <c r="AY117" s="34" t="str">
        <f t="shared" ca="1" si="557"/>
        <v/>
      </c>
      <c r="AZ117" s="34" t="str">
        <f t="shared" ca="1" si="557"/>
        <v/>
      </c>
      <c r="BA117" s="34" t="str">
        <f t="shared" ca="1" si="557"/>
        <v/>
      </c>
      <c r="BB117" s="34" t="str">
        <f t="shared" ca="1" si="557"/>
        <v/>
      </c>
      <c r="BC117" s="34" t="str">
        <f t="shared" ca="1" si="557"/>
        <v/>
      </c>
      <c r="BD117" s="34" t="str">
        <f t="shared" ca="1" si="557"/>
        <v/>
      </c>
      <c r="BE117" s="34" t="str">
        <f t="shared" ca="1" si="557"/>
        <v/>
      </c>
      <c r="BF117" s="34" t="str">
        <f t="shared" ca="1" si="557"/>
        <v/>
      </c>
      <c r="BG117" s="34" t="str">
        <f t="shared" ca="1" si="557"/>
        <v/>
      </c>
      <c r="BH117" s="34" t="str">
        <f t="shared" ca="1" si="557"/>
        <v/>
      </c>
      <c r="BI117" s="34" t="str">
        <f t="shared" ca="1" si="557"/>
        <v/>
      </c>
      <c r="BJ117" s="34" t="str">
        <f t="shared" ca="1" si="557"/>
        <v/>
      </c>
      <c r="BK117" s="34" t="str">
        <f t="shared" ca="1" si="557"/>
        <v/>
      </c>
      <c r="BL117" s="34" t="str">
        <f t="shared" ca="1" si="557"/>
        <v/>
      </c>
      <c r="BM117" s="34" t="str">
        <f t="shared" ca="1" si="557"/>
        <v/>
      </c>
      <c r="BN117" s="34" t="str">
        <f t="shared" ca="1" si="557"/>
        <v/>
      </c>
      <c r="BO117" s="34" t="str">
        <f t="shared" ca="1" si="557"/>
        <v/>
      </c>
      <c r="BP117" s="34" t="str">
        <f t="shared" ref="BP117:CZ117" ca="1" si="558">IF(BP$89="","",IF(BP$89=$M$2,BO117,IF(BP$11&lt;$D$7,OFFSET(INDIRECT($D$3),$A117-1,$Q$3+BP$11),OFFSET(INDIRECT($D$4),$A117-1,$Q$4+BP$11))))</f>
        <v/>
      </c>
      <c r="BQ117" s="34" t="str">
        <f t="shared" ca="1" si="558"/>
        <v/>
      </c>
      <c r="BR117" s="34" t="str">
        <f t="shared" ca="1" si="558"/>
        <v/>
      </c>
      <c r="BS117" s="34" t="str">
        <f t="shared" ca="1" si="558"/>
        <v/>
      </c>
      <c r="BT117" s="34" t="str">
        <f t="shared" ca="1" si="558"/>
        <v/>
      </c>
      <c r="BU117" s="34" t="str">
        <f t="shared" ca="1" si="558"/>
        <v/>
      </c>
      <c r="BV117" s="34" t="str">
        <f t="shared" ca="1" si="558"/>
        <v/>
      </c>
      <c r="BW117" s="34" t="str">
        <f t="shared" ca="1" si="558"/>
        <v/>
      </c>
      <c r="BX117" s="34" t="str">
        <f t="shared" ca="1" si="558"/>
        <v/>
      </c>
      <c r="BY117" s="34" t="str">
        <f t="shared" ca="1" si="558"/>
        <v/>
      </c>
      <c r="BZ117" s="34" t="str">
        <f t="shared" ca="1" si="558"/>
        <v/>
      </c>
      <c r="CA117" s="34" t="str">
        <f t="shared" ca="1" si="558"/>
        <v/>
      </c>
      <c r="CB117" s="34" t="str">
        <f t="shared" ca="1" si="558"/>
        <v/>
      </c>
      <c r="CC117" s="34" t="str">
        <f t="shared" ca="1" si="558"/>
        <v/>
      </c>
      <c r="CD117" s="34" t="str">
        <f t="shared" ca="1" si="558"/>
        <v/>
      </c>
      <c r="CE117" s="34" t="str">
        <f t="shared" ca="1" si="558"/>
        <v/>
      </c>
      <c r="CF117" s="34" t="str">
        <f t="shared" ca="1" si="558"/>
        <v/>
      </c>
      <c r="CG117" s="34" t="str">
        <f t="shared" ca="1" si="558"/>
        <v/>
      </c>
      <c r="CH117" s="34" t="str">
        <f t="shared" ca="1" si="558"/>
        <v/>
      </c>
      <c r="CI117" s="34" t="str">
        <f t="shared" ca="1" si="558"/>
        <v/>
      </c>
      <c r="CJ117" s="34" t="str">
        <f t="shared" ca="1" si="558"/>
        <v/>
      </c>
      <c r="CK117" s="34" t="str">
        <f t="shared" ca="1" si="558"/>
        <v/>
      </c>
      <c r="CL117" s="34" t="str">
        <f t="shared" ca="1" si="558"/>
        <v/>
      </c>
      <c r="CM117" s="34" t="str">
        <f t="shared" ca="1" si="558"/>
        <v/>
      </c>
      <c r="CN117" s="34" t="str">
        <f t="shared" ca="1" si="558"/>
        <v/>
      </c>
      <c r="CO117" s="34" t="str">
        <f t="shared" ca="1" si="558"/>
        <v/>
      </c>
      <c r="CP117" s="34" t="str">
        <f t="shared" ca="1" si="558"/>
        <v/>
      </c>
      <c r="CQ117" s="34" t="str">
        <f t="shared" ca="1" si="558"/>
        <v/>
      </c>
      <c r="CR117" s="34" t="str">
        <f t="shared" ca="1" si="558"/>
        <v/>
      </c>
      <c r="CS117" s="34" t="str">
        <f t="shared" ca="1" si="558"/>
        <v/>
      </c>
      <c r="CT117" s="34" t="str">
        <f t="shared" ca="1" si="558"/>
        <v/>
      </c>
      <c r="CU117" s="34" t="str">
        <f t="shared" ca="1" si="558"/>
        <v/>
      </c>
      <c r="CV117" s="34" t="str">
        <f t="shared" ca="1" si="558"/>
        <v/>
      </c>
      <c r="CW117" s="34" t="str">
        <f t="shared" ca="1" si="558"/>
        <v/>
      </c>
      <c r="CX117" s="34" t="str">
        <f t="shared" ca="1" si="558"/>
        <v/>
      </c>
      <c r="CY117" s="34" t="str">
        <f t="shared" ca="1" si="558"/>
        <v/>
      </c>
      <c r="CZ117" s="34" t="str">
        <f t="shared" ca="1" si="558"/>
        <v/>
      </c>
    </row>
    <row r="118" spans="1:104" ht="13.5" customHeight="1">
      <c r="A118" s="27">
        <v>105</v>
      </c>
      <c r="B118" s="33">
        <f t="shared" si="474"/>
        <v>118</v>
      </c>
      <c r="C118" s="9" t="s">
        <v>382</v>
      </c>
      <c r="D118" s="34">
        <f t="shared" ref="D118:AI118" ca="1" si="559">IF(D$89="","",IF(D$89=$M$2,C118,IF(D$11&lt;$D$7,OFFSET(INDIRECT($D$3),$A118-1,$Q$3+D$11),OFFSET(INDIRECT($D$4),$A118-1,$Q$4+D$11))))</f>
        <v>3991</v>
      </c>
      <c r="E118" s="34">
        <f t="shared" ca="1" si="559"/>
        <v>6435</v>
      </c>
      <c r="F118" s="34">
        <f t="shared" ca="1" si="559"/>
        <v>3175</v>
      </c>
      <c r="G118" s="34">
        <f t="shared" ca="1" si="559"/>
        <v>3599</v>
      </c>
      <c r="H118" s="34">
        <f t="shared" ca="1" si="559"/>
        <v>3991</v>
      </c>
      <c r="I118" s="34">
        <f t="shared" ca="1" si="559"/>
        <v>4524</v>
      </c>
      <c r="J118" s="34">
        <f t="shared" ca="1" si="559"/>
        <v>5094</v>
      </c>
      <c r="K118" s="34">
        <f t="shared" ca="1" si="559"/>
        <v>5718</v>
      </c>
      <c r="L118" s="34">
        <f t="shared" ca="1" si="559"/>
        <v>6435</v>
      </c>
      <c r="M118" s="34">
        <f t="shared" ca="1" si="559"/>
        <v>7792</v>
      </c>
      <c r="N118" s="34">
        <f t="shared" ca="1" si="559"/>
        <v>7792</v>
      </c>
      <c r="O118" s="34" t="str">
        <f t="shared" ca="1" si="559"/>
        <v/>
      </c>
      <c r="P118" s="34" t="str">
        <f t="shared" ca="1" si="559"/>
        <v/>
      </c>
      <c r="Q118" s="34" t="str">
        <f t="shared" ca="1" si="559"/>
        <v/>
      </c>
      <c r="R118" s="34" t="str">
        <f t="shared" ca="1" si="559"/>
        <v/>
      </c>
      <c r="S118" s="34" t="str">
        <f t="shared" ca="1" si="559"/>
        <v/>
      </c>
      <c r="T118" s="34" t="str">
        <f t="shared" ca="1" si="559"/>
        <v/>
      </c>
      <c r="U118" s="34" t="str">
        <f t="shared" ca="1" si="559"/>
        <v/>
      </c>
      <c r="V118" s="34" t="str">
        <f t="shared" ca="1" si="559"/>
        <v/>
      </c>
      <c r="W118" s="34" t="str">
        <f t="shared" ca="1" si="559"/>
        <v/>
      </c>
      <c r="X118" s="34" t="str">
        <f t="shared" ca="1" si="559"/>
        <v/>
      </c>
      <c r="Y118" s="34" t="str">
        <f t="shared" ca="1" si="559"/>
        <v/>
      </c>
      <c r="Z118" s="34" t="str">
        <f t="shared" ca="1" si="559"/>
        <v/>
      </c>
      <c r="AA118" s="34" t="str">
        <f t="shared" ca="1" si="559"/>
        <v/>
      </c>
      <c r="AB118" s="34" t="str">
        <f t="shared" ca="1" si="559"/>
        <v/>
      </c>
      <c r="AC118" s="34" t="str">
        <f t="shared" ca="1" si="559"/>
        <v/>
      </c>
      <c r="AD118" s="34" t="str">
        <f t="shared" ca="1" si="559"/>
        <v/>
      </c>
      <c r="AE118" s="34" t="str">
        <f t="shared" ca="1" si="559"/>
        <v/>
      </c>
      <c r="AF118" s="34" t="str">
        <f t="shared" ca="1" si="559"/>
        <v/>
      </c>
      <c r="AG118" s="34" t="str">
        <f t="shared" ca="1" si="559"/>
        <v/>
      </c>
      <c r="AH118" s="34" t="str">
        <f t="shared" ca="1" si="559"/>
        <v/>
      </c>
      <c r="AI118" s="34" t="str">
        <f t="shared" ca="1" si="559"/>
        <v/>
      </c>
      <c r="AJ118" s="34" t="str">
        <f t="shared" ref="AJ118:BO118" ca="1" si="560">IF(AJ$89="","",IF(AJ$89=$M$2,AI118,IF(AJ$11&lt;$D$7,OFFSET(INDIRECT($D$3),$A118-1,$Q$3+AJ$11),OFFSET(INDIRECT($D$4),$A118-1,$Q$4+AJ$11))))</f>
        <v/>
      </c>
      <c r="AK118" s="34" t="str">
        <f t="shared" ca="1" si="560"/>
        <v/>
      </c>
      <c r="AL118" s="34" t="str">
        <f t="shared" ca="1" si="560"/>
        <v/>
      </c>
      <c r="AM118" s="34" t="str">
        <f t="shared" ca="1" si="560"/>
        <v/>
      </c>
      <c r="AN118" s="34" t="str">
        <f t="shared" ca="1" si="560"/>
        <v/>
      </c>
      <c r="AO118" s="34" t="str">
        <f t="shared" ca="1" si="560"/>
        <v/>
      </c>
      <c r="AP118" s="34" t="str">
        <f t="shared" ca="1" si="560"/>
        <v/>
      </c>
      <c r="AQ118" s="34" t="str">
        <f t="shared" ca="1" si="560"/>
        <v/>
      </c>
      <c r="AR118" s="34" t="str">
        <f t="shared" ca="1" si="560"/>
        <v/>
      </c>
      <c r="AS118" s="34" t="str">
        <f t="shared" ca="1" si="560"/>
        <v/>
      </c>
      <c r="AT118" s="34" t="str">
        <f t="shared" ca="1" si="560"/>
        <v/>
      </c>
      <c r="AU118" s="34" t="str">
        <f t="shared" ca="1" si="560"/>
        <v/>
      </c>
      <c r="AV118" s="34" t="str">
        <f t="shared" ca="1" si="560"/>
        <v/>
      </c>
      <c r="AW118" s="34" t="str">
        <f t="shared" ca="1" si="560"/>
        <v/>
      </c>
      <c r="AX118" s="34" t="str">
        <f t="shared" ca="1" si="560"/>
        <v/>
      </c>
      <c r="AY118" s="34" t="str">
        <f t="shared" ca="1" si="560"/>
        <v/>
      </c>
      <c r="AZ118" s="34" t="str">
        <f t="shared" ca="1" si="560"/>
        <v/>
      </c>
      <c r="BA118" s="34" t="str">
        <f t="shared" ca="1" si="560"/>
        <v/>
      </c>
      <c r="BB118" s="34" t="str">
        <f t="shared" ca="1" si="560"/>
        <v/>
      </c>
      <c r="BC118" s="34" t="str">
        <f t="shared" ca="1" si="560"/>
        <v/>
      </c>
      <c r="BD118" s="34" t="str">
        <f t="shared" ca="1" si="560"/>
        <v/>
      </c>
      <c r="BE118" s="34" t="str">
        <f t="shared" ca="1" si="560"/>
        <v/>
      </c>
      <c r="BF118" s="34" t="str">
        <f t="shared" ca="1" si="560"/>
        <v/>
      </c>
      <c r="BG118" s="34" t="str">
        <f t="shared" ca="1" si="560"/>
        <v/>
      </c>
      <c r="BH118" s="34" t="str">
        <f t="shared" ca="1" si="560"/>
        <v/>
      </c>
      <c r="BI118" s="34" t="str">
        <f t="shared" ca="1" si="560"/>
        <v/>
      </c>
      <c r="BJ118" s="34" t="str">
        <f t="shared" ca="1" si="560"/>
        <v/>
      </c>
      <c r="BK118" s="34" t="str">
        <f t="shared" ca="1" si="560"/>
        <v/>
      </c>
      <c r="BL118" s="34" t="str">
        <f t="shared" ca="1" si="560"/>
        <v/>
      </c>
      <c r="BM118" s="34" t="str">
        <f t="shared" ca="1" si="560"/>
        <v/>
      </c>
      <c r="BN118" s="34" t="str">
        <f t="shared" ca="1" si="560"/>
        <v/>
      </c>
      <c r="BO118" s="34" t="str">
        <f t="shared" ca="1" si="560"/>
        <v/>
      </c>
      <c r="BP118" s="34" t="str">
        <f t="shared" ref="BP118:CZ118" ca="1" si="561">IF(BP$89="","",IF(BP$89=$M$2,BO118,IF(BP$11&lt;$D$7,OFFSET(INDIRECT($D$3),$A118-1,$Q$3+BP$11),OFFSET(INDIRECT($D$4),$A118-1,$Q$4+BP$11))))</f>
        <v/>
      </c>
      <c r="BQ118" s="34" t="str">
        <f t="shared" ca="1" si="561"/>
        <v/>
      </c>
      <c r="BR118" s="34" t="str">
        <f t="shared" ca="1" si="561"/>
        <v/>
      </c>
      <c r="BS118" s="34" t="str">
        <f t="shared" ca="1" si="561"/>
        <v/>
      </c>
      <c r="BT118" s="34" t="str">
        <f t="shared" ca="1" si="561"/>
        <v/>
      </c>
      <c r="BU118" s="34" t="str">
        <f t="shared" ca="1" si="561"/>
        <v/>
      </c>
      <c r="BV118" s="34" t="str">
        <f t="shared" ca="1" si="561"/>
        <v/>
      </c>
      <c r="BW118" s="34" t="str">
        <f t="shared" ca="1" si="561"/>
        <v/>
      </c>
      <c r="BX118" s="34" t="str">
        <f t="shared" ca="1" si="561"/>
        <v/>
      </c>
      <c r="BY118" s="34" t="str">
        <f t="shared" ca="1" si="561"/>
        <v/>
      </c>
      <c r="BZ118" s="34" t="str">
        <f t="shared" ca="1" si="561"/>
        <v/>
      </c>
      <c r="CA118" s="34" t="str">
        <f t="shared" ca="1" si="561"/>
        <v/>
      </c>
      <c r="CB118" s="34" t="str">
        <f t="shared" ca="1" si="561"/>
        <v/>
      </c>
      <c r="CC118" s="34" t="str">
        <f t="shared" ca="1" si="561"/>
        <v/>
      </c>
      <c r="CD118" s="34" t="str">
        <f t="shared" ca="1" si="561"/>
        <v/>
      </c>
      <c r="CE118" s="34" t="str">
        <f t="shared" ca="1" si="561"/>
        <v/>
      </c>
      <c r="CF118" s="34" t="str">
        <f t="shared" ca="1" si="561"/>
        <v/>
      </c>
      <c r="CG118" s="34" t="str">
        <f t="shared" ca="1" si="561"/>
        <v/>
      </c>
      <c r="CH118" s="34" t="str">
        <f t="shared" ca="1" si="561"/>
        <v/>
      </c>
      <c r="CI118" s="34" t="str">
        <f t="shared" ca="1" si="561"/>
        <v/>
      </c>
      <c r="CJ118" s="34" t="str">
        <f t="shared" ca="1" si="561"/>
        <v/>
      </c>
      <c r="CK118" s="34" t="str">
        <f t="shared" ca="1" si="561"/>
        <v/>
      </c>
      <c r="CL118" s="34" t="str">
        <f t="shared" ca="1" si="561"/>
        <v/>
      </c>
      <c r="CM118" s="34" t="str">
        <f t="shared" ca="1" si="561"/>
        <v/>
      </c>
      <c r="CN118" s="34" t="str">
        <f t="shared" ca="1" si="561"/>
        <v/>
      </c>
      <c r="CO118" s="34" t="str">
        <f t="shared" ca="1" si="561"/>
        <v/>
      </c>
      <c r="CP118" s="34" t="str">
        <f t="shared" ca="1" si="561"/>
        <v/>
      </c>
      <c r="CQ118" s="34" t="str">
        <f t="shared" ca="1" si="561"/>
        <v/>
      </c>
      <c r="CR118" s="34" t="str">
        <f t="shared" ca="1" si="561"/>
        <v/>
      </c>
      <c r="CS118" s="34" t="str">
        <f t="shared" ca="1" si="561"/>
        <v/>
      </c>
      <c r="CT118" s="34" t="str">
        <f t="shared" ca="1" si="561"/>
        <v/>
      </c>
      <c r="CU118" s="34" t="str">
        <f t="shared" ca="1" si="561"/>
        <v/>
      </c>
      <c r="CV118" s="34" t="str">
        <f t="shared" ca="1" si="561"/>
        <v/>
      </c>
      <c r="CW118" s="34" t="str">
        <f t="shared" ca="1" si="561"/>
        <v/>
      </c>
      <c r="CX118" s="34" t="str">
        <f t="shared" ca="1" si="561"/>
        <v/>
      </c>
      <c r="CY118" s="34" t="str">
        <f t="shared" ca="1" si="561"/>
        <v/>
      </c>
      <c r="CZ118" s="34" t="str">
        <f t="shared" ca="1" si="561"/>
        <v/>
      </c>
    </row>
    <row r="119" spans="1:104" ht="13.5" customHeight="1">
      <c r="A119" s="27">
        <v>106</v>
      </c>
      <c r="B119" s="33">
        <f t="shared" si="474"/>
        <v>119</v>
      </c>
      <c r="C119" s="9" t="s">
        <v>383</v>
      </c>
      <c r="D119" s="34">
        <f t="shared" ref="D119:AI119" ca="1" si="562">IF(D$89="","",IF(D$89=$M$2,C119,IF(D$11&lt;$D$7,OFFSET(INDIRECT($D$3),$A119-1,$Q$3+D$11),OFFSET(INDIRECT($D$4),$A119-1,$Q$4+D$11))))</f>
        <v>7777</v>
      </c>
      <c r="E119" s="34">
        <f t="shared" ca="1" si="562"/>
        <v>15452</v>
      </c>
      <c r="F119" s="34">
        <f t="shared" ca="1" si="562"/>
        <v>6241</v>
      </c>
      <c r="G119" s="34">
        <f t="shared" ca="1" si="562"/>
        <v>6749</v>
      </c>
      <c r="H119" s="34">
        <f t="shared" ca="1" si="562"/>
        <v>7777</v>
      </c>
      <c r="I119" s="34">
        <f t="shared" ca="1" si="562"/>
        <v>7816</v>
      </c>
      <c r="J119" s="34">
        <f t="shared" ca="1" si="562"/>
        <v>8847</v>
      </c>
      <c r="K119" s="34">
        <f t="shared" ca="1" si="562"/>
        <v>10487</v>
      </c>
      <c r="L119" s="34">
        <f t="shared" ca="1" si="562"/>
        <v>15452</v>
      </c>
      <c r="M119" s="34">
        <f t="shared" ca="1" si="562"/>
        <v>15422</v>
      </c>
      <c r="N119" s="34">
        <f t="shared" ca="1" si="562"/>
        <v>15422</v>
      </c>
      <c r="O119" s="34" t="str">
        <f t="shared" ca="1" si="562"/>
        <v/>
      </c>
      <c r="P119" s="34" t="str">
        <f t="shared" ca="1" si="562"/>
        <v/>
      </c>
      <c r="Q119" s="34" t="str">
        <f t="shared" ca="1" si="562"/>
        <v/>
      </c>
      <c r="R119" s="34" t="str">
        <f t="shared" ca="1" si="562"/>
        <v/>
      </c>
      <c r="S119" s="34" t="str">
        <f t="shared" ca="1" si="562"/>
        <v/>
      </c>
      <c r="T119" s="34" t="str">
        <f t="shared" ca="1" si="562"/>
        <v/>
      </c>
      <c r="U119" s="34" t="str">
        <f t="shared" ca="1" si="562"/>
        <v/>
      </c>
      <c r="V119" s="34" t="str">
        <f t="shared" ca="1" si="562"/>
        <v/>
      </c>
      <c r="W119" s="34" t="str">
        <f t="shared" ca="1" si="562"/>
        <v/>
      </c>
      <c r="X119" s="34" t="str">
        <f t="shared" ca="1" si="562"/>
        <v/>
      </c>
      <c r="Y119" s="34" t="str">
        <f t="shared" ca="1" si="562"/>
        <v/>
      </c>
      <c r="Z119" s="34" t="str">
        <f t="shared" ca="1" si="562"/>
        <v/>
      </c>
      <c r="AA119" s="34" t="str">
        <f t="shared" ca="1" si="562"/>
        <v/>
      </c>
      <c r="AB119" s="34" t="str">
        <f t="shared" ca="1" si="562"/>
        <v/>
      </c>
      <c r="AC119" s="34" t="str">
        <f t="shared" ca="1" si="562"/>
        <v/>
      </c>
      <c r="AD119" s="34" t="str">
        <f t="shared" ca="1" si="562"/>
        <v/>
      </c>
      <c r="AE119" s="34" t="str">
        <f t="shared" ca="1" si="562"/>
        <v/>
      </c>
      <c r="AF119" s="34" t="str">
        <f t="shared" ca="1" si="562"/>
        <v/>
      </c>
      <c r="AG119" s="34" t="str">
        <f t="shared" ca="1" si="562"/>
        <v/>
      </c>
      <c r="AH119" s="34" t="str">
        <f t="shared" ca="1" si="562"/>
        <v/>
      </c>
      <c r="AI119" s="34" t="str">
        <f t="shared" ca="1" si="562"/>
        <v/>
      </c>
      <c r="AJ119" s="34" t="str">
        <f t="shared" ref="AJ119:BO119" ca="1" si="563">IF(AJ$89="","",IF(AJ$89=$M$2,AI119,IF(AJ$11&lt;$D$7,OFFSET(INDIRECT($D$3),$A119-1,$Q$3+AJ$11),OFFSET(INDIRECT($D$4),$A119-1,$Q$4+AJ$11))))</f>
        <v/>
      </c>
      <c r="AK119" s="34" t="str">
        <f t="shared" ca="1" si="563"/>
        <v/>
      </c>
      <c r="AL119" s="34" t="str">
        <f t="shared" ca="1" si="563"/>
        <v/>
      </c>
      <c r="AM119" s="34" t="str">
        <f t="shared" ca="1" si="563"/>
        <v/>
      </c>
      <c r="AN119" s="34" t="str">
        <f t="shared" ca="1" si="563"/>
        <v/>
      </c>
      <c r="AO119" s="34" t="str">
        <f t="shared" ca="1" si="563"/>
        <v/>
      </c>
      <c r="AP119" s="34" t="str">
        <f t="shared" ca="1" si="563"/>
        <v/>
      </c>
      <c r="AQ119" s="34" t="str">
        <f t="shared" ca="1" si="563"/>
        <v/>
      </c>
      <c r="AR119" s="34" t="str">
        <f t="shared" ca="1" si="563"/>
        <v/>
      </c>
      <c r="AS119" s="34" t="str">
        <f t="shared" ca="1" si="563"/>
        <v/>
      </c>
      <c r="AT119" s="34" t="str">
        <f t="shared" ca="1" si="563"/>
        <v/>
      </c>
      <c r="AU119" s="34" t="str">
        <f t="shared" ca="1" si="563"/>
        <v/>
      </c>
      <c r="AV119" s="34" t="str">
        <f t="shared" ca="1" si="563"/>
        <v/>
      </c>
      <c r="AW119" s="34" t="str">
        <f t="shared" ca="1" si="563"/>
        <v/>
      </c>
      <c r="AX119" s="34" t="str">
        <f t="shared" ca="1" si="563"/>
        <v/>
      </c>
      <c r="AY119" s="34" t="str">
        <f t="shared" ca="1" si="563"/>
        <v/>
      </c>
      <c r="AZ119" s="34" t="str">
        <f t="shared" ca="1" si="563"/>
        <v/>
      </c>
      <c r="BA119" s="34" t="str">
        <f t="shared" ca="1" si="563"/>
        <v/>
      </c>
      <c r="BB119" s="34" t="str">
        <f t="shared" ca="1" si="563"/>
        <v/>
      </c>
      <c r="BC119" s="34" t="str">
        <f t="shared" ca="1" si="563"/>
        <v/>
      </c>
      <c r="BD119" s="34" t="str">
        <f t="shared" ca="1" si="563"/>
        <v/>
      </c>
      <c r="BE119" s="34" t="str">
        <f t="shared" ca="1" si="563"/>
        <v/>
      </c>
      <c r="BF119" s="34" t="str">
        <f t="shared" ca="1" si="563"/>
        <v/>
      </c>
      <c r="BG119" s="34" t="str">
        <f t="shared" ca="1" si="563"/>
        <v/>
      </c>
      <c r="BH119" s="34" t="str">
        <f t="shared" ca="1" si="563"/>
        <v/>
      </c>
      <c r="BI119" s="34" t="str">
        <f t="shared" ca="1" si="563"/>
        <v/>
      </c>
      <c r="BJ119" s="34" t="str">
        <f t="shared" ca="1" si="563"/>
        <v/>
      </c>
      <c r="BK119" s="34" t="str">
        <f t="shared" ca="1" si="563"/>
        <v/>
      </c>
      <c r="BL119" s="34" t="str">
        <f t="shared" ca="1" si="563"/>
        <v/>
      </c>
      <c r="BM119" s="34" t="str">
        <f t="shared" ca="1" si="563"/>
        <v/>
      </c>
      <c r="BN119" s="34" t="str">
        <f t="shared" ca="1" si="563"/>
        <v/>
      </c>
      <c r="BO119" s="34" t="str">
        <f t="shared" ca="1" si="563"/>
        <v/>
      </c>
      <c r="BP119" s="34" t="str">
        <f t="shared" ref="BP119:CZ119" ca="1" si="564">IF(BP$89="","",IF(BP$89=$M$2,BO119,IF(BP$11&lt;$D$7,OFFSET(INDIRECT($D$3),$A119-1,$Q$3+BP$11),OFFSET(INDIRECT($D$4),$A119-1,$Q$4+BP$11))))</f>
        <v/>
      </c>
      <c r="BQ119" s="34" t="str">
        <f t="shared" ca="1" si="564"/>
        <v/>
      </c>
      <c r="BR119" s="34" t="str">
        <f t="shared" ca="1" si="564"/>
        <v/>
      </c>
      <c r="BS119" s="34" t="str">
        <f t="shared" ca="1" si="564"/>
        <v/>
      </c>
      <c r="BT119" s="34" t="str">
        <f t="shared" ca="1" si="564"/>
        <v/>
      </c>
      <c r="BU119" s="34" t="str">
        <f t="shared" ca="1" si="564"/>
        <v/>
      </c>
      <c r="BV119" s="34" t="str">
        <f t="shared" ca="1" si="564"/>
        <v/>
      </c>
      <c r="BW119" s="34" t="str">
        <f t="shared" ca="1" si="564"/>
        <v/>
      </c>
      <c r="BX119" s="34" t="str">
        <f t="shared" ca="1" si="564"/>
        <v/>
      </c>
      <c r="BY119" s="34" t="str">
        <f t="shared" ca="1" si="564"/>
        <v/>
      </c>
      <c r="BZ119" s="34" t="str">
        <f t="shared" ca="1" si="564"/>
        <v/>
      </c>
      <c r="CA119" s="34" t="str">
        <f t="shared" ca="1" si="564"/>
        <v/>
      </c>
      <c r="CB119" s="34" t="str">
        <f t="shared" ca="1" si="564"/>
        <v/>
      </c>
      <c r="CC119" s="34" t="str">
        <f t="shared" ca="1" si="564"/>
        <v/>
      </c>
      <c r="CD119" s="34" t="str">
        <f t="shared" ca="1" si="564"/>
        <v/>
      </c>
      <c r="CE119" s="34" t="str">
        <f t="shared" ca="1" si="564"/>
        <v/>
      </c>
      <c r="CF119" s="34" t="str">
        <f t="shared" ca="1" si="564"/>
        <v/>
      </c>
      <c r="CG119" s="34" t="str">
        <f t="shared" ca="1" si="564"/>
        <v/>
      </c>
      <c r="CH119" s="34" t="str">
        <f t="shared" ca="1" si="564"/>
        <v/>
      </c>
      <c r="CI119" s="34" t="str">
        <f t="shared" ca="1" si="564"/>
        <v/>
      </c>
      <c r="CJ119" s="34" t="str">
        <f t="shared" ca="1" si="564"/>
        <v/>
      </c>
      <c r="CK119" s="34" t="str">
        <f t="shared" ca="1" si="564"/>
        <v/>
      </c>
      <c r="CL119" s="34" t="str">
        <f t="shared" ca="1" si="564"/>
        <v/>
      </c>
      <c r="CM119" s="34" t="str">
        <f t="shared" ca="1" si="564"/>
        <v/>
      </c>
      <c r="CN119" s="34" t="str">
        <f t="shared" ca="1" si="564"/>
        <v/>
      </c>
      <c r="CO119" s="34" t="str">
        <f t="shared" ca="1" si="564"/>
        <v/>
      </c>
      <c r="CP119" s="34" t="str">
        <f t="shared" ca="1" si="564"/>
        <v/>
      </c>
      <c r="CQ119" s="34" t="str">
        <f t="shared" ca="1" si="564"/>
        <v/>
      </c>
      <c r="CR119" s="34" t="str">
        <f t="shared" ca="1" si="564"/>
        <v/>
      </c>
      <c r="CS119" s="34" t="str">
        <f t="shared" ca="1" si="564"/>
        <v/>
      </c>
      <c r="CT119" s="34" t="str">
        <f t="shared" ca="1" si="564"/>
        <v/>
      </c>
      <c r="CU119" s="34" t="str">
        <f t="shared" ca="1" si="564"/>
        <v/>
      </c>
      <c r="CV119" s="34" t="str">
        <f t="shared" ca="1" si="564"/>
        <v/>
      </c>
      <c r="CW119" s="34" t="str">
        <f t="shared" ca="1" si="564"/>
        <v/>
      </c>
      <c r="CX119" s="34" t="str">
        <f t="shared" ca="1" si="564"/>
        <v/>
      </c>
      <c r="CY119" s="34" t="str">
        <f t="shared" ca="1" si="564"/>
        <v/>
      </c>
      <c r="CZ119" s="34" t="str">
        <f t="shared" ca="1" si="564"/>
        <v/>
      </c>
    </row>
    <row r="120" spans="1:104" ht="13.5" customHeight="1">
      <c r="A120" s="28"/>
      <c r="B120" s="33">
        <f t="shared" si="474"/>
        <v>120</v>
      </c>
      <c r="C120" s="9" t="s">
        <v>384</v>
      </c>
      <c r="D120" s="34">
        <f t="shared" ref="D120:AI120" ca="1" si="565">IF(D$89="","",IF(D$89=$M$2,C120,SUM(D121:D122)))</f>
        <v>4432</v>
      </c>
      <c r="E120" s="34">
        <f t="shared" ca="1" si="565"/>
        <v>5359</v>
      </c>
      <c r="F120" s="34">
        <f t="shared" ca="1" si="565"/>
        <v>1248</v>
      </c>
      <c r="G120" s="34">
        <f t="shared" ca="1" si="565"/>
        <v>1910</v>
      </c>
      <c r="H120" s="34">
        <f t="shared" ca="1" si="565"/>
        <v>4432</v>
      </c>
      <c r="I120" s="34">
        <f t="shared" ca="1" si="565"/>
        <v>4368</v>
      </c>
      <c r="J120" s="34">
        <f t="shared" ca="1" si="565"/>
        <v>4745</v>
      </c>
      <c r="K120" s="34">
        <f t="shared" ca="1" si="565"/>
        <v>5461</v>
      </c>
      <c r="L120" s="34">
        <f t="shared" ca="1" si="565"/>
        <v>5359</v>
      </c>
      <c r="M120" s="34">
        <f t="shared" ca="1" si="565"/>
        <v>5843</v>
      </c>
      <c r="N120" s="34">
        <f t="shared" ca="1" si="565"/>
        <v>5843</v>
      </c>
      <c r="O120" s="34" t="str">
        <f t="shared" ca="1" si="565"/>
        <v/>
      </c>
      <c r="P120" s="34" t="str">
        <f t="shared" ca="1" si="565"/>
        <v/>
      </c>
      <c r="Q120" s="34" t="str">
        <f t="shared" ca="1" si="565"/>
        <v/>
      </c>
      <c r="R120" s="34" t="str">
        <f t="shared" si="565"/>
        <v/>
      </c>
      <c r="S120" s="34" t="str">
        <f t="shared" si="565"/>
        <v/>
      </c>
      <c r="T120" s="34" t="str">
        <f t="shared" si="565"/>
        <v/>
      </c>
      <c r="U120" s="34" t="str">
        <f t="shared" si="565"/>
        <v/>
      </c>
      <c r="V120" s="34" t="str">
        <f t="shared" si="565"/>
        <v/>
      </c>
      <c r="W120" s="34" t="str">
        <f t="shared" si="565"/>
        <v/>
      </c>
      <c r="X120" s="34" t="str">
        <f t="shared" si="565"/>
        <v/>
      </c>
      <c r="Y120" s="34" t="str">
        <f t="shared" si="565"/>
        <v/>
      </c>
      <c r="Z120" s="34" t="str">
        <f t="shared" si="565"/>
        <v/>
      </c>
      <c r="AA120" s="34" t="str">
        <f t="shared" si="565"/>
        <v/>
      </c>
      <c r="AB120" s="34" t="str">
        <f t="shared" si="565"/>
        <v/>
      </c>
      <c r="AC120" s="34" t="str">
        <f t="shared" si="565"/>
        <v/>
      </c>
      <c r="AD120" s="34" t="str">
        <f t="shared" si="565"/>
        <v/>
      </c>
      <c r="AE120" s="34" t="str">
        <f t="shared" si="565"/>
        <v/>
      </c>
      <c r="AF120" s="34" t="str">
        <f t="shared" si="565"/>
        <v/>
      </c>
      <c r="AG120" s="34" t="str">
        <f t="shared" si="565"/>
        <v/>
      </c>
      <c r="AH120" s="34" t="str">
        <f t="shared" si="565"/>
        <v/>
      </c>
      <c r="AI120" s="34" t="str">
        <f t="shared" si="565"/>
        <v/>
      </c>
      <c r="AJ120" s="34" t="str">
        <f t="shared" ref="AJ120:BO120" si="566">IF(AJ$89="","",IF(AJ$89=$M$2,AI120,SUM(AJ121:AJ122)))</f>
        <v/>
      </c>
      <c r="AK120" s="34" t="str">
        <f t="shared" si="566"/>
        <v/>
      </c>
      <c r="AL120" s="34" t="str">
        <f t="shared" si="566"/>
        <v/>
      </c>
      <c r="AM120" s="34" t="str">
        <f t="shared" si="566"/>
        <v/>
      </c>
      <c r="AN120" s="34" t="str">
        <f t="shared" si="566"/>
        <v/>
      </c>
      <c r="AO120" s="34" t="str">
        <f t="shared" si="566"/>
        <v/>
      </c>
      <c r="AP120" s="34" t="str">
        <f t="shared" si="566"/>
        <v/>
      </c>
      <c r="AQ120" s="34" t="str">
        <f t="shared" si="566"/>
        <v/>
      </c>
      <c r="AR120" s="34" t="str">
        <f t="shared" si="566"/>
        <v/>
      </c>
      <c r="AS120" s="34" t="str">
        <f t="shared" si="566"/>
        <v/>
      </c>
      <c r="AT120" s="34" t="str">
        <f t="shared" si="566"/>
        <v/>
      </c>
      <c r="AU120" s="34" t="str">
        <f t="shared" si="566"/>
        <v/>
      </c>
      <c r="AV120" s="34" t="str">
        <f t="shared" si="566"/>
        <v/>
      </c>
      <c r="AW120" s="34" t="str">
        <f t="shared" si="566"/>
        <v/>
      </c>
      <c r="AX120" s="34" t="str">
        <f t="shared" si="566"/>
        <v/>
      </c>
      <c r="AY120" s="34" t="str">
        <f t="shared" si="566"/>
        <v/>
      </c>
      <c r="AZ120" s="34" t="str">
        <f t="shared" si="566"/>
        <v/>
      </c>
      <c r="BA120" s="34" t="str">
        <f t="shared" si="566"/>
        <v/>
      </c>
      <c r="BB120" s="34" t="str">
        <f t="shared" si="566"/>
        <v/>
      </c>
      <c r="BC120" s="34" t="str">
        <f t="shared" si="566"/>
        <v/>
      </c>
      <c r="BD120" s="34" t="str">
        <f t="shared" si="566"/>
        <v/>
      </c>
      <c r="BE120" s="34" t="str">
        <f t="shared" si="566"/>
        <v/>
      </c>
      <c r="BF120" s="34" t="str">
        <f t="shared" si="566"/>
        <v/>
      </c>
      <c r="BG120" s="34" t="str">
        <f t="shared" si="566"/>
        <v/>
      </c>
      <c r="BH120" s="34" t="str">
        <f t="shared" si="566"/>
        <v/>
      </c>
      <c r="BI120" s="34" t="str">
        <f t="shared" si="566"/>
        <v/>
      </c>
      <c r="BJ120" s="34" t="str">
        <f t="shared" si="566"/>
        <v/>
      </c>
      <c r="BK120" s="34" t="str">
        <f t="shared" si="566"/>
        <v/>
      </c>
      <c r="BL120" s="34" t="str">
        <f t="shared" si="566"/>
        <v/>
      </c>
      <c r="BM120" s="34" t="str">
        <f t="shared" si="566"/>
        <v/>
      </c>
      <c r="BN120" s="34" t="str">
        <f t="shared" si="566"/>
        <v/>
      </c>
      <c r="BO120" s="34" t="str">
        <f t="shared" si="566"/>
        <v/>
      </c>
      <c r="BP120" s="34" t="str">
        <f t="shared" ref="BP120:CU120" si="567">IF(BP$89="","",IF(BP$89=$M$2,BO120,SUM(BP121:BP122)))</f>
        <v/>
      </c>
      <c r="BQ120" s="34" t="str">
        <f t="shared" si="567"/>
        <v/>
      </c>
      <c r="BR120" s="34" t="str">
        <f t="shared" si="567"/>
        <v/>
      </c>
      <c r="BS120" s="34" t="str">
        <f t="shared" si="567"/>
        <v/>
      </c>
      <c r="BT120" s="34" t="str">
        <f t="shared" si="567"/>
        <v/>
      </c>
      <c r="BU120" s="34" t="str">
        <f t="shared" si="567"/>
        <v/>
      </c>
      <c r="BV120" s="34" t="str">
        <f t="shared" si="567"/>
        <v/>
      </c>
      <c r="BW120" s="34" t="str">
        <f t="shared" si="567"/>
        <v/>
      </c>
      <c r="BX120" s="34" t="str">
        <f t="shared" si="567"/>
        <v/>
      </c>
      <c r="BY120" s="34" t="str">
        <f t="shared" si="567"/>
        <v/>
      </c>
      <c r="BZ120" s="34" t="str">
        <f t="shared" si="567"/>
        <v/>
      </c>
      <c r="CA120" s="34" t="str">
        <f t="shared" si="567"/>
        <v/>
      </c>
      <c r="CB120" s="34" t="str">
        <f t="shared" si="567"/>
        <v/>
      </c>
      <c r="CC120" s="34" t="str">
        <f t="shared" si="567"/>
        <v/>
      </c>
      <c r="CD120" s="34" t="str">
        <f t="shared" si="567"/>
        <v/>
      </c>
      <c r="CE120" s="34" t="str">
        <f t="shared" si="567"/>
        <v/>
      </c>
      <c r="CF120" s="34" t="str">
        <f t="shared" si="567"/>
        <v/>
      </c>
      <c r="CG120" s="34" t="str">
        <f t="shared" si="567"/>
        <v/>
      </c>
      <c r="CH120" s="34" t="str">
        <f t="shared" si="567"/>
        <v/>
      </c>
      <c r="CI120" s="34" t="str">
        <f t="shared" si="567"/>
        <v/>
      </c>
      <c r="CJ120" s="34" t="str">
        <f t="shared" si="567"/>
        <v/>
      </c>
      <c r="CK120" s="34" t="str">
        <f t="shared" si="567"/>
        <v/>
      </c>
      <c r="CL120" s="34" t="str">
        <f t="shared" si="567"/>
        <v/>
      </c>
      <c r="CM120" s="34" t="str">
        <f t="shared" si="567"/>
        <v/>
      </c>
      <c r="CN120" s="34" t="str">
        <f t="shared" si="567"/>
        <v/>
      </c>
      <c r="CO120" s="34" t="str">
        <f t="shared" si="567"/>
        <v/>
      </c>
      <c r="CP120" s="34" t="str">
        <f t="shared" si="567"/>
        <v/>
      </c>
      <c r="CQ120" s="34" t="str">
        <f t="shared" si="567"/>
        <v/>
      </c>
      <c r="CR120" s="34" t="str">
        <f t="shared" si="567"/>
        <v/>
      </c>
      <c r="CS120" s="34" t="str">
        <f t="shared" si="567"/>
        <v/>
      </c>
      <c r="CT120" s="34" t="str">
        <f t="shared" si="567"/>
        <v/>
      </c>
      <c r="CU120" s="34" t="str">
        <f t="shared" si="567"/>
        <v/>
      </c>
      <c r="CV120" s="34" t="str">
        <f t="shared" ref="CV120:CZ120" si="568">IF(CV$89="","",IF(CV$89=$M$2,CU120,SUM(CV121:CV122)))</f>
        <v/>
      </c>
      <c r="CW120" s="34" t="str">
        <f t="shared" si="568"/>
        <v/>
      </c>
      <c r="CX120" s="34" t="str">
        <f t="shared" si="568"/>
        <v/>
      </c>
      <c r="CY120" s="34" t="str">
        <f t="shared" si="568"/>
        <v/>
      </c>
      <c r="CZ120" s="34" t="str">
        <f t="shared" si="568"/>
        <v/>
      </c>
    </row>
    <row r="121" spans="1:104" ht="13.5" customHeight="1">
      <c r="A121" s="27">
        <v>107</v>
      </c>
      <c r="B121" s="33">
        <f t="shared" si="474"/>
        <v>121</v>
      </c>
      <c r="C121" s="8" t="s">
        <v>385</v>
      </c>
      <c r="D121" s="34">
        <f t="shared" ref="D121:AI121" ca="1" si="569">IF(D$89="","",IF(D$89=$M$2,C121,IF(D$11&lt;$D$7,OFFSET(INDIRECT($D$3),$A121-1,$Q$3+D$11),OFFSET(INDIRECT($D$4),$A121-1,$Q$4+D$11))))</f>
        <v>3536</v>
      </c>
      <c r="E121" s="34">
        <f t="shared" ca="1" si="569"/>
        <v>4224</v>
      </c>
      <c r="F121" s="34">
        <f t="shared" ca="1" si="569"/>
        <v>507</v>
      </c>
      <c r="G121" s="34">
        <f t="shared" ca="1" si="569"/>
        <v>1169</v>
      </c>
      <c r="H121" s="34">
        <f t="shared" ca="1" si="569"/>
        <v>3536</v>
      </c>
      <c r="I121" s="34">
        <f t="shared" ca="1" si="569"/>
        <v>3472</v>
      </c>
      <c r="J121" s="34">
        <f t="shared" ca="1" si="569"/>
        <v>3604</v>
      </c>
      <c r="K121" s="34">
        <f t="shared" ca="1" si="569"/>
        <v>4329</v>
      </c>
      <c r="L121" s="34">
        <f t="shared" ca="1" si="569"/>
        <v>4224</v>
      </c>
      <c r="M121" s="34">
        <f t="shared" ca="1" si="569"/>
        <v>4462</v>
      </c>
      <c r="N121" s="34">
        <f t="shared" ca="1" si="569"/>
        <v>4462</v>
      </c>
      <c r="O121" s="34" t="str">
        <f t="shared" ca="1" si="569"/>
        <v/>
      </c>
      <c r="P121" s="34" t="str">
        <f t="shared" ca="1" si="569"/>
        <v/>
      </c>
      <c r="Q121" s="34" t="str">
        <f t="shared" ca="1" si="569"/>
        <v/>
      </c>
      <c r="R121" s="34" t="str">
        <f t="shared" ca="1" si="569"/>
        <v/>
      </c>
      <c r="S121" s="34" t="str">
        <f t="shared" ca="1" si="569"/>
        <v/>
      </c>
      <c r="T121" s="34" t="str">
        <f t="shared" ca="1" si="569"/>
        <v/>
      </c>
      <c r="U121" s="34" t="str">
        <f t="shared" ca="1" si="569"/>
        <v/>
      </c>
      <c r="V121" s="34" t="str">
        <f t="shared" ca="1" si="569"/>
        <v/>
      </c>
      <c r="W121" s="34" t="str">
        <f t="shared" ca="1" si="569"/>
        <v/>
      </c>
      <c r="X121" s="34" t="str">
        <f t="shared" ca="1" si="569"/>
        <v/>
      </c>
      <c r="Y121" s="34" t="str">
        <f t="shared" ca="1" si="569"/>
        <v/>
      </c>
      <c r="Z121" s="34" t="str">
        <f t="shared" ca="1" si="569"/>
        <v/>
      </c>
      <c r="AA121" s="34" t="str">
        <f t="shared" ca="1" si="569"/>
        <v/>
      </c>
      <c r="AB121" s="34" t="str">
        <f t="shared" ca="1" si="569"/>
        <v/>
      </c>
      <c r="AC121" s="34" t="str">
        <f t="shared" ca="1" si="569"/>
        <v/>
      </c>
      <c r="AD121" s="34" t="str">
        <f t="shared" ca="1" si="569"/>
        <v/>
      </c>
      <c r="AE121" s="34" t="str">
        <f t="shared" ca="1" si="569"/>
        <v/>
      </c>
      <c r="AF121" s="34" t="str">
        <f t="shared" ca="1" si="569"/>
        <v/>
      </c>
      <c r="AG121" s="34" t="str">
        <f t="shared" ca="1" si="569"/>
        <v/>
      </c>
      <c r="AH121" s="34" t="str">
        <f t="shared" ca="1" si="569"/>
        <v/>
      </c>
      <c r="AI121" s="34" t="str">
        <f t="shared" ca="1" si="569"/>
        <v/>
      </c>
      <c r="AJ121" s="34" t="str">
        <f t="shared" ref="AJ121:BO121" ca="1" si="570">IF(AJ$89="","",IF(AJ$89=$M$2,AI121,IF(AJ$11&lt;$D$7,OFFSET(INDIRECT($D$3),$A121-1,$Q$3+AJ$11),OFFSET(INDIRECT($D$4),$A121-1,$Q$4+AJ$11))))</f>
        <v/>
      </c>
      <c r="AK121" s="34" t="str">
        <f t="shared" ca="1" si="570"/>
        <v/>
      </c>
      <c r="AL121" s="34" t="str">
        <f t="shared" ca="1" si="570"/>
        <v/>
      </c>
      <c r="AM121" s="34" t="str">
        <f t="shared" ca="1" si="570"/>
        <v/>
      </c>
      <c r="AN121" s="34" t="str">
        <f t="shared" ca="1" si="570"/>
        <v/>
      </c>
      <c r="AO121" s="34" t="str">
        <f t="shared" ca="1" si="570"/>
        <v/>
      </c>
      <c r="AP121" s="34" t="str">
        <f t="shared" ca="1" si="570"/>
        <v/>
      </c>
      <c r="AQ121" s="34" t="str">
        <f t="shared" ca="1" si="570"/>
        <v/>
      </c>
      <c r="AR121" s="34" t="str">
        <f t="shared" ca="1" si="570"/>
        <v/>
      </c>
      <c r="AS121" s="34" t="str">
        <f t="shared" ca="1" si="570"/>
        <v/>
      </c>
      <c r="AT121" s="34" t="str">
        <f t="shared" ca="1" si="570"/>
        <v/>
      </c>
      <c r="AU121" s="34" t="str">
        <f t="shared" ca="1" si="570"/>
        <v/>
      </c>
      <c r="AV121" s="34" t="str">
        <f t="shared" ca="1" si="570"/>
        <v/>
      </c>
      <c r="AW121" s="34" t="str">
        <f t="shared" ca="1" si="570"/>
        <v/>
      </c>
      <c r="AX121" s="34" t="str">
        <f t="shared" ca="1" si="570"/>
        <v/>
      </c>
      <c r="AY121" s="34" t="str">
        <f t="shared" ca="1" si="570"/>
        <v/>
      </c>
      <c r="AZ121" s="34" t="str">
        <f t="shared" ca="1" si="570"/>
        <v/>
      </c>
      <c r="BA121" s="34" t="str">
        <f t="shared" ca="1" si="570"/>
        <v/>
      </c>
      <c r="BB121" s="34" t="str">
        <f t="shared" ca="1" si="570"/>
        <v/>
      </c>
      <c r="BC121" s="34" t="str">
        <f t="shared" ca="1" si="570"/>
        <v/>
      </c>
      <c r="BD121" s="34" t="str">
        <f t="shared" ca="1" si="570"/>
        <v/>
      </c>
      <c r="BE121" s="34" t="str">
        <f t="shared" ca="1" si="570"/>
        <v/>
      </c>
      <c r="BF121" s="34" t="str">
        <f t="shared" ca="1" si="570"/>
        <v/>
      </c>
      <c r="BG121" s="34" t="str">
        <f t="shared" ca="1" si="570"/>
        <v/>
      </c>
      <c r="BH121" s="34" t="str">
        <f t="shared" ca="1" si="570"/>
        <v/>
      </c>
      <c r="BI121" s="34" t="str">
        <f t="shared" ca="1" si="570"/>
        <v/>
      </c>
      <c r="BJ121" s="34" t="str">
        <f t="shared" ca="1" si="570"/>
        <v/>
      </c>
      <c r="BK121" s="34" t="str">
        <f t="shared" ca="1" si="570"/>
        <v/>
      </c>
      <c r="BL121" s="34" t="str">
        <f t="shared" ca="1" si="570"/>
        <v/>
      </c>
      <c r="BM121" s="34" t="str">
        <f t="shared" ca="1" si="570"/>
        <v/>
      </c>
      <c r="BN121" s="34" t="str">
        <f t="shared" ca="1" si="570"/>
        <v/>
      </c>
      <c r="BO121" s="34" t="str">
        <f t="shared" ca="1" si="570"/>
        <v/>
      </c>
      <c r="BP121" s="34" t="str">
        <f t="shared" ref="BP121:CZ121" ca="1" si="571">IF(BP$89="","",IF(BP$89=$M$2,BO121,IF(BP$11&lt;$D$7,OFFSET(INDIRECT($D$3),$A121-1,$Q$3+BP$11),OFFSET(INDIRECT($D$4),$A121-1,$Q$4+BP$11))))</f>
        <v/>
      </c>
      <c r="BQ121" s="34" t="str">
        <f t="shared" ca="1" si="571"/>
        <v/>
      </c>
      <c r="BR121" s="34" t="str">
        <f t="shared" ca="1" si="571"/>
        <v/>
      </c>
      <c r="BS121" s="34" t="str">
        <f t="shared" ca="1" si="571"/>
        <v/>
      </c>
      <c r="BT121" s="34" t="str">
        <f t="shared" ca="1" si="571"/>
        <v/>
      </c>
      <c r="BU121" s="34" t="str">
        <f t="shared" ca="1" si="571"/>
        <v/>
      </c>
      <c r="BV121" s="34" t="str">
        <f t="shared" ca="1" si="571"/>
        <v/>
      </c>
      <c r="BW121" s="34" t="str">
        <f t="shared" ca="1" si="571"/>
        <v/>
      </c>
      <c r="BX121" s="34" t="str">
        <f t="shared" ca="1" si="571"/>
        <v/>
      </c>
      <c r="BY121" s="34" t="str">
        <f t="shared" ca="1" si="571"/>
        <v/>
      </c>
      <c r="BZ121" s="34" t="str">
        <f t="shared" ca="1" si="571"/>
        <v/>
      </c>
      <c r="CA121" s="34" t="str">
        <f t="shared" ca="1" si="571"/>
        <v/>
      </c>
      <c r="CB121" s="34" t="str">
        <f t="shared" ca="1" si="571"/>
        <v/>
      </c>
      <c r="CC121" s="34" t="str">
        <f t="shared" ca="1" si="571"/>
        <v/>
      </c>
      <c r="CD121" s="34" t="str">
        <f t="shared" ca="1" si="571"/>
        <v/>
      </c>
      <c r="CE121" s="34" t="str">
        <f t="shared" ca="1" si="571"/>
        <v/>
      </c>
      <c r="CF121" s="34" t="str">
        <f t="shared" ca="1" si="571"/>
        <v/>
      </c>
      <c r="CG121" s="34" t="str">
        <f t="shared" ca="1" si="571"/>
        <v/>
      </c>
      <c r="CH121" s="34" t="str">
        <f t="shared" ca="1" si="571"/>
        <v/>
      </c>
      <c r="CI121" s="34" t="str">
        <f t="shared" ca="1" si="571"/>
        <v/>
      </c>
      <c r="CJ121" s="34" t="str">
        <f t="shared" ca="1" si="571"/>
        <v/>
      </c>
      <c r="CK121" s="34" t="str">
        <f t="shared" ca="1" si="571"/>
        <v/>
      </c>
      <c r="CL121" s="34" t="str">
        <f t="shared" ca="1" si="571"/>
        <v/>
      </c>
      <c r="CM121" s="34" t="str">
        <f t="shared" ca="1" si="571"/>
        <v/>
      </c>
      <c r="CN121" s="34" t="str">
        <f t="shared" ca="1" si="571"/>
        <v/>
      </c>
      <c r="CO121" s="34" t="str">
        <f t="shared" ca="1" si="571"/>
        <v/>
      </c>
      <c r="CP121" s="34" t="str">
        <f t="shared" ca="1" si="571"/>
        <v/>
      </c>
      <c r="CQ121" s="34" t="str">
        <f t="shared" ca="1" si="571"/>
        <v/>
      </c>
      <c r="CR121" s="34" t="str">
        <f t="shared" ca="1" si="571"/>
        <v/>
      </c>
      <c r="CS121" s="34" t="str">
        <f t="shared" ca="1" si="571"/>
        <v/>
      </c>
      <c r="CT121" s="34" t="str">
        <f t="shared" ca="1" si="571"/>
        <v/>
      </c>
      <c r="CU121" s="34" t="str">
        <f t="shared" ca="1" si="571"/>
        <v/>
      </c>
      <c r="CV121" s="34" t="str">
        <f t="shared" ca="1" si="571"/>
        <v/>
      </c>
      <c r="CW121" s="34" t="str">
        <f t="shared" ca="1" si="571"/>
        <v/>
      </c>
      <c r="CX121" s="34" t="str">
        <f t="shared" ca="1" si="571"/>
        <v/>
      </c>
      <c r="CY121" s="34" t="str">
        <f t="shared" ca="1" si="571"/>
        <v/>
      </c>
      <c r="CZ121" s="34" t="str">
        <f t="shared" ca="1" si="571"/>
        <v/>
      </c>
    </row>
    <row r="122" spans="1:104" ht="13.5" customHeight="1">
      <c r="A122" s="27">
        <v>108</v>
      </c>
      <c r="B122" s="33">
        <f t="shared" si="474"/>
        <v>122</v>
      </c>
      <c r="C122" s="8" t="s">
        <v>386</v>
      </c>
      <c r="D122" s="34">
        <f t="shared" ref="D122:AI122" ca="1" si="572">IF(D$89="","",IF(D$89=$M$2,C122,IF(D$11&lt;$D$7,OFFSET(INDIRECT($D$3),$A122-1,$Q$3+D$11),OFFSET(INDIRECT($D$4),$A122-1,$Q$4+D$11))))</f>
        <v>896</v>
      </c>
      <c r="E122" s="34">
        <f t="shared" ca="1" si="572"/>
        <v>1135</v>
      </c>
      <c r="F122" s="34">
        <f t="shared" ca="1" si="572"/>
        <v>741</v>
      </c>
      <c r="G122" s="34">
        <f t="shared" ca="1" si="572"/>
        <v>741</v>
      </c>
      <c r="H122" s="34">
        <f t="shared" ca="1" si="572"/>
        <v>896</v>
      </c>
      <c r="I122" s="34">
        <f t="shared" ca="1" si="572"/>
        <v>896</v>
      </c>
      <c r="J122" s="34">
        <f t="shared" ca="1" si="572"/>
        <v>1141</v>
      </c>
      <c r="K122" s="34">
        <f t="shared" ca="1" si="572"/>
        <v>1132</v>
      </c>
      <c r="L122" s="34">
        <f t="shared" ca="1" si="572"/>
        <v>1135</v>
      </c>
      <c r="M122" s="34">
        <f t="shared" ca="1" si="572"/>
        <v>1381</v>
      </c>
      <c r="N122" s="34">
        <f t="shared" ca="1" si="572"/>
        <v>1381</v>
      </c>
      <c r="O122" s="34" t="str">
        <f t="shared" ca="1" si="572"/>
        <v/>
      </c>
      <c r="P122" s="34" t="str">
        <f t="shared" ca="1" si="572"/>
        <v/>
      </c>
      <c r="Q122" s="34" t="str">
        <f t="shared" ca="1" si="572"/>
        <v/>
      </c>
      <c r="R122" s="34" t="str">
        <f t="shared" ca="1" si="572"/>
        <v/>
      </c>
      <c r="S122" s="34" t="str">
        <f t="shared" ca="1" si="572"/>
        <v/>
      </c>
      <c r="T122" s="34" t="str">
        <f t="shared" ca="1" si="572"/>
        <v/>
      </c>
      <c r="U122" s="34" t="str">
        <f t="shared" ca="1" si="572"/>
        <v/>
      </c>
      <c r="V122" s="34" t="str">
        <f t="shared" ca="1" si="572"/>
        <v/>
      </c>
      <c r="W122" s="34" t="str">
        <f t="shared" ca="1" si="572"/>
        <v/>
      </c>
      <c r="X122" s="34" t="str">
        <f t="shared" ca="1" si="572"/>
        <v/>
      </c>
      <c r="Y122" s="34" t="str">
        <f t="shared" ca="1" si="572"/>
        <v/>
      </c>
      <c r="Z122" s="34" t="str">
        <f t="shared" ca="1" si="572"/>
        <v/>
      </c>
      <c r="AA122" s="34" t="str">
        <f t="shared" ca="1" si="572"/>
        <v/>
      </c>
      <c r="AB122" s="34" t="str">
        <f t="shared" ca="1" si="572"/>
        <v/>
      </c>
      <c r="AC122" s="34" t="str">
        <f t="shared" ca="1" si="572"/>
        <v/>
      </c>
      <c r="AD122" s="34" t="str">
        <f t="shared" ca="1" si="572"/>
        <v/>
      </c>
      <c r="AE122" s="34" t="str">
        <f t="shared" ca="1" si="572"/>
        <v/>
      </c>
      <c r="AF122" s="34" t="str">
        <f t="shared" ca="1" si="572"/>
        <v/>
      </c>
      <c r="AG122" s="34" t="str">
        <f t="shared" ca="1" si="572"/>
        <v/>
      </c>
      <c r="AH122" s="34" t="str">
        <f t="shared" ca="1" si="572"/>
        <v/>
      </c>
      <c r="AI122" s="34" t="str">
        <f t="shared" ca="1" si="572"/>
        <v/>
      </c>
      <c r="AJ122" s="34" t="str">
        <f t="shared" ref="AJ122:BO122" ca="1" si="573">IF(AJ$89="","",IF(AJ$89=$M$2,AI122,IF(AJ$11&lt;$D$7,OFFSET(INDIRECT($D$3),$A122-1,$Q$3+AJ$11),OFFSET(INDIRECT($D$4),$A122-1,$Q$4+AJ$11))))</f>
        <v/>
      </c>
      <c r="AK122" s="34" t="str">
        <f t="shared" ca="1" si="573"/>
        <v/>
      </c>
      <c r="AL122" s="34" t="str">
        <f t="shared" ca="1" si="573"/>
        <v/>
      </c>
      <c r="AM122" s="34" t="str">
        <f t="shared" ca="1" si="573"/>
        <v/>
      </c>
      <c r="AN122" s="34" t="str">
        <f t="shared" ca="1" si="573"/>
        <v/>
      </c>
      <c r="AO122" s="34" t="str">
        <f t="shared" ca="1" si="573"/>
        <v/>
      </c>
      <c r="AP122" s="34" t="str">
        <f t="shared" ca="1" si="573"/>
        <v/>
      </c>
      <c r="AQ122" s="34" t="str">
        <f t="shared" ca="1" si="573"/>
        <v/>
      </c>
      <c r="AR122" s="34" t="str">
        <f t="shared" ca="1" si="573"/>
        <v/>
      </c>
      <c r="AS122" s="34" t="str">
        <f t="shared" ca="1" si="573"/>
        <v/>
      </c>
      <c r="AT122" s="34" t="str">
        <f t="shared" ca="1" si="573"/>
        <v/>
      </c>
      <c r="AU122" s="34" t="str">
        <f t="shared" ca="1" si="573"/>
        <v/>
      </c>
      <c r="AV122" s="34" t="str">
        <f t="shared" ca="1" si="573"/>
        <v/>
      </c>
      <c r="AW122" s="34" t="str">
        <f t="shared" ca="1" si="573"/>
        <v/>
      </c>
      <c r="AX122" s="34" t="str">
        <f t="shared" ca="1" si="573"/>
        <v/>
      </c>
      <c r="AY122" s="34" t="str">
        <f t="shared" ca="1" si="573"/>
        <v/>
      </c>
      <c r="AZ122" s="34" t="str">
        <f t="shared" ca="1" si="573"/>
        <v/>
      </c>
      <c r="BA122" s="34" t="str">
        <f t="shared" ca="1" si="573"/>
        <v/>
      </c>
      <c r="BB122" s="34" t="str">
        <f t="shared" ca="1" si="573"/>
        <v/>
      </c>
      <c r="BC122" s="34" t="str">
        <f t="shared" ca="1" si="573"/>
        <v/>
      </c>
      <c r="BD122" s="34" t="str">
        <f t="shared" ca="1" si="573"/>
        <v/>
      </c>
      <c r="BE122" s="34" t="str">
        <f t="shared" ca="1" si="573"/>
        <v/>
      </c>
      <c r="BF122" s="34" t="str">
        <f t="shared" ca="1" si="573"/>
        <v/>
      </c>
      <c r="BG122" s="34" t="str">
        <f t="shared" ca="1" si="573"/>
        <v/>
      </c>
      <c r="BH122" s="34" t="str">
        <f t="shared" ca="1" si="573"/>
        <v/>
      </c>
      <c r="BI122" s="34" t="str">
        <f t="shared" ca="1" si="573"/>
        <v/>
      </c>
      <c r="BJ122" s="34" t="str">
        <f t="shared" ca="1" si="573"/>
        <v/>
      </c>
      <c r="BK122" s="34" t="str">
        <f t="shared" ca="1" si="573"/>
        <v/>
      </c>
      <c r="BL122" s="34" t="str">
        <f t="shared" ca="1" si="573"/>
        <v/>
      </c>
      <c r="BM122" s="34" t="str">
        <f t="shared" ca="1" si="573"/>
        <v/>
      </c>
      <c r="BN122" s="34" t="str">
        <f t="shared" ca="1" si="573"/>
        <v/>
      </c>
      <c r="BO122" s="34" t="str">
        <f t="shared" ca="1" si="573"/>
        <v/>
      </c>
      <c r="BP122" s="34" t="str">
        <f t="shared" ref="BP122:CZ122" ca="1" si="574">IF(BP$89="","",IF(BP$89=$M$2,BO122,IF(BP$11&lt;$D$7,OFFSET(INDIRECT($D$3),$A122-1,$Q$3+BP$11),OFFSET(INDIRECT($D$4),$A122-1,$Q$4+BP$11))))</f>
        <v/>
      </c>
      <c r="BQ122" s="34" t="str">
        <f t="shared" ca="1" si="574"/>
        <v/>
      </c>
      <c r="BR122" s="34" t="str">
        <f t="shared" ca="1" si="574"/>
        <v/>
      </c>
      <c r="BS122" s="34" t="str">
        <f t="shared" ca="1" si="574"/>
        <v/>
      </c>
      <c r="BT122" s="34" t="str">
        <f t="shared" ca="1" si="574"/>
        <v/>
      </c>
      <c r="BU122" s="34" t="str">
        <f t="shared" ca="1" si="574"/>
        <v/>
      </c>
      <c r="BV122" s="34" t="str">
        <f t="shared" ca="1" si="574"/>
        <v/>
      </c>
      <c r="BW122" s="34" t="str">
        <f t="shared" ca="1" si="574"/>
        <v/>
      </c>
      <c r="BX122" s="34" t="str">
        <f t="shared" ca="1" si="574"/>
        <v/>
      </c>
      <c r="BY122" s="34" t="str">
        <f t="shared" ca="1" si="574"/>
        <v/>
      </c>
      <c r="BZ122" s="34" t="str">
        <f t="shared" ca="1" si="574"/>
        <v/>
      </c>
      <c r="CA122" s="34" t="str">
        <f t="shared" ca="1" si="574"/>
        <v/>
      </c>
      <c r="CB122" s="34" t="str">
        <f t="shared" ca="1" si="574"/>
        <v/>
      </c>
      <c r="CC122" s="34" t="str">
        <f t="shared" ca="1" si="574"/>
        <v/>
      </c>
      <c r="CD122" s="34" t="str">
        <f t="shared" ca="1" si="574"/>
        <v/>
      </c>
      <c r="CE122" s="34" t="str">
        <f t="shared" ca="1" si="574"/>
        <v/>
      </c>
      <c r="CF122" s="34" t="str">
        <f t="shared" ca="1" si="574"/>
        <v/>
      </c>
      <c r="CG122" s="34" t="str">
        <f t="shared" ca="1" si="574"/>
        <v/>
      </c>
      <c r="CH122" s="34" t="str">
        <f t="shared" ca="1" si="574"/>
        <v/>
      </c>
      <c r="CI122" s="34" t="str">
        <f t="shared" ca="1" si="574"/>
        <v/>
      </c>
      <c r="CJ122" s="34" t="str">
        <f t="shared" ca="1" si="574"/>
        <v/>
      </c>
      <c r="CK122" s="34" t="str">
        <f t="shared" ca="1" si="574"/>
        <v/>
      </c>
      <c r="CL122" s="34" t="str">
        <f t="shared" ca="1" si="574"/>
        <v/>
      </c>
      <c r="CM122" s="34" t="str">
        <f t="shared" ca="1" si="574"/>
        <v/>
      </c>
      <c r="CN122" s="34" t="str">
        <f t="shared" ca="1" si="574"/>
        <v/>
      </c>
      <c r="CO122" s="34" t="str">
        <f t="shared" ca="1" si="574"/>
        <v/>
      </c>
      <c r="CP122" s="34" t="str">
        <f t="shared" ca="1" si="574"/>
        <v/>
      </c>
      <c r="CQ122" s="34" t="str">
        <f t="shared" ca="1" si="574"/>
        <v/>
      </c>
      <c r="CR122" s="34" t="str">
        <f t="shared" ca="1" si="574"/>
        <v/>
      </c>
      <c r="CS122" s="34" t="str">
        <f t="shared" ca="1" si="574"/>
        <v/>
      </c>
      <c r="CT122" s="34" t="str">
        <f t="shared" ca="1" si="574"/>
        <v/>
      </c>
      <c r="CU122" s="34" t="str">
        <f t="shared" ca="1" si="574"/>
        <v/>
      </c>
      <c r="CV122" s="34" t="str">
        <f t="shared" ca="1" si="574"/>
        <v/>
      </c>
      <c r="CW122" s="34" t="str">
        <f t="shared" ca="1" si="574"/>
        <v/>
      </c>
      <c r="CX122" s="34" t="str">
        <f t="shared" ca="1" si="574"/>
        <v/>
      </c>
      <c r="CY122" s="34" t="str">
        <f t="shared" ca="1" si="574"/>
        <v/>
      </c>
      <c r="CZ122" s="34" t="str">
        <f t="shared" ca="1" si="574"/>
        <v/>
      </c>
    </row>
    <row r="123" spans="1:104" ht="13.5" customHeight="1">
      <c r="A123" s="28"/>
      <c r="B123" s="33">
        <f t="shared" si="474"/>
        <v>123</v>
      </c>
      <c r="C123" s="9" t="s">
        <v>387</v>
      </c>
      <c r="D123" s="34">
        <f t="shared" ref="D123:AI123" ca="1" si="575">IF(D$89="","",IF(D$89=$M$2,C123,SUM(D124:D125)))</f>
        <v>59174</v>
      </c>
      <c r="E123" s="34">
        <f t="shared" ca="1" si="575"/>
        <v>97600</v>
      </c>
      <c r="F123" s="34">
        <f t="shared" ca="1" si="575"/>
        <v>40418</v>
      </c>
      <c r="G123" s="34">
        <f t="shared" ca="1" si="575"/>
        <v>51201</v>
      </c>
      <c r="H123" s="34">
        <f t="shared" ca="1" si="575"/>
        <v>59174</v>
      </c>
      <c r="I123" s="34">
        <f t="shared" ca="1" si="575"/>
        <v>71726</v>
      </c>
      <c r="J123" s="34">
        <f t="shared" ca="1" si="575"/>
        <v>86630</v>
      </c>
      <c r="K123" s="34">
        <f t="shared" ca="1" si="575"/>
        <v>95005</v>
      </c>
      <c r="L123" s="34">
        <f t="shared" ca="1" si="575"/>
        <v>97600</v>
      </c>
      <c r="M123" s="34">
        <f t="shared" ca="1" si="575"/>
        <v>102475</v>
      </c>
      <c r="N123" s="34">
        <f t="shared" ca="1" si="575"/>
        <v>102475</v>
      </c>
      <c r="O123" s="34" t="str">
        <f t="shared" ca="1" si="575"/>
        <v/>
      </c>
      <c r="P123" s="34" t="str">
        <f t="shared" ca="1" si="575"/>
        <v/>
      </c>
      <c r="Q123" s="34" t="str">
        <f t="shared" ca="1" si="575"/>
        <v/>
      </c>
      <c r="R123" s="34" t="str">
        <f t="shared" si="575"/>
        <v/>
      </c>
      <c r="S123" s="34" t="str">
        <f t="shared" si="575"/>
        <v/>
      </c>
      <c r="T123" s="34" t="str">
        <f t="shared" si="575"/>
        <v/>
      </c>
      <c r="U123" s="34" t="str">
        <f t="shared" si="575"/>
        <v/>
      </c>
      <c r="V123" s="34" t="str">
        <f t="shared" si="575"/>
        <v/>
      </c>
      <c r="W123" s="34" t="str">
        <f t="shared" si="575"/>
        <v/>
      </c>
      <c r="X123" s="34" t="str">
        <f t="shared" si="575"/>
        <v/>
      </c>
      <c r="Y123" s="34" t="str">
        <f t="shared" si="575"/>
        <v/>
      </c>
      <c r="Z123" s="34" t="str">
        <f t="shared" si="575"/>
        <v/>
      </c>
      <c r="AA123" s="34" t="str">
        <f t="shared" si="575"/>
        <v/>
      </c>
      <c r="AB123" s="34" t="str">
        <f t="shared" si="575"/>
        <v/>
      </c>
      <c r="AC123" s="34" t="str">
        <f t="shared" si="575"/>
        <v/>
      </c>
      <c r="AD123" s="34" t="str">
        <f t="shared" si="575"/>
        <v/>
      </c>
      <c r="AE123" s="34" t="str">
        <f t="shared" si="575"/>
        <v/>
      </c>
      <c r="AF123" s="34" t="str">
        <f t="shared" si="575"/>
        <v/>
      </c>
      <c r="AG123" s="34" t="str">
        <f t="shared" si="575"/>
        <v/>
      </c>
      <c r="AH123" s="34" t="str">
        <f t="shared" si="575"/>
        <v/>
      </c>
      <c r="AI123" s="34" t="str">
        <f t="shared" si="575"/>
        <v/>
      </c>
      <c r="AJ123" s="34" t="str">
        <f t="shared" ref="AJ123:BO123" si="576">IF(AJ$89="","",IF(AJ$89=$M$2,AI123,SUM(AJ124:AJ125)))</f>
        <v/>
      </c>
      <c r="AK123" s="34" t="str">
        <f t="shared" si="576"/>
        <v/>
      </c>
      <c r="AL123" s="34" t="str">
        <f t="shared" si="576"/>
        <v/>
      </c>
      <c r="AM123" s="34" t="str">
        <f t="shared" si="576"/>
        <v/>
      </c>
      <c r="AN123" s="34" t="str">
        <f t="shared" si="576"/>
        <v/>
      </c>
      <c r="AO123" s="34" t="str">
        <f t="shared" si="576"/>
        <v/>
      </c>
      <c r="AP123" s="34" t="str">
        <f t="shared" si="576"/>
        <v/>
      </c>
      <c r="AQ123" s="34" t="str">
        <f t="shared" si="576"/>
        <v/>
      </c>
      <c r="AR123" s="34" t="str">
        <f t="shared" si="576"/>
        <v/>
      </c>
      <c r="AS123" s="34" t="str">
        <f t="shared" si="576"/>
        <v/>
      </c>
      <c r="AT123" s="34" t="str">
        <f t="shared" si="576"/>
        <v/>
      </c>
      <c r="AU123" s="34" t="str">
        <f t="shared" si="576"/>
        <v/>
      </c>
      <c r="AV123" s="34" t="str">
        <f t="shared" si="576"/>
        <v/>
      </c>
      <c r="AW123" s="34" t="str">
        <f t="shared" si="576"/>
        <v/>
      </c>
      <c r="AX123" s="34" t="str">
        <f t="shared" si="576"/>
        <v/>
      </c>
      <c r="AY123" s="34" t="str">
        <f t="shared" si="576"/>
        <v/>
      </c>
      <c r="AZ123" s="34" t="str">
        <f t="shared" si="576"/>
        <v/>
      </c>
      <c r="BA123" s="34" t="str">
        <f t="shared" si="576"/>
        <v/>
      </c>
      <c r="BB123" s="34" t="str">
        <f t="shared" si="576"/>
        <v/>
      </c>
      <c r="BC123" s="34" t="str">
        <f t="shared" si="576"/>
        <v/>
      </c>
      <c r="BD123" s="34" t="str">
        <f t="shared" si="576"/>
        <v/>
      </c>
      <c r="BE123" s="34" t="str">
        <f t="shared" si="576"/>
        <v/>
      </c>
      <c r="BF123" s="34" t="str">
        <f t="shared" si="576"/>
        <v/>
      </c>
      <c r="BG123" s="34" t="str">
        <f t="shared" si="576"/>
        <v/>
      </c>
      <c r="BH123" s="34" t="str">
        <f t="shared" si="576"/>
        <v/>
      </c>
      <c r="BI123" s="34" t="str">
        <f t="shared" si="576"/>
        <v/>
      </c>
      <c r="BJ123" s="34" t="str">
        <f t="shared" si="576"/>
        <v/>
      </c>
      <c r="BK123" s="34" t="str">
        <f t="shared" si="576"/>
        <v/>
      </c>
      <c r="BL123" s="34" t="str">
        <f t="shared" si="576"/>
        <v/>
      </c>
      <c r="BM123" s="34" t="str">
        <f t="shared" si="576"/>
        <v/>
      </c>
      <c r="BN123" s="34" t="str">
        <f t="shared" si="576"/>
        <v/>
      </c>
      <c r="BO123" s="34" t="str">
        <f t="shared" si="576"/>
        <v/>
      </c>
      <c r="BP123" s="34" t="str">
        <f t="shared" ref="BP123:CU123" si="577">IF(BP$89="","",IF(BP$89=$M$2,BO123,SUM(BP124:BP125)))</f>
        <v/>
      </c>
      <c r="BQ123" s="34" t="str">
        <f t="shared" si="577"/>
        <v/>
      </c>
      <c r="BR123" s="34" t="str">
        <f t="shared" si="577"/>
        <v/>
      </c>
      <c r="BS123" s="34" t="str">
        <f t="shared" si="577"/>
        <v/>
      </c>
      <c r="BT123" s="34" t="str">
        <f t="shared" si="577"/>
        <v/>
      </c>
      <c r="BU123" s="34" t="str">
        <f t="shared" si="577"/>
        <v/>
      </c>
      <c r="BV123" s="34" t="str">
        <f t="shared" si="577"/>
        <v/>
      </c>
      <c r="BW123" s="34" t="str">
        <f t="shared" si="577"/>
        <v/>
      </c>
      <c r="BX123" s="34" t="str">
        <f t="shared" si="577"/>
        <v/>
      </c>
      <c r="BY123" s="34" t="str">
        <f t="shared" si="577"/>
        <v/>
      </c>
      <c r="BZ123" s="34" t="str">
        <f t="shared" si="577"/>
        <v/>
      </c>
      <c r="CA123" s="34" t="str">
        <f t="shared" si="577"/>
        <v/>
      </c>
      <c r="CB123" s="34" t="str">
        <f t="shared" si="577"/>
        <v/>
      </c>
      <c r="CC123" s="34" t="str">
        <f t="shared" si="577"/>
        <v/>
      </c>
      <c r="CD123" s="34" t="str">
        <f t="shared" si="577"/>
        <v/>
      </c>
      <c r="CE123" s="34" t="str">
        <f t="shared" si="577"/>
        <v/>
      </c>
      <c r="CF123" s="34" t="str">
        <f t="shared" si="577"/>
        <v/>
      </c>
      <c r="CG123" s="34" t="str">
        <f t="shared" si="577"/>
        <v/>
      </c>
      <c r="CH123" s="34" t="str">
        <f t="shared" si="577"/>
        <v/>
      </c>
      <c r="CI123" s="34" t="str">
        <f t="shared" si="577"/>
        <v/>
      </c>
      <c r="CJ123" s="34" t="str">
        <f t="shared" si="577"/>
        <v/>
      </c>
      <c r="CK123" s="34" t="str">
        <f t="shared" si="577"/>
        <v/>
      </c>
      <c r="CL123" s="34" t="str">
        <f t="shared" si="577"/>
        <v/>
      </c>
      <c r="CM123" s="34" t="str">
        <f t="shared" si="577"/>
        <v/>
      </c>
      <c r="CN123" s="34" t="str">
        <f t="shared" si="577"/>
        <v/>
      </c>
      <c r="CO123" s="34" t="str">
        <f t="shared" si="577"/>
        <v/>
      </c>
      <c r="CP123" s="34" t="str">
        <f t="shared" si="577"/>
        <v/>
      </c>
      <c r="CQ123" s="34" t="str">
        <f t="shared" si="577"/>
        <v/>
      </c>
      <c r="CR123" s="34" t="str">
        <f t="shared" si="577"/>
        <v/>
      </c>
      <c r="CS123" s="34" t="str">
        <f t="shared" si="577"/>
        <v/>
      </c>
      <c r="CT123" s="34" t="str">
        <f t="shared" si="577"/>
        <v/>
      </c>
      <c r="CU123" s="34" t="str">
        <f t="shared" si="577"/>
        <v/>
      </c>
      <c r="CV123" s="34" t="str">
        <f t="shared" ref="CV123:CZ123" si="578">IF(CV$89="","",IF(CV$89=$M$2,CU123,SUM(CV124:CV125)))</f>
        <v/>
      </c>
      <c r="CW123" s="34" t="str">
        <f t="shared" si="578"/>
        <v/>
      </c>
      <c r="CX123" s="34" t="str">
        <f t="shared" si="578"/>
        <v/>
      </c>
      <c r="CY123" s="34" t="str">
        <f t="shared" si="578"/>
        <v/>
      </c>
      <c r="CZ123" s="34" t="str">
        <f t="shared" si="578"/>
        <v/>
      </c>
    </row>
    <row r="124" spans="1:104" ht="13.5" customHeight="1">
      <c r="A124" s="27">
        <v>109</v>
      </c>
      <c r="B124" s="33">
        <f t="shared" si="474"/>
        <v>124</v>
      </c>
      <c r="C124" s="8" t="s">
        <v>388</v>
      </c>
      <c r="D124" s="34">
        <f t="shared" ref="D124:AI124" ca="1" si="579">IF(D$89="","",IF(D$89=$M$2,C124,IF(D$11&lt;$D$7,OFFSET(INDIRECT($D$3),$A124-1,$Q$3+D$11),OFFSET(INDIRECT($D$4),$A124-1,$Q$4+D$11))))</f>
        <v>0</v>
      </c>
      <c r="E124" s="34">
        <f t="shared" ca="1" si="579"/>
        <v>0</v>
      </c>
      <c r="F124" s="34">
        <f t="shared" ca="1" si="579"/>
        <v>0</v>
      </c>
      <c r="G124" s="34">
        <f t="shared" ca="1" si="579"/>
        <v>0</v>
      </c>
      <c r="H124" s="34">
        <f t="shared" ca="1" si="579"/>
        <v>0</v>
      </c>
      <c r="I124" s="34">
        <f t="shared" ca="1" si="579"/>
        <v>0</v>
      </c>
      <c r="J124" s="34">
        <f t="shared" ca="1" si="579"/>
        <v>0</v>
      </c>
      <c r="K124" s="34">
        <f t="shared" ca="1" si="579"/>
        <v>0</v>
      </c>
      <c r="L124" s="34">
        <f t="shared" ca="1" si="579"/>
        <v>0</v>
      </c>
      <c r="M124" s="34">
        <f t="shared" ca="1" si="579"/>
        <v>0</v>
      </c>
      <c r="N124" s="34">
        <f t="shared" ca="1" si="579"/>
        <v>0</v>
      </c>
      <c r="O124" s="34" t="str">
        <f t="shared" ca="1" si="579"/>
        <v/>
      </c>
      <c r="P124" s="34" t="str">
        <f t="shared" ca="1" si="579"/>
        <v/>
      </c>
      <c r="Q124" s="34" t="str">
        <f t="shared" ca="1" si="579"/>
        <v/>
      </c>
      <c r="R124" s="34" t="str">
        <f t="shared" ca="1" si="579"/>
        <v/>
      </c>
      <c r="S124" s="34" t="str">
        <f t="shared" ca="1" si="579"/>
        <v/>
      </c>
      <c r="T124" s="34" t="str">
        <f t="shared" ca="1" si="579"/>
        <v/>
      </c>
      <c r="U124" s="34" t="str">
        <f t="shared" ca="1" si="579"/>
        <v/>
      </c>
      <c r="V124" s="34" t="str">
        <f t="shared" ca="1" si="579"/>
        <v/>
      </c>
      <c r="W124" s="34" t="str">
        <f t="shared" ca="1" si="579"/>
        <v/>
      </c>
      <c r="X124" s="34" t="str">
        <f t="shared" ca="1" si="579"/>
        <v/>
      </c>
      <c r="Y124" s="34" t="str">
        <f t="shared" ca="1" si="579"/>
        <v/>
      </c>
      <c r="Z124" s="34" t="str">
        <f t="shared" ca="1" si="579"/>
        <v/>
      </c>
      <c r="AA124" s="34" t="str">
        <f t="shared" ca="1" si="579"/>
        <v/>
      </c>
      <c r="AB124" s="34" t="str">
        <f t="shared" ca="1" si="579"/>
        <v/>
      </c>
      <c r="AC124" s="34" t="str">
        <f t="shared" ca="1" si="579"/>
        <v/>
      </c>
      <c r="AD124" s="34" t="str">
        <f t="shared" ca="1" si="579"/>
        <v/>
      </c>
      <c r="AE124" s="34" t="str">
        <f t="shared" ca="1" si="579"/>
        <v/>
      </c>
      <c r="AF124" s="34" t="str">
        <f t="shared" ca="1" si="579"/>
        <v/>
      </c>
      <c r="AG124" s="34" t="str">
        <f t="shared" ca="1" si="579"/>
        <v/>
      </c>
      <c r="AH124" s="34" t="str">
        <f t="shared" ca="1" si="579"/>
        <v/>
      </c>
      <c r="AI124" s="34" t="str">
        <f t="shared" ca="1" si="579"/>
        <v/>
      </c>
      <c r="AJ124" s="34" t="str">
        <f t="shared" ref="AJ124:BO124" ca="1" si="580">IF(AJ$89="","",IF(AJ$89=$M$2,AI124,IF(AJ$11&lt;$D$7,OFFSET(INDIRECT($D$3),$A124-1,$Q$3+AJ$11),OFFSET(INDIRECT($D$4),$A124-1,$Q$4+AJ$11))))</f>
        <v/>
      </c>
      <c r="AK124" s="34" t="str">
        <f t="shared" ca="1" si="580"/>
        <v/>
      </c>
      <c r="AL124" s="34" t="str">
        <f t="shared" ca="1" si="580"/>
        <v/>
      </c>
      <c r="AM124" s="34" t="str">
        <f t="shared" ca="1" si="580"/>
        <v/>
      </c>
      <c r="AN124" s="34" t="str">
        <f t="shared" ca="1" si="580"/>
        <v/>
      </c>
      <c r="AO124" s="34" t="str">
        <f t="shared" ca="1" si="580"/>
        <v/>
      </c>
      <c r="AP124" s="34" t="str">
        <f t="shared" ca="1" si="580"/>
        <v/>
      </c>
      <c r="AQ124" s="34" t="str">
        <f t="shared" ca="1" si="580"/>
        <v/>
      </c>
      <c r="AR124" s="34" t="str">
        <f t="shared" ca="1" si="580"/>
        <v/>
      </c>
      <c r="AS124" s="34" t="str">
        <f t="shared" ca="1" si="580"/>
        <v/>
      </c>
      <c r="AT124" s="34" t="str">
        <f t="shared" ca="1" si="580"/>
        <v/>
      </c>
      <c r="AU124" s="34" t="str">
        <f t="shared" ca="1" si="580"/>
        <v/>
      </c>
      <c r="AV124" s="34" t="str">
        <f t="shared" ca="1" si="580"/>
        <v/>
      </c>
      <c r="AW124" s="34" t="str">
        <f t="shared" ca="1" si="580"/>
        <v/>
      </c>
      <c r="AX124" s="34" t="str">
        <f t="shared" ca="1" si="580"/>
        <v/>
      </c>
      <c r="AY124" s="34" t="str">
        <f t="shared" ca="1" si="580"/>
        <v/>
      </c>
      <c r="AZ124" s="34" t="str">
        <f t="shared" ca="1" si="580"/>
        <v/>
      </c>
      <c r="BA124" s="34" t="str">
        <f t="shared" ca="1" si="580"/>
        <v/>
      </c>
      <c r="BB124" s="34" t="str">
        <f t="shared" ca="1" si="580"/>
        <v/>
      </c>
      <c r="BC124" s="34" t="str">
        <f t="shared" ca="1" si="580"/>
        <v/>
      </c>
      <c r="BD124" s="34" t="str">
        <f t="shared" ca="1" si="580"/>
        <v/>
      </c>
      <c r="BE124" s="34" t="str">
        <f t="shared" ca="1" si="580"/>
        <v/>
      </c>
      <c r="BF124" s="34" t="str">
        <f t="shared" ca="1" si="580"/>
        <v/>
      </c>
      <c r="BG124" s="34" t="str">
        <f t="shared" ca="1" si="580"/>
        <v/>
      </c>
      <c r="BH124" s="34" t="str">
        <f t="shared" ca="1" si="580"/>
        <v/>
      </c>
      <c r="BI124" s="34" t="str">
        <f t="shared" ca="1" si="580"/>
        <v/>
      </c>
      <c r="BJ124" s="34" t="str">
        <f t="shared" ca="1" si="580"/>
        <v/>
      </c>
      <c r="BK124" s="34" t="str">
        <f t="shared" ca="1" si="580"/>
        <v/>
      </c>
      <c r="BL124" s="34" t="str">
        <f t="shared" ca="1" si="580"/>
        <v/>
      </c>
      <c r="BM124" s="34" t="str">
        <f t="shared" ca="1" si="580"/>
        <v/>
      </c>
      <c r="BN124" s="34" t="str">
        <f t="shared" ca="1" si="580"/>
        <v/>
      </c>
      <c r="BO124" s="34" t="str">
        <f t="shared" ca="1" si="580"/>
        <v/>
      </c>
      <c r="BP124" s="34" t="str">
        <f t="shared" ref="BP124:CZ124" ca="1" si="581">IF(BP$89="","",IF(BP$89=$M$2,BO124,IF(BP$11&lt;$D$7,OFFSET(INDIRECT($D$3),$A124-1,$Q$3+BP$11),OFFSET(INDIRECT($D$4),$A124-1,$Q$4+BP$11))))</f>
        <v/>
      </c>
      <c r="BQ124" s="34" t="str">
        <f t="shared" ca="1" si="581"/>
        <v/>
      </c>
      <c r="BR124" s="34" t="str">
        <f t="shared" ca="1" si="581"/>
        <v/>
      </c>
      <c r="BS124" s="34" t="str">
        <f t="shared" ca="1" si="581"/>
        <v/>
      </c>
      <c r="BT124" s="34" t="str">
        <f t="shared" ca="1" si="581"/>
        <v/>
      </c>
      <c r="BU124" s="34" t="str">
        <f t="shared" ca="1" si="581"/>
        <v/>
      </c>
      <c r="BV124" s="34" t="str">
        <f t="shared" ca="1" si="581"/>
        <v/>
      </c>
      <c r="BW124" s="34" t="str">
        <f t="shared" ca="1" si="581"/>
        <v/>
      </c>
      <c r="BX124" s="34" t="str">
        <f t="shared" ca="1" si="581"/>
        <v/>
      </c>
      <c r="BY124" s="34" t="str">
        <f t="shared" ca="1" si="581"/>
        <v/>
      </c>
      <c r="BZ124" s="34" t="str">
        <f t="shared" ca="1" si="581"/>
        <v/>
      </c>
      <c r="CA124" s="34" t="str">
        <f t="shared" ca="1" si="581"/>
        <v/>
      </c>
      <c r="CB124" s="34" t="str">
        <f t="shared" ca="1" si="581"/>
        <v/>
      </c>
      <c r="CC124" s="34" t="str">
        <f t="shared" ca="1" si="581"/>
        <v/>
      </c>
      <c r="CD124" s="34" t="str">
        <f t="shared" ca="1" si="581"/>
        <v/>
      </c>
      <c r="CE124" s="34" t="str">
        <f t="shared" ca="1" si="581"/>
        <v/>
      </c>
      <c r="CF124" s="34" t="str">
        <f t="shared" ca="1" si="581"/>
        <v/>
      </c>
      <c r="CG124" s="34" t="str">
        <f t="shared" ca="1" si="581"/>
        <v/>
      </c>
      <c r="CH124" s="34" t="str">
        <f t="shared" ca="1" si="581"/>
        <v/>
      </c>
      <c r="CI124" s="34" t="str">
        <f t="shared" ca="1" si="581"/>
        <v/>
      </c>
      <c r="CJ124" s="34" t="str">
        <f t="shared" ca="1" si="581"/>
        <v/>
      </c>
      <c r="CK124" s="34" t="str">
        <f t="shared" ca="1" si="581"/>
        <v/>
      </c>
      <c r="CL124" s="34" t="str">
        <f t="shared" ca="1" si="581"/>
        <v/>
      </c>
      <c r="CM124" s="34" t="str">
        <f t="shared" ca="1" si="581"/>
        <v/>
      </c>
      <c r="CN124" s="34" t="str">
        <f t="shared" ca="1" si="581"/>
        <v/>
      </c>
      <c r="CO124" s="34" t="str">
        <f t="shared" ca="1" si="581"/>
        <v/>
      </c>
      <c r="CP124" s="34" t="str">
        <f t="shared" ca="1" si="581"/>
        <v/>
      </c>
      <c r="CQ124" s="34" t="str">
        <f t="shared" ca="1" si="581"/>
        <v/>
      </c>
      <c r="CR124" s="34" t="str">
        <f t="shared" ca="1" si="581"/>
        <v/>
      </c>
      <c r="CS124" s="34" t="str">
        <f t="shared" ca="1" si="581"/>
        <v/>
      </c>
      <c r="CT124" s="34" t="str">
        <f t="shared" ca="1" si="581"/>
        <v/>
      </c>
      <c r="CU124" s="34" t="str">
        <f t="shared" ca="1" si="581"/>
        <v/>
      </c>
      <c r="CV124" s="34" t="str">
        <f t="shared" ca="1" si="581"/>
        <v/>
      </c>
      <c r="CW124" s="34" t="str">
        <f t="shared" ca="1" si="581"/>
        <v/>
      </c>
      <c r="CX124" s="34" t="str">
        <f t="shared" ca="1" si="581"/>
        <v/>
      </c>
      <c r="CY124" s="34" t="str">
        <f t="shared" ca="1" si="581"/>
        <v/>
      </c>
      <c r="CZ124" s="34" t="str">
        <f t="shared" ca="1" si="581"/>
        <v/>
      </c>
    </row>
    <row r="125" spans="1:104" ht="13.5" customHeight="1">
      <c r="A125" s="27">
        <v>110</v>
      </c>
      <c r="B125" s="33">
        <f t="shared" si="474"/>
        <v>125</v>
      </c>
      <c r="C125" s="8" t="s">
        <v>387</v>
      </c>
      <c r="D125" s="34">
        <f t="shared" ref="D125:AI125" ca="1" si="582">IF(D$89="","",IF(D$89=$M$2,C125,IF(D$11&lt;$D$7,OFFSET(INDIRECT($D$3),$A125-1,$Q$3+D$11),OFFSET(INDIRECT($D$4),$A125-1,$Q$4+D$11))))</f>
        <v>59174</v>
      </c>
      <c r="E125" s="34">
        <f t="shared" ca="1" si="582"/>
        <v>97600</v>
      </c>
      <c r="F125" s="34">
        <f t="shared" ca="1" si="582"/>
        <v>40418</v>
      </c>
      <c r="G125" s="34">
        <f t="shared" ca="1" si="582"/>
        <v>51201</v>
      </c>
      <c r="H125" s="34">
        <f t="shared" ca="1" si="582"/>
        <v>59174</v>
      </c>
      <c r="I125" s="34">
        <f t="shared" ca="1" si="582"/>
        <v>71726</v>
      </c>
      <c r="J125" s="34">
        <f t="shared" ca="1" si="582"/>
        <v>86630</v>
      </c>
      <c r="K125" s="34">
        <f t="shared" ca="1" si="582"/>
        <v>95005</v>
      </c>
      <c r="L125" s="34">
        <f t="shared" ca="1" si="582"/>
        <v>97600</v>
      </c>
      <c r="M125" s="34">
        <f t="shared" ca="1" si="582"/>
        <v>102475</v>
      </c>
      <c r="N125" s="34">
        <f t="shared" ca="1" si="582"/>
        <v>102475</v>
      </c>
      <c r="O125" s="34" t="str">
        <f t="shared" ca="1" si="582"/>
        <v/>
      </c>
      <c r="P125" s="34" t="str">
        <f t="shared" ca="1" si="582"/>
        <v/>
      </c>
      <c r="Q125" s="34" t="str">
        <f t="shared" ca="1" si="582"/>
        <v/>
      </c>
      <c r="R125" s="34" t="str">
        <f t="shared" ca="1" si="582"/>
        <v/>
      </c>
      <c r="S125" s="34" t="str">
        <f t="shared" ca="1" si="582"/>
        <v/>
      </c>
      <c r="T125" s="34" t="str">
        <f t="shared" ca="1" si="582"/>
        <v/>
      </c>
      <c r="U125" s="34" t="str">
        <f t="shared" ca="1" si="582"/>
        <v/>
      </c>
      <c r="V125" s="34" t="str">
        <f t="shared" ca="1" si="582"/>
        <v/>
      </c>
      <c r="W125" s="34" t="str">
        <f t="shared" ca="1" si="582"/>
        <v/>
      </c>
      <c r="X125" s="34" t="str">
        <f t="shared" ca="1" si="582"/>
        <v/>
      </c>
      <c r="Y125" s="34" t="str">
        <f t="shared" ca="1" si="582"/>
        <v/>
      </c>
      <c r="Z125" s="34" t="str">
        <f t="shared" ca="1" si="582"/>
        <v/>
      </c>
      <c r="AA125" s="34" t="str">
        <f t="shared" ca="1" si="582"/>
        <v/>
      </c>
      <c r="AB125" s="34" t="str">
        <f t="shared" ca="1" si="582"/>
        <v/>
      </c>
      <c r="AC125" s="34" t="str">
        <f t="shared" ca="1" si="582"/>
        <v/>
      </c>
      <c r="AD125" s="34" t="str">
        <f t="shared" ca="1" si="582"/>
        <v/>
      </c>
      <c r="AE125" s="34" t="str">
        <f t="shared" ca="1" si="582"/>
        <v/>
      </c>
      <c r="AF125" s="34" t="str">
        <f t="shared" ca="1" si="582"/>
        <v/>
      </c>
      <c r="AG125" s="34" t="str">
        <f t="shared" ca="1" si="582"/>
        <v/>
      </c>
      <c r="AH125" s="34" t="str">
        <f t="shared" ca="1" si="582"/>
        <v/>
      </c>
      <c r="AI125" s="34" t="str">
        <f t="shared" ca="1" si="582"/>
        <v/>
      </c>
      <c r="AJ125" s="34" t="str">
        <f t="shared" ref="AJ125:BO125" ca="1" si="583">IF(AJ$89="","",IF(AJ$89=$M$2,AI125,IF(AJ$11&lt;$D$7,OFFSET(INDIRECT($D$3),$A125-1,$Q$3+AJ$11),OFFSET(INDIRECT($D$4),$A125-1,$Q$4+AJ$11))))</f>
        <v/>
      </c>
      <c r="AK125" s="34" t="str">
        <f t="shared" ca="1" si="583"/>
        <v/>
      </c>
      <c r="AL125" s="34" t="str">
        <f t="shared" ca="1" si="583"/>
        <v/>
      </c>
      <c r="AM125" s="34" t="str">
        <f t="shared" ca="1" si="583"/>
        <v/>
      </c>
      <c r="AN125" s="34" t="str">
        <f t="shared" ca="1" si="583"/>
        <v/>
      </c>
      <c r="AO125" s="34" t="str">
        <f t="shared" ca="1" si="583"/>
        <v/>
      </c>
      <c r="AP125" s="34" t="str">
        <f t="shared" ca="1" si="583"/>
        <v/>
      </c>
      <c r="AQ125" s="34" t="str">
        <f t="shared" ca="1" si="583"/>
        <v/>
      </c>
      <c r="AR125" s="34" t="str">
        <f t="shared" ca="1" si="583"/>
        <v/>
      </c>
      <c r="AS125" s="34" t="str">
        <f t="shared" ca="1" si="583"/>
        <v/>
      </c>
      <c r="AT125" s="34" t="str">
        <f t="shared" ca="1" si="583"/>
        <v/>
      </c>
      <c r="AU125" s="34" t="str">
        <f t="shared" ca="1" si="583"/>
        <v/>
      </c>
      <c r="AV125" s="34" t="str">
        <f t="shared" ca="1" si="583"/>
        <v/>
      </c>
      <c r="AW125" s="34" t="str">
        <f t="shared" ca="1" si="583"/>
        <v/>
      </c>
      <c r="AX125" s="34" t="str">
        <f t="shared" ca="1" si="583"/>
        <v/>
      </c>
      <c r="AY125" s="34" t="str">
        <f t="shared" ca="1" si="583"/>
        <v/>
      </c>
      <c r="AZ125" s="34" t="str">
        <f t="shared" ca="1" si="583"/>
        <v/>
      </c>
      <c r="BA125" s="34" t="str">
        <f t="shared" ca="1" si="583"/>
        <v/>
      </c>
      <c r="BB125" s="34" t="str">
        <f t="shared" ca="1" si="583"/>
        <v/>
      </c>
      <c r="BC125" s="34" t="str">
        <f t="shared" ca="1" si="583"/>
        <v/>
      </c>
      <c r="BD125" s="34" t="str">
        <f t="shared" ca="1" si="583"/>
        <v/>
      </c>
      <c r="BE125" s="34" t="str">
        <f t="shared" ca="1" si="583"/>
        <v/>
      </c>
      <c r="BF125" s="34" t="str">
        <f t="shared" ca="1" si="583"/>
        <v/>
      </c>
      <c r="BG125" s="34" t="str">
        <f t="shared" ca="1" si="583"/>
        <v/>
      </c>
      <c r="BH125" s="34" t="str">
        <f t="shared" ca="1" si="583"/>
        <v/>
      </c>
      <c r="BI125" s="34" t="str">
        <f t="shared" ca="1" si="583"/>
        <v/>
      </c>
      <c r="BJ125" s="34" t="str">
        <f t="shared" ca="1" si="583"/>
        <v/>
      </c>
      <c r="BK125" s="34" t="str">
        <f t="shared" ca="1" si="583"/>
        <v/>
      </c>
      <c r="BL125" s="34" t="str">
        <f t="shared" ca="1" si="583"/>
        <v/>
      </c>
      <c r="BM125" s="34" t="str">
        <f t="shared" ca="1" si="583"/>
        <v/>
      </c>
      <c r="BN125" s="34" t="str">
        <f t="shared" ca="1" si="583"/>
        <v/>
      </c>
      <c r="BO125" s="34" t="str">
        <f t="shared" ca="1" si="583"/>
        <v/>
      </c>
      <c r="BP125" s="34" t="str">
        <f t="shared" ref="BP125:CZ125" ca="1" si="584">IF(BP$89="","",IF(BP$89=$M$2,BO125,IF(BP$11&lt;$D$7,OFFSET(INDIRECT($D$3),$A125-1,$Q$3+BP$11),OFFSET(INDIRECT($D$4),$A125-1,$Q$4+BP$11))))</f>
        <v/>
      </c>
      <c r="BQ125" s="34" t="str">
        <f t="shared" ca="1" si="584"/>
        <v/>
      </c>
      <c r="BR125" s="34" t="str">
        <f t="shared" ca="1" si="584"/>
        <v/>
      </c>
      <c r="BS125" s="34" t="str">
        <f t="shared" ca="1" si="584"/>
        <v/>
      </c>
      <c r="BT125" s="34" t="str">
        <f t="shared" ca="1" si="584"/>
        <v/>
      </c>
      <c r="BU125" s="34" t="str">
        <f t="shared" ca="1" si="584"/>
        <v/>
      </c>
      <c r="BV125" s="34" t="str">
        <f t="shared" ca="1" si="584"/>
        <v/>
      </c>
      <c r="BW125" s="34" t="str">
        <f t="shared" ca="1" si="584"/>
        <v/>
      </c>
      <c r="BX125" s="34" t="str">
        <f t="shared" ca="1" si="584"/>
        <v/>
      </c>
      <c r="BY125" s="34" t="str">
        <f t="shared" ca="1" si="584"/>
        <v/>
      </c>
      <c r="BZ125" s="34" t="str">
        <f t="shared" ca="1" si="584"/>
        <v/>
      </c>
      <c r="CA125" s="34" t="str">
        <f t="shared" ca="1" si="584"/>
        <v/>
      </c>
      <c r="CB125" s="34" t="str">
        <f t="shared" ca="1" si="584"/>
        <v/>
      </c>
      <c r="CC125" s="34" t="str">
        <f t="shared" ca="1" si="584"/>
        <v/>
      </c>
      <c r="CD125" s="34" t="str">
        <f t="shared" ca="1" si="584"/>
        <v/>
      </c>
      <c r="CE125" s="34" t="str">
        <f t="shared" ca="1" si="584"/>
        <v/>
      </c>
      <c r="CF125" s="34" t="str">
        <f t="shared" ca="1" si="584"/>
        <v/>
      </c>
      <c r="CG125" s="34" t="str">
        <f t="shared" ca="1" si="584"/>
        <v/>
      </c>
      <c r="CH125" s="34" t="str">
        <f t="shared" ca="1" si="584"/>
        <v/>
      </c>
      <c r="CI125" s="34" t="str">
        <f t="shared" ca="1" si="584"/>
        <v/>
      </c>
      <c r="CJ125" s="34" t="str">
        <f t="shared" ca="1" si="584"/>
        <v/>
      </c>
      <c r="CK125" s="34" t="str">
        <f t="shared" ca="1" si="584"/>
        <v/>
      </c>
      <c r="CL125" s="34" t="str">
        <f t="shared" ca="1" si="584"/>
        <v/>
      </c>
      <c r="CM125" s="34" t="str">
        <f t="shared" ca="1" si="584"/>
        <v/>
      </c>
      <c r="CN125" s="34" t="str">
        <f t="shared" ca="1" si="584"/>
        <v/>
      </c>
      <c r="CO125" s="34" t="str">
        <f t="shared" ca="1" si="584"/>
        <v/>
      </c>
      <c r="CP125" s="34" t="str">
        <f t="shared" ca="1" si="584"/>
        <v/>
      </c>
      <c r="CQ125" s="34" t="str">
        <f t="shared" ca="1" si="584"/>
        <v/>
      </c>
      <c r="CR125" s="34" t="str">
        <f t="shared" ca="1" si="584"/>
        <v/>
      </c>
      <c r="CS125" s="34" t="str">
        <f t="shared" ca="1" si="584"/>
        <v/>
      </c>
      <c r="CT125" s="34" t="str">
        <f t="shared" ca="1" si="584"/>
        <v/>
      </c>
      <c r="CU125" s="34" t="str">
        <f t="shared" ca="1" si="584"/>
        <v/>
      </c>
      <c r="CV125" s="34" t="str">
        <f t="shared" ca="1" si="584"/>
        <v/>
      </c>
      <c r="CW125" s="34" t="str">
        <f t="shared" ca="1" si="584"/>
        <v/>
      </c>
      <c r="CX125" s="34" t="str">
        <f t="shared" ca="1" si="584"/>
        <v/>
      </c>
      <c r="CY125" s="34" t="str">
        <f t="shared" ca="1" si="584"/>
        <v/>
      </c>
      <c r="CZ125" s="34" t="str">
        <f t="shared" ca="1" si="584"/>
        <v/>
      </c>
    </row>
    <row r="126" spans="1:104" ht="13.5" customHeight="1">
      <c r="A126" s="27">
        <v>111</v>
      </c>
      <c r="B126" s="33">
        <f t="shared" si="474"/>
        <v>126</v>
      </c>
      <c r="C126" s="9" t="s">
        <v>389</v>
      </c>
      <c r="D126" s="34">
        <f t="shared" ref="D126:AI126" ca="1" si="585">IF(D$89="","",IF(D$89=$M$2,C126,IF(D$11&lt;$D$7,OFFSET(INDIRECT($D$3),$A126-1,$Q$3+D$11),OFFSET(INDIRECT($D$4),$A126-1,$Q$4+D$11))))</f>
        <v>71383</v>
      </c>
      <c r="E126" s="34">
        <f t="shared" ca="1" si="585"/>
        <v>118411</v>
      </c>
      <c r="F126" s="34">
        <f t="shared" ca="1" si="585"/>
        <v>47907</v>
      </c>
      <c r="G126" s="34">
        <f t="shared" ca="1" si="585"/>
        <v>59860</v>
      </c>
      <c r="H126" s="34">
        <f t="shared" ca="1" si="585"/>
        <v>71383</v>
      </c>
      <c r="I126" s="34">
        <f t="shared" ca="1" si="585"/>
        <v>83910</v>
      </c>
      <c r="J126" s="34">
        <f t="shared" ca="1" si="585"/>
        <v>100222</v>
      </c>
      <c r="K126" s="34">
        <f t="shared" ca="1" si="585"/>
        <v>110953</v>
      </c>
      <c r="L126" s="34">
        <f t="shared" ca="1" si="585"/>
        <v>118411</v>
      </c>
      <c r="M126" s="34">
        <f t="shared" ca="1" si="585"/>
        <v>123740</v>
      </c>
      <c r="N126" s="34">
        <f t="shared" ca="1" si="585"/>
        <v>123740</v>
      </c>
      <c r="O126" s="34" t="str">
        <f t="shared" ca="1" si="585"/>
        <v/>
      </c>
      <c r="P126" s="34" t="str">
        <f t="shared" ca="1" si="585"/>
        <v/>
      </c>
      <c r="Q126" s="34" t="str">
        <f t="shared" ca="1" si="585"/>
        <v/>
      </c>
      <c r="R126" s="34" t="str">
        <f t="shared" ca="1" si="585"/>
        <v/>
      </c>
      <c r="S126" s="34" t="str">
        <f t="shared" ca="1" si="585"/>
        <v/>
      </c>
      <c r="T126" s="34" t="str">
        <f t="shared" ca="1" si="585"/>
        <v/>
      </c>
      <c r="U126" s="34" t="str">
        <f t="shared" ca="1" si="585"/>
        <v/>
      </c>
      <c r="V126" s="34" t="str">
        <f t="shared" ca="1" si="585"/>
        <v/>
      </c>
      <c r="W126" s="34" t="str">
        <f t="shared" ca="1" si="585"/>
        <v/>
      </c>
      <c r="X126" s="34" t="str">
        <f t="shared" ca="1" si="585"/>
        <v/>
      </c>
      <c r="Y126" s="34" t="str">
        <f t="shared" ca="1" si="585"/>
        <v/>
      </c>
      <c r="Z126" s="34" t="str">
        <f t="shared" ca="1" si="585"/>
        <v/>
      </c>
      <c r="AA126" s="34" t="str">
        <f t="shared" ca="1" si="585"/>
        <v/>
      </c>
      <c r="AB126" s="34" t="str">
        <f t="shared" ca="1" si="585"/>
        <v/>
      </c>
      <c r="AC126" s="34" t="str">
        <f t="shared" ca="1" si="585"/>
        <v/>
      </c>
      <c r="AD126" s="34" t="str">
        <f t="shared" ca="1" si="585"/>
        <v/>
      </c>
      <c r="AE126" s="34" t="str">
        <f t="shared" ca="1" si="585"/>
        <v/>
      </c>
      <c r="AF126" s="34" t="str">
        <f t="shared" ca="1" si="585"/>
        <v/>
      </c>
      <c r="AG126" s="34" t="str">
        <f t="shared" ca="1" si="585"/>
        <v/>
      </c>
      <c r="AH126" s="34" t="str">
        <f t="shared" ca="1" si="585"/>
        <v/>
      </c>
      <c r="AI126" s="34" t="str">
        <f t="shared" ca="1" si="585"/>
        <v/>
      </c>
      <c r="AJ126" s="34" t="str">
        <f t="shared" ref="AJ126:BO126" ca="1" si="586">IF(AJ$89="","",IF(AJ$89=$M$2,AI126,IF(AJ$11&lt;$D$7,OFFSET(INDIRECT($D$3),$A126-1,$Q$3+AJ$11),OFFSET(INDIRECT($D$4),$A126-1,$Q$4+AJ$11))))</f>
        <v/>
      </c>
      <c r="AK126" s="34" t="str">
        <f t="shared" ca="1" si="586"/>
        <v/>
      </c>
      <c r="AL126" s="34" t="str">
        <f t="shared" ca="1" si="586"/>
        <v/>
      </c>
      <c r="AM126" s="34" t="str">
        <f t="shared" ca="1" si="586"/>
        <v/>
      </c>
      <c r="AN126" s="34" t="str">
        <f t="shared" ca="1" si="586"/>
        <v/>
      </c>
      <c r="AO126" s="34" t="str">
        <f t="shared" ca="1" si="586"/>
        <v/>
      </c>
      <c r="AP126" s="34" t="str">
        <f t="shared" ca="1" si="586"/>
        <v/>
      </c>
      <c r="AQ126" s="34" t="str">
        <f t="shared" ca="1" si="586"/>
        <v/>
      </c>
      <c r="AR126" s="34" t="str">
        <f t="shared" ca="1" si="586"/>
        <v/>
      </c>
      <c r="AS126" s="34" t="str">
        <f t="shared" ca="1" si="586"/>
        <v/>
      </c>
      <c r="AT126" s="34" t="str">
        <f t="shared" ca="1" si="586"/>
        <v/>
      </c>
      <c r="AU126" s="34" t="str">
        <f t="shared" ca="1" si="586"/>
        <v/>
      </c>
      <c r="AV126" s="34" t="str">
        <f t="shared" ca="1" si="586"/>
        <v/>
      </c>
      <c r="AW126" s="34" t="str">
        <f t="shared" ca="1" si="586"/>
        <v/>
      </c>
      <c r="AX126" s="34" t="str">
        <f t="shared" ca="1" si="586"/>
        <v/>
      </c>
      <c r="AY126" s="34" t="str">
        <f t="shared" ca="1" si="586"/>
        <v/>
      </c>
      <c r="AZ126" s="34" t="str">
        <f t="shared" ca="1" si="586"/>
        <v/>
      </c>
      <c r="BA126" s="34" t="str">
        <f t="shared" ca="1" si="586"/>
        <v/>
      </c>
      <c r="BB126" s="34" t="str">
        <f t="shared" ca="1" si="586"/>
        <v/>
      </c>
      <c r="BC126" s="34" t="str">
        <f t="shared" ca="1" si="586"/>
        <v/>
      </c>
      <c r="BD126" s="34" t="str">
        <f t="shared" ca="1" si="586"/>
        <v/>
      </c>
      <c r="BE126" s="34" t="str">
        <f t="shared" ca="1" si="586"/>
        <v/>
      </c>
      <c r="BF126" s="34" t="str">
        <f t="shared" ca="1" si="586"/>
        <v/>
      </c>
      <c r="BG126" s="34" t="str">
        <f t="shared" ca="1" si="586"/>
        <v/>
      </c>
      <c r="BH126" s="34" t="str">
        <f t="shared" ca="1" si="586"/>
        <v/>
      </c>
      <c r="BI126" s="34" t="str">
        <f t="shared" ca="1" si="586"/>
        <v/>
      </c>
      <c r="BJ126" s="34" t="str">
        <f t="shared" ca="1" si="586"/>
        <v/>
      </c>
      <c r="BK126" s="34" t="str">
        <f t="shared" ca="1" si="586"/>
        <v/>
      </c>
      <c r="BL126" s="34" t="str">
        <f t="shared" ca="1" si="586"/>
        <v/>
      </c>
      <c r="BM126" s="34" t="str">
        <f t="shared" ca="1" si="586"/>
        <v/>
      </c>
      <c r="BN126" s="34" t="str">
        <f t="shared" ca="1" si="586"/>
        <v/>
      </c>
      <c r="BO126" s="34" t="str">
        <f t="shared" ca="1" si="586"/>
        <v/>
      </c>
      <c r="BP126" s="34" t="str">
        <f t="shared" ref="BP126:CZ126" ca="1" si="587">IF(BP$89="","",IF(BP$89=$M$2,BO126,IF(BP$11&lt;$D$7,OFFSET(INDIRECT($D$3),$A126-1,$Q$3+BP$11),OFFSET(INDIRECT($D$4),$A126-1,$Q$4+BP$11))))</f>
        <v/>
      </c>
      <c r="BQ126" s="34" t="str">
        <f t="shared" ca="1" si="587"/>
        <v/>
      </c>
      <c r="BR126" s="34" t="str">
        <f t="shared" ca="1" si="587"/>
        <v/>
      </c>
      <c r="BS126" s="34" t="str">
        <f t="shared" ca="1" si="587"/>
        <v/>
      </c>
      <c r="BT126" s="34" t="str">
        <f t="shared" ca="1" si="587"/>
        <v/>
      </c>
      <c r="BU126" s="34" t="str">
        <f t="shared" ca="1" si="587"/>
        <v/>
      </c>
      <c r="BV126" s="34" t="str">
        <f t="shared" ca="1" si="587"/>
        <v/>
      </c>
      <c r="BW126" s="34" t="str">
        <f t="shared" ca="1" si="587"/>
        <v/>
      </c>
      <c r="BX126" s="34" t="str">
        <f t="shared" ca="1" si="587"/>
        <v/>
      </c>
      <c r="BY126" s="34" t="str">
        <f t="shared" ca="1" si="587"/>
        <v/>
      </c>
      <c r="BZ126" s="34" t="str">
        <f t="shared" ca="1" si="587"/>
        <v/>
      </c>
      <c r="CA126" s="34" t="str">
        <f t="shared" ca="1" si="587"/>
        <v/>
      </c>
      <c r="CB126" s="34" t="str">
        <f t="shared" ca="1" si="587"/>
        <v/>
      </c>
      <c r="CC126" s="34" t="str">
        <f t="shared" ca="1" si="587"/>
        <v/>
      </c>
      <c r="CD126" s="34" t="str">
        <f t="shared" ca="1" si="587"/>
        <v/>
      </c>
      <c r="CE126" s="34" t="str">
        <f t="shared" ca="1" si="587"/>
        <v/>
      </c>
      <c r="CF126" s="34" t="str">
        <f t="shared" ca="1" si="587"/>
        <v/>
      </c>
      <c r="CG126" s="34" t="str">
        <f t="shared" ca="1" si="587"/>
        <v/>
      </c>
      <c r="CH126" s="34" t="str">
        <f t="shared" ca="1" si="587"/>
        <v/>
      </c>
      <c r="CI126" s="34" t="str">
        <f t="shared" ca="1" si="587"/>
        <v/>
      </c>
      <c r="CJ126" s="34" t="str">
        <f t="shared" ca="1" si="587"/>
        <v/>
      </c>
      <c r="CK126" s="34" t="str">
        <f t="shared" ca="1" si="587"/>
        <v/>
      </c>
      <c r="CL126" s="34" t="str">
        <f t="shared" ca="1" si="587"/>
        <v/>
      </c>
      <c r="CM126" s="34" t="str">
        <f t="shared" ca="1" si="587"/>
        <v/>
      </c>
      <c r="CN126" s="34" t="str">
        <f t="shared" ca="1" si="587"/>
        <v/>
      </c>
      <c r="CO126" s="34" t="str">
        <f t="shared" ca="1" si="587"/>
        <v/>
      </c>
      <c r="CP126" s="34" t="str">
        <f t="shared" ca="1" si="587"/>
        <v/>
      </c>
      <c r="CQ126" s="34" t="str">
        <f t="shared" ca="1" si="587"/>
        <v/>
      </c>
      <c r="CR126" s="34" t="str">
        <f t="shared" ca="1" si="587"/>
        <v/>
      </c>
      <c r="CS126" s="34" t="str">
        <f t="shared" ca="1" si="587"/>
        <v/>
      </c>
      <c r="CT126" s="34" t="str">
        <f t="shared" ca="1" si="587"/>
        <v/>
      </c>
      <c r="CU126" s="34" t="str">
        <f t="shared" ca="1" si="587"/>
        <v/>
      </c>
      <c r="CV126" s="34" t="str">
        <f t="shared" ca="1" si="587"/>
        <v/>
      </c>
      <c r="CW126" s="34" t="str">
        <f t="shared" ca="1" si="587"/>
        <v/>
      </c>
      <c r="CX126" s="34" t="str">
        <f t="shared" ca="1" si="587"/>
        <v/>
      </c>
      <c r="CY126" s="34" t="str">
        <f t="shared" ca="1" si="587"/>
        <v/>
      </c>
      <c r="CZ126" s="34" t="str">
        <f t="shared" ca="1" si="587"/>
        <v/>
      </c>
    </row>
    <row r="127" spans="1:104" ht="13.5" customHeight="1">
      <c r="A127" s="27">
        <v>112</v>
      </c>
      <c r="B127" s="33">
        <f t="shared" si="474"/>
        <v>127</v>
      </c>
      <c r="C127" s="9" t="s">
        <v>390</v>
      </c>
      <c r="D127" s="34">
        <f t="shared" ref="D127:Q127" ca="1" si="588">IF(D$89="","",IF(D$89=$M$2,C127,+D111+D126))</f>
        <v>116371</v>
      </c>
      <c r="E127" s="34">
        <f t="shared" ca="1" si="588"/>
        <v>176064</v>
      </c>
      <c r="F127" s="34">
        <f t="shared" ca="1" si="588"/>
        <v>94904</v>
      </c>
      <c r="G127" s="34">
        <f t="shared" ca="1" si="588"/>
        <v>106758</v>
      </c>
      <c r="H127" s="34">
        <f t="shared" ca="1" si="588"/>
        <v>116371</v>
      </c>
      <c r="I127" s="34">
        <f t="shared" ca="1" si="588"/>
        <v>138681</v>
      </c>
      <c r="J127" s="34">
        <f t="shared" ca="1" si="588"/>
        <v>150934</v>
      </c>
      <c r="K127" s="34">
        <f t="shared" ca="1" si="588"/>
        <v>162896</v>
      </c>
      <c r="L127" s="34">
        <f t="shared" ca="1" si="588"/>
        <v>176064</v>
      </c>
      <c r="M127" s="34">
        <f t="shared" ca="1" si="588"/>
        <v>196088</v>
      </c>
      <c r="N127" s="34">
        <f t="shared" ca="1" si="588"/>
        <v>196088</v>
      </c>
      <c r="O127" s="34" t="str">
        <f t="shared" ca="1" si="588"/>
        <v/>
      </c>
      <c r="P127" s="34" t="str">
        <f t="shared" ca="1" si="588"/>
        <v/>
      </c>
      <c r="Q127" s="34" t="str">
        <f t="shared" ca="1" si="588"/>
        <v/>
      </c>
      <c r="R127" s="34" t="str">
        <f ca="1">IF(R$89="","",IF(R$89=$M$2,Q127,IF(R$11&lt;$D$7,OFFSET(INDIRECT($D$3),$A127-1,$Q$3+R$11),OFFSET(INDIRECT($D$4),$A127-1,$Q$4+R$11))))</f>
        <v/>
      </c>
      <c r="S127" s="34" t="str">
        <f t="shared" ref="S127:AX127" si="589">IF(S$89="","",IF(S$89=$M$2,R127,+S111+S126))</f>
        <v/>
      </c>
      <c r="T127" s="34" t="str">
        <f t="shared" si="589"/>
        <v/>
      </c>
      <c r="U127" s="34" t="str">
        <f t="shared" si="589"/>
        <v/>
      </c>
      <c r="V127" s="34" t="str">
        <f t="shared" si="589"/>
        <v/>
      </c>
      <c r="W127" s="34" t="str">
        <f t="shared" si="589"/>
        <v/>
      </c>
      <c r="X127" s="34" t="str">
        <f t="shared" si="589"/>
        <v/>
      </c>
      <c r="Y127" s="34" t="str">
        <f t="shared" si="589"/>
        <v/>
      </c>
      <c r="Z127" s="34" t="str">
        <f t="shared" si="589"/>
        <v/>
      </c>
      <c r="AA127" s="34" t="str">
        <f t="shared" si="589"/>
        <v/>
      </c>
      <c r="AB127" s="34" t="str">
        <f t="shared" si="589"/>
        <v/>
      </c>
      <c r="AC127" s="34" t="str">
        <f t="shared" si="589"/>
        <v/>
      </c>
      <c r="AD127" s="34" t="str">
        <f t="shared" si="589"/>
        <v/>
      </c>
      <c r="AE127" s="34" t="str">
        <f t="shared" si="589"/>
        <v/>
      </c>
      <c r="AF127" s="34" t="str">
        <f t="shared" si="589"/>
        <v/>
      </c>
      <c r="AG127" s="34" t="str">
        <f t="shared" si="589"/>
        <v/>
      </c>
      <c r="AH127" s="34" t="str">
        <f t="shared" si="589"/>
        <v/>
      </c>
      <c r="AI127" s="34" t="str">
        <f t="shared" si="589"/>
        <v/>
      </c>
      <c r="AJ127" s="34" t="str">
        <f t="shared" si="589"/>
        <v/>
      </c>
      <c r="AK127" s="34" t="str">
        <f t="shared" si="589"/>
        <v/>
      </c>
      <c r="AL127" s="34" t="str">
        <f t="shared" si="589"/>
        <v/>
      </c>
      <c r="AM127" s="34" t="str">
        <f t="shared" si="589"/>
        <v/>
      </c>
      <c r="AN127" s="34" t="str">
        <f t="shared" si="589"/>
        <v/>
      </c>
      <c r="AO127" s="34" t="str">
        <f t="shared" si="589"/>
        <v/>
      </c>
      <c r="AP127" s="34" t="str">
        <f t="shared" si="589"/>
        <v/>
      </c>
      <c r="AQ127" s="34" t="str">
        <f t="shared" si="589"/>
        <v/>
      </c>
      <c r="AR127" s="34" t="str">
        <f t="shared" si="589"/>
        <v/>
      </c>
      <c r="AS127" s="34" t="str">
        <f t="shared" si="589"/>
        <v/>
      </c>
      <c r="AT127" s="34" t="str">
        <f t="shared" si="589"/>
        <v/>
      </c>
      <c r="AU127" s="34" t="str">
        <f t="shared" si="589"/>
        <v/>
      </c>
      <c r="AV127" s="34" t="str">
        <f t="shared" si="589"/>
        <v/>
      </c>
      <c r="AW127" s="34" t="str">
        <f t="shared" si="589"/>
        <v/>
      </c>
      <c r="AX127" s="34" t="str">
        <f t="shared" si="589"/>
        <v/>
      </c>
      <c r="AY127" s="34" t="str">
        <f t="shared" ref="AY127:CD127" si="590">IF(AY$89="","",IF(AY$89=$M$2,AX127,+AY111+AY126))</f>
        <v/>
      </c>
      <c r="AZ127" s="34" t="str">
        <f t="shared" si="590"/>
        <v/>
      </c>
      <c r="BA127" s="34" t="str">
        <f t="shared" si="590"/>
        <v/>
      </c>
      <c r="BB127" s="34" t="str">
        <f t="shared" si="590"/>
        <v/>
      </c>
      <c r="BC127" s="34" t="str">
        <f t="shared" si="590"/>
        <v/>
      </c>
      <c r="BD127" s="34" t="str">
        <f t="shared" si="590"/>
        <v/>
      </c>
      <c r="BE127" s="34" t="str">
        <f t="shared" si="590"/>
        <v/>
      </c>
      <c r="BF127" s="34" t="str">
        <f t="shared" si="590"/>
        <v/>
      </c>
      <c r="BG127" s="34" t="str">
        <f t="shared" si="590"/>
        <v/>
      </c>
      <c r="BH127" s="34" t="str">
        <f t="shared" si="590"/>
        <v/>
      </c>
      <c r="BI127" s="34" t="str">
        <f t="shared" si="590"/>
        <v/>
      </c>
      <c r="BJ127" s="34" t="str">
        <f t="shared" si="590"/>
        <v/>
      </c>
      <c r="BK127" s="34" t="str">
        <f t="shared" si="590"/>
        <v/>
      </c>
      <c r="BL127" s="34" t="str">
        <f t="shared" si="590"/>
        <v/>
      </c>
      <c r="BM127" s="34" t="str">
        <f t="shared" si="590"/>
        <v/>
      </c>
      <c r="BN127" s="34" t="str">
        <f t="shared" si="590"/>
        <v/>
      </c>
      <c r="BO127" s="34" t="str">
        <f t="shared" si="590"/>
        <v/>
      </c>
      <c r="BP127" s="34" t="str">
        <f t="shared" si="590"/>
        <v/>
      </c>
      <c r="BQ127" s="34" t="str">
        <f t="shared" si="590"/>
        <v/>
      </c>
      <c r="BR127" s="34" t="str">
        <f t="shared" si="590"/>
        <v/>
      </c>
      <c r="BS127" s="34" t="str">
        <f t="shared" si="590"/>
        <v/>
      </c>
      <c r="BT127" s="34" t="str">
        <f t="shared" si="590"/>
        <v/>
      </c>
      <c r="BU127" s="34" t="str">
        <f t="shared" si="590"/>
        <v/>
      </c>
      <c r="BV127" s="34" t="str">
        <f t="shared" si="590"/>
        <v/>
      </c>
      <c r="BW127" s="34" t="str">
        <f t="shared" si="590"/>
        <v/>
      </c>
      <c r="BX127" s="34" t="str">
        <f t="shared" si="590"/>
        <v/>
      </c>
      <c r="BY127" s="34" t="str">
        <f t="shared" si="590"/>
        <v/>
      </c>
      <c r="BZ127" s="34" t="str">
        <f t="shared" si="590"/>
        <v/>
      </c>
      <c r="CA127" s="34" t="str">
        <f t="shared" si="590"/>
        <v/>
      </c>
      <c r="CB127" s="34" t="str">
        <f t="shared" si="590"/>
        <v/>
      </c>
      <c r="CC127" s="34" t="str">
        <f t="shared" si="590"/>
        <v/>
      </c>
      <c r="CD127" s="34" t="str">
        <f t="shared" si="590"/>
        <v/>
      </c>
      <c r="CE127" s="34" t="str">
        <f t="shared" ref="CE127:CZ127" si="591">IF(CE$89="","",IF(CE$89=$M$2,CD127,+CE111+CE126))</f>
        <v/>
      </c>
      <c r="CF127" s="34" t="str">
        <f t="shared" si="591"/>
        <v/>
      </c>
      <c r="CG127" s="34" t="str">
        <f t="shared" si="591"/>
        <v/>
      </c>
      <c r="CH127" s="34" t="str">
        <f t="shared" si="591"/>
        <v/>
      </c>
      <c r="CI127" s="34" t="str">
        <f t="shared" si="591"/>
        <v/>
      </c>
      <c r="CJ127" s="34" t="str">
        <f t="shared" si="591"/>
        <v/>
      </c>
      <c r="CK127" s="34" t="str">
        <f t="shared" si="591"/>
        <v/>
      </c>
      <c r="CL127" s="34" t="str">
        <f t="shared" si="591"/>
        <v/>
      </c>
      <c r="CM127" s="34" t="str">
        <f t="shared" si="591"/>
        <v/>
      </c>
      <c r="CN127" s="34" t="str">
        <f t="shared" si="591"/>
        <v/>
      </c>
      <c r="CO127" s="34" t="str">
        <f t="shared" si="591"/>
        <v/>
      </c>
      <c r="CP127" s="34" t="str">
        <f t="shared" si="591"/>
        <v/>
      </c>
      <c r="CQ127" s="34" t="str">
        <f t="shared" si="591"/>
        <v/>
      </c>
      <c r="CR127" s="34" t="str">
        <f t="shared" si="591"/>
        <v/>
      </c>
      <c r="CS127" s="34" t="str">
        <f t="shared" si="591"/>
        <v/>
      </c>
      <c r="CT127" s="34" t="str">
        <f t="shared" si="591"/>
        <v/>
      </c>
      <c r="CU127" s="34" t="str">
        <f t="shared" si="591"/>
        <v/>
      </c>
      <c r="CV127" s="34" t="str">
        <f t="shared" si="591"/>
        <v/>
      </c>
      <c r="CW127" s="34" t="str">
        <f t="shared" si="591"/>
        <v/>
      </c>
      <c r="CX127" s="34" t="str">
        <f t="shared" si="591"/>
        <v/>
      </c>
      <c r="CY127" s="34" t="str">
        <f t="shared" si="591"/>
        <v/>
      </c>
      <c r="CZ127" s="34" t="str">
        <f t="shared" si="591"/>
        <v/>
      </c>
    </row>
    <row r="128" spans="1:104" ht="13.5" customHeight="1">
      <c r="A128" s="38"/>
      <c r="B128" s="33">
        <f t="shared" si="474"/>
        <v>128</v>
      </c>
      <c r="C128" s="11"/>
      <c r="D128" s="34"/>
      <c r="E128" s="34"/>
      <c r="F128" s="34"/>
      <c r="G128" s="34"/>
      <c r="H128" s="34"/>
      <c r="I128" s="34"/>
      <c r="J128" s="34"/>
      <c r="K128" s="34"/>
      <c r="L128" s="34"/>
      <c r="M128" s="34"/>
      <c r="N128" s="34"/>
      <c r="O128" s="34"/>
      <c r="P128" s="34"/>
      <c r="Q128" s="34"/>
      <c r="R128" s="34"/>
      <c r="S128" s="34"/>
      <c r="T128" s="34"/>
      <c r="U128" s="34"/>
      <c r="V128" s="34"/>
      <c r="W128" s="34"/>
      <c r="X128" s="34"/>
      <c r="Y128" s="34"/>
      <c r="Z128" s="34"/>
      <c r="AA128" s="34"/>
      <c r="AB128" s="34"/>
      <c r="AC128" s="34"/>
      <c r="AD128" s="34"/>
      <c r="AE128" s="34"/>
      <c r="AF128" s="34"/>
      <c r="AG128" s="34"/>
      <c r="AH128" s="34"/>
      <c r="AI128" s="34"/>
      <c r="AJ128" s="34"/>
      <c r="AK128" s="34"/>
      <c r="AL128" s="34"/>
      <c r="AM128" s="34"/>
      <c r="AN128" s="34"/>
      <c r="AO128" s="34"/>
      <c r="AP128" s="34"/>
      <c r="AQ128" s="34"/>
      <c r="AR128" s="34"/>
      <c r="AS128" s="34"/>
      <c r="AT128" s="34"/>
      <c r="AU128" s="34"/>
      <c r="AV128" s="34"/>
      <c r="AW128" s="34"/>
      <c r="AX128" s="34"/>
      <c r="AY128" s="34"/>
      <c r="AZ128" s="34"/>
      <c r="BA128" s="34"/>
      <c r="BB128" s="34"/>
      <c r="BC128" s="34"/>
      <c r="BD128" s="34"/>
      <c r="BE128" s="34"/>
      <c r="BF128" s="34"/>
      <c r="BG128" s="34"/>
      <c r="BH128" s="34"/>
      <c r="BI128" s="34"/>
      <c r="BJ128" s="34"/>
      <c r="BK128" s="34"/>
      <c r="BL128" s="34"/>
      <c r="BM128" s="34"/>
      <c r="BN128" s="34"/>
      <c r="BO128" s="34"/>
      <c r="BP128" s="34"/>
      <c r="BQ128" s="34"/>
      <c r="BR128" s="34"/>
      <c r="BS128" s="34"/>
      <c r="BT128" s="34"/>
      <c r="BU128" s="34"/>
      <c r="BV128" s="34"/>
      <c r="BW128" s="34"/>
      <c r="BX128" s="34"/>
      <c r="BY128" s="34"/>
      <c r="BZ128" s="34"/>
      <c r="CA128" s="34"/>
      <c r="CB128" s="34"/>
      <c r="CC128" s="34"/>
      <c r="CD128" s="34"/>
      <c r="CE128" s="34"/>
      <c r="CF128" s="34"/>
      <c r="CG128" s="34"/>
      <c r="CH128" s="34"/>
      <c r="CI128" s="34"/>
      <c r="CJ128" s="34"/>
      <c r="CK128" s="34"/>
      <c r="CL128" s="34"/>
      <c r="CM128" s="34"/>
      <c r="CN128" s="34"/>
      <c r="CO128" s="34"/>
      <c r="CP128" s="34"/>
      <c r="CQ128" s="34"/>
      <c r="CR128" s="34"/>
      <c r="CS128" s="34"/>
      <c r="CT128" s="34"/>
      <c r="CU128" s="34"/>
      <c r="CV128" s="34"/>
      <c r="CW128" s="34"/>
      <c r="CX128" s="34"/>
      <c r="CY128" s="34"/>
      <c r="CZ128" s="34"/>
    </row>
    <row r="129" spans="1:104" s="13" customFormat="1" ht="13.5" customHeight="1">
      <c r="A129" s="38"/>
      <c r="B129" s="33">
        <f t="shared" si="474"/>
        <v>129</v>
      </c>
      <c r="C129" s="45">
        <v>1</v>
      </c>
      <c r="D129" s="36" t="str">
        <f t="shared" ref="D129:AI129" ca="1" si="592">IF(D$13="","",IF(OR(D$13=$M$5,D$13=$M$6,D$13=$M$7,D$13=$M$8),"",IF(ABS(D$127-IF(D$11&lt;$D$7,OFFSET(INDIRECT($D$3),$A127-1,$Q$3+D$11),OFFSET(INDIRECT($D$4),$A127-1,$Q$4+D$11)))&lt;=$C$57,$M$3,$M$9)))</f>
        <v>Balance</v>
      </c>
      <c r="E129" s="36" t="str">
        <f t="shared" ca="1" si="592"/>
        <v>Balance</v>
      </c>
      <c r="F129" s="36" t="str">
        <f t="shared" ca="1" si="592"/>
        <v>Balance</v>
      </c>
      <c r="G129" s="36" t="str">
        <f t="shared" ca="1" si="592"/>
        <v>Balance</v>
      </c>
      <c r="H129" s="36" t="str">
        <f t="shared" ca="1" si="592"/>
        <v>Balance</v>
      </c>
      <c r="I129" s="36" t="str">
        <f t="shared" ca="1" si="592"/>
        <v>Balance</v>
      </c>
      <c r="J129" s="36" t="str">
        <f t="shared" ca="1" si="592"/>
        <v>Balance</v>
      </c>
      <c r="K129" s="36" t="str">
        <f t="shared" ca="1" si="592"/>
        <v>Balance</v>
      </c>
      <c r="L129" s="36" t="str">
        <f t="shared" ca="1" si="592"/>
        <v>Balance</v>
      </c>
      <c r="M129" s="36" t="str">
        <f t="shared" ca="1" si="592"/>
        <v>Balance</v>
      </c>
      <c r="N129" s="36" t="str">
        <f t="shared" ca="1" si="592"/>
        <v/>
      </c>
      <c r="O129" s="36" t="str">
        <f t="shared" ca="1" si="592"/>
        <v/>
      </c>
      <c r="P129" s="36" t="str">
        <f t="shared" ca="1" si="592"/>
        <v/>
      </c>
      <c r="Q129" s="36" t="str">
        <f t="shared" ca="1" si="592"/>
        <v/>
      </c>
      <c r="R129" s="36" t="str">
        <f t="shared" ca="1" si="592"/>
        <v/>
      </c>
      <c r="S129" s="36" t="str">
        <f t="shared" ca="1" si="592"/>
        <v/>
      </c>
      <c r="T129" s="36" t="str">
        <f t="shared" ca="1" si="592"/>
        <v/>
      </c>
      <c r="U129" s="36" t="str">
        <f t="shared" ca="1" si="592"/>
        <v/>
      </c>
      <c r="V129" s="36" t="str">
        <f t="shared" ca="1" si="592"/>
        <v/>
      </c>
      <c r="W129" s="36" t="str">
        <f t="shared" ca="1" si="592"/>
        <v/>
      </c>
      <c r="X129" s="36" t="str">
        <f t="shared" ca="1" si="592"/>
        <v/>
      </c>
      <c r="Y129" s="36" t="str">
        <f t="shared" ca="1" si="592"/>
        <v/>
      </c>
      <c r="Z129" s="36" t="str">
        <f t="shared" ca="1" si="592"/>
        <v/>
      </c>
      <c r="AA129" s="36" t="str">
        <f t="shared" ca="1" si="592"/>
        <v/>
      </c>
      <c r="AB129" s="36" t="str">
        <f t="shared" ca="1" si="592"/>
        <v/>
      </c>
      <c r="AC129" s="36" t="str">
        <f t="shared" ca="1" si="592"/>
        <v/>
      </c>
      <c r="AD129" s="36" t="str">
        <f t="shared" ca="1" si="592"/>
        <v/>
      </c>
      <c r="AE129" s="36" t="str">
        <f t="shared" ca="1" si="592"/>
        <v/>
      </c>
      <c r="AF129" s="36" t="str">
        <f t="shared" ca="1" si="592"/>
        <v/>
      </c>
      <c r="AG129" s="18" t="str">
        <f t="shared" ca="1" si="592"/>
        <v/>
      </c>
      <c r="AH129" s="18" t="str">
        <f t="shared" ca="1" si="592"/>
        <v/>
      </c>
      <c r="AI129" s="18" t="str">
        <f t="shared" ca="1" si="592"/>
        <v/>
      </c>
      <c r="AJ129" s="18" t="str">
        <f t="shared" ref="AJ129:BO129" ca="1" si="593">IF(AJ$13="","",IF(OR(AJ$13=$M$5,AJ$13=$M$6,AJ$13=$M$7,AJ$13=$M$8),"",IF(ABS(AJ$127-IF(AJ$11&lt;$D$7,OFFSET(INDIRECT($D$3),$A127-1,$Q$3+AJ$11),OFFSET(INDIRECT($D$4),$A127-1,$Q$4+AJ$11)))&lt;=$C$57,$M$3,$M$9)))</f>
        <v/>
      </c>
      <c r="AK129" s="18" t="str">
        <f t="shared" ca="1" si="593"/>
        <v/>
      </c>
      <c r="AL129" s="18" t="str">
        <f t="shared" ca="1" si="593"/>
        <v/>
      </c>
      <c r="AM129" s="18" t="str">
        <f t="shared" ca="1" si="593"/>
        <v/>
      </c>
      <c r="AN129" s="18" t="str">
        <f t="shared" ca="1" si="593"/>
        <v/>
      </c>
      <c r="AO129" s="18" t="str">
        <f t="shared" ca="1" si="593"/>
        <v/>
      </c>
      <c r="AP129" s="18" t="str">
        <f t="shared" ca="1" si="593"/>
        <v/>
      </c>
      <c r="AQ129" s="18" t="str">
        <f t="shared" ca="1" si="593"/>
        <v/>
      </c>
      <c r="AR129" s="18" t="str">
        <f t="shared" ca="1" si="593"/>
        <v/>
      </c>
      <c r="AS129" s="18" t="str">
        <f t="shared" ca="1" si="593"/>
        <v/>
      </c>
      <c r="AT129" s="18" t="str">
        <f t="shared" ca="1" si="593"/>
        <v/>
      </c>
      <c r="AU129" s="18" t="str">
        <f t="shared" ca="1" si="593"/>
        <v/>
      </c>
      <c r="AV129" s="18" t="str">
        <f t="shared" ca="1" si="593"/>
        <v/>
      </c>
      <c r="AW129" s="18" t="str">
        <f t="shared" ca="1" si="593"/>
        <v/>
      </c>
      <c r="AX129" s="18" t="str">
        <f t="shared" ca="1" si="593"/>
        <v/>
      </c>
      <c r="AY129" s="18" t="str">
        <f t="shared" ca="1" si="593"/>
        <v/>
      </c>
      <c r="AZ129" s="18" t="str">
        <f t="shared" ca="1" si="593"/>
        <v/>
      </c>
      <c r="BA129" s="18" t="str">
        <f t="shared" ca="1" si="593"/>
        <v/>
      </c>
      <c r="BB129" s="18" t="str">
        <f t="shared" ca="1" si="593"/>
        <v/>
      </c>
      <c r="BC129" s="18" t="str">
        <f t="shared" ca="1" si="593"/>
        <v/>
      </c>
      <c r="BD129" s="18" t="str">
        <f t="shared" ca="1" si="593"/>
        <v/>
      </c>
      <c r="BE129" s="18" t="str">
        <f t="shared" ca="1" si="593"/>
        <v/>
      </c>
      <c r="BF129" s="18" t="str">
        <f t="shared" ca="1" si="593"/>
        <v/>
      </c>
      <c r="BG129" s="18" t="str">
        <f t="shared" ca="1" si="593"/>
        <v/>
      </c>
      <c r="BH129" s="18" t="str">
        <f t="shared" ca="1" si="593"/>
        <v/>
      </c>
      <c r="BI129" s="18" t="str">
        <f t="shared" ca="1" si="593"/>
        <v/>
      </c>
      <c r="BJ129" s="18" t="str">
        <f t="shared" ca="1" si="593"/>
        <v/>
      </c>
      <c r="BK129" s="18" t="str">
        <f t="shared" ca="1" si="593"/>
        <v/>
      </c>
      <c r="BL129" s="18" t="str">
        <f t="shared" ca="1" si="593"/>
        <v/>
      </c>
      <c r="BM129" s="18" t="str">
        <f t="shared" ca="1" si="593"/>
        <v/>
      </c>
      <c r="BN129" s="18" t="str">
        <f t="shared" ca="1" si="593"/>
        <v/>
      </c>
      <c r="BO129" s="18" t="str">
        <f t="shared" ca="1" si="593"/>
        <v/>
      </c>
      <c r="BP129" s="18" t="str">
        <f t="shared" ref="BP129:CZ129" ca="1" si="594">IF(BP$13="","",IF(OR(BP$13=$M$5,BP$13=$M$6,BP$13=$M$7,BP$13=$M$8),"",IF(ABS(BP$127-IF(BP$11&lt;$D$7,OFFSET(INDIRECT($D$3),$A127-1,$Q$3+BP$11),OFFSET(INDIRECT($D$4),$A127-1,$Q$4+BP$11)))&lt;=$C$57,$M$3,$M$9)))</f>
        <v/>
      </c>
      <c r="BQ129" s="18" t="str">
        <f t="shared" ca="1" si="594"/>
        <v/>
      </c>
      <c r="BR129" s="18" t="str">
        <f t="shared" ca="1" si="594"/>
        <v/>
      </c>
      <c r="BS129" s="18" t="str">
        <f t="shared" ca="1" si="594"/>
        <v/>
      </c>
      <c r="BT129" s="18" t="str">
        <f t="shared" ca="1" si="594"/>
        <v/>
      </c>
      <c r="BU129" s="18" t="str">
        <f t="shared" ca="1" si="594"/>
        <v/>
      </c>
      <c r="BV129" s="18" t="str">
        <f t="shared" ca="1" si="594"/>
        <v/>
      </c>
      <c r="BW129" s="18" t="str">
        <f t="shared" ca="1" si="594"/>
        <v/>
      </c>
      <c r="BX129" s="18" t="str">
        <f t="shared" ca="1" si="594"/>
        <v/>
      </c>
      <c r="BY129" s="18" t="str">
        <f t="shared" ca="1" si="594"/>
        <v/>
      </c>
      <c r="BZ129" s="18" t="str">
        <f t="shared" ca="1" si="594"/>
        <v/>
      </c>
      <c r="CA129" s="18" t="str">
        <f t="shared" ca="1" si="594"/>
        <v/>
      </c>
      <c r="CB129" s="18" t="str">
        <f t="shared" ca="1" si="594"/>
        <v/>
      </c>
      <c r="CC129" s="18" t="str">
        <f t="shared" ca="1" si="594"/>
        <v/>
      </c>
      <c r="CD129" s="18" t="str">
        <f t="shared" ca="1" si="594"/>
        <v/>
      </c>
      <c r="CE129" s="18" t="str">
        <f t="shared" ca="1" si="594"/>
        <v/>
      </c>
      <c r="CF129" s="18" t="str">
        <f t="shared" ca="1" si="594"/>
        <v/>
      </c>
      <c r="CG129" s="18" t="str">
        <f t="shared" ca="1" si="594"/>
        <v/>
      </c>
      <c r="CH129" s="18" t="str">
        <f t="shared" ca="1" si="594"/>
        <v/>
      </c>
      <c r="CI129" s="18" t="str">
        <f t="shared" ca="1" si="594"/>
        <v/>
      </c>
      <c r="CJ129" s="18" t="str">
        <f t="shared" ca="1" si="594"/>
        <v/>
      </c>
      <c r="CK129" s="18" t="str">
        <f t="shared" ca="1" si="594"/>
        <v/>
      </c>
      <c r="CL129" s="18" t="str">
        <f t="shared" ca="1" si="594"/>
        <v/>
      </c>
      <c r="CM129" s="18" t="str">
        <f t="shared" ca="1" si="594"/>
        <v/>
      </c>
      <c r="CN129" s="18" t="str">
        <f t="shared" ca="1" si="594"/>
        <v/>
      </c>
      <c r="CO129" s="18" t="str">
        <f t="shared" ca="1" si="594"/>
        <v/>
      </c>
      <c r="CP129" s="18" t="str">
        <f t="shared" ca="1" si="594"/>
        <v/>
      </c>
      <c r="CQ129" s="18" t="str">
        <f t="shared" ca="1" si="594"/>
        <v/>
      </c>
      <c r="CR129" s="18" t="str">
        <f t="shared" ca="1" si="594"/>
        <v/>
      </c>
      <c r="CS129" s="18" t="str">
        <f t="shared" ca="1" si="594"/>
        <v/>
      </c>
      <c r="CT129" s="18" t="str">
        <f t="shared" ca="1" si="594"/>
        <v/>
      </c>
      <c r="CU129" s="18" t="str">
        <f t="shared" ca="1" si="594"/>
        <v/>
      </c>
      <c r="CV129" s="18" t="str">
        <f t="shared" ca="1" si="594"/>
        <v/>
      </c>
      <c r="CW129" s="18" t="str">
        <f t="shared" ca="1" si="594"/>
        <v/>
      </c>
      <c r="CX129" s="18" t="str">
        <f t="shared" ca="1" si="594"/>
        <v/>
      </c>
      <c r="CY129" s="18" t="str">
        <f t="shared" ca="1" si="594"/>
        <v/>
      </c>
      <c r="CZ129" s="18" t="str">
        <f t="shared" ca="1" si="594"/>
        <v/>
      </c>
    </row>
    <row r="130" spans="1:104" ht="13.5" customHeight="1">
      <c r="A130" s="38"/>
      <c r="B130" s="33">
        <f t="shared" si="474"/>
        <v>130</v>
      </c>
      <c r="C130" s="21"/>
      <c r="D130" s="34"/>
      <c r="E130" s="34"/>
      <c r="F130" s="34"/>
      <c r="G130" s="34"/>
      <c r="H130" s="34"/>
      <c r="I130" s="34"/>
      <c r="J130" s="34"/>
      <c r="K130" s="34"/>
      <c r="L130" s="34"/>
      <c r="M130" s="34"/>
      <c r="N130" s="34"/>
      <c r="O130" s="34"/>
      <c r="P130" s="34"/>
      <c r="Q130" s="34"/>
      <c r="R130" s="34"/>
      <c r="S130" s="34"/>
      <c r="T130" s="34"/>
      <c r="U130" s="34"/>
      <c r="V130" s="34"/>
      <c r="W130" s="34"/>
      <c r="X130" s="34"/>
      <c r="Y130" s="34"/>
      <c r="Z130" s="34"/>
      <c r="AA130" s="34"/>
      <c r="AB130" s="34"/>
      <c r="AC130" s="34"/>
      <c r="AD130" s="34"/>
      <c r="AE130" s="34"/>
      <c r="AF130" s="34"/>
      <c r="AG130" s="34"/>
      <c r="AH130" s="34"/>
      <c r="AI130" s="34"/>
      <c r="AJ130" s="34"/>
      <c r="AK130" s="34"/>
      <c r="AL130" s="34"/>
      <c r="AM130" s="34"/>
      <c r="AN130" s="34"/>
      <c r="AO130" s="34"/>
      <c r="AP130" s="34"/>
      <c r="AQ130" s="34"/>
      <c r="AR130" s="34"/>
      <c r="AS130" s="34"/>
      <c r="AT130" s="34"/>
      <c r="AU130" s="34"/>
      <c r="AV130" s="34"/>
      <c r="AW130" s="34"/>
      <c r="AX130" s="34"/>
      <c r="AY130" s="34"/>
      <c r="AZ130" s="34"/>
      <c r="BA130" s="34"/>
      <c r="BB130" s="34"/>
      <c r="BC130" s="34"/>
      <c r="BD130" s="34"/>
      <c r="BE130" s="34"/>
      <c r="BF130" s="34"/>
      <c r="BG130" s="34"/>
      <c r="BH130" s="34"/>
      <c r="BI130" s="34"/>
      <c r="BJ130" s="34"/>
      <c r="BK130" s="34"/>
      <c r="BL130" s="34"/>
      <c r="BM130" s="34"/>
      <c r="BN130" s="34"/>
      <c r="BO130" s="34"/>
      <c r="BP130" s="34"/>
      <c r="BQ130" s="34"/>
      <c r="BR130" s="34"/>
      <c r="BS130" s="34"/>
      <c r="BT130" s="34"/>
      <c r="BU130" s="34"/>
      <c r="BV130" s="34"/>
      <c r="BW130" s="34"/>
      <c r="BX130" s="34"/>
      <c r="BY130" s="34"/>
      <c r="BZ130" s="34"/>
      <c r="CA130" s="34"/>
      <c r="CB130" s="34"/>
      <c r="CC130" s="34"/>
      <c r="CD130" s="34"/>
      <c r="CE130" s="34"/>
      <c r="CF130" s="34"/>
      <c r="CG130" s="34"/>
      <c r="CH130" s="34"/>
      <c r="CI130" s="34"/>
      <c r="CJ130" s="34"/>
      <c r="CK130" s="34"/>
      <c r="CL130" s="34"/>
      <c r="CM130" s="34"/>
      <c r="CN130" s="34"/>
      <c r="CO130" s="34"/>
      <c r="CP130" s="34"/>
      <c r="CQ130" s="34"/>
      <c r="CR130" s="34"/>
      <c r="CS130" s="34"/>
      <c r="CT130" s="34"/>
      <c r="CU130" s="34"/>
      <c r="CV130" s="34"/>
      <c r="CW130" s="34"/>
      <c r="CX130" s="34"/>
      <c r="CY130" s="34"/>
      <c r="CZ130" s="34"/>
    </row>
    <row r="131" spans="1:104" ht="13.5" customHeight="1">
      <c r="A131" s="27">
        <v>114</v>
      </c>
      <c r="B131" s="33">
        <f t="shared" si="474"/>
        <v>131</v>
      </c>
      <c r="C131" s="9" t="s">
        <v>391</v>
      </c>
      <c r="D131" s="34">
        <f t="shared" ref="D131:AI131" ca="1" si="595">IF(D$89="","",IF(D$89=$M$2,C131,IF(D$11&lt;$D$7,OFFSET(INDIRECT($D$3),$A131-1,$Q$3+D$11),OFFSET(INDIRECT($D$4),$A131-1,$Q$4+D$11))))</f>
        <v>14632</v>
      </c>
      <c r="E131" s="34">
        <f t="shared" ca="1" si="595"/>
        <v>21175</v>
      </c>
      <c r="F131" s="34">
        <f t="shared" ca="1" si="595"/>
        <v>13714</v>
      </c>
      <c r="G131" s="34">
        <f t="shared" ca="1" si="595"/>
        <v>15270</v>
      </c>
      <c r="H131" s="34">
        <f t="shared" ca="1" si="595"/>
        <v>14632</v>
      </c>
      <c r="I131" s="34">
        <f t="shared" ca="1" si="595"/>
        <v>18221</v>
      </c>
      <c r="J131" s="34">
        <f t="shared" ca="1" si="595"/>
        <v>17011</v>
      </c>
      <c r="K131" s="34">
        <f t="shared" ca="1" si="595"/>
        <v>16808</v>
      </c>
      <c r="L131" s="34">
        <f t="shared" ca="1" si="595"/>
        <v>21175</v>
      </c>
      <c r="M131" s="34">
        <f t="shared" ca="1" si="595"/>
        <v>26398</v>
      </c>
      <c r="N131" s="34">
        <f t="shared" ca="1" si="595"/>
        <v>26398</v>
      </c>
      <c r="O131" s="34" t="str">
        <f t="shared" ca="1" si="595"/>
        <v/>
      </c>
      <c r="P131" s="34" t="str">
        <f t="shared" ca="1" si="595"/>
        <v/>
      </c>
      <c r="Q131" s="34" t="str">
        <f t="shared" ca="1" si="595"/>
        <v/>
      </c>
      <c r="R131" s="34" t="str">
        <f t="shared" ca="1" si="595"/>
        <v/>
      </c>
      <c r="S131" s="34" t="str">
        <f t="shared" ca="1" si="595"/>
        <v/>
      </c>
      <c r="T131" s="34" t="str">
        <f t="shared" ca="1" si="595"/>
        <v/>
      </c>
      <c r="U131" s="34" t="str">
        <f t="shared" ca="1" si="595"/>
        <v/>
      </c>
      <c r="V131" s="34" t="str">
        <f t="shared" ca="1" si="595"/>
        <v/>
      </c>
      <c r="W131" s="34" t="str">
        <f t="shared" ca="1" si="595"/>
        <v/>
      </c>
      <c r="X131" s="34" t="str">
        <f t="shared" ca="1" si="595"/>
        <v/>
      </c>
      <c r="Y131" s="34" t="str">
        <f t="shared" ca="1" si="595"/>
        <v/>
      </c>
      <c r="Z131" s="34" t="str">
        <f t="shared" ca="1" si="595"/>
        <v/>
      </c>
      <c r="AA131" s="34" t="str">
        <f t="shared" ca="1" si="595"/>
        <v/>
      </c>
      <c r="AB131" s="34" t="str">
        <f t="shared" ca="1" si="595"/>
        <v/>
      </c>
      <c r="AC131" s="34" t="str">
        <f t="shared" ca="1" si="595"/>
        <v/>
      </c>
      <c r="AD131" s="34" t="str">
        <f t="shared" ca="1" si="595"/>
        <v/>
      </c>
      <c r="AE131" s="34" t="str">
        <f t="shared" ca="1" si="595"/>
        <v/>
      </c>
      <c r="AF131" s="34" t="str">
        <f t="shared" ca="1" si="595"/>
        <v/>
      </c>
      <c r="AG131" s="34" t="str">
        <f t="shared" ca="1" si="595"/>
        <v/>
      </c>
      <c r="AH131" s="34" t="str">
        <f t="shared" ca="1" si="595"/>
        <v/>
      </c>
      <c r="AI131" s="34" t="str">
        <f t="shared" ca="1" si="595"/>
        <v/>
      </c>
      <c r="AJ131" s="34" t="str">
        <f t="shared" ref="AJ131:BO131" ca="1" si="596">IF(AJ$89="","",IF(AJ$89=$M$2,AI131,IF(AJ$11&lt;$D$7,OFFSET(INDIRECT($D$3),$A131-1,$Q$3+AJ$11),OFFSET(INDIRECT($D$4),$A131-1,$Q$4+AJ$11))))</f>
        <v/>
      </c>
      <c r="AK131" s="34" t="str">
        <f t="shared" ca="1" si="596"/>
        <v/>
      </c>
      <c r="AL131" s="34" t="str">
        <f t="shared" ca="1" si="596"/>
        <v/>
      </c>
      <c r="AM131" s="34" t="str">
        <f t="shared" ca="1" si="596"/>
        <v/>
      </c>
      <c r="AN131" s="34" t="str">
        <f t="shared" ca="1" si="596"/>
        <v/>
      </c>
      <c r="AO131" s="34" t="str">
        <f t="shared" ca="1" si="596"/>
        <v/>
      </c>
      <c r="AP131" s="34" t="str">
        <f t="shared" ca="1" si="596"/>
        <v/>
      </c>
      <c r="AQ131" s="34" t="str">
        <f t="shared" ca="1" si="596"/>
        <v/>
      </c>
      <c r="AR131" s="34" t="str">
        <f t="shared" ca="1" si="596"/>
        <v/>
      </c>
      <c r="AS131" s="34" t="str">
        <f t="shared" ca="1" si="596"/>
        <v/>
      </c>
      <c r="AT131" s="34" t="str">
        <f t="shared" ca="1" si="596"/>
        <v/>
      </c>
      <c r="AU131" s="34" t="str">
        <f t="shared" ca="1" si="596"/>
        <v/>
      </c>
      <c r="AV131" s="34" t="str">
        <f t="shared" ca="1" si="596"/>
        <v/>
      </c>
      <c r="AW131" s="34" t="str">
        <f t="shared" ca="1" si="596"/>
        <v/>
      </c>
      <c r="AX131" s="34" t="str">
        <f t="shared" ca="1" si="596"/>
        <v/>
      </c>
      <c r="AY131" s="34" t="str">
        <f t="shared" ca="1" si="596"/>
        <v/>
      </c>
      <c r="AZ131" s="34" t="str">
        <f t="shared" ca="1" si="596"/>
        <v/>
      </c>
      <c r="BA131" s="34" t="str">
        <f t="shared" ca="1" si="596"/>
        <v/>
      </c>
      <c r="BB131" s="34" t="str">
        <f t="shared" ca="1" si="596"/>
        <v/>
      </c>
      <c r="BC131" s="34" t="str">
        <f t="shared" ca="1" si="596"/>
        <v/>
      </c>
      <c r="BD131" s="34" t="str">
        <f t="shared" ca="1" si="596"/>
        <v/>
      </c>
      <c r="BE131" s="34" t="str">
        <f t="shared" ca="1" si="596"/>
        <v/>
      </c>
      <c r="BF131" s="34" t="str">
        <f t="shared" ca="1" si="596"/>
        <v/>
      </c>
      <c r="BG131" s="34" t="str">
        <f t="shared" ca="1" si="596"/>
        <v/>
      </c>
      <c r="BH131" s="34" t="str">
        <f t="shared" ca="1" si="596"/>
        <v/>
      </c>
      <c r="BI131" s="34" t="str">
        <f t="shared" ca="1" si="596"/>
        <v/>
      </c>
      <c r="BJ131" s="34" t="str">
        <f t="shared" ca="1" si="596"/>
        <v/>
      </c>
      <c r="BK131" s="34" t="str">
        <f t="shared" ca="1" si="596"/>
        <v/>
      </c>
      <c r="BL131" s="34" t="str">
        <f t="shared" ca="1" si="596"/>
        <v/>
      </c>
      <c r="BM131" s="34" t="str">
        <f t="shared" ca="1" si="596"/>
        <v/>
      </c>
      <c r="BN131" s="34" t="str">
        <f t="shared" ca="1" si="596"/>
        <v/>
      </c>
      <c r="BO131" s="34" t="str">
        <f t="shared" ca="1" si="596"/>
        <v/>
      </c>
      <c r="BP131" s="34" t="str">
        <f t="shared" ref="BP131:CZ131" ca="1" si="597">IF(BP$89="","",IF(BP$89=$M$2,BO131,IF(BP$11&lt;$D$7,OFFSET(INDIRECT($D$3),$A131-1,$Q$3+BP$11),OFFSET(INDIRECT($D$4),$A131-1,$Q$4+BP$11))))</f>
        <v/>
      </c>
      <c r="BQ131" s="34" t="str">
        <f t="shared" ca="1" si="597"/>
        <v/>
      </c>
      <c r="BR131" s="34" t="str">
        <f t="shared" ca="1" si="597"/>
        <v/>
      </c>
      <c r="BS131" s="34" t="str">
        <f t="shared" ca="1" si="597"/>
        <v/>
      </c>
      <c r="BT131" s="34" t="str">
        <f t="shared" ca="1" si="597"/>
        <v/>
      </c>
      <c r="BU131" s="34" t="str">
        <f t="shared" ca="1" si="597"/>
        <v/>
      </c>
      <c r="BV131" s="34" t="str">
        <f t="shared" ca="1" si="597"/>
        <v/>
      </c>
      <c r="BW131" s="34" t="str">
        <f t="shared" ca="1" si="597"/>
        <v/>
      </c>
      <c r="BX131" s="34" t="str">
        <f t="shared" ca="1" si="597"/>
        <v/>
      </c>
      <c r="BY131" s="34" t="str">
        <f t="shared" ca="1" si="597"/>
        <v/>
      </c>
      <c r="BZ131" s="34" t="str">
        <f t="shared" ca="1" si="597"/>
        <v/>
      </c>
      <c r="CA131" s="34" t="str">
        <f t="shared" ca="1" si="597"/>
        <v/>
      </c>
      <c r="CB131" s="34" t="str">
        <f t="shared" ca="1" si="597"/>
        <v/>
      </c>
      <c r="CC131" s="34" t="str">
        <f t="shared" ca="1" si="597"/>
        <v/>
      </c>
      <c r="CD131" s="34" t="str">
        <f t="shared" ca="1" si="597"/>
        <v/>
      </c>
      <c r="CE131" s="34" t="str">
        <f t="shared" ca="1" si="597"/>
        <v/>
      </c>
      <c r="CF131" s="34" t="str">
        <f t="shared" ca="1" si="597"/>
        <v/>
      </c>
      <c r="CG131" s="34" t="str">
        <f t="shared" ca="1" si="597"/>
        <v/>
      </c>
      <c r="CH131" s="34" t="str">
        <f t="shared" ca="1" si="597"/>
        <v/>
      </c>
      <c r="CI131" s="34" t="str">
        <f t="shared" ca="1" si="597"/>
        <v/>
      </c>
      <c r="CJ131" s="34" t="str">
        <f t="shared" ca="1" si="597"/>
        <v/>
      </c>
      <c r="CK131" s="34" t="str">
        <f t="shared" ca="1" si="597"/>
        <v/>
      </c>
      <c r="CL131" s="34" t="str">
        <f t="shared" ca="1" si="597"/>
        <v/>
      </c>
      <c r="CM131" s="34" t="str">
        <f t="shared" ca="1" si="597"/>
        <v/>
      </c>
      <c r="CN131" s="34" t="str">
        <f t="shared" ca="1" si="597"/>
        <v/>
      </c>
      <c r="CO131" s="34" t="str">
        <f t="shared" ca="1" si="597"/>
        <v/>
      </c>
      <c r="CP131" s="34" t="str">
        <f t="shared" ca="1" si="597"/>
        <v/>
      </c>
      <c r="CQ131" s="34" t="str">
        <f t="shared" ca="1" si="597"/>
        <v/>
      </c>
      <c r="CR131" s="34" t="str">
        <f t="shared" ca="1" si="597"/>
        <v/>
      </c>
      <c r="CS131" s="34" t="str">
        <f t="shared" ca="1" si="597"/>
        <v/>
      </c>
      <c r="CT131" s="34" t="str">
        <f t="shared" ca="1" si="597"/>
        <v/>
      </c>
      <c r="CU131" s="34" t="str">
        <f t="shared" ca="1" si="597"/>
        <v/>
      </c>
      <c r="CV131" s="34" t="str">
        <f t="shared" ca="1" si="597"/>
        <v/>
      </c>
      <c r="CW131" s="34" t="str">
        <f t="shared" ca="1" si="597"/>
        <v/>
      </c>
      <c r="CX131" s="34" t="str">
        <f t="shared" ca="1" si="597"/>
        <v/>
      </c>
      <c r="CY131" s="34" t="str">
        <f t="shared" ca="1" si="597"/>
        <v/>
      </c>
      <c r="CZ131" s="34" t="str">
        <f t="shared" ca="1" si="597"/>
        <v/>
      </c>
    </row>
    <row r="132" spans="1:104" ht="13.5" customHeight="1">
      <c r="A132" s="27"/>
      <c r="B132" s="33">
        <f t="shared" si="474"/>
        <v>132</v>
      </c>
      <c r="C132" s="9" t="s">
        <v>392</v>
      </c>
      <c r="D132" s="34">
        <f t="shared" ref="D132:AI132" ca="1" si="598">IF(D$89="","",IF(D$89=$M$2,C132,SUM(D133:D134)))</f>
        <v>0</v>
      </c>
      <c r="E132" s="34">
        <f t="shared" ca="1" si="598"/>
        <v>0</v>
      </c>
      <c r="F132" s="34">
        <f t="shared" ca="1" si="598"/>
        <v>0</v>
      </c>
      <c r="G132" s="34">
        <f t="shared" ca="1" si="598"/>
        <v>0</v>
      </c>
      <c r="H132" s="34">
        <f t="shared" ca="1" si="598"/>
        <v>0</v>
      </c>
      <c r="I132" s="34">
        <f t="shared" ca="1" si="598"/>
        <v>0</v>
      </c>
      <c r="J132" s="34">
        <f t="shared" ca="1" si="598"/>
        <v>0</v>
      </c>
      <c r="K132" s="34">
        <f t="shared" ca="1" si="598"/>
        <v>0</v>
      </c>
      <c r="L132" s="34">
        <f t="shared" ca="1" si="598"/>
        <v>0</v>
      </c>
      <c r="M132" s="34">
        <f t="shared" ca="1" si="598"/>
        <v>0</v>
      </c>
      <c r="N132" s="34">
        <f t="shared" ca="1" si="598"/>
        <v>0</v>
      </c>
      <c r="O132" s="34" t="str">
        <f t="shared" ca="1" si="598"/>
        <v/>
      </c>
      <c r="P132" s="34" t="str">
        <f t="shared" ca="1" si="598"/>
        <v/>
      </c>
      <c r="Q132" s="34" t="str">
        <f t="shared" ca="1" si="598"/>
        <v/>
      </c>
      <c r="R132" s="34" t="str">
        <f t="shared" si="598"/>
        <v/>
      </c>
      <c r="S132" s="34" t="str">
        <f t="shared" si="598"/>
        <v/>
      </c>
      <c r="T132" s="34" t="str">
        <f t="shared" si="598"/>
        <v/>
      </c>
      <c r="U132" s="34" t="str">
        <f t="shared" si="598"/>
        <v/>
      </c>
      <c r="V132" s="34" t="str">
        <f t="shared" si="598"/>
        <v/>
      </c>
      <c r="W132" s="34" t="str">
        <f t="shared" si="598"/>
        <v/>
      </c>
      <c r="X132" s="34" t="str">
        <f t="shared" si="598"/>
        <v/>
      </c>
      <c r="Y132" s="34" t="str">
        <f t="shared" si="598"/>
        <v/>
      </c>
      <c r="Z132" s="34" t="str">
        <f t="shared" si="598"/>
        <v/>
      </c>
      <c r="AA132" s="34" t="str">
        <f t="shared" si="598"/>
        <v/>
      </c>
      <c r="AB132" s="34" t="str">
        <f t="shared" si="598"/>
        <v/>
      </c>
      <c r="AC132" s="34" t="str">
        <f t="shared" si="598"/>
        <v/>
      </c>
      <c r="AD132" s="34" t="str">
        <f t="shared" si="598"/>
        <v/>
      </c>
      <c r="AE132" s="34" t="str">
        <f t="shared" si="598"/>
        <v/>
      </c>
      <c r="AF132" s="34" t="str">
        <f t="shared" si="598"/>
        <v/>
      </c>
      <c r="AG132" s="34" t="str">
        <f t="shared" si="598"/>
        <v/>
      </c>
      <c r="AH132" s="34" t="str">
        <f t="shared" si="598"/>
        <v/>
      </c>
      <c r="AI132" s="34" t="str">
        <f t="shared" si="598"/>
        <v/>
      </c>
      <c r="AJ132" s="34" t="str">
        <f t="shared" ref="AJ132:BO132" si="599">IF(AJ$89="","",IF(AJ$89=$M$2,AI132,SUM(AJ133:AJ134)))</f>
        <v/>
      </c>
      <c r="AK132" s="34" t="str">
        <f t="shared" si="599"/>
        <v/>
      </c>
      <c r="AL132" s="34" t="str">
        <f t="shared" si="599"/>
        <v/>
      </c>
      <c r="AM132" s="34" t="str">
        <f t="shared" si="599"/>
        <v/>
      </c>
      <c r="AN132" s="34" t="str">
        <f t="shared" si="599"/>
        <v/>
      </c>
      <c r="AO132" s="34" t="str">
        <f t="shared" si="599"/>
        <v/>
      </c>
      <c r="AP132" s="34" t="str">
        <f t="shared" si="599"/>
        <v/>
      </c>
      <c r="AQ132" s="34" t="str">
        <f t="shared" si="599"/>
        <v/>
      </c>
      <c r="AR132" s="34" t="str">
        <f t="shared" si="599"/>
        <v/>
      </c>
      <c r="AS132" s="34" t="str">
        <f t="shared" si="599"/>
        <v/>
      </c>
      <c r="AT132" s="34" t="str">
        <f t="shared" si="599"/>
        <v/>
      </c>
      <c r="AU132" s="34" t="str">
        <f t="shared" si="599"/>
        <v/>
      </c>
      <c r="AV132" s="34" t="str">
        <f t="shared" si="599"/>
        <v/>
      </c>
      <c r="AW132" s="34" t="str">
        <f t="shared" si="599"/>
        <v/>
      </c>
      <c r="AX132" s="34" t="str">
        <f t="shared" si="599"/>
        <v/>
      </c>
      <c r="AY132" s="34" t="str">
        <f t="shared" si="599"/>
        <v/>
      </c>
      <c r="AZ132" s="34" t="str">
        <f t="shared" si="599"/>
        <v/>
      </c>
      <c r="BA132" s="34" t="str">
        <f t="shared" si="599"/>
        <v/>
      </c>
      <c r="BB132" s="34" t="str">
        <f t="shared" si="599"/>
        <v/>
      </c>
      <c r="BC132" s="34" t="str">
        <f t="shared" si="599"/>
        <v/>
      </c>
      <c r="BD132" s="34" t="str">
        <f t="shared" si="599"/>
        <v/>
      </c>
      <c r="BE132" s="34" t="str">
        <f t="shared" si="599"/>
        <v/>
      </c>
      <c r="BF132" s="34" t="str">
        <f t="shared" si="599"/>
        <v/>
      </c>
      <c r="BG132" s="34" t="str">
        <f t="shared" si="599"/>
        <v/>
      </c>
      <c r="BH132" s="34" t="str">
        <f t="shared" si="599"/>
        <v/>
      </c>
      <c r="BI132" s="34" t="str">
        <f t="shared" si="599"/>
        <v/>
      </c>
      <c r="BJ132" s="34" t="str">
        <f t="shared" si="599"/>
        <v/>
      </c>
      <c r="BK132" s="34" t="str">
        <f t="shared" si="599"/>
        <v/>
      </c>
      <c r="BL132" s="34" t="str">
        <f t="shared" si="599"/>
        <v/>
      </c>
      <c r="BM132" s="34" t="str">
        <f t="shared" si="599"/>
        <v/>
      </c>
      <c r="BN132" s="34" t="str">
        <f t="shared" si="599"/>
        <v/>
      </c>
      <c r="BO132" s="34" t="str">
        <f t="shared" si="599"/>
        <v/>
      </c>
      <c r="BP132" s="34" t="str">
        <f t="shared" ref="BP132:CU132" si="600">IF(BP$89="","",IF(BP$89=$M$2,BO132,SUM(BP133:BP134)))</f>
        <v/>
      </c>
      <c r="BQ132" s="34" t="str">
        <f t="shared" si="600"/>
        <v/>
      </c>
      <c r="BR132" s="34" t="str">
        <f t="shared" si="600"/>
        <v/>
      </c>
      <c r="BS132" s="34" t="str">
        <f t="shared" si="600"/>
        <v/>
      </c>
      <c r="BT132" s="34" t="str">
        <f t="shared" si="600"/>
        <v/>
      </c>
      <c r="BU132" s="34" t="str">
        <f t="shared" si="600"/>
        <v/>
      </c>
      <c r="BV132" s="34" t="str">
        <f t="shared" si="600"/>
        <v/>
      </c>
      <c r="BW132" s="34" t="str">
        <f t="shared" si="600"/>
        <v/>
      </c>
      <c r="BX132" s="34" t="str">
        <f t="shared" si="600"/>
        <v/>
      </c>
      <c r="BY132" s="34" t="str">
        <f t="shared" si="600"/>
        <v/>
      </c>
      <c r="BZ132" s="34" t="str">
        <f t="shared" si="600"/>
        <v/>
      </c>
      <c r="CA132" s="34" t="str">
        <f t="shared" si="600"/>
        <v/>
      </c>
      <c r="CB132" s="34" t="str">
        <f t="shared" si="600"/>
        <v/>
      </c>
      <c r="CC132" s="34" t="str">
        <f t="shared" si="600"/>
        <v/>
      </c>
      <c r="CD132" s="34" t="str">
        <f t="shared" si="600"/>
        <v/>
      </c>
      <c r="CE132" s="34" t="str">
        <f t="shared" si="600"/>
        <v/>
      </c>
      <c r="CF132" s="34" t="str">
        <f t="shared" si="600"/>
        <v/>
      </c>
      <c r="CG132" s="34" t="str">
        <f t="shared" si="600"/>
        <v/>
      </c>
      <c r="CH132" s="34" t="str">
        <f t="shared" si="600"/>
        <v/>
      </c>
      <c r="CI132" s="34" t="str">
        <f t="shared" si="600"/>
        <v/>
      </c>
      <c r="CJ132" s="34" t="str">
        <f t="shared" si="600"/>
        <v/>
      </c>
      <c r="CK132" s="34" t="str">
        <f t="shared" si="600"/>
        <v/>
      </c>
      <c r="CL132" s="34" t="str">
        <f t="shared" si="600"/>
        <v/>
      </c>
      <c r="CM132" s="34" t="str">
        <f t="shared" si="600"/>
        <v/>
      </c>
      <c r="CN132" s="34" t="str">
        <f t="shared" si="600"/>
        <v/>
      </c>
      <c r="CO132" s="34" t="str">
        <f t="shared" si="600"/>
        <v/>
      </c>
      <c r="CP132" s="34" t="str">
        <f t="shared" si="600"/>
        <v/>
      </c>
      <c r="CQ132" s="34" t="str">
        <f t="shared" si="600"/>
        <v/>
      </c>
      <c r="CR132" s="34" t="str">
        <f t="shared" si="600"/>
        <v/>
      </c>
      <c r="CS132" s="34" t="str">
        <f t="shared" si="600"/>
        <v/>
      </c>
      <c r="CT132" s="34" t="str">
        <f t="shared" si="600"/>
        <v/>
      </c>
      <c r="CU132" s="34" t="str">
        <f t="shared" si="600"/>
        <v/>
      </c>
      <c r="CV132" s="34" t="str">
        <f t="shared" ref="CV132:CZ132" si="601">IF(CV$89="","",IF(CV$89=$M$2,CU132,SUM(CV133:CV134)))</f>
        <v/>
      </c>
      <c r="CW132" s="34" t="str">
        <f t="shared" si="601"/>
        <v/>
      </c>
      <c r="CX132" s="34" t="str">
        <f t="shared" si="601"/>
        <v/>
      </c>
      <c r="CY132" s="34" t="str">
        <f t="shared" si="601"/>
        <v/>
      </c>
      <c r="CZ132" s="34" t="str">
        <f t="shared" si="601"/>
        <v/>
      </c>
    </row>
    <row r="133" spans="1:104" ht="13.5" customHeight="1">
      <c r="A133" s="27">
        <v>115</v>
      </c>
      <c r="B133" s="33">
        <f t="shared" si="474"/>
        <v>133</v>
      </c>
      <c r="C133" s="8" t="s">
        <v>393</v>
      </c>
      <c r="D133" s="34">
        <f t="shared" ref="D133:AI133" ca="1" si="602">IF(D$89="","",IF(D$89=$M$2,C133,IF(D$11&lt;$D$7,OFFSET(INDIRECT($D$3),$A133-1,$Q$3+D$11),OFFSET(INDIRECT($D$4),$A133-1,$Q$4+D$11))))</f>
        <v>0</v>
      </c>
      <c r="E133" s="34">
        <f t="shared" ca="1" si="602"/>
        <v>0</v>
      </c>
      <c r="F133" s="34">
        <f t="shared" ca="1" si="602"/>
        <v>0</v>
      </c>
      <c r="G133" s="34">
        <f t="shared" ca="1" si="602"/>
        <v>0</v>
      </c>
      <c r="H133" s="34">
        <f t="shared" ca="1" si="602"/>
        <v>0</v>
      </c>
      <c r="I133" s="34">
        <f t="shared" ca="1" si="602"/>
        <v>0</v>
      </c>
      <c r="J133" s="34">
        <f t="shared" ca="1" si="602"/>
        <v>0</v>
      </c>
      <c r="K133" s="34">
        <f t="shared" ca="1" si="602"/>
        <v>0</v>
      </c>
      <c r="L133" s="34">
        <f t="shared" ca="1" si="602"/>
        <v>0</v>
      </c>
      <c r="M133" s="34">
        <f t="shared" ca="1" si="602"/>
        <v>0</v>
      </c>
      <c r="N133" s="34">
        <f t="shared" ca="1" si="602"/>
        <v>0</v>
      </c>
      <c r="O133" s="34" t="str">
        <f t="shared" ca="1" si="602"/>
        <v/>
      </c>
      <c r="P133" s="34" t="str">
        <f t="shared" ca="1" si="602"/>
        <v/>
      </c>
      <c r="Q133" s="34" t="str">
        <f t="shared" ca="1" si="602"/>
        <v/>
      </c>
      <c r="R133" s="34" t="str">
        <f t="shared" ca="1" si="602"/>
        <v/>
      </c>
      <c r="S133" s="34" t="str">
        <f t="shared" ca="1" si="602"/>
        <v/>
      </c>
      <c r="T133" s="34" t="str">
        <f t="shared" ca="1" si="602"/>
        <v/>
      </c>
      <c r="U133" s="34" t="str">
        <f t="shared" ca="1" si="602"/>
        <v/>
      </c>
      <c r="V133" s="34" t="str">
        <f t="shared" ca="1" si="602"/>
        <v/>
      </c>
      <c r="W133" s="34" t="str">
        <f t="shared" ca="1" si="602"/>
        <v/>
      </c>
      <c r="X133" s="34" t="str">
        <f t="shared" ca="1" si="602"/>
        <v/>
      </c>
      <c r="Y133" s="34" t="str">
        <f t="shared" ca="1" si="602"/>
        <v/>
      </c>
      <c r="Z133" s="34" t="str">
        <f t="shared" ca="1" si="602"/>
        <v/>
      </c>
      <c r="AA133" s="34" t="str">
        <f t="shared" ca="1" si="602"/>
        <v/>
      </c>
      <c r="AB133" s="34" t="str">
        <f t="shared" ca="1" si="602"/>
        <v/>
      </c>
      <c r="AC133" s="34" t="str">
        <f t="shared" ca="1" si="602"/>
        <v/>
      </c>
      <c r="AD133" s="34" t="str">
        <f t="shared" ca="1" si="602"/>
        <v/>
      </c>
      <c r="AE133" s="34" t="str">
        <f t="shared" ca="1" si="602"/>
        <v/>
      </c>
      <c r="AF133" s="34" t="str">
        <f t="shared" ca="1" si="602"/>
        <v/>
      </c>
      <c r="AG133" s="34" t="str">
        <f t="shared" ca="1" si="602"/>
        <v/>
      </c>
      <c r="AH133" s="34" t="str">
        <f t="shared" ca="1" si="602"/>
        <v/>
      </c>
      <c r="AI133" s="34" t="str">
        <f t="shared" ca="1" si="602"/>
        <v/>
      </c>
      <c r="AJ133" s="34" t="str">
        <f t="shared" ref="AJ133:BO133" ca="1" si="603">IF(AJ$89="","",IF(AJ$89=$M$2,AI133,IF(AJ$11&lt;$D$7,OFFSET(INDIRECT($D$3),$A133-1,$Q$3+AJ$11),OFFSET(INDIRECT($D$4),$A133-1,$Q$4+AJ$11))))</f>
        <v/>
      </c>
      <c r="AK133" s="34" t="str">
        <f t="shared" ca="1" si="603"/>
        <v/>
      </c>
      <c r="AL133" s="34" t="str">
        <f t="shared" ca="1" si="603"/>
        <v/>
      </c>
      <c r="AM133" s="34" t="str">
        <f t="shared" ca="1" si="603"/>
        <v/>
      </c>
      <c r="AN133" s="34" t="str">
        <f t="shared" ca="1" si="603"/>
        <v/>
      </c>
      <c r="AO133" s="34" t="str">
        <f t="shared" ca="1" si="603"/>
        <v/>
      </c>
      <c r="AP133" s="34" t="str">
        <f t="shared" ca="1" si="603"/>
        <v/>
      </c>
      <c r="AQ133" s="34" t="str">
        <f t="shared" ca="1" si="603"/>
        <v/>
      </c>
      <c r="AR133" s="34" t="str">
        <f t="shared" ca="1" si="603"/>
        <v/>
      </c>
      <c r="AS133" s="34" t="str">
        <f t="shared" ca="1" si="603"/>
        <v/>
      </c>
      <c r="AT133" s="34" t="str">
        <f t="shared" ca="1" si="603"/>
        <v/>
      </c>
      <c r="AU133" s="34" t="str">
        <f t="shared" ca="1" si="603"/>
        <v/>
      </c>
      <c r="AV133" s="34" t="str">
        <f t="shared" ca="1" si="603"/>
        <v/>
      </c>
      <c r="AW133" s="34" t="str">
        <f t="shared" ca="1" si="603"/>
        <v/>
      </c>
      <c r="AX133" s="34" t="str">
        <f t="shared" ca="1" si="603"/>
        <v/>
      </c>
      <c r="AY133" s="34" t="str">
        <f t="shared" ca="1" si="603"/>
        <v/>
      </c>
      <c r="AZ133" s="34" t="str">
        <f t="shared" ca="1" si="603"/>
        <v/>
      </c>
      <c r="BA133" s="34" t="str">
        <f t="shared" ca="1" si="603"/>
        <v/>
      </c>
      <c r="BB133" s="34" t="str">
        <f t="shared" ca="1" si="603"/>
        <v/>
      </c>
      <c r="BC133" s="34" t="str">
        <f t="shared" ca="1" si="603"/>
        <v/>
      </c>
      <c r="BD133" s="34" t="str">
        <f t="shared" ca="1" si="603"/>
        <v/>
      </c>
      <c r="BE133" s="34" t="str">
        <f t="shared" ca="1" si="603"/>
        <v/>
      </c>
      <c r="BF133" s="34" t="str">
        <f t="shared" ca="1" si="603"/>
        <v/>
      </c>
      <c r="BG133" s="34" t="str">
        <f t="shared" ca="1" si="603"/>
        <v/>
      </c>
      <c r="BH133" s="34" t="str">
        <f t="shared" ca="1" si="603"/>
        <v/>
      </c>
      <c r="BI133" s="34" t="str">
        <f t="shared" ca="1" si="603"/>
        <v/>
      </c>
      <c r="BJ133" s="34" t="str">
        <f t="shared" ca="1" si="603"/>
        <v/>
      </c>
      <c r="BK133" s="34" t="str">
        <f t="shared" ca="1" si="603"/>
        <v/>
      </c>
      <c r="BL133" s="34" t="str">
        <f t="shared" ca="1" si="603"/>
        <v/>
      </c>
      <c r="BM133" s="34" t="str">
        <f t="shared" ca="1" si="603"/>
        <v/>
      </c>
      <c r="BN133" s="34" t="str">
        <f t="shared" ca="1" si="603"/>
        <v/>
      </c>
      <c r="BO133" s="34" t="str">
        <f t="shared" ca="1" si="603"/>
        <v/>
      </c>
      <c r="BP133" s="34" t="str">
        <f t="shared" ref="BP133:CZ133" ca="1" si="604">IF(BP$89="","",IF(BP$89=$M$2,BO133,IF(BP$11&lt;$D$7,OFFSET(INDIRECT($D$3),$A133-1,$Q$3+BP$11),OFFSET(INDIRECT($D$4),$A133-1,$Q$4+BP$11))))</f>
        <v/>
      </c>
      <c r="BQ133" s="34" t="str">
        <f t="shared" ca="1" si="604"/>
        <v/>
      </c>
      <c r="BR133" s="34" t="str">
        <f t="shared" ca="1" si="604"/>
        <v/>
      </c>
      <c r="BS133" s="34" t="str">
        <f t="shared" ca="1" si="604"/>
        <v/>
      </c>
      <c r="BT133" s="34" t="str">
        <f t="shared" ca="1" si="604"/>
        <v/>
      </c>
      <c r="BU133" s="34" t="str">
        <f t="shared" ca="1" si="604"/>
        <v/>
      </c>
      <c r="BV133" s="34" t="str">
        <f t="shared" ca="1" si="604"/>
        <v/>
      </c>
      <c r="BW133" s="34" t="str">
        <f t="shared" ca="1" si="604"/>
        <v/>
      </c>
      <c r="BX133" s="34" t="str">
        <f t="shared" ca="1" si="604"/>
        <v/>
      </c>
      <c r="BY133" s="34" t="str">
        <f t="shared" ca="1" si="604"/>
        <v/>
      </c>
      <c r="BZ133" s="34" t="str">
        <f t="shared" ca="1" si="604"/>
        <v/>
      </c>
      <c r="CA133" s="34" t="str">
        <f t="shared" ca="1" si="604"/>
        <v/>
      </c>
      <c r="CB133" s="34" t="str">
        <f t="shared" ca="1" si="604"/>
        <v/>
      </c>
      <c r="CC133" s="34" t="str">
        <f t="shared" ca="1" si="604"/>
        <v/>
      </c>
      <c r="CD133" s="34" t="str">
        <f t="shared" ca="1" si="604"/>
        <v/>
      </c>
      <c r="CE133" s="34" t="str">
        <f t="shared" ca="1" si="604"/>
        <v/>
      </c>
      <c r="CF133" s="34" t="str">
        <f t="shared" ca="1" si="604"/>
        <v/>
      </c>
      <c r="CG133" s="34" t="str">
        <f t="shared" ca="1" si="604"/>
        <v/>
      </c>
      <c r="CH133" s="34" t="str">
        <f t="shared" ca="1" si="604"/>
        <v/>
      </c>
      <c r="CI133" s="34" t="str">
        <f t="shared" ca="1" si="604"/>
        <v/>
      </c>
      <c r="CJ133" s="34" t="str">
        <f t="shared" ca="1" si="604"/>
        <v/>
      </c>
      <c r="CK133" s="34" t="str">
        <f t="shared" ca="1" si="604"/>
        <v/>
      </c>
      <c r="CL133" s="34" t="str">
        <f t="shared" ca="1" si="604"/>
        <v/>
      </c>
      <c r="CM133" s="34" t="str">
        <f t="shared" ca="1" si="604"/>
        <v/>
      </c>
      <c r="CN133" s="34" t="str">
        <f t="shared" ca="1" si="604"/>
        <v/>
      </c>
      <c r="CO133" s="34" t="str">
        <f t="shared" ca="1" si="604"/>
        <v/>
      </c>
      <c r="CP133" s="34" t="str">
        <f t="shared" ca="1" si="604"/>
        <v/>
      </c>
      <c r="CQ133" s="34" t="str">
        <f t="shared" ca="1" si="604"/>
        <v/>
      </c>
      <c r="CR133" s="34" t="str">
        <f t="shared" ca="1" si="604"/>
        <v/>
      </c>
      <c r="CS133" s="34" t="str">
        <f t="shared" ca="1" si="604"/>
        <v/>
      </c>
      <c r="CT133" s="34" t="str">
        <f t="shared" ca="1" si="604"/>
        <v/>
      </c>
      <c r="CU133" s="34" t="str">
        <f t="shared" ca="1" si="604"/>
        <v/>
      </c>
      <c r="CV133" s="34" t="str">
        <f t="shared" ca="1" si="604"/>
        <v/>
      </c>
      <c r="CW133" s="34" t="str">
        <f t="shared" ca="1" si="604"/>
        <v/>
      </c>
      <c r="CX133" s="34" t="str">
        <f t="shared" ca="1" si="604"/>
        <v/>
      </c>
      <c r="CY133" s="34" t="str">
        <f t="shared" ca="1" si="604"/>
        <v/>
      </c>
      <c r="CZ133" s="34" t="str">
        <f t="shared" ca="1" si="604"/>
        <v/>
      </c>
    </row>
    <row r="134" spans="1:104" ht="13.5" customHeight="1">
      <c r="A134" s="27">
        <v>116</v>
      </c>
      <c r="B134" s="33">
        <f t="shared" si="474"/>
        <v>134</v>
      </c>
      <c r="C134" s="8" t="s">
        <v>394</v>
      </c>
      <c r="D134" s="34">
        <f t="shared" ref="D134:AI134" ca="1" si="605">IF(D$89="","",IF(D$89=$M$2,C134,IF(D$11&lt;$D$7,OFFSET(INDIRECT($D$3),$A134-1,$Q$3+D$11),OFFSET(INDIRECT($D$4),$A134-1,$Q$4+D$11))))</f>
        <v>0</v>
      </c>
      <c r="E134" s="34">
        <f t="shared" ca="1" si="605"/>
        <v>0</v>
      </c>
      <c r="F134" s="34">
        <f t="shared" ca="1" si="605"/>
        <v>0</v>
      </c>
      <c r="G134" s="34">
        <f t="shared" ca="1" si="605"/>
        <v>0</v>
      </c>
      <c r="H134" s="34">
        <f t="shared" ca="1" si="605"/>
        <v>0</v>
      </c>
      <c r="I134" s="34">
        <f t="shared" ca="1" si="605"/>
        <v>0</v>
      </c>
      <c r="J134" s="34">
        <f t="shared" ca="1" si="605"/>
        <v>0</v>
      </c>
      <c r="K134" s="34">
        <f t="shared" ca="1" si="605"/>
        <v>0</v>
      </c>
      <c r="L134" s="34">
        <f t="shared" ca="1" si="605"/>
        <v>0</v>
      </c>
      <c r="M134" s="34">
        <f t="shared" ca="1" si="605"/>
        <v>0</v>
      </c>
      <c r="N134" s="34">
        <f t="shared" ca="1" si="605"/>
        <v>0</v>
      </c>
      <c r="O134" s="34" t="str">
        <f t="shared" ca="1" si="605"/>
        <v/>
      </c>
      <c r="P134" s="34" t="str">
        <f t="shared" ca="1" si="605"/>
        <v/>
      </c>
      <c r="Q134" s="34" t="str">
        <f t="shared" ca="1" si="605"/>
        <v/>
      </c>
      <c r="R134" s="34" t="str">
        <f t="shared" ca="1" si="605"/>
        <v/>
      </c>
      <c r="S134" s="34" t="str">
        <f t="shared" ca="1" si="605"/>
        <v/>
      </c>
      <c r="T134" s="34" t="str">
        <f t="shared" ca="1" si="605"/>
        <v/>
      </c>
      <c r="U134" s="34" t="str">
        <f t="shared" ca="1" si="605"/>
        <v/>
      </c>
      <c r="V134" s="34" t="str">
        <f t="shared" ca="1" si="605"/>
        <v/>
      </c>
      <c r="W134" s="34" t="str">
        <f t="shared" ca="1" si="605"/>
        <v/>
      </c>
      <c r="X134" s="34" t="str">
        <f t="shared" ca="1" si="605"/>
        <v/>
      </c>
      <c r="Y134" s="34" t="str">
        <f t="shared" ca="1" si="605"/>
        <v/>
      </c>
      <c r="Z134" s="34" t="str">
        <f t="shared" ca="1" si="605"/>
        <v/>
      </c>
      <c r="AA134" s="34" t="str">
        <f t="shared" ca="1" si="605"/>
        <v/>
      </c>
      <c r="AB134" s="34" t="str">
        <f t="shared" ca="1" si="605"/>
        <v/>
      </c>
      <c r="AC134" s="34" t="str">
        <f t="shared" ca="1" si="605"/>
        <v/>
      </c>
      <c r="AD134" s="34" t="str">
        <f t="shared" ca="1" si="605"/>
        <v/>
      </c>
      <c r="AE134" s="34" t="str">
        <f t="shared" ca="1" si="605"/>
        <v/>
      </c>
      <c r="AF134" s="34" t="str">
        <f t="shared" ca="1" si="605"/>
        <v/>
      </c>
      <c r="AG134" s="34" t="str">
        <f t="shared" ca="1" si="605"/>
        <v/>
      </c>
      <c r="AH134" s="34" t="str">
        <f t="shared" ca="1" si="605"/>
        <v/>
      </c>
      <c r="AI134" s="34" t="str">
        <f t="shared" ca="1" si="605"/>
        <v/>
      </c>
      <c r="AJ134" s="34" t="str">
        <f t="shared" ref="AJ134:BO134" ca="1" si="606">IF(AJ$89="","",IF(AJ$89=$M$2,AI134,IF(AJ$11&lt;$D$7,OFFSET(INDIRECT($D$3),$A134-1,$Q$3+AJ$11),OFFSET(INDIRECT($D$4),$A134-1,$Q$4+AJ$11))))</f>
        <v/>
      </c>
      <c r="AK134" s="34" t="str">
        <f t="shared" ca="1" si="606"/>
        <v/>
      </c>
      <c r="AL134" s="34" t="str">
        <f t="shared" ca="1" si="606"/>
        <v/>
      </c>
      <c r="AM134" s="34" t="str">
        <f t="shared" ca="1" si="606"/>
        <v/>
      </c>
      <c r="AN134" s="34" t="str">
        <f t="shared" ca="1" si="606"/>
        <v/>
      </c>
      <c r="AO134" s="34" t="str">
        <f t="shared" ca="1" si="606"/>
        <v/>
      </c>
      <c r="AP134" s="34" t="str">
        <f t="shared" ca="1" si="606"/>
        <v/>
      </c>
      <c r="AQ134" s="34" t="str">
        <f t="shared" ca="1" si="606"/>
        <v/>
      </c>
      <c r="AR134" s="34" t="str">
        <f t="shared" ca="1" si="606"/>
        <v/>
      </c>
      <c r="AS134" s="34" t="str">
        <f t="shared" ca="1" si="606"/>
        <v/>
      </c>
      <c r="AT134" s="34" t="str">
        <f t="shared" ca="1" si="606"/>
        <v/>
      </c>
      <c r="AU134" s="34" t="str">
        <f t="shared" ca="1" si="606"/>
        <v/>
      </c>
      <c r="AV134" s="34" t="str">
        <f t="shared" ca="1" si="606"/>
        <v/>
      </c>
      <c r="AW134" s="34" t="str">
        <f t="shared" ca="1" si="606"/>
        <v/>
      </c>
      <c r="AX134" s="34" t="str">
        <f t="shared" ca="1" si="606"/>
        <v/>
      </c>
      <c r="AY134" s="34" t="str">
        <f t="shared" ca="1" si="606"/>
        <v/>
      </c>
      <c r="AZ134" s="34" t="str">
        <f t="shared" ca="1" si="606"/>
        <v/>
      </c>
      <c r="BA134" s="34" t="str">
        <f t="shared" ca="1" si="606"/>
        <v/>
      </c>
      <c r="BB134" s="34" t="str">
        <f t="shared" ca="1" si="606"/>
        <v/>
      </c>
      <c r="BC134" s="34" t="str">
        <f t="shared" ca="1" si="606"/>
        <v/>
      </c>
      <c r="BD134" s="34" t="str">
        <f t="shared" ca="1" si="606"/>
        <v/>
      </c>
      <c r="BE134" s="34" t="str">
        <f t="shared" ca="1" si="606"/>
        <v/>
      </c>
      <c r="BF134" s="34" t="str">
        <f t="shared" ca="1" si="606"/>
        <v/>
      </c>
      <c r="BG134" s="34" t="str">
        <f t="shared" ca="1" si="606"/>
        <v/>
      </c>
      <c r="BH134" s="34" t="str">
        <f t="shared" ca="1" si="606"/>
        <v/>
      </c>
      <c r="BI134" s="34" t="str">
        <f t="shared" ca="1" si="606"/>
        <v/>
      </c>
      <c r="BJ134" s="34" t="str">
        <f t="shared" ca="1" si="606"/>
        <v/>
      </c>
      <c r="BK134" s="34" t="str">
        <f t="shared" ca="1" si="606"/>
        <v/>
      </c>
      <c r="BL134" s="34" t="str">
        <f t="shared" ca="1" si="606"/>
        <v/>
      </c>
      <c r="BM134" s="34" t="str">
        <f t="shared" ca="1" si="606"/>
        <v/>
      </c>
      <c r="BN134" s="34" t="str">
        <f t="shared" ca="1" si="606"/>
        <v/>
      </c>
      <c r="BO134" s="34" t="str">
        <f t="shared" ca="1" si="606"/>
        <v/>
      </c>
      <c r="BP134" s="34" t="str">
        <f t="shared" ref="BP134:CZ134" ca="1" si="607">IF(BP$89="","",IF(BP$89=$M$2,BO134,IF(BP$11&lt;$D$7,OFFSET(INDIRECT($D$3),$A134-1,$Q$3+BP$11),OFFSET(INDIRECT($D$4),$A134-1,$Q$4+BP$11))))</f>
        <v/>
      </c>
      <c r="BQ134" s="34" t="str">
        <f t="shared" ca="1" si="607"/>
        <v/>
      </c>
      <c r="BR134" s="34" t="str">
        <f t="shared" ca="1" si="607"/>
        <v/>
      </c>
      <c r="BS134" s="34" t="str">
        <f t="shared" ca="1" si="607"/>
        <v/>
      </c>
      <c r="BT134" s="34" t="str">
        <f t="shared" ca="1" si="607"/>
        <v/>
      </c>
      <c r="BU134" s="34" t="str">
        <f t="shared" ca="1" si="607"/>
        <v/>
      </c>
      <c r="BV134" s="34" t="str">
        <f t="shared" ca="1" si="607"/>
        <v/>
      </c>
      <c r="BW134" s="34" t="str">
        <f t="shared" ca="1" si="607"/>
        <v/>
      </c>
      <c r="BX134" s="34" t="str">
        <f t="shared" ca="1" si="607"/>
        <v/>
      </c>
      <c r="BY134" s="34" t="str">
        <f t="shared" ca="1" si="607"/>
        <v/>
      </c>
      <c r="BZ134" s="34" t="str">
        <f t="shared" ca="1" si="607"/>
        <v/>
      </c>
      <c r="CA134" s="34" t="str">
        <f t="shared" ca="1" si="607"/>
        <v/>
      </c>
      <c r="CB134" s="34" t="str">
        <f t="shared" ca="1" si="607"/>
        <v/>
      </c>
      <c r="CC134" s="34" t="str">
        <f t="shared" ca="1" si="607"/>
        <v/>
      </c>
      <c r="CD134" s="34" t="str">
        <f t="shared" ca="1" si="607"/>
        <v/>
      </c>
      <c r="CE134" s="34" t="str">
        <f t="shared" ca="1" si="607"/>
        <v/>
      </c>
      <c r="CF134" s="34" t="str">
        <f t="shared" ca="1" si="607"/>
        <v/>
      </c>
      <c r="CG134" s="34" t="str">
        <f t="shared" ca="1" si="607"/>
        <v/>
      </c>
      <c r="CH134" s="34" t="str">
        <f t="shared" ca="1" si="607"/>
        <v/>
      </c>
      <c r="CI134" s="34" t="str">
        <f t="shared" ca="1" si="607"/>
        <v/>
      </c>
      <c r="CJ134" s="34" t="str">
        <f t="shared" ca="1" si="607"/>
        <v/>
      </c>
      <c r="CK134" s="34" t="str">
        <f t="shared" ca="1" si="607"/>
        <v/>
      </c>
      <c r="CL134" s="34" t="str">
        <f t="shared" ca="1" si="607"/>
        <v/>
      </c>
      <c r="CM134" s="34" t="str">
        <f t="shared" ca="1" si="607"/>
        <v/>
      </c>
      <c r="CN134" s="34" t="str">
        <f t="shared" ca="1" si="607"/>
        <v/>
      </c>
      <c r="CO134" s="34" t="str">
        <f t="shared" ca="1" si="607"/>
        <v/>
      </c>
      <c r="CP134" s="34" t="str">
        <f t="shared" ca="1" si="607"/>
        <v/>
      </c>
      <c r="CQ134" s="34" t="str">
        <f t="shared" ca="1" si="607"/>
        <v/>
      </c>
      <c r="CR134" s="34" t="str">
        <f t="shared" ca="1" si="607"/>
        <v/>
      </c>
      <c r="CS134" s="34" t="str">
        <f t="shared" ca="1" si="607"/>
        <v/>
      </c>
      <c r="CT134" s="34" t="str">
        <f t="shared" ca="1" si="607"/>
        <v/>
      </c>
      <c r="CU134" s="34" t="str">
        <f t="shared" ca="1" si="607"/>
        <v/>
      </c>
      <c r="CV134" s="34" t="str">
        <f t="shared" ca="1" si="607"/>
        <v/>
      </c>
      <c r="CW134" s="34" t="str">
        <f t="shared" ca="1" si="607"/>
        <v/>
      </c>
      <c r="CX134" s="34" t="str">
        <f t="shared" ca="1" si="607"/>
        <v/>
      </c>
      <c r="CY134" s="34" t="str">
        <f t="shared" ca="1" si="607"/>
        <v/>
      </c>
      <c r="CZ134" s="34" t="str">
        <f t="shared" ca="1" si="607"/>
        <v/>
      </c>
    </row>
    <row r="135" spans="1:104" ht="13.5" customHeight="1">
      <c r="A135" s="27"/>
      <c r="B135" s="33">
        <f t="shared" si="474"/>
        <v>135</v>
      </c>
      <c r="C135" s="9" t="s">
        <v>395</v>
      </c>
      <c r="D135" s="34">
        <f t="shared" ref="D135:AI135" ca="1" si="608">IF(D$89="","",IF(D$89=$M$2,C135,SUM(D136:D140)))</f>
        <v>13338</v>
      </c>
      <c r="E135" s="34">
        <f t="shared" ca="1" si="608"/>
        <v>17367</v>
      </c>
      <c r="F135" s="34">
        <f t="shared" ca="1" si="608"/>
        <v>10613</v>
      </c>
      <c r="G135" s="34">
        <f t="shared" ca="1" si="608"/>
        <v>11589</v>
      </c>
      <c r="H135" s="34">
        <f t="shared" ca="1" si="608"/>
        <v>13338</v>
      </c>
      <c r="I135" s="34">
        <f t="shared" ca="1" si="608"/>
        <v>16386</v>
      </c>
      <c r="J135" s="34">
        <f t="shared" ca="1" si="608"/>
        <v>15025</v>
      </c>
      <c r="K135" s="34">
        <f t="shared" ca="1" si="608"/>
        <v>16252</v>
      </c>
      <c r="L135" s="34">
        <f t="shared" ca="1" si="608"/>
        <v>17367</v>
      </c>
      <c r="M135" s="34">
        <f t="shared" ca="1" si="608"/>
        <v>20481</v>
      </c>
      <c r="N135" s="34">
        <f t="shared" ca="1" si="608"/>
        <v>20481</v>
      </c>
      <c r="O135" s="34" t="str">
        <f t="shared" ca="1" si="608"/>
        <v/>
      </c>
      <c r="P135" s="34" t="str">
        <f t="shared" ca="1" si="608"/>
        <v/>
      </c>
      <c r="Q135" s="34" t="str">
        <f t="shared" ca="1" si="608"/>
        <v/>
      </c>
      <c r="R135" s="34" t="str">
        <f t="shared" si="608"/>
        <v/>
      </c>
      <c r="S135" s="34" t="str">
        <f t="shared" si="608"/>
        <v/>
      </c>
      <c r="T135" s="34" t="str">
        <f t="shared" si="608"/>
        <v/>
      </c>
      <c r="U135" s="34" t="str">
        <f t="shared" si="608"/>
        <v/>
      </c>
      <c r="V135" s="34" t="str">
        <f t="shared" si="608"/>
        <v/>
      </c>
      <c r="W135" s="34" t="str">
        <f t="shared" si="608"/>
        <v/>
      </c>
      <c r="X135" s="34" t="str">
        <f t="shared" si="608"/>
        <v/>
      </c>
      <c r="Y135" s="34" t="str">
        <f t="shared" si="608"/>
        <v/>
      </c>
      <c r="Z135" s="34" t="str">
        <f t="shared" si="608"/>
        <v/>
      </c>
      <c r="AA135" s="34" t="str">
        <f t="shared" si="608"/>
        <v/>
      </c>
      <c r="AB135" s="34" t="str">
        <f t="shared" si="608"/>
        <v/>
      </c>
      <c r="AC135" s="34" t="str">
        <f t="shared" si="608"/>
        <v/>
      </c>
      <c r="AD135" s="34" t="str">
        <f t="shared" si="608"/>
        <v/>
      </c>
      <c r="AE135" s="34" t="str">
        <f t="shared" si="608"/>
        <v/>
      </c>
      <c r="AF135" s="34" t="str">
        <f t="shared" si="608"/>
        <v/>
      </c>
      <c r="AG135" s="34" t="str">
        <f t="shared" si="608"/>
        <v/>
      </c>
      <c r="AH135" s="34" t="str">
        <f t="shared" si="608"/>
        <v/>
      </c>
      <c r="AI135" s="34" t="str">
        <f t="shared" si="608"/>
        <v/>
      </c>
      <c r="AJ135" s="34" t="str">
        <f t="shared" ref="AJ135:BO135" si="609">IF(AJ$89="","",IF(AJ$89=$M$2,AI135,SUM(AJ136:AJ140)))</f>
        <v/>
      </c>
      <c r="AK135" s="34" t="str">
        <f t="shared" si="609"/>
        <v/>
      </c>
      <c r="AL135" s="34" t="str">
        <f t="shared" si="609"/>
        <v/>
      </c>
      <c r="AM135" s="34" t="str">
        <f t="shared" si="609"/>
        <v/>
      </c>
      <c r="AN135" s="34" t="str">
        <f t="shared" si="609"/>
        <v/>
      </c>
      <c r="AO135" s="34" t="str">
        <f t="shared" si="609"/>
        <v/>
      </c>
      <c r="AP135" s="34" t="str">
        <f t="shared" si="609"/>
        <v/>
      </c>
      <c r="AQ135" s="34" t="str">
        <f t="shared" si="609"/>
        <v/>
      </c>
      <c r="AR135" s="34" t="str">
        <f t="shared" si="609"/>
        <v/>
      </c>
      <c r="AS135" s="34" t="str">
        <f t="shared" si="609"/>
        <v/>
      </c>
      <c r="AT135" s="34" t="str">
        <f t="shared" si="609"/>
        <v/>
      </c>
      <c r="AU135" s="34" t="str">
        <f t="shared" si="609"/>
        <v/>
      </c>
      <c r="AV135" s="34" t="str">
        <f t="shared" si="609"/>
        <v/>
      </c>
      <c r="AW135" s="34" t="str">
        <f t="shared" si="609"/>
        <v/>
      </c>
      <c r="AX135" s="34" t="str">
        <f t="shared" si="609"/>
        <v/>
      </c>
      <c r="AY135" s="34" t="str">
        <f t="shared" si="609"/>
        <v/>
      </c>
      <c r="AZ135" s="34" t="str">
        <f t="shared" si="609"/>
        <v/>
      </c>
      <c r="BA135" s="34" t="str">
        <f t="shared" si="609"/>
        <v/>
      </c>
      <c r="BB135" s="34" t="str">
        <f t="shared" si="609"/>
        <v/>
      </c>
      <c r="BC135" s="34" t="str">
        <f t="shared" si="609"/>
        <v/>
      </c>
      <c r="BD135" s="34" t="str">
        <f t="shared" si="609"/>
        <v/>
      </c>
      <c r="BE135" s="34" t="str">
        <f t="shared" si="609"/>
        <v/>
      </c>
      <c r="BF135" s="34" t="str">
        <f t="shared" si="609"/>
        <v/>
      </c>
      <c r="BG135" s="34" t="str">
        <f t="shared" si="609"/>
        <v/>
      </c>
      <c r="BH135" s="34" t="str">
        <f t="shared" si="609"/>
        <v/>
      </c>
      <c r="BI135" s="34" t="str">
        <f t="shared" si="609"/>
        <v/>
      </c>
      <c r="BJ135" s="34" t="str">
        <f t="shared" si="609"/>
        <v/>
      </c>
      <c r="BK135" s="34" t="str">
        <f t="shared" si="609"/>
        <v/>
      </c>
      <c r="BL135" s="34" t="str">
        <f t="shared" si="609"/>
        <v/>
      </c>
      <c r="BM135" s="34" t="str">
        <f t="shared" si="609"/>
        <v/>
      </c>
      <c r="BN135" s="34" t="str">
        <f t="shared" si="609"/>
        <v/>
      </c>
      <c r="BO135" s="34" t="str">
        <f t="shared" si="609"/>
        <v/>
      </c>
      <c r="BP135" s="34" t="str">
        <f t="shared" ref="BP135:CU135" si="610">IF(BP$89="","",IF(BP$89=$M$2,BO135,SUM(BP136:BP140)))</f>
        <v/>
      </c>
      <c r="BQ135" s="34" t="str">
        <f t="shared" si="610"/>
        <v/>
      </c>
      <c r="BR135" s="34" t="str">
        <f t="shared" si="610"/>
        <v/>
      </c>
      <c r="BS135" s="34" t="str">
        <f t="shared" si="610"/>
        <v/>
      </c>
      <c r="BT135" s="34" t="str">
        <f t="shared" si="610"/>
        <v/>
      </c>
      <c r="BU135" s="34" t="str">
        <f t="shared" si="610"/>
        <v/>
      </c>
      <c r="BV135" s="34" t="str">
        <f t="shared" si="610"/>
        <v/>
      </c>
      <c r="BW135" s="34" t="str">
        <f t="shared" si="610"/>
        <v/>
      </c>
      <c r="BX135" s="34" t="str">
        <f t="shared" si="610"/>
        <v/>
      </c>
      <c r="BY135" s="34" t="str">
        <f t="shared" si="610"/>
        <v/>
      </c>
      <c r="BZ135" s="34" t="str">
        <f t="shared" si="610"/>
        <v/>
      </c>
      <c r="CA135" s="34" t="str">
        <f t="shared" si="610"/>
        <v/>
      </c>
      <c r="CB135" s="34" t="str">
        <f t="shared" si="610"/>
        <v/>
      </c>
      <c r="CC135" s="34" t="str">
        <f t="shared" si="610"/>
        <v/>
      </c>
      <c r="CD135" s="34" t="str">
        <f t="shared" si="610"/>
        <v/>
      </c>
      <c r="CE135" s="34" t="str">
        <f t="shared" si="610"/>
        <v/>
      </c>
      <c r="CF135" s="34" t="str">
        <f t="shared" si="610"/>
        <v/>
      </c>
      <c r="CG135" s="34" t="str">
        <f t="shared" si="610"/>
        <v/>
      </c>
      <c r="CH135" s="34" t="str">
        <f t="shared" si="610"/>
        <v/>
      </c>
      <c r="CI135" s="34" t="str">
        <f t="shared" si="610"/>
        <v/>
      </c>
      <c r="CJ135" s="34" t="str">
        <f t="shared" si="610"/>
        <v/>
      </c>
      <c r="CK135" s="34" t="str">
        <f t="shared" si="610"/>
        <v/>
      </c>
      <c r="CL135" s="34" t="str">
        <f t="shared" si="610"/>
        <v/>
      </c>
      <c r="CM135" s="34" t="str">
        <f t="shared" si="610"/>
        <v/>
      </c>
      <c r="CN135" s="34" t="str">
        <f t="shared" si="610"/>
        <v/>
      </c>
      <c r="CO135" s="34" t="str">
        <f t="shared" si="610"/>
        <v/>
      </c>
      <c r="CP135" s="34" t="str">
        <f t="shared" si="610"/>
        <v/>
      </c>
      <c r="CQ135" s="34" t="str">
        <f t="shared" si="610"/>
        <v/>
      </c>
      <c r="CR135" s="34" t="str">
        <f t="shared" si="610"/>
        <v/>
      </c>
      <c r="CS135" s="34" t="str">
        <f t="shared" si="610"/>
        <v/>
      </c>
      <c r="CT135" s="34" t="str">
        <f t="shared" si="610"/>
        <v/>
      </c>
      <c r="CU135" s="34" t="str">
        <f t="shared" si="610"/>
        <v/>
      </c>
      <c r="CV135" s="34" t="str">
        <f t="shared" ref="CV135:CZ135" si="611">IF(CV$89="","",IF(CV$89=$M$2,CU135,SUM(CV136:CV140)))</f>
        <v/>
      </c>
      <c r="CW135" s="34" t="str">
        <f t="shared" si="611"/>
        <v/>
      </c>
      <c r="CX135" s="34" t="str">
        <f t="shared" si="611"/>
        <v/>
      </c>
      <c r="CY135" s="34" t="str">
        <f t="shared" si="611"/>
        <v/>
      </c>
      <c r="CZ135" s="34" t="str">
        <f t="shared" si="611"/>
        <v/>
      </c>
    </row>
    <row r="136" spans="1:104" ht="13.5" customHeight="1">
      <c r="A136" s="27">
        <v>117</v>
      </c>
      <c r="B136" s="33">
        <f t="shared" si="474"/>
        <v>136</v>
      </c>
      <c r="C136" s="8" t="s">
        <v>396</v>
      </c>
      <c r="D136" s="34">
        <f t="shared" ref="D136:AI136" ca="1" si="612">IF(D$89="","",IF(D$89=$M$2,C136,IF(D$11&lt;$D$7,OFFSET(INDIRECT($D$3),$A136-1,$Q$3+D$11),OFFSET(INDIRECT($D$4),$A136-1,$Q$4+D$11))))</f>
        <v>0</v>
      </c>
      <c r="E136" s="34">
        <f t="shared" ca="1" si="612"/>
        <v>0</v>
      </c>
      <c r="F136" s="34">
        <f t="shared" ca="1" si="612"/>
        <v>0</v>
      </c>
      <c r="G136" s="34">
        <f t="shared" ca="1" si="612"/>
        <v>0</v>
      </c>
      <c r="H136" s="34">
        <f t="shared" ca="1" si="612"/>
        <v>0</v>
      </c>
      <c r="I136" s="34">
        <f t="shared" ca="1" si="612"/>
        <v>0</v>
      </c>
      <c r="J136" s="34">
        <f t="shared" ca="1" si="612"/>
        <v>0</v>
      </c>
      <c r="K136" s="34">
        <f t="shared" ca="1" si="612"/>
        <v>0</v>
      </c>
      <c r="L136" s="34">
        <f t="shared" ca="1" si="612"/>
        <v>0</v>
      </c>
      <c r="M136" s="34">
        <f t="shared" ca="1" si="612"/>
        <v>0</v>
      </c>
      <c r="N136" s="34">
        <f t="shared" ca="1" si="612"/>
        <v>0</v>
      </c>
      <c r="O136" s="34" t="str">
        <f t="shared" ca="1" si="612"/>
        <v/>
      </c>
      <c r="P136" s="34" t="str">
        <f t="shared" ca="1" si="612"/>
        <v/>
      </c>
      <c r="Q136" s="34" t="str">
        <f t="shared" ca="1" si="612"/>
        <v/>
      </c>
      <c r="R136" s="34" t="str">
        <f t="shared" ca="1" si="612"/>
        <v/>
      </c>
      <c r="S136" s="34" t="str">
        <f t="shared" ca="1" si="612"/>
        <v/>
      </c>
      <c r="T136" s="34" t="str">
        <f t="shared" ca="1" si="612"/>
        <v/>
      </c>
      <c r="U136" s="34" t="str">
        <f t="shared" ca="1" si="612"/>
        <v/>
      </c>
      <c r="V136" s="34" t="str">
        <f t="shared" ca="1" si="612"/>
        <v/>
      </c>
      <c r="W136" s="34" t="str">
        <f t="shared" ca="1" si="612"/>
        <v/>
      </c>
      <c r="X136" s="34" t="str">
        <f t="shared" ca="1" si="612"/>
        <v/>
      </c>
      <c r="Y136" s="34" t="str">
        <f t="shared" ca="1" si="612"/>
        <v/>
      </c>
      <c r="Z136" s="34" t="str">
        <f t="shared" ca="1" si="612"/>
        <v/>
      </c>
      <c r="AA136" s="34" t="str">
        <f t="shared" ca="1" si="612"/>
        <v/>
      </c>
      <c r="AB136" s="34" t="str">
        <f t="shared" ca="1" si="612"/>
        <v/>
      </c>
      <c r="AC136" s="34" t="str">
        <f t="shared" ca="1" si="612"/>
        <v/>
      </c>
      <c r="AD136" s="34" t="str">
        <f t="shared" ca="1" si="612"/>
        <v/>
      </c>
      <c r="AE136" s="34" t="str">
        <f t="shared" ca="1" si="612"/>
        <v/>
      </c>
      <c r="AF136" s="34" t="str">
        <f t="shared" ca="1" si="612"/>
        <v/>
      </c>
      <c r="AG136" s="34" t="str">
        <f t="shared" ca="1" si="612"/>
        <v/>
      </c>
      <c r="AH136" s="34" t="str">
        <f t="shared" ca="1" si="612"/>
        <v/>
      </c>
      <c r="AI136" s="34" t="str">
        <f t="shared" ca="1" si="612"/>
        <v/>
      </c>
      <c r="AJ136" s="34" t="str">
        <f t="shared" ref="AJ136:BO136" ca="1" si="613">IF(AJ$89="","",IF(AJ$89=$M$2,AI136,IF(AJ$11&lt;$D$7,OFFSET(INDIRECT($D$3),$A136-1,$Q$3+AJ$11),OFFSET(INDIRECT($D$4),$A136-1,$Q$4+AJ$11))))</f>
        <v/>
      </c>
      <c r="AK136" s="34" t="str">
        <f t="shared" ca="1" si="613"/>
        <v/>
      </c>
      <c r="AL136" s="34" t="str">
        <f t="shared" ca="1" si="613"/>
        <v/>
      </c>
      <c r="AM136" s="34" t="str">
        <f t="shared" ca="1" si="613"/>
        <v/>
      </c>
      <c r="AN136" s="34" t="str">
        <f t="shared" ca="1" si="613"/>
        <v/>
      </c>
      <c r="AO136" s="34" t="str">
        <f t="shared" ca="1" si="613"/>
        <v/>
      </c>
      <c r="AP136" s="34" t="str">
        <f t="shared" ca="1" si="613"/>
        <v/>
      </c>
      <c r="AQ136" s="34" t="str">
        <f t="shared" ca="1" si="613"/>
        <v/>
      </c>
      <c r="AR136" s="34" t="str">
        <f t="shared" ca="1" si="613"/>
        <v/>
      </c>
      <c r="AS136" s="34" t="str">
        <f t="shared" ca="1" si="613"/>
        <v/>
      </c>
      <c r="AT136" s="34" t="str">
        <f t="shared" ca="1" si="613"/>
        <v/>
      </c>
      <c r="AU136" s="34" t="str">
        <f t="shared" ca="1" si="613"/>
        <v/>
      </c>
      <c r="AV136" s="34" t="str">
        <f t="shared" ca="1" si="613"/>
        <v/>
      </c>
      <c r="AW136" s="34" t="str">
        <f t="shared" ca="1" si="613"/>
        <v/>
      </c>
      <c r="AX136" s="34" t="str">
        <f t="shared" ca="1" si="613"/>
        <v/>
      </c>
      <c r="AY136" s="34" t="str">
        <f t="shared" ca="1" si="613"/>
        <v/>
      </c>
      <c r="AZ136" s="34" t="str">
        <f t="shared" ca="1" si="613"/>
        <v/>
      </c>
      <c r="BA136" s="34" t="str">
        <f t="shared" ca="1" si="613"/>
        <v/>
      </c>
      <c r="BB136" s="34" t="str">
        <f t="shared" ca="1" si="613"/>
        <v/>
      </c>
      <c r="BC136" s="34" t="str">
        <f t="shared" ca="1" si="613"/>
        <v/>
      </c>
      <c r="BD136" s="34" t="str">
        <f t="shared" ca="1" si="613"/>
        <v/>
      </c>
      <c r="BE136" s="34" t="str">
        <f t="shared" ca="1" si="613"/>
        <v/>
      </c>
      <c r="BF136" s="34" t="str">
        <f t="shared" ca="1" si="613"/>
        <v/>
      </c>
      <c r="BG136" s="34" t="str">
        <f t="shared" ca="1" si="613"/>
        <v/>
      </c>
      <c r="BH136" s="34" t="str">
        <f t="shared" ca="1" si="613"/>
        <v/>
      </c>
      <c r="BI136" s="34" t="str">
        <f t="shared" ca="1" si="613"/>
        <v/>
      </c>
      <c r="BJ136" s="34" t="str">
        <f t="shared" ca="1" si="613"/>
        <v/>
      </c>
      <c r="BK136" s="34" t="str">
        <f t="shared" ca="1" si="613"/>
        <v/>
      </c>
      <c r="BL136" s="34" t="str">
        <f t="shared" ca="1" si="613"/>
        <v/>
      </c>
      <c r="BM136" s="34" t="str">
        <f t="shared" ca="1" si="613"/>
        <v/>
      </c>
      <c r="BN136" s="34" t="str">
        <f t="shared" ca="1" si="613"/>
        <v/>
      </c>
      <c r="BO136" s="34" t="str">
        <f t="shared" ca="1" si="613"/>
        <v/>
      </c>
      <c r="BP136" s="34" t="str">
        <f t="shared" ref="BP136:CZ136" ca="1" si="614">IF(BP$89="","",IF(BP$89=$M$2,BO136,IF(BP$11&lt;$D$7,OFFSET(INDIRECT($D$3),$A136-1,$Q$3+BP$11),OFFSET(INDIRECT($D$4),$A136-1,$Q$4+BP$11))))</f>
        <v/>
      </c>
      <c r="BQ136" s="34" t="str">
        <f t="shared" ca="1" si="614"/>
        <v/>
      </c>
      <c r="BR136" s="34" t="str">
        <f t="shared" ca="1" si="614"/>
        <v/>
      </c>
      <c r="BS136" s="34" t="str">
        <f t="shared" ca="1" si="614"/>
        <v/>
      </c>
      <c r="BT136" s="34" t="str">
        <f t="shared" ca="1" si="614"/>
        <v/>
      </c>
      <c r="BU136" s="34" t="str">
        <f t="shared" ca="1" si="614"/>
        <v/>
      </c>
      <c r="BV136" s="34" t="str">
        <f t="shared" ca="1" si="614"/>
        <v/>
      </c>
      <c r="BW136" s="34" t="str">
        <f t="shared" ca="1" si="614"/>
        <v/>
      </c>
      <c r="BX136" s="34" t="str">
        <f t="shared" ca="1" si="614"/>
        <v/>
      </c>
      <c r="BY136" s="34" t="str">
        <f t="shared" ca="1" si="614"/>
        <v/>
      </c>
      <c r="BZ136" s="34" t="str">
        <f t="shared" ca="1" si="614"/>
        <v/>
      </c>
      <c r="CA136" s="34" t="str">
        <f t="shared" ca="1" si="614"/>
        <v/>
      </c>
      <c r="CB136" s="34" t="str">
        <f t="shared" ca="1" si="614"/>
        <v/>
      </c>
      <c r="CC136" s="34" t="str">
        <f t="shared" ca="1" si="614"/>
        <v/>
      </c>
      <c r="CD136" s="34" t="str">
        <f t="shared" ca="1" si="614"/>
        <v/>
      </c>
      <c r="CE136" s="34" t="str">
        <f t="shared" ca="1" si="614"/>
        <v/>
      </c>
      <c r="CF136" s="34" t="str">
        <f t="shared" ca="1" si="614"/>
        <v/>
      </c>
      <c r="CG136" s="34" t="str">
        <f t="shared" ca="1" si="614"/>
        <v/>
      </c>
      <c r="CH136" s="34" t="str">
        <f t="shared" ca="1" si="614"/>
        <v/>
      </c>
      <c r="CI136" s="34" t="str">
        <f t="shared" ca="1" si="614"/>
        <v/>
      </c>
      <c r="CJ136" s="34" t="str">
        <f t="shared" ca="1" si="614"/>
        <v/>
      </c>
      <c r="CK136" s="34" t="str">
        <f t="shared" ca="1" si="614"/>
        <v/>
      </c>
      <c r="CL136" s="34" t="str">
        <f t="shared" ca="1" si="614"/>
        <v/>
      </c>
      <c r="CM136" s="34" t="str">
        <f t="shared" ca="1" si="614"/>
        <v/>
      </c>
      <c r="CN136" s="34" t="str">
        <f t="shared" ca="1" si="614"/>
        <v/>
      </c>
      <c r="CO136" s="34" t="str">
        <f t="shared" ca="1" si="614"/>
        <v/>
      </c>
      <c r="CP136" s="34" t="str">
        <f t="shared" ca="1" si="614"/>
        <v/>
      </c>
      <c r="CQ136" s="34" t="str">
        <f t="shared" ca="1" si="614"/>
        <v/>
      </c>
      <c r="CR136" s="34" t="str">
        <f t="shared" ca="1" si="614"/>
        <v/>
      </c>
      <c r="CS136" s="34" t="str">
        <f t="shared" ca="1" si="614"/>
        <v/>
      </c>
      <c r="CT136" s="34" t="str">
        <f t="shared" ca="1" si="614"/>
        <v/>
      </c>
      <c r="CU136" s="34" t="str">
        <f t="shared" ca="1" si="614"/>
        <v/>
      </c>
      <c r="CV136" s="34" t="str">
        <f t="shared" ca="1" si="614"/>
        <v/>
      </c>
      <c r="CW136" s="34" t="str">
        <f t="shared" ca="1" si="614"/>
        <v/>
      </c>
      <c r="CX136" s="34" t="str">
        <f t="shared" ca="1" si="614"/>
        <v/>
      </c>
      <c r="CY136" s="34" t="str">
        <f t="shared" ca="1" si="614"/>
        <v/>
      </c>
      <c r="CZ136" s="34" t="str">
        <f t="shared" ca="1" si="614"/>
        <v/>
      </c>
    </row>
    <row r="137" spans="1:104" ht="13.5" customHeight="1">
      <c r="A137" s="27">
        <v>118</v>
      </c>
      <c r="B137" s="33">
        <f t="shared" si="474"/>
        <v>137</v>
      </c>
      <c r="C137" s="8" t="s">
        <v>397</v>
      </c>
      <c r="D137" s="34">
        <f t="shared" ref="D137:AI137" ca="1" si="615">IF(D$89="","",IF(D$89=$M$2,C137,IF(D$11&lt;$D$7,OFFSET(INDIRECT($D$3),$A137-1,$Q$3+D$11),OFFSET(INDIRECT($D$4),$A137-1,$Q$4+D$11))))</f>
        <v>8107</v>
      </c>
      <c r="E137" s="34">
        <f t="shared" ca="1" si="615"/>
        <v>9879</v>
      </c>
      <c r="F137" s="34">
        <f t="shared" ca="1" si="615"/>
        <v>6091</v>
      </c>
      <c r="G137" s="34">
        <f t="shared" ca="1" si="615"/>
        <v>6467</v>
      </c>
      <c r="H137" s="34">
        <f t="shared" ca="1" si="615"/>
        <v>8107</v>
      </c>
      <c r="I137" s="34">
        <f t="shared" ca="1" si="615"/>
        <v>7435</v>
      </c>
      <c r="J137" s="34">
        <f t="shared" ca="1" si="615"/>
        <v>6733</v>
      </c>
      <c r="K137" s="34">
        <f t="shared" ca="1" si="615"/>
        <v>8832</v>
      </c>
      <c r="L137" s="34">
        <f t="shared" ca="1" si="615"/>
        <v>9879</v>
      </c>
      <c r="M137" s="34">
        <f t="shared" ca="1" si="615"/>
        <v>11214</v>
      </c>
      <c r="N137" s="34">
        <f t="shared" ca="1" si="615"/>
        <v>11214</v>
      </c>
      <c r="O137" s="34" t="str">
        <f t="shared" ca="1" si="615"/>
        <v/>
      </c>
      <c r="P137" s="34" t="str">
        <f t="shared" ca="1" si="615"/>
        <v/>
      </c>
      <c r="Q137" s="34" t="str">
        <f t="shared" ca="1" si="615"/>
        <v/>
      </c>
      <c r="R137" s="34" t="str">
        <f t="shared" ca="1" si="615"/>
        <v/>
      </c>
      <c r="S137" s="34" t="str">
        <f t="shared" ca="1" si="615"/>
        <v/>
      </c>
      <c r="T137" s="34" t="str">
        <f t="shared" ca="1" si="615"/>
        <v/>
      </c>
      <c r="U137" s="34" t="str">
        <f t="shared" ca="1" si="615"/>
        <v/>
      </c>
      <c r="V137" s="34" t="str">
        <f t="shared" ca="1" si="615"/>
        <v/>
      </c>
      <c r="W137" s="34" t="str">
        <f t="shared" ca="1" si="615"/>
        <v/>
      </c>
      <c r="X137" s="34" t="str">
        <f t="shared" ca="1" si="615"/>
        <v/>
      </c>
      <c r="Y137" s="34" t="str">
        <f t="shared" ca="1" si="615"/>
        <v/>
      </c>
      <c r="Z137" s="34" t="str">
        <f t="shared" ca="1" si="615"/>
        <v/>
      </c>
      <c r="AA137" s="34" t="str">
        <f t="shared" ca="1" si="615"/>
        <v/>
      </c>
      <c r="AB137" s="34" t="str">
        <f t="shared" ca="1" si="615"/>
        <v/>
      </c>
      <c r="AC137" s="34" t="str">
        <f t="shared" ca="1" si="615"/>
        <v/>
      </c>
      <c r="AD137" s="34" t="str">
        <f t="shared" ca="1" si="615"/>
        <v/>
      </c>
      <c r="AE137" s="34" t="str">
        <f t="shared" ca="1" si="615"/>
        <v/>
      </c>
      <c r="AF137" s="34" t="str">
        <f t="shared" ca="1" si="615"/>
        <v/>
      </c>
      <c r="AG137" s="34" t="str">
        <f t="shared" ca="1" si="615"/>
        <v/>
      </c>
      <c r="AH137" s="34" t="str">
        <f t="shared" ca="1" si="615"/>
        <v/>
      </c>
      <c r="AI137" s="34" t="str">
        <f t="shared" ca="1" si="615"/>
        <v/>
      </c>
      <c r="AJ137" s="34" t="str">
        <f t="shared" ref="AJ137:BO137" ca="1" si="616">IF(AJ$89="","",IF(AJ$89=$M$2,AI137,IF(AJ$11&lt;$D$7,OFFSET(INDIRECT($D$3),$A137-1,$Q$3+AJ$11),OFFSET(INDIRECT($D$4),$A137-1,$Q$4+AJ$11))))</f>
        <v/>
      </c>
      <c r="AK137" s="34" t="str">
        <f t="shared" ca="1" si="616"/>
        <v/>
      </c>
      <c r="AL137" s="34" t="str">
        <f t="shared" ca="1" si="616"/>
        <v/>
      </c>
      <c r="AM137" s="34" t="str">
        <f t="shared" ca="1" si="616"/>
        <v/>
      </c>
      <c r="AN137" s="34" t="str">
        <f t="shared" ca="1" si="616"/>
        <v/>
      </c>
      <c r="AO137" s="34" t="str">
        <f t="shared" ca="1" si="616"/>
        <v/>
      </c>
      <c r="AP137" s="34" t="str">
        <f t="shared" ca="1" si="616"/>
        <v/>
      </c>
      <c r="AQ137" s="34" t="str">
        <f t="shared" ca="1" si="616"/>
        <v/>
      </c>
      <c r="AR137" s="34" t="str">
        <f t="shared" ca="1" si="616"/>
        <v/>
      </c>
      <c r="AS137" s="34" t="str">
        <f t="shared" ca="1" si="616"/>
        <v/>
      </c>
      <c r="AT137" s="34" t="str">
        <f t="shared" ca="1" si="616"/>
        <v/>
      </c>
      <c r="AU137" s="34" t="str">
        <f t="shared" ca="1" si="616"/>
        <v/>
      </c>
      <c r="AV137" s="34" t="str">
        <f t="shared" ca="1" si="616"/>
        <v/>
      </c>
      <c r="AW137" s="34" t="str">
        <f t="shared" ca="1" si="616"/>
        <v/>
      </c>
      <c r="AX137" s="34" t="str">
        <f t="shared" ca="1" si="616"/>
        <v/>
      </c>
      <c r="AY137" s="34" t="str">
        <f t="shared" ca="1" si="616"/>
        <v/>
      </c>
      <c r="AZ137" s="34" t="str">
        <f t="shared" ca="1" si="616"/>
        <v/>
      </c>
      <c r="BA137" s="34" t="str">
        <f t="shared" ca="1" si="616"/>
        <v/>
      </c>
      <c r="BB137" s="34" t="str">
        <f t="shared" ca="1" si="616"/>
        <v/>
      </c>
      <c r="BC137" s="34" t="str">
        <f t="shared" ca="1" si="616"/>
        <v/>
      </c>
      <c r="BD137" s="34" t="str">
        <f t="shared" ca="1" si="616"/>
        <v/>
      </c>
      <c r="BE137" s="34" t="str">
        <f t="shared" ca="1" si="616"/>
        <v/>
      </c>
      <c r="BF137" s="34" t="str">
        <f t="shared" ca="1" si="616"/>
        <v/>
      </c>
      <c r="BG137" s="34" t="str">
        <f t="shared" ca="1" si="616"/>
        <v/>
      </c>
      <c r="BH137" s="34" t="str">
        <f t="shared" ca="1" si="616"/>
        <v/>
      </c>
      <c r="BI137" s="34" t="str">
        <f t="shared" ca="1" si="616"/>
        <v/>
      </c>
      <c r="BJ137" s="34" t="str">
        <f t="shared" ca="1" si="616"/>
        <v/>
      </c>
      <c r="BK137" s="34" t="str">
        <f t="shared" ca="1" si="616"/>
        <v/>
      </c>
      <c r="BL137" s="34" t="str">
        <f t="shared" ca="1" si="616"/>
        <v/>
      </c>
      <c r="BM137" s="34" t="str">
        <f t="shared" ca="1" si="616"/>
        <v/>
      </c>
      <c r="BN137" s="34" t="str">
        <f t="shared" ca="1" si="616"/>
        <v/>
      </c>
      <c r="BO137" s="34" t="str">
        <f t="shared" ca="1" si="616"/>
        <v/>
      </c>
      <c r="BP137" s="34" t="str">
        <f t="shared" ref="BP137:CZ137" ca="1" si="617">IF(BP$89="","",IF(BP$89=$M$2,BO137,IF(BP$11&lt;$D$7,OFFSET(INDIRECT($D$3),$A137-1,$Q$3+BP$11),OFFSET(INDIRECT($D$4),$A137-1,$Q$4+BP$11))))</f>
        <v/>
      </c>
      <c r="BQ137" s="34" t="str">
        <f t="shared" ca="1" si="617"/>
        <v/>
      </c>
      <c r="BR137" s="34" t="str">
        <f t="shared" ca="1" si="617"/>
        <v/>
      </c>
      <c r="BS137" s="34" t="str">
        <f t="shared" ca="1" si="617"/>
        <v/>
      </c>
      <c r="BT137" s="34" t="str">
        <f t="shared" ca="1" si="617"/>
        <v/>
      </c>
      <c r="BU137" s="34" t="str">
        <f t="shared" ca="1" si="617"/>
        <v/>
      </c>
      <c r="BV137" s="34" t="str">
        <f t="shared" ca="1" si="617"/>
        <v/>
      </c>
      <c r="BW137" s="34" t="str">
        <f t="shared" ca="1" si="617"/>
        <v/>
      </c>
      <c r="BX137" s="34" t="str">
        <f t="shared" ca="1" si="617"/>
        <v/>
      </c>
      <c r="BY137" s="34" t="str">
        <f t="shared" ca="1" si="617"/>
        <v/>
      </c>
      <c r="BZ137" s="34" t="str">
        <f t="shared" ca="1" si="617"/>
        <v/>
      </c>
      <c r="CA137" s="34" t="str">
        <f t="shared" ca="1" si="617"/>
        <v/>
      </c>
      <c r="CB137" s="34" t="str">
        <f t="shared" ca="1" si="617"/>
        <v/>
      </c>
      <c r="CC137" s="34" t="str">
        <f t="shared" ca="1" si="617"/>
        <v/>
      </c>
      <c r="CD137" s="34" t="str">
        <f t="shared" ca="1" si="617"/>
        <v/>
      </c>
      <c r="CE137" s="34" t="str">
        <f t="shared" ca="1" si="617"/>
        <v/>
      </c>
      <c r="CF137" s="34" t="str">
        <f t="shared" ca="1" si="617"/>
        <v/>
      </c>
      <c r="CG137" s="34" t="str">
        <f t="shared" ca="1" si="617"/>
        <v/>
      </c>
      <c r="CH137" s="34" t="str">
        <f t="shared" ca="1" si="617"/>
        <v/>
      </c>
      <c r="CI137" s="34" t="str">
        <f t="shared" ca="1" si="617"/>
        <v/>
      </c>
      <c r="CJ137" s="34" t="str">
        <f t="shared" ca="1" si="617"/>
        <v/>
      </c>
      <c r="CK137" s="34" t="str">
        <f t="shared" ca="1" si="617"/>
        <v/>
      </c>
      <c r="CL137" s="34" t="str">
        <f t="shared" ca="1" si="617"/>
        <v/>
      </c>
      <c r="CM137" s="34" t="str">
        <f t="shared" ca="1" si="617"/>
        <v/>
      </c>
      <c r="CN137" s="34" t="str">
        <f t="shared" ca="1" si="617"/>
        <v/>
      </c>
      <c r="CO137" s="34" t="str">
        <f t="shared" ca="1" si="617"/>
        <v/>
      </c>
      <c r="CP137" s="34" t="str">
        <f t="shared" ca="1" si="617"/>
        <v/>
      </c>
      <c r="CQ137" s="34" t="str">
        <f t="shared" ca="1" si="617"/>
        <v/>
      </c>
      <c r="CR137" s="34" t="str">
        <f t="shared" ca="1" si="617"/>
        <v/>
      </c>
      <c r="CS137" s="34" t="str">
        <f t="shared" ca="1" si="617"/>
        <v/>
      </c>
      <c r="CT137" s="34" t="str">
        <f t="shared" ca="1" si="617"/>
        <v/>
      </c>
      <c r="CU137" s="34" t="str">
        <f t="shared" ca="1" si="617"/>
        <v/>
      </c>
      <c r="CV137" s="34" t="str">
        <f t="shared" ca="1" si="617"/>
        <v/>
      </c>
      <c r="CW137" s="34" t="str">
        <f t="shared" ca="1" si="617"/>
        <v/>
      </c>
      <c r="CX137" s="34" t="str">
        <f t="shared" ca="1" si="617"/>
        <v/>
      </c>
      <c r="CY137" s="34" t="str">
        <f t="shared" ca="1" si="617"/>
        <v/>
      </c>
      <c r="CZ137" s="34" t="str">
        <f t="shared" ca="1" si="617"/>
        <v/>
      </c>
    </row>
    <row r="138" spans="1:104" ht="13.5" customHeight="1">
      <c r="A138" s="27">
        <v>119</v>
      </c>
      <c r="B138" s="33">
        <f t="shared" si="474"/>
        <v>138</v>
      </c>
      <c r="C138" s="8" t="s">
        <v>398</v>
      </c>
      <c r="D138" s="34">
        <f t="shared" ref="D138:AI138" ca="1" si="618">IF(D$89="","",IF(D$89=$M$2,C138,IF(D$11&lt;$D$7,OFFSET(INDIRECT($D$3),$A138-1,$Q$3+D$11),OFFSET(INDIRECT($D$4),$A138-1,$Q$4+D$11))))</f>
        <v>4091</v>
      </c>
      <c r="E138" s="34">
        <f t="shared" ca="1" si="618"/>
        <v>5953</v>
      </c>
      <c r="F138" s="34">
        <f t="shared" ca="1" si="618"/>
        <v>3591</v>
      </c>
      <c r="G138" s="34">
        <f t="shared" ca="1" si="618"/>
        <v>3992</v>
      </c>
      <c r="H138" s="34">
        <f t="shared" ca="1" si="618"/>
        <v>4091</v>
      </c>
      <c r="I138" s="34">
        <f t="shared" ca="1" si="618"/>
        <v>6431</v>
      </c>
      <c r="J138" s="34">
        <f t="shared" ca="1" si="618"/>
        <v>6993</v>
      </c>
      <c r="K138" s="34">
        <f t="shared" ca="1" si="618"/>
        <v>5822</v>
      </c>
      <c r="L138" s="34">
        <f t="shared" ca="1" si="618"/>
        <v>5953</v>
      </c>
      <c r="M138" s="34">
        <f t="shared" ca="1" si="618"/>
        <v>7274</v>
      </c>
      <c r="N138" s="34">
        <f t="shared" ca="1" si="618"/>
        <v>7274</v>
      </c>
      <c r="O138" s="34" t="str">
        <f t="shared" ca="1" si="618"/>
        <v/>
      </c>
      <c r="P138" s="34" t="str">
        <f t="shared" ca="1" si="618"/>
        <v/>
      </c>
      <c r="Q138" s="34" t="str">
        <f t="shared" ca="1" si="618"/>
        <v/>
      </c>
      <c r="R138" s="34" t="str">
        <f t="shared" ca="1" si="618"/>
        <v/>
      </c>
      <c r="S138" s="34" t="str">
        <f t="shared" ca="1" si="618"/>
        <v/>
      </c>
      <c r="T138" s="34" t="str">
        <f t="shared" ca="1" si="618"/>
        <v/>
      </c>
      <c r="U138" s="34" t="str">
        <f t="shared" ca="1" si="618"/>
        <v/>
      </c>
      <c r="V138" s="34" t="str">
        <f t="shared" ca="1" si="618"/>
        <v/>
      </c>
      <c r="W138" s="34" t="str">
        <f t="shared" ca="1" si="618"/>
        <v/>
      </c>
      <c r="X138" s="34" t="str">
        <f t="shared" ca="1" si="618"/>
        <v/>
      </c>
      <c r="Y138" s="34" t="str">
        <f t="shared" ca="1" si="618"/>
        <v/>
      </c>
      <c r="Z138" s="34" t="str">
        <f t="shared" ca="1" si="618"/>
        <v/>
      </c>
      <c r="AA138" s="34" t="str">
        <f t="shared" ca="1" si="618"/>
        <v/>
      </c>
      <c r="AB138" s="34" t="str">
        <f t="shared" ca="1" si="618"/>
        <v/>
      </c>
      <c r="AC138" s="34" t="str">
        <f t="shared" ca="1" si="618"/>
        <v/>
      </c>
      <c r="AD138" s="34" t="str">
        <f t="shared" ca="1" si="618"/>
        <v/>
      </c>
      <c r="AE138" s="34" t="str">
        <f t="shared" ca="1" si="618"/>
        <v/>
      </c>
      <c r="AF138" s="34" t="str">
        <f t="shared" ca="1" si="618"/>
        <v/>
      </c>
      <c r="AG138" s="34" t="str">
        <f t="shared" ca="1" si="618"/>
        <v/>
      </c>
      <c r="AH138" s="34" t="str">
        <f t="shared" ca="1" si="618"/>
        <v/>
      </c>
      <c r="AI138" s="34" t="str">
        <f t="shared" ca="1" si="618"/>
        <v/>
      </c>
      <c r="AJ138" s="34" t="str">
        <f t="shared" ref="AJ138:BO138" ca="1" si="619">IF(AJ$89="","",IF(AJ$89=$M$2,AI138,IF(AJ$11&lt;$D$7,OFFSET(INDIRECT($D$3),$A138-1,$Q$3+AJ$11),OFFSET(INDIRECT($D$4),$A138-1,$Q$4+AJ$11))))</f>
        <v/>
      </c>
      <c r="AK138" s="34" t="str">
        <f t="shared" ca="1" si="619"/>
        <v/>
      </c>
      <c r="AL138" s="34" t="str">
        <f t="shared" ca="1" si="619"/>
        <v/>
      </c>
      <c r="AM138" s="34" t="str">
        <f t="shared" ca="1" si="619"/>
        <v/>
      </c>
      <c r="AN138" s="34" t="str">
        <f t="shared" ca="1" si="619"/>
        <v/>
      </c>
      <c r="AO138" s="34" t="str">
        <f t="shared" ca="1" si="619"/>
        <v/>
      </c>
      <c r="AP138" s="34" t="str">
        <f t="shared" ca="1" si="619"/>
        <v/>
      </c>
      <c r="AQ138" s="34" t="str">
        <f t="shared" ca="1" si="619"/>
        <v/>
      </c>
      <c r="AR138" s="34" t="str">
        <f t="shared" ca="1" si="619"/>
        <v/>
      </c>
      <c r="AS138" s="34" t="str">
        <f t="shared" ca="1" si="619"/>
        <v/>
      </c>
      <c r="AT138" s="34" t="str">
        <f t="shared" ca="1" si="619"/>
        <v/>
      </c>
      <c r="AU138" s="34" t="str">
        <f t="shared" ca="1" si="619"/>
        <v/>
      </c>
      <c r="AV138" s="34" t="str">
        <f t="shared" ca="1" si="619"/>
        <v/>
      </c>
      <c r="AW138" s="34" t="str">
        <f t="shared" ca="1" si="619"/>
        <v/>
      </c>
      <c r="AX138" s="34" t="str">
        <f t="shared" ca="1" si="619"/>
        <v/>
      </c>
      <c r="AY138" s="34" t="str">
        <f t="shared" ca="1" si="619"/>
        <v/>
      </c>
      <c r="AZ138" s="34" t="str">
        <f t="shared" ca="1" si="619"/>
        <v/>
      </c>
      <c r="BA138" s="34" t="str">
        <f t="shared" ca="1" si="619"/>
        <v/>
      </c>
      <c r="BB138" s="34" t="str">
        <f t="shared" ca="1" si="619"/>
        <v/>
      </c>
      <c r="BC138" s="34" t="str">
        <f t="shared" ca="1" si="619"/>
        <v/>
      </c>
      <c r="BD138" s="34" t="str">
        <f t="shared" ca="1" si="619"/>
        <v/>
      </c>
      <c r="BE138" s="34" t="str">
        <f t="shared" ca="1" si="619"/>
        <v/>
      </c>
      <c r="BF138" s="34" t="str">
        <f t="shared" ca="1" si="619"/>
        <v/>
      </c>
      <c r="BG138" s="34" t="str">
        <f t="shared" ca="1" si="619"/>
        <v/>
      </c>
      <c r="BH138" s="34" t="str">
        <f t="shared" ca="1" si="619"/>
        <v/>
      </c>
      <c r="BI138" s="34" t="str">
        <f t="shared" ca="1" si="619"/>
        <v/>
      </c>
      <c r="BJ138" s="34" t="str">
        <f t="shared" ca="1" si="619"/>
        <v/>
      </c>
      <c r="BK138" s="34" t="str">
        <f t="shared" ca="1" si="619"/>
        <v/>
      </c>
      <c r="BL138" s="34" t="str">
        <f t="shared" ca="1" si="619"/>
        <v/>
      </c>
      <c r="BM138" s="34" t="str">
        <f t="shared" ca="1" si="619"/>
        <v/>
      </c>
      <c r="BN138" s="34" t="str">
        <f t="shared" ca="1" si="619"/>
        <v/>
      </c>
      <c r="BO138" s="34" t="str">
        <f t="shared" ca="1" si="619"/>
        <v/>
      </c>
      <c r="BP138" s="34" t="str">
        <f t="shared" ref="BP138:CZ138" ca="1" si="620">IF(BP$89="","",IF(BP$89=$M$2,BO138,IF(BP$11&lt;$D$7,OFFSET(INDIRECT($D$3),$A138-1,$Q$3+BP$11),OFFSET(INDIRECT($D$4),$A138-1,$Q$4+BP$11))))</f>
        <v/>
      </c>
      <c r="BQ138" s="34" t="str">
        <f t="shared" ca="1" si="620"/>
        <v/>
      </c>
      <c r="BR138" s="34" t="str">
        <f t="shared" ca="1" si="620"/>
        <v/>
      </c>
      <c r="BS138" s="34" t="str">
        <f t="shared" ca="1" si="620"/>
        <v/>
      </c>
      <c r="BT138" s="34" t="str">
        <f t="shared" ca="1" si="620"/>
        <v/>
      </c>
      <c r="BU138" s="34" t="str">
        <f t="shared" ca="1" si="620"/>
        <v/>
      </c>
      <c r="BV138" s="34" t="str">
        <f t="shared" ca="1" si="620"/>
        <v/>
      </c>
      <c r="BW138" s="34" t="str">
        <f t="shared" ca="1" si="620"/>
        <v/>
      </c>
      <c r="BX138" s="34" t="str">
        <f t="shared" ca="1" si="620"/>
        <v/>
      </c>
      <c r="BY138" s="34" t="str">
        <f t="shared" ca="1" si="620"/>
        <v/>
      </c>
      <c r="BZ138" s="34" t="str">
        <f t="shared" ca="1" si="620"/>
        <v/>
      </c>
      <c r="CA138" s="34" t="str">
        <f t="shared" ca="1" si="620"/>
        <v/>
      </c>
      <c r="CB138" s="34" t="str">
        <f t="shared" ca="1" si="620"/>
        <v/>
      </c>
      <c r="CC138" s="34" t="str">
        <f t="shared" ca="1" si="620"/>
        <v/>
      </c>
      <c r="CD138" s="34" t="str">
        <f t="shared" ca="1" si="620"/>
        <v/>
      </c>
      <c r="CE138" s="34" t="str">
        <f t="shared" ca="1" si="620"/>
        <v/>
      </c>
      <c r="CF138" s="34" t="str">
        <f t="shared" ca="1" si="620"/>
        <v/>
      </c>
      <c r="CG138" s="34" t="str">
        <f t="shared" ca="1" si="620"/>
        <v/>
      </c>
      <c r="CH138" s="34" t="str">
        <f t="shared" ca="1" si="620"/>
        <v/>
      </c>
      <c r="CI138" s="34" t="str">
        <f t="shared" ca="1" si="620"/>
        <v/>
      </c>
      <c r="CJ138" s="34" t="str">
        <f t="shared" ca="1" si="620"/>
        <v/>
      </c>
      <c r="CK138" s="34" t="str">
        <f t="shared" ca="1" si="620"/>
        <v/>
      </c>
      <c r="CL138" s="34" t="str">
        <f t="shared" ca="1" si="620"/>
        <v/>
      </c>
      <c r="CM138" s="34" t="str">
        <f t="shared" ca="1" si="620"/>
        <v/>
      </c>
      <c r="CN138" s="34" t="str">
        <f t="shared" ca="1" si="620"/>
        <v/>
      </c>
      <c r="CO138" s="34" t="str">
        <f t="shared" ca="1" si="620"/>
        <v/>
      </c>
      <c r="CP138" s="34" t="str">
        <f t="shared" ca="1" si="620"/>
        <v/>
      </c>
      <c r="CQ138" s="34" t="str">
        <f t="shared" ca="1" si="620"/>
        <v/>
      </c>
      <c r="CR138" s="34" t="str">
        <f t="shared" ca="1" si="620"/>
        <v/>
      </c>
      <c r="CS138" s="34" t="str">
        <f t="shared" ca="1" si="620"/>
        <v/>
      </c>
      <c r="CT138" s="34" t="str">
        <f t="shared" ca="1" si="620"/>
        <v/>
      </c>
      <c r="CU138" s="34" t="str">
        <f t="shared" ca="1" si="620"/>
        <v/>
      </c>
      <c r="CV138" s="34" t="str">
        <f t="shared" ca="1" si="620"/>
        <v/>
      </c>
      <c r="CW138" s="34" t="str">
        <f t="shared" ca="1" si="620"/>
        <v/>
      </c>
      <c r="CX138" s="34" t="str">
        <f t="shared" ca="1" si="620"/>
        <v/>
      </c>
      <c r="CY138" s="34" t="str">
        <f t="shared" ca="1" si="620"/>
        <v/>
      </c>
      <c r="CZ138" s="34" t="str">
        <f t="shared" ca="1" si="620"/>
        <v/>
      </c>
    </row>
    <row r="139" spans="1:104" ht="13.5" customHeight="1">
      <c r="A139" s="27">
        <v>120</v>
      </c>
      <c r="B139" s="33">
        <f t="shared" si="474"/>
        <v>139</v>
      </c>
      <c r="C139" s="8" t="s">
        <v>399</v>
      </c>
      <c r="D139" s="34">
        <f t="shared" ref="D139:AI139" ca="1" si="621">IF(D$89="","",IF(D$89=$M$2,C139,IF(D$11&lt;$D$7,OFFSET(INDIRECT($D$3),$A139-1,$Q$3+D$11),OFFSET(INDIRECT($D$4),$A139-1,$Q$4+D$11))))</f>
        <v>0</v>
      </c>
      <c r="E139" s="34">
        <f t="shared" ca="1" si="621"/>
        <v>0</v>
      </c>
      <c r="F139" s="34">
        <f t="shared" ca="1" si="621"/>
        <v>0</v>
      </c>
      <c r="G139" s="34">
        <f t="shared" ca="1" si="621"/>
        <v>0</v>
      </c>
      <c r="H139" s="34">
        <f t="shared" ca="1" si="621"/>
        <v>0</v>
      </c>
      <c r="I139" s="34">
        <f t="shared" ca="1" si="621"/>
        <v>0</v>
      </c>
      <c r="J139" s="34">
        <f t="shared" ca="1" si="621"/>
        <v>0</v>
      </c>
      <c r="K139" s="34">
        <f t="shared" ca="1" si="621"/>
        <v>0</v>
      </c>
      <c r="L139" s="34">
        <f t="shared" ca="1" si="621"/>
        <v>0</v>
      </c>
      <c r="M139" s="34">
        <f t="shared" ca="1" si="621"/>
        <v>0</v>
      </c>
      <c r="N139" s="34">
        <f t="shared" ca="1" si="621"/>
        <v>0</v>
      </c>
      <c r="O139" s="34" t="str">
        <f t="shared" ca="1" si="621"/>
        <v/>
      </c>
      <c r="P139" s="34" t="str">
        <f t="shared" ca="1" si="621"/>
        <v/>
      </c>
      <c r="Q139" s="34" t="str">
        <f t="shared" ca="1" si="621"/>
        <v/>
      </c>
      <c r="R139" s="34" t="str">
        <f t="shared" ca="1" si="621"/>
        <v/>
      </c>
      <c r="S139" s="34" t="str">
        <f t="shared" ca="1" si="621"/>
        <v/>
      </c>
      <c r="T139" s="34" t="str">
        <f t="shared" ca="1" si="621"/>
        <v/>
      </c>
      <c r="U139" s="34" t="str">
        <f t="shared" ca="1" si="621"/>
        <v/>
      </c>
      <c r="V139" s="34" t="str">
        <f t="shared" ca="1" si="621"/>
        <v/>
      </c>
      <c r="W139" s="34" t="str">
        <f t="shared" ca="1" si="621"/>
        <v/>
      </c>
      <c r="X139" s="34" t="str">
        <f t="shared" ca="1" si="621"/>
        <v/>
      </c>
      <c r="Y139" s="34" t="str">
        <f t="shared" ca="1" si="621"/>
        <v/>
      </c>
      <c r="Z139" s="34" t="str">
        <f t="shared" ca="1" si="621"/>
        <v/>
      </c>
      <c r="AA139" s="34" t="str">
        <f t="shared" ca="1" si="621"/>
        <v/>
      </c>
      <c r="AB139" s="34" t="str">
        <f t="shared" ca="1" si="621"/>
        <v/>
      </c>
      <c r="AC139" s="34" t="str">
        <f t="shared" ca="1" si="621"/>
        <v/>
      </c>
      <c r="AD139" s="34" t="str">
        <f t="shared" ca="1" si="621"/>
        <v/>
      </c>
      <c r="AE139" s="34" t="str">
        <f t="shared" ca="1" si="621"/>
        <v/>
      </c>
      <c r="AF139" s="34" t="str">
        <f t="shared" ca="1" si="621"/>
        <v/>
      </c>
      <c r="AG139" s="34" t="str">
        <f t="shared" ca="1" si="621"/>
        <v/>
      </c>
      <c r="AH139" s="34" t="str">
        <f t="shared" ca="1" si="621"/>
        <v/>
      </c>
      <c r="AI139" s="34" t="str">
        <f t="shared" ca="1" si="621"/>
        <v/>
      </c>
      <c r="AJ139" s="34" t="str">
        <f t="shared" ref="AJ139:BO139" ca="1" si="622">IF(AJ$89="","",IF(AJ$89=$M$2,AI139,IF(AJ$11&lt;$D$7,OFFSET(INDIRECT($D$3),$A139-1,$Q$3+AJ$11),OFFSET(INDIRECT($D$4),$A139-1,$Q$4+AJ$11))))</f>
        <v/>
      </c>
      <c r="AK139" s="34" t="str">
        <f t="shared" ca="1" si="622"/>
        <v/>
      </c>
      <c r="AL139" s="34" t="str">
        <f t="shared" ca="1" si="622"/>
        <v/>
      </c>
      <c r="AM139" s="34" t="str">
        <f t="shared" ca="1" si="622"/>
        <v/>
      </c>
      <c r="AN139" s="34" t="str">
        <f t="shared" ca="1" si="622"/>
        <v/>
      </c>
      <c r="AO139" s="34" t="str">
        <f t="shared" ca="1" si="622"/>
        <v/>
      </c>
      <c r="AP139" s="34" t="str">
        <f t="shared" ca="1" si="622"/>
        <v/>
      </c>
      <c r="AQ139" s="34" t="str">
        <f t="shared" ca="1" si="622"/>
        <v/>
      </c>
      <c r="AR139" s="34" t="str">
        <f t="shared" ca="1" si="622"/>
        <v/>
      </c>
      <c r="AS139" s="34" t="str">
        <f t="shared" ca="1" si="622"/>
        <v/>
      </c>
      <c r="AT139" s="34" t="str">
        <f t="shared" ca="1" si="622"/>
        <v/>
      </c>
      <c r="AU139" s="34" t="str">
        <f t="shared" ca="1" si="622"/>
        <v/>
      </c>
      <c r="AV139" s="34" t="str">
        <f t="shared" ca="1" si="622"/>
        <v/>
      </c>
      <c r="AW139" s="34" t="str">
        <f t="shared" ca="1" si="622"/>
        <v/>
      </c>
      <c r="AX139" s="34" t="str">
        <f t="shared" ca="1" si="622"/>
        <v/>
      </c>
      <c r="AY139" s="34" t="str">
        <f t="shared" ca="1" si="622"/>
        <v/>
      </c>
      <c r="AZ139" s="34" t="str">
        <f t="shared" ca="1" si="622"/>
        <v/>
      </c>
      <c r="BA139" s="34" t="str">
        <f t="shared" ca="1" si="622"/>
        <v/>
      </c>
      <c r="BB139" s="34" t="str">
        <f t="shared" ca="1" si="622"/>
        <v/>
      </c>
      <c r="BC139" s="34" t="str">
        <f t="shared" ca="1" si="622"/>
        <v/>
      </c>
      <c r="BD139" s="34" t="str">
        <f t="shared" ca="1" si="622"/>
        <v/>
      </c>
      <c r="BE139" s="34" t="str">
        <f t="shared" ca="1" si="622"/>
        <v/>
      </c>
      <c r="BF139" s="34" t="str">
        <f t="shared" ca="1" si="622"/>
        <v/>
      </c>
      <c r="BG139" s="34" t="str">
        <f t="shared" ca="1" si="622"/>
        <v/>
      </c>
      <c r="BH139" s="34" t="str">
        <f t="shared" ca="1" si="622"/>
        <v/>
      </c>
      <c r="BI139" s="34" t="str">
        <f t="shared" ca="1" si="622"/>
        <v/>
      </c>
      <c r="BJ139" s="34" t="str">
        <f t="shared" ca="1" si="622"/>
        <v/>
      </c>
      <c r="BK139" s="34" t="str">
        <f t="shared" ca="1" si="622"/>
        <v/>
      </c>
      <c r="BL139" s="34" t="str">
        <f t="shared" ca="1" si="622"/>
        <v/>
      </c>
      <c r="BM139" s="34" t="str">
        <f t="shared" ca="1" si="622"/>
        <v/>
      </c>
      <c r="BN139" s="34" t="str">
        <f t="shared" ca="1" si="622"/>
        <v/>
      </c>
      <c r="BO139" s="34" t="str">
        <f t="shared" ca="1" si="622"/>
        <v/>
      </c>
      <c r="BP139" s="34" t="str">
        <f t="shared" ref="BP139:CZ139" ca="1" si="623">IF(BP$89="","",IF(BP$89=$M$2,BO139,IF(BP$11&lt;$D$7,OFFSET(INDIRECT($D$3),$A139-1,$Q$3+BP$11),OFFSET(INDIRECT($D$4),$A139-1,$Q$4+BP$11))))</f>
        <v/>
      </c>
      <c r="BQ139" s="34" t="str">
        <f t="shared" ca="1" si="623"/>
        <v/>
      </c>
      <c r="BR139" s="34" t="str">
        <f t="shared" ca="1" si="623"/>
        <v/>
      </c>
      <c r="BS139" s="34" t="str">
        <f t="shared" ca="1" si="623"/>
        <v/>
      </c>
      <c r="BT139" s="34" t="str">
        <f t="shared" ca="1" si="623"/>
        <v/>
      </c>
      <c r="BU139" s="34" t="str">
        <f t="shared" ca="1" si="623"/>
        <v/>
      </c>
      <c r="BV139" s="34" t="str">
        <f t="shared" ca="1" si="623"/>
        <v/>
      </c>
      <c r="BW139" s="34" t="str">
        <f t="shared" ca="1" si="623"/>
        <v/>
      </c>
      <c r="BX139" s="34" t="str">
        <f t="shared" ca="1" si="623"/>
        <v/>
      </c>
      <c r="BY139" s="34" t="str">
        <f t="shared" ca="1" si="623"/>
        <v/>
      </c>
      <c r="BZ139" s="34" t="str">
        <f t="shared" ca="1" si="623"/>
        <v/>
      </c>
      <c r="CA139" s="34" t="str">
        <f t="shared" ca="1" si="623"/>
        <v/>
      </c>
      <c r="CB139" s="34" t="str">
        <f t="shared" ca="1" si="623"/>
        <v/>
      </c>
      <c r="CC139" s="34" t="str">
        <f t="shared" ca="1" si="623"/>
        <v/>
      </c>
      <c r="CD139" s="34" t="str">
        <f t="shared" ca="1" si="623"/>
        <v/>
      </c>
      <c r="CE139" s="34" t="str">
        <f t="shared" ca="1" si="623"/>
        <v/>
      </c>
      <c r="CF139" s="34" t="str">
        <f t="shared" ca="1" si="623"/>
        <v/>
      </c>
      <c r="CG139" s="34" t="str">
        <f t="shared" ca="1" si="623"/>
        <v/>
      </c>
      <c r="CH139" s="34" t="str">
        <f t="shared" ca="1" si="623"/>
        <v/>
      </c>
      <c r="CI139" s="34" t="str">
        <f t="shared" ca="1" si="623"/>
        <v/>
      </c>
      <c r="CJ139" s="34" t="str">
        <f t="shared" ca="1" si="623"/>
        <v/>
      </c>
      <c r="CK139" s="34" t="str">
        <f t="shared" ca="1" si="623"/>
        <v/>
      </c>
      <c r="CL139" s="34" t="str">
        <f t="shared" ca="1" si="623"/>
        <v/>
      </c>
      <c r="CM139" s="34" t="str">
        <f t="shared" ca="1" si="623"/>
        <v/>
      </c>
      <c r="CN139" s="34" t="str">
        <f t="shared" ca="1" si="623"/>
        <v/>
      </c>
      <c r="CO139" s="34" t="str">
        <f t="shared" ca="1" si="623"/>
        <v/>
      </c>
      <c r="CP139" s="34" t="str">
        <f t="shared" ca="1" si="623"/>
        <v/>
      </c>
      <c r="CQ139" s="34" t="str">
        <f t="shared" ca="1" si="623"/>
        <v/>
      </c>
      <c r="CR139" s="34" t="str">
        <f t="shared" ca="1" si="623"/>
        <v/>
      </c>
      <c r="CS139" s="34" t="str">
        <f t="shared" ca="1" si="623"/>
        <v/>
      </c>
      <c r="CT139" s="34" t="str">
        <f t="shared" ca="1" si="623"/>
        <v/>
      </c>
      <c r="CU139" s="34" t="str">
        <f t="shared" ca="1" si="623"/>
        <v/>
      </c>
      <c r="CV139" s="34" t="str">
        <f t="shared" ca="1" si="623"/>
        <v/>
      </c>
      <c r="CW139" s="34" t="str">
        <f t="shared" ca="1" si="623"/>
        <v/>
      </c>
      <c r="CX139" s="34" t="str">
        <f t="shared" ca="1" si="623"/>
        <v/>
      </c>
      <c r="CY139" s="34" t="str">
        <f t="shared" ca="1" si="623"/>
        <v/>
      </c>
      <c r="CZ139" s="34" t="str">
        <f t="shared" ca="1" si="623"/>
        <v/>
      </c>
    </row>
    <row r="140" spans="1:104" ht="13.5" customHeight="1">
      <c r="A140" s="27">
        <v>121</v>
      </c>
      <c r="B140" s="33">
        <f t="shared" si="474"/>
        <v>140</v>
      </c>
      <c r="C140" s="8" t="s">
        <v>395</v>
      </c>
      <c r="D140" s="34">
        <f t="shared" ref="D140:AI140" ca="1" si="624">IF(D$89="","",IF(D$89=$M$2,C140,IF(D$11&lt;$D$7,OFFSET(INDIRECT($D$3),$A140-1,$Q$3+D$11),OFFSET(INDIRECT($D$4),$A140-1,$Q$4+D$11))))</f>
        <v>1140</v>
      </c>
      <c r="E140" s="34">
        <f t="shared" ca="1" si="624"/>
        <v>1535</v>
      </c>
      <c r="F140" s="34">
        <f t="shared" ca="1" si="624"/>
        <v>931</v>
      </c>
      <c r="G140" s="34">
        <f t="shared" ca="1" si="624"/>
        <v>1130</v>
      </c>
      <c r="H140" s="34">
        <f t="shared" ca="1" si="624"/>
        <v>1140</v>
      </c>
      <c r="I140" s="34">
        <f t="shared" ca="1" si="624"/>
        <v>2520</v>
      </c>
      <c r="J140" s="34">
        <f t="shared" ca="1" si="624"/>
        <v>1299</v>
      </c>
      <c r="K140" s="34">
        <f t="shared" ca="1" si="624"/>
        <v>1598</v>
      </c>
      <c r="L140" s="34">
        <f t="shared" ca="1" si="624"/>
        <v>1535</v>
      </c>
      <c r="M140" s="34">
        <f t="shared" ca="1" si="624"/>
        <v>1993</v>
      </c>
      <c r="N140" s="34">
        <f t="shared" ca="1" si="624"/>
        <v>1993</v>
      </c>
      <c r="O140" s="34" t="str">
        <f t="shared" ca="1" si="624"/>
        <v/>
      </c>
      <c r="P140" s="34" t="str">
        <f t="shared" ca="1" si="624"/>
        <v/>
      </c>
      <c r="Q140" s="34" t="str">
        <f t="shared" ca="1" si="624"/>
        <v/>
      </c>
      <c r="R140" s="34" t="str">
        <f t="shared" ca="1" si="624"/>
        <v/>
      </c>
      <c r="S140" s="34" t="str">
        <f t="shared" ca="1" si="624"/>
        <v/>
      </c>
      <c r="T140" s="34" t="str">
        <f t="shared" ca="1" si="624"/>
        <v/>
      </c>
      <c r="U140" s="34" t="str">
        <f t="shared" ca="1" si="624"/>
        <v/>
      </c>
      <c r="V140" s="34" t="str">
        <f t="shared" ca="1" si="624"/>
        <v/>
      </c>
      <c r="W140" s="34" t="str">
        <f t="shared" ca="1" si="624"/>
        <v/>
      </c>
      <c r="X140" s="34" t="str">
        <f t="shared" ca="1" si="624"/>
        <v/>
      </c>
      <c r="Y140" s="34" t="str">
        <f t="shared" ca="1" si="624"/>
        <v/>
      </c>
      <c r="Z140" s="34" t="str">
        <f t="shared" ca="1" si="624"/>
        <v/>
      </c>
      <c r="AA140" s="34" t="str">
        <f t="shared" ca="1" si="624"/>
        <v/>
      </c>
      <c r="AB140" s="34" t="str">
        <f t="shared" ca="1" si="624"/>
        <v/>
      </c>
      <c r="AC140" s="34" t="str">
        <f t="shared" ca="1" si="624"/>
        <v/>
      </c>
      <c r="AD140" s="34" t="str">
        <f t="shared" ca="1" si="624"/>
        <v/>
      </c>
      <c r="AE140" s="34" t="str">
        <f t="shared" ca="1" si="624"/>
        <v/>
      </c>
      <c r="AF140" s="34" t="str">
        <f t="shared" ca="1" si="624"/>
        <v/>
      </c>
      <c r="AG140" s="34" t="str">
        <f t="shared" ca="1" si="624"/>
        <v/>
      </c>
      <c r="AH140" s="34" t="str">
        <f t="shared" ca="1" si="624"/>
        <v/>
      </c>
      <c r="AI140" s="34" t="str">
        <f t="shared" ca="1" si="624"/>
        <v/>
      </c>
      <c r="AJ140" s="34" t="str">
        <f t="shared" ref="AJ140:BO140" ca="1" si="625">IF(AJ$89="","",IF(AJ$89=$M$2,AI140,IF(AJ$11&lt;$D$7,OFFSET(INDIRECT($D$3),$A140-1,$Q$3+AJ$11),OFFSET(INDIRECT($D$4),$A140-1,$Q$4+AJ$11))))</f>
        <v/>
      </c>
      <c r="AK140" s="34" t="str">
        <f t="shared" ca="1" si="625"/>
        <v/>
      </c>
      <c r="AL140" s="34" t="str">
        <f t="shared" ca="1" si="625"/>
        <v/>
      </c>
      <c r="AM140" s="34" t="str">
        <f t="shared" ca="1" si="625"/>
        <v/>
      </c>
      <c r="AN140" s="34" t="str">
        <f t="shared" ca="1" si="625"/>
        <v/>
      </c>
      <c r="AO140" s="34" t="str">
        <f t="shared" ca="1" si="625"/>
        <v/>
      </c>
      <c r="AP140" s="34" t="str">
        <f t="shared" ca="1" si="625"/>
        <v/>
      </c>
      <c r="AQ140" s="34" t="str">
        <f t="shared" ca="1" si="625"/>
        <v/>
      </c>
      <c r="AR140" s="34" t="str">
        <f t="shared" ca="1" si="625"/>
        <v/>
      </c>
      <c r="AS140" s="34" t="str">
        <f t="shared" ca="1" si="625"/>
        <v/>
      </c>
      <c r="AT140" s="34" t="str">
        <f t="shared" ca="1" si="625"/>
        <v/>
      </c>
      <c r="AU140" s="34" t="str">
        <f t="shared" ca="1" si="625"/>
        <v/>
      </c>
      <c r="AV140" s="34" t="str">
        <f t="shared" ca="1" si="625"/>
        <v/>
      </c>
      <c r="AW140" s="34" t="str">
        <f t="shared" ca="1" si="625"/>
        <v/>
      </c>
      <c r="AX140" s="34" t="str">
        <f t="shared" ca="1" si="625"/>
        <v/>
      </c>
      <c r="AY140" s="34" t="str">
        <f t="shared" ca="1" si="625"/>
        <v/>
      </c>
      <c r="AZ140" s="34" t="str">
        <f t="shared" ca="1" si="625"/>
        <v/>
      </c>
      <c r="BA140" s="34" t="str">
        <f t="shared" ca="1" si="625"/>
        <v/>
      </c>
      <c r="BB140" s="34" t="str">
        <f t="shared" ca="1" si="625"/>
        <v/>
      </c>
      <c r="BC140" s="34" t="str">
        <f t="shared" ca="1" si="625"/>
        <v/>
      </c>
      <c r="BD140" s="34" t="str">
        <f t="shared" ca="1" si="625"/>
        <v/>
      </c>
      <c r="BE140" s="34" t="str">
        <f t="shared" ca="1" si="625"/>
        <v/>
      </c>
      <c r="BF140" s="34" t="str">
        <f t="shared" ca="1" si="625"/>
        <v/>
      </c>
      <c r="BG140" s="34" t="str">
        <f t="shared" ca="1" si="625"/>
        <v/>
      </c>
      <c r="BH140" s="34" t="str">
        <f t="shared" ca="1" si="625"/>
        <v/>
      </c>
      <c r="BI140" s="34" t="str">
        <f t="shared" ca="1" si="625"/>
        <v/>
      </c>
      <c r="BJ140" s="34" t="str">
        <f t="shared" ca="1" si="625"/>
        <v/>
      </c>
      <c r="BK140" s="34" t="str">
        <f t="shared" ca="1" si="625"/>
        <v/>
      </c>
      <c r="BL140" s="34" t="str">
        <f t="shared" ca="1" si="625"/>
        <v/>
      </c>
      <c r="BM140" s="34" t="str">
        <f t="shared" ca="1" si="625"/>
        <v/>
      </c>
      <c r="BN140" s="34" t="str">
        <f t="shared" ca="1" si="625"/>
        <v/>
      </c>
      <c r="BO140" s="34" t="str">
        <f t="shared" ca="1" si="625"/>
        <v/>
      </c>
      <c r="BP140" s="34" t="str">
        <f t="shared" ref="BP140:CZ140" ca="1" si="626">IF(BP$89="","",IF(BP$89=$M$2,BO140,IF(BP$11&lt;$D$7,OFFSET(INDIRECT($D$3),$A140-1,$Q$3+BP$11),OFFSET(INDIRECT($D$4),$A140-1,$Q$4+BP$11))))</f>
        <v/>
      </c>
      <c r="BQ140" s="34" t="str">
        <f t="shared" ca="1" si="626"/>
        <v/>
      </c>
      <c r="BR140" s="34" t="str">
        <f t="shared" ca="1" si="626"/>
        <v/>
      </c>
      <c r="BS140" s="34" t="str">
        <f t="shared" ca="1" si="626"/>
        <v/>
      </c>
      <c r="BT140" s="34" t="str">
        <f t="shared" ca="1" si="626"/>
        <v/>
      </c>
      <c r="BU140" s="34" t="str">
        <f t="shared" ca="1" si="626"/>
        <v/>
      </c>
      <c r="BV140" s="34" t="str">
        <f t="shared" ca="1" si="626"/>
        <v/>
      </c>
      <c r="BW140" s="34" t="str">
        <f t="shared" ca="1" si="626"/>
        <v/>
      </c>
      <c r="BX140" s="34" t="str">
        <f t="shared" ca="1" si="626"/>
        <v/>
      </c>
      <c r="BY140" s="34" t="str">
        <f t="shared" ca="1" si="626"/>
        <v/>
      </c>
      <c r="BZ140" s="34" t="str">
        <f t="shared" ca="1" si="626"/>
        <v/>
      </c>
      <c r="CA140" s="34" t="str">
        <f t="shared" ca="1" si="626"/>
        <v/>
      </c>
      <c r="CB140" s="34" t="str">
        <f t="shared" ca="1" si="626"/>
        <v/>
      </c>
      <c r="CC140" s="34" t="str">
        <f t="shared" ca="1" si="626"/>
        <v/>
      </c>
      <c r="CD140" s="34" t="str">
        <f t="shared" ca="1" si="626"/>
        <v/>
      </c>
      <c r="CE140" s="34" t="str">
        <f t="shared" ca="1" si="626"/>
        <v/>
      </c>
      <c r="CF140" s="34" t="str">
        <f t="shared" ca="1" si="626"/>
        <v/>
      </c>
      <c r="CG140" s="34" t="str">
        <f t="shared" ca="1" si="626"/>
        <v/>
      </c>
      <c r="CH140" s="34" t="str">
        <f t="shared" ca="1" si="626"/>
        <v/>
      </c>
      <c r="CI140" s="34" t="str">
        <f t="shared" ca="1" si="626"/>
        <v/>
      </c>
      <c r="CJ140" s="34" t="str">
        <f t="shared" ca="1" si="626"/>
        <v/>
      </c>
      <c r="CK140" s="34" t="str">
        <f t="shared" ca="1" si="626"/>
        <v/>
      </c>
      <c r="CL140" s="34" t="str">
        <f t="shared" ca="1" si="626"/>
        <v/>
      </c>
      <c r="CM140" s="34" t="str">
        <f t="shared" ca="1" si="626"/>
        <v/>
      </c>
      <c r="CN140" s="34" t="str">
        <f t="shared" ca="1" si="626"/>
        <v/>
      </c>
      <c r="CO140" s="34" t="str">
        <f t="shared" ca="1" si="626"/>
        <v/>
      </c>
      <c r="CP140" s="34" t="str">
        <f t="shared" ca="1" si="626"/>
        <v/>
      </c>
      <c r="CQ140" s="34" t="str">
        <f t="shared" ca="1" si="626"/>
        <v/>
      </c>
      <c r="CR140" s="34" t="str">
        <f t="shared" ca="1" si="626"/>
        <v/>
      </c>
      <c r="CS140" s="34" t="str">
        <f t="shared" ca="1" si="626"/>
        <v/>
      </c>
      <c r="CT140" s="34" t="str">
        <f t="shared" ca="1" si="626"/>
        <v/>
      </c>
      <c r="CU140" s="34" t="str">
        <f t="shared" ca="1" si="626"/>
        <v/>
      </c>
      <c r="CV140" s="34" t="str">
        <f t="shared" ca="1" si="626"/>
        <v/>
      </c>
      <c r="CW140" s="34" t="str">
        <f t="shared" ca="1" si="626"/>
        <v/>
      </c>
      <c r="CX140" s="34" t="str">
        <f t="shared" ca="1" si="626"/>
        <v/>
      </c>
      <c r="CY140" s="34" t="str">
        <f t="shared" ca="1" si="626"/>
        <v/>
      </c>
      <c r="CZ140" s="34" t="str">
        <f t="shared" ca="1" si="626"/>
        <v/>
      </c>
    </row>
    <row r="141" spans="1:104" ht="13.5" customHeight="1">
      <c r="A141" s="27">
        <v>122</v>
      </c>
      <c r="B141" s="33">
        <f t="shared" si="474"/>
        <v>141</v>
      </c>
      <c r="C141" s="9" t="s">
        <v>400</v>
      </c>
      <c r="D141" s="34">
        <f t="shared" ref="D141:AI141" ca="1" si="627">IF(D$89="","",IF(D$89=$M$2,C141,IF(D$11&lt;$D$7,OFFSET(INDIRECT($D$3),$A141-1,$Q$3+D$11),OFFSET(INDIRECT($D$4),$A141-1,$Q$4+D$11))))</f>
        <v>27970</v>
      </c>
      <c r="E141" s="34">
        <f t="shared" ca="1" si="627"/>
        <v>38542</v>
      </c>
      <c r="F141" s="34">
        <f t="shared" ca="1" si="627"/>
        <v>24327</v>
      </c>
      <c r="G141" s="34">
        <f t="shared" ca="1" si="627"/>
        <v>26859</v>
      </c>
      <c r="H141" s="34">
        <f t="shared" ca="1" si="627"/>
        <v>27970</v>
      </c>
      <c r="I141" s="34">
        <f t="shared" ca="1" si="627"/>
        <v>34607</v>
      </c>
      <c r="J141" s="34">
        <f t="shared" ca="1" si="627"/>
        <v>32036</v>
      </c>
      <c r="K141" s="34">
        <f t="shared" ca="1" si="627"/>
        <v>33060</v>
      </c>
      <c r="L141" s="34">
        <f t="shared" ca="1" si="627"/>
        <v>38542</v>
      </c>
      <c r="M141" s="34">
        <f t="shared" ca="1" si="627"/>
        <v>46879</v>
      </c>
      <c r="N141" s="34">
        <f t="shared" ca="1" si="627"/>
        <v>46879</v>
      </c>
      <c r="O141" s="34" t="str">
        <f t="shared" ca="1" si="627"/>
        <v/>
      </c>
      <c r="P141" s="34" t="str">
        <f t="shared" ca="1" si="627"/>
        <v/>
      </c>
      <c r="Q141" s="34" t="str">
        <f t="shared" ca="1" si="627"/>
        <v/>
      </c>
      <c r="R141" s="34" t="str">
        <f t="shared" ca="1" si="627"/>
        <v/>
      </c>
      <c r="S141" s="34" t="str">
        <f t="shared" ca="1" si="627"/>
        <v/>
      </c>
      <c r="T141" s="34" t="str">
        <f t="shared" ca="1" si="627"/>
        <v/>
      </c>
      <c r="U141" s="34" t="str">
        <f t="shared" ca="1" si="627"/>
        <v/>
      </c>
      <c r="V141" s="34" t="str">
        <f t="shared" ca="1" si="627"/>
        <v/>
      </c>
      <c r="W141" s="34" t="str">
        <f t="shared" ca="1" si="627"/>
        <v/>
      </c>
      <c r="X141" s="34" t="str">
        <f t="shared" ca="1" si="627"/>
        <v/>
      </c>
      <c r="Y141" s="34" t="str">
        <f t="shared" ca="1" si="627"/>
        <v/>
      </c>
      <c r="Z141" s="34" t="str">
        <f t="shared" ca="1" si="627"/>
        <v/>
      </c>
      <c r="AA141" s="34" t="str">
        <f t="shared" ca="1" si="627"/>
        <v/>
      </c>
      <c r="AB141" s="34" t="str">
        <f t="shared" ca="1" si="627"/>
        <v/>
      </c>
      <c r="AC141" s="34" t="str">
        <f t="shared" ca="1" si="627"/>
        <v/>
      </c>
      <c r="AD141" s="34" t="str">
        <f t="shared" ca="1" si="627"/>
        <v/>
      </c>
      <c r="AE141" s="34" t="str">
        <f t="shared" ca="1" si="627"/>
        <v/>
      </c>
      <c r="AF141" s="34" t="str">
        <f t="shared" ca="1" si="627"/>
        <v/>
      </c>
      <c r="AG141" s="34" t="str">
        <f t="shared" ca="1" si="627"/>
        <v/>
      </c>
      <c r="AH141" s="34" t="str">
        <f t="shared" ca="1" si="627"/>
        <v/>
      </c>
      <c r="AI141" s="34" t="str">
        <f t="shared" ca="1" si="627"/>
        <v/>
      </c>
      <c r="AJ141" s="34" t="str">
        <f t="shared" ref="AJ141:BO141" ca="1" si="628">IF(AJ$89="","",IF(AJ$89=$M$2,AI141,IF(AJ$11&lt;$D$7,OFFSET(INDIRECT($D$3),$A141-1,$Q$3+AJ$11),OFFSET(INDIRECT($D$4),$A141-1,$Q$4+AJ$11))))</f>
        <v/>
      </c>
      <c r="AK141" s="34" t="str">
        <f t="shared" ca="1" si="628"/>
        <v/>
      </c>
      <c r="AL141" s="34" t="str">
        <f t="shared" ca="1" si="628"/>
        <v/>
      </c>
      <c r="AM141" s="34" t="str">
        <f t="shared" ca="1" si="628"/>
        <v/>
      </c>
      <c r="AN141" s="34" t="str">
        <f t="shared" ca="1" si="628"/>
        <v/>
      </c>
      <c r="AO141" s="34" t="str">
        <f t="shared" ca="1" si="628"/>
        <v/>
      </c>
      <c r="AP141" s="34" t="str">
        <f t="shared" ca="1" si="628"/>
        <v/>
      </c>
      <c r="AQ141" s="34" t="str">
        <f t="shared" ca="1" si="628"/>
        <v/>
      </c>
      <c r="AR141" s="34" t="str">
        <f t="shared" ca="1" si="628"/>
        <v/>
      </c>
      <c r="AS141" s="34" t="str">
        <f t="shared" ca="1" si="628"/>
        <v/>
      </c>
      <c r="AT141" s="34" t="str">
        <f t="shared" ca="1" si="628"/>
        <v/>
      </c>
      <c r="AU141" s="34" t="str">
        <f t="shared" ca="1" si="628"/>
        <v/>
      </c>
      <c r="AV141" s="34" t="str">
        <f t="shared" ca="1" si="628"/>
        <v/>
      </c>
      <c r="AW141" s="34" t="str">
        <f t="shared" ca="1" si="628"/>
        <v/>
      </c>
      <c r="AX141" s="34" t="str">
        <f t="shared" ca="1" si="628"/>
        <v/>
      </c>
      <c r="AY141" s="34" t="str">
        <f t="shared" ca="1" si="628"/>
        <v/>
      </c>
      <c r="AZ141" s="34" t="str">
        <f t="shared" ca="1" si="628"/>
        <v/>
      </c>
      <c r="BA141" s="34" t="str">
        <f t="shared" ca="1" si="628"/>
        <v/>
      </c>
      <c r="BB141" s="34" t="str">
        <f t="shared" ca="1" si="628"/>
        <v/>
      </c>
      <c r="BC141" s="34" t="str">
        <f t="shared" ca="1" si="628"/>
        <v/>
      </c>
      <c r="BD141" s="34" t="str">
        <f t="shared" ca="1" si="628"/>
        <v/>
      </c>
      <c r="BE141" s="34" t="str">
        <f t="shared" ca="1" si="628"/>
        <v/>
      </c>
      <c r="BF141" s="34" t="str">
        <f t="shared" ca="1" si="628"/>
        <v/>
      </c>
      <c r="BG141" s="34" t="str">
        <f t="shared" ca="1" si="628"/>
        <v/>
      </c>
      <c r="BH141" s="34" t="str">
        <f t="shared" ca="1" si="628"/>
        <v/>
      </c>
      <c r="BI141" s="34" t="str">
        <f t="shared" ca="1" si="628"/>
        <v/>
      </c>
      <c r="BJ141" s="34" t="str">
        <f t="shared" ca="1" si="628"/>
        <v/>
      </c>
      <c r="BK141" s="34" t="str">
        <f t="shared" ca="1" si="628"/>
        <v/>
      </c>
      <c r="BL141" s="34" t="str">
        <f t="shared" ca="1" si="628"/>
        <v/>
      </c>
      <c r="BM141" s="34" t="str">
        <f t="shared" ca="1" si="628"/>
        <v/>
      </c>
      <c r="BN141" s="34" t="str">
        <f t="shared" ca="1" si="628"/>
        <v/>
      </c>
      <c r="BO141" s="34" t="str">
        <f t="shared" ca="1" si="628"/>
        <v/>
      </c>
      <c r="BP141" s="34" t="str">
        <f t="shared" ref="BP141:CZ141" ca="1" si="629">IF(BP$89="","",IF(BP$89=$M$2,BO141,IF(BP$11&lt;$D$7,OFFSET(INDIRECT($D$3),$A141-1,$Q$3+BP$11),OFFSET(INDIRECT($D$4),$A141-1,$Q$4+BP$11))))</f>
        <v/>
      </c>
      <c r="BQ141" s="34" t="str">
        <f t="shared" ca="1" si="629"/>
        <v/>
      </c>
      <c r="BR141" s="34" t="str">
        <f t="shared" ca="1" si="629"/>
        <v/>
      </c>
      <c r="BS141" s="34" t="str">
        <f t="shared" ca="1" si="629"/>
        <v/>
      </c>
      <c r="BT141" s="34" t="str">
        <f t="shared" ca="1" si="629"/>
        <v/>
      </c>
      <c r="BU141" s="34" t="str">
        <f t="shared" ca="1" si="629"/>
        <v/>
      </c>
      <c r="BV141" s="34" t="str">
        <f t="shared" ca="1" si="629"/>
        <v/>
      </c>
      <c r="BW141" s="34" t="str">
        <f t="shared" ca="1" si="629"/>
        <v/>
      </c>
      <c r="BX141" s="34" t="str">
        <f t="shared" ca="1" si="629"/>
        <v/>
      </c>
      <c r="BY141" s="34" t="str">
        <f t="shared" ca="1" si="629"/>
        <v/>
      </c>
      <c r="BZ141" s="34" t="str">
        <f t="shared" ca="1" si="629"/>
        <v/>
      </c>
      <c r="CA141" s="34" t="str">
        <f t="shared" ca="1" si="629"/>
        <v/>
      </c>
      <c r="CB141" s="34" t="str">
        <f t="shared" ca="1" si="629"/>
        <v/>
      </c>
      <c r="CC141" s="34" t="str">
        <f t="shared" ca="1" si="629"/>
        <v/>
      </c>
      <c r="CD141" s="34" t="str">
        <f t="shared" ca="1" si="629"/>
        <v/>
      </c>
      <c r="CE141" s="34" t="str">
        <f t="shared" ca="1" si="629"/>
        <v/>
      </c>
      <c r="CF141" s="34" t="str">
        <f t="shared" ca="1" si="629"/>
        <v/>
      </c>
      <c r="CG141" s="34" t="str">
        <f t="shared" ca="1" si="629"/>
        <v/>
      </c>
      <c r="CH141" s="34" t="str">
        <f t="shared" ca="1" si="629"/>
        <v/>
      </c>
      <c r="CI141" s="34" t="str">
        <f t="shared" ca="1" si="629"/>
        <v/>
      </c>
      <c r="CJ141" s="34" t="str">
        <f t="shared" ca="1" si="629"/>
        <v/>
      </c>
      <c r="CK141" s="34" t="str">
        <f t="shared" ca="1" si="629"/>
        <v/>
      </c>
      <c r="CL141" s="34" t="str">
        <f t="shared" ca="1" si="629"/>
        <v/>
      </c>
      <c r="CM141" s="34" t="str">
        <f t="shared" ca="1" si="629"/>
        <v/>
      </c>
      <c r="CN141" s="34" t="str">
        <f t="shared" ca="1" si="629"/>
        <v/>
      </c>
      <c r="CO141" s="34" t="str">
        <f t="shared" ca="1" si="629"/>
        <v/>
      </c>
      <c r="CP141" s="34" t="str">
        <f t="shared" ca="1" si="629"/>
        <v/>
      </c>
      <c r="CQ141" s="34" t="str">
        <f t="shared" ca="1" si="629"/>
        <v/>
      </c>
      <c r="CR141" s="34" t="str">
        <f t="shared" ca="1" si="629"/>
        <v/>
      </c>
      <c r="CS141" s="34" t="str">
        <f t="shared" ca="1" si="629"/>
        <v/>
      </c>
      <c r="CT141" s="34" t="str">
        <f t="shared" ca="1" si="629"/>
        <v/>
      </c>
      <c r="CU141" s="34" t="str">
        <f t="shared" ca="1" si="629"/>
        <v/>
      </c>
      <c r="CV141" s="34" t="str">
        <f t="shared" ca="1" si="629"/>
        <v/>
      </c>
      <c r="CW141" s="34" t="str">
        <f t="shared" ca="1" si="629"/>
        <v/>
      </c>
      <c r="CX141" s="34" t="str">
        <f t="shared" ca="1" si="629"/>
        <v/>
      </c>
      <c r="CY141" s="34" t="str">
        <f t="shared" ca="1" si="629"/>
        <v/>
      </c>
      <c r="CZ141" s="34" t="str">
        <f t="shared" ca="1" si="629"/>
        <v/>
      </c>
    </row>
    <row r="142" spans="1:104" ht="13.5" customHeight="1">
      <c r="A142" s="27">
        <v>123</v>
      </c>
      <c r="B142" s="33">
        <f t="shared" si="474"/>
        <v>142</v>
      </c>
      <c r="C142" s="9" t="s">
        <v>401</v>
      </c>
      <c r="D142" s="34">
        <f t="shared" ref="D142:AI142" ca="1" si="630">IF(D$89="","",IF(D$89=$M$2,C142,IF(D$11&lt;$D$7,OFFSET(INDIRECT($D$3),$A142-1,$Q$3+D$11),OFFSET(INDIRECT($D$4),$A142-1,$Q$4+D$11))))</f>
        <v>0</v>
      </c>
      <c r="E142" s="34">
        <f t="shared" ca="1" si="630"/>
        <v>0</v>
      </c>
      <c r="F142" s="34">
        <f t="shared" ca="1" si="630"/>
        <v>0</v>
      </c>
      <c r="G142" s="34">
        <f t="shared" ca="1" si="630"/>
        <v>0</v>
      </c>
      <c r="H142" s="34">
        <f t="shared" ca="1" si="630"/>
        <v>0</v>
      </c>
      <c r="I142" s="34">
        <f t="shared" ca="1" si="630"/>
        <v>0</v>
      </c>
      <c r="J142" s="34">
        <f t="shared" ca="1" si="630"/>
        <v>0</v>
      </c>
      <c r="K142" s="34">
        <f t="shared" ca="1" si="630"/>
        <v>0</v>
      </c>
      <c r="L142" s="34">
        <f t="shared" ca="1" si="630"/>
        <v>0</v>
      </c>
      <c r="M142" s="34">
        <f t="shared" ca="1" si="630"/>
        <v>0</v>
      </c>
      <c r="N142" s="34">
        <f t="shared" ca="1" si="630"/>
        <v>0</v>
      </c>
      <c r="O142" s="34" t="str">
        <f t="shared" ca="1" si="630"/>
        <v/>
      </c>
      <c r="P142" s="34" t="str">
        <f t="shared" ca="1" si="630"/>
        <v/>
      </c>
      <c r="Q142" s="34" t="str">
        <f t="shared" ca="1" si="630"/>
        <v/>
      </c>
      <c r="R142" s="34" t="str">
        <f t="shared" ca="1" si="630"/>
        <v/>
      </c>
      <c r="S142" s="34" t="str">
        <f t="shared" ca="1" si="630"/>
        <v/>
      </c>
      <c r="T142" s="34" t="str">
        <f t="shared" ca="1" si="630"/>
        <v/>
      </c>
      <c r="U142" s="34" t="str">
        <f t="shared" ca="1" si="630"/>
        <v/>
      </c>
      <c r="V142" s="34" t="str">
        <f t="shared" ca="1" si="630"/>
        <v/>
      </c>
      <c r="W142" s="34" t="str">
        <f t="shared" ca="1" si="630"/>
        <v/>
      </c>
      <c r="X142" s="34" t="str">
        <f t="shared" ca="1" si="630"/>
        <v/>
      </c>
      <c r="Y142" s="34" t="str">
        <f t="shared" ca="1" si="630"/>
        <v/>
      </c>
      <c r="Z142" s="34" t="str">
        <f t="shared" ca="1" si="630"/>
        <v/>
      </c>
      <c r="AA142" s="34" t="str">
        <f t="shared" ca="1" si="630"/>
        <v/>
      </c>
      <c r="AB142" s="34" t="str">
        <f t="shared" ca="1" si="630"/>
        <v/>
      </c>
      <c r="AC142" s="34" t="str">
        <f t="shared" ca="1" si="630"/>
        <v/>
      </c>
      <c r="AD142" s="34" t="str">
        <f t="shared" ca="1" si="630"/>
        <v/>
      </c>
      <c r="AE142" s="34" t="str">
        <f t="shared" ca="1" si="630"/>
        <v/>
      </c>
      <c r="AF142" s="34" t="str">
        <f t="shared" ca="1" si="630"/>
        <v/>
      </c>
      <c r="AG142" s="34" t="str">
        <f t="shared" ca="1" si="630"/>
        <v/>
      </c>
      <c r="AH142" s="34" t="str">
        <f t="shared" ca="1" si="630"/>
        <v/>
      </c>
      <c r="AI142" s="34" t="str">
        <f t="shared" ca="1" si="630"/>
        <v/>
      </c>
      <c r="AJ142" s="34" t="str">
        <f t="shared" ref="AJ142:BO142" ca="1" si="631">IF(AJ$89="","",IF(AJ$89=$M$2,AI142,IF(AJ$11&lt;$D$7,OFFSET(INDIRECT($D$3),$A142-1,$Q$3+AJ$11),OFFSET(INDIRECT($D$4),$A142-1,$Q$4+AJ$11))))</f>
        <v/>
      </c>
      <c r="AK142" s="34" t="str">
        <f t="shared" ca="1" si="631"/>
        <v/>
      </c>
      <c r="AL142" s="34" t="str">
        <f t="shared" ca="1" si="631"/>
        <v/>
      </c>
      <c r="AM142" s="34" t="str">
        <f t="shared" ca="1" si="631"/>
        <v/>
      </c>
      <c r="AN142" s="34" t="str">
        <f t="shared" ca="1" si="631"/>
        <v/>
      </c>
      <c r="AO142" s="34" t="str">
        <f t="shared" ca="1" si="631"/>
        <v/>
      </c>
      <c r="AP142" s="34" t="str">
        <f t="shared" ca="1" si="631"/>
        <v/>
      </c>
      <c r="AQ142" s="34" t="str">
        <f t="shared" ca="1" si="631"/>
        <v/>
      </c>
      <c r="AR142" s="34" t="str">
        <f t="shared" ca="1" si="631"/>
        <v/>
      </c>
      <c r="AS142" s="34" t="str">
        <f t="shared" ca="1" si="631"/>
        <v/>
      </c>
      <c r="AT142" s="34" t="str">
        <f t="shared" ca="1" si="631"/>
        <v/>
      </c>
      <c r="AU142" s="34" t="str">
        <f t="shared" ca="1" si="631"/>
        <v/>
      </c>
      <c r="AV142" s="34" t="str">
        <f t="shared" ca="1" si="631"/>
        <v/>
      </c>
      <c r="AW142" s="34" t="str">
        <f t="shared" ca="1" si="631"/>
        <v/>
      </c>
      <c r="AX142" s="34" t="str">
        <f t="shared" ca="1" si="631"/>
        <v/>
      </c>
      <c r="AY142" s="34" t="str">
        <f t="shared" ca="1" si="631"/>
        <v/>
      </c>
      <c r="AZ142" s="34" t="str">
        <f t="shared" ca="1" si="631"/>
        <v/>
      </c>
      <c r="BA142" s="34" t="str">
        <f t="shared" ca="1" si="631"/>
        <v/>
      </c>
      <c r="BB142" s="34" t="str">
        <f t="shared" ca="1" si="631"/>
        <v/>
      </c>
      <c r="BC142" s="34" t="str">
        <f t="shared" ca="1" si="631"/>
        <v/>
      </c>
      <c r="BD142" s="34" t="str">
        <f t="shared" ca="1" si="631"/>
        <v/>
      </c>
      <c r="BE142" s="34" t="str">
        <f t="shared" ca="1" si="631"/>
        <v/>
      </c>
      <c r="BF142" s="34" t="str">
        <f t="shared" ca="1" si="631"/>
        <v/>
      </c>
      <c r="BG142" s="34" t="str">
        <f t="shared" ca="1" si="631"/>
        <v/>
      </c>
      <c r="BH142" s="34" t="str">
        <f t="shared" ca="1" si="631"/>
        <v/>
      </c>
      <c r="BI142" s="34" t="str">
        <f t="shared" ca="1" si="631"/>
        <v/>
      </c>
      <c r="BJ142" s="34" t="str">
        <f t="shared" ca="1" si="631"/>
        <v/>
      </c>
      <c r="BK142" s="34" t="str">
        <f t="shared" ca="1" si="631"/>
        <v/>
      </c>
      <c r="BL142" s="34" t="str">
        <f t="shared" ca="1" si="631"/>
        <v/>
      </c>
      <c r="BM142" s="34" t="str">
        <f t="shared" ca="1" si="631"/>
        <v/>
      </c>
      <c r="BN142" s="34" t="str">
        <f t="shared" ca="1" si="631"/>
        <v/>
      </c>
      <c r="BO142" s="34" t="str">
        <f t="shared" ca="1" si="631"/>
        <v/>
      </c>
      <c r="BP142" s="34" t="str">
        <f t="shared" ref="BP142:CZ142" ca="1" si="632">IF(BP$89="","",IF(BP$89=$M$2,BO142,IF(BP$11&lt;$D$7,OFFSET(INDIRECT($D$3),$A142-1,$Q$3+BP$11),OFFSET(INDIRECT($D$4),$A142-1,$Q$4+BP$11))))</f>
        <v/>
      </c>
      <c r="BQ142" s="34" t="str">
        <f t="shared" ca="1" si="632"/>
        <v/>
      </c>
      <c r="BR142" s="34" t="str">
        <f t="shared" ca="1" si="632"/>
        <v/>
      </c>
      <c r="BS142" s="34" t="str">
        <f t="shared" ca="1" si="632"/>
        <v/>
      </c>
      <c r="BT142" s="34" t="str">
        <f t="shared" ca="1" si="632"/>
        <v/>
      </c>
      <c r="BU142" s="34" t="str">
        <f t="shared" ca="1" si="632"/>
        <v/>
      </c>
      <c r="BV142" s="34" t="str">
        <f t="shared" ca="1" si="632"/>
        <v/>
      </c>
      <c r="BW142" s="34" t="str">
        <f t="shared" ca="1" si="632"/>
        <v/>
      </c>
      <c r="BX142" s="34" t="str">
        <f t="shared" ca="1" si="632"/>
        <v/>
      </c>
      <c r="BY142" s="34" t="str">
        <f t="shared" ca="1" si="632"/>
        <v/>
      </c>
      <c r="BZ142" s="34" t="str">
        <f t="shared" ca="1" si="632"/>
        <v/>
      </c>
      <c r="CA142" s="34" t="str">
        <f t="shared" ca="1" si="632"/>
        <v/>
      </c>
      <c r="CB142" s="34" t="str">
        <f t="shared" ca="1" si="632"/>
        <v/>
      </c>
      <c r="CC142" s="34" t="str">
        <f t="shared" ca="1" si="632"/>
        <v/>
      </c>
      <c r="CD142" s="34" t="str">
        <f t="shared" ca="1" si="632"/>
        <v/>
      </c>
      <c r="CE142" s="34" t="str">
        <f t="shared" ca="1" si="632"/>
        <v/>
      </c>
      <c r="CF142" s="34" t="str">
        <f t="shared" ca="1" si="632"/>
        <v/>
      </c>
      <c r="CG142" s="34" t="str">
        <f t="shared" ca="1" si="632"/>
        <v/>
      </c>
      <c r="CH142" s="34" t="str">
        <f t="shared" ca="1" si="632"/>
        <v/>
      </c>
      <c r="CI142" s="34" t="str">
        <f t="shared" ca="1" si="632"/>
        <v/>
      </c>
      <c r="CJ142" s="34" t="str">
        <f t="shared" ca="1" si="632"/>
        <v/>
      </c>
      <c r="CK142" s="34" t="str">
        <f t="shared" ca="1" si="632"/>
        <v/>
      </c>
      <c r="CL142" s="34" t="str">
        <f t="shared" ca="1" si="632"/>
        <v/>
      </c>
      <c r="CM142" s="34" t="str">
        <f t="shared" ca="1" si="632"/>
        <v/>
      </c>
      <c r="CN142" s="34" t="str">
        <f t="shared" ca="1" si="632"/>
        <v/>
      </c>
      <c r="CO142" s="34" t="str">
        <f t="shared" ca="1" si="632"/>
        <v/>
      </c>
      <c r="CP142" s="34" t="str">
        <f t="shared" ca="1" si="632"/>
        <v/>
      </c>
      <c r="CQ142" s="34" t="str">
        <f t="shared" ca="1" si="632"/>
        <v/>
      </c>
      <c r="CR142" s="34" t="str">
        <f t="shared" ca="1" si="632"/>
        <v/>
      </c>
      <c r="CS142" s="34" t="str">
        <f t="shared" ca="1" si="632"/>
        <v/>
      </c>
      <c r="CT142" s="34" t="str">
        <f t="shared" ca="1" si="632"/>
        <v/>
      </c>
      <c r="CU142" s="34" t="str">
        <f t="shared" ca="1" si="632"/>
        <v/>
      </c>
      <c r="CV142" s="34" t="str">
        <f t="shared" ca="1" si="632"/>
        <v/>
      </c>
      <c r="CW142" s="34" t="str">
        <f t="shared" ca="1" si="632"/>
        <v/>
      </c>
      <c r="CX142" s="34" t="str">
        <f t="shared" ca="1" si="632"/>
        <v/>
      </c>
      <c r="CY142" s="34" t="str">
        <f t="shared" ca="1" si="632"/>
        <v/>
      </c>
      <c r="CZ142" s="34" t="str">
        <f t="shared" ca="1" si="632"/>
        <v/>
      </c>
    </row>
    <row r="143" spans="1:104" ht="13.5" customHeight="1">
      <c r="A143" s="27">
        <v>124</v>
      </c>
      <c r="B143" s="33">
        <f t="shared" si="474"/>
        <v>143</v>
      </c>
      <c r="C143" s="9" t="s">
        <v>402</v>
      </c>
      <c r="D143" s="34">
        <f t="shared" ref="D143:AI143" ca="1" si="633">IF(D$89="","",IF(D$89=$M$2,C143,IF(D$11&lt;$D$7,OFFSET(INDIRECT($D$3),$A143-1,$Q$3+D$11),OFFSET(INDIRECT($D$4),$A143-1,$Q$4+D$11))))</f>
        <v>0</v>
      </c>
      <c r="E143" s="34">
        <f t="shared" ca="1" si="633"/>
        <v>0</v>
      </c>
      <c r="F143" s="34">
        <f t="shared" ca="1" si="633"/>
        <v>0</v>
      </c>
      <c r="G143" s="34">
        <f t="shared" ca="1" si="633"/>
        <v>0</v>
      </c>
      <c r="H143" s="34">
        <f t="shared" ca="1" si="633"/>
        <v>0</v>
      </c>
      <c r="I143" s="34">
        <f t="shared" ca="1" si="633"/>
        <v>0</v>
      </c>
      <c r="J143" s="34">
        <f t="shared" ca="1" si="633"/>
        <v>0</v>
      </c>
      <c r="K143" s="34">
        <f t="shared" ca="1" si="633"/>
        <v>0</v>
      </c>
      <c r="L143" s="34">
        <f t="shared" ca="1" si="633"/>
        <v>0</v>
      </c>
      <c r="M143" s="34">
        <f t="shared" ca="1" si="633"/>
        <v>0</v>
      </c>
      <c r="N143" s="34">
        <f t="shared" ca="1" si="633"/>
        <v>0</v>
      </c>
      <c r="O143" s="34" t="str">
        <f t="shared" ca="1" si="633"/>
        <v/>
      </c>
      <c r="P143" s="34" t="str">
        <f t="shared" ca="1" si="633"/>
        <v/>
      </c>
      <c r="Q143" s="34" t="str">
        <f t="shared" ca="1" si="633"/>
        <v/>
      </c>
      <c r="R143" s="34" t="str">
        <f t="shared" ca="1" si="633"/>
        <v/>
      </c>
      <c r="S143" s="34" t="str">
        <f t="shared" ca="1" si="633"/>
        <v/>
      </c>
      <c r="T143" s="34" t="str">
        <f t="shared" ca="1" si="633"/>
        <v/>
      </c>
      <c r="U143" s="34" t="str">
        <f t="shared" ca="1" si="633"/>
        <v/>
      </c>
      <c r="V143" s="34" t="str">
        <f t="shared" ca="1" si="633"/>
        <v/>
      </c>
      <c r="W143" s="34" t="str">
        <f t="shared" ca="1" si="633"/>
        <v/>
      </c>
      <c r="X143" s="34" t="str">
        <f t="shared" ca="1" si="633"/>
        <v/>
      </c>
      <c r="Y143" s="34" t="str">
        <f t="shared" ca="1" si="633"/>
        <v/>
      </c>
      <c r="Z143" s="34" t="str">
        <f t="shared" ca="1" si="633"/>
        <v/>
      </c>
      <c r="AA143" s="34" t="str">
        <f t="shared" ca="1" si="633"/>
        <v/>
      </c>
      <c r="AB143" s="34" t="str">
        <f t="shared" ca="1" si="633"/>
        <v/>
      </c>
      <c r="AC143" s="34" t="str">
        <f t="shared" ca="1" si="633"/>
        <v/>
      </c>
      <c r="AD143" s="34" t="str">
        <f t="shared" ca="1" si="633"/>
        <v/>
      </c>
      <c r="AE143" s="34" t="str">
        <f t="shared" ca="1" si="633"/>
        <v/>
      </c>
      <c r="AF143" s="34" t="str">
        <f t="shared" ca="1" si="633"/>
        <v/>
      </c>
      <c r="AG143" s="34" t="str">
        <f t="shared" ca="1" si="633"/>
        <v/>
      </c>
      <c r="AH143" s="34" t="str">
        <f t="shared" ca="1" si="633"/>
        <v/>
      </c>
      <c r="AI143" s="34" t="str">
        <f t="shared" ca="1" si="633"/>
        <v/>
      </c>
      <c r="AJ143" s="34" t="str">
        <f t="shared" ref="AJ143:BO143" ca="1" si="634">IF(AJ$89="","",IF(AJ$89=$M$2,AI143,IF(AJ$11&lt;$D$7,OFFSET(INDIRECT($D$3),$A143-1,$Q$3+AJ$11),OFFSET(INDIRECT($D$4),$A143-1,$Q$4+AJ$11))))</f>
        <v/>
      </c>
      <c r="AK143" s="34" t="str">
        <f t="shared" ca="1" si="634"/>
        <v/>
      </c>
      <c r="AL143" s="34" t="str">
        <f t="shared" ca="1" si="634"/>
        <v/>
      </c>
      <c r="AM143" s="34" t="str">
        <f t="shared" ca="1" si="634"/>
        <v/>
      </c>
      <c r="AN143" s="34" t="str">
        <f t="shared" ca="1" si="634"/>
        <v/>
      </c>
      <c r="AO143" s="34" t="str">
        <f t="shared" ca="1" si="634"/>
        <v/>
      </c>
      <c r="AP143" s="34" t="str">
        <f t="shared" ca="1" si="634"/>
        <v/>
      </c>
      <c r="AQ143" s="34" t="str">
        <f t="shared" ca="1" si="634"/>
        <v/>
      </c>
      <c r="AR143" s="34" t="str">
        <f t="shared" ca="1" si="634"/>
        <v/>
      </c>
      <c r="AS143" s="34" t="str">
        <f t="shared" ca="1" si="634"/>
        <v/>
      </c>
      <c r="AT143" s="34" t="str">
        <f t="shared" ca="1" si="634"/>
        <v/>
      </c>
      <c r="AU143" s="34" t="str">
        <f t="shared" ca="1" si="634"/>
        <v/>
      </c>
      <c r="AV143" s="34" t="str">
        <f t="shared" ca="1" si="634"/>
        <v/>
      </c>
      <c r="AW143" s="34" t="str">
        <f t="shared" ca="1" si="634"/>
        <v/>
      </c>
      <c r="AX143" s="34" t="str">
        <f t="shared" ca="1" si="634"/>
        <v/>
      </c>
      <c r="AY143" s="34" t="str">
        <f t="shared" ca="1" si="634"/>
        <v/>
      </c>
      <c r="AZ143" s="34" t="str">
        <f t="shared" ca="1" si="634"/>
        <v/>
      </c>
      <c r="BA143" s="34" t="str">
        <f t="shared" ca="1" si="634"/>
        <v/>
      </c>
      <c r="BB143" s="34" t="str">
        <f t="shared" ca="1" si="634"/>
        <v/>
      </c>
      <c r="BC143" s="34" t="str">
        <f t="shared" ca="1" si="634"/>
        <v/>
      </c>
      <c r="BD143" s="34" t="str">
        <f t="shared" ca="1" si="634"/>
        <v/>
      </c>
      <c r="BE143" s="34" t="str">
        <f t="shared" ca="1" si="634"/>
        <v/>
      </c>
      <c r="BF143" s="34" t="str">
        <f t="shared" ca="1" si="634"/>
        <v/>
      </c>
      <c r="BG143" s="34" t="str">
        <f t="shared" ca="1" si="634"/>
        <v/>
      </c>
      <c r="BH143" s="34" t="str">
        <f t="shared" ca="1" si="634"/>
        <v/>
      </c>
      <c r="BI143" s="34" t="str">
        <f t="shared" ca="1" si="634"/>
        <v/>
      </c>
      <c r="BJ143" s="34" t="str">
        <f t="shared" ca="1" si="634"/>
        <v/>
      </c>
      <c r="BK143" s="34" t="str">
        <f t="shared" ca="1" si="634"/>
        <v/>
      </c>
      <c r="BL143" s="34" t="str">
        <f t="shared" ca="1" si="634"/>
        <v/>
      </c>
      <c r="BM143" s="34" t="str">
        <f t="shared" ca="1" si="634"/>
        <v/>
      </c>
      <c r="BN143" s="34" t="str">
        <f t="shared" ca="1" si="634"/>
        <v/>
      </c>
      <c r="BO143" s="34" t="str">
        <f t="shared" ca="1" si="634"/>
        <v/>
      </c>
      <c r="BP143" s="34" t="str">
        <f t="shared" ref="BP143:CZ143" ca="1" si="635">IF(BP$89="","",IF(BP$89=$M$2,BO143,IF(BP$11&lt;$D$7,OFFSET(INDIRECT($D$3),$A143-1,$Q$3+BP$11),OFFSET(INDIRECT($D$4),$A143-1,$Q$4+BP$11))))</f>
        <v/>
      </c>
      <c r="BQ143" s="34" t="str">
        <f t="shared" ca="1" si="635"/>
        <v/>
      </c>
      <c r="BR143" s="34" t="str">
        <f t="shared" ca="1" si="635"/>
        <v/>
      </c>
      <c r="BS143" s="34" t="str">
        <f t="shared" ca="1" si="635"/>
        <v/>
      </c>
      <c r="BT143" s="34" t="str">
        <f t="shared" ca="1" si="635"/>
        <v/>
      </c>
      <c r="BU143" s="34" t="str">
        <f t="shared" ca="1" si="635"/>
        <v/>
      </c>
      <c r="BV143" s="34" t="str">
        <f t="shared" ca="1" si="635"/>
        <v/>
      </c>
      <c r="BW143" s="34" t="str">
        <f t="shared" ca="1" si="635"/>
        <v/>
      </c>
      <c r="BX143" s="34" t="str">
        <f t="shared" ca="1" si="635"/>
        <v/>
      </c>
      <c r="BY143" s="34" t="str">
        <f t="shared" ca="1" si="635"/>
        <v/>
      </c>
      <c r="BZ143" s="34" t="str">
        <f t="shared" ca="1" si="635"/>
        <v/>
      </c>
      <c r="CA143" s="34" t="str">
        <f t="shared" ca="1" si="635"/>
        <v/>
      </c>
      <c r="CB143" s="34" t="str">
        <f t="shared" ca="1" si="635"/>
        <v/>
      </c>
      <c r="CC143" s="34" t="str">
        <f t="shared" ca="1" si="635"/>
        <v/>
      </c>
      <c r="CD143" s="34" t="str">
        <f t="shared" ca="1" si="635"/>
        <v/>
      </c>
      <c r="CE143" s="34" t="str">
        <f t="shared" ca="1" si="635"/>
        <v/>
      </c>
      <c r="CF143" s="34" t="str">
        <f t="shared" ca="1" si="635"/>
        <v/>
      </c>
      <c r="CG143" s="34" t="str">
        <f t="shared" ca="1" si="635"/>
        <v/>
      </c>
      <c r="CH143" s="34" t="str">
        <f t="shared" ca="1" si="635"/>
        <v/>
      </c>
      <c r="CI143" s="34" t="str">
        <f t="shared" ca="1" si="635"/>
        <v/>
      </c>
      <c r="CJ143" s="34" t="str">
        <f t="shared" ca="1" si="635"/>
        <v/>
      </c>
      <c r="CK143" s="34" t="str">
        <f t="shared" ca="1" si="635"/>
        <v/>
      </c>
      <c r="CL143" s="34" t="str">
        <f t="shared" ca="1" si="635"/>
        <v/>
      </c>
      <c r="CM143" s="34" t="str">
        <f t="shared" ca="1" si="635"/>
        <v/>
      </c>
      <c r="CN143" s="34" t="str">
        <f t="shared" ca="1" si="635"/>
        <v/>
      </c>
      <c r="CO143" s="34" t="str">
        <f t="shared" ca="1" si="635"/>
        <v/>
      </c>
      <c r="CP143" s="34" t="str">
        <f t="shared" ca="1" si="635"/>
        <v/>
      </c>
      <c r="CQ143" s="34" t="str">
        <f t="shared" ca="1" si="635"/>
        <v/>
      </c>
      <c r="CR143" s="34" t="str">
        <f t="shared" ca="1" si="635"/>
        <v/>
      </c>
      <c r="CS143" s="34" t="str">
        <f t="shared" ca="1" si="635"/>
        <v/>
      </c>
      <c r="CT143" s="34" t="str">
        <f t="shared" ca="1" si="635"/>
        <v/>
      </c>
      <c r="CU143" s="34" t="str">
        <f t="shared" ca="1" si="635"/>
        <v/>
      </c>
      <c r="CV143" s="34" t="str">
        <f t="shared" ca="1" si="635"/>
        <v/>
      </c>
      <c r="CW143" s="34" t="str">
        <f t="shared" ca="1" si="635"/>
        <v/>
      </c>
      <c r="CX143" s="34" t="str">
        <f t="shared" ca="1" si="635"/>
        <v/>
      </c>
      <c r="CY143" s="34" t="str">
        <f t="shared" ca="1" si="635"/>
        <v/>
      </c>
      <c r="CZ143" s="34" t="str">
        <f t="shared" ca="1" si="635"/>
        <v/>
      </c>
    </row>
    <row r="144" spans="1:104" ht="13.5" customHeight="1">
      <c r="A144" s="27">
        <v>125</v>
      </c>
      <c r="B144" s="33">
        <f t="shared" si="474"/>
        <v>144</v>
      </c>
      <c r="C144" s="9" t="s">
        <v>403</v>
      </c>
      <c r="D144" s="34">
        <f t="shared" ref="D144:AI144" ca="1" si="636">IF(D$89="","",IF(D$89=$M$2,C144,IF(D$11&lt;$D$7,OFFSET(INDIRECT($D$3),$A144-1,$Q$3+D$11),OFFSET(INDIRECT($D$4),$A144-1,$Q$4+D$11))))</f>
        <v>0</v>
      </c>
      <c r="E144" s="34">
        <f t="shared" ca="1" si="636"/>
        <v>0</v>
      </c>
      <c r="F144" s="34">
        <f t="shared" ca="1" si="636"/>
        <v>0</v>
      </c>
      <c r="G144" s="34">
        <f t="shared" ca="1" si="636"/>
        <v>0</v>
      </c>
      <c r="H144" s="34">
        <f t="shared" ca="1" si="636"/>
        <v>0</v>
      </c>
      <c r="I144" s="34">
        <f t="shared" ca="1" si="636"/>
        <v>0</v>
      </c>
      <c r="J144" s="34">
        <f t="shared" ca="1" si="636"/>
        <v>0</v>
      </c>
      <c r="K144" s="34">
        <f t="shared" ca="1" si="636"/>
        <v>0</v>
      </c>
      <c r="L144" s="34">
        <f t="shared" ca="1" si="636"/>
        <v>0</v>
      </c>
      <c r="M144" s="34">
        <f t="shared" ca="1" si="636"/>
        <v>0</v>
      </c>
      <c r="N144" s="34">
        <f t="shared" ca="1" si="636"/>
        <v>0</v>
      </c>
      <c r="O144" s="34" t="str">
        <f t="shared" ca="1" si="636"/>
        <v/>
      </c>
      <c r="P144" s="34" t="str">
        <f t="shared" ca="1" si="636"/>
        <v/>
      </c>
      <c r="Q144" s="34" t="str">
        <f t="shared" ca="1" si="636"/>
        <v/>
      </c>
      <c r="R144" s="34" t="str">
        <f t="shared" ca="1" si="636"/>
        <v/>
      </c>
      <c r="S144" s="34" t="str">
        <f t="shared" ca="1" si="636"/>
        <v/>
      </c>
      <c r="T144" s="34" t="str">
        <f t="shared" ca="1" si="636"/>
        <v/>
      </c>
      <c r="U144" s="34" t="str">
        <f t="shared" ca="1" si="636"/>
        <v/>
      </c>
      <c r="V144" s="34" t="str">
        <f t="shared" ca="1" si="636"/>
        <v/>
      </c>
      <c r="W144" s="34" t="str">
        <f t="shared" ca="1" si="636"/>
        <v/>
      </c>
      <c r="X144" s="34" t="str">
        <f t="shared" ca="1" si="636"/>
        <v/>
      </c>
      <c r="Y144" s="34" t="str">
        <f t="shared" ca="1" si="636"/>
        <v/>
      </c>
      <c r="Z144" s="34" t="str">
        <f t="shared" ca="1" si="636"/>
        <v/>
      </c>
      <c r="AA144" s="34" t="str">
        <f t="shared" ca="1" si="636"/>
        <v/>
      </c>
      <c r="AB144" s="34" t="str">
        <f t="shared" ca="1" si="636"/>
        <v/>
      </c>
      <c r="AC144" s="34" t="str">
        <f t="shared" ca="1" si="636"/>
        <v/>
      </c>
      <c r="AD144" s="34" t="str">
        <f t="shared" ca="1" si="636"/>
        <v/>
      </c>
      <c r="AE144" s="34" t="str">
        <f t="shared" ca="1" si="636"/>
        <v/>
      </c>
      <c r="AF144" s="34" t="str">
        <f t="shared" ca="1" si="636"/>
        <v/>
      </c>
      <c r="AG144" s="34" t="str">
        <f t="shared" ca="1" si="636"/>
        <v/>
      </c>
      <c r="AH144" s="34" t="str">
        <f t="shared" ca="1" si="636"/>
        <v/>
      </c>
      <c r="AI144" s="34" t="str">
        <f t="shared" ca="1" si="636"/>
        <v/>
      </c>
      <c r="AJ144" s="34" t="str">
        <f t="shared" ref="AJ144:BO144" ca="1" si="637">IF(AJ$89="","",IF(AJ$89=$M$2,AI144,IF(AJ$11&lt;$D$7,OFFSET(INDIRECT($D$3),$A144-1,$Q$3+AJ$11),OFFSET(INDIRECT($D$4),$A144-1,$Q$4+AJ$11))))</f>
        <v/>
      </c>
      <c r="AK144" s="34" t="str">
        <f t="shared" ca="1" si="637"/>
        <v/>
      </c>
      <c r="AL144" s="34" t="str">
        <f t="shared" ca="1" si="637"/>
        <v/>
      </c>
      <c r="AM144" s="34" t="str">
        <f t="shared" ca="1" si="637"/>
        <v/>
      </c>
      <c r="AN144" s="34" t="str">
        <f t="shared" ca="1" si="637"/>
        <v/>
      </c>
      <c r="AO144" s="34" t="str">
        <f t="shared" ca="1" si="637"/>
        <v/>
      </c>
      <c r="AP144" s="34" t="str">
        <f t="shared" ca="1" si="637"/>
        <v/>
      </c>
      <c r="AQ144" s="34" t="str">
        <f t="shared" ca="1" si="637"/>
        <v/>
      </c>
      <c r="AR144" s="34" t="str">
        <f t="shared" ca="1" si="637"/>
        <v/>
      </c>
      <c r="AS144" s="34" t="str">
        <f t="shared" ca="1" si="637"/>
        <v/>
      </c>
      <c r="AT144" s="34" t="str">
        <f t="shared" ca="1" si="637"/>
        <v/>
      </c>
      <c r="AU144" s="34" t="str">
        <f t="shared" ca="1" si="637"/>
        <v/>
      </c>
      <c r="AV144" s="34" t="str">
        <f t="shared" ca="1" si="637"/>
        <v/>
      </c>
      <c r="AW144" s="34" t="str">
        <f t="shared" ca="1" si="637"/>
        <v/>
      </c>
      <c r="AX144" s="34" t="str">
        <f t="shared" ca="1" si="637"/>
        <v/>
      </c>
      <c r="AY144" s="34" t="str">
        <f t="shared" ca="1" si="637"/>
        <v/>
      </c>
      <c r="AZ144" s="34" t="str">
        <f t="shared" ca="1" si="637"/>
        <v/>
      </c>
      <c r="BA144" s="34" t="str">
        <f t="shared" ca="1" si="637"/>
        <v/>
      </c>
      <c r="BB144" s="34" t="str">
        <f t="shared" ca="1" si="637"/>
        <v/>
      </c>
      <c r="BC144" s="34" t="str">
        <f t="shared" ca="1" si="637"/>
        <v/>
      </c>
      <c r="BD144" s="34" t="str">
        <f t="shared" ca="1" si="637"/>
        <v/>
      </c>
      <c r="BE144" s="34" t="str">
        <f t="shared" ca="1" si="637"/>
        <v/>
      </c>
      <c r="BF144" s="34" t="str">
        <f t="shared" ca="1" si="637"/>
        <v/>
      </c>
      <c r="BG144" s="34" t="str">
        <f t="shared" ca="1" si="637"/>
        <v/>
      </c>
      <c r="BH144" s="34" t="str">
        <f t="shared" ca="1" si="637"/>
        <v/>
      </c>
      <c r="BI144" s="34" t="str">
        <f t="shared" ca="1" si="637"/>
        <v/>
      </c>
      <c r="BJ144" s="34" t="str">
        <f t="shared" ca="1" si="637"/>
        <v/>
      </c>
      <c r="BK144" s="34" t="str">
        <f t="shared" ca="1" si="637"/>
        <v/>
      </c>
      <c r="BL144" s="34" t="str">
        <f t="shared" ca="1" si="637"/>
        <v/>
      </c>
      <c r="BM144" s="34" t="str">
        <f t="shared" ca="1" si="637"/>
        <v/>
      </c>
      <c r="BN144" s="34" t="str">
        <f t="shared" ca="1" si="637"/>
        <v/>
      </c>
      <c r="BO144" s="34" t="str">
        <f t="shared" ca="1" si="637"/>
        <v/>
      </c>
      <c r="BP144" s="34" t="str">
        <f t="shared" ref="BP144:CZ144" ca="1" si="638">IF(BP$89="","",IF(BP$89=$M$2,BO144,IF(BP$11&lt;$D$7,OFFSET(INDIRECT($D$3),$A144-1,$Q$3+BP$11),OFFSET(INDIRECT($D$4),$A144-1,$Q$4+BP$11))))</f>
        <v/>
      </c>
      <c r="BQ144" s="34" t="str">
        <f t="shared" ca="1" si="638"/>
        <v/>
      </c>
      <c r="BR144" s="34" t="str">
        <f t="shared" ca="1" si="638"/>
        <v/>
      </c>
      <c r="BS144" s="34" t="str">
        <f t="shared" ca="1" si="638"/>
        <v/>
      </c>
      <c r="BT144" s="34" t="str">
        <f t="shared" ca="1" si="638"/>
        <v/>
      </c>
      <c r="BU144" s="34" t="str">
        <f t="shared" ca="1" si="638"/>
        <v/>
      </c>
      <c r="BV144" s="34" t="str">
        <f t="shared" ca="1" si="638"/>
        <v/>
      </c>
      <c r="BW144" s="34" t="str">
        <f t="shared" ca="1" si="638"/>
        <v/>
      </c>
      <c r="BX144" s="34" t="str">
        <f t="shared" ca="1" si="638"/>
        <v/>
      </c>
      <c r="BY144" s="34" t="str">
        <f t="shared" ca="1" si="638"/>
        <v/>
      </c>
      <c r="BZ144" s="34" t="str">
        <f t="shared" ca="1" si="638"/>
        <v/>
      </c>
      <c r="CA144" s="34" t="str">
        <f t="shared" ca="1" si="638"/>
        <v/>
      </c>
      <c r="CB144" s="34" t="str">
        <f t="shared" ca="1" si="638"/>
        <v/>
      </c>
      <c r="CC144" s="34" t="str">
        <f t="shared" ca="1" si="638"/>
        <v/>
      </c>
      <c r="CD144" s="34" t="str">
        <f t="shared" ca="1" si="638"/>
        <v/>
      </c>
      <c r="CE144" s="34" t="str">
        <f t="shared" ca="1" si="638"/>
        <v/>
      </c>
      <c r="CF144" s="34" t="str">
        <f t="shared" ca="1" si="638"/>
        <v/>
      </c>
      <c r="CG144" s="34" t="str">
        <f t="shared" ca="1" si="638"/>
        <v/>
      </c>
      <c r="CH144" s="34" t="str">
        <f t="shared" ca="1" si="638"/>
        <v/>
      </c>
      <c r="CI144" s="34" t="str">
        <f t="shared" ca="1" si="638"/>
        <v/>
      </c>
      <c r="CJ144" s="34" t="str">
        <f t="shared" ca="1" si="638"/>
        <v/>
      </c>
      <c r="CK144" s="34" t="str">
        <f t="shared" ca="1" si="638"/>
        <v/>
      </c>
      <c r="CL144" s="34" t="str">
        <f t="shared" ca="1" si="638"/>
        <v/>
      </c>
      <c r="CM144" s="34" t="str">
        <f t="shared" ca="1" si="638"/>
        <v/>
      </c>
      <c r="CN144" s="34" t="str">
        <f t="shared" ca="1" si="638"/>
        <v/>
      </c>
      <c r="CO144" s="34" t="str">
        <f t="shared" ca="1" si="638"/>
        <v/>
      </c>
      <c r="CP144" s="34" t="str">
        <f t="shared" ca="1" si="638"/>
        <v/>
      </c>
      <c r="CQ144" s="34" t="str">
        <f t="shared" ca="1" si="638"/>
        <v/>
      </c>
      <c r="CR144" s="34" t="str">
        <f t="shared" ca="1" si="638"/>
        <v/>
      </c>
      <c r="CS144" s="34" t="str">
        <f t="shared" ca="1" si="638"/>
        <v/>
      </c>
      <c r="CT144" s="34" t="str">
        <f t="shared" ca="1" si="638"/>
        <v/>
      </c>
      <c r="CU144" s="34" t="str">
        <f t="shared" ca="1" si="638"/>
        <v/>
      </c>
      <c r="CV144" s="34" t="str">
        <f t="shared" ca="1" si="638"/>
        <v/>
      </c>
      <c r="CW144" s="34" t="str">
        <f t="shared" ca="1" si="638"/>
        <v/>
      </c>
      <c r="CX144" s="34" t="str">
        <f t="shared" ca="1" si="638"/>
        <v/>
      </c>
      <c r="CY144" s="34" t="str">
        <f t="shared" ca="1" si="638"/>
        <v/>
      </c>
      <c r="CZ144" s="34" t="str">
        <f t="shared" ca="1" si="638"/>
        <v/>
      </c>
    </row>
    <row r="145" spans="1:104" ht="13.5" customHeight="1">
      <c r="A145" s="27">
        <v>126</v>
      </c>
      <c r="B145" s="33">
        <f t="shared" ref="B145:B208" si="639">ROW($A145)</f>
        <v>145</v>
      </c>
      <c r="C145" s="9" t="s">
        <v>404</v>
      </c>
      <c r="D145" s="34">
        <f t="shared" ref="D145:AI145" ca="1" si="640">IF(D$89="","",IF(D$89=$M$2,C145,IF(D$11&lt;$D$7,OFFSET(INDIRECT($D$3),$A145-1,$Q$3+D$11),OFFSET(INDIRECT($D$4),$A145-1,$Q$4+D$11))))</f>
        <v>11786</v>
      </c>
      <c r="E145" s="34">
        <f t="shared" ca="1" si="640"/>
        <v>19312</v>
      </c>
      <c r="F145" s="34">
        <f t="shared" ca="1" si="640"/>
        <v>9100</v>
      </c>
      <c r="G145" s="34">
        <f t="shared" ca="1" si="640"/>
        <v>10556</v>
      </c>
      <c r="H145" s="34">
        <f t="shared" ca="1" si="640"/>
        <v>11786</v>
      </c>
      <c r="I145" s="34">
        <f t="shared" ca="1" si="640"/>
        <v>14020</v>
      </c>
      <c r="J145" s="34">
        <f t="shared" ca="1" si="640"/>
        <v>16400</v>
      </c>
      <c r="K145" s="34">
        <f t="shared" ca="1" si="640"/>
        <v>18090</v>
      </c>
      <c r="L145" s="34">
        <f t="shared" ca="1" si="640"/>
        <v>19312</v>
      </c>
      <c r="M145" s="34">
        <f t="shared" ca="1" si="640"/>
        <v>21863</v>
      </c>
      <c r="N145" s="34">
        <f t="shared" ca="1" si="640"/>
        <v>21863</v>
      </c>
      <c r="O145" s="34" t="str">
        <f t="shared" ca="1" si="640"/>
        <v/>
      </c>
      <c r="P145" s="34" t="str">
        <f t="shared" ca="1" si="640"/>
        <v/>
      </c>
      <c r="Q145" s="34" t="str">
        <f t="shared" ca="1" si="640"/>
        <v/>
      </c>
      <c r="R145" s="34" t="str">
        <f t="shared" ca="1" si="640"/>
        <v/>
      </c>
      <c r="S145" s="34" t="str">
        <f t="shared" ca="1" si="640"/>
        <v/>
      </c>
      <c r="T145" s="34" t="str">
        <f t="shared" ca="1" si="640"/>
        <v/>
      </c>
      <c r="U145" s="34" t="str">
        <f t="shared" ca="1" si="640"/>
        <v/>
      </c>
      <c r="V145" s="34" t="str">
        <f t="shared" ca="1" si="640"/>
        <v/>
      </c>
      <c r="W145" s="34" t="str">
        <f t="shared" ca="1" si="640"/>
        <v/>
      </c>
      <c r="X145" s="34" t="str">
        <f t="shared" ca="1" si="640"/>
        <v/>
      </c>
      <c r="Y145" s="34" t="str">
        <f t="shared" ca="1" si="640"/>
        <v/>
      </c>
      <c r="Z145" s="34" t="str">
        <f t="shared" ca="1" si="640"/>
        <v/>
      </c>
      <c r="AA145" s="34" t="str">
        <f t="shared" ca="1" si="640"/>
        <v/>
      </c>
      <c r="AB145" s="34" t="str">
        <f t="shared" ca="1" si="640"/>
        <v/>
      </c>
      <c r="AC145" s="34" t="str">
        <f t="shared" ca="1" si="640"/>
        <v/>
      </c>
      <c r="AD145" s="34" t="str">
        <f t="shared" ca="1" si="640"/>
        <v/>
      </c>
      <c r="AE145" s="34" t="str">
        <f t="shared" ca="1" si="640"/>
        <v/>
      </c>
      <c r="AF145" s="34" t="str">
        <f t="shared" ca="1" si="640"/>
        <v/>
      </c>
      <c r="AG145" s="34" t="str">
        <f t="shared" ca="1" si="640"/>
        <v/>
      </c>
      <c r="AH145" s="34" t="str">
        <f t="shared" ca="1" si="640"/>
        <v/>
      </c>
      <c r="AI145" s="34" t="str">
        <f t="shared" ca="1" si="640"/>
        <v/>
      </c>
      <c r="AJ145" s="34" t="str">
        <f t="shared" ref="AJ145:BO145" ca="1" si="641">IF(AJ$89="","",IF(AJ$89=$M$2,AI145,IF(AJ$11&lt;$D$7,OFFSET(INDIRECT($D$3),$A145-1,$Q$3+AJ$11),OFFSET(INDIRECT($D$4),$A145-1,$Q$4+AJ$11))))</f>
        <v/>
      </c>
      <c r="AK145" s="34" t="str">
        <f t="shared" ca="1" si="641"/>
        <v/>
      </c>
      <c r="AL145" s="34" t="str">
        <f t="shared" ca="1" si="641"/>
        <v/>
      </c>
      <c r="AM145" s="34" t="str">
        <f t="shared" ca="1" si="641"/>
        <v/>
      </c>
      <c r="AN145" s="34" t="str">
        <f t="shared" ca="1" si="641"/>
        <v/>
      </c>
      <c r="AO145" s="34" t="str">
        <f t="shared" ca="1" si="641"/>
        <v/>
      </c>
      <c r="AP145" s="34" t="str">
        <f t="shared" ca="1" si="641"/>
        <v/>
      </c>
      <c r="AQ145" s="34" t="str">
        <f t="shared" ca="1" si="641"/>
        <v/>
      </c>
      <c r="AR145" s="34" t="str">
        <f t="shared" ca="1" si="641"/>
        <v/>
      </c>
      <c r="AS145" s="34" t="str">
        <f t="shared" ca="1" si="641"/>
        <v/>
      </c>
      <c r="AT145" s="34" t="str">
        <f t="shared" ca="1" si="641"/>
        <v/>
      </c>
      <c r="AU145" s="34" t="str">
        <f t="shared" ca="1" si="641"/>
        <v/>
      </c>
      <c r="AV145" s="34" t="str">
        <f t="shared" ca="1" si="641"/>
        <v/>
      </c>
      <c r="AW145" s="34" t="str">
        <f t="shared" ca="1" si="641"/>
        <v/>
      </c>
      <c r="AX145" s="34" t="str">
        <f t="shared" ca="1" si="641"/>
        <v/>
      </c>
      <c r="AY145" s="34" t="str">
        <f t="shared" ca="1" si="641"/>
        <v/>
      </c>
      <c r="AZ145" s="34" t="str">
        <f t="shared" ca="1" si="641"/>
        <v/>
      </c>
      <c r="BA145" s="34" t="str">
        <f t="shared" ca="1" si="641"/>
        <v/>
      </c>
      <c r="BB145" s="34" t="str">
        <f t="shared" ca="1" si="641"/>
        <v/>
      </c>
      <c r="BC145" s="34" t="str">
        <f t="shared" ca="1" si="641"/>
        <v/>
      </c>
      <c r="BD145" s="34" t="str">
        <f t="shared" ca="1" si="641"/>
        <v/>
      </c>
      <c r="BE145" s="34" t="str">
        <f t="shared" ca="1" si="641"/>
        <v/>
      </c>
      <c r="BF145" s="34" t="str">
        <f t="shared" ca="1" si="641"/>
        <v/>
      </c>
      <c r="BG145" s="34" t="str">
        <f t="shared" ca="1" si="641"/>
        <v/>
      </c>
      <c r="BH145" s="34" t="str">
        <f t="shared" ca="1" si="641"/>
        <v/>
      </c>
      <c r="BI145" s="34" t="str">
        <f t="shared" ca="1" si="641"/>
        <v/>
      </c>
      <c r="BJ145" s="34" t="str">
        <f t="shared" ca="1" si="641"/>
        <v/>
      </c>
      <c r="BK145" s="34" t="str">
        <f t="shared" ca="1" si="641"/>
        <v/>
      </c>
      <c r="BL145" s="34" t="str">
        <f t="shared" ca="1" si="641"/>
        <v/>
      </c>
      <c r="BM145" s="34" t="str">
        <f t="shared" ca="1" si="641"/>
        <v/>
      </c>
      <c r="BN145" s="34" t="str">
        <f t="shared" ca="1" si="641"/>
        <v/>
      </c>
      <c r="BO145" s="34" t="str">
        <f t="shared" ca="1" si="641"/>
        <v/>
      </c>
      <c r="BP145" s="34" t="str">
        <f t="shared" ref="BP145:CZ145" ca="1" si="642">IF(BP$89="","",IF(BP$89=$M$2,BO145,IF(BP$11&lt;$D$7,OFFSET(INDIRECT($D$3),$A145-1,$Q$3+BP$11),OFFSET(INDIRECT($D$4),$A145-1,$Q$4+BP$11))))</f>
        <v/>
      </c>
      <c r="BQ145" s="34" t="str">
        <f t="shared" ca="1" si="642"/>
        <v/>
      </c>
      <c r="BR145" s="34" t="str">
        <f t="shared" ca="1" si="642"/>
        <v/>
      </c>
      <c r="BS145" s="34" t="str">
        <f t="shared" ca="1" si="642"/>
        <v/>
      </c>
      <c r="BT145" s="34" t="str">
        <f t="shared" ca="1" si="642"/>
        <v/>
      </c>
      <c r="BU145" s="34" t="str">
        <f t="shared" ca="1" si="642"/>
        <v/>
      </c>
      <c r="BV145" s="34" t="str">
        <f t="shared" ca="1" si="642"/>
        <v/>
      </c>
      <c r="BW145" s="34" t="str">
        <f t="shared" ca="1" si="642"/>
        <v/>
      </c>
      <c r="BX145" s="34" t="str">
        <f t="shared" ca="1" si="642"/>
        <v/>
      </c>
      <c r="BY145" s="34" t="str">
        <f t="shared" ca="1" si="642"/>
        <v/>
      </c>
      <c r="BZ145" s="34" t="str">
        <f t="shared" ca="1" si="642"/>
        <v/>
      </c>
      <c r="CA145" s="34" t="str">
        <f t="shared" ca="1" si="642"/>
        <v/>
      </c>
      <c r="CB145" s="34" t="str">
        <f t="shared" ca="1" si="642"/>
        <v/>
      </c>
      <c r="CC145" s="34" t="str">
        <f t="shared" ca="1" si="642"/>
        <v/>
      </c>
      <c r="CD145" s="34" t="str">
        <f t="shared" ca="1" si="642"/>
        <v/>
      </c>
      <c r="CE145" s="34" t="str">
        <f t="shared" ca="1" si="642"/>
        <v/>
      </c>
      <c r="CF145" s="34" t="str">
        <f t="shared" ca="1" si="642"/>
        <v/>
      </c>
      <c r="CG145" s="34" t="str">
        <f t="shared" ca="1" si="642"/>
        <v/>
      </c>
      <c r="CH145" s="34" t="str">
        <f t="shared" ca="1" si="642"/>
        <v/>
      </c>
      <c r="CI145" s="34" t="str">
        <f t="shared" ca="1" si="642"/>
        <v/>
      </c>
      <c r="CJ145" s="34" t="str">
        <f t="shared" ca="1" si="642"/>
        <v/>
      </c>
      <c r="CK145" s="34" t="str">
        <f t="shared" ca="1" si="642"/>
        <v/>
      </c>
      <c r="CL145" s="34" t="str">
        <f t="shared" ca="1" si="642"/>
        <v/>
      </c>
      <c r="CM145" s="34" t="str">
        <f t="shared" ca="1" si="642"/>
        <v/>
      </c>
      <c r="CN145" s="34" t="str">
        <f t="shared" ca="1" si="642"/>
        <v/>
      </c>
      <c r="CO145" s="34" t="str">
        <f t="shared" ca="1" si="642"/>
        <v/>
      </c>
      <c r="CP145" s="34" t="str">
        <f t="shared" ca="1" si="642"/>
        <v/>
      </c>
      <c r="CQ145" s="34" t="str">
        <f t="shared" ca="1" si="642"/>
        <v/>
      </c>
      <c r="CR145" s="34" t="str">
        <f t="shared" ca="1" si="642"/>
        <v/>
      </c>
      <c r="CS145" s="34" t="str">
        <f t="shared" ca="1" si="642"/>
        <v/>
      </c>
      <c r="CT145" s="34" t="str">
        <f t="shared" ca="1" si="642"/>
        <v/>
      </c>
      <c r="CU145" s="34" t="str">
        <f t="shared" ca="1" si="642"/>
        <v/>
      </c>
      <c r="CV145" s="34" t="str">
        <f t="shared" ca="1" si="642"/>
        <v/>
      </c>
      <c r="CW145" s="34" t="str">
        <f t="shared" ca="1" si="642"/>
        <v/>
      </c>
      <c r="CX145" s="34" t="str">
        <f t="shared" ca="1" si="642"/>
        <v/>
      </c>
      <c r="CY145" s="34" t="str">
        <f t="shared" ca="1" si="642"/>
        <v/>
      </c>
      <c r="CZ145" s="34" t="str">
        <f t="shared" ca="1" si="642"/>
        <v/>
      </c>
    </row>
    <row r="146" spans="1:104" ht="13.5" customHeight="1">
      <c r="A146" s="27">
        <v>127</v>
      </c>
      <c r="B146" s="33">
        <f t="shared" si="639"/>
        <v>146</v>
      </c>
      <c r="C146" s="9" t="s">
        <v>405</v>
      </c>
      <c r="D146" s="34">
        <f t="shared" ref="D146:AI146" ca="1" si="643">IF(D$89="","",IF(D$89=$M$2,C146,IF(D$11&lt;$D$7,OFFSET(INDIRECT($D$3),$A146-1,$Q$3+D$11),OFFSET(INDIRECT($D$4),$A146-1,$Q$4+D$11))))</f>
        <v>0</v>
      </c>
      <c r="E146" s="34">
        <f t="shared" ca="1" si="643"/>
        <v>0</v>
      </c>
      <c r="F146" s="34">
        <f t="shared" ca="1" si="643"/>
        <v>0</v>
      </c>
      <c r="G146" s="34">
        <f t="shared" ca="1" si="643"/>
        <v>0</v>
      </c>
      <c r="H146" s="34">
        <f t="shared" ca="1" si="643"/>
        <v>0</v>
      </c>
      <c r="I146" s="34">
        <f t="shared" ca="1" si="643"/>
        <v>0</v>
      </c>
      <c r="J146" s="34">
        <f t="shared" ca="1" si="643"/>
        <v>0</v>
      </c>
      <c r="K146" s="34">
        <f t="shared" ca="1" si="643"/>
        <v>0</v>
      </c>
      <c r="L146" s="34">
        <f t="shared" ca="1" si="643"/>
        <v>0</v>
      </c>
      <c r="M146" s="34">
        <f t="shared" ca="1" si="643"/>
        <v>0</v>
      </c>
      <c r="N146" s="34">
        <f t="shared" ca="1" si="643"/>
        <v>0</v>
      </c>
      <c r="O146" s="34" t="str">
        <f t="shared" ca="1" si="643"/>
        <v/>
      </c>
      <c r="P146" s="34" t="str">
        <f t="shared" ca="1" si="643"/>
        <v/>
      </c>
      <c r="Q146" s="34" t="str">
        <f t="shared" ca="1" si="643"/>
        <v/>
      </c>
      <c r="R146" s="34" t="str">
        <f t="shared" ca="1" si="643"/>
        <v/>
      </c>
      <c r="S146" s="34" t="str">
        <f t="shared" ca="1" si="643"/>
        <v/>
      </c>
      <c r="T146" s="34" t="str">
        <f t="shared" ca="1" si="643"/>
        <v/>
      </c>
      <c r="U146" s="34" t="str">
        <f t="shared" ca="1" si="643"/>
        <v/>
      </c>
      <c r="V146" s="34" t="str">
        <f t="shared" ca="1" si="643"/>
        <v/>
      </c>
      <c r="W146" s="34" t="str">
        <f t="shared" ca="1" si="643"/>
        <v/>
      </c>
      <c r="X146" s="34" t="str">
        <f t="shared" ca="1" si="643"/>
        <v/>
      </c>
      <c r="Y146" s="34" t="str">
        <f t="shared" ca="1" si="643"/>
        <v/>
      </c>
      <c r="Z146" s="34" t="str">
        <f t="shared" ca="1" si="643"/>
        <v/>
      </c>
      <c r="AA146" s="34" t="str">
        <f t="shared" ca="1" si="643"/>
        <v/>
      </c>
      <c r="AB146" s="34" t="str">
        <f t="shared" ca="1" si="643"/>
        <v/>
      </c>
      <c r="AC146" s="34" t="str">
        <f t="shared" ca="1" si="643"/>
        <v/>
      </c>
      <c r="AD146" s="34" t="str">
        <f t="shared" ca="1" si="643"/>
        <v/>
      </c>
      <c r="AE146" s="34" t="str">
        <f t="shared" ca="1" si="643"/>
        <v/>
      </c>
      <c r="AF146" s="34" t="str">
        <f t="shared" ca="1" si="643"/>
        <v/>
      </c>
      <c r="AG146" s="34" t="str">
        <f t="shared" ca="1" si="643"/>
        <v/>
      </c>
      <c r="AH146" s="34" t="str">
        <f t="shared" ca="1" si="643"/>
        <v/>
      </c>
      <c r="AI146" s="34" t="str">
        <f t="shared" ca="1" si="643"/>
        <v/>
      </c>
      <c r="AJ146" s="34" t="str">
        <f t="shared" ref="AJ146:BO146" ca="1" si="644">IF(AJ$89="","",IF(AJ$89=$M$2,AI146,IF(AJ$11&lt;$D$7,OFFSET(INDIRECT($D$3),$A146-1,$Q$3+AJ$11),OFFSET(INDIRECT($D$4),$A146-1,$Q$4+AJ$11))))</f>
        <v/>
      </c>
      <c r="AK146" s="34" t="str">
        <f t="shared" ca="1" si="644"/>
        <v/>
      </c>
      <c r="AL146" s="34" t="str">
        <f t="shared" ca="1" si="644"/>
        <v/>
      </c>
      <c r="AM146" s="34" t="str">
        <f t="shared" ca="1" si="644"/>
        <v/>
      </c>
      <c r="AN146" s="34" t="str">
        <f t="shared" ca="1" si="644"/>
        <v/>
      </c>
      <c r="AO146" s="34" t="str">
        <f t="shared" ca="1" si="644"/>
        <v/>
      </c>
      <c r="AP146" s="34" t="str">
        <f t="shared" ca="1" si="644"/>
        <v/>
      </c>
      <c r="AQ146" s="34" t="str">
        <f t="shared" ca="1" si="644"/>
        <v/>
      </c>
      <c r="AR146" s="34" t="str">
        <f t="shared" ca="1" si="644"/>
        <v/>
      </c>
      <c r="AS146" s="34" t="str">
        <f t="shared" ca="1" si="644"/>
        <v/>
      </c>
      <c r="AT146" s="34" t="str">
        <f t="shared" ca="1" si="644"/>
        <v/>
      </c>
      <c r="AU146" s="34" t="str">
        <f t="shared" ca="1" si="644"/>
        <v/>
      </c>
      <c r="AV146" s="34" t="str">
        <f t="shared" ca="1" si="644"/>
        <v/>
      </c>
      <c r="AW146" s="34" t="str">
        <f t="shared" ca="1" si="644"/>
        <v/>
      </c>
      <c r="AX146" s="34" t="str">
        <f t="shared" ca="1" si="644"/>
        <v/>
      </c>
      <c r="AY146" s="34" t="str">
        <f t="shared" ca="1" si="644"/>
        <v/>
      </c>
      <c r="AZ146" s="34" t="str">
        <f t="shared" ca="1" si="644"/>
        <v/>
      </c>
      <c r="BA146" s="34" t="str">
        <f t="shared" ca="1" si="644"/>
        <v/>
      </c>
      <c r="BB146" s="34" t="str">
        <f t="shared" ca="1" si="644"/>
        <v/>
      </c>
      <c r="BC146" s="34" t="str">
        <f t="shared" ca="1" si="644"/>
        <v/>
      </c>
      <c r="BD146" s="34" t="str">
        <f t="shared" ca="1" si="644"/>
        <v/>
      </c>
      <c r="BE146" s="34" t="str">
        <f t="shared" ca="1" si="644"/>
        <v/>
      </c>
      <c r="BF146" s="34" t="str">
        <f t="shared" ca="1" si="644"/>
        <v/>
      </c>
      <c r="BG146" s="34" t="str">
        <f t="shared" ca="1" si="644"/>
        <v/>
      </c>
      <c r="BH146" s="34" t="str">
        <f t="shared" ca="1" si="644"/>
        <v/>
      </c>
      <c r="BI146" s="34" t="str">
        <f t="shared" ca="1" si="644"/>
        <v/>
      </c>
      <c r="BJ146" s="34" t="str">
        <f t="shared" ca="1" si="644"/>
        <v/>
      </c>
      <c r="BK146" s="34" t="str">
        <f t="shared" ca="1" si="644"/>
        <v/>
      </c>
      <c r="BL146" s="34" t="str">
        <f t="shared" ca="1" si="644"/>
        <v/>
      </c>
      <c r="BM146" s="34" t="str">
        <f t="shared" ca="1" si="644"/>
        <v/>
      </c>
      <c r="BN146" s="34" t="str">
        <f t="shared" ca="1" si="644"/>
        <v/>
      </c>
      <c r="BO146" s="34" t="str">
        <f t="shared" ca="1" si="644"/>
        <v/>
      </c>
      <c r="BP146" s="34" t="str">
        <f t="shared" ref="BP146:CZ146" ca="1" si="645">IF(BP$89="","",IF(BP$89=$M$2,BO146,IF(BP$11&lt;$D$7,OFFSET(INDIRECT($D$3),$A146-1,$Q$3+BP$11),OFFSET(INDIRECT($D$4),$A146-1,$Q$4+BP$11))))</f>
        <v/>
      </c>
      <c r="BQ146" s="34" t="str">
        <f t="shared" ca="1" si="645"/>
        <v/>
      </c>
      <c r="BR146" s="34" t="str">
        <f t="shared" ca="1" si="645"/>
        <v/>
      </c>
      <c r="BS146" s="34" t="str">
        <f t="shared" ca="1" si="645"/>
        <v/>
      </c>
      <c r="BT146" s="34" t="str">
        <f t="shared" ca="1" si="645"/>
        <v/>
      </c>
      <c r="BU146" s="34" t="str">
        <f t="shared" ca="1" si="645"/>
        <v/>
      </c>
      <c r="BV146" s="34" t="str">
        <f t="shared" ca="1" si="645"/>
        <v/>
      </c>
      <c r="BW146" s="34" t="str">
        <f t="shared" ca="1" si="645"/>
        <v/>
      </c>
      <c r="BX146" s="34" t="str">
        <f t="shared" ca="1" si="645"/>
        <v/>
      </c>
      <c r="BY146" s="34" t="str">
        <f t="shared" ca="1" si="645"/>
        <v/>
      </c>
      <c r="BZ146" s="34" t="str">
        <f t="shared" ca="1" si="645"/>
        <v/>
      </c>
      <c r="CA146" s="34" t="str">
        <f t="shared" ca="1" si="645"/>
        <v/>
      </c>
      <c r="CB146" s="34" t="str">
        <f t="shared" ca="1" si="645"/>
        <v/>
      </c>
      <c r="CC146" s="34" t="str">
        <f t="shared" ca="1" si="645"/>
        <v/>
      </c>
      <c r="CD146" s="34" t="str">
        <f t="shared" ca="1" si="645"/>
        <v/>
      </c>
      <c r="CE146" s="34" t="str">
        <f t="shared" ca="1" si="645"/>
        <v/>
      </c>
      <c r="CF146" s="34" t="str">
        <f t="shared" ca="1" si="645"/>
        <v/>
      </c>
      <c r="CG146" s="34" t="str">
        <f t="shared" ca="1" si="645"/>
        <v/>
      </c>
      <c r="CH146" s="34" t="str">
        <f t="shared" ca="1" si="645"/>
        <v/>
      </c>
      <c r="CI146" s="34" t="str">
        <f t="shared" ca="1" si="645"/>
        <v/>
      </c>
      <c r="CJ146" s="34" t="str">
        <f t="shared" ca="1" si="645"/>
        <v/>
      </c>
      <c r="CK146" s="34" t="str">
        <f t="shared" ca="1" si="645"/>
        <v/>
      </c>
      <c r="CL146" s="34" t="str">
        <f t="shared" ca="1" si="645"/>
        <v/>
      </c>
      <c r="CM146" s="34" t="str">
        <f t="shared" ca="1" si="645"/>
        <v/>
      </c>
      <c r="CN146" s="34" t="str">
        <f t="shared" ca="1" si="645"/>
        <v/>
      </c>
      <c r="CO146" s="34" t="str">
        <f t="shared" ca="1" si="645"/>
        <v/>
      </c>
      <c r="CP146" s="34" t="str">
        <f t="shared" ca="1" si="645"/>
        <v/>
      </c>
      <c r="CQ146" s="34" t="str">
        <f t="shared" ca="1" si="645"/>
        <v/>
      </c>
      <c r="CR146" s="34" t="str">
        <f t="shared" ca="1" si="645"/>
        <v/>
      </c>
      <c r="CS146" s="34" t="str">
        <f t="shared" ca="1" si="645"/>
        <v/>
      </c>
      <c r="CT146" s="34" t="str">
        <f t="shared" ca="1" si="645"/>
        <v/>
      </c>
      <c r="CU146" s="34" t="str">
        <f t="shared" ca="1" si="645"/>
        <v/>
      </c>
      <c r="CV146" s="34" t="str">
        <f t="shared" ca="1" si="645"/>
        <v/>
      </c>
      <c r="CW146" s="34" t="str">
        <f t="shared" ca="1" si="645"/>
        <v/>
      </c>
      <c r="CX146" s="34" t="str">
        <f t="shared" ca="1" si="645"/>
        <v/>
      </c>
      <c r="CY146" s="34" t="str">
        <f t="shared" ca="1" si="645"/>
        <v/>
      </c>
      <c r="CZ146" s="34" t="str">
        <f t="shared" ca="1" si="645"/>
        <v/>
      </c>
    </row>
    <row r="147" spans="1:104" ht="13.5" customHeight="1">
      <c r="A147" s="27">
        <v>130</v>
      </c>
      <c r="B147" s="33">
        <f t="shared" si="639"/>
        <v>147</v>
      </c>
      <c r="C147" s="9" t="s">
        <v>406</v>
      </c>
      <c r="D147" s="34">
        <f t="shared" ref="D147:AI147" ca="1" si="646">IF(D$89="","",IF(D$89=$M$2,C147,IF(D$11&lt;$D$7,OFFSET(INDIRECT($D$3),$A147-1,$Q$3+D$11),OFFSET(INDIRECT($D$4),$A147-1,$Q$4+D$11))))</f>
        <v>11786</v>
      </c>
      <c r="E147" s="34">
        <f t="shared" ca="1" si="646"/>
        <v>19312</v>
      </c>
      <c r="F147" s="34">
        <f t="shared" ca="1" si="646"/>
        <v>9100</v>
      </c>
      <c r="G147" s="34">
        <f t="shared" ca="1" si="646"/>
        <v>10556</v>
      </c>
      <c r="H147" s="34">
        <f t="shared" ca="1" si="646"/>
        <v>11786</v>
      </c>
      <c r="I147" s="34">
        <f t="shared" ca="1" si="646"/>
        <v>14020</v>
      </c>
      <c r="J147" s="34">
        <f t="shared" ca="1" si="646"/>
        <v>16400</v>
      </c>
      <c r="K147" s="34">
        <f t="shared" ca="1" si="646"/>
        <v>18090</v>
      </c>
      <c r="L147" s="34">
        <f t="shared" ca="1" si="646"/>
        <v>19312</v>
      </c>
      <c r="M147" s="34">
        <f t="shared" ca="1" si="646"/>
        <v>21863</v>
      </c>
      <c r="N147" s="34">
        <f t="shared" ca="1" si="646"/>
        <v>21863</v>
      </c>
      <c r="O147" s="34" t="str">
        <f t="shared" ca="1" si="646"/>
        <v/>
      </c>
      <c r="P147" s="34" t="str">
        <f t="shared" ca="1" si="646"/>
        <v/>
      </c>
      <c r="Q147" s="34" t="str">
        <f t="shared" ca="1" si="646"/>
        <v/>
      </c>
      <c r="R147" s="34" t="str">
        <f t="shared" ca="1" si="646"/>
        <v/>
      </c>
      <c r="S147" s="34" t="str">
        <f t="shared" ca="1" si="646"/>
        <v/>
      </c>
      <c r="T147" s="34" t="str">
        <f t="shared" ca="1" si="646"/>
        <v/>
      </c>
      <c r="U147" s="34" t="str">
        <f t="shared" ca="1" si="646"/>
        <v/>
      </c>
      <c r="V147" s="34" t="str">
        <f t="shared" ca="1" si="646"/>
        <v/>
      </c>
      <c r="W147" s="34" t="str">
        <f t="shared" ca="1" si="646"/>
        <v/>
      </c>
      <c r="X147" s="34" t="str">
        <f t="shared" ca="1" si="646"/>
        <v/>
      </c>
      <c r="Y147" s="34" t="str">
        <f t="shared" ca="1" si="646"/>
        <v/>
      </c>
      <c r="Z147" s="34" t="str">
        <f t="shared" ca="1" si="646"/>
        <v/>
      </c>
      <c r="AA147" s="34" t="str">
        <f t="shared" ca="1" si="646"/>
        <v/>
      </c>
      <c r="AB147" s="34" t="str">
        <f t="shared" ca="1" si="646"/>
        <v/>
      </c>
      <c r="AC147" s="34" t="str">
        <f t="shared" ca="1" si="646"/>
        <v/>
      </c>
      <c r="AD147" s="34" t="str">
        <f t="shared" ca="1" si="646"/>
        <v/>
      </c>
      <c r="AE147" s="34" t="str">
        <f t="shared" ca="1" si="646"/>
        <v/>
      </c>
      <c r="AF147" s="34" t="str">
        <f t="shared" ca="1" si="646"/>
        <v/>
      </c>
      <c r="AG147" s="34" t="str">
        <f t="shared" ca="1" si="646"/>
        <v/>
      </c>
      <c r="AH147" s="34" t="str">
        <f t="shared" ca="1" si="646"/>
        <v/>
      </c>
      <c r="AI147" s="34" t="str">
        <f t="shared" ca="1" si="646"/>
        <v/>
      </c>
      <c r="AJ147" s="34" t="str">
        <f t="shared" ref="AJ147:BO147" ca="1" si="647">IF(AJ$89="","",IF(AJ$89=$M$2,AI147,IF(AJ$11&lt;$D$7,OFFSET(INDIRECT($D$3),$A147-1,$Q$3+AJ$11),OFFSET(INDIRECT($D$4),$A147-1,$Q$4+AJ$11))))</f>
        <v/>
      </c>
      <c r="AK147" s="34" t="str">
        <f t="shared" ca="1" si="647"/>
        <v/>
      </c>
      <c r="AL147" s="34" t="str">
        <f t="shared" ca="1" si="647"/>
        <v/>
      </c>
      <c r="AM147" s="34" t="str">
        <f t="shared" ca="1" si="647"/>
        <v/>
      </c>
      <c r="AN147" s="34" t="str">
        <f t="shared" ca="1" si="647"/>
        <v/>
      </c>
      <c r="AO147" s="34" t="str">
        <f t="shared" ca="1" si="647"/>
        <v/>
      </c>
      <c r="AP147" s="34" t="str">
        <f t="shared" ca="1" si="647"/>
        <v/>
      </c>
      <c r="AQ147" s="34" t="str">
        <f t="shared" ca="1" si="647"/>
        <v/>
      </c>
      <c r="AR147" s="34" t="str">
        <f t="shared" ca="1" si="647"/>
        <v/>
      </c>
      <c r="AS147" s="34" t="str">
        <f t="shared" ca="1" si="647"/>
        <v/>
      </c>
      <c r="AT147" s="34" t="str">
        <f t="shared" ca="1" si="647"/>
        <v/>
      </c>
      <c r="AU147" s="34" t="str">
        <f t="shared" ca="1" si="647"/>
        <v/>
      </c>
      <c r="AV147" s="34" t="str">
        <f t="shared" ca="1" si="647"/>
        <v/>
      </c>
      <c r="AW147" s="34" t="str">
        <f t="shared" ca="1" si="647"/>
        <v/>
      </c>
      <c r="AX147" s="34" t="str">
        <f t="shared" ca="1" si="647"/>
        <v/>
      </c>
      <c r="AY147" s="34" t="str">
        <f t="shared" ca="1" si="647"/>
        <v/>
      </c>
      <c r="AZ147" s="34" t="str">
        <f t="shared" ca="1" si="647"/>
        <v/>
      </c>
      <c r="BA147" s="34" t="str">
        <f t="shared" ca="1" si="647"/>
        <v/>
      </c>
      <c r="BB147" s="34" t="str">
        <f t="shared" ca="1" si="647"/>
        <v/>
      </c>
      <c r="BC147" s="34" t="str">
        <f t="shared" ca="1" si="647"/>
        <v/>
      </c>
      <c r="BD147" s="34" t="str">
        <f t="shared" ca="1" si="647"/>
        <v/>
      </c>
      <c r="BE147" s="34" t="str">
        <f t="shared" ca="1" si="647"/>
        <v/>
      </c>
      <c r="BF147" s="34" t="str">
        <f t="shared" ca="1" si="647"/>
        <v/>
      </c>
      <c r="BG147" s="34" t="str">
        <f t="shared" ca="1" si="647"/>
        <v/>
      </c>
      <c r="BH147" s="34" t="str">
        <f t="shared" ca="1" si="647"/>
        <v/>
      </c>
      <c r="BI147" s="34" t="str">
        <f t="shared" ca="1" si="647"/>
        <v/>
      </c>
      <c r="BJ147" s="34" t="str">
        <f t="shared" ca="1" si="647"/>
        <v/>
      </c>
      <c r="BK147" s="34" t="str">
        <f t="shared" ca="1" si="647"/>
        <v/>
      </c>
      <c r="BL147" s="34" t="str">
        <f t="shared" ca="1" si="647"/>
        <v/>
      </c>
      <c r="BM147" s="34" t="str">
        <f t="shared" ca="1" si="647"/>
        <v/>
      </c>
      <c r="BN147" s="34" t="str">
        <f t="shared" ca="1" si="647"/>
        <v/>
      </c>
      <c r="BO147" s="34" t="str">
        <f t="shared" ca="1" si="647"/>
        <v/>
      </c>
      <c r="BP147" s="34" t="str">
        <f t="shared" ref="BP147:CZ147" ca="1" si="648">IF(BP$89="","",IF(BP$89=$M$2,BO147,IF(BP$11&lt;$D$7,OFFSET(INDIRECT($D$3),$A147-1,$Q$3+BP$11),OFFSET(INDIRECT($D$4),$A147-1,$Q$4+BP$11))))</f>
        <v/>
      </c>
      <c r="BQ147" s="34" t="str">
        <f t="shared" ca="1" si="648"/>
        <v/>
      </c>
      <c r="BR147" s="34" t="str">
        <f t="shared" ca="1" si="648"/>
        <v/>
      </c>
      <c r="BS147" s="34" t="str">
        <f t="shared" ca="1" si="648"/>
        <v/>
      </c>
      <c r="BT147" s="34" t="str">
        <f t="shared" ca="1" si="648"/>
        <v/>
      </c>
      <c r="BU147" s="34" t="str">
        <f t="shared" ca="1" si="648"/>
        <v/>
      </c>
      <c r="BV147" s="34" t="str">
        <f t="shared" ca="1" si="648"/>
        <v/>
      </c>
      <c r="BW147" s="34" t="str">
        <f t="shared" ca="1" si="648"/>
        <v/>
      </c>
      <c r="BX147" s="34" t="str">
        <f t="shared" ca="1" si="648"/>
        <v/>
      </c>
      <c r="BY147" s="34" t="str">
        <f t="shared" ca="1" si="648"/>
        <v/>
      </c>
      <c r="BZ147" s="34" t="str">
        <f t="shared" ca="1" si="648"/>
        <v/>
      </c>
      <c r="CA147" s="34" t="str">
        <f t="shared" ca="1" si="648"/>
        <v/>
      </c>
      <c r="CB147" s="34" t="str">
        <f t="shared" ca="1" si="648"/>
        <v/>
      </c>
      <c r="CC147" s="34" t="str">
        <f t="shared" ca="1" si="648"/>
        <v/>
      </c>
      <c r="CD147" s="34" t="str">
        <f t="shared" ca="1" si="648"/>
        <v/>
      </c>
      <c r="CE147" s="34" t="str">
        <f t="shared" ca="1" si="648"/>
        <v/>
      </c>
      <c r="CF147" s="34" t="str">
        <f t="shared" ca="1" si="648"/>
        <v/>
      </c>
      <c r="CG147" s="34" t="str">
        <f t="shared" ca="1" si="648"/>
        <v/>
      </c>
      <c r="CH147" s="34" t="str">
        <f t="shared" ca="1" si="648"/>
        <v/>
      </c>
      <c r="CI147" s="34" t="str">
        <f t="shared" ca="1" si="648"/>
        <v/>
      </c>
      <c r="CJ147" s="34" t="str">
        <f t="shared" ca="1" si="648"/>
        <v/>
      </c>
      <c r="CK147" s="34" t="str">
        <f t="shared" ca="1" si="648"/>
        <v/>
      </c>
      <c r="CL147" s="34" t="str">
        <f t="shared" ca="1" si="648"/>
        <v/>
      </c>
      <c r="CM147" s="34" t="str">
        <f t="shared" ca="1" si="648"/>
        <v/>
      </c>
      <c r="CN147" s="34" t="str">
        <f t="shared" ca="1" si="648"/>
        <v/>
      </c>
      <c r="CO147" s="34" t="str">
        <f t="shared" ca="1" si="648"/>
        <v/>
      </c>
      <c r="CP147" s="34" t="str">
        <f t="shared" ca="1" si="648"/>
        <v/>
      </c>
      <c r="CQ147" s="34" t="str">
        <f t="shared" ca="1" si="648"/>
        <v/>
      </c>
      <c r="CR147" s="34" t="str">
        <f t="shared" ca="1" si="648"/>
        <v/>
      </c>
      <c r="CS147" s="34" t="str">
        <f t="shared" ca="1" si="648"/>
        <v/>
      </c>
      <c r="CT147" s="34" t="str">
        <f t="shared" ca="1" si="648"/>
        <v/>
      </c>
      <c r="CU147" s="34" t="str">
        <f t="shared" ca="1" si="648"/>
        <v/>
      </c>
      <c r="CV147" s="34" t="str">
        <f t="shared" ca="1" si="648"/>
        <v/>
      </c>
      <c r="CW147" s="34" t="str">
        <f t="shared" ca="1" si="648"/>
        <v/>
      </c>
      <c r="CX147" s="34" t="str">
        <f t="shared" ca="1" si="648"/>
        <v/>
      </c>
      <c r="CY147" s="34" t="str">
        <f t="shared" ca="1" si="648"/>
        <v/>
      </c>
      <c r="CZ147" s="34" t="str">
        <f t="shared" ca="1" si="648"/>
        <v/>
      </c>
    </row>
    <row r="148" spans="1:104" ht="13.5" customHeight="1">
      <c r="A148" s="27">
        <v>131</v>
      </c>
      <c r="B148" s="33">
        <f t="shared" si="639"/>
        <v>148</v>
      </c>
      <c r="C148" s="9" t="s">
        <v>407</v>
      </c>
      <c r="D148" s="34">
        <f t="shared" ref="D148:AI148" ca="1" si="649">IF(D$89="","",IF(D$89=$M$2,C148,IF(D$11&lt;$D$7,OFFSET(INDIRECT($D$3),$A148-1,$Q$3+D$11),OFFSET(INDIRECT($D$4),$A148-1,$Q$4+D$11))))</f>
        <v>39756</v>
      </c>
      <c r="E148" s="34">
        <f t="shared" ca="1" si="649"/>
        <v>57854</v>
      </c>
      <c r="F148" s="34">
        <f t="shared" ca="1" si="649"/>
        <v>33427</v>
      </c>
      <c r="G148" s="34">
        <f t="shared" ca="1" si="649"/>
        <v>37415</v>
      </c>
      <c r="H148" s="34">
        <f t="shared" ca="1" si="649"/>
        <v>39756</v>
      </c>
      <c r="I148" s="34">
        <f t="shared" ca="1" si="649"/>
        <v>48627</v>
      </c>
      <c r="J148" s="34">
        <f t="shared" ca="1" si="649"/>
        <v>48436</v>
      </c>
      <c r="K148" s="34">
        <f t="shared" ca="1" si="649"/>
        <v>51150</v>
      </c>
      <c r="L148" s="34">
        <f t="shared" ca="1" si="649"/>
        <v>57854</v>
      </c>
      <c r="M148" s="34">
        <f t="shared" ca="1" si="649"/>
        <v>68742</v>
      </c>
      <c r="N148" s="34">
        <f t="shared" ca="1" si="649"/>
        <v>68742</v>
      </c>
      <c r="O148" s="34" t="str">
        <f t="shared" ca="1" si="649"/>
        <v/>
      </c>
      <c r="P148" s="34" t="str">
        <f t="shared" ca="1" si="649"/>
        <v/>
      </c>
      <c r="Q148" s="34" t="str">
        <f t="shared" ca="1" si="649"/>
        <v/>
      </c>
      <c r="R148" s="34" t="str">
        <f t="shared" ca="1" si="649"/>
        <v/>
      </c>
      <c r="S148" s="34" t="str">
        <f t="shared" ca="1" si="649"/>
        <v/>
      </c>
      <c r="T148" s="34" t="str">
        <f t="shared" ca="1" si="649"/>
        <v/>
      </c>
      <c r="U148" s="34" t="str">
        <f t="shared" ca="1" si="649"/>
        <v/>
      </c>
      <c r="V148" s="34" t="str">
        <f t="shared" ca="1" si="649"/>
        <v/>
      </c>
      <c r="W148" s="34" t="str">
        <f t="shared" ca="1" si="649"/>
        <v/>
      </c>
      <c r="X148" s="34" t="str">
        <f t="shared" ca="1" si="649"/>
        <v/>
      </c>
      <c r="Y148" s="34" t="str">
        <f t="shared" ca="1" si="649"/>
        <v/>
      </c>
      <c r="Z148" s="34" t="str">
        <f t="shared" ca="1" si="649"/>
        <v/>
      </c>
      <c r="AA148" s="34" t="str">
        <f t="shared" ca="1" si="649"/>
        <v/>
      </c>
      <c r="AB148" s="34" t="str">
        <f t="shared" ca="1" si="649"/>
        <v/>
      </c>
      <c r="AC148" s="34" t="str">
        <f t="shared" ca="1" si="649"/>
        <v/>
      </c>
      <c r="AD148" s="34" t="str">
        <f t="shared" ca="1" si="649"/>
        <v/>
      </c>
      <c r="AE148" s="34" t="str">
        <f t="shared" ca="1" si="649"/>
        <v/>
      </c>
      <c r="AF148" s="34" t="str">
        <f t="shared" ca="1" si="649"/>
        <v/>
      </c>
      <c r="AG148" s="34" t="str">
        <f t="shared" ca="1" si="649"/>
        <v/>
      </c>
      <c r="AH148" s="34" t="str">
        <f t="shared" ca="1" si="649"/>
        <v/>
      </c>
      <c r="AI148" s="34" t="str">
        <f t="shared" ca="1" si="649"/>
        <v/>
      </c>
      <c r="AJ148" s="34" t="str">
        <f t="shared" ref="AJ148:BO148" ca="1" si="650">IF(AJ$89="","",IF(AJ$89=$M$2,AI148,IF(AJ$11&lt;$D$7,OFFSET(INDIRECT($D$3),$A148-1,$Q$3+AJ$11),OFFSET(INDIRECT($D$4),$A148-1,$Q$4+AJ$11))))</f>
        <v/>
      </c>
      <c r="AK148" s="34" t="str">
        <f t="shared" ca="1" si="650"/>
        <v/>
      </c>
      <c r="AL148" s="34" t="str">
        <f t="shared" ca="1" si="650"/>
        <v/>
      </c>
      <c r="AM148" s="34" t="str">
        <f t="shared" ca="1" si="650"/>
        <v/>
      </c>
      <c r="AN148" s="34" t="str">
        <f t="shared" ca="1" si="650"/>
        <v/>
      </c>
      <c r="AO148" s="34" t="str">
        <f t="shared" ca="1" si="650"/>
        <v/>
      </c>
      <c r="AP148" s="34" t="str">
        <f t="shared" ca="1" si="650"/>
        <v/>
      </c>
      <c r="AQ148" s="34" t="str">
        <f t="shared" ca="1" si="650"/>
        <v/>
      </c>
      <c r="AR148" s="34" t="str">
        <f t="shared" ca="1" si="650"/>
        <v/>
      </c>
      <c r="AS148" s="34" t="str">
        <f t="shared" ca="1" si="650"/>
        <v/>
      </c>
      <c r="AT148" s="34" t="str">
        <f t="shared" ca="1" si="650"/>
        <v/>
      </c>
      <c r="AU148" s="34" t="str">
        <f t="shared" ca="1" si="650"/>
        <v/>
      </c>
      <c r="AV148" s="34" t="str">
        <f t="shared" ca="1" si="650"/>
        <v/>
      </c>
      <c r="AW148" s="34" t="str">
        <f t="shared" ca="1" si="650"/>
        <v/>
      </c>
      <c r="AX148" s="34" t="str">
        <f t="shared" ca="1" si="650"/>
        <v/>
      </c>
      <c r="AY148" s="34" t="str">
        <f t="shared" ca="1" si="650"/>
        <v/>
      </c>
      <c r="AZ148" s="34" t="str">
        <f t="shared" ca="1" si="650"/>
        <v/>
      </c>
      <c r="BA148" s="34" t="str">
        <f t="shared" ca="1" si="650"/>
        <v/>
      </c>
      <c r="BB148" s="34" t="str">
        <f t="shared" ca="1" si="650"/>
        <v/>
      </c>
      <c r="BC148" s="34" t="str">
        <f t="shared" ca="1" si="650"/>
        <v/>
      </c>
      <c r="BD148" s="34" t="str">
        <f t="shared" ca="1" si="650"/>
        <v/>
      </c>
      <c r="BE148" s="34" t="str">
        <f t="shared" ca="1" si="650"/>
        <v/>
      </c>
      <c r="BF148" s="34" t="str">
        <f t="shared" ca="1" si="650"/>
        <v/>
      </c>
      <c r="BG148" s="34" t="str">
        <f t="shared" ca="1" si="650"/>
        <v/>
      </c>
      <c r="BH148" s="34" t="str">
        <f t="shared" ca="1" si="650"/>
        <v/>
      </c>
      <c r="BI148" s="34" t="str">
        <f t="shared" ca="1" si="650"/>
        <v/>
      </c>
      <c r="BJ148" s="34" t="str">
        <f t="shared" ca="1" si="650"/>
        <v/>
      </c>
      <c r="BK148" s="34" t="str">
        <f t="shared" ca="1" si="650"/>
        <v/>
      </c>
      <c r="BL148" s="34" t="str">
        <f t="shared" ca="1" si="650"/>
        <v/>
      </c>
      <c r="BM148" s="34" t="str">
        <f t="shared" ca="1" si="650"/>
        <v/>
      </c>
      <c r="BN148" s="34" t="str">
        <f t="shared" ca="1" si="650"/>
        <v/>
      </c>
      <c r="BO148" s="34" t="str">
        <f t="shared" ca="1" si="650"/>
        <v/>
      </c>
      <c r="BP148" s="34" t="str">
        <f t="shared" ref="BP148:CZ148" ca="1" si="651">IF(BP$89="","",IF(BP$89=$M$2,BO148,IF(BP$11&lt;$D$7,OFFSET(INDIRECT($D$3),$A148-1,$Q$3+BP$11),OFFSET(INDIRECT($D$4),$A148-1,$Q$4+BP$11))))</f>
        <v/>
      </c>
      <c r="BQ148" s="34" t="str">
        <f t="shared" ca="1" si="651"/>
        <v/>
      </c>
      <c r="BR148" s="34" t="str">
        <f t="shared" ca="1" si="651"/>
        <v/>
      </c>
      <c r="BS148" s="34" t="str">
        <f t="shared" ca="1" si="651"/>
        <v/>
      </c>
      <c r="BT148" s="34" t="str">
        <f t="shared" ca="1" si="651"/>
        <v/>
      </c>
      <c r="BU148" s="34" t="str">
        <f t="shared" ca="1" si="651"/>
        <v/>
      </c>
      <c r="BV148" s="34" t="str">
        <f t="shared" ca="1" si="651"/>
        <v/>
      </c>
      <c r="BW148" s="34" t="str">
        <f t="shared" ca="1" si="651"/>
        <v/>
      </c>
      <c r="BX148" s="34" t="str">
        <f t="shared" ca="1" si="651"/>
        <v/>
      </c>
      <c r="BY148" s="34" t="str">
        <f t="shared" ca="1" si="651"/>
        <v/>
      </c>
      <c r="BZ148" s="34" t="str">
        <f t="shared" ca="1" si="651"/>
        <v/>
      </c>
      <c r="CA148" s="34" t="str">
        <f t="shared" ca="1" si="651"/>
        <v/>
      </c>
      <c r="CB148" s="34" t="str">
        <f t="shared" ca="1" si="651"/>
        <v/>
      </c>
      <c r="CC148" s="34" t="str">
        <f t="shared" ca="1" si="651"/>
        <v/>
      </c>
      <c r="CD148" s="34" t="str">
        <f t="shared" ca="1" si="651"/>
        <v/>
      </c>
      <c r="CE148" s="34" t="str">
        <f t="shared" ca="1" si="651"/>
        <v/>
      </c>
      <c r="CF148" s="34" t="str">
        <f t="shared" ca="1" si="651"/>
        <v/>
      </c>
      <c r="CG148" s="34" t="str">
        <f t="shared" ca="1" si="651"/>
        <v/>
      </c>
      <c r="CH148" s="34" t="str">
        <f t="shared" ca="1" si="651"/>
        <v/>
      </c>
      <c r="CI148" s="34" t="str">
        <f t="shared" ca="1" si="651"/>
        <v/>
      </c>
      <c r="CJ148" s="34" t="str">
        <f t="shared" ca="1" si="651"/>
        <v/>
      </c>
      <c r="CK148" s="34" t="str">
        <f t="shared" ca="1" si="651"/>
        <v/>
      </c>
      <c r="CL148" s="34" t="str">
        <f t="shared" ca="1" si="651"/>
        <v/>
      </c>
      <c r="CM148" s="34" t="str">
        <f t="shared" ca="1" si="651"/>
        <v/>
      </c>
      <c r="CN148" s="34" t="str">
        <f t="shared" ca="1" si="651"/>
        <v/>
      </c>
      <c r="CO148" s="34" t="str">
        <f t="shared" ca="1" si="651"/>
        <v/>
      </c>
      <c r="CP148" s="34" t="str">
        <f t="shared" ca="1" si="651"/>
        <v/>
      </c>
      <c r="CQ148" s="34" t="str">
        <f t="shared" ca="1" si="651"/>
        <v/>
      </c>
      <c r="CR148" s="34" t="str">
        <f t="shared" ca="1" si="651"/>
        <v/>
      </c>
      <c r="CS148" s="34" t="str">
        <f t="shared" ca="1" si="651"/>
        <v/>
      </c>
      <c r="CT148" s="34" t="str">
        <f t="shared" ca="1" si="651"/>
        <v/>
      </c>
      <c r="CU148" s="34" t="str">
        <f t="shared" ca="1" si="651"/>
        <v/>
      </c>
      <c r="CV148" s="34" t="str">
        <f t="shared" ca="1" si="651"/>
        <v/>
      </c>
      <c r="CW148" s="34" t="str">
        <f t="shared" ca="1" si="651"/>
        <v/>
      </c>
      <c r="CX148" s="34" t="str">
        <f t="shared" ca="1" si="651"/>
        <v/>
      </c>
      <c r="CY148" s="34" t="str">
        <f t="shared" ca="1" si="651"/>
        <v/>
      </c>
      <c r="CZ148" s="34" t="str">
        <f t="shared" ca="1" si="651"/>
        <v/>
      </c>
    </row>
    <row r="149" spans="1:104" ht="13.5" customHeight="1">
      <c r="A149" s="28"/>
      <c r="B149" s="33">
        <f t="shared" si="639"/>
        <v>149</v>
      </c>
      <c r="C149" s="9" t="s">
        <v>408</v>
      </c>
      <c r="D149" s="34">
        <f t="shared" ref="D149:AI149" ca="1" si="652">IF(D$89="","",IF(D$89=$M$2,C149,SUM(D150:D154)))</f>
        <v>13774</v>
      </c>
      <c r="E149" s="34">
        <f t="shared" ca="1" si="652"/>
        <v>16921</v>
      </c>
      <c r="F149" s="34">
        <f t="shared" ca="1" si="652"/>
        <v>12452</v>
      </c>
      <c r="G149" s="34">
        <f t="shared" ca="1" si="652"/>
        <v>13104</v>
      </c>
      <c r="H149" s="34">
        <f t="shared" ca="1" si="652"/>
        <v>13774</v>
      </c>
      <c r="I149" s="34">
        <f t="shared" ca="1" si="652"/>
        <v>14345</v>
      </c>
      <c r="J149" s="34">
        <f t="shared" ca="1" si="652"/>
        <v>15374</v>
      </c>
      <c r="K149" s="34">
        <f t="shared" ca="1" si="652"/>
        <v>16105</v>
      </c>
      <c r="L149" s="34">
        <f t="shared" ca="1" si="652"/>
        <v>16921</v>
      </c>
      <c r="M149" s="34">
        <f t="shared" ca="1" si="652"/>
        <v>17779</v>
      </c>
      <c r="N149" s="34">
        <f t="shared" ca="1" si="652"/>
        <v>17779</v>
      </c>
      <c r="O149" s="34" t="str">
        <f t="shared" ca="1" si="652"/>
        <v/>
      </c>
      <c r="P149" s="34" t="str">
        <f t="shared" ca="1" si="652"/>
        <v/>
      </c>
      <c r="Q149" s="34" t="str">
        <f t="shared" ca="1" si="652"/>
        <v/>
      </c>
      <c r="R149" s="34" t="str">
        <f t="shared" si="652"/>
        <v/>
      </c>
      <c r="S149" s="34" t="str">
        <f t="shared" si="652"/>
        <v/>
      </c>
      <c r="T149" s="34" t="str">
        <f t="shared" si="652"/>
        <v/>
      </c>
      <c r="U149" s="34" t="str">
        <f t="shared" si="652"/>
        <v/>
      </c>
      <c r="V149" s="34" t="str">
        <f t="shared" si="652"/>
        <v/>
      </c>
      <c r="W149" s="34" t="str">
        <f t="shared" si="652"/>
        <v/>
      </c>
      <c r="X149" s="34" t="str">
        <f t="shared" si="652"/>
        <v/>
      </c>
      <c r="Y149" s="34" t="str">
        <f t="shared" si="652"/>
        <v/>
      </c>
      <c r="Z149" s="34" t="str">
        <f t="shared" si="652"/>
        <v/>
      </c>
      <c r="AA149" s="34" t="str">
        <f t="shared" si="652"/>
        <v/>
      </c>
      <c r="AB149" s="34" t="str">
        <f t="shared" si="652"/>
        <v/>
      </c>
      <c r="AC149" s="34" t="str">
        <f t="shared" si="652"/>
        <v/>
      </c>
      <c r="AD149" s="34" t="str">
        <f t="shared" si="652"/>
        <v/>
      </c>
      <c r="AE149" s="34" t="str">
        <f t="shared" si="652"/>
        <v/>
      </c>
      <c r="AF149" s="34" t="str">
        <f t="shared" si="652"/>
        <v/>
      </c>
      <c r="AG149" s="34" t="str">
        <f t="shared" si="652"/>
        <v/>
      </c>
      <c r="AH149" s="34" t="str">
        <f t="shared" si="652"/>
        <v/>
      </c>
      <c r="AI149" s="34" t="str">
        <f t="shared" si="652"/>
        <v/>
      </c>
      <c r="AJ149" s="34" t="str">
        <f t="shared" ref="AJ149:BO149" si="653">IF(AJ$89="","",IF(AJ$89=$M$2,AI149,SUM(AJ150:AJ154)))</f>
        <v/>
      </c>
      <c r="AK149" s="34" t="str">
        <f t="shared" si="653"/>
        <v/>
      </c>
      <c r="AL149" s="34" t="str">
        <f t="shared" si="653"/>
        <v/>
      </c>
      <c r="AM149" s="34" t="str">
        <f t="shared" si="653"/>
        <v/>
      </c>
      <c r="AN149" s="34" t="str">
        <f t="shared" si="653"/>
        <v/>
      </c>
      <c r="AO149" s="34" t="str">
        <f t="shared" si="653"/>
        <v/>
      </c>
      <c r="AP149" s="34" t="str">
        <f t="shared" si="653"/>
        <v/>
      </c>
      <c r="AQ149" s="34" t="str">
        <f t="shared" si="653"/>
        <v/>
      </c>
      <c r="AR149" s="34" t="str">
        <f t="shared" si="653"/>
        <v/>
      </c>
      <c r="AS149" s="34" t="str">
        <f t="shared" si="653"/>
        <v/>
      </c>
      <c r="AT149" s="34" t="str">
        <f t="shared" si="653"/>
        <v/>
      </c>
      <c r="AU149" s="34" t="str">
        <f t="shared" si="653"/>
        <v/>
      </c>
      <c r="AV149" s="34" t="str">
        <f t="shared" si="653"/>
        <v/>
      </c>
      <c r="AW149" s="34" t="str">
        <f t="shared" si="653"/>
        <v/>
      </c>
      <c r="AX149" s="34" t="str">
        <f t="shared" si="653"/>
        <v/>
      </c>
      <c r="AY149" s="34" t="str">
        <f t="shared" si="653"/>
        <v/>
      </c>
      <c r="AZ149" s="34" t="str">
        <f t="shared" si="653"/>
        <v/>
      </c>
      <c r="BA149" s="34" t="str">
        <f t="shared" si="653"/>
        <v/>
      </c>
      <c r="BB149" s="34" t="str">
        <f t="shared" si="653"/>
        <v/>
      </c>
      <c r="BC149" s="34" t="str">
        <f t="shared" si="653"/>
        <v/>
      </c>
      <c r="BD149" s="34" t="str">
        <f t="shared" si="653"/>
        <v/>
      </c>
      <c r="BE149" s="34" t="str">
        <f t="shared" si="653"/>
        <v/>
      </c>
      <c r="BF149" s="34" t="str">
        <f t="shared" si="653"/>
        <v/>
      </c>
      <c r="BG149" s="34" t="str">
        <f t="shared" si="653"/>
        <v/>
      </c>
      <c r="BH149" s="34" t="str">
        <f t="shared" si="653"/>
        <v/>
      </c>
      <c r="BI149" s="34" t="str">
        <f t="shared" si="653"/>
        <v/>
      </c>
      <c r="BJ149" s="34" t="str">
        <f t="shared" si="653"/>
        <v/>
      </c>
      <c r="BK149" s="34" t="str">
        <f t="shared" si="653"/>
        <v/>
      </c>
      <c r="BL149" s="34" t="str">
        <f t="shared" si="653"/>
        <v/>
      </c>
      <c r="BM149" s="34" t="str">
        <f t="shared" si="653"/>
        <v/>
      </c>
      <c r="BN149" s="34" t="str">
        <f t="shared" si="653"/>
        <v/>
      </c>
      <c r="BO149" s="34" t="str">
        <f t="shared" si="653"/>
        <v/>
      </c>
      <c r="BP149" s="34" t="str">
        <f t="shared" ref="BP149:CU149" si="654">IF(BP$89="","",IF(BP$89=$M$2,BO149,SUM(BP150:BP154)))</f>
        <v/>
      </c>
      <c r="BQ149" s="34" t="str">
        <f t="shared" si="654"/>
        <v/>
      </c>
      <c r="BR149" s="34" t="str">
        <f t="shared" si="654"/>
        <v/>
      </c>
      <c r="BS149" s="34" t="str">
        <f t="shared" si="654"/>
        <v/>
      </c>
      <c r="BT149" s="34" t="str">
        <f t="shared" si="654"/>
        <v/>
      </c>
      <c r="BU149" s="34" t="str">
        <f t="shared" si="654"/>
        <v/>
      </c>
      <c r="BV149" s="34" t="str">
        <f t="shared" si="654"/>
        <v/>
      </c>
      <c r="BW149" s="34" t="str">
        <f t="shared" si="654"/>
        <v/>
      </c>
      <c r="BX149" s="34" t="str">
        <f t="shared" si="654"/>
        <v/>
      </c>
      <c r="BY149" s="34" t="str">
        <f t="shared" si="654"/>
        <v/>
      </c>
      <c r="BZ149" s="34" t="str">
        <f t="shared" si="654"/>
        <v/>
      </c>
      <c r="CA149" s="34" t="str">
        <f t="shared" si="654"/>
        <v/>
      </c>
      <c r="CB149" s="34" t="str">
        <f t="shared" si="654"/>
        <v/>
      </c>
      <c r="CC149" s="34" t="str">
        <f t="shared" si="654"/>
        <v/>
      </c>
      <c r="CD149" s="34" t="str">
        <f t="shared" si="654"/>
        <v/>
      </c>
      <c r="CE149" s="34" t="str">
        <f t="shared" si="654"/>
        <v/>
      </c>
      <c r="CF149" s="34" t="str">
        <f t="shared" si="654"/>
        <v/>
      </c>
      <c r="CG149" s="34" t="str">
        <f t="shared" si="654"/>
        <v/>
      </c>
      <c r="CH149" s="34" t="str">
        <f t="shared" si="654"/>
        <v/>
      </c>
      <c r="CI149" s="34" t="str">
        <f t="shared" si="654"/>
        <v/>
      </c>
      <c r="CJ149" s="34" t="str">
        <f t="shared" si="654"/>
        <v/>
      </c>
      <c r="CK149" s="34" t="str">
        <f t="shared" si="654"/>
        <v/>
      </c>
      <c r="CL149" s="34" t="str">
        <f t="shared" si="654"/>
        <v/>
      </c>
      <c r="CM149" s="34" t="str">
        <f t="shared" si="654"/>
        <v/>
      </c>
      <c r="CN149" s="34" t="str">
        <f t="shared" si="654"/>
        <v/>
      </c>
      <c r="CO149" s="34" t="str">
        <f t="shared" si="654"/>
        <v/>
      </c>
      <c r="CP149" s="34" t="str">
        <f t="shared" si="654"/>
        <v/>
      </c>
      <c r="CQ149" s="34" t="str">
        <f t="shared" si="654"/>
        <v/>
      </c>
      <c r="CR149" s="34" t="str">
        <f t="shared" si="654"/>
        <v/>
      </c>
      <c r="CS149" s="34" t="str">
        <f t="shared" si="654"/>
        <v/>
      </c>
      <c r="CT149" s="34" t="str">
        <f t="shared" si="654"/>
        <v/>
      </c>
      <c r="CU149" s="34" t="str">
        <f t="shared" si="654"/>
        <v/>
      </c>
      <c r="CV149" s="34" t="str">
        <f t="shared" ref="CV149:CZ149" si="655">IF(CV$89="","",IF(CV$89=$M$2,CU149,SUM(CV150:CV154)))</f>
        <v/>
      </c>
      <c r="CW149" s="34" t="str">
        <f t="shared" si="655"/>
        <v/>
      </c>
      <c r="CX149" s="34" t="str">
        <f t="shared" si="655"/>
        <v/>
      </c>
      <c r="CY149" s="34" t="str">
        <f t="shared" si="655"/>
        <v/>
      </c>
      <c r="CZ149" s="34" t="str">
        <f t="shared" si="655"/>
        <v/>
      </c>
    </row>
    <row r="150" spans="1:104" ht="13.5" customHeight="1">
      <c r="A150" s="27">
        <v>134</v>
      </c>
      <c r="B150" s="33">
        <f t="shared" si="639"/>
        <v>150</v>
      </c>
      <c r="C150" s="8" t="s">
        <v>409</v>
      </c>
      <c r="D150" s="34">
        <f t="shared" ref="D150:AI150" ca="1" si="656">IF(D$89="","",IF(D$89=$M$2,C150,IF(D$11&lt;$D$7,OFFSET(INDIRECT($D$3),$A150-1,$Q$3+D$11),OFFSET(INDIRECT($D$4),$A150-1,$Q$4+D$11))))</f>
        <v>0</v>
      </c>
      <c r="E150" s="34">
        <f t="shared" ca="1" si="656"/>
        <v>0</v>
      </c>
      <c r="F150" s="34">
        <f t="shared" ca="1" si="656"/>
        <v>0</v>
      </c>
      <c r="G150" s="34">
        <f t="shared" ca="1" si="656"/>
        <v>0</v>
      </c>
      <c r="H150" s="34">
        <f t="shared" ca="1" si="656"/>
        <v>0</v>
      </c>
      <c r="I150" s="34">
        <f t="shared" ca="1" si="656"/>
        <v>0</v>
      </c>
      <c r="J150" s="34">
        <f t="shared" ca="1" si="656"/>
        <v>0</v>
      </c>
      <c r="K150" s="34">
        <f t="shared" ca="1" si="656"/>
        <v>0</v>
      </c>
      <c r="L150" s="34">
        <f t="shared" ca="1" si="656"/>
        <v>0</v>
      </c>
      <c r="M150" s="34">
        <f t="shared" ca="1" si="656"/>
        <v>0</v>
      </c>
      <c r="N150" s="34">
        <f t="shared" ca="1" si="656"/>
        <v>0</v>
      </c>
      <c r="O150" s="34" t="str">
        <f t="shared" ca="1" si="656"/>
        <v/>
      </c>
      <c r="P150" s="34" t="str">
        <f t="shared" ca="1" si="656"/>
        <v/>
      </c>
      <c r="Q150" s="34" t="str">
        <f t="shared" ca="1" si="656"/>
        <v/>
      </c>
      <c r="R150" s="34" t="str">
        <f t="shared" ca="1" si="656"/>
        <v/>
      </c>
      <c r="S150" s="34" t="str">
        <f t="shared" ca="1" si="656"/>
        <v/>
      </c>
      <c r="T150" s="34" t="str">
        <f t="shared" ca="1" si="656"/>
        <v/>
      </c>
      <c r="U150" s="34" t="str">
        <f t="shared" ca="1" si="656"/>
        <v/>
      </c>
      <c r="V150" s="34" t="str">
        <f t="shared" ca="1" si="656"/>
        <v/>
      </c>
      <c r="W150" s="34" t="str">
        <f t="shared" ca="1" si="656"/>
        <v/>
      </c>
      <c r="X150" s="34" t="str">
        <f t="shared" ca="1" si="656"/>
        <v/>
      </c>
      <c r="Y150" s="34" t="str">
        <f t="shared" ca="1" si="656"/>
        <v/>
      </c>
      <c r="Z150" s="34" t="str">
        <f t="shared" ca="1" si="656"/>
        <v/>
      </c>
      <c r="AA150" s="34" t="str">
        <f t="shared" ca="1" si="656"/>
        <v/>
      </c>
      <c r="AB150" s="34" t="str">
        <f t="shared" ca="1" si="656"/>
        <v/>
      </c>
      <c r="AC150" s="34" t="str">
        <f t="shared" ca="1" si="656"/>
        <v/>
      </c>
      <c r="AD150" s="34" t="str">
        <f t="shared" ca="1" si="656"/>
        <v/>
      </c>
      <c r="AE150" s="34" t="str">
        <f t="shared" ca="1" si="656"/>
        <v/>
      </c>
      <c r="AF150" s="34" t="str">
        <f t="shared" ca="1" si="656"/>
        <v/>
      </c>
      <c r="AG150" s="34" t="str">
        <f t="shared" ca="1" si="656"/>
        <v/>
      </c>
      <c r="AH150" s="34" t="str">
        <f t="shared" ca="1" si="656"/>
        <v/>
      </c>
      <c r="AI150" s="34" t="str">
        <f t="shared" ca="1" si="656"/>
        <v/>
      </c>
      <c r="AJ150" s="34" t="str">
        <f t="shared" ref="AJ150:BO150" ca="1" si="657">IF(AJ$89="","",IF(AJ$89=$M$2,AI150,IF(AJ$11&lt;$D$7,OFFSET(INDIRECT($D$3),$A150-1,$Q$3+AJ$11),OFFSET(INDIRECT($D$4),$A150-1,$Q$4+AJ$11))))</f>
        <v/>
      </c>
      <c r="AK150" s="34" t="str">
        <f t="shared" ca="1" si="657"/>
        <v/>
      </c>
      <c r="AL150" s="34" t="str">
        <f t="shared" ca="1" si="657"/>
        <v/>
      </c>
      <c r="AM150" s="34" t="str">
        <f t="shared" ca="1" si="657"/>
        <v/>
      </c>
      <c r="AN150" s="34" t="str">
        <f t="shared" ca="1" si="657"/>
        <v/>
      </c>
      <c r="AO150" s="34" t="str">
        <f t="shared" ca="1" si="657"/>
        <v/>
      </c>
      <c r="AP150" s="34" t="str">
        <f t="shared" ca="1" si="657"/>
        <v/>
      </c>
      <c r="AQ150" s="34" t="str">
        <f t="shared" ca="1" si="657"/>
        <v/>
      </c>
      <c r="AR150" s="34" t="str">
        <f t="shared" ca="1" si="657"/>
        <v/>
      </c>
      <c r="AS150" s="34" t="str">
        <f t="shared" ca="1" si="657"/>
        <v/>
      </c>
      <c r="AT150" s="34" t="str">
        <f t="shared" ca="1" si="657"/>
        <v/>
      </c>
      <c r="AU150" s="34" t="str">
        <f t="shared" ca="1" si="657"/>
        <v/>
      </c>
      <c r="AV150" s="34" t="str">
        <f t="shared" ca="1" si="657"/>
        <v/>
      </c>
      <c r="AW150" s="34" t="str">
        <f t="shared" ca="1" si="657"/>
        <v/>
      </c>
      <c r="AX150" s="34" t="str">
        <f t="shared" ca="1" si="657"/>
        <v/>
      </c>
      <c r="AY150" s="34" t="str">
        <f t="shared" ca="1" si="657"/>
        <v/>
      </c>
      <c r="AZ150" s="34" t="str">
        <f t="shared" ca="1" si="657"/>
        <v/>
      </c>
      <c r="BA150" s="34" t="str">
        <f t="shared" ca="1" si="657"/>
        <v/>
      </c>
      <c r="BB150" s="34" t="str">
        <f t="shared" ca="1" si="657"/>
        <v/>
      </c>
      <c r="BC150" s="34" t="str">
        <f t="shared" ca="1" si="657"/>
        <v/>
      </c>
      <c r="BD150" s="34" t="str">
        <f t="shared" ca="1" si="657"/>
        <v/>
      </c>
      <c r="BE150" s="34" t="str">
        <f t="shared" ca="1" si="657"/>
        <v/>
      </c>
      <c r="BF150" s="34" t="str">
        <f t="shared" ca="1" si="657"/>
        <v/>
      </c>
      <c r="BG150" s="34" t="str">
        <f t="shared" ca="1" si="657"/>
        <v/>
      </c>
      <c r="BH150" s="34" t="str">
        <f t="shared" ca="1" si="657"/>
        <v/>
      </c>
      <c r="BI150" s="34" t="str">
        <f t="shared" ca="1" si="657"/>
        <v/>
      </c>
      <c r="BJ150" s="34" t="str">
        <f t="shared" ca="1" si="657"/>
        <v/>
      </c>
      <c r="BK150" s="34" t="str">
        <f t="shared" ca="1" si="657"/>
        <v/>
      </c>
      <c r="BL150" s="34" t="str">
        <f t="shared" ca="1" si="657"/>
        <v/>
      </c>
      <c r="BM150" s="34" t="str">
        <f t="shared" ca="1" si="657"/>
        <v/>
      </c>
      <c r="BN150" s="34" t="str">
        <f t="shared" ca="1" si="657"/>
        <v/>
      </c>
      <c r="BO150" s="34" t="str">
        <f t="shared" ca="1" si="657"/>
        <v/>
      </c>
      <c r="BP150" s="34" t="str">
        <f t="shared" ref="BP150:CZ150" ca="1" si="658">IF(BP$89="","",IF(BP$89=$M$2,BO150,IF(BP$11&lt;$D$7,OFFSET(INDIRECT($D$3),$A150-1,$Q$3+BP$11),OFFSET(INDIRECT($D$4),$A150-1,$Q$4+BP$11))))</f>
        <v/>
      </c>
      <c r="BQ150" s="34" t="str">
        <f t="shared" ca="1" si="658"/>
        <v/>
      </c>
      <c r="BR150" s="34" t="str">
        <f t="shared" ca="1" si="658"/>
        <v/>
      </c>
      <c r="BS150" s="34" t="str">
        <f t="shared" ca="1" si="658"/>
        <v/>
      </c>
      <c r="BT150" s="34" t="str">
        <f t="shared" ca="1" si="658"/>
        <v/>
      </c>
      <c r="BU150" s="34" t="str">
        <f t="shared" ca="1" si="658"/>
        <v/>
      </c>
      <c r="BV150" s="34" t="str">
        <f t="shared" ca="1" si="658"/>
        <v/>
      </c>
      <c r="BW150" s="34" t="str">
        <f t="shared" ca="1" si="658"/>
        <v/>
      </c>
      <c r="BX150" s="34" t="str">
        <f t="shared" ca="1" si="658"/>
        <v/>
      </c>
      <c r="BY150" s="34" t="str">
        <f t="shared" ca="1" si="658"/>
        <v/>
      </c>
      <c r="BZ150" s="34" t="str">
        <f t="shared" ca="1" si="658"/>
        <v/>
      </c>
      <c r="CA150" s="34" t="str">
        <f t="shared" ca="1" si="658"/>
        <v/>
      </c>
      <c r="CB150" s="34" t="str">
        <f t="shared" ca="1" si="658"/>
        <v/>
      </c>
      <c r="CC150" s="34" t="str">
        <f t="shared" ca="1" si="658"/>
        <v/>
      </c>
      <c r="CD150" s="34" t="str">
        <f t="shared" ca="1" si="658"/>
        <v/>
      </c>
      <c r="CE150" s="34" t="str">
        <f t="shared" ca="1" si="658"/>
        <v/>
      </c>
      <c r="CF150" s="34" t="str">
        <f t="shared" ca="1" si="658"/>
        <v/>
      </c>
      <c r="CG150" s="34" t="str">
        <f t="shared" ca="1" si="658"/>
        <v/>
      </c>
      <c r="CH150" s="34" t="str">
        <f t="shared" ca="1" si="658"/>
        <v/>
      </c>
      <c r="CI150" s="34" t="str">
        <f t="shared" ca="1" si="658"/>
        <v/>
      </c>
      <c r="CJ150" s="34" t="str">
        <f t="shared" ca="1" si="658"/>
        <v/>
      </c>
      <c r="CK150" s="34" t="str">
        <f t="shared" ca="1" si="658"/>
        <v/>
      </c>
      <c r="CL150" s="34" t="str">
        <f t="shared" ca="1" si="658"/>
        <v/>
      </c>
      <c r="CM150" s="34" t="str">
        <f t="shared" ca="1" si="658"/>
        <v/>
      </c>
      <c r="CN150" s="34" t="str">
        <f t="shared" ca="1" si="658"/>
        <v/>
      </c>
      <c r="CO150" s="34" t="str">
        <f t="shared" ca="1" si="658"/>
        <v/>
      </c>
      <c r="CP150" s="34" t="str">
        <f t="shared" ca="1" si="658"/>
        <v/>
      </c>
      <c r="CQ150" s="34" t="str">
        <f t="shared" ca="1" si="658"/>
        <v/>
      </c>
      <c r="CR150" s="34" t="str">
        <f t="shared" ca="1" si="658"/>
        <v/>
      </c>
      <c r="CS150" s="34" t="str">
        <f t="shared" ca="1" si="658"/>
        <v/>
      </c>
      <c r="CT150" s="34" t="str">
        <f t="shared" ca="1" si="658"/>
        <v/>
      </c>
      <c r="CU150" s="34" t="str">
        <f t="shared" ca="1" si="658"/>
        <v/>
      </c>
      <c r="CV150" s="34" t="str">
        <f t="shared" ca="1" si="658"/>
        <v/>
      </c>
      <c r="CW150" s="34" t="str">
        <f t="shared" ca="1" si="658"/>
        <v/>
      </c>
      <c r="CX150" s="34" t="str">
        <f t="shared" ca="1" si="658"/>
        <v/>
      </c>
      <c r="CY150" s="34" t="str">
        <f t="shared" ca="1" si="658"/>
        <v/>
      </c>
      <c r="CZ150" s="34" t="str">
        <f t="shared" ca="1" si="658"/>
        <v/>
      </c>
    </row>
    <row r="151" spans="1:104" ht="13.5" customHeight="1">
      <c r="A151" s="27">
        <v>135</v>
      </c>
      <c r="B151" s="33">
        <f t="shared" si="639"/>
        <v>151</v>
      </c>
      <c r="C151" s="8" t="s">
        <v>410</v>
      </c>
      <c r="D151" s="34">
        <f t="shared" ref="D151:AI151" ca="1" si="659">IF(D$89="","",IF(D$89=$M$2,C151,IF(D$11&lt;$D$7,OFFSET(INDIRECT($D$3),$A151-1,$Q$3+D$11),OFFSET(INDIRECT($D$4),$A151-1,$Q$4+D$11))))</f>
        <v>13331</v>
      </c>
      <c r="E151" s="34">
        <f t="shared" ca="1" si="659"/>
        <v>16422</v>
      </c>
      <c r="F151" s="34">
        <f t="shared" ca="1" si="659"/>
        <v>12326</v>
      </c>
      <c r="G151" s="34">
        <f t="shared" ca="1" si="659"/>
        <v>12715</v>
      </c>
      <c r="H151" s="34">
        <f t="shared" ca="1" si="659"/>
        <v>13331</v>
      </c>
      <c r="I151" s="34">
        <f t="shared" ca="1" si="659"/>
        <v>13961</v>
      </c>
      <c r="J151" s="34">
        <f t="shared" ca="1" si="659"/>
        <v>14850</v>
      </c>
      <c r="K151" s="34">
        <f t="shared" ca="1" si="659"/>
        <v>15573</v>
      </c>
      <c r="L151" s="34">
        <f t="shared" ca="1" si="659"/>
        <v>16422</v>
      </c>
      <c r="M151" s="34">
        <f t="shared" ca="1" si="659"/>
        <v>17167</v>
      </c>
      <c r="N151" s="34">
        <f t="shared" ca="1" si="659"/>
        <v>17167</v>
      </c>
      <c r="O151" s="34" t="str">
        <f t="shared" ca="1" si="659"/>
        <v/>
      </c>
      <c r="P151" s="34" t="str">
        <f t="shared" ca="1" si="659"/>
        <v/>
      </c>
      <c r="Q151" s="34" t="str">
        <f t="shared" ca="1" si="659"/>
        <v/>
      </c>
      <c r="R151" s="34" t="str">
        <f t="shared" ca="1" si="659"/>
        <v/>
      </c>
      <c r="S151" s="34" t="str">
        <f t="shared" ca="1" si="659"/>
        <v/>
      </c>
      <c r="T151" s="34" t="str">
        <f t="shared" ca="1" si="659"/>
        <v/>
      </c>
      <c r="U151" s="34" t="str">
        <f t="shared" ca="1" si="659"/>
        <v/>
      </c>
      <c r="V151" s="34" t="str">
        <f t="shared" ca="1" si="659"/>
        <v/>
      </c>
      <c r="W151" s="34" t="str">
        <f t="shared" ca="1" si="659"/>
        <v/>
      </c>
      <c r="X151" s="34" t="str">
        <f t="shared" ca="1" si="659"/>
        <v/>
      </c>
      <c r="Y151" s="34" t="str">
        <f t="shared" ca="1" si="659"/>
        <v/>
      </c>
      <c r="Z151" s="34" t="str">
        <f t="shared" ca="1" si="659"/>
        <v/>
      </c>
      <c r="AA151" s="34" t="str">
        <f t="shared" ca="1" si="659"/>
        <v/>
      </c>
      <c r="AB151" s="34" t="str">
        <f t="shared" ca="1" si="659"/>
        <v/>
      </c>
      <c r="AC151" s="34" t="str">
        <f t="shared" ca="1" si="659"/>
        <v/>
      </c>
      <c r="AD151" s="34" t="str">
        <f t="shared" ca="1" si="659"/>
        <v/>
      </c>
      <c r="AE151" s="34" t="str">
        <f t="shared" ca="1" si="659"/>
        <v/>
      </c>
      <c r="AF151" s="34" t="str">
        <f t="shared" ca="1" si="659"/>
        <v/>
      </c>
      <c r="AG151" s="34" t="str">
        <f t="shared" ca="1" si="659"/>
        <v/>
      </c>
      <c r="AH151" s="34" t="str">
        <f t="shared" ca="1" si="659"/>
        <v/>
      </c>
      <c r="AI151" s="34" t="str">
        <f t="shared" ca="1" si="659"/>
        <v/>
      </c>
      <c r="AJ151" s="34" t="str">
        <f t="shared" ref="AJ151:BO151" ca="1" si="660">IF(AJ$89="","",IF(AJ$89=$M$2,AI151,IF(AJ$11&lt;$D$7,OFFSET(INDIRECT($D$3),$A151-1,$Q$3+AJ$11),OFFSET(INDIRECT($D$4),$A151-1,$Q$4+AJ$11))))</f>
        <v/>
      </c>
      <c r="AK151" s="34" t="str">
        <f t="shared" ca="1" si="660"/>
        <v/>
      </c>
      <c r="AL151" s="34" t="str">
        <f t="shared" ca="1" si="660"/>
        <v/>
      </c>
      <c r="AM151" s="34" t="str">
        <f t="shared" ca="1" si="660"/>
        <v/>
      </c>
      <c r="AN151" s="34" t="str">
        <f t="shared" ca="1" si="660"/>
        <v/>
      </c>
      <c r="AO151" s="34" t="str">
        <f t="shared" ca="1" si="660"/>
        <v/>
      </c>
      <c r="AP151" s="34" t="str">
        <f t="shared" ca="1" si="660"/>
        <v/>
      </c>
      <c r="AQ151" s="34" t="str">
        <f t="shared" ca="1" si="660"/>
        <v/>
      </c>
      <c r="AR151" s="34" t="str">
        <f t="shared" ca="1" si="660"/>
        <v/>
      </c>
      <c r="AS151" s="34" t="str">
        <f t="shared" ca="1" si="660"/>
        <v/>
      </c>
      <c r="AT151" s="34" t="str">
        <f t="shared" ca="1" si="660"/>
        <v/>
      </c>
      <c r="AU151" s="34" t="str">
        <f t="shared" ca="1" si="660"/>
        <v/>
      </c>
      <c r="AV151" s="34" t="str">
        <f t="shared" ca="1" si="660"/>
        <v/>
      </c>
      <c r="AW151" s="34" t="str">
        <f t="shared" ca="1" si="660"/>
        <v/>
      </c>
      <c r="AX151" s="34" t="str">
        <f t="shared" ca="1" si="660"/>
        <v/>
      </c>
      <c r="AY151" s="34" t="str">
        <f t="shared" ca="1" si="660"/>
        <v/>
      </c>
      <c r="AZ151" s="34" t="str">
        <f t="shared" ca="1" si="660"/>
        <v/>
      </c>
      <c r="BA151" s="34" t="str">
        <f t="shared" ca="1" si="660"/>
        <v/>
      </c>
      <c r="BB151" s="34" t="str">
        <f t="shared" ca="1" si="660"/>
        <v/>
      </c>
      <c r="BC151" s="34" t="str">
        <f t="shared" ca="1" si="660"/>
        <v/>
      </c>
      <c r="BD151" s="34" t="str">
        <f t="shared" ca="1" si="660"/>
        <v/>
      </c>
      <c r="BE151" s="34" t="str">
        <f t="shared" ca="1" si="660"/>
        <v/>
      </c>
      <c r="BF151" s="34" t="str">
        <f t="shared" ca="1" si="660"/>
        <v/>
      </c>
      <c r="BG151" s="34" t="str">
        <f t="shared" ca="1" si="660"/>
        <v/>
      </c>
      <c r="BH151" s="34" t="str">
        <f t="shared" ca="1" si="660"/>
        <v/>
      </c>
      <c r="BI151" s="34" t="str">
        <f t="shared" ca="1" si="660"/>
        <v/>
      </c>
      <c r="BJ151" s="34" t="str">
        <f t="shared" ca="1" si="660"/>
        <v/>
      </c>
      <c r="BK151" s="34" t="str">
        <f t="shared" ca="1" si="660"/>
        <v/>
      </c>
      <c r="BL151" s="34" t="str">
        <f t="shared" ca="1" si="660"/>
        <v/>
      </c>
      <c r="BM151" s="34" t="str">
        <f t="shared" ca="1" si="660"/>
        <v/>
      </c>
      <c r="BN151" s="34" t="str">
        <f t="shared" ca="1" si="660"/>
        <v/>
      </c>
      <c r="BO151" s="34" t="str">
        <f t="shared" ca="1" si="660"/>
        <v/>
      </c>
      <c r="BP151" s="34" t="str">
        <f t="shared" ref="BP151:CZ151" ca="1" si="661">IF(BP$89="","",IF(BP$89=$M$2,BO151,IF(BP$11&lt;$D$7,OFFSET(INDIRECT($D$3),$A151-1,$Q$3+BP$11),OFFSET(INDIRECT($D$4),$A151-1,$Q$4+BP$11))))</f>
        <v/>
      </c>
      <c r="BQ151" s="34" t="str">
        <f t="shared" ca="1" si="661"/>
        <v/>
      </c>
      <c r="BR151" s="34" t="str">
        <f t="shared" ca="1" si="661"/>
        <v/>
      </c>
      <c r="BS151" s="34" t="str">
        <f t="shared" ca="1" si="661"/>
        <v/>
      </c>
      <c r="BT151" s="34" t="str">
        <f t="shared" ca="1" si="661"/>
        <v/>
      </c>
      <c r="BU151" s="34" t="str">
        <f t="shared" ca="1" si="661"/>
        <v/>
      </c>
      <c r="BV151" s="34" t="str">
        <f t="shared" ca="1" si="661"/>
        <v/>
      </c>
      <c r="BW151" s="34" t="str">
        <f t="shared" ca="1" si="661"/>
        <v/>
      </c>
      <c r="BX151" s="34" t="str">
        <f t="shared" ca="1" si="661"/>
        <v/>
      </c>
      <c r="BY151" s="34" t="str">
        <f t="shared" ca="1" si="661"/>
        <v/>
      </c>
      <c r="BZ151" s="34" t="str">
        <f t="shared" ca="1" si="661"/>
        <v/>
      </c>
      <c r="CA151" s="34" t="str">
        <f t="shared" ca="1" si="661"/>
        <v/>
      </c>
      <c r="CB151" s="34" t="str">
        <f t="shared" ca="1" si="661"/>
        <v/>
      </c>
      <c r="CC151" s="34" t="str">
        <f t="shared" ca="1" si="661"/>
        <v/>
      </c>
      <c r="CD151" s="34" t="str">
        <f t="shared" ca="1" si="661"/>
        <v/>
      </c>
      <c r="CE151" s="34" t="str">
        <f t="shared" ca="1" si="661"/>
        <v/>
      </c>
      <c r="CF151" s="34" t="str">
        <f t="shared" ca="1" si="661"/>
        <v/>
      </c>
      <c r="CG151" s="34" t="str">
        <f t="shared" ca="1" si="661"/>
        <v/>
      </c>
      <c r="CH151" s="34" t="str">
        <f t="shared" ca="1" si="661"/>
        <v/>
      </c>
      <c r="CI151" s="34" t="str">
        <f t="shared" ca="1" si="661"/>
        <v/>
      </c>
      <c r="CJ151" s="34" t="str">
        <f t="shared" ca="1" si="661"/>
        <v/>
      </c>
      <c r="CK151" s="34" t="str">
        <f t="shared" ca="1" si="661"/>
        <v/>
      </c>
      <c r="CL151" s="34" t="str">
        <f t="shared" ca="1" si="661"/>
        <v/>
      </c>
      <c r="CM151" s="34" t="str">
        <f t="shared" ca="1" si="661"/>
        <v/>
      </c>
      <c r="CN151" s="34" t="str">
        <f t="shared" ca="1" si="661"/>
        <v/>
      </c>
      <c r="CO151" s="34" t="str">
        <f t="shared" ca="1" si="661"/>
        <v/>
      </c>
      <c r="CP151" s="34" t="str">
        <f t="shared" ca="1" si="661"/>
        <v/>
      </c>
      <c r="CQ151" s="34" t="str">
        <f t="shared" ca="1" si="661"/>
        <v/>
      </c>
      <c r="CR151" s="34" t="str">
        <f t="shared" ca="1" si="661"/>
        <v/>
      </c>
      <c r="CS151" s="34" t="str">
        <f t="shared" ca="1" si="661"/>
        <v/>
      </c>
      <c r="CT151" s="34" t="str">
        <f t="shared" ca="1" si="661"/>
        <v/>
      </c>
      <c r="CU151" s="34" t="str">
        <f t="shared" ca="1" si="661"/>
        <v/>
      </c>
      <c r="CV151" s="34" t="str">
        <f t="shared" ca="1" si="661"/>
        <v/>
      </c>
      <c r="CW151" s="34" t="str">
        <f t="shared" ca="1" si="661"/>
        <v/>
      </c>
      <c r="CX151" s="34" t="str">
        <f t="shared" ca="1" si="661"/>
        <v/>
      </c>
      <c r="CY151" s="34" t="str">
        <f t="shared" ca="1" si="661"/>
        <v/>
      </c>
      <c r="CZ151" s="34" t="str">
        <f t="shared" ca="1" si="661"/>
        <v/>
      </c>
    </row>
    <row r="152" spans="1:104" ht="13.5" customHeight="1">
      <c r="A152" s="27">
        <v>136</v>
      </c>
      <c r="B152" s="33">
        <f t="shared" si="639"/>
        <v>152</v>
      </c>
      <c r="C152" s="8" t="s">
        <v>411</v>
      </c>
      <c r="D152" s="34">
        <f t="shared" ref="D152:AI152" ca="1" si="662">IF(D$89="","",IF(D$89=$M$2,C152,IF(D$11&lt;$D$7,OFFSET(INDIRECT($D$3),$A152-1,$Q$3+D$11),OFFSET(INDIRECT($D$4),$A152-1,$Q$4+D$11))))</f>
        <v>0</v>
      </c>
      <c r="E152" s="34">
        <f t="shared" ca="1" si="662"/>
        <v>0</v>
      </c>
      <c r="F152" s="34">
        <f t="shared" ca="1" si="662"/>
        <v>0</v>
      </c>
      <c r="G152" s="34">
        <f t="shared" ca="1" si="662"/>
        <v>0</v>
      </c>
      <c r="H152" s="34">
        <f t="shared" ca="1" si="662"/>
        <v>0</v>
      </c>
      <c r="I152" s="34">
        <f t="shared" ca="1" si="662"/>
        <v>0</v>
      </c>
      <c r="J152" s="34">
        <f t="shared" ca="1" si="662"/>
        <v>0</v>
      </c>
      <c r="K152" s="34">
        <f t="shared" ca="1" si="662"/>
        <v>0</v>
      </c>
      <c r="L152" s="34">
        <f t="shared" ca="1" si="662"/>
        <v>0</v>
      </c>
      <c r="M152" s="34">
        <f t="shared" ca="1" si="662"/>
        <v>0</v>
      </c>
      <c r="N152" s="34">
        <f t="shared" ca="1" si="662"/>
        <v>0</v>
      </c>
      <c r="O152" s="34" t="str">
        <f t="shared" ca="1" si="662"/>
        <v/>
      </c>
      <c r="P152" s="34" t="str">
        <f t="shared" ca="1" si="662"/>
        <v/>
      </c>
      <c r="Q152" s="34" t="str">
        <f t="shared" ca="1" si="662"/>
        <v/>
      </c>
      <c r="R152" s="34" t="str">
        <f t="shared" ca="1" si="662"/>
        <v/>
      </c>
      <c r="S152" s="34" t="str">
        <f t="shared" ca="1" si="662"/>
        <v/>
      </c>
      <c r="T152" s="34" t="str">
        <f t="shared" ca="1" si="662"/>
        <v/>
      </c>
      <c r="U152" s="34" t="str">
        <f t="shared" ca="1" si="662"/>
        <v/>
      </c>
      <c r="V152" s="34" t="str">
        <f t="shared" ca="1" si="662"/>
        <v/>
      </c>
      <c r="W152" s="34" t="str">
        <f t="shared" ca="1" si="662"/>
        <v/>
      </c>
      <c r="X152" s="34" t="str">
        <f t="shared" ca="1" si="662"/>
        <v/>
      </c>
      <c r="Y152" s="34" t="str">
        <f t="shared" ca="1" si="662"/>
        <v/>
      </c>
      <c r="Z152" s="34" t="str">
        <f t="shared" ca="1" si="662"/>
        <v/>
      </c>
      <c r="AA152" s="34" t="str">
        <f t="shared" ca="1" si="662"/>
        <v/>
      </c>
      <c r="AB152" s="34" t="str">
        <f t="shared" ca="1" si="662"/>
        <v/>
      </c>
      <c r="AC152" s="34" t="str">
        <f t="shared" ca="1" si="662"/>
        <v/>
      </c>
      <c r="AD152" s="34" t="str">
        <f t="shared" ca="1" si="662"/>
        <v/>
      </c>
      <c r="AE152" s="34" t="str">
        <f t="shared" ca="1" si="662"/>
        <v/>
      </c>
      <c r="AF152" s="34" t="str">
        <f t="shared" ca="1" si="662"/>
        <v/>
      </c>
      <c r="AG152" s="34" t="str">
        <f t="shared" ca="1" si="662"/>
        <v/>
      </c>
      <c r="AH152" s="34" t="str">
        <f t="shared" ca="1" si="662"/>
        <v/>
      </c>
      <c r="AI152" s="34" t="str">
        <f t="shared" ca="1" si="662"/>
        <v/>
      </c>
      <c r="AJ152" s="34" t="str">
        <f t="shared" ref="AJ152:BO152" ca="1" si="663">IF(AJ$89="","",IF(AJ$89=$M$2,AI152,IF(AJ$11&lt;$D$7,OFFSET(INDIRECT($D$3),$A152-1,$Q$3+AJ$11),OFFSET(INDIRECT($D$4),$A152-1,$Q$4+AJ$11))))</f>
        <v/>
      </c>
      <c r="AK152" s="34" t="str">
        <f t="shared" ca="1" si="663"/>
        <v/>
      </c>
      <c r="AL152" s="34" t="str">
        <f t="shared" ca="1" si="663"/>
        <v/>
      </c>
      <c r="AM152" s="34" t="str">
        <f t="shared" ca="1" si="663"/>
        <v/>
      </c>
      <c r="AN152" s="34" t="str">
        <f t="shared" ca="1" si="663"/>
        <v/>
      </c>
      <c r="AO152" s="34" t="str">
        <f t="shared" ca="1" si="663"/>
        <v/>
      </c>
      <c r="AP152" s="34" t="str">
        <f t="shared" ca="1" si="663"/>
        <v/>
      </c>
      <c r="AQ152" s="34" t="str">
        <f t="shared" ca="1" si="663"/>
        <v/>
      </c>
      <c r="AR152" s="34" t="str">
        <f t="shared" ca="1" si="663"/>
        <v/>
      </c>
      <c r="AS152" s="34" t="str">
        <f t="shared" ca="1" si="663"/>
        <v/>
      </c>
      <c r="AT152" s="34" t="str">
        <f t="shared" ca="1" si="663"/>
        <v/>
      </c>
      <c r="AU152" s="34" t="str">
        <f t="shared" ca="1" si="663"/>
        <v/>
      </c>
      <c r="AV152" s="34" t="str">
        <f t="shared" ca="1" si="663"/>
        <v/>
      </c>
      <c r="AW152" s="34" t="str">
        <f t="shared" ca="1" si="663"/>
        <v/>
      </c>
      <c r="AX152" s="34" t="str">
        <f t="shared" ca="1" si="663"/>
        <v/>
      </c>
      <c r="AY152" s="34" t="str">
        <f t="shared" ca="1" si="663"/>
        <v/>
      </c>
      <c r="AZ152" s="34" t="str">
        <f t="shared" ca="1" si="663"/>
        <v/>
      </c>
      <c r="BA152" s="34" t="str">
        <f t="shared" ca="1" si="663"/>
        <v/>
      </c>
      <c r="BB152" s="34" t="str">
        <f t="shared" ca="1" si="663"/>
        <v/>
      </c>
      <c r="BC152" s="34" t="str">
        <f t="shared" ca="1" si="663"/>
        <v/>
      </c>
      <c r="BD152" s="34" t="str">
        <f t="shared" ca="1" si="663"/>
        <v/>
      </c>
      <c r="BE152" s="34" t="str">
        <f t="shared" ca="1" si="663"/>
        <v/>
      </c>
      <c r="BF152" s="34" t="str">
        <f t="shared" ca="1" si="663"/>
        <v/>
      </c>
      <c r="BG152" s="34" t="str">
        <f t="shared" ca="1" si="663"/>
        <v/>
      </c>
      <c r="BH152" s="34" t="str">
        <f t="shared" ca="1" si="663"/>
        <v/>
      </c>
      <c r="BI152" s="34" t="str">
        <f t="shared" ca="1" si="663"/>
        <v/>
      </c>
      <c r="BJ152" s="34" t="str">
        <f t="shared" ca="1" si="663"/>
        <v/>
      </c>
      <c r="BK152" s="34" t="str">
        <f t="shared" ca="1" si="663"/>
        <v/>
      </c>
      <c r="BL152" s="34" t="str">
        <f t="shared" ca="1" si="663"/>
        <v/>
      </c>
      <c r="BM152" s="34" t="str">
        <f t="shared" ca="1" si="663"/>
        <v/>
      </c>
      <c r="BN152" s="34" t="str">
        <f t="shared" ca="1" si="663"/>
        <v/>
      </c>
      <c r="BO152" s="34" t="str">
        <f t="shared" ca="1" si="663"/>
        <v/>
      </c>
      <c r="BP152" s="34" t="str">
        <f t="shared" ref="BP152:CZ152" ca="1" si="664">IF(BP$89="","",IF(BP$89=$M$2,BO152,IF(BP$11&lt;$D$7,OFFSET(INDIRECT($D$3),$A152-1,$Q$3+BP$11),OFFSET(INDIRECT($D$4),$A152-1,$Q$4+BP$11))))</f>
        <v/>
      </c>
      <c r="BQ152" s="34" t="str">
        <f t="shared" ca="1" si="664"/>
        <v/>
      </c>
      <c r="BR152" s="34" t="str">
        <f t="shared" ca="1" si="664"/>
        <v/>
      </c>
      <c r="BS152" s="34" t="str">
        <f t="shared" ca="1" si="664"/>
        <v/>
      </c>
      <c r="BT152" s="34" t="str">
        <f t="shared" ca="1" si="664"/>
        <v/>
      </c>
      <c r="BU152" s="34" t="str">
        <f t="shared" ca="1" si="664"/>
        <v/>
      </c>
      <c r="BV152" s="34" t="str">
        <f t="shared" ca="1" si="664"/>
        <v/>
      </c>
      <c r="BW152" s="34" t="str">
        <f t="shared" ca="1" si="664"/>
        <v/>
      </c>
      <c r="BX152" s="34" t="str">
        <f t="shared" ca="1" si="664"/>
        <v/>
      </c>
      <c r="BY152" s="34" t="str">
        <f t="shared" ca="1" si="664"/>
        <v/>
      </c>
      <c r="BZ152" s="34" t="str">
        <f t="shared" ca="1" si="664"/>
        <v/>
      </c>
      <c r="CA152" s="34" t="str">
        <f t="shared" ca="1" si="664"/>
        <v/>
      </c>
      <c r="CB152" s="34" t="str">
        <f t="shared" ca="1" si="664"/>
        <v/>
      </c>
      <c r="CC152" s="34" t="str">
        <f t="shared" ca="1" si="664"/>
        <v/>
      </c>
      <c r="CD152" s="34" t="str">
        <f t="shared" ca="1" si="664"/>
        <v/>
      </c>
      <c r="CE152" s="34" t="str">
        <f t="shared" ca="1" si="664"/>
        <v/>
      </c>
      <c r="CF152" s="34" t="str">
        <f t="shared" ca="1" si="664"/>
        <v/>
      </c>
      <c r="CG152" s="34" t="str">
        <f t="shared" ca="1" si="664"/>
        <v/>
      </c>
      <c r="CH152" s="34" t="str">
        <f t="shared" ca="1" si="664"/>
        <v/>
      </c>
      <c r="CI152" s="34" t="str">
        <f t="shared" ca="1" si="664"/>
        <v/>
      </c>
      <c r="CJ152" s="34" t="str">
        <f t="shared" ca="1" si="664"/>
        <v/>
      </c>
      <c r="CK152" s="34" t="str">
        <f t="shared" ca="1" si="664"/>
        <v/>
      </c>
      <c r="CL152" s="34" t="str">
        <f t="shared" ca="1" si="664"/>
        <v/>
      </c>
      <c r="CM152" s="34" t="str">
        <f t="shared" ca="1" si="664"/>
        <v/>
      </c>
      <c r="CN152" s="34" t="str">
        <f t="shared" ca="1" si="664"/>
        <v/>
      </c>
      <c r="CO152" s="34" t="str">
        <f t="shared" ca="1" si="664"/>
        <v/>
      </c>
      <c r="CP152" s="34" t="str">
        <f t="shared" ca="1" si="664"/>
        <v/>
      </c>
      <c r="CQ152" s="34" t="str">
        <f t="shared" ca="1" si="664"/>
        <v/>
      </c>
      <c r="CR152" s="34" t="str">
        <f t="shared" ca="1" si="664"/>
        <v/>
      </c>
      <c r="CS152" s="34" t="str">
        <f t="shared" ca="1" si="664"/>
        <v/>
      </c>
      <c r="CT152" s="34" t="str">
        <f t="shared" ca="1" si="664"/>
        <v/>
      </c>
      <c r="CU152" s="34" t="str">
        <f t="shared" ca="1" si="664"/>
        <v/>
      </c>
      <c r="CV152" s="34" t="str">
        <f t="shared" ca="1" si="664"/>
        <v/>
      </c>
      <c r="CW152" s="34" t="str">
        <f t="shared" ca="1" si="664"/>
        <v/>
      </c>
      <c r="CX152" s="34" t="str">
        <f t="shared" ca="1" si="664"/>
        <v/>
      </c>
      <c r="CY152" s="34" t="str">
        <f t="shared" ca="1" si="664"/>
        <v/>
      </c>
      <c r="CZ152" s="34" t="str">
        <f t="shared" ca="1" si="664"/>
        <v/>
      </c>
    </row>
    <row r="153" spans="1:104" ht="13.5" customHeight="1">
      <c r="A153" s="27">
        <v>138</v>
      </c>
      <c r="B153" s="33">
        <f t="shared" si="639"/>
        <v>153</v>
      </c>
      <c r="C153" s="8" t="s">
        <v>412</v>
      </c>
      <c r="D153" s="34">
        <f t="shared" ref="D153:AI153" ca="1" si="665">IF(D$89="","",IF(D$89=$M$2,C153,IF(D$11&lt;$D$7,OFFSET(INDIRECT($D$3),$A153-1,$Q$3+D$11),OFFSET(INDIRECT($D$4),$A153-1,$Q$4+D$11))))</f>
        <v>0</v>
      </c>
      <c r="E153" s="34">
        <f t="shared" ca="1" si="665"/>
        <v>0</v>
      </c>
      <c r="F153" s="34">
        <f t="shared" ca="1" si="665"/>
        <v>0</v>
      </c>
      <c r="G153" s="34">
        <f t="shared" ca="1" si="665"/>
        <v>0</v>
      </c>
      <c r="H153" s="34">
        <f t="shared" ca="1" si="665"/>
        <v>0</v>
      </c>
      <c r="I153" s="34">
        <f t="shared" ca="1" si="665"/>
        <v>0</v>
      </c>
      <c r="J153" s="34">
        <f t="shared" ca="1" si="665"/>
        <v>0</v>
      </c>
      <c r="K153" s="34">
        <f t="shared" ca="1" si="665"/>
        <v>0</v>
      </c>
      <c r="L153" s="34">
        <f t="shared" ca="1" si="665"/>
        <v>0</v>
      </c>
      <c r="M153" s="34">
        <f t="shared" ca="1" si="665"/>
        <v>0</v>
      </c>
      <c r="N153" s="34">
        <f t="shared" ca="1" si="665"/>
        <v>0</v>
      </c>
      <c r="O153" s="34" t="str">
        <f t="shared" ca="1" si="665"/>
        <v/>
      </c>
      <c r="P153" s="34" t="str">
        <f t="shared" ca="1" si="665"/>
        <v/>
      </c>
      <c r="Q153" s="34" t="str">
        <f t="shared" ca="1" si="665"/>
        <v/>
      </c>
      <c r="R153" s="34" t="str">
        <f t="shared" ca="1" si="665"/>
        <v/>
      </c>
      <c r="S153" s="34" t="str">
        <f t="shared" ca="1" si="665"/>
        <v/>
      </c>
      <c r="T153" s="34" t="str">
        <f t="shared" ca="1" si="665"/>
        <v/>
      </c>
      <c r="U153" s="34" t="str">
        <f t="shared" ca="1" si="665"/>
        <v/>
      </c>
      <c r="V153" s="34" t="str">
        <f t="shared" ca="1" si="665"/>
        <v/>
      </c>
      <c r="W153" s="34" t="str">
        <f t="shared" ca="1" si="665"/>
        <v/>
      </c>
      <c r="X153" s="34" t="str">
        <f t="shared" ca="1" si="665"/>
        <v/>
      </c>
      <c r="Y153" s="34" t="str">
        <f t="shared" ca="1" si="665"/>
        <v/>
      </c>
      <c r="Z153" s="34" t="str">
        <f t="shared" ca="1" si="665"/>
        <v/>
      </c>
      <c r="AA153" s="34" t="str">
        <f t="shared" ca="1" si="665"/>
        <v/>
      </c>
      <c r="AB153" s="34" t="str">
        <f t="shared" ca="1" si="665"/>
        <v/>
      </c>
      <c r="AC153" s="34" t="str">
        <f t="shared" ca="1" si="665"/>
        <v/>
      </c>
      <c r="AD153" s="34" t="str">
        <f t="shared" ca="1" si="665"/>
        <v/>
      </c>
      <c r="AE153" s="34" t="str">
        <f t="shared" ca="1" si="665"/>
        <v/>
      </c>
      <c r="AF153" s="34" t="str">
        <f t="shared" ca="1" si="665"/>
        <v/>
      </c>
      <c r="AG153" s="34" t="str">
        <f t="shared" ca="1" si="665"/>
        <v/>
      </c>
      <c r="AH153" s="34" t="str">
        <f t="shared" ca="1" si="665"/>
        <v/>
      </c>
      <c r="AI153" s="34" t="str">
        <f t="shared" ca="1" si="665"/>
        <v/>
      </c>
      <c r="AJ153" s="34" t="str">
        <f t="shared" ref="AJ153:BO153" ca="1" si="666">IF(AJ$89="","",IF(AJ$89=$M$2,AI153,IF(AJ$11&lt;$D$7,OFFSET(INDIRECT($D$3),$A153-1,$Q$3+AJ$11),OFFSET(INDIRECT($D$4),$A153-1,$Q$4+AJ$11))))</f>
        <v/>
      </c>
      <c r="AK153" s="34" t="str">
        <f t="shared" ca="1" si="666"/>
        <v/>
      </c>
      <c r="AL153" s="34" t="str">
        <f t="shared" ca="1" si="666"/>
        <v/>
      </c>
      <c r="AM153" s="34" t="str">
        <f t="shared" ca="1" si="666"/>
        <v/>
      </c>
      <c r="AN153" s="34" t="str">
        <f t="shared" ca="1" si="666"/>
        <v/>
      </c>
      <c r="AO153" s="34" t="str">
        <f t="shared" ca="1" si="666"/>
        <v/>
      </c>
      <c r="AP153" s="34" t="str">
        <f t="shared" ca="1" si="666"/>
        <v/>
      </c>
      <c r="AQ153" s="34" t="str">
        <f t="shared" ca="1" si="666"/>
        <v/>
      </c>
      <c r="AR153" s="34" t="str">
        <f t="shared" ca="1" si="666"/>
        <v/>
      </c>
      <c r="AS153" s="34" t="str">
        <f t="shared" ca="1" si="666"/>
        <v/>
      </c>
      <c r="AT153" s="34" t="str">
        <f t="shared" ca="1" si="666"/>
        <v/>
      </c>
      <c r="AU153" s="34" t="str">
        <f t="shared" ca="1" si="666"/>
        <v/>
      </c>
      <c r="AV153" s="34" t="str">
        <f t="shared" ca="1" si="666"/>
        <v/>
      </c>
      <c r="AW153" s="34" t="str">
        <f t="shared" ca="1" si="666"/>
        <v/>
      </c>
      <c r="AX153" s="34" t="str">
        <f t="shared" ca="1" si="666"/>
        <v/>
      </c>
      <c r="AY153" s="34" t="str">
        <f t="shared" ca="1" si="666"/>
        <v/>
      </c>
      <c r="AZ153" s="34" t="str">
        <f t="shared" ca="1" si="666"/>
        <v/>
      </c>
      <c r="BA153" s="34" t="str">
        <f t="shared" ca="1" si="666"/>
        <v/>
      </c>
      <c r="BB153" s="34" t="str">
        <f t="shared" ca="1" si="666"/>
        <v/>
      </c>
      <c r="BC153" s="34" t="str">
        <f t="shared" ca="1" si="666"/>
        <v/>
      </c>
      <c r="BD153" s="34" t="str">
        <f t="shared" ca="1" si="666"/>
        <v/>
      </c>
      <c r="BE153" s="34" t="str">
        <f t="shared" ca="1" si="666"/>
        <v/>
      </c>
      <c r="BF153" s="34" t="str">
        <f t="shared" ca="1" si="666"/>
        <v/>
      </c>
      <c r="BG153" s="34" t="str">
        <f t="shared" ca="1" si="666"/>
        <v/>
      </c>
      <c r="BH153" s="34" t="str">
        <f t="shared" ca="1" si="666"/>
        <v/>
      </c>
      <c r="BI153" s="34" t="str">
        <f t="shared" ca="1" si="666"/>
        <v/>
      </c>
      <c r="BJ153" s="34" t="str">
        <f t="shared" ca="1" si="666"/>
        <v/>
      </c>
      <c r="BK153" s="34" t="str">
        <f t="shared" ca="1" si="666"/>
        <v/>
      </c>
      <c r="BL153" s="34" t="str">
        <f t="shared" ca="1" si="666"/>
        <v/>
      </c>
      <c r="BM153" s="34" t="str">
        <f t="shared" ca="1" si="666"/>
        <v/>
      </c>
      <c r="BN153" s="34" t="str">
        <f t="shared" ca="1" si="666"/>
        <v/>
      </c>
      <c r="BO153" s="34" t="str">
        <f t="shared" ca="1" si="666"/>
        <v/>
      </c>
      <c r="BP153" s="34" t="str">
        <f t="shared" ref="BP153:CZ153" ca="1" si="667">IF(BP$89="","",IF(BP$89=$M$2,BO153,IF(BP$11&lt;$D$7,OFFSET(INDIRECT($D$3),$A153-1,$Q$3+BP$11),OFFSET(INDIRECT($D$4),$A153-1,$Q$4+BP$11))))</f>
        <v/>
      </c>
      <c r="BQ153" s="34" t="str">
        <f t="shared" ca="1" si="667"/>
        <v/>
      </c>
      <c r="BR153" s="34" t="str">
        <f t="shared" ca="1" si="667"/>
        <v/>
      </c>
      <c r="BS153" s="34" t="str">
        <f t="shared" ca="1" si="667"/>
        <v/>
      </c>
      <c r="BT153" s="34" t="str">
        <f t="shared" ca="1" si="667"/>
        <v/>
      </c>
      <c r="BU153" s="34" t="str">
        <f t="shared" ca="1" si="667"/>
        <v/>
      </c>
      <c r="BV153" s="34" t="str">
        <f t="shared" ca="1" si="667"/>
        <v/>
      </c>
      <c r="BW153" s="34" t="str">
        <f t="shared" ca="1" si="667"/>
        <v/>
      </c>
      <c r="BX153" s="34" t="str">
        <f t="shared" ca="1" si="667"/>
        <v/>
      </c>
      <c r="BY153" s="34" t="str">
        <f t="shared" ca="1" si="667"/>
        <v/>
      </c>
      <c r="BZ153" s="34" t="str">
        <f t="shared" ca="1" si="667"/>
        <v/>
      </c>
      <c r="CA153" s="34" t="str">
        <f t="shared" ca="1" si="667"/>
        <v/>
      </c>
      <c r="CB153" s="34" t="str">
        <f t="shared" ca="1" si="667"/>
        <v/>
      </c>
      <c r="CC153" s="34" t="str">
        <f t="shared" ca="1" si="667"/>
        <v/>
      </c>
      <c r="CD153" s="34" t="str">
        <f t="shared" ca="1" si="667"/>
        <v/>
      </c>
      <c r="CE153" s="34" t="str">
        <f t="shared" ca="1" si="667"/>
        <v/>
      </c>
      <c r="CF153" s="34" t="str">
        <f t="shared" ca="1" si="667"/>
        <v/>
      </c>
      <c r="CG153" s="34" t="str">
        <f t="shared" ca="1" si="667"/>
        <v/>
      </c>
      <c r="CH153" s="34" t="str">
        <f t="shared" ca="1" si="667"/>
        <v/>
      </c>
      <c r="CI153" s="34" t="str">
        <f t="shared" ca="1" si="667"/>
        <v/>
      </c>
      <c r="CJ153" s="34" t="str">
        <f t="shared" ca="1" si="667"/>
        <v/>
      </c>
      <c r="CK153" s="34" t="str">
        <f t="shared" ca="1" si="667"/>
        <v/>
      </c>
      <c r="CL153" s="34" t="str">
        <f t="shared" ca="1" si="667"/>
        <v/>
      </c>
      <c r="CM153" s="34" t="str">
        <f t="shared" ca="1" si="667"/>
        <v/>
      </c>
      <c r="CN153" s="34" t="str">
        <f t="shared" ca="1" si="667"/>
        <v/>
      </c>
      <c r="CO153" s="34" t="str">
        <f t="shared" ca="1" si="667"/>
        <v/>
      </c>
      <c r="CP153" s="34" t="str">
        <f t="shared" ca="1" si="667"/>
        <v/>
      </c>
      <c r="CQ153" s="34" t="str">
        <f t="shared" ca="1" si="667"/>
        <v/>
      </c>
      <c r="CR153" s="34" t="str">
        <f t="shared" ca="1" si="667"/>
        <v/>
      </c>
      <c r="CS153" s="34" t="str">
        <f t="shared" ca="1" si="667"/>
        <v/>
      </c>
      <c r="CT153" s="34" t="str">
        <f t="shared" ca="1" si="667"/>
        <v/>
      </c>
      <c r="CU153" s="34" t="str">
        <f t="shared" ca="1" si="667"/>
        <v/>
      </c>
      <c r="CV153" s="34" t="str">
        <f t="shared" ca="1" si="667"/>
        <v/>
      </c>
      <c r="CW153" s="34" t="str">
        <f t="shared" ca="1" si="667"/>
        <v/>
      </c>
      <c r="CX153" s="34" t="str">
        <f t="shared" ca="1" si="667"/>
        <v/>
      </c>
      <c r="CY153" s="34" t="str">
        <f t="shared" ca="1" si="667"/>
        <v/>
      </c>
      <c r="CZ153" s="34" t="str">
        <f t="shared" ca="1" si="667"/>
        <v/>
      </c>
    </row>
    <row r="154" spans="1:104" ht="13.5" customHeight="1">
      <c r="A154" s="27">
        <v>139</v>
      </c>
      <c r="B154" s="33">
        <f t="shared" si="639"/>
        <v>154</v>
      </c>
      <c r="C154" s="8" t="s">
        <v>413</v>
      </c>
      <c r="D154" s="34">
        <f t="shared" ref="D154:AI154" ca="1" si="668">IF(D$89="","",IF(D$89=$M$2,C154,IF(D$11&lt;$D$7,OFFSET(INDIRECT($D$3),$A154-1,$Q$3+D$11),OFFSET(INDIRECT($D$4),$A154-1,$Q$4+D$11))))</f>
        <v>443</v>
      </c>
      <c r="E154" s="34">
        <f t="shared" ca="1" si="668"/>
        <v>499</v>
      </c>
      <c r="F154" s="34">
        <f t="shared" ca="1" si="668"/>
        <v>126</v>
      </c>
      <c r="G154" s="34">
        <f t="shared" ca="1" si="668"/>
        <v>389</v>
      </c>
      <c r="H154" s="34">
        <f t="shared" ca="1" si="668"/>
        <v>443</v>
      </c>
      <c r="I154" s="34">
        <f t="shared" ca="1" si="668"/>
        <v>384</v>
      </c>
      <c r="J154" s="34">
        <f t="shared" ca="1" si="668"/>
        <v>524</v>
      </c>
      <c r="K154" s="34">
        <f t="shared" ca="1" si="668"/>
        <v>532</v>
      </c>
      <c r="L154" s="34">
        <f t="shared" ca="1" si="668"/>
        <v>499</v>
      </c>
      <c r="M154" s="34">
        <f t="shared" ca="1" si="668"/>
        <v>612</v>
      </c>
      <c r="N154" s="34">
        <f t="shared" ca="1" si="668"/>
        <v>612</v>
      </c>
      <c r="O154" s="34" t="str">
        <f t="shared" ca="1" si="668"/>
        <v/>
      </c>
      <c r="P154" s="34" t="str">
        <f t="shared" ca="1" si="668"/>
        <v/>
      </c>
      <c r="Q154" s="34" t="str">
        <f t="shared" ca="1" si="668"/>
        <v/>
      </c>
      <c r="R154" s="34" t="str">
        <f t="shared" ca="1" si="668"/>
        <v/>
      </c>
      <c r="S154" s="34" t="str">
        <f t="shared" ca="1" si="668"/>
        <v/>
      </c>
      <c r="T154" s="34" t="str">
        <f t="shared" ca="1" si="668"/>
        <v/>
      </c>
      <c r="U154" s="34" t="str">
        <f t="shared" ca="1" si="668"/>
        <v/>
      </c>
      <c r="V154" s="34" t="str">
        <f t="shared" ca="1" si="668"/>
        <v/>
      </c>
      <c r="W154" s="34" t="str">
        <f t="shared" ca="1" si="668"/>
        <v/>
      </c>
      <c r="X154" s="34" t="str">
        <f t="shared" ca="1" si="668"/>
        <v/>
      </c>
      <c r="Y154" s="34" t="str">
        <f t="shared" ca="1" si="668"/>
        <v/>
      </c>
      <c r="Z154" s="34" t="str">
        <f t="shared" ca="1" si="668"/>
        <v/>
      </c>
      <c r="AA154" s="34" t="str">
        <f t="shared" ca="1" si="668"/>
        <v/>
      </c>
      <c r="AB154" s="34" t="str">
        <f t="shared" ca="1" si="668"/>
        <v/>
      </c>
      <c r="AC154" s="34" t="str">
        <f t="shared" ca="1" si="668"/>
        <v/>
      </c>
      <c r="AD154" s="34" t="str">
        <f t="shared" ca="1" si="668"/>
        <v/>
      </c>
      <c r="AE154" s="34" t="str">
        <f t="shared" ca="1" si="668"/>
        <v/>
      </c>
      <c r="AF154" s="34" t="str">
        <f t="shared" ca="1" si="668"/>
        <v/>
      </c>
      <c r="AG154" s="34" t="str">
        <f t="shared" ca="1" si="668"/>
        <v/>
      </c>
      <c r="AH154" s="34" t="str">
        <f t="shared" ca="1" si="668"/>
        <v/>
      </c>
      <c r="AI154" s="34" t="str">
        <f t="shared" ca="1" si="668"/>
        <v/>
      </c>
      <c r="AJ154" s="34" t="str">
        <f t="shared" ref="AJ154:BO154" ca="1" si="669">IF(AJ$89="","",IF(AJ$89=$M$2,AI154,IF(AJ$11&lt;$D$7,OFFSET(INDIRECT($D$3),$A154-1,$Q$3+AJ$11),OFFSET(INDIRECT($D$4),$A154-1,$Q$4+AJ$11))))</f>
        <v/>
      </c>
      <c r="AK154" s="34" t="str">
        <f t="shared" ca="1" si="669"/>
        <v/>
      </c>
      <c r="AL154" s="34" t="str">
        <f t="shared" ca="1" si="669"/>
        <v/>
      </c>
      <c r="AM154" s="34" t="str">
        <f t="shared" ca="1" si="669"/>
        <v/>
      </c>
      <c r="AN154" s="34" t="str">
        <f t="shared" ca="1" si="669"/>
        <v/>
      </c>
      <c r="AO154" s="34" t="str">
        <f t="shared" ca="1" si="669"/>
        <v/>
      </c>
      <c r="AP154" s="34" t="str">
        <f t="shared" ca="1" si="669"/>
        <v/>
      </c>
      <c r="AQ154" s="34" t="str">
        <f t="shared" ca="1" si="669"/>
        <v/>
      </c>
      <c r="AR154" s="34" t="str">
        <f t="shared" ca="1" si="669"/>
        <v/>
      </c>
      <c r="AS154" s="34" t="str">
        <f t="shared" ca="1" si="669"/>
        <v/>
      </c>
      <c r="AT154" s="34" t="str">
        <f t="shared" ca="1" si="669"/>
        <v/>
      </c>
      <c r="AU154" s="34" t="str">
        <f t="shared" ca="1" si="669"/>
        <v/>
      </c>
      <c r="AV154" s="34" t="str">
        <f t="shared" ca="1" si="669"/>
        <v/>
      </c>
      <c r="AW154" s="34" t="str">
        <f t="shared" ca="1" si="669"/>
        <v/>
      </c>
      <c r="AX154" s="34" t="str">
        <f t="shared" ca="1" si="669"/>
        <v/>
      </c>
      <c r="AY154" s="34" t="str">
        <f t="shared" ca="1" si="669"/>
        <v/>
      </c>
      <c r="AZ154" s="34" t="str">
        <f t="shared" ca="1" si="669"/>
        <v/>
      </c>
      <c r="BA154" s="34" t="str">
        <f t="shared" ca="1" si="669"/>
        <v/>
      </c>
      <c r="BB154" s="34" t="str">
        <f t="shared" ca="1" si="669"/>
        <v/>
      </c>
      <c r="BC154" s="34" t="str">
        <f t="shared" ca="1" si="669"/>
        <v/>
      </c>
      <c r="BD154" s="34" t="str">
        <f t="shared" ca="1" si="669"/>
        <v/>
      </c>
      <c r="BE154" s="34" t="str">
        <f t="shared" ca="1" si="669"/>
        <v/>
      </c>
      <c r="BF154" s="34" t="str">
        <f t="shared" ca="1" si="669"/>
        <v/>
      </c>
      <c r="BG154" s="34" t="str">
        <f t="shared" ca="1" si="669"/>
        <v/>
      </c>
      <c r="BH154" s="34" t="str">
        <f t="shared" ca="1" si="669"/>
        <v/>
      </c>
      <c r="BI154" s="34" t="str">
        <f t="shared" ca="1" si="669"/>
        <v/>
      </c>
      <c r="BJ154" s="34" t="str">
        <f t="shared" ca="1" si="669"/>
        <v/>
      </c>
      <c r="BK154" s="34" t="str">
        <f t="shared" ca="1" si="669"/>
        <v/>
      </c>
      <c r="BL154" s="34" t="str">
        <f t="shared" ca="1" si="669"/>
        <v/>
      </c>
      <c r="BM154" s="34" t="str">
        <f t="shared" ca="1" si="669"/>
        <v/>
      </c>
      <c r="BN154" s="34" t="str">
        <f t="shared" ca="1" si="669"/>
        <v/>
      </c>
      <c r="BO154" s="34" t="str">
        <f t="shared" ca="1" si="669"/>
        <v/>
      </c>
      <c r="BP154" s="34" t="str">
        <f t="shared" ref="BP154:CZ154" ca="1" si="670">IF(BP$89="","",IF(BP$89=$M$2,BO154,IF(BP$11&lt;$D$7,OFFSET(INDIRECT($D$3),$A154-1,$Q$3+BP$11),OFFSET(INDIRECT($D$4),$A154-1,$Q$4+BP$11))))</f>
        <v/>
      </c>
      <c r="BQ154" s="34" t="str">
        <f t="shared" ca="1" si="670"/>
        <v/>
      </c>
      <c r="BR154" s="34" t="str">
        <f t="shared" ca="1" si="670"/>
        <v/>
      </c>
      <c r="BS154" s="34" t="str">
        <f t="shared" ca="1" si="670"/>
        <v/>
      </c>
      <c r="BT154" s="34" t="str">
        <f t="shared" ca="1" si="670"/>
        <v/>
      </c>
      <c r="BU154" s="34" t="str">
        <f t="shared" ca="1" si="670"/>
        <v/>
      </c>
      <c r="BV154" s="34" t="str">
        <f t="shared" ca="1" si="670"/>
        <v/>
      </c>
      <c r="BW154" s="34" t="str">
        <f t="shared" ca="1" si="670"/>
        <v/>
      </c>
      <c r="BX154" s="34" t="str">
        <f t="shared" ca="1" si="670"/>
        <v/>
      </c>
      <c r="BY154" s="34" t="str">
        <f t="shared" ca="1" si="670"/>
        <v/>
      </c>
      <c r="BZ154" s="34" t="str">
        <f t="shared" ca="1" si="670"/>
        <v/>
      </c>
      <c r="CA154" s="34" t="str">
        <f t="shared" ca="1" si="670"/>
        <v/>
      </c>
      <c r="CB154" s="34" t="str">
        <f t="shared" ca="1" si="670"/>
        <v/>
      </c>
      <c r="CC154" s="34" t="str">
        <f t="shared" ca="1" si="670"/>
        <v/>
      </c>
      <c r="CD154" s="34" t="str">
        <f t="shared" ca="1" si="670"/>
        <v/>
      </c>
      <c r="CE154" s="34" t="str">
        <f t="shared" ca="1" si="670"/>
        <v/>
      </c>
      <c r="CF154" s="34" t="str">
        <f t="shared" ca="1" si="670"/>
        <v/>
      </c>
      <c r="CG154" s="34" t="str">
        <f t="shared" ca="1" si="670"/>
        <v/>
      </c>
      <c r="CH154" s="34" t="str">
        <f t="shared" ca="1" si="670"/>
        <v/>
      </c>
      <c r="CI154" s="34" t="str">
        <f t="shared" ca="1" si="670"/>
        <v/>
      </c>
      <c r="CJ154" s="34" t="str">
        <f t="shared" ca="1" si="670"/>
        <v/>
      </c>
      <c r="CK154" s="34" t="str">
        <f t="shared" ca="1" si="670"/>
        <v/>
      </c>
      <c r="CL154" s="34" t="str">
        <f t="shared" ca="1" si="670"/>
        <v/>
      </c>
      <c r="CM154" s="34" t="str">
        <f t="shared" ca="1" si="670"/>
        <v/>
      </c>
      <c r="CN154" s="34" t="str">
        <f t="shared" ca="1" si="670"/>
        <v/>
      </c>
      <c r="CO154" s="34" t="str">
        <f t="shared" ca="1" si="670"/>
        <v/>
      </c>
      <c r="CP154" s="34" t="str">
        <f t="shared" ca="1" si="670"/>
        <v/>
      </c>
      <c r="CQ154" s="34" t="str">
        <f t="shared" ca="1" si="670"/>
        <v/>
      </c>
      <c r="CR154" s="34" t="str">
        <f t="shared" ca="1" si="670"/>
        <v/>
      </c>
      <c r="CS154" s="34" t="str">
        <f t="shared" ca="1" si="670"/>
        <v/>
      </c>
      <c r="CT154" s="34" t="str">
        <f t="shared" ca="1" si="670"/>
        <v/>
      </c>
      <c r="CU154" s="34" t="str">
        <f t="shared" ca="1" si="670"/>
        <v/>
      </c>
      <c r="CV154" s="34" t="str">
        <f t="shared" ca="1" si="670"/>
        <v/>
      </c>
      <c r="CW154" s="34" t="str">
        <f t="shared" ca="1" si="670"/>
        <v/>
      </c>
      <c r="CX154" s="34" t="str">
        <f t="shared" ca="1" si="670"/>
        <v/>
      </c>
      <c r="CY154" s="34" t="str">
        <f t="shared" ca="1" si="670"/>
        <v/>
      </c>
      <c r="CZ154" s="34" t="str">
        <f t="shared" ca="1" si="670"/>
        <v/>
      </c>
    </row>
    <row r="155" spans="1:104" ht="13.5" customHeight="1">
      <c r="A155" s="27">
        <v>137</v>
      </c>
      <c r="B155" s="33">
        <f t="shared" si="639"/>
        <v>155</v>
      </c>
      <c r="C155" s="9" t="s">
        <v>414</v>
      </c>
      <c r="D155" s="34">
        <f t="shared" ref="D155:AI155" ca="1" si="671">IF(D$89="","",IF(D$89=$M$2,C155,IF(D$11&lt;$D$7,OFFSET(INDIRECT($D$3),$A155-1,$Q$3+D$11),OFFSET(INDIRECT($D$4),$A155-1,$Q$4+D$11))))</f>
        <v>62841</v>
      </c>
      <c r="E155" s="34">
        <f t="shared" ca="1" si="671"/>
        <v>101289</v>
      </c>
      <c r="F155" s="34">
        <f t="shared" ca="1" si="671"/>
        <v>49025</v>
      </c>
      <c r="G155" s="34">
        <f t="shared" ca="1" si="671"/>
        <v>56239</v>
      </c>
      <c r="H155" s="34">
        <f t="shared" ca="1" si="671"/>
        <v>62841</v>
      </c>
      <c r="I155" s="34">
        <f t="shared" ca="1" si="671"/>
        <v>75709</v>
      </c>
      <c r="J155" s="34">
        <f t="shared" ca="1" si="671"/>
        <v>87124</v>
      </c>
      <c r="K155" s="34">
        <f t="shared" ca="1" si="671"/>
        <v>95641</v>
      </c>
      <c r="L155" s="34">
        <f t="shared" ca="1" si="671"/>
        <v>101289</v>
      </c>
      <c r="M155" s="34">
        <f t="shared" ca="1" si="671"/>
        <v>109567</v>
      </c>
      <c r="N155" s="34">
        <f t="shared" ca="1" si="671"/>
        <v>109567</v>
      </c>
      <c r="O155" s="34" t="str">
        <f t="shared" ca="1" si="671"/>
        <v/>
      </c>
      <c r="P155" s="34" t="str">
        <f t="shared" ca="1" si="671"/>
        <v/>
      </c>
      <c r="Q155" s="34" t="str">
        <f t="shared" ca="1" si="671"/>
        <v/>
      </c>
      <c r="R155" s="34" t="str">
        <f t="shared" ca="1" si="671"/>
        <v/>
      </c>
      <c r="S155" s="34" t="str">
        <f t="shared" ca="1" si="671"/>
        <v/>
      </c>
      <c r="T155" s="34" t="str">
        <f t="shared" ca="1" si="671"/>
        <v/>
      </c>
      <c r="U155" s="34" t="str">
        <f t="shared" ca="1" si="671"/>
        <v/>
      </c>
      <c r="V155" s="34" t="str">
        <f t="shared" ca="1" si="671"/>
        <v/>
      </c>
      <c r="W155" s="34" t="str">
        <f t="shared" ca="1" si="671"/>
        <v/>
      </c>
      <c r="X155" s="34" t="str">
        <f t="shared" ca="1" si="671"/>
        <v/>
      </c>
      <c r="Y155" s="34" t="str">
        <f t="shared" ca="1" si="671"/>
        <v/>
      </c>
      <c r="Z155" s="34" t="str">
        <f t="shared" ca="1" si="671"/>
        <v/>
      </c>
      <c r="AA155" s="34" t="str">
        <f t="shared" ca="1" si="671"/>
        <v/>
      </c>
      <c r="AB155" s="34" t="str">
        <f t="shared" ca="1" si="671"/>
        <v/>
      </c>
      <c r="AC155" s="34" t="str">
        <f t="shared" ca="1" si="671"/>
        <v/>
      </c>
      <c r="AD155" s="34" t="str">
        <f t="shared" ca="1" si="671"/>
        <v/>
      </c>
      <c r="AE155" s="34" t="str">
        <f t="shared" ca="1" si="671"/>
        <v/>
      </c>
      <c r="AF155" s="34" t="str">
        <f t="shared" ca="1" si="671"/>
        <v/>
      </c>
      <c r="AG155" s="34" t="str">
        <f t="shared" ca="1" si="671"/>
        <v/>
      </c>
      <c r="AH155" s="34" t="str">
        <f t="shared" ca="1" si="671"/>
        <v/>
      </c>
      <c r="AI155" s="34" t="str">
        <f t="shared" ca="1" si="671"/>
        <v/>
      </c>
      <c r="AJ155" s="34" t="str">
        <f t="shared" ref="AJ155:BO155" ca="1" si="672">IF(AJ$89="","",IF(AJ$89=$M$2,AI155,IF(AJ$11&lt;$D$7,OFFSET(INDIRECT($D$3),$A155-1,$Q$3+AJ$11),OFFSET(INDIRECT($D$4),$A155-1,$Q$4+AJ$11))))</f>
        <v/>
      </c>
      <c r="AK155" s="34" t="str">
        <f t="shared" ca="1" si="672"/>
        <v/>
      </c>
      <c r="AL155" s="34" t="str">
        <f t="shared" ca="1" si="672"/>
        <v/>
      </c>
      <c r="AM155" s="34" t="str">
        <f t="shared" ca="1" si="672"/>
        <v/>
      </c>
      <c r="AN155" s="34" t="str">
        <f t="shared" ca="1" si="672"/>
        <v/>
      </c>
      <c r="AO155" s="34" t="str">
        <f t="shared" ca="1" si="672"/>
        <v/>
      </c>
      <c r="AP155" s="34" t="str">
        <f t="shared" ca="1" si="672"/>
        <v/>
      </c>
      <c r="AQ155" s="34" t="str">
        <f t="shared" ca="1" si="672"/>
        <v/>
      </c>
      <c r="AR155" s="34" t="str">
        <f t="shared" ca="1" si="672"/>
        <v/>
      </c>
      <c r="AS155" s="34" t="str">
        <f t="shared" ca="1" si="672"/>
        <v/>
      </c>
      <c r="AT155" s="34" t="str">
        <f t="shared" ca="1" si="672"/>
        <v/>
      </c>
      <c r="AU155" s="34" t="str">
        <f t="shared" ca="1" si="672"/>
        <v/>
      </c>
      <c r="AV155" s="34" t="str">
        <f t="shared" ca="1" si="672"/>
        <v/>
      </c>
      <c r="AW155" s="34" t="str">
        <f t="shared" ca="1" si="672"/>
        <v/>
      </c>
      <c r="AX155" s="34" t="str">
        <f t="shared" ca="1" si="672"/>
        <v/>
      </c>
      <c r="AY155" s="34" t="str">
        <f t="shared" ca="1" si="672"/>
        <v/>
      </c>
      <c r="AZ155" s="34" t="str">
        <f t="shared" ca="1" si="672"/>
        <v/>
      </c>
      <c r="BA155" s="34" t="str">
        <f t="shared" ca="1" si="672"/>
        <v/>
      </c>
      <c r="BB155" s="34" t="str">
        <f t="shared" ca="1" si="672"/>
        <v/>
      </c>
      <c r="BC155" s="34" t="str">
        <f t="shared" ca="1" si="672"/>
        <v/>
      </c>
      <c r="BD155" s="34" t="str">
        <f t="shared" ca="1" si="672"/>
        <v/>
      </c>
      <c r="BE155" s="34" t="str">
        <f t="shared" ca="1" si="672"/>
        <v/>
      </c>
      <c r="BF155" s="34" t="str">
        <f t="shared" ca="1" si="672"/>
        <v/>
      </c>
      <c r="BG155" s="34" t="str">
        <f t="shared" ca="1" si="672"/>
        <v/>
      </c>
      <c r="BH155" s="34" t="str">
        <f t="shared" ca="1" si="672"/>
        <v/>
      </c>
      <c r="BI155" s="34" t="str">
        <f t="shared" ca="1" si="672"/>
        <v/>
      </c>
      <c r="BJ155" s="34" t="str">
        <f t="shared" ca="1" si="672"/>
        <v/>
      </c>
      <c r="BK155" s="34" t="str">
        <f t="shared" ca="1" si="672"/>
        <v/>
      </c>
      <c r="BL155" s="34" t="str">
        <f t="shared" ca="1" si="672"/>
        <v/>
      </c>
      <c r="BM155" s="34" t="str">
        <f t="shared" ca="1" si="672"/>
        <v/>
      </c>
      <c r="BN155" s="34" t="str">
        <f t="shared" ca="1" si="672"/>
        <v/>
      </c>
      <c r="BO155" s="34" t="str">
        <f t="shared" ca="1" si="672"/>
        <v/>
      </c>
      <c r="BP155" s="34" t="str">
        <f t="shared" ref="BP155:CZ155" ca="1" si="673">IF(BP$89="","",IF(BP$89=$M$2,BO155,IF(BP$11&lt;$D$7,OFFSET(INDIRECT($D$3),$A155-1,$Q$3+BP$11),OFFSET(INDIRECT($D$4),$A155-1,$Q$4+BP$11))))</f>
        <v/>
      </c>
      <c r="BQ155" s="34" t="str">
        <f t="shared" ca="1" si="673"/>
        <v/>
      </c>
      <c r="BR155" s="34" t="str">
        <f t="shared" ca="1" si="673"/>
        <v/>
      </c>
      <c r="BS155" s="34" t="str">
        <f t="shared" ca="1" si="673"/>
        <v/>
      </c>
      <c r="BT155" s="34" t="str">
        <f t="shared" ca="1" si="673"/>
        <v/>
      </c>
      <c r="BU155" s="34" t="str">
        <f t="shared" ca="1" si="673"/>
        <v/>
      </c>
      <c r="BV155" s="34" t="str">
        <f t="shared" ca="1" si="673"/>
        <v/>
      </c>
      <c r="BW155" s="34" t="str">
        <f t="shared" ca="1" si="673"/>
        <v/>
      </c>
      <c r="BX155" s="34" t="str">
        <f t="shared" ca="1" si="673"/>
        <v/>
      </c>
      <c r="BY155" s="34" t="str">
        <f t="shared" ca="1" si="673"/>
        <v/>
      </c>
      <c r="BZ155" s="34" t="str">
        <f t="shared" ca="1" si="673"/>
        <v/>
      </c>
      <c r="CA155" s="34" t="str">
        <f t="shared" ca="1" si="673"/>
        <v/>
      </c>
      <c r="CB155" s="34" t="str">
        <f t="shared" ca="1" si="673"/>
        <v/>
      </c>
      <c r="CC155" s="34" t="str">
        <f t="shared" ca="1" si="673"/>
        <v/>
      </c>
      <c r="CD155" s="34" t="str">
        <f t="shared" ca="1" si="673"/>
        <v/>
      </c>
      <c r="CE155" s="34" t="str">
        <f t="shared" ca="1" si="673"/>
        <v/>
      </c>
      <c r="CF155" s="34" t="str">
        <f t="shared" ca="1" si="673"/>
        <v/>
      </c>
      <c r="CG155" s="34" t="str">
        <f t="shared" ca="1" si="673"/>
        <v/>
      </c>
      <c r="CH155" s="34" t="str">
        <f t="shared" ca="1" si="673"/>
        <v/>
      </c>
      <c r="CI155" s="34" t="str">
        <f t="shared" ca="1" si="673"/>
        <v/>
      </c>
      <c r="CJ155" s="34" t="str">
        <f t="shared" ca="1" si="673"/>
        <v/>
      </c>
      <c r="CK155" s="34" t="str">
        <f t="shared" ca="1" si="673"/>
        <v/>
      </c>
      <c r="CL155" s="34" t="str">
        <f t="shared" ca="1" si="673"/>
        <v/>
      </c>
      <c r="CM155" s="34" t="str">
        <f t="shared" ca="1" si="673"/>
        <v/>
      </c>
      <c r="CN155" s="34" t="str">
        <f t="shared" ca="1" si="673"/>
        <v/>
      </c>
      <c r="CO155" s="34" t="str">
        <f t="shared" ca="1" si="673"/>
        <v/>
      </c>
      <c r="CP155" s="34" t="str">
        <f t="shared" ca="1" si="673"/>
        <v/>
      </c>
      <c r="CQ155" s="34" t="str">
        <f t="shared" ca="1" si="673"/>
        <v/>
      </c>
      <c r="CR155" s="34" t="str">
        <f t="shared" ca="1" si="673"/>
        <v/>
      </c>
      <c r="CS155" s="34" t="str">
        <f t="shared" ca="1" si="673"/>
        <v/>
      </c>
      <c r="CT155" s="34" t="str">
        <f t="shared" ca="1" si="673"/>
        <v/>
      </c>
      <c r="CU155" s="34" t="str">
        <f t="shared" ca="1" si="673"/>
        <v/>
      </c>
      <c r="CV155" s="34" t="str">
        <f t="shared" ca="1" si="673"/>
        <v/>
      </c>
      <c r="CW155" s="34" t="str">
        <f t="shared" ca="1" si="673"/>
        <v/>
      </c>
      <c r="CX155" s="34" t="str">
        <f t="shared" ca="1" si="673"/>
        <v/>
      </c>
      <c r="CY155" s="34" t="str">
        <f t="shared" ca="1" si="673"/>
        <v/>
      </c>
      <c r="CZ155" s="34" t="str">
        <f t="shared" ca="1" si="673"/>
        <v/>
      </c>
    </row>
    <row r="156" spans="1:104" ht="13.5" customHeight="1">
      <c r="A156" s="27">
        <v>132</v>
      </c>
      <c r="B156" s="33">
        <f t="shared" si="639"/>
        <v>156</v>
      </c>
      <c r="C156" s="9" t="s">
        <v>415</v>
      </c>
      <c r="D156" s="34">
        <f t="shared" ref="D156:AI156" ca="1" si="674">IF(D$89="","",IF(D$89=$M$2,C156,IF(D$11&lt;$D$7,OFFSET(INDIRECT($D$3),$A156-1,$Q$3+D$11),OFFSET(INDIRECT($D$4),$A156-1,$Q$4+D$11))))</f>
        <v>0</v>
      </c>
      <c r="E156" s="34">
        <f t="shared" ca="1" si="674"/>
        <v>0</v>
      </c>
      <c r="F156" s="34">
        <f t="shared" ca="1" si="674"/>
        <v>0</v>
      </c>
      <c r="G156" s="34">
        <f t="shared" ca="1" si="674"/>
        <v>0</v>
      </c>
      <c r="H156" s="34">
        <f t="shared" ca="1" si="674"/>
        <v>0</v>
      </c>
      <c r="I156" s="34">
        <f t="shared" ca="1" si="674"/>
        <v>0</v>
      </c>
      <c r="J156" s="34">
        <f t="shared" ca="1" si="674"/>
        <v>0</v>
      </c>
      <c r="K156" s="34">
        <f t="shared" ca="1" si="674"/>
        <v>0</v>
      </c>
      <c r="L156" s="34">
        <f t="shared" ca="1" si="674"/>
        <v>0</v>
      </c>
      <c r="M156" s="34">
        <f t="shared" ca="1" si="674"/>
        <v>0</v>
      </c>
      <c r="N156" s="34">
        <f t="shared" ca="1" si="674"/>
        <v>0</v>
      </c>
      <c r="O156" s="34" t="str">
        <f t="shared" ca="1" si="674"/>
        <v/>
      </c>
      <c r="P156" s="34" t="str">
        <f t="shared" ca="1" si="674"/>
        <v/>
      </c>
      <c r="Q156" s="34" t="str">
        <f t="shared" ca="1" si="674"/>
        <v/>
      </c>
      <c r="R156" s="34" t="str">
        <f t="shared" ca="1" si="674"/>
        <v/>
      </c>
      <c r="S156" s="34" t="str">
        <f t="shared" ca="1" si="674"/>
        <v/>
      </c>
      <c r="T156" s="34" t="str">
        <f t="shared" ca="1" si="674"/>
        <v/>
      </c>
      <c r="U156" s="34" t="str">
        <f t="shared" ca="1" si="674"/>
        <v/>
      </c>
      <c r="V156" s="34" t="str">
        <f t="shared" ca="1" si="674"/>
        <v/>
      </c>
      <c r="W156" s="34" t="str">
        <f t="shared" ca="1" si="674"/>
        <v/>
      </c>
      <c r="X156" s="34" t="str">
        <f t="shared" ca="1" si="674"/>
        <v/>
      </c>
      <c r="Y156" s="34" t="str">
        <f t="shared" ca="1" si="674"/>
        <v/>
      </c>
      <c r="Z156" s="34" t="str">
        <f t="shared" ca="1" si="674"/>
        <v/>
      </c>
      <c r="AA156" s="34" t="str">
        <f t="shared" ca="1" si="674"/>
        <v/>
      </c>
      <c r="AB156" s="34" t="str">
        <f t="shared" ca="1" si="674"/>
        <v/>
      </c>
      <c r="AC156" s="34" t="str">
        <f t="shared" ca="1" si="674"/>
        <v/>
      </c>
      <c r="AD156" s="34" t="str">
        <f t="shared" ca="1" si="674"/>
        <v/>
      </c>
      <c r="AE156" s="34" t="str">
        <f t="shared" ca="1" si="674"/>
        <v/>
      </c>
      <c r="AF156" s="34" t="str">
        <f t="shared" ca="1" si="674"/>
        <v/>
      </c>
      <c r="AG156" s="34" t="str">
        <f t="shared" ca="1" si="674"/>
        <v/>
      </c>
      <c r="AH156" s="34" t="str">
        <f t="shared" ca="1" si="674"/>
        <v/>
      </c>
      <c r="AI156" s="34" t="str">
        <f t="shared" ca="1" si="674"/>
        <v/>
      </c>
      <c r="AJ156" s="34" t="str">
        <f t="shared" ref="AJ156:BO156" ca="1" si="675">IF(AJ$89="","",IF(AJ$89=$M$2,AI156,IF(AJ$11&lt;$D$7,OFFSET(INDIRECT($D$3),$A156-1,$Q$3+AJ$11),OFFSET(INDIRECT($D$4),$A156-1,$Q$4+AJ$11))))</f>
        <v/>
      </c>
      <c r="AK156" s="34" t="str">
        <f t="shared" ca="1" si="675"/>
        <v/>
      </c>
      <c r="AL156" s="34" t="str">
        <f t="shared" ca="1" si="675"/>
        <v/>
      </c>
      <c r="AM156" s="34" t="str">
        <f t="shared" ca="1" si="675"/>
        <v/>
      </c>
      <c r="AN156" s="34" t="str">
        <f t="shared" ca="1" si="675"/>
        <v/>
      </c>
      <c r="AO156" s="34" t="str">
        <f t="shared" ca="1" si="675"/>
        <v/>
      </c>
      <c r="AP156" s="34" t="str">
        <f t="shared" ca="1" si="675"/>
        <v/>
      </c>
      <c r="AQ156" s="34" t="str">
        <f t="shared" ca="1" si="675"/>
        <v/>
      </c>
      <c r="AR156" s="34" t="str">
        <f t="shared" ca="1" si="675"/>
        <v/>
      </c>
      <c r="AS156" s="34" t="str">
        <f t="shared" ca="1" si="675"/>
        <v/>
      </c>
      <c r="AT156" s="34" t="str">
        <f t="shared" ca="1" si="675"/>
        <v/>
      </c>
      <c r="AU156" s="34" t="str">
        <f t="shared" ca="1" si="675"/>
        <v/>
      </c>
      <c r="AV156" s="34" t="str">
        <f t="shared" ca="1" si="675"/>
        <v/>
      </c>
      <c r="AW156" s="34" t="str">
        <f t="shared" ca="1" si="675"/>
        <v/>
      </c>
      <c r="AX156" s="34" t="str">
        <f t="shared" ca="1" si="675"/>
        <v/>
      </c>
      <c r="AY156" s="34" t="str">
        <f t="shared" ca="1" si="675"/>
        <v/>
      </c>
      <c r="AZ156" s="34" t="str">
        <f t="shared" ca="1" si="675"/>
        <v/>
      </c>
      <c r="BA156" s="34" t="str">
        <f t="shared" ca="1" si="675"/>
        <v/>
      </c>
      <c r="BB156" s="34" t="str">
        <f t="shared" ca="1" si="675"/>
        <v/>
      </c>
      <c r="BC156" s="34" t="str">
        <f t="shared" ca="1" si="675"/>
        <v/>
      </c>
      <c r="BD156" s="34" t="str">
        <f t="shared" ca="1" si="675"/>
        <v/>
      </c>
      <c r="BE156" s="34" t="str">
        <f t="shared" ca="1" si="675"/>
        <v/>
      </c>
      <c r="BF156" s="34" t="str">
        <f t="shared" ca="1" si="675"/>
        <v/>
      </c>
      <c r="BG156" s="34" t="str">
        <f t="shared" ca="1" si="675"/>
        <v/>
      </c>
      <c r="BH156" s="34" t="str">
        <f t="shared" ca="1" si="675"/>
        <v/>
      </c>
      <c r="BI156" s="34" t="str">
        <f t="shared" ca="1" si="675"/>
        <v/>
      </c>
      <c r="BJ156" s="34" t="str">
        <f t="shared" ca="1" si="675"/>
        <v/>
      </c>
      <c r="BK156" s="34" t="str">
        <f t="shared" ca="1" si="675"/>
        <v/>
      </c>
      <c r="BL156" s="34" t="str">
        <f t="shared" ca="1" si="675"/>
        <v/>
      </c>
      <c r="BM156" s="34" t="str">
        <f t="shared" ca="1" si="675"/>
        <v/>
      </c>
      <c r="BN156" s="34" t="str">
        <f t="shared" ca="1" si="675"/>
        <v/>
      </c>
      <c r="BO156" s="34" t="str">
        <f t="shared" ca="1" si="675"/>
        <v/>
      </c>
      <c r="BP156" s="34" t="str">
        <f t="shared" ref="BP156:CZ156" ca="1" si="676">IF(BP$89="","",IF(BP$89=$M$2,BO156,IF(BP$11&lt;$D$7,OFFSET(INDIRECT($D$3),$A156-1,$Q$3+BP$11),OFFSET(INDIRECT($D$4),$A156-1,$Q$4+BP$11))))</f>
        <v/>
      </c>
      <c r="BQ156" s="34" t="str">
        <f t="shared" ca="1" si="676"/>
        <v/>
      </c>
      <c r="BR156" s="34" t="str">
        <f t="shared" ca="1" si="676"/>
        <v/>
      </c>
      <c r="BS156" s="34" t="str">
        <f t="shared" ca="1" si="676"/>
        <v/>
      </c>
      <c r="BT156" s="34" t="str">
        <f t="shared" ca="1" si="676"/>
        <v/>
      </c>
      <c r="BU156" s="34" t="str">
        <f t="shared" ca="1" si="676"/>
        <v/>
      </c>
      <c r="BV156" s="34" t="str">
        <f t="shared" ca="1" si="676"/>
        <v/>
      </c>
      <c r="BW156" s="34" t="str">
        <f t="shared" ca="1" si="676"/>
        <v/>
      </c>
      <c r="BX156" s="34" t="str">
        <f t="shared" ca="1" si="676"/>
        <v/>
      </c>
      <c r="BY156" s="34" t="str">
        <f t="shared" ca="1" si="676"/>
        <v/>
      </c>
      <c r="BZ156" s="34" t="str">
        <f t="shared" ca="1" si="676"/>
        <v/>
      </c>
      <c r="CA156" s="34" t="str">
        <f t="shared" ca="1" si="676"/>
        <v/>
      </c>
      <c r="CB156" s="34" t="str">
        <f t="shared" ca="1" si="676"/>
        <v/>
      </c>
      <c r="CC156" s="34" t="str">
        <f t="shared" ca="1" si="676"/>
        <v/>
      </c>
      <c r="CD156" s="34" t="str">
        <f t="shared" ca="1" si="676"/>
        <v/>
      </c>
      <c r="CE156" s="34" t="str">
        <f t="shared" ca="1" si="676"/>
        <v/>
      </c>
      <c r="CF156" s="34" t="str">
        <f t="shared" ca="1" si="676"/>
        <v/>
      </c>
      <c r="CG156" s="34" t="str">
        <f t="shared" ca="1" si="676"/>
        <v/>
      </c>
      <c r="CH156" s="34" t="str">
        <f t="shared" ca="1" si="676"/>
        <v/>
      </c>
      <c r="CI156" s="34" t="str">
        <f t="shared" ca="1" si="676"/>
        <v/>
      </c>
      <c r="CJ156" s="34" t="str">
        <f t="shared" ca="1" si="676"/>
        <v/>
      </c>
      <c r="CK156" s="34" t="str">
        <f t="shared" ca="1" si="676"/>
        <v/>
      </c>
      <c r="CL156" s="34" t="str">
        <f t="shared" ca="1" si="676"/>
        <v/>
      </c>
      <c r="CM156" s="34" t="str">
        <f t="shared" ca="1" si="676"/>
        <v/>
      </c>
      <c r="CN156" s="34" t="str">
        <f t="shared" ca="1" si="676"/>
        <v/>
      </c>
      <c r="CO156" s="34" t="str">
        <f t="shared" ca="1" si="676"/>
        <v/>
      </c>
      <c r="CP156" s="34" t="str">
        <f t="shared" ca="1" si="676"/>
        <v/>
      </c>
      <c r="CQ156" s="34" t="str">
        <f t="shared" ca="1" si="676"/>
        <v/>
      </c>
      <c r="CR156" s="34" t="str">
        <f t="shared" ca="1" si="676"/>
        <v/>
      </c>
      <c r="CS156" s="34" t="str">
        <f t="shared" ca="1" si="676"/>
        <v/>
      </c>
      <c r="CT156" s="34" t="str">
        <f t="shared" ca="1" si="676"/>
        <v/>
      </c>
      <c r="CU156" s="34" t="str">
        <f t="shared" ca="1" si="676"/>
        <v/>
      </c>
      <c r="CV156" s="34" t="str">
        <f t="shared" ca="1" si="676"/>
        <v/>
      </c>
      <c r="CW156" s="34" t="str">
        <f t="shared" ca="1" si="676"/>
        <v/>
      </c>
      <c r="CX156" s="34" t="str">
        <f t="shared" ca="1" si="676"/>
        <v/>
      </c>
      <c r="CY156" s="34" t="str">
        <f t="shared" ca="1" si="676"/>
        <v/>
      </c>
      <c r="CZ156" s="34" t="str">
        <f t="shared" ca="1" si="676"/>
        <v/>
      </c>
    </row>
    <row r="157" spans="1:104" ht="13.5" customHeight="1">
      <c r="A157" s="27">
        <v>141</v>
      </c>
      <c r="B157" s="33">
        <f t="shared" si="639"/>
        <v>157</v>
      </c>
      <c r="C157" s="9" t="s">
        <v>416</v>
      </c>
      <c r="D157" s="34">
        <f t="shared" ref="D157:AI157" ca="1" si="677">IF(D$89="","",IF(D$89=$M$2,C157,IF(D$11&lt;$D$7,OFFSET(INDIRECT($D$3),$A157-1,$Q$3+D$11),OFFSET(INDIRECT($D$4),$A157-1,$Q$4+D$11))))</f>
        <v>76615</v>
      </c>
      <c r="E157" s="34">
        <f t="shared" ca="1" si="677"/>
        <v>118210</v>
      </c>
      <c r="F157" s="34">
        <f t="shared" ca="1" si="677"/>
        <v>61477</v>
      </c>
      <c r="G157" s="34">
        <f t="shared" ca="1" si="677"/>
        <v>69343</v>
      </c>
      <c r="H157" s="34">
        <f t="shared" ca="1" si="677"/>
        <v>76615</v>
      </c>
      <c r="I157" s="34">
        <f t="shared" ca="1" si="677"/>
        <v>90054</v>
      </c>
      <c r="J157" s="34">
        <f t="shared" ca="1" si="677"/>
        <v>102498</v>
      </c>
      <c r="K157" s="34">
        <f t="shared" ca="1" si="677"/>
        <v>111746</v>
      </c>
      <c r="L157" s="34">
        <f t="shared" ca="1" si="677"/>
        <v>118210</v>
      </c>
      <c r="M157" s="34">
        <f t="shared" ca="1" si="677"/>
        <v>127346</v>
      </c>
      <c r="N157" s="34">
        <f t="shared" ca="1" si="677"/>
        <v>127346</v>
      </c>
      <c r="O157" s="34" t="str">
        <f t="shared" ca="1" si="677"/>
        <v/>
      </c>
      <c r="P157" s="34" t="str">
        <f t="shared" ca="1" si="677"/>
        <v/>
      </c>
      <c r="Q157" s="34" t="str">
        <f t="shared" ca="1" si="677"/>
        <v/>
      </c>
      <c r="R157" s="34" t="str">
        <f t="shared" ca="1" si="677"/>
        <v/>
      </c>
      <c r="S157" s="34" t="str">
        <f t="shared" ca="1" si="677"/>
        <v/>
      </c>
      <c r="T157" s="34" t="str">
        <f t="shared" ca="1" si="677"/>
        <v/>
      </c>
      <c r="U157" s="34" t="str">
        <f t="shared" ca="1" si="677"/>
        <v/>
      </c>
      <c r="V157" s="34" t="str">
        <f t="shared" ca="1" si="677"/>
        <v/>
      </c>
      <c r="W157" s="34" t="str">
        <f t="shared" ca="1" si="677"/>
        <v/>
      </c>
      <c r="X157" s="34" t="str">
        <f t="shared" ca="1" si="677"/>
        <v/>
      </c>
      <c r="Y157" s="34" t="str">
        <f t="shared" ca="1" si="677"/>
        <v/>
      </c>
      <c r="Z157" s="34" t="str">
        <f t="shared" ca="1" si="677"/>
        <v/>
      </c>
      <c r="AA157" s="34" t="str">
        <f t="shared" ca="1" si="677"/>
        <v/>
      </c>
      <c r="AB157" s="34" t="str">
        <f t="shared" ca="1" si="677"/>
        <v/>
      </c>
      <c r="AC157" s="34" t="str">
        <f t="shared" ca="1" si="677"/>
        <v/>
      </c>
      <c r="AD157" s="34" t="str">
        <f t="shared" ca="1" si="677"/>
        <v/>
      </c>
      <c r="AE157" s="34" t="str">
        <f t="shared" ca="1" si="677"/>
        <v/>
      </c>
      <c r="AF157" s="34" t="str">
        <f t="shared" ca="1" si="677"/>
        <v/>
      </c>
      <c r="AG157" s="34" t="str">
        <f t="shared" ca="1" si="677"/>
        <v/>
      </c>
      <c r="AH157" s="34" t="str">
        <f t="shared" ca="1" si="677"/>
        <v/>
      </c>
      <c r="AI157" s="34" t="str">
        <f t="shared" ca="1" si="677"/>
        <v/>
      </c>
      <c r="AJ157" s="34" t="str">
        <f t="shared" ref="AJ157:BO157" ca="1" si="678">IF(AJ$89="","",IF(AJ$89=$M$2,AI157,IF(AJ$11&lt;$D$7,OFFSET(INDIRECT($D$3),$A157-1,$Q$3+AJ$11),OFFSET(INDIRECT($D$4),$A157-1,$Q$4+AJ$11))))</f>
        <v/>
      </c>
      <c r="AK157" s="34" t="str">
        <f t="shared" ca="1" si="678"/>
        <v/>
      </c>
      <c r="AL157" s="34" t="str">
        <f t="shared" ca="1" si="678"/>
        <v/>
      </c>
      <c r="AM157" s="34" t="str">
        <f t="shared" ca="1" si="678"/>
        <v/>
      </c>
      <c r="AN157" s="34" t="str">
        <f t="shared" ca="1" si="678"/>
        <v/>
      </c>
      <c r="AO157" s="34" t="str">
        <f t="shared" ca="1" si="678"/>
        <v/>
      </c>
      <c r="AP157" s="34" t="str">
        <f t="shared" ca="1" si="678"/>
        <v/>
      </c>
      <c r="AQ157" s="34" t="str">
        <f t="shared" ca="1" si="678"/>
        <v/>
      </c>
      <c r="AR157" s="34" t="str">
        <f t="shared" ca="1" si="678"/>
        <v/>
      </c>
      <c r="AS157" s="34" t="str">
        <f t="shared" ca="1" si="678"/>
        <v/>
      </c>
      <c r="AT157" s="34" t="str">
        <f t="shared" ca="1" si="678"/>
        <v/>
      </c>
      <c r="AU157" s="34" t="str">
        <f t="shared" ca="1" si="678"/>
        <v/>
      </c>
      <c r="AV157" s="34" t="str">
        <f t="shared" ca="1" si="678"/>
        <v/>
      </c>
      <c r="AW157" s="34" t="str">
        <f t="shared" ca="1" si="678"/>
        <v/>
      </c>
      <c r="AX157" s="34" t="str">
        <f t="shared" ca="1" si="678"/>
        <v/>
      </c>
      <c r="AY157" s="34" t="str">
        <f t="shared" ca="1" si="678"/>
        <v/>
      </c>
      <c r="AZ157" s="34" t="str">
        <f t="shared" ca="1" si="678"/>
        <v/>
      </c>
      <c r="BA157" s="34" t="str">
        <f t="shared" ca="1" si="678"/>
        <v/>
      </c>
      <c r="BB157" s="34" t="str">
        <f t="shared" ca="1" si="678"/>
        <v/>
      </c>
      <c r="BC157" s="34" t="str">
        <f t="shared" ca="1" si="678"/>
        <v/>
      </c>
      <c r="BD157" s="34" t="str">
        <f t="shared" ca="1" si="678"/>
        <v/>
      </c>
      <c r="BE157" s="34" t="str">
        <f t="shared" ca="1" si="678"/>
        <v/>
      </c>
      <c r="BF157" s="34" t="str">
        <f t="shared" ca="1" si="678"/>
        <v/>
      </c>
      <c r="BG157" s="34" t="str">
        <f t="shared" ca="1" si="678"/>
        <v/>
      </c>
      <c r="BH157" s="34" t="str">
        <f t="shared" ca="1" si="678"/>
        <v/>
      </c>
      <c r="BI157" s="34" t="str">
        <f t="shared" ca="1" si="678"/>
        <v/>
      </c>
      <c r="BJ157" s="34" t="str">
        <f t="shared" ca="1" si="678"/>
        <v/>
      </c>
      <c r="BK157" s="34" t="str">
        <f t="shared" ca="1" si="678"/>
        <v/>
      </c>
      <c r="BL157" s="34" t="str">
        <f t="shared" ca="1" si="678"/>
        <v/>
      </c>
      <c r="BM157" s="34" t="str">
        <f t="shared" ca="1" si="678"/>
        <v/>
      </c>
      <c r="BN157" s="34" t="str">
        <f t="shared" ca="1" si="678"/>
        <v/>
      </c>
      <c r="BO157" s="34" t="str">
        <f t="shared" ca="1" si="678"/>
        <v/>
      </c>
      <c r="BP157" s="34" t="str">
        <f t="shared" ref="BP157:CZ157" ca="1" si="679">IF(BP$89="","",IF(BP$89=$M$2,BO157,IF(BP$11&lt;$D$7,OFFSET(INDIRECT($D$3),$A157-1,$Q$3+BP$11),OFFSET(INDIRECT($D$4),$A157-1,$Q$4+BP$11))))</f>
        <v/>
      </c>
      <c r="BQ157" s="34" t="str">
        <f t="shared" ca="1" si="679"/>
        <v/>
      </c>
      <c r="BR157" s="34" t="str">
        <f t="shared" ca="1" si="679"/>
        <v/>
      </c>
      <c r="BS157" s="34" t="str">
        <f t="shared" ca="1" si="679"/>
        <v/>
      </c>
      <c r="BT157" s="34" t="str">
        <f t="shared" ca="1" si="679"/>
        <v/>
      </c>
      <c r="BU157" s="34" t="str">
        <f t="shared" ca="1" si="679"/>
        <v/>
      </c>
      <c r="BV157" s="34" t="str">
        <f t="shared" ca="1" si="679"/>
        <v/>
      </c>
      <c r="BW157" s="34" t="str">
        <f t="shared" ca="1" si="679"/>
        <v/>
      </c>
      <c r="BX157" s="34" t="str">
        <f t="shared" ca="1" si="679"/>
        <v/>
      </c>
      <c r="BY157" s="34" t="str">
        <f t="shared" ca="1" si="679"/>
        <v/>
      </c>
      <c r="BZ157" s="34" t="str">
        <f t="shared" ca="1" si="679"/>
        <v/>
      </c>
      <c r="CA157" s="34" t="str">
        <f t="shared" ca="1" si="679"/>
        <v/>
      </c>
      <c r="CB157" s="34" t="str">
        <f t="shared" ca="1" si="679"/>
        <v/>
      </c>
      <c r="CC157" s="34" t="str">
        <f t="shared" ca="1" si="679"/>
        <v/>
      </c>
      <c r="CD157" s="34" t="str">
        <f t="shared" ca="1" si="679"/>
        <v/>
      </c>
      <c r="CE157" s="34" t="str">
        <f t="shared" ca="1" si="679"/>
        <v/>
      </c>
      <c r="CF157" s="34" t="str">
        <f t="shared" ca="1" si="679"/>
        <v/>
      </c>
      <c r="CG157" s="34" t="str">
        <f t="shared" ca="1" si="679"/>
        <v/>
      </c>
      <c r="CH157" s="34" t="str">
        <f t="shared" ca="1" si="679"/>
        <v/>
      </c>
      <c r="CI157" s="34" t="str">
        <f t="shared" ca="1" si="679"/>
        <v/>
      </c>
      <c r="CJ157" s="34" t="str">
        <f t="shared" ca="1" si="679"/>
        <v/>
      </c>
      <c r="CK157" s="34" t="str">
        <f t="shared" ca="1" si="679"/>
        <v/>
      </c>
      <c r="CL157" s="34" t="str">
        <f t="shared" ca="1" si="679"/>
        <v/>
      </c>
      <c r="CM157" s="34" t="str">
        <f t="shared" ca="1" si="679"/>
        <v/>
      </c>
      <c r="CN157" s="34" t="str">
        <f t="shared" ca="1" si="679"/>
        <v/>
      </c>
      <c r="CO157" s="34" t="str">
        <f t="shared" ca="1" si="679"/>
        <v/>
      </c>
      <c r="CP157" s="34" t="str">
        <f t="shared" ca="1" si="679"/>
        <v/>
      </c>
      <c r="CQ157" s="34" t="str">
        <f t="shared" ca="1" si="679"/>
        <v/>
      </c>
      <c r="CR157" s="34" t="str">
        <f t="shared" ca="1" si="679"/>
        <v/>
      </c>
      <c r="CS157" s="34" t="str">
        <f t="shared" ca="1" si="679"/>
        <v/>
      </c>
      <c r="CT157" s="34" t="str">
        <f t="shared" ca="1" si="679"/>
        <v/>
      </c>
      <c r="CU157" s="34" t="str">
        <f t="shared" ca="1" si="679"/>
        <v/>
      </c>
      <c r="CV157" s="34" t="str">
        <f t="shared" ca="1" si="679"/>
        <v/>
      </c>
      <c r="CW157" s="34" t="str">
        <f t="shared" ca="1" si="679"/>
        <v/>
      </c>
      <c r="CX157" s="34" t="str">
        <f t="shared" ca="1" si="679"/>
        <v/>
      </c>
      <c r="CY157" s="34" t="str">
        <f t="shared" ca="1" si="679"/>
        <v/>
      </c>
      <c r="CZ157" s="34" t="str">
        <f t="shared" ca="1" si="679"/>
        <v/>
      </c>
    </row>
    <row r="158" spans="1:104" ht="13.5" customHeight="1">
      <c r="A158" s="28">
        <v>142</v>
      </c>
      <c r="B158" s="33">
        <f t="shared" si="639"/>
        <v>158</v>
      </c>
      <c r="C158" s="9" t="s">
        <v>417</v>
      </c>
      <c r="D158" s="34">
        <f t="shared" ref="D158:Q158" ca="1" si="680">IF(D$89="","",IF(D$89=$M$2,C158,+D148+D157))</f>
        <v>116371</v>
      </c>
      <c r="E158" s="34">
        <f t="shared" ca="1" si="680"/>
        <v>176064</v>
      </c>
      <c r="F158" s="34">
        <f t="shared" ca="1" si="680"/>
        <v>94904</v>
      </c>
      <c r="G158" s="34">
        <f t="shared" ca="1" si="680"/>
        <v>106758</v>
      </c>
      <c r="H158" s="34">
        <f t="shared" ca="1" si="680"/>
        <v>116371</v>
      </c>
      <c r="I158" s="34">
        <f t="shared" ca="1" si="680"/>
        <v>138681</v>
      </c>
      <c r="J158" s="34">
        <f t="shared" ca="1" si="680"/>
        <v>150934</v>
      </c>
      <c r="K158" s="34">
        <f t="shared" ca="1" si="680"/>
        <v>162896</v>
      </c>
      <c r="L158" s="34">
        <f t="shared" ca="1" si="680"/>
        <v>176064</v>
      </c>
      <c r="M158" s="34">
        <f t="shared" ca="1" si="680"/>
        <v>196088</v>
      </c>
      <c r="N158" s="34">
        <f t="shared" ca="1" si="680"/>
        <v>196088</v>
      </c>
      <c r="O158" s="34" t="str">
        <f t="shared" ca="1" si="680"/>
        <v/>
      </c>
      <c r="P158" s="34" t="str">
        <f t="shared" ca="1" si="680"/>
        <v/>
      </c>
      <c r="Q158" s="34" t="str">
        <f t="shared" ca="1" si="680"/>
        <v/>
      </c>
      <c r="R158" s="34" t="str">
        <f ca="1">IF(R$89="","",IF(R$89=$M$2,Q158,IF(R$11&lt;$D$7,OFFSET(INDIRECT($D$3),$A158-1,$Q$3+R$11),OFFSET(INDIRECT($D$4),$A158-1,$Q$4+R$11))))</f>
        <v/>
      </c>
      <c r="S158" s="34" t="str">
        <f t="shared" ref="S158:AX158" si="681">IF(S$89="","",IF(S$89=$M$2,R158,+S148+S157))</f>
        <v/>
      </c>
      <c r="T158" s="34" t="str">
        <f t="shared" si="681"/>
        <v/>
      </c>
      <c r="U158" s="34" t="str">
        <f t="shared" si="681"/>
        <v/>
      </c>
      <c r="V158" s="34" t="str">
        <f t="shared" si="681"/>
        <v/>
      </c>
      <c r="W158" s="34" t="str">
        <f t="shared" si="681"/>
        <v/>
      </c>
      <c r="X158" s="34" t="str">
        <f t="shared" si="681"/>
        <v/>
      </c>
      <c r="Y158" s="34" t="str">
        <f t="shared" si="681"/>
        <v/>
      </c>
      <c r="Z158" s="34" t="str">
        <f t="shared" si="681"/>
        <v/>
      </c>
      <c r="AA158" s="34" t="str">
        <f t="shared" si="681"/>
        <v/>
      </c>
      <c r="AB158" s="34" t="str">
        <f t="shared" si="681"/>
        <v/>
      </c>
      <c r="AC158" s="34" t="str">
        <f t="shared" si="681"/>
        <v/>
      </c>
      <c r="AD158" s="34" t="str">
        <f t="shared" si="681"/>
        <v/>
      </c>
      <c r="AE158" s="34" t="str">
        <f t="shared" si="681"/>
        <v/>
      </c>
      <c r="AF158" s="34" t="str">
        <f t="shared" si="681"/>
        <v/>
      </c>
      <c r="AG158" s="34" t="str">
        <f t="shared" si="681"/>
        <v/>
      </c>
      <c r="AH158" s="34" t="str">
        <f t="shared" si="681"/>
        <v/>
      </c>
      <c r="AI158" s="34" t="str">
        <f t="shared" si="681"/>
        <v/>
      </c>
      <c r="AJ158" s="34" t="str">
        <f t="shared" si="681"/>
        <v/>
      </c>
      <c r="AK158" s="34" t="str">
        <f t="shared" si="681"/>
        <v/>
      </c>
      <c r="AL158" s="34" t="str">
        <f t="shared" si="681"/>
        <v/>
      </c>
      <c r="AM158" s="34" t="str">
        <f t="shared" si="681"/>
        <v/>
      </c>
      <c r="AN158" s="34" t="str">
        <f t="shared" si="681"/>
        <v/>
      </c>
      <c r="AO158" s="34" t="str">
        <f t="shared" si="681"/>
        <v/>
      </c>
      <c r="AP158" s="34" t="str">
        <f t="shared" si="681"/>
        <v/>
      </c>
      <c r="AQ158" s="34" t="str">
        <f t="shared" si="681"/>
        <v/>
      </c>
      <c r="AR158" s="34" t="str">
        <f t="shared" si="681"/>
        <v/>
      </c>
      <c r="AS158" s="34" t="str">
        <f t="shared" si="681"/>
        <v/>
      </c>
      <c r="AT158" s="34" t="str">
        <f t="shared" si="681"/>
        <v/>
      </c>
      <c r="AU158" s="34" t="str">
        <f t="shared" si="681"/>
        <v/>
      </c>
      <c r="AV158" s="34" t="str">
        <f t="shared" si="681"/>
        <v/>
      </c>
      <c r="AW158" s="34" t="str">
        <f t="shared" si="681"/>
        <v/>
      </c>
      <c r="AX158" s="34" t="str">
        <f t="shared" si="681"/>
        <v/>
      </c>
      <c r="AY158" s="34" t="str">
        <f t="shared" ref="AY158:CD158" si="682">IF(AY$89="","",IF(AY$89=$M$2,AX158,+AY148+AY157))</f>
        <v/>
      </c>
      <c r="AZ158" s="34" t="str">
        <f t="shared" si="682"/>
        <v/>
      </c>
      <c r="BA158" s="34" t="str">
        <f t="shared" si="682"/>
        <v/>
      </c>
      <c r="BB158" s="34" t="str">
        <f t="shared" si="682"/>
        <v/>
      </c>
      <c r="BC158" s="34" t="str">
        <f t="shared" si="682"/>
        <v/>
      </c>
      <c r="BD158" s="34" t="str">
        <f t="shared" si="682"/>
        <v/>
      </c>
      <c r="BE158" s="34" t="str">
        <f t="shared" si="682"/>
        <v/>
      </c>
      <c r="BF158" s="34" t="str">
        <f t="shared" si="682"/>
        <v/>
      </c>
      <c r="BG158" s="34" t="str">
        <f t="shared" si="682"/>
        <v/>
      </c>
      <c r="BH158" s="34" t="str">
        <f t="shared" si="682"/>
        <v/>
      </c>
      <c r="BI158" s="34" t="str">
        <f t="shared" si="682"/>
        <v/>
      </c>
      <c r="BJ158" s="34" t="str">
        <f t="shared" si="682"/>
        <v/>
      </c>
      <c r="BK158" s="34" t="str">
        <f t="shared" si="682"/>
        <v/>
      </c>
      <c r="BL158" s="34" t="str">
        <f t="shared" si="682"/>
        <v/>
      </c>
      <c r="BM158" s="34" t="str">
        <f t="shared" si="682"/>
        <v/>
      </c>
      <c r="BN158" s="34" t="str">
        <f t="shared" si="682"/>
        <v/>
      </c>
      <c r="BO158" s="34" t="str">
        <f t="shared" si="682"/>
        <v/>
      </c>
      <c r="BP158" s="34" t="str">
        <f t="shared" si="682"/>
        <v/>
      </c>
      <c r="BQ158" s="34" t="str">
        <f t="shared" si="682"/>
        <v/>
      </c>
      <c r="BR158" s="34" t="str">
        <f t="shared" si="682"/>
        <v/>
      </c>
      <c r="BS158" s="34" t="str">
        <f t="shared" si="682"/>
        <v/>
      </c>
      <c r="BT158" s="34" t="str">
        <f t="shared" si="682"/>
        <v/>
      </c>
      <c r="BU158" s="34" t="str">
        <f t="shared" si="682"/>
        <v/>
      </c>
      <c r="BV158" s="34" t="str">
        <f t="shared" si="682"/>
        <v/>
      </c>
      <c r="BW158" s="34" t="str">
        <f t="shared" si="682"/>
        <v/>
      </c>
      <c r="BX158" s="34" t="str">
        <f t="shared" si="682"/>
        <v/>
      </c>
      <c r="BY158" s="34" t="str">
        <f t="shared" si="682"/>
        <v/>
      </c>
      <c r="BZ158" s="34" t="str">
        <f t="shared" si="682"/>
        <v/>
      </c>
      <c r="CA158" s="34" t="str">
        <f t="shared" si="682"/>
        <v/>
      </c>
      <c r="CB158" s="34" t="str">
        <f t="shared" si="682"/>
        <v/>
      </c>
      <c r="CC158" s="34" t="str">
        <f t="shared" si="682"/>
        <v/>
      </c>
      <c r="CD158" s="34" t="str">
        <f t="shared" si="682"/>
        <v/>
      </c>
      <c r="CE158" s="34" t="str">
        <f t="shared" ref="CE158:CZ158" si="683">IF(CE$89="","",IF(CE$89=$M$2,CD158,+CE148+CE157))</f>
        <v/>
      </c>
      <c r="CF158" s="34" t="str">
        <f t="shared" si="683"/>
        <v/>
      </c>
      <c r="CG158" s="34" t="str">
        <f t="shared" si="683"/>
        <v/>
      </c>
      <c r="CH158" s="34" t="str">
        <f t="shared" si="683"/>
        <v/>
      </c>
      <c r="CI158" s="34" t="str">
        <f t="shared" si="683"/>
        <v/>
      </c>
      <c r="CJ158" s="34" t="str">
        <f t="shared" si="683"/>
        <v/>
      </c>
      <c r="CK158" s="34" t="str">
        <f t="shared" si="683"/>
        <v/>
      </c>
      <c r="CL158" s="34" t="str">
        <f t="shared" si="683"/>
        <v/>
      </c>
      <c r="CM158" s="34" t="str">
        <f t="shared" si="683"/>
        <v/>
      </c>
      <c r="CN158" s="34" t="str">
        <f t="shared" si="683"/>
        <v/>
      </c>
      <c r="CO158" s="34" t="str">
        <f t="shared" si="683"/>
        <v/>
      </c>
      <c r="CP158" s="34" t="str">
        <f t="shared" si="683"/>
        <v/>
      </c>
      <c r="CQ158" s="34" t="str">
        <f t="shared" si="683"/>
        <v/>
      </c>
      <c r="CR158" s="34" t="str">
        <f t="shared" si="683"/>
        <v/>
      </c>
      <c r="CS158" s="34" t="str">
        <f t="shared" si="683"/>
        <v/>
      </c>
      <c r="CT158" s="34" t="str">
        <f t="shared" si="683"/>
        <v/>
      </c>
      <c r="CU158" s="34" t="str">
        <f t="shared" si="683"/>
        <v/>
      </c>
      <c r="CV158" s="34" t="str">
        <f t="shared" si="683"/>
        <v/>
      </c>
      <c r="CW158" s="34" t="str">
        <f t="shared" si="683"/>
        <v/>
      </c>
      <c r="CX158" s="34" t="str">
        <f t="shared" si="683"/>
        <v/>
      </c>
      <c r="CY158" s="34" t="str">
        <f t="shared" si="683"/>
        <v/>
      </c>
      <c r="CZ158" s="34" t="str">
        <f t="shared" si="683"/>
        <v/>
      </c>
    </row>
    <row r="159" spans="1:104" ht="13.5" customHeight="1">
      <c r="A159" s="25"/>
      <c r="B159" s="33">
        <f t="shared" si="639"/>
        <v>159</v>
      </c>
      <c r="C159" s="11"/>
      <c r="D159" s="34"/>
      <c r="E159" s="34"/>
      <c r="F159" s="34"/>
      <c r="G159" s="34"/>
      <c r="H159" s="34"/>
      <c r="I159" s="34"/>
      <c r="J159" s="34"/>
      <c r="K159" s="34"/>
      <c r="L159" s="34"/>
      <c r="M159" s="34"/>
      <c r="N159" s="34"/>
      <c r="O159" s="34"/>
      <c r="P159" s="34"/>
      <c r="Q159" s="34"/>
      <c r="R159" s="34"/>
      <c r="S159" s="34"/>
      <c r="T159" s="34"/>
      <c r="U159" s="34"/>
      <c r="V159" s="34"/>
      <c r="W159" s="34"/>
      <c r="X159" s="34"/>
      <c r="Y159" s="34"/>
      <c r="Z159" s="34"/>
      <c r="AA159" s="34"/>
      <c r="AB159" s="34"/>
      <c r="AC159" s="34"/>
      <c r="AD159" s="34"/>
      <c r="AE159" s="34"/>
      <c r="AF159" s="34"/>
      <c r="AG159" s="34"/>
      <c r="AH159" s="34"/>
      <c r="AI159" s="34"/>
      <c r="AJ159" s="34"/>
      <c r="AK159" s="34"/>
      <c r="AL159" s="34"/>
      <c r="AM159" s="34"/>
      <c r="AN159" s="34"/>
      <c r="AO159" s="34"/>
      <c r="AP159" s="34"/>
      <c r="AQ159" s="34"/>
      <c r="AR159" s="34"/>
      <c r="AS159" s="34"/>
      <c r="AT159" s="34"/>
      <c r="AU159" s="34"/>
      <c r="AV159" s="34"/>
      <c r="AW159" s="34"/>
      <c r="AX159" s="34"/>
      <c r="AY159" s="34"/>
      <c r="AZ159" s="34"/>
      <c r="BA159" s="34"/>
      <c r="BB159" s="34"/>
      <c r="BC159" s="34"/>
      <c r="BD159" s="34"/>
      <c r="BE159" s="34"/>
      <c r="BF159" s="34"/>
      <c r="BG159" s="34"/>
      <c r="BH159" s="34"/>
      <c r="BI159" s="34"/>
      <c r="BJ159" s="34"/>
      <c r="BK159" s="34"/>
      <c r="BL159" s="34"/>
      <c r="BM159" s="34"/>
      <c r="BN159" s="34"/>
      <c r="BO159" s="34"/>
      <c r="BP159" s="34"/>
      <c r="BQ159" s="34"/>
      <c r="BR159" s="34"/>
      <c r="BS159" s="34"/>
      <c r="BT159" s="34"/>
      <c r="BU159" s="34"/>
      <c r="BV159" s="34"/>
      <c r="BW159" s="34"/>
      <c r="BX159" s="34"/>
      <c r="BY159" s="34"/>
      <c r="BZ159" s="34"/>
      <c r="CA159" s="34"/>
      <c r="CB159" s="34"/>
      <c r="CC159" s="34"/>
      <c r="CD159" s="34"/>
      <c r="CE159" s="34"/>
      <c r="CF159" s="34"/>
      <c r="CG159" s="34"/>
      <c r="CH159" s="34"/>
      <c r="CI159" s="34"/>
      <c r="CJ159" s="34"/>
      <c r="CK159" s="34"/>
      <c r="CL159" s="34"/>
      <c r="CM159" s="34"/>
      <c r="CN159" s="34"/>
      <c r="CO159" s="34"/>
      <c r="CP159" s="34"/>
      <c r="CQ159" s="34"/>
      <c r="CR159" s="34"/>
      <c r="CS159" s="34"/>
      <c r="CT159" s="34"/>
      <c r="CU159" s="34"/>
      <c r="CV159" s="34"/>
      <c r="CW159" s="34"/>
      <c r="CX159" s="34"/>
      <c r="CY159" s="34"/>
      <c r="CZ159" s="34"/>
    </row>
    <row r="160" spans="1:104" s="13" customFormat="1" ht="13.5" customHeight="1">
      <c r="A160" s="38"/>
      <c r="B160" s="33">
        <f t="shared" si="639"/>
        <v>160</v>
      </c>
      <c r="C160" s="45">
        <v>1</v>
      </c>
      <c r="D160" s="36" t="str">
        <f t="shared" ref="D160:AI160" ca="1" si="684">IF(D$13="","",IF(OR(D$13=$M$5,D$13=$M$6,D$13=$M$7,D$13=$M$8),"",IF(ABS(D$158-IF(D$11&lt;$D$7,OFFSET(INDIRECT($D$3),$A158-1,$Q$3+D$11),OFFSET(INDIRECT($D$4),$A158-1,$Q$4+D$11)))&lt;=$C$57,$M$3,$M$9)))</f>
        <v>Balance</v>
      </c>
      <c r="E160" s="36" t="str">
        <f t="shared" ca="1" si="684"/>
        <v>Balance</v>
      </c>
      <c r="F160" s="36" t="str">
        <f t="shared" ca="1" si="684"/>
        <v>Balance</v>
      </c>
      <c r="G160" s="36" t="str">
        <f t="shared" ca="1" si="684"/>
        <v>Balance</v>
      </c>
      <c r="H160" s="36" t="str">
        <f t="shared" ca="1" si="684"/>
        <v>Balance</v>
      </c>
      <c r="I160" s="36" t="str">
        <f t="shared" ca="1" si="684"/>
        <v>Balance</v>
      </c>
      <c r="J160" s="36" t="str">
        <f t="shared" ca="1" si="684"/>
        <v>Balance</v>
      </c>
      <c r="K160" s="36" t="str">
        <f t="shared" ca="1" si="684"/>
        <v>Balance</v>
      </c>
      <c r="L160" s="36" t="str">
        <f t="shared" ca="1" si="684"/>
        <v>Balance</v>
      </c>
      <c r="M160" s="36" t="str">
        <f t="shared" ca="1" si="684"/>
        <v>Balance</v>
      </c>
      <c r="N160" s="36" t="str">
        <f t="shared" ca="1" si="684"/>
        <v/>
      </c>
      <c r="O160" s="36" t="str">
        <f t="shared" ca="1" si="684"/>
        <v/>
      </c>
      <c r="P160" s="36" t="str">
        <f t="shared" ca="1" si="684"/>
        <v/>
      </c>
      <c r="Q160" s="36" t="str">
        <f t="shared" ca="1" si="684"/>
        <v/>
      </c>
      <c r="R160" s="36" t="str">
        <f t="shared" ca="1" si="684"/>
        <v/>
      </c>
      <c r="S160" s="36" t="str">
        <f t="shared" ca="1" si="684"/>
        <v/>
      </c>
      <c r="T160" s="36" t="str">
        <f t="shared" ca="1" si="684"/>
        <v/>
      </c>
      <c r="U160" s="36" t="str">
        <f t="shared" ca="1" si="684"/>
        <v/>
      </c>
      <c r="V160" s="36" t="str">
        <f t="shared" ca="1" si="684"/>
        <v/>
      </c>
      <c r="W160" s="36" t="str">
        <f t="shared" ca="1" si="684"/>
        <v/>
      </c>
      <c r="X160" s="36" t="str">
        <f t="shared" ca="1" si="684"/>
        <v/>
      </c>
      <c r="Y160" s="36" t="str">
        <f t="shared" ca="1" si="684"/>
        <v/>
      </c>
      <c r="Z160" s="36" t="str">
        <f t="shared" ca="1" si="684"/>
        <v/>
      </c>
      <c r="AA160" s="36" t="str">
        <f t="shared" ca="1" si="684"/>
        <v/>
      </c>
      <c r="AB160" s="36" t="str">
        <f t="shared" ca="1" si="684"/>
        <v/>
      </c>
      <c r="AC160" s="36" t="str">
        <f t="shared" ca="1" si="684"/>
        <v/>
      </c>
      <c r="AD160" s="36" t="str">
        <f t="shared" ca="1" si="684"/>
        <v/>
      </c>
      <c r="AE160" s="36" t="str">
        <f t="shared" ca="1" si="684"/>
        <v/>
      </c>
      <c r="AF160" s="36" t="str">
        <f t="shared" ca="1" si="684"/>
        <v/>
      </c>
      <c r="AG160" s="18" t="str">
        <f t="shared" ca="1" si="684"/>
        <v/>
      </c>
      <c r="AH160" s="18" t="str">
        <f t="shared" ca="1" si="684"/>
        <v/>
      </c>
      <c r="AI160" s="18" t="str">
        <f t="shared" ca="1" si="684"/>
        <v/>
      </c>
      <c r="AJ160" s="18" t="str">
        <f t="shared" ref="AJ160:BO160" ca="1" si="685">IF(AJ$13="","",IF(OR(AJ$13=$M$5,AJ$13=$M$6,AJ$13=$M$7,AJ$13=$M$8),"",IF(ABS(AJ$158-IF(AJ$11&lt;$D$7,OFFSET(INDIRECT($D$3),$A158-1,$Q$3+AJ$11),OFFSET(INDIRECT($D$4),$A158-1,$Q$4+AJ$11)))&lt;=$C$57,$M$3,$M$9)))</f>
        <v/>
      </c>
      <c r="AK160" s="18" t="str">
        <f t="shared" ca="1" si="685"/>
        <v/>
      </c>
      <c r="AL160" s="18" t="str">
        <f t="shared" ca="1" si="685"/>
        <v/>
      </c>
      <c r="AM160" s="18" t="str">
        <f t="shared" ca="1" si="685"/>
        <v/>
      </c>
      <c r="AN160" s="18" t="str">
        <f t="shared" ca="1" si="685"/>
        <v/>
      </c>
      <c r="AO160" s="18" t="str">
        <f t="shared" ca="1" si="685"/>
        <v/>
      </c>
      <c r="AP160" s="18" t="str">
        <f t="shared" ca="1" si="685"/>
        <v/>
      </c>
      <c r="AQ160" s="18" t="str">
        <f t="shared" ca="1" si="685"/>
        <v/>
      </c>
      <c r="AR160" s="18" t="str">
        <f t="shared" ca="1" si="685"/>
        <v/>
      </c>
      <c r="AS160" s="18" t="str">
        <f t="shared" ca="1" si="685"/>
        <v/>
      </c>
      <c r="AT160" s="18" t="str">
        <f t="shared" ca="1" si="685"/>
        <v/>
      </c>
      <c r="AU160" s="18" t="str">
        <f t="shared" ca="1" si="685"/>
        <v/>
      </c>
      <c r="AV160" s="18" t="str">
        <f t="shared" ca="1" si="685"/>
        <v/>
      </c>
      <c r="AW160" s="18" t="str">
        <f t="shared" ca="1" si="685"/>
        <v/>
      </c>
      <c r="AX160" s="18" t="str">
        <f t="shared" ca="1" si="685"/>
        <v/>
      </c>
      <c r="AY160" s="18" t="str">
        <f t="shared" ca="1" si="685"/>
        <v/>
      </c>
      <c r="AZ160" s="18" t="str">
        <f t="shared" ca="1" si="685"/>
        <v/>
      </c>
      <c r="BA160" s="18" t="str">
        <f t="shared" ca="1" si="685"/>
        <v/>
      </c>
      <c r="BB160" s="18" t="str">
        <f t="shared" ca="1" si="685"/>
        <v/>
      </c>
      <c r="BC160" s="18" t="str">
        <f t="shared" ca="1" si="685"/>
        <v/>
      </c>
      <c r="BD160" s="18" t="str">
        <f t="shared" ca="1" si="685"/>
        <v/>
      </c>
      <c r="BE160" s="18" t="str">
        <f t="shared" ca="1" si="685"/>
        <v/>
      </c>
      <c r="BF160" s="18" t="str">
        <f t="shared" ca="1" si="685"/>
        <v/>
      </c>
      <c r="BG160" s="18" t="str">
        <f t="shared" ca="1" si="685"/>
        <v/>
      </c>
      <c r="BH160" s="18" t="str">
        <f t="shared" ca="1" si="685"/>
        <v/>
      </c>
      <c r="BI160" s="18" t="str">
        <f t="shared" ca="1" si="685"/>
        <v/>
      </c>
      <c r="BJ160" s="18" t="str">
        <f t="shared" ca="1" si="685"/>
        <v/>
      </c>
      <c r="BK160" s="18" t="str">
        <f t="shared" ca="1" si="685"/>
        <v/>
      </c>
      <c r="BL160" s="18" t="str">
        <f t="shared" ca="1" si="685"/>
        <v/>
      </c>
      <c r="BM160" s="18" t="str">
        <f t="shared" ca="1" si="685"/>
        <v/>
      </c>
      <c r="BN160" s="18" t="str">
        <f t="shared" ca="1" si="685"/>
        <v/>
      </c>
      <c r="BO160" s="18" t="str">
        <f t="shared" ca="1" si="685"/>
        <v/>
      </c>
      <c r="BP160" s="18" t="str">
        <f t="shared" ref="BP160:CZ160" ca="1" si="686">IF(BP$13="","",IF(OR(BP$13=$M$5,BP$13=$M$6,BP$13=$M$7,BP$13=$M$8),"",IF(ABS(BP$158-IF(BP$11&lt;$D$7,OFFSET(INDIRECT($D$3),$A158-1,$Q$3+BP$11),OFFSET(INDIRECT($D$4),$A158-1,$Q$4+BP$11)))&lt;=$C$57,$M$3,$M$9)))</f>
        <v/>
      </c>
      <c r="BQ160" s="18" t="str">
        <f t="shared" ca="1" si="686"/>
        <v/>
      </c>
      <c r="BR160" s="18" t="str">
        <f t="shared" ca="1" si="686"/>
        <v/>
      </c>
      <c r="BS160" s="18" t="str">
        <f t="shared" ca="1" si="686"/>
        <v/>
      </c>
      <c r="BT160" s="18" t="str">
        <f t="shared" ca="1" si="686"/>
        <v/>
      </c>
      <c r="BU160" s="18" t="str">
        <f t="shared" ca="1" si="686"/>
        <v/>
      </c>
      <c r="BV160" s="18" t="str">
        <f t="shared" ca="1" si="686"/>
        <v/>
      </c>
      <c r="BW160" s="18" t="str">
        <f t="shared" ca="1" si="686"/>
        <v/>
      </c>
      <c r="BX160" s="18" t="str">
        <f t="shared" ca="1" si="686"/>
        <v/>
      </c>
      <c r="BY160" s="18" t="str">
        <f t="shared" ca="1" si="686"/>
        <v/>
      </c>
      <c r="BZ160" s="18" t="str">
        <f t="shared" ca="1" si="686"/>
        <v/>
      </c>
      <c r="CA160" s="18" t="str">
        <f t="shared" ca="1" si="686"/>
        <v/>
      </c>
      <c r="CB160" s="18" t="str">
        <f t="shared" ca="1" si="686"/>
        <v/>
      </c>
      <c r="CC160" s="18" t="str">
        <f t="shared" ca="1" si="686"/>
        <v/>
      </c>
      <c r="CD160" s="18" t="str">
        <f t="shared" ca="1" si="686"/>
        <v/>
      </c>
      <c r="CE160" s="18" t="str">
        <f t="shared" ca="1" si="686"/>
        <v/>
      </c>
      <c r="CF160" s="18" t="str">
        <f t="shared" ca="1" si="686"/>
        <v/>
      </c>
      <c r="CG160" s="18" t="str">
        <f t="shared" ca="1" si="686"/>
        <v/>
      </c>
      <c r="CH160" s="18" t="str">
        <f t="shared" ca="1" si="686"/>
        <v/>
      </c>
      <c r="CI160" s="18" t="str">
        <f t="shared" ca="1" si="686"/>
        <v/>
      </c>
      <c r="CJ160" s="18" t="str">
        <f t="shared" ca="1" si="686"/>
        <v/>
      </c>
      <c r="CK160" s="18" t="str">
        <f t="shared" ca="1" si="686"/>
        <v/>
      </c>
      <c r="CL160" s="18" t="str">
        <f t="shared" ca="1" si="686"/>
        <v/>
      </c>
      <c r="CM160" s="18" t="str">
        <f t="shared" ca="1" si="686"/>
        <v/>
      </c>
      <c r="CN160" s="18" t="str">
        <f t="shared" ca="1" si="686"/>
        <v/>
      </c>
      <c r="CO160" s="18" t="str">
        <f t="shared" ca="1" si="686"/>
        <v/>
      </c>
      <c r="CP160" s="18" t="str">
        <f t="shared" ca="1" si="686"/>
        <v/>
      </c>
      <c r="CQ160" s="18" t="str">
        <f t="shared" ca="1" si="686"/>
        <v/>
      </c>
      <c r="CR160" s="18" t="str">
        <f t="shared" ca="1" si="686"/>
        <v/>
      </c>
      <c r="CS160" s="18" t="str">
        <f t="shared" ca="1" si="686"/>
        <v/>
      </c>
      <c r="CT160" s="18" t="str">
        <f t="shared" ca="1" si="686"/>
        <v/>
      </c>
      <c r="CU160" s="18" t="str">
        <f t="shared" ca="1" si="686"/>
        <v/>
      </c>
      <c r="CV160" s="18" t="str">
        <f t="shared" ca="1" si="686"/>
        <v/>
      </c>
      <c r="CW160" s="18" t="str">
        <f t="shared" ca="1" si="686"/>
        <v/>
      </c>
      <c r="CX160" s="18" t="str">
        <f t="shared" ca="1" si="686"/>
        <v/>
      </c>
      <c r="CY160" s="18" t="str">
        <f t="shared" ca="1" si="686"/>
        <v/>
      </c>
      <c r="CZ160" s="18" t="str">
        <f t="shared" ca="1" si="686"/>
        <v/>
      </c>
    </row>
    <row r="161" spans="1:104" ht="13.5" customHeight="1">
      <c r="A161" s="25"/>
      <c r="B161" s="33">
        <f t="shared" si="639"/>
        <v>161</v>
      </c>
      <c r="C161" s="11"/>
      <c r="D161" s="34"/>
      <c r="E161" s="34"/>
      <c r="F161" s="34"/>
      <c r="G161" s="34"/>
      <c r="H161" s="34"/>
      <c r="I161" s="34"/>
      <c r="J161" s="34"/>
      <c r="K161" s="34"/>
      <c r="L161" s="34"/>
      <c r="M161" s="34"/>
      <c r="N161" s="34"/>
      <c r="O161" s="34"/>
      <c r="P161" s="34"/>
      <c r="Q161" s="34"/>
      <c r="R161" s="34"/>
      <c r="S161" s="34"/>
      <c r="T161" s="34"/>
      <c r="U161" s="34"/>
      <c r="V161" s="34"/>
      <c r="W161" s="34"/>
      <c r="X161" s="34"/>
      <c r="Y161" s="34"/>
      <c r="Z161" s="34"/>
      <c r="AA161" s="34"/>
      <c r="AB161" s="34"/>
      <c r="AC161" s="34"/>
      <c r="AD161" s="34"/>
      <c r="AE161" s="34"/>
      <c r="AF161" s="34"/>
      <c r="AG161" s="34"/>
      <c r="AH161" s="34"/>
      <c r="AI161" s="34"/>
      <c r="AJ161" s="34"/>
      <c r="AK161" s="34"/>
      <c r="AL161" s="34"/>
      <c r="AM161" s="34"/>
      <c r="AN161" s="34"/>
      <c r="AO161" s="34"/>
      <c r="AP161" s="34"/>
      <c r="AQ161" s="34"/>
      <c r="AR161" s="34"/>
      <c r="AS161" s="34"/>
      <c r="AT161" s="34"/>
      <c r="AU161" s="34"/>
      <c r="AV161" s="34"/>
      <c r="AW161" s="34"/>
      <c r="AX161" s="34"/>
      <c r="AY161" s="34"/>
      <c r="AZ161" s="34"/>
      <c r="BA161" s="34"/>
      <c r="BB161" s="34"/>
      <c r="BC161" s="34"/>
      <c r="BD161" s="34"/>
      <c r="BE161" s="34"/>
      <c r="BF161" s="34"/>
      <c r="BG161" s="34"/>
      <c r="BH161" s="34"/>
      <c r="BI161" s="34"/>
      <c r="BJ161" s="34"/>
      <c r="BK161" s="34"/>
      <c r="BL161" s="34"/>
      <c r="BM161" s="34"/>
      <c r="BN161" s="34"/>
      <c r="BO161" s="34"/>
      <c r="BP161" s="34"/>
      <c r="BQ161" s="34"/>
      <c r="BR161" s="34"/>
      <c r="BS161" s="34"/>
      <c r="BT161" s="34"/>
      <c r="BU161" s="34"/>
      <c r="BV161" s="34"/>
      <c r="BW161" s="34"/>
      <c r="BX161" s="34"/>
      <c r="BY161" s="34"/>
      <c r="BZ161" s="34"/>
      <c r="CA161" s="34"/>
      <c r="CB161" s="34"/>
      <c r="CC161" s="34"/>
      <c r="CD161" s="34"/>
      <c r="CE161" s="34"/>
      <c r="CF161" s="34"/>
      <c r="CG161" s="34"/>
      <c r="CH161" s="34"/>
      <c r="CI161" s="34"/>
      <c r="CJ161" s="34"/>
      <c r="CK161" s="34"/>
      <c r="CL161" s="34"/>
      <c r="CM161" s="34"/>
      <c r="CN161" s="34"/>
      <c r="CO161" s="34"/>
      <c r="CP161" s="34"/>
      <c r="CQ161" s="34"/>
      <c r="CR161" s="34"/>
      <c r="CS161" s="34"/>
      <c r="CT161" s="34"/>
      <c r="CU161" s="34"/>
      <c r="CV161" s="34"/>
      <c r="CW161" s="34"/>
      <c r="CX161" s="34"/>
      <c r="CY161" s="34"/>
      <c r="CZ161" s="34"/>
    </row>
    <row r="162" spans="1:104" ht="13.5" customHeight="1">
      <c r="A162" s="28">
        <v>133</v>
      </c>
      <c r="B162" s="33">
        <f t="shared" si="639"/>
        <v>162</v>
      </c>
      <c r="C162" s="9" t="s">
        <v>418</v>
      </c>
      <c r="D162" s="34">
        <f t="shared" ref="D162:AI162" ca="1" si="687">IF(D$89="","",IF(D$89=$M$2,C162,+D157-D156))</f>
        <v>76615</v>
      </c>
      <c r="E162" s="34">
        <f t="shared" ca="1" si="687"/>
        <v>118210</v>
      </c>
      <c r="F162" s="34">
        <f t="shared" ca="1" si="687"/>
        <v>61477</v>
      </c>
      <c r="G162" s="34">
        <f t="shared" ca="1" si="687"/>
        <v>69343</v>
      </c>
      <c r="H162" s="34">
        <f t="shared" ca="1" si="687"/>
        <v>76615</v>
      </c>
      <c r="I162" s="34">
        <f t="shared" ca="1" si="687"/>
        <v>90054</v>
      </c>
      <c r="J162" s="34">
        <f t="shared" ca="1" si="687"/>
        <v>102498</v>
      </c>
      <c r="K162" s="34">
        <f t="shared" ca="1" si="687"/>
        <v>111746</v>
      </c>
      <c r="L162" s="34">
        <f t="shared" ca="1" si="687"/>
        <v>118210</v>
      </c>
      <c r="M162" s="34">
        <f t="shared" ca="1" si="687"/>
        <v>127346</v>
      </c>
      <c r="N162" s="34">
        <f t="shared" ca="1" si="687"/>
        <v>127346</v>
      </c>
      <c r="O162" s="34" t="str">
        <f t="shared" ca="1" si="687"/>
        <v/>
      </c>
      <c r="P162" s="34" t="str">
        <f t="shared" ca="1" si="687"/>
        <v/>
      </c>
      <c r="Q162" s="34" t="str">
        <f t="shared" ca="1" si="687"/>
        <v/>
      </c>
      <c r="R162" s="34" t="str">
        <f t="shared" si="687"/>
        <v/>
      </c>
      <c r="S162" s="34" t="str">
        <f t="shared" si="687"/>
        <v/>
      </c>
      <c r="T162" s="34" t="str">
        <f t="shared" si="687"/>
        <v/>
      </c>
      <c r="U162" s="34" t="str">
        <f t="shared" si="687"/>
        <v/>
      </c>
      <c r="V162" s="34" t="str">
        <f t="shared" si="687"/>
        <v/>
      </c>
      <c r="W162" s="34" t="str">
        <f t="shared" si="687"/>
        <v/>
      </c>
      <c r="X162" s="34" t="str">
        <f t="shared" si="687"/>
        <v/>
      </c>
      <c r="Y162" s="34" t="str">
        <f t="shared" si="687"/>
        <v/>
      </c>
      <c r="Z162" s="34" t="str">
        <f t="shared" si="687"/>
        <v/>
      </c>
      <c r="AA162" s="34" t="str">
        <f t="shared" si="687"/>
        <v/>
      </c>
      <c r="AB162" s="34" t="str">
        <f t="shared" si="687"/>
        <v/>
      </c>
      <c r="AC162" s="34" t="str">
        <f t="shared" si="687"/>
        <v/>
      </c>
      <c r="AD162" s="34" t="str">
        <f t="shared" si="687"/>
        <v/>
      </c>
      <c r="AE162" s="34" t="str">
        <f t="shared" si="687"/>
        <v/>
      </c>
      <c r="AF162" s="34" t="str">
        <f t="shared" si="687"/>
        <v/>
      </c>
      <c r="AG162" s="34" t="str">
        <f t="shared" si="687"/>
        <v/>
      </c>
      <c r="AH162" s="34" t="str">
        <f t="shared" si="687"/>
        <v/>
      </c>
      <c r="AI162" s="34" t="str">
        <f t="shared" si="687"/>
        <v/>
      </c>
      <c r="AJ162" s="34" t="str">
        <f t="shared" ref="AJ162:BO162" si="688">IF(AJ$89="","",IF(AJ$89=$M$2,AI162,+AJ157-AJ156))</f>
        <v/>
      </c>
      <c r="AK162" s="34" t="str">
        <f t="shared" si="688"/>
        <v/>
      </c>
      <c r="AL162" s="34" t="str">
        <f t="shared" si="688"/>
        <v/>
      </c>
      <c r="AM162" s="34" t="str">
        <f t="shared" si="688"/>
        <v/>
      </c>
      <c r="AN162" s="34" t="str">
        <f t="shared" si="688"/>
        <v/>
      </c>
      <c r="AO162" s="34" t="str">
        <f t="shared" si="688"/>
        <v/>
      </c>
      <c r="AP162" s="34" t="str">
        <f t="shared" si="688"/>
        <v/>
      </c>
      <c r="AQ162" s="34" t="str">
        <f t="shared" si="688"/>
        <v/>
      </c>
      <c r="AR162" s="34" t="str">
        <f t="shared" si="688"/>
        <v/>
      </c>
      <c r="AS162" s="34" t="str">
        <f t="shared" si="688"/>
        <v/>
      </c>
      <c r="AT162" s="34" t="str">
        <f t="shared" si="688"/>
        <v/>
      </c>
      <c r="AU162" s="34" t="str">
        <f t="shared" si="688"/>
        <v/>
      </c>
      <c r="AV162" s="34" t="str">
        <f t="shared" si="688"/>
        <v/>
      </c>
      <c r="AW162" s="34" t="str">
        <f t="shared" si="688"/>
        <v/>
      </c>
      <c r="AX162" s="34" t="str">
        <f t="shared" si="688"/>
        <v/>
      </c>
      <c r="AY162" s="34" t="str">
        <f t="shared" si="688"/>
        <v/>
      </c>
      <c r="AZ162" s="34" t="str">
        <f t="shared" si="688"/>
        <v/>
      </c>
      <c r="BA162" s="34" t="str">
        <f t="shared" si="688"/>
        <v/>
      </c>
      <c r="BB162" s="34" t="str">
        <f t="shared" si="688"/>
        <v/>
      </c>
      <c r="BC162" s="34" t="str">
        <f t="shared" si="688"/>
        <v/>
      </c>
      <c r="BD162" s="34" t="str">
        <f t="shared" si="688"/>
        <v/>
      </c>
      <c r="BE162" s="34" t="str">
        <f t="shared" si="688"/>
        <v/>
      </c>
      <c r="BF162" s="34" t="str">
        <f t="shared" si="688"/>
        <v/>
      </c>
      <c r="BG162" s="34" t="str">
        <f t="shared" si="688"/>
        <v/>
      </c>
      <c r="BH162" s="34" t="str">
        <f t="shared" si="688"/>
        <v/>
      </c>
      <c r="BI162" s="34" t="str">
        <f t="shared" si="688"/>
        <v/>
      </c>
      <c r="BJ162" s="34" t="str">
        <f t="shared" si="688"/>
        <v/>
      </c>
      <c r="BK162" s="34" t="str">
        <f t="shared" si="688"/>
        <v/>
      </c>
      <c r="BL162" s="34" t="str">
        <f t="shared" si="688"/>
        <v/>
      </c>
      <c r="BM162" s="34" t="str">
        <f t="shared" si="688"/>
        <v/>
      </c>
      <c r="BN162" s="34" t="str">
        <f t="shared" si="688"/>
        <v/>
      </c>
      <c r="BO162" s="34" t="str">
        <f t="shared" si="688"/>
        <v/>
      </c>
      <c r="BP162" s="34" t="str">
        <f t="shared" ref="BP162:CZ162" si="689">IF(BP$89="","",IF(BP$89=$M$2,BO162,+BP157-BP156))</f>
        <v/>
      </c>
      <c r="BQ162" s="34" t="str">
        <f t="shared" si="689"/>
        <v/>
      </c>
      <c r="BR162" s="34" t="str">
        <f t="shared" si="689"/>
        <v/>
      </c>
      <c r="BS162" s="34" t="str">
        <f t="shared" si="689"/>
        <v/>
      </c>
      <c r="BT162" s="34" t="str">
        <f t="shared" si="689"/>
        <v/>
      </c>
      <c r="BU162" s="34" t="str">
        <f t="shared" si="689"/>
        <v/>
      </c>
      <c r="BV162" s="34" t="str">
        <f t="shared" si="689"/>
        <v/>
      </c>
      <c r="BW162" s="34" t="str">
        <f t="shared" si="689"/>
        <v/>
      </c>
      <c r="BX162" s="34" t="str">
        <f t="shared" si="689"/>
        <v/>
      </c>
      <c r="BY162" s="34" t="str">
        <f t="shared" si="689"/>
        <v/>
      </c>
      <c r="BZ162" s="34" t="str">
        <f t="shared" si="689"/>
        <v/>
      </c>
      <c r="CA162" s="34" t="str">
        <f t="shared" si="689"/>
        <v/>
      </c>
      <c r="CB162" s="34" t="str">
        <f t="shared" si="689"/>
        <v/>
      </c>
      <c r="CC162" s="34" t="str">
        <f t="shared" si="689"/>
        <v/>
      </c>
      <c r="CD162" s="34" t="str">
        <f t="shared" si="689"/>
        <v/>
      </c>
      <c r="CE162" s="34" t="str">
        <f t="shared" si="689"/>
        <v/>
      </c>
      <c r="CF162" s="34" t="str">
        <f t="shared" si="689"/>
        <v/>
      </c>
      <c r="CG162" s="34" t="str">
        <f t="shared" si="689"/>
        <v/>
      </c>
      <c r="CH162" s="34" t="str">
        <f t="shared" si="689"/>
        <v/>
      </c>
      <c r="CI162" s="34" t="str">
        <f t="shared" si="689"/>
        <v/>
      </c>
      <c r="CJ162" s="34" t="str">
        <f t="shared" si="689"/>
        <v/>
      </c>
      <c r="CK162" s="34" t="str">
        <f t="shared" si="689"/>
        <v/>
      </c>
      <c r="CL162" s="34" t="str">
        <f t="shared" si="689"/>
        <v/>
      </c>
      <c r="CM162" s="34" t="str">
        <f t="shared" si="689"/>
        <v/>
      </c>
      <c r="CN162" s="34" t="str">
        <f t="shared" si="689"/>
        <v/>
      </c>
      <c r="CO162" s="34" t="str">
        <f t="shared" si="689"/>
        <v/>
      </c>
      <c r="CP162" s="34" t="str">
        <f t="shared" si="689"/>
        <v/>
      </c>
      <c r="CQ162" s="34" t="str">
        <f t="shared" si="689"/>
        <v/>
      </c>
      <c r="CR162" s="34" t="str">
        <f t="shared" si="689"/>
        <v/>
      </c>
      <c r="CS162" s="34" t="str">
        <f t="shared" si="689"/>
        <v/>
      </c>
      <c r="CT162" s="34" t="str">
        <f t="shared" si="689"/>
        <v/>
      </c>
      <c r="CU162" s="34" t="str">
        <f t="shared" si="689"/>
        <v/>
      </c>
      <c r="CV162" s="34" t="str">
        <f t="shared" si="689"/>
        <v/>
      </c>
      <c r="CW162" s="34" t="str">
        <f t="shared" si="689"/>
        <v/>
      </c>
      <c r="CX162" s="34" t="str">
        <f t="shared" si="689"/>
        <v/>
      </c>
      <c r="CY162" s="34" t="str">
        <f t="shared" si="689"/>
        <v/>
      </c>
      <c r="CZ162" s="34" t="str">
        <f t="shared" si="689"/>
        <v/>
      </c>
    </row>
    <row r="163" spans="1:104" ht="13.5" customHeight="1">
      <c r="A163" s="28">
        <v>140</v>
      </c>
      <c r="B163" s="33">
        <f t="shared" si="639"/>
        <v>163</v>
      </c>
      <c r="C163" s="9" t="s">
        <v>419</v>
      </c>
      <c r="D163" s="34">
        <f t="shared" ref="D163:AI163" ca="1" si="690">IF(D$89="","",IF(D$89=$M$2,C163,+D142+D157))</f>
        <v>76615</v>
      </c>
      <c r="E163" s="34">
        <f t="shared" ca="1" si="690"/>
        <v>118210</v>
      </c>
      <c r="F163" s="34">
        <f t="shared" ca="1" si="690"/>
        <v>61477</v>
      </c>
      <c r="G163" s="34">
        <f t="shared" ca="1" si="690"/>
        <v>69343</v>
      </c>
      <c r="H163" s="34">
        <f t="shared" ca="1" si="690"/>
        <v>76615</v>
      </c>
      <c r="I163" s="34">
        <f t="shared" ca="1" si="690"/>
        <v>90054</v>
      </c>
      <c r="J163" s="34">
        <f t="shared" ca="1" si="690"/>
        <v>102498</v>
      </c>
      <c r="K163" s="34">
        <f t="shared" ca="1" si="690"/>
        <v>111746</v>
      </c>
      <c r="L163" s="34">
        <f t="shared" ca="1" si="690"/>
        <v>118210</v>
      </c>
      <c r="M163" s="34">
        <f t="shared" ca="1" si="690"/>
        <v>127346</v>
      </c>
      <c r="N163" s="34">
        <f t="shared" ca="1" si="690"/>
        <v>127346</v>
      </c>
      <c r="O163" s="34" t="str">
        <f t="shared" ca="1" si="690"/>
        <v/>
      </c>
      <c r="P163" s="34" t="str">
        <f t="shared" ca="1" si="690"/>
        <v/>
      </c>
      <c r="Q163" s="34" t="str">
        <f t="shared" ca="1" si="690"/>
        <v/>
      </c>
      <c r="R163" s="34" t="str">
        <f t="shared" si="690"/>
        <v/>
      </c>
      <c r="S163" s="34" t="str">
        <f t="shared" si="690"/>
        <v/>
      </c>
      <c r="T163" s="34" t="str">
        <f t="shared" si="690"/>
        <v/>
      </c>
      <c r="U163" s="34" t="str">
        <f t="shared" si="690"/>
        <v/>
      </c>
      <c r="V163" s="34" t="str">
        <f t="shared" si="690"/>
        <v/>
      </c>
      <c r="W163" s="34" t="str">
        <f t="shared" si="690"/>
        <v/>
      </c>
      <c r="X163" s="34" t="str">
        <f t="shared" si="690"/>
        <v/>
      </c>
      <c r="Y163" s="34" t="str">
        <f t="shared" si="690"/>
        <v/>
      </c>
      <c r="Z163" s="34" t="str">
        <f t="shared" si="690"/>
        <v/>
      </c>
      <c r="AA163" s="34" t="str">
        <f t="shared" si="690"/>
        <v/>
      </c>
      <c r="AB163" s="34" t="str">
        <f t="shared" si="690"/>
        <v/>
      </c>
      <c r="AC163" s="34" t="str">
        <f t="shared" si="690"/>
        <v/>
      </c>
      <c r="AD163" s="34" t="str">
        <f t="shared" si="690"/>
        <v/>
      </c>
      <c r="AE163" s="34" t="str">
        <f t="shared" si="690"/>
        <v/>
      </c>
      <c r="AF163" s="34" t="str">
        <f t="shared" si="690"/>
        <v/>
      </c>
      <c r="AG163" s="34" t="str">
        <f t="shared" si="690"/>
        <v/>
      </c>
      <c r="AH163" s="34" t="str">
        <f t="shared" si="690"/>
        <v/>
      </c>
      <c r="AI163" s="34" t="str">
        <f t="shared" si="690"/>
        <v/>
      </c>
      <c r="AJ163" s="34" t="str">
        <f t="shared" ref="AJ163:BO163" si="691">IF(AJ$89="","",IF(AJ$89=$M$2,AI163,+AJ142+AJ157))</f>
        <v/>
      </c>
      <c r="AK163" s="34" t="str">
        <f t="shared" si="691"/>
        <v/>
      </c>
      <c r="AL163" s="34" t="str">
        <f t="shared" si="691"/>
        <v/>
      </c>
      <c r="AM163" s="34" t="str">
        <f t="shared" si="691"/>
        <v/>
      </c>
      <c r="AN163" s="34" t="str">
        <f t="shared" si="691"/>
        <v/>
      </c>
      <c r="AO163" s="34" t="str">
        <f t="shared" si="691"/>
        <v/>
      </c>
      <c r="AP163" s="34" t="str">
        <f t="shared" si="691"/>
        <v/>
      </c>
      <c r="AQ163" s="34" t="str">
        <f t="shared" si="691"/>
        <v/>
      </c>
      <c r="AR163" s="34" t="str">
        <f t="shared" si="691"/>
        <v/>
      </c>
      <c r="AS163" s="34" t="str">
        <f t="shared" si="691"/>
        <v/>
      </c>
      <c r="AT163" s="34" t="str">
        <f t="shared" si="691"/>
        <v/>
      </c>
      <c r="AU163" s="34" t="str">
        <f t="shared" si="691"/>
        <v/>
      </c>
      <c r="AV163" s="34" t="str">
        <f t="shared" si="691"/>
        <v/>
      </c>
      <c r="AW163" s="34" t="str">
        <f t="shared" si="691"/>
        <v/>
      </c>
      <c r="AX163" s="34" t="str">
        <f t="shared" si="691"/>
        <v/>
      </c>
      <c r="AY163" s="34" t="str">
        <f t="shared" si="691"/>
        <v/>
      </c>
      <c r="AZ163" s="34" t="str">
        <f t="shared" si="691"/>
        <v/>
      </c>
      <c r="BA163" s="34" t="str">
        <f t="shared" si="691"/>
        <v/>
      </c>
      <c r="BB163" s="34" t="str">
        <f t="shared" si="691"/>
        <v/>
      </c>
      <c r="BC163" s="34" t="str">
        <f t="shared" si="691"/>
        <v/>
      </c>
      <c r="BD163" s="34" t="str">
        <f t="shared" si="691"/>
        <v/>
      </c>
      <c r="BE163" s="34" t="str">
        <f t="shared" si="691"/>
        <v/>
      </c>
      <c r="BF163" s="34" t="str">
        <f t="shared" si="691"/>
        <v/>
      </c>
      <c r="BG163" s="34" t="str">
        <f t="shared" si="691"/>
        <v/>
      </c>
      <c r="BH163" s="34" t="str">
        <f t="shared" si="691"/>
        <v/>
      </c>
      <c r="BI163" s="34" t="str">
        <f t="shared" si="691"/>
        <v/>
      </c>
      <c r="BJ163" s="34" t="str">
        <f t="shared" si="691"/>
        <v/>
      </c>
      <c r="BK163" s="34" t="str">
        <f t="shared" si="691"/>
        <v/>
      </c>
      <c r="BL163" s="34" t="str">
        <f t="shared" si="691"/>
        <v/>
      </c>
      <c r="BM163" s="34" t="str">
        <f t="shared" si="691"/>
        <v/>
      </c>
      <c r="BN163" s="34" t="str">
        <f t="shared" si="691"/>
        <v/>
      </c>
      <c r="BO163" s="34" t="str">
        <f t="shared" si="691"/>
        <v/>
      </c>
      <c r="BP163" s="34" t="str">
        <f t="shared" ref="BP163:CZ163" si="692">IF(BP$89="","",IF(BP$89=$M$2,BO163,+BP142+BP157))</f>
        <v/>
      </c>
      <c r="BQ163" s="34" t="str">
        <f t="shared" si="692"/>
        <v/>
      </c>
      <c r="BR163" s="34" t="str">
        <f t="shared" si="692"/>
        <v/>
      </c>
      <c r="BS163" s="34" t="str">
        <f t="shared" si="692"/>
        <v/>
      </c>
      <c r="BT163" s="34" t="str">
        <f t="shared" si="692"/>
        <v/>
      </c>
      <c r="BU163" s="34" t="str">
        <f t="shared" si="692"/>
        <v/>
      </c>
      <c r="BV163" s="34" t="str">
        <f t="shared" si="692"/>
        <v/>
      </c>
      <c r="BW163" s="34" t="str">
        <f t="shared" si="692"/>
        <v/>
      </c>
      <c r="BX163" s="34" t="str">
        <f t="shared" si="692"/>
        <v/>
      </c>
      <c r="BY163" s="34" t="str">
        <f t="shared" si="692"/>
        <v/>
      </c>
      <c r="BZ163" s="34" t="str">
        <f t="shared" si="692"/>
        <v/>
      </c>
      <c r="CA163" s="34" t="str">
        <f t="shared" si="692"/>
        <v/>
      </c>
      <c r="CB163" s="34" t="str">
        <f t="shared" si="692"/>
        <v/>
      </c>
      <c r="CC163" s="34" t="str">
        <f t="shared" si="692"/>
        <v/>
      </c>
      <c r="CD163" s="34" t="str">
        <f t="shared" si="692"/>
        <v/>
      </c>
      <c r="CE163" s="34" t="str">
        <f t="shared" si="692"/>
        <v/>
      </c>
      <c r="CF163" s="34" t="str">
        <f t="shared" si="692"/>
        <v/>
      </c>
      <c r="CG163" s="34" t="str">
        <f t="shared" si="692"/>
        <v/>
      </c>
      <c r="CH163" s="34" t="str">
        <f t="shared" si="692"/>
        <v/>
      </c>
      <c r="CI163" s="34" t="str">
        <f t="shared" si="692"/>
        <v/>
      </c>
      <c r="CJ163" s="34" t="str">
        <f t="shared" si="692"/>
        <v/>
      </c>
      <c r="CK163" s="34" t="str">
        <f t="shared" si="692"/>
        <v/>
      </c>
      <c r="CL163" s="34" t="str">
        <f t="shared" si="692"/>
        <v/>
      </c>
      <c r="CM163" s="34" t="str">
        <f t="shared" si="692"/>
        <v/>
      </c>
      <c r="CN163" s="34" t="str">
        <f t="shared" si="692"/>
        <v/>
      </c>
      <c r="CO163" s="34" t="str">
        <f t="shared" si="692"/>
        <v/>
      </c>
      <c r="CP163" s="34" t="str">
        <f t="shared" si="692"/>
        <v/>
      </c>
      <c r="CQ163" s="34" t="str">
        <f t="shared" si="692"/>
        <v/>
      </c>
      <c r="CR163" s="34" t="str">
        <f t="shared" si="692"/>
        <v/>
      </c>
      <c r="CS163" s="34" t="str">
        <f t="shared" si="692"/>
        <v/>
      </c>
      <c r="CT163" s="34" t="str">
        <f t="shared" si="692"/>
        <v/>
      </c>
      <c r="CU163" s="34" t="str">
        <f t="shared" si="692"/>
        <v/>
      </c>
      <c r="CV163" s="34" t="str">
        <f t="shared" si="692"/>
        <v/>
      </c>
      <c r="CW163" s="34" t="str">
        <f t="shared" si="692"/>
        <v/>
      </c>
      <c r="CX163" s="34" t="str">
        <f t="shared" si="692"/>
        <v/>
      </c>
      <c r="CY163" s="34" t="str">
        <f t="shared" si="692"/>
        <v/>
      </c>
      <c r="CZ163" s="34" t="str">
        <f t="shared" si="692"/>
        <v/>
      </c>
    </row>
    <row r="164" spans="1:104" ht="13.5" customHeight="1">
      <c r="A164" s="25"/>
      <c r="B164" s="33">
        <f t="shared" si="639"/>
        <v>164</v>
      </c>
      <c r="C164" s="11"/>
      <c r="D164" s="34"/>
      <c r="E164" s="34"/>
      <c r="F164" s="34"/>
      <c r="G164" s="34"/>
      <c r="H164" s="34"/>
      <c r="I164" s="34"/>
      <c r="J164" s="34"/>
      <c r="K164" s="34"/>
      <c r="L164" s="34"/>
      <c r="M164" s="34"/>
      <c r="N164" s="34"/>
      <c r="O164" s="34"/>
      <c r="P164" s="34"/>
      <c r="Q164" s="34"/>
      <c r="R164" s="34"/>
      <c r="S164" s="34"/>
      <c r="T164" s="34"/>
      <c r="U164" s="34"/>
      <c r="V164" s="34"/>
      <c r="W164" s="34"/>
      <c r="X164" s="34"/>
      <c r="Y164" s="34"/>
      <c r="Z164" s="34"/>
      <c r="AA164" s="34"/>
      <c r="AB164" s="34"/>
      <c r="AC164" s="34"/>
      <c r="AD164" s="34"/>
      <c r="AE164" s="34"/>
      <c r="AF164" s="34"/>
      <c r="AG164" s="34"/>
      <c r="AH164" s="34"/>
      <c r="AI164" s="34"/>
      <c r="AJ164" s="34"/>
      <c r="AK164" s="34"/>
      <c r="AL164" s="34"/>
      <c r="AM164" s="34"/>
      <c r="AN164" s="34"/>
      <c r="AO164" s="34"/>
      <c r="AP164" s="34"/>
      <c r="AQ164" s="34"/>
      <c r="AR164" s="34"/>
      <c r="AS164" s="34"/>
      <c r="AT164" s="34"/>
      <c r="AU164" s="34"/>
      <c r="AV164" s="34"/>
      <c r="AW164" s="34"/>
      <c r="AX164" s="34"/>
      <c r="AY164" s="34"/>
      <c r="AZ164" s="34"/>
      <c r="BA164" s="34"/>
      <c r="BB164" s="34"/>
      <c r="BC164" s="34"/>
      <c r="BD164" s="34"/>
      <c r="BE164" s="34"/>
      <c r="BF164" s="34"/>
      <c r="BG164" s="34"/>
      <c r="BH164" s="34"/>
      <c r="BI164" s="34"/>
      <c r="BJ164" s="34"/>
      <c r="BK164" s="34"/>
      <c r="BL164" s="34"/>
      <c r="BM164" s="34"/>
      <c r="BN164" s="34"/>
      <c r="BO164" s="34"/>
      <c r="BP164" s="34"/>
      <c r="BQ164" s="34"/>
      <c r="BR164" s="34"/>
      <c r="BS164" s="34"/>
      <c r="BT164" s="34"/>
      <c r="BU164" s="34"/>
      <c r="BV164" s="34"/>
      <c r="BW164" s="34"/>
      <c r="BX164" s="34"/>
      <c r="BY164" s="34"/>
      <c r="BZ164" s="34"/>
      <c r="CA164" s="34"/>
      <c r="CB164" s="34"/>
      <c r="CC164" s="34"/>
      <c r="CD164" s="34"/>
      <c r="CE164" s="34"/>
      <c r="CF164" s="34"/>
      <c r="CG164" s="34"/>
      <c r="CH164" s="34"/>
      <c r="CI164" s="34"/>
      <c r="CJ164" s="34"/>
      <c r="CK164" s="34"/>
      <c r="CL164" s="34"/>
      <c r="CM164" s="34"/>
      <c r="CN164" s="34"/>
      <c r="CO164" s="34"/>
      <c r="CP164" s="34"/>
      <c r="CQ164" s="34"/>
      <c r="CR164" s="34"/>
      <c r="CS164" s="34"/>
      <c r="CT164" s="34"/>
      <c r="CU164" s="34"/>
      <c r="CV164" s="34"/>
      <c r="CW164" s="34"/>
      <c r="CX164" s="34"/>
      <c r="CY164" s="34"/>
      <c r="CZ164" s="34"/>
    </row>
    <row r="165" spans="1:104" ht="13.5" customHeight="1">
      <c r="A165" s="27">
        <v>148</v>
      </c>
      <c r="B165" s="33">
        <f t="shared" si="639"/>
        <v>165</v>
      </c>
      <c r="C165" s="9" t="s">
        <v>420</v>
      </c>
      <c r="D165" s="23">
        <f t="shared" ref="D165:AI165" ca="1" si="693">IF(D$89="","",IF(D$89=$M$2,C165,IF(D$11&lt;$D$7,OFFSET(INDIRECT($D$3),$A165-1,$Q$3+D$11),OFFSET(INDIRECT($D$4),$A165-1,$Q$4+D$11))))</f>
        <v>0</v>
      </c>
      <c r="E165" s="23">
        <f t="shared" ca="1" si="693"/>
        <v>0</v>
      </c>
      <c r="F165" s="23">
        <f t="shared" ca="1" si="693"/>
        <v>0</v>
      </c>
      <c r="G165" s="23">
        <f t="shared" ca="1" si="693"/>
        <v>0</v>
      </c>
      <c r="H165" s="23">
        <f t="shared" ca="1" si="693"/>
        <v>0</v>
      </c>
      <c r="I165" s="23">
        <f t="shared" ca="1" si="693"/>
        <v>0</v>
      </c>
      <c r="J165" s="23">
        <f t="shared" ca="1" si="693"/>
        <v>0</v>
      </c>
      <c r="K165" s="23">
        <f t="shared" ca="1" si="693"/>
        <v>0</v>
      </c>
      <c r="L165" s="23">
        <f t="shared" ca="1" si="693"/>
        <v>0</v>
      </c>
      <c r="M165" s="23">
        <f t="shared" ca="1" si="693"/>
        <v>0</v>
      </c>
      <c r="N165" s="23">
        <f t="shared" ca="1" si="693"/>
        <v>0</v>
      </c>
      <c r="O165" s="23" t="str">
        <f t="shared" ca="1" si="693"/>
        <v/>
      </c>
      <c r="P165" s="23" t="str">
        <f t="shared" ca="1" si="693"/>
        <v/>
      </c>
      <c r="Q165" s="23" t="str">
        <f t="shared" ca="1" si="693"/>
        <v/>
      </c>
      <c r="R165" s="23" t="str">
        <f t="shared" ca="1" si="693"/>
        <v/>
      </c>
      <c r="S165" s="23" t="str">
        <f t="shared" ca="1" si="693"/>
        <v/>
      </c>
      <c r="T165" s="23" t="str">
        <f t="shared" ca="1" si="693"/>
        <v/>
      </c>
      <c r="U165" s="23" t="str">
        <f t="shared" ca="1" si="693"/>
        <v/>
      </c>
      <c r="V165" s="23" t="str">
        <f t="shared" ca="1" si="693"/>
        <v/>
      </c>
      <c r="W165" s="23" t="str">
        <f t="shared" ca="1" si="693"/>
        <v/>
      </c>
      <c r="X165" s="23" t="str">
        <f t="shared" ca="1" si="693"/>
        <v/>
      </c>
      <c r="Y165" s="23" t="str">
        <f t="shared" ca="1" si="693"/>
        <v/>
      </c>
      <c r="Z165" s="23" t="str">
        <f t="shared" ca="1" si="693"/>
        <v/>
      </c>
      <c r="AA165" s="23" t="str">
        <f t="shared" ca="1" si="693"/>
        <v/>
      </c>
      <c r="AB165" s="23" t="str">
        <f t="shared" ca="1" si="693"/>
        <v/>
      </c>
      <c r="AC165" s="23" t="str">
        <f t="shared" ca="1" si="693"/>
        <v/>
      </c>
      <c r="AD165" s="23" t="str">
        <f t="shared" ca="1" si="693"/>
        <v/>
      </c>
      <c r="AE165" s="23" t="str">
        <f t="shared" ca="1" si="693"/>
        <v/>
      </c>
      <c r="AF165" s="23" t="str">
        <f t="shared" ca="1" si="693"/>
        <v/>
      </c>
      <c r="AG165" s="23" t="str">
        <f t="shared" ca="1" si="693"/>
        <v/>
      </c>
      <c r="AH165" s="23" t="str">
        <f t="shared" ca="1" si="693"/>
        <v/>
      </c>
      <c r="AI165" s="23" t="str">
        <f t="shared" ca="1" si="693"/>
        <v/>
      </c>
      <c r="AJ165" s="23" t="str">
        <f t="shared" ref="AJ165:BO165" ca="1" si="694">IF(AJ$89="","",IF(AJ$89=$M$2,AI165,IF(AJ$11&lt;$D$7,OFFSET(INDIRECT($D$3),$A165-1,$Q$3+AJ$11),OFFSET(INDIRECT($D$4),$A165-1,$Q$4+AJ$11))))</f>
        <v/>
      </c>
      <c r="AK165" s="23" t="str">
        <f t="shared" ca="1" si="694"/>
        <v/>
      </c>
      <c r="AL165" s="23" t="str">
        <f t="shared" ca="1" si="694"/>
        <v/>
      </c>
      <c r="AM165" s="23" t="str">
        <f t="shared" ca="1" si="694"/>
        <v/>
      </c>
      <c r="AN165" s="23" t="str">
        <f t="shared" ca="1" si="694"/>
        <v/>
      </c>
      <c r="AO165" s="23" t="str">
        <f t="shared" ca="1" si="694"/>
        <v/>
      </c>
      <c r="AP165" s="23" t="str">
        <f t="shared" ca="1" si="694"/>
        <v/>
      </c>
      <c r="AQ165" s="23" t="str">
        <f t="shared" ca="1" si="694"/>
        <v/>
      </c>
      <c r="AR165" s="23" t="str">
        <f t="shared" ca="1" si="694"/>
        <v/>
      </c>
      <c r="AS165" s="23" t="str">
        <f t="shared" ca="1" si="694"/>
        <v/>
      </c>
      <c r="AT165" s="23" t="str">
        <f t="shared" ca="1" si="694"/>
        <v/>
      </c>
      <c r="AU165" s="23" t="str">
        <f t="shared" ca="1" si="694"/>
        <v/>
      </c>
      <c r="AV165" s="23" t="str">
        <f t="shared" ca="1" si="694"/>
        <v/>
      </c>
      <c r="AW165" s="23" t="str">
        <f t="shared" ca="1" si="694"/>
        <v/>
      </c>
      <c r="AX165" s="23" t="str">
        <f t="shared" ca="1" si="694"/>
        <v/>
      </c>
      <c r="AY165" s="23" t="str">
        <f t="shared" ca="1" si="694"/>
        <v/>
      </c>
      <c r="AZ165" s="23" t="str">
        <f t="shared" ca="1" si="694"/>
        <v/>
      </c>
      <c r="BA165" s="23" t="str">
        <f t="shared" ca="1" si="694"/>
        <v/>
      </c>
      <c r="BB165" s="23" t="str">
        <f t="shared" ca="1" si="694"/>
        <v/>
      </c>
      <c r="BC165" s="23" t="str">
        <f t="shared" ca="1" si="694"/>
        <v/>
      </c>
      <c r="BD165" s="23" t="str">
        <f t="shared" ca="1" si="694"/>
        <v/>
      </c>
      <c r="BE165" s="23" t="str">
        <f t="shared" ca="1" si="694"/>
        <v/>
      </c>
      <c r="BF165" s="23" t="str">
        <f t="shared" ca="1" si="694"/>
        <v/>
      </c>
      <c r="BG165" s="23" t="str">
        <f t="shared" ca="1" si="694"/>
        <v/>
      </c>
      <c r="BH165" s="23" t="str">
        <f t="shared" ca="1" si="694"/>
        <v/>
      </c>
      <c r="BI165" s="23" t="str">
        <f t="shared" ca="1" si="694"/>
        <v/>
      </c>
      <c r="BJ165" s="23" t="str">
        <f t="shared" ca="1" si="694"/>
        <v/>
      </c>
      <c r="BK165" s="23" t="str">
        <f t="shared" ca="1" si="694"/>
        <v/>
      </c>
      <c r="BL165" s="23" t="str">
        <f t="shared" ca="1" si="694"/>
        <v/>
      </c>
      <c r="BM165" s="23" t="str">
        <f t="shared" ca="1" si="694"/>
        <v/>
      </c>
      <c r="BN165" s="23" t="str">
        <f t="shared" ca="1" si="694"/>
        <v/>
      </c>
      <c r="BO165" s="23" t="str">
        <f t="shared" ca="1" si="694"/>
        <v/>
      </c>
      <c r="BP165" s="23" t="str">
        <f t="shared" ref="BP165:CZ165" ca="1" si="695">IF(BP$89="","",IF(BP$89=$M$2,BO165,IF(BP$11&lt;$D$7,OFFSET(INDIRECT($D$3),$A165-1,$Q$3+BP$11),OFFSET(INDIRECT($D$4),$A165-1,$Q$4+BP$11))))</f>
        <v/>
      </c>
      <c r="BQ165" s="23" t="str">
        <f t="shared" ca="1" si="695"/>
        <v/>
      </c>
      <c r="BR165" s="23" t="str">
        <f t="shared" ca="1" si="695"/>
        <v/>
      </c>
      <c r="BS165" s="23" t="str">
        <f t="shared" ca="1" si="695"/>
        <v/>
      </c>
      <c r="BT165" s="23" t="str">
        <f t="shared" ca="1" si="695"/>
        <v/>
      </c>
      <c r="BU165" s="23" t="str">
        <f t="shared" ca="1" si="695"/>
        <v/>
      </c>
      <c r="BV165" s="23" t="str">
        <f t="shared" ca="1" si="695"/>
        <v/>
      </c>
      <c r="BW165" s="23" t="str">
        <f t="shared" ca="1" si="695"/>
        <v/>
      </c>
      <c r="BX165" s="23" t="str">
        <f t="shared" ca="1" si="695"/>
        <v/>
      </c>
      <c r="BY165" s="23" t="str">
        <f t="shared" ca="1" si="695"/>
        <v/>
      </c>
      <c r="BZ165" s="23" t="str">
        <f t="shared" ca="1" si="695"/>
        <v/>
      </c>
      <c r="CA165" s="23" t="str">
        <f t="shared" ca="1" si="695"/>
        <v/>
      </c>
      <c r="CB165" s="23" t="str">
        <f t="shared" ca="1" si="695"/>
        <v/>
      </c>
      <c r="CC165" s="23" t="str">
        <f t="shared" ca="1" si="695"/>
        <v/>
      </c>
      <c r="CD165" s="23" t="str">
        <f t="shared" ca="1" si="695"/>
        <v/>
      </c>
      <c r="CE165" s="23" t="str">
        <f t="shared" ca="1" si="695"/>
        <v/>
      </c>
      <c r="CF165" s="23" t="str">
        <f t="shared" ca="1" si="695"/>
        <v/>
      </c>
      <c r="CG165" s="23" t="str">
        <f t="shared" ca="1" si="695"/>
        <v/>
      </c>
      <c r="CH165" s="23" t="str">
        <f t="shared" ca="1" si="695"/>
        <v/>
      </c>
      <c r="CI165" s="23" t="str">
        <f t="shared" ca="1" si="695"/>
        <v/>
      </c>
      <c r="CJ165" s="23" t="str">
        <f t="shared" ca="1" si="695"/>
        <v/>
      </c>
      <c r="CK165" s="23" t="str">
        <f t="shared" ca="1" si="695"/>
        <v/>
      </c>
      <c r="CL165" s="23" t="str">
        <f t="shared" ca="1" si="695"/>
        <v/>
      </c>
      <c r="CM165" s="23" t="str">
        <f t="shared" ca="1" si="695"/>
        <v/>
      </c>
      <c r="CN165" s="23" t="str">
        <f t="shared" ca="1" si="695"/>
        <v/>
      </c>
      <c r="CO165" s="23" t="str">
        <f t="shared" ca="1" si="695"/>
        <v/>
      </c>
      <c r="CP165" s="23" t="str">
        <f t="shared" ca="1" si="695"/>
        <v/>
      </c>
      <c r="CQ165" s="23" t="str">
        <f t="shared" ca="1" si="695"/>
        <v/>
      </c>
      <c r="CR165" s="23" t="str">
        <f t="shared" ca="1" si="695"/>
        <v/>
      </c>
      <c r="CS165" s="23" t="str">
        <f t="shared" ca="1" si="695"/>
        <v/>
      </c>
      <c r="CT165" s="23" t="str">
        <f t="shared" ca="1" si="695"/>
        <v/>
      </c>
      <c r="CU165" s="23" t="str">
        <f t="shared" ca="1" si="695"/>
        <v/>
      </c>
      <c r="CV165" s="23" t="str">
        <f t="shared" ca="1" si="695"/>
        <v/>
      </c>
      <c r="CW165" s="23" t="str">
        <f t="shared" ca="1" si="695"/>
        <v/>
      </c>
      <c r="CX165" s="23" t="str">
        <f t="shared" ca="1" si="695"/>
        <v/>
      </c>
      <c r="CY165" s="23" t="str">
        <f t="shared" ca="1" si="695"/>
        <v/>
      </c>
      <c r="CZ165" s="23" t="str">
        <f t="shared" ca="1" si="695"/>
        <v/>
      </c>
    </row>
    <row r="166" spans="1:104" ht="13.5" customHeight="1">
      <c r="A166" s="27">
        <v>149</v>
      </c>
      <c r="B166" s="33">
        <f t="shared" si="639"/>
        <v>166</v>
      </c>
      <c r="C166" s="9" t="s">
        <v>421</v>
      </c>
      <c r="D166" s="23">
        <f t="shared" ref="D166:AI166" ca="1" si="696">IF(D$89="","",IF(D$89=$M$2,C166,IF(D$11&lt;$D$7,OFFSET(INDIRECT($D$3),$A166-1,$Q$3+D$11),OFFSET(INDIRECT($D$4),$A166-1,$Q$4+D$11))))</f>
        <v>0</v>
      </c>
      <c r="E166" s="23">
        <f t="shared" ca="1" si="696"/>
        <v>0</v>
      </c>
      <c r="F166" s="23">
        <f t="shared" ca="1" si="696"/>
        <v>0</v>
      </c>
      <c r="G166" s="23">
        <f t="shared" ca="1" si="696"/>
        <v>0</v>
      </c>
      <c r="H166" s="23">
        <f t="shared" ca="1" si="696"/>
        <v>0</v>
      </c>
      <c r="I166" s="23">
        <f t="shared" ca="1" si="696"/>
        <v>0</v>
      </c>
      <c r="J166" s="23">
        <f t="shared" ca="1" si="696"/>
        <v>0</v>
      </c>
      <c r="K166" s="23">
        <f t="shared" ca="1" si="696"/>
        <v>0</v>
      </c>
      <c r="L166" s="23">
        <f t="shared" ca="1" si="696"/>
        <v>0</v>
      </c>
      <c r="M166" s="23">
        <f t="shared" ca="1" si="696"/>
        <v>0</v>
      </c>
      <c r="N166" s="23">
        <f t="shared" ca="1" si="696"/>
        <v>0</v>
      </c>
      <c r="O166" s="23" t="str">
        <f t="shared" ca="1" si="696"/>
        <v/>
      </c>
      <c r="P166" s="23" t="str">
        <f t="shared" ca="1" si="696"/>
        <v/>
      </c>
      <c r="Q166" s="23" t="str">
        <f t="shared" ca="1" si="696"/>
        <v/>
      </c>
      <c r="R166" s="23" t="str">
        <f t="shared" ca="1" si="696"/>
        <v/>
      </c>
      <c r="S166" s="23" t="str">
        <f t="shared" ca="1" si="696"/>
        <v/>
      </c>
      <c r="T166" s="23" t="str">
        <f t="shared" ca="1" si="696"/>
        <v/>
      </c>
      <c r="U166" s="23" t="str">
        <f t="shared" ca="1" si="696"/>
        <v/>
      </c>
      <c r="V166" s="23" t="str">
        <f t="shared" ca="1" si="696"/>
        <v/>
      </c>
      <c r="W166" s="23" t="str">
        <f t="shared" ca="1" si="696"/>
        <v/>
      </c>
      <c r="X166" s="23" t="str">
        <f t="shared" ca="1" si="696"/>
        <v/>
      </c>
      <c r="Y166" s="23" t="str">
        <f t="shared" ca="1" si="696"/>
        <v/>
      </c>
      <c r="Z166" s="23" t="str">
        <f t="shared" ca="1" si="696"/>
        <v/>
      </c>
      <c r="AA166" s="23" t="str">
        <f t="shared" ca="1" si="696"/>
        <v/>
      </c>
      <c r="AB166" s="23" t="str">
        <f t="shared" ca="1" si="696"/>
        <v/>
      </c>
      <c r="AC166" s="23" t="str">
        <f t="shared" ca="1" si="696"/>
        <v/>
      </c>
      <c r="AD166" s="23" t="str">
        <f t="shared" ca="1" si="696"/>
        <v/>
      </c>
      <c r="AE166" s="23" t="str">
        <f t="shared" ca="1" si="696"/>
        <v/>
      </c>
      <c r="AF166" s="23" t="str">
        <f t="shared" ca="1" si="696"/>
        <v/>
      </c>
      <c r="AG166" s="23" t="str">
        <f t="shared" ca="1" si="696"/>
        <v/>
      </c>
      <c r="AH166" s="23" t="str">
        <f t="shared" ca="1" si="696"/>
        <v/>
      </c>
      <c r="AI166" s="23" t="str">
        <f t="shared" ca="1" si="696"/>
        <v/>
      </c>
      <c r="AJ166" s="23" t="str">
        <f t="shared" ref="AJ166:BO166" ca="1" si="697">IF(AJ$89="","",IF(AJ$89=$M$2,AI166,IF(AJ$11&lt;$D$7,OFFSET(INDIRECT($D$3),$A166-1,$Q$3+AJ$11),OFFSET(INDIRECT($D$4),$A166-1,$Q$4+AJ$11))))</f>
        <v/>
      </c>
      <c r="AK166" s="23" t="str">
        <f t="shared" ca="1" si="697"/>
        <v/>
      </c>
      <c r="AL166" s="23" t="str">
        <f t="shared" ca="1" si="697"/>
        <v/>
      </c>
      <c r="AM166" s="23" t="str">
        <f t="shared" ca="1" si="697"/>
        <v/>
      </c>
      <c r="AN166" s="23" t="str">
        <f t="shared" ca="1" si="697"/>
        <v/>
      </c>
      <c r="AO166" s="23" t="str">
        <f t="shared" ca="1" si="697"/>
        <v/>
      </c>
      <c r="AP166" s="23" t="str">
        <f t="shared" ca="1" si="697"/>
        <v/>
      </c>
      <c r="AQ166" s="23" t="str">
        <f t="shared" ca="1" si="697"/>
        <v/>
      </c>
      <c r="AR166" s="23" t="str">
        <f t="shared" ca="1" si="697"/>
        <v/>
      </c>
      <c r="AS166" s="23" t="str">
        <f t="shared" ca="1" si="697"/>
        <v/>
      </c>
      <c r="AT166" s="23" t="str">
        <f t="shared" ca="1" si="697"/>
        <v/>
      </c>
      <c r="AU166" s="23" t="str">
        <f t="shared" ca="1" si="697"/>
        <v/>
      </c>
      <c r="AV166" s="23" t="str">
        <f t="shared" ca="1" si="697"/>
        <v/>
      </c>
      <c r="AW166" s="23" t="str">
        <f t="shared" ca="1" si="697"/>
        <v/>
      </c>
      <c r="AX166" s="23" t="str">
        <f t="shared" ca="1" si="697"/>
        <v/>
      </c>
      <c r="AY166" s="23" t="str">
        <f t="shared" ca="1" si="697"/>
        <v/>
      </c>
      <c r="AZ166" s="23" t="str">
        <f t="shared" ca="1" si="697"/>
        <v/>
      </c>
      <c r="BA166" s="23" t="str">
        <f t="shared" ca="1" si="697"/>
        <v/>
      </c>
      <c r="BB166" s="23" t="str">
        <f t="shared" ca="1" si="697"/>
        <v/>
      </c>
      <c r="BC166" s="23" t="str">
        <f t="shared" ca="1" si="697"/>
        <v/>
      </c>
      <c r="BD166" s="23" t="str">
        <f t="shared" ca="1" si="697"/>
        <v/>
      </c>
      <c r="BE166" s="23" t="str">
        <f t="shared" ca="1" si="697"/>
        <v/>
      </c>
      <c r="BF166" s="23" t="str">
        <f t="shared" ca="1" si="697"/>
        <v/>
      </c>
      <c r="BG166" s="23" t="str">
        <f t="shared" ca="1" si="697"/>
        <v/>
      </c>
      <c r="BH166" s="23" t="str">
        <f t="shared" ca="1" si="697"/>
        <v/>
      </c>
      <c r="BI166" s="23" t="str">
        <f t="shared" ca="1" si="697"/>
        <v/>
      </c>
      <c r="BJ166" s="23" t="str">
        <f t="shared" ca="1" si="697"/>
        <v/>
      </c>
      <c r="BK166" s="23" t="str">
        <f t="shared" ca="1" si="697"/>
        <v/>
      </c>
      <c r="BL166" s="23" t="str">
        <f t="shared" ca="1" si="697"/>
        <v/>
      </c>
      <c r="BM166" s="23" t="str">
        <f t="shared" ca="1" si="697"/>
        <v/>
      </c>
      <c r="BN166" s="23" t="str">
        <f t="shared" ca="1" si="697"/>
        <v/>
      </c>
      <c r="BO166" s="23" t="str">
        <f t="shared" ca="1" si="697"/>
        <v/>
      </c>
      <c r="BP166" s="23" t="str">
        <f t="shared" ref="BP166:CZ166" ca="1" si="698">IF(BP$89="","",IF(BP$89=$M$2,BO166,IF(BP$11&lt;$D$7,OFFSET(INDIRECT($D$3),$A166-1,$Q$3+BP$11),OFFSET(INDIRECT($D$4),$A166-1,$Q$4+BP$11))))</f>
        <v/>
      </c>
      <c r="BQ166" s="23" t="str">
        <f t="shared" ca="1" si="698"/>
        <v/>
      </c>
      <c r="BR166" s="23" t="str">
        <f t="shared" ca="1" si="698"/>
        <v/>
      </c>
      <c r="BS166" s="23" t="str">
        <f t="shared" ca="1" si="698"/>
        <v/>
      </c>
      <c r="BT166" s="23" t="str">
        <f t="shared" ca="1" si="698"/>
        <v/>
      </c>
      <c r="BU166" s="23" t="str">
        <f t="shared" ca="1" si="698"/>
        <v/>
      </c>
      <c r="BV166" s="23" t="str">
        <f t="shared" ca="1" si="698"/>
        <v/>
      </c>
      <c r="BW166" s="23" t="str">
        <f t="shared" ca="1" si="698"/>
        <v/>
      </c>
      <c r="BX166" s="23" t="str">
        <f t="shared" ca="1" si="698"/>
        <v/>
      </c>
      <c r="BY166" s="23" t="str">
        <f t="shared" ca="1" si="698"/>
        <v/>
      </c>
      <c r="BZ166" s="23" t="str">
        <f t="shared" ca="1" si="698"/>
        <v/>
      </c>
      <c r="CA166" s="23" t="str">
        <f t="shared" ca="1" si="698"/>
        <v/>
      </c>
      <c r="CB166" s="23" t="str">
        <f t="shared" ca="1" si="698"/>
        <v/>
      </c>
      <c r="CC166" s="23" t="str">
        <f t="shared" ca="1" si="698"/>
        <v/>
      </c>
      <c r="CD166" s="23" t="str">
        <f t="shared" ca="1" si="698"/>
        <v/>
      </c>
      <c r="CE166" s="23" t="str">
        <f t="shared" ca="1" si="698"/>
        <v/>
      </c>
      <c r="CF166" s="23" t="str">
        <f t="shared" ca="1" si="698"/>
        <v/>
      </c>
      <c r="CG166" s="23" t="str">
        <f t="shared" ca="1" si="698"/>
        <v/>
      </c>
      <c r="CH166" s="23" t="str">
        <f t="shared" ca="1" si="698"/>
        <v/>
      </c>
      <c r="CI166" s="23" t="str">
        <f t="shared" ca="1" si="698"/>
        <v/>
      </c>
      <c r="CJ166" s="23" t="str">
        <f t="shared" ca="1" si="698"/>
        <v/>
      </c>
      <c r="CK166" s="23" t="str">
        <f t="shared" ca="1" si="698"/>
        <v/>
      </c>
      <c r="CL166" s="23" t="str">
        <f t="shared" ca="1" si="698"/>
        <v/>
      </c>
      <c r="CM166" s="23" t="str">
        <f t="shared" ca="1" si="698"/>
        <v/>
      </c>
      <c r="CN166" s="23" t="str">
        <f t="shared" ca="1" si="698"/>
        <v/>
      </c>
      <c r="CO166" s="23" t="str">
        <f t="shared" ca="1" si="698"/>
        <v/>
      </c>
      <c r="CP166" s="23" t="str">
        <f t="shared" ca="1" si="698"/>
        <v/>
      </c>
      <c r="CQ166" s="23" t="str">
        <f t="shared" ca="1" si="698"/>
        <v/>
      </c>
      <c r="CR166" s="23" t="str">
        <f t="shared" ca="1" si="698"/>
        <v/>
      </c>
      <c r="CS166" s="23" t="str">
        <f t="shared" ca="1" si="698"/>
        <v/>
      </c>
      <c r="CT166" s="23" t="str">
        <f t="shared" ca="1" si="698"/>
        <v/>
      </c>
      <c r="CU166" s="23" t="str">
        <f t="shared" ca="1" si="698"/>
        <v/>
      </c>
      <c r="CV166" s="23" t="str">
        <f t="shared" ca="1" si="698"/>
        <v/>
      </c>
      <c r="CW166" s="23" t="str">
        <f t="shared" ca="1" si="698"/>
        <v/>
      </c>
      <c r="CX166" s="23" t="str">
        <f t="shared" ca="1" si="698"/>
        <v/>
      </c>
      <c r="CY166" s="23" t="str">
        <f t="shared" ca="1" si="698"/>
        <v/>
      </c>
      <c r="CZ166" s="23" t="str">
        <f t="shared" ca="1" si="698"/>
        <v/>
      </c>
    </row>
    <row r="167" spans="1:104" ht="13.5" customHeight="1">
      <c r="A167" s="27">
        <v>150</v>
      </c>
      <c r="B167" s="33">
        <f t="shared" si="639"/>
        <v>167</v>
      </c>
      <c r="C167" s="9" t="s">
        <v>422</v>
      </c>
      <c r="D167" s="23">
        <f t="shared" ref="D167:AI167" ca="1" si="699">IF(D$89="","",IF(D$89=$M$2,C167,IF(D$11&lt;$D$7,OFFSET(INDIRECT($D$3),$A167-1,$Q$3+D$11),OFFSET(INDIRECT($D$4),$A167-1,$Q$4+D$11))))</f>
        <v>929.3</v>
      </c>
      <c r="E167" s="23">
        <f t="shared" ca="1" si="699"/>
        <v>939.2</v>
      </c>
      <c r="F167" s="23">
        <f t="shared" ca="1" si="699"/>
        <v>924.7</v>
      </c>
      <c r="G167" s="23">
        <f t="shared" ca="1" si="699"/>
        <v>926.9</v>
      </c>
      <c r="H167" s="23">
        <f t="shared" ca="1" si="699"/>
        <v>929.3</v>
      </c>
      <c r="I167" s="23">
        <f t="shared" ca="1" si="699"/>
        <v>932.2</v>
      </c>
      <c r="J167" s="23">
        <f t="shared" ca="1" si="699"/>
        <v>935</v>
      </c>
      <c r="K167" s="23">
        <f t="shared" ca="1" si="699"/>
        <v>937.3</v>
      </c>
      <c r="L167" s="23">
        <f t="shared" ca="1" si="699"/>
        <v>939.2</v>
      </c>
      <c r="M167" s="23">
        <f t="shared" ca="1" si="699"/>
        <v>939</v>
      </c>
      <c r="N167" s="23">
        <f t="shared" ca="1" si="699"/>
        <v>939</v>
      </c>
      <c r="O167" s="23" t="str">
        <f t="shared" ca="1" si="699"/>
        <v/>
      </c>
      <c r="P167" s="23" t="str">
        <f t="shared" ca="1" si="699"/>
        <v/>
      </c>
      <c r="Q167" s="23" t="str">
        <f t="shared" ca="1" si="699"/>
        <v/>
      </c>
      <c r="R167" s="23" t="str">
        <f t="shared" ca="1" si="699"/>
        <v/>
      </c>
      <c r="S167" s="23" t="str">
        <f t="shared" ca="1" si="699"/>
        <v/>
      </c>
      <c r="T167" s="23" t="str">
        <f t="shared" ca="1" si="699"/>
        <v/>
      </c>
      <c r="U167" s="23" t="str">
        <f t="shared" ca="1" si="699"/>
        <v/>
      </c>
      <c r="V167" s="23" t="str">
        <f t="shared" ca="1" si="699"/>
        <v/>
      </c>
      <c r="W167" s="23" t="str">
        <f t="shared" ca="1" si="699"/>
        <v/>
      </c>
      <c r="X167" s="23" t="str">
        <f t="shared" ca="1" si="699"/>
        <v/>
      </c>
      <c r="Y167" s="23" t="str">
        <f t="shared" ca="1" si="699"/>
        <v/>
      </c>
      <c r="Z167" s="23" t="str">
        <f t="shared" ca="1" si="699"/>
        <v/>
      </c>
      <c r="AA167" s="23" t="str">
        <f t="shared" ca="1" si="699"/>
        <v/>
      </c>
      <c r="AB167" s="23" t="str">
        <f t="shared" ca="1" si="699"/>
        <v/>
      </c>
      <c r="AC167" s="23" t="str">
        <f t="shared" ca="1" si="699"/>
        <v/>
      </c>
      <c r="AD167" s="23" t="str">
        <f t="shared" ca="1" si="699"/>
        <v/>
      </c>
      <c r="AE167" s="23" t="str">
        <f t="shared" ca="1" si="699"/>
        <v/>
      </c>
      <c r="AF167" s="23" t="str">
        <f t="shared" ca="1" si="699"/>
        <v/>
      </c>
      <c r="AG167" s="23" t="str">
        <f t="shared" ca="1" si="699"/>
        <v/>
      </c>
      <c r="AH167" s="23" t="str">
        <f t="shared" ca="1" si="699"/>
        <v/>
      </c>
      <c r="AI167" s="23" t="str">
        <f t="shared" ca="1" si="699"/>
        <v/>
      </c>
      <c r="AJ167" s="23" t="str">
        <f t="shared" ref="AJ167:BO167" ca="1" si="700">IF(AJ$89="","",IF(AJ$89=$M$2,AI167,IF(AJ$11&lt;$D$7,OFFSET(INDIRECT($D$3),$A167-1,$Q$3+AJ$11),OFFSET(INDIRECT($D$4),$A167-1,$Q$4+AJ$11))))</f>
        <v/>
      </c>
      <c r="AK167" s="23" t="str">
        <f t="shared" ca="1" si="700"/>
        <v/>
      </c>
      <c r="AL167" s="23" t="str">
        <f t="shared" ca="1" si="700"/>
        <v/>
      </c>
      <c r="AM167" s="23" t="str">
        <f t="shared" ca="1" si="700"/>
        <v/>
      </c>
      <c r="AN167" s="23" t="str">
        <f t="shared" ca="1" si="700"/>
        <v/>
      </c>
      <c r="AO167" s="23" t="str">
        <f t="shared" ca="1" si="700"/>
        <v/>
      </c>
      <c r="AP167" s="23" t="str">
        <f t="shared" ca="1" si="700"/>
        <v/>
      </c>
      <c r="AQ167" s="23" t="str">
        <f t="shared" ca="1" si="700"/>
        <v/>
      </c>
      <c r="AR167" s="23" t="str">
        <f t="shared" ca="1" si="700"/>
        <v/>
      </c>
      <c r="AS167" s="23" t="str">
        <f t="shared" ca="1" si="700"/>
        <v/>
      </c>
      <c r="AT167" s="23" t="str">
        <f t="shared" ca="1" si="700"/>
        <v/>
      </c>
      <c r="AU167" s="23" t="str">
        <f t="shared" ca="1" si="700"/>
        <v/>
      </c>
      <c r="AV167" s="23" t="str">
        <f t="shared" ca="1" si="700"/>
        <v/>
      </c>
      <c r="AW167" s="23" t="str">
        <f t="shared" ca="1" si="700"/>
        <v/>
      </c>
      <c r="AX167" s="23" t="str">
        <f t="shared" ca="1" si="700"/>
        <v/>
      </c>
      <c r="AY167" s="23" t="str">
        <f t="shared" ca="1" si="700"/>
        <v/>
      </c>
      <c r="AZ167" s="23" t="str">
        <f t="shared" ca="1" si="700"/>
        <v/>
      </c>
      <c r="BA167" s="23" t="str">
        <f t="shared" ca="1" si="700"/>
        <v/>
      </c>
      <c r="BB167" s="23" t="str">
        <f t="shared" ca="1" si="700"/>
        <v/>
      </c>
      <c r="BC167" s="23" t="str">
        <f t="shared" ca="1" si="700"/>
        <v/>
      </c>
      <c r="BD167" s="23" t="str">
        <f t="shared" ca="1" si="700"/>
        <v/>
      </c>
      <c r="BE167" s="23" t="str">
        <f t="shared" ca="1" si="700"/>
        <v/>
      </c>
      <c r="BF167" s="23" t="str">
        <f t="shared" ca="1" si="700"/>
        <v/>
      </c>
      <c r="BG167" s="23" t="str">
        <f t="shared" ca="1" si="700"/>
        <v/>
      </c>
      <c r="BH167" s="23" t="str">
        <f t="shared" ca="1" si="700"/>
        <v/>
      </c>
      <c r="BI167" s="23" t="str">
        <f t="shared" ca="1" si="700"/>
        <v/>
      </c>
      <c r="BJ167" s="23" t="str">
        <f t="shared" ca="1" si="700"/>
        <v/>
      </c>
      <c r="BK167" s="23" t="str">
        <f t="shared" ca="1" si="700"/>
        <v/>
      </c>
      <c r="BL167" s="23" t="str">
        <f t="shared" ca="1" si="700"/>
        <v/>
      </c>
      <c r="BM167" s="23" t="str">
        <f t="shared" ca="1" si="700"/>
        <v/>
      </c>
      <c r="BN167" s="23" t="str">
        <f t="shared" ca="1" si="700"/>
        <v/>
      </c>
      <c r="BO167" s="23" t="str">
        <f t="shared" ca="1" si="700"/>
        <v/>
      </c>
      <c r="BP167" s="23" t="str">
        <f t="shared" ref="BP167:CZ167" ca="1" si="701">IF(BP$89="","",IF(BP$89=$M$2,BO167,IF(BP$11&lt;$D$7,OFFSET(INDIRECT($D$3),$A167-1,$Q$3+BP$11),OFFSET(INDIRECT($D$4),$A167-1,$Q$4+BP$11))))</f>
        <v/>
      </c>
      <c r="BQ167" s="23" t="str">
        <f t="shared" ca="1" si="701"/>
        <v/>
      </c>
      <c r="BR167" s="23" t="str">
        <f t="shared" ca="1" si="701"/>
        <v/>
      </c>
      <c r="BS167" s="23" t="str">
        <f t="shared" ca="1" si="701"/>
        <v/>
      </c>
      <c r="BT167" s="23" t="str">
        <f t="shared" ca="1" si="701"/>
        <v/>
      </c>
      <c r="BU167" s="23" t="str">
        <f t="shared" ca="1" si="701"/>
        <v/>
      </c>
      <c r="BV167" s="23" t="str">
        <f t="shared" ca="1" si="701"/>
        <v/>
      </c>
      <c r="BW167" s="23" t="str">
        <f t="shared" ca="1" si="701"/>
        <v/>
      </c>
      <c r="BX167" s="23" t="str">
        <f t="shared" ca="1" si="701"/>
        <v/>
      </c>
      <c r="BY167" s="23" t="str">
        <f t="shared" ca="1" si="701"/>
        <v/>
      </c>
      <c r="BZ167" s="23" t="str">
        <f t="shared" ca="1" si="701"/>
        <v/>
      </c>
      <c r="CA167" s="23" t="str">
        <f t="shared" ca="1" si="701"/>
        <v/>
      </c>
      <c r="CB167" s="23" t="str">
        <f t="shared" ca="1" si="701"/>
        <v/>
      </c>
      <c r="CC167" s="23" t="str">
        <f t="shared" ca="1" si="701"/>
        <v/>
      </c>
      <c r="CD167" s="23" t="str">
        <f t="shared" ca="1" si="701"/>
        <v/>
      </c>
      <c r="CE167" s="23" t="str">
        <f t="shared" ca="1" si="701"/>
        <v/>
      </c>
      <c r="CF167" s="23" t="str">
        <f t="shared" ca="1" si="701"/>
        <v/>
      </c>
      <c r="CG167" s="23" t="str">
        <f t="shared" ca="1" si="701"/>
        <v/>
      </c>
      <c r="CH167" s="23" t="str">
        <f t="shared" ca="1" si="701"/>
        <v/>
      </c>
      <c r="CI167" s="23" t="str">
        <f t="shared" ca="1" si="701"/>
        <v/>
      </c>
      <c r="CJ167" s="23" t="str">
        <f t="shared" ca="1" si="701"/>
        <v/>
      </c>
      <c r="CK167" s="23" t="str">
        <f t="shared" ca="1" si="701"/>
        <v/>
      </c>
      <c r="CL167" s="23" t="str">
        <f t="shared" ca="1" si="701"/>
        <v/>
      </c>
      <c r="CM167" s="23" t="str">
        <f t="shared" ca="1" si="701"/>
        <v/>
      </c>
      <c r="CN167" s="23" t="str">
        <f t="shared" ca="1" si="701"/>
        <v/>
      </c>
      <c r="CO167" s="23" t="str">
        <f t="shared" ca="1" si="701"/>
        <v/>
      </c>
      <c r="CP167" s="23" t="str">
        <f t="shared" ca="1" si="701"/>
        <v/>
      </c>
      <c r="CQ167" s="23" t="str">
        <f t="shared" ca="1" si="701"/>
        <v/>
      </c>
      <c r="CR167" s="23" t="str">
        <f t="shared" ca="1" si="701"/>
        <v/>
      </c>
      <c r="CS167" s="23" t="str">
        <f t="shared" ca="1" si="701"/>
        <v/>
      </c>
      <c r="CT167" s="23" t="str">
        <f t="shared" ca="1" si="701"/>
        <v/>
      </c>
      <c r="CU167" s="23" t="str">
        <f t="shared" ca="1" si="701"/>
        <v/>
      </c>
      <c r="CV167" s="23" t="str">
        <f t="shared" ca="1" si="701"/>
        <v/>
      </c>
      <c r="CW167" s="23" t="str">
        <f t="shared" ca="1" si="701"/>
        <v/>
      </c>
      <c r="CX167" s="23" t="str">
        <f t="shared" ca="1" si="701"/>
        <v/>
      </c>
      <c r="CY167" s="23" t="str">
        <f t="shared" ca="1" si="701"/>
        <v/>
      </c>
      <c r="CZ167" s="23" t="str">
        <f t="shared" ca="1" si="701"/>
        <v/>
      </c>
    </row>
    <row r="168" spans="1:104" ht="13.5" customHeight="1">
      <c r="A168" s="27">
        <v>151</v>
      </c>
      <c r="B168" s="33">
        <f t="shared" si="639"/>
        <v>168</v>
      </c>
      <c r="C168" s="9" t="s">
        <v>423</v>
      </c>
      <c r="D168" s="23">
        <f t="shared" ref="D168:AI168" ca="1" si="702">IF(D$89="","",IF(D$89=$M$2,C168,IF(D$11&lt;$D$7,OFFSET(INDIRECT($D$3),$A168-1,$Q$3+D$11),OFFSET(INDIRECT($D$4),$A168-1,$Q$4+D$11))))</f>
        <v>0</v>
      </c>
      <c r="E168" s="23">
        <f t="shared" ca="1" si="702"/>
        <v>0</v>
      </c>
      <c r="F168" s="23">
        <f t="shared" ca="1" si="702"/>
        <v>0</v>
      </c>
      <c r="G168" s="23">
        <f t="shared" ca="1" si="702"/>
        <v>0</v>
      </c>
      <c r="H168" s="23">
        <f t="shared" ca="1" si="702"/>
        <v>0</v>
      </c>
      <c r="I168" s="23">
        <f t="shared" ca="1" si="702"/>
        <v>0</v>
      </c>
      <c r="J168" s="23">
        <f t="shared" ca="1" si="702"/>
        <v>0</v>
      </c>
      <c r="K168" s="23">
        <f t="shared" ca="1" si="702"/>
        <v>0</v>
      </c>
      <c r="L168" s="23">
        <f t="shared" ca="1" si="702"/>
        <v>0</v>
      </c>
      <c r="M168" s="23">
        <f t="shared" ca="1" si="702"/>
        <v>0</v>
      </c>
      <c r="N168" s="23">
        <f t="shared" ca="1" si="702"/>
        <v>0</v>
      </c>
      <c r="O168" s="23" t="str">
        <f t="shared" ca="1" si="702"/>
        <v/>
      </c>
      <c r="P168" s="23" t="str">
        <f t="shared" ca="1" si="702"/>
        <v/>
      </c>
      <c r="Q168" s="23" t="str">
        <f t="shared" ca="1" si="702"/>
        <v/>
      </c>
      <c r="R168" s="23" t="str">
        <f t="shared" ca="1" si="702"/>
        <v/>
      </c>
      <c r="S168" s="23" t="str">
        <f t="shared" ca="1" si="702"/>
        <v/>
      </c>
      <c r="T168" s="23" t="str">
        <f t="shared" ca="1" si="702"/>
        <v/>
      </c>
      <c r="U168" s="23" t="str">
        <f t="shared" ca="1" si="702"/>
        <v/>
      </c>
      <c r="V168" s="23" t="str">
        <f t="shared" ca="1" si="702"/>
        <v/>
      </c>
      <c r="W168" s="23" t="str">
        <f t="shared" ca="1" si="702"/>
        <v/>
      </c>
      <c r="X168" s="23" t="str">
        <f t="shared" ca="1" si="702"/>
        <v/>
      </c>
      <c r="Y168" s="23" t="str">
        <f t="shared" ca="1" si="702"/>
        <v/>
      </c>
      <c r="Z168" s="23" t="str">
        <f t="shared" ca="1" si="702"/>
        <v/>
      </c>
      <c r="AA168" s="23" t="str">
        <f t="shared" ca="1" si="702"/>
        <v/>
      </c>
      <c r="AB168" s="23" t="str">
        <f t="shared" ca="1" si="702"/>
        <v/>
      </c>
      <c r="AC168" s="23" t="str">
        <f t="shared" ca="1" si="702"/>
        <v/>
      </c>
      <c r="AD168" s="23" t="str">
        <f t="shared" ca="1" si="702"/>
        <v/>
      </c>
      <c r="AE168" s="23" t="str">
        <f t="shared" ca="1" si="702"/>
        <v/>
      </c>
      <c r="AF168" s="23" t="str">
        <f t="shared" ca="1" si="702"/>
        <v/>
      </c>
      <c r="AG168" s="23" t="str">
        <f t="shared" ca="1" si="702"/>
        <v/>
      </c>
      <c r="AH168" s="23" t="str">
        <f t="shared" ca="1" si="702"/>
        <v/>
      </c>
      <c r="AI168" s="23" t="str">
        <f t="shared" ca="1" si="702"/>
        <v/>
      </c>
      <c r="AJ168" s="23" t="str">
        <f t="shared" ref="AJ168:BO168" ca="1" si="703">IF(AJ$89="","",IF(AJ$89=$M$2,AI168,IF(AJ$11&lt;$D$7,OFFSET(INDIRECT($D$3),$A168-1,$Q$3+AJ$11),OFFSET(INDIRECT($D$4),$A168-1,$Q$4+AJ$11))))</f>
        <v/>
      </c>
      <c r="AK168" s="23" t="str">
        <f t="shared" ca="1" si="703"/>
        <v/>
      </c>
      <c r="AL168" s="23" t="str">
        <f t="shared" ca="1" si="703"/>
        <v/>
      </c>
      <c r="AM168" s="23" t="str">
        <f t="shared" ca="1" si="703"/>
        <v/>
      </c>
      <c r="AN168" s="23" t="str">
        <f t="shared" ca="1" si="703"/>
        <v/>
      </c>
      <c r="AO168" s="23" t="str">
        <f t="shared" ca="1" si="703"/>
        <v/>
      </c>
      <c r="AP168" s="23" t="str">
        <f t="shared" ca="1" si="703"/>
        <v/>
      </c>
      <c r="AQ168" s="23" t="str">
        <f t="shared" ca="1" si="703"/>
        <v/>
      </c>
      <c r="AR168" s="23" t="str">
        <f t="shared" ca="1" si="703"/>
        <v/>
      </c>
      <c r="AS168" s="23" t="str">
        <f t="shared" ca="1" si="703"/>
        <v/>
      </c>
      <c r="AT168" s="23" t="str">
        <f t="shared" ca="1" si="703"/>
        <v/>
      </c>
      <c r="AU168" s="23" t="str">
        <f t="shared" ca="1" si="703"/>
        <v/>
      </c>
      <c r="AV168" s="23" t="str">
        <f t="shared" ca="1" si="703"/>
        <v/>
      </c>
      <c r="AW168" s="23" t="str">
        <f t="shared" ca="1" si="703"/>
        <v/>
      </c>
      <c r="AX168" s="23" t="str">
        <f t="shared" ca="1" si="703"/>
        <v/>
      </c>
      <c r="AY168" s="23" t="str">
        <f t="shared" ca="1" si="703"/>
        <v/>
      </c>
      <c r="AZ168" s="23" t="str">
        <f t="shared" ca="1" si="703"/>
        <v/>
      </c>
      <c r="BA168" s="23" t="str">
        <f t="shared" ca="1" si="703"/>
        <v/>
      </c>
      <c r="BB168" s="23" t="str">
        <f t="shared" ca="1" si="703"/>
        <v/>
      </c>
      <c r="BC168" s="23" t="str">
        <f t="shared" ca="1" si="703"/>
        <v/>
      </c>
      <c r="BD168" s="23" t="str">
        <f t="shared" ca="1" si="703"/>
        <v/>
      </c>
      <c r="BE168" s="23" t="str">
        <f t="shared" ca="1" si="703"/>
        <v/>
      </c>
      <c r="BF168" s="23" t="str">
        <f t="shared" ca="1" si="703"/>
        <v/>
      </c>
      <c r="BG168" s="23" t="str">
        <f t="shared" ca="1" si="703"/>
        <v/>
      </c>
      <c r="BH168" s="23" t="str">
        <f t="shared" ca="1" si="703"/>
        <v/>
      </c>
      <c r="BI168" s="23" t="str">
        <f t="shared" ca="1" si="703"/>
        <v/>
      </c>
      <c r="BJ168" s="23" t="str">
        <f t="shared" ca="1" si="703"/>
        <v/>
      </c>
      <c r="BK168" s="23" t="str">
        <f t="shared" ca="1" si="703"/>
        <v/>
      </c>
      <c r="BL168" s="23" t="str">
        <f t="shared" ca="1" si="703"/>
        <v/>
      </c>
      <c r="BM168" s="23" t="str">
        <f t="shared" ca="1" si="703"/>
        <v/>
      </c>
      <c r="BN168" s="23" t="str">
        <f t="shared" ca="1" si="703"/>
        <v/>
      </c>
      <c r="BO168" s="23" t="str">
        <f t="shared" ca="1" si="703"/>
        <v/>
      </c>
      <c r="BP168" s="23" t="str">
        <f t="shared" ref="BP168:CZ168" ca="1" si="704">IF(BP$89="","",IF(BP$89=$M$2,BO168,IF(BP$11&lt;$D$7,OFFSET(INDIRECT($D$3),$A168-1,$Q$3+BP$11),OFFSET(INDIRECT($D$4),$A168-1,$Q$4+BP$11))))</f>
        <v/>
      </c>
      <c r="BQ168" s="23" t="str">
        <f t="shared" ca="1" si="704"/>
        <v/>
      </c>
      <c r="BR168" s="23" t="str">
        <f t="shared" ca="1" si="704"/>
        <v/>
      </c>
      <c r="BS168" s="23" t="str">
        <f t="shared" ca="1" si="704"/>
        <v/>
      </c>
      <c r="BT168" s="23" t="str">
        <f t="shared" ca="1" si="704"/>
        <v/>
      </c>
      <c r="BU168" s="23" t="str">
        <f t="shared" ca="1" si="704"/>
        <v/>
      </c>
      <c r="BV168" s="23" t="str">
        <f t="shared" ca="1" si="704"/>
        <v/>
      </c>
      <c r="BW168" s="23" t="str">
        <f t="shared" ca="1" si="704"/>
        <v/>
      </c>
      <c r="BX168" s="23" t="str">
        <f t="shared" ca="1" si="704"/>
        <v/>
      </c>
      <c r="BY168" s="23" t="str">
        <f t="shared" ca="1" si="704"/>
        <v/>
      </c>
      <c r="BZ168" s="23" t="str">
        <f t="shared" ca="1" si="704"/>
        <v/>
      </c>
      <c r="CA168" s="23" t="str">
        <f t="shared" ca="1" si="704"/>
        <v/>
      </c>
      <c r="CB168" s="23" t="str">
        <f t="shared" ca="1" si="704"/>
        <v/>
      </c>
      <c r="CC168" s="23" t="str">
        <f t="shared" ca="1" si="704"/>
        <v/>
      </c>
      <c r="CD168" s="23" t="str">
        <f t="shared" ca="1" si="704"/>
        <v/>
      </c>
      <c r="CE168" s="23" t="str">
        <f t="shared" ca="1" si="704"/>
        <v/>
      </c>
      <c r="CF168" s="23" t="str">
        <f t="shared" ca="1" si="704"/>
        <v/>
      </c>
      <c r="CG168" s="23" t="str">
        <f t="shared" ca="1" si="704"/>
        <v/>
      </c>
      <c r="CH168" s="23" t="str">
        <f t="shared" ca="1" si="704"/>
        <v/>
      </c>
      <c r="CI168" s="23" t="str">
        <f t="shared" ca="1" si="704"/>
        <v/>
      </c>
      <c r="CJ168" s="23" t="str">
        <f t="shared" ca="1" si="704"/>
        <v/>
      </c>
      <c r="CK168" s="23" t="str">
        <f t="shared" ca="1" si="704"/>
        <v/>
      </c>
      <c r="CL168" s="23" t="str">
        <f t="shared" ca="1" si="704"/>
        <v/>
      </c>
      <c r="CM168" s="23" t="str">
        <f t="shared" ca="1" si="704"/>
        <v/>
      </c>
      <c r="CN168" s="23" t="str">
        <f t="shared" ca="1" si="704"/>
        <v/>
      </c>
      <c r="CO168" s="23" t="str">
        <f t="shared" ca="1" si="704"/>
        <v/>
      </c>
      <c r="CP168" s="23" t="str">
        <f t="shared" ca="1" si="704"/>
        <v/>
      </c>
      <c r="CQ168" s="23" t="str">
        <f t="shared" ca="1" si="704"/>
        <v/>
      </c>
      <c r="CR168" s="23" t="str">
        <f t="shared" ca="1" si="704"/>
        <v/>
      </c>
      <c r="CS168" s="23" t="str">
        <f t="shared" ca="1" si="704"/>
        <v/>
      </c>
      <c r="CT168" s="23" t="str">
        <f t="shared" ca="1" si="704"/>
        <v/>
      </c>
      <c r="CU168" s="23" t="str">
        <f t="shared" ca="1" si="704"/>
        <v/>
      </c>
      <c r="CV168" s="23" t="str">
        <f t="shared" ca="1" si="704"/>
        <v/>
      </c>
      <c r="CW168" s="23" t="str">
        <f t="shared" ca="1" si="704"/>
        <v/>
      </c>
      <c r="CX168" s="23" t="str">
        <f t="shared" ca="1" si="704"/>
        <v/>
      </c>
      <c r="CY168" s="23" t="str">
        <f t="shared" ca="1" si="704"/>
        <v/>
      </c>
      <c r="CZ168" s="23" t="str">
        <f t="shared" ca="1" si="704"/>
        <v/>
      </c>
    </row>
    <row r="169" spans="1:104" ht="13.5" customHeight="1">
      <c r="A169" s="27">
        <v>152</v>
      </c>
      <c r="B169" s="33">
        <f t="shared" si="639"/>
        <v>169</v>
      </c>
      <c r="C169" s="9" t="s">
        <v>424</v>
      </c>
      <c r="D169" s="23">
        <f t="shared" ref="D169:AI169" ca="1" si="705">IF(D$89="","",IF(D$89=$M$2,C169,IF(D$11&lt;$D$7,OFFSET(INDIRECT($D$3),$A169-1,$Q$3+D$11),OFFSET(INDIRECT($D$4),$A169-1,$Q$4+D$11))))</f>
        <v>924.3</v>
      </c>
      <c r="E169" s="23">
        <f t="shared" ca="1" si="705"/>
        <v>934.8</v>
      </c>
      <c r="F169" s="23">
        <f t="shared" ca="1" si="705"/>
        <v>923.2</v>
      </c>
      <c r="G169" s="23">
        <f t="shared" ca="1" si="705"/>
        <v>926.1</v>
      </c>
      <c r="H169" s="23">
        <f t="shared" ca="1" si="705"/>
        <v>924.3</v>
      </c>
      <c r="I169" s="23">
        <f t="shared" ca="1" si="705"/>
        <v>931</v>
      </c>
      <c r="J169" s="23">
        <f t="shared" ca="1" si="705"/>
        <v>933.6</v>
      </c>
      <c r="K169" s="23">
        <f t="shared" ca="1" si="705"/>
        <v>936.6</v>
      </c>
      <c r="L169" s="23">
        <f t="shared" ca="1" si="705"/>
        <v>934.8</v>
      </c>
      <c r="M169" s="23">
        <f t="shared" ca="1" si="705"/>
        <v>938.9</v>
      </c>
      <c r="N169" s="23">
        <f t="shared" ca="1" si="705"/>
        <v>938.9</v>
      </c>
      <c r="O169" s="23" t="str">
        <f t="shared" ca="1" si="705"/>
        <v/>
      </c>
      <c r="P169" s="23" t="str">
        <f t="shared" ca="1" si="705"/>
        <v/>
      </c>
      <c r="Q169" s="23" t="str">
        <f t="shared" ca="1" si="705"/>
        <v/>
      </c>
      <c r="R169" s="23" t="str">
        <f t="shared" ca="1" si="705"/>
        <v/>
      </c>
      <c r="S169" s="23" t="str">
        <f t="shared" ca="1" si="705"/>
        <v/>
      </c>
      <c r="T169" s="23" t="str">
        <f t="shared" ca="1" si="705"/>
        <v/>
      </c>
      <c r="U169" s="23" t="str">
        <f t="shared" ca="1" si="705"/>
        <v/>
      </c>
      <c r="V169" s="23" t="str">
        <f t="shared" ca="1" si="705"/>
        <v/>
      </c>
      <c r="W169" s="23" t="str">
        <f t="shared" ca="1" si="705"/>
        <v/>
      </c>
      <c r="X169" s="23" t="str">
        <f t="shared" ca="1" si="705"/>
        <v/>
      </c>
      <c r="Y169" s="23" t="str">
        <f t="shared" ca="1" si="705"/>
        <v/>
      </c>
      <c r="Z169" s="23" t="str">
        <f t="shared" ca="1" si="705"/>
        <v/>
      </c>
      <c r="AA169" s="23" t="str">
        <f t="shared" ca="1" si="705"/>
        <v/>
      </c>
      <c r="AB169" s="23" t="str">
        <f t="shared" ca="1" si="705"/>
        <v/>
      </c>
      <c r="AC169" s="23" t="str">
        <f t="shared" ca="1" si="705"/>
        <v/>
      </c>
      <c r="AD169" s="23" t="str">
        <f t="shared" ca="1" si="705"/>
        <v/>
      </c>
      <c r="AE169" s="23" t="str">
        <f t="shared" ca="1" si="705"/>
        <v/>
      </c>
      <c r="AF169" s="23" t="str">
        <f t="shared" ca="1" si="705"/>
        <v/>
      </c>
      <c r="AG169" s="23" t="str">
        <f t="shared" ca="1" si="705"/>
        <v/>
      </c>
      <c r="AH169" s="23" t="str">
        <f t="shared" ca="1" si="705"/>
        <v/>
      </c>
      <c r="AI169" s="23" t="str">
        <f t="shared" ca="1" si="705"/>
        <v/>
      </c>
      <c r="AJ169" s="23" t="str">
        <f t="shared" ref="AJ169:BO169" ca="1" si="706">IF(AJ$89="","",IF(AJ$89=$M$2,AI169,IF(AJ$11&lt;$D$7,OFFSET(INDIRECT($D$3),$A169-1,$Q$3+AJ$11),OFFSET(INDIRECT($D$4),$A169-1,$Q$4+AJ$11))))</f>
        <v/>
      </c>
      <c r="AK169" s="23" t="str">
        <f t="shared" ca="1" si="706"/>
        <v/>
      </c>
      <c r="AL169" s="23" t="str">
        <f t="shared" ca="1" si="706"/>
        <v/>
      </c>
      <c r="AM169" s="23" t="str">
        <f t="shared" ca="1" si="706"/>
        <v/>
      </c>
      <c r="AN169" s="23" t="str">
        <f t="shared" ca="1" si="706"/>
        <v/>
      </c>
      <c r="AO169" s="23" t="str">
        <f t="shared" ca="1" si="706"/>
        <v/>
      </c>
      <c r="AP169" s="23" t="str">
        <f t="shared" ca="1" si="706"/>
        <v/>
      </c>
      <c r="AQ169" s="23" t="str">
        <f t="shared" ca="1" si="706"/>
        <v/>
      </c>
      <c r="AR169" s="23" t="str">
        <f t="shared" ca="1" si="706"/>
        <v/>
      </c>
      <c r="AS169" s="23" t="str">
        <f t="shared" ca="1" si="706"/>
        <v/>
      </c>
      <c r="AT169" s="23" t="str">
        <f t="shared" ca="1" si="706"/>
        <v/>
      </c>
      <c r="AU169" s="23" t="str">
        <f t="shared" ca="1" si="706"/>
        <v/>
      </c>
      <c r="AV169" s="23" t="str">
        <f t="shared" ca="1" si="706"/>
        <v/>
      </c>
      <c r="AW169" s="23" t="str">
        <f t="shared" ca="1" si="706"/>
        <v/>
      </c>
      <c r="AX169" s="23" t="str">
        <f t="shared" ca="1" si="706"/>
        <v/>
      </c>
      <c r="AY169" s="23" t="str">
        <f t="shared" ca="1" si="706"/>
        <v/>
      </c>
      <c r="AZ169" s="23" t="str">
        <f t="shared" ca="1" si="706"/>
        <v/>
      </c>
      <c r="BA169" s="23" t="str">
        <f t="shared" ca="1" si="706"/>
        <v/>
      </c>
      <c r="BB169" s="23" t="str">
        <f t="shared" ca="1" si="706"/>
        <v/>
      </c>
      <c r="BC169" s="23" t="str">
        <f t="shared" ca="1" si="706"/>
        <v/>
      </c>
      <c r="BD169" s="23" t="str">
        <f t="shared" ca="1" si="706"/>
        <v/>
      </c>
      <c r="BE169" s="23" t="str">
        <f t="shared" ca="1" si="706"/>
        <v/>
      </c>
      <c r="BF169" s="23" t="str">
        <f t="shared" ca="1" si="706"/>
        <v/>
      </c>
      <c r="BG169" s="23" t="str">
        <f t="shared" ca="1" si="706"/>
        <v/>
      </c>
      <c r="BH169" s="23" t="str">
        <f t="shared" ca="1" si="706"/>
        <v/>
      </c>
      <c r="BI169" s="23" t="str">
        <f t="shared" ca="1" si="706"/>
        <v/>
      </c>
      <c r="BJ169" s="23" t="str">
        <f t="shared" ca="1" si="706"/>
        <v/>
      </c>
      <c r="BK169" s="23" t="str">
        <f t="shared" ca="1" si="706"/>
        <v/>
      </c>
      <c r="BL169" s="23" t="str">
        <f t="shared" ca="1" si="706"/>
        <v/>
      </c>
      <c r="BM169" s="23" t="str">
        <f t="shared" ca="1" si="706"/>
        <v/>
      </c>
      <c r="BN169" s="23" t="str">
        <f t="shared" ca="1" si="706"/>
        <v/>
      </c>
      <c r="BO169" s="23" t="str">
        <f t="shared" ca="1" si="706"/>
        <v/>
      </c>
      <c r="BP169" s="23" t="str">
        <f t="shared" ref="BP169:CZ169" ca="1" si="707">IF(BP$89="","",IF(BP$89=$M$2,BO169,IF(BP$11&lt;$D$7,OFFSET(INDIRECT($D$3),$A169-1,$Q$3+BP$11),OFFSET(INDIRECT($D$4),$A169-1,$Q$4+BP$11))))</f>
        <v/>
      </c>
      <c r="BQ169" s="23" t="str">
        <f t="shared" ca="1" si="707"/>
        <v/>
      </c>
      <c r="BR169" s="23" t="str">
        <f t="shared" ca="1" si="707"/>
        <v/>
      </c>
      <c r="BS169" s="23" t="str">
        <f t="shared" ca="1" si="707"/>
        <v/>
      </c>
      <c r="BT169" s="23" t="str">
        <f t="shared" ca="1" si="707"/>
        <v/>
      </c>
      <c r="BU169" s="23" t="str">
        <f t="shared" ca="1" si="707"/>
        <v/>
      </c>
      <c r="BV169" s="23" t="str">
        <f t="shared" ca="1" si="707"/>
        <v/>
      </c>
      <c r="BW169" s="23" t="str">
        <f t="shared" ca="1" si="707"/>
        <v/>
      </c>
      <c r="BX169" s="23" t="str">
        <f t="shared" ca="1" si="707"/>
        <v/>
      </c>
      <c r="BY169" s="23" t="str">
        <f t="shared" ca="1" si="707"/>
        <v/>
      </c>
      <c r="BZ169" s="23" t="str">
        <f t="shared" ca="1" si="707"/>
        <v/>
      </c>
      <c r="CA169" s="23" t="str">
        <f t="shared" ca="1" si="707"/>
        <v/>
      </c>
      <c r="CB169" s="23" t="str">
        <f t="shared" ca="1" si="707"/>
        <v/>
      </c>
      <c r="CC169" s="23" t="str">
        <f t="shared" ca="1" si="707"/>
        <v/>
      </c>
      <c r="CD169" s="23" t="str">
        <f t="shared" ca="1" si="707"/>
        <v/>
      </c>
      <c r="CE169" s="23" t="str">
        <f t="shared" ca="1" si="707"/>
        <v/>
      </c>
      <c r="CF169" s="23" t="str">
        <f t="shared" ca="1" si="707"/>
        <v/>
      </c>
      <c r="CG169" s="23" t="str">
        <f t="shared" ca="1" si="707"/>
        <v/>
      </c>
      <c r="CH169" s="23" t="str">
        <f t="shared" ca="1" si="707"/>
        <v/>
      </c>
      <c r="CI169" s="23" t="str">
        <f t="shared" ca="1" si="707"/>
        <v/>
      </c>
      <c r="CJ169" s="23" t="str">
        <f t="shared" ca="1" si="707"/>
        <v/>
      </c>
      <c r="CK169" s="23" t="str">
        <f t="shared" ca="1" si="707"/>
        <v/>
      </c>
      <c r="CL169" s="23" t="str">
        <f t="shared" ca="1" si="707"/>
        <v/>
      </c>
      <c r="CM169" s="23" t="str">
        <f t="shared" ca="1" si="707"/>
        <v/>
      </c>
      <c r="CN169" s="23" t="str">
        <f t="shared" ca="1" si="707"/>
        <v/>
      </c>
      <c r="CO169" s="23" t="str">
        <f t="shared" ca="1" si="707"/>
        <v/>
      </c>
      <c r="CP169" s="23" t="str">
        <f t="shared" ca="1" si="707"/>
        <v/>
      </c>
      <c r="CQ169" s="23" t="str">
        <f t="shared" ca="1" si="707"/>
        <v/>
      </c>
      <c r="CR169" s="23" t="str">
        <f t="shared" ca="1" si="707"/>
        <v/>
      </c>
      <c r="CS169" s="23" t="str">
        <f t="shared" ca="1" si="707"/>
        <v/>
      </c>
      <c r="CT169" s="23" t="str">
        <f t="shared" ca="1" si="707"/>
        <v/>
      </c>
      <c r="CU169" s="23" t="str">
        <f t="shared" ca="1" si="707"/>
        <v/>
      </c>
      <c r="CV169" s="23" t="str">
        <f t="shared" ca="1" si="707"/>
        <v/>
      </c>
      <c r="CW169" s="23" t="str">
        <f t="shared" ca="1" si="707"/>
        <v/>
      </c>
      <c r="CX169" s="23" t="str">
        <f t="shared" ca="1" si="707"/>
        <v/>
      </c>
      <c r="CY169" s="23" t="str">
        <f t="shared" ca="1" si="707"/>
        <v/>
      </c>
      <c r="CZ169" s="23" t="str">
        <f t="shared" ca="1" si="707"/>
        <v/>
      </c>
    </row>
    <row r="170" spans="1:104" ht="13.5" customHeight="1">
      <c r="A170" s="27">
        <v>153</v>
      </c>
      <c r="B170" s="33">
        <f t="shared" si="639"/>
        <v>170</v>
      </c>
      <c r="C170" s="9" t="s">
        <v>425</v>
      </c>
      <c r="D170" s="23">
        <f t="shared" ref="D170:AI170" ca="1" si="708">IF(D$89="","",IF(D$89=$M$2,C170,IF(D$11&lt;$D$7,OFFSET(INDIRECT($D$3),$A170-1,$Q$3+D$11),OFFSET(INDIRECT($D$4),$A170-1,$Q$4+D$11))))</f>
        <v>936.6</v>
      </c>
      <c r="E170" s="23">
        <f t="shared" ca="1" si="708"/>
        <v>945.4</v>
      </c>
      <c r="F170" s="23">
        <f t="shared" ca="1" si="708"/>
        <v>935.9</v>
      </c>
      <c r="G170" s="23">
        <f t="shared" ca="1" si="708"/>
        <v>937.8</v>
      </c>
      <c r="H170" s="23">
        <f t="shared" ca="1" si="708"/>
        <v>936.6</v>
      </c>
      <c r="I170" s="23">
        <f t="shared" ca="1" si="708"/>
        <v>941.6</v>
      </c>
      <c r="J170" s="23">
        <f t="shared" ca="1" si="708"/>
        <v>944.9</v>
      </c>
      <c r="K170" s="23">
        <f t="shared" ca="1" si="708"/>
        <v>947.1</v>
      </c>
      <c r="L170" s="23">
        <f t="shared" ca="1" si="708"/>
        <v>945.4</v>
      </c>
      <c r="M170" s="23">
        <f t="shared" ca="1" si="708"/>
        <v>947.2</v>
      </c>
      <c r="N170" s="23">
        <f t="shared" ca="1" si="708"/>
        <v>947.2</v>
      </c>
      <c r="O170" s="23" t="str">
        <f t="shared" ca="1" si="708"/>
        <v/>
      </c>
      <c r="P170" s="23" t="str">
        <f t="shared" ca="1" si="708"/>
        <v/>
      </c>
      <c r="Q170" s="23" t="str">
        <f t="shared" ca="1" si="708"/>
        <v/>
      </c>
      <c r="R170" s="23" t="str">
        <f t="shared" ca="1" si="708"/>
        <v/>
      </c>
      <c r="S170" s="23" t="str">
        <f t="shared" ca="1" si="708"/>
        <v/>
      </c>
      <c r="T170" s="23" t="str">
        <f t="shared" ca="1" si="708"/>
        <v/>
      </c>
      <c r="U170" s="23" t="str">
        <f t="shared" ca="1" si="708"/>
        <v/>
      </c>
      <c r="V170" s="23" t="str">
        <f t="shared" ca="1" si="708"/>
        <v/>
      </c>
      <c r="W170" s="23" t="str">
        <f t="shared" ca="1" si="708"/>
        <v/>
      </c>
      <c r="X170" s="23" t="str">
        <f t="shared" ca="1" si="708"/>
        <v/>
      </c>
      <c r="Y170" s="23" t="str">
        <f t="shared" ca="1" si="708"/>
        <v/>
      </c>
      <c r="Z170" s="23" t="str">
        <f t="shared" ca="1" si="708"/>
        <v/>
      </c>
      <c r="AA170" s="23" t="str">
        <f t="shared" ca="1" si="708"/>
        <v/>
      </c>
      <c r="AB170" s="23" t="str">
        <f t="shared" ca="1" si="708"/>
        <v/>
      </c>
      <c r="AC170" s="23" t="str">
        <f t="shared" ca="1" si="708"/>
        <v/>
      </c>
      <c r="AD170" s="23" t="str">
        <f t="shared" ca="1" si="708"/>
        <v/>
      </c>
      <c r="AE170" s="23" t="str">
        <f t="shared" ca="1" si="708"/>
        <v/>
      </c>
      <c r="AF170" s="23" t="str">
        <f t="shared" ca="1" si="708"/>
        <v/>
      </c>
      <c r="AG170" s="23" t="str">
        <f t="shared" ca="1" si="708"/>
        <v/>
      </c>
      <c r="AH170" s="23" t="str">
        <f t="shared" ca="1" si="708"/>
        <v/>
      </c>
      <c r="AI170" s="23" t="str">
        <f t="shared" ca="1" si="708"/>
        <v/>
      </c>
      <c r="AJ170" s="23" t="str">
        <f t="shared" ref="AJ170:BO170" ca="1" si="709">IF(AJ$89="","",IF(AJ$89=$M$2,AI170,IF(AJ$11&lt;$D$7,OFFSET(INDIRECT($D$3),$A170-1,$Q$3+AJ$11),OFFSET(INDIRECT($D$4),$A170-1,$Q$4+AJ$11))))</f>
        <v/>
      </c>
      <c r="AK170" s="23" t="str">
        <f t="shared" ca="1" si="709"/>
        <v/>
      </c>
      <c r="AL170" s="23" t="str">
        <f t="shared" ca="1" si="709"/>
        <v/>
      </c>
      <c r="AM170" s="23" t="str">
        <f t="shared" ca="1" si="709"/>
        <v/>
      </c>
      <c r="AN170" s="23" t="str">
        <f t="shared" ca="1" si="709"/>
        <v/>
      </c>
      <c r="AO170" s="23" t="str">
        <f t="shared" ca="1" si="709"/>
        <v/>
      </c>
      <c r="AP170" s="23" t="str">
        <f t="shared" ca="1" si="709"/>
        <v/>
      </c>
      <c r="AQ170" s="23" t="str">
        <f t="shared" ca="1" si="709"/>
        <v/>
      </c>
      <c r="AR170" s="23" t="str">
        <f t="shared" ca="1" si="709"/>
        <v/>
      </c>
      <c r="AS170" s="23" t="str">
        <f t="shared" ca="1" si="709"/>
        <v/>
      </c>
      <c r="AT170" s="23" t="str">
        <f t="shared" ca="1" si="709"/>
        <v/>
      </c>
      <c r="AU170" s="23" t="str">
        <f t="shared" ca="1" si="709"/>
        <v/>
      </c>
      <c r="AV170" s="23" t="str">
        <f t="shared" ca="1" si="709"/>
        <v/>
      </c>
      <c r="AW170" s="23" t="str">
        <f t="shared" ca="1" si="709"/>
        <v/>
      </c>
      <c r="AX170" s="23" t="str">
        <f t="shared" ca="1" si="709"/>
        <v/>
      </c>
      <c r="AY170" s="23" t="str">
        <f t="shared" ca="1" si="709"/>
        <v/>
      </c>
      <c r="AZ170" s="23" t="str">
        <f t="shared" ca="1" si="709"/>
        <v/>
      </c>
      <c r="BA170" s="23" t="str">
        <f t="shared" ca="1" si="709"/>
        <v/>
      </c>
      <c r="BB170" s="23" t="str">
        <f t="shared" ca="1" si="709"/>
        <v/>
      </c>
      <c r="BC170" s="23" t="str">
        <f t="shared" ca="1" si="709"/>
        <v/>
      </c>
      <c r="BD170" s="23" t="str">
        <f t="shared" ca="1" si="709"/>
        <v/>
      </c>
      <c r="BE170" s="23" t="str">
        <f t="shared" ca="1" si="709"/>
        <v/>
      </c>
      <c r="BF170" s="23" t="str">
        <f t="shared" ca="1" si="709"/>
        <v/>
      </c>
      <c r="BG170" s="23" t="str">
        <f t="shared" ca="1" si="709"/>
        <v/>
      </c>
      <c r="BH170" s="23" t="str">
        <f t="shared" ca="1" si="709"/>
        <v/>
      </c>
      <c r="BI170" s="23" t="str">
        <f t="shared" ca="1" si="709"/>
        <v/>
      </c>
      <c r="BJ170" s="23" t="str">
        <f t="shared" ca="1" si="709"/>
        <v/>
      </c>
      <c r="BK170" s="23" t="str">
        <f t="shared" ca="1" si="709"/>
        <v/>
      </c>
      <c r="BL170" s="23" t="str">
        <f t="shared" ca="1" si="709"/>
        <v/>
      </c>
      <c r="BM170" s="23" t="str">
        <f t="shared" ca="1" si="709"/>
        <v/>
      </c>
      <c r="BN170" s="23" t="str">
        <f t="shared" ca="1" si="709"/>
        <v/>
      </c>
      <c r="BO170" s="23" t="str">
        <f t="shared" ca="1" si="709"/>
        <v/>
      </c>
      <c r="BP170" s="23" t="str">
        <f t="shared" ref="BP170:CZ170" ca="1" si="710">IF(BP$89="","",IF(BP$89=$M$2,BO170,IF(BP$11&lt;$D$7,OFFSET(INDIRECT($D$3),$A170-1,$Q$3+BP$11),OFFSET(INDIRECT($D$4),$A170-1,$Q$4+BP$11))))</f>
        <v/>
      </c>
      <c r="BQ170" s="23" t="str">
        <f t="shared" ca="1" si="710"/>
        <v/>
      </c>
      <c r="BR170" s="23" t="str">
        <f t="shared" ca="1" si="710"/>
        <v/>
      </c>
      <c r="BS170" s="23" t="str">
        <f t="shared" ca="1" si="710"/>
        <v/>
      </c>
      <c r="BT170" s="23" t="str">
        <f t="shared" ca="1" si="710"/>
        <v/>
      </c>
      <c r="BU170" s="23" t="str">
        <f t="shared" ca="1" si="710"/>
        <v/>
      </c>
      <c r="BV170" s="23" t="str">
        <f t="shared" ca="1" si="710"/>
        <v/>
      </c>
      <c r="BW170" s="23" t="str">
        <f t="shared" ca="1" si="710"/>
        <v/>
      </c>
      <c r="BX170" s="23" t="str">
        <f t="shared" ca="1" si="710"/>
        <v/>
      </c>
      <c r="BY170" s="23" t="str">
        <f t="shared" ca="1" si="710"/>
        <v/>
      </c>
      <c r="BZ170" s="23" t="str">
        <f t="shared" ca="1" si="710"/>
        <v/>
      </c>
      <c r="CA170" s="23" t="str">
        <f t="shared" ca="1" si="710"/>
        <v/>
      </c>
      <c r="CB170" s="23" t="str">
        <f t="shared" ca="1" si="710"/>
        <v/>
      </c>
      <c r="CC170" s="23" t="str">
        <f t="shared" ca="1" si="710"/>
        <v/>
      </c>
      <c r="CD170" s="23" t="str">
        <f t="shared" ca="1" si="710"/>
        <v/>
      </c>
      <c r="CE170" s="23" t="str">
        <f t="shared" ca="1" si="710"/>
        <v/>
      </c>
      <c r="CF170" s="23" t="str">
        <f t="shared" ca="1" si="710"/>
        <v/>
      </c>
      <c r="CG170" s="23" t="str">
        <f t="shared" ca="1" si="710"/>
        <v/>
      </c>
      <c r="CH170" s="23" t="str">
        <f t="shared" ca="1" si="710"/>
        <v/>
      </c>
      <c r="CI170" s="23" t="str">
        <f t="shared" ca="1" si="710"/>
        <v/>
      </c>
      <c r="CJ170" s="23" t="str">
        <f t="shared" ca="1" si="710"/>
        <v/>
      </c>
      <c r="CK170" s="23" t="str">
        <f t="shared" ca="1" si="710"/>
        <v/>
      </c>
      <c r="CL170" s="23" t="str">
        <f t="shared" ca="1" si="710"/>
        <v/>
      </c>
      <c r="CM170" s="23" t="str">
        <f t="shared" ca="1" si="710"/>
        <v/>
      </c>
      <c r="CN170" s="23" t="str">
        <f t="shared" ca="1" si="710"/>
        <v/>
      </c>
      <c r="CO170" s="23" t="str">
        <f t="shared" ca="1" si="710"/>
        <v/>
      </c>
      <c r="CP170" s="23" t="str">
        <f t="shared" ca="1" si="710"/>
        <v/>
      </c>
      <c r="CQ170" s="23" t="str">
        <f t="shared" ca="1" si="710"/>
        <v/>
      </c>
      <c r="CR170" s="23" t="str">
        <f t="shared" ca="1" si="710"/>
        <v/>
      </c>
      <c r="CS170" s="23" t="str">
        <f t="shared" ca="1" si="710"/>
        <v/>
      </c>
      <c r="CT170" s="23" t="str">
        <f t="shared" ca="1" si="710"/>
        <v/>
      </c>
      <c r="CU170" s="23" t="str">
        <f t="shared" ca="1" si="710"/>
        <v/>
      </c>
      <c r="CV170" s="23" t="str">
        <f t="shared" ca="1" si="710"/>
        <v/>
      </c>
      <c r="CW170" s="23" t="str">
        <f t="shared" ca="1" si="710"/>
        <v/>
      </c>
      <c r="CX170" s="23" t="str">
        <f t="shared" ca="1" si="710"/>
        <v/>
      </c>
      <c r="CY170" s="23" t="str">
        <f t="shared" ca="1" si="710"/>
        <v/>
      </c>
      <c r="CZ170" s="23" t="str">
        <f t="shared" ca="1" si="710"/>
        <v/>
      </c>
    </row>
    <row r="171" spans="1:104" ht="13.5" customHeight="1">
      <c r="A171" s="27"/>
      <c r="B171" s="33">
        <f t="shared" si="639"/>
        <v>171</v>
      </c>
      <c r="C171" s="11"/>
      <c r="D171" s="34"/>
      <c r="E171" s="34"/>
      <c r="F171" s="34"/>
      <c r="G171" s="34"/>
      <c r="H171" s="34"/>
      <c r="I171" s="34"/>
      <c r="J171" s="34"/>
      <c r="K171" s="34"/>
      <c r="L171" s="34"/>
      <c r="M171" s="34"/>
      <c r="N171" s="34"/>
      <c r="O171" s="34"/>
      <c r="P171" s="34"/>
      <c r="Q171" s="34"/>
      <c r="R171" s="34"/>
      <c r="S171" s="34"/>
      <c r="T171" s="34"/>
      <c r="U171" s="34"/>
      <c r="V171" s="34"/>
      <c r="W171" s="34"/>
      <c r="X171" s="34"/>
      <c r="Y171" s="34"/>
      <c r="Z171" s="34"/>
      <c r="AA171" s="34"/>
      <c r="AB171" s="34"/>
      <c r="AC171" s="34"/>
      <c r="AD171" s="34"/>
      <c r="AE171" s="34"/>
      <c r="AF171" s="34"/>
      <c r="AG171" s="34"/>
      <c r="AH171" s="34"/>
      <c r="AI171" s="34"/>
      <c r="AJ171" s="34"/>
      <c r="AK171" s="34"/>
      <c r="AL171" s="34"/>
      <c r="AM171" s="34"/>
      <c r="AN171" s="34"/>
      <c r="AO171" s="34"/>
      <c r="AP171" s="34"/>
      <c r="AQ171" s="34"/>
      <c r="AR171" s="34"/>
      <c r="AS171" s="34"/>
      <c r="AT171" s="34"/>
      <c r="AU171" s="34"/>
      <c r="AV171" s="34"/>
      <c r="AW171" s="34"/>
      <c r="AX171" s="34"/>
      <c r="AY171" s="34"/>
      <c r="AZ171" s="34"/>
      <c r="BA171" s="34"/>
      <c r="BB171" s="34"/>
      <c r="BC171" s="34"/>
      <c r="BD171" s="34"/>
      <c r="BE171" s="34"/>
      <c r="BF171" s="34"/>
      <c r="BG171" s="34"/>
      <c r="BH171" s="34"/>
      <c r="BI171" s="34"/>
      <c r="BJ171" s="34"/>
      <c r="BK171" s="34"/>
      <c r="BL171" s="34"/>
      <c r="BM171" s="34"/>
      <c r="BN171" s="34"/>
      <c r="BO171" s="34"/>
      <c r="BP171" s="34"/>
      <c r="BQ171" s="34"/>
      <c r="BR171" s="34"/>
      <c r="BS171" s="34"/>
      <c r="BT171" s="34"/>
      <c r="BU171" s="34"/>
      <c r="BV171" s="34"/>
      <c r="BW171" s="34"/>
      <c r="BX171" s="34"/>
      <c r="BY171" s="34"/>
      <c r="BZ171" s="34"/>
      <c r="CA171" s="34"/>
      <c r="CB171" s="34"/>
      <c r="CC171" s="34"/>
      <c r="CD171" s="34"/>
      <c r="CE171" s="34"/>
      <c r="CF171" s="34"/>
      <c r="CG171" s="34"/>
      <c r="CH171" s="34"/>
      <c r="CI171" s="34"/>
      <c r="CJ171" s="34"/>
      <c r="CK171" s="34"/>
      <c r="CL171" s="34"/>
      <c r="CM171" s="34"/>
      <c r="CN171" s="34"/>
      <c r="CO171" s="34"/>
      <c r="CP171" s="34"/>
      <c r="CQ171" s="34"/>
      <c r="CR171" s="34"/>
      <c r="CS171" s="34"/>
      <c r="CT171" s="34"/>
      <c r="CU171" s="34"/>
      <c r="CV171" s="34"/>
      <c r="CW171" s="34"/>
      <c r="CX171" s="34"/>
      <c r="CY171" s="34"/>
      <c r="CZ171" s="34"/>
    </row>
    <row r="172" spans="1:104" ht="13.5" customHeight="1">
      <c r="A172" s="27"/>
      <c r="B172" s="33">
        <f t="shared" si="639"/>
        <v>172</v>
      </c>
      <c r="C172" s="11"/>
      <c r="D172" s="34"/>
      <c r="E172" s="34"/>
      <c r="F172" s="34"/>
      <c r="G172" s="34"/>
      <c r="H172" s="34"/>
      <c r="I172" s="34"/>
      <c r="J172" s="34"/>
      <c r="K172" s="34"/>
      <c r="L172" s="34"/>
      <c r="M172" s="34"/>
      <c r="N172" s="34"/>
      <c r="O172" s="34"/>
      <c r="P172" s="34"/>
      <c r="Q172" s="34"/>
      <c r="R172" s="34"/>
      <c r="S172" s="34"/>
      <c r="T172" s="34"/>
      <c r="U172" s="34"/>
      <c r="V172" s="34"/>
      <c r="W172" s="34"/>
      <c r="X172" s="34"/>
      <c r="Y172" s="34"/>
      <c r="Z172" s="34"/>
      <c r="AA172" s="34"/>
      <c r="AB172" s="34"/>
      <c r="AC172" s="34"/>
      <c r="AD172" s="34"/>
      <c r="AE172" s="34"/>
      <c r="AF172" s="34"/>
      <c r="AG172" s="34"/>
      <c r="AH172" s="34"/>
      <c r="AI172" s="34"/>
      <c r="AJ172" s="34"/>
      <c r="AK172" s="34"/>
      <c r="AL172" s="34"/>
      <c r="AM172" s="34"/>
      <c r="AN172" s="34"/>
      <c r="AO172" s="34"/>
      <c r="AP172" s="34"/>
      <c r="AQ172" s="34"/>
      <c r="AR172" s="34"/>
      <c r="AS172" s="34"/>
      <c r="AT172" s="34"/>
      <c r="AU172" s="34"/>
      <c r="AV172" s="34"/>
      <c r="AW172" s="34"/>
      <c r="AX172" s="34"/>
      <c r="AY172" s="34"/>
      <c r="AZ172" s="34"/>
      <c r="BA172" s="34"/>
      <c r="BB172" s="34"/>
      <c r="BC172" s="34"/>
      <c r="BD172" s="34"/>
      <c r="BE172" s="34"/>
      <c r="BF172" s="34"/>
      <c r="BG172" s="34"/>
      <c r="BH172" s="34"/>
      <c r="BI172" s="34"/>
      <c r="BJ172" s="34"/>
      <c r="BK172" s="34"/>
      <c r="BL172" s="34"/>
      <c r="BM172" s="34"/>
      <c r="BN172" s="34"/>
      <c r="BO172" s="34"/>
      <c r="BP172" s="34"/>
      <c r="BQ172" s="34"/>
      <c r="BR172" s="34"/>
      <c r="BS172" s="34"/>
      <c r="BT172" s="34"/>
      <c r="BU172" s="34"/>
      <c r="BV172" s="34"/>
      <c r="BW172" s="34"/>
      <c r="BX172" s="34"/>
      <c r="BY172" s="34"/>
      <c r="BZ172" s="34"/>
      <c r="CA172" s="34"/>
      <c r="CB172" s="34"/>
      <c r="CC172" s="34"/>
      <c r="CD172" s="34"/>
      <c r="CE172" s="34"/>
      <c r="CF172" s="34"/>
      <c r="CG172" s="34"/>
      <c r="CH172" s="34"/>
      <c r="CI172" s="34"/>
      <c r="CJ172" s="34"/>
      <c r="CK172" s="34"/>
      <c r="CL172" s="34"/>
      <c r="CM172" s="34"/>
      <c r="CN172" s="34"/>
      <c r="CO172" s="34"/>
      <c r="CP172" s="34"/>
      <c r="CQ172" s="34"/>
      <c r="CR172" s="34"/>
      <c r="CS172" s="34"/>
      <c r="CT172" s="34"/>
      <c r="CU172" s="34"/>
      <c r="CV172" s="34"/>
      <c r="CW172" s="34"/>
      <c r="CX172" s="34"/>
      <c r="CY172" s="34"/>
      <c r="CZ172" s="34"/>
    </row>
    <row r="173" spans="1:104" ht="13.5" customHeight="1">
      <c r="A173" s="27"/>
      <c r="B173" s="33">
        <f t="shared" si="639"/>
        <v>173</v>
      </c>
      <c r="C173" s="39" t="s">
        <v>426</v>
      </c>
      <c r="D173" s="36">
        <f ca="1">IF(D$11="","",D$13)</f>
        <v>40787</v>
      </c>
      <c r="E173" s="36">
        <f t="shared" ref="E173:BP173" ca="1" si="711">IF(E$11="","",E$13)</f>
        <v>41153</v>
      </c>
      <c r="F173" s="36">
        <f t="shared" ca="1" si="711"/>
        <v>40603</v>
      </c>
      <c r="G173" s="36">
        <f t="shared" ca="1" si="711"/>
        <v>40695</v>
      </c>
      <c r="H173" s="36">
        <f t="shared" ca="1" si="711"/>
        <v>40787</v>
      </c>
      <c r="I173" s="36">
        <f t="shared" ca="1" si="711"/>
        <v>40878</v>
      </c>
      <c r="J173" s="36">
        <f t="shared" ca="1" si="711"/>
        <v>40969</v>
      </c>
      <c r="K173" s="36">
        <f t="shared" ca="1" si="711"/>
        <v>41061</v>
      </c>
      <c r="L173" s="36">
        <f t="shared" ca="1" si="711"/>
        <v>41153</v>
      </c>
      <c r="M173" s="36">
        <f t="shared" ca="1" si="711"/>
        <v>41244</v>
      </c>
      <c r="N173" s="36" t="str">
        <f t="shared" ca="1" si="711"/>
        <v>LTM</v>
      </c>
      <c r="O173" s="36" t="str">
        <f t="shared" ca="1" si="711"/>
        <v>Prior Fiscal</v>
      </c>
      <c r="P173" s="36" t="str">
        <f t="shared" ca="1" si="711"/>
        <v>Current</v>
      </c>
      <c r="Q173" s="36" t="str">
        <f t="shared" ca="1" si="711"/>
        <v>Prior</v>
      </c>
      <c r="R173" s="36" t="str">
        <f t="shared" si="711"/>
        <v/>
      </c>
      <c r="S173" s="36" t="str">
        <f t="shared" si="711"/>
        <v/>
      </c>
      <c r="T173" s="36" t="str">
        <f t="shared" si="711"/>
        <v/>
      </c>
      <c r="U173" s="36" t="str">
        <f t="shared" si="711"/>
        <v/>
      </c>
      <c r="V173" s="36" t="str">
        <f t="shared" si="711"/>
        <v/>
      </c>
      <c r="W173" s="36" t="str">
        <f t="shared" si="711"/>
        <v/>
      </c>
      <c r="X173" s="36" t="str">
        <f t="shared" si="711"/>
        <v/>
      </c>
      <c r="Y173" s="36" t="str">
        <f t="shared" si="711"/>
        <v/>
      </c>
      <c r="Z173" s="36" t="str">
        <f t="shared" si="711"/>
        <v/>
      </c>
      <c r="AA173" s="36" t="str">
        <f t="shared" si="711"/>
        <v/>
      </c>
      <c r="AB173" s="36" t="str">
        <f t="shared" si="711"/>
        <v/>
      </c>
      <c r="AC173" s="36" t="str">
        <f t="shared" si="711"/>
        <v/>
      </c>
      <c r="AD173" s="36" t="str">
        <f t="shared" si="711"/>
        <v/>
      </c>
      <c r="AE173" s="36" t="str">
        <f t="shared" si="711"/>
        <v/>
      </c>
      <c r="AF173" s="36" t="str">
        <f t="shared" si="711"/>
        <v/>
      </c>
      <c r="AG173" s="36" t="str">
        <f t="shared" si="711"/>
        <v/>
      </c>
      <c r="AH173" s="36" t="str">
        <f t="shared" si="711"/>
        <v/>
      </c>
      <c r="AI173" s="36" t="str">
        <f t="shared" si="711"/>
        <v/>
      </c>
      <c r="AJ173" s="36" t="str">
        <f t="shared" si="711"/>
        <v/>
      </c>
      <c r="AK173" s="36" t="str">
        <f t="shared" si="711"/>
        <v/>
      </c>
      <c r="AL173" s="36" t="str">
        <f t="shared" si="711"/>
        <v/>
      </c>
      <c r="AM173" s="36" t="str">
        <f t="shared" si="711"/>
        <v/>
      </c>
      <c r="AN173" s="36" t="str">
        <f t="shared" si="711"/>
        <v/>
      </c>
      <c r="AO173" s="36" t="str">
        <f t="shared" si="711"/>
        <v/>
      </c>
      <c r="AP173" s="36" t="str">
        <f t="shared" si="711"/>
        <v/>
      </c>
      <c r="AQ173" s="36" t="str">
        <f t="shared" si="711"/>
        <v/>
      </c>
      <c r="AR173" s="36" t="str">
        <f t="shared" si="711"/>
        <v/>
      </c>
      <c r="AS173" s="36" t="str">
        <f t="shared" si="711"/>
        <v/>
      </c>
      <c r="AT173" s="36" t="str">
        <f t="shared" si="711"/>
        <v/>
      </c>
      <c r="AU173" s="36" t="str">
        <f t="shared" si="711"/>
        <v/>
      </c>
      <c r="AV173" s="36" t="str">
        <f t="shared" si="711"/>
        <v/>
      </c>
      <c r="AW173" s="36" t="str">
        <f t="shared" si="711"/>
        <v/>
      </c>
      <c r="AX173" s="36" t="str">
        <f t="shared" si="711"/>
        <v/>
      </c>
      <c r="AY173" s="36" t="str">
        <f t="shared" si="711"/>
        <v/>
      </c>
      <c r="AZ173" s="36" t="str">
        <f t="shared" si="711"/>
        <v/>
      </c>
      <c r="BA173" s="36" t="str">
        <f t="shared" si="711"/>
        <v/>
      </c>
      <c r="BB173" s="36" t="str">
        <f t="shared" si="711"/>
        <v/>
      </c>
      <c r="BC173" s="36" t="str">
        <f t="shared" si="711"/>
        <v/>
      </c>
      <c r="BD173" s="36" t="str">
        <f t="shared" si="711"/>
        <v/>
      </c>
      <c r="BE173" s="36" t="str">
        <f t="shared" si="711"/>
        <v/>
      </c>
      <c r="BF173" s="36" t="str">
        <f t="shared" si="711"/>
        <v/>
      </c>
      <c r="BG173" s="36" t="str">
        <f t="shared" si="711"/>
        <v/>
      </c>
      <c r="BH173" s="36" t="str">
        <f t="shared" si="711"/>
        <v/>
      </c>
      <c r="BI173" s="36" t="str">
        <f t="shared" si="711"/>
        <v/>
      </c>
      <c r="BJ173" s="36" t="str">
        <f t="shared" si="711"/>
        <v/>
      </c>
      <c r="BK173" s="36" t="str">
        <f t="shared" si="711"/>
        <v/>
      </c>
      <c r="BL173" s="36" t="str">
        <f t="shared" si="711"/>
        <v/>
      </c>
      <c r="BM173" s="36" t="str">
        <f t="shared" si="711"/>
        <v/>
      </c>
      <c r="BN173" s="36" t="str">
        <f t="shared" si="711"/>
        <v/>
      </c>
      <c r="BO173" s="36" t="str">
        <f t="shared" si="711"/>
        <v/>
      </c>
      <c r="BP173" s="36" t="str">
        <f t="shared" si="711"/>
        <v/>
      </c>
      <c r="BQ173" s="36" t="str">
        <f t="shared" ref="BQ173:CZ173" si="712">IF(BQ$11="","",BQ$13)</f>
        <v/>
      </c>
      <c r="BR173" s="36" t="str">
        <f t="shared" si="712"/>
        <v/>
      </c>
      <c r="BS173" s="36" t="str">
        <f t="shared" si="712"/>
        <v/>
      </c>
      <c r="BT173" s="36" t="str">
        <f t="shared" si="712"/>
        <v/>
      </c>
      <c r="BU173" s="36" t="str">
        <f t="shared" si="712"/>
        <v/>
      </c>
      <c r="BV173" s="36" t="str">
        <f t="shared" si="712"/>
        <v/>
      </c>
      <c r="BW173" s="36" t="str">
        <f t="shared" si="712"/>
        <v/>
      </c>
      <c r="BX173" s="36" t="str">
        <f t="shared" si="712"/>
        <v/>
      </c>
      <c r="BY173" s="36" t="str">
        <f t="shared" si="712"/>
        <v/>
      </c>
      <c r="BZ173" s="36" t="str">
        <f t="shared" si="712"/>
        <v/>
      </c>
      <c r="CA173" s="36" t="str">
        <f t="shared" si="712"/>
        <v/>
      </c>
      <c r="CB173" s="36" t="str">
        <f t="shared" si="712"/>
        <v/>
      </c>
      <c r="CC173" s="36" t="str">
        <f t="shared" si="712"/>
        <v/>
      </c>
      <c r="CD173" s="36" t="str">
        <f t="shared" si="712"/>
        <v/>
      </c>
      <c r="CE173" s="36" t="str">
        <f t="shared" si="712"/>
        <v/>
      </c>
      <c r="CF173" s="36" t="str">
        <f t="shared" si="712"/>
        <v/>
      </c>
      <c r="CG173" s="36" t="str">
        <f t="shared" si="712"/>
        <v/>
      </c>
      <c r="CH173" s="36" t="str">
        <f t="shared" si="712"/>
        <v/>
      </c>
      <c r="CI173" s="36" t="str">
        <f t="shared" si="712"/>
        <v/>
      </c>
      <c r="CJ173" s="36" t="str">
        <f t="shared" si="712"/>
        <v/>
      </c>
      <c r="CK173" s="36" t="str">
        <f t="shared" si="712"/>
        <v/>
      </c>
      <c r="CL173" s="36" t="str">
        <f t="shared" si="712"/>
        <v/>
      </c>
      <c r="CM173" s="36" t="str">
        <f t="shared" si="712"/>
        <v/>
      </c>
      <c r="CN173" s="36" t="str">
        <f t="shared" si="712"/>
        <v/>
      </c>
      <c r="CO173" s="36" t="str">
        <f t="shared" si="712"/>
        <v/>
      </c>
      <c r="CP173" s="36" t="str">
        <f t="shared" si="712"/>
        <v/>
      </c>
      <c r="CQ173" s="36" t="str">
        <f t="shared" si="712"/>
        <v/>
      </c>
      <c r="CR173" s="36" t="str">
        <f t="shared" si="712"/>
        <v/>
      </c>
      <c r="CS173" s="36" t="str">
        <f t="shared" si="712"/>
        <v/>
      </c>
      <c r="CT173" s="36" t="str">
        <f t="shared" si="712"/>
        <v/>
      </c>
      <c r="CU173" s="36" t="str">
        <f t="shared" si="712"/>
        <v/>
      </c>
      <c r="CV173" s="36" t="str">
        <f t="shared" si="712"/>
        <v/>
      </c>
      <c r="CW173" s="36" t="str">
        <f t="shared" si="712"/>
        <v/>
      </c>
      <c r="CX173" s="36" t="str">
        <f t="shared" si="712"/>
        <v/>
      </c>
      <c r="CY173" s="36" t="str">
        <f t="shared" si="712"/>
        <v/>
      </c>
      <c r="CZ173" s="36" t="str">
        <f t="shared" si="712"/>
        <v/>
      </c>
    </row>
    <row r="174" spans="1:104" ht="13.5" customHeight="1">
      <c r="A174" s="27"/>
      <c r="B174" s="33">
        <f t="shared" si="639"/>
        <v>174</v>
      </c>
      <c r="C174" s="39" t="s">
        <v>463</v>
      </c>
      <c r="D174" s="36">
        <f ca="1">IF(D$11="","",D$14)</f>
        <v>4</v>
      </c>
      <c r="E174" s="36">
        <f t="shared" ref="E174:BP174" ca="1" si="713">IF(E$11="","",E$14)</f>
        <v>4</v>
      </c>
      <c r="F174" s="36">
        <f t="shared" ca="1" si="713"/>
        <v>2</v>
      </c>
      <c r="G174" s="36">
        <f t="shared" ca="1" si="713"/>
        <v>3</v>
      </c>
      <c r="H174" s="36">
        <f t="shared" ca="1" si="713"/>
        <v>4</v>
      </c>
      <c r="I174" s="36">
        <f t="shared" ca="1" si="713"/>
        <v>1</v>
      </c>
      <c r="J174" s="36">
        <f ca="1">IFERROR(IF(J$11="","",J$14),$M$1)</f>
        <v>2</v>
      </c>
      <c r="K174" s="36">
        <f t="shared" ca="1" si="713"/>
        <v>3</v>
      </c>
      <c r="L174" s="36">
        <f t="shared" ca="1" si="713"/>
        <v>4</v>
      </c>
      <c r="M174" s="36">
        <f t="shared" ca="1" si="713"/>
        <v>1</v>
      </c>
      <c r="N174" s="36" t="str">
        <f t="shared" ca="1" si="713"/>
        <v>-</v>
      </c>
      <c r="O174" s="36" t="str">
        <f t="shared" ca="1" si="713"/>
        <v>9/1/2012</v>
      </c>
      <c r="P174" s="36" t="str">
        <f t="shared" ca="1" si="713"/>
        <v>Stub</v>
      </c>
      <c r="Q174" s="36" t="str">
        <f t="shared" ca="1" si="713"/>
        <v>Stub</v>
      </c>
      <c r="R174" s="36" t="str">
        <f t="shared" si="713"/>
        <v/>
      </c>
      <c r="S174" s="36" t="str">
        <f t="shared" si="713"/>
        <v/>
      </c>
      <c r="T174" s="36" t="str">
        <f t="shared" si="713"/>
        <v/>
      </c>
      <c r="U174" s="36" t="str">
        <f t="shared" si="713"/>
        <v/>
      </c>
      <c r="V174" s="36" t="str">
        <f t="shared" si="713"/>
        <v/>
      </c>
      <c r="W174" s="36" t="str">
        <f t="shared" si="713"/>
        <v/>
      </c>
      <c r="X174" s="36" t="str">
        <f t="shared" si="713"/>
        <v/>
      </c>
      <c r="Y174" s="36" t="str">
        <f t="shared" si="713"/>
        <v/>
      </c>
      <c r="Z174" s="36" t="str">
        <f t="shared" si="713"/>
        <v/>
      </c>
      <c r="AA174" s="36" t="str">
        <f t="shared" si="713"/>
        <v/>
      </c>
      <c r="AB174" s="36" t="str">
        <f t="shared" si="713"/>
        <v/>
      </c>
      <c r="AC174" s="36" t="str">
        <f t="shared" si="713"/>
        <v/>
      </c>
      <c r="AD174" s="36" t="str">
        <f t="shared" si="713"/>
        <v/>
      </c>
      <c r="AE174" s="36" t="str">
        <f t="shared" si="713"/>
        <v/>
      </c>
      <c r="AF174" s="36" t="str">
        <f t="shared" si="713"/>
        <v/>
      </c>
      <c r="AG174" s="36" t="str">
        <f t="shared" si="713"/>
        <v/>
      </c>
      <c r="AH174" s="36" t="str">
        <f t="shared" si="713"/>
        <v/>
      </c>
      <c r="AI174" s="36" t="str">
        <f t="shared" si="713"/>
        <v/>
      </c>
      <c r="AJ174" s="36" t="str">
        <f t="shared" si="713"/>
        <v/>
      </c>
      <c r="AK174" s="36" t="str">
        <f t="shared" si="713"/>
        <v/>
      </c>
      <c r="AL174" s="36" t="str">
        <f t="shared" si="713"/>
        <v/>
      </c>
      <c r="AM174" s="36" t="str">
        <f t="shared" si="713"/>
        <v/>
      </c>
      <c r="AN174" s="36" t="str">
        <f t="shared" si="713"/>
        <v/>
      </c>
      <c r="AO174" s="36" t="str">
        <f t="shared" si="713"/>
        <v/>
      </c>
      <c r="AP174" s="36" t="str">
        <f t="shared" si="713"/>
        <v/>
      </c>
      <c r="AQ174" s="36" t="str">
        <f t="shared" si="713"/>
        <v/>
      </c>
      <c r="AR174" s="36" t="str">
        <f t="shared" si="713"/>
        <v/>
      </c>
      <c r="AS174" s="36" t="str">
        <f t="shared" si="713"/>
        <v/>
      </c>
      <c r="AT174" s="36" t="str">
        <f t="shared" si="713"/>
        <v/>
      </c>
      <c r="AU174" s="36" t="str">
        <f t="shared" si="713"/>
        <v/>
      </c>
      <c r="AV174" s="36" t="str">
        <f t="shared" si="713"/>
        <v/>
      </c>
      <c r="AW174" s="36" t="str">
        <f t="shared" si="713"/>
        <v/>
      </c>
      <c r="AX174" s="36" t="str">
        <f t="shared" si="713"/>
        <v/>
      </c>
      <c r="AY174" s="36" t="str">
        <f t="shared" si="713"/>
        <v/>
      </c>
      <c r="AZ174" s="36" t="str">
        <f t="shared" si="713"/>
        <v/>
      </c>
      <c r="BA174" s="36" t="str">
        <f t="shared" si="713"/>
        <v/>
      </c>
      <c r="BB174" s="36" t="str">
        <f t="shared" si="713"/>
        <v/>
      </c>
      <c r="BC174" s="36" t="str">
        <f t="shared" si="713"/>
        <v/>
      </c>
      <c r="BD174" s="36" t="str">
        <f t="shared" si="713"/>
        <v/>
      </c>
      <c r="BE174" s="36" t="str">
        <f t="shared" si="713"/>
        <v/>
      </c>
      <c r="BF174" s="36" t="str">
        <f t="shared" si="713"/>
        <v/>
      </c>
      <c r="BG174" s="36" t="str">
        <f t="shared" si="713"/>
        <v/>
      </c>
      <c r="BH174" s="36" t="str">
        <f t="shared" si="713"/>
        <v/>
      </c>
      <c r="BI174" s="36" t="str">
        <f t="shared" si="713"/>
        <v/>
      </c>
      <c r="BJ174" s="36" t="str">
        <f t="shared" si="713"/>
        <v/>
      </c>
      <c r="BK174" s="36" t="str">
        <f t="shared" si="713"/>
        <v/>
      </c>
      <c r="BL174" s="36" t="str">
        <f t="shared" si="713"/>
        <v/>
      </c>
      <c r="BM174" s="36" t="str">
        <f t="shared" si="713"/>
        <v/>
      </c>
      <c r="BN174" s="36" t="str">
        <f t="shared" si="713"/>
        <v/>
      </c>
      <c r="BO174" s="36" t="str">
        <f t="shared" si="713"/>
        <v/>
      </c>
      <c r="BP174" s="36" t="str">
        <f t="shared" si="713"/>
        <v/>
      </c>
      <c r="BQ174" s="36" t="str">
        <f t="shared" ref="BQ174:CZ174" si="714">IF(BQ$11="","",BQ$14)</f>
        <v/>
      </c>
      <c r="BR174" s="36" t="str">
        <f t="shared" si="714"/>
        <v/>
      </c>
      <c r="BS174" s="36" t="str">
        <f t="shared" si="714"/>
        <v/>
      </c>
      <c r="BT174" s="36" t="str">
        <f t="shared" si="714"/>
        <v/>
      </c>
      <c r="BU174" s="36" t="str">
        <f t="shared" si="714"/>
        <v/>
      </c>
      <c r="BV174" s="36" t="str">
        <f t="shared" si="714"/>
        <v/>
      </c>
      <c r="BW174" s="36" t="str">
        <f t="shared" si="714"/>
        <v/>
      </c>
      <c r="BX174" s="36" t="str">
        <f t="shared" si="714"/>
        <v/>
      </c>
      <c r="BY174" s="36" t="str">
        <f t="shared" si="714"/>
        <v/>
      </c>
      <c r="BZ174" s="36" t="str">
        <f t="shared" si="714"/>
        <v/>
      </c>
      <c r="CA174" s="36" t="str">
        <f t="shared" si="714"/>
        <v/>
      </c>
      <c r="CB174" s="36" t="str">
        <f t="shared" si="714"/>
        <v/>
      </c>
      <c r="CC174" s="36" t="str">
        <f t="shared" si="714"/>
        <v/>
      </c>
      <c r="CD174" s="36" t="str">
        <f t="shared" si="714"/>
        <v/>
      </c>
      <c r="CE174" s="36" t="str">
        <f t="shared" si="714"/>
        <v/>
      </c>
      <c r="CF174" s="36" t="str">
        <f t="shared" si="714"/>
        <v/>
      </c>
      <c r="CG174" s="36" t="str">
        <f t="shared" si="714"/>
        <v/>
      </c>
      <c r="CH174" s="36" t="str">
        <f t="shared" si="714"/>
        <v/>
      </c>
      <c r="CI174" s="36" t="str">
        <f t="shared" si="714"/>
        <v/>
      </c>
      <c r="CJ174" s="36" t="str">
        <f t="shared" si="714"/>
        <v/>
      </c>
      <c r="CK174" s="36" t="str">
        <f t="shared" si="714"/>
        <v/>
      </c>
      <c r="CL174" s="36" t="str">
        <f t="shared" si="714"/>
        <v/>
      </c>
      <c r="CM174" s="36" t="str">
        <f t="shared" si="714"/>
        <v/>
      </c>
      <c r="CN174" s="36" t="str">
        <f t="shared" si="714"/>
        <v/>
      </c>
      <c r="CO174" s="36" t="str">
        <f t="shared" si="714"/>
        <v/>
      </c>
      <c r="CP174" s="36" t="str">
        <f t="shared" si="714"/>
        <v/>
      </c>
      <c r="CQ174" s="36" t="str">
        <f t="shared" si="714"/>
        <v/>
      </c>
      <c r="CR174" s="36" t="str">
        <f t="shared" si="714"/>
        <v/>
      </c>
      <c r="CS174" s="36" t="str">
        <f t="shared" si="714"/>
        <v/>
      </c>
      <c r="CT174" s="36" t="str">
        <f t="shared" si="714"/>
        <v/>
      </c>
      <c r="CU174" s="36" t="str">
        <f t="shared" si="714"/>
        <v/>
      </c>
      <c r="CV174" s="36" t="str">
        <f t="shared" si="714"/>
        <v/>
      </c>
      <c r="CW174" s="36" t="str">
        <f t="shared" si="714"/>
        <v/>
      </c>
      <c r="CX174" s="36" t="str">
        <f t="shared" si="714"/>
        <v/>
      </c>
      <c r="CY174" s="36" t="str">
        <f t="shared" si="714"/>
        <v/>
      </c>
      <c r="CZ174" s="36" t="str">
        <f t="shared" si="714"/>
        <v/>
      </c>
    </row>
    <row r="175" spans="1:104" ht="13.5" customHeight="1">
      <c r="A175" s="27"/>
      <c r="B175" s="33">
        <f t="shared" si="639"/>
        <v>175</v>
      </c>
      <c r="C175" s="10"/>
      <c r="D175" s="34"/>
      <c r="E175" s="34"/>
      <c r="F175" s="34"/>
      <c r="G175" s="34"/>
      <c r="H175" s="34"/>
      <c r="I175" s="34"/>
      <c r="J175" s="34"/>
      <c r="K175" s="34"/>
      <c r="L175" s="34"/>
      <c r="M175" s="34"/>
      <c r="N175" s="34"/>
      <c r="O175" s="34"/>
      <c r="P175" s="34"/>
      <c r="Q175" s="34"/>
      <c r="R175" s="34"/>
      <c r="S175" s="34"/>
      <c r="T175" s="34"/>
      <c r="U175" s="34"/>
      <c r="V175" s="34"/>
      <c r="W175" s="34"/>
      <c r="X175" s="34"/>
      <c r="Y175" s="34"/>
      <c r="Z175" s="34"/>
      <c r="AA175" s="34"/>
      <c r="AB175" s="34"/>
      <c r="AC175" s="34"/>
      <c r="AD175" s="34"/>
      <c r="AE175" s="34"/>
      <c r="AF175" s="34"/>
      <c r="AG175" s="34"/>
      <c r="AH175" s="34"/>
      <c r="AI175" s="34"/>
      <c r="AJ175" s="34"/>
      <c r="AK175" s="34"/>
      <c r="AL175" s="34"/>
      <c r="AM175" s="34"/>
      <c r="AN175" s="34"/>
      <c r="AO175" s="34"/>
      <c r="AP175" s="34"/>
      <c r="AQ175" s="34"/>
      <c r="AR175" s="34"/>
      <c r="AS175" s="34"/>
      <c r="AT175" s="34"/>
      <c r="AU175" s="34"/>
      <c r="AV175" s="34"/>
      <c r="AW175" s="34"/>
      <c r="AX175" s="34"/>
      <c r="AY175" s="34"/>
      <c r="AZ175" s="34"/>
      <c r="BA175" s="34"/>
      <c r="BB175" s="34"/>
      <c r="BC175" s="34"/>
      <c r="BD175" s="34"/>
      <c r="BE175" s="34"/>
      <c r="BF175" s="34"/>
      <c r="BG175" s="34"/>
      <c r="BH175" s="34"/>
      <c r="BI175" s="34"/>
      <c r="BJ175" s="34"/>
      <c r="BK175" s="34"/>
      <c r="BL175" s="34"/>
      <c r="BM175" s="34"/>
      <c r="BN175" s="34"/>
      <c r="BO175" s="34"/>
      <c r="BP175" s="34"/>
      <c r="BQ175" s="34"/>
      <c r="BR175" s="34"/>
      <c r="BS175" s="34"/>
      <c r="BT175" s="34"/>
      <c r="BU175" s="34"/>
      <c r="BV175" s="34"/>
      <c r="BW175" s="34"/>
      <c r="BX175" s="34"/>
      <c r="BY175" s="34"/>
      <c r="BZ175" s="34"/>
      <c r="CA175" s="34"/>
      <c r="CB175" s="34"/>
      <c r="CC175" s="34"/>
      <c r="CD175" s="34"/>
      <c r="CE175" s="34"/>
      <c r="CF175" s="34"/>
      <c r="CG175" s="34"/>
      <c r="CH175" s="34"/>
      <c r="CI175" s="34"/>
      <c r="CJ175" s="34"/>
      <c r="CK175" s="34"/>
      <c r="CL175" s="34"/>
      <c r="CM175" s="34"/>
      <c r="CN175" s="34"/>
      <c r="CO175" s="34"/>
      <c r="CP175" s="34"/>
      <c r="CQ175" s="34"/>
      <c r="CR175" s="34"/>
      <c r="CS175" s="34"/>
      <c r="CT175" s="34"/>
      <c r="CU175" s="34"/>
      <c r="CV175" s="34"/>
      <c r="CW175" s="34"/>
      <c r="CX175" s="34"/>
      <c r="CY175" s="34"/>
      <c r="CZ175" s="34"/>
    </row>
    <row r="176" spans="1:104" ht="13.5" customHeight="1">
      <c r="A176" s="28">
        <v>156</v>
      </c>
      <c r="B176" s="33">
        <f t="shared" si="639"/>
        <v>176</v>
      </c>
      <c r="C176" s="8" t="s">
        <v>427</v>
      </c>
      <c r="D176" s="23">
        <f t="shared" ref="D176:D179" ca="1" si="715">IF(D$11="","",IF(D$13=$M$5,CHOOSE($Q$6+1,$M$1,E176+F176-G176),IF(D$13=$M$6,CHOOSE($Q$6+1,$M$1,OFFSET($A176,,$P$7-1)),IF(D$13=$M$7,CHOOSE($Q$6+1,$M$1,SUM(OFFSET($A$11,$B176-$O$5,$O$6,1,-$P$6))),IF(D$13=$M$8,CHOOSE($Q$6+1,$M$1,SUM(OFFSET($A$11,$B176-$O$5,$O$7,1,-$P$6))),IF(D$11&lt;$D$7,OFFSET(INDIRECT($D$3),$A176-1,$Q$3+D$11),OFFSET(INDIRECT($D$4),$A176-1,$Q$4+D$11)))))))</f>
        <v>25922</v>
      </c>
      <c r="E176" s="23">
        <f t="shared" ref="E176:E179" ca="1" si="716">IF(E$11="","",IF(E$13=$M$5,CHOOSE($Q$6+1,$M$1,F176+G176-H176),IF(E$13=$M$6,CHOOSE($Q$6+1,$M$1,OFFSET($A176,,$P$7-1)),IF(E$13=$M$7,CHOOSE($Q$6+1,$M$1,SUM(OFFSET($A$11,$B176-$O$5,$O$6,1,-$P$6))),IF(E$13=$M$8,CHOOSE($Q$6+1,$M$1,SUM(OFFSET($A$11,$B176-$O$5,$O$7,1,-$P$6))),IF(E$11&lt;$D$7,OFFSET(INDIRECT($D$3),$A176-1,$Q$3+E$11),OFFSET(INDIRECT($D$4),$A176-1,$Q$4+E$11)))))))</f>
        <v>41733</v>
      </c>
      <c r="F176" s="23">
        <f t="shared" ref="F176:F179" ca="1" si="717">IF(F$11="","",IF(F$13=$M$5,CHOOSE($Q$6+1,$M$1,G176+H176-I176),IF(F$13=$M$6,CHOOSE($Q$6+1,$M$1,OFFSET($A176,,$P$7-1)),IF(F$13=$M$7,CHOOSE($Q$6+1,$M$1,SUM(OFFSET($A$11,$B176-$O$5,$O$6,1,-$P$6))),IF(F$13=$M$8,CHOOSE($Q$6+1,$M$1,SUM(OFFSET($A$11,$B176-$O$5,$O$7,1,-$P$6))),IF(F$11&lt;$D$7,OFFSET(INDIRECT($D$3),$A176-1,$Q$3+F$11),OFFSET(INDIRECT($D$4),$A176-1,$Q$4+F$11)))))))</f>
        <v>11991</v>
      </c>
      <c r="G176" s="23">
        <f t="shared" ref="G176:G179" ca="1" si="718">IF(G$11="","",IF(G$13=$M$5,CHOOSE($Q$6+1,$M$1,H176+I176-J176),IF(G$13=$M$6,CHOOSE($Q$6+1,$M$1,OFFSET($A176,,$P$7-1)),IF(G$13=$M$7,CHOOSE($Q$6+1,$M$1,SUM(OFFSET($A$11,$B176-$O$5,$O$6,1,-$P$6))),IF(G$13=$M$8,CHOOSE($Q$6+1,$M$1,SUM(OFFSET($A$11,$B176-$O$5,$O$7,1,-$P$6))),IF(G$11&lt;$D$7,OFFSET(INDIRECT($D$3),$A176-1,$Q$3+G$11),OFFSET(INDIRECT($D$4),$A176-1,$Q$4+G$11)))))))</f>
        <v>19299</v>
      </c>
      <c r="H176" s="23">
        <f t="shared" ref="H176:H179" ca="1" si="719">IF(H$11="","",IF(H$13=$M$5,CHOOSE($Q$6+1,$M$1,I176+J176-K176),IF(H$13=$M$6,CHOOSE($Q$6+1,$M$1,OFFSET($A176,,$P$7-1)),IF(H$13=$M$7,CHOOSE($Q$6+1,$M$1,SUM(OFFSET($A$11,$B176-$O$5,$O$6,1,-$P$6))),IF(H$13=$M$8,CHOOSE($Q$6+1,$M$1,SUM(OFFSET($A$11,$B176-$O$5,$O$7,1,-$P$6))),IF(H$11&lt;$D$7,OFFSET(INDIRECT($D$3),$A176-1,$Q$3+H$11),OFFSET(INDIRECT($D$4),$A176-1,$Q$4+H$11)))))))</f>
        <v>25922</v>
      </c>
      <c r="I176" s="23">
        <f t="shared" ref="I176:I179" ca="1" si="720">IF(I$11="","",IF(I$13=$M$5,CHOOSE($Q$6+1,$M$1,J176+K176-L176),IF(I$13=$M$6,CHOOSE($Q$6+1,$M$1,OFFSET($A176,,$P$7-1)),IF(I$13=$M$7,CHOOSE($Q$6+1,$M$1,SUM(OFFSET($A$11,$B176-$O$5,$O$6,1,-$P$6))),IF(I$13=$M$8,CHOOSE($Q$6+1,$M$1,SUM(OFFSET($A$11,$B176-$O$5,$O$7,1,-$P$6))),IF(I$11&lt;$D$7,OFFSET(INDIRECT($D$3),$A176-1,$Q$3+I$11),OFFSET(INDIRECT($D$4),$A176-1,$Q$4+I$11)))))))</f>
        <v>13064</v>
      </c>
      <c r="J176" s="23">
        <f t="shared" ref="J176:J179" ca="1" si="721">IF(J$11="","",IF(J$13=$M$5,CHOOSE($Q$6+1,$M$1,K176+L176-M176),IF(J$13=$M$6,CHOOSE($Q$6+1,$M$1,OFFSET($A176,,$P$7-1)),IF(J$13=$M$7,CHOOSE($Q$6+1,$M$1,SUM(OFFSET($A$11,$B176-$O$5,$O$6,1,-$P$6))),IF(J$13=$M$8,CHOOSE($Q$6+1,$M$1,SUM(OFFSET($A$11,$B176-$O$5,$O$7,1,-$P$6))),IF(J$11&lt;$D$7,OFFSET(INDIRECT($D$3),$A176-1,$Q$3+J$11),OFFSET(INDIRECT($D$4),$A176-1,$Q$4+J$11)))))))</f>
        <v>24686</v>
      </c>
      <c r="K176" s="23">
        <f t="shared" ref="K176:K179" ca="1" si="722">IF(K$11="","",IF(K$13=$M$5,CHOOSE($Q$6+1,$M$1,L176+M176-N176),IF(K$13=$M$6,CHOOSE($Q$6+1,$M$1,OFFSET($A176,,$P$7-1)),IF(K$13=$M$7,CHOOSE($Q$6+1,$M$1,SUM(OFFSET($A$11,$B176-$O$5,$O$6,1,-$P$6))),IF(K$13=$M$8,CHOOSE($Q$6+1,$M$1,SUM(OFFSET($A$11,$B176-$O$5,$O$7,1,-$P$6))),IF(K$11&lt;$D$7,OFFSET(INDIRECT($D$3),$A176-1,$Q$3+K$11),OFFSET(INDIRECT($D$4),$A176-1,$Q$4+K$11)))))))</f>
        <v>33510</v>
      </c>
      <c r="L176" s="23">
        <f t="shared" ref="L176:L179" ca="1" si="723">IF(L$11="","",IF(L$13=$M$5,CHOOSE($Q$6+1,$M$1,M176+N176-O176),IF(L$13=$M$6,CHOOSE($Q$6+1,$M$1,OFFSET($A176,,$P$7-1)),IF(L$13=$M$7,CHOOSE($Q$6+1,$M$1,SUM(OFFSET($A$11,$B176-$O$5,$O$6,1,-$P$6))),IF(L$13=$M$8,CHOOSE($Q$6+1,$M$1,SUM(OFFSET($A$11,$B176-$O$5,$O$7,1,-$P$6))),IF(L$11&lt;$D$7,OFFSET(INDIRECT($D$3),$A176-1,$Q$3+L$11),OFFSET(INDIRECT($D$4),$A176-1,$Q$4+L$11)))))))</f>
        <v>41733</v>
      </c>
      <c r="M176" s="23">
        <f t="shared" ref="M176:M179" ca="1" si="724">IF(M$11="","",IF(M$13=$M$5,CHOOSE($Q$6+1,$M$1,N176+O176-P176),IF(M$13=$M$6,CHOOSE($Q$6+1,$M$1,OFFSET($A176,,$P$7-1)),IF(M$13=$M$7,CHOOSE($Q$6+1,$M$1,SUM(OFFSET($A$11,$B176-$O$5,$O$6,1,-$P$6))),IF(M$13=$M$8,CHOOSE($Q$6+1,$M$1,SUM(OFFSET($A$11,$B176-$O$5,$O$7,1,-$P$6))),IF(M$11&lt;$D$7,OFFSET(INDIRECT($D$3),$A176-1,$Q$3+M$11),OFFSET(INDIRECT($D$4),$A176-1,$Q$4+M$11)))))))</f>
        <v>13078</v>
      </c>
      <c r="N176" s="23">
        <f t="shared" ref="N176:N179" ca="1" si="725">IF(N$11="","",IF(N$13=$M$5,CHOOSE($Q$6+1,$M$1,O176+P176-Q176),IF(N$13=$M$6,CHOOSE($Q$6+1,$M$1,OFFSET($A176,,$P$7-1)),IF(N$13=$M$7,CHOOSE($Q$6+1,$M$1,SUM(OFFSET($A$11,$B176-$O$5,$O$6,1,-$P$6))),IF(N$13=$M$8,CHOOSE($Q$6+1,$M$1,SUM(OFFSET($A$11,$B176-$O$5,$O$7,1,-$P$6))),IF(N$11&lt;$D$7,OFFSET(INDIRECT($D$3),$A176-1,$Q$3+N$11),OFFSET(INDIRECT($D$4),$A176-1,$Q$4+N$11)))))))</f>
        <v>41747</v>
      </c>
      <c r="O176" s="23">
        <f t="shared" ref="O176:O179" ca="1" si="726">IF(O$11="","",IF(O$13=$M$5,CHOOSE($Q$6+1,$M$1,P176+Q176-R176),IF(O$13=$M$6,CHOOSE($Q$6+1,$M$1,OFFSET($A176,,$P$7-1)),IF(O$13=$M$7,CHOOSE($Q$6+1,$M$1,SUM(OFFSET($A$11,$B176-$O$5,$O$6,1,-$P$6))),IF(O$13=$M$8,CHOOSE($Q$6+1,$M$1,SUM(OFFSET($A$11,$B176-$O$5,$O$7,1,-$P$6))),IF(O$11&lt;$D$7,OFFSET(INDIRECT($D$3),$A176-1,$Q$3+O$11),OFFSET(INDIRECT($D$4),$A176-1,$Q$4+O$11)))))))</f>
        <v>41733</v>
      </c>
      <c r="P176" s="23">
        <f t="shared" ref="P176:P179" ca="1" si="727">IF(P$11="","",IF(P$13=$M$5,CHOOSE($Q$6+1,$M$1,Q176+R176-S176),IF(P$13=$M$6,CHOOSE($Q$6+1,$M$1,OFFSET($A176,,$P$7-1)),IF(P$13=$M$7,CHOOSE($Q$6+1,$M$1,SUM(OFFSET($A$11,$B176-$O$5,$O$6,1,-$P$6))),IF(P$13=$M$8,CHOOSE($Q$6+1,$M$1,SUM(OFFSET($A$11,$B176-$O$5,$O$7,1,-$P$6))),IF(P$11&lt;$D$7,OFFSET(INDIRECT($D$3),$A176-1,$Q$3+P$11),OFFSET(INDIRECT($D$4),$A176-1,$Q$4+P$11)))))))</f>
        <v>13078</v>
      </c>
      <c r="Q176" s="23">
        <f t="shared" ref="Q176:Q179" ca="1" si="728">IF(Q$11="","",IF(Q$13=$M$5,CHOOSE($Q$6+1,$M$1,R176+S176-T176),IF(Q$13=$M$6,CHOOSE($Q$6+1,$M$1,OFFSET($A176,,$P$7-1)),IF(Q$13=$M$7,CHOOSE($Q$6+1,$M$1,SUM(OFFSET($A$11,$B176-$O$5,$O$6,1,-$P$6))),IF(Q$13=$M$8,CHOOSE($Q$6+1,$M$1,SUM(OFFSET($A$11,$B176-$O$5,$O$7,1,-$P$6))),IF(Q$11&lt;$D$7,OFFSET(INDIRECT($D$3),$A176-1,$Q$3+Q$11),OFFSET(INDIRECT($D$4),$A176-1,$Q$4+Q$11)))))))</f>
        <v>13064</v>
      </c>
      <c r="R176" s="23" t="str">
        <f t="shared" ref="R176:R179" ca="1" si="729">IF(R$11="","",IF(R$13=$M$5,CHOOSE($Q$6+1,$M$1,S176+T176-U176),IF(R$13=$M$6,CHOOSE($Q$6+1,$M$1,OFFSET($A176,,$P$7-1)),IF(R$13=$M$7,CHOOSE($Q$6+1,$M$1,SUM(OFFSET($A$11,$B176-$O$5,$O$6,1,-$P$6))),IF(R$13=$M$8,CHOOSE($Q$6+1,$M$1,SUM(OFFSET($A$11,$B176-$O$5,$O$7,1,-$P$6))),IF(R$11&lt;$D$7,OFFSET(INDIRECT($D$3),$A176-1,$Q$3+R$11),OFFSET(INDIRECT($D$4),$A176-1,$Q$4+R$11)))))))</f>
        <v/>
      </c>
      <c r="S176" s="23" t="str">
        <f t="shared" ref="S176:S179" ca="1" si="730">IF(S$11="","",IF(S$13=$M$5,CHOOSE($Q$6+1,$M$1,T176+U176-V176),IF(S$13=$M$6,CHOOSE($Q$6+1,$M$1,OFFSET($A176,,$P$7-1)),IF(S$13=$M$7,CHOOSE($Q$6+1,$M$1,SUM(OFFSET($A$11,$B176-$O$5,$O$6,1,-$P$6))),IF(S$13=$M$8,CHOOSE($Q$6+1,$M$1,SUM(OFFSET($A$11,$B176-$O$5,$O$7,1,-$P$6))),IF(S$11&lt;$D$7,OFFSET(INDIRECT($D$3),$A176-1,$Q$3+S$11),OFFSET(INDIRECT($D$4),$A176-1,$Q$4+S$11)))))))</f>
        <v/>
      </c>
      <c r="T176" s="23" t="str">
        <f t="shared" ref="T176:T179" ca="1" si="731">IF(T$11="","",IF(T$13=$M$5,CHOOSE($Q$6+1,$M$1,U176+V176-W176),IF(T$13=$M$6,CHOOSE($Q$6+1,$M$1,OFFSET($A176,,$P$7-1)),IF(T$13=$M$7,CHOOSE($Q$6+1,$M$1,SUM(OFFSET($A$11,$B176-$O$5,$O$6,1,-$P$6))),IF(T$13=$M$8,CHOOSE($Q$6+1,$M$1,SUM(OFFSET($A$11,$B176-$O$5,$O$7,1,-$P$6))),IF(T$11&lt;$D$7,OFFSET(INDIRECT($D$3),$A176-1,$Q$3+T$11),OFFSET(INDIRECT($D$4),$A176-1,$Q$4+T$11)))))))</f>
        <v/>
      </c>
      <c r="U176" s="23" t="str">
        <f t="shared" ref="U176:U179" ca="1" si="732">IF(U$11="","",IF(U$13=$M$5,CHOOSE($Q$6+1,$M$1,V176+W176-X176),IF(U$13=$M$6,CHOOSE($Q$6+1,$M$1,OFFSET($A176,,$P$7-1)),IF(U$13=$M$7,CHOOSE($Q$6+1,$M$1,SUM(OFFSET($A$11,$B176-$O$5,$O$6,1,-$P$6))),IF(U$13=$M$8,CHOOSE($Q$6+1,$M$1,SUM(OFFSET($A$11,$B176-$O$5,$O$7,1,-$P$6))),IF(U$11&lt;$D$7,OFFSET(INDIRECT($D$3),$A176-1,$Q$3+U$11),OFFSET(INDIRECT($D$4),$A176-1,$Q$4+U$11)))))))</f>
        <v/>
      </c>
      <c r="V176" s="23" t="str">
        <f t="shared" ref="V176:V179" ca="1" si="733">IF(V$11="","",IF(V$13=$M$5,CHOOSE($Q$6+1,$M$1,W176+X176-Y176),IF(V$13=$M$6,CHOOSE($Q$6+1,$M$1,OFFSET($A176,,$P$7-1)),IF(V$13=$M$7,CHOOSE($Q$6+1,$M$1,SUM(OFFSET($A$11,$B176-$O$5,$O$6,1,-$P$6))),IF(V$13=$M$8,CHOOSE($Q$6+1,$M$1,SUM(OFFSET($A$11,$B176-$O$5,$O$7,1,-$P$6))),IF(V$11&lt;$D$7,OFFSET(INDIRECT($D$3),$A176-1,$Q$3+V$11),OFFSET(INDIRECT($D$4),$A176-1,$Q$4+V$11)))))))</f>
        <v/>
      </c>
      <c r="W176" s="23" t="str">
        <f t="shared" ref="W176:W179" ca="1" si="734">IF(W$11="","",IF(W$13=$M$5,CHOOSE($Q$6+1,$M$1,X176+Y176-Z176),IF(W$13=$M$6,CHOOSE($Q$6+1,$M$1,OFFSET($A176,,$P$7-1)),IF(W$13=$M$7,CHOOSE($Q$6+1,$M$1,SUM(OFFSET($A$11,$B176-$O$5,$O$6,1,-$P$6))),IF(W$13=$M$8,CHOOSE($Q$6+1,$M$1,SUM(OFFSET($A$11,$B176-$O$5,$O$7,1,-$P$6))),IF(W$11&lt;$D$7,OFFSET(INDIRECT($D$3),$A176-1,$Q$3+W$11),OFFSET(INDIRECT($D$4),$A176-1,$Q$4+W$11)))))))</f>
        <v/>
      </c>
      <c r="X176" s="23" t="str">
        <f t="shared" ref="X176:X179" ca="1" si="735">IF(X$11="","",IF(X$13=$M$5,CHOOSE($Q$6+1,$M$1,Y176+Z176-AA176),IF(X$13=$M$6,CHOOSE($Q$6+1,$M$1,OFFSET($A176,,$P$7-1)),IF(X$13=$M$7,CHOOSE($Q$6+1,$M$1,SUM(OFFSET($A$11,$B176-$O$5,$O$6,1,-$P$6))),IF(X$13=$M$8,CHOOSE($Q$6+1,$M$1,SUM(OFFSET($A$11,$B176-$O$5,$O$7,1,-$P$6))),IF(X$11&lt;$D$7,OFFSET(INDIRECT($D$3),$A176-1,$Q$3+X$11),OFFSET(INDIRECT($D$4),$A176-1,$Q$4+X$11)))))))</f>
        <v/>
      </c>
      <c r="Y176" s="23" t="str">
        <f t="shared" ref="Y176:Y179" ca="1" si="736">IF(Y$11="","",IF(Y$13=$M$5,CHOOSE($Q$6+1,$M$1,Z176+AA176-AB176),IF(Y$13=$M$6,CHOOSE($Q$6+1,$M$1,OFFSET($A176,,$P$7-1)),IF(Y$13=$M$7,CHOOSE($Q$6+1,$M$1,SUM(OFFSET($A$11,$B176-$O$5,$O$6,1,-$P$6))),IF(Y$13=$M$8,CHOOSE($Q$6+1,$M$1,SUM(OFFSET($A$11,$B176-$O$5,$O$7,1,-$P$6))),IF(Y$11&lt;$D$7,OFFSET(INDIRECT($D$3),$A176-1,$Q$3+Y$11),OFFSET(INDIRECT($D$4),$A176-1,$Q$4+Y$11)))))))</f>
        <v/>
      </c>
      <c r="Z176" s="23" t="str">
        <f t="shared" ref="Z176:Z179" ca="1" si="737">IF(Z$11="","",IF(Z$13=$M$5,CHOOSE($Q$6+1,$M$1,AA176+AB176-AC176),IF(Z$13=$M$6,CHOOSE($Q$6+1,$M$1,OFFSET($A176,,$P$7-1)),IF(Z$13=$M$7,CHOOSE($Q$6+1,$M$1,SUM(OFFSET($A$11,$B176-$O$5,$O$6,1,-$P$6))),IF(Z$13=$M$8,CHOOSE($Q$6+1,$M$1,SUM(OFFSET($A$11,$B176-$O$5,$O$7,1,-$P$6))),IF(Z$11&lt;$D$7,OFFSET(INDIRECT($D$3),$A176-1,$Q$3+Z$11),OFFSET(INDIRECT($D$4),$A176-1,$Q$4+Z$11)))))))</f>
        <v/>
      </c>
      <c r="AA176" s="23" t="str">
        <f t="shared" ref="AA176:AA179" ca="1" si="738">IF(AA$11="","",IF(AA$13=$M$5,CHOOSE($Q$6+1,$M$1,AB176+AC176-AD176),IF(AA$13=$M$6,CHOOSE($Q$6+1,$M$1,OFFSET($A176,,$P$7-1)),IF(AA$13=$M$7,CHOOSE($Q$6+1,$M$1,SUM(OFFSET($A$11,$B176-$O$5,$O$6,1,-$P$6))),IF(AA$13=$M$8,CHOOSE($Q$6+1,$M$1,SUM(OFFSET($A$11,$B176-$O$5,$O$7,1,-$P$6))),IF(AA$11&lt;$D$7,OFFSET(INDIRECT($D$3),$A176-1,$Q$3+AA$11),OFFSET(INDIRECT($D$4),$A176-1,$Q$4+AA$11)))))))</f>
        <v/>
      </c>
      <c r="AB176" s="23" t="str">
        <f t="shared" ref="AB176:AB179" ca="1" si="739">IF(AB$11="","",IF(AB$13=$M$5,CHOOSE($Q$6+1,$M$1,AC176+AD176-AE176),IF(AB$13=$M$6,CHOOSE($Q$6+1,$M$1,OFFSET($A176,,$P$7-1)),IF(AB$13=$M$7,CHOOSE($Q$6+1,$M$1,SUM(OFFSET($A$11,$B176-$O$5,$O$6,1,-$P$6))),IF(AB$13=$M$8,CHOOSE($Q$6+1,$M$1,SUM(OFFSET($A$11,$B176-$O$5,$O$7,1,-$P$6))),IF(AB$11&lt;$D$7,OFFSET(INDIRECT($D$3),$A176-1,$Q$3+AB$11),OFFSET(INDIRECT($D$4),$A176-1,$Q$4+AB$11)))))))</f>
        <v/>
      </c>
      <c r="AC176" s="23" t="str">
        <f t="shared" ref="AC176:AC179" ca="1" si="740">IF(AC$11="","",IF(AC$13=$M$5,CHOOSE($Q$6+1,$M$1,AD176+AE176-AF176),IF(AC$13=$M$6,CHOOSE($Q$6+1,$M$1,OFFSET($A176,,$P$7-1)),IF(AC$13=$M$7,CHOOSE($Q$6+1,$M$1,SUM(OFFSET($A$11,$B176-$O$5,$O$6,1,-$P$6))),IF(AC$13=$M$8,CHOOSE($Q$6+1,$M$1,SUM(OFFSET($A$11,$B176-$O$5,$O$7,1,-$P$6))),IF(AC$11&lt;$D$7,OFFSET(INDIRECT($D$3),$A176-1,$Q$3+AC$11),OFFSET(INDIRECT($D$4),$A176-1,$Q$4+AC$11)))))))</f>
        <v/>
      </c>
      <c r="AD176" s="23" t="str">
        <f t="shared" ref="AD176:AD179" ca="1" si="741">IF(AD$11="","",IF(AD$13=$M$5,CHOOSE($Q$6+1,$M$1,AE176+AF176-AG176),IF(AD$13=$M$6,CHOOSE($Q$6+1,$M$1,OFFSET($A176,,$P$7-1)),IF(AD$13=$M$7,CHOOSE($Q$6+1,$M$1,SUM(OFFSET($A$11,$B176-$O$5,$O$6,1,-$P$6))),IF(AD$13=$M$8,CHOOSE($Q$6+1,$M$1,SUM(OFFSET($A$11,$B176-$O$5,$O$7,1,-$P$6))),IF(AD$11&lt;$D$7,OFFSET(INDIRECT($D$3),$A176-1,$Q$3+AD$11),OFFSET(INDIRECT($D$4),$A176-1,$Q$4+AD$11)))))))</f>
        <v/>
      </c>
      <c r="AE176" s="23" t="str">
        <f t="shared" ref="AE176:AE179" ca="1" si="742">IF(AE$11="","",IF(AE$13=$M$5,CHOOSE($Q$6+1,$M$1,AF176+AG176-AH176),IF(AE$13=$M$6,CHOOSE($Q$6+1,$M$1,OFFSET($A176,,$P$7-1)),IF(AE$13=$M$7,CHOOSE($Q$6+1,$M$1,SUM(OFFSET($A$11,$B176-$O$5,$O$6,1,-$P$6))),IF(AE$13=$M$8,CHOOSE($Q$6+1,$M$1,SUM(OFFSET($A$11,$B176-$O$5,$O$7,1,-$P$6))),IF(AE$11&lt;$D$7,OFFSET(INDIRECT($D$3),$A176-1,$Q$3+AE$11),OFFSET(INDIRECT($D$4),$A176-1,$Q$4+AE$11)))))))</f>
        <v/>
      </c>
      <c r="AF176" s="23" t="str">
        <f t="shared" ref="AF176:AF179" ca="1" si="743">IF(AF$11="","",IF(AF$13=$M$5,CHOOSE($Q$6+1,$M$1,AG176+AH176-AI176),IF(AF$13=$M$6,CHOOSE($Q$6+1,$M$1,OFFSET($A176,,$P$7-1)),IF(AF$13=$M$7,CHOOSE($Q$6+1,$M$1,SUM(OFFSET($A$11,$B176-$O$5,$O$6,1,-$P$6))),IF(AF$13=$M$8,CHOOSE($Q$6+1,$M$1,SUM(OFFSET($A$11,$B176-$O$5,$O$7,1,-$P$6))),IF(AF$11&lt;$D$7,OFFSET(INDIRECT($D$3),$A176-1,$Q$3+AF$11),OFFSET(INDIRECT($D$4),$A176-1,$Q$4+AF$11)))))))</f>
        <v/>
      </c>
      <c r="AG176" s="23" t="str">
        <f t="shared" ref="AG176:AG179" ca="1" si="744">IF(AG$11="","",IF(AG$13=$M$5,CHOOSE($Q$6+1,$M$1,AH176+AI176-AJ176),IF(AG$13=$M$6,CHOOSE($Q$6+1,$M$1,OFFSET($A176,,$P$7-1)),IF(AG$13=$M$7,CHOOSE($Q$6+1,$M$1,SUM(OFFSET($A$11,$B176-$O$5,$O$6,1,-$P$6))),IF(AG$13=$M$8,CHOOSE($Q$6+1,$M$1,SUM(OFFSET($A$11,$B176-$O$5,$O$7,1,-$P$6))),IF(AG$11&lt;$D$7,OFFSET(INDIRECT($D$3),$A176-1,$Q$3+AG$11),OFFSET(INDIRECT($D$4),$A176-1,$Q$4+AG$11)))))))</f>
        <v/>
      </c>
      <c r="AH176" s="23" t="str">
        <f t="shared" ref="AH176:AH179" ca="1" si="745">IF(AH$11="","",IF(AH$13=$M$5,CHOOSE($Q$6+1,$M$1,AI176+AJ176-AK176),IF(AH$13=$M$6,CHOOSE($Q$6+1,$M$1,OFFSET($A176,,$P$7-1)),IF(AH$13=$M$7,CHOOSE($Q$6+1,$M$1,SUM(OFFSET($A$11,$B176-$O$5,$O$6,1,-$P$6))),IF(AH$13=$M$8,CHOOSE($Q$6+1,$M$1,SUM(OFFSET($A$11,$B176-$O$5,$O$7,1,-$P$6))),IF(AH$11&lt;$D$7,OFFSET(INDIRECT($D$3),$A176-1,$Q$3+AH$11),OFFSET(INDIRECT($D$4),$A176-1,$Q$4+AH$11)))))))</f>
        <v/>
      </c>
      <c r="AI176" s="23" t="str">
        <f t="shared" ref="AI176:AI179" ca="1" si="746">IF(AI$11="","",IF(AI$13=$M$5,CHOOSE($Q$6+1,$M$1,AJ176+AK176-AL176),IF(AI$13=$M$6,CHOOSE($Q$6+1,$M$1,OFFSET($A176,,$P$7-1)),IF(AI$13=$M$7,CHOOSE($Q$6+1,$M$1,SUM(OFFSET($A$11,$B176-$O$5,$O$6,1,-$P$6))),IF(AI$13=$M$8,CHOOSE($Q$6+1,$M$1,SUM(OFFSET($A$11,$B176-$O$5,$O$7,1,-$P$6))),IF(AI$11&lt;$D$7,OFFSET(INDIRECT($D$3),$A176-1,$Q$3+AI$11),OFFSET(INDIRECT($D$4),$A176-1,$Q$4+AI$11)))))))</f>
        <v/>
      </c>
      <c r="AJ176" s="23" t="str">
        <f t="shared" ref="AJ176:AJ179" ca="1" si="747">IF(AJ$11="","",IF(AJ$13=$M$5,CHOOSE($Q$6+1,$M$1,AK176+AL176-AM176),IF(AJ$13=$M$6,CHOOSE($Q$6+1,$M$1,OFFSET($A176,,$P$7-1)),IF(AJ$13=$M$7,CHOOSE($Q$6+1,$M$1,SUM(OFFSET($A$11,$B176-$O$5,$O$6,1,-$P$6))),IF(AJ$13=$M$8,CHOOSE($Q$6+1,$M$1,SUM(OFFSET($A$11,$B176-$O$5,$O$7,1,-$P$6))),IF(AJ$11&lt;$D$7,OFFSET(INDIRECT($D$3),$A176-1,$Q$3+AJ$11),OFFSET(INDIRECT($D$4),$A176-1,$Q$4+AJ$11)))))))</f>
        <v/>
      </c>
      <c r="AK176" s="23" t="str">
        <f t="shared" ref="AK176:AK179" ca="1" si="748">IF(AK$11="","",IF(AK$13=$M$5,CHOOSE($Q$6+1,$M$1,AL176+AM176-AN176),IF(AK$13=$M$6,CHOOSE($Q$6+1,$M$1,OFFSET($A176,,$P$7-1)),IF(AK$13=$M$7,CHOOSE($Q$6+1,$M$1,SUM(OFFSET($A$11,$B176-$O$5,$O$6,1,-$P$6))),IF(AK$13=$M$8,CHOOSE($Q$6+1,$M$1,SUM(OFFSET($A$11,$B176-$O$5,$O$7,1,-$P$6))),IF(AK$11&lt;$D$7,OFFSET(INDIRECT($D$3),$A176-1,$Q$3+AK$11),OFFSET(INDIRECT($D$4),$A176-1,$Q$4+AK$11)))))))</f>
        <v/>
      </c>
      <c r="AL176" s="23" t="str">
        <f t="shared" ref="AL176:AL179" ca="1" si="749">IF(AL$11="","",IF(AL$13=$M$5,CHOOSE($Q$6+1,$M$1,AM176+AN176-AO176),IF(AL$13=$M$6,CHOOSE($Q$6+1,$M$1,OFFSET($A176,,$P$7-1)),IF(AL$13=$M$7,CHOOSE($Q$6+1,$M$1,SUM(OFFSET($A$11,$B176-$O$5,$O$6,1,-$P$6))),IF(AL$13=$M$8,CHOOSE($Q$6+1,$M$1,SUM(OFFSET($A$11,$B176-$O$5,$O$7,1,-$P$6))),IF(AL$11&lt;$D$7,OFFSET(INDIRECT($D$3),$A176-1,$Q$3+AL$11),OFFSET(INDIRECT($D$4),$A176-1,$Q$4+AL$11)))))))</f>
        <v/>
      </c>
      <c r="AM176" s="23" t="str">
        <f t="shared" ref="AM176:AM179" ca="1" si="750">IF(AM$11="","",IF(AM$13=$M$5,CHOOSE($Q$6+1,$M$1,AN176+AO176-AP176),IF(AM$13=$M$6,CHOOSE($Q$6+1,$M$1,OFFSET($A176,,$P$7-1)),IF(AM$13=$M$7,CHOOSE($Q$6+1,$M$1,SUM(OFFSET($A$11,$B176-$O$5,$O$6,1,-$P$6))),IF(AM$13=$M$8,CHOOSE($Q$6+1,$M$1,SUM(OFFSET($A$11,$B176-$O$5,$O$7,1,-$P$6))),IF(AM$11&lt;$D$7,OFFSET(INDIRECT($D$3),$A176-1,$Q$3+AM$11),OFFSET(INDIRECT($D$4),$A176-1,$Q$4+AM$11)))))))</f>
        <v/>
      </c>
      <c r="AN176" s="23" t="str">
        <f t="shared" ref="AN176:AN179" ca="1" si="751">IF(AN$11="","",IF(AN$13=$M$5,CHOOSE($Q$6+1,$M$1,AO176+AP176-AQ176),IF(AN$13=$M$6,CHOOSE($Q$6+1,$M$1,OFFSET($A176,,$P$7-1)),IF(AN$13=$M$7,CHOOSE($Q$6+1,$M$1,SUM(OFFSET($A$11,$B176-$O$5,$O$6,1,-$P$6))),IF(AN$13=$M$8,CHOOSE($Q$6+1,$M$1,SUM(OFFSET($A$11,$B176-$O$5,$O$7,1,-$P$6))),IF(AN$11&lt;$D$7,OFFSET(INDIRECT($D$3),$A176-1,$Q$3+AN$11),OFFSET(INDIRECT($D$4),$A176-1,$Q$4+AN$11)))))))</f>
        <v/>
      </c>
      <c r="AO176" s="23" t="str">
        <f t="shared" ref="AO176:AO179" ca="1" si="752">IF(AO$11="","",IF(AO$13=$M$5,CHOOSE($Q$6+1,$M$1,AP176+AQ176-AR176),IF(AO$13=$M$6,CHOOSE($Q$6+1,$M$1,OFFSET($A176,,$P$7-1)),IF(AO$13=$M$7,CHOOSE($Q$6+1,$M$1,SUM(OFFSET($A$11,$B176-$O$5,$O$6,1,-$P$6))),IF(AO$13=$M$8,CHOOSE($Q$6+1,$M$1,SUM(OFFSET($A$11,$B176-$O$5,$O$7,1,-$P$6))),IF(AO$11&lt;$D$7,OFFSET(INDIRECT($D$3),$A176-1,$Q$3+AO$11),OFFSET(INDIRECT($D$4),$A176-1,$Q$4+AO$11)))))))</f>
        <v/>
      </c>
      <c r="AP176" s="23" t="str">
        <f t="shared" ref="AP176:AP179" ca="1" si="753">IF(AP$11="","",IF(AP$13=$M$5,CHOOSE($Q$6+1,$M$1,AQ176+AR176-AS176),IF(AP$13=$M$6,CHOOSE($Q$6+1,$M$1,OFFSET($A176,,$P$7-1)),IF(AP$13=$M$7,CHOOSE($Q$6+1,$M$1,SUM(OFFSET($A$11,$B176-$O$5,$O$6,1,-$P$6))),IF(AP$13=$M$8,CHOOSE($Q$6+1,$M$1,SUM(OFFSET($A$11,$B176-$O$5,$O$7,1,-$P$6))),IF(AP$11&lt;$D$7,OFFSET(INDIRECT($D$3),$A176-1,$Q$3+AP$11),OFFSET(INDIRECT($D$4),$A176-1,$Q$4+AP$11)))))))</f>
        <v/>
      </c>
      <c r="AQ176" s="23" t="str">
        <f t="shared" ref="AQ176:AQ179" ca="1" si="754">IF(AQ$11="","",IF(AQ$13=$M$5,CHOOSE($Q$6+1,$M$1,AR176+AS176-AT176),IF(AQ$13=$M$6,CHOOSE($Q$6+1,$M$1,OFFSET($A176,,$P$7-1)),IF(AQ$13=$M$7,CHOOSE($Q$6+1,$M$1,SUM(OFFSET($A$11,$B176-$O$5,$O$6,1,-$P$6))),IF(AQ$13=$M$8,CHOOSE($Q$6+1,$M$1,SUM(OFFSET($A$11,$B176-$O$5,$O$7,1,-$P$6))),IF(AQ$11&lt;$D$7,OFFSET(INDIRECT($D$3),$A176-1,$Q$3+AQ$11),OFFSET(INDIRECT($D$4),$A176-1,$Q$4+AQ$11)))))))</f>
        <v/>
      </c>
      <c r="AR176" s="23" t="str">
        <f t="shared" ref="AR176:AR179" ca="1" si="755">IF(AR$11="","",IF(AR$13=$M$5,CHOOSE($Q$6+1,$M$1,AS176+AT176-AU176),IF(AR$13=$M$6,CHOOSE($Q$6+1,$M$1,OFFSET($A176,,$P$7-1)),IF(AR$13=$M$7,CHOOSE($Q$6+1,$M$1,SUM(OFFSET($A$11,$B176-$O$5,$O$6,1,-$P$6))),IF(AR$13=$M$8,CHOOSE($Q$6+1,$M$1,SUM(OFFSET($A$11,$B176-$O$5,$O$7,1,-$P$6))),IF(AR$11&lt;$D$7,OFFSET(INDIRECT($D$3),$A176-1,$Q$3+AR$11),OFFSET(INDIRECT($D$4),$A176-1,$Q$4+AR$11)))))))</f>
        <v/>
      </c>
      <c r="AS176" s="23" t="str">
        <f t="shared" ref="AS176:AS179" ca="1" si="756">IF(AS$11="","",IF(AS$13=$M$5,CHOOSE($Q$6+1,$M$1,AT176+AU176-AV176),IF(AS$13=$M$6,CHOOSE($Q$6+1,$M$1,OFFSET($A176,,$P$7-1)),IF(AS$13=$M$7,CHOOSE($Q$6+1,$M$1,SUM(OFFSET($A$11,$B176-$O$5,$O$6,1,-$P$6))),IF(AS$13=$M$8,CHOOSE($Q$6+1,$M$1,SUM(OFFSET($A$11,$B176-$O$5,$O$7,1,-$P$6))),IF(AS$11&lt;$D$7,OFFSET(INDIRECT($D$3),$A176-1,$Q$3+AS$11),OFFSET(INDIRECT($D$4),$A176-1,$Q$4+AS$11)))))))</f>
        <v/>
      </c>
      <c r="AT176" s="23" t="str">
        <f t="shared" ref="AT176:AT179" ca="1" si="757">IF(AT$11="","",IF(AT$13=$M$5,CHOOSE($Q$6+1,$M$1,AU176+AV176-AW176),IF(AT$13=$M$6,CHOOSE($Q$6+1,$M$1,OFFSET($A176,,$P$7-1)),IF(AT$13=$M$7,CHOOSE($Q$6+1,$M$1,SUM(OFFSET($A$11,$B176-$O$5,$O$6,1,-$P$6))),IF(AT$13=$M$8,CHOOSE($Q$6+1,$M$1,SUM(OFFSET($A$11,$B176-$O$5,$O$7,1,-$P$6))),IF(AT$11&lt;$D$7,OFFSET(INDIRECT($D$3),$A176-1,$Q$3+AT$11),OFFSET(INDIRECT($D$4),$A176-1,$Q$4+AT$11)))))))</f>
        <v/>
      </c>
      <c r="AU176" s="23" t="str">
        <f t="shared" ref="AU176:AU179" ca="1" si="758">IF(AU$11="","",IF(AU$13=$M$5,CHOOSE($Q$6+1,$M$1,AV176+AW176-AX176),IF(AU$13=$M$6,CHOOSE($Q$6+1,$M$1,OFFSET($A176,,$P$7-1)),IF(AU$13=$M$7,CHOOSE($Q$6+1,$M$1,SUM(OFFSET($A$11,$B176-$O$5,$O$6,1,-$P$6))),IF(AU$13=$M$8,CHOOSE($Q$6+1,$M$1,SUM(OFFSET($A$11,$B176-$O$5,$O$7,1,-$P$6))),IF(AU$11&lt;$D$7,OFFSET(INDIRECT($D$3),$A176-1,$Q$3+AU$11),OFFSET(INDIRECT($D$4),$A176-1,$Q$4+AU$11)))))))</f>
        <v/>
      </c>
      <c r="AV176" s="23" t="str">
        <f t="shared" ref="AV176:AV179" ca="1" si="759">IF(AV$11="","",IF(AV$13=$M$5,CHOOSE($Q$6+1,$M$1,AW176+AX176-AY176),IF(AV$13=$M$6,CHOOSE($Q$6+1,$M$1,OFFSET($A176,,$P$7-1)),IF(AV$13=$M$7,CHOOSE($Q$6+1,$M$1,SUM(OFFSET($A$11,$B176-$O$5,$O$6,1,-$P$6))),IF(AV$13=$M$8,CHOOSE($Q$6+1,$M$1,SUM(OFFSET($A$11,$B176-$O$5,$O$7,1,-$P$6))),IF(AV$11&lt;$D$7,OFFSET(INDIRECT($D$3),$A176-1,$Q$3+AV$11),OFFSET(INDIRECT($D$4),$A176-1,$Q$4+AV$11)))))))</f>
        <v/>
      </c>
      <c r="AW176" s="23" t="str">
        <f t="shared" ref="AW176:AW179" ca="1" si="760">IF(AW$11="","",IF(AW$13=$M$5,CHOOSE($Q$6+1,$M$1,AX176+AY176-AZ176),IF(AW$13=$M$6,CHOOSE($Q$6+1,$M$1,OFFSET($A176,,$P$7-1)),IF(AW$13=$M$7,CHOOSE($Q$6+1,$M$1,SUM(OFFSET($A$11,$B176-$O$5,$O$6,1,-$P$6))),IF(AW$13=$M$8,CHOOSE($Q$6+1,$M$1,SUM(OFFSET($A$11,$B176-$O$5,$O$7,1,-$P$6))),IF(AW$11&lt;$D$7,OFFSET(INDIRECT($D$3),$A176-1,$Q$3+AW$11),OFFSET(INDIRECT($D$4),$A176-1,$Q$4+AW$11)))))))</f>
        <v/>
      </c>
      <c r="AX176" s="23" t="str">
        <f t="shared" ref="AX176:AX179" ca="1" si="761">IF(AX$11="","",IF(AX$13=$M$5,CHOOSE($Q$6+1,$M$1,AY176+AZ176-BA176),IF(AX$13=$M$6,CHOOSE($Q$6+1,$M$1,OFFSET($A176,,$P$7-1)),IF(AX$13=$M$7,CHOOSE($Q$6+1,$M$1,SUM(OFFSET($A$11,$B176-$O$5,$O$6,1,-$P$6))),IF(AX$13=$M$8,CHOOSE($Q$6+1,$M$1,SUM(OFFSET($A$11,$B176-$O$5,$O$7,1,-$P$6))),IF(AX$11&lt;$D$7,OFFSET(INDIRECT($D$3),$A176-1,$Q$3+AX$11),OFFSET(INDIRECT($D$4),$A176-1,$Q$4+AX$11)))))))</f>
        <v/>
      </c>
      <c r="AY176" s="23" t="str">
        <f t="shared" ref="AY176:AY179" ca="1" si="762">IF(AY$11="","",IF(AY$13=$M$5,CHOOSE($Q$6+1,$M$1,AZ176+BA176-BB176),IF(AY$13=$M$6,CHOOSE($Q$6+1,$M$1,OFFSET($A176,,$P$7-1)),IF(AY$13=$M$7,CHOOSE($Q$6+1,$M$1,SUM(OFFSET($A$11,$B176-$O$5,$O$6,1,-$P$6))),IF(AY$13=$M$8,CHOOSE($Q$6+1,$M$1,SUM(OFFSET($A$11,$B176-$O$5,$O$7,1,-$P$6))),IF(AY$11&lt;$D$7,OFFSET(INDIRECT($D$3),$A176-1,$Q$3+AY$11),OFFSET(INDIRECT($D$4),$A176-1,$Q$4+AY$11)))))))</f>
        <v/>
      </c>
      <c r="AZ176" s="23" t="str">
        <f t="shared" ref="AZ176:AZ179" ca="1" si="763">IF(AZ$11="","",IF(AZ$13=$M$5,CHOOSE($Q$6+1,$M$1,BA176+BB176-BC176),IF(AZ$13=$M$6,CHOOSE($Q$6+1,$M$1,OFFSET($A176,,$P$7-1)),IF(AZ$13=$M$7,CHOOSE($Q$6+1,$M$1,SUM(OFFSET($A$11,$B176-$O$5,$O$6,1,-$P$6))),IF(AZ$13=$M$8,CHOOSE($Q$6+1,$M$1,SUM(OFFSET($A$11,$B176-$O$5,$O$7,1,-$P$6))),IF(AZ$11&lt;$D$7,OFFSET(INDIRECT($D$3),$A176-1,$Q$3+AZ$11),OFFSET(INDIRECT($D$4),$A176-1,$Q$4+AZ$11)))))))</f>
        <v/>
      </c>
      <c r="BA176" s="23" t="str">
        <f t="shared" ref="BA176:BA179" ca="1" si="764">IF(BA$11="","",IF(BA$13=$M$5,CHOOSE($Q$6+1,$M$1,BB176+BC176-BD176),IF(BA$13=$M$6,CHOOSE($Q$6+1,$M$1,OFFSET($A176,,$P$7-1)),IF(BA$13=$M$7,CHOOSE($Q$6+1,$M$1,SUM(OFFSET($A$11,$B176-$O$5,$O$6,1,-$P$6))),IF(BA$13=$M$8,CHOOSE($Q$6+1,$M$1,SUM(OFFSET($A$11,$B176-$O$5,$O$7,1,-$P$6))),IF(BA$11&lt;$D$7,OFFSET(INDIRECT($D$3),$A176-1,$Q$3+BA$11),OFFSET(INDIRECT($D$4),$A176-1,$Q$4+BA$11)))))))</f>
        <v/>
      </c>
      <c r="BB176" s="23" t="str">
        <f t="shared" ref="BB176:BB179" ca="1" si="765">IF(BB$11="","",IF(BB$13=$M$5,CHOOSE($Q$6+1,$M$1,BC176+BD176-BE176),IF(BB$13=$M$6,CHOOSE($Q$6+1,$M$1,OFFSET($A176,,$P$7-1)),IF(BB$13=$M$7,CHOOSE($Q$6+1,$M$1,SUM(OFFSET($A$11,$B176-$O$5,$O$6,1,-$P$6))),IF(BB$13=$M$8,CHOOSE($Q$6+1,$M$1,SUM(OFFSET($A$11,$B176-$O$5,$O$7,1,-$P$6))),IF(BB$11&lt;$D$7,OFFSET(INDIRECT($D$3),$A176-1,$Q$3+BB$11),OFFSET(INDIRECT($D$4),$A176-1,$Q$4+BB$11)))))))</f>
        <v/>
      </c>
      <c r="BC176" s="23" t="str">
        <f t="shared" ref="BC176:BC179" ca="1" si="766">IF(BC$11="","",IF(BC$13=$M$5,CHOOSE($Q$6+1,$M$1,BD176+BE176-BF176),IF(BC$13=$M$6,CHOOSE($Q$6+1,$M$1,OFFSET($A176,,$P$7-1)),IF(BC$13=$M$7,CHOOSE($Q$6+1,$M$1,SUM(OFFSET($A$11,$B176-$O$5,$O$6,1,-$P$6))),IF(BC$13=$M$8,CHOOSE($Q$6+1,$M$1,SUM(OFFSET($A$11,$B176-$O$5,$O$7,1,-$P$6))),IF(BC$11&lt;$D$7,OFFSET(INDIRECT($D$3),$A176-1,$Q$3+BC$11),OFFSET(INDIRECT($D$4),$A176-1,$Q$4+BC$11)))))))</f>
        <v/>
      </c>
      <c r="BD176" s="23" t="str">
        <f t="shared" ref="BD176:BD179" ca="1" si="767">IF(BD$11="","",IF(BD$13=$M$5,CHOOSE($Q$6+1,$M$1,BE176+BF176-BG176),IF(BD$13=$M$6,CHOOSE($Q$6+1,$M$1,OFFSET($A176,,$P$7-1)),IF(BD$13=$M$7,CHOOSE($Q$6+1,$M$1,SUM(OFFSET($A$11,$B176-$O$5,$O$6,1,-$P$6))),IF(BD$13=$M$8,CHOOSE($Q$6+1,$M$1,SUM(OFFSET($A$11,$B176-$O$5,$O$7,1,-$P$6))),IF(BD$11&lt;$D$7,OFFSET(INDIRECT($D$3),$A176-1,$Q$3+BD$11),OFFSET(INDIRECT($D$4),$A176-1,$Q$4+BD$11)))))))</f>
        <v/>
      </c>
      <c r="BE176" s="23" t="str">
        <f t="shared" ref="BE176:BE179" ca="1" si="768">IF(BE$11="","",IF(BE$13=$M$5,CHOOSE($Q$6+1,$M$1,BF176+BG176-BH176),IF(BE$13=$M$6,CHOOSE($Q$6+1,$M$1,OFFSET($A176,,$P$7-1)),IF(BE$13=$M$7,CHOOSE($Q$6+1,$M$1,SUM(OFFSET($A$11,$B176-$O$5,$O$6,1,-$P$6))),IF(BE$13=$M$8,CHOOSE($Q$6+1,$M$1,SUM(OFFSET($A$11,$B176-$O$5,$O$7,1,-$P$6))),IF(BE$11&lt;$D$7,OFFSET(INDIRECT($D$3),$A176-1,$Q$3+BE$11),OFFSET(INDIRECT($D$4),$A176-1,$Q$4+BE$11)))))))</f>
        <v/>
      </c>
      <c r="BF176" s="23" t="str">
        <f t="shared" ref="BF176:BF179" ca="1" si="769">IF(BF$11="","",IF(BF$13=$M$5,CHOOSE($Q$6+1,$M$1,BG176+BH176-BI176),IF(BF$13=$M$6,CHOOSE($Q$6+1,$M$1,OFFSET($A176,,$P$7-1)),IF(BF$13=$M$7,CHOOSE($Q$6+1,$M$1,SUM(OFFSET($A$11,$B176-$O$5,$O$6,1,-$P$6))),IF(BF$13=$M$8,CHOOSE($Q$6+1,$M$1,SUM(OFFSET($A$11,$B176-$O$5,$O$7,1,-$P$6))),IF(BF$11&lt;$D$7,OFFSET(INDIRECT($D$3),$A176-1,$Q$3+BF$11),OFFSET(INDIRECT($D$4),$A176-1,$Q$4+BF$11)))))))</f>
        <v/>
      </c>
      <c r="BG176" s="23" t="str">
        <f t="shared" ref="BG176:BG179" ca="1" si="770">IF(BG$11="","",IF(BG$13=$M$5,CHOOSE($Q$6+1,$M$1,BH176+BI176-BJ176),IF(BG$13=$M$6,CHOOSE($Q$6+1,$M$1,OFFSET($A176,,$P$7-1)),IF(BG$13=$M$7,CHOOSE($Q$6+1,$M$1,SUM(OFFSET($A$11,$B176-$O$5,$O$6,1,-$P$6))),IF(BG$13=$M$8,CHOOSE($Q$6+1,$M$1,SUM(OFFSET($A$11,$B176-$O$5,$O$7,1,-$P$6))),IF(BG$11&lt;$D$7,OFFSET(INDIRECT($D$3),$A176-1,$Q$3+BG$11),OFFSET(INDIRECT($D$4),$A176-1,$Q$4+BG$11)))))))</f>
        <v/>
      </c>
      <c r="BH176" s="23" t="str">
        <f t="shared" ref="BH176:BH179" ca="1" si="771">IF(BH$11="","",IF(BH$13=$M$5,CHOOSE($Q$6+1,$M$1,BI176+BJ176-BK176),IF(BH$13=$M$6,CHOOSE($Q$6+1,$M$1,OFFSET($A176,,$P$7-1)),IF(BH$13=$M$7,CHOOSE($Q$6+1,$M$1,SUM(OFFSET($A$11,$B176-$O$5,$O$6,1,-$P$6))),IF(BH$13=$M$8,CHOOSE($Q$6+1,$M$1,SUM(OFFSET($A$11,$B176-$O$5,$O$7,1,-$P$6))),IF(BH$11&lt;$D$7,OFFSET(INDIRECT($D$3),$A176-1,$Q$3+BH$11),OFFSET(INDIRECT($D$4),$A176-1,$Q$4+BH$11)))))))</f>
        <v/>
      </c>
      <c r="BI176" s="23" t="str">
        <f t="shared" ref="BI176:BI179" ca="1" si="772">IF(BI$11="","",IF(BI$13=$M$5,CHOOSE($Q$6+1,$M$1,BJ176+BK176-BL176),IF(BI$13=$M$6,CHOOSE($Q$6+1,$M$1,OFFSET($A176,,$P$7-1)),IF(BI$13=$M$7,CHOOSE($Q$6+1,$M$1,SUM(OFFSET($A$11,$B176-$O$5,$O$6,1,-$P$6))),IF(BI$13=$M$8,CHOOSE($Q$6+1,$M$1,SUM(OFFSET($A$11,$B176-$O$5,$O$7,1,-$P$6))),IF(BI$11&lt;$D$7,OFFSET(INDIRECT($D$3),$A176-1,$Q$3+BI$11),OFFSET(INDIRECT($D$4),$A176-1,$Q$4+BI$11)))))))</f>
        <v/>
      </c>
      <c r="BJ176" s="23" t="str">
        <f t="shared" ref="BJ176:BJ179" ca="1" si="773">IF(BJ$11="","",IF(BJ$13=$M$5,CHOOSE($Q$6+1,$M$1,BK176+BL176-BM176),IF(BJ$13=$M$6,CHOOSE($Q$6+1,$M$1,OFFSET($A176,,$P$7-1)),IF(BJ$13=$M$7,CHOOSE($Q$6+1,$M$1,SUM(OFFSET($A$11,$B176-$O$5,$O$6,1,-$P$6))),IF(BJ$13=$M$8,CHOOSE($Q$6+1,$M$1,SUM(OFFSET($A$11,$B176-$O$5,$O$7,1,-$P$6))),IF(BJ$11&lt;$D$7,OFFSET(INDIRECT($D$3),$A176-1,$Q$3+BJ$11),OFFSET(INDIRECT($D$4),$A176-1,$Q$4+BJ$11)))))))</f>
        <v/>
      </c>
      <c r="BK176" s="23" t="str">
        <f t="shared" ref="BK176:BK179" ca="1" si="774">IF(BK$11="","",IF(BK$13=$M$5,CHOOSE($Q$6+1,$M$1,BL176+BM176-BN176),IF(BK$13=$M$6,CHOOSE($Q$6+1,$M$1,OFFSET($A176,,$P$7-1)),IF(BK$13=$M$7,CHOOSE($Q$6+1,$M$1,SUM(OFFSET($A$11,$B176-$O$5,$O$6,1,-$P$6))),IF(BK$13=$M$8,CHOOSE($Q$6+1,$M$1,SUM(OFFSET($A$11,$B176-$O$5,$O$7,1,-$P$6))),IF(BK$11&lt;$D$7,OFFSET(INDIRECT($D$3),$A176-1,$Q$3+BK$11),OFFSET(INDIRECT($D$4),$A176-1,$Q$4+BK$11)))))))</f>
        <v/>
      </c>
      <c r="BL176" s="23" t="str">
        <f t="shared" ref="BL176:BL179" ca="1" si="775">IF(BL$11="","",IF(BL$13=$M$5,CHOOSE($Q$6+1,$M$1,BM176+BN176-BO176),IF(BL$13=$M$6,CHOOSE($Q$6+1,$M$1,OFFSET($A176,,$P$7-1)),IF(BL$13=$M$7,CHOOSE($Q$6+1,$M$1,SUM(OFFSET($A$11,$B176-$O$5,$O$6,1,-$P$6))),IF(BL$13=$M$8,CHOOSE($Q$6+1,$M$1,SUM(OFFSET($A$11,$B176-$O$5,$O$7,1,-$P$6))),IF(BL$11&lt;$D$7,OFFSET(INDIRECT($D$3),$A176-1,$Q$3+BL$11),OFFSET(INDIRECT($D$4),$A176-1,$Q$4+BL$11)))))))</f>
        <v/>
      </c>
      <c r="BM176" s="23" t="str">
        <f t="shared" ref="BM176:BM179" ca="1" si="776">IF(BM$11="","",IF(BM$13=$M$5,CHOOSE($Q$6+1,$M$1,BN176+BO176-BP176),IF(BM$13=$M$6,CHOOSE($Q$6+1,$M$1,OFFSET($A176,,$P$7-1)),IF(BM$13=$M$7,CHOOSE($Q$6+1,$M$1,SUM(OFFSET($A$11,$B176-$O$5,$O$6,1,-$P$6))),IF(BM$13=$M$8,CHOOSE($Q$6+1,$M$1,SUM(OFFSET($A$11,$B176-$O$5,$O$7,1,-$P$6))),IF(BM$11&lt;$D$7,OFFSET(INDIRECT($D$3),$A176-1,$Q$3+BM$11),OFFSET(INDIRECT($D$4),$A176-1,$Q$4+BM$11)))))))</f>
        <v/>
      </c>
      <c r="BN176" s="23" t="str">
        <f t="shared" ref="BN176:BN179" ca="1" si="777">IF(BN$11="","",IF(BN$13=$M$5,CHOOSE($Q$6+1,$M$1,BO176+BP176-BQ176),IF(BN$13=$M$6,CHOOSE($Q$6+1,$M$1,OFFSET($A176,,$P$7-1)),IF(BN$13=$M$7,CHOOSE($Q$6+1,$M$1,SUM(OFFSET($A$11,$B176-$O$5,$O$6,1,-$P$6))),IF(BN$13=$M$8,CHOOSE($Q$6+1,$M$1,SUM(OFFSET($A$11,$B176-$O$5,$O$7,1,-$P$6))),IF(BN$11&lt;$D$7,OFFSET(INDIRECT($D$3),$A176-1,$Q$3+BN$11),OFFSET(INDIRECT($D$4),$A176-1,$Q$4+BN$11)))))))</f>
        <v/>
      </c>
      <c r="BO176" s="23" t="str">
        <f t="shared" ref="BO176:BO179" ca="1" si="778">IF(BO$11="","",IF(BO$13=$M$5,CHOOSE($Q$6+1,$M$1,BP176+BQ176-BR176),IF(BO$13=$M$6,CHOOSE($Q$6+1,$M$1,OFFSET($A176,,$P$7-1)),IF(BO$13=$M$7,CHOOSE($Q$6+1,$M$1,SUM(OFFSET($A$11,$B176-$O$5,$O$6,1,-$P$6))),IF(BO$13=$M$8,CHOOSE($Q$6+1,$M$1,SUM(OFFSET($A$11,$B176-$O$5,$O$7,1,-$P$6))),IF(BO$11&lt;$D$7,OFFSET(INDIRECT($D$3),$A176-1,$Q$3+BO$11),OFFSET(INDIRECT($D$4),$A176-1,$Q$4+BO$11)))))))</f>
        <v/>
      </c>
      <c r="BP176" s="23" t="str">
        <f t="shared" ref="BP176:BP179" ca="1" si="779">IF(BP$11="","",IF(BP$13=$M$5,CHOOSE($Q$6+1,$M$1,BQ176+BR176-BS176),IF(BP$13=$M$6,CHOOSE($Q$6+1,$M$1,OFFSET($A176,,$P$7-1)),IF(BP$13=$M$7,CHOOSE($Q$6+1,$M$1,SUM(OFFSET($A$11,$B176-$O$5,$O$6,1,-$P$6))),IF(BP$13=$M$8,CHOOSE($Q$6+1,$M$1,SUM(OFFSET($A$11,$B176-$O$5,$O$7,1,-$P$6))),IF(BP$11&lt;$D$7,OFFSET(INDIRECT($D$3),$A176-1,$Q$3+BP$11),OFFSET(INDIRECT($D$4),$A176-1,$Q$4+BP$11)))))))</f>
        <v/>
      </c>
      <c r="BQ176" s="23" t="str">
        <f t="shared" ref="BQ176:BQ179" ca="1" si="780">IF(BQ$11="","",IF(BQ$13=$M$5,CHOOSE($Q$6+1,$M$1,BR176+BS176-BT176),IF(BQ$13=$M$6,CHOOSE($Q$6+1,$M$1,OFFSET($A176,,$P$7-1)),IF(BQ$13=$M$7,CHOOSE($Q$6+1,$M$1,SUM(OFFSET($A$11,$B176-$O$5,$O$6,1,-$P$6))),IF(BQ$13=$M$8,CHOOSE($Q$6+1,$M$1,SUM(OFFSET($A$11,$B176-$O$5,$O$7,1,-$P$6))),IF(BQ$11&lt;$D$7,OFFSET(INDIRECT($D$3),$A176-1,$Q$3+BQ$11),OFFSET(INDIRECT($D$4),$A176-1,$Q$4+BQ$11)))))))</f>
        <v/>
      </c>
      <c r="BR176" s="23" t="str">
        <f t="shared" ref="BR176:BR179" ca="1" si="781">IF(BR$11="","",IF(BR$13=$M$5,CHOOSE($Q$6+1,$M$1,BS176+BT176-BU176),IF(BR$13=$M$6,CHOOSE($Q$6+1,$M$1,OFFSET($A176,,$P$7-1)),IF(BR$13=$M$7,CHOOSE($Q$6+1,$M$1,SUM(OFFSET($A$11,$B176-$O$5,$O$6,1,-$P$6))),IF(BR$13=$M$8,CHOOSE($Q$6+1,$M$1,SUM(OFFSET($A$11,$B176-$O$5,$O$7,1,-$P$6))),IF(BR$11&lt;$D$7,OFFSET(INDIRECT($D$3),$A176-1,$Q$3+BR$11),OFFSET(INDIRECT($D$4),$A176-1,$Q$4+BR$11)))))))</f>
        <v/>
      </c>
      <c r="BS176" s="23" t="str">
        <f t="shared" ref="BS176:BS179" ca="1" si="782">IF(BS$11="","",IF(BS$13=$M$5,CHOOSE($Q$6+1,$M$1,BT176+BU176-BV176),IF(BS$13=$M$6,CHOOSE($Q$6+1,$M$1,OFFSET($A176,,$P$7-1)),IF(BS$13=$M$7,CHOOSE($Q$6+1,$M$1,SUM(OFFSET($A$11,$B176-$O$5,$O$6,1,-$P$6))),IF(BS$13=$M$8,CHOOSE($Q$6+1,$M$1,SUM(OFFSET($A$11,$B176-$O$5,$O$7,1,-$P$6))),IF(BS$11&lt;$D$7,OFFSET(INDIRECT($D$3),$A176-1,$Q$3+BS$11),OFFSET(INDIRECT($D$4),$A176-1,$Q$4+BS$11)))))))</f>
        <v/>
      </c>
      <c r="BT176" s="23" t="str">
        <f t="shared" ref="BT176:BT179" ca="1" si="783">IF(BT$11="","",IF(BT$13=$M$5,CHOOSE($Q$6+1,$M$1,BU176+BV176-BW176),IF(BT$13=$M$6,CHOOSE($Q$6+1,$M$1,OFFSET($A176,,$P$7-1)),IF(BT$13=$M$7,CHOOSE($Q$6+1,$M$1,SUM(OFFSET($A$11,$B176-$O$5,$O$6,1,-$P$6))),IF(BT$13=$M$8,CHOOSE($Q$6+1,$M$1,SUM(OFFSET($A$11,$B176-$O$5,$O$7,1,-$P$6))),IF(BT$11&lt;$D$7,OFFSET(INDIRECT($D$3),$A176-1,$Q$3+BT$11),OFFSET(INDIRECT($D$4),$A176-1,$Q$4+BT$11)))))))</f>
        <v/>
      </c>
      <c r="BU176" s="23" t="str">
        <f t="shared" ref="BU176:BU179" ca="1" si="784">IF(BU$11="","",IF(BU$13=$M$5,CHOOSE($Q$6+1,$M$1,BV176+BW176-BX176),IF(BU$13=$M$6,CHOOSE($Q$6+1,$M$1,OFFSET($A176,,$P$7-1)),IF(BU$13=$M$7,CHOOSE($Q$6+1,$M$1,SUM(OFFSET($A$11,$B176-$O$5,$O$6,1,-$P$6))),IF(BU$13=$M$8,CHOOSE($Q$6+1,$M$1,SUM(OFFSET($A$11,$B176-$O$5,$O$7,1,-$P$6))),IF(BU$11&lt;$D$7,OFFSET(INDIRECT($D$3),$A176-1,$Q$3+BU$11),OFFSET(INDIRECT($D$4),$A176-1,$Q$4+BU$11)))))))</f>
        <v/>
      </c>
      <c r="BV176" s="23" t="str">
        <f t="shared" ref="BV176:BV179" ca="1" si="785">IF(BV$11="","",IF(BV$13=$M$5,CHOOSE($Q$6+1,$M$1,BW176+BX176-BY176),IF(BV$13=$M$6,CHOOSE($Q$6+1,$M$1,OFFSET($A176,,$P$7-1)),IF(BV$13=$M$7,CHOOSE($Q$6+1,$M$1,SUM(OFFSET($A$11,$B176-$O$5,$O$6,1,-$P$6))),IF(BV$13=$M$8,CHOOSE($Q$6+1,$M$1,SUM(OFFSET($A$11,$B176-$O$5,$O$7,1,-$P$6))),IF(BV$11&lt;$D$7,OFFSET(INDIRECT($D$3),$A176-1,$Q$3+BV$11),OFFSET(INDIRECT($D$4),$A176-1,$Q$4+BV$11)))))))</f>
        <v/>
      </c>
      <c r="BW176" s="23" t="str">
        <f t="shared" ref="BW176:BW179" ca="1" si="786">IF(BW$11="","",IF(BW$13=$M$5,CHOOSE($Q$6+1,$M$1,BX176+BY176-BZ176),IF(BW$13=$M$6,CHOOSE($Q$6+1,$M$1,OFFSET($A176,,$P$7-1)),IF(BW$13=$M$7,CHOOSE($Q$6+1,$M$1,SUM(OFFSET($A$11,$B176-$O$5,$O$6,1,-$P$6))),IF(BW$13=$M$8,CHOOSE($Q$6+1,$M$1,SUM(OFFSET($A$11,$B176-$O$5,$O$7,1,-$P$6))),IF(BW$11&lt;$D$7,OFFSET(INDIRECT($D$3),$A176-1,$Q$3+BW$11),OFFSET(INDIRECT($D$4),$A176-1,$Q$4+BW$11)))))))</f>
        <v/>
      </c>
      <c r="BX176" s="23" t="str">
        <f t="shared" ref="BX176:BX179" ca="1" si="787">IF(BX$11="","",IF(BX$13=$M$5,CHOOSE($Q$6+1,$M$1,BY176+BZ176-CA176),IF(BX$13=$M$6,CHOOSE($Q$6+1,$M$1,OFFSET($A176,,$P$7-1)),IF(BX$13=$M$7,CHOOSE($Q$6+1,$M$1,SUM(OFFSET($A$11,$B176-$O$5,$O$6,1,-$P$6))),IF(BX$13=$M$8,CHOOSE($Q$6+1,$M$1,SUM(OFFSET($A$11,$B176-$O$5,$O$7,1,-$P$6))),IF(BX$11&lt;$D$7,OFFSET(INDIRECT($D$3),$A176-1,$Q$3+BX$11),OFFSET(INDIRECT($D$4),$A176-1,$Q$4+BX$11)))))))</f>
        <v/>
      </c>
      <c r="BY176" s="23" t="str">
        <f t="shared" ref="BY176:BY179" ca="1" si="788">IF(BY$11="","",IF(BY$13=$M$5,CHOOSE($Q$6+1,$M$1,BZ176+CA176-CB176),IF(BY$13=$M$6,CHOOSE($Q$6+1,$M$1,OFFSET($A176,,$P$7-1)),IF(BY$13=$M$7,CHOOSE($Q$6+1,$M$1,SUM(OFFSET($A$11,$B176-$O$5,$O$6,1,-$P$6))),IF(BY$13=$M$8,CHOOSE($Q$6+1,$M$1,SUM(OFFSET($A$11,$B176-$O$5,$O$7,1,-$P$6))),IF(BY$11&lt;$D$7,OFFSET(INDIRECT($D$3),$A176-1,$Q$3+BY$11),OFFSET(INDIRECT($D$4),$A176-1,$Q$4+BY$11)))))))</f>
        <v/>
      </c>
      <c r="BZ176" s="23" t="str">
        <f t="shared" ref="BZ176:BZ179" ca="1" si="789">IF(BZ$11="","",IF(BZ$13=$M$5,CHOOSE($Q$6+1,$M$1,CA176+CB176-CC176),IF(BZ$13=$M$6,CHOOSE($Q$6+1,$M$1,OFFSET($A176,,$P$7-1)),IF(BZ$13=$M$7,CHOOSE($Q$6+1,$M$1,SUM(OFFSET($A$11,$B176-$O$5,$O$6,1,-$P$6))),IF(BZ$13=$M$8,CHOOSE($Q$6+1,$M$1,SUM(OFFSET($A$11,$B176-$O$5,$O$7,1,-$P$6))),IF(BZ$11&lt;$D$7,OFFSET(INDIRECT($D$3),$A176-1,$Q$3+BZ$11),OFFSET(INDIRECT($D$4),$A176-1,$Q$4+BZ$11)))))))</f>
        <v/>
      </c>
      <c r="CA176" s="23" t="str">
        <f t="shared" ref="CA176:CA179" ca="1" si="790">IF(CA$11="","",IF(CA$13=$M$5,CHOOSE($Q$6+1,$M$1,CB176+CC176-CD176),IF(CA$13=$M$6,CHOOSE($Q$6+1,$M$1,OFFSET($A176,,$P$7-1)),IF(CA$13=$M$7,CHOOSE($Q$6+1,$M$1,SUM(OFFSET($A$11,$B176-$O$5,$O$6,1,-$P$6))),IF(CA$13=$M$8,CHOOSE($Q$6+1,$M$1,SUM(OFFSET($A$11,$B176-$O$5,$O$7,1,-$P$6))),IF(CA$11&lt;$D$7,OFFSET(INDIRECT($D$3),$A176-1,$Q$3+CA$11),OFFSET(INDIRECT($D$4),$A176-1,$Q$4+CA$11)))))))</f>
        <v/>
      </c>
      <c r="CB176" s="23" t="str">
        <f t="shared" ref="CB176:CB179" ca="1" si="791">IF(CB$11="","",IF(CB$13=$M$5,CHOOSE($Q$6+1,$M$1,CC176+CD176-CE176),IF(CB$13=$M$6,CHOOSE($Q$6+1,$M$1,OFFSET($A176,,$P$7-1)),IF(CB$13=$M$7,CHOOSE($Q$6+1,$M$1,SUM(OFFSET($A$11,$B176-$O$5,$O$6,1,-$P$6))),IF(CB$13=$M$8,CHOOSE($Q$6+1,$M$1,SUM(OFFSET($A$11,$B176-$O$5,$O$7,1,-$P$6))),IF(CB$11&lt;$D$7,OFFSET(INDIRECT($D$3),$A176-1,$Q$3+CB$11),OFFSET(INDIRECT($D$4),$A176-1,$Q$4+CB$11)))))))</f>
        <v/>
      </c>
      <c r="CC176" s="23" t="str">
        <f t="shared" ref="CC176:CC179" ca="1" si="792">IF(CC$11="","",IF(CC$13=$M$5,CHOOSE($Q$6+1,$M$1,CD176+CE176-CF176),IF(CC$13=$M$6,CHOOSE($Q$6+1,$M$1,OFFSET($A176,,$P$7-1)),IF(CC$13=$M$7,CHOOSE($Q$6+1,$M$1,SUM(OFFSET($A$11,$B176-$O$5,$O$6,1,-$P$6))),IF(CC$13=$M$8,CHOOSE($Q$6+1,$M$1,SUM(OFFSET($A$11,$B176-$O$5,$O$7,1,-$P$6))),IF(CC$11&lt;$D$7,OFFSET(INDIRECT($D$3),$A176-1,$Q$3+CC$11),OFFSET(INDIRECT($D$4),$A176-1,$Q$4+CC$11)))))))</f>
        <v/>
      </c>
      <c r="CD176" s="23" t="str">
        <f t="shared" ref="CD176:CD179" ca="1" si="793">IF(CD$11="","",IF(CD$13=$M$5,CHOOSE($Q$6+1,$M$1,CE176+CF176-CG176),IF(CD$13=$M$6,CHOOSE($Q$6+1,$M$1,OFFSET($A176,,$P$7-1)),IF(CD$13=$M$7,CHOOSE($Q$6+1,$M$1,SUM(OFFSET($A$11,$B176-$O$5,$O$6,1,-$P$6))),IF(CD$13=$M$8,CHOOSE($Q$6+1,$M$1,SUM(OFFSET($A$11,$B176-$O$5,$O$7,1,-$P$6))),IF(CD$11&lt;$D$7,OFFSET(INDIRECT($D$3),$A176-1,$Q$3+CD$11),OFFSET(INDIRECT($D$4),$A176-1,$Q$4+CD$11)))))))</f>
        <v/>
      </c>
      <c r="CE176" s="23" t="str">
        <f t="shared" ref="CE176:CE179" ca="1" si="794">IF(CE$11="","",IF(CE$13=$M$5,CHOOSE($Q$6+1,$M$1,CF176+CG176-CH176),IF(CE$13=$M$6,CHOOSE($Q$6+1,$M$1,OFFSET($A176,,$P$7-1)),IF(CE$13=$M$7,CHOOSE($Q$6+1,$M$1,SUM(OFFSET($A$11,$B176-$O$5,$O$6,1,-$P$6))),IF(CE$13=$M$8,CHOOSE($Q$6+1,$M$1,SUM(OFFSET($A$11,$B176-$O$5,$O$7,1,-$P$6))),IF(CE$11&lt;$D$7,OFFSET(INDIRECT($D$3),$A176-1,$Q$3+CE$11),OFFSET(INDIRECT($D$4),$A176-1,$Q$4+CE$11)))))))</f>
        <v/>
      </c>
      <c r="CF176" s="23" t="str">
        <f t="shared" ref="CF176:CF179" ca="1" si="795">IF(CF$11="","",IF(CF$13=$M$5,CHOOSE($Q$6+1,$M$1,CG176+CH176-CI176),IF(CF$13=$M$6,CHOOSE($Q$6+1,$M$1,OFFSET($A176,,$P$7-1)),IF(CF$13=$M$7,CHOOSE($Q$6+1,$M$1,SUM(OFFSET($A$11,$B176-$O$5,$O$6,1,-$P$6))),IF(CF$13=$M$8,CHOOSE($Q$6+1,$M$1,SUM(OFFSET($A$11,$B176-$O$5,$O$7,1,-$P$6))),IF(CF$11&lt;$D$7,OFFSET(INDIRECT($D$3),$A176-1,$Q$3+CF$11),OFFSET(INDIRECT($D$4),$A176-1,$Q$4+CF$11)))))))</f>
        <v/>
      </c>
      <c r="CG176" s="23" t="str">
        <f t="shared" ref="CG176:CG179" ca="1" si="796">IF(CG$11="","",IF(CG$13=$M$5,CHOOSE($Q$6+1,$M$1,CH176+CI176-CJ176),IF(CG$13=$M$6,CHOOSE($Q$6+1,$M$1,OFFSET($A176,,$P$7-1)),IF(CG$13=$M$7,CHOOSE($Q$6+1,$M$1,SUM(OFFSET($A$11,$B176-$O$5,$O$6,1,-$P$6))),IF(CG$13=$M$8,CHOOSE($Q$6+1,$M$1,SUM(OFFSET($A$11,$B176-$O$5,$O$7,1,-$P$6))),IF(CG$11&lt;$D$7,OFFSET(INDIRECT($D$3),$A176-1,$Q$3+CG$11),OFFSET(INDIRECT($D$4),$A176-1,$Q$4+CG$11)))))))</f>
        <v/>
      </c>
      <c r="CH176" s="23" t="str">
        <f t="shared" ref="CH176:CH179" ca="1" si="797">IF(CH$11="","",IF(CH$13=$M$5,CHOOSE($Q$6+1,$M$1,CI176+CJ176-CK176),IF(CH$13=$M$6,CHOOSE($Q$6+1,$M$1,OFFSET($A176,,$P$7-1)),IF(CH$13=$M$7,CHOOSE($Q$6+1,$M$1,SUM(OFFSET($A$11,$B176-$O$5,$O$6,1,-$P$6))),IF(CH$13=$M$8,CHOOSE($Q$6+1,$M$1,SUM(OFFSET($A$11,$B176-$O$5,$O$7,1,-$P$6))),IF(CH$11&lt;$D$7,OFFSET(INDIRECT($D$3),$A176-1,$Q$3+CH$11),OFFSET(INDIRECT($D$4),$A176-1,$Q$4+CH$11)))))))</f>
        <v/>
      </c>
      <c r="CI176" s="23" t="str">
        <f t="shared" ref="CI176:CI179" ca="1" si="798">IF(CI$11="","",IF(CI$13=$M$5,CHOOSE($Q$6+1,$M$1,CJ176+CK176-CL176),IF(CI$13=$M$6,CHOOSE($Q$6+1,$M$1,OFFSET($A176,,$P$7-1)),IF(CI$13=$M$7,CHOOSE($Q$6+1,$M$1,SUM(OFFSET($A$11,$B176-$O$5,$O$6,1,-$P$6))),IF(CI$13=$M$8,CHOOSE($Q$6+1,$M$1,SUM(OFFSET($A$11,$B176-$O$5,$O$7,1,-$P$6))),IF(CI$11&lt;$D$7,OFFSET(INDIRECT($D$3),$A176-1,$Q$3+CI$11),OFFSET(INDIRECT($D$4),$A176-1,$Q$4+CI$11)))))))</f>
        <v/>
      </c>
      <c r="CJ176" s="23" t="str">
        <f t="shared" ref="CJ176:CJ179" ca="1" si="799">IF(CJ$11="","",IF(CJ$13=$M$5,CHOOSE($Q$6+1,$M$1,CK176+CL176-CM176),IF(CJ$13=$M$6,CHOOSE($Q$6+1,$M$1,OFFSET($A176,,$P$7-1)),IF(CJ$13=$M$7,CHOOSE($Q$6+1,$M$1,SUM(OFFSET($A$11,$B176-$O$5,$O$6,1,-$P$6))),IF(CJ$13=$M$8,CHOOSE($Q$6+1,$M$1,SUM(OFFSET($A$11,$B176-$O$5,$O$7,1,-$P$6))),IF(CJ$11&lt;$D$7,OFFSET(INDIRECT($D$3),$A176-1,$Q$3+CJ$11),OFFSET(INDIRECT($D$4),$A176-1,$Q$4+CJ$11)))))))</f>
        <v/>
      </c>
      <c r="CK176" s="23" t="str">
        <f t="shared" ref="CK176:CK179" ca="1" si="800">IF(CK$11="","",IF(CK$13=$M$5,CHOOSE($Q$6+1,$M$1,CL176+CM176-CN176),IF(CK$13=$M$6,CHOOSE($Q$6+1,$M$1,OFFSET($A176,,$P$7-1)),IF(CK$13=$M$7,CHOOSE($Q$6+1,$M$1,SUM(OFFSET($A$11,$B176-$O$5,$O$6,1,-$P$6))),IF(CK$13=$M$8,CHOOSE($Q$6+1,$M$1,SUM(OFFSET($A$11,$B176-$O$5,$O$7,1,-$P$6))),IF(CK$11&lt;$D$7,OFFSET(INDIRECT($D$3),$A176-1,$Q$3+CK$11),OFFSET(INDIRECT($D$4),$A176-1,$Q$4+CK$11)))))))</f>
        <v/>
      </c>
      <c r="CL176" s="23" t="str">
        <f t="shared" ref="CL176:CL179" ca="1" si="801">IF(CL$11="","",IF(CL$13=$M$5,CHOOSE($Q$6+1,$M$1,CM176+CN176-CO176),IF(CL$13=$M$6,CHOOSE($Q$6+1,$M$1,OFFSET($A176,,$P$7-1)),IF(CL$13=$M$7,CHOOSE($Q$6+1,$M$1,SUM(OFFSET($A$11,$B176-$O$5,$O$6,1,-$P$6))),IF(CL$13=$M$8,CHOOSE($Q$6+1,$M$1,SUM(OFFSET($A$11,$B176-$O$5,$O$7,1,-$P$6))),IF(CL$11&lt;$D$7,OFFSET(INDIRECT($D$3),$A176-1,$Q$3+CL$11),OFFSET(INDIRECT($D$4),$A176-1,$Q$4+CL$11)))))))</f>
        <v/>
      </c>
      <c r="CM176" s="23" t="str">
        <f t="shared" ref="CM176:CM179" ca="1" si="802">IF(CM$11="","",IF(CM$13=$M$5,CHOOSE($Q$6+1,$M$1,CN176+CO176-CP176),IF(CM$13=$M$6,CHOOSE($Q$6+1,$M$1,OFFSET($A176,,$P$7-1)),IF(CM$13=$M$7,CHOOSE($Q$6+1,$M$1,SUM(OFFSET($A$11,$B176-$O$5,$O$6,1,-$P$6))),IF(CM$13=$M$8,CHOOSE($Q$6+1,$M$1,SUM(OFFSET($A$11,$B176-$O$5,$O$7,1,-$P$6))),IF(CM$11&lt;$D$7,OFFSET(INDIRECT($D$3),$A176-1,$Q$3+CM$11),OFFSET(INDIRECT($D$4),$A176-1,$Q$4+CM$11)))))))</f>
        <v/>
      </c>
      <c r="CN176" s="23" t="str">
        <f t="shared" ref="CN176:CN179" ca="1" si="803">IF(CN$11="","",IF(CN$13=$M$5,CHOOSE($Q$6+1,$M$1,CO176+CP176-CQ176),IF(CN$13=$M$6,CHOOSE($Q$6+1,$M$1,OFFSET($A176,,$P$7-1)),IF(CN$13=$M$7,CHOOSE($Q$6+1,$M$1,SUM(OFFSET($A$11,$B176-$O$5,$O$6,1,-$P$6))),IF(CN$13=$M$8,CHOOSE($Q$6+1,$M$1,SUM(OFFSET($A$11,$B176-$O$5,$O$7,1,-$P$6))),IF(CN$11&lt;$D$7,OFFSET(INDIRECT($D$3),$A176-1,$Q$3+CN$11),OFFSET(INDIRECT($D$4),$A176-1,$Q$4+CN$11)))))))</f>
        <v/>
      </c>
      <c r="CO176" s="23" t="str">
        <f t="shared" ref="CO176:CO179" ca="1" si="804">IF(CO$11="","",IF(CO$13=$M$5,CHOOSE($Q$6+1,$M$1,CP176+CQ176-CR176),IF(CO$13=$M$6,CHOOSE($Q$6+1,$M$1,OFFSET($A176,,$P$7-1)),IF(CO$13=$M$7,CHOOSE($Q$6+1,$M$1,SUM(OFFSET($A$11,$B176-$O$5,$O$6,1,-$P$6))),IF(CO$13=$M$8,CHOOSE($Q$6+1,$M$1,SUM(OFFSET($A$11,$B176-$O$5,$O$7,1,-$P$6))),IF(CO$11&lt;$D$7,OFFSET(INDIRECT($D$3),$A176-1,$Q$3+CO$11),OFFSET(INDIRECT($D$4),$A176-1,$Q$4+CO$11)))))))</f>
        <v/>
      </c>
      <c r="CP176" s="23" t="str">
        <f t="shared" ref="CP176:CP179" ca="1" si="805">IF(CP$11="","",IF(CP$13=$M$5,CHOOSE($Q$6+1,$M$1,CQ176+CR176-CS176),IF(CP$13=$M$6,CHOOSE($Q$6+1,$M$1,OFFSET($A176,,$P$7-1)),IF(CP$13=$M$7,CHOOSE($Q$6+1,$M$1,SUM(OFFSET($A$11,$B176-$O$5,$O$6,1,-$P$6))),IF(CP$13=$M$8,CHOOSE($Q$6+1,$M$1,SUM(OFFSET($A$11,$B176-$O$5,$O$7,1,-$P$6))),IF(CP$11&lt;$D$7,OFFSET(INDIRECT($D$3),$A176-1,$Q$3+CP$11),OFFSET(INDIRECT($D$4),$A176-1,$Q$4+CP$11)))))))</f>
        <v/>
      </c>
      <c r="CQ176" s="23" t="str">
        <f t="shared" ref="CQ176:CQ179" ca="1" si="806">IF(CQ$11="","",IF(CQ$13=$M$5,CHOOSE($Q$6+1,$M$1,CR176+CS176-CT176),IF(CQ$13=$M$6,CHOOSE($Q$6+1,$M$1,OFFSET($A176,,$P$7-1)),IF(CQ$13=$M$7,CHOOSE($Q$6+1,$M$1,SUM(OFFSET($A$11,$B176-$O$5,$O$6,1,-$P$6))),IF(CQ$13=$M$8,CHOOSE($Q$6+1,$M$1,SUM(OFFSET($A$11,$B176-$O$5,$O$7,1,-$P$6))),IF(CQ$11&lt;$D$7,OFFSET(INDIRECT($D$3),$A176-1,$Q$3+CQ$11),OFFSET(INDIRECT($D$4),$A176-1,$Q$4+CQ$11)))))))</f>
        <v/>
      </c>
      <c r="CR176" s="23" t="str">
        <f t="shared" ref="CR176:CR179" ca="1" si="807">IF(CR$11="","",IF(CR$13=$M$5,CHOOSE($Q$6+1,$M$1,CS176+CT176-CU176),IF(CR$13=$M$6,CHOOSE($Q$6+1,$M$1,OFFSET($A176,,$P$7-1)),IF(CR$13=$M$7,CHOOSE($Q$6+1,$M$1,SUM(OFFSET($A$11,$B176-$O$5,$O$6,1,-$P$6))),IF(CR$13=$M$8,CHOOSE($Q$6+1,$M$1,SUM(OFFSET($A$11,$B176-$O$5,$O$7,1,-$P$6))),IF(CR$11&lt;$D$7,OFFSET(INDIRECT($D$3),$A176-1,$Q$3+CR$11),OFFSET(INDIRECT($D$4),$A176-1,$Q$4+CR$11)))))))</f>
        <v/>
      </c>
      <c r="CS176" s="23" t="str">
        <f t="shared" ref="CS176:CS179" ca="1" si="808">IF(CS$11="","",IF(CS$13=$M$5,CHOOSE($Q$6+1,$M$1,CT176+CU176-CV176),IF(CS$13=$M$6,CHOOSE($Q$6+1,$M$1,OFFSET($A176,,$P$7-1)),IF(CS$13=$M$7,CHOOSE($Q$6+1,$M$1,SUM(OFFSET($A$11,$B176-$O$5,$O$6,1,-$P$6))),IF(CS$13=$M$8,CHOOSE($Q$6+1,$M$1,SUM(OFFSET($A$11,$B176-$O$5,$O$7,1,-$P$6))),IF(CS$11&lt;$D$7,OFFSET(INDIRECT($D$3),$A176-1,$Q$3+CS$11),OFFSET(INDIRECT($D$4),$A176-1,$Q$4+CS$11)))))))</f>
        <v/>
      </c>
      <c r="CT176" s="23" t="str">
        <f t="shared" ref="CT176:CT179" ca="1" si="809">IF(CT$11="","",IF(CT$13=$M$5,CHOOSE($Q$6+1,$M$1,CU176+CV176-CW176),IF(CT$13=$M$6,CHOOSE($Q$6+1,$M$1,OFFSET($A176,,$P$7-1)),IF(CT$13=$M$7,CHOOSE($Q$6+1,$M$1,SUM(OFFSET($A$11,$B176-$O$5,$O$6,1,-$P$6))),IF(CT$13=$M$8,CHOOSE($Q$6+1,$M$1,SUM(OFFSET($A$11,$B176-$O$5,$O$7,1,-$P$6))),IF(CT$11&lt;$D$7,OFFSET(INDIRECT($D$3),$A176-1,$Q$3+CT$11),OFFSET(INDIRECT($D$4),$A176-1,$Q$4+CT$11)))))))</f>
        <v/>
      </c>
      <c r="CU176" s="23" t="str">
        <f t="shared" ref="CU176:CU179" ca="1" si="810">IF(CU$11="","",IF(CU$13=$M$5,CHOOSE($Q$6+1,$M$1,CV176+CW176-CX176),IF(CU$13=$M$6,CHOOSE($Q$6+1,$M$1,OFFSET($A176,,$P$7-1)),IF(CU$13=$M$7,CHOOSE($Q$6+1,$M$1,SUM(OFFSET($A$11,$B176-$O$5,$O$6,1,-$P$6))),IF(CU$13=$M$8,CHOOSE($Q$6+1,$M$1,SUM(OFFSET($A$11,$B176-$O$5,$O$7,1,-$P$6))),IF(CU$11&lt;$D$7,OFFSET(INDIRECT($D$3),$A176-1,$Q$3+CU$11),OFFSET(INDIRECT($D$4),$A176-1,$Q$4+CU$11)))))))</f>
        <v/>
      </c>
      <c r="CV176" s="23" t="str">
        <f t="shared" ref="CV176:CV179" ca="1" si="811">IF(CV$11="","",IF(CV$13=$M$5,CHOOSE($Q$6+1,$M$1,CW176+CX176-CY176),IF(CV$13=$M$6,CHOOSE($Q$6+1,$M$1,OFFSET($A176,,$P$7-1)),IF(CV$13=$M$7,CHOOSE($Q$6+1,$M$1,SUM(OFFSET($A$11,$B176-$O$5,$O$6,1,-$P$6))),IF(CV$13=$M$8,CHOOSE($Q$6+1,$M$1,SUM(OFFSET($A$11,$B176-$O$5,$O$7,1,-$P$6))),IF(CV$11&lt;$D$7,OFFSET(INDIRECT($D$3),$A176-1,$Q$3+CV$11),OFFSET(INDIRECT($D$4),$A176-1,$Q$4+CV$11)))))))</f>
        <v/>
      </c>
      <c r="CW176" s="23" t="str">
        <f t="shared" ref="CW176:CW179" ca="1" si="812">IF(CW$11="","",IF(CW$13=$M$5,CHOOSE($Q$6+1,$M$1,CX176+CY176-CZ176),IF(CW$13=$M$6,CHOOSE($Q$6+1,$M$1,OFFSET($A176,,$P$7-1)),IF(CW$13=$M$7,CHOOSE($Q$6+1,$M$1,SUM(OFFSET($A$11,$B176-$O$5,$O$6,1,-$P$6))),IF(CW$13=$M$8,CHOOSE($Q$6+1,$M$1,SUM(OFFSET($A$11,$B176-$O$5,$O$7,1,-$P$6))),IF(CW$11&lt;$D$7,OFFSET(INDIRECT($D$3),$A176-1,$Q$3+CW$11),OFFSET(INDIRECT($D$4),$A176-1,$Q$4+CW$11)))))))</f>
        <v/>
      </c>
      <c r="CX176" s="23" t="str">
        <f t="shared" ref="CX176:CX179" ca="1" si="813">IF(CX$11="","",IF(CX$13=$M$5,CHOOSE($Q$6+1,$M$1,CY176+CZ176-DA176),IF(CX$13=$M$6,CHOOSE($Q$6+1,$M$1,OFFSET($A176,,$P$7-1)),IF(CX$13=$M$7,CHOOSE($Q$6+1,$M$1,SUM(OFFSET($A$11,$B176-$O$5,$O$6,1,-$P$6))),IF(CX$13=$M$8,CHOOSE($Q$6+1,$M$1,SUM(OFFSET($A$11,$B176-$O$5,$O$7,1,-$P$6))),IF(CX$11&lt;$D$7,OFFSET(INDIRECT($D$3),$A176-1,$Q$3+CX$11),OFFSET(INDIRECT($D$4),$A176-1,$Q$4+CX$11)))))))</f>
        <v/>
      </c>
      <c r="CY176" s="23" t="str">
        <f t="shared" ref="CY176:CY179" ca="1" si="814">IF(CY$11="","",IF(CY$13=$M$5,CHOOSE($Q$6+1,$M$1,CZ176+DA176-DB176),IF(CY$13=$M$6,CHOOSE($Q$6+1,$M$1,OFFSET($A176,,$P$7-1)),IF(CY$13=$M$7,CHOOSE($Q$6+1,$M$1,SUM(OFFSET($A$11,$B176-$O$5,$O$6,1,-$P$6))),IF(CY$13=$M$8,CHOOSE($Q$6+1,$M$1,SUM(OFFSET($A$11,$B176-$O$5,$O$7,1,-$P$6))),IF(CY$11&lt;$D$7,OFFSET(INDIRECT($D$3),$A176-1,$Q$3+CY$11),OFFSET(INDIRECT($D$4),$A176-1,$Q$4+CY$11)))))))</f>
        <v/>
      </c>
      <c r="CZ176" s="23" t="str">
        <f t="shared" ref="CZ176:CZ179" ca="1" si="815">IF(CZ$11="","",IF(CZ$13=$M$5,CHOOSE($Q$6+1,$M$1,DA176+DB176-DC176),IF(CZ$13=$M$6,CHOOSE($Q$6+1,$M$1,OFFSET($A176,,$P$7-1)),IF(CZ$13=$M$7,CHOOSE($Q$6+1,$M$1,SUM(OFFSET($A$11,$B176-$O$5,$O$6,1,-$P$6))),IF(CZ$13=$M$8,CHOOSE($Q$6+1,$M$1,SUM(OFFSET($A$11,$B176-$O$5,$O$7,1,-$P$6))),IF(CZ$11&lt;$D$7,OFFSET(INDIRECT($D$3),$A176-1,$Q$3+CZ$11),OFFSET(INDIRECT($D$4),$A176-1,$Q$4+CZ$11)))))))</f>
        <v/>
      </c>
    </row>
    <row r="177" spans="1:104" ht="13.5" customHeight="1">
      <c r="A177" s="28">
        <v>157</v>
      </c>
      <c r="B177" s="33">
        <f t="shared" si="639"/>
        <v>177</v>
      </c>
      <c r="C177" s="8" t="s">
        <v>304</v>
      </c>
      <c r="D177" s="23">
        <f t="shared" ca="1" si="715"/>
        <v>1814</v>
      </c>
      <c r="E177" s="23">
        <f t="shared" ca="1" si="716"/>
        <v>3277</v>
      </c>
      <c r="F177" s="23">
        <f t="shared" ca="1" si="717"/>
        <v>790</v>
      </c>
      <c r="G177" s="23">
        <f t="shared" ca="1" si="718"/>
        <v>1271</v>
      </c>
      <c r="H177" s="23">
        <f t="shared" ca="1" si="719"/>
        <v>1814</v>
      </c>
      <c r="I177" s="23">
        <f t="shared" ca="1" si="720"/>
        <v>721</v>
      </c>
      <c r="J177" s="23">
        <f t="shared" ca="1" si="721"/>
        <v>1461</v>
      </c>
      <c r="K177" s="23">
        <f t="shared" ca="1" si="722"/>
        <v>2296</v>
      </c>
      <c r="L177" s="23">
        <f t="shared" ca="1" si="723"/>
        <v>3277</v>
      </c>
      <c r="M177" s="23">
        <f t="shared" ca="1" si="724"/>
        <v>1588</v>
      </c>
      <c r="N177" s="23">
        <f t="shared" ca="1" si="725"/>
        <v>4144</v>
      </c>
      <c r="O177" s="23">
        <f t="shared" ca="1" si="726"/>
        <v>3277</v>
      </c>
      <c r="P177" s="23">
        <f t="shared" ca="1" si="727"/>
        <v>1588</v>
      </c>
      <c r="Q177" s="23">
        <f t="shared" ca="1" si="728"/>
        <v>721</v>
      </c>
      <c r="R177" s="23" t="str">
        <f t="shared" ca="1" si="729"/>
        <v/>
      </c>
      <c r="S177" s="23" t="str">
        <f t="shared" ca="1" si="730"/>
        <v/>
      </c>
      <c r="T177" s="23" t="str">
        <f t="shared" ca="1" si="731"/>
        <v/>
      </c>
      <c r="U177" s="23" t="str">
        <f t="shared" ca="1" si="732"/>
        <v/>
      </c>
      <c r="V177" s="23" t="str">
        <f t="shared" ca="1" si="733"/>
        <v/>
      </c>
      <c r="W177" s="23" t="str">
        <f t="shared" ca="1" si="734"/>
        <v/>
      </c>
      <c r="X177" s="23" t="str">
        <f t="shared" ca="1" si="735"/>
        <v/>
      </c>
      <c r="Y177" s="23" t="str">
        <f t="shared" ca="1" si="736"/>
        <v/>
      </c>
      <c r="Z177" s="23" t="str">
        <f t="shared" ca="1" si="737"/>
        <v/>
      </c>
      <c r="AA177" s="23" t="str">
        <f t="shared" ca="1" si="738"/>
        <v/>
      </c>
      <c r="AB177" s="23" t="str">
        <f t="shared" ca="1" si="739"/>
        <v/>
      </c>
      <c r="AC177" s="23" t="str">
        <f t="shared" ca="1" si="740"/>
        <v/>
      </c>
      <c r="AD177" s="23" t="str">
        <f t="shared" ca="1" si="741"/>
        <v/>
      </c>
      <c r="AE177" s="23" t="str">
        <f t="shared" ca="1" si="742"/>
        <v/>
      </c>
      <c r="AF177" s="23" t="str">
        <f t="shared" ca="1" si="743"/>
        <v/>
      </c>
      <c r="AG177" s="23" t="str">
        <f t="shared" ca="1" si="744"/>
        <v/>
      </c>
      <c r="AH177" s="23" t="str">
        <f t="shared" ca="1" si="745"/>
        <v/>
      </c>
      <c r="AI177" s="23" t="str">
        <f t="shared" ca="1" si="746"/>
        <v/>
      </c>
      <c r="AJ177" s="23" t="str">
        <f t="shared" ca="1" si="747"/>
        <v/>
      </c>
      <c r="AK177" s="23" t="str">
        <f t="shared" ca="1" si="748"/>
        <v/>
      </c>
      <c r="AL177" s="23" t="str">
        <f t="shared" ca="1" si="749"/>
        <v/>
      </c>
      <c r="AM177" s="23" t="str">
        <f t="shared" ca="1" si="750"/>
        <v/>
      </c>
      <c r="AN177" s="23" t="str">
        <f t="shared" ca="1" si="751"/>
        <v/>
      </c>
      <c r="AO177" s="23" t="str">
        <f t="shared" ca="1" si="752"/>
        <v/>
      </c>
      <c r="AP177" s="23" t="str">
        <f t="shared" ca="1" si="753"/>
        <v/>
      </c>
      <c r="AQ177" s="23" t="str">
        <f t="shared" ca="1" si="754"/>
        <v/>
      </c>
      <c r="AR177" s="23" t="str">
        <f t="shared" ca="1" si="755"/>
        <v/>
      </c>
      <c r="AS177" s="23" t="str">
        <f t="shared" ca="1" si="756"/>
        <v/>
      </c>
      <c r="AT177" s="23" t="str">
        <f t="shared" ca="1" si="757"/>
        <v/>
      </c>
      <c r="AU177" s="23" t="str">
        <f t="shared" ca="1" si="758"/>
        <v/>
      </c>
      <c r="AV177" s="23" t="str">
        <f t="shared" ca="1" si="759"/>
        <v/>
      </c>
      <c r="AW177" s="23" t="str">
        <f t="shared" ca="1" si="760"/>
        <v/>
      </c>
      <c r="AX177" s="23" t="str">
        <f t="shared" ca="1" si="761"/>
        <v/>
      </c>
      <c r="AY177" s="23" t="str">
        <f t="shared" ca="1" si="762"/>
        <v/>
      </c>
      <c r="AZ177" s="23" t="str">
        <f t="shared" ca="1" si="763"/>
        <v/>
      </c>
      <c r="BA177" s="23" t="str">
        <f t="shared" ca="1" si="764"/>
        <v/>
      </c>
      <c r="BB177" s="23" t="str">
        <f t="shared" ca="1" si="765"/>
        <v/>
      </c>
      <c r="BC177" s="23" t="str">
        <f t="shared" ca="1" si="766"/>
        <v/>
      </c>
      <c r="BD177" s="23" t="str">
        <f t="shared" ca="1" si="767"/>
        <v/>
      </c>
      <c r="BE177" s="23" t="str">
        <f t="shared" ca="1" si="768"/>
        <v/>
      </c>
      <c r="BF177" s="23" t="str">
        <f t="shared" ca="1" si="769"/>
        <v/>
      </c>
      <c r="BG177" s="23" t="str">
        <f t="shared" ca="1" si="770"/>
        <v/>
      </c>
      <c r="BH177" s="23" t="str">
        <f t="shared" ca="1" si="771"/>
        <v/>
      </c>
      <c r="BI177" s="23" t="str">
        <f t="shared" ca="1" si="772"/>
        <v/>
      </c>
      <c r="BJ177" s="23" t="str">
        <f t="shared" ca="1" si="773"/>
        <v/>
      </c>
      <c r="BK177" s="23" t="str">
        <f t="shared" ca="1" si="774"/>
        <v/>
      </c>
      <c r="BL177" s="23" t="str">
        <f t="shared" ca="1" si="775"/>
        <v/>
      </c>
      <c r="BM177" s="23" t="str">
        <f t="shared" ca="1" si="776"/>
        <v/>
      </c>
      <c r="BN177" s="23" t="str">
        <f t="shared" ca="1" si="777"/>
        <v/>
      </c>
      <c r="BO177" s="23" t="str">
        <f t="shared" ca="1" si="778"/>
        <v/>
      </c>
      <c r="BP177" s="23" t="str">
        <f t="shared" ca="1" si="779"/>
        <v/>
      </c>
      <c r="BQ177" s="23" t="str">
        <f t="shared" ca="1" si="780"/>
        <v/>
      </c>
      <c r="BR177" s="23" t="str">
        <f t="shared" ca="1" si="781"/>
        <v/>
      </c>
      <c r="BS177" s="23" t="str">
        <f t="shared" ca="1" si="782"/>
        <v/>
      </c>
      <c r="BT177" s="23" t="str">
        <f t="shared" ca="1" si="783"/>
        <v/>
      </c>
      <c r="BU177" s="23" t="str">
        <f t="shared" ca="1" si="784"/>
        <v/>
      </c>
      <c r="BV177" s="23" t="str">
        <f t="shared" ca="1" si="785"/>
        <v/>
      </c>
      <c r="BW177" s="23" t="str">
        <f t="shared" ca="1" si="786"/>
        <v/>
      </c>
      <c r="BX177" s="23" t="str">
        <f t="shared" ca="1" si="787"/>
        <v/>
      </c>
      <c r="BY177" s="23" t="str">
        <f t="shared" ca="1" si="788"/>
        <v/>
      </c>
      <c r="BZ177" s="23" t="str">
        <f t="shared" ca="1" si="789"/>
        <v/>
      </c>
      <c r="CA177" s="23" t="str">
        <f t="shared" ca="1" si="790"/>
        <v/>
      </c>
      <c r="CB177" s="23" t="str">
        <f t="shared" ca="1" si="791"/>
        <v/>
      </c>
      <c r="CC177" s="23" t="str">
        <f t="shared" ca="1" si="792"/>
        <v/>
      </c>
      <c r="CD177" s="23" t="str">
        <f t="shared" ca="1" si="793"/>
        <v/>
      </c>
      <c r="CE177" s="23" t="str">
        <f t="shared" ca="1" si="794"/>
        <v/>
      </c>
      <c r="CF177" s="23" t="str">
        <f t="shared" ca="1" si="795"/>
        <v/>
      </c>
      <c r="CG177" s="23" t="str">
        <f t="shared" ca="1" si="796"/>
        <v/>
      </c>
      <c r="CH177" s="23" t="str">
        <f t="shared" ca="1" si="797"/>
        <v/>
      </c>
      <c r="CI177" s="23" t="str">
        <f t="shared" ca="1" si="798"/>
        <v/>
      </c>
      <c r="CJ177" s="23" t="str">
        <f t="shared" ca="1" si="799"/>
        <v/>
      </c>
      <c r="CK177" s="23" t="str">
        <f t="shared" ca="1" si="800"/>
        <v/>
      </c>
      <c r="CL177" s="23" t="str">
        <f t="shared" ca="1" si="801"/>
        <v/>
      </c>
      <c r="CM177" s="23" t="str">
        <f t="shared" ca="1" si="802"/>
        <v/>
      </c>
      <c r="CN177" s="23" t="str">
        <f t="shared" ca="1" si="803"/>
        <v/>
      </c>
      <c r="CO177" s="23" t="str">
        <f t="shared" ca="1" si="804"/>
        <v/>
      </c>
      <c r="CP177" s="23" t="str">
        <f t="shared" ca="1" si="805"/>
        <v/>
      </c>
      <c r="CQ177" s="23" t="str">
        <f t="shared" ca="1" si="806"/>
        <v/>
      </c>
      <c r="CR177" s="23" t="str">
        <f t="shared" ca="1" si="807"/>
        <v/>
      </c>
      <c r="CS177" s="23" t="str">
        <f t="shared" ca="1" si="808"/>
        <v/>
      </c>
      <c r="CT177" s="23" t="str">
        <f t="shared" ca="1" si="809"/>
        <v/>
      </c>
      <c r="CU177" s="23" t="str">
        <f t="shared" ca="1" si="810"/>
        <v/>
      </c>
      <c r="CV177" s="23" t="str">
        <f t="shared" ca="1" si="811"/>
        <v/>
      </c>
      <c r="CW177" s="23" t="str">
        <f t="shared" ca="1" si="812"/>
        <v/>
      </c>
      <c r="CX177" s="23" t="str">
        <f t="shared" ca="1" si="813"/>
        <v/>
      </c>
      <c r="CY177" s="23" t="str">
        <f t="shared" ca="1" si="814"/>
        <v/>
      </c>
      <c r="CZ177" s="23" t="str">
        <f t="shared" ca="1" si="815"/>
        <v/>
      </c>
    </row>
    <row r="178" spans="1:104" ht="13.5" customHeight="1">
      <c r="A178" s="28">
        <v>158</v>
      </c>
      <c r="B178" s="33">
        <f t="shared" si="639"/>
        <v>178</v>
      </c>
      <c r="C178" s="8" t="s">
        <v>305</v>
      </c>
      <c r="D178" s="23">
        <f t="shared" ca="1" si="715"/>
        <v>0</v>
      </c>
      <c r="E178" s="23">
        <f t="shared" ca="1" si="716"/>
        <v>0</v>
      </c>
      <c r="F178" s="23">
        <f t="shared" ca="1" si="717"/>
        <v>0</v>
      </c>
      <c r="G178" s="23">
        <f t="shared" ca="1" si="718"/>
        <v>0</v>
      </c>
      <c r="H178" s="23">
        <f t="shared" ca="1" si="719"/>
        <v>0</v>
      </c>
      <c r="I178" s="23">
        <f t="shared" ca="1" si="720"/>
        <v>0</v>
      </c>
      <c r="J178" s="23">
        <f t="shared" ca="1" si="721"/>
        <v>0</v>
      </c>
      <c r="K178" s="23">
        <f t="shared" ca="1" si="722"/>
        <v>0</v>
      </c>
      <c r="L178" s="23">
        <f t="shared" ca="1" si="723"/>
        <v>0</v>
      </c>
      <c r="M178" s="23">
        <f t="shared" ca="1" si="724"/>
        <v>0</v>
      </c>
      <c r="N178" s="23">
        <f t="shared" ca="1" si="725"/>
        <v>0</v>
      </c>
      <c r="O178" s="23">
        <f t="shared" ca="1" si="726"/>
        <v>0</v>
      </c>
      <c r="P178" s="23">
        <f t="shared" ca="1" si="727"/>
        <v>0</v>
      </c>
      <c r="Q178" s="23">
        <f t="shared" ca="1" si="728"/>
        <v>0</v>
      </c>
      <c r="R178" s="23" t="str">
        <f t="shared" ca="1" si="729"/>
        <v/>
      </c>
      <c r="S178" s="23" t="str">
        <f t="shared" ca="1" si="730"/>
        <v/>
      </c>
      <c r="T178" s="23" t="str">
        <f t="shared" ca="1" si="731"/>
        <v/>
      </c>
      <c r="U178" s="23" t="str">
        <f t="shared" ca="1" si="732"/>
        <v/>
      </c>
      <c r="V178" s="23" t="str">
        <f t="shared" ca="1" si="733"/>
        <v/>
      </c>
      <c r="W178" s="23" t="str">
        <f t="shared" ca="1" si="734"/>
        <v/>
      </c>
      <c r="X178" s="23" t="str">
        <f t="shared" ca="1" si="735"/>
        <v/>
      </c>
      <c r="Y178" s="23" t="str">
        <f t="shared" ca="1" si="736"/>
        <v/>
      </c>
      <c r="Z178" s="23" t="str">
        <f t="shared" ca="1" si="737"/>
        <v/>
      </c>
      <c r="AA178" s="23" t="str">
        <f t="shared" ca="1" si="738"/>
        <v/>
      </c>
      <c r="AB178" s="23" t="str">
        <f t="shared" ca="1" si="739"/>
        <v/>
      </c>
      <c r="AC178" s="23" t="str">
        <f t="shared" ca="1" si="740"/>
        <v/>
      </c>
      <c r="AD178" s="23" t="str">
        <f t="shared" ca="1" si="741"/>
        <v/>
      </c>
      <c r="AE178" s="23" t="str">
        <f t="shared" ca="1" si="742"/>
        <v/>
      </c>
      <c r="AF178" s="23" t="str">
        <f t="shared" ca="1" si="743"/>
        <v/>
      </c>
      <c r="AG178" s="23" t="str">
        <f t="shared" ca="1" si="744"/>
        <v/>
      </c>
      <c r="AH178" s="23" t="str">
        <f t="shared" ca="1" si="745"/>
        <v/>
      </c>
      <c r="AI178" s="23" t="str">
        <f t="shared" ca="1" si="746"/>
        <v/>
      </c>
      <c r="AJ178" s="23" t="str">
        <f t="shared" ca="1" si="747"/>
        <v/>
      </c>
      <c r="AK178" s="23" t="str">
        <f t="shared" ca="1" si="748"/>
        <v/>
      </c>
      <c r="AL178" s="23" t="str">
        <f t="shared" ca="1" si="749"/>
        <v/>
      </c>
      <c r="AM178" s="23" t="str">
        <f t="shared" ca="1" si="750"/>
        <v/>
      </c>
      <c r="AN178" s="23" t="str">
        <f t="shared" ca="1" si="751"/>
        <v/>
      </c>
      <c r="AO178" s="23" t="str">
        <f t="shared" ca="1" si="752"/>
        <v/>
      </c>
      <c r="AP178" s="23" t="str">
        <f t="shared" ca="1" si="753"/>
        <v/>
      </c>
      <c r="AQ178" s="23" t="str">
        <f t="shared" ca="1" si="754"/>
        <v/>
      </c>
      <c r="AR178" s="23" t="str">
        <f t="shared" ca="1" si="755"/>
        <v/>
      </c>
      <c r="AS178" s="23" t="str">
        <f t="shared" ca="1" si="756"/>
        <v/>
      </c>
      <c r="AT178" s="23" t="str">
        <f t="shared" ca="1" si="757"/>
        <v/>
      </c>
      <c r="AU178" s="23" t="str">
        <f t="shared" ca="1" si="758"/>
        <v/>
      </c>
      <c r="AV178" s="23" t="str">
        <f t="shared" ca="1" si="759"/>
        <v/>
      </c>
      <c r="AW178" s="23" t="str">
        <f t="shared" ca="1" si="760"/>
        <v/>
      </c>
      <c r="AX178" s="23" t="str">
        <f t="shared" ca="1" si="761"/>
        <v/>
      </c>
      <c r="AY178" s="23" t="str">
        <f t="shared" ca="1" si="762"/>
        <v/>
      </c>
      <c r="AZ178" s="23" t="str">
        <f t="shared" ca="1" si="763"/>
        <v/>
      </c>
      <c r="BA178" s="23" t="str">
        <f t="shared" ca="1" si="764"/>
        <v/>
      </c>
      <c r="BB178" s="23" t="str">
        <f t="shared" ca="1" si="765"/>
        <v/>
      </c>
      <c r="BC178" s="23" t="str">
        <f t="shared" ca="1" si="766"/>
        <v/>
      </c>
      <c r="BD178" s="23" t="str">
        <f t="shared" ca="1" si="767"/>
        <v/>
      </c>
      <c r="BE178" s="23" t="str">
        <f t="shared" ca="1" si="768"/>
        <v/>
      </c>
      <c r="BF178" s="23" t="str">
        <f t="shared" ca="1" si="769"/>
        <v/>
      </c>
      <c r="BG178" s="23" t="str">
        <f t="shared" ca="1" si="770"/>
        <v/>
      </c>
      <c r="BH178" s="23" t="str">
        <f t="shared" ca="1" si="771"/>
        <v/>
      </c>
      <c r="BI178" s="23" t="str">
        <f t="shared" ca="1" si="772"/>
        <v/>
      </c>
      <c r="BJ178" s="23" t="str">
        <f t="shared" ca="1" si="773"/>
        <v/>
      </c>
      <c r="BK178" s="23" t="str">
        <f t="shared" ca="1" si="774"/>
        <v/>
      </c>
      <c r="BL178" s="23" t="str">
        <f t="shared" ca="1" si="775"/>
        <v/>
      </c>
      <c r="BM178" s="23" t="str">
        <f t="shared" ca="1" si="776"/>
        <v/>
      </c>
      <c r="BN178" s="23" t="str">
        <f t="shared" ca="1" si="777"/>
        <v/>
      </c>
      <c r="BO178" s="23" t="str">
        <f t="shared" ca="1" si="778"/>
        <v/>
      </c>
      <c r="BP178" s="23" t="str">
        <f t="shared" ca="1" si="779"/>
        <v/>
      </c>
      <c r="BQ178" s="23" t="str">
        <f t="shared" ca="1" si="780"/>
        <v/>
      </c>
      <c r="BR178" s="23" t="str">
        <f t="shared" ca="1" si="781"/>
        <v/>
      </c>
      <c r="BS178" s="23" t="str">
        <f t="shared" ca="1" si="782"/>
        <v/>
      </c>
      <c r="BT178" s="23" t="str">
        <f t="shared" ca="1" si="783"/>
        <v/>
      </c>
      <c r="BU178" s="23" t="str">
        <f t="shared" ca="1" si="784"/>
        <v/>
      </c>
      <c r="BV178" s="23" t="str">
        <f t="shared" ca="1" si="785"/>
        <v/>
      </c>
      <c r="BW178" s="23" t="str">
        <f t="shared" ca="1" si="786"/>
        <v/>
      </c>
      <c r="BX178" s="23" t="str">
        <f t="shared" ca="1" si="787"/>
        <v/>
      </c>
      <c r="BY178" s="23" t="str">
        <f t="shared" ca="1" si="788"/>
        <v/>
      </c>
      <c r="BZ178" s="23" t="str">
        <f t="shared" ca="1" si="789"/>
        <v/>
      </c>
      <c r="CA178" s="23" t="str">
        <f t="shared" ca="1" si="790"/>
        <v/>
      </c>
      <c r="CB178" s="23" t="str">
        <f t="shared" ca="1" si="791"/>
        <v/>
      </c>
      <c r="CC178" s="23" t="str">
        <f t="shared" ca="1" si="792"/>
        <v/>
      </c>
      <c r="CD178" s="23" t="str">
        <f t="shared" ca="1" si="793"/>
        <v/>
      </c>
      <c r="CE178" s="23" t="str">
        <f t="shared" ca="1" si="794"/>
        <v/>
      </c>
      <c r="CF178" s="23" t="str">
        <f t="shared" ca="1" si="795"/>
        <v/>
      </c>
      <c r="CG178" s="23" t="str">
        <f t="shared" ca="1" si="796"/>
        <v/>
      </c>
      <c r="CH178" s="23" t="str">
        <f t="shared" ca="1" si="797"/>
        <v/>
      </c>
      <c r="CI178" s="23" t="str">
        <f t="shared" ca="1" si="798"/>
        <v/>
      </c>
      <c r="CJ178" s="23" t="str">
        <f t="shared" ca="1" si="799"/>
        <v/>
      </c>
      <c r="CK178" s="23" t="str">
        <f t="shared" ca="1" si="800"/>
        <v/>
      </c>
      <c r="CL178" s="23" t="str">
        <f t="shared" ca="1" si="801"/>
        <v/>
      </c>
      <c r="CM178" s="23" t="str">
        <f t="shared" ca="1" si="802"/>
        <v/>
      </c>
      <c r="CN178" s="23" t="str">
        <f t="shared" ca="1" si="803"/>
        <v/>
      </c>
      <c r="CO178" s="23" t="str">
        <f t="shared" ca="1" si="804"/>
        <v/>
      </c>
      <c r="CP178" s="23" t="str">
        <f t="shared" ca="1" si="805"/>
        <v/>
      </c>
      <c r="CQ178" s="23" t="str">
        <f t="shared" ca="1" si="806"/>
        <v/>
      </c>
      <c r="CR178" s="23" t="str">
        <f t="shared" ca="1" si="807"/>
        <v/>
      </c>
      <c r="CS178" s="23" t="str">
        <f t="shared" ca="1" si="808"/>
        <v/>
      </c>
      <c r="CT178" s="23" t="str">
        <f t="shared" ca="1" si="809"/>
        <v/>
      </c>
      <c r="CU178" s="23" t="str">
        <f t="shared" ca="1" si="810"/>
        <v/>
      </c>
      <c r="CV178" s="23" t="str">
        <f t="shared" ca="1" si="811"/>
        <v/>
      </c>
      <c r="CW178" s="23" t="str">
        <f t="shared" ca="1" si="812"/>
        <v/>
      </c>
      <c r="CX178" s="23" t="str">
        <f t="shared" ca="1" si="813"/>
        <v/>
      </c>
      <c r="CY178" s="23" t="str">
        <f t="shared" ca="1" si="814"/>
        <v/>
      </c>
      <c r="CZ178" s="23" t="str">
        <f t="shared" ca="1" si="815"/>
        <v/>
      </c>
    </row>
    <row r="179" spans="1:104" ht="13.5" customHeight="1">
      <c r="A179" s="28">
        <v>159</v>
      </c>
      <c r="B179" s="33">
        <f t="shared" si="639"/>
        <v>179</v>
      </c>
      <c r="C179" s="8" t="s">
        <v>306</v>
      </c>
      <c r="D179" s="23">
        <f t="shared" ca="1" si="715"/>
        <v>0</v>
      </c>
      <c r="E179" s="23">
        <f t="shared" ca="1" si="716"/>
        <v>0</v>
      </c>
      <c r="F179" s="23">
        <f t="shared" ca="1" si="717"/>
        <v>0</v>
      </c>
      <c r="G179" s="23">
        <f t="shared" ca="1" si="718"/>
        <v>0</v>
      </c>
      <c r="H179" s="23">
        <f t="shared" ca="1" si="719"/>
        <v>0</v>
      </c>
      <c r="I179" s="23">
        <f t="shared" ca="1" si="720"/>
        <v>0</v>
      </c>
      <c r="J179" s="23">
        <f t="shared" ca="1" si="721"/>
        <v>0</v>
      </c>
      <c r="K179" s="23">
        <f t="shared" ca="1" si="722"/>
        <v>0</v>
      </c>
      <c r="L179" s="23">
        <f t="shared" ca="1" si="723"/>
        <v>0</v>
      </c>
      <c r="M179" s="23">
        <f t="shared" ca="1" si="724"/>
        <v>0</v>
      </c>
      <c r="N179" s="23">
        <f t="shared" ca="1" si="725"/>
        <v>0</v>
      </c>
      <c r="O179" s="23">
        <f t="shared" ca="1" si="726"/>
        <v>0</v>
      </c>
      <c r="P179" s="23">
        <f t="shared" ca="1" si="727"/>
        <v>0</v>
      </c>
      <c r="Q179" s="23">
        <f t="shared" ca="1" si="728"/>
        <v>0</v>
      </c>
      <c r="R179" s="23" t="str">
        <f t="shared" ca="1" si="729"/>
        <v/>
      </c>
      <c r="S179" s="23" t="str">
        <f t="shared" ca="1" si="730"/>
        <v/>
      </c>
      <c r="T179" s="23" t="str">
        <f t="shared" ca="1" si="731"/>
        <v/>
      </c>
      <c r="U179" s="23" t="str">
        <f t="shared" ca="1" si="732"/>
        <v/>
      </c>
      <c r="V179" s="23" t="str">
        <f t="shared" ca="1" si="733"/>
        <v/>
      </c>
      <c r="W179" s="23" t="str">
        <f t="shared" ca="1" si="734"/>
        <v/>
      </c>
      <c r="X179" s="23" t="str">
        <f t="shared" ca="1" si="735"/>
        <v/>
      </c>
      <c r="Y179" s="23" t="str">
        <f t="shared" ca="1" si="736"/>
        <v/>
      </c>
      <c r="Z179" s="23" t="str">
        <f t="shared" ca="1" si="737"/>
        <v/>
      </c>
      <c r="AA179" s="23" t="str">
        <f t="shared" ca="1" si="738"/>
        <v/>
      </c>
      <c r="AB179" s="23" t="str">
        <f t="shared" ca="1" si="739"/>
        <v/>
      </c>
      <c r="AC179" s="23" t="str">
        <f t="shared" ca="1" si="740"/>
        <v/>
      </c>
      <c r="AD179" s="23" t="str">
        <f t="shared" ca="1" si="741"/>
        <v/>
      </c>
      <c r="AE179" s="23" t="str">
        <f t="shared" ca="1" si="742"/>
        <v/>
      </c>
      <c r="AF179" s="23" t="str">
        <f t="shared" ca="1" si="743"/>
        <v/>
      </c>
      <c r="AG179" s="23" t="str">
        <f t="shared" ca="1" si="744"/>
        <v/>
      </c>
      <c r="AH179" s="23" t="str">
        <f t="shared" ca="1" si="745"/>
        <v/>
      </c>
      <c r="AI179" s="23" t="str">
        <f t="shared" ca="1" si="746"/>
        <v/>
      </c>
      <c r="AJ179" s="23" t="str">
        <f t="shared" ca="1" si="747"/>
        <v/>
      </c>
      <c r="AK179" s="23" t="str">
        <f t="shared" ca="1" si="748"/>
        <v/>
      </c>
      <c r="AL179" s="23" t="str">
        <f t="shared" ca="1" si="749"/>
        <v/>
      </c>
      <c r="AM179" s="23" t="str">
        <f t="shared" ca="1" si="750"/>
        <v/>
      </c>
      <c r="AN179" s="23" t="str">
        <f t="shared" ca="1" si="751"/>
        <v/>
      </c>
      <c r="AO179" s="23" t="str">
        <f t="shared" ca="1" si="752"/>
        <v/>
      </c>
      <c r="AP179" s="23" t="str">
        <f t="shared" ca="1" si="753"/>
        <v/>
      </c>
      <c r="AQ179" s="23" t="str">
        <f t="shared" ca="1" si="754"/>
        <v/>
      </c>
      <c r="AR179" s="23" t="str">
        <f t="shared" ca="1" si="755"/>
        <v/>
      </c>
      <c r="AS179" s="23" t="str">
        <f t="shared" ca="1" si="756"/>
        <v/>
      </c>
      <c r="AT179" s="23" t="str">
        <f t="shared" ca="1" si="757"/>
        <v/>
      </c>
      <c r="AU179" s="23" t="str">
        <f t="shared" ca="1" si="758"/>
        <v/>
      </c>
      <c r="AV179" s="23" t="str">
        <f t="shared" ca="1" si="759"/>
        <v/>
      </c>
      <c r="AW179" s="23" t="str">
        <f t="shared" ca="1" si="760"/>
        <v/>
      </c>
      <c r="AX179" s="23" t="str">
        <f t="shared" ca="1" si="761"/>
        <v/>
      </c>
      <c r="AY179" s="23" t="str">
        <f t="shared" ca="1" si="762"/>
        <v/>
      </c>
      <c r="AZ179" s="23" t="str">
        <f t="shared" ca="1" si="763"/>
        <v/>
      </c>
      <c r="BA179" s="23" t="str">
        <f t="shared" ca="1" si="764"/>
        <v/>
      </c>
      <c r="BB179" s="23" t="str">
        <f t="shared" ca="1" si="765"/>
        <v/>
      </c>
      <c r="BC179" s="23" t="str">
        <f t="shared" ca="1" si="766"/>
        <v/>
      </c>
      <c r="BD179" s="23" t="str">
        <f t="shared" ca="1" si="767"/>
        <v/>
      </c>
      <c r="BE179" s="23" t="str">
        <f t="shared" ca="1" si="768"/>
        <v/>
      </c>
      <c r="BF179" s="23" t="str">
        <f t="shared" ca="1" si="769"/>
        <v/>
      </c>
      <c r="BG179" s="23" t="str">
        <f t="shared" ca="1" si="770"/>
        <v/>
      </c>
      <c r="BH179" s="23" t="str">
        <f t="shared" ca="1" si="771"/>
        <v/>
      </c>
      <c r="BI179" s="23" t="str">
        <f t="shared" ca="1" si="772"/>
        <v/>
      </c>
      <c r="BJ179" s="23" t="str">
        <f t="shared" ca="1" si="773"/>
        <v/>
      </c>
      <c r="BK179" s="23" t="str">
        <f t="shared" ca="1" si="774"/>
        <v/>
      </c>
      <c r="BL179" s="23" t="str">
        <f t="shared" ca="1" si="775"/>
        <v/>
      </c>
      <c r="BM179" s="23" t="str">
        <f t="shared" ca="1" si="776"/>
        <v/>
      </c>
      <c r="BN179" s="23" t="str">
        <f t="shared" ca="1" si="777"/>
        <v/>
      </c>
      <c r="BO179" s="23" t="str">
        <f t="shared" ca="1" si="778"/>
        <v/>
      </c>
      <c r="BP179" s="23" t="str">
        <f t="shared" ca="1" si="779"/>
        <v/>
      </c>
      <c r="BQ179" s="23" t="str">
        <f t="shared" ca="1" si="780"/>
        <v/>
      </c>
      <c r="BR179" s="23" t="str">
        <f t="shared" ca="1" si="781"/>
        <v/>
      </c>
      <c r="BS179" s="23" t="str">
        <f t="shared" ca="1" si="782"/>
        <v/>
      </c>
      <c r="BT179" s="23" t="str">
        <f t="shared" ca="1" si="783"/>
        <v/>
      </c>
      <c r="BU179" s="23" t="str">
        <f t="shared" ca="1" si="784"/>
        <v/>
      </c>
      <c r="BV179" s="23" t="str">
        <f t="shared" ca="1" si="785"/>
        <v/>
      </c>
      <c r="BW179" s="23" t="str">
        <f t="shared" ca="1" si="786"/>
        <v/>
      </c>
      <c r="BX179" s="23" t="str">
        <f t="shared" ca="1" si="787"/>
        <v/>
      </c>
      <c r="BY179" s="23" t="str">
        <f t="shared" ca="1" si="788"/>
        <v/>
      </c>
      <c r="BZ179" s="23" t="str">
        <f t="shared" ca="1" si="789"/>
        <v/>
      </c>
      <c r="CA179" s="23" t="str">
        <f t="shared" ca="1" si="790"/>
        <v/>
      </c>
      <c r="CB179" s="23" t="str">
        <f t="shared" ca="1" si="791"/>
        <v/>
      </c>
      <c r="CC179" s="23" t="str">
        <f t="shared" ca="1" si="792"/>
        <v/>
      </c>
      <c r="CD179" s="23" t="str">
        <f t="shared" ca="1" si="793"/>
        <v/>
      </c>
      <c r="CE179" s="23" t="str">
        <f t="shared" ca="1" si="794"/>
        <v/>
      </c>
      <c r="CF179" s="23" t="str">
        <f t="shared" ca="1" si="795"/>
        <v/>
      </c>
      <c r="CG179" s="23" t="str">
        <f t="shared" ca="1" si="796"/>
        <v/>
      </c>
      <c r="CH179" s="23" t="str">
        <f t="shared" ca="1" si="797"/>
        <v/>
      </c>
      <c r="CI179" s="23" t="str">
        <f t="shared" ca="1" si="798"/>
        <v/>
      </c>
      <c r="CJ179" s="23" t="str">
        <f t="shared" ca="1" si="799"/>
        <v/>
      </c>
      <c r="CK179" s="23" t="str">
        <f t="shared" ca="1" si="800"/>
        <v/>
      </c>
      <c r="CL179" s="23" t="str">
        <f t="shared" ca="1" si="801"/>
        <v/>
      </c>
      <c r="CM179" s="23" t="str">
        <f t="shared" ca="1" si="802"/>
        <v/>
      </c>
      <c r="CN179" s="23" t="str">
        <f t="shared" ca="1" si="803"/>
        <v/>
      </c>
      <c r="CO179" s="23" t="str">
        <f t="shared" ca="1" si="804"/>
        <v/>
      </c>
      <c r="CP179" s="23" t="str">
        <f t="shared" ca="1" si="805"/>
        <v/>
      </c>
      <c r="CQ179" s="23" t="str">
        <f t="shared" ca="1" si="806"/>
        <v/>
      </c>
      <c r="CR179" s="23" t="str">
        <f t="shared" ca="1" si="807"/>
        <v/>
      </c>
      <c r="CS179" s="23" t="str">
        <f t="shared" ca="1" si="808"/>
        <v/>
      </c>
      <c r="CT179" s="23" t="str">
        <f t="shared" ca="1" si="809"/>
        <v/>
      </c>
      <c r="CU179" s="23" t="str">
        <f t="shared" ca="1" si="810"/>
        <v/>
      </c>
      <c r="CV179" s="23" t="str">
        <f t="shared" ca="1" si="811"/>
        <v/>
      </c>
      <c r="CW179" s="23" t="str">
        <f t="shared" ca="1" si="812"/>
        <v/>
      </c>
      <c r="CX179" s="23" t="str">
        <f t="shared" ca="1" si="813"/>
        <v/>
      </c>
      <c r="CY179" s="23" t="str">
        <f t="shared" ca="1" si="814"/>
        <v/>
      </c>
      <c r="CZ179" s="23" t="str">
        <f t="shared" ca="1" si="815"/>
        <v/>
      </c>
    </row>
    <row r="180" spans="1:104" ht="13.5" customHeight="1">
      <c r="A180" s="27">
        <v>160</v>
      </c>
      <c r="B180" s="33">
        <f t="shared" si="639"/>
        <v>180</v>
      </c>
      <c r="C180" s="8" t="s">
        <v>403</v>
      </c>
      <c r="D180" s="23">
        <f t="shared" ref="D180:D190" ca="1" si="816">IF(D$11="","",IF(D$13=$M$5,CHOOSE($Q$6+1,$M$1,E180+F180-G180),IF(D$13=$M$6,CHOOSE($Q$6+1,$M$1,OFFSET($A180,,$P$7-1)),IF(D$13=$M$7,CHOOSE($Q$6+1,$M$1,SUM(OFFSET($A$11,$B180-$O$5,$O$6,1,-$P$6))),IF(D$13=$M$8,CHOOSE($Q$6+1,$M$1,SUM(OFFSET($A$11,$B180-$O$5,$O$7,1,-$P$6))),IF(D$11&lt;$D$7,OFFSET(INDIRECT($D$3),$A180-1,$Q$3+D$11),OFFSET(INDIRECT($D$4),$A180-1,$Q$4+D$11)))))))</f>
        <v>2868</v>
      </c>
      <c r="E180" s="23">
        <f t="shared" ref="E180:E190" ca="1" si="817">IF(E$11="","",IF(E$13=$M$5,CHOOSE($Q$6+1,$M$1,F180+G180-H180),IF(E$13=$M$6,CHOOSE($Q$6+1,$M$1,OFFSET($A180,,$P$7-1)),IF(E$13=$M$7,CHOOSE($Q$6+1,$M$1,SUM(OFFSET($A$11,$B180-$O$5,$O$6,1,-$P$6))),IF(E$13=$M$8,CHOOSE($Q$6+1,$M$1,SUM(OFFSET($A$11,$B180-$O$5,$O$7,1,-$P$6))),IF(E$11&lt;$D$7,OFFSET(INDIRECT($D$3),$A180-1,$Q$3+E$11),OFFSET(INDIRECT($D$4),$A180-1,$Q$4+E$11)))))))</f>
        <v>4405</v>
      </c>
      <c r="F180" s="23">
        <f t="shared" ref="F180:F190" ca="1" si="818">IF(F$11="","",IF(F$13=$M$5,CHOOSE($Q$6+1,$M$1,G180+H180-I180),IF(F$13=$M$6,CHOOSE($Q$6+1,$M$1,OFFSET($A180,,$P$7-1)),IF(F$13=$M$7,CHOOSE($Q$6+1,$M$1,SUM(OFFSET($A$11,$B180-$O$5,$O$6,1,-$P$6))),IF(F$13=$M$8,CHOOSE($Q$6+1,$M$1,SUM(OFFSET($A$11,$B180-$O$5,$O$7,1,-$P$6))),IF(F$11&lt;$D$7,OFFSET(INDIRECT($D$3),$A180-1,$Q$3+F$11),OFFSET(INDIRECT($D$4),$A180-1,$Q$4+F$11)))))))</f>
        <v>1563</v>
      </c>
      <c r="G180" s="23">
        <f t="shared" ref="G180:G190" ca="1" si="819">IF(G$11="","",IF(G$13=$M$5,CHOOSE($Q$6+1,$M$1,H180+I180-J180),IF(G$13=$M$6,CHOOSE($Q$6+1,$M$1,OFFSET($A180,,$P$7-1)),IF(G$13=$M$7,CHOOSE($Q$6+1,$M$1,SUM(OFFSET($A$11,$B180-$O$5,$O$6,1,-$P$6))),IF(G$13=$M$8,CHOOSE($Q$6+1,$M$1,SUM(OFFSET($A$11,$B180-$O$5,$O$7,1,-$P$6))),IF(G$11&lt;$D$7,OFFSET(INDIRECT($D$3),$A180-1,$Q$3+G$11),OFFSET(INDIRECT($D$4),$A180-1,$Q$4+G$11)))))))</f>
        <v>2232</v>
      </c>
      <c r="H180" s="23">
        <f t="shared" ref="H180:H190" ca="1" si="820">IF(H$11="","",IF(H$13=$M$5,CHOOSE($Q$6+1,$M$1,I180+J180-K180),IF(H$13=$M$6,CHOOSE($Q$6+1,$M$1,OFFSET($A180,,$P$7-1)),IF(H$13=$M$7,CHOOSE($Q$6+1,$M$1,SUM(OFFSET($A$11,$B180-$O$5,$O$6,1,-$P$6))),IF(H$13=$M$8,CHOOSE($Q$6+1,$M$1,SUM(OFFSET($A$11,$B180-$O$5,$O$7,1,-$P$6))),IF(H$11&lt;$D$7,OFFSET(INDIRECT($D$3),$A180-1,$Q$3+H$11),OFFSET(INDIRECT($D$4),$A180-1,$Q$4+H$11)))))))</f>
        <v>2868</v>
      </c>
      <c r="I180" s="23">
        <f t="shared" ref="I180:I190" ca="1" si="821">IF(I$11="","",IF(I$13=$M$5,CHOOSE($Q$6+1,$M$1,J180+K180-L180),IF(I$13=$M$6,CHOOSE($Q$6+1,$M$1,OFFSET($A180,,$P$7-1)),IF(I$13=$M$7,CHOOSE($Q$6+1,$M$1,SUM(OFFSET($A$11,$B180-$O$5,$O$6,1,-$P$6))),IF(I$13=$M$8,CHOOSE($Q$6+1,$M$1,SUM(OFFSET($A$11,$B180-$O$5,$O$7,1,-$P$6))),IF(I$11&lt;$D$7,OFFSET(INDIRECT($D$3),$A180-1,$Q$3+I$11),OFFSET(INDIRECT($D$4),$A180-1,$Q$4+I$11)))))))</f>
        <v>1456</v>
      </c>
      <c r="J180" s="23">
        <f t="shared" ref="J180:J190" ca="1" si="822">IF(J$11="","",IF(J$13=$M$5,CHOOSE($Q$6+1,$M$1,K180+L180-M180),IF(J$13=$M$6,CHOOSE($Q$6+1,$M$1,OFFSET($A180,,$P$7-1)),IF(J$13=$M$7,CHOOSE($Q$6+1,$M$1,SUM(OFFSET($A$11,$B180-$O$5,$O$6,1,-$P$6))),IF(J$13=$M$8,CHOOSE($Q$6+1,$M$1,SUM(OFFSET($A$11,$B180-$O$5,$O$7,1,-$P$6))),IF(J$11&lt;$D$7,OFFSET(INDIRECT($D$3),$A180-1,$Q$3+J$11),OFFSET(INDIRECT($D$4),$A180-1,$Q$4+J$11)))))))</f>
        <v>2915</v>
      </c>
      <c r="K180" s="23">
        <f t="shared" ref="K180:K190" ca="1" si="823">IF(K$11="","",IF(K$13=$M$5,CHOOSE($Q$6+1,$M$1,L180+M180-N180),IF(K$13=$M$6,CHOOSE($Q$6+1,$M$1,OFFSET($A180,,$P$7-1)),IF(K$13=$M$7,CHOOSE($Q$6+1,$M$1,SUM(OFFSET($A$11,$B180-$O$5,$O$6,1,-$P$6))),IF(K$13=$M$8,CHOOSE($Q$6+1,$M$1,SUM(OFFSET($A$11,$B180-$O$5,$O$7,1,-$P$6))),IF(K$11&lt;$D$7,OFFSET(INDIRECT($D$3),$A180-1,$Q$3+K$11),OFFSET(INDIRECT($D$4),$A180-1,$Q$4+K$11)))))))</f>
        <v>4066</v>
      </c>
      <c r="L180" s="23">
        <f t="shared" ref="L180:L190" ca="1" si="824">IF(L$11="","",IF(L$13=$M$5,CHOOSE($Q$6+1,$M$1,M180+N180-O180),IF(L$13=$M$6,CHOOSE($Q$6+1,$M$1,OFFSET($A180,,$P$7-1)),IF(L$13=$M$7,CHOOSE($Q$6+1,$M$1,SUM(OFFSET($A$11,$B180-$O$5,$O$6,1,-$P$6))),IF(L$13=$M$8,CHOOSE($Q$6+1,$M$1,SUM(OFFSET($A$11,$B180-$O$5,$O$7,1,-$P$6))),IF(L$11&lt;$D$7,OFFSET(INDIRECT($D$3),$A180-1,$Q$3+L$11),OFFSET(INDIRECT($D$4),$A180-1,$Q$4+L$11)))))))</f>
        <v>4405</v>
      </c>
      <c r="M180" s="23">
        <f t="shared" ref="M180:M190" ca="1" si="825">IF(M$11="","",IF(M$13=$M$5,CHOOSE($Q$6+1,$M$1,N180+O180-P180),IF(M$13=$M$6,CHOOSE($Q$6+1,$M$1,OFFSET($A180,,$P$7-1)),IF(M$13=$M$7,CHOOSE($Q$6+1,$M$1,SUM(OFFSET($A$11,$B180-$O$5,$O$6,1,-$P$6))),IF(M$13=$M$8,CHOOSE($Q$6+1,$M$1,SUM(OFFSET($A$11,$B180-$O$5,$O$7,1,-$P$6))),IF(M$11&lt;$D$7,OFFSET(INDIRECT($D$3),$A180-1,$Q$3+M$11),OFFSET(INDIRECT($D$4),$A180-1,$Q$4+M$11)))))))</f>
        <v>1179</v>
      </c>
      <c r="N180" s="23">
        <f t="shared" ref="N180:N190" ca="1" si="826">IF(N$11="","",IF(N$13=$M$5,CHOOSE($Q$6+1,$M$1,O180+P180-Q180),IF(N$13=$M$6,CHOOSE($Q$6+1,$M$1,OFFSET($A180,,$P$7-1)),IF(N$13=$M$7,CHOOSE($Q$6+1,$M$1,SUM(OFFSET($A$11,$B180-$O$5,$O$6,1,-$P$6))),IF(N$13=$M$8,CHOOSE($Q$6+1,$M$1,SUM(OFFSET($A$11,$B180-$O$5,$O$7,1,-$P$6))),IF(N$11&lt;$D$7,OFFSET(INDIRECT($D$3),$A180-1,$Q$3+N$11),OFFSET(INDIRECT($D$4),$A180-1,$Q$4+N$11)))))))</f>
        <v>4128</v>
      </c>
      <c r="O180" s="23">
        <f t="shared" ref="O180:O190" ca="1" si="827">IF(O$11="","",IF(O$13=$M$5,CHOOSE($Q$6+1,$M$1,P180+Q180-R180),IF(O$13=$M$6,CHOOSE($Q$6+1,$M$1,OFFSET($A180,,$P$7-1)),IF(O$13=$M$7,CHOOSE($Q$6+1,$M$1,SUM(OFFSET($A$11,$B180-$O$5,$O$6,1,-$P$6))),IF(O$13=$M$8,CHOOSE($Q$6+1,$M$1,SUM(OFFSET($A$11,$B180-$O$5,$O$7,1,-$P$6))),IF(O$11&lt;$D$7,OFFSET(INDIRECT($D$3),$A180-1,$Q$3+O$11),OFFSET(INDIRECT($D$4),$A180-1,$Q$4+O$11)))))))</f>
        <v>4405</v>
      </c>
      <c r="P180" s="23">
        <f t="shared" ref="P180:P190" ca="1" si="828">IF(P$11="","",IF(P$13=$M$5,CHOOSE($Q$6+1,$M$1,Q180+R180-S180),IF(P$13=$M$6,CHOOSE($Q$6+1,$M$1,OFFSET($A180,,$P$7-1)),IF(P$13=$M$7,CHOOSE($Q$6+1,$M$1,SUM(OFFSET($A$11,$B180-$O$5,$O$6,1,-$P$6))),IF(P$13=$M$8,CHOOSE($Q$6+1,$M$1,SUM(OFFSET($A$11,$B180-$O$5,$O$7,1,-$P$6))),IF(P$11&lt;$D$7,OFFSET(INDIRECT($D$3),$A180-1,$Q$3+P$11),OFFSET(INDIRECT($D$4),$A180-1,$Q$4+P$11)))))))</f>
        <v>1179</v>
      </c>
      <c r="Q180" s="23">
        <f t="shared" ref="Q180:Q190" ca="1" si="829">IF(Q$11="","",IF(Q$13=$M$5,CHOOSE($Q$6+1,$M$1,R180+S180-T180),IF(Q$13=$M$6,CHOOSE($Q$6+1,$M$1,OFFSET($A180,,$P$7-1)),IF(Q$13=$M$7,CHOOSE($Q$6+1,$M$1,SUM(OFFSET($A$11,$B180-$O$5,$O$6,1,-$P$6))),IF(Q$13=$M$8,CHOOSE($Q$6+1,$M$1,SUM(OFFSET($A$11,$B180-$O$5,$O$7,1,-$P$6))),IF(Q$11&lt;$D$7,OFFSET(INDIRECT($D$3),$A180-1,$Q$3+Q$11),OFFSET(INDIRECT($D$4),$A180-1,$Q$4+Q$11)))))))</f>
        <v>1456</v>
      </c>
      <c r="R180" s="23" t="str">
        <f t="shared" ref="R180:R190" ca="1" si="830">IF(R$11="","",IF(R$13=$M$5,CHOOSE($Q$6+1,$M$1,S180+T180-U180),IF(R$13=$M$6,CHOOSE($Q$6+1,$M$1,OFFSET($A180,,$P$7-1)),IF(R$13=$M$7,CHOOSE($Q$6+1,$M$1,SUM(OFFSET($A$11,$B180-$O$5,$O$6,1,-$P$6))),IF(R$13=$M$8,CHOOSE($Q$6+1,$M$1,SUM(OFFSET($A$11,$B180-$O$5,$O$7,1,-$P$6))),IF(R$11&lt;$D$7,OFFSET(INDIRECT($D$3),$A180-1,$Q$3+R$11),OFFSET(INDIRECT($D$4),$A180-1,$Q$4+R$11)))))))</f>
        <v/>
      </c>
      <c r="S180" s="23" t="str">
        <f t="shared" ref="S180:S190" ca="1" si="831">IF(S$11="","",IF(S$13=$M$5,CHOOSE($Q$6+1,$M$1,T180+U180-V180),IF(S$13=$M$6,CHOOSE($Q$6+1,$M$1,OFFSET($A180,,$P$7-1)),IF(S$13=$M$7,CHOOSE($Q$6+1,$M$1,SUM(OFFSET($A$11,$B180-$O$5,$O$6,1,-$P$6))),IF(S$13=$M$8,CHOOSE($Q$6+1,$M$1,SUM(OFFSET($A$11,$B180-$O$5,$O$7,1,-$P$6))),IF(S$11&lt;$D$7,OFFSET(INDIRECT($D$3),$A180-1,$Q$3+S$11),OFFSET(INDIRECT($D$4),$A180-1,$Q$4+S$11)))))))</f>
        <v/>
      </c>
      <c r="T180" s="23" t="str">
        <f t="shared" ref="T180:T190" ca="1" si="832">IF(T$11="","",IF(T$13=$M$5,CHOOSE($Q$6+1,$M$1,U180+V180-W180),IF(T$13=$M$6,CHOOSE($Q$6+1,$M$1,OFFSET($A180,,$P$7-1)),IF(T$13=$M$7,CHOOSE($Q$6+1,$M$1,SUM(OFFSET($A$11,$B180-$O$5,$O$6,1,-$P$6))),IF(T$13=$M$8,CHOOSE($Q$6+1,$M$1,SUM(OFFSET($A$11,$B180-$O$5,$O$7,1,-$P$6))),IF(T$11&lt;$D$7,OFFSET(INDIRECT($D$3),$A180-1,$Q$3+T$11),OFFSET(INDIRECT($D$4),$A180-1,$Q$4+T$11)))))))</f>
        <v/>
      </c>
      <c r="U180" s="23" t="str">
        <f t="shared" ref="U180:U190" ca="1" si="833">IF(U$11="","",IF(U$13=$M$5,CHOOSE($Q$6+1,$M$1,V180+W180-X180),IF(U$13=$M$6,CHOOSE($Q$6+1,$M$1,OFFSET($A180,,$P$7-1)),IF(U$13=$M$7,CHOOSE($Q$6+1,$M$1,SUM(OFFSET($A$11,$B180-$O$5,$O$6,1,-$P$6))),IF(U$13=$M$8,CHOOSE($Q$6+1,$M$1,SUM(OFFSET($A$11,$B180-$O$5,$O$7,1,-$P$6))),IF(U$11&lt;$D$7,OFFSET(INDIRECT($D$3),$A180-1,$Q$3+U$11),OFFSET(INDIRECT($D$4),$A180-1,$Q$4+U$11)))))))</f>
        <v/>
      </c>
      <c r="V180" s="23" t="str">
        <f t="shared" ref="V180:V190" ca="1" si="834">IF(V$11="","",IF(V$13=$M$5,CHOOSE($Q$6+1,$M$1,W180+X180-Y180),IF(V$13=$M$6,CHOOSE($Q$6+1,$M$1,OFFSET($A180,,$P$7-1)),IF(V$13=$M$7,CHOOSE($Q$6+1,$M$1,SUM(OFFSET($A$11,$B180-$O$5,$O$6,1,-$P$6))),IF(V$13=$M$8,CHOOSE($Q$6+1,$M$1,SUM(OFFSET($A$11,$B180-$O$5,$O$7,1,-$P$6))),IF(V$11&lt;$D$7,OFFSET(INDIRECT($D$3),$A180-1,$Q$3+V$11),OFFSET(INDIRECT($D$4),$A180-1,$Q$4+V$11)))))))</f>
        <v/>
      </c>
      <c r="W180" s="23" t="str">
        <f t="shared" ref="W180:W190" ca="1" si="835">IF(W$11="","",IF(W$13=$M$5,CHOOSE($Q$6+1,$M$1,X180+Y180-Z180),IF(W$13=$M$6,CHOOSE($Q$6+1,$M$1,OFFSET($A180,,$P$7-1)),IF(W$13=$M$7,CHOOSE($Q$6+1,$M$1,SUM(OFFSET($A$11,$B180-$O$5,$O$6,1,-$P$6))),IF(W$13=$M$8,CHOOSE($Q$6+1,$M$1,SUM(OFFSET($A$11,$B180-$O$5,$O$7,1,-$P$6))),IF(W$11&lt;$D$7,OFFSET(INDIRECT($D$3),$A180-1,$Q$3+W$11),OFFSET(INDIRECT($D$4),$A180-1,$Q$4+W$11)))))))</f>
        <v/>
      </c>
      <c r="X180" s="23" t="str">
        <f t="shared" ref="X180:X190" ca="1" si="836">IF(X$11="","",IF(X$13=$M$5,CHOOSE($Q$6+1,$M$1,Y180+Z180-AA180),IF(X$13=$M$6,CHOOSE($Q$6+1,$M$1,OFFSET($A180,,$P$7-1)),IF(X$13=$M$7,CHOOSE($Q$6+1,$M$1,SUM(OFFSET($A$11,$B180-$O$5,$O$6,1,-$P$6))),IF(X$13=$M$8,CHOOSE($Q$6+1,$M$1,SUM(OFFSET($A$11,$B180-$O$5,$O$7,1,-$P$6))),IF(X$11&lt;$D$7,OFFSET(INDIRECT($D$3),$A180-1,$Q$3+X$11),OFFSET(INDIRECT($D$4),$A180-1,$Q$4+X$11)))))))</f>
        <v/>
      </c>
      <c r="Y180" s="23" t="str">
        <f t="shared" ref="Y180:Y190" ca="1" si="837">IF(Y$11="","",IF(Y$13=$M$5,CHOOSE($Q$6+1,$M$1,Z180+AA180-AB180),IF(Y$13=$M$6,CHOOSE($Q$6+1,$M$1,OFFSET($A180,,$P$7-1)),IF(Y$13=$M$7,CHOOSE($Q$6+1,$M$1,SUM(OFFSET($A$11,$B180-$O$5,$O$6,1,-$P$6))),IF(Y$13=$M$8,CHOOSE($Q$6+1,$M$1,SUM(OFFSET($A$11,$B180-$O$5,$O$7,1,-$P$6))),IF(Y$11&lt;$D$7,OFFSET(INDIRECT($D$3),$A180-1,$Q$3+Y$11),OFFSET(INDIRECT($D$4),$A180-1,$Q$4+Y$11)))))))</f>
        <v/>
      </c>
      <c r="Z180" s="23" t="str">
        <f t="shared" ref="Z180:Z190" ca="1" si="838">IF(Z$11="","",IF(Z$13=$M$5,CHOOSE($Q$6+1,$M$1,AA180+AB180-AC180),IF(Z$13=$M$6,CHOOSE($Q$6+1,$M$1,OFFSET($A180,,$P$7-1)),IF(Z$13=$M$7,CHOOSE($Q$6+1,$M$1,SUM(OFFSET($A$11,$B180-$O$5,$O$6,1,-$P$6))),IF(Z$13=$M$8,CHOOSE($Q$6+1,$M$1,SUM(OFFSET($A$11,$B180-$O$5,$O$7,1,-$P$6))),IF(Z$11&lt;$D$7,OFFSET(INDIRECT($D$3),$A180-1,$Q$3+Z$11),OFFSET(INDIRECT($D$4),$A180-1,$Q$4+Z$11)))))))</f>
        <v/>
      </c>
      <c r="AA180" s="23" t="str">
        <f t="shared" ref="AA180:AA190" ca="1" si="839">IF(AA$11="","",IF(AA$13=$M$5,CHOOSE($Q$6+1,$M$1,AB180+AC180-AD180),IF(AA$13=$M$6,CHOOSE($Q$6+1,$M$1,OFFSET($A180,,$P$7-1)),IF(AA$13=$M$7,CHOOSE($Q$6+1,$M$1,SUM(OFFSET($A$11,$B180-$O$5,$O$6,1,-$P$6))),IF(AA$13=$M$8,CHOOSE($Q$6+1,$M$1,SUM(OFFSET($A$11,$B180-$O$5,$O$7,1,-$P$6))),IF(AA$11&lt;$D$7,OFFSET(INDIRECT($D$3),$A180-1,$Q$3+AA$11),OFFSET(INDIRECT($D$4),$A180-1,$Q$4+AA$11)))))))</f>
        <v/>
      </c>
      <c r="AB180" s="23" t="str">
        <f t="shared" ref="AB180:AB190" ca="1" si="840">IF(AB$11="","",IF(AB$13=$M$5,CHOOSE($Q$6+1,$M$1,AC180+AD180-AE180),IF(AB$13=$M$6,CHOOSE($Q$6+1,$M$1,OFFSET($A180,,$P$7-1)),IF(AB$13=$M$7,CHOOSE($Q$6+1,$M$1,SUM(OFFSET($A$11,$B180-$O$5,$O$6,1,-$P$6))),IF(AB$13=$M$8,CHOOSE($Q$6+1,$M$1,SUM(OFFSET($A$11,$B180-$O$5,$O$7,1,-$P$6))),IF(AB$11&lt;$D$7,OFFSET(INDIRECT($D$3),$A180-1,$Q$3+AB$11),OFFSET(INDIRECT($D$4),$A180-1,$Q$4+AB$11)))))))</f>
        <v/>
      </c>
      <c r="AC180" s="23" t="str">
        <f t="shared" ref="AC180:AC190" ca="1" si="841">IF(AC$11="","",IF(AC$13=$M$5,CHOOSE($Q$6+1,$M$1,AD180+AE180-AF180),IF(AC$13=$M$6,CHOOSE($Q$6+1,$M$1,OFFSET($A180,,$P$7-1)),IF(AC$13=$M$7,CHOOSE($Q$6+1,$M$1,SUM(OFFSET($A$11,$B180-$O$5,$O$6,1,-$P$6))),IF(AC$13=$M$8,CHOOSE($Q$6+1,$M$1,SUM(OFFSET($A$11,$B180-$O$5,$O$7,1,-$P$6))),IF(AC$11&lt;$D$7,OFFSET(INDIRECT($D$3),$A180-1,$Q$3+AC$11),OFFSET(INDIRECT($D$4),$A180-1,$Q$4+AC$11)))))))</f>
        <v/>
      </c>
      <c r="AD180" s="23" t="str">
        <f t="shared" ref="AD180:AD190" ca="1" si="842">IF(AD$11="","",IF(AD$13=$M$5,CHOOSE($Q$6+1,$M$1,AE180+AF180-AG180),IF(AD$13=$M$6,CHOOSE($Q$6+1,$M$1,OFFSET($A180,,$P$7-1)),IF(AD$13=$M$7,CHOOSE($Q$6+1,$M$1,SUM(OFFSET($A$11,$B180-$O$5,$O$6,1,-$P$6))),IF(AD$13=$M$8,CHOOSE($Q$6+1,$M$1,SUM(OFFSET($A$11,$B180-$O$5,$O$7,1,-$P$6))),IF(AD$11&lt;$D$7,OFFSET(INDIRECT($D$3),$A180-1,$Q$3+AD$11),OFFSET(INDIRECT($D$4),$A180-1,$Q$4+AD$11)))))))</f>
        <v/>
      </c>
      <c r="AE180" s="23" t="str">
        <f t="shared" ref="AE180:AE190" ca="1" si="843">IF(AE$11="","",IF(AE$13=$M$5,CHOOSE($Q$6+1,$M$1,AF180+AG180-AH180),IF(AE$13=$M$6,CHOOSE($Q$6+1,$M$1,OFFSET($A180,,$P$7-1)),IF(AE$13=$M$7,CHOOSE($Q$6+1,$M$1,SUM(OFFSET($A$11,$B180-$O$5,$O$6,1,-$P$6))),IF(AE$13=$M$8,CHOOSE($Q$6+1,$M$1,SUM(OFFSET($A$11,$B180-$O$5,$O$7,1,-$P$6))),IF(AE$11&lt;$D$7,OFFSET(INDIRECT($D$3),$A180-1,$Q$3+AE$11),OFFSET(INDIRECT($D$4),$A180-1,$Q$4+AE$11)))))))</f>
        <v/>
      </c>
      <c r="AF180" s="23" t="str">
        <f t="shared" ref="AF180:AF190" ca="1" si="844">IF(AF$11="","",IF(AF$13=$M$5,CHOOSE($Q$6+1,$M$1,AG180+AH180-AI180),IF(AF$13=$M$6,CHOOSE($Q$6+1,$M$1,OFFSET($A180,,$P$7-1)),IF(AF$13=$M$7,CHOOSE($Q$6+1,$M$1,SUM(OFFSET($A$11,$B180-$O$5,$O$6,1,-$P$6))),IF(AF$13=$M$8,CHOOSE($Q$6+1,$M$1,SUM(OFFSET($A$11,$B180-$O$5,$O$7,1,-$P$6))),IF(AF$11&lt;$D$7,OFFSET(INDIRECT($D$3),$A180-1,$Q$3+AF$11),OFFSET(INDIRECT($D$4),$A180-1,$Q$4+AF$11)))))))</f>
        <v/>
      </c>
      <c r="AG180" s="23" t="str">
        <f t="shared" ref="AG180:AG190" ca="1" si="845">IF(AG$11="","",IF(AG$13=$M$5,CHOOSE($Q$6+1,$M$1,AH180+AI180-AJ180),IF(AG$13=$M$6,CHOOSE($Q$6+1,$M$1,OFFSET($A180,,$P$7-1)),IF(AG$13=$M$7,CHOOSE($Q$6+1,$M$1,SUM(OFFSET($A$11,$B180-$O$5,$O$6,1,-$P$6))),IF(AG$13=$M$8,CHOOSE($Q$6+1,$M$1,SUM(OFFSET($A$11,$B180-$O$5,$O$7,1,-$P$6))),IF(AG$11&lt;$D$7,OFFSET(INDIRECT($D$3),$A180-1,$Q$3+AG$11),OFFSET(INDIRECT($D$4),$A180-1,$Q$4+AG$11)))))))</f>
        <v/>
      </c>
      <c r="AH180" s="23" t="str">
        <f t="shared" ref="AH180:AH190" ca="1" si="846">IF(AH$11="","",IF(AH$13=$M$5,CHOOSE($Q$6+1,$M$1,AI180+AJ180-AK180),IF(AH$13=$M$6,CHOOSE($Q$6+1,$M$1,OFFSET($A180,,$P$7-1)),IF(AH$13=$M$7,CHOOSE($Q$6+1,$M$1,SUM(OFFSET($A$11,$B180-$O$5,$O$6,1,-$P$6))),IF(AH$13=$M$8,CHOOSE($Q$6+1,$M$1,SUM(OFFSET($A$11,$B180-$O$5,$O$7,1,-$P$6))),IF(AH$11&lt;$D$7,OFFSET(INDIRECT($D$3),$A180-1,$Q$3+AH$11),OFFSET(INDIRECT($D$4),$A180-1,$Q$4+AH$11)))))))</f>
        <v/>
      </c>
      <c r="AI180" s="23" t="str">
        <f t="shared" ref="AI180:AI190" ca="1" si="847">IF(AI$11="","",IF(AI$13=$M$5,CHOOSE($Q$6+1,$M$1,AJ180+AK180-AL180),IF(AI$13=$M$6,CHOOSE($Q$6+1,$M$1,OFFSET($A180,,$P$7-1)),IF(AI$13=$M$7,CHOOSE($Q$6+1,$M$1,SUM(OFFSET($A$11,$B180-$O$5,$O$6,1,-$P$6))),IF(AI$13=$M$8,CHOOSE($Q$6+1,$M$1,SUM(OFFSET($A$11,$B180-$O$5,$O$7,1,-$P$6))),IF(AI$11&lt;$D$7,OFFSET(INDIRECT($D$3),$A180-1,$Q$3+AI$11),OFFSET(INDIRECT($D$4),$A180-1,$Q$4+AI$11)))))))</f>
        <v/>
      </c>
      <c r="AJ180" s="23" t="str">
        <f t="shared" ref="AJ180:AJ190" ca="1" si="848">IF(AJ$11="","",IF(AJ$13=$M$5,CHOOSE($Q$6+1,$M$1,AK180+AL180-AM180),IF(AJ$13=$M$6,CHOOSE($Q$6+1,$M$1,OFFSET($A180,,$P$7-1)),IF(AJ$13=$M$7,CHOOSE($Q$6+1,$M$1,SUM(OFFSET($A$11,$B180-$O$5,$O$6,1,-$P$6))),IF(AJ$13=$M$8,CHOOSE($Q$6+1,$M$1,SUM(OFFSET($A$11,$B180-$O$5,$O$7,1,-$P$6))),IF(AJ$11&lt;$D$7,OFFSET(INDIRECT($D$3),$A180-1,$Q$3+AJ$11),OFFSET(INDIRECT($D$4),$A180-1,$Q$4+AJ$11)))))))</f>
        <v/>
      </c>
      <c r="AK180" s="23" t="str">
        <f t="shared" ref="AK180:AK190" ca="1" si="849">IF(AK$11="","",IF(AK$13=$M$5,CHOOSE($Q$6+1,$M$1,AL180+AM180-AN180),IF(AK$13=$M$6,CHOOSE($Q$6+1,$M$1,OFFSET($A180,,$P$7-1)),IF(AK$13=$M$7,CHOOSE($Q$6+1,$M$1,SUM(OFFSET($A$11,$B180-$O$5,$O$6,1,-$P$6))),IF(AK$13=$M$8,CHOOSE($Q$6+1,$M$1,SUM(OFFSET($A$11,$B180-$O$5,$O$7,1,-$P$6))),IF(AK$11&lt;$D$7,OFFSET(INDIRECT($D$3),$A180-1,$Q$3+AK$11),OFFSET(INDIRECT($D$4),$A180-1,$Q$4+AK$11)))))))</f>
        <v/>
      </c>
      <c r="AL180" s="23" t="str">
        <f t="shared" ref="AL180:AL190" ca="1" si="850">IF(AL$11="","",IF(AL$13=$M$5,CHOOSE($Q$6+1,$M$1,AM180+AN180-AO180),IF(AL$13=$M$6,CHOOSE($Q$6+1,$M$1,OFFSET($A180,,$P$7-1)),IF(AL$13=$M$7,CHOOSE($Q$6+1,$M$1,SUM(OFFSET($A$11,$B180-$O$5,$O$6,1,-$P$6))),IF(AL$13=$M$8,CHOOSE($Q$6+1,$M$1,SUM(OFFSET($A$11,$B180-$O$5,$O$7,1,-$P$6))),IF(AL$11&lt;$D$7,OFFSET(INDIRECT($D$3),$A180-1,$Q$3+AL$11),OFFSET(INDIRECT($D$4),$A180-1,$Q$4+AL$11)))))))</f>
        <v/>
      </c>
      <c r="AM180" s="23" t="str">
        <f t="shared" ref="AM180:AM190" ca="1" si="851">IF(AM$11="","",IF(AM$13=$M$5,CHOOSE($Q$6+1,$M$1,AN180+AO180-AP180),IF(AM$13=$M$6,CHOOSE($Q$6+1,$M$1,OFFSET($A180,,$P$7-1)),IF(AM$13=$M$7,CHOOSE($Q$6+1,$M$1,SUM(OFFSET($A$11,$B180-$O$5,$O$6,1,-$P$6))),IF(AM$13=$M$8,CHOOSE($Q$6+1,$M$1,SUM(OFFSET($A$11,$B180-$O$5,$O$7,1,-$P$6))),IF(AM$11&lt;$D$7,OFFSET(INDIRECT($D$3),$A180-1,$Q$3+AM$11),OFFSET(INDIRECT($D$4),$A180-1,$Q$4+AM$11)))))))</f>
        <v/>
      </c>
      <c r="AN180" s="23" t="str">
        <f t="shared" ref="AN180:AN190" ca="1" si="852">IF(AN$11="","",IF(AN$13=$M$5,CHOOSE($Q$6+1,$M$1,AO180+AP180-AQ180),IF(AN$13=$M$6,CHOOSE($Q$6+1,$M$1,OFFSET($A180,,$P$7-1)),IF(AN$13=$M$7,CHOOSE($Q$6+1,$M$1,SUM(OFFSET($A$11,$B180-$O$5,$O$6,1,-$P$6))),IF(AN$13=$M$8,CHOOSE($Q$6+1,$M$1,SUM(OFFSET($A$11,$B180-$O$5,$O$7,1,-$P$6))),IF(AN$11&lt;$D$7,OFFSET(INDIRECT($D$3),$A180-1,$Q$3+AN$11),OFFSET(INDIRECT($D$4),$A180-1,$Q$4+AN$11)))))))</f>
        <v/>
      </c>
      <c r="AO180" s="23" t="str">
        <f t="shared" ref="AO180:AO190" ca="1" si="853">IF(AO$11="","",IF(AO$13=$M$5,CHOOSE($Q$6+1,$M$1,AP180+AQ180-AR180),IF(AO$13=$M$6,CHOOSE($Q$6+1,$M$1,OFFSET($A180,,$P$7-1)),IF(AO$13=$M$7,CHOOSE($Q$6+1,$M$1,SUM(OFFSET($A$11,$B180-$O$5,$O$6,1,-$P$6))),IF(AO$13=$M$8,CHOOSE($Q$6+1,$M$1,SUM(OFFSET($A$11,$B180-$O$5,$O$7,1,-$P$6))),IF(AO$11&lt;$D$7,OFFSET(INDIRECT($D$3),$A180-1,$Q$3+AO$11),OFFSET(INDIRECT($D$4),$A180-1,$Q$4+AO$11)))))))</f>
        <v/>
      </c>
      <c r="AP180" s="23" t="str">
        <f t="shared" ref="AP180:AP190" ca="1" si="854">IF(AP$11="","",IF(AP$13=$M$5,CHOOSE($Q$6+1,$M$1,AQ180+AR180-AS180),IF(AP$13=$M$6,CHOOSE($Q$6+1,$M$1,OFFSET($A180,,$P$7-1)),IF(AP$13=$M$7,CHOOSE($Q$6+1,$M$1,SUM(OFFSET($A$11,$B180-$O$5,$O$6,1,-$P$6))),IF(AP$13=$M$8,CHOOSE($Q$6+1,$M$1,SUM(OFFSET($A$11,$B180-$O$5,$O$7,1,-$P$6))),IF(AP$11&lt;$D$7,OFFSET(INDIRECT($D$3),$A180-1,$Q$3+AP$11),OFFSET(INDIRECT($D$4),$A180-1,$Q$4+AP$11)))))))</f>
        <v/>
      </c>
      <c r="AQ180" s="23" t="str">
        <f t="shared" ref="AQ180:AQ190" ca="1" si="855">IF(AQ$11="","",IF(AQ$13=$M$5,CHOOSE($Q$6+1,$M$1,AR180+AS180-AT180),IF(AQ$13=$M$6,CHOOSE($Q$6+1,$M$1,OFFSET($A180,,$P$7-1)),IF(AQ$13=$M$7,CHOOSE($Q$6+1,$M$1,SUM(OFFSET($A$11,$B180-$O$5,$O$6,1,-$P$6))),IF(AQ$13=$M$8,CHOOSE($Q$6+1,$M$1,SUM(OFFSET($A$11,$B180-$O$5,$O$7,1,-$P$6))),IF(AQ$11&lt;$D$7,OFFSET(INDIRECT($D$3),$A180-1,$Q$3+AQ$11),OFFSET(INDIRECT($D$4),$A180-1,$Q$4+AQ$11)))))))</f>
        <v/>
      </c>
      <c r="AR180" s="23" t="str">
        <f t="shared" ref="AR180:AR190" ca="1" si="856">IF(AR$11="","",IF(AR$13=$M$5,CHOOSE($Q$6+1,$M$1,AS180+AT180-AU180),IF(AR$13=$M$6,CHOOSE($Q$6+1,$M$1,OFFSET($A180,,$P$7-1)),IF(AR$13=$M$7,CHOOSE($Q$6+1,$M$1,SUM(OFFSET($A$11,$B180-$O$5,$O$6,1,-$P$6))),IF(AR$13=$M$8,CHOOSE($Q$6+1,$M$1,SUM(OFFSET($A$11,$B180-$O$5,$O$7,1,-$P$6))),IF(AR$11&lt;$D$7,OFFSET(INDIRECT($D$3),$A180-1,$Q$3+AR$11),OFFSET(INDIRECT($D$4),$A180-1,$Q$4+AR$11)))))))</f>
        <v/>
      </c>
      <c r="AS180" s="23" t="str">
        <f t="shared" ref="AS180:AS190" ca="1" si="857">IF(AS$11="","",IF(AS$13=$M$5,CHOOSE($Q$6+1,$M$1,AT180+AU180-AV180),IF(AS$13=$M$6,CHOOSE($Q$6+1,$M$1,OFFSET($A180,,$P$7-1)),IF(AS$13=$M$7,CHOOSE($Q$6+1,$M$1,SUM(OFFSET($A$11,$B180-$O$5,$O$6,1,-$P$6))),IF(AS$13=$M$8,CHOOSE($Q$6+1,$M$1,SUM(OFFSET($A$11,$B180-$O$5,$O$7,1,-$P$6))),IF(AS$11&lt;$D$7,OFFSET(INDIRECT($D$3),$A180-1,$Q$3+AS$11),OFFSET(INDIRECT($D$4),$A180-1,$Q$4+AS$11)))))))</f>
        <v/>
      </c>
      <c r="AT180" s="23" t="str">
        <f t="shared" ref="AT180:AT190" ca="1" si="858">IF(AT$11="","",IF(AT$13=$M$5,CHOOSE($Q$6+1,$M$1,AU180+AV180-AW180),IF(AT$13=$M$6,CHOOSE($Q$6+1,$M$1,OFFSET($A180,,$P$7-1)),IF(AT$13=$M$7,CHOOSE($Q$6+1,$M$1,SUM(OFFSET($A$11,$B180-$O$5,$O$6,1,-$P$6))),IF(AT$13=$M$8,CHOOSE($Q$6+1,$M$1,SUM(OFFSET($A$11,$B180-$O$5,$O$7,1,-$P$6))),IF(AT$11&lt;$D$7,OFFSET(INDIRECT($D$3),$A180-1,$Q$3+AT$11),OFFSET(INDIRECT($D$4),$A180-1,$Q$4+AT$11)))))))</f>
        <v/>
      </c>
      <c r="AU180" s="23" t="str">
        <f t="shared" ref="AU180:AU190" ca="1" si="859">IF(AU$11="","",IF(AU$13=$M$5,CHOOSE($Q$6+1,$M$1,AV180+AW180-AX180),IF(AU$13=$M$6,CHOOSE($Q$6+1,$M$1,OFFSET($A180,,$P$7-1)),IF(AU$13=$M$7,CHOOSE($Q$6+1,$M$1,SUM(OFFSET($A$11,$B180-$O$5,$O$6,1,-$P$6))),IF(AU$13=$M$8,CHOOSE($Q$6+1,$M$1,SUM(OFFSET($A$11,$B180-$O$5,$O$7,1,-$P$6))),IF(AU$11&lt;$D$7,OFFSET(INDIRECT($D$3),$A180-1,$Q$3+AU$11),OFFSET(INDIRECT($D$4),$A180-1,$Q$4+AU$11)))))))</f>
        <v/>
      </c>
      <c r="AV180" s="23" t="str">
        <f t="shared" ref="AV180:AV190" ca="1" si="860">IF(AV$11="","",IF(AV$13=$M$5,CHOOSE($Q$6+1,$M$1,AW180+AX180-AY180),IF(AV$13=$M$6,CHOOSE($Q$6+1,$M$1,OFFSET($A180,,$P$7-1)),IF(AV$13=$M$7,CHOOSE($Q$6+1,$M$1,SUM(OFFSET($A$11,$B180-$O$5,$O$6,1,-$P$6))),IF(AV$13=$M$8,CHOOSE($Q$6+1,$M$1,SUM(OFFSET($A$11,$B180-$O$5,$O$7,1,-$P$6))),IF(AV$11&lt;$D$7,OFFSET(INDIRECT($D$3),$A180-1,$Q$3+AV$11),OFFSET(INDIRECT($D$4),$A180-1,$Q$4+AV$11)))))))</f>
        <v/>
      </c>
      <c r="AW180" s="23" t="str">
        <f t="shared" ref="AW180:AW190" ca="1" si="861">IF(AW$11="","",IF(AW$13=$M$5,CHOOSE($Q$6+1,$M$1,AX180+AY180-AZ180),IF(AW$13=$M$6,CHOOSE($Q$6+1,$M$1,OFFSET($A180,,$P$7-1)),IF(AW$13=$M$7,CHOOSE($Q$6+1,$M$1,SUM(OFFSET($A$11,$B180-$O$5,$O$6,1,-$P$6))),IF(AW$13=$M$8,CHOOSE($Q$6+1,$M$1,SUM(OFFSET($A$11,$B180-$O$5,$O$7,1,-$P$6))),IF(AW$11&lt;$D$7,OFFSET(INDIRECT($D$3),$A180-1,$Q$3+AW$11),OFFSET(INDIRECT($D$4),$A180-1,$Q$4+AW$11)))))))</f>
        <v/>
      </c>
      <c r="AX180" s="23" t="str">
        <f t="shared" ref="AX180:AX190" ca="1" si="862">IF(AX$11="","",IF(AX$13=$M$5,CHOOSE($Q$6+1,$M$1,AY180+AZ180-BA180),IF(AX$13=$M$6,CHOOSE($Q$6+1,$M$1,OFFSET($A180,,$P$7-1)),IF(AX$13=$M$7,CHOOSE($Q$6+1,$M$1,SUM(OFFSET($A$11,$B180-$O$5,$O$6,1,-$P$6))),IF(AX$13=$M$8,CHOOSE($Q$6+1,$M$1,SUM(OFFSET($A$11,$B180-$O$5,$O$7,1,-$P$6))),IF(AX$11&lt;$D$7,OFFSET(INDIRECT($D$3),$A180-1,$Q$3+AX$11),OFFSET(INDIRECT($D$4),$A180-1,$Q$4+AX$11)))))))</f>
        <v/>
      </c>
      <c r="AY180" s="23" t="str">
        <f t="shared" ref="AY180:AY190" ca="1" si="863">IF(AY$11="","",IF(AY$13=$M$5,CHOOSE($Q$6+1,$M$1,AZ180+BA180-BB180),IF(AY$13=$M$6,CHOOSE($Q$6+1,$M$1,OFFSET($A180,,$P$7-1)),IF(AY$13=$M$7,CHOOSE($Q$6+1,$M$1,SUM(OFFSET($A$11,$B180-$O$5,$O$6,1,-$P$6))),IF(AY$13=$M$8,CHOOSE($Q$6+1,$M$1,SUM(OFFSET($A$11,$B180-$O$5,$O$7,1,-$P$6))),IF(AY$11&lt;$D$7,OFFSET(INDIRECT($D$3),$A180-1,$Q$3+AY$11),OFFSET(INDIRECT($D$4),$A180-1,$Q$4+AY$11)))))))</f>
        <v/>
      </c>
      <c r="AZ180" s="23" t="str">
        <f t="shared" ref="AZ180:AZ190" ca="1" si="864">IF(AZ$11="","",IF(AZ$13=$M$5,CHOOSE($Q$6+1,$M$1,BA180+BB180-BC180),IF(AZ$13=$M$6,CHOOSE($Q$6+1,$M$1,OFFSET($A180,,$P$7-1)),IF(AZ$13=$M$7,CHOOSE($Q$6+1,$M$1,SUM(OFFSET($A$11,$B180-$O$5,$O$6,1,-$P$6))),IF(AZ$13=$M$8,CHOOSE($Q$6+1,$M$1,SUM(OFFSET($A$11,$B180-$O$5,$O$7,1,-$P$6))),IF(AZ$11&lt;$D$7,OFFSET(INDIRECT($D$3),$A180-1,$Q$3+AZ$11),OFFSET(INDIRECT($D$4),$A180-1,$Q$4+AZ$11)))))))</f>
        <v/>
      </c>
      <c r="BA180" s="23" t="str">
        <f t="shared" ref="BA180:BA190" ca="1" si="865">IF(BA$11="","",IF(BA$13=$M$5,CHOOSE($Q$6+1,$M$1,BB180+BC180-BD180),IF(BA$13=$M$6,CHOOSE($Q$6+1,$M$1,OFFSET($A180,,$P$7-1)),IF(BA$13=$M$7,CHOOSE($Q$6+1,$M$1,SUM(OFFSET($A$11,$B180-$O$5,$O$6,1,-$P$6))),IF(BA$13=$M$8,CHOOSE($Q$6+1,$M$1,SUM(OFFSET($A$11,$B180-$O$5,$O$7,1,-$P$6))),IF(BA$11&lt;$D$7,OFFSET(INDIRECT($D$3),$A180-1,$Q$3+BA$11),OFFSET(INDIRECT($D$4),$A180-1,$Q$4+BA$11)))))))</f>
        <v/>
      </c>
      <c r="BB180" s="23" t="str">
        <f t="shared" ref="BB180:BB190" ca="1" si="866">IF(BB$11="","",IF(BB$13=$M$5,CHOOSE($Q$6+1,$M$1,BC180+BD180-BE180),IF(BB$13=$M$6,CHOOSE($Q$6+1,$M$1,OFFSET($A180,,$P$7-1)),IF(BB$13=$M$7,CHOOSE($Q$6+1,$M$1,SUM(OFFSET($A$11,$B180-$O$5,$O$6,1,-$P$6))),IF(BB$13=$M$8,CHOOSE($Q$6+1,$M$1,SUM(OFFSET($A$11,$B180-$O$5,$O$7,1,-$P$6))),IF(BB$11&lt;$D$7,OFFSET(INDIRECT($D$3),$A180-1,$Q$3+BB$11),OFFSET(INDIRECT($D$4),$A180-1,$Q$4+BB$11)))))))</f>
        <v/>
      </c>
      <c r="BC180" s="23" t="str">
        <f t="shared" ref="BC180:BC190" ca="1" si="867">IF(BC$11="","",IF(BC$13=$M$5,CHOOSE($Q$6+1,$M$1,BD180+BE180-BF180),IF(BC$13=$M$6,CHOOSE($Q$6+1,$M$1,OFFSET($A180,,$P$7-1)),IF(BC$13=$M$7,CHOOSE($Q$6+1,$M$1,SUM(OFFSET($A$11,$B180-$O$5,$O$6,1,-$P$6))),IF(BC$13=$M$8,CHOOSE($Q$6+1,$M$1,SUM(OFFSET($A$11,$B180-$O$5,$O$7,1,-$P$6))),IF(BC$11&lt;$D$7,OFFSET(INDIRECT($D$3),$A180-1,$Q$3+BC$11),OFFSET(INDIRECT($D$4),$A180-1,$Q$4+BC$11)))))))</f>
        <v/>
      </c>
      <c r="BD180" s="23" t="str">
        <f t="shared" ref="BD180:BD190" ca="1" si="868">IF(BD$11="","",IF(BD$13=$M$5,CHOOSE($Q$6+1,$M$1,BE180+BF180-BG180),IF(BD$13=$M$6,CHOOSE($Q$6+1,$M$1,OFFSET($A180,,$P$7-1)),IF(BD$13=$M$7,CHOOSE($Q$6+1,$M$1,SUM(OFFSET($A$11,$B180-$O$5,$O$6,1,-$P$6))),IF(BD$13=$M$8,CHOOSE($Q$6+1,$M$1,SUM(OFFSET($A$11,$B180-$O$5,$O$7,1,-$P$6))),IF(BD$11&lt;$D$7,OFFSET(INDIRECT($D$3),$A180-1,$Q$3+BD$11),OFFSET(INDIRECT($D$4),$A180-1,$Q$4+BD$11)))))))</f>
        <v/>
      </c>
      <c r="BE180" s="23" t="str">
        <f t="shared" ref="BE180:BE190" ca="1" si="869">IF(BE$11="","",IF(BE$13=$M$5,CHOOSE($Q$6+1,$M$1,BF180+BG180-BH180),IF(BE$13=$M$6,CHOOSE($Q$6+1,$M$1,OFFSET($A180,,$P$7-1)),IF(BE$13=$M$7,CHOOSE($Q$6+1,$M$1,SUM(OFFSET($A$11,$B180-$O$5,$O$6,1,-$P$6))),IF(BE$13=$M$8,CHOOSE($Q$6+1,$M$1,SUM(OFFSET($A$11,$B180-$O$5,$O$7,1,-$P$6))),IF(BE$11&lt;$D$7,OFFSET(INDIRECT($D$3),$A180-1,$Q$3+BE$11),OFFSET(INDIRECT($D$4),$A180-1,$Q$4+BE$11)))))))</f>
        <v/>
      </c>
      <c r="BF180" s="23" t="str">
        <f t="shared" ref="BF180:BF190" ca="1" si="870">IF(BF$11="","",IF(BF$13=$M$5,CHOOSE($Q$6+1,$M$1,BG180+BH180-BI180),IF(BF$13=$M$6,CHOOSE($Q$6+1,$M$1,OFFSET($A180,,$P$7-1)),IF(BF$13=$M$7,CHOOSE($Q$6+1,$M$1,SUM(OFFSET($A$11,$B180-$O$5,$O$6,1,-$P$6))),IF(BF$13=$M$8,CHOOSE($Q$6+1,$M$1,SUM(OFFSET($A$11,$B180-$O$5,$O$7,1,-$P$6))),IF(BF$11&lt;$D$7,OFFSET(INDIRECT($D$3),$A180-1,$Q$3+BF$11),OFFSET(INDIRECT($D$4),$A180-1,$Q$4+BF$11)))))))</f>
        <v/>
      </c>
      <c r="BG180" s="23" t="str">
        <f t="shared" ref="BG180:BG190" ca="1" si="871">IF(BG$11="","",IF(BG$13=$M$5,CHOOSE($Q$6+1,$M$1,BH180+BI180-BJ180),IF(BG$13=$M$6,CHOOSE($Q$6+1,$M$1,OFFSET($A180,,$P$7-1)),IF(BG$13=$M$7,CHOOSE($Q$6+1,$M$1,SUM(OFFSET($A$11,$B180-$O$5,$O$6,1,-$P$6))),IF(BG$13=$M$8,CHOOSE($Q$6+1,$M$1,SUM(OFFSET($A$11,$B180-$O$5,$O$7,1,-$P$6))),IF(BG$11&lt;$D$7,OFFSET(INDIRECT($D$3),$A180-1,$Q$3+BG$11),OFFSET(INDIRECT($D$4),$A180-1,$Q$4+BG$11)))))))</f>
        <v/>
      </c>
      <c r="BH180" s="23" t="str">
        <f t="shared" ref="BH180:BH190" ca="1" si="872">IF(BH$11="","",IF(BH$13=$M$5,CHOOSE($Q$6+1,$M$1,BI180+BJ180-BK180),IF(BH$13=$M$6,CHOOSE($Q$6+1,$M$1,OFFSET($A180,,$P$7-1)),IF(BH$13=$M$7,CHOOSE($Q$6+1,$M$1,SUM(OFFSET($A$11,$B180-$O$5,$O$6,1,-$P$6))),IF(BH$13=$M$8,CHOOSE($Q$6+1,$M$1,SUM(OFFSET($A$11,$B180-$O$5,$O$7,1,-$P$6))),IF(BH$11&lt;$D$7,OFFSET(INDIRECT($D$3),$A180-1,$Q$3+BH$11),OFFSET(INDIRECT($D$4),$A180-1,$Q$4+BH$11)))))))</f>
        <v/>
      </c>
      <c r="BI180" s="23" t="str">
        <f t="shared" ref="BI180:BI190" ca="1" si="873">IF(BI$11="","",IF(BI$13=$M$5,CHOOSE($Q$6+1,$M$1,BJ180+BK180-BL180),IF(BI$13=$M$6,CHOOSE($Q$6+1,$M$1,OFFSET($A180,,$P$7-1)),IF(BI$13=$M$7,CHOOSE($Q$6+1,$M$1,SUM(OFFSET($A$11,$B180-$O$5,$O$6,1,-$P$6))),IF(BI$13=$M$8,CHOOSE($Q$6+1,$M$1,SUM(OFFSET($A$11,$B180-$O$5,$O$7,1,-$P$6))),IF(BI$11&lt;$D$7,OFFSET(INDIRECT($D$3),$A180-1,$Q$3+BI$11),OFFSET(INDIRECT($D$4),$A180-1,$Q$4+BI$11)))))))</f>
        <v/>
      </c>
      <c r="BJ180" s="23" t="str">
        <f t="shared" ref="BJ180:BJ190" ca="1" si="874">IF(BJ$11="","",IF(BJ$13=$M$5,CHOOSE($Q$6+1,$M$1,BK180+BL180-BM180),IF(BJ$13=$M$6,CHOOSE($Q$6+1,$M$1,OFFSET($A180,,$P$7-1)),IF(BJ$13=$M$7,CHOOSE($Q$6+1,$M$1,SUM(OFFSET($A$11,$B180-$O$5,$O$6,1,-$P$6))),IF(BJ$13=$M$8,CHOOSE($Q$6+1,$M$1,SUM(OFFSET($A$11,$B180-$O$5,$O$7,1,-$P$6))),IF(BJ$11&lt;$D$7,OFFSET(INDIRECT($D$3),$A180-1,$Q$3+BJ$11),OFFSET(INDIRECT($D$4),$A180-1,$Q$4+BJ$11)))))))</f>
        <v/>
      </c>
      <c r="BK180" s="23" t="str">
        <f t="shared" ref="BK180:BK190" ca="1" si="875">IF(BK$11="","",IF(BK$13=$M$5,CHOOSE($Q$6+1,$M$1,BL180+BM180-BN180),IF(BK$13=$M$6,CHOOSE($Q$6+1,$M$1,OFFSET($A180,,$P$7-1)),IF(BK$13=$M$7,CHOOSE($Q$6+1,$M$1,SUM(OFFSET($A$11,$B180-$O$5,$O$6,1,-$P$6))),IF(BK$13=$M$8,CHOOSE($Q$6+1,$M$1,SUM(OFFSET($A$11,$B180-$O$5,$O$7,1,-$P$6))),IF(BK$11&lt;$D$7,OFFSET(INDIRECT($D$3),$A180-1,$Q$3+BK$11),OFFSET(INDIRECT($D$4),$A180-1,$Q$4+BK$11)))))))</f>
        <v/>
      </c>
      <c r="BL180" s="23" t="str">
        <f t="shared" ref="BL180:BL190" ca="1" si="876">IF(BL$11="","",IF(BL$13=$M$5,CHOOSE($Q$6+1,$M$1,BM180+BN180-BO180),IF(BL$13=$M$6,CHOOSE($Q$6+1,$M$1,OFFSET($A180,,$P$7-1)),IF(BL$13=$M$7,CHOOSE($Q$6+1,$M$1,SUM(OFFSET($A$11,$B180-$O$5,$O$6,1,-$P$6))),IF(BL$13=$M$8,CHOOSE($Q$6+1,$M$1,SUM(OFFSET($A$11,$B180-$O$5,$O$7,1,-$P$6))),IF(BL$11&lt;$D$7,OFFSET(INDIRECT($D$3),$A180-1,$Q$3+BL$11),OFFSET(INDIRECT($D$4),$A180-1,$Q$4+BL$11)))))))</f>
        <v/>
      </c>
      <c r="BM180" s="23" t="str">
        <f t="shared" ref="BM180:BM190" ca="1" si="877">IF(BM$11="","",IF(BM$13=$M$5,CHOOSE($Q$6+1,$M$1,BN180+BO180-BP180),IF(BM$13=$M$6,CHOOSE($Q$6+1,$M$1,OFFSET($A180,,$P$7-1)),IF(BM$13=$M$7,CHOOSE($Q$6+1,$M$1,SUM(OFFSET($A$11,$B180-$O$5,$O$6,1,-$P$6))),IF(BM$13=$M$8,CHOOSE($Q$6+1,$M$1,SUM(OFFSET($A$11,$B180-$O$5,$O$7,1,-$P$6))),IF(BM$11&lt;$D$7,OFFSET(INDIRECT($D$3),$A180-1,$Q$3+BM$11),OFFSET(INDIRECT($D$4),$A180-1,$Q$4+BM$11)))))))</f>
        <v/>
      </c>
      <c r="BN180" s="23" t="str">
        <f t="shared" ref="BN180:BN190" ca="1" si="878">IF(BN$11="","",IF(BN$13=$M$5,CHOOSE($Q$6+1,$M$1,BO180+BP180-BQ180),IF(BN$13=$M$6,CHOOSE($Q$6+1,$M$1,OFFSET($A180,,$P$7-1)),IF(BN$13=$M$7,CHOOSE($Q$6+1,$M$1,SUM(OFFSET($A$11,$B180-$O$5,$O$6,1,-$P$6))),IF(BN$13=$M$8,CHOOSE($Q$6+1,$M$1,SUM(OFFSET($A$11,$B180-$O$5,$O$7,1,-$P$6))),IF(BN$11&lt;$D$7,OFFSET(INDIRECT($D$3),$A180-1,$Q$3+BN$11),OFFSET(INDIRECT($D$4),$A180-1,$Q$4+BN$11)))))))</f>
        <v/>
      </c>
      <c r="BO180" s="23" t="str">
        <f t="shared" ref="BO180:BO190" ca="1" si="879">IF(BO$11="","",IF(BO$13=$M$5,CHOOSE($Q$6+1,$M$1,BP180+BQ180-BR180),IF(BO$13=$M$6,CHOOSE($Q$6+1,$M$1,OFFSET($A180,,$P$7-1)),IF(BO$13=$M$7,CHOOSE($Q$6+1,$M$1,SUM(OFFSET($A$11,$B180-$O$5,$O$6,1,-$P$6))),IF(BO$13=$M$8,CHOOSE($Q$6+1,$M$1,SUM(OFFSET($A$11,$B180-$O$5,$O$7,1,-$P$6))),IF(BO$11&lt;$D$7,OFFSET(INDIRECT($D$3),$A180-1,$Q$3+BO$11),OFFSET(INDIRECT($D$4),$A180-1,$Q$4+BO$11)))))))</f>
        <v/>
      </c>
      <c r="BP180" s="23" t="str">
        <f t="shared" ref="BP180:BP190" ca="1" si="880">IF(BP$11="","",IF(BP$13=$M$5,CHOOSE($Q$6+1,$M$1,BQ180+BR180-BS180),IF(BP$13=$M$6,CHOOSE($Q$6+1,$M$1,OFFSET($A180,,$P$7-1)),IF(BP$13=$M$7,CHOOSE($Q$6+1,$M$1,SUM(OFFSET($A$11,$B180-$O$5,$O$6,1,-$P$6))),IF(BP$13=$M$8,CHOOSE($Q$6+1,$M$1,SUM(OFFSET($A$11,$B180-$O$5,$O$7,1,-$P$6))),IF(BP$11&lt;$D$7,OFFSET(INDIRECT($D$3),$A180-1,$Q$3+BP$11),OFFSET(INDIRECT($D$4),$A180-1,$Q$4+BP$11)))))))</f>
        <v/>
      </c>
      <c r="BQ180" s="23" t="str">
        <f t="shared" ref="BQ180:BQ190" ca="1" si="881">IF(BQ$11="","",IF(BQ$13=$M$5,CHOOSE($Q$6+1,$M$1,BR180+BS180-BT180),IF(BQ$13=$M$6,CHOOSE($Q$6+1,$M$1,OFFSET($A180,,$P$7-1)),IF(BQ$13=$M$7,CHOOSE($Q$6+1,$M$1,SUM(OFFSET($A$11,$B180-$O$5,$O$6,1,-$P$6))),IF(BQ$13=$M$8,CHOOSE($Q$6+1,$M$1,SUM(OFFSET($A$11,$B180-$O$5,$O$7,1,-$P$6))),IF(BQ$11&lt;$D$7,OFFSET(INDIRECT($D$3),$A180-1,$Q$3+BQ$11),OFFSET(INDIRECT($D$4),$A180-1,$Q$4+BQ$11)))))))</f>
        <v/>
      </c>
      <c r="BR180" s="23" t="str">
        <f t="shared" ref="BR180:BR190" ca="1" si="882">IF(BR$11="","",IF(BR$13=$M$5,CHOOSE($Q$6+1,$M$1,BS180+BT180-BU180),IF(BR$13=$M$6,CHOOSE($Q$6+1,$M$1,OFFSET($A180,,$P$7-1)),IF(BR$13=$M$7,CHOOSE($Q$6+1,$M$1,SUM(OFFSET($A$11,$B180-$O$5,$O$6,1,-$P$6))),IF(BR$13=$M$8,CHOOSE($Q$6+1,$M$1,SUM(OFFSET($A$11,$B180-$O$5,$O$7,1,-$P$6))),IF(BR$11&lt;$D$7,OFFSET(INDIRECT($D$3),$A180-1,$Q$3+BR$11),OFFSET(INDIRECT($D$4),$A180-1,$Q$4+BR$11)))))))</f>
        <v/>
      </c>
      <c r="BS180" s="23" t="str">
        <f t="shared" ref="BS180:BS190" ca="1" si="883">IF(BS$11="","",IF(BS$13=$M$5,CHOOSE($Q$6+1,$M$1,BT180+BU180-BV180),IF(BS$13=$M$6,CHOOSE($Q$6+1,$M$1,OFFSET($A180,,$P$7-1)),IF(BS$13=$M$7,CHOOSE($Q$6+1,$M$1,SUM(OFFSET($A$11,$B180-$O$5,$O$6,1,-$P$6))),IF(BS$13=$M$8,CHOOSE($Q$6+1,$M$1,SUM(OFFSET($A$11,$B180-$O$5,$O$7,1,-$P$6))),IF(BS$11&lt;$D$7,OFFSET(INDIRECT($D$3),$A180-1,$Q$3+BS$11),OFFSET(INDIRECT($D$4),$A180-1,$Q$4+BS$11)))))))</f>
        <v/>
      </c>
      <c r="BT180" s="23" t="str">
        <f t="shared" ref="BT180:BT190" ca="1" si="884">IF(BT$11="","",IF(BT$13=$M$5,CHOOSE($Q$6+1,$M$1,BU180+BV180-BW180),IF(BT$13=$M$6,CHOOSE($Q$6+1,$M$1,OFFSET($A180,,$P$7-1)),IF(BT$13=$M$7,CHOOSE($Q$6+1,$M$1,SUM(OFFSET($A$11,$B180-$O$5,$O$6,1,-$P$6))),IF(BT$13=$M$8,CHOOSE($Q$6+1,$M$1,SUM(OFFSET($A$11,$B180-$O$5,$O$7,1,-$P$6))),IF(BT$11&lt;$D$7,OFFSET(INDIRECT($D$3),$A180-1,$Q$3+BT$11),OFFSET(INDIRECT($D$4),$A180-1,$Q$4+BT$11)))))))</f>
        <v/>
      </c>
      <c r="BU180" s="23" t="str">
        <f t="shared" ref="BU180:BU190" ca="1" si="885">IF(BU$11="","",IF(BU$13=$M$5,CHOOSE($Q$6+1,$M$1,BV180+BW180-BX180),IF(BU$13=$M$6,CHOOSE($Q$6+1,$M$1,OFFSET($A180,,$P$7-1)),IF(BU$13=$M$7,CHOOSE($Q$6+1,$M$1,SUM(OFFSET($A$11,$B180-$O$5,$O$6,1,-$P$6))),IF(BU$13=$M$8,CHOOSE($Q$6+1,$M$1,SUM(OFFSET($A$11,$B180-$O$5,$O$7,1,-$P$6))),IF(BU$11&lt;$D$7,OFFSET(INDIRECT($D$3),$A180-1,$Q$3+BU$11),OFFSET(INDIRECT($D$4),$A180-1,$Q$4+BU$11)))))))</f>
        <v/>
      </c>
      <c r="BV180" s="23" t="str">
        <f t="shared" ref="BV180:BV190" ca="1" si="886">IF(BV$11="","",IF(BV$13=$M$5,CHOOSE($Q$6+1,$M$1,BW180+BX180-BY180),IF(BV$13=$M$6,CHOOSE($Q$6+1,$M$1,OFFSET($A180,,$P$7-1)),IF(BV$13=$M$7,CHOOSE($Q$6+1,$M$1,SUM(OFFSET($A$11,$B180-$O$5,$O$6,1,-$P$6))),IF(BV$13=$M$8,CHOOSE($Q$6+1,$M$1,SUM(OFFSET($A$11,$B180-$O$5,$O$7,1,-$P$6))),IF(BV$11&lt;$D$7,OFFSET(INDIRECT($D$3),$A180-1,$Q$3+BV$11),OFFSET(INDIRECT($D$4),$A180-1,$Q$4+BV$11)))))))</f>
        <v/>
      </c>
      <c r="BW180" s="23" t="str">
        <f t="shared" ref="BW180:BW190" ca="1" si="887">IF(BW$11="","",IF(BW$13=$M$5,CHOOSE($Q$6+1,$M$1,BX180+BY180-BZ180),IF(BW$13=$M$6,CHOOSE($Q$6+1,$M$1,OFFSET($A180,,$P$7-1)),IF(BW$13=$M$7,CHOOSE($Q$6+1,$M$1,SUM(OFFSET($A$11,$B180-$O$5,$O$6,1,-$P$6))),IF(BW$13=$M$8,CHOOSE($Q$6+1,$M$1,SUM(OFFSET($A$11,$B180-$O$5,$O$7,1,-$P$6))),IF(BW$11&lt;$D$7,OFFSET(INDIRECT($D$3),$A180-1,$Q$3+BW$11),OFFSET(INDIRECT($D$4),$A180-1,$Q$4+BW$11)))))))</f>
        <v/>
      </c>
      <c r="BX180" s="23" t="str">
        <f t="shared" ref="BX180:BX190" ca="1" si="888">IF(BX$11="","",IF(BX$13=$M$5,CHOOSE($Q$6+1,$M$1,BY180+BZ180-CA180),IF(BX$13=$M$6,CHOOSE($Q$6+1,$M$1,OFFSET($A180,,$P$7-1)),IF(BX$13=$M$7,CHOOSE($Q$6+1,$M$1,SUM(OFFSET($A$11,$B180-$O$5,$O$6,1,-$P$6))),IF(BX$13=$M$8,CHOOSE($Q$6+1,$M$1,SUM(OFFSET($A$11,$B180-$O$5,$O$7,1,-$P$6))),IF(BX$11&lt;$D$7,OFFSET(INDIRECT($D$3),$A180-1,$Q$3+BX$11),OFFSET(INDIRECT($D$4),$A180-1,$Q$4+BX$11)))))))</f>
        <v/>
      </c>
      <c r="BY180" s="23" t="str">
        <f t="shared" ref="BY180:BY190" ca="1" si="889">IF(BY$11="","",IF(BY$13=$M$5,CHOOSE($Q$6+1,$M$1,BZ180+CA180-CB180),IF(BY$13=$M$6,CHOOSE($Q$6+1,$M$1,OFFSET($A180,,$P$7-1)),IF(BY$13=$M$7,CHOOSE($Q$6+1,$M$1,SUM(OFFSET($A$11,$B180-$O$5,$O$6,1,-$P$6))),IF(BY$13=$M$8,CHOOSE($Q$6+1,$M$1,SUM(OFFSET($A$11,$B180-$O$5,$O$7,1,-$P$6))),IF(BY$11&lt;$D$7,OFFSET(INDIRECT($D$3),$A180-1,$Q$3+BY$11),OFFSET(INDIRECT($D$4),$A180-1,$Q$4+BY$11)))))))</f>
        <v/>
      </c>
      <c r="BZ180" s="23" t="str">
        <f t="shared" ref="BZ180:BZ190" ca="1" si="890">IF(BZ$11="","",IF(BZ$13=$M$5,CHOOSE($Q$6+1,$M$1,CA180+CB180-CC180),IF(BZ$13=$M$6,CHOOSE($Q$6+1,$M$1,OFFSET($A180,,$P$7-1)),IF(BZ$13=$M$7,CHOOSE($Q$6+1,$M$1,SUM(OFFSET($A$11,$B180-$O$5,$O$6,1,-$P$6))),IF(BZ$13=$M$8,CHOOSE($Q$6+1,$M$1,SUM(OFFSET($A$11,$B180-$O$5,$O$7,1,-$P$6))),IF(BZ$11&lt;$D$7,OFFSET(INDIRECT($D$3),$A180-1,$Q$3+BZ$11),OFFSET(INDIRECT($D$4),$A180-1,$Q$4+BZ$11)))))))</f>
        <v/>
      </c>
      <c r="CA180" s="23" t="str">
        <f t="shared" ref="CA180:CA190" ca="1" si="891">IF(CA$11="","",IF(CA$13=$M$5,CHOOSE($Q$6+1,$M$1,CB180+CC180-CD180),IF(CA$13=$M$6,CHOOSE($Q$6+1,$M$1,OFFSET($A180,,$P$7-1)),IF(CA$13=$M$7,CHOOSE($Q$6+1,$M$1,SUM(OFFSET($A$11,$B180-$O$5,$O$6,1,-$P$6))),IF(CA$13=$M$8,CHOOSE($Q$6+1,$M$1,SUM(OFFSET($A$11,$B180-$O$5,$O$7,1,-$P$6))),IF(CA$11&lt;$D$7,OFFSET(INDIRECT($D$3),$A180-1,$Q$3+CA$11),OFFSET(INDIRECT($D$4),$A180-1,$Q$4+CA$11)))))))</f>
        <v/>
      </c>
      <c r="CB180" s="23" t="str">
        <f t="shared" ref="CB180:CB190" ca="1" si="892">IF(CB$11="","",IF(CB$13=$M$5,CHOOSE($Q$6+1,$M$1,CC180+CD180-CE180),IF(CB$13=$M$6,CHOOSE($Q$6+1,$M$1,OFFSET($A180,,$P$7-1)),IF(CB$13=$M$7,CHOOSE($Q$6+1,$M$1,SUM(OFFSET($A$11,$B180-$O$5,$O$6,1,-$P$6))),IF(CB$13=$M$8,CHOOSE($Q$6+1,$M$1,SUM(OFFSET($A$11,$B180-$O$5,$O$7,1,-$P$6))),IF(CB$11&lt;$D$7,OFFSET(INDIRECT($D$3),$A180-1,$Q$3+CB$11),OFFSET(INDIRECT($D$4),$A180-1,$Q$4+CB$11)))))))</f>
        <v/>
      </c>
      <c r="CC180" s="23" t="str">
        <f t="shared" ref="CC180:CC190" ca="1" si="893">IF(CC$11="","",IF(CC$13=$M$5,CHOOSE($Q$6+1,$M$1,CD180+CE180-CF180),IF(CC$13=$M$6,CHOOSE($Q$6+1,$M$1,OFFSET($A180,,$P$7-1)),IF(CC$13=$M$7,CHOOSE($Q$6+1,$M$1,SUM(OFFSET($A$11,$B180-$O$5,$O$6,1,-$P$6))),IF(CC$13=$M$8,CHOOSE($Q$6+1,$M$1,SUM(OFFSET($A$11,$B180-$O$5,$O$7,1,-$P$6))),IF(CC$11&lt;$D$7,OFFSET(INDIRECT($D$3),$A180-1,$Q$3+CC$11),OFFSET(INDIRECT($D$4),$A180-1,$Q$4+CC$11)))))))</f>
        <v/>
      </c>
      <c r="CD180" s="23" t="str">
        <f t="shared" ref="CD180:CD190" ca="1" si="894">IF(CD$11="","",IF(CD$13=$M$5,CHOOSE($Q$6+1,$M$1,CE180+CF180-CG180),IF(CD$13=$M$6,CHOOSE($Q$6+1,$M$1,OFFSET($A180,,$P$7-1)),IF(CD$13=$M$7,CHOOSE($Q$6+1,$M$1,SUM(OFFSET($A$11,$B180-$O$5,$O$6,1,-$P$6))),IF(CD$13=$M$8,CHOOSE($Q$6+1,$M$1,SUM(OFFSET($A$11,$B180-$O$5,$O$7,1,-$P$6))),IF(CD$11&lt;$D$7,OFFSET(INDIRECT($D$3),$A180-1,$Q$3+CD$11),OFFSET(INDIRECT($D$4),$A180-1,$Q$4+CD$11)))))))</f>
        <v/>
      </c>
      <c r="CE180" s="23" t="str">
        <f t="shared" ref="CE180:CE190" ca="1" si="895">IF(CE$11="","",IF(CE$13=$M$5,CHOOSE($Q$6+1,$M$1,CF180+CG180-CH180),IF(CE$13=$M$6,CHOOSE($Q$6+1,$M$1,OFFSET($A180,,$P$7-1)),IF(CE$13=$M$7,CHOOSE($Q$6+1,$M$1,SUM(OFFSET($A$11,$B180-$O$5,$O$6,1,-$P$6))),IF(CE$13=$M$8,CHOOSE($Q$6+1,$M$1,SUM(OFFSET($A$11,$B180-$O$5,$O$7,1,-$P$6))),IF(CE$11&lt;$D$7,OFFSET(INDIRECT($D$3),$A180-1,$Q$3+CE$11),OFFSET(INDIRECT($D$4),$A180-1,$Q$4+CE$11)))))))</f>
        <v/>
      </c>
      <c r="CF180" s="23" t="str">
        <f t="shared" ref="CF180:CF190" ca="1" si="896">IF(CF$11="","",IF(CF$13=$M$5,CHOOSE($Q$6+1,$M$1,CG180+CH180-CI180),IF(CF$13=$M$6,CHOOSE($Q$6+1,$M$1,OFFSET($A180,,$P$7-1)),IF(CF$13=$M$7,CHOOSE($Q$6+1,$M$1,SUM(OFFSET($A$11,$B180-$O$5,$O$6,1,-$P$6))),IF(CF$13=$M$8,CHOOSE($Q$6+1,$M$1,SUM(OFFSET($A$11,$B180-$O$5,$O$7,1,-$P$6))),IF(CF$11&lt;$D$7,OFFSET(INDIRECT($D$3),$A180-1,$Q$3+CF$11),OFFSET(INDIRECT($D$4),$A180-1,$Q$4+CF$11)))))))</f>
        <v/>
      </c>
      <c r="CG180" s="23" t="str">
        <f t="shared" ref="CG180:CG190" ca="1" si="897">IF(CG$11="","",IF(CG$13=$M$5,CHOOSE($Q$6+1,$M$1,CH180+CI180-CJ180),IF(CG$13=$M$6,CHOOSE($Q$6+1,$M$1,OFFSET($A180,,$P$7-1)),IF(CG$13=$M$7,CHOOSE($Q$6+1,$M$1,SUM(OFFSET($A$11,$B180-$O$5,$O$6,1,-$P$6))),IF(CG$13=$M$8,CHOOSE($Q$6+1,$M$1,SUM(OFFSET($A$11,$B180-$O$5,$O$7,1,-$P$6))),IF(CG$11&lt;$D$7,OFFSET(INDIRECT($D$3),$A180-1,$Q$3+CG$11),OFFSET(INDIRECT($D$4),$A180-1,$Q$4+CG$11)))))))</f>
        <v/>
      </c>
      <c r="CH180" s="23" t="str">
        <f t="shared" ref="CH180:CH190" ca="1" si="898">IF(CH$11="","",IF(CH$13=$M$5,CHOOSE($Q$6+1,$M$1,CI180+CJ180-CK180),IF(CH$13=$M$6,CHOOSE($Q$6+1,$M$1,OFFSET($A180,,$P$7-1)),IF(CH$13=$M$7,CHOOSE($Q$6+1,$M$1,SUM(OFFSET($A$11,$B180-$O$5,$O$6,1,-$P$6))),IF(CH$13=$M$8,CHOOSE($Q$6+1,$M$1,SUM(OFFSET($A$11,$B180-$O$5,$O$7,1,-$P$6))),IF(CH$11&lt;$D$7,OFFSET(INDIRECT($D$3),$A180-1,$Q$3+CH$11),OFFSET(INDIRECT($D$4),$A180-1,$Q$4+CH$11)))))))</f>
        <v/>
      </c>
      <c r="CI180" s="23" t="str">
        <f t="shared" ref="CI180:CI190" ca="1" si="899">IF(CI$11="","",IF(CI$13=$M$5,CHOOSE($Q$6+1,$M$1,CJ180+CK180-CL180),IF(CI$13=$M$6,CHOOSE($Q$6+1,$M$1,OFFSET($A180,,$P$7-1)),IF(CI$13=$M$7,CHOOSE($Q$6+1,$M$1,SUM(OFFSET($A$11,$B180-$O$5,$O$6,1,-$P$6))),IF(CI$13=$M$8,CHOOSE($Q$6+1,$M$1,SUM(OFFSET($A$11,$B180-$O$5,$O$7,1,-$P$6))),IF(CI$11&lt;$D$7,OFFSET(INDIRECT($D$3),$A180-1,$Q$3+CI$11),OFFSET(INDIRECT($D$4),$A180-1,$Q$4+CI$11)))))))</f>
        <v/>
      </c>
      <c r="CJ180" s="23" t="str">
        <f t="shared" ref="CJ180:CJ190" ca="1" si="900">IF(CJ$11="","",IF(CJ$13=$M$5,CHOOSE($Q$6+1,$M$1,CK180+CL180-CM180),IF(CJ$13=$M$6,CHOOSE($Q$6+1,$M$1,OFFSET($A180,,$P$7-1)),IF(CJ$13=$M$7,CHOOSE($Q$6+1,$M$1,SUM(OFFSET($A$11,$B180-$O$5,$O$6,1,-$P$6))),IF(CJ$13=$M$8,CHOOSE($Q$6+1,$M$1,SUM(OFFSET($A$11,$B180-$O$5,$O$7,1,-$P$6))),IF(CJ$11&lt;$D$7,OFFSET(INDIRECT($D$3),$A180-1,$Q$3+CJ$11),OFFSET(INDIRECT($D$4),$A180-1,$Q$4+CJ$11)))))))</f>
        <v/>
      </c>
      <c r="CK180" s="23" t="str">
        <f t="shared" ref="CK180:CK190" ca="1" si="901">IF(CK$11="","",IF(CK$13=$M$5,CHOOSE($Q$6+1,$M$1,CL180+CM180-CN180),IF(CK$13=$M$6,CHOOSE($Q$6+1,$M$1,OFFSET($A180,,$P$7-1)),IF(CK$13=$M$7,CHOOSE($Q$6+1,$M$1,SUM(OFFSET($A$11,$B180-$O$5,$O$6,1,-$P$6))),IF(CK$13=$M$8,CHOOSE($Q$6+1,$M$1,SUM(OFFSET($A$11,$B180-$O$5,$O$7,1,-$P$6))),IF(CK$11&lt;$D$7,OFFSET(INDIRECT($D$3),$A180-1,$Q$3+CK$11),OFFSET(INDIRECT($D$4),$A180-1,$Q$4+CK$11)))))))</f>
        <v/>
      </c>
      <c r="CL180" s="23" t="str">
        <f t="shared" ref="CL180:CL190" ca="1" si="902">IF(CL$11="","",IF(CL$13=$M$5,CHOOSE($Q$6+1,$M$1,CM180+CN180-CO180),IF(CL$13=$M$6,CHOOSE($Q$6+1,$M$1,OFFSET($A180,,$P$7-1)),IF(CL$13=$M$7,CHOOSE($Q$6+1,$M$1,SUM(OFFSET($A$11,$B180-$O$5,$O$6,1,-$P$6))),IF(CL$13=$M$8,CHOOSE($Q$6+1,$M$1,SUM(OFFSET($A$11,$B180-$O$5,$O$7,1,-$P$6))),IF(CL$11&lt;$D$7,OFFSET(INDIRECT($D$3),$A180-1,$Q$3+CL$11),OFFSET(INDIRECT($D$4),$A180-1,$Q$4+CL$11)))))))</f>
        <v/>
      </c>
      <c r="CM180" s="23" t="str">
        <f t="shared" ref="CM180:CM190" ca="1" si="903">IF(CM$11="","",IF(CM$13=$M$5,CHOOSE($Q$6+1,$M$1,CN180+CO180-CP180),IF(CM$13=$M$6,CHOOSE($Q$6+1,$M$1,OFFSET($A180,,$P$7-1)),IF(CM$13=$M$7,CHOOSE($Q$6+1,$M$1,SUM(OFFSET($A$11,$B180-$O$5,$O$6,1,-$P$6))),IF(CM$13=$M$8,CHOOSE($Q$6+1,$M$1,SUM(OFFSET($A$11,$B180-$O$5,$O$7,1,-$P$6))),IF(CM$11&lt;$D$7,OFFSET(INDIRECT($D$3),$A180-1,$Q$3+CM$11),OFFSET(INDIRECT($D$4),$A180-1,$Q$4+CM$11)))))))</f>
        <v/>
      </c>
      <c r="CN180" s="23" t="str">
        <f t="shared" ref="CN180:CN190" ca="1" si="904">IF(CN$11="","",IF(CN$13=$M$5,CHOOSE($Q$6+1,$M$1,CO180+CP180-CQ180),IF(CN$13=$M$6,CHOOSE($Q$6+1,$M$1,OFFSET($A180,,$P$7-1)),IF(CN$13=$M$7,CHOOSE($Q$6+1,$M$1,SUM(OFFSET($A$11,$B180-$O$5,$O$6,1,-$P$6))),IF(CN$13=$M$8,CHOOSE($Q$6+1,$M$1,SUM(OFFSET($A$11,$B180-$O$5,$O$7,1,-$P$6))),IF(CN$11&lt;$D$7,OFFSET(INDIRECT($D$3),$A180-1,$Q$3+CN$11),OFFSET(INDIRECT($D$4),$A180-1,$Q$4+CN$11)))))))</f>
        <v/>
      </c>
      <c r="CO180" s="23" t="str">
        <f t="shared" ref="CO180:CO190" ca="1" si="905">IF(CO$11="","",IF(CO$13=$M$5,CHOOSE($Q$6+1,$M$1,CP180+CQ180-CR180),IF(CO$13=$M$6,CHOOSE($Q$6+1,$M$1,OFFSET($A180,,$P$7-1)),IF(CO$13=$M$7,CHOOSE($Q$6+1,$M$1,SUM(OFFSET($A$11,$B180-$O$5,$O$6,1,-$P$6))),IF(CO$13=$M$8,CHOOSE($Q$6+1,$M$1,SUM(OFFSET($A$11,$B180-$O$5,$O$7,1,-$P$6))),IF(CO$11&lt;$D$7,OFFSET(INDIRECT($D$3),$A180-1,$Q$3+CO$11),OFFSET(INDIRECT($D$4),$A180-1,$Q$4+CO$11)))))))</f>
        <v/>
      </c>
      <c r="CP180" s="23" t="str">
        <f t="shared" ref="CP180:CP190" ca="1" si="906">IF(CP$11="","",IF(CP$13=$M$5,CHOOSE($Q$6+1,$M$1,CQ180+CR180-CS180),IF(CP$13=$M$6,CHOOSE($Q$6+1,$M$1,OFFSET($A180,,$P$7-1)),IF(CP$13=$M$7,CHOOSE($Q$6+1,$M$1,SUM(OFFSET($A$11,$B180-$O$5,$O$6,1,-$P$6))),IF(CP$13=$M$8,CHOOSE($Q$6+1,$M$1,SUM(OFFSET($A$11,$B180-$O$5,$O$7,1,-$P$6))),IF(CP$11&lt;$D$7,OFFSET(INDIRECT($D$3),$A180-1,$Q$3+CP$11),OFFSET(INDIRECT($D$4),$A180-1,$Q$4+CP$11)))))))</f>
        <v/>
      </c>
      <c r="CQ180" s="23" t="str">
        <f t="shared" ref="CQ180:CQ190" ca="1" si="907">IF(CQ$11="","",IF(CQ$13=$M$5,CHOOSE($Q$6+1,$M$1,CR180+CS180-CT180),IF(CQ$13=$M$6,CHOOSE($Q$6+1,$M$1,OFFSET($A180,,$P$7-1)),IF(CQ$13=$M$7,CHOOSE($Q$6+1,$M$1,SUM(OFFSET($A$11,$B180-$O$5,$O$6,1,-$P$6))),IF(CQ$13=$M$8,CHOOSE($Q$6+1,$M$1,SUM(OFFSET($A$11,$B180-$O$5,$O$7,1,-$P$6))),IF(CQ$11&lt;$D$7,OFFSET(INDIRECT($D$3),$A180-1,$Q$3+CQ$11),OFFSET(INDIRECT($D$4),$A180-1,$Q$4+CQ$11)))))))</f>
        <v/>
      </c>
      <c r="CR180" s="23" t="str">
        <f t="shared" ref="CR180:CR190" ca="1" si="908">IF(CR$11="","",IF(CR$13=$M$5,CHOOSE($Q$6+1,$M$1,CS180+CT180-CU180),IF(CR$13=$M$6,CHOOSE($Q$6+1,$M$1,OFFSET($A180,,$P$7-1)),IF(CR$13=$M$7,CHOOSE($Q$6+1,$M$1,SUM(OFFSET($A$11,$B180-$O$5,$O$6,1,-$P$6))),IF(CR$13=$M$8,CHOOSE($Q$6+1,$M$1,SUM(OFFSET($A$11,$B180-$O$5,$O$7,1,-$P$6))),IF(CR$11&lt;$D$7,OFFSET(INDIRECT($D$3),$A180-1,$Q$3+CR$11),OFFSET(INDIRECT($D$4),$A180-1,$Q$4+CR$11)))))))</f>
        <v/>
      </c>
      <c r="CS180" s="23" t="str">
        <f t="shared" ref="CS180:CS190" ca="1" si="909">IF(CS$11="","",IF(CS$13=$M$5,CHOOSE($Q$6+1,$M$1,CT180+CU180-CV180),IF(CS$13=$M$6,CHOOSE($Q$6+1,$M$1,OFFSET($A180,,$P$7-1)),IF(CS$13=$M$7,CHOOSE($Q$6+1,$M$1,SUM(OFFSET($A$11,$B180-$O$5,$O$6,1,-$P$6))),IF(CS$13=$M$8,CHOOSE($Q$6+1,$M$1,SUM(OFFSET($A$11,$B180-$O$5,$O$7,1,-$P$6))),IF(CS$11&lt;$D$7,OFFSET(INDIRECT($D$3),$A180-1,$Q$3+CS$11),OFFSET(INDIRECT($D$4),$A180-1,$Q$4+CS$11)))))))</f>
        <v/>
      </c>
      <c r="CT180" s="23" t="str">
        <f t="shared" ref="CT180:CT190" ca="1" si="910">IF(CT$11="","",IF(CT$13=$M$5,CHOOSE($Q$6+1,$M$1,CU180+CV180-CW180),IF(CT$13=$M$6,CHOOSE($Q$6+1,$M$1,OFFSET($A180,,$P$7-1)),IF(CT$13=$M$7,CHOOSE($Q$6+1,$M$1,SUM(OFFSET($A$11,$B180-$O$5,$O$6,1,-$P$6))),IF(CT$13=$M$8,CHOOSE($Q$6+1,$M$1,SUM(OFFSET($A$11,$B180-$O$5,$O$7,1,-$P$6))),IF(CT$11&lt;$D$7,OFFSET(INDIRECT($D$3),$A180-1,$Q$3+CT$11),OFFSET(INDIRECT($D$4),$A180-1,$Q$4+CT$11)))))))</f>
        <v/>
      </c>
      <c r="CU180" s="23" t="str">
        <f t="shared" ref="CU180:CU190" ca="1" si="911">IF(CU$11="","",IF(CU$13=$M$5,CHOOSE($Q$6+1,$M$1,CV180+CW180-CX180),IF(CU$13=$M$6,CHOOSE($Q$6+1,$M$1,OFFSET($A180,,$P$7-1)),IF(CU$13=$M$7,CHOOSE($Q$6+1,$M$1,SUM(OFFSET($A$11,$B180-$O$5,$O$6,1,-$P$6))),IF(CU$13=$M$8,CHOOSE($Q$6+1,$M$1,SUM(OFFSET($A$11,$B180-$O$5,$O$7,1,-$P$6))),IF(CU$11&lt;$D$7,OFFSET(INDIRECT($D$3),$A180-1,$Q$3+CU$11),OFFSET(INDIRECT($D$4),$A180-1,$Q$4+CU$11)))))))</f>
        <v/>
      </c>
      <c r="CV180" s="23" t="str">
        <f t="shared" ref="CV180:CV190" ca="1" si="912">IF(CV$11="","",IF(CV$13=$M$5,CHOOSE($Q$6+1,$M$1,CW180+CX180-CY180),IF(CV$13=$M$6,CHOOSE($Q$6+1,$M$1,OFFSET($A180,,$P$7-1)),IF(CV$13=$M$7,CHOOSE($Q$6+1,$M$1,SUM(OFFSET($A$11,$B180-$O$5,$O$6,1,-$P$6))),IF(CV$13=$M$8,CHOOSE($Q$6+1,$M$1,SUM(OFFSET($A$11,$B180-$O$5,$O$7,1,-$P$6))),IF(CV$11&lt;$D$7,OFFSET(INDIRECT($D$3),$A180-1,$Q$3+CV$11),OFFSET(INDIRECT($D$4),$A180-1,$Q$4+CV$11)))))))</f>
        <v/>
      </c>
      <c r="CW180" s="23" t="str">
        <f t="shared" ref="CW180:CW190" ca="1" si="913">IF(CW$11="","",IF(CW$13=$M$5,CHOOSE($Q$6+1,$M$1,CX180+CY180-CZ180),IF(CW$13=$M$6,CHOOSE($Q$6+1,$M$1,OFFSET($A180,,$P$7-1)),IF(CW$13=$M$7,CHOOSE($Q$6+1,$M$1,SUM(OFFSET($A$11,$B180-$O$5,$O$6,1,-$P$6))),IF(CW$13=$M$8,CHOOSE($Q$6+1,$M$1,SUM(OFFSET($A$11,$B180-$O$5,$O$7,1,-$P$6))),IF(CW$11&lt;$D$7,OFFSET(INDIRECT($D$3),$A180-1,$Q$3+CW$11),OFFSET(INDIRECT($D$4),$A180-1,$Q$4+CW$11)))))))</f>
        <v/>
      </c>
      <c r="CX180" s="23" t="str">
        <f ca="1">IF(CX$11="","",IF(CX$13=$M$5,CHOOSE($Q$6+1,$M$1,CY180+CZ180-#REF!),IF(CX$13=$M$6,CHOOSE($Q$6+1,$M$1,OFFSET($A180,,$P$7-1)),IF(CX$13=$M$7,CHOOSE($Q$6+1,$M$1,SUM(OFFSET($A$11,$B180-$O$5,$O$6,1,-$P$6))),IF(CX$13=$M$8,CHOOSE($Q$6+1,$M$1,SUM(OFFSET($A$11,$B180-$O$5,$O$7,1,-$P$6))),IF(CX$11&lt;$D$7,OFFSET(INDIRECT($D$3),$A180-1,$Q$3+CX$11),OFFSET(INDIRECT($D$4),$A180-1,$Q$4+CX$11)))))))</f>
        <v/>
      </c>
      <c r="CY180" s="23" t="str">
        <f ca="1">IF(CY$11="","",IF(CY$13=$M$5,CHOOSE($Q$6+1,$M$1,CZ180+#REF!-#REF!),IF(CY$13=$M$6,CHOOSE($Q$6+1,$M$1,OFFSET($A180,,$P$7-1)),IF(CY$13=$M$7,CHOOSE($Q$6+1,$M$1,SUM(OFFSET($A$11,$B180-$O$5,$O$6,1,-$P$6))),IF(CY$13=$M$8,CHOOSE($Q$6+1,$M$1,SUM(OFFSET($A$11,$B180-$O$5,$O$7,1,-$P$6))),IF(CY$11&lt;$D$7,OFFSET(INDIRECT($D$3),$A180-1,$Q$3+CY$11),OFFSET(INDIRECT($D$4),$A180-1,$Q$4+CY$11)))))))</f>
        <v/>
      </c>
      <c r="CZ180" s="23" t="str">
        <f ca="1">IF(CZ$11="","",IF(CZ$13=$M$5,CHOOSE($Q$6+1,$M$1,#REF!+#REF!-#REF!),IF(CZ$13=$M$6,CHOOSE($Q$6+1,$M$1,OFFSET($A180,,$P$7-1)),IF(CZ$13=$M$7,CHOOSE($Q$6+1,$M$1,SUM(OFFSET($A$11,$B180-$O$5,$O$6,1,-$P$6))),IF(CZ$13=$M$8,CHOOSE($Q$6+1,$M$1,SUM(OFFSET($A$11,$B180-$O$5,$O$7,1,-$P$6))),IF(CZ$11&lt;$D$7,OFFSET(INDIRECT($D$3),$A180-1,$Q$3+CZ$11),OFFSET(INDIRECT($D$4),$A180-1,$Q$4+CZ$11)))))))</f>
        <v/>
      </c>
    </row>
    <row r="181" spans="1:104" ht="13.5" customHeight="1">
      <c r="A181" s="27">
        <v>161</v>
      </c>
      <c r="B181" s="33">
        <f t="shared" si="639"/>
        <v>181</v>
      </c>
      <c r="C181" s="8" t="s">
        <v>428</v>
      </c>
      <c r="D181" s="23">
        <f t="shared" ca="1" si="816"/>
        <v>0</v>
      </c>
      <c r="E181" s="23">
        <f t="shared" ca="1" si="817"/>
        <v>0</v>
      </c>
      <c r="F181" s="23">
        <f t="shared" ca="1" si="818"/>
        <v>0</v>
      </c>
      <c r="G181" s="23">
        <f t="shared" ca="1" si="819"/>
        <v>0</v>
      </c>
      <c r="H181" s="23">
        <f t="shared" ca="1" si="820"/>
        <v>0</v>
      </c>
      <c r="I181" s="23">
        <f t="shared" ca="1" si="821"/>
        <v>0</v>
      </c>
      <c r="J181" s="23">
        <f t="shared" ca="1" si="822"/>
        <v>0</v>
      </c>
      <c r="K181" s="23">
        <f t="shared" ca="1" si="823"/>
        <v>0</v>
      </c>
      <c r="L181" s="23">
        <f t="shared" ca="1" si="824"/>
        <v>0</v>
      </c>
      <c r="M181" s="23">
        <f t="shared" ca="1" si="825"/>
        <v>0</v>
      </c>
      <c r="N181" s="23">
        <f t="shared" ca="1" si="826"/>
        <v>0</v>
      </c>
      <c r="O181" s="23">
        <f t="shared" ca="1" si="827"/>
        <v>0</v>
      </c>
      <c r="P181" s="23">
        <f t="shared" ca="1" si="828"/>
        <v>0</v>
      </c>
      <c r="Q181" s="23">
        <f t="shared" ca="1" si="829"/>
        <v>0</v>
      </c>
      <c r="R181" s="23" t="str">
        <f t="shared" ca="1" si="830"/>
        <v/>
      </c>
      <c r="S181" s="23" t="str">
        <f t="shared" ca="1" si="831"/>
        <v/>
      </c>
      <c r="T181" s="23" t="str">
        <f t="shared" ca="1" si="832"/>
        <v/>
      </c>
      <c r="U181" s="23" t="str">
        <f t="shared" ca="1" si="833"/>
        <v/>
      </c>
      <c r="V181" s="23" t="str">
        <f t="shared" ca="1" si="834"/>
        <v/>
      </c>
      <c r="W181" s="23" t="str">
        <f t="shared" ca="1" si="835"/>
        <v/>
      </c>
      <c r="X181" s="23" t="str">
        <f t="shared" ca="1" si="836"/>
        <v/>
      </c>
      <c r="Y181" s="23" t="str">
        <f t="shared" ca="1" si="837"/>
        <v/>
      </c>
      <c r="Z181" s="23" t="str">
        <f t="shared" ca="1" si="838"/>
        <v/>
      </c>
      <c r="AA181" s="23" t="str">
        <f t="shared" ca="1" si="839"/>
        <v/>
      </c>
      <c r="AB181" s="23" t="str">
        <f t="shared" ca="1" si="840"/>
        <v/>
      </c>
      <c r="AC181" s="23" t="str">
        <f t="shared" ca="1" si="841"/>
        <v/>
      </c>
      <c r="AD181" s="23" t="str">
        <f t="shared" ca="1" si="842"/>
        <v/>
      </c>
      <c r="AE181" s="23" t="str">
        <f t="shared" ca="1" si="843"/>
        <v/>
      </c>
      <c r="AF181" s="23" t="str">
        <f t="shared" ca="1" si="844"/>
        <v/>
      </c>
      <c r="AG181" s="23" t="str">
        <f t="shared" ca="1" si="845"/>
        <v/>
      </c>
      <c r="AH181" s="23" t="str">
        <f t="shared" ca="1" si="846"/>
        <v/>
      </c>
      <c r="AI181" s="23" t="str">
        <f t="shared" ca="1" si="847"/>
        <v/>
      </c>
      <c r="AJ181" s="23" t="str">
        <f t="shared" ca="1" si="848"/>
        <v/>
      </c>
      <c r="AK181" s="23" t="str">
        <f t="shared" ca="1" si="849"/>
        <v/>
      </c>
      <c r="AL181" s="23" t="str">
        <f t="shared" ca="1" si="850"/>
        <v/>
      </c>
      <c r="AM181" s="23" t="str">
        <f t="shared" ca="1" si="851"/>
        <v/>
      </c>
      <c r="AN181" s="23" t="str">
        <f t="shared" ca="1" si="852"/>
        <v/>
      </c>
      <c r="AO181" s="23" t="str">
        <f t="shared" ca="1" si="853"/>
        <v/>
      </c>
      <c r="AP181" s="23" t="str">
        <f t="shared" ca="1" si="854"/>
        <v/>
      </c>
      <c r="AQ181" s="23" t="str">
        <f t="shared" ca="1" si="855"/>
        <v/>
      </c>
      <c r="AR181" s="23" t="str">
        <f t="shared" ca="1" si="856"/>
        <v/>
      </c>
      <c r="AS181" s="23" t="str">
        <f t="shared" ca="1" si="857"/>
        <v/>
      </c>
      <c r="AT181" s="23" t="str">
        <f t="shared" ca="1" si="858"/>
        <v/>
      </c>
      <c r="AU181" s="23" t="str">
        <f t="shared" ca="1" si="859"/>
        <v/>
      </c>
      <c r="AV181" s="23" t="str">
        <f t="shared" ca="1" si="860"/>
        <v/>
      </c>
      <c r="AW181" s="23" t="str">
        <f t="shared" ca="1" si="861"/>
        <v/>
      </c>
      <c r="AX181" s="23" t="str">
        <f t="shared" ca="1" si="862"/>
        <v/>
      </c>
      <c r="AY181" s="23" t="str">
        <f t="shared" ca="1" si="863"/>
        <v/>
      </c>
      <c r="AZ181" s="23" t="str">
        <f t="shared" ca="1" si="864"/>
        <v/>
      </c>
      <c r="BA181" s="23" t="str">
        <f t="shared" ca="1" si="865"/>
        <v/>
      </c>
      <c r="BB181" s="23" t="str">
        <f t="shared" ca="1" si="866"/>
        <v/>
      </c>
      <c r="BC181" s="23" t="str">
        <f t="shared" ca="1" si="867"/>
        <v/>
      </c>
      <c r="BD181" s="23" t="str">
        <f t="shared" ca="1" si="868"/>
        <v/>
      </c>
      <c r="BE181" s="23" t="str">
        <f t="shared" ca="1" si="869"/>
        <v/>
      </c>
      <c r="BF181" s="23" t="str">
        <f t="shared" ca="1" si="870"/>
        <v/>
      </c>
      <c r="BG181" s="23" t="str">
        <f t="shared" ca="1" si="871"/>
        <v/>
      </c>
      <c r="BH181" s="23" t="str">
        <f t="shared" ca="1" si="872"/>
        <v/>
      </c>
      <c r="BI181" s="23" t="str">
        <f t="shared" ca="1" si="873"/>
        <v/>
      </c>
      <c r="BJ181" s="23" t="str">
        <f t="shared" ca="1" si="874"/>
        <v/>
      </c>
      <c r="BK181" s="23" t="str">
        <f t="shared" ca="1" si="875"/>
        <v/>
      </c>
      <c r="BL181" s="23" t="str">
        <f t="shared" ca="1" si="876"/>
        <v/>
      </c>
      <c r="BM181" s="23" t="str">
        <f t="shared" ca="1" si="877"/>
        <v/>
      </c>
      <c r="BN181" s="23" t="str">
        <f t="shared" ca="1" si="878"/>
        <v/>
      </c>
      <c r="BO181" s="23" t="str">
        <f t="shared" ca="1" si="879"/>
        <v/>
      </c>
      <c r="BP181" s="23" t="str">
        <f t="shared" ca="1" si="880"/>
        <v/>
      </c>
      <c r="BQ181" s="23" t="str">
        <f t="shared" ca="1" si="881"/>
        <v/>
      </c>
      <c r="BR181" s="23" t="str">
        <f t="shared" ca="1" si="882"/>
        <v/>
      </c>
      <c r="BS181" s="23" t="str">
        <f t="shared" ca="1" si="883"/>
        <v/>
      </c>
      <c r="BT181" s="23" t="str">
        <f t="shared" ca="1" si="884"/>
        <v/>
      </c>
      <c r="BU181" s="23" t="str">
        <f t="shared" ca="1" si="885"/>
        <v/>
      </c>
      <c r="BV181" s="23" t="str">
        <f t="shared" ca="1" si="886"/>
        <v/>
      </c>
      <c r="BW181" s="23" t="str">
        <f t="shared" ca="1" si="887"/>
        <v/>
      </c>
      <c r="BX181" s="23" t="str">
        <f t="shared" ca="1" si="888"/>
        <v/>
      </c>
      <c r="BY181" s="23" t="str">
        <f t="shared" ca="1" si="889"/>
        <v/>
      </c>
      <c r="BZ181" s="23" t="str">
        <f t="shared" ca="1" si="890"/>
        <v/>
      </c>
      <c r="CA181" s="23" t="str">
        <f t="shared" ca="1" si="891"/>
        <v/>
      </c>
      <c r="CB181" s="23" t="str">
        <f t="shared" ca="1" si="892"/>
        <v/>
      </c>
      <c r="CC181" s="23" t="str">
        <f t="shared" ca="1" si="893"/>
        <v/>
      </c>
      <c r="CD181" s="23" t="str">
        <f t="shared" ca="1" si="894"/>
        <v/>
      </c>
      <c r="CE181" s="23" t="str">
        <f t="shared" ca="1" si="895"/>
        <v/>
      </c>
      <c r="CF181" s="23" t="str">
        <f t="shared" ca="1" si="896"/>
        <v/>
      </c>
      <c r="CG181" s="23" t="str">
        <f t="shared" ca="1" si="897"/>
        <v/>
      </c>
      <c r="CH181" s="23" t="str">
        <f t="shared" ca="1" si="898"/>
        <v/>
      </c>
      <c r="CI181" s="23" t="str">
        <f t="shared" ca="1" si="899"/>
        <v/>
      </c>
      <c r="CJ181" s="23" t="str">
        <f t="shared" ca="1" si="900"/>
        <v/>
      </c>
      <c r="CK181" s="23" t="str">
        <f t="shared" ca="1" si="901"/>
        <v/>
      </c>
      <c r="CL181" s="23" t="str">
        <f t="shared" ca="1" si="902"/>
        <v/>
      </c>
      <c r="CM181" s="23" t="str">
        <f t="shared" ca="1" si="903"/>
        <v/>
      </c>
      <c r="CN181" s="23" t="str">
        <f t="shared" ca="1" si="904"/>
        <v/>
      </c>
      <c r="CO181" s="23" t="str">
        <f t="shared" ca="1" si="905"/>
        <v/>
      </c>
      <c r="CP181" s="23" t="str">
        <f t="shared" ca="1" si="906"/>
        <v/>
      </c>
      <c r="CQ181" s="23" t="str">
        <f t="shared" ca="1" si="907"/>
        <v/>
      </c>
      <c r="CR181" s="23" t="str">
        <f t="shared" ca="1" si="908"/>
        <v/>
      </c>
      <c r="CS181" s="23" t="str">
        <f t="shared" ca="1" si="909"/>
        <v/>
      </c>
      <c r="CT181" s="23" t="str">
        <f t="shared" ca="1" si="910"/>
        <v/>
      </c>
      <c r="CU181" s="23" t="str">
        <f t="shared" ca="1" si="911"/>
        <v/>
      </c>
      <c r="CV181" s="23" t="str">
        <f t="shared" ca="1" si="912"/>
        <v/>
      </c>
      <c r="CW181" s="23" t="str">
        <f t="shared" ca="1" si="913"/>
        <v/>
      </c>
      <c r="CX181" s="23" t="str">
        <f ca="1">IF(CX$11="","",IF(CX$13=$M$5,CHOOSE($Q$6+1,$M$1,CY181+CZ181-#REF!),IF(CX$13=$M$6,CHOOSE($Q$6+1,$M$1,OFFSET($A181,,$P$7-1)),IF(CX$13=$M$7,CHOOSE($Q$6+1,$M$1,SUM(OFFSET($A$11,$B181-$O$5,$O$6,1,-$P$6))),IF(CX$13=$M$8,CHOOSE($Q$6+1,$M$1,SUM(OFFSET($A$11,$B181-$O$5,$O$7,1,-$P$6))),IF(CX$11&lt;$D$7,OFFSET(INDIRECT($D$3),$A181-1,$Q$3+CX$11),OFFSET(INDIRECT($D$4),$A181-1,$Q$4+CX$11)))))))</f>
        <v/>
      </c>
      <c r="CY181" s="23" t="str">
        <f ca="1">IF(CY$11="","",IF(CY$13=$M$5,CHOOSE($Q$6+1,$M$1,CZ181+#REF!-#REF!),IF(CY$13=$M$6,CHOOSE($Q$6+1,$M$1,OFFSET($A181,,$P$7-1)),IF(CY$13=$M$7,CHOOSE($Q$6+1,$M$1,SUM(OFFSET($A$11,$B181-$O$5,$O$6,1,-$P$6))),IF(CY$13=$M$8,CHOOSE($Q$6+1,$M$1,SUM(OFFSET($A$11,$B181-$O$5,$O$7,1,-$P$6))),IF(CY$11&lt;$D$7,OFFSET(INDIRECT($D$3),$A181-1,$Q$3+CY$11),OFFSET(INDIRECT($D$4),$A181-1,$Q$4+CY$11)))))))</f>
        <v/>
      </c>
      <c r="CZ181" s="23" t="str">
        <f ca="1">IF(CZ$11="","",IF(CZ$13=$M$5,CHOOSE($Q$6+1,$M$1,#REF!+#REF!-#REF!),IF(CZ$13=$M$6,CHOOSE($Q$6+1,$M$1,OFFSET($A181,,$P$7-1)),IF(CZ$13=$M$7,CHOOSE($Q$6+1,$M$1,SUM(OFFSET($A$11,$B181-$O$5,$O$6,1,-$P$6))),IF(CZ$13=$M$8,CHOOSE($Q$6+1,$M$1,SUM(OFFSET($A$11,$B181-$O$5,$O$7,1,-$P$6))),IF(CZ$11&lt;$D$7,OFFSET(INDIRECT($D$3),$A181-1,$Q$3+CZ$11),OFFSET(INDIRECT($D$4),$A181-1,$Q$4+CZ$11)))))))</f>
        <v/>
      </c>
    </row>
    <row r="182" spans="1:104" ht="13.5" customHeight="1">
      <c r="A182" s="27">
        <v>162</v>
      </c>
      <c r="B182" s="33">
        <f t="shared" si="639"/>
        <v>182</v>
      </c>
      <c r="C182" s="8" t="s">
        <v>429</v>
      </c>
      <c r="D182" s="23">
        <f t="shared" ca="1" si="816"/>
        <v>0</v>
      </c>
      <c r="E182" s="23">
        <f t="shared" ca="1" si="817"/>
        <v>0</v>
      </c>
      <c r="F182" s="23">
        <f t="shared" ca="1" si="818"/>
        <v>0</v>
      </c>
      <c r="G182" s="23">
        <f t="shared" ca="1" si="819"/>
        <v>0</v>
      </c>
      <c r="H182" s="23">
        <f t="shared" ca="1" si="820"/>
        <v>0</v>
      </c>
      <c r="I182" s="23">
        <f t="shared" ca="1" si="821"/>
        <v>0</v>
      </c>
      <c r="J182" s="23">
        <f t="shared" ca="1" si="822"/>
        <v>0</v>
      </c>
      <c r="K182" s="23">
        <f t="shared" ca="1" si="823"/>
        <v>0</v>
      </c>
      <c r="L182" s="23">
        <f t="shared" ca="1" si="824"/>
        <v>0</v>
      </c>
      <c r="M182" s="23">
        <f t="shared" ca="1" si="825"/>
        <v>0</v>
      </c>
      <c r="N182" s="23">
        <f t="shared" ca="1" si="826"/>
        <v>0</v>
      </c>
      <c r="O182" s="23">
        <f t="shared" ca="1" si="827"/>
        <v>0</v>
      </c>
      <c r="P182" s="23">
        <f t="shared" ca="1" si="828"/>
        <v>0</v>
      </c>
      <c r="Q182" s="23">
        <f t="shared" ca="1" si="829"/>
        <v>0</v>
      </c>
      <c r="R182" s="23" t="str">
        <f t="shared" ca="1" si="830"/>
        <v/>
      </c>
      <c r="S182" s="23" t="str">
        <f t="shared" ca="1" si="831"/>
        <v/>
      </c>
      <c r="T182" s="23" t="str">
        <f t="shared" ca="1" si="832"/>
        <v/>
      </c>
      <c r="U182" s="23" t="str">
        <f t="shared" ca="1" si="833"/>
        <v/>
      </c>
      <c r="V182" s="23" t="str">
        <f t="shared" ca="1" si="834"/>
        <v/>
      </c>
      <c r="W182" s="23" t="str">
        <f t="shared" ca="1" si="835"/>
        <v/>
      </c>
      <c r="X182" s="23" t="str">
        <f t="shared" ca="1" si="836"/>
        <v/>
      </c>
      <c r="Y182" s="23" t="str">
        <f t="shared" ca="1" si="837"/>
        <v/>
      </c>
      <c r="Z182" s="23" t="str">
        <f t="shared" ca="1" si="838"/>
        <v/>
      </c>
      <c r="AA182" s="23" t="str">
        <f t="shared" ca="1" si="839"/>
        <v/>
      </c>
      <c r="AB182" s="23" t="str">
        <f t="shared" ca="1" si="840"/>
        <v/>
      </c>
      <c r="AC182" s="23" t="str">
        <f t="shared" ca="1" si="841"/>
        <v/>
      </c>
      <c r="AD182" s="23" t="str">
        <f t="shared" ca="1" si="842"/>
        <v/>
      </c>
      <c r="AE182" s="23" t="str">
        <f t="shared" ca="1" si="843"/>
        <v/>
      </c>
      <c r="AF182" s="23" t="str">
        <f t="shared" ca="1" si="844"/>
        <v/>
      </c>
      <c r="AG182" s="23" t="str">
        <f t="shared" ca="1" si="845"/>
        <v/>
      </c>
      <c r="AH182" s="23" t="str">
        <f t="shared" ca="1" si="846"/>
        <v/>
      </c>
      <c r="AI182" s="23" t="str">
        <f t="shared" ca="1" si="847"/>
        <v/>
      </c>
      <c r="AJ182" s="23" t="str">
        <f t="shared" ca="1" si="848"/>
        <v/>
      </c>
      <c r="AK182" s="23" t="str">
        <f t="shared" ca="1" si="849"/>
        <v/>
      </c>
      <c r="AL182" s="23" t="str">
        <f t="shared" ca="1" si="850"/>
        <v/>
      </c>
      <c r="AM182" s="23" t="str">
        <f t="shared" ca="1" si="851"/>
        <v/>
      </c>
      <c r="AN182" s="23" t="str">
        <f t="shared" ca="1" si="852"/>
        <v/>
      </c>
      <c r="AO182" s="23" t="str">
        <f t="shared" ca="1" si="853"/>
        <v/>
      </c>
      <c r="AP182" s="23" t="str">
        <f t="shared" ca="1" si="854"/>
        <v/>
      </c>
      <c r="AQ182" s="23" t="str">
        <f t="shared" ca="1" si="855"/>
        <v/>
      </c>
      <c r="AR182" s="23" t="str">
        <f t="shared" ca="1" si="856"/>
        <v/>
      </c>
      <c r="AS182" s="23" t="str">
        <f t="shared" ca="1" si="857"/>
        <v/>
      </c>
      <c r="AT182" s="23" t="str">
        <f t="shared" ca="1" si="858"/>
        <v/>
      </c>
      <c r="AU182" s="23" t="str">
        <f t="shared" ca="1" si="859"/>
        <v/>
      </c>
      <c r="AV182" s="23" t="str">
        <f t="shared" ca="1" si="860"/>
        <v/>
      </c>
      <c r="AW182" s="23" t="str">
        <f t="shared" ca="1" si="861"/>
        <v/>
      </c>
      <c r="AX182" s="23" t="str">
        <f t="shared" ca="1" si="862"/>
        <v/>
      </c>
      <c r="AY182" s="23" t="str">
        <f t="shared" ca="1" si="863"/>
        <v/>
      </c>
      <c r="AZ182" s="23" t="str">
        <f t="shared" ca="1" si="864"/>
        <v/>
      </c>
      <c r="BA182" s="23" t="str">
        <f t="shared" ca="1" si="865"/>
        <v/>
      </c>
      <c r="BB182" s="23" t="str">
        <f t="shared" ca="1" si="866"/>
        <v/>
      </c>
      <c r="BC182" s="23" t="str">
        <f t="shared" ca="1" si="867"/>
        <v/>
      </c>
      <c r="BD182" s="23" t="str">
        <f t="shared" ca="1" si="868"/>
        <v/>
      </c>
      <c r="BE182" s="23" t="str">
        <f t="shared" ca="1" si="869"/>
        <v/>
      </c>
      <c r="BF182" s="23" t="str">
        <f t="shared" ca="1" si="870"/>
        <v/>
      </c>
      <c r="BG182" s="23" t="str">
        <f t="shared" ca="1" si="871"/>
        <v/>
      </c>
      <c r="BH182" s="23" t="str">
        <f t="shared" ca="1" si="872"/>
        <v/>
      </c>
      <c r="BI182" s="23" t="str">
        <f t="shared" ca="1" si="873"/>
        <v/>
      </c>
      <c r="BJ182" s="23" t="str">
        <f t="shared" ca="1" si="874"/>
        <v/>
      </c>
      <c r="BK182" s="23" t="str">
        <f t="shared" ca="1" si="875"/>
        <v/>
      </c>
      <c r="BL182" s="23" t="str">
        <f t="shared" ca="1" si="876"/>
        <v/>
      </c>
      <c r="BM182" s="23" t="str">
        <f t="shared" ca="1" si="877"/>
        <v/>
      </c>
      <c r="BN182" s="23" t="str">
        <f t="shared" ca="1" si="878"/>
        <v/>
      </c>
      <c r="BO182" s="23" t="str">
        <f t="shared" ca="1" si="879"/>
        <v/>
      </c>
      <c r="BP182" s="23" t="str">
        <f t="shared" ca="1" si="880"/>
        <v/>
      </c>
      <c r="BQ182" s="23" t="str">
        <f t="shared" ca="1" si="881"/>
        <v/>
      </c>
      <c r="BR182" s="23" t="str">
        <f t="shared" ca="1" si="882"/>
        <v/>
      </c>
      <c r="BS182" s="23" t="str">
        <f t="shared" ca="1" si="883"/>
        <v/>
      </c>
      <c r="BT182" s="23" t="str">
        <f t="shared" ca="1" si="884"/>
        <v/>
      </c>
      <c r="BU182" s="23" t="str">
        <f t="shared" ca="1" si="885"/>
        <v/>
      </c>
      <c r="BV182" s="23" t="str">
        <f t="shared" ca="1" si="886"/>
        <v/>
      </c>
      <c r="BW182" s="23" t="str">
        <f t="shared" ca="1" si="887"/>
        <v/>
      </c>
      <c r="BX182" s="23" t="str">
        <f t="shared" ca="1" si="888"/>
        <v/>
      </c>
      <c r="BY182" s="23" t="str">
        <f t="shared" ca="1" si="889"/>
        <v/>
      </c>
      <c r="BZ182" s="23" t="str">
        <f t="shared" ca="1" si="890"/>
        <v/>
      </c>
      <c r="CA182" s="23" t="str">
        <f t="shared" ca="1" si="891"/>
        <v/>
      </c>
      <c r="CB182" s="23" t="str">
        <f t="shared" ca="1" si="892"/>
        <v/>
      </c>
      <c r="CC182" s="23" t="str">
        <f t="shared" ca="1" si="893"/>
        <v/>
      </c>
      <c r="CD182" s="23" t="str">
        <f t="shared" ca="1" si="894"/>
        <v/>
      </c>
      <c r="CE182" s="23" t="str">
        <f t="shared" ca="1" si="895"/>
        <v/>
      </c>
      <c r="CF182" s="23" t="str">
        <f t="shared" ca="1" si="896"/>
        <v/>
      </c>
      <c r="CG182" s="23" t="str">
        <f t="shared" ca="1" si="897"/>
        <v/>
      </c>
      <c r="CH182" s="23" t="str">
        <f t="shared" ca="1" si="898"/>
        <v/>
      </c>
      <c r="CI182" s="23" t="str">
        <f t="shared" ca="1" si="899"/>
        <v/>
      </c>
      <c r="CJ182" s="23" t="str">
        <f t="shared" ca="1" si="900"/>
        <v/>
      </c>
      <c r="CK182" s="23" t="str">
        <f t="shared" ca="1" si="901"/>
        <v/>
      </c>
      <c r="CL182" s="23" t="str">
        <f t="shared" ca="1" si="902"/>
        <v/>
      </c>
      <c r="CM182" s="23" t="str">
        <f t="shared" ca="1" si="903"/>
        <v/>
      </c>
      <c r="CN182" s="23" t="str">
        <f t="shared" ca="1" si="904"/>
        <v/>
      </c>
      <c r="CO182" s="23" t="str">
        <f t="shared" ca="1" si="905"/>
        <v/>
      </c>
      <c r="CP182" s="23" t="str">
        <f t="shared" ca="1" si="906"/>
        <v/>
      </c>
      <c r="CQ182" s="23" t="str">
        <f t="shared" ca="1" si="907"/>
        <v/>
      </c>
      <c r="CR182" s="23" t="str">
        <f t="shared" ca="1" si="908"/>
        <v/>
      </c>
      <c r="CS182" s="23" t="str">
        <f t="shared" ca="1" si="909"/>
        <v/>
      </c>
      <c r="CT182" s="23" t="str">
        <f t="shared" ca="1" si="910"/>
        <v/>
      </c>
      <c r="CU182" s="23" t="str">
        <f t="shared" ca="1" si="911"/>
        <v/>
      </c>
      <c r="CV182" s="23" t="str">
        <f t="shared" ca="1" si="912"/>
        <v/>
      </c>
      <c r="CW182" s="23" t="str">
        <f t="shared" ca="1" si="913"/>
        <v/>
      </c>
      <c r="CX182" s="23" t="str">
        <f ca="1">IF(CX$11="","",IF(CX$13=$M$5,CHOOSE($Q$6+1,$M$1,CY182+CZ182-#REF!),IF(CX$13=$M$6,CHOOSE($Q$6+1,$M$1,OFFSET($A182,,$P$7-1)),IF(CX$13=$M$7,CHOOSE($Q$6+1,$M$1,SUM(OFFSET($A$11,$B182-$O$5,$O$6,1,-$P$6))),IF(CX$13=$M$8,CHOOSE($Q$6+1,$M$1,SUM(OFFSET($A$11,$B182-$O$5,$O$7,1,-$P$6))),IF(CX$11&lt;$D$7,OFFSET(INDIRECT($D$3),$A182-1,$Q$3+CX$11),OFFSET(INDIRECT($D$4),$A182-1,$Q$4+CX$11)))))))</f>
        <v/>
      </c>
      <c r="CY182" s="23" t="str">
        <f ca="1">IF(CY$11="","",IF(CY$13=$M$5,CHOOSE($Q$6+1,$M$1,CZ182+#REF!-#REF!),IF(CY$13=$M$6,CHOOSE($Q$6+1,$M$1,OFFSET($A182,,$P$7-1)),IF(CY$13=$M$7,CHOOSE($Q$6+1,$M$1,SUM(OFFSET($A$11,$B182-$O$5,$O$6,1,-$P$6))),IF(CY$13=$M$8,CHOOSE($Q$6+1,$M$1,SUM(OFFSET($A$11,$B182-$O$5,$O$7,1,-$P$6))),IF(CY$11&lt;$D$7,OFFSET(INDIRECT($D$3),$A182-1,$Q$3+CY$11),OFFSET(INDIRECT($D$4),$A182-1,$Q$4+CY$11)))))))</f>
        <v/>
      </c>
      <c r="CZ182" s="23" t="str">
        <f ca="1">IF(CZ$11="","",IF(CZ$13=$M$5,CHOOSE($Q$6+1,$M$1,#REF!+#REF!-#REF!),IF(CZ$13=$M$6,CHOOSE($Q$6+1,$M$1,OFFSET($A182,,$P$7-1)),IF(CZ$13=$M$7,CHOOSE($Q$6+1,$M$1,SUM(OFFSET($A$11,$B182-$O$5,$O$6,1,-$P$6))),IF(CZ$13=$M$8,CHOOSE($Q$6+1,$M$1,SUM(OFFSET($A$11,$B182-$O$5,$O$7,1,-$P$6))),IF(CZ$11&lt;$D$7,OFFSET(INDIRECT($D$3),$A182-1,$Q$3+CZ$11),OFFSET(INDIRECT($D$4),$A182-1,$Q$4+CZ$11)))))))</f>
        <v/>
      </c>
    </row>
    <row r="183" spans="1:104" ht="13.5" customHeight="1">
      <c r="A183" s="27">
        <v>163</v>
      </c>
      <c r="B183" s="33">
        <f t="shared" si="639"/>
        <v>183</v>
      </c>
      <c r="C183" s="8" t="s">
        <v>430</v>
      </c>
      <c r="D183" s="23">
        <f t="shared" ca="1" si="816"/>
        <v>-1791</v>
      </c>
      <c r="E183" s="23">
        <f t="shared" ca="1" si="817"/>
        <v>-6965</v>
      </c>
      <c r="F183" s="23">
        <f t="shared" ca="1" si="818"/>
        <v>-1171</v>
      </c>
      <c r="G183" s="23">
        <f t="shared" ca="1" si="819"/>
        <v>-1547</v>
      </c>
      <c r="H183" s="23">
        <f t="shared" ca="1" si="820"/>
        <v>-1791</v>
      </c>
      <c r="I183" s="23">
        <f t="shared" ca="1" si="821"/>
        <v>-4767</v>
      </c>
      <c r="J183" s="23">
        <f t="shared" ca="1" si="822"/>
        <v>-2042</v>
      </c>
      <c r="K183" s="23">
        <f t="shared" ca="1" si="823"/>
        <v>-2571</v>
      </c>
      <c r="L183" s="23">
        <f t="shared" ca="1" si="824"/>
        <v>-6965</v>
      </c>
      <c r="M183" s="23">
        <f t="shared" ca="1" si="825"/>
        <v>-2842</v>
      </c>
      <c r="N183" s="23">
        <f t="shared" ca="1" si="826"/>
        <v>-5040</v>
      </c>
      <c r="O183" s="23">
        <f t="shared" ca="1" si="827"/>
        <v>-6965</v>
      </c>
      <c r="P183" s="23">
        <f t="shared" ca="1" si="828"/>
        <v>-2842</v>
      </c>
      <c r="Q183" s="23">
        <f t="shared" ca="1" si="829"/>
        <v>-4767</v>
      </c>
      <c r="R183" s="23" t="str">
        <f t="shared" ca="1" si="830"/>
        <v/>
      </c>
      <c r="S183" s="23" t="str">
        <f t="shared" ca="1" si="831"/>
        <v/>
      </c>
      <c r="T183" s="23" t="str">
        <f t="shared" ca="1" si="832"/>
        <v/>
      </c>
      <c r="U183" s="23" t="str">
        <f t="shared" ca="1" si="833"/>
        <v/>
      </c>
      <c r="V183" s="23" t="str">
        <f t="shared" ca="1" si="834"/>
        <v/>
      </c>
      <c r="W183" s="23" t="str">
        <f t="shared" ca="1" si="835"/>
        <v/>
      </c>
      <c r="X183" s="23" t="str">
        <f t="shared" ca="1" si="836"/>
        <v/>
      </c>
      <c r="Y183" s="23" t="str">
        <f t="shared" ca="1" si="837"/>
        <v/>
      </c>
      <c r="Z183" s="23" t="str">
        <f t="shared" ca="1" si="838"/>
        <v/>
      </c>
      <c r="AA183" s="23" t="str">
        <f t="shared" ca="1" si="839"/>
        <v/>
      </c>
      <c r="AB183" s="23" t="str">
        <f t="shared" ca="1" si="840"/>
        <v/>
      </c>
      <c r="AC183" s="23" t="str">
        <f t="shared" ca="1" si="841"/>
        <v/>
      </c>
      <c r="AD183" s="23" t="str">
        <f t="shared" ca="1" si="842"/>
        <v/>
      </c>
      <c r="AE183" s="23" t="str">
        <f t="shared" ca="1" si="843"/>
        <v/>
      </c>
      <c r="AF183" s="23" t="str">
        <f t="shared" ca="1" si="844"/>
        <v/>
      </c>
      <c r="AG183" s="23" t="str">
        <f t="shared" ca="1" si="845"/>
        <v/>
      </c>
      <c r="AH183" s="23" t="str">
        <f t="shared" ca="1" si="846"/>
        <v/>
      </c>
      <c r="AI183" s="23" t="str">
        <f t="shared" ca="1" si="847"/>
        <v/>
      </c>
      <c r="AJ183" s="23" t="str">
        <f t="shared" ca="1" si="848"/>
        <v/>
      </c>
      <c r="AK183" s="23" t="str">
        <f t="shared" ca="1" si="849"/>
        <v/>
      </c>
      <c r="AL183" s="23" t="str">
        <f t="shared" ca="1" si="850"/>
        <v/>
      </c>
      <c r="AM183" s="23" t="str">
        <f t="shared" ca="1" si="851"/>
        <v/>
      </c>
      <c r="AN183" s="23" t="str">
        <f t="shared" ca="1" si="852"/>
        <v/>
      </c>
      <c r="AO183" s="23" t="str">
        <f t="shared" ca="1" si="853"/>
        <v/>
      </c>
      <c r="AP183" s="23" t="str">
        <f t="shared" ca="1" si="854"/>
        <v/>
      </c>
      <c r="AQ183" s="23" t="str">
        <f t="shared" ca="1" si="855"/>
        <v/>
      </c>
      <c r="AR183" s="23" t="str">
        <f t="shared" ca="1" si="856"/>
        <v/>
      </c>
      <c r="AS183" s="23" t="str">
        <f t="shared" ca="1" si="857"/>
        <v/>
      </c>
      <c r="AT183" s="23" t="str">
        <f t="shared" ca="1" si="858"/>
        <v/>
      </c>
      <c r="AU183" s="23" t="str">
        <f t="shared" ca="1" si="859"/>
        <v/>
      </c>
      <c r="AV183" s="23" t="str">
        <f t="shared" ca="1" si="860"/>
        <v/>
      </c>
      <c r="AW183" s="23" t="str">
        <f t="shared" ca="1" si="861"/>
        <v/>
      </c>
      <c r="AX183" s="23" t="str">
        <f t="shared" ca="1" si="862"/>
        <v/>
      </c>
      <c r="AY183" s="23" t="str">
        <f t="shared" ca="1" si="863"/>
        <v/>
      </c>
      <c r="AZ183" s="23" t="str">
        <f t="shared" ca="1" si="864"/>
        <v/>
      </c>
      <c r="BA183" s="23" t="str">
        <f t="shared" ca="1" si="865"/>
        <v/>
      </c>
      <c r="BB183" s="23" t="str">
        <f t="shared" ca="1" si="866"/>
        <v/>
      </c>
      <c r="BC183" s="23" t="str">
        <f t="shared" ca="1" si="867"/>
        <v/>
      </c>
      <c r="BD183" s="23" t="str">
        <f t="shared" ca="1" si="868"/>
        <v/>
      </c>
      <c r="BE183" s="23" t="str">
        <f t="shared" ca="1" si="869"/>
        <v/>
      </c>
      <c r="BF183" s="23" t="str">
        <f t="shared" ca="1" si="870"/>
        <v/>
      </c>
      <c r="BG183" s="23" t="str">
        <f t="shared" ca="1" si="871"/>
        <v/>
      </c>
      <c r="BH183" s="23" t="str">
        <f t="shared" ca="1" si="872"/>
        <v/>
      </c>
      <c r="BI183" s="23" t="str">
        <f t="shared" ca="1" si="873"/>
        <v/>
      </c>
      <c r="BJ183" s="23" t="str">
        <f t="shared" ca="1" si="874"/>
        <v/>
      </c>
      <c r="BK183" s="23" t="str">
        <f t="shared" ca="1" si="875"/>
        <v/>
      </c>
      <c r="BL183" s="23" t="str">
        <f t="shared" ca="1" si="876"/>
        <v/>
      </c>
      <c r="BM183" s="23" t="str">
        <f t="shared" ca="1" si="877"/>
        <v/>
      </c>
      <c r="BN183" s="23" t="str">
        <f t="shared" ca="1" si="878"/>
        <v/>
      </c>
      <c r="BO183" s="23" t="str">
        <f t="shared" ca="1" si="879"/>
        <v/>
      </c>
      <c r="BP183" s="23" t="str">
        <f t="shared" ca="1" si="880"/>
        <v/>
      </c>
      <c r="BQ183" s="23" t="str">
        <f t="shared" ca="1" si="881"/>
        <v/>
      </c>
      <c r="BR183" s="23" t="str">
        <f t="shared" ca="1" si="882"/>
        <v/>
      </c>
      <c r="BS183" s="23" t="str">
        <f t="shared" ca="1" si="883"/>
        <v/>
      </c>
      <c r="BT183" s="23" t="str">
        <f t="shared" ca="1" si="884"/>
        <v/>
      </c>
      <c r="BU183" s="23" t="str">
        <f t="shared" ca="1" si="885"/>
        <v/>
      </c>
      <c r="BV183" s="23" t="str">
        <f t="shared" ca="1" si="886"/>
        <v/>
      </c>
      <c r="BW183" s="23" t="str">
        <f t="shared" ca="1" si="887"/>
        <v/>
      </c>
      <c r="BX183" s="23" t="str">
        <f t="shared" ca="1" si="888"/>
        <v/>
      </c>
      <c r="BY183" s="23" t="str">
        <f t="shared" ca="1" si="889"/>
        <v/>
      </c>
      <c r="BZ183" s="23" t="str">
        <f t="shared" ca="1" si="890"/>
        <v/>
      </c>
      <c r="CA183" s="23" t="str">
        <f t="shared" ca="1" si="891"/>
        <v/>
      </c>
      <c r="CB183" s="23" t="str">
        <f t="shared" ca="1" si="892"/>
        <v/>
      </c>
      <c r="CC183" s="23" t="str">
        <f t="shared" ca="1" si="893"/>
        <v/>
      </c>
      <c r="CD183" s="23" t="str">
        <f t="shared" ca="1" si="894"/>
        <v/>
      </c>
      <c r="CE183" s="23" t="str">
        <f t="shared" ca="1" si="895"/>
        <v/>
      </c>
      <c r="CF183" s="23" t="str">
        <f t="shared" ca="1" si="896"/>
        <v/>
      </c>
      <c r="CG183" s="23" t="str">
        <f t="shared" ca="1" si="897"/>
        <v/>
      </c>
      <c r="CH183" s="23" t="str">
        <f t="shared" ca="1" si="898"/>
        <v/>
      </c>
      <c r="CI183" s="23" t="str">
        <f t="shared" ca="1" si="899"/>
        <v/>
      </c>
      <c r="CJ183" s="23" t="str">
        <f t="shared" ca="1" si="900"/>
        <v/>
      </c>
      <c r="CK183" s="23" t="str">
        <f t="shared" ca="1" si="901"/>
        <v/>
      </c>
      <c r="CL183" s="23" t="str">
        <f t="shared" ca="1" si="902"/>
        <v/>
      </c>
      <c r="CM183" s="23" t="str">
        <f t="shared" ca="1" si="903"/>
        <v/>
      </c>
      <c r="CN183" s="23" t="str">
        <f t="shared" ca="1" si="904"/>
        <v/>
      </c>
      <c r="CO183" s="23" t="str">
        <f t="shared" ca="1" si="905"/>
        <v/>
      </c>
      <c r="CP183" s="23" t="str">
        <f t="shared" ca="1" si="906"/>
        <v/>
      </c>
      <c r="CQ183" s="23" t="str">
        <f t="shared" ca="1" si="907"/>
        <v/>
      </c>
      <c r="CR183" s="23" t="str">
        <f t="shared" ca="1" si="908"/>
        <v/>
      </c>
      <c r="CS183" s="23" t="str">
        <f t="shared" ca="1" si="909"/>
        <v/>
      </c>
      <c r="CT183" s="23" t="str">
        <f t="shared" ca="1" si="910"/>
        <v/>
      </c>
      <c r="CU183" s="23" t="str">
        <f t="shared" ca="1" si="911"/>
        <v/>
      </c>
      <c r="CV183" s="23" t="str">
        <f t="shared" ca="1" si="912"/>
        <v/>
      </c>
      <c r="CW183" s="23" t="str">
        <f t="shared" ca="1" si="913"/>
        <v/>
      </c>
      <c r="CX183" s="23" t="str">
        <f ca="1">IF(CX$11="","",IF(CX$13=$M$5,CHOOSE($Q$6+1,$M$1,CY183+CZ183-#REF!),IF(CX$13=$M$6,CHOOSE($Q$6+1,$M$1,OFFSET($A183,,$P$7-1)),IF(CX$13=$M$7,CHOOSE($Q$6+1,$M$1,SUM(OFFSET($A$11,$B183-$O$5,$O$6,1,-$P$6))),IF(CX$13=$M$8,CHOOSE($Q$6+1,$M$1,SUM(OFFSET($A$11,$B183-$O$5,$O$7,1,-$P$6))),IF(CX$11&lt;$D$7,OFFSET(INDIRECT($D$3),$A183-1,$Q$3+CX$11),OFFSET(INDIRECT($D$4),$A183-1,$Q$4+CX$11)))))))</f>
        <v/>
      </c>
      <c r="CY183" s="23" t="str">
        <f ca="1">IF(CY$11="","",IF(CY$13=$M$5,CHOOSE($Q$6+1,$M$1,CZ183+#REF!-#REF!),IF(CY$13=$M$6,CHOOSE($Q$6+1,$M$1,OFFSET($A183,,$P$7-1)),IF(CY$13=$M$7,CHOOSE($Q$6+1,$M$1,SUM(OFFSET($A$11,$B183-$O$5,$O$6,1,-$P$6))),IF(CY$13=$M$8,CHOOSE($Q$6+1,$M$1,SUM(OFFSET($A$11,$B183-$O$5,$O$7,1,-$P$6))),IF(CY$11&lt;$D$7,OFFSET(INDIRECT($D$3),$A183-1,$Q$3+CY$11),OFFSET(INDIRECT($D$4),$A183-1,$Q$4+CY$11)))))))</f>
        <v/>
      </c>
      <c r="CZ183" s="23" t="str">
        <f ca="1">IF(CZ$11="","",IF(CZ$13=$M$5,CHOOSE($Q$6+1,$M$1,#REF!+#REF!-#REF!),IF(CZ$13=$M$6,CHOOSE($Q$6+1,$M$1,OFFSET($A183,,$P$7-1)),IF(CZ$13=$M$7,CHOOSE($Q$6+1,$M$1,SUM(OFFSET($A$11,$B183-$O$5,$O$6,1,-$P$6))),IF(CZ$13=$M$8,CHOOSE($Q$6+1,$M$1,SUM(OFFSET($A$11,$B183-$O$5,$O$7,1,-$P$6))),IF(CZ$11&lt;$D$7,OFFSET(INDIRECT($D$3),$A183-1,$Q$3+CZ$11),OFFSET(INDIRECT($D$4),$A183-1,$Q$4+CZ$11)))))))</f>
        <v/>
      </c>
    </row>
    <row r="184" spans="1:104" ht="13.5" customHeight="1">
      <c r="A184" s="27">
        <v>164</v>
      </c>
      <c r="B184" s="33">
        <f t="shared" si="639"/>
        <v>184</v>
      </c>
      <c r="C184" s="8" t="s">
        <v>431</v>
      </c>
      <c r="D184" s="23">
        <f t="shared" ca="1" si="816"/>
        <v>275</v>
      </c>
      <c r="E184" s="23">
        <f t="shared" ca="1" si="817"/>
        <v>-15</v>
      </c>
      <c r="F184" s="23">
        <f t="shared" ca="1" si="818"/>
        <v>121</v>
      </c>
      <c r="G184" s="23">
        <f t="shared" ca="1" si="819"/>
        <v>162</v>
      </c>
      <c r="H184" s="23">
        <f t="shared" ca="1" si="820"/>
        <v>275</v>
      </c>
      <c r="I184" s="23">
        <f t="shared" ca="1" si="821"/>
        <v>-460</v>
      </c>
      <c r="J184" s="23">
        <f t="shared" ca="1" si="822"/>
        <v>-326</v>
      </c>
      <c r="K184" s="23">
        <f t="shared" ca="1" si="823"/>
        <v>-346</v>
      </c>
      <c r="L184" s="23">
        <f t="shared" ca="1" si="824"/>
        <v>-15</v>
      </c>
      <c r="M184" s="23">
        <f t="shared" ca="1" si="825"/>
        <v>-664</v>
      </c>
      <c r="N184" s="23">
        <f t="shared" ca="1" si="826"/>
        <v>-219</v>
      </c>
      <c r="O184" s="23">
        <f t="shared" ca="1" si="827"/>
        <v>-15</v>
      </c>
      <c r="P184" s="23">
        <f t="shared" ca="1" si="828"/>
        <v>-664</v>
      </c>
      <c r="Q184" s="23">
        <f t="shared" ca="1" si="829"/>
        <v>-460</v>
      </c>
      <c r="R184" s="23" t="str">
        <f t="shared" ca="1" si="830"/>
        <v/>
      </c>
      <c r="S184" s="23" t="str">
        <f t="shared" ca="1" si="831"/>
        <v/>
      </c>
      <c r="T184" s="23" t="str">
        <f t="shared" ca="1" si="832"/>
        <v/>
      </c>
      <c r="U184" s="23" t="str">
        <f t="shared" ca="1" si="833"/>
        <v/>
      </c>
      <c r="V184" s="23" t="str">
        <f t="shared" ca="1" si="834"/>
        <v/>
      </c>
      <c r="W184" s="23" t="str">
        <f t="shared" ca="1" si="835"/>
        <v/>
      </c>
      <c r="X184" s="23" t="str">
        <f t="shared" ca="1" si="836"/>
        <v/>
      </c>
      <c r="Y184" s="23" t="str">
        <f t="shared" ca="1" si="837"/>
        <v/>
      </c>
      <c r="Z184" s="23" t="str">
        <f t="shared" ca="1" si="838"/>
        <v/>
      </c>
      <c r="AA184" s="23" t="str">
        <f t="shared" ca="1" si="839"/>
        <v/>
      </c>
      <c r="AB184" s="23" t="str">
        <f t="shared" ca="1" si="840"/>
        <v/>
      </c>
      <c r="AC184" s="23" t="str">
        <f t="shared" ca="1" si="841"/>
        <v/>
      </c>
      <c r="AD184" s="23" t="str">
        <f t="shared" ca="1" si="842"/>
        <v/>
      </c>
      <c r="AE184" s="23" t="str">
        <f t="shared" ca="1" si="843"/>
        <v/>
      </c>
      <c r="AF184" s="23" t="str">
        <f t="shared" ca="1" si="844"/>
        <v/>
      </c>
      <c r="AG184" s="23" t="str">
        <f t="shared" ca="1" si="845"/>
        <v/>
      </c>
      <c r="AH184" s="23" t="str">
        <f t="shared" ca="1" si="846"/>
        <v/>
      </c>
      <c r="AI184" s="23" t="str">
        <f t="shared" ca="1" si="847"/>
        <v/>
      </c>
      <c r="AJ184" s="23" t="str">
        <f t="shared" ca="1" si="848"/>
        <v/>
      </c>
      <c r="AK184" s="23" t="str">
        <f t="shared" ca="1" si="849"/>
        <v/>
      </c>
      <c r="AL184" s="23" t="str">
        <f t="shared" ca="1" si="850"/>
        <v/>
      </c>
      <c r="AM184" s="23" t="str">
        <f t="shared" ca="1" si="851"/>
        <v/>
      </c>
      <c r="AN184" s="23" t="str">
        <f t="shared" ca="1" si="852"/>
        <v/>
      </c>
      <c r="AO184" s="23" t="str">
        <f t="shared" ca="1" si="853"/>
        <v/>
      </c>
      <c r="AP184" s="23" t="str">
        <f t="shared" ca="1" si="854"/>
        <v/>
      </c>
      <c r="AQ184" s="23" t="str">
        <f t="shared" ca="1" si="855"/>
        <v/>
      </c>
      <c r="AR184" s="23" t="str">
        <f t="shared" ca="1" si="856"/>
        <v/>
      </c>
      <c r="AS184" s="23" t="str">
        <f t="shared" ca="1" si="857"/>
        <v/>
      </c>
      <c r="AT184" s="23" t="str">
        <f t="shared" ca="1" si="858"/>
        <v/>
      </c>
      <c r="AU184" s="23" t="str">
        <f t="shared" ca="1" si="859"/>
        <v/>
      </c>
      <c r="AV184" s="23" t="str">
        <f t="shared" ca="1" si="860"/>
        <v/>
      </c>
      <c r="AW184" s="23" t="str">
        <f t="shared" ca="1" si="861"/>
        <v/>
      </c>
      <c r="AX184" s="23" t="str">
        <f t="shared" ca="1" si="862"/>
        <v/>
      </c>
      <c r="AY184" s="23" t="str">
        <f t="shared" ca="1" si="863"/>
        <v/>
      </c>
      <c r="AZ184" s="23" t="str">
        <f t="shared" ca="1" si="864"/>
        <v/>
      </c>
      <c r="BA184" s="23" t="str">
        <f t="shared" ca="1" si="865"/>
        <v/>
      </c>
      <c r="BB184" s="23" t="str">
        <f t="shared" ca="1" si="866"/>
        <v/>
      </c>
      <c r="BC184" s="23" t="str">
        <f t="shared" ca="1" si="867"/>
        <v/>
      </c>
      <c r="BD184" s="23" t="str">
        <f t="shared" ca="1" si="868"/>
        <v/>
      </c>
      <c r="BE184" s="23" t="str">
        <f t="shared" ca="1" si="869"/>
        <v/>
      </c>
      <c r="BF184" s="23" t="str">
        <f t="shared" ca="1" si="870"/>
        <v/>
      </c>
      <c r="BG184" s="23" t="str">
        <f t="shared" ca="1" si="871"/>
        <v/>
      </c>
      <c r="BH184" s="23" t="str">
        <f t="shared" ca="1" si="872"/>
        <v/>
      </c>
      <c r="BI184" s="23" t="str">
        <f t="shared" ca="1" si="873"/>
        <v/>
      </c>
      <c r="BJ184" s="23" t="str">
        <f t="shared" ca="1" si="874"/>
        <v/>
      </c>
      <c r="BK184" s="23" t="str">
        <f t="shared" ca="1" si="875"/>
        <v/>
      </c>
      <c r="BL184" s="23" t="str">
        <f t="shared" ca="1" si="876"/>
        <v/>
      </c>
      <c r="BM184" s="23" t="str">
        <f t="shared" ca="1" si="877"/>
        <v/>
      </c>
      <c r="BN184" s="23" t="str">
        <f t="shared" ca="1" si="878"/>
        <v/>
      </c>
      <c r="BO184" s="23" t="str">
        <f t="shared" ca="1" si="879"/>
        <v/>
      </c>
      <c r="BP184" s="23" t="str">
        <f t="shared" ca="1" si="880"/>
        <v/>
      </c>
      <c r="BQ184" s="23" t="str">
        <f t="shared" ca="1" si="881"/>
        <v/>
      </c>
      <c r="BR184" s="23" t="str">
        <f t="shared" ca="1" si="882"/>
        <v/>
      </c>
      <c r="BS184" s="23" t="str">
        <f t="shared" ca="1" si="883"/>
        <v/>
      </c>
      <c r="BT184" s="23" t="str">
        <f t="shared" ca="1" si="884"/>
        <v/>
      </c>
      <c r="BU184" s="23" t="str">
        <f t="shared" ca="1" si="885"/>
        <v/>
      </c>
      <c r="BV184" s="23" t="str">
        <f t="shared" ca="1" si="886"/>
        <v/>
      </c>
      <c r="BW184" s="23" t="str">
        <f t="shared" ca="1" si="887"/>
        <v/>
      </c>
      <c r="BX184" s="23" t="str">
        <f t="shared" ca="1" si="888"/>
        <v/>
      </c>
      <c r="BY184" s="23" t="str">
        <f t="shared" ca="1" si="889"/>
        <v/>
      </c>
      <c r="BZ184" s="23" t="str">
        <f t="shared" ca="1" si="890"/>
        <v/>
      </c>
      <c r="CA184" s="23" t="str">
        <f t="shared" ca="1" si="891"/>
        <v/>
      </c>
      <c r="CB184" s="23" t="str">
        <f t="shared" ca="1" si="892"/>
        <v/>
      </c>
      <c r="CC184" s="23" t="str">
        <f t="shared" ca="1" si="893"/>
        <v/>
      </c>
      <c r="CD184" s="23" t="str">
        <f t="shared" ca="1" si="894"/>
        <v/>
      </c>
      <c r="CE184" s="23" t="str">
        <f t="shared" ca="1" si="895"/>
        <v/>
      </c>
      <c r="CF184" s="23" t="str">
        <f t="shared" ca="1" si="896"/>
        <v/>
      </c>
      <c r="CG184" s="23" t="str">
        <f t="shared" ca="1" si="897"/>
        <v/>
      </c>
      <c r="CH184" s="23" t="str">
        <f t="shared" ca="1" si="898"/>
        <v/>
      </c>
      <c r="CI184" s="23" t="str">
        <f t="shared" ca="1" si="899"/>
        <v/>
      </c>
      <c r="CJ184" s="23" t="str">
        <f t="shared" ca="1" si="900"/>
        <v/>
      </c>
      <c r="CK184" s="23" t="str">
        <f t="shared" ca="1" si="901"/>
        <v/>
      </c>
      <c r="CL184" s="23" t="str">
        <f t="shared" ca="1" si="902"/>
        <v/>
      </c>
      <c r="CM184" s="23" t="str">
        <f t="shared" ca="1" si="903"/>
        <v/>
      </c>
      <c r="CN184" s="23" t="str">
        <f t="shared" ca="1" si="904"/>
        <v/>
      </c>
      <c r="CO184" s="23" t="str">
        <f t="shared" ca="1" si="905"/>
        <v/>
      </c>
      <c r="CP184" s="23" t="str">
        <f t="shared" ca="1" si="906"/>
        <v/>
      </c>
      <c r="CQ184" s="23" t="str">
        <f t="shared" ca="1" si="907"/>
        <v/>
      </c>
      <c r="CR184" s="23" t="str">
        <f t="shared" ca="1" si="908"/>
        <v/>
      </c>
      <c r="CS184" s="23" t="str">
        <f t="shared" ca="1" si="909"/>
        <v/>
      </c>
      <c r="CT184" s="23" t="str">
        <f t="shared" ca="1" si="910"/>
        <v/>
      </c>
      <c r="CU184" s="23" t="str">
        <f t="shared" ca="1" si="911"/>
        <v/>
      </c>
      <c r="CV184" s="23" t="str">
        <f t="shared" ca="1" si="912"/>
        <v/>
      </c>
      <c r="CW184" s="23" t="str">
        <f t="shared" ca="1" si="913"/>
        <v/>
      </c>
      <c r="CX184" s="23" t="str">
        <f ca="1">IF(CX$11="","",IF(CX$13=$M$5,CHOOSE($Q$6+1,$M$1,CY184+CZ184-#REF!),IF(CX$13=$M$6,CHOOSE($Q$6+1,$M$1,OFFSET($A184,,$P$7-1)),IF(CX$13=$M$7,CHOOSE($Q$6+1,$M$1,SUM(OFFSET($A$11,$B184-$O$5,$O$6,1,-$P$6))),IF(CX$13=$M$8,CHOOSE($Q$6+1,$M$1,SUM(OFFSET($A$11,$B184-$O$5,$O$7,1,-$P$6))),IF(CX$11&lt;$D$7,OFFSET(INDIRECT($D$3),$A184-1,$Q$3+CX$11),OFFSET(INDIRECT($D$4),$A184-1,$Q$4+CX$11)))))))</f>
        <v/>
      </c>
      <c r="CY184" s="23" t="str">
        <f ca="1">IF(CY$11="","",IF(CY$13=$M$5,CHOOSE($Q$6+1,$M$1,CZ184+#REF!-#REF!),IF(CY$13=$M$6,CHOOSE($Q$6+1,$M$1,OFFSET($A184,,$P$7-1)),IF(CY$13=$M$7,CHOOSE($Q$6+1,$M$1,SUM(OFFSET($A$11,$B184-$O$5,$O$6,1,-$P$6))),IF(CY$13=$M$8,CHOOSE($Q$6+1,$M$1,SUM(OFFSET($A$11,$B184-$O$5,$O$7,1,-$P$6))),IF(CY$11&lt;$D$7,OFFSET(INDIRECT($D$3),$A184-1,$Q$3+CY$11),OFFSET(INDIRECT($D$4),$A184-1,$Q$4+CY$11)))))))</f>
        <v/>
      </c>
      <c r="CZ184" s="23" t="str">
        <f ca="1">IF(CZ$11="","",IF(CZ$13=$M$5,CHOOSE($Q$6+1,$M$1,#REF!+#REF!-#REF!),IF(CZ$13=$M$6,CHOOSE($Q$6+1,$M$1,OFFSET($A184,,$P$7-1)),IF(CZ$13=$M$7,CHOOSE($Q$6+1,$M$1,SUM(OFFSET($A$11,$B184-$O$5,$O$6,1,-$P$6))),IF(CZ$13=$M$8,CHOOSE($Q$6+1,$M$1,SUM(OFFSET($A$11,$B184-$O$5,$O$7,1,-$P$6))),IF(CZ$11&lt;$D$7,OFFSET(INDIRECT($D$3),$A184-1,$Q$3+CZ$11),OFFSET(INDIRECT($D$4),$A184-1,$Q$4+CZ$11)))))))</f>
        <v/>
      </c>
    </row>
    <row r="185" spans="1:104" ht="13.5" customHeight="1">
      <c r="A185" s="27">
        <v>165</v>
      </c>
      <c r="B185" s="33">
        <f t="shared" si="639"/>
        <v>185</v>
      </c>
      <c r="C185" s="8" t="s">
        <v>432</v>
      </c>
      <c r="D185" s="23">
        <f t="shared" ca="1" si="816"/>
        <v>0</v>
      </c>
      <c r="E185" s="23">
        <f t="shared" ca="1" si="817"/>
        <v>0</v>
      </c>
      <c r="F185" s="23">
        <f t="shared" ca="1" si="818"/>
        <v>0</v>
      </c>
      <c r="G185" s="23">
        <f t="shared" ca="1" si="819"/>
        <v>0</v>
      </c>
      <c r="H185" s="23">
        <f t="shared" ca="1" si="820"/>
        <v>0</v>
      </c>
      <c r="I185" s="23">
        <f t="shared" ca="1" si="821"/>
        <v>0</v>
      </c>
      <c r="J185" s="23">
        <f t="shared" ca="1" si="822"/>
        <v>0</v>
      </c>
      <c r="K185" s="23">
        <f t="shared" ca="1" si="823"/>
        <v>0</v>
      </c>
      <c r="L185" s="23">
        <f t="shared" ca="1" si="824"/>
        <v>0</v>
      </c>
      <c r="M185" s="23">
        <f t="shared" ca="1" si="825"/>
        <v>0</v>
      </c>
      <c r="N185" s="23">
        <f t="shared" ca="1" si="826"/>
        <v>0</v>
      </c>
      <c r="O185" s="23">
        <f t="shared" ca="1" si="827"/>
        <v>0</v>
      </c>
      <c r="P185" s="23">
        <f t="shared" ca="1" si="828"/>
        <v>0</v>
      </c>
      <c r="Q185" s="23">
        <f t="shared" ca="1" si="829"/>
        <v>0</v>
      </c>
      <c r="R185" s="23" t="str">
        <f t="shared" ca="1" si="830"/>
        <v/>
      </c>
      <c r="S185" s="23" t="str">
        <f t="shared" ca="1" si="831"/>
        <v/>
      </c>
      <c r="T185" s="23" t="str">
        <f t="shared" ca="1" si="832"/>
        <v/>
      </c>
      <c r="U185" s="23" t="str">
        <f t="shared" ca="1" si="833"/>
        <v/>
      </c>
      <c r="V185" s="23" t="str">
        <f t="shared" ca="1" si="834"/>
        <v/>
      </c>
      <c r="W185" s="23" t="str">
        <f t="shared" ca="1" si="835"/>
        <v/>
      </c>
      <c r="X185" s="23" t="str">
        <f t="shared" ca="1" si="836"/>
        <v/>
      </c>
      <c r="Y185" s="23" t="str">
        <f t="shared" ca="1" si="837"/>
        <v/>
      </c>
      <c r="Z185" s="23" t="str">
        <f t="shared" ca="1" si="838"/>
        <v/>
      </c>
      <c r="AA185" s="23" t="str">
        <f t="shared" ca="1" si="839"/>
        <v/>
      </c>
      <c r="AB185" s="23" t="str">
        <f t="shared" ca="1" si="840"/>
        <v/>
      </c>
      <c r="AC185" s="23" t="str">
        <f t="shared" ca="1" si="841"/>
        <v/>
      </c>
      <c r="AD185" s="23" t="str">
        <f t="shared" ca="1" si="842"/>
        <v/>
      </c>
      <c r="AE185" s="23" t="str">
        <f t="shared" ca="1" si="843"/>
        <v/>
      </c>
      <c r="AF185" s="23" t="str">
        <f t="shared" ca="1" si="844"/>
        <v/>
      </c>
      <c r="AG185" s="23" t="str">
        <f t="shared" ca="1" si="845"/>
        <v/>
      </c>
      <c r="AH185" s="23" t="str">
        <f t="shared" ca="1" si="846"/>
        <v/>
      </c>
      <c r="AI185" s="23" t="str">
        <f t="shared" ca="1" si="847"/>
        <v/>
      </c>
      <c r="AJ185" s="23" t="str">
        <f t="shared" ca="1" si="848"/>
        <v/>
      </c>
      <c r="AK185" s="23" t="str">
        <f t="shared" ca="1" si="849"/>
        <v/>
      </c>
      <c r="AL185" s="23" t="str">
        <f t="shared" ca="1" si="850"/>
        <v/>
      </c>
      <c r="AM185" s="23" t="str">
        <f t="shared" ca="1" si="851"/>
        <v/>
      </c>
      <c r="AN185" s="23" t="str">
        <f t="shared" ca="1" si="852"/>
        <v/>
      </c>
      <c r="AO185" s="23" t="str">
        <f t="shared" ca="1" si="853"/>
        <v/>
      </c>
      <c r="AP185" s="23" t="str">
        <f t="shared" ca="1" si="854"/>
        <v/>
      </c>
      <c r="AQ185" s="23" t="str">
        <f t="shared" ca="1" si="855"/>
        <v/>
      </c>
      <c r="AR185" s="23" t="str">
        <f t="shared" ca="1" si="856"/>
        <v/>
      </c>
      <c r="AS185" s="23" t="str">
        <f t="shared" ca="1" si="857"/>
        <v/>
      </c>
      <c r="AT185" s="23" t="str">
        <f t="shared" ca="1" si="858"/>
        <v/>
      </c>
      <c r="AU185" s="23" t="str">
        <f t="shared" ca="1" si="859"/>
        <v/>
      </c>
      <c r="AV185" s="23" t="str">
        <f t="shared" ca="1" si="860"/>
        <v/>
      </c>
      <c r="AW185" s="23" t="str">
        <f t="shared" ca="1" si="861"/>
        <v/>
      </c>
      <c r="AX185" s="23" t="str">
        <f t="shared" ca="1" si="862"/>
        <v/>
      </c>
      <c r="AY185" s="23" t="str">
        <f t="shared" ca="1" si="863"/>
        <v/>
      </c>
      <c r="AZ185" s="23" t="str">
        <f t="shared" ca="1" si="864"/>
        <v/>
      </c>
      <c r="BA185" s="23" t="str">
        <f t="shared" ca="1" si="865"/>
        <v/>
      </c>
      <c r="BB185" s="23" t="str">
        <f t="shared" ca="1" si="866"/>
        <v/>
      </c>
      <c r="BC185" s="23" t="str">
        <f t="shared" ca="1" si="867"/>
        <v/>
      </c>
      <c r="BD185" s="23" t="str">
        <f t="shared" ca="1" si="868"/>
        <v/>
      </c>
      <c r="BE185" s="23" t="str">
        <f t="shared" ca="1" si="869"/>
        <v/>
      </c>
      <c r="BF185" s="23" t="str">
        <f t="shared" ca="1" si="870"/>
        <v/>
      </c>
      <c r="BG185" s="23" t="str">
        <f t="shared" ca="1" si="871"/>
        <v/>
      </c>
      <c r="BH185" s="23" t="str">
        <f t="shared" ca="1" si="872"/>
        <v/>
      </c>
      <c r="BI185" s="23" t="str">
        <f t="shared" ca="1" si="873"/>
        <v/>
      </c>
      <c r="BJ185" s="23" t="str">
        <f t="shared" ca="1" si="874"/>
        <v/>
      </c>
      <c r="BK185" s="23" t="str">
        <f t="shared" ca="1" si="875"/>
        <v/>
      </c>
      <c r="BL185" s="23" t="str">
        <f t="shared" ca="1" si="876"/>
        <v/>
      </c>
      <c r="BM185" s="23" t="str">
        <f t="shared" ca="1" si="877"/>
        <v/>
      </c>
      <c r="BN185" s="23" t="str">
        <f t="shared" ca="1" si="878"/>
        <v/>
      </c>
      <c r="BO185" s="23" t="str">
        <f t="shared" ca="1" si="879"/>
        <v/>
      </c>
      <c r="BP185" s="23" t="str">
        <f t="shared" ca="1" si="880"/>
        <v/>
      </c>
      <c r="BQ185" s="23" t="str">
        <f t="shared" ca="1" si="881"/>
        <v/>
      </c>
      <c r="BR185" s="23" t="str">
        <f t="shared" ca="1" si="882"/>
        <v/>
      </c>
      <c r="BS185" s="23" t="str">
        <f t="shared" ca="1" si="883"/>
        <v/>
      </c>
      <c r="BT185" s="23" t="str">
        <f t="shared" ca="1" si="884"/>
        <v/>
      </c>
      <c r="BU185" s="23" t="str">
        <f t="shared" ca="1" si="885"/>
        <v/>
      </c>
      <c r="BV185" s="23" t="str">
        <f t="shared" ca="1" si="886"/>
        <v/>
      </c>
      <c r="BW185" s="23" t="str">
        <f t="shared" ca="1" si="887"/>
        <v/>
      </c>
      <c r="BX185" s="23" t="str">
        <f t="shared" ca="1" si="888"/>
        <v/>
      </c>
      <c r="BY185" s="23" t="str">
        <f t="shared" ca="1" si="889"/>
        <v/>
      </c>
      <c r="BZ185" s="23" t="str">
        <f t="shared" ca="1" si="890"/>
        <v/>
      </c>
      <c r="CA185" s="23" t="str">
        <f t="shared" ca="1" si="891"/>
        <v/>
      </c>
      <c r="CB185" s="23" t="str">
        <f t="shared" ca="1" si="892"/>
        <v/>
      </c>
      <c r="CC185" s="23" t="str">
        <f t="shared" ca="1" si="893"/>
        <v/>
      </c>
      <c r="CD185" s="23" t="str">
        <f t="shared" ca="1" si="894"/>
        <v/>
      </c>
      <c r="CE185" s="23" t="str">
        <f t="shared" ca="1" si="895"/>
        <v/>
      </c>
      <c r="CF185" s="23" t="str">
        <f t="shared" ca="1" si="896"/>
        <v/>
      </c>
      <c r="CG185" s="23" t="str">
        <f t="shared" ca="1" si="897"/>
        <v/>
      </c>
      <c r="CH185" s="23" t="str">
        <f t="shared" ca="1" si="898"/>
        <v/>
      </c>
      <c r="CI185" s="23" t="str">
        <f t="shared" ca="1" si="899"/>
        <v/>
      </c>
      <c r="CJ185" s="23" t="str">
        <f t="shared" ca="1" si="900"/>
        <v/>
      </c>
      <c r="CK185" s="23" t="str">
        <f t="shared" ca="1" si="901"/>
        <v/>
      </c>
      <c r="CL185" s="23" t="str">
        <f t="shared" ca="1" si="902"/>
        <v/>
      </c>
      <c r="CM185" s="23" t="str">
        <f t="shared" ca="1" si="903"/>
        <v/>
      </c>
      <c r="CN185" s="23" t="str">
        <f t="shared" ca="1" si="904"/>
        <v/>
      </c>
      <c r="CO185" s="23" t="str">
        <f t="shared" ca="1" si="905"/>
        <v/>
      </c>
      <c r="CP185" s="23" t="str">
        <f t="shared" ca="1" si="906"/>
        <v/>
      </c>
      <c r="CQ185" s="23" t="str">
        <f t="shared" ca="1" si="907"/>
        <v/>
      </c>
      <c r="CR185" s="23" t="str">
        <f t="shared" ca="1" si="908"/>
        <v/>
      </c>
      <c r="CS185" s="23" t="str">
        <f t="shared" ca="1" si="909"/>
        <v/>
      </c>
      <c r="CT185" s="23" t="str">
        <f t="shared" ca="1" si="910"/>
        <v/>
      </c>
      <c r="CU185" s="23" t="str">
        <f t="shared" ca="1" si="911"/>
        <v/>
      </c>
      <c r="CV185" s="23" t="str">
        <f t="shared" ca="1" si="912"/>
        <v/>
      </c>
      <c r="CW185" s="23" t="str">
        <f t="shared" ca="1" si="913"/>
        <v/>
      </c>
      <c r="CX185" s="23" t="str">
        <f ca="1">IF(CX$11="","",IF(CX$13=$M$5,CHOOSE($Q$6+1,$M$1,CY185+CZ185-#REF!),IF(CX$13=$M$6,CHOOSE($Q$6+1,$M$1,OFFSET($A185,,$P$7-1)),IF(CX$13=$M$7,CHOOSE($Q$6+1,$M$1,SUM(OFFSET($A$11,$B185-$O$5,$O$6,1,-$P$6))),IF(CX$13=$M$8,CHOOSE($Q$6+1,$M$1,SUM(OFFSET($A$11,$B185-$O$5,$O$7,1,-$P$6))),IF(CX$11&lt;$D$7,OFFSET(INDIRECT($D$3),$A185-1,$Q$3+CX$11),OFFSET(INDIRECT($D$4),$A185-1,$Q$4+CX$11)))))))</f>
        <v/>
      </c>
      <c r="CY185" s="23" t="str">
        <f ca="1">IF(CY$11="","",IF(CY$13=$M$5,CHOOSE($Q$6+1,$M$1,CZ185+#REF!-#REF!),IF(CY$13=$M$6,CHOOSE($Q$6+1,$M$1,OFFSET($A185,,$P$7-1)),IF(CY$13=$M$7,CHOOSE($Q$6+1,$M$1,SUM(OFFSET($A$11,$B185-$O$5,$O$6,1,-$P$6))),IF(CY$13=$M$8,CHOOSE($Q$6+1,$M$1,SUM(OFFSET($A$11,$B185-$O$5,$O$7,1,-$P$6))),IF(CY$11&lt;$D$7,OFFSET(INDIRECT($D$3),$A185-1,$Q$3+CY$11),OFFSET(INDIRECT($D$4),$A185-1,$Q$4+CY$11)))))))</f>
        <v/>
      </c>
      <c r="CZ185" s="23" t="str">
        <f ca="1">IF(CZ$11="","",IF(CZ$13=$M$5,CHOOSE($Q$6+1,$M$1,#REF!+#REF!-#REF!),IF(CZ$13=$M$6,CHOOSE($Q$6+1,$M$1,OFFSET($A185,,$P$7-1)),IF(CZ$13=$M$7,CHOOSE($Q$6+1,$M$1,SUM(OFFSET($A$11,$B185-$O$5,$O$6,1,-$P$6))),IF(CZ$13=$M$8,CHOOSE($Q$6+1,$M$1,SUM(OFFSET($A$11,$B185-$O$5,$O$7,1,-$P$6))),IF(CZ$11&lt;$D$7,OFFSET(INDIRECT($D$3),$A185-1,$Q$3+CZ$11),OFFSET(INDIRECT($D$4),$A185-1,$Q$4+CZ$11)))))))</f>
        <v/>
      </c>
    </row>
    <row r="186" spans="1:104" ht="13.5" customHeight="1">
      <c r="A186" s="27">
        <v>166</v>
      </c>
      <c r="B186" s="33">
        <f t="shared" si="639"/>
        <v>186</v>
      </c>
      <c r="C186" s="8" t="s">
        <v>433</v>
      </c>
      <c r="D186" s="23">
        <f t="shared" ca="1" si="816"/>
        <v>0</v>
      </c>
      <c r="E186" s="23">
        <f t="shared" ca="1" si="817"/>
        <v>0</v>
      </c>
      <c r="F186" s="23">
        <f t="shared" ca="1" si="818"/>
        <v>0</v>
      </c>
      <c r="G186" s="23">
        <f t="shared" ca="1" si="819"/>
        <v>0</v>
      </c>
      <c r="H186" s="23">
        <f t="shared" ca="1" si="820"/>
        <v>0</v>
      </c>
      <c r="I186" s="23">
        <f t="shared" ca="1" si="821"/>
        <v>0</v>
      </c>
      <c r="J186" s="23">
        <f t="shared" ca="1" si="822"/>
        <v>0</v>
      </c>
      <c r="K186" s="23">
        <f t="shared" ca="1" si="823"/>
        <v>0</v>
      </c>
      <c r="L186" s="23">
        <f t="shared" ca="1" si="824"/>
        <v>0</v>
      </c>
      <c r="M186" s="23">
        <f t="shared" ca="1" si="825"/>
        <v>0</v>
      </c>
      <c r="N186" s="23">
        <f t="shared" ca="1" si="826"/>
        <v>0</v>
      </c>
      <c r="O186" s="23">
        <f t="shared" ca="1" si="827"/>
        <v>0</v>
      </c>
      <c r="P186" s="23">
        <f t="shared" ca="1" si="828"/>
        <v>0</v>
      </c>
      <c r="Q186" s="23">
        <f t="shared" ca="1" si="829"/>
        <v>0</v>
      </c>
      <c r="R186" s="23" t="str">
        <f t="shared" ca="1" si="830"/>
        <v/>
      </c>
      <c r="S186" s="23" t="str">
        <f t="shared" ca="1" si="831"/>
        <v/>
      </c>
      <c r="T186" s="23" t="str">
        <f t="shared" ca="1" si="832"/>
        <v/>
      </c>
      <c r="U186" s="23" t="str">
        <f t="shared" ca="1" si="833"/>
        <v/>
      </c>
      <c r="V186" s="23" t="str">
        <f t="shared" ca="1" si="834"/>
        <v/>
      </c>
      <c r="W186" s="23" t="str">
        <f t="shared" ca="1" si="835"/>
        <v/>
      </c>
      <c r="X186" s="23" t="str">
        <f t="shared" ca="1" si="836"/>
        <v/>
      </c>
      <c r="Y186" s="23" t="str">
        <f t="shared" ca="1" si="837"/>
        <v/>
      </c>
      <c r="Z186" s="23" t="str">
        <f t="shared" ca="1" si="838"/>
        <v/>
      </c>
      <c r="AA186" s="23" t="str">
        <f t="shared" ca="1" si="839"/>
        <v/>
      </c>
      <c r="AB186" s="23" t="str">
        <f t="shared" ca="1" si="840"/>
        <v/>
      </c>
      <c r="AC186" s="23" t="str">
        <f t="shared" ca="1" si="841"/>
        <v/>
      </c>
      <c r="AD186" s="23" t="str">
        <f t="shared" ca="1" si="842"/>
        <v/>
      </c>
      <c r="AE186" s="23" t="str">
        <f t="shared" ca="1" si="843"/>
        <v/>
      </c>
      <c r="AF186" s="23" t="str">
        <f t="shared" ca="1" si="844"/>
        <v/>
      </c>
      <c r="AG186" s="23" t="str">
        <f t="shared" ca="1" si="845"/>
        <v/>
      </c>
      <c r="AH186" s="23" t="str">
        <f t="shared" ca="1" si="846"/>
        <v/>
      </c>
      <c r="AI186" s="23" t="str">
        <f t="shared" ca="1" si="847"/>
        <v/>
      </c>
      <c r="AJ186" s="23" t="str">
        <f t="shared" ca="1" si="848"/>
        <v/>
      </c>
      <c r="AK186" s="23" t="str">
        <f t="shared" ca="1" si="849"/>
        <v/>
      </c>
      <c r="AL186" s="23" t="str">
        <f t="shared" ca="1" si="850"/>
        <v/>
      </c>
      <c r="AM186" s="23" t="str">
        <f t="shared" ca="1" si="851"/>
        <v/>
      </c>
      <c r="AN186" s="23" t="str">
        <f t="shared" ca="1" si="852"/>
        <v/>
      </c>
      <c r="AO186" s="23" t="str">
        <f t="shared" ca="1" si="853"/>
        <v/>
      </c>
      <c r="AP186" s="23" t="str">
        <f t="shared" ca="1" si="854"/>
        <v/>
      </c>
      <c r="AQ186" s="23" t="str">
        <f t="shared" ca="1" si="855"/>
        <v/>
      </c>
      <c r="AR186" s="23" t="str">
        <f t="shared" ca="1" si="856"/>
        <v/>
      </c>
      <c r="AS186" s="23" t="str">
        <f t="shared" ca="1" si="857"/>
        <v/>
      </c>
      <c r="AT186" s="23" t="str">
        <f t="shared" ca="1" si="858"/>
        <v/>
      </c>
      <c r="AU186" s="23" t="str">
        <f t="shared" ca="1" si="859"/>
        <v/>
      </c>
      <c r="AV186" s="23" t="str">
        <f t="shared" ca="1" si="860"/>
        <v/>
      </c>
      <c r="AW186" s="23" t="str">
        <f t="shared" ca="1" si="861"/>
        <v/>
      </c>
      <c r="AX186" s="23" t="str">
        <f t="shared" ca="1" si="862"/>
        <v/>
      </c>
      <c r="AY186" s="23" t="str">
        <f t="shared" ca="1" si="863"/>
        <v/>
      </c>
      <c r="AZ186" s="23" t="str">
        <f t="shared" ca="1" si="864"/>
        <v/>
      </c>
      <c r="BA186" s="23" t="str">
        <f t="shared" ca="1" si="865"/>
        <v/>
      </c>
      <c r="BB186" s="23" t="str">
        <f t="shared" ca="1" si="866"/>
        <v/>
      </c>
      <c r="BC186" s="23" t="str">
        <f t="shared" ca="1" si="867"/>
        <v/>
      </c>
      <c r="BD186" s="23" t="str">
        <f t="shared" ca="1" si="868"/>
        <v/>
      </c>
      <c r="BE186" s="23" t="str">
        <f t="shared" ca="1" si="869"/>
        <v/>
      </c>
      <c r="BF186" s="23" t="str">
        <f t="shared" ca="1" si="870"/>
        <v/>
      </c>
      <c r="BG186" s="23" t="str">
        <f t="shared" ca="1" si="871"/>
        <v/>
      </c>
      <c r="BH186" s="23" t="str">
        <f t="shared" ca="1" si="872"/>
        <v/>
      </c>
      <c r="BI186" s="23" t="str">
        <f t="shared" ca="1" si="873"/>
        <v/>
      </c>
      <c r="BJ186" s="23" t="str">
        <f t="shared" ca="1" si="874"/>
        <v/>
      </c>
      <c r="BK186" s="23" t="str">
        <f t="shared" ca="1" si="875"/>
        <v/>
      </c>
      <c r="BL186" s="23" t="str">
        <f t="shared" ca="1" si="876"/>
        <v/>
      </c>
      <c r="BM186" s="23" t="str">
        <f t="shared" ca="1" si="877"/>
        <v/>
      </c>
      <c r="BN186" s="23" t="str">
        <f t="shared" ca="1" si="878"/>
        <v/>
      </c>
      <c r="BO186" s="23" t="str">
        <f t="shared" ca="1" si="879"/>
        <v/>
      </c>
      <c r="BP186" s="23" t="str">
        <f t="shared" ca="1" si="880"/>
        <v/>
      </c>
      <c r="BQ186" s="23" t="str">
        <f t="shared" ca="1" si="881"/>
        <v/>
      </c>
      <c r="BR186" s="23" t="str">
        <f t="shared" ca="1" si="882"/>
        <v/>
      </c>
      <c r="BS186" s="23" t="str">
        <f t="shared" ca="1" si="883"/>
        <v/>
      </c>
      <c r="BT186" s="23" t="str">
        <f t="shared" ca="1" si="884"/>
        <v/>
      </c>
      <c r="BU186" s="23" t="str">
        <f t="shared" ca="1" si="885"/>
        <v/>
      </c>
      <c r="BV186" s="23" t="str">
        <f t="shared" ca="1" si="886"/>
        <v/>
      </c>
      <c r="BW186" s="23" t="str">
        <f t="shared" ca="1" si="887"/>
        <v/>
      </c>
      <c r="BX186" s="23" t="str">
        <f t="shared" ca="1" si="888"/>
        <v/>
      </c>
      <c r="BY186" s="23" t="str">
        <f t="shared" ca="1" si="889"/>
        <v/>
      </c>
      <c r="BZ186" s="23" t="str">
        <f t="shared" ca="1" si="890"/>
        <v/>
      </c>
      <c r="CA186" s="23" t="str">
        <f t="shared" ca="1" si="891"/>
        <v/>
      </c>
      <c r="CB186" s="23" t="str">
        <f t="shared" ca="1" si="892"/>
        <v/>
      </c>
      <c r="CC186" s="23" t="str">
        <f t="shared" ca="1" si="893"/>
        <v/>
      </c>
      <c r="CD186" s="23" t="str">
        <f t="shared" ca="1" si="894"/>
        <v/>
      </c>
      <c r="CE186" s="23" t="str">
        <f t="shared" ca="1" si="895"/>
        <v/>
      </c>
      <c r="CF186" s="23" t="str">
        <f t="shared" ca="1" si="896"/>
        <v/>
      </c>
      <c r="CG186" s="23" t="str">
        <f t="shared" ca="1" si="897"/>
        <v/>
      </c>
      <c r="CH186" s="23" t="str">
        <f t="shared" ca="1" si="898"/>
        <v/>
      </c>
      <c r="CI186" s="23" t="str">
        <f t="shared" ca="1" si="899"/>
        <v/>
      </c>
      <c r="CJ186" s="23" t="str">
        <f t="shared" ca="1" si="900"/>
        <v/>
      </c>
      <c r="CK186" s="23" t="str">
        <f t="shared" ca="1" si="901"/>
        <v/>
      </c>
      <c r="CL186" s="23" t="str">
        <f t="shared" ca="1" si="902"/>
        <v/>
      </c>
      <c r="CM186" s="23" t="str">
        <f t="shared" ca="1" si="903"/>
        <v/>
      </c>
      <c r="CN186" s="23" t="str">
        <f t="shared" ca="1" si="904"/>
        <v/>
      </c>
      <c r="CO186" s="23" t="str">
        <f t="shared" ca="1" si="905"/>
        <v/>
      </c>
      <c r="CP186" s="23" t="str">
        <f t="shared" ca="1" si="906"/>
        <v/>
      </c>
      <c r="CQ186" s="23" t="str">
        <f t="shared" ca="1" si="907"/>
        <v/>
      </c>
      <c r="CR186" s="23" t="str">
        <f t="shared" ca="1" si="908"/>
        <v/>
      </c>
      <c r="CS186" s="23" t="str">
        <f t="shared" ca="1" si="909"/>
        <v/>
      </c>
      <c r="CT186" s="23" t="str">
        <f t="shared" ca="1" si="910"/>
        <v/>
      </c>
      <c r="CU186" s="23" t="str">
        <f t="shared" ca="1" si="911"/>
        <v/>
      </c>
      <c r="CV186" s="23" t="str">
        <f t="shared" ca="1" si="912"/>
        <v/>
      </c>
      <c r="CW186" s="23" t="str">
        <f t="shared" ca="1" si="913"/>
        <v/>
      </c>
      <c r="CX186" s="23" t="str">
        <f ca="1">IF(CX$11="","",IF(CX$13=$M$5,CHOOSE($Q$6+1,$M$1,CY186+CZ186-#REF!),IF(CX$13=$M$6,CHOOSE($Q$6+1,$M$1,OFFSET($A186,,$P$7-1)),IF(CX$13=$M$7,CHOOSE($Q$6+1,$M$1,SUM(OFFSET($A$11,$B186-$O$5,$O$6,1,-$P$6))),IF(CX$13=$M$8,CHOOSE($Q$6+1,$M$1,SUM(OFFSET($A$11,$B186-$O$5,$O$7,1,-$P$6))),IF(CX$11&lt;$D$7,OFFSET(INDIRECT($D$3),$A186-1,$Q$3+CX$11),OFFSET(INDIRECT($D$4),$A186-1,$Q$4+CX$11)))))))</f>
        <v/>
      </c>
      <c r="CY186" s="23" t="str">
        <f ca="1">IF(CY$11="","",IF(CY$13=$M$5,CHOOSE($Q$6+1,$M$1,CZ186+#REF!-#REF!),IF(CY$13=$M$6,CHOOSE($Q$6+1,$M$1,OFFSET($A186,,$P$7-1)),IF(CY$13=$M$7,CHOOSE($Q$6+1,$M$1,SUM(OFFSET($A$11,$B186-$O$5,$O$6,1,-$P$6))),IF(CY$13=$M$8,CHOOSE($Q$6+1,$M$1,SUM(OFFSET($A$11,$B186-$O$5,$O$7,1,-$P$6))),IF(CY$11&lt;$D$7,OFFSET(INDIRECT($D$3),$A186-1,$Q$3+CY$11),OFFSET(INDIRECT($D$4),$A186-1,$Q$4+CY$11)))))))</f>
        <v/>
      </c>
      <c r="CZ186" s="23" t="str">
        <f ca="1">IF(CZ$11="","",IF(CZ$13=$M$5,CHOOSE($Q$6+1,$M$1,#REF!+#REF!-#REF!),IF(CZ$13=$M$6,CHOOSE($Q$6+1,$M$1,OFFSET($A186,,$P$7-1)),IF(CZ$13=$M$7,CHOOSE($Q$6+1,$M$1,SUM(OFFSET($A$11,$B186-$O$5,$O$6,1,-$P$6))),IF(CZ$13=$M$8,CHOOSE($Q$6+1,$M$1,SUM(OFFSET($A$11,$B186-$O$5,$O$7,1,-$P$6))),IF(CZ$11&lt;$D$7,OFFSET(INDIRECT($D$3),$A186-1,$Q$3+CZ$11),OFFSET(INDIRECT($D$4),$A186-1,$Q$4+CZ$11)))))))</f>
        <v/>
      </c>
    </row>
    <row r="187" spans="1:104" ht="13.5" customHeight="1">
      <c r="A187" s="27">
        <v>167</v>
      </c>
      <c r="B187" s="33">
        <f t="shared" si="639"/>
        <v>187</v>
      </c>
      <c r="C187" s="8" t="s">
        <v>434</v>
      </c>
      <c r="D187" s="23">
        <f t="shared" ca="1" si="816"/>
        <v>2515</v>
      </c>
      <c r="E187" s="23">
        <f t="shared" ca="1" si="817"/>
        <v>4467</v>
      </c>
      <c r="F187" s="23">
        <f t="shared" ca="1" si="818"/>
        <v>1626</v>
      </c>
      <c r="G187" s="23">
        <f t="shared" ca="1" si="819"/>
        <v>2480</v>
      </c>
      <c r="H187" s="23">
        <f t="shared" ca="1" si="820"/>
        <v>2515</v>
      </c>
      <c r="I187" s="23">
        <f t="shared" ca="1" si="821"/>
        <v>4314</v>
      </c>
      <c r="J187" s="23">
        <f t="shared" ca="1" si="822"/>
        <v>2809</v>
      </c>
      <c r="K187" s="23">
        <f t="shared" ca="1" si="823"/>
        <v>2450</v>
      </c>
      <c r="L187" s="23">
        <f t="shared" ca="1" si="824"/>
        <v>4467</v>
      </c>
      <c r="M187" s="23">
        <f t="shared" ca="1" si="825"/>
        <v>6145</v>
      </c>
      <c r="N187" s="23">
        <f t="shared" ca="1" si="826"/>
        <v>6298</v>
      </c>
      <c r="O187" s="23">
        <f t="shared" ca="1" si="827"/>
        <v>4467</v>
      </c>
      <c r="P187" s="23">
        <f t="shared" ca="1" si="828"/>
        <v>6145</v>
      </c>
      <c r="Q187" s="23">
        <f t="shared" ca="1" si="829"/>
        <v>4314</v>
      </c>
      <c r="R187" s="23" t="str">
        <f t="shared" ca="1" si="830"/>
        <v/>
      </c>
      <c r="S187" s="23" t="str">
        <f t="shared" ca="1" si="831"/>
        <v/>
      </c>
      <c r="T187" s="23" t="str">
        <f t="shared" ca="1" si="832"/>
        <v/>
      </c>
      <c r="U187" s="23" t="str">
        <f t="shared" ca="1" si="833"/>
        <v/>
      </c>
      <c r="V187" s="23" t="str">
        <f t="shared" ca="1" si="834"/>
        <v/>
      </c>
      <c r="W187" s="23" t="str">
        <f t="shared" ca="1" si="835"/>
        <v/>
      </c>
      <c r="X187" s="23" t="str">
        <f t="shared" ca="1" si="836"/>
        <v/>
      </c>
      <c r="Y187" s="23" t="str">
        <f t="shared" ca="1" si="837"/>
        <v/>
      </c>
      <c r="Z187" s="23" t="str">
        <f t="shared" ca="1" si="838"/>
        <v/>
      </c>
      <c r="AA187" s="23" t="str">
        <f t="shared" ca="1" si="839"/>
        <v/>
      </c>
      <c r="AB187" s="23" t="str">
        <f t="shared" ca="1" si="840"/>
        <v/>
      </c>
      <c r="AC187" s="23" t="str">
        <f t="shared" ca="1" si="841"/>
        <v/>
      </c>
      <c r="AD187" s="23" t="str">
        <f t="shared" ca="1" si="842"/>
        <v/>
      </c>
      <c r="AE187" s="23" t="str">
        <f t="shared" ca="1" si="843"/>
        <v/>
      </c>
      <c r="AF187" s="23" t="str">
        <f t="shared" ca="1" si="844"/>
        <v/>
      </c>
      <c r="AG187" s="23" t="str">
        <f t="shared" ca="1" si="845"/>
        <v/>
      </c>
      <c r="AH187" s="23" t="str">
        <f t="shared" ca="1" si="846"/>
        <v/>
      </c>
      <c r="AI187" s="23" t="str">
        <f t="shared" ca="1" si="847"/>
        <v/>
      </c>
      <c r="AJ187" s="23" t="str">
        <f t="shared" ca="1" si="848"/>
        <v/>
      </c>
      <c r="AK187" s="23" t="str">
        <f t="shared" ca="1" si="849"/>
        <v/>
      </c>
      <c r="AL187" s="23" t="str">
        <f t="shared" ca="1" si="850"/>
        <v/>
      </c>
      <c r="AM187" s="23" t="str">
        <f t="shared" ca="1" si="851"/>
        <v/>
      </c>
      <c r="AN187" s="23" t="str">
        <f t="shared" ca="1" si="852"/>
        <v/>
      </c>
      <c r="AO187" s="23" t="str">
        <f t="shared" ca="1" si="853"/>
        <v/>
      </c>
      <c r="AP187" s="23" t="str">
        <f t="shared" ca="1" si="854"/>
        <v/>
      </c>
      <c r="AQ187" s="23" t="str">
        <f t="shared" ca="1" si="855"/>
        <v/>
      </c>
      <c r="AR187" s="23" t="str">
        <f t="shared" ca="1" si="856"/>
        <v/>
      </c>
      <c r="AS187" s="23" t="str">
        <f t="shared" ca="1" si="857"/>
        <v/>
      </c>
      <c r="AT187" s="23" t="str">
        <f t="shared" ca="1" si="858"/>
        <v/>
      </c>
      <c r="AU187" s="23" t="str">
        <f t="shared" ca="1" si="859"/>
        <v/>
      </c>
      <c r="AV187" s="23" t="str">
        <f t="shared" ca="1" si="860"/>
        <v/>
      </c>
      <c r="AW187" s="23" t="str">
        <f t="shared" ca="1" si="861"/>
        <v/>
      </c>
      <c r="AX187" s="23" t="str">
        <f t="shared" ca="1" si="862"/>
        <v/>
      </c>
      <c r="AY187" s="23" t="str">
        <f t="shared" ca="1" si="863"/>
        <v/>
      </c>
      <c r="AZ187" s="23" t="str">
        <f t="shared" ca="1" si="864"/>
        <v/>
      </c>
      <c r="BA187" s="23" t="str">
        <f t="shared" ca="1" si="865"/>
        <v/>
      </c>
      <c r="BB187" s="23" t="str">
        <f t="shared" ca="1" si="866"/>
        <v/>
      </c>
      <c r="BC187" s="23" t="str">
        <f t="shared" ca="1" si="867"/>
        <v/>
      </c>
      <c r="BD187" s="23" t="str">
        <f t="shared" ca="1" si="868"/>
        <v/>
      </c>
      <c r="BE187" s="23" t="str">
        <f t="shared" ca="1" si="869"/>
        <v/>
      </c>
      <c r="BF187" s="23" t="str">
        <f t="shared" ca="1" si="870"/>
        <v/>
      </c>
      <c r="BG187" s="23" t="str">
        <f t="shared" ca="1" si="871"/>
        <v/>
      </c>
      <c r="BH187" s="23" t="str">
        <f t="shared" ca="1" si="872"/>
        <v/>
      </c>
      <c r="BI187" s="23" t="str">
        <f t="shared" ca="1" si="873"/>
        <v/>
      </c>
      <c r="BJ187" s="23" t="str">
        <f t="shared" ca="1" si="874"/>
        <v/>
      </c>
      <c r="BK187" s="23" t="str">
        <f t="shared" ca="1" si="875"/>
        <v/>
      </c>
      <c r="BL187" s="23" t="str">
        <f t="shared" ca="1" si="876"/>
        <v/>
      </c>
      <c r="BM187" s="23" t="str">
        <f t="shared" ca="1" si="877"/>
        <v/>
      </c>
      <c r="BN187" s="23" t="str">
        <f t="shared" ca="1" si="878"/>
        <v/>
      </c>
      <c r="BO187" s="23" t="str">
        <f t="shared" ca="1" si="879"/>
        <v/>
      </c>
      <c r="BP187" s="23" t="str">
        <f t="shared" ca="1" si="880"/>
        <v/>
      </c>
      <c r="BQ187" s="23" t="str">
        <f t="shared" ca="1" si="881"/>
        <v/>
      </c>
      <c r="BR187" s="23" t="str">
        <f t="shared" ca="1" si="882"/>
        <v/>
      </c>
      <c r="BS187" s="23" t="str">
        <f t="shared" ca="1" si="883"/>
        <v/>
      </c>
      <c r="BT187" s="23" t="str">
        <f t="shared" ca="1" si="884"/>
        <v/>
      </c>
      <c r="BU187" s="23" t="str">
        <f t="shared" ca="1" si="885"/>
        <v/>
      </c>
      <c r="BV187" s="23" t="str">
        <f t="shared" ca="1" si="886"/>
        <v/>
      </c>
      <c r="BW187" s="23" t="str">
        <f t="shared" ca="1" si="887"/>
        <v/>
      </c>
      <c r="BX187" s="23" t="str">
        <f t="shared" ca="1" si="888"/>
        <v/>
      </c>
      <c r="BY187" s="23" t="str">
        <f t="shared" ca="1" si="889"/>
        <v/>
      </c>
      <c r="BZ187" s="23" t="str">
        <f t="shared" ca="1" si="890"/>
        <v/>
      </c>
      <c r="CA187" s="23" t="str">
        <f t="shared" ca="1" si="891"/>
        <v/>
      </c>
      <c r="CB187" s="23" t="str">
        <f t="shared" ca="1" si="892"/>
        <v/>
      </c>
      <c r="CC187" s="23" t="str">
        <f t="shared" ca="1" si="893"/>
        <v/>
      </c>
      <c r="CD187" s="23" t="str">
        <f t="shared" ca="1" si="894"/>
        <v/>
      </c>
      <c r="CE187" s="23" t="str">
        <f t="shared" ca="1" si="895"/>
        <v/>
      </c>
      <c r="CF187" s="23" t="str">
        <f t="shared" ca="1" si="896"/>
        <v/>
      </c>
      <c r="CG187" s="23" t="str">
        <f t="shared" ca="1" si="897"/>
        <v/>
      </c>
      <c r="CH187" s="23" t="str">
        <f t="shared" ca="1" si="898"/>
        <v/>
      </c>
      <c r="CI187" s="23" t="str">
        <f t="shared" ca="1" si="899"/>
        <v/>
      </c>
      <c r="CJ187" s="23" t="str">
        <f t="shared" ca="1" si="900"/>
        <v/>
      </c>
      <c r="CK187" s="23" t="str">
        <f t="shared" ca="1" si="901"/>
        <v/>
      </c>
      <c r="CL187" s="23" t="str">
        <f t="shared" ca="1" si="902"/>
        <v/>
      </c>
      <c r="CM187" s="23" t="str">
        <f t="shared" ca="1" si="903"/>
        <v/>
      </c>
      <c r="CN187" s="23" t="str">
        <f t="shared" ca="1" si="904"/>
        <v/>
      </c>
      <c r="CO187" s="23" t="str">
        <f t="shared" ca="1" si="905"/>
        <v/>
      </c>
      <c r="CP187" s="23" t="str">
        <f t="shared" ca="1" si="906"/>
        <v/>
      </c>
      <c r="CQ187" s="23" t="str">
        <f t="shared" ca="1" si="907"/>
        <v/>
      </c>
      <c r="CR187" s="23" t="str">
        <f t="shared" ca="1" si="908"/>
        <v/>
      </c>
      <c r="CS187" s="23" t="str">
        <f t="shared" ca="1" si="909"/>
        <v/>
      </c>
      <c r="CT187" s="23" t="str">
        <f t="shared" ca="1" si="910"/>
        <v/>
      </c>
      <c r="CU187" s="23" t="str">
        <f t="shared" ca="1" si="911"/>
        <v/>
      </c>
      <c r="CV187" s="23" t="str">
        <f t="shared" ca="1" si="912"/>
        <v/>
      </c>
      <c r="CW187" s="23" t="str">
        <f t="shared" ca="1" si="913"/>
        <v/>
      </c>
      <c r="CX187" s="23" t="str">
        <f ca="1">IF(CX$11="","",IF(CX$13=$M$5,CHOOSE($Q$6+1,$M$1,CY187+CZ187-#REF!),IF(CX$13=$M$6,CHOOSE($Q$6+1,$M$1,OFFSET($A187,,$P$7-1)),IF(CX$13=$M$7,CHOOSE($Q$6+1,$M$1,SUM(OFFSET($A$11,$B187-$O$5,$O$6,1,-$P$6))),IF(CX$13=$M$8,CHOOSE($Q$6+1,$M$1,SUM(OFFSET($A$11,$B187-$O$5,$O$7,1,-$P$6))),IF(CX$11&lt;$D$7,OFFSET(INDIRECT($D$3),$A187-1,$Q$3+CX$11),OFFSET(INDIRECT($D$4),$A187-1,$Q$4+CX$11)))))))</f>
        <v/>
      </c>
      <c r="CY187" s="23" t="str">
        <f ca="1">IF(CY$11="","",IF(CY$13=$M$5,CHOOSE($Q$6+1,$M$1,CZ187+#REF!-#REF!),IF(CY$13=$M$6,CHOOSE($Q$6+1,$M$1,OFFSET($A187,,$P$7-1)),IF(CY$13=$M$7,CHOOSE($Q$6+1,$M$1,SUM(OFFSET($A$11,$B187-$O$5,$O$6,1,-$P$6))),IF(CY$13=$M$8,CHOOSE($Q$6+1,$M$1,SUM(OFFSET($A$11,$B187-$O$5,$O$7,1,-$P$6))),IF(CY$11&lt;$D$7,OFFSET(INDIRECT($D$3),$A187-1,$Q$3+CY$11),OFFSET(INDIRECT($D$4),$A187-1,$Q$4+CY$11)))))))</f>
        <v/>
      </c>
      <c r="CZ187" s="23" t="str">
        <f ca="1">IF(CZ$11="","",IF(CZ$13=$M$5,CHOOSE($Q$6+1,$M$1,#REF!+#REF!-#REF!),IF(CZ$13=$M$6,CHOOSE($Q$6+1,$M$1,OFFSET($A187,,$P$7-1)),IF(CZ$13=$M$7,CHOOSE($Q$6+1,$M$1,SUM(OFFSET($A$11,$B187-$O$5,$O$6,1,-$P$6))),IF(CZ$13=$M$8,CHOOSE($Q$6+1,$M$1,SUM(OFFSET($A$11,$B187-$O$5,$O$7,1,-$P$6))),IF(CZ$11&lt;$D$7,OFFSET(INDIRECT($D$3),$A187-1,$Q$3+CZ$11),OFFSET(INDIRECT($D$4),$A187-1,$Q$4+CZ$11)))))))</f>
        <v/>
      </c>
    </row>
    <row r="188" spans="1:104" ht="13.5" customHeight="1">
      <c r="A188" s="27">
        <v>168</v>
      </c>
      <c r="B188" s="33">
        <f t="shared" si="639"/>
        <v>188</v>
      </c>
      <c r="C188" s="8" t="s">
        <v>435</v>
      </c>
      <c r="D188" s="23">
        <f t="shared" ca="1" si="816"/>
        <v>0</v>
      </c>
      <c r="E188" s="23">
        <f t="shared" ca="1" si="817"/>
        <v>0</v>
      </c>
      <c r="F188" s="23">
        <f t="shared" ca="1" si="818"/>
        <v>0</v>
      </c>
      <c r="G188" s="23">
        <f t="shared" ca="1" si="819"/>
        <v>0</v>
      </c>
      <c r="H188" s="23">
        <f t="shared" ca="1" si="820"/>
        <v>0</v>
      </c>
      <c r="I188" s="23">
        <f t="shared" ca="1" si="821"/>
        <v>0</v>
      </c>
      <c r="J188" s="23">
        <f t="shared" ca="1" si="822"/>
        <v>0</v>
      </c>
      <c r="K188" s="23">
        <f t="shared" ca="1" si="823"/>
        <v>0</v>
      </c>
      <c r="L188" s="23">
        <f t="shared" ca="1" si="824"/>
        <v>0</v>
      </c>
      <c r="M188" s="23">
        <f t="shared" ca="1" si="825"/>
        <v>0</v>
      </c>
      <c r="N188" s="23">
        <f t="shared" ca="1" si="826"/>
        <v>0</v>
      </c>
      <c r="O188" s="23">
        <f t="shared" ca="1" si="827"/>
        <v>0</v>
      </c>
      <c r="P188" s="23">
        <f t="shared" ca="1" si="828"/>
        <v>0</v>
      </c>
      <c r="Q188" s="23">
        <f t="shared" ca="1" si="829"/>
        <v>0</v>
      </c>
      <c r="R188" s="23" t="str">
        <f t="shared" ca="1" si="830"/>
        <v/>
      </c>
      <c r="S188" s="23" t="str">
        <f t="shared" ca="1" si="831"/>
        <v/>
      </c>
      <c r="T188" s="23" t="str">
        <f t="shared" ca="1" si="832"/>
        <v/>
      </c>
      <c r="U188" s="23" t="str">
        <f t="shared" ca="1" si="833"/>
        <v/>
      </c>
      <c r="V188" s="23" t="str">
        <f t="shared" ca="1" si="834"/>
        <v/>
      </c>
      <c r="W188" s="23" t="str">
        <f t="shared" ca="1" si="835"/>
        <v/>
      </c>
      <c r="X188" s="23" t="str">
        <f t="shared" ca="1" si="836"/>
        <v/>
      </c>
      <c r="Y188" s="23" t="str">
        <f t="shared" ca="1" si="837"/>
        <v/>
      </c>
      <c r="Z188" s="23" t="str">
        <f t="shared" ca="1" si="838"/>
        <v/>
      </c>
      <c r="AA188" s="23" t="str">
        <f t="shared" ca="1" si="839"/>
        <v/>
      </c>
      <c r="AB188" s="23" t="str">
        <f t="shared" ca="1" si="840"/>
        <v/>
      </c>
      <c r="AC188" s="23" t="str">
        <f t="shared" ca="1" si="841"/>
        <v/>
      </c>
      <c r="AD188" s="23" t="str">
        <f t="shared" ca="1" si="842"/>
        <v/>
      </c>
      <c r="AE188" s="23" t="str">
        <f t="shared" ca="1" si="843"/>
        <v/>
      </c>
      <c r="AF188" s="23" t="str">
        <f t="shared" ca="1" si="844"/>
        <v/>
      </c>
      <c r="AG188" s="23" t="str">
        <f t="shared" ca="1" si="845"/>
        <v/>
      </c>
      <c r="AH188" s="23" t="str">
        <f t="shared" ca="1" si="846"/>
        <v/>
      </c>
      <c r="AI188" s="23" t="str">
        <f t="shared" ca="1" si="847"/>
        <v/>
      </c>
      <c r="AJ188" s="23" t="str">
        <f t="shared" ca="1" si="848"/>
        <v/>
      </c>
      <c r="AK188" s="23" t="str">
        <f t="shared" ca="1" si="849"/>
        <v/>
      </c>
      <c r="AL188" s="23" t="str">
        <f t="shared" ca="1" si="850"/>
        <v/>
      </c>
      <c r="AM188" s="23" t="str">
        <f t="shared" ca="1" si="851"/>
        <v/>
      </c>
      <c r="AN188" s="23" t="str">
        <f t="shared" ca="1" si="852"/>
        <v/>
      </c>
      <c r="AO188" s="23" t="str">
        <f t="shared" ca="1" si="853"/>
        <v/>
      </c>
      <c r="AP188" s="23" t="str">
        <f t="shared" ca="1" si="854"/>
        <v/>
      </c>
      <c r="AQ188" s="23" t="str">
        <f t="shared" ca="1" si="855"/>
        <v/>
      </c>
      <c r="AR188" s="23" t="str">
        <f t="shared" ca="1" si="856"/>
        <v/>
      </c>
      <c r="AS188" s="23" t="str">
        <f t="shared" ca="1" si="857"/>
        <v/>
      </c>
      <c r="AT188" s="23" t="str">
        <f t="shared" ca="1" si="858"/>
        <v/>
      </c>
      <c r="AU188" s="23" t="str">
        <f t="shared" ca="1" si="859"/>
        <v/>
      </c>
      <c r="AV188" s="23" t="str">
        <f t="shared" ca="1" si="860"/>
        <v/>
      </c>
      <c r="AW188" s="23" t="str">
        <f t="shared" ca="1" si="861"/>
        <v/>
      </c>
      <c r="AX188" s="23" t="str">
        <f t="shared" ca="1" si="862"/>
        <v/>
      </c>
      <c r="AY188" s="23" t="str">
        <f t="shared" ca="1" si="863"/>
        <v/>
      </c>
      <c r="AZ188" s="23" t="str">
        <f t="shared" ca="1" si="864"/>
        <v/>
      </c>
      <c r="BA188" s="23" t="str">
        <f t="shared" ca="1" si="865"/>
        <v/>
      </c>
      <c r="BB188" s="23" t="str">
        <f t="shared" ca="1" si="866"/>
        <v/>
      </c>
      <c r="BC188" s="23" t="str">
        <f t="shared" ca="1" si="867"/>
        <v/>
      </c>
      <c r="BD188" s="23" t="str">
        <f t="shared" ca="1" si="868"/>
        <v/>
      </c>
      <c r="BE188" s="23" t="str">
        <f t="shared" ca="1" si="869"/>
        <v/>
      </c>
      <c r="BF188" s="23" t="str">
        <f t="shared" ca="1" si="870"/>
        <v/>
      </c>
      <c r="BG188" s="23" t="str">
        <f t="shared" ca="1" si="871"/>
        <v/>
      </c>
      <c r="BH188" s="23" t="str">
        <f t="shared" ca="1" si="872"/>
        <v/>
      </c>
      <c r="BI188" s="23" t="str">
        <f t="shared" ca="1" si="873"/>
        <v/>
      </c>
      <c r="BJ188" s="23" t="str">
        <f t="shared" ca="1" si="874"/>
        <v/>
      </c>
      <c r="BK188" s="23" t="str">
        <f t="shared" ca="1" si="875"/>
        <v/>
      </c>
      <c r="BL188" s="23" t="str">
        <f t="shared" ca="1" si="876"/>
        <v/>
      </c>
      <c r="BM188" s="23" t="str">
        <f t="shared" ca="1" si="877"/>
        <v/>
      </c>
      <c r="BN188" s="23" t="str">
        <f t="shared" ca="1" si="878"/>
        <v/>
      </c>
      <c r="BO188" s="23" t="str">
        <f t="shared" ca="1" si="879"/>
        <v/>
      </c>
      <c r="BP188" s="23" t="str">
        <f t="shared" ca="1" si="880"/>
        <v/>
      </c>
      <c r="BQ188" s="23" t="str">
        <f t="shared" ca="1" si="881"/>
        <v/>
      </c>
      <c r="BR188" s="23" t="str">
        <f t="shared" ca="1" si="882"/>
        <v/>
      </c>
      <c r="BS188" s="23" t="str">
        <f t="shared" ca="1" si="883"/>
        <v/>
      </c>
      <c r="BT188" s="23" t="str">
        <f t="shared" ca="1" si="884"/>
        <v/>
      </c>
      <c r="BU188" s="23" t="str">
        <f t="shared" ca="1" si="885"/>
        <v/>
      </c>
      <c r="BV188" s="23" t="str">
        <f t="shared" ca="1" si="886"/>
        <v/>
      </c>
      <c r="BW188" s="23" t="str">
        <f t="shared" ca="1" si="887"/>
        <v/>
      </c>
      <c r="BX188" s="23" t="str">
        <f t="shared" ca="1" si="888"/>
        <v/>
      </c>
      <c r="BY188" s="23" t="str">
        <f t="shared" ca="1" si="889"/>
        <v/>
      </c>
      <c r="BZ188" s="23" t="str">
        <f t="shared" ca="1" si="890"/>
        <v/>
      </c>
      <c r="CA188" s="23" t="str">
        <f t="shared" ca="1" si="891"/>
        <v/>
      </c>
      <c r="CB188" s="23" t="str">
        <f t="shared" ca="1" si="892"/>
        <v/>
      </c>
      <c r="CC188" s="23" t="str">
        <f t="shared" ca="1" si="893"/>
        <v/>
      </c>
      <c r="CD188" s="23" t="str">
        <f t="shared" ca="1" si="894"/>
        <v/>
      </c>
      <c r="CE188" s="23" t="str">
        <f t="shared" ca="1" si="895"/>
        <v/>
      </c>
      <c r="CF188" s="23" t="str">
        <f t="shared" ca="1" si="896"/>
        <v/>
      </c>
      <c r="CG188" s="23" t="str">
        <f t="shared" ca="1" si="897"/>
        <v/>
      </c>
      <c r="CH188" s="23" t="str">
        <f t="shared" ca="1" si="898"/>
        <v/>
      </c>
      <c r="CI188" s="23" t="str">
        <f t="shared" ca="1" si="899"/>
        <v/>
      </c>
      <c r="CJ188" s="23" t="str">
        <f t="shared" ca="1" si="900"/>
        <v/>
      </c>
      <c r="CK188" s="23" t="str">
        <f t="shared" ca="1" si="901"/>
        <v/>
      </c>
      <c r="CL188" s="23" t="str">
        <f t="shared" ca="1" si="902"/>
        <v/>
      </c>
      <c r="CM188" s="23" t="str">
        <f t="shared" ca="1" si="903"/>
        <v/>
      </c>
      <c r="CN188" s="23" t="str">
        <f t="shared" ca="1" si="904"/>
        <v/>
      </c>
      <c r="CO188" s="23" t="str">
        <f t="shared" ca="1" si="905"/>
        <v/>
      </c>
      <c r="CP188" s="23" t="str">
        <f t="shared" ca="1" si="906"/>
        <v/>
      </c>
      <c r="CQ188" s="23" t="str">
        <f t="shared" ca="1" si="907"/>
        <v/>
      </c>
      <c r="CR188" s="23" t="str">
        <f t="shared" ca="1" si="908"/>
        <v/>
      </c>
      <c r="CS188" s="23" t="str">
        <f t="shared" ca="1" si="909"/>
        <v/>
      </c>
      <c r="CT188" s="23" t="str">
        <f t="shared" ca="1" si="910"/>
        <v/>
      </c>
      <c r="CU188" s="23" t="str">
        <f t="shared" ca="1" si="911"/>
        <v/>
      </c>
      <c r="CV188" s="23" t="str">
        <f t="shared" ca="1" si="912"/>
        <v/>
      </c>
      <c r="CW188" s="23" t="str">
        <f t="shared" ca="1" si="913"/>
        <v/>
      </c>
      <c r="CX188" s="23" t="str">
        <f ca="1">IF(CX$11="","",IF(CX$13=$M$5,CHOOSE($Q$6+1,$M$1,CY188+CZ188-#REF!),IF(CX$13=$M$6,CHOOSE($Q$6+1,$M$1,OFFSET($A188,,$P$7-1)),IF(CX$13=$M$7,CHOOSE($Q$6+1,$M$1,SUM(OFFSET($A$11,$B188-$O$5,$O$6,1,-$P$6))),IF(CX$13=$M$8,CHOOSE($Q$6+1,$M$1,SUM(OFFSET($A$11,$B188-$O$5,$O$7,1,-$P$6))),IF(CX$11&lt;$D$7,OFFSET(INDIRECT($D$3),$A188-1,$Q$3+CX$11),OFFSET(INDIRECT($D$4),$A188-1,$Q$4+CX$11)))))))</f>
        <v/>
      </c>
      <c r="CY188" s="23" t="str">
        <f ca="1">IF(CY$11="","",IF(CY$13=$M$5,CHOOSE($Q$6+1,$M$1,CZ188+#REF!-#REF!),IF(CY$13=$M$6,CHOOSE($Q$6+1,$M$1,OFFSET($A188,,$P$7-1)),IF(CY$13=$M$7,CHOOSE($Q$6+1,$M$1,SUM(OFFSET($A$11,$B188-$O$5,$O$6,1,-$P$6))),IF(CY$13=$M$8,CHOOSE($Q$6+1,$M$1,SUM(OFFSET($A$11,$B188-$O$5,$O$7,1,-$P$6))),IF(CY$11&lt;$D$7,OFFSET(INDIRECT($D$3),$A188-1,$Q$3+CY$11),OFFSET(INDIRECT($D$4),$A188-1,$Q$4+CY$11)))))))</f>
        <v/>
      </c>
      <c r="CZ188" s="23" t="str">
        <f ca="1">IF(CZ$11="","",IF(CZ$13=$M$5,CHOOSE($Q$6+1,$M$1,#REF!+#REF!-#REF!),IF(CZ$13=$M$6,CHOOSE($Q$6+1,$M$1,OFFSET($A188,,$P$7-1)),IF(CZ$13=$M$7,CHOOSE($Q$6+1,$M$1,SUM(OFFSET($A$11,$B188-$O$5,$O$6,1,-$P$6))),IF(CZ$13=$M$8,CHOOSE($Q$6+1,$M$1,SUM(OFFSET($A$11,$B188-$O$5,$O$7,1,-$P$6))),IF(CZ$11&lt;$D$7,OFFSET(INDIRECT($D$3),$A188-1,$Q$3+CZ$11),OFFSET(INDIRECT($D$4),$A188-1,$Q$4+CZ$11)))))))</f>
        <v/>
      </c>
    </row>
    <row r="189" spans="1:104" ht="13.5" customHeight="1">
      <c r="A189" s="27">
        <v>169</v>
      </c>
      <c r="B189" s="33">
        <f t="shared" si="639"/>
        <v>189</v>
      </c>
      <c r="C189" s="8" t="s">
        <v>436</v>
      </c>
      <c r="D189" s="23">
        <f t="shared" ca="1" si="816"/>
        <v>4758</v>
      </c>
      <c r="E189" s="23">
        <f t="shared" ca="1" si="817"/>
        <v>2214</v>
      </c>
      <c r="F189" s="23">
        <f t="shared" ca="1" si="818"/>
        <v>486</v>
      </c>
      <c r="G189" s="23">
        <f t="shared" ca="1" si="819"/>
        <v>2333</v>
      </c>
      <c r="H189" s="23">
        <f t="shared" ca="1" si="820"/>
        <v>4758</v>
      </c>
      <c r="I189" s="23">
        <f t="shared" ca="1" si="821"/>
        <v>2806</v>
      </c>
      <c r="J189" s="23">
        <f t="shared" ca="1" si="822"/>
        <v>1184</v>
      </c>
      <c r="K189" s="23">
        <f t="shared" ca="1" si="823"/>
        <v>1023</v>
      </c>
      <c r="L189" s="23">
        <f t="shared" ca="1" si="824"/>
        <v>2214</v>
      </c>
      <c r="M189" s="23">
        <f t="shared" ca="1" si="825"/>
        <v>4397</v>
      </c>
      <c r="N189" s="23">
        <f t="shared" ca="1" si="826"/>
        <v>3805</v>
      </c>
      <c r="O189" s="23">
        <f t="shared" ca="1" si="827"/>
        <v>2214</v>
      </c>
      <c r="P189" s="23">
        <f t="shared" ca="1" si="828"/>
        <v>4397</v>
      </c>
      <c r="Q189" s="23">
        <f t="shared" ca="1" si="829"/>
        <v>2806</v>
      </c>
      <c r="R189" s="23" t="str">
        <f t="shared" ca="1" si="830"/>
        <v/>
      </c>
      <c r="S189" s="23" t="str">
        <f t="shared" ca="1" si="831"/>
        <v/>
      </c>
      <c r="T189" s="23" t="str">
        <f t="shared" ca="1" si="832"/>
        <v/>
      </c>
      <c r="U189" s="23" t="str">
        <f t="shared" ca="1" si="833"/>
        <v/>
      </c>
      <c r="V189" s="23" t="str">
        <f t="shared" ca="1" si="834"/>
        <v/>
      </c>
      <c r="W189" s="23" t="str">
        <f t="shared" ca="1" si="835"/>
        <v/>
      </c>
      <c r="X189" s="23" t="str">
        <f t="shared" ca="1" si="836"/>
        <v/>
      </c>
      <c r="Y189" s="23" t="str">
        <f t="shared" ca="1" si="837"/>
        <v/>
      </c>
      <c r="Z189" s="23" t="str">
        <f t="shared" ca="1" si="838"/>
        <v/>
      </c>
      <c r="AA189" s="23" t="str">
        <f t="shared" ca="1" si="839"/>
        <v/>
      </c>
      <c r="AB189" s="23" t="str">
        <f t="shared" ca="1" si="840"/>
        <v/>
      </c>
      <c r="AC189" s="23" t="str">
        <f t="shared" ca="1" si="841"/>
        <v/>
      </c>
      <c r="AD189" s="23" t="str">
        <f t="shared" ca="1" si="842"/>
        <v/>
      </c>
      <c r="AE189" s="23" t="str">
        <f t="shared" ca="1" si="843"/>
        <v/>
      </c>
      <c r="AF189" s="23" t="str">
        <f t="shared" ca="1" si="844"/>
        <v/>
      </c>
      <c r="AG189" s="23" t="str">
        <f t="shared" ca="1" si="845"/>
        <v/>
      </c>
      <c r="AH189" s="23" t="str">
        <f t="shared" ca="1" si="846"/>
        <v/>
      </c>
      <c r="AI189" s="23" t="str">
        <f t="shared" ca="1" si="847"/>
        <v/>
      </c>
      <c r="AJ189" s="23" t="str">
        <f t="shared" ca="1" si="848"/>
        <v/>
      </c>
      <c r="AK189" s="23" t="str">
        <f t="shared" ca="1" si="849"/>
        <v/>
      </c>
      <c r="AL189" s="23" t="str">
        <f t="shared" ca="1" si="850"/>
        <v/>
      </c>
      <c r="AM189" s="23" t="str">
        <f t="shared" ca="1" si="851"/>
        <v/>
      </c>
      <c r="AN189" s="23" t="str">
        <f t="shared" ca="1" si="852"/>
        <v/>
      </c>
      <c r="AO189" s="23" t="str">
        <f t="shared" ca="1" si="853"/>
        <v/>
      </c>
      <c r="AP189" s="23" t="str">
        <f t="shared" ca="1" si="854"/>
        <v/>
      </c>
      <c r="AQ189" s="23" t="str">
        <f t="shared" ca="1" si="855"/>
        <v/>
      </c>
      <c r="AR189" s="23" t="str">
        <f t="shared" ca="1" si="856"/>
        <v/>
      </c>
      <c r="AS189" s="23" t="str">
        <f t="shared" ca="1" si="857"/>
        <v/>
      </c>
      <c r="AT189" s="23" t="str">
        <f t="shared" ca="1" si="858"/>
        <v/>
      </c>
      <c r="AU189" s="23" t="str">
        <f t="shared" ca="1" si="859"/>
        <v/>
      </c>
      <c r="AV189" s="23" t="str">
        <f t="shared" ca="1" si="860"/>
        <v/>
      </c>
      <c r="AW189" s="23" t="str">
        <f t="shared" ca="1" si="861"/>
        <v/>
      </c>
      <c r="AX189" s="23" t="str">
        <f t="shared" ca="1" si="862"/>
        <v/>
      </c>
      <c r="AY189" s="23" t="str">
        <f t="shared" ca="1" si="863"/>
        <v/>
      </c>
      <c r="AZ189" s="23" t="str">
        <f t="shared" ca="1" si="864"/>
        <v/>
      </c>
      <c r="BA189" s="23" t="str">
        <f t="shared" ca="1" si="865"/>
        <v/>
      </c>
      <c r="BB189" s="23" t="str">
        <f t="shared" ca="1" si="866"/>
        <v/>
      </c>
      <c r="BC189" s="23" t="str">
        <f t="shared" ca="1" si="867"/>
        <v/>
      </c>
      <c r="BD189" s="23" t="str">
        <f t="shared" ca="1" si="868"/>
        <v/>
      </c>
      <c r="BE189" s="23" t="str">
        <f t="shared" ca="1" si="869"/>
        <v/>
      </c>
      <c r="BF189" s="23" t="str">
        <f t="shared" ca="1" si="870"/>
        <v/>
      </c>
      <c r="BG189" s="23" t="str">
        <f t="shared" ca="1" si="871"/>
        <v/>
      </c>
      <c r="BH189" s="23" t="str">
        <f t="shared" ca="1" si="872"/>
        <v/>
      </c>
      <c r="BI189" s="23" t="str">
        <f t="shared" ca="1" si="873"/>
        <v/>
      </c>
      <c r="BJ189" s="23" t="str">
        <f t="shared" ca="1" si="874"/>
        <v/>
      </c>
      <c r="BK189" s="23" t="str">
        <f t="shared" ca="1" si="875"/>
        <v/>
      </c>
      <c r="BL189" s="23" t="str">
        <f t="shared" ca="1" si="876"/>
        <v/>
      </c>
      <c r="BM189" s="23" t="str">
        <f t="shared" ca="1" si="877"/>
        <v/>
      </c>
      <c r="BN189" s="23" t="str">
        <f t="shared" ca="1" si="878"/>
        <v/>
      </c>
      <c r="BO189" s="23" t="str">
        <f t="shared" ca="1" si="879"/>
        <v/>
      </c>
      <c r="BP189" s="23" t="str">
        <f t="shared" ca="1" si="880"/>
        <v/>
      </c>
      <c r="BQ189" s="23" t="str">
        <f t="shared" ca="1" si="881"/>
        <v/>
      </c>
      <c r="BR189" s="23" t="str">
        <f t="shared" ca="1" si="882"/>
        <v/>
      </c>
      <c r="BS189" s="23" t="str">
        <f t="shared" ca="1" si="883"/>
        <v/>
      </c>
      <c r="BT189" s="23" t="str">
        <f t="shared" ca="1" si="884"/>
        <v/>
      </c>
      <c r="BU189" s="23" t="str">
        <f t="shared" ca="1" si="885"/>
        <v/>
      </c>
      <c r="BV189" s="23" t="str">
        <f t="shared" ca="1" si="886"/>
        <v/>
      </c>
      <c r="BW189" s="23" t="str">
        <f t="shared" ca="1" si="887"/>
        <v/>
      </c>
      <c r="BX189" s="23" t="str">
        <f t="shared" ca="1" si="888"/>
        <v/>
      </c>
      <c r="BY189" s="23" t="str">
        <f t="shared" ca="1" si="889"/>
        <v/>
      </c>
      <c r="BZ189" s="23" t="str">
        <f t="shared" ca="1" si="890"/>
        <v/>
      </c>
      <c r="CA189" s="23" t="str">
        <f t="shared" ca="1" si="891"/>
        <v/>
      </c>
      <c r="CB189" s="23" t="str">
        <f t="shared" ca="1" si="892"/>
        <v/>
      </c>
      <c r="CC189" s="23" t="str">
        <f t="shared" ca="1" si="893"/>
        <v/>
      </c>
      <c r="CD189" s="23" t="str">
        <f t="shared" ca="1" si="894"/>
        <v/>
      </c>
      <c r="CE189" s="23" t="str">
        <f t="shared" ca="1" si="895"/>
        <v/>
      </c>
      <c r="CF189" s="23" t="str">
        <f t="shared" ca="1" si="896"/>
        <v/>
      </c>
      <c r="CG189" s="23" t="str">
        <f t="shared" ca="1" si="897"/>
        <v/>
      </c>
      <c r="CH189" s="23" t="str">
        <f t="shared" ca="1" si="898"/>
        <v/>
      </c>
      <c r="CI189" s="23" t="str">
        <f t="shared" ca="1" si="899"/>
        <v/>
      </c>
      <c r="CJ189" s="23" t="str">
        <f t="shared" ca="1" si="900"/>
        <v/>
      </c>
      <c r="CK189" s="23" t="str">
        <f t="shared" ca="1" si="901"/>
        <v/>
      </c>
      <c r="CL189" s="23" t="str">
        <f t="shared" ca="1" si="902"/>
        <v/>
      </c>
      <c r="CM189" s="23" t="str">
        <f t="shared" ca="1" si="903"/>
        <v/>
      </c>
      <c r="CN189" s="23" t="str">
        <f t="shared" ca="1" si="904"/>
        <v/>
      </c>
      <c r="CO189" s="23" t="str">
        <f t="shared" ca="1" si="905"/>
        <v/>
      </c>
      <c r="CP189" s="23" t="str">
        <f t="shared" ca="1" si="906"/>
        <v/>
      </c>
      <c r="CQ189" s="23" t="str">
        <f t="shared" ca="1" si="907"/>
        <v/>
      </c>
      <c r="CR189" s="23" t="str">
        <f t="shared" ca="1" si="908"/>
        <v/>
      </c>
      <c r="CS189" s="23" t="str">
        <f t="shared" ca="1" si="909"/>
        <v/>
      </c>
      <c r="CT189" s="23" t="str">
        <f t="shared" ca="1" si="910"/>
        <v/>
      </c>
      <c r="CU189" s="23" t="str">
        <f t="shared" ca="1" si="911"/>
        <v/>
      </c>
      <c r="CV189" s="23" t="str">
        <f t="shared" ca="1" si="912"/>
        <v/>
      </c>
      <c r="CW189" s="23" t="str">
        <f t="shared" ca="1" si="913"/>
        <v/>
      </c>
      <c r="CX189" s="23" t="str">
        <f ca="1">IF(CX$11="","",IF(CX$13=$M$5,CHOOSE($Q$6+1,$M$1,CY189+CZ189-#REF!),IF(CX$13=$M$6,CHOOSE($Q$6+1,$M$1,OFFSET($A189,,$P$7-1)),IF(CX$13=$M$7,CHOOSE($Q$6+1,$M$1,SUM(OFFSET($A$11,$B189-$O$5,$O$6,1,-$P$6))),IF(CX$13=$M$8,CHOOSE($Q$6+1,$M$1,SUM(OFFSET($A$11,$B189-$O$5,$O$7,1,-$P$6))),IF(CX$11&lt;$D$7,OFFSET(INDIRECT($D$3),$A189-1,$Q$3+CX$11),OFFSET(INDIRECT($D$4),$A189-1,$Q$4+CX$11)))))))</f>
        <v/>
      </c>
      <c r="CY189" s="23" t="str">
        <f ca="1">IF(CY$11="","",IF(CY$13=$M$5,CHOOSE($Q$6+1,$M$1,CZ189+#REF!-#REF!),IF(CY$13=$M$6,CHOOSE($Q$6+1,$M$1,OFFSET($A189,,$P$7-1)),IF(CY$13=$M$7,CHOOSE($Q$6+1,$M$1,SUM(OFFSET($A$11,$B189-$O$5,$O$6,1,-$P$6))),IF(CY$13=$M$8,CHOOSE($Q$6+1,$M$1,SUM(OFFSET($A$11,$B189-$O$5,$O$7,1,-$P$6))),IF(CY$11&lt;$D$7,OFFSET(INDIRECT($D$3),$A189-1,$Q$3+CY$11),OFFSET(INDIRECT($D$4),$A189-1,$Q$4+CY$11)))))))</f>
        <v/>
      </c>
      <c r="CZ189" s="23" t="str">
        <f ca="1">IF(CZ$11="","",IF(CZ$13=$M$5,CHOOSE($Q$6+1,$M$1,#REF!+#REF!-#REF!),IF(CZ$13=$M$6,CHOOSE($Q$6+1,$M$1,OFFSET($A189,,$P$7-1)),IF(CZ$13=$M$7,CHOOSE($Q$6+1,$M$1,SUM(OFFSET($A$11,$B189-$O$5,$O$6,1,-$P$6))),IF(CZ$13=$M$8,CHOOSE($Q$6+1,$M$1,SUM(OFFSET($A$11,$B189-$O$5,$O$7,1,-$P$6))),IF(CZ$11&lt;$D$7,OFFSET(INDIRECT($D$3),$A189-1,$Q$3+CZ$11),OFFSET(INDIRECT($D$4),$A189-1,$Q$4+CZ$11)))))))</f>
        <v/>
      </c>
    </row>
    <row r="190" spans="1:104" ht="13.5" customHeight="1">
      <c r="A190" s="27">
        <v>170</v>
      </c>
      <c r="B190" s="33">
        <f t="shared" si="639"/>
        <v>190</v>
      </c>
      <c r="C190" s="8" t="s">
        <v>437</v>
      </c>
      <c r="D190" s="23">
        <f t="shared" ca="1" si="816"/>
        <v>1168</v>
      </c>
      <c r="E190" s="23">
        <f t="shared" ca="1" si="817"/>
        <v>1740</v>
      </c>
      <c r="F190" s="23">
        <f t="shared" ca="1" si="818"/>
        <v>586</v>
      </c>
      <c r="G190" s="23">
        <f t="shared" ca="1" si="819"/>
        <v>870</v>
      </c>
      <c r="H190" s="23">
        <f t="shared" ca="1" si="820"/>
        <v>1168</v>
      </c>
      <c r="I190" s="23">
        <f t="shared" ca="1" si="821"/>
        <v>420</v>
      </c>
      <c r="J190" s="23">
        <f t="shared" ca="1" si="822"/>
        <v>844</v>
      </c>
      <c r="K190" s="23">
        <f t="shared" ca="1" si="823"/>
        <v>1292</v>
      </c>
      <c r="L190" s="23">
        <f t="shared" ca="1" si="824"/>
        <v>1740</v>
      </c>
      <c r="M190" s="23">
        <f t="shared" ca="1" si="825"/>
        <v>545</v>
      </c>
      <c r="N190" s="23">
        <f t="shared" ca="1" si="826"/>
        <v>1865</v>
      </c>
      <c r="O190" s="23">
        <f t="shared" ca="1" si="827"/>
        <v>1740</v>
      </c>
      <c r="P190" s="23">
        <f t="shared" ca="1" si="828"/>
        <v>545</v>
      </c>
      <c r="Q190" s="23">
        <f t="shared" ca="1" si="829"/>
        <v>420</v>
      </c>
      <c r="R190" s="23" t="str">
        <f t="shared" ca="1" si="830"/>
        <v/>
      </c>
      <c r="S190" s="23" t="str">
        <f t="shared" ca="1" si="831"/>
        <v/>
      </c>
      <c r="T190" s="23" t="str">
        <f t="shared" ca="1" si="832"/>
        <v/>
      </c>
      <c r="U190" s="23" t="str">
        <f t="shared" ca="1" si="833"/>
        <v/>
      </c>
      <c r="V190" s="23" t="str">
        <f t="shared" ca="1" si="834"/>
        <v/>
      </c>
      <c r="W190" s="23" t="str">
        <f t="shared" ca="1" si="835"/>
        <v/>
      </c>
      <c r="X190" s="23" t="str">
        <f t="shared" ca="1" si="836"/>
        <v/>
      </c>
      <c r="Y190" s="23" t="str">
        <f t="shared" ca="1" si="837"/>
        <v/>
      </c>
      <c r="Z190" s="23" t="str">
        <f t="shared" ca="1" si="838"/>
        <v/>
      </c>
      <c r="AA190" s="23" t="str">
        <f t="shared" ca="1" si="839"/>
        <v/>
      </c>
      <c r="AB190" s="23" t="str">
        <f t="shared" ca="1" si="840"/>
        <v/>
      </c>
      <c r="AC190" s="23" t="str">
        <f t="shared" ca="1" si="841"/>
        <v/>
      </c>
      <c r="AD190" s="23" t="str">
        <f t="shared" ca="1" si="842"/>
        <v/>
      </c>
      <c r="AE190" s="23" t="str">
        <f t="shared" ca="1" si="843"/>
        <v/>
      </c>
      <c r="AF190" s="23" t="str">
        <f t="shared" ca="1" si="844"/>
        <v/>
      </c>
      <c r="AG190" s="23" t="str">
        <f t="shared" ca="1" si="845"/>
        <v/>
      </c>
      <c r="AH190" s="23" t="str">
        <f t="shared" ca="1" si="846"/>
        <v/>
      </c>
      <c r="AI190" s="23" t="str">
        <f t="shared" ca="1" si="847"/>
        <v/>
      </c>
      <c r="AJ190" s="23" t="str">
        <f t="shared" ca="1" si="848"/>
        <v/>
      </c>
      <c r="AK190" s="23" t="str">
        <f t="shared" ca="1" si="849"/>
        <v/>
      </c>
      <c r="AL190" s="23" t="str">
        <f t="shared" ca="1" si="850"/>
        <v/>
      </c>
      <c r="AM190" s="23" t="str">
        <f t="shared" ca="1" si="851"/>
        <v/>
      </c>
      <c r="AN190" s="23" t="str">
        <f t="shared" ca="1" si="852"/>
        <v/>
      </c>
      <c r="AO190" s="23" t="str">
        <f t="shared" ca="1" si="853"/>
        <v/>
      </c>
      <c r="AP190" s="23" t="str">
        <f t="shared" ca="1" si="854"/>
        <v/>
      </c>
      <c r="AQ190" s="23" t="str">
        <f t="shared" ca="1" si="855"/>
        <v/>
      </c>
      <c r="AR190" s="23" t="str">
        <f t="shared" ca="1" si="856"/>
        <v/>
      </c>
      <c r="AS190" s="23" t="str">
        <f t="shared" ca="1" si="857"/>
        <v/>
      </c>
      <c r="AT190" s="23" t="str">
        <f t="shared" ca="1" si="858"/>
        <v/>
      </c>
      <c r="AU190" s="23" t="str">
        <f t="shared" ca="1" si="859"/>
        <v/>
      </c>
      <c r="AV190" s="23" t="str">
        <f t="shared" ca="1" si="860"/>
        <v/>
      </c>
      <c r="AW190" s="23" t="str">
        <f t="shared" ca="1" si="861"/>
        <v/>
      </c>
      <c r="AX190" s="23" t="str">
        <f t="shared" ca="1" si="862"/>
        <v/>
      </c>
      <c r="AY190" s="23" t="str">
        <f t="shared" ca="1" si="863"/>
        <v/>
      </c>
      <c r="AZ190" s="23" t="str">
        <f t="shared" ca="1" si="864"/>
        <v/>
      </c>
      <c r="BA190" s="23" t="str">
        <f t="shared" ca="1" si="865"/>
        <v/>
      </c>
      <c r="BB190" s="23" t="str">
        <f t="shared" ca="1" si="866"/>
        <v/>
      </c>
      <c r="BC190" s="23" t="str">
        <f t="shared" ca="1" si="867"/>
        <v/>
      </c>
      <c r="BD190" s="23" t="str">
        <f t="shared" ca="1" si="868"/>
        <v/>
      </c>
      <c r="BE190" s="23" t="str">
        <f t="shared" ca="1" si="869"/>
        <v/>
      </c>
      <c r="BF190" s="23" t="str">
        <f t="shared" ca="1" si="870"/>
        <v/>
      </c>
      <c r="BG190" s="23" t="str">
        <f t="shared" ca="1" si="871"/>
        <v/>
      </c>
      <c r="BH190" s="23" t="str">
        <f t="shared" ca="1" si="872"/>
        <v/>
      </c>
      <c r="BI190" s="23" t="str">
        <f t="shared" ca="1" si="873"/>
        <v/>
      </c>
      <c r="BJ190" s="23" t="str">
        <f t="shared" ca="1" si="874"/>
        <v/>
      </c>
      <c r="BK190" s="23" t="str">
        <f t="shared" ca="1" si="875"/>
        <v/>
      </c>
      <c r="BL190" s="23" t="str">
        <f t="shared" ca="1" si="876"/>
        <v/>
      </c>
      <c r="BM190" s="23" t="str">
        <f t="shared" ca="1" si="877"/>
        <v/>
      </c>
      <c r="BN190" s="23" t="str">
        <f t="shared" ca="1" si="878"/>
        <v/>
      </c>
      <c r="BO190" s="23" t="str">
        <f t="shared" ca="1" si="879"/>
        <v/>
      </c>
      <c r="BP190" s="23" t="str">
        <f t="shared" ca="1" si="880"/>
        <v/>
      </c>
      <c r="BQ190" s="23" t="str">
        <f t="shared" ca="1" si="881"/>
        <v/>
      </c>
      <c r="BR190" s="23" t="str">
        <f t="shared" ca="1" si="882"/>
        <v/>
      </c>
      <c r="BS190" s="23" t="str">
        <f t="shared" ca="1" si="883"/>
        <v/>
      </c>
      <c r="BT190" s="23" t="str">
        <f t="shared" ca="1" si="884"/>
        <v/>
      </c>
      <c r="BU190" s="23" t="str">
        <f t="shared" ca="1" si="885"/>
        <v/>
      </c>
      <c r="BV190" s="23" t="str">
        <f t="shared" ca="1" si="886"/>
        <v/>
      </c>
      <c r="BW190" s="23" t="str">
        <f t="shared" ca="1" si="887"/>
        <v/>
      </c>
      <c r="BX190" s="23" t="str">
        <f t="shared" ca="1" si="888"/>
        <v/>
      </c>
      <c r="BY190" s="23" t="str">
        <f t="shared" ca="1" si="889"/>
        <v/>
      </c>
      <c r="BZ190" s="23" t="str">
        <f t="shared" ca="1" si="890"/>
        <v/>
      </c>
      <c r="CA190" s="23" t="str">
        <f t="shared" ca="1" si="891"/>
        <v/>
      </c>
      <c r="CB190" s="23" t="str">
        <f t="shared" ca="1" si="892"/>
        <v/>
      </c>
      <c r="CC190" s="23" t="str">
        <f t="shared" ca="1" si="893"/>
        <v/>
      </c>
      <c r="CD190" s="23" t="str">
        <f t="shared" ca="1" si="894"/>
        <v/>
      </c>
      <c r="CE190" s="23" t="str">
        <f t="shared" ca="1" si="895"/>
        <v/>
      </c>
      <c r="CF190" s="23" t="str">
        <f t="shared" ca="1" si="896"/>
        <v/>
      </c>
      <c r="CG190" s="23" t="str">
        <f t="shared" ca="1" si="897"/>
        <v/>
      </c>
      <c r="CH190" s="23" t="str">
        <f t="shared" ca="1" si="898"/>
        <v/>
      </c>
      <c r="CI190" s="23" t="str">
        <f t="shared" ca="1" si="899"/>
        <v/>
      </c>
      <c r="CJ190" s="23" t="str">
        <f t="shared" ca="1" si="900"/>
        <v/>
      </c>
      <c r="CK190" s="23" t="str">
        <f t="shared" ca="1" si="901"/>
        <v/>
      </c>
      <c r="CL190" s="23" t="str">
        <f t="shared" ca="1" si="902"/>
        <v/>
      </c>
      <c r="CM190" s="23" t="str">
        <f t="shared" ca="1" si="903"/>
        <v/>
      </c>
      <c r="CN190" s="23" t="str">
        <f t="shared" ca="1" si="904"/>
        <v/>
      </c>
      <c r="CO190" s="23" t="str">
        <f t="shared" ca="1" si="905"/>
        <v/>
      </c>
      <c r="CP190" s="23" t="str">
        <f t="shared" ca="1" si="906"/>
        <v/>
      </c>
      <c r="CQ190" s="23" t="str">
        <f t="shared" ca="1" si="907"/>
        <v/>
      </c>
      <c r="CR190" s="23" t="str">
        <f t="shared" ca="1" si="908"/>
        <v/>
      </c>
      <c r="CS190" s="23" t="str">
        <f t="shared" ca="1" si="909"/>
        <v/>
      </c>
      <c r="CT190" s="23" t="str">
        <f t="shared" ca="1" si="910"/>
        <v/>
      </c>
      <c r="CU190" s="23" t="str">
        <f t="shared" ca="1" si="911"/>
        <v/>
      </c>
      <c r="CV190" s="23" t="str">
        <f t="shared" ca="1" si="912"/>
        <v/>
      </c>
      <c r="CW190" s="23" t="str">
        <f t="shared" ca="1" si="913"/>
        <v/>
      </c>
      <c r="CX190" s="23" t="str">
        <f ca="1">IF(CX$11="","",IF(CX$13=$M$5,CHOOSE($Q$6+1,$M$1,CY190+CZ190-#REF!),IF(CX$13=$M$6,CHOOSE($Q$6+1,$M$1,OFFSET($A190,,$P$7-1)),IF(CX$13=$M$7,CHOOSE($Q$6+1,$M$1,SUM(OFFSET($A$11,$B190-$O$5,$O$6,1,-$P$6))),IF(CX$13=$M$8,CHOOSE($Q$6+1,$M$1,SUM(OFFSET($A$11,$B190-$O$5,$O$7,1,-$P$6))),IF(CX$11&lt;$D$7,OFFSET(INDIRECT($D$3),$A190-1,$Q$3+CX$11),OFFSET(INDIRECT($D$4),$A190-1,$Q$4+CX$11)))))))</f>
        <v/>
      </c>
      <c r="CY190" s="23" t="str">
        <f ca="1">IF(CY$11="","",IF(CY$13=$M$5,CHOOSE($Q$6+1,$M$1,CZ190+#REF!-#REF!),IF(CY$13=$M$6,CHOOSE($Q$6+1,$M$1,OFFSET($A190,,$P$7-1)),IF(CY$13=$M$7,CHOOSE($Q$6+1,$M$1,SUM(OFFSET($A$11,$B190-$O$5,$O$6,1,-$P$6))),IF(CY$13=$M$8,CHOOSE($Q$6+1,$M$1,SUM(OFFSET($A$11,$B190-$O$5,$O$7,1,-$P$6))),IF(CY$11&lt;$D$7,OFFSET(INDIRECT($D$3),$A190-1,$Q$3+CY$11),OFFSET(INDIRECT($D$4),$A190-1,$Q$4+CY$11)))))))</f>
        <v/>
      </c>
      <c r="CZ190" s="23" t="str">
        <f ca="1">IF(CZ$11="","",IF(CZ$13=$M$5,CHOOSE($Q$6+1,$M$1,#REF!+#REF!-#REF!),IF(CZ$13=$M$6,CHOOSE($Q$6+1,$M$1,OFFSET($A190,,$P$7-1)),IF(CZ$13=$M$7,CHOOSE($Q$6+1,$M$1,SUM(OFFSET($A$11,$B190-$O$5,$O$6,1,-$P$6))),IF(CZ$13=$M$8,CHOOSE($Q$6+1,$M$1,SUM(OFFSET($A$11,$B190-$O$5,$O$7,1,-$P$6))),IF(CZ$11&lt;$D$7,OFFSET(INDIRECT($D$3),$A190-1,$Q$3+CZ$11),OFFSET(INDIRECT($D$4),$A190-1,$Q$4+CZ$11)))))))</f>
        <v/>
      </c>
    </row>
    <row r="191" spans="1:104" ht="13.5" customHeight="1">
      <c r="A191" s="28">
        <v>171</v>
      </c>
      <c r="B191" s="33">
        <f t="shared" si="639"/>
        <v>191</v>
      </c>
      <c r="C191" s="9" t="s">
        <v>438</v>
      </c>
      <c r="D191" s="34">
        <f ca="1">IF(D$13="","",+SUM(D176:D190))</f>
        <v>37529</v>
      </c>
      <c r="E191" s="34">
        <f t="shared" ref="E191:BP191" ca="1" si="914">IF(E$13="","",+SUM(E176:E190))</f>
        <v>50856</v>
      </c>
      <c r="F191" s="34">
        <f t="shared" ca="1" si="914"/>
        <v>15992</v>
      </c>
      <c r="G191" s="34">
        <f t="shared" ca="1" si="914"/>
        <v>27100</v>
      </c>
      <c r="H191" s="34">
        <f t="shared" ca="1" si="914"/>
        <v>37529</v>
      </c>
      <c r="I191" s="34">
        <f t="shared" ca="1" si="914"/>
        <v>17554</v>
      </c>
      <c r="J191" s="34">
        <f t="shared" ca="1" si="914"/>
        <v>31531</v>
      </c>
      <c r="K191" s="34">
        <f t="shared" ca="1" si="914"/>
        <v>41720</v>
      </c>
      <c r="L191" s="34">
        <f t="shared" ca="1" si="914"/>
        <v>50856</v>
      </c>
      <c r="M191" s="34">
        <f t="shared" ca="1" si="914"/>
        <v>23426</v>
      </c>
      <c r="N191" s="34">
        <f t="shared" ca="1" si="914"/>
        <v>56728</v>
      </c>
      <c r="O191" s="34">
        <f t="shared" ca="1" si="914"/>
        <v>50856</v>
      </c>
      <c r="P191" s="34">
        <f t="shared" ca="1" si="914"/>
        <v>23426</v>
      </c>
      <c r="Q191" s="34">
        <f t="shared" ca="1" si="914"/>
        <v>17554</v>
      </c>
      <c r="R191" s="34" t="str">
        <f t="shared" ca="1" si="914"/>
        <v/>
      </c>
      <c r="S191" s="34" t="str">
        <f t="shared" ca="1" si="914"/>
        <v/>
      </c>
      <c r="T191" s="34" t="str">
        <f t="shared" ca="1" si="914"/>
        <v/>
      </c>
      <c r="U191" s="34" t="str">
        <f t="shared" ca="1" si="914"/>
        <v/>
      </c>
      <c r="V191" s="34" t="str">
        <f t="shared" ca="1" si="914"/>
        <v/>
      </c>
      <c r="W191" s="34" t="str">
        <f t="shared" ca="1" si="914"/>
        <v/>
      </c>
      <c r="X191" s="34" t="str">
        <f t="shared" ca="1" si="914"/>
        <v/>
      </c>
      <c r="Y191" s="34" t="str">
        <f t="shared" ca="1" si="914"/>
        <v/>
      </c>
      <c r="Z191" s="34" t="str">
        <f t="shared" ca="1" si="914"/>
        <v/>
      </c>
      <c r="AA191" s="34" t="str">
        <f t="shared" ca="1" si="914"/>
        <v/>
      </c>
      <c r="AB191" s="34" t="str">
        <f t="shared" ca="1" si="914"/>
        <v/>
      </c>
      <c r="AC191" s="34" t="str">
        <f t="shared" ca="1" si="914"/>
        <v/>
      </c>
      <c r="AD191" s="34" t="str">
        <f t="shared" ca="1" si="914"/>
        <v/>
      </c>
      <c r="AE191" s="34" t="str">
        <f t="shared" ca="1" si="914"/>
        <v/>
      </c>
      <c r="AF191" s="34" t="str">
        <f t="shared" ca="1" si="914"/>
        <v/>
      </c>
      <c r="AG191" s="17" t="str">
        <f t="shared" ca="1" si="914"/>
        <v/>
      </c>
      <c r="AH191" s="17" t="str">
        <f t="shared" ca="1" si="914"/>
        <v/>
      </c>
      <c r="AI191" s="17" t="str">
        <f t="shared" ca="1" si="914"/>
        <v/>
      </c>
      <c r="AJ191" s="17" t="str">
        <f t="shared" ca="1" si="914"/>
        <v/>
      </c>
      <c r="AK191" s="17" t="str">
        <f t="shared" ca="1" si="914"/>
        <v/>
      </c>
      <c r="AL191" s="17" t="str">
        <f t="shared" ca="1" si="914"/>
        <v/>
      </c>
      <c r="AM191" s="17" t="str">
        <f t="shared" ca="1" si="914"/>
        <v/>
      </c>
      <c r="AN191" s="17" t="str">
        <f t="shared" ca="1" si="914"/>
        <v/>
      </c>
      <c r="AO191" s="17" t="str">
        <f t="shared" ca="1" si="914"/>
        <v/>
      </c>
      <c r="AP191" s="17" t="str">
        <f t="shared" ca="1" si="914"/>
        <v/>
      </c>
      <c r="AQ191" s="17" t="str">
        <f t="shared" ca="1" si="914"/>
        <v/>
      </c>
      <c r="AR191" s="17" t="str">
        <f t="shared" ca="1" si="914"/>
        <v/>
      </c>
      <c r="AS191" s="17" t="str">
        <f t="shared" ca="1" si="914"/>
        <v/>
      </c>
      <c r="AT191" s="17" t="str">
        <f t="shared" ca="1" si="914"/>
        <v/>
      </c>
      <c r="AU191" s="17" t="str">
        <f t="shared" ca="1" si="914"/>
        <v/>
      </c>
      <c r="AV191" s="17" t="str">
        <f t="shared" ca="1" si="914"/>
        <v/>
      </c>
      <c r="AW191" s="17" t="str">
        <f t="shared" ca="1" si="914"/>
        <v/>
      </c>
      <c r="AX191" s="17" t="str">
        <f t="shared" ca="1" si="914"/>
        <v/>
      </c>
      <c r="AY191" s="17" t="str">
        <f t="shared" ca="1" si="914"/>
        <v/>
      </c>
      <c r="AZ191" s="17" t="str">
        <f t="shared" ca="1" si="914"/>
        <v/>
      </c>
      <c r="BA191" s="17" t="str">
        <f t="shared" ca="1" si="914"/>
        <v/>
      </c>
      <c r="BB191" s="17" t="str">
        <f t="shared" ca="1" si="914"/>
        <v/>
      </c>
      <c r="BC191" s="17" t="str">
        <f t="shared" ca="1" si="914"/>
        <v/>
      </c>
      <c r="BD191" s="17" t="str">
        <f t="shared" ca="1" si="914"/>
        <v/>
      </c>
      <c r="BE191" s="17" t="str">
        <f t="shared" ca="1" si="914"/>
        <v/>
      </c>
      <c r="BF191" s="17" t="str">
        <f t="shared" ca="1" si="914"/>
        <v/>
      </c>
      <c r="BG191" s="17" t="str">
        <f t="shared" ca="1" si="914"/>
        <v/>
      </c>
      <c r="BH191" s="17" t="str">
        <f t="shared" ca="1" si="914"/>
        <v/>
      </c>
      <c r="BI191" s="17" t="str">
        <f t="shared" ca="1" si="914"/>
        <v/>
      </c>
      <c r="BJ191" s="17" t="str">
        <f t="shared" ca="1" si="914"/>
        <v/>
      </c>
      <c r="BK191" s="17" t="str">
        <f t="shared" ca="1" si="914"/>
        <v/>
      </c>
      <c r="BL191" s="17" t="str">
        <f t="shared" ca="1" si="914"/>
        <v/>
      </c>
      <c r="BM191" s="17" t="str">
        <f t="shared" ca="1" si="914"/>
        <v/>
      </c>
      <c r="BN191" s="17" t="str">
        <f t="shared" ca="1" si="914"/>
        <v/>
      </c>
      <c r="BO191" s="17" t="str">
        <f t="shared" ca="1" si="914"/>
        <v/>
      </c>
      <c r="BP191" s="17" t="str">
        <f t="shared" ca="1" si="914"/>
        <v/>
      </c>
      <c r="BQ191" s="17" t="str">
        <f t="shared" ref="BQ191:CZ191" ca="1" si="915">IF(BQ$13="","",+SUM(BQ176:BQ190))</f>
        <v/>
      </c>
      <c r="BR191" s="17" t="str">
        <f t="shared" ca="1" si="915"/>
        <v/>
      </c>
      <c r="BS191" s="17" t="str">
        <f t="shared" ca="1" si="915"/>
        <v/>
      </c>
      <c r="BT191" s="17" t="str">
        <f t="shared" ca="1" si="915"/>
        <v/>
      </c>
      <c r="BU191" s="17" t="str">
        <f t="shared" ca="1" si="915"/>
        <v/>
      </c>
      <c r="BV191" s="17" t="str">
        <f t="shared" ca="1" si="915"/>
        <v/>
      </c>
      <c r="BW191" s="17" t="str">
        <f t="shared" ca="1" si="915"/>
        <v/>
      </c>
      <c r="BX191" s="17" t="str">
        <f t="shared" ca="1" si="915"/>
        <v/>
      </c>
      <c r="BY191" s="17" t="str">
        <f t="shared" ca="1" si="915"/>
        <v/>
      </c>
      <c r="BZ191" s="17" t="str">
        <f t="shared" ca="1" si="915"/>
        <v/>
      </c>
      <c r="CA191" s="17" t="str">
        <f t="shared" ca="1" si="915"/>
        <v/>
      </c>
      <c r="CB191" s="17" t="str">
        <f t="shared" ca="1" si="915"/>
        <v/>
      </c>
      <c r="CC191" s="17" t="str">
        <f t="shared" ca="1" si="915"/>
        <v/>
      </c>
      <c r="CD191" s="17" t="str">
        <f t="shared" ca="1" si="915"/>
        <v/>
      </c>
      <c r="CE191" s="17" t="str">
        <f t="shared" ca="1" si="915"/>
        <v/>
      </c>
      <c r="CF191" s="17" t="str">
        <f t="shared" ca="1" si="915"/>
        <v/>
      </c>
      <c r="CG191" s="17" t="str">
        <f t="shared" ca="1" si="915"/>
        <v/>
      </c>
      <c r="CH191" s="17" t="str">
        <f t="shared" ca="1" si="915"/>
        <v/>
      </c>
      <c r="CI191" s="17" t="str">
        <f t="shared" ca="1" si="915"/>
        <v/>
      </c>
      <c r="CJ191" s="17" t="str">
        <f t="shared" ca="1" si="915"/>
        <v/>
      </c>
      <c r="CK191" s="17" t="str">
        <f t="shared" ca="1" si="915"/>
        <v/>
      </c>
      <c r="CL191" s="17" t="str">
        <f t="shared" ca="1" si="915"/>
        <v/>
      </c>
      <c r="CM191" s="17" t="str">
        <f t="shared" ca="1" si="915"/>
        <v/>
      </c>
      <c r="CN191" s="17" t="str">
        <f t="shared" ca="1" si="915"/>
        <v/>
      </c>
      <c r="CO191" s="17" t="str">
        <f t="shared" ca="1" si="915"/>
        <v/>
      </c>
      <c r="CP191" s="17" t="str">
        <f t="shared" ca="1" si="915"/>
        <v/>
      </c>
      <c r="CQ191" s="17" t="str">
        <f t="shared" ca="1" si="915"/>
        <v/>
      </c>
      <c r="CR191" s="17" t="str">
        <f t="shared" ca="1" si="915"/>
        <v/>
      </c>
      <c r="CS191" s="17" t="str">
        <f t="shared" ca="1" si="915"/>
        <v/>
      </c>
      <c r="CT191" s="17" t="str">
        <f t="shared" ca="1" si="915"/>
        <v/>
      </c>
      <c r="CU191" s="17" t="str">
        <f t="shared" ca="1" si="915"/>
        <v/>
      </c>
      <c r="CV191" s="17" t="str">
        <f t="shared" ca="1" si="915"/>
        <v/>
      </c>
      <c r="CW191" s="17" t="str">
        <f t="shared" ca="1" si="915"/>
        <v/>
      </c>
      <c r="CX191" s="17" t="str">
        <f t="shared" ca="1" si="915"/>
        <v/>
      </c>
      <c r="CY191" s="17" t="str">
        <f t="shared" ca="1" si="915"/>
        <v/>
      </c>
      <c r="CZ191" s="17" t="str">
        <f t="shared" ca="1" si="915"/>
        <v/>
      </c>
    </row>
    <row r="192" spans="1:104" ht="13.5" customHeight="1">
      <c r="A192" s="27">
        <v>172</v>
      </c>
      <c r="B192" s="33">
        <f t="shared" si="639"/>
        <v>192</v>
      </c>
      <c r="C192" s="9" t="s">
        <v>439</v>
      </c>
      <c r="D192" s="23">
        <f t="shared" ref="D192:AI192" ca="1" si="916">IF(D$11="","",IF(D$13=$M$5,CHOOSE($Q$6+1,$M$1,E192+F192-G192),IF(D$13=$M$6,CHOOSE($Q$6+1,$M$1,OFFSET($A192,,$P$7-1)),IF(D$13=$M$7,CHOOSE($Q$6+1,$M$1,SUM(OFFSET($A$11,$B192-$O$5,$O$6,1,-$P$6))),IF(D$13=$M$8,CHOOSE($Q$6+1,$M$1,SUM(OFFSET($A$11,$B192-$O$5,$O$7,1,-$P$6))),IF(D$11&lt;$D$7,OFFSET(INDIRECT($D$3),$A192-1,$Q$3+D$11),OFFSET(INDIRECT($D$4),$A192-1,$Q$4+D$11)))))))</f>
        <v>0</v>
      </c>
      <c r="E192" s="23">
        <f t="shared" ca="1" si="916"/>
        <v>0</v>
      </c>
      <c r="F192" s="23">
        <f t="shared" ca="1" si="916"/>
        <v>0</v>
      </c>
      <c r="G192" s="23">
        <f t="shared" ca="1" si="916"/>
        <v>0</v>
      </c>
      <c r="H192" s="23">
        <f t="shared" ca="1" si="916"/>
        <v>0</v>
      </c>
      <c r="I192" s="23">
        <f t="shared" ca="1" si="916"/>
        <v>0</v>
      </c>
      <c r="J192" s="23">
        <f t="shared" ca="1" si="916"/>
        <v>0</v>
      </c>
      <c r="K192" s="23">
        <f t="shared" ca="1" si="916"/>
        <v>0</v>
      </c>
      <c r="L192" s="23">
        <f t="shared" ca="1" si="916"/>
        <v>0</v>
      </c>
      <c r="M192" s="23">
        <f t="shared" ca="1" si="916"/>
        <v>0</v>
      </c>
      <c r="N192" s="23">
        <f t="shared" ca="1" si="916"/>
        <v>0</v>
      </c>
      <c r="O192" s="23">
        <f t="shared" ca="1" si="916"/>
        <v>0</v>
      </c>
      <c r="P192" s="23">
        <f t="shared" ca="1" si="916"/>
        <v>0</v>
      </c>
      <c r="Q192" s="23">
        <f t="shared" ca="1" si="916"/>
        <v>0</v>
      </c>
      <c r="R192" s="23" t="str">
        <f t="shared" ca="1" si="916"/>
        <v/>
      </c>
      <c r="S192" s="23" t="str">
        <f t="shared" ca="1" si="916"/>
        <v/>
      </c>
      <c r="T192" s="23" t="str">
        <f t="shared" ca="1" si="916"/>
        <v/>
      </c>
      <c r="U192" s="23" t="str">
        <f t="shared" ca="1" si="916"/>
        <v/>
      </c>
      <c r="V192" s="23" t="str">
        <f t="shared" ca="1" si="916"/>
        <v/>
      </c>
      <c r="W192" s="23" t="str">
        <f t="shared" ca="1" si="916"/>
        <v/>
      </c>
      <c r="X192" s="23" t="str">
        <f t="shared" ca="1" si="916"/>
        <v/>
      </c>
      <c r="Y192" s="23" t="str">
        <f t="shared" ca="1" si="916"/>
        <v/>
      </c>
      <c r="Z192" s="23" t="str">
        <f t="shared" ca="1" si="916"/>
        <v/>
      </c>
      <c r="AA192" s="23" t="str">
        <f t="shared" ca="1" si="916"/>
        <v/>
      </c>
      <c r="AB192" s="23" t="str">
        <f t="shared" ca="1" si="916"/>
        <v/>
      </c>
      <c r="AC192" s="23" t="str">
        <f t="shared" ca="1" si="916"/>
        <v/>
      </c>
      <c r="AD192" s="23" t="str">
        <f t="shared" ca="1" si="916"/>
        <v/>
      </c>
      <c r="AE192" s="23" t="str">
        <f t="shared" ca="1" si="916"/>
        <v/>
      </c>
      <c r="AF192" s="23" t="str">
        <f t="shared" ca="1" si="916"/>
        <v/>
      </c>
      <c r="AG192" s="23" t="str">
        <f t="shared" ca="1" si="916"/>
        <v/>
      </c>
      <c r="AH192" s="23" t="str">
        <f t="shared" ca="1" si="916"/>
        <v/>
      </c>
      <c r="AI192" s="23" t="str">
        <f t="shared" ca="1" si="916"/>
        <v/>
      </c>
      <c r="AJ192" s="23" t="str">
        <f t="shared" ref="AJ192:BO192" ca="1" si="917">IF(AJ$11="","",IF(AJ$13=$M$5,CHOOSE($Q$6+1,$M$1,AK192+AL192-AM192),IF(AJ$13=$M$6,CHOOSE($Q$6+1,$M$1,OFFSET($A192,,$P$7-1)),IF(AJ$13=$M$7,CHOOSE($Q$6+1,$M$1,SUM(OFFSET($A$11,$B192-$O$5,$O$6,1,-$P$6))),IF(AJ$13=$M$8,CHOOSE($Q$6+1,$M$1,SUM(OFFSET($A$11,$B192-$O$5,$O$7,1,-$P$6))),IF(AJ$11&lt;$D$7,OFFSET(INDIRECT($D$3),$A192-1,$Q$3+AJ$11),OFFSET(INDIRECT($D$4),$A192-1,$Q$4+AJ$11)))))))</f>
        <v/>
      </c>
      <c r="AK192" s="23" t="str">
        <f t="shared" ca="1" si="917"/>
        <v/>
      </c>
      <c r="AL192" s="23" t="str">
        <f t="shared" ca="1" si="917"/>
        <v/>
      </c>
      <c r="AM192" s="23" t="str">
        <f t="shared" ca="1" si="917"/>
        <v/>
      </c>
      <c r="AN192" s="23" t="str">
        <f t="shared" ca="1" si="917"/>
        <v/>
      </c>
      <c r="AO192" s="23" t="str">
        <f t="shared" ca="1" si="917"/>
        <v/>
      </c>
      <c r="AP192" s="23" t="str">
        <f t="shared" ca="1" si="917"/>
        <v/>
      </c>
      <c r="AQ192" s="23" t="str">
        <f t="shared" ca="1" si="917"/>
        <v/>
      </c>
      <c r="AR192" s="23" t="str">
        <f t="shared" ca="1" si="917"/>
        <v/>
      </c>
      <c r="AS192" s="23" t="str">
        <f t="shared" ca="1" si="917"/>
        <v/>
      </c>
      <c r="AT192" s="23" t="str">
        <f t="shared" ca="1" si="917"/>
        <v/>
      </c>
      <c r="AU192" s="23" t="str">
        <f t="shared" ca="1" si="917"/>
        <v/>
      </c>
      <c r="AV192" s="23" t="str">
        <f t="shared" ca="1" si="917"/>
        <v/>
      </c>
      <c r="AW192" s="23" t="str">
        <f t="shared" ca="1" si="917"/>
        <v/>
      </c>
      <c r="AX192" s="23" t="str">
        <f t="shared" ca="1" si="917"/>
        <v/>
      </c>
      <c r="AY192" s="23" t="str">
        <f t="shared" ca="1" si="917"/>
        <v/>
      </c>
      <c r="AZ192" s="23" t="str">
        <f t="shared" ca="1" si="917"/>
        <v/>
      </c>
      <c r="BA192" s="23" t="str">
        <f t="shared" ca="1" si="917"/>
        <v/>
      </c>
      <c r="BB192" s="23" t="str">
        <f t="shared" ca="1" si="917"/>
        <v/>
      </c>
      <c r="BC192" s="23" t="str">
        <f t="shared" ca="1" si="917"/>
        <v/>
      </c>
      <c r="BD192" s="23" t="str">
        <f t="shared" ca="1" si="917"/>
        <v/>
      </c>
      <c r="BE192" s="23" t="str">
        <f t="shared" ca="1" si="917"/>
        <v/>
      </c>
      <c r="BF192" s="23" t="str">
        <f t="shared" ca="1" si="917"/>
        <v/>
      </c>
      <c r="BG192" s="23" t="str">
        <f t="shared" ca="1" si="917"/>
        <v/>
      </c>
      <c r="BH192" s="23" t="str">
        <f t="shared" ca="1" si="917"/>
        <v/>
      </c>
      <c r="BI192" s="23" t="str">
        <f t="shared" ca="1" si="917"/>
        <v/>
      </c>
      <c r="BJ192" s="23" t="str">
        <f t="shared" ca="1" si="917"/>
        <v/>
      </c>
      <c r="BK192" s="23" t="str">
        <f t="shared" ca="1" si="917"/>
        <v/>
      </c>
      <c r="BL192" s="23" t="str">
        <f t="shared" ca="1" si="917"/>
        <v/>
      </c>
      <c r="BM192" s="23" t="str">
        <f t="shared" ca="1" si="917"/>
        <v/>
      </c>
      <c r="BN192" s="23" t="str">
        <f t="shared" ca="1" si="917"/>
        <v/>
      </c>
      <c r="BO192" s="23" t="str">
        <f t="shared" ca="1" si="917"/>
        <v/>
      </c>
      <c r="BP192" s="23" t="str">
        <f t="shared" ref="BP192:CU192" ca="1" si="918">IF(BP$11="","",IF(BP$13=$M$5,CHOOSE($Q$6+1,$M$1,BQ192+BR192-BS192),IF(BP$13=$M$6,CHOOSE($Q$6+1,$M$1,OFFSET($A192,,$P$7-1)),IF(BP$13=$M$7,CHOOSE($Q$6+1,$M$1,SUM(OFFSET($A$11,$B192-$O$5,$O$6,1,-$P$6))),IF(BP$13=$M$8,CHOOSE($Q$6+1,$M$1,SUM(OFFSET($A$11,$B192-$O$5,$O$7,1,-$P$6))),IF(BP$11&lt;$D$7,OFFSET(INDIRECT($D$3),$A192-1,$Q$3+BP$11),OFFSET(INDIRECT($D$4),$A192-1,$Q$4+BP$11)))))))</f>
        <v/>
      </c>
      <c r="BQ192" s="23" t="str">
        <f t="shared" ca="1" si="918"/>
        <v/>
      </c>
      <c r="BR192" s="23" t="str">
        <f t="shared" ca="1" si="918"/>
        <v/>
      </c>
      <c r="BS192" s="23" t="str">
        <f t="shared" ca="1" si="918"/>
        <v/>
      </c>
      <c r="BT192" s="23" t="str">
        <f t="shared" ca="1" si="918"/>
        <v/>
      </c>
      <c r="BU192" s="23" t="str">
        <f t="shared" ca="1" si="918"/>
        <v/>
      </c>
      <c r="BV192" s="23" t="str">
        <f t="shared" ca="1" si="918"/>
        <v/>
      </c>
      <c r="BW192" s="23" t="str">
        <f t="shared" ca="1" si="918"/>
        <v/>
      </c>
      <c r="BX192" s="23" t="str">
        <f t="shared" ca="1" si="918"/>
        <v/>
      </c>
      <c r="BY192" s="23" t="str">
        <f t="shared" ca="1" si="918"/>
        <v/>
      </c>
      <c r="BZ192" s="23" t="str">
        <f t="shared" ca="1" si="918"/>
        <v/>
      </c>
      <c r="CA192" s="23" t="str">
        <f t="shared" ca="1" si="918"/>
        <v/>
      </c>
      <c r="CB192" s="23" t="str">
        <f t="shared" ca="1" si="918"/>
        <v/>
      </c>
      <c r="CC192" s="23" t="str">
        <f t="shared" ca="1" si="918"/>
        <v/>
      </c>
      <c r="CD192" s="23" t="str">
        <f t="shared" ca="1" si="918"/>
        <v/>
      </c>
      <c r="CE192" s="23" t="str">
        <f t="shared" ca="1" si="918"/>
        <v/>
      </c>
      <c r="CF192" s="23" t="str">
        <f t="shared" ca="1" si="918"/>
        <v/>
      </c>
      <c r="CG192" s="23" t="str">
        <f t="shared" ca="1" si="918"/>
        <v/>
      </c>
      <c r="CH192" s="23" t="str">
        <f t="shared" ca="1" si="918"/>
        <v/>
      </c>
      <c r="CI192" s="23" t="str">
        <f t="shared" ca="1" si="918"/>
        <v/>
      </c>
      <c r="CJ192" s="23" t="str">
        <f t="shared" ca="1" si="918"/>
        <v/>
      </c>
      <c r="CK192" s="23" t="str">
        <f t="shared" ca="1" si="918"/>
        <v/>
      </c>
      <c r="CL192" s="23" t="str">
        <f t="shared" ca="1" si="918"/>
        <v/>
      </c>
      <c r="CM192" s="23" t="str">
        <f t="shared" ca="1" si="918"/>
        <v/>
      </c>
      <c r="CN192" s="23" t="str">
        <f t="shared" ca="1" si="918"/>
        <v/>
      </c>
      <c r="CO192" s="23" t="str">
        <f t="shared" ca="1" si="918"/>
        <v/>
      </c>
      <c r="CP192" s="23" t="str">
        <f t="shared" ca="1" si="918"/>
        <v/>
      </c>
      <c r="CQ192" s="23" t="str">
        <f t="shared" ca="1" si="918"/>
        <v/>
      </c>
      <c r="CR192" s="23" t="str">
        <f t="shared" ca="1" si="918"/>
        <v/>
      </c>
      <c r="CS192" s="23" t="str">
        <f t="shared" ca="1" si="918"/>
        <v/>
      </c>
      <c r="CT192" s="23" t="str">
        <f t="shared" ca="1" si="918"/>
        <v/>
      </c>
      <c r="CU192" s="23" t="str">
        <f t="shared" ca="1" si="918"/>
        <v/>
      </c>
      <c r="CV192" s="23" t="str">
        <f t="shared" ref="CV192:CW192" ca="1" si="919">IF(CV$11="","",IF(CV$13=$M$5,CHOOSE($Q$6+1,$M$1,CW192+CX192-CY192),IF(CV$13=$M$6,CHOOSE($Q$6+1,$M$1,OFFSET($A192,,$P$7-1)),IF(CV$13=$M$7,CHOOSE($Q$6+1,$M$1,SUM(OFFSET($A$11,$B192-$O$5,$O$6,1,-$P$6))),IF(CV$13=$M$8,CHOOSE($Q$6+1,$M$1,SUM(OFFSET($A$11,$B192-$O$5,$O$7,1,-$P$6))),IF(CV$11&lt;$D$7,OFFSET(INDIRECT($D$3),$A192-1,$Q$3+CV$11),OFFSET(INDIRECT($D$4),$A192-1,$Q$4+CV$11)))))))</f>
        <v/>
      </c>
      <c r="CW192" s="23" t="str">
        <f t="shared" ca="1" si="919"/>
        <v/>
      </c>
      <c r="CX192" s="23" t="str">
        <f ca="1">IF(CX$11="","",IF(CX$13=$M$5,CHOOSE($Q$6+1,$M$1,CY192+CZ192-#REF!),IF(CX$13=$M$6,CHOOSE($Q$6+1,$M$1,OFFSET($A192,,$P$7-1)),IF(CX$13=$M$7,CHOOSE($Q$6+1,$M$1,SUM(OFFSET($A$11,$B192-$O$5,$O$6,1,-$P$6))),IF(CX$13=$M$8,CHOOSE($Q$6+1,$M$1,SUM(OFFSET($A$11,$B192-$O$5,$O$7,1,-$P$6))),IF(CX$11&lt;$D$7,OFFSET(INDIRECT($D$3),$A192-1,$Q$3+CX$11),OFFSET(INDIRECT($D$4),$A192-1,$Q$4+CX$11)))))))</f>
        <v/>
      </c>
      <c r="CY192" s="23" t="str">
        <f ca="1">IF(CY$11="","",IF(CY$13=$M$5,CHOOSE($Q$6+1,$M$1,CZ192+#REF!-#REF!),IF(CY$13=$M$6,CHOOSE($Q$6+1,$M$1,OFFSET($A192,,$P$7-1)),IF(CY$13=$M$7,CHOOSE($Q$6+1,$M$1,SUM(OFFSET($A$11,$B192-$O$5,$O$6,1,-$P$6))),IF(CY$13=$M$8,CHOOSE($Q$6+1,$M$1,SUM(OFFSET($A$11,$B192-$O$5,$O$7,1,-$P$6))),IF(CY$11&lt;$D$7,OFFSET(INDIRECT($D$3),$A192-1,$Q$3+CY$11),OFFSET(INDIRECT($D$4),$A192-1,$Q$4+CY$11)))))))</f>
        <v/>
      </c>
      <c r="CZ192" s="23" t="str">
        <f ca="1">IF(CZ$11="","",IF(CZ$13=$M$5,CHOOSE($Q$6+1,$M$1,#REF!+#REF!-#REF!),IF(CZ$13=$M$6,CHOOSE($Q$6+1,$M$1,OFFSET($A192,,$P$7-1)),IF(CZ$13=$M$7,CHOOSE($Q$6+1,$M$1,SUM(OFFSET($A$11,$B192-$O$5,$O$6,1,-$P$6))),IF(CZ$13=$M$8,CHOOSE($Q$6+1,$M$1,SUM(OFFSET($A$11,$B192-$O$5,$O$7,1,-$P$6))),IF(CZ$11&lt;$D$7,OFFSET(INDIRECT($D$3),$A192-1,$Q$3+CZ$11),OFFSET(INDIRECT($D$4),$A192-1,$Q$4+CZ$11)))))))</f>
        <v/>
      </c>
    </row>
    <row r="193" spans="1:104" ht="13.5" customHeight="1">
      <c r="A193" s="28">
        <v>173</v>
      </c>
      <c r="B193" s="33">
        <f t="shared" si="639"/>
        <v>193</v>
      </c>
      <c r="C193" s="9" t="s">
        <v>440</v>
      </c>
      <c r="D193" s="34">
        <f ca="1">IF(D$13="","",+D191+D192)</f>
        <v>37529</v>
      </c>
      <c r="E193" s="34">
        <f t="shared" ref="E193:BP193" ca="1" si="920">IF(E$13="","",+E191+E192)</f>
        <v>50856</v>
      </c>
      <c r="F193" s="34">
        <f t="shared" ca="1" si="920"/>
        <v>15992</v>
      </c>
      <c r="G193" s="34">
        <f t="shared" ca="1" si="920"/>
        <v>27100</v>
      </c>
      <c r="H193" s="34">
        <f t="shared" ca="1" si="920"/>
        <v>37529</v>
      </c>
      <c r="I193" s="34">
        <f t="shared" ca="1" si="920"/>
        <v>17554</v>
      </c>
      <c r="J193" s="34">
        <f t="shared" ca="1" si="920"/>
        <v>31531</v>
      </c>
      <c r="K193" s="34">
        <f t="shared" ca="1" si="920"/>
        <v>41720</v>
      </c>
      <c r="L193" s="34">
        <f t="shared" ca="1" si="920"/>
        <v>50856</v>
      </c>
      <c r="M193" s="34">
        <f t="shared" ca="1" si="920"/>
        <v>23426</v>
      </c>
      <c r="N193" s="34">
        <f t="shared" ca="1" si="920"/>
        <v>56728</v>
      </c>
      <c r="O193" s="34">
        <f t="shared" ca="1" si="920"/>
        <v>50856</v>
      </c>
      <c r="P193" s="34">
        <f t="shared" ca="1" si="920"/>
        <v>23426</v>
      </c>
      <c r="Q193" s="34">
        <f t="shared" ca="1" si="920"/>
        <v>17554</v>
      </c>
      <c r="R193" s="34" t="str">
        <f t="shared" ca="1" si="920"/>
        <v/>
      </c>
      <c r="S193" s="34" t="str">
        <f t="shared" ca="1" si="920"/>
        <v/>
      </c>
      <c r="T193" s="34" t="str">
        <f t="shared" ca="1" si="920"/>
        <v/>
      </c>
      <c r="U193" s="34" t="str">
        <f t="shared" ca="1" si="920"/>
        <v/>
      </c>
      <c r="V193" s="34" t="str">
        <f t="shared" ca="1" si="920"/>
        <v/>
      </c>
      <c r="W193" s="34" t="str">
        <f t="shared" ca="1" si="920"/>
        <v/>
      </c>
      <c r="X193" s="34" t="str">
        <f t="shared" ca="1" si="920"/>
        <v/>
      </c>
      <c r="Y193" s="34" t="str">
        <f t="shared" ca="1" si="920"/>
        <v/>
      </c>
      <c r="Z193" s="34" t="str">
        <f t="shared" ca="1" si="920"/>
        <v/>
      </c>
      <c r="AA193" s="34" t="str">
        <f t="shared" ca="1" si="920"/>
        <v/>
      </c>
      <c r="AB193" s="34" t="str">
        <f t="shared" ca="1" si="920"/>
        <v/>
      </c>
      <c r="AC193" s="34" t="str">
        <f t="shared" ca="1" si="920"/>
        <v/>
      </c>
      <c r="AD193" s="34" t="str">
        <f t="shared" ca="1" si="920"/>
        <v/>
      </c>
      <c r="AE193" s="34" t="str">
        <f t="shared" ca="1" si="920"/>
        <v/>
      </c>
      <c r="AF193" s="34" t="str">
        <f t="shared" ca="1" si="920"/>
        <v/>
      </c>
      <c r="AG193" s="17" t="str">
        <f t="shared" ca="1" si="920"/>
        <v/>
      </c>
      <c r="AH193" s="17" t="str">
        <f t="shared" ca="1" si="920"/>
        <v/>
      </c>
      <c r="AI193" s="17" t="str">
        <f t="shared" ca="1" si="920"/>
        <v/>
      </c>
      <c r="AJ193" s="17" t="str">
        <f t="shared" ca="1" si="920"/>
        <v/>
      </c>
      <c r="AK193" s="17" t="str">
        <f t="shared" ca="1" si="920"/>
        <v/>
      </c>
      <c r="AL193" s="17" t="str">
        <f t="shared" ca="1" si="920"/>
        <v/>
      </c>
      <c r="AM193" s="17" t="str">
        <f t="shared" ca="1" si="920"/>
        <v/>
      </c>
      <c r="AN193" s="17" t="str">
        <f t="shared" ca="1" si="920"/>
        <v/>
      </c>
      <c r="AO193" s="17" t="str">
        <f t="shared" ca="1" si="920"/>
        <v/>
      </c>
      <c r="AP193" s="17" t="str">
        <f t="shared" ca="1" si="920"/>
        <v/>
      </c>
      <c r="AQ193" s="17" t="str">
        <f t="shared" ca="1" si="920"/>
        <v/>
      </c>
      <c r="AR193" s="17" t="str">
        <f t="shared" ca="1" si="920"/>
        <v/>
      </c>
      <c r="AS193" s="17" t="str">
        <f t="shared" ca="1" si="920"/>
        <v/>
      </c>
      <c r="AT193" s="17" t="str">
        <f t="shared" ca="1" si="920"/>
        <v/>
      </c>
      <c r="AU193" s="17" t="str">
        <f t="shared" ca="1" si="920"/>
        <v/>
      </c>
      <c r="AV193" s="17" t="str">
        <f t="shared" ca="1" si="920"/>
        <v/>
      </c>
      <c r="AW193" s="17" t="str">
        <f t="shared" ca="1" si="920"/>
        <v/>
      </c>
      <c r="AX193" s="17" t="str">
        <f t="shared" ca="1" si="920"/>
        <v/>
      </c>
      <c r="AY193" s="17" t="str">
        <f t="shared" ca="1" si="920"/>
        <v/>
      </c>
      <c r="AZ193" s="17" t="str">
        <f t="shared" ca="1" si="920"/>
        <v/>
      </c>
      <c r="BA193" s="17" t="str">
        <f t="shared" ca="1" si="920"/>
        <v/>
      </c>
      <c r="BB193" s="17" t="str">
        <f t="shared" ca="1" si="920"/>
        <v/>
      </c>
      <c r="BC193" s="17" t="str">
        <f t="shared" ca="1" si="920"/>
        <v/>
      </c>
      <c r="BD193" s="17" t="str">
        <f t="shared" ca="1" si="920"/>
        <v/>
      </c>
      <c r="BE193" s="17" t="str">
        <f t="shared" ca="1" si="920"/>
        <v/>
      </c>
      <c r="BF193" s="17" t="str">
        <f t="shared" ca="1" si="920"/>
        <v/>
      </c>
      <c r="BG193" s="17" t="str">
        <f t="shared" ca="1" si="920"/>
        <v/>
      </c>
      <c r="BH193" s="17" t="str">
        <f t="shared" ca="1" si="920"/>
        <v/>
      </c>
      <c r="BI193" s="17" t="str">
        <f t="shared" ca="1" si="920"/>
        <v/>
      </c>
      <c r="BJ193" s="17" t="str">
        <f t="shared" ca="1" si="920"/>
        <v/>
      </c>
      <c r="BK193" s="17" t="str">
        <f t="shared" ca="1" si="920"/>
        <v/>
      </c>
      <c r="BL193" s="17" t="str">
        <f t="shared" ca="1" si="920"/>
        <v/>
      </c>
      <c r="BM193" s="17" t="str">
        <f t="shared" ca="1" si="920"/>
        <v/>
      </c>
      <c r="BN193" s="17" t="str">
        <f t="shared" ca="1" si="920"/>
        <v/>
      </c>
      <c r="BO193" s="17" t="str">
        <f t="shared" ca="1" si="920"/>
        <v/>
      </c>
      <c r="BP193" s="17" t="str">
        <f t="shared" ca="1" si="920"/>
        <v/>
      </c>
      <c r="BQ193" s="17" t="str">
        <f t="shared" ref="BQ193:CZ193" ca="1" si="921">IF(BQ$13="","",+BQ191+BQ192)</f>
        <v/>
      </c>
      <c r="BR193" s="17" t="str">
        <f t="shared" ca="1" si="921"/>
        <v/>
      </c>
      <c r="BS193" s="17" t="str">
        <f t="shared" ca="1" si="921"/>
        <v/>
      </c>
      <c r="BT193" s="17" t="str">
        <f t="shared" ca="1" si="921"/>
        <v/>
      </c>
      <c r="BU193" s="17" t="str">
        <f t="shared" ca="1" si="921"/>
        <v/>
      </c>
      <c r="BV193" s="17" t="str">
        <f t="shared" ca="1" si="921"/>
        <v/>
      </c>
      <c r="BW193" s="17" t="str">
        <f t="shared" ca="1" si="921"/>
        <v/>
      </c>
      <c r="BX193" s="17" t="str">
        <f t="shared" ca="1" si="921"/>
        <v/>
      </c>
      <c r="BY193" s="17" t="str">
        <f t="shared" ca="1" si="921"/>
        <v/>
      </c>
      <c r="BZ193" s="17" t="str">
        <f t="shared" ca="1" si="921"/>
        <v/>
      </c>
      <c r="CA193" s="17" t="str">
        <f t="shared" ca="1" si="921"/>
        <v/>
      </c>
      <c r="CB193" s="17" t="str">
        <f t="shared" ca="1" si="921"/>
        <v/>
      </c>
      <c r="CC193" s="17" t="str">
        <f t="shared" ca="1" si="921"/>
        <v/>
      </c>
      <c r="CD193" s="17" t="str">
        <f t="shared" ca="1" si="921"/>
        <v/>
      </c>
      <c r="CE193" s="17" t="str">
        <f t="shared" ca="1" si="921"/>
        <v/>
      </c>
      <c r="CF193" s="17" t="str">
        <f t="shared" ca="1" si="921"/>
        <v/>
      </c>
      <c r="CG193" s="17" t="str">
        <f t="shared" ca="1" si="921"/>
        <v/>
      </c>
      <c r="CH193" s="17" t="str">
        <f t="shared" ca="1" si="921"/>
        <v/>
      </c>
      <c r="CI193" s="17" t="str">
        <f t="shared" ca="1" si="921"/>
        <v/>
      </c>
      <c r="CJ193" s="17" t="str">
        <f t="shared" ca="1" si="921"/>
        <v/>
      </c>
      <c r="CK193" s="17" t="str">
        <f t="shared" ca="1" si="921"/>
        <v/>
      </c>
      <c r="CL193" s="17" t="str">
        <f t="shared" ca="1" si="921"/>
        <v/>
      </c>
      <c r="CM193" s="17" t="str">
        <f t="shared" ca="1" si="921"/>
        <v/>
      </c>
      <c r="CN193" s="17" t="str">
        <f t="shared" ca="1" si="921"/>
        <v/>
      </c>
      <c r="CO193" s="17" t="str">
        <f t="shared" ca="1" si="921"/>
        <v/>
      </c>
      <c r="CP193" s="17" t="str">
        <f t="shared" ca="1" si="921"/>
        <v/>
      </c>
      <c r="CQ193" s="17" t="str">
        <f t="shared" ca="1" si="921"/>
        <v/>
      </c>
      <c r="CR193" s="17" t="str">
        <f t="shared" ca="1" si="921"/>
        <v/>
      </c>
      <c r="CS193" s="17" t="str">
        <f t="shared" ca="1" si="921"/>
        <v/>
      </c>
      <c r="CT193" s="17" t="str">
        <f t="shared" ca="1" si="921"/>
        <v/>
      </c>
      <c r="CU193" s="17" t="str">
        <f t="shared" ca="1" si="921"/>
        <v/>
      </c>
      <c r="CV193" s="17" t="str">
        <f t="shared" ca="1" si="921"/>
        <v/>
      </c>
      <c r="CW193" s="17" t="str">
        <f t="shared" ca="1" si="921"/>
        <v/>
      </c>
      <c r="CX193" s="17" t="str">
        <f t="shared" ca="1" si="921"/>
        <v/>
      </c>
      <c r="CY193" s="17" t="str">
        <f t="shared" ca="1" si="921"/>
        <v/>
      </c>
      <c r="CZ193" s="17" t="str">
        <f t="shared" ca="1" si="921"/>
        <v/>
      </c>
    </row>
    <row r="194" spans="1:104" ht="13.5" customHeight="1">
      <c r="A194" s="27">
        <v>174</v>
      </c>
      <c r="B194" s="33">
        <f t="shared" si="639"/>
        <v>194</v>
      </c>
      <c r="C194" s="8" t="s">
        <v>441</v>
      </c>
      <c r="D194" s="23">
        <f t="shared" ref="D194:D202" ca="1" si="922">IF(D$11="","",IF(D$13=$M$5,CHOOSE($Q$6+1,$M$1,E194+F194-G194),IF(D$13=$M$6,CHOOSE($Q$6+1,$M$1,OFFSET($A194,,$P$7-1)),IF(D$13=$M$7,CHOOSE($Q$6+1,$M$1,SUM(OFFSET($A$11,$B194-$O$5,$O$6,1,-$P$6))),IF(D$13=$M$8,CHOOSE($Q$6+1,$M$1,SUM(OFFSET($A$11,$B194-$O$5,$O$7,1,-$P$6))),IF(D$11&lt;$D$7,OFFSET(INDIRECT($D$3),$A194-1,$Q$3+D$11),OFFSET(INDIRECT($D$4),$A194-1,$Q$4+D$11)))))))</f>
        <v>0</v>
      </c>
      <c r="E194" s="23">
        <f t="shared" ref="E194:E202" ca="1" si="923">IF(E$11="","",IF(E$13=$M$5,CHOOSE($Q$6+1,$M$1,F194+G194-H194),IF(E$13=$M$6,CHOOSE($Q$6+1,$M$1,OFFSET($A194,,$P$7-1)),IF(E$13=$M$7,CHOOSE($Q$6+1,$M$1,SUM(OFFSET($A$11,$B194-$O$5,$O$6,1,-$P$6))),IF(E$13=$M$8,CHOOSE($Q$6+1,$M$1,SUM(OFFSET($A$11,$B194-$O$5,$O$7,1,-$P$6))),IF(E$11&lt;$D$7,OFFSET(INDIRECT($D$3),$A194-1,$Q$3+E$11),OFFSET(INDIRECT($D$4),$A194-1,$Q$4+E$11)))))))</f>
        <v>0</v>
      </c>
      <c r="F194" s="23">
        <f t="shared" ref="F194:F202" ca="1" si="924">IF(F$11="","",IF(F$13=$M$5,CHOOSE($Q$6+1,$M$1,G194+H194-I194),IF(F$13=$M$6,CHOOSE($Q$6+1,$M$1,OFFSET($A194,,$P$7-1)),IF(F$13=$M$7,CHOOSE($Q$6+1,$M$1,SUM(OFFSET($A$11,$B194-$O$5,$O$6,1,-$P$6))),IF(F$13=$M$8,CHOOSE($Q$6+1,$M$1,SUM(OFFSET($A$11,$B194-$O$5,$O$7,1,-$P$6))),IF(F$11&lt;$D$7,OFFSET(INDIRECT($D$3),$A194-1,$Q$3+F$11),OFFSET(INDIRECT($D$4),$A194-1,$Q$4+F$11)))))))</f>
        <v>0</v>
      </c>
      <c r="G194" s="23">
        <f t="shared" ref="G194:G202" ca="1" si="925">IF(G$11="","",IF(G$13=$M$5,CHOOSE($Q$6+1,$M$1,H194+I194-J194),IF(G$13=$M$6,CHOOSE($Q$6+1,$M$1,OFFSET($A194,,$P$7-1)),IF(G$13=$M$7,CHOOSE($Q$6+1,$M$1,SUM(OFFSET($A$11,$B194-$O$5,$O$6,1,-$P$6))),IF(G$13=$M$8,CHOOSE($Q$6+1,$M$1,SUM(OFFSET($A$11,$B194-$O$5,$O$7,1,-$P$6))),IF(G$11&lt;$D$7,OFFSET(INDIRECT($D$3),$A194-1,$Q$3+G$11),OFFSET(INDIRECT($D$4),$A194-1,$Q$4+G$11)))))))</f>
        <v>0</v>
      </c>
      <c r="H194" s="23">
        <f t="shared" ref="H194:H202" ca="1" si="926">IF(H$11="","",IF(H$13=$M$5,CHOOSE($Q$6+1,$M$1,I194+J194-K194),IF(H$13=$M$6,CHOOSE($Q$6+1,$M$1,OFFSET($A194,,$P$7-1)),IF(H$13=$M$7,CHOOSE($Q$6+1,$M$1,SUM(OFFSET($A$11,$B194-$O$5,$O$6,1,-$P$6))),IF(H$13=$M$8,CHOOSE($Q$6+1,$M$1,SUM(OFFSET($A$11,$B194-$O$5,$O$7,1,-$P$6))),IF(H$11&lt;$D$7,OFFSET(INDIRECT($D$3),$A194-1,$Q$3+H$11),OFFSET(INDIRECT($D$4),$A194-1,$Q$4+H$11)))))))</f>
        <v>0</v>
      </c>
      <c r="I194" s="23">
        <f t="shared" ref="I194:I202" ca="1" si="927">IF(I$11="","",IF(I$13=$M$5,CHOOSE($Q$6+1,$M$1,J194+K194-L194),IF(I$13=$M$6,CHOOSE($Q$6+1,$M$1,OFFSET($A194,,$P$7-1)),IF(I$13=$M$7,CHOOSE($Q$6+1,$M$1,SUM(OFFSET($A$11,$B194-$O$5,$O$6,1,-$P$6))),IF(I$13=$M$8,CHOOSE($Q$6+1,$M$1,SUM(OFFSET($A$11,$B194-$O$5,$O$7,1,-$P$6))),IF(I$11&lt;$D$7,OFFSET(INDIRECT($D$3),$A194-1,$Q$3+I$11),OFFSET(INDIRECT($D$4),$A194-1,$Q$4+I$11)))))))</f>
        <v>0</v>
      </c>
      <c r="J194" s="23">
        <f t="shared" ref="J194:J202" ca="1" si="928">IF(J$11="","",IF(J$13=$M$5,CHOOSE($Q$6+1,$M$1,K194+L194-M194),IF(J$13=$M$6,CHOOSE($Q$6+1,$M$1,OFFSET($A194,,$P$7-1)),IF(J$13=$M$7,CHOOSE($Q$6+1,$M$1,SUM(OFFSET($A$11,$B194-$O$5,$O$6,1,-$P$6))),IF(J$13=$M$8,CHOOSE($Q$6+1,$M$1,SUM(OFFSET($A$11,$B194-$O$5,$O$7,1,-$P$6))),IF(J$11&lt;$D$7,OFFSET(INDIRECT($D$3),$A194-1,$Q$3+J$11),OFFSET(INDIRECT($D$4),$A194-1,$Q$4+J$11)))))))</f>
        <v>0</v>
      </c>
      <c r="K194" s="23">
        <f t="shared" ref="K194:K202" ca="1" si="929">IF(K$11="","",IF(K$13=$M$5,CHOOSE($Q$6+1,$M$1,L194+M194-N194),IF(K$13=$M$6,CHOOSE($Q$6+1,$M$1,OFFSET($A194,,$P$7-1)),IF(K$13=$M$7,CHOOSE($Q$6+1,$M$1,SUM(OFFSET($A$11,$B194-$O$5,$O$6,1,-$P$6))),IF(K$13=$M$8,CHOOSE($Q$6+1,$M$1,SUM(OFFSET($A$11,$B194-$O$5,$O$7,1,-$P$6))),IF(K$11&lt;$D$7,OFFSET(INDIRECT($D$3),$A194-1,$Q$3+K$11),OFFSET(INDIRECT($D$4),$A194-1,$Q$4+K$11)))))))</f>
        <v>0</v>
      </c>
      <c r="L194" s="23">
        <f t="shared" ref="L194:L202" ca="1" si="930">IF(L$11="","",IF(L$13=$M$5,CHOOSE($Q$6+1,$M$1,M194+N194-O194),IF(L$13=$M$6,CHOOSE($Q$6+1,$M$1,OFFSET($A194,,$P$7-1)),IF(L$13=$M$7,CHOOSE($Q$6+1,$M$1,SUM(OFFSET($A$11,$B194-$O$5,$O$6,1,-$P$6))),IF(L$13=$M$8,CHOOSE($Q$6+1,$M$1,SUM(OFFSET($A$11,$B194-$O$5,$O$7,1,-$P$6))),IF(L$11&lt;$D$7,OFFSET(INDIRECT($D$3),$A194-1,$Q$3+L$11),OFFSET(INDIRECT($D$4),$A194-1,$Q$4+L$11)))))))</f>
        <v>0</v>
      </c>
      <c r="M194" s="23">
        <f t="shared" ref="M194:M202" ca="1" si="931">IF(M$11="","",IF(M$13=$M$5,CHOOSE($Q$6+1,$M$1,N194+O194-P194),IF(M$13=$M$6,CHOOSE($Q$6+1,$M$1,OFFSET($A194,,$P$7-1)),IF(M$13=$M$7,CHOOSE($Q$6+1,$M$1,SUM(OFFSET($A$11,$B194-$O$5,$O$6,1,-$P$6))),IF(M$13=$M$8,CHOOSE($Q$6+1,$M$1,SUM(OFFSET($A$11,$B194-$O$5,$O$7,1,-$P$6))),IF(M$11&lt;$D$7,OFFSET(INDIRECT($D$3),$A194-1,$Q$3+M$11),OFFSET(INDIRECT($D$4),$A194-1,$Q$4+M$11)))))))</f>
        <v>0</v>
      </c>
      <c r="N194" s="23">
        <f t="shared" ref="N194:N202" ca="1" si="932">IF(N$11="","",IF(N$13=$M$5,CHOOSE($Q$6+1,$M$1,O194+P194-Q194),IF(N$13=$M$6,CHOOSE($Q$6+1,$M$1,OFFSET($A194,,$P$7-1)),IF(N$13=$M$7,CHOOSE($Q$6+1,$M$1,SUM(OFFSET($A$11,$B194-$O$5,$O$6,1,-$P$6))),IF(N$13=$M$8,CHOOSE($Q$6+1,$M$1,SUM(OFFSET($A$11,$B194-$O$5,$O$7,1,-$P$6))),IF(N$11&lt;$D$7,OFFSET(INDIRECT($D$3),$A194-1,$Q$3+N$11),OFFSET(INDIRECT($D$4),$A194-1,$Q$4+N$11)))))))</f>
        <v>0</v>
      </c>
      <c r="O194" s="23">
        <f t="shared" ref="O194:O202" ca="1" si="933">IF(O$11="","",IF(O$13=$M$5,CHOOSE($Q$6+1,$M$1,P194+Q194-R194),IF(O$13=$M$6,CHOOSE($Q$6+1,$M$1,OFFSET($A194,,$P$7-1)),IF(O$13=$M$7,CHOOSE($Q$6+1,$M$1,SUM(OFFSET($A$11,$B194-$O$5,$O$6,1,-$P$6))),IF(O$13=$M$8,CHOOSE($Q$6+1,$M$1,SUM(OFFSET($A$11,$B194-$O$5,$O$7,1,-$P$6))),IF(O$11&lt;$D$7,OFFSET(INDIRECT($D$3),$A194-1,$Q$3+O$11),OFFSET(INDIRECT($D$4),$A194-1,$Q$4+O$11)))))))</f>
        <v>0</v>
      </c>
      <c r="P194" s="23">
        <f t="shared" ref="P194:P202" ca="1" si="934">IF(P$11="","",IF(P$13=$M$5,CHOOSE($Q$6+1,$M$1,Q194+R194-S194),IF(P$13=$M$6,CHOOSE($Q$6+1,$M$1,OFFSET($A194,,$P$7-1)),IF(P$13=$M$7,CHOOSE($Q$6+1,$M$1,SUM(OFFSET($A$11,$B194-$O$5,$O$6,1,-$P$6))),IF(P$13=$M$8,CHOOSE($Q$6+1,$M$1,SUM(OFFSET($A$11,$B194-$O$5,$O$7,1,-$P$6))),IF(P$11&lt;$D$7,OFFSET(INDIRECT($D$3),$A194-1,$Q$3+P$11),OFFSET(INDIRECT($D$4),$A194-1,$Q$4+P$11)))))))</f>
        <v>0</v>
      </c>
      <c r="Q194" s="23">
        <f t="shared" ref="Q194:Q202" ca="1" si="935">IF(Q$11="","",IF(Q$13=$M$5,CHOOSE($Q$6+1,$M$1,R194+S194-T194),IF(Q$13=$M$6,CHOOSE($Q$6+1,$M$1,OFFSET($A194,,$P$7-1)),IF(Q$13=$M$7,CHOOSE($Q$6+1,$M$1,SUM(OFFSET($A$11,$B194-$O$5,$O$6,1,-$P$6))),IF(Q$13=$M$8,CHOOSE($Q$6+1,$M$1,SUM(OFFSET($A$11,$B194-$O$5,$O$7,1,-$P$6))),IF(Q$11&lt;$D$7,OFFSET(INDIRECT($D$3),$A194-1,$Q$3+Q$11),OFFSET(INDIRECT($D$4),$A194-1,$Q$4+Q$11)))))))</f>
        <v>0</v>
      </c>
      <c r="R194" s="23" t="str">
        <f t="shared" ref="R194:R202" ca="1" si="936">IF(R$11="","",IF(R$13=$M$5,CHOOSE($Q$6+1,$M$1,S194+T194-U194),IF(R$13=$M$6,CHOOSE($Q$6+1,$M$1,OFFSET($A194,,$P$7-1)),IF(R$13=$M$7,CHOOSE($Q$6+1,$M$1,SUM(OFFSET($A$11,$B194-$O$5,$O$6,1,-$P$6))),IF(R$13=$M$8,CHOOSE($Q$6+1,$M$1,SUM(OFFSET($A$11,$B194-$O$5,$O$7,1,-$P$6))),IF(R$11&lt;$D$7,OFFSET(INDIRECT($D$3),$A194-1,$Q$3+R$11),OFFSET(INDIRECT($D$4),$A194-1,$Q$4+R$11)))))))</f>
        <v/>
      </c>
      <c r="S194" s="23" t="str">
        <f t="shared" ref="S194:S202" ca="1" si="937">IF(S$11="","",IF(S$13=$M$5,CHOOSE($Q$6+1,$M$1,T194+U194-V194),IF(S$13=$M$6,CHOOSE($Q$6+1,$M$1,OFFSET($A194,,$P$7-1)),IF(S$13=$M$7,CHOOSE($Q$6+1,$M$1,SUM(OFFSET($A$11,$B194-$O$5,$O$6,1,-$P$6))),IF(S$13=$M$8,CHOOSE($Q$6+1,$M$1,SUM(OFFSET($A$11,$B194-$O$5,$O$7,1,-$P$6))),IF(S$11&lt;$D$7,OFFSET(INDIRECT($D$3),$A194-1,$Q$3+S$11),OFFSET(INDIRECT($D$4),$A194-1,$Q$4+S$11)))))))</f>
        <v/>
      </c>
      <c r="T194" s="23" t="str">
        <f t="shared" ref="T194:T202" ca="1" si="938">IF(T$11="","",IF(T$13=$M$5,CHOOSE($Q$6+1,$M$1,U194+V194-W194),IF(T$13=$M$6,CHOOSE($Q$6+1,$M$1,OFFSET($A194,,$P$7-1)),IF(T$13=$M$7,CHOOSE($Q$6+1,$M$1,SUM(OFFSET($A$11,$B194-$O$5,$O$6,1,-$P$6))),IF(T$13=$M$8,CHOOSE($Q$6+1,$M$1,SUM(OFFSET($A$11,$B194-$O$5,$O$7,1,-$P$6))),IF(T$11&lt;$D$7,OFFSET(INDIRECT($D$3),$A194-1,$Q$3+T$11),OFFSET(INDIRECT($D$4),$A194-1,$Q$4+T$11)))))))</f>
        <v/>
      </c>
      <c r="U194" s="23" t="str">
        <f t="shared" ref="U194:U202" ca="1" si="939">IF(U$11="","",IF(U$13=$M$5,CHOOSE($Q$6+1,$M$1,V194+W194-X194),IF(U$13=$M$6,CHOOSE($Q$6+1,$M$1,OFFSET($A194,,$P$7-1)),IF(U$13=$M$7,CHOOSE($Q$6+1,$M$1,SUM(OFFSET($A$11,$B194-$O$5,$O$6,1,-$P$6))),IF(U$13=$M$8,CHOOSE($Q$6+1,$M$1,SUM(OFFSET($A$11,$B194-$O$5,$O$7,1,-$P$6))),IF(U$11&lt;$D$7,OFFSET(INDIRECT($D$3),$A194-1,$Q$3+U$11),OFFSET(INDIRECT($D$4),$A194-1,$Q$4+U$11)))))))</f>
        <v/>
      </c>
      <c r="V194" s="23" t="str">
        <f t="shared" ref="V194:V202" ca="1" si="940">IF(V$11="","",IF(V$13=$M$5,CHOOSE($Q$6+1,$M$1,W194+X194-Y194),IF(V$13=$M$6,CHOOSE($Q$6+1,$M$1,OFFSET($A194,,$P$7-1)),IF(V$13=$M$7,CHOOSE($Q$6+1,$M$1,SUM(OFFSET($A$11,$B194-$O$5,$O$6,1,-$P$6))),IF(V$13=$M$8,CHOOSE($Q$6+1,$M$1,SUM(OFFSET($A$11,$B194-$O$5,$O$7,1,-$P$6))),IF(V$11&lt;$D$7,OFFSET(INDIRECT($D$3),$A194-1,$Q$3+V$11),OFFSET(INDIRECT($D$4),$A194-1,$Q$4+V$11)))))))</f>
        <v/>
      </c>
      <c r="W194" s="23" t="str">
        <f t="shared" ref="W194:W202" ca="1" si="941">IF(W$11="","",IF(W$13=$M$5,CHOOSE($Q$6+1,$M$1,X194+Y194-Z194),IF(W$13=$M$6,CHOOSE($Q$6+1,$M$1,OFFSET($A194,,$P$7-1)),IF(W$13=$M$7,CHOOSE($Q$6+1,$M$1,SUM(OFFSET($A$11,$B194-$O$5,$O$6,1,-$P$6))),IF(W$13=$M$8,CHOOSE($Q$6+1,$M$1,SUM(OFFSET($A$11,$B194-$O$5,$O$7,1,-$P$6))),IF(W$11&lt;$D$7,OFFSET(INDIRECT($D$3),$A194-1,$Q$3+W$11),OFFSET(INDIRECT($D$4),$A194-1,$Q$4+W$11)))))))</f>
        <v/>
      </c>
      <c r="X194" s="23" t="str">
        <f t="shared" ref="X194:X202" ca="1" si="942">IF(X$11="","",IF(X$13=$M$5,CHOOSE($Q$6+1,$M$1,Y194+Z194-AA194),IF(X$13=$M$6,CHOOSE($Q$6+1,$M$1,OFFSET($A194,,$P$7-1)),IF(X$13=$M$7,CHOOSE($Q$6+1,$M$1,SUM(OFFSET($A$11,$B194-$O$5,$O$6,1,-$P$6))),IF(X$13=$M$8,CHOOSE($Q$6+1,$M$1,SUM(OFFSET($A$11,$B194-$O$5,$O$7,1,-$P$6))),IF(X$11&lt;$D$7,OFFSET(INDIRECT($D$3),$A194-1,$Q$3+X$11),OFFSET(INDIRECT($D$4),$A194-1,$Q$4+X$11)))))))</f>
        <v/>
      </c>
      <c r="Y194" s="23" t="str">
        <f t="shared" ref="Y194:Y202" ca="1" si="943">IF(Y$11="","",IF(Y$13=$M$5,CHOOSE($Q$6+1,$M$1,Z194+AA194-AB194),IF(Y$13=$M$6,CHOOSE($Q$6+1,$M$1,OFFSET($A194,,$P$7-1)),IF(Y$13=$M$7,CHOOSE($Q$6+1,$M$1,SUM(OFFSET($A$11,$B194-$O$5,$O$6,1,-$P$6))),IF(Y$13=$M$8,CHOOSE($Q$6+1,$M$1,SUM(OFFSET($A$11,$B194-$O$5,$O$7,1,-$P$6))),IF(Y$11&lt;$D$7,OFFSET(INDIRECT($D$3),$A194-1,$Q$3+Y$11),OFFSET(INDIRECT($D$4),$A194-1,$Q$4+Y$11)))))))</f>
        <v/>
      </c>
      <c r="Z194" s="23" t="str">
        <f t="shared" ref="Z194:Z202" ca="1" si="944">IF(Z$11="","",IF(Z$13=$M$5,CHOOSE($Q$6+1,$M$1,AA194+AB194-AC194),IF(Z$13=$M$6,CHOOSE($Q$6+1,$M$1,OFFSET($A194,,$P$7-1)),IF(Z$13=$M$7,CHOOSE($Q$6+1,$M$1,SUM(OFFSET($A$11,$B194-$O$5,$O$6,1,-$P$6))),IF(Z$13=$M$8,CHOOSE($Q$6+1,$M$1,SUM(OFFSET($A$11,$B194-$O$5,$O$7,1,-$P$6))),IF(Z$11&lt;$D$7,OFFSET(INDIRECT($D$3),$A194-1,$Q$3+Z$11),OFFSET(INDIRECT($D$4),$A194-1,$Q$4+Z$11)))))))</f>
        <v/>
      </c>
      <c r="AA194" s="23" t="str">
        <f t="shared" ref="AA194:AA202" ca="1" si="945">IF(AA$11="","",IF(AA$13=$M$5,CHOOSE($Q$6+1,$M$1,AB194+AC194-AD194),IF(AA$13=$M$6,CHOOSE($Q$6+1,$M$1,OFFSET($A194,,$P$7-1)),IF(AA$13=$M$7,CHOOSE($Q$6+1,$M$1,SUM(OFFSET($A$11,$B194-$O$5,$O$6,1,-$P$6))),IF(AA$13=$M$8,CHOOSE($Q$6+1,$M$1,SUM(OFFSET($A$11,$B194-$O$5,$O$7,1,-$P$6))),IF(AA$11&lt;$D$7,OFFSET(INDIRECT($D$3),$A194-1,$Q$3+AA$11),OFFSET(INDIRECT($D$4),$A194-1,$Q$4+AA$11)))))))</f>
        <v/>
      </c>
      <c r="AB194" s="23" t="str">
        <f t="shared" ref="AB194:AB202" ca="1" si="946">IF(AB$11="","",IF(AB$13=$M$5,CHOOSE($Q$6+1,$M$1,AC194+AD194-AE194),IF(AB$13=$M$6,CHOOSE($Q$6+1,$M$1,OFFSET($A194,,$P$7-1)),IF(AB$13=$M$7,CHOOSE($Q$6+1,$M$1,SUM(OFFSET($A$11,$B194-$O$5,$O$6,1,-$P$6))),IF(AB$13=$M$8,CHOOSE($Q$6+1,$M$1,SUM(OFFSET($A$11,$B194-$O$5,$O$7,1,-$P$6))),IF(AB$11&lt;$D$7,OFFSET(INDIRECT($D$3),$A194-1,$Q$3+AB$11),OFFSET(INDIRECT($D$4),$A194-1,$Q$4+AB$11)))))))</f>
        <v/>
      </c>
      <c r="AC194" s="23" t="str">
        <f t="shared" ref="AC194:AC202" ca="1" si="947">IF(AC$11="","",IF(AC$13=$M$5,CHOOSE($Q$6+1,$M$1,AD194+AE194-AF194),IF(AC$13=$M$6,CHOOSE($Q$6+1,$M$1,OFFSET($A194,,$P$7-1)),IF(AC$13=$M$7,CHOOSE($Q$6+1,$M$1,SUM(OFFSET($A$11,$B194-$O$5,$O$6,1,-$P$6))),IF(AC$13=$M$8,CHOOSE($Q$6+1,$M$1,SUM(OFFSET($A$11,$B194-$O$5,$O$7,1,-$P$6))),IF(AC$11&lt;$D$7,OFFSET(INDIRECT($D$3),$A194-1,$Q$3+AC$11),OFFSET(INDIRECT($D$4),$A194-1,$Q$4+AC$11)))))))</f>
        <v/>
      </c>
      <c r="AD194" s="23" t="str">
        <f t="shared" ref="AD194:AD202" ca="1" si="948">IF(AD$11="","",IF(AD$13=$M$5,CHOOSE($Q$6+1,$M$1,AE194+AF194-AG194),IF(AD$13=$M$6,CHOOSE($Q$6+1,$M$1,OFFSET($A194,,$P$7-1)),IF(AD$13=$M$7,CHOOSE($Q$6+1,$M$1,SUM(OFFSET($A$11,$B194-$O$5,$O$6,1,-$P$6))),IF(AD$13=$M$8,CHOOSE($Q$6+1,$M$1,SUM(OFFSET($A$11,$B194-$O$5,$O$7,1,-$P$6))),IF(AD$11&lt;$D$7,OFFSET(INDIRECT($D$3),$A194-1,$Q$3+AD$11),OFFSET(INDIRECT($D$4),$A194-1,$Q$4+AD$11)))))))</f>
        <v/>
      </c>
      <c r="AE194" s="23" t="str">
        <f t="shared" ref="AE194:AE202" ca="1" si="949">IF(AE$11="","",IF(AE$13=$M$5,CHOOSE($Q$6+1,$M$1,AF194+AG194-AH194),IF(AE$13=$M$6,CHOOSE($Q$6+1,$M$1,OFFSET($A194,,$P$7-1)),IF(AE$13=$M$7,CHOOSE($Q$6+1,$M$1,SUM(OFFSET($A$11,$B194-$O$5,$O$6,1,-$P$6))),IF(AE$13=$M$8,CHOOSE($Q$6+1,$M$1,SUM(OFFSET($A$11,$B194-$O$5,$O$7,1,-$P$6))),IF(AE$11&lt;$D$7,OFFSET(INDIRECT($D$3),$A194-1,$Q$3+AE$11),OFFSET(INDIRECT($D$4),$A194-1,$Q$4+AE$11)))))))</f>
        <v/>
      </c>
      <c r="AF194" s="23" t="str">
        <f t="shared" ref="AF194:AF202" ca="1" si="950">IF(AF$11="","",IF(AF$13=$M$5,CHOOSE($Q$6+1,$M$1,AG194+AH194-AI194),IF(AF$13=$M$6,CHOOSE($Q$6+1,$M$1,OFFSET($A194,,$P$7-1)),IF(AF$13=$M$7,CHOOSE($Q$6+1,$M$1,SUM(OFFSET($A$11,$B194-$O$5,$O$6,1,-$P$6))),IF(AF$13=$M$8,CHOOSE($Q$6+1,$M$1,SUM(OFFSET($A$11,$B194-$O$5,$O$7,1,-$P$6))),IF(AF$11&lt;$D$7,OFFSET(INDIRECT($D$3),$A194-1,$Q$3+AF$11),OFFSET(INDIRECT($D$4),$A194-1,$Q$4+AF$11)))))))</f>
        <v/>
      </c>
      <c r="AG194" s="23" t="str">
        <f t="shared" ref="AG194:AG202" ca="1" si="951">IF(AG$11="","",IF(AG$13=$M$5,CHOOSE($Q$6+1,$M$1,AH194+AI194-AJ194),IF(AG$13=$M$6,CHOOSE($Q$6+1,$M$1,OFFSET($A194,,$P$7-1)),IF(AG$13=$M$7,CHOOSE($Q$6+1,$M$1,SUM(OFFSET($A$11,$B194-$O$5,$O$6,1,-$P$6))),IF(AG$13=$M$8,CHOOSE($Q$6+1,$M$1,SUM(OFFSET($A$11,$B194-$O$5,$O$7,1,-$P$6))),IF(AG$11&lt;$D$7,OFFSET(INDIRECT($D$3),$A194-1,$Q$3+AG$11),OFFSET(INDIRECT($D$4),$A194-1,$Q$4+AG$11)))))))</f>
        <v/>
      </c>
      <c r="AH194" s="23" t="str">
        <f t="shared" ref="AH194:AH202" ca="1" si="952">IF(AH$11="","",IF(AH$13=$M$5,CHOOSE($Q$6+1,$M$1,AI194+AJ194-AK194),IF(AH$13=$M$6,CHOOSE($Q$6+1,$M$1,OFFSET($A194,,$P$7-1)),IF(AH$13=$M$7,CHOOSE($Q$6+1,$M$1,SUM(OFFSET($A$11,$B194-$O$5,$O$6,1,-$P$6))),IF(AH$13=$M$8,CHOOSE($Q$6+1,$M$1,SUM(OFFSET($A$11,$B194-$O$5,$O$7,1,-$P$6))),IF(AH$11&lt;$D$7,OFFSET(INDIRECT($D$3),$A194-1,$Q$3+AH$11),OFFSET(INDIRECT($D$4),$A194-1,$Q$4+AH$11)))))))</f>
        <v/>
      </c>
      <c r="AI194" s="23" t="str">
        <f t="shared" ref="AI194:AI202" ca="1" si="953">IF(AI$11="","",IF(AI$13=$M$5,CHOOSE($Q$6+1,$M$1,AJ194+AK194-AL194),IF(AI$13=$M$6,CHOOSE($Q$6+1,$M$1,OFFSET($A194,,$P$7-1)),IF(AI$13=$M$7,CHOOSE($Q$6+1,$M$1,SUM(OFFSET($A$11,$B194-$O$5,$O$6,1,-$P$6))),IF(AI$13=$M$8,CHOOSE($Q$6+1,$M$1,SUM(OFFSET($A$11,$B194-$O$5,$O$7,1,-$P$6))),IF(AI$11&lt;$D$7,OFFSET(INDIRECT($D$3),$A194-1,$Q$3+AI$11),OFFSET(INDIRECT($D$4),$A194-1,$Q$4+AI$11)))))))</f>
        <v/>
      </c>
      <c r="AJ194" s="23" t="str">
        <f t="shared" ref="AJ194:AJ202" ca="1" si="954">IF(AJ$11="","",IF(AJ$13=$M$5,CHOOSE($Q$6+1,$M$1,AK194+AL194-AM194),IF(AJ$13=$M$6,CHOOSE($Q$6+1,$M$1,OFFSET($A194,,$P$7-1)),IF(AJ$13=$M$7,CHOOSE($Q$6+1,$M$1,SUM(OFFSET($A$11,$B194-$O$5,$O$6,1,-$P$6))),IF(AJ$13=$M$8,CHOOSE($Q$6+1,$M$1,SUM(OFFSET($A$11,$B194-$O$5,$O$7,1,-$P$6))),IF(AJ$11&lt;$D$7,OFFSET(INDIRECT($D$3),$A194-1,$Q$3+AJ$11),OFFSET(INDIRECT($D$4),$A194-1,$Q$4+AJ$11)))))))</f>
        <v/>
      </c>
      <c r="AK194" s="23" t="str">
        <f t="shared" ref="AK194:AK202" ca="1" si="955">IF(AK$11="","",IF(AK$13=$M$5,CHOOSE($Q$6+1,$M$1,AL194+AM194-AN194),IF(AK$13=$M$6,CHOOSE($Q$6+1,$M$1,OFFSET($A194,,$P$7-1)),IF(AK$13=$M$7,CHOOSE($Q$6+1,$M$1,SUM(OFFSET($A$11,$B194-$O$5,$O$6,1,-$P$6))),IF(AK$13=$M$8,CHOOSE($Q$6+1,$M$1,SUM(OFFSET($A$11,$B194-$O$5,$O$7,1,-$P$6))),IF(AK$11&lt;$D$7,OFFSET(INDIRECT($D$3),$A194-1,$Q$3+AK$11),OFFSET(INDIRECT($D$4),$A194-1,$Q$4+AK$11)))))))</f>
        <v/>
      </c>
      <c r="AL194" s="23" t="str">
        <f t="shared" ref="AL194:AL202" ca="1" si="956">IF(AL$11="","",IF(AL$13=$M$5,CHOOSE($Q$6+1,$M$1,AM194+AN194-AO194),IF(AL$13=$M$6,CHOOSE($Q$6+1,$M$1,OFFSET($A194,,$P$7-1)),IF(AL$13=$M$7,CHOOSE($Q$6+1,$M$1,SUM(OFFSET($A$11,$B194-$O$5,$O$6,1,-$P$6))),IF(AL$13=$M$8,CHOOSE($Q$6+1,$M$1,SUM(OFFSET($A$11,$B194-$O$5,$O$7,1,-$P$6))),IF(AL$11&lt;$D$7,OFFSET(INDIRECT($D$3),$A194-1,$Q$3+AL$11),OFFSET(INDIRECT($D$4),$A194-1,$Q$4+AL$11)))))))</f>
        <v/>
      </c>
      <c r="AM194" s="23" t="str">
        <f t="shared" ref="AM194:AM202" ca="1" si="957">IF(AM$11="","",IF(AM$13=$M$5,CHOOSE($Q$6+1,$M$1,AN194+AO194-AP194),IF(AM$13=$M$6,CHOOSE($Q$6+1,$M$1,OFFSET($A194,,$P$7-1)),IF(AM$13=$M$7,CHOOSE($Q$6+1,$M$1,SUM(OFFSET($A$11,$B194-$O$5,$O$6,1,-$P$6))),IF(AM$13=$M$8,CHOOSE($Q$6+1,$M$1,SUM(OFFSET($A$11,$B194-$O$5,$O$7,1,-$P$6))),IF(AM$11&lt;$D$7,OFFSET(INDIRECT($D$3),$A194-1,$Q$3+AM$11),OFFSET(INDIRECT($D$4),$A194-1,$Q$4+AM$11)))))))</f>
        <v/>
      </c>
      <c r="AN194" s="23" t="str">
        <f t="shared" ref="AN194:AN202" ca="1" si="958">IF(AN$11="","",IF(AN$13=$M$5,CHOOSE($Q$6+1,$M$1,AO194+AP194-AQ194),IF(AN$13=$M$6,CHOOSE($Q$6+1,$M$1,OFFSET($A194,,$P$7-1)),IF(AN$13=$M$7,CHOOSE($Q$6+1,$M$1,SUM(OFFSET($A$11,$B194-$O$5,$O$6,1,-$P$6))),IF(AN$13=$M$8,CHOOSE($Q$6+1,$M$1,SUM(OFFSET($A$11,$B194-$O$5,$O$7,1,-$P$6))),IF(AN$11&lt;$D$7,OFFSET(INDIRECT($D$3),$A194-1,$Q$3+AN$11),OFFSET(INDIRECT($D$4),$A194-1,$Q$4+AN$11)))))))</f>
        <v/>
      </c>
      <c r="AO194" s="23" t="str">
        <f t="shared" ref="AO194:AO202" ca="1" si="959">IF(AO$11="","",IF(AO$13=$M$5,CHOOSE($Q$6+1,$M$1,AP194+AQ194-AR194),IF(AO$13=$M$6,CHOOSE($Q$6+1,$M$1,OFFSET($A194,,$P$7-1)),IF(AO$13=$M$7,CHOOSE($Q$6+1,$M$1,SUM(OFFSET($A$11,$B194-$O$5,$O$6,1,-$P$6))),IF(AO$13=$M$8,CHOOSE($Q$6+1,$M$1,SUM(OFFSET($A$11,$B194-$O$5,$O$7,1,-$P$6))),IF(AO$11&lt;$D$7,OFFSET(INDIRECT($D$3),$A194-1,$Q$3+AO$11),OFFSET(INDIRECT($D$4),$A194-1,$Q$4+AO$11)))))))</f>
        <v/>
      </c>
      <c r="AP194" s="23" t="str">
        <f t="shared" ref="AP194:AP202" ca="1" si="960">IF(AP$11="","",IF(AP$13=$M$5,CHOOSE($Q$6+1,$M$1,AQ194+AR194-AS194),IF(AP$13=$M$6,CHOOSE($Q$6+1,$M$1,OFFSET($A194,,$P$7-1)),IF(AP$13=$M$7,CHOOSE($Q$6+1,$M$1,SUM(OFFSET($A$11,$B194-$O$5,$O$6,1,-$P$6))),IF(AP$13=$M$8,CHOOSE($Q$6+1,$M$1,SUM(OFFSET($A$11,$B194-$O$5,$O$7,1,-$P$6))),IF(AP$11&lt;$D$7,OFFSET(INDIRECT($D$3),$A194-1,$Q$3+AP$11),OFFSET(INDIRECT($D$4),$A194-1,$Q$4+AP$11)))))))</f>
        <v/>
      </c>
      <c r="AQ194" s="23" t="str">
        <f t="shared" ref="AQ194:AQ202" ca="1" si="961">IF(AQ$11="","",IF(AQ$13=$M$5,CHOOSE($Q$6+1,$M$1,AR194+AS194-AT194),IF(AQ$13=$M$6,CHOOSE($Q$6+1,$M$1,OFFSET($A194,,$P$7-1)),IF(AQ$13=$M$7,CHOOSE($Q$6+1,$M$1,SUM(OFFSET($A$11,$B194-$O$5,$O$6,1,-$P$6))),IF(AQ$13=$M$8,CHOOSE($Q$6+1,$M$1,SUM(OFFSET($A$11,$B194-$O$5,$O$7,1,-$P$6))),IF(AQ$11&lt;$D$7,OFFSET(INDIRECT($D$3),$A194-1,$Q$3+AQ$11),OFFSET(INDIRECT($D$4),$A194-1,$Q$4+AQ$11)))))))</f>
        <v/>
      </c>
      <c r="AR194" s="23" t="str">
        <f t="shared" ref="AR194:AR202" ca="1" si="962">IF(AR$11="","",IF(AR$13=$M$5,CHOOSE($Q$6+1,$M$1,AS194+AT194-AU194),IF(AR$13=$M$6,CHOOSE($Q$6+1,$M$1,OFFSET($A194,,$P$7-1)),IF(AR$13=$M$7,CHOOSE($Q$6+1,$M$1,SUM(OFFSET($A$11,$B194-$O$5,$O$6,1,-$P$6))),IF(AR$13=$M$8,CHOOSE($Q$6+1,$M$1,SUM(OFFSET($A$11,$B194-$O$5,$O$7,1,-$P$6))),IF(AR$11&lt;$D$7,OFFSET(INDIRECT($D$3),$A194-1,$Q$3+AR$11),OFFSET(INDIRECT($D$4),$A194-1,$Q$4+AR$11)))))))</f>
        <v/>
      </c>
      <c r="AS194" s="23" t="str">
        <f t="shared" ref="AS194:AS202" ca="1" si="963">IF(AS$11="","",IF(AS$13=$M$5,CHOOSE($Q$6+1,$M$1,AT194+AU194-AV194),IF(AS$13=$M$6,CHOOSE($Q$6+1,$M$1,OFFSET($A194,,$P$7-1)),IF(AS$13=$M$7,CHOOSE($Q$6+1,$M$1,SUM(OFFSET($A$11,$B194-$O$5,$O$6,1,-$P$6))),IF(AS$13=$M$8,CHOOSE($Q$6+1,$M$1,SUM(OFFSET($A$11,$B194-$O$5,$O$7,1,-$P$6))),IF(AS$11&lt;$D$7,OFFSET(INDIRECT($D$3),$A194-1,$Q$3+AS$11),OFFSET(INDIRECT($D$4),$A194-1,$Q$4+AS$11)))))))</f>
        <v/>
      </c>
      <c r="AT194" s="23" t="str">
        <f t="shared" ref="AT194:AT202" ca="1" si="964">IF(AT$11="","",IF(AT$13=$M$5,CHOOSE($Q$6+1,$M$1,AU194+AV194-AW194),IF(AT$13=$M$6,CHOOSE($Q$6+1,$M$1,OFFSET($A194,,$P$7-1)),IF(AT$13=$M$7,CHOOSE($Q$6+1,$M$1,SUM(OFFSET($A$11,$B194-$O$5,$O$6,1,-$P$6))),IF(AT$13=$M$8,CHOOSE($Q$6+1,$M$1,SUM(OFFSET($A$11,$B194-$O$5,$O$7,1,-$P$6))),IF(AT$11&lt;$D$7,OFFSET(INDIRECT($D$3),$A194-1,$Q$3+AT$11),OFFSET(INDIRECT($D$4),$A194-1,$Q$4+AT$11)))))))</f>
        <v/>
      </c>
      <c r="AU194" s="23" t="str">
        <f t="shared" ref="AU194:AU202" ca="1" si="965">IF(AU$11="","",IF(AU$13=$M$5,CHOOSE($Q$6+1,$M$1,AV194+AW194-AX194),IF(AU$13=$M$6,CHOOSE($Q$6+1,$M$1,OFFSET($A194,,$P$7-1)),IF(AU$13=$M$7,CHOOSE($Q$6+1,$M$1,SUM(OFFSET($A$11,$B194-$O$5,$O$6,1,-$P$6))),IF(AU$13=$M$8,CHOOSE($Q$6+1,$M$1,SUM(OFFSET($A$11,$B194-$O$5,$O$7,1,-$P$6))),IF(AU$11&lt;$D$7,OFFSET(INDIRECT($D$3),$A194-1,$Q$3+AU$11),OFFSET(INDIRECT($D$4),$A194-1,$Q$4+AU$11)))))))</f>
        <v/>
      </c>
      <c r="AV194" s="23" t="str">
        <f t="shared" ref="AV194:AV202" ca="1" si="966">IF(AV$11="","",IF(AV$13=$M$5,CHOOSE($Q$6+1,$M$1,AW194+AX194-AY194),IF(AV$13=$M$6,CHOOSE($Q$6+1,$M$1,OFFSET($A194,,$P$7-1)),IF(AV$13=$M$7,CHOOSE($Q$6+1,$M$1,SUM(OFFSET($A$11,$B194-$O$5,$O$6,1,-$P$6))),IF(AV$13=$M$8,CHOOSE($Q$6+1,$M$1,SUM(OFFSET($A$11,$B194-$O$5,$O$7,1,-$P$6))),IF(AV$11&lt;$D$7,OFFSET(INDIRECT($D$3),$A194-1,$Q$3+AV$11),OFFSET(INDIRECT($D$4),$A194-1,$Q$4+AV$11)))))))</f>
        <v/>
      </c>
      <c r="AW194" s="23" t="str">
        <f t="shared" ref="AW194:AW202" ca="1" si="967">IF(AW$11="","",IF(AW$13=$M$5,CHOOSE($Q$6+1,$M$1,AX194+AY194-AZ194),IF(AW$13=$M$6,CHOOSE($Q$6+1,$M$1,OFFSET($A194,,$P$7-1)),IF(AW$13=$M$7,CHOOSE($Q$6+1,$M$1,SUM(OFFSET($A$11,$B194-$O$5,$O$6,1,-$P$6))),IF(AW$13=$M$8,CHOOSE($Q$6+1,$M$1,SUM(OFFSET($A$11,$B194-$O$5,$O$7,1,-$P$6))),IF(AW$11&lt;$D$7,OFFSET(INDIRECT($D$3),$A194-1,$Q$3+AW$11),OFFSET(INDIRECT($D$4),$A194-1,$Q$4+AW$11)))))))</f>
        <v/>
      </c>
      <c r="AX194" s="23" t="str">
        <f t="shared" ref="AX194:AX202" ca="1" si="968">IF(AX$11="","",IF(AX$13=$M$5,CHOOSE($Q$6+1,$M$1,AY194+AZ194-BA194),IF(AX$13=$M$6,CHOOSE($Q$6+1,$M$1,OFFSET($A194,,$P$7-1)),IF(AX$13=$M$7,CHOOSE($Q$6+1,$M$1,SUM(OFFSET($A$11,$B194-$O$5,$O$6,1,-$P$6))),IF(AX$13=$M$8,CHOOSE($Q$6+1,$M$1,SUM(OFFSET($A$11,$B194-$O$5,$O$7,1,-$P$6))),IF(AX$11&lt;$D$7,OFFSET(INDIRECT($D$3),$A194-1,$Q$3+AX$11),OFFSET(INDIRECT($D$4),$A194-1,$Q$4+AX$11)))))))</f>
        <v/>
      </c>
      <c r="AY194" s="23" t="str">
        <f t="shared" ref="AY194:AY202" ca="1" si="969">IF(AY$11="","",IF(AY$13=$M$5,CHOOSE($Q$6+1,$M$1,AZ194+BA194-BB194),IF(AY$13=$M$6,CHOOSE($Q$6+1,$M$1,OFFSET($A194,,$P$7-1)),IF(AY$13=$M$7,CHOOSE($Q$6+1,$M$1,SUM(OFFSET($A$11,$B194-$O$5,$O$6,1,-$P$6))),IF(AY$13=$M$8,CHOOSE($Q$6+1,$M$1,SUM(OFFSET($A$11,$B194-$O$5,$O$7,1,-$P$6))),IF(AY$11&lt;$D$7,OFFSET(INDIRECT($D$3),$A194-1,$Q$3+AY$11),OFFSET(INDIRECT($D$4),$A194-1,$Q$4+AY$11)))))))</f>
        <v/>
      </c>
      <c r="AZ194" s="23" t="str">
        <f t="shared" ref="AZ194:AZ202" ca="1" si="970">IF(AZ$11="","",IF(AZ$13=$M$5,CHOOSE($Q$6+1,$M$1,BA194+BB194-BC194),IF(AZ$13=$M$6,CHOOSE($Q$6+1,$M$1,OFFSET($A194,,$P$7-1)),IF(AZ$13=$M$7,CHOOSE($Q$6+1,$M$1,SUM(OFFSET($A$11,$B194-$O$5,$O$6,1,-$P$6))),IF(AZ$13=$M$8,CHOOSE($Q$6+1,$M$1,SUM(OFFSET($A$11,$B194-$O$5,$O$7,1,-$P$6))),IF(AZ$11&lt;$D$7,OFFSET(INDIRECT($D$3),$A194-1,$Q$3+AZ$11),OFFSET(INDIRECT($D$4),$A194-1,$Q$4+AZ$11)))))))</f>
        <v/>
      </c>
      <c r="BA194" s="23" t="str">
        <f t="shared" ref="BA194:BA202" ca="1" si="971">IF(BA$11="","",IF(BA$13=$M$5,CHOOSE($Q$6+1,$M$1,BB194+BC194-BD194),IF(BA$13=$M$6,CHOOSE($Q$6+1,$M$1,OFFSET($A194,,$P$7-1)),IF(BA$13=$M$7,CHOOSE($Q$6+1,$M$1,SUM(OFFSET($A$11,$B194-$O$5,$O$6,1,-$P$6))),IF(BA$13=$M$8,CHOOSE($Q$6+1,$M$1,SUM(OFFSET($A$11,$B194-$O$5,$O$7,1,-$P$6))),IF(BA$11&lt;$D$7,OFFSET(INDIRECT($D$3),$A194-1,$Q$3+BA$11),OFFSET(INDIRECT($D$4),$A194-1,$Q$4+BA$11)))))))</f>
        <v/>
      </c>
      <c r="BB194" s="23" t="str">
        <f t="shared" ref="BB194:BB202" ca="1" si="972">IF(BB$11="","",IF(BB$13=$M$5,CHOOSE($Q$6+1,$M$1,BC194+BD194-BE194),IF(BB$13=$M$6,CHOOSE($Q$6+1,$M$1,OFFSET($A194,,$P$7-1)),IF(BB$13=$M$7,CHOOSE($Q$6+1,$M$1,SUM(OFFSET($A$11,$B194-$O$5,$O$6,1,-$P$6))),IF(BB$13=$M$8,CHOOSE($Q$6+1,$M$1,SUM(OFFSET($A$11,$B194-$O$5,$O$7,1,-$P$6))),IF(BB$11&lt;$D$7,OFFSET(INDIRECT($D$3),$A194-1,$Q$3+BB$11),OFFSET(INDIRECT($D$4),$A194-1,$Q$4+BB$11)))))))</f>
        <v/>
      </c>
      <c r="BC194" s="23" t="str">
        <f t="shared" ref="BC194:BC202" ca="1" si="973">IF(BC$11="","",IF(BC$13=$M$5,CHOOSE($Q$6+1,$M$1,BD194+BE194-BF194),IF(BC$13=$M$6,CHOOSE($Q$6+1,$M$1,OFFSET($A194,,$P$7-1)),IF(BC$13=$M$7,CHOOSE($Q$6+1,$M$1,SUM(OFFSET($A$11,$B194-$O$5,$O$6,1,-$P$6))),IF(BC$13=$M$8,CHOOSE($Q$6+1,$M$1,SUM(OFFSET($A$11,$B194-$O$5,$O$7,1,-$P$6))),IF(BC$11&lt;$D$7,OFFSET(INDIRECT($D$3),$A194-1,$Q$3+BC$11),OFFSET(INDIRECT($D$4),$A194-1,$Q$4+BC$11)))))))</f>
        <v/>
      </c>
      <c r="BD194" s="23" t="str">
        <f t="shared" ref="BD194:BD202" ca="1" si="974">IF(BD$11="","",IF(BD$13=$M$5,CHOOSE($Q$6+1,$M$1,BE194+BF194-BG194),IF(BD$13=$M$6,CHOOSE($Q$6+1,$M$1,OFFSET($A194,,$P$7-1)),IF(BD$13=$M$7,CHOOSE($Q$6+1,$M$1,SUM(OFFSET($A$11,$B194-$O$5,$O$6,1,-$P$6))),IF(BD$13=$M$8,CHOOSE($Q$6+1,$M$1,SUM(OFFSET($A$11,$B194-$O$5,$O$7,1,-$P$6))),IF(BD$11&lt;$D$7,OFFSET(INDIRECT($D$3),$A194-1,$Q$3+BD$11),OFFSET(INDIRECT($D$4),$A194-1,$Q$4+BD$11)))))))</f>
        <v/>
      </c>
      <c r="BE194" s="23" t="str">
        <f t="shared" ref="BE194:BE202" ca="1" si="975">IF(BE$11="","",IF(BE$13=$M$5,CHOOSE($Q$6+1,$M$1,BF194+BG194-BH194),IF(BE$13=$M$6,CHOOSE($Q$6+1,$M$1,OFFSET($A194,,$P$7-1)),IF(BE$13=$M$7,CHOOSE($Q$6+1,$M$1,SUM(OFFSET($A$11,$B194-$O$5,$O$6,1,-$P$6))),IF(BE$13=$M$8,CHOOSE($Q$6+1,$M$1,SUM(OFFSET($A$11,$B194-$O$5,$O$7,1,-$P$6))),IF(BE$11&lt;$D$7,OFFSET(INDIRECT($D$3),$A194-1,$Q$3+BE$11),OFFSET(INDIRECT($D$4),$A194-1,$Q$4+BE$11)))))))</f>
        <v/>
      </c>
      <c r="BF194" s="23" t="str">
        <f t="shared" ref="BF194:BF202" ca="1" si="976">IF(BF$11="","",IF(BF$13=$M$5,CHOOSE($Q$6+1,$M$1,BG194+BH194-BI194),IF(BF$13=$M$6,CHOOSE($Q$6+1,$M$1,OFFSET($A194,,$P$7-1)),IF(BF$13=$M$7,CHOOSE($Q$6+1,$M$1,SUM(OFFSET($A$11,$B194-$O$5,$O$6,1,-$P$6))),IF(BF$13=$M$8,CHOOSE($Q$6+1,$M$1,SUM(OFFSET($A$11,$B194-$O$5,$O$7,1,-$P$6))),IF(BF$11&lt;$D$7,OFFSET(INDIRECT($D$3),$A194-1,$Q$3+BF$11),OFFSET(INDIRECT($D$4),$A194-1,$Q$4+BF$11)))))))</f>
        <v/>
      </c>
      <c r="BG194" s="23" t="str">
        <f t="shared" ref="BG194:BG202" ca="1" si="977">IF(BG$11="","",IF(BG$13=$M$5,CHOOSE($Q$6+1,$M$1,BH194+BI194-BJ194),IF(BG$13=$M$6,CHOOSE($Q$6+1,$M$1,OFFSET($A194,,$P$7-1)),IF(BG$13=$M$7,CHOOSE($Q$6+1,$M$1,SUM(OFFSET($A$11,$B194-$O$5,$O$6,1,-$P$6))),IF(BG$13=$M$8,CHOOSE($Q$6+1,$M$1,SUM(OFFSET($A$11,$B194-$O$5,$O$7,1,-$P$6))),IF(BG$11&lt;$D$7,OFFSET(INDIRECT($D$3),$A194-1,$Q$3+BG$11),OFFSET(INDIRECT($D$4),$A194-1,$Q$4+BG$11)))))))</f>
        <v/>
      </c>
      <c r="BH194" s="23" t="str">
        <f t="shared" ref="BH194:BH202" ca="1" si="978">IF(BH$11="","",IF(BH$13=$M$5,CHOOSE($Q$6+1,$M$1,BI194+BJ194-BK194),IF(BH$13=$M$6,CHOOSE($Q$6+1,$M$1,OFFSET($A194,,$P$7-1)),IF(BH$13=$M$7,CHOOSE($Q$6+1,$M$1,SUM(OFFSET($A$11,$B194-$O$5,$O$6,1,-$P$6))),IF(BH$13=$M$8,CHOOSE($Q$6+1,$M$1,SUM(OFFSET($A$11,$B194-$O$5,$O$7,1,-$P$6))),IF(BH$11&lt;$D$7,OFFSET(INDIRECT($D$3),$A194-1,$Q$3+BH$11),OFFSET(INDIRECT($D$4),$A194-1,$Q$4+BH$11)))))))</f>
        <v/>
      </c>
      <c r="BI194" s="23" t="str">
        <f t="shared" ref="BI194:BI202" ca="1" si="979">IF(BI$11="","",IF(BI$13=$M$5,CHOOSE($Q$6+1,$M$1,BJ194+BK194-BL194),IF(BI$13=$M$6,CHOOSE($Q$6+1,$M$1,OFFSET($A194,,$P$7-1)),IF(BI$13=$M$7,CHOOSE($Q$6+1,$M$1,SUM(OFFSET($A$11,$B194-$O$5,$O$6,1,-$P$6))),IF(BI$13=$M$8,CHOOSE($Q$6+1,$M$1,SUM(OFFSET($A$11,$B194-$O$5,$O$7,1,-$P$6))),IF(BI$11&lt;$D$7,OFFSET(INDIRECT($D$3),$A194-1,$Q$3+BI$11),OFFSET(INDIRECT($D$4),$A194-1,$Q$4+BI$11)))))))</f>
        <v/>
      </c>
      <c r="BJ194" s="23" t="str">
        <f t="shared" ref="BJ194:BJ202" ca="1" si="980">IF(BJ$11="","",IF(BJ$13=$M$5,CHOOSE($Q$6+1,$M$1,BK194+BL194-BM194),IF(BJ$13=$M$6,CHOOSE($Q$6+1,$M$1,OFFSET($A194,,$P$7-1)),IF(BJ$13=$M$7,CHOOSE($Q$6+1,$M$1,SUM(OFFSET($A$11,$B194-$O$5,$O$6,1,-$P$6))),IF(BJ$13=$M$8,CHOOSE($Q$6+1,$M$1,SUM(OFFSET($A$11,$B194-$O$5,$O$7,1,-$P$6))),IF(BJ$11&lt;$D$7,OFFSET(INDIRECT($D$3),$A194-1,$Q$3+BJ$11),OFFSET(INDIRECT($D$4),$A194-1,$Q$4+BJ$11)))))))</f>
        <v/>
      </c>
      <c r="BK194" s="23" t="str">
        <f t="shared" ref="BK194:BK202" ca="1" si="981">IF(BK$11="","",IF(BK$13=$M$5,CHOOSE($Q$6+1,$M$1,BL194+BM194-BN194),IF(BK$13=$M$6,CHOOSE($Q$6+1,$M$1,OFFSET($A194,,$P$7-1)),IF(BK$13=$M$7,CHOOSE($Q$6+1,$M$1,SUM(OFFSET($A$11,$B194-$O$5,$O$6,1,-$P$6))),IF(BK$13=$M$8,CHOOSE($Q$6+1,$M$1,SUM(OFFSET($A$11,$B194-$O$5,$O$7,1,-$P$6))),IF(BK$11&lt;$D$7,OFFSET(INDIRECT($D$3),$A194-1,$Q$3+BK$11),OFFSET(INDIRECT($D$4),$A194-1,$Q$4+BK$11)))))))</f>
        <v/>
      </c>
      <c r="BL194" s="23" t="str">
        <f t="shared" ref="BL194:BL202" ca="1" si="982">IF(BL$11="","",IF(BL$13=$M$5,CHOOSE($Q$6+1,$M$1,BM194+BN194-BO194),IF(BL$13=$M$6,CHOOSE($Q$6+1,$M$1,OFFSET($A194,,$P$7-1)),IF(BL$13=$M$7,CHOOSE($Q$6+1,$M$1,SUM(OFFSET($A$11,$B194-$O$5,$O$6,1,-$P$6))),IF(BL$13=$M$8,CHOOSE($Q$6+1,$M$1,SUM(OFFSET($A$11,$B194-$O$5,$O$7,1,-$P$6))),IF(BL$11&lt;$D$7,OFFSET(INDIRECT($D$3),$A194-1,$Q$3+BL$11),OFFSET(INDIRECT($D$4),$A194-1,$Q$4+BL$11)))))))</f>
        <v/>
      </c>
      <c r="BM194" s="23" t="str">
        <f t="shared" ref="BM194:BM202" ca="1" si="983">IF(BM$11="","",IF(BM$13=$M$5,CHOOSE($Q$6+1,$M$1,BN194+BO194-BP194),IF(BM$13=$M$6,CHOOSE($Q$6+1,$M$1,OFFSET($A194,,$P$7-1)),IF(BM$13=$M$7,CHOOSE($Q$6+1,$M$1,SUM(OFFSET($A$11,$B194-$O$5,$O$6,1,-$P$6))),IF(BM$13=$M$8,CHOOSE($Q$6+1,$M$1,SUM(OFFSET($A$11,$B194-$O$5,$O$7,1,-$P$6))),IF(BM$11&lt;$D$7,OFFSET(INDIRECT($D$3),$A194-1,$Q$3+BM$11),OFFSET(INDIRECT($D$4),$A194-1,$Q$4+BM$11)))))))</f>
        <v/>
      </c>
      <c r="BN194" s="23" t="str">
        <f t="shared" ref="BN194:BN202" ca="1" si="984">IF(BN$11="","",IF(BN$13=$M$5,CHOOSE($Q$6+1,$M$1,BO194+BP194-BQ194),IF(BN$13=$M$6,CHOOSE($Q$6+1,$M$1,OFFSET($A194,,$P$7-1)),IF(BN$13=$M$7,CHOOSE($Q$6+1,$M$1,SUM(OFFSET($A$11,$B194-$O$5,$O$6,1,-$P$6))),IF(BN$13=$M$8,CHOOSE($Q$6+1,$M$1,SUM(OFFSET($A$11,$B194-$O$5,$O$7,1,-$P$6))),IF(BN$11&lt;$D$7,OFFSET(INDIRECT($D$3),$A194-1,$Q$3+BN$11),OFFSET(INDIRECT($D$4),$A194-1,$Q$4+BN$11)))))))</f>
        <v/>
      </c>
      <c r="BO194" s="23" t="str">
        <f t="shared" ref="BO194:BO202" ca="1" si="985">IF(BO$11="","",IF(BO$13=$M$5,CHOOSE($Q$6+1,$M$1,BP194+BQ194-BR194),IF(BO$13=$M$6,CHOOSE($Q$6+1,$M$1,OFFSET($A194,,$P$7-1)),IF(BO$13=$M$7,CHOOSE($Q$6+1,$M$1,SUM(OFFSET($A$11,$B194-$O$5,$O$6,1,-$P$6))),IF(BO$13=$M$8,CHOOSE($Q$6+1,$M$1,SUM(OFFSET($A$11,$B194-$O$5,$O$7,1,-$P$6))),IF(BO$11&lt;$D$7,OFFSET(INDIRECT($D$3),$A194-1,$Q$3+BO$11),OFFSET(INDIRECT($D$4),$A194-1,$Q$4+BO$11)))))))</f>
        <v/>
      </c>
      <c r="BP194" s="23" t="str">
        <f t="shared" ref="BP194:BP202" ca="1" si="986">IF(BP$11="","",IF(BP$13=$M$5,CHOOSE($Q$6+1,$M$1,BQ194+BR194-BS194),IF(BP$13=$M$6,CHOOSE($Q$6+1,$M$1,OFFSET($A194,,$P$7-1)),IF(BP$13=$M$7,CHOOSE($Q$6+1,$M$1,SUM(OFFSET($A$11,$B194-$O$5,$O$6,1,-$P$6))),IF(BP$13=$M$8,CHOOSE($Q$6+1,$M$1,SUM(OFFSET($A$11,$B194-$O$5,$O$7,1,-$P$6))),IF(BP$11&lt;$D$7,OFFSET(INDIRECT($D$3),$A194-1,$Q$3+BP$11),OFFSET(INDIRECT($D$4),$A194-1,$Q$4+BP$11)))))))</f>
        <v/>
      </c>
      <c r="BQ194" s="23" t="str">
        <f t="shared" ref="BQ194:BQ202" ca="1" si="987">IF(BQ$11="","",IF(BQ$13=$M$5,CHOOSE($Q$6+1,$M$1,BR194+BS194-BT194),IF(BQ$13=$M$6,CHOOSE($Q$6+1,$M$1,OFFSET($A194,,$P$7-1)),IF(BQ$13=$M$7,CHOOSE($Q$6+1,$M$1,SUM(OFFSET($A$11,$B194-$O$5,$O$6,1,-$P$6))),IF(BQ$13=$M$8,CHOOSE($Q$6+1,$M$1,SUM(OFFSET($A$11,$B194-$O$5,$O$7,1,-$P$6))),IF(BQ$11&lt;$D$7,OFFSET(INDIRECT($D$3),$A194-1,$Q$3+BQ$11),OFFSET(INDIRECT($D$4),$A194-1,$Q$4+BQ$11)))))))</f>
        <v/>
      </c>
      <c r="BR194" s="23" t="str">
        <f t="shared" ref="BR194:BR202" ca="1" si="988">IF(BR$11="","",IF(BR$13=$M$5,CHOOSE($Q$6+1,$M$1,BS194+BT194-BU194),IF(BR$13=$M$6,CHOOSE($Q$6+1,$M$1,OFFSET($A194,,$P$7-1)),IF(BR$13=$M$7,CHOOSE($Q$6+1,$M$1,SUM(OFFSET($A$11,$B194-$O$5,$O$6,1,-$P$6))),IF(BR$13=$M$8,CHOOSE($Q$6+1,$M$1,SUM(OFFSET($A$11,$B194-$O$5,$O$7,1,-$P$6))),IF(BR$11&lt;$D$7,OFFSET(INDIRECT($D$3),$A194-1,$Q$3+BR$11),OFFSET(INDIRECT($D$4),$A194-1,$Q$4+BR$11)))))))</f>
        <v/>
      </c>
      <c r="BS194" s="23" t="str">
        <f t="shared" ref="BS194:BS202" ca="1" si="989">IF(BS$11="","",IF(BS$13=$M$5,CHOOSE($Q$6+1,$M$1,BT194+BU194-BV194),IF(BS$13=$M$6,CHOOSE($Q$6+1,$M$1,OFFSET($A194,,$P$7-1)),IF(BS$13=$M$7,CHOOSE($Q$6+1,$M$1,SUM(OFFSET($A$11,$B194-$O$5,$O$6,1,-$P$6))),IF(BS$13=$M$8,CHOOSE($Q$6+1,$M$1,SUM(OFFSET($A$11,$B194-$O$5,$O$7,1,-$P$6))),IF(BS$11&lt;$D$7,OFFSET(INDIRECT($D$3),$A194-1,$Q$3+BS$11),OFFSET(INDIRECT($D$4),$A194-1,$Q$4+BS$11)))))))</f>
        <v/>
      </c>
      <c r="BT194" s="23" t="str">
        <f t="shared" ref="BT194:BT202" ca="1" si="990">IF(BT$11="","",IF(BT$13=$M$5,CHOOSE($Q$6+1,$M$1,BU194+BV194-BW194),IF(BT$13=$M$6,CHOOSE($Q$6+1,$M$1,OFFSET($A194,,$P$7-1)),IF(BT$13=$M$7,CHOOSE($Q$6+1,$M$1,SUM(OFFSET($A$11,$B194-$O$5,$O$6,1,-$P$6))),IF(BT$13=$M$8,CHOOSE($Q$6+1,$M$1,SUM(OFFSET($A$11,$B194-$O$5,$O$7,1,-$P$6))),IF(BT$11&lt;$D$7,OFFSET(INDIRECT($D$3),$A194-1,$Q$3+BT$11),OFFSET(INDIRECT($D$4),$A194-1,$Q$4+BT$11)))))))</f>
        <v/>
      </c>
      <c r="BU194" s="23" t="str">
        <f t="shared" ref="BU194:BU202" ca="1" si="991">IF(BU$11="","",IF(BU$13=$M$5,CHOOSE($Q$6+1,$M$1,BV194+BW194-BX194),IF(BU$13=$M$6,CHOOSE($Q$6+1,$M$1,OFFSET($A194,,$P$7-1)),IF(BU$13=$M$7,CHOOSE($Q$6+1,$M$1,SUM(OFFSET($A$11,$B194-$O$5,$O$6,1,-$P$6))),IF(BU$13=$M$8,CHOOSE($Q$6+1,$M$1,SUM(OFFSET($A$11,$B194-$O$5,$O$7,1,-$P$6))),IF(BU$11&lt;$D$7,OFFSET(INDIRECT($D$3),$A194-1,$Q$3+BU$11),OFFSET(INDIRECT($D$4),$A194-1,$Q$4+BU$11)))))))</f>
        <v/>
      </c>
      <c r="BV194" s="23" t="str">
        <f t="shared" ref="BV194:BV202" ca="1" si="992">IF(BV$11="","",IF(BV$13=$M$5,CHOOSE($Q$6+1,$M$1,BW194+BX194-BY194),IF(BV$13=$M$6,CHOOSE($Q$6+1,$M$1,OFFSET($A194,,$P$7-1)),IF(BV$13=$M$7,CHOOSE($Q$6+1,$M$1,SUM(OFFSET($A$11,$B194-$O$5,$O$6,1,-$P$6))),IF(BV$13=$M$8,CHOOSE($Q$6+1,$M$1,SUM(OFFSET($A$11,$B194-$O$5,$O$7,1,-$P$6))),IF(BV$11&lt;$D$7,OFFSET(INDIRECT($D$3),$A194-1,$Q$3+BV$11),OFFSET(INDIRECT($D$4),$A194-1,$Q$4+BV$11)))))))</f>
        <v/>
      </c>
      <c r="BW194" s="23" t="str">
        <f t="shared" ref="BW194:BW202" ca="1" si="993">IF(BW$11="","",IF(BW$13=$M$5,CHOOSE($Q$6+1,$M$1,BX194+BY194-BZ194),IF(BW$13=$M$6,CHOOSE($Q$6+1,$M$1,OFFSET($A194,,$P$7-1)),IF(BW$13=$M$7,CHOOSE($Q$6+1,$M$1,SUM(OFFSET($A$11,$B194-$O$5,$O$6,1,-$P$6))),IF(BW$13=$M$8,CHOOSE($Q$6+1,$M$1,SUM(OFFSET($A$11,$B194-$O$5,$O$7,1,-$P$6))),IF(BW$11&lt;$D$7,OFFSET(INDIRECT($D$3),$A194-1,$Q$3+BW$11),OFFSET(INDIRECT($D$4),$A194-1,$Q$4+BW$11)))))))</f>
        <v/>
      </c>
      <c r="BX194" s="23" t="str">
        <f t="shared" ref="BX194:BX202" ca="1" si="994">IF(BX$11="","",IF(BX$13=$M$5,CHOOSE($Q$6+1,$M$1,BY194+BZ194-CA194),IF(BX$13=$M$6,CHOOSE($Q$6+1,$M$1,OFFSET($A194,,$P$7-1)),IF(BX$13=$M$7,CHOOSE($Q$6+1,$M$1,SUM(OFFSET($A$11,$B194-$O$5,$O$6,1,-$P$6))),IF(BX$13=$M$8,CHOOSE($Q$6+1,$M$1,SUM(OFFSET($A$11,$B194-$O$5,$O$7,1,-$P$6))),IF(BX$11&lt;$D$7,OFFSET(INDIRECT($D$3),$A194-1,$Q$3+BX$11),OFFSET(INDIRECT($D$4),$A194-1,$Q$4+BX$11)))))))</f>
        <v/>
      </c>
      <c r="BY194" s="23" t="str">
        <f t="shared" ref="BY194:BY202" ca="1" si="995">IF(BY$11="","",IF(BY$13=$M$5,CHOOSE($Q$6+1,$M$1,BZ194+CA194-CB194),IF(BY$13=$M$6,CHOOSE($Q$6+1,$M$1,OFFSET($A194,,$P$7-1)),IF(BY$13=$M$7,CHOOSE($Q$6+1,$M$1,SUM(OFFSET($A$11,$B194-$O$5,$O$6,1,-$P$6))),IF(BY$13=$M$8,CHOOSE($Q$6+1,$M$1,SUM(OFFSET($A$11,$B194-$O$5,$O$7,1,-$P$6))),IF(BY$11&lt;$D$7,OFFSET(INDIRECT($D$3),$A194-1,$Q$3+BY$11),OFFSET(INDIRECT($D$4),$A194-1,$Q$4+BY$11)))))))</f>
        <v/>
      </c>
      <c r="BZ194" s="23" t="str">
        <f t="shared" ref="BZ194:BZ202" ca="1" si="996">IF(BZ$11="","",IF(BZ$13=$M$5,CHOOSE($Q$6+1,$M$1,CA194+CB194-CC194),IF(BZ$13=$M$6,CHOOSE($Q$6+1,$M$1,OFFSET($A194,,$P$7-1)),IF(BZ$13=$M$7,CHOOSE($Q$6+1,$M$1,SUM(OFFSET($A$11,$B194-$O$5,$O$6,1,-$P$6))),IF(BZ$13=$M$8,CHOOSE($Q$6+1,$M$1,SUM(OFFSET($A$11,$B194-$O$5,$O$7,1,-$P$6))),IF(BZ$11&lt;$D$7,OFFSET(INDIRECT($D$3),$A194-1,$Q$3+BZ$11),OFFSET(INDIRECT($D$4),$A194-1,$Q$4+BZ$11)))))))</f>
        <v/>
      </c>
      <c r="CA194" s="23" t="str">
        <f t="shared" ref="CA194:CA202" ca="1" si="997">IF(CA$11="","",IF(CA$13=$M$5,CHOOSE($Q$6+1,$M$1,CB194+CC194-CD194),IF(CA$13=$M$6,CHOOSE($Q$6+1,$M$1,OFFSET($A194,,$P$7-1)),IF(CA$13=$M$7,CHOOSE($Q$6+1,$M$1,SUM(OFFSET($A$11,$B194-$O$5,$O$6,1,-$P$6))),IF(CA$13=$M$8,CHOOSE($Q$6+1,$M$1,SUM(OFFSET($A$11,$B194-$O$5,$O$7,1,-$P$6))),IF(CA$11&lt;$D$7,OFFSET(INDIRECT($D$3),$A194-1,$Q$3+CA$11),OFFSET(INDIRECT($D$4),$A194-1,$Q$4+CA$11)))))))</f>
        <v/>
      </c>
      <c r="CB194" s="23" t="str">
        <f t="shared" ref="CB194:CB202" ca="1" si="998">IF(CB$11="","",IF(CB$13=$M$5,CHOOSE($Q$6+1,$M$1,CC194+CD194-CE194),IF(CB$13=$M$6,CHOOSE($Q$6+1,$M$1,OFFSET($A194,,$P$7-1)),IF(CB$13=$M$7,CHOOSE($Q$6+1,$M$1,SUM(OFFSET($A$11,$B194-$O$5,$O$6,1,-$P$6))),IF(CB$13=$M$8,CHOOSE($Q$6+1,$M$1,SUM(OFFSET($A$11,$B194-$O$5,$O$7,1,-$P$6))),IF(CB$11&lt;$D$7,OFFSET(INDIRECT($D$3),$A194-1,$Q$3+CB$11),OFFSET(INDIRECT($D$4),$A194-1,$Q$4+CB$11)))))))</f>
        <v/>
      </c>
      <c r="CC194" s="23" t="str">
        <f t="shared" ref="CC194:CC202" ca="1" si="999">IF(CC$11="","",IF(CC$13=$M$5,CHOOSE($Q$6+1,$M$1,CD194+CE194-CF194),IF(CC$13=$M$6,CHOOSE($Q$6+1,$M$1,OFFSET($A194,,$P$7-1)),IF(CC$13=$M$7,CHOOSE($Q$6+1,$M$1,SUM(OFFSET($A$11,$B194-$O$5,$O$6,1,-$P$6))),IF(CC$13=$M$8,CHOOSE($Q$6+1,$M$1,SUM(OFFSET($A$11,$B194-$O$5,$O$7,1,-$P$6))),IF(CC$11&lt;$D$7,OFFSET(INDIRECT($D$3),$A194-1,$Q$3+CC$11),OFFSET(INDIRECT($D$4),$A194-1,$Q$4+CC$11)))))))</f>
        <v/>
      </c>
      <c r="CD194" s="23" t="str">
        <f t="shared" ref="CD194:CD202" ca="1" si="1000">IF(CD$11="","",IF(CD$13=$M$5,CHOOSE($Q$6+1,$M$1,CE194+CF194-CG194),IF(CD$13=$M$6,CHOOSE($Q$6+1,$M$1,OFFSET($A194,,$P$7-1)),IF(CD$13=$M$7,CHOOSE($Q$6+1,$M$1,SUM(OFFSET($A$11,$B194-$O$5,$O$6,1,-$P$6))),IF(CD$13=$M$8,CHOOSE($Q$6+1,$M$1,SUM(OFFSET($A$11,$B194-$O$5,$O$7,1,-$P$6))),IF(CD$11&lt;$D$7,OFFSET(INDIRECT($D$3),$A194-1,$Q$3+CD$11),OFFSET(INDIRECT($D$4),$A194-1,$Q$4+CD$11)))))))</f>
        <v/>
      </c>
      <c r="CE194" s="23" t="str">
        <f t="shared" ref="CE194:CE202" ca="1" si="1001">IF(CE$11="","",IF(CE$13=$M$5,CHOOSE($Q$6+1,$M$1,CF194+CG194-CH194),IF(CE$13=$M$6,CHOOSE($Q$6+1,$M$1,OFFSET($A194,,$P$7-1)),IF(CE$13=$M$7,CHOOSE($Q$6+1,$M$1,SUM(OFFSET($A$11,$B194-$O$5,$O$6,1,-$P$6))),IF(CE$13=$M$8,CHOOSE($Q$6+1,$M$1,SUM(OFFSET($A$11,$B194-$O$5,$O$7,1,-$P$6))),IF(CE$11&lt;$D$7,OFFSET(INDIRECT($D$3),$A194-1,$Q$3+CE$11),OFFSET(INDIRECT($D$4),$A194-1,$Q$4+CE$11)))))))</f>
        <v/>
      </c>
      <c r="CF194" s="23" t="str">
        <f t="shared" ref="CF194:CF202" ca="1" si="1002">IF(CF$11="","",IF(CF$13=$M$5,CHOOSE($Q$6+1,$M$1,CG194+CH194-CI194),IF(CF$13=$M$6,CHOOSE($Q$6+1,$M$1,OFFSET($A194,,$P$7-1)),IF(CF$13=$M$7,CHOOSE($Q$6+1,$M$1,SUM(OFFSET($A$11,$B194-$O$5,$O$6,1,-$P$6))),IF(CF$13=$M$8,CHOOSE($Q$6+1,$M$1,SUM(OFFSET($A$11,$B194-$O$5,$O$7,1,-$P$6))),IF(CF$11&lt;$D$7,OFFSET(INDIRECT($D$3),$A194-1,$Q$3+CF$11),OFFSET(INDIRECT($D$4),$A194-1,$Q$4+CF$11)))))))</f>
        <v/>
      </c>
      <c r="CG194" s="23" t="str">
        <f t="shared" ref="CG194:CG202" ca="1" si="1003">IF(CG$11="","",IF(CG$13=$M$5,CHOOSE($Q$6+1,$M$1,CH194+CI194-CJ194),IF(CG$13=$M$6,CHOOSE($Q$6+1,$M$1,OFFSET($A194,,$P$7-1)),IF(CG$13=$M$7,CHOOSE($Q$6+1,$M$1,SUM(OFFSET($A$11,$B194-$O$5,$O$6,1,-$P$6))),IF(CG$13=$M$8,CHOOSE($Q$6+1,$M$1,SUM(OFFSET($A$11,$B194-$O$5,$O$7,1,-$P$6))),IF(CG$11&lt;$D$7,OFFSET(INDIRECT($D$3),$A194-1,$Q$3+CG$11),OFFSET(INDIRECT($D$4),$A194-1,$Q$4+CG$11)))))))</f>
        <v/>
      </c>
      <c r="CH194" s="23" t="str">
        <f t="shared" ref="CH194:CH202" ca="1" si="1004">IF(CH$11="","",IF(CH$13=$M$5,CHOOSE($Q$6+1,$M$1,CI194+CJ194-CK194),IF(CH$13=$M$6,CHOOSE($Q$6+1,$M$1,OFFSET($A194,,$P$7-1)),IF(CH$13=$M$7,CHOOSE($Q$6+1,$M$1,SUM(OFFSET($A$11,$B194-$O$5,$O$6,1,-$P$6))),IF(CH$13=$M$8,CHOOSE($Q$6+1,$M$1,SUM(OFFSET($A$11,$B194-$O$5,$O$7,1,-$P$6))),IF(CH$11&lt;$D$7,OFFSET(INDIRECT($D$3),$A194-1,$Q$3+CH$11),OFFSET(INDIRECT($D$4),$A194-1,$Q$4+CH$11)))))))</f>
        <v/>
      </c>
      <c r="CI194" s="23" t="str">
        <f t="shared" ref="CI194:CI202" ca="1" si="1005">IF(CI$11="","",IF(CI$13=$M$5,CHOOSE($Q$6+1,$M$1,CJ194+CK194-CL194),IF(CI$13=$M$6,CHOOSE($Q$6+1,$M$1,OFFSET($A194,,$P$7-1)),IF(CI$13=$M$7,CHOOSE($Q$6+1,$M$1,SUM(OFFSET($A$11,$B194-$O$5,$O$6,1,-$P$6))),IF(CI$13=$M$8,CHOOSE($Q$6+1,$M$1,SUM(OFFSET($A$11,$B194-$O$5,$O$7,1,-$P$6))),IF(CI$11&lt;$D$7,OFFSET(INDIRECT($D$3),$A194-1,$Q$3+CI$11),OFFSET(INDIRECT($D$4),$A194-1,$Q$4+CI$11)))))))</f>
        <v/>
      </c>
      <c r="CJ194" s="23" t="str">
        <f t="shared" ref="CJ194:CJ202" ca="1" si="1006">IF(CJ$11="","",IF(CJ$13=$M$5,CHOOSE($Q$6+1,$M$1,CK194+CL194-CM194),IF(CJ$13=$M$6,CHOOSE($Q$6+1,$M$1,OFFSET($A194,,$P$7-1)),IF(CJ$13=$M$7,CHOOSE($Q$6+1,$M$1,SUM(OFFSET($A$11,$B194-$O$5,$O$6,1,-$P$6))),IF(CJ$13=$M$8,CHOOSE($Q$6+1,$M$1,SUM(OFFSET($A$11,$B194-$O$5,$O$7,1,-$P$6))),IF(CJ$11&lt;$D$7,OFFSET(INDIRECT($D$3),$A194-1,$Q$3+CJ$11),OFFSET(INDIRECT($D$4),$A194-1,$Q$4+CJ$11)))))))</f>
        <v/>
      </c>
      <c r="CK194" s="23" t="str">
        <f t="shared" ref="CK194:CK202" ca="1" si="1007">IF(CK$11="","",IF(CK$13=$M$5,CHOOSE($Q$6+1,$M$1,CL194+CM194-CN194),IF(CK$13=$M$6,CHOOSE($Q$6+1,$M$1,OFFSET($A194,,$P$7-1)),IF(CK$13=$M$7,CHOOSE($Q$6+1,$M$1,SUM(OFFSET($A$11,$B194-$O$5,$O$6,1,-$P$6))),IF(CK$13=$M$8,CHOOSE($Q$6+1,$M$1,SUM(OFFSET($A$11,$B194-$O$5,$O$7,1,-$P$6))),IF(CK$11&lt;$D$7,OFFSET(INDIRECT($D$3),$A194-1,$Q$3+CK$11),OFFSET(INDIRECT($D$4),$A194-1,$Q$4+CK$11)))))))</f>
        <v/>
      </c>
      <c r="CL194" s="23" t="str">
        <f t="shared" ref="CL194:CL202" ca="1" si="1008">IF(CL$11="","",IF(CL$13=$M$5,CHOOSE($Q$6+1,$M$1,CM194+CN194-CO194),IF(CL$13=$M$6,CHOOSE($Q$6+1,$M$1,OFFSET($A194,,$P$7-1)),IF(CL$13=$M$7,CHOOSE($Q$6+1,$M$1,SUM(OFFSET($A$11,$B194-$O$5,$O$6,1,-$P$6))),IF(CL$13=$M$8,CHOOSE($Q$6+1,$M$1,SUM(OFFSET($A$11,$B194-$O$5,$O$7,1,-$P$6))),IF(CL$11&lt;$D$7,OFFSET(INDIRECT($D$3),$A194-1,$Q$3+CL$11),OFFSET(INDIRECT($D$4),$A194-1,$Q$4+CL$11)))))))</f>
        <v/>
      </c>
      <c r="CM194" s="23" t="str">
        <f t="shared" ref="CM194:CM202" ca="1" si="1009">IF(CM$11="","",IF(CM$13=$M$5,CHOOSE($Q$6+1,$M$1,CN194+CO194-CP194),IF(CM$13=$M$6,CHOOSE($Q$6+1,$M$1,OFFSET($A194,,$P$7-1)),IF(CM$13=$M$7,CHOOSE($Q$6+1,$M$1,SUM(OFFSET($A$11,$B194-$O$5,$O$6,1,-$P$6))),IF(CM$13=$M$8,CHOOSE($Q$6+1,$M$1,SUM(OFFSET($A$11,$B194-$O$5,$O$7,1,-$P$6))),IF(CM$11&lt;$D$7,OFFSET(INDIRECT($D$3),$A194-1,$Q$3+CM$11),OFFSET(INDIRECT($D$4),$A194-1,$Q$4+CM$11)))))))</f>
        <v/>
      </c>
      <c r="CN194" s="23" t="str">
        <f t="shared" ref="CN194:CN202" ca="1" si="1010">IF(CN$11="","",IF(CN$13=$M$5,CHOOSE($Q$6+1,$M$1,CO194+CP194-CQ194),IF(CN$13=$M$6,CHOOSE($Q$6+1,$M$1,OFFSET($A194,,$P$7-1)),IF(CN$13=$M$7,CHOOSE($Q$6+1,$M$1,SUM(OFFSET($A$11,$B194-$O$5,$O$6,1,-$P$6))),IF(CN$13=$M$8,CHOOSE($Q$6+1,$M$1,SUM(OFFSET($A$11,$B194-$O$5,$O$7,1,-$P$6))),IF(CN$11&lt;$D$7,OFFSET(INDIRECT($D$3),$A194-1,$Q$3+CN$11),OFFSET(INDIRECT($D$4),$A194-1,$Q$4+CN$11)))))))</f>
        <v/>
      </c>
      <c r="CO194" s="23" t="str">
        <f t="shared" ref="CO194:CO202" ca="1" si="1011">IF(CO$11="","",IF(CO$13=$M$5,CHOOSE($Q$6+1,$M$1,CP194+CQ194-CR194),IF(CO$13=$M$6,CHOOSE($Q$6+1,$M$1,OFFSET($A194,,$P$7-1)),IF(CO$13=$M$7,CHOOSE($Q$6+1,$M$1,SUM(OFFSET($A$11,$B194-$O$5,$O$6,1,-$P$6))),IF(CO$13=$M$8,CHOOSE($Q$6+1,$M$1,SUM(OFFSET($A$11,$B194-$O$5,$O$7,1,-$P$6))),IF(CO$11&lt;$D$7,OFFSET(INDIRECT($D$3),$A194-1,$Q$3+CO$11),OFFSET(INDIRECT($D$4),$A194-1,$Q$4+CO$11)))))))</f>
        <v/>
      </c>
      <c r="CP194" s="23" t="str">
        <f t="shared" ref="CP194:CP202" ca="1" si="1012">IF(CP$11="","",IF(CP$13=$M$5,CHOOSE($Q$6+1,$M$1,CQ194+CR194-CS194),IF(CP$13=$M$6,CHOOSE($Q$6+1,$M$1,OFFSET($A194,,$P$7-1)),IF(CP$13=$M$7,CHOOSE($Q$6+1,$M$1,SUM(OFFSET($A$11,$B194-$O$5,$O$6,1,-$P$6))),IF(CP$13=$M$8,CHOOSE($Q$6+1,$M$1,SUM(OFFSET($A$11,$B194-$O$5,$O$7,1,-$P$6))),IF(CP$11&lt;$D$7,OFFSET(INDIRECT($D$3),$A194-1,$Q$3+CP$11),OFFSET(INDIRECT($D$4),$A194-1,$Q$4+CP$11)))))))</f>
        <v/>
      </c>
      <c r="CQ194" s="23" t="str">
        <f t="shared" ref="CQ194:CQ202" ca="1" si="1013">IF(CQ$11="","",IF(CQ$13=$M$5,CHOOSE($Q$6+1,$M$1,CR194+CS194-CT194),IF(CQ$13=$M$6,CHOOSE($Q$6+1,$M$1,OFFSET($A194,,$P$7-1)),IF(CQ$13=$M$7,CHOOSE($Q$6+1,$M$1,SUM(OFFSET($A$11,$B194-$O$5,$O$6,1,-$P$6))),IF(CQ$13=$M$8,CHOOSE($Q$6+1,$M$1,SUM(OFFSET($A$11,$B194-$O$5,$O$7,1,-$P$6))),IF(CQ$11&lt;$D$7,OFFSET(INDIRECT($D$3),$A194-1,$Q$3+CQ$11),OFFSET(INDIRECT($D$4),$A194-1,$Q$4+CQ$11)))))))</f>
        <v/>
      </c>
      <c r="CR194" s="23" t="str">
        <f t="shared" ref="CR194:CR202" ca="1" si="1014">IF(CR$11="","",IF(CR$13=$M$5,CHOOSE($Q$6+1,$M$1,CS194+CT194-CU194),IF(CR$13=$M$6,CHOOSE($Q$6+1,$M$1,OFFSET($A194,,$P$7-1)),IF(CR$13=$M$7,CHOOSE($Q$6+1,$M$1,SUM(OFFSET($A$11,$B194-$O$5,$O$6,1,-$P$6))),IF(CR$13=$M$8,CHOOSE($Q$6+1,$M$1,SUM(OFFSET($A$11,$B194-$O$5,$O$7,1,-$P$6))),IF(CR$11&lt;$D$7,OFFSET(INDIRECT($D$3),$A194-1,$Q$3+CR$11),OFFSET(INDIRECT($D$4),$A194-1,$Q$4+CR$11)))))))</f>
        <v/>
      </c>
      <c r="CS194" s="23" t="str">
        <f t="shared" ref="CS194:CS202" ca="1" si="1015">IF(CS$11="","",IF(CS$13=$M$5,CHOOSE($Q$6+1,$M$1,CT194+CU194-CV194),IF(CS$13=$M$6,CHOOSE($Q$6+1,$M$1,OFFSET($A194,,$P$7-1)),IF(CS$13=$M$7,CHOOSE($Q$6+1,$M$1,SUM(OFFSET($A$11,$B194-$O$5,$O$6,1,-$P$6))),IF(CS$13=$M$8,CHOOSE($Q$6+1,$M$1,SUM(OFFSET($A$11,$B194-$O$5,$O$7,1,-$P$6))),IF(CS$11&lt;$D$7,OFFSET(INDIRECT($D$3),$A194-1,$Q$3+CS$11),OFFSET(INDIRECT($D$4),$A194-1,$Q$4+CS$11)))))))</f>
        <v/>
      </c>
      <c r="CT194" s="23" t="str">
        <f t="shared" ref="CT194:CT202" ca="1" si="1016">IF(CT$11="","",IF(CT$13=$M$5,CHOOSE($Q$6+1,$M$1,CU194+CV194-CW194),IF(CT$13=$M$6,CHOOSE($Q$6+1,$M$1,OFFSET($A194,,$P$7-1)),IF(CT$13=$M$7,CHOOSE($Q$6+1,$M$1,SUM(OFFSET($A$11,$B194-$O$5,$O$6,1,-$P$6))),IF(CT$13=$M$8,CHOOSE($Q$6+1,$M$1,SUM(OFFSET($A$11,$B194-$O$5,$O$7,1,-$P$6))),IF(CT$11&lt;$D$7,OFFSET(INDIRECT($D$3),$A194-1,$Q$3+CT$11),OFFSET(INDIRECT($D$4),$A194-1,$Q$4+CT$11)))))))</f>
        <v/>
      </c>
      <c r="CU194" s="23" t="str">
        <f t="shared" ref="CU194:CU202" ca="1" si="1017">IF(CU$11="","",IF(CU$13=$M$5,CHOOSE($Q$6+1,$M$1,CV194+CW194-CX194),IF(CU$13=$M$6,CHOOSE($Q$6+1,$M$1,OFFSET($A194,,$P$7-1)),IF(CU$13=$M$7,CHOOSE($Q$6+1,$M$1,SUM(OFFSET($A$11,$B194-$O$5,$O$6,1,-$P$6))),IF(CU$13=$M$8,CHOOSE($Q$6+1,$M$1,SUM(OFFSET($A$11,$B194-$O$5,$O$7,1,-$P$6))),IF(CU$11&lt;$D$7,OFFSET(INDIRECT($D$3),$A194-1,$Q$3+CU$11),OFFSET(INDIRECT($D$4),$A194-1,$Q$4+CU$11)))))))</f>
        <v/>
      </c>
      <c r="CV194" s="23" t="str">
        <f t="shared" ref="CV194:CV202" ca="1" si="1018">IF(CV$11="","",IF(CV$13=$M$5,CHOOSE($Q$6+1,$M$1,CW194+CX194-CY194),IF(CV$13=$M$6,CHOOSE($Q$6+1,$M$1,OFFSET($A194,,$P$7-1)),IF(CV$13=$M$7,CHOOSE($Q$6+1,$M$1,SUM(OFFSET($A$11,$B194-$O$5,$O$6,1,-$P$6))),IF(CV$13=$M$8,CHOOSE($Q$6+1,$M$1,SUM(OFFSET($A$11,$B194-$O$5,$O$7,1,-$P$6))),IF(CV$11&lt;$D$7,OFFSET(INDIRECT($D$3),$A194-1,$Q$3+CV$11),OFFSET(INDIRECT($D$4),$A194-1,$Q$4+CV$11)))))))</f>
        <v/>
      </c>
      <c r="CW194" s="23" t="str">
        <f t="shared" ref="CW194:CW202" ca="1" si="1019">IF(CW$11="","",IF(CW$13=$M$5,CHOOSE($Q$6+1,$M$1,CX194+CY194-CZ194),IF(CW$13=$M$6,CHOOSE($Q$6+1,$M$1,OFFSET($A194,,$P$7-1)),IF(CW$13=$M$7,CHOOSE($Q$6+1,$M$1,SUM(OFFSET($A$11,$B194-$O$5,$O$6,1,-$P$6))),IF(CW$13=$M$8,CHOOSE($Q$6+1,$M$1,SUM(OFFSET($A$11,$B194-$O$5,$O$7,1,-$P$6))),IF(CW$11&lt;$D$7,OFFSET(INDIRECT($D$3),$A194-1,$Q$3+CW$11),OFFSET(INDIRECT($D$4),$A194-1,$Q$4+CW$11)))))))</f>
        <v/>
      </c>
      <c r="CX194" s="23" t="str">
        <f ca="1">IF(CX$11="","",IF(CX$13=$M$5,CHOOSE($Q$6+1,$M$1,CY194+CZ194-#REF!),IF(CX$13=$M$6,CHOOSE($Q$6+1,$M$1,OFFSET($A194,,$P$7-1)),IF(CX$13=$M$7,CHOOSE($Q$6+1,$M$1,SUM(OFFSET($A$11,$B194-$O$5,$O$6,1,-$P$6))),IF(CX$13=$M$8,CHOOSE($Q$6+1,$M$1,SUM(OFFSET($A$11,$B194-$O$5,$O$7,1,-$P$6))),IF(CX$11&lt;$D$7,OFFSET(INDIRECT($D$3),$A194-1,$Q$3+CX$11),OFFSET(INDIRECT($D$4),$A194-1,$Q$4+CX$11)))))))</f>
        <v/>
      </c>
      <c r="CY194" s="23" t="str">
        <f ca="1">IF(CY$11="","",IF(CY$13=$M$5,CHOOSE($Q$6+1,$M$1,CZ194+#REF!-#REF!),IF(CY$13=$M$6,CHOOSE($Q$6+1,$M$1,OFFSET($A194,,$P$7-1)),IF(CY$13=$M$7,CHOOSE($Q$6+1,$M$1,SUM(OFFSET($A$11,$B194-$O$5,$O$6,1,-$P$6))),IF(CY$13=$M$8,CHOOSE($Q$6+1,$M$1,SUM(OFFSET($A$11,$B194-$O$5,$O$7,1,-$P$6))),IF(CY$11&lt;$D$7,OFFSET(INDIRECT($D$3),$A194-1,$Q$3+CY$11),OFFSET(INDIRECT($D$4),$A194-1,$Q$4+CY$11)))))))</f>
        <v/>
      </c>
      <c r="CZ194" s="23" t="str">
        <f ca="1">IF(CZ$11="","",IF(CZ$13=$M$5,CHOOSE($Q$6+1,$M$1,#REF!+#REF!-#REF!),IF(CZ$13=$M$6,CHOOSE($Q$6+1,$M$1,OFFSET($A194,,$P$7-1)),IF(CZ$13=$M$7,CHOOSE($Q$6+1,$M$1,SUM(OFFSET($A$11,$B194-$O$5,$O$6,1,-$P$6))),IF(CZ$13=$M$8,CHOOSE($Q$6+1,$M$1,SUM(OFFSET($A$11,$B194-$O$5,$O$7,1,-$P$6))),IF(CZ$11&lt;$D$7,OFFSET(INDIRECT($D$3),$A194-1,$Q$3+CZ$11),OFFSET(INDIRECT($D$4),$A194-1,$Q$4+CZ$11)))))))</f>
        <v/>
      </c>
    </row>
    <row r="195" spans="1:104" ht="13.5" customHeight="1">
      <c r="A195" s="27">
        <v>175</v>
      </c>
      <c r="B195" s="33">
        <f t="shared" si="639"/>
        <v>195</v>
      </c>
      <c r="C195" s="8" t="s">
        <v>442</v>
      </c>
      <c r="D195" s="23">
        <f t="shared" ca="1" si="922"/>
        <v>0</v>
      </c>
      <c r="E195" s="23">
        <f t="shared" ca="1" si="923"/>
        <v>99770</v>
      </c>
      <c r="F195" s="23">
        <f t="shared" ca="1" si="924"/>
        <v>0</v>
      </c>
      <c r="G195" s="23">
        <f t="shared" ca="1" si="925"/>
        <v>0</v>
      </c>
      <c r="H195" s="23">
        <f t="shared" ca="1" si="926"/>
        <v>0</v>
      </c>
      <c r="I195" s="23">
        <f t="shared" ca="1" si="927"/>
        <v>0</v>
      </c>
      <c r="J195" s="23">
        <f t="shared" ca="1" si="928"/>
        <v>0</v>
      </c>
      <c r="K195" s="23">
        <f t="shared" ca="1" si="929"/>
        <v>73140</v>
      </c>
      <c r="L195" s="23">
        <f t="shared" ca="1" si="930"/>
        <v>99770</v>
      </c>
      <c r="M195" s="23">
        <f t="shared" ca="1" si="931"/>
        <v>0</v>
      </c>
      <c r="N195" s="23">
        <f t="shared" ca="1" si="932"/>
        <v>99770</v>
      </c>
      <c r="O195" s="23">
        <f t="shared" ca="1" si="933"/>
        <v>99770</v>
      </c>
      <c r="P195" s="23">
        <f t="shared" ca="1" si="934"/>
        <v>0</v>
      </c>
      <c r="Q195" s="23">
        <f t="shared" ca="1" si="935"/>
        <v>0</v>
      </c>
      <c r="R195" s="23" t="str">
        <f t="shared" ca="1" si="936"/>
        <v/>
      </c>
      <c r="S195" s="23" t="str">
        <f t="shared" ca="1" si="937"/>
        <v/>
      </c>
      <c r="T195" s="23" t="str">
        <f t="shared" ca="1" si="938"/>
        <v/>
      </c>
      <c r="U195" s="23" t="str">
        <f t="shared" ca="1" si="939"/>
        <v/>
      </c>
      <c r="V195" s="23" t="str">
        <f t="shared" ca="1" si="940"/>
        <v/>
      </c>
      <c r="W195" s="23" t="str">
        <f t="shared" ca="1" si="941"/>
        <v/>
      </c>
      <c r="X195" s="23" t="str">
        <f t="shared" ca="1" si="942"/>
        <v/>
      </c>
      <c r="Y195" s="23" t="str">
        <f t="shared" ca="1" si="943"/>
        <v/>
      </c>
      <c r="Z195" s="23" t="str">
        <f t="shared" ca="1" si="944"/>
        <v/>
      </c>
      <c r="AA195" s="23" t="str">
        <f t="shared" ca="1" si="945"/>
        <v/>
      </c>
      <c r="AB195" s="23" t="str">
        <f t="shared" ca="1" si="946"/>
        <v/>
      </c>
      <c r="AC195" s="23" t="str">
        <f t="shared" ca="1" si="947"/>
        <v/>
      </c>
      <c r="AD195" s="23" t="str">
        <f t="shared" ca="1" si="948"/>
        <v/>
      </c>
      <c r="AE195" s="23" t="str">
        <f t="shared" ca="1" si="949"/>
        <v/>
      </c>
      <c r="AF195" s="23" t="str">
        <f t="shared" ca="1" si="950"/>
        <v/>
      </c>
      <c r="AG195" s="23" t="str">
        <f t="shared" ca="1" si="951"/>
        <v/>
      </c>
      <c r="AH195" s="23" t="str">
        <f t="shared" ca="1" si="952"/>
        <v/>
      </c>
      <c r="AI195" s="23" t="str">
        <f t="shared" ca="1" si="953"/>
        <v/>
      </c>
      <c r="AJ195" s="23" t="str">
        <f t="shared" ca="1" si="954"/>
        <v/>
      </c>
      <c r="AK195" s="23" t="str">
        <f t="shared" ca="1" si="955"/>
        <v/>
      </c>
      <c r="AL195" s="23" t="str">
        <f t="shared" ca="1" si="956"/>
        <v/>
      </c>
      <c r="AM195" s="23" t="str">
        <f t="shared" ca="1" si="957"/>
        <v/>
      </c>
      <c r="AN195" s="23" t="str">
        <f t="shared" ca="1" si="958"/>
        <v/>
      </c>
      <c r="AO195" s="23" t="str">
        <f t="shared" ca="1" si="959"/>
        <v/>
      </c>
      <c r="AP195" s="23" t="str">
        <f t="shared" ca="1" si="960"/>
        <v/>
      </c>
      <c r="AQ195" s="23" t="str">
        <f t="shared" ca="1" si="961"/>
        <v/>
      </c>
      <c r="AR195" s="23" t="str">
        <f t="shared" ca="1" si="962"/>
        <v/>
      </c>
      <c r="AS195" s="23" t="str">
        <f t="shared" ca="1" si="963"/>
        <v/>
      </c>
      <c r="AT195" s="23" t="str">
        <f t="shared" ca="1" si="964"/>
        <v/>
      </c>
      <c r="AU195" s="23" t="str">
        <f t="shared" ca="1" si="965"/>
        <v/>
      </c>
      <c r="AV195" s="23" t="str">
        <f t="shared" ca="1" si="966"/>
        <v/>
      </c>
      <c r="AW195" s="23" t="str">
        <f t="shared" ca="1" si="967"/>
        <v/>
      </c>
      <c r="AX195" s="23" t="str">
        <f t="shared" ca="1" si="968"/>
        <v/>
      </c>
      <c r="AY195" s="23" t="str">
        <f t="shared" ca="1" si="969"/>
        <v/>
      </c>
      <c r="AZ195" s="23" t="str">
        <f t="shared" ca="1" si="970"/>
        <v/>
      </c>
      <c r="BA195" s="23" t="str">
        <f t="shared" ca="1" si="971"/>
        <v/>
      </c>
      <c r="BB195" s="23" t="str">
        <f t="shared" ca="1" si="972"/>
        <v/>
      </c>
      <c r="BC195" s="23" t="str">
        <f t="shared" ca="1" si="973"/>
        <v/>
      </c>
      <c r="BD195" s="23" t="str">
        <f t="shared" ca="1" si="974"/>
        <v/>
      </c>
      <c r="BE195" s="23" t="str">
        <f t="shared" ca="1" si="975"/>
        <v/>
      </c>
      <c r="BF195" s="23" t="str">
        <f t="shared" ca="1" si="976"/>
        <v/>
      </c>
      <c r="BG195" s="23" t="str">
        <f t="shared" ca="1" si="977"/>
        <v/>
      </c>
      <c r="BH195" s="23" t="str">
        <f t="shared" ca="1" si="978"/>
        <v/>
      </c>
      <c r="BI195" s="23" t="str">
        <f t="shared" ca="1" si="979"/>
        <v/>
      </c>
      <c r="BJ195" s="23" t="str">
        <f t="shared" ca="1" si="980"/>
        <v/>
      </c>
      <c r="BK195" s="23" t="str">
        <f t="shared" ca="1" si="981"/>
        <v/>
      </c>
      <c r="BL195" s="23" t="str">
        <f t="shared" ca="1" si="982"/>
        <v/>
      </c>
      <c r="BM195" s="23" t="str">
        <f t="shared" ca="1" si="983"/>
        <v/>
      </c>
      <c r="BN195" s="23" t="str">
        <f t="shared" ca="1" si="984"/>
        <v/>
      </c>
      <c r="BO195" s="23" t="str">
        <f t="shared" ca="1" si="985"/>
        <v/>
      </c>
      <c r="BP195" s="23" t="str">
        <f t="shared" ca="1" si="986"/>
        <v/>
      </c>
      <c r="BQ195" s="23" t="str">
        <f t="shared" ca="1" si="987"/>
        <v/>
      </c>
      <c r="BR195" s="23" t="str">
        <f t="shared" ca="1" si="988"/>
        <v/>
      </c>
      <c r="BS195" s="23" t="str">
        <f t="shared" ca="1" si="989"/>
        <v/>
      </c>
      <c r="BT195" s="23" t="str">
        <f t="shared" ca="1" si="990"/>
        <v/>
      </c>
      <c r="BU195" s="23" t="str">
        <f t="shared" ca="1" si="991"/>
        <v/>
      </c>
      <c r="BV195" s="23" t="str">
        <f t="shared" ca="1" si="992"/>
        <v/>
      </c>
      <c r="BW195" s="23" t="str">
        <f t="shared" ca="1" si="993"/>
        <v/>
      </c>
      <c r="BX195" s="23" t="str">
        <f t="shared" ca="1" si="994"/>
        <v/>
      </c>
      <c r="BY195" s="23" t="str">
        <f t="shared" ca="1" si="995"/>
        <v/>
      </c>
      <c r="BZ195" s="23" t="str">
        <f t="shared" ca="1" si="996"/>
        <v/>
      </c>
      <c r="CA195" s="23" t="str">
        <f t="shared" ca="1" si="997"/>
        <v/>
      </c>
      <c r="CB195" s="23" t="str">
        <f t="shared" ca="1" si="998"/>
        <v/>
      </c>
      <c r="CC195" s="23" t="str">
        <f t="shared" ca="1" si="999"/>
        <v/>
      </c>
      <c r="CD195" s="23" t="str">
        <f t="shared" ca="1" si="1000"/>
        <v/>
      </c>
      <c r="CE195" s="23" t="str">
        <f t="shared" ca="1" si="1001"/>
        <v/>
      </c>
      <c r="CF195" s="23" t="str">
        <f t="shared" ca="1" si="1002"/>
        <v/>
      </c>
      <c r="CG195" s="23" t="str">
        <f t="shared" ca="1" si="1003"/>
        <v/>
      </c>
      <c r="CH195" s="23" t="str">
        <f t="shared" ca="1" si="1004"/>
        <v/>
      </c>
      <c r="CI195" s="23" t="str">
        <f t="shared" ca="1" si="1005"/>
        <v/>
      </c>
      <c r="CJ195" s="23" t="str">
        <f t="shared" ca="1" si="1006"/>
        <v/>
      </c>
      <c r="CK195" s="23" t="str">
        <f t="shared" ca="1" si="1007"/>
        <v/>
      </c>
      <c r="CL195" s="23" t="str">
        <f t="shared" ca="1" si="1008"/>
        <v/>
      </c>
      <c r="CM195" s="23" t="str">
        <f t="shared" ca="1" si="1009"/>
        <v/>
      </c>
      <c r="CN195" s="23" t="str">
        <f t="shared" ca="1" si="1010"/>
        <v/>
      </c>
      <c r="CO195" s="23" t="str">
        <f t="shared" ca="1" si="1011"/>
        <v/>
      </c>
      <c r="CP195" s="23" t="str">
        <f t="shared" ca="1" si="1012"/>
        <v/>
      </c>
      <c r="CQ195" s="23" t="str">
        <f t="shared" ca="1" si="1013"/>
        <v/>
      </c>
      <c r="CR195" s="23" t="str">
        <f t="shared" ca="1" si="1014"/>
        <v/>
      </c>
      <c r="CS195" s="23" t="str">
        <f t="shared" ca="1" si="1015"/>
        <v/>
      </c>
      <c r="CT195" s="23" t="str">
        <f t="shared" ca="1" si="1016"/>
        <v/>
      </c>
      <c r="CU195" s="23" t="str">
        <f t="shared" ca="1" si="1017"/>
        <v/>
      </c>
      <c r="CV195" s="23" t="str">
        <f t="shared" ca="1" si="1018"/>
        <v/>
      </c>
      <c r="CW195" s="23" t="str">
        <f t="shared" ca="1" si="1019"/>
        <v/>
      </c>
      <c r="CX195" s="23" t="str">
        <f ca="1">IF(CX$11="","",IF(CX$13=$M$5,CHOOSE($Q$6+1,$M$1,CY195+CZ195-#REF!),IF(CX$13=$M$6,CHOOSE($Q$6+1,$M$1,OFFSET($A195,,$P$7-1)),IF(CX$13=$M$7,CHOOSE($Q$6+1,$M$1,SUM(OFFSET($A$11,$B195-$O$5,$O$6,1,-$P$6))),IF(CX$13=$M$8,CHOOSE($Q$6+1,$M$1,SUM(OFFSET($A$11,$B195-$O$5,$O$7,1,-$P$6))),IF(CX$11&lt;$D$7,OFFSET(INDIRECT($D$3),$A195-1,$Q$3+CX$11),OFFSET(INDIRECT($D$4),$A195-1,$Q$4+CX$11)))))))</f>
        <v/>
      </c>
      <c r="CY195" s="23" t="str">
        <f ca="1">IF(CY$11="","",IF(CY$13=$M$5,CHOOSE($Q$6+1,$M$1,CZ195+#REF!-#REF!),IF(CY$13=$M$6,CHOOSE($Q$6+1,$M$1,OFFSET($A195,,$P$7-1)),IF(CY$13=$M$7,CHOOSE($Q$6+1,$M$1,SUM(OFFSET($A$11,$B195-$O$5,$O$6,1,-$P$6))),IF(CY$13=$M$8,CHOOSE($Q$6+1,$M$1,SUM(OFFSET($A$11,$B195-$O$5,$O$7,1,-$P$6))),IF(CY$11&lt;$D$7,OFFSET(INDIRECT($D$3),$A195-1,$Q$3+CY$11),OFFSET(INDIRECT($D$4),$A195-1,$Q$4+CY$11)))))))</f>
        <v/>
      </c>
      <c r="CZ195" s="23" t="str">
        <f ca="1">IF(CZ$11="","",IF(CZ$13=$M$5,CHOOSE($Q$6+1,$M$1,#REF!+#REF!-#REF!),IF(CZ$13=$M$6,CHOOSE($Q$6+1,$M$1,OFFSET($A195,,$P$7-1)),IF(CZ$13=$M$7,CHOOSE($Q$6+1,$M$1,SUM(OFFSET($A$11,$B195-$O$5,$O$6,1,-$P$6))),IF(CZ$13=$M$8,CHOOSE($Q$6+1,$M$1,SUM(OFFSET($A$11,$B195-$O$5,$O$7,1,-$P$6))),IF(CZ$11&lt;$D$7,OFFSET(INDIRECT($D$3),$A195-1,$Q$3+CZ$11),OFFSET(INDIRECT($D$4),$A195-1,$Q$4+CZ$11)))))))</f>
        <v/>
      </c>
    </row>
    <row r="196" spans="1:104" ht="13.5" customHeight="1">
      <c r="A196" s="27">
        <v>176</v>
      </c>
      <c r="B196" s="33">
        <f t="shared" si="639"/>
        <v>196</v>
      </c>
      <c r="C196" s="8" t="s">
        <v>443</v>
      </c>
      <c r="D196" s="23">
        <f t="shared" ca="1" si="922"/>
        <v>69853</v>
      </c>
      <c r="E196" s="23">
        <f t="shared" ca="1" si="923"/>
        <v>13035</v>
      </c>
      <c r="F196" s="23">
        <f t="shared" ca="1" si="924"/>
        <v>31916</v>
      </c>
      <c r="G196" s="23">
        <f t="shared" ca="1" si="925"/>
        <v>50697</v>
      </c>
      <c r="H196" s="23">
        <f t="shared" ca="1" si="926"/>
        <v>69853</v>
      </c>
      <c r="I196" s="23">
        <f t="shared" ca="1" si="927"/>
        <v>24510</v>
      </c>
      <c r="J196" s="23">
        <f t="shared" ca="1" si="928"/>
        <v>56754</v>
      </c>
      <c r="K196" s="23">
        <f t="shared" ca="1" si="929"/>
        <v>10344</v>
      </c>
      <c r="L196" s="23">
        <f t="shared" ca="1" si="930"/>
        <v>13035</v>
      </c>
      <c r="M196" s="23">
        <f t="shared" ca="1" si="931"/>
        <v>26462</v>
      </c>
      <c r="N196" s="23">
        <f t="shared" ca="1" si="932"/>
        <v>14987</v>
      </c>
      <c r="O196" s="23">
        <f t="shared" ca="1" si="933"/>
        <v>13035</v>
      </c>
      <c r="P196" s="23">
        <f t="shared" ca="1" si="934"/>
        <v>26462</v>
      </c>
      <c r="Q196" s="23">
        <f t="shared" ca="1" si="935"/>
        <v>24510</v>
      </c>
      <c r="R196" s="23" t="str">
        <f t="shared" ca="1" si="936"/>
        <v/>
      </c>
      <c r="S196" s="23" t="str">
        <f t="shared" ca="1" si="937"/>
        <v/>
      </c>
      <c r="T196" s="23" t="str">
        <f t="shared" ca="1" si="938"/>
        <v/>
      </c>
      <c r="U196" s="23" t="str">
        <f t="shared" ca="1" si="939"/>
        <v/>
      </c>
      <c r="V196" s="23" t="str">
        <f t="shared" ca="1" si="940"/>
        <v/>
      </c>
      <c r="W196" s="23" t="str">
        <f t="shared" ca="1" si="941"/>
        <v/>
      </c>
      <c r="X196" s="23" t="str">
        <f t="shared" ca="1" si="942"/>
        <v/>
      </c>
      <c r="Y196" s="23" t="str">
        <f t="shared" ca="1" si="943"/>
        <v/>
      </c>
      <c r="Z196" s="23" t="str">
        <f t="shared" ca="1" si="944"/>
        <v/>
      </c>
      <c r="AA196" s="23" t="str">
        <f t="shared" ca="1" si="945"/>
        <v/>
      </c>
      <c r="AB196" s="23" t="str">
        <f t="shared" ca="1" si="946"/>
        <v/>
      </c>
      <c r="AC196" s="23" t="str">
        <f t="shared" ca="1" si="947"/>
        <v/>
      </c>
      <c r="AD196" s="23" t="str">
        <f t="shared" ca="1" si="948"/>
        <v/>
      </c>
      <c r="AE196" s="23" t="str">
        <f t="shared" ca="1" si="949"/>
        <v/>
      </c>
      <c r="AF196" s="23" t="str">
        <f t="shared" ca="1" si="950"/>
        <v/>
      </c>
      <c r="AG196" s="23" t="str">
        <f t="shared" ca="1" si="951"/>
        <v/>
      </c>
      <c r="AH196" s="23" t="str">
        <f t="shared" ca="1" si="952"/>
        <v/>
      </c>
      <c r="AI196" s="23" t="str">
        <f t="shared" ca="1" si="953"/>
        <v/>
      </c>
      <c r="AJ196" s="23" t="str">
        <f t="shared" ca="1" si="954"/>
        <v/>
      </c>
      <c r="AK196" s="23" t="str">
        <f t="shared" ca="1" si="955"/>
        <v/>
      </c>
      <c r="AL196" s="23" t="str">
        <f t="shared" ca="1" si="956"/>
        <v/>
      </c>
      <c r="AM196" s="23" t="str">
        <f t="shared" ca="1" si="957"/>
        <v/>
      </c>
      <c r="AN196" s="23" t="str">
        <f t="shared" ca="1" si="958"/>
        <v/>
      </c>
      <c r="AO196" s="23" t="str">
        <f t="shared" ca="1" si="959"/>
        <v/>
      </c>
      <c r="AP196" s="23" t="str">
        <f t="shared" ca="1" si="960"/>
        <v/>
      </c>
      <c r="AQ196" s="23" t="str">
        <f t="shared" ca="1" si="961"/>
        <v/>
      </c>
      <c r="AR196" s="23" t="str">
        <f t="shared" ca="1" si="962"/>
        <v/>
      </c>
      <c r="AS196" s="23" t="str">
        <f t="shared" ca="1" si="963"/>
        <v/>
      </c>
      <c r="AT196" s="23" t="str">
        <f t="shared" ca="1" si="964"/>
        <v/>
      </c>
      <c r="AU196" s="23" t="str">
        <f t="shared" ca="1" si="965"/>
        <v/>
      </c>
      <c r="AV196" s="23" t="str">
        <f t="shared" ca="1" si="966"/>
        <v/>
      </c>
      <c r="AW196" s="23" t="str">
        <f t="shared" ca="1" si="967"/>
        <v/>
      </c>
      <c r="AX196" s="23" t="str">
        <f t="shared" ca="1" si="968"/>
        <v/>
      </c>
      <c r="AY196" s="23" t="str">
        <f t="shared" ca="1" si="969"/>
        <v/>
      </c>
      <c r="AZ196" s="23" t="str">
        <f t="shared" ca="1" si="970"/>
        <v/>
      </c>
      <c r="BA196" s="23" t="str">
        <f t="shared" ca="1" si="971"/>
        <v/>
      </c>
      <c r="BB196" s="23" t="str">
        <f t="shared" ca="1" si="972"/>
        <v/>
      </c>
      <c r="BC196" s="23" t="str">
        <f t="shared" ca="1" si="973"/>
        <v/>
      </c>
      <c r="BD196" s="23" t="str">
        <f t="shared" ca="1" si="974"/>
        <v/>
      </c>
      <c r="BE196" s="23" t="str">
        <f t="shared" ca="1" si="975"/>
        <v/>
      </c>
      <c r="BF196" s="23" t="str">
        <f t="shared" ca="1" si="976"/>
        <v/>
      </c>
      <c r="BG196" s="23" t="str">
        <f t="shared" ca="1" si="977"/>
        <v/>
      </c>
      <c r="BH196" s="23" t="str">
        <f t="shared" ca="1" si="978"/>
        <v/>
      </c>
      <c r="BI196" s="23" t="str">
        <f t="shared" ca="1" si="979"/>
        <v/>
      </c>
      <c r="BJ196" s="23" t="str">
        <f t="shared" ca="1" si="980"/>
        <v/>
      </c>
      <c r="BK196" s="23" t="str">
        <f t="shared" ca="1" si="981"/>
        <v/>
      </c>
      <c r="BL196" s="23" t="str">
        <f t="shared" ca="1" si="982"/>
        <v/>
      </c>
      <c r="BM196" s="23" t="str">
        <f t="shared" ca="1" si="983"/>
        <v/>
      </c>
      <c r="BN196" s="23" t="str">
        <f t="shared" ca="1" si="984"/>
        <v/>
      </c>
      <c r="BO196" s="23" t="str">
        <f t="shared" ca="1" si="985"/>
        <v/>
      </c>
      <c r="BP196" s="23" t="str">
        <f t="shared" ca="1" si="986"/>
        <v/>
      </c>
      <c r="BQ196" s="23" t="str">
        <f t="shared" ca="1" si="987"/>
        <v/>
      </c>
      <c r="BR196" s="23" t="str">
        <f t="shared" ca="1" si="988"/>
        <v/>
      </c>
      <c r="BS196" s="23" t="str">
        <f t="shared" ca="1" si="989"/>
        <v/>
      </c>
      <c r="BT196" s="23" t="str">
        <f t="shared" ca="1" si="990"/>
        <v/>
      </c>
      <c r="BU196" s="23" t="str">
        <f t="shared" ca="1" si="991"/>
        <v/>
      </c>
      <c r="BV196" s="23" t="str">
        <f t="shared" ca="1" si="992"/>
        <v/>
      </c>
      <c r="BW196" s="23" t="str">
        <f t="shared" ca="1" si="993"/>
        <v/>
      </c>
      <c r="BX196" s="23" t="str">
        <f t="shared" ca="1" si="994"/>
        <v/>
      </c>
      <c r="BY196" s="23" t="str">
        <f t="shared" ca="1" si="995"/>
        <v/>
      </c>
      <c r="BZ196" s="23" t="str">
        <f t="shared" ca="1" si="996"/>
        <v/>
      </c>
      <c r="CA196" s="23" t="str">
        <f t="shared" ca="1" si="997"/>
        <v/>
      </c>
      <c r="CB196" s="23" t="str">
        <f t="shared" ca="1" si="998"/>
        <v/>
      </c>
      <c r="CC196" s="23" t="str">
        <f t="shared" ca="1" si="999"/>
        <v/>
      </c>
      <c r="CD196" s="23" t="str">
        <f t="shared" ca="1" si="1000"/>
        <v/>
      </c>
      <c r="CE196" s="23" t="str">
        <f t="shared" ca="1" si="1001"/>
        <v/>
      </c>
      <c r="CF196" s="23" t="str">
        <f t="shared" ca="1" si="1002"/>
        <v/>
      </c>
      <c r="CG196" s="23" t="str">
        <f t="shared" ca="1" si="1003"/>
        <v/>
      </c>
      <c r="CH196" s="23" t="str">
        <f t="shared" ca="1" si="1004"/>
        <v/>
      </c>
      <c r="CI196" s="23" t="str">
        <f t="shared" ca="1" si="1005"/>
        <v/>
      </c>
      <c r="CJ196" s="23" t="str">
        <f t="shared" ca="1" si="1006"/>
        <v/>
      </c>
      <c r="CK196" s="23" t="str">
        <f t="shared" ca="1" si="1007"/>
        <v/>
      </c>
      <c r="CL196" s="23" t="str">
        <f t="shared" ca="1" si="1008"/>
        <v/>
      </c>
      <c r="CM196" s="23" t="str">
        <f t="shared" ca="1" si="1009"/>
        <v/>
      </c>
      <c r="CN196" s="23" t="str">
        <f t="shared" ca="1" si="1010"/>
        <v/>
      </c>
      <c r="CO196" s="23" t="str">
        <f t="shared" ca="1" si="1011"/>
        <v/>
      </c>
      <c r="CP196" s="23" t="str">
        <f t="shared" ca="1" si="1012"/>
        <v/>
      </c>
      <c r="CQ196" s="23" t="str">
        <f t="shared" ca="1" si="1013"/>
        <v/>
      </c>
      <c r="CR196" s="23" t="str">
        <f t="shared" ca="1" si="1014"/>
        <v/>
      </c>
      <c r="CS196" s="23" t="str">
        <f t="shared" ca="1" si="1015"/>
        <v/>
      </c>
      <c r="CT196" s="23" t="str">
        <f t="shared" ca="1" si="1016"/>
        <v/>
      </c>
      <c r="CU196" s="23" t="str">
        <f t="shared" ca="1" si="1017"/>
        <v/>
      </c>
      <c r="CV196" s="23" t="str">
        <f t="shared" ca="1" si="1018"/>
        <v/>
      </c>
      <c r="CW196" s="23" t="str">
        <f t="shared" ca="1" si="1019"/>
        <v/>
      </c>
      <c r="CX196" s="23" t="str">
        <f ca="1">IF(CX$11="","",IF(CX$13=$M$5,CHOOSE($Q$6+1,$M$1,CY196+CZ196-#REF!),IF(CX$13=$M$6,CHOOSE($Q$6+1,$M$1,OFFSET($A196,,$P$7-1)),IF(CX$13=$M$7,CHOOSE($Q$6+1,$M$1,SUM(OFFSET($A$11,$B196-$O$5,$O$6,1,-$P$6))),IF(CX$13=$M$8,CHOOSE($Q$6+1,$M$1,SUM(OFFSET($A$11,$B196-$O$5,$O$7,1,-$P$6))),IF(CX$11&lt;$D$7,OFFSET(INDIRECT($D$3),$A196-1,$Q$3+CX$11),OFFSET(INDIRECT($D$4),$A196-1,$Q$4+CX$11)))))))</f>
        <v/>
      </c>
      <c r="CY196" s="23" t="str">
        <f ca="1">IF(CY$11="","",IF(CY$13=$M$5,CHOOSE($Q$6+1,$M$1,CZ196+#REF!-#REF!),IF(CY$13=$M$6,CHOOSE($Q$6+1,$M$1,OFFSET($A196,,$P$7-1)),IF(CY$13=$M$7,CHOOSE($Q$6+1,$M$1,SUM(OFFSET($A$11,$B196-$O$5,$O$6,1,-$P$6))),IF(CY$13=$M$8,CHOOSE($Q$6+1,$M$1,SUM(OFFSET($A$11,$B196-$O$5,$O$7,1,-$P$6))),IF(CY$11&lt;$D$7,OFFSET(INDIRECT($D$3),$A196-1,$Q$3+CY$11),OFFSET(INDIRECT($D$4),$A196-1,$Q$4+CY$11)))))))</f>
        <v/>
      </c>
      <c r="CZ196" s="23" t="str">
        <f ca="1">IF(CZ$11="","",IF(CZ$13=$M$5,CHOOSE($Q$6+1,$M$1,#REF!+#REF!-#REF!),IF(CZ$13=$M$6,CHOOSE($Q$6+1,$M$1,OFFSET($A196,,$P$7-1)),IF(CZ$13=$M$7,CHOOSE($Q$6+1,$M$1,SUM(OFFSET($A$11,$B196-$O$5,$O$6,1,-$P$6))),IF(CZ$13=$M$8,CHOOSE($Q$6+1,$M$1,SUM(OFFSET($A$11,$B196-$O$5,$O$7,1,-$P$6))),IF(CZ$11&lt;$D$7,OFFSET(INDIRECT($D$3),$A196-1,$Q$3+CZ$11),OFFSET(INDIRECT($D$4),$A196-1,$Q$4+CZ$11)))))))</f>
        <v/>
      </c>
    </row>
    <row r="197" spans="1:104" ht="13.5" customHeight="1">
      <c r="A197" s="27">
        <v>177</v>
      </c>
      <c r="B197" s="33">
        <f t="shared" si="639"/>
        <v>197</v>
      </c>
      <c r="C197" s="8" t="s">
        <v>444</v>
      </c>
      <c r="D197" s="23">
        <f t="shared" ca="1" si="922"/>
        <v>-7452</v>
      </c>
      <c r="E197" s="23">
        <f t="shared" ca="1" si="923"/>
        <v>-9402</v>
      </c>
      <c r="F197" s="23">
        <f t="shared" ca="1" si="924"/>
        <v>-1919</v>
      </c>
      <c r="G197" s="23">
        <f t="shared" ca="1" si="925"/>
        <v>-2881</v>
      </c>
      <c r="H197" s="23">
        <f t="shared" ca="1" si="926"/>
        <v>-7452</v>
      </c>
      <c r="I197" s="23">
        <f t="shared" ca="1" si="927"/>
        <v>-1429</v>
      </c>
      <c r="J197" s="23">
        <f t="shared" ca="1" si="928"/>
        <v>-2938</v>
      </c>
      <c r="K197" s="23">
        <f t="shared" ca="1" si="929"/>
        <v>-5901</v>
      </c>
      <c r="L197" s="23">
        <f t="shared" ca="1" si="930"/>
        <v>-9402</v>
      </c>
      <c r="M197" s="23">
        <f t="shared" ca="1" si="931"/>
        <v>-2455</v>
      </c>
      <c r="N197" s="23">
        <f t="shared" ca="1" si="932"/>
        <v>-10428</v>
      </c>
      <c r="O197" s="23">
        <f t="shared" ca="1" si="933"/>
        <v>-9402</v>
      </c>
      <c r="P197" s="23">
        <f t="shared" ca="1" si="934"/>
        <v>-2455</v>
      </c>
      <c r="Q197" s="23">
        <f t="shared" ca="1" si="935"/>
        <v>-1429</v>
      </c>
      <c r="R197" s="23" t="str">
        <f t="shared" ca="1" si="936"/>
        <v/>
      </c>
      <c r="S197" s="23" t="str">
        <f t="shared" ca="1" si="937"/>
        <v/>
      </c>
      <c r="T197" s="23" t="str">
        <f t="shared" ca="1" si="938"/>
        <v/>
      </c>
      <c r="U197" s="23" t="str">
        <f t="shared" ca="1" si="939"/>
        <v/>
      </c>
      <c r="V197" s="23" t="str">
        <f t="shared" ca="1" si="940"/>
        <v/>
      </c>
      <c r="W197" s="23" t="str">
        <f t="shared" ca="1" si="941"/>
        <v/>
      </c>
      <c r="X197" s="23" t="str">
        <f t="shared" ca="1" si="942"/>
        <v/>
      </c>
      <c r="Y197" s="23" t="str">
        <f t="shared" ca="1" si="943"/>
        <v/>
      </c>
      <c r="Z197" s="23" t="str">
        <f t="shared" ca="1" si="944"/>
        <v/>
      </c>
      <c r="AA197" s="23" t="str">
        <f t="shared" ca="1" si="945"/>
        <v/>
      </c>
      <c r="AB197" s="23" t="str">
        <f t="shared" ca="1" si="946"/>
        <v/>
      </c>
      <c r="AC197" s="23" t="str">
        <f t="shared" ca="1" si="947"/>
        <v/>
      </c>
      <c r="AD197" s="23" t="str">
        <f t="shared" ca="1" si="948"/>
        <v/>
      </c>
      <c r="AE197" s="23" t="str">
        <f t="shared" ca="1" si="949"/>
        <v/>
      </c>
      <c r="AF197" s="23" t="str">
        <f t="shared" ca="1" si="950"/>
        <v/>
      </c>
      <c r="AG197" s="23" t="str">
        <f t="shared" ca="1" si="951"/>
        <v/>
      </c>
      <c r="AH197" s="23" t="str">
        <f t="shared" ca="1" si="952"/>
        <v/>
      </c>
      <c r="AI197" s="23" t="str">
        <f t="shared" ca="1" si="953"/>
        <v/>
      </c>
      <c r="AJ197" s="23" t="str">
        <f t="shared" ca="1" si="954"/>
        <v/>
      </c>
      <c r="AK197" s="23" t="str">
        <f t="shared" ca="1" si="955"/>
        <v/>
      </c>
      <c r="AL197" s="23" t="str">
        <f t="shared" ca="1" si="956"/>
        <v/>
      </c>
      <c r="AM197" s="23" t="str">
        <f t="shared" ca="1" si="957"/>
        <v/>
      </c>
      <c r="AN197" s="23" t="str">
        <f t="shared" ca="1" si="958"/>
        <v/>
      </c>
      <c r="AO197" s="23" t="str">
        <f t="shared" ca="1" si="959"/>
        <v/>
      </c>
      <c r="AP197" s="23" t="str">
        <f t="shared" ca="1" si="960"/>
        <v/>
      </c>
      <c r="AQ197" s="23" t="str">
        <f t="shared" ca="1" si="961"/>
        <v/>
      </c>
      <c r="AR197" s="23" t="str">
        <f t="shared" ca="1" si="962"/>
        <v/>
      </c>
      <c r="AS197" s="23" t="str">
        <f t="shared" ca="1" si="963"/>
        <v/>
      </c>
      <c r="AT197" s="23" t="str">
        <f t="shared" ca="1" si="964"/>
        <v/>
      </c>
      <c r="AU197" s="23" t="str">
        <f t="shared" ca="1" si="965"/>
        <v/>
      </c>
      <c r="AV197" s="23" t="str">
        <f t="shared" ca="1" si="966"/>
        <v/>
      </c>
      <c r="AW197" s="23" t="str">
        <f t="shared" ca="1" si="967"/>
        <v/>
      </c>
      <c r="AX197" s="23" t="str">
        <f t="shared" ca="1" si="968"/>
        <v/>
      </c>
      <c r="AY197" s="23" t="str">
        <f t="shared" ca="1" si="969"/>
        <v/>
      </c>
      <c r="AZ197" s="23" t="str">
        <f t="shared" ca="1" si="970"/>
        <v/>
      </c>
      <c r="BA197" s="23" t="str">
        <f t="shared" ca="1" si="971"/>
        <v/>
      </c>
      <c r="BB197" s="23" t="str">
        <f t="shared" ca="1" si="972"/>
        <v/>
      </c>
      <c r="BC197" s="23" t="str">
        <f t="shared" ca="1" si="973"/>
        <v/>
      </c>
      <c r="BD197" s="23" t="str">
        <f t="shared" ca="1" si="974"/>
        <v/>
      </c>
      <c r="BE197" s="23" t="str">
        <f t="shared" ca="1" si="975"/>
        <v/>
      </c>
      <c r="BF197" s="23" t="str">
        <f t="shared" ca="1" si="976"/>
        <v/>
      </c>
      <c r="BG197" s="23" t="str">
        <f t="shared" ca="1" si="977"/>
        <v/>
      </c>
      <c r="BH197" s="23" t="str">
        <f t="shared" ca="1" si="978"/>
        <v/>
      </c>
      <c r="BI197" s="23" t="str">
        <f t="shared" ca="1" si="979"/>
        <v/>
      </c>
      <c r="BJ197" s="23" t="str">
        <f t="shared" ca="1" si="980"/>
        <v/>
      </c>
      <c r="BK197" s="23" t="str">
        <f t="shared" ca="1" si="981"/>
        <v/>
      </c>
      <c r="BL197" s="23" t="str">
        <f t="shared" ca="1" si="982"/>
        <v/>
      </c>
      <c r="BM197" s="23" t="str">
        <f t="shared" ca="1" si="983"/>
        <v/>
      </c>
      <c r="BN197" s="23" t="str">
        <f t="shared" ca="1" si="984"/>
        <v/>
      </c>
      <c r="BO197" s="23" t="str">
        <f t="shared" ca="1" si="985"/>
        <v/>
      </c>
      <c r="BP197" s="23" t="str">
        <f t="shared" ca="1" si="986"/>
        <v/>
      </c>
      <c r="BQ197" s="23" t="str">
        <f t="shared" ca="1" si="987"/>
        <v/>
      </c>
      <c r="BR197" s="23" t="str">
        <f t="shared" ca="1" si="988"/>
        <v/>
      </c>
      <c r="BS197" s="23" t="str">
        <f t="shared" ca="1" si="989"/>
        <v/>
      </c>
      <c r="BT197" s="23" t="str">
        <f t="shared" ca="1" si="990"/>
        <v/>
      </c>
      <c r="BU197" s="23" t="str">
        <f t="shared" ca="1" si="991"/>
        <v/>
      </c>
      <c r="BV197" s="23" t="str">
        <f t="shared" ca="1" si="992"/>
        <v/>
      </c>
      <c r="BW197" s="23" t="str">
        <f t="shared" ca="1" si="993"/>
        <v/>
      </c>
      <c r="BX197" s="23" t="str">
        <f t="shared" ca="1" si="994"/>
        <v/>
      </c>
      <c r="BY197" s="23" t="str">
        <f t="shared" ca="1" si="995"/>
        <v/>
      </c>
      <c r="BZ197" s="23" t="str">
        <f t="shared" ca="1" si="996"/>
        <v/>
      </c>
      <c r="CA197" s="23" t="str">
        <f t="shared" ca="1" si="997"/>
        <v/>
      </c>
      <c r="CB197" s="23" t="str">
        <f t="shared" ca="1" si="998"/>
        <v/>
      </c>
      <c r="CC197" s="23" t="str">
        <f t="shared" ca="1" si="999"/>
        <v/>
      </c>
      <c r="CD197" s="23" t="str">
        <f t="shared" ca="1" si="1000"/>
        <v/>
      </c>
      <c r="CE197" s="23" t="str">
        <f t="shared" ca="1" si="1001"/>
        <v/>
      </c>
      <c r="CF197" s="23" t="str">
        <f t="shared" ca="1" si="1002"/>
        <v/>
      </c>
      <c r="CG197" s="23" t="str">
        <f t="shared" ca="1" si="1003"/>
        <v/>
      </c>
      <c r="CH197" s="23" t="str">
        <f t="shared" ca="1" si="1004"/>
        <v/>
      </c>
      <c r="CI197" s="23" t="str">
        <f t="shared" ca="1" si="1005"/>
        <v/>
      </c>
      <c r="CJ197" s="23" t="str">
        <f t="shared" ca="1" si="1006"/>
        <v/>
      </c>
      <c r="CK197" s="23" t="str">
        <f t="shared" ca="1" si="1007"/>
        <v/>
      </c>
      <c r="CL197" s="23" t="str">
        <f t="shared" ca="1" si="1008"/>
        <v/>
      </c>
      <c r="CM197" s="23" t="str">
        <f t="shared" ca="1" si="1009"/>
        <v/>
      </c>
      <c r="CN197" s="23" t="str">
        <f t="shared" ca="1" si="1010"/>
        <v/>
      </c>
      <c r="CO197" s="23" t="str">
        <f t="shared" ca="1" si="1011"/>
        <v/>
      </c>
      <c r="CP197" s="23" t="str">
        <f t="shared" ca="1" si="1012"/>
        <v/>
      </c>
      <c r="CQ197" s="23" t="str">
        <f t="shared" ca="1" si="1013"/>
        <v/>
      </c>
      <c r="CR197" s="23" t="str">
        <f t="shared" ca="1" si="1014"/>
        <v/>
      </c>
      <c r="CS197" s="23" t="str">
        <f t="shared" ca="1" si="1015"/>
        <v/>
      </c>
      <c r="CT197" s="23" t="str">
        <f t="shared" ca="1" si="1016"/>
        <v/>
      </c>
      <c r="CU197" s="23" t="str">
        <f t="shared" ca="1" si="1017"/>
        <v/>
      </c>
      <c r="CV197" s="23" t="str">
        <f t="shared" ca="1" si="1018"/>
        <v/>
      </c>
      <c r="CW197" s="23" t="str">
        <f t="shared" ca="1" si="1019"/>
        <v/>
      </c>
      <c r="CX197" s="23" t="str">
        <f ca="1">IF(CX$11="","",IF(CX$13=$M$5,CHOOSE($Q$6+1,$M$1,CY197+CZ197-#REF!),IF(CX$13=$M$6,CHOOSE($Q$6+1,$M$1,OFFSET($A197,,$P$7-1)),IF(CX$13=$M$7,CHOOSE($Q$6+1,$M$1,SUM(OFFSET($A$11,$B197-$O$5,$O$6,1,-$P$6))),IF(CX$13=$M$8,CHOOSE($Q$6+1,$M$1,SUM(OFFSET($A$11,$B197-$O$5,$O$7,1,-$P$6))),IF(CX$11&lt;$D$7,OFFSET(INDIRECT($D$3),$A197-1,$Q$3+CX$11),OFFSET(INDIRECT($D$4),$A197-1,$Q$4+CX$11)))))))</f>
        <v/>
      </c>
      <c r="CY197" s="23" t="str">
        <f ca="1">IF(CY$11="","",IF(CY$13=$M$5,CHOOSE($Q$6+1,$M$1,CZ197+#REF!-#REF!),IF(CY$13=$M$6,CHOOSE($Q$6+1,$M$1,OFFSET($A197,,$P$7-1)),IF(CY$13=$M$7,CHOOSE($Q$6+1,$M$1,SUM(OFFSET($A$11,$B197-$O$5,$O$6,1,-$P$6))),IF(CY$13=$M$8,CHOOSE($Q$6+1,$M$1,SUM(OFFSET($A$11,$B197-$O$5,$O$7,1,-$P$6))),IF(CY$11&lt;$D$7,OFFSET(INDIRECT($D$3),$A197-1,$Q$3+CY$11),OFFSET(INDIRECT($D$4),$A197-1,$Q$4+CY$11)))))))</f>
        <v/>
      </c>
      <c r="CZ197" s="23" t="str">
        <f ca="1">IF(CZ$11="","",IF(CZ$13=$M$5,CHOOSE($Q$6+1,$M$1,#REF!+#REF!-#REF!),IF(CZ$13=$M$6,CHOOSE($Q$6+1,$M$1,OFFSET($A197,,$P$7-1)),IF(CZ$13=$M$7,CHOOSE($Q$6+1,$M$1,SUM(OFFSET($A$11,$B197-$O$5,$O$6,1,-$P$6))),IF(CZ$13=$M$8,CHOOSE($Q$6+1,$M$1,SUM(OFFSET($A$11,$B197-$O$5,$O$7,1,-$P$6))),IF(CZ$11&lt;$D$7,OFFSET(INDIRECT($D$3),$A197-1,$Q$3+CZ$11),OFFSET(INDIRECT($D$4),$A197-1,$Q$4+CZ$11)))))))</f>
        <v/>
      </c>
    </row>
    <row r="198" spans="1:104" ht="13.5" customHeight="1">
      <c r="A198" s="27">
        <v>178</v>
      </c>
      <c r="B198" s="33">
        <f t="shared" si="639"/>
        <v>198</v>
      </c>
      <c r="C198" s="8" t="s">
        <v>445</v>
      </c>
      <c r="D198" s="23">
        <f t="shared" ca="1" si="922"/>
        <v>-244</v>
      </c>
      <c r="E198" s="23">
        <f t="shared" ca="1" si="923"/>
        <v>-350</v>
      </c>
      <c r="F198" s="23">
        <f t="shared" ca="1" si="924"/>
        <v>0</v>
      </c>
      <c r="G198" s="23">
        <f t="shared" ca="1" si="925"/>
        <v>0</v>
      </c>
      <c r="H198" s="23">
        <f t="shared" ca="1" si="926"/>
        <v>-244</v>
      </c>
      <c r="I198" s="23">
        <f t="shared" ca="1" si="927"/>
        <v>0</v>
      </c>
      <c r="J198" s="23">
        <f t="shared" ca="1" si="928"/>
        <v>-350</v>
      </c>
      <c r="K198" s="23">
        <f t="shared" ca="1" si="929"/>
        <v>-350</v>
      </c>
      <c r="L198" s="23">
        <f t="shared" ca="1" si="930"/>
        <v>-350</v>
      </c>
      <c r="M198" s="23">
        <f t="shared" ca="1" si="931"/>
        <v>-284</v>
      </c>
      <c r="N198" s="23">
        <f t="shared" ca="1" si="932"/>
        <v>-634</v>
      </c>
      <c r="O198" s="23">
        <f t="shared" ca="1" si="933"/>
        <v>-350</v>
      </c>
      <c r="P198" s="23">
        <f t="shared" ca="1" si="934"/>
        <v>-284</v>
      </c>
      <c r="Q198" s="23">
        <f t="shared" ca="1" si="935"/>
        <v>0</v>
      </c>
      <c r="R198" s="23" t="str">
        <f t="shared" ca="1" si="936"/>
        <v/>
      </c>
      <c r="S198" s="23" t="str">
        <f t="shared" ca="1" si="937"/>
        <v/>
      </c>
      <c r="T198" s="23" t="str">
        <f t="shared" ca="1" si="938"/>
        <v/>
      </c>
      <c r="U198" s="23" t="str">
        <f t="shared" ca="1" si="939"/>
        <v/>
      </c>
      <c r="V198" s="23" t="str">
        <f t="shared" ca="1" si="940"/>
        <v/>
      </c>
      <c r="W198" s="23" t="str">
        <f t="shared" ca="1" si="941"/>
        <v/>
      </c>
      <c r="X198" s="23" t="str">
        <f t="shared" ca="1" si="942"/>
        <v/>
      </c>
      <c r="Y198" s="23" t="str">
        <f t="shared" ca="1" si="943"/>
        <v/>
      </c>
      <c r="Z198" s="23" t="str">
        <f t="shared" ca="1" si="944"/>
        <v/>
      </c>
      <c r="AA198" s="23" t="str">
        <f t="shared" ca="1" si="945"/>
        <v/>
      </c>
      <c r="AB198" s="23" t="str">
        <f t="shared" ca="1" si="946"/>
        <v/>
      </c>
      <c r="AC198" s="23" t="str">
        <f t="shared" ca="1" si="947"/>
        <v/>
      </c>
      <c r="AD198" s="23" t="str">
        <f t="shared" ca="1" si="948"/>
        <v/>
      </c>
      <c r="AE198" s="23" t="str">
        <f t="shared" ca="1" si="949"/>
        <v/>
      </c>
      <c r="AF198" s="23" t="str">
        <f t="shared" ca="1" si="950"/>
        <v/>
      </c>
      <c r="AG198" s="23" t="str">
        <f t="shared" ca="1" si="951"/>
        <v/>
      </c>
      <c r="AH198" s="23" t="str">
        <f t="shared" ca="1" si="952"/>
        <v/>
      </c>
      <c r="AI198" s="23" t="str">
        <f t="shared" ca="1" si="953"/>
        <v/>
      </c>
      <c r="AJ198" s="23" t="str">
        <f t="shared" ca="1" si="954"/>
        <v/>
      </c>
      <c r="AK198" s="23" t="str">
        <f t="shared" ca="1" si="955"/>
        <v/>
      </c>
      <c r="AL198" s="23" t="str">
        <f t="shared" ca="1" si="956"/>
        <v/>
      </c>
      <c r="AM198" s="23" t="str">
        <f t="shared" ca="1" si="957"/>
        <v/>
      </c>
      <c r="AN198" s="23" t="str">
        <f t="shared" ca="1" si="958"/>
        <v/>
      </c>
      <c r="AO198" s="23" t="str">
        <f t="shared" ca="1" si="959"/>
        <v/>
      </c>
      <c r="AP198" s="23" t="str">
        <f t="shared" ca="1" si="960"/>
        <v/>
      </c>
      <c r="AQ198" s="23" t="str">
        <f t="shared" ca="1" si="961"/>
        <v/>
      </c>
      <c r="AR198" s="23" t="str">
        <f t="shared" ca="1" si="962"/>
        <v/>
      </c>
      <c r="AS198" s="23" t="str">
        <f t="shared" ca="1" si="963"/>
        <v/>
      </c>
      <c r="AT198" s="23" t="str">
        <f t="shared" ca="1" si="964"/>
        <v/>
      </c>
      <c r="AU198" s="23" t="str">
        <f t="shared" ca="1" si="965"/>
        <v/>
      </c>
      <c r="AV198" s="23" t="str">
        <f t="shared" ca="1" si="966"/>
        <v/>
      </c>
      <c r="AW198" s="23" t="str">
        <f t="shared" ca="1" si="967"/>
        <v/>
      </c>
      <c r="AX198" s="23" t="str">
        <f t="shared" ca="1" si="968"/>
        <v/>
      </c>
      <c r="AY198" s="23" t="str">
        <f t="shared" ca="1" si="969"/>
        <v/>
      </c>
      <c r="AZ198" s="23" t="str">
        <f t="shared" ca="1" si="970"/>
        <v/>
      </c>
      <c r="BA198" s="23" t="str">
        <f t="shared" ca="1" si="971"/>
        <v/>
      </c>
      <c r="BB198" s="23" t="str">
        <f t="shared" ca="1" si="972"/>
        <v/>
      </c>
      <c r="BC198" s="23" t="str">
        <f t="shared" ca="1" si="973"/>
        <v/>
      </c>
      <c r="BD198" s="23" t="str">
        <f t="shared" ca="1" si="974"/>
        <v/>
      </c>
      <c r="BE198" s="23" t="str">
        <f t="shared" ca="1" si="975"/>
        <v/>
      </c>
      <c r="BF198" s="23" t="str">
        <f t="shared" ca="1" si="976"/>
        <v/>
      </c>
      <c r="BG198" s="23" t="str">
        <f t="shared" ca="1" si="977"/>
        <v/>
      </c>
      <c r="BH198" s="23" t="str">
        <f t="shared" ca="1" si="978"/>
        <v/>
      </c>
      <c r="BI198" s="23" t="str">
        <f t="shared" ca="1" si="979"/>
        <v/>
      </c>
      <c r="BJ198" s="23" t="str">
        <f t="shared" ca="1" si="980"/>
        <v/>
      </c>
      <c r="BK198" s="23" t="str">
        <f t="shared" ca="1" si="981"/>
        <v/>
      </c>
      <c r="BL198" s="23" t="str">
        <f t="shared" ca="1" si="982"/>
        <v/>
      </c>
      <c r="BM198" s="23" t="str">
        <f t="shared" ca="1" si="983"/>
        <v/>
      </c>
      <c r="BN198" s="23" t="str">
        <f t="shared" ca="1" si="984"/>
        <v/>
      </c>
      <c r="BO198" s="23" t="str">
        <f t="shared" ca="1" si="985"/>
        <v/>
      </c>
      <c r="BP198" s="23" t="str">
        <f t="shared" ca="1" si="986"/>
        <v/>
      </c>
      <c r="BQ198" s="23" t="str">
        <f t="shared" ca="1" si="987"/>
        <v/>
      </c>
      <c r="BR198" s="23" t="str">
        <f t="shared" ca="1" si="988"/>
        <v/>
      </c>
      <c r="BS198" s="23" t="str">
        <f t="shared" ca="1" si="989"/>
        <v/>
      </c>
      <c r="BT198" s="23" t="str">
        <f t="shared" ca="1" si="990"/>
        <v/>
      </c>
      <c r="BU198" s="23" t="str">
        <f t="shared" ca="1" si="991"/>
        <v/>
      </c>
      <c r="BV198" s="23" t="str">
        <f t="shared" ca="1" si="992"/>
        <v/>
      </c>
      <c r="BW198" s="23" t="str">
        <f t="shared" ca="1" si="993"/>
        <v/>
      </c>
      <c r="BX198" s="23" t="str">
        <f t="shared" ca="1" si="994"/>
        <v/>
      </c>
      <c r="BY198" s="23" t="str">
        <f t="shared" ca="1" si="995"/>
        <v/>
      </c>
      <c r="BZ198" s="23" t="str">
        <f t="shared" ca="1" si="996"/>
        <v/>
      </c>
      <c r="CA198" s="23" t="str">
        <f t="shared" ca="1" si="997"/>
        <v/>
      </c>
      <c r="CB198" s="23" t="str">
        <f t="shared" ca="1" si="998"/>
        <v/>
      </c>
      <c r="CC198" s="23" t="str">
        <f t="shared" ca="1" si="999"/>
        <v/>
      </c>
      <c r="CD198" s="23" t="str">
        <f t="shared" ca="1" si="1000"/>
        <v/>
      </c>
      <c r="CE198" s="23" t="str">
        <f t="shared" ca="1" si="1001"/>
        <v/>
      </c>
      <c r="CF198" s="23" t="str">
        <f t="shared" ca="1" si="1002"/>
        <v/>
      </c>
      <c r="CG198" s="23" t="str">
        <f t="shared" ca="1" si="1003"/>
        <v/>
      </c>
      <c r="CH198" s="23" t="str">
        <f t="shared" ca="1" si="1004"/>
        <v/>
      </c>
      <c r="CI198" s="23" t="str">
        <f t="shared" ca="1" si="1005"/>
        <v/>
      </c>
      <c r="CJ198" s="23" t="str">
        <f t="shared" ca="1" si="1006"/>
        <v/>
      </c>
      <c r="CK198" s="23" t="str">
        <f t="shared" ca="1" si="1007"/>
        <v/>
      </c>
      <c r="CL198" s="23" t="str">
        <f t="shared" ca="1" si="1008"/>
        <v/>
      </c>
      <c r="CM198" s="23" t="str">
        <f t="shared" ca="1" si="1009"/>
        <v/>
      </c>
      <c r="CN198" s="23" t="str">
        <f t="shared" ca="1" si="1010"/>
        <v/>
      </c>
      <c r="CO198" s="23" t="str">
        <f t="shared" ca="1" si="1011"/>
        <v/>
      </c>
      <c r="CP198" s="23" t="str">
        <f t="shared" ca="1" si="1012"/>
        <v/>
      </c>
      <c r="CQ198" s="23" t="str">
        <f t="shared" ca="1" si="1013"/>
        <v/>
      </c>
      <c r="CR198" s="23" t="str">
        <f t="shared" ca="1" si="1014"/>
        <v/>
      </c>
      <c r="CS198" s="23" t="str">
        <f t="shared" ca="1" si="1015"/>
        <v/>
      </c>
      <c r="CT198" s="23" t="str">
        <f t="shared" ca="1" si="1016"/>
        <v/>
      </c>
      <c r="CU198" s="23" t="str">
        <f t="shared" ca="1" si="1017"/>
        <v/>
      </c>
      <c r="CV198" s="23" t="str">
        <f t="shared" ca="1" si="1018"/>
        <v/>
      </c>
      <c r="CW198" s="23" t="str">
        <f t="shared" ca="1" si="1019"/>
        <v/>
      </c>
      <c r="CX198" s="23" t="str">
        <f ca="1">IF(CX$11="","",IF(CX$13=$M$5,CHOOSE($Q$6+1,$M$1,CY198+CZ198-#REF!),IF(CX$13=$M$6,CHOOSE($Q$6+1,$M$1,OFFSET($A198,,$P$7-1)),IF(CX$13=$M$7,CHOOSE($Q$6+1,$M$1,SUM(OFFSET($A$11,$B198-$O$5,$O$6,1,-$P$6))),IF(CX$13=$M$8,CHOOSE($Q$6+1,$M$1,SUM(OFFSET($A$11,$B198-$O$5,$O$7,1,-$P$6))),IF(CX$11&lt;$D$7,OFFSET(INDIRECT($D$3),$A198-1,$Q$3+CX$11),OFFSET(INDIRECT($D$4),$A198-1,$Q$4+CX$11)))))))</f>
        <v/>
      </c>
      <c r="CY198" s="23" t="str">
        <f ca="1">IF(CY$11="","",IF(CY$13=$M$5,CHOOSE($Q$6+1,$M$1,CZ198+#REF!-#REF!),IF(CY$13=$M$6,CHOOSE($Q$6+1,$M$1,OFFSET($A198,,$P$7-1)),IF(CY$13=$M$7,CHOOSE($Q$6+1,$M$1,SUM(OFFSET($A$11,$B198-$O$5,$O$6,1,-$P$6))),IF(CY$13=$M$8,CHOOSE($Q$6+1,$M$1,SUM(OFFSET($A$11,$B198-$O$5,$O$7,1,-$P$6))),IF(CY$11&lt;$D$7,OFFSET(INDIRECT($D$3),$A198-1,$Q$3+CY$11),OFFSET(INDIRECT($D$4),$A198-1,$Q$4+CY$11)))))))</f>
        <v/>
      </c>
      <c r="CZ198" s="23" t="str">
        <f ca="1">IF(CZ$11="","",IF(CZ$13=$M$5,CHOOSE($Q$6+1,$M$1,#REF!+#REF!-#REF!),IF(CZ$13=$M$6,CHOOSE($Q$6+1,$M$1,OFFSET($A198,,$P$7-1)),IF(CZ$13=$M$7,CHOOSE($Q$6+1,$M$1,SUM(OFFSET($A$11,$B198-$O$5,$O$6,1,-$P$6))),IF(CZ$13=$M$8,CHOOSE($Q$6+1,$M$1,SUM(OFFSET($A$11,$B198-$O$5,$O$7,1,-$P$6))),IF(CZ$11&lt;$D$7,OFFSET(INDIRECT($D$3),$A198-1,$Q$3+CZ$11),OFFSET(INDIRECT($D$4),$A198-1,$Q$4+CZ$11)))))))</f>
        <v/>
      </c>
    </row>
    <row r="199" spans="1:104" ht="13.5" customHeight="1">
      <c r="A199" s="27">
        <v>179</v>
      </c>
      <c r="B199" s="33">
        <f t="shared" si="639"/>
        <v>199</v>
      </c>
      <c r="C199" s="8" t="s">
        <v>446</v>
      </c>
      <c r="D199" s="23">
        <f t="shared" ca="1" si="922"/>
        <v>0</v>
      </c>
      <c r="E199" s="23">
        <f t="shared" ca="1" si="923"/>
        <v>-151232</v>
      </c>
      <c r="F199" s="23">
        <f t="shared" ca="1" si="924"/>
        <v>0</v>
      </c>
      <c r="G199" s="23">
        <f t="shared" ca="1" si="925"/>
        <v>0</v>
      </c>
      <c r="H199" s="23">
        <f t="shared" ca="1" si="926"/>
        <v>0</v>
      </c>
      <c r="I199" s="23">
        <f t="shared" ca="1" si="927"/>
        <v>0</v>
      </c>
      <c r="J199" s="23">
        <f t="shared" ca="1" si="928"/>
        <v>0</v>
      </c>
      <c r="K199" s="23">
        <f t="shared" ca="1" si="929"/>
        <v>-121091</v>
      </c>
      <c r="L199" s="23">
        <f t="shared" ca="1" si="930"/>
        <v>-151232</v>
      </c>
      <c r="M199" s="23">
        <f t="shared" ca="1" si="931"/>
        <v>0</v>
      </c>
      <c r="N199" s="23">
        <f t="shared" ca="1" si="932"/>
        <v>-151232</v>
      </c>
      <c r="O199" s="23">
        <f t="shared" ca="1" si="933"/>
        <v>-151232</v>
      </c>
      <c r="P199" s="23">
        <f t="shared" ca="1" si="934"/>
        <v>0</v>
      </c>
      <c r="Q199" s="23">
        <f t="shared" ca="1" si="935"/>
        <v>0</v>
      </c>
      <c r="R199" s="23" t="str">
        <f t="shared" ca="1" si="936"/>
        <v/>
      </c>
      <c r="S199" s="23" t="str">
        <f t="shared" ca="1" si="937"/>
        <v/>
      </c>
      <c r="T199" s="23" t="str">
        <f t="shared" ca="1" si="938"/>
        <v/>
      </c>
      <c r="U199" s="23" t="str">
        <f t="shared" ca="1" si="939"/>
        <v/>
      </c>
      <c r="V199" s="23" t="str">
        <f t="shared" ca="1" si="940"/>
        <v/>
      </c>
      <c r="W199" s="23" t="str">
        <f t="shared" ca="1" si="941"/>
        <v/>
      </c>
      <c r="X199" s="23" t="str">
        <f t="shared" ca="1" si="942"/>
        <v/>
      </c>
      <c r="Y199" s="23" t="str">
        <f t="shared" ca="1" si="943"/>
        <v/>
      </c>
      <c r="Z199" s="23" t="str">
        <f t="shared" ca="1" si="944"/>
        <v/>
      </c>
      <c r="AA199" s="23" t="str">
        <f t="shared" ca="1" si="945"/>
        <v/>
      </c>
      <c r="AB199" s="23" t="str">
        <f t="shared" ca="1" si="946"/>
        <v/>
      </c>
      <c r="AC199" s="23" t="str">
        <f t="shared" ca="1" si="947"/>
        <v/>
      </c>
      <c r="AD199" s="23" t="str">
        <f t="shared" ca="1" si="948"/>
        <v/>
      </c>
      <c r="AE199" s="23" t="str">
        <f t="shared" ca="1" si="949"/>
        <v/>
      </c>
      <c r="AF199" s="23" t="str">
        <f t="shared" ca="1" si="950"/>
        <v/>
      </c>
      <c r="AG199" s="23" t="str">
        <f t="shared" ca="1" si="951"/>
        <v/>
      </c>
      <c r="AH199" s="23" t="str">
        <f t="shared" ca="1" si="952"/>
        <v/>
      </c>
      <c r="AI199" s="23" t="str">
        <f t="shared" ca="1" si="953"/>
        <v/>
      </c>
      <c r="AJ199" s="23" t="str">
        <f t="shared" ca="1" si="954"/>
        <v/>
      </c>
      <c r="AK199" s="23" t="str">
        <f t="shared" ca="1" si="955"/>
        <v/>
      </c>
      <c r="AL199" s="23" t="str">
        <f t="shared" ca="1" si="956"/>
        <v/>
      </c>
      <c r="AM199" s="23" t="str">
        <f t="shared" ca="1" si="957"/>
        <v/>
      </c>
      <c r="AN199" s="23" t="str">
        <f t="shared" ca="1" si="958"/>
        <v/>
      </c>
      <c r="AO199" s="23" t="str">
        <f t="shared" ca="1" si="959"/>
        <v/>
      </c>
      <c r="AP199" s="23" t="str">
        <f t="shared" ca="1" si="960"/>
        <v/>
      </c>
      <c r="AQ199" s="23" t="str">
        <f t="shared" ca="1" si="961"/>
        <v/>
      </c>
      <c r="AR199" s="23" t="str">
        <f t="shared" ca="1" si="962"/>
        <v/>
      </c>
      <c r="AS199" s="23" t="str">
        <f t="shared" ca="1" si="963"/>
        <v/>
      </c>
      <c r="AT199" s="23" t="str">
        <f t="shared" ca="1" si="964"/>
        <v/>
      </c>
      <c r="AU199" s="23" t="str">
        <f t="shared" ca="1" si="965"/>
        <v/>
      </c>
      <c r="AV199" s="23" t="str">
        <f t="shared" ca="1" si="966"/>
        <v/>
      </c>
      <c r="AW199" s="23" t="str">
        <f t="shared" ca="1" si="967"/>
        <v/>
      </c>
      <c r="AX199" s="23" t="str">
        <f t="shared" ca="1" si="968"/>
        <v/>
      </c>
      <c r="AY199" s="23" t="str">
        <f t="shared" ca="1" si="969"/>
        <v/>
      </c>
      <c r="AZ199" s="23" t="str">
        <f t="shared" ca="1" si="970"/>
        <v/>
      </c>
      <c r="BA199" s="23" t="str">
        <f t="shared" ca="1" si="971"/>
        <v/>
      </c>
      <c r="BB199" s="23" t="str">
        <f t="shared" ca="1" si="972"/>
        <v/>
      </c>
      <c r="BC199" s="23" t="str">
        <f t="shared" ca="1" si="973"/>
        <v/>
      </c>
      <c r="BD199" s="23" t="str">
        <f t="shared" ca="1" si="974"/>
        <v/>
      </c>
      <c r="BE199" s="23" t="str">
        <f t="shared" ca="1" si="975"/>
        <v/>
      </c>
      <c r="BF199" s="23" t="str">
        <f t="shared" ca="1" si="976"/>
        <v/>
      </c>
      <c r="BG199" s="23" t="str">
        <f t="shared" ca="1" si="977"/>
        <v/>
      </c>
      <c r="BH199" s="23" t="str">
        <f t="shared" ca="1" si="978"/>
        <v/>
      </c>
      <c r="BI199" s="23" t="str">
        <f t="shared" ca="1" si="979"/>
        <v/>
      </c>
      <c r="BJ199" s="23" t="str">
        <f t="shared" ca="1" si="980"/>
        <v/>
      </c>
      <c r="BK199" s="23" t="str">
        <f t="shared" ca="1" si="981"/>
        <v/>
      </c>
      <c r="BL199" s="23" t="str">
        <f t="shared" ca="1" si="982"/>
        <v/>
      </c>
      <c r="BM199" s="23" t="str">
        <f t="shared" ca="1" si="983"/>
        <v/>
      </c>
      <c r="BN199" s="23" t="str">
        <f t="shared" ca="1" si="984"/>
        <v/>
      </c>
      <c r="BO199" s="23" t="str">
        <f t="shared" ca="1" si="985"/>
        <v/>
      </c>
      <c r="BP199" s="23" t="str">
        <f t="shared" ca="1" si="986"/>
        <v/>
      </c>
      <c r="BQ199" s="23" t="str">
        <f t="shared" ca="1" si="987"/>
        <v/>
      </c>
      <c r="BR199" s="23" t="str">
        <f t="shared" ca="1" si="988"/>
        <v/>
      </c>
      <c r="BS199" s="23" t="str">
        <f t="shared" ca="1" si="989"/>
        <v/>
      </c>
      <c r="BT199" s="23" t="str">
        <f t="shared" ca="1" si="990"/>
        <v/>
      </c>
      <c r="BU199" s="23" t="str">
        <f t="shared" ca="1" si="991"/>
        <v/>
      </c>
      <c r="BV199" s="23" t="str">
        <f t="shared" ca="1" si="992"/>
        <v/>
      </c>
      <c r="BW199" s="23" t="str">
        <f t="shared" ca="1" si="993"/>
        <v/>
      </c>
      <c r="BX199" s="23" t="str">
        <f t="shared" ca="1" si="994"/>
        <v/>
      </c>
      <c r="BY199" s="23" t="str">
        <f t="shared" ca="1" si="995"/>
        <v/>
      </c>
      <c r="BZ199" s="23" t="str">
        <f t="shared" ca="1" si="996"/>
        <v/>
      </c>
      <c r="CA199" s="23" t="str">
        <f t="shared" ca="1" si="997"/>
        <v/>
      </c>
      <c r="CB199" s="23" t="str">
        <f t="shared" ca="1" si="998"/>
        <v/>
      </c>
      <c r="CC199" s="23" t="str">
        <f t="shared" ca="1" si="999"/>
        <v/>
      </c>
      <c r="CD199" s="23" t="str">
        <f t="shared" ca="1" si="1000"/>
        <v/>
      </c>
      <c r="CE199" s="23" t="str">
        <f t="shared" ca="1" si="1001"/>
        <v/>
      </c>
      <c r="CF199" s="23" t="str">
        <f t="shared" ca="1" si="1002"/>
        <v/>
      </c>
      <c r="CG199" s="23" t="str">
        <f t="shared" ca="1" si="1003"/>
        <v/>
      </c>
      <c r="CH199" s="23" t="str">
        <f t="shared" ca="1" si="1004"/>
        <v/>
      </c>
      <c r="CI199" s="23" t="str">
        <f t="shared" ca="1" si="1005"/>
        <v/>
      </c>
      <c r="CJ199" s="23" t="str">
        <f t="shared" ca="1" si="1006"/>
        <v/>
      </c>
      <c r="CK199" s="23" t="str">
        <f t="shared" ca="1" si="1007"/>
        <v/>
      </c>
      <c r="CL199" s="23" t="str">
        <f t="shared" ca="1" si="1008"/>
        <v/>
      </c>
      <c r="CM199" s="23" t="str">
        <f t="shared" ca="1" si="1009"/>
        <v/>
      </c>
      <c r="CN199" s="23" t="str">
        <f t="shared" ca="1" si="1010"/>
        <v/>
      </c>
      <c r="CO199" s="23" t="str">
        <f t="shared" ca="1" si="1011"/>
        <v/>
      </c>
      <c r="CP199" s="23" t="str">
        <f t="shared" ca="1" si="1012"/>
        <v/>
      </c>
      <c r="CQ199" s="23" t="str">
        <f t="shared" ca="1" si="1013"/>
        <v/>
      </c>
      <c r="CR199" s="23" t="str">
        <f t="shared" ca="1" si="1014"/>
        <v/>
      </c>
      <c r="CS199" s="23" t="str">
        <f t="shared" ca="1" si="1015"/>
        <v/>
      </c>
      <c r="CT199" s="23" t="str">
        <f t="shared" ca="1" si="1016"/>
        <v/>
      </c>
      <c r="CU199" s="23" t="str">
        <f t="shared" ca="1" si="1017"/>
        <v/>
      </c>
      <c r="CV199" s="23" t="str">
        <f t="shared" ca="1" si="1018"/>
        <v/>
      </c>
      <c r="CW199" s="23" t="str">
        <f t="shared" ca="1" si="1019"/>
        <v/>
      </c>
      <c r="CX199" s="23" t="str">
        <f ca="1">IF(CX$11="","",IF(CX$13=$M$5,CHOOSE($Q$6+1,$M$1,CY199+CZ199-#REF!),IF(CX$13=$M$6,CHOOSE($Q$6+1,$M$1,OFFSET($A199,,$P$7-1)),IF(CX$13=$M$7,CHOOSE($Q$6+1,$M$1,SUM(OFFSET($A$11,$B199-$O$5,$O$6,1,-$P$6))),IF(CX$13=$M$8,CHOOSE($Q$6+1,$M$1,SUM(OFFSET($A$11,$B199-$O$5,$O$7,1,-$P$6))),IF(CX$11&lt;$D$7,OFFSET(INDIRECT($D$3),$A199-1,$Q$3+CX$11),OFFSET(INDIRECT($D$4),$A199-1,$Q$4+CX$11)))))))</f>
        <v/>
      </c>
      <c r="CY199" s="23" t="str">
        <f ca="1">IF(CY$11="","",IF(CY$13=$M$5,CHOOSE($Q$6+1,$M$1,CZ199+#REF!-#REF!),IF(CY$13=$M$6,CHOOSE($Q$6+1,$M$1,OFFSET($A199,,$P$7-1)),IF(CY$13=$M$7,CHOOSE($Q$6+1,$M$1,SUM(OFFSET($A$11,$B199-$O$5,$O$6,1,-$P$6))),IF(CY$13=$M$8,CHOOSE($Q$6+1,$M$1,SUM(OFFSET($A$11,$B199-$O$5,$O$7,1,-$P$6))),IF(CY$11&lt;$D$7,OFFSET(INDIRECT($D$3),$A199-1,$Q$3+CY$11),OFFSET(INDIRECT($D$4),$A199-1,$Q$4+CY$11)))))))</f>
        <v/>
      </c>
      <c r="CZ199" s="23" t="str">
        <f ca="1">IF(CZ$11="","",IF(CZ$13=$M$5,CHOOSE($Q$6+1,$M$1,#REF!+#REF!-#REF!),IF(CZ$13=$M$6,CHOOSE($Q$6+1,$M$1,OFFSET($A199,,$P$7-1)),IF(CZ$13=$M$7,CHOOSE($Q$6+1,$M$1,SUM(OFFSET($A$11,$B199-$O$5,$O$6,1,-$P$6))),IF(CZ$13=$M$8,CHOOSE($Q$6+1,$M$1,SUM(OFFSET($A$11,$B199-$O$5,$O$7,1,-$P$6))),IF(CZ$11&lt;$D$7,OFFSET(INDIRECT($D$3),$A199-1,$Q$3+CZ$11),OFFSET(INDIRECT($D$4),$A199-1,$Q$4+CZ$11)))))))</f>
        <v/>
      </c>
    </row>
    <row r="200" spans="1:104" ht="13.5" customHeight="1">
      <c r="A200" s="27">
        <v>180</v>
      </c>
      <c r="B200" s="33">
        <f t="shared" si="639"/>
        <v>200</v>
      </c>
      <c r="C200" s="8" t="s">
        <v>447</v>
      </c>
      <c r="D200" s="23">
        <f t="shared" ca="1" si="922"/>
        <v>-102317</v>
      </c>
      <c r="E200" s="23">
        <f t="shared" ca="1" si="923"/>
        <v>0</v>
      </c>
      <c r="F200" s="23">
        <f t="shared" ca="1" si="924"/>
        <v>-42260</v>
      </c>
      <c r="G200" s="23">
        <f t="shared" ca="1" si="925"/>
        <v>-75133</v>
      </c>
      <c r="H200" s="23">
        <f t="shared" ca="1" si="926"/>
        <v>-102317</v>
      </c>
      <c r="I200" s="23">
        <f t="shared" ca="1" si="927"/>
        <v>-40175</v>
      </c>
      <c r="J200" s="23">
        <f t="shared" ca="1" si="928"/>
        <v>-85022</v>
      </c>
      <c r="K200" s="23">
        <f t="shared" ca="1" si="929"/>
        <v>0</v>
      </c>
      <c r="L200" s="23">
        <f t="shared" ca="1" si="930"/>
        <v>0</v>
      </c>
      <c r="M200" s="23">
        <f t="shared" ca="1" si="931"/>
        <v>-37192</v>
      </c>
      <c r="N200" s="23">
        <f t="shared" ca="1" si="932"/>
        <v>2983</v>
      </c>
      <c r="O200" s="23">
        <f t="shared" ca="1" si="933"/>
        <v>0</v>
      </c>
      <c r="P200" s="23">
        <f t="shared" ca="1" si="934"/>
        <v>-37192</v>
      </c>
      <c r="Q200" s="23">
        <f t="shared" ca="1" si="935"/>
        <v>-40175</v>
      </c>
      <c r="R200" s="23" t="str">
        <f t="shared" ca="1" si="936"/>
        <v/>
      </c>
      <c r="S200" s="23" t="str">
        <f t="shared" ca="1" si="937"/>
        <v/>
      </c>
      <c r="T200" s="23" t="str">
        <f t="shared" ca="1" si="938"/>
        <v/>
      </c>
      <c r="U200" s="23" t="str">
        <f t="shared" ca="1" si="939"/>
        <v/>
      </c>
      <c r="V200" s="23" t="str">
        <f t="shared" ca="1" si="940"/>
        <v/>
      </c>
      <c r="W200" s="23" t="str">
        <f t="shared" ca="1" si="941"/>
        <v/>
      </c>
      <c r="X200" s="23" t="str">
        <f t="shared" ca="1" si="942"/>
        <v/>
      </c>
      <c r="Y200" s="23" t="str">
        <f t="shared" ca="1" si="943"/>
        <v/>
      </c>
      <c r="Z200" s="23" t="str">
        <f t="shared" ca="1" si="944"/>
        <v/>
      </c>
      <c r="AA200" s="23" t="str">
        <f t="shared" ca="1" si="945"/>
        <v/>
      </c>
      <c r="AB200" s="23" t="str">
        <f t="shared" ca="1" si="946"/>
        <v/>
      </c>
      <c r="AC200" s="23" t="str">
        <f t="shared" ca="1" si="947"/>
        <v/>
      </c>
      <c r="AD200" s="23" t="str">
        <f t="shared" ca="1" si="948"/>
        <v/>
      </c>
      <c r="AE200" s="23" t="str">
        <f t="shared" ca="1" si="949"/>
        <v/>
      </c>
      <c r="AF200" s="23" t="str">
        <f t="shared" ca="1" si="950"/>
        <v/>
      </c>
      <c r="AG200" s="23" t="str">
        <f t="shared" ca="1" si="951"/>
        <v/>
      </c>
      <c r="AH200" s="23" t="str">
        <f t="shared" ca="1" si="952"/>
        <v/>
      </c>
      <c r="AI200" s="23" t="str">
        <f t="shared" ca="1" si="953"/>
        <v/>
      </c>
      <c r="AJ200" s="23" t="str">
        <f t="shared" ca="1" si="954"/>
        <v/>
      </c>
      <c r="AK200" s="23" t="str">
        <f t="shared" ca="1" si="955"/>
        <v/>
      </c>
      <c r="AL200" s="23" t="str">
        <f t="shared" ca="1" si="956"/>
        <v/>
      </c>
      <c r="AM200" s="23" t="str">
        <f t="shared" ca="1" si="957"/>
        <v/>
      </c>
      <c r="AN200" s="23" t="str">
        <f t="shared" ca="1" si="958"/>
        <v/>
      </c>
      <c r="AO200" s="23" t="str">
        <f t="shared" ca="1" si="959"/>
        <v/>
      </c>
      <c r="AP200" s="23" t="str">
        <f t="shared" ca="1" si="960"/>
        <v/>
      </c>
      <c r="AQ200" s="23" t="str">
        <f t="shared" ca="1" si="961"/>
        <v/>
      </c>
      <c r="AR200" s="23" t="str">
        <f t="shared" ca="1" si="962"/>
        <v/>
      </c>
      <c r="AS200" s="23" t="str">
        <f t="shared" ca="1" si="963"/>
        <v/>
      </c>
      <c r="AT200" s="23" t="str">
        <f t="shared" ca="1" si="964"/>
        <v/>
      </c>
      <c r="AU200" s="23" t="str">
        <f t="shared" ca="1" si="965"/>
        <v/>
      </c>
      <c r="AV200" s="23" t="str">
        <f t="shared" ca="1" si="966"/>
        <v/>
      </c>
      <c r="AW200" s="23" t="str">
        <f t="shared" ca="1" si="967"/>
        <v/>
      </c>
      <c r="AX200" s="23" t="str">
        <f t="shared" ca="1" si="968"/>
        <v/>
      </c>
      <c r="AY200" s="23" t="str">
        <f t="shared" ca="1" si="969"/>
        <v/>
      </c>
      <c r="AZ200" s="23" t="str">
        <f t="shared" ca="1" si="970"/>
        <v/>
      </c>
      <c r="BA200" s="23" t="str">
        <f t="shared" ca="1" si="971"/>
        <v/>
      </c>
      <c r="BB200" s="23" t="str">
        <f t="shared" ca="1" si="972"/>
        <v/>
      </c>
      <c r="BC200" s="23" t="str">
        <f t="shared" ca="1" si="973"/>
        <v/>
      </c>
      <c r="BD200" s="23" t="str">
        <f t="shared" ca="1" si="974"/>
        <v/>
      </c>
      <c r="BE200" s="23" t="str">
        <f t="shared" ca="1" si="975"/>
        <v/>
      </c>
      <c r="BF200" s="23" t="str">
        <f t="shared" ca="1" si="976"/>
        <v/>
      </c>
      <c r="BG200" s="23" t="str">
        <f t="shared" ca="1" si="977"/>
        <v/>
      </c>
      <c r="BH200" s="23" t="str">
        <f t="shared" ca="1" si="978"/>
        <v/>
      </c>
      <c r="BI200" s="23" t="str">
        <f t="shared" ca="1" si="979"/>
        <v/>
      </c>
      <c r="BJ200" s="23" t="str">
        <f t="shared" ca="1" si="980"/>
        <v/>
      </c>
      <c r="BK200" s="23" t="str">
        <f t="shared" ca="1" si="981"/>
        <v/>
      </c>
      <c r="BL200" s="23" t="str">
        <f t="shared" ca="1" si="982"/>
        <v/>
      </c>
      <c r="BM200" s="23" t="str">
        <f t="shared" ca="1" si="983"/>
        <v/>
      </c>
      <c r="BN200" s="23" t="str">
        <f t="shared" ca="1" si="984"/>
        <v/>
      </c>
      <c r="BO200" s="23" t="str">
        <f t="shared" ca="1" si="985"/>
        <v/>
      </c>
      <c r="BP200" s="23" t="str">
        <f t="shared" ca="1" si="986"/>
        <v/>
      </c>
      <c r="BQ200" s="23" t="str">
        <f t="shared" ca="1" si="987"/>
        <v/>
      </c>
      <c r="BR200" s="23" t="str">
        <f t="shared" ca="1" si="988"/>
        <v/>
      </c>
      <c r="BS200" s="23" t="str">
        <f t="shared" ca="1" si="989"/>
        <v/>
      </c>
      <c r="BT200" s="23" t="str">
        <f t="shared" ca="1" si="990"/>
        <v/>
      </c>
      <c r="BU200" s="23" t="str">
        <f t="shared" ca="1" si="991"/>
        <v/>
      </c>
      <c r="BV200" s="23" t="str">
        <f t="shared" ca="1" si="992"/>
        <v/>
      </c>
      <c r="BW200" s="23" t="str">
        <f t="shared" ca="1" si="993"/>
        <v/>
      </c>
      <c r="BX200" s="23" t="str">
        <f t="shared" ca="1" si="994"/>
        <v/>
      </c>
      <c r="BY200" s="23" t="str">
        <f t="shared" ca="1" si="995"/>
        <v/>
      </c>
      <c r="BZ200" s="23" t="str">
        <f t="shared" ca="1" si="996"/>
        <v/>
      </c>
      <c r="CA200" s="23" t="str">
        <f t="shared" ca="1" si="997"/>
        <v/>
      </c>
      <c r="CB200" s="23" t="str">
        <f t="shared" ca="1" si="998"/>
        <v/>
      </c>
      <c r="CC200" s="23" t="str">
        <f t="shared" ca="1" si="999"/>
        <v/>
      </c>
      <c r="CD200" s="23" t="str">
        <f t="shared" ca="1" si="1000"/>
        <v/>
      </c>
      <c r="CE200" s="23" t="str">
        <f t="shared" ca="1" si="1001"/>
        <v/>
      </c>
      <c r="CF200" s="23" t="str">
        <f t="shared" ca="1" si="1002"/>
        <v/>
      </c>
      <c r="CG200" s="23" t="str">
        <f t="shared" ca="1" si="1003"/>
        <v/>
      </c>
      <c r="CH200" s="23" t="str">
        <f t="shared" ca="1" si="1004"/>
        <v/>
      </c>
      <c r="CI200" s="23" t="str">
        <f t="shared" ca="1" si="1005"/>
        <v/>
      </c>
      <c r="CJ200" s="23" t="str">
        <f t="shared" ca="1" si="1006"/>
        <v/>
      </c>
      <c r="CK200" s="23" t="str">
        <f t="shared" ca="1" si="1007"/>
        <v/>
      </c>
      <c r="CL200" s="23" t="str">
        <f t="shared" ca="1" si="1008"/>
        <v/>
      </c>
      <c r="CM200" s="23" t="str">
        <f t="shared" ca="1" si="1009"/>
        <v/>
      </c>
      <c r="CN200" s="23" t="str">
        <f t="shared" ca="1" si="1010"/>
        <v/>
      </c>
      <c r="CO200" s="23" t="str">
        <f t="shared" ca="1" si="1011"/>
        <v/>
      </c>
      <c r="CP200" s="23" t="str">
        <f t="shared" ca="1" si="1012"/>
        <v/>
      </c>
      <c r="CQ200" s="23" t="str">
        <f t="shared" ca="1" si="1013"/>
        <v/>
      </c>
      <c r="CR200" s="23" t="str">
        <f t="shared" ca="1" si="1014"/>
        <v/>
      </c>
      <c r="CS200" s="23" t="str">
        <f t="shared" ca="1" si="1015"/>
        <v/>
      </c>
      <c r="CT200" s="23" t="str">
        <f t="shared" ca="1" si="1016"/>
        <v/>
      </c>
      <c r="CU200" s="23" t="str">
        <f t="shared" ca="1" si="1017"/>
        <v/>
      </c>
      <c r="CV200" s="23" t="str">
        <f t="shared" ca="1" si="1018"/>
        <v/>
      </c>
      <c r="CW200" s="23" t="str">
        <f t="shared" ca="1" si="1019"/>
        <v/>
      </c>
      <c r="CX200" s="23" t="str">
        <f ca="1">IF(CX$11="","",IF(CX$13=$M$5,CHOOSE($Q$6+1,$M$1,CY200+CZ200-#REF!),IF(CX$13=$M$6,CHOOSE($Q$6+1,$M$1,OFFSET($A200,,$P$7-1)),IF(CX$13=$M$7,CHOOSE($Q$6+1,$M$1,SUM(OFFSET($A$11,$B200-$O$5,$O$6,1,-$P$6))),IF(CX$13=$M$8,CHOOSE($Q$6+1,$M$1,SUM(OFFSET($A$11,$B200-$O$5,$O$7,1,-$P$6))),IF(CX$11&lt;$D$7,OFFSET(INDIRECT($D$3),$A200-1,$Q$3+CX$11),OFFSET(INDIRECT($D$4),$A200-1,$Q$4+CX$11)))))))</f>
        <v/>
      </c>
      <c r="CY200" s="23" t="str">
        <f ca="1">IF(CY$11="","",IF(CY$13=$M$5,CHOOSE($Q$6+1,$M$1,CZ200+#REF!-#REF!),IF(CY$13=$M$6,CHOOSE($Q$6+1,$M$1,OFFSET($A200,,$P$7-1)),IF(CY$13=$M$7,CHOOSE($Q$6+1,$M$1,SUM(OFFSET($A$11,$B200-$O$5,$O$6,1,-$P$6))),IF(CY$13=$M$8,CHOOSE($Q$6+1,$M$1,SUM(OFFSET($A$11,$B200-$O$5,$O$7,1,-$P$6))),IF(CY$11&lt;$D$7,OFFSET(INDIRECT($D$3),$A200-1,$Q$3+CY$11),OFFSET(INDIRECT($D$4),$A200-1,$Q$4+CY$11)))))))</f>
        <v/>
      </c>
      <c r="CZ200" s="23" t="str">
        <f ca="1">IF(CZ$11="","",IF(CZ$13=$M$5,CHOOSE($Q$6+1,$M$1,#REF!+#REF!-#REF!),IF(CZ$13=$M$6,CHOOSE($Q$6+1,$M$1,OFFSET($A200,,$P$7-1)),IF(CZ$13=$M$7,CHOOSE($Q$6+1,$M$1,SUM(OFFSET($A$11,$B200-$O$5,$O$6,1,-$P$6))),IF(CZ$13=$M$8,CHOOSE($Q$6+1,$M$1,SUM(OFFSET($A$11,$B200-$O$5,$O$7,1,-$P$6))),IF(CZ$11&lt;$D$7,OFFSET(INDIRECT($D$3),$A200-1,$Q$3+CZ$11),OFFSET(INDIRECT($D$4),$A200-1,$Q$4+CZ$11)))))))</f>
        <v/>
      </c>
    </row>
    <row r="201" spans="1:104" ht="13.5" customHeight="1">
      <c r="A201" s="27">
        <v>181</v>
      </c>
      <c r="B201" s="33">
        <f t="shared" si="639"/>
        <v>201</v>
      </c>
      <c r="C201" s="8" t="s">
        <v>448</v>
      </c>
      <c r="D201" s="23">
        <f t="shared" ca="1" si="922"/>
        <v>-259</v>
      </c>
      <c r="E201" s="23">
        <f t="shared" ca="1" si="923"/>
        <v>-48</v>
      </c>
      <c r="F201" s="23">
        <f t="shared" ca="1" si="924"/>
        <v>12</v>
      </c>
      <c r="G201" s="23">
        <f t="shared" ca="1" si="925"/>
        <v>34</v>
      </c>
      <c r="H201" s="23">
        <f t="shared" ca="1" si="926"/>
        <v>-259</v>
      </c>
      <c r="I201" s="23">
        <f t="shared" ca="1" si="927"/>
        <v>-34</v>
      </c>
      <c r="J201" s="23">
        <f t="shared" ca="1" si="928"/>
        <v>-48</v>
      </c>
      <c r="K201" s="23">
        <f t="shared" ca="1" si="929"/>
        <v>-56</v>
      </c>
      <c r="L201" s="23">
        <f t="shared" ca="1" si="930"/>
        <v>-48</v>
      </c>
      <c r="M201" s="23">
        <f t="shared" ca="1" si="931"/>
        <v>-52</v>
      </c>
      <c r="N201" s="23">
        <f t="shared" ca="1" si="932"/>
        <v>-66</v>
      </c>
      <c r="O201" s="23">
        <f t="shared" ca="1" si="933"/>
        <v>-48</v>
      </c>
      <c r="P201" s="23">
        <f t="shared" ca="1" si="934"/>
        <v>-52</v>
      </c>
      <c r="Q201" s="23">
        <f t="shared" ca="1" si="935"/>
        <v>-34</v>
      </c>
      <c r="R201" s="23" t="str">
        <f t="shared" ca="1" si="936"/>
        <v/>
      </c>
      <c r="S201" s="23" t="str">
        <f t="shared" ca="1" si="937"/>
        <v/>
      </c>
      <c r="T201" s="23" t="str">
        <f t="shared" ca="1" si="938"/>
        <v/>
      </c>
      <c r="U201" s="23" t="str">
        <f t="shared" ca="1" si="939"/>
        <v/>
      </c>
      <c r="V201" s="23" t="str">
        <f t="shared" ca="1" si="940"/>
        <v/>
      </c>
      <c r="W201" s="23" t="str">
        <f t="shared" ca="1" si="941"/>
        <v/>
      </c>
      <c r="X201" s="23" t="str">
        <f t="shared" ca="1" si="942"/>
        <v/>
      </c>
      <c r="Y201" s="23" t="str">
        <f t="shared" ca="1" si="943"/>
        <v/>
      </c>
      <c r="Z201" s="23" t="str">
        <f t="shared" ca="1" si="944"/>
        <v/>
      </c>
      <c r="AA201" s="23" t="str">
        <f t="shared" ca="1" si="945"/>
        <v/>
      </c>
      <c r="AB201" s="23" t="str">
        <f t="shared" ca="1" si="946"/>
        <v/>
      </c>
      <c r="AC201" s="23" t="str">
        <f t="shared" ca="1" si="947"/>
        <v/>
      </c>
      <c r="AD201" s="23" t="str">
        <f t="shared" ca="1" si="948"/>
        <v/>
      </c>
      <c r="AE201" s="23" t="str">
        <f t="shared" ca="1" si="949"/>
        <v/>
      </c>
      <c r="AF201" s="23" t="str">
        <f t="shared" ca="1" si="950"/>
        <v/>
      </c>
      <c r="AG201" s="23" t="str">
        <f t="shared" ca="1" si="951"/>
        <v/>
      </c>
      <c r="AH201" s="23" t="str">
        <f t="shared" ca="1" si="952"/>
        <v/>
      </c>
      <c r="AI201" s="23" t="str">
        <f t="shared" ca="1" si="953"/>
        <v/>
      </c>
      <c r="AJ201" s="23" t="str">
        <f t="shared" ca="1" si="954"/>
        <v/>
      </c>
      <c r="AK201" s="23" t="str">
        <f t="shared" ca="1" si="955"/>
        <v/>
      </c>
      <c r="AL201" s="23" t="str">
        <f t="shared" ca="1" si="956"/>
        <v/>
      </c>
      <c r="AM201" s="23" t="str">
        <f t="shared" ca="1" si="957"/>
        <v/>
      </c>
      <c r="AN201" s="23" t="str">
        <f t="shared" ca="1" si="958"/>
        <v/>
      </c>
      <c r="AO201" s="23" t="str">
        <f t="shared" ca="1" si="959"/>
        <v/>
      </c>
      <c r="AP201" s="23" t="str">
        <f t="shared" ca="1" si="960"/>
        <v/>
      </c>
      <c r="AQ201" s="23" t="str">
        <f t="shared" ca="1" si="961"/>
        <v/>
      </c>
      <c r="AR201" s="23" t="str">
        <f t="shared" ca="1" si="962"/>
        <v/>
      </c>
      <c r="AS201" s="23" t="str">
        <f t="shared" ca="1" si="963"/>
        <v/>
      </c>
      <c r="AT201" s="23" t="str">
        <f t="shared" ca="1" si="964"/>
        <v/>
      </c>
      <c r="AU201" s="23" t="str">
        <f t="shared" ca="1" si="965"/>
        <v/>
      </c>
      <c r="AV201" s="23" t="str">
        <f t="shared" ca="1" si="966"/>
        <v/>
      </c>
      <c r="AW201" s="23" t="str">
        <f t="shared" ca="1" si="967"/>
        <v/>
      </c>
      <c r="AX201" s="23" t="str">
        <f t="shared" ca="1" si="968"/>
        <v/>
      </c>
      <c r="AY201" s="23" t="str">
        <f t="shared" ca="1" si="969"/>
        <v/>
      </c>
      <c r="AZ201" s="23" t="str">
        <f t="shared" ca="1" si="970"/>
        <v/>
      </c>
      <c r="BA201" s="23" t="str">
        <f t="shared" ca="1" si="971"/>
        <v/>
      </c>
      <c r="BB201" s="23" t="str">
        <f t="shared" ca="1" si="972"/>
        <v/>
      </c>
      <c r="BC201" s="23" t="str">
        <f t="shared" ca="1" si="973"/>
        <v/>
      </c>
      <c r="BD201" s="23" t="str">
        <f t="shared" ca="1" si="974"/>
        <v/>
      </c>
      <c r="BE201" s="23" t="str">
        <f t="shared" ca="1" si="975"/>
        <v/>
      </c>
      <c r="BF201" s="23" t="str">
        <f t="shared" ca="1" si="976"/>
        <v/>
      </c>
      <c r="BG201" s="23" t="str">
        <f t="shared" ca="1" si="977"/>
        <v/>
      </c>
      <c r="BH201" s="23" t="str">
        <f t="shared" ca="1" si="978"/>
        <v/>
      </c>
      <c r="BI201" s="23" t="str">
        <f t="shared" ca="1" si="979"/>
        <v/>
      </c>
      <c r="BJ201" s="23" t="str">
        <f t="shared" ca="1" si="980"/>
        <v/>
      </c>
      <c r="BK201" s="23" t="str">
        <f t="shared" ca="1" si="981"/>
        <v/>
      </c>
      <c r="BL201" s="23" t="str">
        <f t="shared" ca="1" si="982"/>
        <v/>
      </c>
      <c r="BM201" s="23" t="str">
        <f t="shared" ca="1" si="983"/>
        <v/>
      </c>
      <c r="BN201" s="23" t="str">
        <f t="shared" ca="1" si="984"/>
        <v/>
      </c>
      <c r="BO201" s="23" t="str">
        <f t="shared" ca="1" si="985"/>
        <v/>
      </c>
      <c r="BP201" s="23" t="str">
        <f t="shared" ca="1" si="986"/>
        <v/>
      </c>
      <c r="BQ201" s="23" t="str">
        <f t="shared" ca="1" si="987"/>
        <v/>
      </c>
      <c r="BR201" s="23" t="str">
        <f t="shared" ca="1" si="988"/>
        <v/>
      </c>
      <c r="BS201" s="23" t="str">
        <f t="shared" ca="1" si="989"/>
        <v/>
      </c>
      <c r="BT201" s="23" t="str">
        <f t="shared" ca="1" si="990"/>
        <v/>
      </c>
      <c r="BU201" s="23" t="str">
        <f t="shared" ca="1" si="991"/>
        <v/>
      </c>
      <c r="BV201" s="23" t="str">
        <f t="shared" ca="1" si="992"/>
        <v/>
      </c>
      <c r="BW201" s="23" t="str">
        <f t="shared" ca="1" si="993"/>
        <v/>
      </c>
      <c r="BX201" s="23" t="str">
        <f t="shared" ca="1" si="994"/>
        <v/>
      </c>
      <c r="BY201" s="23" t="str">
        <f t="shared" ca="1" si="995"/>
        <v/>
      </c>
      <c r="BZ201" s="23" t="str">
        <f t="shared" ca="1" si="996"/>
        <v/>
      </c>
      <c r="CA201" s="23" t="str">
        <f t="shared" ca="1" si="997"/>
        <v/>
      </c>
      <c r="CB201" s="23" t="str">
        <f t="shared" ca="1" si="998"/>
        <v/>
      </c>
      <c r="CC201" s="23" t="str">
        <f t="shared" ca="1" si="999"/>
        <v/>
      </c>
      <c r="CD201" s="23" t="str">
        <f t="shared" ca="1" si="1000"/>
        <v/>
      </c>
      <c r="CE201" s="23" t="str">
        <f t="shared" ca="1" si="1001"/>
        <v/>
      </c>
      <c r="CF201" s="23" t="str">
        <f t="shared" ca="1" si="1002"/>
        <v/>
      </c>
      <c r="CG201" s="23" t="str">
        <f t="shared" ca="1" si="1003"/>
        <v/>
      </c>
      <c r="CH201" s="23" t="str">
        <f t="shared" ca="1" si="1004"/>
        <v/>
      </c>
      <c r="CI201" s="23" t="str">
        <f t="shared" ca="1" si="1005"/>
        <v/>
      </c>
      <c r="CJ201" s="23" t="str">
        <f t="shared" ca="1" si="1006"/>
        <v/>
      </c>
      <c r="CK201" s="23" t="str">
        <f t="shared" ca="1" si="1007"/>
        <v/>
      </c>
      <c r="CL201" s="23" t="str">
        <f t="shared" ca="1" si="1008"/>
        <v/>
      </c>
      <c r="CM201" s="23" t="str">
        <f t="shared" ca="1" si="1009"/>
        <v/>
      </c>
      <c r="CN201" s="23" t="str">
        <f t="shared" ca="1" si="1010"/>
        <v/>
      </c>
      <c r="CO201" s="23" t="str">
        <f t="shared" ca="1" si="1011"/>
        <v/>
      </c>
      <c r="CP201" s="23" t="str">
        <f t="shared" ca="1" si="1012"/>
        <v/>
      </c>
      <c r="CQ201" s="23" t="str">
        <f t="shared" ca="1" si="1013"/>
        <v/>
      </c>
      <c r="CR201" s="23" t="str">
        <f t="shared" ca="1" si="1014"/>
        <v/>
      </c>
      <c r="CS201" s="23" t="str">
        <f t="shared" ca="1" si="1015"/>
        <v/>
      </c>
      <c r="CT201" s="23" t="str">
        <f t="shared" ca="1" si="1016"/>
        <v/>
      </c>
      <c r="CU201" s="23" t="str">
        <f t="shared" ca="1" si="1017"/>
        <v/>
      </c>
      <c r="CV201" s="23" t="str">
        <f t="shared" ca="1" si="1018"/>
        <v/>
      </c>
      <c r="CW201" s="23" t="str">
        <f t="shared" ca="1" si="1019"/>
        <v/>
      </c>
      <c r="CX201" s="23" t="str">
        <f ca="1">IF(CX$11="","",IF(CX$13=$M$5,CHOOSE($Q$6+1,$M$1,CY201+CZ201-#REF!),IF(CX$13=$M$6,CHOOSE($Q$6+1,$M$1,OFFSET($A201,,$P$7-1)),IF(CX$13=$M$7,CHOOSE($Q$6+1,$M$1,SUM(OFFSET($A$11,$B201-$O$5,$O$6,1,-$P$6))),IF(CX$13=$M$8,CHOOSE($Q$6+1,$M$1,SUM(OFFSET($A$11,$B201-$O$5,$O$7,1,-$P$6))),IF(CX$11&lt;$D$7,OFFSET(INDIRECT($D$3),$A201-1,$Q$3+CX$11),OFFSET(INDIRECT($D$4),$A201-1,$Q$4+CX$11)))))))</f>
        <v/>
      </c>
      <c r="CY201" s="23" t="str">
        <f ca="1">IF(CY$11="","",IF(CY$13=$M$5,CHOOSE($Q$6+1,$M$1,CZ201+#REF!-#REF!),IF(CY$13=$M$6,CHOOSE($Q$6+1,$M$1,OFFSET($A201,,$P$7-1)),IF(CY$13=$M$7,CHOOSE($Q$6+1,$M$1,SUM(OFFSET($A$11,$B201-$O$5,$O$6,1,-$P$6))),IF(CY$13=$M$8,CHOOSE($Q$6+1,$M$1,SUM(OFFSET($A$11,$B201-$O$5,$O$7,1,-$P$6))),IF(CY$11&lt;$D$7,OFFSET(INDIRECT($D$3),$A201-1,$Q$3+CY$11),OFFSET(INDIRECT($D$4),$A201-1,$Q$4+CY$11)))))))</f>
        <v/>
      </c>
      <c r="CZ201" s="23" t="str">
        <f ca="1">IF(CZ$11="","",IF(CZ$13=$M$5,CHOOSE($Q$6+1,$M$1,#REF!+#REF!-#REF!),IF(CZ$13=$M$6,CHOOSE($Q$6+1,$M$1,OFFSET($A201,,$P$7-1)),IF(CZ$13=$M$7,CHOOSE($Q$6+1,$M$1,SUM(OFFSET($A$11,$B201-$O$5,$O$6,1,-$P$6))),IF(CZ$13=$M$8,CHOOSE($Q$6+1,$M$1,SUM(OFFSET($A$11,$B201-$O$5,$O$7,1,-$P$6))),IF(CZ$11&lt;$D$7,OFFSET(INDIRECT($D$3),$A201-1,$Q$3+CZ$11),OFFSET(INDIRECT($D$4),$A201-1,$Q$4+CZ$11)))))))</f>
        <v/>
      </c>
    </row>
    <row r="202" spans="1:104" ht="13.5" customHeight="1">
      <c r="A202" s="27">
        <v>182</v>
      </c>
      <c r="B202" s="33">
        <f t="shared" si="639"/>
        <v>202</v>
      </c>
      <c r="C202" s="8" t="s">
        <v>449</v>
      </c>
      <c r="D202" s="23">
        <f t="shared" ca="1" si="922"/>
        <v>0</v>
      </c>
      <c r="E202" s="23">
        <f t="shared" ca="1" si="923"/>
        <v>0</v>
      </c>
      <c r="F202" s="23">
        <f t="shared" ca="1" si="924"/>
        <v>0</v>
      </c>
      <c r="G202" s="23">
        <f t="shared" ca="1" si="925"/>
        <v>0</v>
      </c>
      <c r="H202" s="23">
        <f t="shared" ca="1" si="926"/>
        <v>0</v>
      </c>
      <c r="I202" s="23">
        <f t="shared" ca="1" si="927"/>
        <v>0</v>
      </c>
      <c r="J202" s="23">
        <f t="shared" ca="1" si="928"/>
        <v>0</v>
      </c>
      <c r="K202" s="23">
        <f t="shared" ca="1" si="929"/>
        <v>0</v>
      </c>
      <c r="L202" s="23">
        <f t="shared" ca="1" si="930"/>
        <v>0</v>
      </c>
      <c r="M202" s="23">
        <f t="shared" ca="1" si="931"/>
        <v>0</v>
      </c>
      <c r="N202" s="23">
        <f t="shared" ca="1" si="932"/>
        <v>0</v>
      </c>
      <c r="O202" s="23">
        <f t="shared" ca="1" si="933"/>
        <v>0</v>
      </c>
      <c r="P202" s="23">
        <f t="shared" ca="1" si="934"/>
        <v>0</v>
      </c>
      <c r="Q202" s="23">
        <f t="shared" ca="1" si="935"/>
        <v>0</v>
      </c>
      <c r="R202" s="23" t="str">
        <f t="shared" ca="1" si="936"/>
        <v/>
      </c>
      <c r="S202" s="23" t="str">
        <f t="shared" ca="1" si="937"/>
        <v/>
      </c>
      <c r="T202" s="23" t="str">
        <f t="shared" ca="1" si="938"/>
        <v/>
      </c>
      <c r="U202" s="23" t="str">
        <f t="shared" ca="1" si="939"/>
        <v/>
      </c>
      <c r="V202" s="23" t="str">
        <f t="shared" ca="1" si="940"/>
        <v/>
      </c>
      <c r="W202" s="23" t="str">
        <f t="shared" ca="1" si="941"/>
        <v/>
      </c>
      <c r="X202" s="23" t="str">
        <f t="shared" ca="1" si="942"/>
        <v/>
      </c>
      <c r="Y202" s="23" t="str">
        <f t="shared" ca="1" si="943"/>
        <v/>
      </c>
      <c r="Z202" s="23" t="str">
        <f t="shared" ca="1" si="944"/>
        <v/>
      </c>
      <c r="AA202" s="23" t="str">
        <f t="shared" ca="1" si="945"/>
        <v/>
      </c>
      <c r="AB202" s="23" t="str">
        <f t="shared" ca="1" si="946"/>
        <v/>
      </c>
      <c r="AC202" s="23" t="str">
        <f t="shared" ca="1" si="947"/>
        <v/>
      </c>
      <c r="AD202" s="23" t="str">
        <f t="shared" ca="1" si="948"/>
        <v/>
      </c>
      <c r="AE202" s="23" t="str">
        <f t="shared" ca="1" si="949"/>
        <v/>
      </c>
      <c r="AF202" s="23" t="str">
        <f t="shared" ca="1" si="950"/>
        <v/>
      </c>
      <c r="AG202" s="23" t="str">
        <f t="shared" ca="1" si="951"/>
        <v/>
      </c>
      <c r="AH202" s="23" t="str">
        <f t="shared" ca="1" si="952"/>
        <v/>
      </c>
      <c r="AI202" s="23" t="str">
        <f t="shared" ca="1" si="953"/>
        <v/>
      </c>
      <c r="AJ202" s="23" t="str">
        <f t="shared" ca="1" si="954"/>
        <v/>
      </c>
      <c r="AK202" s="23" t="str">
        <f t="shared" ca="1" si="955"/>
        <v/>
      </c>
      <c r="AL202" s="23" t="str">
        <f t="shared" ca="1" si="956"/>
        <v/>
      </c>
      <c r="AM202" s="23" t="str">
        <f t="shared" ca="1" si="957"/>
        <v/>
      </c>
      <c r="AN202" s="23" t="str">
        <f t="shared" ca="1" si="958"/>
        <v/>
      </c>
      <c r="AO202" s="23" t="str">
        <f t="shared" ca="1" si="959"/>
        <v/>
      </c>
      <c r="AP202" s="23" t="str">
        <f t="shared" ca="1" si="960"/>
        <v/>
      </c>
      <c r="AQ202" s="23" t="str">
        <f t="shared" ca="1" si="961"/>
        <v/>
      </c>
      <c r="AR202" s="23" t="str">
        <f t="shared" ca="1" si="962"/>
        <v/>
      </c>
      <c r="AS202" s="23" t="str">
        <f t="shared" ca="1" si="963"/>
        <v/>
      </c>
      <c r="AT202" s="23" t="str">
        <f t="shared" ca="1" si="964"/>
        <v/>
      </c>
      <c r="AU202" s="23" t="str">
        <f t="shared" ca="1" si="965"/>
        <v/>
      </c>
      <c r="AV202" s="23" t="str">
        <f t="shared" ca="1" si="966"/>
        <v/>
      </c>
      <c r="AW202" s="23" t="str">
        <f t="shared" ca="1" si="967"/>
        <v/>
      </c>
      <c r="AX202" s="23" t="str">
        <f t="shared" ca="1" si="968"/>
        <v/>
      </c>
      <c r="AY202" s="23" t="str">
        <f t="shared" ca="1" si="969"/>
        <v/>
      </c>
      <c r="AZ202" s="23" t="str">
        <f t="shared" ca="1" si="970"/>
        <v/>
      </c>
      <c r="BA202" s="23" t="str">
        <f t="shared" ca="1" si="971"/>
        <v/>
      </c>
      <c r="BB202" s="23" t="str">
        <f t="shared" ca="1" si="972"/>
        <v/>
      </c>
      <c r="BC202" s="23" t="str">
        <f t="shared" ca="1" si="973"/>
        <v/>
      </c>
      <c r="BD202" s="23" t="str">
        <f t="shared" ca="1" si="974"/>
        <v/>
      </c>
      <c r="BE202" s="23" t="str">
        <f t="shared" ca="1" si="975"/>
        <v/>
      </c>
      <c r="BF202" s="23" t="str">
        <f t="shared" ca="1" si="976"/>
        <v/>
      </c>
      <c r="BG202" s="23" t="str">
        <f t="shared" ca="1" si="977"/>
        <v/>
      </c>
      <c r="BH202" s="23" t="str">
        <f t="shared" ca="1" si="978"/>
        <v/>
      </c>
      <c r="BI202" s="23" t="str">
        <f t="shared" ca="1" si="979"/>
        <v/>
      </c>
      <c r="BJ202" s="23" t="str">
        <f t="shared" ca="1" si="980"/>
        <v/>
      </c>
      <c r="BK202" s="23" t="str">
        <f t="shared" ca="1" si="981"/>
        <v/>
      </c>
      <c r="BL202" s="23" t="str">
        <f t="shared" ca="1" si="982"/>
        <v/>
      </c>
      <c r="BM202" s="23" t="str">
        <f t="shared" ca="1" si="983"/>
        <v/>
      </c>
      <c r="BN202" s="23" t="str">
        <f t="shared" ca="1" si="984"/>
        <v/>
      </c>
      <c r="BO202" s="23" t="str">
        <f t="shared" ca="1" si="985"/>
        <v/>
      </c>
      <c r="BP202" s="23" t="str">
        <f t="shared" ca="1" si="986"/>
        <v/>
      </c>
      <c r="BQ202" s="23" t="str">
        <f t="shared" ca="1" si="987"/>
        <v/>
      </c>
      <c r="BR202" s="23" t="str">
        <f t="shared" ca="1" si="988"/>
        <v/>
      </c>
      <c r="BS202" s="23" t="str">
        <f t="shared" ca="1" si="989"/>
        <v/>
      </c>
      <c r="BT202" s="23" t="str">
        <f t="shared" ca="1" si="990"/>
        <v/>
      </c>
      <c r="BU202" s="23" t="str">
        <f t="shared" ca="1" si="991"/>
        <v/>
      </c>
      <c r="BV202" s="23" t="str">
        <f t="shared" ca="1" si="992"/>
        <v/>
      </c>
      <c r="BW202" s="23" t="str">
        <f t="shared" ca="1" si="993"/>
        <v/>
      </c>
      <c r="BX202" s="23" t="str">
        <f t="shared" ca="1" si="994"/>
        <v/>
      </c>
      <c r="BY202" s="23" t="str">
        <f t="shared" ca="1" si="995"/>
        <v/>
      </c>
      <c r="BZ202" s="23" t="str">
        <f t="shared" ca="1" si="996"/>
        <v/>
      </c>
      <c r="CA202" s="23" t="str">
        <f t="shared" ca="1" si="997"/>
        <v/>
      </c>
      <c r="CB202" s="23" t="str">
        <f t="shared" ca="1" si="998"/>
        <v/>
      </c>
      <c r="CC202" s="23" t="str">
        <f t="shared" ca="1" si="999"/>
        <v/>
      </c>
      <c r="CD202" s="23" t="str">
        <f t="shared" ca="1" si="1000"/>
        <v/>
      </c>
      <c r="CE202" s="23" t="str">
        <f t="shared" ca="1" si="1001"/>
        <v/>
      </c>
      <c r="CF202" s="23" t="str">
        <f t="shared" ca="1" si="1002"/>
        <v/>
      </c>
      <c r="CG202" s="23" t="str">
        <f t="shared" ca="1" si="1003"/>
        <v/>
      </c>
      <c r="CH202" s="23" t="str">
        <f t="shared" ca="1" si="1004"/>
        <v/>
      </c>
      <c r="CI202" s="23" t="str">
        <f t="shared" ca="1" si="1005"/>
        <v/>
      </c>
      <c r="CJ202" s="23" t="str">
        <f t="shared" ca="1" si="1006"/>
        <v/>
      </c>
      <c r="CK202" s="23" t="str">
        <f t="shared" ca="1" si="1007"/>
        <v/>
      </c>
      <c r="CL202" s="23" t="str">
        <f t="shared" ca="1" si="1008"/>
        <v/>
      </c>
      <c r="CM202" s="23" t="str">
        <f t="shared" ca="1" si="1009"/>
        <v/>
      </c>
      <c r="CN202" s="23" t="str">
        <f t="shared" ca="1" si="1010"/>
        <v/>
      </c>
      <c r="CO202" s="23" t="str">
        <f t="shared" ca="1" si="1011"/>
        <v/>
      </c>
      <c r="CP202" s="23" t="str">
        <f t="shared" ca="1" si="1012"/>
        <v/>
      </c>
      <c r="CQ202" s="23" t="str">
        <f t="shared" ca="1" si="1013"/>
        <v/>
      </c>
      <c r="CR202" s="23" t="str">
        <f t="shared" ca="1" si="1014"/>
        <v/>
      </c>
      <c r="CS202" s="23" t="str">
        <f t="shared" ca="1" si="1015"/>
        <v/>
      </c>
      <c r="CT202" s="23" t="str">
        <f t="shared" ca="1" si="1016"/>
        <v/>
      </c>
      <c r="CU202" s="23" t="str">
        <f t="shared" ca="1" si="1017"/>
        <v/>
      </c>
      <c r="CV202" s="23" t="str">
        <f t="shared" ca="1" si="1018"/>
        <v/>
      </c>
      <c r="CW202" s="23" t="str">
        <f t="shared" ca="1" si="1019"/>
        <v/>
      </c>
      <c r="CX202" s="23" t="str">
        <f ca="1">IF(CX$11="","",IF(CX$13=$M$5,CHOOSE($Q$6+1,$M$1,CY202+CZ202-#REF!),IF(CX$13=$M$6,CHOOSE($Q$6+1,$M$1,OFFSET($A202,,$P$7-1)),IF(CX$13=$M$7,CHOOSE($Q$6+1,$M$1,SUM(OFFSET($A$11,$B202-$O$5,$O$6,1,-$P$6))),IF(CX$13=$M$8,CHOOSE($Q$6+1,$M$1,SUM(OFFSET($A$11,$B202-$O$5,$O$7,1,-$P$6))),IF(CX$11&lt;$D$7,OFFSET(INDIRECT($D$3),$A202-1,$Q$3+CX$11),OFFSET(INDIRECT($D$4),$A202-1,$Q$4+CX$11)))))))</f>
        <v/>
      </c>
      <c r="CY202" s="23" t="str">
        <f ca="1">IF(CY$11="","",IF(CY$13=$M$5,CHOOSE($Q$6+1,$M$1,CZ202+#REF!-#REF!),IF(CY$13=$M$6,CHOOSE($Q$6+1,$M$1,OFFSET($A202,,$P$7-1)),IF(CY$13=$M$7,CHOOSE($Q$6+1,$M$1,SUM(OFFSET($A$11,$B202-$O$5,$O$6,1,-$P$6))),IF(CY$13=$M$8,CHOOSE($Q$6+1,$M$1,SUM(OFFSET($A$11,$B202-$O$5,$O$7,1,-$P$6))),IF(CY$11&lt;$D$7,OFFSET(INDIRECT($D$3),$A202-1,$Q$3+CY$11),OFFSET(INDIRECT($D$4),$A202-1,$Q$4+CY$11)))))))</f>
        <v/>
      </c>
      <c r="CZ202" s="23" t="str">
        <f ca="1">IF(CZ$11="","",IF(CZ$13=$M$5,CHOOSE($Q$6+1,$M$1,#REF!+#REF!-#REF!),IF(CZ$13=$M$6,CHOOSE($Q$6+1,$M$1,OFFSET($A202,,$P$7-1)),IF(CZ$13=$M$7,CHOOSE($Q$6+1,$M$1,SUM(OFFSET($A$11,$B202-$O$5,$O$6,1,-$P$6))),IF(CZ$13=$M$8,CHOOSE($Q$6+1,$M$1,SUM(OFFSET($A$11,$B202-$O$5,$O$7,1,-$P$6))),IF(CZ$11&lt;$D$7,OFFSET(INDIRECT($D$3),$A202-1,$Q$3+CZ$11),OFFSET(INDIRECT($D$4),$A202-1,$Q$4+CZ$11)))))))</f>
        <v/>
      </c>
    </row>
    <row r="203" spans="1:104" ht="13.5" customHeight="1">
      <c r="A203" s="28">
        <v>183</v>
      </c>
      <c r="B203" s="33">
        <f t="shared" si="639"/>
        <v>203</v>
      </c>
      <c r="C203" s="9" t="s">
        <v>450</v>
      </c>
      <c r="D203" s="34">
        <f ca="1">IF(D$13="","",+SUM(D194:D202))</f>
        <v>-40419</v>
      </c>
      <c r="E203" s="34">
        <f t="shared" ref="E203:BP203" ca="1" si="1020">IF(E$13="","",+SUM(E194:E202))</f>
        <v>-48227</v>
      </c>
      <c r="F203" s="34">
        <f t="shared" ca="1" si="1020"/>
        <v>-12251</v>
      </c>
      <c r="G203" s="34">
        <f t="shared" ca="1" si="1020"/>
        <v>-27283</v>
      </c>
      <c r="H203" s="34">
        <f t="shared" ca="1" si="1020"/>
        <v>-40419</v>
      </c>
      <c r="I203" s="34">
        <f t="shared" ca="1" si="1020"/>
        <v>-17128</v>
      </c>
      <c r="J203" s="34">
        <f t="shared" ca="1" si="1020"/>
        <v>-31604</v>
      </c>
      <c r="K203" s="34">
        <f t="shared" ca="1" si="1020"/>
        <v>-43914</v>
      </c>
      <c r="L203" s="34">
        <f t="shared" ca="1" si="1020"/>
        <v>-48227</v>
      </c>
      <c r="M203" s="34">
        <f t="shared" ca="1" si="1020"/>
        <v>-13521</v>
      </c>
      <c r="N203" s="34">
        <f t="shared" ca="1" si="1020"/>
        <v>-44620</v>
      </c>
      <c r="O203" s="34">
        <f t="shared" ca="1" si="1020"/>
        <v>-48227</v>
      </c>
      <c r="P203" s="34">
        <f t="shared" ca="1" si="1020"/>
        <v>-13521</v>
      </c>
      <c r="Q203" s="34">
        <f t="shared" ca="1" si="1020"/>
        <v>-17128</v>
      </c>
      <c r="R203" s="34" t="str">
        <f t="shared" ca="1" si="1020"/>
        <v/>
      </c>
      <c r="S203" s="34" t="str">
        <f t="shared" ca="1" si="1020"/>
        <v/>
      </c>
      <c r="T203" s="34" t="str">
        <f t="shared" ca="1" si="1020"/>
        <v/>
      </c>
      <c r="U203" s="34" t="str">
        <f t="shared" ca="1" si="1020"/>
        <v/>
      </c>
      <c r="V203" s="34" t="str">
        <f t="shared" ca="1" si="1020"/>
        <v/>
      </c>
      <c r="W203" s="34" t="str">
        <f t="shared" ca="1" si="1020"/>
        <v/>
      </c>
      <c r="X203" s="34" t="str">
        <f t="shared" ca="1" si="1020"/>
        <v/>
      </c>
      <c r="Y203" s="34" t="str">
        <f t="shared" ca="1" si="1020"/>
        <v/>
      </c>
      <c r="Z203" s="34" t="str">
        <f t="shared" ca="1" si="1020"/>
        <v/>
      </c>
      <c r="AA203" s="34" t="str">
        <f t="shared" ca="1" si="1020"/>
        <v/>
      </c>
      <c r="AB203" s="34" t="str">
        <f t="shared" ca="1" si="1020"/>
        <v/>
      </c>
      <c r="AC203" s="34" t="str">
        <f t="shared" ca="1" si="1020"/>
        <v/>
      </c>
      <c r="AD203" s="34" t="str">
        <f t="shared" ca="1" si="1020"/>
        <v/>
      </c>
      <c r="AE203" s="34" t="str">
        <f t="shared" ca="1" si="1020"/>
        <v/>
      </c>
      <c r="AF203" s="34" t="str">
        <f t="shared" ca="1" si="1020"/>
        <v/>
      </c>
      <c r="AG203" s="17" t="str">
        <f t="shared" ca="1" si="1020"/>
        <v/>
      </c>
      <c r="AH203" s="17" t="str">
        <f t="shared" ca="1" si="1020"/>
        <v/>
      </c>
      <c r="AI203" s="17" t="str">
        <f t="shared" ca="1" si="1020"/>
        <v/>
      </c>
      <c r="AJ203" s="17" t="str">
        <f t="shared" ca="1" si="1020"/>
        <v/>
      </c>
      <c r="AK203" s="17" t="str">
        <f t="shared" ca="1" si="1020"/>
        <v/>
      </c>
      <c r="AL203" s="17" t="str">
        <f t="shared" ca="1" si="1020"/>
        <v/>
      </c>
      <c r="AM203" s="17" t="str">
        <f t="shared" ca="1" si="1020"/>
        <v/>
      </c>
      <c r="AN203" s="17" t="str">
        <f t="shared" ca="1" si="1020"/>
        <v/>
      </c>
      <c r="AO203" s="17" t="str">
        <f t="shared" ca="1" si="1020"/>
        <v/>
      </c>
      <c r="AP203" s="17" t="str">
        <f t="shared" ca="1" si="1020"/>
        <v/>
      </c>
      <c r="AQ203" s="17" t="str">
        <f t="shared" ca="1" si="1020"/>
        <v/>
      </c>
      <c r="AR203" s="17" t="str">
        <f t="shared" ca="1" si="1020"/>
        <v/>
      </c>
      <c r="AS203" s="17" t="str">
        <f t="shared" ca="1" si="1020"/>
        <v/>
      </c>
      <c r="AT203" s="17" t="str">
        <f t="shared" ca="1" si="1020"/>
        <v/>
      </c>
      <c r="AU203" s="17" t="str">
        <f t="shared" ca="1" si="1020"/>
        <v/>
      </c>
      <c r="AV203" s="17" t="str">
        <f t="shared" ca="1" si="1020"/>
        <v/>
      </c>
      <c r="AW203" s="17" t="str">
        <f t="shared" ca="1" si="1020"/>
        <v/>
      </c>
      <c r="AX203" s="17" t="str">
        <f t="shared" ca="1" si="1020"/>
        <v/>
      </c>
      <c r="AY203" s="17" t="str">
        <f t="shared" ca="1" si="1020"/>
        <v/>
      </c>
      <c r="AZ203" s="17" t="str">
        <f t="shared" ca="1" si="1020"/>
        <v/>
      </c>
      <c r="BA203" s="17" t="str">
        <f t="shared" ca="1" si="1020"/>
        <v/>
      </c>
      <c r="BB203" s="17" t="str">
        <f t="shared" ca="1" si="1020"/>
        <v/>
      </c>
      <c r="BC203" s="17" t="str">
        <f t="shared" ca="1" si="1020"/>
        <v/>
      </c>
      <c r="BD203" s="17" t="str">
        <f t="shared" ca="1" si="1020"/>
        <v/>
      </c>
      <c r="BE203" s="17" t="str">
        <f t="shared" ca="1" si="1020"/>
        <v/>
      </c>
      <c r="BF203" s="17" t="str">
        <f t="shared" ca="1" si="1020"/>
        <v/>
      </c>
      <c r="BG203" s="17" t="str">
        <f t="shared" ca="1" si="1020"/>
        <v/>
      </c>
      <c r="BH203" s="17" t="str">
        <f t="shared" ca="1" si="1020"/>
        <v/>
      </c>
      <c r="BI203" s="17" t="str">
        <f t="shared" ca="1" si="1020"/>
        <v/>
      </c>
      <c r="BJ203" s="17" t="str">
        <f t="shared" ca="1" si="1020"/>
        <v/>
      </c>
      <c r="BK203" s="17" t="str">
        <f t="shared" ca="1" si="1020"/>
        <v/>
      </c>
      <c r="BL203" s="17" t="str">
        <f t="shared" ca="1" si="1020"/>
        <v/>
      </c>
      <c r="BM203" s="17" t="str">
        <f t="shared" ca="1" si="1020"/>
        <v/>
      </c>
      <c r="BN203" s="17" t="str">
        <f t="shared" ca="1" si="1020"/>
        <v/>
      </c>
      <c r="BO203" s="17" t="str">
        <f t="shared" ca="1" si="1020"/>
        <v/>
      </c>
      <c r="BP203" s="17" t="str">
        <f t="shared" ca="1" si="1020"/>
        <v/>
      </c>
      <c r="BQ203" s="17" t="str">
        <f t="shared" ref="BQ203:CZ203" ca="1" si="1021">IF(BQ$13="","",+SUM(BQ194:BQ202))</f>
        <v/>
      </c>
      <c r="BR203" s="17" t="str">
        <f t="shared" ca="1" si="1021"/>
        <v/>
      </c>
      <c r="BS203" s="17" t="str">
        <f t="shared" ca="1" si="1021"/>
        <v/>
      </c>
      <c r="BT203" s="17" t="str">
        <f t="shared" ca="1" si="1021"/>
        <v/>
      </c>
      <c r="BU203" s="17" t="str">
        <f t="shared" ca="1" si="1021"/>
        <v/>
      </c>
      <c r="BV203" s="17" t="str">
        <f t="shared" ca="1" si="1021"/>
        <v/>
      </c>
      <c r="BW203" s="17" t="str">
        <f t="shared" ca="1" si="1021"/>
        <v/>
      </c>
      <c r="BX203" s="17" t="str">
        <f t="shared" ca="1" si="1021"/>
        <v/>
      </c>
      <c r="BY203" s="17" t="str">
        <f t="shared" ca="1" si="1021"/>
        <v/>
      </c>
      <c r="BZ203" s="17" t="str">
        <f t="shared" ca="1" si="1021"/>
        <v/>
      </c>
      <c r="CA203" s="17" t="str">
        <f t="shared" ca="1" si="1021"/>
        <v/>
      </c>
      <c r="CB203" s="17" t="str">
        <f t="shared" ca="1" si="1021"/>
        <v/>
      </c>
      <c r="CC203" s="17" t="str">
        <f t="shared" ca="1" si="1021"/>
        <v/>
      </c>
      <c r="CD203" s="17" t="str">
        <f t="shared" ca="1" si="1021"/>
        <v/>
      </c>
      <c r="CE203" s="17" t="str">
        <f t="shared" ca="1" si="1021"/>
        <v/>
      </c>
      <c r="CF203" s="17" t="str">
        <f t="shared" ca="1" si="1021"/>
        <v/>
      </c>
      <c r="CG203" s="17" t="str">
        <f t="shared" ca="1" si="1021"/>
        <v/>
      </c>
      <c r="CH203" s="17" t="str">
        <f t="shared" ca="1" si="1021"/>
        <v/>
      </c>
      <c r="CI203" s="17" t="str">
        <f t="shared" ca="1" si="1021"/>
        <v/>
      </c>
      <c r="CJ203" s="17" t="str">
        <f t="shared" ca="1" si="1021"/>
        <v/>
      </c>
      <c r="CK203" s="17" t="str">
        <f t="shared" ca="1" si="1021"/>
        <v/>
      </c>
      <c r="CL203" s="17" t="str">
        <f t="shared" ca="1" si="1021"/>
        <v/>
      </c>
      <c r="CM203" s="17" t="str">
        <f t="shared" ca="1" si="1021"/>
        <v/>
      </c>
      <c r="CN203" s="17" t="str">
        <f t="shared" ca="1" si="1021"/>
        <v/>
      </c>
      <c r="CO203" s="17" t="str">
        <f t="shared" ca="1" si="1021"/>
        <v/>
      </c>
      <c r="CP203" s="17" t="str">
        <f t="shared" ca="1" si="1021"/>
        <v/>
      </c>
      <c r="CQ203" s="17" t="str">
        <f t="shared" ca="1" si="1021"/>
        <v/>
      </c>
      <c r="CR203" s="17" t="str">
        <f t="shared" ca="1" si="1021"/>
        <v/>
      </c>
      <c r="CS203" s="17" t="str">
        <f t="shared" ca="1" si="1021"/>
        <v/>
      </c>
      <c r="CT203" s="17" t="str">
        <f t="shared" ca="1" si="1021"/>
        <v/>
      </c>
      <c r="CU203" s="17" t="str">
        <f t="shared" ca="1" si="1021"/>
        <v/>
      </c>
      <c r="CV203" s="17" t="str">
        <f t="shared" ca="1" si="1021"/>
        <v/>
      </c>
      <c r="CW203" s="17" t="str">
        <f t="shared" ca="1" si="1021"/>
        <v/>
      </c>
      <c r="CX203" s="17" t="str">
        <f t="shared" ca="1" si="1021"/>
        <v/>
      </c>
      <c r="CY203" s="17" t="str">
        <f t="shared" ca="1" si="1021"/>
        <v/>
      </c>
      <c r="CZ203" s="17" t="str">
        <f t="shared" ca="1" si="1021"/>
        <v/>
      </c>
    </row>
    <row r="204" spans="1:104" ht="13.5" customHeight="1">
      <c r="A204" s="27">
        <v>184</v>
      </c>
      <c r="B204" s="33">
        <f t="shared" si="639"/>
        <v>204</v>
      </c>
      <c r="C204" s="8" t="s">
        <v>451</v>
      </c>
      <c r="D204" s="23">
        <f t="shared" ref="D204:M210" ca="1" si="1022">IF(D$11="","",IF(D$13=$M$5,CHOOSE($Q$6+1,$M$1,E204+F204-G204),IF(D$13=$M$6,CHOOSE($Q$6+1,$M$1,OFFSET($A204,,$P$7-1)),IF(D$13=$M$7,CHOOSE($Q$6+1,$M$1,SUM(OFFSET($A$11,$B204-$O$5,$O$6,1,-$P$6))),IF(D$13=$M$8,CHOOSE($Q$6+1,$M$1,SUM(OFFSET($A$11,$B204-$O$5,$O$7,1,-$P$6))),IF(D$11&lt;$D$7,OFFSET(INDIRECT($D$3),$A204-1,$Q$3+D$11),OFFSET(INDIRECT($D$4),$A204-1,$Q$4+D$11)))))))</f>
        <v>0</v>
      </c>
      <c r="E204" s="23">
        <f t="shared" ca="1" si="1022"/>
        <v>0</v>
      </c>
      <c r="F204" s="23">
        <f t="shared" ca="1" si="1022"/>
        <v>0</v>
      </c>
      <c r="G204" s="23">
        <f t="shared" ca="1" si="1022"/>
        <v>0</v>
      </c>
      <c r="H204" s="23">
        <f t="shared" ca="1" si="1022"/>
        <v>0</v>
      </c>
      <c r="I204" s="23">
        <f t="shared" ca="1" si="1022"/>
        <v>0</v>
      </c>
      <c r="J204" s="23">
        <f t="shared" ca="1" si="1022"/>
        <v>0</v>
      </c>
      <c r="K204" s="23">
        <f t="shared" ca="1" si="1022"/>
        <v>0</v>
      </c>
      <c r="L204" s="23">
        <f t="shared" ca="1" si="1022"/>
        <v>0</v>
      </c>
      <c r="M204" s="23">
        <f t="shared" ca="1" si="1022"/>
        <v>0</v>
      </c>
      <c r="N204" s="23">
        <f t="shared" ref="N204:W210" ca="1" si="1023">IF(N$11="","",IF(N$13=$M$5,CHOOSE($Q$6+1,$M$1,O204+P204-Q204),IF(N$13=$M$6,CHOOSE($Q$6+1,$M$1,OFFSET($A204,,$P$7-1)),IF(N$13=$M$7,CHOOSE($Q$6+1,$M$1,SUM(OFFSET($A$11,$B204-$O$5,$O$6,1,-$P$6))),IF(N$13=$M$8,CHOOSE($Q$6+1,$M$1,SUM(OFFSET($A$11,$B204-$O$5,$O$7,1,-$P$6))),IF(N$11&lt;$D$7,OFFSET(INDIRECT($D$3),$A204-1,$Q$3+N$11),OFFSET(INDIRECT($D$4),$A204-1,$Q$4+N$11)))))))</f>
        <v>0</v>
      </c>
      <c r="O204" s="23">
        <f t="shared" ca="1" si="1023"/>
        <v>0</v>
      </c>
      <c r="P204" s="23">
        <f t="shared" ca="1" si="1023"/>
        <v>0</v>
      </c>
      <c r="Q204" s="23">
        <f t="shared" ca="1" si="1023"/>
        <v>0</v>
      </c>
      <c r="R204" s="23" t="str">
        <f t="shared" ca="1" si="1023"/>
        <v/>
      </c>
      <c r="S204" s="23" t="str">
        <f t="shared" ca="1" si="1023"/>
        <v/>
      </c>
      <c r="T204" s="23" t="str">
        <f t="shared" ca="1" si="1023"/>
        <v/>
      </c>
      <c r="U204" s="23" t="str">
        <f t="shared" ca="1" si="1023"/>
        <v/>
      </c>
      <c r="V204" s="23" t="str">
        <f t="shared" ca="1" si="1023"/>
        <v/>
      </c>
      <c r="W204" s="23" t="str">
        <f t="shared" ca="1" si="1023"/>
        <v/>
      </c>
      <c r="X204" s="23" t="str">
        <f t="shared" ref="X204:AG210" ca="1" si="1024">IF(X$11="","",IF(X$13=$M$5,CHOOSE($Q$6+1,$M$1,Y204+Z204-AA204),IF(X$13=$M$6,CHOOSE($Q$6+1,$M$1,OFFSET($A204,,$P$7-1)),IF(X$13=$M$7,CHOOSE($Q$6+1,$M$1,SUM(OFFSET($A$11,$B204-$O$5,$O$6,1,-$P$6))),IF(X$13=$M$8,CHOOSE($Q$6+1,$M$1,SUM(OFFSET($A$11,$B204-$O$5,$O$7,1,-$P$6))),IF(X$11&lt;$D$7,OFFSET(INDIRECT($D$3),$A204-1,$Q$3+X$11),OFFSET(INDIRECT($D$4),$A204-1,$Q$4+X$11)))))))</f>
        <v/>
      </c>
      <c r="Y204" s="23" t="str">
        <f t="shared" ca="1" si="1024"/>
        <v/>
      </c>
      <c r="Z204" s="23" t="str">
        <f t="shared" ca="1" si="1024"/>
        <v/>
      </c>
      <c r="AA204" s="23" t="str">
        <f t="shared" ca="1" si="1024"/>
        <v/>
      </c>
      <c r="AB204" s="23" t="str">
        <f t="shared" ca="1" si="1024"/>
        <v/>
      </c>
      <c r="AC204" s="23" t="str">
        <f t="shared" ca="1" si="1024"/>
        <v/>
      </c>
      <c r="AD204" s="23" t="str">
        <f t="shared" ca="1" si="1024"/>
        <v/>
      </c>
      <c r="AE204" s="23" t="str">
        <f t="shared" ca="1" si="1024"/>
        <v/>
      </c>
      <c r="AF204" s="23" t="str">
        <f t="shared" ca="1" si="1024"/>
        <v/>
      </c>
      <c r="AG204" s="23" t="str">
        <f t="shared" ca="1" si="1024"/>
        <v/>
      </c>
      <c r="AH204" s="23" t="str">
        <f t="shared" ref="AH204:AQ210" ca="1" si="1025">IF(AH$11="","",IF(AH$13=$M$5,CHOOSE($Q$6+1,$M$1,AI204+AJ204-AK204),IF(AH$13=$M$6,CHOOSE($Q$6+1,$M$1,OFFSET($A204,,$P$7-1)),IF(AH$13=$M$7,CHOOSE($Q$6+1,$M$1,SUM(OFFSET($A$11,$B204-$O$5,$O$6,1,-$P$6))),IF(AH$13=$M$8,CHOOSE($Q$6+1,$M$1,SUM(OFFSET($A$11,$B204-$O$5,$O$7,1,-$P$6))),IF(AH$11&lt;$D$7,OFFSET(INDIRECT($D$3),$A204-1,$Q$3+AH$11),OFFSET(INDIRECT($D$4),$A204-1,$Q$4+AH$11)))))))</f>
        <v/>
      </c>
      <c r="AI204" s="23" t="str">
        <f t="shared" ca="1" si="1025"/>
        <v/>
      </c>
      <c r="AJ204" s="23" t="str">
        <f t="shared" ca="1" si="1025"/>
        <v/>
      </c>
      <c r="AK204" s="23" t="str">
        <f t="shared" ca="1" si="1025"/>
        <v/>
      </c>
      <c r="AL204" s="23" t="str">
        <f t="shared" ca="1" si="1025"/>
        <v/>
      </c>
      <c r="AM204" s="23" t="str">
        <f t="shared" ca="1" si="1025"/>
        <v/>
      </c>
      <c r="AN204" s="23" t="str">
        <f t="shared" ca="1" si="1025"/>
        <v/>
      </c>
      <c r="AO204" s="23" t="str">
        <f t="shared" ca="1" si="1025"/>
        <v/>
      </c>
      <c r="AP204" s="23" t="str">
        <f t="shared" ca="1" si="1025"/>
        <v/>
      </c>
      <c r="AQ204" s="23" t="str">
        <f t="shared" ca="1" si="1025"/>
        <v/>
      </c>
      <c r="AR204" s="23" t="str">
        <f t="shared" ref="AR204:BA210" ca="1" si="1026">IF(AR$11="","",IF(AR$13=$M$5,CHOOSE($Q$6+1,$M$1,AS204+AT204-AU204),IF(AR$13=$M$6,CHOOSE($Q$6+1,$M$1,OFFSET($A204,,$P$7-1)),IF(AR$13=$M$7,CHOOSE($Q$6+1,$M$1,SUM(OFFSET($A$11,$B204-$O$5,$O$6,1,-$P$6))),IF(AR$13=$M$8,CHOOSE($Q$6+1,$M$1,SUM(OFFSET($A$11,$B204-$O$5,$O$7,1,-$P$6))),IF(AR$11&lt;$D$7,OFFSET(INDIRECT($D$3),$A204-1,$Q$3+AR$11),OFFSET(INDIRECT($D$4),$A204-1,$Q$4+AR$11)))))))</f>
        <v/>
      </c>
      <c r="AS204" s="23" t="str">
        <f t="shared" ca="1" si="1026"/>
        <v/>
      </c>
      <c r="AT204" s="23" t="str">
        <f t="shared" ca="1" si="1026"/>
        <v/>
      </c>
      <c r="AU204" s="23" t="str">
        <f t="shared" ca="1" si="1026"/>
        <v/>
      </c>
      <c r="AV204" s="23" t="str">
        <f t="shared" ca="1" si="1026"/>
        <v/>
      </c>
      <c r="AW204" s="23" t="str">
        <f t="shared" ca="1" si="1026"/>
        <v/>
      </c>
      <c r="AX204" s="23" t="str">
        <f t="shared" ca="1" si="1026"/>
        <v/>
      </c>
      <c r="AY204" s="23" t="str">
        <f t="shared" ca="1" si="1026"/>
        <v/>
      </c>
      <c r="AZ204" s="23" t="str">
        <f t="shared" ca="1" si="1026"/>
        <v/>
      </c>
      <c r="BA204" s="23" t="str">
        <f t="shared" ca="1" si="1026"/>
        <v/>
      </c>
      <c r="BB204" s="23" t="str">
        <f t="shared" ref="BB204:BK210" ca="1" si="1027">IF(BB$11="","",IF(BB$13=$M$5,CHOOSE($Q$6+1,$M$1,BC204+BD204-BE204),IF(BB$13=$M$6,CHOOSE($Q$6+1,$M$1,OFFSET($A204,,$P$7-1)),IF(BB$13=$M$7,CHOOSE($Q$6+1,$M$1,SUM(OFFSET($A$11,$B204-$O$5,$O$6,1,-$P$6))),IF(BB$13=$M$8,CHOOSE($Q$6+1,$M$1,SUM(OFFSET($A$11,$B204-$O$5,$O$7,1,-$P$6))),IF(BB$11&lt;$D$7,OFFSET(INDIRECT($D$3),$A204-1,$Q$3+BB$11),OFFSET(INDIRECT($D$4),$A204-1,$Q$4+BB$11)))))))</f>
        <v/>
      </c>
      <c r="BC204" s="23" t="str">
        <f t="shared" ca="1" si="1027"/>
        <v/>
      </c>
      <c r="BD204" s="23" t="str">
        <f t="shared" ca="1" si="1027"/>
        <v/>
      </c>
      <c r="BE204" s="23" t="str">
        <f t="shared" ca="1" si="1027"/>
        <v/>
      </c>
      <c r="BF204" s="23" t="str">
        <f t="shared" ca="1" si="1027"/>
        <v/>
      </c>
      <c r="BG204" s="23" t="str">
        <f t="shared" ca="1" si="1027"/>
        <v/>
      </c>
      <c r="BH204" s="23" t="str">
        <f t="shared" ca="1" si="1027"/>
        <v/>
      </c>
      <c r="BI204" s="23" t="str">
        <f t="shared" ca="1" si="1027"/>
        <v/>
      </c>
      <c r="BJ204" s="23" t="str">
        <f t="shared" ca="1" si="1027"/>
        <v/>
      </c>
      <c r="BK204" s="23" t="str">
        <f t="shared" ca="1" si="1027"/>
        <v/>
      </c>
      <c r="BL204" s="23" t="str">
        <f t="shared" ref="BL204:BU210" ca="1" si="1028">IF(BL$11="","",IF(BL$13=$M$5,CHOOSE($Q$6+1,$M$1,BM204+BN204-BO204),IF(BL$13=$M$6,CHOOSE($Q$6+1,$M$1,OFFSET($A204,,$P$7-1)),IF(BL$13=$M$7,CHOOSE($Q$6+1,$M$1,SUM(OFFSET($A$11,$B204-$O$5,$O$6,1,-$P$6))),IF(BL$13=$M$8,CHOOSE($Q$6+1,$M$1,SUM(OFFSET($A$11,$B204-$O$5,$O$7,1,-$P$6))),IF(BL$11&lt;$D$7,OFFSET(INDIRECT($D$3),$A204-1,$Q$3+BL$11),OFFSET(INDIRECT($D$4),$A204-1,$Q$4+BL$11)))))))</f>
        <v/>
      </c>
      <c r="BM204" s="23" t="str">
        <f t="shared" ca="1" si="1028"/>
        <v/>
      </c>
      <c r="BN204" s="23" t="str">
        <f t="shared" ca="1" si="1028"/>
        <v/>
      </c>
      <c r="BO204" s="23" t="str">
        <f t="shared" ca="1" si="1028"/>
        <v/>
      </c>
      <c r="BP204" s="23" t="str">
        <f t="shared" ca="1" si="1028"/>
        <v/>
      </c>
      <c r="BQ204" s="23" t="str">
        <f t="shared" ca="1" si="1028"/>
        <v/>
      </c>
      <c r="BR204" s="23" t="str">
        <f t="shared" ca="1" si="1028"/>
        <v/>
      </c>
      <c r="BS204" s="23" t="str">
        <f t="shared" ca="1" si="1028"/>
        <v/>
      </c>
      <c r="BT204" s="23" t="str">
        <f t="shared" ca="1" si="1028"/>
        <v/>
      </c>
      <c r="BU204" s="23" t="str">
        <f t="shared" ca="1" si="1028"/>
        <v/>
      </c>
      <c r="BV204" s="23" t="str">
        <f t="shared" ref="BV204:CE210" ca="1" si="1029">IF(BV$11="","",IF(BV$13=$M$5,CHOOSE($Q$6+1,$M$1,BW204+BX204-BY204),IF(BV$13=$M$6,CHOOSE($Q$6+1,$M$1,OFFSET($A204,,$P$7-1)),IF(BV$13=$M$7,CHOOSE($Q$6+1,$M$1,SUM(OFFSET($A$11,$B204-$O$5,$O$6,1,-$P$6))),IF(BV$13=$M$8,CHOOSE($Q$6+1,$M$1,SUM(OFFSET($A$11,$B204-$O$5,$O$7,1,-$P$6))),IF(BV$11&lt;$D$7,OFFSET(INDIRECT($D$3),$A204-1,$Q$3+BV$11),OFFSET(INDIRECT($D$4),$A204-1,$Q$4+BV$11)))))))</f>
        <v/>
      </c>
      <c r="BW204" s="23" t="str">
        <f t="shared" ca="1" si="1029"/>
        <v/>
      </c>
      <c r="BX204" s="23" t="str">
        <f t="shared" ca="1" si="1029"/>
        <v/>
      </c>
      <c r="BY204" s="23" t="str">
        <f t="shared" ca="1" si="1029"/>
        <v/>
      </c>
      <c r="BZ204" s="23" t="str">
        <f t="shared" ca="1" si="1029"/>
        <v/>
      </c>
      <c r="CA204" s="23" t="str">
        <f t="shared" ca="1" si="1029"/>
        <v/>
      </c>
      <c r="CB204" s="23" t="str">
        <f t="shared" ca="1" si="1029"/>
        <v/>
      </c>
      <c r="CC204" s="23" t="str">
        <f t="shared" ca="1" si="1029"/>
        <v/>
      </c>
      <c r="CD204" s="23" t="str">
        <f t="shared" ca="1" si="1029"/>
        <v/>
      </c>
      <c r="CE204" s="23" t="str">
        <f t="shared" ca="1" si="1029"/>
        <v/>
      </c>
      <c r="CF204" s="23" t="str">
        <f t="shared" ref="CF204:CO210" ca="1" si="1030">IF(CF$11="","",IF(CF$13=$M$5,CHOOSE($Q$6+1,$M$1,CG204+CH204-CI204),IF(CF$13=$M$6,CHOOSE($Q$6+1,$M$1,OFFSET($A204,,$P$7-1)),IF(CF$13=$M$7,CHOOSE($Q$6+1,$M$1,SUM(OFFSET($A$11,$B204-$O$5,$O$6,1,-$P$6))),IF(CF$13=$M$8,CHOOSE($Q$6+1,$M$1,SUM(OFFSET($A$11,$B204-$O$5,$O$7,1,-$P$6))),IF(CF$11&lt;$D$7,OFFSET(INDIRECT($D$3),$A204-1,$Q$3+CF$11),OFFSET(INDIRECT($D$4),$A204-1,$Q$4+CF$11)))))))</f>
        <v/>
      </c>
      <c r="CG204" s="23" t="str">
        <f t="shared" ca="1" si="1030"/>
        <v/>
      </c>
      <c r="CH204" s="23" t="str">
        <f t="shared" ca="1" si="1030"/>
        <v/>
      </c>
      <c r="CI204" s="23" t="str">
        <f t="shared" ca="1" si="1030"/>
        <v/>
      </c>
      <c r="CJ204" s="23" t="str">
        <f t="shared" ca="1" si="1030"/>
        <v/>
      </c>
      <c r="CK204" s="23" t="str">
        <f t="shared" ca="1" si="1030"/>
        <v/>
      </c>
      <c r="CL204" s="23" t="str">
        <f t="shared" ca="1" si="1030"/>
        <v/>
      </c>
      <c r="CM204" s="23" t="str">
        <f t="shared" ca="1" si="1030"/>
        <v/>
      </c>
      <c r="CN204" s="23" t="str">
        <f t="shared" ca="1" si="1030"/>
        <v/>
      </c>
      <c r="CO204" s="23" t="str">
        <f t="shared" ca="1" si="1030"/>
        <v/>
      </c>
      <c r="CP204" s="23" t="str">
        <f t="shared" ref="CP204:CW210" ca="1" si="1031">IF(CP$11="","",IF(CP$13=$M$5,CHOOSE($Q$6+1,$M$1,CQ204+CR204-CS204),IF(CP$13=$M$6,CHOOSE($Q$6+1,$M$1,OFFSET($A204,,$P$7-1)),IF(CP$13=$M$7,CHOOSE($Q$6+1,$M$1,SUM(OFFSET($A$11,$B204-$O$5,$O$6,1,-$P$6))),IF(CP$13=$M$8,CHOOSE($Q$6+1,$M$1,SUM(OFFSET($A$11,$B204-$O$5,$O$7,1,-$P$6))),IF(CP$11&lt;$D$7,OFFSET(INDIRECT($D$3),$A204-1,$Q$3+CP$11),OFFSET(INDIRECT($D$4),$A204-1,$Q$4+CP$11)))))))</f>
        <v/>
      </c>
      <c r="CQ204" s="23" t="str">
        <f t="shared" ca="1" si="1031"/>
        <v/>
      </c>
      <c r="CR204" s="23" t="str">
        <f t="shared" ca="1" si="1031"/>
        <v/>
      </c>
      <c r="CS204" s="23" t="str">
        <f t="shared" ca="1" si="1031"/>
        <v/>
      </c>
      <c r="CT204" s="23" t="str">
        <f t="shared" ca="1" si="1031"/>
        <v/>
      </c>
      <c r="CU204" s="23" t="str">
        <f t="shared" ca="1" si="1031"/>
        <v/>
      </c>
      <c r="CV204" s="23" t="str">
        <f t="shared" ca="1" si="1031"/>
        <v/>
      </c>
      <c r="CW204" s="23" t="str">
        <f t="shared" ca="1" si="1031"/>
        <v/>
      </c>
      <c r="CX204" s="23" t="str">
        <f ca="1">IF(CX$11="","",IF(CX$13=$M$5,CHOOSE($Q$6+1,$M$1,CY204+CZ204-#REF!),IF(CX$13=$M$6,CHOOSE($Q$6+1,$M$1,OFFSET($A204,,$P$7-1)),IF(CX$13=$M$7,CHOOSE($Q$6+1,$M$1,SUM(OFFSET($A$11,$B204-$O$5,$O$6,1,-$P$6))),IF(CX$13=$M$8,CHOOSE($Q$6+1,$M$1,SUM(OFFSET($A$11,$B204-$O$5,$O$7,1,-$P$6))),IF(CX$11&lt;$D$7,OFFSET(INDIRECT($D$3),$A204-1,$Q$3+CX$11),OFFSET(INDIRECT($D$4),$A204-1,$Q$4+CX$11)))))))</f>
        <v/>
      </c>
      <c r="CY204" s="23" t="str">
        <f ca="1">IF(CY$11="","",IF(CY$13=$M$5,CHOOSE($Q$6+1,$M$1,CZ204+#REF!-#REF!),IF(CY$13=$M$6,CHOOSE($Q$6+1,$M$1,OFFSET($A204,,$P$7-1)),IF(CY$13=$M$7,CHOOSE($Q$6+1,$M$1,SUM(OFFSET($A$11,$B204-$O$5,$O$6,1,-$P$6))),IF(CY$13=$M$8,CHOOSE($Q$6+1,$M$1,SUM(OFFSET($A$11,$B204-$O$5,$O$7,1,-$P$6))),IF(CY$11&lt;$D$7,OFFSET(INDIRECT($D$3),$A204-1,$Q$3+CY$11),OFFSET(INDIRECT($D$4),$A204-1,$Q$4+CY$11)))))))</f>
        <v/>
      </c>
      <c r="CZ204" s="23" t="str">
        <f ca="1">IF(CZ$11="","",IF(CZ$13=$M$5,CHOOSE($Q$6+1,$M$1,#REF!+#REF!-#REF!),IF(CZ$13=$M$6,CHOOSE($Q$6+1,$M$1,OFFSET($A204,,$P$7-1)),IF(CZ$13=$M$7,CHOOSE($Q$6+1,$M$1,SUM(OFFSET($A$11,$B204-$O$5,$O$6,1,-$P$6))),IF(CZ$13=$M$8,CHOOSE($Q$6+1,$M$1,SUM(OFFSET($A$11,$B204-$O$5,$O$7,1,-$P$6))),IF(CZ$11&lt;$D$7,OFFSET(INDIRECT($D$3),$A204-1,$Q$3+CZ$11),OFFSET(INDIRECT($D$4),$A204-1,$Q$4+CZ$11)))))))</f>
        <v/>
      </c>
    </row>
    <row r="205" spans="1:104" ht="13.5" customHeight="1">
      <c r="A205" s="27">
        <v>185</v>
      </c>
      <c r="B205" s="33">
        <f t="shared" si="639"/>
        <v>205</v>
      </c>
      <c r="C205" s="8" t="s">
        <v>452</v>
      </c>
      <c r="D205" s="23">
        <f t="shared" ca="1" si="1022"/>
        <v>831</v>
      </c>
      <c r="E205" s="23">
        <f t="shared" ca="1" si="1022"/>
        <v>665</v>
      </c>
      <c r="F205" s="23">
        <f t="shared" ca="1" si="1022"/>
        <v>494</v>
      </c>
      <c r="G205" s="23">
        <f t="shared" ca="1" si="1022"/>
        <v>577</v>
      </c>
      <c r="H205" s="23">
        <f t="shared" ca="1" si="1022"/>
        <v>831</v>
      </c>
      <c r="I205" s="23">
        <f t="shared" ca="1" si="1022"/>
        <v>91</v>
      </c>
      <c r="J205" s="23">
        <f t="shared" ca="1" si="1022"/>
        <v>377</v>
      </c>
      <c r="K205" s="23">
        <f t="shared" ca="1" si="1022"/>
        <v>433</v>
      </c>
      <c r="L205" s="23">
        <f t="shared" ca="1" si="1022"/>
        <v>665</v>
      </c>
      <c r="M205" s="23">
        <f t="shared" ca="1" si="1022"/>
        <v>76</v>
      </c>
      <c r="N205" s="23">
        <f t="shared" ca="1" si="1023"/>
        <v>650</v>
      </c>
      <c r="O205" s="23">
        <f t="shared" ca="1" si="1023"/>
        <v>665</v>
      </c>
      <c r="P205" s="23">
        <f t="shared" ca="1" si="1023"/>
        <v>76</v>
      </c>
      <c r="Q205" s="23">
        <f t="shared" ca="1" si="1023"/>
        <v>91</v>
      </c>
      <c r="R205" s="23" t="str">
        <f t="shared" ca="1" si="1023"/>
        <v/>
      </c>
      <c r="S205" s="23" t="str">
        <f t="shared" ca="1" si="1023"/>
        <v/>
      </c>
      <c r="T205" s="23" t="str">
        <f t="shared" ca="1" si="1023"/>
        <v/>
      </c>
      <c r="U205" s="23" t="str">
        <f t="shared" ca="1" si="1023"/>
        <v/>
      </c>
      <c r="V205" s="23" t="str">
        <f t="shared" ca="1" si="1023"/>
        <v/>
      </c>
      <c r="W205" s="23" t="str">
        <f t="shared" ca="1" si="1023"/>
        <v/>
      </c>
      <c r="X205" s="23" t="str">
        <f t="shared" ca="1" si="1024"/>
        <v/>
      </c>
      <c r="Y205" s="23" t="str">
        <f t="shared" ca="1" si="1024"/>
        <v/>
      </c>
      <c r="Z205" s="23" t="str">
        <f t="shared" ca="1" si="1024"/>
        <v/>
      </c>
      <c r="AA205" s="23" t="str">
        <f t="shared" ca="1" si="1024"/>
        <v/>
      </c>
      <c r="AB205" s="23" t="str">
        <f t="shared" ca="1" si="1024"/>
        <v/>
      </c>
      <c r="AC205" s="23" t="str">
        <f t="shared" ca="1" si="1024"/>
        <v/>
      </c>
      <c r="AD205" s="23" t="str">
        <f t="shared" ca="1" si="1024"/>
        <v/>
      </c>
      <c r="AE205" s="23" t="str">
        <f t="shared" ca="1" si="1024"/>
        <v/>
      </c>
      <c r="AF205" s="23" t="str">
        <f t="shared" ca="1" si="1024"/>
        <v/>
      </c>
      <c r="AG205" s="23" t="str">
        <f t="shared" ca="1" si="1024"/>
        <v/>
      </c>
      <c r="AH205" s="23" t="str">
        <f t="shared" ca="1" si="1025"/>
        <v/>
      </c>
      <c r="AI205" s="23" t="str">
        <f t="shared" ca="1" si="1025"/>
        <v/>
      </c>
      <c r="AJ205" s="23" t="str">
        <f t="shared" ca="1" si="1025"/>
        <v/>
      </c>
      <c r="AK205" s="23" t="str">
        <f t="shared" ca="1" si="1025"/>
        <v/>
      </c>
      <c r="AL205" s="23" t="str">
        <f t="shared" ca="1" si="1025"/>
        <v/>
      </c>
      <c r="AM205" s="23" t="str">
        <f t="shared" ca="1" si="1025"/>
        <v/>
      </c>
      <c r="AN205" s="23" t="str">
        <f t="shared" ca="1" si="1025"/>
        <v/>
      </c>
      <c r="AO205" s="23" t="str">
        <f t="shared" ca="1" si="1025"/>
        <v/>
      </c>
      <c r="AP205" s="23" t="str">
        <f t="shared" ca="1" si="1025"/>
        <v/>
      </c>
      <c r="AQ205" s="23" t="str">
        <f t="shared" ca="1" si="1025"/>
        <v/>
      </c>
      <c r="AR205" s="23" t="str">
        <f t="shared" ca="1" si="1026"/>
        <v/>
      </c>
      <c r="AS205" s="23" t="str">
        <f t="shared" ca="1" si="1026"/>
        <v/>
      </c>
      <c r="AT205" s="23" t="str">
        <f t="shared" ca="1" si="1026"/>
        <v/>
      </c>
      <c r="AU205" s="23" t="str">
        <f t="shared" ca="1" si="1026"/>
        <v/>
      </c>
      <c r="AV205" s="23" t="str">
        <f t="shared" ca="1" si="1026"/>
        <v/>
      </c>
      <c r="AW205" s="23" t="str">
        <f t="shared" ca="1" si="1026"/>
        <v/>
      </c>
      <c r="AX205" s="23" t="str">
        <f t="shared" ca="1" si="1026"/>
        <v/>
      </c>
      <c r="AY205" s="23" t="str">
        <f t="shared" ca="1" si="1026"/>
        <v/>
      </c>
      <c r="AZ205" s="23" t="str">
        <f t="shared" ca="1" si="1026"/>
        <v/>
      </c>
      <c r="BA205" s="23" t="str">
        <f t="shared" ca="1" si="1026"/>
        <v/>
      </c>
      <c r="BB205" s="23" t="str">
        <f t="shared" ca="1" si="1027"/>
        <v/>
      </c>
      <c r="BC205" s="23" t="str">
        <f t="shared" ca="1" si="1027"/>
        <v/>
      </c>
      <c r="BD205" s="23" t="str">
        <f t="shared" ca="1" si="1027"/>
        <v/>
      </c>
      <c r="BE205" s="23" t="str">
        <f t="shared" ca="1" si="1027"/>
        <v/>
      </c>
      <c r="BF205" s="23" t="str">
        <f t="shared" ca="1" si="1027"/>
        <v/>
      </c>
      <c r="BG205" s="23" t="str">
        <f t="shared" ca="1" si="1027"/>
        <v/>
      </c>
      <c r="BH205" s="23" t="str">
        <f t="shared" ca="1" si="1027"/>
        <v/>
      </c>
      <c r="BI205" s="23" t="str">
        <f t="shared" ca="1" si="1027"/>
        <v/>
      </c>
      <c r="BJ205" s="23" t="str">
        <f t="shared" ca="1" si="1027"/>
        <v/>
      </c>
      <c r="BK205" s="23" t="str">
        <f t="shared" ca="1" si="1027"/>
        <v/>
      </c>
      <c r="BL205" s="23" t="str">
        <f t="shared" ca="1" si="1028"/>
        <v/>
      </c>
      <c r="BM205" s="23" t="str">
        <f t="shared" ca="1" si="1028"/>
        <v/>
      </c>
      <c r="BN205" s="23" t="str">
        <f t="shared" ca="1" si="1028"/>
        <v/>
      </c>
      <c r="BO205" s="23" t="str">
        <f t="shared" ca="1" si="1028"/>
        <v/>
      </c>
      <c r="BP205" s="23" t="str">
        <f t="shared" ca="1" si="1028"/>
        <v/>
      </c>
      <c r="BQ205" s="23" t="str">
        <f t="shared" ca="1" si="1028"/>
        <v/>
      </c>
      <c r="BR205" s="23" t="str">
        <f t="shared" ca="1" si="1028"/>
        <v/>
      </c>
      <c r="BS205" s="23" t="str">
        <f t="shared" ca="1" si="1028"/>
        <v/>
      </c>
      <c r="BT205" s="23" t="str">
        <f t="shared" ca="1" si="1028"/>
        <v/>
      </c>
      <c r="BU205" s="23" t="str">
        <f t="shared" ca="1" si="1028"/>
        <v/>
      </c>
      <c r="BV205" s="23" t="str">
        <f t="shared" ca="1" si="1029"/>
        <v/>
      </c>
      <c r="BW205" s="23" t="str">
        <f t="shared" ca="1" si="1029"/>
        <v/>
      </c>
      <c r="BX205" s="23" t="str">
        <f t="shared" ca="1" si="1029"/>
        <v/>
      </c>
      <c r="BY205" s="23" t="str">
        <f t="shared" ca="1" si="1029"/>
        <v/>
      </c>
      <c r="BZ205" s="23" t="str">
        <f t="shared" ca="1" si="1029"/>
        <v/>
      </c>
      <c r="CA205" s="23" t="str">
        <f t="shared" ca="1" si="1029"/>
        <v/>
      </c>
      <c r="CB205" s="23" t="str">
        <f t="shared" ca="1" si="1029"/>
        <v/>
      </c>
      <c r="CC205" s="23" t="str">
        <f t="shared" ca="1" si="1029"/>
        <v/>
      </c>
      <c r="CD205" s="23" t="str">
        <f t="shared" ca="1" si="1029"/>
        <v/>
      </c>
      <c r="CE205" s="23" t="str">
        <f t="shared" ca="1" si="1029"/>
        <v/>
      </c>
      <c r="CF205" s="23" t="str">
        <f t="shared" ca="1" si="1030"/>
        <v/>
      </c>
      <c r="CG205" s="23" t="str">
        <f t="shared" ca="1" si="1030"/>
        <v/>
      </c>
      <c r="CH205" s="23" t="str">
        <f t="shared" ca="1" si="1030"/>
        <v/>
      </c>
      <c r="CI205" s="23" t="str">
        <f t="shared" ca="1" si="1030"/>
        <v/>
      </c>
      <c r="CJ205" s="23" t="str">
        <f t="shared" ca="1" si="1030"/>
        <v/>
      </c>
      <c r="CK205" s="23" t="str">
        <f t="shared" ca="1" si="1030"/>
        <v/>
      </c>
      <c r="CL205" s="23" t="str">
        <f t="shared" ca="1" si="1030"/>
        <v/>
      </c>
      <c r="CM205" s="23" t="str">
        <f t="shared" ca="1" si="1030"/>
        <v/>
      </c>
      <c r="CN205" s="23" t="str">
        <f t="shared" ca="1" si="1030"/>
        <v/>
      </c>
      <c r="CO205" s="23" t="str">
        <f t="shared" ca="1" si="1030"/>
        <v/>
      </c>
      <c r="CP205" s="23" t="str">
        <f t="shared" ca="1" si="1031"/>
        <v/>
      </c>
      <c r="CQ205" s="23" t="str">
        <f t="shared" ca="1" si="1031"/>
        <v/>
      </c>
      <c r="CR205" s="23" t="str">
        <f t="shared" ca="1" si="1031"/>
        <v/>
      </c>
      <c r="CS205" s="23" t="str">
        <f t="shared" ca="1" si="1031"/>
        <v/>
      </c>
      <c r="CT205" s="23" t="str">
        <f t="shared" ca="1" si="1031"/>
        <v/>
      </c>
      <c r="CU205" s="23" t="str">
        <f t="shared" ca="1" si="1031"/>
        <v/>
      </c>
      <c r="CV205" s="23" t="str">
        <f t="shared" ca="1" si="1031"/>
        <v/>
      </c>
      <c r="CW205" s="23" t="str">
        <f t="shared" ca="1" si="1031"/>
        <v/>
      </c>
      <c r="CX205" s="23" t="str">
        <f ca="1">IF(CX$11="","",IF(CX$13=$M$5,CHOOSE($Q$6+1,$M$1,CY205+CZ205-#REF!),IF(CX$13=$M$6,CHOOSE($Q$6+1,$M$1,OFFSET($A205,,$P$7-1)),IF(CX$13=$M$7,CHOOSE($Q$6+1,$M$1,SUM(OFFSET($A$11,$B205-$O$5,$O$6,1,-$P$6))),IF(CX$13=$M$8,CHOOSE($Q$6+1,$M$1,SUM(OFFSET($A$11,$B205-$O$5,$O$7,1,-$P$6))),IF(CX$11&lt;$D$7,OFFSET(INDIRECT($D$3),$A205-1,$Q$3+CX$11),OFFSET(INDIRECT($D$4),$A205-1,$Q$4+CX$11)))))))</f>
        <v/>
      </c>
      <c r="CY205" s="23" t="str">
        <f ca="1">IF(CY$11="","",IF(CY$13=$M$5,CHOOSE($Q$6+1,$M$1,CZ205+#REF!-#REF!),IF(CY$13=$M$6,CHOOSE($Q$6+1,$M$1,OFFSET($A205,,$P$7-1)),IF(CY$13=$M$7,CHOOSE($Q$6+1,$M$1,SUM(OFFSET($A$11,$B205-$O$5,$O$6,1,-$P$6))),IF(CY$13=$M$8,CHOOSE($Q$6+1,$M$1,SUM(OFFSET($A$11,$B205-$O$5,$O$7,1,-$P$6))),IF(CY$11&lt;$D$7,OFFSET(INDIRECT($D$3),$A205-1,$Q$3+CY$11),OFFSET(INDIRECT($D$4),$A205-1,$Q$4+CY$11)))))))</f>
        <v/>
      </c>
      <c r="CZ205" s="23" t="str">
        <f ca="1">IF(CZ$11="","",IF(CZ$13=$M$5,CHOOSE($Q$6+1,$M$1,#REF!+#REF!-#REF!),IF(CZ$13=$M$6,CHOOSE($Q$6+1,$M$1,OFFSET($A205,,$P$7-1)),IF(CZ$13=$M$7,CHOOSE($Q$6+1,$M$1,SUM(OFFSET($A$11,$B205-$O$5,$O$6,1,-$P$6))),IF(CZ$13=$M$8,CHOOSE($Q$6+1,$M$1,SUM(OFFSET($A$11,$B205-$O$5,$O$7,1,-$P$6))),IF(CZ$11&lt;$D$7,OFFSET(INDIRECT($D$3),$A205-1,$Q$3+CZ$11),OFFSET(INDIRECT($D$4),$A205-1,$Q$4+CZ$11)))))))</f>
        <v/>
      </c>
    </row>
    <row r="206" spans="1:104" ht="13.5" customHeight="1">
      <c r="A206" s="27">
        <v>186</v>
      </c>
      <c r="B206" s="33">
        <f t="shared" si="639"/>
        <v>206</v>
      </c>
      <c r="C206" s="8" t="s">
        <v>453</v>
      </c>
      <c r="D206" s="23">
        <f t="shared" ca="1" si="1022"/>
        <v>0</v>
      </c>
      <c r="E206" s="23">
        <f t="shared" ca="1" si="1022"/>
        <v>0</v>
      </c>
      <c r="F206" s="23">
        <f t="shared" ca="1" si="1022"/>
        <v>0</v>
      </c>
      <c r="G206" s="23">
        <f t="shared" ca="1" si="1022"/>
        <v>0</v>
      </c>
      <c r="H206" s="23">
        <f t="shared" ca="1" si="1022"/>
        <v>0</v>
      </c>
      <c r="I206" s="23">
        <f t="shared" ca="1" si="1022"/>
        <v>0</v>
      </c>
      <c r="J206" s="23">
        <f t="shared" ca="1" si="1022"/>
        <v>0</v>
      </c>
      <c r="K206" s="23">
        <f t="shared" ca="1" si="1022"/>
        <v>0</v>
      </c>
      <c r="L206" s="23">
        <f t="shared" ca="1" si="1022"/>
        <v>0</v>
      </c>
      <c r="M206" s="23">
        <f t="shared" ca="1" si="1022"/>
        <v>0</v>
      </c>
      <c r="N206" s="23">
        <f t="shared" ca="1" si="1023"/>
        <v>0</v>
      </c>
      <c r="O206" s="23">
        <f t="shared" ca="1" si="1023"/>
        <v>0</v>
      </c>
      <c r="P206" s="23">
        <f t="shared" ca="1" si="1023"/>
        <v>0</v>
      </c>
      <c r="Q206" s="23">
        <f t="shared" ca="1" si="1023"/>
        <v>0</v>
      </c>
      <c r="R206" s="23" t="str">
        <f t="shared" ca="1" si="1023"/>
        <v/>
      </c>
      <c r="S206" s="23" t="str">
        <f t="shared" ca="1" si="1023"/>
        <v/>
      </c>
      <c r="T206" s="23" t="str">
        <f t="shared" ca="1" si="1023"/>
        <v/>
      </c>
      <c r="U206" s="23" t="str">
        <f t="shared" ca="1" si="1023"/>
        <v/>
      </c>
      <c r="V206" s="23" t="str">
        <f t="shared" ca="1" si="1023"/>
        <v/>
      </c>
      <c r="W206" s="23" t="str">
        <f t="shared" ca="1" si="1023"/>
        <v/>
      </c>
      <c r="X206" s="23" t="str">
        <f t="shared" ca="1" si="1024"/>
        <v/>
      </c>
      <c r="Y206" s="23" t="str">
        <f t="shared" ca="1" si="1024"/>
        <v/>
      </c>
      <c r="Z206" s="23" t="str">
        <f t="shared" ca="1" si="1024"/>
        <v/>
      </c>
      <c r="AA206" s="23" t="str">
        <f t="shared" ca="1" si="1024"/>
        <v/>
      </c>
      <c r="AB206" s="23" t="str">
        <f t="shared" ca="1" si="1024"/>
        <v/>
      </c>
      <c r="AC206" s="23" t="str">
        <f t="shared" ca="1" si="1024"/>
        <v/>
      </c>
      <c r="AD206" s="23" t="str">
        <f t="shared" ca="1" si="1024"/>
        <v/>
      </c>
      <c r="AE206" s="23" t="str">
        <f t="shared" ca="1" si="1024"/>
        <v/>
      </c>
      <c r="AF206" s="23" t="str">
        <f t="shared" ca="1" si="1024"/>
        <v/>
      </c>
      <c r="AG206" s="23" t="str">
        <f t="shared" ca="1" si="1024"/>
        <v/>
      </c>
      <c r="AH206" s="23" t="str">
        <f t="shared" ca="1" si="1025"/>
        <v/>
      </c>
      <c r="AI206" s="23" t="str">
        <f t="shared" ca="1" si="1025"/>
        <v/>
      </c>
      <c r="AJ206" s="23" t="str">
        <f t="shared" ca="1" si="1025"/>
        <v/>
      </c>
      <c r="AK206" s="23" t="str">
        <f t="shared" ca="1" si="1025"/>
        <v/>
      </c>
      <c r="AL206" s="23" t="str">
        <f t="shared" ca="1" si="1025"/>
        <v/>
      </c>
      <c r="AM206" s="23" t="str">
        <f t="shared" ca="1" si="1025"/>
        <v/>
      </c>
      <c r="AN206" s="23" t="str">
        <f t="shared" ca="1" si="1025"/>
        <v/>
      </c>
      <c r="AO206" s="23" t="str">
        <f t="shared" ca="1" si="1025"/>
        <v/>
      </c>
      <c r="AP206" s="23" t="str">
        <f t="shared" ca="1" si="1025"/>
        <v/>
      </c>
      <c r="AQ206" s="23" t="str">
        <f t="shared" ca="1" si="1025"/>
        <v/>
      </c>
      <c r="AR206" s="23" t="str">
        <f t="shared" ca="1" si="1026"/>
        <v/>
      </c>
      <c r="AS206" s="23" t="str">
        <f t="shared" ca="1" si="1026"/>
        <v/>
      </c>
      <c r="AT206" s="23" t="str">
        <f t="shared" ca="1" si="1026"/>
        <v/>
      </c>
      <c r="AU206" s="23" t="str">
        <f t="shared" ca="1" si="1026"/>
        <v/>
      </c>
      <c r="AV206" s="23" t="str">
        <f t="shared" ca="1" si="1026"/>
        <v/>
      </c>
      <c r="AW206" s="23" t="str">
        <f t="shared" ca="1" si="1026"/>
        <v/>
      </c>
      <c r="AX206" s="23" t="str">
        <f t="shared" ca="1" si="1026"/>
        <v/>
      </c>
      <c r="AY206" s="23" t="str">
        <f t="shared" ca="1" si="1026"/>
        <v/>
      </c>
      <c r="AZ206" s="23" t="str">
        <f t="shared" ca="1" si="1026"/>
        <v/>
      </c>
      <c r="BA206" s="23" t="str">
        <f t="shared" ca="1" si="1026"/>
        <v/>
      </c>
      <c r="BB206" s="23" t="str">
        <f t="shared" ca="1" si="1027"/>
        <v/>
      </c>
      <c r="BC206" s="23" t="str">
        <f t="shared" ca="1" si="1027"/>
        <v/>
      </c>
      <c r="BD206" s="23" t="str">
        <f t="shared" ca="1" si="1027"/>
        <v/>
      </c>
      <c r="BE206" s="23" t="str">
        <f t="shared" ca="1" si="1027"/>
        <v/>
      </c>
      <c r="BF206" s="23" t="str">
        <f t="shared" ca="1" si="1027"/>
        <v/>
      </c>
      <c r="BG206" s="23" t="str">
        <f t="shared" ca="1" si="1027"/>
        <v/>
      </c>
      <c r="BH206" s="23" t="str">
        <f t="shared" ca="1" si="1027"/>
        <v/>
      </c>
      <c r="BI206" s="23" t="str">
        <f t="shared" ca="1" si="1027"/>
        <v/>
      </c>
      <c r="BJ206" s="23" t="str">
        <f t="shared" ca="1" si="1027"/>
        <v/>
      </c>
      <c r="BK206" s="23" t="str">
        <f t="shared" ca="1" si="1027"/>
        <v/>
      </c>
      <c r="BL206" s="23" t="str">
        <f t="shared" ca="1" si="1028"/>
        <v/>
      </c>
      <c r="BM206" s="23" t="str">
        <f t="shared" ca="1" si="1028"/>
        <v/>
      </c>
      <c r="BN206" s="23" t="str">
        <f t="shared" ca="1" si="1028"/>
        <v/>
      </c>
      <c r="BO206" s="23" t="str">
        <f t="shared" ca="1" si="1028"/>
        <v/>
      </c>
      <c r="BP206" s="23" t="str">
        <f t="shared" ca="1" si="1028"/>
        <v/>
      </c>
      <c r="BQ206" s="23" t="str">
        <f t="shared" ca="1" si="1028"/>
        <v/>
      </c>
      <c r="BR206" s="23" t="str">
        <f t="shared" ca="1" si="1028"/>
        <v/>
      </c>
      <c r="BS206" s="23" t="str">
        <f t="shared" ca="1" si="1028"/>
        <v/>
      </c>
      <c r="BT206" s="23" t="str">
        <f t="shared" ca="1" si="1028"/>
        <v/>
      </c>
      <c r="BU206" s="23" t="str">
        <f t="shared" ca="1" si="1028"/>
        <v/>
      </c>
      <c r="BV206" s="23" t="str">
        <f t="shared" ca="1" si="1029"/>
        <v/>
      </c>
      <c r="BW206" s="23" t="str">
        <f t="shared" ca="1" si="1029"/>
        <v/>
      </c>
      <c r="BX206" s="23" t="str">
        <f t="shared" ca="1" si="1029"/>
        <v/>
      </c>
      <c r="BY206" s="23" t="str">
        <f t="shared" ca="1" si="1029"/>
        <v/>
      </c>
      <c r="BZ206" s="23" t="str">
        <f t="shared" ca="1" si="1029"/>
        <v/>
      </c>
      <c r="CA206" s="23" t="str">
        <f t="shared" ca="1" si="1029"/>
        <v/>
      </c>
      <c r="CB206" s="23" t="str">
        <f t="shared" ca="1" si="1029"/>
        <v/>
      </c>
      <c r="CC206" s="23" t="str">
        <f t="shared" ca="1" si="1029"/>
        <v/>
      </c>
      <c r="CD206" s="23" t="str">
        <f t="shared" ca="1" si="1029"/>
        <v/>
      </c>
      <c r="CE206" s="23" t="str">
        <f t="shared" ca="1" si="1029"/>
        <v/>
      </c>
      <c r="CF206" s="23" t="str">
        <f t="shared" ca="1" si="1030"/>
        <v/>
      </c>
      <c r="CG206" s="23" t="str">
        <f t="shared" ca="1" si="1030"/>
        <v/>
      </c>
      <c r="CH206" s="23" t="str">
        <f t="shared" ca="1" si="1030"/>
        <v/>
      </c>
      <c r="CI206" s="23" t="str">
        <f t="shared" ca="1" si="1030"/>
        <v/>
      </c>
      <c r="CJ206" s="23" t="str">
        <f t="shared" ca="1" si="1030"/>
        <v/>
      </c>
      <c r="CK206" s="23" t="str">
        <f t="shared" ca="1" si="1030"/>
        <v/>
      </c>
      <c r="CL206" s="23" t="str">
        <f t="shared" ca="1" si="1030"/>
        <v/>
      </c>
      <c r="CM206" s="23" t="str">
        <f t="shared" ca="1" si="1030"/>
        <v/>
      </c>
      <c r="CN206" s="23" t="str">
        <f t="shared" ca="1" si="1030"/>
        <v/>
      </c>
      <c r="CO206" s="23" t="str">
        <f t="shared" ca="1" si="1030"/>
        <v/>
      </c>
      <c r="CP206" s="23" t="str">
        <f t="shared" ca="1" si="1031"/>
        <v/>
      </c>
      <c r="CQ206" s="23" t="str">
        <f t="shared" ca="1" si="1031"/>
        <v/>
      </c>
      <c r="CR206" s="23" t="str">
        <f t="shared" ca="1" si="1031"/>
        <v/>
      </c>
      <c r="CS206" s="23" t="str">
        <f t="shared" ca="1" si="1031"/>
        <v/>
      </c>
      <c r="CT206" s="23" t="str">
        <f t="shared" ca="1" si="1031"/>
        <v/>
      </c>
      <c r="CU206" s="23" t="str">
        <f t="shared" ca="1" si="1031"/>
        <v/>
      </c>
      <c r="CV206" s="23" t="str">
        <f t="shared" ca="1" si="1031"/>
        <v/>
      </c>
      <c r="CW206" s="23" t="str">
        <f t="shared" ca="1" si="1031"/>
        <v/>
      </c>
      <c r="CX206" s="23" t="str">
        <f ca="1">IF(CX$11="","",IF(CX$13=$M$5,CHOOSE($Q$6+1,$M$1,CY206+CZ206-#REF!),IF(CX$13=$M$6,CHOOSE($Q$6+1,$M$1,OFFSET($A206,,$P$7-1)),IF(CX$13=$M$7,CHOOSE($Q$6+1,$M$1,SUM(OFFSET($A$11,$B206-$O$5,$O$6,1,-$P$6))),IF(CX$13=$M$8,CHOOSE($Q$6+1,$M$1,SUM(OFFSET($A$11,$B206-$O$5,$O$7,1,-$P$6))),IF(CX$11&lt;$D$7,OFFSET(INDIRECT($D$3),$A206-1,$Q$3+CX$11),OFFSET(INDIRECT($D$4),$A206-1,$Q$4+CX$11)))))))</f>
        <v/>
      </c>
      <c r="CY206" s="23" t="str">
        <f ca="1">IF(CY$11="","",IF(CY$13=$M$5,CHOOSE($Q$6+1,$M$1,CZ206+#REF!-#REF!),IF(CY$13=$M$6,CHOOSE($Q$6+1,$M$1,OFFSET($A206,,$P$7-1)),IF(CY$13=$M$7,CHOOSE($Q$6+1,$M$1,SUM(OFFSET($A$11,$B206-$O$5,$O$6,1,-$P$6))),IF(CY$13=$M$8,CHOOSE($Q$6+1,$M$1,SUM(OFFSET($A$11,$B206-$O$5,$O$7,1,-$P$6))),IF(CY$11&lt;$D$7,OFFSET(INDIRECT($D$3),$A206-1,$Q$3+CY$11),OFFSET(INDIRECT($D$4),$A206-1,$Q$4+CY$11)))))))</f>
        <v/>
      </c>
      <c r="CZ206" s="23" t="str">
        <f ca="1">IF(CZ$11="","",IF(CZ$13=$M$5,CHOOSE($Q$6+1,$M$1,#REF!+#REF!-#REF!),IF(CZ$13=$M$6,CHOOSE($Q$6+1,$M$1,OFFSET($A206,,$P$7-1)),IF(CZ$13=$M$7,CHOOSE($Q$6+1,$M$1,SUM(OFFSET($A$11,$B206-$O$5,$O$6,1,-$P$6))),IF(CZ$13=$M$8,CHOOSE($Q$6+1,$M$1,SUM(OFFSET($A$11,$B206-$O$5,$O$7,1,-$P$6))),IF(CZ$11&lt;$D$7,OFFSET(INDIRECT($D$3),$A206-1,$Q$3+CZ$11),OFFSET(INDIRECT($D$4),$A206-1,$Q$4+CZ$11)))))))</f>
        <v/>
      </c>
    </row>
    <row r="207" spans="1:104" ht="13.5" customHeight="1">
      <c r="A207" s="27">
        <v>187</v>
      </c>
      <c r="B207" s="33">
        <f t="shared" si="639"/>
        <v>207</v>
      </c>
      <c r="C207" s="8" t="s">
        <v>454</v>
      </c>
      <c r="D207" s="23">
        <f t="shared" ca="1" si="1022"/>
        <v>0</v>
      </c>
      <c r="E207" s="23">
        <f t="shared" ca="1" si="1022"/>
        <v>0</v>
      </c>
      <c r="F207" s="23">
        <f t="shared" ca="1" si="1022"/>
        <v>0</v>
      </c>
      <c r="G207" s="23">
        <f t="shared" ca="1" si="1022"/>
        <v>0</v>
      </c>
      <c r="H207" s="23">
        <f t="shared" ca="1" si="1022"/>
        <v>0</v>
      </c>
      <c r="I207" s="23">
        <f t="shared" ca="1" si="1022"/>
        <v>0</v>
      </c>
      <c r="J207" s="23">
        <f t="shared" ca="1" si="1022"/>
        <v>0</v>
      </c>
      <c r="K207" s="23">
        <f t="shared" ca="1" si="1022"/>
        <v>0</v>
      </c>
      <c r="L207" s="23">
        <f t="shared" ca="1" si="1022"/>
        <v>0</v>
      </c>
      <c r="M207" s="23">
        <f t="shared" ca="1" si="1022"/>
        <v>-1950</v>
      </c>
      <c r="N207" s="23">
        <f t="shared" ca="1" si="1023"/>
        <v>-1950</v>
      </c>
      <c r="O207" s="23">
        <f t="shared" ca="1" si="1023"/>
        <v>0</v>
      </c>
      <c r="P207" s="23">
        <f t="shared" ca="1" si="1023"/>
        <v>-1950</v>
      </c>
      <c r="Q207" s="23">
        <f t="shared" ca="1" si="1023"/>
        <v>0</v>
      </c>
      <c r="R207" s="23" t="str">
        <f t="shared" ca="1" si="1023"/>
        <v/>
      </c>
      <c r="S207" s="23" t="str">
        <f t="shared" ca="1" si="1023"/>
        <v/>
      </c>
      <c r="T207" s="23" t="str">
        <f t="shared" ca="1" si="1023"/>
        <v/>
      </c>
      <c r="U207" s="23" t="str">
        <f t="shared" ca="1" si="1023"/>
        <v/>
      </c>
      <c r="V207" s="23" t="str">
        <f t="shared" ca="1" si="1023"/>
        <v/>
      </c>
      <c r="W207" s="23" t="str">
        <f t="shared" ca="1" si="1023"/>
        <v/>
      </c>
      <c r="X207" s="23" t="str">
        <f t="shared" ca="1" si="1024"/>
        <v/>
      </c>
      <c r="Y207" s="23" t="str">
        <f t="shared" ca="1" si="1024"/>
        <v/>
      </c>
      <c r="Z207" s="23" t="str">
        <f t="shared" ca="1" si="1024"/>
        <v/>
      </c>
      <c r="AA207" s="23" t="str">
        <f t="shared" ca="1" si="1024"/>
        <v/>
      </c>
      <c r="AB207" s="23" t="str">
        <f t="shared" ca="1" si="1024"/>
        <v/>
      </c>
      <c r="AC207" s="23" t="str">
        <f t="shared" ca="1" si="1024"/>
        <v/>
      </c>
      <c r="AD207" s="23" t="str">
        <f t="shared" ca="1" si="1024"/>
        <v/>
      </c>
      <c r="AE207" s="23" t="str">
        <f t="shared" ca="1" si="1024"/>
        <v/>
      </c>
      <c r="AF207" s="23" t="str">
        <f t="shared" ca="1" si="1024"/>
        <v/>
      </c>
      <c r="AG207" s="23" t="str">
        <f t="shared" ca="1" si="1024"/>
        <v/>
      </c>
      <c r="AH207" s="23" t="str">
        <f t="shared" ca="1" si="1025"/>
        <v/>
      </c>
      <c r="AI207" s="23" t="str">
        <f t="shared" ca="1" si="1025"/>
        <v/>
      </c>
      <c r="AJ207" s="23" t="str">
        <f t="shared" ca="1" si="1025"/>
        <v/>
      </c>
      <c r="AK207" s="23" t="str">
        <f t="shared" ca="1" si="1025"/>
        <v/>
      </c>
      <c r="AL207" s="23" t="str">
        <f t="shared" ca="1" si="1025"/>
        <v/>
      </c>
      <c r="AM207" s="23" t="str">
        <f t="shared" ca="1" si="1025"/>
        <v/>
      </c>
      <c r="AN207" s="23" t="str">
        <f t="shared" ca="1" si="1025"/>
        <v/>
      </c>
      <c r="AO207" s="23" t="str">
        <f t="shared" ca="1" si="1025"/>
        <v/>
      </c>
      <c r="AP207" s="23" t="str">
        <f t="shared" ca="1" si="1025"/>
        <v/>
      </c>
      <c r="AQ207" s="23" t="str">
        <f t="shared" ca="1" si="1025"/>
        <v/>
      </c>
      <c r="AR207" s="23" t="str">
        <f t="shared" ca="1" si="1026"/>
        <v/>
      </c>
      <c r="AS207" s="23" t="str">
        <f t="shared" ca="1" si="1026"/>
        <v/>
      </c>
      <c r="AT207" s="23" t="str">
        <f t="shared" ca="1" si="1026"/>
        <v/>
      </c>
      <c r="AU207" s="23" t="str">
        <f t="shared" ca="1" si="1026"/>
        <v/>
      </c>
      <c r="AV207" s="23" t="str">
        <f t="shared" ca="1" si="1026"/>
        <v/>
      </c>
      <c r="AW207" s="23" t="str">
        <f t="shared" ca="1" si="1026"/>
        <v/>
      </c>
      <c r="AX207" s="23" t="str">
        <f t="shared" ca="1" si="1026"/>
        <v/>
      </c>
      <c r="AY207" s="23" t="str">
        <f t="shared" ca="1" si="1026"/>
        <v/>
      </c>
      <c r="AZ207" s="23" t="str">
        <f t="shared" ca="1" si="1026"/>
        <v/>
      </c>
      <c r="BA207" s="23" t="str">
        <f t="shared" ca="1" si="1026"/>
        <v/>
      </c>
      <c r="BB207" s="23" t="str">
        <f t="shared" ca="1" si="1027"/>
        <v/>
      </c>
      <c r="BC207" s="23" t="str">
        <f t="shared" ca="1" si="1027"/>
        <v/>
      </c>
      <c r="BD207" s="23" t="str">
        <f t="shared" ca="1" si="1027"/>
        <v/>
      </c>
      <c r="BE207" s="23" t="str">
        <f t="shared" ca="1" si="1027"/>
        <v/>
      </c>
      <c r="BF207" s="23" t="str">
        <f t="shared" ca="1" si="1027"/>
        <v/>
      </c>
      <c r="BG207" s="23" t="str">
        <f t="shared" ca="1" si="1027"/>
        <v/>
      </c>
      <c r="BH207" s="23" t="str">
        <f t="shared" ca="1" si="1027"/>
        <v/>
      </c>
      <c r="BI207" s="23" t="str">
        <f t="shared" ca="1" si="1027"/>
        <v/>
      </c>
      <c r="BJ207" s="23" t="str">
        <f t="shared" ca="1" si="1027"/>
        <v/>
      </c>
      <c r="BK207" s="23" t="str">
        <f t="shared" ca="1" si="1027"/>
        <v/>
      </c>
      <c r="BL207" s="23" t="str">
        <f t="shared" ca="1" si="1028"/>
        <v/>
      </c>
      <c r="BM207" s="23" t="str">
        <f t="shared" ca="1" si="1028"/>
        <v/>
      </c>
      <c r="BN207" s="23" t="str">
        <f t="shared" ca="1" si="1028"/>
        <v/>
      </c>
      <c r="BO207" s="23" t="str">
        <f t="shared" ca="1" si="1028"/>
        <v/>
      </c>
      <c r="BP207" s="23" t="str">
        <f t="shared" ca="1" si="1028"/>
        <v/>
      </c>
      <c r="BQ207" s="23" t="str">
        <f t="shared" ca="1" si="1028"/>
        <v/>
      </c>
      <c r="BR207" s="23" t="str">
        <f t="shared" ca="1" si="1028"/>
        <v/>
      </c>
      <c r="BS207" s="23" t="str">
        <f t="shared" ca="1" si="1028"/>
        <v/>
      </c>
      <c r="BT207" s="23" t="str">
        <f t="shared" ca="1" si="1028"/>
        <v/>
      </c>
      <c r="BU207" s="23" t="str">
        <f t="shared" ca="1" si="1028"/>
        <v/>
      </c>
      <c r="BV207" s="23" t="str">
        <f t="shared" ca="1" si="1029"/>
        <v/>
      </c>
      <c r="BW207" s="23" t="str">
        <f t="shared" ca="1" si="1029"/>
        <v/>
      </c>
      <c r="BX207" s="23" t="str">
        <f t="shared" ca="1" si="1029"/>
        <v/>
      </c>
      <c r="BY207" s="23" t="str">
        <f t="shared" ca="1" si="1029"/>
        <v/>
      </c>
      <c r="BZ207" s="23" t="str">
        <f t="shared" ca="1" si="1029"/>
        <v/>
      </c>
      <c r="CA207" s="23" t="str">
        <f t="shared" ca="1" si="1029"/>
        <v/>
      </c>
      <c r="CB207" s="23" t="str">
        <f t="shared" ca="1" si="1029"/>
        <v/>
      </c>
      <c r="CC207" s="23" t="str">
        <f t="shared" ca="1" si="1029"/>
        <v/>
      </c>
      <c r="CD207" s="23" t="str">
        <f t="shared" ca="1" si="1029"/>
        <v/>
      </c>
      <c r="CE207" s="23" t="str">
        <f t="shared" ca="1" si="1029"/>
        <v/>
      </c>
      <c r="CF207" s="23" t="str">
        <f t="shared" ca="1" si="1030"/>
        <v/>
      </c>
      <c r="CG207" s="23" t="str">
        <f t="shared" ca="1" si="1030"/>
        <v/>
      </c>
      <c r="CH207" s="23" t="str">
        <f t="shared" ca="1" si="1030"/>
        <v/>
      </c>
      <c r="CI207" s="23" t="str">
        <f t="shared" ca="1" si="1030"/>
        <v/>
      </c>
      <c r="CJ207" s="23" t="str">
        <f t="shared" ca="1" si="1030"/>
        <v/>
      </c>
      <c r="CK207" s="23" t="str">
        <f t="shared" ca="1" si="1030"/>
        <v/>
      </c>
      <c r="CL207" s="23" t="str">
        <f t="shared" ca="1" si="1030"/>
        <v/>
      </c>
      <c r="CM207" s="23" t="str">
        <f t="shared" ca="1" si="1030"/>
        <v/>
      </c>
      <c r="CN207" s="23" t="str">
        <f t="shared" ca="1" si="1030"/>
        <v/>
      </c>
      <c r="CO207" s="23" t="str">
        <f t="shared" ca="1" si="1030"/>
        <v/>
      </c>
      <c r="CP207" s="23" t="str">
        <f t="shared" ca="1" si="1031"/>
        <v/>
      </c>
      <c r="CQ207" s="23" t="str">
        <f t="shared" ca="1" si="1031"/>
        <v/>
      </c>
      <c r="CR207" s="23" t="str">
        <f t="shared" ca="1" si="1031"/>
        <v/>
      </c>
      <c r="CS207" s="23" t="str">
        <f t="shared" ca="1" si="1031"/>
        <v/>
      </c>
      <c r="CT207" s="23" t="str">
        <f t="shared" ca="1" si="1031"/>
        <v/>
      </c>
      <c r="CU207" s="23" t="str">
        <f t="shared" ca="1" si="1031"/>
        <v/>
      </c>
      <c r="CV207" s="23" t="str">
        <f t="shared" ca="1" si="1031"/>
        <v/>
      </c>
      <c r="CW207" s="23" t="str">
        <f t="shared" ca="1" si="1031"/>
        <v/>
      </c>
      <c r="CX207" s="23" t="str">
        <f ca="1">IF(CX$11="","",IF(CX$13=$M$5,CHOOSE($Q$6+1,$M$1,CY207+CZ207-#REF!),IF(CX$13=$M$6,CHOOSE($Q$6+1,$M$1,OFFSET($A207,,$P$7-1)),IF(CX$13=$M$7,CHOOSE($Q$6+1,$M$1,SUM(OFFSET($A$11,$B207-$O$5,$O$6,1,-$P$6))),IF(CX$13=$M$8,CHOOSE($Q$6+1,$M$1,SUM(OFFSET($A$11,$B207-$O$5,$O$7,1,-$P$6))),IF(CX$11&lt;$D$7,OFFSET(INDIRECT($D$3),$A207-1,$Q$3+CX$11),OFFSET(INDIRECT($D$4),$A207-1,$Q$4+CX$11)))))))</f>
        <v/>
      </c>
      <c r="CY207" s="23" t="str">
        <f ca="1">IF(CY$11="","",IF(CY$13=$M$5,CHOOSE($Q$6+1,$M$1,CZ207+#REF!-#REF!),IF(CY$13=$M$6,CHOOSE($Q$6+1,$M$1,OFFSET($A207,,$P$7-1)),IF(CY$13=$M$7,CHOOSE($Q$6+1,$M$1,SUM(OFFSET($A$11,$B207-$O$5,$O$6,1,-$P$6))),IF(CY$13=$M$8,CHOOSE($Q$6+1,$M$1,SUM(OFFSET($A$11,$B207-$O$5,$O$7,1,-$P$6))),IF(CY$11&lt;$D$7,OFFSET(INDIRECT($D$3),$A207-1,$Q$3+CY$11),OFFSET(INDIRECT($D$4),$A207-1,$Q$4+CY$11)))))))</f>
        <v/>
      </c>
      <c r="CZ207" s="23" t="str">
        <f ca="1">IF(CZ$11="","",IF(CZ$13=$M$5,CHOOSE($Q$6+1,$M$1,#REF!+#REF!-#REF!),IF(CZ$13=$M$6,CHOOSE($Q$6+1,$M$1,OFFSET($A207,,$P$7-1)),IF(CZ$13=$M$7,CHOOSE($Q$6+1,$M$1,SUM(OFFSET($A$11,$B207-$O$5,$O$6,1,-$P$6))),IF(CZ$13=$M$8,CHOOSE($Q$6+1,$M$1,SUM(OFFSET($A$11,$B207-$O$5,$O$7,1,-$P$6))),IF(CZ$11&lt;$D$7,OFFSET(INDIRECT($D$3),$A207-1,$Q$3+CZ$11),OFFSET(INDIRECT($D$4),$A207-1,$Q$4+CZ$11)))))))</f>
        <v/>
      </c>
    </row>
    <row r="208" spans="1:104" ht="13.5" customHeight="1">
      <c r="A208" s="27">
        <v>188</v>
      </c>
      <c r="B208" s="33">
        <f t="shared" si="639"/>
        <v>208</v>
      </c>
      <c r="C208" s="8" t="s">
        <v>455</v>
      </c>
      <c r="D208" s="23">
        <f t="shared" ca="1" si="1022"/>
        <v>0</v>
      </c>
      <c r="E208" s="23">
        <f t="shared" ca="1" si="1022"/>
        <v>-2488</v>
      </c>
      <c r="F208" s="23">
        <f t="shared" ca="1" si="1022"/>
        <v>0</v>
      </c>
      <c r="G208" s="23">
        <f t="shared" ca="1" si="1022"/>
        <v>0</v>
      </c>
      <c r="H208" s="23">
        <f t="shared" ca="1" si="1022"/>
        <v>0</v>
      </c>
      <c r="I208" s="23">
        <f t="shared" ca="1" si="1022"/>
        <v>0</v>
      </c>
      <c r="J208" s="23">
        <f t="shared" ca="1" si="1022"/>
        <v>0</v>
      </c>
      <c r="K208" s="23">
        <f t="shared" ca="1" si="1022"/>
        <v>0</v>
      </c>
      <c r="L208" s="23">
        <f t="shared" ca="1" si="1022"/>
        <v>-2488</v>
      </c>
      <c r="M208" s="23">
        <f t="shared" ca="1" si="1022"/>
        <v>-2493</v>
      </c>
      <c r="N208" s="23">
        <f t="shared" ca="1" si="1023"/>
        <v>-4981</v>
      </c>
      <c r="O208" s="23">
        <f t="shared" ca="1" si="1023"/>
        <v>-2488</v>
      </c>
      <c r="P208" s="23">
        <f t="shared" ca="1" si="1023"/>
        <v>-2493</v>
      </c>
      <c r="Q208" s="23">
        <f t="shared" ca="1" si="1023"/>
        <v>0</v>
      </c>
      <c r="R208" s="23" t="str">
        <f t="shared" ca="1" si="1023"/>
        <v/>
      </c>
      <c r="S208" s="23" t="str">
        <f t="shared" ca="1" si="1023"/>
        <v/>
      </c>
      <c r="T208" s="23" t="str">
        <f t="shared" ca="1" si="1023"/>
        <v/>
      </c>
      <c r="U208" s="23" t="str">
        <f t="shared" ca="1" si="1023"/>
        <v/>
      </c>
      <c r="V208" s="23" t="str">
        <f t="shared" ca="1" si="1023"/>
        <v/>
      </c>
      <c r="W208" s="23" t="str">
        <f t="shared" ca="1" si="1023"/>
        <v/>
      </c>
      <c r="X208" s="23" t="str">
        <f t="shared" ca="1" si="1024"/>
        <v/>
      </c>
      <c r="Y208" s="23" t="str">
        <f t="shared" ca="1" si="1024"/>
        <v/>
      </c>
      <c r="Z208" s="23" t="str">
        <f t="shared" ca="1" si="1024"/>
        <v/>
      </c>
      <c r="AA208" s="23" t="str">
        <f t="shared" ca="1" si="1024"/>
        <v/>
      </c>
      <c r="AB208" s="23" t="str">
        <f t="shared" ca="1" si="1024"/>
        <v/>
      </c>
      <c r="AC208" s="23" t="str">
        <f t="shared" ca="1" si="1024"/>
        <v/>
      </c>
      <c r="AD208" s="23" t="str">
        <f t="shared" ca="1" si="1024"/>
        <v/>
      </c>
      <c r="AE208" s="23" t="str">
        <f t="shared" ca="1" si="1024"/>
        <v/>
      </c>
      <c r="AF208" s="23" t="str">
        <f t="shared" ca="1" si="1024"/>
        <v/>
      </c>
      <c r="AG208" s="23" t="str">
        <f t="shared" ca="1" si="1024"/>
        <v/>
      </c>
      <c r="AH208" s="23" t="str">
        <f t="shared" ca="1" si="1025"/>
        <v/>
      </c>
      <c r="AI208" s="23" t="str">
        <f t="shared" ca="1" si="1025"/>
        <v/>
      </c>
      <c r="AJ208" s="23" t="str">
        <f t="shared" ca="1" si="1025"/>
        <v/>
      </c>
      <c r="AK208" s="23" t="str">
        <f t="shared" ca="1" si="1025"/>
        <v/>
      </c>
      <c r="AL208" s="23" t="str">
        <f t="shared" ca="1" si="1025"/>
        <v/>
      </c>
      <c r="AM208" s="23" t="str">
        <f t="shared" ca="1" si="1025"/>
        <v/>
      </c>
      <c r="AN208" s="23" t="str">
        <f t="shared" ca="1" si="1025"/>
        <v/>
      </c>
      <c r="AO208" s="23" t="str">
        <f t="shared" ca="1" si="1025"/>
        <v/>
      </c>
      <c r="AP208" s="23" t="str">
        <f t="shared" ca="1" si="1025"/>
        <v/>
      </c>
      <c r="AQ208" s="23" t="str">
        <f t="shared" ca="1" si="1025"/>
        <v/>
      </c>
      <c r="AR208" s="23" t="str">
        <f t="shared" ca="1" si="1026"/>
        <v/>
      </c>
      <c r="AS208" s="23" t="str">
        <f t="shared" ca="1" si="1026"/>
        <v/>
      </c>
      <c r="AT208" s="23" t="str">
        <f t="shared" ca="1" si="1026"/>
        <v/>
      </c>
      <c r="AU208" s="23" t="str">
        <f t="shared" ca="1" si="1026"/>
        <v/>
      </c>
      <c r="AV208" s="23" t="str">
        <f t="shared" ca="1" si="1026"/>
        <v/>
      </c>
      <c r="AW208" s="23" t="str">
        <f t="shared" ca="1" si="1026"/>
        <v/>
      </c>
      <c r="AX208" s="23" t="str">
        <f t="shared" ca="1" si="1026"/>
        <v/>
      </c>
      <c r="AY208" s="23" t="str">
        <f t="shared" ca="1" si="1026"/>
        <v/>
      </c>
      <c r="AZ208" s="23" t="str">
        <f t="shared" ca="1" si="1026"/>
        <v/>
      </c>
      <c r="BA208" s="23" t="str">
        <f t="shared" ca="1" si="1026"/>
        <v/>
      </c>
      <c r="BB208" s="23" t="str">
        <f t="shared" ca="1" si="1027"/>
        <v/>
      </c>
      <c r="BC208" s="23" t="str">
        <f t="shared" ca="1" si="1027"/>
        <v/>
      </c>
      <c r="BD208" s="23" t="str">
        <f t="shared" ca="1" si="1027"/>
        <v/>
      </c>
      <c r="BE208" s="23" t="str">
        <f t="shared" ca="1" si="1027"/>
        <v/>
      </c>
      <c r="BF208" s="23" t="str">
        <f t="shared" ca="1" si="1027"/>
        <v/>
      </c>
      <c r="BG208" s="23" t="str">
        <f t="shared" ca="1" si="1027"/>
        <v/>
      </c>
      <c r="BH208" s="23" t="str">
        <f t="shared" ca="1" si="1027"/>
        <v/>
      </c>
      <c r="BI208" s="23" t="str">
        <f t="shared" ca="1" si="1027"/>
        <v/>
      </c>
      <c r="BJ208" s="23" t="str">
        <f t="shared" ca="1" si="1027"/>
        <v/>
      </c>
      <c r="BK208" s="23" t="str">
        <f t="shared" ca="1" si="1027"/>
        <v/>
      </c>
      <c r="BL208" s="23" t="str">
        <f t="shared" ca="1" si="1028"/>
        <v/>
      </c>
      <c r="BM208" s="23" t="str">
        <f t="shared" ca="1" si="1028"/>
        <v/>
      </c>
      <c r="BN208" s="23" t="str">
        <f t="shared" ca="1" si="1028"/>
        <v/>
      </c>
      <c r="BO208" s="23" t="str">
        <f t="shared" ca="1" si="1028"/>
        <v/>
      </c>
      <c r="BP208" s="23" t="str">
        <f t="shared" ca="1" si="1028"/>
        <v/>
      </c>
      <c r="BQ208" s="23" t="str">
        <f t="shared" ca="1" si="1028"/>
        <v/>
      </c>
      <c r="BR208" s="23" t="str">
        <f t="shared" ca="1" si="1028"/>
        <v/>
      </c>
      <c r="BS208" s="23" t="str">
        <f t="shared" ca="1" si="1028"/>
        <v/>
      </c>
      <c r="BT208" s="23" t="str">
        <f t="shared" ca="1" si="1028"/>
        <v/>
      </c>
      <c r="BU208" s="23" t="str">
        <f t="shared" ca="1" si="1028"/>
        <v/>
      </c>
      <c r="BV208" s="23" t="str">
        <f t="shared" ca="1" si="1029"/>
        <v/>
      </c>
      <c r="BW208" s="23" t="str">
        <f t="shared" ca="1" si="1029"/>
        <v/>
      </c>
      <c r="BX208" s="23" t="str">
        <f t="shared" ca="1" si="1029"/>
        <v/>
      </c>
      <c r="BY208" s="23" t="str">
        <f t="shared" ca="1" si="1029"/>
        <v/>
      </c>
      <c r="BZ208" s="23" t="str">
        <f t="shared" ca="1" si="1029"/>
        <v/>
      </c>
      <c r="CA208" s="23" t="str">
        <f t="shared" ca="1" si="1029"/>
        <v/>
      </c>
      <c r="CB208" s="23" t="str">
        <f t="shared" ca="1" si="1029"/>
        <v/>
      </c>
      <c r="CC208" s="23" t="str">
        <f t="shared" ca="1" si="1029"/>
        <v/>
      </c>
      <c r="CD208" s="23" t="str">
        <f t="shared" ca="1" si="1029"/>
        <v/>
      </c>
      <c r="CE208" s="23" t="str">
        <f t="shared" ca="1" si="1029"/>
        <v/>
      </c>
      <c r="CF208" s="23" t="str">
        <f t="shared" ca="1" si="1030"/>
        <v/>
      </c>
      <c r="CG208" s="23" t="str">
        <f t="shared" ca="1" si="1030"/>
        <v/>
      </c>
      <c r="CH208" s="23" t="str">
        <f t="shared" ca="1" si="1030"/>
        <v/>
      </c>
      <c r="CI208" s="23" t="str">
        <f t="shared" ca="1" si="1030"/>
        <v/>
      </c>
      <c r="CJ208" s="23" t="str">
        <f t="shared" ca="1" si="1030"/>
        <v/>
      </c>
      <c r="CK208" s="23" t="str">
        <f t="shared" ca="1" si="1030"/>
        <v/>
      </c>
      <c r="CL208" s="23" t="str">
        <f t="shared" ca="1" si="1030"/>
        <v/>
      </c>
      <c r="CM208" s="23" t="str">
        <f t="shared" ca="1" si="1030"/>
        <v/>
      </c>
      <c r="CN208" s="23" t="str">
        <f t="shared" ca="1" si="1030"/>
        <v/>
      </c>
      <c r="CO208" s="23" t="str">
        <f t="shared" ca="1" si="1030"/>
        <v/>
      </c>
      <c r="CP208" s="23" t="str">
        <f t="shared" ca="1" si="1031"/>
        <v/>
      </c>
      <c r="CQ208" s="23" t="str">
        <f t="shared" ca="1" si="1031"/>
        <v/>
      </c>
      <c r="CR208" s="23" t="str">
        <f t="shared" ca="1" si="1031"/>
        <v/>
      </c>
      <c r="CS208" s="23" t="str">
        <f t="shared" ca="1" si="1031"/>
        <v/>
      </c>
      <c r="CT208" s="23" t="str">
        <f t="shared" ca="1" si="1031"/>
        <v/>
      </c>
      <c r="CU208" s="23" t="str">
        <f t="shared" ca="1" si="1031"/>
        <v/>
      </c>
      <c r="CV208" s="23" t="str">
        <f t="shared" ca="1" si="1031"/>
        <v/>
      </c>
      <c r="CW208" s="23" t="str">
        <f t="shared" ca="1" si="1031"/>
        <v/>
      </c>
      <c r="CX208" s="23" t="str">
        <f ca="1">IF(CX$11="","",IF(CX$13=$M$5,CHOOSE($Q$6+1,$M$1,CY208+CZ208-#REF!),IF(CX$13=$M$6,CHOOSE($Q$6+1,$M$1,OFFSET($A208,,$P$7-1)),IF(CX$13=$M$7,CHOOSE($Q$6+1,$M$1,SUM(OFFSET($A$11,$B208-$O$5,$O$6,1,-$P$6))),IF(CX$13=$M$8,CHOOSE($Q$6+1,$M$1,SUM(OFFSET($A$11,$B208-$O$5,$O$7,1,-$P$6))),IF(CX$11&lt;$D$7,OFFSET(INDIRECT($D$3),$A208-1,$Q$3+CX$11),OFFSET(INDIRECT($D$4),$A208-1,$Q$4+CX$11)))))))</f>
        <v/>
      </c>
      <c r="CY208" s="23" t="str">
        <f ca="1">IF(CY$11="","",IF(CY$13=$M$5,CHOOSE($Q$6+1,$M$1,CZ208+#REF!-#REF!),IF(CY$13=$M$6,CHOOSE($Q$6+1,$M$1,OFFSET($A208,,$P$7-1)),IF(CY$13=$M$7,CHOOSE($Q$6+1,$M$1,SUM(OFFSET($A$11,$B208-$O$5,$O$6,1,-$P$6))),IF(CY$13=$M$8,CHOOSE($Q$6+1,$M$1,SUM(OFFSET($A$11,$B208-$O$5,$O$7,1,-$P$6))),IF(CY$11&lt;$D$7,OFFSET(INDIRECT($D$3),$A208-1,$Q$3+CY$11),OFFSET(INDIRECT($D$4),$A208-1,$Q$4+CY$11)))))))</f>
        <v/>
      </c>
      <c r="CZ208" s="23" t="str">
        <f ca="1">IF(CZ$11="","",IF(CZ$13=$M$5,CHOOSE($Q$6+1,$M$1,#REF!+#REF!-#REF!),IF(CZ$13=$M$6,CHOOSE($Q$6+1,$M$1,OFFSET($A208,,$P$7-1)),IF(CZ$13=$M$7,CHOOSE($Q$6+1,$M$1,SUM(OFFSET($A$11,$B208-$O$5,$O$6,1,-$P$6))),IF(CZ$13=$M$8,CHOOSE($Q$6+1,$M$1,SUM(OFFSET($A$11,$B208-$O$5,$O$7,1,-$P$6))),IF(CZ$11&lt;$D$7,OFFSET(INDIRECT($D$3),$A208-1,$Q$3+CZ$11),OFFSET(INDIRECT($D$4),$A208-1,$Q$4+CZ$11)))))))</f>
        <v/>
      </c>
    </row>
    <row r="209" spans="1:104" ht="13.5" customHeight="1">
      <c r="A209" s="27">
        <v>189</v>
      </c>
      <c r="B209" s="33">
        <f t="shared" ref="B209:B217" si="1032">ROW($A209)</f>
        <v>209</v>
      </c>
      <c r="C209" s="8" t="s">
        <v>456</v>
      </c>
      <c r="D209" s="23">
        <f t="shared" ca="1" si="1022"/>
        <v>613</v>
      </c>
      <c r="E209" s="23">
        <f t="shared" ca="1" si="1022"/>
        <v>125</v>
      </c>
      <c r="F209" s="23">
        <f t="shared" ca="1" si="1022"/>
        <v>482</v>
      </c>
      <c r="G209" s="23">
        <f t="shared" ca="1" si="1022"/>
        <v>436</v>
      </c>
      <c r="H209" s="23">
        <f t="shared" ca="1" si="1022"/>
        <v>613</v>
      </c>
      <c r="I209" s="23">
        <f t="shared" ca="1" si="1022"/>
        <v>-22</v>
      </c>
      <c r="J209" s="23">
        <f t="shared" ca="1" si="1022"/>
        <v>2</v>
      </c>
      <c r="K209" s="23">
        <f t="shared" ca="1" si="1022"/>
        <v>-109</v>
      </c>
      <c r="L209" s="23">
        <f t="shared" ca="1" si="1022"/>
        <v>125</v>
      </c>
      <c r="M209" s="23">
        <f t="shared" ca="1" si="1022"/>
        <v>-130</v>
      </c>
      <c r="N209" s="23">
        <f t="shared" ca="1" si="1023"/>
        <v>17</v>
      </c>
      <c r="O209" s="23">
        <f t="shared" ca="1" si="1023"/>
        <v>125</v>
      </c>
      <c r="P209" s="23">
        <f t="shared" ca="1" si="1023"/>
        <v>-130</v>
      </c>
      <c r="Q209" s="23">
        <f t="shared" ca="1" si="1023"/>
        <v>-22</v>
      </c>
      <c r="R209" s="23" t="str">
        <f t="shared" ca="1" si="1023"/>
        <v/>
      </c>
      <c r="S209" s="23" t="str">
        <f t="shared" ca="1" si="1023"/>
        <v/>
      </c>
      <c r="T209" s="23" t="str">
        <f t="shared" ca="1" si="1023"/>
        <v/>
      </c>
      <c r="U209" s="23" t="str">
        <f t="shared" ca="1" si="1023"/>
        <v/>
      </c>
      <c r="V209" s="23" t="str">
        <f t="shared" ca="1" si="1023"/>
        <v/>
      </c>
      <c r="W209" s="23" t="str">
        <f t="shared" ca="1" si="1023"/>
        <v/>
      </c>
      <c r="X209" s="23" t="str">
        <f t="shared" ca="1" si="1024"/>
        <v/>
      </c>
      <c r="Y209" s="23" t="str">
        <f t="shared" ca="1" si="1024"/>
        <v/>
      </c>
      <c r="Z209" s="23" t="str">
        <f t="shared" ca="1" si="1024"/>
        <v/>
      </c>
      <c r="AA209" s="23" t="str">
        <f t="shared" ca="1" si="1024"/>
        <v/>
      </c>
      <c r="AB209" s="23" t="str">
        <f t="shared" ca="1" si="1024"/>
        <v/>
      </c>
      <c r="AC209" s="23" t="str">
        <f t="shared" ca="1" si="1024"/>
        <v/>
      </c>
      <c r="AD209" s="23" t="str">
        <f t="shared" ca="1" si="1024"/>
        <v/>
      </c>
      <c r="AE209" s="23" t="str">
        <f t="shared" ca="1" si="1024"/>
        <v/>
      </c>
      <c r="AF209" s="23" t="str">
        <f t="shared" ca="1" si="1024"/>
        <v/>
      </c>
      <c r="AG209" s="23" t="str">
        <f t="shared" ca="1" si="1024"/>
        <v/>
      </c>
      <c r="AH209" s="23" t="str">
        <f t="shared" ca="1" si="1025"/>
        <v/>
      </c>
      <c r="AI209" s="23" t="str">
        <f t="shared" ca="1" si="1025"/>
        <v/>
      </c>
      <c r="AJ209" s="23" t="str">
        <f t="shared" ca="1" si="1025"/>
        <v/>
      </c>
      <c r="AK209" s="23" t="str">
        <f t="shared" ca="1" si="1025"/>
        <v/>
      </c>
      <c r="AL209" s="23" t="str">
        <f t="shared" ca="1" si="1025"/>
        <v/>
      </c>
      <c r="AM209" s="23" t="str">
        <f t="shared" ca="1" si="1025"/>
        <v/>
      </c>
      <c r="AN209" s="23" t="str">
        <f t="shared" ca="1" si="1025"/>
        <v/>
      </c>
      <c r="AO209" s="23" t="str">
        <f t="shared" ca="1" si="1025"/>
        <v/>
      </c>
      <c r="AP209" s="23" t="str">
        <f t="shared" ca="1" si="1025"/>
        <v/>
      </c>
      <c r="AQ209" s="23" t="str">
        <f t="shared" ca="1" si="1025"/>
        <v/>
      </c>
      <c r="AR209" s="23" t="str">
        <f t="shared" ca="1" si="1026"/>
        <v/>
      </c>
      <c r="AS209" s="23" t="str">
        <f t="shared" ca="1" si="1026"/>
        <v/>
      </c>
      <c r="AT209" s="23" t="str">
        <f t="shared" ca="1" si="1026"/>
        <v/>
      </c>
      <c r="AU209" s="23" t="str">
        <f t="shared" ca="1" si="1026"/>
        <v/>
      </c>
      <c r="AV209" s="23" t="str">
        <f t="shared" ca="1" si="1026"/>
        <v/>
      </c>
      <c r="AW209" s="23" t="str">
        <f t="shared" ca="1" si="1026"/>
        <v/>
      </c>
      <c r="AX209" s="23" t="str">
        <f t="shared" ca="1" si="1026"/>
        <v/>
      </c>
      <c r="AY209" s="23" t="str">
        <f t="shared" ca="1" si="1026"/>
        <v/>
      </c>
      <c r="AZ209" s="23" t="str">
        <f t="shared" ca="1" si="1026"/>
        <v/>
      </c>
      <c r="BA209" s="23" t="str">
        <f t="shared" ca="1" si="1026"/>
        <v/>
      </c>
      <c r="BB209" s="23" t="str">
        <f t="shared" ca="1" si="1027"/>
        <v/>
      </c>
      <c r="BC209" s="23" t="str">
        <f t="shared" ca="1" si="1027"/>
        <v/>
      </c>
      <c r="BD209" s="23" t="str">
        <f t="shared" ca="1" si="1027"/>
        <v/>
      </c>
      <c r="BE209" s="23" t="str">
        <f t="shared" ca="1" si="1027"/>
        <v/>
      </c>
      <c r="BF209" s="23" t="str">
        <f t="shared" ca="1" si="1027"/>
        <v/>
      </c>
      <c r="BG209" s="23" t="str">
        <f t="shared" ca="1" si="1027"/>
        <v/>
      </c>
      <c r="BH209" s="23" t="str">
        <f t="shared" ca="1" si="1027"/>
        <v/>
      </c>
      <c r="BI209" s="23" t="str">
        <f t="shared" ca="1" si="1027"/>
        <v/>
      </c>
      <c r="BJ209" s="23" t="str">
        <f t="shared" ca="1" si="1027"/>
        <v/>
      </c>
      <c r="BK209" s="23" t="str">
        <f t="shared" ca="1" si="1027"/>
        <v/>
      </c>
      <c r="BL209" s="23" t="str">
        <f t="shared" ca="1" si="1028"/>
        <v/>
      </c>
      <c r="BM209" s="23" t="str">
        <f t="shared" ca="1" si="1028"/>
        <v/>
      </c>
      <c r="BN209" s="23" t="str">
        <f t="shared" ca="1" si="1028"/>
        <v/>
      </c>
      <c r="BO209" s="23" t="str">
        <f t="shared" ca="1" si="1028"/>
        <v/>
      </c>
      <c r="BP209" s="23" t="str">
        <f t="shared" ca="1" si="1028"/>
        <v/>
      </c>
      <c r="BQ209" s="23" t="str">
        <f t="shared" ca="1" si="1028"/>
        <v/>
      </c>
      <c r="BR209" s="23" t="str">
        <f t="shared" ca="1" si="1028"/>
        <v/>
      </c>
      <c r="BS209" s="23" t="str">
        <f t="shared" ca="1" si="1028"/>
        <v/>
      </c>
      <c r="BT209" s="23" t="str">
        <f t="shared" ca="1" si="1028"/>
        <v/>
      </c>
      <c r="BU209" s="23" t="str">
        <f t="shared" ca="1" si="1028"/>
        <v/>
      </c>
      <c r="BV209" s="23" t="str">
        <f t="shared" ca="1" si="1029"/>
        <v/>
      </c>
      <c r="BW209" s="23" t="str">
        <f t="shared" ca="1" si="1029"/>
        <v/>
      </c>
      <c r="BX209" s="23" t="str">
        <f t="shared" ca="1" si="1029"/>
        <v/>
      </c>
      <c r="BY209" s="23" t="str">
        <f t="shared" ca="1" si="1029"/>
        <v/>
      </c>
      <c r="BZ209" s="23" t="str">
        <f t="shared" ca="1" si="1029"/>
        <v/>
      </c>
      <c r="CA209" s="23" t="str">
        <f t="shared" ca="1" si="1029"/>
        <v/>
      </c>
      <c r="CB209" s="23" t="str">
        <f t="shared" ca="1" si="1029"/>
        <v/>
      </c>
      <c r="CC209" s="23" t="str">
        <f t="shared" ca="1" si="1029"/>
        <v/>
      </c>
      <c r="CD209" s="23" t="str">
        <f t="shared" ca="1" si="1029"/>
        <v/>
      </c>
      <c r="CE209" s="23" t="str">
        <f t="shared" ca="1" si="1029"/>
        <v/>
      </c>
      <c r="CF209" s="23" t="str">
        <f t="shared" ca="1" si="1030"/>
        <v/>
      </c>
      <c r="CG209" s="23" t="str">
        <f t="shared" ca="1" si="1030"/>
        <v/>
      </c>
      <c r="CH209" s="23" t="str">
        <f t="shared" ca="1" si="1030"/>
        <v/>
      </c>
      <c r="CI209" s="23" t="str">
        <f t="shared" ca="1" si="1030"/>
        <v/>
      </c>
      <c r="CJ209" s="23" t="str">
        <f t="shared" ca="1" si="1030"/>
        <v/>
      </c>
      <c r="CK209" s="23" t="str">
        <f t="shared" ca="1" si="1030"/>
        <v/>
      </c>
      <c r="CL209" s="23" t="str">
        <f t="shared" ca="1" si="1030"/>
        <v/>
      </c>
      <c r="CM209" s="23" t="str">
        <f t="shared" ca="1" si="1030"/>
        <v/>
      </c>
      <c r="CN209" s="23" t="str">
        <f t="shared" ca="1" si="1030"/>
        <v/>
      </c>
      <c r="CO209" s="23" t="str">
        <f t="shared" ca="1" si="1030"/>
        <v/>
      </c>
      <c r="CP209" s="23" t="str">
        <f t="shared" ca="1" si="1031"/>
        <v/>
      </c>
      <c r="CQ209" s="23" t="str">
        <f t="shared" ca="1" si="1031"/>
        <v/>
      </c>
      <c r="CR209" s="23" t="str">
        <f t="shared" ca="1" si="1031"/>
        <v/>
      </c>
      <c r="CS209" s="23" t="str">
        <f t="shared" ca="1" si="1031"/>
        <v/>
      </c>
      <c r="CT209" s="23" t="str">
        <f t="shared" ca="1" si="1031"/>
        <v/>
      </c>
      <c r="CU209" s="23" t="str">
        <f t="shared" ca="1" si="1031"/>
        <v/>
      </c>
      <c r="CV209" s="23" t="str">
        <f t="shared" ca="1" si="1031"/>
        <v/>
      </c>
      <c r="CW209" s="23" t="str">
        <f t="shared" ca="1" si="1031"/>
        <v/>
      </c>
      <c r="CX209" s="23" t="str">
        <f ca="1">IF(CX$11="","",IF(CX$13=$M$5,CHOOSE($Q$6+1,$M$1,CY209+CZ209-#REF!),IF(CX$13=$M$6,CHOOSE($Q$6+1,$M$1,OFFSET($A209,,$P$7-1)),IF(CX$13=$M$7,CHOOSE($Q$6+1,$M$1,SUM(OFFSET($A$11,$B209-$O$5,$O$6,1,-$P$6))),IF(CX$13=$M$8,CHOOSE($Q$6+1,$M$1,SUM(OFFSET($A$11,$B209-$O$5,$O$7,1,-$P$6))),IF(CX$11&lt;$D$7,OFFSET(INDIRECT($D$3),$A209-1,$Q$3+CX$11),OFFSET(INDIRECT($D$4),$A209-1,$Q$4+CX$11)))))))</f>
        <v/>
      </c>
      <c r="CY209" s="23" t="str">
        <f ca="1">IF(CY$11="","",IF(CY$13=$M$5,CHOOSE($Q$6+1,$M$1,CZ209+#REF!-#REF!),IF(CY$13=$M$6,CHOOSE($Q$6+1,$M$1,OFFSET($A209,,$P$7-1)),IF(CY$13=$M$7,CHOOSE($Q$6+1,$M$1,SUM(OFFSET($A$11,$B209-$O$5,$O$6,1,-$P$6))),IF(CY$13=$M$8,CHOOSE($Q$6+1,$M$1,SUM(OFFSET($A$11,$B209-$O$5,$O$7,1,-$P$6))),IF(CY$11&lt;$D$7,OFFSET(INDIRECT($D$3),$A209-1,$Q$3+CY$11),OFFSET(INDIRECT($D$4),$A209-1,$Q$4+CY$11)))))))</f>
        <v/>
      </c>
      <c r="CZ209" s="23" t="str">
        <f ca="1">IF(CZ$11="","",IF(CZ$13=$M$5,CHOOSE($Q$6+1,$M$1,#REF!+#REF!-#REF!),IF(CZ$13=$M$6,CHOOSE($Q$6+1,$M$1,OFFSET($A209,,$P$7-1)),IF(CZ$13=$M$7,CHOOSE($Q$6+1,$M$1,SUM(OFFSET($A$11,$B209-$O$5,$O$6,1,-$P$6))),IF(CZ$13=$M$8,CHOOSE($Q$6+1,$M$1,SUM(OFFSET($A$11,$B209-$O$5,$O$7,1,-$P$6))),IF(CZ$11&lt;$D$7,OFFSET(INDIRECT($D$3),$A209-1,$Q$3+CZ$11),OFFSET(INDIRECT($D$4),$A209-1,$Q$4+CZ$11)))))))</f>
        <v/>
      </c>
    </row>
    <row r="210" spans="1:104" ht="13.5" customHeight="1">
      <c r="A210" s="27">
        <v>190</v>
      </c>
      <c r="B210" s="33">
        <f t="shared" si="1032"/>
        <v>210</v>
      </c>
      <c r="C210" s="8" t="s">
        <v>457</v>
      </c>
      <c r="D210" s="23">
        <f t="shared" ca="1" si="1022"/>
        <v>0</v>
      </c>
      <c r="E210" s="23">
        <f t="shared" ca="1" si="1022"/>
        <v>0</v>
      </c>
      <c r="F210" s="23">
        <f t="shared" ca="1" si="1022"/>
        <v>0</v>
      </c>
      <c r="G210" s="23">
        <f t="shared" ca="1" si="1022"/>
        <v>0</v>
      </c>
      <c r="H210" s="23">
        <f t="shared" ca="1" si="1022"/>
        <v>0</v>
      </c>
      <c r="I210" s="23">
        <f t="shared" ca="1" si="1022"/>
        <v>0</v>
      </c>
      <c r="J210" s="23">
        <f t="shared" ca="1" si="1022"/>
        <v>0</v>
      </c>
      <c r="K210" s="23">
        <f t="shared" ca="1" si="1022"/>
        <v>0</v>
      </c>
      <c r="L210" s="23">
        <f t="shared" ca="1" si="1022"/>
        <v>0</v>
      </c>
      <c r="M210" s="23">
        <f t="shared" ca="1" si="1022"/>
        <v>0</v>
      </c>
      <c r="N210" s="23">
        <f t="shared" ca="1" si="1023"/>
        <v>0</v>
      </c>
      <c r="O210" s="23">
        <f t="shared" ca="1" si="1023"/>
        <v>0</v>
      </c>
      <c r="P210" s="23">
        <f t="shared" ca="1" si="1023"/>
        <v>0</v>
      </c>
      <c r="Q210" s="23">
        <f t="shared" ca="1" si="1023"/>
        <v>0</v>
      </c>
      <c r="R210" s="23" t="str">
        <f t="shared" ca="1" si="1023"/>
        <v/>
      </c>
      <c r="S210" s="23" t="str">
        <f t="shared" ca="1" si="1023"/>
        <v/>
      </c>
      <c r="T210" s="23" t="str">
        <f t="shared" ca="1" si="1023"/>
        <v/>
      </c>
      <c r="U210" s="23" t="str">
        <f t="shared" ca="1" si="1023"/>
        <v/>
      </c>
      <c r="V210" s="23" t="str">
        <f t="shared" ca="1" si="1023"/>
        <v/>
      </c>
      <c r="W210" s="23" t="str">
        <f t="shared" ca="1" si="1023"/>
        <v/>
      </c>
      <c r="X210" s="23" t="str">
        <f t="shared" ca="1" si="1024"/>
        <v/>
      </c>
      <c r="Y210" s="23" t="str">
        <f t="shared" ca="1" si="1024"/>
        <v/>
      </c>
      <c r="Z210" s="23" t="str">
        <f t="shared" ca="1" si="1024"/>
        <v/>
      </c>
      <c r="AA210" s="23" t="str">
        <f t="shared" ca="1" si="1024"/>
        <v/>
      </c>
      <c r="AB210" s="23" t="str">
        <f t="shared" ca="1" si="1024"/>
        <v/>
      </c>
      <c r="AC210" s="23" t="str">
        <f t="shared" ca="1" si="1024"/>
        <v/>
      </c>
      <c r="AD210" s="23" t="str">
        <f t="shared" ca="1" si="1024"/>
        <v/>
      </c>
      <c r="AE210" s="23" t="str">
        <f t="shared" ca="1" si="1024"/>
        <v/>
      </c>
      <c r="AF210" s="23" t="str">
        <f t="shared" ca="1" si="1024"/>
        <v/>
      </c>
      <c r="AG210" s="23" t="str">
        <f t="shared" ca="1" si="1024"/>
        <v/>
      </c>
      <c r="AH210" s="23" t="str">
        <f t="shared" ca="1" si="1025"/>
        <v/>
      </c>
      <c r="AI210" s="23" t="str">
        <f t="shared" ca="1" si="1025"/>
        <v/>
      </c>
      <c r="AJ210" s="23" t="str">
        <f t="shared" ca="1" si="1025"/>
        <v/>
      </c>
      <c r="AK210" s="23" t="str">
        <f t="shared" ca="1" si="1025"/>
        <v/>
      </c>
      <c r="AL210" s="23" t="str">
        <f t="shared" ca="1" si="1025"/>
        <v/>
      </c>
      <c r="AM210" s="23" t="str">
        <f t="shared" ca="1" si="1025"/>
        <v/>
      </c>
      <c r="AN210" s="23" t="str">
        <f t="shared" ca="1" si="1025"/>
        <v/>
      </c>
      <c r="AO210" s="23" t="str">
        <f t="shared" ca="1" si="1025"/>
        <v/>
      </c>
      <c r="AP210" s="23" t="str">
        <f t="shared" ca="1" si="1025"/>
        <v/>
      </c>
      <c r="AQ210" s="23" t="str">
        <f t="shared" ca="1" si="1025"/>
        <v/>
      </c>
      <c r="AR210" s="23" t="str">
        <f t="shared" ca="1" si="1026"/>
        <v/>
      </c>
      <c r="AS210" s="23" t="str">
        <f t="shared" ca="1" si="1026"/>
        <v/>
      </c>
      <c r="AT210" s="23" t="str">
        <f t="shared" ca="1" si="1026"/>
        <v/>
      </c>
      <c r="AU210" s="23" t="str">
        <f t="shared" ca="1" si="1026"/>
        <v/>
      </c>
      <c r="AV210" s="23" t="str">
        <f t="shared" ca="1" si="1026"/>
        <v/>
      </c>
      <c r="AW210" s="23" t="str">
        <f t="shared" ca="1" si="1026"/>
        <v/>
      </c>
      <c r="AX210" s="23" t="str">
        <f t="shared" ca="1" si="1026"/>
        <v/>
      </c>
      <c r="AY210" s="23" t="str">
        <f t="shared" ca="1" si="1026"/>
        <v/>
      </c>
      <c r="AZ210" s="23" t="str">
        <f t="shared" ca="1" si="1026"/>
        <v/>
      </c>
      <c r="BA210" s="23" t="str">
        <f t="shared" ca="1" si="1026"/>
        <v/>
      </c>
      <c r="BB210" s="23" t="str">
        <f t="shared" ca="1" si="1027"/>
        <v/>
      </c>
      <c r="BC210" s="23" t="str">
        <f t="shared" ca="1" si="1027"/>
        <v/>
      </c>
      <c r="BD210" s="23" t="str">
        <f t="shared" ca="1" si="1027"/>
        <v/>
      </c>
      <c r="BE210" s="23" t="str">
        <f t="shared" ca="1" si="1027"/>
        <v/>
      </c>
      <c r="BF210" s="23" t="str">
        <f t="shared" ca="1" si="1027"/>
        <v/>
      </c>
      <c r="BG210" s="23" t="str">
        <f t="shared" ca="1" si="1027"/>
        <v/>
      </c>
      <c r="BH210" s="23" t="str">
        <f t="shared" ca="1" si="1027"/>
        <v/>
      </c>
      <c r="BI210" s="23" t="str">
        <f t="shared" ca="1" si="1027"/>
        <v/>
      </c>
      <c r="BJ210" s="23" t="str">
        <f t="shared" ca="1" si="1027"/>
        <v/>
      </c>
      <c r="BK210" s="23" t="str">
        <f t="shared" ca="1" si="1027"/>
        <v/>
      </c>
      <c r="BL210" s="23" t="str">
        <f t="shared" ca="1" si="1028"/>
        <v/>
      </c>
      <c r="BM210" s="23" t="str">
        <f t="shared" ca="1" si="1028"/>
        <v/>
      </c>
      <c r="BN210" s="23" t="str">
        <f t="shared" ca="1" si="1028"/>
        <v/>
      </c>
      <c r="BO210" s="23" t="str">
        <f t="shared" ca="1" si="1028"/>
        <v/>
      </c>
      <c r="BP210" s="23" t="str">
        <f t="shared" ca="1" si="1028"/>
        <v/>
      </c>
      <c r="BQ210" s="23" t="str">
        <f t="shared" ca="1" si="1028"/>
        <v/>
      </c>
      <c r="BR210" s="23" t="str">
        <f t="shared" ca="1" si="1028"/>
        <v/>
      </c>
      <c r="BS210" s="23" t="str">
        <f t="shared" ca="1" si="1028"/>
        <v/>
      </c>
      <c r="BT210" s="23" t="str">
        <f t="shared" ca="1" si="1028"/>
        <v/>
      </c>
      <c r="BU210" s="23" t="str">
        <f t="shared" ca="1" si="1028"/>
        <v/>
      </c>
      <c r="BV210" s="23" t="str">
        <f t="shared" ca="1" si="1029"/>
        <v/>
      </c>
      <c r="BW210" s="23" t="str">
        <f t="shared" ca="1" si="1029"/>
        <v/>
      </c>
      <c r="BX210" s="23" t="str">
        <f t="shared" ca="1" si="1029"/>
        <v/>
      </c>
      <c r="BY210" s="23" t="str">
        <f t="shared" ca="1" si="1029"/>
        <v/>
      </c>
      <c r="BZ210" s="23" t="str">
        <f t="shared" ca="1" si="1029"/>
        <v/>
      </c>
      <c r="CA210" s="23" t="str">
        <f t="shared" ca="1" si="1029"/>
        <v/>
      </c>
      <c r="CB210" s="23" t="str">
        <f t="shared" ca="1" si="1029"/>
        <v/>
      </c>
      <c r="CC210" s="23" t="str">
        <f t="shared" ca="1" si="1029"/>
        <v/>
      </c>
      <c r="CD210" s="23" t="str">
        <f t="shared" ca="1" si="1029"/>
        <v/>
      </c>
      <c r="CE210" s="23" t="str">
        <f t="shared" ca="1" si="1029"/>
        <v/>
      </c>
      <c r="CF210" s="23" t="str">
        <f t="shared" ca="1" si="1030"/>
        <v/>
      </c>
      <c r="CG210" s="23" t="str">
        <f t="shared" ca="1" si="1030"/>
        <v/>
      </c>
      <c r="CH210" s="23" t="str">
        <f t="shared" ca="1" si="1030"/>
        <v/>
      </c>
      <c r="CI210" s="23" t="str">
        <f t="shared" ca="1" si="1030"/>
        <v/>
      </c>
      <c r="CJ210" s="23" t="str">
        <f t="shared" ca="1" si="1030"/>
        <v/>
      </c>
      <c r="CK210" s="23" t="str">
        <f t="shared" ca="1" si="1030"/>
        <v/>
      </c>
      <c r="CL210" s="23" t="str">
        <f t="shared" ca="1" si="1030"/>
        <v/>
      </c>
      <c r="CM210" s="23" t="str">
        <f t="shared" ca="1" si="1030"/>
        <v/>
      </c>
      <c r="CN210" s="23" t="str">
        <f t="shared" ca="1" si="1030"/>
        <v/>
      </c>
      <c r="CO210" s="23" t="str">
        <f t="shared" ca="1" si="1030"/>
        <v/>
      </c>
      <c r="CP210" s="23" t="str">
        <f t="shared" ca="1" si="1031"/>
        <v/>
      </c>
      <c r="CQ210" s="23" t="str">
        <f t="shared" ca="1" si="1031"/>
        <v/>
      </c>
      <c r="CR210" s="23" t="str">
        <f t="shared" ca="1" si="1031"/>
        <v/>
      </c>
      <c r="CS210" s="23" t="str">
        <f t="shared" ca="1" si="1031"/>
        <v/>
      </c>
      <c r="CT210" s="23" t="str">
        <f t="shared" ca="1" si="1031"/>
        <v/>
      </c>
      <c r="CU210" s="23" t="str">
        <f t="shared" ca="1" si="1031"/>
        <v/>
      </c>
      <c r="CV210" s="23" t="str">
        <f t="shared" ca="1" si="1031"/>
        <v/>
      </c>
      <c r="CW210" s="23" t="str">
        <f t="shared" ca="1" si="1031"/>
        <v/>
      </c>
      <c r="CX210" s="23" t="str">
        <f ca="1">IF(CX$11="","",IF(CX$13=$M$5,CHOOSE($Q$6+1,$M$1,CY210+CZ210-#REF!),IF(CX$13=$M$6,CHOOSE($Q$6+1,$M$1,OFFSET($A210,,$P$7-1)),IF(CX$13=$M$7,CHOOSE($Q$6+1,$M$1,SUM(OFFSET($A$11,$B210-$O$5,$O$6,1,-$P$6))),IF(CX$13=$M$8,CHOOSE($Q$6+1,$M$1,SUM(OFFSET($A$11,$B210-$O$5,$O$7,1,-$P$6))),IF(CX$11&lt;$D$7,OFFSET(INDIRECT($D$3),$A210-1,$Q$3+CX$11),OFFSET(INDIRECT($D$4),$A210-1,$Q$4+CX$11)))))))</f>
        <v/>
      </c>
      <c r="CY210" s="23" t="str">
        <f ca="1">IF(CY$11="","",IF(CY$13=$M$5,CHOOSE($Q$6+1,$M$1,CZ210+#REF!-#REF!),IF(CY$13=$M$6,CHOOSE($Q$6+1,$M$1,OFFSET($A210,,$P$7-1)),IF(CY$13=$M$7,CHOOSE($Q$6+1,$M$1,SUM(OFFSET($A$11,$B210-$O$5,$O$6,1,-$P$6))),IF(CY$13=$M$8,CHOOSE($Q$6+1,$M$1,SUM(OFFSET($A$11,$B210-$O$5,$O$7,1,-$P$6))),IF(CY$11&lt;$D$7,OFFSET(INDIRECT($D$3),$A210-1,$Q$3+CY$11),OFFSET(INDIRECT($D$4),$A210-1,$Q$4+CY$11)))))))</f>
        <v/>
      </c>
      <c r="CZ210" s="23" t="str">
        <f ca="1">IF(CZ$11="","",IF(CZ$13=$M$5,CHOOSE($Q$6+1,$M$1,#REF!+#REF!-#REF!),IF(CZ$13=$M$6,CHOOSE($Q$6+1,$M$1,OFFSET($A210,,$P$7-1)),IF(CZ$13=$M$7,CHOOSE($Q$6+1,$M$1,SUM(OFFSET($A$11,$B210-$O$5,$O$6,1,-$P$6))),IF(CZ$13=$M$8,CHOOSE($Q$6+1,$M$1,SUM(OFFSET($A$11,$B210-$O$5,$O$7,1,-$P$6))),IF(CZ$11&lt;$D$7,OFFSET(INDIRECT($D$3),$A210-1,$Q$3+CZ$11),OFFSET(INDIRECT($D$4),$A210-1,$Q$4+CZ$11)))))))</f>
        <v/>
      </c>
    </row>
    <row r="211" spans="1:104" ht="13.5" customHeight="1">
      <c r="A211" s="28">
        <v>191</v>
      </c>
      <c r="B211" s="33">
        <f t="shared" si="1032"/>
        <v>211</v>
      </c>
      <c r="C211" s="9" t="s">
        <v>458</v>
      </c>
      <c r="D211" s="34">
        <f ca="1">IF(D$13="","",+SUM(D204:D210))</f>
        <v>1444</v>
      </c>
      <c r="E211" s="34">
        <f t="shared" ref="E211:BP211" ca="1" si="1033">IF(E$13="","",+SUM(E204:E210))</f>
        <v>-1698</v>
      </c>
      <c r="F211" s="34">
        <f t="shared" ca="1" si="1033"/>
        <v>976</v>
      </c>
      <c r="G211" s="34">
        <f t="shared" ca="1" si="1033"/>
        <v>1013</v>
      </c>
      <c r="H211" s="34">
        <f t="shared" ca="1" si="1033"/>
        <v>1444</v>
      </c>
      <c r="I211" s="34">
        <f t="shared" ca="1" si="1033"/>
        <v>69</v>
      </c>
      <c r="J211" s="34">
        <f t="shared" ca="1" si="1033"/>
        <v>379</v>
      </c>
      <c r="K211" s="34">
        <f t="shared" ca="1" si="1033"/>
        <v>324</v>
      </c>
      <c r="L211" s="34">
        <f t="shared" ca="1" si="1033"/>
        <v>-1698</v>
      </c>
      <c r="M211" s="34">
        <f t="shared" ca="1" si="1033"/>
        <v>-4497</v>
      </c>
      <c r="N211" s="34">
        <f t="shared" ca="1" si="1033"/>
        <v>-6264</v>
      </c>
      <c r="O211" s="34">
        <f t="shared" ca="1" si="1033"/>
        <v>-1698</v>
      </c>
      <c r="P211" s="34">
        <f t="shared" ca="1" si="1033"/>
        <v>-4497</v>
      </c>
      <c r="Q211" s="34">
        <f t="shared" ca="1" si="1033"/>
        <v>69</v>
      </c>
      <c r="R211" s="34" t="str">
        <f t="shared" ca="1" si="1033"/>
        <v/>
      </c>
      <c r="S211" s="34" t="str">
        <f t="shared" ca="1" si="1033"/>
        <v/>
      </c>
      <c r="T211" s="34" t="str">
        <f t="shared" ca="1" si="1033"/>
        <v/>
      </c>
      <c r="U211" s="34" t="str">
        <f t="shared" ca="1" si="1033"/>
        <v/>
      </c>
      <c r="V211" s="34" t="str">
        <f t="shared" ca="1" si="1033"/>
        <v/>
      </c>
      <c r="W211" s="34" t="str">
        <f t="shared" ca="1" si="1033"/>
        <v/>
      </c>
      <c r="X211" s="34" t="str">
        <f t="shared" ca="1" si="1033"/>
        <v/>
      </c>
      <c r="Y211" s="34" t="str">
        <f t="shared" ca="1" si="1033"/>
        <v/>
      </c>
      <c r="Z211" s="34" t="str">
        <f t="shared" ca="1" si="1033"/>
        <v/>
      </c>
      <c r="AA211" s="34" t="str">
        <f t="shared" ca="1" si="1033"/>
        <v/>
      </c>
      <c r="AB211" s="34" t="str">
        <f t="shared" ca="1" si="1033"/>
        <v/>
      </c>
      <c r="AC211" s="34" t="str">
        <f t="shared" ca="1" si="1033"/>
        <v/>
      </c>
      <c r="AD211" s="34" t="str">
        <f t="shared" ca="1" si="1033"/>
        <v/>
      </c>
      <c r="AE211" s="34" t="str">
        <f t="shared" ca="1" si="1033"/>
        <v/>
      </c>
      <c r="AF211" s="34" t="str">
        <f t="shared" ca="1" si="1033"/>
        <v/>
      </c>
      <c r="AG211" s="17" t="str">
        <f t="shared" ca="1" si="1033"/>
        <v/>
      </c>
      <c r="AH211" s="17" t="str">
        <f t="shared" ca="1" si="1033"/>
        <v/>
      </c>
      <c r="AI211" s="17" t="str">
        <f t="shared" ca="1" si="1033"/>
        <v/>
      </c>
      <c r="AJ211" s="17" t="str">
        <f t="shared" ca="1" si="1033"/>
        <v/>
      </c>
      <c r="AK211" s="17" t="str">
        <f t="shared" ca="1" si="1033"/>
        <v/>
      </c>
      <c r="AL211" s="17" t="str">
        <f t="shared" ca="1" si="1033"/>
        <v/>
      </c>
      <c r="AM211" s="17" t="str">
        <f t="shared" ca="1" si="1033"/>
        <v/>
      </c>
      <c r="AN211" s="17" t="str">
        <f t="shared" ca="1" si="1033"/>
        <v/>
      </c>
      <c r="AO211" s="17" t="str">
        <f t="shared" ca="1" si="1033"/>
        <v/>
      </c>
      <c r="AP211" s="17" t="str">
        <f t="shared" ca="1" si="1033"/>
        <v/>
      </c>
      <c r="AQ211" s="17" t="str">
        <f t="shared" ca="1" si="1033"/>
        <v/>
      </c>
      <c r="AR211" s="17" t="str">
        <f t="shared" ca="1" si="1033"/>
        <v/>
      </c>
      <c r="AS211" s="17" t="str">
        <f t="shared" ca="1" si="1033"/>
        <v/>
      </c>
      <c r="AT211" s="17" t="str">
        <f t="shared" ca="1" si="1033"/>
        <v/>
      </c>
      <c r="AU211" s="17" t="str">
        <f t="shared" ca="1" si="1033"/>
        <v/>
      </c>
      <c r="AV211" s="17" t="str">
        <f t="shared" ca="1" si="1033"/>
        <v/>
      </c>
      <c r="AW211" s="17" t="str">
        <f t="shared" ca="1" si="1033"/>
        <v/>
      </c>
      <c r="AX211" s="17" t="str">
        <f t="shared" ca="1" si="1033"/>
        <v/>
      </c>
      <c r="AY211" s="17" t="str">
        <f t="shared" ca="1" si="1033"/>
        <v/>
      </c>
      <c r="AZ211" s="17" t="str">
        <f t="shared" ca="1" si="1033"/>
        <v/>
      </c>
      <c r="BA211" s="17" t="str">
        <f t="shared" ca="1" si="1033"/>
        <v/>
      </c>
      <c r="BB211" s="17" t="str">
        <f t="shared" ca="1" si="1033"/>
        <v/>
      </c>
      <c r="BC211" s="17" t="str">
        <f t="shared" ca="1" si="1033"/>
        <v/>
      </c>
      <c r="BD211" s="17" t="str">
        <f t="shared" ca="1" si="1033"/>
        <v/>
      </c>
      <c r="BE211" s="17" t="str">
        <f t="shared" ca="1" si="1033"/>
        <v/>
      </c>
      <c r="BF211" s="17" t="str">
        <f t="shared" ca="1" si="1033"/>
        <v/>
      </c>
      <c r="BG211" s="17" t="str">
        <f t="shared" ca="1" si="1033"/>
        <v/>
      </c>
      <c r="BH211" s="17" t="str">
        <f t="shared" ca="1" si="1033"/>
        <v/>
      </c>
      <c r="BI211" s="17" t="str">
        <f t="shared" ca="1" si="1033"/>
        <v/>
      </c>
      <c r="BJ211" s="17" t="str">
        <f t="shared" ca="1" si="1033"/>
        <v/>
      </c>
      <c r="BK211" s="17" t="str">
        <f t="shared" ca="1" si="1033"/>
        <v/>
      </c>
      <c r="BL211" s="17" t="str">
        <f t="shared" ca="1" si="1033"/>
        <v/>
      </c>
      <c r="BM211" s="17" t="str">
        <f t="shared" ca="1" si="1033"/>
        <v/>
      </c>
      <c r="BN211" s="17" t="str">
        <f t="shared" ca="1" si="1033"/>
        <v/>
      </c>
      <c r="BO211" s="17" t="str">
        <f t="shared" ca="1" si="1033"/>
        <v/>
      </c>
      <c r="BP211" s="17" t="str">
        <f t="shared" ca="1" si="1033"/>
        <v/>
      </c>
      <c r="BQ211" s="17" t="str">
        <f t="shared" ref="BQ211:CZ211" ca="1" si="1034">IF(BQ$13="","",+SUM(BQ204:BQ210))</f>
        <v/>
      </c>
      <c r="BR211" s="17" t="str">
        <f t="shared" ca="1" si="1034"/>
        <v/>
      </c>
      <c r="BS211" s="17" t="str">
        <f t="shared" ca="1" si="1034"/>
        <v/>
      </c>
      <c r="BT211" s="17" t="str">
        <f t="shared" ca="1" si="1034"/>
        <v/>
      </c>
      <c r="BU211" s="17" t="str">
        <f t="shared" ca="1" si="1034"/>
        <v/>
      </c>
      <c r="BV211" s="17" t="str">
        <f t="shared" ca="1" si="1034"/>
        <v/>
      </c>
      <c r="BW211" s="17" t="str">
        <f t="shared" ca="1" si="1034"/>
        <v/>
      </c>
      <c r="BX211" s="17" t="str">
        <f t="shared" ca="1" si="1034"/>
        <v/>
      </c>
      <c r="BY211" s="17" t="str">
        <f t="shared" ca="1" si="1034"/>
        <v/>
      </c>
      <c r="BZ211" s="17" t="str">
        <f t="shared" ca="1" si="1034"/>
        <v/>
      </c>
      <c r="CA211" s="17" t="str">
        <f t="shared" ca="1" si="1034"/>
        <v/>
      </c>
      <c r="CB211" s="17" t="str">
        <f t="shared" ca="1" si="1034"/>
        <v/>
      </c>
      <c r="CC211" s="17" t="str">
        <f t="shared" ca="1" si="1034"/>
        <v/>
      </c>
      <c r="CD211" s="17" t="str">
        <f t="shared" ca="1" si="1034"/>
        <v/>
      </c>
      <c r="CE211" s="17" t="str">
        <f t="shared" ca="1" si="1034"/>
        <v/>
      </c>
      <c r="CF211" s="17" t="str">
        <f t="shared" ca="1" si="1034"/>
        <v/>
      </c>
      <c r="CG211" s="17" t="str">
        <f t="shared" ca="1" si="1034"/>
        <v/>
      </c>
      <c r="CH211" s="17" t="str">
        <f t="shared" ca="1" si="1034"/>
        <v/>
      </c>
      <c r="CI211" s="17" t="str">
        <f t="shared" ca="1" si="1034"/>
        <v/>
      </c>
      <c r="CJ211" s="17" t="str">
        <f t="shared" ca="1" si="1034"/>
        <v/>
      </c>
      <c r="CK211" s="17" t="str">
        <f t="shared" ca="1" si="1034"/>
        <v/>
      </c>
      <c r="CL211" s="17" t="str">
        <f t="shared" ca="1" si="1034"/>
        <v/>
      </c>
      <c r="CM211" s="17" t="str">
        <f t="shared" ca="1" si="1034"/>
        <v/>
      </c>
      <c r="CN211" s="17" t="str">
        <f t="shared" ca="1" si="1034"/>
        <v/>
      </c>
      <c r="CO211" s="17" t="str">
        <f t="shared" ca="1" si="1034"/>
        <v/>
      </c>
      <c r="CP211" s="17" t="str">
        <f t="shared" ca="1" si="1034"/>
        <v/>
      </c>
      <c r="CQ211" s="17" t="str">
        <f t="shared" ca="1" si="1034"/>
        <v/>
      </c>
      <c r="CR211" s="17" t="str">
        <f t="shared" ca="1" si="1034"/>
        <v/>
      </c>
      <c r="CS211" s="17" t="str">
        <f t="shared" ca="1" si="1034"/>
        <v/>
      </c>
      <c r="CT211" s="17" t="str">
        <f t="shared" ca="1" si="1034"/>
        <v/>
      </c>
      <c r="CU211" s="17" t="str">
        <f t="shared" ca="1" si="1034"/>
        <v/>
      </c>
      <c r="CV211" s="17" t="str">
        <f t="shared" ca="1" si="1034"/>
        <v/>
      </c>
      <c r="CW211" s="17" t="str">
        <f t="shared" ca="1" si="1034"/>
        <v/>
      </c>
      <c r="CX211" s="17" t="str">
        <f t="shared" ca="1" si="1034"/>
        <v/>
      </c>
      <c r="CY211" s="17" t="str">
        <f t="shared" ca="1" si="1034"/>
        <v/>
      </c>
      <c r="CZ211" s="17" t="str">
        <f t="shared" ca="1" si="1034"/>
        <v/>
      </c>
    </row>
    <row r="212" spans="1:104" ht="13.5" customHeight="1">
      <c r="A212" s="27">
        <v>192</v>
      </c>
      <c r="B212" s="33">
        <f t="shared" si="1032"/>
        <v>212</v>
      </c>
      <c r="C212" s="9" t="s">
        <v>459</v>
      </c>
      <c r="D212" s="23">
        <f t="shared" ref="D212:AI212" ca="1" si="1035">IF(D$11="","",IF(D$13=$M$5,CHOOSE($Q$6+1,$M$1,E212+F212-G212),IF(D$13=$M$6,CHOOSE($Q$6+1,$M$1,OFFSET($A212,,$P$7-1)),IF(D$13=$M$7,CHOOSE($Q$6+1,$M$1,SUM(OFFSET($A$11,$B212-$O$5,$O$6,1,-$P$6))),IF(D$13=$M$8,CHOOSE($Q$6+1,$M$1,SUM(OFFSET($A$11,$B212-$O$5,$O$7,1,-$P$6))),IF(D$11&lt;$D$7,OFFSET(INDIRECT($D$3),$A212-1,$Q$3+D$11),OFFSET(INDIRECT($D$4),$A212-1,$Q$4+D$11)))))))</f>
        <v>0</v>
      </c>
      <c r="E212" s="23">
        <f t="shared" ca="1" si="1035"/>
        <v>0</v>
      </c>
      <c r="F212" s="23">
        <f t="shared" ca="1" si="1035"/>
        <v>0</v>
      </c>
      <c r="G212" s="23">
        <f t="shared" ca="1" si="1035"/>
        <v>0</v>
      </c>
      <c r="H212" s="23">
        <f t="shared" ca="1" si="1035"/>
        <v>0</v>
      </c>
      <c r="I212" s="23">
        <f t="shared" ca="1" si="1035"/>
        <v>0</v>
      </c>
      <c r="J212" s="23">
        <f t="shared" ca="1" si="1035"/>
        <v>0</v>
      </c>
      <c r="K212" s="23">
        <f t="shared" ca="1" si="1035"/>
        <v>0</v>
      </c>
      <c r="L212" s="23">
        <f t="shared" ca="1" si="1035"/>
        <v>0</v>
      </c>
      <c r="M212" s="23">
        <f t="shared" ca="1" si="1035"/>
        <v>0</v>
      </c>
      <c r="N212" s="23">
        <f t="shared" ca="1" si="1035"/>
        <v>0</v>
      </c>
      <c r="O212" s="23">
        <f t="shared" ca="1" si="1035"/>
        <v>0</v>
      </c>
      <c r="P212" s="23">
        <f t="shared" ca="1" si="1035"/>
        <v>0</v>
      </c>
      <c r="Q212" s="23">
        <f t="shared" ca="1" si="1035"/>
        <v>0</v>
      </c>
      <c r="R212" s="23" t="str">
        <f t="shared" ca="1" si="1035"/>
        <v/>
      </c>
      <c r="S212" s="23" t="str">
        <f t="shared" ca="1" si="1035"/>
        <v/>
      </c>
      <c r="T212" s="23" t="str">
        <f t="shared" ca="1" si="1035"/>
        <v/>
      </c>
      <c r="U212" s="23" t="str">
        <f t="shared" ca="1" si="1035"/>
        <v/>
      </c>
      <c r="V212" s="23" t="str">
        <f t="shared" ca="1" si="1035"/>
        <v/>
      </c>
      <c r="W212" s="23" t="str">
        <f t="shared" ca="1" si="1035"/>
        <v/>
      </c>
      <c r="X212" s="23" t="str">
        <f t="shared" ca="1" si="1035"/>
        <v/>
      </c>
      <c r="Y212" s="23" t="str">
        <f t="shared" ca="1" si="1035"/>
        <v/>
      </c>
      <c r="Z212" s="23" t="str">
        <f t="shared" ca="1" si="1035"/>
        <v/>
      </c>
      <c r="AA212" s="23" t="str">
        <f t="shared" ca="1" si="1035"/>
        <v/>
      </c>
      <c r="AB212" s="23" t="str">
        <f t="shared" ca="1" si="1035"/>
        <v/>
      </c>
      <c r="AC212" s="23" t="str">
        <f t="shared" ca="1" si="1035"/>
        <v/>
      </c>
      <c r="AD212" s="23" t="str">
        <f t="shared" ca="1" si="1035"/>
        <v/>
      </c>
      <c r="AE212" s="23" t="str">
        <f t="shared" ca="1" si="1035"/>
        <v/>
      </c>
      <c r="AF212" s="23" t="str">
        <f t="shared" ca="1" si="1035"/>
        <v/>
      </c>
      <c r="AG212" s="23" t="str">
        <f t="shared" ca="1" si="1035"/>
        <v/>
      </c>
      <c r="AH212" s="23" t="str">
        <f t="shared" ca="1" si="1035"/>
        <v/>
      </c>
      <c r="AI212" s="23" t="str">
        <f t="shared" ca="1" si="1035"/>
        <v/>
      </c>
      <c r="AJ212" s="23" t="str">
        <f t="shared" ref="AJ212:BO212" ca="1" si="1036">IF(AJ$11="","",IF(AJ$13=$M$5,CHOOSE($Q$6+1,$M$1,AK212+AL212-AM212),IF(AJ$13=$M$6,CHOOSE($Q$6+1,$M$1,OFFSET($A212,,$P$7-1)),IF(AJ$13=$M$7,CHOOSE($Q$6+1,$M$1,SUM(OFFSET($A$11,$B212-$O$5,$O$6,1,-$P$6))),IF(AJ$13=$M$8,CHOOSE($Q$6+1,$M$1,SUM(OFFSET($A$11,$B212-$O$5,$O$7,1,-$P$6))),IF(AJ$11&lt;$D$7,OFFSET(INDIRECT($D$3),$A212-1,$Q$3+AJ$11),OFFSET(INDIRECT($D$4),$A212-1,$Q$4+AJ$11)))))))</f>
        <v/>
      </c>
      <c r="AK212" s="23" t="str">
        <f t="shared" ca="1" si="1036"/>
        <v/>
      </c>
      <c r="AL212" s="23" t="str">
        <f t="shared" ca="1" si="1036"/>
        <v/>
      </c>
      <c r="AM212" s="23" t="str">
        <f t="shared" ca="1" si="1036"/>
        <v/>
      </c>
      <c r="AN212" s="23" t="str">
        <f t="shared" ca="1" si="1036"/>
        <v/>
      </c>
      <c r="AO212" s="23" t="str">
        <f t="shared" ca="1" si="1036"/>
        <v/>
      </c>
      <c r="AP212" s="23" t="str">
        <f t="shared" ca="1" si="1036"/>
        <v/>
      </c>
      <c r="AQ212" s="23" t="str">
        <f t="shared" ca="1" si="1036"/>
        <v/>
      </c>
      <c r="AR212" s="23" t="str">
        <f t="shared" ca="1" si="1036"/>
        <v/>
      </c>
      <c r="AS212" s="23" t="str">
        <f t="shared" ca="1" si="1036"/>
        <v/>
      </c>
      <c r="AT212" s="23" t="str">
        <f t="shared" ca="1" si="1036"/>
        <v/>
      </c>
      <c r="AU212" s="23" t="str">
        <f t="shared" ca="1" si="1036"/>
        <v/>
      </c>
      <c r="AV212" s="23" t="str">
        <f t="shared" ca="1" si="1036"/>
        <v/>
      </c>
      <c r="AW212" s="23" t="str">
        <f t="shared" ca="1" si="1036"/>
        <v/>
      </c>
      <c r="AX212" s="23" t="str">
        <f t="shared" ca="1" si="1036"/>
        <v/>
      </c>
      <c r="AY212" s="23" t="str">
        <f t="shared" ca="1" si="1036"/>
        <v/>
      </c>
      <c r="AZ212" s="23" t="str">
        <f t="shared" ca="1" si="1036"/>
        <v/>
      </c>
      <c r="BA212" s="23" t="str">
        <f t="shared" ca="1" si="1036"/>
        <v/>
      </c>
      <c r="BB212" s="23" t="str">
        <f t="shared" ca="1" si="1036"/>
        <v/>
      </c>
      <c r="BC212" s="23" t="str">
        <f t="shared" ca="1" si="1036"/>
        <v/>
      </c>
      <c r="BD212" s="23" t="str">
        <f t="shared" ca="1" si="1036"/>
        <v/>
      </c>
      <c r="BE212" s="23" t="str">
        <f t="shared" ca="1" si="1036"/>
        <v/>
      </c>
      <c r="BF212" s="23" t="str">
        <f t="shared" ca="1" si="1036"/>
        <v/>
      </c>
      <c r="BG212" s="23" t="str">
        <f t="shared" ca="1" si="1036"/>
        <v/>
      </c>
      <c r="BH212" s="23" t="str">
        <f t="shared" ca="1" si="1036"/>
        <v/>
      </c>
      <c r="BI212" s="23" t="str">
        <f t="shared" ca="1" si="1036"/>
        <v/>
      </c>
      <c r="BJ212" s="23" t="str">
        <f t="shared" ca="1" si="1036"/>
        <v/>
      </c>
      <c r="BK212" s="23" t="str">
        <f t="shared" ca="1" si="1036"/>
        <v/>
      </c>
      <c r="BL212" s="23" t="str">
        <f t="shared" ca="1" si="1036"/>
        <v/>
      </c>
      <c r="BM212" s="23" t="str">
        <f t="shared" ca="1" si="1036"/>
        <v/>
      </c>
      <c r="BN212" s="23" t="str">
        <f t="shared" ca="1" si="1036"/>
        <v/>
      </c>
      <c r="BO212" s="23" t="str">
        <f t="shared" ca="1" si="1036"/>
        <v/>
      </c>
      <c r="BP212" s="23" t="str">
        <f t="shared" ref="BP212:CU212" ca="1" si="1037">IF(BP$11="","",IF(BP$13=$M$5,CHOOSE($Q$6+1,$M$1,BQ212+BR212-BS212),IF(BP$13=$M$6,CHOOSE($Q$6+1,$M$1,OFFSET($A212,,$P$7-1)),IF(BP$13=$M$7,CHOOSE($Q$6+1,$M$1,SUM(OFFSET($A$11,$B212-$O$5,$O$6,1,-$P$6))),IF(BP$13=$M$8,CHOOSE($Q$6+1,$M$1,SUM(OFFSET($A$11,$B212-$O$5,$O$7,1,-$P$6))),IF(BP$11&lt;$D$7,OFFSET(INDIRECT($D$3),$A212-1,$Q$3+BP$11),OFFSET(INDIRECT($D$4),$A212-1,$Q$4+BP$11)))))))</f>
        <v/>
      </c>
      <c r="BQ212" s="23" t="str">
        <f t="shared" ca="1" si="1037"/>
        <v/>
      </c>
      <c r="BR212" s="23" t="str">
        <f t="shared" ca="1" si="1037"/>
        <v/>
      </c>
      <c r="BS212" s="23" t="str">
        <f t="shared" ca="1" si="1037"/>
        <v/>
      </c>
      <c r="BT212" s="23" t="str">
        <f t="shared" ca="1" si="1037"/>
        <v/>
      </c>
      <c r="BU212" s="23" t="str">
        <f t="shared" ca="1" si="1037"/>
        <v/>
      </c>
      <c r="BV212" s="23" t="str">
        <f t="shared" ca="1" si="1037"/>
        <v/>
      </c>
      <c r="BW212" s="23" t="str">
        <f t="shared" ca="1" si="1037"/>
        <v/>
      </c>
      <c r="BX212" s="23" t="str">
        <f t="shared" ca="1" si="1037"/>
        <v/>
      </c>
      <c r="BY212" s="23" t="str">
        <f t="shared" ca="1" si="1037"/>
        <v/>
      </c>
      <c r="BZ212" s="23" t="str">
        <f t="shared" ca="1" si="1037"/>
        <v/>
      </c>
      <c r="CA212" s="23" t="str">
        <f t="shared" ca="1" si="1037"/>
        <v/>
      </c>
      <c r="CB212" s="23" t="str">
        <f t="shared" ca="1" si="1037"/>
        <v/>
      </c>
      <c r="CC212" s="23" t="str">
        <f t="shared" ca="1" si="1037"/>
        <v/>
      </c>
      <c r="CD212" s="23" t="str">
        <f t="shared" ca="1" si="1037"/>
        <v/>
      </c>
      <c r="CE212" s="23" t="str">
        <f t="shared" ca="1" si="1037"/>
        <v/>
      </c>
      <c r="CF212" s="23" t="str">
        <f t="shared" ca="1" si="1037"/>
        <v/>
      </c>
      <c r="CG212" s="23" t="str">
        <f t="shared" ca="1" si="1037"/>
        <v/>
      </c>
      <c r="CH212" s="23" t="str">
        <f t="shared" ca="1" si="1037"/>
        <v/>
      </c>
      <c r="CI212" s="23" t="str">
        <f t="shared" ca="1" si="1037"/>
        <v/>
      </c>
      <c r="CJ212" s="23" t="str">
        <f t="shared" ca="1" si="1037"/>
        <v/>
      </c>
      <c r="CK212" s="23" t="str">
        <f t="shared" ca="1" si="1037"/>
        <v/>
      </c>
      <c r="CL212" s="23" t="str">
        <f t="shared" ca="1" si="1037"/>
        <v/>
      </c>
      <c r="CM212" s="23" t="str">
        <f t="shared" ca="1" si="1037"/>
        <v/>
      </c>
      <c r="CN212" s="23" t="str">
        <f t="shared" ca="1" si="1037"/>
        <v/>
      </c>
      <c r="CO212" s="23" t="str">
        <f t="shared" ca="1" si="1037"/>
        <v/>
      </c>
      <c r="CP212" s="23" t="str">
        <f t="shared" ca="1" si="1037"/>
        <v/>
      </c>
      <c r="CQ212" s="23" t="str">
        <f t="shared" ca="1" si="1037"/>
        <v/>
      </c>
      <c r="CR212" s="23" t="str">
        <f t="shared" ca="1" si="1037"/>
        <v/>
      </c>
      <c r="CS212" s="23" t="str">
        <f t="shared" ca="1" si="1037"/>
        <v/>
      </c>
      <c r="CT212" s="23" t="str">
        <f t="shared" ca="1" si="1037"/>
        <v/>
      </c>
      <c r="CU212" s="23" t="str">
        <f t="shared" ca="1" si="1037"/>
        <v/>
      </c>
      <c r="CV212" s="23" t="str">
        <f t="shared" ref="CV212:CW212" ca="1" si="1038">IF(CV$11="","",IF(CV$13=$M$5,CHOOSE($Q$6+1,$M$1,CW212+CX212-CY212),IF(CV$13=$M$6,CHOOSE($Q$6+1,$M$1,OFFSET($A212,,$P$7-1)),IF(CV$13=$M$7,CHOOSE($Q$6+1,$M$1,SUM(OFFSET($A$11,$B212-$O$5,$O$6,1,-$P$6))),IF(CV$13=$M$8,CHOOSE($Q$6+1,$M$1,SUM(OFFSET($A$11,$B212-$O$5,$O$7,1,-$P$6))),IF(CV$11&lt;$D$7,OFFSET(INDIRECT($D$3),$A212-1,$Q$3+CV$11),OFFSET(INDIRECT($D$4),$A212-1,$Q$4+CV$11)))))))</f>
        <v/>
      </c>
      <c r="CW212" s="23" t="str">
        <f t="shared" ca="1" si="1038"/>
        <v/>
      </c>
      <c r="CX212" s="23" t="str">
        <f ca="1">IF(CX$11="","",IF(CX$13=$M$5,CHOOSE($Q$6+1,$M$1,CY212+CZ212-#REF!),IF(CX$13=$M$6,CHOOSE($Q$6+1,$M$1,OFFSET($A212,,$P$7-1)),IF(CX$13=$M$7,CHOOSE($Q$6+1,$M$1,SUM(OFFSET($A$11,$B212-$O$5,$O$6,1,-$P$6))),IF(CX$13=$M$8,CHOOSE($Q$6+1,$M$1,SUM(OFFSET($A$11,$B212-$O$5,$O$7,1,-$P$6))),IF(CX$11&lt;$D$7,OFFSET(INDIRECT($D$3),$A212-1,$Q$3+CX$11),OFFSET(INDIRECT($D$4),$A212-1,$Q$4+CX$11)))))))</f>
        <v/>
      </c>
      <c r="CY212" s="23" t="str">
        <f ca="1">IF(CY$11="","",IF(CY$13=$M$5,CHOOSE($Q$6+1,$M$1,CZ212+#REF!-#REF!),IF(CY$13=$M$6,CHOOSE($Q$6+1,$M$1,OFFSET($A212,,$P$7-1)),IF(CY$13=$M$7,CHOOSE($Q$6+1,$M$1,SUM(OFFSET($A$11,$B212-$O$5,$O$6,1,-$P$6))),IF(CY$13=$M$8,CHOOSE($Q$6+1,$M$1,SUM(OFFSET($A$11,$B212-$O$5,$O$7,1,-$P$6))),IF(CY$11&lt;$D$7,OFFSET(INDIRECT($D$3),$A212-1,$Q$3+CY$11),OFFSET(INDIRECT($D$4),$A212-1,$Q$4+CY$11)))))))</f>
        <v/>
      </c>
      <c r="CZ212" s="23" t="str">
        <f ca="1">IF(CZ$11="","",IF(CZ$13=$M$5,CHOOSE($Q$6+1,$M$1,#REF!+#REF!-#REF!),IF(CZ$13=$M$6,CHOOSE($Q$6+1,$M$1,OFFSET($A212,,$P$7-1)),IF(CZ$13=$M$7,CHOOSE($Q$6+1,$M$1,SUM(OFFSET($A$11,$B212-$O$5,$O$6,1,-$P$6))),IF(CZ$13=$M$8,CHOOSE($Q$6+1,$M$1,SUM(OFFSET($A$11,$B212-$O$5,$O$7,1,-$P$6))),IF(CZ$11&lt;$D$7,OFFSET(INDIRECT($D$3),$A212-1,$Q$3+CZ$11),OFFSET(INDIRECT($D$4),$A212-1,$Q$4+CZ$11)))))))</f>
        <v/>
      </c>
    </row>
    <row r="213" spans="1:104" ht="13.5" customHeight="1">
      <c r="A213" s="28">
        <v>193</v>
      </c>
      <c r="B213" s="33">
        <f t="shared" si="1032"/>
        <v>213</v>
      </c>
      <c r="C213" s="9" t="s">
        <v>460</v>
      </c>
      <c r="D213" s="34">
        <f ca="1">IF(D$13="","",+D193+D203+D211+D212)</f>
        <v>-1446</v>
      </c>
      <c r="E213" s="34">
        <f t="shared" ref="E213:BP213" ca="1" si="1039">IF(E$13="","",+E193+E203+E211+E212)</f>
        <v>931</v>
      </c>
      <c r="F213" s="34">
        <f t="shared" ca="1" si="1039"/>
        <v>4717</v>
      </c>
      <c r="G213" s="34">
        <f t="shared" ca="1" si="1039"/>
        <v>830</v>
      </c>
      <c r="H213" s="34">
        <f t="shared" ca="1" si="1039"/>
        <v>-1446</v>
      </c>
      <c r="I213" s="34">
        <f t="shared" ca="1" si="1039"/>
        <v>495</v>
      </c>
      <c r="J213" s="34">
        <f t="shared" ca="1" si="1039"/>
        <v>306</v>
      </c>
      <c r="K213" s="34">
        <f t="shared" ca="1" si="1039"/>
        <v>-1870</v>
      </c>
      <c r="L213" s="34">
        <f t="shared" ca="1" si="1039"/>
        <v>931</v>
      </c>
      <c r="M213" s="34">
        <f t="shared" ca="1" si="1039"/>
        <v>5408</v>
      </c>
      <c r="N213" s="34">
        <f t="shared" ca="1" si="1039"/>
        <v>5844</v>
      </c>
      <c r="O213" s="34">
        <f t="shared" ca="1" si="1039"/>
        <v>931</v>
      </c>
      <c r="P213" s="34">
        <f t="shared" ca="1" si="1039"/>
        <v>5408</v>
      </c>
      <c r="Q213" s="34">
        <f t="shared" ca="1" si="1039"/>
        <v>495</v>
      </c>
      <c r="R213" s="34" t="str">
        <f t="shared" ca="1" si="1039"/>
        <v/>
      </c>
      <c r="S213" s="34" t="str">
        <f t="shared" ca="1" si="1039"/>
        <v/>
      </c>
      <c r="T213" s="34" t="str">
        <f t="shared" ca="1" si="1039"/>
        <v/>
      </c>
      <c r="U213" s="34" t="str">
        <f t="shared" ca="1" si="1039"/>
        <v/>
      </c>
      <c r="V213" s="34" t="str">
        <f t="shared" ca="1" si="1039"/>
        <v/>
      </c>
      <c r="W213" s="34" t="str">
        <f t="shared" ca="1" si="1039"/>
        <v/>
      </c>
      <c r="X213" s="34" t="str">
        <f t="shared" ca="1" si="1039"/>
        <v/>
      </c>
      <c r="Y213" s="34" t="str">
        <f t="shared" ca="1" si="1039"/>
        <v/>
      </c>
      <c r="Z213" s="34" t="str">
        <f t="shared" ca="1" si="1039"/>
        <v/>
      </c>
      <c r="AA213" s="34" t="str">
        <f t="shared" ca="1" si="1039"/>
        <v/>
      </c>
      <c r="AB213" s="34" t="str">
        <f t="shared" ca="1" si="1039"/>
        <v/>
      </c>
      <c r="AC213" s="34" t="str">
        <f t="shared" ca="1" si="1039"/>
        <v/>
      </c>
      <c r="AD213" s="34" t="str">
        <f t="shared" ca="1" si="1039"/>
        <v/>
      </c>
      <c r="AE213" s="34" t="str">
        <f t="shared" ca="1" si="1039"/>
        <v/>
      </c>
      <c r="AF213" s="34" t="str">
        <f t="shared" ca="1" si="1039"/>
        <v/>
      </c>
      <c r="AG213" s="17" t="str">
        <f t="shared" ca="1" si="1039"/>
        <v/>
      </c>
      <c r="AH213" s="17" t="str">
        <f t="shared" ca="1" si="1039"/>
        <v/>
      </c>
      <c r="AI213" s="17" t="str">
        <f t="shared" ca="1" si="1039"/>
        <v/>
      </c>
      <c r="AJ213" s="17" t="str">
        <f t="shared" ca="1" si="1039"/>
        <v/>
      </c>
      <c r="AK213" s="17" t="str">
        <f t="shared" ca="1" si="1039"/>
        <v/>
      </c>
      <c r="AL213" s="17" t="str">
        <f t="shared" ca="1" si="1039"/>
        <v/>
      </c>
      <c r="AM213" s="17" t="str">
        <f t="shared" ca="1" si="1039"/>
        <v/>
      </c>
      <c r="AN213" s="17" t="str">
        <f t="shared" ca="1" si="1039"/>
        <v/>
      </c>
      <c r="AO213" s="17" t="str">
        <f t="shared" ca="1" si="1039"/>
        <v/>
      </c>
      <c r="AP213" s="17" t="str">
        <f t="shared" ca="1" si="1039"/>
        <v/>
      </c>
      <c r="AQ213" s="17" t="str">
        <f t="shared" ca="1" si="1039"/>
        <v/>
      </c>
      <c r="AR213" s="17" t="str">
        <f t="shared" ca="1" si="1039"/>
        <v/>
      </c>
      <c r="AS213" s="17" t="str">
        <f t="shared" ca="1" si="1039"/>
        <v/>
      </c>
      <c r="AT213" s="17" t="str">
        <f t="shared" ca="1" si="1039"/>
        <v/>
      </c>
      <c r="AU213" s="17" t="str">
        <f t="shared" ca="1" si="1039"/>
        <v/>
      </c>
      <c r="AV213" s="17" t="str">
        <f t="shared" ca="1" si="1039"/>
        <v/>
      </c>
      <c r="AW213" s="17" t="str">
        <f t="shared" ca="1" si="1039"/>
        <v/>
      </c>
      <c r="AX213" s="17" t="str">
        <f t="shared" ca="1" si="1039"/>
        <v/>
      </c>
      <c r="AY213" s="17" t="str">
        <f t="shared" ca="1" si="1039"/>
        <v/>
      </c>
      <c r="AZ213" s="17" t="str">
        <f t="shared" ca="1" si="1039"/>
        <v/>
      </c>
      <c r="BA213" s="17" t="str">
        <f t="shared" ca="1" si="1039"/>
        <v/>
      </c>
      <c r="BB213" s="17" t="str">
        <f t="shared" ca="1" si="1039"/>
        <v/>
      </c>
      <c r="BC213" s="17" t="str">
        <f t="shared" ca="1" si="1039"/>
        <v/>
      </c>
      <c r="BD213" s="17" t="str">
        <f t="shared" ca="1" si="1039"/>
        <v/>
      </c>
      <c r="BE213" s="17" t="str">
        <f t="shared" ca="1" si="1039"/>
        <v/>
      </c>
      <c r="BF213" s="17" t="str">
        <f t="shared" ca="1" si="1039"/>
        <v/>
      </c>
      <c r="BG213" s="17" t="str">
        <f t="shared" ca="1" si="1039"/>
        <v/>
      </c>
      <c r="BH213" s="17" t="str">
        <f t="shared" ca="1" si="1039"/>
        <v/>
      </c>
      <c r="BI213" s="17" t="str">
        <f t="shared" ca="1" si="1039"/>
        <v/>
      </c>
      <c r="BJ213" s="17" t="str">
        <f t="shared" ca="1" si="1039"/>
        <v/>
      </c>
      <c r="BK213" s="17" t="str">
        <f t="shared" ca="1" si="1039"/>
        <v/>
      </c>
      <c r="BL213" s="17" t="str">
        <f t="shared" ca="1" si="1039"/>
        <v/>
      </c>
      <c r="BM213" s="17" t="str">
        <f t="shared" ca="1" si="1039"/>
        <v/>
      </c>
      <c r="BN213" s="17" t="str">
        <f t="shared" ca="1" si="1039"/>
        <v/>
      </c>
      <c r="BO213" s="17" t="str">
        <f t="shared" ca="1" si="1039"/>
        <v/>
      </c>
      <c r="BP213" s="17" t="str">
        <f t="shared" ca="1" si="1039"/>
        <v/>
      </c>
      <c r="BQ213" s="17" t="str">
        <f t="shared" ref="BQ213:CZ213" ca="1" si="1040">IF(BQ$13="","",+BQ193+BQ203+BQ211+BQ212)</f>
        <v/>
      </c>
      <c r="BR213" s="17" t="str">
        <f t="shared" ca="1" si="1040"/>
        <v/>
      </c>
      <c r="BS213" s="17" t="str">
        <f t="shared" ca="1" si="1040"/>
        <v/>
      </c>
      <c r="BT213" s="17" t="str">
        <f t="shared" ca="1" si="1040"/>
        <v/>
      </c>
      <c r="BU213" s="17" t="str">
        <f t="shared" ca="1" si="1040"/>
        <v/>
      </c>
      <c r="BV213" s="17" t="str">
        <f t="shared" ca="1" si="1040"/>
        <v/>
      </c>
      <c r="BW213" s="17" t="str">
        <f t="shared" ca="1" si="1040"/>
        <v/>
      </c>
      <c r="BX213" s="17" t="str">
        <f t="shared" ca="1" si="1040"/>
        <v/>
      </c>
      <c r="BY213" s="17" t="str">
        <f t="shared" ca="1" si="1040"/>
        <v/>
      </c>
      <c r="BZ213" s="17" t="str">
        <f t="shared" ca="1" si="1040"/>
        <v/>
      </c>
      <c r="CA213" s="17" t="str">
        <f t="shared" ca="1" si="1040"/>
        <v/>
      </c>
      <c r="CB213" s="17" t="str">
        <f t="shared" ca="1" si="1040"/>
        <v/>
      </c>
      <c r="CC213" s="17" t="str">
        <f t="shared" ca="1" si="1040"/>
        <v/>
      </c>
      <c r="CD213" s="17" t="str">
        <f t="shared" ca="1" si="1040"/>
        <v/>
      </c>
      <c r="CE213" s="17" t="str">
        <f t="shared" ca="1" si="1040"/>
        <v/>
      </c>
      <c r="CF213" s="17" t="str">
        <f t="shared" ca="1" si="1040"/>
        <v/>
      </c>
      <c r="CG213" s="17" t="str">
        <f t="shared" ca="1" si="1040"/>
        <v/>
      </c>
      <c r="CH213" s="17" t="str">
        <f t="shared" ca="1" si="1040"/>
        <v/>
      </c>
      <c r="CI213" s="17" t="str">
        <f t="shared" ca="1" si="1040"/>
        <v/>
      </c>
      <c r="CJ213" s="17" t="str">
        <f t="shared" ca="1" si="1040"/>
        <v/>
      </c>
      <c r="CK213" s="17" t="str">
        <f t="shared" ca="1" si="1040"/>
        <v/>
      </c>
      <c r="CL213" s="17" t="str">
        <f t="shared" ca="1" si="1040"/>
        <v/>
      </c>
      <c r="CM213" s="17" t="str">
        <f t="shared" ca="1" si="1040"/>
        <v/>
      </c>
      <c r="CN213" s="17" t="str">
        <f t="shared" ca="1" si="1040"/>
        <v/>
      </c>
      <c r="CO213" s="17" t="str">
        <f t="shared" ca="1" si="1040"/>
        <v/>
      </c>
      <c r="CP213" s="17" t="str">
        <f t="shared" ca="1" si="1040"/>
        <v/>
      </c>
      <c r="CQ213" s="17" t="str">
        <f t="shared" ca="1" si="1040"/>
        <v/>
      </c>
      <c r="CR213" s="17" t="str">
        <f t="shared" ca="1" si="1040"/>
        <v/>
      </c>
      <c r="CS213" s="17" t="str">
        <f t="shared" ca="1" si="1040"/>
        <v/>
      </c>
      <c r="CT213" s="17" t="str">
        <f t="shared" ca="1" si="1040"/>
        <v/>
      </c>
      <c r="CU213" s="17" t="str">
        <f t="shared" ca="1" si="1040"/>
        <v/>
      </c>
      <c r="CV213" s="17" t="str">
        <f t="shared" ca="1" si="1040"/>
        <v/>
      </c>
      <c r="CW213" s="17" t="str">
        <f t="shared" ca="1" si="1040"/>
        <v/>
      </c>
      <c r="CX213" s="17" t="str">
        <f t="shared" ca="1" si="1040"/>
        <v/>
      </c>
      <c r="CY213" s="17" t="str">
        <f t="shared" ca="1" si="1040"/>
        <v/>
      </c>
      <c r="CZ213" s="17" t="str">
        <f t="shared" ca="1" si="1040"/>
        <v/>
      </c>
    </row>
    <row r="214" spans="1:104" ht="13.5" customHeight="1">
      <c r="A214" s="27">
        <v>194</v>
      </c>
      <c r="B214" s="33">
        <f t="shared" si="1032"/>
        <v>214</v>
      </c>
      <c r="C214" s="9" t="s">
        <v>461</v>
      </c>
      <c r="D214" s="23">
        <f t="shared" ref="D214:AI214" ca="1" si="1041">IF(D$11="","",IF(D$13=$M$5,CHOOSE($Q$6+1,$M$1,E214+F214-G214),IF(D$13=$M$6,CHOOSE($Q$6+1,$M$1,OFFSET($A214,,$P$7-1)),IF(D$13=$M$7,CHOOSE($Q$6+1,$M$1,SUM(OFFSET($A$11,$B214-$O$5,$O$6,1,-$P$6))),IF(D$13=$M$8,CHOOSE($Q$6+1,$M$1,SUM(OFFSET($A$11,$B214-$O$5,$O$7,1,-$P$6))),IF(D$11&lt;$D$7,OFFSET(INDIRECT($D$3),$A214-1,$Q$3+D$11),OFFSET(INDIRECT($D$4),$A214-1,$Q$4+D$11)))))))</f>
        <v>11261</v>
      </c>
      <c r="E214" s="23">
        <f t="shared" ca="1" si="1041"/>
        <v>9815</v>
      </c>
      <c r="F214" s="23">
        <f t="shared" ca="1" si="1041"/>
        <v>11261</v>
      </c>
      <c r="G214" s="23">
        <f t="shared" ca="1" si="1041"/>
        <v>11261</v>
      </c>
      <c r="H214" s="23">
        <f t="shared" ca="1" si="1041"/>
        <v>11261</v>
      </c>
      <c r="I214" s="23">
        <f t="shared" ca="1" si="1041"/>
        <v>9815</v>
      </c>
      <c r="J214" s="23">
        <f t="shared" ca="1" si="1041"/>
        <v>9815</v>
      </c>
      <c r="K214" s="23">
        <f t="shared" ca="1" si="1041"/>
        <v>9815</v>
      </c>
      <c r="L214" s="23">
        <f t="shared" ca="1" si="1041"/>
        <v>9815</v>
      </c>
      <c r="M214" s="23">
        <f t="shared" ca="1" si="1041"/>
        <v>10746</v>
      </c>
      <c r="N214" s="23">
        <f t="shared" ca="1" si="1041"/>
        <v>10746</v>
      </c>
      <c r="O214" s="23">
        <f t="shared" ca="1" si="1041"/>
        <v>9815</v>
      </c>
      <c r="P214" s="23">
        <f t="shared" ca="1" si="1041"/>
        <v>10746</v>
      </c>
      <c r="Q214" s="23">
        <f t="shared" ca="1" si="1041"/>
        <v>9815</v>
      </c>
      <c r="R214" s="23" t="str">
        <f t="shared" ca="1" si="1041"/>
        <v/>
      </c>
      <c r="S214" s="23" t="str">
        <f t="shared" ca="1" si="1041"/>
        <v/>
      </c>
      <c r="T214" s="23" t="str">
        <f t="shared" ca="1" si="1041"/>
        <v/>
      </c>
      <c r="U214" s="23" t="str">
        <f t="shared" ca="1" si="1041"/>
        <v/>
      </c>
      <c r="V214" s="23" t="str">
        <f t="shared" ca="1" si="1041"/>
        <v/>
      </c>
      <c r="W214" s="23" t="str">
        <f t="shared" ca="1" si="1041"/>
        <v/>
      </c>
      <c r="X214" s="23" t="str">
        <f t="shared" ca="1" si="1041"/>
        <v/>
      </c>
      <c r="Y214" s="23" t="str">
        <f t="shared" ca="1" si="1041"/>
        <v/>
      </c>
      <c r="Z214" s="23" t="str">
        <f t="shared" ca="1" si="1041"/>
        <v/>
      </c>
      <c r="AA214" s="23" t="str">
        <f t="shared" ca="1" si="1041"/>
        <v/>
      </c>
      <c r="AB214" s="23" t="str">
        <f t="shared" ca="1" si="1041"/>
        <v/>
      </c>
      <c r="AC214" s="23" t="str">
        <f t="shared" ca="1" si="1041"/>
        <v/>
      </c>
      <c r="AD214" s="23" t="str">
        <f t="shared" ca="1" si="1041"/>
        <v/>
      </c>
      <c r="AE214" s="23" t="str">
        <f t="shared" ca="1" si="1041"/>
        <v/>
      </c>
      <c r="AF214" s="23" t="str">
        <f t="shared" ca="1" si="1041"/>
        <v/>
      </c>
      <c r="AG214" s="23" t="str">
        <f t="shared" ca="1" si="1041"/>
        <v/>
      </c>
      <c r="AH214" s="23" t="str">
        <f t="shared" ca="1" si="1041"/>
        <v/>
      </c>
      <c r="AI214" s="23" t="str">
        <f t="shared" ca="1" si="1041"/>
        <v/>
      </c>
      <c r="AJ214" s="23" t="str">
        <f t="shared" ref="AJ214:BO214" ca="1" si="1042">IF(AJ$11="","",IF(AJ$13=$M$5,CHOOSE($Q$6+1,$M$1,AK214+AL214-AM214),IF(AJ$13=$M$6,CHOOSE($Q$6+1,$M$1,OFFSET($A214,,$P$7-1)),IF(AJ$13=$M$7,CHOOSE($Q$6+1,$M$1,SUM(OFFSET($A$11,$B214-$O$5,$O$6,1,-$P$6))),IF(AJ$13=$M$8,CHOOSE($Q$6+1,$M$1,SUM(OFFSET($A$11,$B214-$O$5,$O$7,1,-$P$6))),IF(AJ$11&lt;$D$7,OFFSET(INDIRECT($D$3),$A214-1,$Q$3+AJ$11),OFFSET(INDIRECT($D$4),$A214-1,$Q$4+AJ$11)))))))</f>
        <v/>
      </c>
      <c r="AK214" s="23" t="str">
        <f t="shared" ca="1" si="1042"/>
        <v/>
      </c>
      <c r="AL214" s="23" t="str">
        <f t="shared" ca="1" si="1042"/>
        <v/>
      </c>
      <c r="AM214" s="23" t="str">
        <f t="shared" ca="1" si="1042"/>
        <v/>
      </c>
      <c r="AN214" s="23" t="str">
        <f t="shared" ca="1" si="1042"/>
        <v/>
      </c>
      <c r="AO214" s="23" t="str">
        <f t="shared" ca="1" si="1042"/>
        <v/>
      </c>
      <c r="AP214" s="23" t="str">
        <f t="shared" ca="1" si="1042"/>
        <v/>
      </c>
      <c r="AQ214" s="23" t="str">
        <f t="shared" ca="1" si="1042"/>
        <v/>
      </c>
      <c r="AR214" s="23" t="str">
        <f t="shared" ca="1" si="1042"/>
        <v/>
      </c>
      <c r="AS214" s="23" t="str">
        <f t="shared" ca="1" si="1042"/>
        <v/>
      </c>
      <c r="AT214" s="23" t="str">
        <f t="shared" ca="1" si="1042"/>
        <v/>
      </c>
      <c r="AU214" s="23" t="str">
        <f t="shared" ca="1" si="1042"/>
        <v/>
      </c>
      <c r="AV214" s="23" t="str">
        <f t="shared" ca="1" si="1042"/>
        <v/>
      </c>
      <c r="AW214" s="23" t="str">
        <f t="shared" ca="1" si="1042"/>
        <v/>
      </c>
      <c r="AX214" s="23" t="str">
        <f t="shared" ca="1" si="1042"/>
        <v/>
      </c>
      <c r="AY214" s="23" t="str">
        <f t="shared" ca="1" si="1042"/>
        <v/>
      </c>
      <c r="AZ214" s="23" t="str">
        <f t="shared" ca="1" si="1042"/>
        <v/>
      </c>
      <c r="BA214" s="23" t="str">
        <f t="shared" ca="1" si="1042"/>
        <v/>
      </c>
      <c r="BB214" s="23" t="str">
        <f t="shared" ca="1" si="1042"/>
        <v/>
      </c>
      <c r="BC214" s="23" t="str">
        <f t="shared" ca="1" si="1042"/>
        <v/>
      </c>
      <c r="BD214" s="23" t="str">
        <f t="shared" ca="1" si="1042"/>
        <v/>
      </c>
      <c r="BE214" s="23" t="str">
        <f t="shared" ca="1" si="1042"/>
        <v/>
      </c>
      <c r="BF214" s="23" t="str">
        <f t="shared" ca="1" si="1042"/>
        <v/>
      </c>
      <c r="BG214" s="23" t="str">
        <f t="shared" ca="1" si="1042"/>
        <v/>
      </c>
      <c r="BH214" s="23" t="str">
        <f t="shared" ca="1" si="1042"/>
        <v/>
      </c>
      <c r="BI214" s="23" t="str">
        <f t="shared" ca="1" si="1042"/>
        <v/>
      </c>
      <c r="BJ214" s="23" t="str">
        <f t="shared" ca="1" si="1042"/>
        <v/>
      </c>
      <c r="BK214" s="23" t="str">
        <f t="shared" ca="1" si="1042"/>
        <v/>
      </c>
      <c r="BL214" s="23" t="str">
        <f t="shared" ca="1" si="1042"/>
        <v/>
      </c>
      <c r="BM214" s="23" t="str">
        <f t="shared" ca="1" si="1042"/>
        <v/>
      </c>
      <c r="BN214" s="23" t="str">
        <f t="shared" ca="1" si="1042"/>
        <v/>
      </c>
      <c r="BO214" s="23" t="str">
        <f t="shared" ca="1" si="1042"/>
        <v/>
      </c>
      <c r="BP214" s="23" t="str">
        <f t="shared" ref="BP214:CU214" ca="1" si="1043">IF(BP$11="","",IF(BP$13=$M$5,CHOOSE($Q$6+1,$M$1,BQ214+BR214-BS214),IF(BP$13=$M$6,CHOOSE($Q$6+1,$M$1,OFFSET($A214,,$P$7-1)),IF(BP$13=$M$7,CHOOSE($Q$6+1,$M$1,SUM(OFFSET($A$11,$B214-$O$5,$O$6,1,-$P$6))),IF(BP$13=$M$8,CHOOSE($Q$6+1,$M$1,SUM(OFFSET($A$11,$B214-$O$5,$O$7,1,-$P$6))),IF(BP$11&lt;$D$7,OFFSET(INDIRECT($D$3),$A214-1,$Q$3+BP$11),OFFSET(INDIRECT($D$4),$A214-1,$Q$4+BP$11)))))))</f>
        <v/>
      </c>
      <c r="BQ214" s="23" t="str">
        <f t="shared" ca="1" si="1043"/>
        <v/>
      </c>
      <c r="BR214" s="23" t="str">
        <f t="shared" ca="1" si="1043"/>
        <v/>
      </c>
      <c r="BS214" s="23" t="str">
        <f t="shared" ca="1" si="1043"/>
        <v/>
      </c>
      <c r="BT214" s="23" t="str">
        <f t="shared" ca="1" si="1043"/>
        <v/>
      </c>
      <c r="BU214" s="23" t="str">
        <f t="shared" ca="1" si="1043"/>
        <v/>
      </c>
      <c r="BV214" s="23" t="str">
        <f t="shared" ca="1" si="1043"/>
        <v/>
      </c>
      <c r="BW214" s="23" t="str">
        <f t="shared" ca="1" si="1043"/>
        <v/>
      </c>
      <c r="BX214" s="23" t="str">
        <f t="shared" ca="1" si="1043"/>
        <v/>
      </c>
      <c r="BY214" s="23" t="str">
        <f t="shared" ca="1" si="1043"/>
        <v/>
      </c>
      <c r="BZ214" s="23" t="str">
        <f t="shared" ca="1" si="1043"/>
        <v/>
      </c>
      <c r="CA214" s="23" t="str">
        <f t="shared" ca="1" si="1043"/>
        <v/>
      </c>
      <c r="CB214" s="23" t="str">
        <f t="shared" ca="1" si="1043"/>
        <v/>
      </c>
      <c r="CC214" s="23" t="str">
        <f t="shared" ca="1" si="1043"/>
        <v/>
      </c>
      <c r="CD214" s="23" t="str">
        <f t="shared" ca="1" si="1043"/>
        <v/>
      </c>
      <c r="CE214" s="23" t="str">
        <f t="shared" ca="1" si="1043"/>
        <v/>
      </c>
      <c r="CF214" s="23" t="str">
        <f t="shared" ca="1" si="1043"/>
        <v/>
      </c>
      <c r="CG214" s="23" t="str">
        <f t="shared" ca="1" si="1043"/>
        <v/>
      </c>
      <c r="CH214" s="23" t="str">
        <f t="shared" ca="1" si="1043"/>
        <v/>
      </c>
      <c r="CI214" s="23" t="str">
        <f t="shared" ca="1" si="1043"/>
        <v/>
      </c>
      <c r="CJ214" s="23" t="str">
        <f t="shared" ca="1" si="1043"/>
        <v/>
      </c>
      <c r="CK214" s="23" t="str">
        <f t="shared" ca="1" si="1043"/>
        <v/>
      </c>
      <c r="CL214" s="23" t="str">
        <f t="shared" ca="1" si="1043"/>
        <v/>
      </c>
      <c r="CM214" s="23" t="str">
        <f t="shared" ca="1" si="1043"/>
        <v/>
      </c>
      <c r="CN214" s="23" t="str">
        <f t="shared" ca="1" si="1043"/>
        <v/>
      </c>
      <c r="CO214" s="23" t="str">
        <f t="shared" ca="1" si="1043"/>
        <v/>
      </c>
      <c r="CP214" s="23" t="str">
        <f t="shared" ca="1" si="1043"/>
        <v/>
      </c>
      <c r="CQ214" s="23" t="str">
        <f t="shared" ca="1" si="1043"/>
        <v/>
      </c>
      <c r="CR214" s="23" t="str">
        <f t="shared" ca="1" si="1043"/>
        <v/>
      </c>
      <c r="CS214" s="23" t="str">
        <f t="shared" ca="1" si="1043"/>
        <v/>
      </c>
      <c r="CT214" s="23" t="str">
        <f t="shared" ca="1" si="1043"/>
        <v/>
      </c>
      <c r="CU214" s="23" t="str">
        <f t="shared" ca="1" si="1043"/>
        <v/>
      </c>
      <c r="CV214" s="23" t="str">
        <f t="shared" ref="CV214:CW214" ca="1" si="1044">IF(CV$11="","",IF(CV$13=$M$5,CHOOSE($Q$6+1,$M$1,CW214+CX214-CY214),IF(CV$13=$M$6,CHOOSE($Q$6+1,$M$1,OFFSET($A214,,$P$7-1)),IF(CV$13=$M$7,CHOOSE($Q$6+1,$M$1,SUM(OFFSET($A$11,$B214-$O$5,$O$6,1,-$P$6))),IF(CV$13=$M$8,CHOOSE($Q$6+1,$M$1,SUM(OFFSET($A$11,$B214-$O$5,$O$7,1,-$P$6))),IF(CV$11&lt;$D$7,OFFSET(INDIRECT($D$3),$A214-1,$Q$3+CV$11),OFFSET(INDIRECT($D$4),$A214-1,$Q$4+CV$11)))))))</f>
        <v/>
      </c>
      <c r="CW214" s="23" t="str">
        <f t="shared" ca="1" si="1044"/>
        <v/>
      </c>
      <c r="CX214" s="23" t="str">
        <f ca="1">IF(CX$11="","",IF(CX$13=$M$5,CHOOSE($Q$6+1,$M$1,CY214+CZ214-#REF!),IF(CX$13=$M$6,CHOOSE($Q$6+1,$M$1,OFFSET($A214,,$P$7-1)),IF(CX$13=$M$7,CHOOSE($Q$6+1,$M$1,SUM(OFFSET($A$11,$B214-$O$5,$O$6,1,-$P$6))),IF(CX$13=$M$8,CHOOSE($Q$6+1,$M$1,SUM(OFFSET($A$11,$B214-$O$5,$O$7,1,-$P$6))),IF(CX$11&lt;$D$7,OFFSET(INDIRECT($D$3),$A214-1,$Q$3+CX$11),OFFSET(INDIRECT($D$4),$A214-1,$Q$4+CX$11)))))))</f>
        <v/>
      </c>
      <c r="CY214" s="23" t="str">
        <f ca="1">IF(CY$11="","",IF(CY$13=$M$5,CHOOSE($Q$6+1,$M$1,CZ214+#REF!-#REF!),IF(CY$13=$M$6,CHOOSE($Q$6+1,$M$1,OFFSET($A214,,$P$7-1)),IF(CY$13=$M$7,CHOOSE($Q$6+1,$M$1,SUM(OFFSET($A$11,$B214-$O$5,$O$6,1,-$P$6))),IF(CY$13=$M$8,CHOOSE($Q$6+1,$M$1,SUM(OFFSET($A$11,$B214-$O$5,$O$7,1,-$P$6))),IF(CY$11&lt;$D$7,OFFSET(INDIRECT($D$3),$A214-1,$Q$3+CY$11),OFFSET(INDIRECT($D$4),$A214-1,$Q$4+CY$11)))))))</f>
        <v/>
      </c>
      <c r="CZ214" s="23" t="str">
        <f ca="1">IF(CZ$11="","",IF(CZ$13=$M$5,CHOOSE($Q$6+1,$M$1,#REF!+#REF!-#REF!),IF(CZ$13=$M$6,CHOOSE($Q$6+1,$M$1,OFFSET($A214,,$P$7-1)),IF(CZ$13=$M$7,CHOOSE($Q$6+1,$M$1,SUM(OFFSET($A$11,$B214-$O$5,$O$6,1,-$P$6))),IF(CZ$13=$M$8,CHOOSE($Q$6+1,$M$1,SUM(OFFSET($A$11,$B214-$O$5,$O$7,1,-$P$6))),IF(CZ$11&lt;$D$7,OFFSET(INDIRECT($D$3),$A214-1,$Q$3+CZ$11),OFFSET(INDIRECT($D$4),$A214-1,$Q$4+CZ$11)))))))</f>
        <v/>
      </c>
    </row>
    <row r="215" spans="1:104" ht="13.5" customHeight="1">
      <c r="A215" s="28">
        <v>195</v>
      </c>
      <c r="B215" s="33">
        <f t="shared" si="1032"/>
        <v>215</v>
      </c>
      <c r="C215" s="9" t="s">
        <v>462</v>
      </c>
      <c r="D215" s="34">
        <f ca="1">IF(D$13="","",+D213+D214)</f>
        <v>9815</v>
      </c>
      <c r="E215" s="34">
        <f t="shared" ref="E215:BP215" ca="1" si="1045">IF(E$13="","",+E213+E214)</f>
        <v>10746</v>
      </c>
      <c r="F215" s="34">
        <f t="shared" ca="1" si="1045"/>
        <v>15978</v>
      </c>
      <c r="G215" s="34">
        <f t="shared" ca="1" si="1045"/>
        <v>12091</v>
      </c>
      <c r="H215" s="34">
        <f t="shared" ca="1" si="1045"/>
        <v>9815</v>
      </c>
      <c r="I215" s="34">
        <f t="shared" ca="1" si="1045"/>
        <v>10310</v>
      </c>
      <c r="J215" s="34">
        <f t="shared" ca="1" si="1045"/>
        <v>10121</v>
      </c>
      <c r="K215" s="34">
        <f t="shared" ca="1" si="1045"/>
        <v>7945</v>
      </c>
      <c r="L215" s="34">
        <f t="shared" ca="1" si="1045"/>
        <v>10746</v>
      </c>
      <c r="M215" s="34">
        <f t="shared" ca="1" si="1045"/>
        <v>16154</v>
      </c>
      <c r="N215" s="34">
        <f t="shared" ca="1" si="1045"/>
        <v>16590</v>
      </c>
      <c r="O215" s="34">
        <f t="shared" ca="1" si="1045"/>
        <v>10746</v>
      </c>
      <c r="P215" s="34">
        <f t="shared" ca="1" si="1045"/>
        <v>16154</v>
      </c>
      <c r="Q215" s="34">
        <f t="shared" ca="1" si="1045"/>
        <v>10310</v>
      </c>
      <c r="R215" s="34" t="str">
        <f t="shared" ca="1" si="1045"/>
        <v/>
      </c>
      <c r="S215" s="34" t="str">
        <f t="shared" ca="1" si="1045"/>
        <v/>
      </c>
      <c r="T215" s="34" t="str">
        <f t="shared" ca="1" si="1045"/>
        <v/>
      </c>
      <c r="U215" s="34" t="str">
        <f t="shared" ca="1" si="1045"/>
        <v/>
      </c>
      <c r="V215" s="34" t="str">
        <f t="shared" ca="1" si="1045"/>
        <v/>
      </c>
      <c r="W215" s="34" t="str">
        <f t="shared" ca="1" si="1045"/>
        <v/>
      </c>
      <c r="X215" s="34" t="str">
        <f t="shared" ca="1" si="1045"/>
        <v/>
      </c>
      <c r="Y215" s="34" t="str">
        <f t="shared" ca="1" si="1045"/>
        <v/>
      </c>
      <c r="Z215" s="34" t="str">
        <f t="shared" ca="1" si="1045"/>
        <v/>
      </c>
      <c r="AA215" s="34" t="str">
        <f t="shared" ca="1" si="1045"/>
        <v/>
      </c>
      <c r="AB215" s="34" t="str">
        <f t="shared" ca="1" si="1045"/>
        <v/>
      </c>
      <c r="AC215" s="34" t="str">
        <f t="shared" ca="1" si="1045"/>
        <v/>
      </c>
      <c r="AD215" s="34" t="str">
        <f t="shared" ca="1" si="1045"/>
        <v/>
      </c>
      <c r="AE215" s="34" t="str">
        <f t="shared" ca="1" si="1045"/>
        <v/>
      </c>
      <c r="AF215" s="34" t="str">
        <f t="shared" ca="1" si="1045"/>
        <v/>
      </c>
      <c r="AG215" s="17" t="str">
        <f t="shared" ca="1" si="1045"/>
        <v/>
      </c>
      <c r="AH215" s="17" t="str">
        <f t="shared" ca="1" si="1045"/>
        <v/>
      </c>
      <c r="AI215" s="17" t="str">
        <f t="shared" ca="1" si="1045"/>
        <v/>
      </c>
      <c r="AJ215" s="17" t="str">
        <f t="shared" ca="1" si="1045"/>
        <v/>
      </c>
      <c r="AK215" s="17" t="str">
        <f t="shared" ca="1" si="1045"/>
        <v/>
      </c>
      <c r="AL215" s="17" t="str">
        <f t="shared" ca="1" si="1045"/>
        <v/>
      </c>
      <c r="AM215" s="17" t="str">
        <f t="shared" ca="1" si="1045"/>
        <v/>
      </c>
      <c r="AN215" s="17" t="str">
        <f t="shared" ca="1" si="1045"/>
        <v/>
      </c>
      <c r="AO215" s="17" t="str">
        <f t="shared" ca="1" si="1045"/>
        <v/>
      </c>
      <c r="AP215" s="17" t="str">
        <f t="shared" ca="1" si="1045"/>
        <v/>
      </c>
      <c r="AQ215" s="17" t="str">
        <f t="shared" ca="1" si="1045"/>
        <v/>
      </c>
      <c r="AR215" s="17" t="str">
        <f t="shared" ca="1" si="1045"/>
        <v/>
      </c>
      <c r="AS215" s="17" t="str">
        <f t="shared" ca="1" si="1045"/>
        <v/>
      </c>
      <c r="AT215" s="17" t="str">
        <f t="shared" ca="1" si="1045"/>
        <v/>
      </c>
      <c r="AU215" s="17" t="str">
        <f t="shared" ca="1" si="1045"/>
        <v/>
      </c>
      <c r="AV215" s="17" t="str">
        <f t="shared" ca="1" si="1045"/>
        <v/>
      </c>
      <c r="AW215" s="17" t="str">
        <f t="shared" ca="1" si="1045"/>
        <v/>
      </c>
      <c r="AX215" s="17" t="str">
        <f t="shared" ca="1" si="1045"/>
        <v/>
      </c>
      <c r="AY215" s="17" t="str">
        <f t="shared" ca="1" si="1045"/>
        <v/>
      </c>
      <c r="AZ215" s="17" t="str">
        <f t="shared" ca="1" si="1045"/>
        <v/>
      </c>
      <c r="BA215" s="17" t="str">
        <f t="shared" ca="1" si="1045"/>
        <v/>
      </c>
      <c r="BB215" s="17" t="str">
        <f t="shared" ca="1" si="1045"/>
        <v/>
      </c>
      <c r="BC215" s="17" t="str">
        <f t="shared" ca="1" si="1045"/>
        <v/>
      </c>
      <c r="BD215" s="17" t="str">
        <f t="shared" ca="1" si="1045"/>
        <v/>
      </c>
      <c r="BE215" s="17" t="str">
        <f t="shared" ca="1" si="1045"/>
        <v/>
      </c>
      <c r="BF215" s="17" t="str">
        <f t="shared" ca="1" si="1045"/>
        <v/>
      </c>
      <c r="BG215" s="17" t="str">
        <f t="shared" ca="1" si="1045"/>
        <v/>
      </c>
      <c r="BH215" s="17" t="str">
        <f t="shared" ca="1" si="1045"/>
        <v/>
      </c>
      <c r="BI215" s="17" t="str">
        <f t="shared" ca="1" si="1045"/>
        <v/>
      </c>
      <c r="BJ215" s="17" t="str">
        <f t="shared" ca="1" si="1045"/>
        <v/>
      </c>
      <c r="BK215" s="17" t="str">
        <f t="shared" ca="1" si="1045"/>
        <v/>
      </c>
      <c r="BL215" s="17" t="str">
        <f t="shared" ca="1" si="1045"/>
        <v/>
      </c>
      <c r="BM215" s="17" t="str">
        <f t="shared" ca="1" si="1045"/>
        <v/>
      </c>
      <c r="BN215" s="17" t="str">
        <f t="shared" ca="1" si="1045"/>
        <v/>
      </c>
      <c r="BO215" s="17" t="str">
        <f t="shared" ca="1" si="1045"/>
        <v/>
      </c>
      <c r="BP215" s="17" t="str">
        <f t="shared" ca="1" si="1045"/>
        <v/>
      </c>
      <c r="BQ215" s="17" t="str">
        <f t="shared" ref="BQ215:CZ215" ca="1" si="1046">IF(BQ$13="","",+BQ213+BQ214)</f>
        <v/>
      </c>
      <c r="BR215" s="17" t="str">
        <f t="shared" ca="1" si="1046"/>
        <v/>
      </c>
      <c r="BS215" s="17" t="str">
        <f t="shared" ca="1" si="1046"/>
        <v/>
      </c>
      <c r="BT215" s="17" t="str">
        <f t="shared" ca="1" si="1046"/>
        <v/>
      </c>
      <c r="BU215" s="17" t="str">
        <f t="shared" ca="1" si="1046"/>
        <v/>
      </c>
      <c r="BV215" s="17" t="str">
        <f t="shared" ca="1" si="1046"/>
        <v/>
      </c>
      <c r="BW215" s="17" t="str">
        <f t="shared" ca="1" si="1046"/>
        <v/>
      </c>
      <c r="BX215" s="17" t="str">
        <f t="shared" ca="1" si="1046"/>
        <v/>
      </c>
      <c r="BY215" s="17" t="str">
        <f t="shared" ca="1" si="1046"/>
        <v/>
      </c>
      <c r="BZ215" s="17" t="str">
        <f t="shared" ca="1" si="1046"/>
        <v/>
      </c>
      <c r="CA215" s="17" t="str">
        <f t="shared" ca="1" si="1046"/>
        <v/>
      </c>
      <c r="CB215" s="17" t="str">
        <f t="shared" ca="1" si="1046"/>
        <v/>
      </c>
      <c r="CC215" s="17" t="str">
        <f t="shared" ca="1" si="1046"/>
        <v/>
      </c>
      <c r="CD215" s="17" t="str">
        <f t="shared" ca="1" si="1046"/>
        <v/>
      </c>
      <c r="CE215" s="17" t="str">
        <f t="shared" ca="1" si="1046"/>
        <v/>
      </c>
      <c r="CF215" s="17" t="str">
        <f t="shared" ca="1" si="1046"/>
        <v/>
      </c>
      <c r="CG215" s="17" t="str">
        <f t="shared" ca="1" si="1046"/>
        <v/>
      </c>
      <c r="CH215" s="17" t="str">
        <f t="shared" ca="1" si="1046"/>
        <v/>
      </c>
      <c r="CI215" s="17" t="str">
        <f t="shared" ca="1" si="1046"/>
        <v/>
      </c>
      <c r="CJ215" s="17" t="str">
        <f t="shared" ca="1" si="1046"/>
        <v/>
      </c>
      <c r="CK215" s="17" t="str">
        <f t="shared" ca="1" si="1046"/>
        <v/>
      </c>
      <c r="CL215" s="17" t="str">
        <f t="shared" ca="1" si="1046"/>
        <v/>
      </c>
      <c r="CM215" s="17" t="str">
        <f t="shared" ca="1" si="1046"/>
        <v/>
      </c>
      <c r="CN215" s="17" t="str">
        <f t="shared" ca="1" si="1046"/>
        <v/>
      </c>
      <c r="CO215" s="17" t="str">
        <f t="shared" ca="1" si="1046"/>
        <v/>
      </c>
      <c r="CP215" s="17" t="str">
        <f t="shared" ca="1" si="1046"/>
        <v/>
      </c>
      <c r="CQ215" s="17" t="str">
        <f t="shared" ca="1" si="1046"/>
        <v/>
      </c>
      <c r="CR215" s="17" t="str">
        <f t="shared" ca="1" si="1046"/>
        <v/>
      </c>
      <c r="CS215" s="17" t="str">
        <f t="shared" ca="1" si="1046"/>
        <v/>
      </c>
      <c r="CT215" s="17" t="str">
        <f t="shared" ca="1" si="1046"/>
        <v/>
      </c>
      <c r="CU215" s="17" t="str">
        <f t="shared" ca="1" si="1046"/>
        <v/>
      </c>
      <c r="CV215" s="17" t="str">
        <f t="shared" ca="1" si="1046"/>
        <v/>
      </c>
      <c r="CW215" s="17" t="str">
        <f t="shared" ca="1" si="1046"/>
        <v/>
      </c>
      <c r="CX215" s="17" t="str">
        <f t="shared" ca="1" si="1046"/>
        <v/>
      </c>
      <c r="CY215" s="17" t="str">
        <f t="shared" ca="1" si="1046"/>
        <v/>
      </c>
      <c r="CZ215" s="17" t="str">
        <f t="shared" ca="1" si="1046"/>
        <v/>
      </c>
    </row>
    <row r="216" spans="1:104" ht="13.5" customHeight="1">
      <c r="A216" s="27"/>
      <c r="B216" s="33">
        <f t="shared" si="1032"/>
        <v>216</v>
      </c>
      <c r="C216" s="11"/>
      <c r="D216" s="37"/>
      <c r="E216" s="37"/>
      <c r="F216" s="37"/>
      <c r="G216" s="37"/>
      <c r="H216" s="37"/>
      <c r="I216" s="37"/>
      <c r="J216" s="37"/>
      <c r="K216" s="37"/>
      <c r="L216" s="37"/>
      <c r="M216" s="37"/>
      <c r="N216" s="37"/>
      <c r="O216" s="37"/>
      <c r="P216" s="37"/>
      <c r="Q216" s="37"/>
      <c r="R216" s="37"/>
      <c r="S216" s="37"/>
      <c r="T216" s="37"/>
      <c r="U216" s="37"/>
      <c r="V216" s="37"/>
      <c r="W216" s="37"/>
      <c r="X216" s="37"/>
      <c r="Y216" s="37"/>
      <c r="Z216" s="37"/>
      <c r="AA216" s="37"/>
      <c r="AB216" s="37"/>
      <c r="AC216" s="37"/>
      <c r="AD216" s="37"/>
      <c r="AE216" s="37"/>
      <c r="AF216" s="37"/>
      <c r="AG216" s="16"/>
      <c r="AH216" s="16"/>
      <c r="AI216" s="16"/>
      <c r="AJ216" s="16"/>
      <c r="AK216" s="16"/>
      <c r="AL216" s="16"/>
      <c r="AM216" s="16"/>
      <c r="AN216" s="16"/>
      <c r="AO216" s="16"/>
      <c r="AP216" s="16"/>
      <c r="AQ216" s="16"/>
      <c r="AR216" s="16"/>
      <c r="AS216" s="16"/>
      <c r="AT216" s="16"/>
      <c r="AU216" s="16"/>
      <c r="AV216" s="16"/>
      <c r="AW216" s="16"/>
      <c r="AX216" s="16"/>
      <c r="AY216" s="16"/>
      <c r="AZ216" s="16"/>
      <c r="BA216" s="16"/>
      <c r="BB216" s="16"/>
      <c r="BC216" s="16"/>
      <c r="BD216" s="16"/>
      <c r="BE216" s="16"/>
      <c r="BF216" s="16"/>
      <c r="BG216" s="16"/>
      <c r="BH216" s="16"/>
      <c r="BI216" s="16"/>
      <c r="BJ216" s="16"/>
      <c r="BK216" s="16"/>
      <c r="BL216" s="16"/>
      <c r="BM216" s="16"/>
      <c r="BN216" s="16"/>
      <c r="BO216" s="16"/>
      <c r="BP216" s="16"/>
      <c r="BQ216" s="16"/>
      <c r="BR216" s="16"/>
      <c r="BS216" s="16"/>
      <c r="BT216" s="16"/>
      <c r="BU216" s="16"/>
      <c r="BV216" s="16"/>
      <c r="BW216" s="16"/>
      <c r="BX216" s="16"/>
      <c r="BY216" s="16"/>
      <c r="BZ216" s="16"/>
      <c r="CA216" s="16"/>
      <c r="CB216" s="16"/>
      <c r="CC216" s="16"/>
      <c r="CD216" s="16"/>
      <c r="CE216" s="16"/>
      <c r="CF216" s="16"/>
      <c r="CG216" s="16"/>
      <c r="CH216" s="16"/>
      <c r="CI216" s="16"/>
      <c r="CJ216" s="16"/>
      <c r="CK216" s="16"/>
      <c r="CL216" s="16"/>
      <c r="CM216" s="16"/>
      <c r="CN216" s="16"/>
      <c r="CO216" s="16"/>
      <c r="CP216" s="16"/>
      <c r="CQ216" s="16"/>
      <c r="CR216" s="16"/>
      <c r="CS216" s="16"/>
      <c r="CT216" s="16"/>
      <c r="CU216" s="16"/>
      <c r="CV216" s="16"/>
      <c r="CW216" s="16"/>
      <c r="CX216" s="16"/>
      <c r="CY216" s="16"/>
      <c r="CZ216" s="16"/>
    </row>
    <row r="217" spans="1:104" s="13" customFormat="1" ht="13.5" customHeight="1">
      <c r="A217" s="38"/>
      <c r="B217" s="33">
        <f t="shared" si="1032"/>
        <v>217</v>
      </c>
      <c r="C217" s="45">
        <v>1</v>
      </c>
      <c r="D217" s="40" t="str">
        <f t="shared" ref="D217:AI217" ca="1" si="1047">IF(D$173="","",IF(OR(D$13=$M$5,D$13=$M$6,D$13=$M$7,D$13=$M$8),"",IF(ABS(D$215-D$93)&lt;=$C$217,$M$3,$M$9)))</f>
        <v>Balance</v>
      </c>
      <c r="E217" s="40" t="str">
        <f t="shared" ca="1" si="1047"/>
        <v>Balance</v>
      </c>
      <c r="F217" s="40" t="str">
        <f t="shared" ca="1" si="1047"/>
        <v>Balance</v>
      </c>
      <c r="G217" s="40" t="str">
        <f t="shared" ca="1" si="1047"/>
        <v>Balance</v>
      </c>
      <c r="H217" s="40" t="str">
        <f t="shared" ca="1" si="1047"/>
        <v>Balance</v>
      </c>
      <c r="I217" s="40" t="str">
        <f t="shared" ca="1" si="1047"/>
        <v>Balance</v>
      </c>
      <c r="J217" s="40" t="str">
        <f t="shared" ca="1" si="1047"/>
        <v>Balance</v>
      </c>
      <c r="K217" s="40" t="str">
        <f t="shared" ca="1" si="1047"/>
        <v>Balance</v>
      </c>
      <c r="L217" s="40" t="str">
        <f t="shared" ca="1" si="1047"/>
        <v>Balance</v>
      </c>
      <c r="M217" s="40" t="str">
        <f t="shared" ca="1" si="1047"/>
        <v>Balance</v>
      </c>
      <c r="N217" s="40" t="str">
        <f t="shared" ca="1" si="1047"/>
        <v/>
      </c>
      <c r="O217" s="40" t="str">
        <f t="shared" ca="1" si="1047"/>
        <v/>
      </c>
      <c r="P217" s="40" t="str">
        <f t="shared" ca="1" si="1047"/>
        <v/>
      </c>
      <c r="Q217" s="40" t="str">
        <f t="shared" ca="1" si="1047"/>
        <v/>
      </c>
      <c r="R217" s="40" t="str">
        <f t="shared" si="1047"/>
        <v/>
      </c>
      <c r="S217" s="40" t="str">
        <f t="shared" si="1047"/>
        <v/>
      </c>
      <c r="T217" s="40" t="str">
        <f t="shared" si="1047"/>
        <v/>
      </c>
      <c r="U217" s="40" t="str">
        <f t="shared" si="1047"/>
        <v/>
      </c>
      <c r="V217" s="40" t="str">
        <f t="shared" si="1047"/>
        <v/>
      </c>
      <c r="W217" s="40" t="str">
        <f t="shared" si="1047"/>
        <v/>
      </c>
      <c r="X217" s="40" t="str">
        <f t="shared" si="1047"/>
        <v/>
      </c>
      <c r="Y217" s="40" t="str">
        <f t="shared" si="1047"/>
        <v/>
      </c>
      <c r="Z217" s="40" t="str">
        <f t="shared" si="1047"/>
        <v/>
      </c>
      <c r="AA217" s="40" t="str">
        <f t="shared" si="1047"/>
        <v/>
      </c>
      <c r="AB217" s="40" t="str">
        <f t="shared" si="1047"/>
        <v/>
      </c>
      <c r="AC217" s="40" t="str">
        <f t="shared" si="1047"/>
        <v/>
      </c>
      <c r="AD217" s="40" t="str">
        <f t="shared" si="1047"/>
        <v/>
      </c>
      <c r="AE217" s="40" t="str">
        <f t="shared" si="1047"/>
        <v/>
      </c>
      <c r="AF217" s="40" t="str">
        <f t="shared" si="1047"/>
        <v/>
      </c>
      <c r="AG217" s="40" t="str">
        <f t="shared" si="1047"/>
        <v/>
      </c>
      <c r="AH217" s="15" t="str">
        <f t="shared" si="1047"/>
        <v/>
      </c>
      <c r="AI217" s="15" t="str">
        <f t="shared" si="1047"/>
        <v/>
      </c>
      <c r="AJ217" s="15" t="str">
        <f t="shared" ref="AJ217:BO217" si="1048">IF(AJ$173="","",IF(OR(AJ$13=$M$5,AJ$13=$M$6,AJ$13=$M$7,AJ$13=$M$8),"",IF(ABS(AJ$215-AJ$93)&lt;=$C$217,$M$3,$M$9)))</f>
        <v/>
      </c>
      <c r="AK217" s="15" t="str">
        <f t="shared" si="1048"/>
        <v/>
      </c>
      <c r="AL217" s="15" t="str">
        <f t="shared" si="1048"/>
        <v/>
      </c>
      <c r="AM217" s="15" t="str">
        <f t="shared" si="1048"/>
        <v/>
      </c>
      <c r="AN217" s="15" t="str">
        <f t="shared" si="1048"/>
        <v/>
      </c>
      <c r="AO217" s="15" t="str">
        <f t="shared" si="1048"/>
        <v/>
      </c>
      <c r="AP217" s="15" t="str">
        <f t="shared" si="1048"/>
        <v/>
      </c>
      <c r="AQ217" s="15" t="str">
        <f t="shared" si="1048"/>
        <v/>
      </c>
      <c r="AR217" s="15" t="str">
        <f t="shared" si="1048"/>
        <v/>
      </c>
      <c r="AS217" s="15" t="str">
        <f t="shared" si="1048"/>
        <v/>
      </c>
      <c r="AT217" s="15" t="str">
        <f t="shared" si="1048"/>
        <v/>
      </c>
      <c r="AU217" s="15" t="str">
        <f t="shared" si="1048"/>
        <v/>
      </c>
      <c r="AV217" s="15" t="str">
        <f t="shared" si="1048"/>
        <v/>
      </c>
      <c r="AW217" s="15" t="str">
        <f t="shared" si="1048"/>
        <v/>
      </c>
      <c r="AX217" s="15" t="str">
        <f t="shared" si="1048"/>
        <v/>
      </c>
      <c r="AY217" s="15" t="str">
        <f t="shared" si="1048"/>
        <v/>
      </c>
      <c r="AZ217" s="15" t="str">
        <f t="shared" si="1048"/>
        <v/>
      </c>
      <c r="BA217" s="15" t="str">
        <f t="shared" si="1048"/>
        <v/>
      </c>
      <c r="BB217" s="15" t="str">
        <f t="shared" si="1048"/>
        <v/>
      </c>
      <c r="BC217" s="15" t="str">
        <f t="shared" si="1048"/>
        <v/>
      </c>
      <c r="BD217" s="15" t="str">
        <f t="shared" si="1048"/>
        <v/>
      </c>
      <c r="BE217" s="15" t="str">
        <f t="shared" si="1048"/>
        <v/>
      </c>
      <c r="BF217" s="15" t="str">
        <f t="shared" si="1048"/>
        <v/>
      </c>
      <c r="BG217" s="15" t="str">
        <f t="shared" si="1048"/>
        <v/>
      </c>
      <c r="BH217" s="15" t="str">
        <f t="shared" si="1048"/>
        <v/>
      </c>
      <c r="BI217" s="15" t="str">
        <f t="shared" si="1048"/>
        <v/>
      </c>
      <c r="BJ217" s="15" t="str">
        <f t="shared" si="1048"/>
        <v/>
      </c>
      <c r="BK217" s="15" t="str">
        <f t="shared" si="1048"/>
        <v/>
      </c>
      <c r="BL217" s="15" t="str">
        <f t="shared" si="1048"/>
        <v/>
      </c>
      <c r="BM217" s="15" t="str">
        <f t="shared" si="1048"/>
        <v/>
      </c>
      <c r="BN217" s="15" t="str">
        <f t="shared" si="1048"/>
        <v/>
      </c>
      <c r="BO217" s="15" t="str">
        <f t="shared" si="1048"/>
        <v/>
      </c>
      <c r="BP217" s="15" t="str">
        <f t="shared" ref="BP217:CZ217" si="1049">IF(BP$173="","",IF(OR(BP$13=$M$5,BP$13=$M$6,BP$13=$M$7,BP$13=$M$8),"",IF(ABS(BP$215-BP$93)&lt;=$C$217,$M$3,$M$9)))</f>
        <v/>
      </c>
      <c r="BQ217" s="15" t="str">
        <f t="shared" si="1049"/>
        <v/>
      </c>
      <c r="BR217" s="15" t="str">
        <f t="shared" si="1049"/>
        <v/>
      </c>
      <c r="BS217" s="15" t="str">
        <f t="shared" si="1049"/>
        <v/>
      </c>
      <c r="BT217" s="15" t="str">
        <f t="shared" si="1049"/>
        <v/>
      </c>
      <c r="BU217" s="15" t="str">
        <f t="shared" si="1049"/>
        <v/>
      </c>
      <c r="BV217" s="15" t="str">
        <f t="shared" si="1049"/>
        <v/>
      </c>
      <c r="BW217" s="15" t="str">
        <f t="shared" si="1049"/>
        <v/>
      </c>
      <c r="BX217" s="15" t="str">
        <f t="shared" si="1049"/>
        <v/>
      </c>
      <c r="BY217" s="15" t="str">
        <f t="shared" si="1049"/>
        <v/>
      </c>
      <c r="BZ217" s="15" t="str">
        <f t="shared" si="1049"/>
        <v/>
      </c>
      <c r="CA217" s="15" t="str">
        <f t="shared" si="1049"/>
        <v/>
      </c>
      <c r="CB217" s="15" t="str">
        <f t="shared" si="1049"/>
        <v/>
      </c>
      <c r="CC217" s="15" t="str">
        <f t="shared" si="1049"/>
        <v/>
      </c>
      <c r="CD217" s="15" t="str">
        <f t="shared" si="1049"/>
        <v/>
      </c>
      <c r="CE217" s="15" t="str">
        <f t="shared" si="1049"/>
        <v/>
      </c>
      <c r="CF217" s="15" t="str">
        <f t="shared" si="1049"/>
        <v/>
      </c>
      <c r="CG217" s="15" t="str">
        <f t="shared" si="1049"/>
        <v/>
      </c>
      <c r="CH217" s="15" t="str">
        <f t="shared" si="1049"/>
        <v/>
      </c>
      <c r="CI217" s="15" t="str">
        <f t="shared" si="1049"/>
        <v/>
      </c>
      <c r="CJ217" s="15" t="str">
        <f t="shared" si="1049"/>
        <v/>
      </c>
      <c r="CK217" s="15" t="str">
        <f t="shared" si="1049"/>
        <v/>
      </c>
      <c r="CL217" s="15" t="str">
        <f t="shared" si="1049"/>
        <v/>
      </c>
      <c r="CM217" s="15" t="str">
        <f t="shared" si="1049"/>
        <v/>
      </c>
      <c r="CN217" s="15" t="str">
        <f t="shared" si="1049"/>
        <v/>
      </c>
      <c r="CO217" s="15" t="str">
        <f t="shared" si="1049"/>
        <v/>
      </c>
      <c r="CP217" s="15" t="str">
        <f t="shared" si="1049"/>
        <v/>
      </c>
      <c r="CQ217" s="15" t="str">
        <f t="shared" si="1049"/>
        <v/>
      </c>
      <c r="CR217" s="15" t="str">
        <f t="shared" si="1049"/>
        <v/>
      </c>
      <c r="CS217" s="15" t="str">
        <f t="shared" si="1049"/>
        <v/>
      </c>
      <c r="CT217" s="15" t="str">
        <f t="shared" si="1049"/>
        <v/>
      </c>
      <c r="CU217" s="15" t="str">
        <f t="shared" si="1049"/>
        <v/>
      </c>
      <c r="CV217" s="15" t="str">
        <f t="shared" si="1049"/>
        <v/>
      </c>
      <c r="CW217" s="15" t="str">
        <f t="shared" si="1049"/>
        <v/>
      </c>
      <c r="CX217" s="15" t="str">
        <f t="shared" si="1049"/>
        <v/>
      </c>
      <c r="CY217" s="15" t="str">
        <f t="shared" si="1049"/>
        <v/>
      </c>
      <c r="CZ217" s="15" t="str">
        <f t="shared" si="1049"/>
        <v/>
      </c>
    </row>
    <row r="218" spans="1:104" ht="13.5" customHeight="1">
      <c r="A218" s="33"/>
      <c r="B218" s="32"/>
      <c r="C218" s="32"/>
      <c r="D218" s="33"/>
      <c r="E218" s="32"/>
      <c r="F218" s="32"/>
      <c r="G218" s="32"/>
      <c r="H218" s="32"/>
      <c r="I218" s="32"/>
      <c r="J218" s="32"/>
      <c r="K218" s="32"/>
      <c r="L218" s="32"/>
      <c r="M218" s="32"/>
      <c r="N218" s="32"/>
      <c r="O218" s="32"/>
      <c r="P218" s="32"/>
      <c r="Q218" s="32"/>
      <c r="R218" s="32"/>
      <c r="S218" s="32"/>
      <c r="T218" s="32"/>
      <c r="U218" s="32"/>
      <c r="V218" s="32"/>
      <c r="W218" s="32"/>
      <c r="X218" s="32"/>
      <c r="Y218" s="32"/>
      <c r="Z218" s="32"/>
      <c r="AA218" s="32"/>
      <c r="AB218" s="32"/>
      <c r="AC218" s="32"/>
      <c r="AD218" s="32"/>
      <c r="AE218" s="32"/>
      <c r="AF218" s="32"/>
    </row>
    <row r="219" spans="1:104" ht="13.5" customHeight="1">
      <c r="A219" s="33"/>
      <c r="B219" s="32"/>
      <c r="C219" s="32"/>
      <c r="D219" s="33"/>
      <c r="E219" s="32"/>
      <c r="F219" s="32"/>
      <c r="G219" s="32"/>
      <c r="H219" s="32"/>
      <c r="I219" s="32"/>
      <c r="J219" s="32"/>
      <c r="K219" s="32"/>
      <c r="L219" s="32"/>
      <c r="M219" s="32"/>
      <c r="N219" s="32"/>
      <c r="O219" s="32"/>
      <c r="P219" s="32"/>
      <c r="Q219" s="32"/>
      <c r="R219" s="32"/>
      <c r="S219" s="32"/>
      <c r="T219" s="32"/>
      <c r="U219" s="32"/>
      <c r="V219" s="32"/>
      <c r="W219" s="32"/>
      <c r="X219" s="32"/>
      <c r="Y219" s="32"/>
      <c r="Z219" s="32"/>
      <c r="AA219" s="32"/>
      <c r="AB219" s="32"/>
      <c r="AC219" s="32"/>
      <c r="AD219" s="32"/>
      <c r="AE219" s="32"/>
      <c r="AF219" s="32"/>
    </row>
    <row r="220" spans="1:104" ht="13.5" customHeight="1">
      <c r="A220" s="33"/>
      <c r="B220" s="32"/>
      <c r="C220" s="32"/>
      <c r="D220" s="33"/>
      <c r="E220" s="32"/>
      <c r="F220" s="32"/>
      <c r="G220" s="32"/>
      <c r="H220" s="32"/>
      <c r="I220" s="32"/>
      <c r="J220" s="32"/>
      <c r="K220" s="32"/>
      <c r="L220" s="32"/>
      <c r="M220" s="32"/>
      <c r="N220" s="32"/>
      <c r="O220" s="32"/>
      <c r="P220" s="32"/>
      <c r="Q220" s="32"/>
      <c r="R220" s="32"/>
      <c r="S220" s="32"/>
      <c r="T220" s="32"/>
      <c r="U220" s="32"/>
      <c r="V220" s="32"/>
      <c r="W220" s="32"/>
      <c r="X220" s="32"/>
      <c r="Y220" s="32"/>
      <c r="Z220" s="32"/>
      <c r="AA220" s="32"/>
      <c r="AB220" s="32"/>
      <c r="AC220" s="32"/>
      <c r="AD220" s="32"/>
      <c r="AE220" s="32"/>
      <c r="AF220" s="32"/>
    </row>
  </sheetData>
  <conditionalFormatting sqref="C13:CZ14">
    <cfRule type="notContainsBlanks" dxfId="17" priority="171">
      <formula>LEN(TRIM(C13))&gt;0</formula>
    </cfRule>
  </conditionalFormatting>
  <conditionalFormatting sqref="C89:CZ89">
    <cfRule type="notContainsBlanks" dxfId="16" priority="172">
      <formula>LEN(TRIM(C89))&gt;0</formula>
    </cfRule>
  </conditionalFormatting>
  <conditionalFormatting sqref="C173:CZ173">
    <cfRule type="notContainsBlanks" dxfId="15" priority="174">
      <formula>LEN(TRIM(C173))&gt;0</formula>
    </cfRule>
  </conditionalFormatting>
  <conditionalFormatting sqref="C90:CZ90">
    <cfRule type="notContainsBlanks" dxfId="14" priority="173">
      <formula>LEN(TRIM(C90))&gt;0</formula>
    </cfRule>
  </conditionalFormatting>
  <conditionalFormatting sqref="C174:CZ174">
    <cfRule type="notContainsBlanks" dxfId="13" priority="159">
      <formula>LEN(TRIM(C174))&gt;0</formula>
    </cfRule>
  </conditionalFormatting>
  <conditionalFormatting sqref="T176:CZ215 D216:CZ217 D16:CZ175">
    <cfRule type="notContainsBlanks" dxfId="12" priority="40">
      <formula>LEN(TRIM(D16))&gt;0</formula>
    </cfRule>
  </conditionalFormatting>
  <conditionalFormatting sqref="D11:CZ11">
    <cfRule type="cellIs" dxfId="11" priority="28" operator="lessThan">
      <formula>118</formula>
    </cfRule>
    <cfRule type="containsBlanks" dxfId="10" priority="33">
      <formula>LEN(TRIM(D11))=0</formula>
    </cfRule>
    <cfRule type="cellIs" dxfId="9" priority="39" operator="between">
      <formula>$D$7-1</formula>
      <formula>100</formula>
    </cfRule>
    <cfRule type="notContainsBlanks" dxfId="8" priority="175" stopIfTrue="1">
      <formula>LEN(TRIM(D11))&gt;0</formula>
    </cfRule>
  </conditionalFormatting>
  <conditionalFormatting sqref="D11:CZ11">
    <cfRule type="cellIs" dxfId="7" priority="35" operator="lessThan">
      <formula>$D$7</formula>
    </cfRule>
  </conditionalFormatting>
  <conditionalFormatting sqref="D176:S215 E176:CZ179">
    <cfRule type="notContainsBlanks" dxfId="6" priority="14">
      <formula>LEN(TRIM(D176))&gt;0</formula>
    </cfRule>
  </conditionalFormatting>
  <conditionalFormatting sqref="A1:XFD9 A11:XFD1048576">
    <cfRule type="containsText" dxfId="5" priority="9" operator="containsText" text="Error">
      <formula>NOT(ISERROR(SEARCH("Error",A1)))</formula>
    </cfRule>
    <cfRule type="containsErrors" dxfId="4" priority="180">
      <formula>ISERROR(A1)</formula>
    </cfRule>
  </conditionalFormatting>
  <conditionalFormatting sqref="A12:XFD12">
    <cfRule type="beginsWith" dxfId="3" priority="1" operator="beginsWith" text="0">
      <formula>LEFT(A12,LEN("0"))="0"</formula>
    </cfRule>
    <cfRule type="beginsWith" dxfId="2" priority="4" operator="beginsWith" text="0">
      <formula>LEFT(A12,LEN("0"))="0"</formula>
    </cfRule>
  </conditionalFormatting>
  <conditionalFormatting sqref="D12:CZ12">
    <cfRule type="notContainsBlanks" dxfId="1" priority="3">
      <formula>LEN(TRIM(D12))&gt;0</formula>
    </cfRule>
  </conditionalFormatting>
  <dataValidations count="3">
    <dataValidation type="whole" allowBlank="1" showInputMessage="1" showErrorMessage="1" sqref="D9">
      <formula1>0</formula1>
      <formula2>F7</formula2>
    </dataValidation>
    <dataValidation type="whole" allowBlank="1" showInputMessage="1" showErrorMessage="1" errorTitle="EXCEEDS DATA SHEET" error="It is not possible to include that many periods based on the data provided." sqref="D7">
      <formula1>0</formula1>
      <formula2>O3</formula2>
    </dataValidation>
    <dataValidation type="whole" allowBlank="1" showInputMessage="1" showErrorMessage="1" sqref="D8">
      <formula1>0</formula1>
      <formula2>O4</formula2>
    </dataValidation>
  </dataValidations>
  <pageMargins left="0.7" right="0.7" top="0.75" bottom="0.75" header="0.3" footer="0.3"/>
  <pageSetup orientation="portrait" verticalDpi="30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09" r:id="rId3" name="Button 3005">
              <controlPr defaultSize="0" print="0" autoFill="0" autoPict="0" macro="[0]!Print_Formulas_Dirty_Template">
                <anchor moveWithCells="1" sizeWithCells="1">
                  <from>
                    <xdr:col>5</xdr:col>
                    <xdr:colOff>63500</xdr:colOff>
                    <xdr:row>2</xdr:row>
                    <xdr:rowOff>0</xdr:rowOff>
                  </from>
                  <to>
                    <xdr:col>7</xdr:col>
                    <xdr:colOff>914400</xdr:colOff>
                    <xdr:row>4</xdr:row>
                    <xdr:rowOff>152400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8" operator="containsText" id="{DA93DBE6-386C-4188-BF4E-75B366A24BCA}">
            <xm:f>NOT(ISERROR(SEARCH($M$1,A2)))</xm:f>
            <xm:f>$M$1</xm:f>
            <x14:dxf>
              <font>
                <color theme="4" tint="0.79998168889431442"/>
              </font>
              <fill>
                <patternFill>
                  <bgColor theme="4" tint="0.79998168889431442"/>
                </patternFill>
              </fill>
            </x14:dxf>
          </x14:cfRule>
          <xm:sqref>A2:XFD9 A11:XFD1048576</xm:sqref>
        </x14:conditionalFormatting>
      </x14:conditionalFormattings>
    </ex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AAPL_QUARTERLY</vt:lpstr>
      <vt:lpstr>AAPL_ANNUAL</vt:lpstr>
      <vt:lpstr>SANITIZED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Mike</dc:creator>
  <cp:lastModifiedBy>Rafael Nicolas Fermin Cota</cp:lastModifiedBy>
  <cp:lastPrinted>2014-10-11T00:14:55Z</cp:lastPrinted>
  <dcterms:created xsi:type="dcterms:W3CDTF">2014-10-03T22:56:20Z</dcterms:created>
  <dcterms:modified xsi:type="dcterms:W3CDTF">2015-02-13T06:49:19Z</dcterms:modified>
</cp:coreProperties>
</file>