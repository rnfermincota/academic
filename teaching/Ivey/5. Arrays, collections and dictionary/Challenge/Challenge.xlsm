
<file path=[Content_Types].xml><?xml version="1.0" encoding="utf-8"?>
<Types xmlns="http://schemas.openxmlformats.org/package/2006/content-types">
  <Default Extension="xml" ContentType="application/xml"/>
  <Default Extension="rels" ContentType="application/vnd.openxmlformats-package.relationships+xml"/>
  <Default Extension="bin" ContentType="application/vnd.ms-office.vbaProject"/>
  <Override PartName="/xl/workbook.xml" ContentType="application/vnd.ms-excel.sheet.macroEnabled.main+xml"/>
  <Override PartName="/xl/worksheets/sheet1.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alcChain.xml" ContentType="application/vnd.openxmlformats-officedocument.spreadsheetml.calcChain+xml"/>
  <Override PartName="/docProps/core.xml" ContentType="application/vnd.openxmlformats-package.core-properties+xml"/>
  <Override PartName="/docProps/app.xml" ContentType="application/vnd.openxmlformats-officedocument.extended-properties+xml"/>
</Types>
</file>

<file path=_rels/.rels><?xml version="1.0" encoding="UTF-8" standalone="yes"?>
<Relationships xmlns="http://schemas.openxmlformats.org/package/2006/relationships"><Relationship Id="rId1" Type="http://schemas.openxmlformats.org/officeDocument/2006/relationships/officeDocument" Target="xl/workbook.xml"/><Relationship Id="rId2" Type="http://schemas.openxmlformats.org/package/2006/relationships/metadata/core-properties" Target="docProps/core.xml"/><Relationship Id="rId3" Type="http://schemas.openxmlformats.org/officeDocument/2006/relationships/extended-properties" Target="docProps/app.xml"/></Relationships>
</file>

<file path=xl/workbook.xml><?xml version="1.0" encoding="utf-8"?>
<workbook xmlns="http://schemas.openxmlformats.org/spreadsheetml/2006/main" xmlns:r="http://schemas.openxmlformats.org/officeDocument/2006/relationships">
  <fileVersion appName="xl" lastEdited="5" lowestEdited="5" rupBuild="25317" codeName="{8C4F1C90-05EB-6A55-5F09-09C24B55AC0B}"/>
  <workbookPr codeName="ThisWorkbook" autoCompressPictures="0"/>
  <bookViews>
    <workbookView xWindow="0" yWindow="0" windowWidth="25600" windowHeight="16060"/>
  </bookViews>
  <sheets>
    <sheet name="SA3" sheetId="1" r:id="rId1"/>
  </sheets>
  <definedNames>
    <definedName name="__xlfnodf.RRI" hidden="1" function="1" xlm="1">#NAME?</definedName>
  </definedNames>
  <calcPr calcId="140001" concurrentCalc="0"/>
  <extLst>
    <ext xmlns:mx="http://schemas.microsoft.com/office/mac/excel/2008/main" uri="{7523E5D3-25F3-A5E0-1632-64F254C22452}">
      <mx:ArchID Flags="2"/>
    </ext>
  </extLst>
</workbook>
</file>

<file path=xl/calcChain.xml><?xml version="1.0" encoding="utf-8"?>
<calcChain xmlns="http://schemas.openxmlformats.org/spreadsheetml/2006/main">
  <c r="Y20" i="1" l="1"/>
  <c r="X20" i="1"/>
  <c r="W20" i="1"/>
  <c r="V20" i="1"/>
  <c r="U20" i="1"/>
  <c r="T20" i="1"/>
  <c r="P20" i="1"/>
  <c r="O20" i="1"/>
  <c r="N20" i="1"/>
  <c r="Y19" i="1"/>
  <c r="X19" i="1"/>
  <c r="W19" i="1"/>
  <c r="V19" i="1"/>
  <c r="U19" i="1"/>
  <c r="T19" i="1"/>
  <c r="P19" i="1"/>
  <c r="O19" i="1"/>
  <c r="N19" i="1"/>
  <c r="Y18" i="1"/>
  <c r="X18" i="1"/>
  <c r="W18" i="1"/>
  <c r="V18" i="1"/>
  <c r="U18" i="1"/>
  <c r="T18" i="1"/>
  <c r="P18" i="1"/>
  <c r="O18" i="1"/>
  <c r="N18" i="1"/>
  <c r="Y17" i="1"/>
  <c r="X17" i="1"/>
  <c r="W17" i="1"/>
  <c r="V17" i="1"/>
  <c r="U17" i="1"/>
  <c r="T17" i="1"/>
  <c r="P17" i="1"/>
  <c r="O17" i="1"/>
  <c r="N17" i="1"/>
  <c r="Y16" i="1"/>
  <c r="X16" i="1"/>
  <c r="W16" i="1"/>
  <c r="V16" i="1"/>
  <c r="U16" i="1"/>
  <c r="T16" i="1"/>
  <c r="P16" i="1"/>
  <c r="O16" i="1"/>
  <c r="N16" i="1"/>
  <c r="Y15" i="1"/>
  <c r="X15" i="1"/>
  <c r="W15" i="1"/>
  <c r="V15" i="1"/>
  <c r="U15" i="1"/>
  <c r="T15" i="1"/>
  <c r="P15" i="1"/>
  <c r="O15" i="1"/>
  <c r="N15" i="1"/>
  <c r="Y14" i="1"/>
  <c r="X14" i="1"/>
  <c r="W14" i="1"/>
  <c r="V14" i="1"/>
  <c r="U14" i="1"/>
  <c r="T14" i="1"/>
  <c r="P14" i="1"/>
  <c r="O14" i="1"/>
  <c r="N14" i="1"/>
  <c r="Y13" i="1"/>
  <c r="X13" i="1"/>
  <c r="W13" i="1"/>
  <c r="V13" i="1"/>
  <c r="U13" i="1"/>
  <c r="T13" i="1"/>
  <c r="P13" i="1"/>
  <c r="O13" i="1"/>
  <c r="N13" i="1"/>
  <c r="Y12" i="1"/>
  <c r="X12" i="1"/>
  <c r="W12" i="1"/>
  <c r="V12" i="1"/>
  <c r="U12" i="1"/>
  <c r="T12" i="1"/>
  <c r="P12" i="1"/>
  <c r="O12" i="1"/>
  <c r="N12" i="1"/>
  <c r="Y11" i="1"/>
  <c r="X11" i="1"/>
  <c r="W11" i="1"/>
  <c r="V11" i="1"/>
  <c r="U11" i="1"/>
  <c r="T11" i="1"/>
  <c r="P11" i="1"/>
  <c r="O11" i="1"/>
  <c r="N11" i="1"/>
  <c r="Y10" i="1"/>
  <c r="X10" i="1"/>
  <c r="W10" i="1"/>
  <c r="V10" i="1"/>
  <c r="U10" i="1"/>
  <c r="T10" i="1"/>
  <c r="P10" i="1"/>
  <c r="O10" i="1"/>
  <c r="N10" i="1"/>
  <c r="Y9" i="1"/>
  <c r="X9" i="1"/>
  <c r="W9" i="1"/>
  <c r="V9" i="1"/>
  <c r="U9" i="1"/>
  <c r="T9" i="1"/>
  <c r="P9" i="1"/>
  <c r="O9" i="1"/>
  <c r="N9" i="1"/>
  <c r="Y8" i="1"/>
  <c r="X8" i="1"/>
  <c r="W8" i="1"/>
  <c r="V8" i="1"/>
  <c r="U8" i="1"/>
  <c r="T8" i="1"/>
  <c r="P8" i="1"/>
  <c r="O8" i="1"/>
  <c r="N8" i="1"/>
  <c r="Y7" i="1"/>
  <c r="X7" i="1"/>
  <c r="W7" i="1"/>
  <c r="V7" i="1"/>
  <c r="U7" i="1"/>
  <c r="T7" i="1"/>
  <c r="P7" i="1"/>
  <c r="O7" i="1"/>
  <c r="N7" i="1"/>
  <c r="Y6" i="1"/>
  <c r="X6" i="1"/>
  <c r="W6" i="1"/>
  <c r="V6" i="1"/>
  <c r="U6" i="1"/>
  <c r="T6" i="1"/>
  <c r="P6" i="1"/>
  <c r="O6" i="1"/>
  <c r="N6" i="1"/>
  <c r="Y5" i="1"/>
  <c r="X5" i="1"/>
  <c r="W5" i="1"/>
  <c r="V5" i="1"/>
  <c r="U5" i="1"/>
  <c r="T5" i="1"/>
  <c r="P5" i="1"/>
  <c r="O5" i="1"/>
  <c r="N5" i="1"/>
  <c r="Y4" i="1"/>
  <c r="X4" i="1"/>
  <c r="W4" i="1"/>
  <c r="V4" i="1"/>
  <c r="U4" i="1"/>
  <c r="T4" i="1"/>
  <c r="P4" i="1"/>
  <c r="O4" i="1"/>
  <c r="N4" i="1"/>
  <c r="Y3" i="1"/>
  <c r="X3" i="1"/>
  <c r="W3" i="1"/>
  <c r="V3" i="1"/>
  <c r="U3" i="1"/>
  <c r="T3" i="1"/>
  <c r="P3" i="1"/>
  <c r="O3" i="1"/>
  <c r="N3" i="1"/>
  <c r="AE2" i="1"/>
  <c r="AD2" i="1"/>
  <c r="AC2" i="1"/>
  <c r="AB2" i="1"/>
  <c r="AA2" i="1"/>
  <c r="Z2" i="1"/>
  <c r="S2" i="1"/>
  <c r="R2" i="1"/>
  <c r="Q2" i="1"/>
  <c r="D3" i="1"/>
  <c r="D4" i="1"/>
  <c r="D5" i="1"/>
  <c r="D6" i="1"/>
  <c r="D7" i="1"/>
  <c r="D8" i="1"/>
  <c r="J8" i="1"/>
  <c r="D9" i="1"/>
  <c r="J9" i="1"/>
  <c r="D10" i="1"/>
  <c r="D11" i="1"/>
  <c r="D12" i="1"/>
  <c r="D13" i="1"/>
  <c r="D14" i="1"/>
  <c r="D15" i="1"/>
  <c r="D16" i="1"/>
  <c r="D17" i="1"/>
  <c r="D18" i="1"/>
  <c r="D19" i="1"/>
  <c r="D20" i="1"/>
  <c r="C36" i="1"/>
  <c r="C37" i="1"/>
  <c r="Q20" i="1"/>
  <c r="R20" i="1"/>
  <c r="S20" i="1"/>
  <c r="Z20" i="1"/>
  <c r="AA20" i="1"/>
  <c r="AB20" i="1"/>
  <c r="AC20" i="1"/>
  <c r="AD20" i="1"/>
  <c r="AE20" i="1"/>
  <c r="Q19" i="1"/>
  <c r="R19" i="1"/>
  <c r="S19" i="1"/>
  <c r="Z19" i="1"/>
  <c r="AA19" i="1"/>
  <c r="AB19" i="1"/>
  <c r="AC19" i="1"/>
  <c r="AD19" i="1"/>
  <c r="AE19" i="1"/>
  <c r="Q18" i="1"/>
  <c r="R18" i="1"/>
  <c r="S18" i="1"/>
  <c r="Z18" i="1"/>
  <c r="AA18" i="1"/>
  <c r="AB18" i="1"/>
  <c r="AC18" i="1"/>
  <c r="AD18" i="1"/>
  <c r="AE18" i="1"/>
  <c r="Q17" i="1"/>
  <c r="R17" i="1"/>
  <c r="S17" i="1"/>
  <c r="Z17" i="1"/>
  <c r="AA17" i="1"/>
  <c r="AB17" i="1"/>
  <c r="AC17" i="1"/>
  <c r="AD17" i="1"/>
  <c r="AE17" i="1"/>
  <c r="Q16" i="1"/>
  <c r="R16" i="1"/>
  <c r="S16" i="1"/>
  <c r="Z16" i="1"/>
  <c r="AA16" i="1"/>
  <c r="AB16" i="1"/>
  <c r="AC16" i="1"/>
  <c r="AD16" i="1"/>
  <c r="AE16" i="1"/>
  <c r="Q15" i="1"/>
  <c r="R15" i="1"/>
  <c r="S15" i="1"/>
  <c r="Z15" i="1"/>
  <c r="AA15" i="1"/>
  <c r="AB15" i="1"/>
  <c r="AC15" i="1"/>
  <c r="AD15" i="1"/>
  <c r="AE15" i="1"/>
  <c r="Q14" i="1"/>
  <c r="R14" i="1"/>
  <c r="S14" i="1"/>
  <c r="Z14" i="1"/>
  <c r="AA14" i="1"/>
  <c r="AB14" i="1"/>
  <c r="AC14" i="1"/>
  <c r="AD14" i="1"/>
  <c r="AE14" i="1"/>
  <c r="Q13" i="1"/>
  <c r="R13" i="1"/>
  <c r="S13" i="1"/>
  <c r="Z13" i="1"/>
  <c r="AA13" i="1"/>
  <c r="AB13" i="1"/>
  <c r="AC13" i="1"/>
  <c r="AD13" i="1"/>
  <c r="AE13" i="1"/>
  <c r="Q12" i="1"/>
  <c r="R12" i="1"/>
  <c r="S12" i="1"/>
  <c r="Z12" i="1"/>
  <c r="AA12" i="1"/>
  <c r="AB12" i="1"/>
  <c r="AC12" i="1"/>
  <c r="AD12" i="1"/>
  <c r="AE12" i="1"/>
  <c r="Q11" i="1"/>
  <c r="R11" i="1"/>
  <c r="S11" i="1"/>
  <c r="Z11" i="1"/>
  <c r="AA11" i="1"/>
  <c r="AB11" i="1"/>
  <c r="AC11" i="1"/>
  <c r="AD11" i="1"/>
  <c r="AE11" i="1"/>
  <c r="Q10" i="1"/>
  <c r="R10" i="1"/>
  <c r="S10" i="1"/>
  <c r="Z10" i="1"/>
  <c r="AA10" i="1"/>
  <c r="AB10" i="1"/>
  <c r="AC10" i="1"/>
  <c r="AD10" i="1"/>
  <c r="AE10" i="1"/>
  <c r="Q9" i="1"/>
  <c r="R9" i="1"/>
  <c r="S9" i="1"/>
  <c r="Z9" i="1"/>
  <c r="AA9" i="1"/>
  <c r="AB9" i="1"/>
  <c r="AC9" i="1"/>
  <c r="AD9" i="1"/>
  <c r="AE9" i="1"/>
  <c r="Q8" i="1"/>
  <c r="R8" i="1"/>
  <c r="S8" i="1"/>
  <c r="Z8" i="1"/>
  <c r="AA8" i="1"/>
  <c r="AB8" i="1"/>
  <c r="AC8" i="1"/>
  <c r="AD8" i="1"/>
  <c r="AE8" i="1"/>
  <c r="Q7" i="1"/>
  <c r="R7" i="1"/>
  <c r="S7" i="1"/>
  <c r="Z7" i="1"/>
  <c r="AA7" i="1"/>
  <c r="AB7" i="1"/>
  <c r="AC7" i="1"/>
  <c r="AD7" i="1"/>
  <c r="AE7" i="1"/>
  <c r="Q6" i="1"/>
  <c r="R6" i="1"/>
  <c r="S6" i="1"/>
  <c r="Z6" i="1"/>
  <c r="AA6" i="1"/>
  <c r="AB6" i="1"/>
  <c r="AC6" i="1"/>
  <c r="AD6" i="1"/>
  <c r="AE6" i="1"/>
  <c r="Q5" i="1"/>
  <c r="R5" i="1"/>
  <c r="S5" i="1"/>
  <c r="Z5" i="1"/>
  <c r="AA5" i="1"/>
  <c r="AB5" i="1"/>
  <c r="AC5" i="1"/>
  <c r="AD5" i="1"/>
  <c r="AE5" i="1"/>
  <c r="Q4" i="1"/>
  <c r="R4" i="1"/>
  <c r="S4" i="1"/>
  <c r="Z4" i="1"/>
  <c r="AA4" i="1"/>
  <c r="AB4" i="1"/>
  <c r="AC4" i="1"/>
  <c r="AD4" i="1"/>
  <c r="AE4" i="1"/>
  <c r="Q3" i="1"/>
  <c r="Q21" i="1"/>
  <c r="R3" i="1"/>
  <c r="R21" i="1"/>
  <c r="S3" i="1"/>
  <c r="S21" i="1"/>
  <c r="Z3" i="1"/>
  <c r="Z21" i="1"/>
  <c r="AA3" i="1"/>
  <c r="AA21" i="1"/>
  <c r="AB3" i="1"/>
  <c r="AB21" i="1"/>
  <c r="AC3" i="1"/>
  <c r="AC21" i="1"/>
  <c r="AD3" i="1"/>
  <c r="AD21" i="1"/>
  <c r="AE3" i="1"/>
  <c r="AE21" i="1"/>
  <c r="J13" i="1"/>
  <c r="J12" i="1"/>
  <c r="L9" i="1"/>
  <c r="L8" i="1"/>
  <c r="J5" i="1"/>
  <c r="J4" i="1"/>
  <c r="J3" i="1"/>
  <c r="L13" i="1"/>
  <c r="L12" i="1"/>
  <c r="L4" i="1"/>
  <c r="L3" i="1"/>
  <c r="J11" i="1"/>
  <c r="L11" i="1"/>
  <c r="J10" i="1"/>
  <c r="L10" i="1"/>
  <c r="L5" i="1"/>
  <c r="C38" i="1"/>
  <c r="I8" i="1" a="1"/>
  <c r="I3" i="1" a="1"/>
  <c r="C39" i="1"/>
  <c r="I13" i="1"/>
  <c r="I12" i="1"/>
  <c r="I11" i="1"/>
  <c r="I10" i="1"/>
  <c r="I9" i="1"/>
  <c r="I8" i="1"/>
  <c r="I5" i="1"/>
  <c r="I4" i="1"/>
  <c r="I3" i="1"/>
  <c r="C40" i="1"/>
  <c r="C41" i="1"/>
  <c r="C42" i="1"/>
  <c r="C43" i="1"/>
  <c r="C44" i="1"/>
  <c r="C45" i="1"/>
  <c r="C46" i="1"/>
  <c r="B47" i="1"/>
  <c r="B46" i="1"/>
  <c r="B45" i="1"/>
  <c r="B44" i="1"/>
  <c r="B43" i="1"/>
  <c r="B42" i="1"/>
  <c r="B41" i="1"/>
  <c r="B40" i="1"/>
  <c r="B39" i="1"/>
  <c r="B38" i="1"/>
  <c r="B37" i="1"/>
  <c r="B36" i="1"/>
  <c r="C47" i="1"/>
  <c r="G38" i="1" a="1"/>
  <c r="G38" i="1"/>
  <c r="G37" i="1" a="1"/>
  <c r="G37" i="1"/>
  <c r="G39" i="1" a="1"/>
  <c r="G39" i="1"/>
  <c r="K38" i="1"/>
  <c r="K37" i="1"/>
  <c r="K39" i="1"/>
</calcChain>
</file>

<file path=xl/sharedStrings.xml><?xml version="1.0" encoding="utf-8"?>
<sst xmlns="http://schemas.openxmlformats.org/spreadsheetml/2006/main" count="71" uniqueCount="23">
  <si>
    <t>Product</t>
  </si>
  <si>
    <t>Month</t>
  </si>
  <si>
    <t>Unit Sales</t>
  </si>
  <si>
    <t>Total Units</t>
  </si>
  <si>
    <t>Using SumIf</t>
  </si>
  <si>
    <t>VALIDATION</t>
  </si>
  <si>
    <t>A</t>
  </si>
  <si>
    <t>January</t>
  </si>
  <si>
    <t>B</t>
  </si>
  <si>
    <t>C</t>
  </si>
  <si>
    <t>February</t>
  </si>
  <si>
    <t>March</t>
  </si>
  <si>
    <t>April</t>
  </si>
  <si>
    <t>May</t>
  </si>
  <si>
    <t>June</t>
  </si>
  <si>
    <t>Year</t>
  </si>
  <si>
    <t>Sales</t>
  </si>
  <si>
    <t>Using Built-in</t>
  </si>
  <si>
    <t>Alternative</t>
  </si>
  <si>
    <t>Functions and Arrays</t>
  </si>
  <si>
    <t>Array Formulas</t>
  </si>
  <si>
    <t>Validation</t>
  </si>
  <si>
    <t>Hints:</t>
  </si>
</sst>
</file>

<file path=xl/styles.xml><?xml version="1.0" encoding="utf-8"?>
<styleSheet xmlns="http://schemas.openxmlformats.org/spreadsheetml/2006/main" xmlns:mc="http://schemas.openxmlformats.org/markup-compatibility/2006" xmlns:x14ac="http://schemas.microsoft.com/office/spreadsheetml/2009/9/ac" mc:Ignorable="x14ac">
  <numFmts count="4">
    <numFmt numFmtId="44" formatCode="_-&quot;$&quot;* #,##0.00_-;\-&quot;$&quot;* #,##0.00_-;_-&quot;$&quot;* &quot;-&quot;??_-;_-@_-"/>
    <numFmt numFmtId="164" formatCode="_(* #,##0.00_);_(* \(#,##0.00\);_(* &quot;-&quot;??_);_(@_)"/>
    <numFmt numFmtId="165" formatCode="mmm\ d/yy"/>
    <numFmt numFmtId="166" formatCode="[$-409]d\-mmm\-yy;@"/>
  </numFmts>
  <fonts count="16" x14ac:knownFonts="1">
    <font>
      <sz val="11"/>
      <color theme="1"/>
      <name val="Calibri"/>
      <family val="2"/>
      <scheme val="minor"/>
    </font>
    <font>
      <sz val="11"/>
      <color theme="1"/>
      <name val="Calibri"/>
      <family val="2"/>
      <scheme val="minor"/>
    </font>
    <font>
      <sz val="11"/>
      <name val="Times New Roman"/>
      <family val="1"/>
    </font>
    <font>
      <b/>
      <sz val="11"/>
      <name val="Times New Roman"/>
      <family val="1"/>
    </font>
    <font>
      <sz val="11"/>
      <color rgb="FF0070C0"/>
      <name val="Times New Roman"/>
      <family val="1"/>
    </font>
    <font>
      <sz val="8"/>
      <name val="Arial"/>
      <family val="2"/>
    </font>
    <font>
      <sz val="10"/>
      <color theme="1"/>
      <name val="Courier New"/>
      <family val="2"/>
    </font>
    <font>
      <sz val="10"/>
      <name val="Arial"/>
      <family val="2"/>
    </font>
    <font>
      <b/>
      <sz val="11"/>
      <color indexed="12"/>
      <name val="Arial"/>
      <family val="2"/>
    </font>
    <font>
      <sz val="11"/>
      <color theme="1"/>
      <name val="Cambria"/>
      <family val="2"/>
    </font>
    <font>
      <u/>
      <sz val="10"/>
      <color theme="10"/>
      <name val="Arial"/>
      <family val="2"/>
    </font>
    <font>
      <u/>
      <sz val="8"/>
      <color indexed="12"/>
      <name val="Arial"/>
      <family val="2"/>
    </font>
    <font>
      <sz val="12"/>
      <color theme="1"/>
      <name val="Calibri"/>
      <family val="2"/>
      <scheme val="minor"/>
    </font>
    <font>
      <b/>
      <i/>
      <sz val="11"/>
      <color rgb="FFFF0000"/>
      <name val="Calibri"/>
      <family val="2"/>
      <scheme val="minor"/>
    </font>
    <font>
      <i/>
      <sz val="11"/>
      <color rgb="FFFF0000"/>
      <name val="Calibri"/>
      <family val="2"/>
      <scheme val="minor"/>
    </font>
    <font>
      <b/>
      <i/>
      <sz val="11"/>
      <color rgb="FFFF0000"/>
      <name val="Times New Roman"/>
      <family val="1"/>
    </font>
  </fonts>
  <fills count="5">
    <fill>
      <patternFill patternType="none"/>
    </fill>
    <fill>
      <patternFill patternType="gray125"/>
    </fill>
    <fill>
      <patternFill patternType="solid">
        <fgColor rgb="FFFFFF00"/>
        <bgColor indexed="64"/>
      </patternFill>
    </fill>
    <fill>
      <patternFill patternType="solid">
        <fgColor theme="9" tint="0.79998168889431442"/>
        <bgColor indexed="64"/>
      </patternFill>
    </fill>
    <fill>
      <patternFill patternType="solid">
        <fgColor theme="6" tint="0.79998168889431442"/>
        <bgColor indexed="64"/>
      </patternFill>
    </fill>
  </fills>
  <borders count="3">
    <border>
      <left/>
      <right/>
      <top/>
      <bottom/>
      <diagonal/>
    </border>
    <border>
      <left/>
      <right/>
      <top style="thin">
        <color auto="1"/>
      </top>
      <bottom style="thin">
        <color auto="1"/>
      </bottom>
      <diagonal/>
    </border>
    <border>
      <left/>
      <right/>
      <top/>
      <bottom style="thin">
        <color auto="1"/>
      </bottom>
      <diagonal/>
    </border>
  </borders>
  <cellStyleXfs count="21">
    <xf numFmtId="0" fontId="0" fillId="0" borderId="0"/>
    <xf numFmtId="0" fontId="2" fillId="0" borderId="0"/>
    <xf numFmtId="9" fontId="5" fillId="0" borderId="0" applyFont="0" applyFill="0" applyBorder="0" applyAlignment="0" applyProtection="0"/>
    <xf numFmtId="164" fontId="6" fillId="0" borderId="0" applyFont="0" applyFill="0" applyBorder="0" applyAlignment="0" applyProtection="0"/>
    <xf numFmtId="165" fontId="7" fillId="0" borderId="0" applyFont="0" applyFill="0" applyBorder="0" applyAlignment="0" applyProtection="0"/>
    <xf numFmtId="164" fontId="6" fillId="0" borderId="0" applyFont="0" applyFill="0" applyBorder="0" applyAlignment="0" applyProtection="0"/>
    <xf numFmtId="0" fontId="8" fillId="0" borderId="0">
      <alignment horizontal="left" vertical="center" indent="1"/>
    </xf>
    <xf numFmtId="44" fontId="9" fillId="0" borderId="0" applyFont="0" applyFill="0" applyBorder="0" applyAlignment="0" applyProtection="0"/>
    <xf numFmtId="166" fontId="10" fillId="0" borderId="0" applyNumberFormat="0" applyFill="0" applyBorder="0" applyAlignment="0" applyProtection="0"/>
    <xf numFmtId="0" fontId="11" fillId="0" borderId="0" applyNumberFormat="0" applyFill="0" applyBorder="0" applyAlignment="0" applyProtection="0">
      <alignment vertical="top"/>
      <protection locked="0"/>
    </xf>
    <xf numFmtId="0" fontId="6" fillId="0" borderId="0"/>
    <xf numFmtId="0" fontId="7" fillId="0" borderId="0"/>
    <xf numFmtId="0" fontId="1" fillId="0" borderId="0"/>
    <xf numFmtId="166" fontId="7" fillId="0" borderId="0"/>
    <xf numFmtId="0" fontId="5" fillId="0" borderId="0"/>
    <xf numFmtId="0" fontId="7" fillId="0" borderId="0"/>
    <xf numFmtId="0" fontId="9" fillId="0" borderId="0"/>
    <xf numFmtId="0" fontId="12" fillId="0" borderId="0"/>
    <xf numFmtId="9" fontId="5" fillId="0" borderId="0" applyFont="0" applyFill="0" applyBorder="0" applyAlignment="0" applyProtection="0"/>
    <xf numFmtId="0" fontId="7" fillId="0" borderId="0"/>
    <xf numFmtId="164" fontId="1" fillId="0" borderId="0" applyFont="0" applyFill="0" applyBorder="0" applyAlignment="0" applyProtection="0"/>
  </cellStyleXfs>
  <cellXfs count="23">
    <xf numFmtId="0" fontId="0" fillId="0" borderId="0" xfId="0"/>
    <xf numFmtId="0" fontId="3" fillId="2" borderId="1" xfId="1" applyFont="1" applyFill="1" applyBorder="1" applyAlignment="1">
      <alignment horizontal="center"/>
    </xf>
    <xf numFmtId="0" fontId="2" fillId="0" borderId="0" xfId="1" applyBorder="1"/>
    <xf numFmtId="0" fontId="3" fillId="0" borderId="0" xfId="1" applyFont="1" applyBorder="1"/>
    <xf numFmtId="0" fontId="3" fillId="0" borderId="0" xfId="1" applyFont="1" applyBorder="1" applyAlignment="1">
      <alignment horizontal="center"/>
    </xf>
    <xf numFmtId="0" fontId="4" fillId="0" borderId="0" xfId="1" applyFont="1" applyBorder="1" applyAlignment="1">
      <alignment horizontal="center"/>
    </xf>
    <xf numFmtId="0" fontId="2" fillId="3" borderId="0" xfId="1" applyFill="1" applyBorder="1"/>
    <xf numFmtId="0" fontId="2" fillId="0" borderId="0" xfId="1"/>
    <xf numFmtId="0" fontId="3" fillId="0" borderId="0" xfId="1" applyFont="1" applyAlignment="1">
      <alignment horizontal="center"/>
    </xf>
    <xf numFmtId="0" fontId="4" fillId="0" borderId="0" xfId="1" applyFont="1" applyAlignment="1">
      <alignment horizontal="center"/>
    </xf>
    <xf numFmtId="10" fontId="1" fillId="0" borderId="0" xfId="2" applyNumberFormat="1" applyFont="1"/>
    <xf numFmtId="10" fontId="1" fillId="3" borderId="0" xfId="2" applyNumberFormat="1" applyFont="1" applyFill="1"/>
    <xf numFmtId="0" fontId="2" fillId="0" borderId="0" xfId="1" applyAlignment="1">
      <alignment horizontal="center"/>
    </xf>
    <xf numFmtId="0" fontId="4" fillId="0" borderId="2" xfId="1" applyFont="1" applyBorder="1" applyAlignment="1">
      <alignment horizontal="center"/>
    </xf>
    <xf numFmtId="0" fontId="4" fillId="0" borderId="0" xfId="1" applyFont="1"/>
    <xf numFmtId="0" fontId="2" fillId="0" borderId="0" xfId="1" applyAlignment="1">
      <alignment horizontal="centerContinuous"/>
    </xf>
    <xf numFmtId="10" fontId="0" fillId="0" borderId="0" xfId="0" applyNumberFormat="1"/>
    <xf numFmtId="164" fontId="0" fillId="0" borderId="0" xfId="20" applyFont="1"/>
    <xf numFmtId="0" fontId="2" fillId="0" borderId="0" xfId="1" applyFill="1" applyBorder="1"/>
    <xf numFmtId="0" fontId="13" fillId="0" borderId="0" xfId="0" applyFont="1"/>
    <xf numFmtId="0" fontId="14" fillId="0" borderId="0" xfId="0" applyFont="1"/>
    <xf numFmtId="0" fontId="15" fillId="0" borderId="0" xfId="1" applyFont="1"/>
    <xf numFmtId="0" fontId="2" fillId="4" borderId="0" xfId="1" applyFill="1" applyBorder="1"/>
  </cellXfs>
  <cellStyles count="21">
    <cellStyle name="Comma" xfId="20" builtinId="3"/>
    <cellStyle name="Comma 2" xfId="3"/>
    <cellStyle name="Comma 2 2" xfId="4"/>
    <cellStyle name="Comma 3" xfId="5"/>
    <cellStyle name="ContentsHyperlink" xfId="6"/>
    <cellStyle name="Currency 2" xfId="7"/>
    <cellStyle name="Hyperlink 2" xfId="8"/>
    <cellStyle name="Hyperlink 3" xfId="9"/>
    <cellStyle name="Normal" xfId="0" builtinId="0"/>
    <cellStyle name="Normal 2" xfId="10"/>
    <cellStyle name="Normal 2 2" xfId="11"/>
    <cellStyle name="Normal 2 3" xfId="12"/>
    <cellStyle name="Normal 2_Stocks 20110408" xfId="13"/>
    <cellStyle name="Normal 3" xfId="1"/>
    <cellStyle name="Normal 3 2" xfId="14"/>
    <cellStyle name="Normal 3 3" xfId="15"/>
    <cellStyle name="Normal 4" xfId="16"/>
    <cellStyle name="Normal 5" xfId="17"/>
    <cellStyle name="Percent 2" xfId="2"/>
    <cellStyle name="Percent 2 2" xfId="18"/>
    <cellStyle name="Style 1" xfId="19"/>
  </cellStyles>
  <dxfs count="0"/>
  <tableStyles count="0" defaultTableStyle="TableStyleMedium2" defaultPivotStyle="PivotStyleLight16"/>
  <extLst>
    <ext xmlns:x14="http://schemas.microsoft.com/office/spreadsheetml/2009/9/main" uri="{EB79DEF2-80B8-43e5-95BD-54CBDDF9020C}">
      <x14:slicerStyles defaultSlicerStyle="SlicerStyleLight1"/>
    </ext>
  </extLst>
</styleSheet>
</file>

<file path=xl/_rels/workbook.xml.rels><?xml version="1.0" encoding="UTF-8" standalone="yes"?>
<Relationships xmlns="http://schemas.openxmlformats.org/package/2006/relationships"><Relationship Id="rId3" Type="http://schemas.openxmlformats.org/officeDocument/2006/relationships/styles" Target="styles.xml"/><Relationship Id="rId4" Type="http://schemas.openxmlformats.org/officeDocument/2006/relationships/sharedStrings" Target="sharedStrings.xml"/><Relationship Id="rId5" Type="http://schemas.openxmlformats.org/officeDocument/2006/relationships/calcChain" Target="calcChain.xml"/><Relationship Id="rId6" Type="http://schemas.microsoft.com/office/2006/relationships/vbaProject" Target="vbaProject.bin"/><Relationship Id="rId1" Type="http://schemas.openxmlformats.org/officeDocument/2006/relationships/worksheet" Target="worksheets/sheet1.xml"/><Relationship Id="rId2" Type="http://schemas.openxmlformats.org/officeDocument/2006/relationships/theme" Target="theme/theme1.xml"/></Relationships>
</file>

<file path=xl/drawings/drawing1.xml><?xml version="1.0" encoding="utf-8"?>
<xdr:wsDr xmlns:xdr="http://schemas.openxmlformats.org/drawingml/2006/spreadsheetDrawing" xmlns:a="http://schemas.openxmlformats.org/drawingml/2006/main">
  <xdr:twoCellAnchor>
    <xdr:from>
      <xdr:col>20</xdr:col>
      <xdr:colOff>190500</xdr:colOff>
      <xdr:row>21</xdr:row>
      <xdr:rowOff>161925</xdr:rowOff>
    </xdr:from>
    <xdr:to>
      <xdr:col>32</xdr:col>
      <xdr:colOff>152400</xdr:colOff>
      <xdr:row>40</xdr:row>
      <xdr:rowOff>28575</xdr:rowOff>
    </xdr:to>
    <xdr:sp macro="" textlink="">
      <xdr:nvSpPr>
        <xdr:cNvPr id="2" name="TextBox 1"/>
        <xdr:cNvSpPr txBox="1"/>
      </xdr:nvSpPr>
      <xdr:spPr>
        <a:xfrm>
          <a:off x="14144625" y="4162425"/>
          <a:ext cx="7277100" cy="3486150"/>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b="0">
              <a:solidFill>
                <a:srgbClr val="002060"/>
              </a:solidFill>
              <a:latin typeface="+mn-lt"/>
              <a:ea typeface="+mn-ea"/>
              <a:cs typeface="+mn-cs"/>
            </a:rPr>
            <a:t>Part 1. Suppose that you have a list of products and their unit sales by month.  You wish to determine how many of each product was sold over the entire six-month period.  Additionally, you wish to know how many units were sold during each of the six months.</a:t>
          </a:r>
        </a:p>
        <a:p>
          <a:endParaRPr lang="en-CA" sz="1100" b="0">
            <a:solidFill>
              <a:srgbClr val="002060"/>
            </a:solidFill>
            <a:latin typeface="+mn-lt"/>
            <a:ea typeface="+mn-ea"/>
            <a:cs typeface="+mn-cs"/>
          </a:endParaRPr>
        </a:p>
        <a:p>
          <a:r>
            <a:rPr lang="en-CA" sz="1100" b="0">
              <a:solidFill>
                <a:srgbClr val="002060"/>
              </a:solidFill>
              <a:latin typeface="+mn-lt"/>
              <a:ea typeface="+mn-ea"/>
              <a:cs typeface="+mn-cs"/>
            </a:rPr>
            <a:t>I want you to </a:t>
          </a:r>
          <a:r>
            <a:rPr lang="en-US" sz="1100" b="0">
              <a:solidFill>
                <a:srgbClr val="002060"/>
              </a:solidFill>
              <a:latin typeface="+mn-lt"/>
              <a:ea typeface="+mn-ea"/>
              <a:cs typeface="+mn-cs"/>
            </a:rPr>
            <a:t>calculate the total sales of Product A, but I want you to break down the array into parts: The first part, create an array of True/False (boolean) values.  Keep in mind that True = 1 and False = 0, so you have an array of 0's and 1's.  Excel looks at each cell and determines if the value is the same as that Product A, in this case "A".  If it is, it puts a 1 in the array, if not it puts in a 0.  Next, you will multiply this array by the array of unit sales.  Obviously, multiplying anything by 0 returns a 0, so the new array will be populated by sales for the month only.</a:t>
          </a:r>
        </a:p>
        <a:p>
          <a:endParaRPr lang="en-CA" sz="1100" b="0">
            <a:solidFill>
              <a:srgbClr val="002060"/>
            </a:solidFill>
            <a:latin typeface="+mn-lt"/>
            <a:ea typeface="+mn-ea"/>
            <a:cs typeface="+mn-cs"/>
          </a:endParaRPr>
        </a:p>
        <a:p>
          <a:r>
            <a:rPr lang="en-US" sz="1100" b="0">
              <a:solidFill>
                <a:srgbClr val="002060"/>
              </a:solidFill>
              <a:latin typeface="+mn-lt"/>
              <a:ea typeface="+mn-ea"/>
              <a:cs typeface="+mn-cs"/>
            </a:rPr>
            <a:t>Finally, the Sum function should be used to calculate the total of each of the values in this array.  Each of the other two array formulas should work in exactly the same way, except that the product name is different.</a:t>
          </a:r>
        </a:p>
        <a:p>
          <a:endParaRPr lang="en-CA" sz="1100" b="0">
            <a:solidFill>
              <a:srgbClr val="002060"/>
            </a:solidFill>
            <a:latin typeface="+mn-lt"/>
            <a:ea typeface="+mn-ea"/>
            <a:cs typeface="+mn-cs"/>
          </a:endParaRPr>
        </a:p>
        <a:p>
          <a:r>
            <a:rPr lang="en-US" sz="1100" b="0">
              <a:solidFill>
                <a:srgbClr val="002060"/>
              </a:solidFill>
              <a:latin typeface="+mn-lt"/>
              <a:ea typeface="+mn-ea"/>
              <a:cs typeface="+mn-cs"/>
            </a:rPr>
            <a:t>Calculating monthly sales works in exactly the same way, except that the criterion is the name of the month rather than the name of the product. Note that you could sort the list in any way (by product, by month, or by units) and your formulas will still work perfectly.</a:t>
          </a:r>
          <a:endParaRPr lang="en-CA" sz="1100" b="0">
            <a:solidFill>
              <a:srgbClr val="002060"/>
            </a:solidFill>
            <a:latin typeface="+mn-lt"/>
            <a:ea typeface="+mn-ea"/>
            <a:cs typeface="+mn-cs"/>
          </a:endParaRPr>
        </a:p>
        <a:p>
          <a:endParaRPr lang="en-CA" sz="1100" b="0">
            <a:solidFill>
              <a:srgbClr val="002060"/>
            </a:solidFill>
          </a:endParaRPr>
        </a:p>
      </xdr:txBody>
    </xdr:sp>
    <xdr:clientData/>
  </xdr:twoCellAnchor>
  <xdr:twoCellAnchor>
    <xdr:from>
      <xdr:col>4</xdr:col>
      <xdr:colOff>1571625</xdr:colOff>
      <xdr:row>50</xdr:row>
      <xdr:rowOff>76200</xdr:rowOff>
    </xdr:from>
    <xdr:to>
      <xdr:col>16</xdr:col>
      <xdr:colOff>542925</xdr:colOff>
      <xdr:row>66</xdr:row>
      <xdr:rowOff>104775</xdr:rowOff>
    </xdr:to>
    <xdr:sp macro="" textlink="">
      <xdr:nvSpPr>
        <xdr:cNvPr id="3" name="TextBox 2"/>
        <xdr:cNvSpPr txBox="1"/>
      </xdr:nvSpPr>
      <xdr:spPr>
        <a:xfrm>
          <a:off x="4286250" y="9601200"/>
          <a:ext cx="7772400" cy="3076575"/>
        </a:xfrm>
        <a:prstGeom prst="rect">
          <a:avLst/>
        </a:prstGeom>
        <a:solidFill>
          <a:schemeClr val="lt1"/>
        </a:solidFill>
        <a:ln w="9525" cmpd="sng">
          <a:solidFill>
            <a:schemeClr val="lt1">
              <a:shade val="50000"/>
            </a:schemeClr>
          </a:solidFill>
        </a:ln>
      </xdr:spPr>
      <xdr:style>
        <a:lnRef idx="0">
          <a:scrgbClr r="0" g="0" b="0"/>
        </a:lnRef>
        <a:fillRef idx="0">
          <a:scrgbClr r="0" g="0" b="0"/>
        </a:fillRef>
        <a:effectRef idx="0">
          <a:scrgbClr r="0" g="0" b="0"/>
        </a:effectRef>
        <a:fontRef idx="minor">
          <a:schemeClr val="dk1"/>
        </a:fontRef>
      </xdr:style>
      <xdr:txBody>
        <a:bodyPr wrap="square" rtlCol="0" anchor="t"/>
        <a:lstStyle/>
        <a:p>
          <a:r>
            <a:rPr lang="en-US" sz="1100">
              <a:solidFill>
                <a:srgbClr val="002060"/>
              </a:solidFill>
              <a:latin typeface="+mn-lt"/>
              <a:ea typeface="+mn-ea"/>
              <a:cs typeface="+mn-cs"/>
            </a:rPr>
            <a:t>Part 2. Suppose you have a listing of sales year by year over the past 12 years and wish to know what the compound average annual rate of sales growth has been over this period.  You also need to code</a:t>
          </a:r>
          <a:r>
            <a:rPr lang="en-US" sz="1100" baseline="0">
              <a:solidFill>
                <a:srgbClr val="002060"/>
              </a:solidFill>
              <a:latin typeface="+mn-lt"/>
              <a:ea typeface="+mn-ea"/>
              <a:cs typeface="+mn-cs"/>
            </a:rPr>
            <a:t> your own UDF for</a:t>
          </a:r>
          <a:r>
            <a:rPr lang="en-US" sz="1100">
              <a:solidFill>
                <a:srgbClr val="002060"/>
              </a:solidFill>
              <a:latin typeface="+mn-lt"/>
              <a:ea typeface="+mn-ea"/>
              <a:cs typeface="+mn-cs"/>
            </a:rPr>
            <a:t> the standard deviation of sales growth.  Also, you will code your own geometric (compound) rate of growth, not just the arithmetic (typical) rate of growth.</a:t>
          </a:r>
        </a:p>
        <a:p>
          <a:endParaRPr lang="en-US" sz="1100">
            <a:solidFill>
              <a:srgbClr val="002060"/>
            </a:solidFill>
            <a:latin typeface="+mn-lt"/>
            <a:ea typeface="+mn-ea"/>
            <a:cs typeface="+mn-cs"/>
          </a:endParaRPr>
        </a:p>
        <a:p>
          <a:r>
            <a:rPr lang="en-US" sz="1100" b="1" u="sng">
              <a:solidFill>
                <a:schemeClr val="dk1"/>
              </a:solidFill>
              <a:effectLst/>
              <a:latin typeface="+mn-lt"/>
              <a:ea typeface="+mn-ea"/>
              <a:cs typeface="+mn-cs"/>
            </a:rPr>
            <a:t>Note that you need to deal with growth rates, not dollar growth of sales</a:t>
          </a:r>
          <a:r>
            <a:rPr lang="en-US" sz="1100">
              <a:solidFill>
                <a:schemeClr val="dk1"/>
              </a:solidFill>
              <a:effectLst/>
              <a:latin typeface="+mn-lt"/>
              <a:ea typeface="+mn-ea"/>
              <a:cs typeface="+mn-cs"/>
            </a:rPr>
            <a:t>.</a:t>
          </a:r>
          <a:r>
            <a:rPr lang="en-US" sz="1100" baseline="0">
              <a:solidFill>
                <a:srgbClr val="002060"/>
              </a:solidFill>
              <a:effectLst/>
              <a:latin typeface="+mn-lt"/>
              <a:ea typeface="+mn-ea"/>
              <a:cs typeface="+mn-cs"/>
            </a:rPr>
            <a:t> </a:t>
          </a:r>
          <a:r>
            <a:rPr lang="en-US" sz="1100">
              <a:solidFill>
                <a:srgbClr val="002060"/>
              </a:solidFill>
              <a:latin typeface="+mn-lt"/>
              <a:ea typeface="+mn-ea"/>
              <a:cs typeface="+mn-cs"/>
            </a:rPr>
            <a:t>You will have to use as your input array for your UDFs the formula: C4:C14/C3:C13-1.  This takes each cell in C4:C14 and divides it by the corresponding value in C3:C13.  I then subtract 1 to get the percentage change.  Remember to insert</a:t>
          </a:r>
          <a:r>
            <a:rPr lang="en-US" sz="1100" baseline="0">
              <a:solidFill>
                <a:srgbClr val="002060"/>
              </a:solidFill>
              <a:latin typeface="+mn-lt"/>
              <a:ea typeface="+mn-ea"/>
              <a:cs typeface="+mn-cs"/>
            </a:rPr>
            <a:t> your own UDF using CTRL + SHIFT + ENTER.</a:t>
          </a:r>
          <a:endParaRPr lang="en-CA" sz="1100">
            <a:solidFill>
              <a:srgbClr val="002060"/>
            </a:solidFill>
            <a:latin typeface="+mn-lt"/>
            <a:ea typeface="+mn-ea"/>
            <a:cs typeface="+mn-cs"/>
          </a:endParaRPr>
        </a:p>
        <a:p>
          <a:endParaRPr lang="en-US" sz="1100">
            <a:solidFill>
              <a:srgbClr val="002060"/>
            </a:solidFill>
            <a:latin typeface="+mn-lt"/>
            <a:ea typeface="+mn-ea"/>
            <a:cs typeface="+mn-cs"/>
          </a:endParaRPr>
        </a:p>
        <a:p>
          <a:endParaRPr lang="en-US" sz="1100">
            <a:solidFill>
              <a:srgbClr val="002060"/>
            </a:solidFill>
            <a:latin typeface="+mn-lt"/>
            <a:ea typeface="+mn-ea"/>
            <a:cs typeface="+mn-cs"/>
          </a:endParaRPr>
        </a:p>
        <a:p>
          <a:r>
            <a:rPr lang="en-US" sz="1100">
              <a:solidFill>
                <a:srgbClr val="002060"/>
              </a:solidFill>
              <a:latin typeface="+mn-lt"/>
              <a:ea typeface="+mn-ea"/>
              <a:cs typeface="+mn-cs"/>
            </a:rPr>
            <a:t>Hints:</a:t>
          </a:r>
        </a:p>
        <a:p>
          <a:r>
            <a:rPr lang="en-US" sz="1100">
              <a:solidFill>
                <a:srgbClr val="002060"/>
              </a:solidFill>
              <a:latin typeface="+mn-lt"/>
              <a:ea typeface="+mn-ea"/>
              <a:cs typeface="+mn-cs"/>
            </a:rPr>
            <a:t>Arithmetic Average Growth Rate:  Sum and Count functions</a:t>
          </a:r>
        </a:p>
        <a:p>
          <a:r>
            <a:rPr lang="en-US" sz="1100">
              <a:solidFill>
                <a:srgbClr val="002060"/>
              </a:solidFill>
              <a:latin typeface="+mn-lt"/>
              <a:ea typeface="+mn-ea"/>
              <a:cs typeface="+mn-cs"/>
            </a:rPr>
            <a:t>Compound Average Growth Rate:   Product function</a:t>
          </a:r>
        </a:p>
        <a:p>
          <a:r>
            <a:rPr lang="en-CA" sz="1100">
              <a:solidFill>
                <a:srgbClr val="002060"/>
              </a:solidFill>
              <a:latin typeface="+mn-lt"/>
              <a:ea typeface="+mn-ea"/>
              <a:cs typeface="+mn-cs"/>
            </a:rPr>
            <a:t>Standard Deviation of Growth Rate: V</a:t>
          </a:r>
          <a:r>
            <a:rPr lang="en-CA" sz="1100" baseline="0">
              <a:solidFill>
                <a:srgbClr val="002060"/>
              </a:solidFill>
              <a:latin typeface="+mn-lt"/>
              <a:ea typeface="+mn-ea"/>
              <a:cs typeface="+mn-cs"/>
            </a:rPr>
            <a:t>ariance formula in a single pass. </a:t>
          </a:r>
        </a:p>
        <a:p>
          <a:r>
            <a:rPr lang="en-CA" sz="1100" baseline="0">
              <a:solidFill>
                <a:srgbClr val="002060"/>
              </a:solidFill>
              <a:latin typeface="+mn-lt"/>
              <a:ea typeface="+mn-ea"/>
              <a:cs typeface="+mn-cs"/>
            </a:rPr>
            <a:t>See the links below : </a:t>
          </a:r>
        </a:p>
        <a:p>
          <a:r>
            <a:rPr lang="en-CA" sz="1100" baseline="0">
              <a:solidFill>
                <a:srgbClr val="002060"/>
              </a:solidFill>
              <a:latin typeface="+mn-lt"/>
              <a:ea typeface="+mn-ea"/>
              <a:cs typeface="+mn-cs"/>
            </a:rPr>
            <a:t>http://en.wikipedia.org/wiki/Algorithms_for_calculating_variance</a:t>
          </a:r>
        </a:p>
        <a:p>
          <a:r>
            <a:rPr lang="en-CA" sz="1100" baseline="0">
              <a:solidFill>
                <a:srgbClr val="002060"/>
              </a:solidFill>
              <a:latin typeface="+mn-lt"/>
              <a:ea typeface="+mn-ea"/>
              <a:cs typeface="+mn-cs"/>
            </a:rPr>
            <a:t>http://www.strchr.com/standard_deviation_in_one_pass</a:t>
          </a:r>
          <a:endParaRPr lang="en-CA" sz="1100">
            <a:solidFill>
              <a:srgbClr val="002060"/>
            </a:solidFill>
          </a:endParaRPr>
        </a:p>
      </xdr:txBody>
    </xdr:sp>
    <xdr:clientData/>
  </xdr:twoCellAnchor>
</xdr:wsDr>
</file>

<file path=xl/theme/theme1.xml><?xml version="1.0" encoding="utf-8"?>
<a:theme xmlns:a="http://schemas.openxmlformats.org/drawingml/2006/main" name="Office Theme">
  <a:themeElements>
    <a:clrScheme name="Office">
      <a:dk1>
        <a:sysClr val="windowText" lastClr="000000"/>
      </a:dk1>
      <a:lt1>
        <a:sysClr val="window" lastClr="FFFFFF"/>
      </a:lt1>
      <a:dk2>
        <a:srgbClr val="1F497D"/>
      </a:dk2>
      <a:lt2>
        <a:srgbClr val="EEECE1"/>
      </a:lt2>
      <a:accent1>
        <a:srgbClr val="4F81BD"/>
      </a:accent1>
      <a:accent2>
        <a:srgbClr val="C0504D"/>
      </a:accent2>
      <a:accent3>
        <a:srgbClr val="9BBB59"/>
      </a:accent3>
      <a:accent4>
        <a:srgbClr val="8064A2"/>
      </a:accent4>
      <a:accent5>
        <a:srgbClr val="4BACC6"/>
      </a:accent5>
      <a:accent6>
        <a:srgbClr val="F79646"/>
      </a:accent6>
      <a:hlink>
        <a:srgbClr val="0000FF"/>
      </a:hlink>
      <a:folHlink>
        <a:srgbClr val="800080"/>
      </a:folHlink>
    </a:clrScheme>
    <a:fontScheme name="Office">
      <a:majorFont>
        <a:latin typeface="Cambria"/>
        <a:ea typeface=""/>
        <a:cs typeface=""/>
        <a:font script="Jpan" typeface="ＭＳ Ｐゴシック"/>
        <a:font script="Hang" typeface="맑은 고딕"/>
        <a:font script="Hans" typeface="宋体"/>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majorFont>
      <a:minorFont>
        <a:latin typeface="Calibri"/>
        <a:ea typeface=""/>
        <a:cs typeface=""/>
        <a:font script="Jpan" typeface="ＭＳ Ｐゴシック"/>
        <a:font script="Hang" typeface="맑은 고딕"/>
        <a:font script="Hans" typeface="宋体"/>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minorFont>
    </a:fontScheme>
    <a:fmtScheme name="Office">
      <a:fillStyleLst>
        <a:solidFill>
          <a:schemeClr val="phClr"/>
        </a:solidFill>
        <a:gradFill rotWithShape="1">
          <a:gsLst>
            <a:gs pos="0">
              <a:schemeClr val="phClr">
                <a:tint val="50000"/>
                <a:satMod val="300000"/>
              </a:schemeClr>
            </a:gs>
            <a:gs pos="35000">
              <a:schemeClr val="phClr">
                <a:tint val="37000"/>
                <a:satMod val="300000"/>
              </a:schemeClr>
            </a:gs>
            <a:gs pos="100000">
              <a:schemeClr val="phClr">
                <a:tint val="15000"/>
                <a:satMod val="350000"/>
              </a:schemeClr>
            </a:gs>
          </a:gsLst>
          <a:lin ang="16200000" scaled="1"/>
        </a:gradFill>
        <a:gradFill rotWithShape="1">
          <a:gsLst>
            <a:gs pos="0">
              <a:schemeClr val="phClr">
                <a:shade val="51000"/>
                <a:satMod val="130000"/>
              </a:schemeClr>
            </a:gs>
            <a:gs pos="80000">
              <a:schemeClr val="phClr">
                <a:shade val="93000"/>
                <a:satMod val="130000"/>
              </a:schemeClr>
            </a:gs>
            <a:gs pos="100000">
              <a:schemeClr val="phClr">
                <a:shade val="94000"/>
                <a:satMod val="135000"/>
              </a:schemeClr>
            </a:gs>
          </a:gsLst>
          <a:lin ang="16200000" scaled="0"/>
        </a:gradFill>
      </a:fillStyleLst>
      <a:lnStyleLst>
        <a:ln w="9525" cap="flat" cmpd="sng" algn="ctr">
          <a:solidFill>
            <a:schemeClr val="phClr">
              <a:shade val="95000"/>
              <a:satMod val="105000"/>
            </a:schemeClr>
          </a:solidFill>
          <a:prstDash val="solid"/>
        </a:ln>
        <a:ln w="25400" cap="flat" cmpd="sng" algn="ctr">
          <a:solidFill>
            <a:schemeClr val="phClr"/>
          </a:solidFill>
          <a:prstDash val="solid"/>
        </a:ln>
        <a:ln w="38100" cap="flat" cmpd="sng" algn="ctr">
          <a:solidFill>
            <a:schemeClr val="phClr"/>
          </a:solidFill>
          <a:prstDash val="solid"/>
        </a:ln>
      </a:lnStyleLst>
      <a:effectStyleLst>
        <a:effectStyle>
          <a:effectLst>
            <a:outerShdw blurRad="40000" dist="20000" dir="5400000" rotWithShape="0">
              <a:srgbClr val="000000">
                <a:alpha val="38000"/>
              </a:srgbClr>
            </a:outerShdw>
          </a:effectLst>
        </a:effectStyle>
        <a:effectStyle>
          <a:effectLst>
            <a:outerShdw blurRad="40000" dist="23000" dir="5400000" rotWithShape="0">
              <a:srgbClr val="000000">
                <a:alpha val="35000"/>
              </a:srgbClr>
            </a:outerShdw>
          </a:effectLst>
        </a:effectStyle>
        <a:effectStyle>
          <a:effectLst>
            <a:outerShdw blurRad="40000" dist="23000" dir="5400000" rotWithShape="0">
              <a:srgbClr val="000000">
                <a:alpha val="35000"/>
              </a:srgbClr>
            </a:outerShdw>
          </a:effectLst>
          <a:scene3d>
            <a:camera prst="orthographicFront">
              <a:rot lat="0" lon="0" rev="0"/>
            </a:camera>
            <a:lightRig rig="threePt" dir="t">
              <a:rot lat="0" lon="0" rev="1200000"/>
            </a:lightRig>
          </a:scene3d>
          <a:sp3d>
            <a:bevelT w="63500" h="25400"/>
          </a:sp3d>
        </a:effectStyle>
      </a:effectStyleLst>
      <a:bgFillStyleLst>
        <a:solidFill>
          <a:schemeClr val="phClr"/>
        </a:solidFill>
        <a:gradFill rotWithShape="1">
          <a:gsLst>
            <a:gs pos="0">
              <a:schemeClr val="phClr">
                <a:tint val="40000"/>
                <a:satMod val="350000"/>
              </a:schemeClr>
            </a:gs>
            <a:gs pos="40000">
              <a:schemeClr val="phClr">
                <a:tint val="45000"/>
                <a:shade val="99000"/>
                <a:satMod val="350000"/>
              </a:schemeClr>
            </a:gs>
            <a:gs pos="100000">
              <a:schemeClr val="phClr">
                <a:shade val="20000"/>
                <a:satMod val="255000"/>
              </a:schemeClr>
            </a:gs>
          </a:gsLst>
          <a:path path="circle">
            <a:fillToRect l="50000" t="-80000" r="50000" b="180000"/>
          </a:path>
        </a:gradFill>
        <a:gradFill rotWithShape="1">
          <a:gsLst>
            <a:gs pos="0">
              <a:schemeClr val="phClr">
                <a:tint val="80000"/>
                <a:satMod val="300000"/>
              </a:schemeClr>
            </a:gs>
            <a:gs pos="100000">
              <a:schemeClr val="phClr">
                <a:shade val="30000"/>
                <a:satMod val="200000"/>
              </a:schemeClr>
            </a:gs>
          </a:gsLst>
          <a:path path="circle">
            <a:fillToRect l="50000" t="50000" r="50000" b="50000"/>
          </a:path>
        </a:gradFill>
      </a:bgFillStyleLst>
    </a:fmtScheme>
  </a:themeElements>
  <a:objectDefaults/>
  <a:extraClrSchemeLst/>
</a:theme>
</file>

<file path=xl/worksheets/_rels/sheet1.xml.rels><?xml version="1.0" encoding="UTF-8" standalone="yes"?>
<Relationships xmlns="http://schemas.openxmlformats.org/package/2006/relationships"><Relationship Id="rId1" Type="http://schemas.openxmlformats.org/officeDocument/2006/relationships/drawing" Target="../drawings/drawing1.xml"/></Relationships>
</file>

<file path=xl/worksheets/sheet1.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mc:Ignorable="x14ac">
  <sheetPr codeName="Sheet2" enableFormatConditionsCalculation="0">
    <tabColor rgb="FFFFFF00"/>
  </sheetPr>
  <dimension ref="B1:AE58"/>
  <sheetViews>
    <sheetView tabSelected="1" workbookViewId="0">
      <selection activeCell="N2" sqref="N2"/>
    </sheetView>
  </sheetViews>
  <sheetFormatPr baseColWidth="10" defaultColWidth="8.83203125" defaultRowHeight="14" x14ac:dyDescent="0"/>
  <cols>
    <col min="4" max="4" width="13.33203125" bestFit="1" customWidth="1"/>
    <col min="5" max="5" width="9" customWidth="1"/>
  </cols>
  <sheetData>
    <row r="1" spans="2:31">
      <c r="N1" s="19" t="s">
        <v>22</v>
      </c>
    </row>
    <row r="2" spans="2:31">
      <c r="B2" s="1" t="s">
        <v>0</v>
      </c>
      <c r="C2" s="1" t="s">
        <v>1</v>
      </c>
      <c r="D2" s="1" t="s">
        <v>2</v>
      </c>
      <c r="E2" s="2"/>
      <c r="F2" s="1" t="s">
        <v>0</v>
      </c>
      <c r="G2" s="1"/>
      <c r="H2" s="1" t="s">
        <v>3</v>
      </c>
      <c r="I2" s="2"/>
      <c r="J2" s="3" t="s">
        <v>4</v>
      </c>
      <c r="K2" s="2"/>
      <c r="L2" s="4" t="s">
        <v>5</v>
      </c>
      <c r="M2" s="2"/>
      <c r="N2" s="2" t="s">
        <v>6</v>
      </c>
      <c r="O2" s="18" t="s">
        <v>8</v>
      </c>
      <c r="P2" s="18" t="s">
        <v>9</v>
      </c>
      <c r="Q2" s="18" t="str">
        <f>N2</f>
        <v>A</v>
      </c>
      <c r="R2" s="18" t="str">
        <f>O2</f>
        <v>B</v>
      </c>
      <c r="S2" s="18" t="str">
        <f>P2</f>
        <v>C</v>
      </c>
      <c r="T2" s="2" t="s">
        <v>7</v>
      </c>
      <c r="U2" s="2" t="s">
        <v>10</v>
      </c>
      <c r="V2" s="2" t="s">
        <v>11</v>
      </c>
      <c r="W2" s="18" t="s">
        <v>12</v>
      </c>
      <c r="X2" s="18" t="s">
        <v>13</v>
      </c>
      <c r="Y2" s="18" t="s">
        <v>14</v>
      </c>
      <c r="Z2" t="str">
        <f t="shared" ref="Z2:AE2" si="0">T2</f>
        <v>January</v>
      </c>
      <c r="AA2" t="str">
        <f t="shared" si="0"/>
        <v>February</v>
      </c>
      <c r="AB2" t="str">
        <f t="shared" si="0"/>
        <v>March</v>
      </c>
      <c r="AC2" t="str">
        <f t="shared" si="0"/>
        <v>April</v>
      </c>
      <c r="AD2" t="str">
        <f t="shared" si="0"/>
        <v>May</v>
      </c>
      <c r="AE2" t="str">
        <f t="shared" si="0"/>
        <v>June</v>
      </c>
    </row>
    <row r="3" spans="2:31">
      <c r="B3" s="5" t="s">
        <v>6</v>
      </c>
      <c r="C3" s="5" t="s">
        <v>7</v>
      </c>
      <c r="D3" s="5">
        <f t="shared" ref="D3:D20" ca="1" si="1">RANDBETWEEN(10,50)</f>
        <v>12</v>
      </c>
      <c r="E3" s="2"/>
      <c r="F3" s="5" t="s">
        <v>6</v>
      </c>
      <c r="H3" s="6"/>
      <c r="I3" s="22">
        <f t="array" aca="1" ref="I3:I5" ca="1">TRANSPOSE(Q21:S21)</f>
        <v>175</v>
      </c>
      <c r="J3" s="2">
        <f ca="1">SUMIF($B$3:$B$20,"="&amp;$F3,$D$3:$D$20)</f>
        <v>175</v>
      </c>
      <c r="K3" s="2"/>
      <c r="L3" s="2" t="str">
        <f>IF(H3="","",IF(ABS(H3-J3)&gt;10^-10,"TRY AGAIN","GOOD JOB"))</f>
        <v/>
      </c>
      <c r="M3" s="2"/>
      <c r="N3" s="2" t="b">
        <f>N$2=$B3</f>
        <v>1</v>
      </c>
      <c r="O3" s="2" t="b">
        <f>O$2=$B3</f>
        <v>0</v>
      </c>
      <c r="P3" s="2" t="b">
        <f>P$2=$B3</f>
        <v>0</v>
      </c>
      <c r="Q3">
        <f t="shared" ref="Q3:S20" ca="1" si="2">N3*$D3</f>
        <v>12</v>
      </c>
      <c r="R3">
        <f t="shared" ca="1" si="2"/>
        <v>0</v>
      </c>
      <c r="S3">
        <f t="shared" ca="1" si="2"/>
        <v>0</v>
      </c>
      <c r="T3" s="2" t="b">
        <f t="shared" ref="T3:Y18" si="3">T$2=$C3</f>
        <v>1</v>
      </c>
      <c r="U3" s="2" t="b">
        <f t="shared" si="3"/>
        <v>0</v>
      </c>
      <c r="V3" s="2" t="b">
        <f t="shared" si="3"/>
        <v>0</v>
      </c>
      <c r="W3" s="2" t="b">
        <f t="shared" si="3"/>
        <v>0</v>
      </c>
      <c r="X3" s="2" t="b">
        <f t="shared" si="3"/>
        <v>0</v>
      </c>
      <c r="Y3" s="2" t="b">
        <f t="shared" si="3"/>
        <v>0</v>
      </c>
      <c r="Z3" s="18">
        <f ca="1">T3*$D3</f>
        <v>12</v>
      </c>
      <c r="AA3" s="18">
        <f t="shared" ref="AA3:AE18" ca="1" si="4">U3*$D3</f>
        <v>0</v>
      </c>
      <c r="AB3" s="18">
        <f t="shared" ca="1" si="4"/>
        <v>0</v>
      </c>
      <c r="AC3" s="18">
        <f t="shared" ca="1" si="4"/>
        <v>0</v>
      </c>
      <c r="AD3" s="18">
        <f t="shared" ca="1" si="4"/>
        <v>0</v>
      </c>
      <c r="AE3" s="18">
        <f t="shared" ca="1" si="4"/>
        <v>0</v>
      </c>
    </row>
    <row r="4" spans="2:31">
      <c r="B4" s="5" t="s">
        <v>8</v>
      </c>
      <c r="C4" s="5" t="s">
        <v>7</v>
      </c>
      <c r="D4" s="5">
        <f t="shared" ca="1" si="1"/>
        <v>32</v>
      </c>
      <c r="E4" s="2"/>
      <c r="F4" s="5" t="s">
        <v>8</v>
      </c>
      <c r="H4" s="6"/>
      <c r="I4" s="22">
        <f ca="1"/>
        <v>170</v>
      </c>
      <c r="J4" s="2">
        <f ca="1">SUMIF($B$3:$B$20,"="&amp;$F4,$D$3:$D$20)</f>
        <v>170</v>
      </c>
      <c r="K4" s="2"/>
      <c r="L4" s="2" t="str">
        <f>IF(H4="","",IF(ABS(H4-J4)&gt;10^-10,"TRY AGAIN","GOOD JOB"))</f>
        <v/>
      </c>
      <c r="M4" s="2"/>
      <c r="N4" s="2" t="b">
        <f t="shared" ref="N4:P20" si="5">N$2=$B4</f>
        <v>0</v>
      </c>
      <c r="O4" s="2" t="b">
        <f t="shared" si="5"/>
        <v>1</v>
      </c>
      <c r="P4" s="2" t="b">
        <f t="shared" si="5"/>
        <v>0</v>
      </c>
      <c r="Q4">
        <f t="shared" ca="1" si="2"/>
        <v>0</v>
      </c>
      <c r="R4">
        <f t="shared" ca="1" si="2"/>
        <v>32</v>
      </c>
      <c r="S4">
        <f t="shared" ca="1" si="2"/>
        <v>0</v>
      </c>
      <c r="T4" s="2" t="b">
        <f t="shared" si="3"/>
        <v>1</v>
      </c>
      <c r="U4" s="2" t="b">
        <f t="shared" si="3"/>
        <v>0</v>
      </c>
      <c r="V4" s="2" t="b">
        <f t="shared" si="3"/>
        <v>0</v>
      </c>
      <c r="W4" s="2" t="b">
        <f t="shared" si="3"/>
        <v>0</v>
      </c>
      <c r="X4" s="2" t="b">
        <f t="shared" si="3"/>
        <v>0</v>
      </c>
      <c r="Y4" s="2" t="b">
        <f t="shared" si="3"/>
        <v>0</v>
      </c>
      <c r="Z4" s="18">
        <f t="shared" ref="Z4:AE20" ca="1" si="6">T4*$D4</f>
        <v>32</v>
      </c>
      <c r="AA4" s="18">
        <f t="shared" ca="1" si="4"/>
        <v>0</v>
      </c>
      <c r="AB4" s="18">
        <f t="shared" ca="1" si="4"/>
        <v>0</v>
      </c>
      <c r="AC4" s="18">
        <f t="shared" ca="1" si="4"/>
        <v>0</v>
      </c>
      <c r="AD4" s="18">
        <f t="shared" ca="1" si="4"/>
        <v>0</v>
      </c>
      <c r="AE4" s="18">
        <f t="shared" ca="1" si="4"/>
        <v>0</v>
      </c>
    </row>
    <row r="5" spans="2:31">
      <c r="B5" s="5" t="s">
        <v>9</v>
      </c>
      <c r="C5" s="5" t="s">
        <v>7</v>
      </c>
      <c r="D5" s="5">
        <f t="shared" ca="1" si="1"/>
        <v>34</v>
      </c>
      <c r="E5" s="2"/>
      <c r="F5" s="5" t="s">
        <v>9</v>
      </c>
      <c r="H5" s="6"/>
      <c r="I5" s="22">
        <f ca="1"/>
        <v>173</v>
      </c>
      <c r="J5" s="2">
        <f ca="1">SUMIF($B$3:$B$20,"="&amp;$F5,$D$3:$D$20)</f>
        <v>173</v>
      </c>
      <c r="K5" s="2"/>
      <c r="L5" s="2" t="str">
        <f>IF(H5="","",IF(ABS(H5-J5)&gt;10^-10,"TRY AGAIN","GOOD JOB"))</f>
        <v/>
      </c>
      <c r="M5" s="2"/>
      <c r="N5" s="2" t="b">
        <f t="shared" si="5"/>
        <v>0</v>
      </c>
      <c r="O5" s="2" t="b">
        <f t="shared" si="5"/>
        <v>0</v>
      </c>
      <c r="P5" s="2" t="b">
        <f t="shared" si="5"/>
        <v>1</v>
      </c>
      <c r="Q5">
        <f t="shared" ca="1" si="2"/>
        <v>0</v>
      </c>
      <c r="R5">
        <f t="shared" ca="1" si="2"/>
        <v>0</v>
      </c>
      <c r="S5">
        <f t="shared" ca="1" si="2"/>
        <v>34</v>
      </c>
      <c r="T5" s="2" t="b">
        <f t="shared" si="3"/>
        <v>1</v>
      </c>
      <c r="U5" s="2" t="b">
        <f t="shared" si="3"/>
        <v>0</v>
      </c>
      <c r="V5" s="2" t="b">
        <f t="shared" si="3"/>
        <v>0</v>
      </c>
      <c r="W5" s="2" t="b">
        <f t="shared" si="3"/>
        <v>0</v>
      </c>
      <c r="X5" s="2" t="b">
        <f t="shared" si="3"/>
        <v>0</v>
      </c>
      <c r="Y5" s="2" t="b">
        <f t="shared" si="3"/>
        <v>0</v>
      </c>
      <c r="Z5" s="18">
        <f t="shared" ca="1" si="6"/>
        <v>34</v>
      </c>
      <c r="AA5" s="18">
        <f t="shared" ca="1" si="4"/>
        <v>0</v>
      </c>
      <c r="AB5" s="18">
        <f t="shared" ca="1" si="4"/>
        <v>0</v>
      </c>
      <c r="AC5" s="18">
        <f t="shared" ca="1" si="4"/>
        <v>0</v>
      </c>
      <c r="AD5" s="18">
        <f t="shared" ca="1" si="4"/>
        <v>0</v>
      </c>
      <c r="AE5" s="18">
        <f t="shared" ca="1" si="4"/>
        <v>0</v>
      </c>
    </row>
    <row r="6" spans="2:31">
      <c r="B6" s="5" t="s">
        <v>6</v>
      </c>
      <c r="C6" s="5" t="s">
        <v>10</v>
      </c>
      <c r="D6" s="5">
        <f t="shared" ca="1" si="1"/>
        <v>33</v>
      </c>
      <c r="E6" s="2"/>
      <c r="F6" s="2"/>
      <c r="G6" s="2"/>
      <c r="H6" s="2"/>
      <c r="I6" s="2"/>
      <c r="J6" s="2"/>
      <c r="K6" s="2"/>
      <c r="L6" s="2"/>
      <c r="M6" s="2"/>
      <c r="N6" s="2" t="b">
        <f t="shared" si="5"/>
        <v>1</v>
      </c>
      <c r="O6" s="2" t="b">
        <f t="shared" si="5"/>
        <v>0</v>
      </c>
      <c r="P6" s="2" t="b">
        <f t="shared" si="5"/>
        <v>0</v>
      </c>
      <c r="Q6">
        <f t="shared" ca="1" si="2"/>
        <v>33</v>
      </c>
      <c r="R6">
        <f t="shared" ca="1" si="2"/>
        <v>0</v>
      </c>
      <c r="S6">
        <f t="shared" ca="1" si="2"/>
        <v>0</v>
      </c>
      <c r="T6" s="2" t="b">
        <f t="shared" si="3"/>
        <v>0</v>
      </c>
      <c r="U6" s="2" t="b">
        <f t="shared" si="3"/>
        <v>1</v>
      </c>
      <c r="V6" s="2" t="b">
        <f t="shared" si="3"/>
        <v>0</v>
      </c>
      <c r="W6" s="2" t="b">
        <f t="shared" si="3"/>
        <v>0</v>
      </c>
      <c r="X6" s="2" t="b">
        <f t="shared" si="3"/>
        <v>0</v>
      </c>
      <c r="Y6" s="2" t="b">
        <f t="shared" si="3"/>
        <v>0</v>
      </c>
      <c r="Z6" s="18">
        <f t="shared" ca="1" si="6"/>
        <v>0</v>
      </c>
      <c r="AA6" s="18">
        <f t="shared" ca="1" si="4"/>
        <v>33</v>
      </c>
      <c r="AB6" s="18">
        <f t="shared" ca="1" si="4"/>
        <v>0</v>
      </c>
      <c r="AC6" s="18">
        <f t="shared" ca="1" si="4"/>
        <v>0</v>
      </c>
      <c r="AD6" s="18">
        <f t="shared" ca="1" si="4"/>
        <v>0</v>
      </c>
      <c r="AE6" s="18">
        <f t="shared" ca="1" si="4"/>
        <v>0</v>
      </c>
    </row>
    <row r="7" spans="2:31">
      <c r="B7" s="5" t="s">
        <v>8</v>
      </c>
      <c r="C7" s="5" t="s">
        <v>10</v>
      </c>
      <c r="D7" s="5">
        <f t="shared" ca="1" si="1"/>
        <v>30</v>
      </c>
      <c r="E7" s="2"/>
      <c r="F7" s="1" t="s">
        <v>1</v>
      </c>
      <c r="G7" s="1"/>
      <c r="H7" s="1" t="s">
        <v>3</v>
      </c>
      <c r="I7" s="2"/>
      <c r="J7" s="2"/>
      <c r="K7" s="2"/>
      <c r="L7" s="2"/>
      <c r="M7" s="2"/>
      <c r="N7" s="2" t="b">
        <f t="shared" si="5"/>
        <v>0</v>
      </c>
      <c r="O7" s="2" t="b">
        <f t="shared" si="5"/>
        <v>1</v>
      </c>
      <c r="P7" s="2" t="b">
        <f t="shared" si="5"/>
        <v>0</v>
      </c>
      <c r="Q7">
        <f t="shared" ca="1" si="2"/>
        <v>0</v>
      </c>
      <c r="R7">
        <f t="shared" ca="1" si="2"/>
        <v>30</v>
      </c>
      <c r="S7">
        <f t="shared" ca="1" si="2"/>
        <v>0</v>
      </c>
      <c r="T7" s="2" t="b">
        <f t="shared" si="3"/>
        <v>0</v>
      </c>
      <c r="U7" s="2" t="b">
        <f t="shared" si="3"/>
        <v>1</v>
      </c>
      <c r="V7" s="2" t="b">
        <f t="shared" si="3"/>
        <v>0</v>
      </c>
      <c r="W7" s="2" t="b">
        <f t="shared" si="3"/>
        <v>0</v>
      </c>
      <c r="X7" s="2" t="b">
        <f t="shared" si="3"/>
        <v>0</v>
      </c>
      <c r="Y7" s="2" t="b">
        <f t="shared" si="3"/>
        <v>0</v>
      </c>
      <c r="Z7" s="18">
        <f t="shared" ca="1" si="6"/>
        <v>0</v>
      </c>
      <c r="AA7" s="18">
        <f t="shared" ca="1" si="4"/>
        <v>30</v>
      </c>
      <c r="AB7" s="18">
        <f t="shared" ca="1" si="4"/>
        <v>0</v>
      </c>
      <c r="AC7" s="18">
        <f t="shared" ca="1" si="4"/>
        <v>0</v>
      </c>
      <c r="AD7" s="18">
        <f t="shared" ca="1" si="4"/>
        <v>0</v>
      </c>
      <c r="AE7" s="18">
        <f t="shared" ca="1" si="4"/>
        <v>0</v>
      </c>
    </row>
    <row r="8" spans="2:31">
      <c r="B8" s="5" t="s">
        <v>9</v>
      </c>
      <c r="C8" s="5" t="s">
        <v>10</v>
      </c>
      <c r="D8" s="5">
        <f t="shared" ca="1" si="1"/>
        <v>24</v>
      </c>
      <c r="E8" s="2"/>
      <c r="F8" s="5" t="s">
        <v>7</v>
      </c>
      <c r="H8" s="6"/>
      <c r="I8" s="22">
        <f t="array" aca="1" ref="I8:I13" ca="1">TRANSPOSE(Z21:AE21)</f>
        <v>78</v>
      </c>
      <c r="J8" s="2">
        <f t="shared" ref="J8:J13" ca="1" si="7">SUMIF($C$3:$C$20,"="&amp;$F8,$D$3:$D$20)</f>
        <v>78</v>
      </c>
      <c r="K8" s="2"/>
      <c r="L8" s="2" t="str">
        <f t="shared" ref="L8:L13" si="8">IF(H8="","",IF(ABS(H8-J8)&gt;10^-10,"TRY AGAIN","GOOD JOB"))</f>
        <v/>
      </c>
      <c r="M8" s="2"/>
      <c r="N8" s="2" t="b">
        <f t="shared" si="5"/>
        <v>0</v>
      </c>
      <c r="O8" s="2" t="b">
        <f t="shared" si="5"/>
        <v>0</v>
      </c>
      <c r="P8" s="2" t="b">
        <f t="shared" si="5"/>
        <v>1</v>
      </c>
      <c r="Q8">
        <f t="shared" ca="1" si="2"/>
        <v>0</v>
      </c>
      <c r="R8">
        <f t="shared" ca="1" si="2"/>
        <v>0</v>
      </c>
      <c r="S8">
        <f t="shared" ca="1" si="2"/>
        <v>24</v>
      </c>
      <c r="T8" s="2" t="b">
        <f t="shared" si="3"/>
        <v>0</v>
      </c>
      <c r="U8" s="2" t="b">
        <f t="shared" si="3"/>
        <v>1</v>
      </c>
      <c r="V8" s="2" t="b">
        <f t="shared" si="3"/>
        <v>0</v>
      </c>
      <c r="W8" s="2" t="b">
        <f t="shared" si="3"/>
        <v>0</v>
      </c>
      <c r="X8" s="2" t="b">
        <f t="shared" si="3"/>
        <v>0</v>
      </c>
      <c r="Y8" s="2" t="b">
        <f t="shared" si="3"/>
        <v>0</v>
      </c>
      <c r="Z8" s="18">
        <f t="shared" ca="1" si="6"/>
        <v>0</v>
      </c>
      <c r="AA8" s="18">
        <f t="shared" ca="1" si="4"/>
        <v>24</v>
      </c>
      <c r="AB8" s="18">
        <f t="shared" ca="1" si="4"/>
        <v>0</v>
      </c>
      <c r="AC8" s="18">
        <f t="shared" ca="1" si="4"/>
        <v>0</v>
      </c>
      <c r="AD8" s="18">
        <f t="shared" ca="1" si="4"/>
        <v>0</v>
      </c>
      <c r="AE8" s="18">
        <f t="shared" ca="1" si="4"/>
        <v>0</v>
      </c>
    </row>
    <row r="9" spans="2:31">
      <c r="B9" s="5" t="s">
        <v>6</v>
      </c>
      <c r="C9" s="5" t="s">
        <v>11</v>
      </c>
      <c r="D9" s="5">
        <f t="shared" ca="1" si="1"/>
        <v>11</v>
      </c>
      <c r="E9" s="2"/>
      <c r="F9" s="5" t="s">
        <v>10</v>
      </c>
      <c r="H9" s="6"/>
      <c r="I9" s="22">
        <f ca="1"/>
        <v>87</v>
      </c>
      <c r="J9" s="2">
        <f t="shared" ca="1" si="7"/>
        <v>87</v>
      </c>
      <c r="K9" s="2"/>
      <c r="L9" s="2" t="str">
        <f t="shared" si="8"/>
        <v/>
      </c>
      <c r="M9" s="2"/>
      <c r="N9" s="2" t="b">
        <f t="shared" si="5"/>
        <v>1</v>
      </c>
      <c r="O9" s="2" t="b">
        <f t="shared" si="5"/>
        <v>0</v>
      </c>
      <c r="P9" s="2" t="b">
        <f t="shared" si="5"/>
        <v>0</v>
      </c>
      <c r="Q9">
        <f t="shared" ca="1" si="2"/>
        <v>11</v>
      </c>
      <c r="R9">
        <f t="shared" ca="1" si="2"/>
        <v>0</v>
      </c>
      <c r="S9">
        <f t="shared" ca="1" si="2"/>
        <v>0</v>
      </c>
      <c r="T9" s="2" t="b">
        <f t="shared" si="3"/>
        <v>0</v>
      </c>
      <c r="U9" s="2" t="b">
        <f t="shared" si="3"/>
        <v>0</v>
      </c>
      <c r="V9" s="2" t="b">
        <f t="shared" si="3"/>
        <v>1</v>
      </c>
      <c r="W9" s="2" t="b">
        <f t="shared" si="3"/>
        <v>0</v>
      </c>
      <c r="X9" s="2" t="b">
        <f t="shared" si="3"/>
        <v>0</v>
      </c>
      <c r="Y9" s="2" t="b">
        <f t="shared" si="3"/>
        <v>0</v>
      </c>
      <c r="Z9" s="18">
        <f t="shared" ca="1" si="6"/>
        <v>0</v>
      </c>
      <c r="AA9" s="18">
        <f t="shared" ca="1" si="4"/>
        <v>0</v>
      </c>
      <c r="AB9" s="18">
        <f t="shared" ca="1" si="4"/>
        <v>11</v>
      </c>
      <c r="AC9" s="18">
        <f t="shared" ca="1" si="4"/>
        <v>0</v>
      </c>
      <c r="AD9" s="18">
        <f t="shared" ca="1" si="4"/>
        <v>0</v>
      </c>
      <c r="AE9" s="18">
        <f t="shared" ca="1" si="4"/>
        <v>0</v>
      </c>
    </row>
    <row r="10" spans="2:31">
      <c r="B10" s="5" t="s">
        <v>8</v>
      </c>
      <c r="C10" s="5" t="s">
        <v>11</v>
      </c>
      <c r="D10" s="5">
        <f t="shared" ca="1" si="1"/>
        <v>26</v>
      </c>
      <c r="E10" s="2"/>
      <c r="F10" s="5" t="s">
        <v>11</v>
      </c>
      <c r="H10" s="6"/>
      <c r="I10" s="22">
        <f ca="1"/>
        <v>76</v>
      </c>
      <c r="J10" s="2">
        <f t="shared" ca="1" si="7"/>
        <v>76</v>
      </c>
      <c r="K10" s="2"/>
      <c r="L10" s="2" t="str">
        <f t="shared" si="8"/>
        <v/>
      </c>
      <c r="M10" s="2"/>
      <c r="N10" s="2" t="b">
        <f t="shared" si="5"/>
        <v>0</v>
      </c>
      <c r="O10" s="2" t="b">
        <f t="shared" si="5"/>
        <v>1</v>
      </c>
      <c r="P10" s="2" t="b">
        <f t="shared" si="5"/>
        <v>0</v>
      </c>
      <c r="Q10">
        <f t="shared" ca="1" si="2"/>
        <v>0</v>
      </c>
      <c r="R10">
        <f t="shared" ca="1" si="2"/>
        <v>26</v>
      </c>
      <c r="S10">
        <f t="shared" ca="1" si="2"/>
        <v>0</v>
      </c>
      <c r="T10" s="2" t="b">
        <f t="shared" si="3"/>
        <v>0</v>
      </c>
      <c r="U10" s="2" t="b">
        <f t="shared" si="3"/>
        <v>0</v>
      </c>
      <c r="V10" s="2" t="b">
        <f t="shared" si="3"/>
        <v>1</v>
      </c>
      <c r="W10" s="2" t="b">
        <f t="shared" si="3"/>
        <v>0</v>
      </c>
      <c r="X10" s="2" t="b">
        <f t="shared" si="3"/>
        <v>0</v>
      </c>
      <c r="Y10" s="2" t="b">
        <f t="shared" si="3"/>
        <v>0</v>
      </c>
      <c r="Z10" s="18">
        <f t="shared" ca="1" si="6"/>
        <v>0</v>
      </c>
      <c r="AA10" s="18">
        <f t="shared" ca="1" si="4"/>
        <v>0</v>
      </c>
      <c r="AB10" s="18">
        <f t="shared" ca="1" si="4"/>
        <v>26</v>
      </c>
      <c r="AC10" s="18">
        <f t="shared" ca="1" si="4"/>
        <v>0</v>
      </c>
      <c r="AD10" s="18">
        <f t="shared" ca="1" si="4"/>
        <v>0</v>
      </c>
      <c r="AE10" s="18">
        <f t="shared" ca="1" si="4"/>
        <v>0</v>
      </c>
    </row>
    <row r="11" spans="2:31">
      <c r="B11" s="5" t="s">
        <v>9</v>
      </c>
      <c r="C11" s="5" t="s">
        <v>11</v>
      </c>
      <c r="D11" s="5">
        <f t="shared" ca="1" si="1"/>
        <v>39</v>
      </c>
      <c r="E11" s="2"/>
      <c r="F11" s="5" t="s">
        <v>12</v>
      </c>
      <c r="H11" s="6"/>
      <c r="I11" s="22">
        <f ca="1"/>
        <v>103</v>
      </c>
      <c r="J11" s="2">
        <f t="shared" ca="1" si="7"/>
        <v>103</v>
      </c>
      <c r="K11" s="2"/>
      <c r="L11" s="2" t="str">
        <f t="shared" si="8"/>
        <v/>
      </c>
      <c r="M11" s="2"/>
      <c r="N11" s="2" t="b">
        <f t="shared" si="5"/>
        <v>0</v>
      </c>
      <c r="O11" s="2" t="b">
        <f t="shared" si="5"/>
        <v>0</v>
      </c>
      <c r="P11" s="2" t="b">
        <f t="shared" si="5"/>
        <v>1</v>
      </c>
      <c r="Q11">
        <f t="shared" ca="1" si="2"/>
        <v>0</v>
      </c>
      <c r="R11">
        <f t="shared" ca="1" si="2"/>
        <v>0</v>
      </c>
      <c r="S11">
        <f t="shared" ca="1" si="2"/>
        <v>39</v>
      </c>
      <c r="T11" s="2" t="b">
        <f t="shared" si="3"/>
        <v>0</v>
      </c>
      <c r="U11" s="2" t="b">
        <f t="shared" si="3"/>
        <v>0</v>
      </c>
      <c r="V11" s="2" t="b">
        <f t="shared" si="3"/>
        <v>1</v>
      </c>
      <c r="W11" s="2" t="b">
        <f t="shared" si="3"/>
        <v>0</v>
      </c>
      <c r="X11" s="2" t="b">
        <f t="shared" si="3"/>
        <v>0</v>
      </c>
      <c r="Y11" s="2" t="b">
        <f t="shared" si="3"/>
        <v>0</v>
      </c>
      <c r="Z11" s="18">
        <f t="shared" ca="1" si="6"/>
        <v>0</v>
      </c>
      <c r="AA11" s="18">
        <f t="shared" ca="1" si="4"/>
        <v>0</v>
      </c>
      <c r="AB11" s="18">
        <f t="shared" ca="1" si="4"/>
        <v>39</v>
      </c>
      <c r="AC11" s="18">
        <f t="shared" ca="1" si="4"/>
        <v>0</v>
      </c>
      <c r="AD11" s="18">
        <f t="shared" ca="1" si="4"/>
        <v>0</v>
      </c>
      <c r="AE11" s="18">
        <f t="shared" ca="1" si="4"/>
        <v>0</v>
      </c>
    </row>
    <row r="12" spans="2:31">
      <c r="B12" s="5" t="s">
        <v>6</v>
      </c>
      <c r="C12" s="5" t="s">
        <v>12</v>
      </c>
      <c r="D12" s="5">
        <f t="shared" ca="1" si="1"/>
        <v>49</v>
      </c>
      <c r="E12" s="2"/>
      <c r="F12" s="5" t="s">
        <v>13</v>
      </c>
      <c r="H12" s="6"/>
      <c r="I12" s="22">
        <f ca="1"/>
        <v>87</v>
      </c>
      <c r="J12" s="2">
        <f t="shared" ca="1" si="7"/>
        <v>87</v>
      </c>
      <c r="K12" s="2"/>
      <c r="L12" s="2" t="str">
        <f t="shared" si="8"/>
        <v/>
      </c>
      <c r="M12" s="2"/>
      <c r="N12" s="2" t="b">
        <f t="shared" si="5"/>
        <v>1</v>
      </c>
      <c r="O12" s="2" t="b">
        <f t="shared" si="5"/>
        <v>0</v>
      </c>
      <c r="P12" s="2" t="b">
        <f t="shared" si="5"/>
        <v>0</v>
      </c>
      <c r="Q12">
        <f t="shared" ca="1" si="2"/>
        <v>49</v>
      </c>
      <c r="R12">
        <f t="shared" ca="1" si="2"/>
        <v>0</v>
      </c>
      <c r="S12">
        <f t="shared" ca="1" si="2"/>
        <v>0</v>
      </c>
      <c r="T12" s="2" t="b">
        <f t="shared" si="3"/>
        <v>0</v>
      </c>
      <c r="U12" s="2" t="b">
        <f t="shared" si="3"/>
        <v>0</v>
      </c>
      <c r="V12" s="2" t="b">
        <f t="shared" si="3"/>
        <v>0</v>
      </c>
      <c r="W12" s="2" t="b">
        <f t="shared" si="3"/>
        <v>1</v>
      </c>
      <c r="X12" s="2" t="b">
        <f t="shared" si="3"/>
        <v>0</v>
      </c>
      <c r="Y12" s="2" t="b">
        <f t="shared" si="3"/>
        <v>0</v>
      </c>
      <c r="Z12" s="18">
        <f t="shared" ca="1" si="6"/>
        <v>0</v>
      </c>
      <c r="AA12" s="18">
        <f t="shared" ca="1" si="4"/>
        <v>0</v>
      </c>
      <c r="AB12" s="18">
        <f t="shared" ca="1" si="4"/>
        <v>0</v>
      </c>
      <c r="AC12" s="18">
        <f t="shared" ca="1" si="4"/>
        <v>49</v>
      </c>
      <c r="AD12" s="18">
        <f t="shared" ca="1" si="4"/>
        <v>0</v>
      </c>
      <c r="AE12" s="18">
        <f t="shared" ca="1" si="4"/>
        <v>0</v>
      </c>
    </row>
    <row r="13" spans="2:31">
      <c r="B13" s="5" t="s">
        <v>8</v>
      </c>
      <c r="C13" s="5" t="s">
        <v>12</v>
      </c>
      <c r="D13" s="5">
        <f t="shared" ca="1" si="1"/>
        <v>30</v>
      </c>
      <c r="E13" s="2"/>
      <c r="F13" s="5" t="s">
        <v>14</v>
      </c>
      <c r="H13" s="6"/>
      <c r="I13" s="22">
        <f ca="1"/>
        <v>87</v>
      </c>
      <c r="J13" s="2">
        <f t="shared" ca="1" si="7"/>
        <v>87</v>
      </c>
      <c r="K13" s="2"/>
      <c r="L13" s="2" t="str">
        <f t="shared" si="8"/>
        <v/>
      </c>
      <c r="M13" s="2"/>
      <c r="N13" s="2" t="b">
        <f t="shared" si="5"/>
        <v>0</v>
      </c>
      <c r="O13" s="2" t="b">
        <f t="shared" si="5"/>
        <v>1</v>
      </c>
      <c r="P13" s="2" t="b">
        <f t="shared" si="5"/>
        <v>0</v>
      </c>
      <c r="Q13">
        <f t="shared" ca="1" si="2"/>
        <v>0</v>
      </c>
      <c r="R13">
        <f t="shared" ca="1" si="2"/>
        <v>30</v>
      </c>
      <c r="S13">
        <f t="shared" ca="1" si="2"/>
        <v>0</v>
      </c>
      <c r="T13" s="2" t="b">
        <f t="shared" si="3"/>
        <v>0</v>
      </c>
      <c r="U13" s="2" t="b">
        <f t="shared" si="3"/>
        <v>0</v>
      </c>
      <c r="V13" s="2" t="b">
        <f t="shared" si="3"/>
        <v>0</v>
      </c>
      <c r="W13" s="2" t="b">
        <f t="shared" si="3"/>
        <v>1</v>
      </c>
      <c r="X13" s="2" t="b">
        <f t="shared" si="3"/>
        <v>0</v>
      </c>
      <c r="Y13" s="2" t="b">
        <f t="shared" si="3"/>
        <v>0</v>
      </c>
      <c r="Z13" s="18">
        <f t="shared" ca="1" si="6"/>
        <v>0</v>
      </c>
      <c r="AA13" s="18">
        <f t="shared" ca="1" si="4"/>
        <v>0</v>
      </c>
      <c r="AB13" s="18">
        <f t="shared" ca="1" si="4"/>
        <v>0</v>
      </c>
      <c r="AC13" s="18">
        <f t="shared" ca="1" si="4"/>
        <v>30</v>
      </c>
      <c r="AD13" s="18">
        <f t="shared" ca="1" si="4"/>
        <v>0</v>
      </c>
      <c r="AE13" s="18">
        <f t="shared" ca="1" si="4"/>
        <v>0</v>
      </c>
    </row>
    <row r="14" spans="2:31">
      <c r="B14" s="5" t="s">
        <v>9</v>
      </c>
      <c r="C14" s="5" t="s">
        <v>12</v>
      </c>
      <c r="D14" s="5">
        <f t="shared" ca="1" si="1"/>
        <v>24</v>
      </c>
      <c r="E14" s="2"/>
      <c r="L14" s="2"/>
      <c r="M14" s="2"/>
      <c r="N14" s="2" t="b">
        <f t="shared" si="5"/>
        <v>0</v>
      </c>
      <c r="O14" s="2" t="b">
        <f t="shared" si="5"/>
        <v>0</v>
      </c>
      <c r="P14" s="2" t="b">
        <f t="shared" si="5"/>
        <v>1</v>
      </c>
      <c r="Q14">
        <f t="shared" ca="1" si="2"/>
        <v>0</v>
      </c>
      <c r="R14">
        <f t="shared" ca="1" si="2"/>
        <v>0</v>
      </c>
      <c r="S14">
        <f t="shared" ca="1" si="2"/>
        <v>24</v>
      </c>
      <c r="T14" s="2" t="b">
        <f t="shared" si="3"/>
        <v>0</v>
      </c>
      <c r="U14" s="2" t="b">
        <f t="shared" si="3"/>
        <v>0</v>
      </c>
      <c r="V14" s="2" t="b">
        <f t="shared" si="3"/>
        <v>0</v>
      </c>
      <c r="W14" s="2" t="b">
        <f t="shared" si="3"/>
        <v>1</v>
      </c>
      <c r="X14" s="2" t="b">
        <f t="shared" si="3"/>
        <v>0</v>
      </c>
      <c r="Y14" s="2" t="b">
        <f t="shared" si="3"/>
        <v>0</v>
      </c>
      <c r="Z14" s="18">
        <f t="shared" ca="1" si="6"/>
        <v>0</v>
      </c>
      <c r="AA14" s="18">
        <f t="shared" ca="1" si="4"/>
        <v>0</v>
      </c>
      <c r="AB14" s="18">
        <f t="shared" ca="1" si="4"/>
        <v>0</v>
      </c>
      <c r="AC14" s="18">
        <f t="shared" ca="1" si="4"/>
        <v>24</v>
      </c>
      <c r="AD14" s="18">
        <f t="shared" ca="1" si="4"/>
        <v>0</v>
      </c>
      <c r="AE14" s="18">
        <f t="shared" ca="1" si="4"/>
        <v>0</v>
      </c>
    </row>
    <row r="15" spans="2:31">
      <c r="B15" s="5" t="s">
        <v>6</v>
      </c>
      <c r="C15" s="5" t="s">
        <v>13</v>
      </c>
      <c r="D15" s="5">
        <f t="shared" ca="1" si="1"/>
        <v>48</v>
      </c>
      <c r="E15" s="2"/>
      <c r="F15" s="20"/>
      <c r="L15" s="2"/>
      <c r="M15" s="2"/>
      <c r="N15" s="2" t="b">
        <f t="shared" si="5"/>
        <v>1</v>
      </c>
      <c r="O15" s="2" t="b">
        <f t="shared" si="5"/>
        <v>0</v>
      </c>
      <c r="P15" s="2" t="b">
        <f t="shared" si="5"/>
        <v>0</v>
      </c>
      <c r="Q15">
        <f t="shared" ca="1" si="2"/>
        <v>48</v>
      </c>
      <c r="R15">
        <f t="shared" ca="1" si="2"/>
        <v>0</v>
      </c>
      <c r="S15">
        <f t="shared" ca="1" si="2"/>
        <v>0</v>
      </c>
      <c r="T15" s="2" t="b">
        <f t="shared" si="3"/>
        <v>0</v>
      </c>
      <c r="U15" s="2" t="b">
        <f t="shared" si="3"/>
        <v>0</v>
      </c>
      <c r="V15" s="2" t="b">
        <f t="shared" si="3"/>
        <v>0</v>
      </c>
      <c r="W15" s="2" t="b">
        <f t="shared" si="3"/>
        <v>0</v>
      </c>
      <c r="X15" s="2" t="b">
        <f t="shared" si="3"/>
        <v>1</v>
      </c>
      <c r="Y15" s="2" t="b">
        <f t="shared" si="3"/>
        <v>0</v>
      </c>
      <c r="Z15" s="18">
        <f t="shared" ca="1" si="6"/>
        <v>0</v>
      </c>
      <c r="AA15" s="18">
        <f t="shared" ca="1" si="4"/>
        <v>0</v>
      </c>
      <c r="AB15" s="18">
        <f t="shared" ca="1" si="4"/>
        <v>0</v>
      </c>
      <c r="AC15" s="18">
        <f t="shared" ca="1" si="4"/>
        <v>0</v>
      </c>
      <c r="AD15" s="18">
        <f t="shared" ca="1" si="4"/>
        <v>48</v>
      </c>
      <c r="AE15" s="18">
        <f t="shared" ca="1" si="4"/>
        <v>0</v>
      </c>
    </row>
    <row r="16" spans="2:31">
      <c r="B16" s="5" t="s">
        <v>8</v>
      </c>
      <c r="C16" s="5" t="s">
        <v>13</v>
      </c>
      <c r="D16" s="5">
        <f t="shared" ca="1" si="1"/>
        <v>29</v>
      </c>
      <c r="E16" s="2"/>
      <c r="L16" s="2"/>
      <c r="M16" s="2"/>
      <c r="N16" s="2" t="b">
        <f t="shared" si="5"/>
        <v>0</v>
      </c>
      <c r="O16" s="2" t="b">
        <f t="shared" si="5"/>
        <v>1</v>
      </c>
      <c r="P16" s="2" t="b">
        <f t="shared" si="5"/>
        <v>0</v>
      </c>
      <c r="Q16">
        <f t="shared" ca="1" si="2"/>
        <v>0</v>
      </c>
      <c r="R16">
        <f t="shared" ca="1" si="2"/>
        <v>29</v>
      </c>
      <c r="S16">
        <f t="shared" ca="1" si="2"/>
        <v>0</v>
      </c>
      <c r="T16" s="2" t="b">
        <f t="shared" si="3"/>
        <v>0</v>
      </c>
      <c r="U16" s="2" t="b">
        <f t="shared" si="3"/>
        <v>0</v>
      </c>
      <c r="V16" s="2" t="b">
        <f t="shared" si="3"/>
        <v>0</v>
      </c>
      <c r="W16" s="2" t="b">
        <f t="shared" si="3"/>
        <v>0</v>
      </c>
      <c r="X16" s="2" t="b">
        <f t="shared" si="3"/>
        <v>1</v>
      </c>
      <c r="Y16" s="2" t="b">
        <f t="shared" si="3"/>
        <v>0</v>
      </c>
      <c r="Z16" s="18">
        <f t="shared" ca="1" si="6"/>
        <v>0</v>
      </c>
      <c r="AA16" s="18">
        <f t="shared" ca="1" si="4"/>
        <v>0</v>
      </c>
      <c r="AB16" s="18">
        <f t="shared" ca="1" si="4"/>
        <v>0</v>
      </c>
      <c r="AC16" s="18">
        <f t="shared" ca="1" si="4"/>
        <v>0</v>
      </c>
      <c r="AD16" s="18">
        <f t="shared" ca="1" si="4"/>
        <v>29</v>
      </c>
      <c r="AE16" s="18">
        <f t="shared" ca="1" si="4"/>
        <v>0</v>
      </c>
    </row>
    <row r="17" spans="2:31">
      <c r="B17" s="5" t="s">
        <v>9</v>
      </c>
      <c r="C17" s="5" t="s">
        <v>13</v>
      </c>
      <c r="D17" s="5">
        <f t="shared" ca="1" si="1"/>
        <v>10</v>
      </c>
      <c r="E17" s="2"/>
      <c r="L17" s="2"/>
      <c r="M17" s="2"/>
      <c r="N17" s="2" t="b">
        <f t="shared" si="5"/>
        <v>0</v>
      </c>
      <c r="O17" s="2" t="b">
        <f t="shared" si="5"/>
        <v>0</v>
      </c>
      <c r="P17" s="2" t="b">
        <f t="shared" si="5"/>
        <v>1</v>
      </c>
      <c r="Q17">
        <f t="shared" ca="1" si="2"/>
        <v>0</v>
      </c>
      <c r="R17">
        <f t="shared" ca="1" si="2"/>
        <v>0</v>
      </c>
      <c r="S17">
        <f t="shared" ca="1" si="2"/>
        <v>10</v>
      </c>
      <c r="T17" s="2" t="b">
        <f t="shared" si="3"/>
        <v>0</v>
      </c>
      <c r="U17" s="2" t="b">
        <f t="shared" si="3"/>
        <v>0</v>
      </c>
      <c r="V17" s="2" t="b">
        <f t="shared" si="3"/>
        <v>0</v>
      </c>
      <c r="W17" s="2" t="b">
        <f t="shared" si="3"/>
        <v>0</v>
      </c>
      <c r="X17" s="2" t="b">
        <f t="shared" si="3"/>
        <v>1</v>
      </c>
      <c r="Y17" s="2" t="b">
        <f t="shared" si="3"/>
        <v>0</v>
      </c>
      <c r="Z17" s="18">
        <f t="shared" ca="1" si="6"/>
        <v>0</v>
      </c>
      <c r="AA17" s="18">
        <f t="shared" ca="1" si="4"/>
        <v>0</v>
      </c>
      <c r="AB17" s="18">
        <f t="shared" ca="1" si="4"/>
        <v>0</v>
      </c>
      <c r="AC17" s="18">
        <f t="shared" ca="1" si="4"/>
        <v>0</v>
      </c>
      <c r="AD17" s="18">
        <f t="shared" ca="1" si="4"/>
        <v>10</v>
      </c>
      <c r="AE17" s="18">
        <f t="shared" ca="1" si="4"/>
        <v>0</v>
      </c>
    </row>
    <row r="18" spans="2:31">
      <c r="B18" s="5" t="s">
        <v>6</v>
      </c>
      <c r="C18" s="5" t="s">
        <v>14</v>
      </c>
      <c r="D18" s="5">
        <f t="shared" ca="1" si="1"/>
        <v>22</v>
      </c>
      <c r="E18" s="2"/>
      <c r="L18" s="2"/>
      <c r="M18" s="2"/>
      <c r="N18" s="2" t="b">
        <f t="shared" si="5"/>
        <v>1</v>
      </c>
      <c r="O18" s="2" t="b">
        <f t="shared" si="5"/>
        <v>0</v>
      </c>
      <c r="P18" s="2" t="b">
        <f t="shared" si="5"/>
        <v>0</v>
      </c>
      <c r="Q18">
        <f t="shared" ca="1" si="2"/>
        <v>22</v>
      </c>
      <c r="R18">
        <f t="shared" ca="1" si="2"/>
        <v>0</v>
      </c>
      <c r="S18">
        <f t="shared" ca="1" si="2"/>
        <v>0</v>
      </c>
      <c r="T18" s="2" t="b">
        <f t="shared" si="3"/>
        <v>0</v>
      </c>
      <c r="U18" s="2" t="b">
        <f t="shared" si="3"/>
        <v>0</v>
      </c>
      <c r="V18" s="2" t="b">
        <f t="shared" si="3"/>
        <v>0</v>
      </c>
      <c r="W18" s="2" t="b">
        <f t="shared" si="3"/>
        <v>0</v>
      </c>
      <c r="X18" s="2" t="b">
        <f t="shared" si="3"/>
        <v>0</v>
      </c>
      <c r="Y18" s="2" t="b">
        <f t="shared" si="3"/>
        <v>1</v>
      </c>
      <c r="Z18" s="18">
        <f t="shared" ca="1" si="6"/>
        <v>0</v>
      </c>
      <c r="AA18" s="18">
        <f t="shared" ca="1" si="4"/>
        <v>0</v>
      </c>
      <c r="AB18" s="18">
        <f t="shared" ca="1" si="4"/>
        <v>0</v>
      </c>
      <c r="AC18" s="18">
        <f t="shared" ca="1" si="4"/>
        <v>0</v>
      </c>
      <c r="AD18" s="18">
        <f t="shared" ca="1" si="4"/>
        <v>0</v>
      </c>
      <c r="AE18" s="18">
        <f t="shared" ca="1" si="4"/>
        <v>22</v>
      </c>
    </row>
    <row r="19" spans="2:31">
      <c r="B19" s="5" t="s">
        <v>8</v>
      </c>
      <c r="C19" s="5" t="s">
        <v>14</v>
      </c>
      <c r="D19" s="5">
        <f t="shared" ca="1" si="1"/>
        <v>23</v>
      </c>
      <c r="E19" s="2"/>
      <c r="L19" s="2"/>
      <c r="M19" s="2"/>
      <c r="N19" s="2" t="b">
        <f t="shared" si="5"/>
        <v>0</v>
      </c>
      <c r="O19" s="2" t="b">
        <f t="shared" si="5"/>
        <v>1</v>
      </c>
      <c r="P19" s="2" t="b">
        <f t="shared" si="5"/>
        <v>0</v>
      </c>
      <c r="Q19">
        <f t="shared" ca="1" si="2"/>
        <v>0</v>
      </c>
      <c r="R19">
        <f t="shared" ca="1" si="2"/>
        <v>23</v>
      </c>
      <c r="S19">
        <f t="shared" ca="1" si="2"/>
        <v>0</v>
      </c>
      <c r="T19" s="2" t="b">
        <f t="shared" ref="T19:Y20" si="9">T$2=$C19</f>
        <v>0</v>
      </c>
      <c r="U19" s="2" t="b">
        <f t="shared" si="9"/>
        <v>0</v>
      </c>
      <c r="V19" s="2" t="b">
        <f t="shared" si="9"/>
        <v>0</v>
      </c>
      <c r="W19" s="2" t="b">
        <f t="shared" si="9"/>
        <v>0</v>
      </c>
      <c r="X19" s="2" t="b">
        <f t="shared" si="9"/>
        <v>0</v>
      </c>
      <c r="Y19" s="2" t="b">
        <f t="shared" si="9"/>
        <v>1</v>
      </c>
      <c r="Z19" s="18">
        <f t="shared" ca="1" si="6"/>
        <v>0</v>
      </c>
      <c r="AA19" s="18">
        <f t="shared" ca="1" si="6"/>
        <v>0</v>
      </c>
      <c r="AB19" s="18">
        <f t="shared" ca="1" si="6"/>
        <v>0</v>
      </c>
      <c r="AC19" s="18">
        <f t="shared" ca="1" si="6"/>
        <v>0</v>
      </c>
      <c r="AD19" s="18">
        <f t="shared" ca="1" si="6"/>
        <v>0</v>
      </c>
      <c r="AE19" s="18">
        <f t="shared" ca="1" si="6"/>
        <v>23</v>
      </c>
    </row>
    <row r="20" spans="2:31">
      <c r="B20" s="5" t="s">
        <v>9</v>
      </c>
      <c r="C20" s="5" t="s">
        <v>14</v>
      </c>
      <c r="D20" s="5">
        <f t="shared" ca="1" si="1"/>
        <v>42</v>
      </c>
      <c r="E20" s="2"/>
      <c r="L20" s="2"/>
      <c r="M20" s="2"/>
      <c r="N20" s="2" t="b">
        <f t="shared" si="5"/>
        <v>0</v>
      </c>
      <c r="O20" s="2" t="b">
        <f t="shared" si="5"/>
        <v>0</v>
      </c>
      <c r="P20" s="2" t="b">
        <f t="shared" si="5"/>
        <v>1</v>
      </c>
      <c r="Q20">
        <f t="shared" ca="1" si="2"/>
        <v>0</v>
      </c>
      <c r="R20">
        <f t="shared" ca="1" si="2"/>
        <v>0</v>
      </c>
      <c r="S20">
        <f t="shared" ca="1" si="2"/>
        <v>42</v>
      </c>
      <c r="T20" s="2" t="b">
        <f t="shared" si="9"/>
        <v>0</v>
      </c>
      <c r="U20" s="2" t="b">
        <f t="shared" si="9"/>
        <v>0</v>
      </c>
      <c r="V20" s="2" t="b">
        <f t="shared" si="9"/>
        <v>0</v>
      </c>
      <c r="W20" s="2" t="b">
        <f t="shared" si="9"/>
        <v>0</v>
      </c>
      <c r="X20" s="2" t="b">
        <f t="shared" si="9"/>
        <v>0</v>
      </c>
      <c r="Y20" s="2" t="b">
        <f t="shared" si="9"/>
        <v>1</v>
      </c>
      <c r="Z20" s="18">
        <f t="shared" ca="1" si="6"/>
        <v>0</v>
      </c>
      <c r="AA20" s="18">
        <f t="shared" ca="1" si="6"/>
        <v>0</v>
      </c>
      <c r="AB20" s="18">
        <f t="shared" ca="1" si="6"/>
        <v>0</v>
      </c>
      <c r="AC20" s="18">
        <f t="shared" ca="1" si="6"/>
        <v>0</v>
      </c>
      <c r="AD20" s="18">
        <f t="shared" ca="1" si="6"/>
        <v>0</v>
      </c>
      <c r="AE20" s="18">
        <f t="shared" ca="1" si="6"/>
        <v>42</v>
      </c>
    </row>
    <row r="21" spans="2:31">
      <c r="B21" s="2"/>
      <c r="C21" s="2"/>
      <c r="D21" s="2"/>
      <c r="E21" s="2"/>
      <c r="L21" s="2"/>
      <c r="M21" s="2"/>
      <c r="N21" s="2"/>
      <c r="Q21">
        <f ca="1">SUM(Q3:Q20)</f>
        <v>175</v>
      </c>
      <c r="R21">
        <f ca="1">SUM(R3:R20)</f>
        <v>170</v>
      </c>
      <c r="S21">
        <f ca="1">SUM(S3:S20)</f>
        <v>173</v>
      </c>
      <c r="Z21">
        <f t="shared" ref="Z21:AE21" ca="1" si="10">SUM(Z3:Z20)</f>
        <v>78</v>
      </c>
      <c r="AA21">
        <f t="shared" ca="1" si="10"/>
        <v>87</v>
      </c>
      <c r="AB21">
        <f t="shared" ca="1" si="10"/>
        <v>76</v>
      </c>
      <c r="AC21">
        <f t="shared" ca="1" si="10"/>
        <v>103</v>
      </c>
      <c r="AD21">
        <f t="shared" ca="1" si="10"/>
        <v>87</v>
      </c>
      <c r="AE21">
        <f t="shared" ca="1" si="10"/>
        <v>87</v>
      </c>
    </row>
    <row r="22" spans="2:31">
      <c r="B22" s="2"/>
      <c r="C22" s="2"/>
      <c r="D22" s="2"/>
      <c r="E22" s="2"/>
      <c r="L22" s="2"/>
      <c r="M22" s="2"/>
      <c r="N22" s="2"/>
    </row>
    <row r="23" spans="2:31">
      <c r="B23" s="2"/>
      <c r="C23" s="2"/>
      <c r="D23" s="2"/>
      <c r="E23" s="2"/>
      <c r="L23" s="2"/>
      <c r="M23" s="2"/>
      <c r="N23" s="2"/>
    </row>
    <row r="24" spans="2:31">
      <c r="B24" s="2"/>
      <c r="C24" s="2"/>
      <c r="D24" s="2"/>
      <c r="E24" s="2"/>
      <c r="L24" s="2"/>
      <c r="M24" s="2"/>
      <c r="N24" s="2"/>
    </row>
    <row r="25" spans="2:31">
      <c r="B25" s="2"/>
      <c r="C25" s="2"/>
      <c r="D25" s="2"/>
      <c r="E25" s="2"/>
      <c r="L25" s="2"/>
      <c r="M25" s="2"/>
      <c r="N25" s="2"/>
    </row>
    <row r="26" spans="2:31">
      <c r="B26" s="2"/>
      <c r="C26" s="2"/>
      <c r="D26" s="2"/>
      <c r="E26" s="2"/>
      <c r="L26" s="2"/>
      <c r="M26" s="2"/>
      <c r="N26" s="2"/>
    </row>
    <row r="27" spans="2:31">
      <c r="B27" s="2"/>
      <c r="C27" s="2"/>
      <c r="D27" s="2"/>
      <c r="E27" s="2"/>
      <c r="F27" s="2"/>
      <c r="G27" s="2"/>
      <c r="H27" s="2"/>
      <c r="I27" s="2"/>
      <c r="J27" s="2"/>
      <c r="K27" s="2"/>
      <c r="L27" s="2"/>
      <c r="M27" s="2"/>
      <c r="N27" s="2"/>
    </row>
    <row r="28" spans="2:31">
      <c r="B28" s="2"/>
      <c r="C28" s="2"/>
      <c r="D28" s="2"/>
      <c r="E28" s="2"/>
      <c r="F28" s="2"/>
      <c r="G28" s="2"/>
      <c r="H28" s="2"/>
      <c r="I28" s="2"/>
      <c r="J28" s="2"/>
      <c r="K28" s="2"/>
      <c r="L28" s="2"/>
      <c r="M28" s="2"/>
      <c r="N28" s="2"/>
    </row>
    <row r="29" spans="2:31">
      <c r="B29" s="2"/>
      <c r="C29" s="2"/>
      <c r="D29" s="2"/>
      <c r="E29" s="2"/>
      <c r="F29" s="2"/>
      <c r="G29" s="2"/>
      <c r="H29" s="2"/>
      <c r="I29" s="2"/>
      <c r="J29" s="2"/>
      <c r="K29" s="2"/>
      <c r="L29" s="2"/>
      <c r="M29" s="2"/>
      <c r="N29" s="2"/>
    </row>
    <row r="30" spans="2:31">
      <c r="B30" s="2"/>
      <c r="C30" s="2"/>
      <c r="D30" s="2"/>
      <c r="E30" s="2"/>
      <c r="F30" s="2"/>
      <c r="G30" s="2"/>
      <c r="H30" s="2"/>
      <c r="I30" s="2"/>
      <c r="J30" s="2"/>
      <c r="K30" s="2"/>
      <c r="L30" s="2"/>
      <c r="M30" s="2"/>
      <c r="N30" s="2"/>
    </row>
    <row r="31" spans="2:31">
      <c r="B31" s="2"/>
      <c r="C31" s="2"/>
      <c r="D31" s="2"/>
      <c r="E31" s="2"/>
      <c r="F31" s="2"/>
      <c r="G31" s="2"/>
      <c r="H31" s="2"/>
      <c r="I31" s="2"/>
      <c r="J31" s="2"/>
      <c r="K31" s="2"/>
      <c r="L31" s="2"/>
      <c r="M31" s="2"/>
      <c r="N31" s="2"/>
    </row>
    <row r="32" spans="2:31">
      <c r="B32" s="2"/>
      <c r="C32" s="2"/>
      <c r="D32" s="2"/>
      <c r="E32" s="2"/>
      <c r="F32" s="2"/>
      <c r="G32" s="2"/>
      <c r="H32" s="2"/>
      <c r="I32" s="2"/>
      <c r="J32" s="2"/>
      <c r="K32" s="2"/>
      <c r="L32" s="2"/>
      <c r="M32" s="2"/>
      <c r="N32" s="2"/>
    </row>
    <row r="33" spans="2:14">
      <c r="B33" s="2"/>
      <c r="C33" s="2"/>
      <c r="D33" s="2"/>
      <c r="E33" s="2"/>
      <c r="F33" s="2"/>
      <c r="G33" s="2"/>
      <c r="H33" s="2"/>
      <c r="I33" s="2"/>
      <c r="J33" s="2"/>
      <c r="K33" s="2"/>
      <c r="L33" s="2"/>
      <c r="M33" s="2"/>
      <c r="N33" s="2"/>
    </row>
    <row r="35" spans="2:14">
      <c r="B35" s="1" t="s">
        <v>15</v>
      </c>
      <c r="C35" s="1" t="s">
        <v>16</v>
      </c>
      <c r="D35" s="7"/>
      <c r="E35" s="7"/>
      <c r="F35" s="7"/>
      <c r="G35" s="8" t="s">
        <v>17</v>
      </c>
      <c r="H35" s="7"/>
      <c r="I35" s="8" t="s">
        <v>18</v>
      </c>
      <c r="J35" s="7"/>
      <c r="K35" s="7"/>
      <c r="L35" s="7"/>
    </row>
    <row r="36" spans="2:14">
      <c r="B36" s="9">
        <f t="shared" ref="B36:B46" ca="1" si="11">B37-1</f>
        <v>1995</v>
      </c>
      <c r="C36" s="9">
        <f t="shared" ref="C36:C47" ca="1" si="12">RANDBETWEEN(1100,1900)</f>
        <v>1850</v>
      </c>
      <c r="D36" s="7"/>
      <c r="E36" s="7"/>
      <c r="F36" s="7"/>
      <c r="G36" s="8" t="s">
        <v>19</v>
      </c>
      <c r="H36" s="7"/>
      <c r="I36" s="8" t="s">
        <v>20</v>
      </c>
      <c r="J36" s="7"/>
      <c r="K36" s="8" t="s">
        <v>21</v>
      </c>
      <c r="L36" s="7"/>
    </row>
    <row r="37" spans="2:14">
      <c r="B37" s="9">
        <f t="shared" ca="1" si="11"/>
        <v>1996</v>
      </c>
      <c r="C37" s="9">
        <f t="shared" ca="1" si="12"/>
        <v>1124</v>
      </c>
      <c r="D37" s="7"/>
      <c r="E37" s="7"/>
      <c r="F37" s="7"/>
      <c r="G37" s="10">
        <f t="array" aca="1" ref="G37" ca="1">AVERAGE(C37:C47/C36:C46-1)</f>
        <v>2.8268175770655234E-2</v>
      </c>
      <c r="H37" s="7"/>
      <c r="I37" s="11"/>
      <c r="J37" s="7"/>
      <c r="K37" s="12" t="str">
        <f>IF(I37="","",IF(ABS(G37-I37)&gt;10^-10,"TRY AGAIN","GOOD JOB"))</f>
        <v/>
      </c>
      <c r="L37" s="7"/>
      <c r="N37" s="17"/>
    </row>
    <row r="38" spans="2:14">
      <c r="B38" s="9">
        <f t="shared" ca="1" si="11"/>
        <v>1997</v>
      </c>
      <c r="C38" s="9">
        <f t="shared" ca="1" si="12"/>
        <v>1273</v>
      </c>
      <c r="D38" s="7"/>
      <c r="E38" s="7"/>
      <c r="F38" s="7"/>
      <c r="G38" s="10">
        <f t="array" aca="1" ref="G38" ca="1">GEOMEAN(C37:C47/C36:C46)-1</f>
        <v>-2.1858969033570208E-3</v>
      </c>
      <c r="H38" s="7"/>
      <c r="I38" s="11"/>
      <c r="J38" s="7"/>
      <c r="K38" s="12" t="str">
        <f>IF(I38="","",IF(ABS(G38-I38)&gt;10^-10,"TRY AGAIN","GOOD JOB"))</f>
        <v/>
      </c>
      <c r="L38" s="7"/>
      <c r="N38" s="17"/>
    </row>
    <row r="39" spans="2:14">
      <c r="B39" s="9">
        <f t="shared" ca="1" si="11"/>
        <v>1998</v>
      </c>
      <c r="C39" s="9">
        <f t="shared" ca="1" si="12"/>
        <v>1440</v>
      </c>
      <c r="D39" s="7"/>
      <c r="E39" s="7"/>
      <c r="F39" s="7"/>
      <c r="G39" s="10">
        <f t="array" aca="1" ref="G39" ca="1">STDEV(C37:C47/C36:C46-1)</f>
        <v>0.26387017718826272</v>
      </c>
      <c r="H39" s="7"/>
      <c r="I39" s="11"/>
      <c r="J39" s="7"/>
      <c r="K39" s="12" t="str">
        <f>IF(I39="","",IF(ABS(G39-I39)&gt;10^-10,"TRY AGAIN","GOOD JOB"))</f>
        <v/>
      </c>
      <c r="L39" s="7"/>
      <c r="N39" s="17"/>
    </row>
    <row r="40" spans="2:14">
      <c r="B40" s="9">
        <f t="shared" ca="1" si="11"/>
        <v>1999</v>
      </c>
      <c r="C40" s="9">
        <f t="shared" ca="1" si="12"/>
        <v>1469</v>
      </c>
      <c r="D40" s="7"/>
      <c r="E40" s="7"/>
      <c r="F40" s="7"/>
      <c r="G40" s="7"/>
      <c r="H40" s="7"/>
      <c r="I40" s="7"/>
      <c r="J40" s="7"/>
      <c r="K40" s="7"/>
      <c r="L40" s="7"/>
    </row>
    <row r="41" spans="2:14">
      <c r="B41" s="9">
        <f t="shared" ca="1" si="11"/>
        <v>2000</v>
      </c>
      <c r="C41" s="9">
        <f t="shared" ca="1" si="12"/>
        <v>1138</v>
      </c>
      <c r="D41" s="7"/>
      <c r="E41" s="7"/>
      <c r="F41" s="7"/>
      <c r="G41" s="7"/>
      <c r="H41" s="7"/>
      <c r="I41" s="7"/>
      <c r="J41" s="7"/>
      <c r="K41" s="7"/>
      <c r="L41" s="7"/>
    </row>
    <row r="42" spans="2:14">
      <c r="B42" s="9">
        <f t="shared" ca="1" si="11"/>
        <v>2001</v>
      </c>
      <c r="C42" s="9">
        <f t="shared" ca="1" si="12"/>
        <v>1426</v>
      </c>
      <c r="D42" s="7"/>
      <c r="E42" s="7"/>
      <c r="F42" s="7"/>
      <c r="G42" s="21"/>
      <c r="H42" s="7"/>
      <c r="I42" s="7"/>
      <c r="J42" s="7"/>
      <c r="K42" s="7"/>
      <c r="L42" s="7"/>
    </row>
    <row r="43" spans="2:14">
      <c r="B43" s="9">
        <f t="shared" ca="1" si="11"/>
        <v>2002</v>
      </c>
      <c r="C43" s="9">
        <f t="shared" ca="1" si="12"/>
        <v>1328</v>
      </c>
      <c r="D43" s="7"/>
      <c r="E43" s="7"/>
      <c r="F43" s="7"/>
      <c r="J43" s="7"/>
      <c r="K43" s="7"/>
      <c r="L43" s="7"/>
    </row>
    <row r="44" spans="2:14">
      <c r="B44" s="9">
        <f t="shared" ca="1" si="11"/>
        <v>2003</v>
      </c>
      <c r="C44" s="9">
        <f t="shared" ca="1" si="12"/>
        <v>1468</v>
      </c>
      <c r="D44" s="7"/>
      <c r="E44" s="7"/>
      <c r="F44" s="7"/>
      <c r="J44" s="7"/>
      <c r="K44" s="7"/>
      <c r="L44" s="7"/>
    </row>
    <row r="45" spans="2:14">
      <c r="B45" s="9">
        <f t="shared" ca="1" si="11"/>
        <v>2004</v>
      </c>
      <c r="C45" s="9">
        <f t="shared" ca="1" si="12"/>
        <v>1187</v>
      </c>
      <c r="D45" s="7"/>
      <c r="E45" s="7"/>
      <c r="F45" s="7"/>
      <c r="J45" s="7"/>
      <c r="K45" s="7"/>
      <c r="L45" s="7"/>
    </row>
    <row r="46" spans="2:14">
      <c r="B46" s="9">
        <f t="shared" ca="1" si="11"/>
        <v>2005</v>
      </c>
      <c r="C46" s="9">
        <f t="shared" ca="1" si="12"/>
        <v>1886</v>
      </c>
      <c r="D46" s="7"/>
      <c r="E46" s="7"/>
      <c r="F46" s="7"/>
      <c r="I46" s="16"/>
      <c r="J46" s="7"/>
      <c r="K46" s="7"/>
      <c r="L46" s="7"/>
    </row>
    <row r="47" spans="2:14">
      <c r="B47" s="13">
        <f ca="1">YEAR(TODAY())-RANDBETWEEN(1,10)</f>
        <v>2006</v>
      </c>
      <c r="C47" s="13">
        <f t="shared" ca="1" si="12"/>
        <v>1806</v>
      </c>
      <c r="D47" s="7"/>
      <c r="E47" s="7"/>
      <c r="F47" s="7"/>
      <c r="I47" s="16"/>
      <c r="J47" s="7"/>
      <c r="K47" s="7"/>
      <c r="L47" s="7"/>
    </row>
    <row r="48" spans="2:14">
      <c r="B48" s="7"/>
      <c r="C48" s="7"/>
      <c r="D48" s="7"/>
      <c r="E48" s="7"/>
      <c r="F48" s="7"/>
      <c r="I48" s="16"/>
      <c r="J48" s="7"/>
      <c r="K48" s="7"/>
      <c r="L48" s="14"/>
    </row>
    <row r="49" spans="2:12">
      <c r="B49" s="7"/>
      <c r="C49" s="7"/>
      <c r="D49" s="7"/>
      <c r="E49" s="7"/>
      <c r="F49" s="7"/>
      <c r="G49" s="7"/>
      <c r="H49" s="7"/>
      <c r="I49" s="7"/>
      <c r="J49" s="7"/>
      <c r="K49" s="7"/>
      <c r="L49" s="7"/>
    </row>
    <row r="50" spans="2:12">
      <c r="B50" s="7"/>
      <c r="C50" s="7"/>
      <c r="D50" s="7"/>
      <c r="E50" s="7"/>
      <c r="F50" s="7"/>
      <c r="G50" s="7"/>
      <c r="H50" s="7"/>
      <c r="I50" s="7"/>
      <c r="J50" s="7"/>
      <c r="K50" s="7"/>
      <c r="L50" s="7"/>
    </row>
    <row r="51" spans="2:12">
      <c r="B51" s="7"/>
      <c r="C51" s="7"/>
      <c r="D51" s="7"/>
      <c r="E51" s="7"/>
      <c r="F51" s="7"/>
      <c r="G51" s="7"/>
      <c r="H51" s="7"/>
      <c r="I51" s="7"/>
      <c r="J51" s="7"/>
      <c r="K51" s="7"/>
      <c r="L51" s="7"/>
    </row>
    <row r="52" spans="2:12">
      <c r="B52" s="7"/>
      <c r="C52" s="7"/>
      <c r="D52" s="7"/>
      <c r="E52" s="7"/>
      <c r="F52" s="7"/>
      <c r="G52" s="7"/>
      <c r="H52" s="7"/>
      <c r="I52" s="7"/>
      <c r="J52" s="7"/>
      <c r="K52" s="7"/>
      <c r="L52" s="7"/>
    </row>
    <row r="53" spans="2:12">
      <c r="B53" s="7"/>
      <c r="C53" s="7"/>
      <c r="D53" s="7"/>
      <c r="E53" s="7"/>
      <c r="F53" s="7"/>
      <c r="G53" s="7"/>
      <c r="H53" s="7"/>
      <c r="I53" s="7"/>
      <c r="J53" s="7"/>
      <c r="K53" s="7"/>
      <c r="L53" s="7"/>
    </row>
    <row r="54" spans="2:12">
      <c r="B54" s="7"/>
      <c r="C54" s="15"/>
      <c r="D54" s="7"/>
      <c r="E54" s="7"/>
      <c r="F54" s="7"/>
      <c r="G54" s="7"/>
      <c r="H54" s="7"/>
      <c r="I54" s="7"/>
      <c r="J54" s="7"/>
      <c r="K54" s="7"/>
      <c r="L54" s="7"/>
    </row>
    <row r="55" spans="2:12">
      <c r="B55" s="7"/>
      <c r="C55" s="7"/>
      <c r="D55" s="7"/>
      <c r="E55" s="7"/>
      <c r="F55" s="7"/>
      <c r="G55" s="7"/>
      <c r="H55" s="7"/>
      <c r="I55" s="7"/>
      <c r="J55" s="7"/>
      <c r="K55" s="7"/>
      <c r="L55" s="7"/>
    </row>
    <row r="56" spans="2:12">
      <c r="B56" s="7"/>
      <c r="C56" s="7"/>
      <c r="D56" s="7"/>
      <c r="E56" s="7"/>
      <c r="F56" s="7"/>
      <c r="G56" s="7"/>
      <c r="H56" s="7"/>
      <c r="I56" s="7"/>
      <c r="J56" s="7"/>
      <c r="K56" s="7"/>
      <c r="L56" s="7"/>
    </row>
    <row r="57" spans="2:12">
      <c r="B57" s="7"/>
      <c r="C57" s="7"/>
      <c r="D57" s="7"/>
      <c r="E57" s="7"/>
      <c r="F57" s="7"/>
      <c r="G57" s="7"/>
      <c r="H57" s="7"/>
      <c r="I57" s="7"/>
      <c r="J57" s="7"/>
      <c r="K57" s="7"/>
      <c r="L57" s="7"/>
    </row>
    <row r="58" spans="2:12">
      <c r="B58" s="7"/>
      <c r="C58" s="7"/>
      <c r="D58" s="7"/>
      <c r="E58" s="7"/>
      <c r="F58" s="7"/>
      <c r="G58" s="7"/>
      <c r="H58" s="7"/>
      <c r="I58" s="7"/>
      <c r="J58" s="7"/>
      <c r="K58" s="7"/>
      <c r="L58" s="7"/>
    </row>
  </sheetData>
  <pageMargins left="0.7" right="0.7" top="0.75" bottom="0.75" header="0.3" footer="0.3"/>
  <pageSetup paperSize="132" orientation="portrait" horizontalDpi="300" verticalDpi="300"/>
  <drawing r:id="rId1"/>
  <extLst>
    <ext xmlns:mx="http://schemas.microsoft.com/office/mac/excel/2008/main" uri="{64002731-A6B0-56B0-2670-7721B7C09600}">
      <mx:PLV Mode="0" OnePage="0" WScale="0"/>
    </ext>
  </extLst>
</worksheet>
</file>

<file path=docProps/app.xml><?xml version="1.0" encoding="utf-8"?>
<Properties xmlns="http://schemas.openxmlformats.org/officeDocument/2006/extended-properties" xmlns:vt="http://schemas.openxmlformats.org/officeDocument/2006/docPropsVTypes">
  <Application>Microsoft Macintosh Excel</Application>
  <DocSecurity>0</DocSecurity>
  <ScaleCrop>false</ScaleCrop>
  <HeadingPairs>
    <vt:vector size="2" baseType="variant">
      <vt:variant>
        <vt:lpstr>Worksheets</vt:lpstr>
      </vt:variant>
      <vt:variant>
        <vt:i4>1</vt:i4>
      </vt:variant>
    </vt:vector>
  </HeadingPairs>
  <TitlesOfParts>
    <vt:vector size="1" baseType="lpstr">
      <vt:lpstr>SA3</vt:lpstr>
    </vt:vector>
  </TitlesOfParts>
  <LinksUpToDate>false</LinksUpToDate>
  <SharedDoc>false</SharedDoc>
  <HyperlinksChanged>false</HyperlinksChanged>
  <AppVersion>14.0300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Windows User</dc:creator>
  <cp:lastModifiedBy>Rafael Nicolas Fermin Cota</cp:lastModifiedBy>
  <dcterms:created xsi:type="dcterms:W3CDTF">2013-10-12T20:34:57Z</dcterms:created>
  <dcterms:modified xsi:type="dcterms:W3CDTF">2015-01-12T06:28:45Z</dcterms:modified>
</cp:coreProperties>
</file>