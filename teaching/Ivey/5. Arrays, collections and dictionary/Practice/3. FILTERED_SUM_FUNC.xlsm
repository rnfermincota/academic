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showInkAnnotation="0" codeName="ThisWorkbook" autoCompressPictures="0"/>
  <bookViews>
    <workbookView xWindow="0" yWindow="0" windowWidth="25440" windowHeight="15990" activeTab="3"/>
  </bookViews>
  <sheets>
    <sheet name="DASHBOARD WI" sheetId="9" r:id="rId1"/>
    <sheet name="Formulas" sheetId="11" r:id="rId2"/>
    <sheet name="HOURS" sheetId="7" r:id="rId3"/>
    <sheet name="FILTERED_SUM_FUNC" sheetId="13" r:id="rId4"/>
  </sheets>
  <functionGroups builtInGroupCount="17"/>
  <definedNames>
    <definedName name="_xlnm._FilterDatabase" localSheetId="1" hidden="1">Formulas!$A$1:$F$395</definedName>
  </definedNames>
  <calcPr calcId="145621" iterate="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5" i="9" l="1"/>
  <c r="E5" i="9"/>
  <c r="E4" i="9"/>
  <c r="L6" i="13"/>
  <c r="L7" i="13"/>
  <c r="F7" i="13"/>
  <c r="F6" i="13"/>
  <c r="K9" i="13" a="1"/>
  <c r="K9" i="13"/>
  <c r="L9" i="13"/>
  <c r="K10" i="13"/>
  <c r="L10" i="13"/>
  <c r="K11" i="13"/>
  <c r="L11" i="13"/>
  <c r="K12" i="13"/>
  <c r="L12" i="13"/>
  <c r="K13" i="13"/>
  <c r="L13" i="13"/>
  <c r="K14" i="13"/>
  <c r="L14" i="13"/>
  <c r="K15" i="13"/>
  <c r="L15" i="13"/>
  <c r="K16" i="13"/>
  <c r="L16" i="13"/>
  <c r="K17" i="13"/>
  <c r="L17" i="13"/>
  <c r="K18" i="13"/>
  <c r="L18" i="13"/>
  <c r="K19" i="13"/>
  <c r="L19" i="13"/>
  <c r="K20" i="13"/>
  <c r="L20" i="13"/>
  <c r="K21" i="13"/>
  <c r="L21" i="13"/>
  <c r="K22" i="13"/>
  <c r="L22" i="13"/>
  <c r="K23" i="13"/>
  <c r="L23" i="13"/>
  <c r="K24" i="13"/>
  <c r="L24" i="13"/>
  <c r="K25" i="13"/>
  <c r="L25" i="13"/>
  <c r="K26" i="13"/>
  <c r="L26" i="13"/>
  <c r="K27" i="13"/>
  <c r="L27" i="13"/>
  <c r="H9" i="13" a="1"/>
  <c r="H9" i="13"/>
  <c r="I9" i="13"/>
  <c r="H10" i="13"/>
  <c r="I10" i="13"/>
  <c r="H11" i="13"/>
  <c r="I11" i="13"/>
  <c r="H12" i="13"/>
  <c r="I12" i="13"/>
  <c r="H13" i="13"/>
  <c r="I13" i="13"/>
  <c r="H14" i="13"/>
  <c r="I14" i="13"/>
  <c r="H15" i="13"/>
  <c r="I15" i="13"/>
  <c r="H16" i="13"/>
  <c r="I16" i="13"/>
  <c r="H17" i="13"/>
  <c r="I17" i="13"/>
  <c r="H18" i="13"/>
  <c r="I18" i="13"/>
  <c r="H19" i="13"/>
  <c r="I19" i="13"/>
  <c r="H20" i="13"/>
  <c r="I20" i="13"/>
  <c r="H21" i="13"/>
  <c r="I21" i="13"/>
  <c r="H22" i="13"/>
  <c r="I22" i="13"/>
  <c r="H23" i="13"/>
  <c r="I23" i="13"/>
  <c r="H24" i="13"/>
  <c r="I24" i="13"/>
  <c r="H25" i="13"/>
  <c r="I25" i="13"/>
  <c r="H26" i="13"/>
  <c r="I26" i="13"/>
  <c r="H27" i="13"/>
  <c r="I27" i="13"/>
  <c r="E9" i="13" a="1"/>
  <c r="E9" i="13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B9" i="13" a="1"/>
  <c r="B9" i="13"/>
  <c r="C9" i="13"/>
  <c r="B10" i="13"/>
  <c r="C10" i="13"/>
  <c r="B11" i="13"/>
  <c r="C11" i="13"/>
  <c r="B12" i="13"/>
  <c r="C12" i="13"/>
  <c r="B13" i="13"/>
  <c r="C13" i="13"/>
  <c r="B14" i="13"/>
  <c r="C14" i="13"/>
  <c r="B15" i="13"/>
  <c r="C15" i="13"/>
  <c r="B16" i="13"/>
  <c r="C16" i="13"/>
  <c r="B17" i="13"/>
  <c r="C17" i="13"/>
  <c r="B18" i="13"/>
  <c r="C18" i="13"/>
  <c r="B19" i="13"/>
  <c r="C19" i="13"/>
  <c r="B20" i="13"/>
  <c r="C20" i="13"/>
  <c r="B21" i="13"/>
  <c r="C21" i="13"/>
  <c r="B22" i="13"/>
  <c r="C22" i="13"/>
  <c r="B23" i="13"/>
  <c r="C23" i="13"/>
  <c r="B24" i="13"/>
  <c r="C24" i="13"/>
  <c r="B25" i="13"/>
  <c r="C25" i="13"/>
  <c r="B26" i="13"/>
  <c r="C26" i="13"/>
  <c r="B27" i="13"/>
  <c r="C27" i="13"/>
  <c r="H74" i="7"/>
  <c r="H68" i="7"/>
  <c r="H62" i="7"/>
  <c r="H38" i="7"/>
  <c r="H51" i="7"/>
  <c r="H56" i="7"/>
  <c r="B2" i="7"/>
  <c r="G2" i="7"/>
  <c r="B3" i="7"/>
  <c r="G3" i="7"/>
  <c r="H3" i="7"/>
  <c r="B4" i="7"/>
  <c r="G4" i="7"/>
  <c r="B5" i="7"/>
  <c r="G5" i="7"/>
  <c r="H5" i="7"/>
  <c r="B6" i="7"/>
  <c r="G6" i="7"/>
  <c r="B7" i="7"/>
  <c r="G7" i="7"/>
  <c r="B8" i="7"/>
  <c r="G8" i="7"/>
  <c r="H8" i="7"/>
  <c r="B9" i="7"/>
  <c r="G9" i="7"/>
  <c r="B10" i="7"/>
  <c r="G10" i="7"/>
  <c r="B11" i="7"/>
  <c r="G11" i="7"/>
  <c r="H11" i="7"/>
  <c r="B12" i="7"/>
  <c r="G12" i="7"/>
  <c r="B13" i="7"/>
  <c r="G13" i="7"/>
  <c r="H13" i="7"/>
  <c r="B14" i="7"/>
  <c r="G14" i="7"/>
  <c r="B15" i="7"/>
  <c r="G15" i="7"/>
  <c r="H15" i="7"/>
  <c r="B16" i="7"/>
  <c r="G16" i="7"/>
  <c r="B17" i="7"/>
  <c r="G17" i="7"/>
  <c r="B18" i="7"/>
  <c r="G18" i="7"/>
  <c r="B19" i="7"/>
  <c r="G19" i="7"/>
  <c r="H19" i="7"/>
  <c r="B20" i="7"/>
  <c r="G20" i="7"/>
  <c r="B21" i="7"/>
  <c r="G21" i="7"/>
  <c r="B22" i="7"/>
  <c r="G22" i="7"/>
  <c r="B23" i="7"/>
  <c r="G23" i="7"/>
  <c r="H24" i="7"/>
  <c r="H23" i="7"/>
  <c r="B24" i="7"/>
  <c r="G24" i="7"/>
  <c r="B25" i="7"/>
  <c r="G25" i="7"/>
  <c r="B26" i="7"/>
  <c r="G26" i="7"/>
  <c r="H26" i="7"/>
  <c r="B27" i="7"/>
  <c r="G27" i="7"/>
  <c r="B28" i="7"/>
  <c r="G28" i="7"/>
  <c r="B29" i="7"/>
  <c r="G29" i="7"/>
  <c r="B30" i="7"/>
  <c r="G30" i="7"/>
  <c r="B31" i="7"/>
  <c r="G31" i="7"/>
  <c r="H31" i="7"/>
  <c r="B32" i="7"/>
  <c r="G32" i="7"/>
  <c r="B33" i="7"/>
  <c r="G33" i="7"/>
  <c r="B34" i="7"/>
  <c r="G34" i="7"/>
  <c r="B35" i="7"/>
  <c r="G35" i="7"/>
  <c r="B36" i="7"/>
  <c r="G36" i="7"/>
  <c r="B37" i="7"/>
  <c r="G37" i="7"/>
  <c r="H37" i="7"/>
  <c r="B38" i="7"/>
  <c r="G38" i="7"/>
  <c r="B39" i="7"/>
  <c r="G39" i="7"/>
  <c r="B40" i="7"/>
  <c r="G40" i="7"/>
  <c r="H40" i="7"/>
  <c r="B41" i="7"/>
  <c r="G41" i="7"/>
  <c r="B42" i="7"/>
  <c r="G42" i="7"/>
  <c r="B43" i="7"/>
  <c r="G43" i="7"/>
  <c r="B44" i="7"/>
  <c r="G44" i="7"/>
  <c r="B45" i="7"/>
  <c r="G45" i="7"/>
  <c r="B46" i="7"/>
  <c r="G46" i="7"/>
  <c r="B47" i="7"/>
  <c r="G47" i="7"/>
  <c r="B48" i="7"/>
  <c r="G48" i="7"/>
  <c r="H48" i="7"/>
  <c r="B49" i="7"/>
  <c r="G49" i="7"/>
  <c r="B50" i="7"/>
  <c r="G50" i="7"/>
  <c r="B51" i="7"/>
  <c r="G51" i="7"/>
  <c r="B52" i="7"/>
  <c r="G52" i="7"/>
  <c r="B53" i="7"/>
  <c r="G53" i="7"/>
  <c r="B54" i="7"/>
  <c r="G54" i="7"/>
  <c r="B55" i="7"/>
  <c r="G55" i="7"/>
  <c r="B56" i="7"/>
  <c r="G56" i="7"/>
  <c r="B57" i="7"/>
  <c r="G57" i="7"/>
  <c r="B58" i="7"/>
  <c r="G58" i="7"/>
  <c r="B59" i="7"/>
  <c r="G59" i="7"/>
  <c r="B60" i="7"/>
  <c r="G60" i="7"/>
  <c r="B61" i="7"/>
  <c r="G61" i="7"/>
  <c r="B62" i="7"/>
  <c r="G62" i="7"/>
  <c r="B63" i="7"/>
  <c r="G63" i="7"/>
  <c r="B64" i="7"/>
  <c r="G64" i="7"/>
  <c r="B65" i="7"/>
  <c r="G65" i="7"/>
  <c r="B66" i="7"/>
  <c r="G66" i="7"/>
  <c r="B67" i="7"/>
  <c r="G67" i="7"/>
  <c r="B68" i="7"/>
  <c r="G68" i="7"/>
  <c r="B69" i="7"/>
  <c r="G69" i="7"/>
  <c r="B70" i="7"/>
  <c r="G70" i="7"/>
  <c r="B71" i="7"/>
  <c r="G71" i="7"/>
  <c r="B72" i="7"/>
  <c r="G72" i="7"/>
  <c r="B73" i="7"/>
  <c r="G73" i="7"/>
  <c r="B74" i="7"/>
  <c r="G74" i="7"/>
  <c r="B75" i="7"/>
  <c r="G75" i="7"/>
  <c r="B76" i="7"/>
  <c r="G76" i="7"/>
  <c r="B77" i="7"/>
  <c r="G77" i="7"/>
  <c r="B78" i="7"/>
  <c r="G78" i="7"/>
  <c r="B79" i="7"/>
  <c r="G79" i="7"/>
  <c r="B80" i="7"/>
  <c r="G80" i="7"/>
  <c r="B81" i="7"/>
  <c r="G81" i="7"/>
  <c r="B82" i="7"/>
  <c r="G82" i="7"/>
  <c r="A83" i="7"/>
  <c r="B83" i="7"/>
  <c r="G83" i="7"/>
  <c r="B84" i="7"/>
  <c r="G84" i="7"/>
  <c r="B85" i="7"/>
  <c r="G85" i="7"/>
  <c r="B86" i="7"/>
  <c r="G86" i="7"/>
  <c r="B87" i="7"/>
  <c r="G87" i="7"/>
  <c r="B88" i="7"/>
  <c r="G88" i="7"/>
  <c r="A89" i="7"/>
  <c r="B89" i="7"/>
  <c r="G89" i="7"/>
  <c r="B90" i="7"/>
  <c r="G90" i="7"/>
  <c r="B91" i="7"/>
  <c r="G91" i="7"/>
  <c r="B92" i="7"/>
  <c r="G92" i="7"/>
  <c r="B93" i="7"/>
  <c r="G93" i="7"/>
  <c r="B94" i="7"/>
  <c r="G94" i="7"/>
  <c r="B95" i="7"/>
  <c r="G95" i="7"/>
  <c r="B96" i="7"/>
  <c r="G96" i="7"/>
  <c r="B97" i="7"/>
  <c r="G97" i="7"/>
  <c r="B98" i="7"/>
  <c r="G98" i="7"/>
  <c r="B99" i="7"/>
  <c r="G99" i="7"/>
  <c r="B100" i="7"/>
  <c r="G100" i="7"/>
  <c r="B101" i="7"/>
  <c r="G101" i="7"/>
  <c r="B102" i="7"/>
  <c r="G102" i="7"/>
  <c r="B103" i="7"/>
  <c r="G103" i="7"/>
  <c r="B104" i="7"/>
  <c r="G104" i="7"/>
  <c r="B105" i="7"/>
  <c r="G105" i="7"/>
  <c r="B106" i="7"/>
  <c r="G106" i="7"/>
  <c r="B107" i="7"/>
  <c r="G107" i="7"/>
  <c r="B108" i="7"/>
  <c r="G108" i="7"/>
  <c r="B109" i="7"/>
  <c r="G109" i="7"/>
  <c r="B110" i="7"/>
  <c r="G110" i="7"/>
  <c r="B111" i="7"/>
  <c r="G111" i="7"/>
  <c r="B112" i="7"/>
  <c r="G112" i="7"/>
  <c r="B113" i="7"/>
  <c r="G113" i="7"/>
  <c r="B114" i="7"/>
  <c r="G114" i="7"/>
  <c r="B115" i="7"/>
  <c r="G115" i="7"/>
  <c r="B116" i="7"/>
  <c r="G116" i="7"/>
  <c r="B117" i="7"/>
  <c r="G117" i="7"/>
  <c r="B118" i="7"/>
  <c r="G118" i="7"/>
  <c r="B119" i="7"/>
  <c r="G119" i="7"/>
  <c r="B120" i="7"/>
  <c r="G120" i="7"/>
  <c r="B121" i="7"/>
  <c r="G121" i="7"/>
  <c r="B122" i="7"/>
  <c r="G122" i="7"/>
  <c r="B123" i="7"/>
  <c r="G123" i="7"/>
  <c r="B124" i="7"/>
  <c r="G124" i="7"/>
  <c r="B125" i="7"/>
  <c r="G125" i="7"/>
  <c r="B126" i="7"/>
  <c r="G126" i="7"/>
  <c r="B127" i="7"/>
  <c r="G127" i="7"/>
  <c r="B128" i="7"/>
  <c r="G128" i="7"/>
  <c r="B129" i="7"/>
  <c r="G129" i="7"/>
  <c r="B130" i="7"/>
  <c r="G130" i="7"/>
  <c r="B131" i="7"/>
  <c r="G131" i="7"/>
  <c r="B132" i="7"/>
  <c r="G132" i="7"/>
  <c r="B133" i="7"/>
  <c r="G133" i="7"/>
  <c r="B134" i="7"/>
  <c r="G134" i="7"/>
  <c r="B135" i="7"/>
  <c r="G135" i="7"/>
  <c r="B136" i="7"/>
  <c r="G136" i="7"/>
  <c r="B137" i="7"/>
  <c r="G137" i="7"/>
  <c r="B138" i="7"/>
  <c r="G138" i="7"/>
  <c r="B139" i="7"/>
  <c r="G139" i="7"/>
  <c r="B140" i="7"/>
  <c r="G140" i="7"/>
  <c r="B141" i="7"/>
  <c r="G141" i="7"/>
  <c r="B142" i="7"/>
  <c r="G142" i="7"/>
  <c r="B143" i="7"/>
  <c r="G143" i="7"/>
  <c r="B144" i="7"/>
  <c r="G144" i="7"/>
  <c r="B145" i="7"/>
  <c r="G145" i="7"/>
  <c r="B146" i="7"/>
  <c r="G146" i="7"/>
  <c r="B147" i="7"/>
  <c r="G147" i="7"/>
  <c r="B148" i="7"/>
  <c r="G148" i="7"/>
  <c r="B149" i="7"/>
  <c r="G149" i="7"/>
  <c r="B150" i="7"/>
  <c r="G150" i="7"/>
  <c r="B151" i="7"/>
  <c r="G151" i="7"/>
  <c r="B152" i="7"/>
  <c r="G152" i="7"/>
  <c r="B153" i="7"/>
  <c r="G153" i="7"/>
  <c r="B154" i="7"/>
  <c r="G154" i="7"/>
  <c r="B155" i="7"/>
  <c r="G155" i="7"/>
  <c r="B156" i="7"/>
  <c r="G156" i="7"/>
  <c r="B157" i="7"/>
  <c r="G157" i="7"/>
  <c r="B158" i="7"/>
  <c r="G158" i="7"/>
  <c r="B159" i="7"/>
  <c r="G159" i="7"/>
  <c r="B160" i="7"/>
  <c r="G160" i="7"/>
  <c r="B161" i="7"/>
  <c r="G161" i="7"/>
  <c r="B162" i="7"/>
  <c r="G162" i="7"/>
  <c r="B163" i="7"/>
  <c r="G163" i="7"/>
  <c r="B164" i="7"/>
  <c r="G164" i="7"/>
  <c r="B165" i="7"/>
  <c r="G165" i="7"/>
  <c r="B166" i="7"/>
  <c r="G166" i="7"/>
  <c r="B167" i="7"/>
  <c r="G167" i="7"/>
  <c r="B168" i="7"/>
  <c r="G168" i="7"/>
  <c r="B169" i="7"/>
  <c r="G169" i="7"/>
  <c r="B170" i="7"/>
  <c r="G170" i="7"/>
  <c r="B171" i="7"/>
  <c r="G171" i="7"/>
  <c r="B172" i="7"/>
  <c r="G172" i="7"/>
  <c r="B173" i="7"/>
  <c r="G173" i="7"/>
  <c r="B174" i="7"/>
  <c r="G174" i="7"/>
  <c r="B175" i="7"/>
  <c r="G175" i="7"/>
  <c r="B176" i="7"/>
  <c r="G176" i="7"/>
  <c r="B177" i="7"/>
  <c r="G177" i="7"/>
  <c r="B178" i="7"/>
  <c r="G178" i="7"/>
  <c r="B179" i="7"/>
  <c r="G179" i="7"/>
  <c r="B180" i="7"/>
  <c r="G180" i="7"/>
  <c r="B181" i="7"/>
  <c r="G181" i="7"/>
  <c r="B182" i="7"/>
  <c r="G182" i="7"/>
  <c r="B183" i="7"/>
  <c r="G183" i="7"/>
  <c r="B184" i="7"/>
  <c r="G184" i="7"/>
  <c r="B185" i="7"/>
  <c r="G185" i="7"/>
  <c r="B186" i="7"/>
  <c r="G186" i="7"/>
  <c r="B187" i="7"/>
  <c r="G187" i="7"/>
  <c r="B188" i="7"/>
  <c r="G188" i="7"/>
  <c r="B189" i="7"/>
  <c r="G189" i="7"/>
  <c r="B190" i="7"/>
  <c r="G190" i="7"/>
  <c r="B191" i="7"/>
  <c r="G191" i="7"/>
  <c r="B192" i="7"/>
  <c r="G192" i="7"/>
  <c r="B193" i="7"/>
  <c r="G193" i="7"/>
  <c r="B194" i="7"/>
  <c r="C194" i="7"/>
  <c r="G194" i="7"/>
  <c r="B195" i="7"/>
  <c r="G195" i="7"/>
  <c r="B196" i="7"/>
  <c r="G196" i="7"/>
  <c r="B197" i="7"/>
  <c r="G197" i="7"/>
  <c r="B198" i="7"/>
  <c r="G198" i="7"/>
  <c r="B199" i="7"/>
  <c r="G199" i="7"/>
  <c r="B200" i="7"/>
  <c r="C200" i="7"/>
  <c r="G200" i="7"/>
  <c r="B201" i="7"/>
  <c r="G201" i="7"/>
  <c r="B202" i="7"/>
  <c r="G202" i="7"/>
  <c r="B203" i="7"/>
  <c r="G203" i="7"/>
  <c r="B204" i="7"/>
  <c r="G204" i="7"/>
  <c r="B205" i="7"/>
  <c r="G205" i="7"/>
  <c r="B206" i="7"/>
  <c r="G206" i="7"/>
  <c r="B207" i="7"/>
  <c r="G207" i="7"/>
  <c r="B208" i="7"/>
  <c r="G208" i="7"/>
  <c r="B209" i="7"/>
  <c r="G209" i="7"/>
  <c r="B210" i="7"/>
  <c r="G210" i="7"/>
  <c r="B211" i="7"/>
  <c r="G211" i="7"/>
  <c r="B212" i="7"/>
  <c r="G212" i="7"/>
  <c r="B213" i="7"/>
  <c r="G213" i="7"/>
  <c r="B214" i="7"/>
  <c r="G214" i="7"/>
  <c r="B215" i="7"/>
  <c r="G215" i="7"/>
  <c r="B216" i="7"/>
  <c r="G216" i="7"/>
  <c r="B217" i="7"/>
  <c r="G217" i="7"/>
  <c r="B218" i="7"/>
  <c r="G218" i="7"/>
  <c r="B219" i="7"/>
  <c r="G219" i="7"/>
  <c r="B220" i="7"/>
  <c r="G220" i="7"/>
  <c r="B221" i="7"/>
  <c r="G221" i="7"/>
  <c r="B222" i="7"/>
  <c r="G222" i="7"/>
  <c r="B223" i="7"/>
  <c r="G223" i="7"/>
  <c r="B224" i="7"/>
  <c r="G224" i="7"/>
  <c r="B225" i="7"/>
  <c r="G225" i="7"/>
  <c r="B226" i="7"/>
  <c r="G226" i="7"/>
  <c r="B227" i="7"/>
  <c r="G227" i="7"/>
  <c r="B228" i="7"/>
  <c r="G228" i="7"/>
  <c r="B229" i="7"/>
  <c r="G229" i="7"/>
  <c r="B230" i="7"/>
  <c r="G230" i="7"/>
  <c r="B231" i="7"/>
  <c r="G231" i="7"/>
  <c r="U7" i="9"/>
  <c r="S7" i="9"/>
  <c r="P7" i="9"/>
  <c r="D33" i="9" a="1"/>
  <c r="D33" i="9"/>
  <c r="E33" i="9" a="1"/>
  <c r="E33" i="9"/>
  <c r="I33" i="9" a="1"/>
  <c r="I33" i="9"/>
  <c r="H33" i="9"/>
  <c r="G33" i="9" a="1"/>
  <c r="G33" i="9"/>
  <c r="F33" i="9"/>
  <c r="J33" i="9"/>
  <c r="K33" i="9"/>
  <c r="L33" i="9"/>
  <c r="C33" i="9" a="1"/>
  <c r="C33" i="9"/>
  <c r="D32" i="9" a="1"/>
  <c r="D32" i="9"/>
  <c r="E32" i="9" a="1"/>
  <c r="E32" i="9"/>
  <c r="I32" i="9" a="1"/>
  <c r="I32" i="9"/>
  <c r="H32" i="9"/>
  <c r="G32" i="9" a="1"/>
  <c r="G32" i="9"/>
  <c r="F32" i="9"/>
  <c r="J32" i="9"/>
  <c r="K32" i="9"/>
  <c r="L32" i="9"/>
  <c r="C32" i="9" a="1"/>
  <c r="C32" i="9"/>
  <c r="D31" i="9" a="1"/>
  <c r="D31" i="9"/>
  <c r="E31" i="9" a="1"/>
  <c r="E31" i="9"/>
  <c r="I31" i="9" a="1"/>
  <c r="I31" i="9"/>
  <c r="H31" i="9"/>
  <c r="G31" i="9" a="1"/>
  <c r="G31" i="9"/>
  <c r="F31" i="9"/>
  <c r="J31" i="9"/>
  <c r="K31" i="9"/>
  <c r="L31" i="9"/>
  <c r="C31" i="9" a="1"/>
  <c r="C31" i="9"/>
  <c r="D30" i="9" a="1"/>
  <c r="D30" i="9"/>
  <c r="E30" i="9" a="1"/>
  <c r="E30" i="9"/>
  <c r="I30" i="9" a="1"/>
  <c r="I30" i="9"/>
  <c r="H30" i="9"/>
  <c r="G30" i="9" a="1"/>
  <c r="G30" i="9"/>
  <c r="F30" i="9"/>
  <c r="J30" i="9"/>
  <c r="K30" i="9"/>
  <c r="L30" i="9"/>
  <c r="C30" i="9" a="1"/>
  <c r="C30" i="9"/>
  <c r="D29" i="9" a="1"/>
  <c r="D29" i="9"/>
  <c r="E29" i="9" a="1"/>
  <c r="E29" i="9"/>
  <c r="I29" i="9" a="1"/>
  <c r="I29" i="9"/>
  <c r="H29" i="9"/>
  <c r="G29" i="9" a="1"/>
  <c r="G29" i="9"/>
  <c r="F29" i="9"/>
  <c r="J29" i="9"/>
  <c r="K29" i="9"/>
  <c r="L29" i="9"/>
  <c r="C29" i="9" a="1"/>
  <c r="C29" i="9"/>
  <c r="D28" i="9" a="1"/>
  <c r="D28" i="9"/>
  <c r="E28" i="9" a="1"/>
  <c r="E28" i="9"/>
  <c r="I28" i="9" a="1"/>
  <c r="I28" i="9"/>
  <c r="H28" i="9"/>
  <c r="G28" i="9" a="1"/>
  <c r="G28" i="9"/>
  <c r="F28" i="9"/>
  <c r="J28" i="9"/>
  <c r="K28" i="9"/>
  <c r="L28" i="9"/>
  <c r="C28" i="9" a="1"/>
  <c r="C28" i="9"/>
  <c r="Q27" i="9" a="1"/>
  <c r="Q27" i="9"/>
  <c r="R27" i="9" a="1"/>
  <c r="R27" i="9"/>
  <c r="V27" i="9" a="1"/>
  <c r="V27" i="9"/>
  <c r="U27" i="9"/>
  <c r="T27" i="9" a="1"/>
  <c r="T27" i="9"/>
  <c r="S27" i="9"/>
  <c r="W27" i="9"/>
  <c r="X27" i="9"/>
  <c r="Y27" i="9"/>
  <c r="P27" i="9" a="1"/>
  <c r="P27" i="9"/>
  <c r="D27" i="9" a="1"/>
  <c r="D27" i="9"/>
  <c r="E27" i="9" a="1"/>
  <c r="E27" i="9"/>
  <c r="I27" i="9" a="1"/>
  <c r="I27" i="9"/>
  <c r="H27" i="9"/>
  <c r="G27" i="9" a="1"/>
  <c r="G27" i="9"/>
  <c r="F27" i="9"/>
  <c r="J27" i="9"/>
  <c r="K27" i="9"/>
  <c r="L27" i="9"/>
  <c r="C27" i="9" a="1"/>
  <c r="C27" i="9"/>
  <c r="Q26" i="9" a="1"/>
  <c r="Q26" i="9"/>
  <c r="R26" i="9" a="1"/>
  <c r="R26" i="9"/>
  <c r="V26" i="9" a="1"/>
  <c r="V26" i="9"/>
  <c r="U26" i="9"/>
  <c r="T26" i="9" a="1"/>
  <c r="T26" i="9"/>
  <c r="S26" i="9"/>
  <c r="W26" i="9"/>
  <c r="X26" i="9"/>
  <c r="Y26" i="9"/>
  <c r="P26" i="9" a="1"/>
  <c r="P26" i="9"/>
  <c r="D26" i="9" a="1"/>
  <c r="D26" i="9"/>
  <c r="E26" i="9" a="1"/>
  <c r="E26" i="9"/>
  <c r="I26" i="9" a="1"/>
  <c r="I26" i="9"/>
  <c r="H26" i="9"/>
  <c r="G26" i="9" a="1"/>
  <c r="G26" i="9"/>
  <c r="F26" i="9"/>
  <c r="J26" i="9"/>
  <c r="K26" i="9"/>
  <c r="L26" i="9"/>
  <c r="C26" i="9" a="1"/>
  <c r="C26" i="9"/>
  <c r="Q25" i="9" a="1"/>
  <c r="Q25" i="9"/>
  <c r="R25" i="9" a="1"/>
  <c r="R25" i="9"/>
  <c r="V25" i="9" a="1"/>
  <c r="V25" i="9"/>
  <c r="U25" i="9"/>
  <c r="T25" i="9" a="1"/>
  <c r="T25" i="9"/>
  <c r="S25" i="9"/>
  <c r="W25" i="9"/>
  <c r="X25" i="9"/>
  <c r="Y25" i="9"/>
  <c r="P25" i="9" a="1"/>
  <c r="P25" i="9"/>
  <c r="D25" i="9" a="1"/>
  <c r="D25" i="9"/>
  <c r="E25" i="9" a="1"/>
  <c r="E25" i="9"/>
  <c r="I25" i="9" a="1"/>
  <c r="I25" i="9"/>
  <c r="H25" i="9"/>
  <c r="G25" i="9" a="1"/>
  <c r="G25" i="9"/>
  <c r="F25" i="9"/>
  <c r="J25" i="9"/>
  <c r="K25" i="9"/>
  <c r="L25" i="9"/>
  <c r="C25" i="9" a="1"/>
  <c r="C25" i="9"/>
  <c r="Q24" i="9" a="1"/>
  <c r="Q24" i="9"/>
  <c r="R24" i="9" a="1"/>
  <c r="R24" i="9"/>
  <c r="V24" i="9" a="1"/>
  <c r="V24" i="9"/>
  <c r="U24" i="9"/>
  <c r="T24" i="9" a="1"/>
  <c r="T24" i="9"/>
  <c r="S24" i="9"/>
  <c r="W24" i="9"/>
  <c r="X24" i="9"/>
  <c r="Y24" i="9"/>
  <c r="P24" i="9" a="1"/>
  <c r="P24" i="9"/>
  <c r="D24" i="9" a="1"/>
  <c r="D24" i="9"/>
  <c r="E24" i="9" a="1"/>
  <c r="E24" i="9"/>
  <c r="I24" i="9" a="1"/>
  <c r="I24" i="9"/>
  <c r="H24" i="9"/>
  <c r="G24" i="9" a="1"/>
  <c r="G24" i="9"/>
  <c r="F24" i="9"/>
  <c r="J24" i="9"/>
  <c r="K24" i="9"/>
  <c r="L24" i="9"/>
  <c r="C24" i="9" a="1"/>
  <c r="C24" i="9"/>
  <c r="Q23" i="9" a="1"/>
  <c r="Q23" i="9"/>
  <c r="R23" i="9" a="1"/>
  <c r="R23" i="9"/>
  <c r="V23" i="9" a="1"/>
  <c r="V23" i="9"/>
  <c r="U23" i="9"/>
  <c r="T23" i="9" a="1"/>
  <c r="T23" i="9"/>
  <c r="S23" i="9"/>
  <c r="W23" i="9"/>
  <c r="X23" i="9"/>
  <c r="Y23" i="9"/>
  <c r="P23" i="9" a="1"/>
  <c r="P23" i="9"/>
  <c r="D23" i="9" a="1"/>
  <c r="D23" i="9"/>
  <c r="E23" i="9" a="1"/>
  <c r="E23" i="9"/>
  <c r="I23" i="9" a="1"/>
  <c r="I23" i="9"/>
  <c r="H23" i="9"/>
  <c r="G23" i="9" a="1"/>
  <c r="G23" i="9"/>
  <c r="F23" i="9"/>
  <c r="J23" i="9"/>
  <c r="K23" i="9"/>
  <c r="L23" i="9"/>
  <c r="C23" i="9" a="1"/>
  <c r="C23" i="9"/>
  <c r="Q22" i="9" a="1"/>
  <c r="Q22" i="9"/>
  <c r="R22" i="9" a="1"/>
  <c r="R22" i="9"/>
  <c r="V22" i="9" a="1"/>
  <c r="V22" i="9"/>
  <c r="U22" i="9"/>
  <c r="T22" i="9" a="1"/>
  <c r="T22" i="9"/>
  <c r="S22" i="9"/>
  <c r="W22" i="9"/>
  <c r="X22" i="9"/>
  <c r="Y22" i="9"/>
  <c r="P22" i="9" a="1"/>
  <c r="P22" i="9"/>
  <c r="D22" i="9" a="1"/>
  <c r="D22" i="9"/>
  <c r="E22" i="9" a="1"/>
  <c r="E22" i="9"/>
  <c r="I22" i="9" a="1"/>
  <c r="I22" i="9"/>
  <c r="H22" i="9"/>
  <c r="G22" i="9" a="1"/>
  <c r="G22" i="9"/>
  <c r="F22" i="9"/>
  <c r="J22" i="9"/>
  <c r="K22" i="9"/>
  <c r="L22" i="9"/>
  <c r="C22" i="9" a="1"/>
  <c r="C22" i="9"/>
  <c r="Q21" i="9" a="1"/>
  <c r="Q21" i="9"/>
  <c r="R21" i="9" a="1"/>
  <c r="R21" i="9"/>
  <c r="V21" i="9" a="1"/>
  <c r="V21" i="9"/>
  <c r="U21" i="9"/>
  <c r="T21" i="9" a="1"/>
  <c r="T21" i="9"/>
  <c r="S21" i="9"/>
  <c r="W21" i="9"/>
  <c r="X21" i="9"/>
  <c r="Y21" i="9"/>
  <c r="P21" i="9" a="1"/>
  <c r="P21" i="9"/>
  <c r="D21" i="9" a="1"/>
  <c r="D21" i="9"/>
  <c r="E21" i="9" a="1"/>
  <c r="E21" i="9"/>
  <c r="I21" i="9" a="1"/>
  <c r="I21" i="9"/>
  <c r="H21" i="9"/>
  <c r="G21" i="9" a="1"/>
  <c r="G21" i="9"/>
  <c r="F21" i="9"/>
  <c r="J21" i="9"/>
  <c r="K21" i="9"/>
  <c r="L21" i="9"/>
  <c r="C21" i="9" a="1"/>
  <c r="C21" i="9"/>
  <c r="Q20" i="9" a="1"/>
  <c r="Q20" i="9"/>
  <c r="R20" i="9" a="1"/>
  <c r="R20" i="9"/>
  <c r="V20" i="9" a="1"/>
  <c r="V20" i="9"/>
  <c r="U20" i="9"/>
  <c r="T20" i="9" a="1"/>
  <c r="T20" i="9"/>
  <c r="S20" i="9"/>
  <c r="W20" i="9"/>
  <c r="X20" i="9"/>
  <c r="Y20" i="9"/>
  <c r="P20" i="9" a="1"/>
  <c r="P20" i="9"/>
  <c r="D20" i="9" a="1"/>
  <c r="D20" i="9"/>
  <c r="E20" i="9" a="1"/>
  <c r="E20" i="9"/>
  <c r="I20" i="9" a="1"/>
  <c r="I20" i="9"/>
  <c r="H20" i="9"/>
  <c r="G20" i="9" a="1"/>
  <c r="G20" i="9"/>
  <c r="F20" i="9"/>
  <c r="J20" i="9"/>
  <c r="K20" i="9"/>
  <c r="L20" i="9"/>
  <c r="C20" i="9" a="1"/>
  <c r="C20" i="9"/>
  <c r="Q19" i="9" a="1"/>
  <c r="Q19" i="9"/>
  <c r="R19" i="9" a="1"/>
  <c r="R19" i="9"/>
  <c r="V19" i="9" a="1"/>
  <c r="V19" i="9"/>
  <c r="U19" i="9"/>
  <c r="T19" i="9" a="1"/>
  <c r="T19" i="9"/>
  <c r="S19" i="9"/>
  <c r="W19" i="9"/>
  <c r="X19" i="9"/>
  <c r="Y19" i="9"/>
  <c r="P19" i="9" a="1"/>
  <c r="P19" i="9"/>
  <c r="D19" i="9" a="1"/>
  <c r="D19" i="9"/>
  <c r="E19" i="9" a="1"/>
  <c r="E19" i="9"/>
  <c r="I19" i="9" a="1"/>
  <c r="I19" i="9"/>
  <c r="H19" i="9"/>
  <c r="G19" i="9" a="1"/>
  <c r="G19" i="9"/>
  <c r="F19" i="9"/>
  <c r="J19" i="9"/>
  <c r="K19" i="9"/>
  <c r="L19" i="9"/>
  <c r="C19" i="9" a="1"/>
  <c r="C19" i="9"/>
  <c r="Q18" i="9" a="1"/>
  <c r="Q18" i="9"/>
  <c r="R18" i="9" a="1"/>
  <c r="R18" i="9"/>
  <c r="V18" i="9" a="1"/>
  <c r="V18" i="9"/>
  <c r="U18" i="9"/>
  <c r="T18" i="9" a="1"/>
  <c r="T18" i="9"/>
  <c r="S18" i="9"/>
  <c r="W18" i="9"/>
  <c r="X18" i="9"/>
  <c r="Y18" i="9"/>
  <c r="P18" i="9" a="1"/>
  <c r="P18" i="9"/>
  <c r="D18" i="9" a="1"/>
  <c r="D18" i="9"/>
  <c r="E18" i="9" a="1"/>
  <c r="E18" i="9"/>
  <c r="I18" i="9" a="1"/>
  <c r="I18" i="9"/>
  <c r="H18" i="9"/>
  <c r="G18" i="9" a="1"/>
  <c r="G18" i="9"/>
  <c r="F18" i="9"/>
  <c r="J18" i="9"/>
  <c r="K18" i="9"/>
  <c r="L18" i="9"/>
  <c r="C18" i="9" a="1"/>
  <c r="C18" i="9"/>
  <c r="Q17" i="9" a="1"/>
  <c r="Q17" i="9"/>
  <c r="R17" i="9" a="1"/>
  <c r="R17" i="9"/>
  <c r="V17" i="9" a="1"/>
  <c r="V17" i="9"/>
  <c r="U17" i="9"/>
  <c r="T17" i="9" a="1"/>
  <c r="T17" i="9"/>
  <c r="S17" i="9"/>
  <c r="W17" i="9"/>
  <c r="X17" i="9"/>
  <c r="Y17" i="9"/>
  <c r="P17" i="9" a="1"/>
  <c r="P17" i="9"/>
  <c r="D17" i="9" a="1"/>
  <c r="D17" i="9"/>
  <c r="E17" i="9" a="1"/>
  <c r="E17" i="9"/>
  <c r="I17" i="9" a="1"/>
  <c r="I17" i="9"/>
  <c r="H17" i="9"/>
  <c r="G17" i="9" a="1"/>
  <c r="G17" i="9"/>
  <c r="F17" i="9"/>
  <c r="J17" i="9"/>
  <c r="K17" i="9"/>
  <c r="L17" i="9"/>
  <c r="C17" i="9" a="1"/>
  <c r="C17" i="9"/>
  <c r="Q16" i="9" a="1"/>
  <c r="Q16" i="9"/>
  <c r="R16" i="9" a="1"/>
  <c r="R16" i="9"/>
  <c r="V16" i="9" a="1"/>
  <c r="V16" i="9"/>
  <c r="U16" i="9"/>
  <c r="T16" i="9" a="1"/>
  <c r="T16" i="9"/>
  <c r="S16" i="9"/>
  <c r="W16" i="9"/>
  <c r="X16" i="9"/>
  <c r="Y16" i="9"/>
  <c r="P16" i="9" a="1"/>
  <c r="P16" i="9"/>
  <c r="D16" i="9" a="1"/>
  <c r="D16" i="9"/>
  <c r="E16" i="9" a="1"/>
  <c r="E16" i="9"/>
  <c r="I16" i="9" a="1"/>
  <c r="I16" i="9"/>
  <c r="H16" i="9"/>
  <c r="G16" i="9" a="1"/>
  <c r="G16" i="9"/>
  <c r="F16" i="9"/>
  <c r="J16" i="9"/>
  <c r="K16" i="9"/>
  <c r="L16" i="9"/>
  <c r="C16" i="9" a="1"/>
  <c r="C16" i="9"/>
  <c r="Q15" i="9" a="1"/>
  <c r="Q15" i="9"/>
  <c r="R15" i="9" a="1"/>
  <c r="R15" i="9"/>
  <c r="V15" i="9" a="1"/>
  <c r="V15" i="9"/>
  <c r="U15" i="9"/>
  <c r="T15" i="9" a="1"/>
  <c r="T15" i="9"/>
  <c r="S15" i="9"/>
  <c r="W15" i="9"/>
  <c r="X15" i="9"/>
  <c r="Y15" i="9"/>
  <c r="P15" i="9" a="1"/>
  <c r="P15" i="9"/>
  <c r="D15" i="9" a="1"/>
  <c r="D15" i="9"/>
  <c r="E15" i="9" a="1"/>
  <c r="E15" i="9"/>
  <c r="I15" i="9" a="1"/>
  <c r="I15" i="9"/>
  <c r="H15" i="9"/>
  <c r="G15" i="9" a="1"/>
  <c r="G15" i="9"/>
  <c r="F15" i="9"/>
  <c r="J15" i="9"/>
  <c r="K15" i="9"/>
  <c r="L15" i="9"/>
  <c r="C15" i="9" a="1"/>
  <c r="C15" i="9"/>
  <c r="Y13" i="9"/>
  <c r="X13" i="9"/>
  <c r="W13" i="9"/>
  <c r="V13" i="9"/>
  <c r="U13" i="9"/>
  <c r="T13" i="9"/>
  <c r="S13" i="9"/>
  <c r="R13" i="9"/>
  <c r="Q13" i="9"/>
  <c r="P13" i="9"/>
  <c r="O8" i="9"/>
  <c r="O13" i="9"/>
  <c r="N13" i="9"/>
  <c r="L13" i="9"/>
  <c r="K13" i="9"/>
  <c r="J13" i="9"/>
  <c r="I13" i="9"/>
  <c r="H13" i="9"/>
  <c r="G13" i="9"/>
  <c r="F13" i="9"/>
  <c r="E13" i="9"/>
  <c r="D13" i="9"/>
  <c r="C13" i="9"/>
  <c r="B8" i="9"/>
  <c r="B13" i="9"/>
  <c r="A13" i="9"/>
  <c r="U12" i="9"/>
  <c r="S12" i="9"/>
  <c r="P12" i="9"/>
  <c r="O7" i="9"/>
  <c r="O12" i="9"/>
  <c r="H12" i="9"/>
  <c r="F12" i="9"/>
  <c r="C12" i="9"/>
  <c r="B7" i="9"/>
  <c r="B12" i="9"/>
  <c r="V9" i="9"/>
  <c r="T9" i="9"/>
  <c r="W9" i="9"/>
  <c r="W10" i="9"/>
  <c r="V10" i="9" a="1"/>
  <c r="V10" i="9"/>
  <c r="T10" i="9" a="1"/>
  <c r="T10" i="9"/>
  <c r="R9" i="9"/>
  <c r="R10" i="9" a="1"/>
  <c r="R10" i="9"/>
  <c r="Q9" i="9"/>
  <c r="Q10" i="9" a="1"/>
  <c r="Q10" i="9"/>
  <c r="P9" i="9"/>
  <c r="P10" i="9"/>
  <c r="I9" i="9"/>
  <c r="G9" i="9"/>
  <c r="J9" i="9"/>
  <c r="J10" i="9"/>
  <c r="I10" i="9" a="1"/>
  <c r="I10" i="9"/>
  <c r="G10" i="9" a="1"/>
  <c r="G10" i="9"/>
  <c r="E9" i="9"/>
  <c r="E10" i="9" a="1"/>
  <c r="E10" i="9"/>
  <c r="D9" i="9"/>
  <c r="D10" i="9" a="1"/>
  <c r="D10" i="9"/>
  <c r="C9" i="9"/>
  <c r="C10" i="9" a="1"/>
  <c r="C10" i="9"/>
  <c r="Y9" i="9"/>
  <c r="X9" i="9"/>
  <c r="U9" i="9"/>
  <c r="S9" i="9"/>
  <c r="L9" i="9"/>
  <c r="K9" i="9"/>
  <c r="H9" i="9"/>
  <c r="F9" i="9"/>
</calcChain>
</file>

<file path=xl/comments1.xml><?xml version="1.0" encoding="utf-8"?>
<comments xmlns="http://schemas.openxmlformats.org/spreadsheetml/2006/main">
  <authors>
    <author>Rafael Nicolas Fermin Cota</author>
  </authors>
  <commentList>
    <comment ref="A96" authorId="0">
      <text>
        <r>
          <rPr>
            <b/>
            <sz val="9"/>
            <color indexed="81"/>
            <rFont val="Arial"/>
            <family val="2"/>
          </rPr>
          <t>Rafael Nicolas Fermin Cota:</t>
        </r>
        <r>
          <rPr>
            <sz val="9"/>
            <color indexed="81"/>
            <rFont val="Arial"/>
            <family val="2"/>
          </rPr>
          <t xml:space="preserve">
June 3-7/13</t>
        </r>
      </text>
    </comment>
    <comment ref="A181" authorId="0">
      <text>
        <r>
          <rPr>
            <b/>
            <sz val="9"/>
            <color indexed="81"/>
            <rFont val="Arial"/>
            <family val="2"/>
          </rPr>
          <t>Rafael Nicolas Fermin Cota:</t>
        </r>
        <r>
          <rPr>
            <sz val="9"/>
            <color indexed="81"/>
            <rFont val="Arial"/>
            <family val="2"/>
          </rPr>
          <t xml:space="preserve">
2 workers</t>
        </r>
      </text>
    </comment>
    <comment ref="A183" authorId="0">
      <text>
        <r>
          <rPr>
            <b/>
            <sz val="9"/>
            <color indexed="81"/>
            <rFont val="Arial"/>
            <family val="2"/>
          </rPr>
          <t>Rafael Nicolas Fermin Cota:</t>
        </r>
        <r>
          <rPr>
            <sz val="9"/>
            <color indexed="81"/>
            <rFont val="Arial"/>
            <family val="2"/>
          </rPr>
          <t xml:space="preserve">
2 workers</t>
        </r>
      </text>
    </comment>
    <comment ref="A185" authorId="0">
      <text>
        <r>
          <rPr>
            <b/>
            <sz val="9"/>
            <color indexed="81"/>
            <rFont val="Arial"/>
            <family val="2"/>
          </rPr>
          <t>Rafael Nicolas Fermin Cota:</t>
        </r>
        <r>
          <rPr>
            <sz val="9"/>
            <color indexed="81"/>
            <rFont val="Arial"/>
            <family val="2"/>
          </rPr>
          <t xml:space="preserve">
2 workers</t>
        </r>
      </text>
    </comment>
    <comment ref="A193" authorId="0">
      <text>
        <r>
          <rPr>
            <b/>
            <sz val="9"/>
            <color indexed="81"/>
            <rFont val="Arial"/>
            <family val="2"/>
          </rPr>
          <t>Rafael Nicolas Fermin Cota:</t>
        </r>
        <r>
          <rPr>
            <sz val="9"/>
            <color indexed="81"/>
            <rFont val="Arial"/>
            <family val="2"/>
          </rPr>
          <t xml:space="preserve">
July 23-24</t>
        </r>
      </text>
    </comment>
    <comment ref="A194" authorId="0">
      <text>
        <r>
          <rPr>
            <b/>
            <sz val="9"/>
            <color indexed="81"/>
            <rFont val="Arial"/>
            <family val="2"/>
          </rPr>
          <t>Rafael Nicolas Fermin Cota:</t>
        </r>
        <r>
          <rPr>
            <sz val="9"/>
            <color indexed="81"/>
            <rFont val="Arial"/>
            <family val="2"/>
          </rPr>
          <t xml:space="preserve">
July 25-26</t>
        </r>
      </text>
    </comment>
  </commentList>
</comments>
</file>

<file path=xl/sharedStrings.xml><?xml version="1.0" encoding="utf-8"?>
<sst xmlns="http://schemas.openxmlformats.org/spreadsheetml/2006/main" count="2329" uniqueCount="1253">
  <si>
    <t>Date</t>
  </si>
  <si>
    <t>Total</t>
  </si>
  <si>
    <t>Employee</t>
  </si>
  <si>
    <t>Hours</t>
  </si>
  <si>
    <t>Travel</t>
  </si>
  <si>
    <t>Rate</t>
  </si>
  <si>
    <t>Markup</t>
  </si>
  <si>
    <t>Cost</t>
  </si>
  <si>
    <t>No. Rows</t>
  </si>
  <si>
    <t>Use Dates Filter</t>
  </si>
  <si>
    <t>Starting Dates</t>
  </si>
  <si>
    <t>Ending Dates</t>
  </si>
  <si>
    <t>Total Costs Excluding Markup</t>
  </si>
  <si>
    <t>Total Costs Including Markup</t>
  </si>
  <si>
    <t>No. Invoices</t>
  </si>
  <si>
    <t>Avg. Rate</t>
  </si>
  <si>
    <t>Total Costs</t>
  </si>
  <si>
    <t>$ Markup</t>
  </si>
  <si>
    <t>$ Markup per hour</t>
  </si>
  <si>
    <t>Check</t>
  </si>
  <si>
    <t xml:space="preserve"> </t>
  </si>
  <si>
    <t>Control</t>
  </si>
  <si>
    <t>HOURS</t>
  </si>
  <si>
    <t>Name</t>
  </si>
  <si>
    <t>Sheet</t>
  </si>
  <si>
    <t>McCluskey, Will</t>
  </si>
  <si>
    <t>Fitzmaurice, Thomas</t>
  </si>
  <si>
    <t>Thanasse, Kate</t>
  </si>
  <si>
    <t>Todd, Amy</t>
  </si>
  <si>
    <t>Wang, Adam</t>
  </si>
  <si>
    <t>Romano, Stefan</t>
  </si>
  <si>
    <t>Hind, Julie</t>
  </si>
  <si>
    <t>Liao, Cynthia</t>
  </si>
  <si>
    <t>Saunders, Chris</t>
  </si>
  <si>
    <t>Faircloth, Juliana</t>
  </si>
  <si>
    <t>Zhang, Chendi</t>
  </si>
  <si>
    <t>Ng, Melissa</t>
  </si>
  <si>
    <t>Wong, Patricia</t>
  </si>
  <si>
    <t>Voorberg, Adam</t>
  </si>
  <si>
    <t>Lau, Freda</t>
  </si>
  <si>
    <t>Lin, Watson</t>
  </si>
  <si>
    <t>Deng, Roy</t>
  </si>
  <si>
    <t>Koh, Jonathan</t>
  </si>
  <si>
    <t>EUM</t>
  </si>
  <si>
    <t>Declaring Variables</t>
  </si>
  <si>
    <t>Assigning Variables</t>
  </si>
  <si>
    <t>Optimizing Loops</t>
  </si>
  <si>
    <t>Aggregating Raw Data</t>
  </si>
  <si>
    <t>Organizing Raw Data</t>
  </si>
  <si>
    <t>Installin Add-Ins</t>
  </si>
  <si>
    <t>Creating Classes</t>
  </si>
  <si>
    <t>Remove formulas "on-site"</t>
  </si>
  <si>
    <t>Coding Subs</t>
  </si>
  <si>
    <t>Putting all-together</t>
  </si>
  <si>
    <t>Designing Dashboard</t>
  </si>
  <si>
    <t>Jiao, Liao, Cynthiarence</t>
  </si>
  <si>
    <t>Coding functJiao, Liao, Cynthiarences</t>
  </si>
  <si>
    <t>Development Hours</t>
  </si>
  <si>
    <t>DASHBOARD WI</t>
  </si>
  <si>
    <t>INDEX</t>
  </si>
  <si>
    <t>SHEET NAME</t>
  </si>
  <si>
    <t>ADDRESS1</t>
  </si>
  <si>
    <t>ADDRESS2</t>
  </si>
  <si>
    <t>VALUE</t>
  </si>
  <si>
    <t>FORMULA</t>
  </si>
  <si>
    <t>$E$4</t>
  </si>
  <si>
    <t>R4C5</t>
  </si>
  <si>
    <t>IF($C$2FALSE,"-",MIN(OFFSET(INDIRECT($C$3&amp;"!$B$1"),1,0,$C$5,1)))</t>
  </si>
  <si>
    <t>$C$5</t>
  </si>
  <si>
    <t>R5C3</t>
  </si>
  <si>
    <t>IF($C$2FALSE,"-",COUNTA(INDIRECT($C$3&amp;"!A:A"))-1)</t>
  </si>
  <si>
    <t>$E$5</t>
  </si>
  <si>
    <t>R5C5</t>
  </si>
  <si>
    <t>IF($C$2FALSE,"-",MAX(OFFSET(INDIRECT($C$3&amp;"!$B$1"),1,0,$C$5,1)))</t>
  </si>
  <si>
    <t>$B$7</t>
  </si>
  <si>
    <t>R7C2</t>
  </si>
  <si>
    <t>IF($C$2FALSE,"-",$C$4)</t>
  </si>
  <si>
    <t>$O$7</t>
  </si>
  <si>
    <t>R7C15</t>
  </si>
  <si>
    <t>$P$7</t>
  </si>
  <si>
    <t>R7C16</t>
  </si>
  <si>
    <t>C7</t>
  </si>
  <si>
    <t>$S$7</t>
  </si>
  <si>
    <t>R7C19</t>
  </si>
  <si>
    <t>F7</t>
  </si>
  <si>
    <t>$U$7</t>
  </si>
  <si>
    <t>R7C21</t>
  </si>
  <si>
    <t>H7</t>
  </si>
  <si>
    <t>$B$8</t>
  </si>
  <si>
    <t>R8C2</t>
  </si>
  <si>
    <t>13-May-13 to 03-Sep-13</t>
  </si>
  <si>
    <t>IF($C$2FALSE,"-",IF($E$3FALSE,TEXT(MIN(OFFSET(INDIRECT($C$3&amp;"!$B$1"),1,0,$C$5,1)),"dd-mmm-yy")&amp;" to "&amp;TEXT(MAX(OFFSET(INDIRECT($C$3&amp;"!$B$1"),1,0,$C$5,1)),"dd-mmm-yy"),TEXT($E$4,"dd-mmm-yy")&amp;" to "&amp;TEXT($E$5,"dd-mmm-yy")))</t>
  </si>
  <si>
    <t>$O$8</t>
  </si>
  <si>
    <t>R8C15</t>
  </si>
  <si>
    <t>$C$9</t>
  </si>
  <si>
    <t>R9C3</t>
  </si>
  <si>
    <t>IF($C$2FALSE,"-",SUM(OFFSET(C$14,1,0,A13,1)))</t>
  </si>
  <si>
    <t>$D$9</t>
  </si>
  <si>
    <t>R9C4</t>
  </si>
  <si>
    <t>IF($C$2FALSE,"-",SUM(OFFSET(D$14,1,0,A13,1)))</t>
  </si>
  <si>
    <t>$E$9</t>
  </si>
  <si>
    <t>R9C5</t>
  </si>
  <si>
    <t>IF($C$2FALSE,"-",SUM(OFFSET(E$14,1,0,A13,1)))</t>
  </si>
  <si>
    <t>$F$9</t>
  </si>
  <si>
    <t>R9C6</t>
  </si>
  <si>
    <t>IF($C$2FALSE,"-",IF(D90,0,G9/D9))</t>
  </si>
  <si>
    <t>$G$9</t>
  </si>
  <si>
    <t>R9C7</t>
  </si>
  <si>
    <t>IF($C$2FALSE,"-",SUM(OFFSET(G$14,1,0,A13,1)))</t>
  </si>
  <si>
    <t>$H$9</t>
  </si>
  <si>
    <t>R9C8</t>
  </si>
  <si>
    <t>IF($C$2FALSE,"-",IF(D90,0,I9/D9))</t>
  </si>
  <si>
    <t>$I$9</t>
  </si>
  <si>
    <t>R9C9</t>
  </si>
  <si>
    <t>IF($C$2FALSE,"-",SUM(OFFSET(I$14,1,0,A13,1)))</t>
  </si>
  <si>
    <t>$J$9</t>
  </si>
  <si>
    <t>R9C10</t>
  </si>
  <si>
    <t>IF($C$2FALSE,"-",SUM(OFFSET(J$14,1,0,A13,1)))</t>
  </si>
  <si>
    <t>$K$9</t>
  </si>
  <si>
    <t>R9C11</t>
  </si>
  <si>
    <t>IF($C$2FALSE,"-",IF(D90,0,J9/D9))</t>
  </si>
  <si>
    <t>$L$9</t>
  </si>
  <si>
    <t>R9C12</t>
  </si>
  <si>
    <t>IF($C$2FALSE,"-",SUM(OFFSET(L$14,1,0,A13,1)))</t>
  </si>
  <si>
    <t>$P$9</t>
  </si>
  <si>
    <t>R9C16</t>
  </si>
  <si>
    <t>IF($C$2FALSE,"-",SUM(OFFSET(P$14,1,0,N13,1)))</t>
  </si>
  <si>
    <t>$Q$9</t>
  </si>
  <si>
    <t>R9C17</t>
  </si>
  <si>
    <t>IF($C$2FALSE,"-",SUM(OFFSET(Q$14,1,0,N13,1)))</t>
  </si>
  <si>
    <t>$R$9</t>
  </si>
  <si>
    <t>R9C18</t>
  </si>
  <si>
    <t>IF($C$2FALSE,"-",SUM(OFFSET(R$14,1,0,N13,1)))</t>
  </si>
  <si>
    <t>$S$9</t>
  </si>
  <si>
    <t>R9C19</t>
  </si>
  <si>
    <t>IF($C$2FALSE,"-",IF(Q90,0,T9/Q9))</t>
  </si>
  <si>
    <t>$T$9</t>
  </si>
  <si>
    <t>R9C20</t>
  </si>
  <si>
    <t>IF($C$2FALSE,"-",SUM(OFFSET(T$14,1,0,N13,1)))</t>
  </si>
  <si>
    <t>$U$9</t>
  </si>
  <si>
    <t>R9C21</t>
  </si>
  <si>
    <t>IF($C$2FALSE,"-",IF(Q90,0,V9/Q9))</t>
  </si>
  <si>
    <t>$V$9</t>
  </si>
  <si>
    <t>R9C22</t>
  </si>
  <si>
    <t>IF($C$2FALSE,"-",SUM(OFFSET(V$14,1,0,N13,1)))</t>
  </si>
  <si>
    <t>$W$9</t>
  </si>
  <si>
    <t>R9C23</t>
  </si>
  <si>
    <t>IF($C$2FALSE,"-",SUM(OFFSET(W$14,1,0,N13,1)))</t>
  </si>
  <si>
    <t>$X$9</t>
  </si>
  <si>
    <t>R9C24</t>
  </si>
  <si>
    <t>IF($C$2FALSE,"-",IF(Q90,0,W9/Q9))</t>
  </si>
  <si>
    <t>$Y$9</t>
  </si>
  <si>
    <t>R9C25</t>
  </si>
  <si>
    <t>IF($C$2FALSE,"-",SUM(OFFSET(Y$14,1,0,N13,1)))</t>
  </si>
  <si>
    <t>$C$10</t>
  </si>
  <si>
    <t>R10C3</t>
  </si>
  <si>
    <t>IF($C$2FALSE,"-",SUM(IF($E$3FALSE,C$5,(OFFSET(INDIRECT($C$3&amp;"!$B$1"),1,0,$C$5,1)&gt;$E$4)*(OFFSET(INDIRECT($C$3&amp;"!$B$1"),1,0,$C$5,1)&lt;$E$5)))-$C$9)</t>
  </si>
  <si>
    <t>$D$10</t>
  </si>
  <si>
    <t>R10C4</t>
  </si>
  <si>
    <t>IF($C$2FALSE,"-",SUM((OFFSET(INDIRECT($C$3&amp;"!$C$1"),1,0,$C$5,1))*IF($E$3FALSE,1,(OFFSET(INDIRECT($C$3&amp;"!$B$1"),1,0,$C$5,1)&gt;$E$4)*(OFFSET(INDIRECT($C$3&amp;"!$B$1"),1,0,$C$5,1)&lt;$E$5)))-D9)</t>
  </si>
  <si>
    <t>$E$10</t>
  </si>
  <si>
    <t>R10C5</t>
  </si>
  <si>
    <t>IF($C$2FALSE,"-",SUM((OFFSET(INDIRECT($C$3&amp;"!$D$1"),1,0,$C$5,1))*IF($E$3FALSE,1,(OFFSET(INDIRECT($C$3&amp;"!$B$1"),1,0,$C$5,1)&gt;$E$4)*(OFFSET(INDIRECT($C$3&amp;"!$B$1"),1,0,$C$5,1)&lt;$E$5)))-E9)</t>
  </si>
  <si>
    <t>$G$10</t>
  </si>
  <si>
    <t>R10C7</t>
  </si>
  <si>
    <t>IF($C$2FALSE,"-",SUM((OFFSET(INDIRECT($C$3&amp;"!$C$1"),1,0,$C$5,1)+OFFSET(INDIRECT($C$3&amp;"!$D$1"),1,0,$C$5,1))*OFFSET(INDIRECT($C$3&amp;"!$E$1"),1,0,$C$5,1)*IF($E$3FALSE,1,(OFFSET(INDIRECT($C$3&amp;"!$B$1"),1,0,$C$5,1)&gt;$E$4)*(OFFSET(INDIRECT($C$3&amp;"!$B$1"),1,0,$C$5,1)&lt;$E$5)))-G9)</t>
  </si>
  <si>
    <t>$I$10</t>
  </si>
  <si>
    <t>R10C9</t>
  </si>
  <si>
    <t>IF($C$2FALSE,"-",SUM((OFFSET(INDIRECT($C$3&amp;"!$C$1"),1,0,$C$5,1)+OFFSET(INDIRECT($C$3&amp;"!$D$1"),1,0,$C$5,1))*OFFSET(INDIRECT($C$3&amp;"!$E$1"),1,0,$C$5,1)*OFFSET(INDIRECT($C$3&amp;"!$F$1"),1,0,$C$5,1)*IF($E$3FALSE,1,(OFFSET(INDIRECT($C$3&amp;"!$B$1"),1,0,$C$5,1)&gt;$E$4)*(OFFSET(INDIRECT($C$3&amp;"!$B$1"),1,0,$C$5,1)&lt;$E$5)))-I9)</t>
  </si>
  <si>
    <t>$J$10</t>
  </si>
  <si>
    <t>R10C10</t>
  </si>
  <si>
    <t>IF($C$2FALSE,"-",I9-G9-J9)</t>
  </si>
  <si>
    <t>$P$10</t>
  </si>
  <si>
    <t>R10C16</t>
  </si>
  <si>
    <t>IF($C$2FALSE,"-",SUM(IF($E$3FALSE,C$5,(OFFSET(INDIRECT($C$3&amp;"!$B$1"),1,0,$C$5,1)&gt;$E$4)*(OFFSET(INDIRECT($C$3&amp;"!$B$1"),1,0,$C$5,1)&lt;$E$5)))-$P$9)</t>
  </si>
  <si>
    <t>$Q$10</t>
  </si>
  <si>
    <t>R10C17</t>
  </si>
  <si>
    <t>IF($C$2FALSE,"-",SUM((OFFSET(INDIRECT($C$3&amp;"!$C$1"),1,0,$C$5,1))*IF($E$3FALSE,1,(OFFSET(INDIRECT($C$3&amp;"!$B$1"),1,0,$C$5,1)&gt;$E$4)*(OFFSET(INDIRECT($C$3&amp;"!$B$1"),1,0,$C$5,1)&lt;$E$5)))-Q9)</t>
  </si>
  <si>
    <t>$R$10</t>
  </si>
  <si>
    <t>R10C18</t>
  </si>
  <si>
    <t>IF($C$2FALSE,"-",SUM((OFFSET(INDIRECT($C$3&amp;"!$D$1"),1,0,$C$5,1))*IF($E$3FALSE,1,(OFFSET(INDIRECT($C$3&amp;"!$B$1"),1,0,$C$5,1)&gt;$E$4)*(OFFSET(INDIRECT($C$3&amp;"!$B$1"),1,0,$C$5,1)&lt;$E$5)))-R9)</t>
  </si>
  <si>
    <t>$T$10</t>
  </si>
  <si>
    <t>R10C20</t>
  </si>
  <si>
    <t>IF($C$2FALSE,"-",SUM((OFFSET(INDIRECT($C$3&amp;"!$C$1"),1,0,$C$5,1)+OFFSET(INDIRECT($C$3&amp;"!$D$1"),1,0,$C$5,1))*OFFSET(INDIRECT($C$3&amp;"!$E$1"),1,0,$C$5,1)*IF($E$3FALSE,1,(OFFSET(INDIRECT($C$3&amp;"!$B$1"),1,0,$C$5,1)&gt;$E$4)*(OFFSET(INDIRECT($C$3&amp;"!$B$1"),1,0,$C$5,1)&lt;$E$5)))-T9)</t>
  </si>
  <si>
    <t>$V$10</t>
  </si>
  <si>
    <t>R10C22</t>
  </si>
  <si>
    <t>IF($C$2FALSE,"-",SUM((OFFSET(INDIRECT($C$3&amp;"!$C$1"),1,0,$C$5,1)+OFFSET(INDIRECT($C$3&amp;"!$D$1"),1,0,$C$5,1))*OFFSET(INDIRECT($C$3&amp;"!$E$1"),1,0,$C$5,1)*OFFSET(INDIRECT($C$3&amp;"!$F$1"),1,0,$C$5,1)*IF($E$3FALSE,1,(OFFSET(INDIRECT($C$3&amp;"!$B$1"),1,0,$C$5,1)&gt;$E$4)*(OFFSET(INDIRECT($C$3&amp;"!$B$1"),1,0,$C$5,1)&lt;$E$5)))-V9)</t>
  </si>
  <si>
    <t>$W$10</t>
  </si>
  <si>
    <t>R10C23</t>
  </si>
  <si>
    <t>IF($C$2FALSE,"-",V9-T9-W9)</t>
  </si>
  <si>
    <t>$B$12</t>
  </si>
  <si>
    <t>R12C2</t>
  </si>
  <si>
    <t>IF($C$2FALSE,"-",B7)</t>
  </si>
  <si>
    <t>$C$12</t>
  </si>
  <si>
    <t>R12C3</t>
  </si>
  <si>
    <t>IF($C$2FALSE,"-",C7)</t>
  </si>
  <si>
    <t>$F$12</t>
  </si>
  <si>
    <t>R12C6</t>
  </si>
  <si>
    <t>IF($C$2FALSE,"-",F7)</t>
  </si>
  <si>
    <t>$H$12</t>
  </si>
  <si>
    <t>R12C8</t>
  </si>
  <si>
    <t>IF($C$2FALSE,"-",H7)</t>
  </si>
  <si>
    <t>$O$12</t>
  </si>
  <si>
    <t>R12C15</t>
  </si>
  <si>
    <t>IF($C$2FALSE,"-",O7)</t>
  </si>
  <si>
    <t>$P$12</t>
  </si>
  <si>
    <t>R12C16</t>
  </si>
  <si>
    <t>IF($C$2FALSE,"-",P7)</t>
  </si>
  <si>
    <t>$S$12</t>
  </si>
  <si>
    <t>R12C19</t>
  </si>
  <si>
    <t>IF($C$2FALSE,"-",S7)</t>
  </si>
  <si>
    <t>$U$12</t>
  </si>
  <si>
    <t>R12C21</t>
  </si>
  <si>
    <t>IF($C$2FALSE,"-",U7)</t>
  </si>
  <si>
    <t>$A$13</t>
  </si>
  <si>
    <t>R13C1</t>
  </si>
  <si>
    <t>IF($C$2FALSE,"-",COUNTA(B$15:B$997))</t>
  </si>
  <si>
    <t>$B$13</t>
  </si>
  <si>
    <t>R13C2</t>
  </si>
  <si>
    <t>IF($C$2FALSE,"-",B8)</t>
  </si>
  <si>
    <t>$C$13</t>
  </si>
  <si>
    <t>R13C3</t>
  </si>
  <si>
    <t>IF($C$2FALSE,"-",C8)</t>
  </si>
  <si>
    <t>$D$13</t>
  </si>
  <si>
    <t>R13C4</t>
  </si>
  <si>
    <t>IF($C$2FALSE,"-",D8)</t>
  </si>
  <si>
    <t>$E$13</t>
  </si>
  <si>
    <t>R13C5</t>
  </si>
  <si>
    <t>IF($C$2FALSE,"-",E8)</t>
  </si>
  <si>
    <t>$F$13</t>
  </si>
  <si>
    <t>R13C6</t>
  </si>
  <si>
    <t>IF($C$2FALSE,"-",F8)</t>
  </si>
  <si>
    <t>$G$13</t>
  </si>
  <si>
    <t>R13C7</t>
  </si>
  <si>
    <t>IF($C$2FALSE,"-",G8)</t>
  </si>
  <si>
    <t>$H$13</t>
  </si>
  <si>
    <t>R13C8</t>
  </si>
  <si>
    <t>IF($C$2FALSE,"-",H8)</t>
  </si>
  <si>
    <t>$I$13</t>
  </si>
  <si>
    <t>R13C9</t>
  </si>
  <si>
    <t>IF($C$2FALSE,"-",I8)</t>
  </si>
  <si>
    <t>$J$13</t>
  </si>
  <si>
    <t>R13C10</t>
  </si>
  <si>
    <t>IF($C$2FALSE,"-",J8)</t>
  </si>
  <si>
    <t>$K$13</t>
  </si>
  <si>
    <t>R13C11</t>
  </si>
  <si>
    <t>IF($C$2FALSE,"-",K8)</t>
  </si>
  <si>
    <t>$L$13</t>
  </si>
  <si>
    <t>R13C12</t>
  </si>
  <si>
    <t>IF($C$2FALSE,"-",L8)</t>
  </si>
  <si>
    <t>$N$13</t>
  </si>
  <si>
    <t>R13C14</t>
  </si>
  <si>
    <t>IF($C$2FALSE,"-",COUNTA(O$15:O$997)+1)</t>
  </si>
  <si>
    <t>$O$13</t>
  </si>
  <si>
    <t>R13C15</t>
  </si>
  <si>
    <t>IF($C$2FALSE,"-",O8)</t>
  </si>
  <si>
    <t>$P$13</t>
  </si>
  <si>
    <t>R13C16</t>
  </si>
  <si>
    <t>IF($C$2FALSE,"-",P8)</t>
  </si>
  <si>
    <t>$Q$13</t>
  </si>
  <si>
    <t>R13C17</t>
  </si>
  <si>
    <t>IF($C$2FALSE,"-",Q8)</t>
  </si>
  <si>
    <t>$R$13</t>
  </si>
  <si>
    <t>R13C18</t>
  </si>
  <si>
    <t>IF($C$2FALSE,"-",R8)</t>
  </si>
  <si>
    <t>$S$13</t>
  </si>
  <si>
    <t>R13C19</t>
  </si>
  <si>
    <t>IF($C$2FALSE,"-",S8)</t>
  </si>
  <si>
    <t>$T$13</t>
  </si>
  <si>
    <t>R13C20</t>
  </si>
  <si>
    <t>IF($C$2FALSE,"-",T8)</t>
  </si>
  <si>
    <t>$U$13</t>
  </si>
  <si>
    <t>R13C21</t>
  </si>
  <si>
    <t>IF($C$2FALSE,"-",U8)</t>
  </si>
  <si>
    <t>$V$13</t>
  </si>
  <si>
    <t>R13C22</t>
  </si>
  <si>
    <t>IF($C$2FALSE,"-",V8)</t>
  </si>
  <si>
    <t>$W$13</t>
  </si>
  <si>
    <t>R13C23</t>
  </si>
  <si>
    <t>IF($C$2FALSE,"-",W8)</t>
  </si>
  <si>
    <t>$X$13</t>
  </si>
  <si>
    <t>R13C24</t>
  </si>
  <si>
    <t>IF($C$2FALSE,"-",X8)</t>
  </si>
  <si>
    <t>$Y$13</t>
  </si>
  <si>
    <t>R13C25</t>
  </si>
  <si>
    <t>IF($C$2FALSE,"-",Y8)</t>
  </si>
  <si>
    <t>$C$15</t>
  </si>
  <si>
    <t>R15C3</t>
  </si>
  <si>
    <t>IF($C$2FALSE,"-",SUM((OFFSET(INDIRECT($C$3&amp;"!$A$1"),1,0,$C$5,1)B15)*IF($E$3FALSE,1,(OFFSET(INDIRECT($C$3&amp;"!$B$1"),1,0,$C$5,1)&gt;$E$4)*(OFFSET(INDIRECT($C$3&amp;"!$B$1"),1,0,$C$5,1)&lt;$E$5))))</t>
  </si>
  <si>
    <t>$D$15</t>
  </si>
  <si>
    <t>R15C4</t>
  </si>
  <si>
    <t>IF($C$2FALSE,"-",SUM((OFFSET(INDIRECT($C$3&amp;"!$A$1"),1,0,$C$5,1)B15)*OFFSET(INDIRECT($C$3&amp;"!$C$1"),1,0,$C$5,1)*IF($E$3FALSE,1,(OFFSET(INDIRECT($C$3&amp;"!$B$1"),1,0,$C$5,1)&gt;$E$4)*(OFFSET(INDIRECT($C$3&amp;"!$B$1"),1,0,$C$5,1)&lt;$E$5))))</t>
  </si>
  <si>
    <t>$E$15</t>
  </si>
  <si>
    <t>R15C5</t>
  </si>
  <si>
    <t>IF($C$2FALSE,"-",SUM((OFFSET(INDIRECT($C$3&amp;"!$A$1"),1,0,$C$5,1)B15)*OFFSET(INDIRECT($C$3&amp;"!$D$1"),1,0,$C$5,1)*IF($E$3FALSE,1,(OFFSET(INDIRECT($C$3&amp;"!$B$1"),1,0,$C$5,1)&gt;$E$4)*(OFFSET(INDIRECT($C$3&amp;"!$B$1"),1,0,$C$5,1)&lt;$E$5))))</t>
  </si>
  <si>
    <t>$F$15</t>
  </si>
  <si>
    <t>R15C6</t>
  </si>
  <si>
    <t>IF($C$2FALSE,"-",IF(D15+E150,0,G15/(D15+E15)))</t>
  </si>
  <si>
    <t>$G$15</t>
  </si>
  <si>
    <t>R15C7</t>
  </si>
  <si>
    <t>IF($C$2FALSE,"-",SUM((OFFSET(INDIRECT($C$3&amp;"!$A$1"),1,0,$C$5,1)B15)*(OFFSET(INDIRECT($C$3&amp;"!$C$1"),1,0,$C$5,1)+OFFSET(INDIRECT($C$3&amp;"!$D$1"),1,0,$C$5,1))*OFFSET(INDIRECT($C$3&amp;"!$E$1"),1,0,$C$5,1)*IF($E$3FALSE,1,(OFFSET(INDIRECT($C$3&amp;"!$B$1"),1,0,$C$5,1)&gt;$E$4)*(OFFSET(INDIRECT($C$3&amp;"!$B$1"),1,0,$C$5,1)&lt;$E$5))))</t>
  </si>
  <si>
    <t>$H$15</t>
  </si>
  <si>
    <t>R15C8</t>
  </si>
  <si>
    <t>IF($C$2FALSE,"-",IF(D15+E150,0,I15/(D15+E15)))</t>
  </si>
  <si>
    <t>$I$15</t>
  </si>
  <si>
    <t>R15C9</t>
  </si>
  <si>
    <t>IF($C$2FALSE,"-",SUM((OFFSET(INDIRECT($C$3&amp;"!$A$1"),1,0,$C$5,1)B15)*(OFFSET(INDIRECT($C$3&amp;"!$C$1"),1,0,$C$5,1)+OFFSET(INDIRECT($C$3&amp;"!$D$1"),1,0,$C$5,1))*OFFSET(INDIRECT($C$3&amp;"!$E$1"),1,0,$C$5,1)*OFFSET(INDIRECT($C$3&amp;"!$F$1"),1,0,$C$5,1)*IF($E$3FALSE,1,(OFFSET(INDIRECT($C$3&amp;"!$B$1"),1,0,$C$5,1)&gt;$E$4)*(OFFSET(INDIRECT($C$3&amp;"!$B$1"),1,0,$C$5,1)&lt;$E$5))))</t>
  </si>
  <si>
    <t>$J$15</t>
  </si>
  <si>
    <t>R15C10</t>
  </si>
  <si>
    <t>IF($C$2FALSE,"-",I15-G15)</t>
  </si>
  <si>
    <t>$K$15</t>
  </si>
  <si>
    <t>R15C11</t>
  </si>
  <si>
    <t>IF($C$2FALSE,"-",IF(D15+E150,0,J15/(D15+E15)))</t>
  </si>
  <si>
    <t>$L$15</t>
  </si>
  <si>
    <t>R15C12</t>
  </si>
  <si>
    <t>IF($C$2FALSE,"-",(H15-F15)-K15)</t>
  </si>
  <si>
    <t>$P$15</t>
  </si>
  <si>
    <t>R15C16</t>
  </si>
  <si>
    <t>IF($C$2FALSE,"-",SUM((OFFSET(INDIRECT($C$3&amp;"!$H$1"),1,0,$C$5,1)O15)*IF($E$3FALSE,1,(OFFSET(INDIRECT($C$3&amp;"!$B$1"),1,0,$C$5,1)&gt;$E$4)*(OFFSET(INDIRECT($C$3&amp;"!$B$1"),1,0,$C$5,1)&lt;$E$5))))</t>
  </si>
  <si>
    <t>$Q$15</t>
  </si>
  <si>
    <t>R15C17</t>
  </si>
  <si>
    <t>IF($C$2FALSE,"-",SUM((OFFSET(INDIRECT($C$3&amp;"!$H$1"),1,0,$C$5,1)O15)*OFFSET(INDIRECT($C$3&amp;"!$C$1"),1,0,$C$5,1)*IF($E$3FALSE,1,(OFFSET(INDIRECT($C$3&amp;"!$B$1"),1,0,$C$5,1)&gt;$E$4)*(OFFSET(INDIRECT($C$3&amp;"!$B$1"),1,0,$C$5,1)&lt;$E$5))))</t>
  </si>
  <si>
    <t>$R$15</t>
  </si>
  <si>
    <t>R15C18</t>
  </si>
  <si>
    <t>IF($C$2FALSE,"-",SUM((OFFSET(INDIRECT($C$3&amp;"!$H$1"),1,0,$C$5,1)O15)*OFFSET(INDIRECT($C$3&amp;"!$D$1"),1,0,$C$5,1)*IF($E$3FALSE,1,(OFFSET(INDIRECT($C$3&amp;"!$B$1"),1,0,$C$5,1)&gt;$E$4)*(OFFSET(INDIRECT($C$3&amp;"!$B$1"),1,0,$C$5,1)&lt;$E$5))))</t>
  </si>
  <si>
    <t>$S$15</t>
  </si>
  <si>
    <t>R15C19</t>
  </si>
  <si>
    <t>IF($C$2FALSE,"-",IF(Q15+R150,0,T15/(Q15+R15)))</t>
  </si>
  <si>
    <t>$T$15</t>
  </si>
  <si>
    <t>R15C20</t>
  </si>
  <si>
    <t>IF($C$2FALSE,"-",SUM((OFFSET(INDIRECT($C$3&amp;"!$H$1"),1,0,$C$5,1)O15)*(OFFSET(INDIRECT($C$3&amp;"!$C$1"),1,0,$C$5,1)+OFFSET(INDIRECT($C$3&amp;"!$D$1"),1,0,$C$5,1))*OFFSET(INDIRECT($C$3&amp;"!$E$1"),1,0,$C$5,1)*IF($E$3FALSE,1,(OFFSET(INDIRECT($C$3&amp;"!$B$1"),1,0,$C$5,1)&gt;$E$4)*(OFFSET(INDIRECT($C$3&amp;"!$B$1"),1,0,$C$5,1)&lt;$E$5))))</t>
  </si>
  <si>
    <t>$U$15</t>
  </si>
  <si>
    <t>R15C21</t>
  </si>
  <si>
    <t>IF($C$2FALSE,"-",IF(Q15+R150,0,V15/(Q15+R15)))</t>
  </si>
  <si>
    <t>$V$15</t>
  </si>
  <si>
    <t>R15C22</t>
  </si>
  <si>
    <t>IF($C$2FALSE,"-",SUM((OFFSET(INDIRECT($C$3&amp;"!$H$1"),1,0,$C$5,1)O15)*(OFFSET(INDIRECT($C$3&amp;"!$C$1"),1,0,$C$5,1)+OFFSET(INDIRECT($C$3&amp;"!$D$1"),1,0,$C$5,1))*OFFSET(INDIRECT($C$3&amp;"!$E$1"),1,0,$C$5,1)*OFFSET(INDIRECT($C$3&amp;"!$F$1"),1,0,$C$5,1)*IF($E$3FALSE,1,(OFFSET(INDIRECT($C$3&amp;"!$B$1"),1,0,$C$5,1)&gt;$E$4)*(OFFSET(INDIRECT($C$3&amp;"!$B$1"),1,0,$C$5,1)&lt;$E$5))))</t>
  </si>
  <si>
    <t>$W$15</t>
  </si>
  <si>
    <t>R15C23</t>
  </si>
  <si>
    <t>IF($C$2FALSE,"-",V15-T15)</t>
  </si>
  <si>
    <t>$X$15</t>
  </si>
  <si>
    <t>R15C24</t>
  </si>
  <si>
    <t>IF($C$2FALSE,"-",IF(Q15+R150,0,W15/(Q15+R15)))</t>
  </si>
  <si>
    <t>$Y$15</t>
  </si>
  <si>
    <t>R15C25</t>
  </si>
  <si>
    <t>IF($C$2FALSE,"-",(U15-S15)-X15)</t>
  </si>
  <si>
    <t>$C$16</t>
  </si>
  <si>
    <t>R16C3</t>
  </si>
  <si>
    <t>IF($C$2FALSE,"-",SUM((OFFSET(INDIRECT($C$3&amp;"!$A$1"),1,0,$C$5,1)B16)*IF($E$3FALSE,1,(OFFSET(INDIRECT($C$3&amp;"!$B$1"),1,0,$C$5,1)&gt;$E$4)*(OFFSET(INDIRECT($C$3&amp;"!$B$1"),1,0,$C$5,1)&lt;$E$5))))</t>
  </si>
  <si>
    <t>$D$16</t>
  </si>
  <si>
    <t>R16C4</t>
  </si>
  <si>
    <t>IF($C$2FALSE,"-",SUM((OFFSET(INDIRECT($C$3&amp;"!$A$1"),1,0,$C$5,1)B16)*OFFSET(INDIRECT($C$3&amp;"!$C$1"),1,0,$C$5,1)*IF($E$3FALSE,1,(OFFSET(INDIRECT($C$3&amp;"!$B$1"),1,0,$C$5,1)&gt;$E$4)*(OFFSET(INDIRECT($C$3&amp;"!$B$1"),1,0,$C$5,1)&lt;$E$5))))</t>
  </si>
  <si>
    <t>$E$16</t>
  </si>
  <si>
    <t>R16C5</t>
  </si>
  <si>
    <t>IF($C$2FALSE,"-",SUM((OFFSET(INDIRECT($C$3&amp;"!$A$1"),1,0,$C$5,1)B16)*OFFSET(INDIRECT($C$3&amp;"!$D$1"),1,0,$C$5,1)*IF($E$3FALSE,1,(OFFSET(INDIRECT($C$3&amp;"!$B$1"),1,0,$C$5,1)&gt;$E$4)*(OFFSET(INDIRECT($C$3&amp;"!$B$1"),1,0,$C$5,1)&lt;$E$5))))</t>
  </si>
  <si>
    <t>$F$16</t>
  </si>
  <si>
    <t>R16C6</t>
  </si>
  <si>
    <t>IF($C$2FALSE,"-",IF(D16+E160,0,G16/(D16+E16)))</t>
  </si>
  <si>
    <t>$G$16</t>
  </si>
  <si>
    <t>R16C7</t>
  </si>
  <si>
    <t>IF($C$2FALSE,"-",SUM((OFFSET(INDIRECT($C$3&amp;"!$A$1"),1,0,$C$5,1)B16)*(OFFSET(INDIRECT($C$3&amp;"!$C$1"),1,0,$C$5,1)+OFFSET(INDIRECT($C$3&amp;"!$D$1"),1,0,$C$5,1))*OFFSET(INDIRECT($C$3&amp;"!$E$1"),1,0,$C$5,1)*IF($E$3FALSE,1,(OFFSET(INDIRECT($C$3&amp;"!$B$1"),1,0,$C$5,1)&gt;$E$4)*(OFFSET(INDIRECT($C$3&amp;"!$B$1"),1,0,$C$5,1)&lt;$E$5))))</t>
  </si>
  <si>
    <t>$H$16</t>
  </si>
  <si>
    <t>R16C8</t>
  </si>
  <si>
    <t>IF($C$2FALSE,"-",IF(D16+E160,0,I16/(D16+E16)))</t>
  </si>
  <si>
    <t>$I$16</t>
  </si>
  <si>
    <t>R16C9</t>
  </si>
  <si>
    <t>IF($C$2FALSE,"-",SUM((OFFSET(INDIRECT($C$3&amp;"!$A$1"),1,0,$C$5,1)B16)*(OFFSET(INDIRECT($C$3&amp;"!$C$1"),1,0,$C$5,1)+OFFSET(INDIRECT($C$3&amp;"!$D$1"),1,0,$C$5,1))*OFFSET(INDIRECT($C$3&amp;"!$E$1"),1,0,$C$5,1)*OFFSET(INDIRECT($C$3&amp;"!$F$1"),1,0,$C$5,1)*IF($E$3FALSE,1,(OFFSET(INDIRECT($C$3&amp;"!$B$1"),1,0,$C$5,1)&gt;$E$4)*(OFFSET(INDIRECT($C$3&amp;"!$B$1"),1,0,$C$5,1)&lt;$E$5))))</t>
  </si>
  <si>
    <t>$J$16</t>
  </si>
  <si>
    <t>R16C10</t>
  </si>
  <si>
    <t>IF($C$2FALSE,"-",I16-G16)</t>
  </si>
  <si>
    <t>$K$16</t>
  </si>
  <si>
    <t>R16C11</t>
  </si>
  <si>
    <t>IF($C$2FALSE,"-",IF(D16+E160,0,J16/(D16+E16)))</t>
  </si>
  <si>
    <t>$L$16</t>
  </si>
  <si>
    <t>R16C12</t>
  </si>
  <si>
    <t>IF($C$2FALSE,"-",(H16-F16)-K16)</t>
  </si>
  <si>
    <t>$P$16</t>
  </si>
  <si>
    <t>R16C16</t>
  </si>
  <si>
    <t>IF($C$2FALSE,"-",SUM((OFFSET(INDIRECT($C$3&amp;"!$H$1"),1,0,$C$5,1)O16)*IF($E$3FALSE,1,(OFFSET(INDIRECT($C$3&amp;"!$B$1"),1,0,$C$5,1)&gt;$E$4)*(OFFSET(INDIRECT($C$3&amp;"!$B$1"),1,0,$C$5,1)&lt;$E$5))))</t>
  </si>
  <si>
    <t>$Q$16</t>
  </si>
  <si>
    <t>R16C17</t>
  </si>
  <si>
    <t>IF($C$2FALSE,"-",SUM((OFFSET(INDIRECT($C$3&amp;"!$H$1"),1,0,$C$5,1)O16)*OFFSET(INDIRECT($C$3&amp;"!$C$1"),1,0,$C$5,1)*IF($E$3FALSE,1,(OFFSET(INDIRECT($C$3&amp;"!$B$1"),1,0,$C$5,1)&gt;$E$4)*(OFFSET(INDIRECT($C$3&amp;"!$B$1"),1,0,$C$5,1)&lt;$E$5))))</t>
  </si>
  <si>
    <t>$R$16</t>
  </si>
  <si>
    <t>R16C18</t>
  </si>
  <si>
    <t>IF($C$2FALSE,"-",SUM((OFFSET(INDIRECT($C$3&amp;"!$H$1"),1,0,$C$5,1)O16)*OFFSET(INDIRECT($C$3&amp;"!$D$1"),1,0,$C$5,1)*IF($E$3FALSE,1,(OFFSET(INDIRECT($C$3&amp;"!$B$1"),1,0,$C$5,1)&gt;$E$4)*(OFFSET(INDIRECT($C$3&amp;"!$B$1"),1,0,$C$5,1)&lt;$E$5))))</t>
  </si>
  <si>
    <t>$S$16</t>
  </si>
  <si>
    <t>R16C19</t>
  </si>
  <si>
    <t>IF($C$2FALSE,"-",IF(Q16+R160,0,T16/(Q16+R16)))</t>
  </si>
  <si>
    <t>$T$16</t>
  </si>
  <si>
    <t>R16C20</t>
  </si>
  <si>
    <t>IF($C$2FALSE,"-",SUM((OFFSET(INDIRECT($C$3&amp;"!$H$1"),1,0,$C$5,1)O16)*(OFFSET(INDIRECT($C$3&amp;"!$C$1"),1,0,$C$5,1)+OFFSET(INDIRECT($C$3&amp;"!$D$1"),1,0,$C$5,1))*OFFSET(INDIRECT($C$3&amp;"!$E$1"),1,0,$C$5,1)*IF($E$3FALSE,1,(OFFSET(INDIRECT($C$3&amp;"!$B$1"),1,0,$C$5,1)&gt;$E$4)*(OFFSET(INDIRECT($C$3&amp;"!$B$1"),1,0,$C$5,1)&lt;$E$5))))</t>
  </si>
  <si>
    <t>$U$16</t>
  </si>
  <si>
    <t>R16C21</t>
  </si>
  <si>
    <t>IF($C$2FALSE,"-",IF(Q16+R160,0,V16/(Q16+R16)))</t>
  </si>
  <si>
    <t>$V$16</t>
  </si>
  <si>
    <t>R16C22</t>
  </si>
  <si>
    <t>IF($C$2FALSE,"-",SUM((OFFSET(INDIRECT($C$3&amp;"!$H$1"),1,0,$C$5,1)O16)*(OFFSET(INDIRECT($C$3&amp;"!$C$1"),1,0,$C$5,1)+OFFSET(INDIRECT($C$3&amp;"!$D$1"),1,0,$C$5,1))*OFFSET(INDIRECT($C$3&amp;"!$E$1"),1,0,$C$5,1)*OFFSET(INDIRECT($C$3&amp;"!$F$1"),1,0,$C$5,1)*IF($E$3FALSE,1,(OFFSET(INDIRECT($C$3&amp;"!$B$1"),1,0,$C$5,1)&gt;$E$4)*(OFFSET(INDIRECT($C$3&amp;"!$B$1"),1,0,$C$5,1)&lt;$E$5))))</t>
  </si>
  <si>
    <t>$W$16</t>
  </si>
  <si>
    <t>R16C23</t>
  </si>
  <si>
    <t>IF($C$2FALSE,"-",V16-T16)</t>
  </si>
  <si>
    <t>$X$16</t>
  </si>
  <si>
    <t>R16C24</t>
  </si>
  <si>
    <t>IF($C$2FALSE,"-",IF(Q16+R160,0,W16/(Q16+R16)))</t>
  </si>
  <si>
    <t>$Y$16</t>
  </si>
  <si>
    <t>R16C25</t>
  </si>
  <si>
    <t>IF($C$2FALSE,"-",(U16-S16)-X16)</t>
  </si>
  <si>
    <t>$C$17</t>
  </si>
  <si>
    <t>R17C3</t>
  </si>
  <si>
    <t>IF($C$2FALSE,"-",SUM((OFFSET(INDIRECT($C$3&amp;"!$A$1"),1,0,$C$5,1)B17)*IF($E$3FALSE,1,(OFFSET(INDIRECT($C$3&amp;"!$B$1"),1,0,$C$5,1)&gt;$E$4)*(OFFSET(INDIRECT($C$3&amp;"!$B$1"),1,0,$C$5,1)&lt;$E$5))))</t>
  </si>
  <si>
    <t>$D$17</t>
  </si>
  <si>
    <t>R17C4</t>
  </si>
  <si>
    <t>IF($C$2FALSE,"-",SUM((OFFSET(INDIRECT($C$3&amp;"!$A$1"),1,0,$C$5,1)B17)*OFFSET(INDIRECT($C$3&amp;"!$C$1"),1,0,$C$5,1)*IF($E$3FALSE,1,(OFFSET(INDIRECT($C$3&amp;"!$B$1"),1,0,$C$5,1)&gt;$E$4)*(OFFSET(INDIRECT($C$3&amp;"!$B$1"),1,0,$C$5,1)&lt;$E$5))))</t>
  </si>
  <si>
    <t>$E$17</t>
  </si>
  <si>
    <t>R17C5</t>
  </si>
  <si>
    <t>IF($C$2FALSE,"-",SUM((OFFSET(INDIRECT($C$3&amp;"!$A$1"),1,0,$C$5,1)B17)*OFFSET(INDIRECT($C$3&amp;"!$D$1"),1,0,$C$5,1)*IF($E$3FALSE,1,(OFFSET(INDIRECT($C$3&amp;"!$B$1"),1,0,$C$5,1)&gt;$E$4)*(OFFSET(INDIRECT($C$3&amp;"!$B$1"),1,0,$C$5,1)&lt;$E$5))))</t>
  </si>
  <si>
    <t>$F$17</t>
  </si>
  <si>
    <t>R17C6</t>
  </si>
  <si>
    <t>IF($C$2FALSE,"-",IF(D17+E170,0,G17/(D17+E17)))</t>
  </si>
  <si>
    <t>$G$17</t>
  </si>
  <si>
    <t>R17C7</t>
  </si>
  <si>
    <t>IF($C$2FALSE,"-",SUM((OFFSET(INDIRECT($C$3&amp;"!$A$1"),1,0,$C$5,1)B17)*(OFFSET(INDIRECT($C$3&amp;"!$C$1"),1,0,$C$5,1)+OFFSET(INDIRECT($C$3&amp;"!$D$1"),1,0,$C$5,1))*OFFSET(INDIRECT($C$3&amp;"!$E$1"),1,0,$C$5,1)*IF($E$3FALSE,1,(OFFSET(INDIRECT($C$3&amp;"!$B$1"),1,0,$C$5,1)&gt;$E$4)*(OFFSET(INDIRECT($C$3&amp;"!$B$1"),1,0,$C$5,1)&lt;$E$5))))</t>
  </si>
  <si>
    <t>$H$17</t>
  </si>
  <si>
    <t>R17C8</t>
  </si>
  <si>
    <t>IF($C$2FALSE,"-",IF(D17+E170,0,I17/(D17+E17)))</t>
  </si>
  <si>
    <t>$I$17</t>
  </si>
  <si>
    <t>R17C9</t>
  </si>
  <si>
    <t>IF($C$2FALSE,"-",SUM((OFFSET(INDIRECT($C$3&amp;"!$A$1"),1,0,$C$5,1)B17)*(OFFSET(INDIRECT($C$3&amp;"!$C$1"),1,0,$C$5,1)+OFFSET(INDIRECT($C$3&amp;"!$D$1"),1,0,$C$5,1))*OFFSET(INDIRECT($C$3&amp;"!$E$1"),1,0,$C$5,1)*OFFSET(INDIRECT($C$3&amp;"!$F$1"),1,0,$C$5,1)*IF($E$3FALSE,1,(OFFSET(INDIRECT($C$3&amp;"!$B$1"),1,0,$C$5,1)&gt;$E$4)*(OFFSET(INDIRECT($C$3&amp;"!$B$1"),1,0,$C$5,1)&lt;$E$5))))</t>
  </si>
  <si>
    <t>$J$17</t>
  </si>
  <si>
    <t>R17C10</t>
  </si>
  <si>
    <t>IF($C$2FALSE,"-",I17-G17)</t>
  </si>
  <si>
    <t>$K$17</t>
  </si>
  <si>
    <t>R17C11</t>
  </si>
  <si>
    <t>IF($C$2FALSE,"-",IF(D17+E170,0,J17/(D17+E17)))</t>
  </si>
  <si>
    <t>$L$17</t>
  </si>
  <si>
    <t>R17C12</t>
  </si>
  <si>
    <t>IF($C$2FALSE,"-",(H17-F17)-K17)</t>
  </si>
  <si>
    <t>$P$17</t>
  </si>
  <si>
    <t>R17C16</t>
  </si>
  <si>
    <t>IF($C$2FALSE,"-",SUM((OFFSET(INDIRECT($C$3&amp;"!$H$1"),1,0,$C$5,1)O17)*IF($E$3FALSE,1,(OFFSET(INDIRECT($C$3&amp;"!$B$1"),1,0,$C$5,1)&gt;$E$4)*(OFFSET(INDIRECT($C$3&amp;"!$B$1"),1,0,$C$5,1)&lt;$E$5))))</t>
  </si>
  <si>
    <t>$Q$17</t>
  </si>
  <si>
    <t>R17C17</t>
  </si>
  <si>
    <t>IF($C$2FALSE,"-",SUM((OFFSET(INDIRECT($C$3&amp;"!$H$1"),1,0,$C$5,1)O17)*OFFSET(INDIRECT($C$3&amp;"!$C$1"),1,0,$C$5,1)*IF($E$3FALSE,1,(OFFSET(INDIRECT($C$3&amp;"!$B$1"),1,0,$C$5,1)&gt;$E$4)*(OFFSET(INDIRECT($C$3&amp;"!$B$1"),1,0,$C$5,1)&lt;$E$5))))</t>
  </si>
  <si>
    <t>$R$17</t>
  </si>
  <si>
    <t>R17C18</t>
  </si>
  <si>
    <t>IF($C$2FALSE,"-",SUM((OFFSET(INDIRECT($C$3&amp;"!$H$1"),1,0,$C$5,1)O17)*OFFSET(INDIRECT($C$3&amp;"!$D$1"),1,0,$C$5,1)*IF($E$3FALSE,1,(OFFSET(INDIRECT($C$3&amp;"!$B$1"),1,0,$C$5,1)&gt;$E$4)*(OFFSET(INDIRECT($C$3&amp;"!$B$1"),1,0,$C$5,1)&lt;$E$5))))</t>
  </si>
  <si>
    <t>$S$17</t>
  </si>
  <si>
    <t>R17C19</t>
  </si>
  <si>
    <t>IF($C$2FALSE,"-",IF(Q17+R170,0,T17/(Q17+R17)))</t>
  </si>
  <si>
    <t>$T$17</t>
  </si>
  <si>
    <t>R17C20</t>
  </si>
  <si>
    <t>IF($C$2FALSE,"-",SUM((OFFSET(INDIRECT($C$3&amp;"!$H$1"),1,0,$C$5,1)O17)*(OFFSET(INDIRECT($C$3&amp;"!$C$1"),1,0,$C$5,1)+OFFSET(INDIRECT($C$3&amp;"!$D$1"),1,0,$C$5,1))*OFFSET(INDIRECT($C$3&amp;"!$E$1"),1,0,$C$5,1)*IF($E$3FALSE,1,(OFFSET(INDIRECT($C$3&amp;"!$B$1"),1,0,$C$5,1)&gt;$E$4)*(OFFSET(INDIRECT($C$3&amp;"!$B$1"),1,0,$C$5,1)&lt;$E$5))))</t>
  </si>
  <si>
    <t>$U$17</t>
  </si>
  <si>
    <t>R17C21</t>
  </si>
  <si>
    <t>IF($C$2FALSE,"-",IF(Q17+R170,0,V17/(Q17+R17)))</t>
  </si>
  <si>
    <t>$V$17</t>
  </si>
  <si>
    <t>R17C22</t>
  </si>
  <si>
    <t>IF($C$2FALSE,"-",SUM((OFFSET(INDIRECT($C$3&amp;"!$H$1"),1,0,$C$5,1)O17)*(OFFSET(INDIRECT($C$3&amp;"!$C$1"),1,0,$C$5,1)+OFFSET(INDIRECT($C$3&amp;"!$D$1"),1,0,$C$5,1))*OFFSET(INDIRECT($C$3&amp;"!$E$1"),1,0,$C$5,1)*OFFSET(INDIRECT($C$3&amp;"!$F$1"),1,0,$C$5,1)*IF($E$3FALSE,1,(OFFSET(INDIRECT($C$3&amp;"!$B$1"),1,0,$C$5,1)&gt;$E$4)*(OFFSET(INDIRECT($C$3&amp;"!$B$1"),1,0,$C$5,1)&lt;$E$5))))</t>
  </si>
  <si>
    <t>$W$17</t>
  </si>
  <si>
    <t>R17C23</t>
  </si>
  <si>
    <t>IF($C$2FALSE,"-",V17-T17)</t>
  </si>
  <si>
    <t>$X$17</t>
  </si>
  <si>
    <t>R17C24</t>
  </si>
  <si>
    <t>IF($C$2FALSE,"-",IF(Q17+R170,0,W17/(Q17+R17)))</t>
  </si>
  <si>
    <t>$Y$17</t>
  </si>
  <si>
    <t>R17C25</t>
  </si>
  <si>
    <t>IF($C$2FALSE,"-",(U17-S17)-X17)</t>
  </si>
  <si>
    <t>$C$18</t>
  </si>
  <si>
    <t>R18C3</t>
  </si>
  <si>
    <t>IF($C$2FALSE,"-",SUM((OFFSET(INDIRECT($C$3&amp;"!$A$1"),1,0,$C$5,1)B18)*IF($E$3FALSE,1,(OFFSET(INDIRECT($C$3&amp;"!$B$1"),1,0,$C$5,1)&gt;$E$4)*(OFFSET(INDIRECT($C$3&amp;"!$B$1"),1,0,$C$5,1)&lt;$E$5))))</t>
  </si>
  <si>
    <t>$D$18</t>
  </si>
  <si>
    <t>R18C4</t>
  </si>
  <si>
    <t>IF($C$2FALSE,"-",SUM((OFFSET(INDIRECT($C$3&amp;"!$A$1"),1,0,$C$5,1)B18)*OFFSET(INDIRECT($C$3&amp;"!$C$1"),1,0,$C$5,1)*IF($E$3FALSE,1,(OFFSET(INDIRECT($C$3&amp;"!$B$1"),1,0,$C$5,1)&gt;$E$4)*(OFFSET(INDIRECT($C$3&amp;"!$B$1"),1,0,$C$5,1)&lt;$E$5))))</t>
  </si>
  <si>
    <t>$E$18</t>
  </si>
  <si>
    <t>R18C5</t>
  </si>
  <si>
    <t>IF($C$2FALSE,"-",SUM((OFFSET(INDIRECT($C$3&amp;"!$A$1"),1,0,$C$5,1)B18)*OFFSET(INDIRECT($C$3&amp;"!$D$1"),1,0,$C$5,1)*IF($E$3FALSE,1,(OFFSET(INDIRECT($C$3&amp;"!$B$1"),1,0,$C$5,1)&gt;$E$4)*(OFFSET(INDIRECT($C$3&amp;"!$B$1"),1,0,$C$5,1)&lt;$E$5))))</t>
  </si>
  <si>
    <t>$F$18</t>
  </si>
  <si>
    <t>R18C6</t>
  </si>
  <si>
    <t>IF($C$2FALSE,"-",IF(D18+E180,0,G18/(D18+E18)))</t>
  </si>
  <si>
    <t>$G$18</t>
  </si>
  <si>
    <t>R18C7</t>
  </si>
  <si>
    <t>IF($C$2FALSE,"-",SUM((OFFSET(INDIRECT($C$3&amp;"!$A$1"),1,0,$C$5,1)B18)*(OFFSET(INDIRECT($C$3&amp;"!$C$1"),1,0,$C$5,1)+OFFSET(INDIRECT($C$3&amp;"!$D$1"),1,0,$C$5,1))*OFFSET(INDIRECT($C$3&amp;"!$E$1"),1,0,$C$5,1)*IF($E$3FALSE,1,(OFFSET(INDIRECT($C$3&amp;"!$B$1"),1,0,$C$5,1)&gt;$E$4)*(OFFSET(INDIRECT($C$3&amp;"!$B$1"),1,0,$C$5,1)&lt;$E$5))))</t>
  </si>
  <si>
    <t>$H$18</t>
  </si>
  <si>
    <t>R18C8</t>
  </si>
  <si>
    <t>IF($C$2FALSE,"-",IF(D18+E180,0,I18/(D18+E18)))</t>
  </si>
  <si>
    <t>$I$18</t>
  </si>
  <si>
    <t>R18C9</t>
  </si>
  <si>
    <t>IF($C$2FALSE,"-",SUM((OFFSET(INDIRECT($C$3&amp;"!$A$1"),1,0,$C$5,1)B18)*(OFFSET(INDIRECT($C$3&amp;"!$C$1"),1,0,$C$5,1)+OFFSET(INDIRECT($C$3&amp;"!$D$1"),1,0,$C$5,1))*OFFSET(INDIRECT($C$3&amp;"!$E$1"),1,0,$C$5,1)*OFFSET(INDIRECT($C$3&amp;"!$F$1"),1,0,$C$5,1)*IF($E$3FALSE,1,(OFFSET(INDIRECT($C$3&amp;"!$B$1"),1,0,$C$5,1)&gt;$E$4)*(OFFSET(INDIRECT($C$3&amp;"!$B$1"),1,0,$C$5,1)&lt;$E$5))))</t>
  </si>
  <si>
    <t>$J$18</t>
  </si>
  <si>
    <t>R18C10</t>
  </si>
  <si>
    <t>IF($C$2FALSE,"-",I18-G18)</t>
  </si>
  <si>
    <t>$K$18</t>
  </si>
  <si>
    <t>R18C11</t>
  </si>
  <si>
    <t>IF($C$2FALSE,"-",IF(D18+E180,0,J18/(D18+E18)))</t>
  </si>
  <si>
    <t>$L$18</t>
  </si>
  <si>
    <t>R18C12</t>
  </si>
  <si>
    <t>IF($C$2FALSE,"-",(H18-F18)-K18)</t>
  </si>
  <si>
    <t>$P$18</t>
  </si>
  <si>
    <t>R18C16</t>
  </si>
  <si>
    <t>IF($C$2FALSE,"-",SUM((OFFSET(INDIRECT($C$3&amp;"!$H$1"),1,0,$C$5,1)O18)*IF($E$3FALSE,1,(OFFSET(INDIRECT($C$3&amp;"!$B$1"),1,0,$C$5,1)&gt;$E$4)*(OFFSET(INDIRECT($C$3&amp;"!$B$1"),1,0,$C$5,1)&lt;$E$5))))</t>
  </si>
  <si>
    <t>$Q$18</t>
  </si>
  <si>
    <t>R18C17</t>
  </si>
  <si>
    <t>IF($C$2FALSE,"-",SUM((OFFSET(INDIRECT($C$3&amp;"!$H$1"),1,0,$C$5,1)O18)*OFFSET(INDIRECT($C$3&amp;"!$C$1"),1,0,$C$5,1)*IF($E$3FALSE,1,(OFFSET(INDIRECT($C$3&amp;"!$B$1"),1,0,$C$5,1)&gt;$E$4)*(OFFSET(INDIRECT($C$3&amp;"!$B$1"),1,0,$C$5,1)&lt;$E$5))))</t>
  </si>
  <si>
    <t>$R$18</t>
  </si>
  <si>
    <t>R18C18</t>
  </si>
  <si>
    <t>IF($C$2FALSE,"-",SUM((OFFSET(INDIRECT($C$3&amp;"!$H$1"),1,0,$C$5,1)O18)*OFFSET(INDIRECT($C$3&amp;"!$D$1"),1,0,$C$5,1)*IF($E$3FALSE,1,(OFFSET(INDIRECT($C$3&amp;"!$B$1"),1,0,$C$5,1)&gt;$E$4)*(OFFSET(INDIRECT($C$3&amp;"!$B$1"),1,0,$C$5,1)&lt;$E$5))))</t>
  </si>
  <si>
    <t>$S$18</t>
  </si>
  <si>
    <t>R18C19</t>
  </si>
  <si>
    <t>IF($C$2FALSE,"-",IF(Q18+R180,0,T18/(Q18+R18)))</t>
  </si>
  <si>
    <t>$T$18</t>
  </si>
  <si>
    <t>R18C20</t>
  </si>
  <si>
    <t>IF($C$2FALSE,"-",SUM((OFFSET(INDIRECT($C$3&amp;"!$H$1"),1,0,$C$5,1)O18)*(OFFSET(INDIRECT($C$3&amp;"!$C$1"),1,0,$C$5,1)+OFFSET(INDIRECT($C$3&amp;"!$D$1"),1,0,$C$5,1))*OFFSET(INDIRECT($C$3&amp;"!$E$1"),1,0,$C$5,1)*IF($E$3FALSE,1,(OFFSET(INDIRECT($C$3&amp;"!$B$1"),1,0,$C$5,1)&gt;$E$4)*(OFFSET(INDIRECT($C$3&amp;"!$B$1"),1,0,$C$5,1)&lt;$E$5))))</t>
  </si>
  <si>
    <t>$U$18</t>
  </si>
  <si>
    <t>R18C21</t>
  </si>
  <si>
    <t>IF($C$2FALSE,"-",IF(Q18+R180,0,V18/(Q18+R18)))</t>
  </si>
  <si>
    <t>$V$18</t>
  </si>
  <si>
    <t>R18C22</t>
  </si>
  <si>
    <t>IF($C$2FALSE,"-",SUM((OFFSET(INDIRECT($C$3&amp;"!$H$1"),1,0,$C$5,1)O18)*(OFFSET(INDIRECT($C$3&amp;"!$C$1"),1,0,$C$5,1)+OFFSET(INDIRECT($C$3&amp;"!$D$1"),1,0,$C$5,1))*OFFSET(INDIRECT($C$3&amp;"!$E$1"),1,0,$C$5,1)*OFFSET(INDIRECT($C$3&amp;"!$F$1"),1,0,$C$5,1)*IF($E$3FALSE,1,(OFFSET(INDIRECT($C$3&amp;"!$B$1"),1,0,$C$5,1)&gt;$E$4)*(OFFSET(INDIRECT($C$3&amp;"!$B$1"),1,0,$C$5,1)&lt;$E$5))))</t>
  </si>
  <si>
    <t>$W$18</t>
  </si>
  <si>
    <t>R18C23</t>
  </si>
  <si>
    <t>IF($C$2FALSE,"-",V18-T18)</t>
  </si>
  <si>
    <t>$X$18</t>
  </si>
  <si>
    <t>R18C24</t>
  </si>
  <si>
    <t>IF($C$2FALSE,"-",IF(Q18+R180,0,W18/(Q18+R18)))</t>
  </si>
  <si>
    <t>$Y$18</t>
  </si>
  <si>
    <t>R18C25</t>
  </si>
  <si>
    <t>IF($C$2FALSE,"-",(U18-S18)-X18)</t>
  </si>
  <si>
    <t>$C$19</t>
  </si>
  <si>
    <t>R19C3</t>
  </si>
  <si>
    <t>IF($C$2FALSE,"-",SUM((OFFSET(INDIRECT($C$3&amp;"!$A$1"),1,0,$C$5,1)B19)*IF($E$3FALSE,1,(OFFSET(INDIRECT($C$3&amp;"!$B$1"),1,0,$C$5,1)&gt;$E$4)*(OFFSET(INDIRECT($C$3&amp;"!$B$1"),1,0,$C$5,1)&lt;$E$5))))</t>
  </si>
  <si>
    <t>$D$19</t>
  </si>
  <si>
    <t>R19C4</t>
  </si>
  <si>
    <t>IF($C$2FALSE,"-",SUM((OFFSET(INDIRECT($C$3&amp;"!$A$1"),1,0,$C$5,1)B19)*OFFSET(INDIRECT($C$3&amp;"!$C$1"),1,0,$C$5,1)*IF($E$3FALSE,1,(OFFSET(INDIRECT($C$3&amp;"!$B$1"),1,0,$C$5,1)&gt;$E$4)*(OFFSET(INDIRECT($C$3&amp;"!$B$1"),1,0,$C$5,1)&lt;$E$5))))</t>
  </si>
  <si>
    <t>$E$19</t>
  </si>
  <si>
    <t>R19C5</t>
  </si>
  <si>
    <t>IF($C$2FALSE,"-",SUM((OFFSET(INDIRECT($C$3&amp;"!$A$1"),1,0,$C$5,1)B19)*OFFSET(INDIRECT($C$3&amp;"!$D$1"),1,0,$C$5,1)*IF($E$3FALSE,1,(OFFSET(INDIRECT($C$3&amp;"!$B$1"),1,0,$C$5,1)&gt;$E$4)*(OFFSET(INDIRECT($C$3&amp;"!$B$1"),1,0,$C$5,1)&lt;$E$5))))</t>
  </si>
  <si>
    <t>$F$19</t>
  </si>
  <si>
    <t>R19C6</t>
  </si>
  <si>
    <t>IF($C$2FALSE,"-",IF(D19+E190,0,G19/(D19+E19)))</t>
  </si>
  <si>
    <t>$G$19</t>
  </si>
  <si>
    <t>R19C7</t>
  </si>
  <si>
    <t>IF($C$2FALSE,"-",SUM((OFFSET(INDIRECT($C$3&amp;"!$A$1"),1,0,$C$5,1)B19)*(OFFSET(INDIRECT($C$3&amp;"!$C$1"),1,0,$C$5,1)+OFFSET(INDIRECT($C$3&amp;"!$D$1"),1,0,$C$5,1))*OFFSET(INDIRECT($C$3&amp;"!$E$1"),1,0,$C$5,1)*IF($E$3FALSE,1,(OFFSET(INDIRECT($C$3&amp;"!$B$1"),1,0,$C$5,1)&gt;$E$4)*(OFFSET(INDIRECT($C$3&amp;"!$B$1"),1,0,$C$5,1)&lt;$E$5))))</t>
  </si>
  <si>
    <t>$H$19</t>
  </si>
  <si>
    <t>R19C8</t>
  </si>
  <si>
    <t>IF($C$2FALSE,"-",IF(D19+E190,0,I19/(D19+E19)))</t>
  </si>
  <si>
    <t>$I$19</t>
  </si>
  <si>
    <t>R19C9</t>
  </si>
  <si>
    <t>IF($C$2FALSE,"-",SUM((OFFSET(INDIRECT($C$3&amp;"!$A$1"),1,0,$C$5,1)B19)*(OFFSET(INDIRECT($C$3&amp;"!$C$1"),1,0,$C$5,1)+OFFSET(INDIRECT($C$3&amp;"!$D$1"),1,0,$C$5,1))*OFFSET(INDIRECT($C$3&amp;"!$E$1"),1,0,$C$5,1)*OFFSET(INDIRECT($C$3&amp;"!$F$1"),1,0,$C$5,1)*IF($E$3FALSE,1,(OFFSET(INDIRECT($C$3&amp;"!$B$1"),1,0,$C$5,1)&gt;$E$4)*(OFFSET(INDIRECT($C$3&amp;"!$B$1"),1,0,$C$5,1)&lt;$E$5))))</t>
  </si>
  <si>
    <t>$J$19</t>
  </si>
  <si>
    <t>R19C10</t>
  </si>
  <si>
    <t>IF($C$2FALSE,"-",I19-G19)</t>
  </si>
  <si>
    <t>$K$19</t>
  </si>
  <si>
    <t>R19C11</t>
  </si>
  <si>
    <t>IF($C$2FALSE,"-",IF(D19+E190,0,J19/(D19+E19)))</t>
  </si>
  <si>
    <t>$L$19</t>
  </si>
  <si>
    <t>R19C12</t>
  </si>
  <si>
    <t>IF($C$2FALSE,"-",(H19-F19)-K19)</t>
  </si>
  <si>
    <t>$P$19</t>
  </si>
  <si>
    <t>R19C16</t>
  </si>
  <si>
    <t>IF($C$2FALSE,"-",SUM((OFFSET(INDIRECT($C$3&amp;"!$H$1"),1,0,$C$5,1)O19)*IF($E$3FALSE,1,(OFFSET(INDIRECT($C$3&amp;"!$B$1"),1,0,$C$5,1)&gt;$E$4)*(OFFSET(INDIRECT($C$3&amp;"!$B$1"),1,0,$C$5,1)&lt;$E$5))))</t>
  </si>
  <si>
    <t>$Q$19</t>
  </si>
  <si>
    <t>R19C17</t>
  </si>
  <si>
    <t>IF($C$2FALSE,"-",SUM((OFFSET(INDIRECT($C$3&amp;"!$H$1"),1,0,$C$5,1)O19)*OFFSET(INDIRECT($C$3&amp;"!$C$1"),1,0,$C$5,1)*IF($E$3FALSE,1,(OFFSET(INDIRECT($C$3&amp;"!$B$1"),1,0,$C$5,1)&gt;$E$4)*(OFFSET(INDIRECT($C$3&amp;"!$B$1"),1,0,$C$5,1)&lt;$E$5))))</t>
  </si>
  <si>
    <t>$R$19</t>
  </si>
  <si>
    <t>R19C18</t>
  </si>
  <si>
    <t>IF($C$2FALSE,"-",SUM((OFFSET(INDIRECT($C$3&amp;"!$H$1"),1,0,$C$5,1)O19)*OFFSET(INDIRECT($C$3&amp;"!$D$1"),1,0,$C$5,1)*IF($E$3FALSE,1,(OFFSET(INDIRECT($C$3&amp;"!$B$1"),1,0,$C$5,1)&gt;$E$4)*(OFFSET(INDIRECT($C$3&amp;"!$B$1"),1,0,$C$5,1)&lt;$E$5))))</t>
  </si>
  <si>
    <t>$S$19</t>
  </si>
  <si>
    <t>R19C19</t>
  </si>
  <si>
    <t>IF($C$2FALSE,"-",IF(Q19+R190,0,T19/(Q19+R19)))</t>
  </si>
  <si>
    <t>$T$19</t>
  </si>
  <si>
    <t>R19C20</t>
  </si>
  <si>
    <t>IF($C$2FALSE,"-",SUM((OFFSET(INDIRECT($C$3&amp;"!$H$1"),1,0,$C$5,1)O19)*(OFFSET(INDIRECT($C$3&amp;"!$C$1"),1,0,$C$5,1)+OFFSET(INDIRECT($C$3&amp;"!$D$1"),1,0,$C$5,1))*OFFSET(INDIRECT($C$3&amp;"!$E$1"),1,0,$C$5,1)*IF($E$3FALSE,1,(OFFSET(INDIRECT($C$3&amp;"!$B$1"),1,0,$C$5,1)&gt;$E$4)*(OFFSET(INDIRECT($C$3&amp;"!$B$1"),1,0,$C$5,1)&lt;$E$5))))</t>
  </si>
  <si>
    <t>$U$19</t>
  </si>
  <si>
    <t>R19C21</t>
  </si>
  <si>
    <t>IF($C$2FALSE,"-",IF(Q19+R190,0,V19/(Q19+R19)))</t>
  </si>
  <si>
    <t>$V$19</t>
  </si>
  <si>
    <t>R19C22</t>
  </si>
  <si>
    <t>IF($C$2FALSE,"-",SUM((OFFSET(INDIRECT($C$3&amp;"!$H$1"),1,0,$C$5,1)O19)*(OFFSET(INDIRECT($C$3&amp;"!$C$1"),1,0,$C$5,1)+OFFSET(INDIRECT($C$3&amp;"!$D$1"),1,0,$C$5,1))*OFFSET(INDIRECT($C$3&amp;"!$E$1"),1,0,$C$5,1)*OFFSET(INDIRECT($C$3&amp;"!$F$1"),1,0,$C$5,1)*IF($E$3FALSE,1,(OFFSET(INDIRECT($C$3&amp;"!$B$1"),1,0,$C$5,1)&gt;$E$4)*(OFFSET(INDIRECT($C$3&amp;"!$B$1"),1,0,$C$5,1)&lt;$E$5))))</t>
  </si>
  <si>
    <t>$W$19</t>
  </si>
  <si>
    <t>R19C23</t>
  </si>
  <si>
    <t>IF($C$2FALSE,"-",V19-T19)</t>
  </si>
  <si>
    <t>$X$19</t>
  </si>
  <si>
    <t>R19C24</t>
  </si>
  <si>
    <t>IF($C$2FALSE,"-",IF(Q19+R190,0,W19/(Q19+R19)))</t>
  </si>
  <si>
    <t>$Y$19</t>
  </si>
  <si>
    <t>R19C25</t>
  </si>
  <si>
    <t>IF($C$2FALSE,"-",(U19-S19)-X19)</t>
  </si>
  <si>
    <t>$C$20</t>
  </si>
  <si>
    <t>R20C3</t>
  </si>
  <si>
    <t>IF($C$2FALSE,"-",SUM((OFFSET(INDIRECT($C$3&amp;"!$A$1"),1,0,$C$5,1)B20)*IF($E$3FALSE,1,(OFFSET(INDIRECT($C$3&amp;"!$B$1"),1,0,$C$5,1)&gt;$E$4)*(OFFSET(INDIRECT($C$3&amp;"!$B$1"),1,0,$C$5,1)&lt;$E$5))))</t>
  </si>
  <si>
    <t>$D$20</t>
  </si>
  <si>
    <t>R20C4</t>
  </si>
  <si>
    <t>IF($C$2FALSE,"-",SUM((OFFSET(INDIRECT($C$3&amp;"!$A$1"),1,0,$C$5,1)B20)*OFFSET(INDIRECT($C$3&amp;"!$C$1"),1,0,$C$5,1)*IF($E$3FALSE,1,(OFFSET(INDIRECT($C$3&amp;"!$B$1"),1,0,$C$5,1)&gt;$E$4)*(OFFSET(INDIRECT($C$3&amp;"!$B$1"),1,0,$C$5,1)&lt;$E$5))))</t>
  </si>
  <si>
    <t>$E$20</t>
  </si>
  <si>
    <t>R20C5</t>
  </si>
  <si>
    <t>IF($C$2FALSE,"-",SUM((OFFSET(INDIRECT($C$3&amp;"!$A$1"),1,0,$C$5,1)B20)*OFFSET(INDIRECT($C$3&amp;"!$D$1"),1,0,$C$5,1)*IF($E$3FALSE,1,(OFFSET(INDIRECT($C$3&amp;"!$B$1"),1,0,$C$5,1)&gt;$E$4)*(OFFSET(INDIRECT($C$3&amp;"!$B$1"),1,0,$C$5,1)&lt;$E$5))))</t>
  </si>
  <si>
    <t>$F$20</t>
  </si>
  <si>
    <t>R20C6</t>
  </si>
  <si>
    <t>IF($C$2FALSE,"-",IF(D20+E200,0,G20/(D20+E20)))</t>
  </si>
  <si>
    <t>$G$20</t>
  </si>
  <si>
    <t>R20C7</t>
  </si>
  <si>
    <t>IF($C$2FALSE,"-",SUM((OFFSET(INDIRECT($C$3&amp;"!$A$1"),1,0,$C$5,1)B20)*(OFFSET(INDIRECT($C$3&amp;"!$C$1"),1,0,$C$5,1)+OFFSET(INDIRECT($C$3&amp;"!$D$1"),1,0,$C$5,1))*OFFSET(INDIRECT($C$3&amp;"!$E$1"),1,0,$C$5,1)*IF($E$3FALSE,1,(OFFSET(INDIRECT($C$3&amp;"!$B$1"),1,0,$C$5,1)&gt;$E$4)*(OFFSET(INDIRECT($C$3&amp;"!$B$1"),1,0,$C$5,1)&lt;$E$5))))</t>
  </si>
  <si>
    <t>$H$20</t>
  </si>
  <si>
    <t>R20C8</t>
  </si>
  <si>
    <t>IF($C$2FALSE,"-",IF(D20+E200,0,I20/(D20+E20)))</t>
  </si>
  <si>
    <t>$I$20</t>
  </si>
  <si>
    <t>R20C9</t>
  </si>
  <si>
    <t>IF($C$2FALSE,"-",SUM((OFFSET(INDIRECT($C$3&amp;"!$A$1"),1,0,$C$5,1)B20)*(OFFSET(INDIRECT($C$3&amp;"!$C$1"),1,0,$C$5,1)+OFFSET(INDIRECT($C$3&amp;"!$D$1"),1,0,$C$5,1))*OFFSET(INDIRECT($C$3&amp;"!$E$1"),1,0,$C$5,1)*OFFSET(INDIRECT($C$3&amp;"!$F$1"),1,0,$C$5,1)*IF($E$3FALSE,1,(OFFSET(INDIRECT($C$3&amp;"!$B$1"),1,0,$C$5,1)&gt;$E$4)*(OFFSET(INDIRECT($C$3&amp;"!$B$1"),1,0,$C$5,1)&lt;$E$5))))</t>
  </si>
  <si>
    <t>$J$20</t>
  </si>
  <si>
    <t>R20C10</t>
  </si>
  <si>
    <t>IF($C$2FALSE,"-",I20-G20)</t>
  </si>
  <si>
    <t>$K$20</t>
  </si>
  <si>
    <t>R20C11</t>
  </si>
  <si>
    <t>IF($C$2FALSE,"-",IF(D20+E200,0,J20/(D20+E20)))</t>
  </si>
  <si>
    <t>$L$20</t>
  </si>
  <si>
    <t>R20C12</t>
  </si>
  <si>
    <t>IF($C$2FALSE,"-",(H20-F20)-K20)</t>
  </si>
  <si>
    <t>$P$20</t>
  </si>
  <si>
    <t>R20C16</t>
  </si>
  <si>
    <t>IF($C$2FALSE,"-",SUM((OFFSET(INDIRECT($C$3&amp;"!$H$1"),1,0,$C$5,1)O20)*IF($E$3FALSE,1,(OFFSET(INDIRECT($C$3&amp;"!$B$1"),1,0,$C$5,1)&gt;$E$4)*(OFFSET(INDIRECT($C$3&amp;"!$B$1"),1,0,$C$5,1)&lt;$E$5))))</t>
  </si>
  <si>
    <t>$Q$20</t>
  </si>
  <si>
    <t>R20C17</t>
  </si>
  <si>
    <t>IF($C$2FALSE,"-",SUM((OFFSET(INDIRECT($C$3&amp;"!$H$1"),1,0,$C$5,1)O20)*OFFSET(INDIRECT($C$3&amp;"!$C$1"),1,0,$C$5,1)*IF($E$3FALSE,1,(OFFSET(INDIRECT($C$3&amp;"!$B$1"),1,0,$C$5,1)&gt;$E$4)*(OFFSET(INDIRECT($C$3&amp;"!$B$1"),1,0,$C$5,1)&lt;$E$5))))</t>
  </si>
  <si>
    <t>$R$20</t>
  </si>
  <si>
    <t>R20C18</t>
  </si>
  <si>
    <t>IF($C$2FALSE,"-",SUM((OFFSET(INDIRECT($C$3&amp;"!$H$1"),1,0,$C$5,1)O20)*OFFSET(INDIRECT($C$3&amp;"!$D$1"),1,0,$C$5,1)*IF($E$3FALSE,1,(OFFSET(INDIRECT($C$3&amp;"!$B$1"),1,0,$C$5,1)&gt;$E$4)*(OFFSET(INDIRECT($C$3&amp;"!$B$1"),1,0,$C$5,1)&lt;$E$5))))</t>
  </si>
  <si>
    <t>$S$20</t>
  </si>
  <si>
    <t>R20C19</t>
  </si>
  <si>
    <t>IF($C$2FALSE,"-",IF(Q20+R200,0,T20/(Q20+R20)))</t>
  </si>
  <si>
    <t>$T$20</t>
  </si>
  <si>
    <t>R20C20</t>
  </si>
  <si>
    <t>IF($C$2FALSE,"-",SUM((OFFSET(INDIRECT($C$3&amp;"!$H$1"),1,0,$C$5,1)O20)*(OFFSET(INDIRECT($C$3&amp;"!$C$1"),1,0,$C$5,1)+OFFSET(INDIRECT($C$3&amp;"!$D$1"),1,0,$C$5,1))*OFFSET(INDIRECT($C$3&amp;"!$E$1"),1,0,$C$5,1)*IF($E$3FALSE,1,(OFFSET(INDIRECT($C$3&amp;"!$B$1"),1,0,$C$5,1)&gt;$E$4)*(OFFSET(INDIRECT($C$3&amp;"!$B$1"),1,0,$C$5,1)&lt;$E$5))))</t>
  </si>
  <si>
    <t>$U$20</t>
  </si>
  <si>
    <t>R20C21</t>
  </si>
  <si>
    <t>IF($C$2FALSE,"-",IF(Q20+R200,0,V20/(Q20+R20)))</t>
  </si>
  <si>
    <t>$V$20</t>
  </si>
  <si>
    <t>R20C22</t>
  </si>
  <si>
    <t>IF($C$2FALSE,"-",SUM((OFFSET(INDIRECT($C$3&amp;"!$H$1"),1,0,$C$5,1)O20)*(OFFSET(INDIRECT($C$3&amp;"!$C$1"),1,0,$C$5,1)+OFFSET(INDIRECT($C$3&amp;"!$D$1"),1,0,$C$5,1))*OFFSET(INDIRECT($C$3&amp;"!$E$1"),1,0,$C$5,1)*OFFSET(INDIRECT($C$3&amp;"!$F$1"),1,0,$C$5,1)*IF($E$3FALSE,1,(OFFSET(INDIRECT($C$3&amp;"!$B$1"),1,0,$C$5,1)&gt;$E$4)*(OFFSET(INDIRECT($C$3&amp;"!$B$1"),1,0,$C$5,1)&lt;$E$5))))</t>
  </si>
  <si>
    <t>$W$20</t>
  </si>
  <si>
    <t>R20C23</t>
  </si>
  <si>
    <t>IF($C$2FALSE,"-",V20-T20)</t>
  </si>
  <si>
    <t>$X$20</t>
  </si>
  <si>
    <t>R20C24</t>
  </si>
  <si>
    <t>IF($C$2FALSE,"-",IF(Q20+R200,0,W20/(Q20+R20)))</t>
  </si>
  <si>
    <t>$Y$20</t>
  </si>
  <si>
    <t>R20C25</t>
  </si>
  <si>
    <t>IF($C$2FALSE,"-",(U20-S20)-X20)</t>
  </si>
  <si>
    <t>$C$21</t>
  </si>
  <si>
    <t>R21C3</t>
  </si>
  <si>
    <t>IF($C$2FALSE,"-",SUM((OFFSET(INDIRECT($C$3&amp;"!$A$1"),1,0,$C$5,1)B21)*IF($E$3FALSE,1,(OFFSET(INDIRECT($C$3&amp;"!$B$1"),1,0,$C$5,1)&gt;$E$4)*(OFFSET(INDIRECT($C$3&amp;"!$B$1"),1,0,$C$5,1)&lt;$E$5))))</t>
  </si>
  <si>
    <t>$D$21</t>
  </si>
  <si>
    <t>R21C4</t>
  </si>
  <si>
    <t>IF($C$2FALSE,"-",SUM((OFFSET(INDIRECT($C$3&amp;"!$A$1"),1,0,$C$5,1)B21)*OFFSET(INDIRECT($C$3&amp;"!$C$1"),1,0,$C$5,1)*IF($E$3FALSE,1,(OFFSET(INDIRECT($C$3&amp;"!$B$1"),1,0,$C$5,1)&gt;$E$4)*(OFFSET(INDIRECT($C$3&amp;"!$B$1"),1,0,$C$5,1)&lt;$E$5))))</t>
  </si>
  <si>
    <t>$E$21</t>
  </si>
  <si>
    <t>R21C5</t>
  </si>
  <si>
    <t>IF($C$2FALSE,"-",SUM((OFFSET(INDIRECT($C$3&amp;"!$A$1"),1,0,$C$5,1)B21)*OFFSET(INDIRECT($C$3&amp;"!$D$1"),1,0,$C$5,1)*IF($E$3FALSE,1,(OFFSET(INDIRECT($C$3&amp;"!$B$1"),1,0,$C$5,1)&gt;$E$4)*(OFFSET(INDIRECT($C$3&amp;"!$B$1"),1,0,$C$5,1)&lt;$E$5))))</t>
  </si>
  <si>
    <t>$F$21</t>
  </si>
  <si>
    <t>R21C6</t>
  </si>
  <si>
    <t>IF($C$2FALSE,"-",IF(D21+E210,0,G21/(D21+E21)))</t>
  </si>
  <si>
    <t>$G$21</t>
  </si>
  <si>
    <t>R21C7</t>
  </si>
  <si>
    <t>IF($C$2FALSE,"-",SUM((OFFSET(INDIRECT($C$3&amp;"!$A$1"),1,0,$C$5,1)B21)*(OFFSET(INDIRECT($C$3&amp;"!$C$1"),1,0,$C$5,1)+OFFSET(INDIRECT($C$3&amp;"!$D$1"),1,0,$C$5,1))*OFFSET(INDIRECT($C$3&amp;"!$E$1"),1,0,$C$5,1)*IF($E$3FALSE,1,(OFFSET(INDIRECT($C$3&amp;"!$B$1"),1,0,$C$5,1)&gt;$E$4)*(OFFSET(INDIRECT($C$3&amp;"!$B$1"),1,0,$C$5,1)&lt;$E$5))))</t>
  </si>
  <si>
    <t>$H$21</t>
  </si>
  <si>
    <t>R21C8</t>
  </si>
  <si>
    <t>IF($C$2FALSE,"-",IF(D21+E210,0,I21/(D21+E21)))</t>
  </si>
  <si>
    <t>$I$21</t>
  </si>
  <si>
    <t>R21C9</t>
  </si>
  <si>
    <t>IF($C$2FALSE,"-",SUM((OFFSET(INDIRECT($C$3&amp;"!$A$1"),1,0,$C$5,1)B21)*(OFFSET(INDIRECT($C$3&amp;"!$C$1"),1,0,$C$5,1)+OFFSET(INDIRECT($C$3&amp;"!$D$1"),1,0,$C$5,1))*OFFSET(INDIRECT($C$3&amp;"!$E$1"),1,0,$C$5,1)*OFFSET(INDIRECT($C$3&amp;"!$F$1"),1,0,$C$5,1)*IF($E$3FALSE,1,(OFFSET(INDIRECT($C$3&amp;"!$B$1"),1,0,$C$5,1)&gt;$E$4)*(OFFSET(INDIRECT($C$3&amp;"!$B$1"),1,0,$C$5,1)&lt;$E$5))))</t>
  </si>
  <si>
    <t>$J$21</t>
  </si>
  <si>
    <t>R21C10</t>
  </si>
  <si>
    <t>IF($C$2FALSE,"-",I21-G21)</t>
  </si>
  <si>
    <t>$K$21</t>
  </si>
  <si>
    <t>R21C11</t>
  </si>
  <si>
    <t>IF($C$2FALSE,"-",IF(D21+E210,0,J21/(D21+E21)))</t>
  </si>
  <si>
    <t>$L$21</t>
  </si>
  <si>
    <t>R21C12</t>
  </si>
  <si>
    <t>IF($C$2FALSE,"-",(H21-F21)-K21)</t>
  </si>
  <si>
    <t>$P$21</t>
  </si>
  <si>
    <t>R21C16</t>
  </si>
  <si>
    <t>IF($C$2FALSE,"-",SUM((OFFSET(INDIRECT($C$3&amp;"!$H$1"),1,0,$C$5,1)O21)*IF($E$3FALSE,1,(OFFSET(INDIRECT($C$3&amp;"!$B$1"),1,0,$C$5,1)&gt;$E$4)*(OFFSET(INDIRECT($C$3&amp;"!$B$1"),1,0,$C$5,1)&lt;$E$5))))</t>
  </si>
  <si>
    <t>$Q$21</t>
  </si>
  <si>
    <t>R21C17</t>
  </si>
  <si>
    <t>IF($C$2FALSE,"-",SUM((OFFSET(INDIRECT($C$3&amp;"!$H$1"),1,0,$C$5,1)O21)*OFFSET(INDIRECT($C$3&amp;"!$C$1"),1,0,$C$5,1)*IF($E$3FALSE,1,(OFFSET(INDIRECT($C$3&amp;"!$B$1"),1,0,$C$5,1)&gt;$E$4)*(OFFSET(INDIRECT($C$3&amp;"!$B$1"),1,0,$C$5,1)&lt;$E$5))))</t>
  </si>
  <si>
    <t>$R$21</t>
  </si>
  <si>
    <t>R21C18</t>
  </si>
  <si>
    <t>IF($C$2FALSE,"-",SUM((OFFSET(INDIRECT($C$3&amp;"!$H$1"),1,0,$C$5,1)O21)*OFFSET(INDIRECT($C$3&amp;"!$D$1"),1,0,$C$5,1)*IF($E$3FALSE,1,(OFFSET(INDIRECT($C$3&amp;"!$B$1"),1,0,$C$5,1)&gt;$E$4)*(OFFSET(INDIRECT($C$3&amp;"!$B$1"),1,0,$C$5,1)&lt;$E$5))))</t>
  </si>
  <si>
    <t>$S$21</t>
  </si>
  <si>
    <t>R21C19</t>
  </si>
  <si>
    <t>IF($C$2FALSE,"-",IF(Q21+R210,0,T21/(Q21+R21)))</t>
  </si>
  <si>
    <t>$T$21</t>
  </si>
  <si>
    <t>R21C20</t>
  </si>
  <si>
    <t>IF($C$2FALSE,"-",SUM((OFFSET(INDIRECT($C$3&amp;"!$H$1"),1,0,$C$5,1)O21)*(OFFSET(INDIRECT($C$3&amp;"!$C$1"),1,0,$C$5,1)+OFFSET(INDIRECT($C$3&amp;"!$D$1"),1,0,$C$5,1))*OFFSET(INDIRECT($C$3&amp;"!$E$1"),1,0,$C$5,1)*IF($E$3FALSE,1,(OFFSET(INDIRECT($C$3&amp;"!$B$1"),1,0,$C$5,1)&gt;$E$4)*(OFFSET(INDIRECT($C$3&amp;"!$B$1"),1,0,$C$5,1)&lt;$E$5))))</t>
  </si>
  <si>
    <t>$U$21</t>
  </si>
  <si>
    <t>R21C21</t>
  </si>
  <si>
    <t>IF($C$2FALSE,"-",IF(Q21+R210,0,V21/(Q21+R21)))</t>
  </si>
  <si>
    <t>$V$21</t>
  </si>
  <si>
    <t>R21C22</t>
  </si>
  <si>
    <t>IF($C$2FALSE,"-",SUM((OFFSET(INDIRECT($C$3&amp;"!$H$1"),1,0,$C$5,1)O21)*(OFFSET(INDIRECT($C$3&amp;"!$C$1"),1,0,$C$5,1)+OFFSET(INDIRECT($C$3&amp;"!$D$1"),1,0,$C$5,1))*OFFSET(INDIRECT($C$3&amp;"!$E$1"),1,0,$C$5,1)*OFFSET(INDIRECT($C$3&amp;"!$F$1"),1,0,$C$5,1)*IF($E$3FALSE,1,(OFFSET(INDIRECT($C$3&amp;"!$B$1"),1,0,$C$5,1)&gt;$E$4)*(OFFSET(INDIRECT($C$3&amp;"!$B$1"),1,0,$C$5,1)&lt;$E$5))))</t>
  </si>
  <si>
    <t>$W$21</t>
  </si>
  <si>
    <t>R21C23</t>
  </si>
  <si>
    <t>IF($C$2FALSE,"-",V21-T21)</t>
  </si>
  <si>
    <t>$X$21</t>
  </si>
  <si>
    <t>R21C24</t>
  </si>
  <si>
    <t>IF($C$2FALSE,"-",IF(Q21+R210,0,W21/(Q21+R21)))</t>
  </si>
  <si>
    <t>$Y$21</t>
  </si>
  <si>
    <t>R21C25</t>
  </si>
  <si>
    <t>IF($C$2FALSE,"-",(U21-S21)-X21)</t>
  </si>
  <si>
    <t>$C$22</t>
  </si>
  <si>
    <t>R22C3</t>
  </si>
  <si>
    <t>IF($C$2FALSE,"-",SUM((OFFSET(INDIRECT($C$3&amp;"!$A$1"),1,0,$C$5,1)B22)*IF($E$3FALSE,1,(OFFSET(INDIRECT($C$3&amp;"!$B$1"),1,0,$C$5,1)&gt;$E$4)*(OFFSET(INDIRECT($C$3&amp;"!$B$1"),1,0,$C$5,1)&lt;$E$5))))</t>
  </si>
  <si>
    <t>$D$22</t>
  </si>
  <si>
    <t>R22C4</t>
  </si>
  <si>
    <t>IF($C$2FALSE,"-",SUM((OFFSET(INDIRECT($C$3&amp;"!$A$1"),1,0,$C$5,1)B22)*OFFSET(INDIRECT($C$3&amp;"!$C$1"),1,0,$C$5,1)*IF($E$3FALSE,1,(OFFSET(INDIRECT($C$3&amp;"!$B$1"),1,0,$C$5,1)&gt;$E$4)*(OFFSET(INDIRECT($C$3&amp;"!$B$1"),1,0,$C$5,1)&lt;$E$5))))</t>
  </si>
  <si>
    <t>$E$22</t>
  </si>
  <si>
    <t>R22C5</t>
  </si>
  <si>
    <t>IF($C$2FALSE,"-",SUM((OFFSET(INDIRECT($C$3&amp;"!$A$1"),1,0,$C$5,1)B22)*OFFSET(INDIRECT($C$3&amp;"!$D$1"),1,0,$C$5,1)*IF($E$3FALSE,1,(OFFSET(INDIRECT($C$3&amp;"!$B$1"),1,0,$C$5,1)&gt;$E$4)*(OFFSET(INDIRECT($C$3&amp;"!$B$1"),1,0,$C$5,1)&lt;$E$5))))</t>
  </si>
  <si>
    <t>$F$22</t>
  </si>
  <si>
    <t>R22C6</t>
  </si>
  <si>
    <t>IF($C$2FALSE,"-",IF(D22+E220,0,G22/(D22+E22)))</t>
  </si>
  <si>
    <t>$G$22</t>
  </si>
  <si>
    <t>R22C7</t>
  </si>
  <si>
    <t>IF($C$2FALSE,"-",SUM((OFFSET(INDIRECT($C$3&amp;"!$A$1"),1,0,$C$5,1)B22)*(OFFSET(INDIRECT($C$3&amp;"!$C$1"),1,0,$C$5,1)+OFFSET(INDIRECT($C$3&amp;"!$D$1"),1,0,$C$5,1))*OFFSET(INDIRECT($C$3&amp;"!$E$1"),1,0,$C$5,1)*IF($E$3FALSE,1,(OFFSET(INDIRECT($C$3&amp;"!$B$1"),1,0,$C$5,1)&gt;$E$4)*(OFFSET(INDIRECT($C$3&amp;"!$B$1"),1,0,$C$5,1)&lt;$E$5))))</t>
  </si>
  <si>
    <t>$H$22</t>
  </si>
  <si>
    <t>R22C8</t>
  </si>
  <si>
    <t>IF($C$2FALSE,"-",IF(D22+E220,0,I22/(D22+E22)))</t>
  </si>
  <si>
    <t>$I$22</t>
  </si>
  <si>
    <t>R22C9</t>
  </si>
  <si>
    <t>IF($C$2FALSE,"-",SUM((OFFSET(INDIRECT($C$3&amp;"!$A$1"),1,0,$C$5,1)B22)*(OFFSET(INDIRECT($C$3&amp;"!$C$1"),1,0,$C$5,1)+OFFSET(INDIRECT($C$3&amp;"!$D$1"),1,0,$C$5,1))*OFFSET(INDIRECT($C$3&amp;"!$E$1"),1,0,$C$5,1)*OFFSET(INDIRECT($C$3&amp;"!$F$1"),1,0,$C$5,1)*IF($E$3FALSE,1,(OFFSET(INDIRECT($C$3&amp;"!$B$1"),1,0,$C$5,1)&gt;$E$4)*(OFFSET(INDIRECT($C$3&amp;"!$B$1"),1,0,$C$5,1)&lt;$E$5))))</t>
  </si>
  <si>
    <t>$J$22</t>
  </si>
  <si>
    <t>R22C10</t>
  </si>
  <si>
    <t>IF($C$2FALSE,"-",I22-G22)</t>
  </si>
  <si>
    <t>$K$22</t>
  </si>
  <si>
    <t>R22C11</t>
  </si>
  <si>
    <t>IF($C$2FALSE,"-",IF(D22+E220,0,J22/(D22+E22)))</t>
  </si>
  <si>
    <t>$L$22</t>
  </si>
  <si>
    <t>R22C12</t>
  </si>
  <si>
    <t>IF($C$2FALSE,"-",(H22-F22)-K22)</t>
  </si>
  <si>
    <t>$P$22</t>
  </si>
  <si>
    <t>R22C16</t>
  </si>
  <si>
    <t>IF($C$2FALSE,"-",SUM((OFFSET(INDIRECT($C$3&amp;"!$H$1"),1,0,$C$5,1)O22)*IF($E$3FALSE,1,(OFFSET(INDIRECT($C$3&amp;"!$B$1"),1,0,$C$5,1)&gt;$E$4)*(OFFSET(INDIRECT($C$3&amp;"!$B$1"),1,0,$C$5,1)&lt;$E$5))))</t>
  </si>
  <si>
    <t>$Q$22</t>
  </si>
  <si>
    <t>R22C17</t>
  </si>
  <si>
    <t>IF($C$2FALSE,"-",SUM((OFFSET(INDIRECT($C$3&amp;"!$H$1"),1,0,$C$5,1)O22)*OFFSET(INDIRECT($C$3&amp;"!$C$1"),1,0,$C$5,1)*IF($E$3FALSE,1,(OFFSET(INDIRECT($C$3&amp;"!$B$1"),1,0,$C$5,1)&gt;$E$4)*(OFFSET(INDIRECT($C$3&amp;"!$B$1"),1,0,$C$5,1)&lt;$E$5))))</t>
  </si>
  <si>
    <t>$R$22</t>
  </si>
  <si>
    <t>R22C18</t>
  </si>
  <si>
    <t>IF($C$2FALSE,"-",SUM((OFFSET(INDIRECT($C$3&amp;"!$H$1"),1,0,$C$5,1)O22)*OFFSET(INDIRECT($C$3&amp;"!$D$1"),1,0,$C$5,1)*IF($E$3FALSE,1,(OFFSET(INDIRECT($C$3&amp;"!$B$1"),1,0,$C$5,1)&gt;$E$4)*(OFFSET(INDIRECT($C$3&amp;"!$B$1"),1,0,$C$5,1)&lt;$E$5))))</t>
  </si>
  <si>
    <t>$S$22</t>
  </si>
  <si>
    <t>R22C19</t>
  </si>
  <si>
    <t>IF($C$2FALSE,"-",IF(Q22+R220,0,T22/(Q22+R22)))</t>
  </si>
  <si>
    <t>$T$22</t>
  </si>
  <si>
    <t>R22C20</t>
  </si>
  <si>
    <t>IF($C$2FALSE,"-",SUM((OFFSET(INDIRECT($C$3&amp;"!$H$1"),1,0,$C$5,1)O22)*(OFFSET(INDIRECT($C$3&amp;"!$C$1"),1,0,$C$5,1)+OFFSET(INDIRECT($C$3&amp;"!$D$1"),1,0,$C$5,1))*OFFSET(INDIRECT($C$3&amp;"!$E$1"),1,0,$C$5,1)*IF($E$3FALSE,1,(OFFSET(INDIRECT($C$3&amp;"!$B$1"),1,0,$C$5,1)&gt;$E$4)*(OFFSET(INDIRECT($C$3&amp;"!$B$1"),1,0,$C$5,1)&lt;$E$5))))</t>
  </si>
  <si>
    <t>$U$22</t>
  </si>
  <si>
    <t>R22C21</t>
  </si>
  <si>
    <t>IF($C$2FALSE,"-",IF(Q22+R220,0,V22/(Q22+R22)))</t>
  </si>
  <si>
    <t>$V$22</t>
  </si>
  <si>
    <t>R22C22</t>
  </si>
  <si>
    <t>IF($C$2FALSE,"-",SUM((OFFSET(INDIRECT($C$3&amp;"!$H$1"),1,0,$C$5,1)O22)*(OFFSET(INDIRECT($C$3&amp;"!$C$1"),1,0,$C$5,1)+OFFSET(INDIRECT($C$3&amp;"!$D$1"),1,0,$C$5,1))*OFFSET(INDIRECT($C$3&amp;"!$E$1"),1,0,$C$5,1)*OFFSET(INDIRECT($C$3&amp;"!$F$1"),1,0,$C$5,1)*IF($E$3FALSE,1,(OFFSET(INDIRECT($C$3&amp;"!$B$1"),1,0,$C$5,1)&gt;$E$4)*(OFFSET(INDIRECT($C$3&amp;"!$B$1"),1,0,$C$5,1)&lt;$E$5))))</t>
  </si>
  <si>
    <t>$W$22</t>
  </si>
  <si>
    <t>R22C23</t>
  </si>
  <si>
    <t>IF($C$2FALSE,"-",V22-T22)</t>
  </si>
  <si>
    <t>$X$22</t>
  </si>
  <si>
    <t>R22C24</t>
  </si>
  <si>
    <t>IF($C$2FALSE,"-",IF(Q22+R220,0,W22/(Q22+R22)))</t>
  </si>
  <si>
    <t>$Y$22</t>
  </si>
  <si>
    <t>R22C25</t>
  </si>
  <si>
    <t>IF($C$2FALSE,"-",(U22-S22)-X22)</t>
  </si>
  <si>
    <t>$C$23</t>
  </si>
  <si>
    <t>R23C3</t>
  </si>
  <si>
    <t>IF($C$2FALSE,"-",SUM((OFFSET(INDIRECT($C$3&amp;"!$A$1"),1,0,$C$5,1)B23)*IF($E$3FALSE,1,(OFFSET(INDIRECT($C$3&amp;"!$B$1"),1,0,$C$5,1)&gt;$E$4)*(OFFSET(INDIRECT($C$3&amp;"!$B$1"),1,0,$C$5,1)&lt;$E$5))))</t>
  </si>
  <si>
    <t>$D$23</t>
  </si>
  <si>
    <t>R23C4</t>
  </si>
  <si>
    <t>IF($C$2FALSE,"-",SUM((OFFSET(INDIRECT($C$3&amp;"!$A$1"),1,0,$C$5,1)B23)*OFFSET(INDIRECT($C$3&amp;"!$C$1"),1,0,$C$5,1)*IF($E$3FALSE,1,(OFFSET(INDIRECT($C$3&amp;"!$B$1"),1,0,$C$5,1)&gt;$E$4)*(OFFSET(INDIRECT($C$3&amp;"!$B$1"),1,0,$C$5,1)&lt;$E$5))))</t>
  </si>
  <si>
    <t>$E$23</t>
  </si>
  <si>
    <t>R23C5</t>
  </si>
  <si>
    <t>IF($C$2FALSE,"-",SUM((OFFSET(INDIRECT($C$3&amp;"!$A$1"),1,0,$C$5,1)B23)*OFFSET(INDIRECT($C$3&amp;"!$D$1"),1,0,$C$5,1)*IF($E$3FALSE,1,(OFFSET(INDIRECT($C$3&amp;"!$B$1"),1,0,$C$5,1)&gt;$E$4)*(OFFSET(INDIRECT($C$3&amp;"!$B$1"),1,0,$C$5,1)&lt;$E$5))))</t>
  </si>
  <si>
    <t>$F$23</t>
  </si>
  <si>
    <t>R23C6</t>
  </si>
  <si>
    <t>IF($C$2FALSE,"-",IF(D23+E230,0,G23/(D23+E23)))</t>
  </si>
  <si>
    <t>$G$23</t>
  </si>
  <si>
    <t>R23C7</t>
  </si>
  <si>
    <t>IF($C$2FALSE,"-",SUM((OFFSET(INDIRECT($C$3&amp;"!$A$1"),1,0,$C$5,1)B23)*(OFFSET(INDIRECT($C$3&amp;"!$C$1"),1,0,$C$5,1)+OFFSET(INDIRECT($C$3&amp;"!$D$1"),1,0,$C$5,1))*OFFSET(INDIRECT($C$3&amp;"!$E$1"),1,0,$C$5,1)*IF($E$3FALSE,1,(OFFSET(INDIRECT($C$3&amp;"!$B$1"),1,0,$C$5,1)&gt;$E$4)*(OFFSET(INDIRECT($C$3&amp;"!$B$1"),1,0,$C$5,1)&lt;$E$5))))</t>
  </si>
  <si>
    <t>$H$23</t>
  </si>
  <si>
    <t>R23C8</t>
  </si>
  <si>
    <t>IF($C$2FALSE,"-",IF(D23+E230,0,I23/(D23+E23)))</t>
  </si>
  <si>
    <t>$I$23</t>
  </si>
  <si>
    <t>R23C9</t>
  </si>
  <si>
    <t>IF($C$2FALSE,"-",SUM((OFFSET(INDIRECT($C$3&amp;"!$A$1"),1,0,$C$5,1)B23)*(OFFSET(INDIRECT($C$3&amp;"!$C$1"),1,0,$C$5,1)+OFFSET(INDIRECT($C$3&amp;"!$D$1"),1,0,$C$5,1))*OFFSET(INDIRECT($C$3&amp;"!$E$1"),1,0,$C$5,1)*OFFSET(INDIRECT($C$3&amp;"!$F$1"),1,0,$C$5,1)*IF($E$3FALSE,1,(OFFSET(INDIRECT($C$3&amp;"!$B$1"),1,0,$C$5,1)&gt;$E$4)*(OFFSET(INDIRECT($C$3&amp;"!$B$1"),1,0,$C$5,1)&lt;$E$5))))</t>
  </si>
  <si>
    <t>$J$23</t>
  </si>
  <si>
    <t>R23C10</t>
  </si>
  <si>
    <t>IF($C$2FALSE,"-",I23-G23)</t>
  </si>
  <si>
    <t>$K$23</t>
  </si>
  <si>
    <t>R23C11</t>
  </si>
  <si>
    <t>IF($C$2FALSE,"-",IF(D23+E230,0,J23/(D23+E23)))</t>
  </si>
  <si>
    <t>$L$23</t>
  </si>
  <si>
    <t>R23C12</t>
  </si>
  <si>
    <t>IF($C$2FALSE,"-",(H23-F23)-K23)</t>
  </si>
  <si>
    <t>$P$23</t>
  </si>
  <si>
    <t>R23C16</t>
  </si>
  <si>
    <t>IF($C$2FALSE,"-",SUM((OFFSET(INDIRECT($C$3&amp;"!$H$1"),1,0,$C$5,1)O23)*IF($E$3FALSE,1,(OFFSET(INDIRECT($C$3&amp;"!$B$1"),1,0,$C$5,1)&gt;$E$4)*(OFFSET(INDIRECT($C$3&amp;"!$B$1"),1,0,$C$5,1)&lt;$E$5))))</t>
  </si>
  <si>
    <t>$Q$23</t>
  </si>
  <si>
    <t>R23C17</t>
  </si>
  <si>
    <t>IF($C$2FALSE,"-",SUM((OFFSET(INDIRECT($C$3&amp;"!$H$1"),1,0,$C$5,1)O23)*OFFSET(INDIRECT($C$3&amp;"!$C$1"),1,0,$C$5,1)*IF($E$3FALSE,1,(OFFSET(INDIRECT($C$3&amp;"!$B$1"),1,0,$C$5,1)&gt;$E$4)*(OFFSET(INDIRECT($C$3&amp;"!$B$1"),1,0,$C$5,1)&lt;$E$5))))</t>
  </si>
  <si>
    <t>$R$23</t>
  </si>
  <si>
    <t>R23C18</t>
  </si>
  <si>
    <t>IF($C$2FALSE,"-",SUM((OFFSET(INDIRECT($C$3&amp;"!$H$1"),1,0,$C$5,1)O23)*OFFSET(INDIRECT($C$3&amp;"!$D$1"),1,0,$C$5,1)*IF($E$3FALSE,1,(OFFSET(INDIRECT($C$3&amp;"!$B$1"),1,0,$C$5,1)&gt;$E$4)*(OFFSET(INDIRECT($C$3&amp;"!$B$1"),1,0,$C$5,1)&lt;$E$5))))</t>
  </si>
  <si>
    <t>$S$23</t>
  </si>
  <si>
    <t>R23C19</t>
  </si>
  <si>
    <t>IF($C$2FALSE,"-",IF(Q23+R230,0,T23/(Q23+R23)))</t>
  </si>
  <si>
    <t>$T$23</t>
  </si>
  <si>
    <t>R23C20</t>
  </si>
  <si>
    <t>IF($C$2FALSE,"-",SUM((OFFSET(INDIRECT($C$3&amp;"!$H$1"),1,0,$C$5,1)O23)*(OFFSET(INDIRECT($C$3&amp;"!$C$1"),1,0,$C$5,1)+OFFSET(INDIRECT($C$3&amp;"!$D$1"),1,0,$C$5,1))*OFFSET(INDIRECT($C$3&amp;"!$E$1"),1,0,$C$5,1)*IF($E$3FALSE,1,(OFFSET(INDIRECT($C$3&amp;"!$B$1"),1,0,$C$5,1)&gt;$E$4)*(OFFSET(INDIRECT($C$3&amp;"!$B$1"),1,0,$C$5,1)&lt;$E$5))))</t>
  </si>
  <si>
    <t>$U$23</t>
  </si>
  <si>
    <t>R23C21</t>
  </si>
  <si>
    <t>IF($C$2FALSE,"-",IF(Q23+R230,0,V23/(Q23+R23)))</t>
  </si>
  <si>
    <t>$V$23</t>
  </si>
  <si>
    <t>R23C22</t>
  </si>
  <si>
    <t>IF($C$2FALSE,"-",SUM((OFFSET(INDIRECT($C$3&amp;"!$H$1"),1,0,$C$5,1)O23)*(OFFSET(INDIRECT($C$3&amp;"!$C$1"),1,0,$C$5,1)+OFFSET(INDIRECT($C$3&amp;"!$D$1"),1,0,$C$5,1))*OFFSET(INDIRECT($C$3&amp;"!$E$1"),1,0,$C$5,1)*OFFSET(INDIRECT($C$3&amp;"!$F$1"),1,0,$C$5,1)*IF($E$3FALSE,1,(OFFSET(INDIRECT($C$3&amp;"!$B$1"),1,0,$C$5,1)&gt;$E$4)*(OFFSET(INDIRECT($C$3&amp;"!$B$1"),1,0,$C$5,1)&lt;$E$5))))</t>
  </si>
  <si>
    <t>$W$23</t>
  </si>
  <si>
    <t>R23C23</t>
  </si>
  <si>
    <t>IF($C$2FALSE,"-",V23-T23)</t>
  </si>
  <si>
    <t>$X$23</t>
  </si>
  <si>
    <t>R23C24</t>
  </si>
  <si>
    <t>IF($C$2FALSE,"-",IF(Q23+R230,0,W23/(Q23+R23)))</t>
  </si>
  <si>
    <t>$Y$23</t>
  </si>
  <si>
    <t>R23C25</t>
  </si>
  <si>
    <t>IF($C$2FALSE,"-",(U23-S23)-X23)</t>
  </si>
  <si>
    <t>$C$24</t>
  </si>
  <si>
    <t>R24C3</t>
  </si>
  <si>
    <t>IF($C$2FALSE,"-",SUM((OFFSET(INDIRECT($C$3&amp;"!$A$1"),1,0,$C$5,1)B24)*IF($E$3FALSE,1,(OFFSET(INDIRECT($C$3&amp;"!$B$1"),1,0,$C$5,1)&gt;$E$4)*(OFFSET(INDIRECT($C$3&amp;"!$B$1"),1,0,$C$5,1)&lt;$E$5))))</t>
  </si>
  <si>
    <t>$D$24</t>
  </si>
  <si>
    <t>R24C4</t>
  </si>
  <si>
    <t>IF($C$2FALSE,"-",SUM((OFFSET(INDIRECT($C$3&amp;"!$A$1"),1,0,$C$5,1)B24)*OFFSET(INDIRECT($C$3&amp;"!$C$1"),1,0,$C$5,1)*IF($E$3FALSE,1,(OFFSET(INDIRECT($C$3&amp;"!$B$1"),1,0,$C$5,1)&gt;$E$4)*(OFFSET(INDIRECT($C$3&amp;"!$B$1"),1,0,$C$5,1)&lt;$E$5))))</t>
  </si>
  <si>
    <t>$E$24</t>
  </si>
  <si>
    <t>R24C5</t>
  </si>
  <si>
    <t>IF($C$2FALSE,"-",SUM((OFFSET(INDIRECT($C$3&amp;"!$A$1"),1,0,$C$5,1)B24)*OFFSET(INDIRECT($C$3&amp;"!$D$1"),1,0,$C$5,1)*IF($E$3FALSE,1,(OFFSET(INDIRECT($C$3&amp;"!$B$1"),1,0,$C$5,1)&gt;$E$4)*(OFFSET(INDIRECT($C$3&amp;"!$B$1"),1,0,$C$5,1)&lt;$E$5))))</t>
  </si>
  <si>
    <t>$F$24</t>
  </si>
  <si>
    <t>R24C6</t>
  </si>
  <si>
    <t>IF($C$2FALSE,"-",IF(D24+E240,0,G24/(D24+E24)))</t>
  </si>
  <si>
    <t>$G$24</t>
  </si>
  <si>
    <t>R24C7</t>
  </si>
  <si>
    <t>IF($C$2FALSE,"-",SUM((OFFSET(INDIRECT($C$3&amp;"!$A$1"),1,0,$C$5,1)B24)*(OFFSET(INDIRECT($C$3&amp;"!$C$1"),1,0,$C$5,1)+OFFSET(INDIRECT($C$3&amp;"!$D$1"),1,0,$C$5,1))*OFFSET(INDIRECT($C$3&amp;"!$E$1"),1,0,$C$5,1)*IF($E$3FALSE,1,(OFFSET(INDIRECT($C$3&amp;"!$B$1"),1,0,$C$5,1)&gt;$E$4)*(OFFSET(INDIRECT($C$3&amp;"!$B$1"),1,0,$C$5,1)&lt;$E$5))))</t>
  </si>
  <si>
    <t>$H$24</t>
  </si>
  <si>
    <t>R24C8</t>
  </si>
  <si>
    <t>IF($C$2FALSE,"-",IF(D24+E240,0,I24/(D24+E24)))</t>
  </si>
  <si>
    <t>$I$24</t>
  </si>
  <si>
    <t>R24C9</t>
  </si>
  <si>
    <t>IF($C$2FALSE,"-",SUM((OFFSET(INDIRECT($C$3&amp;"!$A$1"),1,0,$C$5,1)B24)*(OFFSET(INDIRECT($C$3&amp;"!$C$1"),1,0,$C$5,1)+OFFSET(INDIRECT($C$3&amp;"!$D$1"),1,0,$C$5,1))*OFFSET(INDIRECT($C$3&amp;"!$E$1"),1,0,$C$5,1)*OFFSET(INDIRECT($C$3&amp;"!$F$1"),1,0,$C$5,1)*IF($E$3FALSE,1,(OFFSET(INDIRECT($C$3&amp;"!$B$1"),1,0,$C$5,1)&gt;$E$4)*(OFFSET(INDIRECT($C$3&amp;"!$B$1"),1,0,$C$5,1)&lt;$E$5))))</t>
  </si>
  <si>
    <t>$J$24</t>
  </si>
  <si>
    <t>R24C10</t>
  </si>
  <si>
    <t>IF($C$2FALSE,"-",I24-G24)</t>
  </si>
  <si>
    <t>$K$24</t>
  </si>
  <si>
    <t>R24C11</t>
  </si>
  <si>
    <t>IF($C$2FALSE,"-",IF(D24+E240,0,J24/(D24+E24)))</t>
  </si>
  <si>
    <t>$L$24</t>
  </si>
  <si>
    <t>R24C12</t>
  </si>
  <si>
    <t>IF($C$2FALSE,"-",(H24-F24)-K24)</t>
  </si>
  <si>
    <t>$P$24</t>
  </si>
  <si>
    <t>R24C16</t>
  </si>
  <si>
    <t>IF($C$2FALSE,"-",SUM((OFFSET(INDIRECT($C$3&amp;"!$H$1"),1,0,$C$5,1)O24)*IF($E$3FALSE,1,(OFFSET(INDIRECT($C$3&amp;"!$B$1"),1,0,$C$5,1)&gt;$E$4)*(OFFSET(INDIRECT($C$3&amp;"!$B$1"),1,0,$C$5,1)&lt;$E$5))))</t>
  </si>
  <si>
    <t>$Q$24</t>
  </si>
  <si>
    <t>R24C17</t>
  </si>
  <si>
    <t>IF($C$2FALSE,"-",SUM((OFFSET(INDIRECT($C$3&amp;"!$H$1"),1,0,$C$5,1)O24)*OFFSET(INDIRECT($C$3&amp;"!$C$1"),1,0,$C$5,1)*IF($E$3FALSE,1,(OFFSET(INDIRECT($C$3&amp;"!$B$1"),1,0,$C$5,1)&gt;$E$4)*(OFFSET(INDIRECT($C$3&amp;"!$B$1"),1,0,$C$5,1)&lt;$E$5))))</t>
  </si>
  <si>
    <t>$R$24</t>
  </si>
  <si>
    <t>R24C18</t>
  </si>
  <si>
    <t>IF($C$2FALSE,"-",SUM((OFFSET(INDIRECT($C$3&amp;"!$H$1"),1,0,$C$5,1)O24)*OFFSET(INDIRECT($C$3&amp;"!$D$1"),1,0,$C$5,1)*IF($E$3FALSE,1,(OFFSET(INDIRECT($C$3&amp;"!$B$1"),1,0,$C$5,1)&gt;$E$4)*(OFFSET(INDIRECT($C$3&amp;"!$B$1"),1,0,$C$5,1)&lt;$E$5))))</t>
  </si>
  <si>
    <t>$S$24</t>
  </si>
  <si>
    <t>R24C19</t>
  </si>
  <si>
    <t>IF($C$2FALSE,"-",IF(Q24+R240,0,T24/(Q24+R24)))</t>
  </si>
  <si>
    <t>$T$24</t>
  </si>
  <si>
    <t>R24C20</t>
  </si>
  <si>
    <t>IF($C$2FALSE,"-",SUM((OFFSET(INDIRECT($C$3&amp;"!$H$1"),1,0,$C$5,1)O24)*(OFFSET(INDIRECT($C$3&amp;"!$C$1"),1,0,$C$5,1)+OFFSET(INDIRECT($C$3&amp;"!$D$1"),1,0,$C$5,1))*OFFSET(INDIRECT($C$3&amp;"!$E$1"),1,0,$C$5,1)*IF($E$3FALSE,1,(OFFSET(INDIRECT($C$3&amp;"!$B$1"),1,0,$C$5,1)&gt;$E$4)*(OFFSET(INDIRECT($C$3&amp;"!$B$1"),1,0,$C$5,1)&lt;$E$5))))</t>
  </si>
  <si>
    <t>$U$24</t>
  </si>
  <si>
    <t>R24C21</t>
  </si>
  <si>
    <t>IF($C$2FALSE,"-",IF(Q24+R240,0,V24/(Q24+R24)))</t>
  </si>
  <si>
    <t>$V$24</t>
  </si>
  <si>
    <t>R24C22</t>
  </si>
  <si>
    <t>IF($C$2FALSE,"-",SUM((OFFSET(INDIRECT($C$3&amp;"!$H$1"),1,0,$C$5,1)O24)*(OFFSET(INDIRECT($C$3&amp;"!$C$1"),1,0,$C$5,1)+OFFSET(INDIRECT($C$3&amp;"!$D$1"),1,0,$C$5,1))*OFFSET(INDIRECT($C$3&amp;"!$E$1"),1,0,$C$5,1)*OFFSET(INDIRECT($C$3&amp;"!$F$1"),1,0,$C$5,1)*IF($E$3FALSE,1,(OFFSET(INDIRECT($C$3&amp;"!$B$1"),1,0,$C$5,1)&gt;$E$4)*(OFFSET(INDIRECT($C$3&amp;"!$B$1"),1,0,$C$5,1)&lt;$E$5))))</t>
  </si>
  <si>
    <t>$W$24</t>
  </si>
  <si>
    <t>R24C23</t>
  </si>
  <si>
    <t>IF($C$2FALSE,"-",V24-T24)</t>
  </si>
  <si>
    <t>$X$24</t>
  </si>
  <si>
    <t>R24C24</t>
  </si>
  <si>
    <t>IF($C$2FALSE,"-",IF(Q24+R240,0,W24/(Q24+R24)))</t>
  </si>
  <si>
    <t>$Y$24</t>
  </si>
  <si>
    <t>R24C25</t>
  </si>
  <si>
    <t>IF($C$2FALSE,"-",(U24-S24)-X24)</t>
  </si>
  <si>
    <t>$C$25</t>
  </si>
  <si>
    <t>R25C3</t>
  </si>
  <si>
    <t>IF($C$2FALSE,"-",SUM((OFFSET(INDIRECT($C$3&amp;"!$A$1"),1,0,$C$5,1)B25)*IF($E$3FALSE,1,(OFFSET(INDIRECT($C$3&amp;"!$B$1"),1,0,$C$5,1)&gt;$E$4)*(OFFSET(INDIRECT($C$3&amp;"!$B$1"),1,0,$C$5,1)&lt;$E$5))))</t>
  </si>
  <si>
    <t>$D$25</t>
  </si>
  <si>
    <t>R25C4</t>
  </si>
  <si>
    <t>IF($C$2FALSE,"-",SUM((OFFSET(INDIRECT($C$3&amp;"!$A$1"),1,0,$C$5,1)B25)*OFFSET(INDIRECT($C$3&amp;"!$C$1"),1,0,$C$5,1)*IF($E$3FALSE,1,(OFFSET(INDIRECT($C$3&amp;"!$B$1"),1,0,$C$5,1)&gt;$E$4)*(OFFSET(INDIRECT($C$3&amp;"!$B$1"),1,0,$C$5,1)&lt;$E$5))))</t>
  </si>
  <si>
    <t>$E$25</t>
  </si>
  <si>
    <t>R25C5</t>
  </si>
  <si>
    <t>IF($C$2FALSE,"-",SUM((OFFSET(INDIRECT($C$3&amp;"!$A$1"),1,0,$C$5,1)B25)*OFFSET(INDIRECT($C$3&amp;"!$D$1"),1,0,$C$5,1)*IF($E$3FALSE,1,(OFFSET(INDIRECT($C$3&amp;"!$B$1"),1,0,$C$5,1)&gt;$E$4)*(OFFSET(INDIRECT($C$3&amp;"!$B$1"),1,0,$C$5,1)&lt;$E$5))))</t>
  </si>
  <si>
    <t>$F$25</t>
  </si>
  <si>
    <t>R25C6</t>
  </si>
  <si>
    <t>IF($C$2FALSE,"-",IF(D25+E250,0,G25/(D25+E25)))</t>
  </si>
  <si>
    <t>$G$25</t>
  </si>
  <si>
    <t>R25C7</t>
  </si>
  <si>
    <t>IF($C$2FALSE,"-",SUM((OFFSET(INDIRECT($C$3&amp;"!$A$1"),1,0,$C$5,1)B25)*(OFFSET(INDIRECT($C$3&amp;"!$C$1"),1,0,$C$5,1)+OFFSET(INDIRECT($C$3&amp;"!$D$1"),1,0,$C$5,1))*OFFSET(INDIRECT($C$3&amp;"!$E$1"),1,0,$C$5,1)*IF($E$3FALSE,1,(OFFSET(INDIRECT($C$3&amp;"!$B$1"),1,0,$C$5,1)&gt;$E$4)*(OFFSET(INDIRECT($C$3&amp;"!$B$1"),1,0,$C$5,1)&lt;$E$5))))</t>
  </si>
  <si>
    <t>$H$25</t>
  </si>
  <si>
    <t>R25C8</t>
  </si>
  <si>
    <t>IF($C$2FALSE,"-",IF(D25+E250,0,I25/(D25+E25)))</t>
  </si>
  <si>
    <t>$I$25</t>
  </si>
  <si>
    <t>R25C9</t>
  </si>
  <si>
    <t>IF($C$2FALSE,"-",SUM((OFFSET(INDIRECT($C$3&amp;"!$A$1"),1,0,$C$5,1)B25)*(OFFSET(INDIRECT($C$3&amp;"!$C$1"),1,0,$C$5,1)+OFFSET(INDIRECT($C$3&amp;"!$D$1"),1,0,$C$5,1))*OFFSET(INDIRECT($C$3&amp;"!$E$1"),1,0,$C$5,1)*OFFSET(INDIRECT($C$3&amp;"!$F$1"),1,0,$C$5,1)*IF($E$3FALSE,1,(OFFSET(INDIRECT($C$3&amp;"!$B$1"),1,0,$C$5,1)&gt;$E$4)*(OFFSET(INDIRECT($C$3&amp;"!$B$1"),1,0,$C$5,1)&lt;$E$5))))</t>
  </si>
  <si>
    <t>$J$25</t>
  </si>
  <si>
    <t>R25C10</t>
  </si>
  <si>
    <t>IF($C$2FALSE,"-",I25-G25)</t>
  </si>
  <si>
    <t>$K$25</t>
  </si>
  <si>
    <t>R25C11</t>
  </si>
  <si>
    <t>IF($C$2FALSE,"-",IF(D25+E250,0,J25/(D25+E25)))</t>
  </si>
  <si>
    <t>$L$25</t>
  </si>
  <si>
    <t>R25C12</t>
  </si>
  <si>
    <t>IF($C$2FALSE,"-",(H25-F25)-K25)</t>
  </si>
  <si>
    <t>$P$25</t>
  </si>
  <si>
    <t>R25C16</t>
  </si>
  <si>
    <t>IF($C$2FALSE,"-",SUM((OFFSET(INDIRECT($C$3&amp;"!$H$1"),1,0,$C$5,1)O25)*IF($E$3FALSE,1,(OFFSET(INDIRECT($C$3&amp;"!$B$1"),1,0,$C$5,1)&gt;$E$4)*(OFFSET(INDIRECT($C$3&amp;"!$B$1"),1,0,$C$5,1)&lt;$E$5))))</t>
  </si>
  <si>
    <t>$Q$25</t>
  </si>
  <si>
    <t>R25C17</t>
  </si>
  <si>
    <t>IF($C$2FALSE,"-",SUM((OFFSET(INDIRECT($C$3&amp;"!$H$1"),1,0,$C$5,1)O25)*OFFSET(INDIRECT($C$3&amp;"!$C$1"),1,0,$C$5,1)*IF($E$3FALSE,1,(OFFSET(INDIRECT($C$3&amp;"!$B$1"),1,0,$C$5,1)&gt;$E$4)*(OFFSET(INDIRECT($C$3&amp;"!$B$1"),1,0,$C$5,1)&lt;$E$5))))</t>
  </si>
  <si>
    <t>$R$25</t>
  </si>
  <si>
    <t>R25C18</t>
  </si>
  <si>
    <t>IF($C$2FALSE,"-",SUM((OFFSET(INDIRECT($C$3&amp;"!$H$1"),1,0,$C$5,1)O25)*OFFSET(INDIRECT($C$3&amp;"!$D$1"),1,0,$C$5,1)*IF($E$3FALSE,1,(OFFSET(INDIRECT($C$3&amp;"!$B$1"),1,0,$C$5,1)&gt;$E$4)*(OFFSET(INDIRECT($C$3&amp;"!$B$1"),1,0,$C$5,1)&lt;$E$5))))</t>
  </si>
  <si>
    <t>$S$25</t>
  </si>
  <si>
    <t>R25C19</t>
  </si>
  <si>
    <t>IF($C$2FALSE,"-",IF(Q25+R250,0,T25/(Q25+R25)))</t>
  </si>
  <si>
    <t>$T$25</t>
  </si>
  <si>
    <t>R25C20</t>
  </si>
  <si>
    <t>IF($C$2FALSE,"-",SUM((OFFSET(INDIRECT($C$3&amp;"!$H$1"),1,0,$C$5,1)O25)*(OFFSET(INDIRECT($C$3&amp;"!$C$1"),1,0,$C$5,1)+OFFSET(INDIRECT($C$3&amp;"!$D$1"),1,0,$C$5,1))*OFFSET(INDIRECT($C$3&amp;"!$E$1"),1,0,$C$5,1)*IF($E$3FALSE,1,(OFFSET(INDIRECT($C$3&amp;"!$B$1"),1,0,$C$5,1)&gt;$E$4)*(OFFSET(INDIRECT($C$3&amp;"!$B$1"),1,0,$C$5,1)&lt;$E$5))))</t>
  </si>
  <si>
    <t>$U$25</t>
  </si>
  <si>
    <t>R25C21</t>
  </si>
  <si>
    <t>IF($C$2FALSE,"-",IF(Q25+R250,0,V25/(Q25+R25)))</t>
  </si>
  <si>
    <t>$V$25</t>
  </si>
  <si>
    <t>R25C22</t>
  </si>
  <si>
    <t>IF($C$2FALSE,"-",SUM((OFFSET(INDIRECT($C$3&amp;"!$H$1"),1,0,$C$5,1)O25)*(OFFSET(INDIRECT($C$3&amp;"!$C$1"),1,0,$C$5,1)+OFFSET(INDIRECT($C$3&amp;"!$D$1"),1,0,$C$5,1))*OFFSET(INDIRECT($C$3&amp;"!$E$1"),1,0,$C$5,1)*OFFSET(INDIRECT($C$3&amp;"!$F$1"),1,0,$C$5,1)*IF($E$3FALSE,1,(OFFSET(INDIRECT($C$3&amp;"!$B$1"),1,0,$C$5,1)&gt;$E$4)*(OFFSET(INDIRECT($C$3&amp;"!$B$1"),1,0,$C$5,1)&lt;$E$5))))</t>
  </si>
  <si>
    <t>$W$25</t>
  </si>
  <si>
    <t>R25C23</t>
  </si>
  <si>
    <t>IF($C$2FALSE,"-",V25-T25)</t>
  </si>
  <si>
    <t>$X$25</t>
  </si>
  <si>
    <t>R25C24</t>
  </si>
  <si>
    <t>IF($C$2FALSE,"-",IF(Q25+R250,0,W25/(Q25+R25)))</t>
  </si>
  <si>
    <t>$Y$25</t>
  </si>
  <si>
    <t>R25C25</t>
  </si>
  <si>
    <t>IF($C$2FALSE,"-",(U25-S25)-X25)</t>
  </si>
  <si>
    <t>$C$26</t>
  </si>
  <si>
    <t>R26C3</t>
  </si>
  <si>
    <t>IF($C$2FALSE,"-",SUM((OFFSET(INDIRECT($C$3&amp;"!$A$1"),1,0,$C$5,1)B26)*IF($E$3FALSE,1,(OFFSET(INDIRECT($C$3&amp;"!$B$1"),1,0,$C$5,1)&gt;$E$4)*(OFFSET(INDIRECT($C$3&amp;"!$B$1"),1,0,$C$5,1)&lt;$E$5))))</t>
  </si>
  <si>
    <t>$D$26</t>
  </si>
  <si>
    <t>R26C4</t>
  </si>
  <si>
    <t>IF($C$2FALSE,"-",SUM((OFFSET(INDIRECT($C$3&amp;"!$A$1"),1,0,$C$5,1)B26)*OFFSET(INDIRECT($C$3&amp;"!$C$1"),1,0,$C$5,1)*IF($E$3FALSE,1,(OFFSET(INDIRECT($C$3&amp;"!$B$1"),1,0,$C$5,1)&gt;$E$4)*(OFFSET(INDIRECT($C$3&amp;"!$B$1"),1,0,$C$5,1)&lt;$E$5))))</t>
  </si>
  <si>
    <t>$E$26</t>
  </si>
  <si>
    <t>R26C5</t>
  </si>
  <si>
    <t>IF($C$2FALSE,"-",SUM((OFFSET(INDIRECT($C$3&amp;"!$A$1"),1,0,$C$5,1)B26)*OFFSET(INDIRECT($C$3&amp;"!$D$1"),1,0,$C$5,1)*IF($E$3FALSE,1,(OFFSET(INDIRECT($C$3&amp;"!$B$1"),1,0,$C$5,1)&gt;$E$4)*(OFFSET(INDIRECT($C$3&amp;"!$B$1"),1,0,$C$5,1)&lt;$E$5))))</t>
  </si>
  <si>
    <t>$F$26</t>
  </si>
  <si>
    <t>R26C6</t>
  </si>
  <si>
    <t>IF($C$2FALSE,"-",IF(D26+E260,0,G26/(D26+E26)))</t>
  </si>
  <si>
    <t>$G$26</t>
  </si>
  <si>
    <t>R26C7</t>
  </si>
  <si>
    <t>IF($C$2FALSE,"-",SUM((OFFSET(INDIRECT($C$3&amp;"!$A$1"),1,0,$C$5,1)B26)*(OFFSET(INDIRECT($C$3&amp;"!$C$1"),1,0,$C$5,1)+OFFSET(INDIRECT($C$3&amp;"!$D$1"),1,0,$C$5,1))*OFFSET(INDIRECT($C$3&amp;"!$E$1"),1,0,$C$5,1)*IF($E$3FALSE,1,(OFFSET(INDIRECT($C$3&amp;"!$B$1"),1,0,$C$5,1)&gt;$E$4)*(OFFSET(INDIRECT($C$3&amp;"!$B$1"),1,0,$C$5,1)&lt;$E$5))))</t>
  </si>
  <si>
    <t>$H$26</t>
  </si>
  <si>
    <t>R26C8</t>
  </si>
  <si>
    <t>IF($C$2FALSE,"-",IF(D26+E260,0,I26/(D26+E26)))</t>
  </si>
  <si>
    <t>$I$26</t>
  </si>
  <si>
    <t>R26C9</t>
  </si>
  <si>
    <t>IF($C$2FALSE,"-",SUM((OFFSET(INDIRECT($C$3&amp;"!$A$1"),1,0,$C$5,1)B26)*(OFFSET(INDIRECT($C$3&amp;"!$C$1"),1,0,$C$5,1)+OFFSET(INDIRECT($C$3&amp;"!$D$1"),1,0,$C$5,1))*OFFSET(INDIRECT($C$3&amp;"!$E$1"),1,0,$C$5,1)*OFFSET(INDIRECT($C$3&amp;"!$F$1"),1,0,$C$5,1)*IF($E$3FALSE,1,(OFFSET(INDIRECT($C$3&amp;"!$B$1"),1,0,$C$5,1)&gt;$E$4)*(OFFSET(INDIRECT($C$3&amp;"!$B$1"),1,0,$C$5,1)&lt;$E$5))))</t>
  </si>
  <si>
    <t>$J$26</t>
  </si>
  <si>
    <t>R26C10</t>
  </si>
  <si>
    <t>IF($C$2FALSE,"-",I26-G26)</t>
  </si>
  <si>
    <t>$K$26</t>
  </si>
  <si>
    <t>R26C11</t>
  </si>
  <si>
    <t>IF($C$2FALSE,"-",IF(D26+E260,0,J26/(D26+E26)))</t>
  </si>
  <si>
    <t>$L$26</t>
  </si>
  <si>
    <t>R26C12</t>
  </si>
  <si>
    <t>IF($C$2FALSE,"-",(H26-F26)-K26)</t>
  </si>
  <si>
    <t>$P$26</t>
  </si>
  <si>
    <t>R26C16</t>
  </si>
  <si>
    <t>IF($C$2FALSE,"-",SUM((OFFSET(INDIRECT($C$3&amp;"!$H$1"),1,0,$C$5,1)O26)*IF($E$3FALSE,1,(OFFSET(INDIRECT($C$3&amp;"!$B$1"),1,0,$C$5,1)&gt;$E$4)*(OFFSET(INDIRECT($C$3&amp;"!$B$1"),1,0,$C$5,1)&lt;$E$5))))</t>
  </si>
  <si>
    <t>$Q$26</t>
  </si>
  <si>
    <t>R26C17</t>
  </si>
  <si>
    <t>IF($C$2FALSE,"-",SUM((OFFSET(INDIRECT($C$3&amp;"!$H$1"),1,0,$C$5,1)O26)*OFFSET(INDIRECT($C$3&amp;"!$C$1"),1,0,$C$5,1)*IF($E$3FALSE,1,(OFFSET(INDIRECT($C$3&amp;"!$B$1"),1,0,$C$5,1)&gt;$E$4)*(OFFSET(INDIRECT($C$3&amp;"!$B$1"),1,0,$C$5,1)&lt;$E$5))))</t>
  </si>
  <si>
    <t>$R$26</t>
  </si>
  <si>
    <t>R26C18</t>
  </si>
  <si>
    <t>IF($C$2FALSE,"-",SUM((OFFSET(INDIRECT($C$3&amp;"!$H$1"),1,0,$C$5,1)O26)*OFFSET(INDIRECT($C$3&amp;"!$D$1"),1,0,$C$5,1)*IF($E$3FALSE,1,(OFFSET(INDIRECT($C$3&amp;"!$B$1"),1,0,$C$5,1)&gt;$E$4)*(OFFSET(INDIRECT($C$3&amp;"!$B$1"),1,0,$C$5,1)&lt;$E$5))))</t>
  </si>
  <si>
    <t>$S$26</t>
  </si>
  <si>
    <t>R26C19</t>
  </si>
  <si>
    <t>IF($C$2FALSE,"-",IF(Q26+R260,0,T26/(Q26+R26)))</t>
  </si>
  <si>
    <t>$T$26</t>
  </si>
  <si>
    <t>R26C20</t>
  </si>
  <si>
    <t>IF($C$2FALSE,"-",SUM((OFFSET(INDIRECT($C$3&amp;"!$H$1"),1,0,$C$5,1)O26)*(OFFSET(INDIRECT($C$3&amp;"!$C$1"),1,0,$C$5,1)+OFFSET(INDIRECT($C$3&amp;"!$D$1"),1,0,$C$5,1))*OFFSET(INDIRECT($C$3&amp;"!$E$1"),1,0,$C$5,1)*IF($E$3FALSE,1,(OFFSET(INDIRECT($C$3&amp;"!$B$1"),1,0,$C$5,1)&gt;$E$4)*(OFFSET(INDIRECT($C$3&amp;"!$B$1"),1,0,$C$5,1)&lt;$E$5))))</t>
  </si>
  <si>
    <t>$U$26</t>
  </si>
  <si>
    <t>R26C21</t>
  </si>
  <si>
    <t>IF($C$2FALSE,"-",IF(Q26+R260,0,V26/(Q26+R26)))</t>
  </si>
  <si>
    <t>$V$26</t>
  </si>
  <si>
    <t>R26C22</t>
  </si>
  <si>
    <t>IF($C$2FALSE,"-",SUM((OFFSET(INDIRECT($C$3&amp;"!$H$1"),1,0,$C$5,1)O26)*(OFFSET(INDIRECT($C$3&amp;"!$C$1"),1,0,$C$5,1)+OFFSET(INDIRECT($C$3&amp;"!$D$1"),1,0,$C$5,1))*OFFSET(INDIRECT($C$3&amp;"!$E$1"),1,0,$C$5,1)*OFFSET(INDIRECT($C$3&amp;"!$F$1"),1,0,$C$5,1)*IF($E$3FALSE,1,(OFFSET(INDIRECT($C$3&amp;"!$B$1"),1,0,$C$5,1)&gt;$E$4)*(OFFSET(INDIRECT($C$3&amp;"!$B$1"),1,0,$C$5,1)&lt;$E$5))))</t>
  </si>
  <si>
    <t>$W$26</t>
  </si>
  <si>
    <t>R26C23</t>
  </si>
  <si>
    <t>IF($C$2FALSE,"-",V26-T26)</t>
  </si>
  <si>
    <t>$X$26</t>
  </si>
  <si>
    <t>R26C24</t>
  </si>
  <si>
    <t>IF($C$2FALSE,"-",IF(Q26+R260,0,W26/(Q26+R26)))</t>
  </si>
  <si>
    <t>$Y$26</t>
  </si>
  <si>
    <t>R26C25</t>
  </si>
  <si>
    <t>IF($C$2FALSE,"-",(U26-S26)-X26)</t>
  </si>
  <si>
    <t>$C$27</t>
  </si>
  <si>
    <t>R27C3</t>
  </si>
  <si>
    <t>IF($C$2FALSE,"-",SUM((OFFSET(INDIRECT($C$3&amp;"!$A$1"),1,0,$C$5,1)B27)*IF($E$3FALSE,1,(OFFSET(INDIRECT($C$3&amp;"!$B$1"),1,0,$C$5,1)&gt;$E$4)*(OFFSET(INDIRECT($C$3&amp;"!$B$1"),1,0,$C$5,1)&lt;$E$5))))</t>
  </si>
  <si>
    <t>$D$27</t>
  </si>
  <si>
    <t>R27C4</t>
  </si>
  <si>
    <t>IF($C$2FALSE,"-",SUM((OFFSET(INDIRECT($C$3&amp;"!$A$1"),1,0,$C$5,1)B27)*OFFSET(INDIRECT($C$3&amp;"!$C$1"),1,0,$C$5,1)*IF($E$3FALSE,1,(OFFSET(INDIRECT($C$3&amp;"!$B$1"),1,0,$C$5,1)&gt;$E$4)*(OFFSET(INDIRECT($C$3&amp;"!$B$1"),1,0,$C$5,1)&lt;$E$5))))</t>
  </si>
  <si>
    <t>$E$27</t>
  </si>
  <si>
    <t>R27C5</t>
  </si>
  <si>
    <t>IF($C$2FALSE,"-",SUM((OFFSET(INDIRECT($C$3&amp;"!$A$1"),1,0,$C$5,1)B27)*OFFSET(INDIRECT($C$3&amp;"!$D$1"),1,0,$C$5,1)*IF($E$3FALSE,1,(OFFSET(INDIRECT($C$3&amp;"!$B$1"),1,0,$C$5,1)&gt;$E$4)*(OFFSET(INDIRECT($C$3&amp;"!$B$1"),1,0,$C$5,1)&lt;$E$5))))</t>
  </si>
  <si>
    <t>$F$27</t>
  </si>
  <si>
    <t>R27C6</t>
  </si>
  <si>
    <t>IF($C$2FALSE,"-",IF(D27+E270,0,G27/(D27+E27)))</t>
  </si>
  <si>
    <t>$G$27</t>
  </si>
  <si>
    <t>R27C7</t>
  </si>
  <si>
    <t>IF($C$2FALSE,"-",SUM((OFFSET(INDIRECT($C$3&amp;"!$A$1"),1,0,$C$5,1)B27)*(OFFSET(INDIRECT($C$3&amp;"!$C$1"),1,0,$C$5,1)+OFFSET(INDIRECT($C$3&amp;"!$D$1"),1,0,$C$5,1))*OFFSET(INDIRECT($C$3&amp;"!$E$1"),1,0,$C$5,1)*IF($E$3FALSE,1,(OFFSET(INDIRECT($C$3&amp;"!$B$1"),1,0,$C$5,1)&gt;$E$4)*(OFFSET(INDIRECT($C$3&amp;"!$B$1"),1,0,$C$5,1)&lt;$E$5))))</t>
  </si>
  <si>
    <t>$H$27</t>
  </si>
  <si>
    <t>R27C8</t>
  </si>
  <si>
    <t>IF($C$2FALSE,"-",IF(D27+E270,0,I27/(D27+E27)))</t>
  </si>
  <si>
    <t>$I$27</t>
  </si>
  <si>
    <t>R27C9</t>
  </si>
  <si>
    <t>IF($C$2FALSE,"-",SUM((OFFSET(INDIRECT($C$3&amp;"!$A$1"),1,0,$C$5,1)B27)*(OFFSET(INDIRECT($C$3&amp;"!$C$1"),1,0,$C$5,1)+OFFSET(INDIRECT($C$3&amp;"!$D$1"),1,0,$C$5,1))*OFFSET(INDIRECT($C$3&amp;"!$E$1"),1,0,$C$5,1)*OFFSET(INDIRECT($C$3&amp;"!$F$1"),1,0,$C$5,1)*IF($E$3FALSE,1,(OFFSET(INDIRECT($C$3&amp;"!$B$1"),1,0,$C$5,1)&gt;$E$4)*(OFFSET(INDIRECT($C$3&amp;"!$B$1"),1,0,$C$5,1)&lt;$E$5))))</t>
  </si>
  <si>
    <t>$J$27</t>
  </si>
  <si>
    <t>R27C10</t>
  </si>
  <si>
    <t>IF($C$2FALSE,"-",I27-G27)</t>
  </si>
  <si>
    <t>$K$27</t>
  </si>
  <si>
    <t>R27C11</t>
  </si>
  <si>
    <t>IF($C$2FALSE,"-",IF(D27+E270,0,J27/(D27+E27)))</t>
  </si>
  <si>
    <t>$L$27</t>
  </si>
  <si>
    <t>R27C12</t>
  </si>
  <si>
    <t>IF($C$2FALSE,"-",(H27-F27)-K27)</t>
  </si>
  <si>
    <t>$P$27</t>
  </si>
  <si>
    <t>R27C16</t>
  </si>
  <si>
    <t>IF($C$2FALSE,"-",SUM((OFFSET(INDIRECT($C$3&amp;"!$H$1"),1,0,$C$5,1)O27)*IF($E$3FALSE,1,(OFFSET(INDIRECT($C$3&amp;"!$B$1"),1,0,$C$5,1)&gt;$E$4)*(OFFSET(INDIRECT($C$3&amp;"!$B$1"),1,0,$C$5,1)&lt;$E$5))))</t>
  </si>
  <si>
    <t>$Q$27</t>
  </si>
  <si>
    <t>R27C17</t>
  </si>
  <si>
    <t>IF($C$2FALSE,"-",SUM((OFFSET(INDIRECT($C$3&amp;"!$H$1"),1,0,$C$5,1)O27)*OFFSET(INDIRECT($C$3&amp;"!$C$1"),1,0,$C$5,1)*IF($E$3FALSE,1,(OFFSET(INDIRECT($C$3&amp;"!$B$1"),1,0,$C$5,1)&gt;$E$4)*(OFFSET(INDIRECT($C$3&amp;"!$B$1"),1,0,$C$5,1)&lt;$E$5))))</t>
  </si>
  <si>
    <t>$R$27</t>
  </si>
  <si>
    <t>R27C18</t>
  </si>
  <si>
    <t>IF($C$2FALSE,"-",SUM((OFFSET(INDIRECT($C$3&amp;"!$H$1"),1,0,$C$5,1)O27)*OFFSET(INDIRECT($C$3&amp;"!$D$1"),1,0,$C$5,1)*IF($E$3FALSE,1,(OFFSET(INDIRECT($C$3&amp;"!$B$1"),1,0,$C$5,1)&gt;$E$4)*(OFFSET(INDIRECT($C$3&amp;"!$B$1"),1,0,$C$5,1)&lt;$E$5))))</t>
  </si>
  <si>
    <t>$S$27</t>
  </si>
  <si>
    <t>R27C19</t>
  </si>
  <si>
    <t>IF($C$2FALSE,"-",IF(Q27+R270,0,T27/(Q27+R27)))</t>
  </si>
  <si>
    <t>$T$27</t>
  </si>
  <si>
    <t>R27C20</t>
  </si>
  <si>
    <t>IF($C$2FALSE,"-",SUM((OFFSET(INDIRECT($C$3&amp;"!$H$1"),1,0,$C$5,1)O27)*(OFFSET(INDIRECT($C$3&amp;"!$C$1"),1,0,$C$5,1)+OFFSET(INDIRECT($C$3&amp;"!$D$1"),1,0,$C$5,1))*OFFSET(INDIRECT($C$3&amp;"!$E$1"),1,0,$C$5,1)*IF($E$3FALSE,1,(OFFSET(INDIRECT($C$3&amp;"!$B$1"),1,0,$C$5,1)&gt;$E$4)*(OFFSET(INDIRECT($C$3&amp;"!$B$1"),1,0,$C$5,1)&lt;$E$5))))</t>
  </si>
  <si>
    <t>$U$27</t>
  </si>
  <si>
    <t>R27C21</t>
  </si>
  <si>
    <t>IF($C$2FALSE,"-",IF(Q27+R270,0,V27/(Q27+R27)))</t>
  </si>
  <si>
    <t>$V$27</t>
  </si>
  <si>
    <t>R27C22</t>
  </si>
  <si>
    <t>IF($C$2FALSE,"-",SUM((OFFSET(INDIRECT($C$3&amp;"!$H$1"),1,0,$C$5,1)O27)*(OFFSET(INDIRECT($C$3&amp;"!$C$1"),1,0,$C$5,1)+OFFSET(INDIRECT($C$3&amp;"!$D$1"),1,0,$C$5,1))*OFFSET(INDIRECT($C$3&amp;"!$E$1"),1,0,$C$5,1)*OFFSET(INDIRECT($C$3&amp;"!$F$1"),1,0,$C$5,1)*IF($E$3FALSE,1,(OFFSET(INDIRECT($C$3&amp;"!$B$1"),1,0,$C$5,1)&gt;$E$4)*(OFFSET(INDIRECT($C$3&amp;"!$B$1"),1,0,$C$5,1)&lt;$E$5))))</t>
  </si>
  <si>
    <t>$W$27</t>
  </si>
  <si>
    <t>R27C23</t>
  </si>
  <si>
    <t>IF($C$2FALSE,"-",V27-T27)</t>
  </si>
  <si>
    <t>$X$27</t>
  </si>
  <si>
    <t>R27C24</t>
  </si>
  <si>
    <t>IF($C$2FALSE,"-",IF(Q27+R270,0,W27/(Q27+R27)))</t>
  </si>
  <si>
    <t>$Y$27</t>
  </si>
  <si>
    <t>R27C25</t>
  </si>
  <si>
    <t>IF($C$2FALSE,"-",(U27-S27)-X27)</t>
  </si>
  <si>
    <t>$C$28</t>
  </si>
  <si>
    <t>R28C3</t>
  </si>
  <si>
    <t>IF($C$2FALSE,"-",SUM((OFFSET(INDIRECT($C$3&amp;"!$A$1"),1,0,$C$5,1)B28)*IF($E$3FALSE,1,(OFFSET(INDIRECT($C$3&amp;"!$B$1"),1,0,$C$5,1)&gt;$E$4)*(OFFSET(INDIRECT($C$3&amp;"!$B$1"),1,0,$C$5,1)&lt;$E$5))))</t>
  </si>
  <si>
    <t>$D$28</t>
  </si>
  <si>
    <t>R28C4</t>
  </si>
  <si>
    <t>IF($C$2FALSE,"-",SUM((OFFSET(INDIRECT($C$3&amp;"!$A$1"),1,0,$C$5,1)B28)*OFFSET(INDIRECT($C$3&amp;"!$C$1"),1,0,$C$5,1)*IF($E$3FALSE,1,(OFFSET(INDIRECT($C$3&amp;"!$B$1"),1,0,$C$5,1)&gt;$E$4)*(OFFSET(INDIRECT($C$3&amp;"!$B$1"),1,0,$C$5,1)&lt;$E$5))))</t>
  </si>
  <si>
    <t>$E$28</t>
  </si>
  <si>
    <t>R28C5</t>
  </si>
  <si>
    <t>IF($C$2FALSE,"-",SUM((OFFSET(INDIRECT($C$3&amp;"!$A$1"),1,0,$C$5,1)B28)*OFFSET(INDIRECT($C$3&amp;"!$D$1"),1,0,$C$5,1)*IF($E$3FALSE,1,(OFFSET(INDIRECT($C$3&amp;"!$B$1"),1,0,$C$5,1)&gt;$E$4)*(OFFSET(INDIRECT($C$3&amp;"!$B$1"),1,0,$C$5,1)&lt;$E$5))))</t>
  </si>
  <si>
    <t>$F$28</t>
  </si>
  <si>
    <t>R28C6</t>
  </si>
  <si>
    <t>IF($C$2FALSE,"-",IF(D28+E280,0,G28/(D28+E28)))</t>
  </si>
  <si>
    <t>$G$28</t>
  </si>
  <si>
    <t>R28C7</t>
  </si>
  <si>
    <t>IF($C$2FALSE,"-",SUM((OFFSET(INDIRECT($C$3&amp;"!$A$1"),1,0,$C$5,1)B28)*(OFFSET(INDIRECT($C$3&amp;"!$C$1"),1,0,$C$5,1)+OFFSET(INDIRECT($C$3&amp;"!$D$1"),1,0,$C$5,1))*OFFSET(INDIRECT($C$3&amp;"!$E$1"),1,0,$C$5,1)*IF($E$3FALSE,1,(OFFSET(INDIRECT($C$3&amp;"!$B$1"),1,0,$C$5,1)&gt;$E$4)*(OFFSET(INDIRECT($C$3&amp;"!$B$1"),1,0,$C$5,1)&lt;$E$5))))</t>
  </si>
  <si>
    <t>$H$28</t>
  </si>
  <si>
    <t>R28C8</t>
  </si>
  <si>
    <t>IF($C$2FALSE,"-",IF(D28+E280,0,I28/(D28+E28)))</t>
  </si>
  <si>
    <t>$I$28</t>
  </si>
  <si>
    <t>R28C9</t>
  </si>
  <si>
    <t>IF($C$2FALSE,"-",SUM((OFFSET(INDIRECT($C$3&amp;"!$A$1"),1,0,$C$5,1)B28)*(OFFSET(INDIRECT($C$3&amp;"!$C$1"),1,0,$C$5,1)+OFFSET(INDIRECT($C$3&amp;"!$D$1"),1,0,$C$5,1))*OFFSET(INDIRECT($C$3&amp;"!$E$1"),1,0,$C$5,1)*OFFSET(INDIRECT($C$3&amp;"!$F$1"),1,0,$C$5,1)*IF($E$3FALSE,1,(OFFSET(INDIRECT($C$3&amp;"!$B$1"),1,0,$C$5,1)&gt;$E$4)*(OFFSET(INDIRECT($C$3&amp;"!$B$1"),1,0,$C$5,1)&lt;$E$5))))</t>
  </si>
  <si>
    <t>$J$28</t>
  </si>
  <si>
    <t>R28C10</t>
  </si>
  <si>
    <t>IF($C$2FALSE,"-",I28-G28)</t>
  </si>
  <si>
    <t>$K$28</t>
  </si>
  <si>
    <t>R28C11</t>
  </si>
  <si>
    <t>IF($C$2FALSE,"-",IF(D28+E280,0,J28/(D28+E28)))</t>
  </si>
  <si>
    <t>$L$28</t>
  </si>
  <si>
    <t>R28C12</t>
  </si>
  <si>
    <t>IF($C$2FALSE,"-",(H28-F28)-K28)</t>
  </si>
  <si>
    <t>$C$29</t>
  </si>
  <si>
    <t>R29C3</t>
  </si>
  <si>
    <t>IF($C$2FALSE,"-",SUM((OFFSET(INDIRECT($C$3&amp;"!$A$1"),1,0,$C$5,1)B29)*IF($E$3FALSE,1,(OFFSET(INDIRECT($C$3&amp;"!$B$1"),1,0,$C$5,1)&gt;$E$4)*(OFFSET(INDIRECT($C$3&amp;"!$B$1"),1,0,$C$5,1)&lt;$E$5))))</t>
  </si>
  <si>
    <t>$D$29</t>
  </si>
  <si>
    <t>R29C4</t>
  </si>
  <si>
    <t>IF($C$2FALSE,"-",SUM((OFFSET(INDIRECT($C$3&amp;"!$A$1"),1,0,$C$5,1)B29)*OFFSET(INDIRECT($C$3&amp;"!$C$1"),1,0,$C$5,1)*IF($E$3FALSE,1,(OFFSET(INDIRECT($C$3&amp;"!$B$1"),1,0,$C$5,1)&gt;$E$4)*(OFFSET(INDIRECT($C$3&amp;"!$B$1"),1,0,$C$5,1)&lt;$E$5))))</t>
  </si>
  <si>
    <t>$E$29</t>
  </si>
  <si>
    <t>R29C5</t>
  </si>
  <si>
    <t>IF($C$2FALSE,"-",SUM((OFFSET(INDIRECT($C$3&amp;"!$A$1"),1,0,$C$5,1)B29)*OFFSET(INDIRECT($C$3&amp;"!$D$1"),1,0,$C$5,1)*IF($E$3FALSE,1,(OFFSET(INDIRECT($C$3&amp;"!$B$1"),1,0,$C$5,1)&gt;$E$4)*(OFFSET(INDIRECT($C$3&amp;"!$B$1"),1,0,$C$5,1)&lt;$E$5))))</t>
  </si>
  <si>
    <t>$F$29</t>
  </si>
  <si>
    <t>R29C6</t>
  </si>
  <si>
    <t>IF($C$2FALSE,"-",IF(D29+E290,0,G29/(D29+E29)))</t>
  </si>
  <si>
    <t>$G$29</t>
  </si>
  <si>
    <t>R29C7</t>
  </si>
  <si>
    <t>IF($C$2FALSE,"-",SUM((OFFSET(INDIRECT($C$3&amp;"!$A$1"),1,0,$C$5,1)B29)*(OFFSET(INDIRECT($C$3&amp;"!$C$1"),1,0,$C$5,1)+OFFSET(INDIRECT($C$3&amp;"!$D$1"),1,0,$C$5,1))*OFFSET(INDIRECT($C$3&amp;"!$E$1"),1,0,$C$5,1)*IF($E$3FALSE,1,(OFFSET(INDIRECT($C$3&amp;"!$B$1"),1,0,$C$5,1)&gt;$E$4)*(OFFSET(INDIRECT($C$3&amp;"!$B$1"),1,0,$C$5,1)&lt;$E$5))))</t>
  </si>
  <si>
    <t>$H$29</t>
  </si>
  <si>
    <t>R29C8</t>
  </si>
  <si>
    <t>IF($C$2FALSE,"-",IF(D29+E290,0,I29/(D29+E29)))</t>
  </si>
  <si>
    <t>$I$29</t>
  </si>
  <si>
    <t>R29C9</t>
  </si>
  <si>
    <t>IF($C$2FALSE,"-",SUM((OFFSET(INDIRECT($C$3&amp;"!$A$1"),1,0,$C$5,1)B29)*(OFFSET(INDIRECT($C$3&amp;"!$C$1"),1,0,$C$5,1)+OFFSET(INDIRECT($C$3&amp;"!$D$1"),1,0,$C$5,1))*OFFSET(INDIRECT($C$3&amp;"!$E$1"),1,0,$C$5,1)*OFFSET(INDIRECT($C$3&amp;"!$F$1"),1,0,$C$5,1)*IF($E$3FALSE,1,(OFFSET(INDIRECT($C$3&amp;"!$B$1"),1,0,$C$5,1)&gt;$E$4)*(OFFSET(INDIRECT($C$3&amp;"!$B$1"),1,0,$C$5,1)&lt;$E$5))))</t>
  </si>
  <si>
    <t>$J$29</t>
  </si>
  <si>
    <t>R29C10</t>
  </si>
  <si>
    <t>IF($C$2FALSE,"-",I29-G29)</t>
  </si>
  <si>
    <t>$K$29</t>
  </si>
  <si>
    <t>R29C11</t>
  </si>
  <si>
    <t>IF($C$2FALSE,"-",IF(D29+E290,0,J29/(D29+E29)))</t>
  </si>
  <si>
    <t>$L$29</t>
  </si>
  <si>
    <t>R29C12</t>
  </si>
  <si>
    <t>IF($C$2FALSE,"-",(H29-F29)-K29)</t>
  </si>
  <si>
    <t>$C$30</t>
  </si>
  <si>
    <t>R30C3</t>
  </si>
  <si>
    <t>IF($C$2FALSE,"-",SUM((OFFSET(INDIRECT($C$3&amp;"!$A$1"),1,0,$C$5,1)B30)*IF($E$3FALSE,1,(OFFSET(INDIRECT($C$3&amp;"!$B$1"),1,0,$C$5,1)&gt;$E$4)*(OFFSET(INDIRECT($C$3&amp;"!$B$1"),1,0,$C$5,1)&lt;$E$5))))</t>
  </si>
  <si>
    <t>$D$30</t>
  </si>
  <si>
    <t>R30C4</t>
  </si>
  <si>
    <t>IF($C$2FALSE,"-",SUM((OFFSET(INDIRECT($C$3&amp;"!$A$1"),1,0,$C$5,1)B30)*OFFSET(INDIRECT($C$3&amp;"!$C$1"),1,0,$C$5,1)*IF($E$3FALSE,1,(OFFSET(INDIRECT($C$3&amp;"!$B$1"),1,0,$C$5,1)&gt;$E$4)*(OFFSET(INDIRECT($C$3&amp;"!$B$1"),1,0,$C$5,1)&lt;$E$5))))</t>
  </si>
  <si>
    <t>$E$30</t>
  </si>
  <si>
    <t>R30C5</t>
  </si>
  <si>
    <t>IF($C$2FALSE,"-",SUM((OFFSET(INDIRECT($C$3&amp;"!$A$1"),1,0,$C$5,1)B30)*OFFSET(INDIRECT($C$3&amp;"!$D$1"),1,0,$C$5,1)*IF($E$3FALSE,1,(OFFSET(INDIRECT($C$3&amp;"!$B$1"),1,0,$C$5,1)&gt;$E$4)*(OFFSET(INDIRECT($C$3&amp;"!$B$1"),1,0,$C$5,1)&lt;$E$5))))</t>
  </si>
  <si>
    <t>$F$30</t>
  </si>
  <si>
    <t>R30C6</t>
  </si>
  <si>
    <t>IF($C$2FALSE,"-",IF(D30+E300,0,G30/(D30+E30)))</t>
  </si>
  <si>
    <t>$G$30</t>
  </si>
  <si>
    <t>R30C7</t>
  </si>
  <si>
    <t>IF($C$2FALSE,"-",SUM((OFFSET(INDIRECT($C$3&amp;"!$A$1"),1,0,$C$5,1)B30)*(OFFSET(INDIRECT($C$3&amp;"!$C$1"),1,0,$C$5,1)+OFFSET(INDIRECT($C$3&amp;"!$D$1"),1,0,$C$5,1))*OFFSET(INDIRECT($C$3&amp;"!$E$1"),1,0,$C$5,1)*IF($E$3FALSE,1,(OFFSET(INDIRECT($C$3&amp;"!$B$1"),1,0,$C$5,1)&gt;$E$4)*(OFFSET(INDIRECT($C$3&amp;"!$B$1"),1,0,$C$5,1)&lt;$E$5))))</t>
  </si>
  <si>
    <t>$H$30</t>
  </si>
  <si>
    <t>R30C8</t>
  </si>
  <si>
    <t>IF($C$2FALSE,"-",IF(D30+E300,0,I30/(D30+E30)))</t>
  </si>
  <si>
    <t>$I$30</t>
  </si>
  <si>
    <t>R30C9</t>
  </si>
  <si>
    <t>IF($C$2FALSE,"-",SUM((OFFSET(INDIRECT($C$3&amp;"!$A$1"),1,0,$C$5,1)B30)*(OFFSET(INDIRECT($C$3&amp;"!$C$1"),1,0,$C$5,1)+OFFSET(INDIRECT($C$3&amp;"!$D$1"),1,0,$C$5,1))*OFFSET(INDIRECT($C$3&amp;"!$E$1"),1,0,$C$5,1)*OFFSET(INDIRECT($C$3&amp;"!$F$1"),1,0,$C$5,1)*IF($E$3FALSE,1,(OFFSET(INDIRECT($C$3&amp;"!$B$1"),1,0,$C$5,1)&gt;$E$4)*(OFFSET(INDIRECT($C$3&amp;"!$B$1"),1,0,$C$5,1)&lt;$E$5))))</t>
  </si>
  <si>
    <t>$J$30</t>
  </si>
  <si>
    <t>R30C10</t>
  </si>
  <si>
    <t>IF($C$2FALSE,"-",I30-G30)</t>
  </si>
  <si>
    <t>$K$30</t>
  </si>
  <si>
    <t>R30C11</t>
  </si>
  <si>
    <t>IF($C$2FALSE,"-",IF(D30+E300,0,J30/(D30+E30)))</t>
  </si>
  <si>
    <t>$L$30</t>
  </si>
  <si>
    <t>R30C12</t>
  </si>
  <si>
    <t>IF($C$2FALSE,"-",(H30-F30)-K30)</t>
  </si>
  <si>
    <t>$C$31</t>
  </si>
  <si>
    <t>R31C3</t>
  </si>
  <si>
    <t>IF($C$2FALSE,"-",SUM((OFFSET(INDIRECT($C$3&amp;"!$A$1"),1,0,$C$5,1)B31)*IF($E$3FALSE,1,(OFFSET(INDIRECT($C$3&amp;"!$B$1"),1,0,$C$5,1)&gt;$E$4)*(OFFSET(INDIRECT($C$3&amp;"!$B$1"),1,0,$C$5,1)&lt;$E$5))))</t>
  </si>
  <si>
    <t>$D$31</t>
  </si>
  <si>
    <t>R31C4</t>
  </si>
  <si>
    <t>IF($C$2FALSE,"-",SUM((OFFSET(INDIRECT($C$3&amp;"!$A$1"),1,0,$C$5,1)B31)*OFFSET(INDIRECT($C$3&amp;"!$C$1"),1,0,$C$5,1)*IF($E$3FALSE,1,(OFFSET(INDIRECT($C$3&amp;"!$B$1"),1,0,$C$5,1)&gt;$E$4)*(OFFSET(INDIRECT($C$3&amp;"!$B$1"),1,0,$C$5,1)&lt;$E$5))))</t>
  </si>
  <si>
    <t>$E$31</t>
  </si>
  <si>
    <t>R31C5</t>
  </si>
  <si>
    <t>IF($C$2FALSE,"-",SUM((OFFSET(INDIRECT($C$3&amp;"!$A$1"),1,0,$C$5,1)B31)*OFFSET(INDIRECT($C$3&amp;"!$D$1"),1,0,$C$5,1)*IF($E$3FALSE,1,(OFFSET(INDIRECT($C$3&amp;"!$B$1"),1,0,$C$5,1)&gt;$E$4)*(OFFSET(INDIRECT($C$3&amp;"!$B$1"),1,0,$C$5,1)&lt;$E$5))))</t>
  </si>
  <si>
    <t>$F$31</t>
  </si>
  <si>
    <t>R31C6</t>
  </si>
  <si>
    <t>IF($C$2FALSE,"-",IF(D31+E310,0,G31/(D31+E31)))</t>
  </si>
  <si>
    <t>$G$31</t>
  </si>
  <si>
    <t>R31C7</t>
  </si>
  <si>
    <t>IF($C$2FALSE,"-",SUM((OFFSET(INDIRECT($C$3&amp;"!$A$1"),1,0,$C$5,1)B31)*(OFFSET(INDIRECT($C$3&amp;"!$C$1"),1,0,$C$5,1)+OFFSET(INDIRECT($C$3&amp;"!$D$1"),1,0,$C$5,1))*OFFSET(INDIRECT($C$3&amp;"!$E$1"),1,0,$C$5,1)*IF($E$3FALSE,1,(OFFSET(INDIRECT($C$3&amp;"!$B$1"),1,0,$C$5,1)&gt;$E$4)*(OFFSET(INDIRECT($C$3&amp;"!$B$1"),1,0,$C$5,1)&lt;$E$5))))</t>
  </si>
  <si>
    <t>$H$31</t>
  </si>
  <si>
    <t>R31C8</t>
  </si>
  <si>
    <t>IF($C$2FALSE,"-",IF(D31+E310,0,I31/(D31+E31)))</t>
  </si>
  <si>
    <t>$I$31</t>
  </si>
  <si>
    <t>R31C9</t>
  </si>
  <si>
    <t>IF($C$2FALSE,"-",SUM((OFFSET(INDIRECT($C$3&amp;"!$A$1"),1,0,$C$5,1)B31)*(OFFSET(INDIRECT($C$3&amp;"!$C$1"),1,0,$C$5,1)+OFFSET(INDIRECT($C$3&amp;"!$D$1"),1,0,$C$5,1))*OFFSET(INDIRECT($C$3&amp;"!$E$1"),1,0,$C$5,1)*OFFSET(INDIRECT($C$3&amp;"!$F$1"),1,0,$C$5,1)*IF($E$3FALSE,1,(OFFSET(INDIRECT($C$3&amp;"!$B$1"),1,0,$C$5,1)&gt;$E$4)*(OFFSET(INDIRECT($C$3&amp;"!$B$1"),1,0,$C$5,1)&lt;$E$5))))</t>
  </si>
  <si>
    <t>$J$31</t>
  </si>
  <si>
    <t>R31C10</t>
  </si>
  <si>
    <t>IF($C$2FALSE,"-",I31-G31)</t>
  </si>
  <si>
    <t>$K$31</t>
  </si>
  <si>
    <t>R31C11</t>
  </si>
  <si>
    <t>IF($C$2FALSE,"-",IF(D31+E310,0,J31/(D31+E31)))</t>
  </si>
  <si>
    <t>$L$31</t>
  </si>
  <si>
    <t>R31C12</t>
  </si>
  <si>
    <t>IF($C$2FALSE,"-",(H31-F31)-K31)</t>
  </si>
  <si>
    <t>$C$32</t>
  </si>
  <si>
    <t>R32C3</t>
  </si>
  <si>
    <t>IF($C$2FALSE,"-",SUM((OFFSET(INDIRECT($C$3&amp;"!$A$1"),1,0,$C$5,1)B32)*IF($E$3FALSE,1,(OFFSET(INDIRECT($C$3&amp;"!$B$1"),1,0,$C$5,1)&gt;$E$4)*(OFFSET(INDIRECT($C$3&amp;"!$B$1"),1,0,$C$5,1)&lt;$E$5))))</t>
  </si>
  <si>
    <t>$D$32</t>
  </si>
  <si>
    <t>R32C4</t>
  </si>
  <si>
    <t>IF($C$2FALSE,"-",SUM((OFFSET(INDIRECT($C$3&amp;"!$A$1"),1,0,$C$5,1)B32)*OFFSET(INDIRECT($C$3&amp;"!$C$1"),1,0,$C$5,1)*IF($E$3FALSE,1,(OFFSET(INDIRECT($C$3&amp;"!$B$1"),1,0,$C$5,1)&gt;$E$4)*(OFFSET(INDIRECT($C$3&amp;"!$B$1"),1,0,$C$5,1)&lt;$E$5))))</t>
  </si>
  <si>
    <t>$E$32</t>
  </si>
  <si>
    <t>R32C5</t>
  </si>
  <si>
    <t>IF($C$2FALSE,"-",SUM((OFFSET(INDIRECT($C$3&amp;"!$A$1"),1,0,$C$5,1)B32)*OFFSET(INDIRECT($C$3&amp;"!$D$1"),1,0,$C$5,1)*IF($E$3FALSE,1,(OFFSET(INDIRECT($C$3&amp;"!$B$1"),1,0,$C$5,1)&gt;$E$4)*(OFFSET(INDIRECT($C$3&amp;"!$B$1"),1,0,$C$5,1)&lt;$E$5))))</t>
  </si>
  <si>
    <t>$F$32</t>
  </si>
  <si>
    <t>R32C6</t>
  </si>
  <si>
    <t>IF($C$2FALSE,"-",IF(D32+E320,0,G32/(D32+E32)))</t>
  </si>
  <si>
    <t>$G$32</t>
  </si>
  <si>
    <t>R32C7</t>
  </si>
  <si>
    <t>IF($C$2FALSE,"-",SUM((OFFSET(INDIRECT($C$3&amp;"!$A$1"),1,0,$C$5,1)B32)*(OFFSET(INDIRECT($C$3&amp;"!$C$1"),1,0,$C$5,1)+OFFSET(INDIRECT($C$3&amp;"!$D$1"),1,0,$C$5,1))*OFFSET(INDIRECT($C$3&amp;"!$E$1"),1,0,$C$5,1)*IF($E$3FALSE,1,(OFFSET(INDIRECT($C$3&amp;"!$B$1"),1,0,$C$5,1)&gt;$E$4)*(OFFSET(INDIRECT($C$3&amp;"!$B$1"),1,0,$C$5,1)&lt;$E$5))))</t>
  </si>
  <si>
    <t>$H$32</t>
  </si>
  <si>
    <t>R32C8</t>
  </si>
  <si>
    <t>IF($C$2FALSE,"-",IF(D32+E320,0,I32/(D32+E32)))</t>
  </si>
  <si>
    <t>$I$32</t>
  </si>
  <si>
    <t>R32C9</t>
  </si>
  <si>
    <t>IF($C$2FALSE,"-",SUM((OFFSET(INDIRECT($C$3&amp;"!$A$1"),1,0,$C$5,1)B32)*(OFFSET(INDIRECT($C$3&amp;"!$C$1"),1,0,$C$5,1)+OFFSET(INDIRECT($C$3&amp;"!$D$1"),1,0,$C$5,1))*OFFSET(INDIRECT($C$3&amp;"!$E$1"),1,0,$C$5,1)*OFFSET(INDIRECT($C$3&amp;"!$F$1"),1,0,$C$5,1)*IF($E$3FALSE,1,(OFFSET(INDIRECT($C$3&amp;"!$B$1"),1,0,$C$5,1)&gt;$E$4)*(OFFSET(INDIRECT($C$3&amp;"!$B$1"),1,0,$C$5,1)&lt;$E$5))))</t>
  </si>
  <si>
    <t>$J$32</t>
  </si>
  <si>
    <t>R32C10</t>
  </si>
  <si>
    <t>IF($C$2FALSE,"-",I32-G32)</t>
  </si>
  <si>
    <t>$K$32</t>
  </si>
  <si>
    <t>R32C11</t>
  </si>
  <si>
    <t>IF($C$2FALSE,"-",IF(D32+E320,0,J32/(D32+E32)))</t>
  </si>
  <si>
    <t>$L$32</t>
  </si>
  <si>
    <t>R32C12</t>
  </si>
  <si>
    <t>IF($C$2FALSE,"-",(H32-F32)-K32)</t>
  </si>
  <si>
    <t>$C$33</t>
  </si>
  <si>
    <t>R33C3</t>
  </si>
  <si>
    <t>IF($C$2FALSE,"-",SUM((OFFSET(INDIRECT($C$3&amp;"!$A$1"),1,0,$C$5,1)B33)*IF($E$3FALSE,1,(OFFSET(INDIRECT($C$3&amp;"!$B$1"),1,0,$C$5,1)&gt;$E$4)*(OFFSET(INDIRECT($C$3&amp;"!$B$1"),1,0,$C$5,1)&lt;$E$5))))</t>
  </si>
  <si>
    <t>$D$33</t>
  </si>
  <si>
    <t>R33C4</t>
  </si>
  <si>
    <t>IF($C$2FALSE,"-",SUM((OFFSET(INDIRECT($C$3&amp;"!$A$1"),1,0,$C$5,1)B33)*OFFSET(INDIRECT($C$3&amp;"!$C$1"),1,0,$C$5,1)*IF($E$3FALSE,1,(OFFSET(INDIRECT($C$3&amp;"!$B$1"),1,0,$C$5,1)&gt;$E$4)*(OFFSET(INDIRECT($C$3&amp;"!$B$1"),1,0,$C$5,1)&lt;$E$5))))</t>
  </si>
  <si>
    <t>$E$33</t>
  </si>
  <si>
    <t>R33C5</t>
  </si>
  <si>
    <t>IF($C$2FALSE,"-",SUM((OFFSET(INDIRECT($C$3&amp;"!$A$1"),1,0,$C$5,1)B33)*OFFSET(INDIRECT($C$3&amp;"!$D$1"),1,0,$C$5,1)*IF($E$3FALSE,1,(OFFSET(INDIRECT($C$3&amp;"!$B$1"),1,0,$C$5,1)&gt;$E$4)*(OFFSET(INDIRECT($C$3&amp;"!$B$1"),1,0,$C$5,1)&lt;$E$5))))</t>
  </si>
  <si>
    <t>$F$33</t>
  </si>
  <si>
    <t>R33C6</t>
  </si>
  <si>
    <t>IF($C$2FALSE,"-",IF(D33+E330,0,G33/(D33+E33)))</t>
  </si>
  <si>
    <t>$G$33</t>
  </si>
  <si>
    <t>R33C7</t>
  </si>
  <si>
    <t>IF($C$2FALSE,"-",SUM((OFFSET(INDIRECT($C$3&amp;"!$A$1"),1,0,$C$5,1)B33)*(OFFSET(INDIRECT($C$3&amp;"!$C$1"),1,0,$C$5,1)+OFFSET(INDIRECT($C$3&amp;"!$D$1"),1,0,$C$5,1))*OFFSET(INDIRECT($C$3&amp;"!$E$1"),1,0,$C$5,1)*IF($E$3FALSE,1,(OFFSET(INDIRECT($C$3&amp;"!$B$1"),1,0,$C$5,1)&gt;$E$4)*(OFFSET(INDIRECT($C$3&amp;"!$B$1"),1,0,$C$5,1)&lt;$E$5))))</t>
  </si>
  <si>
    <t>$H$33</t>
  </si>
  <si>
    <t>R33C8</t>
  </si>
  <si>
    <t>IF($C$2FALSE,"-",IF(D33+E330,0,I33/(D33+E33)))</t>
  </si>
  <si>
    <t>$I$33</t>
  </si>
  <si>
    <t>R33C9</t>
  </si>
  <si>
    <t>IF($C$2FALSE,"-",SUM((OFFSET(INDIRECT($C$3&amp;"!$A$1"),1,0,$C$5,1)B33)*(OFFSET(INDIRECT($C$3&amp;"!$C$1"),1,0,$C$5,1)+OFFSET(INDIRECT($C$3&amp;"!$D$1"),1,0,$C$5,1))*OFFSET(INDIRECT($C$3&amp;"!$E$1"),1,0,$C$5,1)*OFFSET(INDIRECT($C$3&amp;"!$F$1"),1,0,$C$5,1)*IF($E$3FALSE,1,(OFFSET(INDIRECT($C$3&amp;"!$B$1"),1,0,$C$5,1)&gt;$E$4)*(OFFSET(INDIRECT($C$3&amp;"!$B$1"),1,0,$C$5,1)&lt;$E$5))))</t>
  </si>
  <si>
    <t>$J$33</t>
  </si>
  <si>
    <t>R33C10</t>
  </si>
  <si>
    <t>IF($C$2FALSE,"-",I33-G33)</t>
  </si>
  <si>
    <t>$K$33</t>
  </si>
  <si>
    <t>R33C11</t>
  </si>
  <si>
    <t>IF($C$2FALSE,"-",IF(D33+E330,0,J33/(D33+E33)))</t>
  </si>
  <si>
    <t>$L$33</t>
  </si>
  <si>
    <t>R33C12</t>
  </si>
  <si>
    <t>IF($C$2FALSE,"-",(H33-F33)-K33)</t>
  </si>
  <si>
    <t>Description</t>
  </si>
  <si>
    <t>VERSION</t>
  </si>
  <si>
    <t>OUTPUT</t>
  </si>
  <si>
    <t>START DATE</t>
  </si>
  <si>
    <t>END DATE</t>
  </si>
  <si>
    <t>Without Date Filter</t>
  </si>
  <si>
    <t>With Date Filter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</si>
</sst>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7" formatCode="&quot;$&quot;#,##0.00_);\(&quot;$&quot;#,##0.00\)"/>
    <numFmt numFmtId="44" formatCode="_(&quot;$&quot;* #,##0.00_);_(&quot;$&quot;* \(#,##0.00\);_(&quot;$&quot;* &quot;-&quot;??_);_(@_)"/>
    <numFmt numFmtId="164" formatCode="_-&quot;$&quot;* #,##0.00_-;\-&quot;$&quot;* #,##0.00_-;_-&quot;$&quot;* &quot;-&quot;??_-;_-@_-"/>
    <numFmt numFmtId="165" formatCode="_-* #,##0.00_-;\-* #,##0.00_-;_-* &quot;-&quot;??_-;_-@_-"/>
    <numFmt numFmtId="166" formatCode="[$-F800]dddd\,\ mmmm\ dd\,\ yyyy"/>
    <numFmt numFmtId="167" formatCode="_(&quot;$&quot;* #,##0_);_(&quot;$&quot;* \(#,##0\);_(&quot;$&quot;* &quot;-&quot;??_);_(@_)"/>
    <numFmt numFmtId="168" formatCode="dd/mm/yyyy;@"/>
    <numFmt numFmtId="169" formatCode="_-&quot;$&quot;* #,##0_-;\-&quot;$&quot;* #,##0_-;_-&quot;$&quot;* &quot;-&quot;??_-;_-@_-"/>
    <numFmt numFmtId="170" formatCode="#,##0.0000"/>
    <numFmt numFmtId="171" formatCode="_-* #,##0.00000_-;\-* #,##0.00000_-;_-* &quot;-&quot;??_-;_-@_-"/>
    <numFmt numFmtId="172" formatCode="yyyy\-mm\-dd;@"/>
  </numFmts>
  <fonts count="2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0"/>
      <name val="Arial"/>
      <family val="2"/>
    </font>
    <font>
      <sz val="10"/>
      <color theme="4"/>
      <name val="Arial"/>
      <family val="2"/>
    </font>
    <font>
      <sz val="11"/>
      <color theme="4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Arial"/>
      <family val="2"/>
    </font>
    <font>
      <b/>
      <sz val="9"/>
      <color indexed="81"/>
      <name val="Arial"/>
      <family val="2"/>
    </font>
    <font>
      <b/>
      <sz val="8"/>
      <color theme="1"/>
      <name val="Calibri"/>
      <family val="2"/>
      <scheme val="minor"/>
    </font>
    <font>
      <u/>
      <sz val="10"/>
      <color theme="11"/>
      <name val="Arial"/>
      <family val="2"/>
    </font>
    <font>
      <sz val="11"/>
      <color theme="4" tint="0.39997558519241921"/>
      <name val="Calibri"/>
      <family val="2"/>
      <scheme val="minor"/>
    </font>
    <font>
      <u/>
      <sz val="10"/>
      <color theme="10"/>
      <name val="Arial"/>
      <family val="2"/>
    </font>
    <font>
      <sz val="10"/>
      <name val="Arial"/>
    </font>
    <font>
      <b/>
      <sz val="10"/>
      <name val="Arial"/>
      <family val="2"/>
    </font>
    <font>
      <sz val="10"/>
      <color rgb="FFFF0000"/>
      <name val="Arial"/>
      <family val="2"/>
    </font>
    <font>
      <sz val="10"/>
      <color rgb="FF0070C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</fills>
  <borders count="15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medium">
        <color theme="0" tint="-0.34998626667073579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medium">
        <color theme="0" tint="-0.34998626667073579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theme="0" tint="-0.34998626667073579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theme="0" tint="-0.34998626667073579"/>
      </right>
      <top style="hair">
        <color auto="1"/>
      </top>
      <bottom style="hair">
        <color auto="1"/>
      </bottom>
      <diagonal/>
    </border>
    <border>
      <left style="medium">
        <color theme="0" tint="-0.34998626667073579"/>
      </left>
      <right/>
      <top/>
      <bottom/>
      <diagonal/>
    </border>
    <border>
      <left/>
      <right style="medium">
        <color theme="0" tint="-0.34998626667073579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/>
      <top style="hair">
        <color theme="0" tint="-0.34998626667073579"/>
      </top>
      <bottom style="hair">
        <color theme="0" tint="-0.34998626667073579"/>
      </bottom>
      <diagonal/>
    </border>
  </borders>
  <cellStyleXfs count="253">
    <xf numFmtId="0" fontId="0" fillId="0" borderId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" fillId="0" borderId="0"/>
    <xf numFmtId="44" fontId="22" fillId="0" borderId="0" applyFont="0" applyFill="0" applyBorder="0" applyAlignment="0" applyProtection="0"/>
  </cellStyleXfs>
  <cellXfs count="80">
    <xf numFmtId="0" fontId="0" fillId="0" borderId="0" xfId="0"/>
    <xf numFmtId="0" fontId="0" fillId="0" borderId="0" xfId="0" applyAlignment="1">
      <alignment vertical="center"/>
    </xf>
    <xf numFmtId="0" fontId="9" fillId="2" borderId="1" xfId="0" applyFont="1" applyFill="1" applyBorder="1" applyAlignment="1">
      <alignment horizontal="center" vertical="center"/>
    </xf>
    <xf numFmtId="0" fontId="7" fillId="4" borderId="1" xfId="3" applyFont="1" applyFill="1" applyBorder="1" applyAlignment="1">
      <alignment horizontal="center" vertical="center" wrapText="1"/>
    </xf>
    <xf numFmtId="0" fontId="8" fillId="0" borderId="1" xfId="3" applyFont="1" applyBorder="1" applyAlignment="1">
      <alignment vertical="center"/>
    </xf>
    <xf numFmtId="0" fontId="4" fillId="0" borderId="0" xfId="3" applyAlignment="1">
      <alignment vertical="center"/>
    </xf>
    <xf numFmtId="168" fontId="8" fillId="0" borderId="1" xfId="3" applyNumberFormat="1" applyFont="1" applyBorder="1" applyAlignment="1">
      <alignment vertical="center"/>
    </xf>
    <xf numFmtId="169" fontId="0" fillId="0" borderId="0" xfId="4" applyNumberFormat="1" applyFont="1" applyAlignment="1">
      <alignment vertical="center"/>
    </xf>
    <xf numFmtId="0" fontId="4" fillId="0" borderId="0" xfId="3" applyAlignment="1">
      <alignment horizontal="left" vertical="center"/>
    </xf>
    <xf numFmtId="0" fontId="6" fillId="2" borderId="2" xfId="3" applyFont="1" applyFill="1" applyBorder="1" applyAlignment="1">
      <alignment horizontal="center" vertical="center"/>
    </xf>
    <xf numFmtId="0" fontId="6" fillId="2" borderId="3" xfId="3" applyFont="1" applyFill="1" applyBorder="1" applyAlignment="1">
      <alignment horizontal="centerContinuous" vertical="center"/>
    </xf>
    <xf numFmtId="0" fontId="6" fillId="2" borderId="4" xfId="3" applyFont="1" applyFill="1" applyBorder="1" applyAlignment="1">
      <alignment horizontal="centerContinuous" vertical="center"/>
    </xf>
    <xf numFmtId="0" fontId="6" fillId="2" borderId="5" xfId="3" applyFont="1" applyFill="1" applyBorder="1" applyAlignment="1">
      <alignment horizontal="centerContinuous" vertical="center"/>
    </xf>
    <xf numFmtId="0" fontId="6" fillId="2" borderId="6" xfId="3" applyFont="1" applyFill="1" applyBorder="1" applyAlignment="1">
      <alignment horizontal="left" vertical="center"/>
    </xf>
    <xf numFmtId="0" fontId="7" fillId="4" borderId="7" xfId="3" applyFont="1" applyFill="1" applyBorder="1" applyAlignment="1">
      <alignment horizontal="center" vertical="center" wrapText="1"/>
    </xf>
    <xf numFmtId="0" fontId="7" fillId="4" borderId="8" xfId="3" applyFont="1" applyFill="1" applyBorder="1" applyAlignment="1">
      <alignment horizontal="center" vertical="center" wrapText="1"/>
    </xf>
    <xf numFmtId="0" fontId="13" fillId="4" borderId="1" xfId="3" applyFont="1" applyFill="1" applyBorder="1" applyAlignment="1">
      <alignment horizontal="center" vertical="center" wrapText="1"/>
    </xf>
    <xf numFmtId="0" fontId="4" fillId="0" borderId="0" xfId="3" applyBorder="1" applyAlignment="1">
      <alignment vertical="center"/>
    </xf>
    <xf numFmtId="0" fontId="4" fillId="0" borderId="10" xfId="3" applyBorder="1" applyAlignment="1">
      <alignment vertical="center"/>
    </xf>
    <xf numFmtId="0" fontId="4" fillId="0" borderId="9" xfId="3" applyBorder="1" applyAlignment="1">
      <alignment vertical="center"/>
    </xf>
    <xf numFmtId="3" fontId="4" fillId="0" borderId="9" xfId="3" applyNumberFormat="1" applyBorder="1" applyAlignment="1">
      <alignment horizontal="right" vertical="center"/>
    </xf>
    <xf numFmtId="3" fontId="4" fillId="0" borderId="0" xfId="3" applyNumberFormat="1" applyBorder="1" applyAlignment="1">
      <alignment horizontal="right" vertical="center"/>
    </xf>
    <xf numFmtId="44" fontId="4" fillId="0" borderId="0" xfId="3" applyNumberFormat="1" applyAlignment="1">
      <alignment vertical="center"/>
    </xf>
    <xf numFmtId="0" fontId="11" fillId="0" borderId="0" xfId="3" applyFont="1" applyAlignment="1">
      <alignment vertical="center"/>
    </xf>
    <xf numFmtId="3" fontId="0" fillId="0" borderId="9" xfId="4" applyNumberFormat="1" applyFont="1" applyFill="1" applyBorder="1" applyAlignment="1">
      <alignment horizontal="right" vertical="center"/>
    </xf>
    <xf numFmtId="3" fontId="0" fillId="0" borderId="0" xfId="4" applyNumberFormat="1" applyFont="1" applyFill="1" applyBorder="1" applyAlignment="1">
      <alignment horizontal="right" vertical="center"/>
    </xf>
    <xf numFmtId="164" fontId="0" fillId="0" borderId="9" xfId="4" applyFont="1" applyFill="1" applyBorder="1" applyAlignment="1">
      <alignment vertical="center"/>
    </xf>
    <xf numFmtId="169" fontId="0" fillId="0" borderId="10" xfId="4" applyNumberFormat="1" applyFont="1" applyFill="1" applyBorder="1" applyAlignment="1">
      <alignment vertical="center"/>
    </xf>
    <xf numFmtId="44" fontId="4" fillId="0" borderId="9" xfId="3" applyNumberFormat="1" applyFill="1" applyBorder="1" applyAlignment="1">
      <alignment vertical="center"/>
    </xf>
    <xf numFmtId="169" fontId="0" fillId="0" borderId="0" xfId="4" applyNumberFormat="1" applyFont="1" applyFill="1" applyBorder="1" applyAlignment="1">
      <alignment vertical="center"/>
    </xf>
    <xf numFmtId="167" fontId="4" fillId="0" borderId="0" xfId="3" applyNumberFormat="1" applyFill="1" applyBorder="1" applyAlignment="1">
      <alignment vertical="center"/>
    </xf>
    <xf numFmtId="44" fontId="4" fillId="0" borderId="10" xfId="3" applyNumberFormat="1" applyFill="1" applyBorder="1" applyAlignment="1">
      <alignment vertical="center"/>
    </xf>
    <xf numFmtId="171" fontId="15" fillId="0" borderId="0" xfId="5" applyNumberFormat="1" applyFont="1" applyFill="1" applyAlignment="1">
      <alignment vertical="center"/>
    </xf>
    <xf numFmtId="3" fontId="4" fillId="0" borderId="10" xfId="3" applyNumberFormat="1" applyBorder="1" applyAlignment="1">
      <alignment horizontal="center" vertical="center"/>
    </xf>
    <xf numFmtId="3" fontId="0" fillId="0" borderId="10" xfId="4" applyNumberFormat="1" applyFont="1" applyFill="1" applyBorder="1" applyAlignment="1">
      <alignment horizontal="center" vertical="center"/>
    </xf>
    <xf numFmtId="0" fontId="11" fillId="0" borderId="1" xfId="3" applyFont="1" applyFill="1" applyBorder="1" applyAlignment="1">
      <alignment vertical="center"/>
    </xf>
    <xf numFmtId="166" fontId="10" fillId="0" borderId="0" xfId="0" applyNumberFormat="1" applyFont="1" applyAlignment="1">
      <alignment vertical="center"/>
    </xf>
    <xf numFmtId="0" fontId="18" fillId="4" borderId="2" xfId="3" applyFont="1" applyFill="1" applyBorder="1" applyAlignment="1">
      <alignment horizontal="center" vertical="center" wrapText="1"/>
    </xf>
    <xf numFmtId="0" fontId="4" fillId="0" borderId="1" xfId="3" applyFont="1" applyBorder="1" applyAlignment="1">
      <alignment horizontal="center" vertical="center"/>
    </xf>
    <xf numFmtId="0" fontId="6" fillId="2" borderId="1" xfId="3" applyFont="1" applyFill="1" applyBorder="1" applyAlignment="1">
      <alignment horizontal="center" vertical="center"/>
    </xf>
    <xf numFmtId="0" fontId="2" fillId="0" borderId="0" xfId="3" applyFont="1" applyAlignment="1">
      <alignment vertical="center"/>
    </xf>
    <xf numFmtId="0" fontId="10" fillId="0" borderId="0" xfId="3" applyFont="1" applyAlignment="1">
      <alignment vertical="center"/>
    </xf>
    <xf numFmtId="166" fontId="10" fillId="0" borderId="0" xfId="3" applyNumberFormat="1" applyFont="1" applyAlignment="1">
      <alignment vertical="center"/>
    </xf>
    <xf numFmtId="0" fontId="20" fillId="0" borderId="0" xfId="0" applyFont="1" applyFill="1"/>
    <xf numFmtId="165" fontId="10" fillId="0" borderId="0" xfId="5" applyFont="1" applyAlignment="1">
      <alignment vertical="center"/>
    </xf>
    <xf numFmtId="0" fontId="18" fillId="4" borderId="1" xfId="3" applyFont="1" applyFill="1" applyBorder="1" applyAlignment="1">
      <alignment horizontal="center" vertical="center" wrapText="1"/>
    </xf>
    <xf numFmtId="0" fontId="7" fillId="0" borderId="1" xfId="3" applyFont="1" applyBorder="1" applyAlignment="1">
      <alignment horizontal="center" vertical="center"/>
    </xf>
    <xf numFmtId="3" fontId="4" fillId="0" borderId="1" xfId="3" applyNumberFormat="1" applyFill="1" applyBorder="1" applyAlignment="1">
      <alignment horizontal="right" vertical="center"/>
    </xf>
    <xf numFmtId="3" fontId="4" fillId="0" borderId="1" xfId="3" applyNumberFormat="1" applyFill="1" applyBorder="1" applyAlignment="1">
      <alignment horizontal="center" vertical="center"/>
    </xf>
    <xf numFmtId="164" fontId="0" fillId="0" borderId="1" xfId="4" applyFont="1" applyFill="1" applyBorder="1" applyAlignment="1">
      <alignment vertical="center"/>
    </xf>
    <xf numFmtId="169" fontId="0" fillId="0" borderId="1" xfId="4" applyNumberFormat="1" applyFont="1" applyFill="1" applyBorder="1" applyAlignment="1">
      <alignment horizontal="center" vertical="center"/>
    </xf>
    <xf numFmtId="0" fontId="7" fillId="4" borderId="11" xfId="3" applyFont="1" applyFill="1" applyBorder="1" applyAlignment="1">
      <alignment horizontal="center" vertical="center" wrapText="1"/>
    </xf>
    <xf numFmtId="0" fontId="12" fillId="2" borderId="12" xfId="3" applyFont="1" applyFill="1" applyBorder="1" applyAlignment="1">
      <alignment horizontal="centerContinuous" vertical="center"/>
    </xf>
    <xf numFmtId="0" fontId="6" fillId="2" borderId="13" xfId="3" applyFont="1" applyFill="1" applyBorder="1" applyAlignment="1">
      <alignment horizontal="centerContinuous" vertical="center"/>
    </xf>
    <xf numFmtId="0" fontId="13" fillId="4" borderId="11" xfId="3" applyFont="1" applyFill="1" applyBorder="1" applyAlignment="1">
      <alignment horizontal="center" vertical="center" wrapText="1"/>
    </xf>
    <xf numFmtId="0" fontId="6" fillId="2" borderId="12" xfId="3" applyFont="1" applyFill="1" applyBorder="1" applyAlignment="1">
      <alignment horizontal="centerContinuous" vertical="center"/>
    </xf>
    <xf numFmtId="0" fontId="6" fillId="2" borderId="14" xfId="3" applyFont="1" applyFill="1" applyBorder="1" applyAlignment="1">
      <alignment horizontal="centerContinuous" vertical="center"/>
    </xf>
    <xf numFmtId="0" fontId="4" fillId="3" borderId="2" xfId="3" applyFill="1" applyBorder="1" applyAlignment="1">
      <alignment vertical="center"/>
    </xf>
    <xf numFmtId="170" fontId="14" fillId="3" borderId="4" xfId="5" applyNumberFormat="1" applyFont="1" applyFill="1" applyBorder="1" applyAlignment="1">
      <alignment vertical="center"/>
    </xf>
    <xf numFmtId="0" fontId="4" fillId="3" borderId="4" xfId="3" applyFill="1" applyBorder="1" applyAlignment="1">
      <alignment vertical="center"/>
    </xf>
    <xf numFmtId="0" fontId="4" fillId="3" borderId="6" xfId="3" applyFill="1" applyBorder="1" applyAlignment="1">
      <alignment vertical="center"/>
    </xf>
    <xf numFmtId="0" fontId="5" fillId="5" borderId="1" xfId="3" applyFont="1" applyFill="1" applyBorder="1" applyAlignment="1">
      <alignment horizontal="center" vertical="center"/>
    </xf>
    <xf numFmtId="0" fontId="4" fillId="3" borderId="1" xfId="3" applyFont="1" applyFill="1" applyBorder="1" applyAlignment="1">
      <alignment horizontal="left" vertical="center" indent="2"/>
    </xf>
    <xf numFmtId="0" fontId="7" fillId="4" borderId="1" xfId="3" applyFont="1" applyFill="1" applyBorder="1" applyAlignment="1">
      <alignment horizontal="left" vertical="center" indent="1"/>
    </xf>
    <xf numFmtId="0" fontId="7" fillId="3" borderId="1" xfId="3" applyFont="1" applyFill="1" applyBorder="1" applyAlignment="1">
      <alignment horizontal="left" vertical="center" wrapText="1" indent="1"/>
    </xf>
    <xf numFmtId="0" fontId="11" fillId="0" borderId="1" xfId="3" applyFont="1" applyFill="1" applyBorder="1" applyAlignment="1">
      <alignment horizontal="center" vertical="center"/>
    </xf>
    <xf numFmtId="3" fontId="14" fillId="3" borderId="4" xfId="5" applyNumberFormat="1" applyFont="1" applyFill="1" applyBorder="1" applyAlignment="1">
      <alignment vertical="center"/>
    </xf>
    <xf numFmtId="171" fontId="15" fillId="0" borderId="1" xfId="5" applyNumberFormat="1" applyFont="1" applyFill="1" applyBorder="1" applyAlignment="1">
      <alignment vertical="center"/>
    </xf>
    <xf numFmtId="0" fontId="11" fillId="0" borderId="1" xfId="3" quotePrefix="1" applyFont="1" applyFill="1" applyBorder="1" applyAlignment="1">
      <alignment horizontal="center" vertical="center"/>
    </xf>
    <xf numFmtId="14" fontId="0" fillId="0" borderId="0" xfId="0" applyNumberFormat="1"/>
    <xf numFmtId="7" fontId="0" fillId="0" borderId="0" xfId="0" applyNumberFormat="1"/>
    <xf numFmtId="167" fontId="4" fillId="0" borderId="0" xfId="252" applyNumberFormat="1" applyFont="1" applyAlignment="1">
      <alignment vertical="center"/>
    </xf>
    <xf numFmtId="0" fontId="23" fillId="5" borderId="1" xfId="0" applyFont="1" applyFill="1" applyBorder="1" applyAlignment="1">
      <alignment horizontal="left" indent="1"/>
    </xf>
    <xf numFmtId="0" fontId="24" fillId="0" borderId="1" xfId="0" applyFont="1" applyBorder="1" applyAlignment="1">
      <alignment horizontal="center"/>
    </xf>
    <xf numFmtId="0" fontId="25" fillId="0" borderId="1" xfId="0" applyFont="1" applyBorder="1" applyAlignment="1">
      <alignment horizontal="center"/>
    </xf>
    <xf numFmtId="44" fontId="0" fillId="0" borderId="1" xfId="252" applyFont="1" applyBorder="1"/>
    <xf numFmtId="0" fontId="0" fillId="3" borderId="1" xfId="0" applyFill="1" applyBorder="1"/>
    <xf numFmtId="172" fontId="25" fillId="0" borderId="1" xfId="0" applyNumberFormat="1" applyFont="1" applyBorder="1" applyAlignment="1">
      <alignment horizontal="center"/>
    </xf>
    <xf numFmtId="0" fontId="23" fillId="4" borderId="4" xfId="0" applyFont="1" applyFill="1" applyBorder="1" applyAlignment="1">
      <alignment horizontal="centerContinuous" vertical="center"/>
    </xf>
    <xf numFmtId="0" fontId="0" fillId="4" borderId="4" xfId="0" applyFill="1" applyBorder="1" applyAlignment="1">
      <alignment horizontal="centerContinuous" vertical="center"/>
    </xf>
  </cellXfs>
  <cellStyles count="253">
    <cellStyle name="Comma 2" xfId="1"/>
    <cellStyle name="Comma 3" xfId="5"/>
    <cellStyle name="Currency" xfId="252" builtinId="4"/>
    <cellStyle name="Currency 2" xfId="2"/>
    <cellStyle name="Currency 3" xfId="4"/>
    <cellStyle name="Followed Hyperlink" xfId="6" builtinId="9" hidden="1"/>
    <cellStyle name="Followed Hyperlink" xfId="7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Normal" xfId="0" builtinId="0"/>
    <cellStyle name="Normal 2" xfId="3"/>
    <cellStyle name="Normal 6" xfId="25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pageSetUpPr fitToPage="1"/>
  </sheetPr>
  <dimension ref="A2:Y281"/>
  <sheetViews>
    <sheetView showGridLines="0" workbookViewId="0">
      <selection activeCell="E4" sqref="E4:E5"/>
    </sheetView>
  </sheetViews>
  <sheetFormatPr defaultColWidth="15.85546875" defaultRowHeight="20.100000000000001" customHeight="1" x14ac:dyDescent="0.2"/>
  <cols>
    <col min="1" max="1" width="3.85546875" style="5" customWidth="1"/>
    <col min="2" max="13" width="15.85546875" style="5"/>
    <col min="14" max="14" width="3.85546875" style="5" customWidth="1"/>
    <col min="15" max="16384" width="15.85546875" style="5"/>
  </cols>
  <sheetData>
    <row r="2" spans="1:25" ht="20.100000000000001" customHeight="1" x14ac:dyDescent="0.2">
      <c r="B2" s="64" t="s">
        <v>21</v>
      </c>
      <c r="C2" s="4" t="b">
        <v>1</v>
      </c>
      <c r="G2" s="40"/>
    </row>
    <row r="3" spans="1:25" ht="20.100000000000001" customHeight="1" x14ac:dyDescent="0.2">
      <c r="B3" s="63" t="s">
        <v>24</v>
      </c>
      <c r="C3" s="68" t="s">
        <v>22</v>
      </c>
      <c r="D3" s="63" t="s">
        <v>9</v>
      </c>
      <c r="E3" s="35" t="b">
        <v>0</v>
      </c>
    </row>
    <row r="4" spans="1:25" ht="20.100000000000001" customHeight="1" x14ac:dyDescent="0.2">
      <c r="B4" s="63" t="s">
        <v>23</v>
      </c>
      <c r="C4" s="65" t="s">
        <v>43</v>
      </c>
      <c r="D4" s="62" t="s">
        <v>10</v>
      </c>
      <c r="E4" s="6">
        <f ca="1">IF($C$2=FALSE,"-",MIN(OFFSET(INDIRECT($C$3&amp;"!$B$1"),1,0,$C$5,1)))</f>
        <v>41407</v>
      </c>
    </row>
    <row r="5" spans="1:25" ht="20.100000000000001" customHeight="1" x14ac:dyDescent="0.2">
      <c r="B5" s="63" t="s">
        <v>8</v>
      </c>
      <c r="C5" s="38">
        <f ca="1">IF($C$2=FALSE,"-",COUNTA(INDIRECT($C$3&amp;"!A:A"))-1)</f>
        <v>230</v>
      </c>
      <c r="D5" s="62" t="s">
        <v>11</v>
      </c>
      <c r="E5" s="6">
        <f ca="1">IF($C$2=FALSE,"-",MAX(OFFSET(INDIRECT($C$3&amp;"!$B$1"),1,0,$C$5,1)))</f>
        <v>41520</v>
      </c>
    </row>
    <row r="6" spans="1:25" ht="20.100000000000001" customHeight="1" x14ac:dyDescent="0.2">
      <c r="H6" s="7"/>
    </row>
    <row r="7" spans="1:25" ht="20.100000000000001" customHeight="1" x14ac:dyDescent="0.2">
      <c r="B7" s="39" t="str">
        <f>IF($C$2=FALSE,"-",$C$4)</f>
        <v>EUM</v>
      </c>
      <c r="C7" s="11" t="s">
        <v>57</v>
      </c>
      <c r="D7" s="11"/>
      <c r="E7" s="11"/>
      <c r="F7" s="52" t="s">
        <v>12</v>
      </c>
      <c r="G7" s="53"/>
      <c r="H7" s="55" t="s">
        <v>13</v>
      </c>
      <c r="I7" s="56"/>
      <c r="J7" s="56"/>
      <c r="K7" s="53"/>
      <c r="L7" s="13"/>
      <c r="O7" s="39" t="str">
        <f>IF($C$2=FALSE,"-",$C$4)</f>
        <v>EUM</v>
      </c>
      <c r="P7" s="11" t="str">
        <f>C7</f>
        <v>Development Hours</v>
      </c>
      <c r="Q7" s="11"/>
      <c r="R7" s="11"/>
      <c r="S7" s="52" t="str">
        <f>F7</f>
        <v>Total Costs Excluding Markup</v>
      </c>
      <c r="T7" s="53"/>
      <c r="U7" s="55" t="str">
        <f>H7</f>
        <v>Total Costs Including Markup</v>
      </c>
      <c r="V7" s="56"/>
      <c r="W7" s="56"/>
      <c r="X7" s="53"/>
      <c r="Y7" s="13"/>
    </row>
    <row r="8" spans="1:25" ht="20.100000000000001" customHeight="1" x14ac:dyDescent="0.2">
      <c r="B8" s="45" t="str">
        <f ca="1">IF($C$2=FALSE,"-",IF($E$3=FALSE,TEXT(MIN(OFFSET(INDIRECT($C$3&amp;"!$B$1"),1,0,$C$5,1)),"dd-mmm-yy")&amp;" to "&amp;TEXT(MAX(OFFSET(INDIRECT($C$3&amp;"!$B$1"),1,0,$C$5,1)),"dd-mmm-yy"),TEXT($E$4,"dd-mmm-yy")&amp;" to "&amp;TEXT($E$5,"dd-mmm-yy")))</f>
        <v>13-May-13 to 03-Sep-13</v>
      </c>
      <c r="C8" s="3" t="s">
        <v>14</v>
      </c>
      <c r="D8" s="3" t="s">
        <v>3</v>
      </c>
      <c r="E8" s="3" t="s">
        <v>4</v>
      </c>
      <c r="F8" s="51" t="s">
        <v>15</v>
      </c>
      <c r="G8" s="51" t="s">
        <v>16</v>
      </c>
      <c r="H8" s="51" t="s">
        <v>15</v>
      </c>
      <c r="I8" s="51" t="s">
        <v>16</v>
      </c>
      <c r="J8" s="54" t="s">
        <v>17</v>
      </c>
      <c r="K8" s="51" t="s">
        <v>18</v>
      </c>
      <c r="L8" s="16" t="s">
        <v>19</v>
      </c>
      <c r="O8" s="45" t="str">
        <f ca="1">IF($C$2=FALSE,"-",IF($E$3=FALSE,TEXT(MIN(OFFSET(INDIRECT($C$3&amp;"!$B$1"),1,0,$C$5,1)),"dd-mmm-yy")&amp;" to "&amp;TEXT(MAX(OFFSET(INDIRECT($C$3&amp;"!$B$1"),1,0,$C$5,1)),"dd-mmm-yy"),TEXT($E$4,"dd-mmm-yy")&amp;" to "&amp;TEXT($E$5,"dd-mmm-yy")))</f>
        <v>13-May-13 to 03-Sep-13</v>
      </c>
      <c r="P8" s="3" t="s">
        <v>14</v>
      </c>
      <c r="Q8" s="3" t="s">
        <v>3</v>
      </c>
      <c r="R8" s="3" t="s">
        <v>4</v>
      </c>
      <c r="S8" s="51" t="s">
        <v>15</v>
      </c>
      <c r="T8" s="51" t="s">
        <v>16</v>
      </c>
      <c r="U8" s="51" t="s">
        <v>15</v>
      </c>
      <c r="V8" s="51" t="s">
        <v>16</v>
      </c>
      <c r="W8" s="54" t="s">
        <v>17</v>
      </c>
      <c r="X8" s="51" t="s">
        <v>18</v>
      </c>
      <c r="Y8" s="16" t="s">
        <v>19</v>
      </c>
    </row>
    <row r="9" spans="1:25" ht="20.100000000000001" customHeight="1" x14ac:dyDescent="0.2">
      <c r="B9" s="46" t="s">
        <v>1</v>
      </c>
      <c r="C9" s="47">
        <f ca="1">IF($C$2=FALSE,"-",SUM(OFFSET(C$14,1,0,A13,1)))</f>
        <v>230</v>
      </c>
      <c r="D9" s="47">
        <f ca="1">IF($C$2=FALSE,"-",SUM(OFFSET(D$14,1,0,A13,1)))</f>
        <v>2147.6999999999998</v>
      </c>
      <c r="E9" s="48">
        <f ca="1">IF($C$2=FALSE,"-",SUM(OFFSET(E$14,1,0,A13,1)))</f>
        <v>3</v>
      </c>
      <c r="F9" s="49">
        <f ca="1">IF($C$2=FALSE,"-",IF(D9=0,0,G9/D9))</f>
        <v>31.294640778507244</v>
      </c>
      <c r="G9" s="50">
        <f ca="1">IF($C$2=FALSE,"-",SUM(OFFSET(G$14,1,0,A13,1)))</f>
        <v>67211.5</v>
      </c>
      <c r="H9" s="49">
        <f ca="1">IF($C$2=FALSE,"-",IF(D9=0,0,I9/D9))</f>
        <v>32.741083484658006</v>
      </c>
      <c r="I9" s="50">
        <f ca="1">IF($C$2=FALSE,"-",SUM(OFFSET(I$14,1,0,A13,1)))</f>
        <v>70318.024999999994</v>
      </c>
      <c r="J9" s="50">
        <f ca="1">IF($C$2=FALSE,"-",SUM(OFFSET(J$14,1,0,A13,1)))</f>
        <v>3106.5250000000037</v>
      </c>
      <c r="K9" s="49">
        <f ca="1">IF($C$2=FALSE,"-",IF(D9=0,0,J9/D9))</f>
        <v>1.4464427061507679</v>
      </c>
      <c r="L9" s="67">
        <f ca="1">IF($C$2=FALSE,"-",SUM(OFFSET(L$14,1,0,A13,1)))</f>
        <v>-8.8817841970012523E-16</v>
      </c>
      <c r="O9" s="46" t="s">
        <v>1</v>
      </c>
      <c r="P9" s="47">
        <f ca="1">IF($C$2=FALSE,"-",SUM(OFFSET(P$14,1,0,N13,1)))</f>
        <v>230</v>
      </c>
      <c r="Q9" s="47">
        <f ca="1">IF($C$2=FALSE,"-",SUM(OFFSET(Q$14,1,0,N13,1)))</f>
        <v>2147.6999999999998</v>
      </c>
      <c r="R9" s="48">
        <f ca="1">IF($C$2=FALSE,"-",SUM(OFFSET(R$14,1,0,N13,1)))</f>
        <v>3</v>
      </c>
      <c r="S9" s="49">
        <f ca="1">IF($C$2=FALSE,"-",IF(Q9=0,0,T9/Q9))</f>
        <v>31.294640778507244</v>
      </c>
      <c r="T9" s="50">
        <f ca="1">IF($C$2=FALSE,"-",SUM(OFFSET(T$14,1,0,N13,1)))</f>
        <v>67211.5</v>
      </c>
      <c r="U9" s="49">
        <f ca="1">IF($C$2=FALSE,"-",IF(Q9=0,0,V9/Q9))</f>
        <v>32.741083484658006</v>
      </c>
      <c r="V9" s="50">
        <f ca="1">IF($C$2=FALSE,"-",SUM(OFFSET(V$14,1,0,N13,1)))</f>
        <v>70318.024999999994</v>
      </c>
      <c r="W9" s="50">
        <f ca="1">IF($C$2=FALSE,"-",SUM(OFFSET(W$14,1,0,N13,1)))</f>
        <v>3106.5249999999978</v>
      </c>
      <c r="X9" s="49">
        <f ca="1">IF($C$2=FALSE,"-",IF(Q9=0,0,W9/Q9))</f>
        <v>1.446442706150765</v>
      </c>
      <c r="Y9" s="67">
        <f ca="1">IF($C$2=FALSE,"-",SUM(OFFSET(Y$14,1,0,N13,1)))</f>
        <v>2.55351295663786E-15</v>
      </c>
    </row>
    <row r="10" spans="1:25" s="8" customFormat="1" ht="20.100000000000001" customHeight="1" x14ac:dyDescent="0.2">
      <c r="B10" s="57"/>
      <c r="C10" s="66">
        <f t="array" aca="1" ref="C10" ca="1">IF($C$2=FALSE,"-",SUM(IF($E$3=FALSE,C$5,(OFFSET(INDIRECT($C$3&amp;"!$B$1"),1,0,$C$5,1)&gt;=$E$4)*(OFFSET(INDIRECT($C$3&amp;"!$B$1"),1,0,$C$5,1)&lt;=$E$5)))-$C$9)</f>
        <v>0</v>
      </c>
      <c r="D10" s="66">
        <f t="array" aca="1" ref="D10" ca="1">IF($C$2=FALSE,"-",SUM((OFFSET(INDIRECT($C$3&amp;"!$C$1"),1,0,$C$5,1))*IF($E$3=FALSE,1,(OFFSET(INDIRECT($C$3&amp;"!$B$1"),1,0,$C$5,1)&gt;=$E$4)*(OFFSET(INDIRECT($C$3&amp;"!$B$1"),1,0,$C$5,1)&lt;=$E$5)))-D9)</f>
        <v>0</v>
      </c>
      <c r="E10" s="66">
        <f t="array" aca="1" ref="E10" ca="1">IF($C$2=FALSE,"-",SUM((OFFSET(INDIRECT($C$3&amp;"!$D$1"),1,0,$C$5,1))*IF($E$3=FALSE,1,(OFFSET(INDIRECT($C$3&amp;"!$B$1"),1,0,$C$5,1)&gt;=$E$4)*(OFFSET(INDIRECT($C$3&amp;"!$B$1"),1,0,$C$5,1)&lt;=$E$5)))-E9)</f>
        <v>0</v>
      </c>
      <c r="F10" s="59"/>
      <c r="G10" s="58">
        <f t="array" aca="1" ref="G10" ca="1">IF($C$2=FALSE,"-",SUM((OFFSET(INDIRECT($C$3&amp;"!$C$1"),1,0,$C$5,1)+OFFSET(INDIRECT($C$3&amp;"!$D$1"),1,0,$C$5,1))*OFFSET(INDIRECT($C$3&amp;"!$E$1"),1,0,$C$5,1)*IF($E$3=FALSE,1,(OFFSET(INDIRECT($C$3&amp;"!$B$1"),1,0,$C$5,1)&gt;=$E$4)*(OFFSET(INDIRECT($C$3&amp;"!$B$1"),1,0,$C$5,1)&lt;=$E$5)))-G9)</f>
        <v>0</v>
      </c>
      <c r="H10" s="59"/>
      <c r="I10" s="58">
        <f t="array" aca="1" ref="I10" ca="1">IF($C$2=FALSE,"-",SUM((OFFSET(INDIRECT($C$3&amp;"!$C$1"),1,0,$C$5,1)+OFFSET(INDIRECT($C$3&amp;"!$D$1"),1,0,$C$5,1))*OFFSET(INDIRECT($C$3&amp;"!$E$1"),1,0,$C$5,1)*OFFSET(INDIRECT($C$3&amp;"!$F$1"),1,0,$C$5,1)*IF($E$3=FALSE,1,(OFFSET(INDIRECT($C$3&amp;"!$B$1"),1,0,$C$5,1)&gt;=$E$4)*(OFFSET(INDIRECT($C$3&amp;"!$B$1"),1,0,$C$5,1)&lt;=$E$5)))-I9)</f>
        <v>4.3655745685100555E-11</v>
      </c>
      <c r="J10" s="58">
        <f ca="1">IF($C$2=FALSE,"-",I9-G9-J9)</f>
        <v>-9.5496943686157465E-12</v>
      </c>
      <c r="K10" s="59"/>
      <c r="L10" s="60"/>
      <c r="O10" s="57"/>
      <c r="P10" s="66">
        <f ca="1">IF($C$2=FALSE,"-",SUM(IF($E$3=FALSE,C$5,(OFFSET(INDIRECT($C$3&amp;"!$B$1"),1,0,$C$5,1)&gt;=$E$4)*(OFFSET(INDIRECT($C$3&amp;"!$B$1"),1,0,$C$5,1)&lt;=$E$5)))-$P$9)</f>
        <v>0</v>
      </c>
      <c r="Q10" s="66">
        <f t="array" aca="1" ref="Q10" ca="1">IF($C$2=FALSE,"-",SUM((OFFSET(INDIRECT($C$3&amp;"!$C$1"),1,0,$C$5,1))*IF($E$3=FALSE,1,(OFFSET(INDIRECT($C$3&amp;"!$B$1"),1,0,$C$5,1)&gt;=$E$4)*(OFFSET(INDIRECT($C$3&amp;"!$B$1"),1,0,$C$5,1)&lt;=$E$5)))-Q9)</f>
        <v>0</v>
      </c>
      <c r="R10" s="66">
        <f t="array" aca="1" ref="R10" ca="1">IF($C$2=FALSE,"-",SUM((OFFSET(INDIRECT($C$3&amp;"!$D$1"),1,0,$C$5,1))*IF($E$3=FALSE,1,(OFFSET(INDIRECT($C$3&amp;"!$B$1"),1,0,$C$5,1)&gt;=$E$4)*(OFFSET(INDIRECT($C$3&amp;"!$B$1"),1,0,$C$5,1)&lt;=$E$5)))-R9)</f>
        <v>0</v>
      </c>
      <c r="S10" s="59"/>
      <c r="T10" s="58">
        <f t="array" aca="1" ref="T10" ca="1">IF($C$2=FALSE,"-",SUM((OFFSET(INDIRECT($C$3&amp;"!$C$1"),1,0,$C$5,1)+OFFSET(INDIRECT($C$3&amp;"!$D$1"),1,0,$C$5,1))*OFFSET(INDIRECT($C$3&amp;"!$E$1"),1,0,$C$5,1)*IF($E$3=FALSE,1,(OFFSET(INDIRECT($C$3&amp;"!$B$1"),1,0,$C$5,1)&gt;=$E$4)*(OFFSET(INDIRECT($C$3&amp;"!$B$1"),1,0,$C$5,1)&lt;=$E$5)))-T9)</f>
        <v>0</v>
      </c>
      <c r="U10" s="59"/>
      <c r="V10" s="58">
        <f t="array" aca="1" ref="V10" ca="1">IF($C$2=FALSE,"-",SUM((OFFSET(INDIRECT($C$3&amp;"!$C$1"),1,0,$C$5,1)+OFFSET(INDIRECT($C$3&amp;"!$D$1"),1,0,$C$5,1))*OFFSET(INDIRECT($C$3&amp;"!$E$1"),1,0,$C$5,1)*OFFSET(INDIRECT($C$3&amp;"!$F$1"),1,0,$C$5,1)*IF($E$3=FALSE,1,(OFFSET(INDIRECT($C$3&amp;"!$B$1"),1,0,$C$5,1)&gt;=$E$4)*(OFFSET(INDIRECT($C$3&amp;"!$B$1"),1,0,$C$5,1)&lt;=$E$5)))-V9)</f>
        <v>4.3655745685100555E-11</v>
      </c>
      <c r="W10" s="58">
        <f ca="1">IF($C$2=FALSE,"-",V9-T9-W9)</f>
        <v>-3.637978807091713E-12</v>
      </c>
      <c r="X10" s="59"/>
      <c r="Y10" s="60"/>
    </row>
    <row r="12" spans="1:25" ht="20.100000000000001" customHeight="1" x14ac:dyDescent="0.2">
      <c r="B12" s="9" t="str">
        <f>IF($C$2=FALSE,"-",B7)</f>
        <v>EUM</v>
      </c>
      <c r="C12" s="10" t="str">
        <f>IF($C$2=FALSE,"-",C7)</f>
        <v>Development Hours</v>
      </c>
      <c r="D12" s="11"/>
      <c r="E12" s="12"/>
      <c r="F12" s="10" t="str">
        <f>IF($C$2=FALSE,"-",F7)</f>
        <v>Total Costs Excluding Markup</v>
      </c>
      <c r="G12" s="12"/>
      <c r="H12" s="10" t="str">
        <f>IF($C$2=FALSE,"-",H7)</f>
        <v>Total Costs Including Markup</v>
      </c>
      <c r="I12" s="11"/>
      <c r="J12" s="11"/>
      <c r="K12" s="12"/>
      <c r="L12" s="13"/>
      <c r="O12" s="9" t="str">
        <f>IF($C$2=FALSE,"-",O7)</f>
        <v>EUM</v>
      </c>
      <c r="P12" s="10" t="str">
        <f>IF($C$2=FALSE,"-",P7)</f>
        <v>Development Hours</v>
      </c>
      <c r="Q12" s="11"/>
      <c r="R12" s="12"/>
      <c r="S12" s="10" t="str">
        <f>IF($C$2=FALSE,"-",S7)</f>
        <v>Total Costs Excluding Markup</v>
      </c>
      <c r="T12" s="12"/>
      <c r="U12" s="10" t="str">
        <f>IF($C$2=FALSE,"-",U7)</f>
        <v>Total Costs Including Markup</v>
      </c>
      <c r="V12" s="11"/>
      <c r="W12" s="11"/>
      <c r="X12" s="12"/>
      <c r="Y12" s="13"/>
    </row>
    <row r="13" spans="1:25" ht="20.100000000000001" customHeight="1" x14ac:dyDescent="0.2">
      <c r="A13" s="61">
        <f>IF($C$2=FALSE,"-",COUNTA(B$15:B$997))</f>
        <v>19</v>
      </c>
      <c r="B13" s="37" t="str">
        <f ca="1">IF($C$2=FALSE,"-",B8)</f>
        <v>13-May-13 to 03-Sep-13</v>
      </c>
      <c r="C13" s="14" t="str">
        <f>IF($C$2=FALSE,"-",C8)</f>
        <v>No. Invoices</v>
      </c>
      <c r="D13" s="3" t="str">
        <f>IF($C$2=FALSE,"-",D8)</f>
        <v>Hours</v>
      </c>
      <c r="E13" s="15" t="str">
        <f>IF($C$2=FALSE,"-",E8)</f>
        <v>Travel</v>
      </c>
      <c r="F13" s="14" t="str">
        <f>IF($C$2=FALSE,"-",F8)</f>
        <v>Avg. Rate</v>
      </c>
      <c r="G13" s="15" t="str">
        <f>IF($C$2=FALSE,"-",G8)</f>
        <v>Total Costs</v>
      </c>
      <c r="H13" s="14" t="str">
        <f>IF($C$2=FALSE,"-",H8)</f>
        <v>Avg. Rate</v>
      </c>
      <c r="I13" s="3" t="str">
        <f>IF($C$2=FALSE,"-",I8)</f>
        <v>Total Costs</v>
      </c>
      <c r="J13" s="16" t="str">
        <f>IF($C$2=FALSE,"-",J8)</f>
        <v>$ Markup</v>
      </c>
      <c r="K13" s="15" t="str">
        <f>IF($C$2=FALSE,"-",K8)</f>
        <v>$ Markup per hour</v>
      </c>
      <c r="L13" s="16" t="str">
        <f>IF($C$2=FALSE,"-",L8)</f>
        <v>Check</v>
      </c>
      <c r="N13" s="61">
        <f>IF($C$2=FALSE,"-",COUNTA(O$15:O$997)+1)</f>
        <v>13</v>
      </c>
      <c r="O13" s="37" t="str">
        <f ca="1">IF($C$2=FALSE,"-",O8)</f>
        <v>13-May-13 to 03-Sep-13</v>
      </c>
      <c r="P13" s="14" t="str">
        <f>IF($C$2=FALSE,"-",P8)</f>
        <v>No. Invoices</v>
      </c>
      <c r="Q13" s="3" t="str">
        <f>IF($C$2=FALSE,"-",Q8)</f>
        <v>Hours</v>
      </c>
      <c r="R13" s="15" t="str">
        <f>IF($C$2=FALSE,"-",R8)</f>
        <v>Travel</v>
      </c>
      <c r="S13" s="14" t="str">
        <f>IF($C$2=FALSE,"-",S8)</f>
        <v>Avg. Rate</v>
      </c>
      <c r="T13" s="15" t="str">
        <f>IF($C$2=FALSE,"-",T8)</f>
        <v>Total Costs</v>
      </c>
      <c r="U13" s="14" t="str">
        <f>IF($C$2=FALSE,"-",U8)</f>
        <v>Avg. Rate</v>
      </c>
      <c r="V13" s="3" t="str">
        <f>IF($C$2=FALSE,"-",V8)</f>
        <v>Total Costs</v>
      </c>
      <c r="W13" s="16" t="str">
        <f>IF($C$2=FALSE,"-",W8)</f>
        <v>$ Markup</v>
      </c>
      <c r="X13" s="15" t="str">
        <f>IF($C$2=FALSE,"-",X8)</f>
        <v>$ Markup per hour</v>
      </c>
      <c r="Y13" s="16" t="str">
        <f>IF($C$2=FALSE,"-",Y8)</f>
        <v>Check</v>
      </c>
    </row>
    <row r="14" spans="1:25" ht="20.100000000000001" customHeight="1" x14ac:dyDescent="0.2">
      <c r="C14" s="20"/>
      <c r="D14" s="21"/>
      <c r="E14" s="33"/>
      <c r="F14" s="19"/>
      <c r="G14" s="18"/>
      <c r="H14" s="19"/>
      <c r="I14" s="17"/>
      <c r="J14" s="17"/>
      <c r="K14" s="18"/>
      <c r="P14" s="20"/>
      <c r="Q14" s="21"/>
      <c r="R14" s="33"/>
      <c r="S14" s="19"/>
      <c r="T14" s="18"/>
      <c r="U14" s="19"/>
      <c r="V14" s="17"/>
      <c r="W14" s="17"/>
      <c r="X14" s="18"/>
    </row>
    <row r="15" spans="1:25" ht="20.100000000000001" customHeight="1" x14ac:dyDescent="0.2">
      <c r="A15" s="22"/>
      <c r="B15" s="23" t="s">
        <v>25</v>
      </c>
      <c r="C15" s="24">
        <f t="array" aca="1" ref="C15" ca="1">IF($C$2=FALSE,"-",SUM((OFFSET(INDIRECT($C$3&amp;"!$A$1"),1,0,$C$5,1)=B15)*IF($E$3=FALSE,1,(OFFSET(INDIRECT($C$3&amp;"!$B$1"),1,0,$C$5,1)&gt;=$E$4)*(OFFSET(INDIRECT($C$3&amp;"!$B$1"),1,0,$C$5,1)&lt;=$E$5))))</f>
        <v>29</v>
      </c>
      <c r="D15" s="25">
        <f t="array" aca="1" ref="D15" ca="1">IF($C$2=FALSE,"-",SUM((OFFSET(INDIRECT($C$3&amp;"!$A$1"),1,0,$C$5,1)=B15)*OFFSET(INDIRECT($C$3&amp;"!$C$1"),1,0,$C$5,1)*IF($E$3=FALSE,1,(OFFSET(INDIRECT($C$3&amp;"!$B$1"),1,0,$C$5,1)&gt;=$E$4)*(OFFSET(INDIRECT($C$3&amp;"!$B$1"),1,0,$C$5,1)&lt;=$E$5))))</f>
        <v>219.5</v>
      </c>
      <c r="E15" s="34">
        <f t="array" aca="1" ref="E15" ca="1">IF($C$2=FALSE,"-",SUM((OFFSET(INDIRECT($C$3&amp;"!$A$1"),1,0,$C$5,1)=B15)*OFFSET(INDIRECT($C$3&amp;"!$D$1"),1,0,$C$5,1)*IF($E$3=FALSE,1,(OFFSET(INDIRECT($C$3&amp;"!$B$1"),1,0,$C$5,1)&gt;=$E$4)*(OFFSET(INDIRECT($C$3&amp;"!$B$1"),1,0,$C$5,1)&lt;=$E$5))))</f>
        <v>2</v>
      </c>
      <c r="F15" s="26">
        <f t="shared" ref="F15:F33" ca="1" si="0">IF($C$2=FALSE,"-",IF(D15+E15=0,0,G15/(D15+E15)))</f>
        <v>35</v>
      </c>
      <c r="G15" s="27">
        <f t="array" aca="1" ref="G15" ca="1">IF($C$2=FALSE,"-",SUM((OFFSET(INDIRECT($C$3&amp;"!$A$1"),1,0,$C$5,1)=B15)*(OFFSET(INDIRECT($C$3&amp;"!$C$1"),1,0,$C$5,1)+OFFSET(INDIRECT($C$3&amp;"!$D$1"),1,0,$C$5,1))*OFFSET(INDIRECT($C$3&amp;"!$E$1"),1,0,$C$5,1)*IF($E$3=FALSE,1,(OFFSET(INDIRECT($C$3&amp;"!$B$1"),1,0,$C$5,1)&gt;=$E$4)*(OFFSET(INDIRECT($C$3&amp;"!$B$1"),1,0,$C$5,1)&lt;=$E$5))))</f>
        <v>7752.5</v>
      </c>
      <c r="H15" s="28">
        <f t="shared" ref="H15:H33" ca="1" si="1">IF($C$2=FALSE,"-",IF(D15+E15=0,0,I15/(D15+E15)))</f>
        <v>35.659706546275395</v>
      </c>
      <c r="I15" s="29">
        <f t="array" aca="1" ref="I15" ca="1">IF($C$2=FALSE,"-",SUM((OFFSET(INDIRECT($C$3&amp;"!$A$1"),1,0,$C$5,1)=B15)*(OFFSET(INDIRECT($C$3&amp;"!$C$1"),1,0,$C$5,1)+OFFSET(INDIRECT($C$3&amp;"!$D$1"),1,0,$C$5,1))*OFFSET(INDIRECT($C$3&amp;"!$E$1"),1,0,$C$5,1)*OFFSET(INDIRECT($C$3&amp;"!$F$1"),1,0,$C$5,1)*IF($E$3=FALSE,1,(OFFSET(INDIRECT($C$3&amp;"!$B$1"),1,0,$C$5,1)&gt;=$E$4)*(OFFSET(INDIRECT($C$3&amp;"!$B$1"),1,0,$C$5,1)&lt;=$E$5))))</f>
        <v>7898.625</v>
      </c>
      <c r="J15" s="30">
        <f t="shared" ref="J15:J33" ca="1" si="2">IF($C$2=FALSE,"-",I15-G15)</f>
        <v>146.125</v>
      </c>
      <c r="K15" s="31">
        <f t="shared" ref="K15:K33" ca="1" si="3">IF($C$2=FALSE,"-",IF(D15+E15=0,0,J15/(D15+E15)))</f>
        <v>0.65970654627539504</v>
      </c>
      <c r="L15" s="32">
        <f t="shared" ref="L15:L33" ca="1" si="4">IF($C$2=FALSE,"-",(H15-F15)-K15)</f>
        <v>-4.4408920985006262E-16</v>
      </c>
      <c r="O15" s="23" t="s">
        <v>44</v>
      </c>
      <c r="P15" s="24">
        <f t="array" aca="1" ref="P15" ca="1">IF($C$2=FALSE,"-",SUM((OFFSET(INDIRECT($C$3&amp;"!$H$1"),1,0,$C$5,1)=O15)*IF($E$3=FALSE,1,(OFFSET(INDIRECT($C$3&amp;"!$B$1"),1,0,$C$5,1)&gt;=$E$4)*(OFFSET(INDIRECT($C$3&amp;"!$B$1"),1,0,$C$5,1)&lt;=$E$5))))</f>
        <v>25</v>
      </c>
      <c r="Q15" s="25">
        <f t="array" aca="1" ref="Q15" ca="1">IF($C$2=FALSE,"-",SUM((OFFSET(INDIRECT($C$3&amp;"!$H$1"),1,0,$C$5,1)=O15)*OFFSET(INDIRECT($C$3&amp;"!$C$1"),1,0,$C$5,1)*IF($E$3=FALSE,1,(OFFSET(INDIRECT($C$3&amp;"!$B$1"),1,0,$C$5,1)&gt;=$E$4)*(OFFSET(INDIRECT($C$3&amp;"!$B$1"),1,0,$C$5,1)&lt;=$E$5))))</f>
        <v>160.75</v>
      </c>
      <c r="R15" s="34">
        <f t="array" aca="1" ref="R15" ca="1">IF($C$2=FALSE,"-",SUM((OFFSET(INDIRECT($C$3&amp;"!$H$1"),1,0,$C$5,1)=O15)*OFFSET(INDIRECT($C$3&amp;"!$D$1"),1,0,$C$5,1)*IF($E$3=FALSE,1,(OFFSET(INDIRECT($C$3&amp;"!$B$1"),1,0,$C$5,1)&gt;=$E$4)*(OFFSET(INDIRECT($C$3&amp;"!$B$1"),1,0,$C$5,1)&lt;=$E$5))))</f>
        <v>1</v>
      </c>
      <c r="S15" s="26">
        <f t="shared" ref="S15:S27" ca="1" si="5">IF($C$2=FALSE,"-",IF(Q15+R15=0,0,T15/(Q15+R15)))</f>
        <v>30.440494590417309</v>
      </c>
      <c r="T15" s="27">
        <f t="array" aca="1" ref="T15" ca="1">IF($C$2=FALSE,"-",SUM((OFFSET(INDIRECT($C$3&amp;"!$H$1"),1,0,$C$5,1)=O15)*(OFFSET(INDIRECT($C$3&amp;"!$C$1"),1,0,$C$5,1)+OFFSET(INDIRECT($C$3&amp;"!$D$1"),1,0,$C$5,1))*OFFSET(INDIRECT($C$3&amp;"!$E$1"),1,0,$C$5,1)*IF($E$3=FALSE,1,(OFFSET(INDIRECT($C$3&amp;"!$B$1"),1,0,$C$5,1)&gt;=$E$4)*(OFFSET(INDIRECT($C$3&amp;"!$B$1"),1,0,$C$5,1)&lt;=$E$5))))</f>
        <v>4923.75</v>
      </c>
      <c r="U15" s="28">
        <f t="shared" ref="U15:U27" ca="1" si="6">IF($C$2=FALSE,"-",IF(Q15+R15=0,0,V15/(Q15+R15)))</f>
        <v>31.775115919629059</v>
      </c>
      <c r="V15" s="29">
        <f t="array" aca="1" ref="V15" ca="1">IF($C$2=FALSE,"-",SUM((OFFSET(INDIRECT($C$3&amp;"!$H$1"),1,0,$C$5,1)=O15)*(OFFSET(INDIRECT($C$3&amp;"!$C$1"),1,0,$C$5,1)+OFFSET(INDIRECT($C$3&amp;"!$D$1"),1,0,$C$5,1))*OFFSET(INDIRECT($C$3&amp;"!$E$1"),1,0,$C$5,1)*OFFSET(INDIRECT($C$3&amp;"!$F$1"),1,0,$C$5,1)*IF($E$3=FALSE,1,(OFFSET(INDIRECT($C$3&amp;"!$B$1"),1,0,$C$5,1)&gt;=$E$4)*(OFFSET(INDIRECT($C$3&amp;"!$B$1"),1,0,$C$5,1)&lt;=$E$5))))</f>
        <v>5139.625</v>
      </c>
      <c r="W15" s="30">
        <f t="shared" ref="W15:W27" ca="1" si="7">IF($C$2=FALSE,"-",V15-T15)</f>
        <v>215.875</v>
      </c>
      <c r="X15" s="31">
        <f t="shared" ref="X15:X27" ca="1" si="8">IF($C$2=FALSE,"-",IF(Q15+R15=0,0,W15/(Q15+R15)))</f>
        <v>1.3346213292117466</v>
      </c>
      <c r="Y15" s="32">
        <f t="shared" ref="Y15:Y27" ca="1" si="9">IF($C$2=FALSE,"-",(U15-S15)-X15)</f>
        <v>3.1086244689504383E-15</v>
      </c>
    </row>
    <row r="16" spans="1:25" ht="20.100000000000001" customHeight="1" x14ac:dyDescent="0.2">
      <c r="B16" s="23" t="s">
        <v>26</v>
      </c>
      <c r="C16" s="24">
        <f t="array" aca="1" ref="C16" ca="1">IF($C$2=FALSE,"-",SUM((OFFSET(INDIRECT($C$3&amp;"!$A$1"),1,0,$C$5,1)=B16)*IF($E$3=FALSE,1,(OFFSET(INDIRECT($C$3&amp;"!$B$1"),1,0,$C$5,1)&gt;=$E$4)*(OFFSET(INDIRECT($C$3&amp;"!$B$1"),1,0,$C$5,1)&lt;=$E$5))))</f>
        <v>34</v>
      </c>
      <c r="D16" s="25">
        <f t="array" aca="1" ref="D16" ca="1">IF($C$2=FALSE,"-",SUM((OFFSET(INDIRECT($C$3&amp;"!$A$1"),1,0,$C$5,1)=B16)*OFFSET(INDIRECT($C$3&amp;"!$C$1"),1,0,$C$5,1)*IF($E$3=FALSE,1,(OFFSET(INDIRECT($C$3&amp;"!$B$1"),1,0,$C$5,1)&gt;=$E$4)*(OFFSET(INDIRECT($C$3&amp;"!$B$1"),1,0,$C$5,1)&lt;=$E$5))))</f>
        <v>290.5</v>
      </c>
      <c r="E16" s="34">
        <f t="array" aca="1" ref="E16" ca="1">IF($C$2=FALSE,"-",SUM((OFFSET(INDIRECT($C$3&amp;"!$A$1"),1,0,$C$5,1)=B16)*OFFSET(INDIRECT($C$3&amp;"!$D$1"),1,0,$C$5,1)*IF($E$3=FALSE,1,(OFFSET(INDIRECT($C$3&amp;"!$B$1"),1,0,$C$5,1)&gt;=$E$4)*(OFFSET(INDIRECT($C$3&amp;"!$B$1"),1,0,$C$5,1)&lt;=$E$5))))</f>
        <v>0</v>
      </c>
      <c r="F16" s="26">
        <f t="shared" ca="1" si="0"/>
        <v>25</v>
      </c>
      <c r="G16" s="27">
        <f t="array" aca="1" ref="G16" ca="1">IF($C$2=FALSE,"-",SUM((OFFSET(INDIRECT($C$3&amp;"!$A$1"),1,0,$C$5,1)=B16)*(OFFSET(INDIRECT($C$3&amp;"!$C$1"),1,0,$C$5,1)+OFFSET(INDIRECT($C$3&amp;"!$D$1"),1,0,$C$5,1))*OFFSET(INDIRECT($C$3&amp;"!$E$1"),1,0,$C$5,1)*IF($E$3=FALSE,1,(OFFSET(INDIRECT($C$3&amp;"!$B$1"),1,0,$C$5,1)&gt;=$E$4)*(OFFSET(INDIRECT($C$3&amp;"!$B$1"),1,0,$C$5,1)&lt;=$E$5))))</f>
        <v>7262.5</v>
      </c>
      <c r="H16" s="28">
        <f t="shared" ca="1" si="1"/>
        <v>27.5</v>
      </c>
      <c r="I16" s="29">
        <f t="array" aca="1" ref="I16" ca="1">IF($C$2=FALSE,"-",SUM((OFFSET(INDIRECT($C$3&amp;"!$A$1"),1,0,$C$5,1)=B16)*(OFFSET(INDIRECT($C$3&amp;"!$C$1"),1,0,$C$5,1)+OFFSET(INDIRECT($C$3&amp;"!$D$1"),1,0,$C$5,1))*OFFSET(INDIRECT($C$3&amp;"!$E$1"),1,0,$C$5,1)*OFFSET(INDIRECT($C$3&amp;"!$F$1"),1,0,$C$5,1)*IF($E$3=FALSE,1,(OFFSET(INDIRECT($C$3&amp;"!$B$1"),1,0,$C$5,1)&gt;=$E$4)*(OFFSET(INDIRECT($C$3&amp;"!$B$1"),1,0,$C$5,1)&lt;=$E$5))))</f>
        <v>7988.75</v>
      </c>
      <c r="J16" s="30">
        <f t="shared" ca="1" si="2"/>
        <v>726.25</v>
      </c>
      <c r="K16" s="31">
        <f t="shared" ca="1" si="3"/>
        <v>2.5</v>
      </c>
      <c r="L16" s="32">
        <f t="shared" ca="1" si="4"/>
        <v>0</v>
      </c>
      <c r="O16" s="23" t="s">
        <v>45</v>
      </c>
      <c r="P16" s="24">
        <f t="array" aca="1" ref="P16" ca="1">IF($C$2=FALSE,"-",SUM((OFFSET(INDIRECT($C$3&amp;"!$H$1"),1,0,$C$5,1)=O16)*IF($E$3=FALSE,1,(OFFSET(INDIRECT($C$3&amp;"!$B$1"),1,0,$C$5,1)&gt;=$E$4)*(OFFSET(INDIRECT($C$3&amp;"!$B$1"),1,0,$C$5,1)&lt;=$E$5))))</f>
        <v>83</v>
      </c>
      <c r="Q16" s="25">
        <f t="array" aca="1" ref="Q16" ca="1">IF($C$2=FALSE,"-",SUM((OFFSET(INDIRECT($C$3&amp;"!$H$1"),1,0,$C$5,1)=O16)*OFFSET(INDIRECT($C$3&amp;"!$C$1"),1,0,$C$5,1)*IF($E$3=FALSE,1,(OFFSET(INDIRECT($C$3&amp;"!$B$1"),1,0,$C$5,1)&gt;=$E$4)*(OFFSET(INDIRECT($C$3&amp;"!$B$1"),1,0,$C$5,1)&lt;=$E$5))))</f>
        <v>733.95</v>
      </c>
      <c r="R16" s="34">
        <f t="array" aca="1" ref="R16" ca="1">IF($C$2=FALSE,"-",SUM((OFFSET(INDIRECT($C$3&amp;"!$H$1"),1,0,$C$5,1)=O16)*OFFSET(INDIRECT($C$3&amp;"!$D$1"),1,0,$C$5,1)*IF($E$3=FALSE,1,(OFFSET(INDIRECT($C$3&amp;"!$B$1"),1,0,$C$5,1)&gt;=$E$4)*(OFFSET(INDIRECT($C$3&amp;"!$B$1"),1,0,$C$5,1)&lt;=$E$5))))</f>
        <v>2</v>
      </c>
      <c r="S16" s="26">
        <f t="shared" ca="1" si="5"/>
        <v>32.936340784020651</v>
      </c>
      <c r="T16" s="27">
        <f t="array" aca="1" ref="T16" ca="1">IF($C$2=FALSE,"-",SUM((OFFSET(INDIRECT($C$3&amp;"!$H$1"),1,0,$C$5,1)=O16)*(OFFSET(INDIRECT($C$3&amp;"!$C$1"),1,0,$C$5,1)+OFFSET(INDIRECT($C$3&amp;"!$D$1"),1,0,$C$5,1))*OFFSET(INDIRECT($C$3&amp;"!$E$1"),1,0,$C$5,1)*IF($E$3=FALSE,1,(OFFSET(INDIRECT($C$3&amp;"!$B$1"),1,0,$C$5,1)&gt;=$E$4)*(OFFSET(INDIRECT($C$3&amp;"!$B$1"),1,0,$C$5,1)&lt;=$E$5))))</f>
        <v>24239.5</v>
      </c>
      <c r="U16" s="28">
        <f t="shared" ca="1" si="6"/>
        <v>34.158502615666819</v>
      </c>
      <c r="V16" s="29">
        <f t="array" aca="1" ref="V16" ca="1">IF($C$2=FALSE,"-",SUM((OFFSET(INDIRECT($C$3&amp;"!$H$1"),1,0,$C$5,1)=O16)*(OFFSET(INDIRECT($C$3&amp;"!$C$1"),1,0,$C$5,1)+OFFSET(INDIRECT($C$3&amp;"!$D$1"),1,0,$C$5,1))*OFFSET(INDIRECT($C$3&amp;"!$E$1"),1,0,$C$5,1)*OFFSET(INDIRECT($C$3&amp;"!$F$1"),1,0,$C$5,1)*IF($E$3=FALSE,1,(OFFSET(INDIRECT($C$3&amp;"!$B$1"),1,0,$C$5,1)&gt;=$E$4)*(OFFSET(INDIRECT($C$3&amp;"!$B$1"),1,0,$C$5,1)&lt;=$E$5))))</f>
        <v>25138.949999999997</v>
      </c>
      <c r="W16" s="30">
        <f t="shared" ca="1" si="7"/>
        <v>899.44999999999709</v>
      </c>
      <c r="X16" s="31">
        <f t="shared" ca="1" si="8"/>
        <v>1.2221618316461675</v>
      </c>
      <c r="Y16" s="32">
        <f t="shared" ca="1" si="9"/>
        <v>1.1102230246251565E-15</v>
      </c>
    </row>
    <row r="17" spans="2:25" ht="20.100000000000001" customHeight="1" x14ac:dyDescent="0.2">
      <c r="B17" s="23" t="s">
        <v>27</v>
      </c>
      <c r="C17" s="24">
        <f t="array" aca="1" ref="C17" ca="1">IF($C$2=FALSE,"-",SUM((OFFSET(INDIRECT($C$3&amp;"!$A$1"),1,0,$C$5,1)=B17)*IF($E$3=FALSE,1,(OFFSET(INDIRECT($C$3&amp;"!$B$1"),1,0,$C$5,1)&gt;=$E$4)*(OFFSET(INDIRECT($C$3&amp;"!$B$1"),1,0,$C$5,1)&lt;=$E$5))))</f>
        <v>22</v>
      </c>
      <c r="D17" s="25">
        <f t="array" aca="1" ref="D17" ca="1">IF($C$2=FALSE,"-",SUM((OFFSET(INDIRECT($C$3&amp;"!$A$1"),1,0,$C$5,1)=B17)*OFFSET(INDIRECT($C$3&amp;"!$C$1"),1,0,$C$5,1)*IF($E$3=FALSE,1,(OFFSET(INDIRECT($C$3&amp;"!$B$1"),1,0,$C$5,1)&gt;=$E$4)*(OFFSET(INDIRECT($C$3&amp;"!$B$1"),1,0,$C$5,1)&lt;=$E$5))))</f>
        <v>206.25</v>
      </c>
      <c r="E17" s="34">
        <f t="array" aca="1" ref="E17" ca="1">IF($C$2=FALSE,"-",SUM((OFFSET(INDIRECT($C$3&amp;"!$A$1"),1,0,$C$5,1)=B17)*OFFSET(INDIRECT($C$3&amp;"!$D$1"),1,0,$C$5,1)*IF($E$3=FALSE,1,(OFFSET(INDIRECT($C$3&amp;"!$B$1"),1,0,$C$5,1)&gt;=$E$4)*(OFFSET(INDIRECT($C$3&amp;"!$B$1"),1,0,$C$5,1)&lt;=$E$5))))</f>
        <v>0</v>
      </c>
      <c r="F17" s="26">
        <f t="shared" ca="1" si="0"/>
        <v>22</v>
      </c>
      <c r="G17" s="27">
        <f t="array" aca="1" ref="G17" ca="1">IF($C$2=FALSE,"-",SUM((OFFSET(INDIRECT($C$3&amp;"!$A$1"),1,0,$C$5,1)=B17)*(OFFSET(INDIRECT($C$3&amp;"!$C$1"),1,0,$C$5,1)+OFFSET(INDIRECT($C$3&amp;"!$D$1"),1,0,$C$5,1))*OFFSET(INDIRECT($C$3&amp;"!$E$1"),1,0,$C$5,1)*IF($E$3=FALSE,1,(OFFSET(INDIRECT($C$3&amp;"!$B$1"),1,0,$C$5,1)&gt;=$E$4)*(OFFSET(INDIRECT($C$3&amp;"!$B$1"),1,0,$C$5,1)&lt;=$E$5))))</f>
        <v>4537.5</v>
      </c>
      <c r="H17" s="28">
        <f t="shared" ca="1" si="1"/>
        <v>24.200000000000003</v>
      </c>
      <c r="I17" s="29">
        <f t="array" aca="1" ref="I17" ca="1">IF($C$2=FALSE,"-",SUM((OFFSET(INDIRECT($C$3&amp;"!$A$1"),1,0,$C$5,1)=B17)*(OFFSET(INDIRECT($C$3&amp;"!$C$1"),1,0,$C$5,1)+OFFSET(INDIRECT($C$3&amp;"!$D$1"),1,0,$C$5,1))*OFFSET(INDIRECT($C$3&amp;"!$E$1"),1,0,$C$5,1)*OFFSET(INDIRECT($C$3&amp;"!$F$1"),1,0,$C$5,1)*IF($E$3=FALSE,1,(OFFSET(INDIRECT($C$3&amp;"!$B$1"),1,0,$C$5,1)&gt;=$E$4)*(OFFSET(INDIRECT($C$3&amp;"!$B$1"),1,0,$C$5,1)&lt;=$E$5))))</f>
        <v>4991.2500000000009</v>
      </c>
      <c r="J17" s="30">
        <f t="shared" ca="1" si="2"/>
        <v>453.75000000000091</v>
      </c>
      <c r="K17" s="31">
        <f t="shared" ca="1" si="3"/>
        <v>2.2000000000000046</v>
      </c>
      <c r="L17" s="32">
        <f t="shared" ca="1" si="4"/>
        <v>-1.7763568394002505E-15</v>
      </c>
      <c r="O17" s="23" t="s">
        <v>46</v>
      </c>
      <c r="P17" s="24">
        <f t="array" aca="1" ref="P17" ca="1">IF($C$2=FALSE,"-",SUM((OFFSET(INDIRECT($C$3&amp;"!$H$1"),1,0,$C$5,1)=O17)*IF($E$3=FALSE,1,(OFFSET(INDIRECT($C$3&amp;"!$B$1"),1,0,$C$5,1)&gt;=$E$4)*(OFFSET(INDIRECT($C$3&amp;"!$B$1"),1,0,$C$5,1)&lt;=$E$5))))</f>
        <v>2</v>
      </c>
      <c r="Q17" s="25">
        <f t="array" aca="1" ref="Q17" ca="1">IF($C$2=FALSE,"-",SUM((OFFSET(INDIRECT($C$3&amp;"!$H$1"),1,0,$C$5,1)=O17)*OFFSET(INDIRECT($C$3&amp;"!$C$1"),1,0,$C$5,1)*IF($E$3=FALSE,1,(OFFSET(INDIRECT($C$3&amp;"!$B$1"),1,0,$C$5,1)&gt;=$E$4)*(OFFSET(INDIRECT($C$3&amp;"!$B$1"),1,0,$C$5,1)&lt;=$E$5))))</f>
        <v>6</v>
      </c>
      <c r="R17" s="34">
        <f t="array" aca="1" ref="R17" ca="1">IF($C$2=FALSE,"-",SUM((OFFSET(INDIRECT($C$3&amp;"!$H$1"),1,0,$C$5,1)=O17)*OFFSET(INDIRECT($C$3&amp;"!$D$1"),1,0,$C$5,1)*IF($E$3=FALSE,1,(OFFSET(INDIRECT($C$3&amp;"!$B$1"),1,0,$C$5,1)&gt;=$E$4)*(OFFSET(INDIRECT($C$3&amp;"!$B$1"),1,0,$C$5,1)&lt;=$E$5))))</f>
        <v>0</v>
      </c>
      <c r="S17" s="26">
        <f t="shared" ca="1" si="5"/>
        <v>29</v>
      </c>
      <c r="T17" s="27">
        <f t="array" aca="1" ref="T17" ca="1">IF($C$2=FALSE,"-",SUM((OFFSET(INDIRECT($C$3&amp;"!$H$1"),1,0,$C$5,1)=O17)*(OFFSET(INDIRECT($C$3&amp;"!$C$1"),1,0,$C$5,1)+OFFSET(INDIRECT($C$3&amp;"!$D$1"),1,0,$C$5,1))*OFFSET(INDIRECT($C$3&amp;"!$E$1"),1,0,$C$5,1)*IF($E$3=FALSE,1,(OFFSET(INDIRECT($C$3&amp;"!$B$1"),1,0,$C$5,1)&gt;=$E$4)*(OFFSET(INDIRECT($C$3&amp;"!$B$1"),1,0,$C$5,1)&lt;=$E$5))))</f>
        <v>174</v>
      </c>
      <c r="U17" s="28">
        <f t="shared" ca="1" si="6"/>
        <v>30.150000000000002</v>
      </c>
      <c r="V17" s="29">
        <f t="array" aca="1" ref="V17" ca="1">IF($C$2=FALSE,"-",SUM((OFFSET(INDIRECT($C$3&amp;"!$H$1"),1,0,$C$5,1)=O17)*(OFFSET(INDIRECT($C$3&amp;"!$C$1"),1,0,$C$5,1)+OFFSET(INDIRECT($C$3&amp;"!$D$1"),1,0,$C$5,1))*OFFSET(INDIRECT($C$3&amp;"!$E$1"),1,0,$C$5,1)*OFFSET(INDIRECT($C$3&amp;"!$F$1"),1,0,$C$5,1)*IF($E$3=FALSE,1,(OFFSET(INDIRECT($C$3&amp;"!$B$1"),1,0,$C$5,1)&gt;=$E$4)*(OFFSET(INDIRECT($C$3&amp;"!$B$1"),1,0,$C$5,1)&lt;=$E$5))))</f>
        <v>180.9</v>
      </c>
      <c r="W17" s="30">
        <f t="shared" ca="1" si="7"/>
        <v>6.9000000000000057</v>
      </c>
      <c r="X17" s="31">
        <f t="shared" ca="1" si="8"/>
        <v>1.150000000000001</v>
      </c>
      <c r="Y17" s="32">
        <f t="shared" ca="1" si="9"/>
        <v>1.1102230246251565E-15</v>
      </c>
    </row>
    <row r="18" spans="2:25" ht="20.100000000000001" customHeight="1" x14ac:dyDescent="0.2">
      <c r="B18" s="23" t="s">
        <v>28</v>
      </c>
      <c r="C18" s="24">
        <f t="array" aca="1" ref="C18" ca="1">IF($C$2=FALSE,"-",SUM((OFFSET(INDIRECT($C$3&amp;"!$A$1"),1,0,$C$5,1)=B18)*IF($E$3=FALSE,1,(OFFSET(INDIRECT($C$3&amp;"!$B$1"),1,0,$C$5,1)&gt;=$E$4)*(OFFSET(INDIRECT($C$3&amp;"!$B$1"),1,0,$C$5,1)&lt;=$E$5))))</f>
        <v>13</v>
      </c>
      <c r="D18" s="25">
        <f t="array" aca="1" ref="D18" ca="1">IF($C$2=FALSE,"-",SUM((OFFSET(INDIRECT($C$3&amp;"!$A$1"),1,0,$C$5,1)=B18)*OFFSET(INDIRECT($C$3&amp;"!$C$1"),1,0,$C$5,1)*IF($E$3=FALSE,1,(OFFSET(INDIRECT($C$3&amp;"!$B$1"),1,0,$C$5,1)&gt;=$E$4)*(OFFSET(INDIRECT($C$3&amp;"!$B$1"),1,0,$C$5,1)&lt;=$E$5))))</f>
        <v>112.5</v>
      </c>
      <c r="E18" s="34">
        <f t="array" aca="1" ref="E18" ca="1">IF($C$2=FALSE,"-",SUM((OFFSET(INDIRECT($C$3&amp;"!$A$1"),1,0,$C$5,1)=B18)*OFFSET(INDIRECT($C$3&amp;"!$D$1"),1,0,$C$5,1)*IF($E$3=FALSE,1,(OFFSET(INDIRECT($C$3&amp;"!$B$1"),1,0,$C$5,1)&gt;=$E$4)*(OFFSET(INDIRECT($C$3&amp;"!$B$1"),1,0,$C$5,1)&lt;=$E$5))))</f>
        <v>1</v>
      </c>
      <c r="F18" s="26">
        <f t="shared" ca="1" si="0"/>
        <v>42</v>
      </c>
      <c r="G18" s="27">
        <f t="array" aca="1" ref="G18" ca="1">IF($C$2=FALSE,"-",SUM((OFFSET(INDIRECT($C$3&amp;"!$A$1"),1,0,$C$5,1)=B18)*(OFFSET(INDIRECT($C$3&amp;"!$C$1"),1,0,$C$5,1)+OFFSET(INDIRECT($C$3&amp;"!$D$1"),1,0,$C$5,1))*OFFSET(INDIRECT($C$3&amp;"!$E$1"),1,0,$C$5,1)*IF($E$3=FALSE,1,(OFFSET(INDIRECT($C$3&amp;"!$B$1"),1,0,$C$5,1)&gt;=$E$4)*(OFFSET(INDIRECT($C$3&amp;"!$B$1"),1,0,$C$5,1)&lt;=$E$5))))</f>
        <v>4767</v>
      </c>
      <c r="H18" s="28">
        <f t="shared" ca="1" si="1"/>
        <v>46.200000000000017</v>
      </c>
      <c r="I18" s="29">
        <f t="array" aca="1" ref="I18" ca="1">IF($C$2=FALSE,"-",SUM((OFFSET(INDIRECT($C$3&amp;"!$A$1"),1,0,$C$5,1)=B18)*(OFFSET(INDIRECT($C$3&amp;"!$C$1"),1,0,$C$5,1)+OFFSET(INDIRECT($C$3&amp;"!$D$1"),1,0,$C$5,1))*OFFSET(INDIRECT($C$3&amp;"!$E$1"),1,0,$C$5,1)*OFFSET(INDIRECT($C$3&amp;"!$F$1"),1,0,$C$5,1)*IF($E$3=FALSE,1,(OFFSET(INDIRECT($C$3&amp;"!$B$1"),1,0,$C$5,1)&gt;=$E$4)*(OFFSET(INDIRECT($C$3&amp;"!$B$1"),1,0,$C$5,1)&lt;=$E$5))))</f>
        <v>5243.7000000000016</v>
      </c>
      <c r="J18" s="30">
        <f t="shared" ca="1" si="2"/>
        <v>476.70000000000164</v>
      </c>
      <c r="K18" s="31">
        <f t="shared" ca="1" si="3"/>
        <v>4.2000000000000144</v>
      </c>
      <c r="L18" s="32">
        <f t="shared" ca="1" si="4"/>
        <v>2.6645352591003757E-15</v>
      </c>
      <c r="O18" s="23" t="s">
        <v>47</v>
      </c>
      <c r="P18" s="24">
        <f t="array" aca="1" ref="P18" ca="1">IF($C$2=FALSE,"-",SUM((OFFSET(INDIRECT($C$3&amp;"!$H$1"),1,0,$C$5,1)=O18)*IF($E$3=FALSE,1,(OFFSET(INDIRECT($C$3&amp;"!$B$1"),1,0,$C$5,1)&gt;=$E$4)*(OFFSET(INDIRECT($C$3&amp;"!$B$1"),1,0,$C$5,1)&lt;=$E$5))))</f>
        <v>1</v>
      </c>
      <c r="Q18" s="25">
        <f t="array" aca="1" ref="Q18" ca="1">IF($C$2=FALSE,"-",SUM((OFFSET(INDIRECT($C$3&amp;"!$H$1"),1,0,$C$5,1)=O18)*OFFSET(INDIRECT($C$3&amp;"!$C$1"),1,0,$C$5,1)*IF($E$3=FALSE,1,(OFFSET(INDIRECT($C$3&amp;"!$B$1"),1,0,$C$5,1)&gt;=$E$4)*(OFFSET(INDIRECT($C$3&amp;"!$B$1"),1,0,$C$5,1)&lt;=$E$5))))</f>
        <v>9.5</v>
      </c>
      <c r="R18" s="34">
        <f t="array" aca="1" ref="R18" ca="1">IF($C$2=FALSE,"-",SUM((OFFSET(INDIRECT($C$3&amp;"!$H$1"),1,0,$C$5,1)=O18)*OFFSET(INDIRECT($C$3&amp;"!$D$1"),1,0,$C$5,1)*IF($E$3=FALSE,1,(OFFSET(INDIRECT($C$3&amp;"!$B$1"),1,0,$C$5,1)&gt;=$E$4)*(OFFSET(INDIRECT($C$3&amp;"!$B$1"),1,0,$C$5,1)&lt;=$E$5))))</f>
        <v>0</v>
      </c>
      <c r="S18" s="26">
        <f t="shared" ca="1" si="5"/>
        <v>35</v>
      </c>
      <c r="T18" s="27">
        <f t="array" aca="1" ref="T18" ca="1">IF($C$2=FALSE,"-",SUM((OFFSET(INDIRECT($C$3&amp;"!$H$1"),1,0,$C$5,1)=O18)*(OFFSET(INDIRECT($C$3&amp;"!$C$1"),1,0,$C$5,1)+OFFSET(INDIRECT($C$3&amp;"!$D$1"),1,0,$C$5,1))*OFFSET(INDIRECT($C$3&amp;"!$E$1"),1,0,$C$5,1)*IF($E$3=FALSE,1,(OFFSET(INDIRECT($C$3&amp;"!$B$1"),1,0,$C$5,1)&gt;=$E$4)*(OFFSET(INDIRECT($C$3&amp;"!$B$1"),1,0,$C$5,1)&lt;=$E$5))))</f>
        <v>332.5</v>
      </c>
      <c r="U18" s="28">
        <f t="shared" ca="1" si="6"/>
        <v>35</v>
      </c>
      <c r="V18" s="29">
        <f t="array" aca="1" ref="V18" ca="1">IF($C$2=FALSE,"-",SUM((OFFSET(INDIRECT($C$3&amp;"!$H$1"),1,0,$C$5,1)=O18)*(OFFSET(INDIRECT($C$3&amp;"!$C$1"),1,0,$C$5,1)+OFFSET(INDIRECT($C$3&amp;"!$D$1"),1,0,$C$5,1))*OFFSET(INDIRECT($C$3&amp;"!$E$1"),1,0,$C$5,1)*OFFSET(INDIRECT($C$3&amp;"!$F$1"),1,0,$C$5,1)*IF($E$3=FALSE,1,(OFFSET(INDIRECT($C$3&amp;"!$B$1"),1,0,$C$5,1)&gt;=$E$4)*(OFFSET(INDIRECT($C$3&amp;"!$B$1"),1,0,$C$5,1)&lt;=$E$5))))</f>
        <v>332.5</v>
      </c>
      <c r="W18" s="30">
        <f t="shared" ca="1" si="7"/>
        <v>0</v>
      </c>
      <c r="X18" s="31">
        <f t="shared" ca="1" si="8"/>
        <v>0</v>
      </c>
      <c r="Y18" s="32">
        <f t="shared" ca="1" si="9"/>
        <v>0</v>
      </c>
    </row>
    <row r="19" spans="2:25" ht="20.100000000000001" customHeight="1" x14ac:dyDescent="0.2">
      <c r="B19" s="23" t="s">
        <v>29</v>
      </c>
      <c r="C19" s="24">
        <f t="array" aca="1" ref="C19" ca="1">IF($C$2=FALSE,"-",SUM((OFFSET(INDIRECT($C$3&amp;"!$A$1"),1,0,$C$5,1)=B19)*IF($E$3=FALSE,1,(OFFSET(INDIRECT($C$3&amp;"!$B$1"),1,0,$C$5,1)&gt;=$E$4)*(OFFSET(INDIRECT($C$3&amp;"!$B$1"),1,0,$C$5,1)&lt;=$E$5))))</f>
        <v>23</v>
      </c>
      <c r="D19" s="25">
        <f t="array" aca="1" ref="D19" ca="1">IF($C$2=FALSE,"-",SUM((OFFSET(INDIRECT($C$3&amp;"!$A$1"),1,0,$C$5,1)=B19)*OFFSET(INDIRECT($C$3&amp;"!$C$1"),1,0,$C$5,1)*IF($E$3=FALSE,1,(OFFSET(INDIRECT($C$3&amp;"!$B$1"),1,0,$C$5,1)&gt;=$E$4)*(OFFSET(INDIRECT($C$3&amp;"!$B$1"),1,0,$C$5,1)&lt;=$E$5))))</f>
        <v>182</v>
      </c>
      <c r="E19" s="34">
        <f t="array" aca="1" ref="E19" ca="1">IF($C$2=FALSE,"-",SUM((OFFSET(INDIRECT($C$3&amp;"!$A$1"),1,0,$C$5,1)=B19)*OFFSET(INDIRECT($C$3&amp;"!$D$1"),1,0,$C$5,1)*IF($E$3=FALSE,1,(OFFSET(INDIRECT($C$3&amp;"!$B$1"),1,0,$C$5,1)&gt;=$E$4)*(OFFSET(INDIRECT($C$3&amp;"!$B$1"),1,0,$C$5,1)&lt;=$E$5))))</f>
        <v>0</v>
      </c>
      <c r="F19" s="26">
        <f t="shared" ca="1" si="0"/>
        <v>23</v>
      </c>
      <c r="G19" s="27">
        <f t="array" aca="1" ref="G19" ca="1">IF($C$2=FALSE,"-",SUM((OFFSET(INDIRECT($C$3&amp;"!$A$1"),1,0,$C$5,1)=B19)*(OFFSET(INDIRECT($C$3&amp;"!$C$1"),1,0,$C$5,1)+OFFSET(INDIRECT($C$3&amp;"!$D$1"),1,0,$C$5,1))*OFFSET(INDIRECT($C$3&amp;"!$E$1"),1,0,$C$5,1)*IF($E$3=FALSE,1,(OFFSET(INDIRECT($C$3&amp;"!$B$1"),1,0,$C$5,1)&gt;=$E$4)*(OFFSET(INDIRECT($C$3&amp;"!$B$1"),1,0,$C$5,1)&lt;=$E$5))))</f>
        <v>4186</v>
      </c>
      <c r="H19" s="28">
        <f t="shared" ca="1" si="1"/>
        <v>25.3</v>
      </c>
      <c r="I19" s="29">
        <f t="array" aca="1" ref="I19" ca="1">IF($C$2=FALSE,"-",SUM((OFFSET(INDIRECT($C$3&amp;"!$A$1"),1,0,$C$5,1)=B19)*(OFFSET(INDIRECT($C$3&amp;"!$C$1"),1,0,$C$5,1)+OFFSET(INDIRECT($C$3&amp;"!$D$1"),1,0,$C$5,1))*OFFSET(INDIRECT($C$3&amp;"!$E$1"),1,0,$C$5,1)*OFFSET(INDIRECT($C$3&amp;"!$F$1"),1,0,$C$5,1)*IF($E$3=FALSE,1,(OFFSET(INDIRECT($C$3&amp;"!$B$1"),1,0,$C$5,1)&gt;=$E$4)*(OFFSET(INDIRECT($C$3&amp;"!$B$1"),1,0,$C$5,1)&lt;=$E$5))))</f>
        <v>4604.6000000000004</v>
      </c>
      <c r="J19" s="30">
        <f t="shared" ca="1" si="2"/>
        <v>418.60000000000036</v>
      </c>
      <c r="K19" s="31">
        <f t="shared" ca="1" si="3"/>
        <v>2.300000000000002</v>
      </c>
      <c r="L19" s="32">
        <f t="shared" ca="1" si="4"/>
        <v>-1.3322676295501878E-15</v>
      </c>
      <c r="O19" s="23" t="s">
        <v>48</v>
      </c>
      <c r="P19" s="24">
        <f t="array" aca="1" ref="P19" ca="1">IF($C$2=FALSE,"-",SUM((OFFSET(INDIRECT($C$3&amp;"!$H$1"),1,0,$C$5,1)=O19)*IF($E$3=FALSE,1,(OFFSET(INDIRECT($C$3&amp;"!$B$1"),1,0,$C$5,1)&gt;=$E$4)*(OFFSET(INDIRECT($C$3&amp;"!$B$1"),1,0,$C$5,1)&lt;=$E$5))))</f>
        <v>2</v>
      </c>
      <c r="Q19" s="25">
        <f t="array" aca="1" ref="Q19" ca="1">IF($C$2=FALSE,"-",SUM((OFFSET(INDIRECT($C$3&amp;"!$H$1"),1,0,$C$5,1)=O19)*OFFSET(INDIRECT($C$3&amp;"!$C$1"),1,0,$C$5,1)*IF($E$3=FALSE,1,(OFFSET(INDIRECT($C$3&amp;"!$B$1"),1,0,$C$5,1)&gt;=$E$4)*(OFFSET(INDIRECT($C$3&amp;"!$B$1"),1,0,$C$5,1)&lt;=$E$5))))</f>
        <v>11</v>
      </c>
      <c r="R19" s="34">
        <f t="array" aca="1" ref="R19" ca="1">IF($C$2=FALSE,"-",SUM((OFFSET(INDIRECT($C$3&amp;"!$H$1"),1,0,$C$5,1)=O19)*OFFSET(INDIRECT($C$3&amp;"!$D$1"),1,0,$C$5,1)*IF($E$3=FALSE,1,(OFFSET(INDIRECT($C$3&amp;"!$B$1"),1,0,$C$5,1)&gt;=$E$4)*(OFFSET(INDIRECT($C$3&amp;"!$B$1"),1,0,$C$5,1)&lt;=$E$5))))</f>
        <v>0</v>
      </c>
      <c r="S19" s="26">
        <f t="shared" ca="1" si="5"/>
        <v>42.5</v>
      </c>
      <c r="T19" s="27">
        <f t="array" aca="1" ref="T19" ca="1">IF($C$2=FALSE,"-",SUM((OFFSET(INDIRECT($C$3&amp;"!$H$1"),1,0,$C$5,1)=O19)*(OFFSET(INDIRECT($C$3&amp;"!$C$1"),1,0,$C$5,1)+OFFSET(INDIRECT($C$3&amp;"!$D$1"),1,0,$C$5,1))*OFFSET(INDIRECT($C$3&amp;"!$E$1"),1,0,$C$5,1)*IF($E$3=FALSE,1,(OFFSET(INDIRECT($C$3&amp;"!$B$1"),1,0,$C$5,1)&gt;=$E$4)*(OFFSET(INDIRECT($C$3&amp;"!$B$1"),1,0,$C$5,1)&lt;=$E$5))))</f>
        <v>467.5</v>
      </c>
      <c r="U19" s="28">
        <f t="shared" ca="1" si="6"/>
        <v>42.5</v>
      </c>
      <c r="V19" s="29">
        <f t="array" aca="1" ref="V19" ca="1">IF($C$2=FALSE,"-",SUM((OFFSET(INDIRECT($C$3&amp;"!$H$1"),1,0,$C$5,1)=O19)*(OFFSET(INDIRECT($C$3&amp;"!$C$1"),1,0,$C$5,1)+OFFSET(INDIRECT($C$3&amp;"!$D$1"),1,0,$C$5,1))*OFFSET(INDIRECT($C$3&amp;"!$E$1"),1,0,$C$5,1)*OFFSET(INDIRECT($C$3&amp;"!$F$1"),1,0,$C$5,1)*IF($E$3=FALSE,1,(OFFSET(INDIRECT($C$3&amp;"!$B$1"),1,0,$C$5,1)&gt;=$E$4)*(OFFSET(INDIRECT($C$3&amp;"!$B$1"),1,0,$C$5,1)&lt;=$E$5))))</f>
        <v>467.5</v>
      </c>
      <c r="W19" s="30">
        <f t="shared" ca="1" si="7"/>
        <v>0</v>
      </c>
      <c r="X19" s="31">
        <f t="shared" ca="1" si="8"/>
        <v>0</v>
      </c>
      <c r="Y19" s="32">
        <f t="shared" ca="1" si="9"/>
        <v>0</v>
      </c>
    </row>
    <row r="20" spans="2:25" ht="20.100000000000001" customHeight="1" x14ac:dyDescent="0.2">
      <c r="B20" s="23" t="s">
        <v>30</v>
      </c>
      <c r="C20" s="24">
        <f t="array" aca="1" ref="C20" ca="1">IF($C$2=FALSE,"-",SUM((OFFSET(INDIRECT($C$3&amp;"!$A$1"),1,0,$C$5,1)=B20)*IF($E$3=FALSE,1,(OFFSET(INDIRECT($C$3&amp;"!$B$1"),1,0,$C$5,1)&gt;=$E$4)*(OFFSET(INDIRECT($C$3&amp;"!$B$1"),1,0,$C$5,1)&lt;=$E$5))))</f>
        <v>9</v>
      </c>
      <c r="D20" s="25">
        <f t="array" aca="1" ref="D20" ca="1">IF($C$2=FALSE,"-",SUM((OFFSET(INDIRECT($C$3&amp;"!$A$1"),1,0,$C$5,1)=B20)*OFFSET(INDIRECT($C$3&amp;"!$C$1"),1,0,$C$5,1)*IF($E$3=FALSE,1,(OFFSET(INDIRECT($C$3&amp;"!$B$1"),1,0,$C$5,1)&gt;=$E$4)*(OFFSET(INDIRECT($C$3&amp;"!$B$1"),1,0,$C$5,1)&lt;=$E$5))))</f>
        <v>80.2</v>
      </c>
      <c r="E20" s="34">
        <f t="array" aca="1" ref="E20" ca="1">IF($C$2=FALSE,"-",SUM((OFFSET(INDIRECT($C$3&amp;"!$A$1"),1,0,$C$5,1)=B20)*OFFSET(INDIRECT($C$3&amp;"!$D$1"),1,0,$C$5,1)*IF($E$3=FALSE,1,(OFFSET(INDIRECT($C$3&amp;"!$B$1"),1,0,$C$5,1)&gt;=$E$4)*(OFFSET(INDIRECT($C$3&amp;"!$B$1"),1,0,$C$5,1)&lt;=$E$5))))</f>
        <v>0</v>
      </c>
      <c r="F20" s="26">
        <f t="shared" ca="1" si="0"/>
        <v>50</v>
      </c>
      <c r="G20" s="27">
        <f t="array" aca="1" ref="G20" ca="1">IF($C$2=FALSE,"-",SUM((OFFSET(INDIRECT($C$3&amp;"!$A$1"),1,0,$C$5,1)=B20)*(OFFSET(INDIRECT($C$3&amp;"!$C$1"),1,0,$C$5,1)+OFFSET(INDIRECT($C$3&amp;"!$D$1"),1,0,$C$5,1))*OFFSET(INDIRECT($C$3&amp;"!$E$1"),1,0,$C$5,1)*IF($E$3=FALSE,1,(OFFSET(INDIRECT($C$3&amp;"!$B$1"),1,0,$C$5,1)&gt;=$E$4)*(OFFSET(INDIRECT($C$3&amp;"!$B$1"),1,0,$C$5,1)&lt;=$E$5))))</f>
        <v>4010</v>
      </c>
      <c r="H20" s="28">
        <f t="shared" ca="1" si="1"/>
        <v>50</v>
      </c>
      <c r="I20" s="29">
        <f t="array" aca="1" ref="I20" ca="1">IF($C$2=FALSE,"-",SUM((OFFSET(INDIRECT($C$3&amp;"!$A$1"),1,0,$C$5,1)=B20)*(OFFSET(INDIRECT($C$3&amp;"!$C$1"),1,0,$C$5,1)+OFFSET(INDIRECT($C$3&amp;"!$D$1"),1,0,$C$5,1))*OFFSET(INDIRECT($C$3&amp;"!$E$1"),1,0,$C$5,1)*OFFSET(INDIRECT($C$3&amp;"!$F$1"),1,0,$C$5,1)*IF($E$3=FALSE,1,(OFFSET(INDIRECT($C$3&amp;"!$B$1"),1,0,$C$5,1)&gt;=$E$4)*(OFFSET(INDIRECT($C$3&amp;"!$B$1"),1,0,$C$5,1)&lt;=$E$5))))</f>
        <v>4010</v>
      </c>
      <c r="J20" s="30">
        <f t="shared" ca="1" si="2"/>
        <v>0</v>
      </c>
      <c r="K20" s="31">
        <f t="shared" ca="1" si="3"/>
        <v>0</v>
      </c>
      <c r="L20" s="32">
        <f t="shared" ca="1" si="4"/>
        <v>0</v>
      </c>
      <c r="O20" s="23" t="s">
        <v>50</v>
      </c>
      <c r="P20" s="24">
        <f t="array" aca="1" ref="P20" ca="1">IF($C$2=FALSE,"-",SUM((OFFSET(INDIRECT($C$3&amp;"!$H$1"),1,0,$C$5,1)=O20)*IF($E$3=FALSE,1,(OFFSET(INDIRECT($C$3&amp;"!$B$1"),1,0,$C$5,1)&gt;=$E$4)*(OFFSET(INDIRECT($C$3&amp;"!$B$1"),1,0,$C$5,1)&lt;=$E$5))))</f>
        <v>1</v>
      </c>
      <c r="Q20" s="25">
        <f t="array" aca="1" ref="Q20" ca="1">IF($C$2=FALSE,"-",SUM((OFFSET(INDIRECT($C$3&amp;"!$H$1"),1,0,$C$5,1)=O20)*OFFSET(INDIRECT($C$3&amp;"!$C$1"),1,0,$C$5,1)*IF($E$3=FALSE,1,(OFFSET(INDIRECT($C$3&amp;"!$B$1"),1,0,$C$5,1)&gt;=$E$4)*(OFFSET(INDIRECT($C$3&amp;"!$B$1"),1,0,$C$5,1)&lt;=$E$5))))</f>
        <v>11.5</v>
      </c>
      <c r="R20" s="34">
        <f t="array" aca="1" ref="R20" ca="1">IF($C$2=FALSE,"-",SUM((OFFSET(INDIRECT($C$3&amp;"!$H$1"),1,0,$C$5,1)=O20)*OFFSET(INDIRECT($C$3&amp;"!$D$1"),1,0,$C$5,1)*IF($E$3=FALSE,1,(OFFSET(INDIRECT($C$3&amp;"!$B$1"),1,0,$C$5,1)&gt;=$E$4)*(OFFSET(INDIRECT($C$3&amp;"!$B$1"),1,0,$C$5,1)&lt;=$E$5))))</f>
        <v>0</v>
      </c>
      <c r="S20" s="26">
        <f t="shared" ca="1" si="5"/>
        <v>25</v>
      </c>
      <c r="T20" s="27">
        <f t="array" aca="1" ref="T20" ca="1">IF($C$2=FALSE,"-",SUM((OFFSET(INDIRECT($C$3&amp;"!$H$1"),1,0,$C$5,1)=O20)*(OFFSET(INDIRECT($C$3&amp;"!$C$1"),1,0,$C$5,1)+OFFSET(INDIRECT($C$3&amp;"!$D$1"),1,0,$C$5,1))*OFFSET(INDIRECT($C$3&amp;"!$E$1"),1,0,$C$5,1)*IF($E$3=FALSE,1,(OFFSET(INDIRECT($C$3&amp;"!$B$1"),1,0,$C$5,1)&gt;=$E$4)*(OFFSET(INDIRECT($C$3&amp;"!$B$1"),1,0,$C$5,1)&lt;=$E$5))))</f>
        <v>287.5</v>
      </c>
      <c r="U20" s="28">
        <f t="shared" ca="1" si="6"/>
        <v>27.5</v>
      </c>
      <c r="V20" s="29">
        <f t="array" aca="1" ref="V20" ca="1">IF($C$2=FALSE,"-",SUM((OFFSET(INDIRECT($C$3&amp;"!$H$1"),1,0,$C$5,1)=O20)*(OFFSET(INDIRECT($C$3&amp;"!$C$1"),1,0,$C$5,1)+OFFSET(INDIRECT($C$3&amp;"!$D$1"),1,0,$C$5,1))*OFFSET(INDIRECT($C$3&amp;"!$E$1"),1,0,$C$5,1)*OFFSET(INDIRECT($C$3&amp;"!$F$1"),1,0,$C$5,1)*IF($E$3=FALSE,1,(OFFSET(INDIRECT($C$3&amp;"!$B$1"),1,0,$C$5,1)&gt;=$E$4)*(OFFSET(INDIRECT($C$3&amp;"!$B$1"),1,0,$C$5,1)&lt;=$E$5))))</f>
        <v>316.25</v>
      </c>
      <c r="W20" s="30">
        <f t="shared" ca="1" si="7"/>
        <v>28.75</v>
      </c>
      <c r="X20" s="31">
        <f t="shared" ca="1" si="8"/>
        <v>2.5</v>
      </c>
      <c r="Y20" s="32">
        <f t="shared" ca="1" si="9"/>
        <v>0</v>
      </c>
    </row>
    <row r="21" spans="2:25" ht="20.100000000000001" customHeight="1" x14ac:dyDescent="0.2">
      <c r="B21" s="23" t="s">
        <v>31</v>
      </c>
      <c r="C21" s="24">
        <f t="array" aca="1" ref="C21" ca="1">IF($C$2=FALSE,"-",SUM((OFFSET(INDIRECT($C$3&amp;"!$A$1"),1,0,$C$5,1)=B21)*IF($E$3=FALSE,1,(OFFSET(INDIRECT($C$3&amp;"!$B$1"),1,0,$C$5,1)&gt;=$E$4)*(OFFSET(INDIRECT($C$3&amp;"!$B$1"),1,0,$C$5,1)&lt;=$E$5))))</f>
        <v>8</v>
      </c>
      <c r="D21" s="25">
        <f t="array" aca="1" ref="D21" ca="1">IF($C$2=FALSE,"-",SUM((OFFSET(INDIRECT($C$3&amp;"!$A$1"),1,0,$C$5,1)=B21)*OFFSET(INDIRECT($C$3&amp;"!$C$1"),1,0,$C$5,1)*IF($E$3=FALSE,1,(OFFSET(INDIRECT($C$3&amp;"!$B$1"),1,0,$C$5,1)&gt;=$E$4)*(OFFSET(INDIRECT($C$3&amp;"!$B$1"),1,0,$C$5,1)&lt;=$E$5))))</f>
        <v>60.75</v>
      </c>
      <c r="E21" s="34">
        <f t="array" aca="1" ref="E21" ca="1">IF($C$2=FALSE,"-",SUM((OFFSET(INDIRECT($C$3&amp;"!$A$1"),1,0,$C$5,1)=B21)*OFFSET(INDIRECT($C$3&amp;"!$D$1"),1,0,$C$5,1)*IF($E$3=FALSE,1,(OFFSET(INDIRECT($C$3&amp;"!$B$1"),1,0,$C$5,1)&gt;=$E$4)*(OFFSET(INDIRECT($C$3&amp;"!$B$1"),1,0,$C$5,1)&lt;=$E$5))))</f>
        <v>0</v>
      </c>
      <c r="F21" s="26">
        <f t="shared" ca="1" si="0"/>
        <v>50</v>
      </c>
      <c r="G21" s="27">
        <f t="array" aca="1" ref="G21" ca="1">IF($C$2=FALSE,"-",SUM((OFFSET(INDIRECT($C$3&amp;"!$A$1"),1,0,$C$5,1)=B21)*(OFFSET(INDIRECT($C$3&amp;"!$C$1"),1,0,$C$5,1)+OFFSET(INDIRECT($C$3&amp;"!$D$1"),1,0,$C$5,1))*OFFSET(INDIRECT($C$3&amp;"!$E$1"),1,0,$C$5,1)*IF($E$3=FALSE,1,(OFFSET(INDIRECT($C$3&amp;"!$B$1"),1,0,$C$5,1)&gt;=$E$4)*(OFFSET(INDIRECT($C$3&amp;"!$B$1"),1,0,$C$5,1)&lt;=$E$5))))</f>
        <v>3037.5</v>
      </c>
      <c r="H21" s="28">
        <f t="shared" ca="1" si="1"/>
        <v>50</v>
      </c>
      <c r="I21" s="29">
        <f t="array" aca="1" ref="I21" ca="1">IF($C$2=FALSE,"-",SUM((OFFSET(INDIRECT($C$3&amp;"!$A$1"),1,0,$C$5,1)=B21)*(OFFSET(INDIRECT($C$3&amp;"!$C$1"),1,0,$C$5,1)+OFFSET(INDIRECT($C$3&amp;"!$D$1"),1,0,$C$5,1))*OFFSET(INDIRECT($C$3&amp;"!$E$1"),1,0,$C$5,1)*OFFSET(INDIRECT($C$3&amp;"!$F$1"),1,0,$C$5,1)*IF($E$3=FALSE,1,(OFFSET(INDIRECT($C$3&amp;"!$B$1"),1,0,$C$5,1)&gt;=$E$4)*(OFFSET(INDIRECT($C$3&amp;"!$B$1"),1,0,$C$5,1)&lt;=$E$5))))</f>
        <v>3037.5</v>
      </c>
      <c r="J21" s="30">
        <f t="shared" ca="1" si="2"/>
        <v>0</v>
      </c>
      <c r="K21" s="31">
        <f t="shared" ca="1" si="3"/>
        <v>0</v>
      </c>
      <c r="L21" s="32">
        <f t="shared" ca="1" si="4"/>
        <v>0</v>
      </c>
      <c r="O21" s="23" t="s">
        <v>49</v>
      </c>
      <c r="P21" s="24">
        <f t="array" aca="1" ref="P21" ca="1">IF($C$2=FALSE,"-",SUM((OFFSET(INDIRECT($C$3&amp;"!$H$1"),1,0,$C$5,1)=O21)*IF($E$3=FALSE,1,(OFFSET(INDIRECT($C$3&amp;"!$B$1"),1,0,$C$5,1)&gt;=$E$4)*(OFFSET(INDIRECT($C$3&amp;"!$B$1"),1,0,$C$5,1)&lt;=$E$5))))</f>
        <v>55</v>
      </c>
      <c r="Q21" s="25">
        <f t="array" aca="1" ref="Q21" ca="1">IF($C$2=FALSE,"-",SUM((OFFSET(INDIRECT($C$3&amp;"!$H$1"),1,0,$C$5,1)=O21)*OFFSET(INDIRECT($C$3&amp;"!$C$1"),1,0,$C$5,1)*IF($E$3=FALSE,1,(OFFSET(INDIRECT($C$3&amp;"!$B$1"),1,0,$C$5,1)&gt;=$E$4)*(OFFSET(INDIRECT($C$3&amp;"!$B$1"),1,0,$C$5,1)&lt;=$E$5))))</f>
        <v>513.25</v>
      </c>
      <c r="R21" s="34">
        <f t="array" aca="1" ref="R21" ca="1">IF($C$2=FALSE,"-",SUM((OFFSET(INDIRECT($C$3&amp;"!$H$1"),1,0,$C$5,1)=O21)*OFFSET(INDIRECT($C$3&amp;"!$D$1"),1,0,$C$5,1)*IF($E$3=FALSE,1,(OFFSET(INDIRECT($C$3&amp;"!$B$1"),1,0,$C$5,1)&gt;=$E$4)*(OFFSET(INDIRECT($C$3&amp;"!$B$1"),1,0,$C$5,1)&lt;=$E$5))))</f>
        <v>0</v>
      </c>
      <c r="S21" s="26">
        <f t="shared" ca="1" si="5"/>
        <v>25.63273258645884</v>
      </c>
      <c r="T21" s="27">
        <f t="array" aca="1" ref="T21" ca="1">IF($C$2=FALSE,"-",SUM((OFFSET(INDIRECT($C$3&amp;"!$H$1"),1,0,$C$5,1)=O21)*(OFFSET(INDIRECT($C$3&amp;"!$C$1"),1,0,$C$5,1)+OFFSET(INDIRECT($C$3&amp;"!$D$1"),1,0,$C$5,1))*OFFSET(INDIRECT($C$3&amp;"!$E$1"),1,0,$C$5,1)*IF($E$3=FALSE,1,(OFFSET(INDIRECT($C$3&amp;"!$B$1"),1,0,$C$5,1)&gt;=$E$4)*(OFFSET(INDIRECT($C$3&amp;"!$B$1"),1,0,$C$5,1)&lt;=$E$5))))</f>
        <v>13156</v>
      </c>
      <c r="U21" s="28">
        <f t="shared" ca="1" si="6"/>
        <v>28.196005845104729</v>
      </c>
      <c r="V21" s="29">
        <f t="array" aca="1" ref="V21" ca="1">IF($C$2=FALSE,"-",SUM((OFFSET(INDIRECT($C$3&amp;"!$H$1"),1,0,$C$5,1)=O21)*(OFFSET(INDIRECT($C$3&amp;"!$C$1"),1,0,$C$5,1)+OFFSET(INDIRECT($C$3&amp;"!$D$1"),1,0,$C$5,1))*OFFSET(INDIRECT($C$3&amp;"!$E$1"),1,0,$C$5,1)*OFFSET(INDIRECT($C$3&amp;"!$F$1"),1,0,$C$5,1)*IF($E$3=FALSE,1,(OFFSET(INDIRECT($C$3&amp;"!$B$1"),1,0,$C$5,1)&gt;=$E$4)*(OFFSET(INDIRECT($C$3&amp;"!$B$1"),1,0,$C$5,1)&lt;=$E$5))))</f>
        <v>14471.600000000002</v>
      </c>
      <c r="W21" s="30">
        <f t="shared" ca="1" si="7"/>
        <v>1315.6000000000022</v>
      </c>
      <c r="X21" s="31">
        <f t="shared" ca="1" si="8"/>
        <v>2.5632732586458884</v>
      </c>
      <c r="Y21" s="32">
        <f t="shared" ca="1" si="9"/>
        <v>8.8817841970012523E-16</v>
      </c>
    </row>
    <row r="22" spans="2:25" ht="20.100000000000001" customHeight="1" x14ac:dyDescent="0.2">
      <c r="B22" s="23" t="s">
        <v>32</v>
      </c>
      <c r="C22" s="24">
        <f t="array" aca="1" ref="C22" ca="1">IF($C$2=FALSE,"-",SUM((OFFSET(INDIRECT($C$3&amp;"!$A$1"),1,0,$C$5,1)=B22)*IF($E$3=FALSE,1,(OFFSET(INDIRECT($C$3&amp;"!$B$1"),1,0,$C$5,1)&gt;=$E$4)*(OFFSET(INDIRECT($C$3&amp;"!$B$1"),1,0,$C$5,1)&lt;=$E$5))))</f>
        <v>8</v>
      </c>
      <c r="D22" s="25">
        <f t="array" aca="1" ref="D22" ca="1">IF($C$2=FALSE,"-",SUM((OFFSET(INDIRECT($C$3&amp;"!$A$1"),1,0,$C$5,1)=B22)*OFFSET(INDIRECT($C$3&amp;"!$C$1"),1,0,$C$5,1)*IF($E$3=FALSE,1,(OFFSET(INDIRECT($C$3&amp;"!$B$1"),1,0,$C$5,1)&gt;=$E$4)*(OFFSET(INDIRECT($C$3&amp;"!$B$1"),1,0,$C$5,1)&lt;=$E$5))))</f>
        <v>54</v>
      </c>
      <c r="E22" s="34">
        <f t="array" aca="1" ref="E22" ca="1">IF($C$2=FALSE,"-",SUM((OFFSET(INDIRECT($C$3&amp;"!$A$1"),1,0,$C$5,1)=B22)*OFFSET(INDIRECT($C$3&amp;"!$D$1"),1,0,$C$5,1)*IF($E$3=FALSE,1,(OFFSET(INDIRECT($C$3&amp;"!$B$1"),1,0,$C$5,1)&gt;=$E$4)*(OFFSET(INDIRECT($C$3&amp;"!$B$1"),1,0,$C$5,1)&lt;=$E$5))))</f>
        <v>0</v>
      </c>
      <c r="F22" s="26">
        <f t="shared" ca="1" si="0"/>
        <v>40</v>
      </c>
      <c r="G22" s="27">
        <f t="array" aca="1" ref="G22" ca="1">IF($C$2=FALSE,"-",SUM((OFFSET(INDIRECT($C$3&amp;"!$A$1"),1,0,$C$5,1)=B22)*(OFFSET(INDIRECT($C$3&amp;"!$C$1"),1,0,$C$5,1)+OFFSET(INDIRECT($C$3&amp;"!$D$1"),1,0,$C$5,1))*OFFSET(INDIRECT($C$3&amp;"!$E$1"),1,0,$C$5,1)*IF($E$3=FALSE,1,(OFFSET(INDIRECT($C$3&amp;"!$B$1"),1,0,$C$5,1)&gt;=$E$4)*(OFFSET(INDIRECT($C$3&amp;"!$B$1"),1,0,$C$5,1)&lt;=$E$5))))</f>
        <v>2160</v>
      </c>
      <c r="H22" s="28">
        <f t="shared" ca="1" si="1"/>
        <v>40</v>
      </c>
      <c r="I22" s="29">
        <f t="array" aca="1" ref="I22" ca="1">IF($C$2=FALSE,"-",SUM((OFFSET(INDIRECT($C$3&amp;"!$A$1"),1,0,$C$5,1)=B22)*(OFFSET(INDIRECT($C$3&amp;"!$C$1"),1,0,$C$5,1)+OFFSET(INDIRECT($C$3&amp;"!$D$1"),1,0,$C$5,1))*OFFSET(INDIRECT($C$3&amp;"!$E$1"),1,0,$C$5,1)*OFFSET(INDIRECT($C$3&amp;"!$F$1"),1,0,$C$5,1)*IF($E$3=FALSE,1,(OFFSET(INDIRECT($C$3&amp;"!$B$1"),1,0,$C$5,1)&gt;=$E$4)*(OFFSET(INDIRECT($C$3&amp;"!$B$1"),1,0,$C$5,1)&lt;=$E$5))))</f>
        <v>2160</v>
      </c>
      <c r="J22" s="30">
        <f t="shared" ca="1" si="2"/>
        <v>0</v>
      </c>
      <c r="K22" s="31">
        <f t="shared" ca="1" si="3"/>
        <v>0</v>
      </c>
      <c r="L22" s="32">
        <f t="shared" ca="1" si="4"/>
        <v>0</v>
      </c>
      <c r="O22" s="23"/>
      <c r="P22" s="24">
        <f t="array" aca="1" ref="P22" ca="1">IF($C$2=FALSE,"-",SUM((OFFSET(INDIRECT($C$3&amp;"!$H$1"),1,0,$C$5,1)=O22)*IF($E$3=FALSE,1,(OFFSET(INDIRECT($C$3&amp;"!$B$1"),1,0,$C$5,1)&gt;=$E$4)*(OFFSET(INDIRECT($C$3&amp;"!$B$1"),1,0,$C$5,1)&lt;=$E$5))))</f>
        <v>43</v>
      </c>
      <c r="Q22" s="25">
        <f t="array" aca="1" ref="Q22" ca="1">IF($C$2=FALSE,"-",SUM((OFFSET(INDIRECT($C$3&amp;"!$H$1"),1,0,$C$5,1)=O22)*OFFSET(INDIRECT($C$3&amp;"!$C$1"),1,0,$C$5,1)*IF($E$3=FALSE,1,(OFFSET(INDIRECT($C$3&amp;"!$B$1"),1,0,$C$5,1)&gt;=$E$4)*(OFFSET(INDIRECT($C$3&amp;"!$B$1"),1,0,$C$5,1)&lt;=$E$5))))</f>
        <v>546</v>
      </c>
      <c r="R22" s="34">
        <f t="array" aca="1" ref="R22" ca="1">IF($C$2=FALSE,"-",SUM((OFFSET(INDIRECT($C$3&amp;"!$H$1"),1,0,$C$5,1)=O22)*OFFSET(INDIRECT($C$3&amp;"!$D$1"),1,0,$C$5,1)*IF($E$3=FALSE,1,(OFFSET(INDIRECT($C$3&amp;"!$B$1"),1,0,$C$5,1)&gt;=$E$4)*(OFFSET(INDIRECT($C$3&amp;"!$B$1"),1,0,$C$5,1)&lt;=$E$5))))</f>
        <v>0</v>
      </c>
      <c r="S22" s="26">
        <f t="shared" ca="1" si="5"/>
        <v>35.043040293040292</v>
      </c>
      <c r="T22" s="27">
        <f t="array" aca="1" ref="T22" ca="1">IF($C$2=FALSE,"-",SUM((OFFSET(INDIRECT($C$3&amp;"!$H$1"),1,0,$C$5,1)=O22)*(OFFSET(INDIRECT($C$3&amp;"!$C$1"),1,0,$C$5,1)+OFFSET(INDIRECT($C$3&amp;"!$D$1"),1,0,$C$5,1))*OFFSET(INDIRECT($C$3&amp;"!$E$1"),1,0,$C$5,1)*IF($E$3=FALSE,1,(OFFSET(INDIRECT($C$3&amp;"!$B$1"),1,0,$C$5,1)&gt;=$E$4)*(OFFSET(INDIRECT($C$3&amp;"!$B$1"),1,0,$C$5,1)&lt;=$E$5))))</f>
        <v>19133.5</v>
      </c>
      <c r="U22" s="28">
        <f t="shared" ca="1" si="6"/>
        <v>35.822527472527469</v>
      </c>
      <c r="V22" s="29">
        <f t="array" aca="1" ref="V22" ca="1">IF($C$2=FALSE,"-",SUM((OFFSET(INDIRECT($C$3&amp;"!$H$1"),1,0,$C$5,1)=O22)*(OFFSET(INDIRECT($C$3&amp;"!$C$1"),1,0,$C$5,1)+OFFSET(INDIRECT($C$3&amp;"!$D$1"),1,0,$C$5,1))*OFFSET(INDIRECT($C$3&amp;"!$E$1"),1,0,$C$5,1)*OFFSET(INDIRECT($C$3&amp;"!$F$1"),1,0,$C$5,1)*IF($E$3=FALSE,1,(OFFSET(INDIRECT($C$3&amp;"!$B$1"),1,0,$C$5,1)&gt;=$E$4)*(OFFSET(INDIRECT($C$3&amp;"!$B$1"),1,0,$C$5,1)&lt;=$E$5))))</f>
        <v>19559.099999999999</v>
      </c>
      <c r="W22" s="30">
        <f t="shared" ca="1" si="7"/>
        <v>425.59999999999854</v>
      </c>
      <c r="X22" s="31">
        <f t="shared" ca="1" si="8"/>
        <v>0.77948717948717683</v>
      </c>
      <c r="Y22" s="32">
        <f t="shared" ca="1" si="9"/>
        <v>-1.1102230246251565E-16</v>
      </c>
    </row>
    <row r="23" spans="2:25" ht="20.100000000000001" customHeight="1" x14ac:dyDescent="0.2">
      <c r="B23" s="23" t="s">
        <v>33</v>
      </c>
      <c r="C23" s="24">
        <f t="array" aca="1" ref="C23" ca="1">IF($C$2=FALSE,"-",SUM((OFFSET(INDIRECT($C$3&amp;"!$A$1"),1,0,$C$5,1)=B23)*IF($E$3=FALSE,1,(OFFSET(INDIRECT($C$3&amp;"!$B$1"),1,0,$C$5,1)&gt;=$E$4)*(OFFSET(INDIRECT($C$3&amp;"!$B$1"),1,0,$C$5,1)&lt;=$E$5))))</f>
        <v>4</v>
      </c>
      <c r="D23" s="25">
        <f t="array" aca="1" ref="D23" ca="1">IF($C$2=FALSE,"-",SUM((OFFSET(INDIRECT($C$3&amp;"!$A$1"),1,0,$C$5,1)=B23)*OFFSET(INDIRECT($C$3&amp;"!$C$1"),1,0,$C$5,1)*IF($E$3=FALSE,1,(OFFSET(INDIRECT($C$3&amp;"!$B$1"),1,0,$C$5,1)&gt;=$E$4)*(OFFSET(INDIRECT($C$3&amp;"!$B$1"),1,0,$C$5,1)&lt;=$E$5))))</f>
        <v>75.5</v>
      </c>
      <c r="E23" s="34">
        <f t="array" aca="1" ref="E23" ca="1">IF($C$2=FALSE,"-",SUM((OFFSET(INDIRECT($C$3&amp;"!$A$1"),1,0,$C$5,1)=B23)*OFFSET(INDIRECT($C$3&amp;"!$D$1"),1,0,$C$5,1)*IF($E$3=FALSE,1,(OFFSET(INDIRECT($C$3&amp;"!$B$1"),1,0,$C$5,1)&gt;=$E$4)*(OFFSET(INDIRECT($C$3&amp;"!$B$1"),1,0,$C$5,1)&lt;=$E$5))))</f>
        <v>0</v>
      </c>
      <c r="F23" s="26">
        <f t="shared" ca="1" si="0"/>
        <v>25</v>
      </c>
      <c r="G23" s="27">
        <f t="array" aca="1" ref="G23" ca="1">IF($C$2=FALSE,"-",SUM((OFFSET(INDIRECT($C$3&amp;"!$A$1"),1,0,$C$5,1)=B23)*(OFFSET(INDIRECT($C$3&amp;"!$C$1"),1,0,$C$5,1)+OFFSET(INDIRECT($C$3&amp;"!$D$1"),1,0,$C$5,1))*OFFSET(INDIRECT($C$3&amp;"!$E$1"),1,0,$C$5,1)*IF($E$3=FALSE,1,(OFFSET(INDIRECT($C$3&amp;"!$B$1"),1,0,$C$5,1)&gt;=$E$4)*(OFFSET(INDIRECT($C$3&amp;"!$B$1"),1,0,$C$5,1)&lt;=$E$5))))</f>
        <v>1887.5</v>
      </c>
      <c r="H23" s="28">
        <f t="shared" ca="1" si="1"/>
        <v>27.5</v>
      </c>
      <c r="I23" s="29">
        <f t="array" aca="1" ref="I23" ca="1">IF($C$2=FALSE,"-",SUM((OFFSET(INDIRECT($C$3&amp;"!$A$1"),1,0,$C$5,1)=B23)*(OFFSET(INDIRECT($C$3&amp;"!$C$1"),1,0,$C$5,1)+OFFSET(INDIRECT($C$3&amp;"!$D$1"),1,0,$C$5,1))*OFFSET(INDIRECT($C$3&amp;"!$E$1"),1,0,$C$5,1)*OFFSET(INDIRECT($C$3&amp;"!$F$1"),1,0,$C$5,1)*IF($E$3=FALSE,1,(OFFSET(INDIRECT($C$3&amp;"!$B$1"),1,0,$C$5,1)&gt;=$E$4)*(OFFSET(INDIRECT($C$3&amp;"!$B$1"),1,0,$C$5,1)&lt;=$E$5))))</f>
        <v>2076.25</v>
      </c>
      <c r="J23" s="30">
        <f t="shared" ca="1" si="2"/>
        <v>188.75</v>
      </c>
      <c r="K23" s="31">
        <f t="shared" ca="1" si="3"/>
        <v>2.5</v>
      </c>
      <c r="L23" s="32">
        <f t="shared" ca="1" si="4"/>
        <v>0</v>
      </c>
      <c r="O23" s="23" t="s">
        <v>51</v>
      </c>
      <c r="P23" s="24">
        <f t="array" aca="1" ref="P23" ca="1">IF($C$2=FALSE,"-",SUM((OFFSET(INDIRECT($C$3&amp;"!$H$1"),1,0,$C$5,1)=O23)*IF($E$3=FALSE,1,(OFFSET(INDIRECT($C$3&amp;"!$B$1"),1,0,$C$5,1)&gt;=$E$4)*(OFFSET(INDIRECT($C$3&amp;"!$B$1"),1,0,$C$5,1)&lt;=$E$5))))</f>
        <v>3</v>
      </c>
      <c r="Q23" s="25">
        <f t="array" aca="1" ref="Q23" ca="1">IF($C$2=FALSE,"-",SUM((OFFSET(INDIRECT($C$3&amp;"!$H$1"),1,0,$C$5,1)=O23)*OFFSET(INDIRECT($C$3&amp;"!$C$1"),1,0,$C$5,1)*IF($E$3=FALSE,1,(OFFSET(INDIRECT($C$3&amp;"!$B$1"),1,0,$C$5,1)&gt;=$E$4)*(OFFSET(INDIRECT($C$3&amp;"!$B$1"),1,0,$C$5,1)&lt;=$E$5))))</f>
        <v>9</v>
      </c>
      <c r="R23" s="34">
        <f t="array" aca="1" ref="R23" ca="1">IF($C$2=FALSE,"-",SUM((OFFSET(INDIRECT($C$3&amp;"!$H$1"),1,0,$C$5,1)=O23)*OFFSET(INDIRECT($C$3&amp;"!$D$1"),1,0,$C$5,1)*IF($E$3=FALSE,1,(OFFSET(INDIRECT($C$3&amp;"!$B$1"),1,0,$C$5,1)&gt;=$E$4)*(OFFSET(INDIRECT($C$3&amp;"!$B$1"),1,0,$C$5,1)&lt;=$E$5))))</f>
        <v>0</v>
      </c>
      <c r="S23" s="26">
        <f t="shared" ca="1" si="5"/>
        <v>26.666666666666668</v>
      </c>
      <c r="T23" s="27">
        <f t="array" aca="1" ref="T23" ca="1">IF($C$2=FALSE,"-",SUM((OFFSET(INDIRECT($C$3&amp;"!$H$1"),1,0,$C$5,1)=O23)*(OFFSET(INDIRECT($C$3&amp;"!$C$1"),1,0,$C$5,1)+OFFSET(INDIRECT($C$3&amp;"!$D$1"),1,0,$C$5,1))*OFFSET(INDIRECT($C$3&amp;"!$E$1"),1,0,$C$5,1)*IF($E$3=FALSE,1,(OFFSET(INDIRECT($C$3&amp;"!$B$1"),1,0,$C$5,1)&gt;=$E$4)*(OFFSET(INDIRECT($C$3&amp;"!$B$1"),1,0,$C$5,1)&lt;=$E$5))))</f>
        <v>240</v>
      </c>
      <c r="U23" s="28">
        <f t="shared" ca="1" si="6"/>
        <v>29.333333333333339</v>
      </c>
      <c r="V23" s="29">
        <f t="array" aca="1" ref="V23" ca="1">IF($C$2=FALSE,"-",SUM((OFFSET(INDIRECT($C$3&amp;"!$H$1"),1,0,$C$5,1)=O23)*(OFFSET(INDIRECT($C$3&amp;"!$C$1"),1,0,$C$5,1)+OFFSET(INDIRECT($C$3&amp;"!$D$1"),1,0,$C$5,1))*OFFSET(INDIRECT($C$3&amp;"!$E$1"),1,0,$C$5,1)*OFFSET(INDIRECT($C$3&amp;"!$F$1"),1,0,$C$5,1)*IF($E$3=FALSE,1,(OFFSET(INDIRECT($C$3&amp;"!$B$1"),1,0,$C$5,1)&gt;=$E$4)*(OFFSET(INDIRECT($C$3&amp;"!$B$1"),1,0,$C$5,1)&lt;=$E$5))))</f>
        <v>264.00000000000006</v>
      </c>
      <c r="W23" s="30">
        <f t="shared" ca="1" si="7"/>
        <v>24.000000000000057</v>
      </c>
      <c r="X23" s="31">
        <f t="shared" ca="1" si="8"/>
        <v>2.6666666666666732</v>
      </c>
      <c r="Y23" s="32">
        <f t="shared" ca="1" si="9"/>
        <v>-1.7763568394002505E-15</v>
      </c>
    </row>
    <row r="24" spans="2:25" ht="20.100000000000001" customHeight="1" x14ac:dyDescent="0.2">
      <c r="B24" s="23" t="s">
        <v>34</v>
      </c>
      <c r="C24" s="24">
        <f t="array" aca="1" ref="C24" ca="1">IF($C$2=FALSE,"-",SUM((OFFSET(INDIRECT($C$3&amp;"!$A$1"),1,0,$C$5,1)=B24)*IF($E$3=FALSE,1,(OFFSET(INDIRECT($C$3&amp;"!$B$1"),1,0,$C$5,1)&gt;=$E$4)*(OFFSET(INDIRECT($C$3&amp;"!$B$1"),1,0,$C$5,1)&lt;=$E$5))))</f>
        <v>16</v>
      </c>
      <c r="D24" s="25">
        <f t="array" aca="1" ref="D24" ca="1">IF($C$2=FALSE,"-",SUM((OFFSET(INDIRECT($C$3&amp;"!$A$1"),1,0,$C$5,1)=B24)*OFFSET(INDIRECT($C$3&amp;"!$C$1"),1,0,$C$5,1)*IF($E$3=FALSE,1,(OFFSET(INDIRECT($C$3&amp;"!$B$1"),1,0,$C$5,1)&gt;=$E$4)*(OFFSET(INDIRECT($C$3&amp;"!$B$1"),1,0,$C$5,1)&lt;=$E$5))))</f>
        <v>140.5</v>
      </c>
      <c r="E24" s="34">
        <f t="array" aca="1" ref="E24" ca="1">IF($C$2=FALSE,"-",SUM((OFFSET(INDIRECT($C$3&amp;"!$A$1"),1,0,$C$5,1)=B24)*OFFSET(INDIRECT($C$3&amp;"!$D$1"),1,0,$C$5,1)*IF($E$3=FALSE,1,(OFFSET(INDIRECT($C$3&amp;"!$B$1"),1,0,$C$5,1)&gt;=$E$4)*(OFFSET(INDIRECT($C$3&amp;"!$B$1"),1,0,$C$5,1)&lt;=$E$5))))</f>
        <v>0</v>
      </c>
      <c r="F24" s="26">
        <f t="shared" ca="1" si="0"/>
        <v>15</v>
      </c>
      <c r="G24" s="27">
        <f t="array" aca="1" ref="G24" ca="1">IF($C$2=FALSE,"-",SUM((OFFSET(INDIRECT($C$3&amp;"!$A$1"),1,0,$C$5,1)=B24)*(OFFSET(INDIRECT($C$3&amp;"!$C$1"),1,0,$C$5,1)+OFFSET(INDIRECT($C$3&amp;"!$D$1"),1,0,$C$5,1))*OFFSET(INDIRECT($C$3&amp;"!$E$1"),1,0,$C$5,1)*IF($E$3=FALSE,1,(OFFSET(INDIRECT($C$3&amp;"!$B$1"),1,0,$C$5,1)&gt;=$E$4)*(OFFSET(INDIRECT($C$3&amp;"!$B$1"),1,0,$C$5,1)&lt;=$E$5))))</f>
        <v>2107.5</v>
      </c>
      <c r="H24" s="28">
        <f t="shared" ca="1" si="1"/>
        <v>16.5</v>
      </c>
      <c r="I24" s="29">
        <f t="array" aca="1" ref="I24" ca="1">IF($C$2=FALSE,"-",SUM((OFFSET(INDIRECT($C$3&amp;"!$A$1"),1,0,$C$5,1)=B24)*(OFFSET(INDIRECT($C$3&amp;"!$C$1"),1,0,$C$5,1)+OFFSET(INDIRECT($C$3&amp;"!$D$1"),1,0,$C$5,1))*OFFSET(INDIRECT($C$3&amp;"!$E$1"),1,0,$C$5,1)*OFFSET(INDIRECT($C$3&amp;"!$F$1"),1,0,$C$5,1)*IF($E$3=FALSE,1,(OFFSET(INDIRECT($C$3&amp;"!$B$1"),1,0,$C$5,1)&gt;=$E$4)*(OFFSET(INDIRECT($C$3&amp;"!$B$1"),1,0,$C$5,1)&lt;=$E$5))))</f>
        <v>2318.25</v>
      </c>
      <c r="J24" s="30">
        <f t="shared" ca="1" si="2"/>
        <v>210.75</v>
      </c>
      <c r="K24" s="31">
        <f t="shared" ca="1" si="3"/>
        <v>1.5</v>
      </c>
      <c r="L24" s="32">
        <f t="shared" ca="1" si="4"/>
        <v>0</v>
      </c>
      <c r="O24" s="23" t="s">
        <v>56</v>
      </c>
      <c r="P24" s="24">
        <f t="array" aca="1" ref="P24" ca="1">IF($C$2=FALSE,"-",SUM((OFFSET(INDIRECT($C$3&amp;"!$H$1"),1,0,$C$5,1)=O24)*IF($E$3=FALSE,1,(OFFSET(INDIRECT($C$3&amp;"!$B$1"),1,0,$C$5,1)&gt;=$E$4)*(OFFSET(INDIRECT($C$3&amp;"!$B$1"),1,0,$C$5,1)&lt;=$E$5))))</f>
        <v>1</v>
      </c>
      <c r="Q24" s="25">
        <f t="array" aca="1" ref="Q24" ca="1">IF($C$2=FALSE,"-",SUM((OFFSET(INDIRECT($C$3&amp;"!$H$1"),1,0,$C$5,1)=O24)*OFFSET(INDIRECT($C$3&amp;"!$C$1"),1,0,$C$5,1)*IF($E$3=FALSE,1,(OFFSET(INDIRECT($C$3&amp;"!$B$1"),1,0,$C$5,1)&gt;=$E$4)*(OFFSET(INDIRECT($C$3&amp;"!$B$1"),1,0,$C$5,1)&lt;=$E$5))))</f>
        <v>20.25</v>
      </c>
      <c r="R24" s="34">
        <f t="array" aca="1" ref="R24" ca="1">IF($C$2=FALSE,"-",SUM((OFFSET(INDIRECT($C$3&amp;"!$H$1"),1,0,$C$5,1)=O24)*OFFSET(INDIRECT($C$3&amp;"!$D$1"),1,0,$C$5,1)*IF($E$3=FALSE,1,(OFFSET(INDIRECT($C$3&amp;"!$B$1"),1,0,$C$5,1)&gt;=$E$4)*(OFFSET(INDIRECT($C$3&amp;"!$B$1"),1,0,$C$5,1)&lt;=$E$5))))</f>
        <v>0</v>
      </c>
      <c r="S24" s="26">
        <f t="shared" ca="1" si="5"/>
        <v>35</v>
      </c>
      <c r="T24" s="27">
        <f t="array" aca="1" ref="T24" ca="1">IF($C$2=FALSE,"-",SUM((OFFSET(INDIRECT($C$3&amp;"!$H$1"),1,0,$C$5,1)=O24)*(OFFSET(INDIRECT($C$3&amp;"!$C$1"),1,0,$C$5,1)+OFFSET(INDIRECT($C$3&amp;"!$D$1"),1,0,$C$5,1))*OFFSET(INDIRECT($C$3&amp;"!$E$1"),1,0,$C$5,1)*IF($E$3=FALSE,1,(OFFSET(INDIRECT($C$3&amp;"!$B$1"),1,0,$C$5,1)&gt;=$E$4)*(OFFSET(INDIRECT($C$3&amp;"!$B$1"),1,0,$C$5,1)&lt;=$E$5))))</f>
        <v>708.75</v>
      </c>
      <c r="U24" s="28">
        <f t="shared" ca="1" si="6"/>
        <v>35</v>
      </c>
      <c r="V24" s="29">
        <f t="array" aca="1" ref="V24" ca="1">IF($C$2=FALSE,"-",SUM((OFFSET(INDIRECT($C$3&amp;"!$H$1"),1,0,$C$5,1)=O24)*(OFFSET(INDIRECT($C$3&amp;"!$C$1"),1,0,$C$5,1)+OFFSET(INDIRECT($C$3&amp;"!$D$1"),1,0,$C$5,1))*OFFSET(INDIRECT($C$3&amp;"!$E$1"),1,0,$C$5,1)*OFFSET(INDIRECT($C$3&amp;"!$F$1"),1,0,$C$5,1)*IF($E$3=FALSE,1,(OFFSET(INDIRECT($C$3&amp;"!$B$1"),1,0,$C$5,1)&gt;=$E$4)*(OFFSET(INDIRECT($C$3&amp;"!$B$1"),1,0,$C$5,1)&lt;=$E$5))))</f>
        <v>708.75</v>
      </c>
      <c r="W24" s="30">
        <f t="shared" ca="1" si="7"/>
        <v>0</v>
      </c>
      <c r="X24" s="31">
        <f t="shared" ca="1" si="8"/>
        <v>0</v>
      </c>
      <c r="Y24" s="32">
        <f t="shared" ca="1" si="9"/>
        <v>0</v>
      </c>
    </row>
    <row r="25" spans="2:25" ht="20.100000000000001" customHeight="1" x14ac:dyDescent="0.2">
      <c r="B25" s="23" t="s">
        <v>35</v>
      </c>
      <c r="C25" s="24">
        <f t="array" aca="1" ref="C25" ca="1">IF($C$2=FALSE,"-",SUM((OFFSET(INDIRECT($C$3&amp;"!$A$1"),1,0,$C$5,1)=B25)*IF($E$3=FALSE,1,(OFFSET(INDIRECT($C$3&amp;"!$B$1"),1,0,$C$5,1)&gt;=$E$4)*(OFFSET(INDIRECT($C$3&amp;"!$B$1"),1,0,$C$5,1)&lt;=$E$5))))</f>
        <v>1</v>
      </c>
      <c r="D25" s="25">
        <f t="array" aca="1" ref="D25" ca="1">IF($C$2=FALSE,"-",SUM((OFFSET(INDIRECT($C$3&amp;"!$A$1"),1,0,$C$5,1)=B25)*OFFSET(INDIRECT($C$3&amp;"!$C$1"),1,0,$C$5,1)*IF($E$3=FALSE,1,(OFFSET(INDIRECT($C$3&amp;"!$B$1"),1,0,$C$5,1)&gt;=$E$4)*(OFFSET(INDIRECT($C$3&amp;"!$B$1"),1,0,$C$5,1)&lt;=$E$5))))</f>
        <v>10</v>
      </c>
      <c r="E25" s="34">
        <f t="array" aca="1" ref="E25" ca="1">IF($C$2=FALSE,"-",SUM((OFFSET(INDIRECT($C$3&amp;"!$A$1"),1,0,$C$5,1)=B25)*OFFSET(INDIRECT($C$3&amp;"!$D$1"),1,0,$C$5,1)*IF($E$3=FALSE,1,(OFFSET(INDIRECT($C$3&amp;"!$B$1"),1,0,$C$5,1)&gt;=$E$4)*(OFFSET(INDIRECT($C$3&amp;"!$B$1"),1,0,$C$5,1)&lt;=$E$5))))</f>
        <v>0</v>
      </c>
      <c r="F25" s="26">
        <f t="shared" ca="1" si="0"/>
        <v>15</v>
      </c>
      <c r="G25" s="27">
        <f t="array" aca="1" ref="G25" ca="1">IF($C$2=FALSE,"-",SUM((OFFSET(INDIRECT($C$3&amp;"!$A$1"),1,0,$C$5,1)=B25)*(OFFSET(INDIRECT($C$3&amp;"!$C$1"),1,0,$C$5,1)+OFFSET(INDIRECT($C$3&amp;"!$D$1"),1,0,$C$5,1))*OFFSET(INDIRECT($C$3&amp;"!$E$1"),1,0,$C$5,1)*IF($E$3=FALSE,1,(OFFSET(INDIRECT($C$3&amp;"!$B$1"),1,0,$C$5,1)&gt;=$E$4)*(OFFSET(INDIRECT($C$3&amp;"!$B$1"),1,0,$C$5,1)&lt;=$E$5))))</f>
        <v>150</v>
      </c>
      <c r="H25" s="28">
        <f t="shared" ca="1" si="1"/>
        <v>16.5</v>
      </c>
      <c r="I25" s="29">
        <f t="array" aca="1" ref="I25" ca="1">IF($C$2=FALSE,"-",SUM((OFFSET(INDIRECT($C$3&amp;"!$A$1"),1,0,$C$5,1)=B25)*(OFFSET(INDIRECT($C$3&amp;"!$C$1"),1,0,$C$5,1)+OFFSET(INDIRECT($C$3&amp;"!$D$1"),1,0,$C$5,1))*OFFSET(INDIRECT($C$3&amp;"!$E$1"),1,0,$C$5,1)*OFFSET(INDIRECT($C$3&amp;"!$F$1"),1,0,$C$5,1)*IF($E$3=FALSE,1,(OFFSET(INDIRECT($C$3&amp;"!$B$1"),1,0,$C$5,1)&gt;=$E$4)*(OFFSET(INDIRECT($C$3&amp;"!$B$1"),1,0,$C$5,1)&lt;=$E$5))))</f>
        <v>165</v>
      </c>
      <c r="J25" s="30">
        <f t="shared" ca="1" si="2"/>
        <v>15</v>
      </c>
      <c r="K25" s="31">
        <f t="shared" ca="1" si="3"/>
        <v>1.5</v>
      </c>
      <c r="L25" s="32">
        <f t="shared" ca="1" si="4"/>
        <v>0</v>
      </c>
      <c r="O25" s="23" t="s">
        <v>52</v>
      </c>
      <c r="P25" s="24">
        <f t="array" aca="1" ref="P25" ca="1">IF($C$2=FALSE,"-",SUM((OFFSET(INDIRECT($C$3&amp;"!$H$1"),1,0,$C$5,1)=O25)*IF($E$3=FALSE,1,(OFFSET(INDIRECT($C$3&amp;"!$B$1"),1,0,$C$5,1)&gt;=$E$4)*(OFFSET(INDIRECT($C$3&amp;"!$B$1"),1,0,$C$5,1)&lt;=$E$5))))</f>
        <v>11</v>
      </c>
      <c r="Q25" s="25">
        <f t="array" aca="1" ref="Q25" ca="1">IF($C$2=FALSE,"-",SUM((OFFSET(INDIRECT($C$3&amp;"!$H$1"),1,0,$C$5,1)=O25)*OFFSET(INDIRECT($C$3&amp;"!$C$1"),1,0,$C$5,1)*IF($E$3=FALSE,1,(OFFSET(INDIRECT($C$3&amp;"!$B$1"),1,0,$C$5,1)&gt;=$E$4)*(OFFSET(INDIRECT($C$3&amp;"!$B$1"),1,0,$C$5,1)&lt;=$E$5))))</f>
        <v>98.75</v>
      </c>
      <c r="R25" s="34">
        <f t="array" aca="1" ref="R25" ca="1">IF($C$2=FALSE,"-",SUM((OFFSET(INDIRECT($C$3&amp;"!$H$1"),1,0,$C$5,1)=O25)*OFFSET(INDIRECT($C$3&amp;"!$D$1"),1,0,$C$5,1)*IF($E$3=FALSE,1,(OFFSET(INDIRECT($C$3&amp;"!$B$1"),1,0,$C$5,1)&gt;=$E$4)*(OFFSET(INDIRECT($C$3&amp;"!$B$1"),1,0,$C$5,1)&lt;=$E$5))))</f>
        <v>0</v>
      </c>
      <c r="S25" s="26">
        <f t="shared" ca="1" si="5"/>
        <v>28.253164556962027</v>
      </c>
      <c r="T25" s="27">
        <f t="array" aca="1" ref="T25" ca="1">IF($C$2=FALSE,"-",SUM((OFFSET(INDIRECT($C$3&amp;"!$H$1"),1,0,$C$5,1)=O25)*(OFFSET(INDIRECT($C$3&amp;"!$C$1"),1,0,$C$5,1)+OFFSET(INDIRECT($C$3&amp;"!$D$1"),1,0,$C$5,1))*OFFSET(INDIRECT($C$3&amp;"!$E$1"),1,0,$C$5,1)*IF($E$3=FALSE,1,(OFFSET(INDIRECT($C$3&amp;"!$B$1"),1,0,$C$5,1)&gt;=$E$4)*(OFFSET(INDIRECT($C$3&amp;"!$B$1"),1,0,$C$5,1)&lt;=$E$5))))</f>
        <v>2790</v>
      </c>
      <c r="U25" s="28">
        <f t="shared" ca="1" si="6"/>
        <v>29.740506329113924</v>
      </c>
      <c r="V25" s="29">
        <f t="array" aca="1" ref="V25" ca="1">IF($C$2=FALSE,"-",SUM((OFFSET(INDIRECT($C$3&amp;"!$H$1"),1,0,$C$5,1)=O25)*(OFFSET(INDIRECT($C$3&amp;"!$C$1"),1,0,$C$5,1)+OFFSET(INDIRECT($C$3&amp;"!$D$1"),1,0,$C$5,1))*OFFSET(INDIRECT($C$3&amp;"!$E$1"),1,0,$C$5,1)*OFFSET(INDIRECT($C$3&amp;"!$F$1"),1,0,$C$5,1)*IF($E$3=FALSE,1,(OFFSET(INDIRECT($C$3&amp;"!$B$1"),1,0,$C$5,1)&gt;=$E$4)*(OFFSET(INDIRECT($C$3&amp;"!$B$1"),1,0,$C$5,1)&lt;=$E$5))))</f>
        <v>2936.875</v>
      </c>
      <c r="W25" s="30">
        <f t="shared" ca="1" si="7"/>
        <v>146.875</v>
      </c>
      <c r="X25" s="31">
        <f t="shared" ca="1" si="8"/>
        <v>1.4873417721518987</v>
      </c>
      <c r="Y25" s="32">
        <f t="shared" ca="1" si="9"/>
        <v>-1.7763568394002505E-15</v>
      </c>
    </row>
    <row r="26" spans="2:25" ht="20.100000000000001" customHeight="1" x14ac:dyDescent="0.2">
      <c r="B26" s="23" t="s">
        <v>36</v>
      </c>
      <c r="C26" s="24">
        <f t="array" aca="1" ref="C26" ca="1">IF($C$2=FALSE,"-",SUM((OFFSET(INDIRECT($C$3&amp;"!$A$1"),1,0,$C$5,1)=B26)*IF($E$3=FALSE,1,(OFFSET(INDIRECT($C$3&amp;"!$B$1"),1,0,$C$5,1)&gt;=$E$4)*(OFFSET(INDIRECT($C$3&amp;"!$B$1"),1,0,$C$5,1)&lt;=$E$5))))</f>
        <v>9</v>
      </c>
      <c r="D26" s="25">
        <f t="array" aca="1" ref="D26" ca="1">IF($C$2=FALSE,"-",SUM((OFFSET(INDIRECT($C$3&amp;"!$A$1"),1,0,$C$5,1)=B26)*OFFSET(INDIRECT($C$3&amp;"!$C$1"),1,0,$C$5,1)*IF($E$3=FALSE,1,(OFFSET(INDIRECT($C$3&amp;"!$B$1"),1,0,$C$5,1)&gt;=$E$4)*(OFFSET(INDIRECT($C$3&amp;"!$B$1"),1,0,$C$5,1)&lt;=$E$5))))</f>
        <v>75</v>
      </c>
      <c r="E26" s="34">
        <f t="array" aca="1" ref="E26" ca="1">IF($C$2=FALSE,"-",SUM((OFFSET(INDIRECT($C$3&amp;"!$A$1"),1,0,$C$5,1)=B26)*OFFSET(INDIRECT($C$3&amp;"!$D$1"),1,0,$C$5,1)*IF($E$3=FALSE,1,(OFFSET(INDIRECT($C$3&amp;"!$B$1"),1,0,$C$5,1)&gt;=$E$4)*(OFFSET(INDIRECT($C$3&amp;"!$B$1"),1,0,$C$5,1)&lt;=$E$5))))</f>
        <v>0</v>
      </c>
      <c r="F26" s="26">
        <f t="shared" ca="1" si="0"/>
        <v>55</v>
      </c>
      <c r="G26" s="27">
        <f t="array" aca="1" ref="G26" ca="1">IF($C$2=FALSE,"-",SUM((OFFSET(INDIRECT($C$3&amp;"!$A$1"),1,0,$C$5,1)=B26)*(OFFSET(INDIRECT($C$3&amp;"!$C$1"),1,0,$C$5,1)+OFFSET(INDIRECT($C$3&amp;"!$D$1"),1,0,$C$5,1))*OFFSET(INDIRECT($C$3&amp;"!$E$1"),1,0,$C$5,1)*IF($E$3=FALSE,1,(OFFSET(INDIRECT($C$3&amp;"!$B$1"),1,0,$C$5,1)&gt;=$E$4)*(OFFSET(INDIRECT($C$3&amp;"!$B$1"),1,0,$C$5,1)&lt;=$E$5))))</f>
        <v>4125</v>
      </c>
      <c r="H26" s="28">
        <f t="shared" ca="1" si="1"/>
        <v>55</v>
      </c>
      <c r="I26" s="29">
        <f t="array" aca="1" ref="I26" ca="1">IF($C$2=FALSE,"-",SUM((OFFSET(INDIRECT($C$3&amp;"!$A$1"),1,0,$C$5,1)=B26)*(OFFSET(INDIRECT($C$3&amp;"!$C$1"),1,0,$C$5,1)+OFFSET(INDIRECT($C$3&amp;"!$D$1"),1,0,$C$5,1))*OFFSET(INDIRECT($C$3&amp;"!$E$1"),1,0,$C$5,1)*OFFSET(INDIRECT($C$3&amp;"!$F$1"),1,0,$C$5,1)*IF($E$3=FALSE,1,(OFFSET(INDIRECT($C$3&amp;"!$B$1"),1,0,$C$5,1)&gt;=$E$4)*(OFFSET(INDIRECT($C$3&amp;"!$B$1"),1,0,$C$5,1)&lt;=$E$5))))</f>
        <v>4125</v>
      </c>
      <c r="J26" s="30">
        <f t="shared" ca="1" si="2"/>
        <v>0</v>
      </c>
      <c r="K26" s="31">
        <f t="shared" ca="1" si="3"/>
        <v>0</v>
      </c>
      <c r="L26" s="32">
        <f t="shared" ca="1" si="4"/>
        <v>0</v>
      </c>
      <c r="O26" s="23" t="s">
        <v>53</v>
      </c>
      <c r="P26" s="24">
        <f t="array" aca="1" ref="P26" ca="1">IF($C$2=FALSE,"-",SUM((OFFSET(INDIRECT($C$3&amp;"!$H$1"),1,0,$C$5,1)=O26)*IF($E$3=FALSE,1,(OFFSET(INDIRECT($C$3&amp;"!$B$1"),1,0,$C$5,1)&gt;=$E$4)*(OFFSET(INDIRECT($C$3&amp;"!$B$1"),1,0,$C$5,1)&lt;=$E$5))))</f>
        <v>2</v>
      </c>
      <c r="Q26" s="25">
        <f t="array" aca="1" ref="Q26" ca="1">IF($C$2=FALSE,"-",SUM((OFFSET(INDIRECT($C$3&amp;"!$H$1"),1,0,$C$5,1)=O26)*OFFSET(INDIRECT($C$3&amp;"!$C$1"),1,0,$C$5,1)*IF($E$3=FALSE,1,(OFFSET(INDIRECT($C$3&amp;"!$B$1"),1,0,$C$5,1)&gt;=$E$4)*(OFFSET(INDIRECT($C$3&amp;"!$B$1"),1,0,$C$5,1)&lt;=$E$5))))</f>
        <v>18.5</v>
      </c>
      <c r="R26" s="34">
        <f t="array" aca="1" ref="R26" ca="1">IF($C$2=FALSE,"-",SUM((OFFSET(INDIRECT($C$3&amp;"!$H$1"),1,0,$C$5,1)=O26)*OFFSET(INDIRECT($C$3&amp;"!$D$1"),1,0,$C$5,1)*IF($E$3=FALSE,1,(OFFSET(INDIRECT($C$3&amp;"!$B$1"),1,0,$C$5,1)&gt;=$E$4)*(OFFSET(INDIRECT($C$3&amp;"!$B$1"),1,0,$C$5,1)&lt;=$E$5))))</f>
        <v>0</v>
      </c>
      <c r="S26" s="26">
        <f t="shared" ca="1" si="5"/>
        <v>23.5</v>
      </c>
      <c r="T26" s="27">
        <f t="array" aca="1" ref="T26" ca="1">IF($C$2=FALSE,"-",SUM((OFFSET(INDIRECT($C$3&amp;"!$H$1"),1,0,$C$5,1)=O26)*(OFFSET(INDIRECT($C$3&amp;"!$C$1"),1,0,$C$5,1)+OFFSET(INDIRECT($C$3&amp;"!$D$1"),1,0,$C$5,1))*OFFSET(INDIRECT($C$3&amp;"!$E$1"),1,0,$C$5,1)*IF($E$3=FALSE,1,(OFFSET(INDIRECT($C$3&amp;"!$B$1"),1,0,$C$5,1)&gt;=$E$4)*(OFFSET(INDIRECT($C$3&amp;"!$B$1"),1,0,$C$5,1)&lt;=$E$5))))</f>
        <v>434.75</v>
      </c>
      <c r="U26" s="28">
        <f t="shared" ca="1" si="6"/>
        <v>25.85</v>
      </c>
      <c r="V26" s="29">
        <f t="array" aca="1" ref="V26" ca="1">IF($C$2=FALSE,"-",SUM((OFFSET(INDIRECT($C$3&amp;"!$H$1"),1,0,$C$5,1)=O26)*(OFFSET(INDIRECT($C$3&amp;"!$C$1"),1,0,$C$5,1)+OFFSET(INDIRECT($C$3&amp;"!$D$1"),1,0,$C$5,1))*OFFSET(INDIRECT($C$3&amp;"!$E$1"),1,0,$C$5,1)*OFFSET(INDIRECT($C$3&amp;"!$F$1"),1,0,$C$5,1)*IF($E$3=FALSE,1,(OFFSET(INDIRECT($C$3&amp;"!$B$1"),1,0,$C$5,1)&gt;=$E$4)*(OFFSET(INDIRECT($C$3&amp;"!$B$1"),1,0,$C$5,1)&lt;=$E$5))))</f>
        <v>478.22500000000002</v>
      </c>
      <c r="W26" s="30">
        <f t="shared" ca="1" si="7"/>
        <v>43.475000000000023</v>
      </c>
      <c r="X26" s="31">
        <f t="shared" ca="1" si="8"/>
        <v>2.3500000000000014</v>
      </c>
      <c r="Y26" s="32">
        <f t="shared" ca="1" si="9"/>
        <v>0</v>
      </c>
    </row>
    <row r="27" spans="2:25" ht="20.100000000000001" customHeight="1" x14ac:dyDescent="0.2">
      <c r="B27" s="23" t="s">
        <v>37</v>
      </c>
      <c r="C27" s="24">
        <f t="array" aca="1" ref="C27" ca="1">IF($C$2=FALSE,"-",SUM((OFFSET(INDIRECT($C$3&amp;"!$A$1"),1,0,$C$5,1)=B27)*IF($E$3=FALSE,1,(OFFSET(INDIRECT($C$3&amp;"!$B$1"),1,0,$C$5,1)&gt;=$E$4)*(OFFSET(INDIRECT($C$3&amp;"!$B$1"),1,0,$C$5,1)&lt;=$E$5))))</f>
        <v>15</v>
      </c>
      <c r="D27" s="25">
        <f t="array" aca="1" ref="D27" ca="1">IF($C$2=FALSE,"-",SUM((OFFSET(INDIRECT($C$3&amp;"!$A$1"),1,0,$C$5,1)=B27)*OFFSET(INDIRECT($C$3&amp;"!$C$1"),1,0,$C$5,1)*IF($E$3=FALSE,1,(OFFSET(INDIRECT($C$3&amp;"!$B$1"),1,0,$C$5,1)&gt;=$E$4)*(OFFSET(INDIRECT($C$3&amp;"!$B$1"),1,0,$C$5,1)&lt;=$E$5))))</f>
        <v>133</v>
      </c>
      <c r="E27" s="34">
        <f t="array" aca="1" ref="E27" ca="1">IF($C$2=FALSE,"-",SUM((OFFSET(INDIRECT($C$3&amp;"!$A$1"),1,0,$C$5,1)=B27)*OFFSET(INDIRECT($C$3&amp;"!$D$1"),1,0,$C$5,1)*IF($E$3=FALSE,1,(OFFSET(INDIRECT($C$3&amp;"!$B$1"),1,0,$C$5,1)&gt;=$E$4)*(OFFSET(INDIRECT($C$3&amp;"!$B$1"),1,0,$C$5,1)&lt;=$E$5))))</f>
        <v>0</v>
      </c>
      <c r="F27" s="26">
        <f t="shared" ca="1" si="0"/>
        <v>15</v>
      </c>
      <c r="G27" s="27">
        <f t="array" aca="1" ref="G27" ca="1">IF($C$2=FALSE,"-",SUM((OFFSET(INDIRECT($C$3&amp;"!$A$1"),1,0,$C$5,1)=B27)*(OFFSET(INDIRECT($C$3&amp;"!$C$1"),1,0,$C$5,1)+OFFSET(INDIRECT($C$3&amp;"!$D$1"),1,0,$C$5,1))*OFFSET(INDIRECT($C$3&amp;"!$E$1"),1,0,$C$5,1)*IF($E$3=FALSE,1,(OFFSET(INDIRECT($C$3&amp;"!$B$1"),1,0,$C$5,1)&gt;=$E$4)*(OFFSET(INDIRECT($C$3&amp;"!$B$1"),1,0,$C$5,1)&lt;=$E$5))))</f>
        <v>1995</v>
      </c>
      <c r="H27" s="28">
        <f t="shared" ca="1" si="1"/>
        <v>16.5</v>
      </c>
      <c r="I27" s="29">
        <f t="array" aca="1" ref="I27" ca="1">IF($C$2=FALSE,"-",SUM((OFFSET(INDIRECT($C$3&amp;"!$A$1"),1,0,$C$5,1)=B27)*(OFFSET(INDIRECT($C$3&amp;"!$C$1"),1,0,$C$5,1)+OFFSET(INDIRECT($C$3&amp;"!$D$1"),1,0,$C$5,1))*OFFSET(INDIRECT($C$3&amp;"!$E$1"),1,0,$C$5,1)*OFFSET(INDIRECT($C$3&amp;"!$F$1"),1,0,$C$5,1)*IF($E$3=FALSE,1,(OFFSET(INDIRECT($C$3&amp;"!$B$1"),1,0,$C$5,1)&gt;=$E$4)*(OFFSET(INDIRECT($C$3&amp;"!$B$1"),1,0,$C$5,1)&lt;=$E$5))))</f>
        <v>2194.5</v>
      </c>
      <c r="J27" s="30">
        <f t="shared" ca="1" si="2"/>
        <v>199.5</v>
      </c>
      <c r="K27" s="31">
        <f t="shared" ca="1" si="3"/>
        <v>1.5</v>
      </c>
      <c r="L27" s="32">
        <f t="shared" ca="1" si="4"/>
        <v>0</v>
      </c>
      <c r="O27" s="23" t="s">
        <v>54</v>
      </c>
      <c r="P27" s="24">
        <f t="array" aca="1" ref="P27" ca="1">IF($C$2=FALSE,"-",SUM((OFFSET(INDIRECT($C$3&amp;"!$H$1"),1,0,$C$5,1)=O27)*IF($E$3=FALSE,1,(OFFSET(INDIRECT($C$3&amp;"!$B$1"),1,0,$C$5,1)&gt;=$E$4)*(OFFSET(INDIRECT($C$3&amp;"!$B$1"),1,0,$C$5,1)&lt;=$E$5))))</f>
        <v>1</v>
      </c>
      <c r="Q27" s="25">
        <f t="array" aca="1" ref="Q27" ca="1">IF($C$2=FALSE,"-",SUM((OFFSET(INDIRECT($C$3&amp;"!$H$1"),1,0,$C$5,1)=O27)*OFFSET(INDIRECT($C$3&amp;"!$C$1"),1,0,$C$5,1)*IF($E$3=FALSE,1,(OFFSET(INDIRECT($C$3&amp;"!$B$1"),1,0,$C$5,1)&gt;=$E$4)*(OFFSET(INDIRECT($C$3&amp;"!$B$1"),1,0,$C$5,1)&lt;=$E$5))))</f>
        <v>9.25</v>
      </c>
      <c r="R27" s="34">
        <f t="array" aca="1" ref="R27" ca="1">IF($C$2=FALSE,"-",SUM((OFFSET(INDIRECT($C$3&amp;"!$H$1"),1,0,$C$5,1)=O27)*OFFSET(INDIRECT($C$3&amp;"!$D$1"),1,0,$C$5,1)*IF($E$3=FALSE,1,(OFFSET(INDIRECT($C$3&amp;"!$B$1"),1,0,$C$5,1)&gt;=$E$4)*(OFFSET(INDIRECT($C$3&amp;"!$B$1"),1,0,$C$5,1)&lt;=$E$5))))</f>
        <v>0</v>
      </c>
      <c r="S27" s="26">
        <f t="shared" ca="1" si="5"/>
        <v>35</v>
      </c>
      <c r="T27" s="27">
        <f t="array" aca="1" ref="T27" ca="1">IF($C$2=FALSE,"-",SUM((OFFSET(INDIRECT($C$3&amp;"!$H$1"),1,0,$C$5,1)=O27)*(OFFSET(INDIRECT($C$3&amp;"!$C$1"),1,0,$C$5,1)+OFFSET(INDIRECT($C$3&amp;"!$D$1"),1,0,$C$5,1))*OFFSET(INDIRECT($C$3&amp;"!$E$1"),1,0,$C$5,1)*IF($E$3=FALSE,1,(OFFSET(INDIRECT($C$3&amp;"!$B$1"),1,0,$C$5,1)&gt;=$E$4)*(OFFSET(INDIRECT($C$3&amp;"!$B$1"),1,0,$C$5,1)&lt;=$E$5))))</f>
        <v>323.75</v>
      </c>
      <c r="U27" s="28">
        <f t="shared" ca="1" si="6"/>
        <v>35</v>
      </c>
      <c r="V27" s="29">
        <f t="array" aca="1" ref="V27" ca="1">IF($C$2=FALSE,"-",SUM((OFFSET(INDIRECT($C$3&amp;"!$H$1"),1,0,$C$5,1)=O27)*(OFFSET(INDIRECT($C$3&amp;"!$C$1"),1,0,$C$5,1)+OFFSET(INDIRECT($C$3&amp;"!$D$1"),1,0,$C$5,1))*OFFSET(INDIRECT($C$3&amp;"!$E$1"),1,0,$C$5,1)*OFFSET(INDIRECT($C$3&amp;"!$F$1"),1,0,$C$5,1)*IF($E$3=FALSE,1,(OFFSET(INDIRECT($C$3&amp;"!$B$1"),1,0,$C$5,1)&gt;=$E$4)*(OFFSET(INDIRECT($C$3&amp;"!$B$1"),1,0,$C$5,1)&lt;=$E$5))))</f>
        <v>323.75</v>
      </c>
      <c r="W27" s="30">
        <f t="shared" ca="1" si="7"/>
        <v>0</v>
      </c>
      <c r="X27" s="31">
        <f t="shared" ca="1" si="8"/>
        <v>0</v>
      </c>
      <c r="Y27" s="32">
        <f t="shared" ca="1" si="9"/>
        <v>0</v>
      </c>
    </row>
    <row r="28" spans="2:25" ht="20.100000000000001" customHeight="1" x14ac:dyDescent="0.2">
      <c r="B28" s="23" t="s">
        <v>38</v>
      </c>
      <c r="C28" s="24">
        <f t="array" aca="1" ref="C28" ca="1">IF($C$2=FALSE,"-",SUM((OFFSET(INDIRECT($C$3&amp;"!$A$1"),1,0,$C$5,1)=B28)*IF($E$3=FALSE,1,(OFFSET(INDIRECT($C$3&amp;"!$B$1"),1,0,$C$5,1)&gt;=$E$4)*(OFFSET(INDIRECT($C$3&amp;"!$B$1"),1,0,$C$5,1)&lt;=$E$5))))</f>
        <v>2</v>
      </c>
      <c r="D28" s="25">
        <f t="array" aca="1" ref="D28" ca="1">IF($C$2=FALSE,"-",SUM((OFFSET(INDIRECT($C$3&amp;"!$A$1"),1,0,$C$5,1)=B28)*OFFSET(INDIRECT($C$3&amp;"!$C$1"),1,0,$C$5,1)*IF($E$3=FALSE,1,(OFFSET(INDIRECT($C$3&amp;"!$B$1"),1,0,$C$5,1)&gt;=$E$4)*(OFFSET(INDIRECT($C$3&amp;"!$B$1"),1,0,$C$5,1)&lt;=$E$5))))</f>
        <v>15.5</v>
      </c>
      <c r="E28" s="34">
        <f t="array" aca="1" ref="E28" ca="1">IF($C$2=FALSE,"-",SUM((OFFSET(INDIRECT($C$3&amp;"!$A$1"),1,0,$C$5,1)=B28)*OFFSET(INDIRECT($C$3&amp;"!$D$1"),1,0,$C$5,1)*IF($E$3=FALSE,1,(OFFSET(INDIRECT($C$3&amp;"!$B$1"),1,0,$C$5,1)&gt;=$E$4)*(OFFSET(INDIRECT($C$3&amp;"!$B$1"),1,0,$C$5,1)&lt;=$E$5))))</f>
        <v>0</v>
      </c>
      <c r="F28" s="26">
        <f t="shared" ca="1" si="0"/>
        <v>42</v>
      </c>
      <c r="G28" s="27">
        <f t="array" aca="1" ref="G28" ca="1">IF($C$2=FALSE,"-",SUM((OFFSET(INDIRECT($C$3&amp;"!$A$1"),1,0,$C$5,1)=B28)*(OFFSET(INDIRECT($C$3&amp;"!$C$1"),1,0,$C$5,1)+OFFSET(INDIRECT($C$3&amp;"!$D$1"),1,0,$C$5,1))*OFFSET(INDIRECT($C$3&amp;"!$E$1"),1,0,$C$5,1)*IF($E$3=FALSE,1,(OFFSET(INDIRECT($C$3&amp;"!$B$1"),1,0,$C$5,1)&gt;=$E$4)*(OFFSET(INDIRECT($C$3&amp;"!$B$1"),1,0,$C$5,1)&lt;=$E$5))))</f>
        <v>651</v>
      </c>
      <c r="H28" s="28">
        <f t="shared" ca="1" si="1"/>
        <v>46.20000000000001</v>
      </c>
      <c r="I28" s="29">
        <f t="array" aca="1" ref="I28" ca="1">IF($C$2=FALSE,"-",SUM((OFFSET(INDIRECT($C$3&amp;"!$A$1"),1,0,$C$5,1)=B28)*(OFFSET(INDIRECT($C$3&amp;"!$C$1"),1,0,$C$5,1)+OFFSET(INDIRECT($C$3&amp;"!$D$1"),1,0,$C$5,1))*OFFSET(INDIRECT($C$3&amp;"!$E$1"),1,0,$C$5,1)*OFFSET(INDIRECT($C$3&amp;"!$F$1"),1,0,$C$5,1)*IF($E$3=FALSE,1,(OFFSET(INDIRECT($C$3&amp;"!$B$1"),1,0,$C$5,1)&gt;=$E$4)*(OFFSET(INDIRECT($C$3&amp;"!$B$1"),1,0,$C$5,1)&lt;=$E$5))))</f>
        <v>716.10000000000014</v>
      </c>
      <c r="J28" s="30">
        <f t="shared" ca="1" si="2"/>
        <v>65.100000000000136</v>
      </c>
      <c r="K28" s="31">
        <f t="shared" ca="1" si="3"/>
        <v>4.2000000000000091</v>
      </c>
      <c r="L28" s="32">
        <f t="shared" ca="1" si="4"/>
        <v>8.8817841970012523E-16</v>
      </c>
      <c r="O28"/>
    </row>
    <row r="29" spans="2:25" ht="20.100000000000001" customHeight="1" x14ac:dyDescent="0.2">
      <c r="B29" s="23" t="s">
        <v>39</v>
      </c>
      <c r="C29" s="24">
        <f t="array" aca="1" ref="C29" ca="1">IF($C$2=FALSE,"-",SUM((OFFSET(INDIRECT($C$3&amp;"!$A$1"),1,0,$C$5,1)=B29)*IF($E$3=FALSE,1,(OFFSET(INDIRECT($C$3&amp;"!$B$1"),1,0,$C$5,1)&gt;=$E$4)*(OFFSET(INDIRECT($C$3&amp;"!$B$1"),1,0,$C$5,1)&lt;=$E$5))))</f>
        <v>8</v>
      </c>
      <c r="D29" s="25">
        <f t="array" aca="1" ref="D29" ca="1">IF($C$2=FALSE,"-",SUM((OFFSET(INDIRECT($C$3&amp;"!$A$1"),1,0,$C$5,1)=B29)*OFFSET(INDIRECT($C$3&amp;"!$C$1"),1,0,$C$5,1)*IF($E$3=FALSE,1,(OFFSET(INDIRECT($C$3&amp;"!$B$1"),1,0,$C$5,1)&gt;=$E$4)*(OFFSET(INDIRECT($C$3&amp;"!$B$1"),1,0,$C$5,1)&lt;=$E$5))))</f>
        <v>104.5</v>
      </c>
      <c r="E29" s="34">
        <f t="array" aca="1" ref="E29" ca="1">IF($C$2=FALSE,"-",SUM((OFFSET(INDIRECT($C$3&amp;"!$A$1"),1,0,$C$5,1)=B29)*OFFSET(INDIRECT($C$3&amp;"!$D$1"),1,0,$C$5,1)*IF($E$3=FALSE,1,(OFFSET(INDIRECT($C$3&amp;"!$B$1"),1,0,$C$5,1)&gt;=$E$4)*(OFFSET(INDIRECT($C$3&amp;"!$B$1"),1,0,$C$5,1)&lt;=$E$5))))</f>
        <v>0</v>
      </c>
      <c r="F29" s="26">
        <f t="shared" ca="1" si="0"/>
        <v>50</v>
      </c>
      <c r="G29" s="27">
        <f t="array" aca="1" ref="G29" ca="1">IF($C$2=FALSE,"-",SUM((OFFSET(INDIRECT($C$3&amp;"!$A$1"),1,0,$C$5,1)=B29)*(OFFSET(INDIRECT($C$3&amp;"!$C$1"),1,0,$C$5,1)+OFFSET(INDIRECT($C$3&amp;"!$D$1"),1,0,$C$5,1))*OFFSET(INDIRECT($C$3&amp;"!$E$1"),1,0,$C$5,1)*IF($E$3=FALSE,1,(OFFSET(INDIRECT($C$3&amp;"!$B$1"),1,0,$C$5,1)&gt;=$E$4)*(OFFSET(INDIRECT($C$3&amp;"!$B$1"),1,0,$C$5,1)&lt;=$E$5))))</f>
        <v>5225</v>
      </c>
      <c r="H29" s="28">
        <f t="shared" ca="1" si="1"/>
        <v>50</v>
      </c>
      <c r="I29" s="29">
        <f t="array" aca="1" ref="I29" ca="1">IF($C$2=FALSE,"-",SUM((OFFSET(INDIRECT($C$3&amp;"!$A$1"),1,0,$C$5,1)=B29)*(OFFSET(INDIRECT($C$3&amp;"!$C$1"),1,0,$C$5,1)+OFFSET(INDIRECT($C$3&amp;"!$D$1"),1,0,$C$5,1))*OFFSET(INDIRECT($C$3&amp;"!$E$1"),1,0,$C$5,1)*OFFSET(INDIRECT($C$3&amp;"!$F$1"),1,0,$C$5,1)*IF($E$3=FALSE,1,(OFFSET(INDIRECT($C$3&amp;"!$B$1"),1,0,$C$5,1)&gt;=$E$4)*(OFFSET(INDIRECT($C$3&amp;"!$B$1"),1,0,$C$5,1)&lt;=$E$5))))</f>
        <v>5225</v>
      </c>
      <c r="J29" s="30">
        <f t="shared" ca="1" si="2"/>
        <v>0</v>
      </c>
      <c r="K29" s="31">
        <f t="shared" ca="1" si="3"/>
        <v>0</v>
      </c>
      <c r="L29" s="32">
        <f t="shared" ca="1" si="4"/>
        <v>0</v>
      </c>
      <c r="O29"/>
    </row>
    <row r="30" spans="2:25" ht="20.100000000000001" customHeight="1" x14ac:dyDescent="0.2">
      <c r="B30" s="23" t="s">
        <v>55</v>
      </c>
      <c r="C30" s="24">
        <f t="array" aca="1" ref="C30" ca="1">IF($C$2=FALSE,"-",SUM((OFFSET(INDIRECT($C$3&amp;"!$A$1"),1,0,$C$5,1)=B30)*IF($E$3=FALSE,1,(OFFSET(INDIRECT($C$3&amp;"!$B$1"),1,0,$C$5,1)&gt;=$E$4)*(OFFSET(INDIRECT($C$3&amp;"!$B$1"),1,0,$C$5,1)&lt;=$E$5))))</f>
        <v>12</v>
      </c>
      <c r="D30" s="25">
        <f t="array" aca="1" ref="D30" ca="1">IF($C$2=FALSE,"-",SUM((OFFSET(INDIRECT($C$3&amp;"!$A$1"),1,0,$C$5,1)=B30)*OFFSET(INDIRECT($C$3&amp;"!$C$1"),1,0,$C$5,1)*IF($E$3=FALSE,1,(OFFSET(INDIRECT($C$3&amp;"!$B$1"),1,0,$C$5,1)&gt;=$E$4)*(OFFSET(INDIRECT($C$3&amp;"!$B$1"),1,0,$C$5,1)&lt;=$E$5))))</f>
        <v>103</v>
      </c>
      <c r="E30" s="34">
        <f t="array" aca="1" ref="E30" ca="1">IF($C$2=FALSE,"-",SUM((OFFSET(INDIRECT($C$3&amp;"!$A$1"),1,0,$C$5,1)=B30)*OFFSET(INDIRECT($C$3&amp;"!$D$1"),1,0,$C$5,1)*IF($E$3=FALSE,1,(OFFSET(INDIRECT($C$3&amp;"!$B$1"),1,0,$C$5,1)&gt;=$E$4)*(OFFSET(INDIRECT($C$3&amp;"!$B$1"),1,0,$C$5,1)&lt;=$E$5))))</f>
        <v>0</v>
      </c>
      <c r="F30" s="26">
        <f t="shared" ca="1" si="0"/>
        <v>20</v>
      </c>
      <c r="G30" s="27">
        <f t="array" aca="1" ref="G30" ca="1">IF($C$2=FALSE,"-",SUM((OFFSET(INDIRECT($C$3&amp;"!$A$1"),1,0,$C$5,1)=B30)*(OFFSET(INDIRECT($C$3&amp;"!$C$1"),1,0,$C$5,1)+OFFSET(INDIRECT($C$3&amp;"!$D$1"),1,0,$C$5,1))*OFFSET(INDIRECT($C$3&amp;"!$E$1"),1,0,$C$5,1)*IF($E$3=FALSE,1,(OFFSET(INDIRECT($C$3&amp;"!$B$1"),1,0,$C$5,1)&gt;=$E$4)*(OFFSET(INDIRECT($C$3&amp;"!$B$1"),1,0,$C$5,1)&lt;=$E$5))))</f>
        <v>2060</v>
      </c>
      <c r="H30" s="28">
        <f t="shared" ca="1" si="1"/>
        <v>22.000000000000004</v>
      </c>
      <c r="I30" s="29">
        <f t="array" aca="1" ref="I30" ca="1">IF($C$2=FALSE,"-",SUM((OFFSET(INDIRECT($C$3&amp;"!$A$1"),1,0,$C$5,1)=B30)*(OFFSET(INDIRECT($C$3&amp;"!$C$1"),1,0,$C$5,1)+OFFSET(INDIRECT($C$3&amp;"!$D$1"),1,0,$C$5,1))*OFFSET(INDIRECT($C$3&amp;"!$E$1"),1,0,$C$5,1)*OFFSET(INDIRECT($C$3&amp;"!$F$1"),1,0,$C$5,1)*IF($E$3=FALSE,1,(OFFSET(INDIRECT($C$3&amp;"!$B$1"),1,0,$C$5,1)&gt;=$E$4)*(OFFSET(INDIRECT($C$3&amp;"!$B$1"),1,0,$C$5,1)&lt;=$E$5))))</f>
        <v>2266.0000000000005</v>
      </c>
      <c r="J30" s="30">
        <f t="shared" ca="1" si="2"/>
        <v>206.00000000000045</v>
      </c>
      <c r="K30" s="31">
        <f t="shared" ca="1" si="3"/>
        <v>2.0000000000000044</v>
      </c>
      <c r="L30" s="32">
        <f t="shared" ca="1" si="4"/>
        <v>-8.8817841970012523E-16</v>
      </c>
      <c r="O30"/>
    </row>
    <row r="31" spans="2:25" ht="20.100000000000001" customHeight="1" x14ac:dyDescent="0.2">
      <c r="B31" s="23" t="s">
        <v>40</v>
      </c>
      <c r="C31" s="24">
        <f t="array" aca="1" ref="C31" ca="1">IF($C$2=FALSE,"-",SUM((OFFSET(INDIRECT($C$3&amp;"!$A$1"),1,0,$C$5,1)=B31)*IF($E$3=FALSE,1,(OFFSET(INDIRECT($C$3&amp;"!$B$1"),1,0,$C$5,1)&gt;=$E$4)*(OFFSET(INDIRECT($C$3&amp;"!$B$1"),1,0,$C$5,1)&lt;=$E$5))))</f>
        <v>1</v>
      </c>
      <c r="D31" s="25">
        <f t="array" aca="1" ref="D31" ca="1">IF($C$2=FALSE,"-",SUM((OFFSET(INDIRECT($C$3&amp;"!$A$1"),1,0,$C$5,1)=B31)*OFFSET(INDIRECT($C$3&amp;"!$C$1"),1,0,$C$5,1)*IF($E$3=FALSE,1,(OFFSET(INDIRECT($C$3&amp;"!$B$1"),1,0,$C$5,1)&gt;=$E$4)*(OFFSET(INDIRECT($C$3&amp;"!$B$1"),1,0,$C$5,1)&lt;=$E$5))))</f>
        <v>17</v>
      </c>
      <c r="E31" s="34">
        <f t="array" aca="1" ref="E31" ca="1">IF($C$2=FALSE,"-",SUM((OFFSET(INDIRECT($C$3&amp;"!$A$1"),1,0,$C$5,1)=B31)*OFFSET(INDIRECT($C$3&amp;"!$D$1"),1,0,$C$5,1)*IF($E$3=FALSE,1,(OFFSET(INDIRECT($C$3&amp;"!$B$1"),1,0,$C$5,1)&gt;=$E$4)*(OFFSET(INDIRECT($C$3&amp;"!$B$1"),1,0,$C$5,1)&lt;=$E$5))))</f>
        <v>0</v>
      </c>
      <c r="F31" s="26">
        <f t="shared" ca="1" si="0"/>
        <v>50</v>
      </c>
      <c r="G31" s="27">
        <f t="array" aca="1" ref="G31" ca="1">IF($C$2=FALSE,"-",SUM((OFFSET(INDIRECT($C$3&amp;"!$A$1"),1,0,$C$5,1)=B31)*(OFFSET(INDIRECT($C$3&amp;"!$C$1"),1,0,$C$5,1)+OFFSET(INDIRECT($C$3&amp;"!$D$1"),1,0,$C$5,1))*OFFSET(INDIRECT($C$3&amp;"!$E$1"),1,0,$C$5,1)*IF($E$3=FALSE,1,(OFFSET(INDIRECT($C$3&amp;"!$B$1"),1,0,$C$5,1)&gt;=$E$4)*(OFFSET(INDIRECT($C$3&amp;"!$B$1"),1,0,$C$5,1)&lt;=$E$5))))</f>
        <v>850</v>
      </c>
      <c r="H31" s="28">
        <f t="shared" ca="1" si="1"/>
        <v>50</v>
      </c>
      <c r="I31" s="29">
        <f t="array" aca="1" ref="I31" ca="1">IF($C$2=FALSE,"-",SUM((OFFSET(INDIRECT($C$3&amp;"!$A$1"),1,0,$C$5,1)=B31)*(OFFSET(INDIRECT($C$3&amp;"!$C$1"),1,0,$C$5,1)+OFFSET(INDIRECT($C$3&amp;"!$D$1"),1,0,$C$5,1))*OFFSET(INDIRECT($C$3&amp;"!$E$1"),1,0,$C$5,1)*OFFSET(INDIRECT($C$3&amp;"!$F$1"),1,0,$C$5,1)*IF($E$3=FALSE,1,(OFFSET(INDIRECT($C$3&amp;"!$B$1"),1,0,$C$5,1)&gt;=$E$4)*(OFFSET(INDIRECT($C$3&amp;"!$B$1"),1,0,$C$5,1)&lt;=$E$5))))</f>
        <v>850</v>
      </c>
      <c r="J31" s="30">
        <f t="shared" ca="1" si="2"/>
        <v>0</v>
      </c>
      <c r="K31" s="31">
        <f t="shared" ca="1" si="3"/>
        <v>0</v>
      </c>
      <c r="L31" s="32">
        <f t="shared" ca="1" si="4"/>
        <v>0</v>
      </c>
      <c r="O31"/>
    </row>
    <row r="32" spans="2:25" ht="20.100000000000001" customHeight="1" x14ac:dyDescent="0.2">
      <c r="B32" s="23" t="s">
        <v>41</v>
      </c>
      <c r="C32" s="24">
        <f t="array" aca="1" ref="C32" ca="1">IF($C$2=FALSE,"-",SUM((OFFSET(INDIRECT($C$3&amp;"!$A$1"),1,0,$C$5,1)=B32)*IF($E$3=FALSE,1,(OFFSET(INDIRECT($C$3&amp;"!$B$1"),1,0,$C$5,1)&gt;=$E$4)*(OFFSET(INDIRECT($C$3&amp;"!$B$1"),1,0,$C$5,1)&lt;=$E$5))))</f>
        <v>12</v>
      </c>
      <c r="D32" s="25">
        <f t="array" aca="1" ref="D32" ca="1">IF($C$2=FALSE,"-",SUM((OFFSET(INDIRECT($C$3&amp;"!$A$1"),1,0,$C$5,1)=B32)*OFFSET(INDIRECT($C$3&amp;"!$C$1"),1,0,$C$5,1)*IF($E$3=FALSE,1,(OFFSET(INDIRECT($C$3&amp;"!$B$1"),1,0,$C$5,1)&gt;=$E$4)*(OFFSET(INDIRECT($C$3&amp;"!$B$1"),1,0,$C$5,1)&lt;=$E$5))))</f>
        <v>115.5</v>
      </c>
      <c r="E32" s="34">
        <f t="array" aca="1" ref="E32" ca="1">IF($C$2=FALSE,"-",SUM((OFFSET(INDIRECT($C$3&amp;"!$A$1"),1,0,$C$5,1)=B32)*OFFSET(INDIRECT($C$3&amp;"!$D$1"),1,0,$C$5,1)*IF($E$3=FALSE,1,(OFFSET(INDIRECT($C$3&amp;"!$B$1"),1,0,$C$5,1)&gt;=$E$4)*(OFFSET(INDIRECT($C$3&amp;"!$B$1"),1,0,$C$5,1)&lt;=$E$5))))</f>
        <v>0</v>
      </c>
      <c r="F32" s="26">
        <f t="shared" ca="1" si="0"/>
        <v>35</v>
      </c>
      <c r="G32" s="27">
        <f t="array" aca="1" ref="G32" ca="1">IF($C$2=FALSE,"-",SUM((OFFSET(INDIRECT($C$3&amp;"!$A$1"),1,0,$C$5,1)=B32)*(OFFSET(INDIRECT($C$3&amp;"!$C$1"),1,0,$C$5,1)+OFFSET(INDIRECT($C$3&amp;"!$D$1"),1,0,$C$5,1))*OFFSET(INDIRECT($C$3&amp;"!$E$1"),1,0,$C$5,1)*IF($E$3=FALSE,1,(OFFSET(INDIRECT($C$3&amp;"!$B$1"),1,0,$C$5,1)&gt;=$E$4)*(OFFSET(INDIRECT($C$3&amp;"!$B$1"),1,0,$C$5,1)&lt;=$E$5))))</f>
        <v>4042.5</v>
      </c>
      <c r="H32" s="28">
        <f t="shared" ca="1" si="1"/>
        <v>35</v>
      </c>
      <c r="I32" s="29">
        <f t="array" aca="1" ref="I32" ca="1">IF($C$2=FALSE,"-",SUM((OFFSET(INDIRECT($C$3&amp;"!$A$1"),1,0,$C$5,1)=B32)*(OFFSET(INDIRECT($C$3&amp;"!$C$1"),1,0,$C$5,1)+OFFSET(INDIRECT($C$3&amp;"!$D$1"),1,0,$C$5,1))*OFFSET(INDIRECT($C$3&amp;"!$E$1"),1,0,$C$5,1)*OFFSET(INDIRECT($C$3&amp;"!$F$1"),1,0,$C$5,1)*IF($E$3=FALSE,1,(OFFSET(INDIRECT($C$3&amp;"!$B$1"),1,0,$C$5,1)&gt;=$E$4)*(OFFSET(INDIRECT($C$3&amp;"!$B$1"),1,0,$C$5,1)&lt;=$E$5))))</f>
        <v>4042.5</v>
      </c>
      <c r="J32" s="30">
        <f t="shared" ca="1" si="2"/>
        <v>0</v>
      </c>
      <c r="K32" s="31">
        <f t="shared" ca="1" si="3"/>
        <v>0</v>
      </c>
      <c r="L32" s="32">
        <f t="shared" ca="1" si="4"/>
        <v>0</v>
      </c>
      <c r="O32"/>
    </row>
    <row r="33" spans="2:15" ht="20.100000000000001" customHeight="1" x14ac:dyDescent="0.2">
      <c r="B33" s="23" t="s">
        <v>42</v>
      </c>
      <c r="C33" s="24">
        <f t="array" aca="1" ref="C33" ca="1">IF($C$2=FALSE,"-",SUM((OFFSET(INDIRECT($C$3&amp;"!$A$1"),1,0,$C$5,1)=B33)*IF($E$3=FALSE,1,(OFFSET(INDIRECT($C$3&amp;"!$B$1"),1,0,$C$5,1)&gt;=$E$4)*(OFFSET(INDIRECT($C$3&amp;"!$B$1"),1,0,$C$5,1)&lt;=$E$5))))</f>
        <v>4</v>
      </c>
      <c r="D33" s="25">
        <f t="array" aca="1" ref="D33" ca="1">IF($C$2=FALSE,"-",SUM((OFFSET(INDIRECT($C$3&amp;"!$A$1"),1,0,$C$5,1)=B33)*OFFSET(INDIRECT($C$3&amp;"!$C$1"),1,0,$C$5,1)*IF($E$3=FALSE,1,(OFFSET(INDIRECT($C$3&amp;"!$B$1"),1,0,$C$5,1)&gt;=$E$4)*(OFFSET(INDIRECT($C$3&amp;"!$B$1"),1,0,$C$5,1)&lt;=$E$5))))</f>
        <v>152.5</v>
      </c>
      <c r="E33" s="34">
        <f t="array" aca="1" ref="E33" ca="1">IF($C$2=FALSE,"-",SUM((OFFSET(INDIRECT($C$3&amp;"!$A$1"),1,0,$C$5,1)=B33)*OFFSET(INDIRECT($C$3&amp;"!$D$1"),1,0,$C$5,1)*IF($E$3=FALSE,1,(OFFSET(INDIRECT($C$3&amp;"!$B$1"),1,0,$C$5,1)&gt;=$E$4)*(OFFSET(INDIRECT($C$3&amp;"!$B$1"),1,0,$C$5,1)&lt;=$E$5))))</f>
        <v>0</v>
      </c>
      <c r="F33" s="26">
        <f t="shared" ca="1" si="0"/>
        <v>42</v>
      </c>
      <c r="G33" s="27">
        <f t="array" aca="1" ref="G33" ca="1">IF($C$2=FALSE,"-",SUM((OFFSET(INDIRECT($C$3&amp;"!$A$1"),1,0,$C$5,1)=B33)*(OFFSET(INDIRECT($C$3&amp;"!$C$1"),1,0,$C$5,1)+OFFSET(INDIRECT($C$3&amp;"!$D$1"),1,0,$C$5,1))*OFFSET(INDIRECT($C$3&amp;"!$E$1"),1,0,$C$5,1)*IF($E$3=FALSE,1,(OFFSET(INDIRECT($C$3&amp;"!$B$1"),1,0,$C$5,1)&gt;=$E$4)*(OFFSET(INDIRECT($C$3&amp;"!$B$1"),1,0,$C$5,1)&lt;=$E$5))))</f>
        <v>6405</v>
      </c>
      <c r="H33" s="28">
        <f t="shared" ca="1" si="1"/>
        <v>42</v>
      </c>
      <c r="I33" s="29">
        <f t="array" aca="1" ref="I33" ca="1">IF($C$2=FALSE,"-",SUM((OFFSET(INDIRECT($C$3&amp;"!$A$1"),1,0,$C$5,1)=B33)*(OFFSET(INDIRECT($C$3&amp;"!$C$1"),1,0,$C$5,1)+OFFSET(INDIRECT($C$3&amp;"!$D$1"),1,0,$C$5,1))*OFFSET(INDIRECT($C$3&amp;"!$E$1"),1,0,$C$5,1)*OFFSET(INDIRECT($C$3&amp;"!$F$1"),1,0,$C$5,1)*IF($E$3=FALSE,1,(OFFSET(INDIRECT($C$3&amp;"!$B$1"),1,0,$C$5,1)&gt;=$E$4)*(OFFSET(INDIRECT($C$3&amp;"!$B$1"),1,0,$C$5,1)&lt;=$E$5))))</f>
        <v>6405</v>
      </c>
      <c r="J33" s="30">
        <f t="shared" ca="1" si="2"/>
        <v>0</v>
      </c>
      <c r="K33" s="31">
        <f t="shared" ca="1" si="3"/>
        <v>0</v>
      </c>
      <c r="L33" s="32">
        <f t="shared" ca="1" si="4"/>
        <v>0</v>
      </c>
      <c r="O33"/>
    </row>
    <row r="34" spans="2:15" ht="20.100000000000001" customHeight="1" x14ac:dyDescent="0.2">
      <c r="B34"/>
      <c r="O34"/>
    </row>
    <row r="35" spans="2:15" ht="20.100000000000001" customHeight="1" x14ac:dyDescent="0.2">
      <c r="B35"/>
      <c r="O35"/>
    </row>
    <row r="36" spans="2:15" ht="20.100000000000001" customHeight="1" x14ac:dyDescent="0.2">
      <c r="O36"/>
    </row>
    <row r="37" spans="2:15" ht="20.100000000000001" customHeight="1" x14ac:dyDescent="0.2">
      <c r="O37"/>
    </row>
    <row r="38" spans="2:15" ht="20.100000000000001" customHeight="1" x14ac:dyDescent="0.2">
      <c r="O38"/>
    </row>
    <row r="39" spans="2:15" ht="20.100000000000001" customHeight="1" x14ac:dyDescent="0.2">
      <c r="O39"/>
    </row>
    <row r="40" spans="2:15" ht="20.100000000000001" customHeight="1" x14ac:dyDescent="0.2">
      <c r="O40"/>
    </row>
    <row r="41" spans="2:15" ht="20.100000000000001" customHeight="1" x14ac:dyDescent="0.2">
      <c r="O41"/>
    </row>
    <row r="42" spans="2:15" ht="20.100000000000001" customHeight="1" x14ac:dyDescent="0.2">
      <c r="O42"/>
    </row>
    <row r="43" spans="2:15" ht="20.100000000000001" customHeight="1" x14ac:dyDescent="0.2">
      <c r="O43"/>
    </row>
    <row r="44" spans="2:15" ht="20.100000000000001" customHeight="1" x14ac:dyDescent="0.2">
      <c r="O44"/>
    </row>
    <row r="45" spans="2:15" ht="20.100000000000001" customHeight="1" x14ac:dyDescent="0.2">
      <c r="O45"/>
    </row>
    <row r="46" spans="2:15" ht="20.100000000000001" customHeight="1" x14ac:dyDescent="0.2">
      <c r="O46"/>
    </row>
    <row r="47" spans="2:15" ht="20.100000000000001" customHeight="1" x14ac:dyDescent="0.2">
      <c r="O47"/>
    </row>
    <row r="48" spans="2:15" ht="20.100000000000001" customHeight="1" x14ac:dyDescent="0.2">
      <c r="O48"/>
    </row>
    <row r="49" spans="2:15" ht="20.100000000000001" customHeight="1" x14ac:dyDescent="0.2">
      <c r="O49"/>
    </row>
    <row r="50" spans="2:15" ht="20.100000000000001" customHeight="1" x14ac:dyDescent="0.2">
      <c r="O50"/>
    </row>
    <row r="51" spans="2:15" ht="20.100000000000001" customHeight="1" x14ac:dyDescent="0.2">
      <c r="O51"/>
    </row>
    <row r="52" spans="2:15" ht="20.100000000000001" customHeight="1" x14ac:dyDescent="0.2">
      <c r="O52"/>
    </row>
    <row r="53" spans="2:15" ht="20.100000000000001" customHeight="1" x14ac:dyDescent="0.2">
      <c r="B53"/>
      <c r="O53"/>
    </row>
    <row r="54" spans="2:15" ht="20.100000000000001" customHeight="1" x14ac:dyDescent="0.2">
      <c r="B54"/>
      <c r="O54"/>
    </row>
    <row r="55" spans="2:15" ht="20.100000000000001" customHeight="1" x14ac:dyDescent="0.2">
      <c r="O55"/>
    </row>
    <row r="56" spans="2:15" ht="20.100000000000001" customHeight="1" x14ac:dyDescent="0.2">
      <c r="O56"/>
    </row>
    <row r="57" spans="2:15" ht="20.100000000000001" customHeight="1" x14ac:dyDescent="0.2">
      <c r="O57"/>
    </row>
    <row r="58" spans="2:15" ht="20.100000000000001" customHeight="1" x14ac:dyDescent="0.2">
      <c r="O58"/>
    </row>
    <row r="59" spans="2:15" ht="20.100000000000001" customHeight="1" x14ac:dyDescent="0.2">
      <c r="O59"/>
    </row>
    <row r="60" spans="2:15" ht="20.100000000000001" customHeight="1" x14ac:dyDescent="0.2">
      <c r="O60"/>
    </row>
    <row r="61" spans="2:15" ht="20.100000000000001" customHeight="1" x14ac:dyDescent="0.2">
      <c r="O61"/>
    </row>
    <row r="62" spans="2:15" ht="20.100000000000001" customHeight="1" x14ac:dyDescent="0.2">
      <c r="O62"/>
    </row>
    <row r="63" spans="2:15" ht="20.100000000000001" customHeight="1" x14ac:dyDescent="0.2">
      <c r="O63"/>
    </row>
    <row r="64" spans="2:15" ht="20.100000000000001" customHeight="1" x14ac:dyDescent="0.2">
      <c r="O64"/>
    </row>
    <row r="65" spans="15:15" ht="20.100000000000001" customHeight="1" x14ac:dyDescent="0.2">
      <c r="O65"/>
    </row>
    <row r="66" spans="15:15" ht="20.100000000000001" customHeight="1" x14ac:dyDescent="0.2">
      <c r="O66"/>
    </row>
    <row r="67" spans="15:15" ht="20.100000000000001" customHeight="1" x14ac:dyDescent="0.2">
      <c r="O67"/>
    </row>
    <row r="68" spans="15:15" ht="20.100000000000001" customHeight="1" x14ac:dyDescent="0.2">
      <c r="O68"/>
    </row>
    <row r="69" spans="15:15" ht="20.100000000000001" customHeight="1" x14ac:dyDescent="0.2">
      <c r="O69"/>
    </row>
    <row r="70" spans="15:15" ht="20.100000000000001" customHeight="1" x14ac:dyDescent="0.2">
      <c r="O70"/>
    </row>
    <row r="71" spans="15:15" ht="20.100000000000001" customHeight="1" x14ac:dyDescent="0.2">
      <c r="O71"/>
    </row>
    <row r="72" spans="15:15" ht="20.100000000000001" customHeight="1" x14ac:dyDescent="0.2">
      <c r="O72"/>
    </row>
    <row r="73" spans="15:15" ht="20.100000000000001" customHeight="1" x14ac:dyDescent="0.2">
      <c r="O73"/>
    </row>
    <row r="74" spans="15:15" ht="20.100000000000001" customHeight="1" x14ac:dyDescent="0.2">
      <c r="O74"/>
    </row>
    <row r="75" spans="15:15" ht="20.100000000000001" customHeight="1" x14ac:dyDescent="0.2">
      <c r="O75"/>
    </row>
    <row r="76" spans="15:15" ht="20.100000000000001" customHeight="1" x14ac:dyDescent="0.2">
      <c r="O76"/>
    </row>
    <row r="77" spans="15:15" ht="20.100000000000001" customHeight="1" x14ac:dyDescent="0.2">
      <c r="O77"/>
    </row>
    <row r="78" spans="15:15" ht="20.100000000000001" customHeight="1" x14ac:dyDescent="0.2">
      <c r="O78"/>
    </row>
    <row r="79" spans="15:15" ht="20.100000000000001" customHeight="1" x14ac:dyDescent="0.2">
      <c r="O79"/>
    </row>
    <row r="80" spans="15:15" ht="20.100000000000001" customHeight="1" x14ac:dyDescent="0.2">
      <c r="O80"/>
    </row>
    <row r="81" spans="15:15" ht="20.100000000000001" customHeight="1" x14ac:dyDescent="0.2">
      <c r="O81"/>
    </row>
    <row r="82" spans="15:15" ht="20.100000000000001" customHeight="1" x14ac:dyDescent="0.2">
      <c r="O82"/>
    </row>
    <row r="83" spans="15:15" ht="20.100000000000001" customHeight="1" x14ac:dyDescent="0.2">
      <c r="O83"/>
    </row>
    <row r="84" spans="15:15" ht="20.100000000000001" customHeight="1" x14ac:dyDescent="0.2">
      <c r="O84"/>
    </row>
    <row r="85" spans="15:15" ht="20.100000000000001" customHeight="1" x14ac:dyDescent="0.2">
      <c r="O85"/>
    </row>
    <row r="86" spans="15:15" ht="20.100000000000001" customHeight="1" x14ac:dyDescent="0.2">
      <c r="O86"/>
    </row>
    <row r="87" spans="15:15" ht="20.100000000000001" customHeight="1" x14ac:dyDescent="0.2">
      <c r="O87"/>
    </row>
    <row r="88" spans="15:15" ht="20.100000000000001" customHeight="1" x14ac:dyDescent="0.2">
      <c r="O88"/>
    </row>
    <row r="89" spans="15:15" ht="20.100000000000001" customHeight="1" x14ac:dyDescent="0.2">
      <c r="O89"/>
    </row>
    <row r="90" spans="15:15" ht="20.100000000000001" customHeight="1" x14ac:dyDescent="0.2">
      <c r="O90"/>
    </row>
    <row r="91" spans="15:15" ht="20.100000000000001" customHeight="1" x14ac:dyDescent="0.2">
      <c r="O91"/>
    </row>
    <row r="92" spans="15:15" ht="20.100000000000001" customHeight="1" x14ac:dyDescent="0.2">
      <c r="O92"/>
    </row>
    <row r="93" spans="15:15" ht="20.100000000000001" customHeight="1" x14ac:dyDescent="0.2">
      <c r="O93"/>
    </row>
    <row r="94" spans="15:15" ht="20.100000000000001" customHeight="1" x14ac:dyDescent="0.2">
      <c r="O94"/>
    </row>
    <row r="95" spans="15:15" ht="20.100000000000001" customHeight="1" x14ac:dyDescent="0.2">
      <c r="O95"/>
    </row>
    <row r="96" spans="15:15" ht="20.100000000000001" customHeight="1" x14ac:dyDescent="0.2">
      <c r="O96"/>
    </row>
    <row r="97" spans="15:15" ht="20.100000000000001" customHeight="1" x14ac:dyDescent="0.2">
      <c r="O97"/>
    </row>
    <row r="98" spans="15:15" ht="20.100000000000001" customHeight="1" x14ac:dyDescent="0.2">
      <c r="O98"/>
    </row>
    <row r="99" spans="15:15" ht="20.100000000000001" customHeight="1" x14ac:dyDescent="0.2">
      <c r="O99"/>
    </row>
    <row r="100" spans="15:15" ht="20.100000000000001" customHeight="1" x14ac:dyDescent="0.2">
      <c r="O100"/>
    </row>
    <row r="101" spans="15:15" ht="20.100000000000001" customHeight="1" x14ac:dyDescent="0.2">
      <c r="O101"/>
    </row>
    <row r="102" spans="15:15" ht="20.100000000000001" customHeight="1" x14ac:dyDescent="0.2">
      <c r="O102"/>
    </row>
    <row r="103" spans="15:15" ht="20.100000000000001" customHeight="1" x14ac:dyDescent="0.2">
      <c r="O103"/>
    </row>
    <row r="104" spans="15:15" ht="20.100000000000001" customHeight="1" x14ac:dyDescent="0.2">
      <c r="O104"/>
    </row>
    <row r="105" spans="15:15" ht="20.100000000000001" customHeight="1" x14ac:dyDescent="0.2">
      <c r="O105"/>
    </row>
    <row r="106" spans="15:15" ht="20.100000000000001" customHeight="1" x14ac:dyDescent="0.2">
      <c r="O106"/>
    </row>
    <row r="107" spans="15:15" ht="20.100000000000001" customHeight="1" x14ac:dyDescent="0.2">
      <c r="O107"/>
    </row>
    <row r="108" spans="15:15" ht="20.100000000000001" customHeight="1" x14ac:dyDescent="0.2">
      <c r="O108"/>
    </row>
    <row r="109" spans="15:15" ht="20.100000000000001" customHeight="1" x14ac:dyDescent="0.2">
      <c r="O109"/>
    </row>
    <row r="110" spans="15:15" ht="20.100000000000001" customHeight="1" x14ac:dyDescent="0.2">
      <c r="O110"/>
    </row>
    <row r="111" spans="15:15" ht="20.100000000000001" customHeight="1" x14ac:dyDescent="0.2">
      <c r="O111"/>
    </row>
    <row r="112" spans="15:15" ht="20.100000000000001" customHeight="1" x14ac:dyDescent="0.2">
      <c r="O112"/>
    </row>
    <row r="113" spans="15:15" ht="20.100000000000001" customHeight="1" x14ac:dyDescent="0.2">
      <c r="O113"/>
    </row>
    <row r="114" spans="15:15" ht="20.100000000000001" customHeight="1" x14ac:dyDescent="0.2">
      <c r="O114"/>
    </row>
    <row r="115" spans="15:15" ht="20.100000000000001" customHeight="1" x14ac:dyDescent="0.2">
      <c r="O115"/>
    </row>
    <row r="116" spans="15:15" ht="20.100000000000001" customHeight="1" x14ac:dyDescent="0.2">
      <c r="O116"/>
    </row>
    <row r="117" spans="15:15" ht="20.100000000000001" customHeight="1" x14ac:dyDescent="0.2">
      <c r="O117"/>
    </row>
    <row r="118" spans="15:15" ht="20.100000000000001" customHeight="1" x14ac:dyDescent="0.2">
      <c r="O118"/>
    </row>
    <row r="119" spans="15:15" ht="20.100000000000001" customHeight="1" x14ac:dyDescent="0.2">
      <c r="O119"/>
    </row>
    <row r="120" spans="15:15" ht="20.100000000000001" customHeight="1" x14ac:dyDescent="0.2">
      <c r="O120"/>
    </row>
    <row r="121" spans="15:15" ht="20.100000000000001" customHeight="1" x14ac:dyDescent="0.2">
      <c r="O121"/>
    </row>
    <row r="122" spans="15:15" ht="20.100000000000001" customHeight="1" x14ac:dyDescent="0.2">
      <c r="O122"/>
    </row>
    <row r="123" spans="15:15" ht="20.100000000000001" customHeight="1" x14ac:dyDescent="0.2">
      <c r="O123"/>
    </row>
    <row r="124" spans="15:15" ht="20.100000000000001" customHeight="1" x14ac:dyDescent="0.2">
      <c r="O124"/>
    </row>
    <row r="125" spans="15:15" ht="20.100000000000001" customHeight="1" x14ac:dyDescent="0.2">
      <c r="O125"/>
    </row>
    <row r="126" spans="15:15" ht="20.100000000000001" customHeight="1" x14ac:dyDescent="0.2">
      <c r="O126"/>
    </row>
    <row r="127" spans="15:15" ht="20.100000000000001" customHeight="1" x14ac:dyDescent="0.2">
      <c r="O127"/>
    </row>
    <row r="128" spans="15:15" ht="20.100000000000001" customHeight="1" x14ac:dyDescent="0.2">
      <c r="O128"/>
    </row>
    <row r="129" spans="15:15" ht="20.100000000000001" customHeight="1" x14ac:dyDescent="0.2">
      <c r="O129"/>
    </row>
    <row r="130" spans="15:15" ht="20.100000000000001" customHeight="1" x14ac:dyDescent="0.2">
      <c r="O130"/>
    </row>
    <row r="131" spans="15:15" ht="20.100000000000001" customHeight="1" x14ac:dyDescent="0.2">
      <c r="O131"/>
    </row>
    <row r="132" spans="15:15" ht="20.100000000000001" customHeight="1" x14ac:dyDescent="0.2">
      <c r="O132"/>
    </row>
    <row r="133" spans="15:15" ht="20.100000000000001" customHeight="1" x14ac:dyDescent="0.2">
      <c r="O133"/>
    </row>
    <row r="134" spans="15:15" ht="20.100000000000001" customHeight="1" x14ac:dyDescent="0.2">
      <c r="O134"/>
    </row>
    <row r="135" spans="15:15" ht="20.100000000000001" customHeight="1" x14ac:dyDescent="0.2">
      <c r="O135"/>
    </row>
    <row r="136" spans="15:15" ht="20.100000000000001" customHeight="1" x14ac:dyDescent="0.2">
      <c r="O136"/>
    </row>
    <row r="137" spans="15:15" ht="20.100000000000001" customHeight="1" x14ac:dyDescent="0.2">
      <c r="O137"/>
    </row>
    <row r="138" spans="15:15" ht="20.100000000000001" customHeight="1" x14ac:dyDescent="0.2">
      <c r="O138"/>
    </row>
    <row r="139" spans="15:15" ht="20.100000000000001" customHeight="1" x14ac:dyDescent="0.2">
      <c r="O139"/>
    </row>
    <row r="140" spans="15:15" ht="20.100000000000001" customHeight="1" x14ac:dyDescent="0.2">
      <c r="O140"/>
    </row>
    <row r="141" spans="15:15" ht="20.100000000000001" customHeight="1" x14ac:dyDescent="0.2">
      <c r="O141"/>
    </row>
    <row r="142" spans="15:15" ht="20.100000000000001" customHeight="1" x14ac:dyDescent="0.2">
      <c r="O142"/>
    </row>
    <row r="143" spans="15:15" ht="20.100000000000001" customHeight="1" x14ac:dyDescent="0.2">
      <c r="O143"/>
    </row>
    <row r="144" spans="15:15" ht="20.100000000000001" customHeight="1" x14ac:dyDescent="0.2">
      <c r="O144"/>
    </row>
    <row r="145" spans="15:15" ht="20.100000000000001" customHeight="1" x14ac:dyDescent="0.2">
      <c r="O145"/>
    </row>
    <row r="146" spans="15:15" ht="20.100000000000001" customHeight="1" x14ac:dyDescent="0.2">
      <c r="O146"/>
    </row>
    <row r="147" spans="15:15" ht="20.100000000000001" customHeight="1" x14ac:dyDescent="0.2">
      <c r="O147"/>
    </row>
    <row r="148" spans="15:15" ht="20.100000000000001" customHeight="1" x14ac:dyDescent="0.2">
      <c r="O148"/>
    </row>
    <row r="149" spans="15:15" ht="20.100000000000001" customHeight="1" x14ac:dyDescent="0.2">
      <c r="O149"/>
    </row>
    <row r="150" spans="15:15" ht="20.100000000000001" customHeight="1" x14ac:dyDescent="0.2">
      <c r="O150"/>
    </row>
    <row r="151" spans="15:15" ht="20.100000000000001" customHeight="1" x14ac:dyDescent="0.2">
      <c r="O151"/>
    </row>
    <row r="152" spans="15:15" ht="20.100000000000001" customHeight="1" x14ac:dyDescent="0.2">
      <c r="O152"/>
    </row>
    <row r="153" spans="15:15" ht="20.100000000000001" customHeight="1" x14ac:dyDescent="0.2">
      <c r="O153"/>
    </row>
    <row r="154" spans="15:15" ht="20.100000000000001" customHeight="1" x14ac:dyDescent="0.2">
      <c r="O154"/>
    </row>
    <row r="155" spans="15:15" ht="20.100000000000001" customHeight="1" x14ac:dyDescent="0.2">
      <c r="O155"/>
    </row>
    <row r="156" spans="15:15" ht="20.100000000000001" customHeight="1" x14ac:dyDescent="0.2">
      <c r="O156"/>
    </row>
    <row r="157" spans="15:15" ht="20.100000000000001" customHeight="1" x14ac:dyDescent="0.2">
      <c r="O157"/>
    </row>
    <row r="158" spans="15:15" ht="20.100000000000001" customHeight="1" x14ac:dyDescent="0.2">
      <c r="O158"/>
    </row>
    <row r="159" spans="15:15" ht="20.100000000000001" customHeight="1" x14ac:dyDescent="0.2">
      <c r="O159"/>
    </row>
    <row r="160" spans="15:15" ht="20.100000000000001" customHeight="1" x14ac:dyDescent="0.2">
      <c r="O160"/>
    </row>
    <row r="161" spans="15:15" ht="20.100000000000001" customHeight="1" x14ac:dyDescent="0.2">
      <c r="O161"/>
    </row>
    <row r="162" spans="15:15" ht="20.100000000000001" customHeight="1" x14ac:dyDescent="0.2">
      <c r="O162"/>
    </row>
    <row r="163" spans="15:15" ht="20.100000000000001" customHeight="1" x14ac:dyDescent="0.2">
      <c r="O163"/>
    </row>
    <row r="164" spans="15:15" ht="20.100000000000001" customHeight="1" x14ac:dyDescent="0.2">
      <c r="O164"/>
    </row>
    <row r="165" spans="15:15" ht="20.100000000000001" customHeight="1" x14ac:dyDescent="0.2">
      <c r="O165"/>
    </row>
    <row r="166" spans="15:15" ht="20.100000000000001" customHeight="1" x14ac:dyDescent="0.2">
      <c r="O166"/>
    </row>
    <row r="167" spans="15:15" ht="20.100000000000001" customHeight="1" x14ac:dyDescent="0.2">
      <c r="O167"/>
    </row>
    <row r="168" spans="15:15" ht="20.100000000000001" customHeight="1" x14ac:dyDescent="0.2">
      <c r="O168"/>
    </row>
    <row r="169" spans="15:15" ht="20.100000000000001" customHeight="1" x14ac:dyDescent="0.2">
      <c r="O169"/>
    </row>
    <row r="170" spans="15:15" ht="20.100000000000001" customHeight="1" x14ac:dyDescent="0.2">
      <c r="O170"/>
    </row>
    <row r="171" spans="15:15" ht="20.100000000000001" customHeight="1" x14ac:dyDescent="0.2">
      <c r="O171"/>
    </row>
    <row r="172" spans="15:15" ht="20.100000000000001" customHeight="1" x14ac:dyDescent="0.2">
      <c r="O172"/>
    </row>
    <row r="173" spans="15:15" ht="20.100000000000001" customHeight="1" x14ac:dyDescent="0.2">
      <c r="O173"/>
    </row>
    <row r="174" spans="15:15" ht="20.100000000000001" customHeight="1" x14ac:dyDescent="0.2">
      <c r="O174"/>
    </row>
    <row r="175" spans="15:15" ht="20.100000000000001" customHeight="1" x14ac:dyDescent="0.2">
      <c r="O175"/>
    </row>
    <row r="176" spans="15:15" ht="20.100000000000001" customHeight="1" x14ac:dyDescent="0.2">
      <c r="O176"/>
    </row>
    <row r="177" spans="15:15" ht="20.100000000000001" customHeight="1" x14ac:dyDescent="0.2">
      <c r="O177"/>
    </row>
    <row r="178" spans="15:15" ht="20.100000000000001" customHeight="1" x14ac:dyDescent="0.2">
      <c r="O178"/>
    </row>
    <row r="179" spans="15:15" ht="20.100000000000001" customHeight="1" x14ac:dyDescent="0.2">
      <c r="O179"/>
    </row>
    <row r="180" spans="15:15" ht="20.100000000000001" customHeight="1" x14ac:dyDescent="0.2">
      <c r="O180"/>
    </row>
    <row r="181" spans="15:15" ht="20.100000000000001" customHeight="1" x14ac:dyDescent="0.2">
      <c r="O181"/>
    </row>
    <row r="182" spans="15:15" ht="20.100000000000001" customHeight="1" x14ac:dyDescent="0.2">
      <c r="O182"/>
    </row>
    <row r="183" spans="15:15" ht="20.100000000000001" customHeight="1" x14ac:dyDescent="0.2">
      <c r="O183"/>
    </row>
    <row r="184" spans="15:15" ht="20.100000000000001" customHeight="1" x14ac:dyDescent="0.2">
      <c r="O184"/>
    </row>
    <row r="185" spans="15:15" ht="20.100000000000001" customHeight="1" x14ac:dyDescent="0.2">
      <c r="O185"/>
    </row>
    <row r="186" spans="15:15" ht="20.100000000000001" customHeight="1" x14ac:dyDescent="0.2">
      <c r="O186"/>
    </row>
    <row r="187" spans="15:15" ht="20.100000000000001" customHeight="1" x14ac:dyDescent="0.2">
      <c r="O187"/>
    </row>
    <row r="188" spans="15:15" ht="20.100000000000001" customHeight="1" x14ac:dyDescent="0.2">
      <c r="O188"/>
    </row>
    <row r="189" spans="15:15" ht="20.100000000000001" customHeight="1" x14ac:dyDescent="0.2">
      <c r="O189"/>
    </row>
    <row r="190" spans="15:15" ht="20.100000000000001" customHeight="1" x14ac:dyDescent="0.2">
      <c r="O190"/>
    </row>
    <row r="191" spans="15:15" ht="20.100000000000001" customHeight="1" x14ac:dyDescent="0.2">
      <c r="O191"/>
    </row>
    <row r="192" spans="15:15" ht="20.100000000000001" customHeight="1" x14ac:dyDescent="0.2">
      <c r="O192"/>
    </row>
    <row r="193" spans="15:15" ht="20.100000000000001" customHeight="1" x14ac:dyDescent="0.2">
      <c r="O193"/>
    </row>
    <row r="194" spans="15:15" ht="20.100000000000001" customHeight="1" x14ac:dyDescent="0.2">
      <c r="O194"/>
    </row>
    <row r="195" spans="15:15" ht="20.100000000000001" customHeight="1" x14ac:dyDescent="0.2">
      <c r="O195"/>
    </row>
    <row r="196" spans="15:15" ht="20.100000000000001" customHeight="1" x14ac:dyDescent="0.2">
      <c r="O196"/>
    </row>
    <row r="197" spans="15:15" ht="20.100000000000001" customHeight="1" x14ac:dyDescent="0.2">
      <c r="O197"/>
    </row>
    <row r="198" spans="15:15" ht="20.100000000000001" customHeight="1" x14ac:dyDescent="0.2">
      <c r="O198"/>
    </row>
    <row r="199" spans="15:15" ht="20.100000000000001" customHeight="1" x14ac:dyDescent="0.2">
      <c r="O199"/>
    </row>
    <row r="200" spans="15:15" ht="20.100000000000001" customHeight="1" x14ac:dyDescent="0.2">
      <c r="O200"/>
    </row>
    <row r="201" spans="15:15" ht="20.100000000000001" customHeight="1" x14ac:dyDescent="0.2">
      <c r="O201"/>
    </row>
    <row r="202" spans="15:15" ht="20.100000000000001" customHeight="1" x14ac:dyDescent="0.2">
      <c r="O202"/>
    </row>
    <row r="203" spans="15:15" ht="20.100000000000001" customHeight="1" x14ac:dyDescent="0.2">
      <c r="O203"/>
    </row>
    <row r="204" spans="15:15" ht="20.100000000000001" customHeight="1" x14ac:dyDescent="0.2">
      <c r="O204"/>
    </row>
    <row r="205" spans="15:15" ht="20.100000000000001" customHeight="1" x14ac:dyDescent="0.2">
      <c r="O205"/>
    </row>
    <row r="206" spans="15:15" ht="20.100000000000001" customHeight="1" x14ac:dyDescent="0.2">
      <c r="O206"/>
    </row>
    <row r="207" spans="15:15" ht="20.100000000000001" customHeight="1" x14ac:dyDescent="0.2">
      <c r="O207"/>
    </row>
    <row r="208" spans="15:15" ht="20.100000000000001" customHeight="1" x14ac:dyDescent="0.2">
      <c r="O208"/>
    </row>
    <row r="209" spans="15:15" ht="20.100000000000001" customHeight="1" x14ac:dyDescent="0.2">
      <c r="O209"/>
    </row>
    <row r="210" spans="15:15" ht="20.100000000000001" customHeight="1" x14ac:dyDescent="0.2">
      <c r="O210"/>
    </row>
    <row r="211" spans="15:15" ht="20.100000000000001" customHeight="1" x14ac:dyDescent="0.2">
      <c r="O211"/>
    </row>
    <row r="212" spans="15:15" ht="20.100000000000001" customHeight="1" x14ac:dyDescent="0.2">
      <c r="O212"/>
    </row>
    <row r="213" spans="15:15" ht="20.100000000000001" customHeight="1" x14ac:dyDescent="0.2">
      <c r="O213"/>
    </row>
    <row r="214" spans="15:15" ht="20.100000000000001" customHeight="1" x14ac:dyDescent="0.2">
      <c r="O214"/>
    </row>
    <row r="215" spans="15:15" ht="20.100000000000001" customHeight="1" x14ac:dyDescent="0.2">
      <c r="O215"/>
    </row>
    <row r="216" spans="15:15" ht="20.100000000000001" customHeight="1" x14ac:dyDescent="0.2">
      <c r="O216"/>
    </row>
    <row r="217" spans="15:15" ht="20.100000000000001" customHeight="1" x14ac:dyDescent="0.2">
      <c r="O217"/>
    </row>
    <row r="218" spans="15:15" ht="20.100000000000001" customHeight="1" x14ac:dyDescent="0.2">
      <c r="O218"/>
    </row>
    <row r="219" spans="15:15" ht="20.100000000000001" customHeight="1" x14ac:dyDescent="0.2">
      <c r="O219"/>
    </row>
    <row r="220" spans="15:15" ht="20.100000000000001" customHeight="1" x14ac:dyDescent="0.2">
      <c r="O220"/>
    </row>
    <row r="221" spans="15:15" ht="20.100000000000001" customHeight="1" x14ac:dyDescent="0.2">
      <c r="O221"/>
    </row>
    <row r="222" spans="15:15" ht="20.100000000000001" customHeight="1" x14ac:dyDescent="0.2">
      <c r="O222"/>
    </row>
    <row r="223" spans="15:15" ht="20.100000000000001" customHeight="1" x14ac:dyDescent="0.2">
      <c r="O223"/>
    </row>
    <row r="224" spans="15:15" ht="20.100000000000001" customHeight="1" x14ac:dyDescent="0.2">
      <c r="O224"/>
    </row>
    <row r="225" spans="15:15" ht="20.100000000000001" customHeight="1" x14ac:dyDescent="0.2">
      <c r="O225"/>
    </row>
    <row r="226" spans="15:15" ht="20.100000000000001" customHeight="1" x14ac:dyDescent="0.2">
      <c r="O226"/>
    </row>
    <row r="227" spans="15:15" ht="20.100000000000001" customHeight="1" x14ac:dyDescent="0.2">
      <c r="O227"/>
    </row>
    <row r="228" spans="15:15" ht="20.100000000000001" customHeight="1" x14ac:dyDescent="0.2">
      <c r="O228"/>
    </row>
    <row r="229" spans="15:15" ht="20.100000000000001" customHeight="1" x14ac:dyDescent="0.2">
      <c r="O229"/>
    </row>
    <row r="230" spans="15:15" ht="20.100000000000001" customHeight="1" x14ac:dyDescent="0.2">
      <c r="O230"/>
    </row>
    <row r="231" spans="15:15" ht="20.100000000000001" customHeight="1" x14ac:dyDescent="0.2">
      <c r="O231"/>
    </row>
    <row r="232" spans="15:15" ht="20.100000000000001" customHeight="1" x14ac:dyDescent="0.2">
      <c r="O232"/>
    </row>
    <row r="233" spans="15:15" ht="20.100000000000001" customHeight="1" x14ac:dyDescent="0.2">
      <c r="O233"/>
    </row>
    <row r="234" spans="15:15" ht="20.100000000000001" customHeight="1" x14ac:dyDescent="0.2">
      <c r="O234"/>
    </row>
    <row r="235" spans="15:15" ht="20.100000000000001" customHeight="1" x14ac:dyDescent="0.2">
      <c r="O235"/>
    </row>
    <row r="236" spans="15:15" ht="20.100000000000001" customHeight="1" x14ac:dyDescent="0.2">
      <c r="O236"/>
    </row>
    <row r="237" spans="15:15" ht="20.100000000000001" customHeight="1" x14ac:dyDescent="0.2">
      <c r="O237"/>
    </row>
    <row r="238" spans="15:15" ht="20.100000000000001" customHeight="1" x14ac:dyDescent="0.2">
      <c r="O238"/>
    </row>
    <row r="239" spans="15:15" ht="20.100000000000001" customHeight="1" x14ac:dyDescent="0.2">
      <c r="O239"/>
    </row>
    <row r="240" spans="15:15" ht="20.100000000000001" customHeight="1" x14ac:dyDescent="0.2">
      <c r="O240"/>
    </row>
    <row r="241" spans="15:15" ht="20.100000000000001" customHeight="1" x14ac:dyDescent="0.2">
      <c r="O241"/>
    </row>
    <row r="242" spans="15:15" ht="20.100000000000001" customHeight="1" x14ac:dyDescent="0.2">
      <c r="O242"/>
    </row>
    <row r="243" spans="15:15" ht="20.100000000000001" customHeight="1" x14ac:dyDescent="0.2">
      <c r="O243"/>
    </row>
    <row r="244" spans="15:15" ht="20.100000000000001" customHeight="1" x14ac:dyDescent="0.2">
      <c r="O244"/>
    </row>
    <row r="245" spans="15:15" ht="20.100000000000001" customHeight="1" x14ac:dyDescent="0.2">
      <c r="O245"/>
    </row>
    <row r="246" spans="15:15" ht="20.100000000000001" customHeight="1" x14ac:dyDescent="0.2">
      <c r="O246"/>
    </row>
    <row r="247" spans="15:15" ht="20.100000000000001" customHeight="1" x14ac:dyDescent="0.2">
      <c r="O247"/>
    </row>
    <row r="248" spans="15:15" ht="20.100000000000001" customHeight="1" x14ac:dyDescent="0.2">
      <c r="O248"/>
    </row>
    <row r="249" spans="15:15" ht="20.100000000000001" customHeight="1" x14ac:dyDescent="0.2">
      <c r="O249"/>
    </row>
    <row r="250" spans="15:15" ht="20.100000000000001" customHeight="1" x14ac:dyDescent="0.2">
      <c r="O250"/>
    </row>
    <row r="251" spans="15:15" ht="20.100000000000001" customHeight="1" x14ac:dyDescent="0.2">
      <c r="O251"/>
    </row>
    <row r="252" spans="15:15" ht="20.100000000000001" customHeight="1" x14ac:dyDescent="0.2">
      <c r="O252"/>
    </row>
    <row r="253" spans="15:15" ht="20.100000000000001" customHeight="1" x14ac:dyDescent="0.2">
      <c r="O253"/>
    </row>
    <row r="254" spans="15:15" ht="20.100000000000001" customHeight="1" x14ac:dyDescent="0.2">
      <c r="O254"/>
    </row>
    <row r="255" spans="15:15" ht="20.100000000000001" customHeight="1" x14ac:dyDescent="0.2">
      <c r="O255"/>
    </row>
    <row r="256" spans="15:15" ht="20.100000000000001" customHeight="1" x14ac:dyDescent="0.2">
      <c r="O256"/>
    </row>
    <row r="257" spans="15:15" ht="20.100000000000001" customHeight="1" x14ac:dyDescent="0.2">
      <c r="O257"/>
    </row>
    <row r="258" spans="15:15" ht="20.100000000000001" customHeight="1" x14ac:dyDescent="0.2">
      <c r="O258"/>
    </row>
    <row r="259" spans="15:15" ht="20.100000000000001" customHeight="1" x14ac:dyDescent="0.2">
      <c r="O259"/>
    </row>
    <row r="260" spans="15:15" ht="20.100000000000001" customHeight="1" x14ac:dyDescent="0.2">
      <c r="O260"/>
    </row>
    <row r="261" spans="15:15" ht="20.100000000000001" customHeight="1" x14ac:dyDescent="0.2">
      <c r="O261"/>
    </row>
    <row r="262" spans="15:15" ht="20.100000000000001" customHeight="1" x14ac:dyDescent="0.2">
      <c r="O262"/>
    </row>
    <row r="263" spans="15:15" ht="20.100000000000001" customHeight="1" x14ac:dyDescent="0.2">
      <c r="O263"/>
    </row>
    <row r="264" spans="15:15" ht="20.100000000000001" customHeight="1" x14ac:dyDescent="0.2">
      <c r="O264"/>
    </row>
    <row r="265" spans="15:15" ht="20.100000000000001" customHeight="1" x14ac:dyDescent="0.2">
      <c r="O265"/>
    </row>
    <row r="266" spans="15:15" ht="20.100000000000001" customHeight="1" x14ac:dyDescent="0.2">
      <c r="O266"/>
    </row>
    <row r="267" spans="15:15" ht="20.100000000000001" customHeight="1" x14ac:dyDescent="0.2">
      <c r="O267"/>
    </row>
    <row r="268" spans="15:15" ht="20.100000000000001" customHeight="1" x14ac:dyDescent="0.2">
      <c r="O268"/>
    </row>
    <row r="269" spans="15:15" ht="20.100000000000001" customHeight="1" x14ac:dyDescent="0.2">
      <c r="O269"/>
    </row>
    <row r="270" spans="15:15" ht="20.100000000000001" customHeight="1" x14ac:dyDescent="0.2">
      <c r="O270"/>
    </row>
    <row r="271" spans="15:15" ht="20.100000000000001" customHeight="1" x14ac:dyDescent="0.2">
      <c r="O271"/>
    </row>
    <row r="272" spans="15:15" ht="20.100000000000001" customHeight="1" x14ac:dyDescent="0.2">
      <c r="O272"/>
    </row>
    <row r="273" spans="15:15" ht="20.100000000000001" customHeight="1" x14ac:dyDescent="0.2">
      <c r="O273"/>
    </row>
    <row r="274" spans="15:15" ht="20.100000000000001" customHeight="1" x14ac:dyDescent="0.2">
      <c r="O274"/>
    </row>
    <row r="275" spans="15:15" ht="20.100000000000001" customHeight="1" x14ac:dyDescent="0.2">
      <c r="O275"/>
    </row>
    <row r="276" spans="15:15" ht="20.100000000000001" customHeight="1" x14ac:dyDescent="0.2">
      <c r="O276"/>
    </row>
    <row r="277" spans="15:15" ht="20.100000000000001" customHeight="1" x14ac:dyDescent="0.2">
      <c r="O277"/>
    </row>
    <row r="278" spans="15:15" ht="20.100000000000001" customHeight="1" x14ac:dyDescent="0.2">
      <c r="O278"/>
    </row>
    <row r="279" spans="15:15" ht="20.100000000000001" customHeight="1" x14ac:dyDescent="0.2">
      <c r="O279"/>
    </row>
    <row r="280" spans="15:15" ht="20.100000000000001" customHeight="1" x14ac:dyDescent="0.2">
      <c r="O280"/>
    </row>
    <row r="281" spans="15:15" ht="20.100000000000001" customHeight="1" x14ac:dyDescent="0.2">
      <c r="O281"/>
    </row>
  </sheetData>
  <dataValidations count="1">
    <dataValidation type="list" allowBlank="1" showInputMessage="1" showErrorMessage="1" sqref="E3 C2">
      <formula1>"TRUE, FALSE"</formula1>
    </dataValidation>
  </dataValidations>
  <pageMargins left="0.75" right="0.75" top="1" bottom="1" header="0.5" footer="0.5"/>
  <pageSetup scale="18" orientation="landscape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395"/>
  <sheetViews>
    <sheetView topLeftCell="A4" workbookViewId="0">
      <selection activeCell="E50" sqref="E50"/>
    </sheetView>
  </sheetViews>
  <sheetFormatPr defaultRowHeight="12.75" x14ac:dyDescent="0.2"/>
  <sheetData>
    <row r="1" spans="1:6" x14ac:dyDescent="0.2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</row>
    <row r="2" spans="1:6" x14ac:dyDescent="0.2">
      <c r="A2">
        <v>7</v>
      </c>
      <c r="B2" t="s">
        <v>58</v>
      </c>
      <c r="C2" t="s">
        <v>79</v>
      </c>
      <c r="D2" t="s">
        <v>80</v>
      </c>
      <c r="E2" t="s">
        <v>57</v>
      </c>
      <c r="F2" t="s">
        <v>81</v>
      </c>
    </row>
    <row r="3" spans="1:6" x14ac:dyDescent="0.2">
      <c r="A3">
        <v>8</v>
      </c>
      <c r="B3" t="s">
        <v>58</v>
      </c>
      <c r="C3" t="s">
        <v>82</v>
      </c>
      <c r="D3" t="s">
        <v>83</v>
      </c>
      <c r="E3" t="s">
        <v>12</v>
      </c>
      <c r="F3" t="s">
        <v>84</v>
      </c>
    </row>
    <row r="4" spans="1:6" x14ac:dyDescent="0.2">
      <c r="A4">
        <v>9</v>
      </c>
      <c r="B4" t="s">
        <v>58</v>
      </c>
      <c r="C4" t="s">
        <v>85</v>
      </c>
      <c r="D4" t="s">
        <v>86</v>
      </c>
      <c r="E4" t="s">
        <v>13</v>
      </c>
      <c r="F4" t="s">
        <v>87</v>
      </c>
    </row>
    <row r="5" spans="1:6" x14ac:dyDescent="0.2">
      <c r="A5">
        <v>5</v>
      </c>
      <c r="B5" t="s">
        <v>58</v>
      </c>
      <c r="C5" t="s">
        <v>74</v>
      </c>
      <c r="D5" t="s">
        <v>75</v>
      </c>
      <c r="E5" t="s">
        <v>43</v>
      </c>
      <c r="F5" t="s">
        <v>76</v>
      </c>
    </row>
    <row r="6" spans="1:6" x14ac:dyDescent="0.2">
      <c r="A6">
        <v>6</v>
      </c>
      <c r="B6" t="s">
        <v>58</v>
      </c>
      <c r="C6" t="s">
        <v>77</v>
      </c>
      <c r="D6" t="s">
        <v>78</v>
      </c>
      <c r="E6" t="s">
        <v>43</v>
      </c>
      <c r="F6" t="s">
        <v>76</v>
      </c>
    </row>
    <row r="7" spans="1:6" x14ac:dyDescent="0.2">
      <c r="A7">
        <v>85</v>
      </c>
      <c r="B7" t="s">
        <v>58</v>
      </c>
      <c r="C7" t="s">
        <v>313</v>
      </c>
      <c r="D7" t="s">
        <v>314</v>
      </c>
      <c r="E7">
        <v>-4.4408920985006262E-16</v>
      </c>
      <c r="F7" t="s">
        <v>315</v>
      </c>
    </row>
    <row r="8" spans="1:6" x14ac:dyDescent="0.2">
      <c r="A8">
        <v>105</v>
      </c>
      <c r="B8" t="s">
        <v>58</v>
      </c>
      <c r="C8" t="s">
        <v>373</v>
      </c>
      <c r="D8" t="s">
        <v>374</v>
      </c>
      <c r="E8">
        <v>0</v>
      </c>
      <c r="F8" t="s">
        <v>375</v>
      </c>
    </row>
    <row r="9" spans="1:6" x14ac:dyDescent="0.2">
      <c r="A9">
        <v>125</v>
      </c>
      <c r="B9" t="s">
        <v>58</v>
      </c>
      <c r="C9" t="s">
        <v>433</v>
      </c>
      <c r="D9" t="s">
        <v>434</v>
      </c>
      <c r="E9">
        <v>-1.7763568394002505E-15</v>
      </c>
      <c r="F9" t="s">
        <v>435</v>
      </c>
    </row>
    <row r="10" spans="1:6" x14ac:dyDescent="0.2">
      <c r="A10">
        <v>145</v>
      </c>
      <c r="B10" t="s">
        <v>58</v>
      </c>
      <c r="C10" t="s">
        <v>493</v>
      </c>
      <c r="D10" t="s">
        <v>494</v>
      </c>
      <c r="E10">
        <v>2.6645352591003757E-15</v>
      </c>
      <c r="F10" t="s">
        <v>495</v>
      </c>
    </row>
    <row r="11" spans="1:6" x14ac:dyDescent="0.2">
      <c r="A11">
        <v>165</v>
      </c>
      <c r="B11" t="s">
        <v>58</v>
      </c>
      <c r="C11" t="s">
        <v>553</v>
      </c>
      <c r="D11" t="s">
        <v>554</v>
      </c>
      <c r="E11">
        <v>-1.3322676295501878E-15</v>
      </c>
      <c r="F11" t="s">
        <v>555</v>
      </c>
    </row>
    <row r="12" spans="1:6" x14ac:dyDescent="0.2">
      <c r="A12">
        <v>185</v>
      </c>
      <c r="B12" t="s">
        <v>58</v>
      </c>
      <c r="C12" t="s">
        <v>613</v>
      </c>
      <c r="D12" t="s">
        <v>614</v>
      </c>
      <c r="E12">
        <v>0</v>
      </c>
      <c r="F12" t="s">
        <v>615</v>
      </c>
    </row>
    <row r="13" spans="1:6" x14ac:dyDescent="0.2">
      <c r="A13">
        <v>205</v>
      </c>
      <c r="B13" t="s">
        <v>58</v>
      </c>
      <c r="C13" t="s">
        <v>673</v>
      </c>
      <c r="D13" t="s">
        <v>674</v>
      </c>
      <c r="E13">
        <v>0</v>
      </c>
      <c r="F13" t="s">
        <v>675</v>
      </c>
    </row>
    <row r="14" spans="1:6" x14ac:dyDescent="0.2">
      <c r="A14">
        <v>225</v>
      </c>
      <c r="B14" t="s">
        <v>58</v>
      </c>
      <c r="C14" t="s">
        <v>733</v>
      </c>
      <c r="D14" t="s">
        <v>734</v>
      </c>
      <c r="E14">
        <v>0</v>
      </c>
      <c r="F14" t="s">
        <v>735</v>
      </c>
    </row>
    <row r="15" spans="1:6" x14ac:dyDescent="0.2">
      <c r="A15">
        <v>245</v>
      </c>
      <c r="B15" t="s">
        <v>58</v>
      </c>
      <c r="C15" t="s">
        <v>793</v>
      </c>
      <c r="D15" t="s">
        <v>794</v>
      </c>
      <c r="E15">
        <v>0</v>
      </c>
      <c r="F15" t="s">
        <v>795</v>
      </c>
    </row>
    <row r="16" spans="1:6" x14ac:dyDescent="0.2">
      <c r="A16">
        <v>265</v>
      </c>
      <c r="B16" t="s">
        <v>58</v>
      </c>
      <c r="C16" t="s">
        <v>853</v>
      </c>
      <c r="D16" t="s">
        <v>854</v>
      </c>
      <c r="E16">
        <v>0</v>
      </c>
      <c r="F16" t="s">
        <v>855</v>
      </c>
    </row>
    <row r="17" spans="1:6" x14ac:dyDescent="0.2">
      <c r="A17">
        <v>285</v>
      </c>
      <c r="B17" t="s">
        <v>58</v>
      </c>
      <c r="C17" t="s">
        <v>913</v>
      </c>
      <c r="D17" t="s">
        <v>914</v>
      </c>
      <c r="E17">
        <v>0</v>
      </c>
      <c r="F17" t="s">
        <v>915</v>
      </c>
    </row>
    <row r="18" spans="1:6" x14ac:dyDescent="0.2">
      <c r="A18">
        <v>305</v>
      </c>
      <c r="B18" t="s">
        <v>58</v>
      </c>
      <c r="C18" t="s">
        <v>973</v>
      </c>
      <c r="D18" t="s">
        <v>974</v>
      </c>
      <c r="E18">
        <v>0</v>
      </c>
      <c r="F18" t="s">
        <v>975</v>
      </c>
    </row>
    <row r="19" spans="1:6" x14ac:dyDescent="0.2">
      <c r="A19">
        <v>325</v>
      </c>
      <c r="B19" t="s">
        <v>58</v>
      </c>
      <c r="C19" t="s">
        <v>1033</v>
      </c>
      <c r="D19" t="s">
        <v>1034</v>
      </c>
      <c r="E19">
        <v>0</v>
      </c>
      <c r="F19" t="s">
        <v>1035</v>
      </c>
    </row>
    <row r="20" spans="1:6" x14ac:dyDescent="0.2">
      <c r="A20">
        <v>345</v>
      </c>
      <c r="B20" t="s">
        <v>58</v>
      </c>
      <c r="C20" t="s">
        <v>1093</v>
      </c>
      <c r="D20" t="s">
        <v>1094</v>
      </c>
      <c r="E20">
        <v>8.8817841970012523E-16</v>
      </c>
      <c r="F20" t="s">
        <v>1095</v>
      </c>
    </row>
    <row r="21" spans="1:6" x14ac:dyDescent="0.2">
      <c r="A21">
        <v>355</v>
      </c>
      <c r="B21" t="s">
        <v>58</v>
      </c>
      <c r="C21" t="s">
        <v>1123</v>
      </c>
      <c r="D21" t="s">
        <v>1124</v>
      </c>
      <c r="E21">
        <v>0</v>
      </c>
      <c r="F21" t="s">
        <v>1125</v>
      </c>
    </row>
    <row r="22" spans="1:6" x14ac:dyDescent="0.2">
      <c r="A22">
        <v>365</v>
      </c>
      <c r="B22" t="s">
        <v>58</v>
      </c>
      <c r="C22" t="s">
        <v>1153</v>
      </c>
      <c r="D22" t="s">
        <v>1154</v>
      </c>
      <c r="E22">
        <v>-8.8817841970012523E-16</v>
      </c>
      <c r="F22" t="s">
        <v>1155</v>
      </c>
    </row>
    <row r="23" spans="1:6" x14ac:dyDescent="0.2">
      <c r="A23">
        <v>375</v>
      </c>
      <c r="B23" t="s">
        <v>58</v>
      </c>
      <c r="C23" t="s">
        <v>1183</v>
      </c>
      <c r="D23" t="s">
        <v>1184</v>
      </c>
      <c r="E23">
        <v>0</v>
      </c>
      <c r="F23" t="s">
        <v>1185</v>
      </c>
    </row>
    <row r="24" spans="1:6" x14ac:dyDescent="0.2">
      <c r="A24">
        <v>385</v>
      </c>
      <c r="B24" t="s">
        <v>58</v>
      </c>
      <c r="C24" t="s">
        <v>1213</v>
      </c>
      <c r="D24" t="s">
        <v>1214</v>
      </c>
      <c r="E24">
        <v>0</v>
      </c>
      <c r="F24" t="s">
        <v>1215</v>
      </c>
    </row>
    <row r="25" spans="1:6" x14ac:dyDescent="0.2">
      <c r="A25">
        <v>395</v>
      </c>
      <c r="B25" t="s">
        <v>58</v>
      </c>
      <c r="C25" t="s">
        <v>1243</v>
      </c>
      <c r="D25" t="s">
        <v>1244</v>
      </c>
      <c r="E25">
        <v>0</v>
      </c>
      <c r="F25" t="s">
        <v>1245</v>
      </c>
    </row>
    <row r="26" spans="1:6" x14ac:dyDescent="0.2">
      <c r="A26">
        <v>95</v>
      </c>
      <c r="B26" t="s">
        <v>58</v>
      </c>
      <c r="C26" t="s">
        <v>343</v>
      </c>
      <c r="D26" t="s">
        <v>344</v>
      </c>
      <c r="E26">
        <v>3.1086244689504383E-15</v>
      </c>
      <c r="F26" t="s">
        <v>345</v>
      </c>
    </row>
    <row r="27" spans="1:6" x14ac:dyDescent="0.2">
      <c r="A27">
        <v>115</v>
      </c>
      <c r="B27" t="s">
        <v>58</v>
      </c>
      <c r="C27" t="s">
        <v>403</v>
      </c>
      <c r="D27" t="s">
        <v>404</v>
      </c>
      <c r="E27">
        <v>1.1102230246251565E-15</v>
      </c>
      <c r="F27" t="s">
        <v>405</v>
      </c>
    </row>
    <row r="28" spans="1:6" x14ac:dyDescent="0.2">
      <c r="A28">
        <v>135</v>
      </c>
      <c r="B28" t="s">
        <v>58</v>
      </c>
      <c r="C28" t="s">
        <v>463</v>
      </c>
      <c r="D28" t="s">
        <v>464</v>
      </c>
      <c r="E28">
        <v>1.1102230246251565E-15</v>
      </c>
      <c r="F28" t="s">
        <v>465</v>
      </c>
    </row>
    <row r="29" spans="1:6" x14ac:dyDescent="0.2">
      <c r="A29">
        <v>155</v>
      </c>
      <c r="B29" t="s">
        <v>58</v>
      </c>
      <c r="C29" t="s">
        <v>523</v>
      </c>
      <c r="D29" t="s">
        <v>524</v>
      </c>
      <c r="E29">
        <v>0</v>
      </c>
      <c r="F29" t="s">
        <v>525</v>
      </c>
    </row>
    <row r="30" spans="1:6" x14ac:dyDescent="0.2">
      <c r="A30">
        <v>175</v>
      </c>
      <c r="B30" t="s">
        <v>58</v>
      </c>
      <c r="C30" t="s">
        <v>583</v>
      </c>
      <c r="D30" t="s">
        <v>584</v>
      </c>
      <c r="E30">
        <v>0</v>
      </c>
      <c r="F30" t="s">
        <v>585</v>
      </c>
    </row>
    <row r="31" spans="1:6" x14ac:dyDescent="0.2">
      <c r="A31">
        <v>195</v>
      </c>
      <c r="B31" t="s">
        <v>58</v>
      </c>
      <c r="C31" t="s">
        <v>643</v>
      </c>
      <c r="D31" t="s">
        <v>644</v>
      </c>
      <c r="E31">
        <v>0</v>
      </c>
      <c r="F31" t="s">
        <v>645</v>
      </c>
    </row>
    <row r="32" spans="1:6" x14ac:dyDescent="0.2">
      <c r="A32">
        <v>215</v>
      </c>
      <c r="B32" t="s">
        <v>58</v>
      </c>
      <c r="C32" t="s">
        <v>703</v>
      </c>
      <c r="D32" t="s">
        <v>704</v>
      </c>
      <c r="E32">
        <v>8.8817841970012523E-16</v>
      </c>
      <c r="F32" t="s">
        <v>705</v>
      </c>
    </row>
    <row r="33" spans="1:6" x14ac:dyDescent="0.2">
      <c r="A33">
        <v>235</v>
      </c>
      <c r="B33" t="s">
        <v>58</v>
      </c>
      <c r="C33" t="s">
        <v>763</v>
      </c>
      <c r="D33" t="s">
        <v>764</v>
      </c>
      <c r="E33">
        <v>-1.1102230246251565E-16</v>
      </c>
      <c r="F33" t="s">
        <v>765</v>
      </c>
    </row>
    <row r="34" spans="1:6" x14ac:dyDescent="0.2">
      <c r="A34">
        <v>255</v>
      </c>
      <c r="B34" t="s">
        <v>58</v>
      </c>
      <c r="C34" t="s">
        <v>823</v>
      </c>
      <c r="D34" t="s">
        <v>824</v>
      </c>
      <c r="E34">
        <v>-1.7763568394002505E-15</v>
      </c>
      <c r="F34" t="s">
        <v>825</v>
      </c>
    </row>
    <row r="35" spans="1:6" x14ac:dyDescent="0.2">
      <c r="A35">
        <v>275</v>
      </c>
      <c r="B35" t="s">
        <v>58</v>
      </c>
      <c r="C35" t="s">
        <v>883</v>
      </c>
      <c r="D35" t="s">
        <v>884</v>
      </c>
      <c r="E35">
        <v>0</v>
      </c>
      <c r="F35" t="s">
        <v>885</v>
      </c>
    </row>
    <row r="36" spans="1:6" x14ac:dyDescent="0.2">
      <c r="A36">
        <v>295</v>
      </c>
      <c r="B36" t="s">
        <v>58</v>
      </c>
      <c r="C36" t="s">
        <v>943</v>
      </c>
      <c r="D36" t="s">
        <v>944</v>
      </c>
      <c r="E36">
        <v>-1.7763568394002505E-15</v>
      </c>
      <c r="F36" t="s">
        <v>945</v>
      </c>
    </row>
    <row r="37" spans="1:6" x14ac:dyDescent="0.2">
      <c r="A37">
        <v>315</v>
      </c>
      <c r="B37" t="s">
        <v>58</v>
      </c>
      <c r="C37" t="s">
        <v>1003</v>
      </c>
      <c r="D37" t="s">
        <v>1004</v>
      </c>
      <c r="E37">
        <v>0</v>
      </c>
      <c r="F37" t="s">
        <v>1005</v>
      </c>
    </row>
    <row r="38" spans="1:6" x14ac:dyDescent="0.2">
      <c r="A38">
        <v>335</v>
      </c>
      <c r="B38" t="s">
        <v>58</v>
      </c>
      <c r="C38" t="s">
        <v>1063</v>
      </c>
      <c r="D38" t="s">
        <v>1064</v>
      </c>
      <c r="E38">
        <v>0</v>
      </c>
      <c r="F38" t="s">
        <v>1065</v>
      </c>
    </row>
    <row r="39" spans="1:6" x14ac:dyDescent="0.2">
      <c r="A39">
        <v>44</v>
      </c>
      <c r="B39" t="s">
        <v>58</v>
      </c>
      <c r="C39" t="s">
        <v>190</v>
      </c>
      <c r="D39" t="s">
        <v>191</v>
      </c>
      <c r="E39" t="s">
        <v>43</v>
      </c>
      <c r="F39" t="s">
        <v>192</v>
      </c>
    </row>
    <row r="40" spans="1:6" x14ac:dyDescent="0.2">
      <c r="A40">
        <v>53</v>
      </c>
      <c r="B40" t="s">
        <v>58</v>
      </c>
      <c r="C40" t="s">
        <v>217</v>
      </c>
      <c r="D40" t="s">
        <v>218</v>
      </c>
      <c r="E40" t="s">
        <v>90</v>
      </c>
      <c r="F40" t="s">
        <v>219</v>
      </c>
    </row>
    <row r="41" spans="1:6" x14ac:dyDescent="0.2">
      <c r="A41">
        <v>45</v>
      </c>
      <c r="B41" t="s">
        <v>58</v>
      </c>
      <c r="C41" t="s">
        <v>193</v>
      </c>
      <c r="D41" t="s">
        <v>194</v>
      </c>
      <c r="E41" t="s">
        <v>57</v>
      </c>
      <c r="F41" t="s">
        <v>195</v>
      </c>
    </row>
    <row r="42" spans="1:6" x14ac:dyDescent="0.2">
      <c r="A42">
        <v>54</v>
      </c>
      <c r="B42" t="s">
        <v>58</v>
      </c>
      <c r="C42" t="s">
        <v>220</v>
      </c>
      <c r="D42" t="s">
        <v>221</v>
      </c>
      <c r="E42" t="s">
        <v>14</v>
      </c>
      <c r="F42" t="s">
        <v>222</v>
      </c>
    </row>
    <row r="43" spans="1:6" x14ac:dyDescent="0.2">
      <c r="A43">
        <v>52</v>
      </c>
      <c r="B43" t="s">
        <v>58</v>
      </c>
      <c r="C43" t="s">
        <v>214</v>
      </c>
      <c r="D43" t="s">
        <v>215</v>
      </c>
      <c r="E43">
        <v>19</v>
      </c>
      <c r="F43" t="s">
        <v>216</v>
      </c>
    </row>
    <row r="44" spans="1:6" x14ac:dyDescent="0.2">
      <c r="A44">
        <v>3</v>
      </c>
      <c r="B44" t="s">
        <v>58</v>
      </c>
      <c r="C44" t="s">
        <v>68</v>
      </c>
      <c r="D44" t="s">
        <v>69</v>
      </c>
      <c r="E44">
        <v>230</v>
      </c>
      <c r="F44" t="s">
        <v>70</v>
      </c>
    </row>
    <row r="45" spans="1:6" x14ac:dyDescent="0.2">
      <c r="A45">
        <v>64</v>
      </c>
      <c r="B45" t="s">
        <v>58</v>
      </c>
      <c r="C45" t="s">
        <v>250</v>
      </c>
      <c r="D45" t="s">
        <v>251</v>
      </c>
      <c r="E45">
        <v>13</v>
      </c>
      <c r="F45" t="s">
        <v>252</v>
      </c>
    </row>
    <row r="46" spans="1:6" x14ac:dyDescent="0.2">
      <c r="A46">
        <v>55</v>
      </c>
      <c r="B46" t="s">
        <v>58</v>
      </c>
      <c r="C46" t="s">
        <v>223</v>
      </c>
      <c r="D46" t="s">
        <v>224</v>
      </c>
      <c r="E46" t="s">
        <v>3</v>
      </c>
      <c r="F46" t="s">
        <v>225</v>
      </c>
    </row>
    <row r="47" spans="1:6" x14ac:dyDescent="0.2">
      <c r="A47">
        <v>56</v>
      </c>
      <c r="B47" t="s">
        <v>58</v>
      </c>
      <c r="C47" t="s">
        <v>226</v>
      </c>
      <c r="D47" t="s">
        <v>227</v>
      </c>
      <c r="E47" t="s">
        <v>4</v>
      </c>
      <c r="F47" t="s">
        <v>228</v>
      </c>
    </row>
    <row r="48" spans="1:6" x14ac:dyDescent="0.2">
      <c r="A48">
        <v>46</v>
      </c>
      <c r="B48" t="s">
        <v>58</v>
      </c>
      <c r="C48" t="s">
        <v>196</v>
      </c>
      <c r="D48" t="s">
        <v>197</v>
      </c>
      <c r="E48" t="s">
        <v>12</v>
      </c>
      <c r="F48" t="s">
        <v>198</v>
      </c>
    </row>
    <row r="49" spans="1:6" x14ac:dyDescent="0.2">
      <c r="A49">
        <v>57</v>
      </c>
      <c r="B49" t="s">
        <v>58</v>
      </c>
      <c r="C49" t="s">
        <v>229</v>
      </c>
      <c r="D49" t="s">
        <v>230</v>
      </c>
      <c r="E49" t="s">
        <v>15</v>
      </c>
      <c r="F49" t="s">
        <v>231</v>
      </c>
    </row>
    <row r="50" spans="1:6" x14ac:dyDescent="0.2">
      <c r="A50">
        <v>58</v>
      </c>
      <c r="B50" t="s">
        <v>58</v>
      </c>
      <c r="C50" t="s">
        <v>232</v>
      </c>
      <c r="D50" t="s">
        <v>233</v>
      </c>
      <c r="E50" t="s">
        <v>16</v>
      </c>
      <c r="F50" t="s">
        <v>234</v>
      </c>
    </row>
    <row r="51" spans="1:6" x14ac:dyDescent="0.2">
      <c r="A51">
        <v>47</v>
      </c>
      <c r="B51" t="s">
        <v>58</v>
      </c>
      <c r="C51" t="s">
        <v>199</v>
      </c>
      <c r="D51" t="s">
        <v>200</v>
      </c>
      <c r="E51" t="s">
        <v>13</v>
      </c>
      <c r="F51" t="s">
        <v>201</v>
      </c>
    </row>
    <row r="52" spans="1:6" x14ac:dyDescent="0.2">
      <c r="A52">
        <v>59</v>
      </c>
      <c r="B52" t="s">
        <v>58</v>
      </c>
      <c r="C52" t="s">
        <v>235</v>
      </c>
      <c r="D52" t="s">
        <v>236</v>
      </c>
      <c r="E52" t="s">
        <v>15</v>
      </c>
      <c r="F52" t="s">
        <v>237</v>
      </c>
    </row>
    <row r="53" spans="1:6" x14ac:dyDescent="0.2">
      <c r="A53">
        <v>83</v>
      </c>
      <c r="B53" t="s">
        <v>58</v>
      </c>
      <c r="C53" t="s">
        <v>307</v>
      </c>
      <c r="D53" t="s">
        <v>308</v>
      </c>
      <c r="E53" s="70">
        <v>146.13</v>
      </c>
      <c r="F53" t="s">
        <v>309</v>
      </c>
    </row>
    <row r="54" spans="1:6" x14ac:dyDescent="0.2">
      <c r="A54">
        <v>103</v>
      </c>
      <c r="B54" t="s">
        <v>58</v>
      </c>
      <c r="C54" t="s">
        <v>367</v>
      </c>
      <c r="D54" t="s">
        <v>368</v>
      </c>
      <c r="E54" s="70">
        <v>726.25</v>
      </c>
      <c r="F54" t="s">
        <v>369</v>
      </c>
    </row>
    <row r="55" spans="1:6" x14ac:dyDescent="0.2">
      <c r="A55">
        <v>123</v>
      </c>
      <c r="B55" t="s">
        <v>58</v>
      </c>
      <c r="C55" t="s">
        <v>427</v>
      </c>
      <c r="D55" t="s">
        <v>428</v>
      </c>
      <c r="E55" s="70">
        <v>453.75</v>
      </c>
      <c r="F55" t="s">
        <v>429</v>
      </c>
    </row>
    <row r="56" spans="1:6" x14ac:dyDescent="0.2">
      <c r="A56">
        <v>143</v>
      </c>
      <c r="B56" t="s">
        <v>58</v>
      </c>
      <c r="C56" t="s">
        <v>487</v>
      </c>
      <c r="D56" t="s">
        <v>488</v>
      </c>
      <c r="E56" s="70">
        <v>476.7</v>
      </c>
      <c r="F56" t="s">
        <v>489</v>
      </c>
    </row>
    <row r="57" spans="1:6" x14ac:dyDescent="0.2">
      <c r="A57">
        <v>163</v>
      </c>
      <c r="B57" t="s">
        <v>58</v>
      </c>
      <c r="C57" t="s">
        <v>547</v>
      </c>
      <c r="D57" t="s">
        <v>548</v>
      </c>
      <c r="E57" s="70">
        <v>418.6</v>
      </c>
      <c r="F57" t="s">
        <v>549</v>
      </c>
    </row>
    <row r="58" spans="1:6" x14ac:dyDescent="0.2">
      <c r="A58">
        <v>183</v>
      </c>
      <c r="B58" t="s">
        <v>58</v>
      </c>
      <c r="C58" t="s">
        <v>607</v>
      </c>
      <c r="D58" t="s">
        <v>608</v>
      </c>
      <c r="E58" s="70">
        <v>0</v>
      </c>
      <c r="F58" t="s">
        <v>609</v>
      </c>
    </row>
    <row r="59" spans="1:6" x14ac:dyDescent="0.2">
      <c r="A59">
        <v>203</v>
      </c>
      <c r="B59" t="s">
        <v>58</v>
      </c>
      <c r="C59" t="s">
        <v>667</v>
      </c>
      <c r="D59" t="s">
        <v>668</v>
      </c>
      <c r="E59" s="70">
        <v>0</v>
      </c>
      <c r="F59" t="s">
        <v>669</v>
      </c>
    </row>
    <row r="60" spans="1:6" x14ac:dyDescent="0.2">
      <c r="A60">
        <v>223</v>
      </c>
      <c r="B60" t="s">
        <v>58</v>
      </c>
      <c r="C60" t="s">
        <v>727</v>
      </c>
      <c r="D60" t="s">
        <v>728</v>
      </c>
      <c r="E60" s="70">
        <v>0</v>
      </c>
      <c r="F60" t="s">
        <v>729</v>
      </c>
    </row>
    <row r="61" spans="1:6" x14ac:dyDescent="0.2">
      <c r="A61">
        <v>243</v>
      </c>
      <c r="B61" t="s">
        <v>58</v>
      </c>
      <c r="C61" t="s">
        <v>787</v>
      </c>
      <c r="D61" t="s">
        <v>788</v>
      </c>
      <c r="E61" s="70">
        <v>188.75</v>
      </c>
      <c r="F61" t="s">
        <v>789</v>
      </c>
    </row>
    <row r="62" spans="1:6" x14ac:dyDescent="0.2">
      <c r="A62">
        <v>263</v>
      </c>
      <c r="B62" t="s">
        <v>58</v>
      </c>
      <c r="C62" t="s">
        <v>847</v>
      </c>
      <c r="D62" t="s">
        <v>848</v>
      </c>
      <c r="E62" s="70">
        <v>210.75</v>
      </c>
      <c r="F62" t="s">
        <v>849</v>
      </c>
    </row>
    <row r="63" spans="1:6" x14ac:dyDescent="0.2">
      <c r="A63">
        <v>283</v>
      </c>
      <c r="B63" t="s">
        <v>58</v>
      </c>
      <c r="C63" t="s">
        <v>907</v>
      </c>
      <c r="D63" t="s">
        <v>908</v>
      </c>
      <c r="E63" s="70">
        <v>15</v>
      </c>
      <c r="F63" t="s">
        <v>909</v>
      </c>
    </row>
    <row r="64" spans="1:6" x14ac:dyDescent="0.2">
      <c r="A64">
        <v>303</v>
      </c>
      <c r="B64" t="s">
        <v>58</v>
      </c>
      <c r="C64" t="s">
        <v>967</v>
      </c>
      <c r="D64" t="s">
        <v>968</v>
      </c>
      <c r="E64" s="70">
        <v>0</v>
      </c>
      <c r="F64" t="s">
        <v>969</v>
      </c>
    </row>
    <row r="65" spans="1:6" x14ac:dyDescent="0.2">
      <c r="A65">
        <v>323</v>
      </c>
      <c r="B65" t="s">
        <v>58</v>
      </c>
      <c r="C65" t="s">
        <v>1027</v>
      </c>
      <c r="D65" t="s">
        <v>1028</v>
      </c>
      <c r="E65" s="70">
        <v>199.5</v>
      </c>
      <c r="F65" t="s">
        <v>1029</v>
      </c>
    </row>
    <row r="66" spans="1:6" x14ac:dyDescent="0.2">
      <c r="A66">
        <v>343</v>
      </c>
      <c r="B66" t="s">
        <v>58</v>
      </c>
      <c r="C66" t="s">
        <v>1087</v>
      </c>
      <c r="D66" t="s">
        <v>1088</v>
      </c>
      <c r="E66" s="70">
        <v>65.099999999999994</v>
      </c>
      <c r="F66" t="s">
        <v>1089</v>
      </c>
    </row>
    <row r="67" spans="1:6" x14ac:dyDescent="0.2">
      <c r="A67">
        <v>353</v>
      </c>
      <c r="B67" t="s">
        <v>58</v>
      </c>
      <c r="C67" t="s">
        <v>1117</v>
      </c>
      <c r="D67" t="s">
        <v>1118</v>
      </c>
      <c r="E67" s="70">
        <v>0</v>
      </c>
      <c r="F67" t="s">
        <v>1119</v>
      </c>
    </row>
    <row r="68" spans="1:6" x14ac:dyDescent="0.2">
      <c r="A68">
        <v>363</v>
      </c>
      <c r="B68" t="s">
        <v>58</v>
      </c>
      <c r="C68" t="s">
        <v>1147</v>
      </c>
      <c r="D68" t="s">
        <v>1148</v>
      </c>
      <c r="E68" s="70">
        <v>206</v>
      </c>
      <c r="F68" t="s">
        <v>1149</v>
      </c>
    </row>
    <row r="69" spans="1:6" x14ac:dyDescent="0.2">
      <c r="A69">
        <v>373</v>
      </c>
      <c r="B69" t="s">
        <v>58</v>
      </c>
      <c r="C69" t="s">
        <v>1177</v>
      </c>
      <c r="D69" t="s">
        <v>1178</v>
      </c>
      <c r="E69" s="70">
        <v>0</v>
      </c>
      <c r="F69" t="s">
        <v>1179</v>
      </c>
    </row>
    <row r="70" spans="1:6" x14ac:dyDescent="0.2">
      <c r="A70">
        <v>383</v>
      </c>
      <c r="B70" t="s">
        <v>58</v>
      </c>
      <c r="C70" t="s">
        <v>1207</v>
      </c>
      <c r="D70" t="s">
        <v>1208</v>
      </c>
      <c r="E70" s="70">
        <v>0</v>
      </c>
      <c r="F70" t="s">
        <v>1209</v>
      </c>
    </row>
    <row r="71" spans="1:6" x14ac:dyDescent="0.2">
      <c r="A71">
        <v>393</v>
      </c>
      <c r="B71" t="s">
        <v>58</v>
      </c>
      <c r="C71" t="s">
        <v>1237</v>
      </c>
      <c r="D71" t="s">
        <v>1238</v>
      </c>
      <c r="E71" s="70">
        <v>0</v>
      </c>
      <c r="F71" t="s">
        <v>1239</v>
      </c>
    </row>
    <row r="72" spans="1:6" x14ac:dyDescent="0.2">
      <c r="A72">
        <v>60</v>
      </c>
      <c r="B72" t="s">
        <v>58</v>
      </c>
      <c r="C72" t="s">
        <v>238</v>
      </c>
      <c r="D72" t="s">
        <v>239</v>
      </c>
      <c r="E72" t="s">
        <v>16</v>
      </c>
      <c r="F72" t="s">
        <v>240</v>
      </c>
    </row>
    <row r="73" spans="1:6" x14ac:dyDescent="0.2">
      <c r="A73">
        <v>37</v>
      </c>
      <c r="B73" t="s">
        <v>58</v>
      </c>
      <c r="C73" t="s">
        <v>169</v>
      </c>
      <c r="D73" t="s">
        <v>170</v>
      </c>
      <c r="E73">
        <v>-9.5496943686157465E-12</v>
      </c>
      <c r="F73" t="s">
        <v>171</v>
      </c>
    </row>
    <row r="74" spans="1:6" x14ac:dyDescent="0.2">
      <c r="A74">
        <v>10</v>
      </c>
      <c r="B74" t="s">
        <v>58</v>
      </c>
      <c r="C74" t="s">
        <v>88</v>
      </c>
      <c r="D74" t="s">
        <v>89</v>
      </c>
      <c r="E74" t="s">
        <v>90</v>
      </c>
      <c r="F74" t="s">
        <v>91</v>
      </c>
    </row>
    <row r="75" spans="1:6" x14ac:dyDescent="0.2">
      <c r="A75">
        <v>11</v>
      </c>
      <c r="B75" t="s">
        <v>58</v>
      </c>
      <c r="C75" t="s">
        <v>92</v>
      </c>
      <c r="D75" t="s">
        <v>93</v>
      </c>
      <c r="E75" t="s">
        <v>90</v>
      </c>
      <c r="F75" t="s">
        <v>91</v>
      </c>
    </row>
    <row r="76" spans="1:6" x14ac:dyDescent="0.2">
      <c r="A76">
        <v>79</v>
      </c>
      <c r="B76" t="s">
        <v>58</v>
      </c>
      <c r="C76" t="s">
        <v>295</v>
      </c>
      <c r="D76" t="s">
        <v>296</v>
      </c>
      <c r="E76" s="70">
        <v>35</v>
      </c>
      <c r="F76" t="s">
        <v>297</v>
      </c>
    </row>
    <row r="77" spans="1:6" x14ac:dyDescent="0.2">
      <c r="A77">
        <v>81</v>
      </c>
      <c r="B77" t="s">
        <v>58</v>
      </c>
      <c r="C77" t="s">
        <v>301</v>
      </c>
      <c r="D77" t="s">
        <v>302</v>
      </c>
      <c r="E77" s="70">
        <v>35.659999999999997</v>
      </c>
      <c r="F77" t="s">
        <v>303</v>
      </c>
    </row>
    <row r="78" spans="1:6" x14ac:dyDescent="0.2">
      <c r="A78">
        <v>84</v>
      </c>
      <c r="B78" t="s">
        <v>58</v>
      </c>
      <c r="C78" t="s">
        <v>310</v>
      </c>
      <c r="D78" t="s">
        <v>311</v>
      </c>
      <c r="E78" s="70">
        <v>0.66</v>
      </c>
      <c r="F78" t="s">
        <v>312</v>
      </c>
    </row>
    <row r="79" spans="1:6" x14ac:dyDescent="0.2">
      <c r="A79">
        <v>99</v>
      </c>
      <c r="B79" t="s">
        <v>58</v>
      </c>
      <c r="C79" t="s">
        <v>355</v>
      </c>
      <c r="D79" t="s">
        <v>356</v>
      </c>
      <c r="E79" s="70">
        <v>25</v>
      </c>
      <c r="F79" t="s">
        <v>357</v>
      </c>
    </row>
    <row r="80" spans="1:6" x14ac:dyDescent="0.2">
      <c r="A80">
        <v>101</v>
      </c>
      <c r="B80" t="s">
        <v>58</v>
      </c>
      <c r="C80" t="s">
        <v>361</v>
      </c>
      <c r="D80" t="s">
        <v>362</v>
      </c>
      <c r="E80" s="70">
        <v>27.5</v>
      </c>
      <c r="F80" t="s">
        <v>363</v>
      </c>
    </row>
    <row r="81" spans="1:6" x14ac:dyDescent="0.2">
      <c r="A81">
        <v>104</v>
      </c>
      <c r="B81" t="s">
        <v>58</v>
      </c>
      <c r="C81" t="s">
        <v>370</v>
      </c>
      <c r="D81" t="s">
        <v>371</v>
      </c>
      <c r="E81" s="70">
        <v>2.5</v>
      </c>
      <c r="F81" t="s">
        <v>372</v>
      </c>
    </row>
    <row r="82" spans="1:6" x14ac:dyDescent="0.2">
      <c r="A82">
        <v>119</v>
      </c>
      <c r="B82" t="s">
        <v>58</v>
      </c>
      <c r="C82" t="s">
        <v>415</v>
      </c>
      <c r="D82" t="s">
        <v>416</v>
      </c>
      <c r="E82" s="70">
        <v>22</v>
      </c>
      <c r="F82" t="s">
        <v>417</v>
      </c>
    </row>
    <row r="83" spans="1:6" x14ac:dyDescent="0.2">
      <c r="A83">
        <v>121</v>
      </c>
      <c r="B83" t="s">
        <v>58</v>
      </c>
      <c r="C83" t="s">
        <v>421</v>
      </c>
      <c r="D83" t="s">
        <v>422</v>
      </c>
      <c r="E83" s="70">
        <v>24.2</v>
      </c>
      <c r="F83" t="s">
        <v>423</v>
      </c>
    </row>
    <row r="84" spans="1:6" x14ac:dyDescent="0.2">
      <c r="A84">
        <v>124</v>
      </c>
      <c r="B84" t="s">
        <v>58</v>
      </c>
      <c r="C84" t="s">
        <v>430</v>
      </c>
      <c r="D84" t="s">
        <v>431</v>
      </c>
      <c r="E84" s="70">
        <v>2.2000000000000002</v>
      </c>
      <c r="F84" t="s">
        <v>432</v>
      </c>
    </row>
    <row r="85" spans="1:6" x14ac:dyDescent="0.2">
      <c r="A85">
        <v>139</v>
      </c>
      <c r="B85" t="s">
        <v>58</v>
      </c>
      <c r="C85" t="s">
        <v>475</v>
      </c>
      <c r="D85" t="s">
        <v>476</v>
      </c>
      <c r="E85" s="70">
        <v>42</v>
      </c>
      <c r="F85" t="s">
        <v>477</v>
      </c>
    </row>
    <row r="86" spans="1:6" x14ac:dyDescent="0.2">
      <c r="A86">
        <v>141</v>
      </c>
      <c r="B86" t="s">
        <v>58</v>
      </c>
      <c r="C86" t="s">
        <v>481</v>
      </c>
      <c r="D86" t="s">
        <v>482</v>
      </c>
      <c r="E86" s="70">
        <v>46.2</v>
      </c>
      <c r="F86" t="s">
        <v>483</v>
      </c>
    </row>
    <row r="87" spans="1:6" x14ac:dyDescent="0.2">
      <c r="A87">
        <v>144</v>
      </c>
      <c r="B87" t="s">
        <v>58</v>
      </c>
      <c r="C87" t="s">
        <v>490</v>
      </c>
      <c r="D87" t="s">
        <v>491</v>
      </c>
      <c r="E87" s="70">
        <v>4.2</v>
      </c>
      <c r="F87" t="s">
        <v>492</v>
      </c>
    </row>
    <row r="88" spans="1:6" x14ac:dyDescent="0.2">
      <c r="A88">
        <v>159</v>
      </c>
      <c r="B88" t="s">
        <v>58</v>
      </c>
      <c r="C88" t="s">
        <v>535</v>
      </c>
      <c r="D88" t="s">
        <v>536</v>
      </c>
      <c r="E88" s="70">
        <v>23</v>
      </c>
      <c r="F88" t="s">
        <v>537</v>
      </c>
    </row>
    <row r="89" spans="1:6" x14ac:dyDescent="0.2">
      <c r="A89">
        <v>161</v>
      </c>
      <c r="B89" t="s">
        <v>58</v>
      </c>
      <c r="C89" t="s">
        <v>541</v>
      </c>
      <c r="D89" t="s">
        <v>542</v>
      </c>
      <c r="E89" s="70">
        <v>25.3</v>
      </c>
      <c r="F89" t="s">
        <v>543</v>
      </c>
    </row>
    <row r="90" spans="1:6" x14ac:dyDescent="0.2">
      <c r="A90">
        <v>164</v>
      </c>
      <c r="B90" t="s">
        <v>58</v>
      </c>
      <c r="C90" t="s">
        <v>550</v>
      </c>
      <c r="D90" t="s">
        <v>551</v>
      </c>
      <c r="E90" s="70">
        <v>2.2999999999999998</v>
      </c>
      <c r="F90" t="s">
        <v>552</v>
      </c>
    </row>
    <row r="91" spans="1:6" x14ac:dyDescent="0.2">
      <c r="A91">
        <v>179</v>
      </c>
      <c r="B91" t="s">
        <v>58</v>
      </c>
      <c r="C91" t="s">
        <v>595</v>
      </c>
      <c r="D91" t="s">
        <v>596</v>
      </c>
      <c r="E91" s="70">
        <v>50</v>
      </c>
      <c r="F91" t="s">
        <v>597</v>
      </c>
    </row>
    <row r="92" spans="1:6" x14ac:dyDescent="0.2">
      <c r="A92">
        <v>181</v>
      </c>
      <c r="B92" t="s">
        <v>58</v>
      </c>
      <c r="C92" t="s">
        <v>601</v>
      </c>
      <c r="D92" t="s">
        <v>602</v>
      </c>
      <c r="E92" s="70">
        <v>50</v>
      </c>
      <c r="F92" t="s">
        <v>603</v>
      </c>
    </row>
    <row r="93" spans="1:6" x14ac:dyDescent="0.2">
      <c r="A93">
        <v>184</v>
      </c>
      <c r="B93" t="s">
        <v>58</v>
      </c>
      <c r="C93" t="s">
        <v>610</v>
      </c>
      <c r="D93" t="s">
        <v>611</v>
      </c>
      <c r="E93" s="70">
        <v>0</v>
      </c>
      <c r="F93" t="s">
        <v>612</v>
      </c>
    </row>
    <row r="94" spans="1:6" x14ac:dyDescent="0.2">
      <c r="A94">
        <v>199</v>
      </c>
      <c r="B94" t="s">
        <v>58</v>
      </c>
      <c r="C94" t="s">
        <v>655</v>
      </c>
      <c r="D94" t="s">
        <v>656</v>
      </c>
      <c r="E94" s="70">
        <v>50</v>
      </c>
      <c r="F94" t="s">
        <v>657</v>
      </c>
    </row>
    <row r="95" spans="1:6" x14ac:dyDescent="0.2">
      <c r="A95">
        <v>201</v>
      </c>
      <c r="B95" t="s">
        <v>58</v>
      </c>
      <c r="C95" t="s">
        <v>661</v>
      </c>
      <c r="D95" t="s">
        <v>662</v>
      </c>
      <c r="E95" s="70">
        <v>50</v>
      </c>
      <c r="F95" t="s">
        <v>663</v>
      </c>
    </row>
    <row r="96" spans="1:6" x14ac:dyDescent="0.2">
      <c r="A96">
        <v>204</v>
      </c>
      <c r="B96" t="s">
        <v>58</v>
      </c>
      <c r="C96" t="s">
        <v>670</v>
      </c>
      <c r="D96" t="s">
        <v>671</v>
      </c>
      <c r="E96" s="70">
        <v>0</v>
      </c>
      <c r="F96" t="s">
        <v>672</v>
      </c>
    </row>
    <row r="97" spans="1:6" x14ac:dyDescent="0.2">
      <c r="A97">
        <v>219</v>
      </c>
      <c r="B97" t="s">
        <v>58</v>
      </c>
      <c r="C97" t="s">
        <v>715</v>
      </c>
      <c r="D97" t="s">
        <v>716</v>
      </c>
      <c r="E97" s="70">
        <v>40</v>
      </c>
      <c r="F97" t="s">
        <v>717</v>
      </c>
    </row>
    <row r="98" spans="1:6" x14ac:dyDescent="0.2">
      <c r="A98">
        <v>221</v>
      </c>
      <c r="B98" t="s">
        <v>58</v>
      </c>
      <c r="C98" t="s">
        <v>721</v>
      </c>
      <c r="D98" t="s">
        <v>722</v>
      </c>
      <c r="E98" s="70">
        <v>40</v>
      </c>
      <c r="F98" t="s">
        <v>723</v>
      </c>
    </row>
    <row r="99" spans="1:6" x14ac:dyDescent="0.2">
      <c r="A99">
        <v>224</v>
      </c>
      <c r="B99" t="s">
        <v>58</v>
      </c>
      <c r="C99" t="s">
        <v>730</v>
      </c>
      <c r="D99" t="s">
        <v>731</v>
      </c>
      <c r="E99" s="70">
        <v>0</v>
      </c>
      <c r="F99" t="s">
        <v>732</v>
      </c>
    </row>
    <row r="100" spans="1:6" x14ac:dyDescent="0.2">
      <c r="A100">
        <v>239</v>
      </c>
      <c r="B100" t="s">
        <v>58</v>
      </c>
      <c r="C100" t="s">
        <v>775</v>
      </c>
      <c r="D100" t="s">
        <v>776</v>
      </c>
      <c r="E100" s="70">
        <v>25</v>
      </c>
      <c r="F100" t="s">
        <v>777</v>
      </c>
    </row>
    <row r="101" spans="1:6" x14ac:dyDescent="0.2">
      <c r="A101">
        <v>241</v>
      </c>
      <c r="B101" t="s">
        <v>58</v>
      </c>
      <c r="C101" t="s">
        <v>781</v>
      </c>
      <c r="D101" t="s">
        <v>782</v>
      </c>
      <c r="E101" s="70">
        <v>27.5</v>
      </c>
      <c r="F101" t="s">
        <v>783</v>
      </c>
    </row>
    <row r="102" spans="1:6" x14ac:dyDescent="0.2">
      <c r="A102">
        <v>244</v>
      </c>
      <c r="B102" t="s">
        <v>58</v>
      </c>
      <c r="C102" t="s">
        <v>790</v>
      </c>
      <c r="D102" t="s">
        <v>791</v>
      </c>
      <c r="E102" s="70">
        <v>2.5</v>
      </c>
      <c r="F102" t="s">
        <v>792</v>
      </c>
    </row>
    <row r="103" spans="1:6" x14ac:dyDescent="0.2">
      <c r="A103">
        <v>259</v>
      </c>
      <c r="B103" t="s">
        <v>58</v>
      </c>
      <c r="C103" t="s">
        <v>835</v>
      </c>
      <c r="D103" t="s">
        <v>836</v>
      </c>
      <c r="E103" s="70">
        <v>15</v>
      </c>
      <c r="F103" t="s">
        <v>837</v>
      </c>
    </row>
    <row r="104" spans="1:6" x14ac:dyDescent="0.2">
      <c r="A104">
        <v>261</v>
      </c>
      <c r="B104" t="s">
        <v>58</v>
      </c>
      <c r="C104" t="s">
        <v>841</v>
      </c>
      <c r="D104" t="s">
        <v>842</v>
      </c>
      <c r="E104" s="70">
        <v>16.5</v>
      </c>
      <c r="F104" t="s">
        <v>843</v>
      </c>
    </row>
    <row r="105" spans="1:6" x14ac:dyDescent="0.2">
      <c r="A105">
        <v>264</v>
      </c>
      <c r="B105" t="s">
        <v>58</v>
      </c>
      <c r="C105" t="s">
        <v>850</v>
      </c>
      <c r="D105" t="s">
        <v>851</v>
      </c>
      <c r="E105" s="70">
        <v>1.5</v>
      </c>
      <c r="F105" t="s">
        <v>852</v>
      </c>
    </row>
    <row r="106" spans="1:6" x14ac:dyDescent="0.2">
      <c r="A106">
        <v>279</v>
      </c>
      <c r="B106" t="s">
        <v>58</v>
      </c>
      <c r="C106" t="s">
        <v>895</v>
      </c>
      <c r="D106" t="s">
        <v>896</v>
      </c>
      <c r="E106" s="70">
        <v>15</v>
      </c>
      <c r="F106" t="s">
        <v>897</v>
      </c>
    </row>
    <row r="107" spans="1:6" x14ac:dyDescent="0.2">
      <c r="A107">
        <v>281</v>
      </c>
      <c r="B107" t="s">
        <v>58</v>
      </c>
      <c r="C107" t="s">
        <v>901</v>
      </c>
      <c r="D107" t="s">
        <v>902</v>
      </c>
      <c r="E107" s="70">
        <v>16.5</v>
      </c>
      <c r="F107" t="s">
        <v>903</v>
      </c>
    </row>
    <row r="108" spans="1:6" x14ac:dyDescent="0.2">
      <c r="A108">
        <v>284</v>
      </c>
      <c r="B108" t="s">
        <v>58</v>
      </c>
      <c r="C108" t="s">
        <v>910</v>
      </c>
      <c r="D108" t="s">
        <v>911</v>
      </c>
      <c r="E108" s="70">
        <v>1.5</v>
      </c>
      <c r="F108" t="s">
        <v>912</v>
      </c>
    </row>
    <row r="109" spans="1:6" x14ac:dyDescent="0.2">
      <c r="A109">
        <v>299</v>
      </c>
      <c r="B109" t="s">
        <v>58</v>
      </c>
      <c r="C109" t="s">
        <v>955</v>
      </c>
      <c r="D109" t="s">
        <v>956</v>
      </c>
      <c r="E109" s="70">
        <v>55</v>
      </c>
      <c r="F109" t="s">
        <v>957</v>
      </c>
    </row>
    <row r="110" spans="1:6" x14ac:dyDescent="0.2">
      <c r="A110">
        <v>301</v>
      </c>
      <c r="B110" t="s">
        <v>58</v>
      </c>
      <c r="C110" t="s">
        <v>961</v>
      </c>
      <c r="D110" t="s">
        <v>962</v>
      </c>
      <c r="E110" s="70">
        <v>55</v>
      </c>
      <c r="F110" t="s">
        <v>963</v>
      </c>
    </row>
    <row r="111" spans="1:6" x14ac:dyDescent="0.2">
      <c r="A111">
        <v>304</v>
      </c>
      <c r="B111" t="s">
        <v>58</v>
      </c>
      <c r="C111" t="s">
        <v>970</v>
      </c>
      <c r="D111" t="s">
        <v>971</v>
      </c>
      <c r="E111" s="70">
        <v>0</v>
      </c>
      <c r="F111" t="s">
        <v>972</v>
      </c>
    </row>
    <row r="112" spans="1:6" x14ac:dyDescent="0.2">
      <c r="A112">
        <v>319</v>
      </c>
      <c r="B112" t="s">
        <v>58</v>
      </c>
      <c r="C112" t="s">
        <v>1015</v>
      </c>
      <c r="D112" t="s">
        <v>1016</v>
      </c>
      <c r="E112" s="70">
        <v>15</v>
      </c>
      <c r="F112" t="s">
        <v>1017</v>
      </c>
    </row>
    <row r="113" spans="1:6" x14ac:dyDescent="0.2">
      <c r="A113">
        <v>321</v>
      </c>
      <c r="B113" t="s">
        <v>58</v>
      </c>
      <c r="C113" t="s">
        <v>1021</v>
      </c>
      <c r="D113" t="s">
        <v>1022</v>
      </c>
      <c r="E113" s="70">
        <v>16.5</v>
      </c>
      <c r="F113" t="s">
        <v>1023</v>
      </c>
    </row>
    <row r="114" spans="1:6" x14ac:dyDescent="0.2">
      <c r="A114">
        <v>324</v>
      </c>
      <c r="B114" t="s">
        <v>58</v>
      </c>
      <c r="C114" t="s">
        <v>1030</v>
      </c>
      <c r="D114" t="s">
        <v>1031</v>
      </c>
      <c r="E114" s="70">
        <v>1.5</v>
      </c>
      <c r="F114" t="s">
        <v>1032</v>
      </c>
    </row>
    <row r="115" spans="1:6" x14ac:dyDescent="0.2">
      <c r="A115">
        <v>339</v>
      </c>
      <c r="B115" t="s">
        <v>58</v>
      </c>
      <c r="C115" t="s">
        <v>1075</v>
      </c>
      <c r="D115" t="s">
        <v>1076</v>
      </c>
      <c r="E115" s="70">
        <v>42</v>
      </c>
      <c r="F115" t="s">
        <v>1077</v>
      </c>
    </row>
    <row r="116" spans="1:6" x14ac:dyDescent="0.2">
      <c r="A116">
        <v>341</v>
      </c>
      <c r="B116" t="s">
        <v>58</v>
      </c>
      <c r="C116" t="s">
        <v>1081</v>
      </c>
      <c r="D116" t="s">
        <v>1082</v>
      </c>
      <c r="E116" s="70">
        <v>46.2</v>
      </c>
      <c r="F116" t="s">
        <v>1083</v>
      </c>
    </row>
    <row r="117" spans="1:6" x14ac:dyDescent="0.2">
      <c r="A117">
        <v>344</v>
      </c>
      <c r="B117" t="s">
        <v>58</v>
      </c>
      <c r="C117" t="s">
        <v>1090</v>
      </c>
      <c r="D117" t="s">
        <v>1091</v>
      </c>
      <c r="E117" s="70">
        <v>4.2</v>
      </c>
      <c r="F117" t="s">
        <v>1092</v>
      </c>
    </row>
    <row r="118" spans="1:6" x14ac:dyDescent="0.2">
      <c r="A118">
        <v>349</v>
      </c>
      <c r="B118" t="s">
        <v>58</v>
      </c>
      <c r="C118" t="s">
        <v>1105</v>
      </c>
      <c r="D118" t="s">
        <v>1106</v>
      </c>
      <c r="E118" s="70">
        <v>50</v>
      </c>
      <c r="F118" t="s">
        <v>1107</v>
      </c>
    </row>
    <row r="119" spans="1:6" x14ac:dyDescent="0.2">
      <c r="A119">
        <v>351</v>
      </c>
      <c r="B119" t="s">
        <v>58</v>
      </c>
      <c r="C119" t="s">
        <v>1111</v>
      </c>
      <c r="D119" t="s">
        <v>1112</v>
      </c>
      <c r="E119" s="70">
        <v>50</v>
      </c>
      <c r="F119" t="s">
        <v>1113</v>
      </c>
    </row>
    <row r="120" spans="1:6" x14ac:dyDescent="0.2">
      <c r="A120">
        <v>354</v>
      </c>
      <c r="B120" t="s">
        <v>58</v>
      </c>
      <c r="C120" t="s">
        <v>1120</v>
      </c>
      <c r="D120" t="s">
        <v>1121</v>
      </c>
      <c r="E120" s="70">
        <v>0</v>
      </c>
      <c r="F120" t="s">
        <v>1122</v>
      </c>
    </row>
    <row r="121" spans="1:6" x14ac:dyDescent="0.2">
      <c r="A121">
        <v>359</v>
      </c>
      <c r="B121" t="s">
        <v>58</v>
      </c>
      <c r="C121" t="s">
        <v>1135</v>
      </c>
      <c r="D121" t="s">
        <v>1136</v>
      </c>
      <c r="E121" s="70">
        <v>20</v>
      </c>
      <c r="F121" t="s">
        <v>1137</v>
      </c>
    </row>
    <row r="122" spans="1:6" x14ac:dyDescent="0.2">
      <c r="A122">
        <v>361</v>
      </c>
      <c r="B122" t="s">
        <v>58</v>
      </c>
      <c r="C122" t="s">
        <v>1141</v>
      </c>
      <c r="D122" t="s">
        <v>1142</v>
      </c>
      <c r="E122" s="70">
        <v>22</v>
      </c>
      <c r="F122" t="s">
        <v>1143</v>
      </c>
    </row>
    <row r="123" spans="1:6" x14ac:dyDescent="0.2">
      <c r="A123">
        <v>364</v>
      </c>
      <c r="B123" t="s">
        <v>58</v>
      </c>
      <c r="C123" t="s">
        <v>1150</v>
      </c>
      <c r="D123" t="s">
        <v>1151</v>
      </c>
      <c r="E123" s="70">
        <v>2</v>
      </c>
      <c r="F123" t="s">
        <v>1152</v>
      </c>
    </row>
    <row r="124" spans="1:6" x14ac:dyDescent="0.2">
      <c r="A124">
        <v>369</v>
      </c>
      <c r="B124" t="s">
        <v>58</v>
      </c>
      <c r="C124" t="s">
        <v>1165</v>
      </c>
      <c r="D124" t="s">
        <v>1166</v>
      </c>
      <c r="E124" s="70">
        <v>50</v>
      </c>
      <c r="F124" t="s">
        <v>1167</v>
      </c>
    </row>
    <row r="125" spans="1:6" x14ac:dyDescent="0.2">
      <c r="A125">
        <v>371</v>
      </c>
      <c r="B125" t="s">
        <v>58</v>
      </c>
      <c r="C125" t="s">
        <v>1171</v>
      </c>
      <c r="D125" t="s">
        <v>1172</v>
      </c>
      <c r="E125" s="70">
        <v>50</v>
      </c>
      <c r="F125" t="s">
        <v>1173</v>
      </c>
    </row>
    <row r="126" spans="1:6" x14ac:dyDescent="0.2">
      <c r="A126">
        <v>374</v>
      </c>
      <c r="B126" t="s">
        <v>58</v>
      </c>
      <c r="C126" t="s">
        <v>1180</v>
      </c>
      <c r="D126" t="s">
        <v>1181</v>
      </c>
      <c r="E126" s="70">
        <v>0</v>
      </c>
      <c r="F126" t="s">
        <v>1182</v>
      </c>
    </row>
    <row r="127" spans="1:6" x14ac:dyDescent="0.2">
      <c r="A127">
        <v>379</v>
      </c>
      <c r="B127" t="s">
        <v>58</v>
      </c>
      <c r="C127" t="s">
        <v>1195</v>
      </c>
      <c r="D127" t="s">
        <v>1196</v>
      </c>
      <c r="E127" s="70">
        <v>35</v>
      </c>
      <c r="F127" t="s">
        <v>1197</v>
      </c>
    </row>
    <row r="128" spans="1:6" x14ac:dyDescent="0.2">
      <c r="A128">
        <v>381</v>
      </c>
      <c r="B128" t="s">
        <v>58</v>
      </c>
      <c r="C128" t="s">
        <v>1201</v>
      </c>
      <c r="D128" t="s">
        <v>1202</v>
      </c>
      <c r="E128" s="70">
        <v>35</v>
      </c>
      <c r="F128" t="s">
        <v>1203</v>
      </c>
    </row>
    <row r="129" spans="1:6" x14ac:dyDescent="0.2">
      <c r="A129">
        <v>384</v>
      </c>
      <c r="B129" t="s">
        <v>58</v>
      </c>
      <c r="C129" t="s">
        <v>1210</v>
      </c>
      <c r="D129" t="s">
        <v>1211</v>
      </c>
      <c r="E129" s="70">
        <v>0</v>
      </c>
      <c r="F129" t="s">
        <v>1212</v>
      </c>
    </row>
    <row r="130" spans="1:6" x14ac:dyDescent="0.2">
      <c r="A130">
        <v>389</v>
      </c>
      <c r="B130" t="s">
        <v>58</v>
      </c>
      <c r="C130" t="s">
        <v>1225</v>
      </c>
      <c r="D130" t="s">
        <v>1226</v>
      </c>
      <c r="E130" s="70">
        <v>42</v>
      </c>
      <c r="F130" t="s">
        <v>1227</v>
      </c>
    </row>
    <row r="131" spans="1:6" x14ac:dyDescent="0.2">
      <c r="A131">
        <v>391</v>
      </c>
      <c r="B131" t="s">
        <v>58</v>
      </c>
      <c r="C131" t="s">
        <v>1231</v>
      </c>
      <c r="D131" t="s">
        <v>1232</v>
      </c>
      <c r="E131" s="70">
        <v>42</v>
      </c>
      <c r="F131" t="s">
        <v>1233</v>
      </c>
    </row>
    <row r="132" spans="1:6" x14ac:dyDescent="0.2">
      <c r="A132">
        <v>394</v>
      </c>
      <c r="B132" t="s">
        <v>58</v>
      </c>
      <c r="C132" t="s">
        <v>1240</v>
      </c>
      <c r="D132" t="s">
        <v>1241</v>
      </c>
      <c r="E132" s="70">
        <v>0</v>
      </c>
      <c r="F132" t="s">
        <v>1242</v>
      </c>
    </row>
    <row r="133" spans="1:6" x14ac:dyDescent="0.2">
      <c r="A133">
        <v>15</v>
      </c>
      <c r="B133" t="s">
        <v>58</v>
      </c>
      <c r="C133" t="s">
        <v>103</v>
      </c>
      <c r="D133" t="s">
        <v>104</v>
      </c>
      <c r="E133" s="70">
        <v>31.29</v>
      </c>
      <c r="F133" t="s">
        <v>105</v>
      </c>
    </row>
    <row r="134" spans="1:6" x14ac:dyDescent="0.2">
      <c r="A134">
        <v>17</v>
      </c>
      <c r="B134" t="s">
        <v>58</v>
      </c>
      <c r="C134" t="s">
        <v>109</v>
      </c>
      <c r="D134" t="s">
        <v>110</v>
      </c>
      <c r="E134" s="70">
        <v>32.74</v>
      </c>
      <c r="F134" t="s">
        <v>111</v>
      </c>
    </row>
    <row r="135" spans="1:6" x14ac:dyDescent="0.2">
      <c r="A135">
        <v>20</v>
      </c>
      <c r="B135" t="s">
        <v>58</v>
      </c>
      <c r="C135" t="s">
        <v>118</v>
      </c>
      <c r="D135" t="s">
        <v>119</v>
      </c>
      <c r="E135" s="70">
        <v>1.45</v>
      </c>
      <c r="F135" t="s">
        <v>120</v>
      </c>
    </row>
    <row r="136" spans="1:6" x14ac:dyDescent="0.2">
      <c r="A136">
        <v>89</v>
      </c>
      <c r="B136" t="s">
        <v>58</v>
      </c>
      <c r="C136" t="s">
        <v>325</v>
      </c>
      <c r="D136" t="s">
        <v>326</v>
      </c>
      <c r="E136" s="70">
        <v>30.44</v>
      </c>
      <c r="F136" t="s">
        <v>327</v>
      </c>
    </row>
    <row r="137" spans="1:6" x14ac:dyDescent="0.2">
      <c r="A137">
        <v>91</v>
      </c>
      <c r="B137" t="s">
        <v>58</v>
      </c>
      <c r="C137" t="s">
        <v>331</v>
      </c>
      <c r="D137" t="s">
        <v>332</v>
      </c>
      <c r="E137" s="70">
        <v>31.78</v>
      </c>
      <c r="F137" t="s">
        <v>333</v>
      </c>
    </row>
    <row r="138" spans="1:6" x14ac:dyDescent="0.2">
      <c r="A138">
        <v>94</v>
      </c>
      <c r="B138" t="s">
        <v>58</v>
      </c>
      <c r="C138" t="s">
        <v>340</v>
      </c>
      <c r="D138" t="s">
        <v>341</v>
      </c>
      <c r="E138" s="70">
        <v>1.33</v>
      </c>
      <c r="F138" t="s">
        <v>342</v>
      </c>
    </row>
    <row r="139" spans="1:6" x14ac:dyDescent="0.2">
      <c r="A139">
        <v>109</v>
      </c>
      <c r="B139" t="s">
        <v>58</v>
      </c>
      <c r="C139" t="s">
        <v>385</v>
      </c>
      <c r="D139" t="s">
        <v>386</v>
      </c>
      <c r="E139" s="70">
        <v>32.94</v>
      </c>
      <c r="F139" t="s">
        <v>387</v>
      </c>
    </row>
    <row r="140" spans="1:6" x14ac:dyDescent="0.2">
      <c r="A140">
        <v>111</v>
      </c>
      <c r="B140" t="s">
        <v>58</v>
      </c>
      <c r="C140" t="s">
        <v>391</v>
      </c>
      <c r="D140" t="s">
        <v>392</v>
      </c>
      <c r="E140" s="70">
        <v>34.159999999999997</v>
      </c>
      <c r="F140" t="s">
        <v>393</v>
      </c>
    </row>
    <row r="141" spans="1:6" x14ac:dyDescent="0.2">
      <c r="A141">
        <v>114</v>
      </c>
      <c r="B141" t="s">
        <v>58</v>
      </c>
      <c r="C141" t="s">
        <v>400</v>
      </c>
      <c r="D141" t="s">
        <v>401</v>
      </c>
      <c r="E141" s="70">
        <v>1.22</v>
      </c>
      <c r="F141" t="s">
        <v>402</v>
      </c>
    </row>
    <row r="142" spans="1:6" x14ac:dyDescent="0.2">
      <c r="A142">
        <v>129</v>
      </c>
      <c r="B142" t="s">
        <v>58</v>
      </c>
      <c r="C142" t="s">
        <v>445</v>
      </c>
      <c r="D142" t="s">
        <v>446</v>
      </c>
      <c r="E142" s="70">
        <v>29</v>
      </c>
      <c r="F142" t="s">
        <v>447</v>
      </c>
    </row>
    <row r="143" spans="1:6" x14ac:dyDescent="0.2">
      <c r="A143">
        <v>131</v>
      </c>
      <c r="B143" t="s">
        <v>58</v>
      </c>
      <c r="C143" t="s">
        <v>451</v>
      </c>
      <c r="D143" t="s">
        <v>452</v>
      </c>
      <c r="E143" s="70">
        <v>30.15</v>
      </c>
      <c r="F143" t="s">
        <v>453</v>
      </c>
    </row>
    <row r="144" spans="1:6" x14ac:dyDescent="0.2">
      <c r="A144">
        <v>134</v>
      </c>
      <c r="B144" t="s">
        <v>58</v>
      </c>
      <c r="C144" t="s">
        <v>460</v>
      </c>
      <c r="D144" t="s">
        <v>461</v>
      </c>
      <c r="E144" s="70">
        <v>1.1499999999999999</v>
      </c>
      <c r="F144" t="s">
        <v>462</v>
      </c>
    </row>
    <row r="145" spans="1:6" x14ac:dyDescent="0.2">
      <c r="A145">
        <v>149</v>
      </c>
      <c r="B145" t="s">
        <v>58</v>
      </c>
      <c r="C145" t="s">
        <v>505</v>
      </c>
      <c r="D145" t="s">
        <v>506</v>
      </c>
      <c r="E145" s="70">
        <v>35</v>
      </c>
      <c r="F145" t="s">
        <v>507</v>
      </c>
    </row>
    <row r="146" spans="1:6" x14ac:dyDescent="0.2">
      <c r="A146">
        <v>151</v>
      </c>
      <c r="B146" t="s">
        <v>58</v>
      </c>
      <c r="C146" t="s">
        <v>511</v>
      </c>
      <c r="D146" t="s">
        <v>512</v>
      </c>
      <c r="E146" s="70">
        <v>35</v>
      </c>
      <c r="F146" t="s">
        <v>513</v>
      </c>
    </row>
    <row r="147" spans="1:6" x14ac:dyDescent="0.2">
      <c r="A147">
        <v>154</v>
      </c>
      <c r="B147" t="s">
        <v>58</v>
      </c>
      <c r="C147" t="s">
        <v>520</v>
      </c>
      <c r="D147" t="s">
        <v>521</v>
      </c>
      <c r="E147" s="70">
        <v>0</v>
      </c>
      <c r="F147" t="s">
        <v>522</v>
      </c>
    </row>
    <row r="148" spans="1:6" x14ac:dyDescent="0.2">
      <c r="A148">
        <v>169</v>
      </c>
      <c r="B148" t="s">
        <v>58</v>
      </c>
      <c r="C148" t="s">
        <v>565</v>
      </c>
      <c r="D148" t="s">
        <v>566</v>
      </c>
      <c r="E148" s="70">
        <v>42.5</v>
      </c>
      <c r="F148" t="s">
        <v>567</v>
      </c>
    </row>
    <row r="149" spans="1:6" x14ac:dyDescent="0.2">
      <c r="A149">
        <v>171</v>
      </c>
      <c r="B149" t="s">
        <v>58</v>
      </c>
      <c r="C149" t="s">
        <v>571</v>
      </c>
      <c r="D149" t="s">
        <v>572</v>
      </c>
      <c r="E149" s="70">
        <v>42.5</v>
      </c>
      <c r="F149" t="s">
        <v>573</v>
      </c>
    </row>
    <row r="150" spans="1:6" x14ac:dyDescent="0.2">
      <c r="A150">
        <v>174</v>
      </c>
      <c r="B150" t="s">
        <v>58</v>
      </c>
      <c r="C150" t="s">
        <v>580</v>
      </c>
      <c r="D150" t="s">
        <v>581</v>
      </c>
      <c r="E150" s="70">
        <v>0</v>
      </c>
      <c r="F150" t="s">
        <v>582</v>
      </c>
    </row>
    <row r="151" spans="1:6" x14ac:dyDescent="0.2">
      <c r="A151">
        <v>189</v>
      </c>
      <c r="B151" t="s">
        <v>58</v>
      </c>
      <c r="C151" t="s">
        <v>625</v>
      </c>
      <c r="D151" t="s">
        <v>626</v>
      </c>
      <c r="E151" s="70">
        <v>25</v>
      </c>
      <c r="F151" t="s">
        <v>627</v>
      </c>
    </row>
    <row r="152" spans="1:6" x14ac:dyDescent="0.2">
      <c r="A152">
        <v>191</v>
      </c>
      <c r="B152" t="s">
        <v>58</v>
      </c>
      <c r="C152" t="s">
        <v>631</v>
      </c>
      <c r="D152" t="s">
        <v>632</v>
      </c>
      <c r="E152" s="70">
        <v>27.5</v>
      </c>
      <c r="F152" t="s">
        <v>633</v>
      </c>
    </row>
    <row r="153" spans="1:6" x14ac:dyDescent="0.2">
      <c r="A153">
        <v>194</v>
      </c>
      <c r="B153" t="s">
        <v>58</v>
      </c>
      <c r="C153" t="s">
        <v>640</v>
      </c>
      <c r="D153" t="s">
        <v>641</v>
      </c>
      <c r="E153" s="70">
        <v>2.5</v>
      </c>
      <c r="F153" t="s">
        <v>642</v>
      </c>
    </row>
    <row r="154" spans="1:6" x14ac:dyDescent="0.2">
      <c r="A154">
        <v>209</v>
      </c>
      <c r="B154" t="s">
        <v>58</v>
      </c>
      <c r="C154" t="s">
        <v>685</v>
      </c>
      <c r="D154" t="s">
        <v>686</v>
      </c>
      <c r="E154" s="70">
        <v>25.63</v>
      </c>
      <c r="F154" t="s">
        <v>687</v>
      </c>
    </row>
    <row r="155" spans="1:6" x14ac:dyDescent="0.2">
      <c r="A155">
        <v>211</v>
      </c>
      <c r="B155" t="s">
        <v>58</v>
      </c>
      <c r="C155" t="s">
        <v>691</v>
      </c>
      <c r="D155" t="s">
        <v>692</v>
      </c>
      <c r="E155" s="70">
        <v>28.2</v>
      </c>
      <c r="F155" t="s">
        <v>693</v>
      </c>
    </row>
    <row r="156" spans="1:6" x14ac:dyDescent="0.2">
      <c r="A156">
        <v>214</v>
      </c>
      <c r="B156" t="s">
        <v>58</v>
      </c>
      <c r="C156" t="s">
        <v>700</v>
      </c>
      <c r="D156" t="s">
        <v>701</v>
      </c>
      <c r="E156" s="70">
        <v>2.56</v>
      </c>
      <c r="F156" t="s">
        <v>702</v>
      </c>
    </row>
    <row r="157" spans="1:6" x14ac:dyDescent="0.2">
      <c r="A157">
        <v>229</v>
      </c>
      <c r="B157" t="s">
        <v>58</v>
      </c>
      <c r="C157" t="s">
        <v>745</v>
      </c>
      <c r="D157" t="s">
        <v>746</v>
      </c>
      <c r="E157" s="70">
        <v>35.04</v>
      </c>
      <c r="F157" t="s">
        <v>747</v>
      </c>
    </row>
    <row r="158" spans="1:6" x14ac:dyDescent="0.2">
      <c r="A158">
        <v>231</v>
      </c>
      <c r="B158" t="s">
        <v>58</v>
      </c>
      <c r="C158" t="s">
        <v>751</v>
      </c>
      <c r="D158" t="s">
        <v>752</v>
      </c>
      <c r="E158" s="70">
        <v>35.82</v>
      </c>
      <c r="F158" t="s">
        <v>753</v>
      </c>
    </row>
    <row r="159" spans="1:6" x14ac:dyDescent="0.2">
      <c r="A159">
        <v>234</v>
      </c>
      <c r="B159" t="s">
        <v>58</v>
      </c>
      <c r="C159" t="s">
        <v>760</v>
      </c>
      <c r="D159" t="s">
        <v>761</v>
      </c>
      <c r="E159" s="70">
        <v>0.78</v>
      </c>
      <c r="F159" t="s">
        <v>762</v>
      </c>
    </row>
    <row r="160" spans="1:6" x14ac:dyDescent="0.2">
      <c r="A160">
        <v>249</v>
      </c>
      <c r="B160" t="s">
        <v>58</v>
      </c>
      <c r="C160" t="s">
        <v>805</v>
      </c>
      <c r="D160" t="s">
        <v>806</v>
      </c>
      <c r="E160" s="70">
        <v>26.67</v>
      </c>
      <c r="F160" t="s">
        <v>807</v>
      </c>
    </row>
    <row r="161" spans="1:6" x14ac:dyDescent="0.2">
      <c r="A161">
        <v>251</v>
      </c>
      <c r="B161" t="s">
        <v>58</v>
      </c>
      <c r="C161" t="s">
        <v>811</v>
      </c>
      <c r="D161" t="s">
        <v>812</v>
      </c>
      <c r="E161" s="70">
        <v>29.33</v>
      </c>
      <c r="F161" t="s">
        <v>813</v>
      </c>
    </row>
    <row r="162" spans="1:6" x14ac:dyDescent="0.2">
      <c r="A162">
        <v>254</v>
      </c>
      <c r="B162" t="s">
        <v>58</v>
      </c>
      <c r="C162" t="s">
        <v>820</v>
      </c>
      <c r="D162" t="s">
        <v>821</v>
      </c>
      <c r="E162" s="70">
        <v>2.67</v>
      </c>
      <c r="F162" t="s">
        <v>822</v>
      </c>
    </row>
    <row r="163" spans="1:6" x14ac:dyDescent="0.2">
      <c r="A163">
        <v>269</v>
      </c>
      <c r="B163" t="s">
        <v>58</v>
      </c>
      <c r="C163" t="s">
        <v>865</v>
      </c>
      <c r="D163" t="s">
        <v>866</v>
      </c>
      <c r="E163" s="70">
        <v>35</v>
      </c>
      <c r="F163" t="s">
        <v>867</v>
      </c>
    </row>
    <row r="164" spans="1:6" x14ac:dyDescent="0.2">
      <c r="A164">
        <v>271</v>
      </c>
      <c r="B164" t="s">
        <v>58</v>
      </c>
      <c r="C164" t="s">
        <v>871</v>
      </c>
      <c r="D164" t="s">
        <v>872</v>
      </c>
      <c r="E164" s="70">
        <v>35</v>
      </c>
      <c r="F164" t="s">
        <v>873</v>
      </c>
    </row>
    <row r="165" spans="1:6" x14ac:dyDescent="0.2">
      <c r="A165">
        <v>274</v>
      </c>
      <c r="B165" t="s">
        <v>58</v>
      </c>
      <c r="C165" t="s">
        <v>880</v>
      </c>
      <c r="D165" t="s">
        <v>881</v>
      </c>
      <c r="E165" s="70">
        <v>0</v>
      </c>
      <c r="F165" t="s">
        <v>882</v>
      </c>
    </row>
    <row r="166" spans="1:6" x14ac:dyDescent="0.2">
      <c r="A166">
        <v>289</v>
      </c>
      <c r="B166" t="s">
        <v>58</v>
      </c>
      <c r="C166" t="s">
        <v>925</v>
      </c>
      <c r="D166" t="s">
        <v>926</v>
      </c>
      <c r="E166" s="70">
        <v>28.25</v>
      </c>
      <c r="F166" t="s">
        <v>927</v>
      </c>
    </row>
    <row r="167" spans="1:6" x14ac:dyDescent="0.2">
      <c r="A167">
        <v>291</v>
      </c>
      <c r="B167" t="s">
        <v>58</v>
      </c>
      <c r="C167" t="s">
        <v>931</v>
      </c>
      <c r="D167" t="s">
        <v>932</v>
      </c>
      <c r="E167" s="70">
        <v>29.74</v>
      </c>
      <c r="F167" t="s">
        <v>933</v>
      </c>
    </row>
    <row r="168" spans="1:6" x14ac:dyDescent="0.2">
      <c r="A168">
        <v>294</v>
      </c>
      <c r="B168" t="s">
        <v>58</v>
      </c>
      <c r="C168" t="s">
        <v>940</v>
      </c>
      <c r="D168" t="s">
        <v>941</v>
      </c>
      <c r="E168" s="70">
        <v>1.49</v>
      </c>
      <c r="F168" t="s">
        <v>942</v>
      </c>
    </row>
    <row r="169" spans="1:6" x14ac:dyDescent="0.2">
      <c r="A169">
        <v>309</v>
      </c>
      <c r="B169" t="s">
        <v>58</v>
      </c>
      <c r="C169" t="s">
        <v>985</v>
      </c>
      <c r="D169" t="s">
        <v>986</v>
      </c>
      <c r="E169" s="70">
        <v>23.5</v>
      </c>
      <c r="F169" t="s">
        <v>987</v>
      </c>
    </row>
    <row r="170" spans="1:6" x14ac:dyDescent="0.2">
      <c r="A170">
        <v>311</v>
      </c>
      <c r="B170" t="s">
        <v>58</v>
      </c>
      <c r="C170" t="s">
        <v>991</v>
      </c>
      <c r="D170" t="s">
        <v>992</v>
      </c>
      <c r="E170" s="70">
        <v>25.85</v>
      </c>
      <c r="F170" t="s">
        <v>993</v>
      </c>
    </row>
    <row r="171" spans="1:6" x14ac:dyDescent="0.2">
      <c r="A171">
        <v>314</v>
      </c>
      <c r="B171" t="s">
        <v>58</v>
      </c>
      <c r="C171" t="s">
        <v>1000</v>
      </c>
      <c r="D171" t="s">
        <v>1001</v>
      </c>
      <c r="E171" s="70">
        <v>2.35</v>
      </c>
      <c r="F171" t="s">
        <v>1002</v>
      </c>
    </row>
    <row r="172" spans="1:6" x14ac:dyDescent="0.2">
      <c r="A172">
        <v>329</v>
      </c>
      <c r="B172" t="s">
        <v>58</v>
      </c>
      <c r="C172" t="s">
        <v>1045</v>
      </c>
      <c r="D172" t="s">
        <v>1046</v>
      </c>
      <c r="E172" s="70">
        <v>35</v>
      </c>
      <c r="F172" t="s">
        <v>1047</v>
      </c>
    </row>
    <row r="173" spans="1:6" x14ac:dyDescent="0.2">
      <c r="A173">
        <v>331</v>
      </c>
      <c r="B173" t="s">
        <v>58</v>
      </c>
      <c r="C173" t="s">
        <v>1051</v>
      </c>
      <c r="D173" t="s">
        <v>1052</v>
      </c>
      <c r="E173" s="70">
        <v>35</v>
      </c>
      <c r="F173" t="s">
        <v>1053</v>
      </c>
    </row>
    <row r="174" spans="1:6" x14ac:dyDescent="0.2">
      <c r="A174">
        <v>334</v>
      </c>
      <c r="B174" t="s">
        <v>58</v>
      </c>
      <c r="C174" t="s">
        <v>1060</v>
      </c>
      <c r="D174" t="s">
        <v>1061</v>
      </c>
      <c r="E174" s="70">
        <v>0</v>
      </c>
      <c r="F174" t="s">
        <v>1062</v>
      </c>
    </row>
    <row r="175" spans="1:6" x14ac:dyDescent="0.2">
      <c r="A175">
        <v>25</v>
      </c>
      <c r="B175" t="s">
        <v>58</v>
      </c>
      <c r="C175" t="s">
        <v>133</v>
      </c>
      <c r="D175" t="s">
        <v>134</v>
      </c>
      <c r="E175" s="70">
        <v>31.29</v>
      </c>
      <c r="F175" t="s">
        <v>135</v>
      </c>
    </row>
    <row r="176" spans="1:6" x14ac:dyDescent="0.2">
      <c r="A176">
        <v>27</v>
      </c>
      <c r="B176" t="s">
        <v>58</v>
      </c>
      <c r="C176" t="s">
        <v>139</v>
      </c>
      <c r="D176" t="s">
        <v>140</v>
      </c>
      <c r="E176" s="70">
        <v>32.74</v>
      </c>
      <c r="F176" t="s">
        <v>141</v>
      </c>
    </row>
    <row r="177" spans="1:6" x14ac:dyDescent="0.2">
      <c r="A177">
        <v>30</v>
      </c>
      <c r="B177" t="s">
        <v>58</v>
      </c>
      <c r="C177" t="s">
        <v>148</v>
      </c>
      <c r="D177" t="s">
        <v>149</v>
      </c>
      <c r="E177" s="70">
        <v>1.45</v>
      </c>
      <c r="F177" t="s">
        <v>150</v>
      </c>
    </row>
    <row r="178" spans="1:6" x14ac:dyDescent="0.2">
      <c r="A178">
        <v>61</v>
      </c>
      <c r="B178" t="s">
        <v>58</v>
      </c>
      <c r="C178" t="s">
        <v>241</v>
      </c>
      <c r="D178" t="s">
        <v>242</v>
      </c>
      <c r="E178" t="s">
        <v>17</v>
      </c>
      <c r="F178" t="s">
        <v>243</v>
      </c>
    </row>
    <row r="179" spans="1:6" x14ac:dyDescent="0.2">
      <c r="A179">
        <v>62</v>
      </c>
      <c r="B179" t="s">
        <v>58</v>
      </c>
      <c r="C179" t="s">
        <v>244</v>
      </c>
      <c r="D179" t="s">
        <v>245</v>
      </c>
      <c r="E179" t="s">
        <v>18</v>
      </c>
      <c r="F179" t="s">
        <v>246</v>
      </c>
    </row>
    <row r="180" spans="1:6" x14ac:dyDescent="0.2">
      <c r="A180">
        <v>63</v>
      </c>
      <c r="B180" t="s">
        <v>58</v>
      </c>
      <c r="C180" t="s">
        <v>247</v>
      </c>
      <c r="D180" t="s">
        <v>248</v>
      </c>
      <c r="E180" t="s">
        <v>19</v>
      </c>
      <c r="F180" t="s">
        <v>249</v>
      </c>
    </row>
    <row r="181" spans="1:6" x14ac:dyDescent="0.2">
      <c r="A181">
        <v>4</v>
      </c>
      <c r="B181" t="s">
        <v>58</v>
      </c>
      <c r="C181" t="s">
        <v>71</v>
      </c>
      <c r="D181" t="s">
        <v>72</v>
      </c>
      <c r="E181" s="69">
        <v>41520</v>
      </c>
      <c r="F181" t="s">
        <v>73</v>
      </c>
    </row>
    <row r="182" spans="1:6" x14ac:dyDescent="0.2">
      <c r="A182">
        <v>2</v>
      </c>
      <c r="B182" t="s">
        <v>58</v>
      </c>
      <c r="C182" t="s">
        <v>65</v>
      </c>
      <c r="D182" t="s">
        <v>66</v>
      </c>
      <c r="E182" s="69">
        <v>41407</v>
      </c>
      <c r="F182" t="s">
        <v>67</v>
      </c>
    </row>
    <row r="183" spans="1:6" x14ac:dyDescent="0.2">
      <c r="A183">
        <v>48</v>
      </c>
      <c r="B183" t="s">
        <v>58</v>
      </c>
      <c r="C183" t="s">
        <v>202</v>
      </c>
      <c r="D183" t="s">
        <v>203</v>
      </c>
      <c r="E183" t="s">
        <v>43</v>
      </c>
      <c r="F183" t="s">
        <v>204</v>
      </c>
    </row>
    <row r="184" spans="1:6" x14ac:dyDescent="0.2">
      <c r="A184">
        <v>65</v>
      </c>
      <c r="B184" t="s">
        <v>58</v>
      </c>
      <c r="C184" t="s">
        <v>253</v>
      </c>
      <c r="D184" t="s">
        <v>254</v>
      </c>
      <c r="E184" t="s">
        <v>90</v>
      </c>
      <c r="F184" t="s">
        <v>255</v>
      </c>
    </row>
    <row r="185" spans="1:6" x14ac:dyDescent="0.2">
      <c r="A185">
        <v>49</v>
      </c>
      <c r="B185" t="s">
        <v>58</v>
      </c>
      <c r="C185" t="s">
        <v>205</v>
      </c>
      <c r="D185" t="s">
        <v>206</v>
      </c>
      <c r="E185" t="s">
        <v>57</v>
      </c>
      <c r="F185" t="s">
        <v>207</v>
      </c>
    </row>
    <row r="186" spans="1:6" x14ac:dyDescent="0.2">
      <c r="A186">
        <v>66</v>
      </c>
      <c r="B186" t="s">
        <v>58</v>
      </c>
      <c r="C186" t="s">
        <v>256</v>
      </c>
      <c r="D186" t="s">
        <v>257</v>
      </c>
      <c r="E186" t="s">
        <v>14</v>
      </c>
      <c r="F186" t="s">
        <v>258</v>
      </c>
    </row>
    <row r="187" spans="1:6" x14ac:dyDescent="0.2">
      <c r="A187">
        <v>67</v>
      </c>
      <c r="B187" t="s">
        <v>58</v>
      </c>
      <c r="C187" t="s">
        <v>259</v>
      </c>
      <c r="D187" t="s">
        <v>260</v>
      </c>
      <c r="E187" t="s">
        <v>3</v>
      </c>
      <c r="F187" t="s">
        <v>261</v>
      </c>
    </row>
    <row r="188" spans="1:6" x14ac:dyDescent="0.2">
      <c r="A188">
        <v>68</v>
      </c>
      <c r="B188" t="s">
        <v>58</v>
      </c>
      <c r="C188" t="s">
        <v>262</v>
      </c>
      <c r="D188" t="s">
        <v>263</v>
      </c>
      <c r="E188" t="s">
        <v>4</v>
      </c>
      <c r="F188" t="s">
        <v>264</v>
      </c>
    </row>
    <row r="189" spans="1:6" x14ac:dyDescent="0.2">
      <c r="A189">
        <v>50</v>
      </c>
      <c r="B189" t="s">
        <v>58</v>
      </c>
      <c r="C189" t="s">
        <v>208</v>
      </c>
      <c r="D189" t="s">
        <v>209</v>
      </c>
      <c r="E189" t="s">
        <v>12</v>
      </c>
      <c r="F189" t="s">
        <v>210</v>
      </c>
    </row>
    <row r="190" spans="1:6" x14ac:dyDescent="0.2">
      <c r="A190">
        <v>69</v>
      </c>
      <c r="B190" t="s">
        <v>58</v>
      </c>
      <c r="C190" t="s">
        <v>265</v>
      </c>
      <c r="D190" t="s">
        <v>266</v>
      </c>
      <c r="E190" t="s">
        <v>15</v>
      </c>
      <c r="F190" t="s">
        <v>267</v>
      </c>
    </row>
    <row r="191" spans="1:6" x14ac:dyDescent="0.2">
      <c r="A191">
        <v>80</v>
      </c>
      <c r="B191" t="s">
        <v>58</v>
      </c>
      <c r="C191" t="s">
        <v>298</v>
      </c>
      <c r="D191" t="s">
        <v>299</v>
      </c>
      <c r="E191" s="70">
        <v>7752.5</v>
      </c>
      <c r="F191" t="s">
        <v>300</v>
      </c>
    </row>
    <row r="192" spans="1:6" x14ac:dyDescent="0.2">
      <c r="A192">
        <v>82</v>
      </c>
      <c r="B192" t="s">
        <v>58</v>
      </c>
      <c r="C192" t="s">
        <v>304</v>
      </c>
      <c r="D192" t="s">
        <v>305</v>
      </c>
      <c r="E192" s="70">
        <v>7898.63</v>
      </c>
      <c r="F192" t="s">
        <v>306</v>
      </c>
    </row>
    <row r="193" spans="1:6" x14ac:dyDescent="0.2">
      <c r="A193">
        <v>76</v>
      </c>
      <c r="B193" t="s">
        <v>58</v>
      </c>
      <c r="C193" t="s">
        <v>286</v>
      </c>
      <c r="D193" t="s">
        <v>287</v>
      </c>
      <c r="E193">
        <v>29</v>
      </c>
      <c r="F193" t="s">
        <v>288</v>
      </c>
    </row>
    <row r="194" spans="1:6" x14ac:dyDescent="0.2">
      <c r="A194">
        <v>77</v>
      </c>
      <c r="B194" t="s">
        <v>58</v>
      </c>
      <c r="C194" t="s">
        <v>289</v>
      </c>
      <c r="D194" t="s">
        <v>290</v>
      </c>
      <c r="E194">
        <v>219.5</v>
      </c>
      <c r="F194" t="s">
        <v>291</v>
      </c>
    </row>
    <row r="195" spans="1:6" x14ac:dyDescent="0.2">
      <c r="A195">
        <v>78</v>
      </c>
      <c r="B195" t="s">
        <v>58</v>
      </c>
      <c r="C195" t="s">
        <v>292</v>
      </c>
      <c r="D195" t="s">
        <v>293</v>
      </c>
      <c r="E195">
        <v>2</v>
      </c>
      <c r="F195" t="s">
        <v>294</v>
      </c>
    </row>
    <row r="196" spans="1:6" x14ac:dyDescent="0.2">
      <c r="A196">
        <v>100</v>
      </c>
      <c r="B196" t="s">
        <v>58</v>
      </c>
      <c r="C196" t="s">
        <v>358</v>
      </c>
      <c r="D196" t="s">
        <v>359</v>
      </c>
      <c r="E196" s="70">
        <v>7262.5</v>
      </c>
      <c r="F196" t="s">
        <v>360</v>
      </c>
    </row>
    <row r="197" spans="1:6" x14ac:dyDescent="0.2">
      <c r="A197">
        <v>102</v>
      </c>
      <c r="B197" t="s">
        <v>58</v>
      </c>
      <c r="C197" t="s">
        <v>364</v>
      </c>
      <c r="D197" t="s">
        <v>365</v>
      </c>
      <c r="E197" s="70">
        <v>7988.75</v>
      </c>
      <c r="F197" t="s">
        <v>366</v>
      </c>
    </row>
    <row r="198" spans="1:6" x14ac:dyDescent="0.2">
      <c r="A198">
        <v>96</v>
      </c>
      <c r="B198" t="s">
        <v>58</v>
      </c>
      <c r="C198" t="s">
        <v>346</v>
      </c>
      <c r="D198" t="s">
        <v>347</v>
      </c>
      <c r="E198">
        <v>34</v>
      </c>
      <c r="F198" t="s">
        <v>348</v>
      </c>
    </row>
    <row r="199" spans="1:6" x14ac:dyDescent="0.2">
      <c r="A199">
        <v>97</v>
      </c>
      <c r="B199" t="s">
        <v>58</v>
      </c>
      <c r="C199" t="s">
        <v>349</v>
      </c>
      <c r="D199" t="s">
        <v>350</v>
      </c>
      <c r="E199">
        <v>290.5</v>
      </c>
      <c r="F199" t="s">
        <v>351</v>
      </c>
    </row>
    <row r="200" spans="1:6" x14ac:dyDescent="0.2">
      <c r="A200">
        <v>98</v>
      </c>
      <c r="B200" t="s">
        <v>58</v>
      </c>
      <c r="C200" t="s">
        <v>352</v>
      </c>
      <c r="D200" t="s">
        <v>353</v>
      </c>
      <c r="E200">
        <v>0</v>
      </c>
      <c r="F200" t="s">
        <v>354</v>
      </c>
    </row>
    <row r="201" spans="1:6" x14ac:dyDescent="0.2">
      <c r="A201">
        <v>120</v>
      </c>
      <c r="B201" t="s">
        <v>58</v>
      </c>
      <c r="C201" t="s">
        <v>418</v>
      </c>
      <c r="D201" t="s">
        <v>419</v>
      </c>
      <c r="E201" s="70">
        <v>4537.5</v>
      </c>
      <c r="F201" t="s">
        <v>420</v>
      </c>
    </row>
    <row r="202" spans="1:6" x14ac:dyDescent="0.2">
      <c r="A202">
        <v>122</v>
      </c>
      <c r="B202" t="s">
        <v>58</v>
      </c>
      <c r="C202" t="s">
        <v>424</v>
      </c>
      <c r="D202" t="s">
        <v>425</v>
      </c>
      <c r="E202" s="70">
        <v>4991.25</v>
      </c>
      <c r="F202" t="s">
        <v>426</v>
      </c>
    </row>
    <row r="203" spans="1:6" x14ac:dyDescent="0.2">
      <c r="A203">
        <v>116</v>
      </c>
      <c r="B203" t="s">
        <v>58</v>
      </c>
      <c r="C203" t="s">
        <v>406</v>
      </c>
      <c r="D203" t="s">
        <v>407</v>
      </c>
      <c r="E203">
        <v>22</v>
      </c>
      <c r="F203" t="s">
        <v>408</v>
      </c>
    </row>
    <row r="204" spans="1:6" x14ac:dyDescent="0.2">
      <c r="A204">
        <v>117</v>
      </c>
      <c r="B204" t="s">
        <v>58</v>
      </c>
      <c r="C204" t="s">
        <v>409</v>
      </c>
      <c r="D204" t="s">
        <v>410</v>
      </c>
      <c r="E204">
        <v>206.25</v>
      </c>
      <c r="F204" t="s">
        <v>411</v>
      </c>
    </row>
    <row r="205" spans="1:6" x14ac:dyDescent="0.2">
      <c r="A205">
        <v>118</v>
      </c>
      <c r="B205" t="s">
        <v>58</v>
      </c>
      <c r="C205" t="s">
        <v>412</v>
      </c>
      <c r="D205" t="s">
        <v>413</v>
      </c>
      <c r="E205">
        <v>0</v>
      </c>
      <c r="F205" t="s">
        <v>414</v>
      </c>
    </row>
    <row r="206" spans="1:6" x14ac:dyDescent="0.2">
      <c r="A206">
        <v>140</v>
      </c>
      <c r="B206" t="s">
        <v>58</v>
      </c>
      <c r="C206" t="s">
        <v>478</v>
      </c>
      <c r="D206" t="s">
        <v>479</v>
      </c>
      <c r="E206" s="70">
        <v>4767</v>
      </c>
      <c r="F206" t="s">
        <v>480</v>
      </c>
    </row>
    <row r="207" spans="1:6" x14ac:dyDescent="0.2">
      <c r="A207">
        <v>142</v>
      </c>
      <c r="B207" t="s">
        <v>58</v>
      </c>
      <c r="C207" t="s">
        <v>484</v>
      </c>
      <c r="D207" t="s">
        <v>485</v>
      </c>
      <c r="E207" s="70">
        <v>5243.7</v>
      </c>
      <c r="F207" t="s">
        <v>486</v>
      </c>
    </row>
    <row r="208" spans="1:6" x14ac:dyDescent="0.2">
      <c r="A208">
        <v>136</v>
      </c>
      <c r="B208" t="s">
        <v>58</v>
      </c>
      <c r="C208" t="s">
        <v>466</v>
      </c>
      <c r="D208" t="s">
        <v>467</v>
      </c>
      <c r="E208">
        <v>13</v>
      </c>
      <c r="F208" t="s">
        <v>468</v>
      </c>
    </row>
    <row r="209" spans="1:6" x14ac:dyDescent="0.2">
      <c r="A209">
        <v>137</v>
      </c>
      <c r="B209" t="s">
        <v>58</v>
      </c>
      <c r="C209" t="s">
        <v>469</v>
      </c>
      <c r="D209" t="s">
        <v>470</v>
      </c>
      <c r="E209">
        <v>112.5</v>
      </c>
      <c r="F209" t="s">
        <v>471</v>
      </c>
    </row>
    <row r="210" spans="1:6" x14ac:dyDescent="0.2">
      <c r="A210">
        <v>138</v>
      </c>
      <c r="B210" t="s">
        <v>58</v>
      </c>
      <c r="C210" t="s">
        <v>472</v>
      </c>
      <c r="D210" t="s">
        <v>473</v>
      </c>
      <c r="E210">
        <v>1</v>
      </c>
      <c r="F210" t="s">
        <v>474</v>
      </c>
    </row>
    <row r="211" spans="1:6" x14ac:dyDescent="0.2">
      <c r="A211">
        <v>160</v>
      </c>
      <c r="B211" t="s">
        <v>58</v>
      </c>
      <c r="C211" t="s">
        <v>538</v>
      </c>
      <c r="D211" t="s">
        <v>539</v>
      </c>
      <c r="E211" s="70">
        <v>4186</v>
      </c>
      <c r="F211" t="s">
        <v>540</v>
      </c>
    </row>
    <row r="212" spans="1:6" x14ac:dyDescent="0.2">
      <c r="A212">
        <v>162</v>
      </c>
      <c r="B212" t="s">
        <v>58</v>
      </c>
      <c r="C212" t="s">
        <v>544</v>
      </c>
      <c r="D212" t="s">
        <v>545</v>
      </c>
      <c r="E212" s="70">
        <v>4604.6000000000004</v>
      </c>
      <c r="F212" t="s">
        <v>546</v>
      </c>
    </row>
    <row r="213" spans="1:6" x14ac:dyDescent="0.2">
      <c r="A213">
        <v>156</v>
      </c>
      <c r="B213" t="s">
        <v>58</v>
      </c>
      <c r="C213" t="s">
        <v>526</v>
      </c>
      <c r="D213" t="s">
        <v>527</v>
      </c>
      <c r="E213">
        <v>23</v>
      </c>
      <c r="F213" t="s">
        <v>528</v>
      </c>
    </row>
    <row r="214" spans="1:6" x14ac:dyDescent="0.2">
      <c r="A214">
        <v>157</v>
      </c>
      <c r="B214" t="s">
        <v>58</v>
      </c>
      <c r="C214" t="s">
        <v>529</v>
      </c>
      <c r="D214" t="s">
        <v>530</v>
      </c>
      <c r="E214">
        <v>182</v>
      </c>
      <c r="F214" t="s">
        <v>531</v>
      </c>
    </row>
    <row r="215" spans="1:6" x14ac:dyDescent="0.2">
      <c r="A215">
        <v>158</v>
      </c>
      <c r="B215" t="s">
        <v>58</v>
      </c>
      <c r="C215" t="s">
        <v>532</v>
      </c>
      <c r="D215" t="s">
        <v>533</v>
      </c>
      <c r="E215">
        <v>0</v>
      </c>
      <c r="F215" t="s">
        <v>534</v>
      </c>
    </row>
    <row r="216" spans="1:6" x14ac:dyDescent="0.2">
      <c r="A216">
        <v>180</v>
      </c>
      <c r="B216" t="s">
        <v>58</v>
      </c>
      <c r="C216" t="s">
        <v>598</v>
      </c>
      <c r="D216" t="s">
        <v>599</v>
      </c>
      <c r="E216" s="70">
        <v>4010</v>
      </c>
      <c r="F216" t="s">
        <v>600</v>
      </c>
    </row>
    <row r="217" spans="1:6" x14ac:dyDescent="0.2">
      <c r="A217">
        <v>182</v>
      </c>
      <c r="B217" t="s">
        <v>58</v>
      </c>
      <c r="C217" t="s">
        <v>604</v>
      </c>
      <c r="D217" t="s">
        <v>605</v>
      </c>
      <c r="E217" s="70">
        <v>4010</v>
      </c>
      <c r="F217" t="s">
        <v>606</v>
      </c>
    </row>
    <row r="218" spans="1:6" x14ac:dyDescent="0.2">
      <c r="A218">
        <v>176</v>
      </c>
      <c r="B218" t="s">
        <v>58</v>
      </c>
      <c r="C218" t="s">
        <v>586</v>
      </c>
      <c r="D218" t="s">
        <v>587</v>
      </c>
      <c r="E218">
        <v>9</v>
      </c>
      <c r="F218" t="s">
        <v>588</v>
      </c>
    </row>
    <row r="219" spans="1:6" x14ac:dyDescent="0.2">
      <c r="A219">
        <v>177</v>
      </c>
      <c r="B219" t="s">
        <v>58</v>
      </c>
      <c r="C219" t="s">
        <v>589</v>
      </c>
      <c r="D219" t="s">
        <v>590</v>
      </c>
      <c r="E219">
        <v>80.2</v>
      </c>
      <c r="F219" t="s">
        <v>591</v>
      </c>
    </row>
    <row r="220" spans="1:6" x14ac:dyDescent="0.2">
      <c r="A220">
        <v>178</v>
      </c>
      <c r="B220" t="s">
        <v>58</v>
      </c>
      <c r="C220" t="s">
        <v>592</v>
      </c>
      <c r="D220" t="s">
        <v>593</v>
      </c>
      <c r="E220">
        <v>0</v>
      </c>
      <c r="F220" t="s">
        <v>594</v>
      </c>
    </row>
    <row r="221" spans="1:6" x14ac:dyDescent="0.2">
      <c r="A221">
        <v>200</v>
      </c>
      <c r="B221" t="s">
        <v>58</v>
      </c>
      <c r="C221" t="s">
        <v>658</v>
      </c>
      <c r="D221" t="s">
        <v>659</v>
      </c>
      <c r="E221" s="70">
        <v>3037.5</v>
      </c>
      <c r="F221" t="s">
        <v>660</v>
      </c>
    </row>
    <row r="222" spans="1:6" x14ac:dyDescent="0.2">
      <c r="A222">
        <v>202</v>
      </c>
      <c r="B222" t="s">
        <v>58</v>
      </c>
      <c r="C222" t="s">
        <v>664</v>
      </c>
      <c r="D222" t="s">
        <v>665</v>
      </c>
      <c r="E222" s="70">
        <v>3037.5</v>
      </c>
      <c r="F222" t="s">
        <v>666</v>
      </c>
    </row>
    <row r="223" spans="1:6" x14ac:dyDescent="0.2">
      <c r="A223">
        <v>196</v>
      </c>
      <c r="B223" t="s">
        <v>58</v>
      </c>
      <c r="C223" t="s">
        <v>646</v>
      </c>
      <c r="D223" t="s">
        <v>647</v>
      </c>
      <c r="E223">
        <v>8</v>
      </c>
      <c r="F223" t="s">
        <v>648</v>
      </c>
    </row>
    <row r="224" spans="1:6" x14ac:dyDescent="0.2">
      <c r="A224">
        <v>197</v>
      </c>
      <c r="B224" t="s">
        <v>58</v>
      </c>
      <c r="C224" t="s">
        <v>649</v>
      </c>
      <c r="D224" t="s">
        <v>650</v>
      </c>
      <c r="E224">
        <v>60.75</v>
      </c>
      <c r="F224" t="s">
        <v>651</v>
      </c>
    </row>
    <row r="225" spans="1:6" x14ac:dyDescent="0.2">
      <c r="A225">
        <v>198</v>
      </c>
      <c r="B225" t="s">
        <v>58</v>
      </c>
      <c r="C225" t="s">
        <v>652</v>
      </c>
      <c r="D225" t="s">
        <v>653</v>
      </c>
      <c r="E225">
        <v>0</v>
      </c>
      <c r="F225" t="s">
        <v>654</v>
      </c>
    </row>
    <row r="226" spans="1:6" x14ac:dyDescent="0.2">
      <c r="A226">
        <v>220</v>
      </c>
      <c r="B226" t="s">
        <v>58</v>
      </c>
      <c r="C226" t="s">
        <v>718</v>
      </c>
      <c r="D226" t="s">
        <v>719</v>
      </c>
      <c r="E226" s="70">
        <v>2160</v>
      </c>
      <c r="F226" t="s">
        <v>720</v>
      </c>
    </row>
    <row r="227" spans="1:6" x14ac:dyDescent="0.2">
      <c r="A227">
        <v>222</v>
      </c>
      <c r="B227" t="s">
        <v>58</v>
      </c>
      <c r="C227" t="s">
        <v>724</v>
      </c>
      <c r="D227" t="s">
        <v>725</v>
      </c>
      <c r="E227" s="70">
        <v>2160</v>
      </c>
      <c r="F227" t="s">
        <v>726</v>
      </c>
    </row>
    <row r="228" spans="1:6" x14ac:dyDescent="0.2">
      <c r="A228">
        <v>216</v>
      </c>
      <c r="B228" t="s">
        <v>58</v>
      </c>
      <c r="C228" t="s">
        <v>706</v>
      </c>
      <c r="D228" t="s">
        <v>707</v>
      </c>
      <c r="E228">
        <v>8</v>
      </c>
      <c r="F228" t="s">
        <v>708</v>
      </c>
    </row>
    <row r="229" spans="1:6" x14ac:dyDescent="0.2">
      <c r="A229">
        <v>217</v>
      </c>
      <c r="B229" t="s">
        <v>58</v>
      </c>
      <c r="C229" t="s">
        <v>709</v>
      </c>
      <c r="D229" t="s">
        <v>710</v>
      </c>
      <c r="E229">
        <v>54</v>
      </c>
      <c r="F229" t="s">
        <v>711</v>
      </c>
    </row>
    <row r="230" spans="1:6" x14ac:dyDescent="0.2">
      <c r="A230">
        <v>218</v>
      </c>
      <c r="B230" t="s">
        <v>58</v>
      </c>
      <c r="C230" t="s">
        <v>712</v>
      </c>
      <c r="D230" t="s">
        <v>713</v>
      </c>
      <c r="E230">
        <v>0</v>
      </c>
      <c r="F230" t="s">
        <v>714</v>
      </c>
    </row>
    <row r="231" spans="1:6" x14ac:dyDescent="0.2">
      <c r="A231">
        <v>240</v>
      </c>
      <c r="B231" t="s">
        <v>58</v>
      </c>
      <c r="C231" t="s">
        <v>778</v>
      </c>
      <c r="D231" t="s">
        <v>779</v>
      </c>
      <c r="E231" s="70">
        <v>1887.5</v>
      </c>
      <c r="F231" t="s">
        <v>780</v>
      </c>
    </row>
    <row r="232" spans="1:6" x14ac:dyDescent="0.2">
      <c r="A232">
        <v>242</v>
      </c>
      <c r="B232" t="s">
        <v>58</v>
      </c>
      <c r="C232" t="s">
        <v>784</v>
      </c>
      <c r="D232" t="s">
        <v>785</v>
      </c>
      <c r="E232" s="70">
        <v>2076.25</v>
      </c>
      <c r="F232" t="s">
        <v>786</v>
      </c>
    </row>
    <row r="233" spans="1:6" x14ac:dyDescent="0.2">
      <c r="A233">
        <v>236</v>
      </c>
      <c r="B233" t="s">
        <v>58</v>
      </c>
      <c r="C233" t="s">
        <v>766</v>
      </c>
      <c r="D233" t="s">
        <v>767</v>
      </c>
      <c r="E233">
        <v>4</v>
      </c>
      <c r="F233" t="s">
        <v>768</v>
      </c>
    </row>
    <row r="234" spans="1:6" x14ac:dyDescent="0.2">
      <c r="A234">
        <v>237</v>
      </c>
      <c r="B234" t="s">
        <v>58</v>
      </c>
      <c r="C234" t="s">
        <v>769</v>
      </c>
      <c r="D234" t="s">
        <v>770</v>
      </c>
      <c r="E234">
        <v>75.5</v>
      </c>
      <c r="F234" t="s">
        <v>771</v>
      </c>
    </row>
    <row r="235" spans="1:6" x14ac:dyDescent="0.2">
      <c r="A235">
        <v>238</v>
      </c>
      <c r="B235" t="s">
        <v>58</v>
      </c>
      <c r="C235" t="s">
        <v>772</v>
      </c>
      <c r="D235" t="s">
        <v>773</v>
      </c>
      <c r="E235">
        <v>0</v>
      </c>
      <c r="F235" t="s">
        <v>774</v>
      </c>
    </row>
    <row r="236" spans="1:6" x14ac:dyDescent="0.2">
      <c r="A236">
        <v>260</v>
      </c>
      <c r="B236" t="s">
        <v>58</v>
      </c>
      <c r="C236" t="s">
        <v>838</v>
      </c>
      <c r="D236" t="s">
        <v>839</v>
      </c>
      <c r="E236" s="70">
        <v>2107.5</v>
      </c>
      <c r="F236" t="s">
        <v>840</v>
      </c>
    </row>
    <row r="237" spans="1:6" x14ac:dyDescent="0.2">
      <c r="A237">
        <v>262</v>
      </c>
      <c r="B237" t="s">
        <v>58</v>
      </c>
      <c r="C237" t="s">
        <v>844</v>
      </c>
      <c r="D237" t="s">
        <v>845</v>
      </c>
      <c r="E237" s="70">
        <v>2318.25</v>
      </c>
      <c r="F237" t="s">
        <v>846</v>
      </c>
    </row>
    <row r="238" spans="1:6" x14ac:dyDescent="0.2">
      <c r="A238">
        <v>256</v>
      </c>
      <c r="B238" t="s">
        <v>58</v>
      </c>
      <c r="C238" t="s">
        <v>826</v>
      </c>
      <c r="D238" t="s">
        <v>827</v>
      </c>
      <c r="E238">
        <v>16</v>
      </c>
      <c r="F238" t="s">
        <v>828</v>
      </c>
    </row>
    <row r="239" spans="1:6" x14ac:dyDescent="0.2">
      <c r="A239">
        <v>257</v>
      </c>
      <c r="B239" t="s">
        <v>58</v>
      </c>
      <c r="C239" t="s">
        <v>829</v>
      </c>
      <c r="D239" t="s">
        <v>830</v>
      </c>
      <c r="E239">
        <v>140.5</v>
      </c>
      <c r="F239" t="s">
        <v>831</v>
      </c>
    </row>
    <row r="240" spans="1:6" x14ac:dyDescent="0.2">
      <c r="A240">
        <v>258</v>
      </c>
      <c r="B240" t="s">
        <v>58</v>
      </c>
      <c r="C240" t="s">
        <v>832</v>
      </c>
      <c r="D240" t="s">
        <v>833</v>
      </c>
      <c r="E240">
        <v>0</v>
      </c>
      <c r="F240" t="s">
        <v>834</v>
      </c>
    </row>
    <row r="241" spans="1:6" x14ac:dyDescent="0.2">
      <c r="A241">
        <v>280</v>
      </c>
      <c r="B241" t="s">
        <v>58</v>
      </c>
      <c r="C241" t="s">
        <v>898</v>
      </c>
      <c r="D241" t="s">
        <v>899</v>
      </c>
      <c r="E241" s="70">
        <v>150</v>
      </c>
      <c r="F241" t="s">
        <v>900</v>
      </c>
    </row>
    <row r="242" spans="1:6" x14ac:dyDescent="0.2">
      <c r="A242">
        <v>282</v>
      </c>
      <c r="B242" t="s">
        <v>58</v>
      </c>
      <c r="C242" t="s">
        <v>904</v>
      </c>
      <c r="D242" t="s">
        <v>905</v>
      </c>
      <c r="E242" s="70">
        <v>165</v>
      </c>
      <c r="F242" t="s">
        <v>906</v>
      </c>
    </row>
    <row r="243" spans="1:6" x14ac:dyDescent="0.2">
      <c r="A243">
        <v>276</v>
      </c>
      <c r="B243" t="s">
        <v>58</v>
      </c>
      <c r="C243" t="s">
        <v>886</v>
      </c>
      <c r="D243" t="s">
        <v>887</v>
      </c>
      <c r="E243">
        <v>1</v>
      </c>
      <c r="F243" t="s">
        <v>888</v>
      </c>
    </row>
    <row r="244" spans="1:6" x14ac:dyDescent="0.2">
      <c r="A244">
        <v>277</v>
      </c>
      <c r="B244" t="s">
        <v>58</v>
      </c>
      <c r="C244" t="s">
        <v>889</v>
      </c>
      <c r="D244" t="s">
        <v>890</v>
      </c>
      <c r="E244">
        <v>10</v>
      </c>
      <c r="F244" t="s">
        <v>891</v>
      </c>
    </row>
    <row r="245" spans="1:6" x14ac:dyDescent="0.2">
      <c r="A245">
        <v>278</v>
      </c>
      <c r="B245" t="s">
        <v>58</v>
      </c>
      <c r="C245" t="s">
        <v>892</v>
      </c>
      <c r="D245" t="s">
        <v>893</v>
      </c>
      <c r="E245">
        <v>0</v>
      </c>
      <c r="F245" t="s">
        <v>894</v>
      </c>
    </row>
    <row r="246" spans="1:6" x14ac:dyDescent="0.2">
      <c r="A246">
        <v>300</v>
      </c>
      <c r="B246" t="s">
        <v>58</v>
      </c>
      <c r="C246" t="s">
        <v>958</v>
      </c>
      <c r="D246" t="s">
        <v>959</v>
      </c>
      <c r="E246" s="70">
        <v>4125</v>
      </c>
      <c r="F246" t="s">
        <v>960</v>
      </c>
    </row>
    <row r="247" spans="1:6" x14ac:dyDescent="0.2">
      <c r="A247">
        <v>302</v>
      </c>
      <c r="B247" t="s">
        <v>58</v>
      </c>
      <c r="C247" t="s">
        <v>964</v>
      </c>
      <c r="D247" t="s">
        <v>965</v>
      </c>
      <c r="E247" s="70">
        <v>4125</v>
      </c>
      <c r="F247" t="s">
        <v>966</v>
      </c>
    </row>
    <row r="248" spans="1:6" x14ac:dyDescent="0.2">
      <c r="A248">
        <v>296</v>
      </c>
      <c r="B248" t="s">
        <v>58</v>
      </c>
      <c r="C248" t="s">
        <v>946</v>
      </c>
      <c r="D248" t="s">
        <v>947</v>
      </c>
      <c r="E248">
        <v>9</v>
      </c>
      <c r="F248" t="s">
        <v>948</v>
      </c>
    </row>
    <row r="249" spans="1:6" x14ac:dyDescent="0.2">
      <c r="A249">
        <v>297</v>
      </c>
      <c r="B249" t="s">
        <v>58</v>
      </c>
      <c r="C249" t="s">
        <v>949</v>
      </c>
      <c r="D249" t="s">
        <v>950</v>
      </c>
      <c r="E249">
        <v>75</v>
      </c>
      <c r="F249" t="s">
        <v>951</v>
      </c>
    </row>
    <row r="250" spans="1:6" x14ac:dyDescent="0.2">
      <c r="A250">
        <v>298</v>
      </c>
      <c r="B250" t="s">
        <v>58</v>
      </c>
      <c r="C250" t="s">
        <v>952</v>
      </c>
      <c r="D250" t="s">
        <v>953</v>
      </c>
      <c r="E250">
        <v>0</v>
      </c>
      <c r="F250" t="s">
        <v>954</v>
      </c>
    </row>
    <row r="251" spans="1:6" x14ac:dyDescent="0.2">
      <c r="A251">
        <v>320</v>
      </c>
      <c r="B251" t="s">
        <v>58</v>
      </c>
      <c r="C251" t="s">
        <v>1018</v>
      </c>
      <c r="D251" t="s">
        <v>1019</v>
      </c>
      <c r="E251" s="70">
        <v>1995</v>
      </c>
      <c r="F251" t="s">
        <v>1020</v>
      </c>
    </row>
    <row r="252" spans="1:6" x14ac:dyDescent="0.2">
      <c r="A252">
        <v>322</v>
      </c>
      <c r="B252" t="s">
        <v>58</v>
      </c>
      <c r="C252" t="s">
        <v>1024</v>
      </c>
      <c r="D252" t="s">
        <v>1025</v>
      </c>
      <c r="E252" s="70">
        <v>2194.5</v>
      </c>
      <c r="F252" t="s">
        <v>1026</v>
      </c>
    </row>
    <row r="253" spans="1:6" x14ac:dyDescent="0.2">
      <c r="A253">
        <v>316</v>
      </c>
      <c r="B253" t="s">
        <v>58</v>
      </c>
      <c r="C253" t="s">
        <v>1006</v>
      </c>
      <c r="D253" t="s">
        <v>1007</v>
      </c>
      <c r="E253">
        <v>15</v>
      </c>
      <c r="F253" t="s">
        <v>1008</v>
      </c>
    </row>
    <row r="254" spans="1:6" x14ac:dyDescent="0.2">
      <c r="A254">
        <v>317</v>
      </c>
      <c r="B254" t="s">
        <v>58</v>
      </c>
      <c r="C254" t="s">
        <v>1009</v>
      </c>
      <c r="D254" t="s">
        <v>1010</v>
      </c>
      <c r="E254">
        <v>133</v>
      </c>
      <c r="F254" t="s">
        <v>1011</v>
      </c>
    </row>
    <row r="255" spans="1:6" x14ac:dyDescent="0.2">
      <c r="A255">
        <v>318</v>
      </c>
      <c r="B255" t="s">
        <v>58</v>
      </c>
      <c r="C255" t="s">
        <v>1012</v>
      </c>
      <c r="D255" t="s">
        <v>1013</v>
      </c>
      <c r="E255">
        <v>0</v>
      </c>
      <c r="F255" t="s">
        <v>1014</v>
      </c>
    </row>
    <row r="256" spans="1:6" x14ac:dyDescent="0.2">
      <c r="A256">
        <v>340</v>
      </c>
      <c r="B256" t="s">
        <v>58</v>
      </c>
      <c r="C256" t="s">
        <v>1078</v>
      </c>
      <c r="D256" t="s">
        <v>1079</v>
      </c>
      <c r="E256" s="70">
        <v>651</v>
      </c>
      <c r="F256" t="s">
        <v>1080</v>
      </c>
    </row>
    <row r="257" spans="1:6" x14ac:dyDescent="0.2">
      <c r="A257">
        <v>342</v>
      </c>
      <c r="B257" t="s">
        <v>58</v>
      </c>
      <c r="C257" t="s">
        <v>1084</v>
      </c>
      <c r="D257" t="s">
        <v>1085</v>
      </c>
      <c r="E257" s="70">
        <v>716.1</v>
      </c>
      <c r="F257" t="s">
        <v>1086</v>
      </c>
    </row>
    <row r="258" spans="1:6" x14ac:dyDescent="0.2">
      <c r="A258">
        <v>336</v>
      </c>
      <c r="B258" t="s">
        <v>58</v>
      </c>
      <c r="C258" t="s">
        <v>1066</v>
      </c>
      <c r="D258" t="s">
        <v>1067</v>
      </c>
      <c r="E258">
        <v>2</v>
      </c>
      <c r="F258" t="s">
        <v>1068</v>
      </c>
    </row>
    <row r="259" spans="1:6" x14ac:dyDescent="0.2">
      <c r="A259">
        <v>337</v>
      </c>
      <c r="B259" t="s">
        <v>58</v>
      </c>
      <c r="C259" t="s">
        <v>1069</v>
      </c>
      <c r="D259" t="s">
        <v>1070</v>
      </c>
      <c r="E259">
        <v>15.5</v>
      </c>
      <c r="F259" t="s">
        <v>1071</v>
      </c>
    </row>
    <row r="260" spans="1:6" x14ac:dyDescent="0.2">
      <c r="A260">
        <v>338</v>
      </c>
      <c r="B260" t="s">
        <v>58</v>
      </c>
      <c r="C260" t="s">
        <v>1072</v>
      </c>
      <c r="D260" t="s">
        <v>1073</v>
      </c>
      <c r="E260">
        <v>0</v>
      </c>
      <c r="F260" t="s">
        <v>1074</v>
      </c>
    </row>
    <row r="261" spans="1:6" x14ac:dyDescent="0.2">
      <c r="A261">
        <v>350</v>
      </c>
      <c r="B261" t="s">
        <v>58</v>
      </c>
      <c r="C261" t="s">
        <v>1108</v>
      </c>
      <c r="D261" t="s">
        <v>1109</v>
      </c>
      <c r="E261" s="70">
        <v>5225</v>
      </c>
      <c r="F261" t="s">
        <v>1110</v>
      </c>
    </row>
    <row r="262" spans="1:6" x14ac:dyDescent="0.2">
      <c r="A262">
        <v>352</v>
      </c>
      <c r="B262" t="s">
        <v>58</v>
      </c>
      <c r="C262" t="s">
        <v>1114</v>
      </c>
      <c r="D262" t="s">
        <v>1115</v>
      </c>
      <c r="E262" s="70">
        <v>5225</v>
      </c>
      <c r="F262" t="s">
        <v>1116</v>
      </c>
    </row>
    <row r="263" spans="1:6" x14ac:dyDescent="0.2">
      <c r="A263">
        <v>346</v>
      </c>
      <c r="B263" t="s">
        <v>58</v>
      </c>
      <c r="C263" t="s">
        <v>1096</v>
      </c>
      <c r="D263" t="s">
        <v>1097</v>
      </c>
      <c r="E263">
        <v>8</v>
      </c>
      <c r="F263" t="s">
        <v>1098</v>
      </c>
    </row>
    <row r="264" spans="1:6" x14ac:dyDescent="0.2">
      <c r="A264">
        <v>347</v>
      </c>
      <c r="B264" t="s">
        <v>58</v>
      </c>
      <c r="C264" t="s">
        <v>1099</v>
      </c>
      <c r="D264" t="s">
        <v>1100</v>
      </c>
      <c r="E264">
        <v>104.5</v>
      </c>
      <c r="F264" t="s">
        <v>1101</v>
      </c>
    </row>
    <row r="265" spans="1:6" x14ac:dyDescent="0.2">
      <c r="A265">
        <v>348</v>
      </c>
      <c r="B265" t="s">
        <v>58</v>
      </c>
      <c r="C265" t="s">
        <v>1102</v>
      </c>
      <c r="D265" t="s">
        <v>1103</v>
      </c>
      <c r="E265">
        <v>0</v>
      </c>
      <c r="F265" t="s">
        <v>1104</v>
      </c>
    </row>
    <row r="266" spans="1:6" x14ac:dyDescent="0.2">
      <c r="A266">
        <v>360</v>
      </c>
      <c r="B266" t="s">
        <v>58</v>
      </c>
      <c r="C266" t="s">
        <v>1138</v>
      </c>
      <c r="D266" t="s">
        <v>1139</v>
      </c>
      <c r="E266" s="70">
        <v>2060</v>
      </c>
      <c r="F266" t="s">
        <v>1140</v>
      </c>
    </row>
    <row r="267" spans="1:6" x14ac:dyDescent="0.2">
      <c r="A267">
        <v>362</v>
      </c>
      <c r="B267" t="s">
        <v>58</v>
      </c>
      <c r="C267" t="s">
        <v>1144</v>
      </c>
      <c r="D267" t="s">
        <v>1145</v>
      </c>
      <c r="E267" s="70">
        <v>2266</v>
      </c>
      <c r="F267" t="s">
        <v>1146</v>
      </c>
    </row>
    <row r="268" spans="1:6" x14ac:dyDescent="0.2">
      <c r="A268">
        <v>356</v>
      </c>
      <c r="B268" t="s">
        <v>58</v>
      </c>
      <c r="C268" t="s">
        <v>1126</v>
      </c>
      <c r="D268" t="s">
        <v>1127</v>
      </c>
      <c r="E268">
        <v>12</v>
      </c>
      <c r="F268" t="s">
        <v>1128</v>
      </c>
    </row>
    <row r="269" spans="1:6" x14ac:dyDescent="0.2">
      <c r="A269">
        <v>357</v>
      </c>
      <c r="B269" t="s">
        <v>58</v>
      </c>
      <c r="C269" t="s">
        <v>1129</v>
      </c>
      <c r="D269" t="s">
        <v>1130</v>
      </c>
      <c r="E269">
        <v>103</v>
      </c>
      <c r="F269" t="s">
        <v>1131</v>
      </c>
    </row>
    <row r="270" spans="1:6" x14ac:dyDescent="0.2">
      <c r="A270">
        <v>358</v>
      </c>
      <c r="B270" t="s">
        <v>58</v>
      </c>
      <c r="C270" t="s">
        <v>1132</v>
      </c>
      <c r="D270" t="s">
        <v>1133</v>
      </c>
      <c r="E270">
        <v>0</v>
      </c>
      <c r="F270" t="s">
        <v>1134</v>
      </c>
    </row>
    <row r="271" spans="1:6" x14ac:dyDescent="0.2">
      <c r="A271">
        <v>370</v>
      </c>
      <c r="B271" t="s">
        <v>58</v>
      </c>
      <c r="C271" t="s">
        <v>1168</v>
      </c>
      <c r="D271" t="s">
        <v>1169</v>
      </c>
      <c r="E271" s="70">
        <v>850</v>
      </c>
      <c r="F271" t="s">
        <v>1170</v>
      </c>
    </row>
    <row r="272" spans="1:6" x14ac:dyDescent="0.2">
      <c r="A272">
        <v>372</v>
      </c>
      <c r="B272" t="s">
        <v>58</v>
      </c>
      <c r="C272" t="s">
        <v>1174</v>
      </c>
      <c r="D272" t="s">
        <v>1175</v>
      </c>
      <c r="E272" s="70">
        <v>850</v>
      </c>
      <c r="F272" t="s">
        <v>1176</v>
      </c>
    </row>
    <row r="273" spans="1:6" x14ac:dyDescent="0.2">
      <c r="A273">
        <v>366</v>
      </c>
      <c r="B273" t="s">
        <v>58</v>
      </c>
      <c r="C273" t="s">
        <v>1156</v>
      </c>
      <c r="D273" t="s">
        <v>1157</v>
      </c>
      <c r="E273">
        <v>1</v>
      </c>
      <c r="F273" t="s">
        <v>1158</v>
      </c>
    </row>
    <row r="274" spans="1:6" x14ac:dyDescent="0.2">
      <c r="A274">
        <v>367</v>
      </c>
      <c r="B274" t="s">
        <v>58</v>
      </c>
      <c r="C274" t="s">
        <v>1159</v>
      </c>
      <c r="D274" t="s">
        <v>1160</v>
      </c>
      <c r="E274">
        <v>17</v>
      </c>
      <c r="F274" t="s">
        <v>1161</v>
      </c>
    </row>
    <row r="275" spans="1:6" x14ac:dyDescent="0.2">
      <c r="A275">
        <v>368</v>
      </c>
      <c r="B275" t="s">
        <v>58</v>
      </c>
      <c r="C275" t="s">
        <v>1162</v>
      </c>
      <c r="D275" t="s">
        <v>1163</v>
      </c>
      <c r="E275">
        <v>0</v>
      </c>
      <c r="F275" t="s">
        <v>1164</v>
      </c>
    </row>
    <row r="276" spans="1:6" x14ac:dyDescent="0.2">
      <c r="A276">
        <v>380</v>
      </c>
      <c r="B276" t="s">
        <v>58</v>
      </c>
      <c r="C276" t="s">
        <v>1198</v>
      </c>
      <c r="D276" t="s">
        <v>1199</v>
      </c>
      <c r="E276" s="70">
        <v>4042.5</v>
      </c>
      <c r="F276" t="s">
        <v>1200</v>
      </c>
    </row>
    <row r="277" spans="1:6" x14ac:dyDescent="0.2">
      <c r="A277">
        <v>382</v>
      </c>
      <c r="B277" t="s">
        <v>58</v>
      </c>
      <c r="C277" t="s">
        <v>1204</v>
      </c>
      <c r="D277" t="s">
        <v>1205</v>
      </c>
      <c r="E277" s="70">
        <v>4042.5</v>
      </c>
      <c r="F277" t="s">
        <v>1206</v>
      </c>
    </row>
    <row r="278" spans="1:6" x14ac:dyDescent="0.2">
      <c r="A278">
        <v>376</v>
      </c>
      <c r="B278" t="s">
        <v>58</v>
      </c>
      <c r="C278" t="s">
        <v>1186</v>
      </c>
      <c r="D278" t="s">
        <v>1187</v>
      </c>
      <c r="E278">
        <v>12</v>
      </c>
      <c r="F278" t="s">
        <v>1188</v>
      </c>
    </row>
    <row r="279" spans="1:6" x14ac:dyDescent="0.2">
      <c r="A279">
        <v>377</v>
      </c>
      <c r="B279" t="s">
        <v>58</v>
      </c>
      <c r="C279" t="s">
        <v>1189</v>
      </c>
      <c r="D279" t="s">
        <v>1190</v>
      </c>
      <c r="E279">
        <v>115.5</v>
      </c>
      <c r="F279" t="s">
        <v>1191</v>
      </c>
    </row>
    <row r="280" spans="1:6" x14ac:dyDescent="0.2">
      <c r="A280">
        <v>378</v>
      </c>
      <c r="B280" t="s">
        <v>58</v>
      </c>
      <c r="C280" t="s">
        <v>1192</v>
      </c>
      <c r="D280" t="s">
        <v>1193</v>
      </c>
      <c r="E280">
        <v>0</v>
      </c>
      <c r="F280" t="s">
        <v>1194</v>
      </c>
    </row>
    <row r="281" spans="1:6" x14ac:dyDescent="0.2">
      <c r="A281">
        <v>390</v>
      </c>
      <c r="B281" t="s">
        <v>58</v>
      </c>
      <c r="C281" t="s">
        <v>1228</v>
      </c>
      <c r="D281" t="s">
        <v>1229</v>
      </c>
      <c r="E281" s="70">
        <v>6405</v>
      </c>
      <c r="F281" t="s">
        <v>1230</v>
      </c>
    </row>
    <row r="282" spans="1:6" x14ac:dyDescent="0.2">
      <c r="A282">
        <v>392</v>
      </c>
      <c r="B282" t="s">
        <v>58</v>
      </c>
      <c r="C282" t="s">
        <v>1234</v>
      </c>
      <c r="D282" t="s">
        <v>1235</v>
      </c>
      <c r="E282" s="70">
        <v>6405</v>
      </c>
      <c r="F282" t="s">
        <v>1236</v>
      </c>
    </row>
    <row r="283" spans="1:6" x14ac:dyDescent="0.2">
      <c r="A283">
        <v>386</v>
      </c>
      <c r="B283" t="s">
        <v>58</v>
      </c>
      <c r="C283" t="s">
        <v>1216</v>
      </c>
      <c r="D283" t="s">
        <v>1217</v>
      </c>
      <c r="E283">
        <v>4</v>
      </c>
      <c r="F283" t="s">
        <v>1218</v>
      </c>
    </row>
    <row r="284" spans="1:6" x14ac:dyDescent="0.2">
      <c r="A284">
        <v>387</v>
      </c>
      <c r="B284" t="s">
        <v>58</v>
      </c>
      <c r="C284" t="s">
        <v>1219</v>
      </c>
      <c r="D284" t="s">
        <v>1220</v>
      </c>
      <c r="E284">
        <v>152.5</v>
      </c>
      <c r="F284" t="s">
        <v>1221</v>
      </c>
    </row>
    <row r="285" spans="1:6" x14ac:dyDescent="0.2">
      <c r="A285">
        <v>388</v>
      </c>
      <c r="B285" t="s">
        <v>58</v>
      </c>
      <c r="C285" t="s">
        <v>1222</v>
      </c>
      <c r="D285" t="s">
        <v>1223</v>
      </c>
      <c r="E285">
        <v>0</v>
      </c>
      <c r="F285" t="s">
        <v>1224</v>
      </c>
    </row>
    <row r="286" spans="1:6" x14ac:dyDescent="0.2">
      <c r="A286">
        <v>33</v>
      </c>
      <c r="B286" t="s">
        <v>58</v>
      </c>
      <c r="C286" t="s">
        <v>157</v>
      </c>
      <c r="D286" t="s">
        <v>158</v>
      </c>
      <c r="E286">
        <v>0</v>
      </c>
      <c r="F286" t="s">
        <v>159</v>
      </c>
    </row>
    <row r="287" spans="1:6" x14ac:dyDescent="0.2">
      <c r="A287">
        <v>39</v>
      </c>
      <c r="B287" t="s">
        <v>58</v>
      </c>
      <c r="C287" t="s">
        <v>175</v>
      </c>
      <c r="D287" t="s">
        <v>176</v>
      </c>
      <c r="E287">
        <v>0</v>
      </c>
      <c r="F287" t="s">
        <v>177</v>
      </c>
    </row>
    <row r="288" spans="1:6" x14ac:dyDescent="0.2">
      <c r="A288">
        <v>35</v>
      </c>
      <c r="B288" t="s">
        <v>58</v>
      </c>
      <c r="C288" t="s">
        <v>163</v>
      </c>
      <c r="D288" t="s">
        <v>164</v>
      </c>
      <c r="E288">
        <v>0</v>
      </c>
      <c r="F288" t="s">
        <v>165</v>
      </c>
    </row>
    <row r="289" spans="1:6" x14ac:dyDescent="0.2">
      <c r="A289">
        <v>41</v>
      </c>
      <c r="B289" t="s">
        <v>58</v>
      </c>
      <c r="C289" t="s">
        <v>181</v>
      </c>
      <c r="D289" t="s">
        <v>182</v>
      </c>
      <c r="E289">
        <v>0</v>
      </c>
      <c r="F289" t="s">
        <v>183</v>
      </c>
    </row>
    <row r="290" spans="1:6" x14ac:dyDescent="0.2">
      <c r="A290">
        <v>36</v>
      </c>
      <c r="B290" t="s">
        <v>58</v>
      </c>
      <c r="C290" t="s">
        <v>166</v>
      </c>
      <c r="D290" t="s">
        <v>167</v>
      </c>
      <c r="E290">
        <v>4.3655745685100555E-11</v>
      </c>
      <c r="F290" t="s">
        <v>168</v>
      </c>
    </row>
    <row r="291" spans="1:6" x14ac:dyDescent="0.2">
      <c r="A291">
        <v>42</v>
      </c>
      <c r="B291" t="s">
        <v>58</v>
      </c>
      <c r="C291" t="s">
        <v>184</v>
      </c>
      <c r="D291" t="s">
        <v>185</v>
      </c>
      <c r="E291">
        <v>4.3655745685100555E-11</v>
      </c>
      <c r="F291" t="s">
        <v>186</v>
      </c>
    </row>
    <row r="292" spans="1:6" x14ac:dyDescent="0.2">
      <c r="A292">
        <v>34</v>
      </c>
      <c r="B292" t="s">
        <v>58</v>
      </c>
      <c r="C292" t="s">
        <v>160</v>
      </c>
      <c r="D292" t="s">
        <v>161</v>
      </c>
      <c r="E292">
        <v>0</v>
      </c>
      <c r="F292" t="s">
        <v>162</v>
      </c>
    </row>
    <row r="293" spans="1:6" x14ac:dyDescent="0.2">
      <c r="A293">
        <v>40</v>
      </c>
      <c r="B293" t="s">
        <v>58</v>
      </c>
      <c r="C293" t="s">
        <v>178</v>
      </c>
      <c r="D293" t="s">
        <v>179</v>
      </c>
      <c r="E293">
        <v>0</v>
      </c>
      <c r="F293" t="s">
        <v>180</v>
      </c>
    </row>
    <row r="294" spans="1:6" x14ac:dyDescent="0.2">
      <c r="A294">
        <v>90</v>
      </c>
      <c r="B294" t="s">
        <v>58</v>
      </c>
      <c r="C294" t="s">
        <v>328</v>
      </c>
      <c r="D294" t="s">
        <v>329</v>
      </c>
      <c r="E294" s="70">
        <v>4923.75</v>
      </c>
      <c r="F294" t="s">
        <v>330</v>
      </c>
    </row>
    <row r="295" spans="1:6" x14ac:dyDescent="0.2">
      <c r="A295">
        <v>92</v>
      </c>
      <c r="B295" t="s">
        <v>58</v>
      </c>
      <c r="C295" t="s">
        <v>334</v>
      </c>
      <c r="D295" t="s">
        <v>335</v>
      </c>
      <c r="E295" s="70">
        <v>5139.63</v>
      </c>
      <c r="F295" t="s">
        <v>336</v>
      </c>
    </row>
    <row r="296" spans="1:6" x14ac:dyDescent="0.2">
      <c r="A296">
        <v>86</v>
      </c>
      <c r="B296" t="s">
        <v>58</v>
      </c>
      <c r="C296" t="s">
        <v>316</v>
      </c>
      <c r="D296" t="s">
        <v>317</v>
      </c>
      <c r="E296">
        <v>25</v>
      </c>
      <c r="F296" t="s">
        <v>318</v>
      </c>
    </row>
    <row r="297" spans="1:6" x14ac:dyDescent="0.2">
      <c r="A297">
        <v>87</v>
      </c>
      <c r="B297" t="s">
        <v>58</v>
      </c>
      <c r="C297" t="s">
        <v>319</v>
      </c>
      <c r="D297" t="s">
        <v>320</v>
      </c>
      <c r="E297">
        <v>160.75</v>
      </c>
      <c r="F297" t="s">
        <v>321</v>
      </c>
    </row>
    <row r="298" spans="1:6" x14ac:dyDescent="0.2">
      <c r="A298">
        <v>88</v>
      </c>
      <c r="B298" t="s">
        <v>58</v>
      </c>
      <c r="C298" t="s">
        <v>322</v>
      </c>
      <c r="D298" t="s">
        <v>323</v>
      </c>
      <c r="E298">
        <v>1</v>
      </c>
      <c r="F298" t="s">
        <v>324</v>
      </c>
    </row>
    <row r="299" spans="1:6" x14ac:dyDescent="0.2">
      <c r="A299">
        <v>110</v>
      </c>
      <c r="B299" t="s">
        <v>58</v>
      </c>
      <c r="C299" t="s">
        <v>388</v>
      </c>
      <c r="D299" t="s">
        <v>389</v>
      </c>
      <c r="E299" s="70">
        <v>24239.5</v>
      </c>
      <c r="F299" t="s">
        <v>390</v>
      </c>
    </row>
    <row r="300" spans="1:6" x14ac:dyDescent="0.2">
      <c r="A300">
        <v>112</v>
      </c>
      <c r="B300" t="s">
        <v>58</v>
      </c>
      <c r="C300" t="s">
        <v>394</v>
      </c>
      <c r="D300" t="s">
        <v>395</v>
      </c>
      <c r="E300" s="70">
        <v>25138.95</v>
      </c>
      <c r="F300" t="s">
        <v>396</v>
      </c>
    </row>
    <row r="301" spans="1:6" x14ac:dyDescent="0.2">
      <c r="A301">
        <v>106</v>
      </c>
      <c r="B301" t="s">
        <v>58</v>
      </c>
      <c r="C301" t="s">
        <v>376</v>
      </c>
      <c r="D301" t="s">
        <v>377</v>
      </c>
      <c r="E301">
        <v>83</v>
      </c>
      <c r="F301" t="s">
        <v>378</v>
      </c>
    </row>
    <row r="302" spans="1:6" x14ac:dyDescent="0.2">
      <c r="A302">
        <v>107</v>
      </c>
      <c r="B302" t="s">
        <v>58</v>
      </c>
      <c r="C302" t="s">
        <v>379</v>
      </c>
      <c r="D302" t="s">
        <v>380</v>
      </c>
      <c r="E302">
        <v>733.95</v>
      </c>
      <c r="F302" t="s">
        <v>381</v>
      </c>
    </row>
    <row r="303" spans="1:6" x14ac:dyDescent="0.2">
      <c r="A303">
        <v>108</v>
      </c>
      <c r="B303" t="s">
        <v>58</v>
      </c>
      <c r="C303" t="s">
        <v>382</v>
      </c>
      <c r="D303" t="s">
        <v>383</v>
      </c>
      <c r="E303">
        <v>2</v>
      </c>
      <c r="F303" t="s">
        <v>384</v>
      </c>
    </row>
    <row r="304" spans="1:6" x14ac:dyDescent="0.2">
      <c r="A304">
        <v>130</v>
      </c>
      <c r="B304" t="s">
        <v>58</v>
      </c>
      <c r="C304" t="s">
        <v>448</v>
      </c>
      <c r="D304" t="s">
        <v>449</v>
      </c>
      <c r="E304" s="70">
        <v>174</v>
      </c>
      <c r="F304" t="s">
        <v>450</v>
      </c>
    </row>
    <row r="305" spans="1:6" x14ac:dyDescent="0.2">
      <c r="A305">
        <v>132</v>
      </c>
      <c r="B305" t="s">
        <v>58</v>
      </c>
      <c r="C305" t="s">
        <v>454</v>
      </c>
      <c r="D305" t="s">
        <v>455</v>
      </c>
      <c r="E305" s="70">
        <v>180.9</v>
      </c>
      <c r="F305" t="s">
        <v>456</v>
      </c>
    </row>
    <row r="306" spans="1:6" x14ac:dyDescent="0.2">
      <c r="A306">
        <v>126</v>
      </c>
      <c r="B306" t="s">
        <v>58</v>
      </c>
      <c r="C306" t="s">
        <v>436</v>
      </c>
      <c r="D306" t="s">
        <v>437</v>
      </c>
      <c r="E306">
        <v>2</v>
      </c>
      <c r="F306" t="s">
        <v>438</v>
      </c>
    </row>
    <row r="307" spans="1:6" x14ac:dyDescent="0.2">
      <c r="A307">
        <v>127</v>
      </c>
      <c r="B307" t="s">
        <v>58</v>
      </c>
      <c r="C307" t="s">
        <v>439</v>
      </c>
      <c r="D307" t="s">
        <v>440</v>
      </c>
      <c r="E307">
        <v>6</v>
      </c>
      <c r="F307" t="s">
        <v>441</v>
      </c>
    </row>
    <row r="308" spans="1:6" x14ac:dyDescent="0.2">
      <c r="A308">
        <v>128</v>
      </c>
      <c r="B308" t="s">
        <v>58</v>
      </c>
      <c r="C308" t="s">
        <v>442</v>
      </c>
      <c r="D308" t="s">
        <v>443</v>
      </c>
      <c r="E308">
        <v>0</v>
      </c>
      <c r="F308" t="s">
        <v>444</v>
      </c>
    </row>
    <row r="309" spans="1:6" x14ac:dyDescent="0.2">
      <c r="A309">
        <v>150</v>
      </c>
      <c r="B309" t="s">
        <v>58</v>
      </c>
      <c r="C309" t="s">
        <v>508</v>
      </c>
      <c r="D309" t="s">
        <v>509</v>
      </c>
      <c r="E309" s="70">
        <v>332.5</v>
      </c>
      <c r="F309" t="s">
        <v>510</v>
      </c>
    </row>
    <row r="310" spans="1:6" x14ac:dyDescent="0.2">
      <c r="A310">
        <v>152</v>
      </c>
      <c r="B310" t="s">
        <v>58</v>
      </c>
      <c r="C310" t="s">
        <v>514</v>
      </c>
      <c r="D310" t="s">
        <v>515</v>
      </c>
      <c r="E310" s="70">
        <v>332.5</v>
      </c>
      <c r="F310" t="s">
        <v>516</v>
      </c>
    </row>
    <row r="311" spans="1:6" x14ac:dyDescent="0.2">
      <c r="A311">
        <v>146</v>
      </c>
      <c r="B311" t="s">
        <v>58</v>
      </c>
      <c r="C311" t="s">
        <v>496</v>
      </c>
      <c r="D311" t="s">
        <v>497</v>
      </c>
      <c r="E311">
        <v>1</v>
      </c>
      <c r="F311" t="s">
        <v>498</v>
      </c>
    </row>
    <row r="312" spans="1:6" x14ac:dyDescent="0.2">
      <c r="A312">
        <v>147</v>
      </c>
      <c r="B312" t="s">
        <v>58</v>
      </c>
      <c r="C312" t="s">
        <v>499</v>
      </c>
      <c r="D312" t="s">
        <v>500</v>
      </c>
      <c r="E312">
        <v>9.5</v>
      </c>
      <c r="F312" t="s">
        <v>501</v>
      </c>
    </row>
    <row r="313" spans="1:6" x14ac:dyDescent="0.2">
      <c r="A313">
        <v>148</v>
      </c>
      <c r="B313" t="s">
        <v>58</v>
      </c>
      <c r="C313" t="s">
        <v>502</v>
      </c>
      <c r="D313" t="s">
        <v>503</v>
      </c>
      <c r="E313">
        <v>0</v>
      </c>
      <c r="F313" t="s">
        <v>504</v>
      </c>
    </row>
    <row r="314" spans="1:6" x14ac:dyDescent="0.2">
      <c r="A314">
        <v>170</v>
      </c>
      <c r="B314" t="s">
        <v>58</v>
      </c>
      <c r="C314" t="s">
        <v>568</v>
      </c>
      <c r="D314" t="s">
        <v>569</v>
      </c>
      <c r="E314" s="70">
        <v>467.5</v>
      </c>
      <c r="F314" t="s">
        <v>570</v>
      </c>
    </row>
    <row r="315" spans="1:6" x14ac:dyDescent="0.2">
      <c r="A315">
        <v>172</v>
      </c>
      <c r="B315" t="s">
        <v>58</v>
      </c>
      <c r="C315" t="s">
        <v>574</v>
      </c>
      <c r="D315" t="s">
        <v>575</v>
      </c>
      <c r="E315" s="70">
        <v>467.5</v>
      </c>
      <c r="F315" t="s">
        <v>576</v>
      </c>
    </row>
    <row r="316" spans="1:6" x14ac:dyDescent="0.2">
      <c r="A316">
        <v>166</v>
      </c>
      <c r="B316" t="s">
        <v>58</v>
      </c>
      <c r="C316" t="s">
        <v>556</v>
      </c>
      <c r="D316" t="s">
        <v>557</v>
      </c>
      <c r="E316">
        <v>2</v>
      </c>
      <c r="F316" t="s">
        <v>558</v>
      </c>
    </row>
    <row r="317" spans="1:6" x14ac:dyDescent="0.2">
      <c r="A317">
        <v>167</v>
      </c>
      <c r="B317" t="s">
        <v>58</v>
      </c>
      <c r="C317" t="s">
        <v>559</v>
      </c>
      <c r="D317" t="s">
        <v>560</v>
      </c>
      <c r="E317">
        <v>11</v>
      </c>
      <c r="F317" t="s">
        <v>561</v>
      </c>
    </row>
    <row r="318" spans="1:6" x14ac:dyDescent="0.2">
      <c r="A318">
        <v>168</v>
      </c>
      <c r="B318" t="s">
        <v>58</v>
      </c>
      <c r="C318" t="s">
        <v>562</v>
      </c>
      <c r="D318" t="s">
        <v>563</v>
      </c>
      <c r="E318">
        <v>0</v>
      </c>
      <c r="F318" t="s">
        <v>564</v>
      </c>
    </row>
    <row r="319" spans="1:6" x14ac:dyDescent="0.2">
      <c r="A319">
        <v>190</v>
      </c>
      <c r="B319" t="s">
        <v>58</v>
      </c>
      <c r="C319" t="s">
        <v>628</v>
      </c>
      <c r="D319" t="s">
        <v>629</v>
      </c>
      <c r="E319" s="70">
        <v>287.5</v>
      </c>
      <c r="F319" t="s">
        <v>630</v>
      </c>
    </row>
    <row r="320" spans="1:6" x14ac:dyDescent="0.2">
      <c r="A320">
        <v>192</v>
      </c>
      <c r="B320" t="s">
        <v>58</v>
      </c>
      <c r="C320" t="s">
        <v>634</v>
      </c>
      <c r="D320" t="s">
        <v>635</v>
      </c>
      <c r="E320" s="70">
        <v>316.25</v>
      </c>
      <c r="F320" t="s">
        <v>636</v>
      </c>
    </row>
    <row r="321" spans="1:6" x14ac:dyDescent="0.2">
      <c r="A321">
        <v>186</v>
      </c>
      <c r="B321" t="s">
        <v>58</v>
      </c>
      <c r="C321" t="s">
        <v>616</v>
      </c>
      <c r="D321" t="s">
        <v>617</v>
      </c>
      <c r="E321">
        <v>1</v>
      </c>
      <c r="F321" t="s">
        <v>618</v>
      </c>
    </row>
    <row r="322" spans="1:6" x14ac:dyDescent="0.2">
      <c r="A322">
        <v>187</v>
      </c>
      <c r="B322" t="s">
        <v>58</v>
      </c>
      <c r="C322" t="s">
        <v>619</v>
      </c>
      <c r="D322" t="s">
        <v>620</v>
      </c>
      <c r="E322">
        <v>11.5</v>
      </c>
      <c r="F322" t="s">
        <v>621</v>
      </c>
    </row>
    <row r="323" spans="1:6" x14ac:dyDescent="0.2">
      <c r="A323">
        <v>188</v>
      </c>
      <c r="B323" t="s">
        <v>58</v>
      </c>
      <c r="C323" t="s">
        <v>622</v>
      </c>
      <c r="D323" t="s">
        <v>623</v>
      </c>
      <c r="E323">
        <v>0</v>
      </c>
      <c r="F323" t="s">
        <v>624</v>
      </c>
    </row>
    <row r="324" spans="1:6" x14ac:dyDescent="0.2">
      <c r="A324">
        <v>210</v>
      </c>
      <c r="B324" t="s">
        <v>58</v>
      </c>
      <c r="C324" t="s">
        <v>688</v>
      </c>
      <c r="D324" t="s">
        <v>689</v>
      </c>
      <c r="E324" s="70">
        <v>13156</v>
      </c>
      <c r="F324" t="s">
        <v>690</v>
      </c>
    </row>
    <row r="325" spans="1:6" x14ac:dyDescent="0.2">
      <c r="A325">
        <v>212</v>
      </c>
      <c r="B325" t="s">
        <v>58</v>
      </c>
      <c r="C325" t="s">
        <v>694</v>
      </c>
      <c r="D325" t="s">
        <v>695</v>
      </c>
      <c r="E325" s="70">
        <v>14471.6</v>
      </c>
      <c r="F325" t="s">
        <v>696</v>
      </c>
    </row>
    <row r="326" spans="1:6" x14ac:dyDescent="0.2">
      <c r="A326">
        <v>206</v>
      </c>
      <c r="B326" t="s">
        <v>58</v>
      </c>
      <c r="C326" t="s">
        <v>676</v>
      </c>
      <c r="D326" t="s">
        <v>677</v>
      </c>
      <c r="E326">
        <v>55</v>
      </c>
      <c r="F326" t="s">
        <v>678</v>
      </c>
    </row>
    <row r="327" spans="1:6" x14ac:dyDescent="0.2">
      <c r="A327">
        <v>207</v>
      </c>
      <c r="B327" t="s">
        <v>58</v>
      </c>
      <c r="C327" t="s">
        <v>679</v>
      </c>
      <c r="D327" t="s">
        <v>680</v>
      </c>
      <c r="E327">
        <v>513.25</v>
      </c>
      <c r="F327" t="s">
        <v>681</v>
      </c>
    </row>
    <row r="328" spans="1:6" x14ac:dyDescent="0.2">
      <c r="A328">
        <v>208</v>
      </c>
      <c r="B328" t="s">
        <v>58</v>
      </c>
      <c r="C328" t="s">
        <v>682</v>
      </c>
      <c r="D328" t="s">
        <v>683</v>
      </c>
      <c r="E328">
        <v>0</v>
      </c>
      <c r="F328" t="s">
        <v>684</v>
      </c>
    </row>
    <row r="329" spans="1:6" x14ac:dyDescent="0.2">
      <c r="A329">
        <v>230</v>
      </c>
      <c r="B329" t="s">
        <v>58</v>
      </c>
      <c r="C329" t="s">
        <v>748</v>
      </c>
      <c r="D329" t="s">
        <v>749</v>
      </c>
      <c r="E329" s="70">
        <v>19133.5</v>
      </c>
      <c r="F329" t="s">
        <v>750</v>
      </c>
    </row>
    <row r="330" spans="1:6" x14ac:dyDescent="0.2">
      <c r="A330">
        <v>232</v>
      </c>
      <c r="B330" t="s">
        <v>58</v>
      </c>
      <c r="C330" t="s">
        <v>754</v>
      </c>
      <c r="D330" t="s">
        <v>755</v>
      </c>
      <c r="E330" s="70">
        <v>19559.099999999999</v>
      </c>
      <c r="F330" t="s">
        <v>756</v>
      </c>
    </row>
    <row r="331" spans="1:6" x14ac:dyDescent="0.2">
      <c r="A331">
        <v>226</v>
      </c>
      <c r="B331" t="s">
        <v>58</v>
      </c>
      <c r="C331" t="s">
        <v>736</v>
      </c>
      <c r="D331" t="s">
        <v>737</v>
      </c>
      <c r="E331">
        <v>43</v>
      </c>
      <c r="F331" t="s">
        <v>738</v>
      </c>
    </row>
    <row r="332" spans="1:6" x14ac:dyDescent="0.2">
      <c r="A332">
        <v>227</v>
      </c>
      <c r="B332" t="s">
        <v>58</v>
      </c>
      <c r="C332" t="s">
        <v>739</v>
      </c>
      <c r="D332" t="s">
        <v>740</v>
      </c>
      <c r="E332">
        <v>546</v>
      </c>
      <c r="F332" t="s">
        <v>741</v>
      </c>
    </row>
    <row r="333" spans="1:6" x14ac:dyDescent="0.2">
      <c r="A333">
        <v>228</v>
      </c>
      <c r="B333" t="s">
        <v>58</v>
      </c>
      <c r="C333" t="s">
        <v>742</v>
      </c>
      <c r="D333" t="s">
        <v>743</v>
      </c>
      <c r="E333">
        <v>0</v>
      </c>
      <c r="F333" t="s">
        <v>744</v>
      </c>
    </row>
    <row r="334" spans="1:6" x14ac:dyDescent="0.2">
      <c r="A334">
        <v>250</v>
      </c>
      <c r="B334" t="s">
        <v>58</v>
      </c>
      <c r="C334" t="s">
        <v>808</v>
      </c>
      <c r="D334" t="s">
        <v>809</v>
      </c>
      <c r="E334" s="70">
        <v>240</v>
      </c>
      <c r="F334" t="s">
        <v>810</v>
      </c>
    </row>
    <row r="335" spans="1:6" x14ac:dyDescent="0.2">
      <c r="A335">
        <v>252</v>
      </c>
      <c r="B335" t="s">
        <v>58</v>
      </c>
      <c r="C335" t="s">
        <v>814</v>
      </c>
      <c r="D335" t="s">
        <v>815</v>
      </c>
      <c r="E335" s="70">
        <v>264</v>
      </c>
      <c r="F335" t="s">
        <v>816</v>
      </c>
    </row>
    <row r="336" spans="1:6" x14ac:dyDescent="0.2">
      <c r="A336">
        <v>246</v>
      </c>
      <c r="B336" t="s">
        <v>58</v>
      </c>
      <c r="C336" t="s">
        <v>796</v>
      </c>
      <c r="D336" t="s">
        <v>797</v>
      </c>
      <c r="E336">
        <v>3</v>
      </c>
      <c r="F336" t="s">
        <v>798</v>
      </c>
    </row>
    <row r="337" spans="1:6" x14ac:dyDescent="0.2">
      <c r="A337">
        <v>247</v>
      </c>
      <c r="B337" t="s">
        <v>58</v>
      </c>
      <c r="C337" t="s">
        <v>799</v>
      </c>
      <c r="D337" t="s">
        <v>800</v>
      </c>
      <c r="E337">
        <v>9</v>
      </c>
      <c r="F337" t="s">
        <v>801</v>
      </c>
    </row>
    <row r="338" spans="1:6" x14ac:dyDescent="0.2">
      <c r="A338">
        <v>248</v>
      </c>
      <c r="B338" t="s">
        <v>58</v>
      </c>
      <c r="C338" t="s">
        <v>802</v>
      </c>
      <c r="D338" t="s">
        <v>803</v>
      </c>
      <c r="E338">
        <v>0</v>
      </c>
      <c r="F338" t="s">
        <v>804</v>
      </c>
    </row>
    <row r="339" spans="1:6" x14ac:dyDescent="0.2">
      <c r="A339">
        <v>270</v>
      </c>
      <c r="B339" t="s">
        <v>58</v>
      </c>
      <c r="C339" t="s">
        <v>868</v>
      </c>
      <c r="D339" t="s">
        <v>869</v>
      </c>
      <c r="E339" s="70">
        <v>708.75</v>
      </c>
      <c r="F339" t="s">
        <v>870</v>
      </c>
    </row>
    <row r="340" spans="1:6" x14ac:dyDescent="0.2">
      <c r="A340">
        <v>272</v>
      </c>
      <c r="B340" t="s">
        <v>58</v>
      </c>
      <c r="C340" t="s">
        <v>874</v>
      </c>
      <c r="D340" t="s">
        <v>875</v>
      </c>
      <c r="E340" s="70">
        <v>708.75</v>
      </c>
      <c r="F340" t="s">
        <v>876</v>
      </c>
    </row>
    <row r="341" spans="1:6" x14ac:dyDescent="0.2">
      <c r="A341">
        <v>266</v>
      </c>
      <c r="B341" t="s">
        <v>58</v>
      </c>
      <c r="C341" t="s">
        <v>856</v>
      </c>
      <c r="D341" t="s">
        <v>857</v>
      </c>
      <c r="E341">
        <v>1</v>
      </c>
      <c r="F341" t="s">
        <v>858</v>
      </c>
    </row>
    <row r="342" spans="1:6" x14ac:dyDescent="0.2">
      <c r="A342">
        <v>267</v>
      </c>
      <c r="B342" t="s">
        <v>58</v>
      </c>
      <c r="C342" t="s">
        <v>859</v>
      </c>
      <c r="D342" t="s">
        <v>860</v>
      </c>
      <c r="E342">
        <v>20.25</v>
      </c>
      <c r="F342" t="s">
        <v>861</v>
      </c>
    </row>
    <row r="343" spans="1:6" x14ac:dyDescent="0.2">
      <c r="A343">
        <v>268</v>
      </c>
      <c r="B343" t="s">
        <v>58</v>
      </c>
      <c r="C343" t="s">
        <v>862</v>
      </c>
      <c r="D343" t="s">
        <v>863</v>
      </c>
      <c r="E343">
        <v>0</v>
      </c>
      <c r="F343" t="s">
        <v>864</v>
      </c>
    </row>
    <row r="344" spans="1:6" x14ac:dyDescent="0.2">
      <c r="A344">
        <v>290</v>
      </c>
      <c r="B344" t="s">
        <v>58</v>
      </c>
      <c r="C344" t="s">
        <v>928</v>
      </c>
      <c r="D344" t="s">
        <v>929</v>
      </c>
      <c r="E344" s="70">
        <v>2790</v>
      </c>
      <c r="F344" t="s">
        <v>930</v>
      </c>
    </row>
    <row r="345" spans="1:6" x14ac:dyDescent="0.2">
      <c r="A345">
        <v>292</v>
      </c>
      <c r="B345" t="s">
        <v>58</v>
      </c>
      <c r="C345" t="s">
        <v>934</v>
      </c>
      <c r="D345" t="s">
        <v>935</v>
      </c>
      <c r="E345" s="70">
        <v>2936.88</v>
      </c>
      <c r="F345" t="s">
        <v>936</v>
      </c>
    </row>
    <row r="346" spans="1:6" x14ac:dyDescent="0.2">
      <c r="A346">
        <v>286</v>
      </c>
      <c r="B346" t="s">
        <v>58</v>
      </c>
      <c r="C346" t="s">
        <v>916</v>
      </c>
      <c r="D346" t="s">
        <v>917</v>
      </c>
      <c r="E346">
        <v>11</v>
      </c>
      <c r="F346" t="s">
        <v>918</v>
      </c>
    </row>
    <row r="347" spans="1:6" x14ac:dyDescent="0.2">
      <c r="A347">
        <v>287</v>
      </c>
      <c r="B347" t="s">
        <v>58</v>
      </c>
      <c r="C347" t="s">
        <v>919</v>
      </c>
      <c r="D347" t="s">
        <v>920</v>
      </c>
      <c r="E347">
        <v>98.75</v>
      </c>
      <c r="F347" t="s">
        <v>921</v>
      </c>
    </row>
    <row r="348" spans="1:6" x14ac:dyDescent="0.2">
      <c r="A348">
        <v>288</v>
      </c>
      <c r="B348" t="s">
        <v>58</v>
      </c>
      <c r="C348" t="s">
        <v>922</v>
      </c>
      <c r="D348" t="s">
        <v>923</v>
      </c>
      <c r="E348">
        <v>0</v>
      </c>
      <c r="F348" t="s">
        <v>924</v>
      </c>
    </row>
    <row r="349" spans="1:6" x14ac:dyDescent="0.2">
      <c r="A349">
        <v>310</v>
      </c>
      <c r="B349" t="s">
        <v>58</v>
      </c>
      <c r="C349" t="s">
        <v>988</v>
      </c>
      <c r="D349" t="s">
        <v>989</v>
      </c>
      <c r="E349" s="70">
        <v>434.75</v>
      </c>
      <c r="F349" t="s">
        <v>990</v>
      </c>
    </row>
    <row r="350" spans="1:6" x14ac:dyDescent="0.2">
      <c r="A350">
        <v>312</v>
      </c>
      <c r="B350" t="s">
        <v>58</v>
      </c>
      <c r="C350" t="s">
        <v>994</v>
      </c>
      <c r="D350" t="s">
        <v>995</v>
      </c>
      <c r="E350" s="70">
        <v>478.23</v>
      </c>
      <c r="F350" t="s">
        <v>996</v>
      </c>
    </row>
    <row r="351" spans="1:6" x14ac:dyDescent="0.2">
      <c r="A351">
        <v>306</v>
      </c>
      <c r="B351" t="s">
        <v>58</v>
      </c>
      <c r="C351" t="s">
        <v>976</v>
      </c>
      <c r="D351" t="s">
        <v>977</v>
      </c>
      <c r="E351">
        <v>2</v>
      </c>
      <c r="F351" t="s">
        <v>978</v>
      </c>
    </row>
    <row r="352" spans="1:6" x14ac:dyDescent="0.2">
      <c r="A352">
        <v>307</v>
      </c>
      <c r="B352" t="s">
        <v>58</v>
      </c>
      <c r="C352" t="s">
        <v>979</v>
      </c>
      <c r="D352" t="s">
        <v>980</v>
      </c>
      <c r="E352">
        <v>18.5</v>
      </c>
      <c r="F352" t="s">
        <v>981</v>
      </c>
    </row>
    <row r="353" spans="1:6" x14ac:dyDescent="0.2">
      <c r="A353">
        <v>308</v>
      </c>
      <c r="B353" t="s">
        <v>58</v>
      </c>
      <c r="C353" t="s">
        <v>982</v>
      </c>
      <c r="D353" t="s">
        <v>983</v>
      </c>
      <c r="E353">
        <v>0</v>
      </c>
      <c r="F353" t="s">
        <v>984</v>
      </c>
    </row>
    <row r="354" spans="1:6" x14ac:dyDescent="0.2">
      <c r="A354">
        <v>330</v>
      </c>
      <c r="B354" t="s">
        <v>58</v>
      </c>
      <c r="C354" t="s">
        <v>1048</v>
      </c>
      <c r="D354" t="s">
        <v>1049</v>
      </c>
      <c r="E354" s="70">
        <v>323.75</v>
      </c>
      <c r="F354" t="s">
        <v>1050</v>
      </c>
    </row>
    <row r="355" spans="1:6" x14ac:dyDescent="0.2">
      <c r="A355">
        <v>332</v>
      </c>
      <c r="B355" t="s">
        <v>58</v>
      </c>
      <c r="C355" t="s">
        <v>1054</v>
      </c>
      <c r="D355" t="s">
        <v>1055</v>
      </c>
      <c r="E355" s="70">
        <v>323.75</v>
      </c>
      <c r="F355" t="s">
        <v>1056</v>
      </c>
    </row>
    <row r="356" spans="1:6" x14ac:dyDescent="0.2">
      <c r="A356">
        <v>326</v>
      </c>
      <c r="B356" t="s">
        <v>58</v>
      </c>
      <c r="C356" t="s">
        <v>1036</v>
      </c>
      <c r="D356" t="s">
        <v>1037</v>
      </c>
      <c r="E356">
        <v>1</v>
      </c>
      <c r="F356" t="s">
        <v>1038</v>
      </c>
    </row>
    <row r="357" spans="1:6" x14ac:dyDescent="0.2">
      <c r="A357">
        <v>327</v>
      </c>
      <c r="B357" t="s">
        <v>58</v>
      </c>
      <c r="C357" t="s">
        <v>1039</v>
      </c>
      <c r="D357" t="s">
        <v>1040</v>
      </c>
      <c r="E357">
        <v>9.25</v>
      </c>
      <c r="F357" t="s">
        <v>1041</v>
      </c>
    </row>
    <row r="358" spans="1:6" x14ac:dyDescent="0.2">
      <c r="A358">
        <v>328</v>
      </c>
      <c r="B358" t="s">
        <v>58</v>
      </c>
      <c r="C358" t="s">
        <v>1042</v>
      </c>
      <c r="D358" t="s">
        <v>1043</v>
      </c>
      <c r="E358">
        <v>0</v>
      </c>
      <c r="F358" t="s">
        <v>1044</v>
      </c>
    </row>
    <row r="359" spans="1:6" x14ac:dyDescent="0.2">
      <c r="A359">
        <v>32</v>
      </c>
      <c r="B359" t="s">
        <v>58</v>
      </c>
      <c r="C359" t="s">
        <v>154</v>
      </c>
      <c r="D359" t="s">
        <v>155</v>
      </c>
      <c r="E359">
        <v>0</v>
      </c>
      <c r="F359" t="s">
        <v>156</v>
      </c>
    </row>
    <row r="360" spans="1:6" x14ac:dyDescent="0.2">
      <c r="A360">
        <v>38</v>
      </c>
      <c r="B360" t="s">
        <v>58</v>
      </c>
      <c r="C360" t="s">
        <v>172</v>
      </c>
      <c r="D360" t="s">
        <v>173</v>
      </c>
      <c r="E360">
        <v>0</v>
      </c>
      <c r="F360" t="s">
        <v>174</v>
      </c>
    </row>
    <row r="361" spans="1:6" x14ac:dyDescent="0.2">
      <c r="A361">
        <v>12</v>
      </c>
      <c r="B361" t="s">
        <v>58</v>
      </c>
      <c r="C361" t="s">
        <v>94</v>
      </c>
      <c r="D361" t="s">
        <v>95</v>
      </c>
      <c r="E361">
        <v>230</v>
      </c>
      <c r="F361" t="s">
        <v>96</v>
      </c>
    </row>
    <row r="362" spans="1:6" x14ac:dyDescent="0.2">
      <c r="A362">
        <v>13</v>
      </c>
      <c r="B362" t="s">
        <v>58</v>
      </c>
      <c r="C362" t="s">
        <v>97</v>
      </c>
      <c r="D362" t="s">
        <v>98</v>
      </c>
      <c r="E362">
        <v>2147.6999999999998</v>
      </c>
      <c r="F362" t="s">
        <v>99</v>
      </c>
    </row>
    <row r="363" spans="1:6" x14ac:dyDescent="0.2">
      <c r="A363">
        <v>14</v>
      </c>
      <c r="B363" t="s">
        <v>58</v>
      </c>
      <c r="C363" t="s">
        <v>100</v>
      </c>
      <c r="D363" t="s">
        <v>101</v>
      </c>
      <c r="E363">
        <v>3</v>
      </c>
      <c r="F363" t="s">
        <v>102</v>
      </c>
    </row>
    <row r="364" spans="1:6" x14ac:dyDescent="0.2">
      <c r="A364">
        <v>16</v>
      </c>
      <c r="B364" t="s">
        <v>58</v>
      </c>
      <c r="C364" t="s">
        <v>106</v>
      </c>
      <c r="D364" t="s">
        <v>107</v>
      </c>
      <c r="E364" s="70">
        <v>67211.5</v>
      </c>
      <c r="F364" t="s">
        <v>108</v>
      </c>
    </row>
    <row r="365" spans="1:6" x14ac:dyDescent="0.2">
      <c r="A365">
        <v>18</v>
      </c>
      <c r="B365" t="s">
        <v>58</v>
      </c>
      <c r="C365" t="s">
        <v>112</v>
      </c>
      <c r="D365" t="s">
        <v>113</v>
      </c>
      <c r="E365" s="70">
        <v>70318.03</v>
      </c>
      <c r="F365" t="s">
        <v>114</v>
      </c>
    </row>
    <row r="366" spans="1:6" x14ac:dyDescent="0.2">
      <c r="A366">
        <v>19</v>
      </c>
      <c r="B366" t="s">
        <v>58</v>
      </c>
      <c r="C366" t="s">
        <v>115</v>
      </c>
      <c r="D366" t="s">
        <v>116</v>
      </c>
      <c r="E366" s="70">
        <v>3106.53</v>
      </c>
      <c r="F366" t="s">
        <v>117</v>
      </c>
    </row>
    <row r="367" spans="1:6" x14ac:dyDescent="0.2">
      <c r="A367">
        <v>21</v>
      </c>
      <c r="B367" t="s">
        <v>58</v>
      </c>
      <c r="C367" t="s">
        <v>121</v>
      </c>
      <c r="D367" t="s">
        <v>122</v>
      </c>
      <c r="E367">
        <v>-8.8817841970012523E-16</v>
      </c>
      <c r="F367" t="s">
        <v>123</v>
      </c>
    </row>
    <row r="368" spans="1:6" x14ac:dyDescent="0.2">
      <c r="A368">
        <v>22</v>
      </c>
      <c r="B368" t="s">
        <v>58</v>
      </c>
      <c r="C368" t="s">
        <v>124</v>
      </c>
      <c r="D368" t="s">
        <v>125</v>
      </c>
      <c r="E368">
        <v>230</v>
      </c>
      <c r="F368" t="s">
        <v>126</v>
      </c>
    </row>
    <row r="369" spans="1:6" x14ac:dyDescent="0.2">
      <c r="A369">
        <v>23</v>
      </c>
      <c r="B369" t="s">
        <v>58</v>
      </c>
      <c r="C369" t="s">
        <v>127</v>
      </c>
      <c r="D369" t="s">
        <v>128</v>
      </c>
      <c r="E369">
        <v>2147.6999999999998</v>
      </c>
      <c r="F369" t="s">
        <v>129</v>
      </c>
    </row>
    <row r="370" spans="1:6" x14ac:dyDescent="0.2">
      <c r="A370">
        <v>24</v>
      </c>
      <c r="B370" t="s">
        <v>58</v>
      </c>
      <c r="C370" t="s">
        <v>130</v>
      </c>
      <c r="D370" t="s">
        <v>131</v>
      </c>
      <c r="E370">
        <v>3</v>
      </c>
      <c r="F370" t="s">
        <v>132</v>
      </c>
    </row>
    <row r="371" spans="1:6" x14ac:dyDescent="0.2">
      <c r="A371">
        <v>26</v>
      </c>
      <c r="B371" t="s">
        <v>58</v>
      </c>
      <c r="C371" t="s">
        <v>136</v>
      </c>
      <c r="D371" t="s">
        <v>137</v>
      </c>
      <c r="E371" s="70">
        <v>67211.5</v>
      </c>
      <c r="F371" t="s">
        <v>138</v>
      </c>
    </row>
    <row r="372" spans="1:6" x14ac:dyDescent="0.2">
      <c r="A372">
        <v>28</v>
      </c>
      <c r="B372" t="s">
        <v>58</v>
      </c>
      <c r="C372" t="s">
        <v>142</v>
      </c>
      <c r="D372" t="s">
        <v>143</v>
      </c>
      <c r="E372" s="70">
        <v>70318.03</v>
      </c>
      <c r="F372" t="s">
        <v>144</v>
      </c>
    </row>
    <row r="373" spans="1:6" x14ac:dyDescent="0.2">
      <c r="A373">
        <v>29</v>
      </c>
      <c r="B373" t="s">
        <v>58</v>
      </c>
      <c r="C373" t="s">
        <v>145</v>
      </c>
      <c r="D373" t="s">
        <v>146</v>
      </c>
      <c r="E373" s="70">
        <v>3106.53</v>
      </c>
      <c r="F373" t="s">
        <v>147</v>
      </c>
    </row>
    <row r="374" spans="1:6" x14ac:dyDescent="0.2">
      <c r="A374">
        <v>31</v>
      </c>
      <c r="B374" t="s">
        <v>58</v>
      </c>
      <c r="C374" t="s">
        <v>151</v>
      </c>
      <c r="D374" t="s">
        <v>152</v>
      </c>
      <c r="E374">
        <v>2.55351295663786E-15</v>
      </c>
      <c r="F374" t="s">
        <v>153</v>
      </c>
    </row>
    <row r="375" spans="1:6" x14ac:dyDescent="0.2">
      <c r="A375">
        <v>70</v>
      </c>
      <c r="B375" t="s">
        <v>58</v>
      </c>
      <c r="C375" t="s">
        <v>268</v>
      </c>
      <c r="D375" t="s">
        <v>269</v>
      </c>
      <c r="E375" t="s">
        <v>16</v>
      </c>
      <c r="F375" t="s">
        <v>270</v>
      </c>
    </row>
    <row r="376" spans="1:6" x14ac:dyDescent="0.2">
      <c r="A376">
        <v>51</v>
      </c>
      <c r="B376" t="s">
        <v>58</v>
      </c>
      <c r="C376" t="s">
        <v>211</v>
      </c>
      <c r="D376" t="s">
        <v>212</v>
      </c>
      <c r="E376" t="s">
        <v>13</v>
      </c>
      <c r="F376" t="s">
        <v>213</v>
      </c>
    </row>
    <row r="377" spans="1:6" x14ac:dyDescent="0.2">
      <c r="A377">
        <v>71</v>
      </c>
      <c r="B377" t="s">
        <v>58</v>
      </c>
      <c r="C377" t="s">
        <v>271</v>
      </c>
      <c r="D377" t="s">
        <v>272</v>
      </c>
      <c r="E377" t="s">
        <v>15</v>
      </c>
      <c r="F377" t="s">
        <v>273</v>
      </c>
    </row>
    <row r="378" spans="1:6" x14ac:dyDescent="0.2">
      <c r="A378">
        <v>93</v>
      </c>
      <c r="B378" t="s">
        <v>58</v>
      </c>
      <c r="C378" t="s">
        <v>337</v>
      </c>
      <c r="D378" t="s">
        <v>338</v>
      </c>
      <c r="E378" s="70">
        <v>215.88</v>
      </c>
      <c r="F378" t="s">
        <v>339</v>
      </c>
    </row>
    <row r="379" spans="1:6" x14ac:dyDescent="0.2">
      <c r="A379">
        <v>113</v>
      </c>
      <c r="B379" t="s">
        <v>58</v>
      </c>
      <c r="C379" t="s">
        <v>397</v>
      </c>
      <c r="D379" t="s">
        <v>398</v>
      </c>
      <c r="E379" s="70">
        <v>899.45</v>
      </c>
      <c r="F379" t="s">
        <v>399</v>
      </c>
    </row>
    <row r="380" spans="1:6" x14ac:dyDescent="0.2">
      <c r="A380">
        <v>133</v>
      </c>
      <c r="B380" t="s">
        <v>58</v>
      </c>
      <c r="C380" t="s">
        <v>457</v>
      </c>
      <c r="D380" t="s">
        <v>458</v>
      </c>
      <c r="E380" s="70">
        <v>6.9</v>
      </c>
      <c r="F380" t="s">
        <v>459</v>
      </c>
    </row>
    <row r="381" spans="1:6" x14ac:dyDescent="0.2">
      <c r="A381">
        <v>153</v>
      </c>
      <c r="B381" t="s">
        <v>58</v>
      </c>
      <c r="C381" t="s">
        <v>517</v>
      </c>
      <c r="D381" t="s">
        <v>518</v>
      </c>
      <c r="E381" s="70">
        <v>0</v>
      </c>
      <c r="F381" t="s">
        <v>519</v>
      </c>
    </row>
    <row r="382" spans="1:6" x14ac:dyDescent="0.2">
      <c r="A382">
        <v>173</v>
      </c>
      <c r="B382" t="s">
        <v>58</v>
      </c>
      <c r="C382" t="s">
        <v>577</v>
      </c>
      <c r="D382" t="s">
        <v>578</v>
      </c>
      <c r="E382" s="70">
        <v>0</v>
      </c>
      <c r="F382" t="s">
        <v>579</v>
      </c>
    </row>
    <row r="383" spans="1:6" x14ac:dyDescent="0.2">
      <c r="A383">
        <v>193</v>
      </c>
      <c r="B383" t="s">
        <v>58</v>
      </c>
      <c r="C383" t="s">
        <v>637</v>
      </c>
      <c r="D383" t="s">
        <v>638</v>
      </c>
      <c r="E383" s="70">
        <v>28.75</v>
      </c>
      <c r="F383" t="s">
        <v>639</v>
      </c>
    </row>
    <row r="384" spans="1:6" x14ac:dyDescent="0.2">
      <c r="A384">
        <v>213</v>
      </c>
      <c r="B384" t="s">
        <v>58</v>
      </c>
      <c r="C384" t="s">
        <v>697</v>
      </c>
      <c r="D384" t="s">
        <v>698</v>
      </c>
      <c r="E384" s="70">
        <v>1315.6</v>
      </c>
      <c r="F384" t="s">
        <v>699</v>
      </c>
    </row>
    <row r="385" spans="1:6" x14ac:dyDescent="0.2">
      <c r="A385">
        <v>233</v>
      </c>
      <c r="B385" t="s">
        <v>58</v>
      </c>
      <c r="C385" t="s">
        <v>757</v>
      </c>
      <c r="D385" t="s">
        <v>758</v>
      </c>
      <c r="E385" s="70">
        <v>425.6</v>
      </c>
      <c r="F385" t="s">
        <v>759</v>
      </c>
    </row>
    <row r="386" spans="1:6" x14ac:dyDescent="0.2">
      <c r="A386">
        <v>253</v>
      </c>
      <c r="B386" t="s">
        <v>58</v>
      </c>
      <c r="C386" t="s">
        <v>817</v>
      </c>
      <c r="D386" t="s">
        <v>818</v>
      </c>
      <c r="E386" s="70">
        <v>24</v>
      </c>
      <c r="F386" t="s">
        <v>819</v>
      </c>
    </row>
    <row r="387" spans="1:6" x14ac:dyDescent="0.2">
      <c r="A387">
        <v>273</v>
      </c>
      <c r="B387" t="s">
        <v>58</v>
      </c>
      <c r="C387" t="s">
        <v>877</v>
      </c>
      <c r="D387" t="s">
        <v>878</v>
      </c>
      <c r="E387" s="70">
        <v>0</v>
      </c>
      <c r="F387" t="s">
        <v>879</v>
      </c>
    </row>
    <row r="388" spans="1:6" x14ac:dyDescent="0.2">
      <c r="A388">
        <v>293</v>
      </c>
      <c r="B388" t="s">
        <v>58</v>
      </c>
      <c r="C388" t="s">
        <v>937</v>
      </c>
      <c r="D388" t="s">
        <v>938</v>
      </c>
      <c r="E388" s="70">
        <v>146.88</v>
      </c>
      <c r="F388" t="s">
        <v>939</v>
      </c>
    </row>
    <row r="389" spans="1:6" x14ac:dyDescent="0.2">
      <c r="A389">
        <v>313</v>
      </c>
      <c r="B389" t="s">
        <v>58</v>
      </c>
      <c r="C389" t="s">
        <v>997</v>
      </c>
      <c r="D389" t="s">
        <v>998</v>
      </c>
      <c r="E389" s="70">
        <v>43.48</v>
      </c>
      <c r="F389" t="s">
        <v>999</v>
      </c>
    </row>
    <row r="390" spans="1:6" x14ac:dyDescent="0.2">
      <c r="A390">
        <v>333</v>
      </c>
      <c r="B390" t="s">
        <v>58</v>
      </c>
      <c r="C390" t="s">
        <v>1057</v>
      </c>
      <c r="D390" t="s">
        <v>1058</v>
      </c>
      <c r="E390" s="70">
        <v>0</v>
      </c>
      <c r="F390" t="s">
        <v>1059</v>
      </c>
    </row>
    <row r="391" spans="1:6" x14ac:dyDescent="0.2">
      <c r="A391">
        <v>72</v>
      </c>
      <c r="B391" t="s">
        <v>58</v>
      </c>
      <c r="C391" t="s">
        <v>274</v>
      </c>
      <c r="D391" t="s">
        <v>275</v>
      </c>
      <c r="E391" t="s">
        <v>16</v>
      </c>
      <c r="F391" t="s">
        <v>276</v>
      </c>
    </row>
    <row r="392" spans="1:6" x14ac:dyDescent="0.2">
      <c r="A392">
        <v>43</v>
      </c>
      <c r="B392" t="s">
        <v>58</v>
      </c>
      <c r="C392" t="s">
        <v>187</v>
      </c>
      <c r="D392" t="s">
        <v>188</v>
      </c>
      <c r="E392">
        <v>-3.637978807091713E-12</v>
      </c>
      <c r="F392" t="s">
        <v>189</v>
      </c>
    </row>
    <row r="393" spans="1:6" x14ac:dyDescent="0.2">
      <c r="A393">
        <v>73</v>
      </c>
      <c r="B393" t="s">
        <v>58</v>
      </c>
      <c r="C393" t="s">
        <v>277</v>
      </c>
      <c r="D393" t="s">
        <v>278</v>
      </c>
      <c r="E393" t="s">
        <v>17</v>
      </c>
      <c r="F393" t="s">
        <v>279</v>
      </c>
    </row>
    <row r="394" spans="1:6" x14ac:dyDescent="0.2">
      <c r="A394">
        <v>74</v>
      </c>
      <c r="B394" t="s">
        <v>58</v>
      </c>
      <c r="C394" t="s">
        <v>280</v>
      </c>
      <c r="D394" t="s">
        <v>281</v>
      </c>
      <c r="E394" t="s">
        <v>18</v>
      </c>
      <c r="F394" t="s">
        <v>282</v>
      </c>
    </row>
    <row r="395" spans="1:6" x14ac:dyDescent="0.2">
      <c r="A395">
        <v>75</v>
      </c>
      <c r="B395" t="s">
        <v>58</v>
      </c>
      <c r="C395" t="s">
        <v>283</v>
      </c>
      <c r="D395" t="s">
        <v>284</v>
      </c>
      <c r="E395" t="s">
        <v>19</v>
      </c>
      <c r="F395" t="s">
        <v>285</v>
      </c>
    </row>
  </sheetData>
  <autoFilter ref="A1:F395">
    <sortState ref="A2:F395">
      <sortCondition ref="F1:F395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tabColor rgb="FFFF0000"/>
    <pageSetUpPr fitToPage="1"/>
  </sheetPr>
  <dimension ref="A1:K251"/>
  <sheetViews>
    <sheetView zoomScale="175" zoomScaleNormal="175" workbookViewId="0">
      <selection activeCell="A2" sqref="A2"/>
    </sheetView>
  </sheetViews>
  <sheetFormatPr defaultColWidth="15.85546875" defaultRowHeight="20.100000000000001" customHeight="1" x14ac:dyDescent="0.2"/>
  <cols>
    <col min="1" max="1" width="15.85546875" style="1"/>
    <col min="2" max="2" width="21.140625" style="1" bestFit="1" customWidth="1"/>
    <col min="3" max="16384" width="15.85546875" style="1"/>
  </cols>
  <sheetData>
    <row r="1" spans="1:11" ht="20.100000000000001" customHeight="1" x14ac:dyDescent="0.2">
      <c r="A1" s="2" t="s">
        <v>2</v>
      </c>
      <c r="B1" s="2" t="s">
        <v>0</v>
      </c>
      <c r="C1" s="2" t="s">
        <v>3</v>
      </c>
      <c r="D1" s="2" t="s">
        <v>4</v>
      </c>
      <c r="E1" s="2" t="s">
        <v>5</v>
      </c>
      <c r="F1" s="2" t="s">
        <v>6</v>
      </c>
      <c r="G1" s="2" t="s">
        <v>7</v>
      </c>
      <c r="H1" s="2" t="s">
        <v>1246</v>
      </c>
      <c r="I1" s="1" t="s">
        <v>20</v>
      </c>
    </row>
    <row r="2" spans="1:11" s="5" customFormat="1" ht="20.100000000000001" customHeight="1" x14ac:dyDescent="0.2">
      <c r="A2" s="41" t="s">
        <v>25</v>
      </c>
      <c r="B2" s="42">
        <f>DATE(2013,5,13)</f>
        <v>41407</v>
      </c>
      <c r="C2" s="41">
        <v>4.75</v>
      </c>
      <c r="D2" s="41"/>
      <c r="E2" s="41">
        <v>35</v>
      </c>
      <c r="F2" s="41">
        <v>1</v>
      </c>
      <c r="G2" s="41">
        <f t="shared" ref="G2:G33" si="0">((C2+D2)*E2)*F2</f>
        <v>166.25</v>
      </c>
      <c r="H2" s="41" t="s">
        <v>44</v>
      </c>
      <c r="I2" s="5" t="s">
        <v>20</v>
      </c>
      <c r="K2" s="71"/>
    </row>
    <row r="3" spans="1:11" s="5" customFormat="1" ht="20.100000000000001" customHeight="1" x14ac:dyDescent="0.2">
      <c r="A3" s="41" t="s">
        <v>26</v>
      </c>
      <c r="B3" s="42">
        <f>DATE(2013,5,13)</f>
        <v>41407</v>
      </c>
      <c r="C3" s="41">
        <v>4.75</v>
      </c>
      <c r="D3" s="41"/>
      <c r="E3" s="41">
        <v>25</v>
      </c>
      <c r="F3" s="41">
        <v>1.1000000000000001</v>
      </c>
      <c r="G3" s="41">
        <f t="shared" si="0"/>
        <v>130.625</v>
      </c>
      <c r="H3" s="41" t="str">
        <f>H2</f>
        <v>Declaring Variables</v>
      </c>
      <c r="I3" s="5" t="s">
        <v>20</v>
      </c>
      <c r="K3" s="71"/>
    </row>
    <row r="4" spans="1:11" s="5" customFormat="1" ht="20.100000000000001" customHeight="1" x14ac:dyDescent="0.2">
      <c r="A4" s="41" t="s">
        <v>27</v>
      </c>
      <c r="B4" s="42">
        <f>DATE(2013,5,14)</f>
        <v>41408</v>
      </c>
      <c r="C4" s="41">
        <v>7.5</v>
      </c>
      <c r="D4" s="41"/>
      <c r="E4" s="41">
        <v>22</v>
      </c>
      <c r="F4" s="41">
        <v>1.1000000000000001</v>
      </c>
      <c r="G4" s="41">
        <f t="shared" si="0"/>
        <v>181.50000000000003</v>
      </c>
      <c r="H4" s="41" t="s">
        <v>44</v>
      </c>
      <c r="I4" s="5" t="s">
        <v>20</v>
      </c>
      <c r="K4" s="71"/>
    </row>
    <row r="5" spans="1:11" s="5" customFormat="1" ht="20.100000000000001" customHeight="1" x14ac:dyDescent="0.2">
      <c r="A5" s="41" t="s">
        <v>28</v>
      </c>
      <c r="B5" s="42">
        <f>DATE(2013,5,14)</f>
        <v>41408</v>
      </c>
      <c r="C5" s="41">
        <v>4</v>
      </c>
      <c r="D5" s="41">
        <v>1</v>
      </c>
      <c r="E5" s="41">
        <v>42</v>
      </c>
      <c r="F5" s="41">
        <v>1.1000000000000001</v>
      </c>
      <c r="G5" s="41">
        <f t="shared" si="0"/>
        <v>231.00000000000003</v>
      </c>
      <c r="H5" s="41" t="str">
        <f>H4</f>
        <v>Declaring Variables</v>
      </c>
      <c r="I5" s="5" t="s">
        <v>20</v>
      </c>
      <c r="K5" s="71"/>
    </row>
    <row r="6" spans="1:11" s="5" customFormat="1" ht="20.100000000000001" customHeight="1" x14ac:dyDescent="0.2">
      <c r="A6" s="41" t="s">
        <v>29</v>
      </c>
      <c r="B6" s="42">
        <f>DATE(2013,5,14)</f>
        <v>41408</v>
      </c>
      <c r="C6" s="41">
        <v>8</v>
      </c>
      <c r="D6" s="41"/>
      <c r="E6" s="41">
        <v>23</v>
      </c>
      <c r="F6" s="41">
        <v>1.1000000000000001</v>
      </c>
      <c r="G6" s="41">
        <f t="shared" si="0"/>
        <v>202.4</v>
      </c>
      <c r="H6" s="41" t="s">
        <v>44</v>
      </c>
      <c r="I6" s="5" t="s">
        <v>20</v>
      </c>
      <c r="K6" s="71"/>
    </row>
    <row r="7" spans="1:11" s="5" customFormat="1" ht="20.100000000000001" customHeight="1" x14ac:dyDescent="0.2">
      <c r="A7" s="41" t="s">
        <v>25</v>
      </c>
      <c r="B7" s="42">
        <f>DATE(2013,5,14)</f>
        <v>41408</v>
      </c>
      <c r="C7" s="41">
        <v>8.5</v>
      </c>
      <c r="D7" s="41"/>
      <c r="E7" s="41">
        <v>35</v>
      </c>
      <c r="F7" s="41">
        <v>1</v>
      </c>
      <c r="G7" s="41">
        <f t="shared" si="0"/>
        <v>297.5</v>
      </c>
      <c r="H7" s="41" t="s">
        <v>44</v>
      </c>
      <c r="I7" s="5" t="s">
        <v>20</v>
      </c>
      <c r="K7" s="71"/>
    </row>
    <row r="8" spans="1:11" s="5" customFormat="1" ht="20.100000000000001" customHeight="1" x14ac:dyDescent="0.2">
      <c r="A8" s="41" t="s">
        <v>26</v>
      </c>
      <c r="B8" s="42">
        <f>DATE(2013,5,14)</f>
        <v>41408</v>
      </c>
      <c r="C8" s="41">
        <v>8.5</v>
      </c>
      <c r="D8" s="41"/>
      <c r="E8" s="41">
        <v>25</v>
      </c>
      <c r="F8" s="41">
        <v>1.1000000000000001</v>
      </c>
      <c r="G8" s="41">
        <f t="shared" si="0"/>
        <v>233.75000000000003</v>
      </c>
      <c r="H8" s="41" t="str">
        <f>H7</f>
        <v>Declaring Variables</v>
      </c>
      <c r="I8" s="5" t="s">
        <v>20</v>
      </c>
      <c r="K8" s="71"/>
    </row>
    <row r="9" spans="1:11" s="5" customFormat="1" ht="20.100000000000001" customHeight="1" x14ac:dyDescent="0.2">
      <c r="A9" s="41" t="s">
        <v>29</v>
      </c>
      <c r="B9" s="42">
        <f t="shared" ref="B9:B14" si="1">DATE(2013,5,15)</f>
        <v>41409</v>
      </c>
      <c r="C9" s="41">
        <v>7.5</v>
      </c>
      <c r="D9" s="41"/>
      <c r="E9" s="41">
        <v>23</v>
      </c>
      <c r="F9" s="41">
        <v>1.1000000000000001</v>
      </c>
      <c r="G9" s="41">
        <f t="shared" si="0"/>
        <v>189.75000000000003</v>
      </c>
      <c r="H9" s="41" t="s">
        <v>44</v>
      </c>
      <c r="I9" s="5" t="s">
        <v>20</v>
      </c>
      <c r="K9" s="71"/>
    </row>
    <row r="10" spans="1:11" s="5" customFormat="1" ht="20.100000000000001" customHeight="1" x14ac:dyDescent="0.2">
      <c r="A10" s="41" t="s">
        <v>29</v>
      </c>
      <c r="B10" s="42">
        <f t="shared" si="1"/>
        <v>41409</v>
      </c>
      <c r="C10" s="41">
        <v>2.5</v>
      </c>
      <c r="D10" s="41"/>
      <c r="E10" s="41">
        <v>23</v>
      </c>
      <c r="F10" s="41">
        <v>1.1000000000000001</v>
      </c>
      <c r="G10" s="41">
        <f t="shared" si="0"/>
        <v>63.250000000000007</v>
      </c>
      <c r="H10" s="41" t="s">
        <v>45</v>
      </c>
      <c r="I10" s="5" t="s">
        <v>20</v>
      </c>
      <c r="K10" s="71"/>
    </row>
    <row r="11" spans="1:11" s="5" customFormat="1" ht="20.100000000000001" customHeight="1" x14ac:dyDescent="0.2">
      <c r="A11" s="41" t="s">
        <v>26</v>
      </c>
      <c r="B11" s="42">
        <f t="shared" si="1"/>
        <v>41409</v>
      </c>
      <c r="C11" s="41">
        <v>7.5</v>
      </c>
      <c r="D11" s="41"/>
      <c r="E11" s="41">
        <v>25</v>
      </c>
      <c r="F11" s="41">
        <v>1.1000000000000001</v>
      </c>
      <c r="G11" s="41">
        <f t="shared" si="0"/>
        <v>206.25000000000003</v>
      </c>
      <c r="H11" s="41" t="str">
        <f>H5</f>
        <v>Declaring Variables</v>
      </c>
      <c r="I11" s="5" t="s">
        <v>20</v>
      </c>
      <c r="K11" s="71"/>
    </row>
    <row r="12" spans="1:11" s="5" customFormat="1" ht="20.100000000000001" customHeight="1" x14ac:dyDescent="0.2">
      <c r="A12" s="41" t="s">
        <v>26</v>
      </c>
      <c r="B12" s="42">
        <f t="shared" si="1"/>
        <v>41409</v>
      </c>
      <c r="C12" s="41">
        <v>2.5</v>
      </c>
      <c r="D12" s="41"/>
      <c r="E12" s="41">
        <v>25</v>
      </c>
      <c r="F12" s="41">
        <v>1.1000000000000001</v>
      </c>
      <c r="G12" s="41">
        <f t="shared" si="0"/>
        <v>68.75</v>
      </c>
      <c r="H12" s="41" t="s">
        <v>45</v>
      </c>
      <c r="I12" s="5" t="s">
        <v>20</v>
      </c>
      <c r="K12" s="71"/>
    </row>
    <row r="13" spans="1:11" s="5" customFormat="1" ht="20.100000000000001" customHeight="1" x14ac:dyDescent="0.2">
      <c r="A13" s="41" t="s">
        <v>25</v>
      </c>
      <c r="B13" s="42">
        <f t="shared" si="1"/>
        <v>41409</v>
      </c>
      <c r="C13" s="41">
        <v>7.5</v>
      </c>
      <c r="D13" s="41"/>
      <c r="E13" s="41">
        <v>35</v>
      </c>
      <c r="F13" s="41">
        <v>1</v>
      </c>
      <c r="G13" s="41">
        <f t="shared" si="0"/>
        <v>262.5</v>
      </c>
      <c r="H13" s="41" t="str">
        <f>H7</f>
        <v>Declaring Variables</v>
      </c>
      <c r="I13" s="5" t="s">
        <v>20</v>
      </c>
      <c r="K13" s="71"/>
    </row>
    <row r="14" spans="1:11" s="5" customFormat="1" ht="20.100000000000001" customHeight="1" x14ac:dyDescent="0.2">
      <c r="A14" s="41" t="s">
        <v>25</v>
      </c>
      <c r="B14" s="42">
        <f t="shared" si="1"/>
        <v>41409</v>
      </c>
      <c r="C14" s="41">
        <v>2.5</v>
      </c>
      <c r="D14" s="41"/>
      <c r="E14" s="41">
        <v>35</v>
      </c>
      <c r="F14" s="41">
        <v>1</v>
      </c>
      <c r="G14" s="41">
        <f t="shared" si="0"/>
        <v>87.5</v>
      </c>
      <c r="H14" s="41" t="s">
        <v>45</v>
      </c>
      <c r="I14" s="5" t="s">
        <v>20</v>
      </c>
      <c r="K14" s="71"/>
    </row>
    <row r="15" spans="1:11" s="5" customFormat="1" ht="20.100000000000001" customHeight="1" x14ac:dyDescent="0.2">
      <c r="A15" s="41" t="s">
        <v>29</v>
      </c>
      <c r="B15" s="42">
        <f t="shared" ref="B15:B21" si="2">DATE(2013,5,16)</f>
        <v>41410</v>
      </c>
      <c r="C15" s="41">
        <v>3</v>
      </c>
      <c r="D15" s="41"/>
      <c r="E15" s="41">
        <v>23</v>
      </c>
      <c r="F15" s="41">
        <v>1.1000000000000001</v>
      </c>
      <c r="G15" s="41">
        <f t="shared" si="0"/>
        <v>75.900000000000006</v>
      </c>
      <c r="H15" s="41" t="str">
        <f>H8</f>
        <v>Declaring Variables</v>
      </c>
      <c r="I15" s="5" t="s">
        <v>20</v>
      </c>
      <c r="K15" s="71"/>
    </row>
    <row r="16" spans="1:11" s="5" customFormat="1" ht="20.100000000000001" customHeight="1" x14ac:dyDescent="0.2">
      <c r="A16" s="41" t="s">
        <v>29</v>
      </c>
      <c r="B16" s="42">
        <f t="shared" si="2"/>
        <v>41410</v>
      </c>
      <c r="C16" s="41">
        <v>3.5</v>
      </c>
      <c r="D16" s="41"/>
      <c r="E16" s="41">
        <v>23</v>
      </c>
      <c r="F16" s="41">
        <v>1.1000000000000001</v>
      </c>
      <c r="G16" s="41">
        <f t="shared" si="0"/>
        <v>88.550000000000011</v>
      </c>
      <c r="H16" s="41" t="s">
        <v>45</v>
      </c>
      <c r="I16" s="5" t="s">
        <v>20</v>
      </c>
      <c r="K16" s="71"/>
    </row>
    <row r="17" spans="1:11" s="5" customFormat="1" ht="20.100000000000001" customHeight="1" x14ac:dyDescent="0.2">
      <c r="A17" s="41" t="s">
        <v>29</v>
      </c>
      <c r="B17" s="42">
        <f t="shared" si="2"/>
        <v>41410</v>
      </c>
      <c r="C17" s="41">
        <v>3</v>
      </c>
      <c r="D17" s="41"/>
      <c r="E17" s="41">
        <v>23</v>
      </c>
      <c r="F17" s="41">
        <v>1.1000000000000001</v>
      </c>
      <c r="G17" s="41">
        <f t="shared" si="0"/>
        <v>75.900000000000006</v>
      </c>
      <c r="H17" s="41" t="s">
        <v>46</v>
      </c>
      <c r="I17" s="5" t="s">
        <v>20</v>
      </c>
      <c r="K17" s="71"/>
    </row>
    <row r="18" spans="1:11" s="5" customFormat="1" ht="20.100000000000001" customHeight="1" x14ac:dyDescent="0.2">
      <c r="A18" s="41" t="s">
        <v>26</v>
      </c>
      <c r="B18" s="42">
        <f t="shared" si="2"/>
        <v>41410</v>
      </c>
      <c r="C18" s="41">
        <v>10</v>
      </c>
      <c r="D18" s="41"/>
      <c r="E18" s="41">
        <v>25</v>
      </c>
      <c r="F18" s="41">
        <v>1.1000000000000001</v>
      </c>
      <c r="G18" s="41">
        <f t="shared" si="0"/>
        <v>275</v>
      </c>
      <c r="H18" s="41" t="s">
        <v>44</v>
      </c>
      <c r="I18" s="5" t="s">
        <v>20</v>
      </c>
      <c r="K18" s="71"/>
    </row>
    <row r="19" spans="1:11" s="5" customFormat="1" ht="20.100000000000001" customHeight="1" x14ac:dyDescent="0.2">
      <c r="A19" s="41" t="s">
        <v>25</v>
      </c>
      <c r="B19" s="42">
        <f t="shared" si="2"/>
        <v>41410</v>
      </c>
      <c r="C19" s="41">
        <v>3</v>
      </c>
      <c r="D19" s="41"/>
      <c r="E19" s="41">
        <v>35</v>
      </c>
      <c r="F19" s="41">
        <v>1</v>
      </c>
      <c r="G19" s="41">
        <f t="shared" si="0"/>
        <v>105</v>
      </c>
      <c r="H19" s="41" t="str">
        <f>H13</f>
        <v>Declaring Variables</v>
      </c>
      <c r="I19" s="5" t="s">
        <v>20</v>
      </c>
      <c r="K19" s="71"/>
    </row>
    <row r="20" spans="1:11" s="5" customFormat="1" ht="20.100000000000001" customHeight="1" x14ac:dyDescent="0.2">
      <c r="A20" s="41" t="s">
        <v>25</v>
      </c>
      <c r="B20" s="42">
        <f t="shared" si="2"/>
        <v>41410</v>
      </c>
      <c r="C20" s="41">
        <v>3.5</v>
      </c>
      <c r="D20" s="41"/>
      <c r="E20" s="41">
        <v>35</v>
      </c>
      <c r="F20" s="41">
        <v>1</v>
      </c>
      <c r="G20" s="41">
        <f t="shared" si="0"/>
        <v>122.5</v>
      </c>
      <c r="H20" s="41" t="s">
        <v>45</v>
      </c>
      <c r="I20" s="5" t="s">
        <v>20</v>
      </c>
      <c r="K20" s="71"/>
    </row>
    <row r="21" spans="1:11" s="5" customFormat="1" ht="20.100000000000001" customHeight="1" x14ac:dyDescent="0.2">
      <c r="A21" s="41" t="s">
        <v>25</v>
      </c>
      <c r="B21" s="42">
        <f t="shared" si="2"/>
        <v>41410</v>
      </c>
      <c r="C21" s="41">
        <v>3</v>
      </c>
      <c r="D21" s="41"/>
      <c r="E21" s="41">
        <v>35</v>
      </c>
      <c r="F21" s="41">
        <v>1</v>
      </c>
      <c r="G21" s="41">
        <f t="shared" si="0"/>
        <v>105</v>
      </c>
      <c r="H21" s="41" t="s">
        <v>46</v>
      </c>
      <c r="I21" s="5" t="s">
        <v>20</v>
      </c>
      <c r="K21" s="71"/>
    </row>
    <row r="22" spans="1:11" s="5" customFormat="1" ht="20.100000000000001" customHeight="1" x14ac:dyDescent="0.2">
      <c r="A22" s="41" t="s">
        <v>29</v>
      </c>
      <c r="B22" s="42">
        <f>DATE(2013,5,17)</f>
        <v>41411</v>
      </c>
      <c r="C22" s="41">
        <v>11.5</v>
      </c>
      <c r="D22" s="41"/>
      <c r="E22" s="41">
        <v>23</v>
      </c>
      <c r="F22" s="41">
        <v>1.1000000000000001</v>
      </c>
      <c r="G22" s="41">
        <f t="shared" si="0"/>
        <v>290.95000000000005</v>
      </c>
      <c r="H22" s="41" t="s">
        <v>44</v>
      </c>
      <c r="I22" s="5" t="s">
        <v>20</v>
      </c>
      <c r="K22" s="71"/>
    </row>
    <row r="23" spans="1:11" s="5" customFormat="1" ht="20.100000000000001" customHeight="1" x14ac:dyDescent="0.2">
      <c r="A23" s="41" t="s">
        <v>26</v>
      </c>
      <c r="B23" s="42">
        <f>DATE(2013,5,17)</f>
        <v>41411</v>
      </c>
      <c r="C23" s="41">
        <v>11.5</v>
      </c>
      <c r="D23" s="41"/>
      <c r="E23" s="41">
        <v>25</v>
      </c>
      <c r="F23" s="41">
        <v>1.1000000000000001</v>
      </c>
      <c r="G23" s="41">
        <f t="shared" si="0"/>
        <v>316.25</v>
      </c>
      <c r="H23" s="41" t="str">
        <f>H24</f>
        <v>Declaring Variables</v>
      </c>
      <c r="I23" s="5" t="s">
        <v>20</v>
      </c>
      <c r="K23" s="71"/>
    </row>
    <row r="24" spans="1:11" s="5" customFormat="1" ht="20.100000000000001" customHeight="1" x14ac:dyDescent="0.2">
      <c r="A24" s="41" t="s">
        <v>25</v>
      </c>
      <c r="B24" s="42">
        <f>DATE(2013,5,17)</f>
        <v>41411</v>
      </c>
      <c r="C24" s="41">
        <v>2</v>
      </c>
      <c r="D24" s="41"/>
      <c r="E24" s="41">
        <v>35</v>
      </c>
      <c r="F24" s="41">
        <v>1</v>
      </c>
      <c r="G24" s="41">
        <f t="shared" si="0"/>
        <v>70</v>
      </c>
      <c r="H24" s="41" t="str">
        <f>H19</f>
        <v>Declaring Variables</v>
      </c>
      <c r="I24" s="5" t="s">
        <v>20</v>
      </c>
      <c r="K24" s="71"/>
    </row>
    <row r="25" spans="1:11" s="5" customFormat="1" ht="20.100000000000001" customHeight="1" x14ac:dyDescent="0.2">
      <c r="A25" s="41" t="s">
        <v>25</v>
      </c>
      <c r="B25" s="42">
        <f>DATE(2013,5,17)</f>
        <v>41411</v>
      </c>
      <c r="C25" s="41">
        <v>9.5</v>
      </c>
      <c r="D25" s="41"/>
      <c r="E25" s="41">
        <v>35</v>
      </c>
      <c r="F25" s="41">
        <v>1</v>
      </c>
      <c r="G25" s="41">
        <f t="shared" si="0"/>
        <v>332.5</v>
      </c>
      <c r="H25" s="41" t="s">
        <v>47</v>
      </c>
      <c r="I25" s="5" t="s">
        <v>20</v>
      </c>
      <c r="K25" s="71"/>
    </row>
    <row r="26" spans="1:11" s="5" customFormat="1" ht="20.100000000000001" customHeight="1" x14ac:dyDescent="0.2">
      <c r="A26" s="41" t="s">
        <v>25</v>
      </c>
      <c r="B26" s="42">
        <f>DATE(2013,5,21)</f>
        <v>41415</v>
      </c>
      <c r="C26" s="41">
        <v>7</v>
      </c>
      <c r="D26" s="41"/>
      <c r="E26" s="41">
        <v>35</v>
      </c>
      <c r="F26" s="41">
        <v>1</v>
      </c>
      <c r="G26" s="41">
        <f t="shared" si="0"/>
        <v>245</v>
      </c>
      <c r="H26" s="41" t="str">
        <f>H13</f>
        <v>Declaring Variables</v>
      </c>
      <c r="I26" s="5" t="s">
        <v>20</v>
      </c>
      <c r="K26" s="71"/>
    </row>
    <row r="27" spans="1:11" s="5" customFormat="1" ht="20.100000000000001" customHeight="1" x14ac:dyDescent="0.2">
      <c r="A27" s="41" t="s">
        <v>25</v>
      </c>
      <c r="B27" s="42">
        <f>DATE(2013,5,21)</f>
        <v>41415</v>
      </c>
      <c r="C27" s="41">
        <v>5</v>
      </c>
      <c r="D27" s="41"/>
      <c r="E27" s="41">
        <v>35</v>
      </c>
      <c r="F27" s="41">
        <v>1</v>
      </c>
      <c r="G27" s="41">
        <f t="shared" si="0"/>
        <v>175</v>
      </c>
      <c r="H27" s="41" t="s">
        <v>45</v>
      </c>
      <c r="I27" s="5" t="s">
        <v>20</v>
      </c>
    </row>
    <row r="28" spans="1:11" s="5" customFormat="1" ht="20.100000000000001" customHeight="1" x14ac:dyDescent="0.2">
      <c r="A28" s="41" t="s">
        <v>26</v>
      </c>
      <c r="B28" s="42">
        <f>DATE(2013,5,22)</f>
        <v>41416</v>
      </c>
      <c r="C28" s="41">
        <v>1.5</v>
      </c>
      <c r="D28" s="41"/>
      <c r="E28" s="41">
        <v>25</v>
      </c>
      <c r="F28" s="41">
        <v>1.1000000000000001</v>
      </c>
      <c r="G28" s="41">
        <f t="shared" si="0"/>
        <v>41.25</v>
      </c>
      <c r="H28" s="41" t="s">
        <v>44</v>
      </c>
      <c r="I28" s="5" t="s">
        <v>20</v>
      </c>
    </row>
    <row r="29" spans="1:11" s="5" customFormat="1" ht="20.100000000000001" customHeight="1" x14ac:dyDescent="0.2">
      <c r="A29" s="41" t="s">
        <v>26</v>
      </c>
      <c r="B29" s="42">
        <f>DATE(2013,5,22)</f>
        <v>41416</v>
      </c>
      <c r="C29" s="41">
        <v>3.5</v>
      </c>
      <c r="D29" s="41"/>
      <c r="E29" s="41">
        <v>25</v>
      </c>
      <c r="F29" s="41">
        <v>1.1000000000000001</v>
      </c>
      <c r="G29" s="41">
        <f t="shared" si="0"/>
        <v>96.250000000000014</v>
      </c>
      <c r="H29" s="41" t="s">
        <v>45</v>
      </c>
      <c r="I29" s="5" t="s">
        <v>20</v>
      </c>
    </row>
    <row r="30" spans="1:11" s="5" customFormat="1" ht="20.100000000000001" customHeight="1" x14ac:dyDescent="0.2">
      <c r="A30" s="41" t="s">
        <v>25</v>
      </c>
      <c r="B30" s="42">
        <f>DATE(2013,5,22)</f>
        <v>41416</v>
      </c>
      <c r="C30" s="41">
        <v>1.5</v>
      </c>
      <c r="D30" s="41"/>
      <c r="E30" s="41">
        <v>35</v>
      </c>
      <c r="F30" s="41">
        <v>1</v>
      </c>
      <c r="G30" s="41">
        <f t="shared" si="0"/>
        <v>52.5</v>
      </c>
      <c r="H30" s="41" t="s">
        <v>44</v>
      </c>
      <c r="I30" s="5" t="s">
        <v>20</v>
      </c>
    </row>
    <row r="31" spans="1:11" s="5" customFormat="1" ht="20.100000000000001" customHeight="1" x14ac:dyDescent="0.2">
      <c r="A31" s="41" t="s">
        <v>25</v>
      </c>
      <c r="B31" s="42">
        <f>DATE(2013,5,22)</f>
        <v>41416</v>
      </c>
      <c r="C31" s="41">
        <v>9</v>
      </c>
      <c r="D31" s="41"/>
      <c r="E31" s="41">
        <v>35</v>
      </c>
      <c r="F31" s="41">
        <v>1</v>
      </c>
      <c r="G31" s="41">
        <f t="shared" si="0"/>
        <v>315</v>
      </c>
      <c r="H31" s="41" t="str">
        <f>H28</f>
        <v>Declaring Variables</v>
      </c>
      <c r="I31" s="5" t="s">
        <v>20</v>
      </c>
    </row>
    <row r="32" spans="1:11" s="5" customFormat="1" ht="20.100000000000001" customHeight="1" x14ac:dyDescent="0.2">
      <c r="A32" s="41" t="s">
        <v>29</v>
      </c>
      <c r="B32" s="42">
        <f>DATE(2013,5,22)</f>
        <v>41416</v>
      </c>
      <c r="C32" s="41">
        <v>5</v>
      </c>
      <c r="D32" s="41"/>
      <c r="E32" s="41">
        <v>23</v>
      </c>
      <c r="F32" s="41">
        <v>1.1000000000000001</v>
      </c>
      <c r="G32" s="41">
        <f t="shared" si="0"/>
        <v>126.50000000000001</v>
      </c>
      <c r="H32" s="41" t="s">
        <v>45</v>
      </c>
      <c r="I32" s="5" t="s">
        <v>20</v>
      </c>
    </row>
    <row r="33" spans="1:9" s="5" customFormat="1" ht="20.100000000000001" customHeight="1" x14ac:dyDescent="0.2">
      <c r="A33" s="41" t="s">
        <v>25</v>
      </c>
      <c r="B33" s="42">
        <f>DATE(2013,5,23)</f>
        <v>41417</v>
      </c>
      <c r="C33" s="41">
        <v>11</v>
      </c>
      <c r="D33" s="41"/>
      <c r="E33" s="41">
        <v>35</v>
      </c>
      <c r="F33" s="41">
        <v>1</v>
      </c>
      <c r="G33" s="41">
        <f t="shared" si="0"/>
        <v>385</v>
      </c>
      <c r="H33" s="41" t="s">
        <v>45</v>
      </c>
      <c r="I33" s="5" t="s">
        <v>20</v>
      </c>
    </row>
    <row r="34" spans="1:9" s="5" customFormat="1" ht="20.100000000000001" customHeight="1" x14ac:dyDescent="0.2">
      <c r="A34" s="41" t="s">
        <v>30</v>
      </c>
      <c r="B34" s="42">
        <f>DATE(2013,5,23)</f>
        <v>41417</v>
      </c>
      <c r="C34" s="41">
        <v>9.5</v>
      </c>
      <c r="D34" s="41"/>
      <c r="E34" s="41">
        <v>50</v>
      </c>
      <c r="F34" s="41">
        <v>1</v>
      </c>
      <c r="G34" s="41">
        <f t="shared" ref="G34:G65" si="3">((C34+D34)*E34)*F34</f>
        <v>475</v>
      </c>
      <c r="H34" s="41" t="s">
        <v>45</v>
      </c>
      <c r="I34" s="5" t="s">
        <v>20</v>
      </c>
    </row>
    <row r="35" spans="1:9" s="5" customFormat="1" ht="20.100000000000001" customHeight="1" x14ac:dyDescent="0.2">
      <c r="A35" s="41" t="s">
        <v>31</v>
      </c>
      <c r="B35" s="42">
        <f>DATE(2013,5,23)</f>
        <v>41417</v>
      </c>
      <c r="C35" s="41">
        <v>9.5</v>
      </c>
      <c r="D35" s="41"/>
      <c r="E35" s="41">
        <v>50</v>
      </c>
      <c r="F35" s="41">
        <v>1</v>
      </c>
      <c r="G35" s="41">
        <f t="shared" si="3"/>
        <v>475</v>
      </c>
      <c r="H35" s="41" t="s">
        <v>45</v>
      </c>
      <c r="I35" s="5" t="s">
        <v>20</v>
      </c>
    </row>
    <row r="36" spans="1:9" s="5" customFormat="1" ht="20.100000000000001" customHeight="1" x14ac:dyDescent="0.2">
      <c r="A36" s="41" t="s">
        <v>32</v>
      </c>
      <c r="B36" s="42">
        <f>DATE(2013,5,23)</f>
        <v>41417</v>
      </c>
      <c r="C36" s="41">
        <v>9.5</v>
      </c>
      <c r="D36" s="41"/>
      <c r="E36" s="41">
        <v>40</v>
      </c>
      <c r="F36" s="41">
        <v>1</v>
      </c>
      <c r="G36" s="41">
        <f t="shared" si="3"/>
        <v>380</v>
      </c>
      <c r="H36" s="41" t="s">
        <v>45</v>
      </c>
      <c r="I36" s="5" t="s">
        <v>20</v>
      </c>
    </row>
    <row r="37" spans="1:9" s="5" customFormat="1" ht="20.100000000000001" customHeight="1" x14ac:dyDescent="0.2">
      <c r="A37" s="41" t="s">
        <v>25</v>
      </c>
      <c r="B37" s="42">
        <f t="shared" ref="B37:B44" si="4">DATE(2013,5,24)</f>
        <v>41418</v>
      </c>
      <c r="C37" s="41">
        <v>3.5</v>
      </c>
      <c r="D37" s="41"/>
      <c r="E37" s="41">
        <v>35</v>
      </c>
      <c r="F37" s="41">
        <v>1</v>
      </c>
      <c r="G37" s="41">
        <f t="shared" si="3"/>
        <v>122.5</v>
      </c>
      <c r="H37" s="41" t="str">
        <f>H29</f>
        <v>Assigning Variables</v>
      </c>
      <c r="I37" s="5" t="s">
        <v>20</v>
      </c>
    </row>
    <row r="38" spans="1:9" s="5" customFormat="1" ht="20.100000000000001" customHeight="1" x14ac:dyDescent="0.2">
      <c r="A38" s="41" t="s">
        <v>25</v>
      </c>
      <c r="B38" s="42">
        <f t="shared" si="4"/>
        <v>41418</v>
      </c>
      <c r="C38" s="41">
        <v>7</v>
      </c>
      <c r="D38" s="41"/>
      <c r="E38" s="41">
        <v>35</v>
      </c>
      <c r="F38" s="41">
        <v>1</v>
      </c>
      <c r="G38" s="41">
        <f t="shared" si="3"/>
        <v>245</v>
      </c>
      <c r="H38" s="41" t="str">
        <f>H33</f>
        <v>Assigning Variables</v>
      </c>
      <c r="I38" s="5" t="s">
        <v>20</v>
      </c>
    </row>
    <row r="39" spans="1:9" s="5" customFormat="1" ht="20.100000000000001" customHeight="1" x14ac:dyDescent="0.2">
      <c r="A39" s="41" t="s">
        <v>30</v>
      </c>
      <c r="B39" s="42">
        <f t="shared" si="4"/>
        <v>41418</v>
      </c>
      <c r="C39" s="41">
        <v>3.5</v>
      </c>
      <c r="D39" s="41"/>
      <c r="E39" s="41">
        <v>50</v>
      </c>
      <c r="F39" s="41">
        <v>1</v>
      </c>
      <c r="G39" s="41">
        <f t="shared" si="3"/>
        <v>175</v>
      </c>
      <c r="H39" s="41" t="s">
        <v>44</v>
      </c>
      <c r="I39" s="5" t="s">
        <v>20</v>
      </c>
    </row>
    <row r="40" spans="1:9" s="5" customFormat="1" ht="20.100000000000001" customHeight="1" x14ac:dyDescent="0.2">
      <c r="A40" s="41" t="s">
        <v>30</v>
      </c>
      <c r="B40" s="42">
        <f t="shared" si="4"/>
        <v>41418</v>
      </c>
      <c r="C40" s="41">
        <v>5.25</v>
      </c>
      <c r="D40" s="41"/>
      <c r="E40" s="41">
        <v>50</v>
      </c>
      <c r="F40" s="41">
        <v>1</v>
      </c>
      <c r="G40" s="41">
        <f t="shared" si="3"/>
        <v>262.5</v>
      </c>
      <c r="H40" s="41" t="str">
        <f>H35</f>
        <v>Assigning Variables</v>
      </c>
      <c r="I40" s="5" t="s">
        <v>20</v>
      </c>
    </row>
    <row r="41" spans="1:9" s="5" customFormat="1" ht="20.100000000000001" customHeight="1" x14ac:dyDescent="0.2">
      <c r="A41" s="41" t="s">
        <v>31</v>
      </c>
      <c r="B41" s="42">
        <f t="shared" si="4"/>
        <v>41418</v>
      </c>
      <c r="C41" s="41">
        <v>3.5</v>
      </c>
      <c r="D41" s="41"/>
      <c r="E41" s="41">
        <v>50</v>
      </c>
      <c r="F41" s="41">
        <v>1</v>
      </c>
      <c r="G41" s="41">
        <f t="shared" si="3"/>
        <v>175</v>
      </c>
      <c r="H41" s="41" t="s">
        <v>44</v>
      </c>
      <c r="I41" s="5" t="s">
        <v>20</v>
      </c>
    </row>
    <row r="42" spans="1:9" s="5" customFormat="1" ht="20.100000000000001" customHeight="1" x14ac:dyDescent="0.2">
      <c r="A42" s="41" t="s">
        <v>31</v>
      </c>
      <c r="B42" s="42">
        <f t="shared" si="4"/>
        <v>41418</v>
      </c>
      <c r="C42" s="41">
        <v>5.25</v>
      </c>
      <c r="D42" s="41"/>
      <c r="E42" s="41">
        <v>50</v>
      </c>
      <c r="F42" s="41">
        <v>1</v>
      </c>
      <c r="G42" s="41">
        <f t="shared" si="3"/>
        <v>262.5</v>
      </c>
      <c r="H42" s="41" t="s">
        <v>45</v>
      </c>
      <c r="I42" s="5" t="s">
        <v>20</v>
      </c>
    </row>
    <row r="43" spans="1:9" s="5" customFormat="1" ht="20.100000000000001" customHeight="1" x14ac:dyDescent="0.2">
      <c r="A43" s="41" t="s">
        <v>32</v>
      </c>
      <c r="B43" s="42">
        <f t="shared" si="4"/>
        <v>41418</v>
      </c>
      <c r="C43" s="41">
        <v>3.5</v>
      </c>
      <c r="D43" s="41"/>
      <c r="E43" s="41">
        <v>40</v>
      </c>
      <c r="F43" s="41">
        <v>1</v>
      </c>
      <c r="G43" s="41">
        <f t="shared" si="3"/>
        <v>140</v>
      </c>
      <c r="H43" s="41" t="s">
        <v>44</v>
      </c>
      <c r="I43" s="5" t="s">
        <v>20</v>
      </c>
    </row>
    <row r="44" spans="1:9" s="5" customFormat="1" ht="20.100000000000001" customHeight="1" x14ac:dyDescent="0.2">
      <c r="A44" s="41" t="s">
        <v>32</v>
      </c>
      <c r="B44" s="42">
        <f t="shared" si="4"/>
        <v>41418</v>
      </c>
      <c r="C44" s="41">
        <v>5.25</v>
      </c>
      <c r="D44" s="41"/>
      <c r="E44" s="41">
        <v>40</v>
      </c>
      <c r="F44" s="41">
        <v>1</v>
      </c>
      <c r="G44" s="41">
        <f t="shared" si="3"/>
        <v>210</v>
      </c>
      <c r="H44" s="41" t="s">
        <v>45</v>
      </c>
      <c r="I44" s="5" t="s">
        <v>20</v>
      </c>
    </row>
    <row r="45" spans="1:9" s="5" customFormat="1" ht="20.100000000000001" customHeight="1" x14ac:dyDescent="0.2">
      <c r="A45" s="41" t="s">
        <v>25</v>
      </c>
      <c r="B45" s="42">
        <f t="shared" ref="B45:B50" si="5">DATE(2013,5,27)</f>
        <v>41421</v>
      </c>
      <c r="C45" s="41">
        <v>4.5</v>
      </c>
      <c r="D45" s="41">
        <v>2</v>
      </c>
      <c r="E45" s="41">
        <v>35</v>
      </c>
      <c r="F45" s="41">
        <v>1</v>
      </c>
      <c r="G45" s="41">
        <f t="shared" si="3"/>
        <v>227.5</v>
      </c>
      <c r="H45" s="41" t="s">
        <v>45</v>
      </c>
      <c r="I45" s="5" t="s">
        <v>20</v>
      </c>
    </row>
    <row r="46" spans="1:9" s="5" customFormat="1" ht="20.100000000000001" customHeight="1" x14ac:dyDescent="0.2">
      <c r="A46" s="41" t="s">
        <v>25</v>
      </c>
      <c r="B46" s="42">
        <f t="shared" si="5"/>
        <v>41421</v>
      </c>
      <c r="C46" s="41">
        <v>5.5</v>
      </c>
      <c r="D46" s="41"/>
      <c r="E46" s="41">
        <v>35</v>
      </c>
      <c r="F46" s="41">
        <v>1</v>
      </c>
      <c r="G46" s="41">
        <f t="shared" si="3"/>
        <v>192.5</v>
      </c>
      <c r="H46" s="41" t="s">
        <v>48</v>
      </c>
      <c r="I46" s="5" t="s">
        <v>20</v>
      </c>
    </row>
    <row r="47" spans="1:9" s="5" customFormat="1" ht="20.100000000000001" customHeight="1" x14ac:dyDescent="0.2">
      <c r="A47" s="41" t="s">
        <v>30</v>
      </c>
      <c r="B47" s="42">
        <f t="shared" si="5"/>
        <v>41421</v>
      </c>
      <c r="C47" s="41">
        <v>5.5</v>
      </c>
      <c r="D47" s="41"/>
      <c r="E47" s="41">
        <v>50</v>
      </c>
      <c r="F47" s="41">
        <v>1</v>
      </c>
      <c r="G47" s="41">
        <f t="shared" si="3"/>
        <v>275</v>
      </c>
      <c r="H47" s="41" t="s">
        <v>48</v>
      </c>
      <c r="I47" s="5" t="s">
        <v>20</v>
      </c>
    </row>
    <row r="48" spans="1:9" s="5" customFormat="1" ht="20.100000000000001" customHeight="1" x14ac:dyDescent="0.2">
      <c r="A48" s="41" t="s">
        <v>30</v>
      </c>
      <c r="B48" s="42">
        <f t="shared" si="5"/>
        <v>41421</v>
      </c>
      <c r="C48" s="41">
        <v>3.75</v>
      </c>
      <c r="D48" s="41"/>
      <c r="E48" s="41">
        <v>50</v>
      </c>
      <c r="F48" s="41">
        <v>1</v>
      </c>
      <c r="G48" s="41">
        <f t="shared" si="3"/>
        <v>187.5</v>
      </c>
      <c r="H48" s="41" t="str">
        <f>H36</f>
        <v>Assigning Variables</v>
      </c>
      <c r="I48" s="5" t="s">
        <v>20</v>
      </c>
    </row>
    <row r="49" spans="1:9" s="5" customFormat="1" ht="20.100000000000001" customHeight="1" x14ac:dyDescent="0.2">
      <c r="A49" s="41" t="s">
        <v>31</v>
      </c>
      <c r="B49" s="42">
        <f t="shared" si="5"/>
        <v>41421</v>
      </c>
      <c r="C49" s="41">
        <v>9.25</v>
      </c>
      <c r="D49" s="41"/>
      <c r="E49" s="41">
        <v>50</v>
      </c>
      <c r="F49" s="41">
        <v>1</v>
      </c>
      <c r="G49" s="41">
        <f t="shared" si="3"/>
        <v>462.5</v>
      </c>
      <c r="H49" s="41" t="s">
        <v>45</v>
      </c>
      <c r="I49" s="5" t="s">
        <v>20</v>
      </c>
    </row>
    <row r="50" spans="1:9" s="5" customFormat="1" ht="20.100000000000001" customHeight="1" x14ac:dyDescent="0.2">
      <c r="A50" s="41" t="s">
        <v>32</v>
      </c>
      <c r="B50" s="42">
        <f t="shared" si="5"/>
        <v>41421</v>
      </c>
      <c r="C50" s="41">
        <v>9.25</v>
      </c>
      <c r="D50" s="41"/>
      <c r="E50" s="41">
        <v>40</v>
      </c>
      <c r="F50" s="41">
        <v>1</v>
      </c>
      <c r="G50" s="41">
        <f t="shared" si="3"/>
        <v>370</v>
      </c>
      <c r="H50" s="41" t="s">
        <v>45</v>
      </c>
      <c r="I50" s="5" t="s">
        <v>20</v>
      </c>
    </row>
    <row r="51" spans="1:9" s="5" customFormat="1" ht="20.100000000000001" customHeight="1" x14ac:dyDescent="0.2">
      <c r="A51" s="41" t="s">
        <v>25</v>
      </c>
      <c r="B51" s="42">
        <f>DATE(2013,5,28)</f>
        <v>41422</v>
      </c>
      <c r="C51" s="41">
        <v>8.25</v>
      </c>
      <c r="D51" s="41"/>
      <c r="E51" s="41">
        <v>35</v>
      </c>
      <c r="F51" s="41">
        <v>1</v>
      </c>
      <c r="G51" s="41">
        <f t="shared" si="3"/>
        <v>288.75</v>
      </c>
      <c r="H51" s="41" t="str">
        <f>H38</f>
        <v>Assigning Variables</v>
      </c>
      <c r="I51" s="5" t="s">
        <v>20</v>
      </c>
    </row>
    <row r="52" spans="1:9" s="5" customFormat="1" ht="20.100000000000001" customHeight="1" x14ac:dyDescent="0.2">
      <c r="A52" s="41" t="s">
        <v>25</v>
      </c>
      <c r="B52" s="42">
        <f>DATE(2013,5,28)</f>
        <v>41422</v>
      </c>
      <c r="C52" s="41">
        <v>2</v>
      </c>
      <c r="D52" s="41"/>
      <c r="E52" s="41">
        <v>35</v>
      </c>
      <c r="F52" s="41">
        <v>1</v>
      </c>
      <c r="G52" s="41">
        <f t="shared" si="3"/>
        <v>70</v>
      </c>
      <c r="H52" s="41" t="s">
        <v>44</v>
      </c>
      <c r="I52" s="5" t="s">
        <v>20</v>
      </c>
    </row>
    <row r="53" spans="1:9" s="5" customFormat="1" ht="20.100000000000001" customHeight="1" x14ac:dyDescent="0.2">
      <c r="A53" s="41" t="s">
        <v>30</v>
      </c>
      <c r="B53" s="42">
        <f>DATE(2013,5,28)</f>
        <v>41422</v>
      </c>
      <c r="C53" s="41">
        <v>10</v>
      </c>
      <c r="D53" s="41"/>
      <c r="E53" s="41">
        <v>50</v>
      </c>
      <c r="F53" s="41">
        <v>1</v>
      </c>
      <c r="G53" s="41">
        <f t="shared" si="3"/>
        <v>500</v>
      </c>
      <c r="H53" s="41" t="s">
        <v>45</v>
      </c>
      <c r="I53" s="5" t="s">
        <v>20</v>
      </c>
    </row>
    <row r="54" spans="1:9" s="5" customFormat="1" ht="20.100000000000001" customHeight="1" x14ac:dyDescent="0.2">
      <c r="A54" s="41" t="s">
        <v>31</v>
      </c>
      <c r="B54" s="42">
        <f>DATE(2013,5,28)</f>
        <v>41422</v>
      </c>
      <c r="C54" s="41">
        <v>10</v>
      </c>
      <c r="D54" s="41"/>
      <c r="E54" s="41">
        <v>50</v>
      </c>
      <c r="F54" s="41">
        <v>1</v>
      </c>
      <c r="G54" s="41">
        <f t="shared" si="3"/>
        <v>500</v>
      </c>
      <c r="H54" s="41" t="s">
        <v>45</v>
      </c>
      <c r="I54" s="5" t="s">
        <v>20</v>
      </c>
    </row>
    <row r="55" spans="1:9" s="5" customFormat="1" ht="20.100000000000001" customHeight="1" x14ac:dyDescent="0.2">
      <c r="A55" s="41" t="s">
        <v>32</v>
      </c>
      <c r="B55" s="42">
        <f>DATE(2013,5,28)</f>
        <v>41422</v>
      </c>
      <c r="C55" s="41">
        <v>10</v>
      </c>
      <c r="D55" s="41"/>
      <c r="E55" s="41">
        <v>40</v>
      </c>
      <c r="F55" s="41">
        <v>1</v>
      </c>
      <c r="G55" s="41">
        <f t="shared" si="3"/>
        <v>400</v>
      </c>
      <c r="H55" s="41" t="s">
        <v>45</v>
      </c>
      <c r="I55" s="5" t="s">
        <v>20</v>
      </c>
    </row>
    <row r="56" spans="1:9" s="5" customFormat="1" ht="20.100000000000001" customHeight="1" x14ac:dyDescent="0.2">
      <c r="A56" s="41" t="s">
        <v>25</v>
      </c>
      <c r="B56" s="42">
        <f t="shared" ref="B56:B61" si="6">DATE(2013,5,29)</f>
        <v>41423</v>
      </c>
      <c r="C56" s="41">
        <v>10.25</v>
      </c>
      <c r="D56" s="41"/>
      <c r="E56" s="41">
        <v>35</v>
      </c>
      <c r="F56" s="41">
        <v>1</v>
      </c>
      <c r="G56" s="41">
        <f t="shared" si="3"/>
        <v>358.75</v>
      </c>
      <c r="H56" s="41" t="str">
        <f>H51</f>
        <v>Assigning Variables</v>
      </c>
      <c r="I56" s="5" t="s">
        <v>20</v>
      </c>
    </row>
    <row r="57" spans="1:9" s="5" customFormat="1" ht="20.100000000000001" customHeight="1" x14ac:dyDescent="0.2">
      <c r="A57" s="41" t="s">
        <v>30</v>
      </c>
      <c r="B57" s="42">
        <f t="shared" si="6"/>
        <v>41423</v>
      </c>
      <c r="C57" s="41">
        <v>9.5</v>
      </c>
      <c r="D57" s="41"/>
      <c r="E57" s="41">
        <v>50</v>
      </c>
      <c r="F57" s="41">
        <v>1</v>
      </c>
      <c r="G57" s="41">
        <f t="shared" si="3"/>
        <v>475</v>
      </c>
      <c r="H57" s="41" t="s">
        <v>45</v>
      </c>
      <c r="I57" s="5" t="s">
        <v>20</v>
      </c>
    </row>
    <row r="58" spans="1:9" s="5" customFormat="1" ht="20.100000000000001" customHeight="1" x14ac:dyDescent="0.2">
      <c r="A58" s="41" t="s">
        <v>31</v>
      </c>
      <c r="B58" s="42">
        <f t="shared" si="6"/>
        <v>41423</v>
      </c>
      <c r="C58" s="41">
        <v>9.5</v>
      </c>
      <c r="D58" s="41"/>
      <c r="E58" s="41">
        <v>50</v>
      </c>
      <c r="F58" s="41">
        <v>1</v>
      </c>
      <c r="G58" s="41">
        <f t="shared" si="3"/>
        <v>475</v>
      </c>
      <c r="H58" s="41" t="s">
        <v>45</v>
      </c>
      <c r="I58" s="5" t="s">
        <v>20</v>
      </c>
    </row>
    <row r="59" spans="1:9" s="5" customFormat="1" ht="20.100000000000001" customHeight="1" x14ac:dyDescent="0.2">
      <c r="A59" s="41" t="s">
        <v>32</v>
      </c>
      <c r="B59" s="42">
        <f t="shared" si="6"/>
        <v>41423</v>
      </c>
      <c r="C59" s="41">
        <v>9.5</v>
      </c>
      <c r="D59" s="41"/>
      <c r="E59" s="41">
        <v>40</v>
      </c>
      <c r="F59" s="41">
        <v>1</v>
      </c>
      <c r="G59" s="41">
        <f t="shared" si="3"/>
        <v>380</v>
      </c>
      <c r="H59" s="41" t="s">
        <v>45</v>
      </c>
      <c r="I59" s="5" t="s">
        <v>20</v>
      </c>
    </row>
    <row r="60" spans="1:9" s="5" customFormat="1" ht="20.100000000000001" customHeight="1" x14ac:dyDescent="0.2">
      <c r="A60" s="41" t="s">
        <v>33</v>
      </c>
      <c r="B60" s="42">
        <f t="shared" si="6"/>
        <v>41423</v>
      </c>
      <c r="C60" s="41">
        <v>8.5</v>
      </c>
      <c r="D60" s="41"/>
      <c r="E60" s="41">
        <v>25</v>
      </c>
      <c r="F60" s="41">
        <v>1.1000000000000001</v>
      </c>
      <c r="G60" s="41">
        <f t="shared" si="3"/>
        <v>233.75000000000003</v>
      </c>
      <c r="H60" s="41" t="s">
        <v>45</v>
      </c>
      <c r="I60" s="5" t="s">
        <v>20</v>
      </c>
    </row>
    <row r="61" spans="1:9" s="5" customFormat="1" ht="20.100000000000001" customHeight="1" x14ac:dyDescent="0.2">
      <c r="A61" s="41" t="s">
        <v>34</v>
      </c>
      <c r="B61" s="42">
        <f t="shared" si="6"/>
        <v>41423</v>
      </c>
      <c r="C61" s="41">
        <v>8.5</v>
      </c>
      <c r="D61" s="41"/>
      <c r="E61" s="41">
        <v>15</v>
      </c>
      <c r="F61" s="41">
        <v>1.1000000000000001</v>
      </c>
      <c r="G61" s="41">
        <f t="shared" si="3"/>
        <v>140.25</v>
      </c>
      <c r="H61" s="41" t="s">
        <v>45</v>
      </c>
      <c r="I61" s="5" t="s">
        <v>20</v>
      </c>
    </row>
    <row r="62" spans="1:9" s="5" customFormat="1" ht="20.100000000000001" customHeight="1" x14ac:dyDescent="0.25">
      <c r="A62" s="41" t="s">
        <v>25</v>
      </c>
      <c r="B62" s="42">
        <f t="shared" ref="B62:B67" si="7">DATE(2013,5,30)</f>
        <v>41424</v>
      </c>
      <c r="C62" s="43">
        <v>9.5</v>
      </c>
      <c r="D62" s="41"/>
      <c r="E62" s="41">
        <v>35</v>
      </c>
      <c r="F62" s="41">
        <v>1</v>
      </c>
      <c r="G62" s="41">
        <f t="shared" si="3"/>
        <v>332.5</v>
      </c>
      <c r="H62" s="41" t="str">
        <f>H53</f>
        <v>Assigning Variables</v>
      </c>
      <c r="I62" s="5" t="s">
        <v>20</v>
      </c>
    </row>
    <row r="63" spans="1:9" s="5" customFormat="1" ht="20.100000000000001" customHeight="1" x14ac:dyDescent="0.25">
      <c r="A63" s="41" t="s">
        <v>30</v>
      </c>
      <c r="B63" s="42">
        <f t="shared" si="7"/>
        <v>41424</v>
      </c>
      <c r="C63" s="43">
        <v>14</v>
      </c>
      <c r="D63" s="41"/>
      <c r="E63" s="41">
        <v>50</v>
      </c>
      <c r="F63" s="41">
        <v>1</v>
      </c>
      <c r="G63" s="41">
        <f t="shared" si="3"/>
        <v>700</v>
      </c>
      <c r="H63" s="41" t="s">
        <v>45</v>
      </c>
      <c r="I63" s="5" t="s">
        <v>20</v>
      </c>
    </row>
    <row r="64" spans="1:9" s="5" customFormat="1" ht="20.100000000000001" customHeight="1" x14ac:dyDescent="0.25">
      <c r="A64" s="41" t="s">
        <v>31</v>
      </c>
      <c r="B64" s="42">
        <f t="shared" si="7"/>
        <v>41424</v>
      </c>
      <c r="C64" s="43">
        <v>5</v>
      </c>
      <c r="D64" s="41"/>
      <c r="E64" s="41">
        <v>50</v>
      </c>
      <c r="F64" s="41">
        <v>1</v>
      </c>
      <c r="G64" s="41">
        <f t="shared" si="3"/>
        <v>250</v>
      </c>
      <c r="H64" s="41" t="s">
        <v>45</v>
      </c>
      <c r="I64" s="5" t="s">
        <v>20</v>
      </c>
    </row>
    <row r="65" spans="1:9" s="5" customFormat="1" ht="20.100000000000001" customHeight="1" x14ac:dyDescent="0.25">
      <c r="A65" s="41" t="s">
        <v>32</v>
      </c>
      <c r="B65" s="42">
        <f t="shared" si="7"/>
        <v>41424</v>
      </c>
      <c r="C65" s="43">
        <v>5</v>
      </c>
      <c r="D65" s="41"/>
      <c r="E65" s="41">
        <v>40</v>
      </c>
      <c r="F65" s="41">
        <v>1</v>
      </c>
      <c r="G65" s="41">
        <f t="shared" si="3"/>
        <v>200</v>
      </c>
      <c r="H65" s="41" t="s">
        <v>45</v>
      </c>
      <c r="I65" s="5" t="s">
        <v>20</v>
      </c>
    </row>
    <row r="66" spans="1:9" s="5" customFormat="1" ht="20.100000000000001" customHeight="1" x14ac:dyDescent="0.25">
      <c r="A66" s="41" t="s">
        <v>33</v>
      </c>
      <c r="B66" s="42">
        <f t="shared" si="7"/>
        <v>41424</v>
      </c>
      <c r="C66" s="43">
        <v>8.5</v>
      </c>
      <c r="D66" s="41"/>
      <c r="E66" s="41">
        <v>25</v>
      </c>
      <c r="F66" s="41">
        <v>1.1000000000000001</v>
      </c>
      <c r="G66" s="41">
        <f t="shared" ref="G66" si="8">((C66+D66)*E66)*F66</f>
        <v>233.75000000000003</v>
      </c>
      <c r="H66" s="41" t="s">
        <v>45</v>
      </c>
      <c r="I66" s="5" t="s">
        <v>20</v>
      </c>
    </row>
    <row r="67" spans="1:9" s="5" customFormat="1" ht="20.100000000000001" customHeight="1" x14ac:dyDescent="0.25">
      <c r="A67" s="41" t="s">
        <v>34</v>
      </c>
      <c r="B67" s="42">
        <f t="shared" si="7"/>
        <v>41424</v>
      </c>
      <c r="C67" s="43">
        <v>8.5</v>
      </c>
      <c r="D67" s="41"/>
      <c r="E67" s="41">
        <v>15</v>
      </c>
      <c r="F67" s="41">
        <v>1.1000000000000001</v>
      </c>
      <c r="G67" s="41">
        <f t="shared" ref="G67:G130" si="9">((C67+D67)*E67)*F67</f>
        <v>140.25</v>
      </c>
      <c r="H67" s="41" t="s">
        <v>45</v>
      </c>
      <c r="I67" s="5" t="s">
        <v>20</v>
      </c>
    </row>
    <row r="68" spans="1:9" s="5" customFormat="1" ht="20.100000000000001" customHeight="1" x14ac:dyDescent="0.25">
      <c r="A68" s="41" t="s">
        <v>25</v>
      </c>
      <c r="B68" s="42">
        <f t="shared" ref="B68:B73" si="10">DATE(2013,5,31)</f>
        <v>41425</v>
      </c>
      <c r="C68" s="43">
        <v>9.5</v>
      </c>
      <c r="D68" s="41"/>
      <c r="E68" s="41">
        <v>35</v>
      </c>
      <c r="F68" s="41">
        <v>1</v>
      </c>
      <c r="G68" s="41">
        <f t="shared" si="9"/>
        <v>332.5</v>
      </c>
      <c r="H68" s="41" t="str">
        <f>H64</f>
        <v>Assigning Variables</v>
      </c>
      <c r="I68" s="5" t="s">
        <v>20</v>
      </c>
    </row>
    <row r="69" spans="1:9" s="5" customFormat="1" ht="20.100000000000001" customHeight="1" x14ac:dyDescent="0.25">
      <c r="A69" s="41" t="s">
        <v>30</v>
      </c>
      <c r="B69" s="42">
        <f t="shared" si="10"/>
        <v>41425</v>
      </c>
      <c r="C69" s="43">
        <v>19.2</v>
      </c>
      <c r="D69" s="41"/>
      <c r="E69" s="41">
        <v>50</v>
      </c>
      <c r="F69" s="41">
        <v>1</v>
      </c>
      <c r="G69" s="41">
        <f t="shared" si="9"/>
        <v>960</v>
      </c>
      <c r="H69" s="41" t="s">
        <v>45</v>
      </c>
      <c r="I69" s="5" t="s">
        <v>20</v>
      </c>
    </row>
    <row r="70" spans="1:9" s="5" customFormat="1" ht="20.100000000000001" customHeight="1" x14ac:dyDescent="0.2">
      <c r="A70" s="41" t="s">
        <v>31</v>
      </c>
      <c r="B70" s="42">
        <f t="shared" si="10"/>
        <v>41425</v>
      </c>
      <c r="C70" s="44">
        <v>8.75</v>
      </c>
      <c r="D70" s="41"/>
      <c r="E70" s="41">
        <v>50</v>
      </c>
      <c r="F70" s="41">
        <v>1</v>
      </c>
      <c r="G70" s="41">
        <f t="shared" si="9"/>
        <v>437.5</v>
      </c>
      <c r="H70" s="41" t="s">
        <v>45</v>
      </c>
      <c r="I70" s="5" t="s">
        <v>20</v>
      </c>
    </row>
    <row r="71" spans="1:9" s="5" customFormat="1" ht="20.100000000000001" customHeight="1" x14ac:dyDescent="0.2">
      <c r="A71" s="41" t="s">
        <v>32</v>
      </c>
      <c r="B71" s="42">
        <f t="shared" si="10"/>
        <v>41425</v>
      </c>
      <c r="C71" s="44">
        <v>2</v>
      </c>
      <c r="D71" s="41"/>
      <c r="E71" s="41">
        <v>40</v>
      </c>
      <c r="F71" s="41">
        <v>1</v>
      </c>
      <c r="G71" s="41">
        <f t="shared" si="9"/>
        <v>80</v>
      </c>
      <c r="H71" s="41" t="s">
        <v>45</v>
      </c>
      <c r="I71" s="5" t="s">
        <v>20</v>
      </c>
    </row>
    <row r="72" spans="1:9" s="5" customFormat="1" ht="20.100000000000001" customHeight="1" x14ac:dyDescent="0.2">
      <c r="A72" s="41" t="s">
        <v>33</v>
      </c>
      <c r="B72" s="42">
        <f t="shared" si="10"/>
        <v>41425</v>
      </c>
      <c r="C72" s="41">
        <v>7.5</v>
      </c>
      <c r="D72" s="41"/>
      <c r="E72" s="41">
        <v>25</v>
      </c>
      <c r="F72" s="41">
        <v>1.1000000000000001</v>
      </c>
      <c r="G72" s="41">
        <f t="shared" si="9"/>
        <v>206.25000000000003</v>
      </c>
      <c r="H72" s="41" t="s">
        <v>45</v>
      </c>
      <c r="I72" s="5" t="s">
        <v>20</v>
      </c>
    </row>
    <row r="73" spans="1:9" s="5" customFormat="1" ht="20.100000000000001" customHeight="1" x14ac:dyDescent="0.2">
      <c r="A73" s="41" t="s">
        <v>34</v>
      </c>
      <c r="B73" s="42">
        <f t="shared" si="10"/>
        <v>41425</v>
      </c>
      <c r="C73" s="41">
        <v>7.5</v>
      </c>
      <c r="D73" s="41"/>
      <c r="E73" s="41">
        <v>15</v>
      </c>
      <c r="F73" s="41">
        <v>1.1000000000000001</v>
      </c>
      <c r="G73" s="41">
        <f t="shared" si="9"/>
        <v>123.75000000000001</v>
      </c>
      <c r="H73" s="41" t="s">
        <v>45</v>
      </c>
      <c r="I73" s="5" t="s">
        <v>20</v>
      </c>
    </row>
    <row r="74" spans="1:9" s="5" customFormat="1" ht="20.100000000000001" customHeight="1" x14ac:dyDescent="0.2">
      <c r="A74" s="41" t="s">
        <v>35</v>
      </c>
      <c r="B74" s="42">
        <f>DATE(2013,6,1)</f>
        <v>41426</v>
      </c>
      <c r="C74" s="41">
        <v>10</v>
      </c>
      <c r="D74" s="41"/>
      <c r="E74" s="41">
        <v>15</v>
      </c>
      <c r="F74" s="41">
        <v>1.1000000000000001</v>
      </c>
      <c r="G74" s="41">
        <f t="shared" si="9"/>
        <v>165</v>
      </c>
      <c r="H74" s="41" t="str">
        <f>H73</f>
        <v>Assigning Variables</v>
      </c>
      <c r="I74" s="5" t="s">
        <v>20</v>
      </c>
    </row>
    <row r="75" spans="1:9" s="5" customFormat="1" ht="20.100000000000001" customHeight="1" x14ac:dyDescent="0.2">
      <c r="A75" s="41" t="s">
        <v>26</v>
      </c>
      <c r="B75" s="42">
        <f>DATE(2013,6,2)</f>
        <v>41427</v>
      </c>
      <c r="C75" s="41">
        <v>11.5</v>
      </c>
      <c r="D75" s="41"/>
      <c r="E75" s="41">
        <v>25</v>
      </c>
      <c r="F75" s="41">
        <v>1.1000000000000001</v>
      </c>
      <c r="G75" s="41">
        <f t="shared" si="9"/>
        <v>316.25</v>
      </c>
      <c r="H75" s="41" t="s">
        <v>50</v>
      </c>
      <c r="I75" s="5" t="s">
        <v>20</v>
      </c>
    </row>
    <row r="76" spans="1:9" s="5" customFormat="1" ht="20.100000000000001" customHeight="1" x14ac:dyDescent="0.2">
      <c r="A76" s="41" t="s">
        <v>29</v>
      </c>
      <c r="B76" s="42">
        <f>DATE(2013,6,3)</f>
        <v>41428</v>
      </c>
      <c r="C76" s="41">
        <v>12</v>
      </c>
      <c r="D76" s="41"/>
      <c r="E76" s="41">
        <v>23</v>
      </c>
      <c r="F76" s="41">
        <v>1.1000000000000001</v>
      </c>
      <c r="G76" s="41">
        <f t="shared" si="9"/>
        <v>303.60000000000002</v>
      </c>
      <c r="H76" s="41" t="s">
        <v>45</v>
      </c>
      <c r="I76" s="5" t="s">
        <v>20</v>
      </c>
    </row>
    <row r="77" spans="1:9" s="5" customFormat="1" ht="20.100000000000001" customHeight="1" x14ac:dyDescent="0.2">
      <c r="A77" s="41" t="s">
        <v>34</v>
      </c>
      <c r="B77" s="42">
        <f>DATE(2013,6,3)</f>
        <v>41428</v>
      </c>
      <c r="C77" s="41">
        <v>11.5</v>
      </c>
      <c r="D77" s="41"/>
      <c r="E77" s="41">
        <v>15</v>
      </c>
      <c r="F77" s="41">
        <v>1.1000000000000001</v>
      </c>
      <c r="G77" s="41">
        <f t="shared" si="9"/>
        <v>189.75000000000003</v>
      </c>
      <c r="H77" s="41" t="s">
        <v>45</v>
      </c>
      <c r="I77" s="5" t="s">
        <v>20</v>
      </c>
    </row>
    <row r="78" spans="1:9" s="5" customFormat="1" ht="20.100000000000001" customHeight="1" x14ac:dyDescent="0.2">
      <c r="A78" s="41" t="s">
        <v>29</v>
      </c>
      <c r="B78" s="42">
        <f t="shared" ref="B78:B83" si="11">DATE(2013,6,4)</f>
        <v>41429</v>
      </c>
      <c r="C78" s="41">
        <v>11.5</v>
      </c>
      <c r="D78" s="41"/>
      <c r="E78" s="41">
        <v>23</v>
      </c>
      <c r="F78" s="41">
        <v>1.1000000000000001</v>
      </c>
      <c r="G78" s="41">
        <f t="shared" si="9"/>
        <v>290.95000000000005</v>
      </c>
      <c r="H78" s="41" t="s">
        <v>45</v>
      </c>
      <c r="I78" s="5" t="s">
        <v>20</v>
      </c>
    </row>
    <row r="79" spans="1:9" s="5" customFormat="1" ht="20.100000000000001" customHeight="1" x14ac:dyDescent="0.2">
      <c r="A79" s="41" t="s">
        <v>26</v>
      </c>
      <c r="B79" s="42">
        <f t="shared" si="11"/>
        <v>41429</v>
      </c>
      <c r="C79" s="41">
        <v>9</v>
      </c>
      <c r="D79" s="41"/>
      <c r="E79" s="41">
        <v>25</v>
      </c>
      <c r="F79" s="41">
        <v>1.1000000000000001</v>
      </c>
      <c r="G79" s="41">
        <f t="shared" si="9"/>
        <v>247.50000000000003</v>
      </c>
      <c r="H79" s="41" t="s">
        <v>45</v>
      </c>
      <c r="I79" s="5" t="s">
        <v>20</v>
      </c>
    </row>
    <row r="80" spans="1:9" s="5" customFormat="1" ht="20.100000000000001" customHeight="1" x14ac:dyDescent="0.2">
      <c r="A80" s="41" t="s">
        <v>36</v>
      </c>
      <c r="B80" s="42">
        <f t="shared" si="11"/>
        <v>41429</v>
      </c>
      <c r="C80" s="41">
        <v>9</v>
      </c>
      <c r="D80" s="41"/>
      <c r="E80" s="41">
        <v>55</v>
      </c>
      <c r="F80" s="41">
        <v>1</v>
      </c>
      <c r="G80" s="41">
        <f t="shared" si="9"/>
        <v>495</v>
      </c>
      <c r="H80" s="41" t="s">
        <v>45</v>
      </c>
      <c r="I80" s="5" t="s">
        <v>20</v>
      </c>
    </row>
    <row r="81" spans="1:9" s="5" customFormat="1" ht="20.100000000000001" customHeight="1" x14ac:dyDescent="0.2">
      <c r="A81" s="41" t="s">
        <v>36</v>
      </c>
      <c r="B81" s="42">
        <f t="shared" si="11"/>
        <v>41429</v>
      </c>
      <c r="C81" s="41">
        <v>9</v>
      </c>
      <c r="D81" s="41"/>
      <c r="E81" s="41">
        <v>55</v>
      </c>
      <c r="F81" s="41">
        <v>1</v>
      </c>
      <c r="G81" s="41">
        <f t="shared" si="9"/>
        <v>495</v>
      </c>
      <c r="H81" s="41" t="s">
        <v>45</v>
      </c>
      <c r="I81" s="5" t="s">
        <v>20</v>
      </c>
    </row>
    <row r="82" spans="1:9" s="5" customFormat="1" ht="20.100000000000001" customHeight="1" x14ac:dyDescent="0.2">
      <c r="A82" s="41" t="s">
        <v>36</v>
      </c>
      <c r="B82" s="42">
        <f t="shared" si="11"/>
        <v>41429</v>
      </c>
      <c r="C82" s="41">
        <v>9</v>
      </c>
      <c r="D82" s="41"/>
      <c r="E82" s="41">
        <v>55</v>
      </c>
      <c r="F82" s="41">
        <v>1</v>
      </c>
      <c r="G82" s="41">
        <f t="shared" si="9"/>
        <v>495</v>
      </c>
      <c r="H82" s="41" t="s">
        <v>45</v>
      </c>
      <c r="I82" s="5" t="s">
        <v>20</v>
      </c>
    </row>
    <row r="83" spans="1:9" s="5" customFormat="1" ht="20.100000000000001" customHeight="1" x14ac:dyDescent="0.2">
      <c r="A83" s="41" t="str">
        <f>A77</f>
        <v>Faircloth, Juliana</v>
      </c>
      <c r="B83" s="42">
        <f t="shared" si="11"/>
        <v>41429</v>
      </c>
      <c r="C83" s="41">
        <v>8.5</v>
      </c>
      <c r="D83" s="41"/>
      <c r="E83" s="41">
        <v>15</v>
      </c>
      <c r="F83" s="41">
        <v>1.1000000000000001</v>
      </c>
      <c r="G83" s="41">
        <f t="shared" si="9"/>
        <v>140.25</v>
      </c>
      <c r="H83" s="41" t="s">
        <v>45</v>
      </c>
      <c r="I83" s="5" t="s">
        <v>20</v>
      </c>
    </row>
    <row r="84" spans="1:9" s="5" customFormat="1" ht="20.100000000000001" customHeight="1" x14ac:dyDescent="0.2">
      <c r="A84" s="41" t="s">
        <v>36</v>
      </c>
      <c r="B84" s="42">
        <f t="shared" ref="B84:B89" si="12">DATE(2013,6,5)</f>
        <v>41430</v>
      </c>
      <c r="C84" s="41">
        <v>8</v>
      </c>
      <c r="D84" s="41"/>
      <c r="E84" s="41">
        <v>55</v>
      </c>
      <c r="F84" s="41">
        <v>1</v>
      </c>
      <c r="G84" s="41">
        <f t="shared" si="9"/>
        <v>440</v>
      </c>
      <c r="H84" s="41" t="s">
        <v>45</v>
      </c>
      <c r="I84" s="5" t="s">
        <v>20</v>
      </c>
    </row>
    <row r="85" spans="1:9" s="5" customFormat="1" ht="20.100000000000001" customHeight="1" x14ac:dyDescent="0.2">
      <c r="A85" s="41" t="s">
        <v>36</v>
      </c>
      <c r="B85" s="42">
        <f t="shared" si="12"/>
        <v>41430</v>
      </c>
      <c r="C85" s="41">
        <v>8</v>
      </c>
      <c r="D85" s="41"/>
      <c r="E85" s="41">
        <v>55</v>
      </c>
      <c r="F85" s="41">
        <v>1</v>
      </c>
      <c r="G85" s="41">
        <f t="shared" si="9"/>
        <v>440</v>
      </c>
      <c r="H85" s="41" t="s">
        <v>45</v>
      </c>
      <c r="I85" s="5" t="s">
        <v>20</v>
      </c>
    </row>
    <row r="86" spans="1:9" s="5" customFormat="1" ht="20.100000000000001" customHeight="1" x14ac:dyDescent="0.2">
      <c r="A86" s="41" t="s">
        <v>36</v>
      </c>
      <c r="B86" s="42">
        <f t="shared" si="12"/>
        <v>41430</v>
      </c>
      <c r="C86" s="41">
        <v>8</v>
      </c>
      <c r="D86" s="41"/>
      <c r="E86" s="41">
        <v>55</v>
      </c>
      <c r="F86" s="41">
        <v>1</v>
      </c>
      <c r="G86" s="41">
        <f t="shared" si="9"/>
        <v>440</v>
      </c>
      <c r="H86" s="41" t="s">
        <v>45</v>
      </c>
      <c r="I86" s="5" t="s">
        <v>20</v>
      </c>
    </row>
    <row r="87" spans="1:9" s="5" customFormat="1" ht="20.100000000000001" customHeight="1" x14ac:dyDescent="0.2">
      <c r="A87" s="41" t="s">
        <v>26</v>
      </c>
      <c r="B87" s="42">
        <f t="shared" si="12"/>
        <v>41430</v>
      </c>
      <c r="C87" s="41">
        <v>8.5</v>
      </c>
      <c r="D87" s="41"/>
      <c r="E87" s="41">
        <v>25</v>
      </c>
      <c r="F87" s="41">
        <v>1.1000000000000001</v>
      </c>
      <c r="G87" s="41">
        <f t="shared" si="9"/>
        <v>233.75000000000003</v>
      </c>
      <c r="H87" s="41" t="s">
        <v>45</v>
      </c>
      <c r="I87" s="5" t="s">
        <v>20</v>
      </c>
    </row>
    <row r="88" spans="1:9" s="5" customFormat="1" ht="20.100000000000001" customHeight="1" x14ac:dyDescent="0.2">
      <c r="A88" s="41" t="s">
        <v>29</v>
      </c>
      <c r="B88" s="42">
        <f t="shared" si="12"/>
        <v>41430</v>
      </c>
      <c r="C88" s="41">
        <v>9.5</v>
      </c>
      <c r="D88" s="41"/>
      <c r="E88" s="41">
        <v>23</v>
      </c>
      <c r="F88" s="41">
        <v>1.1000000000000001</v>
      </c>
      <c r="G88" s="41">
        <f t="shared" si="9"/>
        <v>240.35000000000002</v>
      </c>
      <c r="H88" s="41" t="s">
        <v>45</v>
      </c>
      <c r="I88" s="5" t="s">
        <v>20</v>
      </c>
    </row>
    <row r="89" spans="1:9" s="5" customFormat="1" ht="20.100000000000001" customHeight="1" x14ac:dyDescent="0.2">
      <c r="A89" s="41" t="str">
        <f>A83</f>
        <v>Faircloth, Juliana</v>
      </c>
      <c r="B89" s="42">
        <f t="shared" si="12"/>
        <v>41430</v>
      </c>
      <c r="C89" s="41">
        <v>8.5</v>
      </c>
      <c r="D89" s="41"/>
      <c r="E89" s="41">
        <v>15</v>
      </c>
      <c r="F89" s="41">
        <v>1.1000000000000001</v>
      </c>
      <c r="G89" s="41">
        <f t="shared" si="9"/>
        <v>140.25</v>
      </c>
      <c r="H89" s="41" t="s">
        <v>45</v>
      </c>
      <c r="I89" s="5" t="s">
        <v>20</v>
      </c>
    </row>
    <row r="90" spans="1:9" s="5" customFormat="1" ht="20.100000000000001" customHeight="1" x14ac:dyDescent="0.2">
      <c r="A90" s="41" t="s">
        <v>29</v>
      </c>
      <c r="B90" s="42">
        <f>DATE(2013,6,6)</f>
        <v>41431</v>
      </c>
      <c r="C90" s="41">
        <v>4.5</v>
      </c>
      <c r="D90" s="41"/>
      <c r="E90" s="41">
        <v>23</v>
      </c>
      <c r="F90" s="41">
        <v>1.1000000000000001</v>
      </c>
      <c r="G90" s="41">
        <f t="shared" si="9"/>
        <v>113.85000000000001</v>
      </c>
      <c r="H90" s="41" t="s">
        <v>45</v>
      </c>
      <c r="I90" s="5" t="s">
        <v>20</v>
      </c>
    </row>
    <row r="91" spans="1:9" s="5" customFormat="1" ht="20.100000000000001" customHeight="1" x14ac:dyDescent="0.2">
      <c r="A91" s="41" t="s">
        <v>36</v>
      </c>
      <c r="B91" s="42">
        <f>DATE(2013,6,6)</f>
        <v>41431</v>
      </c>
      <c r="C91" s="41">
        <v>8</v>
      </c>
      <c r="D91" s="41"/>
      <c r="E91" s="41">
        <v>55</v>
      </c>
      <c r="F91" s="41">
        <v>1</v>
      </c>
      <c r="G91" s="41">
        <f t="shared" si="9"/>
        <v>440</v>
      </c>
      <c r="H91" s="41" t="s">
        <v>45</v>
      </c>
      <c r="I91" s="5" t="s">
        <v>20</v>
      </c>
    </row>
    <row r="92" spans="1:9" s="5" customFormat="1" ht="20.100000000000001" customHeight="1" x14ac:dyDescent="0.2">
      <c r="A92" s="41" t="s">
        <v>36</v>
      </c>
      <c r="B92" s="42">
        <f>DATE(2013,6,6)</f>
        <v>41431</v>
      </c>
      <c r="C92" s="41">
        <v>8</v>
      </c>
      <c r="D92" s="41"/>
      <c r="E92" s="41">
        <v>55</v>
      </c>
      <c r="F92" s="41">
        <v>1</v>
      </c>
      <c r="G92" s="41">
        <f t="shared" si="9"/>
        <v>440</v>
      </c>
      <c r="H92" s="41" t="s">
        <v>45</v>
      </c>
      <c r="I92" s="5" t="s">
        <v>20</v>
      </c>
    </row>
    <row r="93" spans="1:9" s="5" customFormat="1" ht="20.100000000000001" customHeight="1" x14ac:dyDescent="0.2">
      <c r="A93" s="41" t="s">
        <v>36</v>
      </c>
      <c r="B93" s="42">
        <f>DATE(2013,6,6)</f>
        <v>41431</v>
      </c>
      <c r="C93" s="41">
        <v>8</v>
      </c>
      <c r="D93" s="41"/>
      <c r="E93" s="41">
        <v>55</v>
      </c>
      <c r="F93" s="41">
        <v>1</v>
      </c>
      <c r="G93" s="41">
        <f t="shared" si="9"/>
        <v>440</v>
      </c>
      <c r="H93" s="41" t="s">
        <v>45</v>
      </c>
      <c r="I93" s="5" t="s">
        <v>20</v>
      </c>
    </row>
    <row r="94" spans="1:9" s="5" customFormat="1" ht="20.100000000000001" customHeight="1" x14ac:dyDescent="0.2">
      <c r="A94" s="41" t="s">
        <v>34</v>
      </c>
      <c r="B94" s="42">
        <f>DATE(2013,6,6)</f>
        <v>41431</v>
      </c>
      <c r="C94" s="41">
        <v>7.5</v>
      </c>
      <c r="D94" s="41"/>
      <c r="E94" s="41">
        <v>15</v>
      </c>
      <c r="F94" s="41">
        <v>1.1000000000000001</v>
      </c>
      <c r="G94" s="41">
        <f t="shared" si="9"/>
        <v>123.75000000000001</v>
      </c>
      <c r="H94" s="41" t="s">
        <v>45</v>
      </c>
      <c r="I94" s="5" t="s">
        <v>20</v>
      </c>
    </row>
    <row r="95" spans="1:9" s="5" customFormat="1" ht="20.100000000000001" customHeight="1" x14ac:dyDescent="0.2">
      <c r="A95" s="41" t="s">
        <v>34</v>
      </c>
      <c r="B95" s="42">
        <f>DATE(2013,6,7)</f>
        <v>41432</v>
      </c>
      <c r="C95" s="41">
        <v>10.5</v>
      </c>
      <c r="D95" s="41"/>
      <c r="E95" s="41">
        <v>15</v>
      </c>
      <c r="F95" s="41">
        <v>1.1000000000000001</v>
      </c>
      <c r="G95" s="41">
        <f t="shared" si="9"/>
        <v>173.25</v>
      </c>
      <c r="H95" s="41" t="s">
        <v>45</v>
      </c>
      <c r="I95" s="5" t="s">
        <v>20</v>
      </c>
    </row>
    <row r="96" spans="1:9" s="5" customFormat="1" ht="20.100000000000001" customHeight="1" x14ac:dyDescent="0.2">
      <c r="A96" s="41" t="s">
        <v>33</v>
      </c>
      <c r="B96" s="42">
        <f>DATE(2013,6,7)</f>
        <v>41432</v>
      </c>
      <c r="C96" s="41">
        <v>51</v>
      </c>
      <c r="D96" s="41"/>
      <c r="E96" s="41">
        <v>25</v>
      </c>
      <c r="F96" s="41">
        <v>1.1000000000000001</v>
      </c>
      <c r="G96" s="41">
        <f t="shared" si="9"/>
        <v>1402.5</v>
      </c>
      <c r="H96" s="41" t="s">
        <v>45</v>
      </c>
      <c r="I96" s="5" t="s">
        <v>20</v>
      </c>
    </row>
    <row r="97" spans="1:9" s="5" customFormat="1" ht="20.100000000000001" customHeight="1" x14ac:dyDescent="0.2">
      <c r="A97" s="41" t="s">
        <v>28</v>
      </c>
      <c r="B97" s="42">
        <f t="shared" ref="B97:B102" si="13">DATE(2013,6,10)</f>
        <v>41435</v>
      </c>
      <c r="C97" s="41">
        <v>11</v>
      </c>
      <c r="D97" s="41"/>
      <c r="E97" s="41">
        <v>42</v>
      </c>
      <c r="F97" s="41">
        <v>1.1000000000000001</v>
      </c>
      <c r="G97" s="41">
        <f t="shared" si="9"/>
        <v>508.20000000000005</v>
      </c>
      <c r="H97" s="41" t="s">
        <v>45</v>
      </c>
      <c r="I97" s="5" t="s">
        <v>20</v>
      </c>
    </row>
    <row r="98" spans="1:9" s="5" customFormat="1" ht="20.100000000000001" customHeight="1" x14ac:dyDescent="0.2">
      <c r="A98" s="41" t="s">
        <v>27</v>
      </c>
      <c r="B98" s="42">
        <f t="shared" si="13"/>
        <v>41435</v>
      </c>
      <c r="C98" s="41">
        <v>11</v>
      </c>
      <c r="D98" s="41"/>
      <c r="E98" s="41">
        <v>22</v>
      </c>
      <c r="F98" s="41">
        <v>1.1000000000000001</v>
      </c>
      <c r="G98" s="41">
        <f t="shared" si="9"/>
        <v>266.20000000000005</v>
      </c>
      <c r="H98" s="41" t="s">
        <v>45</v>
      </c>
      <c r="I98" s="5" t="s">
        <v>20</v>
      </c>
    </row>
    <row r="99" spans="1:9" s="5" customFormat="1" ht="20.100000000000001" customHeight="1" x14ac:dyDescent="0.2">
      <c r="A99" s="41" t="s">
        <v>26</v>
      </c>
      <c r="B99" s="42">
        <f t="shared" si="13"/>
        <v>41435</v>
      </c>
      <c r="C99" s="41">
        <v>11</v>
      </c>
      <c r="D99" s="41"/>
      <c r="E99" s="41">
        <v>25</v>
      </c>
      <c r="F99" s="41">
        <v>1.1000000000000001</v>
      </c>
      <c r="G99" s="41">
        <f t="shared" si="9"/>
        <v>302.5</v>
      </c>
      <c r="H99" s="41" t="s">
        <v>45</v>
      </c>
      <c r="I99" s="5" t="s">
        <v>20</v>
      </c>
    </row>
    <row r="100" spans="1:9" s="5" customFormat="1" ht="20.100000000000001" customHeight="1" x14ac:dyDescent="0.2">
      <c r="A100" s="41" t="s">
        <v>29</v>
      </c>
      <c r="B100" s="42">
        <f t="shared" si="13"/>
        <v>41435</v>
      </c>
      <c r="C100" s="41">
        <v>11</v>
      </c>
      <c r="D100" s="41"/>
      <c r="E100" s="41">
        <v>23</v>
      </c>
      <c r="F100" s="41">
        <v>1.1000000000000001</v>
      </c>
      <c r="G100" s="41">
        <f t="shared" si="9"/>
        <v>278.3</v>
      </c>
      <c r="H100" s="41" t="s">
        <v>45</v>
      </c>
      <c r="I100" s="5" t="s">
        <v>20</v>
      </c>
    </row>
    <row r="101" spans="1:9" s="5" customFormat="1" ht="20.100000000000001" customHeight="1" x14ac:dyDescent="0.2">
      <c r="A101" s="41" t="s">
        <v>37</v>
      </c>
      <c r="B101" s="42">
        <f t="shared" si="13"/>
        <v>41435</v>
      </c>
      <c r="C101" s="41">
        <v>11</v>
      </c>
      <c r="D101" s="41"/>
      <c r="E101" s="41">
        <v>15</v>
      </c>
      <c r="F101" s="41">
        <v>1.1000000000000001</v>
      </c>
      <c r="G101" s="41">
        <f t="shared" si="9"/>
        <v>181.50000000000003</v>
      </c>
      <c r="H101" s="41" t="s">
        <v>45</v>
      </c>
      <c r="I101" s="5" t="s">
        <v>20</v>
      </c>
    </row>
    <row r="102" spans="1:9" s="5" customFormat="1" ht="20.100000000000001" customHeight="1" x14ac:dyDescent="0.2">
      <c r="A102" s="41" t="s">
        <v>34</v>
      </c>
      <c r="B102" s="42">
        <f t="shared" si="13"/>
        <v>41435</v>
      </c>
      <c r="C102" s="41">
        <v>11</v>
      </c>
      <c r="D102" s="41"/>
      <c r="E102" s="41">
        <v>15</v>
      </c>
      <c r="F102" s="41">
        <v>1.1000000000000001</v>
      </c>
      <c r="G102" s="41">
        <f t="shared" si="9"/>
        <v>181.50000000000003</v>
      </c>
      <c r="H102" s="41" t="s">
        <v>45</v>
      </c>
      <c r="I102" s="5" t="s">
        <v>20</v>
      </c>
    </row>
    <row r="103" spans="1:9" s="5" customFormat="1" ht="20.100000000000001" customHeight="1" x14ac:dyDescent="0.2">
      <c r="A103" s="41" t="s">
        <v>28</v>
      </c>
      <c r="B103" s="42">
        <f t="shared" ref="B103:B108" si="14">DATE(2013,6,11)</f>
        <v>41436</v>
      </c>
      <c r="C103" s="41">
        <v>10</v>
      </c>
      <c r="D103" s="41"/>
      <c r="E103" s="41">
        <v>42</v>
      </c>
      <c r="F103" s="41">
        <v>1.1000000000000001</v>
      </c>
      <c r="G103" s="41">
        <f t="shared" si="9"/>
        <v>462.00000000000006</v>
      </c>
      <c r="H103" s="41" t="s">
        <v>45</v>
      </c>
      <c r="I103" s="5" t="s">
        <v>20</v>
      </c>
    </row>
    <row r="104" spans="1:9" s="5" customFormat="1" ht="20.100000000000001" customHeight="1" x14ac:dyDescent="0.2">
      <c r="A104" s="41" t="s">
        <v>27</v>
      </c>
      <c r="B104" s="42">
        <f t="shared" si="14"/>
        <v>41436</v>
      </c>
      <c r="C104" s="41">
        <v>10</v>
      </c>
      <c r="D104" s="41"/>
      <c r="E104" s="41">
        <v>22</v>
      </c>
      <c r="F104" s="41">
        <v>1.1000000000000001</v>
      </c>
      <c r="G104" s="41">
        <f t="shared" si="9"/>
        <v>242.00000000000003</v>
      </c>
      <c r="H104" s="41" t="s">
        <v>45</v>
      </c>
      <c r="I104" s="5" t="s">
        <v>20</v>
      </c>
    </row>
    <row r="105" spans="1:9" s="5" customFormat="1" ht="20.100000000000001" customHeight="1" x14ac:dyDescent="0.2">
      <c r="A105" s="41" t="s">
        <v>26</v>
      </c>
      <c r="B105" s="42">
        <f t="shared" si="14"/>
        <v>41436</v>
      </c>
      <c r="C105" s="41">
        <v>10</v>
      </c>
      <c r="D105" s="41"/>
      <c r="E105" s="41">
        <v>25</v>
      </c>
      <c r="F105" s="41">
        <v>1.1000000000000001</v>
      </c>
      <c r="G105" s="41">
        <f t="shared" si="9"/>
        <v>275</v>
      </c>
      <c r="H105" s="41" t="s">
        <v>45</v>
      </c>
      <c r="I105" s="5" t="s">
        <v>20</v>
      </c>
    </row>
    <row r="106" spans="1:9" s="5" customFormat="1" ht="20.100000000000001" customHeight="1" x14ac:dyDescent="0.2">
      <c r="A106" s="41" t="s">
        <v>29</v>
      </c>
      <c r="B106" s="42">
        <f t="shared" si="14"/>
        <v>41436</v>
      </c>
      <c r="C106" s="41">
        <v>10</v>
      </c>
      <c r="D106" s="41"/>
      <c r="E106" s="41">
        <v>23</v>
      </c>
      <c r="F106" s="41">
        <v>1.1000000000000001</v>
      </c>
      <c r="G106" s="41">
        <f t="shared" si="9"/>
        <v>253.00000000000003</v>
      </c>
      <c r="H106" s="41" t="s">
        <v>45</v>
      </c>
      <c r="I106" s="5" t="s">
        <v>20</v>
      </c>
    </row>
    <row r="107" spans="1:9" s="5" customFormat="1" ht="20.100000000000001" customHeight="1" x14ac:dyDescent="0.2">
      <c r="A107" s="41" t="s">
        <v>37</v>
      </c>
      <c r="B107" s="42">
        <f t="shared" si="14"/>
        <v>41436</v>
      </c>
      <c r="C107" s="41">
        <v>10</v>
      </c>
      <c r="D107" s="41"/>
      <c r="E107" s="41">
        <v>15</v>
      </c>
      <c r="F107" s="41">
        <v>1.1000000000000001</v>
      </c>
      <c r="G107" s="41">
        <f t="shared" si="9"/>
        <v>165</v>
      </c>
      <c r="H107" s="41" t="s">
        <v>45</v>
      </c>
      <c r="I107" s="5" t="s">
        <v>20</v>
      </c>
    </row>
    <row r="108" spans="1:9" s="5" customFormat="1" ht="20.100000000000001" customHeight="1" x14ac:dyDescent="0.2">
      <c r="A108" s="41" t="s">
        <v>34</v>
      </c>
      <c r="B108" s="42">
        <f t="shared" si="14"/>
        <v>41436</v>
      </c>
      <c r="C108" s="41">
        <v>10</v>
      </c>
      <c r="D108" s="41"/>
      <c r="E108" s="41">
        <v>15</v>
      </c>
      <c r="F108" s="41">
        <v>1.1000000000000001</v>
      </c>
      <c r="G108" s="41">
        <f t="shared" si="9"/>
        <v>165</v>
      </c>
      <c r="H108" s="41" t="s">
        <v>45</v>
      </c>
      <c r="I108" s="5" t="s">
        <v>20</v>
      </c>
    </row>
    <row r="109" spans="1:9" s="5" customFormat="1" ht="20.100000000000001" customHeight="1" x14ac:dyDescent="0.2">
      <c r="A109" s="41" t="s">
        <v>38</v>
      </c>
      <c r="B109" s="42">
        <f t="shared" ref="B109:B114" si="15">DATE(2013,6,12)</f>
        <v>41437</v>
      </c>
      <c r="C109" s="41">
        <v>8.5</v>
      </c>
      <c r="D109" s="41"/>
      <c r="E109" s="41">
        <v>42</v>
      </c>
      <c r="F109" s="41">
        <v>1.1000000000000001</v>
      </c>
      <c r="G109" s="41">
        <f t="shared" si="9"/>
        <v>392.70000000000005</v>
      </c>
      <c r="H109" s="41" t="s">
        <v>45</v>
      </c>
      <c r="I109" s="5" t="s">
        <v>20</v>
      </c>
    </row>
    <row r="110" spans="1:9" s="5" customFormat="1" ht="20.100000000000001" customHeight="1" x14ac:dyDescent="0.2">
      <c r="A110" s="41" t="s">
        <v>27</v>
      </c>
      <c r="B110" s="42">
        <f t="shared" si="15"/>
        <v>41437</v>
      </c>
      <c r="C110" s="41">
        <v>8.5</v>
      </c>
      <c r="D110" s="41"/>
      <c r="E110" s="41">
        <v>22</v>
      </c>
      <c r="F110" s="41">
        <v>1.1000000000000001</v>
      </c>
      <c r="G110" s="41">
        <f t="shared" si="9"/>
        <v>205.70000000000002</v>
      </c>
      <c r="H110" s="41" t="s">
        <v>45</v>
      </c>
      <c r="I110" s="5" t="s">
        <v>20</v>
      </c>
    </row>
    <row r="111" spans="1:9" s="5" customFormat="1" ht="20.100000000000001" customHeight="1" x14ac:dyDescent="0.2">
      <c r="A111" s="41" t="s">
        <v>26</v>
      </c>
      <c r="B111" s="42">
        <f t="shared" si="15"/>
        <v>41437</v>
      </c>
      <c r="C111" s="41">
        <v>8.5</v>
      </c>
      <c r="D111" s="41"/>
      <c r="E111" s="41">
        <v>25</v>
      </c>
      <c r="F111" s="41">
        <v>1.1000000000000001</v>
      </c>
      <c r="G111" s="41">
        <f t="shared" si="9"/>
        <v>233.75000000000003</v>
      </c>
      <c r="H111" s="41" t="s">
        <v>45</v>
      </c>
      <c r="I111" s="5" t="s">
        <v>20</v>
      </c>
    </row>
    <row r="112" spans="1:9" s="5" customFormat="1" ht="20.100000000000001" customHeight="1" x14ac:dyDescent="0.2">
      <c r="A112" s="41" t="s">
        <v>29</v>
      </c>
      <c r="B112" s="42">
        <f t="shared" si="15"/>
        <v>41437</v>
      </c>
      <c r="C112" s="41">
        <v>8.5</v>
      </c>
      <c r="D112" s="41"/>
      <c r="E112" s="41">
        <v>23</v>
      </c>
      <c r="F112" s="41">
        <v>1.1000000000000001</v>
      </c>
      <c r="G112" s="41">
        <f t="shared" si="9"/>
        <v>215.05</v>
      </c>
      <c r="H112" s="41" t="s">
        <v>45</v>
      </c>
      <c r="I112" s="5" t="s">
        <v>20</v>
      </c>
    </row>
    <row r="113" spans="1:9" s="5" customFormat="1" ht="20.100000000000001" customHeight="1" x14ac:dyDescent="0.2">
      <c r="A113" s="41" t="s">
        <v>37</v>
      </c>
      <c r="B113" s="42">
        <f t="shared" si="15"/>
        <v>41437</v>
      </c>
      <c r="C113" s="41">
        <v>8.5</v>
      </c>
      <c r="D113" s="41"/>
      <c r="E113" s="41">
        <v>15</v>
      </c>
      <c r="F113" s="41">
        <v>1.1000000000000001</v>
      </c>
      <c r="G113" s="41">
        <f t="shared" si="9"/>
        <v>140.25</v>
      </c>
      <c r="H113" s="41" t="s">
        <v>45</v>
      </c>
      <c r="I113" s="5" t="s">
        <v>20</v>
      </c>
    </row>
    <row r="114" spans="1:9" s="5" customFormat="1" ht="20.100000000000001" customHeight="1" x14ac:dyDescent="0.2">
      <c r="A114" s="41" t="s">
        <v>34</v>
      </c>
      <c r="B114" s="42">
        <f t="shared" si="15"/>
        <v>41437</v>
      </c>
      <c r="C114" s="41">
        <v>8.5</v>
      </c>
      <c r="D114" s="41"/>
      <c r="E114" s="41">
        <v>15</v>
      </c>
      <c r="F114" s="41">
        <v>1.1000000000000001</v>
      </c>
      <c r="G114" s="41">
        <f t="shared" si="9"/>
        <v>140.25</v>
      </c>
      <c r="H114" s="41" t="s">
        <v>45</v>
      </c>
      <c r="I114" s="5" t="s">
        <v>20</v>
      </c>
    </row>
    <row r="115" spans="1:9" s="5" customFormat="1" ht="20.100000000000001" customHeight="1" x14ac:dyDescent="0.2">
      <c r="A115" s="41" t="s">
        <v>28</v>
      </c>
      <c r="B115" s="42">
        <f>DATE(2013,6,13)</f>
        <v>41438</v>
      </c>
      <c r="C115" s="41">
        <v>9.25</v>
      </c>
      <c r="D115" s="41"/>
      <c r="E115" s="41">
        <v>42</v>
      </c>
      <c r="F115" s="41">
        <v>1.1000000000000001</v>
      </c>
      <c r="G115" s="41">
        <f t="shared" si="9"/>
        <v>427.35</v>
      </c>
      <c r="H115" s="41" t="s">
        <v>49</v>
      </c>
      <c r="I115" s="5" t="s">
        <v>20</v>
      </c>
    </row>
    <row r="116" spans="1:9" s="5" customFormat="1" ht="20.100000000000001" customHeight="1" x14ac:dyDescent="0.2">
      <c r="A116" s="41" t="s">
        <v>27</v>
      </c>
      <c r="B116" s="42">
        <f>DATE(2013,6,13)</f>
        <v>41438</v>
      </c>
      <c r="C116" s="41">
        <v>9.25</v>
      </c>
      <c r="D116" s="41"/>
      <c r="E116" s="41">
        <v>22</v>
      </c>
      <c r="F116" s="41">
        <v>1.1000000000000001</v>
      </c>
      <c r="G116" s="41">
        <f t="shared" si="9"/>
        <v>223.85000000000002</v>
      </c>
      <c r="H116" s="41" t="s">
        <v>49</v>
      </c>
      <c r="I116" s="5" t="s">
        <v>20</v>
      </c>
    </row>
    <row r="117" spans="1:9" s="5" customFormat="1" ht="20.100000000000001" customHeight="1" x14ac:dyDescent="0.2">
      <c r="A117" s="41" t="s">
        <v>26</v>
      </c>
      <c r="B117" s="42">
        <f>DATE(2013,6,13)</f>
        <v>41438</v>
      </c>
      <c r="C117" s="41">
        <v>9.25</v>
      </c>
      <c r="D117" s="41"/>
      <c r="E117" s="41">
        <v>25</v>
      </c>
      <c r="F117" s="41">
        <v>1.1000000000000001</v>
      </c>
      <c r="G117" s="41">
        <f t="shared" si="9"/>
        <v>254.37500000000003</v>
      </c>
      <c r="H117" s="41" t="s">
        <v>49</v>
      </c>
      <c r="I117" s="5" t="s">
        <v>20</v>
      </c>
    </row>
    <row r="118" spans="1:9" s="5" customFormat="1" ht="20.100000000000001" customHeight="1" x14ac:dyDescent="0.2">
      <c r="A118" s="41" t="s">
        <v>29</v>
      </c>
      <c r="B118" s="42">
        <f>DATE(2013,6,13)</f>
        <v>41438</v>
      </c>
      <c r="C118" s="41">
        <v>9.25</v>
      </c>
      <c r="D118" s="41"/>
      <c r="E118" s="41">
        <v>23</v>
      </c>
      <c r="F118" s="41">
        <v>1.1000000000000001</v>
      </c>
      <c r="G118" s="41">
        <f t="shared" si="9"/>
        <v>234.02500000000001</v>
      </c>
      <c r="H118" s="41" t="s">
        <v>49</v>
      </c>
      <c r="I118" s="5" t="s">
        <v>20</v>
      </c>
    </row>
    <row r="119" spans="1:9" s="5" customFormat="1" ht="20.100000000000001" customHeight="1" x14ac:dyDescent="0.2">
      <c r="A119" s="41" t="s">
        <v>37</v>
      </c>
      <c r="B119" s="42">
        <f>DATE(2013,6,13)</f>
        <v>41438</v>
      </c>
      <c r="C119" s="41">
        <v>9.25</v>
      </c>
      <c r="D119" s="41"/>
      <c r="E119" s="41">
        <v>15</v>
      </c>
      <c r="F119" s="41">
        <v>1.1000000000000001</v>
      </c>
      <c r="G119" s="41">
        <f t="shared" si="9"/>
        <v>152.625</v>
      </c>
      <c r="H119" s="41" t="s">
        <v>49</v>
      </c>
      <c r="I119" s="5" t="s">
        <v>20</v>
      </c>
    </row>
    <row r="120" spans="1:9" s="5" customFormat="1" ht="20.100000000000001" customHeight="1" x14ac:dyDescent="0.2">
      <c r="A120" s="41" t="s">
        <v>38</v>
      </c>
      <c r="B120" s="42">
        <f>DATE(2013,6,14)</f>
        <v>41439</v>
      </c>
      <c r="C120" s="41">
        <v>7</v>
      </c>
      <c r="D120" s="41"/>
      <c r="E120" s="41">
        <v>42</v>
      </c>
      <c r="F120" s="41">
        <v>1.1000000000000001</v>
      </c>
      <c r="G120" s="41">
        <f t="shared" si="9"/>
        <v>323.40000000000003</v>
      </c>
      <c r="H120" s="41" t="s">
        <v>49</v>
      </c>
      <c r="I120" s="5" t="s">
        <v>20</v>
      </c>
    </row>
    <row r="121" spans="1:9" s="5" customFormat="1" ht="20.100000000000001" customHeight="1" x14ac:dyDescent="0.2">
      <c r="A121" s="41" t="s">
        <v>27</v>
      </c>
      <c r="B121" s="42">
        <f>DATE(2013,6,14)</f>
        <v>41439</v>
      </c>
      <c r="C121" s="41">
        <v>7</v>
      </c>
      <c r="D121" s="41"/>
      <c r="E121" s="41">
        <v>22</v>
      </c>
      <c r="F121" s="41">
        <v>1.1000000000000001</v>
      </c>
      <c r="G121" s="41">
        <f t="shared" si="9"/>
        <v>169.4</v>
      </c>
      <c r="H121" s="41" t="s">
        <v>49</v>
      </c>
      <c r="I121" s="5" t="s">
        <v>20</v>
      </c>
    </row>
    <row r="122" spans="1:9" s="5" customFormat="1" ht="20.100000000000001" customHeight="1" x14ac:dyDescent="0.2">
      <c r="A122" s="41" t="s">
        <v>26</v>
      </c>
      <c r="B122" s="42">
        <f>DATE(2013,6,14)</f>
        <v>41439</v>
      </c>
      <c r="C122" s="41">
        <v>7</v>
      </c>
      <c r="D122" s="41"/>
      <c r="E122" s="41">
        <v>25</v>
      </c>
      <c r="F122" s="41">
        <v>1.1000000000000001</v>
      </c>
      <c r="G122" s="41">
        <f t="shared" si="9"/>
        <v>192.50000000000003</v>
      </c>
      <c r="H122" s="41" t="s">
        <v>49</v>
      </c>
      <c r="I122" s="5" t="s">
        <v>20</v>
      </c>
    </row>
    <row r="123" spans="1:9" s="5" customFormat="1" ht="20.100000000000001" customHeight="1" x14ac:dyDescent="0.2">
      <c r="A123" s="41" t="s">
        <v>29</v>
      </c>
      <c r="B123" s="42">
        <f>DATE(2013,6,14)</f>
        <v>41439</v>
      </c>
      <c r="C123" s="41">
        <v>7</v>
      </c>
      <c r="D123" s="41"/>
      <c r="E123" s="41">
        <v>23</v>
      </c>
      <c r="F123" s="41">
        <v>1.1000000000000001</v>
      </c>
      <c r="G123" s="41">
        <f t="shared" si="9"/>
        <v>177.10000000000002</v>
      </c>
      <c r="H123" s="41" t="s">
        <v>49</v>
      </c>
      <c r="I123" s="5" t="s">
        <v>20</v>
      </c>
    </row>
    <row r="124" spans="1:9" s="5" customFormat="1" ht="20.100000000000001" customHeight="1" x14ac:dyDescent="0.2">
      <c r="A124" s="41" t="s">
        <v>37</v>
      </c>
      <c r="B124" s="42">
        <f>DATE(2013,6,14)</f>
        <v>41439</v>
      </c>
      <c r="C124" s="41">
        <v>7</v>
      </c>
      <c r="D124" s="41"/>
      <c r="E124" s="41">
        <v>15</v>
      </c>
      <c r="F124" s="41">
        <v>1.1000000000000001</v>
      </c>
      <c r="G124" s="41">
        <f t="shared" si="9"/>
        <v>115.50000000000001</v>
      </c>
      <c r="H124" s="41" t="s">
        <v>49</v>
      </c>
      <c r="I124" s="5" t="s">
        <v>20</v>
      </c>
    </row>
    <row r="125" spans="1:9" s="5" customFormat="1" ht="20.100000000000001" customHeight="1" x14ac:dyDescent="0.2">
      <c r="A125" s="41" t="s">
        <v>28</v>
      </c>
      <c r="B125" s="42">
        <f>DATE(2013,6,17)</f>
        <v>41442</v>
      </c>
      <c r="C125" s="41">
        <v>7.5</v>
      </c>
      <c r="D125" s="41"/>
      <c r="E125" s="41">
        <v>42</v>
      </c>
      <c r="F125" s="41">
        <v>1.1000000000000001</v>
      </c>
      <c r="G125" s="41">
        <f t="shared" si="9"/>
        <v>346.5</v>
      </c>
      <c r="H125" s="41" t="s">
        <v>49</v>
      </c>
      <c r="I125" s="5" t="s">
        <v>20</v>
      </c>
    </row>
    <row r="126" spans="1:9" s="5" customFormat="1" ht="20.100000000000001" customHeight="1" x14ac:dyDescent="0.2">
      <c r="A126" s="41" t="s">
        <v>27</v>
      </c>
      <c r="B126" s="42">
        <f>DATE(2013,6,17)</f>
        <v>41442</v>
      </c>
      <c r="C126" s="41">
        <v>7.5</v>
      </c>
      <c r="D126" s="41"/>
      <c r="E126" s="41">
        <v>22</v>
      </c>
      <c r="F126" s="41">
        <v>1.1000000000000001</v>
      </c>
      <c r="G126" s="41">
        <f t="shared" si="9"/>
        <v>181.50000000000003</v>
      </c>
      <c r="H126" s="41" t="s">
        <v>49</v>
      </c>
      <c r="I126" s="5" t="s">
        <v>20</v>
      </c>
    </row>
    <row r="127" spans="1:9" s="5" customFormat="1" ht="20.100000000000001" customHeight="1" x14ac:dyDescent="0.2">
      <c r="A127" s="41" t="s">
        <v>37</v>
      </c>
      <c r="B127" s="42">
        <f>DATE(2013,6,17)</f>
        <v>41442</v>
      </c>
      <c r="C127" s="41">
        <v>7.5</v>
      </c>
      <c r="D127" s="41"/>
      <c r="E127" s="41">
        <v>15</v>
      </c>
      <c r="F127" s="41">
        <v>1.1000000000000001</v>
      </c>
      <c r="G127" s="41">
        <f t="shared" si="9"/>
        <v>123.75000000000001</v>
      </c>
      <c r="H127" s="41" t="s">
        <v>49</v>
      </c>
      <c r="I127" s="5" t="s">
        <v>20</v>
      </c>
    </row>
    <row r="128" spans="1:9" s="5" customFormat="1" ht="20.100000000000001" customHeight="1" x14ac:dyDescent="0.2">
      <c r="A128" s="41" t="s">
        <v>34</v>
      </c>
      <c r="B128" s="42">
        <f>DATE(2013,6,17)</f>
        <v>41442</v>
      </c>
      <c r="C128" s="41">
        <v>7.5</v>
      </c>
      <c r="D128" s="41"/>
      <c r="E128" s="41">
        <v>15</v>
      </c>
      <c r="F128" s="41">
        <v>1.1000000000000001</v>
      </c>
      <c r="G128" s="41">
        <f t="shared" si="9"/>
        <v>123.75000000000001</v>
      </c>
      <c r="H128" s="41" t="s">
        <v>49</v>
      </c>
      <c r="I128" s="5" t="s">
        <v>20</v>
      </c>
    </row>
    <row r="129" spans="1:9" s="5" customFormat="1" ht="20.100000000000001" customHeight="1" x14ac:dyDescent="0.2">
      <c r="A129" s="41" t="s">
        <v>28</v>
      </c>
      <c r="B129" s="42">
        <f>DATE(2013,6,18)</f>
        <v>41443</v>
      </c>
      <c r="C129" s="41">
        <v>9</v>
      </c>
      <c r="D129" s="41"/>
      <c r="E129" s="41">
        <v>42</v>
      </c>
      <c r="F129" s="41">
        <v>1.1000000000000001</v>
      </c>
      <c r="G129" s="41">
        <f t="shared" si="9"/>
        <v>415.8</v>
      </c>
      <c r="H129" s="41" t="s">
        <v>49</v>
      </c>
      <c r="I129" s="5" t="s">
        <v>20</v>
      </c>
    </row>
    <row r="130" spans="1:9" s="5" customFormat="1" ht="20.100000000000001" customHeight="1" x14ac:dyDescent="0.2">
      <c r="A130" s="41" t="s">
        <v>27</v>
      </c>
      <c r="B130" s="42">
        <f>DATE(2013,6,18)</f>
        <v>41443</v>
      </c>
      <c r="C130" s="41">
        <v>9</v>
      </c>
      <c r="D130" s="41"/>
      <c r="E130" s="41">
        <v>22</v>
      </c>
      <c r="F130" s="41">
        <v>1.1000000000000001</v>
      </c>
      <c r="G130" s="41">
        <f t="shared" si="9"/>
        <v>217.8</v>
      </c>
      <c r="H130" s="41" t="s">
        <v>49</v>
      </c>
      <c r="I130" s="5" t="s">
        <v>20</v>
      </c>
    </row>
    <row r="131" spans="1:9" s="5" customFormat="1" ht="20.100000000000001" customHeight="1" x14ac:dyDescent="0.2">
      <c r="A131" s="41" t="s">
        <v>37</v>
      </c>
      <c r="B131" s="42">
        <f>DATE(2013,6,18)</f>
        <v>41443</v>
      </c>
      <c r="C131" s="41">
        <v>9</v>
      </c>
      <c r="D131" s="41"/>
      <c r="E131" s="41">
        <v>15</v>
      </c>
      <c r="F131" s="41">
        <v>1.1000000000000001</v>
      </c>
      <c r="G131" s="41">
        <f t="shared" ref="G131:G194" si="16">((C131+D131)*E131)*F131</f>
        <v>148.5</v>
      </c>
      <c r="H131" s="41" t="s">
        <v>49</v>
      </c>
      <c r="I131" s="5" t="s">
        <v>20</v>
      </c>
    </row>
    <row r="132" spans="1:9" s="5" customFormat="1" ht="20.100000000000001" customHeight="1" x14ac:dyDescent="0.2">
      <c r="A132" s="41" t="s">
        <v>34</v>
      </c>
      <c r="B132" s="42">
        <f>DATE(2013,6,18)</f>
        <v>41443</v>
      </c>
      <c r="C132" s="41">
        <v>9</v>
      </c>
      <c r="D132" s="41"/>
      <c r="E132" s="41">
        <v>15</v>
      </c>
      <c r="F132" s="41">
        <v>1.1000000000000001</v>
      </c>
      <c r="G132" s="41">
        <f t="shared" si="16"/>
        <v>148.5</v>
      </c>
      <c r="H132" s="41" t="s">
        <v>49</v>
      </c>
      <c r="I132" s="5" t="s">
        <v>20</v>
      </c>
    </row>
    <row r="133" spans="1:9" s="5" customFormat="1" ht="20.100000000000001" customHeight="1" x14ac:dyDescent="0.2">
      <c r="A133" s="41" t="s">
        <v>28</v>
      </c>
      <c r="B133" s="42">
        <f>DATE(2013,6,19)</f>
        <v>41444</v>
      </c>
      <c r="C133" s="41">
        <v>10.25</v>
      </c>
      <c r="D133" s="41"/>
      <c r="E133" s="41">
        <v>42</v>
      </c>
      <c r="F133" s="41">
        <v>1.1000000000000001</v>
      </c>
      <c r="G133" s="41">
        <f t="shared" si="16"/>
        <v>473.55</v>
      </c>
      <c r="H133" s="41" t="s">
        <v>49</v>
      </c>
      <c r="I133" s="5" t="s">
        <v>20</v>
      </c>
    </row>
    <row r="134" spans="1:9" s="5" customFormat="1" ht="20.100000000000001" customHeight="1" x14ac:dyDescent="0.2">
      <c r="A134" s="41" t="s">
        <v>27</v>
      </c>
      <c r="B134" s="42">
        <f>DATE(2013,6,19)</f>
        <v>41444</v>
      </c>
      <c r="C134" s="41">
        <v>10.25</v>
      </c>
      <c r="D134" s="41"/>
      <c r="E134" s="41">
        <v>22</v>
      </c>
      <c r="F134" s="41">
        <v>1.1000000000000001</v>
      </c>
      <c r="G134" s="41">
        <f t="shared" si="16"/>
        <v>248.05</v>
      </c>
      <c r="H134" s="41" t="s">
        <v>49</v>
      </c>
      <c r="I134" s="5" t="s">
        <v>20</v>
      </c>
    </row>
    <row r="135" spans="1:9" s="5" customFormat="1" ht="20.100000000000001" customHeight="1" x14ac:dyDescent="0.2">
      <c r="A135" s="41" t="s">
        <v>37</v>
      </c>
      <c r="B135" s="42">
        <f>DATE(2013,6,19)</f>
        <v>41444</v>
      </c>
      <c r="C135" s="41">
        <v>10.25</v>
      </c>
      <c r="D135" s="41"/>
      <c r="E135" s="41">
        <v>15</v>
      </c>
      <c r="F135" s="41">
        <v>1.1000000000000001</v>
      </c>
      <c r="G135" s="41">
        <f t="shared" si="16"/>
        <v>169.125</v>
      </c>
      <c r="H135" s="41" t="s">
        <v>49</v>
      </c>
      <c r="I135" s="5" t="s">
        <v>20</v>
      </c>
    </row>
    <row r="136" spans="1:9" s="5" customFormat="1" ht="20.100000000000001" customHeight="1" x14ac:dyDescent="0.2">
      <c r="A136" s="41" t="s">
        <v>34</v>
      </c>
      <c r="B136" s="42">
        <f>DATE(2013,6,19)</f>
        <v>41444</v>
      </c>
      <c r="C136" s="41">
        <v>10.25</v>
      </c>
      <c r="D136" s="41"/>
      <c r="E136" s="41">
        <v>15</v>
      </c>
      <c r="F136" s="41">
        <v>1.1000000000000001</v>
      </c>
      <c r="G136" s="41">
        <f t="shared" si="16"/>
        <v>169.125</v>
      </c>
      <c r="H136" s="41" t="s">
        <v>49</v>
      </c>
      <c r="I136" s="5" t="s">
        <v>20</v>
      </c>
    </row>
    <row r="137" spans="1:9" s="5" customFormat="1" ht="20.100000000000001" customHeight="1" x14ac:dyDescent="0.2">
      <c r="A137" s="41" t="s">
        <v>28</v>
      </c>
      <c r="B137" s="42">
        <f>DATE(2013,6,20)</f>
        <v>41445</v>
      </c>
      <c r="C137" s="41">
        <v>10.25</v>
      </c>
      <c r="D137" s="41"/>
      <c r="E137" s="41">
        <v>42</v>
      </c>
      <c r="F137" s="41">
        <v>1.1000000000000001</v>
      </c>
      <c r="G137" s="41">
        <f t="shared" si="16"/>
        <v>473.55</v>
      </c>
      <c r="H137" s="41" t="s">
        <v>49</v>
      </c>
      <c r="I137" s="5" t="s">
        <v>20</v>
      </c>
    </row>
    <row r="138" spans="1:9" s="5" customFormat="1" ht="20.100000000000001" customHeight="1" x14ac:dyDescent="0.2">
      <c r="A138" s="41" t="s">
        <v>27</v>
      </c>
      <c r="B138" s="42">
        <f>DATE(2013,6,20)</f>
        <v>41445</v>
      </c>
      <c r="C138" s="41">
        <v>10.25</v>
      </c>
      <c r="D138" s="41"/>
      <c r="E138" s="41">
        <v>22</v>
      </c>
      <c r="F138" s="41">
        <v>1.1000000000000001</v>
      </c>
      <c r="G138" s="41">
        <f t="shared" si="16"/>
        <v>248.05</v>
      </c>
      <c r="H138" s="41" t="s">
        <v>49</v>
      </c>
      <c r="I138" s="5" t="s">
        <v>20</v>
      </c>
    </row>
    <row r="139" spans="1:9" s="5" customFormat="1" ht="20.100000000000001" customHeight="1" x14ac:dyDescent="0.2">
      <c r="A139" s="41" t="s">
        <v>37</v>
      </c>
      <c r="B139" s="42">
        <f>DATE(2013,6,20)</f>
        <v>41445</v>
      </c>
      <c r="C139" s="41">
        <v>10.25</v>
      </c>
      <c r="D139" s="41"/>
      <c r="E139" s="41">
        <v>15</v>
      </c>
      <c r="F139" s="41">
        <v>1.1000000000000001</v>
      </c>
      <c r="G139" s="41">
        <f t="shared" si="16"/>
        <v>169.125</v>
      </c>
      <c r="H139" s="41" t="s">
        <v>49</v>
      </c>
      <c r="I139" s="5" t="s">
        <v>20</v>
      </c>
    </row>
    <row r="140" spans="1:9" s="5" customFormat="1" ht="20.100000000000001" customHeight="1" x14ac:dyDescent="0.2">
      <c r="A140" s="41" t="s">
        <v>34</v>
      </c>
      <c r="B140" s="42">
        <f>DATE(2013,6,20)</f>
        <v>41445</v>
      </c>
      <c r="C140" s="41">
        <v>10.25</v>
      </c>
      <c r="D140" s="41"/>
      <c r="E140" s="41">
        <v>15</v>
      </c>
      <c r="F140" s="41">
        <v>1.1000000000000001</v>
      </c>
      <c r="G140" s="41">
        <f t="shared" si="16"/>
        <v>169.125</v>
      </c>
      <c r="H140" s="41" t="s">
        <v>49</v>
      </c>
      <c r="I140" s="5" t="s">
        <v>20</v>
      </c>
    </row>
    <row r="141" spans="1:9" s="5" customFormat="1" ht="20.100000000000001" customHeight="1" x14ac:dyDescent="0.2">
      <c r="A141" s="41" t="s">
        <v>28</v>
      </c>
      <c r="B141" s="42">
        <f>DATE(2013,6,21)</f>
        <v>41446</v>
      </c>
      <c r="C141" s="41">
        <v>11.5</v>
      </c>
      <c r="D141" s="41"/>
      <c r="E141" s="41">
        <v>42</v>
      </c>
      <c r="F141" s="41">
        <v>1.1000000000000001</v>
      </c>
      <c r="G141" s="41">
        <f t="shared" si="16"/>
        <v>531.30000000000007</v>
      </c>
      <c r="H141" s="41" t="s">
        <v>49</v>
      </c>
      <c r="I141" s="5" t="s">
        <v>20</v>
      </c>
    </row>
    <row r="142" spans="1:9" s="5" customFormat="1" ht="20.100000000000001" customHeight="1" x14ac:dyDescent="0.2">
      <c r="A142" s="41" t="s">
        <v>27</v>
      </c>
      <c r="B142" s="42">
        <f>DATE(2013,6,21)</f>
        <v>41446</v>
      </c>
      <c r="C142" s="41">
        <v>11.5</v>
      </c>
      <c r="D142" s="41"/>
      <c r="E142" s="41">
        <v>22</v>
      </c>
      <c r="F142" s="41">
        <v>1.1000000000000001</v>
      </c>
      <c r="G142" s="41">
        <f t="shared" si="16"/>
        <v>278.3</v>
      </c>
      <c r="H142" s="41" t="s">
        <v>49</v>
      </c>
      <c r="I142" s="5" t="s">
        <v>20</v>
      </c>
    </row>
    <row r="143" spans="1:9" s="5" customFormat="1" ht="20.100000000000001" customHeight="1" x14ac:dyDescent="0.2">
      <c r="A143" s="41" t="s">
        <v>26</v>
      </c>
      <c r="B143" s="42">
        <f>DATE(2013,6,21)</f>
        <v>41446</v>
      </c>
      <c r="C143" s="41">
        <v>11.5</v>
      </c>
      <c r="D143" s="41"/>
      <c r="E143" s="41">
        <v>25</v>
      </c>
      <c r="F143" s="41">
        <v>1.1000000000000001</v>
      </c>
      <c r="G143" s="41">
        <f t="shared" si="16"/>
        <v>316.25</v>
      </c>
      <c r="H143" s="41" t="s">
        <v>49</v>
      </c>
      <c r="I143" s="5" t="s">
        <v>20</v>
      </c>
    </row>
    <row r="144" spans="1:9" s="5" customFormat="1" ht="20.100000000000001" customHeight="1" x14ac:dyDescent="0.2">
      <c r="A144" s="41" t="s">
        <v>29</v>
      </c>
      <c r="B144" s="42">
        <f>DATE(2013,6,21)</f>
        <v>41446</v>
      </c>
      <c r="C144" s="41">
        <v>11.5</v>
      </c>
      <c r="D144" s="41"/>
      <c r="E144" s="41">
        <v>23</v>
      </c>
      <c r="F144" s="41">
        <v>1.1000000000000001</v>
      </c>
      <c r="G144" s="41">
        <f t="shared" si="16"/>
        <v>290.95000000000005</v>
      </c>
      <c r="H144" s="41" t="s">
        <v>49</v>
      </c>
      <c r="I144" s="5" t="s">
        <v>20</v>
      </c>
    </row>
    <row r="145" spans="1:9" s="5" customFormat="1" ht="20.100000000000001" customHeight="1" x14ac:dyDescent="0.2">
      <c r="A145" s="41" t="s">
        <v>37</v>
      </c>
      <c r="B145" s="42">
        <f>DATE(2013,6,21)</f>
        <v>41446</v>
      </c>
      <c r="C145" s="41">
        <v>11.5</v>
      </c>
      <c r="D145" s="41"/>
      <c r="E145" s="41">
        <v>15</v>
      </c>
      <c r="F145" s="41">
        <v>1.1000000000000001</v>
      </c>
      <c r="G145" s="41">
        <f t="shared" si="16"/>
        <v>189.75000000000003</v>
      </c>
      <c r="H145" s="41" t="s">
        <v>49</v>
      </c>
      <c r="I145" s="5" t="s">
        <v>20</v>
      </c>
    </row>
    <row r="146" spans="1:9" s="5" customFormat="1" ht="20.100000000000001" customHeight="1" x14ac:dyDescent="0.2">
      <c r="A146" s="41" t="s">
        <v>28</v>
      </c>
      <c r="B146" s="42">
        <f>DATE(2013,6,22)</f>
        <v>41447</v>
      </c>
      <c r="C146" s="41">
        <v>7</v>
      </c>
      <c r="D146" s="41"/>
      <c r="E146" s="41">
        <v>42</v>
      </c>
      <c r="F146" s="41">
        <v>1.1000000000000001</v>
      </c>
      <c r="G146" s="41">
        <f t="shared" si="16"/>
        <v>323.40000000000003</v>
      </c>
      <c r="H146" s="41" t="s">
        <v>49</v>
      </c>
      <c r="I146" s="5" t="s">
        <v>20</v>
      </c>
    </row>
    <row r="147" spans="1:9" s="5" customFormat="1" ht="20.100000000000001" customHeight="1" x14ac:dyDescent="0.2">
      <c r="A147" s="41" t="s">
        <v>27</v>
      </c>
      <c r="B147" s="42">
        <f>DATE(2013,6,22)</f>
        <v>41447</v>
      </c>
      <c r="C147" s="41">
        <v>7</v>
      </c>
      <c r="D147" s="41"/>
      <c r="E147" s="41">
        <v>22</v>
      </c>
      <c r="F147" s="41">
        <v>1.1000000000000001</v>
      </c>
      <c r="G147" s="41">
        <f t="shared" si="16"/>
        <v>169.4</v>
      </c>
      <c r="H147" s="41" t="s">
        <v>49</v>
      </c>
      <c r="I147" s="5" t="s">
        <v>20</v>
      </c>
    </row>
    <row r="148" spans="1:9" s="5" customFormat="1" ht="20.100000000000001" customHeight="1" x14ac:dyDescent="0.2">
      <c r="A148" s="41" t="s">
        <v>37</v>
      </c>
      <c r="B148" s="42">
        <f>DATE(2013,6,22)</f>
        <v>41447</v>
      </c>
      <c r="C148" s="41">
        <v>7</v>
      </c>
      <c r="D148" s="41"/>
      <c r="E148" s="41">
        <v>15</v>
      </c>
      <c r="F148" s="41">
        <v>1.1000000000000001</v>
      </c>
      <c r="G148" s="41">
        <f t="shared" si="16"/>
        <v>115.50000000000001</v>
      </c>
      <c r="H148" s="41" t="s">
        <v>49</v>
      </c>
      <c r="I148" s="5" t="s">
        <v>20</v>
      </c>
    </row>
    <row r="149" spans="1:9" s="5" customFormat="1" ht="20.100000000000001" customHeight="1" x14ac:dyDescent="0.2">
      <c r="A149" s="41" t="s">
        <v>28</v>
      </c>
      <c r="B149" s="42">
        <f>DATE(2013,6,24)</f>
        <v>41449</v>
      </c>
      <c r="C149" s="41">
        <v>9.25</v>
      </c>
      <c r="D149" s="41"/>
      <c r="E149" s="41">
        <v>42</v>
      </c>
      <c r="F149" s="41">
        <v>1.1000000000000001</v>
      </c>
      <c r="G149" s="41">
        <f t="shared" si="16"/>
        <v>427.35</v>
      </c>
      <c r="H149" s="41" t="s">
        <v>49</v>
      </c>
      <c r="I149" s="5" t="s">
        <v>20</v>
      </c>
    </row>
    <row r="150" spans="1:9" s="5" customFormat="1" ht="20.100000000000001" customHeight="1" x14ac:dyDescent="0.2">
      <c r="A150" s="41" t="s">
        <v>26</v>
      </c>
      <c r="B150" s="42">
        <f>DATE(2013,6,24)</f>
        <v>41449</v>
      </c>
      <c r="C150" s="41">
        <v>10.75</v>
      </c>
      <c r="D150" s="41"/>
      <c r="E150" s="41">
        <v>25</v>
      </c>
      <c r="F150" s="41">
        <v>1.1000000000000001</v>
      </c>
      <c r="G150" s="41">
        <f t="shared" si="16"/>
        <v>295.625</v>
      </c>
      <c r="H150" s="41" t="s">
        <v>49</v>
      </c>
      <c r="I150" s="5" t="s">
        <v>20</v>
      </c>
    </row>
    <row r="151" spans="1:9" s="5" customFormat="1" ht="20.100000000000001" customHeight="1" x14ac:dyDescent="0.2">
      <c r="A151" s="41" t="s">
        <v>29</v>
      </c>
      <c r="B151" s="42">
        <f>DATE(2013,6,24)</f>
        <v>41449</v>
      </c>
      <c r="C151" s="41">
        <v>9.25</v>
      </c>
      <c r="D151" s="41"/>
      <c r="E151" s="41">
        <v>23</v>
      </c>
      <c r="F151" s="41">
        <v>1.1000000000000001</v>
      </c>
      <c r="G151" s="41">
        <f t="shared" si="16"/>
        <v>234.02500000000001</v>
      </c>
      <c r="H151" s="41" t="s">
        <v>49</v>
      </c>
      <c r="I151" s="5" t="s">
        <v>20</v>
      </c>
    </row>
    <row r="152" spans="1:9" s="5" customFormat="1" ht="20.100000000000001" customHeight="1" x14ac:dyDescent="0.2">
      <c r="A152" s="41" t="s">
        <v>37</v>
      </c>
      <c r="B152" s="42">
        <f>DATE(2013,6,24)</f>
        <v>41449</v>
      </c>
      <c r="C152" s="41">
        <v>9.25</v>
      </c>
      <c r="D152" s="41"/>
      <c r="E152" s="41">
        <v>15</v>
      </c>
      <c r="F152" s="41">
        <v>1.1000000000000001</v>
      </c>
      <c r="G152" s="41">
        <f t="shared" si="16"/>
        <v>152.625</v>
      </c>
      <c r="H152" s="41" t="s">
        <v>49</v>
      </c>
      <c r="I152" s="5" t="s">
        <v>20</v>
      </c>
    </row>
    <row r="153" spans="1:9" s="5" customFormat="1" ht="20.100000000000001" customHeight="1" x14ac:dyDescent="0.2">
      <c r="A153" s="41" t="s">
        <v>34</v>
      </c>
      <c r="B153" s="42">
        <f>DATE(2013,6,24)</f>
        <v>41449</v>
      </c>
      <c r="C153" s="41">
        <v>3</v>
      </c>
      <c r="D153" s="41"/>
      <c r="E153" s="41">
        <v>15</v>
      </c>
      <c r="F153" s="41">
        <v>1.1000000000000001</v>
      </c>
      <c r="G153" s="41">
        <f t="shared" si="16"/>
        <v>49.500000000000007</v>
      </c>
      <c r="H153" s="41" t="s">
        <v>49</v>
      </c>
      <c r="I153" s="5" t="s">
        <v>20</v>
      </c>
    </row>
    <row r="154" spans="1:9" s="5" customFormat="1" ht="20.100000000000001" customHeight="1" x14ac:dyDescent="0.2">
      <c r="A154" s="41" t="s">
        <v>28</v>
      </c>
      <c r="B154" s="42">
        <f>DATE(2013,6,25)</f>
        <v>41450</v>
      </c>
      <c r="C154" s="41">
        <v>10.5</v>
      </c>
      <c r="D154" s="41"/>
      <c r="E154" s="41">
        <v>42</v>
      </c>
      <c r="F154" s="41">
        <v>1.1000000000000001</v>
      </c>
      <c r="G154" s="41">
        <f t="shared" si="16"/>
        <v>485.1</v>
      </c>
      <c r="H154" s="41" t="s">
        <v>49</v>
      </c>
      <c r="I154" s="5" t="s">
        <v>20</v>
      </c>
    </row>
    <row r="155" spans="1:9" s="5" customFormat="1" ht="20.100000000000001" customHeight="1" x14ac:dyDescent="0.2">
      <c r="A155" s="41" t="s">
        <v>26</v>
      </c>
      <c r="B155" s="42">
        <f>DATE(2013,6,25)</f>
        <v>41450</v>
      </c>
      <c r="C155" s="41">
        <v>10</v>
      </c>
      <c r="D155" s="41"/>
      <c r="E155" s="41">
        <v>25</v>
      </c>
      <c r="F155" s="41">
        <v>1.1000000000000001</v>
      </c>
      <c r="G155" s="41">
        <f t="shared" si="16"/>
        <v>275</v>
      </c>
      <c r="H155" s="41" t="s">
        <v>49</v>
      </c>
      <c r="I155" s="5" t="s">
        <v>20</v>
      </c>
    </row>
    <row r="156" spans="1:9" s="5" customFormat="1" ht="20.100000000000001" customHeight="1" x14ac:dyDescent="0.2">
      <c r="A156" s="41" t="s">
        <v>29</v>
      </c>
      <c r="B156" s="42">
        <f>DATE(2013,6,25)</f>
        <v>41450</v>
      </c>
      <c r="C156" s="41">
        <v>10.5</v>
      </c>
      <c r="D156" s="41"/>
      <c r="E156" s="41">
        <v>23</v>
      </c>
      <c r="F156" s="41">
        <v>1.1000000000000001</v>
      </c>
      <c r="G156" s="41">
        <f t="shared" si="16"/>
        <v>265.65000000000003</v>
      </c>
      <c r="H156" s="41" t="s">
        <v>49</v>
      </c>
      <c r="I156" s="5" t="s">
        <v>20</v>
      </c>
    </row>
    <row r="157" spans="1:9" s="5" customFormat="1" ht="20.100000000000001" customHeight="1" x14ac:dyDescent="0.2">
      <c r="A157" s="41" t="s">
        <v>37</v>
      </c>
      <c r="B157" s="42">
        <f>DATE(2013,6,25)</f>
        <v>41450</v>
      </c>
      <c r="C157" s="41">
        <v>10.5</v>
      </c>
      <c r="D157" s="41"/>
      <c r="E157" s="41">
        <v>15</v>
      </c>
      <c r="F157" s="41">
        <v>1.1000000000000001</v>
      </c>
      <c r="G157" s="41">
        <f t="shared" si="16"/>
        <v>173.25</v>
      </c>
      <c r="H157" s="41" t="s">
        <v>49</v>
      </c>
      <c r="I157" s="5" t="s">
        <v>20</v>
      </c>
    </row>
    <row r="158" spans="1:9" s="5" customFormat="1" ht="20.100000000000001" customHeight="1" x14ac:dyDescent="0.2">
      <c r="A158" s="41" t="s">
        <v>26</v>
      </c>
      <c r="B158" s="42">
        <f>DATE(2013,6,26)</f>
        <v>41451</v>
      </c>
      <c r="C158" s="41">
        <v>11</v>
      </c>
      <c r="D158" s="41"/>
      <c r="E158" s="41">
        <v>25</v>
      </c>
      <c r="F158" s="41">
        <v>1.1000000000000001</v>
      </c>
      <c r="G158" s="41">
        <f t="shared" si="16"/>
        <v>302.5</v>
      </c>
      <c r="H158" s="41" t="s">
        <v>49</v>
      </c>
      <c r="I158" s="5" t="s">
        <v>20</v>
      </c>
    </row>
    <row r="159" spans="1:9" s="5" customFormat="1" ht="20.100000000000001" customHeight="1" x14ac:dyDescent="0.2">
      <c r="A159" s="41" t="s">
        <v>29</v>
      </c>
      <c r="B159" s="42">
        <f>DATE(2013,6,26)</f>
        <v>41451</v>
      </c>
      <c r="C159" s="41">
        <v>11.5</v>
      </c>
      <c r="D159" s="41"/>
      <c r="E159" s="41">
        <v>23</v>
      </c>
      <c r="F159" s="41">
        <v>1.1000000000000001</v>
      </c>
      <c r="G159" s="41">
        <f t="shared" si="16"/>
        <v>290.95000000000005</v>
      </c>
      <c r="H159" s="41" t="s">
        <v>49</v>
      </c>
      <c r="I159" s="5" t="s">
        <v>20</v>
      </c>
    </row>
    <row r="160" spans="1:9" s="5" customFormat="1" ht="20.100000000000001" customHeight="1" x14ac:dyDescent="0.2">
      <c r="A160" s="41" t="s">
        <v>26</v>
      </c>
      <c r="B160" s="42">
        <f>DATE(2013,6,27)</f>
        <v>41452</v>
      </c>
      <c r="C160" s="41">
        <v>9</v>
      </c>
      <c r="D160" s="41"/>
      <c r="E160" s="41">
        <v>25</v>
      </c>
      <c r="F160" s="41">
        <v>1.1000000000000001</v>
      </c>
      <c r="G160" s="41">
        <f t="shared" si="16"/>
        <v>247.50000000000003</v>
      </c>
      <c r="H160" s="41" t="s">
        <v>49</v>
      </c>
      <c r="I160" s="5" t="s">
        <v>20</v>
      </c>
    </row>
    <row r="161" spans="1:9" s="5" customFormat="1" ht="20.100000000000001" customHeight="1" x14ac:dyDescent="0.2">
      <c r="A161" s="41" t="s">
        <v>26</v>
      </c>
      <c r="B161" s="42">
        <f>DATE(2013,6,28)</f>
        <v>41453</v>
      </c>
      <c r="C161" s="41">
        <v>8.5</v>
      </c>
      <c r="D161" s="41"/>
      <c r="E161" s="41">
        <v>25</v>
      </c>
      <c r="F161" s="41">
        <v>1.1000000000000001</v>
      </c>
      <c r="G161" s="41">
        <f t="shared" si="16"/>
        <v>233.75000000000003</v>
      </c>
      <c r="H161" s="41" t="s">
        <v>49</v>
      </c>
      <c r="I161" s="5" t="s">
        <v>20</v>
      </c>
    </row>
    <row r="162" spans="1:9" s="5" customFormat="1" ht="20.100000000000001" customHeight="1" x14ac:dyDescent="0.2">
      <c r="A162" s="41" t="s">
        <v>25</v>
      </c>
      <c r="B162" s="42">
        <f>DATE(2013,7,2)</f>
        <v>41457</v>
      </c>
      <c r="C162" s="41">
        <v>9.75</v>
      </c>
      <c r="D162" s="41"/>
      <c r="E162" s="41">
        <v>35</v>
      </c>
      <c r="F162" s="41">
        <v>1.1000000000000001</v>
      </c>
      <c r="G162" s="41">
        <f t="shared" si="16"/>
        <v>375.37500000000006</v>
      </c>
      <c r="H162" s="41" t="s">
        <v>49</v>
      </c>
      <c r="I162" s="5" t="s">
        <v>20</v>
      </c>
    </row>
    <row r="163" spans="1:9" s="5" customFormat="1" ht="20.100000000000001" customHeight="1" x14ac:dyDescent="0.2">
      <c r="A163" s="41" t="s">
        <v>26</v>
      </c>
      <c r="B163" s="42">
        <f>DATE(2013,7,2)</f>
        <v>41457</v>
      </c>
      <c r="C163" s="41">
        <v>10.75</v>
      </c>
      <c r="D163" s="41"/>
      <c r="E163" s="41">
        <v>25</v>
      </c>
      <c r="F163" s="41">
        <v>1.1000000000000001</v>
      </c>
      <c r="G163" s="41">
        <f t="shared" si="16"/>
        <v>295.625</v>
      </c>
      <c r="H163" s="41" t="s">
        <v>49</v>
      </c>
      <c r="I163" s="5" t="s">
        <v>20</v>
      </c>
    </row>
    <row r="164" spans="1:9" s="5" customFormat="1" ht="20.100000000000001" customHeight="1" x14ac:dyDescent="0.2">
      <c r="A164" s="41" t="s">
        <v>25</v>
      </c>
      <c r="B164" s="42">
        <f>DATE(2013,7,3)</f>
        <v>41458</v>
      </c>
      <c r="C164" s="41">
        <v>11</v>
      </c>
      <c r="D164" s="41"/>
      <c r="E164" s="41">
        <v>35</v>
      </c>
      <c r="F164" s="41">
        <v>1.1000000000000001</v>
      </c>
      <c r="G164" s="41">
        <f t="shared" si="16"/>
        <v>423.50000000000006</v>
      </c>
      <c r="H164" s="41" t="s">
        <v>49</v>
      </c>
      <c r="I164" s="5" t="s">
        <v>20</v>
      </c>
    </row>
    <row r="165" spans="1:9" s="5" customFormat="1" ht="20.100000000000001" customHeight="1" x14ac:dyDescent="0.2">
      <c r="A165" s="41" t="s">
        <v>26</v>
      </c>
      <c r="B165" s="42">
        <f>DATE(2013,7,3)</f>
        <v>41458</v>
      </c>
      <c r="C165" s="41">
        <v>10.75</v>
      </c>
      <c r="D165" s="41"/>
      <c r="E165" s="41">
        <v>25</v>
      </c>
      <c r="F165" s="41">
        <v>1.1000000000000001</v>
      </c>
      <c r="G165" s="41">
        <f t="shared" si="16"/>
        <v>295.625</v>
      </c>
      <c r="H165" s="41" t="s">
        <v>49</v>
      </c>
      <c r="I165" s="5" t="s">
        <v>20</v>
      </c>
    </row>
    <row r="166" spans="1:9" s="5" customFormat="1" ht="20.100000000000001" customHeight="1" x14ac:dyDescent="0.2">
      <c r="A166" s="41" t="s">
        <v>25</v>
      </c>
      <c r="B166" s="42">
        <f>DATE(2013,7,4)</f>
        <v>41459</v>
      </c>
      <c r="C166" s="41">
        <v>11</v>
      </c>
      <c r="D166" s="41"/>
      <c r="E166" s="41">
        <v>35</v>
      </c>
      <c r="F166" s="41">
        <v>1.1000000000000001</v>
      </c>
      <c r="G166" s="41">
        <f t="shared" si="16"/>
        <v>423.50000000000006</v>
      </c>
      <c r="H166" s="41" t="s">
        <v>49</v>
      </c>
      <c r="I166" s="5" t="s">
        <v>20</v>
      </c>
    </row>
    <row r="167" spans="1:9" s="5" customFormat="1" ht="20.100000000000001" customHeight="1" x14ac:dyDescent="0.2">
      <c r="A167" s="41" t="s">
        <v>26</v>
      </c>
      <c r="B167" s="42">
        <f>DATE(2013,7,4)</f>
        <v>41459</v>
      </c>
      <c r="C167" s="41">
        <v>9.75</v>
      </c>
      <c r="D167" s="41"/>
      <c r="E167" s="41">
        <v>25</v>
      </c>
      <c r="F167" s="41">
        <v>1.1000000000000001</v>
      </c>
      <c r="G167" s="41">
        <f t="shared" si="16"/>
        <v>268.125</v>
      </c>
      <c r="H167" s="41" t="s">
        <v>49</v>
      </c>
      <c r="I167" s="5" t="s">
        <v>20</v>
      </c>
    </row>
    <row r="168" spans="1:9" s="5" customFormat="1" ht="20.100000000000001" customHeight="1" x14ac:dyDescent="0.2">
      <c r="A168" s="41" t="s">
        <v>25</v>
      </c>
      <c r="B168" s="42">
        <f>DATE(2013,7,5)</f>
        <v>41460</v>
      </c>
      <c r="C168" s="41">
        <v>10</v>
      </c>
      <c r="D168" s="41"/>
      <c r="E168" s="41">
        <v>35</v>
      </c>
      <c r="F168" s="41">
        <v>1.1000000000000001</v>
      </c>
      <c r="G168" s="41">
        <f t="shared" si="16"/>
        <v>385.00000000000006</v>
      </c>
      <c r="H168" s="41" t="s">
        <v>49</v>
      </c>
      <c r="I168" s="5" t="s">
        <v>20</v>
      </c>
    </row>
    <row r="169" spans="1:9" s="5" customFormat="1" ht="20.100000000000001" customHeight="1" x14ac:dyDescent="0.2">
      <c r="A169" s="41" t="s">
        <v>26</v>
      </c>
      <c r="B169" s="42">
        <f>DATE(2013,7,5)</f>
        <v>41460</v>
      </c>
      <c r="C169" s="41">
        <v>9.5</v>
      </c>
      <c r="D169" s="41"/>
      <c r="E169" s="41">
        <v>25</v>
      </c>
      <c r="F169" s="41">
        <v>1.1000000000000001</v>
      </c>
      <c r="G169" s="41">
        <f t="shared" si="16"/>
        <v>261.25</v>
      </c>
      <c r="H169" s="41" t="s">
        <v>49</v>
      </c>
      <c r="I169" s="5" t="s">
        <v>20</v>
      </c>
    </row>
    <row r="170" spans="1:9" s="5" customFormat="1" ht="20.100000000000001" customHeight="1" x14ac:dyDescent="0.2">
      <c r="A170" s="41" t="s">
        <v>39</v>
      </c>
      <c r="B170" s="42">
        <f>DATE(2013,7,8)</f>
        <v>41463</v>
      </c>
      <c r="C170" s="41">
        <v>9.5</v>
      </c>
      <c r="D170" s="41"/>
      <c r="E170" s="41">
        <v>50</v>
      </c>
      <c r="F170" s="41">
        <v>1</v>
      </c>
      <c r="G170" s="41">
        <f t="shared" si="16"/>
        <v>475</v>
      </c>
      <c r="H170" s="41"/>
      <c r="I170" s="5" t="s">
        <v>20</v>
      </c>
    </row>
    <row r="171" spans="1:9" s="5" customFormat="1" ht="20.100000000000001" customHeight="1" x14ac:dyDescent="0.2">
      <c r="A171" s="41" t="s">
        <v>55</v>
      </c>
      <c r="B171" s="42">
        <f>DATE(2013,7,8)</f>
        <v>41463</v>
      </c>
      <c r="C171" s="41">
        <v>9</v>
      </c>
      <c r="D171" s="41"/>
      <c r="E171" s="41">
        <v>20</v>
      </c>
      <c r="F171" s="41">
        <v>1.1000000000000001</v>
      </c>
      <c r="G171" s="41">
        <f t="shared" si="16"/>
        <v>198.00000000000003</v>
      </c>
      <c r="H171" s="41"/>
      <c r="I171" s="5" t="s">
        <v>20</v>
      </c>
    </row>
    <row r="172" spans="1:9" s="5" customFormat="1" ht="20.100000000000001" customHeight="1" x14ac:dyDescent="0.2">
      <c r="A172" s="41" t="s">
        <v>39</v>
      </c>
      <c r="B172" s="42">
        <f>DATE(2013,7,9)</f>
        <v>41464</v>
      </c>
      <c r="C172" s="41">
        <v>9.5</v>
      </c>
      <c r="D172" s="41"/>
      <c r="E172" s="41">
        <v>50</v>
      </c>
      <c r="F172" s="41">
        <v>1</v>
      </c>
      <c r="G172" s="41">
        <f t="shared" si="16"/>
        <v>475</v>
      </c>
      <c r="H172" s="41"/>
      <c r="I172" s="5" t="s">
        <v>20</v>
      </c>
    </row>
    <row r="173" spans="1:9" s="5" customFormat="1" ht="20.100000000000001" customHeight="1" x14ac:dyDescent="0.2">
      <c r="A173" s="41" t="s">
        <v>55</v>
      </c>
      <c r="B173" s="42">
        <f>DATE(2013,7,9)</f>
        <v>41464</v>
      </c>
      <c r="C173" s="41">
        <v>9</v>
      </c>
      <c r="D173" s="41"/>
      <c r="E173" s="41">
        <v>20</v>
      </c>
      <c r="F173" s="41">
        <v>1.1000000000000001</v>
      </c>
      <c r="G173" s="41">
        <f t="shared" si="16"/>
        <v>198.00000000000003</v>
      </c>
      <c r="H173" s="41"/>
      <c r="I173" s="5" t="s">
        <v>20</v>
      </c>
    </row>
    <row r="174" spans="1:9" s="5" customFormat="1" ht="20.100000000000001" customHeight="1" x14ac:dyDescent="0.2">
      <c r="A174" s="41" t="s">
        <v>39</v>
      </c>
      <c r="B174" s="42">
        <f>DATE(2013,7,10)</f>
        <v>41465</v>
      </c>
      <c r="C174" s="41">
        <v>9.5</v>
      </c>
      <c r="D174" s="41"/>
      <c r="E174" s="41">
        <v>50</v>
      </c>
      <c r="F174" s="41">
        <v>1</v>
      </c>
      <c r="G174" s="41">
        <f t="shared" si="16"/>
        <v>475</v>
      </c>
      <c r="H174" s="41"/>
      <c r="I174" s="5" t="s">
        <v>20</v>
      </c>
    </row>
    <row r="175" spans="1:9" s="5" customFormat="1" ht="20.100000000000001" customHeight="1" x14ac:dyDescent="0.2">
      <c r="A175" s="41" t="s">
        <v>55</v>
      </c>
      <c r="B175" s="42">
        <f>DATE(2013,7,10)</f>
        <v>41465</v>
      </c>
      <c r="C175" s="41">
        <v>9</v>
      </c>
      <c r="D175" s="41"/>
      <c r="E175" s="41">
        <v>20</v>
      </c>
      <c r="F175" s="41">
        <v>1.1000000000000001</v>
      </c>
      <c r="G175" s="41">
        <f t="shared" si="16"/>
        <v>198.00000000000003</v>
      </c>
      <c r="H175" s="41"/>
      <c r="I175" s="5" t="s">
        <v>20</v>
      </c>
    </row>
    <row r="176" spans="1:9" s="5" customFormat="1" ht="20.100000000000001" customHeight="1" x14ac:dyDescent="0.2">
      <c r="A176" s="41" t="s">
        <v>39</v>
      </c>
      <c r="B176" s="42">
        <f>DATE(2013,7,11)</f>
        <v>41466</v>
      </c>
      <c r="C176" s="41">
        <v>9.5</v>
      </c>
      <c r="D176" s="41"/>
      <c r="E176" s="41">
        <v>50</v>
      </c>
      <c r="F176" s="41">
        <v>1</v>
      </c>
      <c r="G176" s="41">
        <f t="shared" si="16"/>
        <v>475</v>
      </c>
      <c r="H176" s="41"/>
      <c r="I176" s="5" t="s">
        <v>20</v>
      </c>
    </row>
    <row r="177" spans="1:9" s="5" customFormat="1" ht="20.100000000000001" customHeight="1" x14ac:dyDescent="0.2">
      <c r="A177" s="41" t="s">
        <v>55</v>
      </c>
      <c r="B177" s="42">
        <f>DATE(2013,7,11)</f>
        <v>41466</v>
      </c>
      <c r="C177" s="41">
        <v>9</v>
      </c>
      <c r="D177" s="41"/>
      <c r="E177" s="41">
        <v>20</v>
      </c>
      <c r="F177" s="41">
        <v>1.1000000000000001</v>
      </c>
      <c r="G177" s="41">
        <f t="shared" si="16"/>
        <v>198.00000000000003</v>
      </c>
      <c r="H177" s="41"/>
      <c r="I177" s="5" t="s">
        <v>20</v>
      </c>
    </row>
    <row r="178" spans="1:9" s="5" customFormat="1" ht="20.100000000000001" customHeight="1" x14ac:dyDescent="0.2">
      <c r="A178" s="41" t="s">
        <v>39</v>
      </c>
      <c r="B178" s="42">
        <f>DATE(2013,7,12)</f>
        <v>41467</v>
      </c>
      <c r="C178" s="41">
        <v>9.5</v>
      </c>
      <c r="D178" s="41"/>
      <c r="E178" s="41">
        <v>50</v>
      </c>
      <c r="F178" s="41">
        <v>1</v>
      </c>
      <c r="G178" s="41">
        <f t="shared" si="16"/>
        <v>475</v>
      </c>
      <c r="H178" s="41"/>
      <c r="I178" s="5" t="s">
        <v>20</v>
      </c>
    </row>
    <row r="179" spans="1:9" s="5" customFormat="1" ht="20.100000000000001" customHeight="1" x14ac:dyDescent="0.2">
      <c r="A179" s="41" t="s">
        <v>55</v>
      </c>
      <c r="B179" s="42">
        <f>DATE(2013,7,12)</f>
        <v>41467</v>
      </c>
      <c r="C179" s="41">
        <v>9</v>
      </c>
      <c r="D179" s="41"/>
      <c r="E179" s="41">
        <v>20</v>
      </c>
      <c r="F179" s="41">
        <v>1.1000000000000001</v>
      </c>
      <c r="G179" s="41">
        <f t="shared" si="16"/>
        <v>198.00000000000003</v>
      </c>
      <c r="H179" s="41"/>
      <c r="I179" s="5" t="s">
        <v>20</v>
      </c>
    </row>
    <row r="180" spans="1:9" s="5" customFormat="1" ht="20.100000000000001" customHeight="1" x14ac:dyDescent="0.2">
      <c r="A180" s="41" t="s">
        <v>55</v>
      </c>
      <c r="B180" s="42">
        <f>DATE(2013,7,15)</f>
        <v>41470</v>
      </c>
      <c r="C180" s="41">
        <v>9</v>
      </c>
      <c r="D180" s="41"/>
      <c r="E180" s="41">
        <v>20</v>
      </c>
      <c r="F180" s="41">
        <v>1.1000000000000001</v>
      </c>
      <c r="G180" s="41">
        <f t="shared" si="16"/>
        <v>198.00000000000003</v>
      </c>
      <c r="H180" s="41"/>
      <c r="I180" s="5" t="s">
        <v>20</v>
      </c>
    </row>
    <row r="181" spans="1:9" s="5" customFormat="1" ht="20.100000000000001" customHeight="1" x14ac:dyDescent="0.2">
      <c r="A181" s="41" t="s">
        <v>39</v>
      </c>
      <c r="B181" s="42">
        <f>DATE(2013,7,15)</f>
        <v>41470</v>
      </c>
      <c r="C181" s="41">
        <v>19</v>
      </c>
      <c r="D181" s="41"/>
      <c r="E181" s="41">
        <v>50</v>
      </c>
      <c r="F181" s="41">
        <v>1</v>
      </c>
      <c r="G181" s="41">
        <f t="shared" si="16"/>
        <v>950</v>
      </c>
      <c r="H181" s="41"/>
      <c r="I181" s="5" t="s">
        <v>20</v>
      </c>
    </row>
    <row r="182" spans="1:9" s="5" customFormat="1" ht="20.100000000000001" customHeight="1" x14ac:dyDescent="0.2">
      <c r="A182" s="41" t="s">
        <v>55</v>
      </c>
      <c r="B182" s="42">
        <f>DATE(2013,7,16)</f>
        <v>41471</v>
      </c>
      <c r="C182" s="41">
        <v>9</v>
      </c>
      <c r="D182" s="41"/>
      <c r="E182" s="41">
        <v>20</v>
      </c>
      <c r="F182" s="41">
        <v>1.1000000000000001</v>
      </c>
      <c r="G182" s="41">
        <f t="shared" si="16"/>
        <v>198.00000000000003</v>
      </c>
      <c r="H182" s="41"/>
      <c r="I182" s="5" t="s">
        <v>20</v>
      </c>
    </row>
    <row r="183" spans="1:9" s="5" customFormat="1" ht="20.100000000000001" customHeight="1" x14ac:dyDescent="0.2">
      <c r="A183" s="41" t="s">
        <v>39</v>
      </c>
      <c r="B183" s="42">
        <f>DATE(2013,7,16)</f>
        <v>41471</v>
      </c>
      <c r="C183" s="41">
        <v>19</v>
      </c>
      <c r="D183" s="41"/>
      <c r="E183" s="41">
        <v>50</v>
      </c>
      <c r="F183" s="41">
        <v>1</v>
      </c>
      <c r="G183" s="41">
        <f t="shared" si="16"/>
        <v>950</v>
      </c>
      <c r="H183" s="41"/>
      <c r="I183" s="5" t="s">
        <v>20</v>
      </c>
    </row>
    <row r="184" spans="1:9" s="5" customFormat="1" ht="20.100000000000001" customHeight="1" x14ac:dyDescent="0.2">
      <c r="A184" s="41" t="s">
        <v>55</v>
      </c>
      <c r="B184" s="42">
        <f>DATE(2013,7,17)</f>
        <v>41472</v>
      </c>
      <c r="C184" s="41">
        <v>9</v>
      </c>
      <c r="D184" s="41"/>
      <c r="E184" s="41">
        <v>20</v>
      </c>
      <c r="F184" s="41">
        <v>1.1000000000000001</v>
      </c>
      <c r="G184" s="41">
        <f t="shared" si="16"/>
        <v>198.00000000000003</v>
      </c>
      <c r="H184" s="41"/>
      <c r="I184" s="5" t="s">
        <v>20</v>
      </c>
    </row>
    <row r="185" spans="1:9" s="5" customFormat="1" ht="20.100000000000001" customHeight="1" x14ac:dyDescent="0.2">
      <c r="A185" s="41" t="s">
        <v>39</v>
      </c>
      <c r="B185" s="42">
        <f>DATE(2013,7,17)</f>
        <v>41472</v>
      </c>
      <c r="C185" s="41">
        <v>19</v>
      </c>
      <c r="D185" s="41"/>
      <c r="E185" s="41">
        <v>50</v>
      </c>
      <c r="F185" s="41">
        <v>1</v>
      </c>
      <c r="G185" s="41">
        <f t="shared" si="16"/>
        <v>950</v>
      </c>
      <c r="H185" s="41"/>
      <c r="I185" s="5" t="s">
        <v>20</v>
      </c>
    </row>
    <row r="186" spans="1:9" s="5" customFormat="1" ht="20.100000000000001" customHeight="1" x14ac:dyDescent="0.2">
      <c r="A186" s="41" t="s">
        <v>55</v>
      </c>
      <c r="B186" s="42">
        <f>DATE(2013,7,18)</f>
        <v>41473</v>
      </c>
      <c r="C186" s="41">
        <v>5.5</v>
      </c>
      <c r="D186" s="41"/>
      <c r="E186" s="41">
        <v>20</v>
      </c>
      <c r="F186" s="41">
        <v>1.1000000000000001</v>
      </c>
      <c r="G186" s="41">
        <f t="shared" si="16"/>
        <v>121.00000000000001</v>
      </c>
      <c r="H186" s="41"/>
      <c r="I186" s="5" t="s">
        <v>20</v>
      </c>
    </row>
    <row r="187" spans="1:9" s="5" customFormat="1" ht="20.100000000000001" customHeight="1" x14ac:dyDescent="0.2">
      <c r="A187" s="41" t="s">
        <v>55</v>
      </c>
      <c r="B187" s="42">
        <f>DATE(2013,7,19)</f>
        <v>41474</v>
      </c>
      <c r="C187" s="41">
        <v>5.5</v>
      </c>
      <c r="D187" s="41"/>
      <c r="E187" s="41">
        <v>20</v>
      </c>
      <c r="F187" s="41">
        <v>1.1000000000000001</v>
      </c>
      <c r="G187" s="41">
        <f t="shared" si="16"/>
        <v>121.00000000000001</v>
      </c>
      <c r="H187" s="41"/>
      <c r="I187" s="5" t="s">
        <v>20</v>
      </c>
    </row>
    <row r="188" spans="1:9" s="5" customFormat="1" ht="20.100000000000001" customHeight="1" x14ac:dyDescent="0.2">
      <c r="A188" s="41" t="s">
        <v>55</v>
      </c>
      <c r="B188" s="42">
        <f>DATE(2013,7,22)</f>
        <v>41477</v>
      </c>
      <c r="C188" s="41">
        <v>9.5</v>
      </c>
      <c r="D188" s="41"/>
      <c r="E188" s="41">
        <v>20</v>
      </c>
      <c r="F188" s="41">
        <v>1.1000000000000001</v>
      </c>
      <c r="G188" s="41">
        <f t="shared" si="16"/>
        <v>209.00000000000003</v>
      </c>
      <c r="H188" s="41"/>
      <c r="I188" s="5" t="s">
        <v>20</v>
      </c>
    </row>
    <row r="189" spans="1:9" s="5" customFormat="1" ht="20.100000000000001" customHeight="1" x14ac:dyDescent="0.2">
      <c r="A189" s="41" t="s">
        <v>55</v>
      </c>
      <c r="B189" s="42">
        <f>DATE(2013,7,23)</f>
        <v>41478</v>
      </c>
      <c r="C189" s="41">
        <v>10.5</v>
      </c>
      <c r="D189" s="41"/>
      <c r="E189" s="41">
        <v>20</v>
      </c>
      <c r="F189" s="41">
        <v>1.1000000000000001</v>
      </c>
      <c r="G189" s="41">
        <f t="shared" si="16"/>
        <v>231.00000000000003</v>
      </c>
      <c r="H189" s="41"/>
      <c r="I189" s="5" t="s">
        <v>20</v>
      </c>
    </row>
    <row r="190" spans="1:9" s="5" customFormat="1" ht="20.100000000000001" customHeight="1" x14ac:dyDescent="0.2">
      <c r="A190" s="41" t="s">
        <v>29</v>
      </c>
      <c r="B190" s="42">
        <f>DATE(2013,7,24)</f>
        <v>41479</v>
      </c>
      <c r="C190" s="41">
        <v>3</v>
      </c>
      <c r="D190" s="41"/>
      <c r="E190" s="41">
        <v>23</v>
      </c>
      <c r="F190" s="41">
        <v>1.1000000000000001</v>
      </c>
      <c r="G190" s="41">
        <f t="shared" si="16"/>
        <v>75.900000000000006</v>
      </c>
      <c r="H190" s="41" t="s">
        <v>51</v>
      </c>
      <c r="I190" s="5" t="s">
        <v>20</v>
      </c>
    </row>
    <row r="191" spans="1:9" s="5" customFormat="1" ht="20.100000000000001" customHeight="1" x14ac:dyDescent="0.2">
      <c r="A191" s="41" t="s">
        <v>28</v>
      </c>
      <c r="B191" s="42">
        <f>DATE(2013,7,24)</f>
        <v>41479</v>
      </c>
      <c r="C191" s="41">
        <v>3</v>
      </c>
      <c r="D191" s="41"/>
      <c r="E191" s="41">
        <v>42</v>
      </c>
      <c r="F191" s="41">
        <v>1.1000000000000001</v>
      </c>
      <c r="G191" s="41">
        <f t="shared" si="16"/>
        <v>138.60000000000002</v>
      </c>
      <c r="H191" s="41" t="s">
        <v>51</v>
      </c>
      <c r="I191" s="5" t="s">
        <v>20</v>
      </c>
    </row>
    <row r="192" spans="1:9" s="5" customFormat="1" ht="20.100000000000001" customHeight="1" x14ac:dyDescent="0.2">
      <c r="A192" s="41" t="s">
        <v>37</v>
      </c>
      <c r="B192" s="42">
        <f>DATE(2013,7,24)</f>
        <v>41479</v>
      </c>
      <c r="C192" s="41">
        <v>3</v>
      </c>
      <c r="D192" s="41"/>
      <c r="E192" s="41">
        <v>15</v>
      </c>
      <c r="F192" s="41">
        <v>1.1000000000000001</v>
      </c>
      <c r="G192" s="41">
        <f t="shared" si="16"/>
        <v>49.500000000000007</v>
      </c>
      <c r="H192" s="41" t="s">
        <v>51</v>
      </c>
      <c r="I192" s="5" t="s">
        <v>20</v>
      </c>
    </row>
    <row r="193" spans="1:9" s="5" customFormat="1" ht="20.100000000000001" customHeight="1" x14ac:dyDescent="0.2">
      <c r="A193" s="41" t="s">
        <v>25</v>
      </c>
      <c r="B193" s="42">
        <f>DATE(2013,7,24)</f>
        <v>41479</v>
      </c>
      <c r="C193" s="41">
        <v>19.75</v>
      </c>
      <c r="D193" s="41"/>
      <c r="E193" s="41">
        <v>35</v>
      </c>
      <c r="F193" s="41">
        <v>1</v>
      </c>
      <c r="G193" s="41">
        <f t="shared" si="16"/>
        <v>691.25</v>
      </c>
      <c r="H193" s="41" t="s">
        <v>44</v>
      </c>
      <c r="I193" s="5" t="s">
        <v>20</v>
      </c>
    </row>
    <row r="194" spans="1:9" s="5" customFormat="1" ht="20.100000000000001" customHeight="1" x14ac:dyDescent="0.2">
      <c r="A194" s="41" t="s">
        <v>25</v>
      </c>
      <c r="B194" s="42">
        <f>DATE(2013,7,26)</f>
        <v>41481</v>
      </c>
      <c r="C194" s="41">
        <f>40-C193</f>
        <v>20.25</v>
      </c>
      <c r="D194" s="41"/>
      <c r="E194" s="41">
        <v>35</v>
      </c>
      <c r="F194" s="41">
        <v>1</v>
      </c>
      <c r="G194" s="41">
        <f t="shared" si="16"/>
        <v>708.75</v>
      </c>
      <c r="H194" s="41" t="s">
        <v>56</v>
      </c>
      <c r="I194" s="5" t="s">
        <v>20</v>
      </c>
    </row>
    <row r="195" spans="1:9" s="5" customFormat="1" ht="20.100000000000001" customHeight="1" x14ac:dyDescent="0.2">
      <c r="A195" s="41" t="s">
        <v>40</v>
      </c>
      <c r="B195" s="42">
        <f>DATE(2013,8,9)</f>
        <v>41495</v>
      </c>
      <c r="C195" s="41">
        <v>17</v>
      </c>
      <c r="D195" s="41"/>
      <c r="E195" s="41">
        <v>50</v>
      </c>
      <c r="F195" s="41">
        <v>1</v>
      </c>
      <c r="G195" s="41">
        <f t="shared" ref="G195:G196" si="17">((C195+D195)*E195)*F195</f>
        <v>850</v>
      </c>
      <c r="H195" s="41"/>
      <c r="I195" s="5" t="s">
        <v>20</v>
      </c>
    </row>
    <row r="196" spans="1:9" s="5" customFormat="1" ht="20.100000000000001" customHeight="1" x14ac:dyDescent="0.2">
      <c r="A196" s="41" t="s">
        <v>41</v>
      </c>
      <c r="B196" s="42">
        <f>DATE(2013,8,12)</f>
        <v>41498</v>
      </c>
      <c r="C196" s="41">
        <v>9.5</v>
      </c>
      <c r="D196" s="41"/>
      <c r="E196" s="41">
        <v>35</v>
      </c>
      <c r="F196" s="41">
        <v>1</v>
      </c>
      <c r="G196" s="41">
        <f t="shared" si="17"/>
        <v>332.5</v>
      </c>
      <c r="H196" s="41"/>
      <c r="I196" s="5" t="s">
        <v>20</v>
      </c>
    </row>
    <row r="197" spans="1:9" s="5" customFormat="1" ht="20.100000000000001" customHeight="1" x14ac:dyDescent="0.2">
      <c r="A197" s="41" t="s">
        <v>42</v>
      </c>
      <c r="B197" s="42">
        <f>DATE(2013,8,13)</f>
        <v>41499</v>
      </c>
      <c r="C197" s="41">
        <v>53.5</v>
      </c>
      <c r="D197" s="41"/>
      <c r="E197" s="41">
        <v>42</v>
      </c>
      <c r="F197" s="41">
        <v>1</v>
      </c>
      <c r="G197" s="41">
        <f t="shared" ref="G197:G231" si="18">((C197+D197)*E197)*F197</f>
        <v>2247</v>
      </c>
      <c r="H197" s="41"/>
      <c r="I197" s="5" t="s">
        <v>20</v>
      </c>
    </row>
    <row r="198" spans="1:9" s="5" customFormat="1" ht="20.100000000000001" customHeight="1" x14ac:dyDescent="0.2">
      <c r="A198" s="41" t="s">
        <v>42</v>
      </c>
      <c r="B198" s="42">
        <f>DATE(2013,8,14)</f>
        <v>41500</v>
      </c>
      <c r="C198" s="41">
        <v>55.5</v>
      </c>
      <c r="D198" s="41"/>
      <c r="E198" s="41">
        <v>42</v>
      </c>
      <c r="F198" s="41">
        <v>1</v>
      </c>
      <c r="G198" s="41">
        <f t="shared" si="18"/>
        <v>2331</v>
      </c>
      <c r="H198" s="41"/>
      <c r="I198" s="5" t="s">
        <v>20</v>
      </c>
    </row>
    <row r="199" spans="1:9" s="5" customFormat="1" ht="20.100000000000001" customHeight="1" x14ac:dyDescent="0.2">
      <c r="A199" s="41" t="s">
        <v>27</v>
      </c>
      <c r="B199" s="42">
        <f>DATE(2013,8,15)</f>
        <v>41501</v>
      </c>
      <c r="C199" s="41">
        <v>10</v>
      </c>
      <c r="D199" s="41"/>
      <c r="E199" s="41">
        <v>22</v>
      </c>
      <c r="F199" s="41">
        <v>1.1000000000000001</v>
      </c>
      <c r="G199" s="41">
        <f t="shared" si="18"/>
        <v>242.00000000000003</v>
      </c>
      <c r="H199" s="41"/>
      <c r="I199" s="5" t="s">
        <v>20</v>
      </c>
    </row>
    <row r="200" spans="1:9" s="5" customFormat="1" ht="20.100000000000001" customHeight="1" x14ac:dyDescent="0.2">
      <c r="A200" s="41" t="s">
        <v>42</v>
      </c>
      <c r="B200" s="42">
        <f>DATE(2013,8,15)</f>
        <v>41501</v>
      </c>
      <c r="C200" s="41">
        <f>36-1.5</f>
        <v>34.5</v>
      </c>
      <c r="D200" s="41"/>
      <c r="E200" s="41">
        <v>42</v>
      </c>
      <c r="F200" s="41">
        <v>1</v>
      </c>
      <c r="G200" s="41">
        <f t="shared" si="18"/>
        <v>1449</v>
      </c>
      <c r="H200" s="41"/>
      <c r="I200" s="5" t="s">
        <v>20</v>
      </c>
    </row>
    <row r="201" spans="1:9" s="5" customFormat="1" ht="20.100000000000001" customHeight="1" x14ac:dyDescent="0.2">
      <c r="A201" s="41" t="s">
        <v>41</v>
      </c>
      <c r="B201" s="42">
        <f>DATE(2013,8,15)</f>
        <v>41501</v>
      </c>
      <c r="C201" s="41">
        <v>10</v>
      </c>
      <c r="D201" s="41"/>
      <c r="E201" s="41">
        <v>35</v>
      </c>
      <c r="F201" s="41">
        <v>1</v>
      </c>
      <c r="G201" s="41">
        <f t="shared" si="18"/>
        <v>350</v>
      </c>
      <c r="H201" s="41"/>
      <c r="I201" s="5" t="s">
        <v>20</v>
      </c>
    </row>
    <row r="202" spans="1:9" s="5" customFormat="1" ht="20.100000000000001" customHeight="1" x14ac:dyDescent="0.2">
      <c r="A202" s="41" t="s">
        <v>27</v>
      </c>
      <c r="B202" s="42">
        <f>DATE(2013,8,16)</f>
        <v>41502</v>
      </c>
      <c r="C202" s="41">
        <v>10</v>
      </c>
      <c r="D202" s="41"/>
      <c r="E202" s="41">
        <v>22</v>
      </c>
      <c r="F202" s="41">
        <v>1.1000000000000001</v>
      </c>
      <c r="G202" s="41">
        <f t="shared" si="18"/>
        <v>242.00000000000003</v>
      </c>
      <c r="H202" s="41"/>
      <c r="I202" s="5" t="s">
        <v>20</v>
      </c>
    </row>
    <row r="203" spans="1:9" s="5" customFormat="1" ht="20.100000000000001" customHeight="1" x14ac:dyDescent="0.2">
      <c r="A203" s="41" t="s">
        <v>26</v>
      </c>
      <c r="B203" s="42">
        <f>DATE(2013,8,16)</f>
        <v>41502</v>
      </c>
      <c r="C203" s="41">
        <v>4</v>
      </c>
      <c r="D203" s="41"/>
      <c r="E203" s="41">
        <v>25</v>
      </c>
      <c r="F203" s="41">
        <v>1.1000000000000001</v>
      </c>
      <c r="G203" s="41">
        <f t="shared" si="18"/>
        <v>110.00000000000001</v>
      </c>
      <c r="H203" s="41"/>
      <c r="I203" s="5" t="s">
        <v>20</v>
      </c>
    </row>
    <row r="204" spans="1:9" s="5" customFormat="1" ht="20.100000000000001" customHeight="1" x14ac:dyDescent="0.2">
      <c r="A204" s="41" t="s">
        <v>41</v>
      </c>
      <c r="B204" s="42">
        <f>DATE(2013,8,16)</f>
        <v>41502</v>
      </c>
      <c r="C204" s="41">
        <v>9.75</v>
      </c>
      <c r="D204" s="41"/>
      <c r="E204" s="41">
        <v>35</v>
      </c>
      <c r="F204" s="41">
        <v>1</v>
      </c>
      <c r="G204" s="41">
        <f t="shared" si="18"/>
        <v>341.25</v>
      </c>
      <c r="H204" s="41" t="s">
        <v>52</v>
      </c>
      <c r="I204" s="5" t="s">
        <v>20</v>
      </c>
    </row>
    <row r="205" spans="1:9" s="5" customFormat="1" ht="20.100000000000001" customHeight="1" x14ac:dyDescent="0.2">
      <c r="A205" s="41" t="s">
        <v>27</v>
      </c>
      <c r="B205" s="42">
        <f>DATE(2013,8,19)</f>
        <v>41505</v>
      </c>
      <c r="C205" s="41">
        <v>9.75</v>
      </c>
      <c r="D205" s="41"/>
      <c r="E205" s="41">
        <v>22</v>
      </c>
      <c r="F205" s="41">
        <v>1.1000000000000001</v>
      </c>
      <c r="G205" s="41">
        <f t="shared" si="18"/>
        <v>235.95000000000002</v>
      </c>
      <c r="H205" s="41"/>
      <c r="I205" s="5" t="s">
        <v>20</v>
      </c>
    </row>
    <row r="206" spans="1:9" s="5" customFormat="1" ht="20.100000000000001" customHeight="1" x14ac:dyDescent="0.2">
      <c r="A206" s="41" t="s">
        <v>26</v>
      </c>
      <c r="B206" s="42">
        <f>DATE(2013,8,19)</f>
        <v>41505</v>
      </c>
      <c r="C206" s="41">
        <v>9.25</v>
      </c>
      <c r="D206" s="41"/>
      <c r="E206" s="41">
        <v>25</v>
      </c>
      <c r="F206" s="41">
        <v>1.1000000000000001</v>
      </c>
      <c r="G206" s="41">
        <f t="shared" si="18"/>
        <v>254.37500000000003</v>
      </c>
      <c r="H206" s="41" t="s">
        <v>52</v>
      </c>
    </row>
    <row r="207" spans="1:9" s="5" customFormat="1" ht="20.100000000000001" customHeight="1" x14ac:dyDescent="0.2">
      <c r="A207" s="41" t="s">
        <v>41</v>
      </c>
      <c r="B207" s="42">
        <f>DATE(2013,8,19)</f>
        <v>41505</v>
      </c>
      <c r="C207" s="41">
        <v>10.25</v>
      </c>
      <c r="D207" s="41"/>
      <c r="E207" s="41">
        <v>35</v>
      </c>
      <c r="F207" s="41">
        <v>1</v>
      </c>
      <c r="G207" s="41">
        <f t="shared" si="18"/>
        <v>358.75</v>
      </c>
      <c r="H207" s="41" t="s">
        <v>52</v>
      </c>
      <c r="I207" s="5" t="s">
        <v>20</v>
      </c>
    </row>
    <row r="208" spans="1:9" s="5" customFormat="1" ht="20.100000000000001" customHeight="1" x14ac:dyDescent="0.2">
      <c r="A208" s="41" t="s">
        <v>26</v>
      </c>
      <c r="B208" s="42">
        <f>DATE(2013,8,20)</f>
        <v>41506</v>
      </c>
      <c r="C208" s="41">
        <v>5.25</v>
      </c>
      <c r="D208" s="41"/>
      <c r="E208" s="41">
        <v>25</v>
      </c>
      <c r="F208" s="41">
        <v>1.1000000000000001</v>
      </c>
      <c r="G208" s="41">
        <f t="shared" si="18"/>
        <v>144.375</v>
      </c>
      <c r="H208" s="41" t="s">
        <v>52</v>
      </c>
    </row>
    <row r="209" spans="1:9" s="5" customFormat="1" ht="20.100000000000001" customHeight="1" x14ac:dyDescent="0.2">
      <c r="A209" s="41" t="s">
        <v>41</v>
      </c>
      <c r="B209" s="42">
        <f>DATE(2013,8,20)</f>
        <v>41506</v>
      </c>
      <c r="C209" s="41">
        <v>8.5</v>
      </c>
      <c r="D209" s="41"/>
      <c r="E209" s="41">
        <v>35</v>
      </c>
      <c r="F209" s="41">
        <v>1</v>
      </c>
      <c r="G209" s="41">
        <f t="shared" si="18"/>
        <v>297.5</v>
      </c>
      <c r="H209" s="41" t="s">
        <v>52</v>
      </c>
      <c r="I209" s="5" t="s">
        <v>20</v>
      </c>
    </row>
    <row r="210" spans="1:9" s="5" customFormat="1" ht="20.100000000000001" customHeight="1" x14ac:dyDescent="0.2">
      <c r="A210" s="41" t="s">
        <v>41</v>
      </c>
      <c r="B210" s="42">
        <f>DATE(2013,8,21)</f>
        <v>41507</v>
      </c>
      <c r="C210" s="41">
        <v>9.25</v>
      </c>
      <c r="D210" s="41"/>
      <c r="E210" s="41">
        <v>35</v>
      </c>
      <c r="F210" s="41">
        <v>1</v>
      </c>
      <c r="G210" s="41">
        <f t="shared" si="18"/>
        <v>323.75</v>
      </c>
      <c r="H210" s="41" t="s">
        <v>52</v>
      </c>
      <c r="I210" s="5" t="s">
        <v>20</v>
      </c>
    </row>
    <row r="211" spans="1:9" s="5" customFormat="1" ht="20.100000000000001" customHeight="1" x14ac:dyDescent="0.2">
      <c r="A211" s="41" t="s">
        <v>27</v>
      </c>
      <c r="B211" s="42">
        <f>DATE(2013,8,22)</f>
        <v>41508</v>
      </c>
      <c r="C211" s="41">
        <v>8.75</v>
      </c>
      <c r="D211" s="41"/>
      <c r="E211" s="41">
        <v>22</v>
      </c>
      <c r="F211" s="41">
        <v>1.1000000000000001</v>
      </c>
      <c r="G211" s="41">
        <f t="shared" si="18"/>
        <v>211.75000000000003</v>
      </c>
      <c r="H211" s="41" t="s">
        <v>52</v>
      </c>
    </row>
    <row r="212" spans="1:9" s="5" customFormat="1" ht="20.100000000000001" customHeight="1" x14ac:dyDescent="0.2">
      <c r="A212" s="41" t="s">
        <v>26</v>
      </c>
      <c r="B212" s="42">
        <f>DATE(2013,8,22)</f>
        <v>41508</v>
      </c>
      <c r="C212" s="41">
        <v>8</v>
      </c>
      <c r="D212" s="41"/>
      <c r="E212" s="41">
        <v>25</v>
      </c>
      <c r="F212" s="41">
        <v>1.1000000000000001</v>
      </c>
      <c r="G212" s="41">
        <f t="shared" si="18"/>
        <v>220.00000000000003</v>
      </c>
      <c r="H212" s="41" t="s">
        <v>52</v>
      </c>
    </row>
    <row r="213" spans="1:9" s="5" customFormat="1" ht="20.100000000000001" customHeight="1" x14ac:dyDescent="0.2">
      <c r="A213" s="41" t="s">
        <v>26</v>
      </c>
      <c r="B213" s="42">
        <f>DATE(2013,8,23)</f>
        <v>41509</v>
      </c>
      <c r="C213" s="41">
        <v>9.75</v>
      </c>
      <c r="D213" s="41"/>
      <c r="E213" s="41">
        <v>25</v>
      </c>
      <c r="F213" s="41">
        <v>1.1000000000000001</v>
      </c>
      <c r="G213" s="41">
        <f t="shared" si="18"/>
        <v>268.125</v>
      </c>
      <c r="H213" s="41" t="s">
        <v>52</v>
      </c>
    </row>
    <row r="214" spans="1:9" s="5" customFormat="1" ht="20.100000000000001" customHeight="1" x14ac:dyDescent="0.2">
      <c r="A214" s="41" t="s">
        <v>27</v>
      </c>
      <c r="B214" s="42">
        <f>DATE(2013,8,23)</f>
        <v>41509</v>
      </c>
      <c r="C214" s="41">
        <v>10</v>
      </c>
      <c r="D214" s="41"/>
      <c r="E214" s="41">
        <v>22</v>
      </c>
      <c r="F214" s="41">
        <v>1.1000000000000001</v>
      </c>
      <c r="G214" s="41">
        <f t="shared" si="18"/>
        <v>242.00000000000003</v>
      </c>
      <c r="H214" s="41" t="s">
        <v>52</v>
      </c>
      <c r="I214" s="5" t="s">
        <v>20</v>
      </c>
    </row>
    <row r="215" spans="1:9" s="5" customFormat="1" ht="20.100000000000001" customHeight="1" x14ac:dyDescent="0.2">
      <c r="A215" s="41" t="s">
        <v>26</v>
      </c>
      <c r="B215" s="42">
        <f>DATE(2013,8,23)</f>
        <v>41509</v>
      </c>
      <c r="C215" s="41">
        <v>10</v>
      </c>
      <c r="D215" s="41"/>
      <c r="E215" s="41">
        <v>25</v>
      </c>
      <c r="F215" s="41">
        <v>1.1000000000000001</v>
      </c>
      <c r="G215" s="41">
        <f t="shared" si="18"/>
        <v>275</v>
      </c>
      <c r="H215" s="41" t="s">
        <v>52</v>
      </c>
      <c r="I215" s="5" t="s">
        <v>20</v>
      </c>
    </row>
    <row r="216" spans="1:9" s="5" customFormat="1" ht="20.100000000000001" customHeight="1" x14ac:dyDescent="0.2">
      <c r="A216" s="41" t="s">
        <v>41</v>
      </c>
      <c r="B216" s="42">
        <f>DATE(2013,8,23)</f>
        <v>41509</v>
      </c>
      <c r="C216" s="41">
        <v>10</v>
      </c>
      <c r="D216" s="41"/>
      <c r="E216" s="41">
        <v>35</v>
      </c>
      <c r="F216" s="41">
        <v>1</v>
      </c>
      <c r="G216" s="41">
        <f t="shared" si="18"/>
        <v>350</v>
      </c>
      <c r="H216" s="41"/>
      <c r="I216" s="5" t="s">
        <v>20</v>
      </c>
    </row>
    <row r="217" spans="1:9" s="5" customFormat="1" ht="20.100000000000001" customHeight="1" x14ac:dyDescent="0.2">
      <c r="A217" s="41" t="s">
        <v>27</v>
      </c>
      <c r="B217" s="42">
        <f>DATE(2013,8,26)</f>
        <v>41512</v>
      </c>
      <c r="C217" s="41">
        <v>9.25</v>
      </c>
      <c r="D217" s="41"/>
      <c r="E217" s="41">
        <v>22</v>
      </c>
      <c r="F217" s="41">
        <v>1.1000000000000001</v>
      </c>
      <c r="G217" s="41">
        <f t="shared" si="18"/>
        <v>223.85000000000002</v>
      </c>
      <c r="H217" s="41" t="s">
        <v>53</v>
      </c>
      <c r="I217" s="5" t="s">
        <v>20</v>
      </c>
    </row>
    <row r="218" spans="1:9" s="5" customFormat="1" ht="20.100000000000001" customHeight="1" x14ac:dyDescent="0.2">
      <c r="A218" s="41" t="s">
        <v>26</v>
      </c>
      <c r="B218" s="42">
        <f>DATE(2013,8,26)</f>
        <v>41512</v>
      </c>
      <c r="C218" s="41">
        <v>9.25</v>
      </c>
      <c r="D218" s="41"/>
      <c r="E218" s="41">
        <v>25</v>
      </c>
      <c r="F218" s="41">
        <v>1.1000000000000001</v>
      </c>
      <c r="G218" s="41">
        <f t="shared" si="18"/>
        <v>254.37500000000003</v>
      </c>
      <c r="H218" s="41" t="s">
        <v>53</v>
      </c>
      <c r="I218" s="5" t="s">
        <v>20</v>
      </c>
    </row>
    <row r="219" spans="1:9" s="5" customFormat="1" ht="20.100000000000001" customHeight="1" x14ac:dyDescent="0.2">
      <c r="A219" s="41" t="s">
        <v>41</v>
      </c>
      <c r="B219" s="42">
        <f>DATE(2013,8,26)</f>
        <v>41512</v>
      </c>
      <c r="C219" s="41">
        <v>9.25</v>
      </c>
      <c r="D219" s="41"/>
      <c r="E219" s="41">
        <v>35</v>
      </c>
      <c r="F219" s="41">
        <v>1</v>
      </c>
      <c r="G219" s="41">
        <f t="shared" si="18"/>
        <v>323.75</v>
      </c>
      <c r="H219" s="41"/>
      <c r="I219" s="5" t="s">
        <v>20</v>
      </c>
    </row>
    <row r="220" spans="1:9" s="5" customFormat="1" ht="20.100000000000001" customHeight="1" x14ac:dyDescent="0.2">
      <c r="A220" s="41" t="s">
        <v>27</v>
      </c>
      <c r="B220" s="42">
        <f>DATE(2013,8,27)</f>
        <v>41513</v>
      </c>
      <c r="C220" s="41">
        <v>10</v>
      </c>
      <c r="D220" s="41"/>
      <c r="E220" s="41">
        <v>22</v>
      </c>
      <c r="F220" s="41">
        <v>1.1000000000000001</v>
      </c>
      <c r="G220" s="41">
        <f t="shared" si="18"/>
        <v>242.00000000000003</v>
      </c>
      <c r="H220" s="41"/>
    </row>
    <row r="221" spans="1:9" s="5" customFormat="1" ht="20.100000000000001" customHeight="1" x14ac:dyDescent="0.2">
      <c r="A221" s="41" t="s">
        <v>27</v>
      </c>
      <c r="B221" s="42">
        <f>DATE(2013,8,28)</f>
        <v>41514</v>
      </c>
      <c r="C221" s="41">
        <v>10.25</v>
      </c>
      <c r="D221" s="41"/>
      <c r="E221" s="41">
        <v>22</v>
      </c>
      <c r="F221" s="41">
        <v>1.1000000000000001</v>
      </c>
      <c r="G221" s="41">
        <f t="shared" si="18"/>
        <v>248.05</v>
      </c>
      <c r="H221" s="41"/>
      <c r="I221" s="5" t="s">
        <v>20</v>
      </c>
    </row>
    <row r="222" spans="1:9" s="5" customFormat="1" ht="20.100000000000001" customHeight="1" x14ac:dyDescent="0.2">
      <c r="A222" s="41" t="s">
        <v>41</v>
      </c>
      <c r="B222" s="42">
        <f>DATE(2013,8,28)</f>
        <v>41514</v>
      </c>
      <c r="C222" s="41">
        <v>10.25</v>
      </c>
      <c r="D222" s="41"/>
      <c r="E222" s="41">
        <v>35</v>
      </c>
      <c r="F222" s="41">
        <v>1</v>
      </c>
      <c r="G222" s="41">
        <f t="shared" si="18"/>
        <v>358.75</v>
      </c>
      <c r="H222" s="41"/>
      <c r="I222" s="5" t="s">
        <v>20</v>
      </c>
    </row>
    <row r="223" spans="1:9" s="5" customFormat="1" ht="20.100000000000001" customHeight="1" x14ac:dyDescent="0.2">
      <c r="A223" s="41" t="s">
        <v>27</v>
      </c>
      <c r="B223" s="42">
        <f>DATE(2013,8,29)</f>
        <v>41515</v>
      </c>
      <c r="C223" s="41">
        <v>10.25</v>
      </c>
      <c r="D223" s="41"/>
      <c r="E223" s="41">
        <v>22</v>
      </c>
      <c r="F223" s="41">
        <v>1.1000000000000001</v>
      </c>
      <c r="G223" s="41">
        <f t="shared" si="18"/>
        <v>248.05</v>
      </c>
      <c r="H223" s="41"/>
      <c r="I223" s="5" t="s">
        <v>20</v>
      </c>
    </row>
    <row r="224" spans="1:9" s="5" customFormat="1" ht="20.100000000000001" customHeight="1" x14ac:dyDescent="0.2">
      <c r="A224" s="41" t="s">
        <v>41</v>
      </c>
      <c r="B224" s="42">
        <f>DATE(2013,8,29)</f>
        <v>41515</v>
      </c>
      <c r="C224" s="41">
        <v>10.25</v>
      </c>
      <c r="D224" s="41"/>
      <c r="E224" s="41">
        <v>35</v>
      </c>
      <c r="F224" s="41">
        <v>1</v>
      </c>
      <c r="G224" s="41">
        <f t="shared" si="18"/>
        <v>358.75</v>
      </c>
      <c r="H224" s="41"/>
      <c r="I224" s="5" t="s">
        <v>20</v>
      </c>
    </row>
    <row r="225" spans="1:9" s="5" customFormat="1" ht="20.100000000000001" customHeight="1" x14ac:dyDescent="0.2">
      <c r="A225" s="41" t="s">
        <v>41</v>
      </c>
      <c r="B225" s="42">
        <f>DATE(2013,8,30)</f>
        <v>41516</v>
      </c>
      <c r="C225" s="41">
        <v>9.25</v>
      </c>
      <c r="D225" s="41"/>
      <c r="E225" s="41">
        <v>35</v>
      </c>
      <c r="F225" s="41">
        <v>1</v>
      </c>
      <c r="G225" s="41">
        <f t="shared" si="18"/>
        <v>323.75</v>
      </c>
      <c r="H225" s="41"/>
      <c r="I225" s="5" t="s">
        <v>20</v>
      </c>
    </row>
    <row r="226" spans="1:9" s="5" customFormat="1" ht="20.100000000000001" customHeight="1" x14ac:dyDescent="0.2">
      <c r="A226" s="41" t="s">
        <v>42</v>
      </c>
      <c r="B226" s="42">
        <f>DATE(2013,8,30)</f>
        <v>41516</v>
      </c>
      <c r="C226" s="41">
        <v>9</v>
      </c>
      <c r="D226" s="41"/>
      <c r="E226" s="41">
        <v>42</v>
      </c>
      <c r="F226" s="41">
        <v>1</v>
      </c>
      <c r="G226" s="41">
        <f t="shared" si="18"/>
        <v>378</v>
      </c>
      <c r="H226" s="41"/>
      <c r="I226" s="5" t="s">
        <v>20</v>
      </c>
    </row>
    <row r="227" spans="1:9" s="5" customFormat="1" ht="20.100000000000001" customHeight="1" x14ac:dyDescent="0.2">
      <c r="A227" s="41" t="s">
        <v>26</v>
      </c>
      <c r="B227" s="42">
        <f>DATE(2013,8,30)</f>
        <v>41516</v>
      </c>
      <c r="C227" s="41">
        <v>9</v>
      </c>
      <c r="D227" s="41"/>
      <c r="E227" s="41">
        <v>25</v>
      </c>
      <c r="F227" s="41">
        <v>1.1000000000000001</v>
      </c>
      <c r="G227" s="41">
        <f t="shared" si="18"/>
        <v>247.50000000000003</v>
      </c>
      <c r="H227" s="41"/>
    </row>
    <row r="228" spans="1:9" s="5" customFormat="1" ht="20.100000000000001" customHeight="1" x14ac:dyDescent="0.2">
      <c r="A228" s="41" t="s">
        <v>37</v>
      </c>
      <c r="B228" s="42">
        <f>DATE(2013,8,30)</f>
        <v>41516</v>
      </c>
      <c r="C228" s="41">
        <v>9</v>
      </c>
      <c r="D228" s="41"/>
      <c r="E228" s="41">
        <v>15</v>
      </c>
      <c r="F228" s="41">
        <v>1.1000000000000001</v>
      </c>
      <c r="G228" s="41">
        <f t="shared" si="18"/>
        <v>148.5</v>
      </c>
      <c r="H228" s="41"/>
      <c r="I228" s="5" t="s">
        <v>20</v>
      </c>
    </row>
    <row r="229" spans="1:9" s="5" customFormat="1" ht="20.100000000000001" customHeight="1" x14ac:dyDescent="0.2">
      <c r="A229" s="41" t="s">
        <v>29</v>
      </c>
      <c r="B229" s="42">
        <f>DATE(2013,8,30)</f>
        <v>41516</v>
      </c>
      <c r="C229" s="41">
        <v>9</v>
      </c>
      <c r="D229" s="41"/>
      <c r="E229" s="41">
        <v>23</v>
      </c>
      <c r="F229" s="41">
        <v>1.1000000000000001</v>
      </c>
      <c r="G229" s="41">
        <f t="shared" si="18"/>
        <v>227.70000000000002</v>
      </c>
      <c r="H229" s="41"/>
      <c r="I229" s="5" t="s">
        <v>20</v>
      </c>
    </row>
    <row r="230" spans="1:9" s="5" customFormat="1" ht="20.100000000000001" customHeight="1" x14ac:dyDescent="0.2">
      <c r="A230" s="41" t="s">
        <v>41</v>
      </c>
      <c r="B230" s="42">
        <f t="shared" ref="B230:B231" si="19">DATE(2013,9,3)</f>
        <v>41520</v>
      </c>
      <c r="C230" s="41">
        <v>9.25</v>
      </c>
      <c r="D230" s="41"/>
      <c r="E230" s="41">
        <v>35</v>
      </c>
      <c r="F230" s="41">
        <v>1</v>
      </c>
      <c r="G230" s="41">
        <f t="shared" si="18"/>
        <v>323.75</v>
      </c>
      <c r="H230" s="41" t="s">
        <v>54</v>
      </c>
    </row>
    <row r="231" spans="1:9" s="5" customFormat="1" ht="20.100000000000001" customHeight="1" x14ac:dyDescent="0.2">
      <c r="A231" s="41" t="s">
        <v>27</v>
      </c>
      <c r="B231" s="42">
        <f t="shared" si="19"/>
        <v>41520</v>
      </c>
      <c r="C231" s="41">
        <v>9.25</v>
      </c>
      <c r="D231" s="41"/>
      <c r="E231" s="41">
        <v>22</v>
      </c>
      <c r="F231" s="41">
        <v>1.1000000000000001</v>
      </c>
      <c r="G231" s="41">
        <f t="shared" si="18"/>
        <v>223.85000000000002</v>
      </c>
      <c r="H231" s="41"/>
    </row>
    <row r="232" spans="1:9" ht="20.100000000000001" customHeight="1" x14ac:dyDescent="0.2">
      <c r="B232" s="36"/>
    </row>
    <row r="233" spans="1:9" ht="20.100000000000001" customHeight="1" x14ac:dyDescent="0.2">
      <c r="B233" s="36"/>
    </row>
    <row r="234" spans="1:9" ht="20.100000000000001" customHeight="1" x14ac:dyDescent="0.2">
      <c r="B234" s="36"/>
    </row>
    <row r="235" spans="1:9" ht="20.100000000000001" customHeight="1" x14ac:dyDescent="0.2">
      <c r="B235" s="36"/>
    </row>
    <row r="236" spans="1:9" ht="20.100000000000001" customHeight="1" x14ac:dyDescent="0.2">
      <c r="B236" s="36"/>
    </row>
    <row r="237" spans="1:9" ht="20.100000000000001" customHeight="1" x14ac:dyDescent="0.2">
      <c r="B237" s="36"/>
    </row>
    <row r="238" spans="1:9" ht="20.100000000000001" customHeight="1" x14ac:dyDescent="0.2">
      <c r="B238" s="36"/>
    </row>
    <row r="239" spans="1:9" ht="20.100000000000001" customHeight="1" x14ac:dyDescent="0.2">
      <c r="B239" s="36"/>
    </row>
    <row r="240" spans="1:9" ht="20.100000000000001" customHeight="1" x14ac:dyDescent="0.2">
      <c r="B240" s="36"/>
    </row>
    <row r="241" spans="2:2" ht="20.100000000000001" customHeight="1" x14ac:dyDescent="0.2">
      <c r="B241" s="36"/>
    </row>
    <row r="246" spans="2:2" ht="20.100000000000001" customHeight="1" x14ac:dyDescent="0.2">
      <c r="B246" s="36"/>
    </row>
    <row r="247" spans="2:2" ht="20.100000000000001" customHeight="1" x14ac:dyDescent="0.2">
      <c r="B247" s="36"/>
    </row>
    <row r="248" spans="2:2" ht="20.100000000000001" customHeight="1" x14ac:dyDescent="0.2">
      <c r="B248" s="36"/>
    </row>
    <row r="249" spans="2:2" ht="20.100000000000001" customHeight="1" x14ac:dyDescent="0.2">
      <c r="B249" s="36"/>
    </row>
    <row r="250" spans="2:2" ht="20.100000000000001" customHeight="1" x14ac:dyDescent="0.2">
      <c r="B250" s="36"/>
    </row>
    <row r="251" spans="2:2" ht="20.100000000000001" customHeight="1" x14ac:dyDescent="0.2">
      <c r="B251" s="36"/>
    </row>
  </sheetData>
  <pageMargins left="0.7" right="0.7" top="0.75" bottom="0.75" header="0.3" footer="0.3"/>
  <pageSetup scale="47" fitToHeight="0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C000"/>
  </sheetPr>
  <dimension ref="B2:L27"/>
  <sheetViews>
    <sheetView showGridLines="0" tabSelected="1" zoomScale="130" zoomScaleNormal="130" workbookViewId="0">
      <selection activeCell="E20" sqref="E20"/>
    </sheetView>
  </sheetViews>
  <sheetFormatPr defaultRowHeight="12.75" x14ac:dyDescent="0.2"/>
  <cols>
    <col min="1" max="1" width="3.7109375" customWidth="1"/>
    <col min="2" max="3" width="20.7109375" customWidth="1"/>
    <col min="4" max="4" width="3.7109375" customWidth="1"/>
    <col min="5" max="6" width="20.7109375" customWidth="1"/>
    <col min="7" max="7" width="3.7109375" customWidth="1"/>
    <col min="8" max="9" width="20.7109375" customWidth="1"/>
    <col min="10" max="10" width="3.7109375" customWidth="1"/>
    <col min="11" max="12" width="20.7109375" customWidth="1"/>
  </cols>
  <sheetData>
    <row r="2" spans="2:12" x14ac:dyDescent="0.2">
      <c r="B2" s="78" t="s">
        <v>1251</v>
      </c>
      <c r="C2" s="79"/>
      <c r="E2" s="78" t="s">
        <v>1252</v>
      </c>
      <c r="F2" s="79"/>
      <c r="H2" s="78" t="s">
        <v>1251</v>
      </c>
      <c r="I2" s="79"/>
      <c r="K2" s="78" t="s">
        <v>1252</v>
      </c>
      <c r="L2" s="79"/>
    </row>
    <row r="3" spans="2:12" ht="3.75" customHeight="1" x14ac:dyDescent="0.2"/>
    <row r="4" spans="2:12" x14ac:dyDescent="0.2">
      <c r="B4" s="72" t="s">
        <v>1247</v>
      </c>
      <c r="C4" s="73">
        <v>0</v>
      </c>
      <c r="E4" s="72" t="s">
        <v>1247</v>
      </c>
      <c r="F4" s="73">
        <v>0</v>
      </c>
      <c r="H4" s="72" t="s">
        <v>1247</v>
      </c>
      <c r="I4" s="73">
        <v>1</v>
      </c>
      <c r="K4" s="72" t="s">
        <v>1247</v>
      </c>
      <c r="L4" s="73">
        <v>1</v>
      </c>
    </row>
    <row r="5" spans="2:12" x14ac:dyDescent="0.2">
      <c r="B5" s="72" t="s">
        <v>1248</v>
      </c>
      <c r="C5" s="73">
        <v>1</v>
      </c>
      <c r="E5" s="72" t="s">
        <v>1248</v>
      </c>
      <c r="F5" s="73">
        <v>1</v>
      </c>
      <c r="H5" s="72" t="s">
        <v>1248</v>
      </c>
      <c r="I5" s="73">
        <v>1</v>
      </c>
      <c r="K5" s="72" t="s">
        <v>1248</v>
      </c>
      <c r="L5" s="73">
        <v>1</v>
      </c>
    </row>
    <row r="6" spans="2:12" x14ac:dyDescent="0.2">
      <c r="B6" s="72" t="s">
        <v>1249</v>
      </c>
      <c r="C6" s="74">
        <v>0</v>
      </c>
      <c r="E6" s="72" t="s">
        <v>1249</v>
      </c>
      <c r="F6" s="77">
        <f ca="1">'DASHBOARD WI'!$E4</f>
        <v>41407</v>
      </c>
      <c r="H6" s="72" t="s">
        <v>1249</v>
      </c>
      <c r="I6" s="74">
        <v>0</v>
      </c>
      <c r="K6" s="72" t="s">
        <v>1249</v>
      </c>
      <c r="L6" s="77">
        <f ca="1">'DASHBOARD WI'!$E4</f>
        <v>41407</v>
      </c>
    </row>
    <row r="7" spans="2:12" x14ac:dyDescent="0.2">
      <c r="B7" s="72" t="s">
        <v>1250</v>
      </c>
      <c r="C7" s="74">
        <v>0</v>
      </c>
      <c r="E7" s="72" t="s">
        <v>1250</v>
      </c>
      <c r="F7" s="77">
        <f ca="1">'DASHBOARD WI'!$E5</f>
        <v>41520</v>
      </c>
      <c r="H7" s="72" t="s">
        <v>1250</v>
      </c>
      <c r="I7" s="74">
        <v>0</v>
      </c>
      <c r="K7" s="72" t="s">
        <v>1250</v>
      </c>
      <c r="L7" s="77">
        <f ca="1">'DASHBOARD WI'!$E5</f>
        <v>41520</v>
      </c>
    </row>
    <row r="8" spans="2:12" ht="3.75" customHeight="1" x14ac:dyDescent="0.2"/>
    <row r="9" spans="2:12" x14ac:dyDescent="0.2">
      <c r="B9" s="76" t="str">
        <f t="array" ref="B9:C27">FILTERED_SUM_FUNC(C$4,C$5,C$6,C$7,HOURS!$A$2:$H$231)</f>
        <v>McCluskey, Will</v>
      </c>
      <c r="C9" s="75">
        <v>7898.625</v>
      </c>
      <c r="E9" s="76" t="str">
        <f t="array" aca="1" ref="E9:F27" ca="1">FILTERED_SUM_FUNC(F$4,F$5,F$6,F$7,HOURS!$A$2:$H$231)</f>
        <v>McCluskey, Will</v>
      </c>
      <c r="F9" s="75">
        <f ca="1"/>
        <v>7898.625</v>
      </c>
      <c r="H9" s="76" t="str">
        <f t="array" ref="H9:I27">FILTERED_SUM_FUNC(I$4,I$5,I$6,I$7,HOURS!$A$2:$H$231)</f>
        <v>Declaring Variables</v>
      </c>
      <c r="I9" s="75">
        <v>5139.625</v>
      </c>
      <c r="K9" s="76" t="str">
        <f t="array" aca="1" ref="K9:L27" ca="1">FILTERED_SUM_FUNC(L$4,L$5,L$6,L$7,HOURS!$A$2:$H$231)</f>
        <v>Declaring Variables</v>
      </c>
      <c r="L9" s="75">
        <f ca="1"/>
        <v>5139.625</v>
      </c>
    </row>
    <row r="10" spans="2:12" x14ac:dyDescent="0.2">
      <c r="B10" s="76" t="str">
        <v>Fitzmaurice, Thomas</v>
      </c>
      <c r="C10" s="75">
        <v>7988.75</v>
      </c>
      <c r="E10" s="76" t="str">
        <f ca="1"/>
        <v>Fitzmaurice, Thomas</v>
      </c>
      <c r="F10" s="75">
        <f ca="1"/>
        <v>7988.75</v>
      </c>
      <c r="H10" s="76" t="str">
        <v>Assigning Variables</v>
      </c>
      <c r="I10" s="75">
        <v>25138.949999999997</v>
      </c>
      <c r="K10" s="76" t="str">
        <f ca="1"/>
        <v>Assigning Variables</v>
      </c>
      <c r="L10" s="75">
        <f ca="1"/>
        <v>25138.949999999997</v>
      </c>
    </row>
    <row r="11" spans="2:12" x14ac:dyDescent="0.2">
      <c r="B11" s="76" t="str">
        <v>Thanasse, Kate</v>
      </c>
      <c r="C11" s="75">
        <v>4991.2500000000009</v>
      </c>
      <c r="E11" s="76" t="str">
        <f ca="1"/>
        <v>Thanasse, Kate</v>
      </c>
      <c r="F11" s="75">
        <f ca="1"/>
        <v>4991.2500000000009</v>
      </c>
      <c r="H11" s="76" t="str">
        <v>Optimizing Loops</v>
      </c>
      <c r="I11" s="75">
        <v>180.9</v>
      </c>
      <c r="K11" s="76" t="str">
        <f ca="1"/>
        <v>Optimizing Loops</v>
      </c>
      <c r="L11" s="75">
        <f ca="1"/>
        <v>180.9</v>
      </c>
    </row>
    <row r="12" spans="2:12" x14ac:dyDescent="0.2">
      <c r="B12" s="76" t="str">
        <v>Todd, Amy</v>
      </c>
      <c r="C12" s="75">
        <v>5243.7000000000016</v>
      </c>
      <c r="E12" s="76" t="str">
        <f ca="1"/>
        <v>Todd, Amy</v>
      </c>
      <c r="F12" s="75">
        <f ca="1"/>
        <v>5243.7000000000016</v>
      </c>
      <c r="H12" s="76" t="str">
        <v>Aggregating Raw Data</v>
      </c>
      <c r="I12" s="75">
        <v>332.5</v>
      </c>
      <c r="K12" s="76" t="str">
        <f ca="1"/>
        <v>Aggregating Raw Data</v>
      </c>
      <c r="L12" s="75">
        <f ca="1"/>
        <v>332.5</v>
      </c>
    </row>
    <row r="13" spans="2:12" x14ac:dyDescent="0.2">
      <c r="B13" s="76" t="str">
        <v>Wang, Adam</v>
      </c>
      <c r="C13" s="75">
        <v>4604.6000000000004</v>
      </c>
      <c r="E13" s="76" t="str">
        <f ca="1"/>
        <v>Wang, Adam</v>
      </c>
      <c r="F13" s="75">
        <f ca="1"/>
        <v>4604.6000000000004</v>
      </c>
      <c r="H13" s="76" t="str">
        <v>Organizing Raw Data</v>
      </c>
      <c r="I13" s="75">
        <v>467.5</v>
      </c>
      <c r="K13" s="76" t="str">
        <f ca="1"/>
        <v>Organizing Raw Data</v>
      </c>
      <c r="L13" s="75">
        <f ca="1"/>
        <v>467.5</v>
      </c>
    </row>
    <row r="14" spans="2:12" x14ac:dyDescent="0.2">
      <c r="B14" s="76" t="str">
        <v>Romano, Stefan</v>
      </c>
      <c r="C14" s="75">
        <v>4010</v>
      </c>
      <c r="E14" s="76" t="str">
        <f ca="1"/>
        <v>Romano, Stefan</v>
      </c>
      <c r="F14" s="75">
        <f ca="1"/>
        <v>4010</v>
      </c>
      <c r="H14" s="76" t="str">
        <v>Creating Classes</v>
      </c>
      <c r="I14" s="75">
        <v>316.25</v>
      </c>
      <c r="K14" s="76" t="str">
        <f ca="1"/>
        <v>Creating Classes</v>
      </c>
      <c r="L14" s="75">
        <f ca="1"/>
        <v>316.25</v>
      </c>
    </row>
    <row r="15" spans="2:12" x14ac:dyDescent="0.2">
      <c r="B15" s="76" t="str">
        <v>Hind, Julie</v>
      </c>
      <c r="C15" s="75">
        <v>3037.5</v>
      </c>
      <c r="E15" s="76" t="str">
        <f ca="1"/>
        <v>Hind, Julie</v>
      </c>
      <c r="F15" s="75">
        <f ca="1"/>
        <v>3037.5</v>
      </c>
      <c r="H15" s="76" t="str">
        <v>Installin Add-Ins</v>
      </c>
      <c r="I15" s="75">
        <v>14471.600000000002</v>
      </c>
      <c r="K15" s="76" t="str">
        <f ca="1"/>
        <v>Installin Add-Ins</v>
      </c>
      <c r="L15" s="75">
        <f ca="1"/>
        <v>14471.600000000002</v>
      </c>
    </row>
    <row r="16" spans="2:12" x14ac:dyDescent="0.2">
      <c r="B16" s="76" t="str">
        <v>Liao, Cynthia</v>
      </c>
      <c r="C16" s="75">
        <v>2160</v>
      </c>
      <c r="E16" s="76" t="str">
        <f ca="1"/>
        <v>Liao, Cynthia</v>
      </c>
      <c r="F16" s="75">
        <f ca="1"/>
        <v>2160</v>
      </c>
      <c r="H16" s="76" t="str">
        <v>#N/A</v>
      </c>
      <c r="I16" s="75">
        <v>19559.099999999999</v>
      </c>
      <c r="K16" s="76" t="str">
        <f ca="1"/>
        <v>#N/A</v>
      </c>
      <c r="L16" s="75">
        <f ca="1"/>
        <v>19559.099999999999</v>
      </c>
    </row>
    <row r="17" spans="2:12" x14ac:dyDescent="0.2">
      <c r="B17" s="76" t="str">
        <v>Saunders, Chris</v>
      </c>
      <c r="C17" s="75">
        <v>2076.25</v>
      </c>
      <c r="E17" s="76" t="str">
        <f ca="1"/>
        <v>Saunders, Chris</v>
      </c>
      <c r="F17" s="75">
        <f ca="1"/>
        <v>2076.25</v>
      </c>
      <c r="H17" s="76" t="str">
        <v>Remove formulas "on-site"</v>
      </c>
      <c r="I17" s="75">
        <v>264.00000000000006</v>
      </c>
      <c r="K17" s="76" t="str">
        <f ca="1"/>
        <v>Remove formulas "on-site"</v>
      </c>
      <c r="L17" s="75">
        <f ca="1"/>
        <v>264.00000000000006</v>
      </c>
    </row>
    <row r="18" spans="2:12" x14ac:dyDescent="0.2">
      <c r="B18" s="76" t="str">
        <v>Faircloth, Juliana</v>
      </c>
      <c r="C18" s="75">
        <v>2318.25</v>
      </c>
      <c r="E18" s="76" t="str">
        <f ca="1"/>
        <v>Faircloth, Juliana</v>
      </c>
      <c r="F18" s="75">
        <f ca="1"/>
        <v>2318.25</v>
      </c>
      <c r="H18" s="76" t="str">
        <v>Coding functJiao, Liao, Cynthiarences</v>
      </c>
      <c r="I18" s="75">
        <v>708.75</v>
      </c>
      <c r="K18" s="76" t="str">
        <f ca="1"/>
        <v>Coding functJiao, Liao, Cynthiarences</v>
      </c>
      <c r="L18" s="75">
        <f ca="1"/>
        <v>708.75</v>
      </c>
    </row>
    <row r="19" spans="2:12" x14ac:dyDescent="0.2">
      <c r="B19" s="76" t="str">
        <v>Zhang, Chendi</v>
      </c>
      <c r="C19" s="75">
        <v>165</v>
      </c>
      <c r="E19" s="76" t="str">
        <f ca="1"/>
        <v>Zhang, Chendi</v>
      </c>
      <c r="F19" s="75">
        <f ca="1"/>
        <v>165</v>
      </c>
      <c r="H19" s="76" t="str">
        <v>Coding Subs</v>
      </c>
      <c r="I19" s="75">
        <v>2936.875</v>
      </c>
      <c r="K19" s="76" t="str">
        <f ca="1"/>
        <v>Coding Subs</v>
      </c>
      <c r="L19" s="75">
        <f ca="1"/>
        <v>2936.875</v>
      </c>
    </row>
    <row r="20" spans="2:12" x14ac:dyDescent="0.2">
      <c r="B20" s="76" t="str">
        <v>Ng, Melissa</v>
      </c>
      <c r="C20" s="75">
        <v>4125</v>
      </c>
      <c r="E20" s="76" t="str">
        <f ca="1"/>
        <v>Ng, Melissa</v>
      </c>
      <c r="F20" s="75">
        <f ca="1"/>
        <v>4125</v>
      </c>
      <c r="H20" s="76" t="str">
        <v>Putting all-together</v>
      </c>
      <c r="I20" s="75">
        <v>478.22500000000002</v>
      </c>
      <c r="K20" s="76" t="str">
        <f ca="1"/>
        <v>Putting all-together</v>
      </c>
      <c r="L20" s="75">
        <f ca="1"/>
        <v>478.22500000000002</v>
      </c>
    </row>
    <row r="21" spans="2:12" x14ac:dyDescent="0.2">
      <c r="B21" s="76" t="str">
        <v>Wong, Patricia</v>
      </c>
      <c r="C21" s="75">
        <v>2194.5</v>
      </c>
      <c r="E21" s="76" t="str">
        <f ca="1"/>
        <v>Wong, Patricia</v>
      </c>
      <c r="F21" s="75">
        <f ca="1"/>
        <v>2194.5</v>
      </c>
      <c r="H21" s="76" t="str">
        <v>Designing Dashboard</v>
      </c>
      <c r="I21" s="75">
        <v>323.75</v>
      </c>
      <c r="K21" s="76" t="str">
        <f ca="1"/>
        <v>Designing Dashboard</v>
      </c>
      <c r="L21" s="75">
        <f ca="1"/>
        <v>323.75</v>
      </c>
    </row>
    <row r="22" spans="2:12" x14ac:dyDescent="0.2">
      <c r="B22" s="76" t="str">
        <v>Voorberg, Adam</v>
      </c>
      <c r="C22" s="75">
        <v>716.10000000000014</v>
      </c>
      <c r="E22" s="76" t="str">
        <f ca="1"/>
        <v>Voorberg, Adam</v>
      </c>
      <c r="F22" s="75">
        <f ca="1"/>
        <v>716.10000000000014</v>
      </c>
      <c r="H22" s="76" t="e">
        <v>#N/A</v>
      </c>
      <c r="I22" s="75" t="e">
        <v>#N/A</v>
      </c>
      <c r="K22" s="76" t="e">
        <f ca="1"/>
        <v>#N/A</v>
      </c>
      <c r="L22" s="75" t="e">
        <f ca="1"/>
        <v>#N/A</v>
      </c>
    </row>
    <row r="23" spans="2:12" x14ac:dyDescent="0.2">
      <c r="B23" s="76" t="str">
        <v>Lau, Freda</v>
      </c>
      <c r="C23" s="75">
        <v>5225</v>
      </c>
      <c r="E23" s="76" t="str">
        <f ca="1"/>
        <v>Lau, Freda</v>
      </c>
      <c r="F23" s="75">
        <f ca="1"/>
        <v>5225</v>
      </c>
      <c r="H23" s="76" t="e">
        <v>#N/A</v>
      </c>
      <c r="I23" s="75" t="e">
        <v>#N/A</v>
      </c>
      <c r="K23" s="76" t="e">
        <f ca="1"/>
        <v>#N/A</v>
      </c>
      <c r="L23" s="75" t="e">
        <f ca="1"/>
        <v>#N/A</v>
      </c>
    </row>
    <row r="24" spans="2:12" x14ac:dyDescent="0.2">
      <c r="B24" s="76" t="str">
        <v>Jiao, Liao, Cynthiarence</v>
      </c>
      <c r="C24" s="75">
        <v>2266.0000000000005</v>
      </c>
      <c r="E24" s="76" t="str">
        <f ca="1"/>
        <v>Jiao, Liao, Cynthiarence</v>
      </c>
      <c r="F24" s="75">
        <f ca="1"/>
        <v>2266.0000000000005</v>
      </c>
      <c r="H24" s="76" t="e">
        <v>#N/A</v>
      </c>
      <c r="I24" s="75" t="e">
        <v>#N/A</v>
      </c>
      <c r="K24" s="76" t="e">
        <f ca="1"/>
        <v>#N/A</v>
      </c>
      <c r="L24" s="75" t="e">
        <f ca="1"/>
        <v>#N/A</v>
      </c>
    </row>
    <row r="25" spans="2:12" x14ac:dyDescent="0.2">
      <c r="B25" s="76" t="str">
        <v>Lin, Watson</v>
      </c>
      <c r="C25" s="75">
        <v>850</v>
      </c>
      <c r="E25" s="76" t="str">
        <f ca="1"/>
        <v>Lin, Watson</v>
      </c>
      <c r="F25" s="75">
        <f ca="1"/>
        <v>850</v>
      </c>
      <c r="H25" s="76" t="e">
        <v>#N/A</v>
      </c>
      <c r="I25" s="75" t="e">
        <v>#N/A</v>
      </c>
      <c r="K25" s="76" t="e">
        <f ca="1"/>
        <v>#N/A</v>
      </c>
      <c r="L25" s="75" t="e">
        <f ca="1"/>
        <v>#N/A</v>
      </c>
    </row>
    <row r="26" spans="2:12" x14ac:dyDescent="0.2">
      <c r="B26" s="76" t="str">
        <v>Deng, Roy</v>
      </c>
      <c r="C26" s="75">
        <v>4042.5</v>
      </c>
      <c r="E26" s="76" t="str">
        <f ca="1"/>
        <v>Deng, Roy</v>
      </c>
      <c r="F26" s="75">
        <f ca="1"/>
        <v>4042.5</v>
      </c>
      <c r="H26" s="76" t="e">
        <v>#N/A</v>
      </c>
      <c r="I26" s="75" t="e">
        <v>#N/A</v>
      </c>
      <c r="K26" s="76" t="e">
        <f ca="1"/>
        <v>#N/A</v>
      </c>
      <c r="L26" s="75" t="e">
        <f ca="1"/>
        <v>#N/A</v>
      </c>
    </row>
    <row r="27" spans="2:12" x14ac:dyDescent="0.2">
      <c r="B27" s="76" t="str">
        <v>Koh, Jonathan</v>
      </c>
      <c r="C27" s="75">
        <v>6405</v>
      </c>
      <c r="E27" s="76" t="str">
        <f ca="1"/>
        <v>Koh, Jonathan</v>
      </c>
      <c r="F27" s="75">
        <f ca="1"/>
        <v>6405</v>
      </c>
      <c r="H27" s="76" t="e">
        <v>#N/A</v>
      </c>
      <c r="I27" s="75" t="e">
        <v>#N/A</v>
      </c>
      <c r="K27" s="76" t="e">
        <f ca="1"/>
        <v>#N/A</v>
      </c>
      <c r="L27" s="75" t="e">
        <f ca="1"/>
        <v>#N/A</v>
      </c>
    </row>
  </sheetData>
  <dataValidations count="2">
    <dataValidation type="list" allowBlank="1" showInputMessage="1" showErrorMessage="1" sqref="C4 F4 I4 L4">
      <formula1>"0,1"</formula1>
    </dataValidation>
    <dataValidation type="whole" allowBlank="1" showInputMessage="1" showErrorMessage="1" sqref="C5 F5 I5 L5">
      <formula1>0</formula1>
      <formula2>1000</formula2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 WI</vt:lpstr>
      <vt:lpstr>Formulas</vt:lpstr>
      <vt:lpstr>HOURS</vt:lpstr>
      <vt:lpstr>FILTERED_SUM_FUNC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 Belu</dc:creator>
  <cp:lastModifiedBy>Windows User</cp:lastModifiedBy>
  <cp:lastPrinted>2013-09-05T13:37:32Z</cp:lastPrinted>
  <dcterms:created xsi:type="dcterms:W3CDTF">2012-08-16T15:12:06Z</dcterms:created>
  <dcterms:modified xsi:type="dcterms:W3CDTF">2013-11-14T07:22:49Z</dcterms:modified>
</cp:coreProperties>
</file>