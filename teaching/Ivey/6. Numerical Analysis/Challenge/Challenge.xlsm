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date1904="1" showInkAnnotation="0" codeName="ThisWorkbook" autoCompressPictures="0"/>
  <mc:AlternateContent xmlns:mc="http://schemas.openxmlformats.org/markup-compatibility/2006">
    <mc:Choice Requires="x15">
      <x15ac:absPath xmlns:x15ac="http://schemas.microsoft.com/office/spreadsheetml/2010/11/ac" url="C:\Users\rafae\Dropbox\TEACHING\Ivey\1. Class Material\2. DATA MGMT EXCEL\CLASS\3. Short Assignments\"/>
    </mc:Choice>
  </mc:AlternateContent>
  <bookViews>
    <workbookView xWindow="158" yWindow="0" windowWidth="19043" windowHeight="6300" tabRatio="898" activeTab="2"/>
  </bookViews>
  <sheets>
    <sheet name="Sheet1" sheetId="14" r:id="rId1"/>
    <sheet name="Sheet2" sheetId="15" r:id="rId2"/>
    <sheet name="Sanitized_Model" sheetId="12" r:id="rId3"/>
    <sheet name="Check" sheetId="13" r:id="rId4"/>
  </sheets>
  <functionGroups builtInGroupCount="18"/>
  <calcPr calcId="171027" iterate="1" concurrentCalc="0"/>
  <extLst>
    <ext xmlns:mx="http://schemas.microsoft.com/office/mac/excel/2008/main" uri="{7523E5D3-25F3-A5E0-1632-64F254C22452}">
      <mx:ArchID Flags="2"/>
    </ext>
  </extLst>
</workbook>
</file>

<file path=xl/calcChain.xml><?xml version="1.0" encoding="utf-8"?>
<calcChain xmlns="http://schemas.openxmlformats.org/spreadsheetml/2006/main">
  <c r="CU7" i="12" l="1"/>
  <c r="CU6" i="12"/>
  <c r="CU5" i="12"/>
  <c r="C2" i="14"/>
  <c r="J144" i="14"/>
  <c r="J145" i="14"/>
  <c r="J147" i="14"/>
  <c r="BS1" i="13"/>
  <c r="BT1" i="13"/>
  <c r="BU1" i="13"/>
  <c r="BV1" i="13"/>
  <c r="BW1" i="13"/>
  <c r="BX1" i="13"/>
  <c r="BY1" i="13"/>
  <c r="BZ1" i="13"/>
  <c r="CA1" i="13"/>
  <c r="CB1" i="13"/>
  <c r="CC1" i="13"/>
  <c r="CD1" i="13"/>
  <c r="CE1" i="13"/>
  <c r="CF1" i="13"/>
  <c r="CG1" i="13"/>
  <c r="CH1" i="13"/>
  <c r="CI1" i="13"/>
  <c r="CJ1" i="13"/>
  <c r="CK1" i="13"/>
  <c r="CL1" i="13"/>
  <c r="CM1" i="13"/>
  <c r="CN1" i="13"/>
  <c r="CO1" i="13"/>
  <c r="CP1" i="13"/>
  <c r="CQ1" i="13"/>
  <c r="CR1" i="13"/>
  <c r="CS1" i="13"/>
  <c r="CT1" i="13"/>
  <c r="CU1" i="13"/>
  <c r="CV1" i="13"/>
  <c r="CW1" i="13"/>
  <c r="CX1" i="13"/>
  <c r="CY1" i="13"/>
  <c r="CZ1" i="13"/>
  <c r="DA1" i="13"/>
  <c r="DB1" i="13"/>
  <c r="DC1" i="13"/>
  <c r="DD1" i="13"/>
  <c r="DE1" i="13"/>
  <c r="DF1" i="13"/>
  <c r="DG1" i="13"/>
  <c r="DH1" i="13"/>
  <c r="DI1" i="13"/>
  <c r="DJ1" i="13"/>
  <c r="DK1" i="13"/>
  <c r="DL1" i="13"/>
  <c r="DM1" i="13"/>
  <c r="DN1" i="13"/>
  <c r="DO1" i="13"/>
  <c r="DP1" i="13"/>
  <c r="DQ1" i="13"/>
  <c r="DR1" i="13"/>
  <c r="DS1" i="13"/>
  <c r="DT1" i="13"/>
  <c r="DU1" i="13"/>
  <c r="DV1" i="13"/>
  <c r="DW1" i="13"/>
  <c r="DX1" i="13"/>
  <c r="DY1" i="13"/>
  <c r="DZ1" i="13"/>
  <c r="EA1" i="13"/>
  <c r="EB1" i="13"/>
  <c r="EC1" i="13"/>
  <c r="ED1" i="13"/>
  <c r="EE1" i="13"/>
  <c r="EF1" i="13"/>
  <c r="EG1" i="13"/>
  <c r="EH1" i="13"/>
  <c r="EI1" i="13"/>
  <c r="EJ1" i="13"/>
  <c r="EK1" i="13"/>
  <c r="EL1" i="13"/>
  <c r="EM1" i="13"/>
  <c r="EN1" i="13"/>
  <c r="EO1" i="13"/>
  <c r="C3" i="13"/>
  <c r="D3" i="13"/>
  <c r="E3" i="13"/>
  <c r="F3" i="13"/>
  <c r="G3" i="13"/>
  <c r="H3" i="13"/>
  <c r="I3" i="13"/>
  <c r="J3" i="13"/>
  <c r="K3" i="13"/>
  <c r="L3" i="13"/>
  <c r="M3" i="13"/>
  <c r="N3" i="13"/>
  <c r="O3" i="13"/>
  <c r="P3" i="13"/>
  <c r="Q3" i="13"/>
  <c r="R3" i="13"/>
  <c r="S3" i="13"/>
  <c r="T3" i="13"/>
  <c r="U3" i="13"/>
  <c r="V3" i="13"/>
  <c r="W3" i="13"/>
  <c r="X3" i="13"/>
  <c r="Y3" i="13"/>
  <c r="Z3" i="13"/>
  <c r="AA3" i="13"/>
  <c r="AB3" i="13"/>
  <c r="AC3" i="13"/>
  <c r="AD3" i="13"/>
  <c r="AE3" i="13"/>
  <c r="AF3" i="13"/>
  <c r="AG3" i="13"/>
  <c r="AH3" i="13"/>
  <c r="AI3" i="13"/>
  <c r="AJ3" i="13"/>
  <c r="AK3" i="13"/>
  <c r="AL3" i="13"/>
  <c r="AM3" i="13"/>
  <c r="AN3" i="13"/>
  <c r="AO3" i="13"/>
  <c r="AP3" i="13"/>
  <c r="AQ3" i="13"/>
  <c r="AR3" i="13"/>
  <c r="AS3" i="13"/>
  <c r="AT3" i="13"/>
  <c r="AU3" i="13"/>
  <c r="AV3" i="13"/>
  <c r="AW3" i="13"/>
  <c r="AX3" i="13"/>
  <c r="AY3" i="13"/>
  <c r="AZ3" i="13"/>
  <c r="BA3" i="13"/>
  <c r="BB3" i="13"/>
  <c r="BC3" i="13"/>
  <c r="BD3" i="13"/>
  <c r="BE3" i="13"/>
  <c r="BF3" i="13"/>
  <c r="BG3" i="13"/>
  <c r="BH3" i="13"/>
  <c r="BI3" i="13"/>
  <c r="BJ3" i="13"/>
  <c r="BK3" i="13"/>
  <c r="BL3" i="13"/>
  <c r="BM3" i="13"/>
  <c r="BN3" i="13"/>
  <c r="BO3" i="13"/>
  <c r="BP3" i="13"/>
  <c r="BQ3" i="13"/>
  <c r="BR3" i="13"/>
  <c r="BS3" i="13"/>
  <c r="BT3" i="13"/>
  <c r="BU3" i="13"/>
  <c r="BV3" i="13"/>
  <c r="BW3" i="13"/>
  <c r="BX3" i="13"/>
  <c r="BY3" i="13"/>
  <c r="BZ3" i="13"/>
  <c r="CA3" i="13"/>
  <c r="CB3" i="13"/>
  <c r="CC3" i="13"/>
  <c r="CD3" i="13"/>
  <c r="CE3" i="13"/>
  <c r="CF3" i="13"/>
  <c r="CG3" i="13"/>
  <c r="CH3" i="13"/>
  <c r="CI3" i="13"/>
  <c r="CJ3" i="13"/>
  <c r="CK3" i="13"/>
  <c r="CL3" i="13"/>
  <c r="CM3" i="13"/>
  <c r="CN3" i="13"/>
  <c r="CO3" i="13"/>
  <c r="CP3" i="13"/>
  <c r="CQ3" i="13"/>
  <c r="CR3" i="13"/>
  <c r="CS3" i="13"/>
  <c r="CT3" i="13"/>
  <c r="CU3" i="13"/>
  <c r="CV3" i="13"/>
  <c r="CW3" i="13"/>
  <c r="CX3" i="13"/>
  <c r="CY3" i="13"/>
  <c r="CZ3" i="13"/>
  <c r="DA3" i="13"/>
  <c r="DB3" i="13"/>
  <c r="DC3" i="13"/>
  <c r="DD3" i="13"/>
  <c r="DE3" i="13"/>
  <c r="DF3" i="13"/>
  <c r="DG3" i="13"/>
  <c r="DH3" i="13"/>
  <c r="DI3" i="13"/>
  <c r="DJ3" i="13"/>
  <c r="DK3" i="13"/>
  <c r="DL3" i="13"/>
  <c r="DM3" i="13"/>
  <c r="DN3" i="13"/>
  <c r="DO3" i="13"/>
  <c r="DP3" i="13"/>
  <c r="DQ3" i="13"/>
  <c r="DR3" i="13"/>
  <c r="DS3" i="13"/>
  <c r="DT3" i="13"/>
  <c r="DU3" i="13"/>
  <c r="DV3" i="13"/>
  <c r="DW3" i="13"/>
  <c r="DX3" i="13"/>
  <c r="DY3" i="13"/>
  <c r="DZ3" i="13"/>
  <c r="EA3" i="13"/>
  <c r="EB3" i="13"/>
  <c r="EC3" i="13"/>
  <c r="ED3" i="13"/>
  <c r="EE3" i="13"/>
  <c r="EF3" i="13"/>
  <c r="EG3" i="13"/>
  <c r="EH3" i="13"/>
  <c r="EI3" i="13"/>
  <c r="EJ3" i="13"/>
  <c r="EK3" i="13"/>
  <c r="EL3" i="13"/>
  <c r="EM3" i="13"/>
  <c r="EN3" i="13"/>
  <c r="EO3" i="13"/>
  <c r="B4" i="13" a="1"/>
  <c r="EN7" i="13"/>
  <c r="EM7" i="13"/>
  <c r="EL7" i="13"/>
  <c r="EK7" i="13"/>
  <c r="EJ7" i="13"/>
  <c r="EI7" i="13"/>
  <c r="EH7" i="13"/>
  <c r="EG7" i="13"/>
  <c r="EF7" i="13"/>
  <c r="EE7" i="13"/>
  <c r="ED7" i="13"/>
  <c r="EC7" i="13"/>
  <c r="EB7" i="13"/>
  <c r="EA7" i="13"/>
  <c r="DZ7" i="13"/>
  <c r="DY7" i="13"/>
  <c r="DX7" i="13"/>
  <c r="DW7" i="13"/>
  <c r="DV7" i="13"/>
  <c r="DU7" i="13"/>
  <c r="DT7" i="13"/>
  <c r="DS7" i="13"/>
  <c r="DR7" i="13"/>
  <c r="DQ7" i="13"/>
  <c r="DP7" i="13"/>
  <c r="DO7" i="13"/>
  <c r="DN7" i="13"/>
  <c r="DM7" i="13"/>
  <c r="DL7" i="13"/>
  <c r="DK7" i="13"/>
  <c r="DJ7" i="13"/>
  <c r="DI7" i="13"/>
  <c r="DH7" i="13"/>
  <c r="DG7" i="13"/>
  <c r="DF7" i="13"/>
  <c r="DE7" i="13"/>
  <c r="DD7" i="13"/>
  <c r="DC7" i="13"/>
  <c r="DB7" i="13"/>
  <c r="DA7" i="13"/>
  <c r="CZ7" i="13"/>
  <c r="CY7" i="13"/>
  <c r="CX7" i="13"/>
  <c r="CW7" i="13"/>
  <c r="CV7" i="13"/>
  <c r="CU7" i="13"/>
  <c r="CT7" i="13"/>
  <c r="CS7" i="13"/>
  <c r="CR7" i="13"/>
  <c r="CQ7" i="13"/>
  <c r="CP7" i="13"/>
  <c r="CO7" i="13"/>
  <c r="CN7" i="13"/>
  <c r="CM7" i="13"/>
  <c r="CL7" i="13"/>
  <c r="CK7" i="13"/>
  <c r="CJ7" i="13"/>
  <c r="CI7" i="13"/>
  <c r="CH7" i="13"/>
  <c r="CG7" i="13"/>
  <c r="CF7" i="13"/>
  <c r="CE7" i="13"/>
  <c r="CD7" i="13"/>
  <c r="CC7" i="13"/>
  <c r="CB7" i="13"/>
  <c r="CA7" i="13"/>
  <c r="BZ7" i="13"/>
  <c r="BY7" i="13"/>
  <c r="BX7" i="13"/>
  <c r="BW7" i="13"/>
  <c r="BV7" i="13"/>
  <c r="BU7" i="13"/>
  <c r="BT7" i="13"/>
  <c r="BS7" i="13"/>
  <c r="BR7" i="13"/>
  <c r="BQ7" i="13"/>
  <c r="BP7" i="13"/>
  <c r="BO7" i="13"/>
  <c r="BN7" i="13"/>
  <c r="BM7" i="13"/>
  <c r="BL7" i="13"/>
  <c r="BK7" i="13"/>
  <c r="BJ7" i="13"/>
  <c r="BI7" i="13"/>
  <c r="BH7" i="13"/>
  <c r="BG7" i="13"/>
  <c r="BF7" i="13"/>
  <c r="BE7" i="13"/>
  <c r="BD7" i="13"/>
  <c r="BC7" i="13"/>
  <c r="BB7" i="13"/>
  <c r="BA7" i="13"/>
  <c r="AZ7" i="13"/>
  <c r="AY7" i="13"/>
  <c r="AX7" i="13"/>
  <c r="AW7" i="13"/>
  <c r="AV7" i="13"/>
  <c r="AU7" i="13"/>
  <c r="AT7" i="13"/>
  <c r="AS7" i="13"/>
  <c r="AR7" i="13"/>
  <c r="AQ7" i="13"/>
  <c r="AP7" i="13"/>
  <c r="AO7" i="13"/>
  <c r="AN7" i="13"/>
  <c r="AM7" i="13"/>
  <c r="AL7" i="13"/>
  <c r="AK7" i="13"/>
  <c r="AJ7" i="13"/>
  <c r="AI7" i="13"/>
  <c r="AH7" i="13"/>
  <c r="AG7" i="13"/>
  <c r="AF7" i="13"/>
  <c r="AE7" i="13"/>
  <c r="AD7" i="13"/>
  <c r="AC7" i="13"/>
  <c r="AB7" i="13"/>
  <c r="AA7" i="13"/>
  <c r="Z7" i="13"/>
  <c r="Y7" i="13"/>
  <c r="X7" i="13"/>
  <c r="W7" i="13"/>
  <c r="V7" i="13"/>
  <c r="U7" i="13"/>
  <c r="T7" i="13"/>
  <c r="S7" i="13"/>
  <c r="R7" i="13"/>
  <c r="Q7" i="13"/>
  <c r="P7" i="13"/>
  <c r="O7" i="13"/>
  <c r="N7" i="13"/>
  <c r="M7" i="13"/>
  <c r="L7" i="13"/>
  <c r="K7" i="13"/>
  <c r="J7" i="13"/>
  <c r="I7" i="13"/>
  <c r="H7" i="13"/>
  <c r="G7" i="13"/>
  <c r="F7" i="13"/>
  <c r="E7" i="13"/>
  <c r="D7" i="13"/>
  <c r="C7" i="13"/>
  <c r="B7" i="13"/>
  <c r="EO6" i="13"/>
  <c r="EN6" i="13"/>
  <c r="EM6" i="13"/>
  <c r="EL6" i="13"/>
  <c r="EK6" i="13"/>
  <c r="EJ6" i="13"/>
  <c r="EI6" i="13"/>
  <c r="EH6" i="13"/>
  <c r="EG6" i="13"/>
  <c r="EF6" i="13"/>
  <c r="EE6" i="13"/>
  <c r="ED6" i="13"/>
  <c r="EC6" i="13"/>
  <c r="EB6" i="13"/>
  <c r="EA6" i="13"/>
  <c r="DZ6" i="13"/>
  <c r="DY6" i="13"/>
  <c r="DX6" i="13"/>
  <c r="DW6" i="13"/>
  <c r="DV6" i="13"/>
  <c r="DU6" i="13"/>
  <c r="DT6" i="13"/>
  <c r="DS6" i="13"/>
  <c r="DR6" i="13"/>
  <c r="DQ6" i="13"/>
  <c r="DP6" i="13"/>
  <c r="DO6" i="13"/>
  <c r="DN6" i="13"/>
  <c r="DM6" i="13"/>
  <c r="DL6" i="13"/>
  <c r="DK6" i="13"/>
  <c r="DJ6" i="13"/>
  <c r="DI6" i="13"/>
  <c r="DH6" i="13"/>
  <c r="DG6" i="13"/>
  <c r="DF6" i="13"/>
  <c r="DE6" i="13"/>
  <c r="DD6" i="13"/>
  <c r="DC6" i="13"/>
  <c r="DB6" i="13"/>
  <c r="DA6" i="13"/>
  <c r="CZ6" i="13"/>
  <c r="CY6" i="13"/>
  <c r="CX6" i="13"/>
  <c r="CW6" i="13"/>
  <c r="CV6" i="13"/>
  <c r="CU6" i="13"/>
  <c r="CT6" i="13"/>
  <c r="CS6" i="13"/>
  <c r="CR6" i="13"/>
  <c r="CQ6" i="13"/>
  <c r="CP6" i="13"/>
  <c r="CO6" i="13"/>
  <c r="CN6" i="13"/>
  <c r="CM6" i="13"/>
  <c r="CL6" i="13"/>
  <c r="CK6" i="13"/>
  <c r="CJ6" i="13"/>
  <c r="CI6" i="13"/>
  <c r="CH6" i="13"/>
  <c r="CG6" i="13"/>
  <c r="CF6" i="13"/>
  <c r="CE6" i="13"/>
  <c r="CD6" i="13"/>
  <c r="CC6" i="13"/>
  <c r="CB6" i="13"/>
  <c r="CA6" i="13"/>
  <c r="BZ6" i="13"/>
  <c r="BY6" i="13"/>
  <c r="BX6" i="13"/>
  <c r="BW6" i="13"/>
  <c r="BV6" i="13"/>
  <c r="BU6" i="13"/>
  <c r="BT6" i="13"/>
  <c r="BS6" i="13"/>
  <c r="BR6" i="13"/>
  <c r="BQ6" i="13"/>
  <c r="BP6" i="13"/>
  <c r="BO6" i="13"/>
  <c r="BN6" i="13"/>
  <c r="BM6" i="13"/>
  <c r="BL6" i="13"/>
  <c r="BK6" i="13"/>
  <c r="BJ6" i="13"/>
  <c r="BI6" i="13"/>
  <c r="BH6" i="13"/>
  <c r="BG6" i="13"/>
  <c r="BF6" i="13"/>
  <c r="BE6" i="13"/>
  <c r="BD6" i="13"/>
  <c r="BC6" i="13"/>
  <c r="BB6" i="13"/>
  <c r="BA6" i="13"/>
  <c r="AZ6" i="13"/>
  <c r="AY6" i="13"/>
  <c r="AX6" i="13"/>
  <c r="AW6" i="13"/>
  <c r="AV6" i="13"/>
  <c r="AU6" i="13"/>
  <c r="AT6" i="13"/>
  <c r="AS6" i="13"/>
  <c r="AR6" i="13"/>
  <c r="AQ6" i="13"/>
  <c r="AP6" i="13"/>
  <c r="AO6" i="13"/>
  <c r="AN6" i="13"/>
  <c r="AM6" i="13"/>
  <c r="AL6" i="13"/>
  <c r="AK6" i="13"/>
  <c r="AJ6" i="13"/>
  <c r="AI6" i="13"/>
  <c r="AH6" i="13"/>
  <c r="AG6" i="13"/>
  <c r="AF6" i="13"/>
  <c r="AE6" i="13"/>
  <c r="AD6" i="13"/>
  <c r="AC6" i="13"/>
  <c r="AB6" i="13"/>
  <c r="AA6" i="13"/>
  <c r="Z6" i="13"/>
  <c r="Y6" i="13"/>
  <c r="X6" i="13"/>
  <c r="W6" i="13"/>
  <c r="V6" i="13"/>
  <c r="U6" i="13"/>
  <c r="T6" i="13"/>
  <c r="S6" i="13"/>
  <c r="R6" i="13"/>
  <c r="Q6" i="13"/>
  <c r="P6" i="13"/>
  <c r="O6" i="13"/>
  <c r="N6" i="13"/>
  <c r="M6" i="13"/>
  <c r="L6" i="13"/>
  <c r="K6" i="13"/>
  <c r="J6" i="13"/>
  <c r="I6" i="13"/>
  <c r="H6" i="13"/>
  <c r="G6" i="13"/>
  <c r="F6" i="13"/>
  <c r="E6" i="13"/>
  <c r="D6" i="13"/>
  <c r="C6" i="13"/>
  <c r="B6" i="13"/>
  <c r="EO5" i="13"/>
  <c r="EN5" i="13"/>
  <c r="EM5" i="13"/>
  <c r="EL5" i="13"/>
  <c r="EK5" i="13"/>
  <c r="EJ5" i="13"/>
  <c r="EI5" i="13"/>
  <c r="EH5" i="13"/>
  <c r="EG5" i="13"/>
  <c r="EF5" i="13"/>
  <c r="EE5" i="13"/>
  <c r="ED5" i="13"/>
  <c r="EC5" i="13"/>
  <c r="EB5" i="13"/>
  <c r="EA5" i="13"/>
  <c r="DZ5" i="13"/>
  <c r="DY5" i="13"/>
  <c r="DX5" i="13"/>
  <c r="DW5" i="13"/>
  <c r="DV5" i="13"/>
  <c r="DU5" i="13"/>
  <c r="DT5" i="13"/>
  <c r="DS5" i="13"/>
  <c r="DR5" i="13"/>
  <c r="DQ5" i="13"/>
  <c r="DP5" i="13"/>
  <c r="DO5" i="13"/>
  <c r="DN5" i="13"/>
  <c r="DM5" i="13"/>
  <c r="DL5" i="13"/>
  <c r="DK5" i="13"/>
  <c r="DJ5" i="13"/>
  <c r="DI5" i="13"/>
  <c r="DH5" i="13"/>
  <c r="DG5" i="13"/>
  <c r="DF5" i="13"/>
  <c r="DE5" i="13"/>
  <c r="DD5" i="13"/>
  <c r="DC5" i="13"/>
  <c r="DB5" i="13"/>
  <c r="DA5" i="13"/>
  <c r="CZ5" i="13"/>
  <c r="CY5" i="13"/>
  <c r="CX5" i="13"/>
  <c r="CW5" i="13"/>
  <c r="CV5" i="13"/>
  <c r="CU5" i="13"/>
  <c r="CT5" i="13"/>
  <c r="CS5" i="13"/>
  <c r="CR5" i="13"/>
  <c r="CQ5" i="13"/>
  <c r="CP5" i="13"/>
  <c r="CO5" i="13"/>
  <c r="CN5" i="13"/>
  <c r="CM5" i="13"/>
  <c r="CL5" i="13"/>
  <c r="CK5" i="13"/>
  <c r="CJ5" i="13"/>
  <c r="CI5" i="13"/>
  <c r="CH5" i="13"/>
  <c r="CG5" i="13"/>
  <c r="CF5" i="13"/>
  <c r="CE5" i="13"/>
  <c r="CD5" i="13"/>
  <c r="CC5" i="13"/>
  <c r="CB5" i="13"/>
  <c r="CA5" i="13"/>
  <c r="BZ5" i="13"/>
  <c r="BY5" i="13"/>
  <c r="BX5" i="13"/>
  <c r="BW5" i="13"/>
  <c r="BV5" i="13"/>
  <c r="BU5" i="13"/>
  <c r="BT5" i="13"/>
  <c r="BS5" i="13"/>
  <c r="BR5" i="13"/>
  <c r="BQ5" i="13"/>
  <c r="BP5" i="13"/>
  <c r="BO5" i="13"/>
  <c r="BN5" i="13"/>
  <c r="BM5" i="13"/>
  <c r="BL5" i="13"/>
  <c r="BK5" i="13"/>
  <c r="BJ5" i="13"/>
  <c r="BI5" i="13"/>
  <c r="BH5" i="13"/>
  <c r="BG5" i="13"/>
  <c r="BF5" i="13"/>
  <c r="BE5" i="13"/>
  <c r="BD5" i="13"/>
  <c r="BC5" i="13"/>
  <c r="BB5" i="13"/>
  <c r="BA5" i="13"/>
  <c r="AZ5" i="13"/>
  <c r="AY5" i="13"/>
  <c r="AX5" i="13"/>
  <c r="AW5" i="13"/>
  <c r="AV5" i="13"/>
  <c r="AU5" i="13"/>
  <c r="AT5" i="13"/>
  <c r="AS5" i="13"/>
  <c r="AR5" i="13"/>
  <c r="AQ5" i="13"/>
  <c r="AP5" i="13"/>
  <c r="AO5" i="13"/>
  <c r="AN5" i="13"/>
  <c r="AM5" i="13"/>
  <c r="AL5" i="13"/>
  <c r="AK5" i="13"/>
  <c r="AJ5" i="13"/>
  <c r="AI5" i="13"/>
  <c r="AH5" i="13"/>
  <c r="AG5" i="13"/>
  <c r="AF5" i="13"/>
  <c r="AE5" i="13"/>
  <c r="AD5" i="13"/>
  <c r="AC5" i="13"/>
  <c r="AB5" i="13"/>
  <c r="AA5" i="13"/>
  <c r="Z5" i="13"/>
  <c r="Y5" i="13"/>
  <c r="X5" i="13"/>
  <c r="W5" i="13"/>
  <c r="V5" i="13"/>
  <c r="U5" i="13"/>
  <c r="T5" i="13"/>
  <c r="S5" i="13"/>
  <c r="R5" i="13"/>
  <c r="Q5" i="13"/>
  <c r="P5" i="13"/>
  <c r="O5" i="13"/>
  <c r="N5" i="13"/>
  <c r="M5" i="13"/>
  <c r="L5" i="13"/>
  <c r="K5" i="13"/>
  <c r="J5" i="13"/>
  <c r="I5" i="13"/>
  <c r="H5" i="13"/>
  <c r="G5" i="13"/>
  <c r="F5" i="13"/>
  <c r="E5" i="13"/>
  <c r="D5" i="13"/>
  <c r="C5" i="13"/>
  <c r="B5" i="13"/>
  <c r="EO4" i="13"/>
  <c r="EN4" i="13"/>
  <c r="EM4" i="13"/>
  <c r="EL4" i="13"/>
  <c r="EK4" i="13"/>
  <c r="EJ4" i="13"/>
  <c r="EI4" i="13"/>
  <c r="EH4" i="13"/>
  <c r="EG4" i="13"/>
  <c r="EF4" i="13"/>
  <c r="EE4" i="13"/>
  <c r="ED4" i="13"/>
  <c r="EC4" i="13"/>
  <c r="EB4" i="13"/>
  <c r="EA4" i="13"/>
  <c r="DZ4" i="13"/>
  <c r="DY4" i="13"/>
  <c r="DX4" i="13"/>
  <c r="DW4" i="13"/>
  <c r="DV4" i="13"/>
  <c r="DU4" i="13"/>
  <c r="DT4" i="13"/>
  <c r="DS4" i="13"/>
  <c r="DR4" i="13"/>
  <c r="DQ4" i="13"/>
  <c r="DP4" i="13"/>
  <c r="DO4" i="13"/>
  <c r="DN4" i="13"/>
  <c r="DM4" i="13"/>
  <c r="DL4" i="13"/>
  <c r="DK4" i="13"/>
  <c r="DJ4" i="13"/>
  <c r="DI4" i="13"/>
  <c r="DH4" i="13"/>
  <c r="DG4" i="13"/>
  <c r="DF4" i="13"/>
  <c r="DE4" i="13"/>
  <c r="DD4" i="13"/>
  <c r="DC4" i="13"/>
  <c r="DB4" i="13"/>
  <c r="DA4" i="13"/>
  <c r="CZ4" i="13"/>
  <c r="CY4" i="13"/>
  <c r="CX4" i="13"/>
  <c r="CW4" i="13"/>
  <c r="CV4" i="13"/>
  <c r="CU4" i="13"/>
  <c r="CT4" i="13"/>
  <c r="CS4" i="13"/>
  <c r="CR4" i="13"/>
  <c r="CQ4" i="13"/>
  <c r="CP4" i="13"/>
  <c r="CO4" i="13"/>
  <c r="CN4" i="13"/>
  <c r="CM4" i="13"/>
  <c r="CL4" i="13"/>
  <c r="CK4" i="13"/>
  <c r="CJ4" i="13"/>
  <c r="CI4" i="13"/>
  <c r="CH4" i="13"/>
  <c r="CG4" i="13"/>
  <c r="CF4" i="13"/>
  <c r="CE4" i="13"/>
  <c r="CD4" i="13"/>
  <c r="CC4" i="13"/>
  <c r="CB4" i="13"/>
  <c r="CA4" i="13"/>
  <c r="BZ4" i="13"/>
  <c r="BY4" i="13"/>
  <c r="BX4" i="13"/>
  <c r="BW4" i="13"/>
  <c r="BV4" i="13"/>
  <c r="BU4" i="13"/>
  <c r="BT4" i="13"/>
  <c r="BS4" i="13"/>
  <c r="BR4" i="13"/>
  <c r="BQ4" i="13"/>
  <c r="BP4" i="13"/>
  <c r="BO4" i="13"/>
  <c r="BN4" i="13"/>
  <c r="BM4" i="13"/>
  <c r="BL4" i="13"/>
  <c r="BK4" i="13"/>
  <c r="BJ4" i="13"/>
  <c r="BI4" i="13"/>
  <c r="BH4" i="13"/>
  <c r="BG4" i="13"/>
  <c r="BF4" i="13"/>
  <c r="BE4" i="13"/>
  <c r="BD4" i="13"/>
  <c r="BC4" i="13"/>
  <c r="BB4" i="13"/>
  <c r="BA4" i="13"/>
  <c r="AZ4" i="13"/>
  <c r="AY4" i="13"/>
  <c r="AX4" i="13"/>
  <c r="AW4" i="13"/>
  <c r="AV4" i="13"/>
  <c r="AU4" i="13"/>
  <c r="AT4" i="13"/>
  <c r="AS4" i="13"/>
  <c r="AR4" i="13"/>
  <c r="AQ4" i="13"/>
  <c r="AP4" i="13"/>
  <c r="AO4" i="13"/>
  <c r="AN4" i="13"/>
  <c r="AM4" i="13"/>
  <c r="AL4" i="13"/>
  <c r="AK4" i="13"/>
  <c r="AJ4" i="13"/>
  <c r="AI4" i="13"/>
  <c r="AH4" i="13"/>
  <c r="AG4" i="13"/>
  <c r="AF4" i="13"/>
  <c r="AE4" i="13"/>
  <c r="AD4" i="13"/>
  <c r="AC4" i="13"/>
  <c r="AB4" i="13"/>
  <c r="AA4" i="13"/>
  <c r="Z4" i="13"/>
  <c r="Y4" i="13"/>
  <c r="X4" i="13"/>
  <c r="W4" i="13"/>
  <c r="V4" i="13"/>
  <c r="U4" i="13"/>
  <c r="T4" i="13"/>
  <c r="S4" i="13"/>
  <c r="R4" i="13"/>
  <c r="Q4" i="13"/>
  <c r="P4" i="13"/>
  <c r="O4" i="13"/>
  <c r="N4" i="13"/>
  <c r="M4" i="13"/>
  <c r="L4" i="13"/>
  <c r="K4" i="13"/>
  <c r="J4" i="13"/>
  <c r="I4" i="13"/>
  <c r="H4" i="13"/>
  <c r="G4" i="13"/>
  <c r="F4" i="13"/>
  <c r="E4" i="13"/>
  <c r="D4" i="13"/>
  <c r="C4" i="13"/>
  <c r="B4" i="13"/>
  <c r="EO7" i="13"/>
  <c r="J140" i="14"/>
  <c r="F2" i="1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H142" i="14"/>
  <c r="I142" i="14"/>
  <c r="H143" i="14"/>
  <c r="I143" i="14"/>
  <c r="H144" i="14"/>
  <c r="I144" i="14"/>
  <c r="H145" i="14"/>
  <c r="I145" i="14"/>
  <c r="J143" i="14"/>
  <c r="J142" i="14"/>
  <c r="H132" i="14"/>
  <c r="I132" i="14"/>
  <c r="H133" i="14"/>
  <c r="I133" i="14"/>
  <c r="H134" i="14"/>
  <c r="I134" i="14"/>
  <c r="H135" i="14"/>
  <c r="I135" i="14"/>
  <c r="H136" i="14"/>
  <c r="I136" i="14"/>
  <c r="H137" i="14"/>
  <c r="I137" i="14"/>
  <c r="H138" i="14"/>
  <c r="I138" i="14"/>
  <c r="H139" i="14"/>
  <c r="I139" i="14"/>
  <c r="H140" i="14"/>
  <c r="I140" i="14"/>
  <c r="H141" i="14"/>
  <c r="I141" i="14"/>
  <c r="J141" i="14"/>
  <c r="J139" i="14"/>
  <c r="J138" i="14"/>
  <c r="J137" i="14"/>
  <c r="J136" i="14"/>
  <c r="J135" i="14"/>
  <c r="J134" i="14"/>
  <c r="J133" i="14"/>
  <c r="J132" i="14"/>
  <c r="H122" i="14"/>
  <c r="I122" i="14"/>
  <c r="H123" i="14"/>
  <c r="I123" i="14"/>
  <c r="H124" i="14"/>
  <c r="I124" i="14"/>
  <c r="H125" i="14"/>
  <c r="I125" i="14"/>
  <c r="H126" i="14"/>
  <c r="I126" i="14"/>
  <c r="H127" i="14"/>
  <c r="I127" i="14"/>
  <c r="H128" i="14"/>
  <c r="I128" i="14"/>
  <c r="H129" i="14"/>
  <c r="I129" i="14"/>
  <c r="H130" i="14"/>
  <c r="I130" i="14"/>
  <c r="H131" i="14"/>
  <c r="I131" i="14"/>
  <c r="J131" i="14"/>
  <c r="J130" i="14"/>
  <c r="J129" i="14"/>
  <c r="J128" i="14"/>
  <c r="J127" i="14"/>
  <c r="J126" i="14"/>
  <c r="J125" i="14"/>
  <c r="J124" i="14"/>
  <c r="J123" i="14"/>
  <c r="J122" i="14"/>
  <c r="H112" i="14"/>
  <c r="I112" i="14"/>
  <c r="H113" i="14"/>
  <c r="I113" i="14"/>
  <c r="H114" i="14"/>
  <c r="I114" i="14"/>
  <c r="H115" i="14"/>
  <c r="I115" i="14"/>
  <c r="H116" i="14"/>
  <c r="I116" i="14"/>
  <c r="H117" i="14"/>
  <c r="I117" i="14"/>
  <c r="H118" i="14"/>
  <c r="I118" i="14"/>
  <c r="H119" i="14"/>
  <c r="I119" i="14"/>
  <c r="H120" i="14"/>
  <c r="I120" i="14"/>
  <c r="H121" i="14"/>
  <c r="I121" i="14"/>
  <c r="J121" i="14"/>
  <c r="J120" i="14"/>
  <c r="J119" i="14"/>
  <c r="J118" i="14"/>
  <c r="J117" i="14"/>
  <c r="J116" i="14"/>
  <c r="J115" i="14"/>
  <c r="J114" i="14"/>
  <c r="J113" i="14"/>
  <c r="J112" i="14"/>
  <c r="H102" i="14"/>
  <c r="I102" i="14"/>
  <c r="H103" i="14"/>
  <c r="I103" i="14"/>
  <c r="H104" i="14"/>
  <c r="I104" i="14"/>
  <c r="H105" i="14"/>
  <c r="I105" i="14"/>
  <c r="H106" i="14"/>
  <c r="I106" i="14"/>
  <c r="H107" i="14"/>
  <c r="I107" i="14"/>
  <c r="H108" i="14"/>
  <c r="I108" i="14"/>
  <c r="H109" i="14"/>
  <c r="I109" i="14"/>
  <c r="H110" i="14"/>
  <c r="I110" i="14"/>
  <c r="H111" i="14"/>
  <c r="I111" i="14"/>
  <c r="J111" i="14"/>
  <c r="J110" i="14"/>
  <c r="J109" i="14"/>
  <c r="J108" i="14"/>
  <c r="J107" i="14"/>
  <c r="J106" i="14"/>
  <c r="J105" i="14"/>
  <c r="J104" i="14"/>
  <c r="J103" i="14"/>
  <c r="J102" i="14"/>
  <c r="H92" i="14"/>
  <c r="I92" i="14"/>
  <c r="H93" i="14"/>
  <c r="I93" i="14"/>
  <c r="H94" i="14"/>
  <c r="I94" i="14"/>
  <c r="H95" i="14"/>
  <c r="I95" i="14"/>
  <c r="H96" i="14"/>
  <c r="I96" i="14"/>
  <c r="H97" i="14"/>
  <c r="I97" i="14"/>
  <c r="H98" i="14"/>
  <c r="I98" i="14"/>
  <c r="H99" i="14"/>
  <c r="I99" i="14"/>
  <c r="H100" i="14"/>
  <c r="I100" i="14"/>
  <c r="H101" i="14"/>
  <c r="I101" i="14"/>
  <c r="J101" i="14"/>
  <c r="J100" i="14"/>
  <c r="J99" i="14"/>
  <c r="J98" i="14"/>
  <c r="J97" i="14"/>
  <c r="J96" i="14"/>
  <c r="J95" i="14"/>
  <c r="J94" i="14"/>
  <c r="J93" i="14"/>
  <c r="J92" i="14"/>
  <c r="H82" i="14"/>
  <c r="I82" i="14"/>
  <c r="H83" i="14"/>
  <c r="I83" i="14"/>
  <c r="H84" i="14"/>
  <c r="I84" i="14"/>
  <c r="H85" i="14"/>
  <c r="I85" i="14"/>
  <c r="H86" i="14"/>
  <c r="I86" i="14"/>
  <c r="H87" i="14"/>
  <c r="I87" i="14"/>
  <c r="H88" i="14"/>
  <c r="I88" i="14"/>
  <c r="H89" i="14"/>
  <c r="I89" i="14"/>
  <c r="H90" i="14"/>
  <c r="I90" i="14"/>
  <c r="H91" i="14"/>
  <c r="I91" i="14"/>
  <c r="J91" i="14"/>
  <c r="J90" i="14"/>
  <c r="J89" i="14"/>
  <c r="J88" i="14"/>
  <c r="J87" i="14"/>
  <c r="J86" i="14"/>
  <c r="J85" i="14"/>
  <c r="J84" i="14"/>
  <c r="J83" i="14"/>
  <c r="J82" i="14"/>
  <c r="H72" i="14"/>
  <c r="I72" i="14"/>
  <c r="H73" i="14"/>
  <c r="I73" i="14"/>
  <c r="H74" i="14"/>
  <c r="I74" i="14"/>
  <c r="H75" i="14"/>
  <c r="I75" i="14"/>
  <c r="H76" i="14"/>
  <c r="I76" i="14"/>
  <c r="H77" i="14"/>
  <c r="I77" i="14"/>
  <c r="H78" i="14"/>
  <c r="I78" i="14"/>
  <c r="H79" i="14"/>
  <c r="I79" i="14"/>
  <c r="H80" i="14"/>
  <c r="I80" i="14"/>
  <c r="H81" i="14"/>
  <c r="I81" i="14"/>
  <c r="J81" i="14"/>
  <c r="J80" i="14"/>
  <c r="J79" i="14"/>
  <c r="J78" i="14"/>
  <c r="J77" i="14"/>
  <c r="J76" i="14"/>
  <c r="J75" i="14"/>
  <c r="J74" i="14"/>
  <c r="J73" i="14"/>
  <c r="J72" i="14"/>
  <c r="H62" i="14"/>
  <c r="I62" i="14"/>
  <c r="H63" i="14"/>
  <c r="I63" i="14"/>
  <c r="H64" i="14"/>
  <c r="I64" i="14"/>
  <c r="H65" i="14"/>
  <c r="I65" i="14"/>
  <c r="H66" i="14"/>
  <c r="I66" i="14"/>
  <c r="H67" i="14"/>
  <c r="I67" i="14"/>
  <c r="H68" i="14"/>
  <c r="I68" i="14"/>
  <c r="H69" i="14"/>
  <c r="I69" i="14"/>
  <c r="H70" i="14"/>
  <c r="I70" i="14"/>
  <c r="H71" i="14"/>
  <c r="I71" i="14"/>
  <c r="J71" i="14"/>
  <c r="J70" i="14"/>
  <c r="J69" i="14"/>
  <c r="J68" i="14"/>
  <c r="J67" i="14"/>
  <c r="J66" i="14"/>
  <c r="J65" i="14"/>
  <c r="J64" i="14"/>
  <c r="J63" i="14"/>
  <c r="J62" i="14"/>
  <c r="H52" i="14"/>
  <c r="I52" i="14"/>
  <c r="H53" i="14"/>
  <c r="I53" i="14"/>
  <c r="H54" i="14"/>
  <c r="I54" i="14"/>
  <c r="H55" i="14"/>
  <c r="I55" i="14"/>
  <c r="H56" i="14"/>
  <c r="I56" i="14"/>
  <c r="H57" i="14"/>
  <c r="I57" i="14"/>
  <c r="H58" i="14"/>
  <c r="I58" i="14"/>
  <c r="H59" i="14"/>
  <c r="I59" i="14"/>
  <c r="H60" i="14"/>
  <c r="I60" i="14"/>
  <c r="H61" i="14"/>
  <c r="I61" i="14"/>
  <c r="J61" i="14"/>
  <c r="J60" i="14"/>
  <c r="J59" i="14"/>
  <c r="J58" i="14"/>
  <c r="J57" i="14"/>
  <c r="J56" i="14"/>
  <c r="J55" i="14"/>
  <c r="J54" i="14"/>
  <c r="J53" i="14"/>
  <c r="J52" i="14"/>
  <c r="H42" i="14"/>
  <c r="I42" i="14"/>
  <c r="H43" i="14"/>
  <c r="I43" i="14"/>
  <c r="H44" i="14"/>
  <c r="I44" i="14"/>
  <c r="H45" i="14"/>
  <c r="I45" i="14"/>
  <c r="H46" i="14"/>
  <c r="I46" i="14"/>
  <c r="H47" i="14"/>
  <c r="I47" i="14"/>
  <c r="H48" i="14"/>
  <c r="I48" i="14"/>
  <c r="H49" i="14"/>
  <c r="I49" i="14"/>
  <c r="H50" i="14"/>
  <c r="I50" i="14"/>
  <c r="H51" i="14"/>
  <c r="I51" i="14"/>
  <c r="J51" i="14"/>
  <c r="J50" i="14"/>
  <c r="J49" i="14"/>
  <c r="J48" i="14"/>
  <c r="J47" i="14"/>
  <c r="J46" i="14"/>
  <c r="J45" i="14"/>
  <c r="J44" i="14"/>
  <c r="J43" i="14"/>
  <c r="J42" i="14"/>
  <c r="H32" i="14"/>
  <c r="I32" i="14"/>
  <c r="H33" i="14"/>
  <c r="I33" i="14"/>
  <c r="H34" i="14"/>
  <c r="I34" i="14"/>
  <c r="H35" i="14"/>
  <c r="I35" i="14"/>
  <c r="H36" i="14"/>
  <c r="I36" i="14"/>
  <c r="H37" i="14"/>
  <c r="I37" i="14"/>
  <c r="H38" i="14"/>
  <c r="I38" i="14"/>
  <c r="H39" i="14"/>
  <c r="I39" i="14"/>
  <c r="H40" i="14"/>
  <c r="I40" i="14"/>
  <c r="H41" i="14"/>
  <c r="I41" i="14"/>
  <c r="J41" i="14"/>
  <c r="J40" i="14"/>
  <c r="J39" i="14"/>
  <c r="J38" i="14"/>
  <c r="J37" i="14"/>
  <c r="J36" i="14"/>
  <c r="J35" i="14"/>
  <c r="J34" i="14"/>
  <c r="J33" i="14"/>
  <c r="J32" i="14"/>
  <c r="H22" i="14"/>
  <c r="I22" i="14"/>
  <c r="H23" i="14"/>
  <c r="I23" i="14"/>
  <c r="H24" i="14"/>
  <c r="I24" i="14"/>
  <c r="H25" i="14"/>
  <c r="I25" i="14"/>
  <c r="H26" i="14"/>
  <c r="I26" i="14"/>
  <c r="H27" i="14"/>
  <c r="I27" i="14"/>
  <c r="H28" i="14"/>
  <c r="I28" i="14"/>
  <c r="H29" i="14"/>
  <c r="I29" i="14"/>
  <c r="H30" i="14"/>
  <c r="I30" i="14"/>
  <c r="H31" i="14"/>
  <c r="I31" i="14"/>
  <c r="J31" i="14"/>
  <c r="J30" i="14"/>
  <c r="J29" i="14"/>
  <c r="J28" i="14"/>
  <c r="J27" i="14"/>
  <c r="J26" i="14"/>
  <c r="J25" i="14"/>
  <c r="J24" i="14"/>
  <c r="J23" i="14"/>
  <c r="J22" i="14"/>
  <c r="H12" i="14"/>
  <c r="I12" i="14"/>
  <c r="H13" i="14"/>
  <c r="I13" i="14"/>
  <c r="H14" i="14"/>
  <c r="I14" i="14"/>
  <c r="H15" i="14"/>
  <c r="I15" i="14"/>
  <c r="H16" i="14"/>
  <c r="I16" i="14"/>
  <c r="H17" i="14"/>
  <c r="I17" i="14"/>
  <c r="H18" i="14"/>
  <c r="I18" i="14"/>
  <c r="H19" i="14"/>
  <c r="I19" i="14"/>
  <c r="H20" i="14"/>
  <c r="I20" i="14"/>
  <c r="H21" i="14"/>
  <c r="I21" i="14"/>
  <c r="J21" i="14"/>
  <c r="J20" i="14"/>
  <c r="J19" i="14"/>
  <c r="J18" i="14"/>
  <c r="J17" i="14"/>
  <c r="J16" i="14"/>
  <c r="B3" i="14"/>
  <c r="B4" i="14"/>
  <c r="B5" i="14"/>
  <c r="B6" i="14"/>
  <c r="B7" i="14"/>
  <c r="B8" i="14"/>
  <c r="B9" i="14"/>
  <c r="B10" i="14"/>
  <c r="B11" i="14"/>
  <c r="B12" i="14"/>
  <c r="B13" i="14"/>
  <c r="B14" i="14"/>
  <c r="B15" i="14"/>
  <c r="C16" i="14"/>
  <c r="J15" i="14"/>
  <c r="C15" i="14"/>
  <c r="J14" i="14"/>
  <c r="C14" i="14"/>
  <c r="J13" i="14"/>
  <c r="C13" i="14"/>
  <c r="J12" i="14"/>
  <c r="C12" i="14"/>
  <c r="H2" i="14"/>
  <c r="I2" i="14"/>
  <c r="H3" i="14"/>
  <c r="I3" i="14"/>
  <c r="H4" i="14"/>
  <c r="I4" i="14"/>
  <c r="H5" i="14"/>
  <c r="I5" i="14"/>
  <c r="H6" i="14"/>
  <c r="I6" i="14"/>
  <c r="H7" i="14"/>
  <c r="I7" i="14"/>
  <c r="H8" i="14"/>
  <c r="I8" i="14"/>
  <c r="H9" i="14"/>
  <c r="I9" i="14"/>
  <c r="H10" i="14"/>
  <c r="I10" i="14"/>
  <c r="H11" i="14"/>
  <c r="I11" i="14"/>
  <c r="J11" i="14"/>
  <c r="C11" i="14"/>
  <c r="J10" i="14"/>
  <c r="C10" i="14"/>
  <c r="J9" i="14"/>
  <c r="C9" i="14"/>
  <c r="J8" i="14"/>
  <c r="C8" i="14"/>
  <c r="J7" i="14"/>
  <c r="C7" i="14"/>
  <c r="J6" i="14"/>
  <c r="C6" i="14"/>
  <c r="J5" i="14"/>
  <c r="C5" i="14"/>
  <c r="J4" i="14"/>
  <c r="C4" i="14"/>
  <c r="J3" i="14"/>
  <c r="C3" i="14"/>
  <c r="J2" i="14"/>
  <c r="BR1" i="12"/>
  <c r="BS1" i="12"/>
  <c r="BT1" i="12"/>
  <c r="BU1" i="12"/>
  <c r="BV1" i="12"/>
  <c r="BW1" i="12"/>
  <c r="BX1" i="12"/>
  <c r="BY1" i="12"/>
  <c r="BZ1" i="12"/>
  <c r="CA1" i="12"/>
  <c r="CB1" i="12"/>
  <c r="CC1" i="12"/>
  <c r="CD1" i="12"/>
  <c r="CE1" i="12"/>
  <c r="CF1" i="12"/>
  <c r="CG1" i="12"/>
  <c r="CH1" i="12"/>
  <c r="CI1" i="12"/>
  <c r="CJ1" i="12"/>
  <c r="CK1" i="12"/>
  <c r="CL1" i="12"/>
  <c r="CM1" i="12"/>
  <c r="CN1" i="12"/>
  <c r="CO1" i="12"/>
  <c r="CP1" i="12"/>
  <c r="CQ1" i="12"/>
  <c r="CR1" i="12"/>
  <c r="CS1" i="12"/>
  <c r="CT1" i="12"/>
  <c r="CU1" i="12"/>
  <c r="CX1" i="12"/>
  <c r="CY1" i="12"/>
  <c r="CZ1" i="12"/>
  <c r="DA1" i="12"/>
  <c r="DB1" i="12"/>
  <c r="DC1" i="12"/>
  <c r="DD1" i="12"/>
  <c r="DE1" i="12"/>
  <c r="DF1" i="12"/>
  <c r="DG1" i="12"/>
  <c r="DH1" i="12"/>
  <c r="DI1" i="12"/>
  <c r="DJ1" i="12"/>
  <c r="DK1" i="12"/>
  <c r="DL1" i="12"/>
  <c r="DM1" i="12"/>
  <c r="DN1" i="12"/>
  <c r="DO1" i="12"/>
  <c r="DP1" i="12"/>
  <c r="DQ1" i="12"/>
  <c r="DR1" i="12"/>
  <c r="DS1" i="12"/>
  <c r="DT1" i="12"/>
  <c r="DU1" i="12"/>
  <c r="DV1" i="12"/>
  <c r="DW1" i="12"/>
  <c r="DX1" i="12"/>
  <c r="DY1" i="12"/>
  <c r="DZ1" i="12"/>
  <c r="EA1" i="12"/>
  <c r="EB1" i="12"/>
  <c r="EC1" i="12"/>
  <c r="ED1" i="12"/>
  <c r="EE1" i="12"/>
  <c r="EF1" i="12"/>
  <c r="EG1" i="12"/>
  <c r="EH1" i="12"/>
  <c r="EI1" i="12"/>
  <c r="EJ1" i="12"/>
  <c r="EK1" i="12"/>
  <c r="EL1" i="12"/>
  <c r="EM1" i="12"/>
  <c r="EN1" i="12"/>
  <c r="B3" i="12"/>
  <c r="C3" i="12"/>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CL3" i="12"/>
  <c r="CM3" i="12"/>
  <c r="CN3" i="12"/>
  <c r="CO3" i="12"/>
  <c r="CP3" i="12"/>
  <c r="CQ3" i="12"/>
  <c r="CR3" i="12"/>
  <c r="CS3" i="12"/>
  <c r="CT3" i="12"/>
  <c r="CU3" i="12"/>
  <c r="CV3" i="12"/>
  <c r="CW3" i="12"/>
  <c r="CX3" i="12"/>
  <c r="CY3" i="12"/>
  <c r="CZ3" i="12"/>
  <c r="DA3" i="12"/>
  <c r="DB3" i="12"/>
  <c r="DC3" i="12"/>
  <c r="DD3" i="12"/>
  <c r="DE3" i="12"/>
  <c r="DF3" i="12"/>
  <c r="DG3" i="12"/>
  <c r="DH3" i="12"/>
  <c r="DI3" i="12"/>
  <c r="DJ3" i="12"/>
  <c r="DK3" i="12"/>
  <c r="DL3" i="12"/>
  <c r="DM3" i="12"/>
  <c r="DN3" i="12"/>
  <c r="DO3" i="12"/>
  <c r="DP3" i="12"/>
  <c r="DQ3" i="12"/>
  <c r="DR3" i="12"/>
  <c r="DS3" i="12"/>
  <c r="DT3" i="12"/>
  <c r="DU3" i="12"/>
  <c r="DV3" i="12"/>
  <c r="DW3" i="12"/>
  <c r="DX3" i="12"/>
  <c r="DY3" i="12"/>
  <c r="DZ3" i="12"/>
  <c r="EA3" i="12"/>
  <c r="EB3" i="12"/>
  <c r="EC3" i="12"/>
  <c r="ED3" i="12"/>
  <c r="EE3" i="12"/>
  <c r="EF3" i="12"/>
  <c r="EG3" i="12"/>
  <c r="EH3" i="12"/>
  <c r="EI3" i="12"/>
  <c r="EJ3" i="12"/>
  <c r="EK3" i="12"/>
  <c r="EL3" i="12"/>
  <c r="EM3" i="12"/>
  <c r="EN3" i="12"/>
  <c r="BQ5" i="12"/>
  <c r="BR5" i="12"/>
  <c r="BS5" i="12"/>
  <c r="BT5" i="12"/>
  <c r="BU5" i="12"/>
  <c r="BV5" i="12"/>
  <c r="BW5" i="12"/>
  <c r="BX5" i="12"/>
  <c r="BY5" i="12"/>
  <c r="BZ5" i="12"/>
  <c r="CA5" i="12"/>
  <c r="CB5" i="12"/>
  <c r="CC5" i="12"/>
  <c r="CD5" i="12"/>
  <c r="CE5" i="12"/>
  <c r="CF5" i="12"/>
  <c r="CG5" i="12"/>
  <c r="CH5" i="12"/>
  <c r="CI5" i="12"/>
  <c r="CJ5" i="12"/>
  <c r="CK5" i="12"/>
  <c r="CL5" i="12"/>
  <c r="CM5" i="12"/>
  <c r="CN5" i="12"/>
  <c r="CO5" i="12"/>
  <c r="CP5" i="12"/>
  <c r="CQ5" i="12"/>
  <c r="CR5" i="12"/>
  <c r="CS5" i="12"/>
  <c r="CW5" i="12"/>
  <c r="CX5" i="12"/>
  <c r="CY5" i="12"/>
  <c r="CZ5" i="12"/>
  <c r="DA5" i="12"/>
  <c r="DC5" i="12"/>
  <c r="DD5" i="12"/>
  <c r="DE5" i="12"/>
  <c r="DF5" i="12"/>
  <c r="DG5" i="12"/>
  <c r="DH5" i="12"/>
  <c r="DI5" i="12"/>
  <c r="DJ5" i="12"/>
  <c r="DK5" i="12"/>
  <c r="DM5" i="12"/>
  <c r="DN5" i="12"/>
  <c r="DO5" i="12"/>
  <c r="DP5" i="12"/>
  <c r="DQ5" i="12"/>
  <c r="EI5" i="12"/>
  <c r="EJ5" i="12"/>
  <c r="EK5" i="12"/>
  <c r="EM5" i="12"/>
  <c r="EN5" i="12"/>
  <c r="BQ6" i="12"/>
  <c r="BR6" i="12"/>
  <c r="BS6" i="12"/>
  <c r="BT6" i="12"/>
  <c r="BU6" i="12"/>
  <c r="BV6" i="12"/>
  <c r="BW6" i="12"/>
  <c r="BX6" i="12"/>
  <c r="BY6" i="12"/>
  <c r="BZ6" i="12"/>
  <c r="CA6" i="12"/>
  <c r="CB6" i="12"/>
  <c r="CC6" i="12"/>
  <c r="CD6" i="12"/>
  <c r="CE6" i="12"/>
  <c r="CF6" i="12"/>
  <c r="CG6" i="12"/>
  <c r="CH6" i="12"/>
  <c r="CI6" i="12"/>
  <c r="CJ6" i="12"/>
  <c r="CK6" i="12"/>
  <c r="CL6" i="12"/>
  <c r="CM6" i="12"/>
  <c r="CN6" i="12"/>
  <c r="CO6" i="12"/>
  <c r="CP6" i="12"/>
  <c r="CQ6" i="12"/>
  <c r="CR6" i="12"/>
  <c r="CS6" i="12"/>
  <c r="CW6" i="12"/>
  <c r="CX6" i="12"/>
  <c r="CY6" i="12"/>
  <c r="CZ6" i="12"/>
  <c r="DA6" i="12"/>
  <c r="DC6" i="12"/>
  <c r="DD6" i="12"/>
  <c r="DE6" i="12"/>
  <c r="DF6" i="12"/>
  <c r="DG6" i="12"/>
  <c r="DH6" i="12"/>
  <c r="DI6" i="12"/>
  <c r="DJ6" i="12"/>
  <c r="DK6" i="12"/>
  <c r="DM6" i="12"/>
  <c r="DN6" i="12"/>
  <c r="DO6" i="12"/>
  <c r="DP6" i="12"/>
  <c r="DQ6" i="12"/>
  <c r="EI6" i="12"/>
  <c r="EJ6" i="12"/>
  <c r="EK6" i="12"/>
  <c r="EM6" i="12"/>
  <c r="EN6" i="12"/>
  <c r="BQ7" i="12"/>
  <c r="BR7" i="12"/>
  <c r="BS7" i="12"/>
  <c r="BT7" i="12"/>
  <c r="BU7" i="12"/>
  <c r="BV7" i="12"/>
  <c r="BW7" i="12"/>
  <c r="BX7" i="12"/>
  <c r="BY7" i="12"/>
  <c r="BZ7" i="12"/>
  <c r="CA7" i="12"/>
  <c r="CB7" i="12"/>
  <c r="CC7" i="12"/>
  <c r="CD7" i="12"/>
  <c r="CE7" i="12"/>
  <c r="CF7" i="12"/>
  <c r="CG7" i="12"/>
  <c r="CH7" i="12"/>
  <c r="CI7" i="12"/>
  <c r="CJ7" i="12"/>
  <c r="CK7" i="12"/>
  <c r="CL7" i="12"/>
  <c r="CM7" i="12"/>
  <c r="CN7" i="12"/>
  <c r="CO7" i="12"/>
  <c r="CP7" i="12"/>
  <c r="CQ7" i="12"/>
  <c r="CR7" i="12"/>
  <c r="CS7" i="12"/>
  <c r="CW7" i="12"/>
  <c r="CX7" i="12"/>
  <c r="CY7" i="12"/>
  <c r="CZ7" i="12"/>
  <c r="DA7" i="12"/>
  <c r="DC7" i="12"/>
  <c r="DD7" i="12"/>
  <c r="DE7" i="12"/>
  <c r="DF7" i="12"/>
  <c r="DG7" i="12"/>
  <c r="DH7" i="12"/>
  <c r="DI7" i="12"/>
  <c r="DJ7" i="12"/>
  <c r="DK7" i="12"/>
  <c r="DM7" i="12"/>
  <c r="DN7" i="12"/>
  <c r="DO7" i="12"/>
  <c r="DP7" i="12"/>
  <c r="DQ7" i="12"/>
  <c r="EI7" i="12"/>
  <c r="EJ7" i="12"/>
  <c r="EK7" i="12"/>
  <c r="EM7" i="12"/>
  <c r="EN7" i="12"/>
  <c r="D9" i="13"/>
  <c r="E9" i="13"/>
  <c r="F9" i="13"/>
  <c r="G9" i="13"/>
  <c r="H9" i="13"/>
  <c r="I9" i="13"/>
  <c r="J9" i="13"/>
  <c r="K9" i="13"/>
  <c r="L9" i="13"/>
  <c r="M9" i="13"/>
  <c r="N9" i="13"/>
  <c r="O9" i="13"/>
  <c r="P9" i="13"/>
  <c r="Q9" i="13"/>
  <c r="R9" i="13"/>
  <c r="S9" i="13"/>
  <c r="T9" i="13"/>
  <c r="U9" i="13"/>
  <c r="V9" i="13"/>
  <c r="W9" i="13"/>
  <c r="X9" i="13"/>
  <c r="Y9" i="13"/>
  <c r="Z9" i="13"/>
  <c r="AA9" i="13"/>
  <c r="AB9" i="13"/>
  <c r="AC9" i="13"/>
  <c r="AD9" i="13"/>
  <c r="AE9" i="13"/>
  <c r="AF9" i="13"/>
  <c r="AG9" i="13"/>
  <c r="AH9" i="13"/>
  <c r="AI9" i="13"/>
  <c r="AJ9" i="13"/>
  <c r="AK9" i="13"/>
  <c r="AL9" i="13"/>
  <c r="AM9" i="13"/>
  <c r="AN9" i="13"/>
  <c r="AO9" i="13"/>
  <c r="AP9" i="13"/>
  <c r="AQ9" i="13"/>
  <c r="AR9" i="13"/>
  <c r="AS9" i="13"/>
  <c r="AT9" i="13"/>
  <c r="AU9" i="13"/>
  <c r="AV9" i="13"/>
  <c r="AW9" i="13"/>
  <c r="AX9" i="13"/>
  <c r="AY9" i="13"/>
  <c r="AZ9" i="13"/>
  <c r="BA9" i="13"/>
  <c r="BB9" i="13"/>
  <c r="BC9" i="13"/>
  <c r="BD9" i="13"/>
  <c r="BE9" i="13"/>
  <c r="BF9" i="13"/>
  <c r="BG9" i="13"/>
  <c r="BH9" i="13"/>
  <c r="BI9" i="13"/>
  <c r="BJ9" i="13"/>
  <c r="BK9" i="13"/>
  <c r="BL9" i="13"/>
  <c r="BM9" i="13"/>
  <c r="BN9" i="13"/>
  <c r="BO9" i="13"/>
  <c r="BP9" i="13"/>
  <c r="BQ9" i="13"/>
  <c r="BR9" i="13"/>
  <c r="BS9" i="13"/>
  <c r="BT9" i="13"/>
  <c r="BU9" i="13"/>
  <c r="BV9" i="13"/>
  <c r="BW9" i="13"/>
  <c r="BX9" i="13"/>
  <c r="BY9" i="13"/>
  <c r="BZ9" i="13"/>
  <c r="CA9" i="13"/>
  <c r="CB9" i="13"/>
  <c r="CC9" i="13"/>
  <c r="CD9" i="13"/>
  <c r="CE9" i="13"/>
  <c r="CF9" i="13"/>
  <c r="CG9" i="13"/>
  <c r="CH9" i="13"/>
  <c r="CI9" i="13"/>
  <c r="CJ9" i="13"/>
  <c r="CK9" i="13"/>
  <c r="CL9" i="13"/>
  <c r="CM9" i="13"/>
  <c r="CN9" i="13"/>
  <c r="CO9" i="13"/>
  <c r="CP9" i="13"/>
  <c r="CQ9" i="13"/>
  <c r="CR9" i="13"/>
  <c r="CS9" i="13"/>
  <c r="CT9" i="13"/>
  <c r="CX9" i="13"/>
  <c r="CY9" i="13"/>
  <c r="CZ9" i="13"/>
  <c r="DA9" i="13"/>
  <c r="DB9" i="13"/>
  <c r="DD9" i="13"/>
  <c r="DE9" i="13"/>
  <c r="DF9" i="13"/>
  <c r="DG9" i="13"/>
  <c r="DH9" i="13"/>
  <c r="DI9" i="13"/>
  <c r="DJ9" i="13"/>
  <c r="DK9" i="13"/>
  <c r="DL9" i="13"/>
  <c r="DN9" i="13"/>
  <c r="DO9" i="13"/>
  <c r="DP9" i="13"/>
  <c r="DQ9" i="13"/>
  <c r="DR9" i="13"/>
  <c r="EJ9" i="13"/>
  <c r="EK9" i="13"/>
  <c r="EL9" i="13"/>
  <c r="EN9" i="13"/>
  <c r="EO9" i="13"/>
  <c r="D10" i="13"/>
  <c r="E10" i="13"/>
  <c r="F10" i="13"/>
  <c r="G10" i="13"/>
  <c r="H10" i="13"/>
  <c r="I10" i="13"/>
  <c r="J10" i="13"/>
  <c r="K10" i="13"/>
  <c r="L10" i="13"/>
  <c r="M10" i="13"/>
  <c r="N10" i="13"/>
  <c r="O10" i="13"/>
  <c r="P10" i="13"/>
  <c r="Q10" i="13"/>
  <c r="R10" i="13"/>
  <c r="S10" i="13"/>
  <c r="T10" i="13"/>
  <c r="U10" i="13"/>
  <c r="V10" i="13"/>
  <c r="W10" i="13"/>
  <c r="X10" i="13"/>
  <c r="Y10" i="13"/>
  <c r="Z10" i="13"/>
  <c r="AA10" i="13"/>
  <c r="AB10" i="13"/>
  <c r="AC10" i="13"/>
  <c r="AD10" i="13"/>
  <c r="AE10" i="13"/>
  <c r="AF10" i="13"/>
  <c r="AG10" i="13"/>
  <c r="AH10" i="13"/>
  <c r="AI10" i="13"/>
  <c r="AJ10" i="13"/>
  <c r="AK10" i="13"/>
  <c r="AL10" i="13"/>
  <c r="AM10" i="13"/>
  <c r="AN10" i="13"/>
  <c r="AO10" i="13"/>
  <c r="AP10" i="13"/>
  <c r="AQ10" i="13"/>
  <c r="AR10" i="13"/>
  <c r="AS10" i="13"/>
  <c r="AT10" i="13"/>
  <c r="AU10" i="13"/>
  <c r="AV10" i="13"/>
  <c r="AW10" i="13"/>
  <c r="AX10" i="13"/>
  <c r="AY10" i="13"/>
  <c r="AZ10" i="13"/>
  <c r="BA10" i="13"/>
  <c r="BB10" i="13"/>
  <c r="BC10" i="13"/>
  <c r="BD10" i="13"/>
  <c r="BE10" i="13"/>
  <c r="BF10" i="13"/>
  <c r="BG10" i="13"/>
  <c r="BH10" i="13"/>
  <c r="BI10" i="13"/>
  <c r="BJ10" i="13"/>
  <c r="BK10" i="13"/>
  <c r="BL10" i="13"/>
  <c r="BM10" i="13"/>
  <c r="BN10" i="13"/>
  <c r="BO10" i="13"/>
  <c r="BP10" i="13"/>
  <c r="BQ10" i="13"/>
  <c r="BR10" i="13"/>
  <c r="BS10" i="13"/>
  <c r="BT10" i="13"/>
  <c r="BU10" i="13"/>
  <c r="BV10" i="13"/>
  <c r="BW10" i="13"/>
  <c r="BX10" i="13"/>
  <c r="BY10" i="13"/>
  <c r="BZ10" i="13"/>
  <c r="CA10" i="13"/>
  <c r="CB10" i="13"/>
  <c r="CC10" i="13"/>
  <c r="CD10" i="13"/>
  <c r="CE10" i="13"/>
  <c r="CF10" i="13"/>
  <c r="CG10" i="13"/>
  <c r="CH10" i="13"/>
  <c r="CI10" i="13"/>
  <c r="CJ10" i="13"/>
  <c r="CK10" i="13"/>
  <c r="CL10" i="13"/>
  <c r="CM10" i="13"/>
  <c r="CN10" i="13"/>
  <c r="CO10" i="13"/>
  <c r="CP10" i="13"/>
  <c r="CQ10" i="13"/>
  <c r="CR10" i="13"/>
  <c r="CS10" i="13"/>
  <c r="CT10" i="13"/>
  <c r="CX10" i="13"/>
  <c r="CY10" i="13"/>
  <c r="CZ10" i="13"/>
  <c r="DA10" i="13"/>
  <c r="DB10" i="13"/>
  <c r="DD10" i="13"/>
  <c r="DE10" i="13"/>
  <c r="DF10" i="13"/>
  <c r="DG10" i="13"/>
  <c r="DH10" i="13"/>
  <c r="DI10" i="13"/>
  <c r="DJ10" i="13"/>
  <c r="DK10" i="13"/>
  <c r="DL10" i="13"/>
  <c r="DN10" i="13"/>
  <c r="DO10" i="13"/>
  <c r="DP10" i="13"/>
  <c r="DQ10" i="13"/>
  <c r="DR10" i="13"/>
  <c r="EJ10" i="13"/>
  <c r="EK10" i="13"/>
  <c r="EL10" i="13"/>
  <c r="EN10" i="13"/>
  <c r="EO10" i="13"/>
  <c r="D11" i="13"/>
  <c r="E11" i="13"/>
  <c r="F11" i="13"/>
  <c r="G11" i="13"/>
  <c r="H11" i="13"/>
  <c r="I11" i="13"/>
  <c r="J11" i="13"/>
  <c r="K11" i="13"/>
  <c r="L11" i="13"/>
  <c r="M11" i="13"/>
  <c r="N11" i="13"/>
  <c r="O11" i="13"/>
  <c r="P11" i="13"/>
  <c r="Q11" i="13"/>
  <c r="R11" i="13"/>
  <c r="S11" i="13"/>
  <c r="T11" i="13"/>
  <c r="U11" i="13"/>
  <c r="V11" i="13"/>
  <c r="W11" i="13"/>
  <c r="X11" i="13"/>
  <c r="Y11" i="13"/>
  <c r="Z11" i="13"/>
  <c r="AA11" i="13"/>
  <c r="AB11" i="13"/>
  <c r="AC11" i="13"/>
  <c r="AD11" i="13"/>
  <c r="AE11" i="13"/>
  <c r="AF11" i="13"/>
  <c r="AG11" i="13"/>
  <c r="AH11" i="13"/>
  <c r="AI11" i="13"/>
  <c r="AJ11" i="13"/>
  <c r="AK11" i="13"/>
  <c r="AL11" i="13"/>
  <c r="AM11" i="13"/>
  <c r="AN11" i="13"/>
  <c r="AO11" i="13"/>
  <c r="AP11" i="13"/>
  <c r="AQ11" i="13"/>
  <c r="AR11" i="13"/>
  <c r="AS11" i="13"/>
  <c r="AT11" i="13"/>
  <c r="AU11" i="13"/>
  <c r="AV11" i="13"/>
  <c r="AW11" i="13"/>
  <c r="AX11" i="13"/>
  <c r="AY11" i="13"/>
  <c r="AZ11" i="13"/>
  <c r="BA11" i="13"/>
  <c r="BB11" i="13"/>
  <c r="BC11" i="13"/>
  <c r="BD11" i="13"/>
  <c r="BE11" i="13"/>
  <c r="BF11" i="13"/>
  <c r="BG11" i="13"/>
  <c r="BH11" i="13"/>
  <c r="BI11" i="13"/>
  <c r="BJ11" i="13"/>
  <c r="BK11" i="13"/>
  <c r="BL11" i="13"/>
  <c r="BM11" i="13"/>
  <c r="BN11" i="13"/>
  <c r="BO11" i="13"/>
  <c r="BP11" i="13"/>
  <c r="BQ11" i="13"/>
  <c r="BR11" i="13"/>
  <c r="BS11" i="13"/>
  <c r="BT11" i="13"/>
  <c r="BU11" i="13"/>
  <c r="BV11" i="13"/>
  <c r="BW11" i="13"/>
  <c r="BX11" i="13"/>
  <c r="BY11" i="13"/>
  <c r="BZ11" i="13"/>
  <c r="CA11" i="13"/>
  <c r="CB11" i="13"/>
  <c r="CC11" i="13"/>
  <c r="CD11" i="13"/>
  <c r="CE11" i="13"/>
  <c r="CF11" i="13"/>
  <c r="CG11" i="13"/>
  <c r="CH11" i="13"/>
  <c r="CI11" i="13"/>
  <c r="CJ11" i="13"/>
  <c r="CK11" i="13"/>
  <c r="CL11" i="13"/>
  <c r="CM11" i="13"/>
  <c r="CN11" i="13"/>
  <c r="CO11" i="13"/>
  <c r="CP11" i="13"/>
  <c r="CQ11" i="13"/>
  <c r="CR11" i="13"/>
  <c r="CS11" i="13"/>
  <c r="CT11" i="13"/>
  <c r="CX11" i="13"/>
  <c r="CY11" i="13"/>
  <c r="CZ11" i="13"/>
  <c r="DA11" i="13"/>
  <c r="DB11" i="13"/>
  <c r="DD11" i="13"/>
  <c r="DE11" i="13"/>
  <c r="DF11" i="13"/>
  <c r="DG11" i="13"/>
  <c r="DH11" i="13"/>
  <c r="DI11" i="13"/>
  <c r="DJ11" i="13"/>
  <c r="DK11" i="13"/>
  <c r="DL11" i="13"/>
  <c r="DN11" i="13"/>
  <c r="DO11" i="13"/>
  <c r="DP11" i="13"/>
  <c r="DQ11" i="13"/>
  <c r="DR11" i="13"/>
  <c r="EJ11" i="13"/>
  <c r="EK11" i="13"/>
  <c r="EL11" i="13"/>
  <c r="EN11" i="13"/>
  <c r="EO11" i="13"/>
  <c r="CT5" i="12"/>
  <c r="CU9" i="13"/>
  <c r="CV9" i="13"/>
  <c r="CV5" i="12"/>
  <c r="CW9" i="13"/>
  <c r="DB5" i="12"/>
  <c r="DC9" i="13"/>
  <c r="DL5" i="12"/>
  <c r="DM9" i="13"/>
  <c r="DR5" i="12"/>
  <c r="DS9" i="13"/>
  <c r="DS5" i="12"/>
  <c r="DT9" i="13"/>
  <c r="DT5" i="12"/>
  <c r="DU9" i="13"/>
  <c r="DU5" i="12"/>
  <c r="DV9" i="13"/>
  <c r="DV5" i="12"/>
  <c r="DW9" i="13"/>
  <c r="DW5" i="12"/>
  <c r="DX9" i="13"/>
  <c r="DX5" i="12"/>
  <c r="DY9" i="13"/>
  <c r="DY5" i="12"/>
  <c r="DZ9" i="13"/>
  <c r="DZ5" i="12"/>
  <c r="EA9" i="13"/>
  <c r="EA5" i="12"/>
  <c r="EB9" i="13"/>
  <c r="EB5" i="12"/>
  <c r="EC9" i="13"/>
  <c r="EC5" i="12"/>
  <c r="ED9" i="13"/>
  <c r="ED5" i="12"/>
  <c r="EE9" i="13"/>
  <c r="EE5" i="12"/>
  <c r="EF9" i="13"/>
  <c r="EF5" i="12"/>
  <c r="EG9" i="13"/>
  <c r="EG5" i="12"/>
  <c r="EH9" i="13"/>
  <c r="EH5" i="12"/>
  <c r="EI9" i="13"/>
  <c r="EL5" i="12"/>
  <c r="EM9" i="13"/>
  <c r="CT6" i="12"/>
  <c r="CU10" i="13"/>
  <c r="CV10" i="13"/>
  <c r="CV6" i="12"/>
  <c r="CW10" i="13"/>
  <c r="DB6" i="12"/>
  <c r="DC10" i="13"/>
  <c r="DL6" i="12"/>
  <c r="DM10" i="13"/>
  <c r="DR6" i="12"/>
  <c r="DS10" i="13"/>
  <c r="DS6" i="12"/>
  <c r="DT10" i="13"/>
  <c r="DT6" i="12"/>
  <c r="DU10" i="13"/>
  <c r="DU6" i="12"/>
  <c r="DV10" i="13"/>
  <c r="DV6" i="12"/>
  <c r="DW10" i="13"/>
  <c r="DW6" i="12"/>
  <c r="DX10" i="13"/>
  <c r="DX6" i="12"/>
  <c r="DY10" i="13"/>
  <c r="DY6" i="12"/>
  <c r="DZ10" i="13"/>
  <c r="DZ6" i="12"/>
  <c r="EA10" i="13"/>
  <c r="EA6" i="12"/>
  <c r="EB10" i="13"/>
  <c r="EB6" i="12"/>
  <c r="EC10" i="13"/>
  <c r="EC6" i="12"/>
  <c r="ED10" i="13"/>
  <c r="ED6" i="12"/>
  <c r="EE10" i="13"/>
  <c r="EE6" i="12"/>
  <c r="EF10" i="13"/>
  <c r="EF6" i="12"/>
  <c r="EG10" i="13"/>
  <c r="EG6" i="12"/>
  <c r="EH10" i="13"/>
  <c r="EH6" i="12"/>
  <c r="EI10" i="13"/>
  <c r="EL6" i="12"/>
  <c r="EM10" i="13"/>
  <c r="CT7" i="12"/>
  <c r="CU11" i="13"/>
  <c r="CV11" i="13"/>
  <c r="CV7" i="12"/>
  <c r="CW11" i="13"/>
  <c r="DB7" i="12"/>
  <c r="DC11" i="13"/>
  <c r="DL7" i="12"/>
  <c r="DM11" i="13"/>
  <c r="DR7" i="12"/>
  <c r="DS11" i="13"/>
  <c r="DS7" i="12"/>
  <c r="DT11" i="13"/>
  <c r="DT7" i="12"/>
  <c r="DU11" i="13"/>
  <c r="DU7" i="12"/>
  <c r="DV11" i="13"/>
  <c r="DV7" i="12"/>
  <c r="DW11" i="13"/>
  <c r="DW7" i="12"/>
  <c r="DX11" i="13"/>
  <c r="DX7" i="12"/>
  <c r="DY11" i="13"/>
  <c r="DY7" i="12"/>
  <c r="DZ11" i="13"/>
  <c r="DZ7" i="12"/>
  <c r="EA11" i="13"/>
  <c r="EA7" i="12"/>
  <c r="EB11" i="13"/>
  <c r="EB7" i="12"/>
  <c r="EC11" i="13"/>
  <c r="EC7" i="12"/>
  <c r="ED11" i="13"/>
  <c r="ED7" i="12"/>
  <c r="EE11" i="13"/>
  <c r="EE7" i="12"/>
  <c r="EF11" i="13"/>
  <c r="EF7" i="12"/>
  <c r="EG11" i="13"/>
  <c r="EG7" i="12"/>
  <c r="EH11" i="13"/>
  <c r="EH7" i="12"/>
  <c r="EI11" i="13"/>
  <c r="EL7" i="12"/>
  <c r="EM11" i="13"/>
  <c r="B10" i="13"/>
</calcChain>
</file>

<file path=xl/comments1.xml><?xml version="1.0" encoding="utf-8"?>
<comments xmlns="http://schemas.openxmlformats.org/spreadsheetml/2006/main">
  <authors>
    <author>Aswath Damodaran</author>
    <author>Windows User</author>
  </authors>
  <commentList>
    <comment ref="D4" authorId="0" shapeId="0">
      <text>
        <r>
          <rPr>
            <b/>
            <sz val="9"/>
            <color indexed="81"/>
            <rFont val="Geneva"/>
          </rPr>
          <t>Aswath Damodaran:</t>
        </r>
        <r>
          <rPr>
            <sz val="9"/>
            <color indexed="81"/>
            <rFont val="Geneva"/>
          </rPr>
          <t xml:space="preserve">
If there is more than one class of common shares, combined them and report total #.</t>
        </r>
      </text>
    </comment>
    <comment ref="E4" authorId="0" shapeId="0">
      <text>
        <r>
          <rPr>
            <b/>
            <sz val="9"/>
            <color indexed="81"/>
            <rFont val="Geneva"/>
          </rPr>
          <t>Aswath Damodaran:</t>
        </r>
        <r>
          <rPr>
            <sz val="9"/>
            <color indexed="81"/>
            <rFont val="Geneva"/>
          </rPr>
          <t xml:space="preserve">
If there is more than one class, report an average price/share</t>
        </r>
      </text>
    </comment>
    <comment ref="F4" authorId="0" shapeId="0">
      <text>
        <r>
          <rPr>
            <b/>
            <sz val="9"/>
            <color indexed="81"/>
            <rFont val="Geneva"/>
          </rPr>
          <t>Aswath Damodaran:</t>
        </r>
        <r>
          <rPr>
            <sz val="9"/>
            <color indexed="81"/>
            <rFont val="Geneva"/>
          </rPr>
          <t xml:space="preserve">
This is total shareholders' equity, including retained earnings, paid in capital etc.</t>
        </r>
      </text>
    </comment>
    <comment ref="G4" authorId="1" shapeId="0">
      <text>
        <r>
          <rPr>
            <b/>
            <sz val="9"/>
            <color indexed="81"/>
            <rFont val="Tahoma"/>
            <family val="2"/>
          </rPr>
          <t>Windows User:</t>
        </r>
        <r>
          <rPr>
            <sz val="9"/>
            <color indexed="81"/>
            <rFont val="Tahoma"/>
            <family val="2"/>
          </rPr>
          <t xml:space="preserve">
If BLANK trigger the solver
</t>
        </r>
      </text>
    </comment>
    <comment ref="AK4" authorId="1" shapeId="0">
      <text>
        <r>
          <rPr>
            <b/>
            <sz val="9"/>
            <color indexed="81"/>
            <rFont val="Tahoma"/>
            <family val="2"/>
          </rPr>
          <t>Windows User:</t>
        </r>
        <r>
          <rPr>
            <sz val="9"/>
            <color indexed="81"/>
            <rFont val="Tahoma"/>
            <family val="2"/>
          </rPr>
          <t xml:space="preserve">
If the ratio 1 then it is the book value of cross holdings in other companies</t>
        </r>
      </text>
    </comment>
    <comment ref="AM4" authorId="1" shapeId="0">
      <text>
        <r>
          <rPr>
            <b/>
            <sz val="9"/>
            <color indexed="81"/>
            <rFont val="Tahoma"/>
            <family val="2"/>
          </rPr>
          <t>Windows User:</t>
        </r>
        <r>
          <rPr>
            <sz val="9"/>
            <color indexed="81"/>
            <rFont val="Tahoma"/>
            <family val="2"/>
          </rPr>
          <t xml:space="preserve">
If the ratio 1 then it is the book value of cross holdings in other companies</t>
        </r>
      </text>
    </comment>
    <comment ref="BT4" authorId="1" shapeId="0">
      <text>
        <r>
          <rPr>
            <b/>
            <sz val="9"/>
            <color indexed="81"/>
            <rFont val="Tahoma"/>
            <family val="2"/>
          </rPr>
          <t>Windows User:</t>
        </r>
        <r>
          <rPr>
            <sz val="9"/>
            <color indexed="81"/>
            <rFont val="Tahoma"/>
            <family val="2"/>
          </rPr>
          <t xml:space="preserve">
I have used an approximation here. If you want to see the more complete adjustment, see below.</t>
        </r>
      </text>
    </comment>
    <comment ref="BV4" authorId="1" shapeId="0">
      <text>
        <r>
          <rPr>
            <b/>
            <sz val="9"/>
            <color indexed="81"/>
            <rFont val="Tahoma"/>
            <family val="2"/>
          </rPr>
          <t>Windows User:</t>
        </r>
        <r>
          <rPr>
            <sz val="9"/>
            <color indexed="81"/>
            <rFont val="Tahoma"/>
            <family val="2"/>
          </rPr>
          <t xml:space="preserve">
This is the EBIT reported in the current income statement</t>
        </r>
      </text>
    </comment>
    <comment ref="BW4" authorId="1" shapeId="0">
      <text>
        <r>
          <rPr>
            <b/>
            <sz val="9"/>
            <color indexed="81"/>
            <rFont val="Tahoma"/>
            <family val="2"/>
          </rPr>
          <t>Windows User:</t>
        </r>
        <r>
          <rPr>
            <sz val="9"/>
            <color indexed="81"/>
            <rFont val="Tahoma"/>
            <family val="2"/>
          </rPr>
          <t xml:space="preserve">
This is the interest-bearing debt reported on the balance sheet</t>
        </r>
      </text>
    </comment>
    <comment ref="CC4" authorId="1" shapeId="0">
      <text>
        <r>
          <rPr>
            <b/>
            <sz val="9"/>
            <color indexed="81"/>
            <rFont val="Tahoma"/>
            <family val="2"/>
          </rPr>
          <t>Windows User:</t>
        </r>
        <r>
          <rPr>
            <sz val="9"/>
            <color indexed="81"/>
            <rFont val="Tahoma"/>
            <family val="2"/>
          </rPr>
          <t xml:space="preserve">
A positive number indicates an increase in operating income (add to reported EBIT)</t>
        </r>
      </text>
    </comment>
  </commentList>
</comments>
</file>

<file path=xl/comments2.xml><?xml version="1.0" encoding="utf-8"?>
<comments xmlns="http://schemas.openxmlformats.org/spreadsheetml/2006/main">
  <authors>
    <author>Aswath Damodaran</author>
    <author>Windows User</author>
  </authors>
  <commentList>
    <comment ref="E4" authorId="0" shapeId="0">
      <text>
        <r>
          <rPr>
            <b/>
            <sz val="9"/>
            <color indexed="81"/>
            <rFont val="Geneva"/>
          </rPr>
          <t>Aswath Damodaran:</t>
        </r>
        <r>
          <rPr>
            <sz val="9"/>
            <color indexed="81"/>
            <rFont val="Geneva"/>
          </rPr>
          <t xml:space="preserve">
If there is more than one class of common shares, combined them and report total #.</t>
        </r>
      </text>
    </comment>
    <comment ref="F4" authorId="0" shapeId="0">
      <text>
        <r>
          <rPr>
            <b/>
            <sz val="9"/>
            <color indexed="81"/>
            <rFont val="Geneva"/>
          </rPr>
          <t>Aswath Damodaran:</t>
        </r>
        <r>
          <rPr>
            <sz val="9"/>
            <color indexed="81"/>
            <rFont val="Geneva"/>
          </rPr>
          <t xml:space="preserve">
If there is more than one class, report an average price/share</t>
        </r>
      </text>
    </comment>
    <comment ref="G4" authorId="0" shapeId="0">
      <text>
        <r>
          <rPr>
            <b/>
            <sz val="9"/>
            <color indexed="81"/>
            <rFont val="Geneva"/>
          </rPr>
          <t>Aswath Damodaran:</t>
        </r>
        <r>
          <rPr>
            <sz val="9"/>
            <color indexed="81"/>
            <rFont val="Geneva"/>
          </rPr>
          <t xml:space="preserve">
This is total shareholders' equity, including retained earnings, paid in capital etc.</t>
        </r>
      </text>
    </comment>
    <comment ref="H4" authorId="1" shapeId="0">
      <text>
        <r>
          <rPr>
            <b/>
            <sz val="9"/>
            <color indexed="81"/>
            <rFont val="Tahoma"/>
            <family val="2"/>
          </rPr>
          <t>Windows User:</t>
        </r>
        <r>
          <rPr>
            <sz val="9"/>
            <color indexed="81"/>
            <rFont val="Tahoma"/>
            <family val="2"/>
          </rPr>
          <t xml:space="preserve">
If BLANK trigger the solver
</t>
        </r>
      </text>
    </comment>
    <comment ref="AL4" authorId="1" shapeId="0">
      <text>
        <r>
          <rPr>
            <b/>
            <sz val="9"/>
            <color indexed="81"/>
            <rFont val="Tahoma"/>
            <family val="2"/>
          </rPr>
          <t>Windows User:</t>
        </r>
        <r>
          <rPr>
            <sz val="9"/>
            <color indexed="81"/>
            <rFont val="Tahoma"/>
            <family val="2"/>
          </rPr>
          <t xml:space="preserve">
If the ratio 1 then it is the book value of cross holdings in other companies</t>
        </r>
      </text>
    </comment>
    <comment ref="AN4" authorId="1" shapeId="0">
      <text>
        <r>
          <rPr>
            <b/>
            <sz val="9"/>
            <color indexed="81"/>
            <rFont val="Tahoma"/>
            <family val="2"/>
          </rPr>
          <t>Windows User:</t>
        </r>
        <r>
          <rPr>
            <sz val="9"/>
            <color indexed="81"/>
            <rFont val="Tahoma"/>
            <family val="2"/>
          </rPr>
          <t xml:space="preserve">
If the ratio 1 then it is the book value of cross holdings in other companies</t>
        </r>
      </text>
    </comment>
    <comment ref="BU4" authorId="1" shapeId="0">
      <text>
        <r>
          <rPr>
            <b/>
            <sz val="9"/>
            <color indexed="81"/>
            <rFont val="Tahoma"/>
            <family val="2"/>
          </rPr>
          <t>Windows User:</t>
        </r>
        <r>
          <rPr>
            <sz val="9"/>
            <color indexed="81"/>
            <rFont val="Tahoma"/>
            <family val="2"/>
          </rPr>
          <t xml:space="preserve">
I have used an approximation here. If you want to see the more complete adjustment, see below.</t>
        </r>
      </text>
    </comment>
    <comment ref="BW4" authorId="1" shapeId="0">
      <text>
        <r>
          <rPr>
            <b/>
            <sz val="9"/>
            <color indexed="81"/>
            <rFont val="Tahoma"/>
            <family val="2"/>
          </rPr>
          <t>Windows User:</t>
        </r>
        <r>
          <rPr>
            <sz val="9"/>
            <color indexed="81"/>
            <rFont val="Tahoma"/>
            <family val="2"/>
          </rPr>
          <t xml:space="preserve">
This is the EBIT reported in the current income statement</t>
        </r>
      </text>
    </comment>
    <comment ref="BX4" authorId="1" shapeId="0">
      <text>
        <r>
          <rPr>
            <b/>
            <sz val="9"/>
            <color indexed="81"/>
            <rFont val="Tahoma"/>
            <family val="2"/>
          </rPr>
          <t>Windows User:</t>
        </r>
        <r>
          <rPr>
            <sz val="9"/>
            <color indexed="81"/>
            <rFont val="Tahoma"/>
            <family val="2"/>
          </rPr>
          <t xml:space="preserve">
This is the interest-bearing debt reported on the balance sheet</t>
        </r>
      </text>
    </comment>
    <comment ref="CD4" authorId="1" shapeId="0">
      <text>
        <r>
          <rPr>
            <b/>
            <sz val="9"/>
            <color indexed="81"/>
            <rFont val="Tahoma"/>
            <family val="2"/>
          </rPr>
          <t>Windows User:</t>
        </r>
        <r>
          <rPr>
            <sz val="9"/>
            <color indexed="81"/>
            <rFont val="Tahoma"/>
            <family val="2"/>
          </rPr>
          <t xml:space="preserve">
A positive number indicates an increase in operating income (add to reported EBIT)</t>
        </r>
      </text>
    </comment>
  </commentList>
</comments>
</file>

<file path=xl/sharedStrings.xml><?xml version="1.0" encoding="utf-8"?>
<sst xmlns="http://schemas.openxmlformats.org/spreadsheetml/2006/main" count="600" uniqueCount="143">
  <si>
    <t>Market price/share</t>
  </si>
  <si>
    <t>Disney</t>
  </si>
  <si>
    <t>Lease commitment - year 1</t>
  </si>
  <si>
    <t>Lease commitment - year 2</t>
  </si>
  <si>
    <t>Lease commitment - year 3</t>
  </si>
  <si>
    <t>Lease commitment - year 4</t>
  </si>
  <si>
    <t>Lease commitment - year 5</t>
  </si>
  <si>
    <t>Lease expense - Most recent year</t>
  </si>
  <si>
    <t>Market Value of all equity</t>
  </si>
  <si>
    <t>Market Value of all debt</t>
  </si>
  <si>
    <t>Market Capitalization</t>
  </si>
  <si>
    <t>Market value of preferred stock</t>
  </si>
  <si>
    <t>Revenues: Last fiscal year</t>
  </si>
  <si>
    <t>Revenues: Last 12 months</t>
  </si>
  <si>
    <t>Revenues: Forward</t>
  </si>
  <si>
    <t>EBITDA: Last fiscal year</t>
  </si>
  <si>
    <t>EBITDA: Last 12 months</t>
  </si>
  <si>
    <t>EBITDA: Forward</t>
  </si>
  <si>
    <t>EBIT: Last fiscal year</t>
  </si>
  <si>
    <t>EBIT: Last 12 months</t>
  </si>
  <si>
    <t>EBIT: Forward</t>
  </si>
  <si>
    <t>Effective Tax Rate: Last fiscal year</t>
  </si>
  <si>
    <t>Effective Tax Rate: Last 12 months</t>
  </si>
  <si>
    <t>Effective Tax Rate: Forward</t>
  </si>
  <si>
    <t>Net Income: Last fiscal year</t>
  </si>
  <si>
    <t>Net Income: Last 12 months</t>
  </si>
  <si>
    <t>Net Income: Forward</t>
  </si>
  <si>
    <t>Interest Income from Cash: Last fiscal year</t>
  </si>
  <si>
    <t>Interest Income from Cash: Last 12 months</t>
  </si>
  <si>
    <t>Interest Income from Cash: Forward</t>
  </si>
  <si>
    <t>R&amp;D expense: year 0</t>
  </si>
  <si>
    <t>R&amp;D expense: year -1</t>
  </si>
  <si>
    <t>R&amp;D expense: year -2</t>
  </si>
  <si>
    <t>R&amp;D expense: year -3</t>
  </si>
  <si>
    <t>R&amp;D expense: year -4</t>
  </si>
  <si>
    <t>R&amp;D expense: year -5</t>
  </si>
  <si>
    <t>R&amp;D expense: year -6</t>
  </si>
  <si>
    <t>R&amp;D expense: year -7</t>
  </si>
  <si>
    <t>R&amp;D expense: year -8</t>
  </si>
  <si>
    <t>R&amp;D expense: year -9</t>
  </si>
  <si>
    <t>R&amp;D expense: year -10</t>
  </si>
  <si>
    <t>Name of company</t>
  </si>
  <si>
    <t>Date of analysis</t>
  </si>
  <si>
    <t>Risk free rate (long term)</t>
  </si>
  <si>
    <t>Number of shares (primary)</t>
  </si>
  <si>
    <t>Book value of common equity</t>
  </si>
  <si>
    <t>Book value of preferred stock</t>
  </si>
  <si>
    <t>Book value of interest bearing debt</t>
  </si>
  <si>
    <t>Average maturity of debt</t>
  </si>
  <si>
    <t>Interest expense on debt</t>
  </si>
  <si>
    <t>Pre-tax cost of debt for company</t>
  </si>
  <si>
    <t>Market value of convertible debt</t>
  </si>
  <si>
    <t>Book value of convertible debt</t>
  </si>
  <si>
    <t>Coupon rate on convertible debt</t>
  </si>
  <si>
    <t>Maturity of convertible debt</t>
  </si>
  <si>
    <t>Book value of convertible preferred</t>
  </si>
  <si>
    <t>Cash &amp; Marketable Securities</t>
  </si>
  <si>
    <t>Value of cross holdings in other companies</t>
  </si>
  <si>
    <t>Minority Interest</t>
  </si>
  <si>
    <t>I</t>
  </si>
  <si>
    <t>After-tax EBIT: Last fiscal year</t>
  </si>
  <si>
    <t>After-tax EBIT: Last 12 months</t>
  </si>
  <si>
    <t>After-tax EBIT: Forward</t>
  </si>
  <si>
    <t>Non-cash Net Income: Last fiscal year</t>
  </si>
  <si>
    <t>Non-cash Net Income: Last 12 months</t>
  </si>
  <si>
    <t>Non-cash Net Income: Forward</t>
  </si>
  <si>
    <t>O</t>
  </si>
  <si>
    <t>Book Value: Equity</t>
  </si>
  <si>
    <t>Book Value:  + Debt</t>
  </si>
  <si>
    <t>Book Value:  + Preferred</t>
  </si>
  <si>
    <t>Book Value:  - Cash</t>
  </si>
  <si>
    <t xml:space="preserve">Book Value: Invested Capital </t>
  </si>
  <si>
    <t>Firm Value: Market Value of Equity</t>
  </si>
  <si>
    <t>Firm Value:  + Market Value of Debt</t>
  </si>
  <si>
    <t xml:space="preserve">Firm Value:  + Market Value of Preferred </t>
  </si>
  <si>
    <t>Firm Value:  - Cash</t>
  </si>
  <si>
    <t xml:space="preserve">Firm Value:  - Market value of minority holdings </t>
  </si>
  <si>
    <t>Firm Value:  + Market value of Minority Interest</t>
  </si>
  <si>
    <t>Firm Value: Enterprise Value</t>
  </si>
  <si>
    <t>Firm Value: Firm Value (with minority interest)</t>
  </si>
  <si>
    <t>Debt value of leases (if any)</t>
  </si>
  <si>
    <t>Market value of interest bearing debt</t>
  </si>
  <si>
    <t>EV/Sales: Current</t>
  </si>
  <si>
    <t>EV/Sales: Trailing</t>
  </si>
  <si>
    <t>EV/Sales: Forward</t>
  </si>
  <si>
    <t>EV/EBITDA: Current</t>
  </si>
  <si>
    <t>EV/EBITDA: Trailing</t>
  </si>
  <si>
    <t>EV/EBITDA: Forward</t>
  </si>
  <si>
    <t>EV/EBIT: Current</t>
  </si>
  <si>
    <t>EV/EBIT: Trailing</t>
  </si>
  <si>
    <t>EV/EBIT: Forward</t>
  </si>
  <si>
    <t>EV/ After-tax EBIT: Current</t>
  </si>
  <si>
    <t>EV/ After-tax EBIT: Trailing</t>
  </si>
  <si>
    <t>EV/ After-tax EBIT: Forward</t>
  </si>
  <si>
    <t>PE: Current</t>
  </si>
  <si>
    <t>PE: Trailing</t>
  </si>
  <si>
    <t>PE: Forward</t>
  </si>
  <si>
    <t>Non-cash PE: Current</t>
  </si>
  <si>
    <t>Non-cash PE: Trailing</t>
  </si>
  <si>
    <t>Non-cash PE: Forward</t>
  </si>
  <si>
    <t>EV/ Invested Capital: Current</t>
  </si>
  <si>
    <t>PBV: Current</t>
  </si>
  <si>
    <t>Non-cash PBV: Current</t>
  </si>
  <si>
    <t>Price to book ratio to convert value of cross holdings in other companies to market value</t>
  </si>
  <si>
    <t>Price to book ratio to convert value of minority interest to market value</t>
  </si>
  <si>
    <t>Debt Value of leases</t>
  </si>
  <si>
    <t>Operating Income with Operating leases reclassified as debt</t>
  </si>
  <si>
    <t>Debt with Operating leases reclassified as debt</t>
  </si>
  <si>
    <t>Full Operating lease adjustment: Reported Operating income</t>
  </si>
  <si>
    <t>Full Operating lease adjustment:  + Current year's operating lease expense</t>
  </si>
  <si>
    <t>Full Operating lease adjustment:  - Depreciation on leased asset</t>
  </si>
  <si>
    <t>Full Operating lease adjustment: Adjusted Operating Income</t>
  </si>
  <si>
    <t>R&amp; D expenses: Amortization of asset for current year</t>
  </si>
  <si>
    <t>R&amp; D expenses: Value of Research Asset</t>
  </si>
  <si>
    <t>R&amp; D expenses: Adjustment to Operating Income</t>
  </si>
  <si>
    <t>Solver</t>
  </si>
  <si>
    <t>Convertible breakdown: Straight Debt component</t>
  </si>
  <si>
    <t>Convertible breakdown: Equity Component</t>
  </si>
  <si>
    <t>Convertible breakdown: Preferred Stock component</t>
  </si>
  <si>
    <t>Option Converter: Value of employee options</t>
  </si>
  <si>
    <t>Convertible breakdown: Value of Conversion options</t>
  </si>
  <si>
    <t>Option Converter: Value Per Option</t>
  </si>
  <si>
    <t>Option Converter: Number of options outstanding</t>
  </si>
  <si>
    <t>Option Converter: Average strike price</t>
  </si>
  <si>
    <t>Option Converter: Average maturity</t>
  </si>
  <si>
    <t>Option Converter: Standard deviation on stock price</t>
  </si>
  <si>
    <t>Option Converter: Dividend yield on stock (if any)</t>
  </si>
  <si>
    <t>Option Converter: Adjusted Stock Price</t>
  </si>
  <si>
    <t>Option Converter: Value per option</t>
  </si>
  <si>
    <t>R&amp; D expenses: Periods to amortize R&amp;D expenses</t>
  </si>
  <si>
    <t>Number of years embedded in leases</t>
  </si>
  <si>
    <t>Lease commitment - Beyond last year</t>
  </si>
  <si>
    <t>Operating leases number of years</t>
  </si>
  <si>
    <t xml:space="preserve">Preferred dividend yield on straight preferred </t>
  </si>
  <si>
    <t>Decomposition of Preferred Stock</t>
  </si>
  <si>
    <t>Preferred dividend yield on convertible</t>
  </si>
  <si>
    <t>s</t>
  </si>
  <si>
    <t xml:space="preserve">Build the MASTER_FUNC using the formulations in cells BQ4:EN7 </t>
  </si>
  <si>
    <t>Cell B10 in Check sheet should be close to zero for a perfect match!</t>
  </si>
  <si>
    <t>Hint: The Sub TEST_GENERATE_MASTER_FUNC_FORMULAS_FUNC() helps</t>
  </si>
  <si>
    <t>to generate the formulation!!!</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</si>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</sst>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43" formatCode="_(* #,##0.00_);_(* \(#,##0.00\);_(* &quot;-&quot;??_);_(@_)"/>
    <numFmt numFmtId="164" formatCode="&quot;$&quot;#,##0.00"/>
    <numFmt numFmtId="165" formatCode="&quot;$&quot;#,##0.000000"/>
    <numFmt numFmtId="166" formatCode="_(* #,##0.000000_);_(* \(#,##0.000000\);_(* &quot;-&quot;??_);_(@_)"/>
    <numFmt numFmtId="167" formatCode="&quot;$&quot;#,##0.0000000"/>
  </numFmts>
  <fonts count="14">
    <font>
      <sz val="9"/>
      <name val="Geneva"/>
    </font>
    <font>
      <sz val="9"/>
      <name val="Geneva"/>
    </font>
    <font>
      <sz val="9"/>
      <color indexed="81"/>
      <name val="Geneva"/>
    </font>
    <font>
      <b/>
      <sz val="9"/>
      <color indexed="81"/>
      <name val="Geneva"/>
    </font>
    <font>
      <sz val="9"/>
      <color indexed="81"/>
      <name val="Tahoma"/>
      <family val="2"/>
    </font>
    <font>
      <b/>
      <sz val="9"/>
      <color indexed="81"/>
      <name val="Tahoma"/>
      <family val="2"/>
    </font>
    <font>
      <sz val="10"/>
      <name val="Times New Roman"/>
      <family val="1"/>
    </font>
    <font>
      <sz val="12"/>
      <color theme="1"/>
      <name val="Calibri"/>
      <family val="2"/>
      <scheme val="minor"/>
    </font>
    <font>
      <sz val="10"/>
      <color theme="0"/>
      <name val="Times New Roman"/>
      <family val="1"/>
    </font>
    <font>
      <sz val="10"/>
      <color rgb="FF0070C0"/>
      <name val="Times New Roman"/>
      <family val="1"/>
    </font>
    <font>
      <sz val="10"/>
      <color theme="1"/>
      <name val="Times New Roman"/>
      <family val="1"/>
    </font>
    <font>
      <sz val="10"/>
      <color rgb="FFFF0000"/>
      <name val="Times New Roman"/>
      <family val="1"/>
    </font>
    <font>
      <b/>
      <i/>
      <sz val="10"/>
      <name val="Times New Roman"/>
    </font>
    <font>
      <sz val="9"/>
      <color rgb="FFFF0000"/>
      <name val="Geneva"/>
    </font>
  </fonts>
  <fills count="9">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hair">
        <color auto="1"/>
      </left>
      <right style="hair">
        <color auto="1"/>
      </right>
      <top style="hair">
        <color auto="1"/>
      </top>
      <bottom/>
      <diagonal/>
    </border>
    <border>
      <left style="hair">
        <color auto="1"/>
      </left>
      <right style="hair">
        <color auto="1"/>
      </right>
      <top style="hair">
        <color auto="1"/>
      </top>
      <bottom style="hair">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7" fillId="0" borderId="0"/>
    <xf numFmtId="9" fontId="1" fillId="0" borderId="0" applyFont="0" applyFill="0" applyBorder="0" applyAlignment="0" applyProtection="0"/>
  </cellStyleXfs>
  <cellXfs count="55">
    <xf numFmtId="0" fontId="0" fillId="0" borderId="0" xfId="0"/>
    <xf numFmtId="0" fontId="6" fillId="0" borderId="0" xfId="0" applyFont="1" applyAlignment="1">
      <alignment vertical="center"/>
    </xf>
    <xf numFmtId="0" fontId="6" fillId="0" borderId="0" xfId="0" applyFont="1" applyAlignment="1">
      <alignment horizontal="center" vertical="center"/>
    </xf>
    <xf numFmtId="0" fontId="8" fillId="2" borderId="1" xfId="0" applyFont="1" applyFill="1" applyBorder="1" applyAlignment="1">
      <alignment horizontal="center" vertical="center" wrapText="1"/>
    </xf>
    <xf numFmtId="0" fontId="6" fillId="3" borderId="1" xfId="0" applyFont="1" applyFill="1" applyBorder="1" applyAlignment="1">
      <alignment horizontal="center" vertical="center" wrapText="1"/>
    </xf>
    <xf numFmtId="0" fontId="6" fillId="0" borderId="0" xfId="0" applyFont="1" applyAlignment="1">
      <alignment horizontal="center" vertical="center" wrapText="1"/>
    </xf>
    <xf numFmtId="0" fontId="9" fillId="0" borderId="2" xfId="0" applyFont="1" applyFill="1" applyBorder="1" applyAlignment="1">
      <alignment vertical="center"/>
    </xf>
    <xf numFmtId="15" fontId="9" fillId="0" borderId="2" xfId="0" applyNumberFormat="1" applyFont="1" applyFill="1" applyBorder="1" applyAlignment="1">
      <alignment vertical="center"/>
    </xf>
    <xf numFmtId="10" fontId="9" fillId="0" borderId="2" xfId="0" applyNumberFormat="1" applyFont="1" applyFill="1" applyBorder="1" applyAlignment="1">
      <alignment vertical="center"/>
    </xf>
    <xf numFmtId="164" fontId="9" fillId="0" borderId="2" xfId="0" applyNumberFormat="1" applyFont="1" applyFill="1" applyBorder="1" applyAlignment="1">
      <alignment vertical="center"/>
    </xf>
    <xf numFmtId="2" fontId="9" fillId="0" borderId="2" xfId="0" applyNumberFormat="1" applyFont="1" applyFill="1" applyBorder="1" applyAlignment="1">
      <alignment horizontal="center" vertical="center"/>
    </xf>
    <xf numFmtId="164" fontId="9" fillId="0" borderId="2" xfId="0" applyNumberFormat="1" applyFont="1" applyFill="1" applyBorder="1" applyAlignment="1">
      <alignment horizontal="center" vertical="center"/>
    </xf>
    <xf numFmtId="10" fontId="9" fillId="0" borderId="2" xfId="0" applyNumberFormat="1" applyFont="1" applyFill="1" applyBorder="1" applyAlignment="1">
      <alignment horizontal="center" vertical="center"/>
    </xf>
    <xf numFmtId="2" fontId="9" fillId="0" borderId="2" xfId="0" applyNumberFormat="1" applyFont="1" applyFill="1" applyBorder="1" applyAlignment="1">
      <alignment vertical="center"/>
    </xf>
    <xf numFmtId="10" fontId="9" fillId="0" borderId="2" xfId="4" applyNumberFormat="1" applyFont="1" applyFill="1" applyBorder="1" applyAlignment="1">
      <alignment vertical="center"/>
    </xf>
    <xf numFmtId="0" fontId="9" fillId="0" borderId="2" xfId="0" applyFont="1" applyFill="1" applyBorder="1" applyAlignment="1">
      <alignment horizontal="center" vertical="center"/>
    </xf>
    <xf numFmtId="44" fontId="9" fillId="0" borderId="2" xfId="2" applyFont="1" applyFill="1" applyBorder="1" applyAlignment="1">
      <alignment vertical="center"/>
    </xf>
    <xf numFmtId="164" fontId="6" fillId="0" borderId="2" xfId="0" applyNumberFormat="1" applyFont="1" applyFill="1" applyBorder="1" applyAlignment="1">
      <alignment vertical="center"/>
    </xf>
    <xf numFmtId="44" fontId="6" fillId="0" borderId="2" xfId="0" applyNumberFormat="1" applyFont="1" applyFill="1" applyBorder="1" applyAlignment="1">
      <alignment vertical="center"/>
    </xf>
    <xf numFmtId="2" fontId="6" fillId="0" borderId="2" xfId="0" applyNumberFormat="1" applyFont="1" applyFill="1" applyBorder="1" applyAlignment="1">
      <alignment horizontal="center" vertical="center"/>
    </xf>
    <xf numFmtId="164" fontId="6" fillId="4" borderId="2" xfId="0" applyNumberFormat="1" applyFont="1" applyFill="1" applyBorder="1" applyAlignment="1">
      <alignment vertical="center"/>
    </xf>
    <xf numFmtId="2" fontId="9" fillId="5" borderId="2" xfId="0" applyNumberFormat="1" applyFont="1" applyFill="1" applyBorder="1" applyAlignment="1">
      <alignment horizontal="center" vertical="center"/>
    </xf>
    <xf numFmtId="0" fontId="6" fillId="6" borderId="0" xfId="0" quotePrefix="1" applyFont="1" applyFill="1" applyAlignment="1">
      <alignment vertical="center"/>
    </xf>
    <xf numFmtId="0" fontId="6" fillId="6" borderId="0" xfId="0" applyFont="1" applyFill="1" applyAlignment="1">
      <alignment vertical="center"/>
    </xf>
    <xf numFmtId="43" fontId="6" fillId="0" borderId="0" xfId="1" applyFont="1" applyAlignment="1">
      <alignment vertical="center"/>
    </xf>
    <xf numFmtId="0" fontId="10" fillId="0" borderId="2" xfId="0" applyFont="1" applyFill="1" applyBorder="1" applyAlignment="1">
      <alignment horizontal="center" vertical="center"/>
    </xf>
    <xf numFmtId="164" fontId="6" fillId="6" borderId="2" xfId="0" applyNumberFormat="1" applyFont="1" applyFill="1" applyBorder="1" applyAlignment="1">
      <alignment vertical="center"/>
    </xf>
    <xf numFmtId="1" fontId="6" fillId="0" borderId="2" xfId="0" applyNumberFormat="1" applyFont="1" applyFill="1" applyBorder="1" applyAlignment="1">
      <alignment horizontal="center" vertical="center"/>
    </xf>
    <xf numFmtId="1" fontId="9" fillId="0" borderId="2" xfId="0" applyNumberFormat="1" applyFont="1" applyFill="1" applyBorder="1" applyAlignment="1">
      <alignment horizontal="center" vertical="center"/>
    </xf>
    <xf numFmtId="0" fontId="11" fillId="0" borderId="0" xfId="0" applyFont="1" applyAlignment="1">
      <alignment vertical="center"/>
    </xf>
    <xf numFmtId="0" fontId="10" fillId="0" borderId="2" xfId="0" applyFont="1" applyFill="1" applyBorder="1" applyAlignment="1">
      <alignment vertical="center"/>
    </xf>
    <xf numFmtId="15" fontId="10" fillId="0" borderId="2" xfId="0" applyNumberFormat="1" applyFont="1" applyFill="1" applyBorder="1" applyAlignment="1">
      <alignment vertical="center"/>
    </xf>
    <xf numFmtId="10" fontId="10" fillId="0" borderId="2" xfId="0" applyNumberFormat="1" applyFont="1" applyFill="1" applyBorder="1" applyAlignment="1">
      <alignment vertical="center"/>
    </xf>
    <xf numFmtId="164" fontId="10" fillId="0" borderId="2" xfId="0" applyNumberFormat="1" applyFont="1" applyFill="1" applyBorder="1" applyAlignment="1">
      <alignment vertical="center"/>
    </xf>
    <xf numFmtId="2" fontId="10" fillId="5" borderId="2" xfId="0" applyNumberFormat="1" applyFont="1" applyFill="1" applyBorder="1" applyAlignment="1">
      <alignment horizontal="center" vertical="center"/>
    </xf>
    <xf numFmtId="1" fontId="10" fillId="0" borderId="2" xfId="0" applyNumberFormat="1" applyFont="1" applyFill="1" applyBorder="1" applyAlignment="1">
      <alignment horizontal="center" vertical="center"/>
    </xf>
    <xf numFmtId="164" fontId="10" fillId="0" borderId="2" xfId="0" applyNumberFormat="1" applyFont="1" applyFill="1" applyBorder="1" applyAlignment="1">
      <alignment horizontal="center" vertical="center"/>
    </xf>
    <xf numFmtId="2" fontId="10" fillId="0" borderId="2" xfId="0" applyNumberFormat="1" applyFont="1" applyFill="1" applyBorder="1" applyAlignment="1">
      <alignment horizontal="center" vertical="center"/>
    </xf>
    <xf numFmtId="10" fontId="10" fillId="0" borderId="2" xfId="0" applyNumberFormat="1" applyFont="1" applyFill="1" applyBorder="1" applyAlignment="1">
      <alignment horizontal="center" vertical="center"/>
    </xf>
    <xf numFmtId="2" fontId="10" fillId="0" borderId="2" xfId="0" applyNumberFormat="1" applyFont="1" applyFill="1" applyBorder="1" applyAlignment="1">
      <alignment vertical="center"/>
    </xf>
    <xf numFmtId="10" fontId="10" fillId="0" borderId="2" xfId="4" applyNumberFormat="1" applyFont="1" applyFill="1" applyBorder="1" applyAlignment="1">
      <alignment vertical="center"/>
    </xf>
    <xf numFmtId="44" fontId="10" fillId="0" borderId="2" xfId="2" applyFont="1" applyFill="1" applyBorder="1" applyAlignment="1">
      <alignment vertical="center"/>
    </xf>
    <xf numFmtId="164" fontId="10" fillId="6" borderId="2" xfId="0" applyNumberFormat="1" applyFont="1" applyFill="1" applyBorder="1" applyAlignment="1">
      <alignment vertical="center"/>
    </xf>
    <xf numFmtId="164" fontId="10" fillId="4" borderId="2" xfId="0" applyNumberFormat="1" applyFont="1" applyFill="1" applyBorder="1" applyAlignment="1">
      <alignment vertical="center"/>
    </xf>
    <xf numFmtId="44" fontId="10" fillId="0" borderId="2" xfId="0" applyNumberFormat="1" applyFont="1" applyFill="1" applyBorder="1" applyAlignment="1">
      <alignment vertical="center"/>
    </xf>
    <xf numFmtId="0" fontId="10" fillId="0" borderId="0" xfId="0" applyFont="1" applyAlignment="1">
      <alignment vertical="center"/>
    </xf>
    <xf numFmtId="164" fontId="6" fillId="0" borderId="0" xfId="0" applyNumberFormat="1" applyFont="1" applyAlignment="1">
      <alignment vertical="center"/>
    </xf>
    <xf numFmtId="165" fontId="6" fillId="0" borderId="0" xfId="0" applyNumberFormat="1" applyFont="1" applyAlignment="1">
      <alignment vertical="center"/>
    </xf>
    <xf numFmtId="166" fontId="6" fillId="0" borderId="0" xfId="1" applyNumberFormat="1" applyFont="1" applyAlignment="1">
      <alignment vertical="center"/>
    </xf>
    <xf numFmtId="167" fontId="6" fillId="0" borderId="0" xfId="0" applyNumberFormat="1" applyFont="1" applyAlignment="1">
      <alignment vertical="center"/>
    </xf>
    <xf numFmtId="166" fontId="6" fillId="0" borderId="0" xfId="0" applyNumberFormat="1" applyFont="1" applyAlignment="1">
      <alignment vertical="center"/>
    </xf>
    <xf numFmtId="0" fontId="12" fillId="0" borderId="0" xfId="0" applyFont="1" applyAlignment="1">
      <alignment vertical="center"/>
    </xf>
    <xf numFmtId="0" fontId="0" fillId="7" borderId="0" xfId="0" applyFill="1"/>
    <xf numFmtId="0" fontId="13" fillId="0" borderId="0" xfId="0" applyFont="1"/>
    <xf numFmtId="0" fontId="6" fillId="8" borderId="0" xfId="0" applyFont="1" applyFill="1" applyAlignment="1">
      <alignment horizontal="center" vertical="center"/>
    </xf>
  </cellXfs>
  <cellStyles count="5">
    <cellStyle name="Comma" xfId="1" builtinId="3"/>
    <cellStyle name="Currency" xfId="2" builtinId="4"/>
    <cellStyle name="Normal" xfId="0" builtinId="0"/>
    <cellStyle name="Normal 2" xfId="3"/>
    <cellStyle name="Percent" xfId="4" builtinId="5"/>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147"/>
  <sheetViews>
    <sheetView zoomScale="110" zoomScaleNormal="110" workbookViewId="0">
      <selection activeCell="J2" sqref="J2"/>
    </sheetView>
  </sheetViews>
  <sheetFormatPr defaultColWidth="10.69140625" defaultRowHeight="11.65"/>
  <sheetData>
    <row r="1" spans="2:10">
      <c r="F1">
        <v>0</v>
      </c>
    </row>
    <row r="2" spans="2:10">
      <c r="B2">
        <v>10</v>
      </c>
      <c r="C2" t="str">
        <f ca="1">OFFSET($J$1,$B2,0)</f>
        <v>HEADINGS_STR=HEADINGS_STR &amp; "Name of company,Date of analysis,Risk free rate (long term),Number of shares (primary),Market price/share,Book value of common equity,Option Converter: Value Per Option,Option Converter: Number of options outstanding,Option Converter: Average strike price,Option Converter: Average maturity,"</v>
      </c>
      <c r="D2" t="s">
        <v>141</v>
      </c>
      <c r="F2">
        <f>(IF(F1+1&gt;10,1,F1+1))</f>
        <v>1</v>
      </c>
      <c r="G2" t="s">
        <v>41</v>
      </c>
      <c r="H2" t="str">
        <f>TRIM(G2)</f>
        <v>Name of company</v>
      </c>
      <c r="I2" t="str">
        <f t="shared" ref="I2:I14" si="0">IF(F2=1,H2,I1&amp;","&amp;H2)</f>
        <v>Name of company</v>
      </c>
      <c r="J2" t="str">
        <f t="shared" ref="J2:J10" si="1">IF(F2=10,"HEADINGS_STR=HEADINGS_STR"&amp;" &amp; "&amp;""""&amp;I2&amp;","&amp;"""","")</f>
        <v/>
      </c>
    </row>
    <row r="3" spans="2:10">
      <c r="B3">
        <f>B2+10</f>
        <v>20</v>
      </c>
      <c r="C3" t="str">
        <f t="shared" ref="C3:C16" ca="1" si="2">OFFSET($J$1,$B3,0)</f>
        <v>HEADINGS_STR=HEADINGS_STR &amp; "Option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c r="D3" t="s">
        <v>141</v>
      </c>
      <c r="F3">
        <f t="shared" ref="F3:F66" si="3">(IF(F2+1&gt;10,1,F2+1))</f>
        <v>2</v>
      </c>
      <c r="G3" t="s">
        <v>42</v>
      </c>
      <c r="H3" t="str">
        <f t="shared" ref="H3:H66" si="4">TRIM(G3)</f>
        <v>Date of analysis</v>
      </c>
      <c r="I3" t="str">
        <f t="shared" si="0"/>
        <v>Name of company,Date of analysis</v>
      </c>
      <c r="J3" t="str">
        <f t="shared" si="1"/>
        <v/>
      </c>
    </row>
    <row r="4" spans="2:10">
      <c r="B4">
        <f t="shared" ref="B4:B15" si="5">B3+10</f>
        <v>30</v>
      </c>
      <c r="C4" t="str">
        <f t="shared" ca="1" si="2"/>
        <v>HEADINGS_STR=HEADINGS_STR &amp; "Lease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c r="D4" t="s">
        <v>141</v>
      </c>
      <c r="F4">
        <f t="shared" si="3"/>
        <v>3</v>
      </c>
      <c r="G4" t="s">
        <v>43</v>
      </c>
      <c r="H4" t="str">
        <f t="shared" si="4"/>
        <v>Risk free rate (long term)</v>
      </c>
      <c r="I4" t="str">
        <f t="shared" si="0"/>
        <v>Name of company,Date of analysis,Risk free rate (long term)</v>
      </c>
      <c r="J4" t="str">
        <f t="shared" si="1"/>
        <v/>
      </c>
    </row>
    <row r="5" spans="2:10">
      <c r="B5">
        <f t="shared" si="5"/>
        <v>40</v>
      </c>
      <c r="C5" t="str">
        <f t="shared" ca="1" si="2"/>
        <v>HEADINGS_STR=HEADINGS_STR &amp; "Book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c r="D5" t="s">
        <v>142</v>
      </c>
      <c r="F5">
        <f t="shared" si="3"/>
        <v>4</v>
      </c>
      <c r="G5" t="s">
        <v>44</v>
      </c>
      <c r="H5" t="str">
        <f t="shared" si="4"/>
        <v>Number of shares (primary)</v>
      </c>
      <c r="I5" t="str">
        <f t="shared" si="0"/>
        <v>Name of company,Date of analysis,Risk free rate (long term),Number of shares (primary)</v>
      </c>
      <c r="J5" t="str">
        <f t="shared" si="1"/>
        <v/>
      </c>
    </row>
    <row r="6" spans="2:10">
      <c r="B6">
        <f t="shared" si="5"/>
        <v>50</v>
      </c>
      <c r="C6" t="str">
        <f t="shared" ca="1" si="2"/>
        <v>HEADINGS_STR=HEADINGS_STR &amp; "Revenues: Last 12 months,Revenues: Forward,EBITDA: Last fiscal year,EBITDA: Last 12 months,EBITDA: Forward,EBIT: Last fiscal year,EBIT: Last 12 months,EBIT: Forward,Effective Tax Rate: Last fiscal year,Effective Tax Rate: Last 12 months,"</v>
      </c>
      <c r="D6" t="s">
        <v>141</v>
      </c>
      <c r="F6">
        <f t="shared" si="3"/>
        <v>5</v>
      </c>
      <c r="G6" t="s">
        <v>0</v>
      </c>
      <c r="H6" t="str">
        <f t="shared" si="4"/>
        <v>Market price/share</v>
      </c>
      <c r="I6" t="str">
        <f t="shared" si="0"/>
        <v>Name of company,Date of analysis,Risk free rate (long term),Number of shares (primary),Market price/share</v>
      </c>
      <c r="J6" t="str">
        <f t="shared" si="1"/>
        <v/>
      </c>
    </row>
    <row r="7" spans="2:10">
      <c r="B7">
        <f t="shared" si="5"/>
        <v>60</v>
      </c>
      <c r="C7" t="str">
        <f t="shared" ca="1" si="2"/>
        <v>HEADINGS_STR=HEADINGS_STR &amp; "Effective Tax Rate: Forward,Net Income: Last fiscal year,Net Income: Last 12 months,Net Income: Forward,Interest Income from Cash: Last fiscal year,Interest Income from Cash: Last 12 months,Interest Income from Cash: Forward,R&amp;D expense: year 0,R&amp;D expense: year -1,R&amp;D expense: year -2,"</v>
      </c>
      <c r="D7" t="s">
        <v>141</v>
      </c>
      <c r="F7">
        <f t="shared" si="3"/>
        <v>6</v>
      </c>
      <c r="G7" t="s">
        <v>45</v>
      </c>
      <c r="H7" t="str">
        <f t="shared" si="4"/>
        <v>Book value of common equity</v>
      </c>
      <c r="I7" t="str">
        <f t="shared" si="0"/>
        <v>Name of company,Date of analysis,Risk free rate (long term),Number of shares (primary),Market price/share,Book value of common equity</v>
      </c>
      <c r="J7" t="str">
        <f t="shared" si="1"/>
        <v/>
      </c>
    </row>
    <row r="8" spans="2:10">
      <c r="B8">
        <f t="shared" si="5"/>
        <v>70</v>
      </c>
      <c r="C8" t="str">
        <f t="shared" ca="1" si="2"/>
        <v>HEADINGS_STR=HEADINGS_STR &amp; "R&amp;D expense: year -3,R&amp;D expense: year -4,R&amp;D expense: year -5,R&amp;D expense: year -6,R&amp;D expense: year -7,R&amp;D expense: year -8,R&amp;D expense: year -9,R&amp;D expense: year -10,Operating leases number of years,Number of years embedded in leases,"</v>
      </c>
      <c r="D8" t="s">
        <v>141</v>
      </c>
      <c r="F8">
        <f t="shared" si="3"/>
        <v>7</v>
      </c>
      <c r="G8" t="s">
        <v>121</v>
      </c>
      <c r="H8" t="str">
        <f t="shared" si="4"/>
        <v>Option Converter: Value Per Option</v>
      </c>
      <c r="I8" t="str">
        <f t="shared" si="0"/>
        <v>Name of company,Date of analysis,Risk free rate (long term),Number of shares (primary),Market price/share,Book value of common equity,Option Converter: Value Per Option</v>
      </c>
      <c r="J8" t="str">
        <f t="shared" si="1"/>
        <v/>
      </c>
    </row>
    <row r="9" spans="2:10">
      <c r="B9">
        <f t="shared" si="5"/>
        <v>80</v>
      </c>
      <c r="C9" t="str">
        <f t="shared" ca="1" si="2"/>
        <v>HEADINGS_STR=HEADINGS_STR &amp; "Debt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c r="D9" t="s">
        <v>141</v>
      </c>
      <c r="F9">
        <f t="shared" si="3"/>
        <v>8</v>
      </c>
      <c r="G9" t="s">
        <v>122</v>
      </c>
      <c r="H9" t="str">
        <f t="shared" si="4"/>
        <v>Option Converter: Number of options outstanding</v>
      </c>
      <c r="I9" t="str">
        <f t="shared" si="0"/>
        <v>Name of company,Date of analysis,Risk free rate (long term),Number of shares (primary),Market price/share,Book value of common equity,Option Converter: Value Per Option,Option Converter: Number of options outstanding</v>
      </c>
      <c r="J9" t="str">
        <f t="shared" si="1"/>
        <v/>
      </c>
    </row>
    <row r="10" spans="2:10">
      <c r="B10">
        <f t="shared" si="5"/>
        <v>90</v>
      </c>
      <c r="C10" t="str">
        <f t="shared" ca="1" si="2"/>
        <v>HEADINGS_STR=HEADINGS_STR &amp; "R&amp; D expenses: Adjustment to Operating Income,EBITDA: Last fiscal year,EBITDA: Last 12 months,EBITDA: Forward,EBIT: Last fiscal year,EBIT: Last 12 months,EBIT: Forward,After-tax EBIT: Last fiscal year,After-tax EBIT: Last 12 months,After-tax EBIT: Forward,"</v>
      </c>
      <c r="D10" t="s">
        <v>141</v>
      </c>
      <c r="F10">
        <f t="shared" si="3"/>
        <v>9</v>
      </c>
      <c r="G10" t="s">
        <v>123</v>
      </c>
      <c r="H10" t="str">
        <f t="shared" si="4"/>
        <v>Option Converter: Average strike price</v>
      </c>
      <c r="I10" t="str">
        <f t="shared" si="0"/>
        <v>Name of company,Date of analysis,Risk free rate (long term),Number of shares (primary),Market price/share,Book value of common equity,Option Converter: Value Per Option,Option Converter: Number of options outstanding,Option Converter: Average strike price</v>
      </c>
      <c r="J10" t="str">
        <f t="shared" si="1"/>
        <v/>
      </c>
    </row>
    <row r="11" spans="2:10">
      <c r="B11">
        <f t="shared" si="5"/>
        <v>100</v>
      </c>
      <c r="C11" t="str">
        <f t="shared" ca="1" si="2"/>
        <v>HEADINGS_STR=HEADINGS_STR &amp; "Net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c r="D11" t="s">
        <v>141</v>
      </c>
      <c r="F11">
        <f t="shared" si="3"/>
        <v>10</v>
      </c>
      <c r="G11" t="s">
        <v>124</v>
      </c>
      <c r="H11" t="str">
        <f t="shared" si="4"/>
        <v>Option Converter: Average maturity</v>
      </c>
      <c r="I11" t="str">
        <f t="shared" si="0"/>
        <v>Name of company,Date of analysis,Risk free rate (long term),Number of shares (primary),Market price/share,Book value of common equity,Option Converter: Value Per Option,Option Converter: Number of options outstanding,Option Converter: Average strike price,Option Converter: Average maturity</v>
      </c>
      <c r="J11" t="str">
        <f>IF(F11=10,"HEADINGS_STR=HEADINGS_STR"&amp;" &amp; "&amp;""""&amp;I11&amp;","&amp;"""","")</f>
        <v>HEADINGS_STR=HEADINGS_STR &amp; "Name of company,Date of analysis,Risk free rate (long term),Number of shares (primary),Market price/share,Book value of common equity,Option Converter: Value Per Option,Option Converter: Number of options outstanding,Option Converter: Average strike price,Option Converter: Average maturity,"</v>
      </c>
    </row>
    <row r="12" spans="2:10">
      <c r="B12">
        <f t="shared" si="5"/>
        <v>110</v>
      </c>
      <c r="C12" t="str">
        <f t="shared" ca="1" si="2"/>
        <v>HEADINGS_STR=HEADINGS_STR &amp; "Convertible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c r="D12" t="s">
        <v>141</v>
      </c>
      <c r="F12">
        <f t="shared" si="3"/>
        <v>1</v>
      </c>
      <c r="G12" t="s">
        <v>125</v>
      </c>
      <c r="H12" t="str">
        <f t="shared" si="4"/>
        <v>Option Converter: Standard deviation on stock price</v>
      </c>
      <c r="I12" t="str">
        <f t="shared" si="0"/>
        <v>Option Converter: Standard deviation on stock price</v>
      </c>
      <c r="J12" t="str">
        <f t="shared" ref="J12:J75" si="6">IF(F12=10,"HEADINGS_STR=HEADINGS_STR"&amp;" &amp; "&amp;""""&amp;I12&amp;","&amp;"""","")</f>
        <v/>
      </c>
    </row>
    <row r="13" spans="2:10">
      <c r="B13">
        <f t="shared" si="5"/>
        <v>120</v>
      </c>
      <c r="C13" t="str">
        <f t="shared" ca="1" si="2"/>
        <v>HEADINGS_STR=HEADINGS_STR &amp; "Book Value: Equity,Book Value: + Debt,Book Value: + Preferred,Book Value: - Cash,Book Value: Invested Capital,Firm Value: Market Value of Equity,Firm Value: + Market Value of Debt,Firm Value: + Market Value of Preferred,Firm Value: - Cash,Firm Value: - Market value of minority holdings,"</v>
      </c>
      <c r="D13" t="s">
        <v>141</v>
      </c>
      <c r="F13">
        <f t="shared" si="3"/>
        <v>2</v>
      </c>
      <c r="G13" t="s">
        <v>126</v>
      </c>
      <c r="H13" t="str">
        <f t="shared" si="4"/>
        <v>Option Converter: Dividend yield on stock (if any)</v>
      </c>
      <c r="I13" t="str">
        <f t="shared" si="0"/>
        <v>Option Converter: Standard deviation on stock price,Option Converter: Dividend yield on stock (if any)</v>
      </c>
      <c r="J13" t="str">
        <f t="shared" si="6"/>
        <v/>
      </c>
    </row>
    <row r="14" spans="2:10">
      <c r="B14">
        <f t="shared" si="5"/>
        <v>130</v>
      </c>
      <c r="C14" t="str">
        <f t="shared" ca="1" si="2"/>
        <v>HEADINGS_STR=HEADINGS_STR &amp; "Firm Value: + Market value of Minority Interest,Firm Value: Enterprise Value,Firm Value: Firm Value (with minority interest),EV/Sales: Current,EV/Sales: Trailing,EV/Sales: Forward,EV/EBITDA: Current,EV/EBITDA: Trailing,EV/EBITDA: Forward,EV/EBIT: Current,"</v>
      </c>
      <c r="D14" t="s">
        <v>141</v>
      </c>
      <c r="F14">
        <f t="shared" si="3"/>
        <v>3</v>
      </c>
      <c r="G14" t="s">
        <v>46</v>
      </c>
      <c r="H14" t="str">
        <f t="shared" si="4"/>
        <v>Book value of preferred stock</v>
      </c>
      <c r="I14" t="str">
        <f t="shared" si="0"/>
        <v>Option Converter: Standard deviation on stock price,Option Converter: Dividend yield on stock (if any),Book value of preferred stock</v>
      </c>
      <c r="J14" t="str">
        <f t="shared" si="6"/>
        <v/>
      </c>
    </row>
    <row r="15" spans="2:10">
      <c r="B15">
        <f t="shared" si="5"/>
        <v>140</v>
      </c>
      <c r="C15" t="str">
        <f t="shared" ca="1" si="2"/>
        <v>HEADINGS_STR=HEADINGS_STR &amp; "EV/EBIT: Trailing,EV/EBIT: Forward,EV/ After-tax EBIT: Current,EV/ After-tax EBIT: Trailing,EV/ After-tax EBIT: Forward,PE: Current,PE: Trailing,PE: Forward,Non-cash PE: Current,Non-cash PE: Trailing,"</v>
      </c>
      <c r="D15" t="s">
        <v>141</v>
      </c>
      <c r="F15">
        <f t="shared" si="3"/>
        <v>4</v>
      </c>
      <c r="G15" t="s">
        <v>11</v>
      </c>
      <c r="H15" t="str">
        <f t="shared" si="4"/>
        <v>Market value of preferred stock</v>
      </c>
      <c r="I15" t="str">
        <f t="shared" ref="I15:I78" si="7">IF(F15=1,H15,I14&amp;","&amp;H15)</f>
        <v>Option Converter: Standard deviation on stock price,Option Converter: Dividend yield on stock (if any),Book value of preferred stock,Market value of preferred stock</v>
      </c>
      <c r="J15" t="str">
        <f t="shared" si="6"/>
        <v/>
      </c>
    </row>
    <row r="16" spans="2:10">
      <c r="B16" s="53">
        <v>144</v>
      </c>
      <c r="C16" t="str">
        <f t="shared" ca="1" si="2"/>
        <v>HEADINGS_STR=HEADINGS_STR &amp; "Non-cash PE: Forward,EV/ Invested Capital: Current,PBV: Current,Non-cash PBV: Current,"</v>
      </c>
      <c r="F16">
        <f t="shared" si="3"/>
        <v>5</v>
      </c>
      <c r="G16" t="s">
        <v>47</v>
      </c>
      <c r="H16" t="str">
        <f t="shared" si="4"/>
        <v>Book value of interest bearing debt</v>
      </c>
      <c r="I16" t="str">
        <f t="shared" si="7"/>
        <v>Option Converter: Standard deviation on stock price,Option Converter: Dividend yield on stock (if any),Book value of preferred stock,Market value of preferred stock,Book value of interest bearing debt</v>
      </c>
      <c r="J16" t="str">
        <f t="shared" si="6"/>
        <v/>
      </c>
    </row>
    <row r="17" spans="6:10">
      <c r="F17">
        <f t="shared" si="3"/>
        <v>6</v>
      </c>
      <c r="G17" t="s">
        <v>48</v>
      </c>
      <c r="H17" t="str">
        <f t="shared" si="4"/>
        <v>Average maturity of debt</v>
      </c>
      <c r="I17" t="str">
        <f t="shared" si="7"/>
        <v>Option Converter: Standard deviation on stock price,Option Converter: Dividend yield on stock (if any),Book value of preferred stock,Market value of preferred stock,Book value of interest bearing debt,Average maturity of debt</v>
      </c>
      <c r="J17" t="str">
        <f t="shared" si="6"/>
        <v/>
      </c>
    </row>
    <row r="18" spans="6:10">
      <c r="F18">
        <f t="shared" si="3"/>
        <v>7</v>
      </c>
      <c r="G18" t="s">
        <v>49</v>
      </c>
      <c r="H18" t="str">
        <f t="shared" si="4"/>
        <v>Interest expense on debt</v>
      </c>
      <c r="I18" t="str">
        <f t="shared" si="7"/>
        <v>Option Converter: Standard deviation on stock price,Option Converter: Dividend yield on stock (if any),Book value of preferred stock,Market value of preferred stock,Book value of interest bearing debt,Average maturity of debt,Interest expense on debt</v>
      </c>
      <c r="J18" t="str">
        <f t="shared" si="6"/>
        <v/>
      </c>
    </row>
    <row r="19" spans="6:10">
      <c r="F19">
        <f t="shared" si="3"/>
        <v>8</v>
      </c>
      <c r="G19" t="s">
        <v>50</v>
      </c>
      <c r="H19" t="str">
        <f t="shared" si="4"/>
        <v>Pre-tax cost of debt for company</v>
      </c>
      <c r="I19"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v>
      </c>
      <c r="J19" t="str">
        <f t="shared" si="6"/>
        <v/>
      </c>
    </row>
    <row r="20" spans="6:10">
      <c r="F20">
        <f t="shared" si="3"/>
        <v>9</v>
      </c>
      <c r="G20" t="s">
        <v>7</v>
      </c>
      <c r="H20" t="str">
        <f t="shared" si="4"/>
        <v>Lease expense - Most recent year</v>
      </c>
      <c r="I20"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v>
      </c>
      <c r="J20" t="str">
        <f t="shared" si="6"/>
        <v/>
      </c>
    </row>
    <row r="21" spans="6:10">
      <c r="F21">
        <f t="shared" si="3"/>
        <v>10</v>
      </c>
      <c r="G21" t="s">
        <v>2</v>
      </c>
      <c r="H21" t="str">
        <f t="shared" si="4"/>
        <v>Lease commitment - year 1</v>
      </c>
      <c r="I21" t="str">
        <f t="shared" si="7"/>
        <v>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c r="J21" t="str">
        <f t="shared" si="6"/>
        <v>HEADINGS_STR=HEADINGS_STR &amp; "Option Converter: Standard deviation on stock price,Option Converter: Dividend yield on stock (if any),Book value of preferred stock,Market value of preferred stock,Book value of interest bearing debt,Average maturity of debt,Interest expense on debt,Pre-tax cost of debt for company,Lease expense - Most recent year,Lease commitment - year 1,"</v>
      </c>
    </row>
    <row r="22" spans="6:10">
      <c r="F22">
        <f t="shared" si="3"/>
        <v>1</v>
      </c>
      <c r="G22" t="s">
        <v>3</v>
      </c>
      <c r="H22" t="str">
        <f t="shared" si="4"/>
        <v>Lease commitment - year 2</v>
      </c>
      <c r="I22" t="str">
        <f t="shared" si="7"/>
        <v>Lease commitment - year 2</v>
      </c>
      <c r="J22" t="str">
        <f t="shared" si="6"/>
        <v/>
      </c>
    </row>
    <row r="23" spans="6:10">
      <c r="F23">
        <f t="shared" si="3"/>
        <v>2</v>
      </c>
      <c r="G23" t="s">
        <v>4</v>
      </c>
      <c r="H23" t="str">
        <f t="shared" si="4"/>
        <v>Lease commitment - year 3</v>
      </c>
      <c r="I23" t="str">
        <f t="shared" si="7"/>
        <v>Lease commitment - year 2,Lease commitment - year 3</v>
      </c>
      <c r="J23" t="str">
        <f t="shared" si="6"/>
        <v/>
      </c>
    </row>
    <row r="24" spans="6:10">
      <c r="F24">
        <f t="shared" si="3"/>
        <v>3</v>
      </c>
      <c r="G24" t="s">
        <v>5</v>
      </c>
      <c r="H24" t="str">
        <f t="shared" si="4"/>
        <v>Lease commitment - year 4</v>
      </c>
      <c r="I24" t="str">
        <f t="shared" si="7"/>
        <v>Lease commitment - year 2,Lease commitment - year 3,Lease commitment - year 4</v>
      </c>
      <c r="J24" t="str">
        <f t="shared" si="6"/>
        <v/>
      </c>
    </row>
    <row r="25" spans="6:10">
      <c r="F25">
        <f t="shared" si="3"/>
        <v>4</v>
      </c>
      <c r="G25" t="s">
        <v>6</v>
      </c>
      <c r="H25" t="str">
        <f t="shared" si="4"/>
        <v>Lease commitment - year 5</v>
      </c>
      <c r="I25" t="str">
        <f t="shared" si="7"/>
        <v>Lease commitment - year 2,Lease commitment - year 3,Lease commitment - year 4,Lease commitment - year 5</v>
      </c>
      <c r="J25" t="str">
        <f t="shared" si="6"/>
        <v/>
      </c>
    </row>
    <row r="26" spans="6:10">
      <c r="F26">
        <f t="shared" si="3"/>
        <v>5</v>
      </c>
      <c r="G26" t="s">
        <v>131</v>
      </c>
      <c r="H26" t="str">
        <f t="shared" si="4"/>
        <v>Lease commitment - Beyond last year</v>
      </c>
      <c r="I26" t="str">
        <f t="shared" si="7"/>
        <v>Lease commitment - year 2,Lease commitment - year 3,Lease commitment - year 4,Lease commitment - year 5,Lease commitment - Beyond last year</v>
      </c>
      <c r="J26" t="str">
        <f t="shared" si="6"/>
        <v/>
      </c>
    </row>
    <row r="27" spans="6:10">
      <c r="F27">
        <f t="shared" si="3"/>
        <v>6</v>
      </c>
      <c r="G27" t="s">
        <v>51</v>
      </c>
      <c r="H27" t="str">
        <f t="shared" si="4"/>
        <v>Market value of convertible debt</v>
      </c>
      <c r="I27" t="str">
        <f t="shared" si="7"/>
        <v>Lease commitment - year 2,Lease commitment - year 3,Lease commitment - year 4,Lease commitment - year 5,Lease commitment - Beyond last year,Market value of convertible debt</v>
      </c>
      <c r="J27" t="str">
        <f t="shared" si="6"/>
        <v/>
      </c>
    </row>
    <row r="28" spans="6:10">
      <c r="F28">
        <f t="shared" si="3"/>
        <v>7</v>
      </c>
      <c r="G28" t="s">
        <v>52</v>
      </c>
      <c r="H28" t="str">
        <f t="shared" si="4"/>
        <v>Book value of convertible debt</v>
      </c>
      <c r="I28" t="str">
        <f t="shared" si="7"/>
        <v>Lease commitment - year 2,Lease commitment - year 3,Lease commitment - year 4,Lease commitment - year 5,Lease commitment - Beyond last year,Market value of convertible debt,Book value of convertible debt</v>
      </c>
      <c r="J28" t="str">
        <f t="shared" si="6"/>
        <v/>
      </c>
    </row>
    <row r="29" spans="6:10">
      <c r="F29">
        <f t="shared" si="3"/>
        <v>8</v>
      </c>
      <c r="G29" t="s">
        <v>116</v>
      </c>
      <c r="H29" t="str">
        <f t="shared" si="4"/>
        <v>Convertible breakdown: Straight Debt component</v>
      </c>
      <c r="I29" t="str">
        <f t="shared" si="7"/>
        <v>Lease commitment - year 2,Lease commitment - year 3,Lease commitment - year 4,Lease commitment - year 5,Lease commitment - Beyond last year,Market value of convertible debt,Book value of convertible debt,Convertible breakdown: Straight Debt component</v>
      </c>
      <c r="J29" t="str">
        <f t="shared" si="6"/>
        <v/>
      </c>
    </row>
    <row r="30" spans="6:10">
      <c r="F30">
        <f t="shared" si="3"/>
        <v>9</v>
      </c>
      <c r="G30" t="s">
        <v>53</v>
      </c>
      <c r="H30" t="str">
        <f t="shared" si="4"/>
        <v>Coupon rate on convertible debt</v>
      </c>
      <c r="I30" t="str">
        <f t="shared" si="7"/>
        <v>Lease commitment - year 2,Lease commitment - year 3,Lease commitment - year 4,Lease commitment - year 5,Lease commitment - Beyond last year,Market value of convertible debt,Book value of convertible debt,Convertible breakdown: Straight Debt component,Coupon rate on convertible debt</v>
      </c>
      <c r="J30" t="str">
        <f t="shared" si="6"/>
        <v/>
      </c>
    </row>
    <row r="31" spans="6:10">
      <c r="F31">
        <f t="shared" si="3"/>
        <v>10</v>
      </c>
      <c r="G31" t="s">
        <v>54</v>
      </c>
      <c r="H31" t="str">
        <f t="shared" si="4"/>
        <v>Maturity of convertible debt</v>
      </c>
      <c r="I31" t="str">
        <f t="shared" si="7"/>
        <v>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c r="J31" t="str">
        <f t="shared" si="6"/>
        <v>HEADINGS_STR=HEADINGS_STR &amp; "Lease commitment - year 2,Lease commitment - year 3,Lease commitment - year 4,Lease commitment - year 5,Lease commitment - Beyond last year,Market value of convertible debt,Book value of convertible debt,Convertible breakdown: Straight Debt component,Coupon rate on convertible debt,Maturity of convertible debt,"</v>
      </c>
    </row>
    <row r="32" spans="6:10">
      <c r="F32">
        <f t="shared" si="3"/>
        <v>1</v>
      </c>
      <c r="G32" t="s">
        <v>55</v>
      </c>
      <c r="H32" t="str">
        <f t="shared" si="4"/>
        <v>Book value of convertible preferred</v>
      </c>
      <c r="I32" t="str">
        <f t="shared" si="7"/>
        <v>Book value of convertible preferred</v>
      </c>
      <c r="J32" t="str">
        <f t="shared" si="6"/>
        <v/>
      </c>
    </row>
    <row r="33" spans="6:10">
      <c r="F33">
        <f t="shared" si="3"/>
        <v>2</v>
      </c>
      <c r="G33" t="s">
        <v>135</v>
      </c>
      <c r="H33" t="str">
        <f t="shared" si="4"/>
        <v>Preferred dividend yield on convertible</v>
      </c>
      <c r="I33" t="str">
        <f t="shared" si="7"/>
        <v>Book value of convertible preferred,Preferred dividend yield on convertible</v>
      </c>
      <c r="J33" t="str">
        <f t="shared" si="6"/>
        <v/>
      </c>
    </row>
    <row r="34" spans="6:10">
      <c r="F34">
        <f t="shared" si="3"/>
        <v>3</v>
      </c>
      <c r="G34" t="s">
        <v>133</v>
      </c>
      <c r="H34" t="str">
        <f t="shared" si="4"/>
        <v>Preferred dividend yield on straight preferred</v>
      </c>
      <c r="I34" t="str">
        <f t="shared" si="7"/>
        <v>Book value of convertible preferred,Preferred dividend yield on convertible,Preferred dividend yield on straight preferred</v>
      </c>
      <c r="J34" t="str">
        <f t="shared" si="6"/>
        <v/>
      </c>
    </row>
    <row r="35" spans="6:10">
      <c r="F35">
        <f t="shared" si="3"/>
        <v>4</v>
      </c>
      <c r="G35" t="s">
        <v>134</v>
      </c>
      <c r="H35" t="str">
        <f t="shared" si="4"/>
        <v>Decomposition of Preferred Stock</v>
      </c>
      <c r="I35" t="str">
        <f t="shared" si="7"/>
        <v>Book value of convertible preferred,Preferred dividend yield on convertible,Preferred dividend yield on straight preferred,Decomposition of Preferred Stock</v>
      </c>
      <c r="J35" t="str">
        <f t="shared" si="6"/>
        <v/>
      </c>
    </row>
    <row r="36" spans="6:10">
      <c r="F36">
        <f t="shared" si="3"/>
        <v>5</v>
      </c>
      <c r="G36" t="s">
        <v>56</v>
      </c>
      <c r="H36" t="str">
        <f t="shared" si="4"/>
        <v>Cash &amp; Marketable Securities</v>
      </c>
      <c r="I36" t="str">
        <f t="shared" si="7"/>
        <v>Book value of convertible preferred,Preferred dividend yield on convertible,Preferred dividend yield on straight preferred,Decomposition of Preferred Stock,Cash &amp; Marketable Securities</v>
      </c>
      <c r="J36" t="str">
        <f t="shared" si="6"/>
        <v/>
      </c>
    </row>
    <row r="37" spans="6:10">
      <c r="F37">
        <f t="shared" si="3"/>
        <v>6</v>
      </c>
      <c r="G37" t="s">
        <v>57</v>
      </c>
      <c r="H37" t="str">
        <f t="shared" si="4"/>
        <v>Value of cross holdings in other companies</v>
      </c>
      <c r="I37" t="str">
        <f t="shared" si="7"/>
        <v>Book value of convertible preferred,Preferred dividend yield on convertible,Preferred dividend yield on straight preferred,Decomposition of Preferred Stock,Cash &amp; Marketable Securities,Value of cross holdings in other companies</v>
      </c>
      <c r="J37" t="str">
        <f t="shared" si="6"/>
        <v/>
      </c>
    </row>
    <row r="38" spans="6:10">
      <c r="F38">
        <f t="shared" si="3"/>
        <v>7</v>
      </c>
      <c r="G38" t="s">
        <v>103</v>
      </c>
      <c r="H38" t="str">
        <f t="shared" si="4"/>
        <v>Price to book ratio to convert value of cross holdings in other companies to market value</v>
      </c>
      <c r="I38"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v>
      </c>
      <c r="J38" t="str">
        <f t="shared" si="6"/>
        <v/>
      </c>
    </row>
    <row r="39" spans="6:10">
      <c r="F39">
        <f t="shared" si="3"/>
        <v>8</v>
      </c>
      <c r="G39" t="s">
        <v>58</v>
      </c>
      <c r="H39" t="str">
        <f t="shared" si="4"/>
        <v>Minority Interest</v>
      </c>
      <c r="I39"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v>
      </c>
      <c r="J39" t="str">
        <f t="shared" si="6"/>
        <v/>
      </c>
    </row>
    <row r="40" spans="6:10">
      <c r="F40">
        <f t="shared" si="3"/>
        <v>9</v>
      </c>
      <c r="G40" t="s">
        <v>104</v>
      </c>
      <c r="H40" t="str">
        <f t="shared" si="4"/>
        <v>Price to book ratio to convert value of minority interest to market value</v>
      </c>
      <c r="I40"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v>
      </c>
      <c r="J40" t="str">
        <f t="shared" si="6"/>
        <v/>
      </c>
    </row>
    <row r="41" spans="6:10">
      <c r="F41">
        <f t="shared" si="3"/>
        <v>10</v>
      </c>
      <c r="G41" t="s">
        <v>12</v>
      </c>
      <c r="H41" t="str">
        <f t="shared" si="4"/>
        <v>Revenues: Last fiscal year</v>
      </c>
      <c r="I41" t="str">
        <f t="shared" si="7"/>
        <v>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c r="J41" t="str">
        <f t="shared" si="6"/>
        <v>HEADINGS_STR=HEADINGS_STR &amp; "Book value of convertible preferred,Preferred dividend yield on convertible,Preferred dividend yield on straight preferred,Decomposition of Preferred Stock,Cash &amp; Marketable Securities,Value of cross holdings in other companies,Price to book ratio to convert value of cross holdings in other companies to market value,Minority Interest,Price to book ratio to convert value of minority interest to market value,Revenues: Last fiscal year,"</v>
      </c>
    </row>
    <row r="42" spans="6:10">
      <c r="F42">
        <f t="shared" si="3"/>
        <v>1</v>
      </c>
      <c r="G42" t="s">
        <v>13</v>
      </c>
      <c r="H42" t="str">
        <f t="shared" si="4"/>
        <v>Revenues: Last 12 months</v>
      </c>
      <c r="I42" t="str">
        <f t="shared" si="7"/>
        <v>Revenues: Last 12 months</v>
      </c>
      <c r="J42" t="str">
        <f t="shared" si="6"/>
        <v/>
      </c>
    </row>
    <row r="43" spans="6:10">
      <c r="F43">
        <f t="shared" si="3"/>
        <v>2</v>
      </c>
      <c r="G43" t="s">
        <v>14</v>
      </c>
      <c r="H43" t="str">
        <f t="shared" si="4"/>
        <v>Revenues: Forward</v>
      </c>
      <c r="I43" t="str">
        <f t="shared" si="7"/>
        <v>Revenues: Last 12 months,Revenues: Forward</v>
      </c>
      <c r="J43" t="str">
        <f t="shared" si="6"/>
        <v/>
      </c>
    </row>
    <row r="44" spans="6:10">
      <c r="F44">
        <f t="shared" si="3"/>
        <v>3</v>
      </c>
      <c r="G44" t="s">
        <v>15</v>
      </c>
      <c r="H44" t="str">
        <f t="shared" si="4"/>
        <v>EBITDA: Last fiscal year</v>
      </c>
      <c r="I44" t="str">
        <f t="shared" si="7"/>
        <v>Revenues: Last 12 months,Revenues: Forward,EBITDA: Last fiscal year</v>
      </c>
      <c r="J44" t="str">
        <f t="shared" si="6"/>
        <v/>
      </c>
    </row>
    <row r="45" spans="6:10">
      <c r="F45">
        <f t="shared" si="3"/>
        <v>4</v>
      </c>
      <c r="G45" t="s">
        <v>16</v>
      </c>
      <c r="H45" t="str">
        <f t="shared" si="4"/>
        <v>EBITDA: Last 12 months</v>
      </c>
      <c r="I45" t="str">
        <f t="shared" si="7"/>
        <v>Revenues: Last 12 months,Revenues: Forward,EBITDA: Last fiscal year,EBITDA: Last 12 months</v>
      </c>
      <c r="J45" t="str">
        <f t="shared" si="6"/>
        <v/>
      </c>
    </row>
    <row r="46" spans="6:10">
      <c r="F46">
        <f t="shared" si="3"/>
        <v>5</v>
      </c>
      <c r="G46" t="s">
        <v>17</v>
      </c>
      <c r="H46" t="str">
        <f t="shared" si="4"/>
        <v>EBITDA: Forward</v>
      </c>
      <c r="I46" t="str">
        <f t="shared" si="7"/>
        <v>Revenues: Last 12 months,Revenues: Forward,EBITDA: Last fiscal year,EBITDA: Last 12 months,EBITDA: Forward</v>
      </c>
      <c r="J46" t="str">
        <f t="shared" si="6"/>
        <v/>
      </c>
    </row>
    <row r="47" spans="6:10">
      <c r="F47">
        <f t="shared" si="3"/>
        <v>6</v>
      </c>
      <c r="G47" t="s">
        <v>18</v>
      </c>
      <c r="H47" t="str">
        <f t="shared" si="4"/>
        <v>EBIT: Last fiscal year</v>
      </c>
      <c r="I47" t="str">
        <f t="shared" si="7"/>
        <v>Revenues: Last 12 months,Revenues: Forward,EBITDA: Last fiscal year,EBITDA: Last 12 months,EBITDA: Forward,EBIT: Last fiscal year</v>
      </c>
      <c r="J47" t="str">
        <f t="shared" si="6"/>
        <v/>
      </c>
    </row>
    <row r="48" spans="6:10">
      <c r="F48">
        <f t="shared" si="3"/>
        <v>7</v>
      </c>
      <c r="G48" t="s">
        <v>19</v>
      </c>
      <c r="H48" t="str">
        <f t="shared" si="4"/>
        <v>EBIT: Last 12 months</v>
      </c>
      <c r="I48" t="str">
        <f t="shared" si="7"/>
        <v>Revenues: Last 12 months,Revenues: Forward,EBITDA: Last fiscal year,EBITDA: Last 12 months,EBITDA: Forward,EBIT: Last fiscal year,EBIT: Last 12 months</v>
      </c>
      <c r="J48" t="str">
        <f t="shared" si="6"/>
        <v/>
      </c>
    </row>
    <row r="49" spans="6:10">
      <c r="F49">
        <f t="shared" si="3"/>
        <v>8</v>
      </c>
      <c r="G49" t="s">
        <v>20</v>
      </c>
      <c r="H49" t="str">
        <f t="shared" si="4"/>
        <v>EBIT: Forward</v>
      </c>
      <c r="I49" t="str">
        <f t="shared" si="7"/>
        <v>Revenues: Last 12 months,Revenues: Forward,EBITDA: Last fiscal year,EBITDA: Last 12 months,EBITDA: Forward,EBIT: Last fiscal year,EBIT: Last 12 months,EBIT: Forward</v>
      </c>
      <c r="J49" t="str">
        <f t="shared" si="6"/>
        <v/>
      </c>
    </row>
    <row r="50" spans="6:10">
      <c r="F50">
        <f t="shared" si="3"/>
        <v>9</v>
      </c>
      <c r="G50" t="s">
        <v>21</v>
      </c>
      <c r="H50" t="str">
        <f t="shared" si="4"/>
        <v>Effective Tax Rate: Last fiscal year</v>
      </c>
      <c r="I50" t="str">
        <f t="shared" si="7"/>
        <v>Revenues: Last 12 months,Revenues: Forward,EBITDA: Last fiscal year,EBITDA: Last 12 months,EBITDA: Forward,EBIT: Last fiscal year,EBIT: Last 12 months,EBIT: Forward,Effective Tax Rate: Last fiscal year</v>
      </c>
      <c r="J50" t="str">
        <f t="shared" si="6"/>
        <v/>
      </c>
    </row>
    <row r="51" spans="6:10">
      <c r="F51">
        <f t="shared" si="3"/>
        <v>10</v>
      </c>
      <c r="G51" t="s">
        <v>22</v>
      </c>
      <c r="H51" t="str">
        <f t="shared" si="4"/>
        <v>Effective Tax Rate: Last 12 months</v>
      </c>
      <c r="I51" t="str">
        <f t="shared" si="7"/>
        <v>Revenues: Last 12 months,Revenues: Forward,EBITDA: Last fiscal year,EBITDA: Last 12 months,EBITDA: Forward,EBIT: Last fiscal year,EBIT: Last 12 months,EBIT: Forward,Effective Tax Rate: Last fiscal year,Effective Tax Rate: Last 12 months</v>
      </c>
      <c r="J51" t="str">
        <f t="shared" si="6"/>
        <v>HEADINGS_STR=HEADINGS_STR &amp; "Revenues: Last 12 months,Revenues: Forward,EBITDA: Last fiscal year,EBITDA: Last 12 months,EBITDA: Forward,EBIT: Last fiscal year,EBIT: Last 12 months,EBIT: Forward,Effective Tax Rate: Last fiscal year,Effective Tax Rate: Last 12 months,"</v>
      </c>
    </row>
    <row r="52" spans="6:10">
      <c r="F52">
        <f t="shared" si="3"/>
        <v>1</v>
      </c>
      <c r="G52" t="s">
        <v>23</v>
      </c>
      <c r="H52" t="str">
        <f t="shared" si="4"/>
        <v>Effective Tax Rate: Forward</v>
      </c>
      <c r="I52" t="str">
        <f t="shared" si="7"/>
        <v>Effective Tax Rate: Forward</v>
      </c>
      <c r="J52" t="str">
        <f t="shared" si="6"/>
        <v/>
      </c>
    </row>
    <row r="53" spans="6:10">
      <c r="F53">
        <f t="shared" si="3"/>
        <v>2</v>
      </c>
      <c r="G53" t="s">
        <v>24</v>
      </c>
      <c r="H53" t="str">
        <f t="shared" si="4"/>
        <v>Net Income: Last fiscal year</v>
      </c>
      <c r="I53" t="str">
        <f t="shared" si="7"/>
        <v>Effective Tax Rate: Forward,Net Income: Last fiscal year</v>
      </c>
      <c r="J53" t="str">
        <f t="shared" si="6"/>
        <v/>
      </c>
    </row>
    <row r="54" spans="6:10">
      <c r="F54">
        <f t="shared" si="3"/>
        <v>3</v>
      </c>
      <c r="G54" t="s">
        <v>25</v>
      </c>
      <c r="H54" t="str">
        <f t="shared" si="4"/>
        <v>Net Income: Last 12 months</v>
      </c>
      <c r="I54" t="str">
        <f t="shared" si="7"/>
        <v>Effective Tax Rate: Forward,Net Income: Last fiscal year,Net Income: Last 12 months</v>
      </c>
      <c r="J54" t="str">
        <f t="shared" si="6"/>
        <v/>
      </c>
    </row>
    <row r="55" spans="6:10">
      <c r="F55">
        <f t="shared" si="3"/>
        <v>4</v>
      </c>
      <c r="G55" t="s">
        <v>26</v>
      </c>
      <c r="H55" t="str">
        <f t="shared" si="4"/>
        <v>Net Income: Forward</v>
      </c>
      <c r="I55" t="str">
        <f t="shared" si="7"/>
        <v>Effective Tax Rate: Forward,Net Income: Last fiscal year,Net Income: Last 12 months,Net Income: Forward</v>
      </c>
      <c r="J55" t="str">
        <f t="shared" si="6"/>
        <v/>
      </c>
    </row>
    <row r="56" spans="6:10">
      <c r="F56">
        <f t="shared" si="3"/>
        <v>5</v>
      </c>
      <c r="G56" t="s">
        <v>27</v>
      </c>
      <c r="H56" t="str">
        <f t="shared" si="4"/>
        <v>Interest Income from Cash: Last fiscal year</v>
      </c>
      <c r="I56" t="str">
        <f t="shared" si="7"/>
        <v>Effective Tax Rate: Forward,Net Income: Last fiscal year,Net Income: Last 12 months,Net Income: Forward,Interest Income from Cash: Last fiscal year</v>
      </c>
      <c r="J56" t="str">
        <f t="shared" si="6"/>
        <v/>
      </c>
    </row>
    <row r="57" spans="6:10">
      <c r="F57">
        <f t="shared" si="3"/>
        <v>6</v>
      </c>
      <c r="G57" t="s">
        <v>28</v>
      </c>
      <c r="H57" t="str">
        <f t="shared" si="4"/>
        <v>Interest Income from Cash: Last 12 months</v>
      </c>
      <c r="I57" t="str">
        <f t="shared" si="7"/>
        <v>Effective Tax Rate: Forward,Net Income: Last fiscal year,Net Income: Last 12 months,Net Income: Forward,Interest Income from Cash: Last fiscal year,Interest Income from Cash: Last 12 months</v>
      </c>
      <c r="J57" t="str">
        <f t="shared" si="6"/>
        <v/>
      </c>
    </row>
    <row r="58" spans="6:10">
      <c r="F58">
        <f t="shared" si="3"/>
        <v>7</v>
      </c>
      <c r="G58" t="s">
        <v>29</v>
      </c>
      <c r="H58" t="str">
        <f t="shared" si="4"/>
        <v>Interest Income from Cash: Forward</v>
      </c>
      <c r="I58" t="str">
        <f t="shared" si="7"/>
        <v>Effective Tax Rate: Forward,Net Income: Last fiscal year,Net Income: Last 12 months,Net Income: Forward,Interest Income from Cash: Last fiscal year,Interest Income from Cash: Last 12 months,Interest Income from Cash: Forward</v>
      </c>
      <c r="J58" t="str">
        <f t="shared" si="6"/>
        <v/>
      </c>
    </row>
    <row r="59" spans="6:10">
      <c r="F59">
        <f t="shared" si="3"/>
        <v>8</v>
      </c>
      <c r="G59" t="s">
        <v>30</v>
      </c>
      <c r="H59" t="str">
        <f t="shared" si="4"/>
        <v>R&amp;D expense: year 0</v>
      </c>
      <c r="I59" t="str">
        <f t="shared" si="7"/>
        <v>Effective Tax Rate: Forward,Net Income: Last fiscal year,Net Income: Last 12 months,Net Income: Forward,Interest Income from Cash: Last fiscal year,Interest Income from Cash: Last 12 months,Interest Income from Cash: Forward,R&amp;D expense: year 0</v>
      </c>
      <c r="J59" t="str">
        <f t="shared" si="6"/>
        <v/>
      </c>
    </row>
    <row r="60" spans="6:10">
      <c r="F60">
        <f t="shared" si="3"/>
        <v>9</v>
      </c>
      <c r="G60" t="s">
        <v>31</v>
      </c>
      <c r="H60" t="str">
        <f t="shared" si="4"/>
        <v>R&amp;D expense: year -1</v>
      </c>
      <c r="I60" t="str">
        <f t="shared" si="7"/>
        <v>Effective Tax Rate: Forward,Net Income: Last fiscal year,Net Income: Last 12 months,Net Income: Forward,Interest Income from Cash: Last fiscal year,Interest Income from Cash: Last 12 months,Interest Income from Cash: Forward,R&amp;D expense: year 0,R&amp;D expense: year -1</v>
      </c>
      <c r="J60" t="str">
        <f t="shared" si="6"/>
        <v/>
      </c>
    </row>
    <row r="61" spans="6:10">
      <c r="F61">
        <f t="shared" si="3"/>
        <v>10</v>
      </c>
      <c r="G61" t="s">
        <v>32</v>
      </c>
      <c r="H61" t="str">
        <f t="shared" si="4"/>
        <v>R&amp;D expense: year -2</v>
      </c>
      <c r="I61" t="str">
        <f t="shared" si="7"/>
        <v>Effective Tax Rate: Forward,Net Income: Last fiscal year,Net Income: Last 12 months,Net Income: Forward,Interest Income from Cash: Last fiscal year,Interest Income from Cash: Last 12 months,Interest Income from Cash: Forward,R&amp;D expense: year 0,R&amp;D expense: year -1,R&amp;D expense: year -2</v>
      </c>
      <c r="J61" t="str">
        <f t="shared" si="6"/>
        <v>HEADINGS_STR=HEADINGS_STR &amp; "Effective Tax Rate: Forward,Net Income: Last fiscal year,Net Income: Last 12 months,Net Income: Forward,Interest Income from Cash: Last fiscal year,Interest Income from Cash: Last 12 months,Interest Income from Cash: Forward,R&amp;D expense: year 0,R&amp;D expense: year -1,R&amp;D expense: year -2,"</v>
      </c>
    </row>
    <row r="62" spans="6:10">
      <c r="F62">
        <f t="shared" si="3"/>
        <v>1</v>
      </c>
      <c r="G62" t="s">
        <v>33</v>
      </c>
      <c r="H62" t="str">
        <f t="shared" si="4"/>
        <v>R&amp;D expense: year -3</v>
      </c>
      <c r="I62" t="str">
        <f t="shared" si="7"/>
        <v>R&amp;D expense: year -3</v>
      </c>
      <c r="J62" t="str">
        <f t="shared" si="6"/>
        <v/>
      </c>
    </row>
    <row r="63" spans="6:10">
      <c r="F63">
        <f t="shared" si="3"/>
        <v>2</v>
      </c>
      <c r="G63" t="s">
        <v>34</v>
      </c>
      <c r="H63" t="str">
        <f t="shared" si="4"/>
        <v>R&amp;D expense: year -4</v>
      </c>
      <c r="I63" t="str">
        <f t="shared" si="7"/>
        <v>R&amp;D expense: year -3,R&amp;D expense: year -4</v>
      </c>
      <c r="J63" t="str">
        <f t="shared" si="6"/>
        <v/>
      </c>
    </row>
    <row r="64" spans="6:10">
      <c r="F64">
        <f t="shared" si="3"/>
        <v>3</v>
      </c>
      <c r="G64" t="s">
        <v>35</v>
      </c>
      <c r="H64" t="str">
        <f t="shared" si="4"/>
        <v>R&amp;D expense: year -5</v>
      </c>
      <c r="I64" t="str">
        <f t="shared" si="7"/>
        <v>R&amp;D expense: year -3,R&amp;D expense: year -4,R&amp;D expense: year -5</v>
      </c>
      <c r="J64" t="str">
        <f t="shared" si="6"/>
        <v/>
      </c>
    </row>
    <row r="65" spans="6:10">
      <c r="F65">
        <f t="shared" si="3"/>
        <v>4</v>
      </c>
      <c r="G65" t="s">
        <v>36</v>
      </c>
      <c r="H65" t="str">
        <f t="shared" si="4"/>
        <v>R&amp;D expense: year -6</v>
      </c>
      <c r="I65" t="str">
        <f t="shared" si="7"/>
        <v>R&amp;D expense: year -3,R&amp;D expense: year -4,R&amp;D expense: year -5,R&amp;D expense: year -6</v>
      </c>
      <c r="J65" t="str">
        <f t="shared" si="6"/>
        <v/>
      </c>
    </row>
    <row r="66" spans="6:10">
      <c r="F66">
        <f t="shared" si="3"/>
        <v>5</v>
      </c>
      <c r="G66" t="s">
        <v>37</v>
      </c>
      <c r="H66" t="str">
        <f t="shared" si="4"/>
        <v>R&amp;D expense: year -7</v>
      </c>
      <c r="I66" t="str">
        <f t="shared" si="7"/>
        <v>R&amp;D expense: year -3,R&amp;D expense: year -4,R&amp;D expense: year -5,R&amp;D expense: year -6,R&amp;D expense: year -7</v>
      </c>
      <c r="J66" t="str">
        <f t="shared" si="6"/>
        <v/>
      </c>
    </row>
    <row r="67" spans="6:10">
      <c r="F67">
        <f t="shared" ref="F67:F130" si="8">(IF(F66+1&gt;10,1,F66+1))</f>
        <v>6</v>
      </c>
      <c r="G67" t="s">
        <v>38</v>
      </c>
      <c r="H67" t="str">
        <f t="shared" ref="H67:H130" si="9">TRIM(G67)</f>
        <v>R&amp;D expense: year -8</v>
      </c>
      <c r="I67" t="str">
        <f t="shared" si="7"/>
        <v>R&amp;D expense: year -3,R&amp;D expense: year -4,R&amp;D expense: year -5,R&amp;D expense: year -6,R&amp;D expense: year -7,R&amp;D expense: year -8</v>
      </c>
      <c r="J67" t="str">
        <f t="shared" si="6"/>
        <v/>
      </c>
    </row>
    <row r="68" spans="6:10">
      <c r="F68">
        <f t="shared" si="8"/>
        <v>7</v>
      </c>
      <c r="G68" t="s">
        <v>39</v>
      </c>
      <c r="H68" t="str">
        <f t="shared" si="9"/>
        <v>R&amp;D expense: year -9</v>
      </c>
      <c r="I68" t="str">
        <f t="shared" si="7"/>
        <v>R&amp;D expense: year -3,R&amp;D expense: year -4,R&amp;D expense: year -5,R&amp;D expense: year -6,R&amp;D expense: year -7,R&amp;D expense: year -8,R&amp;D expense: year -9</v>
      </c>
      <c r="J68" t="str">
        <f t="shared" si="6"/>
        <v/>
      </c>
    </row>
    <row r="69" spans="6:10">
      <c r="F69">
        <f t="shared" si="8"/>
        <v>8</v>
      </c>
      <c r="G69" t="s">
        <v>40</v>
      </c>
      <c r="H69" t="str">
        <f t="shared" si="9"/>
        <v>R&amp;D expense: year -10</v>
      </c>
      <c r="I69" t="str">
        <f t="shared" si="7"/>
        <v>R&amp;D expense: year -3,R&amp;D expense: year -4,R&amp;D expense: year -5,R&amp;D expense: year -6,R&amp;D expense: year -7,R&amp;D expense: year -8,R&amp;D expense: year -9,R&amp;D expense: year -10</v>
      </c>
      <c r="J69" t="str">
        <f t="shared" si="6"/>
        <v/>
      </c>
    </row>
    <row r="70" spans="6:10">
      <c r="F70">
        <f t="shared" si="8"/>
        <v>9</v>
      </c>
      <c r="G70" t="s">
        <v>132</v>
      </c>
      <c r="H70" t="str">
        <f t="shared" si="9"/>
        <v>Operating leases number of years</v>
      </c>
      <c r="I70" t="str">
        <f t="shared" si="7"/>
        <v>R&amp;D expense: year -3,R&amp;D expense: year -4,R&amp;D expense: year -5,R&amp;D expense: year -6,R&amp;D expense: year -7,R&amp;D expense: year -8,R&amp;D expense: year -9,R&amp;D expense: year -10,Operating leases number of years</v>
      </c>
      <c r="J70" t="str">
        <f t="shared" si="6"/>
        <v/>
      </c>
    </row>
    <row r="71" spans="6:10">
      <c r="F71">
        <f t="shared" si="8"/>
        <v>10</v>
      </c>
      <c r="G71" t="s">
        <v>130</v>
      </c>
      <c r="H71" t="str">
        <f t="shared" si="9"/>
        <v>Number of years embedded in leases</v>
      </c>
      <c r="I71" t="str">
        <f t="shared" si="7"/>
        <v>R&amp;D expense: year -3,R&amp;D expense: year -4,R&amp;D expense: year -5,R&amp;D expense: year -6,R&amp;D expense: year -7,R&amp;D expense: year -8,R&amp;D expense: year -9,R&amp;D expense: year -10,Operating leases number of years,Number of years embedded in leases</v>
      </c>
      <c r="J71" t="str">
        <f t="shared" si="6"/>
        <v>HEADINGS_STR=HEADINGS_STR &amp; "R&amp;D expense: year -3,R&amp;D expense: year -4,R&amp;D expense: year -5,R&amp;D expense: year -6,R&amp;D expense: year -7,R&amp;D expense: year -8,R&amp;D expense: year -9,R&amp;D expense: year -10,Operating leases number of years,Number of years embedded in leases,"</v>
      </c>
    </row>
    <row r="72" spans="6:10">
      <c r="F72">
        <f t="shared" si="8"/>
        <v>1</v>
      </c>
      <c r="G72" t="s">
        <v>105</v>
      </c>
      <c r="H72" t="str">
        <f t="shared" si="9"/>
        <v>Debt Value of leases</v>
      </c>
      <c r="I72" t="str">
        <f t="shared" si="7"/>
        <v>Debt Value of leases</v>
      </c>
      <c r="J72" t="str">
        <f t="shared" si="6"/>
        <v/>
      </c>
    </row>
    <row r="73" spans="6:10">
      <c r="F73">
        <f t="shared" si="8"/>
        <v>2</v>
      </c>
      <c r="G73" t="s">
        <v>106</v>
      </c>
      <c r="H73" t="str">
        <f t="shared" si="9"/>
        <v>Operating Income with Operating leases reclassified as debt</v>
      </c>
      <c r="I73" t="str">
        <f t="shared" si="7"/>
        <v>Debt Value of leases,Operating Income with Operating leases reclassified as debt</v>
      </c>
      <c r="J73" t="str">
        <f t="shared" si="6"/>
        <v/>
      </c>
    </row>
    <row r="74" spans="6:10">
      <c r="F74">
        <f t="shared" si="8"/>
        <v>3</v>
      </c>
      <c r="G74" t="s">
        <v>107</v>
      </c>
      <c r="H74" t="str">
        <f t="shared" si="9"/>
        <v>Debt with Operating leases reclassified as debt</v>
      </c>
      <c r="I74" t="str">
        <f t="shared" si="7"/>
        <v>Debt Value of leases,Operating Income with Operating leases reclassified as debt,Debt with Operating leases reclassified as debt</v>
      </c>
      <c r="J74" t="str">
        <f t="shared" si="6"/>
        <v/>
      </c>
    </row>
    <row r="75" spans="6:10">
      <c r="F75">
        <f t="shared" si="8"/>
        <v>4</v>
      </c>
      <c r="G75" t="s">
        <v>108</v>
      </c>
      <c r="H75" t="str">
        <f t="shared" si="9"/>
        <v>Full Operating lease adjustment: Reported Operating income</v>
      </c>
      <c r="I75" t="str">
        <f t="shared" si="7"/>
        <v>Debt Value of leases,Operating Income with Operating leases reclassified as debt,Debt with Operating leases reclassified as debt,Full Operating lease adjustment: Reported Operating income</v>
      </c>
      <c r="J75" t="str">
        <f t="shared" si="6"/>
        <v/>
      </c>
    </row>
    <row r="76" spans="6:10">
      <c r="F76">
        <f t="shared" si="8"/>
        <v>5</v>
      </c>
      <c r="G76" t="s">
        <v>109</v>
      </c>
      <c r="H76" t="str">
        <f t="shared" si="9"/>
        <v>Full Operating lease adjustment: + Current year's operating lease expense</v>
      </c>
      <c r="I76" t="str">
        <f t="shared" si="7"/>
        <v>Debt Value of leases,Operating Income with Operating leases reclassified as debt,Debt with Operating leases reclassified as debt,Full Operating lease adjustment: Reported Operating income,Full Operating lease adjustment: + Current year's operating lease expense</v>
      </c>
      <c r="J76" t="str">
        <f t="shared" ref="J76:J139" si="10">IF(F76=10,"HEADINGS_STR=HEADINGS_STR"&amp;" &amp; "&amp;""""&amp;I76&amp;","&amp;"""","")</f>
        <v/>
      </c>
    </row>
    <row r="77" spans="6:10">
      <c r="F77">
        <f t="shared" si="8"/>
        <v>6</v>
      </c>
      <c r="G77" t="s">
        <v>110</v>
      </c>
      <c r="H77" t="str">
        <f t="shared" si="9"/>
        <v>Full Operating lease adjustment: - Depreciation on leased asset</v>
      </c>
      <c r="I77" t="str">
        <f t="shared" si="7"/>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v>
      </c>
      <c r="J77" t="str">
        <f t="shared" si="10"/>
        <v/>
      </c>
    </row>
    <row r="78" spans="6:10">
      <c r="F78">
        <f t="shared" si="8"/>
        <v>7</v>
      </c>
      <c r="G78" t="s">
        <v>111</v>
      </c>
      <c r="H78" t="str">
        <f t="shared" si="9"/>
        <v>Full Operating lease adjustment: Adjusted Operating Income</v>
      </c>
      <c r="I78" t="str">
        <f t="shared" si="7"/>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v>
      </c>
      <c r="J78" t="str">
        <f t="shared" si="10"/>
        <v/>
      </c>
    </row>
    <row r="79" spans="6:10">
      <c r="F79">
        <f t="shared" si="8"/>
        <v>8</v>
      </c>
      <c r="G79" t="s">
        <v>129</v>
      </c>
      <c r="H79" t="str">
        <f t="shared" si="9"/>
        <v>R&amp; D expenses: Periods to amortize R&amp;D expenses</v>
      </c>
      <c r="I79" t="str">
        <f t="shared" ref="I79:I142" si="11">IF(F79=1,H79,I78&amp;","&amp;H79)</f>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v>
      </c>
      <c r="J79" t="str">
        <f t="shared" si="10"/>
        <v/>
      </c>
    </row>
    <row r="80" spans="6:10">
      <c r="F80">
        <f t="shared" si="8"/>
        <v>9</v>
      </c>
      <c r="G80" t="s">
        <v>113</v>
      </c>
      <c r="H80" t="str">
        <f t="shared" si="9"/>
        <v>R&amp; D expenses: Value of Research Asset</v>
      </c>
      <c r="I80" t="str">
        <f t="shared" si="11"/>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v>
      </c>
      <c r="J80" t="str">
        <f t="shared" si="10"/>
        <v/>
      </c>
    </row>
    <row r="81" spans="6:10">
      <c r="F81">
        <f t="shared" si="8"/>
        <v>10</v>
      </c>
      <c r="G81" t="s">
        <v>112</v>
      </c>
      <c r="H81" t="str">
        <f t="shared" si="9"/>
        <v>R&amp; D expenses: Amortization of asset for current year</v>
      </c>
      <c r="I81" t="str">
        <f t="shared" si="11"/>
        <v>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c r="J81" t="str">
        <f t="shared" si="10"/>
        <v>HEADINGS_STR=HEADINGS_STR &amp; "Debt Value of leases,Operating Income with Operating leases reclassified as debt,Debt with Operating leases reclassified as debt,Full Operating lease adjustment: Reported Operating income,Full Operating lease adjustment: + Current year's operating lease expense,Full Operating lease adjustment: - Depreciation on leased asset,Full Operating lease adjustment: Adjusted Operating Income,R&amp; D expenses: Periods to amortize R&amp;D expenses,R&amp; D expenses: Value of Research Asset,R&amp; D expenses: Amortization of asset for current year,"</v>
      </c>
    </row>
    <row r="82" spans="6:10">
      <c r="F82">
        <f t="shared" si="8"/>
        <v>1</v>
      </c>
      <c r="G82" t="s">
        <v>114</v>
      </c>
      <c r="H82" t="str">
        <f t="shared" si="9"/>
        <v>R&amp; D expenses: Adjustment to Operating Income</v>
      </c>
      <c r="I82" t="str">
        <f t="shared" si="11"/>
        <v>R&amp; D expenses: Adjustment to Operating Income</v>
      </c>
      <c r="J82" t="str">
        <f t="shared" si="10"/>
        <v/>
      </c>
    </row>
    <row r="83" spans="6:10">
      <c r="F83">
        <f t="shared" si="8"/>
        <v>2</v>
      </c>
      <c r="G83" t="s">
        <v>15</v>
      </c>
      <c r="H83" t="str">
        <f t="shared" si="9"/>
        <v>EBITDA: Last fiscal year</v>
      </c>
      <c r="I83" t="str">
        <f t="shared" si="11"/>
        <v>R&amp; D expenses: Adjustment to Operating Income,EBITDA: Last fiscal year</v>
      </c>
      <c r="J83" t="str">
        <f t="shared" si="10"/>
        <v/>
      </c>
    </row>
    <row r="84" spans="6:10">
      <c r="F84">
        <f t="shared" si="8"/>
        <v>3</v>
      </c>
      <c r="G84" t="s">
        <v>16</v>
      </c>
      <c r="H84" t="str">
        <f t="shared" si="9"/>
        <v>EBITDA: Last 12 months</v>
      </c>
      <c r="I84" t="str">
        <f t="shared" si="11"/>
        <v>R&amp; D expenses: Adjustment to Operating Income,EBITDA: Last fiscal year,EBITDA: Last 12 months</v>
      </c>
      <c r="J84" t="str">
        <f t="shared" si="10"/>
        <v/>
      </c>
    </row>
    <row r="85" spans="6:10">
      <c r="F85">
        <f t="shared" si="8"/>
        <v>4</v>
      </c>
      <c r="G85" t="s">
        <v>17</v>
      </c>
      <c r="H85" t="str">
        <f t="shared" si="9"/>
        <v>EBITDA: Forward</v>
      </c>
      <c r="I85" t="str">
        <f t="shared" si="11"/>
        <v>R&amp; D expenses: Adjustment to Operating Income,EBITDA: Last fiscal year,EBITDA: Last 12 months,EBITDA: Forward</v>
      </c>
      <c r="J85" t="str">
        <f t="shared" si="10"/>
        <v/>
      </c>
    </row>
    <row r="86" spans="6:10">
      <c r="F86">
        <f t="shared" si="8"/>
        <v>5</v>
      </c>
      <c r="G86" t="s">
        <v>18</v>
      </c>
      <c r="H86" t="str">
        <f t="shared" si="9"/>
        <v>EBIT: Last fiscal year</v>
      </c>
      <c r="I86" t="str">
        <f t="shared" si="11"/>
        <v>R&amp; D expenses: Adjustment to Operating Income,EBITDA: Last fiscal year,EBITDA: Last 12 months,EBITDA: Forward,EBIT: Last fiscal year</v>
      </c>
      <c r="J86" t="str">
        <f t="shared" si="10"/>
        <v/>
      </c>
    </row>
    <row r="87" spans="6:10">
      <c r="F87">
        <f t="shared" si="8"/>
        <v>6</v>
      </c>
      <c r="G87" t="s">
        <v>19</v>
      </c>
      <c r="H87" t="str">
        <f t="shared" si="9"/>
        <v>EBIT: Last 12 months</v>
      </c>
      <c r="I87" t="str">
        <f t="shared" si="11"/>
        <v>R&amp; D expenses: Adjustment to Operating Income,EBITDA: Last fiscal year,EBITDA: Last 12 months,EBITDA: Forward,EBIT: Last fiscal year,EBIT: Last 12 months</v>
      </c>
      <c r="J87" t="str">
        <f t="shared" si="10"/>
        <v/>
      </c>
    </row>
    <row r="88" spans="6:10">
      <c r="F88">
        <f t="shared" si="8"/>
        <v>7</v>
      </c>
      <c r="G88" t="s">
        <v>20</v>
      </c>
      <c r="H88" t="str">
        <f t="shared" si="9"/>
        <v>EBIT: Forward</v>
      </c>
      <c r="I88" t="str">
        <f t="shared" si="11"/>
        <v>R&amp; D expenses: Adjustment to Operating Income,EBITDA: Last fiscal year,EBITDA: Last 12 months,EBITDA: Forward,EBIT: Last fiscal year,EBIT: Last 12 months,EBIT: Forward</v>
      </c>
      <c r="J88" t="str">
        <f t="shared" si="10"/>
        <v/>
      </c>
    </row>
    <row r="89" spans="6:10">
      <c r="F89">
        <f t="shared" si="8"/>
        <v>8</v>
      </c>
      <c r="G89" t="s">
        <v>60</v>
      </c>
      <c r="H89" t="str">
        <f t="shared" si="9"/>
        <v>After-tax EBIT: Last fiscal year</v>
      </c>
      <c r="I89" t="str">
        <f t="shared" si="11"/>
        <v>R&amp; D expenses: Adjustment to Operating Income,EBITDA: Last fiscal year,EBITDA: Last 12 months,EBITDA: Forward,EBIT: Last fiscal year,EBIT: Last 12 months,EBIT: Forward,After-tax EBIT: Last fiscal year</v>
      </c>
      <c r="J89" t="str">
        <f t="shared" si="10"/>
        <v/>
      </c>
    </row>
    <row r="90" spans="6:10">
      <c r="F90">
        <f t="shared" si="8"/>
        <v>9</v>
      </c>
      <c r="G90" t="s">
        <v>61</v>
      </c>
      <c r="H90" t="str">
        <f t="shared" si="9"/>
        <v>After-tax EBIT: Last 12 months</v>
      </c>
      <c r="I90" t="str">
        <f t="shared" si="11"/>
        <v>R&amp; D expenses: Adjustment to Operating Income,EBITDA: Last fiscal year,EBITDA: Last 12 months,EBITDA: Forward,EBIT: Last fiscal year,EBIT: Last 12 months,EBIT: Forward,After-tax EBIT: Last fiscal year,After-tax EBIT: Last 12 months</v>
      </c>
      <c r="J90" t="str">
        <f t="shared" si="10"/>
        <v/>
      </c>
    </row>
    <row r="91" spans="6:10">
      <c r="F91">
        <f t="shared" si="8"/>
        <v>10</v>
      </c>
      <c r="G91" t="s">
        <v>62</v>
      </c>
      <c r="H91" t="str">
        <f t="shared" si="9"/>
        <v>After-tax EBIT: Forward</v>
      </c>
      <c r="I91" t="str">
        <f t="shared" si="11"/>
        <v>R&amp; D expenses: Adjustment to Operating Income,EBITDA: Last fiscal year,EBITDA: Last 12 months,EBITDA: Forward,EBIT: Last fiscal year,EBIT: Last 12 months,EBIT: Forward,After-tax EBIT: Last fiscal year,After-tax EBIT: Last 12 months,After-tax EBIT: Forward</v>
      </c>
      <c r="J91" t="str">
        <f t="shared" si="10"/>
        <v>HEADINGS_STR=HEADINGS_STR &amp; "R&amp; D expenses: Adjustment to Operating Income,EBITDA: Last fiscal year,EBITDA: Last 12 months,EBITDA: Forward,EBIT: Last fiscal year,EBIT: Last 12 months,EBIT: Forward,After-tax EBIT: Last fiscal year,After-tax EBIT: Last 12 months,After-tax EBIT: Forward,"</v>
      </c>
    </row>
    <row r="92" spans="6:10">
      <c r="F92">
        <f t="shared" si="8"/>
        <v>1</v>
      </c>
      <c r="G92" t="s">
        <v>24</v>
      </c>
      <c r="H92" t="str">
        <f t="shared" si="9"/>
        <v>Net Income: Last fiscal year</v>
      </c>
      <c r="I92" t="str">
        <f t="shared" si="11"/>
        <v>Net Income: Last fiscal year</v>
      </c>
      <c r="J92" t="str">
        <f t="shared" si="10"/>
        <v/>
      </c>
    </row>
    <row r="93" spans="6:10">
      <c r="F93">
        <f t="shared" si="8"/>
        <v>2</v>
      </c>
      <c r="G93" t="s">
        <v>25</v>
      </c>
      <c r="H93" t="str">
        <f t="shared" si="9"/>
        <v>Net Income: Last 12 months</v>
      </c>
      <c r="I93" t="str">
        <f t="shared" si="11"/>
        <v>Net Income: Last fiscal year,Net Income: Last 12 months</v>
      </c>
      <c r="J93" t="str">
        <f t="shared" si="10"/>
        <v/>
      </c>
    </row>
    <row r="94" spans="6:10">
      <c r="F94">
        <f t="shared" si="8"/>
        <v>3</v>
      </c>
      <c r="G94" t="s">
        <v>26</v>
      </c>
      <c r="H94" t="str">
        <f t="shared" si="9"/>
        <v>Net Income: Forward</v>
      </c>
      <c r="I94" t="str">
        <f t="shared" si="11"/>
        <v>Net Income: Last fiscal year,Net Income: Last 12 months,Net Income: Forward</v>
      </c>
      <c r="J94" t="str">
        <f t="shared" si="10"/>
        <v/>
      </c>
    </row>
    <row r="95" spans="6:10">
      <c r="F95">
        <f t="shared" si="8"/>
        <v>4</v>
      </c>
      <c r="G95" t="s">
        <v>63</v>
      </c>
      <c r="H95" t="str">
        <f t="shared" si="9"/>
        <v>Non-cash Net Income: Last fiscal year</v>
      </c>
      <c r="I95" t="str">
        <f t="shared" si="11"/>
        <v>Net Income: Last fiscal year,Net Income: Last 12 months,Net Income: Forward,Non-cash Net Income: Last fiscal year</v>
      </c>
      <c r="J95" t="str">
        <f t="shared" si="10"/>
        <v/>
      </c>
    </row>
    <row r="96" spans="6:10">
      <c r="F96">
        <f t="shared" si="8"/>
        <v>5</v>
      </c>
      <c r="G96" t="s">
        <v>64</v>
      </c>
      <c r="H96" t="str">
        <f t="shared" si="9"/>
        <v>Non-cash Net Income: Last 12 months</v>
      </c>
      <c r="I96" t="str">
        <f t="shared" si="11"/>
        <v>Net Income: Last fiscal year,Net Income: Last 12 months,Net Income: Forward,Non-cash Net Income: Last fiscal year,Non-cash Net Income: Last 12 months</v>
      </c>
      <c r="J96" t="str">
        <f t="shared" si="10"/>
        <v/>
      </c>
    </row>
    <row r="97" spans="6:10">
      <c r="F97">
        <f t="shared" si="8"/>
        <v>6</v>
      </c>
      <c r="G97" t="s">
        <v>65</v>
      </c>
      <c r="H97" t="str">
        <f t="shared" si="9"/>
        <v>Non-cash Net Income: Forward</v>
      </c>
      <c r="I97" t="str">
        <f t="shared" si="11"/>
        <v>Net Income: Last fiscal year,Net Income: Last 12 months,Net Income: Forward,Non-cash Net Income: Last fiscal year,Non-cash Net Income: Last 12 months,Non-cash Net Income: Forward</v>
      </c>
      <c r="J97" t="str">
        <f t="shared" si="10"/>
        <v/>
      </c>
    </row>
    <row r="98" spans="6:10">
      <c r="F98">
        <f t="shared" si="8"/>
        <v>7</v>
      </c>
      <c r="G98" t="s">
        <v>10</v>
      </c>
      <c r="H98" t="str">
        <f t="shared" si="9"/>
        <v>Market Capitalization</v>
      </c>
      <c r="I98" t="str">
        <f t="shared" si="11"/>
        <v>Net Income: Last fiscal year,Net Income: Last 12 months,Net Income: Forward,Non-cash Net Income: Last fiscal year,Non-cash Net Income: Last 12 months,Non-cash Net Income: Forward,Market Capitalization</v>
      </c>
      <c r="J98" t="str">
        <f t="shared" si="10"/>
        <v/>
      </c>
    </row>
    <row r="99" spans="6:10">
      <c r="F99">
        <f t="shared" si="8"/>
        <v>8</v>
      </c>
      <c r="G99" t="s">
        <v>127</v>
      </c>
      <c r="H99" t="str">
        <f t="shared" si="9"/>
        <v>Option Converter: Adjusted Stock Price</v>
      </c>
      <c r="I99" t="str">
        <f t="shared" si="11"/>
        <v>Net Income: Last fiscal year,Net Income: Last 12 months,Net Income: Forward,Non-cash Net Income: Last fiscal year,Non-cash Net Income: Last 12 months,Non-cash Net Income: Forward,Market Capitalization,Option Converter: Adjusted Stock Price</v>
      </c>
      <c r="J99" t="str">
        <f t="shared" si="10"/>
        <v/>
      </c>
    </row>
    <row r="100" spans="6:10">
      <c r="F100">
        <f t="shared" si="8"/>
        <v>9</v>
      </c>
      <c r="G100" t="s">
        <v>128</v>
      </c>
      <c r="H100" t="str">
        <f t="shared" si="9"/>
        <v>Option Converter: Value per option</v>
      </c>
      <c r="I100" t="str">
        <f t="shared" si="11"/>
        <v>Net Income: Last fiscal year,Net Income: Last 12 months,Net Income: Forward,Non-cash Net Income: Last fiscal year,Non-cash Net Income: Last 12 months,Non-cash Net Income: Forward,Market Capitalization,Option Converter: Adjusted Stock Price,Option Converter: Value per option</v>
      </c>
      <c r="J100" t="str">
        <f t="shared" si="10"/>
        <v/>
      </c>
    </row>
    <row r="101" spans="6:10">
      <c r="F101">
        <f t="shared" si="8"/>
        <v>10</v>
      </c>
      <c r="G101" t="s">
        <v>119</v>
      </c>
      <c r="H101" t="str">
        <f t="shared" si="9"/>
        <v>Option Converter: Value of employee options</v>
      </c>
      <c r="I101" t="str">
        <f t="shared" si="11"/>
        <v>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c r="J101" t="str">
        <f t="shared" si="10"/>
        <v>HEADINGS_STR=HEADINGS_STR &amp; "Net Income: Last fiscal year,Net Income: Last 12 months,Net Income: Forward,Non-cash Net Income: Last fiscal year,Non-cash Net Income: Last 12 months,Non-cash Net Income: Forward,Market Capitalization,Option Converter: Adjusted Stock Price,Option Converter: Value per option,Option Converter: Value of employee options,"</v>
      </c>
    </row>
    <row r="102" spans="6:10">
      <c r="F102">
        <f t="shared" si="8"/>
        <v>1</v>
      </c>
      <c r="G102" t="s">
        <v>116</v>
      </c>
      <c r="H102" t="str">
        <f t="shared" si="9"/>
        <v>Convertible breakdown: Straight Debt component</v>
      </c>
      <c r="I102" t="str">
        <f t="shared" si="11"/>
        <v>Convertible breakdown: Straight Debt component</v>
      </c>
      <c r="J102" t="str">
        <f t="shared" si="10"/>
        <v/>
      </c>
    </row>
    <row r="103" spans="6:10">
      <c r="F103">
        <f t="shared" si="8"/>
        <v>2</v>
      </c>
      <c r="G103" t="s">
        <v>117</v>
      </c>
      <c r="H103" t="str">
        <f t="shared" si="9"/>
        <v>Convertible breakdown: Equity Component</v>
      </c>
      <c r="I103" t="str">
        <f t="shared" si="11"/>
        <v>Convertible breakdown: Straight Debt component,Convertible breakdown: Equity Component</v>
      </c>
      <c r="J103" t="str">
        <f t="shared" si="10"/>
        <v/>
      </c>
    </row>
    <row r="104" spans="6:10">
      <c r="F104">
        <f t="shared" si="8"/>
        <v>3</v>
      </c>
      <c r="G104" t="s">
        <v>118</v>
      </c>
      <c r="H104" t="str">
        <f t="shared" si="9"/>
        <v>Convertible breakdown: Preferred Stock component</v>
      </c>
      <c r="I104" t="str">
        <f t="shared" si="11"/>
        <v>Convertible breakdown: Straight Debt component,Convertible breakdown: Equity Component,Convertible breakdown: Preferred Stock component</v>
      </c>
      <c r="J104" t="str">
        <f t="shared" si="10"/>
        <v/>
      </c>
    </row>
    <row r="105" spans="6:10">
      <c r="F105">
        <f t="shared" si="8"/>
        <v>4</v>
      </c>
      <c r="G105" t="s">
        <v>117</v>
      </c>
      <c r="H105" t="str">
        <f t="shared" si="9"/>
        <v>Convertible breakdown: Equity Component</v>
      </c>
      <c r="I105" t="str">
        <f t="shared" si="11"/>
        <v>Convertible breakdown: Straight Debt component,Convertible breakdown: Equity Component,Convertible breakdown: Preferred Stock component,Convertible breakdown: Equity Component</v>
      </c>
      <c r="J105" t="str">
        <f t="shared" si="10"/>
        <v/>
      </c>
    </row>
    <row r="106" spans="6:10">
      <c r="F106">
        <f t="shared" si="8"/>
        <v>5</v>
      </c>
      <c r="G106" t="s">
        <v>120</v>
      </c>
      <c r="H106" t="str">
        <f t="shared" si="9"/>
        <v>Convertible breakdown: Value of Conversion options</v>
      </c>
      <c r="I106" t="str">
        <f t="shared" si="11"/>
        <v>Convertible breakdown: Straight Debt component,Convertible breakdown: Equity Component,Convertible breakdown: Preferred Stock component,Convertible breakdown: Equity Component,Convertible breakdown: Value of Conversion options</v>
      </c>
      <c r="J106" t="str">
        <f t="shared" si="10"/>
        <v/>
      </c>
    </row>
    <row r="107" spans="6:10">
      <c r="F107">
        <f t="shared" si="8"/>
        <v>6</v>
      </c>
      <c r="G107" t="s">
        <v>8</v>
      </c>
      <c r="H107" t="str">
        <f t="shared" si="9"/>
        <v>Market Value of all equity</v>
      </c>
      <c r="I107" t="str">
        <f t="shared" si="11"/>
        <v>Convertible breakdown: Straight Debt component,Convertible breakdown: Equity Component,Convertible breakdown: Preferred Stock component,Convertible breakdown: Equity Component,Convertible breakdown: Value of Conversion options,Market Value of all equity</v>
      </c>
      <c r="J107" t="str">
        <f t="shared" si="10"/>
        <v/>
      </c>
    </row>
    <row r="108" spans="6:10">
      <c r="F108">
        <f t="shared" si="8"/>
        <v>7</v>
      </c>
      <c r="G108" t="s">
        <v>81</v>
      </c>
      <c r="H108" t="str">
        <f t="shared" si="9"/>
        <v>Market value of interest bearing debt</v>
      </c>
      <c r="I108"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v>
      </c>
      <c r="J108" t="str">
        <f t="shared" si="10"/>
        <v/>
      </c>
    </row>
    <row r="109" spans="6:10">
      <c r="F109">
        <f t="shared" si="8"/>
        <v>8</v>
      </c>
      <c r="G109" t="s">
        <v>80</v>
      </c>
      <c r="H109" t="str">
        <f t="shared" si="9"/>
        <v>Debt value of leases (if any)</v>
      </c>
      <c r="I109"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v>
      </c>
      <c r="J109" t="str">
        <f t="shared" si="10"/>
        <v/>
      </c>
    </row>
    <row r="110" spans="6:10">
      <c r="F110">
        <f t="shared" si="8"/>
        <v>9</v>
      </c>
      <c r="G110" t="s">
        <v>9</v>
      </c>
      <c r="H110" t="str">
        <f t="shared" si="9"/>
        <v>Market Value of all debt</v>
      </c>
      <c r="I110"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v>
      </c>
      <c r="J110" t="str">
        <f t="shared" si="10"/>
        <v/>
      </c>
    </row>
    <row r="111" spans="6:10">
      <c r="F111">
        <f t="shared" si="8"/>
        <v>10</v>
      </c>
      <c r="G111" t="s">
        <v>11</v>
      </c>
      <c r="H111" t="str">
        <f t="shared" si="9"/>
        <v>Market value of preferred stock</v>
      </c>
      <c r="I111" t="str">
        <f t="shared" si="11"/>
        <v>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c r="J111" t="str">
        <f t="shared" si="10"/>
        <v>HEADINGS_STR=HEADINGS_STR &amp; "Convertible breakdown: Straight Debt component,Convertible breakdown: Equity Component,Convertible breakdown: Preferred Stock component,Convertible breakdown: Equity Component,Convertible breakdown: Value of Conversion options,Market Value of all equity,Market value of interest bearing debt,Debt value of leases (if any),Market Value of all debt,Market value of preferred stock,"</v>
      </c>
    </row>
    <row r="112" spans="6:10">
      <c r="F112">
        <f t="shared" si="8"/>
        <v>1</v>
      </c>
      <c r="G112" t="s">
        <v>67</v>
      </c>
      <c r="H112" t="str">
        <f t="shared" si="9"/>
        <v>Book Value: Equity</v>
      </c>
      <c r="I112" t="str">
        <f t="shared" si="11"/>
        <v>Book Value: Equity</v>
      </c>
      <c r="J112" t="str">
        <f t="shared" si="10"/>
        <v/>
      </c>
    </row>
    <row r="113" spans="6:10">
      <c r="F113">
        <f t="shared" si="8"/>
        <v>2</v>
      </c>
      <c r="G113" t="s">
        <v>68</v>
      </c>
      <c r="H113" t="str">
        <f t="shared" si="9"/>
        <v>Book Value: + Debt</v>
      </c>
      <c r="I113" t="str">
        <f t="shared" si="11"/>
        <v>Book Value: Equity,Book Value: + Debt</v>
      </c>
      <c r="J113" t="str">
        <f t="shared" si="10"/>
        <v/>
      </c>
    </row>
    <row r="114" spans="6:10">
      <c r="F114">
        <f t="shared" si="8"/>
        <v>3</v>
      </c>
      <c r="G114" t="s">
        <v>69</v>
      </c>
      <c r="H114" t="str">
        <f t="shared" si="9"/>
        <v>Book Value: + Preferred</v>
      </c>
      <c r="I114" t="str">
        <f t="shared" si="11"/>
        <v>Book Value: Equity,Book Value: + Debt,Book Value: + Preferred</v>
      </c>
      <c r="J114" t="str">
        <f t="shared" si="10"/>
        <v/>
      </c>
    </row>
    <row r="115" spans="6:10">
      <c r="F115">
        <f t="shared" si="8"/>
        <v>4</v>
      </c>
      <c r="G115" t="s">
        <v>70</v>
      </c>
      <c r="H115" t="str">
        <f t="shared" si="9"/>
        <v>Book Value: - Cash</v>
      </c>
      <c r="I115" t="str">
        <f t="shared" si="11"/>
        <v>Book Value: Equity,Book Value: + Debt,Book Value: + Preferred,Book Value: - Cash</v>
      </c>
      <c r="J115" t="str">
        <f t="shared" si="10"/>
        <v/>
      </c>
    </row>
    <row r="116" spans="6:10">
      <c r="F116">
        <f t="shared" si="8"/>
        <v>5</v>
      </c>
      <c r="G116" t="s">
        <v>71</v>
      </c>
      <c r="H116" t="str">
        <f t="shared" si="9"/>
        <v>Book Value: Invested Capital</v>
      </c>
      <c r="I116" t="str">
        <f t="shared" si="11"/>
        <v>Book Value: Equity,Book Value: + Debt,Book Value: + Preferred,Book Value: - Cash,Book Value: Invested Capital</v>
      </c>
      <c r="J116" t="str">
        <f t="shared" si="10"/>
        <v/>
      </c>
    </row>
    <row r="117" spans="6:10">
      <c r="F117">
        <f t="shared" si="8"/>
        <v>6</v>
      </c>
      <c r="G117" t="s">
        <v>72</v>
      </c>
      <c r="H117" t="str">
        <f t="shared" si="9"/>
        <v>Firm Value: Market Value of Equity</v>
      </c>
      <c r="I117" t="str">
        <f t="shared" si="11"/>
        <v>Book Value: Equity,Book Value: + Debt,Book Value: + Preferred,Book Value: - Cash,Book Value: Invested Capital,Firm Value: Market Value of Equity</v>
      </c>
      <c r="J117" t="str">
        <f t="shared" si="10"/>
        <v/>
      </c>
    </row>
    <row r="118" spans="6:10">
      <c r="F118">
        <f t="shared" si="8"/>
        <v>7</v>
      </c>
      <c r="G118" t="s">
        <v>73</v>
      </c>
      <c r="H118" t="str">
        <f t="shared" si="9"/>
        <v>Firm Value: + Market Value of Debt</v>
      </c>
      <c r="I118" t="str">
        <f t="shared" si="11"/>
        <v>Book Value: Equity,Book Value: + Debt,Book Value: + Preferred,Book Value: - Cash,Book Value: Invested Capital,Firm Value: Market Value of Equity,Firm Value: + Market Value of Debt</v>
      </c>
      <c r="J118" t="str">
        <f t="shared" si="10"/>
        <v/>
      </c>
    </row>
    <row r="119" spans="6:10">
      <c r="F119">
        <f t="shared" si="8"/>
        <v>8</v>
      </c>
      <c r="G119" t="s">
        <v>74</v>
      </c>
      <c r="H119" t="str">
        <f t="shared" si="9"/>
        <v>Firm Value: + Market Value of Preferred</v>
      </c>
      <c r="I119" t="str">
        <f t="shared" si="11"/>
        <v>Book Value: Equity,Book Value: + Debt,Book Value: + Preferred,Book Value: - Cash,Book Value: Invested Capital,Firm Value: Market Value of Equity,Firm Value: + Market Value of Debt,Firm Value: + Market Value of Preferred</v>
      </c>
      <c r="J119" t="str">
        <f t="shared" si="10"/>
        <v/>
      </c>
    </row>
    <row r="120" spans="6:10">
      <c r="F120">
        <f t="shared" si="8"/>
        <v>9</v>
      </c>
      <c r="G120" t="s">
        <v>75</v>
      </c>
      <c r="H120" t="str">
        <f t="shared" si="9"/>
        <v>Firm Value: - Cash</v>
      </c>
      <c r="I120" t="str">
        <f t="shared" si="11"/>
        <v>Book Value: Equity,Book Value: + Debt,Book Value: + Preferred,Book Value: - Cash,Book Value: Invested Capital,Firm Value: Market Value of Equity,Firm Value: + Market Value of Debt,Firm Value: + Market Value of Preferred,Firm Value: - Cash</v>
      </c>
      <c r="J120" t="str">
        <f t="shared" si="10"/>
        <v/>
      </c>
    </row>
    <row r="121" spans="6:10">
      <c r="F121">
        <f t="shared" si="8"/>
        <v>10</v>
      </c>
      <c r="G121" t="s">
        <v>76</v>
      </c>
      <c r="H121" t="str">
        <f t="shared" si="9"/>
        <v>Firm Value: - Market value of minority holdings</v>
      </c>
      <c r="I121" t="str">
        <f t="shared" si="11"/>
        <v>Book Value: Equity,Book Value: + Debt,Book Value: + Preferred,Book Value: - Cash,Book Value: Invested Capital,Firm Value: Market Value of Equity,Firm Value: + Market Value of Debt,Firm Value: + Market Value of Preferred,Firm Value: - Cash,Firm Value: - Market value of minority holdings</v>
      </c>
      <c r="J121" t="str">
        <f t="shared" si="10"/>
        <v>HEADINGS_STR=HEADINGS_STR &amp; "Book Value: Equity,Book Value: + Debt,Book Value: + Preferred,Book Value: - Cash,Book Value: Invested Capital,Firm Value: Market Value of Equity,Firm Value: + Market Value of Debt,Firm Value: + Market Value of Preferred,Firm Value: - Cash,Firm Value: - Market value of minority holdings,"</v>
      </c>
    </row>
    <row r="122" spans="6:10">
      <c r="F122">
        <f t="shared" si="8"/>
        <v>1</v>
      </c>
      <c r="G122" t="s">
        <v>77</v>
      </c>
      <c r="H122" t="str">
        <f t="shared" si="9"/>
        <v>Firm Value: + Market value of Minority Interest</v>
      </c>
      <c r="I122" t="str">
        <f t="shared" si="11"/>
        <v>Firm Value: + Market value of Minority Interest</v>
      </c>
      <c r="J122" t="str">
        <f t="shared" si="10"/>
        <v/>
      </c>
    </row>
    <row r="123" spans="6:10">
      <c r="F123">
        <f t="shared" si="8"/>
        <v>2</v>
      </c>
      <c r="G123" t="s">
        <v>78</v>
      </c>
      <c r="H123" t="str">
        <f t="shared" si="9"/>
        <v>Firm Value: Enterprise Value</v>
      </c>
      <c r="I123" t="str">
        <f t="shared" si="11"/>
        <v>Firm Value: + Market value of Minority Interest,Firm Value: Enterprise Value</v>
      </c>
      <c r="J123" t="str">
        <f t="shared" si="10"/>
        <v/>
      </c>
    </row>
    <row r="124" spans="6:10">
      <c r="F124">
        <f t="shared" si="8"/>
        <v>3</v>
      </c>
      <c r="G124" t="s">
        <v>79</v>
      </c>
      <c r="H124" t="str">
        <f t="shared" si="9"/>
        <v>Firm Value: Firm Value (with minority interest)</v>
      </c>
      <c r="I124" t="str">
        <f t="shared" si="11"/>
        <v>Firm Value: + Market value of Minority Interest,Firm Value: Enterprise Value,Firm Value: Firm Value (with minority interest)</v>
      </c>
      <c r="J124" t="str">
        <f t="shared" si="10"/>
        <v/>
      </c>
    </row>
    <row r="125" spans="6:10">
      <c r="F125">
        <f t="shared" si="8"/>
        <v>4</v>
      </c>
      <c r="G125" t="s">
        <v>82</v>
      </c>
      <c r="H125" t="str">
        <f t="shared" si="9"/>
        <v>EV/Sales: Current</v>
      </c>
      <c r="I125" t="str">
        <f t="shared" si="11"/>
        <v>Firm Value: + Market value of Minority Interest,Firm Value: Enterprise Value,Firm Value: Firm Value (with minority interest),EV/Sales: Current</v>
      </c>
      <c r="J125" t="str">
        <f t="shared" si="10"/>
        <v/>
      </c>
    </row>
    <row r="126" spans="6:10">
      <c r="F126">
        <f t="shared" si="8"/>
        <v>5</v>
      </c>
      <c r="G126" t="s">
        <v>83</v>
      </c>
      <c r="H126" t="str">
        <f t="shared" si="9"/>
        <v>EV/Sales: Trailing</v>
      </c>
      <c r="I126" t="str">
        <f t="shared" si="11"/>
        <v>Firm Value: + Market value of Minority Interest,Firm Value: Enterprise Value,Firm Value: Firm Value (with minority interest),EV/Sales: Current,EV/Sales: Trailing</v>
      </c>
      <c r="J126" t="str">
        <f t="shared" si="10"/>
        <v/>
      </c>
    </row>
    <row r="127" spans="6:10">
      <c r="F127">
        <f t="shared" si="8"/>
        <v>6</v>
      </c>
      <c r="G127" t="s">
        <v>84</v>
      </c>
      <c r="H127" t="str">
        <f t="shared" si="9"/>
        <v>EV/Sales: Forward</v>
      </c>
      <c r="I127" t="str">
        <f t="shared" si="11"/>
        <v>Firm Value: + Market value of Minority Interest,Firm Value: Enterprise Value,Firm Value: Firm Value (with minority interest),EV/Sales: Current,EV/Sales: Trailing,EV/Sales: Forward</v>
      </c>
      <c r="J127" t="str">
        <f t="shared" si="10"/>
        <v/>
      </c>
    </row>
    <row r="128" spans="6:10">
      <c r="F128">
        <f t="shared" si="8"/>
        <v>7</v>
      </c>
      <c r="G128" t="s">
        <v>85</v>
      </c>
      <c r="H128" t="str">
        <f t="shared" si="9"/>
        <v>EV/EBITDA: Current</v>
      </c>
      <c r="I128" t="str">
        <f t="shared" si="11"/>
        <v>Firm Value: + Market value of Minority Interest,Firm Value: Enterprise Value,Firm Value: Firm Value (with minority interest),EV/Sales: Current,EV/Sales: Trailing,EV/Sales: Forward,EV/EBITDA: Current</v>
      </c>
      <c r="J128" t="str">
        <f t="shared" si="10"/>
        <v/>
      </c>
    </row>
    <row r="129" spans="6:10">
      <c r="F129">
        <f t="shared" si="8"/>
        <v>8</v>
      </c>
      <c r="G129" t="s">
        <v>86</v>
      </c>
      <c r="H129" t="str">
        <f t="shared" si="9"/>
        <v>EV/EBITDA: Trailing</v>
      </c>
      <c r="I129" t="str">
        <f t="shared" si="11"/>
        <v>Firm Value: + Market value of Minority Interest,Firm Value: Enterprise Value,Firm Value: Firm Value (with minority interest),EV/Sales: Current,EV/Sales: Trailing,EV/Sales: Forward,EV/EBITDA: Current,EV/EBITDA: Trailing</v>
      </c>
      <c r="J129" t="str">
        <f t="shared" si="10"/>
        <v/>
      </c>
    </row>
    <row r="130" spans="6:10">
      <c r="F130">
        <f t="shared" si="8"/>
        <v>9</v>
      </c>
      <c r="G130" t="s">
        <v>87</v>
      </c>
      <c r="H130" t="str">
        <f t="shared" si="9"/>
        <v>EV/EBITDA: Forward</v>
      </c>
      <c r="I130" t="str">
        <f t="shared" si="11"/>
        <v>Firm Value: + Market value of Minority Interest,Firm Value: Enterprise Value,Firm Value: Firm Value (with minority interest),EV/Sales: Current,EV/Sales: Trailing,EV/Sales: Forward,EV/EBITDA: Current,EV/EBITDA: Trailing,EV/EBITDA: Forward</v>
      </c>
      <c r="J130" t="str">
        <f t="shared" si="10"/>
        <v/>
      </c>
    </row>
    <row r="131" spans="6:10">
      <c r="F131">
        <f t="shared" ref="F131:F145" si="12">(IF(F130+1&gt;10,1,F130+1))</f>
        <v>10</v>
      </c>
      <c r="G131" t="s">
        <v>88</v>
      </c>
      <c r="H131" t="str">
        <f t="shared" ref="H131:H145" si="13">TRIM(G131)</f>
        <v>EV/EBIT: Current</v>
      </c>
      <c r="I131" t="str">
        <f t="shared" si="11"/>
        <v>Firm Value: + Market value of Minority Interest,Firm Value: Enterprise Value,Firm Value: Firm Value (with minority interest),EV/Sales: Current,EV/Sales: Trailing,EV/Sales: Forward,EV/EBITDA: Current,EV/EBITDA: Trailing,EV/EBITDA: Forward,EV/EBIT: Current</v>
      </c>
      <c r="J131" t="str">
        <f t="shared" si="10"/>
        <v>HEADINGS_STR=HEADINGS_STR &amp; "Firm Value: + Market value of Minority Interest,Firm Value: Enterprise Value,Firm Value: Firm Value (with minority interest),EV/Sales: Current,EV/Sales: Trailing,EV/Sales: Forward,EV/EBITDA: Current,EV/EBITDA: Trailing,EV/EBITDA: Forward,EV/EBIT: Current,"</v>
      </c>
    </row>
    <row r="132" spans="6:10">
      <c r="F132">
        <f t="shared" si="12"/>
        <v>1</v>
      </c>
      <c r="G132" t="s">
        <v>89</v>
      </c>
      <c r="H132" t="str">
        <f t="shared" si="13"/>
        <v>EV/EBIT: Trailing</v>
      </c>
      <c r="I132" t="str">
        <f t="shared" si="11"/>
        <v>EV/EBIT: Trailing</v>
      </c>
      <c r="J132" t="str">
        <f t="shared" si="10"/>
        <v/>
      </c>
    </row>
    <row r="133" spans="6:10">
      <c r="F133">
        <f t="shared" si="12"/>
        <v>2</v>
      </c>
      <c r="G133" t="s">
        <v>90</v>
      </c>
      <c r="H133" t="str">
        <f t="shared" si="13"/>
        <v>EV/EBIT: Forward</v>
      </c>
      <c r="I133" t="str">
        <f t="shared" si="11"/>
        <v>EV/EBIT: Trailing,EV/EBIT: Forward</v>
      </c>
      <c r="J133" t="str">
        <f t="shared" si="10"/>
        <v/>
      </c>
    </row>
    <row r="134" spans="6:10">
      <c r="F134">
        <f t="shared" si="12"/>
        <v>3</v>
      </c>
      <c r="G134" t="s">
        <v>91</v>
      </c>
      <c r="H134" t="str">
        <f t="shared" si="13"/>
        <v>EV/ After-tax EBIT: Current</v>
      </c>
      <c r="I134" t="str">
        <f t="shared" si="11"/>
        <v>EV/EBIT: Trailing,EV/EBIT: Forward,EV/ After-tax EBIT: Current</v>
      </c>
      <c r="J134" t="str">
        <f t="shared" si="10"/>
        <v/>
      </c>
    </row>
    <row r="135" spans="6:10">
      <c r="F135">
        <f t="shared" si="12"/>
        <v>4</v>
      </c>
      <c r="G135" t="s">
        <v>92</v>
      </c>
      <c r="H135" t="str">
        <f t="shared" si="13"/>
        <v>EV/ After-tax EBIT: Trailing</v>
      </c>
      <c r="I135" t="str">
        <f t="shared" si="11"/>
        <v>EV/EBIT: Trailing,EV/EBIT: Forward,EV/ After-tax EBIT: Current,EV/ After-tax EBIT: Trailing</v>
      </c>
      <c r="J135" t="str">
        <f t="shared" si="10"/>
        <v/>
      </c>
    </row>
    <row r="136" spans="6:10">
      <c r="F136">
        <f t="shared" si="12"/>
        <v>5</v>
      </c>
      <c r="G136" t="s">
        <v>93</v>
      </c>
      <c r="H136" t="str">
        <f t="shared" si="13"/>
        <v>EV/ After-tax EBIT: Forward</v>
      </c>
      <c r="I136" t="str">
        <f t="shared" si="11"/>
        <v>EV/EBIT: Trailing,EV/EBIT: Forward,EV/ After-tax EBIT: Current,EV/ After-tax EBIT: Trailing,EV/ After-tax EBIT: Forward</v>
      </c>
      <c r="J136" t="str">
        <f t="shared" si="10"/>
        <v/>
      </c>
    </row>
    <row r="137" spans="6:10">
      <c r="F137">
        <f t="shared" si="12"/>
        <v>6</v>
      </c>
      <c r="G137" t="s">
        <v>94</v>
      </c>
      <c r="H137" t="str">
        <f t="shared" si="13"/>
        <v>PE: Current</v>
      </c>
      <c r="I137" t="str">
        <f t="shared" si="11"/>
        <v>EV/EBIT: Trailing,EV/EBIT: Forward,EV/ After-tax EBIT: Current,EV/ After-tax EBIT: Trailing,EV/ After-tax EBIT: Forward,PE: Current</v>
      </c>
      <c r="J137" t="str">
        <f t="shared" si="10"/>
        <v/>
      </c>
    </row>
    <row r="138" spans="6:10">
      <c r="F138">
        <f t="shared" si="12"/>
        <v>7</v>
      </c>
      <c r="G138" t="s">
        <v>95</v>
      </c>
      <c r="H138" t="str">
        <f t="shared" si="13"/>
        <v>PE: Trailing</v>
      </c>
      <c r="I138" t="str">
        <f t="shared" si="11"/>
        <v>EV/EBIT: Trailing,EV/EBIT: Forward,EV/ After-tax EBIT: Current,EV/ After-tax EBIT: Trailing,EV/ After-tax EBIT: Forward,PE: Current,PE: Trailing</v>
      </c>
      <c r="J138" t="str">
        <f t="shared" si="10"/>
        <v/>
      </c>
    </row>
    <row r="139" spans="6:10">
      <c r="F139">
        <f t="shared" si="12"/>
        <v>8</v>
      </c>
      <c r="G139" t="s">
        <v>96</v>
      </c>
      <c r="H139" t="str">
        <f t="shared" si="13"/>
        <v>PE: Forward</v>
      </c>
      <c r="I139" t="str">
        <f t="shared" si="11"/>
        <v>EV/EBIT: Trailing,EV/EBIT: Forward,EV/ After-tax EBIT: Current,EV/ After-tax EBIT: Trailing,EV/ After-tax EBIT: Forward,PE: Current,PE: Trailing,PE: Forward</v>
      </c>
      <c r="J139" t="str">
        <f t="shared" si="10"/>
        <v/>
      </c>
    </row>
    <row r="140" spans="6:10">
      <c r="F140">
        <f t="shared" si="12"/>
        <v>9</v>
      </c>
      <c r="G140" t="s">
        <v>97</v>
      </c>
      <c r="H140" t="str">
        <f t="shared" si="13"/>
        <v>Non-cash PE: Current</v>
      </c>
      <c r="I140" t="str">
        <f t="shared" si="11"/>
        <v>EV/EBIT: Trailing,EV/EBIT: Forward,EV/ After-tax EBIT: Current,EV/ After-tax EBIT: Trailing,EV/ After-tax EBIT: Forward,PE: Current,PE: Trailing,PE: Forward,Non-cash PE: Current</v>
      </c>
      <c r="J140" t="str">
        <f>IF(F140=10,"HEADINGS_STR=HEADINGS_STR"&amp;" &amp; "&amp;""""&amp;I140&amp;","&amp;"""","")</f>
        <v/>
      </c>
    </row>
    <row r="141" spans="6:10">
      <c r="F141">
        <f t="shared" si="12"/>
        <v>10</v>
      </c>
      <c r="G141" t="s">
        <v>98</v>
      </c>
      <c r="H141" t="str">
        <f t="shared" si="13"/>
        <v>Non-cash PE: Trailing</v>
      </c>
      <c r="I141" t="str">
        <f t="shared" si="11"/>
        <v>EV/EBIT: Trailing,EV/EBIT: Forward,EV/ After-tax EBIT: Current,EV/ After-tax EBIT: Trailing,EV/ After-tax EBIT: Forward,PE: Current,PE: Trailing,PE: Forward,Non-cash PE: Current,Non-cash PE: Trailing</v>
      </c>
      <c r="J141" t="str">
        <f t="shared" ref="J141:J143" si="14">IF(F141=10,"HEADINGS_STR=HEADINGS_STR"&amp;" &amp; "&amp;""""&amp;I141&amp;","&amp;"""","")</f>
        <v>HEADINGS_STR=HEADINGS_STR &amp; "EV/EBIT: Trailing,EV/EBIT: Forward,EV/ After-tax EBIT: Current,EV/ After-tax EBIT: Trailing,EV/ After-tax EBIT: Forward,PE: Current,PE: Trailing,PE: Forward,Non-cash PE: Current,Non-cash PE: Trailing,"</v>
      </c>
    </row>
    <row r="142" spans="6:10">
      <c r="F142">
        <f t="shared" si="12"/>
        <v>1</v>
      </c>
      <c r="G142" t="s">
        <v>99</v>
      </c>
      <c r="H142" t="str">
        <f t="shared" si="13"/>
        <v>Non-cash PE: Forward</v>
      </c>
      <c r="I142" t="str">
        <f t="shared" si="11"/>
        <v>Non-cash PE: Forward</v>
      </c>
      <c r="J142" t="str">
        <f t="shared" si="14"/>
        <v/>
      </c>
    </row>
    <row r="143" spans="6:10">
      <c r="F143">
        <f t="shared" si="12"/>
        <v>2</v>
      </c>
      <c r="G143" t="s">
        <v>100</v>
      </c>
      <c r="H143" t="str">
        <f t="shared" si="13"/>
        <v>EV/ Invested Capital: Current</v>
      </c>
      <c r="I143" t="str">
        <f t="shared" ref="I143:I145" si="15">IF(F143=1,H143,I142&amp;","&amp;H143)</f>
        <v>Non-cash PE: Forward,EV/ Invested Capital: Current</v>
      </c>
      <c r="J143" t="str">
        <f t="shared" si="14"/>
        <v/>
      </c>
    </row>
    <row r="144" spans="6:10">
      <c r="F144">
        <f t="shared" si="12"/>
        <v>3</v>
      </c>
      <c r="G144" t="s">
        <v>101</v>
      </c>
      <c r="H144" t="str">
        <f t="shared" si="13"/>
        <v>PBV: Current</v>
      </c>
      <c r="I144" t="str">
        <f t="shared" si="15"/>
        <v>Non-cash PE: Forward,EV/ Invested Capital: Current,PBV: Current</v>
      </c>
      <c r="J144" t="str">
        <f>IF(F144=10,"HEADINGS_STR=HEADINGS_STR"&amp;" &amp; "&amp;""""&amp;I144&amp;","&amp;"""","")</f>
        <v/>
      </c>
    </row>
    <row r="145" spans="6:10">
      <c r="F145">
        <f t="shared" si="12"/>
        <v>4</v>
      </c>
      <c r="G145" t="s">
        <v>102</v>
      </c>
      <c r="H145" t="str">
        <f t="shared" si="13"/>
        <v>Non-cash PBV: Current</v>
      </c>
      <c r="I145" t="str">
        <f t="shared" si="15"/>
        <v>Non-cash PE: Forward,EV/ Invested Capital: Current,PBV: Current,Non-cash PBV: Current</v>
      </c>
      <c r="J145" s="52" t="str">
        <f>"HEADINGS_STR=HEADINGS_STR"&amp;" &amp; "&amp;""""&amp;I145&amp;","&amp;""""</f>
        <v>HEADINGS_STR=HEADINGS_STR &amp; "Non-cash PE: Forward,EV/ Invested Capital: Current,PBV: Current,Non-cash PBV: Current,"</v>
      </c>
    </row>
    <row r="147" spans="6:10">
      <c r="J147" t="str">
        <f>""""</f>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1.6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N15"/>
  <sheetViews>
    <sheetView showGridLines="0" tabSelected="1" topLeftCell="CM1" workbookViewId="0">
      <selection activeCell="CU8" sqref="CU8"/>
    </sheetView>
  </sheetViews>
  <sheetFormatPr defaultColWidth="15.69140625" defaultRowHeight="15" customHeight="1"/>
  <cols>
    <col min="1" max="1" width="33.15234375" style="1" customWidth="1"/>
    <col min="2" max="81" width="15.69140625" style="1" customWidth="1"/>
    <col min="82" max="16384" width="15.69140625" style="1"/>
  </cols>
  <sheetData>
    <row r="1" spans="1:144" ht="15" customHeight="1">
      <c r="G1" s="22" t="s">
        <v>115</v>
      </c>
      <c r="BQ1" s="2">
        <v>1</v>
      </c>
      <c r="BR1" s="2">
        <f>BQ1+1</f>
        <v>2</v>
      </c>
      <c r="BS1" s="2">
        <f t="shared" ref="BS1:CU1" si="0">BR1+1</f>
        <v>3</v>
      </c>
      <c r="BT1" s="2">
        <f t="shared" si="0"/>
        <v>4</v>
      </c>
      <c r="BU1" s="2">
        <f t="shared" si="0"/>
        <v>5</v>
      </c>
      <c r="BV1" s="2">
        <f t="shared" si="0"/>
        <v>6</v>
      </c>
      <c r="BW1" s="2">
        <f t="shared" si="0"/>
        <v>7</v>
      </c>
      <c r="BX1" s="2">
        <f t="shared" si="0"/>
        <v>8</v>
      </c>
      <c r="BY1" s="2">
        <f t="shared" si="0"/>
        <v>9</v>
      </c>
      <c r="BZ1" s="2">
        <f t="shared" si="0"/>
        <v>10</v>
      </c>
      <c r="CA1" s="2">
        <f t="shared" si="0"/>
        <v>11</v>
      </c>
      <c r="CB1" s="2">
        <f t="shared" si="0"/>
        <v>12</v>
      </c>
      <c r="CC1" s="2">
        <f t="shared" si="0"/>
        <v>13</v>
      </c>
      <c r="CD1" s="2">
        <f t="shared" si="0"/>
        <v>14</v>
      </c>
      <c r="CE1" s="2">
        <f t="shared" si="0"/>
        <v>15</v>
      </c>
      <c r="CF1" s="2">
        <f t="shared" si="0"/>
        <v>16</v>
      </c>
      <c r="CG1" s="2">
        <f t="shared" si="0"/>
        <v>17</v>
      </c>
      <c r="CH1" s="2">
        <f t="shared" si="0"/>
        <v>18</v>
      </c>
      <c r="CI1" s="2">
        <f t="shared" si="0"/>
        <v>19</v>
      </c>
      <c r="CJ1" s="2">
        <f t="shared" si="0"/>
        <v>20</v>
      </c>
      <c r="CK1" s="2">
        <f t="shared" si="0"/>
        <v>21</v>
      </c>
      <c r="CL1" s="2">
        <f t="shared" si="0"/>
        <v>22</v>
      </c>
      <c r="CM1" s="2">
        <f t="shared" si="0"/>
        <v>23</v>
      </c>
      <c r="CN1" s="2">
        <f t="shared" si="0"/>
        <v>24</v>
      </c>
      <c r="CO1" s="2">
        <f t="shared" si="0"/>
        <v>25</v>
      </c>
      <c r="CP1" s="2">
        <f t="shared" si="0"/>
        <v>26</v>
      </c>
      <c r="CQ1" s="2">
        <f t="shared" si="0"/>
        <v>27</v>
      </c>
      <c r="CR1" s="2">
        <f t="shared" si="0"/>
        <v>28</v>
      </c>
      <c r="CS1" s="2">
        <f t="shared" si="0"/>
        <v>29</v>
      </c>
      <c r="CT1" s="2">
        <f t="shared" si="0"/>
        <v>30</v>
      </c>
      <c r="CU1" s="2">
        <f t="shared" si="0"/>
        <v>31</v>
      </c>
      <c r="CV1" s="22" t="s">
        <v>115</v>
      </c>
      <c r="CW1" s="23"/>
      <c r="CX1" s="2">
        <f>CU1+3</f>
        <v>34</v>
      </c>
      <c r="CY1" s="2">
        <f>CX1+1</f>
        <v>35</v>
      </c>
      <c r="CZ1" s="2">
        <f t="shared" ref="CZ1:EN1" si="1">CY1+1</f>
        <v>36</v>
      </c>
      <c r="DA1" s="2">
        <f t="shared" si="1"/>
        <v>37</v>
      </c>
      <c r="DB1" s="2">
        <f t="shared" si="1"/>
        <v>38</v>
      </c>
      <c r="DC1" s="2">
        <f t="shared" si="1"/>
        <v>39</v>
      </c>
      <c r="DD1" s="2">
        <f t="shared" si="1"/>
        <v>40</v>
      </c>
      <c r="DE1" s="2">
        <f t="shared" si="1"/>
        <v>41</v>
      </c>
      <c r="DF1" s="2">
        <f t="shared" si="1"/>
        <v>42</v>
      </c>
      <c r="DG1" s="2">
        <f t="shared" si="1"/>
        <v>43</v>
      </c>
      <c r="DH1" s="2">
        <f t="shared" si="1"/>
        <v>44</v>
      </c>
      <c r="DI1" s="2">
        <f t="shared" si="1"/>
        <v>45</v>
      </c>
      <c r="DJ1" s="2">
        <f t="shared" si="1"/>
        <v>46</v>
      </c>
      <c r="DK1" s="2">
        <f t="shared" si="1"/>
        <v>47</v>
      </c>
      <c r="DL1" s="2">
        <f t="shared" si="1"/>
        <v>48</v>
      </c>
      <c r="DM1" s="2">
        <f t="shared" si="1"/>
        <v>49</v>
      </c>
      <c r="DN1" s="2">
        <f t="shared" si="1"/>
        <v>50</v>
      </c>
      <c r="DO1" s="2">
        <f t="shared" si="1"/>
        <v>51</v>
      </c>
      <c r="DP1" s="2">
        <f t="shared" si="1"/>
        <v>52</v>
      </c>
      <c r="DQ1" s="2">
        <f t="shared" si="1"/>
        <v>53</v>
      </c>
      <c r="DR1" s="2">
        <f t="shared" si="1"/>
        <v>54</v>
      </c>
      <c r="DS1" s="2">
        <f t="shared" si="1"/>
        <v>55</v>
      </c>
      <c r="DT1" s="2">
        <f t="shared" si="1"/>
        <v>56</v>
      </c>
      <c r="DU1" s="2">
        <f t="shared" si="1"/>
        <v>57</v>
      </c>
      <c r="DV1" s="2">
        <f t="shared" si="1"/>
        <v>58</v>
      </c>
      <c r="DW1" s="2">
        <f t="shared" si="1"/>
        <v>59</v>
      </c>
      <c r="DX1" s="2">
        <f t="shared" si="1"/>
        <v>60</v>
      </c>
      <c r="DY1" s="2">
        <f t="shared" si="1"/>
        <v>61</v>
      </c>
      <c r="DZ1" s="2">
        <f t="shared" si="1"/>
        <v>62</v>
      </c>
      <c r="EA1" s="2">
        <f t="shared" si="1"/>
        <v>63</v>
      </c>
      <c r="EB1" s="2">
        <f t="shared" si="1"/>
        <v>64</v>
      </c>
      <c r="EC1" s="2">
        <f t="shared" si="1"/>
        <v>65</v>
      </c>
      <c r="ED1" s="2">
        <f t="shared" si="1"/>
        <v>66</v>
      </c>
      <c r="EE1" s="2">
        <f t="shared" si="1"/>
        <v>67</v>
      </c>
      <c r="EF1" s="2">
        <f t="shared" si="1"/>
        <v>68</v>
      </c>
      <c r="EG1" s="2">
        <f t="shared" si="1"/>
        <v>69</v>
      </c>
      <c r="EH1" s="2">
        <f t="shared" si="1"/>
        <v>70</v>
      </c>
      <c r="EI1" s="2">
        <f t="shared" si="1"/>
        <v>71</v>
      </c>
      <c r="EJ1" s="2">
        <f t="shared" si="1"/>
        <v>72</v>
      </c>
      <c r="EK1" s="2">
        <f t="shared" si="1"/>
        <v>73</v>
      </c>
      <c r="EL1" s="2">
        <f t="shared" si="1"/>
        <v>74</v>
      </c>
      <c r="EM1" s="2">
        <f t="shared" si="1"/>
        <v>75</v>
      </c>
      <c r="EN1" s="2">
        <f t="shared" si="1"/>
        <v>76</v>
      </c>
    </row>
    <row r="2" spans="1:144" ht="15" customHeight="1">
      <c r="A2" s="2" t="s">
        <v>59</v>
      </c>
      <c r="B2" s="2" t="s">
        <v>59</v>
      </c>
      <c r="C2" s="2" t="s">
        <v>59</v>
      </c>
      <c r="D2" s="2" t="s">
        <v>59</v>
      </c>
      <c r="E2" s="2" t="s">
        <v>59</v>
      </c>
      <c r="F2" s="2" t="s">
        <v>59</v>
      </c>
      <c r="G2" s="2" t="s">
        <v>59</v>
      </c>
      <c r="H2" s="2" t="s">
        <v>59</v>
      </c>
      <c r="I2" s="2" t="s">
        <v>59</v>
      </c>
      <c r="J2" s="2" t="s">
        <v>59</v>
      </c>
      <c r="K2" s="2" t="s">
        <v>59</v>
      </c>
      <c r="L2" s="2" t="s">
        <v>59</v>
      </c>
      <c r="M2" s="2" t="s">
        <v>59</v>
      </c>
      <c r="N2" s="2" t="s">
        <v>59</v>
      </c>
      <c r="O2" s="2" t="s">
        <v>59</v>
      </c>
      <c r="P2" s="2" t="s">
        <v>59</v>
      </c>
      <c r="Q2" s="2" t="s">
        <v>59</v>
      </c>
      <c r="R2" s="2" t="s">
        <v>59</v>
      </c>
      <c r="S2" s="2" t="s">
        <v>59</v>
      </c>
      <c r="T2" s="2" t="s">
        <v>59</v>
      </c>
      <c r="U2" s="2" t="s">
        <v>59</v>
      </c>
      <c r="V2" s="2" t="s">
        <v>59</v>
      </c>
      <c r="W2" s="2" t="s">
        <v>59</v>
      </c>
      <c r="X2" s="2" t="s">
        <v>59</v>
      </c>
      <c r="Y2" s="2" t="s">
        <v>59</v>
      </c>
      <c r="Z2" s="2" t="s">
        <v>59</v>
      </c>
      <c r="AA2" s="2" t="s">
        <v>59</v>
      </c>
      <c r="AB2" s="2" t="s">
        <v>59</v>
      </c>
      <c r="AC2" s="2" t="s">
        <v>59</v>
      </c>
      <c r="AD2" s="2" t="s">
        <v>59</v>
      </c>
      <c r="AE2" s="2" t="s">
        <v>59</v>
      </c>
      <c r="AF2" s="2" t="s">
        <v>59</v>
      </c>
      <c r="AG2" s="2" t="s">
        <v>59</v>
      </c>
      <c r="AH2" s="2" t="s">
        <v>59</v>
      </c>
      <c r="AI2" s="2" t="s">
        <v>59</v>
      </c>
      <c r="AJ2" s="2" t="s">
        <v>59</v>
      </c>
      <c r="AK2" s="2" t="s">
        <v>59</v>
      </c>
      <c r="AL2" s="2" t="s">
        <v>59</v>
      </c>
      <c r="AM2" s="2" t="s">
        <v>59</v>
      </c>
      <c r="AN2" s="2" t="s">
        <v>59</v>
      </c>
      <c r="AO2" s="2" t="s">
        <v>59</v>
      </c>
      <c r="AP2" s="2" t="s">
        <v>59</v>
      </c>
      <c r="AQ2" s="2" t="s">
        <v>59</v>
      </c>
      <c r="AR2" s="2" t="s">
        <v>59</v>
      </c>
      <c r="AS2" s="2" t="s">
        <v>59</v>
      </c>
      <c r="AT2" s="2" t="s">
        <v>59</v>
      </c>
      <c r="AU2" s="2" t="s">
        <v>59</v>
      </c>
      <c r="AV2" s="2" t="s">
        <v>59</v>
      </c>
      <c r="AW2" s="2" t="s">
        <v>59</v>
      </c>
      <c r="AX2" s="2" t="s">
        <v>59</v>
      </c>
      <c r="AY2" s="2" t="s">
        <v>59</v>
      </c>
      <c r="AZ2" s="2" t="s">
        <v>59</v>
      </c>
      <c r="BA2" s="2" t="s">
        <v>59</v>
      </c>
      <c r="BB2" s="2" t="s">
        <v>59</v>
      </c>
      <c r="BC2" s="2" t="s">
        <v>59</v>
      </c>
      <c r="BD2" s="2" t="s">
        <v>59</v>
      </c>
      <c r="BE2" s="2" t="s">
        <v>59</v>
      </c>
      <c r="BF2" s="2" t="s">
        <v>59</v>
      </c>
      <c r="BG2" s="2" t="s">
        <v>59</v>
      </c>
      <c r="BH2" s="2" t="s">
        <v>59</v>
      </c>
      <c r="BI2" s="2" t="s">
        <v>59</v>
      </c>
      <c r="BJ2" s="2" t="s">
        <v>59</v>
      </c>
      <c r="BK2" s="2" t="s">
        <v>59</v>
      </c>
      <c r="BL2" s="2" t="s">
        <v>59</v>
      </c>
      <c r="BM2" s="2" t="s">
        <v>59</v>
      </c>
      <c r="BN2" s="2" t="s">
        <v>59</v>
      </c>
      <c r="BO2" s="2" t="s">
        <v>59</v>
      </c>
      <c r="BP2" s="2" t="s">
        <v>59</v>
      </c>
      <c r="BQ2" s="2" t="s">
        <v>66</v>
      </c>
      <c r="BR2" s="2" t="s">
        <v>66</v>
      </c>
      <c r="BS2" s="2" t="s">
        <v>66</v>
      </c>
      <c r="BT2" s="2" t="s">
        <v>66</v>
      </c>
      <c r="BU2" s="2" t="s">
        <v>66</v>
      </c>
      <c r="BV2" s="2" t="s">
        <v>66</v>
      </c>
      <c r="BW2" s="2" t="s">
        <v>66</v>
      </c>
      <c r="BX2" s="2" t="s">
        <v>66</v>
      </c>
      <c r="BY2" s="2" t="s">
        <v>66</v>
      </c>
      <c r="BZ2" s="2" t="s">
        <v>66</v>
      </c>
      <c r="CA2" s="2" t="s">
        <v>66</v>
      </c>
      <c r="CB2" s="2" t="s">
        <v>66</v>
      </c>
      <c r="CC2" s="2" t="s">
        <v>66</v>
      </c>
      <c r="CD2" s="2" t="s">
        <v>66</v>
      </c>
      <c r="CE2" s="2" t="s">
        <v>66</v>
      </c>
      <c r="CF2" s="2" t="s">
        <v>66</v>
      </c>
      <c r="CG2" s="2" t="s">
        <v>66</v>
      </c>
      <c r="CH2" s="2" t="s">
        <v>66</v>
      </c>
      <c r="CI2" s="2" t="s">
        <v>66</v>
      </c>
      <c r="CJ2" s="2" t="s">
        <v>66</v>
      </c>
      <c r="CK2" s="2" t="s">
        <v>66</v>
      </c>
      <c r="CL2" s="2" t="s">
        <v>66</v>
      </c>
      <c r="CM2" s="2" t="s">
        <v>66</v>
      </c>
      <c r="CN2" s="2" t="s">
        <v>66</v>
      </c>
      <c r="CO2" s="2" t="s">
        <v>66</v>
      </c>
      <c r="CP2" s="2" t="s">
        <v>66</v>
      </c>
      <c r="CQ2" s="2" t="s">
        <v>66</v>
      </c>
      <c r="CR2" s="2" t="s">
        <v>66</v>
      </c>
      <c r="CS2" s="2" t="s">
        <v>66</v>
      </c>
      <c r="CT2" s="2" t="s">
        <v>66</v>
      </c>
      <c r="CU2" s="2" t="s">
        <v>66</v>
      </c>
      <c r="CV2" s="2" t="s">
        <v>66</v>
      </c>
      <c r="CW2" s="2" t="s">
        <v>66</v>
      </c>
      <c r="CX2" s="2" t="s">
        <v>66</v>
      </c>
      <c r="CY2" s="2" t="s">
        <v>66</v>
      </c>
      <c r="CZ2" s="2" t="s">
        <v>66</v>
      </c>
      <c r="DA2" s="2" t="s">
        <v>66</v>
      </c>
      <c r="DB2" s="2" t="s">
        <v>66</v>
      </c>
      <c r="DC2" s="2" t="s">
        <v>66</v>
      </c>
      <c r="DD2" s="2" t="s">
        <v>66</v>
      </c>
      <c r="DE2" s="2" t="s">
        <v>66</v>
      </c>
      <c r="DF2" s="2" t="s">
        <v>66</v>
      </c>
      <c r="DG2" s="2" t="s">
        <v>66</v>
      </c>
      <c r="DH2" s="2" t="s">
        <v>66</v>
      </c>
      <c r="DI2" s="2" t="s">
        <v>66</v>
      </c>
      <c r="DJ2" s="2" t="s">
        <v>66</v>
      </c>
      <c r="DK2" s="2" t="s">
        <v>66</v>
      </c>
      <c r="DL2" s="2" t="s">
        <v>66</v>
      </c>
      <c r="DM2" s="2" t="s">
        <v>66</v>
      </c>
      <c r="DN2" s="2" t="s">
        <v>66</v>
      </c>
      <c r="DO2" s="2" t="s">
        <v>66</v>
      </c>
      <c r="DP2" s="2" t="s">
        <v>66</v>
      </c>
      <c r="DQ2" s="2" t="s">
        <v>66</v>
      </c>
      <c r="DR2" s="2" t="s">
        <v>66</v>
      </c>
      <c r="DS2" s="2" t="s">
        <v>66</v>
      </c>
      <c r="DT2" s="2" t="s">
        <v>66</v>
      </c>
      <c r="DU2" s="2" t="s">
        <v>66</v>
      </c>
      <c r="DV2" s="2" t="s">
        <v>66</v>
      </c>
      <c r="DW2" s="2" t="s">
        <v>66</v>
      </c>
      <c r="DX2" s="2" t="s">
        <v>66</v>
      </c>
      <c r="DY2" s="2" t="s">
        <v>66</v>
      </c>
      <c r="DZ2" s="2" t="s">
        <v>66</v>
      </c>
      <c r="EA2" s="2" t="s">
        <v>66</v>
      </c>
      <c r="EB2" s="2" t="s">
        <v>66</v>
      </c>
      <c r="EC2" s="2" t="s">
        <v>66</v>
      </c>
      <c r="ED2" s="2" t="s">
        <v>66</v>
      </c>
      <c r="EE2" s="2" t="s">
        <v>66</v>
      </c>
      <c r="EF2" s="2" t="s">
        <v>66</v>
      </c>
      <c r="EG2" s="2" t="s">
        <v>66</v>
      </c>
      <c r="EH2" s="2" t="s">
        <v>66</v>
      </c>
      <c r="EI2" s="2" t="s">
        <v>66</v>
      </c>
      <c r="EJ2" s="2" t="s">
        <v>66</v>
      </c>
      <c r="EK2" s="2" t="s">
        <v>66</v>
      </c>
      <c r="EL2" s="2" t="s">
        <v>66</v>
      </c>
      <c r="EM2" s="2" t="s">
        <v>66</v>
      </c>
      <c r="EN2" s="2" t="s">
        <v>66</v>
      </c>
    </row>
    <row r="3" spans="1:144" ht="15" customHeight="1">
      <c r="A3" s="2">
        <v>1</v>
      </c>
      <c r="B3" s="2">
        <f>A3+1</f>
        <v>2</v>
      </c>
      <c r="C3" s="2">
        <f t="shared" ref="C3:BN3" si="2">B3+1</f>
        <v>3</v>
      </c>
      <c r="D3" s="2">
        <f t="shared" si="2"/>
        <v>4</v>
      </c>
      <c r="E3" s="2">
        <f t="shared" si="2"/>
        <v>5</v>
      </c>
      <c r="F3" s="2">
        <f t="shared" si="2"/>
        <v>6</v>
      </c>
      <c r="G3" s="2">
        <f t="shared" si="2"/>
        <v>7</v>
      </c>
      <c r="H3" s="2">
        <f t="shared" si="2"/>
        <v>8</v>
      </c>
      <c r="I3" s="2">
        <f t="shared" si="2"/>
        <v>9</v>
      </c>
      <c r="J3" s="2">
        <f t="shared" si="2"/>
        <v>10</v>
      </c>
      <c r="K3" s="2">
        <f t="shared" si="2"/>
        <v>11</v>
      </c>
      <c r="L3" s="2">
        <f t="shared" si="2"/>
        <v>12</v>
      </c>
      <c r="M3" s="2">
        <f t="shared" si="2"/>
        <v>13</v>
      </c>
      <c r="N3" s="2">
        <f t="shared" si="2"/>
        <v>14</v>
      </c>
      <c r="O3" s="2">
        <f t="shared" si="2"/>
        <v>15</v>
      </c>
      <c r="P3" s="2">
        <f t="shared" si="2"/>
        <v>16</v>
      </c>
      <c r="Q3" s="2">
        <f t="shared" si="2"/>
        <v>17</v>
      </c>
      <c r="R3" s="2">
        <f t="shared" si="2"/>
        <v>18</v>
      </c>
      <c r="S3" s="2">
        <f t="shared" si="2"/>
        <v>19</v>
      </c>
      <c r="T3" s="2">
        <f t="shared" si="2"/>
        <v>20</v>
      </c>
      <c r="U3" s="2">
        <f t="shared" si="2"/>
        <v>21</v>
      </c>
      <c r="V3" s="2">
        <f t="shared" si="2"/>
        <v>22</v>
      </c>
      <c r="W3" s="2">
        <f t="shared" si="2"/>
        <v>23</v>
      </c>
      <c r="X3" s="2">
        <f t="shared" si="2"/>
        <v>24</v>
      </c>
      <c r="Y3" s="2">
        <f t="shared" si="2"/>
        <v>25</v>
      </c>
      <c r="Z3" s="2">
        <f t="shared" si="2"/>
        <v>26</v>
      </c>
      <c r="AA3" s="2">
        <f t="shared" si="2"/>
        <v>27</v>
      </c>
      <c r="AB3" s="2">
        <f t="shared" si="2"/>
        <v>28</v>
      </c>
      <c r="AC3" s="2">
        <f t="shared" si="2"/>
        <v>29</v>
      </c>
      <c r="AD3" s="2">
        <f t="shared" si="2"/>
        <v>30</v>
      </c>
      <c r="AE3" s="2">
        <f t="shared" si="2"/>
        <v>31</v>
      </c>
      <c r="AF3" s="2">
        <f t="shared" si="2"/>
        <v>32</v>
      </c>
      <c r="AG3" s="2">
        <f t="shared" si="2"/>
        <v>33</v>
      </c>
      <c r="AH3" s="2">
        <f t="shared" si="2"/>
        <v>34</v>
      </c>
      <c r="AI3" s="2">
        <f t="shared" si="2"/>
        <v>35</v>
      </c>
      <c r="AJ3" s="2">
        <f t="shared" si="2"/>
        <v>36</v>
      </c>
      <c r="AK3" s="2">
        <f t="shared" si="2"/>
        <v>37</v>
      </c>
      <c r="AL3" s="2">
        <f t="shared" si="2"/>
        <v>38</v>
      </c>
      <c r="AM3" s="2">
        <f t="shared" si="2"/>
        <v>39</v>
      </c>
      <c r="AN3" s="2">
        <f t="shared" si="2"/>
        <v>40</v>
      </c>
      <c r="AO3" s="2">
        <f t="shared" si="2"/>
        <v>41</v>
      </c>
      <c r="AP3" s="2">
        <f t="shared" si="2"/>
        <v>42</v>
      </c>
      <c r="AQ3" s="2">
        <f t="shared" si="2"/>
        <v>43</v>
      </c>
      <c r="AR3" s="2">
        <f t="shared" si="2"/>
        <v>44</v>
      </c>
      <c r="AS3" s="2">
        <f t="shared" si="2"/>
        <v>45</v>
      </c>
      <c r="AT3" s="2">
        <f t="shared" si="2"/>
        <v>46</v>
      </c>
      <c r="AU3" s="2">
        <f t="shared" si="2"/>
        <v>47</v>
      </c>
      <c r="AV3" s="2">
        <f t="shared" si="2"/>
        <v>48</v>
      </c>
      <c r="AW3" s="2">
        <f t="shared" si="2"/>
        <v>49</v>
      </c>
      <c r="AX3" s="2">
        <f t="shared" si="2"/>
        <v>50</v>
      </c>
      <c r="AY3" s="2">
        <f t="shared" si="2"/>
        <v>51</v>
      </c>
      <c r="AZ3" s="2">
        <f t="shared" si="2"/>
        <v>52</v>
      </c>
      <c r="BA3" s="2">
        <f t="shared" si="2"/>
        <v>53</v>
      </c>
      <c r="BB3" s="2">
        <f t="shared" si="2"/>
        <v>54</v>
      </c>
      <c r="BC3" s="2">
        <f t="shared" si="2"/>
        <v>55</v>
      </c>
      <c r="BD3" s="2">
        <f t="shared" si="2"/>
        <v>56</v>
      </c>
      <c r="BE3" s="2">
        <f t="shared" si="2"/>
        <v>57</v>
      </c>
      <c r="BF3" s="2">
        <f t="shared" si="2"/>
        <v>58</v>
      </c>
      <c r="BG3" s="2">
        <f t="shared" si="2"/>
        <v>59</v>
      </c>
      <c r="BH3" s="2">
        <f t="shared" si="2"/>
        <v>60</v>
      </c>
      <c r="BI3" s="2">
        <f t="shared" si="2"/>
        <v>61</v>
      </c>
      <c r="BJ3" s="2">
        <f t="shared" si="2"/>
        <v>62</v>
      </c>
      <c r="BK3" s="2">
        <f t="shared" si="2"/>
        <v>63</v>
      </c>
      <c r="BL3" s="2">
        <f t="shared" si="2"/>
        <v>64</v>
      </c>
      <c r="BM3" s="2">
        <f t="shared" si="2"/>
        <v>65</v>
      </c>
      <c r="BN3" s="2">
        <f t="shared" si="2"/>
        <v>66</v>
      </c>
      <c r="BO3" s="2">
        <f t="shared" ref="BO3:DZ3" si="3">BN3+1</f>
        <v>67</v>
      </c>
      <c r="BP3" s="2">
        <f t="shared" si="3"/>
        <v>68</v>
      </c>
      <c r="BQ3" s="54">
        <f t="shared" si="3"/>
        <v>69</v>
      </c>
      <c r="BR3" s="2">
        <f t="shared" si="3"/>
        <v>70</v>
      </c>
      <c r="BS3" s="2">
        <f t="shared" si="3"/>
        <v>71</v>
      </c>
      <c r="BT3" s="2">
        <f t="shared" si="3"/>
        <v>72</v>
      </c>
      <c r="BU3" s="2">
        <f t="shared" si="3"/>
        <v>73</v>
      </c>
      <c r="BV3" s="2">
        <f t="shared" si="3"/>
        <v>74</v>
      </c>
      <c r="BW3" s="2">
        <f t="shared" si="3"/>
        <v>75</v>
      </c>
      <c r="BX3" s="2">
        <f t="shared" si="3"/>
        <v>76</v>
      </c>
      <c r="BY3" s="2">
        <f t="shared" si="3"/>
        <v>77</v>
      </c>
      <c r="BZ3" s="2">
        <f t="shared" si="3"/>
        <v>78</v>
      </c>
      <c r="CA3" s="2">
        <f t="shared" si="3"/>
        <v>79</v>
      </c>
      <c r="CB3" s="2">
        <f t="shared" si="3"/>
        <v>80</v>
      </c>
      <c r="CC3" s="2">
        <f t="shared" si="3"/>
        <v>81</v>
      </c>
      <c r="CD3" s="2">
        <f t="shared" si="3"/>
        <v>82</v>
      </c>
      <c r="CE3" s="2">
        <f t="shared" si="3"/>
        <v>83</v>
      </c>
      <c r="CF3" s="2">
        <f t="shared" si="3"/>
        <v>84</v>
      </c>
      <c r="CG3" s="2">
        <f t="shared" si="3"/>
        <v>85</v>
      </c>
      <c r="CH3" s="2">
        <f t="shared" si="3"/>
        <v>86</v>
      </c>
      <c r="CI3" s="2">
        <f t="shared" si="3"/>
        <v>87</v>
      </c>
      <c r="CJ3" s="2">
        <f t="shared" si="3"/>
        <v>88</v>
      </c>
      <c r="CK3" s="2">
        <f t="shared" si="3"/>
        <v>89</v>
      </c>
      <c r="CL3" s="2">
        <f t="shared" si="3"/>
        <v>90</v>
      </c>
      <c r="CM3" s="2">
        <f t="shared" si="3"/>
        <v>91</v>
      </c>
      <c r="CN3" s="2">
        <f t="shared" si="3"/>
        <v>92</v>
      </c>
      <c r="CO3" s="2">
        <f t="shared" si="3"/>
        <v>93</v>
      </c>
      <c r="CP3" s="2">
        <f t="shared" si="3"/>
        <v>94</v>
      </c>
      <c r="CQ3" s="2">
        <f t="shared" si="3"/>
        <v>95</v>
      </c>
      <c r="CR3" s="2">
        <f t="shared" si="3"/>
        <v>96</v>
      </c>
      <c r="CS3" s="2">
        <f t="shared" si="3"/>
        <v>97</v>
      </c>
      <c r="CT3" s="2">
        <f t="shared" si="3"/>
        <v>98</v>
      </c>
      <c r="CU3" s="2">
        <f t="shared" si="3"/>
        <v>99</v>
      </c>
      <c r="CV3" s="2">
        <f t="shared" si="3"/>
        <v>100</v>
      </c>
      <c r="CW3" s="2">
        <f t="shared" si="3"/>
        <v>101</v>
      </c>
      <c r="CX3" s="2">
        <f t="shared" si="3"/>
        <v>102</v>
      </c>
      <c r="CY3" s="2">
        <f t="shared" si="3"/>
        <v>103</v>
      </c>
      <c r="CZ3" s="2">
        <f t="shared" si="3"/>
        <v>104</v>
      </c>
      <c r="DA3" s="2">
        <f t="shared" si="3"/>
        <v>105</v>
      </c>
      <c r="DB3" s="2">
        <f t="shared" si="3"/>
        <v>106</v>
      </c>
      <c r="DC3" s="2">
        <f t="shared" si="3"/>
        <v>107</v>
      </c>
      <c r="DD3" s="2">
        <f t="shared" si="3"/>
        <v>108</v>
      </c>
      <c r="DE3" s="2">
        <f t="shared" si="3"/>
        <v>109</v>
      </c>
      <c r="DF3" s="2">
        <f t="shared" si="3"/>
        <v>110</v>
      </c>
      <c r="DG3" s="2">
        <f t="shared" si="3"/>
        <v>111</v>
      </c>
      <c r="DH3" s="2">
        <f t="shared" si="3"/>
        <v>112</v>
      </c>
      <c r="DI3" s="2">
        <f t="shared" si="3"/>
        <v>113</v>
      </c>
      <c r="DJ3" s="2">
        <f t="shared" si="3"/>
        <v>114</v>
      </c>
      <c r="DK3" s="2">
        <f t="shared" si="3"/>
        <v>115</v>
      </c>
      <c r="DL3" s="2">
        <f t="shared" si="3"/>
        <v>116</v>
      </c>
      <c r="DM3" s="2">
        <f t="shared" si="3"/>
        <v>117</v>
      </c>
      <c r="DN3" s="2">
        <f t="shared" si="3"/>
        <v>118</v>
      </c>
      <c r="DO3" s="2">
        <f t="shared" si="3"/>
        <v>119</v>
      </c>
      <c r="DP3" s="2">
        <f t="shared" si="3"/>
        <v>120</v>
      </c>
      <c r="DQ3" s="2">
        <f t="shared" si="3"/>
        <v>121</v>
      </c>
      <c r="DR3" s="2">
        <f t="shared" si="3"/>
        <v>122</v>
      </c>
      <c r="DS3" s="2">
        <f t="shared" si="3"/>
        <v>123</v>
      </c>
      <c r="DT3" s="2">
        <f t="shared" si="3"/>
        <v>124</v>
      </c>
      <c r="DU3" s="2">
        <f t="shared" si="3"/>
        <v>125</v>
      </c>
      <c r="DV3" s="2">
        <f t="shared" si="3"/>
        <v>126</v>
      </c>
      <c r="DW3" s="2">
        <f t="shared" si="3"/>
        <v>127</v>
      </c>
      <c r="DX3" s="2">
        <f t="shared" si="3"/>
        <v>128</v>
      </c>
      <c r="DY3" s="2">
        <f t="shared" si="3"/>
        <v>129</v>
      </c>
      <c r="DZ3" s="2">
        <f t="shared" si="3"/>
        <v>130</v>
      </c>
      <c r="EA3" s="2">
        <f t="shared" ref="EA3:EN3" si="4">DZ3+1</f>
        <v>131</v>
      </c>
      <c r="EB3" s="2">
        <f t="shared" si="4"/>
        <v>132</v>
      </c>
      <c r="EC3" s="2">
        <f t="shared" si="4"/>
        <v>133</v>
      </c>
      <c r="ED3" s="2">
        <f t="shared" si="4"/>
        <v>134</v>
      </c>
      <c r="EE3" s="2">
        <f t="shared" si="4"/>
        <v>135</v>
      </c>
      <c r="EF3" s="2">
        <f t="shared" si="4"/>
        <v>136</v>
      </c>
      <c r="EG3" s="2">
        <f t="shared" si="4"/>
        <v>137</v>
      </c>
      <c r="EH3" s="2">
        <f t="shared" si="4"/>
        <v>138</v>
      </c>
      <c r="EI3" s="2">
        <f t="shared" si="4"/>
        <v>139</v>
      </c>
      <c r="EJ3" s="2">
        <f t="shared" si="4"/>
        <v>140</v>
      </c>
      <c r="EK3" s="2">
        <f t="shared" si="4"/>
        <v>141</v>
      </c>
      <c r="EL3" s="2">
        <f t="shared" si="4"/>
        <v>142</v>
      </c>
      <c r="EM3" s="2">
        <f t="shared" si="4"/>
        <v>143</v>
      </c>
      <c r="EN3" s="2">
        <f t="shared" si="4"/>
        <v>144</v>
      </c>
    </row>
    <row r="4" spans="1:144" s="5" customFormat="1" ht="78.75">
      <c r="A4" s="3" t="s">
        <v>41</v>
      </c>
      <c r="B4" s="3" t="s">
        <v>42</v>
      </c>
      <c r="C4" s="3" t="s">
        <v>43</v>
      </c>
      <c r="D4" s="3" t="s">
        <v>44</v>
      </c>
      <c r="E4" s="3" t="s">
        <v>0</v>
      </c>
      <c r="F4" s="3" t="s">
        <v>45</v>
      </c>
      <c r="G4" s="3" t="s">
        <v>121</v>
      </c>
      <c r="H4" s="3" t="s">
        <v>122</v>
      </c>
      <c r="I4" s="3" t="s">
        <v>123</v>
      </c>
      <c r="J4" s="3" t="s">
        <v>124</v>
      </c>
      <c r="K4" s="3" t="s">
        <v>125</v>
      </c>
      <c r="L4" s="3" t="s">
        <v>126</v>
      </c>
      <c r="M4" s="3" t="s">
        <v>46</v>
      </c>
      <c r="N4" s="3" t="s">
        <v>11</v>
      </c>
      <c r="O4" s="3" t="s">
        <v>47</v>
      </c>
      <c r="P4" s="3" t="s">
        <v>48</v>
      </c>
      <c r="Q4" s="3" t="s">
        <v>49</v>
      </c>
      <c r="R4" s="3" t="s">
        <v>50</v>
      </c>
      <c r="S4" s="3" t="s">
        <v>7</v>
      </c>
      <c r="T4" s="3" t="s">
        <v>2</v>
      </c>
      <c r="U4" s="3" t="s">
        <v>3</v>
      </c>
      <c r="V4" s="3" t="s">
        <v>4</v>
      </c>
      <c r="W4" s="3" t="s">
        <v>5</v>
      </c>
      <c r="X4" s="3" t="s">
        <v>6</v>
      </c>
      <c r="Y4" s="3" t="s">
        <v>131</v>
      </c>
      <c r="Z4" s="3" t="s">
        <v>51</v>
      </c>
      <c r="AA4" s="3" t="s">
        <v>52</v>
      </c>
      <c r="AB4" s="3" t="s">
        <v>116</v>
      </c>
      <c r="AC4" s="3" t="s">
        <v>53</v>
      </c>
      <c r="AD4" s="3" t="s">
        <v>54</v>
      </c>
      <c r="AE4" s="3" t="s">
        <v>55</v>
      </c>
      <c r="AF4" s="3" t="s">
        <v>135</v>
      </c>
      <c r="AG4" s="3" t="s">
        <v>133</v>
      </c>
      <c r="AH4" s="3" t="s">
        <v>134</v>
      </c>
      <c r="AI4" s="3" t="s">
        <v>56</v>
      </c>
      <c r="AJ4" s="3" t="s">
        <v>57</v>
      </c>
      <c r="AK4" s="3" t="s">
        <v>103</v>
      </c>
      <c r="AL4" s="3" t="s">
        <v>58</v>
      </c>
      <c r="AM4" s="3" t="s">
        <v>104</v>
      </c>
      <c r="AN4" s="3" t="s">
        <v>12</v>
      </c>
      <c r="AO4" s="3" t="s">
        <v>13</v>
      </c>
      <c r="AP4" s="3" t="s">
        <v>14</v>
      </c>
      <c r="AQ4" s="3" t="s">
        <v>15</v>
      </c>
      <c r="AR4" s="3" t="s">
        <v>16</v>
      </c>
      <c r="AS4" s="3" t="s">
        <v>17</v>
      </c>
      <c r="AT4" s="3" t="s">
        <v>18</v>
      </c>
      <c r="AU4" s="3" t="s">
        <v>19</v>
      </c>
      <c r="AV4" s="3" t="s">
        <v>20</v>
      </c>
      <c r="AW4" s="3" t="s">
        <v>21</v>
      </c>
      <c r="AX4" s="3" t="s">
        <v>22</v>
      </c>
      <c r="AY4" s="3" t="s">
        <v>23</v>
      </c>
      <c r="AZ4" s="3" t="s">
        <v>24</v>
      </c>
      <c r="BA4" s="3" t="s">
        <v>25</v>
      </c>
      <c r="BB4" s="3" t="s">
        <v>26</v>
      </c>
      <c r="BC4" s="3" t="s">
        <v>27</v>
      </c>
      <c r="BD4" s="3" t="s">
        <v>28</v>
      </c>
      <c r="BE4" s="3" t="s">
        <v>29</v>
      </c>
      <c r="BF4" s="3" t="s">
        <v>30</v>
      </c>
      <c r="BG4" s="3" t="s">
        <v>31</v>
      </c>
      <c r="BH4" s="3" t="s">
        <v>32</v>
      </c>
      <c r="BI4" s="3" t="s">
        <v>33</v>
      </c>
      <c r="BJ4" s="3" t="s">
        <v>34</v>
      </c>
      <c r="BK4" s="3" t="s">
        <v>35</v>
      </c>
      <c r="BL4" s="3" t="s">
        <v>36</v>
      </c>
      <c r="BM4" s="3" t="s">
        <v>37</v>
      </c>
      <c r="BN4" s="3" t="s">
        <v>38</v>
      </c>
      <c r="BO4" s="3" t="s">
        <v>39</v>
      </c>
      <c r="BP4" s="3" t="s">
        <v>40</v>
      </c>
      <c r="BQ4" s="4" t="s">
        <v>132</v>
      </c>
      <c r="BR4" s="4" t="s">
        <v>130</v>
      </c>
      <c r="BS4" s="4" t="s">
        <v>105</v>
      </c>
      <c r="BT4" s="4" t="s">
        <v>106</v>
      </c>
      <c r="BU4" s="4" t="s">
        <v>107</v>
      </c>
      <c r="BV4" s="4" t="s">
        <v>108</v>
      </c>
      <c r="BW4" s="4" t="s">
        <v>109</v>
      </c>
      <c r="BX4" s="4" t="s">
        <v>110</v>
      </c>
      <c r="BY4" s="4" t="s">
        <v>111</v>
      </c>
      <c r="BZ4" s="4" t="s">
        <v>129</v>
      </c>
      <c r="CA4" s="4" t="s">
        <v>113</v>
      </c>
      <c r="CB4" s="4" t="s">
        <v>112</v>
      </c>
      <c r="CC4" s="4" t="s">
        <v>114</v>
      </c>
      <c r="CD4" s="4" t="s">
        <v>15</v>
      </c>
      <c r="CE4" s="4" t="s">
        <v>16</v>
      </c>
      <c r="CF4" s="4" t="s">
        <v>17</v>
      </c>
      <c r="CG4" s="4" t="s">
        <v>18</v>
      </c>
      <c r="CH4" s="4" t="s">
        <v>19</v>
      </c>
      <c r="CI4" s="4" t="s">
        <v>20</v>
      </c>
      <c r="CJ4" s="4" t="s">
        <v>60</v>
      </c>
      <c r="CK4" s="4" t="s">
        <v>61</v>
      </c>
      <c r="CL4" s="4" t="s">
        <v>62</v>
      </c>
      <c r="CM4" s="4" t="s">
        <v>24</v>
      </c>
      <c r="CN4" s="4" t="s">
        <v>25</v>
      </c>
      <c r="CO4" s="4" t="s">
        <v>26</v>
      </c>
      <c r="CP4" s="4" t="s">
        <v>63</v>
      </c>
      <c r="CQ4" s="4" t="s">
        <v>64</v>
      </c>
      <c r="CR4" s="4" t="s">
        <v>65</v>
      </c>
      <c r="CS4" s="4" t="s">
        <v>10</v>
      </c>
      <c r="CT4" s="4" t="s">
        <v>127</v>
      </c>
      <c r="CU4" s="4" t="s">
        <v>128</v>
      </c>
      <c r="CV4" s="4" t="s">
        <v>119</v>
      </c>
      <c r="CW4" s="4" t="s">
        <v>116</v>
      </c>
      <c r="CX4" s="4" t="s">
        <v>117</v>
      </c>
      <c r="CY4" s="4" t="s">
        <v>118</v>
      </c>
      <c r="CZ4" s="4" t="s">
        <v>117</v>
      </c>
      <c r="DA4" s="4" t="s">
        <v>120</v>
      </c>
      <c r="DB4" s="4" t="s">
        <v>8</v>
      </c>
      <c r="DC4" s="4" t="s">
        <v>81</v>
      </c>
      <c r="DD4" s="4" t="s">
        <v>80</v>
      </c>
      <c r="DE4" s="4" t="s">
        <v>9</v>
      </c>
      <c r="DF4" s="4" t="s">
        <v>11</v>
      </c>
      <c r="DG4" s="4" t="s">
        <v>67</v>
      </c>
      <c r="DH4" s="4" t="s">
        <v>68</v>
      </c>
      <c r="DI4" s="4" t="s">
        <v>69</v>
      </c>
      <c r="DJ4" s="4" t="s">
        <v>70</v>
      </c>
      <c r="DK4" s="4" t="s">
        <v>71</v>
      </c>
      <c r="DL4" s="4" t="s">
        <v>72</v>
      </c>
      <c r="DM4" s="4" t="s">
        <v>73</v>
      </c>
      <c r="DN4" s="4" t="s">
        <v>74</v>
      </c>
      <c r="DO4" s="4" t="s">
        <v>75</v>
      </c>
      <c r="DP4" s="4" t="s">
        <v>76</v>
      </c>
      <c r="DQ4" s="4" t="s">
        <v>77</v>
      </c>
      <c r="DR4" s="4" t="s">
        <v>78</v>
      </c>
      <c r="DS4" s="4" t="s">
        <v>79</v>
      </c>
      <c r="DT4" s="4" t="s">
        <v>82</v>
      </c>
      <c r="DU4" s="4" t="s">
        <v>83</v>
      </c>
      <c r="DV4" s="4" t="s">
        <v>84</v>
      </c>
      <c r="DW4" s="4" t="s">
        <v>85</v>
      </c>
      <c r="DX4" s="4" t="s">
        <v>86</v>
      </c>
      <c r="DY4" s="4" t="s">
        <v>87</v>
      </c>
      <c r="DZ4" s="4" t="s">
        <v>88</v>
      </c>
      <c r="EA4" s="4" t="s">
        <v>89</v>
      </c>
      <c r="EB4" s="4" t="s">
        <v>90</v>
      </c>
      <c r="EC4" s="4" t="s">
        <v>91</v>
      </c>
      <c r="ED4" s="4" t="s">
        <v>92</v>
      </c>
      <c r="EE4" s="4" t="s">
        <v>93</v>
      </c>
      <c r="EF4" s="4" t="s">
        <v>94</v>
      </c>
      <c r="EG4" s="4" t="s">
        <v>95</v>
      </c>
      <c r="EH4" s="4" t="s">
        <v>96</v>
      </c>
      <c r="EI4" s="4" t="s">
        <v>97</v>
      </c>
      <c r="EJ4" s="4" t="s">
        <v>98</v>
      </c>
      <c r="EK4" s="4" t="s">
        <v>99</v>
      </c>
      <c r="EL4" s="4" t="s">
        <v>100</v>
      </c>
      <c r="EM4" s="4" t="s">
        <v>101</v>
      </c>
      <c r="EN4" s="4" t="s">
        <v>102</v>
      </c>
    </row>
    <row r="5" spans="1:144" ht="15" customHeight="1">
      <c r="A5" s="6" t="s">
        <v>1</v>
      </c>
      <c r="B5" s="7">
        <v>40110</v>
      </c>
      <c r="C5" s="8">
        <v>2.5999999999999999E-2</v>
      </c>
      <c r="D5" s="9">
        <v>1786.44</v>
      </c>
      <c r="E5" s="9">
        <v>69.16</v>
      </c>
      <c r="F5" s="9">
        <v>45907</v>
      </c>
      <c r="G5" s="21">
        <v>0.2</v>
      </c>
      <c r="H5" s="28">
        <v>54</v>
      </c>
      <c r="I5" s="11">
        <v>32.020000000000003</v>
      </c>
      <c r="J5" s="10">
        <v>2.5499999999999998</v>
      </c>
      <c r="K5" s="12">
        <v>0.3</v>
      </c>
      <c r="L5" s="12">
        <v>2.35E-2</v>
      </c>
      <c r="M5" s="9">
        <v>0</v>
      </c>
      <c r="N5" s="9">
        <v>0</v>
      </c>
      <c r="O5" s="9">
        <v>15003</v>
      </c>
      <c r="P5" s="6">
        <v>4.5</v>
      </c>
      <c r="Q5" s="9">
        <v>383</v>
      </c>
      <c r="R5" s="8">
        <v>4.2500000000000003E-2</v>
      </c>
      <c r="S5" s="9">
        <v>863</v>
      </c>
      <c r="T5" s="9">
        <v>471</v>
      </c>
      <c r="U5" s="9">
        <v>378</v>
      </c>
      <c r="V5" s="9">
        <v>295</v>
      </c>
      <c r="W5" s="9">
        <v>225</v>
      </c>
      <c r="X5" s="9">
        <v>163</v>
      </c>
      <c r="Y5" s="9">
        <v>791</v>
      </c>
      <c r="Z5" s="9">
        <v>0</v>
      </c>
      <c r="AA5" s="9">
        <v>0</v>
      </c>
      <c r="AB5" s="9">
        <v>0</v>
      </c>
      <c r="AC5" s="8">
        <v>0</v>
      </c>
      <c r="AD5" s="13"/>
      <c r="AE5" s="9">
        <v>0</v>
      </c>
      <c r="AF5" s="9">
        <v>0</v>
      </c>
      <c r="AG5" s="9">
        <v>0</v>
      </c>
      <c r="AH5" s="9">
        <v>0</v>
      </c>
      <c r="AI5" s="9">
        <v>3932</v>
      </c>
      <c r="AJ5" s="9">
        <v>0</v>
      </c>
      <c r="AK5" s="15">
        <v>1</v>
      </c>
      <c r="AL5" s="9">
        <v>2371</v>
      </c>
      <c r="AM5" s="13">
        <v>2.5</v>
      </c>
      <c r="AN5" s="9">
        <v>42278</v>
      </c>
      <c r="AO5" s="9">
        <v>44255</v>
      </c>
      <c r="AP5" s="9">
        <v>47860</v>
      </c>
      <c r="AQ5" s="9">
        <v>10850</v>
      </c>
      <c r="AR5" s="9">
        <v>11440</v>
      </c>
      <c r="AS5" s="9">
        <v>13455</v>
      </c>
      <c r="AT5" s="9">
        <v>8863</v>
      </c>
      <c r="AU5" s="9">
        <v>9315</v>
      </c>
      <c r="AV5" s="9">
        <v>11418</v>
      </c>
      <c r="AW5" s="14">
        <v>0.33339999999999997</v>
      </c>
      <c r="AX5" s="14">
        <v>0.34239999999999998</v>
      </c>
      <c r="AY5" s="14">
        <v>0.35</v>
      </c>
      <c r="AZ5" s="9">
        <v>5862</v>
      </c>
      <c r="BA5" s="9">
        <v>5986</v>
      </c>
      <c r="BB5" s="9">
        <v>6943</v>
      </c>
      <c r="BC5" s="9">
        <v>65</v>
      </c>
      <c r="BD5" s="9">
        <v>56</v>
      </c>
      <c r="BE5" s="9">
        <v>50</v>
      </c>
      <c r="BF5" s="16">
        <v>1550</v>
      </c>
      <c r="BG5" s="16">
        <v>1399</v>
      </c>
      <c r="BH5" s="16">
        <v>388</v>
      </c>
      <c r="BI5" s="16">
        <v>144</v>
      </c>
      <c r="BJ5" s="16">
        <v>0</v>
      </c>
      <c r="BK5" s="16">
        <v>0</v>
      </c>
      <c r="BL5" s="16">
        <v>0</v>
      </c>
      <c r="BM5" s="16">
        <v>0</v>
      </c>
      <c r="BN5" s="16">
        <v>0</v>
      </c>
      <c r="BO5" s="16">
        <v>0</v>
      </c>
      <c r="BP5" s="16">
        <v>0</v>
      </c>
      <c r="BQ5" s="27">
        <f>SUM(IF(T5&gt;0,1,0),IF(U5&gt;0,1,0),IF(V5&gt;0,1,0),IF(W5&gt;0,1,0),IF(X5&gt;0,1,0))</f>
        <v>5</v>
      </c>
      <c r="BR5" s="27">
        <f>IF(BQ5=0,0,IF(AVERAGE(T5,U5,V5,W5,X5)=0,0,ROUND(Y5/AVERAGE(T5,U5,V5,W5,X5),0)))</f>
        <v>3</v>
      </c>
      <c r="BS5" s="17">
        <f>IF(BQ5=0,0,SUM(T5/(1+R5)^1,U5/(1+R5)^2,V5/(1+R5)^3,W5/(1+R5)^4,X5/(1+R5)^5,IF(BR5&gt;0,(IF(Y5&gt;0,IF(BR5&gt;1,Y5/BR5,Y5),0)*(1-(1+R5)^(-BR5))/R5)/(1+R5)^5,IF(Y5&gt;0,IF(BR5&gt;1,Y5/BR5,Y5),0)/(1+R5)^6)))</f>
        <v>1974.2647801062458</v>
      </c>
      <c r="BT5" s="17">
        <f>AT5+BS5*R5</f>
        <v>8946.9062531545151</v>
      </c>
      <c r="BU5" s="17">
        <f>O5+BS5</f>
        <v>16977.264780106245</v>
      </c>
      <c r="BV5" s="17">
        <f>AT5</f>
        <v>8863</v>
      </c>
      <c r="BW5" s="17">
        <f>S5</f>
        <v>863</v>
      </c>
      <c r="BX5" s="26">
        <f>IF(BS5=0,0,BS5/(5+BR5))</f>
        <v>246.78309751328072</v>
      </c>
      <c r="BY5" s="17">
        <f>BV5+BW5-BX5</f>
        <v>9479.2169024867198</v>
      </c>
      <c r="BZ5" s="25">
        <f>SUM(IF(BG5&gt;0,1,0),IF(BH5&gt;0,1,0),IF(BI5&gt;0,1,0),IF(BJ5&gt;0,1,0),IF(BK5&gt;0,1,0),IF(BL5&gt;0,1,0),IF(BM5&gt;0,1,0),IF(BN5&gt;0,1,0),IF(BO5&gt;0,1,0),IF(BP5&gt;0,1,0))</f>
        <v>3</v>
      </c>
      <c r="CA5" s="17">
        <f>IF(BZ5=0,0,SUM(BF5*1,BG5*(BZ5-1)/BZ5,BH5*(BZ5-2)/BZ5,BI5*(BZ5-3)/BZ5,BJ5*(BZ5-4)/BZ5,BK5*(BZ5-5)/BZ5,BL5*(BZ5-6)/BZ5,BM5*(BZ5-7)/BZ5,BN5*(BZ5-8)/BZ5,BO5*(BZ5-9)/BZ5,BP5*(BZ5-10)/BZ5))</f>
        <v>2612</v>
      </c>
      <c r="CB5" s="17">
        <f>IF(BZ5=0,0,SUM(BG5,BH5,BI5,BJ5,BK5,BL5,BM5,BN5,BO5,BP5)/BZ5)</f>
        <v>643.66666666666663</v>
      </c>
      <c r="CC5" s="17">
        <f>BF5-CB5</f>
        <v>906.33333333333337</v>
      </c>
      <c r="CD5" s="17">
        <f>AQ5+S5+BF5</f>
        <v>13263</v>
      </c>
      <c r="CE5" s="17">
        <f>AR5+S5+BF5</f>
        <v>13853</v>
      </c>
      <c r="CF5" s="17">
        <f>AS5+S5+BF5</f>
        <v>15868</v>
      </c>
      <c r="CG5" s="17">
        <f>AT5+S5-BX5+BF5-CB5</f>
        <v>10385.550235820054</v>
      </c>
      <c r="CH5" s="17">
        <f>AU5+S5-BX5+BF5-CB5</f>
        <v>10837.550235820054</v>
      </c>
      <c r="CI5" s="17">
        <f>AV5+S5-BX5+BF5-CB5</f>
        <v>12940.550235820054</v>
      </c>
      <c r="CJ5" s="17">
        <f>AT5*(1-AW5)+S5-BX5+BF5-CB5</f>
        <v>7430.6260358200525</v>
      </c>
      <c r="CK5" s="17">
        <f>AU5*(1-AX5)+S5-BX5+BF5-CB5</f>
        <v>7648.0942358200527</v>
      </c>
      <c r="CL5" s="17">
        <f>AV5*(1-AY5)+S5-BX5+BF5-CB5</f>
        <v>8944.2502358200527</v>
      </c>
      <c r="CM5" s="17">
        <f>AZ5+BF5-CB5</f>
        <v>6768.333333333333</v>
      </c>
      <c r="CN5" s="17">
        <f>BA5+BF5-CB5</f>
        <v>6892.333333333333</v>
      </c>
      <c r="CO5" s="17">
        <f>BB5+BF5-CB5</f>
        <v>7849.333333333333</v>
      </c>
      <c r="CP5" s="17">
        <f>AZ5-BC5*(1-AW5)+BF5-CB5</f>
        <v>6725.0043333333333</v>
      </c>
      <c r="CQ5" s="17">
        <f>BA5-BD5*(1-AX5)+BF5-CB5</f>
        <v>6855.5077333333329</v>
      </c>
      <c r="CR5" s="17">
        <f>BB5-BE5*(1-AY5)+BF5-CB5</f>
        <v>7816.833333333333</v>
      </c>
      <c r="CS5" s="17">
        <f>D5*E5</f>
        <v>123550.19039999999</v>
      </c>
      <c r="CT5" s="17">
        <f>IF(G5="",(E5*D5+IF($CW$1="",CU5,$CW$1)*H5)/(D5+H5),0)</f>
        <v>0</v>
      </c>
      <c r="CU5" s="17">
        <f>IF(G5="",((EXP((0-L5)*J5))*CT5*(CND_FUNC(((LN(CT5/I5)+((C5-L5)+((K5^2)/2))*J5)/((((K5^2))^(0.5))*(J5^0.5)))))-I5*(EXP((0-C5)*J5))*(CND_FUNC((((LN(CT5/I5)+((C5-L5)+((K5^2)/2))*J5)/((((K5^2))^(0.5))*(J5^0.5)))-(((K5^2)^0.5)*(J5^(0.5))))))),G5)</f>
        <v>0.2</v>
      </c>
      <c r="CV5" s="20">
        <f>CU5*H5</f>
        <v>10.8</v>
      </c>
      <c r="CW5" s="17">
        <f>IF(AB5="",(AC5/2)*AA5*(1-(1+R5/2)^(-AD5*2))/(R5/2)+AA5/(1+R5)^AD5,AB5)</f>
        <v>0</v>
      </c>
      <c r="CX5" s="17">
        <f>Z5-CW5</f>
        <v>0</v>
      </c>
      <c r="CY5" s="17">
        <f>IF(M5&gt;0,IF(AG5=0,0,(M5*AF5)/AG5),0)</f>
        <v>0</v>
      </c>
      <c r="CZ5" s="17">
        <f>AH5-CY5</f>
        <v>0</v>
      </c>
      <c r="DA5" s="17">
        <f>CX5+CZ5</f>
        <v>0</v>
      </c>
      <c r="DB5" s="17">
        <f>SUM(CS5,CV5,DA5)</f>
        <v>123560.9904</v>
      </c>
      <c r="DC5" s="17">
        <f>Q5*(1-(1+R5)^(-P5))/R5+O5/(1+R5)^P5</f>
        <v>13979.678940008973</v>
      </c>
      <c r="DD5" s="17">
        <f>BS5</f>
        <v>1974.2647801062458</v>
      </c>
      <c r="DE5" s="17">
        <f>DC5+DD5</f>
        <v>15953.943720115218</v>
      </c>
      <c r="DF5" s="18">
        <f>N5+CY5</f>
        <v>0</v>
      </c>
      <c r="DG5" s="17">
        <f>CA5+F5</f>
        <v>48519</v>
      </c>
      <c r="DH5" s="17">
        <f>BS5+O5+AA5</f>
        <v>16977.264780106245</v>
      </c>
      <c r="DI5" s="17">
        <f>M5+AE5</f>
        <v>0</v>
      </c>
      <c r="DJ5" s="17">
        <f>AI5</f>
        <v>3932</v>
      </c>
      <c r="DK5" s="17">
        <f>DG5+DH5+DI5-DJ5</f>
        <v>61564.264780106241</v>
      </c>
      <c r="DL5" s="17">
        <f>DB5</f>
        <v>123560.9904</v>
      </c>
      <c r="DM5" s="17">
        <f t="shared" ref="DM5:DN7" si="5">DE5</f>
        <v>15953.943720115218</v>
      </c>
      <c r="DN5" s="17">
        <f t="shared" si="5"/>
        <v>0</v>
      </c>
      <c r="DO5" s="17">
        <f>AI5</f>
        <v>3932</v>
      </c>
      <c r="DP5" s="17">
        <f>AJ5*AK5</f>
        <v>0</v>
      </c>
      <c r="DQ5" s="17">
        <f>AL5*AM5</f>
        <v>5927.5</v>
      </c>
      <c r="DR5" s="17">
        <f>DL5+DM5+DN5-DO5-DP5+DQ5</f>
        <v>141510.43412011521</v>
      </c>
      <c r="DS5" s="17">
        <f>DL5+DM5+DN5+DQ5</f>
        <v>145442.43412011521</v>
      </c>
      <c r="DT5" s="19">
        <f>DR5/AN5</f>
        <v>3.3471411637285398</v>
      </c>
      <c r="DU5" s="19">
        <f>DR5/AO5</f>
        <v>3.1976145999348144</v>
      </c>
      <c r="DV5" s="19">
        <f>DR5/AP5</f>
        <v>2.9567579214399333</v>
      </c>
      <c r="DW5" s="19">
        <f>DR5/CD5</f>
        <v>10.66956451180843</v>
      </c>
      <c r="DX5" s="19">
        <f>DR5/CE5</f>
        <v>10.215147197005358</v>
      </c>
      <c r="DY5" s="19">
        <f>DR5/CF5</f>
        <v>8.9179754298030769</v>
      </c>
      <c r="DZ5" s="19">
        <f>DR5/CG5</f>
        <v>13.625704070261175</v>
      </c>
      <c r="EA5" s="19">
        <f>DR5/CH5</f>
        <v>13.057418977620769</v>
      </c>
      <c r="EB5" s="19">
        <f>DR5/CI5</f>
        <v>10.935426356787183</v>
      </c>
      <c r="EC5" s="19">
        <f>DR5/CJ5</f>
        <v>19.044214234164183</v>
      </c>
      <c r="ED5" s="19">
        <f>DR5/CK5</f>
        <v>18.502705348130693</v>
      </c>
      <c r="EE5" s="19">
        <f>DR5/CL5</f>
        <v>15.82138585002825</v>
      </c>
      <c r="EF5" s="19">
        <f>DB5/CM5</f>
        <v>18.255748396946565</v>
      </c>
      <c r="EG5" s="19">
        <f>DB5/CN5</f>
        <v>17.927309145427287</v>
      </c>
      <c r="EH5" s="19">
        <f>DB5/CO5</f>
        <v>15.74159041956854</v>
      </c>
      <c r="EI5" s="19">
        <f>(CS5-DO5)/CP5</f>
        <v>17.787080047978158</v>
      </c>
      <c r="EJ5" s="19">
        <f>(CS5-DO5)/CQ5</f>
        <v>17.448480120354031</v>
      </c>
      <c r="EK5" s="19">
        <f>(CS5-DO5)/CR5</f>
        <v>15.302640506599007</v>
      </c>
      <c r="EL5" s="19">
        <f>DR5/DK5</f>
        <v>2.2985807533893041</v>
      </c>
      <c r="EM5" s="19">
        <f>CS5/DG5</f>
        <v>2.5464290360477335</v>
      </c>
      <c r="EN5" s="19">
        <f>(CS5-DO5)/(DG5-DJ5)</f>
        <v>2.6828041895619799</v>
      </c>
    </row>
    <row r="6" spans="1:144" ht="15" customHeight="1">
      <c r="A6" s="6" t="s">
        <v>136</v>
      </c>
      <c r="B6" s="7">
        <v>40110</v>
      </c>
      <c r="C6" s="8">
        <v>2.5999999999999999E-2</v>
      </c>
      <c r="D6" s="9">
        <v>1786.44</v>
      </c>
      <c r="E6" s="9">
        <v>69.16</v>
      </c>
      <c r="F6" s="9">
        <v>45907</v>
      </c>
      <c r="G6" s="21">
        <v>0.2</v>
      </c>
      <c r="H6" s="28">
        <v>54</v>
      </c>
      <c r="I6" s="11">
        <v>32.020000000000003</v>
      </c>
      <c r="J6" s="10">
        <v>2.5499999999999998</v>
      </c>
      <c r="K6" s="12">
        <v>0.3</v>
      </c>
      <c r="L6" s="12">
        <v>2.35E-2</v>
      </c>
      <c r="M6" s="9">
        <v>0</v>
      </c>
      <c r="N6" s="9">
        <v>0</v>
      </c>
      <c r="O6" s="9">
        <v>15003</v>
      </c>
      <c r="P6" s="6">
        <v>4.5</v>
      </c>
      <c r="Q6" s="9">
        <v>383</v>
      </c>
      <c r="R6" s="8">
        <v>4.2500000000000003E-2</v>
      </c>
      <c r="S6" s="9">
        <v>863</v>
      </c>
      <c r="T6" s="9">
        <v>471</v>
      </c>
      <c r="U6" s="9">
        <v>378</v>
      </c>
      <c r="V6" s="9">
        <v>295</v>
      </c>
      <c r="W6" s="9">
        <v>225</v>
      </c>
      <c r="X6" s="9">
        <v>163</v>
      </c>
      <c r="Y6" s="9">
        <v>791</v>
      </c>
      <c r="Z6" s="9">
        <v>0</v>
      </c>
      <c r="AA6" s="9">
        <v>0</v>
      </c>
      <c r="AB6" s="9">
        <v>0</v>
      </c>
      <c r="AC6" s="8">
        <v>0</v>
      </c>
      <c r="AD6" s="13"/>
      <c r="AE6" s="9">
        <v>0</v>
      </c>
      <c r="AF6" s="9">
        <v>0</v>
      </c>
      <c r="AG6" s="9">
        <v>0</v>
      </c>
      <c r="AH6" s="9">
        <v>0</v>
      </c>
      <c r="AI6" s="9">
        <v>3932</v>
      </c>
      <c r="AJ6" s="9">
        <v>0</v>
      </c>
      <c r="AK6" s="15">
        <v>1</v>
      </c>
      <c r="AL6" s="9">
        <v>2371</v>
      </c>
      <c r="AM6" s="13">
        <v>2.5</v>
      </c>
      <c r="AN6" s="9">
        <v>42278</v>
      </c>
      <c r="AO6" s="9">
        <v>44255</v>
      </c>
      <c r="AP6" s="9">
        <v>47860</v>
      </c>
      <c r="AQ6" s="9">
        <v>10850</v>
      </c>
      <c r="AR6" s="9">
        <v>11440</v>
      </c>
      <c r="AS6" s="9">
        <v>13455</v>
      </c>
      <c r="AT6" s="9">
        <v>8863</v>
      </c>
      <c r="AU6" s="9">
        <v>9315</v>
      </c>
      <c r="AV6" s="9">
        <v>11418</v>
      </c>
      <c r="AW6" s="14">
        <v>0.33339999999999997</v>
      </c>
      <c r="AX6" s="14">
        <v>0.34239999999999998</v>
      </c>
      <c r="AY6" s="14">
        <v>0.35</v>
      </c>
      <c r="AZ6" s="9">
        <v>5862</v>
      </c>
      <c r="BA6" s="9">
        <v>5986</v>
      </c>
      <c r="BB6" s="9">
        <v>6943</v>
      </c>
      <c r="BC6" s="9">
        <v>65</v>
      </c>
      <c r="BD6" s="9">
        <v>56</v>
      </c>
      <c r="BE6" s="9">
        <v>50</v>
      </c>
      <c r="BF6" s="16">
        <v>0</v>
      </c>
      <c r="BG6" s="16">
        <v>0</v>
      </c>
      <c r="BH6" s="16">
        <v>0</v>
      </c>
      <c r="BI6" s="16">
        <v>0</v>
      </c>
      <c r="BJ6" s="16">
        <v>0</v>
      </c>
      <c r="BK6" s="16">
        <v>0</v>
      </c>
      <c r="BL6" s="16">
        <v>0</v>
      </c>
      <c r="BM6" s="16">
        <v>0</v>
      </c>
      <c r="BN6" s="16">
        <v>0</v>
      </c>
      <c r="BO6" s="16">
        <v>0</v>
      </c>
      <c r="BP6" s="16">
        <v>0</v>
      </c>
      <c r="BQ6" s="27">
        <f>SUM(IF(T6&gt;0,1,0),IF(U6&gt;0,1,0),IF(V6&gt;0,1,0),IF(W6&gt;0,1,0),IF(X6&gt;0,1,0))</f>
        <v>5</v>
      </c>
      <c r="BR6" s="27">
        <f>IF(BQ6=0,0,IF(AVERAGE(T6,U6,V6,W6,X6)=0,0,ROUND(Y6/AVERAGE(T6,U6,V6,W6,X6),0)))</f>
        <v>3</v>
      </c>
      <c r="BS6" s="17">
        <f>IF(BQ6=0,0,SUM(T6/(1+R6)^1,U6/(1+R6)^2,V6/(1+R6)^3,W6/(1+R6)^4,X6/(1+R6)^5,IF(BR6&gt;0,(IF(Y6&gt;0,IF(BR6&gt;1,Y6/BR6,Y6),0)*(1-(1+R6)^(-BR6))/R6)/(1+R6)^5,IF(Y6&gt;0,IF(BR6&gt;1,Y6/BR6,Y6),0)/(1+R6)^6)))</f>
        <v>1974.2647801062458</v>
      </c>
      <c r="BT6" s="17">
        <f>AT6+BS6*R6</f>
        <v>8946.9062531545151</v>
      </c>
      <c r="BU6" s="17">
        <f>O6+BS6</f>
        <v>16977.264780106245</v>
      </c>
      <c r="BV6" s="17">
        <f>AT6</f>
        <v>8863</v>
      </c>
      <c r="BW6" s="17">
        <f>S6</f>
        <v>863</v>
      </c>
      <c r="BX6" s="17">
        <f>IF(BS6=0,0,BS6/(5+BR6))</f>
        <v>246.78309751328072</v>
      </c>
      <c r="BY6" s="17">
        <f>BV6+BW6-BX6</f>
        <v>9479.2169024867198</v>
      </c>
      <c r="BZ6" s="25">
        <f>SUM(IF(BG6&gt;0,1,0),IF(BH6&gt;0,1,0),IF(BI6&gt;0,1,0),IF(BJ6&gt;0,1,0),IF(BK6&gt;0,1,0),IF(BL6&gt;0,1,0),IF(BM6&gt;0,1,0),IF(BN6&gt;0,1,0),IF(BO6&gt;0,1,0),IF(BP6&gt;0,1,0))</f>
        <v>0</v>
      </c>
      <c r="CA6" s="17">
        <f>IF(BZ6=0,0,SUM(BF6*1,BG6*(BZ6-1)/BZ6,BH6*(BZ6-2)/BZ6,BI6*(BZ6-3)/BZ6,BJ6*(BZ6-4)/BZ6,BK6*(BZ6-5)/BZ6,BL6*(BZ6-6)/BZ6,BM6*(BZ6-7)/BZ6,BN6*(BZ6-8)/BZ6,BO6*(BZ6-9)/BZ6,BP6*(BZ6-10)/BZ6))</f>
        <v>0</v>
      </c>
      <c r="CB6" s="17">
        <f>IF(BZ6=0,0,SUM(BG6,BH6,BI6,BJ6,BK6,BL6,BM6,BN6,BO6,BP6)/BZ6)</f>
        <v>0</v>
      </c>
      <c r="CC6" s="17">
        <f>BF6-CB6</f>
        <v>0</v>
      </c>
      <c r="CD6" s="17">
        <f>AQ6+S6+BF6</f>
        <v>11713</v>
      </c>
      <c r="CE6" s="17">
        <f>AR6+S6+BF6</f>
        <v>12303</v>
      </c>
      <c r="CF6" s="17">
        <f>AS6+S6+BF6</f>
        <v>14318</v>
      </c>
      <c r="CG6" s="17">
        <f>AT6+S6-BX6+BF6-CB6</f>
        <v>9479.2169024867198</v>
      </c>
      <c r="CH6" s="17">
        <f>AU6+S6-BX6+BF6-CB6</f>
        <v>9931.2169024867198</v>
      </c>
      <c r="CI6" s="17">
        <f>AV6+S6-BX6+BF6-CB6</f>
        <v>12034.21690248672</v>
      </c>
      <c r="CJ6" s="17">
        <f>AT6*(1-AW6)+S6-BX6+BF6-CB6</f>
        <v>6524.2927024867195</v>
      </c>
      <c r="CK6" s="17">
        <f>AU6*(1-AX6)+S6-BX6+BF6-CB6</f>
        <v>6741.7609024867188</v>
      </c>
      <c r="CL6" s="17">
        <f>AV6*(1-AY6)+S6-BX6+BF6-CB6</f>
        <v>8037.9169024867197</v>
      </c>
      <c r="CM6" s="17">
        <f>AZ6+BF6-CB6</f>
        <v>5862</v>
      </c>
      <c r="CN6" s="17">
        <f>BA6+BF6-CB6</f>
        <v>5986</v>
      </c>
      <c r="CO6" s="17">
        <f>BB6+BF6-CB6</f>
        <v>6943</v>
      </c>
      <c r="CP6" s="17">
        <f>AZ6-BC6*(1-AW6)+BF6-CB6</f>
        <v>5818.6710000000003</v>
      </c>
      <c r="CQ6" s="17">
        <f>BA6-BD6*(1-AX6)+BF6-CB6</f>
        <v>5949.1743999999999</v>
      </c>
      <c r="CR6" s="17">
        <f>BB6-BE6*(1-AY6)+BF6-CB6</f>
        <v>6910.5</v>
      </c>
      <c r="CS6" s="17">
        <f>D6*E6</f>
        <v>123550.19039999999</v>
      </c>
      <c r="CT6" s="17">
        <f>IF(G6="",(E6*D6+IF($CW$1="",CU6,$CW$1)*H6)/(D6+H6),0)</f>
        <v>0</v>
      </c>
      <c r="CU6" s="17">
        <f>IF(G6="",((EXP((0-L6)*J6))*CT6*(CND_FUNC(((LN(CT6/I6)+((C6-L6)+((K6^2)/2))*J6)/((((K6^2))^(0.5))*(J6^0.5)))))-I6*(EXP((0-C6)*J6))*(CND_FUNC((((LN(CT6/I6)+((C6-L6)+((K6^2)/2))*J6)/((((K6^2))^(0.5))*(J6^0.5)))-(((K6^2)^0.5)*(J6^(0.5))))))),G6)</f>
        <v>0.2</v>
      </c>
      <c r="CV6" s="20">
        <f>CU6*H6</f>
        <v>10.8</v>
      </c>
      <c r="CW6" s="17">
        <f>IF(AB6="",(AC6/2)*AA6*(1-(1+R6/2)^(-AD6*2))/(R6/2)+AA6/(1+R6)^AD6,AB6)</f>
        <v>0</v>
      </c>
      <c r="CX6" s="17">
        <f>Z6-CW6</f>
        <v>0</v>
      </c>
      <c r="CY6" s="17">
        <f>IF(M6&gt;0,IF(AG6=0,0,(M6*AF6)/AG6),0)</f>
        <v>0</v>
      </c>
      <c r="CZ6" s="17">
        <f>AH6-CY6</f>
        <v>0</v>
      </c>
      <c r="DA6" s="17">
        <f>CX6+CZ6</f>
        <v>0</v>
      </c>
      <c r="DB6" s="17">
        <f>SUM(CS6,CV6,DA6)</f>
        <v>123560.9904</v>
      </c>
      <c r="DC6" s="17">
        <f>Q6*(1-(1+R6)^(-P6))/R6+O6/(1+R6)^P6</f>
        <v>13979.678940008973</v>
      </c>
      <c r="DD6" s="17">
        <f>BS6</f>
        <v>1974.2647801062458</v>
      </c>
      <c r="DE6" s="17">
        <f>DC6+DD6</f>
        <v>15953.943720115218</v>
      </c>
      <c r="DF6" s="18">
        <f>N6+CY6</f>
        <v>0</v>
      </c>
      <c r="DG6" s="17">
        <f>CA6+F6</f>
        <v>45907</v>
      </c>
      <c r="DH6" s="17">
        <f>BS6+O6+AA6</f>
        <v>16977.264780106245</v>
      </c>
      <c r="DI6" s="17">
        <f>M6+AE6</f>
        <v>0</v>
      </c>
      <c r="DJ6" s="17">
        <f>AI6</f>
        <v>3932</v>
      </c>
      <c r="DK6" s="17">
        <f>DG6+DH6+DI6-DJ6</f>
        <v>58952.264780106241</v>
      </c>
      <c r="DL6" s="17">
        <f>DB6</f>
        <v>123560.9904</v>
      </c>
      <c r="DM6" s="17">
        <f t="shared" si="5"/>
        <v>15953.943720115218</v>
      </c>
      <c r="DN6" s="17">
        <f t="shared" si="5"/>
        <v>0</v>
      </c>
      <c r="DO6" s="17">
        <f>AI6</f>
        <v>3932</v>
      </c>
      <c r="DP6" s="17">
        <f>AJ6*AK6</f>
        <v>0</v>
      </c>
      <c r="DQ6" s="17">
        <f>AL6*AM6</f>
        <v>5927.5</v>
      </c>
      <c r="DR6" s="17">
        <f>DL6+DM6+DN6-DO6-DP6+DQ6</f>
        <v>141510.43412011521</v>
      </c>
      <c r="DS6" s="17">
        <f>DL6+DM6+DN6+DQ6</f>
        <v>145442.43412011521</v>
      </c>
      <c r="DT6" s="19">
        <f>DR6/AN6</f>
        <v>3.3471411637285398</v>
      </c>
      <c r="DU6" s="19">
        <f>DR6/AO6</f>
        <v>3.1976145999348144</v>
      </c>
      <c r="DV6" s="19">
        <f>DR6/AP6</f>
        <v>2.9567579214399333</v>
      </c>
      <c r="DW6" s="19">
        <f>DR6/CD6</f>
        <v>12.081485026903032</v>
      </c>
      <c r="DX6" s="19">
        <f>DR6/CE6</f>
        <v>11.502107950915647</v>
      </c>
      <c r="DY6" s="19">
        <f>DR6/CF6</f>
        <v>9.8833939181530397</v>
      </c>
      <c r="DZ6" s="19">
        <f>DR6/CG6</f>
        <v>14.928494154722024</v>
      </c>
      <c r="EA6" s="19">
        <f>DR6/CH6</f>
        <v>14.249052810907978</v>
      </c>
      <c r="EB6" s="19">
        <f>DR6/CI6</f>
        <v>11.759006445269726</v>
      </c>
      <c r="EC6" s="19">
        <f>DR6/CJ6</f>
        <v>21.689773983650188</v>
      </c>
      <c r="ED6" s="19">
        <f>DR6/CK6</f>
        <v>20.990129458302007</v>
      </c>
      <c r="EE6" s="19">
        <f>DR6/CL6</f>
        <v>17.605361667316519</v>
      </c>
      <c r="EF6" s="19">
        <f>DB6/CM6</f>
        <v>21.07829928352098</v>
      </c>
      <c r="EG6" s="19">
        <f>DB6/CN6</f>
        <v>20.641662278650184</v>
      </c>
      <c r="EH6" s="19">
        <f>DB6/CO6</f>
        <v>17.796484286331555</v>
      </c>
      <c r="EI6" s="19">
        <f>(CS6-DO6)/CP6</f>
        <v>20.557648026499521</v>
      </c>
      <c r="EJ6" s="19">
        <f>(CS6-DO6)/CQ6</f>
        <v>20.106687475828579</v>
      </c>
      <c r="EK6" s="19">
        <f>(CS6-DO6)/CR6</f>
        <v>17.309628883582953</v>
      </c>
      <c r="EL6" s="19">
        <f>DR6/DK6</f>
        <v>2.400424048981892</v>
      </c>
      <c r="EM6" s="19">
        <f>CS6/DG6</f>
        <v>2.6913148408739405</v>
      </c>
      <c r="EN6" s="19">
        <f>(CS6-DO6)/(DG6-DJ6)</f>
        <v>2.8497484312090529</v>
      </c>
    </row>
    <row r="7" spans="1:144" ht="15" customHeight="1">
      <c r="A7" s="6" t="s">
        <v>1</v>
      </c>
      <c r="B7" s="7">
        <v>40110</v>
      </c>
      <c r="C7" s="8">
        <v>2.5999999999999999E-2</v>
      </c>
      <c r="D7" s="9">
        <v>1786.44</v>
      </c>
      <c r="E7" s="9">
        <v>69.16</v>
      </c>
      <c r="F7" s="9">
        <v>45907</v>
      </c>
      <c r="G7" s="21">
        <v>0.2</v>
      </c>
      <c r="H7" s="28">
        <v>54</v>
      </c>
      <c r="I7" s="11">
        <v>32.020000000000003</v>
      </c>
      <c r="J7" s="10">
        <v>2.5499999999999998</v>
      </c>
      <c r="K7" s="12">
        <v>0.3</v>
      </c>
      <c r="L7" s="12">
        <v>2.35E-2</v>
      </c>
      <c r="M7" s="9">
        <v>0</v>
      </c>
      <c r="N7" s="9">
        <v>0</v>
      </c>
      <c r="O7" s="9">
        <v>15003</v>
      </c>
      <c r="P7" s="6">
        <v>4.5</v>
      </c>
      <c r="Q7" s="9">
        <v>383</v>
      </c>
      <c r="R7" s="8">
        <v>4.2500000000000003E-2</v>
      </c>
      <c r="S7" s="9">
        <v>0</v>
      </c>
      <c r="T7" s="9">
        <v>0</v>
      </c>
      <c r="U7" s="9">
        <v>0</v>
      </c>
      <c r="V7" s="9">
        <v>0</v>
      </c>
      <c r="W7" s="9">
        <v>0</v>
      </c>
      <c r="X7" s="9">
        <v>0</v>
      </c>
      <c r="Y7" s="9">
        <v>0</v>
      </c>
      <c r="Z7" s="9">
        <v>0</v>
      </c>
      <c r="AA7" s="9">
        <v>0</v>
      </c>
      <c r="AB7" s="9">
        <v>0</v>
      </c>
      <c r="AC7" s="8">
        <v>0</v>
      </c>
      <c r="AD7" s="13"/>
      <c r="AE7" s="9">
        <v>0</v>
      </c>
      <c r="AF7" s="9">
        <v>0</v>
      </c>
      <c r="AG7" s="9">
        <v>0</v>
      </c>
      <c r="AH7" s="9">
        <v>0</v>
      </c>
      <c r="AI7" s="9">
        <v>3932</v>
      </c>
      <c r="AJ7" s="9">
        <v>0</v>
      </c>
      <c r="AK7" s="15">
        <v>1</v>
      </c>
      <c r="AL7" s="9">
        <v>2371</v>
      </c>
      <c r="AM7" s="13">
        <v>2.5</v>
      </c>
      <c r="AN7" s="9">
        <v>42278</v>
      </c>
      <c r="AO7" s="9">
        <v>44255</v>
      </c>
      <c r="AP7" s="9">
        <v>47860</v>
      </c>
      <c r="AQ7" s="9">
        <v>10850</v>
      </c>
      <c r="AR7" s="9">
        <v>11440</v>
      </c>
      <c r="AS7" s="9">
        <v>13455</v>
      </c>
      <c r="AT7" s="9">
        <v>8863</v>
      </c>
      <c r="AU7" s="9">
        <v>9315</v>
      </c>
      <c r="AV7" s="9">
        <v>11418</v>
      </c>
      <c r="AW7" s="14">
        <v>0.33339999999999997</v>
      </c>
      <c r="AX7" s="14">
        <v>0.34239999999999998</v>
      </c>
      <c r="AY7" s="14">
        <v>0.35</v>
      </c>
      <c r="AZ7" s="9">
        <v>5862</v>
      </c>
      <c r="BA7" s="9">
        <v>5986</v>
      </c>
      <c r="BB7" s="9">
        <v>6943</v>
      </c>
      <c r="BC7" s="9">
        <v>65</v>
      </c>
      <c r="BD7" s="9">
        <v>56</v>
      </c>
      <c r="BE7" s="9">
        <v>50</v>
      </c>
      <c r="BF7" s="16">
        <v>0</v>
      </c>
      <c r="BG7" s="16">
        <v>0</v>
      </c>
      <c r="BH7" s="16">
        <v>0</v>
      </c>
      <c r="BI7" s="16">
        <v>0</v>
      </c>
      <c r="BJ7" s="16">
        <v>0</v>
      </c>
      <c r="BK7" s="16">
        <v>0</v>
      </c>
      <c r="BL7" s="16">
        <v>0</v>
      </c>
      <c r="BM7" s="16">
        <v>0</v>
      </c>
      <c r="BN7" s="16">
        <v>0</v>
      </c>
      <c r="BO7" s="16">
        <v>0</v>
      </c>
      <c r="BP7" s="16">
        <v>0</v>
      </c>
      <c r="BQ7" s="27">
        <f>SUM(IF(T7&gt;0,1,0),IF(U7&gt;0,1,0),IF(V7&gt;0,1,0),IF(W7&gt;0,1,0),IF(X7&gt;0,1,0))</f>
        <v>0</v>
      </c>
      <c r="BR7" s="27">
        <f>IF(BQ7=0,0,IF(AVERAGE(T7,U7,V7,W7,X7)=0,0,ROUND(Y7/AVERAGE(T7,U7,V7,W7,X7),0)))</f>
        <v>0</v>
      </c>
      <c r="BS7" s="17">
        <f>IF(BQ7=0,0,SUM(T7/(1+R7)^1,U7/(1+R7)^2,V7/(1+R7)^3,W7/(1+R7)^4,X7/(1+R7)^5,IF(BR7&gt;0,(IF(Y7&gt;0,IF(BR7&gt;1,Y7/BR7,Y7),0)*(1-(1+R7)^(-BR7))/R7)/(1+R7)^5,IF(Y7&gt;0,IF(BR7&gt;1,Y7/BR7,Y7),0)/(1+R7)^6)))</f>
        <v>0</v>
      </c>
      <c r="BT7" s="17">
        <f>AT7+BS7*R7</f>
        <v>8863</v>
      </c>
      <c r="BU7" s="17">
        <f>O7+BS7</f>
        <v>15003</v>
      </c>
      <c r="BV7" s="17">
        <f>AT7</f>
        <v>8863</v>
      </c>
      <c r="BW7" s="17">
        <f>S7</f>
        <v>0</v>
      </c>
      <c r="BX7" s="17">
        <f>IF(BS7=0,0,BS7/(5+BR7))</f>
        <v>0</v>
      </c>
      <c r="BY7" s="17">
        <f>BV7+BW7-BX7</f>
        <v>8863</v>
      </c>
      <c r="BZ7" s="25">
        <f>SUM(IF(BG7&gt;0,1,0),IF(BH7&gt;0,1,0),IF(BI7&gt;0,1,0),IF(BJ7&gt;0,1,0),IF(BK7&gt;0,1,0),IF(BL7&gt;0,1,0),IF(BM7&gt;0,1,0),IF(BN7&gt;0,1,0),IF(BO7&gt;0,1,0),IF(BP7&gt;0,1,0))</f>
        <v>0</v>
      </c>
      <c r="CA7" s="17">
        <f>IF(BZ7=0,0,SUM(BF7*1,BG7*(BZ7-1)/BZ7,BH7*(BZ7-2)/BZ7,BI7*(BZ7-3)/BZ7,BJ7*(BZ7-4)/BZ7,BK7*(BZ7-5)/BZ7,BL7*(BZ7-6)/BZ7,BM7*(BZ7-7)/BZ7,BN7*(BZ7-8)/BZ7,BO7*(BZ7-9)/BZ7,BP7*(BZ7-10)/BZ7))</f>
        <v>0</v>
      </c>
      <c r="CB7" s="17">
        <f>IF(BZ7=0,0,SUM(BG7,BH7,BI7,BJ7,BK7,BL7,BM7,BN7,BO7,BP7)/BZ7)</f>
        <v>0</v>
      </c>
      <c r="CC7" s="17">
        <f>BF7-CB7</f>
        <v>0</v>
      </c>
      <c r="CD7" s="17">
        <f>AQ7+S7+BF7</f>
        <v>10850</v>
      </c>
      <c r="CE7" s="17">
        <f>AR7+S7+BF7</f>
        <v>11440</v>
      </c>
      <c r="CF7" s="17">
        <f>AS7+S7+BF7</f>
        <v>13455</v>
      </c>
      <c r="CG7" s="17">
        <f>AT7+S7-BX7+BF7-CB7</f>
        <v>8863</v>
      </c>
      <c r="CH7" s="17">
        <f>AU7+S7-BX7+BF7-CB7</f>
        <v>9315</v>
      </c>
      <c r="CI7" s="17">
        <f>AV7+S7-BX7+BF7-CB7</f>
        <v>11418</v>
      </c>
      <c r="CJ7" s="17">
        <f>AT7*(1-AW7)+S7-BX7+BF7-CB7</f>
        <v>5908.0758000000005</v>
      </c>
      <c r="CK7" s="17">
        <f>AU7*(1-AX7)+S7-BX7+BF7-CB7</f>
        <v>6125.5439999999999</v>
      </c>
      <c r="CL7" s="17">
        <f>AV7*(1-AY7)+S7-BX7+BF7-CB7</f>
        <v>7421.7</v>
      </c>
      <c r="CM7" s="17">
        <f>AZ7+BF7-CB7</f>
        <v>5862</v>
      </c>
      <c r="CN7" s="17">
        <f>BA7+BF7-CB7</f>
        <v>5986</v>
      </c>
      <c r="CO7" s="17">
        <f>BB7+BF7-CB7</f>
        <v>6943</v>
      </c>
      <c r="CP7" s="17">
        <f>AZ7-BC7*(1-AW7)+BF7-CB7</f>
        <v>5818.6710000000003</v>
      </c>
      <c r="CQ7" s="17">
        <f>BA7-BD7*(1-AX7)+BF7-CB7</f>
        <v>5949.1743999999999</v>
      </c>
      <c r="CR7" s="17">
        <f>BB7-BE7*(1-AY7)+BF7-CB7</f>
        <v>6910.5</v>
      </c>
      <c r="CS7" s="17">
        <f>D7*E7</f>
        <v>123550.19039999999</v>
      </c>
      <c r="CT7" s="17">
        <f>IF(G7="",(E7*D7+IF($CW$1="",CU7,$CW$1)*H7)/(D7+H7),0)</f>
        <v>0</v>
      </c>
      <c r="CU7" s="17">
        <f>IF(G7="",((EXP((0-L7)*J7))*CT7*(CND_FUNC(((LN(CT7/I7)+((C7-L7)+((K7^2)/2))*J7)/((((K7^2))^(0.5))*(J7^0.5)))))-I7*(EXP((0-C7)*J7))*(CND_FUNC((((LN(CT7/I7)+((C7-L7)+((K7^2)/2))*J7)/((((K7^2))^(0.5))*(J7^0.5)))-(((K7^2)^0.5)*(J7^(0.5))))))),G7)</f>
        <v>0.2</v>
      </c>
      <c r="CV7" s="20">
        <f>CU7*H7</f>
        <v>10.8</v>
      </c>
      <c r="CW7" s="17">
        <f>IF(AB7="",(AC7/2)*AA7*(1-(1+R7/2)^(-AD7*2))/(R7/2)+AA7/(1+R7)^AD7,AB7)</f>
        <v>0</v>
      </c>
      <c r="CX7" s="17">
        <f>Z7-CW7</f>
        <v>0</v>
      </c>
      <c r="CY7" s="17">
        <f>IF(M7&gt;0,IF(AG7=0,0,(M7*AF7)/AG7),0)</f>
        <v>0</v>
      </c>
      <c r="CZ7" s="17">
        <f>AH7-CY7</f>
        <v>0</v>
      </c>
      <c r="DA7" s="17">
        <f>CX7+CZ7</f>
        <v>0</v>
      </c>
      <c r="DB7" s="17">
        <f>SUM(CS7,CV7,DA7)</f>
        <v>123560.9904</v>
      </c>
      <c r="DC7" s="17">
        <f>Q7*(1-(1+R7)^(-P7))/R7+O7/(1+R7)^P7</f>
        <v>13979.678940008973</v>
      </c>
      <c r="DD7" s="17">
        <f>BS7</f>
        <v>0</v>
      </c>
      <c r="DE7" s="17">
        <f>DC7+DD7</f>
        <v>13979.678940008973</v>
      </c>
      <c r="DF7" s="18">
        <f>N7+CY7</f>
        <v>0</v>
      </c>
      <c r="DG7" s="17">
        <f>CA7+F7</f>
        <v>45907</v>
      </c>
      <c r="DH7" s="17">
        <f>BS7+O7+AA7</f>
        <v>15003</v>
      </c>
      <c r="DI7" s="17">
        <f>M7+AE7</f>
        <v>0</v>
      </c>
      <c r="DJ7" s="17">
        <f>AI7</f>
        <v>3932</v>
      </c>
      <c r="DK7" s="17">
        <f>DG7+DH7+DI7-DJ7</f>
        <v>56978</v>
      </c>
      <c r="DL7" s="17">
        <f>DB7</f>
        <v>123560.9904</v>
      </c>
      <c r="DM7" s="17">
        <f t="shared" si="5"/>
        <v>13979.678940008973</v>
      </c>
      <c r="DN7" s="17">
        <f t="shared" si="5"/>
        <v>0</v>
      </c>
      <c r="DO7" s="17">
        <f>AI7</f>
        <v>3932</v>
      </c>
      <c r="DP7" s="17">
        <f>AJ7*AK7</f>
        <v>0</v>
      </c>
      <c r="DQ7" s="17">
        <f>AL7*AM7</f>
        <v>5927.5</v>
      </c>
      <c r="DR7" s="17">
        <f>DL7+DM7+DN7-DO7-DP7+DQ7</f>
        <v>139536.16934000896</v>
      </c>
      <c r="DS7" s="17">
        <f>DL7+DM7+DN7+DQ7</f>
        <v>143468.16934000896</v>
      </c>
      <c r="DT7" s="19">
        <f>DR7/AN7</f>
        <v>3.3004439505182117</v>
      </c>
      <c r="DU7" s="19">
        <f>DR7/AO7</f>
        <v>3.1530034875157376</v>
      </c>
      <c r="DV7" s="19">
        <f>DR7/AP7</f>
        <v>2.9155070902634552</v>
      </c>
      <c r="DW7" s="19">
        <f>DR7/CD7</f>
        <v>12.860476436867184</v>
      </c>
      <c r="DX7" s="19">
        <f>DR7/CE7</f>
        <v>12.197217599651133</v>
      </c>
      <c r="DY7" s="19">
        <f>DR7/CF7</f>
        <v>10.370581147529466</v>
      </c>
      <c r="DZ7" s="19">
        <f>DR7/CG7</f>
        <v>15.743672496898224</v>
      </c>
      <c r="EA7" s="19">
        <f>DR7/CH7</f>
        <v>14.979728324209228</v>
      </c>
      <c r="EB7" s="19">
        <f>DR7/CI7</f>
        <v>12.220718982309419</v>
      </c>
      <c r="EC7" s="19">
        <f>DR7/CJ7</f>
        <v>23.617870532400573</v>
      </c>
      <c r="ED7" s="19">
        <f>DR7/CK7</f>
        <v>22.779392220512815</v>
      </c>
      <c r="EE7" s="19">
        <f>DR7/CL7</f>
        <v>18.801106126629879</v>
      </c>
      <c r="EF7" s="19">
        <f>DB7/CM7</f>
        <v>21.07829928352098</v>
      </c>
      <c r="EG7" s="19">
        <f>DB7/CN7</f>
        <v>20.641662278650184</v>
      </c>
      <c r="EH7" s="19">
        <f>DB7/CO7</f>
        <v>17.796484286331555</v>
      </c>
      <c r="EI7" s="19">
        <f>(CS7-DO7)/CP7</f>
        <v>20.557648026499521</v>
      </c>
      <c r="EJ7" s="19">
        <f>(CS7-DO7)/CQ7</f>
        <v>20.106687475828579</v>
      </c>
      <c r="EK7" s="19">
        <f>(CS7-DO7)/CR7</f>
        <v>17.309628883582953</v>
      </c>
      <c r="EL7" s="19">
        <f>DR7/DK7</f>
        <v>2.4489481789464174</v>
      </c>
      <c r="EM7" s="19">
        <f>CS7/DG7</f>
        <v>2.6913148408739405</v>
      </c>
      <c r="EN7" s="19">
        <f>(CS7-DO7)/(DG7-DJ7)</f>
        <v>2.8497484312090529</v>
      </c>
    </row>
    <row r="8" spans="1:144" ht="15" customHeight="1">
      <c r="BS8" s="46"/>
      <c r="CV8" s="47"/>
      <c r="CW8" s="47"/>
    </row>
    <row r="9" spans="1:144" ht="15" customHeight="1">
      <c r="A9" s="51" t="s">
        <v>137</v>
      </c>
      <c r="CU9" s="49"/>
    </row>
    <row r="10" spans="1:144" ht="15" customHeight="1">
      <c r="A10" s="51" t="s">
        <v>138</v>
      </c>
    </row>
    <row r="11" spans="1:144" ht="15" customHeight="1">
      <c r="A11" s="51" t="s">
        <v>139</v>
      </c>
    </row>
    <row r="12" spans="1:144" ht="15" customHeight="1">
      <c r="A12" s="51" t="s">
        <v>140</v>
      </c>
    </row>
    <row r="13" spans="1:144" ht="15" customHeight="1">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row>
    <row r="14" spans="1:144" ht="15" customHeight="1">
      <c r="CD14" s="24"/>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row>
    <row r="15" spans="1:144" ht="15" customHeight="1">
      <c r="CD15" s="24"/>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row>
  </sheetData>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EO15"/>
  <sheetViews>
    <sheetView showGridLines="0" topLeftCell="BQ1" workbookViewId="0">
      <selection activeCell="BR4" sqref="BR4"/>
    </sheetView>
  </sheetViews>
  <sheetFormatPr defaultColWidth="15.69140625" defaultRowHeight="15" customHeight="1"/>
  <cols>
    <col min="1" max="1" width="3.69140625" style="1" customWidth="1"/>
    <col min="2" max="2" width="18.69140625" style="1" bestFit="1" customWidth="1"/>
    <col min="3" max="71" width="15.69140625" style="1" customWidth="1"/>
    <col min="72" max="72" width="17.69140625" style="1" bestFit="1" customWidth="1"/>
    <col min="73" max="82" width="15.69140625" style="1" customWidth="1"/>
    <col min="83" max="16384" width="15.69140625" style="1"/>
  </cols>
  <sheetData>
    <row r="1" spans="2:145" ht="15" customHeight="1">
      <c r="H1" s="22" t="s">
        <v>115</v>
      </c>
      <c r="BR1" s="2">
        <v>1</v>
      </c>
      <c r="BS1" s="2">
        <f>BR1+1</f>
        <v>2</v>
      </c>
      <c r="BT1" s="2">
        <f t="shared" ref="BT1:CX1" si="0">BS1+1</f>
        <v>3</v>
      </c>
      <c r="BU1" s="2">
        <f t="shared" si="0"/>
        <v>4</v>
      </c>
      <c r="BV1" s="2">
        <f t="shared" si="0"/>
        <v>5</v>
      </c>
      <c r="BW1" s="2">
        <f t="shared" si="0"/>
        <v>6</v>
      </c>
      <c r="BX1" s="2">
        <f t="shared" si="0"/>
        <v>7</v>
      </c>
      <c r="BY1" s="2">
        <f t="shared" si="0"/>
        <v>8</v>
      </c>
      <c r="BZ1" s="2">
        <f t="shared" si="0"/>
        <v>9</v>
      </c>
      <c r="CA1" s="2">
        <f t="shared" si="0"/>
        <v>10</v>
      </c>
      <c r="CB1" s="2">
        <f t="shared" si="0"/>
        <v>11</v>
      </c>
      <c r="CC1" s="2">
        <f t="shared" si="0"/>
        <v>12</v>
      </c>
      <c r="CD1" s="2">
        <f t="shared" si="0"/>
        <v>13</v>
      </c>
      <c r="CE1" s="2">
        <f t="shared" si="0"/>
        <v>14</v>
      </c>
      <c r="CF1" s="2">
        <f t="shared" si="0"/>
        <v>15</v>
      </c>
      <c r="CG1" s="2">
        <f t="shared" si="0"/>
        <v>16</v>
      </c>
      <c r="CH1" s="2">
        <f t="shared" si="0"/>
        <v>17</v>
      </c>
      <c r="CI1" s="2">
        <f t="shared" si="0"/>
        <v>18</v>
      </c>
      <c r="CJ1" s="2">
        <f t="shared" si="0"/>
        <v>19</v>
      </c>
      <c r="CK1" s="2">
        <f t="shared" si="0"/>
        <v>20</v>
      </c>
      <c r="CL1" s="2">
        <f t="shared" si="0"/>
        <v>21</v>
      </c>
      <c r="CM1" s="2">
        <f t="shared" si="0"/>
        <v>22</v>
      </c>
      <c r="CN1" s="2">
        <f t="shared" si="0"/>
        <v>23</v>
      </c>
      <c r="CO1" s="2">
        <f t="shared" si="0"/>
        <v>24</v>
      </c>
      <c r="CP1" s="2">
        <f t="shared" si="0"/>
        <v>25</v>
      </c>
      <c r="CQ1" s="2">
        <f t="shared" si="0"/>
        <v>26</v>
      </c>
      <c r="CR1" s="2">
        <f t="shared" si="0"/>
        <v>27</v>
      </c>
      <c r="CS1" s="2">
        <f t="shared" si="0"/>
        <v>28</v>
      </c>
      <c r="CT1" s="2">
        <f t="shared" si="0"/>
        <v>29</v>
      </c>
      <c r="CU1" s="2">
        <f t="shared" si="0"/>
        <v>30</v>
      </c>
      <c r="CV1" s="2">
        <f t="shared" si="0"/>
        <v>31</v>
      </c>
      <c r="CW1" s="2">
        <f t="shared" si="0"/>
        <v>32</v>
      </c>
      <c r="CX1" s="2">
        <f t="shared" si="0"/>
        <v>33</v>
      </c>
      <c r="CY1" s="2">
        <f>CV1+3</f>
        <v>34</v>
      </c>
      <c r="CZ1" s="2">
        <f>CY1+1</f>
        <v>35</v>
      </c>
      <c r="DA1" s="2">
        <f t="shared" ref="DA1:EO1" si="1">CZ1+1</f>
        <v>36</v>
      </c>
      <c r="DB1" s="2">
        <f t="shared" si="1"/>
        <v>37</v>
      </c>
      <c r="DC1" s="2">
        <f t="shared" si="1"/>
        <v>38</v>
      </c>
      <c r="DD1" s="2">
        <f t="shared" si="1"/>
        <v>39</v>
      </c>
      <c r="DE1" s="2">
        <f t="shared" si="1"/>
        <v>40</v>
      </c>
      <c r="DF1" s="2">
        <f t="shared" si="1"/>
        <v>41</v>
      </c>
      <c r="DG1" s="2">
        <f t="shared" si="1"/>
        <v>42</v>
      </c>
      <c r="DH1" s="2">
        <f t="shared" si="1"/>
        <v>43</v>
      </c>
      <c r="DI1" s="2">
        <f t="shared" si="1"/>
        <v>44</v>
      </c>
      <c r="DJ1" s="2">
        <f t="shared" si="1"/>
        <v>45</v>
      </c>
      <c r="DK1" s="2">
        <f t="shared" si="1"/>
        <v>46</v>
      </c>
      <c r="DL1" s="2">
        <f t="shared" si="1"/>
        <v>47</v>
      </c>
      <c r="DM1" s="2">
        <f t="shared" si="1"/>
        <v>48</v>
      </c>
      <c r="DN1" s="2">
        <f t="shared" si="1"/>
        <v>49</v>
      </c>
      <c r="DO1" s="2">
        <f t="shared" si="1"/>
        <v>50</v>
      </c>
      <c r="DP1" s="2">
        <f t="shared" si="1"/>
        <v>51</v>
      </c>
      <c r="DQ1" s="2">
        <f t="shared" si="1"/>
        <v>52</v>
      </c>
      <c r="DR1" s="2">
        <f t="shared" si="1"/>
        <v>53</v>
      </c>
      <c r="DS1" s="2">
        <f t="shared" si="1"/>
        <v>54</v>
      </c>
      <c r="DT1" s="2">
        <f t="shared" si="1"/>
        <v>55</v>
      </c>
      <c r="DU1" s="2">
        <f t="shared" si="1"/>
        <v>56</v>
      </c>
      <c r="DV1" s="2">
        <f t="shared" si="1"/>
        <v>57</v>
      </c>
      <c r="DW1" s="2">
        <f t="shared" si="1"/>
        <v>58</v>
      </c>
      <c r="DX1" s="2">
        <f t="shared" si="1"/>
        <v>59</v>
      </c>
      <c r="DY1" s="2">
        <f t="shared" si="1"/>
        <v>60</v>
      </c>
      <c r="DZ1" s="2">
        <f t="shared" si="1"/>
        <v>61</v>
      </c>
      <c r="EA1" s="2">
        <f t="shared" si="1"/>
        <v>62</v>
      </c>
      <c r="EB1" s="2">
        <f t="shared" si="1"/>
        <v>63</v>
      </c>
      <c r="EC1" s="2">
        <f t="shared" si="1"/>
        <v>64</v>
      </c>
      <c r="ED1" s="2">
        <f t="shared" si="1"/>
        <v>65</v>
      </c>
      <c r="EE1" s="2">
        <f t="shared" si="1"/>
        <v>66</v>
      </c>
      <c r="EF1" s="2">
        <f t="shared" si="1"/>
        <v>67</v>
      </c>
      <c r="EG1" s="2">
        <f t="shared" si="1"/>
        <v>68</v>
      </c>
      <c r="EH1" s="2">
        <f t="shared" si="1"/>
        <v>69</v>
      </c>
      <c r="EI1" s="2">
        <f t="shared" si="1"/>
        <v>70</v>
      </c>
      <c r="EJ1" s="2">
        <f t="shared" si="1"/>
        <v>71</v>
      </c>
      <c r="EK1" s="2">
        <f t="shared" si="1"/>
        <v>72</v>
      </c>
      <c r="EL1" s="2">
        <f t="shared" si="1"/>
        <v>73</v>
      </c>
      <c r="EM1" s="2">
        <f t="shared" si="1"/>
        <v>74</v>
      </c>
      <c r="EN1" s="2">
        <f t="shared" si="1"/>
        <v>75</v>
      </c>
      <c r="EO1" s="2">
        <f t="shared" si="1"/>
        <v>76</v>
      </c>
    </row>
    <row r="2" spans="2:145" ht="15" customHeight="1">
      <c r="B2" s="2" t="s">
        <v>59</v>
      </c>
      <c r="C2" s="2" t="s">
        <v>59</v>
      </c>
      <c r="D2" s="2" t="s">
        <v>59</v>
      </c>
      <c r="E2" s="2" t="s">
        <v>59</v>
      </c>
      <c r="F2" s="2" t="s">
        <v>59</v>
      </c>
      <c r="G2" s="2" t="s">
        <v>59</v>
      </c>
      <c r="H2" s="2" t="s">
        <v>59</v>
      </c>
      <c r="I2" s="2" t="s">
        <v>59</v>
      </c>
      <c r="J2" s="2" t="s">
        <v>59</v>
      </c>
      <c r="K2" s="2" t="s">
        <v>59</v>
      </c>
      <c r="L2" s="2" t="s">
        <v>59</v>
      </c>
      <c r="M2" s="2" t="s">
        <v>59</v>
      </c>
      <c r="N2" s="2" t="s">
        <v>59</v>
      </c>
      <c r="O2" s="2" t="s">
        <v>59</v>
      </c>
      <c r="P2" s="2" t="s">
        <v>59</v>
      </c>
      <c r="Q2" s="2" t="s">
        <v>59</v>
      </c>
      <c r="R2" s="2" t="s">
        <v>59</v>
      </c>
      <c r="S2" s="2" t="s">
        <v>59</v>
      </c>
      <c r="T2" s="2" t="s">
        <v>59</v>
      </c>
      <c r="U2" s="2" t="s">
        <v>59</v>
      </c>
      <c r="V2" s="2" t="s">
        <v>59</v>
      </c>
      <c r="W2" s="2" t="s">
        <v>59</v>
      </c>
      <c r="X2" s="2" t="s">
        <v>59</v>
      </c>
      <c r="Y2" s="2" t="s">
        <v>59</v>
      </c>
      <c r="Z2" s="2" t="s">
        <v>59</v>
      </c>
      <c r="AA2" s="2" t="s">
        <v>59</v>
      </c>
      <c r="AB2" s="2" t="s">
        <v>59</v>
      </c>
      <c r="AC2" s="2" t="s">
        <v>59</v>
      </c>
      <c r="AD2" s="2" t="s">
        <v>59</v>
      </c>
      <c r="AE2" s="2" t="s">
        <v>59</v>
      </c>
      <c r="AF2" s="2" t="s">
        <v>59</v>
      </c>
      <c r="AG2" s="2" t="s">
        <v>59</v>
      </c>
      <c r="AH2" s="2" t="s">
        <v>59</v>
      </c>
      <c r="AI2" s="2" t="s">
        <v>59</v>
      </c>
      <c r="AJ2" s="2" t="s">
        <v>59</v>
      </c>
      <c r="AK2" s="2" t="s">
        <v>59</v>
      </c>
      <c r="AL2" s="2" t="s">
        <v>59</v>
      </c>
      <c r="AM2" s="2" t="s">
        <v>59</v>
      </c>
      <c r="AN2" s="2" t="s">
        <v>59</v>
      </c>
      <c r="AO2" s="2" t="s">
        <v>59</v>
      </c>
      <c r="AP2" s="2" t="s">
        <v>59</v>
      </c>
      <c r="AQ2" s="2" t="s">
        <v>59</v>
      </c>
      <c r="AR2" s="2" t="s">
        <v>59</v>
      </c>
      <c r="AS2" s="2" t="s">
        <v>59</v>
      </c>
      <c r="AT2" s="2" t="s">
        <v>59</v>
      </c>
      <c r="AU2" s="2" t="s">
        <v>59</v>
      </c>
      <c r="AV2" s="2" t="s">
        <v>59</v>
      </c>
      <c r="AW2" s="2" t="s">
        <v>59</v>
      </c>
      <c r="AX2" s="2" t="s">
        <v>59</v>
      </c>
      <c r="AY2" s="2" t="s">
        <v>59</v>
      </c>
      <c r="AZ2" s="2" t="s">
        <v>59</v>
      </c>
      <c r="BA2" s="2" t="s">
        <v>59</v>
      </c>
      <c r="BB2" s="2" t="s">
        <v>59</v>
      </c>
      <c r="BC2" s="2" t="s">
        <v>59</v>
      </c>
      <c r="BD2" s="2" t="s">
        <v>59</v>
      </c>
      <c r="BE2" s="2" t="s">
        <v>59</v>
      </c>
      <c r="BF2" s="2" t="s">
        <v>59</v>
      </c>
      <c r="BG2" s="2" t="s">
        <v>59</v>
      </c>
      <c r="BH2" s="2" t="s">
        <v>59</v>
      </c>
      <c r="BI2" s="2" t="s">
        <v>59</v>
      </c>
      <c r="BJ2" s="2" t="s">
        <v>59</v>
      </c>
      <c r="BK2" s="2" t="s">
        <v>59</v>
      </c>
      <c r="BL2" s="2" t="s">
        <v>59</v>
      </c>
      <c r="BM2" s="2" t="s">
        <v>59</v>
      </c>
      <c r="BN2" s="2" t="s">
        <v>59</v>
      </c>
      <c r="BO2" s="2" t="s">
        <v>59</v>
      </c>
      <c r="BP2" s="2" t="s">
        <v>59</v>
      </c>
      <c r="BQ2" s="2" t="s">
        <v>59</v>
      </c>
      <c r="BR2" s="2" t="s">
        <v>66</v>
      </c>
      <c r="BS2" s="2" t="s">
        <v>66</v>
      </c>
      <c r="BT2" s="2" t="s">
        <v>66</v>
      </c>
      <c r="BU2" s="2" t="s">
        <v>66</v>
      </c>
      <c r="BV2" s="2" t="s">
        <v>66</v>
      </c>
      <c r="BW2" s="2" t="s">
        <v>66</v>
      </c>
      <c r="BX2" s="2" t="s">
        <v>66</v>
      </c>
      <c r="BY2" s="2" t="s">
        <v>66</v>
      </c>
      <c r="BZ2" s="2" t="s">
        <v>66</v>
      </c>
      <c r="CA2" s="2" t="s">
        <v>66</v>
      </c>
      <c r="CB2" s="2" t="s">
        <v>66</v>
      </c>
      <c r="CC2" s="2" t="s">
        <v>66</v>
      </c>
      <c r="CD2" s="2" t="s">
        <v>66</v>
      </c>
      <c r="CE2" s="2" t="s">
        <v>66</v>
      </c>
      <c r="CF2" s="2" t="s">
        <v>66</v>
      </c>
      <c r="CG2" s="2" t="s">
        <v>66</v>
      </c>
      <c r="CH2" s="2" t="s">
        <v>66</v>
      </c>
      <c r="CI2" s="2" t="s">
        <v>66</v>
      </c>
      <c r="CJ2" s="2" t="s">
        <v>66</v>
      </c>
      <c r="CK2" s="2" t="s">
        <v>66</v>
      </c>
      <c r="CL2" s="2" t="s">
        <v>66</v>
      </c>
      <c r="CM2" s="2" t="s">
        <v>66</v>
      </c>
      <c r="CN2" s="2" t="s">
        <v>66</v>
      </c>
      <c r="CO2" s="2" t="s">
        <v>66</v>
      </c>
      <c r="CP2" s="2" t="s">
        <v>66</v>
      </c>
      <c r="CQ2" s="2" t="s">
        <v>66</v>
      </c>
      <c r="CR2" s="2" t="s">
        <v>66</v>
      </c>
      <c r="CS2" s="2" t="s">
        <v>66</v>
      </c>
      <c r="CT2" s="2" t="s">
        <v>66</v>
      </c>
      <c r="CU2" s="2" t="s">
        <v>66</v>
      </c>
      <c r="CV2" s="2" t="s">
        <v>66</v>
      </c>
      <c r="CW2" s="2" t="s">
        <v>66</v>
      </c>
      <c r="CX2" s="2" t="s">
        <v>66</v>
      </c>
      <c r="CY2" s="2" t="s">
        <v>66</v>
      </c>
      <c r="CZ2" s="2" t="s">
        <v>66</v>
      </c>
      <c r="DA2" s="2" t="s">
        <v>66</v>
      </c>
      <c r="DB2" s="2" t="s">
        <v>66</v>
      </c>
      <c r="DC2" s="2" t="s">
        <v>66</v>
      </c>
      <c r="DD2" s="2" t="s">
        <v>66</v>
      </c>
      <c r="DE2" s="2" t="s">
        <v>66</v>
      </c>
      <c r="DF2" s="2" t="s">
        <v>66</v>
      </c>
      <c r="DG2" s="2" t="s">
        <v>66</v>
      </c>
      <c r="DH2" s="2" t="s">
        <v>66</v>
      </c>
      <c r="DI2" s="2" t="s">
        <v>66</v>
      </c>
      <c r="DJ2" s="2" t="s">
        <v>66</v>
      </c>
      <c r="DK2" s="2" t="s">
        <v>66</v>
      </c>
      <c r="DL2" s="2" t="s">
        <v>66</v>
      </c>
      <c r="DM2" s="2" t="s">
        <v>66</v>
      </c>
      <c r="DN2" s="2" t="s">
        <v>66</v>
      </c>
      <c r="DO2" s="2" t="s">
        <v>66</v>
      </c>
      <c r="DP2" s="2" t="s">
        <v>66</v>
      </c>
      <c r="DQ2" s="2" t="s">
        <v>66</v>
      </c>
      <c r="DR2" s="2" t="s">
        <v>66</v>
      </c>
      <c r="DS2" s="2" t="s">
        <v>66</v>
      </c>
      <c r="DT2" s="2" t="s">
        <v>66</v>
      </c>
      <c r="DU2" s="2" t="s">
        <v>66</v>
      </c>
      <c r="DV2" s="2" t="s">
        <v>66</v>
      </c>
      <c r="DW2" s="2" t="s">
        <v>66</v>
      </c>
      <c r="DX2" s="2" t="s">
        <v>66</v>
      </c>
      <c r="DY2" s="2" t="s">
        <v>66</v>
      </c>
      <c r="DZ2" s="2" t="s">
        <v>66</v>
      </c>
      <c r="EA2" s="2" t="s">
        <v>66</v>
      </c>
      <c r="EB2" s="2" t="s">
        <v>66</v>
      </c>
      <c r="EC2" s="2" t="s">
        <v>66</v>
      </c>
      <c r="ED2" s="2" t="s">
        <v>66</v>
      </c>
      <c r="EE2" s="2" t="s">
        <v>66</v>
      </c>
      <c r="EF2" s="2" t="s">
        <v>66</v>
      </c>
      <c r="EG2" s="2" t="s">
        <v>66</v>
      </c>
      <c r="EH2" s="2" t="s">
        <v>66</v>
      </c>
      <c r="EI2" s="2" t="s">
        <v>66</v>
      </c>
      <c r="EJ2" s="2" t="s">
        <v>66</v>
      </c>
      <c r="EK2" s="2" t="s">
        <v>66</v>
      </c>
      <c r="EL2" s="2" t="s">
        <v>66</v>
      </c>
      <c r="EM2" s="2" t="s">
        <v>66</v>
      </c>
      <c r="EN2" s="2" t="s">
        <v>66</v>
      </c>
      <c r="EO2" s="2" t="s">
        <v>66</v>
      </c>
    </row>
    <row r="3" spans="2:145" ht="15" customHeight="1">
      <c r="B3" s="2">
        <v>1</v>
      </c>
      <c r="C3" s="2">
        <f>B3+1</f>
        <v>2</v>
      </c>
      <c r="D3" s="2">
        <f t="shared" ref="D3:BO3" si="2">C3+1</f>
        <v>3</v>
      </c>
      <c r="E3" s="2">
        <f t="shared" si="2"/>
        <v>4</v>
      </c>
      <c r="F3" s="2">
        <f t="shared" si="2"/>
        <v>5</v>
      </c>
      <c r="G3" s="2">
        <f t="shared" si="2"/>
        <v>6</v>
      </c>
      <c r="H3" s="2">
        <f t="shared" si="2"/>
        <v>7</v>
      </c>
      <c r="I3" s="2">
        <f t="shared" si="2"/>
        <v>8</v>
      </c>
      <c r="J3" s="2">
        <f t="shared" si="2"/>
        <v>9</v>
      </c>
      <c r="K3" s="2">
        <f t="shared" si="2"/>
        <v>10</v>
      </c>
      <c r="L3" s="2">
        <f t="shared" si="2"/>
        <v>11</v>
      </c>
      <c r="M3" s="2">
        <f t="shared" si="2"/>
        <v>12</v>
      </c>
      <c r="N3" s="2">
        <f t="shared" si="2"/>
        <v>13</v>
      </c>
      <c r="O3" s="2">
        <f t="shared" si="2"/>
        <v>14</v>
      </c>
      <c r="P3" s="2">
        <f t="shared" si="2"/>
        <v>15</v>
      </c>
      <c r="Q3" s="2">
        <f t="shared" si="2"/>
        <v>16</v>
      </c>
      <c r="R3" s="2">
        <f t="shared" si="2"/>
        <v>17</v>
      </c>
      <c r="S3" s="2">
        <f t="shared" si="2"/>
        <v>18</v>
      </c>
      <c r="T3" s="2">
        <f t="shared" si="2"/>
        <v>19</v>
      </c>
      <c r="U3" s="2">
        <f t="shared" si="2"/>
        <v>20</v>
      </c>
      <c r="V3" s="2">
        <f t="shared" si="2"/>
        <v>21</v>
      </c>
      <c r="W3" s="2">
        <f t="shared" si="2"/>
        <v>22</v>
      </c>
      <c r="X3" s="2">
        <f t="shared" si="2"/>
        <v>23</v>
      </c>
      <c r="Y3" s="2">
        <f t="shared" si="2"/>
        <v>24</v>
      </c>
      <c r="Z3" s="2">
        <f t="shared" si="2"/>
        <v>25</v>
      </c>
      <c r="AA3" s="2">
        <f t="shared" si="2"/>
        <v>26</v>
      </c>
      <c r="AB3" s="2">
        <f t="shared" si="2"/>
        <v>27</v>
      </c>
      <c r="AC3" s="2">
        <f t="shared" si="2"/>
        <v>28</v>
      </c>
      <c r="AD3" s="2">
        <f t="shared" si="2"/>
        <v>29</v>
      </c>
      <c r="AE3" s="2">
        <f t="shared" si="2"/>
        <v>30</v>
      </c>
      <c r="AF3" s="2">
        <f t="shared" si="2"/>
        <v>31</v>
      </c>
      <c r="AG3" s="2">
        <f t="shared" si="2"/>
        <v>32</v>
      </c>
      <c r="AH3" s="2">
        <f t="shared" si="2"/>
        <v>33</v>
      </c>
      <c r="AI3" s="2">
        <f t="shared" si="2"/>
        <v>34</v>
      </c>
      <c r="AJ3" s="2">
        <f t="shared" si="2"/>
        <v>35</v>
      </c>
      <c r="AK3" s="2">
        <f t="shared" si="2"/>
        <v>36</v>
      </c>
      <c r="AL3" s="2">
        <f t="shared" si="2"/>
        <v>37</v>
      </c>
      <c r="AM3" s="2">
        <f t="shared" si="2"/>
        <v>38</v>
      </c>
      <c r="AN3" s="2">
        <f t="shared" si="2"/>
        <v>39</v>
      </c>
      <c r="AO3" s="2">
        <f t="shared" si="2"/>
        <v>40</v>
      </c>
      <c r="AP3" s="2">
        <f t="shared" si="2"/>
        <v>41</v>
      </c>
      <c r="AQ3" s="2">
        <f t="shared" si="2"/>
        <v>42</v>
      </c>
      <c r="AR3" s="2">
        <f t="shared" si="2"/>
        <v>43</v>
      </c>
      <c r="AS3" s="2">
        <f t="shared" si="2"/>
        <v>44</v>
      </c>
      <c r="AT3" s="2">
        <f t="shared" si="2"/>
        <v>45</v>
      </c>
      <c r="AU3" s="2">
        <f t="shared" si="2"/>
        <v>46</v>
      </c>
      <c r="AV3" s="2">
        <f t="shared" si="2"/>
        <v>47</v>
      </c>
      <c r="AW3" s="2">
        <f t="shared" si="2"/>
        <v>48</v>
      </c>
      <c r="AX3" s="2">
        <f t="shared" si="2"/>
        <v>49</v>
      </c>
      <c r="AY3" s="2">
        <f t="shared" si="2"/>
        <v>50</v>
      </c>
      <c r="AZ3" s="2">
        <f t="shared" si="2"/>
        <v>51</v>
      </c>
      <c r="BA3" s="2">
        <f t="shared" si="2"/>
        <v>52</v>
      </c>
      <c r="BB3" s="2">
        <f t="shared" si="2"/>
        <v>53</v>
      </c>
      <c r="BC3" s="2">
        <f t="shared" si="2"/>
        <v>54</v>
      </c>
      <c r="BD3" s="2">
        <f t="shared" si="2"/>
        <v>55</v>
      </c>
      <c r="BE3" s="2">
        <f t="shared" si="2"/>
        <v>56</v>
      </c>
      <c r="BF3" s="2">
        <f t="shared" si="2"/>
        <v>57</v>
      </c>
      <c r="BG3" s="2">
        <f t="shared" si="2"/>
        <v>58</v>
      </c>
      <c r="BH3" s="2">
        <f t="shared" si="2"/>
        <v>59</v>
      </c>
      <c r="BI3" s="2">
        <f t="shared" si="2"/>
        <v>60</v>
      </c>
      <c r="BJ3" s="2">
        <f t="shared" si="2"/>
        <v>61</v>
      </c>
      <c r="BK3" s="2">
        <f t="shared" si="2"/>
        <v>62</v>
      </c>
      <c r="BL3" s="2">
        <f t="shared" si="2"/>
        <v>63</v>
      </c>
      <c r="BM3" s="2">
        <f t="shared" si="2"/>
        <v>64</v>
      </c>
      <c r="BN3" s="2">
        <f t="shared" si="2"/>
        <v>65</v>
      </c>
      <c r="BO3" s="2">
        <f t="shared" si="2"/>
        <v>66</v>
      </c>
      <c r="BP3" s="2">
        <f t="shared" ref="BP3:EA3" si="3">BO3+1</f>
        <v>67</v>
      </c>
      <c r="BQ3" s="2">
        <f t="shared" si="3"/>
        <v>68</v>
      </c>
      <c r="BR3" s="2">
        <f t="shared" si="3"/>
        <v>69</v>
      </c>
      <c r="BS3" s="2">
        <f t="shared" si="3"/>
        <v>70</v>
      </c>
      <c r="BT3" s="2">
        <f t="shared" si="3"/>
        <v>71</v>
      </c>
      <c r="BU3" s="2">
        <f t="shared" si="3"/>
        <v>72</v>
      </c>
      <c r="BV3" s="2">
        <f t="shared" si="3"/>
        <v>73</v>
      </c>
      <c r="BW3" s="2">
        <f t="shared" si="3"/>
        <v>74</v>
      </c>
      <c r="BX3" s="2">
        <f t="shared" si="3"/>
        <v>75</v>
      </c>
      <c r="BY3" s="2">
        <f t="shared" si="3"/>
        <v>76</v>
      </c>
      <c r="BZ3" s="2">
        <f t="shared" si="3"/>
        <v>77</v>
      </c>
      <c r="CA3" s="2">
        <f t="shared" si="3"/>
        <v>78</v>
      </c>
      <c r="CB3" s="2">
        <f t="shared" si="3"/>
        <v>79</v>
      </c>
      <c r="CC3" s="2">
        <f t="shared" si="3"/>
        <v>80</v>
      </c>
      <c r="CD3" s="2">
        <f t="shared" si="3"/>
        <v>81</v>
      </c>
      <c r="CE3" s="2">
        <f t="shared" si="3"/>
        <v>82</v>
      </c>
      <c r="CF3" s="2">
        <f t="shared" si="3"/>
        <v>83</v>
      </c>
      <c r="CG3" s="2">
        <f t="shared" si="3"/>
        <v>84</v>
      </c>
      <c r="CH3" s="2">
        <f t="shared" si="3"/>
        <v>85</v>
      </c>
      <c r="CI3" s="2">
        <f t="shared" si="3"/>
        <v>86</v>
      </c>
      <c r="CJ3" s="2">
        <f t="shared" si="3"/>
        <v>87</v>
      </c>
      <c r="CK3" s="2">
        <f t="shared" si="3"/>
        <v>88</v>
      </c>
      <c r="CL3" s="2">
        <f t="shared" si="3"/>
        <v>89</v>
      </c>
      <c r="CM3" s="2">
        <f t="shared" si="3"/>
        <v>90</v>
      </c>
      <c r="CN3" s="2">
        <f t="shared" si="3"/>
        <v>91</v>
      </c>
      <c r="CO3" s="2">
        <f t="shared" si="3"/>
        <v>92</v>
      </c>
      <c r="CP3" s="2">
        <f t="shared" si="3"/>
        <v>93</v>
      </c>
      <c r="CQ3" s="2">
        <f t="shared" si="3"/>
        <v>94</v>
      </c>
      <c r="CR3" s="2">
        <f t="shared" si="3"/>
        <v>95</v>
      </c>
      <c r="CS3" s="2">
        <f t="shared" si="3"/>
        <v>96</v>
      </c>
      <c r="CT3" s="2">
        <f t="shared" si="3"/>
        <v>97</v>
      </c>
      <c r="CU3" s="2">
        <f t="shared" si="3"/>
        <v>98</v>
      </c>
      <c r="CV3" s="2">
        <f t="shared" si="3"/>
        <v>99</v>
      </c>
      <c r="CW3" s="2">
        <f t="shared" si="3"/>
        <v>100</v>
      </c>
      <c r="CX3" s="2">
        <f t="shared" si="3"/>
        <v>101</v>
      </c>
      <c r="CY3" s="2">
        <f t="shared" si="3"/>
        <v>102</v>
      </c>
      <c r="CZ3" s="2">
        <f t="shared" si="3"/>
        <v>103</v>
      </c>
      <c r="DA3" s="2">
        <f t="shared" si="3"/>
        <v>104</v>
      </c>
      <c r="DB3" s="2">
        <f t="shared" si="3"/>
        <v>105</v>
      </c>
      <c r="DC3" s="2">
        <f t="shared" si="3"/>
        <v>106</v>
      </c>
      <c r="DD3" s="2">
        <f t="shared" si="3"/>
        <v>107</v>
      </c>
      <c r="DE3" s="2">
        <f t="shared" si="3"/>
        <v>108</v>
      </c>
      <c r="DF3" s="2">
        <f t="shared" si="3"/>
        <v>109</v>
      </c>
      <c r="DG3" s="2">
        <f t="shared" si="3"/>
        <v>110</v>
      </c>
      <c r="DH3" s="2">
        <f t="shared" si="3"/>
        <v>111</v>
      </c>
      <c r="DI3" s="2">
        <f t="shared" si="3"/>
        <v>112</v>
      </c>
      <c r="DJ3" s="2">
        <f t="shared" si="3"/>
        <v>113</v>
      </c>
      <c r="DK3" s="2">
        <f t="shared" si="3"/>
        <v>114</v>
      </c>
      <c r="DL3" s="2">
        <f t="shared" si="3"/>
        <v>115</v>
      </c>
      <c r="DM3" s="2">
        <f t="shared" si="3"/>
        <v>116</v>
      </c>
      <c r="DN3" s="2">
        <f t="shared" si="3"/>
        <v>117</v>
      </c>
      <c r="DO3" s="2">
        <f t="shared" si="3"/>
        <v>118</v>
      </c>
      <c r="DP3" s="2">
        <f t="shared" si="3"/>
        <v>119</v>
      </c>
      <c r="DQ3" s="2">
        <f t="shared" si="3"/>
        <v>120</v>
      </c>
      <c r="DR3" s="2">
        <f t="shared" si="3"/>
        <v>121</v>
      </c>
      <c r="DS3" s="2">
        <f t="shared" si="3"/>
        <v>122</v>
      </c>
      <c r="DT3" s="2">
        <f t="shared" si="3"/>
        <v>123</v>
      </c>
      <c r="DU3" s="2">
        <f t="shared" si="3"/>
        <v>124</v>
      </c>
      <c r="DV3" s="2">
        <f t="shared" si="3"/>
        <v>125</v>
      </c>
      <c r="DW3" s="2">
        <f t="shared" si="3"/>
        <v>126</v>
      </c>
      <c r="DX3" s="2">
        <f t="shared" si="3"/>
        <v>127</v>
      </c>
      <c r="DY3" s="2">
        <f t="shared" si="3"/>
        <v>128</v>
      </c>
      <c r="DZ3" s="2">
        <f t="shared" si="3"/>
        <v>129</v>
      </c>
      <c r="EA3" s="2">
        <f t="shared" si="3"/>
        <v>130</v>
      </c>
      <c r="EB3" s="2">
        <f t="shared" ref="EB3:EO3" si="4">EA3+1</f>
        <v>131</v>
      </c>
      <c r="EC3" s="2">
        <f t="shared" si="4"/>
        <v>132</v>
      </c>
      <c r="ED3" s="2">
        <f t="shared" si="4"/>
        <v>133</v>
      </c>
      <c r="EE3" s="2">
        <f t="shared" si="4"/>
        <v>134</v>
      </c>
      <c r="EF3" s="2">
        <f t="shared" si="4"/>
        <v>135</v>
      </c>
      <c r="EG3" s="2">
        <f t="shared" si="4"/>
        <v>136</v>
      </c>
      <c r="EH3" s="2">
        <f t="shared" si="4"/>
        <v>137</v>
      </c>
      <c r="EI3" s="2">
        <f t="shared" si="4"/>
        <v>138</v>
      </c>
      <c r="EJ3" s="2">
        <f t="shared" si="4"/>
        <v>139</v>
      </c>
      <c r="EK3" s="2">
        <f t="shared" si="4"/>
        <v>140</v>
      </c>
      <c r="EL3" s="2">
        <f t="shared" si="4"/>
        <v>141</v>
      </c>
      <c r="EM3" s="2">
        <f t="shared" si="4"/>
        <v>142</v>
      </c>
      <c r="EN3" s="2">
        <f t="shared" si="4"/>
        <v>143</v>
      </c>
      <c r="EO3" s="2">
        <f t="shared" si="4"/>
        <v>144</v>
      </c>
    </row>
    <row r="4" spans="2:145" s="5" customFormat="1" ht="78.75">
      <c r="B4" s="3" t="str">
        <f t="array" ref="B4:EO7">IF($B$9=FALSE,"--",MASTER_FUNC(Sanitized_Model!A5:BP7))</f>
        <v>Name of company</v>
      </c>
      <c r="C4" s="3" t="str">
        <v>Date of analysis</v>
      </c>
      <c r="D4" s="3" t="str">
        <v>Risk free rate (long term)</v>
      </c>
      <c r="E4" s="3" t="str">
        <v>Number of shares (primary)</v>
      </c>
      <c r="F4" s="3" t="str">
        <v>Market price/share</v>
      </c>
      <c r="G4" s="3" t="str">
        <v>Book value of common equity</v>
      </c>
      <c r="H4" s="3" t="str">
        <v>Option Converter: Value Per Option</v>
      </c>
      <c r="I4" s="3" t="str">
        <v>Option Converter: Number of options outstanding</v>
      </c>
      <c r="J4" s="3" t="str">
        <v>Option Converter: Average strike price</v>
      </c>
      <c r="K4" s="3" t="str">
        <v>Option Converter: Average maturity</v>
      </c>
      <c r="L4" s="3" t="str">
        <v>Option Converter: Standard deviation on stock price</v>
      </c>
      <c r="M4" s="3" t="str">
        <v>Option Converter: Dividend yield on stock (if any)</v>
      </c>
      <c r="N4" s="3" t="str">
        <v>Book value of preferred stock</v>
      </c>
      <c r="O4" s="3" t="str">
        <v>Market value of preferred stock</v>
      </c>
      <c r="P4" s="3" t="str">
        <v>Book value of interest bearing debt</v>
      </c>
      <c r="Q4" s="3" t="str">
        <v>Average maturity of debt</v>
      </c>
      <c r="R4" s="3" t="str">
        <v>Interest expense on debt</v>
      </c>
      <c r="S4" s="3" t="str">
        <v>Pre-tax cost of debt for company</v>
      </c>
      <c r="T4" s="3" t="str">
        <v>Lease expense - Most recent year</v>
      </c>
      <c r="U4" s="3" t="str">
        <v>Lease commitment - year 1</v>
      </c>
      <c r="V4" s="3" t="str">
        <v>Lease commitment - year 2</v>
      </c>
      <c r="W4" s="3" t="str">
        <v>Lease commitment - year 3</v>
      </c>
      <c r="X4" s="3" t="str">
        <v>Lease commitment - year 4</v>
      </c>
      <c r="Y4" s="3" t="str">
        <v>Lease commitment - year 5</v>
      </c>
      <c r="Z4" s="3" t="str">
        <v>Lease commitment - Beyond last year</v>
      </c>
      <c r="AA4" s="3" t="str">
        <v>Market value of convertible debt</v>
      </c>
      <c r="AB4" s="3" t="str">
        <v>Book value of convertible debt</v>
      </c>
      <c r="AC4" s="3" t="str">
        <v>Convertible breakdown: Straight Debt component</v>
      </c>
      <c r="AD4" s="3" t="str">
        <v>Coupon rate on convertible debt</v>
      </c>
      <c r="AE4" s="3" t="str">
        <v>Maturity of convertible debt</v>
      </c>
      <c r="AF4" s="3" t="str">
        <v>Book value of convertible preferred</v>
      </c>
      <c r="AG4" s="3" t="str">
        <v>Preferred dividend yield on convertible</v>
      </c>
      <c r="AH4" s="3" t="str">
        <v>Preferred dividend yield on straight preferred</v>
      </c>
      <c r="AI4" s="3" t="str">
        <v>Decomposition of Preferred Stock</v>
      </c>
      <c r="AJ4" s="3" t="str">
        <v>Cash &amp; Marketable Securities</v>
      </c>
      <c r="AK4" s="3" t="str">
        <v>Value of cross holdings in other companies</v>
      </c>
      <c r="AL4" s="3" t="str">
        <v>Price to book ratio to convert value of cross holdings in other companies to market value</v>
      </c>
      <c r="AM4" s="3" t="str">
        <v>Minority Interest</v>
      </c>
      <c r="AN4" s="3" t="str">
        <v>Price to book ratio to convert value of minority interest to market value</v>
      </c>
      <c r="AO4" s="3" t="str">
        <v>Revenues: Last fiscal year</v>
      </c>
      <c r="AP4" s="3" t="str">
        <v>Revenues: Last 12 months</v>
      </c>
      <c r="AQ4" s="3" t="str">
        <v>Revenues: Forward</v>
      </c>
      <c r="AR4" s="3" t="str">
        <v>EBITDA: Last fiscal year</v>
      </c>
      <c r="AS4" s="3" t="str">
        <v>EBITDA: Last 12 months</v>
      </c>
      <c r="AT4" s="3" t="str">
        <v>EBITDA: Forward</v>
      </c>
      <c r="AU4" s="3" t="str">
        <v>EBIT: Last fiscal year</v>
      </c>
      <c r="AV4" s="3" t="str">
        <v>EBIT: Last 12 months</v>
      </c>
      <c r="AW4" s="3" t="str">
        <v>EBIT: Forward</v>
      </c>
      <c r="AX4" s="3" t="str">
        <v>Effective Tax Rate: Last fiscal year</v>
      </c>
      <c r="AY4" s="3" t="str">
        <v>Effective Tax Rate: Last 12 months</v>
      </c>
      <c r="AZ4" s="3" t="str">
        <v>Effective Tax Rate: Forward</v>
      </c>
      <c r="BA4" s="3" t="str">
        <v>Net Income: Last fiscal year</v>
      </c>
      <c r="BB4" s="3" t="str">
        <v>Net Income: Last 12 months</v>
      </c>
      <c r="BC4" s="3" t="str">
        <v>Net Income: Forward</v>
      </c>
      <c r="BD4" s="3" t="str">
        <v>Interest Income from Cash: Last fiscal year</v>
      </c>
      <c r="BE4" s="3" t="str">
        <v>Interest Income from Cash: Last 12 months</v>
      </c>
      <c r="BF4" s="3" t="str">
        <v>Interest Income from Cash: Forward</v>
      </c>
      <c r="BG4" s="3" t="str">
        <v>R&amp;D expense: year 0</v>
      </c>
      <c r="BH4" s="3" t="str">
        <v>R&amp;D expense: year -1</v>
      </c>
      <c r="BI4" s="3" t="str">
        <v>R&amp;D expense: year -2</v>
      </c>
      <c r="BJ4" s="3" t="str">
        <v>R&amp;D expense: year -3</v>
      </c>
      <c r="BK4" s="3" t="str">
        <v>R&amp;D expense: year -4</v>
      </c>
      <c r="BL4" s="3" t="str">
        <v>R&amp;D expense: year -5</v>
      </c>
      <c r="BM4" s="3" t="str">
        <v>R&amp;D expense: year -6</v>
      </c>
      <c r="BN4" s="3" t="str">
        <v>R&amp;D expense: year -7</v>
      </c>
      <c r="BO4" s="3" t="str">
        <v>R&amp;D expense: year -8</v>
      </c>
      <c r="BP4" s="3" t="str">
        <v>R&amp;D expense: year -9</v>
      </c>
      <c r="BQ4" s="3" t="str">
        <v>R&amp;D expense: year -10</v>
      </c>
      <c r="BR4" s="4" t="str">
        <v>Operating leases number of years</v>
      </c>
      <c r="BS4" s="4" t="str">
        <v>Number of years embedded in leases</v>
      </c>
      <c r="BT4" s="4" t="str">
        <v>Debt Value of leases</v>
      </c>
      <c r="BU4" s="4" t="str">
        <v>Operating Income with Operating leases reclassified as debt</v>
      </c>
      <c r="BV4" s="4" t="str">
        <v>Debt with Operating leases reclassified as debt</v>
      </c>
      <c r="BW4" s="4" t="str">
        <v>Full Operating lease adjustment: Reported Operating income</v>
      </c>
      <c r="BX4" s="4" t="str">
        <v>Full Operating lease adjustment: + Current year's operating lease expense</v>
      </c>
      <c r="BY4" s="4" t="str">
        <v>Full Operating lease adjustment: - Depreciation on leased asset</v>
      </c>
      <c r="BZ4" s="4" t="str">
        <v>Full Operating lease adjustment: Adjusted Operating Income</v>
      </c>
      <c r="CA4" s="4" t="str">
        <v>R&amp; D expenses: Periods to amortize R&amp;D expenses</v>
      </c>
      <c r="CB4" s="4" t="str">
        <v>R&amp; D expenses: Value of Research Asset</v>
      </c>
      <c r="CC4" s="4" t="str">
        <v>R&amp; D expenses: Amortization of asset for current year</v>
      </c>
      <c r="CD4" s="4" t="str">
        <v>R&amp; D expenses: Adjustment to Operating Income</v>
      </c>
      <c r="CE4" s="4" t="str">
        <v>EBITDA: Last fiscal year</v>
      </c>
      <c r="CF4" s="4" t="str">
        <v>EBITDA: Last 12 months</v>
      </c>
      <c r="CG4" s="4" t="str">
        <v>EBITDA: Forward</v>
      </c>
      <c r="CH4" s="4" t="str">
        <v>EBIT: Last fiscal year</v>
      </c>
      <c r="CI4" s="4" t="str">
        <v>EBIT: Last 12 months</v>
      </c>
      <c r="CJ4" s="4" t="str">
        <v>EBIT: Forward</v>
      </c>
      <c r="CK4" s="4" t="str">
        <v>After-tax EBIT: Last fiscal year</v>
      </c>
      <c r="CL4" s="4" t="str">
        <v>After-tax EBIT: Last 12 months</v>
      </c>
      <c r="CM4" s="4" t="str">
        <v>After-tax EBIT: Forward</v>
      </c>
      <c r="CN4" s="4" t="str">
        <v>Net Income: Last fiscal year</v>
      </c>
      <c r="CO4" s="4" t="str">
        <v>Net Income: Last 12 months</v>
      </c>
      <c r="CP4" s="4" t="str">
        <v>Net Income: Forward</v>
      </c>
      <c r="CQ4" s="4" t="str">
        <v>Non-cash Net Income: Last fiscal year</v>
      </c>
      <c r="CR4" s="4" t="str">
        <v>Non-cash Net Income: Last 12 months</v>
      </c>
      <c r="CS4" s="4" t="str">
        <v>Non-cash Net Income: Forward</v>
      </c>
      <c r="CT4" s="4" t="str">
        <v>Market Capitalization</v>
      </c>
      <c r="CU4" s="4" t="str">
        <v>Option Converter: Adjusted Stock Price</v>
      </c>
      <c r="CV4" s="4" t="str">
        <v>Option Converter: Value per option</v>
      </c>
      <c r="CW4" s="4" t="str">
        <v>Option Converter: Value of employee options</v>
      </c>
      <c r="CX4" s="4" t="str">
        <v>Convertible breakdown: Straight Debt component</v>
      </c>
      <c r="CY4" s="4" t="str">
        <v>Convertible breakdown: Equity Component</v>
      </c>
      <c r="CZ4" s="4" t="str">
        <v>Convertible breakdown: Preferred Stock component</v>
      </c>
      <c r="DA4" s="4" t="str">
        <v>Convertible breakdown: Equity Component</v>
      </c>
      <c r="DB4" s="4" t="str">
        <v>Convertible breakdown: Value of Conversion options</v>
      </c>
      <c r="DC4" s="4" t="str">
        <v>Market Value of all equity</v>
      </c>
      <c r="DD4" s="4" t="str">
        <v>Market value of interest bearing debt</v>
      </c>
      <c r="DE4" s="4" t="str">
        <v>Debt value of leases (if any)</v>
      </c>
      <c r="DF4" s="4" t="str">
        <v>Market Value of all debt</v>
      </c>
      <c r="DG4" s="4" t="str">
        <v>Market value of preferred stock</v>
      </c>
      <c r="DH4" s="4" t="str">
        <v>Book Value: Equity</v>
      </c>
      <c r="DI4" s="4" t="str">
        <v>Book Value: + Debt</v>
      </c>
      <c r="DJ4" s="4" t="str">
        <v>Book Value: + Preferred</v>
      </c>
      <c r="DK4" s="4" t="str">
        <v>Book Value: - Cash</v>
      </c>
      <c r="DL4" s="4" t="str">
        <v>Book Value: Invested Capital</v>
      </c>
      <c r="DM4" s="4" t="str">
        <v>Firm Value: Market Value of Equity</v>
      </c>
      <c r="DN4" s="4" t="str">
        <v>Firm Value: + Market Value of Debt</v>
      </c>
      <c r="DO4" s="4" t="str">
        <v>Firm Value: + Market Value of Preferred</v>
      </c>
      <c r="DP4" s="4" t="str">
        <v>Firm Value: - Cash</v>
      </c>
      <c r="DQ4" s="4" t="str">
        <v>Firm Value: - Market value of minority holdings</v>
      </c>
      <c r="DR4" s="4" t="str">
        <v>Firm Value: + Market value of Minority Interest</v>
      </c>
      <c r="DS4" s="4" t="str">
        <v>Firm Value: Enterprise Value</v>
      </c>
      <c r="DT4" s="4" t="str">
        <v>Firm Value: Firm Value (with minority interest)</v>
      </c>
      <c r="DU4" s="4" t="str">
        <v>EV/Sales: Current</v>
      </c>
      <c r="DV4" s="4" t="str">
        <v>EV/Sales: Trailing</v>
      </c>
      <c r="DW4" s="4" t="str">
        <v>EV/Sales: Forward</v>
      </c>
      <c r="DX4" s="4" t="str">
        <v>EV/EBITDA: Current</v>
      </c>
      <c r="DY4" s="4" t="str">
        <v>EV/EBITDA: Trailing</v>
      </c>
      <c r="DZ4" s="4" t="str">
        <v>EV/EBITDA: Forward</v>
      </c>
      <c r="EA4" s="4" t="str">
        <v>EV/EBIT: Current</v>
      </c>
      <c r="EB4" s="4" t="str">
        <v>EV/EBIT: Trailing</v>
      </c>
      <c r="EC4" s="4" t="str">
        <v>EV/EBIT: Forward</v>
      </c>
      <c r="ED4" s="4" t="str">
        <v>EV/ After-tax EBIT: Current</v>
      </c>
      <c r="EE4" s="4" t="str">
        <v>EV/ After-tax EBIT: Trailing</v>
      </c>
      <c r="EF4" s="4" t="str">
        <v>EV/ After-tax EBIT: Forward</v>
      </c>
      <c r="EG4" s="4" t="str">
        <v>PE: Current</v>
      </c>
      <c r="EH4" s="4" t="str">
        <v>PE: Trailing</v>
      </c>
      <c r="EI4" s="4" t="str">
        <v>PE: Forward</v>
      </c>
      <c r="EJ4" s="4" t="str">
        <v>Non-cash PE: Current</v>
      </c>
      <c r="EK4" s="4" t="str">
        <v>Non-cash PE: Trailing</v>
      </c>
      <c r="EL4" s="4" t="str">
        <v>Non-cash PE: Forward</v>
      </c>
      <c r="EM4" s="4" t="str">
        <v>EV/ Invested Capital: Current</v>
      </c>
      <c r="EN4" s="4" t="str">
        <v>PBV: Current</v>
      </c>
      <c r="EO4" s="4" t="str">
        <v>Non-cash PBV: Current</v>
      </c>
    </row>
    <row r="5" spans="2:145" s="45" customFormat="1" ht="15" customHeight="1">
      <c r="B5" s="30" t="str">
        <v>Disney</v>
      </c>
      <c r="C5" s="31">
        <v>41572</v>
      </c>
      <c r="D5" s="32">
        <v>2.5999999999999999E-2</v>
      </c>
      <c r="E5" s="33">
        <v>1786.44</v>
      </c>
      <c r="F5" s="33">
        <v>69.16</v>
      </c>
      <c r="G5" s="33">
        <v>45907</v>
      </c>
      <c r="H5" s="34">
        <v>0.2</v>
      </c>
      <c r="I5" s="35">
        <v>54</v>
      </c>
      <c r="J5" s="36">
        <v>32.020000000000003</v>
      </c>
      <c r="K5" s="37">
        <v>2.5499999999999998</v>
      </c>
      <c r="L5" s="38">
        <v>0.3</v>
      </c>
      <c r="M5" s="38">
        <v>2.35E-2</v>
      </c>
      <c r="N5" s="33">
        <v>0</v>
      </c>
      <c r="O5" s="33">
        <v>0</v>
      </c>
      <c r="P5" s="33">
        <v>15003</v>
      </c>
      <c r="Q5" s="30">
        <v>4.5</v>
      </c>
      <c r="R5" s="33">
        <v>383</v>
      </c>
      <c r="S5" s="32">
        <v>4.2500000000000003E-2</v>
      </c>
      <c r="T5" s="33">
        <v>863</v>
      </c>
      <c r="U5" s="33">
        <v>471</v>
      </c>
      <c r="V5" s="33">
        <v>378</v>
      </c>
      <c r="W5" s="33">
        <v>295</v>
      </c>
      <c r="X5" s="33">
        <v>225</v>
      </c>
      <c r="Y5" s="33">
        <v>163</v>
      </c>
      <c r="Z5" s="33">
        <v>791</v>
      </c>
      <c r="AA5" s="33">
        <v>0</v>
      </c>
      <c r="AB5" s="33">
        <v>0</v>
      </c>
      <c r="AC5" s="33">
        <v>0</v>
      </c>
      <c r="AD5" s="32">
        <v>0</v>
      </c>
      <c r="AE5" s="39">
        <v>0</v>
      </c>
      <c r="AF5" s="33">
        <v>0</v>
      </c>
      <c r="AG5" s="33">
        <v>0</v>
      </c>
      <c r="AH5" s="33">
        <v>0</v>
      </c>
      <c r="AI5" s="33">
        <v>0</v>
      </c>
      <c r="AJ5" s="33">
        <v>3932</v>
      </c>
      <c r="AK5" s="33">
        <v>0</v>
      </c>
      <c r="AL5" s="25">
        <v>1</v>
      </c>
      <c r="AM5" s="33">
        <v>2371</v>
      </c>
      <c r="AN5" s="39">
        <v>2.5</v>
      </c>
      <c r="AO5" s="33">
        <v>42278</v>
      </c>
      <c r="AP5" s="33">
        <v>44255</v>
      </c>
      <c r="AQ5" s="33">
        <v>47860</v>
      </c>
      <c r="AR5" s="33">
        <v>10850</v>
      </c>
      <c r="AS5" s="33">
        <v>11440</v>
      </c>
      <c r="AT5" s="33">
        <v>13455</v>
      </c>
      <c r="AU5" s="33">
        <v>8863</v>
      </c>
      <c r="AV5" s="33">
        <v>9315</v>
      </c>
      <c r="AW5" s="33">
        <v>11418</v>
      </c>
      <c r="AX5" s="40">
        <v>0.33339999999999997</v>
      </c>
      <c r="AY5" s="40">
        <v>0.34239999999999998</v>
      </c>
      <c r="AZ5" s="40">
        <v>0.35</v>
      </c>
      <c r="BA5" s="33">
        <v>5862</v>
      </c>
      <c r="BB5" s="33">
        <v>5986</v>
      </c>
      <c r="BC5" s="33">
        <v>6943</v>
      </c>
      <c r="BD5" s="33">
        <v>65</v>
      </c>
      <c r="BE5" s="33">
        <v>56</v>
      </c>
      <c r="BF5" s="33">
        <v>50</v>
      </c>
      <c r="BG5" s="41">
        <v>1550</v>
      </c>
      <c r="BH5" s="41">
        <v>1399</v>
      </c>
      <c r="BI5" s="41">
        <v>388</v>
      </c>
      <c r="BJ5" s="41">
        <v>144</v>
      </c>
      <c r="BK5" s="41">
        <v>0</v>
      </c>
      <c r="BL5" s="41">
        <v>0</v>
      </c>
      <c r="BM5" s="41">
        <v>0</v>
      </c>
      <c r="BN5" s="41">
        <v>0</v>
      </c>
      <c r="BO5" s="41">
        <v>0</v>
      </c>
      <c r="BP5" s="41">
        <v>0</v>
      </c>
      <c r="BQ5" s="41">
        <v>0</v>
      </c>
      <c r="BR5" s="35">
        <v>5</v>
      </c>
      <c r="BS5" s="35">
        <v>0</v>
      </c>
      <c r="BT5" s="42">
        <v>0</v>
      </c>
      <c r="BU5" s="33">
        <v>0</v>
      </c>
      <c r="BV5" s="33">
        <v>0</v>
      </c>
      <c r="BW5" s="33">
        <v>0</v>
      </c>
      <c r="BX5" s="33">
        <v>0</v>
      </c>
      <c r="BY5" s="42">
        <v>0</v>
      </c>
      <c r="BZ5" s="33">
        <v>0</v>
      </c>
      <c r="CA5" s="25">
        <v>0</v>
      </c>
      <c r="CB5" s="33">
        <v>0</v>
      </c>
      <c r="CC5" s="33">
        <v>0</v>
      </c>
      <c r="CD5" s="33">
        <v>0</v>
      </c>
      <c r="CE5" s="33">
        <v>0</v>
      </c>
      <c r="CF5" s="33">
        <v>0</v>
      </c>
      <c r="CG5" s="33">
        <v>0</v>
      </c>
      <c r="CH5" s="33">
        <v>0</v>
      </c>
      <c r="CI5" s="33">
        <v>0</v>
      </c>
      <c r="CJ5" s="33">
        <v>0</v>
      </c>
      <c r="CK5" s="33">
        <v>0</v>
      </c>
      <c r="CL5" s="33">
        <v>0</v>
      </c>
      <c r="CM5" s="33">
        <v>0</v>
      </c>
      <c r="CN5" s="33">
        <v>0</v>
      </c>
      <c r="CO5" s="33">
        <v>0</v>
      </c>
      <c r="CP5" s="33">
        <v>0</v>
      </c>
      <c r="CQ5" s="33">
        <v>0</v>
      </c>
      <c r="CR5" s="33">
        <v>0</v>
      </c>
      <c r="CS5" s="33">
        <v>0</v>
      </c>
      <c r="CT5" s="33">
        <v>0</v>
      </c>
      <c r="CU5" s="33">
        <v>0</v>
      </c>
      <c r="CV5" s="33">
        <v>0</v>
      </c>
      <c r="CW5" s="43">
        <v>0</v>
      </c>
      <c r="CX5" s="33">
        <v>0</v>
      </c>
      <c r="CY5" s="33">
        <v>0</v>
      </c>
      <c r="CZ5" s="33">
        <v>0</v>
      </c>
      <c r="DA5" s="33">
        <v>0</v>
      </c>
      <c r="DB5" s="33">
        <v>0</v>
      </c>
      <c r="DC5" s="33">
        <v>0</v>
      </c>
      <c r="DD5" s="33">
        <v>0</v>
      </c>
      <c r="DE5" s="33">
        <v>0</v>
      </c>
      <c r="DF5" s="33">
        <v>0</v>
      </c>
      <c r="DG5" s="44">
        <v>0</v>
      </c>
      <c r="DH5" s="33">
        <v>0</v>
      </c>
      <c r="DI5" s="33">
        <v>0</v>
      </c>
      <c r="DJ5" s="33">
        <v>0</v>
      </c>
      <c r="DK5" s="33">
        <v>0</v>
      </c>
      <c r="DL5" s="33">
        <v>0</v>
      </c>
      <c r="DM5" s="33">
        <v>0</v>
      </c>
      <c r="DN5" s="33">
        <v>0</v>
      </c>
      <c r="DO5" s="33">
        <v>0</v>
      </c>
      <c r="DP5" s="33">
        <v>0</v>
      </c>
      <c r="DQ5" s="33">
        <v>0</v>
      </c>
      <c r="DR5" s="33">
        <v>0</v>
      </c>
      <c r="DS5" s="33">
        <v>0</v>
      </c>
      <c r="DT5" s="33">
        <v>0</v>
      </c>
      <c r="DU5" s="37">
        <v>0</v>
      </c>
      <c r="DV5" s="37">
        <v>0</v>
      </c>
      <c r="DW5" s="37">
        <v>0</v>
      </c>
      <c r="DX5" s="37">
        <v>0</v>
      </c>
      <c r="DY5" s="37">
        <v>0</v>
      </c>
      <c r="DZ5" s="37">
        <v>0</v>
      </c>
      <c r="EA5" s="37">
        <v>0</v>
      </c>
      <c r="EB5" s="37">
        <v>0</v>
      </c>
      <c r="EC5" s="37">
        <v>0</v>
      </c>
      <c r="ED5" s="37">
        <v>0</v>
      </c>
      <c r="EE5" s="37">
        <v>0</v>
      </c>
      <c r="EF5" s="37">
        <v>0</v>
      </c>
      <c r="EG5" s="37">
        <v>0</v>
      </c>
      <c r="EH5" s="37">
        <v>0</v>
      </c>
      <c r="EI5" s="37">
        <v>0</v>
      </c>
      <c r="EJ5" s="37">
        <v>0</v>
      </c>
      <c r="EK5" s="37">
        <v>0</v>
      </c>
      <c r="EL5" s="37">
        <v>0</v>
      </c>
      <c r="EM5" s="37">
        <v>0</v>
      </c>
      <c r="EN5" s="37">
        <v>0</v>
      </c>
      <c r="EO5" s="37">
        <v>0</v>
      </c>
    </row>
    <row r="6" spans="2:145" s="45" customFormat="1" ht="15" customHeight="1">
      <c r="B6" s="30" t="str">
        <v>s</v>
      </c>
      <c r="C6" s="31">
        <v>41572</v>
      </c>
      <c r="D6" s="32">
        <v>2.5999999999999999E-2</v>
      </c>
      <c r="E6" s="33">
        <v>1786.44</v>
      </c>
      <c r="F6" s="33">
        <v>69.16</v>
      </c>
      <c r="G6" s="33">
        <v>45907</v>
      </c>
      <c r="H6" s="34">
        <v>0.2</v>
      </c>
      <c r="I6" s="35">
        <v>54</v>
      </c>
      <c r="J6" s="36">
        <v>32.020000000000003</v>
      </c>
      <c r="K6" s="37">
        <v>2.5499999999999998</v>
      </c>
      <c r="L6" s="38">
        <v>0.3</v>
      </c>
      <c r="M6" s="38">
        <v>2.35E-2</v>
      </c>
      <c r="N6" s="33">
        <v>0</v>
      </c>
      <c r="O6" s="33">
        <v>0</v>
      </c>
      <c r="P6" s="33">
        <v>15003</v>
      </c>
      <c r="Q6" s="30">
        <v>4.5</v>
      </c>
      <c r="R6" s="33">
        <v>383</v>
      </c>
      <c r="S6" s="32">
        <v>4.2500000000000003E-2</v>
      </c>
      <c r="T6" s="33">
        <v>863</v>
      </c>
      <c r="U6" s="33">
        <v>471</v>
      </c>
      <c r="V6" s="33">
        <v>378</v>
      </c>
      <c r="W6" s="33">
        <v>295</v>
      </c>
      <c r="X6" s="33">
        <v>225</v>
      </c>
      <c r="Y6" s="33">
        <v>163</v>
      </c>
      <c r="Z6" s="33">
        <v>791</v>
      </c>
      <c r="AA6" s="33">
        <v>0</v>
      </c>
      <c r="AB6" s="33">
        <v>0</v>
      </c>
      <c r="AC6" s="33">
        <v>0</v>
      </c>
      <c r="AD6" s="32">
        <v>0</v>
      </c>
      <c r="AE6" s="39">
        <v>0</v>
      </c>
      <c r="AF6" s="33">
        <v>0</v>
      </c>
      <c r="AG6" s="33">
        <v>0</v>
      </c>
      <c r="AH6" s="33">
        <v>0</v>
      </c>
      <c r="AI6" s="33">
        <v>0</v>
      </c>
      <c r="AJ6" s="33">
        <v>3932</v>
      </c>
      <c r="AK6" s="33">
        <v>0</v>
      </c>
      <c r="AL6" s="25">
        <v>1</v>
      </c>
      <c r="AM6" s="33">
        <v>2371</v>
      </c>
      <c r="AN6" s="39">
        <v>2.5</v>
      </c>
      <c r="AO6" s="33">
        <v>42278</v>
      </c>
      <c r="AP6" s="33">
        <v>44255</v>
      </c>
      <c r="AQ6" s="33">
        <v>47860</v>
      </c>
      <c r="AR6" s="33">
        <v>10850</v>
      </c>
      <c r="AS6" s="33">
        <v>11440</v>
      </c>
      <c r="AT6" s="33">
        <v>13455</v>
      </c>
      <c r="AU6" s="33">
        <v>8863</v>
      </c>
      <c r="AV6" s="33">
        <v>9315</v>
      </c>
      <c r="AW6" s="33">
        <v>11418</v>
      </c>
      <c r="AX6" s="40">
        <v>0.33339999999999997</v>
      </c>
      <c r="AY6" s="40">
        <v>0.34239999999999998</v>
      </c>
      <c r="AZ6" s="40">
        <v>0.35</v>
      </c>
      <c r="BA6" s="33">
        <v>5862</v>
      </c>
      <c r="BB6" s="33">
        <v>5986</v>
      </c>
      <c r="BC6" s="33">
        <v>6943</v>
      </c>
      <c r="BD6" s="33">
        <v>65</v>
      </c>
      <c r="BE6" s="33">
        <v>56</v>
      </c>
      <c r="BF6" s="33">
        <v>50</v>
      </c>
      <c r="BG6" s="41">
        <v>0</v>
      </c>
      <c r="BH6" s="41">
        <v>0</v>
      </c>
      <c r="BI6" s="41">
        <v>0</v>
      </c>
      <c r="BJ6" s="41">
        <v>0</v>
      </c>
      <c r="BK6" s="41">
        <v>0</v>
      </c>
      <c r="BL6" s="41">
        <v>0</v>
      </c>
      <c r="BM6" s="41">
        <v>0</v>
      </c>
      <c r="BN6" s="41">
        <v>0</v>
      </c>
      <c r="BO6" s="41">
        <v>0</v>
      </c>
      <c r="BP6" s="41">
        <v>0</v>
      </c>
      <c r="BQ6" s="41">
        <v>0</v>
      </c>
      <c r="BR6" s="35">
        <v>5</v>
      </c>
      <c r="BS6" s="35">
        <v>0</v>
      </c>
      <c r="BT6" s="33">
        <v>0</v>
      </c>
      <c r="BU6" s="33">
        <v>0</v>
      </c>
      <c r="BV6" s="33">
        <v>0</v>
      </c>
      <c r="BW6" s="33">
        <v>0</v>
      </c>
      <c r="BX6" s="33">
        <v>0</v>
      </c>
      <c r="BY6" s="33">
        <v>0</v>
      </c>
      <c r="BZ6" s="33">
        <v>0</v>
      </c>
      <c r="CA6" s="25">
        <v>0</v>
      </c>
      <c r="CB6" s="33">
        <v>0</v>
      </c>
      <c r="CC6" s="33">
        <v>0</v>
      </c>
      <c r="CD6" s="33">
        <v>0</v>
      </c>
      <c r="CE6" s="33">
        <v>0</v>
      </c>
      <c r="CF6" s="33">
        <v>0</v>
      </c>
      <c r="CG6" s="33">
        <v>0</v>
      </c>
      <c r="CH6" s="33">
        <v>0</v>
      </c>
      <c r="CI6" s="33">
        <v>0</v>
      </c>
      <c r="CJ6" s="33">
        <v>0</v>
      </c>
      <c r="CK6" s="33">
        <v>0</v>
      </c>
      <c r="CL6" s="33">
        <v>0</v>
      </c>
      <c r="CM6" s="33">
        <v>0</v>
      </c>
      <c r="CN6" s="33">
        <v>0</v>
      </c>
      <c r="CO6" s="33">
        <v>0</v>
      </c>
      <c r="CP6" s="33">
        <v>0</v>
      </c>
      <c r="CQ6" s="33">
        <v>0</v>
      </c>
      <c r="CR6" s="33">
        <v>0</v>
      </c>
      <c r="CS6" s="33">
        <v>0</v>
      </c>
      <c r="CT6" s="33">
        <v>0</v>
      </c>
      <c r="CU6" s="33">
        <v>0</v>
      </c>
      <c r="CV6" s="33">
        <v>0</v>
      </c>
      <c r="CW6" s="43">
        <v>0</v>
      </c>
      <c r="CX6" s="33">
        <v>0</v>
      </c>
      <c r="CY6" s="33">
        <v>0</v>
      </c>
      <c r="CZ6" s="33">
        <v>0</v>
      </c>
      <c r="DA6" s="33">
        <v>0</v>
      </c>
      <c r="DB6" s="33">
        <v>0</v>
      </c>
      <c r="DC6" s="33">
        <v>0</v>
      </c>
      <c r="DD6" s="33">
        <v>0</v>
      </c>
      <c r="DE6" s="33">
        <v>0</v>
      </c>
      <c r="DF6" s="33">
        <v>0</v>
      </c>
      <c r="DG6" s="44">
        <v>0</v>
      </c>
      <c r="DH6" s="33">
        <v>0</v>
      </c>
      <c r="DI6" s="33">
        <v>0</v>
      </c>
      <c r="DJ6" s="33">
        <v>0</v>
      </c>
      <c r="DK6" s="33">
        <v>0</v>
      </c>
      <c r="DL6" s="33">
        <v>0</v>
      </c>
      <c r="DM6" s="33">
        <v>0</v>
      </c>
      <c r="DN6" s="33">
        <v>0</v>
      </c>
      <c r="DO6" s="33">
        <v>0</v>
      </c>
      <c r="DP6" s="33">
        <v>0</v>
      </c>
      <c r="DQ6" s="33">
        <v>0</v>
      </c>
      <c r="DR6" s="33">
        <v>0</v>
      </c>
      <c r="DS6" s="33">
        <v>0</v>
      </c>
      <c r="DT6" s="33">
        <v>0</v>
      </c>
      <c r="DU6" s="37">
        <v>0</v>
      </c>
      <c r="DV6" s="37">
        <v>0</v>
      </c>
      <c r="DW6" s="37">
        <v>0</v>
      </c>
      <c r="DX6" s="37">
        <v>0</v>
      </c>
      <c r="DY6" s="37">
        <v>0</v>
      </c>
      <c r="DZ6" s="37">
        <v>0</v>
      </c>
      <c r="EA6" s="37">
        <v>0</v>
      </c>
      <c r="EB6" s="37">
        <v>0</v>
      </c>
      <c r="EC6" s="37">
        <v>0</v>
      </c>
      <c r="ED6" s="37">
        <v>0</v>
      </c>
      <c r="EE6" s="37">
        <v>0</v>
      </c>
      <c r="EF6" s="37">
        <v>0</v>
      </c>
      <c r="EG6" s="37">
        <v>0</v>
      </c>
      <c r="EH6" s="37">
        <v>0</v>
      </c>
      <c r="EI6" s="37">
        <v>0</v>
      </c>
      <c r="EJ6" s="37">
        <v>0</v>
      </c>
      <c r="EK6" s="37">
        <v>0</v>
      </c>
      <c r="EL6" s="37">
        <v>0</v>
      </c>
      <c r="EM6" s="37">
        <v>0</v>
      </c>
      <c r="EN6" s="37">
        <v>0</v>
      </c>
      <c r="EO6" s="37">
        <v>0</v>
      </c>
    </row>
    <row r="7" spans="2:145" s="45" customFormat="1" ht="15" customHeight="1">
      <c r="B7" s="30" t="str">
        <v>Disney</v>
      </c>
      <c r="C7" s="31">
        <v>41572</v>
      </c>
      <c r="D7" s="32">
        <v>2.5999999999999999E-2</v>
      </c>
      <c r="E7" s="33">
        <v>1786.44</v>
      </c>
      <c r="F7" s="33">
        <v>69.16</v>
      </c>
      <c r="G7" s="33">
        <v>45907</v>
      </c>
      <c r="H7" s="34">
        <v>0.2</v>
      </c>
      <c r="I7" s="35">
        <v>54</v>
      </c>
      <c r="J7" s="36">
        <v>32.020000000000003</v>
      </c>
      <c r="K7" s="37">
        <v>2.5499999999999998</v>
      </c>
      <c r="L7" s="38">
        <v>0.3</v>
      </c>
      <c r="M7" s="38">
        <v>2.35E-2</v>
      </c>
      <c r="N7" s="33">
        <v>0</v>
      </c>
      <c r="O7" s="33">
        <v>0</v>
      </c>
      <c r="P7" s="33">
        <v>15003</v>
      </c>
      <c r="Q7" s="30">
        <v>4.5</v>
      </c>
      <c r="R7" s="33">
        <v>383</v>
      </c>
      <c r="S7" s="32">
        <v>4.2500000000000003E-2</v>
      </c>
      <c r="T7" s="33">
        <v>0</v>
      </c>
      <c r="U7" s="33">
        <v>0</v>
      </c>
      <c r="V7" s="33">
        <v>0</v>
      </c>
      <c r="W7" s="33">
        <v>0</v>
      </c>
      <c r="X7" s="33">
        <v>0</v>
      </c>
      <c r="Y7" s="33">
        <v>0</v>
      </c>
      <c r="Z7" s="33">
        <v>0</v>
      </c>
      <c r="AA7" s="33">
        <v>0</v>
      </c>
      <c r="AB7" s="33">
        <v>0</v>
      </c>
      <c r="AC7" s="33">
        <v>0</v>
      </c>
      <c r="AD7" s="32">
        <v>0</v>
      </c>
      <c r="AE7" s="39">
        <v>0</v>
      </c>
      <c r="AF7" s="33">
        <v>0</v>
      </c>
      <c r="AG7" s="33">
        <v>0</v>
      </c>
      <c r="AH7" s="33">
        <v>0</v>
      </c>
      <c r="AI7" s="33">
        <v>0</v>
      </c>
      <c r="AJ7" s="33">
        <v>3932</v>
      </c>
      <c r="AK7" s="33">
        <v>0</v>
      </c>
      <c r="AL7" s="25">
        <v>1</v>
      </c>
      <c r="AM7" s="33">
        <v>2371</v>
      </c>
      <c r="AN7" s="39">
        <v>2.5</v>
      </c>
      <c r="AO7" s="33">
        <v>42278</v>
      </c>
      <c r="AP7" s="33">
        <v>44255</v>
      </c>
      <c r="AQ7" s="33">
        <v>47860</v>
      </c>
      <c r="AR7" s="33">
        <v>10850</v>
      </c>
      <c r="AS7" s="33">
        <v>11440</v>
      </c>
      <c r="AT7" s="33">
        <v>13455</v>
      </c>
      <c r="AU7" s="33">
        <v>8863</v>
      </c>
      <c r="AV7" s="33">
        <v>9315</v>
      </c>
      <c r="AW7" s="33">
        <v>11418</v>
      </c>
      <c r="AX7" s="40">
        <v>0.33339999999999997</v>
      </c>
      <c r="AY7" s="40">
        <v>0.34239999999999998</v>
      </c>
      <c r="AZ7" s="40">
        <v>0.35</v>
      </c>
      <c r="BA7" s="33">
        <v>5862</v>
      </c>
      <c r="BB7" s="33">
        <v>5986</v>
      </c>
      <c r="BC7" s="33">
        <v>6943</v>
      </c>
      <c r="BD7" s="33">
        <v>65</v>
      </c>
      <c r="BE7" s="33">
        <v>56</v>
      </c>
      <c r="BF7" s="33">
        <v>50</v>
      </c>
      <c r="BG7" s="41">
        <v>0</v>
      </c>
      <c r="BH7" s="41">
        <v>0</v>
      </c>
      <c r="BI7" s="41">
        <v>0</v>
      </c>
      <c r="BJ7" s="41">
        <v>0</v>
      </c>
      <c r="BK7" s="41">
        <v>0</v>
      </c>
      <c r="BL7" s="41">
        <v>0</v>
      </c>
      <c r="BM7" s="41">
        <v>0</v>
      </c>
      <c r="BN7" s="41">
        <v>0</v>
      </c>
      <c r="BO7" s="41">
        <v>0</v>
      </c>
      <c r="BP7" s="41">
        <v>0</v>
      </c>
      <c r="BQ7" s="41">
        <v>0</v>
      </c>
      <c r="BR7" s="35">
        <v>0</v>
      </c>
      <c r="BS7" s="35">
        <v>0</v>
      </c>
      <c r="BT7" s="33">
        <v>0</v>
      </c>
      <c r="BU7" s="33">
        <v>0</v>
      </c>
      <c r="BV7" s="33">
        <v>0</v>
      </c>
      <c r="BW7" s="33">
        <v>0</v>
      </c>
      <c r="BX7" s="33">
        <v>0</v>
      </c>
      <c r="BY7" s="33">
        <v>0</v>
      </c>
      <c r="BZ7" s="33">
        <v>0</v>
      </c>
      <c r="CA7" s="25">
        <v>0</v>
      </c>
      <c r="CB7" s="33">
        <v>0</v>
      </c>
      <c r="CC7" s="33">
        <v>0</v>
      </c>
      <c r="CD7" s="33">
        <v>0</v>
      </c>
      <c r="CE7" s="33">
        <v>0</v>
      </c>
      <c r="CF7" s="33">
        <v>0</v>
      </c>
      <c r="CG7" s="33">
        <v>0</v>
      </c>
      <c r="CH7" s="33">
        <v>0</v>
      </c>
      <c r="CI7" s="33">
        <v>0</v>
      </c>
      <c r="CJ7" s="33">
        <v>0</v>
      </c>
      <c r="CK7" s="33">
        <v>0</v>
      </c>
      <c r="CL7" s="33">
        <v>0</v>
      </c>
      <c r="CM7" s="33">
        <v>0</v>
      </c>
      <c r="CN7" s="33">
        <v>0</v>
      </c>
      <c r="CO7" s="33">
        <v>0</v>
      </c>
      <c r="CP7" s="33">
        <v>0</v>
      </c>
      <c r="CQ7" s="33">
        <v>0</v>
      </c>
      <c r="CR7" s="33">
        <v>0</v>
      </c>
      <c r="CS7" s="33">
        <v>0</v>
      </c>
      <c r="CT7" s="33">
        <v>0</v>
      </c>
      <c r="CU7" s="33">
        <v>0</v>
      </c>
      <c r="CV7" s="33">
        <v>0</v>
      </c>
      <c r="CW7" s="43">
        <v>0</v>
      </c>
      <c r="CX7" s="33">
        <v>0</v>
      </c>
      <c r="CY7" s="33">
        <v>0</v>
      </c>
      <c r="CZ7" s="33">
        <v>0</v>
      </c>
      <c r="DA7" s="33">
        <v>0</v>
      </c>
      <c r="DB7" s="33">
        <v>0</v>
      </c>
      <c r="DC7" s="33">
        <v>0</v>
      </c>
      <c r="DD7" s="33">
        <v>0</v>
      </c>
      <c r="DE7" s="33">
        <v>0</v>
      </c>
      <c r="DF7" s="33">
        <v>0</v>
      </c>
      <c r="DG7" s="44">
        <v>0</v>
      </c>
      <c r="DH7" s="33">
        <v>0</v>
      </c>
      <c r="DI7" s="33">
        <v>0</v>
      </c>
      <c r="DJ7" s="33">
        <v>0</v>
      </c>
      <c r="DK7" s="33">
        <v>0</v>
      </c>
      <c r="DL7" s="33">
        <v>0</v>
      </c>
      <c r="DM7" s="33">
        <v>0</v>
      </c>
      <c r="DN7" s="33">
        <v>0</v>
      </c>
      <c r="DO7" s="33">
        <v>0</v>
      </c>
      <c r="DP7" s="33">
        <v>0</v>
      </c>
      <c r="DQ7" s="33">
        <v>0</v>
      </c>
      <c r="DR7" s="33">
        <v>0</v>
      </c>
      <c r="DS7" s="33">
        <v>0</v>
      </c>
      <c r="DT7" s="33">
        <v>0</v>
      </c>
      <c r="DU7" s="37">
        <v>0</v>
      </c>
      <c r="DV7" s="37">
        <v>0</v>
      </c>
      <c r="DW7" s="37">
        <v>0</v>
      </c>
      <c r="DX7" s="37">
        <v>0</v>
      </c>
      <c r="DY7" s="37">
        <v>0</v>
      </c>
      <c r="DZ7" s="37">
        <v>0</v>
      </c>
      <c r="EA7" s="37">
        <v>0</v>
      </c>
      <c r="EB7" s="37">
        <v>0</v>
      </c>
      <c r="EC7" s="37">
        <v>0</v>
      </c>
      <c r="ED7" s="37">
        <v>0</v>
      </c>
      <c r="EE7" s="37">
        <v>0</v>
      </c>
      <c r="EF7" s="37">
        <v>0</v>
      </c>
      <c r="EG7" s="37">
        <v>0</v>
      </c>
      <c r="EH7" s="37">
        <v>0</v>
      </c>
      <c r="EI7" s="37">
        <v>0</v>
      </c>
      <c r="EJ7" s="37">
        <v>0</v>
      </c>
      <c r="EK7" s="37">
        <v>0</v>
      </c>
      <c r="EL7" s="37">
        <v>0</v>
      </c>
      <c r="EM7" s="37">
        <v>0</v>
      </c>
      <c r="EN7" s="37">
        <v>0</v>
      </c>
      <c r="EO7" s="37">
        <v>0</v>
      </c>
    </row>
    <row r="8" spans="2:145" ht="15" customHeight="1">
      <c r="CW8" s="47"/>
      <c r="CX8" s="47"/>
    </row>
    <row r="9" spans="2:145" ht="15" customHeight="1">
      <c r="B9" s="29" t="b">
        <v>1</v>
      </c>
      <c r="D9" s="48">
        <f>D5-Sanitized_Model!C5</f>
        <v>0</v>
      </c>
      <c r="E9" s="48">
        <f>E5-Sanitized_Model!D5</f>
        <v>0</v>
      </c>
      <c r="F9" s="48">
        <f>F5-Sanitized_Model!E5</f>
        <v>0</v>
      </c>
      <c r="G9" s="48">
        <f>G5-Sanitized_Model!F5</f>
        <v>0</v>
      </c>
      <c r="H9" s="48">
        <f>H5-Sanitized_Model!G5</f>
        <v>0</v>
      </c>
      <c r="I9" s="48">
        <f>I5-Sanitized_Model!H5</f>
        <v>0</v>
      </c>
      <c r="J9" s="48">
        <f>J5-Sanitized_Model!I5</f>
        <v>0</v>
      </c>
      <c r="K9" s="48">
        <f>K5-Sanitized_Model!J5</f>
        <v>0</v>
      </c>
      <c r="L9" s="48">
        <f>L5-Sanitized_Model!K5</f>
        <v>0</v>
      </c>
      <c r="M9" s="48">
        <f>M5-Sanitized_Model!L5</f>
        <v>0</v>
      </c>
      <c r="N9" s="48">
        <f>N5-Sanitized_Model!M5</f>
        <v>0</v>
      </c>
      <c r="O9" s="48">
        <f>O5-Sanitized_Model!N5</f>
        <v>0</v>
      </c>
      <c r="P9" s="48">
        <f>P5-Sanitized_Model!O5</f>
        <v>0</v>
      </c>
      <c r="Q9" s="48">
        <f>Q5-Sanitized_Model!P5</f>
        <v>0</v>
      </c>
      <c r="R9" s="48">
        <f>R5-Sanitized_Model!Q5</f>
        <v>0</v>
      </c>
      <c r="S9" s="48">
        <f>S5-Sanitized_Model!R5</f>
        <v>0</v>
      </c>
      <c r="T9" s="48">
        <f>T5-Sanitized_Model!S5</f>
        <v>0</v>
      </c>
      <c r="U9" s="48">
        <f>U5-Sanitized_Model!T5</f>
        <v>0</v>
      </c>
      <c r="V9" s="48">
        <f>V5-Sanitized_Model!U5</f>
        <v>0</v>
      </c>
      <c r="W9" s="48">
        <f>W5-Sanitized_Model!V5</f>
        <v>0</v>
      </c>
      <c r="X9" s="48">
        <f>X5-Sanitized_Model!W5</f>
        <v>0</v>
      </c>
      <c r="Y9" s="48">
        <f>Y5-Sanitized_Model!X5</f>
        <v>0</v>
      </c>
      <c r="Z9" s="48">
        <f>Z5-Sanitized_Model!Y5</f>
        <v>0</v>
      </c>
      <c r="AA9" s="48">
        <f>AA5-Sanitized_Model!Z5</f>
        <v>0</v>
      </c>
      <c r="AB9" s="48">
        <f>AB5-Sanitized_Model!AA5</f>
        <v>0</v>
      </c>
      <c r="AC9" s="48">
        <f>AC5-Sanitized_Model!AB5</f>
        <v>0</v>
      </c>
      <c r="AD9" s="48">
        <f>AD5-Sanitized_Model!AC5</f>
        <v>0</v>
      </c>
      <c r="AE9" s="48">
        <f>AE5-Sanitized_Model!AD5</f>
        <v>0</v>
      </c>
      <c r="AF9" s="48">
        <f>AF5-Sanitized_Model!AE5</f>
        <v>0</v>
      </c>
      <c r="AG9" s="48">
        <f>AG5-Sanitized_Model!AF5</f>
        <v>0</v>
      </c>
      <c r="AH9" s="48">
        <f>AH5-Sanitized_Model!AG5</f>
        <v>0</v>
      </c>
      <c r="AI9" s="48">
        <f>AI5-Sanitized_Model!AH5</f>
        <v>0</v>
      </c>
      <c r="AJ9" s="48">
        <f>AJ5-Sanitized_Model!AI5</f>
        <v>0</v>
      </c>
      <c r="AK9" s="48">
        <f>AK5-Sanitized_Model!AJ5</f>
        <v>0</v>
      </c>
      <c r="AL9" s="48">
        <f>AL5-Sanitized_Model!AK5</f>
        <v>0</v>
      </c>
      <c r="AM9" s="48">
        <f>AM5-Sanitized_Model!AL5</f>
        <v>0</v>
      </c>
      <c r="AN9" s="48">
        <f>AN5-Sanitized_Model!AM5</f>
        <v>0</v>
      </c>
      <c r="AO9" s="48">
        <f>AO5-Sanitized_Model!AN5</f>
        <v>0</v>
      </c>
      <c r="AP9" s="48">
        <f>AP5-Sanitized_Model!AO5</f>
        <v>0</v>
      </c>
      <c r="AQ9" s="48">
        <f>AQ5-Sanitized_Model!AP5</f>
        <v>0</v>
      </c>
      <c r="AR9" s="48">
        <f>AR5-Sanitized_Model!AQ5</f>
        <v>0</v>
      </c>
      <c r="AS9" s="48">
        <f>AS5-Sanitized_Model!AR5</f>
        <v>0</v>
      </c>
      <c r="AT9" s="48">
        <f>AT5-Sanitized_Model!AS5</f>
        <v>0</v>
      </c>
      <c r="AU9" s="48">
        <f>AU5-Sanitized_Model!AT5</f>
        <v>0</v>
      </c>
      <c r="AV9" s="48">
        <f>AV5-Sanitized_Model!AU5</f>
        <v>0</v>
      </c>
      <c r="AW9" s="48">
        <f>AW5-Sanitized_Model!AV5</f>
        <v>0</v>
      </c>
      <c r="AX9" s="48">
        <f>AX5-Sanitized_Model!AW5</f>
        <v>0</v>
      </c>
      <c r="AY9" s="48">
        <f>AY5-Sanitized_Model!AX5</f>
        <v>0</v>
      </c>
      <c r="AZ9" s="48">
        <f>AZ5-Sanitized_Model!AY5</f>
        <v>0</v>
      </c>
      <c r="BA9" s="48">
        <f>BA5-Sanitized_Model!AZ5</f>
        <v>0</v>
      </c>
      <c r="BB9" s="48">
        <f>BB5-Sanitized_Model!BA5</f>
        <v>0</v>
      </c>
      <c r="BC9" s="48">
        <f>BC5-Sanitized_Model!BB5</f>
        <v>0</v>
      </c>
      <c r="BD9" s="48">
        <f>BD5-Sanitized_Model!BC5</f>
        <v>0</v>
      </c>
      <c r="BE9" s="48">
        <f>BE5-Sanitized_Model!BD5</f>
        <v>0</v>
      </c>
      <c r="BF9" s="48">
        <f>BF5-Sanitized_Model!BE5</f>
        <v>0</v>
      </c>
      <c r="BG9" s="48">
        <f>BG5-Sanitized_Model!BF5</f>
        <v>0</v>
      </c>
      <c r="BH9" s="48">
        <f>BH5-Sanitized_Model!BG5</f>
        <v>0</v>
      </c>
      <c r="BI9" s="48">
        <f>BI5-Sanitized_Model!BH5</f>
        <v>0</v>
      </c>
      <c r="BJ9" s="48">
        <f>BJ5-Sanitized_Model!BI5</f>
        <v>0</v>
      </c>
      <c r="BK9" s="48">
        <f>BK5-Sanitized_Model!BJ5</f>
        <v>0</v>
      </c>
      <c r="BL9" s="48">
        <f>BL5-Sanitized_Model!BK5</f>
        <v>0</v>
      </c>
      <c r="BM9" s="48">
        <f>BM5-Sanitized_Model!BL5</f>
        <v>0</v>
      </c>
      <c r="BN9" s="48">
        <f>BN5-Sanitized_Model!BM5</f>
        <v>0</v>
      </c>
      <c r="BO9" s="48">
        <f>BO5-Sanitized_Model!BN5</f>
        <v>0</v>
      </c>
      <c r="BP9" s="48">
        <f>BP5-Sanitized_Model!BO5</f>
        <v>0</v>
      </c>
      <c r="BQ9" s="48">
        <f>BQ5-Sanitized_Model!BP5</f>
        <v>0</v>
      </c>
      <c r="BR9" s="48">
        <f>BR5-Sanitized_Model!BQ5</f>
        <v>0</v>
      </c>
      <c r="BS9" s="48">
        <f>BS5-Sanitized_Model!BR5</f>
        <v>-3</v>
      </c>
      <c r="BT9" s="48">
        <f>BT5-Sanitized_Model!BS5</f>
        <v>-1974.2647801062458</v>
      </c>
      <c r="BU9" s="48">
        <f>BU5-Sanitized_Model!BT5</f>
        <v>-8946.9062531545151</v>
      </c>
      <c r="BV9" s="48">
        <f>BV5-Sanitized_Model!BU5</f>
        <v>-16977.264780106245</v>
      </c>
      <c r="BW9" s="48">
        <f>BW5-Sanitized_Model!BV5</f>
        <v>-8863</v>
      </c>
      <c r="BX9" s="48">
        <f>BX5-Sanitized_Model!BW5</f>
        <v>-863</v>
      </c>
      <c r="BY9" s="48">
        <f>BY5-Sanitized_Model!BX5</f>
        <v>-246.78309751328072</v>
      </c>
      <c r="BZ9" s="48">
        <f>BZ5-Sanitized_Model!BY5</f>
        <v>-9479.2169024867198</v>
      </c>
      <c r="CA9" s="48">
        <f>CA5-Sanitized_Model!BZ5</f>
        <v>-3</v>
      </c>
      <c r="CB9" s="48">
        <f>CB5-Sanitized_Model!CA5</f>
        <v>-2612</v>
      </c>
      <c r="CC9" s="48">
        <f>CC5-Sanitized_Model!CB5</f>
        <v>-643.66666666666663</v>
      </c>
      <c r="CD9" s="48">
        <f>CD5-Sanitized_Model!CC5</f>
        <v>-906.33333333333337</v>
      </c>
      <c r="CE9" s="48">
        <f>CE5-Sanitized_Model!CD5</f>
        <v>-13263</v>
      </c>
      <c r="CF9" s="48">
        <f>CF5-Sanitized_Model!CE5</f>
        <v>-13853</v>
      </c>
      <c r="CG9" s="48">
        <f>CG5-Sanitized_Model!CF5</f>
        <v>-15868</v>
      </c>
      <c r="CH9" s="48">
        <f>CH5-Sanitized_Model!CG5</f>
        <v>-10385.550235820054</v>
      </c>
      <c r="CI9" s="48">
        <f>CI5-Sanitized_Model!CH5</f>
        <v>-10837.550235820054</v>
      </c>
      <c r="CJ9" s="48">
        <f>CJ5-Sanitized_Model!CI5</f>
        <v>-12940.550235820054</v>
      </c>
      <c r="CK9" s="48">
        <f>CK5-Sanitized_Model!CJ5</f>
        <v>-7430.6260358200525</v>
      </c>
      <c r="CL9" s="48">
        <f>CL5-Sanitized_Model!CK5</f>
        <v>-7648.0942358200527</v>
      </c>
      <c r="CM9" s="48">
        <f>CM5-Sanitized_Model!CL5</f>
        <v>-8944.2502358200527</v>
      </c>
      <c r="CN9" s="48">
        <f>CN5-Sanitized_Model!CM5</f>
        <v>-6768.333333333333</v>
      </c>
      <c r="CO9" s="48">
        <f>CO5-Sanitized_Model!CN5</f>
        <v>-6892.333333333333</v>
      </c>
      <c r="CP9" s="48">
        <f>CP5-Sanitized_Model!CO5</f>
        <v>-7849.333333333333</v>
      </c>
      <c r="CQ9" s="48">
        <f>CQ5-Sanitized_Model!CP5</f>
        <v>-6725.0043333333333</v>
      </c>
      <c r="CR9" s="48">
        <f>CR5-Sanitized_Model!CQ5</f>
        <v>-6855.5077333333329</v>
      </c>
      <c r="CS9" s="48">
        <f>CS5-Sanitized_Model!CR5</f>
        <v>-7816.833333333333</v>
      </c>
      <c r="CT9" s="48">
        <f>CT5-Sanitized_Model!CS5</f>
        <v>-123550.19039999999</v>
      </c>
      <c r="CU9" s="48">
        <f>CU5-Sanitized_Model!CT5</f>
        <v>0</v>
      </c>
      <c r="CV9" s="48">
        <f>CV5-Sanitized_Model!CU5</f>
        <v>-0.2</v>
      </c>
      <c r="CW9" s="48">
        <f>CW5-Sanitized_Model!CV5</f>
        <v>-10.8</v>
      </c>
      <c r="CX9" s="48">
        <f>CX5-Sanitized_Model!CW5</f>
        <v>0</v>
      </c>
      <c r="CY9" s="48">
        <f>CY5-Sanitized_Model!CX5</f>
        <v>0</v>
      </c>
      <c r="CZ9" s="48">
        <f>CZ5-Sanitized_Model!CY5</f>
        <v>0</v>
      </c>
      <c r="DA9" s="48">
        <f>DA5-Sanitized_Model!CZ5</f>
        <v>0</v>
      </c>
      <c r="DB9" s="48">
        <f>DB5-Sanitized_Model!DA5</f>
        <v>0</v>
      </c>
      <c r="DC9" s="48">
        <f>DC5-Sanitized_Model!DB5</f>
        <v>-123560.9904</v>
      </c>
      <c r="DD9" s="48">
        <f>DD5-Sanitized_Model!DC5</f>
        <v>-13979.678940008973</v>
      </c>
      <c r="DE9" s="48">
        <f>DE5-Sanitized_Model!DD5</f>
        <v>-1974.2647801062458</v>
      </c>
      <c r="DF9" s="48">
        <f>DF5-Sanitized_Model!DE5</f>
        <v>-15953.943720115218</v>
      </c>
      <c r="DG9" s="48">
        <f>DG5-Sanitized_Model!DF5</f>
        <v>0</v>
      </c>
      <c r="DH9" s="48">
        <f>DH5-Sanitized_Model!DG5</f>
        <v>-48519</v>
      </c>
      <c r="DI9" s="48">
        <f>DI5-Sanitized_Model!DH5</f>
        <v>-16977.264780106245</v>
      </c>
      <c r="DJ9" s="48">
        <f>DJ5-Sanitized_Model!DI5</f>
        <v>0</v>
      </c>
      <c r="DK9" s="48">
        <f>DK5-Sanitized_Model!DJ5</f>
        <v>-3932</v>
      </c>
      <c r="DL9" s="48">
        <f>DL5-Sanitized_Model!DK5</f>
        <v>-61564.264780106241</v>
      </c>
      <c r="DM9" s="48">
        <f>DM5-Sanitized_Model!DL5</f>
        <v>-123560.9904</v>
      </c>
      <c r="DN9" s="48">
        <f>DN5-Sanitized_Model!DM5</f>
        <v>-15953.943720115218</v>
      </c>
      <c r="DO9" s="48">
        <f>DO5-Sanitized_Model!DN5</f>
        <v>0</v>
      </c>
      <c r="DP9" s="48">
        <f>DP5-Sanitized_Model!DO5</f>
        <v>-3932</v>
      </c>
      <c r="DQ9" s="48">
        <f>DQ5-Sanitized_Model!DP5</f>
        <v>0</v>
      </c>
      <c r="DR9" s="48">
        <f>DR5-Sanitized_Model!DQ5</f>
        <v>-5927.5</v>
      </c>
      <c r="DS9" s="48">
        <f>DS5-Sanitized_Model!DR5</f>
        <v>-141510.43412011521</v>
      </c>
      <c r="DT9" s="48">
        <f>DT5-Sanitized_Model!DS5</f>
        <v>-145442.43412011521</v>
      </c>
      <c r="DU9" s="48">
        <f>DU5-Sanitized_Model!DT5</f>
        <v>-3.3471411637285398</v>
      </c>
      <c r="DV9" s="48">
        <f>DV5-Sanitized_Model!DU5</f>
        <v>-3.1976145999348144</v>
      </c>
      <c r="DW9" s="48">
        <f>DW5-Sanitized_Model!DV5</f>
        <v>-2.9567579214399333</v>
      </c>
      <c r="DX9" s="48">
        <f>DX5-Sanitized_Model!DW5</f>
        <v>-10.66956451180843</v>
      </c>
      <c r="DY9" s="48">
        <f>DY5-Sanitized_Model!DX5</f>
        <v>-10.215147197005358</v>
      </c>
      <c r="DZ9" s="48">
        <f>DZ5-Sanitized_Model!DY5</f>
        <v>-8.9179754298030769</v>
      </c>
      <c r="EA9" s="48">
        <f>EA5-Sanitized_Model!DZ5</f>
        <v>-13.625704070261175</v>
      </c>
      <c r="EB9" s="48">
        <f>EB5-Sanitized_Model!EA5</f>
        <v>-13.057418977620769</v>
      </c>
      <c r="EC9" s="48">
        <f>EC5-Sanitized_Model!EB5</f>
        <v>-10.935426356787183</v>
      </c>
      <c r="ED9" s="48">
        <f>ED5-Sanitized_Model!EC5</f>
        <v>-19.044214234164183</v>
      </c>
      <c r="EE9" s="48">
        <f>EE5-Sanitized_Model!ED5</f>
        <v>-18.502705348130693</v>
      </c>
      <c r="EF9" s="48">
        <f>EF5-Sanitized_Model!EE5</f>
        <v>-15.82138585002825</v>
      </c>
      <c r="EG9" s="48">
        <f>EG5-Sanitized_Model!EF5</f>
        <v>-18.255748396946565</v>
      </c>
      <c r="EH9" s="48">
        <f>EH5-Sanitized_Model!EG5</f>
        <v>-17.927309145427287</v>
      </c>
      <c r="EI9" s="48">
        <f>EI5-Sanitized_Model!EH5</f>
        <v>-15.74159041956854</v>
      </c>
      <c r="EJ9" s="48">
        <f>EJ5-Sanitized_Model!EI5</f>
        <v>-17.787080047978158</v>
      </c>
      <c r="EK9" s="48">
        <f>EK5-Sanitized_Model!EJ5</f>
        <v>-17.448480120354031</v>
      </c>
      <c r="EL9" s="48">
        <f>EL5-Sanitized_Model!EK5</f>
        <v>-15.302640506599007</v>
      </c>
      <c r="EM9" s="48">
        <f>EM5-Sanitized_Model!EL5</f>
        <v>-2.2985807533893041</v>
      </c>
      <c r="EN9" s="48">
        <f>EN5-Sanitized_Model!EM5</f>
        <v>-2.5464290360477335</v>
      </c>
      <c r="EO9" s="48">
        <f>EO5-Sanitized_Model!EN5</f>
        <v>-2.6828041895619799</v>
      </c>
    </row>
    <row r="10" spans="2:145" ht="15" customHeight="1">
      <c r="B10" s="50">
        <f>SUM(D9:EO11)</f>
        <v>-3050929.6411532117</v>
      </c>
      <c r="D10" s="48">
        <f>D6-Sanitized_Model!C6</f>
        <v>0</v>
      </c>
      <c r="E10" s="48">
        <f>E6-Sanitized_Model!D6</f>
        <v>0</v>
      </c>
      <c r="F10" s="48">
        <f>F6-Sanitized_Model!E6</f>
        <v>0</v>
      </c>
      <c r="G10" s="48">
        <f>G6-Sanitized_Model!F6</f>
        <v>0</v>
      </c>
      <c r="H10" s="48">
        <f>H6-Sanitized_Model!G6</f>
        <v>0</v>
      </c>
      <c r="I10" s="48">
        <f>I6-Sanitized_Model!H6</f>
        <v>0</v>
      </c>
      <c r="J10" s="48">
        <f>J6-Sanitized_Model!I6</f>
        <v>0</v>
      </c>
      <c r="K10" s="48">
        <f>K6-Sanitized_Model!J6</f>
        <v>0</v>
      </c>
      <c r="L10" s="48">
        <f>L6-Sanitized_Model!K6</f>
        <v>0</v>
      </c>
      <c r="M10" s="48">
        <f>M6-Sanitized_Model!L6</f>
        <v>0</v>
      </c>
      <c r="N10" s="48">
        <f>N6-Sanitized_Model!M6</f>
        <v>0</v>
      </c>
      <c r="O10" s="48">
        <f>O6-Sanitized_Model!N6</f>
        <v>0</v>
      </c>
      <c r="P10" s="48">
        <f>P6-Sanitized_Model!O6</f>
        <v>0</v>
      </c>
      <c r="Q10" s="48">
        <f>Q6-Sanitized_Model!P6</f>
        <v>0</v>
      </c>
      <c r="R10" s="48">
        <f>R6-Sanitized_Model!Q6</f>
        <v>0</v>
      </c>
      <c r="S10" s="48">
        <f>S6-Sanitized_Model!R6</f>
        <v>0</v>
      </c>
      <c r="T10" s="48">
        <f>T6-Sanitized_Model!S6</f>
        <v>0</v>
      </c>
      <c r="U10" s="48">
        <f>U6-Sanitized_Model!T6</f>
        <v>0</v>
      </c>
      <c r="V10" s="48">
        <f>V6-Sanitized_Model!U6</f>
        <v>0</v>
      </c>
      <c r="W10" s="48">
        <f>W6-Sanitized_Model!V6</f>
        <v>0</v>
      </c>
      <c r="X10" s="48">
        <f>X6-Sanitized_Model!W6</f>
        <v>0</v>
      </c>
      <c r="Y10" s="48">
        <f>Y6-Sanitized_Model!X6</f>
        <v>0</v>
      </c>
      <c r="Z10" s="48">
        <f>Z6-Sanitized_Model!Y6</f>
        <v>0</v>
      </c>
      <c r="AA10" s="48">
        <f>AA6-Sanitized_Model!Z6</f>
        <v>0</v>
      </c>
      <c r="AB10" s="48">
        <f>AB6-Sanitized_Model!AA6</f>
        <v>0</v>
      </c>
      <c r="AC10" s="48">
        <f>AC6-Sanitized_Model!AB6</f>
        <v>0</v>
      </c>
      <c r="AD10" s="48">
        <f>AD6-Sanitized_Model!AC6</f>
        <v>0</v>
      </c>
      <c r="AE10" s="48">
        <f>AE6-Sanitized_Model!AD6</f>
        <v>0</v>
      </c>
      <c r="AF10" s="48">
        <f>AF6-Sanitized_Model!AE6</f>
        <v>0</v>
      </c>
      <c r="AG10" s="48">
        <f>AG6-Sanitized_Model!AF6</f>
        <v>0</v>
      </c>
      <c r="AH10" s="48">
        <f>AH6-Sanitized_Model!AG6</f>
        <v>0</v>
      </c>
      <c r="AI10" s="48">
        <f>AI6-Sanitized_Model!AH6</f>
        <v>0</v>
      </c>
      <c r="AJ10" s="48">
        <f>AJ6-Sanitized_Model!AI6</f>
        <v>0</v>
      </c>
      <c r="AK10" s="48">
        <f>AK6-Sanitized_Model!AJ6</f>
        <v>0</v>
      </c>
      <c r="AL10" s="48">
        <f>AL6-Sanitized_Model!AK6</f>
        <v>0</v>
      </c>
      <c r="AM10" s="48">
        <f>AM6-Sanitized_Model!AL6</f>
        <v>0</v>
      </c>
      <c r="AN10" s="48">
        <f>AN6-Sanitized_Model!AM6</f>
        <v>0</v>
      </c>
      <c r="AO10" s="48">
        <f>AO6-Sanitized_Model!AN6</f>
        <v>0</v>
      </c>
      <c r="AP10" s="48">
        <f>AP6-Sanitized_Model!AO6</f>
        <v>0</v>
      </c>
      <c r="AQ10" s="48">
        <f>AQ6-Sanitized_Model!AP6</f>
        <v>0</v>
      </c>
      <c r="AR10" s="48">
        <f>AR6-Sanitized_Model!AQ6</f>
        <v>0</v>
      </c>
      <c r="AS10" s="48">
        <f>AS6-Sanitized_Model!AR6</f>
        <v>0</v>
      </c>
      <c r="AT10" s="48">
        <f>AT6-Sanitized_Model!AS6</f>
        <v>0</v>
      </c>
      <c r="AU10" s="48">
        <f>AU6-Sanitized_Model!AT6</f>
        <v>0</v>
      </c>
      <c r="AV10" s="48">
        <f>AV6-Sanitized_Model!AU6</f>
        <v>0</v>
      </c>
      <c r="AW10" s="48">
        <f>AW6-Sanitized_Model!AV6</f>
        <v>0</v>
      </c>
      <c r="AX10" s="48">
        <f>AX6-Sanitized_Model!AW6</f>
        <v>0</v>
      </c>
      <c r="AY10" s="48">
        <f>AY6-Sanitized_Model!AX6</f>
        <v>0</v>
      </c>
      <c r="AZ10" s="48">
        <f>AZ6-Sanitized_Model!AY6</f>
        <v>0</v>
      </c>
      <c r="BA10" s="48">
        <f>BA6-Sanitized_Model!AZ6</f>
        <v>0</v>
      </c>
      <c r="BB10" s="48">
        <f>BB6-Sanitized_Model!BA6</f>
        <v>0</v>
      </c>
      <c r="BC10" s="48">
        <f>BC6-Sanitized_Model!BB6</f>
        <v>0</v>
      </c>
      <c r="BD10" s="48">
        <f>BD6-Sanitized_Model!BC6</f>
        <v>0</v>
      </c>
      <c r="BE10" s="48">
        <f>BE6-Sanitized_Model!BD6</f>
        <v>0</v>
      </c>
      <c r="BF10" s="48">
        <f>BF6-Sanitized_Model!BE6</f>
        <v>0</v>
      </c>
      <c r="BG10" s="48">
        <f>BG6-Sanitized_Model!BF6</f>
        <v>0</v>
      </c>
      <c r="BH10" s="48">
        <f>BH6-Sanitized_Model!BG6</f>
        <v>0</v>
      </c>
      <c r="BI10" s="48">
        <f>BI6-Sanitized_Model!BH6</f>
        <v>0</v>
      </c>
      <c r="BJ10" s="48">
        <f>BJ6-Sanitized_Model!BI6</f>
        <v>0</v>
      </c>
      <c r="BK10" s="48">
        <f>BK6-Sanitized_Model!BJ6</f>
        <v>0</v>
      </c>
      <c r="BL10" s="48">
        <f>BL6-Sanitized_Model!BK6</f>
        <v>0</v>
      </c>
      <c r="BM10" s="48">
        <f>BM6-Sanitized_Model!BL6</f>
        <v>0</v>
      </c>
      <c r="BN10" s="48">
        <f>BN6-Sanitized_Model!BM6</f>
        <v>0</v>
      </c>
      <c r="BO10" s="48">
        <f>BO6-Sanitized_Model!BN6</f>
        <v>0</v>
      </c>
      <c r="BP10" s="48">
        <f>BP6-Sanitized_Model!BO6</f>
        <v>0</v>
      </c>
      <c r="BQ10" s="48">
        <f>BQ6-Sanitized_Model!BP6</f>
        <v>0</v>
      </c>
      <c r="BR10" s="48">
        <f>BR6-Sanitized_Model!BQ6</f>
        <v>0</v>
      </c>
      <c r="BS10" s="48">
        <f>BS6-Sanitized_Model!BR6</f>
        <v>-3</v>
      </c>
      <c r="BT10" s="48">
        <f>BT6-Sanitized_Model!BS6</f>
        <v>-1974.2647801062458</v>
      </c>
      <c r="BU10" s="48">
        <f>BU6-Sanitized_Model!BT6</f>
        <v>-8946.9062531545151</v>
      </c>
      <c r="BV10" s="48">
        <f>BV6-Sanitized_Model!BU6</f>
        <v>-16977.264780106245</v>
      </c>
      <c r="BW10" s="48">
        <f>BW6-Sanitized_Model!BV6</f>
        <v>-8863</v>
      </c>
      <c r="BX10" s="48">
        <f>BX6-Sanitized_Model!BW6</f>
        <v>-863</v>
      </c>
      <c r="BY10" s="48">
        <f>BY6-Sanitized_Model!BX6</f>
        <v>-246.78309751328072</v>
      </c>
      <c r="BZ10" s="48">
        <f>BZ6-Sanitized_Model!BY6</f>
        <v>-9479.2169024867198</v>
      </c>
      <c r="CA10" s="48">
        <f>CA6-Sanitized_Model!BZ6</f>
        <v>0</v>
      </c>
      <c r="CB10" s="48">
        <f>CB6-Sanitized_Model!CA6</f>
        <v>0</v>
      </c>
      <c r="CC10" s="48">
        <f>CC6-Sanitized_Model!CB6</f>
        <v>0</v>
      </c>
      <c r="CD10" s="48">
        <f>CD6-Sanitized_Model!CC6</f>
        <v>0</v>
      </c>
      <c r="CE10" s="48">
        <f>CE6-Sanitized_Model!CD6</f>
        <v>-11713</v>
      </c>
      <c r="CF10" s="48">
        <f>CF6-Sanitized_Model!CE6</f>
        <v>-12303</v>
      </c>
      <c r="CG10" s="48">
        <f>CG6-Sanitized_Model!CF6</f>
        <v>-14318</v>
      </c>
      <c r="CH10" s="48">
        <f>CH6-Sanitized_Model!CG6</f>
        <v>-9479.2169024867198</v>
      </c>
      <c r="CI10" s="48">
        <f>CI6-Sanitized_Model!CH6</f>
        <v>-9931.2169024867198</v>
      </c>
      <c r="CJ10" s="48">
        <f>CJ6-Sanitized_Model!CI6</f>
        <v>-12034.21690248672</v>
      </c>
      <c r="CK10" s="48">
        <f>CK6-Sanitized_Model!CJ6</f>
        <v>-6524.2927024867195</v>
      </c>
      <c r="CL10" s="48">
        <f>CL6-Sanitized_Model!CK6</f>
        <v>-6741.7609024867188</v>
      </c>
      <c r="CM10" s="48">
        <f>CM6-Sanitized_Model!CL6</f>
        <v>-8037.9169024867197</v>
      </c>
      <c r="CN10" s="48">
        <f>CN6-Sanitized_Model!CM6</f>
        <v>-5862</v>
      </c>
      <c r="CO10" s="48">
        <f>CO6-Sanitized_Model!CN6</f>
        <v>-5986</v>
      </c>
      <c r="CP10" s="48">
        <f>CP6-Sanitized_Model!CO6</f>
        <v>-6943</v>
      </c>
      <c r="CQ10" s="48">
        <f>CQ6-Sanitized_Model!CP6</f>
        <v>-5818.6710000000003</v>
      </c>
      <c r="CR10" s="48">
        <f>CR6-Sanitized_Model!CQ6</f>
        <v>-5949.1743999999999</v>
      </c>
      <c r="CS10" s="48">
        <f>CS6-Sanitized_Model!CR6</f>
        <v>-6910.5</v>
      </c>
      <c r="CT10" s="48">
        <f>CT6-Sanitized_Model!CS6</f>
        <v>-123550.19039999999</v>
      </c>
      <c r="CU10" s="48">
        <f>CU6-Sanitized_Model!CT6</f>
        <v>0</v>
      </c>
      <c r="CV10" s="48">
        <f>CV6-Sanitized_Model!CU6</f>
        <v>-0.2</v>
      </c>
      <c r="CW10" s="48">
        <f>CW6-Sanitized_Model!CV6</f>
        <v>-10.8</v>
      </c>
      <c r="CX10" s="48">
        <f>CX6-Sanitized_Model!CW6</f>
        <v>0</v>
      </c>
      <c r="CY10" s="48">
        <f>CY6-Sanitized_Model!CX6</f>
        <v>0</v>
      </c>
      <c r="CZ10" s="48">
        <f>CZ6-Sanitized_Model!CY6</f>
        <v>0</v>
      </c>
      <c r="DA10" s="48">
        <f>DA6-Sanitized_Model!CZ6</f>
        <v>0</v>
      </c>
      <c r="DB10" s="48">
        <f>DB6-Sanitized_Model!DA6</f>
        <v>0</v>
      </c>
      <c r="DC10" s="48">
        <f>DC6-Sanitized_Model!DB6</f>
        <v>-123560.9904</v>
      </c>
      <c r="DD10" s="48">
        <f>DD6-Sanitized_Model!DC6</f>
        <v>-13979.678940008973</v>
      </c>
      <c r="DE10" s="48">
        <f>DE6-Sanitized_Model!DD6</f>
        <v>-1974.2647801062458</v>
      </c>
      <c r="DF10" s="48">
        <f>DF6-Sanitized_Model!DE6</f>
        <v>-15953.943720115218</v>
      </c>
      <c r="DG10" s="48">
        <f>DG6-Sanitized_Model!DF6</f>
        <v>0</v>
      </c>
      <c r="DH10" s="48">
        <f>DH6-Sanitized_Model!DG6</f>
        <v>-45907</v>
      </c>
      <c r="DI10" s="48">
        <f>DI6-Sanitized_Model!DH6</f>
        <v>-16977.264780106245</v>
      </c>
      <c r="DJ10" s="48">
        <f>DJ6-Sanitized_Model!DI6</f>
        <v>0</v>
      </c>
      <c r="DK10" s="48">
        <f>DK6-Sanitized_Model!DJ6</f>
        <v>-3932</v>
      </c>
      <c r="DL10" s="48">
        <f>DL6-Sanitized_Model!DK6</f>
        <v>-58952.264780106241</v>
      </c>
      <c r="DM10" s="48">
        <f>DM6-Sanitized_Model!DL6</f>
        <v>-123560.9904</v>
      </c>
      <c r="DN10" s="48">
        <f>DN6-Sanitized_Model!DM6</f>
        <v>-15953.943720115218</v>
      </c>
      <c r="DO10" s="48">
        <f>DO6-Sanitized_Model!DN6</f>
        <v>0</v>
      </c>
      <c r="DP10" s="48">
        <f>DP6-Sanitized_Model!DO6</f>
        <v>-3932</v>
      </c>
      <c r="DQ10" s="48">
        <f>DQ6-Sanitized_Model!DP6</f>
        <v>0</v>
      </c>
      <c r="DR10" s="48">
        <f>DR6-Sanitized_Model!DQ6</f>
        <v>-5927.5</v>
      </c>
      <c r="DS10" s="48">
        <f>DS6-Sanitized_Model!DR6</f>
        <v>-141510.43412011521</v>
      </c>
      <c r="DT10" s="48">
        <f>DT6-Sanitized_Model!DS6</f>
        <v>-145442.43412011521</v>
      </c>
      <c r="DU10" s="48">
        <f>DU6-Sanitized_Model!DT6</f>
        <v>-3.3471411637285398</v>
      </c>
      <c r="DV10" s="48">
        <f>DV6-Sanitized_Model!DU6</f>
        <v>-3.1976145999348144</v>
      </c>
      <c r="DW10" s="48">
        <f>DW6-Sanitized_Model!DV6</f>
        <v>-2.9567579214399333</v>
      </c>
      <c r="DX10" s="48">
        <f>DX6-Sanitized_Model!DW6</f>
        <v>-12.081485026903032</v>
      </c>
      <c r="DY10" s="48">
        <f>DY6-Sanitized_Model!DX6</f>
        <v>-11.502107950915647</v>
      </c>
      <c r="DZ10" s="48">
        <f>DZ6-Sanitized_Model!DY6</f>
        <v>-9.8833939181530397</v>
      </c>
      <c r="EA10" s="48">
        <f>EA6-Sanitized_Model!DZ6</f>
        <v>-14.928494154722024</v>
      </c>
      <c r="EB10" s="48">
        <f>EB6-Sanitized_Model!EA6</f>
        <v>-14.249052810907978</v>
      </c>
      <c r="EC10" s="48">
        <f>EC6-Sanitized_Model!EB6</f>
        <v>-11.759006445269726</v>
      </c>
      <c r="ED10" s="48">
        <f>ED6-Sanitized_Model!EC6</f>
        <v>-21.689773983650188</v>
      </c>
      <c r="EE10" s="48">
        <f>EE6-Sanitized_Model!ED6</f>
        <v>-20.990129458302007</v>
      </c>
      <c r="EF10" s="48">
        <f>EF6-Sanitized_Model!EE6</f>
        <v>-17.605361667316519</v>
      </c>
      <c r="EG10" s="48">
        <f>EG6-Sanitized_Model!EF6</f>
        <v>-21.07829928352098</v>
      </c>
      <c r="EH10" s="48">
        <f>EH6-Sanitized_Model!EG6</f>
        <v>-20.641662278650184</v>
      </c>
      <c r="EI10" s="48">
        <f>EI6-Sanitized_Model!EH6</f>
        <v>-17.796484286331555</v>
      </c>
      <c r="EJ10" s="48">
        <f>EJ6-Sanitized_Model!EI6</f>
        <v>-20.557648026499521</v>
      </c>
      <c r="EK10" s="48">
        <f>EK6-Sanitized_Model!EJ6</f>
        <v>-20.106687475828579</v>
      </c>
      <c r="EL10" s="48">
        <f>EL6-Sanitized_Model!EK6</f>
        <v>-17.309628883582953</v>
      </c>
      <c r="EM10" s="48">
        <f>EM6-Sanitized_Model!EL6</f>
        <v>-2.400424048981892</v>
      </c>
      <c r="EN10" s="48">
        <f>EN6-Sanitized_Model!EM6</f>
        <v>-2.6913148408739405</v>
      </c>
      <c r="EO10" s="48">
        <f>EO6-Sanitized_Model!EN6</f>
        <v>-2.8497484312090529</v>
      </c>
    </row>
    <row r="11" spans="2:145" ht="15" customHeight="1">
      <c r="D11" s="48">
        <f>D7-Sanitized_Model!C7</f>
        <v>0</v>
      </c>
      <c r="E11" s="48">
        <f>E7-Sanitized_Model!D7</f>
        <v>0</v>
      </c>
      <c r="F11" s="48">
        <f>F7-Sanitized_Model!E7</f>
        <v>0</v>
      </c>
      <c r="G11" s="48">
        <f>G7-Sanitized_Model!F7</f>
        <v>0</v>
      </c>
      <c r="H11" s="48">
        <f>H7-Sanitized_Model!G7</f>
        <v>0</v>
      </c>
      <c r="I11" s="48">
        <f>I7-Sanitized_Model!H7</f>
        <v>0</v>
      </c>
      <c r="J11" s="48">
        <f>J7-Sanitized_Model!I7</f>
        <v>0</v>
      </c>
      <c r="K11" s="48">
        <f>K7-Sanitized_Model!J7</f>
        <v>0</v>
      </c>
      <c r="L11" s="48">
        <f>L7-Sanitized_Model!K7</f>
        <v>0</v>
      </c>
      <c r="M11" s="48">
        <f>M7-Sanitized_Model!L7</f>
        <v>0</v>
      </c>
      <c r="N11" s="48">
        <f>N7-Sanitized_Model!M7</f>
        <v>0</v>
      </c>
      <c r="O11" s="48">
        <f>O7-Sanitized_Model!N7</f>
        <v>0</v>
      </c>
      <c r="P11" s="48">
        <f>P7-Sanitized_Model!O7</f>
        <v>0</v>
      </c>
      <c r="Q11" s="48">
        <f>Q7-Sanitized_Model!P7</f>
        <v>0</v>
      </c>
      <c r="R11" s="48">
        <f>R7-Sanitized_Model!Q7</f>
        <v>0</v>
      </c>
      <c r="S11" s="48">
        <f>S7-Sanitized_Model!R7</f>
        <v>0</v>
      </c>
      <c r="T11" s="48">
        <f>T7-Sanitized_Model!S7</f>
        <v>0</v>
      </c>
      <c r="U11" s="48">
        <f>U7-Sanitized_Model!T7</f>
        <v>0</v>
      </c>
      <c r="V11" s="48">
        <f>V7-Sanitized_Model!U7</f>
        <v>0</v>
      </c>
      <c r="W11" s="48">
        <f>W7-Sanitized_Model!V7</f>
        <v>0</v>
      </c>
      <c r="X11" s="48">
        <f>X7-Sanitized_Model!W7</f>
        <v>0</v>
      </c>
      <c r="Y11" s="48">
        <f>Y7-Sanitized_Model!X7</f>
        <v>0</v>
      </c>
      <c r="Z11" s="48">
        <f>Z7-Sanitized_Model!Y7</f>
        <v>0</v>
      </c>
      <c r="AA11" s="48">
        <f>AA7-Sanitized_Model!Z7</f>
        <v>0</v>
      </c>
      <c r="AB11" s="48">
        <f>AB7-Sanitized_Model!AA7</f>
        <v>0</v>
      </c>
      <c r="AC11" s="48">
        <f>AC7-Sanitized_Model!AB7</f>
        <v>0</v>
      </c>
      <c r="AD11" s="48">
        <f>AD7-Sanitized_Model!AC7</f>
        <v>0</v>
      </c>
      <c r="AE11" s="48">
        <f>AE7-Sanitized_Model!AD7</f>
        <v>0</v>
      </c>
      <c r="AF11" s="48">
        <f>AF7-Sanitized_Model!AE7</f>
        <v>0</v>
      </c>
      <c r="AG11" s="48">
        <f>AG7-Sanitized_Model!AF7</f>
        <v>0</v>
      </c>
      <c r="AH11" s="48">
        <f>AH7-Sanitized_Model!AG7</f>
        <v>0</v>
      </c>
      <c r="AI11" s="48">
        <f>AI7-Sanitized_Model!AH7</f>
        <v>0</v>
      </c>
      <c r="AJ11" s="48">
        <f>AJ7-Sanitized_Model!AI7</f>
        <v>0</v>
      </c>
      <c r="AK11" s="48">
        <f>AK7-Sanitized_Model!AJ7</f>
        <v>0</v>
      </c>
      <c r="AL11" s="48">
        <f>AL7-Sanitized_Model!AK7</f>
        <v>0</v>
      </c>
      <c r="AM11" s="48">
        <f>AM7-Sanitized_Model!AL7</f>
        <v>0</v>
      </c>
      <c r="AN11" s="48">
        <f>AN7-Sanitized_Model!AM7</f>
        <v>0</v>
      </c>
      <c r="AO11" s="48">
        <f>AO7-Sanitized_Model!AN7</f>
        <v>0</v>
      </c>
      <c r="AP11" s="48">
        <f>AP7-Sanitized_Model!AO7</f>
        <v>0</v>
      </c>
      <c r="AQ11" s="48">
        <f>AQ7-Sanitized_Model!AP7</f>
        <v>0</v>
      </c>
      <c r="AR11" s="48">
        <f>AR7-Sanitized_Model!AQ7</f>
        <v>0</v>
      </c>
      <c r="AS11" s="48">
        <f>AS7-Sanitized_Model!AR7</f>
        <v>0</v>
      </c>
      <c r="AT11" s="48">
        <f>AT7-Sanitized_Model!AS7</f>
        <v>0</v>
      </c>
      <c r="AU11" s="48">
        <f>AU7-Sanitized_Model!AT7</f>
        <v>0</v>
      </c>
      <c r="AV11" s="48">
        <f>AV7-Sanitized_Model!AU7</f>
        <v>0</v>
      </c>
      <c r="AW11" s="48">
        <f>AW7-Sanitized_Model!AV7</f>
        <v>0</v>
      </c>
      <c r="AX11" s="48">
        <f>AX7-Sanitized_Model!AW7</f>
        <v>0</v>
      </c>
      <c r="AY11" s="48">
        <f>AY7-Sanitized_Model!AX7</f>
        <v>0</v>
      </c>
      <c r="AZ11" s="48">
        <f>AZ7-Sanitized_Model!AY7</f>
        <v>0</v>
      </c>
      <c r="BA11" s="48">
        <f>BA7-Sanitized_Model!AZ7</f>
        <v>0</v>
      </c>
      <c r="BB11" s="48">
        <f>BB7-Sanitized_Model!BA7</f>
        <v>0</v>
      </c>
      <c r="BC11" s="48">
        <f>BC7-Sanitized_Model!BB7</f>
        <v>0</v>
      </c>
      <c r="BD11" s="48">
        <f>BD7-Sanitized_Model!BC7</f>
        <v>0</v>
      </c>
      <c r="BE11" s="48">
        <f>BE7-Sanitized_Model!BD7</f>
        <v>0</v>
      </c>
      <c r="BF11" s="48">
        <f>BF7-Sanitized_Model!BE7</f>
        <v>0</v>
      </c>
      <c r="BG11" s="48">
        <f>BG7-Sanitized_Model!BF7</f>
        <v>0</v>
      </c>
      <c r="BH11" s="48">
        <f>BH7-Sanitized_Model!BG7</f>
        <v>0</v>
      </c>
      <c r="BI11" s="48">
        <f>BI7-Sanitized_Model!BH7</f>
        <v>0</v>
      </c>
      <c r="BJ11" s="48">
        <f>BJ7-Sanitized_Model!BI7</f>
        <v>0</v>
      </c>
      <c r="BK11" s="48">
        <f>BK7-Sanitized_Model!BJ7</f>
        <v>0</v>
      </c>
      <c r="BL11" s="48">
        <f>BL7-Sanitized_Model!BK7</f>
        <v>0</v>
      </c>
      <c r="BM11" s="48">
        <f>BM7-Sanitized_Model!BL7</f>
        <v>0</v>
      </c>
      <c r="BN11" s="48">
        <f>BN7-Sanitized_Model!BM7</f>
        <v>0</v>
      </c>
      <c r="BO11" s="48">
        <f>BO7-Sanitized_Model!BN7</f>
        <v>0</v>
      </c>
      <c r="BP11" s="48">
        <f>BP7-Sanitized_Model!BO7</f>
        <v>0</v>
      </c>
      <c r="BQ11" s="48">
        <f>BQ7-Sanitized_Model!BP7</f>
        <v>0</v>
      </c>
      <c r="BR11" s="48">
        <f>BR7-Sanitized_Model!BQ7</f>
        <v>0</v>
      </c>
      <c r="BS11" s="48">
        <f>BS7-Sanitized_Model!BR7</f>
        <v>0</v>
      </c>
      <c r="BT11" s="48">
        <f>BT7-Sanitized_Model!BS7</f>
        <v>0</v>
      </c>
      <c r="BU11" s="48">
        <f>BU7-Sanitized_Model!BT7</f>
        <v>-8863</v>
      </c>
      <c r="BV11" s="48">
        <f>BV7-Sanitized_Model!BU7</f>
        <v>-15003</v>
      </c>
      <c r="BW11" s="48">
        <f>BW7-Sanitized_Model!BV7</f>
        <v>-8863</v>
      </c>
      <c r="BX11" s="48">
        <f>BX7-Sanitized_Model!BW7</f>
        <v>0</v>
      </c>
      <c r="BY11" s="48">
        <f>BY7-Sanitized_Model!BX7</f>
        <v>0</v>
      </c>
      <c r="BZ11" s="48">
        <f>BZ7-Sanitized_Model!BY7</f>
        <v>-8863</v>
      </c>
      <c r="CA11" s="48">
        <f>CA7-Sanitized_Model!BZ7</f>
        <v>0</v>
      </c>
      <c r="CB11" s="48">
        <f>CB7-Sanitized_Model!CA7</f>
        <v>0</v>
      </c>
      <c r="CC11" s="48">
        <f>CC7-Sanitized_Model!CB7</f>
        <v>0</v>
      </c>
      <c r="CD11" s="48">
        <f>CD7-Sanitized_Model!CC7</f>
        <v>0</v>
      </c>
      <c r="CE11" s="48">
        <f>CE7-Sanitized_Model!CD7</f>
        <v>-10850</v>
      </c>
      <c r="CF11" s="48">
        <f>CF7-Sanitized_Model!CE7</f>
        <v>-11440</v>
      </c>
      <c r="CG11" s="48">
        <f>CG7-Sanitized_Model!CF7</f>
        <v>-13455</v>
      </c>
      <c r="CH11" s="48">
        <f>CH7-Sanitized_Model!CG7</f>
        <v>-8863</v>
      </c>
      <c r="CI11" s="48">
        <f>CI7-Sanitized_Model!CH7</f>
        <v>-9315</v>
      </c>
      <c r="CJ11" s="48">
        <f>CJ7-Sanitized_Model!CI7</f>
        <v>-11418</v>
      </c>
      <c r="CK11" s="48">
        <f>CK7-Sanitized_Model!CJ7</f>
        <v>-5908.0758000000005</v>
      </c>
      <c r="CL11" s="48">
        <f>CL7-Sanitized_Model!CK7</f>
        <v>-6125.5439999999999</v>
      </c>
      <c r="CM11" s="48">
        <f>CM7-Sanitized_Model!CL7</f>
        <v>-7421.7</v>
      </c>
      <c r="CN11" s="48">
        <f>CN7-Sanitized_Model!CM7</f>
        <v>-5862</v>
      </c>
      <c r="CO11" s="48">
        <f>CO7-Sanitized_Model!CN7</f>
        <v>-5986</v>
      </c>
      <c r="CP11" s="48">
        <f>CP7-Sanitized_Model!CO7</f>
        <v>-6943</v>
      </c>
      <c r="CQ11" s="48">
        <f>CQ7-Sanitized_Model!CP7</f>
        <v>-5818.6710000000003</v>
      </c>
      <c r="CR11" s="48">
        <f>CR7-Sanitized_Model!CQ7</f>
        <v>-5949.1743999999999</v>
      </c>
      <c r="CS11" s="48">
        <f>CS7-Sanitized_Model!CR7</f>
        <v>-6910.5</v>
      </c>
      <c r="CT11" s="48">
        <f>CT7-Sanitized_Model!CS7</f>
        <v>-123550.19039999999</v>
      </c>
      <c r="CU11" s="48">
        <f>CU7-Sanitized_Model!CT7</f>
        <v>0</v>
      </c>
      <c r="CV11" s="48">
        <f>CV7-Sanitized_Model!CU7</f>
        <v>-0.2</v>
      </c>
      <c r="CW11" s="48">
        <f>CW7-Sanitized_Model!CV7</f>
        <v>-10.8</v>
      </c>
      <c r="CX11" s="48">
        <f>CX7-Sanitized_Model!CW7</f>
        <v>0</v>
      </c>
      <c r="CY11" s="48">
        <f>CY7-Sanitized_Model!CX7</f>
        <v>0</v>
      </c>
      <c r="CZ11" s="48">
        <f>CZ7-Sanitized_Model!CY7</f>
        <v>0</v>
      </c>
      <c r="DA11" s="48">
        <f>DA7-Sanitized_Model!CZ7</f>
        <v>0</v>
      </c>
      <c r="DB11" s="48">
        <f>DB7-Sanitized_Model!DA7</f>
        <v>0</v>
      </c>
      <c r="DC11" s="48">
        <f>DC7-Sanitized_Model!DB7</f>
        <v>-123560.9904</v>
      </c>
      <c r="DD11" s="48">
        <f>DD7-Sanitized_Model!DC7</f>
        <v>-13979.678940008973</v>
      </c>
      <c r="DE11" s="48">
        <f>DE7-Sanitized_Model!DD7</f>
        <v>0</v>
      </c>
      <c r="DF11" s="48">
        <f>DF7-Sanitized_Model!DE7</f>
        <v>-13979.678940008973</v>
      </c>
      <c r="DG11" s="48">
        <f>DG7-Sanitized_Model!DF7</f>
        <v>0</v>
      </c>
      <c r="DH11" s="48">
        <f>DH7-Sanitized_Model!DG7</f>
        <v>-45907</v>
      </c>
      <c r="DI11" s="48">
        <f>DI7-Sanitized_Model!DH7</f>
        <v>-15003</v>
      </c>
      <c r="DJ11" s="48">
        <f>DJ7-Sanitized_Model!DI7</f>
        <v>0</v>
      </c>
      <c r="DK11" s="48">
        <f>DK7-Sanitized_Model!DJ7</f>
        <v>-3932</v>
      </c>
      <c r="DL11" s="48">
        <f>DL7-Sanitized_Model!DK7</f>
        <v>-56978</v>
      </c>
      <c r="DM11" s="48">
        <f>DM7-Sanitized_Model!DL7</f>
        <v>-123560.9904</v>
      </c>
      <c r="DN11" s="48">
        <f>DN7-Sanitized_Model!DM7</f>
        <v>-13979.678940008973</v>
      </c>
      <c r="DO11" s="48">
        <f>DO7-Sanitized_Model!DN7</f>
        <v>0</v>
      </c>
      <c r="DP11" s="48">
        <f>DP7-Sanitized_Model!DO7</f>
        <v>-3932</v>
      </c>
      <c r="DQ11" s="48">
        <f>DQ7-Sanitized_Model!DP7</f>
        <v>0</v>
      </c>
      <c r="DR11" s="48">
        <f>DR7-Sanitized_Model!DQ7</f>
        <v>-5927.5</v>
      </c>
      <c r="DS11" s="48">
        <f>DS7-Sanitized_Model!DR7</f>
        <v>-139536.16934000896</v>
      </c>
      <c r="DT11" s="48">
        <f>DT7-Sanitized_Model!DS7</f>
        <v>-143468.16934000896</v>
      </c>
      <c r="DU11" s="48">
        <f>DU7-Sanitized_Model!DT7</f>
        <v>-3.3004439505182117</v>
      </c>
      <c r="DV11" s="48">
        <f>DV7-Sanitized_Model!DU7</f>
        <v>-3.1530034875157376</v>
      </c>
      <c r="DW11" s="48">
        <f>DW7-Sanitized_Model!DV7</f>
        <v>-2.9155070902634552</v>
      </c>
      <c r="DX11" s="48">
        <f>DX7-Sanitized_Model!DW7</f>
        <v>-12.860476436867184</v>
      </c>
      <c r="DY11" s="48">
        <f>DY7-Sanitized_Model!DX7</f>
        <v>-12.197217599651133</v>
      </c>
      <c r="DZ11" s="48">
        <f>DZ7-Sanitized_Model!DY7</f>
        <v>-10.370581147529466</v>
      </c>
      <c r="EA11" s="48">
        <f>EA7-Sanitized_Model!DZ7</f>
        <v>-15.743672496898224</v>
      </c>
      <c r="EB11" s="48">
        <f>EB7-Sanitized_Model!EA7</f>
        <v>-14.979728324209228</v>
      </c>
      <c r="EC11" s="48">
        <f>EC7-Sanitized_Model!EB7</f>
        <v>-12.220718982309419</v>
      </c>
      <c r="ED11" s="48">
        <f>ED7-Sanitized_Model!EC7</f>
        <v>-23.617870532400573</v>
      </c>
      <c r="EE11" s="48">
        <f>EE7-Sanitized_Model!ED7</f>
        <v>-22.779392220512815</v>
      </c>
      <c r="EF11" s="48">
        <f>EF7-Sanitized_Model!EE7</f>
        <v>-18.801106126629879</v>
      </c>
      <c r="EG11" s="48">
        <f>EG7-Sanitized_Model!EF7</f>
        <v>-21.07829928352098</v>
      </c>
      <c r="EH11" s="48">
        <f>EH7-Sanitized_Model!EG7</f>
        <v>-20.641662278650184</v>
      </c>
      <c r="EI11" s="48">
        <f>EI7-Sanitized_Model!EH7</f>
        <v>-17.796484286331555</v>
      </c>
      <c r="EJ11" s="48">
        <f>EJ7-Sanitized_Model!EI7</f>
        <v>-20.557648026499521</v>
      </c>
      <c r="EK11" s="48">
        <f>EK7-Sanitized_Model!EJ7</f>
        <v>-20.106687475828579</v>
      </c>
      <c r="EL11" s="48">
        <f>EL7-Sanitized_Model!EK7</f>
        <v>-17.309628883582953</v>
      </c>
      <c r="EM11" s="48">
        <f>EM7-Sanitized_Model!EL7</f>
        <v>-2.4489481789464174</v>
      </c>
      <c r="EN11" s="48">
        <f>EN7-Sanitized_Model!EM7</f>
        <v>-2.6913148408739405</v>
      </c>
      <c r="EO11" s="48">
        <f>EO7-Sanitized_Model!EN7</f>
        <v>-2.8497484312090529</v>
      </c>
    </row>
    <row r="13" spans="2:145" ht="15" customHeight="1">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row>
    <row r="14" spans="2:145" ht="15" customHeight="1">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c r="EO14" s="24"/>
    </row>
    <row r="15" spans="2:145" ht="15" customHeight="1">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c r="EO15" s="24"/>
    </row>
  </sheetData>
  <dataValidations count="1">
    <dataValidation type="list" allowBlank="1" showInputMessage="1" showErrorMessage="1" sqref="B9">
      <formula1>"TRUE, FALSE"</formula1>
    </dataValidation>
  </dataValidations>
  <pageMargins left="0.7" right="0.7" top="0.75" bottom="0.75" header="0.3" footer="0.3"/>
  <pageSetup paperSize="132" orientation="portrait" horizontalDpi="300" verticalDpi="30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Sanitized_Model</vt:lpstr>
      <vt:lpstr>Check</vt:lpstr>
    </vt:vector>
  </TitlesOfParts>
  <Company>Stern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Aswath Damodaran</dc:creator>
  <cp:lastModifiedBy>Rafael Nicolas Fermin Cota</cp:lastModifiedBy>
  <dcterms:created xsi:type="dcterms:W3CDTF">1999-02-04T13:48:15Z</dcterms:created>
  <dcterms:modified xsi:type="dcterms:W3CDTF">2017-03-15T20:06:00Z</dcterms:modified>
</cp:coreProperties>
</file>