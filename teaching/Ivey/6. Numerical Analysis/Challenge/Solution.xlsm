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111" codeName="{296A6A55-71EF-3FAC-97E6-161027D96622}"/>
  <workbookPr date1904="1" showInkAnnotation="0" codeName="ThisWorkbook" autoCompressPictures="0"/>
  <mc:AlternateContent xmlns:mc="http://schemas.openxmlformats.org/markup-compatibility/2006">
    <mc:Choice Requires="x15">
      <x15ac:absPath xmlns:x15ac="http://schemas.microsoft.com/office/spreadsheetml/2010/11/ac" url="/Users/nico/Dropbox/TEACHING/Schools/3_Ivey/2009-2017/1. Class Material/2. DATA MGMT EXCEL/CLASS/2. Challenges/"/>
    </mc:Choice>
  </mc:AlternateContent>
  <xr:revisionPtr revIDLastSave="0" documentId="13_ncr:1_{11D545C2-DFDB-D745-9CA9-92A9A88CE397}" xr6:coauthVersionLast="47" xr6:coauthVersionMax="47" xr10:uidLastSave="{00000000-0000-0000-0000-000000000000}"/>
  <bookViews>
    <workbookView xWindow="1100" yWindow="1260" windowWidth="25060" windowHeight="14080" tabRatio="898" activeTab="3" xr2:uid="{00000000-000D-0000-FFFF-FFFF00000000}"/>
  </bookViews>
  <sheets>
    <sheet name="Sanitized_Model" sheetId="12" r:id="rId1"/>
    <sheet name="Headings" sheetId="14" r:id="rId2"/>
    <sheet name="Check" sheetId="13" r:id="rId3"/>
    <sheet name="Solvers" sheetId="16" r:id="rId4"/>
  </sheets>
  <functionGroups builtInGroupCount="19"/>
  <definedNames>
    <definedName name="INDEX">Solvers!$A$6:$A$14</definedName>
  </definedNames>
  <calcPr calcId="191029" iterate="1"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14" i="16" l="1"/>
  <c r="B4" i="13" a="1"/>
  <c r="CU5" i="13"/>
  <c r="C14" i="16"/>
  <c r="I5" i="13"/>
  <c r="C13" i="16"/>
  <c r="M5" i="13"/>
  <c r="C12" i="16"/>
  <c r="K5" i="13"/>
  <c r="C11" i="16"/>
  <c r="L5" i="13"/>
  <c r="C10" i="16"/>
  <c r="D5" i="13"/>
  <c r="C9" i="16"/>
  <c r="J5" i="13"/>
  <c r="C8" i="16"/>
  <c r="E5" i="13"/>
  <c r="C7" i="16"/>
  <c r="F5" i="13"/>
  <c r="C6" i="16"/>
  <c r="CU4" i="13"/>
  <c r="B14" i="16"/>
  <c r="I4" i="13"/>
  <c r="B13" i="16"/>
  <c r="M4" i="13"/>
  <c r="B12" i="16"/>
  <c r="K4" i="13"/>
  <c r="B11" i="16"/>
  <c r="L4" i="13"/>
  <c r="B10" i="16"/>
  <c r="D4" i="13"/>
  <c r="B9" i="16"/>
  <c r="J4" i="13"/>
  <c r="B8" i="16"/>
  <c r="E4" i="13"/>
  <c r="B7" i="16"/>
  <c r="F4" i="13"/>
  <c r="B6" i="16"/>
  <c r="C20" i="16"/>
  <c r="E5" i="16" a="1"/>
  <c r="E5" i="16"/>
  <c r="F5" i="16"/>
  <c r="G5" i="16"/>
  <c r="H5" i="16"/>
  <c r="I5" i="16"/>
  <c r="J5" i="16"/>
  <c r="E6" i="16"/>
  <c r="F6" i="16"/>
  <c r="G6" i="16"/>
  <c r="H6" i="16"/>
  <c r="I6" i="16"/>
  <c r="J6" i="16"/>
  <c r="E7" i="16"/>
  <c r="F7" i="16"/>
  <c r="G7" i="16"/>
  <c r="H7" i="16"/>
  <c r="I7" i="16"/>
  <c r="J7" i="16"/>
  <c r="E8" i="16"/>
  <c r="F8" i="16"/>
  <c r="G8" i="16"/>
  <c r="H8" i="16"/>
  <c r="I8" i="16"/>
  <c r="J8" i="16"/>
  <c r="E9" i="16"/>
  <c r="F9" i="16"/>
  <c r="G9" i="16"/>
  <c r="H9" i="16"/>
  <c r="I9" i="16"/>
  <c r="J9" i="16"/>
  <c r="E10" i="16"/>
  <c r="F10" i="16"/>
  <c r="G10" i="16"/>
  <c r="H10" i="16"/>
  <c r="I10" i="16"/>
  <c r="J10" i="16"/>
  <c r="E11" i="16"/>
  <c r="F11" i="16"/>
  <c r="G11" i="16"/>
  <c r="H11" i="16"/>
  <c r="I11" i="16"/>
  <c r="J11" i="16"/>
  <c r="E12" i="16"/>
  <c r="F12" i="16"/>
  <c r="G12" i="16"/>
  <c r="H12" i="16"/>
  <c r="I12" i="16"/>
  <c r="J12" i="16"/>
  <c r="E13" i="16"/>
  <c r="F13" i="16"/>
  <c r="G13" i="16"/>
  <c r="H13" i="16"/>
  <c r="I13" i="16"/>
  <c r="J13" i="16"/>
  <c r="E14" i="16"/>
  <c r="F14" i="16"/>
  <c r="G14" i="16"/>
  <c r="H14" i="16"/>
  <c r="I14" i="16"/>
  <c r="J14" i="16"/>
  <c r="E15" i="16"/>
  <c r="F15" i="16"/>
  <c r="G15" i="16"/>
  <c r="H15" i="16"/>
  <c r="I15" i="16"/>
  <c r="J15" i="16"/>
  <c r="E16" i="16"/>
  <c r="F16" i="16"/>
  <c r="G16" i="16"/>
  <c r="H16" i="16"/>
  <c r="I16" i="16"/>
  <c r="J16" i="16"/>
  <c r="E17" i="16"/>
  <c r="F17" i="16"/>
  <c r="G17" i="16"/>
  <c r="H17" i="16"/>
  <c r="I17" i="16"/>
  <c r="J17" i="16"/>
  <c r="E18" i="16"/>
  <c r="F18" i="16"/>
  <c r="G18" i="16"/>
  <c r="H18" i="16"/>
  <c r="I18" i="16"/>
  <c r="J18" i="16"/>
  <c r="E19" i="16"/>
  <c r="F19" i="16"/>
  <c r="G19" i="16"/>
  <c r="H19" i="16"/>
  <c r="I19" i="16"/>
  <c r="J19" i="16"/>
  <c r="E20" i="16"/>
  <c r="F20" i="16"/>
  <c r="G20" i="16"/>
  <c r="H20" i="16"/>
  <c r="I20" i="16"/>
  <c r="J20" i="16"/>
  <c r="E21" i="16"/>
  <c r="F21" i="16"/>
  <c r="G21" i="16"/>
  <c r="H21" i="16"/>
  <c r="I21" i="16"/>
  <c r="J21" i="16"/>
  <c r="E22" i="16"/>
  <c r="F22" i="16"/>
  <c r="G22" i="16"/>
  <c r="H22" i="16"/>
  <c r="I22" i="16"/>
  <c r="J22" i="16"/>
  <c r="E23" i="16"/>
  <c r="F23" i="16"/>
  <c r="G23" i="16"/>
  <c r="H23" i="16"/>
  <c r="I23" i="16"/>
  <c r="J23" i="16"/>
  <c r="E24" i="16"/>
  <c r="F24" i="16"/>
  <c r="G24" i="16"/>
  <c r="H24" i="16"/>
  <c r="I24" i="16"/>
  <c r="J24" i="16"/>
  <c r="E25" i="16"/>
  <c r="F25" i="16"/>
  <c r="G25" i="16"/>
  <c r="H25" i="16"/>
  <c r="I25" i="16"/>
  <c r="J25" i="16"/>
  <c r="E26" i="16"/>
  <c r="F26" i="16"/>
  <c r="G26" i="16"/>
  <c r="H26" i="16"/>
  <c r="I26" i="16"/>
  <c r="J26" i="16"/>
  <c r="E27" i="16"/>
  <c r="F27" i="16"/>
  <c r="G27" i="16"/>
  <c r="H27" i="16"/>
  <c r="I27" i="16"/>
  <c r="J27" i="16"/>
  <c r="CV5" i="13"/>
  <c r="CV4" i="13"/>
  <c r="BQ5" i="12"/>
  <c r="F2" i="14"/>
  <c r="F3" i="14"/>
  <c r="F4" i="14"/>
  <c r="F5" i="14"/>
  <c r="F6" i="14"/>
  <c r="F7" i="14"/>
  <c r="F8" i="14"/>
  <c r="F9" i="14"/>
  <c r="F10" i="14"/>
  <c r="F11" i="14"/>
  <c r="H2" i="14"/>
  <c r="I2" i="14"/>
  <c r="H3" i="14"/>
  <c r="I3" i="14"/>
  <c r="H4" i="14"/>
  <c r="I4" i="14"/>
  <c r="H5" i="14"/>
  <c r="I5" i="14"/>
  <c r="H6" i="14"/>
  <c r="I6" i="14"/>
  <c r="H7" i="14"/>
  <c r="I7" i="14"/>
  <c r="H8" i="14"/>
  <c r="I8" i="14"/>
  <c r="H9" i="14"/>
  <c r="I9" i="14"/>
  <c r="H10" i="14"/>
  <c r="I10" i="14"/>
  <c r="H11" i="14"/>
  <c r="I11" i="14"/>
  <c r="J11" i="14"/>
  <c r="B3" i="14"/>
  <c r="B4" i="14"/>
  <c r="B5" i="14"/>
  <c r="B6" i="14"/>
  <c r="B7" i="14"/>
  <c r="B8" i="14"/>
  <c r="B9" i="14"/>
  <c r="B10" i="14"/>
  <c r="B11" i="14"/>
  <c r="B12" i="14"/>
  <c r="B13" i="14"/>
  <c r="B14" i="14"/>
  <c r="B15" i="14"/>
  <c r="B16" i="14"/>
  <c r="C16"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H132" i="14"/>
  <c r="I132" i="14"/>
  <c r="H133" i="14"/>
  <c r="I133" i="14"/>
  <c r="H134" i="14"/>
  <c r="I134" i="14"/>
  <c r="H135" i="14"/>
  <c r="I135" i="14"/>
  <c r="H136" i="14"/>
  <c r="I136" i="14"/>
  <c r="H137" i="14"/>
  <c r="I137" i="14"/>
  <c r="H138" i="14"/>
  <c r="I138" i="14"/>
  <c r="H139" i="14"/>
  <c r="I139" i="14"/>
  <c r="H140" i="14"/>
  <c r="I140" i="14"/>
  <c r="H141" i="14"/>
  <c r="I141" i="14"/>
  <c r="J141" i="14"/>
  <c r="C15" i="14"/>
  <c r="H122" i="14"/>
  <c r="I122" i="14"/>
  <c r="H123" i="14"/>
  <c r="I123" i="14"/>
  <c r="H124" i="14"/>
  <c r="I124" i="14"/>
  <c r="H125" i="14"/>
  <c r="I125" i="14"/>
  <c r="H126" i="14"/>
  <c r="I126" i="14"/>
  <c r="H127" i="14"/>
  <c r="I127" i="14"/>
  <c r="H128" i="14"/>
  <c r="I128" i="14"/>
  <c r="H129" i="14"/>
  <c r="I129" i="14"/>
  <c r="H130" i="14"/>
  <c r="I130" i="14"/>
  <c r="H131" i="14"/>
  <c r="I131" i="14"/>
  <c r="J131" i="14"/>
  <c r="C14" i="14"/>
  <c r="H112" i="14"/>
  <c r="I112" i="14"/>
  <c r="H113" i="14"/>
  <c r="I113" i="14"/>
  <c r="H114" i="14"/>
  <c r="I114" i="14"/>
  <c r="H115" i="14"/>
  <c r="I115" i="14"/>
  <c r="H116" i="14"/>
  <c r="I116" i="14"/>
  <c r="H117" i="14"/>
  <c r="I117" i="14"/>
  <c r="H118" i="14"/>
  <c r="I118" i="14"/>
  <c r="H119" i="14"/>
  <c r="I119" i="14"/>
  <c r="H120" i="14"/>
  <c r="I120" i="14"/>
  <c r="H121" i="14"/>
  <c r="I121" i="14"/>
  <c r="J121" i="14"/>
  <c r="C13" i="14"/>
  <c r="H102" i="14"/>
  <c r="I102" i="14"/>
  <c r="H103" i="14"/>
  <c r="I103" i="14"/>
  <c r="H104" i="14"/>
  <c r="I104" i="14"/>
  <c r="H105" i="14"/>
  <c r="I105" i="14"/>
  <c r="H106" i="14"/>
  <c r="I106" i="14"/>
  <c r="H107" i="14"/>
  <c r="I107" i="14"/>
  <c r="H108" i="14"/>
  <c r="I108" i="14"/>
  <c r="H109" i="14"/>
  <c r="I109" i="14"/>
  <c r="H110" i="14"/>
  <c r="I110" i="14"/>
  <c r="H111" i="14"/>
  <c r="I111" i="14"/>
  <c r="J111" i="14"/>
  <c r="C12" i="14"/>
  <c r="H92" i="14"/>
  <c r="I92" i="14"/>
  <c r="H93" i="14"/>
  <c r="I93" i="14"/>
  <c r="H94" i="14"/>
  <c r="I94" i="14"/>
  <c r="H95" i="14"/>
  <c r="I95" i="14"/>
  <c r="H96" i="14"/>
  <c r="I96" i="14"/>
  <c r="H97" i="14"/>
  <c r="I97" i="14"/>
  <c r="H98" i="14"/>
  <c r="I98" i="14"/>
  <c r="H99" i="14"/>
  <c r="I99" i="14"/>
  <c r="H100" i="14"/>
  <c r="I100" i="14"/>
  <c r="H101" i="14"/>
  <c r="I101" i="14"/>
  <c r="J101" i="14"/>
  <c r="C11" i="14"/>
  <c r="H82" i="14"/>
  <c r="I82" i="14"/>
  <c r="H83" i="14"/>
  <c r="I83" i="14"/>
  <c r="H84" i="14"/>
  <c r="I84" i="14"/>
  <c r="H85" i="14"/>
  <c r="I85" i="14"/>
  <c r="H86" i="14"/>
  <c r="I86" i="14"/>
  <c r="H87" i="14"/>
  <c r="I87" i="14"/>
  <c r="H88" i="14"/>
  <c r="I88" i="14"/>
  <c r="H89" i="14"/>
  <c r="I89" i="14"/>
  <c r="H90" i="14"/>
  <c r="I90" i="14"/>
  <c r="H91" i="14"/>
  <c r="I91" i="14"/>
  <c r="J91" i="14"/>
  <c r="C10" i="14"/>
  <c r="H72" i="14"/>
  <c r="I72" i="14"/>
  <c r="H73" i="14"/>
  <c r="I73" i="14"/>
  <c r="H74" i="14"/>
  <c r="I74" i="14"/>
  <c r="H75" i="14"/>
  <c r="I75" i="14"/>
  <c r="H76" i="14"/>
  <c r="I76" i="14"/>
  <c r="H77" i="14"/>
  <c r="I77" i="14"/>
  <c r="H78" i="14"/>
  <c r="I78" i="14"/>
  <c r="H79" i="14"/>
  <c r="I79" i="14"/>
  <c r="H80" i="14"/>
  <c r="I80" i="14"/>
  <c r="H81" i="14"/>
  <c r="I81" i="14"/>
  <c r="J81" i="14"/>
  <c r="C9" i="14"/>
  <c r="H62" i="14"/>
  <c r="I62" i="14"/>
  <c r="H63" i="14"/>
  <c r="I63" i="14"/>
  <c r="H64" i="14"/>
  <c r="I64" i="14"/>
  <c r="H65" i="14"/>
  <c r="I65" i="14"/>
  <c r="H66" i="14"/>
  <c r="I66" i="14"/>
  <c r="H67" i="14"/>
  <c r="I67" i="14"/>
  <c r="H68" i="14"/>
  <c r="I68" i="14"/>
  <c r="H69" i="14"/>
  <c r="I69" i="14"/>
  <c r="H70" i="14"/>
  <c r="I70" i="14"/>
  <c r="H71" i="14"/>
  <c r="I71" i="14"/>
  <c r="J71" i="14"/>
  <c r="C8" i="14"/>
  <c r="H52" i="14"/>
  <c r="I52" i="14"/>
  <c r="H53" i="14"/>
  <c r="I53" i="14"/>
  <c r="H54" i="14"/>
  <c r="I54" i="14"/>
  <c r="H55" i="14"/>
  <c r="I55" i="14"/>
  <c r="H56" i="14"/>
  <c r="I56" i="14"/>
  <c r="H57" i="14"/>
  <c r="I57" i="14"/>
  <c r="H58" i="14"/>
  <c r="I58" i="14"/>
  <c r="H59" i="14"/>
  <c r="I59" i="14"/>
  <c r="H60" i="14"/>
  <c r="I60" i="14"/>
  <c r="H61" i="14"/>
  <c r="I61" i="14"/>
  <c r="J61" i="14"/>
  <c r="C7" i="14"/>
  <c r="H42" i="14"/>
  <c r="I42" i="14"/>
  <c r="H43" i="14"/>
  <c r="I43" i="14"/>
  <c r="H44" i="14"/>
  <c r="I44" i="14"/>
  <c r="H45" i="14"/>
  <c r="I45" i="14"/>
  <c r="H46" i="14"/>
  <c r="I46" i="14"/>
  <c r="H47" i="14"/>
  <c r="I47" i="14"/>
  <c r="H48" i="14"/>
  <c r="I48" i="14"/>
  <c r="H49" i="14"/>
  <c r="I49" i="14"/>
  <c r="H50" i="14"/>
  <c r="I50" i="14"/>
  <c r="H51" i="14"/>
  <c r="I51" i="14"/>
  <c r="J51" i="14"/>
  <c r="C6" i="14"/>
  <c r="H32" i="14"/>
  <c r="I32" i="14"/>
  <c r="H33" i="14"/>
  <c r="I33" i="14"/>
  <c r="H34" i="14"/>
  <c r="I34" i="14"/>
  <c r="H35" i="14"/>
  <c r="I35" i="14"/>
  <c r="H36" i="14"/>
  <c r="I36" i="14"/>
  <c r="H37" i="14"/>
  <c r="I37" i="14"/>
  <c r="H38" i="14"/>
  <c r="I38" i="14"/>
  <c r="H39" i="14"/>
  <c r="I39" i="14"/>
  <c r="H40" i="14"/>
  <c r="I40" i="14"/>
  <c r="H41" i="14"/>
  <c r="I41" i="14"/>
  <c r="J41" i="14"/>
  <c r="C5" i="14"/>
  <c r="H22" i="14"/>
  <c r="I22" i="14"/>
  <c r="H23" i="14"/>
  <c r="I23" i="14"/>
  <c r="H24" i="14"/>
  <c r="I24" i="14"/>
  <c r="H25" i="14"/>
  <c r="I25" i="14"/>
  <c r="H26" i="14"/>
  <c r="I26" i="14"/>
  <c r="H27" i="14"/>
  <c r="I27" i="14"/>
  <c r="H28" i="14"/>
  <c r="I28" i="14"/>
  <c r="H29" i="14"/>
  <c r="I29" i="14"/>
  <c r="H30" i="14"/>
  <c r="I30" i="14"/>
  <c r="H31" i="14"/>
  <c r="I31" i="14"/>
  <c r="J31" i="14"/>
  <c r="C4" i="14"/>
  <c r="H12" i="14"/>
  <c r="I12" i="14"/>
  <c r="H13" i="14"/>
  <c r="I13" i="14"/>
  <c r="H14" i="14"/>
  <c r="I14" i="14"/>
  <c r="H15" i="14"/>
  <c r="I15" i="14"/>
  <c r="H16" i="14"/>
  <c r="I16" i="14"/>
  <c r="H17" i="14"/>
  <c r="I17" i="14"/>
  <c r="H18" i="14"/>
  <c r="I18" i="14"/>
  <c r="H19" i="14"/>
  <c r="I19" i="14"/>
  <c r="H20" i="14"/>
  <c r="I20" i="14"/>
  <c r="H21" i="14"/>
  <c r="I21" i="14"/>
  <c r="J21" i="14"/>
  <c r="C3" i="14"/>
  <c r="C2" i="14"/>
  <c r="F142" i="14"/>
  <c r="F143" i="14"/>
  <c r="F144" i="14"/>
  <c r="F145" i="14"/>
  <c r="J145" i="14"/>
  <c r="J144" i="14"/>
  <c r="J143" i="14"/>
  <c r="J142" i="14"/>
  <c r="J140" i="14"/>
  <c r="J139" i="14"/>
  <c r="J138" i="14"/>
  <c r="J137" i="14"/>
  <c r="J136" i="14"/>
  <c r="J135" i="14"/>
  <c r="J134" i="14"/>
  <c r="J133" i="14"/>
  <c r="J132" i="14"/>
  <c r="J130" i="14"/>
  <c r="J129" i="14"/>
  <c r="J128" i="14"/>
  <c r="J127" i="14"/>
  <c r="J126" i="14"/>
  <c r="J125" i="14"/>
  <c r="J124" i="14"/>
  <c r="J123" i="14"/>
  <c r="J122" i="14"/>
  <c r="J120" i="14"/>
  <c r="J119" i="14"/>
  <c r="J118" i="14"/>
  <c r="J117" i="14"/>
  <c r="J116" i="14"/>
  <c r="J115" i="14"/>
  <c r="J114" i="14"/>
  <c r="J113" i="14"/>
  <c r="J112" i="14"/>
  <c r="J110" i="14"/>
  <c r="J109" i="14"/>
  <c r="J108" i="14"/>
  <c r="J107" i="14"/>
  <c r="J106" i="14"/>
  <c r="J105" i="14"/>
  <c r="J104" i="14"/>
  <c r="J103" i="14"/>
  <c r="J102" i="14"/>
  <c r="J100" i="14"/>
  <c r="J99" i="14"/>
  <c r="J98" i="14"/>
  <c r="J97" i="14"/>
  <c r="J96" i="14"/>
  <c r="J95" i="14"/>
  <c r="J94" i="14"/>
  <c r="J93" i="14"/>
  <c r="J92" i="14"/>
  <c r="J90" i="14"/>
  <c r="J89" i="14"/>
  <c r="J88" i="14"/>
  <c r="J87" i="14"/>
  <c r="J86" i="14"/>
  <c r="J85" i="14"/>
  <c r="J84" i="14"/>
  <c r="J83" i="14"/>
  <c r="J82" i="14"/>
  <c r="J80" i="14"/>
  <c r="J79" i="14"/>
  <c r="J78" i="14"/>
  <c r="J77" i="14"/>
  <c r="J76" i="14"/>
  <c r="J75" i="14"/>
  <c r="J74" i="14"/>
  <c r="J73" i="14"/>
  <c r="J72" i="14"/>
  <c r="J70" i="14"/>
  <c r="J69" i="14"/>
  <c r="J68" i="14"/>
  <c r="J67" i="14"/>
  <c r="J66" i="14"/>
  <c r="J65" i="14"/>
  <c r="J64" i="14"/>
  <c r="J63" i="14"/>
  <c r="J62" i="14"/>
  <c r="J60" i="14"/>
  <c r="J59" i="14"/>
  <c r="J58" i="14"/>
  <c r="J57" i="14"/>
  <c r="J56" i="14"/>
  <c r="J55" i="14"/>
  <c r="J54" i="14"/>
  <c r="J53" i="14"/>
  <c r="J52" i="14"/>
  <c r="J50" i="14"/>
  <c r="J49" i="14"/>
  <c r="J48" i="14"/>
  <c r="J47" i="14"/>
  <c r="J46" i="14"/>
  <c r="J45" i="14"/>
  <c r="J44" i="14"/>
  <c r="J43" i="14"/>
  <c r="J42" i="14"/>
  <c r="J40" i="14"/>
  <c r="J39" i="14"/>
  <c r="J38" i="14"/>
  <c r="J37" i="14"/>
  <c r="J36" i="14"/>
  <c r="J35" i="14"/>
  <c r="J34" i="14"/>
  <c r="J33" i="14"/>
  <c r="J32" i="14"/>
  <c r="J30" i="14"/>
  <c r="J29" i="14"/>
  <c r="J28" i="14"/>
  <c r="J27" i="14"/>
  <c r="J26" i="14"/>
  <c r="J25" i="14"/>
  <c r="J24" i="14"/>
  <c r="J23" i="14"/>
  <c r="J22" i="14"/>
  <c r="J20" i="14"/>
  <c r="J19" i="14"/>
  <c r="J18" i="14"/>
  <c r="J17" i="14"/>
  <c r="J16" i="14"/>
  <c r="J15" i="14"/>
  <c r="J14" i="14"/>
  <c r="J13" i="14"/>
  <c r="J12" i="14"/>
  <c r="J10" i="14"/>
  <c r="J9" i="14"/>
  <c r="J8" i="14"/>
  <c r="J7" i="14"/>
  <c r="J6" i="14"/>
  <c r="J5" i="14"/>
  <c r="J4" i="14"/>
  <c r="J3" i="14"/>
  <c r="J2" i="14"/>
  <c r="H142" i="14"/>
  <c r="I142" i="14"/>
  <c r="H143" i="14"/>
  <c r="I143" i="14"/>
  <c r="H144" i="14"/>
  <c r="I144" i="14"/>
  <c r="H145" i="14"/>
  <c r="I145" i="14"/>
  <c r="BQ6" i="12"/>
  <c r="BR6" i="12"/>
  <c r="BS6" i="12"/>
  <c r="BR1" i="12"/>
  <c r="BS1" i="12"/>
  <c r="BT1" i="12"/>
  <c r="BU1" i="12"/>
  <c r="BV1" i="12"/>
  <c r="BW1" i="12"/>
  <c r="BX1" i="12"/>
  <c r="BY1" i="12"/>
  <c r="BZ1" i="12"/>
  <c r="CA1" i="12"/>
  <c r="CB1" i="12"/>
  <c r="CC1" i="12"/>
  <c r="CD1" i="12"/>
  <c r="CE1" i="12"/>
  <c r="CF1" i="12"/>
  <c r="CG1" i="12"/>
  <c r="CH1" i="12"/>
  <c r="CI1" i="12"/>
  <c r="CJ1" i="12"/>
  <c r="CK1" i="12"/>
  <c r="CL1" i="12"/>
  <c r="CM1" i="12"/>
  <c r="CN1" i="12"/>
  <c r="CO1" i="12"/>
  <c r="CP1" i="12"/>
  <c r="CQ1" i="12"/>
  <c r="CR1" i="12"/>
  <c r="CS1" i="12"/>
  <c r="CT1" i="12"/>
  <c r="CU1" i="12"/>
  <c r="CX1" i="12"/>
  <c r="CY1" i="12"/>
  <c r="CZ1" i="12"/>
  <c r="DA1" i="12"/>
  <c r="DB1" i="12"/>
  <c r="DC1" i="12"/>
  <c r="DD1" i="12"/>
  <c r="DE1" i="12"/>
  <c r="DF1" i="12"/>
  <c r="DG1" i="12"/>
  <c r="DH1" i="12"/>
  <c r="DI1" i="12"/>
  <c r="DJ1" i="12"/>
  <c r="DK1" i="12"/>
  <c r="DL1" i="12"/>
  <c r="DM1" i="12"/>
  <c r="DN1" i="12"/>
  <c r="DO1" i="12"/>
  <c r="DP1" i="12"/>
  <c r="DQ1" i="12"/>
  <c r="DR1" i="12"/>
  <c r="DS1" i="12"/>
  <c r="DT1" i="12"/>
  <c r="DU1" i="12"/>
  <c r="DV1" i="12"/>
  <c r="DW1" i="12"/>
  <c r="DX1" i="12"/>
  <c r="DY1" i="12"/>
  <c r="DZ1" i="12"/>
  <c r="EA1" i="12"/>
  <c r="EB1" i="12"/>
  <c r="EC1" i="12"/>
  <c r="ED1" i="12"/>
  <c r="EE1" i="12"/>
  <c r="EF1" i="12"/>
  <c r="EG1" i="12"/>
  <c r="EH1" i="12"/>
  <c r="EI1" i="12"/>
  <c r="EJ1" i="12"/>
  <c r="EK1" i="12"/>
  <c r="EL1" i="12"/>
  <c r="EM1" i="12"/>
  <c r="EN1" i="12"/>
  <c r="B3" i="12"/>
  <c r="C3" i="12"/>
  <c r="D3" i="12"/>
  <c r="E3" i="12"/>
  <c r="F3" i="12"/>
  <c r="G3" i="12"/>
  <c r="H3" i="12"/>
  <c r="I3" i="12"/>
  <c r="J3" i="12"/>
  <c r="K3" i="12"/>
  <c r="L3" i="12"/>
  <c r="M3" i="12"/>
  <c r="N3" i="12"/>
  <c r="O3" i="12"/>
  <c r="P3" i="12"/>
  <c r="Q3" i="12"/>
  <c r="R3" i="12"/>
  <c r="S3" i="12"/>
  <c r="T3" i="12"/>
  <c r="U3" i="12"/>
  <c r="V3" i="12"/>
  <c r="W3" i="12"/>
  <c r="X3" i="12"/>
  <c r="Y3" i="12"/>
  <c r="Z3" i="12"/>
  <c r="AA3" i="12"/>
  <c r="AB3" i="12"/>
  <c r="AC3" i="12"/>
  <c r="AD3" i="12"/>
  <c r="AE3" i="12"/>
  <c r="AF3" i="12"/>
  <c r="AG3" i="12"/>
  <c r="AH3" i="12"/>
  <c r="AI3" i="12"/>
  <c r="AJ3" i="12"/>
  <c r="AK3" i="12"/>
  <c r="AL3" i="12"/>
  <c r="AM3" i="12"/>
  <c r="AN3" i="12"/>
  <c r="AO3" i="12"/>
  <c r="AP3" i="12"/>
  <c r="AQ3" i="12"/>
  <c r="AR3" i="12"/>
  <c r="AS3" i="12"/>
  <c r="AT3" i="12"/>
  <c r="AU3" i="12"/>
  <c r="AV3" i="12"/>
  <c r="AW3" i="12"/>
  <c r="AX3" i="12"/>
  <c r="AY3" i="12"/>
  <c r="AZ3" i="12"/>
  <c r="BA3" i="12"/>
  <c r="BB3" i="12"/>
  <c r="BC3" i="12"/>
  <c r="BD3" i="12"/>
  <c r="BE3" i="12"/>
  <c r="BF3" i="12"/>
  <c r="BG3" i="12"/>
  <c r="BH3" i="12"/>
  <c r="BI3" i="12"/>
  <c r="BJ3" i="12"/>
  <c r="BK3" i="12"/>
  <c r="BL3" i="12"/>
  <c r="BM3" i="12"/>
  <c r="BN3" i="12"/>
  <c r="BO3" i="12"/>
  <c r="BP3" i="12"/>
  <c r="BQ3" i="12"/>
  <c r="BR3" i="12"/>
  <c r="BS3" i="12"/>
  <c r="BT3" i="12"/>
  <c r="BU3" i="12"/>
  <c r="BV3" i="12"/>
  <c r="BW3" i="12"/>
  <c r="BX3" i="12"/>
  <c r="BY3" i="12"/>
  <c r="BZ3" i="12"/>
  <c r="CA3" i="12"/>
  <c r="CB3" i="12"/>
  <c r="CC3" i="12"/>
  <c r="CD3" i="12"/>
  <c r="CE3" i="12"/>
  <c r="CF3" i="12"/>
  <c r="CG3" i="12"/>
  <c r="CH3" i="12"/>
  <c r="CI3" i="12"/>
  <c r="CJ3" i="12"/>
  <c r="CK3" i="12"/>
  <c r="CL3" i="12"/>
  <c r="CM3" i="12"/>
  <c r="CN3" i="12"/>
  <c r="CO3" i="12"/>
  <c r="CP3" i="12"/>
  <c r="CQ3" i="12"/>
  <c r="CR3" i="12"/>
  <c r="CS3" i="12"/>
  <c r="CT3" i="12"/>
  <c r="CU3" i="12"/>
  <c r="CV3" i="12"/>
  <c r="CW3" i="12"/>
  <c r="CX3" i="12"/>
  <c r="CY3" i="12"/>
  <c r="CZ3" i="12"/>
  <c r="DA3" i="12"/>
  <c r="DB3" i="12"/>
  <c r="DC3" i="12"/>
  <c r="DD3" i="12"/>
  <c r="DE3" i="12"/>
  <c r="DF3" i="12"/>
  <c r="DG3" i="12"/>
  <c r="DH3" i="12"/>
  <c r="DI3" i="12"/>
  <c r="DJ3" i="12"/>
  <c r="DK3" i="12"/>
  <c r="DL3" i="12"/>
  <c r="DM3" i="12"/>
  <c r="DN3" i="12"/>
  <c r="DO3" i="12"/>
  <c r="DP3" i="12"/>
  <c r="DQ3" i="12"/>
  <c r="DR3" i="12"/>
  <c r="DS3" i="12"/>
  <c r="DT3" i="12"/>
  <c r="DU3" i="12"/>
  <c r="DV3" i="12"/>
  <c r="DW3" i="12"/>
  <c r="DX3" i="12"/>
  <c r="DY3" i="12"/>
  <c r="DZ3" i="12"/>
  <c r="EA3" i="12"/>
  <c r="EB3" i="12"/>
  <c r="EC3" i="12"/>
  <c r="ED3" i="12"/>
  <c r="EE3" i="12"/>
  <c r="EF3" i="12"/>
  <c r="EG3" i="12"/>
  <c r="EH3" i="12"/>
  <c r="EI3" i="12"/>
  <c r="EJ3" i="12"/>
  <c r="EK3" i="12"/>
  <c r="EL3" i="12"/>
  <c r="EM3" i="12"/>
  <c r="EN3" i="12"/>
  <c r="BR5" i="12"/>
  <c r="BS5" i="12"/>
  <c r="BT5" i="12"/>
  <c r="BU5" i="12"/>
  <c r="BV5" i="12"/>
  <c r="BW5" i="12"/>
  <c r="BX5" i="12"/>
  <c r="BY5" i="12"/>
  <c r="BZ5" i="12"/>
  <c r="CA5" i="12"/>
  <c r="CB5" i="12"/>
  <c r="CC5" i="12"/>
  <c r="CD5" i="12"/>
  <c r="CE5" i="12"/>
  <c r="CF5" i="12"/>
  <c r="CG5" i="12"/>
  <c r="CH5" i="12"/>
  <c r="CI5" i="12"/>
  <c r="CJ5" i="12"/>
  <c r="CK5" i="12"/>
  <c r="CL5" i="12"/>
  <c r="CM5" i="12"/>
  <c r="CN5" i="12"/>
  <c r="CO5" i="12"/>
  <c r="CP5" i="12"/>
  <c r="CQ5" i="12"/>
  <c r="CR5" i="12"/>
  <c r="CS5" i="12"/>
  <c r="CW5" i="12"/>
  <c r="CX5" i="12"/>
  <c r="CY5" i="12"/>
  <c r="CZ5" i="12"/>
  <c r="DA5" i="12"/>
  <c r="DC5" i="12"/>
  <c r="DD5" i="12"/>
  <c r="DE5" i="12"/>
  <c r="DF5" i="12"/>
  <c r="DG5" i="12"/>
  <c r="DH5" i="12"/>
  <c r="DI5" i="12"/>
  <c r="DJ5" i="12"/>
  <c r="DK5" i="12"/>
  <c r="DM5" i="12"/>
  <c r="DN5" i="12"/>
  <c r="DO5" i="12"/>
  <c r="DP5" i="12"/>
  <c r="DQ5" i="12"/>
  <c r="EI5" i="12"/>
  <c r="EJ5" i="12"/>
  <c r="EK5" i="12"/>
  <c r="EM5" i="12"/>
  <c r="EN5" i="12"/>
  <c r="BT6" i="12"/>
  <c r="BU6" i="12"/>
  <c r="BV6" i="12"/>
  <c r="BW6" i="12"/>
  <c r="BX6" i="12"/>
  <c r="BY6" i="12"/>
  <c r="BZ6" i="12"/>
  <c r="CA6" i="12"/>
  <c r="CB6" i="12"/>
  <c r="CC6" i="12"/>
  <c r="CD6" i="12"/>
  <c r="CE6" i="12"/>
  <c r="CF6" i="12"/>
  <c r="CG6" i="12"/>
  <c r="CH6" i="12"/>
  <c r="CI6" i="12"/>
  <c r="CJ6" i="12"/>
  <c r="CK6" i="12"/>
  <c r="CL6" i="12"/>
  <c r="CM6" i="12"/>
  <c r="CN6" i="12"/>
  <c r="CO6" i="12"/>
  <c r="CP6" i="12"/>
  <c r="CQ6" i="12"/>
  <c r="CR6" i="12"/>
  <c r="CS6" i="12"/>
  <c r="CW6" i="12"/>
  <c r="CX6" i="12"/>
  <c r="CY6" i="12"/>
  <c r="CZ6" i="12"/>
  <c r="DA6" i="12"/>
  <c r="DC6" i="12"/>
  <c r="DD6" i="12"/>
  <c r="DE6" i="12"/>
  <c r="DF6" i="12"/>
  <c r="DG6" i="12"/>
  <c r="DH6" i="12"/>
  <c r="DI6" i="12"/>
  <c r="DJ6" i="12"/>
  <c r="DK6" i="12"/>
  <c r="DM6" i="12"/>
  <c r="DN6" i="12"/>
  <c r="DO6" i="12"/>
  <c r="DP6" i="12"/>
  <c r="DQ6" i="12"/>
  <c r="EI6" i="12"/>
  <c r="EJ6" i="12"/>
  <c r="EK6" i="12"/>
  <c r="EM6" i="12"/>
  <c r="EN6" i="12"/>
  <c r="BQ7" i="12"/>
  <c r="BR7" i="12"/>
  <c r="BS7" i="12"/>
  <c r="BT7" i="12"/>
  <c r="BU7" i="12"/>
  <c r="BV7" i="12"/>
  <c r="BW7" i="12"/>
  <c r="BX7" i="12"/>
  <c r="BY7" i="12"/>
  <c r="BZ7" i="12"/>
  <c r="CA7" i="12"/>
  <c r="CB7" i="12"/>
  <c r="CC7" i="12"/>
  <c r="CD7" i="12"/>
  <c r="CE7" i="12"/>
  <c r="CF7" i="12"/>
  <c r="CG7" i="12"/>
  <c r="CH7" i="12"/>
  <c r="CI7" i="12"/>
  <c r="CJ7" i="12"/>
  <c r="CK7" i="12"/>
  <c r="CL7" i="12"/>
  <c r="CM7" i="12"/>
  <c r="CN7" i="12"/>
  <c r="CO7" i="12"/>
  <c r="CP7" i="12"/>
  <c r="CQ7" i="12"/>
  <c r="CR7" i="12"/>
  <c r="CS7" i="12"/>
  <c r="CW7" i="12"/>
  <c r="CX7" i="12"/>
  <c r="CY7" i="12"/>
  <c r="CZ7" i="12"/>
  <c r="DA7" i="12"/>
  <c r="DC7" i="12"/>
  <c r="DD7" i="12"/>
  <c r="DE7" i="12"/>
  <c r="DF7" i="12"/>
  <c r="DG7" i="12"/>
  <c r="DH7" i="12"/>
  <c r="DI7" i="12"/>
  <c r="DJ7" i="12"/>
  <c r="DK7" i="12"/>
  <c r="DM7" i="12"/>
  <c r="DN7" i="12"/>
  <c r="DO7" i="12"/>
  <c r="DP7" i="12"/>
  <c r="DQ7" i="12"/>
  <c r="EI7" i="12"/>
  <c r="EJ7" i="12"/>
  <c r="EK7" i="12"/>
  <c r="EM7" i="12"/>
  <c r="EN7" i="12"/>
  <c r="BS1" i="13"/>
  <c r="BT1" i="13"/>
  <c r="BU1" i="13"/>
  <c r="BV1" i="13"/>
  <c r="BW1" i="13"/>
  <c r="BX1" i="13"/>
  <c r="BY1" i="13"/>
  <c r="BZ1" i="13"/>
  <c r="CA1" i="13"/>
  <c r="CB1" i="13"/>
  <c r="CC1" i="13"/>
  <c r="CD1" i="13"/>
  <c r="CE1" i="13"/>
  <c r="CF1" i="13"/>
  <c r="CG1" i="13"/>
  <c r="CH1" i="13"/>
  <c r="CI1" i="13"/>
  <c r="CJ1" i="13"/>
  <c r="CK1" i="13"/>
  <c r="CL1" i="13"/>
  <c r="CM1" i="13"/>
  <c r="CN1" i="13"/>
  <c r="CO1" i="13"/>
  <c r="CP1" i="13"/>
  <c r="CQ1" i="13"/>
  <c r="CR1" i="13"/>
  <c r="CS1" i="13"/>
  <c r="CT1" i="13"/>
  <c r="CU1" i="13"/>
  <c r="CV1" i="13"/>
  <c r="CW1" i="13"/>
  <c r="CX1" i="13"/>
  <c r="CY1" i="13"/>
  <c r="CZ1" i="13"/>
  <c r="DA1" i="13"/>
  <c r="DB1" i="13"/>
  <c r="DC1" i="13"/>
  <c r="DD1" i="13"/>
  <c r="DE1" i="13"/>
  <c r="DF1" i="13"/>
  <c r="DG1" i="13"/>
  <c r="DH1" i="13"/>
  <c r="DI1" i="13"/>
  <c r="DJ1" i="13"/>
  <c r="DK1" i="13"/>
  <c r="DL1" i="13"/>
  <c r="DM1" i="13"/>
  <c r="DN1" i="13"/>
  <c r="DO1" i="13"/>
  <c r="DP1" i="13"/>
  <c r="DQ1" i="13"/>
  <c r="DR1" i="13"/>
  <c r="DS1" i="13"/>
  <c r="DT1" i="13"/>
  <c r="DU1" i="13"/>
  <c r="DV1" i="13"/>
  <c r="DW1" i="13"/>
  <c r="DX1" i="13"/>
  <c r="DY1" i="13"/>
  <c r="DZ1" i="13"/>
  <c r="EA1" i="13"/>
  <c r="EB1" i="13"/>
  <c r="EC1" i="13"/>
  <c r="ED1" i="13"/>
  <c r="EE1" i="13"/>
  <c r="EF1" i="13"/>
  <c r="EG1" i="13"/>
  <c r="EH1" i="13"/>
  <c r="EI1" i="13"/>
  <c r="EJ1" i="13"/>
  <c r="EK1" i="13"/>
  <c r="EL1" i="13"/>
  <c r="EM1" i="13"/>
  <c r="EN1" i="13"/>
  <c r="EO1" i="13"/>
  <c r="C3" i="13"/>
  <c r="D3" i="13"/>
  <c r="E3" i="13"/>
  <c r="F3" i="13"/>
  <c r="G3" i="13"/>
  <c r="H3" i="13"/>
  <c r="I3" i="13"/>
  <c r="J3" i="13"/>
  <c r="K3" i="13"/>
  <c r="L3" i="13"/>
  <c r="M3" i="13"/>
  <c r="N3" i="13"/>
  <c r="O3" i="13"/>
  <c r="P3" i="13"/>
  <c r="Q3" i="13"/>
  <c r="R3" i="13"/>
  <c r="S3" i="13"/>
  <c r="T3" i="13"/>
  <c r="U3" i="13"/>
  <c r="V3" i="13"/>
  <c r="W3" i="13"/>
  <c r="X3" i="13"/>
  <c r="Y3" i="13"/>
  <c r="Z3" i="13"/>
  <c r="AA3" i="13"/>
  <c r="AB3" i="13"/>
  <c r="AC3" i="13"/>
  <c r="AD3" i="13"/>
  <c r="AE3" i="13"/>
  <c r="AF3" i="13"/>
  <c r="AG3" i="13"/>
  <c r="AH3" i="13"/>
  <c r="AI3" i="13"/>
  <c r="AJ3" i="13"/>
  <c r="AK3" i="13"/>
  <c r="AL3" i="13"/>
  <c r="AM3" i="13"/>
  <c r="AN3" i="13"/>
  <c r="AO3" i="13"/>
  <c r="AP3" i="13"/>
  <c r="AQ3" i="13"/>
  <c r="AR3" i="13"/>
  <c r="AS3" i="13"/>
  <c r="AT3" i="13"/>
  <c r="AU3" i="13"/>
  <c r="AV3" i="13"/>
  <c r="AW3" i="13"/>
  <c r="AX3" i="13"/>
  <c r="AY3" i="13"/>
  <c r="AZ3" i="13"/>
  <c r="BA3" i="13"/>
  <c r="BB3" i="13"/>
  <c r="BC3" i="13"/>
  <c r="BD3" i="13"/>
  <c r="BE3" i="13"/>
  <c r="BF3" i="13"/>
  <c r="BG3" i="13"/>
  <c r="BH3" i="13"/>
  <c r="BI3" i="13"/>
  <c r="BJ3" i="13"/>
  <c r="BK3" i="13"/>
  <c r="BL3" i="13"/>
  <c r="BM3" i="13"/>
  <c r="BN3" i="13"/>
  <c r="BO3" i="13"/>
  <c r="BP3" i="13"/>
  <c r="BQ3" i="13"/>
  <c r="BR3" i="13"/>
  <c r="BS3" i="13"/>
  <c r="BT3" i="13"/>
  <c r="BU3" i="13"/>
  <c r="BV3" i="13"/>
  <c r="BW3" i="13"/>
  <c r="BX3" i="13"/>
  <c r="BY3" i="13"/>
  <c r="BZ3" i="13"/>
  <c r="CA3" i="13"/>
  <c r="CB3" i="13"/>
  <c r="CC3" i="13"/>
  <c r="CD3" i="13"/>
  <c r="CE3" i="13"/>
  <c r="CF3" i="13"/>
  <c r="CG3" i="13"/>
  <c r="CH3" i="13"/>
  <c r="CI3" i="13"/>
  <c r="CJ3" i="13"/>
  <c r="CK3" i="13"/>
  <c r="CL3" i="13"/>
  <c r="CM3" i="13"/>
  <c r="CN3" i="13"/>
  <c r="CO3" i="13"/>
  <c r="CP3" i="13"/>
  <c r="CQ3" i="13"/>
  <c r="CR3" i="13"/>
  <c r="CS3" i="13"/>
  <c r="CT3" i="13"/>
  <c r="CU3" i="13"/>
  <c r="CV3" i="13"/>
  <c r="CW3" i="13"/>
  <c r="CX3" i="13"/>
  <c r="CY3" i="13"/>
  <c r="CZ3" i="13"/>
  <c r="DA3" i="13"/>
  <c r="DB3" i="13"/>
  <c r="DC3" i="13"/>
  <c r="DD3" i="13"/>
  <c r="DE3" i="13"/>
  <c r="DF3" i="13"/>
  <c r="DG3" i="13"/>
  <c r="DH3" i="13"/>
  <c r="DI3" i="13"/>
  <c r="DJ3" i="13"/>
  <c r="DK3" i="13"/>
  <c r="DL3" i="13"/>
  <c r="DM3" i="13"/>
  <c r="DN3" i="13"/>
  <c r="DO3" i="13"/>
  <c r="DP3" i="13"/>
  <c r="DQ3" i="13"/>
  <c r="DR3" i="13"/>
  <c r="DS3" i="13"/>
  <c r="DT3" i="13"/>
  <c r="DU3" i="13"/>
  <c r="DV3" i="13"/>
  <c r="DW3" i="13"/>
  <c r="DX3" i="13"/>
  <c r="DY3" i="13"/>
  <c r="DZ3" i="13"/>
  <c r="EA3" i="13"/>
  <c r="EB3" i="13"/>
  <c r="EC3" i="13"/>
  <c r="ED3" i="13"/>
  <c r="EE3" i="13"/>
  <c r="EF3" i="13"/>
  <c r="EG3" i="13"/>
  <c r="EH3" i="13"/>
  <c r="EI3" i="13"/>
  <c r="EJ3" i="13"/>
  <c r="EK3" i="13"/>
  <c r="EL3" i="13"/>
  <c r="EM3" i="13"/>
  <c r="EN3" i="13"/>
  <c r="EO3" i="13"/>
  <c r="EN7" i="13"/>
  <c r="EM7" i="13"/>
  <c r="EL7" i="13"/>
  <c r="EK7" i="13"/>
  <c r="EJ7" i="13"/>
  <c r="EI7" i="13"/>
  <c r="EH7" i="13"/>
  <c r="EG7" i="13"/>
  <c r="EF7" i="13"/>
  <c r="EE7" i="13"/>
  <c r="ED7" i="13"/>
  <c r="EC7" i="13"/>
  <c r="EB7" i="13"/>
  <c r="EA7" i="13"/>
  <c r="DZ7" i="13"/>
  <c r="DY7" i="13"/>
  <c r="DX7" i="13"/>
  <c r="DW7" i="13"/>
  <c r="DV7" i="13"/>
  <c r="DU7" i="13"/>
  <c r="DT7" i="13"/>
  <c r="DS7" i="13"/>
  <c r="DR7" i="13"/>
  <c r="DQ7" i="13"/>
  <c r="DP7" i="13"/>
  <c r="DO7" i="13"/>
  <c r="DN7" i="13"/>
  <c r="DM7" i="13"/>
  <c r="DL7" i="13"/>
  <c r="DK7" i="13"/>
  <c r="DJ7" i="13"/>
  <c r="DI7" i="13"/>
  <c r="DH7" i="13"/>
  <c r="DG7" i="13"/>
  <c r="DF7" i="13"/>
  <c r="DE7" i="13"/>
  <c r="DD7" i="13"/>
  <c r="DC7" i="13"/>
  <c r="DB7" i="13"/>
  <c r="DA7" i="13"/>
  <c r="CZ7" i="13"/>
  <c r="CY7" i="13"/>
  <c r="CX7" i="13"/>
  <c r="CW7" i="13"/>
  <c r="CV7" i="13"/>
  <c r="CU7" i="13"/>
  <c r="CT7" i="13"/>
  <c r="CS7" i="13"/>
  <c r="CR7" i="13"/>
  <c r="CQ7" i="13"/>
  <c r="CP7" i="13"/>
  <c r="CO7" i="13"/>
  <c r="CN7" i="13"/>
  <c r="CM7" i="13"/>
  <c r="CL7" i="13"/>
  <c r="CK7" i="13"/>
  <c r="CJ7" i="13"/>
  <c r="CI7" i="13"/>
  <c r="CH7" i="13"/>
  <c r="CG7" i="13"/>
  <c r="CF7" i="13"/>
  <c r="CE7" i="13"/>
  <c r="CD7" i="13"/>
  <c r="CC7" i="13"/>
  <c r="CB7" i="13"/>
  <c r="CA7" i="13"/>
  <c r="BZ7" i="13"/>
  <c r="BY7" i="13"/>
  <c r="BX7" i="13"/>
  <c r="BW7" i="13"/>
  <c r="BV7" i="13"/>
  <c r="BU7" i="13"/>
  <c r="BT7" i="13"/>
  <c r="BS7" i="13"/>
  <c r="BR7" i="13"/>
  <c r="BQ7" i="13"/>
  <c r="BP7" i="13"/>
  <c r="BO7" i="13"/>
  <c r="BN7" i="13"/>
  <c r="BM7" i="13"/>
  <c r="BL7" i="13"/>
  <c r="BK7" i="13"/>
  <c r="BJ7" i="13"/>
  <c r="BI7" i="13"/>
  <c r="BH7" i="13"/>
  <c r="BG7" i="13"/>
  <c r="BF7" i="13"/>
  <c r="BE7" i="13"/>
  <c r="BD7" i="13"/>
  <c r="BC7" i="13"/>
  <c r="BB7" i="13"/>
  <c r="BA7" i="13"/>
  <c r="AZ7" i="13"/>
  <c r="AY7" i="13"/>
  <c r="AX7" i="13"/>
  <c r="AW7" i="13"/>
  <c r="AV7" i="13"/>
  <c r="AU7" i="13"/>
  <c r="AT7" i="13"/>
  <c r="AS7" i="13"/>
  <c r="AR7" i="13"/>
  <c r="AQ7" i="13"/>
  <c r="AP7" i="13"/>
  <c r="AO7" i="13"/>
  <c r="AN7" i="13"/>
  <c r="AM7" i="13"/>
  <c r="AL7" i="13"/>
  <c r="AK7" i="13"/>
  <c r="AJ7" i="13"/>
  <c r="AI7" i="13"/>
  <c r="AH7" i="13"/>
  <c r="AG7" i="13"/>
  <c r="AF7" i="13"/>
  <c r="AE7" i="13"/>
  <c r="AD7" i="13"/>
  <c r="AC7" i="13"/>
  <c r="AB7" i="13"/>
  <c r="AA7" i="13"/>
  <c r="Z7" i="13"/>
  <c r="Y7" i="13"/>
  <c r="X7" i="13"/>
  <c r="W7" i="13"/>
  <c r="V7" i="13"/>
  <c r="U7" i="13"/>
  <c r="T7" i="13"/>
  <c r="S7" i="13"/>
  <c r="R7" i="13"/>
  <c r="Q7" i="13"/>
  <c r="P7" i="13"/>
  <c r="O7" i="13"/>
  <c r="N7" i="13"/>
  <c r="M7" i="13"/>
  <c r="L7" i="13"/>
  <c r="K7" i="13"/>
  <c r="J7" i="13"/>
  <c r="I7" i="13"/>
  <c r="H7" i="13"/>
  <c r="G7" i="13"/>
  <c r="F7" i="13"/>
  <c r="E7" i="13"/>
  <c r="D7" i="13"/>
  <c r="C7" i="13"/>
  <c r="B7" i="13"/>
  <c r="EO6" i="13"/>
  <c r="EN6" i="13"/>
  <c r="EM6" i="13"/>
  <c r="EL6" i="13"/>
  <c r="EK6" i="13"/>
  <c r="EJ6" i="13"/>
  <c r="EI6" i="13"/>
  <c r="EH6" i="13"/>
  <c r="EG6" i="13"/>
  <c r="EF6" i="13"/>
  <c r="EE6" i="13"/>
  <c r="ED6" i="13"/>
  <c r="EC6" i="13"/>
  <c r="EB6" i="13"/>
  <c r="EA6" i="13"/>
  <c r="DZ6" i="13"/>
  <c r="DY6" i="13"/>
  <c r="DX6" i="13"/>
  <c r="DW6" i="13"/>
  <c r="DV6" i="13"/>
  <c r="DU6" i="13"/>
  <c r="DT6" i="13"/>
  <c r="DS6" i="13"/>
  <c r="DR6" i="13"/>
  <c r="DQ6" i="13"/>
  <c r="DP6" i="13"/>
  <c r="DO6" i="13"/>
  <c r="DN6" i="13"/>
  <c r="DM6" i="13"/>
  <c r="DL6" i="13"/>
  <c r="DK6" i="13"/>
  <c r="DJ6" i="13"/>
  <c r="DI6" i="13"/>
  <c r="DH6" i="13"/>
  <c r="DG6" i="13"/>
  <c r="DF6" i="13"/>
  <c r="DE6" i="13"/>
  <c r="DD6" i="13"/>
  <c r="DC6" i="13"/>
  <c r="DB6" i="13"/>
  <c r="DA6" i="13"/>
  <c r="CZ6" i="13"/>
  <c r="CY6" i="13"/>
  <c r="CX6" i="13"/>
  <c r="CW6" i="13"/>
  <c r="CV6" i="13"/>
  <c r="CU6" i="13"/>
  <c r="CT6" i="13"/>
  <c r="CS6" i="13"/>
  <c r="CR6" i="13"/>
  <c r="CQ6" i="13"/>
  <c r="CP6" i="13"/>
  <c r="CO6" i="13"/>
  <c r="CN6" i="13"/>
  <c r="CM6" i="13"/>
  <c r="CL6" i="13"/>
  <c r="CK6" i="13"/>
  <c r="CJ6" i="13"/>
  <c r="CI6" i="13"/>
  <c r="CH6" i="13"/>
  <c r="CG6" i="13"/>
  <c r="CF6" i="13"/>
  <c r="CE6" i="13"/>
  <c r="CD6" i="13"/>
  <c r="CC6" i="13"/>
  <c r="CB6" i="13"/>
  <c r="CA6" i="13"/>
  <c r="BZ6" i="13"/>
  <c r="BY6" i="13"/>
  <c r="BX6" i="13"/>
  <c r="BW6" i="13"/>
  <c r="BV6" i="13"/>
  <c r="BU6" i="13"/>
  <c r="BT6" i="13"/>
  <c r="BS6" i="13"/>
  <c r="BR6" i="13"/>
  <c r="BQ6" i="13"/>
  <c r="BP6" i="13"/>
  <c r="BO6" i="13"/>
  <c r="BN6" i="13"/>
  <c r="BM6" i="13"/>
  <c r="BL6" i="13"/>
  <c r="BK6" i="13"/>
  <c r="BJ6" i="13"/>
  <c r="BI6" i="13"/>
  <c r="BH6" i="13"/>
  <c r="BG6" i="13"/>
  <c r="BF6" i="13"/>
  <c r="BE6" i="13"/>
  <c r="BD6" i="13"/>
  <c r="BC6" i="13"/>
  <c r="BB6" i="13"/>
  <c r="BA6" i="13"/>
  <c r="AZ6" i="13"/>
  <c r="AY6" i="13"/>
  <c r="AX6" i="13"/>
  <c r="AW6" i="13"/>
  <c r="AV6" i="13"/>
  <c r="AU6" i="13"/>
  <c r="AT6" i="13"/>
  <c r="AS6" i="13"/>
  <c r="AR6" i="13"/>
  <c r="AQ6" i="13"/>
  <c r="AP6" i="13"/>
  <c r="AO6" i="13"/>
  <c r="AN6" i="13"/>
  <c r="AM6" i="13"/>
  <c r="AL6" i="13"/>
  <c r="AK6" i="13"/>
  <c r="AJ6" i="13"/>
  <c r="AI6" i="13"/>
  <c r="AH6" i="13"/>
  <c r="AG6" i="13"/>
  <c r="AF6" i="13"/>
  <c r="AE6" i="13"/>
  <c r="AD6" i="13"/>
  <c r="AC6" i="13"/>
  <c r="AB6" i="13"/>
  <c r="AA6" i="13"/>
  <c r="Z6" i="13"/>
  <c r="Y6" i="13"/>
  <c r="X6" i="13"/>
  <c r="W6" i="13"/>
  <c r="V6" i="13"/>
  <c r="U6" i="13"/>
  <c r="T6" i="13"/>
  <c r="S6" i="13"/>
  <c r="R6" i="13"/>
  <c r="Q6" i="13"/>
  <c r="P6" i="13"/>
  <c r="O6" i="13"/>
  <c r="N6" i="13"/>
  <c r="M6" i="13"/>
  <c r="L6" i="13"/>
  <c r="K6" i="13"/>
  <c r="J6" i="13"/>
  <c r="I6" i="13"/>
  <c r="H6" i="13"/>
  <c r="G6" i="13"/>
  <c r="F6" i="13"/>
  <c r="E6" i="13"/>
  <c r="D6" i="13"/>
  <c r="C6" i="13"/>
  <c r="B6" i="13"/>
  <c r="EO5" i="13"/>
  <c r="EN5" i="13"/>
  <c r="EM5" i="13"/>
  <c r="EL5" i="13"/>
  <c r="EK5" i="13"/>
  <c r="EJ5" i="13"/>
  <c r="EI5" i="13"/>
  <c r="EH5" i="13"/>
  <c r="EG5" i="13"/>
  <c r="EF5" i="13"/>
  <c r="EE5" i="13"/>
  <c r="ED5" i="13"/>
  <c r="EC5" i="13"/>
  <c r="EB5" i="13"/>
  <c r="EA5" i="13"/>
  <c r="DZ5" i="13"/>
  <c r="DY5" i="13"/>
  <c r="DX5" i="13"/>
  <c r="DW5" i="13"/>
  <c r="DV5" i="13"/>
  <c r="DU5" i="13"/>
  <c r="DT5" i="13"/>
  <c r="DS5" i="13"/>
  <c r="DR5" i="13"/>
  <c r="DQ5" i="13"/>
  <c r="DP5" i="13"/>
  <c r="DO5" i="13"/>
  <c r="DN5" i="13"/>
  <c r="DM5" i="13"/>
  <c r="DL5" i="13"/>
  <c r="DK5" i="13"/>
  <c r="DJ5" i="13"/>
  <c r="DI5" i="13"/>
  <c r="DH5" i="13"/>
  <c r="DG5" i="13"/>
  <c r="DF5" i="13"/>
  <c r="DE5" i="13"/>
  <c r="DD5" i="13"/>
  <c r="DC5" i="13"/>
  <c r="DB5" i="13"/>
  <c r="DA5" i="13"/>
  <c r="CZ5" i="13"/>
  <c r="CY5" i="13"/>
  <c r="CX5" i="13"/>
  <c r="CW5" i="13"/>
  <c r="CT5" i="13"/>
  <c r="CS5" i="13"/>
  <c r="CR5" i="13"/>
  <c r="CQ5" i="13"/>
  <c r="CP5" i="13"/>
  <c r="CO5" i="13"/>
  <c r="CN5" i="13"/>
  <c r="CM5" i="13"/>
  <c r="CL5" i="13"/>
  <c r="CK5" i="13"/>
  <c r="CJ5" i="13"/>
  <c r="CI5" i="13"/>
  <c r="CH5" i="13"/>
  <c r="CG5" i="13"/>
  <c r="CF5" i="13"/>
  <c r="CE5" i="13"/>
  <c r="CD5" i="13"/>
  <c r="CC5" i="13"/>
  <c r="CB5" i="13"/>
  <c r="CA5" i="13"/>
  <c r="BZ5" i="13"/>
  <c r="BY5" i="13"/>
  <c r="BX5" i="13"/>
  <c r="BW5" i="13"/>
  <c r="BV5" i="13"/>
  <c r="BU5" i="13"/>
  <c r="BT5" i="13"/>
  <c r="BS5" i="13"/>
  <c r="BR5" i="13"/>
  <c r="BQ5" i="13"/>
  <c r="BP5" i="13"/>
  <c r="BO5" i="13"/>
  <c r="BN5" i="13"/>
  <c r="BM5" i="13"/>
  <c r="BL5" i="13"/>
  <c r="BK5" i="13"/>
  <c r="BJ5" i="13"/>
  <c r="BI5" i="13"/>
  <c r="BH5" i="13"/>
  <c r="BG5" i="13"/>
  <c r="BF5" i="13"/>
  <c r="BE5" i="13"/>
  <c r="BD5" i="13"/>
  <c r="BC5" i="13"/>
  <c r="BB5" i="13"/>
  <c r="BA5" i="13"/>
  <c r="AZ5" i="13"/>
  <c r="AY5" i="13"/>
  <c r="AX5" i="13"/>
  <c r="AW5" i="13"/>
  <c r="AV5" i="13"/>
  <c r="AU5" i="13"/>
  <c r="AT5" i="13"/>
  <c r="AS5" i="13"/>
  <c r="AR5" i="13"/>
  <c r="AQ5" i="13"/>
  <c r="AP5" i="13"/>
  <c r="AO5" i="13"/>
  <c r="AN5" i="13"/>
  <c r="AM5" i="13"/>
  <c r="AL5" i="13"/>
  <c r="AK5" i="13"/>
  <c r="AJ5" i="13"/>
  <c r="AI5" i="13"/>
  <c r="AH5" i="13"/>
  <c r="AG5" i="13"/>
  <c r="AF5" i="13"/>
  <c r="AE5" i="13"/>
  <c r="AD5" i="13"/>
  <c r="AC5" i="13"/>
  <c r="AB5" i="13"/>
  <c r="AA5" i="13"/>
  <c r="Z5" i="13"/>
  <c r="Y5" i="13"/>
  <c r="X5" i="13"/>
  <c r="W5" i="13"/>
  <c r="V5" i="13"/>
  <c r="U5" i="13"/>
  <c r="T5" i="13"/>
  <c r="S5" i="13"/>
  <c r="R5" i="13"/>
  <c r="Q5" i="13"/>
  <c r="P5" i="13"/>
  <c r="O5" i="13"/>
  <c r="N5" i="13"/>
  <c r="H5" i="13"/>
  <c r="G5" i="13"/>
  <c r="C5" i="13"/>
  <c r="B5" i="13"/>
  <c r="EO4" i="13"/>
  <c r="EN4" i="13"/>
  <c r="EM4" i="13"/>
  <c r="EL4" i="13"/>
  <c r="EK4" i="13"/>
  <c r="EJ4" i="13"/>
  <c r="EI4" i="13"/>
  <c r="EH4" i="13"/>
  <c r="EG4" i="13"/>
  <c r="EF4" i="13"/>
  <c r="EE4" i="13"/>
  <c r="ED4" i="13"/>
  <c r="EC4" i="13"/>
  <c r="EB4" i="13"/>
  <c r="EA4" i="13"/>
  <c r="DZ4" i="13"/>
  <c r="DY4" i="13"/>
  <c r="DX4" i="13"/>
  <c r="DW4" i="13"/>
  <c r="DV4" i="13"/>
  <c r="DU4" i="13"/>
  <c r="DT4" i="13"/>
  <c r="DS4" i="13"/>
  <c r="DR4" i="13"/>
  <c r="DQ4" i="13"/>
  <c r="DP4" i="13"/>
  <c r="DO4" i="13"/>
  <c r="DN4" i="13"/>
  <c r="DM4" i="13"/>
  <c r="DL4" i="13"/>
  <c r="DK4" i="13"/>
  <c r="DJ4" i="13"/>
  <c r="DI4" i="13"/>
  <c r="DH4" i="13"/>
  <c r="DG4" i="13"/>
  <c r="DF4" i="13"/>
  <c r="DE4" i="13"/>
  <c r="DD4" i="13"/>
  <c r="DC4" i="13"/>
  <c r="DB4" i="13"/>
  <c r="DA4" i="13"/>
  <c r="CZ4" i="13"/>
  <c r="CY4" i="13"/>
  <c r="CX4" i="13"/>
  <c r="CW4" i="13"/>
  <c r="CT4" i="13"/>
  <c r="CS4" i="13"/>
  <c r="CR4" i="13"/>
  <c r="CQ4" i="13"/>
  <c r="CP4" i="13"/>
  <c r="CO4" i="13"/>
  <c r="CN4" i="13"/>
  <c r="CM4" i="13"/>
  <c r="CL4" i="13"/>
  <c r="CK4" i="13"/>
  <c r="CJ4" i="13"/>
  <c r="CI4" i="13"/>
  <c r="CH4" i="13"/>
  <c r="CG4" i="13"/>
  <c r="CF4" i="13"/>
  <c r="CE4" i="13"/>
  <c r="CD4" i="13"/>
  <c r="CC4" i="13"/>
  <c r="CB4" i="13"/>
  <c r="CA4" i="13"/>
  <c r="BZ4" i="13"/>
  <c r="BY4" i="13"/>
  <c r="BX4" i="13"/>
  <c r="BW4" i="13"/>
  <c r="BV4" i="13"/>
  <c r="BU4" i="13"/>
  <c r="BT4" i="13"/>
  <c r="BS4" i="13"/>
  <c r="BR4" i="13"/>
  <c r="BQ4" i="13"/>
  <c r="BP4" i="13"/>
  <c r="BO4" i="13"/>
  <c r="BN4" i="13"/>
  <c r="BM4" i="13"/>
  <c r="BL4" i="13"/>
  <c r="BK4" i="13"/>
  <c r="BJ4" i="13"/>
  <c r="BI4" i="13"/>
  <c r="BH4" i="13"/>
  <c r="BG4" i="13"/>
  <c r="BF4" i="13"/>
  <c r="BE4" i="13"/>
  <c r="BD4" i="13"/>
  <c r="BC4" i="13"/>
  <c r="BB4" i="13"/>
  <c r="BA4" i="13"/>
  <c r="AZ4" i="13"/>
  <c r="AY4" i="13"/>
  <c r="AX4" i="13"/>
  <c r="AW4" i="13"/>
  <c r="AV4" i="13"/>
  <c r="AU4" i="13"/>
  <c r="AT4" i="13"/>
  <c r="AS4" i="13"/>
  <c r="AR4" i="13"/>
  <c r="AQ4" i="13"/>
  <c r="AP4" i="13"/>
  <c r="AO4" i="13"/>
  <c r="AN4" i="13"/>
  <c r="AM4" i="13"/>
  <c r="AL4" i="13"/>
  <c r="AK4" i="13"/>
  <c r="AJ4" i="13"/>
  <c r="AI4" i="13"/>
  <c r="AH4" i="13"/>
  <c r="AG4" i="13"/>
  <c r="AF4" i="13"/>
  <c r="AE4" i="13"/>
  <c r="AD4" i="13"/>
  <c r="AC4" i="13"/>
  <c r="AB4" i="13"/>
  <c r="AA4" i="13"/>
  <c r="Z4" i="13"/>
  <c r="Y4" i="13"/>
  <c r="X4" i="13"/>
  <c r="W4" i="13"/>
  <c r="V4" i="13"/>
  <c r="U4" i="13"/>
  <c r="T4" i="13"/>
  <c r="S4" i="13"/>
  <c r="R4" i="13"/>
  <c r="Q4" i="13"/>
  <c r="P4" i="13"/>
  <c r="O4" i="13"/>
  <c r="N4" i="13"/>
  <c r="H4" i="13"/>
  <c r="G4" i="13"/>
  <c r="C4" i="13"/>
  <c r="B4" i="13"/>
  <c r="EO7" i="13"/>
  <c r="D9" i="13"/>
  <c r="E9" i="13"/>
  <c r="F9" i="13"/>
  <c r="G9" i="13"/>
  <c r="H9" i="13"/>
  <c r="I9" i="13"/>
  <c r="J9" i="13"/>
  <c r="K9" i="13"/>
  <c r="L9" i="13"/>
  <c r="M9" i="13"/>
  <c r="N9" i="13"/>
  <c r="O9" i="13"/>
  <c r="P9" i="13"/>
  <c r="Q9" i="13"/>
  <c r="R9" i="13"/>
  <c r="S9" i="13"/>
  <c r="T9" i="13"/>
  <c r="U9" i="13"/>
  <c r="V9" i="13"/>
  <c r="W9" i="13"/>
  <c r="X9" i="13"/>
  <c r="Y9" i="13"/>
  <c r="Z9" i="13"/>
  <c r="AA9" i="13"/>
  <c r="AB9" i="13"/>
  <c r="AC9" i="13"/>
  <c r="AD9" i="13"/>
  <c r="AE9" i="13"/>
  <c r="AF9" i="13"/>
  <c r="AG9" i="13"/>
  <c r="AH9" i="13"/>
  <c r="AI9" i="13"/>
  <c r="AJ9" i="13"/>
  <c r="AK9" i="13"/>
  <c r="AL9" i="13"/>
  <c r="AM9" i="13"/>
  <c r="AN9" i="13"/>
  <c r="AO9" i="13"/>
  <c r="AP9" i="13"/>
  <c r="AQ9" i="13"/>
  <c r="AR9" i="13"/>
  <c r="AS9" i="13"/>
  <c r="AT9" i="13"/>
  <c r="AU9" i="13"/>
  <c r="AV9" i="13"/>
  <c r="AW9" i="13"/>
  <c r="AX9" i="13"/>
  <c r="AY9" i="13"/>
  <c r="AZ9" i="13"/>
  <c r="BA9" i="13"/>
  <c r="BB9" i="13"/>
  <c r="BC9" i="13"/>
  <c r="BD9" i="13"/>
  <c r="BE9" i="13"/>
  <c r="BF9" i="13"/>
  <c r="BG9" i="13"/>
  <c r="BH9" i="13"/>
  <c r="BI9" i="13"/>
  <c r="BJ9" i="13"/>
  <c r="BK9" i="13"/>
  <c r="BL9" i="13"/>
  <c r="BM9" i="13"/>
  <c r="BN9" i="13"/>
  <c r="BO9" i="13"/>
  <c r="BP9" i="13"/>
  <c r="BQ9" i="13"/>
  <c r="BR9" i="13"/>
  <c r="BS9" i="13"/>
  <c r="BT9" i="13"/>
  <c r="BU9" i="13"/>
  <c r="BV9" i="13"/>
  <c r="BW9" i="13"/>
  <c r="BX9" i="13"/>
  <c r="BY9" i="13"/>
  <c r="BZ9" i="13"/>
  <c r="CA9" i="13"/>
  <c r="CB9" i="13"/>
  <c r="CC9" i="13"/>
  <c r="CD9" i="13"/>
  <c r="CE9" i="13"/>
  <c r="CF9" i="13"/>
  <c r="CG9" i="13"/>
  <c r="CH9" i="13"/>
  <c r="CI9" i="13"/>
  <c r="CJ9" i="13"/>
  <c r="CK9" i="13"/>
  <c r="CL9" i="13"/>
  <c r="CM9" i="13"/>
  <c r="CN9" i="13"/>
  <c r="CO9" i="13"/>
  <c r="CP9" i="13"/>
  <c r="CQ9" i="13"/>
  <c r="CR9" i="13"/>
  <c r="CS9" i="13"/>
  <c r="CT9" i="13"/>
  <c r="CX9" i="13"/>
  <c r="CY9" i="13"/>
  <c r="CZ9" i="13"/>
  <c r="DA9" i="13"/>
  <c r="DB9" i="13"/>
  <c r="DD9" i="13"/>
  <c r="DE9" i="13"/>
  <c r="DF9" i="13"/>
  <c r="DG9" i="13"/>
  <c r="DH9" i="13"/>
  <c r="DI9" i="13"/>
  <c r="DJ9" i="13"/>
  <c r="DK9" i="13"/>
  <c r="DL9" i="13"/>
  <c r="DN9" i="13"/>
  <c r="DO9" i="13"/>
  <c r="DP9" i="13"/>
  <c r="DQ9" i="13"/>
  <c r="DR9" i="13"/>
  <c r="EJ9" i="13"/>
  <c r="EK9" i="13"/>
  <c r="EL9" i="13"/>
  <c r="EN9" i="13"/>
  <c r="EO9" i="13"/>
  <c r="D10" i="13"/>
  <c r="E10" i="13"/>
  <c r="F10" i="13"/>
  <c r="G10" i="13"/>
  <c r="H10" i="13"/>
  <c r="I10" i="13"/>
  <c r="J10" i="13"/>
  <c r="K10" i="13"/>
  <c r="L10" i="13"/>
  <c r="M10" i="13"/>
  <c r="N10" i="13"/>
  <c r="O10" i="13"/>
  <c r="P10" i="13"/>
  <c r="Q10" i="13"/>
  <c r="R10" i="13"/>
  <c r="S10" i="13"/>
  <c r="T10" i="13"/>
  <c r="U10" i="13"/>
  <c r="V10" i="13"/>
  <c r="W10" i="13"/>
  <c r="X10" i="13"/>
  <c r="Y10" i="13"/>
  <c r="Z10" i="13"/>
  <c r="AA10" i="13"/>
  <c r="AB10" i="13"/>
  <c r="AC10" i="13"/>
  <c r="AD10" i="13"/>
  <c r="AE10" i="13"/>
  <c r="AF10" i="13"/>
  <c r="AG10" i="13"/>
  <c r="AH10" i="13"/>
  <c r="AI10" i="13"/>
  <c r="AJ10" i="13"/>
  <c r="AK10" i="13"/>
  <c r="AL10" i="13"/>
  <c r="AM10" i="13"/>
  <c r="AN10" i="13"/>
  <c r="AO10" i="13"/>
  <c r="AP10" i="13"/>
  <c r="AQ10" i="13"/>
  <c r="AR10" i="13"/>
  <c r="AS10" i="13"/>
  <c r="AT10" i="13"/>
  <c r="AU10" i="13"/>
  <c r="AV10" i="13"/>
  <c r="AW10" i="13"/>
  <c r="AX10" i="13"/>
  <c r="AY10" i="13"/>
  <c r="AZ10" i="13"/>
  <c r="BA10" i="13"/>
  <c r="BB10" i="13"/>
  <c r="BC10" i="13"/>
  <c r="BD10" i="13"/>
  <c r="BE10" i="13"/>
  <c r="BF10" i="13"/>
  <c r="BG10" i="13"/>
  <c r="BH10" i="13"/>
  <c r="BI10" i="13"/>
  <c r="BJ10" i="13"/>
  <c r="BK10" i="13"/>
  <c r="BL10" i="13"/>
  <c r="BM10" i="13"/>
  <c r="BN10" i="13"/>
  <c r="BO10" i="13"/>
  <c r="BP10" i="13"/>
  <c r="BQ10" i="13"/>
  <c r="BR10" i="13"/>
  <c r="BS10" i="13"/>
  <c r="BT10" i="13"/>
  <c r="BU10" i="13"/>
  <c r="BV10" i="13"/>
  <c r="BW10" i="13"/>
  <c r="BX10" i="13"/>
  <c r="BY10" i="13"/>
  <c r="BZ10" i="13"/>
  <c r="CA10" i="13"/>
  <c r="CB10" i="13"/>
  <c r="CC10" i="13"/>
  <c r="CD10" i="13"/>
  <c r="CE10" i="13"/>
  <c r="CF10" i="13"/>
  <c r="CG10" i="13"/>
  <c r="CH10" i="13"/>
  <c r="CI10" i="13"/>
  <c r="CJ10" i="13"/>
  <c r="CK10" i="13"/>
  <c r="CL10" i="13"/>
  <c r="CM10" i="13"/>
  <c r="CN10" i="13"/>
  <c r="CO10" i="13"/>
  <c r="CP10" i="13"/>
  <c r="CQ10" i="13"/>
  <c r="CR10" i="13"/>
  <c r="CS10" i="13"/>
  <c r="CT10" i="13"/>
  <c r="CX10" i="13"/>
  <c r="CY10" i="13"/>
  <c r="CZ10" i="13"/>
  <c r="DA10" i="13"/>
  <c r="DB10" i="13"/>
  <c r="DD10" i="13"/>
  <c r="DE10" i="13"/>
  <c r="DF10" i="13"/>
  <c r="DG10" i="13"/>
  <c r="DH10" i="13"/>
  <c r="DI10" i="13"/>
  <c r="DJ10" i="13"/>
  <c r="DK10" i="13"/>
  <c r="DL10" i="13"/>
  <c r="DN10" i="13"/>
  <c r="DO10" i="13"/>
  <c r="DP10" i="13"/>
  <c r="DQ10" i="13"/>
  <c r="DR10" i="13"/>
  <c r="EJ10" i="13"/>
  <c r="EK10" i="13"/>
  <c r="EL10" i="13"/>
  <c r="EN10" i="13"/>
  <c r="EO10" i="13"/>
  <c r="D11" i="13"/>
  <c r="E11" i="13"/>
  <c r="F11" i="13"/>
  <c r="G11" i="13"/>
  <c r="H11" i="13"/>
  <c r="I11" i="13"/>
  <c r="J11" i="13"/>
  <c r="K11" i="13"/>
  <c r="L11" i="13"/>
  <c r="M11" i="13"/>
  <c r="N11" i="13"/>
  <c r="O11" i="13"/>
  <c r="P11" i="13"/>
  <c r="Q11" i="13"/>
  <c r="R11" i="13"/>
  <c r="S11" i="13"/>
  <c r="T11" i="13"/>
  <c r="U11" i="13"/>
  <c r="V11" i="13"/>
  <c r="W11" i="13"/>
  <c r="X11" i="13"/>
  <c r="Y11" i="13"/>
  <c r="Z11" i="13"/>
  <c r="AA11" i="13"/>
  <c r="AB11" i="13"/>
  <c r="AC11" i="13"/>
  <c r="AD11" i="13"/>
  <c r="AE11" i="13"/>
  <c r="AF11" i="13"/>
  <c r="AG11" i="13"/>
  <c r="AH11" i="13"/>
  <c r="AI11" i="13"/>
  <c r="AJ11" i="13"/>
  <c r="AK11" i="13"/>
  <c r="AL11" i="13"/>
  <c r="AM11" i="13"/>
  <c r="AN11" i="13"/>
  <c r="AO11" i="13"/>
  <c r="AP11" i="13"/>
  <c r="AQ11" i="13"/>
  <c r="AR11" i="13"/>
  <c r="AS11" i="13"/>
  <c r="AT11" i="13"/>
  <c r="AU11" i="13"/>
  <c r="AV11" i="13"/>
  <c r="AW11" i="13"/>
  <c r="AX11" i="13"/>
  <c r="AY11" i="13"/>
  <c r="AZ11" i="13"/>
  <c r="BA11" i="13"/>
  <c r="BB11" i="13"/>
  <c r="BC11" i="13"/>
  <c r="BD11" i="13"/>
  <c r="BE11" i="13"/>
  <c r="BF11" i="13"/>
  <c r="BG11" i="13"/>
  <c r="BH11" i="13"/>
  <c r="BI11" i="13"/>
  <c r="BJ11" i="13"/>
  <c r="BK11" i="13"/>
  <c r="BL11" i="13"/>
  <c r="BM11" i="13"/>
  <c r="BN11" i="13"/>
  <c r="BO11" i="13"/>
  <c r="BP11" i="13"/>
  <c r="BQ11" i="13"/>
  <c r="BR11" i="13"/>
  <c r="BS11" i="13"/>
  <c r="BT11" i="13"/>
  <c r="BU11" i="13"/>
  <c r="BV11" i="13"/>
  <c r="BW11" i="13"/>
  <c r="BX11" i="13"/>
  <c r="BY11" i="13"/>
  <c r="BZ11" i="13"/>
  <c r="CA11" i="13"/>
  <c r="CB11" i="13"/>
  <c r="CC11" i="13"/>
  <c r="CD11" i="13"/>
  <c r="CE11" i="13"/>
  <c r="CF11" i="13"/>
  <c r="CG11" i="13"/>
  <c r="CH11" i="13"/>
  <c r="CI11" i="13"/>
  <c r="CJ11" i="13"/>
  <c r="CK11" i="13"/>
  <c r="CL11" i="13"/>
  <c r="CM11" i="13"/>
  <c r="CN11" i="13"/>
  <c r="CO11" i="13"/>
  <c r="CP11" i="13"/>
  <c r="CQ11" i="13"/>
  <c r="CR11" i="13"/>
  <c r="CS11" i="13"/>
  <c r="CT11" i="13"/>
  <c r="CX11" i="13"/>
  <c r="CY11" i="13"/>
  <c r="CZ11" i="13"/>
  <c r="DA11" i="13"/>
  <c r="DB11" i="13"/>
  <c r="DD11" i="13"/>
  <c r="DE11" i="13"/>
  <c r="DF11" i="13"/>
  <c r="DG11" i="13"/>
  <c r="DH11" i="13"/>
  <c r="DI11" i="13"/>
  <c r="DJ11" i="13"/>
  <c r="DK11" i="13"/>
  <c r="DL11" i="13"/>
  <c r="DN11" i="13"/>
  <c r="DO11" i="13"/>
  <c r="DP11" i="13"/>
  <c r="DQ11" i="13"/>
  <c r="DR11" i="13"/>
  <c r="EJ11" i="13"/>
  <c r="EK11" i="13"/>
  <c r="EL11" i="13"/>
  <c r="EN11" i="13"/>
  <c r="EO11" i="13"/>
  <c r="CU9" i="13"/>
  <c r="CV9" i="13"/>
  <c r="CW9" i="13"/>
  <c r="DC9" i="13"/>
  <c r="DM9" i="13"/>
  <c r="DS9" i="13"/>
  <c r="DT9" i="13"/>
  <c r="DU9" i="13"/>
  <c r="DV9" i="13"/>
  <c r="DW9" i="13"/>
  <c r="DX9" i="13"/>
  <c r="DY9" i="13"/>
  <c r="DZ9" i="13"/>
  <c r="EA9" i="13"/>
  <c r="EB9" i="13"/>
  <c r="EC9" i="13"/>
  <c r="ED9" i="13"/>
  <c r="EE9" i="13"/>
  <c r="EF9" i="13"/>
  <c r="EG9" i="13"/>
  <c r="EH9" i="13"/>
  <c r="EI9" i="13"/>
  <c r="EM9" i="13"/>
  <c r="CU10" i="13"/>
  <c r="CV10" i="13"/>
  <c r="CW10" i="13"/>
  <c r="DC10" i="13"/>
  <c r="DM10" i="13"/>
  <c r="DS10" i="13"/>
  <c r="DT10" i="13"/>
  <c r="DU10" i="13"/>
  <c r="DV10" i="13"/>
  <c r="DW10" i="13"/>
  <c r="DX10" i="13"/>
  <c r="DY10" i="13"/>
  <c r="DZ10" i="13"/>
  <c r="EA10" i="13"/>
  <c r="EB10" i="13"/>
  <c r="EC10" i="13"/>
  <c r="ED10" i="13"/>
  <c r="EE10" i="13"/>
  <c r="EF10" i="13"/>
  <c r="EG10" i="13"/>
  <c r="EH10" i="13"/>
  <c r="EI10" i="13"/>
  <c r="EM10" i="13"/>
  <c r="CU11" i="13"/>
  <c r="CV11" i="13"/>
  <c r="CW11" i="13"/>
  <c r="DC11" i="13"/>
  <c r="DM11" i="13"/>
  <c r="DS11" i="13"/>
  <c r="DT11" i="13"/>
  <c r="DU11" i="13"/>
  <c r="DV11" i="13"/>
  <c r="DW11" i="13"/>
  <c r="DX11" i="13"/>
  <c r="DY11" i="13"/>
  <c r="DZ11" i="13"/>
  <c r="EA11" i="13"/>
  <c r="EB11" i="13"/>
  <c r="EC11" i="13"/>
  <c r="ED11" i="13"/>
  <c r="EE11" i="13"/>
  <c r="EF11" i="13"/>
  <c r="EG11" i="13"/>
  <c r="EH11" i="13"/>
  <c r="EI11" i="13"/>
  <c r="EM11" i="13"/>
  <c r="CT13" i="13"/>
  <c r="CT5" i="12"/>
  <c r="CU5" i="12"/>
  <c r="CV5" i="12"/>
  <c r="DB5" i="12"/>
  <c r="DL5" i="12"/>
  <c r="DR5" i="12"/>
  <c r="DS5" i="12"/>
  <c r="DT5" i="12"/>
  <c r="DU5" i="12"/>
  <c r="DV5" i="12"/>
  <c r="DW5" i="12"/>
  <c r="DX5" i="12"/>
  <c r="DY5" i="12"/>
  <c r="DZ5" i="12"/>
  <c r="EA5" i="12"/>
  <c r="EB5" i="12"/>
  <c r="EC5" i="12"/>
  <c r="ED5" i="12"/>
  <c r="EE5" i="12"/>
  <c r="EF5" i="12"/>
  <c r="EG5" i="12"/>
  <c r="EH5" i="12"/>
  <c r="EL5" i="12"/>
  <c r="CT6" i="12"/>
  <c r="CU6" i="12"/>
  <c r="CV6" i="12"/>
  <c r="DB6" i="12"/>
  <c r="DL6" i="12"/>
  <c r="DR6" i="12"/>
  <c r="DS6" i="12"/>
  <c r="DT6" i="12"/>
  <c r="DU6" i="12"/>
  <c r="DV6" i="12"/>
  <c r="DW6" i="12"/>
  <c r="DX6" i="12"/>
  <c r="DY6" i="12"/>
  <c r="DZ6" i="12"/>
  <c r="EA6" i="12"/>
  <c r="EB6" i="12"/>
  <c r="EC6" i="12"/>
  <c r="ED6" i="12"/>
  <c r="EE6" i="12"/>
  <c r="EF6" i="12"/>
  <c r="EG6" i="12"/>
  <c r="EH6" i="12"/>
  <c r="EL6" i="12"/>
  <c r="CT7" i="12"/>
  <c r="CU7" i="12"/>
  <c r="CV7" i="12"/>
  <c r="DB7" i="12"/>
  <c r="DL7" i="12"/>
  <c r="DR7" i="12"/>
  <c r="DS7" i="12"/>
  <c r="DT7" i="12"/>
  <c r="DU7" i="12"/>
  <c r="DV7" i="12"/>
  <c r="DW7" i="12"/>
  <c r="DX7" i="12"/>
  <c r="DY7" i="12"/>
  <c r="DZ7" i="12"/>
  <c r="EA7" i="12"/>
  <c r="EB7" i="12"/>
  <c r="EC7" i="12"/>
  <c r="ED7" i="12"/>
  <c r="EE7" i="12"/>
  <c r="EF7" i="12"/>
  <c r="EG7" i="12"/>
  <c r="EH7" i="12"/>
  <c r="EL7"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Aswath Damodaran</author>
    <author>Windows User</author>
  </authors>
  <commentList>
    <comment ref="D4" authorId="0" shapeId="0" xr:uid="{00000000-0006-0000-0000-000001000000}">
      <text>
        <r>
          <rPr>
            <b/>
            <sz val="9"/>
            <color indexed="81"/>
            <rFont val="Geneva"/>
          </rPr>
          <t>Aswath Damodaran:</t>
        </r>
        <r>
          <rPr>
            <sz val="9"/>
            <color indexed="81"/>
            <rFont val="Geneva"/>
          </rPr>
          <t xml:space="preserve">
If there is more than one class of common shares, combined them and report total #.</t>
        </r>
      </text>
    </comment>
    <comment ref="E4" authorId="0" shapeId="0" xr:uid="{00000000-0006-0000-0000-000002000000}">
      <text>
        <r>
          <rPr>
            <b/>
            <sz val="9"/>
            <color indexed="81"/>
            <rFont val="Geneva"/>
          </rPr>
          <t>Aswath Damodaran:</t>
        </r>
        <r>
          <rPr>
            <sz val="9"/>
            <color indexed="81"/>
            <rFont val="Geneva"/>
          </rPr>
          <t xml:space="preserve">
If there is more than one class, report an average price/share</t>
        </r>
      </text>
    </comment>
    <comment ref="F4" authorId="0" shapeId="0" xr:uid="{00000000-0006-0000-0000-000003000000}">
      <text>
        <r>
          <rPr>
            <b/>
            <sz val="9"/>
            <color indexed="81"/>
            <rFont val="Geneva"/>
          </rPr>
          <t>Aswath Damodaran:</t>
        </r>
        <r>
          <rPr>
            <sz val="9"/>
            <color indexed="81"/>
            <rFont val="Geneva"/>
          </rPr>
          <t xml:space="preserve">
This is total shareholders' equity, including retained earnings, paid in capital etc.</t>
        </r>
      </text>
    </comment>
    <comment ref="G4" authorId="1" shapeId="0" xr:uid="{00000000-0006-0000-0000-000004000000}">
      <text>
        <r>
          <rPr>
            <b/>
            <sz val="9"/>
            <color indexed="81"/>
            <rFont val="Tahoma"/>
            <family val="2"/>
          </rPr>
          <t>Windows User:</t>
        </r>
        <r>
          <rPr>
            <sz val="9"/>
            <color indexed="81"/>
            <rFont val="Tahoma"/>
            <family val="2"/>
          </rPr>
          <t xml:space="preserve">
If BLANK trigger the solver
</t>
        </r>
      </text>
    </comment>
    <comment ref="AK4" authorId="1" shapeId="0" xr:uid="{00000000-0006-0000-0000-000005000000}">
      <text>
        <r>
          <rPr>
            <b/>
            <sz val="9"/>
            <color indexed="81"/>
            <rFont val="Tahoma"/>
            <family val="2"/>
          </rPr>
          <t>Windows User:</t>
        </r>
        <r>
          <rPr>
            <sz val="9"/>
            <color indexed="81"/>
            <rFont val="Tahoma"/>
            <family val="2"/>
          </rPr>
          <t xml:space="preserve">
If the ratio 1 then it is the book value of cross holdings in other companies</t>
        </r>
      </text>
    </comment>
    <comment ref="AM4" authorId="1" shapeId="0" xr:uid="{00000000-0006-0000-0000-000006000000}">
      <text>
        <r>
          <rPr>
            <b/>
            <sz val="9"/>
            <color indexed="81"/>
            <rFont val="Tahoma"/>
            <family val="2"/>
          </rPr>
          <t>Windows User:</t>
        </r>
        <r>
          <rPr>
            <sz val="9"/>
            <color indexed="81"/>
            <rFont val="Tahoma"/>
            <family val="2"/>
          </rPr>
          <t xml:space="preserve">
If the ratio 1 then it is the book value of cross holdings in other companies</t>
        </r>
      </text>
    </comment>
    <comment ref="BT4" authorId="1" shapeId="0" xr:uid="{00000000-0006-0000-0000-000007000000}">
      <text>
        <r>
          <rPr>
            <b/>
            <sz val="9"/>
            <color indexed="81"/>
            <rFont val="Tahoma"/>
            <family val="2"/>
          </rPr>
          <t>Windows User:</t>
        </r>
        <r>
          <rPr>
            <sz val="9"/>
            <color indexed="81"/>
            <rFont val="Tahoma"/>
            <family val="2"/>
          </rPr>
          <t xml:space="preserve">
I have used an approximation here. If you want to see the more complete adjustment, see below.</t>
        </r>
      </text>
    </comment>
    <comment ref="BV4" authorId="1" shapeId="0" xr:uid="{00000000-0006-0000-0000-000008000000}">
      <text>
        <r>
          <rPr>
            <b/>
            <sz val="9"/>
            <color indexed="81"/>
            <rFont val="Tahoma"/>
            <family val="2"/>
          </rPr>
          <t>Windows User:</t>
        </r>
        <r>
          <rPr>
            <sz val="9"/>
            <color indexed="81"/>
            <rFont val="Tahoma"/>
            <family val="2"/>
          </rPr>
          <t xml:space="preserve">
This is the EBIT reported in the current income statement</t>
        </r>
      </text>
    </comment>
    <comment ref="BW4" authorId="1" shapeId="0" xr:uid="{00000000-0006-0000-0000-000009000000}">
      <text>
        <r>
          <rPr>
            <b/>
            <sz val="9"/>
            <color indexed="81"/>
            <rFont val="Tahoma"/>
            <family val="2"/>
          </rPr>
          <t>Windows User:</t>
        </r>
        <r>
          <rPr>
            <sz val="9"/>
            <color indexed="81"/>
            <rFont val="Tahoma"/>
            <family val="2"/>
          </rPr>
          <t xml:space="preserve">
This is the interest-bearing debt reported on the balance sheet</t>
        </r>
      </text>
    </comment>
    <comment ref="CC4" authorId="1" shapeId="0" xr:uid="{00000000-0006-0000-0000-00000A000000}">
      <text>
        <r>
          <rPr>
            <b/>
            <sz val="9"/>
            <color indexed="81"/>
            <rFont val="Tahoma"/>
            <family val="2"/>
          </rPr>
          <t>Windows User:</t>
        </r>
        <r>
          <rPr>
            <sz val="9"/>
            <color indexed="81"/>
            <rFont val="Tahoma"/>
            <family val="2"/>
          </rPr>
          <t xml:space="preserve">
A positive number indicates an increase in operating income (add to reported EBIT)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Aswath Damodaran</author>
    <author>Windows User</author>
  </authors>
  <commentList>
    <comment ref="E4" authorId="0" shapeId="0" xr:uid="{00000000-0006-0000-0200-000001000000}">
      <text>
        <r>
          <rPr>
            <b/>
            <sz val="9"/>
            <color indexed="81"/>
            <rFont val="Geneva"/>
          </rPr>
          <t>Aswath Damodaran:</t>
        </r>
        <r>
          <rPr>
            <sz val="9"/>
            <color indexed="81"/>
            <rFont val="Geneva"/>
          </rPr>
          <t xml:space="preserve">
If there is more than one class of common shares, combined them and report total #.</t>
        </r>
      </text>
    </comment>
    <comment ref="F4" authorId="0" shapeId="0" xr:uid="{00000000-0006-0000-0200-000002000000}">
      <text>
        <r>
          <rPr>
            <b/>
            <sz val="9"/>
            <color indexed="81"/>
            <rFont val="Geneva"/>
          </rPr>
          <t>Aswath Damodaran:</t>
        </r>
        <r>
          <rPr>
            <sz val="9"/>
            <color indexed="81"/>
            <rFont val="Geneva"/>
          </rPr>
          <t xml:space="preserve">
If there is more than one class, report an average price/share</t>
        </r>
      </text>
    </comment>
    <comment ref="G4" authorId="0" shapeId="0" xr:uid="{00000000-0006-0000-0200-000003000000}">
      <text>
        <r>
          <rPr>
            <b/>
            <sz val="9"/>
            <color indexed="81"/>
            <rFont val="Geneva"/>
          </rPr>
          <t>Aswath Damodaran:</t>
        </r>
        <r>
          <rPr>
            <sz val="9"/>
            <color indexed="81"/>
            <rFont val="Geneva"/>
          </rPr>
          <t xml:space="preserve">
This is total shareholders' equity, including retained earnings, paid in capital etc.</t>
        </r>
      </text>
    </comment>
    <comment ref="H4" authorId="1" shapeId="0" xr:uid="{00000000-0006-0000-0200-000004000000}">
      <text>
        <r>
          <rPr>
            <b/>
            <sz val="9"/>
            <color indexed="81"/>
            <rFont val="Tahoma"/>
            <family val="2"/>
          </rPr>
          <t>Windows User:</t>
        </r>
        <r>
          <rPr>
            <sz val="9"/>
            <color indexed="81"/>
            <rFont val="Tahoma"/>
            <family val="2"/>
          </rPr>
          <t xml:space="preserve">
If BLANK trigger the solver
</t>
        </r>
      </text>
    </comment>
    <comment ref="AL4" authorId="1" shapeId="0" xr:uid="{00000000-0006-0000-0200-000005000000}">
      <text>
        <r>
          <rPr>
            <b/>
            <sz val="9"/>
            <color indexed="81"/>
            <rFont val="Tahoma"/>
            <family val="2"/>
          </rPr>
          <t>Windows User:</t>
        </r>
        <r>
          <rPr>
            <sz val="9"/>
            <color indexed="81"/>
            <rFont val="Tahoma"/>
            <family val="2"/>
          </rPr>
          <t xml:space="preserve">
If the ratio 1 then it is the book value of cross holdings in other companies</t>
        </r>
      </text>
    </comment>
    <comment ref="AN4" authorId="1" shapeId="0" xr:uid="{00000000-0006-0000-0200-000006000000}">
      <text>
        <r>
          <rPr>
            <b/>
            <sz val="9"/>
            <color indexed="81"/>
            <rFont val="Tahoma"/>
            <family val="2"/>
          </rPr>
          <t>Windows User:</t>
        </r>
        <r>
          <rPr>
            <sz val="9"/>
            <color indexed="81"/>
            <rFont val="Tahoma"/>
            <family val="2"/>
          </rPr>
          <t xml:space="preserve">
If the ratio 1 then it is the book value of cross holdings in other companies</t>
        </r>
      </text>
    </comment>
    <comment ref="BU4" authorId="1" shapeId="0" xr:uid="{00000000-0006-0000-0200-000007000000}">
      <text>
        <r>
          <rPr>
            <b/>
            <sz val="9"/>
            <color indexed="81"/>
            <rFont val="Tahoma"/>
            <family val="2"/>
          </rPr>
          <t>Windows User:</t>
        </r>
        <r>
          <rPr>
            <sz val="9"/>
            <color indexed="81"/>
            <rFont val="Tahoma"/>
            <family val="2"/>
          </rPr>
          <t xml:space="preserve">
I have used an approximation here. If you want to see the more complete adjustment, see below.</t>
        </r>
      </text>
    </comment>
    <comment ref="BW4" authorId="1" shapeId="0" xr:uid="{00000000-0006-0000-0200-000008000000}">
      <text>
        <r>
          <rPr>
            <b/>
            <sz val="9"/>
            <color indexed="81"/>
            <rFont val="Tahoma"/>
            <family val="2"/>
          </rPr>
          <t>Windows User:</t>
        </r>
        <r>
          <rPr>
            <sz val="9"/>
            <color indexed="81"/>
            <rFont val="Tahoma"/>
            <family val="2"/>
          </rPr>
          <t xml:space="preserve">
This is the EBIT reported in the current income statement</t>
        </r>
      </text>
    </comment>
    <comment ref="BX4" authorId="1" shapeId="0" xr:uid="{00000000-0006-0000-0200-000009000000}">
      <text>
        <r>
          <rPr>
            <b/>
            <sz val="9"/>
            <color indexed="81"/>
            <rFont val="Tahoma"/>
            <family val="2"/>
          </rPr>
          <t>Windows User:</t>
        </r>
        <r>
          <rPr>
            <sz val="9"/>
            <color indexed="81"/>
            <rFont val="Tahoma"/>
            <family val="2"/>
          </rPr>
          <t xml:space="preserve">
This is the interest-bearing debt reported on the balance sheet</t>
        </r>
      </text>
    </comment>
    <comment ref="CD4" authorId="1" shapeId="0" xr:uid="{00000000-0006-0000-0200-00000A000000}">
      <text>
        <r>
          <rPr>
            <b/>
            <sz val="9"/>
            <color indexed="81"/>
            <rFont val="Tahoma"/>
            <family val="2"/>
          </rPr>
          <t>Windows User:</t>
        </r>
        <r>
          <rPr>
            <sz val="9"/>
            <color indexed="81"/>
            <rFont val="Tahoma"/>
            <family val="2"/>
          </rPr>
          <t xml:space="preserve">
A positive number indicates an increase in operating income (add to reported EBIT)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Rafael Nicolas Fermin Cota</author>
  </authors>
  <commentList>
    <comment ref="A5" authorId="0" shapeId="0" xr:uid="{00000000-0006-0000-0300-000001000000}">
      <text>
        <r>
          <rPr>
            <b/>
            <sz val="9"/>
            <color indexed="81"/>
            <rFont val="Tahoma"/>
            <family val="2"/>
          </rPr>
          <t>Rafael Nicolas Fermin Cota:</t>
        </r>
        <r>
          <rPr>
            <sz val="9"/>
            <color indexed="81"/>
            <rFont val="Tahoma"/>
            <family val="2"/>
          </rPr>
          <t xml:space="preserve">
don’t touch!</t>
        </r>
      </text>
    </comment>
  </commentList>
</comments>
</file>

<file path=xl/sharedStrings.xml><?xml version="1.0" encoding="utf-8"?>
<sst xmlns="http://schemas.openxmlformats.org/spreadsheetml/2006/main" count="608" uniqueCount="149">
  <si>
    <t>Market price/share</t>
  </si>
  <si>
    <t>Disney</t>
  </si>
  <si>
    <t>Lease commitment - year 1</t>
  </si>
  <si>
    <t>Lease commitment - year 2</t>
  </si>
  <si>
    <t>Lease commitment - year 3</t>
  </si>
  <si>
    <t>Lease commitment - year 4</t>
  </si>
  <si>
    <t>Lease commitment - year 5</t>
  </si>
  <si>
    <t>Lease expense - Most recent year</t>
  </si>
  <si>
    <t>Market Value of all equity</t>
  </si>
  <si>
    <t>Market Value of all debt</t>
  </si>
  <si>
    <t>Market Capitalization</t>
  </si>
  <si>
    <t>Market value of preferred stock</t>
  </si>
  <si>
    <t>Revenues: Last fiscal year</t>
  </si>
  <si>
    <t>Revenues: Last 12 months</t>
  </si>
  <si>
    <t>Revenues: Forward</t>
  </si>
  <si>
    <t>EBITDA: Last fiscal year</t>
  </si>
  <si>
    <t>EBITDA: Last 12 months</t>
  </si>
  <si>
    <t>EBITDA: Forward</t>
  </si>
  <si>
    <t>EBIT: Last fiscal year</t>
  </si>
  <si>
    <t>EBIT: Last 12 months</t>
  </si>
  <si>
    <t>EBIT: Forward</t>
  </si>
  <si>
    <t>Effective Tax Rate: Last fiscal year</t>
  </si>
  <si>
    <t>Effective Tax Rate: Last 12 months</t>
  </si>
  <si>
    <t>Effective Tax Rate: Forward</t>
  </si>
  <si>
    <t>Net Income: Last fiscal year</t>
  </si>
  <si>
    <t>Net Income: Last 12 months</t>
  </si>
  <si>
    <t>Net Income: Forward</t>
  </si>
  <si>
    <t>Interest Income from Cash: Last fiscal year</t>
  </si>
  <si>
    <t>Interest Income from Cash: Last 12 months</t>
  </si>
  <si>
    <t>Interest Income from Cash: Forward</t>
  </si>
  <si>
    <t>R&amp;D expense: year 0</t>
  </si>
  <si>
    <t>R&amp;D expense: year -1</t>
  </si>
  <si>
    <t>R&amp;D expense: year -2</t>
  </si>
  <si>
    <t>R&amp;D expense: year -3</t>
  </si>
  <si>
    <t>R&amp;D expense: year -4</t>
  </si>
  <si>
    <t>R&amp;D expense: year -5</t>
  </si>
  <si>
    <t>R&amp;D expense: year -6</t>
  </si>
  <si>
    <t>R&amp;D expense: year -7</t>
  </si>
  <si>
    <t>R&amp;D expense: year -8</t>
  </si>
  <si>
    <t>R&amp;D expense: year -9</t>
  </si>
  <si>
    <t>R&amp;D expense: year -10</t>
  </si>
  <si>
    <t>Name of company</t>
  </si>
  <si>
    <t>Date of analysis</t>
  </si>
  <si>
    <t>Risk free rate (long term)</t>
  </si>
  <si>
    <t>Number of shares (primary)</t>
  </si>
  <si>
    <t>Book value of common equity</t>
  </si>
  <si>
    <t>Book value of preferred stock</t>
  </si>
  <si>
    <t>Book value of interest bearing debt</t>
  </si>
  <si>
    <t>Average maturity of debt</t>
  </si>
  <si>
    <t>Interest expense on debt</t>
  </si>
  <si>
    <t>Pre-tax cost of debt for company</t>
  </si>
  <si>
    <t>Market value of convertible debt</t>
  </si>
  <si>
    <t>Book value of convertible debt</t>
  </si>
  <si>
    <t>Coupon rate on convertible debt</t>
  </si>
  <si>
    <t>Maturity of convertible debt</t>
  </si>
  <si>
    <t>Book value of convertible preferred</t>
  </si>
  <si>
    <t>Cash &amp; Marketable Securities</t>
  </si>
  <si>
    <t>Value of cross holdings in other companies</t>
  </si>
  <si>
    <t>Minority Interest</t>
  </si>
  <si>
    <t>I</t>
  </si>
  <si>
    <t>After-tax EBIT: Last fiscal year</t>
  </si>
  <si>
    <t>After-tax EBIT: Last 12 months</t>
  </si>
  <si>
    <t>After-tax EBIT: Forward</t>
  </si>
  <si>
    <t>Non-cash Net Income: Last fiscal year</t>
  </si>
  <si>
    <t>Non-cash Net Income: Last 12 months</t>
  </si>
  <si>
    <t>Non-cash Net Income: Forward</t>
  </si>
  <si>
    <t>O</t>
  </si>
  <si>
    <t>Book Value: Equity</t>
  </si>
  <si>
    <t>Book Value:  + Debt</t>
  </si>
  <si>
    <t>Book Value:  + Preferred</t>
  </si>
  <si>
    <t>Book Value:  - Cash</t>
  </si>
  <si>
    <t xml:space="preserve">Book Value: Invested Capital </t>
  </si>
  <si>
    <t>Firm Value: Market Value of Equity</t>
  </si>
  <si>
    <t>Firm Value:  + Market Value of Debt</t>
  </si>
  <si>
    <t xml:space="preserve">Firm Value:  + Market Value of Preferred </t>
  </si>
  <si>
    <t>Firm Value:  - Cash</t>
  </si>
  <si>
    <t xml:space="preserve">Firm Value:  - Market value of minority holdings </t>
  </si>
  <si>
    <t>Firm Value:  + Market value of Minority Interest</t>
  </si>
  <si>
    <t>Firm Value: Enterprise Value</t>
  </si>
  <si>
    <t>Firm Value: Firm Value (with minority interest)</t>
  </si>
  <si>
    <t>Debt value of leases (if any)</t>
  </si>
  <si>
    <t>Market value of interest bearing debt</t>
  </si>
  <si>
    <t>EV/Sales: Current</t>
  </si>
  <si>
    <t>EV/Sales: Trailing</t>
  </si>
  <si>
    <t>EV/Sales: Forward</t>
  </si>
  <si>
    <t>EV/EBITDA: Current</t>
  </si>
  <si>
    <t>EV/EBITDA: Trailing</t>
  </si>
  <si>
    <t>EV/EBITDA: Forward</t>
  </si>
  <si>
    <t>EV/EBIT: Current</t>
  </si>
  <si>
    <t>EV/EBIT: Trailing</t>
  </si>
  <si>
    <t>EV/EBIT: Forward</t>
  </si>
  <si>
    <t>EV/ After-tax EBIT: Current</t>
  </si>
  <si>
    <t>EV/ After-tax EBIT: Trailing</t>
  </si>
  <si>
    <t>EV/ After-tax EBIT: Forward</t>
  </si>
  <si>
    <t>PE: Current</t>
  </si>
  <si>
    <t>PE: Trailing</t>
  </si>
  <si>
    <t>PE: Forward</t>
  </si>
  <si>
    <t>Non-cash PE: Current</t>
  </si>
  <si>
    <t>Non-cash PE: Trailing</t>
  </si>
  <si>
    <t>Non-cash PE: Forward</t>
  </si>
  <si>
    <t>EV/ Invested Capital: Current</t>
  </si>
  <si>
    <t>PBV: Current</t>
  </si>
  <si>
    <t>Non-cash PBV: Current</t>
  </si>
  <si>
    <t>Price to book ratio to convert value of cross holdings in other companies to market value</t>
  </si>
  <si>
    <t>Price to book ratio to convert value of minority interest to market value</t>
  </si>
  <si>
    <t>Debt Value of leases</t>
  </si>
  <si>
    <t>Operating Income with Operating leases reclassified as debt</t>
  </si>
  <si>
    <t>Debt with Operating leases reclassified as debt</t>
  </si>
  <si>
    <t>Full Operating lease adjustment: Reported Operating income</t>
  </si>
  <si>
    <t>Full Operating lease adjustment:  + Current year's operating lease expense</t>
  </si>
  <si>
    <t>Full Operating lease adjustment:  - Depreciation on leased asset</t>
  </si>
  <si>
    <t>Full Operating lease adjustment: Adjusted Operating Income</t>
  </si>
  <si>
    <t>R&amp; D expenses: Amortization of asset for current year</t>
  </si>
  <si>
    <t>R&amp; D expenses: Value of Research Asset</t>
  </si>
  <si>
    <t>R&amp; D expenses: Adjustment to Operating Income</t>
  </si>
  <si>
    <t>Solver</t>
  </si>
  <si>
    <t>Convertible breakdown: Straight Debt component</t>
  </si>
  <si>
    <t>Convertible breakdown: Equity Component</t>
  </si>
  <si>
    <t>Convertible breakdown: Preferred Stock component</t>
  </si>
  <si>
    <t>Option Converter: Value of employee options</t>
  </si>
  <si>
    <t>Convertible breakdown: Value of Conversion options</t>
  </si>
  <si>
    <t>Option Converter: Value Per Option</t>
  </si>
  <si>
    <t>Option Converter: Number of options outstanding</t>
  </si>
  <si>
    <t>Option Converter: Average strike price</t>
  </si>
  <si>
    <t>Option Converter: Average maturity</t>
  </si>
  <si>
    <t>Option Converter: Standard deviation on stock price</t>
  </si>
  <si>
    <t>Option Converter: Dividend yield on stock (if any)</t>
  </si>
  <si>
    <t>Option Converter: Adjusted Stock Price</t>
  </si>
  <si>
    <t>Option Converter: Value per option</t>
  </si>
  <si>
    <t>R&amp; D expenses: Periods to amortize R&amp;D expenses</t>
  </si>
  <si>
    <t>Number of years embedded in leases</t>
  </si>
  <si>
    <t>Lease commitment - Beyond last year</t>
  </si>
  <si>
    <t>Operating leases number of years</t>
  </si>
  <si>
    <t xml:space="preserve">Preferred dividend yield on straight preferred </t>
  </si>
  <si>
    <t>Decomposition of Preferred Stock</t>
  </si>
  <si>
    <t>Preferred dividend yield on convertible</t>
  </si>
  <si>
    <t>s</t>
  </si>
  <si>
    <t xml:space="preserve"> </t>
  </si>
  <si>
    <t xml:space="preserve">  </t>
  </si>
  <si>
    <t>Tolerance</t>
  </si>
  <si>
    <t>Control</t>
  </si>
  <si>
    <t>Lower</t>
  </si>
  <si>
    <t>Upper</t>
  </si>
  <si>
    <t>Function</t>
  </si>
  <si>
    <t>Loops</t>
  </si>
  <si>
    <t>TEST_VALUE_PER_OPTION_OBJ_FUNC</t>
  </si>
  <si>
    <t>**</t>
  </si>
  <si>
    <t>INDEX</t>
  </si>
  <si>
    <t>Try to build your own "brute force" and compare the "COUNTER" (column i) with your number of steps to converge.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</si>
</sst>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43" formatCode="_(* #,##0.00_);_(* \(#,##0.00\);_(* &quot;-&quot;??_);_(@_)"/>
    <numFmt numFmtId="164" formatCode="&quot;$&quot;#,##0.00"/>
    <numFmt numFmtId="165" formatCode="&quot;$&quot;#,##0.000000"/>
    <numFmt numFmtId="166" formatCode="_(* #,##0.000000_);_(* \(#,##0.000000\);_(* &quot;-&quot;??_);_(@_)"/>
    <numFmt numFmtId="167" formatCode="&quot;$&quot;#,##0.0000000"/>
    <numFmt numFmtId="168" formatCode="#,##0.0000"/>
    <numFmt numFmtId="169" formatCode="0.0000"/>
  </numFmts>
  <fonts count="18" x14ac:knownFonts="1">
    <font>
      <sz val="9"/>
      <name val="Geneva"/>
    </font>
    <font>
      <sz val="9"/>
      <name val="Geneva"/>
    </font>
    <font>
      <sz val="9"/>
      <color indexed="81"/>
      <name val="Geneva"/>
    </font>
    <font>
      <b/>
      <sz val="9"/>
      <color indexed="81"/>
      <name val="Geneva"/>
    </font>
    <font>
      <sz val="9"/>
      <color indexed="81"/>
      <name val="Tahoma"/>
      <family val="2"/>
    </font>
    <font>
      <b/>
      <sz val="9"/>
      <color indexed="81"/>
      <name val="Tahoma"/>
      <family val="2"/>
    </font>
    <font>
      <sz val="10"/>
      <name val="Times New Roman"/>
      <family val="1"/>
    </font>
    <font>
      <sz val="12"/>
      <color theme="1"/>
      <name val="Calibri"/>
      <family val="2"/>
      <scheme val="minor"/>
    </font>
    <font>
      <sz val="10"/>
      <color theme="0"/>
      <name val="Times New Roman"/>
      <family val="1"/>
    </font>
    <font>
      <sz val="10"/>
      <color rgb="FF0070C0"/>
      <name val="Times New Roman"/>
      <family val="1"/>
    </font>
    <font>
      <sz val="10"/>
      <color theme="1"/>
      <name val="Times New Roman"/>
      <family val="1"/>
    </font>
    <font>
      <sz val="10"/>
      <color rgb="FFFF0000"/>
      <name val="Times New Roman"/>
      <family val="1"/>
    </font>
    <font>
      <b/>
      <sz val="9"/>
      <color theme="0"/>
      <name val="Geneva"/>
    </font>
    <font>
      <b/>
      <sz val="9"/>
      <color rgb="FFFF0000"/>
      <name val="Geneva"/>
    </font>
    <font>
      <sz val="9"/>
      <color rgb="FF0070C0"/>
      <name val="Geneva"/>
    </font>
    <font>
      <sz val="9"/>
      <color theme="1"/>
      <name val="Geneva"/>
    </font>
    <font>
      <b/>
      <sz val="9"/>
      <name val="Geneva"/>
    </font>
    <font>
      <b/>
      <sz val="11"/>
      <color theme="1"/>
      <name val="Geneva"/>
    </font>
  </fonts>
  <fills count="10">
    <fill>
      <patternFill patternType="none"/>
    </fill>
    <fill>
      <patternFill patternType="gray125"/>
    </fill>
    <fill>
      <patternFill patternType="solid">
        <fgColor theme="1"/>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rgb="FFFF0000"/>
        <bgColor indexed="64"/>
      </patternFill>
    </fill>
  </fills>
  <borders count="17">
    <border>
      <left/>
      <right/>
      <top/>
      <bottom/>
      <diagonal/>
    </border>
    <border>
      <left style="hair">
        <color auto="1"/>
      </left>
      <right style="hair">
        <color auto="1"/>
      </right>
      <top style="hair">
        <color auto="1"/>
      </top>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5">
    <xf numFmtId="0" fontId="0" fillId="0" borderId="0"/>
    <xf numFmtId="43" fontId="1" fillId="0" borderId="0" applyFont="0" applyFill="0" applyBorder="0" applyAlignment="0" applyProtection="0"/>
    <xf numFmtId="44" fontId="1" fillId="0" borderId="0" applyFont="0" applyFill="0" applyBorder="0" applyAlignment="0" applyProtection="0"/>
    <xf numFmtId="0" fontId="7" fillId="0" borderId="0"/>
    <xf numFmtId="9" fontId="1" fillId="0" borderId="0" applyFont="0" applyFill="0" applyBorder="0" applyAlignment="0" applyProtection="0"/>
  </cellStyleXfs>
  <cellXfs count="79">
    <xf numFmtId="0" fontId="0" fillId="0" borderId="0" xfId="0"/>
    <xf numFmtId="0" fontId="6" fillId="0" borderId="0" xfId="0" applyFont="1" applyAlignment="1">
      <alignment vertical="center"/>
    </xf>
    <xf numFmtId="0" fontId="6" fillId="0" borderId="0" xfId="0" applyFont="1" applyAlignment="1">
      <alignment horizontal="center" vertical="center"/>
    </xf>
    <xf numFmtId="0" fontId="8" fillId="2" borderId="1" xfId="0" applyFont="1" applyFill="1" applyBorder="1" applyAlignment="1">
      <alignment horizontal="center" vertical="center" wrapText="1"/>
    </xf>
    <xf numFmtId="0" fontId="6" fillId="3" borderId="1" xfId="0" applyFont="1" applyFill="1" applyBorder="1" applyAlignment="1">
      <alignment horizontal="center" vertical="center" wrapText="1"/>
    </xf>
    <xf numFmtId="0" fontId="6" fillId="0" borderId="0" xfId="0" applyFont="1" applyAlignment="1">
      <alignment horizontal="center" vertical="center" wrapText="1"/>
    </xf>
    <xf numFmtId="0" fontId="9" fillId="0" borderId="2" xfId="0" applyFont="1" applyFill="1" applyBorder="1" applyAlignment="1">
      <alignment vertical="center"/>
    </xf>
    <xf numFmtId="15" fontId="9" fillId="0" borderId="2" xfId="0" applyNumberFormat="1" applyFont="1" applyFill="1" applyBorder="1" applyAlignment="1">
      <alignment vertical="center"/>
    </xf>
    <xf numFmtId="10" fontId="9" fillId="0" borderId="2" xfId="0" applyNumberFormat="1" applyFont="1" applyFill="1" applyBorder="1" applyAlignment="1">
      <alignment vertical="center"/>
    </xf>
    <xf numFmtId="164" fontId="9" fillId="0" borderId="2" xfId="0" applyNumberFormat="1" applyFont="1" applyFill="1" applyBorder="1" applyAlignment="1">
      <alignment vertical="center"/>
    </xf>
    <xf numFmtId="2" fontId="9" fillId="0" borderId="2" xfId="0" applyNumberFormat="1" applyFont="1" applyFill="1" applyBorder="1" applyAlignment="1">
      <alignment horizontal="center" vertical="center"/>
    </xf>
    <xf numFmtId="164" fontId="9" fillId="0" borderId="2" xfId="0" applyNumberFormat="1" applyFont="1" applyFill="1" applyBorder="1" applyAlignment="1">
      <alignment horizontal="center" vertical="center"/>
    </xf>
    <xf numFmtId="10" fontId="9" fillId="0" borderId="2" xfId="0" applyNumberFormat="1" applyFont="1" applyFill="1" applyBorder="1" applyAlignment="1">
      <alignment horizontal="center" vertical="center"/>
    </xf>
    <xf numFmtId="2" fontId="9" fillId="0" borderId="2" xfId="0" applyNumberFormat="1" applyFont="1" applyFill="1" applyBorder="1" applyAlignment="1">
      <alignment vertical="center"/>
    </xf>
    <xf numFmtId="10" fontId="9" fillId="0" borderId="2" xfId="4" applyNumberFormat="1" applyFont="1" applyFill="1" applyBorder="1" applyAlignment="1">
      <alignment vertical="center"/>
    </xf>
    <xf numFmtId="0" fontId="9" fillId="0" borderId="2" xfId="0" applyFont="1" applyFill="1" applyBorder="1" applyAlignment="1">
      <alignment horizontal="center" vertical="center"/>
    </xf>
    <xf numFmtId="44" fontId="9" fillId="0" borderId="2" xfId="2" applyFont="1" applyFill="1" applyBorder="1" applyAlignment="1">
      <alignment vertical="center"/>
    </xf>
    <xf numFmtId="164" fontId="6" fillId="0" borderId="2" xfId="0" applyNumberFormat="1" applyFont="1" applyFill="1" applyBorder="1" applyAlignment="1">
      <alignment vertical="center"/>
    </xf>
    <xf numFmtId="44" fontId="6" fillId="0" borderId="2" xfId="0" applyNumberFormat="1" applyFont="1" applyFill="1" applyBorder="1" applyAlignment="1">
      <alignment vertical="center"/>
    </xf>
    <xf numFmtId="2" fontId="6" fillId="0" borderId="2" xfId="0" applyNumberFormat="1" applyFont="1" applyFill="1" applyBorder="1" applyAlignment="1">
      <alignment horizontal="center" vertical="center"/>
    </xf>
    <xf numFmtId="164" fontId="6" fillId="4" borderId="2" xfId="0" applyNumberFormat="1" applyFont="1" applyFill="1" applyBorder="1" applyAlignment="1">
      <alignment vertical="center"/>
    </xf>
    <xf numFmtId="2" fontId="9" fillId="5" borderId="2" xfId="0" applyNumberFormat="1" applyFont="1" applyFill="1" applyBorder="1" applyAlignment="1">
      <alignment horizontal="center" vertical="center"/>
    </xf>
    <xf numFmtId="0" fontId="6" fillId="6" borderId="0" xfId="0" quotePrefix="1" applyFont="1" applyFill="1" applyAlignment="1">
      <alignment vertical="center"/>
    </xf>
    <xf numFmtId="0" fontId="6" fillId="6" borderId="0" xfId="0" applyFont="1" applyFill="1" applyAlignment="1">
      <alignment vertical="center"/>
    </xf>
    <xf numFmtId="43" fontId="6" fillId="0" borderId="0" xfId="1" applyFont="1" applyAlignment="1">
      <alignment vertical="center"/>
    </xf>
    <xf numFmtId="0" fontId="10" fillId="0" borderId="2" xfId="0" applyFont="1" applyFill="1" applyBorder="1" applyAlignment="1">
      <alignment horizontal="center" vertical="center"/>
    </xf>
    <xf numFmtId="164" fontId="6" fillId="6" borderId="2" xfId="0" applyNumberFormat="1" applyFont="1" applyFill="1" applyBorder="1" applyAlignment="1">
      <alignment vertical="center"/>
    </xf>
    <xf numFmtId="1" fontId="6" fillId="0" borderId="2" xfId="0" applyNumberFormat="1" applyFont="1" applyFill="1" applyBorder="1" applyAlignment="1">
      <alignment horizontal="center" vertical="center"/>
    </xf>
    <xf numFmtId="1" fontId="9" fillId="0" borderId="2" xfId="0" applyNumberFormat="1" applyFont="1" applyFill="1" applyBorder="1" applyAlignment="1">
      <alignment horizontal="center" vertical="center"/>
    </xf>
    <xf numFmtId="0" fontId="11" fillId="0" borderId="0" xfId="0" applyFont="1" applyAlignment="1">
      <alignment vertical="center"/>
    </xf>
    <xf numFmtId="0" fontId="10" fillId="0" borderId="2" xfId="0" applyFont="1" applyFill="1" applyBorder="1" applyAlignment="1">
      <alignment vertical="center"/>
    </xf>
    <xf numFmtId="15" fontId="10" fillId="0" borderId="2" xfId="0" applyNumberFormat="1" applyFont="1" applyFill="1" applyBorder="1" applyAlignment="1">
      <alignment vertical="center"/>
    </xf>
    <xf numFmtId="10" fontId="10" fillId="0" borderId="2" xfId="0" applyNumberFormat="1" applyFont="1" applyFill="1" applyBorder="1" applyAlignment="1">
      <alignment vertical="center"/>
    </xf>
    <xf numFmtId="164" fontId="10" fillId="0" borderId="2" xfId="0" applyNumberFormat="1" applyFont="1" applyFill="1" applyBorder="1" applyAlignment="1">
      <alignment vertical="center"/>
    </xf>
    <xf numFmtId="2" fontId="10" fillId="5" borderId="2" xfId="0" applyNumberFormat="1" applyFont="1" applyFill="1" applyBorder="1" applyAlignment="1">
      <alignment horizontal="center" vertical="center"/>
    </xf>
    <xf numFmtId="1" fontId="10" fillId="0" borderId="2" xfId="0" applyNumberFormat="1" applyFont="1" applyFill="1" applyBorder="1" applyAlignment="1">
      <alignment horizontal="center" vertical="center"/>
    </xf>
    <xf numFmtId="164" fontId="10" fillId="0" borderId="2" xfId="0" applyNumberFormat="1" applyFont="1" applyFill="1" applyBorder="1" applyAlignment="1">
      <alignment horizontal="center" vertical="center"/>
    </xf>
    <xf numFmtId="2" fontId="10" fillId="0" borderId="2" xfId="0" applyNumberFormat="1" applyFont="1" applyFill="1" applyBorder="1" applyAlignment="1">
      <alignment horizontal="center" vertical="center"/>
    </xf>
    <xf numFmtId="10" fontId="10" fillId="0" borderId="2" xfId="0" applyNumberFormat="1" applyFont="1" applyFill="1" applyBorder="1" applyAlignment="1">
      <alignment horizontal="center" vertical="center"/>
    </xf>
    <xf numFmtId="2" fontId="10" fillId="0" borderId="2" xfId="0" applyNumberFormat="1" applyFont="1" applyFill="1" applyBorder="1" applyAlignment="1">
      <alignment vertical="center"/>
    </xf>
    <xf numFmtId="10" fontId="10" fillId="0" borderId="2" xfId="4" applyNumberFormat="1" applyFont="1" applyFill="1" applyBorder="1" applyAlignment="1">
      <alignment vertical="center"/>
    </xf>
    <xf numFmtId="44" fontId="10" fillId="0" borderId="2" xfId="2" applyFont="1" applyFill="1" applyBorder="1" applyAlignment="1">
      <alignment vertical="center"/>
    </xf>
    <xf numFmtId="164" fontId="10" fillId="6" borderId="2" xfId="0" applyNumberFormat="1" applyFont="1" applyFill="1" applyBorder="1" applyAlignment="1">
      <alignment vertical="center"/>
    </xf>
    <xf numFmtId="164" fontId="10" fillId="4" borderId="2" xfId="0" applyNumberFormat="1" applyFont="1" applyFill="1" applyBorder="1" applyAlignment="1">
      <alignment vertical="center"/>
    </xf>
    <xf numFmtId="44" fontId="10" fillId="0" borderId="2" xfId="0" applyNumberFormat="1" applyFont="1" applyFill="1" applyBorder="1" applyAlignment="1">
      <alignment vertical="center"/>
    </xf>
    <xf numFmtId="0" fontId="10" fillId="0" borderId="0" xfId="0" applyFont="1" applyAlignment="1">
      <alignment vertical="center"/>
    </xf>
    <xf numFmtId="164" fontId="6" fillId="0" borderId="0" xfId="0" applyNumberFormat="1" applyFont="1" applyAlignment="1">
      <alignment vertical="center"/>
    </xf>
    <xf numFmtId="165" fontId="6" fillId="0" borderId="0" xfId="0" applyNumberFormat="1" applyFont="1" applyAlignment="1">
      <alignment vertical="center"/>
    </xf>
    <xf numFmtId="166" fontId="6" fillId="0" borderId="0" xfId="1" applyNumberFormat="1" applyFont="1" applyAlignment="1">
      <alignment vertical="center"/>
    </xf>
    <xf numFmtId="167" fontId="6" fillId="0" borderId="0" xfId="0" applyNumberFormat="1" applyFont="1" applyAlignment="1">
      <alignment vertical="center"/>
    </xf>
    <xf numFmtId="166" fontId="6" fillId="0" borderId="0" xfId="0" applyNumberFormat="1" applyFont="1" applyAlignment="1">
      <alignment vertical="center"/>
    </xf>
    <xf numFmtId="166" fontId="6" fillId="7" borderId="0" xfId="1" applyNumberFormat="1" applyFont="1" applyFill="1" applyAlignment="1">
      <alignment vertical="center"/>
    </xf>
    <xf numFmtId="0" fontId="12" fillId="2" borderId="0" xfId="0" applyFont="1" applyFill="1" applyAlignment="1">
      <alignment horizontal="center"/>
    </xf>
    <xf numFmtId="169" fontId="12" fillId="2" borderId="0" xfId="0" applyNumberFormat="1" applyFont="1" applyFill="1" applyAlignment="1">
      <alignment horizontal="center"/>
    </xf>
    <xf numFmtId="168" fontId="0" fillId="0" borderId="0" xfId="0" applyNumberFormat="1"/>
    <xf numFmtId="168" fontId="14" fillId="0" borderId="5" xfId="0" applyNumberFormat="1" applyFont="1" applyBorder="1"/>
    <xf numFmtId="168" fontId="14" fillId="0" borderId="7" xfId="0" applyNumberFormat="1" applyFont="1" applyBorder="1"/>
    <xf numFmtId="168" fontId="14" fillId="0" borderId="7" xfId="0" quotePrefix="1" applyNumberFormat="1" applyFont="1" applyBorder="1"/>
    <xf numFmtId="168" fontId="14" fillId="0" borderId="8" xfId="0" applyNumberFormat="1" applyFont="1" applyBorder="1"/>
    <xf numFmtId="0" fontId="0" fillId="3" borderId="9" xfId="0" applyFill="1" applyBorder="1" applyAlignment="1">
      <alignment horizontal="right"/>
    </xf>
    <xf numFmtId="0" fontId="0" fillId="3" borderId="10" xfId="0" applyFill="1" applyBorder="1" applyAlignment="1">
      <alignment horizontal="right"/>
    </xf>
    <xf numFmtId="0" fontId="0" fillId="3" borderId="11" xfId="0" applyFill="1" applyBorder="1" applyAlignment="1">
      <alignment horizontal="right"/>
    </xf>
    <xf numFmtId="0" fontId="12" fillId="2" borderId="9" xfId="0" applyFont="1" applyFill="1" applyBorder="1" applyAlignment="1">
      <alignment horizontal="center" vertical="center"/>
    </xf>
    <xf numFmtId="0" fontId="12" fillId="2" borderId="4" xfId="0" applyFont="1" applyFill="1" applyBorder="1" applyAlignment="1">
      <alignment horizontal="center"/>
    </xf>
    <xf numFmtId="0" fontId="0" fillId="9" borderId="6" xfId="0" applyFill="1" applyBorder="1" applyAlignment="1">
      <alignment horizontal="center"/>
    </xf>
    <xf numFmtId="0" fontId="16" fillId="0" borderId="0" xfId="0" applyFont="1"/>
    <xf numFmtId="0" fontId="13" fillId="0" borderId="0" xfId="0" applyFont="1"/>
    <xf numFmtId="168" fontId="15" fillId="0" borderId="7" xfId="0" applyNumberFormat="1" applyFont="1" applyBorder="1"/>
    <xf numFmtId="0" fontId="0" fillId="9" borderId="12" xfId="0" applyFill="1" applyBorder="1" applyAlignment="1">
      <alignment horizontal="center"/>
    </xf>
    <xf numFmtId="0" fontId="0" fillId="3" borderId="13" xfId="0" applyFill="1" applyBorder="1" applyAlignment="1">
      <alignment horizontal="right"/>
    </xf>
    <xf numFmtId="168" fontId="15" fillId="8" borderId="14" xfId="0" applyNumberFormat="1" applyFont="1" applyFill="1" applyBorder="1"/>
    <xf numFmtId="0" fontId="16" fillId="6" borderId="15" xfId="0" applyFont="1" applyFill="1" applyBorder="1" applyAlignment="1">
      <alignment horizontal="right"/>
    </xf>
    <xf numFmtId="0" fontId="16" fillId="6" borderId="15" xfId="0" applyFont="1" applyFill="1" applyBorder="1"/>
    <xf numFmtId="168" fontId="16" fillId="6" borderId="15" xfId="0" applyNumberFormat="1" applyFont="1" applyFill="1" applyBorder="1"/>
    <xf numFmtId="168" fontId="16" fillId="6" borderId="16" xfId="0" applyNumberFormat="1" applyFont="1" applyFill="1" applyBorder="1"/>
    <xf numFmtId="0" fontId="16" fillId="0" borderId="0" xfId="0" quotePrefix="1" applyFont="1"/>
    <xf numFmtId="0" fontId="13" fillId="0" borderId="0" xfId="0" quotePrefix="1" applyFont="1"/>
    <xf numFmtId="0" fontId="17" fillId="0" borderId="0" xfId="0" applyFont="1"/>
    <xf numFmtId="0" fontId="13" fillId="0" borderId="3" xfId="0" applyFont="1" applyFill="1" applyBorder="1" applyAlignment="1">
      <alignment horizontal="center" vertical="center"/>
    </xf>
  </cellXfs>
  <cellStyles count="5">
    <cellStyle name="Comma" xfId="1" builtinId="3"/>
    <cellStyle name="Currency" xfId="2" builtinId="4"/>
    <cellStyle name="Normal" xfId="0" builtinId="0"/>
    <cellStyle name="Normal 2" xfId="3" xr:uid="{00000000-0005-0000-0000-000003000000}"/>
    <cellStyle name="Percent" xfId="4" builtinId="5"/>
  </cellStyles>
  <dxfs count="0"/>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N15"/>
  <sheetViews>
    <sheetView showGridLines="0" topLeftCell="BE1" workbookViewId="0">
      <selection activeCell="BP4" sqref="BP4"/>
    </sheetView>
  </sheetViews>
  <sheetFormatPr baseColWidth="10" defaultColWidth="15.6640625" defaultRowHeight="15" customHeight="1" x14ac:dyDescent="0.2"/>
  <cols>
    <col min="1" max="1" width="33.1640625" style="1" customWidth="1"/>
    <col min="2" max="81" width="15.6640625" style="1" customWidth="1"/>
    <col min="82" max="16384" width="15.6640625" style="1"/>
  </cols>
  <sheetData>
    <row r="1" spans="1:144" ht="15" customHeight="1" x14ac:dyDescent="0.2">
      <c r="G1" s="22" t="s">
        <v>115</v>
      </c>
      <c r="BQ1" s="2">
        <v>1</v>
      </c>
      <c r="BR1" s="2">
        <f>BQ1+1</f>
        <v>2</v>
      </c>
      <c r="BS1" s="2">
        <f t="shared" ref="BS1:CU1" si="0">BR1+1</f>
        <v>3</v>
      </c>
      <c r="BT1" s="2">
        <f t="shared" si="0"/>
        <v>4</v>
      </c>
      <c r="BU1" s="2">
        <f t="shared" si="0"/>
        <v>5</v>
      </c>
      <c r="BV1" s="2">
        <f t="shared" si="0"/>
        <v>6</v>
      </c>
      <c r="BW1" s="2">
        <f t="shared" si="0"/>
        <v>7</v>
      </c>
      <c r="BX1" s="2">
        <f t="shared" si="0"/>
        <v>8</v>
      </c>
      <c r="BY1" s="2">
        <f t="shared" si="0"/>
        <v>9</v>
      </c>
      <c r="BZ1" s="2">
        <f t="shared" si="0"/>
        <v>10</v>
      </c>
      <c r="CA1" s="2">
        <f t="shared" si="0"/>
        <v>11</v>
      </c>
      <c r="CB1" s="2">
        <f t="shared" si="0"/>
        <v>12</v>
      </c>
      <c r="CC1" s="2">
        <f t="shared" si="0"/>
        <v>13</v>
      </c>
      <c r="CD1" s="2">
        <f t="shared" si="0"/>
        <v>14</v>
      </c>
      <c r="CE1" s="2">
        <f t="shared" si="0"/>
        <v>15</v>
      </c>
      <c r="CF1" s="2">
        <f t="shared" si="0"/>
        <v>16</v>
      </c>
      <c r="CG1" s="2">
        <f t="shared" si="0"/>
        <v>17</v>
      </c>
      <c r="CH1" s="2">
        <f t="shared" si="0"/>
        <v>18</v>
      </c>
      <c r="CI1" s="2">
        <f t="shared" si="0"/>
        <v>19</v>
      </c>
      <c r="CJ1" s="2">
        <f t="shared" si="0"/>
        <v>20</v>
      </c>
      <c r="CK1" s="2">
        <f t="shared" si="0"/>
        <v>21</v>
      </c>
      <c r="CL1" s="2">
        <f t="shared" si="0"/>
        <v>22</v>
      </c>
      <c r="CM1" s="2">
        <f t="shared" si="0"/>
        <v>23</v>
      </c>
      <c r="CN1" s="2">
        <f t="shared" si="0"/>
        <v>24</v>
      </c>
      <c r="CO1" s="2">
        <f t="shared" si="0"/>
        <v>25</v>
      </c>
      <c r="CP1" s="2">
        <f t="shared" si="0"/>
        <v>26</v>
      </c>
      <c r="CQ1" s="2">
        <f t="shared" si="0"/>
        <v>27</v>
      </c>
      <c r="CR1" s="2">
        <f t="shared" si="0"/>
        <v>28</v>
      </c>
      <c r="CS1" s="2">
        <f t="shared" si="0"/>
        <v>29</v>
      </c>
      <c r="CT1" s="2">
        <f t="shared" si="0"/>
        <v>30</v>
      </c>
      <c r="CU1" s="2">
        <f t="shared" si="0"/>
        <v>31</v>
      </c>
      <c r="CV1" s="22" t="s">
        <v>115</v>
      </c>
      <c r="CW1" s="23"/>
      <c r="CX1" s="2">
        <f>CU1+3</f>
        <v>34</v>
      </c>
      <c r="CY1" s="2">
        <f>CX1+1</f>
        <v>35</v>
      </c>
      <c r="CZ1" s="2">
        <f t="shared" ref="CZ1:EN1" si="1">CY1+1</f>
        <v>36</v>
      </c>
      <c r="DA1" s="2">
        <f t="shared" si="1"/>
        <v>37</v>
      </c>
      <c r="DB1" s="2">
        <f t="shared" si="1"/>
        <v>38</v>
      </c>
      <c r="DC1" s="2">
        <f t="shared" si="1"/>
        <v>39</v>
      </c>
      <c r="DD1" s="2">
        <f t="shared" si="1"/>
        <v>40</v>
      </c>
      <c r="DE1" s="2">
        <f t="shared" si="1"/>
        <v>41</v>
      </c>
      <c r="DF1" s="2">
        <f t="shared" si="1"/>
        <v>42</v>
      </c>
      <c r="DG1" s="2">
        <f t="shared" si="1"/>
        <v>43</v>
      </c>
      <c r="DH1" s="2">
        <f t="shared" si="1"/>
        <v>44</v>
      </c>
      <c r="DI1" s="2">
        <f t="shared" si="1"/>
        <v>45</v>
      </c>
      <c r="DJ1" s="2">
        <f t="shared" si="1"/>
        <v>46</v>
      </c>
      <c r="DK1" s="2">
        <f t="shared" si="1"/>
        <v>47</v>
      </c>
      <c r="DL1" s="2">
        <f t="shared" si="1"/>
        <v>48</v>
      </c>
      <c r="DM1" s="2">
        <f t="shared" si="1"/>
        <v>49</v>
      </c>
      <c r="DN1" s="2">
        <f t="shared" si="1"/>
        <v>50</v>
      </c>
      <c r="DO1" s="2">
        <f t="shared" si="1"/>
        <v>51</v>
      </c>
      <c r="DP1" s="2">
        <f t="shared" si="1"/>
        <v>52</v>
      </c>
      <c r="DQ1" s="2">
        <f t="shared" si="1"/>
        <v>53</v>
      </c>
      <c r="DR1" s="2">
        <f t="shared" si="1"/>
        <v>54</v>
      </c>
      <c r="DS1" s="2">
        <f t="shared" si="1"/>
        <v>55</v>
      </c>
      <c r="DT1" s="2">
        <f t="shared" si="1"/>
        <v>56</v>
      </c>
      <c r="DU1" s="2">
        <f t="shared" si="1"/>
        <v>57</v>
      </c>
      <c r="DV1" s="2">
        <f t="shared" si="1"/>
        <v>58</v>
      </c>
      <c r="DW1" s="2">
        <f t="shared" si="1"/>
        <v>59</v>
      </c>
      <c r="DX1" s="2">
        <f t="shared" si="1"/>
        <v>60</v>
      </c>
      <c r="DY1" s="2">
        <f t="shared" si="1"/>
        <v>61</v>
      </c>
      <c r="DZ1" s="2">
        <f t="shared" si="1"/>
        <v>62</v>
      </c>
      <c r="EA1" s="2">
        <f t="shared" si="1"/>
        <v>63</v>
      </c>
      <c r="EB1" s="2">
        <f t="shared" si="1"/>
        <v>64</v>
      </c>
      <c r="EC1" s="2">
        <f t="shared" si="1"/>
        <v>65</v>
      </c>
      <c r="ED1" s="2">
        <f t="shared" si="1"/>
        <v>66</v>
      </c>
      <c r="EE1" s="2">
        <f t="shared" si="1"/>
        <v>67</v>
      </c>
      <c r="EF1" s="2">
        <f t="shared" si="1"/>
        <v>68</v>
      </c>
      <c r="EG1" s="2">
        <f t="shared" si="1"/>
        <v>69</v>
      </c>
      <c r="EH1" s="2">
        <f t="shared" si="1"/>
        <v>70</v>
      </c>
      <c r="EI1" s="2">
        <f t="shared" si="1"/>
        <v>71</v>
      </c>
      <c r="EJ1" s="2">
        <f t="shared" si="1"/>
        <v>72</v>
      </c>
      <c r="EK1" s="2">
        <f t="shared" si="1"/>
        <v>73</v>
      </c>
      <c r="EL1" s="2">
        <f t="shared" si="1"/>
        <v>74</v>
      </c>
      <c r="EM1" s="2">
        <f t="shared" si="1"/>
        <v>75</v>
      </c>
      <c r="EN1" s="2">
        <f t="shared" si="1"/>
        <v>76</v>
      </c>
    </row>
    <row r="2" spans="1:144" ht="15" customHeight="1" x14ac:dyDescent="0.2">
      <c r="A2" s="2" t="s">
        <v>59</v>
      </c>
      <c r="B2" s="2" t="s">
        <v>59</v>
      </c>
      <c r="C2" s="2" t="s">
        <v>59</v>
      </c>
      <c r="D2" s="2" t="s">
        <v>59</v>
      </c>
      <c r="E2" s="2" t="s">
        <v>59</v>
      </c>
      <c r="F2" s="2" t="s">
        <v>59</v>
      </c>
      <c r="G2" s="2" t="s">
        <v>59</v>
      </c>
      <c r="H2" s="2" t="s">
        <v>59</v>
      </c>
      <c r="I2" s="2" t="s">
        <v>59</v>
      </c>
      <c r="J2" s="2" t="s">
        <v>59</v>
      </c>
      <c r="K2" s="2" t="s">
        <v>59</v>
      </c>
      <c r="L2" s="2" t="s">
        <v>59</v>
      </c>
      <c r="M2" s="2" t="s">
        <v>59</v>
      </c>
      <c r="N2" s="2" t="s">
        <v>59</v>
      </c>
      <c r="O2" s="2" t="s">
        <v>59</v>
      </c>
      <c r="P2" s="2" t="s">
        <v>59</v>
      </c>
      <c r="Q2" s="2" t="s">
        <v>59</v>
      </c>
      <c r="R2" s="2" t="s">
        <v>59</v>
      </c>
      <c r="S2" s="2" t="s">
        <v>59</v>
      </c>
      <c r="T2" s="2" t="s">
        <v>59</v>
      </c>
      <c r="U2" s="2" t="s">
        <v>59</v>
      </c>
      <c r="V2" s="2" t="s">
        <v>59</v>
      </c>
      <c r="W2" s="2" t="s">
        <v>59</v>
      </c>
      <c r="X2" s="2" t="s">
        <v>59</v>
      </c>
      <c r="Y2" s="2" t="s">
        <v>59</v>
      </c>
      <c r="Z2" s="2" t="s">
        <v>59</v>
      </c>
      <c r="AA2" s="2" t="s">
        <v>59</v>
      </c>
      <c r="AB2" s="2" t="s">
        <v>59</v>
      </c>
      <c r="AC2" s="2" t="s">
        <v>59</v>
      </c>
      <c r="AD2" s="2" t="s">
        <v>59</v>
      </c>
      <c r="AE2" s="2" t="s">
        <v>59</v>
      </c>
      <c r="AF2" s="2" t="s">
        <v>59</v>
      </c>
      <c r="AG2" s="2" t="s">
        <v>59</v>
      </c>
      <c r="AH2" s="2" t="s">
        <v>59</v>
      </c>
      <c r="AI2" s="2" t="s">
        <v>59</v>
      </c>
      <c r="AJ2" s="2" t="s">
        <v>59</v>
      </c>
      <c r="AK2" s="2" t="s">
        <v>59</v>
      </c>
      <c r="AL2" s="2" t="s">
        <v>59</v>
      </c>
      <c r="AM2" s="2" t="s">
        <v>59</v>
      </c>
      <c r="AN2" s="2" t="s">
        <v>59</v>
      </c>
      <c r="AO2" s="2" t="s">
        <v>59</v>
      </c>
      <c r="AP2" s="2" t="s">
        <v>59</v>
      </c>
      <c r="AQ2" s="2" t="s">
        <v>59</v>
      </c>
      <c r="AR2" s="2" t="s">
        <v>59</v>
      </c>
      <c r="AS2" s="2" t="s">
        <v>59</v>
      </c>
      <c r="AT2" s="2" t="s">
        <v>59</v>
      </c>
      <c r="AU2" s="2" t="s">
        <v>59</v>
      </c>
      <c r="AV2" s="2" t="s">
        <v>59</v>
      </c>
      <c r="AW2" s="2" t="s">
        <v>59</v>
      </c>
      <c r="AX2" s="2" t="s">
        <v>59</v>
      </c>
      <c r="AY2" s="2" t="s">
        <v>59</v>
      </c>
      <c r="AZ2" s="2" t="s">
        <v>59</v>
      </c>
      <c r="BA2" s="2" t="s">
        <v>59</v>
      </c>
      <c r="BB2" s="2" t="s">
        <v>59</v>
      </c>
      <c r="BC2" s="2" t="s">
        <v>59</v>
      </c>
      <c r="BD2" s="2" t="s">
        <v>59</v>
      </c>
      <c r="BE2" s="2" t="s">
        <v>59</v>
      </c>
      <c r="BF2" s="2" t="s">
        <v>59</v>
      </c>
      <c r="BG2" s="2" t="s">
        <v>59</v>
      </c>
      <c r="BH2" s="2" t="s">
        <v>59</v>
      </c>
      <c r="BI2" s="2" t="s">
        <v>59</v>
      </c>
      <c r="BJ2" s="2" t="s">
        <v>59</v>
      </c>
      <c r="BK2" s="2" t="s">
        <v>59</v>
      </c>
      <c r="BL2" s="2" t="s">
        <v>59</v>
      </c>
      <c r="BM2" s="2" t="s">
        <v>59</v>
      </c>
      <c r="BN2" s="2" t="s">
        <v>59</v>
      </c>
      <c r="BO2" s="2" t="s">
        <v>59</v>
      </c>
      <c r="BP2" s="2" t="s">
        <v>59</v>
      </c>
      <c r="BQ2" s="2" t="s">
        <v>66</v>
      </c>
      <c r="BR2" s="2" t="s">
        <v>66</v>
      </c>
      <c r="BS2" s="2" t="s">
        <v>66</v>
      </c>
      <c r="BT2" s="2" t="s">
        <v>66</v>
      </c>
      <c r="BU2" s="2" t="s">
        <v>66</v>
      </c>
      <c r="BV2" s="2" t="s">
        <v>66</v>
      </c>
      <c r="BW2" s="2" t="s">
        <v>66</v>
      </c>
      <c r="BX2" s="2" t="s">
        <v>66</v>
      </c>
      <c r="BY2" s="2" t="s">
        <v>66</v>
      </c>
      <c r="BZ2" s="2" t="s">
        <v>66</v>
      </c>
      <c r="CA2" s="2" t="s">
        <v>66</v>
      </c>
      <c r="CB2" s="2" t="s">
        <v>66</v>
      </c>
      <c r="CC2" s="2" t="s">
        <v>66</v>
      </c>
      <c r="CD2" s="2" t="s">
        <v>66</v>
      </c>
      <c r="CE2" s="2" t="s">
        <v>66</v>
      </c>
      <c r="CF2" s="2" t="s">
        <v>66</v>
      </c>
      <c r="CG2" s="2" t="s">
        <v>66</v>
      </c>
      <c r="CH2" s="2" t="s">
        <v>66</v>
      </c>
      <c r="CI2" s="2" t="s">
        <v>66</v>
      </c>
      <c r="CJ2" s="2" t="s">
        <v>66</v>
      </c>
      <c r="CK2" s="2" t="s">
        <v>66</v>
      </c>
      <c r="CL2" s="2" t="s">
        <v>66</v>
      </c>
      <c r="CM2" s="2" t="s">
        <v>66</v>
      </c>
      <c r="CN2" s="2" t="s">
        <v>66</v>
      </c>
      <c r="CO2" s="2" t="s">
        <v>66</v>
      </c>
      <c r="CP2" s="2" t="s">
        <v>66</v>
      </c>
      <c r="CQ2" s="2" t="s">
        <v>66</v>
      </c>
      <c r="CR2" s="2" t="s">
        <v>66</v>
      </c>
      <c r="CS2" s="2" t="s">
        <v>66</v>
      </c>
      <c r="CT2" s="2" t="s">
        <v>66</v>
      </c>
      <c r="CU2" s="2" t="s">
        <v>66</v>
      </c>
      <c r="CV2" s="2" t="s">
        <v>66</v>
      </c>
      <c r="CW2" s="2" t="s">
        <v>66</v>
      </c>
      <c r="CX2" s="2" t="s">
        <v>66</v>
      </c>
      <c r="CY2" s="2" t="s">
        <v>66</v>
      </c>
      <c r="CZ2" s="2" t="s">
        <v>66</v>
      </c>
      <c r="DA2" s="2" t="s">
        <v>66</v>
      </c>
      <c r="DB2" s="2" t="s">
        <v>66</v>
      </c>
      <c r="DC2" s="2" t="s">
        <v>66</v>
      </c>
      <c r="DD2" s="2" t="s">
        <v>66</v>
      </c>
      <c r="DE2" s="2" t="s">
        <v>66</v>
      </c>
      <c r="DF2" s="2" t="s">
        <v>66</v>
      </c>
      <c r="DG2" s="2" t="s">
        <v>66</v>
      </c>
      <c r="DH2" s="2" t="s">
        <v>66</v>
      </c>
      <c r="DI2" s="2" t="s">
        <v>66</v>
      </c>
      <c r="DJ2" s="2" t="s">
        <v>66</v>
      </c>
      <c r="DK2" s="2" t="s">
        <v>66</v>
      </c>
      <c r="DL2" s="2" t="s">
        <v>66</v>
      </c>
      <c r="DM2" s="2" t="s">
        <v>66</v>
      </c>
      <c r="DN2" s="2" t="s">
        <v>66</v>
      </c>
      <c r="DO2" s="2" t="s">
        <v>66</v>
      </c>
      <c r="DP2" s="2" t="s">
        <v>66</v>
      </c>
      <c r="DQ2" s="2" t="s">
        <v>66</v>
      </c>
      <c r="DR2" s="2" t="s">
        <v>66</v>
      </c>
      <c r="DS2" s="2" t="s">
        <v>66</v>
      </c>
      <c r="DT2" s="2" t="s">
        <v>66</v>
      </c>
      <c r="DU2" s="2" t="s">
        <v>66</v>
      </c>
      <c r="DV2" s="2" t="s">
        <v>66</v>
      </c>
      <c r="DW2" s="2" t="s">
        <v>66</v>
      </c>
      <c r="DX2" s="2" t="s">
        <v>66</v>
      </c>
      <c r="DY2" s="2" t="s">
        <v>66</v>
      </c>
      <c r="DZ2" s="2" t="s">
        <v>66</v>
      </c>
      <c r="EA2" s="2" t="s">
        <v>66</v>
      </c>
      <c r="EB2" s="2" t="s">
        <v>66</v>
      </c>
      <c r="EC2" s="2" t="s">
        <v>66</v>
      </c>
      <c r="ED2" s="2" t="s">
        <v>66</v>
      </c>
      <c r="EE2" s="2" t="s">
        <v>66</v>
      </c>
      <c r="EF2" s="2" t="s">
        <v>66</v>
      </c>
      <c r="EG2" s="2" t="s">
        <v>66</v>
      </c>
      <c r="EH2" s="2" t="s">
        <v>66</v>
      </c>
      <c r="EI2" s="2" t="s">
        <v>66</v>
      </c>
      <c r="EJ2" s="2" t="s">
        <v>66</v>
      </c>
      <c r="EK2" s="2" t="s">
        <v>66</v>
      </c>
      <c r="EL2" s="2" t="s">
        <v>66</v>
      </c>
      <c r="EM2" s="2" t="s">
        <v>66</v>
      </c>
      <c r="EN2" s="2" t="s">
        <v>66</v>
      </c>
    </row>
    <row r="3" spans="1:144" ht="15" customHeight="1" x14ac:dyDescent="0.2">
      <c r="A3" s="2">
        <v>1</v>
      </c>
      <c r="B3" s="2">
        <f>A3+1</f>
        <v>2</v>
      </c>
      <c r="C3" s="2">
        <f t="shared" ref="C3:BN3" si="2">B3+1</f>
        <v>3</v>
      </c>
      <c r="D3" s="2">
        <f t="shared" si="2"/>
        <v>4</v>
      </c>
      <c r="E3" s="2">
        <f t="shared" si="2"/>
        <v>5</v>
      </c>
      <c r="F3" s="2">
        <f t="shared" si="2"/>
        <v>6</v>
      </c>
      <c r="G3" s="2">
        <f t="shared" si="2"/>
        <v>7</v>
      </c>
      <c r="H3" s="2">
        <f t="shared" si="2"/>
        <v>8</v>
      </c>
      <c r="I3" s="2">
        <f t="shared" si="2"/>
        <v>9</v>
      </c>
      <c r="J3" s="2">
        <f t="shared" si="2"/>
        <v>10</v>
      </c>
      <c r="K3" s="2">
        <f t="shared" si="2"/>
        <v>11</v>
      </c>
      <c r="L3" s="2">
        <f t="shared" si="2"/>
        <v>12</v>
      </c>
      <c r="M3" s="2">
        <f t="shared" si="2"/>
        <v>13</v>
      </c>
      <c r="N3" s="2">
        <f t="shared" si="2"/>
        <v>14</v>
      </c>
      <c r="O3" s="2">
        <f t="shared" si="2"/>
        <v>15</v>
      </c>
      <c r="P3" s="2">
        <f t="shared" si="2"/>
        <v>16</v>
      </c>
      <c r="Q3" s="2">
        <f t="shared" si="2"/>
        <v>17</v>
      </c>
      <c r="R3" s="2">
        <f t="shared" si="2"/>
        <v>18</v>
      </c>
      <c r="S3" s="2">
        <f t="shared" si="2"/>
        <v>19</v>
      </c>
      <c r="T3" s="2">
        <f t="shared" si="2"/>
        <v>20</v>
      </c>
      <c r="U3" s="2">
        <f t="shared" si="2"/>
        <v>21</v>
      </c>
      <c r="V3" s="2">
        <f t="shared" si="2"/>
        <v>22</v>
      </c>
      <c r="W3" s="2">
        <f t="shared" si="2"/>
        <v>23</v>
      </c>
      <c r="X3" s="2">
        <f t="shared" si="2"/>
        <v>24</v>
      </c>
      <c r="Y3" s="2">
        <f t="shared" si="2"/>
        <v>25</v>
      </c>
      <c r="Z3" s="2">
        <f t="shared" si="2"/>
        <v>26</v>
      </c>
      <c r="AA3" s="2">
        <f t="shared" si="2"/>
        <v>27</v>
      </c>
      <c r="AB3" s="2">
        <f t="shared" si="2"/>
        <v>28</v>
      </c>
      <c r="AC3" s="2">
        <f t="shared" si="2"/>
        <v>29</v>
      </c>
      <c r="AD3" s="2">
        <f t="shared" si="2"/>
        <v>30</v>
      </c>
      <c r="AE3" s="2">
        <f t="shared" si="2"/>
        <v>31</v>
      </c>
      <c r="AF3" s="2">
        <f t="shared" si="2"/>
        <v>32</v>
      </c>
      <c r="AG3" s="2">
        <f t="shared" si="2"/>
        <v>33</v>
      </c>
      <c r="AH3" s="2">
        <f t="shared" si="2"/>
        <v>34</v>
      </c>
      <c r="AI3" s="2">
        <f t="shared" si="2"/>
        <v>35</v>
      </c>
      <c r="AJ3" s="2">
        <f t="shared" si="2"/>
        <v>36</v>
      </c>
      <c r="AK3" s="2">
        <f t="shared" si="2"/>
        <v>37</v>
      </c>
      <c r="AL3" s="2">
        <f t="shared" si="2"/>
        <v>38</v>
      </c>
      <c r="AM3" s="2">
        <f t="shared" si="2"/>
        <v>39</v>
      </c>
      <c r="AN3" s="2">
        <f t="shared" si="2"/>
        <v>40</v>
      </c>
      <c r="AO3" s="2">
        <f t="shared" si="2"/>
        <v>41</v>
      </c>
      <c r="AP3" s="2">
        <f t="shared" si="2"/>
        <v>42</v>
      </c>
      <c r="AQ3" s="2">
        <f t="shared" si="2"/>
        <v>43</v>
      </c>
      <c r="AR3" s="2">
        <f t="shared" si="2"/>
        <v>44</v>
      </c>
      <c r="AS3" s="2">
        <f t="shared" si="2"/>
        <v>45</v>
      </c>
      <c r="AT3" s="2">
        <f t="shared" si="2"/>
        <v>46</v>
      </c>
      <c r="AU3" s="2">
        <f t="shared" si="2"/>
        <v>47</v>
      </c>
      <c r="AV3" s="2">
        <f t="shared" si="2"/>
        <v>48</v>
      </c>
      <c r="AW3" s="2">
        <f t="shared" si="2"/>
        <v>49</v>
      </c>
      <c r="AX3" s="2">
        <f t="shared" si="2"/>
        <v>50</v>
      </c>
      <c r="AY3" s="2">
        <f t="shared" si="2"/>
        <v>51</v>
      </c>
      <c r="AZ3" s="2">
        <f t="shared" si="2"/>
        <v>52</v>
      </c>
      <c r="BA3" s="2">
        <f t="shared" si="2"/>
        <v>53</v>
      </c>
      <c r="BB3" s="2">
        <f t="shared" si="2"/>
        <v>54</v>
      </c>
      <c r="BC3" s="2">
        <f t="shared" si="2"/>
        <v>55</v>
      </c>
      <c r="BD3" s="2">
        <f t="shared" si="2"/>
        <v>56</v>
      </c>
      <c r="BE3" s="2">
        <f t="shared" si="2"/>
        <v>57</v>
      </c>
      <c r="BF3" s="2">
        <f t="shared" si="2"/>
        <v>58</v>
      </c>
      <c r="BG3" s="2">
        <f t="shared" si="2"/>
        <v>59</v>
      </c>
      <c r="BH3" s="2">
        <f t="shared" si="2"/>
        <v>60</v>
      </c>
      <c r="BI3" s="2">
        <f t="shared" si="2"/>
        <v>61</v>
      </c>
      <c r="BJ3" s="2">
        <f t="shared" si="2"/>
        <v>62</v>
      </c>
      <c r="BK3" s="2">
        <f t="shared" si="2"/>
        <v>63</v>
      </c>
      <c r="BL3" s="2">
        <f t="shared" si="2"/>
        <v>64</v>
      </c>
      <c r="BM3" s="2">
        <f t="shared" si="2"/>
        <v>65</v>
      </c>
      <c r="BN3" s="2">
        <f t="shared" si="2"/>
        <v>66</v>
      </c>
      <c r="BO3" s="2">
        <f t="shared" ref="BO3:DZ3" si="3">BN3+1</f>
        <v>67</v>
      </c>
      <c r="BP3" s="2">
        <f t="shared" si="3"/>
        <v>68</v>
      </c>
      <c r="BQ3" s="2">
        <f t="shared" si="3"/>
        <v>69</v>
      </c>
      <c r="BR3" s="2">
        <f t="shared" si="3"/>
        <v>70</v>
      </c>
      <c r="BS3" s="2">
        <f t="shared" si="3"/>
        <v>71</v>
      </c>
      <c r="BT3" s="2">
        <f t="shared" si="3"/>
        <v>72</v>
      </c>
      <c r="BU3" s="2">
        <f t="shared" si="3"/>
        <v>73</v>
      </c>
      <c r="BV3" s="2">
        <f t="shared" si="3"/>
        <v>74</v>
      </c>
      <c r="BW3" s="2">
        <f t="shared" si="3"/>
        <v>75</v>
      </c>
      <c r="BX3" s="2">
        <f t="shared" si="3"/>
        <v>76</v>
      </c>
      <c r="BY3" s="2">
        <f t="shared" si="3"/>
        <v>77</v>
      </c>
      <c r="BZ3" s="2">
        <f t="shared" si="3"/>
        <v>78</v>
      </c>
      <c r="CA3" s="2">
        <f t="shared" si="3"/>
        <v>79</v>
      </c>
      <c r="CB3" s="2">
        <f t="shared" si="3"/>
        <v>80</v>
      </c>
      <c r="CC3" s="2">
        <f t="shared" si="3"/>
        <v>81</v>
      </c>
      <c r="CD3" s="2">
        <f t="shared" si="3"/>
        <v>82</v>
      </c>
      <c r="CE3" s="2">
        <f t="shared" si="3"/>
        <v>83</v>
      </c>
      <c r="CF3" s="2">
        <f t="shared" si="3"/>
        <v>84</v>
      </c>
      <c r="CG3" s="2">
        <f t="shared" si="3"/>
        <v>85</v>
      </c>
      <c r="CH3" s="2">
        <f t="shared" si="3"/>
        <v>86</v>
      </c>
      <c r="CI3" s="2">
        <f t="shared" si="3"/>
        <v>87</v>
      </c>
      <c r="CJ3" s="2">
        <f t="shared" si="3"/>
        <v>88</v>
      </c>
      <c r="CK3" s="2">
        <f t="shared" si="3"/>
        <v>89</v>
      </c>
      <c r="CL3" s="2">
        <f t="shared" si="3"/>
        <v>90</v>
      </c>
      <c r="CM3" s="2">
        <f t="shared" si="3"/>
        <v>91</v>
      </c>
      <c r="CN3" s="2">
        <f t="shared" si="3"/>
        <v>92</v>
      </c>
      <c r="CO3" s="2">
        <f t="shared" si="3"/>
        <v>93</v>
      </c>
      <c r="CP3" s="2">
        <f t="shared" si="3"/>
        <v>94</v>
      </c>
      <c r="CQ3" s="2">
        <f t="shared" si="3"/>
        <v>95</v>
      </c>
      <c r="CR3" s="2">
        <f t="shared" si="3"/>
        <v>96</v>
      </c>
      <c r="CS3" s="2">
        <f t="shared" si="3"/>
        <v>97</v>
      </c>
      <c r="CT3" s="2">
        <f t="shared" si="3"/>
        <v>98</v>
      </c>
      <c r="CU3" s="2">
        <f t="shared" si="3"/>
        <v>99</v>
      </c>
      <c r="CV3" s="2">
        <f t="shared" si="3"/>
        <v>100</v>
      </c>
      <c r="CW3" s="2">
        <f t="shared" si="3"/>
        <v>101</v>
      </c>
      <c r="CX3" s="2">
        <f t="shared" si="3"/>
        <v>102</v>
      </c>
      <c r="CY3" s="2">
        <f t="shared" si="3"/>
        <v>103</v>
      </c>
      <c r="CZ3" s="2">
        <f t="shared" si="3"/>
        <v>104</v>
      </c>
      <c r="DA3" s="2">
        <f t="shared" si="3"/>
        <v>105</v>
      </c>
      <c r="DB3" s="2">
        <f t="shared" si="3"/>
        <v>106</v>
      </c>
      <c r="DC3" s="2">
        <f t="shared" si="3"/>
        <v>107</v>
      </c>
      <c r="DD3" s="2">
        <f t="shared" si="3"/>
        <v>108</v>
      </c>
      <c r="DE3" s="2">
        <f t="shared" si="3"/>
        <v>109</v>
      </c>
      <c r="DF3" s="2">
        <f t="shared" si="3"/>
        <v>110</v>
      </c>
      <c r="DG3" s="2">
        <f t="shared" si="3"/>
        <v>111</v>
      </c>
      <c r="DH3" s="2">
        <f t="shared" si="3"/>
        <v>112</v>
      </c>
      <c r="DI3" s="2">
        <f t="shared" si="3"/>
        <v>113</v>
      </c>
      <c r="DJ3" s="2">
        <f t="shared" si="3"/>
        <v>114</v>
      </c>
      <c r="DK3" s="2">
        <f t="shared" si="3"/>
        <v>115</v>
      </c>
      <c r="DL3" s="2">
        <f t="shared" si="3"/>
        <v>116</v>
      </c>
      <c r="DM3" s="2">
        <f t="shared" si="3"/>
        <v>117</v>
      </c>
      <c r="DN3" s="2">
        <f t="shared" si="3"/>
        <v>118</v>
      </c>
      <c r="DO3" s="2">
        <f t="shared" si="3"/>
        <v>119</v>
      </c>
      <c r="DP3" s="2">
        <f t="shared" si="3"/>
        <v>120</v>
      </c>
      <c r="DQ3" s="2">
        <f t="shared" si="3"/>
        <v>121</v>
      </c>
      <c r="DR3" s="2">
        <f t="shared" si="3"/>
        <v>122</v>
      </c>
      <c r="DS3" s="2">
        <f t="shared" si="3"/>
        <v>123</v>
      </c>
      <c r="DT3" s="2">
        <f t="shared" si="3"/>
        <v>124</v>
      </c>
      <c r="DU3" s="2">
        <f t="shared" si="3"/>
        <v>125</v>
      </c>
      <c r="DV3" s="2">
        <f t="shared" si="3"/>
        <v>126</v>
      </c>
      <c r="DW3" s="2">
        <f t="shared" si="3"/>
        <v>127</v>
      </c>
      <c r="DX3" s="2">
        <f t="shared" si="3"/>
        <v>128</v>
      </c>
      <c r="DY3" s="2">
        <f t="shared" si="3"/>
        <v>129</v>
      </c>
      <c r="DZ3" s="2">
        <f t="shared" si="3"/>
        <v>130</v>
      </c>
      <c r="EA3" s="2">
        <f t="shared" ref="EA3:EN3" si="4">DZ3+1</f>
        <v>131</v>
      </c>
      <c r="EB3" s="2">
        <f t="shared" si="4"/>
        <v>132</v>
      </c>
      <c r="EC3" s="2">
        <f t="shared" si="4"/>
        <v>133</v>
      </c>
      <c r="ED3" s="2">
        <f t="shared" si="4"/>
        <v>134</v>
      </c>
      <c r="EE3" s="2">
        <f t="shared" si="4"/>
        <v>135</v>
      </c>
      <c r="EF3" s="2">
        <f t="shared" si="4"/>
        <v>136</v>
      </c>
      <c r="EG3" s="2">
        <f t="shared" si="4"/>
        <v>137</v>
      </c>
      <c r="EH3" s="2">
        <f t="shared" si="4"/>
        <v>138</v>
      </c>
      <c r="EI3" s="2">
        <f t="shared" si="4"/>
        <v>139</v>
      </c>
      <c r="EJ3" s="2">
        <f t="shared" si="4"/>
        <v>140</v>
      </c>
      <c r="EK3" s="2">
        <f t="shared" si="4"/>
        <v>141</v>
      </c>
      <c r="EL3" s="2">
        <f t="shared" si="4"/>
        <v>142</v>
      </c>
      <c r="EM3" s="2">
        <f t="shared" si="4"/>
        <v>143</v>
      </c>
      <c r="EN3" s="2">
        <f t="shared" si="4"/>
        <v>144</v>
      </c>
    </row>
    <row r="4" spans="1:144" s="5" customFormat="1" ht="70" x14ac:dyDescent="0.2">
      <c r="A4" s="3" t="s">
        <v>41</v>
      </c>
      <c r="B4" s="3" t="s">
        <v>42</v>
      </c>
      <c r="C4" s="3" t="s">
        <v>43</v>
      </c>
      <c r="D4" s="3" t="s">
        <v>44</v>
      </c>
      <c r="E4" s="3" t="s">
        <v>0</v>
      </c>
      <c r="F4" s="3" t="s">
        <v>45</v>
      </c>
      <c r="G4" s="3" t="s">
        <v>121</v>
      </c>
      <c r="H4" s="3" t="s">
        <v>122</v>
      </c>
      <c r="I4" s="3" t="s">
        <v>123</v>
      </c>
      <c r="J4" s="3" t="s">
        <v>124</v>
      </c>
      <c r="K4" s="3" t="s">
        <v>125</v>
      </c>
      <c r="L4" s="3" t="s">
        <v>126</v>
      </c>
      <c r="M4" s="3" t="s">
        <v>46</v>
      </c>
      <c r="N4" s="3" t="s">
        <v>11</v>
      </c>
      <c r="O4" s="3" t="s">
        <v>47</v>
      </c>
      <c r="P4" s="3" t="s">
        <v>48</v>
      </c>
      <c r="Q4" s="3" t="s">
        <v>49</v>
      </c>
      <c r="R4" s="3" t="s">
        <v>50</v>
      </c>
      <c r="S4" s="3" t="s">
        <v>7</v>
      </c>
      <c r="T4" s="3" t="s">
        <v>2</v>
      </c>
      <c r="U4" s="3" t="s">
        <v>3</v>
      </c>
      <c r="V4" s="3" t="s">
        <v>4</v>
      </c>
      <c r="W4" s="3" t="s">
        <v>5</v>
      </c>
      <c r="X4" s="3" t="s">
        <v>6</v>
      </c>
      <c r="Y4" s="3" t="s">
        <v>131</v>
      </c>
      <c r="Z4" s="3" t="s">
        <v>51</v>
      </c>
      <c r="AA4" s="3" t="s">
        <v>52</v>
      </c>
      <c r="AB4" s="3" t="s">
        <v>116</v>
      </c>
      <c r="AC4" s="3" t="s">
        <v>53</v>
      </c>
      <c r="AD4" s="3" t="s">
        <v>54</v>
      </c>
      <c r="AE4" s="3" t="s">
        <v>55</v>
      </c>
      <c r="AF4" s="3" t="s">
        <v>135</v>
      </c>
      <c r="AG4" s="3" t="s">
        <v>133</v>
      </c>
      <c r="AH4" s="3" t="s">
        <v>134</v>
      </c>
      <c r="AI4" s="3" t="s">
        <v>56</v>
      </c>
      <c r="AJ4" s="3" t="s">
        <v>57</v>
      </c>
      <c r="AK4" s="3" t="s">
        <v>103</v>
      </c>
      <c r="AL4" s="3" t="s">
        <v>58</v>
      </c>
      <c r="AM4" s="3" t="s">
        <v>104</v>
      </c>
      <c r="AN4" s="3" t="s">
        <v>12</v>
      </c>
      <c r="AO4" s="3" t="s">
        <v>13</v>
      </c>
      <c r="AP4" s="3" t="s">
        <v>14</v>
      </c>
      <c r="AQ4" s="3" t="s">
        <v>15</v>
      </c>
      <c r="AR4" s="3" t="s">
        <v>16</v>
      </c>
      <c r="AS4" s="3" t="s">
        <v>17</v>
      </c>
      <c r="AT4" s="3" t="s">
        <v>18</v>
      </c>
      <c r="AU4" s="3" t="s">
        <v>19</v>
      </c>
      <c r="AV4" s="3" t="s">
        <v>20</v>
      </c>
      <c r="AW4" s="3" t="s">
        <v>21</v>
      </c>
      <c r="AX4" s="3" t="s">
        <v>22</v>
      </c>
      <c r="AY4" s="3" t="s">
        <v>23</v>
      </c>
      <c r="AZ4" s="3" t="s">
        <v>24</v>
      </c>
      <c r="BA4" s="3" t="s">
        <v>25</v>
      </c>
      <c r="BB4" s="3" t="s">
        <v>26</v>
      </c>
      <c r="BC4" s="3" t="s">
        <v>27</v>
      </c>
      <c r="BD4" s="3" t="s">
        <v>28</v>
      </c>
      <c r="BE4" s="3" t="s">
        <v>29</v>
      </c>
      <c r="BF4" s="3" t="s">
        <v>30</v>
      </c>
      <c r="BG4" s="3" t="s">
        <v>31</v>
      </c>
      <c r="BH4" s="3" t="s">
        <v>32</v>
      </c>
      <c r="BI4" s="3" t="s">
        <v>33</v>
      </c>
      <c r="BJ4" s="3" t="s">
        <v>34</v>
      </c>
      <c r="BK4" s="3" t="s">
        <v>35</v>
      </c>
      <c r="BL4" s="3" t="s">
        <v>36</v>
      </c>
      <c r="BM4" s="3" t="s">
        <v>37</v>
      </c>
      <c r="BN4" s="3" t="s">
        <v>38</v>
      </c>
      <c r="BO4" s="3" t="s">
        <v>39</v>
      </c>
      <c r="BP4" s="3" t="s">
        <v>40</v>
      </c>
      <c r="BQ4" s="4" t="s">
        <v>132</v>
      </c>
      <c r="BR4" s="4" t="s">
        <v>130</v>
      </c>
      <c r="BS4" s="4" t="s">
        <v>105</v>
      </c>
      <c r="BT4" s="4" t="s">
        <v>106</v>
      </c>
      <c r="BU4" s="4" t="s">
        <v>107</v>
      </c>
      <c r="BV4" s="4" t="s">
        <v>108</v>
      </c>
      <c r="BW4" s="4" t="s">
        <v>109</v>
      </c>
      <c r="BX4" s="4" t="s">
        <v>110</v>
      </c>
      <c r="BY4" s="4" t="s">
        <v>111</v>
      </c>
      <c r="BZ4" s="4" t="s">
        <v>129</v>
      </c>
      <c r="CA4" s="4" t="s">
        <v>113</v>
      </c>
      <c r="CB4" s="4" t="s">
        <v>112</v>
      </c>
      <c r="CC4" s="4" t="s">
        <v>114</v>
      </c>
      <c r="CD4" s="4" t="s">
        <v>15</v>
      </c>
      <c r="CE4" s="4" t="s">
        <v>16</v>
      </c>
      <c r="CF4" s="4" t="s">
        <v>17</v>
      </c>
      <c r="CG4" s="4" t="s">
        <v>18</v>
      </c>
      <c r="CH4" s="4" t="s">
        <v>19</v>
      </c>
      <c r="CI4" s="4" t="s">
        <v>20</v>
      </c>
      <c r="CJ4" s="4" t="s">
        <v>60</v>
      </c>
      <c r="CK4" s="4" t="s">
        <v>61</v>
      </c>
      <c r="CL4" s="4" t="s">
        <v>62</v>
      </c>
      <c r="CM4" s="4" t="s">
        <v>24</v>
      </c>
      <c r="CN4" s="4" t="s">
        <v>25</v>
      </c>
      <c r="CO4" s="4" t="s">
        <v>26</v>
      </c>
      <c r="CP4" s="4" t="s">
        <v>63</v>
      </c>
      <c r="CQ4" s="4" t="s">
        <v>64</v>
      </c>
      <c r="CR4" s="4" t="s">
        <v>65</v>
      </c>
      <c r="CS4" s="4" t="s">
        <v>10</v>
      </c>
      <c r="CT4" s="4" t="s">
        <v>127</v>
      </c>
      <c r="CU4" s="4" t="s">
        <v>128</v>
      </c>
      <c r="CV4" s="4" t="s">
        <v>119</v>
      </c>
      <c r="CW4" s="4" t="s">
        <v>116</v>
      </c>
      <c r="CX4" s="4" t="s">
        <v>117</v>
      </c>
      <c r="CY4" s="4" t="s">
        <v>118</v>
      </c>
      <c r="CZ4" s="4" t="s">
        <v>117</v>
      </c>
      <c r="DA4" s="4" t="s">
        <v>120</v>
      </c>
      <c r="DB4" s="4" t="s">
        <v>8</v>
      </c>
      <c r="DC4" s="4" t="s">
        <v>81</v>
      </c>
      <c r="DD4" s="4" t="s">
        <v>80</v>
      </c>
      <c r="DE4" s="4" t="s">
        <v>9</v>
      </c>
      <c r="DF4" s="4" t="s">
        <v>11</v>
      </c>
      <c r="DG4" s="4" t="s">
        <v>67</v>
      </c>
      <c r="DH4" s="4" t="s">
        <v>68</v>
      </c>
      <c r="DI4" s="4" t="s">
        <v>69</v>
      </c>
      <c r="DJ4" s="4" t="s">
        <v>70</v>
      </c>
      <c r="DK4" s="4" t="s">
        <v>71</v>
      </c>
      <c r="DL4" s="4" t="s">
        <v>72</v>
      </c>
      <c r="DM4" s="4" t="s">
        <v>73</v>
      </c>
      <c r="DN4" s="4" t="s">
        <v>74</v>
      </c>
      <c r="DO4" s="4" t="s">
        <v>75</v>
      </c>
      <c r="DP4" s="4" t="s">
        <v>76</v>
      </c>
      <c r="DQ4" s="4" t="s">
        <v>77</v>
      </c>
      <c r="DR4" s="4" t="s">
        <v>78</v>
      </c>
      <c r="DS4" s="4" t="s">
        <v>79</v>
      </c>
      <c r="DT4" s="4" t="s">
        <v>82</v>
      </c>
      <c r="DU4" s="4" t="s">
        <v>83</v>
      </c>
      <c r="DV4" s="4" t="s">
        <v>84</v>
      </c>
      <c r="DW4" s="4" t="s">
        <v>85</v>
      </c>
      <c r="DX4" s="4" t="s">
        <v>86</v>
      </c>
      <c r="DY4" s="4" t="s">
        <v>87</v>
      </c>
      <c r="DZ4" s="4" t="s">
        <v>88</v>
      </c>
      <c r="EA4" s="4" t="s">
        <v>89</v>
      </c>
      <c r="EB4" s="4" t="s">
        <v>90</v>
      </c>
      <c r="EC4" s="4" t="s">
        <v>91</v>
      </c>
      <c r="ED4" s="4" t="s">
        <v>92</v>
      </c>
      <c r="EE4" s="4" t="s">
        <v>93</v>
      </c>
      <c r="EF4" s="4" t="s">
        <v>94</v>
      </c>
      <c r="EG4" s="4" t="s">
        <v>95</v>
      </c>
      <c r="EH4" s="4" t="s">
        <v>96</v>
      </c>
      <c r="EI4" s="4" t="s">
        <v>97</v>
      </c>
      <c r="EJ4" s="4" t="s">
        <v>98</v>
      </c>
      <c r="EK4" s="4" t="s">
        <v>99</v>
      </c>
      <c r="EL4" s="4" t="s">
        <v>100</v>
      </c>
      <c r="EM4" s="4" t="s">
        <v>101</v>
      </c>
      <c r="EN4" s="4" t="s">
        <v>102</v>
      </c>
    </row>
    <row r="5" spans="1:144" ht="15" customHeight="1" x14ac:dyDescent="0.2">
      <c r="A5" s="6" t="s">
        <v>1</v>
      </c>
      <c r="B5" s="7">
        <v>40110</v>
      </c>
      <c r="C5" s="8">
        <v>2.5999999999999999E-2</v>
      </c>
      <c r="D5" s="9">
        <v>1786.44</v>
      </c>
      <c r="E5" s="9">
        <v>69.16</v>
      </c>
      <c r="F5" s="9">
        <v>45907</v>
      </c>
      <c r="G5" s="21"/>
      <c r="H5" s="28">
        <v>54</v>
      </c>
      <c r="I5" s="11">
        <v>32.020000000000003</v>
      </c>
      <c r="J5" s="10">
        <v>2.5499999999999998</v>
      </c>
      <c r="K5" s="12">
        <v>0.3</v>
      </c>
      <c r="L5" s="12">
        <v>2.35E-2</v>
      </c>
      <c r="M5" s="9">
        <v>0</v>
      </c>
      <c r="N5" s="9">
        <v>0</v>
      </c>
      <c r="O5" s="9">
        <v>15003</v>
      </c>
      <c r="P5" s="6">
        <v>4.5</v>
      </c>
      <c r="Q5" s="9">
        <v>383</v>
      </c>
      <c r="R5" s="8">
        <v>4.2500000000000003E-2</v>
      </c>
      <c r="S5" s="9">
        <v>863</v>
      </c>
      <c r="T5" s="9">
        <v>471</v>
      </c>
      <c r="U5" s="9">
        <v>378</v>
      </c>
      <c r="V5" s="9">
        <v>295</v>
      </c>
      <c r="W5" s="9">
        <v>225</v>
      </c>
      <c r="X5" s="9">
        <v>163</v>
      </c>
      <c r="Y5" s="9">
        <v>791</v>
      </c>
      <c r="Z5" s="9">
        <v>0</v>
      </c>
      <c r="AA5" s="9">
        <v>0</v>
      </c>
      <c r="AB5" s="9">
        <v>0</v>
      </c>
      <c r="AC5" s="8">
        <v>0</v>
      </c>
      <c r="AD5" s="13"/>
      <c r="AE5" s="9">
        <v>0</v>
      </c>
      <c r="AF5" s="9">
        <v>0</v>
      </c>
      <c r="AG5" s="9">
        <v>0</v>
      </c>
      <c r="AH5" s="9">
        <v>0</v>
      </c>
      <c r="AI5" s="9">
        <v>3932</v>
      </c>
      <c r="AJ5" s="9">
        <v>0</v>
      </c>
      <c r="AK5" s="15">
        <v>1</v>
      </c>
      <c r="AL5" s="9">
        <v>2371</v>
      </c>
      <c r="AM5" s="13">
        <v>2.5</v>
      </c>
      <c r="AN5" s="9">
        <v>42278</v>
      </c>
      <c r="AO5" s="9">
        <v>44255</v>
      </c>
      <c r="AP5" s="9">
        <v>47860</v>
      </c>
      <c r="AQ5" s="9">
        <v>10850</v>
      </c>
      <c r="AR5" s="9">
        <v>11440</v>
      </c>
      <c r="AS5" s="9">
        <v>13455</v>
      </c>
      <c r="AT5" s="9">
        <v>8863</v>
      </c>
      <c r="AU5" s="9">
        <v>9315</v>
      </c>
      <c r="AV5" s="9">
        <v>11418</v>
      </c>
      <c r="AW5" s="14">
        <v>0.33339999999999997</v>
      </c>
      <c r="AX5" s="14">
        <v>0.34239999999999998</v>
      </c>
      <c r="AY5" s="14">
        <v>0.35</v>
      </c>
      <c r="AZ5" s="9">
        <v>5862</v>
      </c>
      <c r="BA5" s="9">
        <v>5986</v>
      </c>
      <c r="BB5" s="9">
        <v>6943</v>
      </c>
      <c r="BC5" s="9">
        <v>65</v>
      </c>
      <c r="BD5" s="9">
        <v>56</v>
      </c>
      <c r="BE5" s="9">
        <v>50</v>
      </c>
      <c r="BF5" s="16">
        <v>1550</v>
      </c>
      <c r="BG5" s="16">
        <v>1399</v>
      </c>
      <c r="BH5" s="16">
        <v>388</v>
      </c>
      <c r="BI5" s="16">
        <v>144</v>
      </c>
      <c r="BJ5" s="16">
        <v>0</v>
      </c>
      <c r="BK5" s="16">
        <v>0</v>
      </c>
      <c r="BL5" s="16">
        <v>0</v>
      </c>
      <c r="BM5" s="16">
        <v>0</v>
      </c>
      <c r="BN5" s="16">
        <v>0</v>
      </c>
      <c r="BO5" s="16">
        <v>0</v>
      </c>
      <c r="BP5" s="16">
        <v>0</v>
      </c>
      <c r="BQ5" s="27">
        <f>SUM(IF(T5&gt;0,1,0),IF(U5&gt;0,1,0),IF(V5&gt;0,1,0),IF(W5&gt;0,1,0),IF(X5&gt;0,1,0))</f>
        <v>5</v>
      </c>
      <c r="BR5" s="27">
        <f>IF(BQ5=0,0,IF(AVERAGE(T5,U5,V5,W5,X5)=0,0,ROUND(Y5/AVERAGE(T5,U5,V5,W5,X5),0)))</f>
        <v>3</v>
      </c>
      <c r="BS5" s="17">
        <f>IF(BQ5=0,0,SUM(T5/(1+R5)^1,U5/(1+R5)^2,V5/(1+R5)^3,W5/(1+R5)^4,X5/(1+R5)^5,IF(BR5&gt;0,(IF(Y5&gt;0,IF(BR5&gt;1,Y5/BR5,Y5),0)*(1-(1+R5)^(-BR5))/R5)/(1+R5)^5,IF(Y5&gt;0,IF(BR5&gt;1,Y5/BR5,Y5),0)/(1+R5)^6)))</f>
        <v>1974.2647801062458</v>
      </c>
      <c r="BT5" s="17">
        <f>AT5+BS5*R5</f>
        <v>8946.9062531545151</v>
      </c>
      <c r="BU5" s="17">
        <f>O5+BS5</f>
        <v>16977.264780106245</v>
      </c>
      <c r="BV5" s="17">
        <f>AT5</f>
        <v>8863</v>
      </c>
      <c r="BW5" s="17">
        <f>S5</f>
        <v>863</v>
      </c>
      <c r="BX5" s="26">
        <f>IF(BS5=0,0,BS5/(5+BR5))</f>
        <v>246.78309751328072</v>
      </c>
      <c r="BY5" s="17">
        <f>BV5+BW5-BX5</f>
        <v>9479.2169024867198</v>
      </c>
      <c r="BZ5" s="25">
        <f>SUM(IF(BG5&gt;0,1,0),IF(BH5&gt;0,1,0),IF(BI5&gt;0,1,0),IF(BJ5&gt;0,1,0),IF(BK5&gt;0,1,0),IF(BL5&gt;0,1,0),IF(BM5&gt;0,1,0),IF(BN5&gt;0,1,0),IF(BO5&gt;0,1,0),IF(BP5&gt;0,1,0))</f>
        <v>3</v>
      </c>
      <c r="CA5" s="17">
        <f>IF(BZ5=0,0,SUM(BF5*1,BG5*(BZ5-1)/BZ5,BH5*(BZ5-2)/BZ5,BI5*(BZ5-3)/BZ5,BJ5*(BZ5-4)/BZ5,BK5*(BZ5-5)/BZ5,BL5*(BZ5-6)/BZ5,BM5*(BZ5-7)/BZ5,BN5*(BZ5-8)/BZ5,BO5*(BZ5-9)/BZ5,BP5*(BZ5-10)/BZ5))</f>
        <v>2612</v>
      </c>
      <c r="CB5" s="17">
        <f>IF(BZ5=0,0,SUM(BG5,BH5,BI5,BJ5,BK5,BL5,BM5,BN5,BO5,BP5)/BZ5)</f>
        <v>643.66666666666663</v>
      </c>
      <c r="CC5" s="17">
        <f>BF5-CB5</f>
        <v>906.33333333333337</v>
      </c>
      <c r="CD5" s="17">
        <f>AQ5+S5+BF5</f>
        <v>13263</v>
      </c>
      <c r="CE5" s="17">
        <f>AR5+S5+BF5</f>
        <v>13853</v>
      </c>
      <c r="CF5" s="17">
        <f>AS5+S5+BF5</f>
        <v>15868</v>
      </c>
      <c r="CG5" s="17">
        <f>AT5+S5-BX5+BF5-CB5</f>
        <v>10385.550235820054</v>
      </c>
      <c r="CH5" s="17">
        <f>AU5+S5-BX5+BF5-CB5</f>
        <v>10837.550235820054</v>
      </c>
      <c r="CI5" s="17">
        <f>AV5+S5-BX5+BF5-CB5</f>
        <v>12940.550235820054</v>
      </c>
      <c r="CJ5" s="17">
        <f>AT5*(1-AW5)+S5-BX5+BF5-CB5</f>
        <v>7430.6260358200525</v>
      </c>
      <c r="CK5" s="17">
        <f>AU5*(1-AX5)+S5-BX5+BF5-CB5</f>
        <v>7648.0942358200527</v>
      </c>
      <c r="CL5" s="17">
        <f>AV5*(1-AY5)+S5-BX5+BF5-CB5</f>
        <v>8944.2502358200527</v>
      </c>
      <c r="CM5" s="17">
        <f>AZ5+BF5-CB5</f>
        <v>6768.333333333333</v>
      </c>
      <c r="CN5" s="17">
        <f>BA5+BF5-CB5</f>
        <v>6892.333333333333</v>
      </c>
      <c r="CO5" s="17">
        <f>BB5+BF5-CB5</f>
        <v>7849.333333333333</v>
      </c>
      <c r="CP5" s="17">
        <f>AZ5-BC5*(1-AW5)+BF5-CB5</f>
        <v>6725.0043333333333</v>
      </c>
      <c r="CQ5" s="17">
        <f>BA5-BD5*(1-AX5)+BF5-CB5</f>
        <v>6855.5077333333329</v>
      </c>
      <c r="CR5" s="17">
        <f>BB5-BE5*(1-AY5)+BF5-CB5</f>
        <v>7816.833333333333</v>
      </c>
      <c r="CS5" s="17">
        <f>D5*E5</f>
        <v>123550.19039999999</v>
      </c>
      <c r="CT5" s="17" t="e">
        <f ca="1">IF(G5="",(E5*D5+IF($CW$1="",CU5,$CW$1)*H5)/(D5+H5),0)</f>
        <v>#NAME?</v>
      </c>
      <c r="CU5" s="17" t="e">
        <f ca="1">IF(G5="",((EXP((0-L5)*J5))*CT5*(CND_FUNC(((LN(CT5/I5)+((C5-L5)+((K5^2)/2))*J5)/((((K5^2))^(0.5))*(J5^0.5)))))-I5*(EXP((0-C5)*J5))*(CND_FUNC((((LN(CT5/I5)+((C5-L5)+((K5^2)/2))*J5)/((((K5^2))^(0.5))*(J5^0.5)))-(((K5^2)^0.5)*(J5^(0.5))))))),G5)</f>
        <v>#NAME?</v>
      </c>
      <c r="CV5" s="20" t="e">
        <f ca="1">CU5*H5</f>
        <v>#NAME?</v>
      </c>
      <c r="CW5" s="17">
        <f>IF(AB5="",(AC5/2)*AA5*(1-(1+R5/2)^(-AD5*2))/(R5/2)+AA5/(1+R5)^AD5,AB5)</f>
        <v>0</v>
      </c>
      <c r="CX5" s="17">
        <f>Z5-CW5</f>
        <v>0</v>
      </c>
      <c r="CY5" s="17">
        <f>IF(M5&gt;0,IF(AG5=0,0,(M5*AF5)/AG5),0)</f>
        <v>0</v>
      </c>
      <c r="CZ5" s="17">
        <f>AH5-CY5</f>
        <v>0</v>
      </c>
      <c r="DA5" s="17">
        <f>CX5+CZ5</f>
        <v>0</v>
      </c>
      <c r="DB5" s="17" t="e">
        <f ca="1">SUM(CS5,CV5,DA5)</f>
        <v>#NAME?</v>
      </c>
      <c r="DC5" s="17">
        <f>Q5*(1-(1+R5)^(-P5))/R5+O5/(1+R5)^P5</f>
        <v>13979.678940008973</v>
      </c>
      <c r="DD5" s="17">
        <f>BS5</f>
        <v>1974.2647801062458</v>
      </c>
      <c r="DE5" s="17">
        <f>DC5+DD5</f>
        <v>15953.943720115218</v>
      </c>
      <c r="DF5" s="18">
        <f>N5+CY5</f>
        <v>0</v>
      </c>
      <c r="DG5" s="17">
        <f>CA5+F5</f>
        <v>48519</v>
      </c>
      <c r="DH5" s="17">
        <f>BS5+O5+AA5</f>
        <v>16977.264780106245</v>
      </c>
      <c r="DI5" s="17">
        <f>M5+AE5</f>
        <v>0</v>
      </c>
      <c r="DJ5" s="17">
        <f>AI5</f>
        <v>3932</v>
      </c>
      <c r="DK5" s="17">
        <f>DG5+DH5+DI5-DJ5</f>
        <v>61564.264780106241</v>
      </c>
      <c r="DL5" s="17" t="e">
        <f ca="1">DB5</f>
        <v>#NAME?</v>
      </c>
      <c r="DM5" s="17">
        <f t="shared" ref="DM5:DN7" si="5">DE5</f>
        <v>15953.943720115218</v>
      </c>
      <c r="DN5" s="17">
        <f t="shared" si="5"/>
        <v>0</v>
      </c>
      <c r="DO5" s="17">
        <f>AI5</f>
        <v>3932</v>
      </c>
      <c r="DP5" s="17">
        <f>AJ5*AK5</f>
        <v>0</v>
      </c>
      <c r="DQ5" s="17">
        <f>AL5*AM5</f>
        <v>5927.5</v>
      </c>
      <c r="DR5" s="17" t="e">
        <f ca="1">DL5+DM5+DN5-DO5-DP5+DQ5</f>
        <v>#NAME?</v>
      </c>
      <c r="DS5" s="17" t="e">
        <f ca="1">DL5+DM5+DN5+DQ5</f>
        <v>#NAME?</v>
      </c>
      <c r="DT5" s="19" t="e">
        <f ca="1">DR5/AN5</f>
        <v>#NAME?</v>
      </c>
      <c r="DU5" s="19" t="e">
        <f ca="1">DR5/AO5</f>
        <v>#NAME?</v>
      </c>
      <c r="DV5" s="19" t="e">
        <f ca="1">DR5/AP5</f>
        <v>#NAME?</v>
      </c>
      <c r="DW5" s="19" t="e">
        <f ca="1">DR5/CD5</f>
        <v>#NAME?</v>
      </c>
      <c r="DX5" s="19" t="e">
        <f ca="1">DR5/CE5</f>
        <v>#NAME?</v>
      </c>
      <c r="DY5" s="19" t="e">
        <f ca="1">DR5/CF5</f>
        <v>#NAME?</v>
      </c>
      <c r="DZ5" s="19" t="e">
        <f ca="1">DR5/CG5</f>
        <v>#NAME?</v>
      </c>
      <c r="EA5" s="19" t="e">
        <f ca="1">DR5/CH5</f>
        <v>#NAME?</v>
      </c>
      <c r="EB5" s="19" t="e">
        <f ca="1">DR5/CI5</f>
        <v>#NAME?</v>
      </c>
      <c r="EC5" s="19" t="e">
        <f ca="1">DR5/CJ5</f>
        <v>#NAME?</v>
      </c>
      <c r="ED5" s="19" t="e">
        <f ca="1">DR5/CK5</f>
        <v>#NAME?</v>
      </c>
      <c r="EE5" s="19" t="e">
        <f ca="1">DR5/CL5</f>
        <v>#NAME?</v>
      </c>
      <c r="EF5" s="19" t="e">
        <f ca="1">DB5/CM5</f>
        <v>#NAME?</v>
      </c>
      <c r="EG5" s="19" t="e">
        <f ca="1">DB5/CN5</f>
        <v>#NAME?</v>
      </c>
      <c r="EH5" s="19" t="e">
        <f ca="1">DB5/CO5</f>
        <v>#NAME?</v>
      </c>
      <c r="EI5" s="19">
        <f>(CS5-DO5)/CP5</f>
        <v>17.787080047978158</v>
      </c>
      <c r="EJ5" s="19">
        <f>(CS5-DO5)/CQ5</f>
        <v>17.448480120354031</v>
      </c>
      <c r="EK5" s="19">
        <f>(CS5-DO5)/CR5</f>
        <v>15.302640506599007</v>
      </c>
      <c r="EL5" s="19" t="e">
        <f ca="1">DR5/DK5</f>
        <v>#NAME?</v>
      </c>
      <c r="EM5" s="19">
        <f>CS5/DG5</f>
        <v>2.5464290360477335</v>
      </c>
      <c r="EN5" s="19">
        <f>(CS5-DO5)/(DG5-DJ5)</f>
        <v>2.6828041895619799</v>
      </c>
    </row>
    <row r="6" spans="1:144" ht="15" customHeight="1" x14ac:dyDescent="0.2">
      <c r="A6" s="6" t="s">
        <v>136</v>
      </c>
      <c r="B6" s="7">
        <v>40110</v>
      </c>
      <c r="C6" s="8">
        <v>2.5999999999999999E-2</v>
      </c>
      <c r="D6" s="9">
        <v>1786.44</v>
      </c>
      <c r="E6" s="9">
        <v>69.16</v>
      </c>
      <c r="F6" s="9">
        <v>45907</v>
      </c>
      <c r="G6" s="21"/>
      <c r="H6" s="28">
        <v>54</v>
      </c>
      <c r="I6" s="11">
        <v>32.020000000000003</v>
      </c>
      <c r="J6" s="10">
        <v>2.5499999999999998</v>
      </c>
      <c r="K6" s="12">
        <v>0.3</v>
      </c>
      <c r="L6" s="12">
        <v>2.35E-2</v>
      </c>
      <c r="M6" s="9">
        <v>0</v>
      </c>
      <c r="N6" s="9">
        <v>0</v>
      </c>
      <c r="O6" s="9">
        <v>15003</v>
      </c>
      <c r="P6" s="6">
        <v>4.5</v>
      </c>
      <c r="Q6" s="9">
        <v>383</v>
      </c>
      <c r="R6" s="8">
        <v>4.2500000000000003E-2</v>
      </c>
      <c r="S6" s="9">
        <v>863</v>
      </c>
      <c r="T6" s="9">
        <v>471</v>
      </c>
      <c r="U6" s="9">
        <v>378</v>
      </c>
      <c r="V6" s="9">
        <v>295</v>
      </c>
      <c r="W6" s="9">
        <v>225</v>
      </c>
      <c r="X6" s="9">
        <v>163</v>
      </c>
      <c r="Y6" s="9">
        <v>791</v>
      </c>
      <c r="Z6" s="9">
        <v>0</v>
      </c>
      <c r="AA6" s="9">
        <v>0</v>
      </c>
      <c r="AB6" s="9">
        <v>0</v>
      </c>
      <c r="AC6" s="8">
        <v>0</v>
      </c>
      <c r="AD6" s="13"/>
      <c r="AE6" s="9">
        <v>0</v>
      </c>
      <c r="AF6" s="9">
        <v>0</v>
      </c>
      <c r="AG6" s="9">
        <v>0</v>
      </c>
      <c r="AH6" s="9">
        <v>0</v>
      </c>
      <c r="AI6" s="9">
        <v>3932</v>
      </c>
      <c r="AJ6" s="9">
        <v>0</v>
      </c>
      <c r="AK6" s="15">
        <v>1</v>
      </c>
      <c r="AL6" s="9">
        <v>2371</v>
      </c>
      <c r="AM6" s="13">
        <v>2.5</v>
      </c>
      <c r="AN6" s="9">
        <v>42278</v>
      </c>
      <c r="AO6" s="9">
        <v>44255</v>
      </c>
      <c r="AP6" s="9">
        <v>47860</v>
      </c>
      <c r="AQ6" s="9">
        <v>10850</v>
      </c>
      <c r="AR6" s="9">
        <v>11440</v>
      </c>
      <c r="AS6" s="9">
        <v>13455</v>
      </c>
      <c r="AT6" s="9">
        <v>8863</v>
      </c>
      <c r="AU6" s="9">
        <v>9315</v>
      </c>
      <c r="AV6" s="9">
        <v>11418</v>
      </c>
      <c r="AW6" s="14">
        <v>0.33339999999999997</v>
      </c>
      <c r="AX6" s="14">
        <v>0.34239999999999998</v>
      </c>
      <c r="AY6" s="14">
        <v>0.35</v>
      </c>
      <c r="AZ6" s="9">
        <v>5862</v>
      </c>
      <c r="BA6" s="9">
        <v>5986</v>
      </c>
      <c r="BB6" s="9">
        <v>6943</v>
      </c>
      <c r="BC6" s="9">
        <v>65</v>
      </c>
      <c r="BD6" s="9">
        <v>56</v>
      </c>
      <c r="BE6" s="9">
        <v>50</v>
      </c>
      <c r="BF6" s="16">
        <v>0</v>
      </c>
      <c r="BG6" s="16">
        <v>0</v>
      </c>
      <c r="BH6" s="16">
        <v>0</v>
      </c>
      <c r="BI6" s="16">
        <v>0</v>
      </c>
      <c r="BJ6" s="16">
        <v>0</v>
      </c>
      <c r="BK6" s="16">
        <v>0</v>
      </c>
      <c r="BL6" s="16">
        <v>0</v>
      </c>
      <c r="BM6" s="16">
        <v>0</v>
      </c>
      <c r="BN6" s="16">
        <v>0</v>
      </c>
      <c r="BO6" s="16">
        <v>0</v>
      </c>
      <c r="BP6" s="16">
        <v>0</v>
      </c>
      <c r="BQ6" s="27">
        <f>SUM(IF(T6&gt;0,1,0),IF(U6&gt;0,1,0),IF(V6&gt;0,1,0),IF(W6&gt;0,1,0),IF(X6&gt;0,1,0))</f>
        <v>5</v>
      </c>
      <c r="BR6" s="27">
        <f>IF(BQ6=0,0,IF(AVERAGE(T6,U6,V6,W6,X6)=0,0,ROUND(Y6/AVERAGE(T6,U6,V6,W6,X6),0)))</f>
        <v>3</v>
      </c>
      <c r="BS6" s="17">
        <f>IF(BQ6=0,0,SUM(T6/(1+R6)^1,U6/(1+R6)^2,V6/(1+R6)^3,W6/(1+R6)^4,X6/(1+R6)^5,IF(BR6&gt;0,(IF(Y6&gt;0,IF(BR6&gt;1,Y6/BR6,Y6),0)*(1-(1+R6)^(-BR6))/R6)/(1+R6)^5,IF(Y6&gt;0,IF(BR6&gt;1,Y6/BR6,Y6),0)/(1+R6)^6)))</f>
        <v>1974.2647801062458</v>
      </c>
      <c r="BT6" s="17">
        <f>AT6+BS6*R6</f>
        <v>8946.9062531545151</v>
      </c>
      <c r="BU6" s="17">
        <f>O6+BS6</f>
        <v>16977.264780106245</v>
      </c>
      <c r="BV6" s="17">
        <f>AT6</f>
        <v>8863</v>
      </c>
      <c r="BW6" s="17">
        <f>S6</f>
        <v>863</v>
      </c>
      <c r="BX6" s="17">
        <f>IF(BS6=0,0,BS6/(5+BR6))</f>
        <v>246.78309751328072</v>
      </c>
      <c r="BY6" s="17">
        <f>BV6+BW6-BX6</f>
        <v>9479.2169024867198</v>
      </c>
      <c r="BZ6" s="25">
        <f>SUM(IF(BG6&gt;0,1,0),IF(BH6&gt;0,1,0),IF(BI6&gt;0,1,0),IF(BJ6&gt;0,1,0),IF(BK6&gt;0,1,0),IF(BL6&gt;0,1,0),IF(BM6&gt;0,1,0),IF(BN6&gt;0,1,0),IF(BO6&gt;0,1,0),IF(BP6&gt;0,1,0))</f>
        <v>0</v>
      </c>
      <c r="CA6" s="17">
        <f>IF(BZ6=0,0,SUM(BF6*1,BG6*(BZ6-1)/BZ6,BH6*(BZ6-2)/BZ6,BI6*(BZ6-3)/BZ6,BJ6*(BZ6-4)/BZ6,BK6*(BZ6-5)/BZ6,BL6*(BZ6-6)/BZ6,BM6*(BZ6-7)/BZ6,BN6*(BZ6-8)/BZ6,BO6*(BZ6-9)/BZ6,BP6*(BZ6-10)/BZ6))</f>
        <v>0</v>
      </c>
      <c r="CB6" s="17">
        <f>IF(BZ6=0,0,SUM(BG6,BH6,BI6,BJ6,BK6,BL6,BM6,BN6,BO6,BP6)/BZ6)</f>
        <v>0</v>
      </c>
      <c r="CC6" s="17">
        <f>BF6-CB6</f>
        <v>0</v>
      </c>
      <c r="CD6" s="17">
        <f>AQ6+S6+BF6</f>
        <v>11713</v>
      </c>
      <c r="CE6" s="17">
        <f>AR6+S6+BF6</f>
        <v>12303</v>
      </c>
      <c r="CF6" s="17">
        <f>AS6+S6+BF6</f>
        <v>14318</v>
      </c>
      <c r="CG6" s="17">
        <f>AT6+S6-BX6+BF6-CB6</f>
        <v>9479.2169024867198</v>
      </c>
      <c r="CH6" s="17">
        <f>AU6+S6-BX6+BF6-CB6</f>
        <v>9931.2169024867198</v>
      </c>
      <c r="CI6" s="17">
        <f>AV6+S6-BX6+BF6-CB6</f>
        <v>12034.21690248672</v>
      </c>
      <c r="CJ6" s="17">
        <f>AT6*(1-AW6)+S6-BX6+BF6-CB6</f>
        <v>6524.2927024867195</v>
      </c>
      <c r="CK6" s="17">
        <f>AU6*(1-AX6)+S6-BX6+BF6-CB6</f>
        <v>6741.7609024867188</v>
      </c>
      <c r="CL6" s="17">
        <f>AV6*(1-AY6)+S6-BX6+BF6-CB6</f>
        <v>8037.9169024867197</v>
      </c>
      <c r="CM6" s="17">
        <f>AZ6+BF6-CB6</f>
        <v>5862</v>
      </c>
      <c r="CN6" s="17">
        <f>BA6+BF6-CB6</f>
        <v>5986</v>
      </c>
      <c r="CO6" s="17">
        <f>BB6+BF6-CB6</f>
        <v>6943</v>
      </c>
      <c r="CP6" s="17">
        <f>AZ6-BC6*(1-AW6)+BF6-CB6</f>
        <v>5818.6710000000003</v>
      </c>
      <c r="CQ6" s="17">
        <f>BA6-BD6*(1-AX6)+BF6-CB6</f>
        <v>5949.1743999999999</v>
      </c>
      <c r="CR6" s="17">
        <f>BB6-BE6*(1-AY6)+BF6-CB6</f>
        <v>6910.5</v>
      </c>
      <c r="CS6" s="17">
        <f>D6*E6</f>
        <v>123550.19039999999</v>
      </c>
      <c r="CT6" s="17" t="e">
        <f ca="1">IF(G6="",(E6*D6+IF($CW$1="",CU6,$CW$1)*H6)/(D6+H6),0)</f>
        <v>#NAME?</v>
      </c>
      <c r="CU6" s="17" t="e">
        <f ca="1">IF(G6="",((EXP((0-L6)*J6))*CT6*(CND_FUNC(((LN(CT6/I6)+((C6-L6)+((K6^2)/2))*J6)/((((K6^2))^(0.5))*(J6^0.5)))))-I6*(EXP((0-C6)*J6))*(CND_FUNC((((LN(CT6/I6)+((C6-L6)+((K6^2)/2))*J6)/((((K6^2))^(0.5))*(J6^0.5)))-(((K6^2)^0.5)*(J6^(0.5))))))),G6)</f>
        <v>#NAME?</v>
      </c>
      <c r="CV6" s="20" t="e">
        <f ca="1">CU6*H6</f>
        <v>#NAME?</v>
      </c>
      <c r="CW6" s="17">
        <f>IF(AB6="",(AC6/2)*AA6*(1-(1+R6/2)^(-AD6*2))/(R6/2)+AA6/(1+R6)^AD6,AB6)</f>
        <v>0</v>
      </c>
      <c r="CX6" s="17">
        <f>Z6-CW6</f>
        <v>0</v>
      </c>
      <c r="CY6" s="17">
        <f>IF(M6&gt;0,IF(AG6=0,0,(M6*AF6)/AG6),0)</f>
        <v>0</v>
      </c>
      <c r="CZ6" s="17">
        <f>AH6-CY6</f>
        <v>0</v>
      </c>
      <c r="DA6" s="17">
        <f>CX6+CZ6</f>
        <v>0</v>
      </c>
      <c r="DB6" s="17" t="e">
        <f ca="1">SUM(CS6,CV6,DA6)</f>
        <v>#NAME?</v>
      </c>
      <c r="DC6" s="17">
        <f>Q6*(1-(1+R6)^(-P6))/R6+O6/(1+R6)^P6</f>
        <v>13979.678940008973</v>
      </c>
      <c r="DD6" s="17">
        <f>BS6</f>
        <v>1974.2647801062458</v>
      </c>
      <c r="DE6" s="17">
        <f>DC6+DD6</f>
        <v>15953.943720115218</v>
      </c>
      <c r="DF6" s="18">
        <f>N6+CY6</f>
        <v>0</v>
      </c>
      <c r="DG6" s="17">
        <f>CA6+F6</f>
        <v>45907</v>
      </c>
      <c r="DH6" s="17">
        <f>BS6+O6+AA6</f>
        <v>16977.264780106245</v>
      </c>
      <c r="DI6" s="17">
        <f>M6+AE6</f>
        <v>0</v>
      </c>
      <c r="DJ6" s="17">
        <f>AI6</f>
        <v>3932</v>
      </c>
      <c r="DK6" s="17">
        <f>DG6+DH6+DI6-DJ6</f>
        <v>58952.264780106241</v>
      </c>
      <c r="DL6" s="17" t="e">
        <f ca="1">DB6</f>
        <v>#NAME?</v>
      </c>
      <c r="DM6" s="17">
        <f t="shared" si="5"/>
        <v>15953.943720115218</v>
      </c>
      <c r="DN6" s="17">
        <f t="shared" si="5"/>
        <v>0</v>
      </c>
      <c r="DO6" s="17">
        <f>AI6</f>
        <v>3932</v>
      </c>
      <c r="DP6" s="17">
        <f>AJ6*AK6</f>
        <v>0</v>
      </c>
      <c r="DQ6" s="17">
        <f>AL6*AM6</f>
        <v>5927.5</v>
      </c>
      <c r="DR6" s="17" t="e">
        <f ca="1">DL6+DM6+DN6-DO6-DP6+DQ6</f>
        <v>#NAME?</v>
      </c>
      <c r="DS6" s="17" t="e">
        <f ca="1">DL6+DM6+DN6+DQ6</f>
        <v>#NAME?</v>
      </c>
      <c r="DT6" s="19" t="e">
        <f ca="1">DR6/AN6</f>
        <v>#NAME?</v>
      </c>
      <c r="DU6" s="19" t="e">
        <f ca="1">DR6/AO6</f>
        <v>#NAME?</v>
      </c>
      <c r="DV6" s="19" t="e">
        <f ca="1">DR6/AP6</f>
        <v>#NAME?</v>
      </c>
      <c r="DW6" s="19" t="e">
        <f ca="1">DR6/CD6</f>
        <v>#NAME?</v>
      </c>
      <c r="DX6" s="19" t="e">
        <f ca="1">DR6/CE6</f>
        <v>#NAME?</v>
      </c>
      <c r="DY6" s="19" t="e">
        <f ca="1">DR6/CF6</f>
        <v>#NAME?</v>
      </c>
      <c r="DZ6" s="19" t="e">
        <f ca="1">DR6/CG6</f>
        <v>#NAME?</v>
      </c>
      <c r="EA6" s="19" t="e">
        <f ca="1">DR6/CH6</f>
        <v>#NAME?</v>
      </c>
      <c r="EB6" s="19" t="e">
        <f ca="1">DR6/CI6</f>
        <v>#NAME?</v>
      </c>
      <c r="EC6" s="19" t="e">
        <f ca="1">DR6/CJ6</f>
        <v>#NAME?</v>
      </c>
      <c r="ED6" s="19" t="e">
        <f ca="1">DR6/CK6</f>
        <v>#NAME?</v>
      </c>
      <c r="EE6" s="19" t="e">
        <f ca="1">DR6/CL6</f>
        <v>#NAME?</v>
      </c>
      <c r="EF6" s="19" t="e">
        <f ca="1">DB6/CM6</f>
        <v>#NAME?</v>
      </c>
      <c r="EG6" s="19" t="e">
        <f ca="1">DB6/CN6</f>
        <v>#NAME?</v>
      </c>
      <c r="EH6" s="19" t="e">
        <f ca="1">DB6/CO6</f>
        <v>#NAME?</v>
      </c>
      <c r="EI6" s="19">
        <f>(CS6-DO6)/CP6</f>
        <v>20.557648026499521</v>
      </c>
      <c r="EJ6" s="19">
        <f>(CS6-DO6)/CQ6</f>
        <v>20.106687475828579</v>
      </c>
      <c r="EK6" s="19">
        <f>(CS6-DO6)/CR6</f>
        <v>17.309628883582953</v>
      </c>
      <c r="EL6" s="19" t="e">
        <f ca="1">DR6/DK6</f>
        <v>#NAME?</v>
      </c>
      <c r="EM6" s="19">
        <f>CS6/DG6</f>
        <v>2.6913148408739405</v>
      </c>
      <c r="EN6" s="19">
        <f>(CS6-DO6)/(DG6-DJ6)</f>
        <v>2.8497484312090529</v>
      </c>
    </row>
    <row r="7" spans="1:144" ht="15" customHeight="1" x14ac:dyDescent="0.2">
      <c r="A7" s="6" t="s">
        <v>1</v>
      </c>
      <c r="B7" s="7">
        <v>40110</v>
      </c>
      <c r="C7" s="8">
        <v>2.5999999999999999E-2</v>
      </c>
      <c r="D7" s="9">
        <v>1786.44</v>
      </c>
      <c r="E7" s="9">
        <v>69.16</v>
      </c>
      <c r="F7" s="9">
        <v>45907</v>
      </c>
      <c r="G7" s="21"/>
      <c r="H7" s="28">
        <v>54</v>
      </c>
      <c r="I7" s="11">
        <v>32.020000000000003</v>
      </c>
      <c r="J7" s="10">
        <v>2.5499999999999998</v>
      </c>
      <c r="K7" s="12">
        <v>0.3</v>
      </c>
      <c r="L7" s="12">
        <v>2.35E-2</v>
      </c>
      <c r="M7" s="9">
        <v>0</v>
      </c>
      <c r="N7" s="9">
        <v>0</v>
      </c>
      <c r="O7" s="9">
        <v>15003</v>
      </c>
      <c r="P7" s="6">
        <v>4.5</v>
      </c>
      <c r="Q7" s="9">
        <v>383</v>
      </c>
      <c r="R7" s="8">
        <v>4.2500000000000003E-2</v>
      </c>
      <c r="S7" s="9">
        <v>0</v>
      </c>
      <c r="T7" s="9">
        <v>0</v>
      </c>
      <c r="U7" s="9">
        <v>0</v>
      </c>
      <c r="V7" s="9">
        <v>0</v>
      </c>
      <c r="W7" s="9">
        <v>0</v>
      </c>
      <c r="X7" s="9">
        <v>0</v>
      </c>
      <c r="Y7" s="9">
        <v>0</v>
      </c>
      <c r="Z7" s="9">
        <v>0</v>
      </c>
      <c r="AA7" s="9">
        <v>0</v>
      </c>
      <c r="AB7" s="9">
        <v>0</v>
      </c>
      <c r="AC7" s="8">
        <v>0</v>
      </c>
      <c r="AD7" s="13"/>
      <c r="AE7" s="9">
        <v>0</v>
      </c>
      <c r="AF7" s="9">
        <v>0</v>
      </c>
      <c r="AG7" s="9">
        <v>0</v>
      </c>
      <c r="AH7" s="9">
        <v>0</v>
      </c>
      <c r="AI7" s="9">
        <v>3932</v>
      </c>
      <c r="AJ7" s="9">
        <v>0</v>
      </c>
      <c r="AK7" s="15">
        <v>1</v>
      </c>
      <c r="AL7" s="9">
        <v>2371</v>
      </c>
      <c r="AM7" s="13">
        <v>2.5</v>
      </c>
      <c r="AN7" s="9">
        <v>42278</v>
      </c>
      <c r="AO7" s="9">
        <v>44255</v>
      </c>
      <c r="AP7" s="9">
        <v>47860</v>
      </c>
      <c r="AQ7" s="9">
        <v>10850</v>
      </c>
      <c r="AR7" s="9">
        <v>11440</v>
      </c>
      <c r="AS7" s="9">
        <v>13455</v>
      </c>
      <c r="AT7" s="9">
        <v>8863</v>
      </c>
      <c r="AU7" s="9">
        <v>9315</v>
      </c>
      <c r="AV7" s="9">
        <v>11418</v>
      </c>
      <c r="AW7" s="14">
        <v>0.33339999999999997</v>
      </c>
      <c r="AX7" s="14">
        <v>0.34239999999999998</v>
      </c>
      <c r="AY7" s="14">
        <v>0.35</v>
      </c>
      <c r="AZ7" s="9">
        <v>5862</v>
      </c>
      <c r="BA7" s="9">
        <v>5986</v>
      </c>
      <c r="BB7" s="9">
        <v>6943</v>
      </c>
      <c r="BC7" s="9">
        <v>65</v>
      </c>
      <c r="BD7" s="9">
        <v>56</v>
      </c>
      <c r="BE7" s="9">
        <v>50</v>
      </c>
      <c r="BF7" s="16">
        <v>0</v>
      </c>
      <c r="BG7" s="16">
        <v>0</v>
      </c>
      <c r="BH7" s="16">
        <v>0</v>
      </c>
      <c r="BI7" s="16">
        <v>0</v>
      </c>
      <c r="BJ7" s="16">
        <v>0</v>
      </c>
      <c r="BK7" s="16">
        <v>0</v>
      </c>
      <c r="BL7" s="16">
        <v>0</v>
      </c>
      <c r="BM7" s="16">
        <v>0</v>
      </c>
      <c r="BN7" s="16">
        <v>0</v>
      </c>
      <c r="BO7" s="16">
        <v>0</v>
      </c>
      <c r="BP7" s="16">
        <v>0</v>
      </c>
      <c r="BQ7" s="27">
        <f>SUM(IF(T7&gt;0,1,0),IF(U7&gt;0,1,0),IF(V7&gt;0,1,0),IF(W7&gt;0,1,0),IF(X7&gt;0,1,0))</f>
        <v>0</v>
      </c>
      <c r="BR7" s="27">
        <f>IF(BQ7=0,0,IF(AVERAGE(T7,U7,V7,W7,X7)=0,0,ROUND(Y7/AVERAGE(T7,U7,V7,W7,X7),0)))</f>
        <v>0</v>
      </c>
      <c r="BS7" s="17">
        <f>IF(BQ7=0,0,SUM(T7/(1+R7)^1,U7/(1+R7)^2,V7/(1+R7)^3,W7/(1+R7)^4,X7/(1+R7)^5,IF(BR7&gt;0,(IF(Y7&gt;0,IF(BR7&gt;1,Y7/BR7,Y7),0)*(1-(1+R7)^(-BR7))/R7)/(1+R7)^5,IF(Y7&gt;0,IF(BR7&gt;1,Y7/BR7,Y7),0)/(1+R7)^6)))</f>
        <v>0</v>
      </c>
      <c r="BT7" s="17">
        <f>AT7+BS7*R7</f>
        <v>8863</v>
      </c>
      <c r="BU7" s="17">
        <f>O7+BS7</f>
        <v>15003</v>
      </c>
      <c r="BV7" s="17">
        <f>AT7</f>
        <v>8863</v>
      </c>
      <c r="BW7" s="17">
        <f>S7</f>
        <v>0</v>
      </c>
      <c r="BX7" s="17">
        <f>IF(BS7=0,0,BS7/(5+BR7))</f>
        <v>0</v>
      </c>
      <c r="BY7" s="17">
        <f>BV7+BW7-BX7</f>
        <v>8863</v>
      </c>
      <c r="BZ7" s="25">
        <f>SUM(IF(BG7&gt;0,1,0),IF(BH7&gt;0,1,0),IF(BI7&gt;0,1,0),IF(BJ7&gt;0,1,0),IF(BK7&gt;0,1,0),IF(BL7&gt;0,1,0),IF(BM7&gt;0,1,0),IF(BN7&gt;0,1,0),IF(BO7&gt;0,1,0),IF(BP7&gt;0,1,0))</f>
        <v>0</v>
      </c>
      <c r="CA7" s="17">
        <f>IF(BZ7=0,0,SUM(BF7*1,BG7*(BZ7-1)/BZ7,BH7*(BZ7-2)/BZ7,BI7*(BZ7-3)/BZ7,BJ7*(BZ7-4)/BZ7,BK7*(BZ7-5)/BZ7,BL7*(BZ7-6)/BZ7,BM7*(BZ7-7)/BZ7,BN7*(BZ7-8)/BZ7,BO7*(BZ7-9)/BZ7,BP7*(BZ7-10)/BZ7))</f>
        <v>0</v>
      </c>
      <c r="CB7" s="17">
        <f>IF(BZ7=0,0,SUM(BG7,BH7,BI7,BJ7,BK7,BL7,BM7,BN7,BO7,BP7)/BZ7)</f>
        <v>0</v>
      </c>
      <c r="CC7" s="17">
        <f>BF7-CB7</f>
        <v>0</v>
      </c>
      <c r="CD7" s="17">
        <f>AQ7+S7+BF7</f>
        <v>10850</v>
      </c>
      <c r="CE7" s="17">
        <f>AR7+S7+BF7</f>
        <v>11440</v>
      </c>
      <c r="CF7" s="17">
        <f>AS7+S7+BF7</f>
        <v>13455</v>
      </c>
      <c r="CG7" s="17">
        <f>AT7+S7-BX7+BF7-CB7</f>
        <v>8863</v>
      </c>
      <c r="CH7" s="17">
        <f>AU7+S7-BX7+BF7-CB7</f>
        <v>9315</v>
      </c>
      <c r="CI7" s="17">
        <f>AV7+S7-BX7+BF7-CB7</f>
        <v>11418</v>
      </c>
      <c r="CJ7" s="17">
        <f>AT7*(1-AW7)+S7-BX7+BF7-CB7</f>
        <v>5908.0758000000005</v>
      </c>
      <c r="CK7" s="17">
        <f>AU7*(1-AX7)+S7-BX7+BF7-CB7</f>
        <v>6125.5439999999999</v>
      </c>
      <c r="CL7" s="17">
        <f>AV7*(1-AY7)+S7-BX7+BF7-CB7</f>
        <v>7421.7</v>
      </c>
      <c r="CM7" s="17">
        <f>AZ7+BF7-CB7</f>
        <v>5862</v>
      </c>
      <c r="CN7" s="17">
        <f>BA7+BF7-CB7</f>
        <v>5986</v>
      </c>
      <c r="CO7" s="17">
        <f>BB7+BF7-CB7</f>
        <v>6943</v>
      </c>
      <c r="CP7" s="17">
        <f>AZ7-BC7*(1-AW7)+BF7-CB7</f>
        <v>5818.6710000000003</v>
      </c>
      <c r="CQ7" s="17">
        <f>BA7-BD7*(1-AX7)+BF7-CB7</f>
        <v>5949.1743999999999</v>
      </c>
      <c r="CR7" s="17">
        <f>BB7-BE7*(1-AY7)+BF7-CB7</f>
        <v>6910.5</v>
      </c>
      <c r="CS7" s="17">
        <f>D7*E7</f>
        <v>123550.19039999999</v>
      </c>
      <c r="CT7" s="17" t="e">
        <f ca="1">IF(G7="",(E7*D7+IF($CW$1="",CU7,$CW$1)*H7)/(D7+H7),0)</f>
        <v>#NAME?</v>
      </c>
      <c r="CU7" s="17" t="e">
        <f ca="1">IF(G7="",((EXP((0-L7)*J7))*CT7*(CND_FUNC(((LN(CT7/I7)+((C7-L7)+((K7^2)/2))*J7)/((((K7^2))^(0.5))*(J7^0.5)))))-I7*(EXP((0-C7)*J7))*(CND_FUNC((((LN(CT7/I7)+((C7-L7)+((K7^2)/2))*J7)/((((K7^2))^(0.5))*(J7^0.5)))-(((K7^2)^0.5)*(J7^(0.5))))))),G7)</f>
        <v>#NAME?</v>
      </c>
      <c r="CV7" s="20" t="e">
        <f ca="1">CU7*H7</f>
        <v>#NAME?</v>
      </c>
      <c r="CW7" s="17">
        <f>IF(AB7="",(AC7/2)*AA7*(1-(1+R7/2)^(-AD7*2))/(R7/2)+AA7/(1+R7)^AD7,AB7)</f>
        <v>0</v>
      </c>
      <c r="CX7" s="17">
        <f>Z7-CW7</f>
        <v>0</v>
      </c>
      <c r="CY7" s="17">
        <f>IF(M7&gt;0,IF(AG7=0,0,(M7*AF7)/AG7),0)</f>
        <v>0</v>
      </c>
      <c r="CZ7" s="17">
        <f>AH7-CY7</f>
        <v>0</v>
      </c>
      <c r="DA7" s="17">
        <f>CX7+CZ7</f>
        <v>0</v>
      </c>
      <c r="DB7" s="17" t="e">
        <f ca="1">SUM(CS7,CV7,DA7)</f>
        <v>#NAME?</v>
      </c>
      <c r="DC7" s="17">
        <f>Q7*(1-(1+R7)^(-P7))/R7+O7/(1+R7)^P7</f>
        <v>13979.678940008973</v>
      </c>
      <c r="DD7" s="17">
        <f>BS7</f>
        <v>0</v>
      </c>
      <c r="DE7" s="17">
        <f>DC7+DD7</f>
        <v>13979.678940008973</v>
      </c>
      <c r="DF7" s="18">
        <f>N7+CY7</f>
        <v>0</v>
      </c>
      <c r="DG7" s="17">
        <f>CA7+F7</f>
        <v>45907</v>
      </c>
      <c r="DH7" s="17">
        <f>BS7+O7+AA7</f>
        <v>15003</v>
      </c>
      <c r="DI7" s="17">
        <f>M7+AE7</f>
        <v>0</v>
      </c>
      <c r="DJ7" s="17">
        <f>AI7</f>
        <v>3932</v>
      </c>
      <c r="DK7" s="17">
        <f>DG7+DH7+DI7-DJ7</f>
        <v>56978</v>
      </c>
      <c r="DL7" s="17" t="e">
        <f ca="1">DB7</f>
        <v>#NAME?</v>
      </c>
      <c r="DM7" s="17">
        <f t="shared" si="5"/>
        <v>13979.678940008973</v>
      </c>
      <c r="DN7" s="17">
        <f t="shared" si="5"/>
        <v>0</v>
      </c>
      <c r="DO7" s="17">
        <f>AI7</f>
        <v>3932</v>
      </c>
      <c r="DP7" s="17">
        <f>AJ7*AK7</f>
        <v>0</v>
      </c>
      <c r="DQ7" s="17">
        <f>AL7*AM7</f>
        <v>5927.5</v>
      </c>
      <c r="DR7" s="17" t="e">
        <f ca="1">DL7+DM7+DN7-DO7-DP7+DQ7</f>
        <v>#NAME?</v>
      </c>
      <c r="DS7" s="17" t="e">
        <f ca="1">DL7+DM7+DN7+DQ7</f>
        <v>#NAME?</v>
      </c>
      <c r="DT7" s="19" t="e">
        <f ca="1">DR7/AN7</f>
        <v>#NAME?</v>
      </c>
      <c r="DU7" s="19" t="e">
        <f ca="1">DR7/AO7</f>
        <v>#NAME?</v>
      </c>
      <c r="DV7" s="19" t="e">
        <f ca="1">DR7/AP7</f>
        <v>#NAME?</v>
      </c>
      <c r="DW7" s="19" t="e">
        <f ca="1">DR7/CD7</f>
        <v>#NAME?</v>
      </c>
      <c r="DX7" s="19" t="e">
        <f ca="1">DR7/CE7</f>
        <v>#NAME?</v>
      </c>
      <c r="DY7" s="19" t="e">
        <f ca="1">DR7/CF7</f>
        <v>#NAME?</v>
      </c>
      <c r="DZ7" s="19" t="e">
        <f ca="1">DR7/CG7</f>
        <v>#NAME?</v>
      </c>
      <c r="EA7" s="19" t="e">
        <f ca="1">DR7/CH7</f>
        <v>#NAME?</v>
      </c>
      <c r="EB7" s="19" t="e">
        <f ca="1">DR7/CI7</f>
        <v>#NAME?</v>
      </c>
      <c r="EC7" s="19" t="e">
        <f ca="1">DR7/CJ7</f>
        <v>#NAME?</v>
      </c>
      <c r="ED7" s="19" t="e">
        <f ca="1">DR7/CK7</f>
        <v>#NAME?</v>
      </c>
      <c r="EE7" s="19" t="e">
        <f ca="1">DR7/CL7</f>
        <v>#NAME?</v>
      </c>
      <c r="EF7" s="19" t="e">
        <f ca="1">DB7/CM7</f>
        <v>#NAME?</v>
      </c>
      <c r="EG7" s="19" t="e">
        <f ca="1">DB7/CN7</f>
        <v>#NAME?</v>
      </c>
      <c r="EH7" s="19" t="e">
        <f ca="1">DB7/CO7</f>
        <v>#NAME?</v>
      </c>
      <c r="EI7" s="19">
        <f>(CS7-DO7)/CP7</f>
        <v>20.557648026499521</v>
      </c>
      <c r="EJ7" s="19">
        <f>(CS7-DO7)/CQ7</f>
        <v>20.106687475828579</v>
      </c>
      <c r="EK7" s="19">
        <f>(CS7-DO7)/CR7</f>
        <v>17.309628883582953</v>
      </c>
      <c r="EL7" s="19" t="e">
        <f ca="1">DR7/DK7</f>
        <v>#NAME?</v>
      </c>
      <c r="EM7" s="19">
        <f>CS7/DG7</f>
        <v>2.6913148408739405</v>
      </c>
      <c r="EN7" s="19">
        <f>(CS7-DO7)/(DG7-DJ7)</f>
        <v>2.8497484312090529</v>
      </c>
    </row>
    <row r="8" spans="1:144" ht="15" customHeight="1" x14ac:dyDescent="0.2">
      <c r="BS8" s="46"/>
      <c r="CV8" s="47"/>
      <c r="CW8" s="47"/>
    </row>
    <row r="9" spans="1:144" ht="15" customHeight="1" x14ac:dyDescent="0.2">
      <c r="CU9" s="49"/>
    </row>
    <row r="13" spans="1:144" ht="15" customHeight="1" x14ac:dyDescent="0.2">
      <c r="CD13" s="24"/>
      <c r="CE13" s="24"/>
      <c r="CF13" s="24"/>
      <c r="CG13" s="24"/>
      <c r="CH13" s="24"/>
      <c r="CI13" s="24"/>
      <c r="CJ13" s="24"/>
      <c r="CK13" s="24"/>
      <c r="CL13" s="24"/>
      <c r="CM13" s="24"/>
      <c r="CN13" s="24"/>
      <c r="CO13" s="24"/>
      <c r="CP13" s="24"/>
      <c r="CQ13" s="24"/>
      <c r="CR13" s="24"/>
      <c r="CS13" s="24"/>
      <c r="CT13" s="24"/>
      <c r="CU13" s="24"/>
      <c r="CV13" s="24"/>
      <c r="CW13" s="24"/>
      <c r="CX13" s="24"/>
      <c r="CY13" s="24"/>
      <c r="CZ13" s="24"/>
      <c r="DA13" s="24"/>
      <c r="DB13" s="24"/>
      <c r="DC13" s="24"/>
      <c r="DD13" s="24"/>
      <c r="DE13" s="24"/>
      <c r="DF13" s="24"/>
      <c r="DG13" s="24"/>
      <c r="DH13" s="24"/>
      <c r="DI13" s="24"/>
      <c r="DJ13" s="24"/>
      <c r="DK13" s="24"/>
      <c r="DL13" s="24"/>
      <c r="DM13" s="24"/>
      <c r="DN13" s="24"/>
      <c r="DO13" s="24"/>
      <c r="DP13" s="24"/>
      <c r="DQ13" s="24"/>
      <c r="DR13" s="24"/>
      <c r="DS13" s="24"/>
      <c r="DT13" s="24"/>
      <c r="DU13" s="24"/>
      <c r="DV13" s="24"/>
      <c r="DW13" s="24"/>
      <c r="DX13" s="24"/>
      <c r="DY13" s="24"/>
      <c r="DZ13" s="24"/>
      <c r="EA13" s="24"/>
      <c r="EB13" s="24"/>
      <c r="EC13" s="24"/>
      <c r="ED13" s="24"/>
      <c r="EE13" s="24"/>
      <c r="EF13" s="24"/>
      <c r="EG13" s="24"/>
      <c r="EH13" s="24"/>
      <c r="EI13" s="24"/>
      <c r="EJ13" s="24"/>
      <c r="EK13" s="24"/>
      <c r="EL13" s="24"/>
      <c r="EM13" s="24"/>
      <c r="EN13" s="24"/>
    </row>
    <row r="14" spans="1:144" ht="15" customHeight="1" x14ac:dyDescent="0.2">
      <c r="CD14" s="24"/>
      <c r="CE14" s="24"/>
      <c r="CF14" s="24"/>
      <c r="CG14" s="24"/>
      <c r="CH14" s="24"/>
      <c r="CI14" s="24"/>
      <c r="CJ14" s="24"/>
      <c r="CK14" s="24"/>
      <c r="CL14" s="24"/>
      <c r="CM14" s="24"/>
      <c r="CN14" s="24"/>
      <c r="CO14" s="24"/>
      <c r="CP14" s="24"/>
      <c r="CQ14" s="24"/>
      <c r="CR14" s="24"/>
      <c r="CS14" s="24"/>
      <c r="CT14" s="24"/>
      <c r="CU14" s="24"/>
      <c r="CV14" s="24"/>
      <c r="CW14" s="24"/>
      <c r="CX14" s="24"/>
      <c r="CY14" s="24"/>
      <c r="CZ14" s="24"/>
      <c r="DA14" s="24"/>
      <c r="DB14" s="24"/>
      <c r="DC14" s="24"/>
      <c r="DD14" s="24"/>
      <c r="DE14" s="24"/>
      <c r="DF14" s="24"/>
      <c r="DG14" s="24"/>
      <c r="DH14" s="24"/>
      <c r="DI14" s="24"/>
      <c r="DJ14" s="24"/>
      <c r="DK14" s="24"/>
      <c r="DL14" s="24"/>
      <c r="DM14" s="24"/>
      <c r="DN14" s="24"/>
      <c r="DO14" s="24"/>
      <c r="DP14" s="24"/>
      <c r="DQ14" s="24"/>
      <c r="DR14" s="24"/>
      <c r="DS14" s="24"/>
      <c r="DT14" s="24"/>
      <c r="DU14" s="24"/>
      <c r="DV14" s="24"/>
      <c r="DW14" s="24"/>
      <c r="DX14" s="24"/>
      <c r="DY14" s="24"/>
      <c r="DZ14" s="24"/>
      <c r="EA14" s="24"/>
      <c r="EB14" s="24"/>
      <c r="EC14" s="24"/>
      <c r="ED14" s="24"/>
      <c r="EE14" s="24"/>
      <c r="EF14" s="24"/>
      <c r="EG14" s="24"/>
      <c r="EH14" s="24"/>
      <c r="EI14" s="24"/>
      <c r="EJ14" s="24"/>
      <c r="EK14" s="24"/>
      <c r="EL14" s="24"/>
      <c r="EM14" s="24"/>
      <c r="EN14" s="24"/>
    </row>
    <row r="15" spans="1:144" ht="15" customHeight="1" x14ac:dyDescent="0.2">
      <c r="CD15" s="24"/>
      <c r="CE15" s="24"/>
      <c r="CF15" s="24"/>
      <c r="CG15" s="24"/>
      <c r="CH15" s="24"/>
      <c r="CI15" s="24"/>
      <c r="CJ15" s="24"/>
      <c r="CK15" s="24"/>
      <c r="CL15" s="24"/>
      <c r="CM15" s="24"/>
      <c r="CN15" s="24"/>
      <c r="CO15" s="24"/>
      <c r="CP15" s="24"/>
      <c r="CQ15" s="24"/>
      <c r="CR15" s="24"/>
      <c r="CS15" s="24"/>
      <c r="CT15" s="24"/>
      <c r="CU15" s="24"/>
      <c r="CV15" s="24"/>
      <c r="CW15" s="24"/>
      <c r="CX15" s="24"/>
      <c r="CY15" s="24"/>
      <c r="CZ15" s="24"/>
      <c r="DA15" s="24"/>
      <c r="DB15" s="24"/>
      <c r="DC15" s="24"/>
      <c r="DD15" s="24"/>
      <c r="DE15" s="24"/>
      <c r="DF15" s="24"/>
      <c r="DG15" s="24"/>
      <c r="DH15" s="24"/>
      <c r="DI15" s="24"/>
      <c r="DJ15" s="24"/>
      <c r="DK15" s="24"/>
      <c r="DL15" s="24"/>
      <c r="DM15" s="24"/>
      <c r="DN15" s="24"/>
      <c r="DO15" s="24"/>
      <c r="DP15" s="24"/>
      <c r="DQ15" s="24"/>
      <c r="DR15" s="24"/>
      <c r="DS15" s="24"/>
      <c r="DT15" s="24"/>
      <c r="DU15" s="24"/>
      <c r="DV15" s="24"/>
      <c r="DW15" s="24"/>
      <c r="DX15" s="24"/>
      <c r="DY15" s="24"/>
      <c r="DZ15" s="24"/>
      <c r="EA15" s="24"/>
      <c r="EB15" s="24"/>
      <c r="EC15" s="24"/>
      <c r="ED15" s="24"/>
      <c r="EE15" s="24"/>
      <c r="EF15" s="24"/>
      <c r="EG15" s="24"/>
      <c r="EH15" s="24"/>
      <c r="EI15" s="24"/>
      <c r="EJ15" s="24"/>
      <c r="EK15" s="24"/>
      <c r="EL15" s="24"/>
      <c r="EM15" s="24"/>
      <c r="EN15" s="24"/>
    </row>
  </sheetData>
  <pageMargins left="0.7" right="0.7" top="0.75" bottom="0.75" header="0.3" footer="0.3"/>
  <pageSetup paperSize="132" orientation="portrait" horizontalDpi="300" verticalDpi="300"/>
  <legacy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1:J145"/>
  <sheetViews>
    <sheetView topLeftCell="A2" zoomScale="129" workbookViewId="0">
      <selection activeCell="E32" sqref="E32"/>
    </sheetView>
  </sheetViews>
  <sheetFormatPr baseColWidth="10" defaultColWidth="8.83203125" defaultRowHeight="13" x14ac:dyDescent="0.2"/>
  <sheetData>
    <row r="1" spans="2:10" x14ac:dyDescent="0.2">
      <c r="F1">
        <v>0</v>
      </c>
    </row>
    <row r="2" spans="2:10" x14ac:dyDescent="0.2">
      <c r="B2">
        <v>10</v>
      </c>
      <c r="C2" t="str">
        <f ca="1">OFFSET($J$1,$B2,0)</f>
        <v>HEADINGS_STR=HEADINGS_STR &amp; "Name of company,Date of analysis,Risk free rate (long term),Number of shares (primary),Market price/share,Book value of common equity,Option Converter: Value Per Option,Option Converter: Number of options outstanding,Option Converter: Average strike price,Option Converter: Average maturity,"</v>
      </c>
      <c r="D2" t="s">
        <v>137</v>
      </c>
      <c r="F2">
        <f>(IF(F1+1&gt;10,1,F1+1))</f>
        <v>1</v>
      </c>
      <c r="G2" t="s">
        <v>41</v>
      </c>
      <c r="H2" t="str">
        <f>TRIM(G2)</f>
        <v>Name of company</v>
      </c>
      <c r="I2" t="str">
        <f t="shared" ref="I2:I14" si="0">IF(F2=1,H2,I1&amp;","&amp;H2)</f>
        <v>Name of company</v>
      </c>
      <c r="J2" t="str">
        <f t="shared" ref="J2:J10" si="1">IF(F2=10,"HEADINGS_STR=HEADINGS_STR"&amp;" &amp; "&amp;""""&amp;I2&amp;","&amp;"""","")</f>
        <v/>
      </c>
    </row>
    <row r="3" spans="2:10" x14ac:dyDescent="0.2">
      <c r="B3">
        <f>B2+10</f>
        <v>20</v>
      </c>
      <c r="C3" t="str">
        <f t="shared" ref="C3:C16" ca="1" si="2">OFFSET($J$1,$B3,0)</f>
        <v>HEADINGS_STR=HEADINGS_STR &amp; "Option Converter: Standard deviation on stock price,Option Converter: Dividend yield on stock (if any),Book value of preferred stock,Market value of preferred stock,Book value of interest bearing debt,Average maturity of debt,Interest expense on debt,Pre-tax cost of debt for company,Lease expense - Most recent year,Lease commitment - year 1,"</v>
      </c>
      <c r="D3" t="s">
        <v>137</v>
      </c>
      <c r="F3">
        <f t="shared" ref="F3:F66" si="3">(IF(F2+1&gt;10,1,F2+1))</f>
        <v>2</v>
      </c>
      <c r="G3" t="s">
        <v>42</v>
      </c>
      <c r="H3" t="str">
        <f t="shared" ref="H3:H66" si="4">TRIM(G3)</f>
        <v>Date of analysis</v>
      </c>
      <c r="I3" t="str">
        <f t="shared" si="0"/>
        <v>Name of company,Date of analysis</v>
      </c>
      <c r="J3" t="str">
        <f t="shared" si="1"/>
        <v/>
      </c>
    </row>
    <row r="4" spans="2:10" x14ac:dyDescent="0.2">
      <c r="B4">
        <f t="shared" ref="B4:B16" si="5">B3+10</f>
        <v>30</v>
      </c>
      <c r="C4" t="str">
        <f t="shared" ca="1" si="2"/>
        <v>HEADINGS_STR=HEADINGS_STR &amp; "Lease commitment - year 2,Lease commitment - year 3,Lease commitment - year 4,Lease commitment - year 5,Lease commitment - Beyond last year,Market value of convertible debt,Book value of convertible debt,Convertible breakdown: Straight Debt component,Coupon rate on convertible debt,Maturity of convertible debt,"</v>
      </c>
      <c r="D4" t="s">
        <v>137</v>
      </c>
      <c r="F4">
        <f t="shared" si="3"/>
        <v>3</v>
      </c>
      <c r="G4" t="s">
        <v>43</v>
      </c>
      <c r="H4" t="str">
        <f t="shared" si="4"/>
        <v>Risk free rate (long term)</v>
      </c>
      <c r="I4" t="str">
        <f t="shared" si="0"/>
        <v>Name of company,Date of analysis,Risk free rate (long term)</v>
      </c>
      <c r="J4" t="str">
        <f t="shared" si="1"/>
        <v/>
      </c>
    </row>
    <row r="5" spans="2:10" x14ac:dyDescent="0.2">
      <c r="B5">
        <f t="shared" si="5"/>
        <v>40</v>
      </c>
      <c r="C5" t="str">
        <f t="shared" ca="1" si="2"/>
        <v>HEADINGS_STR=HEADINGS_STR &amp; "Book value of convertible preferred,Preferred dividend yield on convertible,Preferred dividend yield on straight preferred,Decomposition of Preferred Stock,Cash &amp; Marketable Securities,Value of cross holdings in other companies,Price to book ratio to convert value of cross holdings in other companies to market value,Minority Interest,Price to book ratio to convert value of minority interest to market value,Revenues: Last fiscal year,"</v>
      </c>
      <c r="D5" t="s">
        <v>138</v>
      </c>
      <c r="F5">
        <f t="shared" si="3"/>
        <v>4</v>
      </c>
      <c r="G5" t="s">
        <v>44</v>
      </c>
      <c r="H5" t="str">
        <f t="shared" si="4"/>
        <v>Number of shares (primary)</v>
      </c>
      <c r="I5" t="str">
        <f t="shared" si="0"/>
        <v>Name of company,Date of analysis,Risk free rate (long term),Number of shares (primary)</v>
      </c>
      <c r="J5" t="str">
        <f t="shared" si="1"/>
        <v/>
      </c>
    </row>
    <row r="6" spans="2:10" x14ac:dyDescent="0.2">
      <c r="B6">
        <f t="shared" si="5"/>
        <v>50</v>
      </c>
      <c r="C6" t="str">
        <f t="shared" ca="1" si="2"/>
        <v>HEADINGS_STR=HEADINGS_STR &amp; "Revenues: Last 12 months,Revenues: Forward,EBITDA: Last fiscal year,EBITDA: Last 12 months,EBITDA: Forward,EBIT: Last fiscal year,EBIT: Last 12 months,EBIT: Forward,Effective Tax Rate: Last fiscal year,Effective Tax Rate: Last 12 months,"</v>
      </c>
      <c r="D6" t="s">
        <v>137</v>
      </c>
      <c r="F6">
        <f t="shared" si="3"/>
        <v>5</v>
      </c>
      <c r="G6" t="s">
        <v>0</v>
      </c>
      <c r="H6" t="str">
        <f t="shared" si="4"/>
        <v>Market price/share</v>
      </c>
      <c r="I6" t="str">
        <f t="shared" si="0"/>
        <v>Name of company,Date of analysis,Risk free rate (long term),Number of shares (primary),Market price/share</v>
      </c>
      <c r="J6" t="str">
        <f t="shared" si="1"/>
        <v/>
      </c>
    </row>
    <row r="7" spans="2:10" x14ac:dyDescent="0.2">
      <c r="B7">
        <f t="shared" si="5"/>
        <v>60</v>
      </c>
      <c r="C7" t="str">
        <f t="shared" ca="1" si="2"/>
        <v>HEADINGS_STR=HEADINGS_STR &amp; "Effective Tax Rate: Forward,Net Income: Last fiscal year,Net Income: Last 12 months,Net Income: Forward,Interest Income from Cash: Last fiscal year,Interest Income from Cash: Last 12 months,Interest Income from Cash: Forward,R&amp;D expense: year 0,R&amp;D expense: year -1,R&amp;D expense: year -2,"</v>
      </c>
      <c r="D7" t="s">
        <v>137</v>
      </c>
      <c r="F7">
        <f t="shared" si="3"/>
        <v>6</v>
      </c>
      <c r="G7" t="s">
        <v>45</v>
      </c>
      <c r="H7" t="str">
        <f t="shared" si="4"/>
        <v>Book value of common equity</v>
      </c>
      <c r="I7" t="str">
        <f t="shared" si="0"/>
        <v>Name of company,Date of analysis,Risk free rate (long term),Number of shares (primary),Market price/share,Book value of common equity</v>
      </c>
      <c r="J7" t="str">
        <f t="shared" si="1"/>
        <v/>
      </c>
    </row>
    <row r="8" spans="2:10" x14ac:dyDescent="0.2">
      <c r="B8">
        <f t="shared" si="5"/>
        <v>70</v>
      </c>
      <c r="C8" t="str">
        <f t="shared" ca="1" si="2"/>
        <v>HEADINGS_STR=HEADINGS_STR &amp; "R&amp;D expense: year -3,R&amp;D expense: year -4,R&amp;D expense: year -5,R&amp;D expense: year -6,R&amp;D expense: year -7,R&amp;D expense: year -8,R&amp;D expense: year -9,R&amp;D expense: year -10,Operating leases number of years,Number of years embedded in leases,"</v>
      </c>
      <c r="D8" t="s">
        <v>137</v>
      </c>
      <c r="F8">
        <f t="shared" si="3"/>
        <v>7</v>
      </c>
      <c r="G8" t="s">
        <v>121</v>
      </c>
      <c r="H8" t="str">
        <f t="shared" si="4"/>
        <v>Option Converter: Value Per Option</v>
      </c>
      <c r="I8" t="str">
        <f t="shared" si="0"/>
        <v>Name of company,Date of analysis,Risk free rate (long term),Number of shares (primary),Market price/share,Book value of common equity,Option Converter: Value Per Option</v>
      </c>
      <c r="J8" t="str">
        <f t="shared" si="1"/>
        <v/>
      </c>
    </row>
    <row r="9" spans="2:10" x14ac:dyDescent="0.2">
      <c r="B9">
        <f t="shared" si="5"/>
        <v>80</v>
      </c>
      <c r="C9" t="str">
        <f t="shared" ca="1" si="2"/>
        <v>HEADINGS_STR=HEADINGS_STR &amp; "Debt Value of leases,Operating Income with Operating leases reclassified as debt,Debt with Operating leases reclassified as debt,Full Operating lease adjustment: Reported Operating income,Full Operating lease adjustment: + Current year's operating lease expense,Full Operating lease adjustment: - Depreciation on leased asset,Full Operating lease adjustment: Adjusted Operating Income,R&amp; D expenses: Periods to amortize R&amp;D expenses,R&amp; D expenses: Value of Research Asset,R&amp; D expenses: Amortization of asset for current year,"</v>
      </c>
      <c r="D9" t="s">
        <v>137</v>
      </c>
      <c r="F9">
        <f t="shared" si="3"/>
        <v>8</v>
      </c>
      <c r="G9" t="s">
        <v>122</v>
      </c>
      <c r="H9" t="str">
        <f t="shared" si="4"/>
        <v>Option Converter: Number of options outstanding</v>
      </c>
      <c r="I9" t="str">
        <f t="shared" si="0"/>
        <v>Name of company,Date of analysis,Risk free rate (long term),Number of shares (primary),Market price/share,Book value of common equity,Option Converter: Value Per Option,Option Converter: Number of options outstanding</v>
      </c>
      <c r="J9" t="str">
        <f t="shared" si="1"/>
        <v/>
      </c>
    </row>
    <row r="10" spans="2:10" x14ac:dyDescent="0.2">
      <c r="B10">
        <f t="shared" si="5"/>
        <v>90</v>
      </c>
      <c r="C10" t="str">
        <f t="shared" ca="1" si="2"/>
        <v>HEADINGS_STR=HEADINGS_STR &amp; "R&amp; D expenses: Adjustment to Operating Income,EBITDA: Last fiscal year,EBITDA: Last 12 months,EBITDA: Forward,EBIT: Last fiscal year,EBIT: Last 12 months,EBIT: Forward,After-tax EBIT: Last fiscal year,After-tax EBIT: Last 12 months,After-tax EBIT: Forward,"</v>
      </c>
      <c r="D10" t="s">
        <v>137</v>
      </c>
      <c r="F10">
        <f t="shared" si="3"/>
        <v>9</v>
      </c>
      <c r="G10" t="s">
        <v>123</v>
      </c>
      <c r="H10" t="str">
        <f t="shared" si="4"/>
        <v>Option Converter: Average strike price</v>
      </c>
      <c r="I10" t="str">
        <f t="shared" si="0"/>
        <v>Name of company,Date of analysis,Risk free rate (long term),Number of shares (primary),Market price/share,Book value of common equity,Option Converter: Value Per Option,Option Converter: Number of options outstanding,Option Converter: Average strike price</v>
      </c>
      <c r="J10" t="str">
        <f t="shared" si="1"/>
        <v/>
      </c>
    </row>
    <row r="11" spans="2:10" x14ac:dyDescent="0.2">
      <c r="B11">
        <f t="shared" si="5"/>
        <v>100</v>
      </c>
      <c r="C11" t="str">
        <f t="shared" ca="1" si="2"/>
        <v>HEADINGS_STR=HEADINGS_STR &amp; "Net Income: Last fiscal year,Net Income: Last 12 months,Net Income: Forward,Non-cash Net Income: Last fiscal year,Non-cash Net Income: Last 12 months,Non-cash Net Income: Forward,Market Capitalization,Option Converter: Adjusted Stock Price,Option Converter: Value per option,Option Converter: Value of employee options,"</v>
      </c>
      <c r="D11" t="s">
        <v>137</v>
      </c>
      <c r="F11">
        <f t="shared" si="3"/>
        <v>10</v>
      </c>
      <c r="G11" t="s">
        <v>124</v>
      </c>
      <c r="H11" t="str">
        <f t="shared" si="4"/>
        <v>Option Converter: Average maturity</v>
      </c>
      <c r="I11" t="str">
        <f t="shared" si="0"/>
        <v>Name of company,Date of analysis,Risk free rate (long term),Number of shares (primary),Market price/share,Book value of common equity,Option Converter: Value Per Option,Option Converter: Number of options outstanding,Option Converter: Average strike price,Option Converter: Average maturity</v>
      </c>
      <c r="J11" t="str">
        <f>IF(F11=10,"HEADINGS_STR=HEADINGS_STR"&amp;" &amp; "&amp;""""&amp;I11&amp;","&amp;"""","")</f>
        <v>HEADINGS_STR=HEADINGS_STR &amp; "Name of company,Date of analysis,Risk free rate (long term),Number of shares (primary),Market price/share,Book value of common equity,Option Converter: Value Per Option,Option Converter: Number of options outstanding,Option Converter: Average strike price,Option Converter: Average maturity,"</v>
      </c>
    </row>
    <row r="12" spans="2:10" x14ac:dyDescent="0.2">
      <c r="B12">
        <f t="shared" si="5"/>
        <v>110</v>
      </c>
      <c r="C12" t="str">
        <f t="shared" ca="1" si="2"/>
        <v>HEADINGS_STR=HEADINGS_STR &amp; "Convertible breakdown: Straight Debt component,Convertible breakdown: Equity Component,Convertible breakdown: Preferred Stock component,Convertible breakdown: Equity Component,Convertible breakdown: Value of Conversion options,Market Value of all equity,Market value of interest bearing debt,Debt value of leases (if any),Market Value of all debt,Market value of preferred stock,"</v>
      </c>
      <c r="D12" t="s">
        <v>137</v>
      </c>
      <c r="F12">
        <f t="shared" si="3"/>
        <v>1</v>
      </c>
      <c r="G12" t="s">
        <v>125</v>
      </c>
      <c r="H12" t="str">
        <f t="shared" si="4"/>
        <v>Option Converter: Standard deviation on stock price</v>
      </c>
      <c r="I12" t="str">
        <f t="shared" si="0"/>
        <v>Option Converter: Standard deviation on stock price</v>
      </c>
      <c r="J12" t="str">
        <f t="shared" ref="J12:J75" si="6">IF(F12=10,"HEADINGS_STR=HEADINGS_STR"&amp;" &amp; "&amp;""""&amp;I12&amp;","&amp;"""","")</f>
        <v/>
      </c>
    </row>
    <row r="13" spans="2:10" x14ac:dyDescent="0.2">
      <c r="B13">
        <f t="shared" si="5"/>
        <v>120</v>
      </c>
      <c r="C13" t="str">
        <f t="shared" ca="1" si="2"/>
        <v>HEADINGS_STR=HEADINGS_STR &amp; "Book Value: Equity,Book Value: + Debt,Book Value: + Preferred,Book Value: - Cash,Book Value: Invested Capital,Firm Value: Market Value of Equity,Firm Value: + Market Value of Debt,Firm Value: + Market Value of Preferred,Firm Value: - Cash,Firm Value: - Market value of minority holdings,"</v>
      </c>
      <c r="D13" t="s">
        <v>137</v>
      </c>
      <c r="F13">
        <f t="shared" si="3"/>
        <v>2</v>
      </c>
      <c r="G13" t="s">
        <v>126</v>
      </c>
      <c r="H13" t="str">
        <f t="shared" si="4"/>
        <v>Option Converter: Dividend yield on stock (if any)</v>
      </c>
      <c r="I13" t="str">
        <f t="shared" si="0"/>
        <v>Option Converter: Standard deviation on stock price,Option Converter: Dividend yield on stock (if any)</v>
      </c>
      <c r="J13" t="str">
        <f t="shared" si="6"/>
        <v/>
      </c>
    </row>
    <row r="14" spans="2:10" x14ac:dyDescent="0.2">
      <c r="B14">
        <f t="shared" si="5"/>
        <v>130</v>
      </c>
      <c r="C14" t="str">
        <f t="shared" ca="1" si="2"/>
        <v>HEADINGS_STR=HEADINGS_STR &amp; "Firm Value: + Market value of Minority Interest,Firm Value: Enterprise Value,Firm Value: Firm Value (with minority interest),EV/Sales: Current,EV/Sales: Trailing,EV/Sales: Forward,EV/EBITDA: Current,EV/EBITDA: Trailing,EV/EBITDA: Forward,EV/EBIT: Current,"</v>
      </c>
      <c r="D14" t="s">
        <v>137</v>
      </c>
      <c r="F14">
        <f t="shared" si="3"/>
        <v>3</v>
      </c>
      <c r="G14" t="s">
        <v>46</v>
      </c>
      <c r="H14" t="str">
        <f t="shared" si="4"/>
        <v>Book value of preferred stock</v>
      </c>
      <c r="I14" t="str">
        <f t="shared" si="0"/>
        <v>Option Converter: Standard deviation on stock price,Option Converter: Dividend yield on stock (if any),Book value of preferred stock</v>
      </c>
      <c r="J14" t="str">
        <f t="shared" si="6"/>
        <v/>
      </c>
    </row>
    <row r="15" spans="2:10" x14ac:dyDescent="0.2">
      <c r="B15">
        <f t="shared" si="5"/>
        <v>140</v>
      </c>
      <c r="C15" t="str">
        <f t="shared" ca="1" si="2"/>
        <v>HEADINGS_STR=HEADINGS_STR &amp; "EV/EBIT: Trailing,EV/EBIT: Forward,EV/ After-tax EBIT: Current,EV/ After-tax EBIT: Trailing,EV/ After-tax EBIT: Forward,PE: Current,PE: Trailing,PE: Forward,Non-cash PE: Current,Non-cash PE: Trailing,"</v>
      </c>
      <c r="D15" t="s">
        <v>137</v>
      </c>
      <c r="F15">
        <f t="shared" si="3"/>
        <v>4</v>
      </c>
      <c r="G15" t="s">
        <v>11</v>
      </c>
      <c r="H15" t="str">
        <f t="shared" si="4"/>
        <v>Market value of preferred stock</v>
      </c>
      <c r="I15" t="str">
        <f t="shared" ref="I15:I78" si="7">IF(F15=1,H15,I14&amp;","&amp;H15)</f>
        <v>Option Converter: Standard deviation on stock price,Option Converter: Dividend yield on stock (if any),Book value of preferred stock,Market value of preferred stock</v>
      </c>
      <c r="J15" t="str">
        <f t="shared" si="6"/>
        <v/>
      </c>
    </row>
    <row r="16" spans="2:10" x14ac:dyDescent="0.2">
      <c r="B16">
        <f t="shared" si="5"/>
        <v>150</v>
      </c>
      <c r="C16">
        <f t="shared" ca="1" si="2"/>
        <v>0</v>
      </c>
      <c r="F16">
        <f t="shared" si="3"/>
        <v>5</v>
      </c>
      <c r="G16" t="s">
        <v>47</v>
      </c>
      <c r="H16" t="str">
        <f t="shared" si="4"/>
        <v>Book value of interest bearing debt</v>
      </c>
      <c r="I16" t="str">
        <f t="shared" si="7"/>
        <v>Option Converter: Standard deviation on stock price,Option Converter: Dividend yield on stock (if any),Book value of preferred stock,Market value of preferred stock,Book value of interest bearing debt</v>
      </c>
      <c r="J16" t="str">
        <f t="shared" si="6"/>
        <v/>
      </c>
    </row>
    <row r="17" spans="6:10" x14ac:dyDescent="0.2">
      <c r="F17">
        <f t="shared" si="3"/>
        <v>6</v>
      </c>
      <c r="G17" t="s">
        <v>48</v>
      </c>
      <c r="H17" t="str">
        <f t="shared" si="4"/>
        <v>Average maturity of debt</v>
      </c>
      <c r="I17" t="str">
        <f t="shared" si="7"/>
        <v>Option Converter: Standard deviation on stock price,Option Converter: Dividend yield on stock (if any),Book value of preferred stock,Market value of preferred stock,Book value of interest bearing debt,Average maturity of debt</v>
      </c>
      <c r="J17" t="str">
        <f t="shared" si="6"/>
        <v/>
      </c>
    </row>
    <row r="18" spans="6:10" x14ac:dyDescent="0.2">
      <c r="F18">
        <f t="shared" si="3"/>
        <v>7</v>
      </c>
      <c r="G18" t="s">
        <v>49</v>
      </c>
      <c r="H18" t="str">
        <f t="shared" si="4"/>
        <v>Interest expense on debt</v>
      </c>
      <c r="I18" t="str">
        <f t="shared" si="7"/>
        <v>Option Converter: Standard deviation on stock price,Option Converter: Dividend yield on stock (if any),Book value of preferred stock,Market value of preferred stock,Book value of interest bearing debt,Average maturity of debt,Interest expense on debt</v>
      </c>
      <c r="J18" t="str">
        <f t="shared" si="6"/>
        <v/>
      </c>
    </row>
    <row r="19" spans="6:10" x14ac:dyDescent="0.2">
      <c r="F19">
        <f t="shared" si="3"/>
        <v>8</v>
      </c>
      <c r="G19" t="s">
        <v>50</v>
      </c>
      <c r="H19" t="str">
        <f t="shared" si="4"/>
        <v>Pre-tax cost of debt for company</v>
      </c>
      <c r="I19" t="str">
        <f t="shared" si="7"/>
        <v>Option Converter: Standard deviation on stock price,Option Converter: Dividend yield on stock (if any),Book value of preferred stock,Market value of preferred stock,Book value of interest bearing debt,Average maturity of debt,Interest expense on debt,Pre-tax cost of debt for company</v>
      </c>
      <c r="J19" t="str">
        <f t="shared" si="6"/>
        <v/>
      </c>
    </row>
    <row r="20" spans="6:10" x14ac:dyDescent="0.2">
      <c r="F20">
        <f t="shared" si="3"/>
        <v>9</v>
      </c>
      <c r="G20" t="s">
        <v>7</v>
      </c>
      <c r="H20" t="str">
        <f t="shared" si="4"/>
        <v>Lease expense - Most recent year</v>
      </c>
      <c r="I20" t="str">
        <f t="shared" si="7"/>
        <v>Option Converter: Standard deviation on stock price,Option Converter: Dividend yield on stock (if any),Book value of preferred stock,Market value of preferred stock,Book value of interest bearing debt,Average maturity of debt,Interest expense on debt,Pre-tax cost of debt for company,Lease expense - Most recent year</v>
      </c>
      <c r="J20" t="str">
        <f t="shared" si="6"/>
        <v/>
      </c>
    </row>
    <row r="21" spans="6:10" x14ac:dyDescent="0.2">
      <c r="F21">
        <f t="shared" si="3"/>
        <v>10</v>
      </c>
      <c r="G21" t="s">
        <v>2</v>
      </c>
      <c r="H21" t="str">
        <f t="shared" si="4"/>
        <v>Lease commitment - year 1</v>
      </c>
      <c r="I21" t="str">
        <f t="shared" si="7"/>
        <v>Option Converter: Standard deviation on stock price,Option Converter: Dividend yield on stock (if any),Book value of preferred stock,Market value of preferred stock,Book value of interest bearing debt,Average maturity of debt,Interest expense on debt,Pre-tax cost of debt for company,Lease expense - Most recent year,Lease commitment - year 1</v>
      </c>
      <c r="J21" t="str">
        <f t="shared" si="6"/>
        <v>HEADINGS_STR=HEADINGS_STR &amp; "Option Converter: Standard deviation on stock price,Option Converter: Dividend yield on stock (if any),Book value of preferred stock,Market value of preferred stock,Book value of interest bearing debt,Average maturity of debt,Interest expense on debt,Pre-tax cost of debt for company,Lease expense - Most recent year,Lease commitment - year 1,"</v>
      </c>
    </row>
    <row r="22" spans="6:10" x14ac:dyDescent="0.2">
      <c r="F22">
        <f t="shared" si="3"/>
        <v>1</v>
      </c>
      <c r="G22" t="s">
        <v>3</v>
      </c>
      <c r="H22" t="str">
        <f t="shared" si="4"/>
        <v>Lease commitment - year 2</v>
      </c>
      <c r="I22" t="str">
        <f t="shared" si="7"/>
        <v>Lease commitment - year 2</v>
      </c>
      <c r="J22" t="str">
        <f t="shared" si="6"/>
        <v/>
      </c>
    </row>
    <row r="23" spans="6:10" x14ac:dyDescent="0.2">
      <c r="F23">
        <f t="shared" si="3"/>
        <v>2</v>
      </c>
      <c r="G23" t="s">
        <v>4</v>
      </c>
      <c r="H23" t="str">
        <f t="shared" si="4"/>
        <v>Lease commitment - year 3</v>
      </c>
      <c r="I23" t="str">
        <f t="shared" si="7"/>
        <v>Lease commitment - year 2,Lease commitment - year 3</v>
      </c>
      <c r="J23" t="str">
        <f t="shared" si="6"/>
        <v/>
      </c>
    </row>
    <row r="24" spans="6:10" x14ac:dyDescent="0.2">
      <c r="F24">
        <f t="shared" si="3"/>
        <v>3</v>
      </c>
      <c r="G24" t="s">
        <v>5</v>
      </c>
      <c r="H24" t="str">
        <f t="shared" si="4"/>
        <v>Lease commitment - year 4</v>
      </c>
      <c r="I24" t="str">
        <f t="shared" si="7"/>
        <v>Lease commitment - year 2,Lease commitment - year 3,Lease commitment - year 4</v>
      </c>
      <c r="J24" t="str">
        <f t="shared" si="6"/>
        <v/>
      </c>
    </row>
    <row r="25" spans="6:10" x14ac:dyDescent="0.2">
      <c r="F25">
        <f t="shared" si="3"/>
        <v>4</v>
      </c>
      <c r="G25" t="s">
        <v>6</v>
      </c>
      <c r="H25" t="str">
        <f t="shared" si="4"/>
        <v>Lease commitment - year 5</v>
      </c>
      <c r="I25" t="str">
        <f t="shared" si="7"/>
        <v>Lease commitment - year 2,Lease commitment - year 3,Lease commitment - year 4,Lease commitment - year 5</v>
      </c>
      <c r="J25" t="str">
        <f t="shared" si="6"/>
        <v/>
      </c>
    </row>
    <row r="26" spans="6:10" x14ac:dyDescent="0.2">
      <c r="F26">
        <f t="shared" si="3"/>
        <v>5</v>
      </c>
      <c r="G26" t="s">
        <v>131</v>
      </c>
      <c r="H26" t="str">
        <f t="shared" si="4"/>
        <v>Lease commitment - Beyond last year</v>
      </c>
      <c r="I26" t="str">
        <f t="shared" si="7"/>
        <v>Lease commitment - year 2,Lease commitment - year 3,Lease commitment - year 4,Lease commitment - year 5,Lease commitment - Beyond last year</v>
      </c>
      <c r="J26" t="str">
        <f t="shared" si="6"/>
        <v/>
      </c>
    </row>
    <row r="27" spans="6:10" x14ac:dyDescent="0.2">
      <c r="F27">
        <f t="shared" si="3"/>
        <v>6</v>
      </c>
      <c r="G27" t="s">
        <v>51</v>
      </c>
      <c r="H27" t="str">
        <f t="shared" si="4"/>
        <v>Market value of convertible debt</v>
      </c>
      <c r="I27" t="str">
        <f t="shared" si="7"/>
        <v>Lease commitment - year 2,Lease commitment - year 3,Lease commitment - year 4,Lease commitment - year 5,Lease commitment - Beyond last year,Market value of convertible debt</v>
      </c>
      <c r="J27" t="str">
        <f t="shared" si="6"/>
        <v/>
      </c>
    </row>
    <row r="28" spans="6:10" x14ac:dyDescent="0.2">
      <c r="F28">
        <f t="shared" si="3"/>
        <v>7</v>
      </c>
      <c r="G28" t="s">
        <v>52</v>
      </c>
      <c r="H28" t="str">
        <f t="shared" si="4"/>
        <v>Book value of convertible debt</v>
      </c>
      <c r="I28" t="str">
        <f t="shared" si="7"/>
        <v>Lease commitment - year 2,Lease commitment - year 3,Lease commitment - year 4,Lease commitment - year 5,Lease commitment - Beyond last year,Market value of convertible debt,Book value of convertible debt</v>
      </c>
      <c r="J28" t="str">
        <f t="shared" si="6"/>
        <v/>
      </c>
    </row>
    <row r="29" spans="6:10" x14ac:dyDescent="0.2">
      <c r="F29">
        <f t="shared" si="3"/>
        <v>8</v>
      </c>
      <c r="G29" t="s">
        <v>116</v>
      </c>
      <c r="H29" t="str">
        <f t="shared" si="4"/>
        <v>Convertible breakdown: Straight Debt component</v>
      </c>
      <c r="I29" t="str">
        <f t="shared" si="7"/>
        <v>Lease commitment - year 2,Lease commitment - year 3,Lease commitment - year 4,Lease commitment - year 5,Lease commitment - Beyond last year,Market value of convertible debt,Book value of convertible debt,Convertible breakdown: Straight Debt component</v>
      </c>
      <c r="J29" t="str">
        <f t="shared" si="6"/>
        <v/>
      </c>
    </row>
    <row r="30" spans="6:10" x14ac:dyDescent="0.2">
      <c r="F30">
        <f t="shared" si="3"/>
        <v>9</v>
      </c>
      <c r="G30" t="s">
        <v>53</v>
      </c>
      <c r="H30" t="str">
        <f t="shared" si="4"/>
        <v>Coupon rate on convertible debt</v>
      </c>
      <c r="I30" t="str">
        <f t="shared" si="7"/>
        <v>Lease commitment - year 2,Lease commitment - year 3,Lease commitment - year 4,Lease commitment - year 5,Lease commitment - Beyond last year,Market value of convertible debt,Book value of convertible debt,Convertible breakdown: Straight Debt component,Coupon rate on convertible debt</v>
      </c>
      <c r="J30" t="str">
        <f t="shared" si="6"/>
        <v/>
      </c>
    </row>
    <row r="31" spans="6:10" x14ac:dyDescent="0.2">
      <c r="F31">
        <f t="shared" si="3"/>
        <v>10</v>
      </c>
      <c r="G31" t="s">
        <v>54</v>
      </c>
      <c r="H31" t="str">
        <f t="shared" si="4"/>
        <v>Maturity of convertible debt</v>
      </c>
      <c r="I31" t="str">
        <f t="shared" si="7"/>
        <v>Lease commitment - year 2,Lease commitment - year 3,Lease commitment - year 4,Lease commitment - year 5,Lease commitment - Beyond last year,Market value of convertible debt,Book value of convertible debt,Convertible breakdown: Straight Debt component,Coupon rate on convertible debt,Maturity of convertible debt</v>
      </c>
      <c r="J31" t="str">
        <f t="shared" si="6"/>
        <v>HEADINGS_STR=HEADINGS_STR &amp; "Lease commitment - year 2,Lease commitment - year 3,Lease commitment - year 4,Lease commitment - year 5,Lease commitment - Beyond last year,Market value of convertible debt,Book value of convertible debt,Convertible breakdown: Straight Debt component,Coupon rate on convertible debt,Maturity of convertible debt,"</v>
      </c>
    </row>
    <row r="32" spans="6:10" x14ac:dyDescent="0.2">
      <c r="F32">
        <f t="shared" si="3"/>
        <v>1</v>
      </c>
      <c r="G32" t="s">
        <v>55</v>
      </c>
      <c r="H32" t="str">
        <f t="shared" si="4"/>
        <v>Book value of convertible preferred</v>
      </c>
      <c r="I32" t="str">
        <f t="shared" si="7"/>
        <v>Book value of convertible preferred</v>
      </c>
      <c r="J32" t="str">
        <f t="shared" si="6"/>
        <v/>
      </c>
    </row>
    <row r="33" spans="6:10" x14ac:dyDescent="0.2">
      <c r="F33">
        <f t="shared" si="3"/>
        <v>2</v>
      </c>
      <c r="G33" t="s">
        <v>135</v>
      </c>
      <c r="H33" t="str">
        <f t="shared" si="4"/>
        <v>Preferred dividend yield on convertible</v>
      </c>
      <c r="I33" t="str">
        <f t="shared" si="7"/>
        <v>Book value of convertible preferred,Preferred dividend yield on convertible</v>
      </c>
      <c r="J33" t="str">
        <f t="shared" si="6"/>
        <v/>
      </c>
    </row>
    <row r="34" spans="6:10" x14ac:dyDescent="0.2">
      <c r="F34">
        <f t="shared" si="3"/>
        <v>3</v>
      </c>
      <c r="G34" t="s">
        <v>133</v>
      </c>
      <c r="H34" t="str">
        <f t="shared" si="4"/>
        <v>Preferred dividend yield on straight preferred</v>
      </c>
      <c r="I34" t="str">
        <f t="shared" si="7"/>
        <v>Book value of convertible preferred,Preferred dividend yield on convertible,Preferred dividend yield on straight preferred</v>
      </c>
      <c r="J34" t="str">
        <f t="shared" si="6"/>
        <v/>
      </c>
    </row>
    <row r="35" spans="6:10" x14ac:dyDescent="0.2">
      <c r="F35">
        <f t="shared" si="3"/>
        <v>4</v>
      </c>
      <c r="G35" t="s">
        <v>134</v>
      </c>
      <c r="H35" t="str">
        <f t="shared" si="4"/>
        <v>Decomposition of Preferred Stock</v>
      </c>
      <c r="I35" t="str">
        <f t="shared" si="7"/>
        <v>Book value of convertible preferred,Preferred dividend yield on convertible,Preferred dividend yield on straight preferred,Decomposition of Preferred Stock</v>
      </c>
      <c r="J35" t="str">
        <f t="shared" si="6"/>
        <v/>
      </c>
    </row>
    <row r="36" spans="6:10" x14ac:dyDescent="0.2">
      <c r="F36">
        <f t="shared" si="3"/>
        <v>5</v>
      </c>
      <c r="G36" t="s">
        <v>56</v>
      </c>
      <c r="H36" t="str">
        <f t="shared" si="4"/>
        <v>Cash &amp; Marketable Securities</v>
      </c>
      <c r="I36" t="str">
        <f t="shared" si="7"/>
        <v>Book value of convertible preferred,Preferred dividend yield on convertible,Preferred dividend yield on straight preferred,Decomposition of Preferred Stock,Cash &amp; Marketable Securities</v>
      </c>
      <c r="J36" t="str">
        <f t="shared" si="6"/>
        <v/>
      </c>
    </row>
    <row r="37" spans="6:10" x14ac:dyDescent="0.2">
      <c r="F37">
        <f t="shared" si="3"/>
        <v>6</v>
      </c>
      <c r="G37" t="s">
        <v>57</v>
      </c>
      <c r="H37" t="str">
        <f t="shared" si="4"/>
        <v>Value of cross holdings in other companies</v>
      </c>
      <c r="I37" t="str">
        <f t="shared" si="7"/>
        <v>Book value of convertible preferred,Preferred dividend yield on convertible,Preferred dividend yield on straight preferred,Decomposition of Preferred Stock,Cash &amp; Marketable Securities,Value of cross holdings in other companies</v>
      </c>
      <c r="J37" t="str">
        <f t="shared" si="6"/>
        <v/>
      </c>
    </row>
    <row r="38" spans="6:10" x14ac:dyDescent="0.2">
      <c r="F38">
        <f t="shared" si="3"/>
        <v>7</v>
      </c>
      <c r="G38" t="s">
        <v>103</v>
      </c>
      <c r="H38" t="str">
        <f t="shared" si="4"/>
        <v>Price to book ratio to convert value of cross holdings in other companies to market value</v>
      </c>
      <c r="I38" t="str">
        <f t="shared" si="7"/>
        <v>Book value of convertible preferred,Preferred dividend yield on convertible,Preferred dividend yield on straight preferred,Decomposition of Preferred Stock,Cash &amp; Marketable Securities,Value of cross holdings in other companies,Price to book ratio to convert value of cross holdings in other companies to market value</v>
      </c>
      <c r="J38" t="str">
        <f t="shared" si="6"/>
        <v/>
      </c>
    </row>
    <row r="39" spans="6:10" x14ac:dyDescent="0.2">
      <c r="F39">
        <f t="shared" si="3"/>
        <v>8</v>
      </c>
      <c r="G39" t="s">
        <v>58</v>
      </c>
      <c r="H39" t="str">
        <f t="shared" si="4"/>
        <v>Minority Interest</v>
      </c>
      <c r="I39" t="str">
        <f t="shared" si="7"/>
        <v>Book value of convertible preferred,Preferred dividend yield on convertible,Preferred dividend yield on straight preferred,Decomposition of Preferred Stock,Cash &amp; Marketable Securities,Value of cross holdings in other companies,Price to book ratio to convert value of cross holdings in other companies to market value,Minority Interest</v>
      </c>
      <c r="J39" t="str">
        <f t="shared" si="6"/>
        <v/>
      </c>
    </row>
    <row r="40" spans="6:10" x14ac:dyDescent="0.2">
      <c r="F40">
        <f t="shared" si="3"/>
        <v>9</v>
      </c>
      <c r="G40" t="s">
        <v>104</v>
      </c>
      <c r="H40" t="str">
        <f t="shared" si="4"/>
        <v>Price to book ratio to convert value of minority interest to market value</v>
      </c>
      <c r="I40" t="str">
        <f t="shared" si="7"/>
        <v>Book value of convertible preferred,Preferred dividend yield on convertible,Preferred dividend yield on straight preferred,Decomposition of Preferred Stock,Cash &amp; Marketable Securities,Value of cross holdings in other companies,Price to book ratio to convert value of cross holdings in other companies to market value,Minority Interest,Price to book ratio to convert value of minority interest to market value</v>
      </c>
      <c r="J40" t="str">
        <f t="shared" si="6"/>
        <v/>
      </c>
    </row>
    <row r="41" spans="6:10" x14ac:dyDescent="0.2">
      <c r="F41">
        <f t="shared" si="3"/>
        <v>10</v>
      </c>
      <c r="G41" t="s">
        <v>12</v>
      </c>
      <c r="H41" t="str">
        <f t="shared" si="4"/>
        <v>Revenues: Last fiscal year</v>
      </c>
      <c r="I41" t="str">
        <f t="shared" si="7"/>
        <v>Book value of convertible preferred,Preferred dividend yield on convertible,Preferred dividend yield on straight preferred,Decomposition of Preferred Stock,Cash &amp; Marketable Securities,Value of cross holdings in other companies,Price to book ratio to convert value of cross holdings in other companies to market value,Minority Interest,Price to book ratio to convert value of minority interest to market value,Revenues: Last fiscal year</v>
      </c>
      <c r="J41" t="str">
        <f t="shared" si="6"/>
        <v>HEADINGS_STR=HEADINGS_STR &amp; "Book value of convertible preferred,Preferred dividend yield on convertible,Preferred dividend yield on straight preferred,Decomposition of Preferred Stock,Cash &amp; Marketable Securities,Value of cross holdings in other companies,Price to book ratio to convert value of cross holdings in other companies to market value,Minority Interest,Price to book ratio to convert value of minority interest to market value,Revenues: Last fiscal year,"</v>
      </c>
    </row>
    <row r="42" spans="6:10" x14ac:dyDescent="0.2">
      <c r="F42">
        <f t="shared" si="3"/>
        <v>1</v>
      </c>
      <c r="G42" t="s">
        <v>13</v>
      </c>
      <c r="H42" t="str">
        <f t="shared" si="4"/>
        <v>Revenues: Last 12 months</v>
      </c>
      <c r="I42" t="str">
        <f t="shared" si="7"/>
        <v>Revenues: Last 12 months</v>
      </c>
      <c r="J42" t="str">
        <f t="shared" si="6"/>
        <v/>
      </c>
    </row>
    <row r="43" spans="6:10" x14ac:dyDescent="0.2">
      <c r="F43">
        <f t="shared" si="3"/>
        <v>2</v>
      </c>
      <c r="G43" t="s">
        <v>14</v>
      </c>
      <c r="H43" t="str">
        <f t="shared" si="4"/>
        <v>Revenues: Forward</v>
      </c>
      <c r="I43" t="str">
        <f t="shared" si="7"/>
        <v>Revenues: Last 12 months,Revenues: Forward</v>
      </c>
      <c r="J43" t="str">
        <f t="shared" si="6"/>
        <v/>
      </c>
    </row>
    <row r="44" spans="6:10" x14ac:dyDescent="0.2">
      <c r="F44">
        <f t="shared" si="3"/>
        <v>3</v>
      </c>
      <c r="G44" t="s">
        <v>15</v>
      </c>
      <c r="H44" t="str">
        <f t="shared" si="4"/>
        <v>EBITDA: Last fiscal year</v>
      </c>
      <c r="I44" t="str">
        <f t="shared" si="7"/>
        <v>Revenues: Last 12 months,Revenues: Forward,EBITDA: Last fiscal year</v>
      </c>
      <c r="J44" t="str">
        <f t="shared" si="6"/>
        <v/>
      </c>
    </row>
    <row r="45" spans="6:10" x14ac:dyDescent="0.2">
      <c r="F45">
        <f t="shared" si="3"/>
        <v>4</v>
      </c>
      <c r="G45" t="s">
        <v>16</v>
      </c>
      <c r="H45" t="str">
        <f t="shared" si="4"/>
        <v>EBITDA: Last 12 months</v>
      </c>
      <c r="I45" t="str">
        <f t="shared" si="7"/>
        <v>Revenues: Last 12 months,Revenues: Forward,EBITDA: Last fiscal year,EBITDA: Last 12 months</v>
      </c>
      <c r="J45" t="str">
        <f t="shared" si="6"/>
        <v/>
      </c>
    </row>
    <row r="46" spans="6:10" x14ac:dyDescent="0.2">
      <c r="F46">
        <f t="shared" si="3"/>
        <v>5</v>
      </c>
      <c r="G46" t="s">
        <v>17</v>
      </c>
      <c r="H46" t="str">
        <f t="shared" si="4"/>
        <v>EBITDA: Forward</v>
      </c>
      <c r="I46" t="str">
        <f t="shared" si="7"/>
        <v>Revenues: Last 12 months,Revenues: Forward,EBITDA: Last fiscal year,EBITDA: Last 12 months,EBITDA: Forward</v>
      </c>
      <c r="J46" t="str">
        <f t="shared" si="6"/>
        <v/>
      </c>
    </row>
    <row r="47" spans="6:10" x14ac:dyDescent="0.2">
      <c r="F47">
        <f t="shared" si="3"/>
        <v>6</v>
      </c>
      <c r="G47" t="s">
        <v>18</v>
      </c>
      <c r="H47" t="str">
        <f t="shared" si="4"/>
        <v>EBIT: Last fiscal year</v>
      </c>
      <c r="I47" t="str">
        <f t="shared" si="7"/>
        <v>Revenues: Last 12 months,Revenues: Forward,EBITDA: Last fiscal year,EBITDA: Last 12 months,EBITDA: Forward,EBIT: Last fiscal year</v>
      </c>
      <c r="J47" t="str">
        <f t="shared" si="6"/>
        <v/>
      </c>
    </row>
    <row r="48" spans="6:10" x14ac:dyDescent="0.2">
      <c r="F48">
        <f t="shared" si="3"/>
        <v>7</v>
      </c>
      <c r="G48" t="s">
        <v>19</v>
      </c>
      <c r="H48" t="str">
        <f t="shared" si="4"/>
        <v>EBIT: Last 12 months</v>
      </c>
      <c r="I48" t="str">
        <f t="shared" si="7"/>
        <v>Revenues: Last 12 months,Revenues: Forward,EBITDA: Last fiscal year,EBITDA: Last 12 months,EBITDA: Forward,EBIT: Last fiscal year,EBIT: Last 12 months</v>
      </c>
      <c r="J48" t="str">
        <f t="shared" si="6"/>
        <v/>
      </c>
    </row>
    <row r="49" spans="6:10" x14ac:dyDescent="0.2">
      <c r="F49">
        <f t="shared" si="3"/>
        <v>8</v>
      </c>
      <c r="G49" t="s">
        <v>20</v>
      </c>
      <c r="H49" t="str">
        <f t="shared" si="4"/>
        <v>EBIT: Forward</v>
      </c>
      <c r="I49" t="str">
        <f t="shared" si="7"/>
        <v>Revenues: Last 12 months,Revenues: Forward,EBITDA: Last fiscal year,EBITDA: Last 12 months,EBITDA: Forward,EBIT: Last fiscal year,EBIT: Last 12 months,EBIT: Forward</v>
      </c>
      <c r="J49" t="str">
        <f t="shared" si="6"/>
        <v/>
      </c>
    </row>
    <row r="50" spans="6:10" x14ac:dyDescent="0.2">
      <c r="F50">
        <f t="shared" si="3"/>
        <v>9</v>
      </c>
      <c r="G50" t="s">
        <v>21</v>
      </c>
      <c r="H50" t="str">
        <f t="shared" si="4"/>
        <v>Effective Tax Rate: Last fiscal year</v>
      </c>
      <c r="I50" t="str">
        <f t="shared" si="7"/>
        <v>Revenues: Last 12 months,Revenues: Forward,EBITDA: Last fiscal year,EBITDA: Last 12 months,EBITDA: Forward,EBIT: Last fiscal year,EBIT: Last 12 months,EBIT: Forward,Effective Tax Rate: Last fiscal year</v>
      </c>
      <c r="J50" t="str">
        <f t="shared" si="6"/>
        <v/>
      </c>
    </row>
    <row r="51" spans="6:10" x14ac:dyDescent="0.2">
      <c r="F51">
        <f t="shared" si="3"/>
        <v>10</v>
      </c>
      <c r="G51" t="s">
        <v>22</v>
      </c>
      <c r="H51" t="str">
        <f t="shared" si="4"/>
        <v>Effective Tax Rate: Last 12 months</v>
      </c>
      <c r="I51" t="str">
        <f t="shared" si="7"/>
        <v>Revenues: Last 12 months,Revenues: Forward,EBITDA: Last fiscal year,EBITDA: Last 12 months,EBITDA: Forward,EBIT: Last fiscal year,EBIT: Last 12 months,EBIT: Forward,Effective Tax Rate: Last fiscal year,Effective Tax Rate: Last 12 months</v>
      </c>
      <c r="J51" t="str">
        <f t="shared" si="6"/>
        <v>HEADINGS_STR=HEADINGS_STR &amp; "Revenues: Last 12 months,Revenues: Forward,EBITDA: Last fiscal year,EBITDA: Last 12 months,EBITDA: Forward,EBIT: Last fiscal year,EBIT: Last 12 months,EBIT: Forward,Effective Tax Rate: Last fiscal year,Effective Tax Rate: Last 12 months,"</v>
      </c>
    </row>
    <row r="52" spans="6:10" x14ac:dyDescent="0.2">
      <c r="F52">
        <f t="shared" si="3"/>
        <v>1</v>
      </c>
      <c r="G52" t="s">
        <v>23</v>
      </c>
      <c r="H52" t="str">
        <f t="shared" si="4"/>
        <v>Effective Tax Rate: Forward</v>
      </c>
      <c r="I52" t="str">
        <f t="shared" si="7"/>
        <v>Effective Tax Rate: Forward</v>
      </c>
      <c r="J52" t="str">
        <f t="shared" si="6"/>
        <v/>
      </c>
    </row>
    <row r="53" spans="6:10" x14ac:dyDescent="0.2">
      <c r="F53">
        <f t="shared" si="3"/>
        <v>2</v>
      </c>
      <c r="G53" t="s">
        <v>24</v>
      </c>
      <c r="H53" t="str">
        <f t="shared" si="4"/>
        <v>Net Income: Last fiscal year</v>
      </c>
      <c r="I53" t="str">
        <f t="shared" si="7"/>
        <v>Effective Tax Rate: Forward,Net Income: Last fiscal year</v>
      </c>
      <c r="J53" t="str">
        <f t="shared" si="6"/>
        <v/>
      </c>
    </row>
    <row r="54" spans="6:10" x14ac:dyDescent="0.2">
      <c r="F54">
        <f t="shared" si="3"/>
        <v>3</v>
      </c>
      <c r="G54" t="s">
        <v>25</v>
      </c>
      <c r="H54" t="str">
        <f t="shared" si="4"/>
        <v>Net Income: Last 12 months</v>
      </c>
      <c r="I54" t="str">
        <f t="shared" si="7"/>
        <v>Effective Tax Rate: Forward,Net Income: Last fiscal year,Net Income: Last 12 months</v>
      </c>
      <c r="J54" t="str">
        <f t="shared" si="6"/>
        <v/>
      </c>
    </row>
    <row r="55" spans="6:10" x14ac:dyDescent="0.2">
      <c r="F55">
        <f t="shared" si="3"/>
        <v>4</v>
      </c>
      <c r="G55" t="s">
        <v>26</v>
      </c>
      <c r="H55" t="str">
        <f t="shared" si="4"/>
        <v>Net Income: Forward</v>
      </c>
      <c r="I55" t="str">
        <f t="shared" si="7"/>
        <v>Effective Tax Rate: Forward,Net Income: Last fiscal year,Net Income: Last 12 months,Net Income: Forward</v>
      </c>
      <c r="J55" t="str">
        <f t="shared" si="6"/>
        <v/>
      </c>
    </row>
    <row r="56" spans="6:10" x14ac:dyDescent="0.2">
      <c r="F56">
        <f t="shared" si="3"/>
        <v>5</v>
      </c>
      <c r="G56" t="s">
        <v>27</v>
      </c>
      <c r="H56" t="str">
        <f t="shared" si="4"/>
        <v>Interest Income from Cash: Last fiscal year</v>
      </c>
      <c r="I56" t="str">
        <f t="shared" si="7"/>
        <v>Effective Tax Rate: Forward,Net Income: Last fiscal year,Net Income: Last 12 months,Net Income: Forward,Interest Income from Cash: Last fiscal year</v>
      </c>
      <c r="J56" t="str">
        <f t="shared" si="6"/>
        <v/>
      </c>
    </row>
    <row r="57" spans="6:10" x14ac:dyDescent="0.2">
      <c r="F57">
        <f t="shared" si="3"/>
        <v>6</v>
      </c>
      <c r="G57" t="s">
        <v>28</v>
      </c>
      <c r="H57" t="str">
        <f t="shared" si="4"/>
        <v>Interest Income from Cash: Last 12 months</v>
      </c>
      <c r="I57" t="str">
        <f t="shared" si="7"/>
        <v>Effective Tax Rate: Forward,Net Income: Last fiscal year,Net Income: Last 12 months,Net Income: Forward,Interest Income from Cash: Last fiscal year,Interest Income from Cash: Last 12 months</v>
      </c>
      <c r="J57" t="str">
        <f t="shared" si="6"/>
        <v/>
      </c>
    </row>
    <row r="58" spans="6:10" x14ac:dyDescent="0.2">
      <c r="F58">
        <f t="shared" si="3"/>
        <v>7</v>
      </c>
      <c r="G58" t="s">
        <v>29</v>
      </c>
      <c r="H58" t="str">
        <f t="shared" si="4"/>
        <v>Interest Income from Cash: Forward</v>
      </c>
      <c r="I58" t="str">
        <f t="shared" si="7"/>
        <v>Effective Tax Rate: Forward,Net Income: Last fiscal year,Net Income: Last 12 months,Net Income: Forward,Interest Income from Cash: Last fiscal year,Interest Income from Cash: Last 12 months,Interest Income from Cash: Forward</v>
      </c>
      <c r="J58" t="str">
        <f t="shared" si="6"/>
        <v/>
      </c>
    </row>
    <row r="59" spans="6:10" x14ac:dyDescent="0.2">
      <c r="F59">
        <f t="shared" si="3"/>
        <v>8</v>
      </c>
      <c r="G59" t="s">
        <v>30</v>
      </c>
      <c r="H59" t="str">
        <f t="shared" si="4"/>
        <v>R&amp;D expense: year 0</v>
      </c>
      <c r="I59" t="str">
        <f t="shared" si="7"/>
        <v>Effective Tax Rate: Forward,Net Income: Last fiscal year,Net Income: Last 12 months,Net Income: Forward,Interest Income from Cash: Last fiscal year,Interest Income from Cash: Last 12 months,Interest Income from Cash: Forward,R&amp;D expense: year 0</v>
      </c>
      <c r="J59" t="str">
        <f t="shared" si="6"/>
        <v/>
      </c>
    </row>
    <row r="60" spans="6:10" x14ac:dyDescent="0.2">
      <c r="F60">
        <f t="shared" si="3"/>
        <v>9</v>
      </c>
      <c r="G60" t="s">
        <v>31</v>
      </c>
      <c r="H60" t="str">
        <f t="shared" si="4"/>
        <v>R&amp;D expense: year -1</v>
      </c>
      <c r="I60" t="str">
        <f t="shared" si="7"/>
        <v>Effective Tax Rate: Forward,Net Income: Last fiscal year,Net Income: Last 12 months,Net Income: Forward,Interest Income from Cash: Last fiscal year,Interest Income from Cash: Last 12 months,Interest Income from Cash: Forward,R&amp;D expense: year 0,R&amp;D expense: year -1</v>
      </c>
      <c r="J60" t="str">
        <f t="shared" si="6"/>
        <v/>
      </c>
    </row>
    <row r="61" spans="6:10" x14ac:dyDescent="0.2">
      <c r="F61">
        <f t="shared" si="3"/>
        <v>10</v>
      </c>
      <c r="G61" t="s">
        <v>32</v>
      </c>
      <c r="H61" t="str">
        <f t="shared" si="4"/>
        <v>R&amp;D expense: year -2</v>
      </c>
      <c r="I61" t="str">
        <f t="shared" si="7"/>
        <v>Effective Tax Rate: Forward,Net Income: Last fiscal year,Net Income: Last 12 months,Net Income: Forward,Interest Income from Cash: Last fiscal year,Interest Income from Cash: Last 12 months,Interest Income from Cash: Forward,R&amp;D expense: year 0,R&amp;D expense: year -1,R&amp;D expense: year -2</v>
      </c>
      <c r="J61" t="str">
        <f t="shared" si="6"/>
        <v>HEADINGS_STR=HEADINGS_STR &amp; "Effective Tax Rate: Forward,Net Income: Last fiscal year,Net Income: Last 12 months,Net Income: Forward,Interest Income from Cash: Last fiscal year,Interest Income from Cash: Last 12 months,Interest Income from Cash: Forward,R&amp;D expense: year 0,R&amp;D expense: year -1,R&amp;D expense: year -2,"</v>
      </c>
    </row>
    <row r="62" spans="6:10" x14ac:dyDescent="0.2">
      <c r="F62">
        <f t="shared" si="3"/>
        <v>1</v>
      </c>
      <c r="G62" t="s">
        <v>33</v>
      </c>
      <c r="H62" t="str">
        <f t="shared" si="4"/>
        <v>R&amp;D expense: year -3</v>
      </c>
      <c r="I62" t="str">
        <f t="shared" si="7"/>
        <v>R&amp;D expense: year -3</v>
      </c>
      <c r="J62" t="str">
        <f t="shared" si="6"/>
        <v/>
      </c>
    </row>
    <row r="63" spans="6:10" x14ac:dyDescent="0.2">
      <c r="F63">
        <f t="shared" si="3"/>
        <v>2</v>
      </c>
      <c r="G63" t="s">
        <v>34</v>
      </c>
      <c r="H63" t="str">
        <f t="shared" si="4"/>
        <v>R&amp;D expense: year -4</v>
      </c>
      <c r="I63" t="str">
        <f t="shared" si="7"/>
        <v>R&amp;D expense: year -3,R&amp;D expense: year -4</v>
      </c>
      <c r="J63" t="str">
        <f t="shared" si="6"/>
        <v/>
      </c>
    </row>
    <row r="64" spans="6:10" x14ac:dyDescent="0.2">
      <c r="F64">
        <f t="shared" si="3"/>
        <v>3</v>
      </c>
      <c r="G64" t="s">
        <v>35</v>
      </c>
      <c r="H64" t="str">
        <f t="shared" si="4"/>
        <v>R&amp;D expense: year -5</v>
      </c>
      <c r="I64" t="str">
        <f t="shared" si="7"/>
        <v>R&amp;D expense: year -3,R&amp;D expense: year -4,R&amp;D expense: year -5</v>
      </c>
      <c r="J64" t="str">
        <f t="shared" si="6"/>
        <v/>
      </c>
    </row>
    <row r="65" spans="6:10" x14ac:dyDescent="0.2">
      <c r="F65">
        <f t="shared" si="3"/>
        <v>4</v>
      </c>
      <c r="G65" t="s">
        <v>36</v>
      </c>
      <c r="H65" t="str">
        <f t="shared" si="4"/>
        <v>R&amp;D expense: year -6</v>
      </c>
      <c r="I65" t="str">
        <f t="shared" si="7"/>
        <v>R&amp;D expense: year -3,R&amp;D expense: year -4,R&amp;D expense: year -5,R&amp;D expense: year -6</v>
      </c>
      <c r="J65" t="str">
        <f t="shared" si="6"/>
        <v/>
      </c>
    </row>
    <row r="66" spans="6:10" x14ac:dyDescent="0.2">
      <c r="F66">
        <f t="shared" si="3"/>
        <v>5</v>
      </c>
      <c r="G66" t="s">
        <v>37</v>
      </c>
      <c r="H66" t="str">
        <f t="shared" si="4"/>
        <v>R&amp;D expense: year -7</v>
      </c>
      <c r="I66" t="str">
        <f t="shared" si="7"/>
        <v>R&amp;D expense: year -3,R&amp;D expense: year -4,R&amp;D expense: year -5,R&amp;D expense: year -6,R&amp;D expense: year -7</v>
      </c>
      <c r="J66" t="str">
        <f t="shared" si="6"/>
        <v/>
      </c>
    </row>
    <row r="67" spans="6:10" x14ac:dyDescent="0.2">
      <c r="F67">
        <f t="shared" ref="F67:F130" si="8">(IF(F66+1&gt;10,1,F66+1))</f>
        <v>6</v>
      </c>
      <c r="G67" t="s">
        <v>38</v>
      </c>
      <c r="H67" t="str">
        <f t="shared" ref="H67:H130" si="9">TRIM(G67)</f>
        <v>R&amp;D expense: year -8</v>
      </c>
      <c r="I67" t="str">
        <f t="shared" si="7"/>
        <v>R&amp;D expense: year -3,R&amp;D expense: year -4,R&amp;D expense: year -5,R&amp;D expense: year -6,R&amp;D expense: year -7,R&amp;D expense: year -8</v>
      </c>
      <c r="J67" t="str">
        <f t="shared" si="6"/>
        <v/>
      </c>
    </row>
    <row r="68" spans="6:10" x14ac:dyDescent="0.2">
      <c r="F68">
        <f t="shared" si="8"/>
        <v>7</v>
      </c>
      <c r="G68" t="s">
        <v>39</v>
      </c>
      <c r="H68" t="str">
        <f t="shared" si="9"/>
        <v>R&amp;D expense: year -9</v>
      </c>
      <c r="I68" t="str">
        <f t="shared" si="7"/>
        <v>R&amp;D expense: year -3,R&amp;D expense: year -4,R&amp;D expense: year -5,R&amp;D expense: year -6,R&amp;D expense: year -7,R&amp;D expense: year -8,R&amp;D expense: year -9</v>
      </c>
      <c r="J68" t="str">
        <f t="shared" si="6"/>
        <v/>
      </c>
    </row>
    <row r="69" spans="6:10" x14ac:dyDescent="0.2">
      <c r="F69">
        <f t="shared" si="8"/>
        <v>8</v>
      </c>
      <c r="G69" t="s">
        <v>40</v>
      </c>
      <c r="H69" t="str">
        <f t="shared" si="9"/>
        <v>R&amp;D expense: year -10</v>
      </c>
      <c r="I69" t="str">
        <f t="shared" si="7"/>
        <v>R&amp;D expense: year -3,R&amp;D expense: year -4,R&amp;D expense: year -5,R&amp;D expense: year -6,R&amp;D expense: year -7,R&amp;D expense: year -8,R&amp;D expense: year -9,R&amp;D expense: year -10</v>
      </c>
      <c r="J69" t="str">
        <f t="shared" si="6"/>
        <v/>
      </c>
    </row>
    <row r="70" spans="6:10" x14ac:dyDescent="0.2">
      <c r="F70">
        <f t="shared" si="8"/>
        <v>9</v>
      </c>
      <c r="G70" t="s">
        <v>132</v>
      </c>
      <c r="H70" t="str">
        <f t="shared" si="9"/>
        <v>Operating leases number of years</v>
      </c>
      <c r="I70" t="str">
        <f t="shared" si="7"/>
        <v>R&amp;D expense: year -3,R&amp;D expense: year -4,R&amp;D expense: year -5,R&amp;D expense: year -6,R&amp;D expense: year -7,R&amp;D expense: year -8,R&amp;D expense: year -9,R&amp;D expense: year -10,Operating leases number of years</v>
      </c>
      <c r="J70" t="str">
        <f t="shared" si="6"/>
        <v/>
      </c>
    </row>
    <row r="71" spans="6:10" x14ac:dyDescent="0.2">
      <c r="F71">
        <f t="shared" si="8"/>
        <v>10</v>
      </c>
      <c r="G71" t="s">
        <v>130</v>
      </c>
      <c r="H71" t="str">
        <f t="shared" si="9"/>
        <v>Number of years embedded in leases</v>
      </c>
      <c r="I71" t="str">
        <f t="shared" si="7"/>
        <v>R&amp;D expense: year -3,R&amp;D expense: year -4,R&amp;D expense: year -5,R&amp;D expense: year -6,R&amp;D expense: year -7,R&amp;D expense: year -8,R&amp;D expense: year -9,R&amp;D expense: year -10,Operating leases number of years,Number of years embedded in leases</v>
      </c>
      <c r="J71" t="str">
        <f t="shared" si="6"/>
        <v>HEADINGS_STR=HEADINGS_STR &amp; "R&amp;D expense: year -3,R&amp;D expense: year -4,R&amp;D expense: year -5,R&amp;D expense: year -6,R&amp;D expense: year -7,R&amp;D expense: year -8,R&amp;D expense: year -9,R&amp;D expense: year -10,Operating leases number of years,Number of years embedded in leases,"</v>
      </c>
    </row>
    <row r="72" spans="6:10" x14ac:dyDescent="0.2">
      <c r="F72">
        <f t="shared" si="8"/>
        <v>1</v>
      </c>
      <c r="G72" t="s">
        <v>105</v>
      </c>
      <c r="H72" t="str">
        <f t="shared" si="9"/>
        <v>Debt Value of leases</v>
      </c>
      <c r="I72" t="str">
        <f t="shared" si="7"/>
        <v>Debt Value of leases</v>
      </c>
      <c r="J72" t="str">
        <f t="shared" si="6"/>
        <v/>
      </c>
    </row>
    <row r="73" spans="6:10" x14ac:dyDescent="0.2">
      <c r="F73">
        <f t="shared" si="8"/>
        <v>2</v>
      </c>
      <c r="G73" t="s">
        <v>106</v>
      </c>
      <c r="H73" t="str">
        <f t="shared" si="9"/>
        <v>Operating Income with Operating leases reclassified as debt</v>
      </c>
      <c r="I73" t="str">
        <f t="shared" si="7"/>
        <v>Debt Value of leases,Operating Income with Operating leases reclassified as debt</v>
      </c>
      <c r="J73" t="str">
        <f t="shared" si="6"/>
        <v/>
      </c>
    </row>
    <row r="74" spans="6:10" x14ac:dyDescent="0.2">
      <c r="F74">
        <f t="shared" si="8"/>
        <v>3</v>
      </c>
      <c r="G74" t="s">
        <v>107</v>
      </c>
      <c r="H74" t="str">
        <f t="shared" si="9"/>
        <v>Debt with Operating leases reclassified as debt</v>
      </c>
      <c r="I74" t="str">
        <f t="shared" si="7"/>
        <v>Debt Value of leases,Operating Income with Operating leases reclassified as debt,Debt with Operating leases reclassified as debt</v>
      </c>
      <c r="J74" t="str">
        <f t="shared" si="6"/>
        <v/>
      </c>
    </row>
    <row r="75" spans="6:10" x14ac:dyDescent="0.2">
      <c r="F75">
        <f t="shared" si="8"/>
        <v>4</v>
      </c>
      <c r="G75" t="s">
        <v>108</v>
      </c>
      <c r="H75" t="str">
        <f t="shared" si="9"/>
        <v>Full Operating lease adjustment: Reported Operating income</v>
      </c>
      <c r="I75" t="str">
        <f t="shared" si="7"/>
        <v>Debt Value of leases,Operating Income with Operating leases reclassified as debt,Debt with Operating leases reclassified as debt,Full Operating lease adjustment: Reported Operating income</v>
      </c>
      <c r="J75" t="str">
        <f t="shared" si="6"/>
        <v/>
      </c>
    </row>
    <row r="76" spans="6:10" x14ac:dyDescent="0.2">
      <c r="F76">
        <f t="shared" si="8"/>
        <v>5</v>
      </c>
      <c r="G76" t="s">
        <v>109</v>
      </c>
      <c r="H76" t="str">
        <f t="shared" si="9"/>
        <v>Full Operating lease adjustment: + Current year's operating lease expense</v>
      </c>
      <c r="I76" t="str">
        <f t="shared" si="7"/>
        <v>Debt Value of leases,Operating Income with Operating leases reclassified as debt,Debt with Operating leases reclassified as debt,Full Operating lease adjustment: Reported Operating income,Full Operating lease adjustment: + Current year's operating lease expense</v>
      </c>
      <c r="J76" t="str">
        <f t="shared" ref="J76:J139" si="10">IF(F76=10,"HEADINGS_STR=HEADINGS_STR"&amp;" &amp; "&amp;""""&amp;I76&amp;","&amp;"""","")</f>
        <v/>
      </c>
    </row>
    <row r="77" spans="6:10" x14ac:dyDescent="0.2">
      <c r="F77">
        <f t="shared" si="8"/>
        <v>6</v>
      </c>
      <c r="G77" t="s">
        <v>110</v>
      </c>
      <c r="H77" t="str">
        <f t="shared" si="9"/>
        <v>Full Operating lease adjustment: - Depreciation on leased asset</v>
      </c>
      <c r="I77" t="str">
        <f t="shared" si="7"/>
        <v>Debt Value of leases,Operating Income with Operating leases reclassified as debt,Debt with Operating leases reclassified as debt,Full Operating lease adjustment: Reported Operating income,Full Operating lease adjustment: + Current year's operating lease expense,Full Operating lease adjustment: - Depreciation on leased asset</v>
      </c>
      <c r="J77" t="str">
        <f t="shared" si="10"/>
        <v/>
      </c>
    </row>
    <row r="78" spans="6:10" x14ac:dyDescent="0.2">
      <c r="F78">
        <f t="shared" si="8"/>
        <v>7</v>
      </c>
      <c r="G78" t="s">
        <v>111</v>
      </c>
      <c r="H78" t="str">
        <f t="shared" si="9"/>
        <v>Full Operating lease adjustment: Adjusted Operating Income</v>
      </c>
      <c r="I78" t="str">
        <f t="shared" si="7"/>
        <v>Debt Value of leases,Operating Income with Operating leases reclassified as debt,Debt with Operating leases reclassified as debt,Full Operating lease adjustment: Reported Operating income,Full Operating lease adjustment: + Current year's operating lease expense,Full Operating lease adjustment: - Depreciation on leased asset,Full Operating lease adjustment: Adjusted Operating Income</v>
      </c>
      <c r="J78" t="str">
        <f t="shared" si="10"/>
        <v/>
      </c>
    </row>
    <row r="79" spans="6:10" x14ac:dyDescent="0.2">
      <c r="F79">
        <f t="shared" si="8"/>
        <v>8</v>
      </c>
      <c r="G79" t="s">
        <v>129</v>
      </c>
      <c r="H79" t="str">
        <f t="shared" si="9"/>
        <v>R&amp; D expenses: Periods to amortize R&amp;D expenses</v>
      </c>
      <c r="I79" t="str">
        <f t="shared" ref="I79:I142" si="11">IF(F79=1,H79,I78&amp;","&amp;H79)</f>
        <v>Debt Value of leases,Operating Income with Operating leases reclassified as debt,Debt with Operating leases reclassified as debt,Full Operating lease adjustment: Reported Operating income,Full Operating lease adjustment: + Current year's operating lease expense,Full Operating lease adjustment: - Depreciation on leased asset,Full Operating lease adjustment: Adjusted Operating Income,R&amp; D expenses: Periods to amortize R&amp;D expenses</v>
      </c>
      <c r="J79" t="str">
        <f t="shared" si="10"/>
        <v/>
      </c>
    </row>
    <row r="80" spans="6:10" x14ac:dyDescent="0.2">
      <c r="F80">
        <f t="shared" si="8"/>
        <v>9</v>
      </c>
      <c r="G80" t="s">
        <v>113</v>
      </c>
      <c r="H80" t="str">
        <f t="shared" si="9"/>
        <v>R&amp; D expenses: Value of Research Asset</v>
      </c>
      <c r="I80" t="str">
        <f t="shared" si="11"/>
        <v>Debt Value of leases,Operating Income with Operating leases reclassified as debt,Debt with Operating leases reclassified as debt,Full Operating lease adjustment: Reported Operating income,Full Operating lease adjustment: + Current year's operating lease expense,Full Operating lease adjustment: - Depreciation on leased asset,Full Operating lease adjustment: Adjusted Operating Income,R&amp; D expenses: Periods to amortize R&amp;D expenses,R&amp; D expenses: Value of Research Asset</v>
      </c>
      <c r="J80" t="str">
        <f t="shared" si="10"/>
        <v/>
      </c>
    </row>
    <row r="81" spans="6:10" x14ac:dyDescent="0.2">
      <c r="F81">
        <f t="shared" si="8"/>
        <v>10</v>
      </c>
      <c r="G81" t="s">
        <v>112</v>
      </c>
      <c r="H81" t="str">
        <f t="shared" si="9"/>
        <v>R&amp; D expenses: Amortization of asset for current year</v>
      </c>
      <c r="I81" t="str">
        <f t="shared" si="11"/>
        <v>Debt Value of leases,Operating Income with Operating leases reclassified as debt,Debt with Operating leases reclassified as debt,Full Operating lease adjustment: Reported Operating income,Full Operating lease adjustment: + Current year's operating lease expense,Full Operating lease adjustment: - Depreciation on leased asset,Full Operating lease adjustment: Adjusted Operating Income,R&amp; D expenses: Periods to amortize R&amp;D expenses,R&amp; D expenses: Value of Research Asset,R&amp; D expenses: Amortization of asset for current year</v>
      </c>
      <c r="J81" t="str">
        <f t="shared" si="10"/>
        <v>HEADINGS_STR=HEADINGS_STR &amp; "Debt Value of leases,Operating Income with Operating leases reclassified as debt,Debt with Operating leases reclassified as debt,Full Operating lease adjustment: Reported Operating income,Full Operating lease adjustment: + Current year's operating lease expense,Full Operating lease adjustment: - Depreciation on leased asset,Full Operating lease adjustment: Adjusted Operating Income,R&amp; D expenses: Periods to amortize R&amp;D expenses,R&amp; D expenses: Value of Research Asset,R&amp; D expenses: Amortization of asset for current year,"</v>
      </c>
    </row>
    <row r="82" spans="6:10" x14ac:dyDescent="0.2">
      <c r="F82">
        <f t="shared" si="8"/>
        <v>1</v>
      </c>
      <c r="G82" t="s">
        <v>114</v>
      </c>
      <c r="H82" t="str">
        <f t="shared" si="9"/>
        <v>R&amp; D expenses: Adjustment to Operating Income</v>
      </c>
      <c r="I82" t="str">
        <f t="shared" si="11"/>
        <v>R&amp; D expenses: Adjustment to Operating Income</v>
      </c>
      <c r="J82" t="str">
        <f t="shared" si="10"/>
        <v/>
      </c>
    </row>
    <row r="83" spans="6:10" x14ac:dyDescent="0.2">
      <c r="F83">
        <f t="shared" si="8"/>
        <v>2</v>
      </c>
      <c r="G83" t="s">
        <v>15</v>
      </c>
      <c r="H83" t="str">
        <f t="shared" si="9"/>
        <v>EBITDA: Last fiscal year</v>
      </c>
      <c r="I83" t="str">
        <f t="shared" si="11"/>
        <v>R&amp; D expenses: Adjustment to Operating Income,EBITDA: Last fiscal year</v>
      </c>
      <c r="J83" t="str">
        <f t="shared" si="10"/>
        <v/>
      </c>
    </row>
    <row r="84" spans="6:10" x14ac:dyDescent="0.2">
      <c r="F84">
        <f t="shared" si="8"/>
        <v>3</v>
      </c>
      <c r="G84" t="s">
        <v>16</v>
      </c>
      <c r="H84" t="str">
        <f t="shared" si="9"/>
        <v>EBITDA: Last 12 months</v>
      </c>
      <c r="I84" t="str">
        <f t="shared" si="11"/>
        <v>R&amp; D expenses: Adjustment to Operating Income,EBITDA: Last fiscal year,EBITDA: Last 12 months</v>
      </c>
      <c r="J84" t="str">
        <f t="shared" si="10"/>
        <v/>
      </c>
    </row>
    <row r="85" spans="6:10" x14ac:dyDescent="0.2">
      <c r="F85">
        <f t="shared" si="8"/>
        <v>4</v>
      </c>
      <c r="G85" t="s">
        <v>17</v>
      </c>
      <c r="H85" t="str">
        <f t="shared" si="9"/>
        <v>EBITDA: Forward</v>
      </c>
      <c r="I85" t="str">
        <f t="shared" si="11"/>
        <v>R&amp; D expenses: Adjustment to Operating Income,EBITDA: Last fiscal year,EBITDA: Last 12 months,EBITDA: Forward</v>
      </c>
      <c r="J85" t="str">
        <f t="shared" si="10"/>
        <v/>
      </c>
    </row>
    <row r="86" spans="6:10" x14ac:dyDescent="0.2">
      <c r="F86">
        <f t="shared" si="8"/>
        <v>5</v>
      </c>
      <c r="G86" t="s">
        <v>18</v>
      </c>
      <c r="H86" t="str">
        <f t="shared" si="9"/>
        <v>EBIT: Last fiscal year</v>
      </c>
      <c r="I86" t="str">
        <f t="shared" si="11"/>
        <v>R&amp; D expenses: Adjustment to Operating Income,EBITDA: Last fiscal year,EBITDA: Last 12 months,EBITDA: Forward,EBIT: Last fiscal year</v>
      </c>
      <c r="J86" t="str">
        <f t="shared" si="10"/>
        <v/>
      </c>
    </row>
    <row r="87" spans="6:10" x14ac:dyDescent="0.2">
      <c r="F87">
        <f t="shared" si="8"/>
        <v>6</v>
      </c>
      <c r="G87" t="s">
        <v>19</v>
      </c>
      <c r="H87" t="str">
        <f t="shared" si="9"/>
        <v>EBIT: Last 12 months</v>
      </c>
      <c r="I87" t="str">
        <f t="shared" si="11"/>
        <v>R&amp; D expenses: Adjustment to Operating Income,EBITDA: Last fiscal year,EBITDA: Last 12 months,EBITDA: Forward,EBIT: Last fiscal year,EBIT: Last 12 months</v>
      </c>
      <c r="J87" t="str">
        <f t="shared" si="10"/>
        <v/>
      </c>
    </row>
    <row r="88" spans="6:10" x14ac:dyDescent="0.2">
      <c r="F88">
        <f t="shared" si="8"/>
        <v>7</v>
      </c>
      <c r="G88" t="s">
        <v>20</v>
      </c>
      <c r="H88" t="str">
        <f t="shared" si="9"/>
        <v>EBIT: Forward</v>
      </c>
      <c r="I88" t="str">
        <f t="shared" si="11"/>
        <v>R&amp; D expenses: Adjustment to Operating Income,EBITDA: Last fiscal year,EBITDA: Last 12 months,EBITDA: Forward,EBIT: Last fiscal year,EBIT: Last 12 months,EBIT: Forward</v>
      </c>
      <c r="J88" t="str">
        <f t="shared" si="10"/>
        <v/>
      </c>
    </row>
    <row r="89" spans="6:10" x14ac:dyDescent="0.2">
      <c r="F89">
        <f t="shared" si="8"/>
        <v>8</v>
      </c>
      <c r="G89" t="s">
        <v>60</v>
      </c>
      <c r="H89" t="str">
        <f t="shared" si="9"/>
        <v>After-tax EBIT: Last fiscal year</v>
      </c>
      <c r="I89" t="str">
        <f t="shared" si="11"/>
        <v>R&amp; D expenses: Adjustment to Operating Income,EBITDA: Last fiscal year,EBITDA: Last 12 months,EBITDA: Forward,EBIT: Last fiscal year,EBIT: Last 12 months,EBIT: Forward,After-tax EBIT: Last fiscal year</v>
      </c>
      <c r="J89" t="str">
        <f t="shared" si="10"/>
        <v/>
      </c>
    </row>
    <row r="90" spans="6:10" x14ac:dyDescent="0.2">
      <c r="F90">
        <f t="shared" si="8"/>
        <v>9</v>
      </c>
      <c r="G90" t="s">
        <v>61</v>
      </c>
      <c r="H90" t="str">
        <f t="shared" si="9"/>
        <v>After-tax EBIT: Last 12 months</v>
      </c>
      <c r="I90" t="str">
        <f t="shared" si="11"/>
        <v>R&amp; D expenses: Adjustment to Operating Income,EBITDA: Last fiscal year,EBITDA: Last 12 months,EBITDA: Forward,EBIT: Last fiscal year,EBIT: Last 12 months,EBIT: Forward,After-tax EBIT: Last fiscal year,After-tax EBIT: Last 12 months</v>
      </c>
      <c r="J90" t="str">
        <f t="shared" si="10"/>
        <v/>
      </c>
    </row>
    <row r="91" spans="6:10" x14ac:dyDescent="0.2">
      <c r="F91">
        <f t="shared" si="8"/>
        <v>10</v>
      </c>
      <c r="G91" t="s">
        <v>62</v>
      </c>
      <c r="H91" t="str">
        <f t="shared" si="9"/>
        <v>After-tax EBIT: Forward</v>
      </c>
      <c r="I91" t="str">
        <f t="shared" si="11"/>
        <v>R&amp; D expenses: Adjustment to Operating Income,EBITDA: Last fiscal year,EBITDA: Last 12 months,EBITDA: Forward,EBIT: Last fiscal year,EBIT: Last 12 months,EBIT: Forward,After-tax EBIT: Last fiscal year,After-tax EBIT: Last 12 months,After-tax EBIT: Forward</v>
      </c>
      <c r="J91" t="str">
        <f t="shared" si="10"/>
        <v>HEADINGS_STR=HEADINGS_STR &amp; "R&amp; D expenses: Adjustment to Operating Income,EBITDA: Last fiscal year,EBITDA: Last 12 months,EBITDA: Forward,EBIT: Last fiscal year,EBIT: Last 12 months,EBIT: Forward,After-tax EBIT: Last fiscal year,After-tax EBIT: Last 12 months,After-tax EBIT: Forward,"</v>
      </c>
    </row>
    <row r="92" spans="6:10" x14ac:dyDescent="0.2">
      <c r="F92">
        <f t="shared" si="8"/>
        <v>1</v>
      </c>
      <c r="G92" t="s">
        <v>24</v>
      </c>
      <c r="H92" t="str">
        <f t="shared" si="9"/>
        <v>Net Income: Last fiscal year</v>
      </c>
      <c r="I92" t="str">
        <f t="shared" si="11"/>
        <v>Net Income: Last fiscal year</v>
      </c>
      <c r="J92" t="str">
        <f t="shared" si="10"/>
        <v/>
      </c>
    </row>
    <row r="93" spans="6:10" x14ac:dyDescent="0.2">
      <c r="F93">
        <f t="shared" si="8"/>
        <v>2</v>
      </c>
      <c r="G93" t="s">
        <v>25</v>
      </c>
      <c r="H93" t="str">
        <f t="shared" si="9"/>
        <v>Net Income: Last 12 months</v>
      </c>
      <c r="I93" t="str">
        <f t="shared" si="11"/>
        <v>Net Income: Last fiscal year,Net Income: Last 12 months</v>
      </c>
      <c r="J93" t="str">
        <f t="shared" si="10"/>
        <v/>
      </c>
    </row>
    <row r="94" spans="6:10" x14ac:dyDescent="0.2">
      <c r="F94">
        <f t="shared" si="8"/>
        <v>3</v>
      </c>
      <c r="G94" t="s">
        <v>26</v>
      </c>
      <c r="H94" t="str">
        <f t="shared" si="9"/>
        <v>Net Income: Forward</v>
      </c>
      <c r="I94" t="str">
        <f t="shared" si="11"/>
        <v>Net Income: Last fiscal year,Net Income: Last 12 months,Net Income: Forward</v>
      </c>
      <c r="J94" t="str">
        <f t="shared" si="10"/>
        <v/>
      </c>
    </row>
    <row r="95" spans="6:10" x14ac:dyDescent="0.2">
      <c r="F95">
        <f t="shared" si="8"/>
        <v>4</v>
      </c>
      <c r="G95" t="s">
        <v>63</v>
      </c>
      <c r="H95" t="str">
        <f t="shared" si="9"/>
        <v>Non-cash Net Income: Last fiscal year</v>
      </c>
      <c r="I95" t="str">
        <f t="shared" si="11"/>
        <v>Net Income: Last fiscal year,Net Income: Last 12 months,Net Income: Forward,Non-cash Net Income: Last fiscal year</v>
      </c>
      <c r="J95" t="str">
        <f t="shared" si="10"/>
        <v/>
      </c>
    </row>
    <row r="96" spans="6:10" x14ac:dyDescent="0.2">
      <c r="F96">
        <f t="shared" si="8"/>
        <v>5</v>
      </c>
      <c r="G96" t="s">
        <v>64</v>
      </c>
      <c r="H96" t="str">
        <f t="shared" si="9"/>
        <v>Non-cash Net Income: Last 12 months</v>
      </c>
      <c r="I96" t="str">
        <f t="shared" si="11"/>
        <v>Net Income: Last fiscal year,Net Income: Last 12 months,Net Income: Forward,Non-cash Net Income: Last fiscal year,Non-cash Net Income: Last 12 months</v>
      </c>
      <c r="J96" t="str">
        <f t="shared" si="10"/>
        <v/>
      </c>
    </row>
    <row r="97" spans="6:10" x14ac:dyDescent="0.2">
      <c r="F97">
        <f t="shared" si="8"/>
        <v>6</v>
      </c>
      <c r="G97" t="s">
        <v>65</v>
      </c>
      <c r="H97" t="str">
        <f t="shared" si="9"/>
        <v>Non-cash Net Income: Forward</v>
      </c>
      <c r="I97" t="str">
        <f t="shared" si="11"/>
        <v>Net Income: Last fiscal year,Net Income: Last 12 months,Net Income: Forward,Non-cash Net Income: Last fiscal year,Non-cash Net Income: Last 12 months,Non-cash Net Income: Forward</v>
      </c>
      <c r="J97" t="str">
        <f t="shared" si="10"/>
        <v/>
      </c>
    </row>
    <row r="98" spans="6:10" x14ac:dyDescent="0.2">
      <c r="F98">
        <f t="shared" si="8"/>
        <v>7</v>
      </c>
      <c r="G98" t="s">
        <v>10</v>
      </c>
      <c r="H98" t="str">
        <f t="shared" si="9"/>
        <v>Market Capitalization</v>
      </c>
      <c r="I98" t="str">
        <f t="shared" si="11"/>
        <v>Net Income: Last fiscal year,Net Income: Last 12 months,Net Income: Forward,Non-cash Net Income: Last fiscal year,Non-cash Net Income: Last 12 months,Non-cash Net Income: Forward,Market Capitalization</v>
      </c>
      <c r="J98" t="str">
        <f t="shared" si="10"/>
        <v/>
      </c>
    </row>
    <row r="99" spans="6:10" x14ac:dyDescent="0.2">
      <c r="F99">
        <f t="shared" si="8"/>
        <v>8</v>
      </c>
      <c r="G99" t="s">
        <v>127</v>
      </c>
      <c r="H99" t="str">
        <f t="shared" si="9"/>
        <v>Option Converter: Adjusted Stock Price</v>
      </c>
      <c r="I99" t="str">
        <f t="shared" si="11"/>
        <v>Net Income: Last fiscal year,Net Income: Last 12 months,Net Income: Forward,Non-cash Net Income: Last fiscal year,Non-cash Net Income: Last 12 months,Non-cash Net Income: Forward,Market Capitalization,Option Converter: Adjusted Stock Price</v>
      </c>
      <c r="J99" t="str">
        <f t="shared" si="10"/>
        <v/>
      </c>
    </row>
    <row r="100" spans="6:10" x14ac:dyDescent="0.2">
      <c r="F100">
        <f t="shared" si="8"/>
        <v>9</v>
      </c>
      <c r="G100" t="s">
        <v>128</v>
      </c>
      <c r="H100" t="str">
        <f t="shared" si="9"/>
        <v>Option Converter: Value per option</v>
      </c>
      <c r="I100" t="str">
        <f t="shared" si="11"/>
        <v>Net Income: Last fiscal year,Net Income: Last 12 months,Net Income: Forward,Non-cash Net Income: Last fiscal year,Non-cash Net Income: Last 12 months,Non-cash Net Income: Forward,Market Capitalization,Option Converter: Adjusted Stock Price,Option Converter: Value per option</v>
      </c>
      <c r="J100" t="str">
        <f t="shared" si="10"/>
        <v/>
      </c>
    </row>
    <row r="101" spans="6:10" x14ac:dyDescent="0.2">
      <c r="F101">
        <f t="shared" si="8"/>
        <v>10</v>
      </c>
      <c r="G101" t="s">
        <v>119</v>
      </c>
      <c r="H101" t="str">
        <f t="shared" si="9"/>
        <v>Option Converter: Value of employee options</v>
      </c>
      <c r="I101" t="str">
        <f t="shared" si="11"/>
        <v>Net Income: Last fiscal year,Net Income: Last 12 months,Net Income: Forward,Non-cash Net Income: Last fiscal year,Non-cash Net Income: Last 12 months,Non-cash Net Income: Forward,Market Capitalization,Option Converter: Adjusted Stock Price,Option Converter: Value per option,Option Converter: Value of employee options</v>
      </c>
      <c r="J101" t="str">
        <f t="shared" si="10"/>
        <v>HEADINGS_STR=HEADINGS_STR &amp; "Net Income: Last fiscal year,Net Income: Last 12 months,Net Income: Forward,Non-cash Net Income: Last fiscal year,Non-cash Net Income: Last 12 months,Non-cash Net Income: Forward,Market Capitalization,Option Converter: Adjusted Stock Price,Option Converter: Value per option,Option Converter: Value of employee options,"</v>
      </c>
    </row>
    <row r="102" spans="6:10" x14ac:dyDescent="0.2">
      <c r="F102">
        <f t="shared" si="8"/>
        <v>1</v>
      </c>
      <c r="G102" t="s">
        <v>116</v>
      </c>
      <c r="H102" t="str">
        <f t="shared" si="9"/>
        <v>Convertible breakdown: Straight Debt component</v>
      </c>
      <c r="I102" t="str">
        <f t="shared" si="11"/>
        <v>Convertible breakdown: Straight Debt component</v>
      </c>
      <c r="J102" t="str">
        <f t="shared" si="10"/>
        <v/>
      </c>
    </row>
    <row r="103" spans="6:10" x14ac:dyDescent="0.2">
      <c r="F103">
        <f t="shared" si="8"/>
        <v>2</v>
      </c>
      <c r="G103" t="s">
        <v>117</v>
      </c>
      <c r="H103" t="str">
        <f t="shared" si="9"/>
        <v>Convertible breakdown: Equity Component</v>
      </c>
      <c r="I103" t="str">
        <f t="shared" si="11"/>
        <v>Convertible breakdown: Straight Debt component,Convertible breakdown: Equity Component</v>
      </c>
      <c r="J103" t="str">
        <f t="shared" si="10"/>
        <v/>
      </c>
    </row>
    <row r="104" spans="6:10" x14ac:dyDescent="0.2">
      <c r="F104">
        <f t="shared" si="8"/>
        <v>3</v>
      </c>
      <c r="G104" t="s">
        <v>118</v>
      </c>
      <c r="H104" t="str">
        <f t="shared" si="9"/>
        <v>Convertible breakdown: Preferred Stock component</v>
      </c>
      <c r="I104" t="str">
        <f t="shared" si="11"/>
        <v>Convertible breakdown: Straight Debt component,Convertible breakdown: Equity Component,Convertible breakdown: Preferred Stock component</v>
      </c>
      <c r="J104" t="str">
        <f t="shared" si="10"/>
        <v/>
      </c>
    </row>
    <row r="105" spans="6:10" x14ac:dyDescent="0.2">
      <c r="F105">
        <f t="shared" si="8"/>
        <v>4</v>
      </c>
      <c r="G105" t="s">
        <v>117</v>
      </c>
      <c r="H105" t="str">
        <f t="shared" si="9"/>
        <v>Convertible breakdown: Equity Component</v>
      </c>
      <c r="I105" t="str">
        <f t="shared" si="11"/>
        <v>Convertible breakdown: Straight Debt component,Convertible breakdown: Equity Component,Convertible breakdown: Preferred Stock component,Convertible breakdown: Equity Component</v>
      </c>
      <c r="J105" t="str">
        <f t="shared" si="10"/>
        <v/>
      </c>
    </row>
    <row r="106" spans="6:10" x14ac:dyDescent="0.2">
      <c r="F106">
        <f t="shared" si="8"/>
        <v>5</v>
      </c>
      <c r="G106" t="s">
        <v>120</v>
      </c>
      <c r="H106" t="str">
        <f t="shared" si="9"/>
        <v>Convertible breakdown: Value of Conversion options</v>
      </c>
      <c r="I106" t="str">
        <f t="shared" si="11"/>
        <v>Convertible breakdown: Straight Debt component,Convertible breakdown: Equity Component,Convertible breakdown: Preferred Stock component,Convertible breakdown: Equity Component,Convertible breakdown: Value of Conversion options</v>
      </c>
      <c r="J106" t="str">
        <f t="shared" si="10"/>
        <v/>
      </c>
    </row>
    <row r="107" spans="6:10" x14ac:dyDescent="0.2">
      <c r="F107">
        <f t="shared" si="8"/>
        <v>6</v>
      </c>
      <c r="G107" t="s">
        <v>8</v>
      </c>
      <c r="H107" t="str">
        <f t="shared" si="9"/>
        <v>Market Value of all equity</v>
      </c>
      <c r="I107" t="str">
        <f t="shared" si="11"/>
        <v>Convertible breakdown: Straight Debt component,Convertible breakdown: Equity Component,Convertible breakdown: Preferred Stock component,Convertible breakdown: Equity Component,Convertible breakdown: Value of Conversion options,Market Value of all equity</v>
      </c>
      <c r="J107" t="str">
        <f t="shared" si="10"/>
        <v/>
      </c>
    </row>
    <row r="108" spans="6:10" x14ac:dyDescent="0.2">
      <c r="F108">
        <f t="shared" si="8"/>
        <v>7</v>
      </c>
      <c r="G108" t="s">
        <v>81</v>
      </c>
      <c r="H108" t="str">
        <f t="shared" si="9"/>
        <v>Market value of interest bearing debt</v>
      </c>
      <c r="I108" t="str">
        <f t="shared" si="11"/>
        <v>Convertible breakdown: Straight Debt component,Convertible breakdown: Equity Component,Convertible breakdown: Preferred Stock component,Convertible breakdown: Equity Component,Convertible breakdown: Value of Conversion options,Market Value of all equity,Market value of interest bearing debt</v>
      </c>
      <c r="J108" t="str">
        <f t="shared" si="10"/>
        <v/>
      </c>
    </row>
    <row r="109" spans="6:10" x14ac:dyDescent="0.2">
      <c r="F109">
        <f t="shared" si="8"/>
        <v>8</v>
      </c>
      <c r="G109" t="s">
        <v>80</v>
      </c>
      <c r="H109" t="str">
        <f t="shared" si="9"/>
        <v>Debt value of leases (if any)</v>
      </c>
      <c r="I109" t="str">
        <f t="shared" si="11"/>
        <v>Convertible breakdown: Straight Debt component,Convertible breakdown: Equity Component,Convertible breakdown: Preferred Stock component,Convertible breakdown: Equity Component,Convertible breakdown: Value of Conversion options,Market Value of all equity,Market value of interest bearing debt,Debt value of leases (if any)</v>
      </c>
      <c r="J109" t="str">
        <f t="shared" si="10"/>
        <v/>
      </c>
    </row>
    <row r="110" spans="6:10" x14ac:dyDescent="0.2">
      <c r="F110">
        <f t="shared" si="8"/>
        <v>9</v>
      </c>
      <c r="G110" t="s">
        <v>9</v>
      </c>
      <c r="H110" t="str">
        <f t="shared" si="9"/>
        <v>Market Value of all debt</v>
      </c>
      <c r="I110" t="str">
        <f t="shared" si="11"/>
        <v>Convertible breakdown: Straight Debt component,Convertible breakdown: Equity Component,Convertible breakdown: Preferred Stock component,Convertible breakdown: Equity Component,Convertible breakdown: Value of Conversion options,Market Value of all equity,Market value of interest bearing debt,Debt value of leases (if any),Market Value of all debt</v>
      </c>
      <c r="J110" t="str">
        <f t="shared" si="10"/>
        <v/>
      </c>
    </row>
    <row r="111" spans="6:10" x14ac:dyDescent="0.2">
      <c r="F111">
        <f t="shared" si="8"/>
        <v>10</v>
      </c>
      <c r="G111" t="s">
        <v>11</v>
      </c>
      <c r="H111" t="str">
        <f t="shared" si="9"/>
        <v>Market value of preferred stock</v>
      </c>
      <c r="I111" t="str">
        <f t="shared" si="11"/>
        <v>Convertible breakdown: Straight Debt component,Convertible breakdown: Equity Component,Convertible breakdown: Preferred Stock component,Convertible breakdown: Equity Component,Convertible breakdown: Value of Conversion options,Market Value of all equity,Market value of interest bearing debt,Debt value of leases (if any),Market Value of all debt,Market value of preferred stock</v>
      </c>
      <c r="J111" t="str">
        <f t="shared" si="10"/>
        <v>HEADINGS_STR=HEADINGS_STR &amp; "Convertible breakdown: Straight Debt component,Convertible breakdown: Equity Component,Convertible breakdown: Preferred Stock component,Convertible breakdown: Equity Component,Convertible breakdown: Value of Conversion options,Market Value of all equity,Market value of interest bearing debt,Debt value of leases (if any),Market Value of all debt,Market value of preferred stock,"</v>
      </c>
    </row>
    <row r="112" spans="6:10" x14ac:dyDescent="0.2">
      <c r="F112">
        <f t="shared" si="8"/>
        <v>1</v>
      </c>
      <c r="G112" t="s">
        <v>67</v>
      </c>
      <c r="H112" t="str">
        <f t="shared" si="9"/>
        <v>Book Value: Equity</v>
      </c>
      <c r="I112" t="str">
        <f t="shared" si="11"/>
        <v>Book Value: Equity</v>
      </c>
      <c r="J112" t="str">
        <f t="shared" si="10"/>
        <v/>
      </c>
    </row>
    <row r="113" spans="6:10" x14ac:dyDescent="0.2">
      <c r="F113">
        <f t="shared" si="8"/>
        <v>2</v>
      </c>
      <c r="G113" t="s">
        <v>68</v>
      </c>
      <c r="H113" t="str">
        <f t="shared" si="9"/>
        <v>Book Value: + Debt</v>
      </c>
      <c r="I113" t="str">
        <f t="shared" si="11"/>
        <v>Book Value: Equity,Book Value: + Debt</v>
      </c>
      <c r="J113" t="str">
        <f t="shared" si="10"/>
        <v/>
      </c>
    </row>
    <row r="114" spans="6:10" x14ac:dyDescent="0.2">
      <c r="F114">
        <f t="shared" si="8"/>
        <v>3</v>
      </c>
      <c r="G114" t="s">
        <v>69</v>
      </c>
      <c r="H114" t="str">
        <f t="shared" si="9"/>
        <v>Book Value: + Preferred</v>
      </c>
      <c r="I114" t="str">
        <f t="shared" si="11"/>
        <v>Book Value: Equity,Book Value: + Debt,Book Value: + Preferred</v>
      </c>
      <c r="J114" t="str">
        <f t="shared" si="10"/>
        <v/>
      </c>
    </row>
    <row r="115" spans="6:10" x14ac:dyDescent="0.2">
      <c r="F115">
        <f t="shared" si="8"/>
        <v>4</v>
      </c>
      <c r="G115" t="s">
        <v>70</v>
      </c>
      <c r="H115" t="str">
        <f t="shared" si="9"/>
        <v>Book Value: - Cash</v>
      </c>
      <c r="I115" t="str">
        <f t="shared" si="11"/>
        <v>Book Value: Equity,Book Value: + Debt,Book Value: + Preferred,Book Value: - Cash</v>
      </c>
      <c r="J115" t="str">
        <f t="shared" si="10"/>
        <v/>
      </c>
    </row>
    <row r="116" spans="6:10" x14ac:dyDescent="0.2">
      <c r="F116">
        <f t="shared" si="8"/>
        <v>5</v>
      </c>
      <c r="G116" t="s">
        <v>71</v>
      </c>
      <c r="H116" t="str">
        <f t="shared" si="9"/>
        <v>Book Value: Invested Capital</v>
      </c>
      <c r="I116" t="str">
        <f t="shared" si="11"/>
        <v>Book Value: Equity,Book Value: + Debt,Book Value: + Preferred,Book Value: - Cash,Book Value: Invested Capital</v>
      </c>
      <c r="J116" t="str">
        <f t="shared" si="10"/>
        <v/>
      </c>
    </row>
    <row r="117" spans="6:10" x14ac:dyDescent="0.2">
      <c r="F117">
        <f t="shared" si="8"/>
        <v>6</v>
      </c>
      <c r="G117" t="s">
        <v>72</v>
      </c>
      <c r="H117" t="str">
        <f t="shared" si="9"/>
        <v>Firm Value: Market Value of Equity</v>
      </c>
      <c r="I117" t="str">
        <f t="shared" si="11"/>
        <v>Book Value: Equity,Book Value: + Debt,Book Value: + Preferred,Book Value: - Cash,Book Value: Invested Capital,Firm Value: Market Value of Equity</v>
      </c>
      <c r="J117" t="str">
        <f t="shared" si="10"/>
        <v/>
      </c>
    </row>
    <row r="118" spans="6:10" x14ac:dyDescent="0.2">
      <c r="F118">
        <f t="shared" si="8"/>
        <v>7</v>
      </c>
      <c r="G118" t="s">
        <v>73</v>
      </c>
      <c r="H118" t="str">
        <f t="shared" si="9"/>
        <v>Firm Value: + Market Value of Debt</v>
      </c>
      <c r="I118" t="str">
        <f t="shared" si="11"/>
        <v>Book Value: Equity,Book Value: + Debt,Book Value: + Preferred,Book Value: - Cash,Book Value: Invested Capital,Firm Value: Market Value of Equity,Firm Value: + Market Value of Debt</v>
      </c>
      <c r="J118" t="str">
        <f t="shared" si="10"/>
        <v/>
      </c>
    </row>
    <row r="119" spans="6:10" x14ac:dyDescent="0.2">
      <c r="F119">
        <f t="shared" si="8"/>
        <v>8</v>
      </c>
      <c r="G119" t="s">
        <v>74</v>
      </c>
      <c r="H119" t="str">
        <f t="shared" si="9"/>
        <v>Firm Value: + Market Value of Preferred</v>
      </c>
      <c r="I119" t="str">
        <f t="shared" si="11"/>
        <v>Book Value: Equity,Book Value: + Debt,Book Value: + Preferred,Book Value: - Cash,Book Value: Invested Capital,Firm Value: Market Value of Equity,Firm Value: + Market Value of Debt,Firm Value: + Market Value of Preferred</v>
      </c>
      <c r="J119" t="str">
        <f t="shared" si="10"/>
        <v/>
      </c>
    </row>
    <row r="120" spans="6:10" x14ac:dyDescent="0.2">
      <c r="F120">
        <f t="shared" si="8"/>
        <v>9</v>
      </c>
      <c r="G120" t="s">
        <v>75</v>
      </c>
      <c r="H120" t="str">
        <f t="shared" si="9"/>
        <v>Firm Value: - Cash</v>
      </c>
      <c r="I120" t="str">
        <f t="shared" si="11"/>
        <v>Book Value: Equity,Book Value: + Debt,Book Value: + Preferred,Book Value: - Cash,Book Value: Invested Capital,Firm Value: Market Value of Equity,Firm Value: + Market Value of Debt,Firm Value: + Market Value of Preferred,Firm Value: - Cash</v>
      </c>
      <c r="J120" t="str">
        <f t="shared" si="10"/>
        <v/>
      </c>
    </row>
    <row r="121" spans="6:10" x14ac:dyDescent="0.2">
      <c r="F121">
        <f t="shared" si="8"/>
        <v>10</v>
      </c>
      <c r="G121" t="s">
        <v>76</v>
      </c>
      <c r="H121" t="str">
        <f t="shared" si="9"/>
        <v>Firm Value: - Market value of minority holdings</v>
      </c>
      <c r="I121" t="str">
        <f t="shared" si="11"/>
        <v>Book Value: Equity,Book Value: + Debt,Book Value: + Preferred,Book Value: - Cash,Book Value: Invested Capital,Firm Value: Market Value of Equity,Firm Value: + Market Value of Debt,Firm Value: + Market Value of Preferred,Firm Value: - Cash,Firm Value: - Market value of minority holdings</v>
      </c>
      <c r="J121" t="str">
        <f t="shared" si="10"/>
        <v>HEADINGS_STR=HEADINGS_STR &amp; "Book Value: Equity,Book Value: + Debt,Book Value: + Preferred,Book Value: - Cash,Book Value: Invested Capital,Firm Value: Market Value of Equity,Firm Value: + Market Value of Debt,Firm Value: + Market Value of Preferred,Firm Value: - Cash,Firm Value: - Market value of minority holdings,"</v>
      </c>
    </row>
    <row r="122" spans="6:10" x14ac:dyDescent="0.2">
      <c r="F122">
        <f t="shared" si="8"/>
        <v>1</v>
      </c>
      <c r="G122" t="s">
        <v>77</v>
      </c>
      <c r="H122" t="str">
        <f t="shared" si="9"/>
        <v>Firm Value: + Market value of Minority Interest</v>
      </c>
      <c r="I122" t="str">
        <f t="shared" si="11"/>
        <v>Firm Value: + Market value of Minority Interest</v>
      </c>
      <c r="J122" t="str">
        <f t="shared" si="10"/>
        <v/>
      </c>
    </row>
    <row r="123" spans="6:10" x14ac:dyDescent="0.2">
      <c r="F123">
        <f t="shared" si="8"/>
        <v>2</v>
      </c>
      <c r="G123" t="s">
        <v>78</v>
      </c>
      <c r="H123" t="str">
        <f t="shared" si="9"/>
        <v>Firm Value: Enterprise Value</v>
      </c>
      <c r="I123" t="str">
        <f t="shared" si="11"/>
        <v>Firm Value: + Market value of Minority Interest,Firm Value: Enterprise Value</v>
      </c>
      <c r="J123" t="str">
        <f t="shared" si="10"/>
        <v/>
      </c>
    </row>
    <row r="124" spans="6:10" x14ac:dyDescent="0.2">
      <c r="F124">
        <f t="shared" si="8"/>
        <v>3</v>
      </c>
      <c r="G124" t="s">
        <v>79</v>
      </c>
      <c r="H124" t="str">
        <f t="shared" si="9"/>
        <v>Firm Value: Firm Value (with minority interest)</v>
      </c>
      <c r="I124" t="str">
        <f t="shared" si="11"/>
        <v>Firm Value: + Market value of Minority Interest,Firm Value: Enterprise Value,Firm Value: Firm Value (with minority interest)</v>
      </c>
      <c r="J124" t="str">
        <f t="shared" si="10"/>
        <v/>
      </c>
    </row>
    <row r="125" spans="6:10" x14ac:dyDescent="0.2">
      <c r="F125">
        <f t="shared" si="8"/>
        <v>4</v>
      </c>
      <c r="G125" t="s">
        <v>82</v>
      </c>
      <c r="H125" t="str">
        <f t="shared" si="9"/>
        <v>EV/Sales: Current</v>
      </c>
      <c r="I125" t="str">
        <f t="shared" si="11"/>
        <v>Firm Value: + Market value of Minority Interest,Firm Value: Enterprise Value,Firm Value: Firm Value (with minority interest),EV/Sales: Current</v>
      </c>
      <c r="J125" t="str">
        <f t="shared" si="10"/>
        <v/>
      </c>
    </row>
    <row r="126" spans="6:10" x14ac:dyDescent="0.2">
      <c r="F126">
        <f t="shared" si="8"/>
        <v>5</v>
      </c>
      <c r="G126" t="s">
        <v>83</v>
      </c>
      <c r="H126" t="str">
        <f t="shared" si="9"/>
        <v>EV/Sales: Trailing</v>
      </c>
      <c r="I126" t="str">
        <f t="shared" si="11"/>
        <v>Firm Value: + Market value of Minority Interest,Firm Value: Enterprise Value,Firm Value: Firm Value (with minority interest),EV/Sales: Current,EV/Sales: Trailing</v>
      </c>
      <c r="J126" t="str">
        <f t="shared" si="10"/>
        <v/>
      </c>
    </row>
    <row r="127" spans="6:10" x14ac:dyDescent="0.2">
      <c r="F127">
        <f t="shared" si="8"/>
        <v>6</v>
      </c>
      <c r="G127" t="s">
        <v>84</v>
      </c>
      <c r="H127" t="str">
        <f t="shared" si="9"/>
        <v>EV/Sales: Forward</v>
      </c>
      <c r="I127" t="str">
        <f t="shared" si="11"/>
        <v>Firm Value: + Market value of Minority Interest,Firm Value: Enterprise Value,Firm Value: Firm Value (with minority interest),EV/Sales: Current,EV/Sales: Trailing,EV/Sales: Forward</v>
      </c>
      <c r="J127" t="str">
        <f t="shared" si="10"/>
        <v/>
      </c>
    </row>
    <row r="128" spans="6:10" x14ac:dyDescent="0.2">
      <c r="F128">
        <f t="shared" si="8"/>
        <v>7</v>
      </c>
      <c r="G128" t="s">
        <v>85</v>
      </c>
      <c r="H128" t="str">
        <f t="shared" si="9"/>
        <v>EV/EBITDA: Current</v>
      </c>
      <c r="I128" t="str">
        <f t="shared" si="11"/>
        <v>Firm Value: + Market value of Minority Interest,Firm Value: Enterprise Value,Firm Value: Firm Value (with minority interest),EV/Sales: Current,EV/Sales: Trailing,EV/Sales: Forward,EV/EBITDA: Current</v>
      </c>
      <c r="J128" t="str">
        <f t="shared" si="10"/>
        <v/>
      </c>
    </row>
    <row r="129" spans="6:10" x14ac:dyDescent="0.2">
      <c r="F129">
        <f t="shared" si="8"/>
        <v>8</v>
      </c>
      <c r="G129" t="s">
        <v>86</v>
      </c>
      <c r="H129" t="str">
        <f t="shared" si="9"/>
        <v>EV/EBITDA: Trailing</v>
      </c>
      <c r="I129" t="str">
        <f t="shared" si="11"/>
        <v>Firm Value: + Market value of Minority Interest,Firm Value: Enterprise Value,Firm Value: Firm Value (with minority interest),EV/Sales: Current,EV/Sales: Trailing,EV/Sales: Forward,EV/EBITDA: Current,EV/EBITDA: Trailing</v>
      </c>
      <c r="J129" t="str">
        <f t="shared" si="10"/>
        <v/>
      </c>
    </row>
    <row r="130" spans="6:10" x14ac:dyDescent="0.2">
      <c r="F130">
        <f t="shared" si="8"/>
        <v>9</v>
      </c>
      <c r="G130" t="s">
        <v>87</v>
      </c>
      <c r="H130" t="str">
        <f t="shared" si="9"/>
        <v>EV/EBITDA: Forward</v>
      </c>
      <c r="I130" t="str">
        <f t="shared" si="11"/>
        <v>Firm Value: + Market value of Minority Interest,Firm Value: Enterprise Value,Firm Value: Firm Value (with minority interest),EV/Sales: Current,EV/Sales: Trailing,EV/Sales: Forward,EV/EBITDA: Current,EV/EBITDA: Trailing,EV/EBITDA: Forward</v>
      </c>
      <c r="J130" t="str">
        <f t="shared" si="10"/>
        <v/>
      </c>
    </row>
    <row r="131" spans="6:10" x14ac:dyDescent="0.2">
      <c r="F131">
        <f t="shared" ref="F131:F145" si="12">(IF(F130+1&gt;10,1,F130+1))</f>
        <v>10</v>
      </c>
      <c r="G131" t="s">
        <v>88</v>
      </c>
      <c r="H131" t="str">
        <f t="shared" ref="H131:H145" si="13">TRIM(G131)</f>
        <v>EV/EBIT: Current</v>
      </c>
      <c r="I131" t="str">
        <f t="shared" si="11"/>
        <v>Firm Value: + Market value of Minority Interest,Firm Value: Enterprise Value,Firm Value: Firm Value (with minority interest),EV/Sales: Current,EV/Sales: Trailing,EV/Sales: Forward,EV/EBITDA: Current,EV/EBITDA: Trailing,EV/EBITDA: Forward,EV/EBIT: Current</v>
      </c>
      <c r="J131" t="str">
        <f t="shared" si="10"/>
        <v>HEADINGS_STR=HEADINGS_STR &amp; "Firm Value: + Market value of Minority Interest,Firm Value: Enterprise Value,Firm Value: Firm Value (with minority interest),EV/Sales: Current,EV/Sales: Trailing,EV/Sales: Forward,EV/EBITDA: Current,EV/EBITDA: Trailing,EV/EBITDA: Forward,EV/EBIT: Current,"</v>
      </c>
    </row>
    <row r="132" spans="6:10" x14ac:dyDescent="0.2">
      <c r="F132">
        <f t="shared" si="12"/>
        <v>1</v>
      </c>
      <c r="G132" t="s">
        <v>89</v>
      </c>
      <c r="H132" t="str">
        <f t="shared" si="13"/>
        <v>EV/EBIT: Trailing</v>
      </c>
      <c r="I132" t="str">
        <f t="shared" si="11"/>
        <v>EV/EBIT: Trailing</v>
      </c>
      <c r="J132" t="str">
        <f t="shared" si="10"/>
        <v/>
      </c>
    </row>
    <row r="133" spans="6:10" x14ac:dyDescent="0.2">
      <c r="F133">
        <f t="shared" si="12"/>
        <v>2</v>
      </c>
      <c r="G133" t="s">
        <v>90</v>
      </c>
      <c r="H133" t="str">
        <f t="shared" si="13"/>
        <v>EV/EBIT: Forward</v>
      </c>
      <c r="I133" t="str">
        <f t="shared" si="11"/>
        <v>EV/EBIT: Trailing,EV/EBIT: Forward</v>
      </c>
      <c r="J133" t="str">
        <f t="shared" si="10"/>
        <v/>
      </c>
    </row>
    <row r="134" spans="6:10" x14ac:dyDescent="0.2">
      <c r="F134">
        <f t="shared" si="12"/>
        <v>3</v>
      </c>
      <c r="G134" t="s">
        <v>91</v>
      </c>
      <c r="H134" t="str">
        <f t="shared" si="13"/>
        <v>EV/ After-tax EBIT: Current</v>
      </c>
      <c r="I134" t="str">
        <f t="shared" si="11"/>
        <v>EV/EBIT: Trailing,EV/EBIT: Forward,EV/ After-tax EBIT: Current</v>
      </c>
      <c r="J134" t="str">
        <f t="shared" si="10"/>
        <v/>
      </c>
    </row>
    <row r="135" spans="6:10" x14ac:dyDescent="0.2">
      <c r="F135">
        <f t="shared" si="12"/>
        <v>4</v>
      </c>
      <c r="G135" t="s">
        <v>92</v>
      </c>
      <c r="H135" t="str">
        <f t="shared" si="13"/>
        <v>EV/ After-tax EBIT: Trailing</v>
      </c>
      <c r="I135" t="str">
        <f t="shared" si="11"/>
        <v>EV/EBIT: Trailing,EV/EBIT: Forward,EV/ After-tax EBIT: Current,EV/ After-tax EBIT: Trailing</v>
      </c>
      <c r="J135" t="str">
        <f t="shared" si="10"/>
        <v/>
      </c>
    </row>
    <row r="136" spans="6:10" x14ac:dyDescent="0.2">
      <c r="F136">
        <f t="shared" si="12"/>
        <v>5</v>
      </c>
      <c r="G136" t="s">
        <v>93</v>
      </c>
      <c r="H136" t="str">
        <f t="shared" si="13"/>
        <v>EV/ After-tax EBIT: Forward</v>
      </c>
      <c r="I136" t="str">
        <f t="shared" si="11"/>
        <v>EV/EBIT: Trailing,EV/EBIT: Forward,EV/ After-tax EBIT: Current,EV/ After-tax EBIT: Trailing,EV/ After-tax EBIT: Forward</v>
      </c>
      <c r="J136" t="str">
        <f t="shared" si="10"/>
        <v/>
      </c>
    </row>
    <row r="137" spans="6:10" x14ac:dyDescent="0.2">
      <c r="F137">
        <f t="shared" si="12"/>
        <v>6</v>
      </c>
      <c r="G137" t="s">
        <v>94</v>
      </c>
      <c r="H137" t="str">
        <f t="shared" si="13"/>
        <v>PE: Current</v>
      </c>
      <c r="I137" t="str">
        <f t="shared" si="11"/>
        <v>EV/EBIT: Trailing,EV/EBIT: Forward,EV/ After-tax EBIT: Current,EV/ After-tax EBIT: Trailing,EV/ After-tax EBIT: Forward,PE: Current</v>
      </c>
      <c r="J137" t="str">
        <f t="shared" si="10"/>
        <v/>
      </c>
    </row>
    <row r="138" spans="6:10" x14ac:dyDescent="0.2">
      <c r="F138">
        <f t="shared" si="12"/>
        <v>7</v>
      </c>
      <c r="G138" t="s">
        <v>95</v>
      </c>
      <c r="H138" t="str">
        <f t="shared" si="13"/>
        <v>PE: Trailing</v>
      </c>
      <c r="I138" t="str">
        <f t="shared" si="11"/>
        <v>EV/EBIT: Trailing,EV/EBIT: Forward,EV/ After-tax EBIT: Current,EV/ After-tax EBIT: Trailing,EV/ After-tax EBIT: Forward,PE: Current,PE: Trailing</v>
      </c>
      <c r="J138" t="str">
        <f t="shared" si="10"/>
        <v/>
      </c>
    </row>
    <row r="139" spans="6:10" x14ac:dyDescent="0.2">
      <c r="F139">
        <f t="shared" si="12"/>
        <v>8</v>
      </c>
      <c r="G139" t="s">
        <v>96</v>
      </c>
      <c r="H139" t="str">
        <f t="shared" si="13"/>
        <v>PE: Forward</v>
      </c>
      <c r="I139" t="str">
        <f t="shared" si="11"/>
        <v>EV/EBIT: Trailing,EV/EBIT: Forward,EV/ After-tax EBIT: Current,EV/ After-tax EBIT: Trailing,EV/ After-tax EBIT: Forward,PE: Current,PE: Trailing,PE: Forward</v>
      </c>
      <c r="J139" t="str">
        <f t="shared" si="10"/>
        <v/>
      </c>
    </row>
    <row r="140" spans="6:10" x14ac:dyDescent="0.2">
      <c r="F140">
        <f t="shared" si="12"/>
        <v>9</v>
      </c>
      <c r="G140" t="s">
        <v>97</v>
      </c>
      <c r="H140" t="str">
        <f t="shared" si="13"/>
        <v>Non-cash PE: Current</v>
      </c>
      <c r="I140" t="str">
        <f t="shared" si="11"/>
        <v>EV/EBIT: Trailing,EV/EBIT: Forward,EV/ After-tax EBIT: Current,EV/ After-tax EBIT: Trailing,EV/ After-tax EBIT: Forward,PE: Current,PE: Trailing,PE: Forward,Non-cash PE: Current</v>
      </c>
      <c r="J140" t="str">
        <f t="shared" ref="J140:J145" si="14">IF(F140=10,"HEADINGS_STR=HEADINGS_STR"&amp;" &amp; "&amp;""""&amp;I140&amp;","&amp;"""","")</f>
        <v/>
      </c>
    </row>
    <row r="141" spans="6:10" x14ac:dyDescent="0.2">
      <c r="F141">
        <f t="shared" si="12"/>
        <v>10</v>
      </c>
      <c r="G141" t="s">
        <v>98</v>
      </c>
      <c r="H141" t="str">
        <f t="shared" si="13"/>
        <v>Non-cash PE: Trailing</v>
      </c>
      <c r="I141" t="str">
        <f t="shared" si="11"/>
        <v>EV/EBIT: Trailing,EV/EBIT: Forward,EV/ After-tax EBIT: Current,EV/ After-tax EBIT: Trailing,EV/ After-tax EBIT: Forward,PE: Current,PE: Trailing,PE: Forward,Non-cash PE: Current,Non-cash PE: Trailing</v>
      </c>
      <c r="J141" t="str">
        <f t="shared" si="14"/>
        <v>HEADINGS_STR=HEADINGS_STR &amp; "EV/EBIT: Trailing,EV/EBIT: Forward,EV/ After-tax EBIT: Current,EV/ After-tax EBIT: Trailing,EV/ After-tax EBIT: Forward,PE: Current,PE: Trailing,PE: Forward,Non-cash PE: Current,Non-cash PE: Trailing,"</v>
      </c>
    </row>
    <row r="142" spans="6:10" x14ac:dyDescent="0.2">
      <c r="F142">
        <f t="shared" si="12"/>
        <v>1</v>
      </c>
      <c r="G142" t="s">
        <v>99</v>
      </c>
      <c r="H142" t="str">
        <f t="shared" si="13"/>
        <v>Non-cash PE: Forward</v>
      </c>
      <c r="I142" t="str">
        <f t="shared" si="11"/>
        <v>Non-cash PE: Forward</v>
      </c>
      <c r="J142" t="str">
        <f t="shared" si="14"/>
        <v/>
      </c>
    </row>
    <row r="143" spans="6:10" x14ac:dyDescent="0.2">
      <c r="F143">
        <f t="shared" si="12"/>
        <v>2</v>
      </c>
      <c r="G143" t="s">
        <v>100</v>
      </c>
      <c r="H143" t="str">
        <f t="shared" si="13"/>
        <v>EV/ Invested Capital: Current</v>
      </c>
      <c r="I143" t="str">
        <f t="shared" ref="I143:I145" si="15">IF(F143=1,H143,I142&amp;","&amp;H143)</f>
        <v>Non-cash PE: Forward,EV/ Invested Capital: Current</v>
      </c>
      <c r="J143" t="str">
        <f t="shared" si="14"/>
        <v/>
      </c>
    </row>
    <row r="144" spans="6:10" x14ac:dyDescent="0.2">
      <c r="F144">
        <f t="shared" si="12"/>
        <v>3</v>
      </c>
      <c r="G144" t="s">
        <v>101</v>
      </c>
      <c r="H144" t="str">
        <f t="shared" si="13"/>
        <v>PBV: Current</v>
      </c>
      <c r="I144" t="str">
        <f t="shared" si="15"/>
        <v>Non-cash PE: Forward,EV/ Invested Capital: Current,PBV: Current</v>
      </c>
      <c r="J144" t="str">
        <f t="shared" si="14"/>
        <v/>
      </c>
    </row>
    <row r="145" spans="6:10" x14ac:dyDescent="0.2">
      <c r="F145">
        <f t="shared" si="12"/>
        <v>4</v>
      </c>
      <c r="G145" t="s">
        <v>102</v>
      </c>
      <c r="H145" t="str">
        <f t="shared" si="13"/>
        <v>Non-cash PBV: Current</v>
      </c>
      <c r="I145" t="str">
        <f t="shared" si="15"/>
        <v>Non-cash PE: Forward,EV/ Invested Capital: Current,PBV: Current,Non-cash PBV: Current</v>
      </c>
      <c r="J145" t="str">
        <f t="shared" si="14"/>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EO15"/>
  <sheetViews>
    <sheetView showGridLines="0" topLeftCell="BS1" workbookViewId="0">
      <selection activeCell="CF5" sqref="CF5"/>
    </sheetView>
  </sheetViews>
  <sheetFormatPr baseColWidth="10" defaultColWidth="15.6640625" defaultRowHeight="15" customHeight="1" x14ac:dyDescent="0.2"/>
  <cols>
    <col min="1" max="1" width="3.6640625" style="1" customWidth="1"/>
    <col min="2" max="71" width="15.6640625" style="1" customWidth="1"/>
    <col min="72" max="72" width="17.6640625" style="1" bestFit="1" customWidth="1"/>
    <col min="73" max="82" width="15.6640625" style="1" customWidth="1"/>
    <col min="83" max="16384" width="15.6640625" style="1"/>
  </cols>
  <sheetData>
    <row r="1" spans="2:145" ht="15" customHeight="1" x14ac:dyDescent="0.2">
      <c r="H1" s="22" t="s">
        <v>115</v>
      </c>
      <c r="BR1" s="2">
        <v>1</v>
      </c>
      <c r="BS1" s="2">
        <f>BR1+1</f>
        <v>2</v>
      </c>
      <c r="BT1" s="2">
        <f t="shared" ref="BT1:CX1" si="0">BS1+1</f>
        <v>3</v>
      </c>
      <c r="BU1" s="2">
        <f t="shared" si="0"/>
        <v>4</v>
      </c>
      <c r="BV1" s="2">
        <f t="shared" si="0"/>
        <v>5</v>
      </c>
      <c r="BW1" s="2">
        <f t="shared" si="0"/>
        <v>6</v>
      </c>
      <c r="BX1" s="2">
        <f t="shared" si="0"/>
        <v>7</v>
      </c>
      <c r="BY1" s="2">
        <f t="shared" si="0"/>
        <v>8</v>
      </c>
      <c r="BZ1" s="2">
        <f t="shared" si="0"/>
        <v>9</v>
      </c>
      <c r="CA1" s="2">
        <f t="shared" si="0"/>
        <v>10</v>
      </c>
      <c r="CB1" s="2">
        <f t="shared" si="0"/>
        <v>11</v>
      </c>
      <c r="CC1" s="2">
        <f t="shared" si="0"/>
        <v>12</v>
      </c>
      <c r="CD1" s="2">
        <f t="shared" si="0"/>
        <v>13</v>
      </c>
      <c r="CE1" s="2">
        <f t="shared" si="0"/>
        <v>14</v>
      </c>
      <c r="CF1" s="2">
        <f t="shared" si="0"/>
        <v>15</v>
      </c>
      <c r="CG1" s="2">
        <f t="shared" si="0"/>
        <v>16</v>
      </c>
      <c r="CH1" s="2">
        <f t="shared" si="0"/>
        <v>17</v>
      </c>
      <c r="CI1" s="2">
        <f t="shared" si="0"/>
        <v>18</v>
      </c>
      <c r="CJ1" s="2">
        <f t="shared" si="0"/>
        <v>19</v>
      </c>
      <c r="CK1" s="2">
        <f t="shared" si="0"/>
        <v>20</v>
      </c>
      <c r="CL1" s="2">
        <f t="shared" si="0"/>
        <v>21</v>
      </c>
      <c r="CM1" s="2">
        <f t="shared" si="0"/>
        <v>22</v>
      </c>
      <c r="CN1" s="2">
        <f t="shared" si="0"/>
        <v>23</v>
      </c>
      <c r="CO1" s="2">
        <f t="shared" si="0"/>
        <v>24</v>
      </c>
      <c r="CP1" s="2">
        <f t="shared" si="0"/>
        <v>25</v>
      </c>
      <c r="CQ1" s="2">
        <f t="shared" si="0"/>
        <v>26</v>
      </c>
      <c r="CR1" s="2">
        <f t="shared" si="0"/>
        <v>27</v>
      </c>
      <c r="CS1" s="2">
        <f t="shared" si="0"/>
        <v>28</v>
      </c>
      <c r="CT1" s="2">
        <f t="shared" si="0"/>
        <v>29</v>
      </c>
      <c r="CU1" s="2">
        <f t="shared" si="0"/>
        <v>30</v>
      </c>
      <c r="CV1" s="2">
        <f t="shared" si="0"/>
        <v>31</v>
      </c>
      <c r="CW1" s="2">
        <f t="shared" si="0"/>
        <v>32</v>
      </c>
      <c r="CX1" s="2">
        <f t="shared" si="0"/>
        <v>33</v>
      </c>
      <c r="CY1" s="2">
        <f>CV1+3</f>
        <v>34</v>
      </c>
      <c r="CZ1" s="2">
        <f>CY1+1</f>
        <v>35</v>
      </c>
      <c r="DA1" s="2">
        <f t="shared" ref="DA1:EO1" si="1">CZ1+1</f>
        <v>36</v>
      </c>
      <c r="DB1" s="2">
        <f t="shared" si="1"/>
        <v>37</v>
      </c>
      <c r="DC1" s="2">
        <f t="shared" si="1"/>
        <v>38</v>
      </c>
      <c r="DD1" s="2">
        <f t="shared" si="1"/>
        <v>39</v>
      </c>
      <c r="DE1" s="2">
        <f t="shared" si="1"/>
        <v>40</v>
      </c>
      <c r="DF1" s="2">
        <f t="shared" si="1"/>
        <v>41</v>
      </c>
      <c r="DG1" s="2">
        <f t="shared" si="1"/>
        <v>42</v>
      </c>
      <c r="DH1" s="2">
        <f t="shared" si="1"/>
        <v>43</v>
      </c>
      <c r="DI1" s="2">
        <f t="shared" si="1"/>
        <v>44</v>
      </c>
      <c r="DJ1" s="2">
        <f t="shared" si="1"/>
        <v>45</v>
      </c>
      <c r="DK1" s="2">
        <f t="shared" si="1"/>
        <v>46</v>
      </c>
      <c r="DL1" s="2">
        <f t="shared" si="1"/>
        <v>47</v>
      </c>
      <c r="DM1" s="2">
        <f t="shared" si="1"/>
        <v>48</v>
      </c>
      <c r="DN1" s="2">
        <f t="shared" si="1"/>
        <v>49</v>
      </c>
      <c r="DO1" s="2">
        <f t="shared" si="1"/>
        <v>50</v>
      </c>
      <c r="DP1" s="2">
        <f t="shared" si="1"/>
        <v>51</v>
      </c>
      <c r="DQ1" s="2">
        <f t="shared" si="1"/>
        <v>52</v>
      </c>
      <c r="DR1" s="2">
        <f t="shared" si="1"/>
        <v>53</v>
      </c>
      <c r="DS1" s="2">
        <f t="shared" si="1"/>
        <v>54</v>
      </c>
      <c r="DT1" s="2">
        <f t="shared" si="1"/>
        <v>55</v>
      </c>
      <c r="DU1" s="2">
        <f t="shared" si="1"/>
        <v>56</v>
      </c>
      <c r="DV1" s="2">
        <f t="shared" si="1"/>
        <v>57</v>
      </c>
      <c r="DW1" s="2">
        <f t="shared" si="1"/>
        <v>58</v>
      </c>
      <c r="DX1" s="2">
        <f t="shared" si="1"/>
        <v>59</v>
      </c>
      <c r="DY1" s="2">
        <f t="shared" si="1"/>
        <v>60</v>
      </c>
      <c r="DZ1" s="2">
        <f t="shared" si="1"/>
        <v>61</v>
      </c>
      <c r="EA1" s="2">
        <f t="shared" si="1"/>
        <v>62</v>
      </c>
      <c r="EB1" s="2">
        <f t="shared" si="1"/>
        <v>63</v>
      </c>
      <c r="EC1" s="2">
        <f t="shared" si="1"/>
        <v>64</v>
      </c>
      <c r="ED1" s="2">
        <f t="shared" si="1"/>
        <v>65</v>
      </c>
      <c r="EE1" s="2">
        <f t="shared" si="1"/>
        <v>66</v>
      </c>
      <c r="EF1" s="2">
        <f t="shared" si="1"/>
        <v>67</v>
      </c>
      <c r="EG1" s="2">
        <f t="shared" si="1"/>
        <v>68</v>
      </c>
      <c r="EH1" s="2">
        <f t="shared" si="1"/>
        <v>69</v>
      </c>
      <c r="EI1" s="2">
        <f t="shared" si="1"/>
        <v>70</v>
      </c>
      <c r="EJ1" s="2">
        <f t="shared" si="1"/>
        <v>71</v>
      </c>
      <c r="EK1" s="2">
        <f t="shared" si="1"/>
        <v>72</v>
      </c>
      <c r="EL1" s="2">
        <f t="shared" si="1"/>
        <v>73</v>
      </c>
      <c r="EM1" s="2">
        <f t="shared" si="1"/>
        <v>74</v>
      </c>
      <c r="EN1" s="2">
        <f t="shared" si="1"/>
        <v>75</v>
      </c>
      <c r="EO1" s="2">
        <f t="shared" si="1"/>
        <v>76</v>
      </c>
    </row>
    <row r="2" spans="2:145" ht="15" customHeight="1" x14ac:dyDescent="0.2">
      <c r="B2" s="2" t="s">
        <v>59</v>
      </c>
      <c r="C2" s="2" t="s">
        <v>59</v>
      </c>
      <c r="D2" s="2" t="s">
        <v>59</v>
      </c>
      <c r="E2" s="2" t="s">
        <v>59</v>
      </c>
      <c r="F2" s="2" t="s">
        <v>59</v>
      </c>
      <c r="G2" s="2" t="s">
        <v>59</v>
      </c>
      <c r="H2" s="2" t="s">
        <v>59</v>
      </c>
      <c r="I2" s="2" t="s">
        <v>59</v>
      </c>
      <c r="J2" s="2" t="s">
        <v>59</v>
      </c>
      <c r="K2" s="2" t="s">
        <v>59</v>
      </c>
      <c r="L2" s="2" t="s">
        <v>59</v>
      </c>
      <c r="M2" s="2" t="s">
        <v>59</v>
      </c>
      <c r="N2" s="2" t="s">
        <v>59</v>
      </c>
      <c r="O2" s="2" t="s">
        <v>59</v>
      </c>
      <c r="P2" s="2" t="s">
        <v>59</v>
      </c>
      <c r="Q2" s="2" t="s">
        <v>59</v>
      </c>
      <c r="R2" s="2" t="s">
        <v>59</v>
      </c>
      <c r="S2" s="2" t="s">
        <v>59</v>
      </c>
      <c r="T2" s="2" t="s">
        <v>59</v>
      </c>
      <c r="U2" s="2" t="s">
        <v>59</v>
      </c>
      <c r="V2" s="2" t="s">
        <v>59</v>
      </c>
      <c r="W2" s="2" t="s">
        <v>59</v>
      </c>
      <c r="X2" s="2" t="s">
        <v>59</v>
      </c>
      <c r="Y2" s="2" t="s">
        <v>59</v>
      </c>
      <c r="Z2" s="2" t="s">
        <v>59</v>
      </c>
      <c r="AA2" s="2" t="s">
        <v>59</v>
      </c>
      <c r="AB2" s="2" t="s">
        <v>59</v>
      </c>
      <c r="AC2" s="2" t="s">
        <v>59</v>
      </c>
      <c r="AD2" s="2" t="s">
        <v>59</v>
      </c>
      <c r="AE2" s="2" t="s">
        <v>59</v>
      </c>
      <c r="AF2" s="2" t="s">
        <v>59</v>
      </c>
      <c r="AG2" s="2" t="s">
        <v>59</v>
      </c>
      <c r="AH2" s="2" t="s">
        <v>59</v>
      </c>
      <c r="AI2" s="2" t="s">
        <v>59</v>
      </c>
      <c r="AJ2" s="2" t="s">
        <v>59</v>
      </c>
      <c r="AK2" s="2" t="s">
        <v>59</v>
      </c>
      <c r="AL2" s="2" t="s">
        <v>59</v>
      </c>
      <c r="AM2" s="2" t="s">
        <v>59</v>
      </c>
      <c r="AN2" s="2" t="s">
        <v>59</v>
      </c>
      <c r="AO2" s="2" t="s">
        <v>59</v>
      </c>
      <c r="AP2" s="2" t="s">
        <v>59</v>
      </c>
      <c r="AQ2" s="2" t="s">
        <v>59</v>
      </c>
      <c r="AR2" s="2" t="s">
        <v>59</v>
      </c>
      <c r="AS2" s="2" t="s">
        <v>59</v>
      </c>
      <c r="AT2" s="2" t="s">
        <v>59</v>
      </c>
      <c r="AU2" s="2" t="s">
        <v>59</v>
      </c>
      <c r="AV2" s="2" t="s">
        <v>59</v>
      </c>
      <c r="AW2" s="2" t="s">
        <v>59</v>
      </c>
      <c r="AX2" s="2" t="s">
        <v>59</v>
      </c>
      <c r="AY2" s="2" t="s">
        <v>59</v>
      </c>
      <c r="AZ2" s="2" t="s">
        <v>59</v>
      </c>
      <c r="BA2" s="2" t="s">
        <v>59</v>
      </c>
      <c r="BB2" s="2" t="s">
        <v>59</v>
      </c>
      <c r="BC2" s="2" t="s">
        <v>59</v>
      </c>
      <c r="BD2" s="2" t="s">
        <v>59</v>
      </c>
      <c r="BE2" s="2" t="s">
        <v>59</v>
      </c>
      <c r="BF2" s="2" t="s">
        <v>59</v>
      </c>
      <c r="BG2" s="2" t="s">
        <v>59</v>
      </c>
      <c r="BH2" s="2" t="s">
        <v>59</v>
      </c>
      <c r="BI2" s="2" t="s">
        <v>59</v>
      </c>
      <c r="BJ2" s="2" t="s">
        <v>59</v>
      </c>
      <c r="BK2" s="2" t="s">
        <v>59</v>
      </c>
      <c r="BL2" s="2" t="s">
        <v>59</v>
      </c>
      <c r="BM2" s="2" t="s">
        <v>59</v>
      </c>
      <c r="BN2" s="2" t="s">
        <v>59</v>
      </c>
      <c r="BO2" s="2" t="s">
        <v>59</v>
      </c>
      <c r="BP2" s="2" t="s">
        <v>59</v>
      </c>
      <c r="BQ2" s="2" t="s">
        <v>59</v>
      </c>
      <c r="BR2" s="2" t="s">
        <v>66</v>
      </c>
      <c r="BS2" s="2" t="s">
        <v>66</v>
      </c>
      <c r="BT2" s="2" t="s">
        <v>66</v>
      </c>
      <c r="BU2" s="2" t="s">
        <v>66</v>
      </c>
      <c r="BV2" s="2" t="s">
        <v>66</v>
      </c>
      <c r="BW2" s="2" t="s">
        <v>66</v>
      </c>
      <c r="BX2" s="2" t="s">
        <v>66</v>
      </c>
      <c r="BY2" s="2" t="s">
        <v>66</v>
      </c>
      <c r="BZ2" s="2" t="s">
        <v>66</v>
      </c>
      <c r="CA2" s="2" t="s">
        <v>66</v>
      </c>
      <c r="CB2" s="2" t="s">
        <v>66</v>
      </c>
      <c r="CC2" s="2" t="s">
        <v>66</v>
      </c>
      <c r="CD2" s="2" t="s">
        <v>66</v>
      </c>
      <c r="CE2" s="2" t="s">
        <v>66</v>
      </c>
      <c r="CF2" s="2" t="s">
        <v>66</v>
      </c>
      <c r="CG2" s="2" t="s">
        <v>66</v>
      </c>
      <c r="CH2" s="2" t="s">
        <v>66</v>
      </c>
      <c r="CI2" s="2" t="s">
        <v>66</v>
      </c>
      <c r="CJ2" s="2" t="s">
        <v>66</v>
      </c>
      <c r="CK2" s="2" t="s">
        <v>66</v>
      </c>
      <c r="CL2" s="2" t="s">
        <v>66</v>
      </c>
      <c r="CM2" s="2" t="s">
        <v>66</v>
      </c>
      <c r="CN2" s="2" t="s">
        <v>66</v>
      </c>
      <c r="CO2" s="2" t="s">
        <v>66</v>
      </c>
      <c r="CP2" s="2" t="s">
        <v>66</v>
      </c>
      <c r="CQ2" s="2" t="s">
        <v>66</v>
      </c>
      <c r="CR2" s="2" t="s">
        <v>66</v>
      </c>
      <c r="CS2" s="2" t="s">
        <v>66</v>
      </c>
      <c r="CT2" s="2" t="s">
        <v>66</v>
      </c>
      <c r="CU2" s="2" t="s">
        <v>66</v>
      </c>
      <c r="CV2" s="2" t="s">
        <v>66</v>
      </c>
      <c r="CW2" s="2" t="s">
        <v>66</v>
      </c>
      <c r="CX2" s="2" t="s">
        <v>66</v>
      </c>
      <c r="CY2" s="2" t="s">
        <v>66</v>
      </c>
      <c r="CZ2" s="2" t="s">
        <v>66</v>
      </c>
      <c r="DA2" s="2" t="s">
        <v>66</v>
      </c>
      <c r="DB2" s="2" t="s">
        <v>66</v>
      </c>
      <c r="DC2" s="2" t="s">
        <v>66</v>
      </c>
      <c r="DD2" s="2" t="s">
        <v>66</v>
      </c>
      <c r="DE2" s="2" t="s">
        <v>66</v>
      </c>
      <c r="DF2" s="2" t="s">
        <v>66</v>
      </c>
      <c r="DG2" s="2" t="s">
        <v>66</v>
      </c>
      <c r="DH2" s="2" t="s">
        <v>66</v>
      </c>
      <c r="DI2" s="2" t="s">
        <v>66</v>
      </c>
      <c r="DJ2" s="2" t="s">
        <v>66</v>
      </c>
      <c r="DK2" s="2" t="s">
        <v>66</v>
      </c>
      <c r="DL2" s="2" t="s">
        <v>66</v>
      </c>
      <c r="DM2" s="2" t="s">
        <v>66</v>
      </c>
      <c r="DN2" s="2" t="s">
        <v>66</v>
      </c>
      <c r="DO2" s="2" t="s">
        <v>66</v>
      </c>
      <c r="DP2" s="2" t="s">
        <v>66</v>
      </c>
      <c r="DQ2" s="2" t="s">
        <v>66</v>
      </c>
      <c r="DR2" s="2" t="s">
        <v>66</v>
      </c>
      <c r="DS2" s="2" t="s">
        <v>66</v>
      </c>
      <c r="DT2" s="2" t="s">
        <v>66</v>
      </c>
      <c r="DU2" s="2" t="s">
        <v>66</v>
      </c>
      <c r="DV2" s="2" t="s">
        <v>66</v>
      </c>
      <c r="DW2" s="2" t="s">
        <v>66</v>
      </c>
      <c r="DX2" s="2" t="s">
        <v>66</v>
      </c>
      <c r="DY2" s="2" t="s">
        <v>66</v>
      </c>
      <c r="DZ2" s="2" t="s">
        <v>66</v>
      </c>
      <c r="EA2" s="2" t="s">
        <v>66</v>
      </c>
      <c r="EB2" s="2" t="s">
        <v>66</v>
      </c>
      <c r="EC2" s="2" t="s">
        <v>66</v>
      </c>
      <c r="ED2" s="2" t="s">
        <v>66</v>
      </c>
      <c r="EE2" s="2" t="s">
        <v>66</v>
      </c>
      <c r="EF2" s="2" t="s">
        <v>66</v>
      </c>
      <c r="EG2" s="2" t="s">
        <v>66</v>
      </c>
      <c r="EH2" s="2" t="s">
        <v>66</v>
      </c>
      <c r="EI2" s="2" t="s">
        <v>66</v>
      </c>
      <c r="EJ2" s="2" t="s">
        <v>66</v>
      </c>
      <c r="EK2" s="2" t="s">
        <v>66</v>
      </c>
      <c r="EL2" s="2" t="s">
        <v>66</v>
      </c>
      <c r="EM2" s="2" t="s">
        <v>66</v>
      </c>
      <c r="EN2" s="2" t="s">
        <v>66</v>
      </c>
      <c r="EO2" s="2" t="s">
        <v>66</v>
      </c>
    </row>
    <row r="3" spans="2:145" ht="15" customHeight="1" x14ac:dyDescent="0.2">
      <c r="B3" s="2">
        <v>1</v>
      </c>
      <c r="C3" s="2">
        <f>B3+1</f>
        <v>2</v>
      </c>
      <c r="D3" s="2">
        <f t="shared" ref="D3:BO3" si="2">C3+1</f>
        <v>3</v>
      </c>
      <c r="E3" s="2">
        <f t="shared" si="2"/>
        <v>4</v>
      </c>
      <c r="F3" s="2">
        <f t="shared" si="2"/>
        <v>5</v>
      </c>
      <c r="G3" s="2">
        <f t="shared" si="2"/>
        <v>6</v>
      </c>
      <c r="H3" s="2">
        <f t="shared" si="2"/>
        <v>7</v>
      </c>
      <c r="I3" s="2">
        <f t="shared" si="2"/>
        <v>8</v>
      </c>
      <c r="J3" s="2">
        <f t="shared" si="2"/>
        <v>9</v>
      </c>
      <c r="K3" s="2">
        <f t="shared" si="2"/>
        <v>10</v>
      </c>
      <c r="L3" s="2">
        <f t="shared" si="2"/>
        <v>11</v>
      </c>
      <c r="M3" s="2">
        <f t="shared" si="2"/>
        <v>12</v>
      </c>
      <c r="N3" s="2">
        <f t="shared" si="2"/>
        <v>13</v>
      </c>
      <c r="O3" s="2">
        <f t="shared" si="2"/>
        <v>14</v>
      </c>
      <c r="P3" s="2">
        <f t="shared" si="2"/>
        <v>15</v>
      </c>
      <c r="Q3" s="2">
        <f t="shared" si="2"/>
        <v>16</v>
      </c>
      <c r="R3" s="2">
        <f t="shared" si="2"/>
        <v>17</v>
      </c>
      <c r="S3" s="2">
        <f t="shared" si="2"/>
        <v>18</v>
      </c>
      <c r="T3" s="2">
        <f t="shared" si="2"/>
        <v>19</v>
      </c>
      <c r="U3" s="2">
        <f t="shared" si="2"/>
        <v>20</v>
      </c>
      <c r="V3" s="2">
        <f t="shared" si="2"/>
        <v>21</v>
      </c>
      <c r="W3" s="2">
        <f t="shared" si="2"/>
        <v>22</v>
      </c>
      <c r="X3" s="2">
        <f t="shared" si="2"/>
        <v>23</v>
      </c>
      <c r="Y3" s="2">
        <f t="shared" si="2"/>
        <v>24</v>
      </c>
      <c r="Z3" s="2">
        <f t="shared" si="2"/>
        <v>25</v>
      </c>
      <c r="AA3" s="2">
        <f t="shared" si="2"/>
        <v>26</v>
      </c>
      <c r="AB3" s="2">
        <f t="shared" si="2"/>
        <v>27</v>
      </c>
      <c r="AC3" s="2">
        <f t="shared" si="2"/>
        <v>28</v>
      </c>
      <c r="AD3" s="2">
        <f t="shared" si="2"/>
        <v>29</v>
      </c>
      <c r="AE3" s="2">
        <f t="shared" si="2"/>
        <v>30</v>
      </c>
      <c r="AF3" s="2">
        <f t="shared" si="2"/>
        <v>31</v>
      </c>
      <c r="AG3" s="2">
        <f t="shared" si="2"/>
        <v>32</v>
      </c>
      <c r="AH3" s="2">
        <f t="shared" si="2"/>
        <v>33</v>
      </c>
      <c r="AI3" s="2">
        <f t="shared" si="2"/>
        <v>34</v>
      </c>
      <c r="AJ3" s="2">
        <f t="shared" si="2"/>
        <v>35</v>
      </c>
      <c r="AK3" s="2">
        <f t="shared" si="2"/>
        <v>36</v>
      </c>
      <c r="AL3" s="2">
        <f t="shared" si="2"/>
        <v>37</v>
      </c>
      <c r="AM3" s="2">
        <f t="shared" si="2"/>
        <v>38</v>
      </c>
      <c r="AN3" s="2">
        <f t="shared" si="2"/>
        <v>39</v>
      </c>
      <c r="AO3" s="2">
        <f t="shared" si="2"/>
        <v>40</v>
      </c>
      <c r="AP3" s="2">
        <f t="shared" si="2"/>
        <v>41</v>
      </c>
      <c r="AQ3" s="2">
        <f t="shared" si="2"/>
        <v>42</v>
      </c>
      <c r="AR3" s="2">
        <f t="shared" si="2"/>
        <v>43</v>
      </c>
      <c r="AS3" s="2">
        <f t="shared" si="2"/>
        <v>44</v>
      </c>
      <c r="AT3" s="2">
        <f t="shared" si="2"/>
        <v>45</v>
      </c>
      <c r="AU3" s="2">
        <f t="shared" si="2"/>
        <v>46</v>
      </c>
      <c r="AV3" s="2">
        <f t="shared" si="2"/>
        <v>47</v>
      </c>
      <c r="AW3" s="2">
        <f t="shared" si="2"/>
        <v>48</v>
      </c>
      <c r="AX3" s="2">
        <f t="shared" si="2"/>
        <v>49</v>
      </c>
      <c r="AY3" s="2">
        <f t="shared" si="2"/>
        <v>50</v>
      </c>
      <c r="AZ3" s="2">
        <f t="shared" si="2"/>
        <v>51</v>
      </c>
      <c r="BA3" s="2">
        <f t="shared" si="2"/>
        <v>52</v>
      </c>
      <c r="BB3" s="2">
        <f t="shared" si="2"/>
        <v>53</v>
      </c>
      <c r="BC3" s="2">
        <f t="shared" si="2"/>
        <v>54</v>
      </c>
      <c r="BD3" s="2">
        <f t="shared" si="2"/>
        <v>55</v>
      </c>
      <c r="BE3" s="2">
        <f t="shared" si="2"/>
        <v>56</v>
      </c>
      <c r="BF3" s="2">
        <f t="shared" si="2"/>
        <v>57</v>
      </c>
      <c r="BG3" s="2">
        <f t="shared" si="2"/>
        <v>58</v>
      </c>
      <c r="BH3" s="2">
        <f t="shared" si="2"/>
        <v>59</v>
      </c>
      <c r="BI3" s="2">
        <f t="shared" si="2"/>
        <v>60</v>
      </c>
      <c r="BJ3" s="2">
        <f t="shared" si="2"/>
        <v>61</v>
      </c>
      <c r="BK3" s="2">
        <f t="shared" si="2"/>
        <v>62</v>
      </c>
      <c r="BL3" s="2">
        <f t="shared" si="2"/>
        <v>63</v>
      </c>
      <c r="BM3" s="2">
        <f t="shared" si="2"/>
        <v>64</v>
      </c>
      <c r="BN3" s="2">
        <f t="shared" si="2"/>
        <v>65</v>
      </c>
      <c r="BO3" s="2">
        <f t="shared" si="2"/>
        <v>66</v>
      </c>
      <c r="BP3" s="2">
        <f t="shared" ref="BP3:EA3" si="3">BO3+1</f>
        <v>67</v>
      </c>
      <c r="BQ3" s="2">
        <f t="shared" si="3"/>
        <v>68</v>
      </c>
      <c r="BR3" s="2">
        <f t="shared" si="3"/>
        <v>69</v>
      </c>
      <c r="BS3" s="2">
        <f t="shared" si="3"/>
        <v>70</v>
      </c>
      <c r="BT3" s="2">
        <f t="shared" si="3"/>
        <v>71</v>
      </c>
      <c r="BU3" s="2">
        <f t="shared" si="3"/>
        <v>72</v>
      </c>
      <c r="BV3" s="2">
        <f t="shared" si="3"/>
        <v>73</v>
      </c>
      <c r="BW3" s="2">
        <f t="shared" si="3"/>
        <v>74</v>
      </c>
      <c r="BX3" s="2">
        <f t="shared" si="3"/>
        <v>75</v>
      </c>
      <c r="BY3" s="2">
        <f t="shared" si="3"/>
        <v>76</v>
      </c>
      <c r="BZ3" s="2">
        <f t="shared" si="3"/>
        <v>77</v>
      </c>
      <c r="CA3" s="2">
        <f t="shared" si="3"/>
        <v>78</v>
      </c>
      <c r="CB3" s="2">
        <f t="shared" si="3"/>
        <v>79</v>
      </c>
      <c r="CC3" s="2">
        <f t="shared" si="3"/>
        <v>80</v>
      </c>
      <c r="CD3" s="2">
        <f t="shared" si="3"/>
        <v>81</v>
      </c>
      <c r="CE3" s="2">
        <f t="shared" si="3"/>
        <v>82</v>
      </c>
      <c r="CF3" s="2">
        <f t="shared" si="3"/>
        <v>83</v>
      </c>
      <c r="CG3" s="2">
        <f t="shared" si="3"/>
        <v>84</v>
      </c>
      <c r="CH3" s="2">
        <f t="shared" si="3"/>
        <v>85</v>
      </c>
      <c r="CI3" s="2">
        <f t="shared" si="3"/>
        <v>86</v>
      </c>
      <c r="CJ3" s="2">
        <f t="shared" si="3"/>
        <v>87</v>
      </c>
      <c r="CK3" s="2">
        <f t="shared" si="3"/>
        <v>88</v>
      </c>
      <c r="CL3" s="2">
        <f t="shared" si="3"/>
        <v>89</v>
      </c>
      <c r="CM3" s="2">
        <f t="shared" si="3"/>
        <v>90</v>
      </c>
      <c r="CN3" s="2">
        <f t="shared" si="3"/>
        <v>91</v>
      </c>
      <c r="CO3" s="2">
        <f t="shared" si="3"/>
        <v>92</v>
      </c>
      <c r="CP3" s="2">
        <f t="shared" si="3"/>
        <v>93</v>
      </c>
      <c r="CQ3" s="2">
        <f t="shared" si="3"/>
        <v>94</v>
      </c>
      <c r="CR3" s="2">
        <f t="shared" si="3"/>
        <v>95</v>
      </c>
      <c r="CS3" s="2">
        <f t="shared" si="3"/>
        <v>96</v>
      </c>
      <c r="CT3" s="2">
        <f t="shared" si="3"/>
        <v>97</v>
      </c>
      <c r="CU3" s="2">
        <f t="shared" si="3"/>
        <v>98</v>
      </c>
      <c r="CV3" s="2">
        <f t="shared" si="3"/>
        <v>99</v>
      </c>
      <c r="CW3" s="2">
        <f t="shared" si="3"/>
        <v>100</v>
      </c>
      <c r="CX3" s="2">
        <f t="shared" si="3"/>
        <v>101</v>
      </c>
      <c r="CY3" s="2">
        <f t="shared" si="3"/>
        <v>102</v>
      </c>
      <c r="CZ3" s="2">
        <f t="shared" si="3"/>
        <v>103</v>
      </c>
      <c r="DA3" s="2">
        <f t="shared" si="3"/>
        <v>104</v>
      </c>
      <c r="DB3" s="2">
        <f t="shared" si="3"/>
        <v>105</v>
      </c>
      <c r="DC3" s="2">
        <f t="shared" si="3"/>
        <v>106</v>
      </c>
      <c r="DD3" s="2">
        <f t="shared" si="3"/>
        <v>107</v>
      </c>
      <c r="DE3" s="2">
        <f t="shared" si="3"/>
        <v>108</v>
      </c>
      <c r="DF3" s="2">
        <f t="shared" si="3"/>
        <v>109</v>
      </c>
      <c r="DG3" s="2">
        <f t="shared" si="3"/>
        <v>110</v>
      </c>
      <c r="DH3" s="2">
        <f t="shared" si="3"/>
        <v>111</v>
      </c>
      <c r="DI3" s="2">
        <f t="shared" si="3"/>
        <v>112</v>
      </c>
      <c r="DJ3" s="2">
        <f t="shared" si="3"/>
        <v>113</v>
      </c>
      <c r="DK3" s="2">
        <f t="shared" si="3"/>
        <v>114</v>
      </c>
      <c r="DL3" s="2">
        <f t="shared" si="3"/>
        <v>115</v>
      </c>
      <c r="DM3" s="2">
        <f t="shared" si="3"/>
        <v>116</v>
      </c>
      <c r="DN3" s="2">
        <f t="shared" si="3"/>
        <v>117</v>
      </c>
      <c r="DO3" s="2">
        <f t="shared" si="3"/>
        <v>118</v>
      </c>
      <c r="DP3" s="2">
        <f t="shared" si="3"/>
        <v>119</v>
      </c>
      <c r="DQ3" s="2">
        <f t="shared" si="3"/>
        <v>120</v>
      </c>
      <c r="DR3" s="2">
        <f t="shared" si="3"/>
        <v>121</v>
      </c>
      <c r="DS3" s="2">
        <f t="shared" si="3"/>
        <v>122</v>
      </c>
      <c r="DT3" s="2">
        <f t="shared" si="3"/>
        <v>123</v>
      </c>
      <c r="DU3" s="2">
        <f t="shared" si="3"/>
        <v>124</v>
      </c>
      <c r="DV3" s="2">
        <f t="shared" si="3"/>
        <v>125</v>
      </c>
      <c r="DW3" s="2">
        <f t="shared" si="3"/>
        <v>126</v>
      </c>
      <c r="DX3" s="2">
        <f t="shared" si="3"/>
        <v>127</v>
      </c>
      <c r="DY3" s="2">
        <f t="shared" si="3"/>
        <v>128</v>
      </c>
      <c r="DZ3" s="2">
        <f t="shared" si="3"/>
        <v>129</v>
      </c>
      <c r="EA3" s="2">
        <f t="shared" si="3"/>
        <v>130</v>
      </c>
      <c r="EB3" s="2">
        <f t="shared" ref="EB3:EO3" si="4">EA3+1</f>
        <v>131</v>
      </c>
      <c r="EC3" s="2">
        <f t="shared" si="4"/>
        <v>132</v>
      </c>
      <c r="ED3" s="2">
        <f t="shared" si="4"/>
        <v>133</v>
      </c>
      <c r="EE3" s="2">
        <f t="shared" si="4"/>
        <v>134</v>
      </c>
      <c r="EF3" s="2">
        <f t="shared" si="4"/>
        <v>135</v>
      </c>
      <c r="EG3" s="2">
        <f t="shared" si="4"/>
        <v>136</v>
      </c>
      <c r="EH3" s="2">
        <f t="shared" si="4"/>
        <v>137</v>
      </c>
      <c r="EI3" s="2">
        <f t="shared" si="4"/>
        <v>138</v>
      </c>
      <c r="EJ3" s="2">
        <f t="shared" si="4"/>
        <v>139</v>
      </c>
      <c r="EK3" s="2">
        <f t="shared" si="4"/>
        <v>140</v>
      </c>
      <c r="EL3" s="2">
        <f t="shared" si="4"/>
        <v>141</v>
      </c>
      <c r="EM3" s="2">
        <f t="shared" si="4"/>
        <v>142</v>
      </c>
      <c r="EN3" s="2">
        <f t="shared" si="4"/>
        <v>143</v>
      </c>
      <c r="EO3" s="2">
        <f t="shared" si="4"/>
        <v>144</v>
      </c>
    </row>
    <row r="4" spans="2:145" s="5" customFormat="1" ht="70" x14ac:dyDescent="0.2">
      <c r="B4" s="3" t="str">
        <f t="array" ref="B4:EO7">IF($CS$13=FALSE,"--",SA5_SUGGESTED_SOLUTION_FUNC(Sanitized_Model!A5:BP7))</f>
        <v>Name of company</v>
      </c>
      <c r="C4" s="3" t="str">
        <v>Date of analysis</v>
      </c>
      <c r="D4" s="3" t="str">
        <v>Risk free rate (long term)</v>
      </c>
      <c r="E4" s="3" t="str">
        <v>Number of shares (primary)</v>
      </c>
      <c r="F4" s="3" t="str">
        <v>Market price/share</v>
      </c>
      <c r="G4" s="3" t="str">
        <v>Book value of common equity</v>
      </c>
      <c r="H4" s="3" t="str">
        <v>Option Converter: Value Per Option</v>
      </c>
      <c r="I4" s="3" t="str">
        <v>Option Converter: Number of options outstanding</v>
      </c>
      <c r="J4" s="3" t="str">
        <v>Option Converter: Average strike price</v>
      </c>
      <c r="K4" s="3" t="str">
        <v>Option Converter: Average maturity</v>
      </c>
      <c r="L4" s="3" t="str">
        <v>Option Converter: Standard deviation on stock price</v>
      </c>
      <c r="M4" s="3" t="str">
        <v>Option Converter: Dividend yield on stock (if any)</v>
      </c>
      <c r="N4" s="3" t="str">
        <v>Book value of preferred stock</v>
      </c>
      <c r="O4" s="3" t="str">
        <v>Market value of preferred stock</v>
      </c>
      <c r="P4" s="3" t="str">
        <v>Book value of interest bearing debt</v>
      </c>
      <c r="Q4" s="3" t="str">
        <v>Average maturity of debt</v>
      </c>
      <c r="R4" s="3" t="str">
        <v>Interest expense on debt</v>
      </c>
      <c r="S4" s="3" t="str">
        <v>Pre-tax cost of debt for company</v>
      </c>
      <c r="T4" s="3" t="str">
        <v>Lease expense - Most recent year</v>
      </c>
      <c r="U4" s="3" t="str">
        <v>Lease commitment - year 1</v>
      </c>
      <c r="V4" s="3" t="str">
        <v>Lease commitment - year 2</v>
      </c>
      <c r="W4" s="3" t="str">
        <v>Lease commitment - year 3</v>
      </c>
      <c r="X4" s="3" t="str">
        <v>Lease commitment - year 4</v>
      </c>
      <c r="Y4" s="3" t="str">
        <v>Lease commitment - year 5</v>
      </c>
      <c r="Z4" s="3" t="str">
        <v>Lease commitment - Beyond last year</v>
      </c>
      <c r="AA4" s="3" t="str">
        <v>Market value of convertible debt</v>
      </c>
      <c r="AB4" s="3" t="str">
        <v>Book value of convertible debt</v>
      </c>
      <c r="AC4" s="3" t="str">
        <v>Convertible breakdown: Straight Debt component</v>
      </c>
      <c r="AD4" s="3" t="str">
        <v>Coupon rate on convertible debt</v>
      </c>
      <c r="AE4" s="3" t="str">
        <v>Maturity of convertible debt</v>
      </c>
      <c r="AF4" s="3" t="str">
        <v>Book value of convertible preferred</v>
      </c>
      <c r="AG4" s="3" t="str">
        <v>Preferred dividend yield on convertible</v>
      </c>
      <c r="AH4" s="3" t="str">
        <v xml:space="preserve">Preferred dividend yield on straight preferred </v>
      </c>
      <c r="AI4" s="3" t="str">
        <v>Decomposition of Preferred Stock</v>
      </c>
      <c r="AJ4" s="3" t="str">
        <v>Cash &amp; Marketable Securities</v>
      </c>
      <c r="AK4" s="3" t="str">
        <v>Value of cross holdings in other companies</v>
      </c>
      <c r="AL4" s="3" t="str">
        <v>Price to book ratio to convert value of cross holdings in other companies to market value</v>
      </c>
      <c r="AM4" s="3" t="str">
        <v>Minority Interest</v>
      </c>
      <c r="AN4" s="3" t="str">
        <v>Price to book ratio to convert value of minority interest to market value</v>
      </c>
      <c r="AO4" s="3" t="str">
        <v>Revenues: Last fiscal year</v>
      </c>
      <c r="AP4" s="3" t="str">
        <v>Revenues: Last 12 months</v>
      </c>
      <c r="AQ4" s="3" t="str">
        <v>Revenues: Forward</v>
      </c>
      <c r="AR4" s="3" t="str">
        <v>EBITDA: Last fiscal year</v>
      </c>
      <c r="AS4" s="3" t="str">
        <v>EBITDA: Last 12 months</v>
      </c>
      <c r="AT4" s="3" t="str">
        <v>EBITDA: Forward</v>
      </c>
      <c r="AU4" s="3" t="str">
        <v>EBIT: Last fiscal year</v>
      </c>
      <c r="AV4" s="3" t="str">
        <v>EBIT: Last 12 months</v>
      </c>
      <c r="AW4" s="3" t="str">
        <v>EBIT: Forward</v>
      </c>
      <c r="AX4" s="3" t="str">
        <v>Effective Tax Rate: Last fiscal year</v>
      </c>
      <c r="AY4" s="3" t="str">
        <v>Effective Tax Rate: Last 12 months</v>
      </c>
      <c r="AZ4" s="3" t="str">
        <v>Effective Tax Rate: Forward</v>
      </c>
      <c r="BA4" s="3" t="str">
        <v>Net Income: Last fiscal year</v>
      </c>
      <c r="BB4" s="3" t="str">
        <v>Net Income: Last 12 months</v>
      </c>
      <c r="BC4" s="3" t="str">
        <v>Net Income: Forward</v>
      </c>
      <c r="BD4" s="3" t="str">
        <v>Interest Income from Cash: Last fiscal year</v>
      </c>
      <c r="BE4" s="3" t="str">
        <v>Interest Income from Cash: Last 12 months</v>
      </c>
      <c r="BF4" s="3" t="str">
        <v>Interest Income from Cash: Forward</v>
      </c>
      <c r="BG4" s="3" t="str">
        <v>R&amp;D expense: year 0</v>
      </c>
      <c r="BH4" s="3" t="str">
        <v>R&amp;D expense: year -1</v>
      </c>
      <c r="BI4" s="3" t="str">
        <v>R&amp;D expense: year -2</v>
      </c>
      <c r="BJ4" s="3" t="str">
        <v>R&amp;D expense: year -3</v>
      </c>
      <c r="BK4" s="3" t="str">
        <v>R&amp;D expense: year -4</v>
      </c>
      <c r="BL4" s="3" t="str">
        <v>R&amp;D expense: year -5</v>
      </c>
      <c r="BM4" s="3" t="str">
        <v>R&amp;D expense: year -6</v>
      </c>
      <c r="BN4" s="3" t="str">
        <v>R&amp;D expense: year -7</v>
      </c>
      <c r="BO4" s="3" t="str">
        <v>R&amp;D expense: year -8</v>
      </c>
      <c r="BP4" s="3" t="str">
        <v>R&amp;D expense: year -9</v>
      </c>
      <c r="BQ4" s="3" t="str">
        <v>R&amp;D expense: year -10</v>
      </c>
      <c r="BR4" s="4" t="str">
        <v>Operating leases number of years</v>
      </c>
      <c r="BS4" s="4" t="str">
        <v>Number of years embedded in leases</v>
      </c>
      <c r="BT4" s="4" t="str">
        <v>Debt Value of leases</v>
      </c>
      <c r="BU4" s="4" t="str">
        <v>Operating Income with Operating leases reclassified as debt</v>
      </c>
      <c r="BV4" s="4" t="str">
        <v>Debt with Operating leases reclassified as debt</v>
      </c>
      <c r="BW4" s="4" t="str">
        <v>Full Operating lease adjustment: Reported Operating income</v>
      </c>
      <c r="BX4" s="4" t="str">
        <v>Full Operating lease adjustment:  + Current year's operating lease expense</v>
      </c>
      <c r="BY4" s="4" t="str">
        <v>Full Operating lease adjustment:  - Depreciation on leased asset</v>
      </c>
      <c r="BZ4" s="4" t="str">
        <v>Full Operating lease adjustment: Adjusted Operating Income</v>
      </c>
      <c r="CA4" s="4" t="str">
        <v>R&amp; D expenses: Periods to amortize R&amp;D expenses</v>
      </c>
      <c r="CB4" s="4" t="str">
        <v>R&amp; D expenses: Value of Research Asset</v>
      </c>
      <c r="CC4" s="4" t="str">
        <v>R&amp; D expenses: Amortization of asset for current year</v>
      </c>
      <c r="CD4" s="4" t="str">
        <v>R&amp; D expenses: Adjustment to Operating Income</v>
      </c>
      <c r="CE4" s="4" t="str">
        <v>EBITDA: Last fiscal year</v>
      </c>
      <c r="CF4" s="4" t="str">
        <v>EBITDA: Last 12 months</v>
      </c>
      <c r="CG4" s="4" t="str">
        <v>EBITDA: Forward</v>
      </c>
      <c r="CH4" s="4" t="str">
        <v>EBIT: Last fiscal year</v>
      </c>
      <c r="CI4" s="4" t="str">
        <v>EBIT: Last 12 months</v>
      </c>
      <c r="CJ4" s="4" t="str">
        <v>EBIT: Forward</v>
      </c>
      <c r="CK4" s="4" t="str">
        <v>After-tax EBIT: Last fiscal year</v>
      </c>
      <c r="CL4" s="4" t="str">
        <v>After-tax EBIT: Last 12 months</v>
      </c>
      <c r="CM4" s="4" t="str">
        <v>After-tax EBIT: Forward</v>
      </c>
      <c r="CN4" s="4" t="str">
        <v>Net Income: Last fiscal year</v>
      </c>
      <c r="CO4" s="4" t="str">
        <v>Net Income: Last 12 months</v>
      </c>
      <c r="CP4" s="4" t="str">
        <v>Net Income: Forward</v>
      </c>
      <c r="CQ4" s="4" t="str">
        <v>Non-cash Net Income: Last fiscal year</v>
      </c>
      <c r="CR4" s="4" t="str">
        <v>Non-cash Net Income: Last 12 months</v>
      </c>
      <c r="CS4" s="4" t="str">
        <v>Non-cash Net Income: Forward</v>
      </c>
      <c r="CT4" s="4" t="str">
        <v>Market Capitalization</v>
      </c>
      <c r="CU4" s="4" t="str">
        <v>Option Converter: Adjusted Stock Price</v>
      </c>
      <c r="CV4" s="4" t="str">
        <v>Option Converter: Value per option</v>
      </c>
      <c r="CW4" s="4" t="str">
        <v>Option Converter: Value of employee options</v>
      </c>
      <c r="CX4" s="4" t="str">
        <v>Convertible breakdown: Straight Debt component</v>
      </c>
      <c r="CY4" s="4" t="str">
        <v>Convertible breakdown: Equity Component</v>
      </c>
      <c r="CZ4" s="4" t="str">
        <v>Convertible breakdown: Preferred Stock component</v>
      </c>
      <c r="DA4" s="4" t="str">
        <v>Convertible breakdown: Equity Component</v>
      </c>
      <c r="DB4" s="4" t="str">
        <v>Convertible breakdown: Value of Conversion options</v>
      </c>
      <c r="DC4" s="4" t="str">
        <v>Market Value of all equity</v>
      </c>
      <c r="DD4" s="4" t="str">
        <v>Market value of interest bearing debt</v>
      </c>
      <c r="DE4" s="4" t="str">
        <v>Debt value of leases (if any)</v>
      </c>
      <c r="DF4" s="4" t="str">
        <v>Market Value of all debt</v>
      </c>
      <c r="DG4" s="4" t="str">
        <v>Market value of preferred stock</v>
      </c>
      <c r="DH4" s="4" t="str">
        <v>Book Value: Equity</v>
      </c>
      <c r="DI4" s="4" t="str">
        <v>Book Value:  + Debt</v>
      </c>
      <c r="DJ4" s="4" t="str">
        <v>Book Value:  + Preferred</v>
      </c>
      <c r="DK4" s="4" t="str">
        <v>Book Value:  - Cash</v>
      </c>
      <c r="DL4" s="4" t="str">
        <v xml:space="preserve">Book Value: Invested Capital </v>
      </c>
      <c r="DM4" s="4" t="str">
        <v>Firm Value: Market Value of Equity</v>
      </c>
      <c r="DN4" s="4" t="str">
        <v>Firm Value:  + Market Value of Debt</v>
      </c>
      <c r="DO4" s="4" t="str">
        <v xml:space="preserve">Firm Value:  + Market Value of Preferred </v>
      </c>
      <c r="DP4" s="4" t="str">
        <v>Firm Value:  - Cash</v>
      </c>
      <c r="DQ4" s="4" t="str">
        <v xml:space="preserve">Firm Value:  - Market value of minority holdings </v>
      </c>
      <c r="DR4" s="4" t="str">
        <v>Firm Value:  + Market value of Minority Interest</v>
      </c>
      <c r="DS4" s="4" t="str">
        <v>Firm Value: Enterprise Value</v>
      </c>
      <c r="DT4" s="4" t="str">
        <v>Firm Value: Firm Value (with minority interest)</v>
      </c>
      <c r="DU4" s="4" t="str">
        <v>EV/Sales: Current</v>
      </c>
      <c r="DV4" s="4" t="str">
        <v>EV/Sales: Trailing</v>
      </c>
      <c r="DW4" s="4" t="str">
        <v>EV/Sales: Forward</v>
      </c>
      <c r="DX4" s="4" t="str">
        <v>EV/EBITDA: Current</v>
      </c>
      <c r="DY4" s="4" t="str">
        <v>EV/EBITDA: Trailing</v>
      </c>
      <c r="DZ4" s="4" t="str">
        <v>EV/EBITDA: Forward</v>
      </c>
      <c r="EA4" s="4" t="str">
        <v>EV/EBIT: Current</v>
      </c>
      <c r="EB4" s="4" t="str">
        <v>EV/EBIT: Trailing</v>
      </c>
      <c r="EC4" s="4" t="str">
        <v>EV/EBIT: Forward</v>
      </c>
      <c r="ED4" s="4" t="str">
        <v>EV/ After-tax EBIT: Current</v>
      </c>
      <c r="EE4" s="4" t="str">
        <v>EV/ After-tax EBIT: Trailing</v>
      </c>
      <c r="EF4" s="4" t="str">
        <v>EV/ After-tax EBIT: Forward</v>
      </c>
      <c r="EG4" s="4" t="str">
        <v>PE: Current</v>
      </c>
      <c r="EH4" s="4" t="str">
        <v>PE: Trailing</v>
      </c>
      <c r="EI4" s="4" t="str">
        <v>PE: Forward</v>
      </c>
      <c r="EJ4" s="4" t="str">
        <v>Non-cash PE: Current</v>
      </c>
      <c r="EK4" s="4" t="str">
        <v>Non-cash PE: Trailing</v>
      </c>
      <c r="EL4" s="4" t="str">
        <v>Non-cash PE: Forward</v>
      </c>
      <c r="EM4" s="4" t="str">
        <v>EV/ Invested Capital: Current</v>
      </c>
      <c r="EN4" s="4" t="str">
        <v>PBV: Current</v>
      </c>
      <c r="EO4" s="4" t="str">
        <v>Non-cash PBV: Current</v>
      </c>
    </row>
    <row r="5" spans="2:145" s="45" customFormat="1" ht="15" customHeight="1" x14ac:dyDescent="0.2">
      <c r="B5" s="30" t="str">
        <v>Disney</v>
      </c>
      <c r="C5" s="31">
        <v>41572</v>
      </c>
      <c r="D5" s="32">
        <v>2.5999999999999999E-2</v>
      </c>
      <c r="E5" s="33">
        <v>1786.44</v>
      </c>
      <c r="F5" s="33">
        <v>69.16</v>
      </c>
      <c r="G5" s="33">
        <v>45907</v>
      </c>
      <c r="H5" s="34">
        <v>0</v>
      </c>
      <c r="I5" s="35">
        <v>54</v>
      </c>
      <c r="J5" s="36">
        <v>32.020000000000003</v>
      </c>
      <c r="K5" s="37">
        <v>2.5499999999999998</v>
      </c>
      <c r="L5" s="38">
        <v>0.3</v>
      </c>
      <c r="M5" s="38">
        <v>2.35E-2</v>
      </c>
      <c r="N5" s="33">
        <v>0</v>
      </c>
      <c r="O5" s="33">
        <v>0</v>
      </c>
      <c r="P5" s="33">
        <v>15003</v>
      </c>
      <c r="Q5" s="30">
        <v>4.5</v>
      </c>
      <c r="R5" s="33">
        <v>383</v>
      </c>
      <c r="S5" s="32">
        <v>4.2500000000000003E-2</v>
      </c>
      <c r="T5" s="33">
        <v>863</v>
      </c>
      <c r="U5" s="33">
        <v>471</v>
      </c>
      <c r="V5" s="33">
        <v>378</v>
      </c>
      <c r="W5" s="33">
        <v>295</v>
      </c>
      <c r="X5" s="33">
        <v>225</v>
      </c>
      <c r="Y5" s="33">
        <v>163</v>
      </c>
      <c r="Z5" s="33">
        <v>791</v>
      </c>
      <c r="AA5" s="33">
        <v>0</v>
      </c>
      <c r="AB5" s="33">
        <v>0</v>
      </c>
      <c r="AC5" s="33">
        <v>0</v>
      </c>
      <c r="AD5" s="32">
        <v>0</v>
      </c>
      <c r="AE5" s="39">
        <v>0</v>
      </c>
      <c r="AF5" s="33">
        <v>0</v>
      </c>
      <c r="AG5" s="33">
        <v>0</v>
      </c>
      <c r="AH5" s="33">
        <v>0</v>
      </c>
      <c r="AI5" s="33">
        <v>0</v>
      </c>
      <c r="AJ5" s="33">
        <v>3932</v>
      </c>
      <c r="AK5" s="33">
        <v>0</v>
      </c>
      <c r="AL5" s="25">
        <v>1</v>
      </c>
      <c r="AM5" s="33">
        <v>2371</v>
      </c>
      <c r="AN5" s="39">
        <v>2.5</v>
      </c>
      <c r="AO5" s="33">
        <v>42278</v>
      </c>
      <c r="AP5" s="33">
        <v>44255</v>
      </c>
      <c r="AQ5" s="33">
        <v>47860</v>
      </c>
      <c r="AR5" s="33">
        <v>10850</v>
      </c>
      <c r="AS5" s="33">
        <v>11440</v>
      </c>
      <c r="AT5" s="33">
        <v>13455</v>
      </c>
      <c r="AU5" s="33">
        <v>8863</v>
      </c>
      <c r="AV5" s="33">
        <v>9315</v>
      </c>
      <c r="AW5" s="33">
        <v>11418</v>
      </c>
      <c r="AX5" s="40">
        <v>0.33339999999999997</v>
      </c>
      <c r="AY5" s="40">
        <v>0.34239999999999998</v>
      </c>
      <c r="AZ5" s="40">
        <v>0.35</v>
      </c>
      <c r="BA5" s="33">
        <v>5862</v>
      </c>
      <c r="BB5" s="33">
        <v>5986</v>
      </c>
      <c r="BC5" s="33">
        <v>6943</v>
      </c>
      <c r="BD5" s="33">
        <v>65</v>
      </c>
      <c r="BE5" s="33">
        <v>56</v>
      </c>
      <c r="BF5" s="33">
        <v>50</v>
      </c>
      <c r="BG5" s="41">
        <v>1550</v>
      </c>
      <c r="BH5" s="41">
        <v>1399</v>
      </c>
      <c r="BI5" s="41">
        <v>388</v>
      </c>
      <c r="BJ5" s="41">
        <v>144</v>
      </c>
      <c r="BK5" s="41">
        <v>0</v>
      </c>
      <c r="BL5" s="41">
        <v>0</v>
      </c>
      <c r="BM5" s="41">
        <v>0</v>
      </c>
      <c r="BN5" s="41">
        <v>0</v>
      </c>
      <c r="BO5" s="41">
        <v>0</v>
      </c>
      <c r="BP5" s="41">
        <v>0</v>
      </c>
      <c r="BQ5" s="41">
        <v>0</v>
      </c>
      <c r="BR5" s="35">
        <v>5</v>
      </c>
      <c r="BS5" s="35">
        <v>3</v>
      </c>
      <c r="BT5" s="42">
        <v>1974.2647801062458</v>
      </c>
      <c r="BU5" s="33">
        <v>8946.9063000000006</v>
      </c>
      <c r="BV5" s="33">
        <v>16977.264800000001</v>
      </c>
      <c r="BW5" s="33">
        <v>8863</v>
      </c>
      <c r="BX5" s="33">
        <v>863</v>
      </c>
      <c r="BY5" s="42">
        <v>246.78309751328072</v>
      </c>
      <c r="BZ5" s="33">
        <v>9479.2168999999994</v>
      </c>
      <c r="CA5" s="25">
        <v>3</v>
      </c>
      <c r="CB5" s="33">
        <v>2612</v>
      </c>
      <c r="CC5" s="33">
        <v>643.66666666666663</v>
      </c>
      <c r="CD5" s="33">
        <v>906.33330000000001</v>
      </c>
      <c r="CE5" s="33">
        <v>13263</v>
      </c>
      <c r="CF5" s="33">
        <v>13853</v>
      </c>
      <c r="CG5" s="33">
        <v>15868</v>
      </c>
      <c r="CH5" s="33">
        <v>10385.5502</v>
      </c>
      <c r="CI5" s="33">
        <v>10837.5502</v>
      </c>
      <c r="CJ5" s="33">
        <v>12940.5502</v>
      </c>
      <c r="CK5" s="33">
        <v>7430.6260000000002</v>
      </c>
      <c r="CL5" s="33">
        <v>7648.0941999999995</v>
      </c>
      <c r="CM5" s="33">
        <v>8944.2502000000004</v>
      </c>
      <c r="CN5" s="33">
        <v>6768.3333000000002</v>
      </c>
      <c r="CO5" s="33">
        <v>6892.3333000000002</v>
      </c>
      <c r="CP5" s="33">
        <v>7849.3333000000002</v>
      </c>
      <c r="CQ5" s="33">
        <v>6725.0042999999996</v>
      </c>
      <c r="CR5" s="33">
        <v>6855.5077000000001</v>
      </c>
      <c r="CS5" s="33">
        <v>7816.8333000000002</v>
      </c>
      <c r="CT5" s="33">
        <v>123550.19040000001</v>
      </c>
      <c r="CU5" s="33">
        <v>68.149140047230716</v>
      </c>
      <c r="CV5" s="33">
        <v>34.707646454172355</v>
      </c>
      <c r="CW5" s="43">
        <v>1874.2129085253073</v>
      </c>
      <c r="CX5" s="33">
        <v>0</v>
      </c>
      <c r="CY5" s="33">
        <v>0</v>
      </c>
      <c r="CZ5" s="33">
        <v>0</v>
      </c>
      <c r="DA5" s="33">
        <v>0</v>
      </c>
      <c r="DB5" s="33">
        <v>0</v>
      </c>
      <c r="DC5" s="33">
        <v>125424.40330000001</v>
      </c>
      <c r="DD5" s="33">
        <v>13979.678940008973</v>
      </c>
      <c r="DE5" s="33">
        <v>1974.2647801062458</v>
      </c>
      <c r="DF5" s="33">
        <v>15953.943720115218</v>
      </c>
      <c r="DG5" s="44">
        <v>0</v>
      </c>
      <c r="DH5" s="33">
        <v>48519</v>
      </c>
      <c r="DI5" s="33">
        <v>16977.264800000001</v>
      </c>
      <c r="DJ5" s="33">
        <v>0</v>
      </c>
      <c r="DK5" s="33">
        <v>3932</v>
      </c>
      <c r="DL5" s="33">
        <v>61564.264799999997</v>
      </c>
      <c r="DM5" s="33">
        <v>125424.40330000001</v>
      </c>
      <c r="DN5" s="33">
        <v>15953.943720115218</v>
      </c>
      <c r="DO5" s="33">
        <v>0</v>
      </c>
      <c r="DP5" s="33">
        <v>3932</v>
      </c>
      <c r="DQ5" s="33">
        <v>0</v>
      </c>
      <c r="DR5" s="33">
        <v>5927.5</v>
      </c>
      <c r="DS5" s="33">
        <v>143373.84700000001</v>
      </c>
      <c r="DT5" s="33">
        <v>147305.84700000001</v>
      </c>
      <c r="DU5" s="37">
        <v>3.3912164009650412</v>
      </c>
      <c r="DV5" s="37">
        <v>3.2397208676985652</v>
      </c>
      <c r="DW5" s="37">
        <v>2.9956925825323863</v>
      </c>
      <c r="DX5" s="37">
        <v>10.810061599939683</v>
      </c>
      <c r="DY5" s="37">
        <v>10.349660506749441</v>
      </c>
      <c r="DZ5" s="37">
        <v>9.0354075497857327</v>
      </c>
      <c r="EA5" s="37">
        <v>13.805127724480116</v>
      </c>
      <c r="EB5" s="37">
        <v>13.229359435862175</v>
      </c>
      <c r="EC5" s="37">
        <v>11.079424350905885</v>
      </c>
      <c r="ED5" s="37">
        <v>19.294989009001394</v>
      </c>
      <c r="EE5" s="37">
        <v>18.746349515412614</v>
      </c>
      <c r="EF5" s="37">
        <v>16.029722312553378</v>
      </c>
      <c r="EG5" s="37">
        <v>18.531061893775238</v>
      </c>
      <c r="EH5" s="37">
        <v>18.197669474283838</v>
      </c>
      <c r="EI5" s="37">
        <v>15.978988088071123</v>
      </c>
      <c r="EJ5" s="37">
        <v>17.78708013614207</v>
      </c>
      <c r="EK5" s="37">
        <v>17.448480205193263</v>
      </c>
      <c r="EL5" s="37">
        <v>15.302640571854079</v>
      </c>
      <c r="EM5" s="37">
        <v>2.3288485205787759</v>
      </c>
      <c r="EN5" s="37">
        <v>2.546429036047734</v>
      </c>
      <c r="EO5" s="37">
        <v>2.6828041895619803</v>
      </c>
    </row>
    <row r="6" spans="2:145" s="45" customFormat="1" ht="15" customHeight="1" x14ac:dyDescent="0.2">
      <c r="B6" s="30" t="str">
        <v>s</v>
      </c>
      <c r="C6" s="31">
        <v>41572</v>
      </c>
      <c r="D6" s="32">
        <v>2.5999999999999999E-2</v>
      </c>
      <c r="E6" s="33">
        <v>1786.44</v>
      </c>
      <c r="F6" s="33">
        <v>69.16</v>
      </c>
      <c r="G6" s="33">
        <v>45907</v>
      </c>
      <c r="H6" s="34">
        <v>0</v>
      </c>
      <c r="I6" s="35">
        <v>54</v>
      </c>
      <c r="J6" s="36">
        <v>32.020000000000003</v>
      </c>
      <c r="K6" s="37">
        <v>2.5499999999999998</v>
      </c>
      <c r="L6" s="38">
        <v>0.3</v>
      </c>
      <c r="M6" s="38">
        <v>2.35E-2</v>
      </c>
      <c r="N6" s="33">
        <v>0</v>
      </c>
      <c r="O6" s="33">
        <v>0</v>
      </c>
      <c r="P6" s="33">
        <v>15003</v>
      </c>
      <c r="Q6" s="30">
        <v>4.5</v>
      </c>
      <c r="R6" s="33">
        <v>383</v>
      </c>
      <c r="S6" s="32">
        <v>4.2500000000000003E-2</v>
      </c>
      <c r="T6" s="33">
        <v>863</v>
      </c>
      <c r="U6" s="33">
        <v>471</v>
      </c>
      <c r="V6" s="33">
        <v>378</v>
      </c>
      <c r="W6" s="33">
        <v>295</v>
      </c>
      <c r="X6" s="33">
        <v>225</v>
      </c>
      <c r="Y6" s="33">
        <v>163</v>
      </c>
      <c r="Z6" s="33">
        <v>791</v>
      </c>
      <c r="AA6" s="33">
        <v>0</v>
      </c>
      <c r="AB6" s="33">
        <v>0</v>
      </c>
      <c r="AC6" s="33">
        <v>0</v>
      </c>
      <c r="AD6" s="32">
        <v>0</v>
      </c>
      <c r="AE6" s="39">
        <v>0</v>
      </c>
      <c r="AF6" s="33">
        <v>0</v>
      </c>
      <c r="AG6" s="33">
        <v>0</v>
      </c>
      <c r="AH6" s="33">
        <v>0</v>
      </c>
      <c r="AI6" s="33">
        <v>0</v>
      </c>
      <c r="AJ6" s="33">
        <v>3932</v>
      </c>
      <c r="AK6" s="33">
        <v>0</v>
      </c>
      <c r="AL6" s="25">
        <v>1</v>
      </c>
      <c r="AM6" s="33">
        <v>2371</v>
      </c>
      <c r="AN6" s="39">
        <v>2.5</v>
      </c>
      <c r="AO6" s="33">
        <v>42278</v>
      </c>
      <c r="AP6" s="33">
        <v>44255</v>
      </c>
      <c r="AQ6" s="33">
        <v>47860</v>
      </c>
      <c r="AR6" s="33">
        <v>10850</v>
      </c>
      <c r="AS6" s="33">
        <v>11440</v>
      </c>
      <c r="AT6" s="33">
        <v>13455</v>
      </c>
      <c r="AU6" s="33">
        <v>8863</v>
      </c>
      <c r="AV6" s="33">
        <v>9315</v>
      </c>
      <c r="AW6" s="33">
        <v>11418</v>
      </c>
      <c r="AX6" s="40">
        <v>0.33339999999999997</v>
      </c>
      <c r="AY6" s="40">
        <v>0.34239999999999998</v>
      </c>
      <c r="AZ6" s="40">
        <v>0.35</v>
      </c>
      <c r="BA6" s="33">
        <v>5862</v>
      </c>
      <c r="BB6" s="33">
        <v>5986</v>
      </c>
      <c r="BC6" s="33">
        <v>6943</v>
      </c>
      <c r="BD6" s="33">
        <v>65</v>
      </c>
      <c r="BE6" s="33">
        <v>56</v>
      </c>
      <c r="BF6" s="33">
        <v>50</v>
      </c>
      <c r="BG6" s="41">
        <v>0</v>
      </c>
      <c r="BH6" s="41">
        <v>0</v>
      </c>
      <c r="BI6" s="41">
        <v>0</v>
      </c>
      <c r="BJ6" s="41">
        <v>0</v>
      </c>
      <c r="BK6" s="41">
        <v>0</v>
      </c>
      <c r="BL6" s="41">
        <v>0</v>
      </c>
      <c r="BM6" s="41">
        <v>0</v>
      </c>
      <c r="BN6" s="41">
        <v>0</v>
      </c>
      <c r="BO6" s="41">
        <v>0</v>
      </c>
      <c r="BP6" s="41">
        <v>0</v>
      </c>
      <c r="BQ6" s="41">
        <v>0</v>
      </c>
      <c r="BR6" s="35">
        <v>5</v>
      </c>
      <c r="BS6" s="35">
        <v>3</v>
      </c>
      <c r="BT6" s="33">
        <v>1974.2647801062458</v>
      </c>
      <c r="BU6" s="33">
        <v>8946.9063000000006</v>
      </c>
      <c r="BV6" s="33">
        <v>16977.264800000001</v>
      </c>
      <c r="BW6" s="33">
        <v>8863</v>
      </c>
      <c r="BX6" s="33">
        <v>863</v>
      </c>
      <c r="BY6" s="33">
        <v>246.78309751328072</v>
      </c>
      <c r="BZ6" s="33">
        <v>9479.2168999999994</v>
      </c>
      <c r="CA6" s="25">
        <v>0</v>
      </c>
      <c r="CB6" s="33">
        <v>0</v>
      </c>
      <c r="CC6" s="33">
        <v>0</v>
      </c>
      <c r="CD6" s="33">
        <v>0</v>
      </c>
      <c r="CE6" s="33">
        <v>11713</v>
      </c>
      <c r="CF6" s="33">
        <v>12303</v>
      </c>
      <c r="CG6" s="33">
        <v>14318</v>
      </c>
      <c r="CH6" s="33">
        <v>9479.2168999999994</v>
      </c>
      <c r="CI6" s="33">
        <v>9931.2168999999994</v>
      </c>
      <c r="CJ6" s="33">
        <v>12034.216899999999</v>
      </c>
      <c r="CK6" s="33">
        <v>6524.2927</v>
      </c>
      <c r="CL6" s="33">
        <v>6741.7609000000002</v>
      </c>
      <c r="CM6" s="33">
        <v>8037.9169000000002</v>
      </c>
      <c r="CN6" s="33">
        <v>5862</v>
      </c>
      <c r="CO6" s="33">
        <v>5986</v>
      </c>
      <c r="CP6" s="33">
        <v>6943</v>
      </c>
      <c r="CQ6" s="33">
        <v>5818.6710000000003</v>
      </c>
      <c r="CR6" s="33">
        <v>5949.1743999999999</v>
      </c>
      <c r="CS6" s="33">
        <v>6910.5</v>
      </c>
      <c r="CT6" s="33">
        <v>123550.19040000001</v>
      </c>
      <c r="CU6" s="33">
        <v>68.149140047230716</v>
      </c>
      <c r="CV6" s="33">
        <v>34.707646454172355</v>
      </c>
      <c r="CW6" s="43">
        <v>1874.2129085253073</v>
      </c>
      <c r="CX6" s="33">
        <v>0</v>
      </c>
      <c r="CY6" s="33">
        <v>0</v>
      </c>
      <c r="CZ6" s="33">
        <v>0</v>
      </c>
      <c r="DA6" s="33">
        <v>0</v>
      </c>
      <c r="DB6" s="33">
        <v>0</v>
      </c>
      <c r="DC6" s="33">
        <v>125424.40330000001</v>
      </c>
      <c r="DD6" s="33">
        <v>13979.678940008973</v>
      </c>
      <c r="DE6" s="33">
        <v>1974.2647801062458</v>
      </c>
      <c r="DF6" s="33">
        <v>15953.943720115218</v>
      </c>
      <c r="DG6" s="44">
        <v>0</v>
      </c>
      <c r="DH6" s="33">
        <v>45907</v>
      </c>
      <c r="DI6" s="33">
        <v>16977.264800000001</v>
      </c>
      <c r="DJ6" s="33">
        <v>0</v>
      </c>
      <c r="DK6" s="33">
        <v>3932</v>
      </c>
      <c r="DL6" s="33">
        <v>58952.264799999997</v>
      </c>
      <c r="DM6" s="33">
        <v>125424.40330000001</v>
      </c>
      <c r="DN6" s="33">
        <v>15953.943720115218</v>
      </c>
      <c r="DO6" s="33">
        <v>0</v>
      </c>
      <c r="DP6" s="33">
        <v>3932</v>
      </c>
      <c r="DQ6" s="33">
        <v>0</v>
      </c>
      <c r="DR6" s="33">
        <v>5927.5</v>
      </c>
      <c r="DS6" s="33">
        <v>143373.84700000001</v>
      </c>
      <c r="DT6" s="33">
        <v>147305.84700000001</v>
      </c>
      <c r="DU6" s="37">
        <v>3.3912164009650412</v>
      </c>
      <c r="DV6" s="37">
        <v>3.2397208676985652</v>
      </c>
      <c r="DW6" s="37">
        <v>2.9956925825323863</v>
      </c>
      <c r="DX6" s="37">
        <v>12.240574319132589</v>
      </c>
      <c r="DY6" s="37">
        <v>11.653567991546778</v>
      </c>
      <c r="DZ6" s="37">
        <v>10.013538692554826</v>
      </c>
      <c r="EA6" s="37">
        <v>15.125072937195901</v>
      </c>
      <c r="EB6" s="37">
        <v>14.436684692688569</v>
      </c>
      <c r="EC6" s="37">
        <v>11.913849334060117</v>
      </c>
      <c r="ED6" s="37">
        <v>21.975385469753682</v>
      </c>
      <c r="EE6" s="37">
        <v>21.266528007541769</v>
      </c>
      <c r="EF6" s="37">
        <v>17.83718950863998</v>
      </c>
      <c r="EG6" s="37">
        <v>21.396179341521666</v>
      </c>
      <c r="EH6" s="37">
        <v>20.952957450718344</v>
      </c>
      <c r="EI6" s="37">
        <v>18.064871568486247</v>
      </c>
      <c r="EJ6" s="37">
        <v>20.557648026499521</v>
      </c>
      <c r="EK6" s="37">
        <v>20.106687475828579</v>
      </c>
      <c r="EL6" s="37">
        <v>17.309628883582956</v>
      </c>
      <c r="EM6" s="37">
        <v>2.4320328911265174</v>
      </c>
      <c r="EN6" s="37">
        <v>2.6913148408739409</v>
      </c>
      <c r="EO6" s="37">
        <v>2.8497484312090533</v>
      </c>
    </row>
    <row r="7" spans="2:145" s="45" customFormat="1" ht="15" customHeight="1" x14ac:dyDescent="0.2">
      <c r="B7" s="30" t="str">
        <v>Disney</v>
      </c>
      <c r="C7" s="31">
        <v>41572</v>
      </c>
      <c r="D7" s="32">
        <v>2.5999999999999999E-2</v>
      </c>
      <c r="E7" s="33">
        <v>1786.44</v>
      </c>
      <c r="F7" s="33">
        <v>69.16</v>
      </c>
      <c r="G7" s="33">
        <v>45907</v>
      </c>
      <c r="H7" s="34">
        <v>0</v>
      </c>
      <c r="I7" s="35">
        <v>54</v>
      </c>
      <c r="J7" s="36">
        <v>32.020000000000003</v>
      </c>
      <c r="K7" s="37">
        <v>2.5499999999999998</v>
      </c>
      <c r="L7" s="38">
        <v>0.3</v>
      </c>
      <c r="M7" s="38">
        <v>2.35E-2</v>
      </c>
      <c r="N7" s="33">
        <v>0</v>
      </c>
      <c r="O7" s="33">
        <v>0</v>
      </c>
      <c r="P7" s="33">
        <v>15003</v>
      </c>
      <c r="Q7" s="30">
        <v>4.5</v>
      </c>
      <c r="R7" s="33">
        <v>383</v>
      </c>
      <c r="S7" s="32">
        <v>4.2500000000000003E-2</v>
      </c>
      <c r="T7" s="33">
        <v>0</v>
      </c>
      <c r="U7" s="33">
        <v>0</v>
      </c>
      <c r="V7" s="33">
        <v>0</v>
      </c>
      <c r="W7" s="33">
        <v>0</v>
      </c>
      <c r="X7" s="33">
        <v>0</v>
      </c>
      <c r="Y7" s="33">
        <v>0</v>
      </c>
      <c r="Z7" s="33">
        <v>0</v>
      </c>
      <c r="AA7" s="33">
        <v>0</v>
      </c>
      <c r="AB7" s="33">
        <v>0</v>
      </c>
      <c r="AC7" s="33">
        <v>0</v>
      </c>
      <c r="AD7" s="32">
        <v>0</v>
      </c>
      <c r="AE7" s="39">
        <v>0</v>
      </c>
      <c r="AF7" s="33">
        <v>0</v>
      </c>
      <c r="AG7" s="33">
        <v>0</v>
      </c>
      <c r="AH7" s="33">
        <v>0</v>
      </c>
      <c r="AI7" s="33">
        <v>0</v>
      </c>
      <c r="AJ7" s="33">
        <v>3932</v>
      </c>
      <c r="AK7" s="33">
        <v>0</v>
      </c>
      <c r="AL7" s="25">
        <v>1</v>
      </c>
      <c r="AM7" s="33">
        <v>2371</v>
      </c>
      <c r="AN7" s="39">
        <v>2.5</v>
      </c>
      <c r="AO7" s="33">
        <v>42278</v>
      </c>
      <c r="AP7" s="33">
        <v>44255</v>
      </c>
      <c r="AQ7" s="33">
        <v>47860</v>
      </c>
      <c r="AR7" s="33">
        <v>10850</v>
      </c>
      <c r="AS7" s="33">
        <v>11440</v>
      </c>
      <c r="AT7" s="33">
        <v>13455</v>
      </c>
      <c r="AU7" s="33">
        <v>8863</v>
      </c>
      <c r="AV7" s="33">
        <v>9315</v>
      </c>
      <c r="AW7" s="33">
        <v>11418</v>
      </c>
      <c r="AX7" s="40">
        <v>0.33339999999999997</v>
      </c>
      <c r="AY7" s="40">
        <v>0.34239999999999998</v>
      </c>
      <c r="AZ7" s="40">
        <v>0.35</v>
      </c>
      <c r="BA7" s="33">
        <v>5862</v>
      </c>
      <c r="BB7" s="33">
        <v>5986</v>
      </c>
      <c r="BC7" s="33">
        <v>6943</v>
      </c>
      <c r="BD7" s="33">
        <v>65</v>
      </c>
      <c r="BE7" s="33">
        <v>56</v>
      </c>
      <c r="BF7" s="33">
        <v>50</v>
      </c>
      <c r="BG7" s="41">
        <v>0</v>
      </c>
      <c r="BH7" s="41">
        <v>0</v>
      </c>
      <c r="BI7" s="41">
        <v>0</v>
      </c>
      <c r="BJ7" s="41">
        <v>0</v>
      </c>
      <c r="BK7" s="41">
        <v>0</v>
      </c>
      <c r="BL7" s="41">
        <v>0</v>
      </c>
      <c r="BM7" s="41">
        <v>0</v>
      </c>
      <c r="BN7" s="41">
        <v>0</v>
      </c>
      <c r="BO7" s="41">
        <v>0</v>
      </c>
      <c r="BP7" s="41">
        <v>0</v>
      </c>
      <c r="BQ7" s="41">
        <v>0</v>
      </c>
      <c r="BR7" s="35">
        <v>0</v>
      </c>
      <c r="BS7" s="35">
        <v>0</v>
      </c>
      <c r="BT7" s="33">
        <v>0</v>
      </c>
      <c r="BU7" s="33">
        <v>8863</v>
      </c>
      <c r="BV7" s="33">
        <v>15003</v>
      </c>
      <c r="BW7" s="33">
        <v>8863</v>
      </c>
      <c r="BX7" s="33">
        <v>0</v>
      </c>
      <c r="BY7" s="33">
        <v>0</v>
      </c>
      <c r="BZ7" s="33">
        <v>8863</v>
      </c>
      <c r="CA7" s="25">
        <v>0</v>
      </c>
      <c r="CB7" s="33">
        <v>0</v>
      </c>
      <c r="CC7" s="33">
        <v>0</v>
      </c>
      <c r="CD7" s="33">
        <v>0</v>
      </c>
      <c r="CE7" s="33">
        <v>10850</v>
      </c>
      <c r="CF7" s="33">
        <v>11440</v>
      </c>
      <c r="CG7" s="33">
        <v>13455</v>
      </c>
      <c r="CH7" s="33">
        <v>8863</v>
      </c>
      <c r="CI7" s="33">
        <v>9315</v>
      </c>
      <c r="CJ7" s="33">
        <v>11418</v>
      </c>
      <c r="CK7" s="33">
        <v>5908.0757999999996</v>
      </c>
      <c r="CL7" s="33">
        <v>6125.5439999999999</v>
      </c>
      <c r="CM7" s="33">
        <v>7421.7</v>
      </c>
      <c r="CN7" s="33">
        <v>5862</v>
      </c>
      <c r="CO7" s="33">
        <v>5986</v>
      </c>
      <c r="CP7" s="33">
        <v>6943</v>
      </c>
      <c r="CQ7" s="33">
        <v>5818.6710000000003</v>
      </c>
      <c r="CR7" s="33">
        <v>5949.1743999999999</v>
      </c>
      <c r="CS7" s="33">
        <v>6910.5</v>
      </c>
      <c r="CT7" s="33">
        <v>123550.19040000001</v>
      </c>
      <c r="CU7" s="33">
        <v>68.149140047230716</v>
      </c>
      <c r="CV7" s="33">
        <v>34.707646454172355</v>
      </c>
      <c r="CW7" s="43">
        <v>1874.2129085253073</v>
      </c>
      <c r="CX7" s="33">
        <v>0</v>
      </c>
      <c r="CY7" s="33">
        <v>0</v>
      </c>
      <c r="CZ7" s="33">
        <v>0</v>
      </c>
      <c r="DA7" s="33">
        <v>0</v>
      </c>
      <c r="DB7" s="33">
        <v>0</v>
      </c>
      <c r="DC7" s="33">
        <v>125424.40330000001</v>
      </c>
      <c r="DD7" s="33">
        <v>13979.678940008973</v>
      </c>
      <c r="DE7" s="33">
        <v>0</v>
      </c>
      <c r="DF7" s="33">
        <v>13979.678940008973</v>
      </c>
      <c r="DG7" s="44">
        <v>0</v>
      </c>
      <c r="DH7" s="33">
        <v>45907</v>
      </c>
      <c r="DI7" s="33">
        <v>15003</v>
      </c>
      <c r="DJ7" s="33">
        <v>0</v>
      </c>
      <c r="DK7" s="33">
        <v>3932</v>
      </c>
      <c r="DL7" s="33">
        <v>56978</v>
      </c>
      <c r="DM7" s="33">
        <v>125424.40330000001</v>
      </c>
      <c r="DN7" s="33">
        <v>13979.678940008973</v>
      </c>
      <c r="DO7" s="33">
        <v>0</v>
      </c>
      <c r="DP7" s="33">
        <v>3932</v>
      </c>
      <c r="DQ7" s="33">
        <v>0</v>
      </c>
      <c r="DR7" s="33">
        <v>5927.5</v>
      </c>
      <c r="DS7" s="33">
        <v>141399.5822</v>
      </c>
      <c r="DT7" s="33">
        <v>145331.5822</v>
      </c>
      <c r="DU7" s="37">
        <v>3.3445191872841669</v>
      </c>
      <c r="DV7" s="37">
        <v>3.195109754829963</v>
      </c>
      <c r="DW7" s="37">
        <v>2.9544417509402425</v>
      </c>
      <c r="DX7" s="37">
        <v>13.032219557603687</v>
      </c>
      <c r="DY7" s="37">
        <v>12.36010333916084</v>
      </c>
      <c r="DZ7" s="37">
        <v>10.509073370494241</v>
      </c>
      <c r="EA7" s="37">
        <v>15.95391878596412</v>
      </c>
      <c r="EB7" s="37">
        <v>15.179772646269459</v>
      </c>
      <c r="EC7" s="37">
        <v>12.383918567174637</v>
      </c>
      <c r="ED7" s="37">
        <v>23.933271506096794</v>
      </c>
      <c r="EE7" s="37">
        <v>23.083595873280807</v>
      </c>
      <c r="EF7" s="37">
        <v>19.052182411037904</v>
      </c>
      <c r="EG7" s="37">
        <v>21.396179341521666</v>
      </c>
      <c r="EH7" s="37">
        <v>20.952957450718344</v>
      </c>
      <c r="EI7" s="37">
        <v>18.064871568486247</v>
      </c>
      <c r="EJ7" s="37">
        <v>20.557648026499521</v>
      </c>
      <c r="EK7" s="37">
        <v>20.106687475828579</v>
      </c>
      <c r="EL7" s="37">
        <v>17.309628883582956</v>
      </c>
      <c r="EM7" s="37">
        <v>2.4816522552564146</v>
      </c>
      <c r="EN7" s="37">
        <v>2.6913148408739409</v>
      </c>
      <c r="EO7" s="37">
        <v>2.8497484312090533</v>
      </c>
    </row>
    <row r="8" spans="2:145" ht="15" customHeight="1" x14ac:dyDescent="0.2">
      <c r="CW8" s="47"/>
      <c r="CX8" s="47"/>
    </row>
    <row r="9" spans="2:145" ht="15" customHeight="1" x14ac:dyDescent="0.2">
      <c r="D9" s="51">
        <f>D5-Sanitized_Model!C5</f>
        <v>0</v>
      </c>
      <c r="E9" s="51">
        <f>E5-Sanitized_Model!D5</f>
        <v>0</v>
      </c>
      <c r="F9" s="51">
        <f>F5-Sanitized_Model!E5</f>
        <v>0</v>
      </c>
      <c r="G9" s="51">
        <f>G5-Sanitized_Model!F5</f>
        <v>0</v>
      </c>
      <c r="H9" s="51">
        <f>H5-Sanitized_Model!G5</f>
        <v>0</v>
      </c>
      <c r="I9" s="51">
        <f>I5-Sanitized_Model!H5</f>
        <v>0</v>
      </c>
      <c r="J9" s="51">
        <f>J5-Sanitized_Model!I5</f>
        <v>0</v>
      </c>
      <c r="K9" s="51">
        <f>K5-Sanitized_Model!J5</f>
        <v>0</v>
      </c>
      <c r="L9" s="51">
        <f>L5-Sanitized_Model!K5</f>
        <v>0</v>
      </c>
      <c r="M9" s="51">
        <f>M5-Sanitized_Model!L5</f>
        <v>0</v>
      </c>
      <c r="N9" s="51">
        <f>N5-Sanitized_Model!M5</f>
        <v>0</v>
      </c>
      <c r="O9" s="51">
        <f>O5-Sanitized_Model!N5</f>
        <v>0</v>
      </c>
      <c r="P9" s="51">
        <f>P5-Sanitized_Model!O5</f>
        <v>0</v>
      </c>
      <c r="Q9" s="51">
        <f>Q5-Sanitized_Model!P5</f>
        <v>0</v>
      </c>
      <c r="R9" s="51">
        <f>R5-Sanitized_Model!Q5</f>
        <v>0</v>
      </c>
      <c r="S9" s="51">
        <f>S5-Sanitized_Model!R5</f>
        <v>0</v>
      </c>
      <c r="T9" s="51">
        <f>T5-Sanitized_Model!S5</f>
        <v>0</v>
      </c>
      <c r="U9" s="51">
        <f>U5-Sanitized_Model!T5</f>
        <v>0</v>
      </c>
      <c r="V9" s="51">
        <f>V5-Sanitized_Model!U5</f>
        <v>0</v>
      </c>
      <c r="W9" s="51">
        <f>W5-Sanitized_Model!V5</f>
        <v>0</v>
      </c>
      <c r="X9" s="51">
        <f>X5-Sanitized_Model!W5</f>
        <v>0</v>
      </c>
      <c r="Y9" s="51">
        <f>Y5-Sanitized_Model!X5</f>
        <v>0</v>
      </c>
      <c r="Z9" s="51">
        <f>Z5-Sanitized_Model!Y5</f>
        <v>0</v>
      </c>
      <c r="AA9" s="51">
        <f>AA5-Sanitized_Model!Z5</f>
        <v>0</v>
      </c>
      <c r="AB9" s="51">
        <f>AB5-Sanitized_Model!AA5</f>
        <v>0</v>
      </c>
      <c r="AC9" s="51">
        <f>AC5-Sanitized_Model!AB5</f>
        <v>0</v>
      </c>
      <c r="AD9" s="51">
        <f>AD5-Sanitized_Model!AC5</f>
        <v>0</v>
      </c>
      <c r="AE9" s="51">
        <f>AE5-Sanitized_Model!AD5</f>
        <v>0</v>
      </c>
      <c r="AF9" s="51">
        <f>AF5-Sanitized_Model!AE5</f>
        <v>0</v>
      </c>
      <c r="AG9" s="51">
        <f>AG5-Sanitized_Model!AF5</f>
        <v>0</v>
      </c>
      <c r="AH9" s="51">
        <f>AH5-Sanitized_Model!AG5</f>
        <v>0</v>
      </c>
      <c r="AI9" s="51">
        <f>AI5-Sanitized_Model!AH5</f>
        <v>0</v>
      </c>
      <c r="AJ9" s="51">
        <f>AJ5-Sanitized_Model!AI5</f>
        <v>0</v>
      </c>
      <c r="AK9" s="51">
        <f>AK5-Sanitized_Model!AJ5</f>
        <v>0</v>
      </c>
      <c r="AL9" s="51">
        <f>AL5-Sanitized_Model!AK5</f>
        <v>0</v>
      </c>
      <c r="AM9" s="51">
        <f>AM5-Sanitized_Model!AL5</f>
        <v>0</v>
      </c>
      <c r="AN9" s="51">
        <f>AN5-Sanitized_Model!AM5</f>
        <v>0</v>
      </c>
      <c r="AO9" s="51">
        <f>AO5-Sanitized_Model!AN5</f>
        <v>0</v>
      </c>
      <c r="AP9" s="51">
        <f>AP5-Sanitized_Model!AO5</f>
        <v>0</v>
      </c>
      <c r="AQ9" s="51">
        <f>AQ5-Sanitized_Model!AP5</f>
        <v>0</v>
      </c>
      <c r="AR9" s="51">
        <f>AR5-Sanitized_Model!AQ5</f>
        <v>0</v>
      </c>
      <c r="AS9" s="51">
        <f>AS5-Sanitized_Model!AR5</f>
        <v>0</v>
      </c>
      <c r="AT9" s="51">
        <f>AT5-Sanitized_Model!AS5</f>
        <v>0</v>
      </c>
      <c r="AU9" s="51">
        <f>AU5-Sanitized_Model!AT5</f>
        <v>0</v>
      </c>
      <c r="AV9" s="51">
        <f>AV5-Sanitized_Model!AU5</f>
        <v>0</v>
      </c>
      <c r="AW9" s="51">
        <f>AW5-Sanitized_Model!AV5</f>
        <v>0</v>
      </c>
      <c r="AX9" s="51">
        <f>AX5-Sanitized_Model!AW5</f>
        <v>0</v>
      </c>
      <c r="AY9" s="51">
        <f>AY5-Sanitized_Model!AX5</f>
        <v>0</v>
      </c>
      <c r="AZ9" s="51">
        <f>AZ5-Sanitized_Model!AY5</f>
        <v>0</v>
      </c>
      <c r="BA9" s="51">
        <f>BA5-Sanitized_Model!AZ5</f>
        <v>0</v>
      </c>
      <c r="BB9" s="51">
        <f>BB5-Sanitized_Model!BA5</f>
        <v>0</v>
      </c>
      <c r="BC9" s="51">
        <f>BC5-Sanitized_Model!BB5</f>
        <v>0</v>
      </c>
      <c r="BD9" s="51">
        <f>BD5-Sanitized_Model!BC5</f>
        <v>0</v>
      </c>
      <c r="BE9" s="51">
        <f>BE5-Sanitized_Model!BD5</f>
        <v>0</v>
      </c>
      <c r="BF9" s="51">
        <f>BF5-Sanitized_Model!BE5</f>
        <v>0</v>
      </c>
      <c r="BG9" s="51">
        <f>BG5-Sanitized_Model!BF5</f>
        <v>0</v>
      </c>
      <c r="BH9" s="51">
        <f>BH5-Sanitized_Model!BG5</f>
        <v>0</v>
      </c>
      <c r="BI9" s="51">
        <f>BI5-Sanitized_Model!BH5</f>
        <v>0</v>
      </c>
      <c r="BJ9" s="51">
        <f>BJ5-Sanitized_Model!BI5</f>
        <v>0</v>
      </c>
      <c r="BK9" s="51">
        <f>BK5-Sanitized_Model!BJ5</f>
        <v>0</v>
      </c>
      <c r="BL9" s="51">
        <f>BL5-Sanitized_Model!BK5</f>
        <v>0</v>
      </c>
      <c r="BM9" s="51">
        <f>BM5-Sanitized_Model!BL5</f>
        <v>0</v>
      </c>
      <c r="BN9" s="51">
        <f>BN5-Sanitized_Model!BM5</f>
        <v>0</v>
      </c>
      <c r="BO9" s="51">
        <f>BO5-Sanitized_Model!BN5</f>
        <v>0</v>
      </c>
      <c r="BP9" s="51">
        <f>BP5-Sanitized_Model!BO5</f>
        <v>0</v>
      </c>
      <c r="BQ9" s="51">
        <f>BQ5-Sanitized_Model!BP5</f>
        <v>0</v>
      </c>
      <c r="BR9" s="51">
        <f>BR5-Sanitized_Model!BQ5</f>
        <v>0</v>
      </c>
      <c r="BS9" s="51">
        <f>BS5-Sanitized_Model!BR5</f>
        <v>0</v>
      </c>
      <c r="BT9" s="51">
        <f>BT5-Sanitized_Model!BS5</f>
        <v>0</v>
      </c>
      <c r="BU9" s="51">
        <f>BU5-Sanitized_Model!BT5</f>
        <v>4.6845485485391691E-5</v>
      </c>
      <c r="BV9" s="51">
        <f>BV5-Sanitized_Model!BU5</f>
        <v>1.9893755961675197E-5</v>
      </c>
      <c r="BW9" s="51">
        <f>BW5-Sanitized_Model!BV5</f>
        <v>0</v>
      </c>
      <c r="BX9" s="51">
        <f>BX5-Sanitized_Model!BW5</f>
        <v>0</v>
      </c>
      <c r="BY9" s="51">
        <f>BY5-Sanitized_Model!BX5</f>
        <v>0</v>
      </c>
      <c r="BZ9" s="51">
        <f>BZ5-Sanitized_Model!BY5</f>
        <v>-2.4867204047041014E-6</v>
      </c>
      <c r="CA9" s="51">
        <f>CA5-Sanitized_Model!BZ5</f>
        <v>0</v>
      </c>
      <c r="CB9" s="51">
        <f>CB5-Sanitized_Model!CA5</f>
        <v>0</v>
      </c>
      <c r="CC9" s="51">
        <f>CC5-Sanitized_Model!CB5</f>
        <v>0</v>
      </c>
      <c r="CD9" s="51">
        <f>CD5-Sanitized_Model!CC5</f>
        <v>-3.3333333362861595E-5</v>
      </c>
      <c r="CE9" s="51">
        <f>CE5-Sanitized_Model!CD5</f>
        <v>0</v>
      </c>
      <c r="CF9" s="51">
        <f>CF5-Sanitized_Model!CE5</f>
        <v>0</v>
      </c>
      <c r="CG9" s="51">
        <f>CG5-Sanitized_Model!CF5</f>
        <v>0</v>
      </c>
      <c r="CH9" s="51">
        <f>CH5-Sanitized_Model!CG5</f>
        <v>-3.5820054108626209E-5</v>
      </c>
      <c r="CI9" s="51">
        <f>CI5-Sanitized_Model!CH5</f>
        <v>-3.5820054108626209E-5</v>
      </c>
      <c r="CJ9" s="51">
        <f>CJ5-Sanitized_Model!CI5</f>
        <v>-3.5820054108626209E-5</v>
      </c>
      <c r="CK9" s="51">
        <f>CK5-Sanitized_Model!CJ5</f>
        <v>-3.5820052289636806E-5</v>
      </c>
      <c r="CL9" s="51">
        <f>CL5-Sanitized_Model!CK5</f>
        <v>-3.5820053199131507E-5</v>
      </c>
      <c r="CM9" s="51">
        <f>CM5-Sanitized_Model!CL5</f>
        <v>-3.5820052289636806E-5</v>
      </c>
      <c r="CN9" s="51">
        <f>CN5-Sanitized_Model!CM5</f>
        <v>-3.3333332794427406E-5</v>
      </c>
      <c r="CO9" s="51">
        <f>CO5-Sanitized_Model!CN5</f>
        <v>-3.3333332794427406E-5</v>
      </c>
      <c r="CP9" s="51">
        <f>CP5-Sanitized_Model!CO5</f>
        <v>-3.3333332794427406E-5</v>
      </c>
      <c r="CQ9" s="51">
        <f>CQ5-Sanitized_Model!CP5</f>
        <v>-3.3333333703922108E-5</v>
      </c>
      <c r="CR9" s="51">
        <f>CR5-Sanitized_Model!CQ5</f>
        <v>-3.3333332794427406E-5</v>
      </c>
      <c r="CS9" s="51">
        <f>CS5-Sanitized_Model!CR5</f>
        <v>-3.3333332794427406E-5</v>
      </c>
      <c r="CT9" s="51">
        <f>CT5-Sanitized_Model!CS5</f>
        <v>0</v>
      </c>
      <c r="CU9" s="48" t="e">
        <f ca="1">CU5-Sanitized_Model!CT5</f>
        <v>#NAME?</v>
      </c>
      <c r="CV9" s="48" t="e">
        <f ca="1">CV5-Sanitized_Model!CU5</f>
        <v>#NAME?</v>
      </c>
      <c r="CW9" s="48" t="e">
        <f ca="1">CW5-Sanitized_Model!CV5</f>
        <v>#NAME?</v>
      </c>
      <c r="CX9" s="48">
        <f>CX5-Sanitized_Model!CW5</f>
        <v>0</v>
      </c>
      <c r="CY9" s="48">
        <f>CY5-Sanitized_Model!CX5</f>
        <v>0</v>
      </c>
      <c r="CZ9" s="48">
        <f>CZ5-Sanitized_Model!CY5</f>
        <v>0</v>
      </c>
      <c r="DA9" s="48">
        <f>DA5-Sanitized_Model!CZ5</f>
        <v>0</v>
      </c>
      <c r="DB9" s="48">
        <f>DB5-Sanitized_Model!DA5</f>
        <v>0</v>
      </c>
      <c r="DC9" s="48" t="e">
        <f ca="1">DC5-Sanitized_Model!DB5</f>
        <v>#NAME?</v>
      </c>
      <c r="DD9" s="48">
        <f>DD5-Sanitized_Model!DC5</f>
        <v>0</v>
      </c>
      <c r="DE9" s="48">
        <f>DE5-Sanitized_Model!DD5</f>
        <v>0</v>
      </c>
      <c r="DF9" s="48">
        <f>DF5-Sanitized_Model!DE5</f>
        <v>0</v>
      </c>
      <c r="DG9" s="48">
        <f>DG5-Sanitized_Model!DF5</f>
        <v>0</v>
      </c>
      <c r="DH9" s="48">
        <f>DH5-Sanitized_Model!DG5</f>
        <v>0</v>
      </c>
      <c r="DI9" s="48">
        <f>DI5-Sanitized_Model!DH5</f>
        <v>1.9893755961675197E-5</v>
      </c>
      <c r="DJ9" s="48">
        <f>DJ5-Sanitized_Model!DI5</f>
        <v>0</v>
      </c>
      <c r="DK9" s="48">
        <f>DK5-Sanitized_Model!DJ5</f>
        <v>0</v>
      </c>
      <c r="DL9" s="48">
        <f>DL5-Sanitized_Model!DK5</f>
        <v>1.9893755961675197E-5</v>
      </c>
      <c r="DM9" s="48" t="e">
        <f ca="1">DM5-Sanitized_Model!DL5</f>
        <v>#NAME?</v>
      </c>
      <c r="DN9" s="48">
        <f>DN5-Sanitized_Model!DM5</f>
        <v>0</v>
      </c>
      <c r="DO9" s="48">
        <f>DO5-Sanitized_Model!DN5</f>
        <v>0</v>
      </c>
      <c r="DP9" s="48">
        <f>DP5-Sanitized_Model!DO5</f>
        <v>0</v>
      </c>
      <c r="DQ9" s="48">
        <f>DQ5-Sanitized_Model!DP5</f>
        <v>0</v>
      </c>
      <c r="DR9" s="48">
        <f>DR5-Sanitized_Model!DQ5</f>
        <v>0</v>
      </c>
      <c r="DS9" s="48" t="e">
        <f ca="1">DS5-Sanitized_Model!DR5</f>
        <v>#NAME?</v>
      </c>
      <c r="DT9" s="48" t="e">
        <f ca="1">DT5-Sanitized_Model!DS5</f>
        <v>#NAME?</v>
      </c>
      <c r="DU9" s="48" t="e">
        <f ca="1">DU5-Sanitized_Model!DT5</f>
        <v>#NAME?</v>
      </c>
      <c r="DV9" s="48" t="e">
        <f ca="1">DV5-Sanitized_Model!DU5</f>
        <v>#NAME?</v>
      </c>
      <c r="DW9" s="48" t="e">
        <f ca="1">DW5-Sanitized_Model!DV5</f>
        <v>#NAME?</v>
      </c>
      <c r="DX9" s="48" t="e">
        <f ca="1">DX5-Sanitized_Model!DW5</f>
        <v>#NAME?</v>
      </c>
      <c r="DY9" s="48" t="e">
        <f ca="1">DY5-Sanitized_Model!DX5</f>
        <v>#NAME?</v>
      </c>
      <c r="DZ9" s="48" t="e">
        <f ca="1">DZ5-Sanitized_Model!DY5</f>
        <v>#NAME?</v>
      </c>
      <c r="EA9" s="48" t="e">
        <f ca="1">EA5-Sanitized_Model!DZ5</f>
        <v>#NAME?</v>
      </c>
      <c r="EB9" s="48" t="e">
        <f ca="1">EB5-Sanitized_Model!EA5</f>
        <v>#NAME?</v>
      </c>
      <c r="EC9" s="48" t="e">
        <f ca="1">EC5-Sanitized_Model!EB5</f>
        <v>#NAME?</v>
      </c>
      <c r="ED9" s="48" t="e">
        <f ca="1">ED5-Sanitized_Model!EC5</f>
        <v>#NAME?</v>
      </c>
      <c r="EE9" s="48" t="e">
        <f ca="1">EE5-Sanitized_Model!ED5</f>
        <v>#NAME?</v>
      </c>
      <c r="EF9" s="48" t="e">
        <f ca="1">EF5-Sanitized_Model!EE5</f>
        <v>#NAME?</v>
      </c>
      <c r="EG9" s="48" t="e">
        <f ca="1">EG5-Sanitized_Model!EF5</f>
        <v>#NAME?</v>
      </c>
      <c r="EH9" s="48" t="e">
        <f ca="1">EH5-Sanitized_Model!EG5</f>
        <v>#NAME?</v>
      </c>
      <c r="EI9" s="48" t="e">
        <f ca="1">EI5-Sanitized_Model!EH5</f>
        <v>#NAME?</v>
      </c>
      <c r="EJ9" s="48">
        <f>EJ5-Sanitized_Model!EI5</f>
        <v>8.8163911726724109E-8</v>
      </c>
      <c r="EK9" s="48">
        <f>EK5-Sanitized_Model!EJ5</f>
        <v>8.4839232528111097E-8</v>
      </c>
      <c r="EL9" s="48">
        <f>EL5-Sanitized_Model!EK5</f>
        <v>6.5255072456693597E-8</v>
      </c>
      <c r="EM9" s="48" t="e">
        <f ca="1">EM5-Sanitized_Model!EL5</f>
        <v>#NAME?</v>
      </c>
      <c r="EN9" s="48">
        <f>EN5-Sanitized_Model!EM5</f>
        <v>0</v>
      </c>
      <c r="EO9" s="48">
        <f>EO5-Sanitized_Model!EN5</f>
        <v>0</v>
      </c>
    </row>
    <row r="10" spans="2:145" ht="15" customHeight="1" x14ac:dyDescent="0.2">
      <c r="D10" s="51">
        <f>D6-Sanitized_Model!C6</f>
        <v>0</v>
      </c>
      <c r="E10" s="51">
        <f>E6-Sanitized_Model!D6</f>
        <v>0</v>
      </c>
      <c r="F10" s="51">
        <f>F6-Sanitized_Model!E6</f>
        <v>0</v>
      </c>
      <c r="G10" s="51">
        <f>G6-Sanitized_Model!F6</f>
        <v>0</v>
      </c>
      <c r="H10" s="51">
        <f>H6-Sanitized_Model!G6</f>
        <v>0</v>
      </c>
      <c r="I10" s="51">
        <f>I6-Sanitized_Model!H6</f>
        <v>0</v>
      </c>
      <c r="J10" s="51">
        <f>J6-Sanitized_Model!I6</f>
        <v>0</v>
      </c>
      <c r="K10" s="51">
        <f>K6-Sanitized_Model!J6</f>
        <v>0</v>
      </c>
      <c r="L10" s="51">
        <f>L6-Sanitized_Model!K6</f>
        <v>0</v>
      </c>
      <c r="M10" s="51">
        <f>M6-Sanitized_Model!L6</f>
        <v>0</v>
      </c>
      <c r="N10" s="51">
        <f>N6-Sanitized_Model!M6</f>
        <v>0</v>
      </c>
      <c r="O10" s="51">
        <f>O6-Sanitized_Model!N6</f>
        <v>0</v>
      </c>
      <c r="P10" s="51">
        <f>P6-Sanitized_Model!O6</f>
        <v>0</v>
      </c>
      <c r="Q10" s="51">
        <f>Q6-Sanitized_Model!P6</f>
        <v>0</v>
      </c>
      <c r="R10" s="51">
        <f>R6-Sanitized_Model!Q6</f>
        <v>0</v>
      </c>
      <c r="S10" s="51">
        <f>S6-Sanitized_Model!R6</f>
        <v>0</v>
      </c>
      <c r="T10" s="51">
        <f>T6-Sanitized_Model!S6</f>
        <v>0</v>
      </c>
      <c r="U10" s="51">
        <f>U6-Sanitized_Model!T6</f>
        <v>0</v>
      </c>
      <c r="V10" s="51">
        <f>V6-Sanitized_Model!U6</f>
        <v>0</v>
      </c>
      <c r="W10" s="51">
        <f>W6-Sanitized_Model!V6</f>
        <v>0</v>
      </c>
      <c r="X10" s="51">
        <f>X6-Sanitized_Model!W6</f>
        <v>0</v>
      </c>
      <c r="Y10" s="51">
        <f>Y6-Sanitized_Model!X6</f>
        <v>0</v>
      </c>
      <c r="Z10" s="51">
        <f>Z6-Sanitized_Model!Y6</f>
        <v>0</v>
      </c>
      <c r="AA10" s="51">
        <f>AA6-Sanitized_Model!Z6</f>
        <v>0</v>
      </c>
      <c r="AB10" s="51">
        <f>AB6-Sanitized_Model!AA6</f>
        <v>0</v>
      </c>
      <c r="AC10" s="51">
        <f>AC6-Sanitized_Model!AB6</f>
        <v>0</v>
      </c>
      <c r="AD10" s="51">
        <f>AD6-Sanitized_Model!AC6</f>
        <v>0</v>
      </c>
      <c r="AE10" s="51">
        <f>AE6-Sanitized_Model!AD6</f>
        <v>0</v>
      </c>
      <c r="AF10" s="51">
        <f>AF6-Sanitized_Model!AE6</f>
        <v>0</v>
      </c>
      <c r="AG10" s="51">
        <f>AG6-Sanitized_Model!AF6</f>
        <v>0</v>
      </c>
      <c r="AH10" s="51">
        <f>AH6-Sanitized_Model!AG6</f>
        <v>0</v>
      </c>
      <c r="AI10" s="51">
        <f>AI6-Sanitized_Model!AH6</f>
        <v>0</v>
      </c>
      <c r="AJ10" s="51">
        <f>AJ6-Sanitized_Model!AI6</f>
        <v>0</v>
      </c>
      <c r="AK10" s="51">
        <f>AK6-Sanitized_Model!AJ6</f>
        <v>0</v>
      </c>
      <c r="AL10" s="51">
        <f>AL6-Sanitized_Model!AK6</f>
        <v>0</v>
      </c>
      <c r="AM10" s="51">
        <f>AM6-Sanitized_Model!AL6</f>
        <v>0</v>
      </c>
      <c r="AN10" s="51">
        <f>AN6-Sanitized_Model!AM6</f>
        <v>0</v>
      </c>
      <c r="AO10" s="51">
        <f>AO6-Sanitized_Model!AN6</f>
        <v>0</v>
      </c>
      <c r="AP10" s="51">
        <f>AP6-Sanitized_Model!AO6</f>
        <v>0</v>
      </c>
      <c r="AQ10" s="51">
        <f>AQ6-Sanitized_Model!AP6</f>
        <v>0</v>
      </c>
      <c r="AR10" s="51">
        <f>AR6-Sanitized_Model!AQ6</f>
        <v>0</v>
      </c>
      <c r="AS10" s="51">
        <f>AS6-Sanitized_Model!AR6</f>
        <v>0</v>
      </c>
      <c r="AT10" s="51">
        <f>AT6-Sanitized_Model!AS6</f>
        <v>0</v>
      </c>
      <c r="AU10" s="51">
        <f>AU6-Sanitized_Model!AT6</f>
        <v>0</v>
      </c>
      <c r="AV10" s="51">
        <f>AV6-Sanitized_Model!AU6</f>
        <v>0</v>
      </c>
      <c r="AW10" s="51">
        <f>AW6-Sanitized_Model!AV6</f>
        <v>0</v>
      </c>
      <c r="AX10" s="51">
        <f>AX6-Sanitized_Model!AW6</f>
        <v>0</v>
      </c>
      <c r="AY10" s="51">
        <f>AY6-Sanitized_Model!AX6</f>
        <v>0</v>
      </c>
      <c r="AZ10" s="51">
        <f>AZ6-Sanitized_Model!AY6</f>
        <v>0</v>
      </c>
      <c r="BA10" s="51">
        <f>BA6-Sanitized_Model!AZ6</f>
        <v>0</v>
      </c>
      <c r="BB10" s="51">
        <f>BB6-Sanitized_Model!BA6</f>
        <v>0</v>
      </c>
      <c r="BC10" s="51">
        <f>BC6-Sanitized_Model!BB6</f>
        <v>0</v>
      </c>
      <c r="BD10" s="51">
        <f>BD6-Sanitized_Model!BC6</f>
        <v>0</v>
      </c>
      <c r="BE10" s="51">
        <f>BE6-Sanitized_Model!BD6</f>
        <v>0</v>
      </c>
      <c r="BF10" s="51">
        <f>BF6-Sanitized_Model!BE6</f>
        <v>0</v>
      </c>
      <c r="BG10" s="51">
        <f>BG6-Sanitized_Model!BF6</f>
        <v>0</v>
      </c>
      <c r="BH10" s="51">
        <f>BH6-Sanitized_Model!BG6</f>
        <v>0</v>
      </c>
      <c r="BI10" s="51">
        <f>BI6-Sanitized_Model!BH6</f>
        <v>0</v>
      </c>
      <c r="BJ10" s="51">
        <f>BJ6-Sanitized_Model!BI6</f>
        <v>0</v>
      </c>
      <c r="BK10" s="51">
        <f>BK6-Sanitized_Model!BJ6</f>
        <v>0</v>
      </c>
      <c r="BL10" s="51">
        <f>BL6-Sanitized_Model!BK6</f>
        <v>0</v>
      </c>
      <c r="BM10" s="51">
        <f>BM6-Sanitized_Model!BL6</f>
        <v>0</v>
      </c>
      <c r="BN10" s="51">
        <f>BN6-Sanitized_Model!BM6</f>
        <v>0</v>
      </c>
      <c r="BO10" s="51">
        <f>BO6-Sanitized_Model!BN6</f>
        <v>0</v>
      </c>
      <c r="BP10" s="51">
        <f>BP6-Sanitized_Model!BO6</f>
        <v>0</v>
      </c>
      <c r="BQ10" s="51">
        <f>BQ6-Sanitized_Model!BP6</f>
        <v>0</v>
      </c>
      <c r="BR10" s="51">
        <f>BR6-Sanitized_Model!BQ6</f>
        <v>0</v>
      </c>
      <c r="BS10" s="51">
        <f>BS6-Sanitized_Model!BR6</f>
        <v>0</v>
      </c>
      <c r="BT10" s="51">
        <f>BT6-Sanitized_Model!BS6</f>
        <v>0</v>
      </c>
      <c r="BU10" s="51">
        <f>BU6-Sanitized_Model!BT6</f>
        <v>4.6845485485391691E-5</v>
      </c>
      <c r="BV10" s="51">
        <f>BV6-Sanitized_Model!BU6</f>
        <v>1.9893755961675197E-5</v>
      </c>
      <c r="BW10" s="51">
        <f>BW6-Sanitized_Model!BV6</f>
        <v>0</v>
      </c>
      <c r="BX10" s="51">
        <f>BX6-Sanitized_Model!BW6</f>
        <v>0</v>
      </c>
      <c r="BY10" s="51">
        <f>BY6-Sanitized_Model!BX6</f>
        <v>0</v>
      </c>
      <c r="BZ10" s="51">
        <f>BZ6-Sanitized_Model!BY6</f>
        <v>-2.4867204047041014E-6</v>
      </c>
      <c r="CA10" s="51">
        <f>CA6-Sanitized_Model!BZ6</f>
        <v>0</v>
      </c>
      <c r="CB10" s="51">
        <f>CB6-Sanitized_Model!CA6</f>
        <v>0</v>
      </c>
      <c r="CC10" s="51">
        <f>CC6-Sanitized_Model!CB6</f>
        <v>0</v>
      </c>
      <c r="CD10" s="51">
        <f>CD6-Sanitized_Model!CC6</f>
        <v>0</v>
      </c>
      <c r="CE10" s="51">
        <f>CE6-Sanitized_Model!CD6</f>
        <v>0</v>
      </c>
      <c r="CF10" s="51">
        <f>CF6-Sanitized_Model!CE6</f>
        <v>0</v>
      </c>
      <c r="CG10" s="51">
        <f>CG6-Sanitized_Model!CF6</f>
        <v>0</v>
      </c>
      <c r="CH10" s="51">
        <f>CH6-Sanitized_Model!CG6</f>
        <v>-2.4867204047041014E-6</v>
      </c>
      <c r="CI10" s="51">
        <f>CI6-Sanitized_Model!CH6</f>
        <v>-2.4867204047041014E-6</v>
      </c>
      <c r="CJ10" s="51">
        <f>CJ6-Sanitized_Model!CI6</f>
        <v>-2.4867204047041014E-6</v>
      </c>
      <c r="CK10" s="51">
        <f>CK6-Sanitized_Model!CJ6</f>
        <v>-2.4867194952093996E-6</v>
      </c>
      <c r="CL10" s="51">
        <f>CL6-Sanitized_Model!CK6</f>
        <v>-2.4867185857146978E-6</v>
      </c>
      <c r="CM10" s="51">
        <f>CM6-Sanitized_Model!CL6</f>
        <v>-2.4867194952093996E-6</v>
      </c>
      <c r="CN10" s="51">
        <f>CN6-Sanitized_Model!CM6</f>
        <v>0</v>
      </c>
      <c r="CO10" s="51">
        <f>CO6-Sanitized_Model!CN6</f>
        <v>0</v>
      </c>
      <c r="CP10" s="51">
        <f>CP6-Sanitized_Model!CO6</f>
        <v>0</v>
      </c>
      <c r="CQ10" s="51">
        <f>CQ6-Sanitized_Model!CP6</f>
        <v>0</v>
      </c>
      <c r="CR10" s="51">
        <f>CR6-Sanitized_Model!CQ6</f>
        <v>0</v>
      </c>
      <c r="CS10" s="51">
        <f>CS6-Sanitized_Model!CR6</f>
        <v>0</v>
      </c>
      <c r="CT10" s="51">
        <f>CT6-Sanitized_Model!CS6</f>
        <v>0</v>
      </c>
      <c r="CU10" s="48" t="e">
        <f ca="1">CU6-Sanitized_Model!CT6</f>
        <v>#NAME?</v>
      </c>
      <c r="CV10" s="48" t="e">
        <f ca="1">CV6-Sanitized_Model!CU6</f>
        <v>#NAME?</v>
      </c>
      <c r="CW10" s="48" t="e">
        <f ca="1">CW6-Sanitized_Model!CV6</f>
        <v>#NAME?</v>
      </c>
      <c r="CX10" s="48">
        <f>CX6-Sanitized_Model!CW6</f>
        <v>0</v>
      </c>
      <c r="CY10" s="48">
        <f>CY6-Sanitized_Model!CX6</f>
        <v>0</v>
      </c>
      <c r="CZ10" s="48">
        <f>CZ6-Sanitized_Model!CY6</f>
        <v>0</v>
      </c>
      <c r="DA10" s="48">
        <f>DA6-Sanitized_Model!CZ6</f>
        <v>0</v>
      </c>
      <c r="DB10" s="48">
        <f>DB6-Sanitized_Model!DA6</f>
        <v>0</v>
      </c>
      <c r="DC10" s="48" t="e">
        <f ca="1">DC6-Sanitized_Model!DB6</f>
        <v>#NAME?</v>
      </c>
      <c r="DD10" s="48">
        <f>DD6-Sanitized_Model!DC6</f>
        <v>0</v>
      </c>
      <c r="DE10" s="48">
        <f>DE6-Sanitized_Model!DD6</f>
        <v>0</v>
      </c>
      <c r="DF10" s="48">
        <f>DF6-Sanitized_Model!DE6</f>
        <v>0</v>
      </c>
      <c r="DG10" s="48">
        <f>DG6-Sanitized_Model!DF6</f>
        <v>0</v>
      </c>
      <c r="DH10" s="48">
        <f>DH6-Sanitized_Model!DG6</f>
        <v>0</v>
      </c>
      <c r="DI10" s="48">
        <f>DI6-Sanitized_Model!DH6</f>
        <v>1.9893755961675197E-5</v>
      </c>
      <c r="DJ10" s="48">
        <f>DJ6-Sanitized_Model!DI6</f>
        <v>0</v>
      </c>
      <c r="DK10" s="48">
        <f>DK6-Sanitized_Model!DJ6</f>
        <v>0</v>
      </c>
      <c r="DL10" s="48">
        <f>DL6-Sanitized_Model!DK6</f>
        <v>1.9893755961675197E-5</v>
      </c>
      <c r="DM10" s="48" t="e">
        <f ca="1">DM6-Sanitized_Model!DL6</f>
        <v>#NAME?</v>
      </c>
      <c r="DN10" s="48">
        <f>DN6-Sanitized_Model!DM6</f>
        <v>0</v>
      </c>
      <c r="DO10" s="48">
        <f>DO6-Sanitized_Model!DN6</f>
        <v>0</v>
      </c>
      <c r="DP10" s="48">
        <f>DP6-Sanitized_Model!DO6</f>
        <v>0</v>
      </c>
      <c r="DQ10" s="48">
        <f>DQ6-Sanitized_Model!DP6</f>
        <v>0</v>
      </c>
      <c r="DR10" s="48">
        <f>DR6-Sanitized_Model!DQ6</f>
        <v>0</v>
      </c>
      <c r="DS10" s="48" t="e">
        <f ca="1">DS6-Sanitized_Model!DR6</f>
        <v>#NAME?</v>
      </c>
      <c r="DT10" s="48" t="e">
        <f ca="1">DT6-Sanitized_Model!DS6</f>
        <v>#NAME?</v>
      </c>
      <c r="DU10" s="48" t="e">
        <f ca="1">DU6-Sanitized_Model!DT6</f>
        <v>#NAME?</v>
      </c>
      <c r="DV10" s="48" t="e">
        <f ca="1">DV6-Sanitized_Model!DU6</f>
        <v>#NAME?</v>
      </c>
      <c r="DW10" s="48" t="e">
        <f ca="1">DW6-Sanitized_Model!DV6</f>
        <v>#NAME?</v>
      </c>
      <c r="DX10" s="48" t="e">
        <f ca="1">DX6-Sanitized_Model!DW6</f>
        <v>#NAME?</v>
      </c>
      <c r="DY10" s="48" t="e">
        <f ca="1">DY6-Sanitized_Model!DX6</f>
        <v>#NAME?</v>
      </c>
      <c r="DZ10" s="48" t="e">
        <f ca="1">DZ6-Sanitized_Model!DY6</f>
        <v>#NAME?</v>
      </c>
      <c r="EA10" s="48" t="e">
        <f ca="1">EA6-Sanitized_Model!DZ6</f>
        <v>#NAME?</v>
      </c>
      <c r="EB10" s="48" t="e">
        <f ca="1">EB6-Sanitized_Model!EA6</f>
        <v>#NAME?</v>
      </c>
      <c r="EC10" s="48" t="e">
        <f ca="1">EC6-Sanitized_Model!EB6</f>
        <v>#NAME?</v>
      </c>
      <c r="ED10" s="48" t="e">
        <f ca="1">ED6-Sanitized_Model!EC6</f>
        <v>#NAME?</v>
      </c>
      <c r="EE10" s="48" t="e">
        <f ca="1">EE6-Sanitized_Model!ED6</f>
        <v>#NAME?</v>
      </c>
      <c r="EF10" s="48" t="e">
        <f ca="1">EF6-Sanitized_Model!EE6</f>
        <v>#NAME?</v>
      </c>
      <c r="EG10" s="48" t="e">
        <f ca="1">EG6-Sanitized_Model!EF6</f>
        <v>#NAME?</v>
      </c>
      <c r="EH10" s="48" t="e">
        <f ca="1">EH6-Sanitized_Model!EG6</f>
        <v>#NAME?</v>
      </c>
      <c r="EI10" s="48" t="e">
        <f ca="1">EI6-Sanitized_Model!EH6</f>
        <v>#NAME?</v>
      </c>
      <c r="EJ10" s="48">
        <f>EJ6-Sanitized_Model!EI6</f>
        <v>0</v>
      </c>
      <c r="EK10" s="48">
        <f>EK6-Sanitized_Model!EJ6</f>
        <v>0</v>
      </c>
      <c r="EL10" s="48">
        <f>EL6-Sanitized_Model!EK6</f>
        <v>0</v>
      </c>
      <c r="EM10" s="48" t="e">
        <f ca="1">EM6-Sanitized_Model!EL6</f>
        <v>#NAME?</v>
      </c>
      <c r="EN10" s="48">
        <f>EN6-Sanitized_Model!EM6</f>
        <v>0</v>
      </c>
      <c r="EO10" s="48">
        <f>EO6-Sanitized_Model!EN6</f>
        <v>0</v>
      </c>
    </row>
    <row r="11" spans="2:145" ht="15" customHeight="1" x14ac:dyDescent="0.2">
      <c r="D11" s="51">
        <f>D7-Sanitized_Model!C7</f>
        <v>0</v>
      </c>
      <c r="E11" s="51">
        <f>E7-Sanitized_Model!D7</f>
        <v>0</v>
      </c>
      <c r="F11" s="51">
        <f>F7-Sanitized_Model!E7</f>
        <v>0</v>
      </c>
      <c r="G11" s="51">
        <f>G7-Sanitized_Model!F7</f>
        <v>0</v>
      </c>
      <c r="H11" s="51">
        <f>H7-Sanitized_Model!G7</f>
        <v>0</v>
      </c>
      <c r="I11" s="51">
        <f>I7-Sanitized_Model!H7</f>
        <v>0</v>
      </c>
      <c r="J11" s="51">
        <f>J7-Sanitized_Model!I7</f>
        <v>0</v>
      </c>
      <c r="K11" s="51">
        <f>K7-Sanitized_Model!J7</f>
        <v>0</v>
      </c>
      <c r="L11" s="51">
        <f>L7-Sanitized_Model!K7</f>
        <v>0</v>
      </c>
      <c r="M11" s="51">
        <f>M7-Sanitized_Model!L7</f>
        <v>0</v>
      </c>
      <c r="N11" s="51">
        <f>N7-Sanitized_Model!M7</f>
        <v>0</v>
      </c>
      <c r="O11" s="51">
        <f>O7-Sanitized_Model!N7</f>
        <v>0</v>
      </c>
      <c r="P11" s="51">
        <f>P7-Sanitized_Model!O7</f>
        <v>0</v>
      </c>
      <c r="Q11" s="51">
        <f>Q7-Sanitized_Model!P7</f>
        <v>0</v>
      </c>
      <c r="R11" s="51">
        <f>R7-Sanitized_Model!Q7</f>
        <v>0</v>
      </c>
      <c r="S11" s="51">
        <f>S7-Sanitized_Model!R7</f>
        <v>0</v>
      </c>
      <c r="T11" s="51">
        <f>T7-Sanitized_Model!S7</f>
        <v>0</v>
      </c>
      <c r="U11" s="51">
        <f>U7-Sanitized_Model!T7</f>
        <v>0</v>
      </c>
      <c r="V11" s="51">
        <f>V7-Sanitized_Model!U7</f>
        <v>0</v>
      </c>
      <c r="W11" s="51">
        <f>W7-Sanitized_Model!V7</f>
        <v>0</v>
      </c>
      <c r="X11" s="51">
        <f>X7-Sanitized_Model!W7</f>
        <v>0</v>
      </c>
      <c r="Y11" s="51">
        <f>Y7-Sanitized_Model!X7</f>
        <v>0</v>
      </c>
      <c r="Z11" s="51">
        <f>Z7-Sanitized_Model!Y7</f>
        <v>0</v>
      </c>
      <c r="AA11" s="51">
        <f>AA7-Sanitized_Model!Z7</f>
        <v>0</v>
      </c>
      <c r="AB11" s="51">
        <f>AB7-Sanitized_Model!AA7</f>
        <v>0</v>
      </c>
      <c r="AC11" s="51">
        <f>AC7-Sanitized_Model!AB7</f>
        <v>0</v>
      </c>
      <c r="AD11" s="51">
        <f>AD7-Sanitized_Model!AC7</f>
        <v>0</v>
      </c>
      <c r="AE11" s="51">
        <f>AE7-Sanitized_Model!AD7</f>
        <v>0</v>
      </c>
      <c r="AF11" s="51">
        <f>AF7-Sanitized_Model!AE7</f>
        <v>0</v>
      </c>
      <c r="AG11" s="51">
        <f>AG7-Sanitized_Model!AF7</f>
        <v>0</v>
      </c>
      <c r="AH11" s="51">
        <f>AH7-Sanitized_Model!AG7</f>
        <v>0</v>
      </c>
      <c r="AI11" s="51">
        <f>AI7-Sanitized_Model!AH7</f>
        <v>0</v>
      </c>
      <c r="AJ11" s="51">
        <f>AJ7-Sanitized_Model!AI7</f>
        <v>0</v>
      </c>
      <c r="AK11" s="51">
        <f>AK7-Sanitized_Model!AJ7</f>
        <v>0</v>
      </c>
      <c r="AL11" s="51">
        <f>AL7-Sanitized_Model!AK7</f>
        <v>0</v>
      </c>
      <c r="AM11" s="51">
        <f>AM7-Sanitized_Model!AL7</f>
        <v>0</v>
      </c>
      <c r="AN11" s="51">
        <f>AN7-Sanitized_Model!AM7</f>
        <v>0</v>
      </c>
      <c r="AO11" s="51">
        <f>AO7-Sanitized_Model!AN7</f>
        <v>0</v>
      </c>
      <c r="AP11" s="51">
        <f>AP7-Sanitized_Model!AO7</f>
        <v>0</v>
      </c>
      <c r="AQ11" s="51">
        <f>AQ7-Sanitized_Model!AP7</f>
        <v>0</v>
      </c>
      <c r="AR11" s="51">
        <f>AR7-Sanitized_Model!AQ7</f>
        <v>0</v>
      </c>
      <c r="AS11" s="51">
        <f>AS7-Sanitized_Model!AR7</f>
        <v>0</v>
      </c>
      <c r="AT11" s="51">
        <f>AT7-Sanitized_Model!AS7</f>
        <v>0</v>
      </c>
      <c r="AU11" s="51">
        <f>AU7-Sanitized_Model!AT7</f>
        <v>0</v>
      </c>
      <c r="AV11" s="51">
        <f>AV7-Sanitized_Model!AU7</f>
        <v>0</v>
      </c>
      <c r="AW11" s="51">
        <f>AW7-Sanitized_Model!AV7</f>
        <v>0</v>
      </c>
      <c r="AX11" s="51">
        <f>AX7-Sanitized_Model!AW7</f>
        <v>0</v>
      </c>
      <c r="AY11" s="51">
        <f>AY7-Sanitized_Model!AX7</f>
        <v>0</v>
      </c>
      <c r="AZ11" s="51">
        <f>AZ7-Sanitized_Model!AY7</f>
        <v>0</v>
      </c>
      <c r="BA11" s="51">
        <f>BA7-Sanitized_Model!AZ7</f>
        <v>0</v>
      </c>
      <c r="BB11" s="51">
        <f>BB7-Sanitized_Model!BA7</f>
        <v>0</v>
      </c>
      <c r="BC11" s="51">
        <f>BC7-Sanitized_Model!BB7</f>
        <v>0</v>
      </c>
      <c r="BD11" s="51">
        <f>BD7-Sanitized_Model!BC7</f>
        <v>0</v>
      </c>
      <c r="BE11" s="51">
        <f>BE7-Sanitized_Model!BD7</f>
        <v>0</v>
      </c>
      <c r="BF11" s="51">
        <f>BF7-Sanitized_Model!BE7</f>
        <v>0</v>
      </c>
      <c r="BG11" s="51">
        <f>BG7-Sanitized_Model!BF7</f>
        <v>0</v>
      </c>
      <c r="BH11" s="51">
        <f>BH7-Sanitized_Model!BG7</f>
        <v>0</v>
      </c>
      <c r="BI11" s="51">
        <f>BI7-Sanitized_Model!BH7</f>
        <v>0</v>
      </c>
      <c r="BJ11" s="51">
        <f>BJ7-Sanitized_Model!BI7</f>
        <v>0</v>
      </c>
      <c r="BK11" s="51">
        <f>BK7-Sanitized_Model!BJ7</f>
        <v>0</v>
      </c>
      <c r="BL11" s="51">
        <f>BL7-Sanitized_Model!BK7</f>
        <v>0</v>
      </c>
      <c r="BM11" s="51">
        <f>BM7-Sanitized_Model!BL7</f>
        <v>0</v>
      </c>
      <c r="BN11" s="51">
        <f>BN7-Sanitized_Model!BM7</f>
        <v>0</v>
      </c>
      <c r="BO11" s="51">
        <f>BO7-Sanitized_Model!BN7</f>
        <v>0</v>
      </c>
      <c r="BP11" s="51">
        <f>BP7-Sanitized_Model!BO7</f>
        <v>0</v>
      </c>
      <c r="BQ11" s="51">
        <f>BQ7-Sanitized_Model!BP7</f>
        <v>0</v>
      </c>
      <c r="BR11" s="51">
        <f>BR7-Sanitized_Model!BQ7</f>
        <v>0</v>
      </c>
      <c r="BS11" s="51">
        <f>BS7-Sanitized_Model!BR7</f>
        <v>0</v>
      </c>
      <c r="BT11" s="51">
        <f>BT7-Sanitized_Model!BS7</f>
        <v>0</v>
      </c>
      <c r="BU11" s="51">
        <f>BU7-Sanitized_Model!BT7</f>
        <v>0</v>
      </c>
      <c r="BV11" s="51">
        <f>BV7-Sanitized_Model!BU7</f>
        <v>0</v>
      </c>
      <c r="BW11" s="51">
        <f>BW7-Sanitized_Model!BV7</f>
        <v>0</v>
      </c>
      <c r="BX11" s="51">
        <f>BX7-Sanitized_Model!BW7</f>
        <v>0</v>
      </c>
      <c r="BY11" s="51">
        <f>BY7-Sanitized_Model!BX7</f>
        <v>0</v>
      </c>
      <c r="BZ11" s="51">
        <f>BZ7-Sanitized_Model!BY7</f>
        <v>0</v>
      </c>
      <c r="CA11" s="51">
        <f>CA7-Sanitized_Model!BZ7</f>
        <v>0</v>
      </c>
      <c r="CB11" s="51">
        <f>CB7-Sanitized_Model!CA7</f>
        <v>0</v>
      </c>
      <c r="CC11" s="51">
        <f>CC7-Sanitized_Model!CB7</f>
        <v>0</v>
      </c>
      <c r="CD11" s="51">
        <f>CD7-Sanitized_Model!CC7</f>
        <v>0</v>
      </c>
      <c r="CE11" s="51">
        <f>CE7-Sanitized_Model!CD7</f>
        <v>0</v>
      </c>
      <c r="CF11" s="51">
        <f>CF7-Sanitized_Model!CE7</f>
        <v>0</v>
      </c>
      <c r="CG11" s="51">
        <f>CG7-Sanitized_Model!CF7</f>
        <v>0</v>
      </c>
      <c r="CH11" s="51">
        <f>CH7-Sanitized_Model!CG7</f>
        <v>0</v>
      </c>
      <c r="CI11" s="51">
        <f>CI7-Sanitized_Model!CH7</f>
        <v>0</v>
      </c>
      <c r="CJ11" s="51">
        <f>CJ7-Sanitized_Model!CI7</f>
        <v>0</v>
      </c>
      <c r="CK11" s="51">
        <f>CK7-Sanitized_Model!CJ7</f>
        <v>0</v>
      </c>
      <c r="CL11" s="51">
        <f>CL7-Sanitized_Model!CK7</f>
        <v>0</v>
      </c>
      <c r="CM11" s="51">
        <f>CM7-Sanitized_Model!CL7</f>
        <v>0</v>
      </c>
      <c r="CN11" s="51">
        <f>CN7-Sanitized_Model!CM7</f>
        <v>0</v>
      </c>
      <c r="CO11" s="51">
        <f>CO7-Sanitized_Model!CN7</f>
        <v>0</v>
      </c>
      <c r="CP11" s="51">
        <f>CP7-Sanitized_Model!CO7</f>
        <v>0</v>
      </c>
      <c r="CQ11" s="51">
        <f>CQ7-Sanitized_Model!CP7</f>
        <v>0</v>
      </c>
      <c r="CR11" s="51">
        <f>CR7-Sanitized_Model!CQ7</f>
        <v>0</v>
      </c>
      <c r="CS11" s="51">
        <f>CS7-Sanitized_Model!CR7</f>
        <v>0</v>
      </c>
      <c r="CT11" s="51">
        <f>CT7-Sanitized_Model!CS7</f>
        <v>0</v>
      </c>
      <c r="CU11" s="48" t="e">
        <f ca="1">CU7-Sanitized_Model!CT7</f>
        <v>#NAME?</v>
      </c>
      <c r="CV11" s="48" t="e">
        <f ca="1">CV7-Sanitized_Model!CU7</f>
        <v>#NAME?</v>
      </c>
      <c r="CW11" s="48" t="e">
        <f ca="1">CW7-Sanitized_Model!CV7</f>
        <v>#NAME?</v>
      </c>
      <c r="CX11" s="48">
        <f>CX7-Sanitized_Model!CW7</f>
        <v>0</v>
      </c>
      <c r="CY11" s="48">
        <f>CY7-Sanitized_Model!CX7</f>
        <v>0</v>
      </c>
      <c r="CZ11" s="48">
        <f>CZ7-Sanitized_Model!CY7</f>
        <v>0</v>
      </c>
      <c r="DA11" s="48">
        <f>DA7-Sanitized_Model!CZ7</f>
        <v>0</v>
      </c>
      <c r="DB11" s="48">
        <f>DB7-Sanitized_Model!DA7</f>
        <v>0</v>
      </c>
      <c r="DC11" s="48" t="e">
        <f ca="1">DC7-Sanitized_Model!DB7</f>
        <v>#NAME?</v>
      </c>
      <c r="DD11" s="48">
        <f>DD7-Sanitized_Model!DC7</f>
        <v>0</v>
      </c>
      <c r="DE11" s="48">
        <f>DE7-Sanitized_Model!DD7</f>
        <v>0</v>
      </c>
      <c r="DF11" s="48">
        <f>DF7-Sanitized_Model!DE7</f>
        <v>0</v>
      </c>
      <c r="DG11" s="48">
        <f>DG7-Sanitized_Model!DF7</f>
        <v>0</v>
      </c>
      <c r="DH11" s="48">
        <f>DH7-Sanitized_Model!DG7</f>
        <v>0</v>
      </c>
      <c r="DI11" s="48">
        <f>DI7-Sanitized_Model!DH7</f>
        <v>0</v>
      </c>
      <c r="DJ11" s="48">
        <f>DJ7-Sanitized_Model!DI7</f>
        <v>0</v>
      </c>
      <c r="DK11" s="48">
        <f>DK7-Sanitized_Model!DJ7</f>
        <v>0</v>
      </c>
      <c r="DL11" s="48">
        <f>DL7-Sanitized_Model!DK7</f>
        <v>0</v>
      </c>
      <c r="DM11" s="48" t="e">
        <f ca="1">DM7-Sanitized_Model!DL7</f>
        <v>#NAME?</v>
      </c>
      <c r="DN11" s="48">
        <f>DN7-Sanitized_Model!DM7</f>
        <v>0</v>
      </c>
      <c r="DO11" s="48">
        <f>DO7-Sanitized_Model!DN7</f>
        <v>0</v>
      </c>
      <c r="DP11" s="48">
        <f>DP7-Sanitized_Model!DO7</f>
        <v>0</v>
      </c>
      <c r="DQ11" s="48">
        <f>DQ7-Sanitized_Model!DP7</f>
        <v>0</v>
      </c>
      <c r="DR11" s="48">
        <f>DR7-Sanitized_Model!DQ7</f>
        <v>0</v>
      </c>
      <c r="DS11" s="48" t="e">
        <f ca="1">DS7-Sanitized_Model!DR7</f>
        <v>#NAME?</v>
      </c>
      <c r="DT11" s="48" t="e">
        <f ca="1">DT7-Sanitized_Model!DS7</f>
        <v>#NAME?</v>
      </c>
      <c r="DU11" s="48" t="e">
        <f ca="1">DU7-Sanitized_Model!DT7</f>
        <v>#NAME?</v>
      </c>
      <c r="DV11" s="48" t="e">
        <f ca="1">DV7-Sanitized_Model!DU7</f>
        <v>#NAME?</v>
      </c>
      <c r="DW11" s="48" t="e">
        <f ca="1">DW7-Sanitized_Model!DV7</f>
        <v>#NAME?</v>
      </c>
      <c r="DX11" s="48" t="e">
        <f ca="1">DX7-Sanitized_Model!DW7</f>
        <v>#NAME?</v>
      </c>
      <c r="DY11" s="48" t="e">
        <f ca="1">DY7-Sanitized_Model!DX7</f>
        <v>#NAME?</v>
      </c>
      <c r="DZ11" s="48" t="e">
        <f ca="1">DZ7-Sanitized_Model!DY7</f>
        <v>#NAME?</v>
      </c>
      <c r="EA11" s="48" t="e">
        <f ca="1">EA7-Sanitized_Model!DZ7</f>
        <v>#NAME?</v>
      </c>
      <c r="EB11" s="48" t="e">
        <f ca="1">EB7-Sanitized_Model!EA7</f>
        <v>#NAME?</v>
      </c>
      <c r="EC11" s="48" t="e">
        <f ca="1">EC7-Sanitized_Model!EB7</f>
        <v>#NAME?</v>
      </c>
      <c r="ED11" s="48" t="e">
        <f ca="1">ED7-Sanitized_Model!EC7</f>
        <v>#NAME?</v>
      </c>
      <c r="EE11" s="48" t="e">
        <f ca="1">EE7-Sanitized_Model!ED7</f>
        <v>#NAME?</v>
      </c>
      <c r="EF11" s="48" t="e">
        <f ca="1">EF7-Sanitized_Model!EE7</f>
        <v>#NAME?</v>
      </c>
      <c r="EG11" s="48" t="e">
        <f ca="1">EG7-Sanitized_Model!EF7</f>
        <v>#NAME?</v>
      </c>
      <c r="EH11" s="48" t="e">
        <f ca="1">EH7-Sanitized_Model!EG7</f>
        <v>#NAME?</v>
      </c>
      <c r="EI11" s="48" t="e">
        <f ca="1">EI7-Sanitized_Model!EH7</f>
        <v>#NAME?</v>
      </c>
      <c r="EJ11" s="48">
        <f>EJ7-Sanitized_Model!EI7</f>
        <v>0</v>
      </c>
      <c r="EK11" s="48">
        <f>EK7-Sanitized_Model!EJ7</f>
        <v>0</v>
      </c>
      <c r="EL11" s="48">
        <f>EL7-Sanitized_Model!EK7</f>
        <v>0</v>
      </c>
      <c r="EM11" s="48" t="e">
        <f ca="1">EM7-Sanitized_Model!EL7</f>
        <v>#NAME?</v>
      </c>
      <c r="EN11" s="48">
        <f>EN7-Sanitized_Model!EM7</f>
        <v>0</v>
      </c>
      <c r="EO11" s="48">
        <f>EO7-Sanitized_Model!EN7</f>
        <v>0</v>
      </c>
    </row>
    <row r="13" spans="2:145" ht="15" customHeight="1" x14ac:dyDescent="0.2">
      <c r="CE13" s="24"/>
      <c r="CF13" s="24"/>
      <c r="CG13" s="24"/>
      <c r="CH13" s="24"/>
      <c r="CI13" s="24"/>
      <c r="CJ13" s="24"/>
      <c r="CK13" s="24"/>
      <c r="CL13" s="24"/>
      <c r="CM13" s="24"/>
      <c r="CN13" s="24"/>
      <c r="CO13" s="24"/>
      <c r="CP13" s="24"/>
      <c r="CQ13" s="24"/>
      <c r="CR13" s="24"/>
      <c r="CS13" s="29" t="b">
        <v>1</v>
      </c>
      <c r="CT13" s="50" t="e">
        <f ca="1">SUM(D9:EO11)</f>
        <v>#NAME?</v>
      </c>
      <c r="CU13" s="24"/>
      <c r="CV13" s="24"/>
      <c r="CW13" s="24"/>
      <c r="CX13" s="24"/>
      <c r="CY13" s="24"/>
      <c r="CZ13" s="24"/>
      <c r="DA13" s="24"/>
      <c r="DB13" s="24"/>
      <c r="DC13" s="24"/>
      <c r="DD13" s="24"/>
      <c r="DE13" s="24"/>
      <c r="DF13" s="24"/>
      <c r="DG13" s="24"/>
      <c r="DH13" s="24"/>
      <c r="DI13" s="24"/>
      <c r="DJ13" s="24"/>
      <c r="DK13" s="24"/>
      <c r="DL13" s="24"/>
      <c r="DM13" s="24"/>
      <c r="DN13" s="24"/>
      <c r="DO13" s="24"/>
      <c r="DP13" s="24"/>
      <c r="DQ13" s="24"/>
      <c r="DR13" s="24"/>
      <c r="DS13" s="24"/>
      <c r="DT13" s="24"/>
      <c r="DU13" s="24"/>
      <c r="DV13" s="24"/>
      <c r="DW13" s="24"/>
      <c r="DX13" s="24"/>
      <c r="DY13" s="24"/>
      <c r="DZ13" s="24"/>
      <c r="EA13" s="24"/>
      <c r="EB13" s="24"/>
      <c r="EC13" s="24"/>
      <c r="ED13" s="24"/>
      <c r="EE13" s="24"/>
      <c r="EF13" s="24"/>
      <c r="EG13" s="24"/>
      <c r="EH13" s="24"/>
      <c r="EI13" s="24"/>
      <c r="EJ13" s="24"/>
      <c r="EK13" s="24"/>
      <c r="EL13" s="24"/>
      <c r="EM13" s="24"/>
      <c r="EN13" s="24"/>
      <c r="EO13" s="24"/>
    </row>
    <row r="14" spans="2:145" ht="15" customHeight="1" x14ac:dyDescent="0.2">
      <c r="CE14" s="24"/>
      <c r="CF14" s="24"/>
      <c r="CG14" s="24"/>
      <c r="CH14" s="24"/>
      <c r="CI14" s="24"/>
      <c r="CJ14" s="24"/>
      <c r="CK14" s="24"/>
      <c r="CL14" s="24"/>
      <c r="CM14" s="24"/>
      <c r="CN14" s="24"/>
      <c r="CO14" s="24"/>
      <c r="CP14" s="24"/>
      <c r="CQ14" s="24"/>
      <c r="CR14" s="24"/>
      <c r="CT14" s="24"/>
      <c r="CU14" s="24"/>
      <c r="CV14" s="24"/>
      <c r="CW14" s="24"/>
      <c r="CX14" s="24"/>
      <c r="CY14" s="24"/>
      <c r="CZ14" s="24"/>
      <c r="DA14" s="24"/>
      <c r="DB14" s="24"/>
      <c r="DC14" s="24"/>
      <c r="DD14" s="24"/>
      <c r="DE14" s="24"/>
      <c r="DF14" s="24"/>
      <c r="DG14" s="24"/>
      <c r="DH14" s="24"/>
      <c r="DI14" s="24"/>
      <c r="DJ14" s="24"/>
      <c r="DK14" s="24"/>
      <c r="DL14" s="24"/>
      <c r="DM14" s="24"/>
      <c r="DN14" s="24"/>
      <c r="DO14" s="24"/>
      <c r="DP14" s="24"/>
      <c r="DQ14" s="24"/>
      <c r="DR14" s="24"/>
      <c r="DS14" s="24"/>
      <c r="DT14" s="24"/>
      <c r="DU14" s="24"/>
      <c r="DV14" s="24"/>
      <c r="DW14" s="24"/>
      <c r="DX14" s="24"/>
      <c r="DY14" s="24"/>
      <c r="DZ14" s="24"/>
      <c r="EA14" s="24"/>
      <c r="EB14" s="24"/>
      <c r="EC14" s="24"/>
      <c r="ED14" s="24"/>
      <c r="EE14" s="24"/>
      <c r="EF14" s="24"/>
      <c r="EG14" s="24"/>
      <c r="EH14" s="24"/>
      <c r="EI14" s="24"/>
      <c r="EJ14" s="24"/>
      <c r="EK14" s="24"/>
      <c r="EL14" s="24"/>
      <c r="EM14" s="24"/>
      <c r="EN14" s="24"/>
      <c r="EO14" s="24"/>
    </row>
    <row r="15" spans="2:145" ht="15" customHeight="1" x14ac:dyDescent="0.2">
      <c r="CE15" s="24"/>
      <c r="CF15" s="24"/>
      <c r="CG15" s="24"/>
      <c r="CH15" s="24"/>
      <c r="CI15" s="24"/>
      <c r="CJ15" s="24"/>
      <c r="CK15" s="24"/>
      <c r="CL15" s="24"/>
      <c r="CM15" s="24"/>
      <c r="CN15" s="24"/>
      <c r="CO15" s="24"/>
      <c r="CP15" s="24"/>
      <c r="CQ15" s="24"/>
      <c r="CR15" s="24"/>
      <c r="CS15" s="24"/>
      <c r="CT15" s="24"/>
      <c r="CU15" s="24"/>
      <c r="CV15" s="24"/>
      <c r="CW15" s="24"/>
      <c r="CX15" s="24"/>
      <c r="CY15" s="24"/>
      <c r="CZ15" s="24"/>
      <c r="DA15" s="24"/>
      <c r="DB15" s="24"/>
      <c r="DC15" s="24"/>
      <c r="DD15" s="24"/>
      <c r="DE15" s="24"/>
      <c r="DF15" s="24"/>
      <c r="DG15" s="24"/>
      <c r="DH15" s="24"/>
      <c r="DI15" s="24"/>
      <c r="DJ15" s="24"/>
      <c r="DK15" s="24"/>
      <c r="DL15" s="24"/>
      <c r="DM15" s="24"/>
      <c r="DN15" s="24"/>
      <c r="DO15" s="24"/>
      <c r="DP15" s="24"/>
      <c r="DQ15" s="24"/>
      <c r="DR15" s="24"/>
      <c r="DS15" s="24"/>
      <c r="DT15" s="24"/>
      <c r="DU15" s="24"/>
      <c r="DV15" s="24"/>
      <c r="DW15" s="24"/>
      <c r="DX15" s="24"/>
      <c r="DY15" s="24"/>
      <c r="DZ15" s="24"/>
      <c r="EA15" s="24"/>
      <c r="EB15" s="24"/>
      <c r="EC15" s="24"/>
      <c r="ED15" s="24"/>
      <c r="EE15" s="24"/>
      <c r="EF15" s="24"/>
      <c r="EG15" s="24"/>
      <c r="EH15" s="24"/>
      <c r="EI15" s="24"/>
      <c r="EJ15" s="24"/>
      <c r="EK15" s="24"/>
      <c r="EL15" s="24"/>
      <c r="EM15" s="24"/>
      <c r="EN15" s="24"/>
      <c r="EO15" s="24"/>
    </row>
  </sheetData>
  <dataValidations count="1">
    <dataValidation type="list" allowBlank="1" showInputMessage="1" showErrorMessage="1" sqref="CS13" xr:uid="{00000000-0002-0000-0200-000000000000}">
      <formula1>"TRUE, FALSE"</formula1>
    </dataValidation>
  </dataValidations>
  <pageMargins left="0.7" right="0.7" top="0.75" bottom="0.75" header="0.3" footer="0.3"/>
  <pageSetup paperSize="132" orientation="portrait" horizontalDpi="300" verticalDpi="300"/>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2:J31"/>
  <sheetViews>
    <sheetView showGridLines="0" tabSelected="1" workbookViewId="0">
      <selection activeCell="E30" sqref="E30"/>
    </sheetView>
  </sheetViews>
  <sheetFormatPr baseColWidth="10" defaultColWidth="15.6640625" defaultRowHeight="13" x14ac:dyDescent="0.2"/>
  <cols>
    <col min="1" max="1" width="6.33203125" bestFit="1" customWidth="1"/>
    <col min="2" max="2" width="44" bestFit="1" customWidth="1"/>
    <col min="4" max="4" width="3.6640625" customWidth="1"/>
    <col min="8" max="8" width="22" bestFit="1" customWidth="1"/>
    <col min="11" max="11" width="3.6640625" customWidth="1"/>
  </cols>
  <sheetData>
    <row r="2" spans="1:10" ht="16" x14ac:dyDescent="0.25">
      <c r="B2" s="77"/>
    </row>
    <row r="3" spans="1:10" x14ac:dyDescent="0.2">
      <c r="B3" s="76"/>
    </row>
    <row r="4" spans="1:10" x14ac:dyDescent="0.2">
      <c r="B4" s="75"/>
    </row>
    <row r="5" spans="1:10" x14ac:dyDescent="0.2">
      <c r="A5" s="63" t="s">
        <v>147</v>
      </c>
      <c r="B5" s="62" t="s">
        <v>140</v>
      </c>
      <c r="C5" s="78" t="b">
        <v>1</v>
      </c>
      <c r="E5" s="52" t="str">
        <f t="array" ref="E5:J27">IF(C5=FALSE,"-",CALL_TEST_ZERO_FRAME_FUNC(C16,C17,C18,C19,C20))</f>
        <v>ALGORITHM</v>
      </c>
      <c r="F5" s="53" t="str">
        <v>X_VAL</v>
      </c>
      <c r="G5" s="53" t="str">
        <v>Y_VAL</v>
      </c>
      <c r="H5" s="53" t="str">
        <v>GRADIENT FD APPROX</v>
      </c>
      <c r="I5" s="53" t="str">
        <v>COUNTER</v>
      </c>
      <c r="J5" s="53" t="str">
        <v>CONVERG_VAL</v>
      </c>
    </row>
    <row r="6" spans="1:10" x14ac:dyDescent="0.2">
      <c r="A6" s="64">
        <v>5</v>
      </c>
      <c r="B6" s="60" t="str">
        <f ca="1">IF($C$5=FALSE,"-",OFFSET(Check!$B$4,0,$A6-1))</f>
        <v>Market price/share</v>
      </c>
      <c r="C6" s="67">
        <f ca="1">IF($C$5=FALSE,"-",OFFSET(Check!$B$4,1,$A6-1))</f>
        <v>69.16</v>
      </c>
      <c r="E6" t="str">
        <v>BRENT</v>
      </c>
      <c r="F6" s="54">
        <v>68.14914004723073</v>
      </c>
      <c r="G6" s="54">
        <v>1.4210854715202004E-14</v>
      </c>
      <c r="H6" s="54">
        <v>0.97329884042096637</v>
      </c>
      <c r="I6" s="54">
        <v>7</v>
      </c>
      <c r="J6" s="54">
        <v>0</v>
      </c>
    </row>
    <row r="7" spans="1:10" x14ac:dyDescent="0.2">
      <c r="A7" s="64">
        <v>4</v>
      </c>
      <c r="B7" s="60" t="str">
        <f ca="1">IF($C$5=FALSE,"-",OFFSET(Check!$B$4,0,$A7-1))</f>
        <v>Number of shares (primary)</v>
      </c>
      <c r="C7" s="67">
        <f ca="1">IF($C$5=FALSE,"-",OFFSET(Check!$B$4,1,$A7-1))</f>
        <v>1786.44</v>
      </c>
      <c r="E7" t="str">
        <v>NEWTON</v>
      </c>
      <c r="F7" s="54">
        <v>68.14914004723073</v>
      </c>
      <c r="G7" s="54">
        <v>1.4210854715202004E-14</v>
      </c>
      <c r="H7" s="54">
        <v>0.97329884042096637</v>
      </c>
      <c r="I7" s="54">
        <v>3</v>
      </c>
      <c r="J7" s="54">
        <v>0</v>
      </c>
    </row>
    <row r="8" spans="1:10" x14ac:dyDescent="0.2">
      <c r="A8" s="64">
        <v>9</v>
      </c>
      <c r="B8" s="60" t="str">
        <f ca="1">IF($C$5=FALSE,"-",OFFSET(Check!$B$4,0,$A8-1))</f>
        <v>Option Converter: Average strike price</v>
      </c>
      <c r="C8" s="67">
        <f ca="1">IF($C$5=FALSE,"-",OFFSET(Check!$B$4,1,$A8-1))</f>
        <v>32.020000000000003</v>
      </c>
      <c r="E8" t="str">
        <v>WEB</v>
      </c>
      <c r="F8" s="54">
        <v>68.14914004723073</v>
      </c>
      <c r="G8" s="54">
        <v>1.4210854715202004E-14</v>
      </c>
      <c r="H8" s="54">
        <v>0.97329884042096637</v>
      </c>
      <c r="I8" s="54">
        <v>5</v>
      </c>
      <c r="J8" s="54">
        <v>0</v>
      </c>
    </row>
    <row r="9" spans="1:10" x14ac:dyDescent="0.2">
      <c r="A9" s="64">
        <v>3</v>
      </c>
      <c r="B9" s="60" t="str">
        <f ca="1">IF($C$5=FALSE,"-",OFFSET(Check!$B$4,0,$A9-1))</f>
        <v>Risk free rate (long term)</v>
      </c>
      <c r="C9" s="67">
        <f ca="1">IF($C$5=FALSE,"-",OFFSET(Check!$B$4,1,$A9-1))</f>
        <v>2.5999999999999999E-2</v>
      </c>
      <c r="E9" t="str">
        <v>BISEC</v>
      </c>
      <c r="F9" s="54">
        <v>68.14914004723633</v>
      </c>
      <c r="G9" s="54">
        <v>5.4569682106375694E-12</v>
      </c>
      <c r="H9" s="54">
        <v>0.97329884042096637</v>
      </c>
      <c r="I9" s="54">
        <v>39</v>
      </c>
      <c r="J9" s="54">
        <v>0</v>
      </c>
    </row>
    <row r="10" spans="1:10" x14ac:dyDescent="0.2">
      <c r="A10" s="64">
        <v>11</v>
      </c>
      <c r="B10" s="60" t="str">
        <f ca="1">IF($C$5=FALSE,"-",OFFSET(Check!$B$4,0,$A10-1))</f>
        <v>Option Converter: Standard deviation on stock price</v>
      </c>
      <c r="C10" s="67">
        <f ca="1">IF($C$5=FALSE,"-",OFFSET(Check!$B$4,1,$A10-1))</f>
        <v>0.3</v>
      </c>
      <c r="E10" t="str">
        <v>SECANT</v>
      </c>
      <c r="F10" s="54">
        <v>68.149140047230716</v>
      </c>
      <c r="G10" s="54">
        <v>0</v>
      </c>
      <c r="H10" s="54">
        <v>0.97329884042096637</v>
      </c>
      <c r="I10" s="54">
        <v>4</v>
      </c>
      <c r="J10" s="54">
        <v>0</v>
      </c>
    </row>
    <row r="11" spans="1:10" x14ac:dyDescent="0.2">
      <c r="A11" s="64">
        <v>10</v>
      </c>
      <c r="B11" s="60" t="str">
        <f ca="1">IF($C$5=FALSE,"-",OFFSET(Check!$B$4,0,$A11-1))</f>
        <v>Option Converter: Average maturity</v>
      </c>
      <c r="C11" s="67">
        <f ca="1">IF($C$5=FALSE,"-",OFFSET(Check!$B$4,1,$A11-1))</f>
        <v>2.5499999999999998</v>
      </c>
      <c r="E11" t="str">
        <v>PEGASO</v>
      </c>
      <c r="F11" s="54">
        <v>68.149140047230716</v>
      </c>
      <c r="G11" s="54">
        <v>0</v>
      </c>
      <c r="H11" s="54">
        <v>0.97329884042096637</v>
      </c>
      <c r="I11" s="54">
        <v>5</v>
      </c>
      <c r="J11" s="54">
        <v>0</v>
      </c>
    </row>
    <row r="12" spans="1:10" x14ac:dyDescent="0.2">
      <c r="A12" s="64">
        <v>12</v>
      </c>
      <c r="B12" s="60" t="str">
        <f ca="1">IF($C$5=FALSE,"-",OFFSET(Check!$B$4,0,$A12-1))</f>
        <v>Option Converter: Dividend yield on stock (if any)</v>
      </c>
      <c r="C12" s="67">
        <f ca="1">IF($C$5=FALSE,"-",OFFSET(Check!$B$4,1,$A12-1))</f>
        <v>2.35E-2</v>
      </c>
      <c r="E12" t="str">
        <v>PHI-21</v>
      </c>
      <c r="F12" s="54">
        <v>68.149140047230716</v>
      </c>
      <c r="G12" s="54">
        <v>0</v>
      </c>
      <c r="H12" s="54">
        <v>0.97329884042096637</v>
      </c>
      <c r="I12" s="54">
        <v>4</v>
      </c>
      <c r="J12" s="54">
        <v>0</v>
      </c>
    </row>
    <row r="13" spans="1:10" ht="14" thickBot="1" x14ac:dyDescent="0.25">
      <c r="A13" s="64">
        <v>8</v>
      </c>
      <c r="B13" s="60" t="str">
        <f ca="1">IF($C$5=FALSE,"-",OFFSET(Check!$B$4,0,$A13-1))</f>
        <v>Option Converter: Number of options outstanding</v>
      </c>
      <c r="C13" s="67">
        <f ca="1">IF($C$5=FALSE,"-",OFFSET(Check!$B$4,1,$A13-1))</f>
        <v>54</v>
      </c>
      <c r="E13" t="str">
        <v>E-21</v>
      </c>
      <c r="F13" s="54">
        <v>68.149140047230716</v>
      </c>
      <c r="G13" s="54">
        <v>0</v>
      </c>
      <c r="H13" s="54">
        <v>0.97329884042096637</v>
      </c>
      <c r="I13" s="54">
        <v>4</v>
      </c>
      <c r="J13" s="54">
        <v>0</v>
      </c>
    </row>
    <row r="14" spans="1:10" ht="14" thickBot="1" x14ac:dyDescent="0.25">
      <c r="A14" s="68">
        <f>68+30</f>
        <v>98</v>
      </c>
      <c r="B14" s="69" t="str">
        <f ca="1">IF($C$5=FALSE,"-",OFFSET(Check!$B$4,0,$A14-1))</f>
        <v>Option Converter: Adjusted Stock Price</v>
      </c>
      <c r="C14" s="70">
        <f ca="1">IF($C$5=FALSE,"-",OFFSET(Check!$B$4,1,$A14-1))</f>
        <v>68.149140047230716</v>
      </c>
      <c r="D14" s="71" t="s">
        <v>146</v>
      </c>
      <c r="E14" s="72" t="str">
        <v>MULLER</v>
      </c>
      <c r="F14" s="73">
        <v>68.149140047230716</v>
      </c>
      <c r="G14" s="73">
        <v>0</v>
      </c>
      <c r="H14" s="73">
        <v>0.97329884042096637</v>
      </c>
      <c r="I14" s="73">
        <v>4</v>
      </c>
      <c r="J14" s="74">
        <v>0</v>
      </c>
    </row>
    <row r="15" spans="1:10" x14ac:dyDescent="0.2">
      <c r="C15" s="54"/>
      <c r="E15" t="str">
        <v>RHEIN1</v>
      </c>
      <c r="F15" s="54">
        <v>68.149140047230716</v>
      </c>
      <c r="G15" s="54">
        <v>0</v>
      </c>
      <c r="H15" s="54">
        <v>0.97329884042096637</v>
      </c>
      <c r="I15" s="54">
        <v>4</v>
      </c>
      <c r="J15" s="54">
        <v>0</v>
      </c>
    </row>
    <row r="16" spans="1:10" x14ac:dyDescent="0.2">
      <c r="B16" s="59" t="s">
        <v>141</v>
      </c>
      <c r="C16" s="55">
        <v>1</v>
      </c>
      <c r="E16" t="str">
        <v>RHEIN2</v>
      </c>
      <c r="F16" s="54">
        <v>68.149140046996024</v>
      </c>
      <c r="G16" s="54">
        <v>-2.2842527869215701E-10</v>
      </c>
      <c r="H16" s="54">
        <v>0.97329884042096637</v>
      </c>
      <c r="I16" s="54">
        <v>38</v>
      </c>
      <c r="J16" s="54">
        <v>0</v>
      </c>
    </row>
    <row r="17" spans="2:10" x14ac:dyDescent="0.2">
      <c r="B17" s="60" t="s">
        <v>142</v>
      </c>
      <c r="C17" s="56">
        <v>100</v>
      </c>
      <c r="E17" t="str">
        <v>CHEBY-FD</v>
      </c>
      <c r="F17" s="54">
        <v>68.149140047230716</v>
      </c>
      <c r="G17" s="54">
        <v>0</v>
      </c>
      <c r="H17" s="54">
        <v>0.97329884042096637</v>
      </c>
      <c r="I17" s="54">
        <v>4</v>
      </c>
      <c r="J17" s="54">
        <v>0</v>
      </c>
    </row>
    <row r="18" spans="2:10" x14ac:dyDescent="0.2">
      <c r="B18" s="60" t="s">
        <v>143</v>
      </c>
      <c r="C18" s="57" t="s">
        <v>145</v>
      </c>
      <c r="D18" t="s">
        <v>137</v>
      </c>
      <c r="E18" t="str">
        <v>*E-21</v>
      </c>
      <c r="F18" s="54">
        <v>68.149140047230716</v>
      </c>
      <c r="G18" s="54">
        <v>0</v>
      </c>
      <c r="H18" s="54">
        <v>0.97329884042096637</v>
      </c>
      <c r="I18" s="54">
        <v>4</v>
      </c>
      <c r="J18" s="54">
        <v>0</v>
      </c>
    </row>
    <row r="19" spans="2:10" x14ac:dyDescent="0.2">
      <c r="B19" s="60" t="s">
        <v>144</v>
      </c>
      <c r="C19" s="56">
        <v>500</v>
      </c>
      <c r="D19" t="s">
        <v>137</v>
      </c>
      <c r="E19" t="str">
        <v>STEFF</v>
      </c>
      <c r="F19" s="54">
        <v>68.14914004723073</v>
      </c>
      <c r="G19" s="54">
        <v>1.4210854715202004E-14</v>
      </c>
      <c r="H19" s="54">
        <v>0.97329884042096637</v>
      </c>
      <c r="I19" s="54">
        <v>3</v>
      </c>
      <c r="J19" s="54">
        <v>0</v>
      </c>
    </row>
    <row r="20" spans="2:10" x14ac:dyDescent="0.2">
      <c r="B20" s="61" t="s">
        <v>139</v>
      </c>
      <c r="C20" s="58">
        <f>10^-10</f>
        <v>1E-10</v>
      </c>
      <c r="E20" t="str">
        <v>HALL</v>
      </c>
      <c r="F20" s="54">
        <v>68.14914004723073</v>
      </c>
      <c r="G20" s="54">
        <v>1.4210854715202004E-14</v>
      </c>
      <c r="H20" s="54">
        <v>0.97329884042096637</v>
      </c>
      <c r="I20" s="54">
        <v>4</v>
      </c>
      <c r="J20" s="54">
        <v>0</v>
      </c>
    </row>
    <row r="21" spans="2:10" x14ac:dyDescent="0.2">
      <c r="E21" t="str">
        <v>PARAB-INV</v>
      </c>
      <c r="F21" s="54">
        <v>68.149140047267579</v>
      </c>
      <c r="G21" s="54">
        <v>3.5882408155885059E-11</v>
      </c>
      <c r="H21" s="54">
        <v>0.97329884056307492</v>
      </c>
      <c r="I21" s="54">
        <v>3</v>
      </c>
      <c r="J21" s="54">
        <v>0</v>
      </c>
    </row>
    <row r="22" spans="2:10" x14ac:dyDescent="0.2">
      <c r="E22" t="str">
        <v>PARAB</v>
      </c>
      <c r="F22" s="54">
        <v>68.149140047269853</v>
      </c>
      <c r="G22" s="54">
        <v>3.808509063674137E-11</v>
      </c>
      <c r="H22" s="54">
        <v>0.97329884042096637</v>
      </c>
      <c r="I22" s="54">
        <v>3</v>
      </c>
      <c r="J22" s="54">
        <v>0</v>
      </c>
    </row>
    <row r="23" spans="2:10" x14ac:dyDescent="0.2">
      <c r="E23" t="str">
        <v>REGULA</v>
      </c>
      <c r="F23" s="54">
        <v>68.149140047289208</v>
      </c>
      <c r="G23" s="54">
        <v>5.6928683989099227E-11</v>
      </c>
      <c r="H23" s="54">
        <v>0.97329884042096637</v>
      </c>
      <c r="I23" s="54">
        <v>6</v>
      </c>
      <c r="J23" s="54">
        <v>0</v>
      </c>
    </row>
    <row r="24" spans="2:10" x14ac:dyDescent="0.2">
      <c r="E24" t="str">
        <v>SECANT-BACK</v>
      </c>
      <c r="F24" s="54">
        <v>68.149140047230716</v>
      </c>
      <c r="G24" s="54">
        <v>0</v>
      </c>
      <c r="H24" s="54">
        <v>0.97329884042096637</v>
      </c>
      <c r="I24" s="54">
        <v>4</v>
      </c>
      <c r="J24" s="54">
        <v>0</v>
      </c>
    </row>
    <row r="25" spans="2:10" x14ac:dyDescent="0.2">
      <c r="E25" t="str">
        <v>RIDDER</v>
      </c>
      <c r="F25" s="54">
        <v>68.149140047307299</v>
      </c>
      <c r="G25" s="54">
        <v>7.4535932981234509E-11</v>
      </c>
      <c r="H25" s="54">
        <v>0.97329884042096637</v>
      </c>
      <c r="I25" s="54">
        <v>289</v>
      </c>
      <c r="J25" s="54">
        <v>0</v>
      </c>
    </row>
    <row r="26" spans="2:10" x14ac:dyDescent="0.2">
      <c r="E26" t="str">
        <v>FRACTION</v>
      </c>
      <c r="F26" s="54">
        <v>68.149140047268702</v>
      </c>
      <c r="G26" s="54">
        <v>3.6976643968955614E-11</v>
      </c>
      <c r="H26" s="54">
        <v>0.97329884056307492</v>
      </c>
      <c r="I26" s="54">
        <v>3</v>
      </c>
      <c r="J26" s="54">
        <v>0</v>
      </c>
    </row>
    <row r="27" spans="2:10" x14ac:dyDescent="0.2">
      <c r="E27" t="str">
        <v>QUADRATIC</v>
      </c>
      <c r="F27" s="54">
        <v>68.149140047230716</v>
      </c>
      <c r="G27" s="54">
        <v>0</v>
      </c>
      <c r="H27" s="54">
        <v>0.97329884042096637</v>
      </c>
      <c r="I27" s="54">
        <v>18</v>
      </c>
      <c r="J27" s="54">
        <v>0</v>
      </c>
    </row>
    <row r="29" spans="2:10" x14ac:dyDescent="0.2">
      <c r="E29" s="66" t="s">
        <v>148</v>
      </c>
    </row>
    <row r="30" spans="2:10" x14ac:dyDescent="0.2">
      <c r="E30" s="65"/>
    </row>
    <row r="31" spans="2:10" x14ac:dyDescent="0.2">
      <c r="E31" s="65"/>
    </row>
  </sheetData>
  <conditionalFormatting sqref="I6:I27">
    <cfRule type="colorScale" priority="1">
      <colorScale>
        <cfvo type="min"/>
        <cfvo type="percentile" val="50"/>
        <cfvo type="max"/>
        <color rgb="FF63BE7B"/>
        <color rgb="FFFFEB84"/>
        <color rgb="FFF8696B"/>
      </colorScale>
    </cfRule>
  </conditionalFormatting>
  <dataValidations count="1">
    <dataValidation type="list" allowBlank="1" showInputMessage="1" showErrorMessage="1" sqref="C5" xr:uid="{00000000-0002-0000-0300-000000000000}">
      <formula1>"TRUE, FALSE"</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Sanitized_Model</vt:lpstr>
      <vt:lpstr>Headings</vt:lpstr>
      <vt:lpstr>Check</vt:lpstr>
      <vt:lpstr>Solvers</vt:lpstr>
      <vt:lpstr>INDEX</vt:lpstr>
    </vt:vector>
  </TitlesOfParts>
  <Company>Stern School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Aswath Damodaran</dc:creator>
  <cp:lastModifiedBy>Rafael Nicolas Fermin Cota</cp:lastModifiedBy>
  <dcterms:created xsi:type="dcterms:W3CDTF">1999-02-04T13:48:15Z</dcterms:created>
  <dcterms:modified xsi:type="dcterms:W3CDTF">2022-01-19T03:40:36Z</dcterms:modified>
</cp:coreProperties>
</file>