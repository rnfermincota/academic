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0" windowWidth="24915" windowHeight="12075"/>
  </bookViews>
  <sheets>
    <sheet name="Growth_Scaler" sheetId="1" r:id="rId1"/>
  </sheets>
  <functionGroups builtInGroupCount="17"/>
  <definedNames>
    <definedName name="OPTION_RNG">Growth_Scaler!$B$2</definedName>
  </definedNames>
  <calcPr calcId="145621"/>
</workbook>
</file>

<file path=xl/calcChain.xml><?xml version="1.0" encoding="utf-8"?>
<calcChain xmlns="http://schemas.openxmlformats.org/spreadsheetml/2006/main">
  <c r="M3" i="1" l="1" a="1"/>
  <c r="M3" i="1"/>
  <c r="N3" i="1"/>
  <c r="O3" i="1"/>
  <c r="P3" i="1"/>
  <c r="Q3" i="1"/>
  <c r="R3" i="1"/>
  <c r="M4" i="1"/>
  <c r="N4" i="1"/>
  <c r="O4" i="1"/>
  <c r="P4" i="1"/>
  <c r="Q4" i="1"/>
  <c r="R4" i="1"/>
  <c r="M5" i="1"/>
  <c r="N5" i="1"/>
  <c r="O5" i="1"/>
  <c r="P5" i="1"/>
  <c r="Q5" i="1"/>
  <c r="R5" i="1"/>
  <c r="M6" i="1"/>
  <c r="N6" i="1"/>
  <c r="O6" i="1"/>
  <c r="P6" i="1"/>
  <c r="Q6" i="1"/>
  <c r="R6" i="1"/>
  <c r="M7" i="1"/>
  <c r="N7" i="1"/>
  <c r="O7" i="1"/>
  <c r="P7" i="1"/>
  <c r="Q7" i="1"/>
  <c r="R7" i="1"/>
  <c r="M8" i="1"/>
  <c r="N8" i="1"/>
  <c r="O8" i="1"/>
  <c r="P8" i="1"/>
  <c r="Q8" i="1"/>
  <c r="R8" i="1"/>
  <c r="M9" i="1"/>
  <c r="N9" i="1"/>
  <c r="O9" i="1"/>
  <c r="P9" i="1"/>
  <c r="Q9" i="1"/>
  <c r="R9" i="1"/>
  <c r="M10" i="1"/>
  <c r="N10" i="1"/>
  <c r="O10" i="1"/>
  <c r="P10" i="1"/>
  <c r="Q10" i="1"/>
  <c r="R10" i="1"/>
  <c r="M11" i="1"/>
  <c r="N11" i="1"/>
  <c r="O11" i="1"/>
  <c r="P11" i="1"/>
  <c r="Q11" i="1"/>
  <c r="R11" i="1"/>
  <c r="M12" i="1"/>
  <c r="N12" i="1"/>
  <c r="O12" i="1"/>
  <c r="P12" i="1"/>
  <c r="Q12" i="1"/>
  <c r="R12" i="1"/>
  <c r="M13" i="1"/>
  <c r="N13" i="1"/>
  <c r="O13" i="1"/>
  <c r="P13" i="1"/>
  <c r="Q13" i="1"/>
  <c r="R13" i="1"/>
  <c r="M14" i="1"/>
  <c r="N14" i="1"/>
  <c r="O14" i="1"/>
  <c r="P14" i="1"/>
  <c r="Q14" i="1"/>
  <c r="R14" i="1"/>
  <c r="M15" i="1"/>
  <c r="N15" i="1"/>
  <c r="O15" i="1"/>
  <c r="P15" i="1"/>
  <c r="Q15" i="1"/>
  <c r="R15" i="1"/>
  <c r="M16" i="1"/>
  <c r="N16" i="1"/>
  <c r="O16" i="1"/>
  <c r="P16" i="1"/>
  <c r="Q16" i="1"/>
  <c r="R16" i="1"/>
  <c r="M17" i="1"/>
  <c r="N17" i="1"/>
  <c r="O17" i="1"/>
  <c r="P17" i="1"/>
  <c r="Q17" i="1"/>
  <c r="R17" i="1"/>
  <c r="M18" i="1"/>
  <c r="N18" i="1"/>
  <c r="O18" i="1"/>
  <c r="P18" i="1"/>
  <c r="Q18" i="1"/>
  <c r="R18" i="1"/>
  <c r="M19" i="1"/>
  <c r="N19" i="1"/>
  <c r="O19" i="1"/>
  <c r="P19" i="1"/>
  <c r="Q19" i="1"/>
  <c r="R19" i="1"/>
  <c r="M20" i="1"/>
  <c r="N20" i="1"/>
  <c r="O20" i="1"/>
  <c r="P20" i="1"/>
  <c r="Q20" i="1"/>
  <c r="R20" i="1"/>
  <c r="M21" i="1"/>
  <c r="N21" i="1"/>
  <c r="O21" i="1"/>
  <c r="P21" i="1"/>
  <c r="Q21" i="1"/>
  <c r="R21" i="1"/>
  <c r="M22" i="1"/>
  <c r="N22" i="1"/>
  <c r="O22" i="1"/>
  <c r="P22" i="1"/>
  <c r="Q22" i="1"/>
  <c r="R22" i="1"/>
  <c r="M23" i="1"/>
  <c r="N23" i="1"/>
  <c r="O23" i="1"/>
  <c r="P23" i="1"/>
  <c r="Q23" i="1"/>
  <c r="R23" i="1"/>
  <c r="M24" i="1"/>
  <c r="N24" i="1"/>
  <c r="O24" i="1"/>
  <c r="P24" i="1"/>
  <c r="Q24" i="1"/>
  <c r="R24" i="1"/>
  <c r="M25" i="1"/>
  <c r="N25" i="1"/>
  <c r="O25" i="1"/>
  <c r="P25" i="1"/>
  <c r="Q25" i="1"/>
  <c r="R25" i="1"/>
  <c r="M26" i="1"/>
  <c r="N26" i="1"/>
  <c r="O26" i="1"/>
  <c r="P26" i="1"/>
  <c r="Q26" i="1"/>
  <c r="R26" i="1"/>
  <c r="M27" i="1"/>
  <c r="N27" i="1"/>
  <c r="O27" i="1"/>
  <c r="P27" i="1"/>
  <c r="Q27" i="1"/>
  <c r="R27" i="1"/>
  <c r="M28" i="1"/>
  <c r="N28" i="1"/>
  <c r="O28" i="1"/>
  <c r="P28" i="1"/>
  <c r="Q28" i="1"/>
  <c r="R2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J28" i="1"/>
  <c r="V28" i="1"/>
  <c r="U28" i="1"/>
  <c r="H28" i="1"/>
  <c r="T28" i="1"/>
  <c r="S28" i="1"/>
  <c r="K28" i="1"/>
  <c r="J27" i="1"/>
  <c r="V27" i="1"/>
  <c r="U27" i="1"/>
  <c r="H27" i="1"/>
  <c r="T27" i="1"/>
  <c r="S27" i="1"/>
  <c r="K27" i="1"/>
  <c r="J26" i="1"/>
  <c r="V26" i="1"/>
  <c r="U26" i="1"/>
  <c r="H26" i="1"/>
  <c r="T26" i="1"/>
  <c r="S26" i="1"/>
  <c r="K26" i="1"/>
  <c r="J25" i="1"/>
  <c r="V25" i="1"/>
  <c r="U25" i="1"/>
  <c r="H25" i="1"/>
  <c r="T25" i="1"/>
  <c r="S25" i="1"/>
  <c r="K25" i="1"/>
  <c r="J24" i="1"/>
  <c r="V24" i="1"/>
  <c r="U24" i="1"/>
  <c r="H24" i="1"/>
  <c r="T24" i="1"/>
  <c r="S24" i="1"/>
  <c r="K24" i="1"/>
  <c r="J23" i="1"/>
  <c r="V23" i="1"/>
  <c r="U23" i="1"/>
  <c r="H23" i="1"/>
  <c r="T23" i="1"/>
  <c r="S23" i="1"/>
  <c r="K23" i="1"/>
  <c r="J22" i="1"/>
  <c r="V22" i="1"/>
  <c r="U22" i="1"/>
  <c r="H22" i="1"/>
  <c r="T22" i="1"/>
  <c r="S22" i="1"/>
  <c r="K22" i="1"/>
  <c r="J21" i="1"/>
  <c r="V21" i="1"/>
  <c r="U21" i="1"/>
  <c r="H21" i="1"/>
  <c r="T21" i="1"/>
  <c r="S21" i="1"/>
  <c r="K21" i="1"/>
  <c r="J20" i="1"/>
  <c r="V20" i="1"/>
  <c r="U20" i="1"/>
  <c r="H20" i="1"/>
  <c r="T20" i="1"/>
  <c r="S20" i="1"/>
  <c r="K20" i="1"/>
  <c r="J19" i="1"/>
  <c r="V19" i="1"/>
  <c r="U19" i="1"/>
  <c r="H19" i="1"/>
  <c r="T19" i="1"/>
  <c r="S19" i="1"/>
  <c r="K19" i="1"/>
  <c r="J18" i="1"/>
  <c r="V18" i="1"/>
  <c r="U18" i="1"/>
  <c r="H18" i="1"/>
  <c r="T18" i="1"/>
  <c r="S18" i="1"/>
  <c r="K18" i="1"/>
  <c r="J17" i="1"/>
  <c r="V17" i="1"/>
  <c r="U17" i="1"/>
  <c r="H17" i="1"/>
  <c r="T17" i="1"/>
  <c r="S17" i="1"/>
  <c r="K17" i="1"/>
  <c r="J16" i="1"/>
  <c r="V16" i="1"/>
  <c r="U16" i="1"/>
  <c r="H16" i="1"/>
  <c r="T16" i="1"/>
  <c r="S16" i="1"/>
  <c r="K16" i="1"/>
  <c r="J15" i="1"/>
  <c r="V15" i="1"/>
  <c r="U15" i="1"/>
  <c r="H15" i="1"/>
  <c r="T15" i="1"/>
  <c r="S15" i="1"/>
  <c r="K15" i="1"/>
  <c r="J14" i="1"/>
  <c r="V14" i="1"/>
  <c r="U14" i="1"/>
  <c r="H14" i="1"/>
  <c r="T14" i="1"/>
  <c r="S14" i="1"/>
  <c r="K14" i="1"/>
  <c r="J13" i="1"/>
  <c r="V13" i="1"/>
  <c r="U13" i="1"/>
  <c r="H13" i="1"/>
  <c r="T13" i="1"/>
  <c r="S13" i="1"/>
  <c r="K13" i="1"/>
  <c r="J12" i="1"/>
  <c r="V12" i="1"/>
  <c r="U12" i="1"/>
  <c r="H12" i="1"/>
  <c r="T12" i="1"/>
  <c r="S12" i="1"/>
  <c r="K12" i="1"/>
  <c r="J11" i="1"/>
  <c r="V11" i="1"/>
  <c r="U11" i="1"/>
  <c r="H11" i="1"/>
  <c r="T11" i="1"/>
  <c r="S11" i="1"/>
  <c r="K11" i="1"/>
  <c r="J10" i="1"/>
  <c r="V10" i="1"/>
  <c r="U10" i="1"/>
  <c r="H10" i="1"/>
  <c r="T10" i="1"/>
  <c r="S10" i="1"/>
  <c r="K10" i="1"/>
  <c r="J9" i="1"/>
  <c r="V9" i="1"/>
  <c r="U9" i="1"/>
  <c r="H9" i="1"/>
  <c r="T9" i="1"/>
  <c r="S9" i="1"/>
  <c r="K9" i="1"/>
  <c r="J8" i="1"/>
  <c r="V8" i="1"/>
  <c r="U8" i="1"/>
  <c r="H8" i="1"/>
  <c r="T8" i="1"/>
  <c r="S8" i="1"/>
  <c r="K8" i="1"/>
  <c r="J7" i="1"/>
  <c r="V7" i="1"/>
  <c r="U7" i="1"/>
  <c r="H7" i="1"/>
  <c r="T7" i="1"/>
  <c r="S7" i="1"/>
  <c r="K7" i="1"/>
  <c r="J6" i="1"/>
  <c r="V6" i="1"/>
  <c r="U6" i="1"/>
  <c r="H6" i="1"/>
  <c r="T6" i="1"/>
  <c r="S6" i="1"/>
  <c r="K6" i="1"/>
  <c r="J5" i="1"/>
  <c r="V5" i="1"/>
  <c r="U5" i="1"/>
  <c r="H5" i="1"/>
  <c r="T5" i="1"/>
  <c r="S5" i="1"/>
  <c r="K5" i="1"/>
  <c r="J4" i="1"/>
  <c r="V4" i="1"/>
  <c r="U4" i="1"/>
  <c r="H4" i="1"/>
  <c r="T4" i="1"/>
  <c r="S4" i="1"/>
  <c r="K4" i="1"/>
  <c r="AD3" i="1" a="1"/>
  <c r="AD3" i="1" l="1"/>
  <c r="AE3" i="1"/>
  <c r="AF3" i="1"/>
  <c r="AG3" i="1"/>
  <c r="AH3" i="1"/>
  <c r="AI3" i="1"/>
  <c r="AD4" i="1"/>
  <c r="AE4" i="1"/>
  <c r="AF4" i="1"/>
  <c r="AG4" i="1"/>
  <c r="AH4" i="1"/>
  <c r="AI4" i="1"/>
  <c r="AD5" i="1"/>
  <c r="AE5" i="1"/>
  <c r="AF5" i="1"/>
  <c r="AG5" i="1"/>
  <c r="AH5" i="1"/>
  <c r="AI5" i="1"/>
  <c r="AD6" i="1"/>
  <c r="AE6" i="1"/>
  <c r="AF6" i="1"/>
  <c r="AG6" i="1"/>
  <c r="AH6" i="1"/>
  <c r="AI6" i="1"/>
  <c r="AD7" i="1"/>
  <c r="AE7" i="1"/>
  <c r="AF7" i="1"/>
  <c r="AG7" i="1"/>
  <c r="AH7" i="1"/>
  <c r="AI7" i="1"/>
  <c r="AD8" i="1"/>
  <c r="AE8" i="1"/>
  <c r="AF8" i="1"/>
  <c r="AG8" i="1"/>
  <c r="AH8" i="1"/>
  <c r="AI8" i="1"/>
  <c r="AD9" i="1"/>
  <c r="AE9" i="1"/>
  <c r="AF9" i="1"/>
  <c r="AG9" i="1"/>
  <c r="AH9" i="1"/>
  <c r="AI9" i="1"/>
  <c r="AD10" i="1"/>
  <c r="AE10" i="1"/>
  <c r="AF10" i="1"/>
  <c r="AG10" i="1"/>
  <c r="AH10" i="1"/>
  <c r="AI10" i="1"/>
  <c r="AD11" i="1"/>
  <c r="AE11" i="1"/>
  <c r="AF11" i="1"/>
  <c r="AG11" i="1"/>
  <c r="AH11" i="1"/>
  <c r="AI11" i="1"/>
  <c r="AD12" i="1"/>
  <c r="AE12" i="1"/>
  <c r="AF12" i="1"/>
  <c r="AG12" i="1"/>
  <c r="AH12" i="1"/>
  <c r="AI12" i="1"/>
  <c r="AD13" i="1"/>
  <c r="AE13" i="1"/>
  <c r="AF13" i="1"/>
  <c r="AG13" i="1"/>
  <c r="AH13" i="1"/>
  <c r="AI13" i="1"/>
  <c r="AD14" i="1"/>
  <c r="AE14" i="1"/>
  <c r="AF14" i="1"/>
  <c r="AG14" i="1"/>
  <c r="AH14" i="1"/>
  <c r="AI14" i="1"/>
  <c r="AD15" i="1"/>
  <c r="AE15" i="1"/>
  <c r="AF15" i="1"/>
  <c r="AG15" i="1"/>
  <c r="AH15" i="1"/>
  <c r="AI15" i="1"/>
  <c r="AD16" i="1"/>
  <c r="AE16" i="1"/>
  <c r="AF16" i="1"/>
  <c r="AG16" i="1"/>
  <c r="AH16" i="1"/>
  <c r="AI16" i="1"/>
  <c r="AD17" i="1"/>
  <c r="AE17" i="1"/>
  <c r="AF17" i="1"/>
  <c r="AG17" i="1"/>
  <c r="AH17" i="1"/>
  <c r="AI17" i="1"/>
  <c r="AD18" i="1"/>
  <c r="AE18" i="1"/>
  <c r="AF18" i="1"/>
  <c r="AG18" i="1"/>
  <c r="AH18" i="1"/>
  <c r="AI18" i="1"/>
  <c r="AD19" i="1"/>
  <c r="AE19" i="1"/>
  <c r="AF19" i="1"/>
  <c r="AG19" i="1"/>
  <c r="AH19" i="1"/>
  <c r="AI19" i="1"/>
  <c r="AD20" i="1"/>
  <c r="AE20" i="1"/>
  <c r="AF20" i="1"/>
  <c r="AG20" i="1"/>
  <c r="AH20" i="1"/>
  <c r="AI20" i="1"/>
  <c r="AD21" i="1"/>
  <c r="AE21" i="1"/>
  <c r="AF21" i="1"/>
  <c r="AG21" i="1"/>
  <c r="AH21" i="1"/>
  <c r="AI21" i="1"/>
  <c r="AD22" i="1"/>
  <c r="AE22" i="1"/>
  <c r="AF22" i="1"/>
  <c r="AG22" i="1"/>
  <c r="AH22" i="1"/>
  <c r="AI22" i="1"/>
</calcChain>
</file>

<file path=xl/sharedStrings.xml><?xml version="1.0" encoding="utf-8"?>
<sst xmlns="http://schemas.openxmlformats.org/spreadsheetml/2006/main" count="164" uniqueCount="126">
  <si>
    <t>Revenues in base year</t>
  </si>
  <si>
    <t>Expected growth rate</t>
  </si>
  <si>
    <t>Number of years of growth</t>
  </si>
  <si>
    <t xml:space="preserve"> </t>
  </si>
  <si>
    <t>Your company</t>
  </si>
  <si>
    <t>Potential market (sector)</t>
  </si>
  <si>
    <t>Year</t>
  </si>
  <si>
    <t>Revenues (company)</t>
  </si>
  <si>
    <t>Annual Change in revenues (company)</t>
  </si>
  <si>
    <t>Revenues (Sector)</t>
  </si>
  <si>
    <t>Market Share</t>
  </si>
  <si>
    <t>Comment</t>
  </si>
  <si>
    <t>Company</t>
  </si>
  <si>
    <t xml:space="preserve">Industrry </t>
  </si>
  <si>
    <t>Number of firms</t>
  </si>
  <si>
    <t>Total Revenues across firms (in millions)</t>
  </si>
  <si>
    <t>Revenues of largest firm (in millions)</t>
  </si>
  <si>
    <t>Average revenue growth last year</t>
  </si>
  <si>
    <t>Average revenue growth rate- last 5 years</t>
  </si>
  <si>
    <t>Revenues in base year:</t>
  </si>
  <si>
    <t>Advertising</t>
  </si>
  <si>
    <t>Expected growth rate:</t>
  </si>
  <si>
    <t>Aerospace/Defense</t>
  </si>
  <si>
    <t>Air Transport</t>
  </si>
  <si>
    <t>Apparel</t>
  </si>
  <si>
    <t>Auto Parts</t>
  </si>
  <si>
    <t>Automotive</t>
  </si>
  <si>
    <t>Bank</t>
  </si>
  <si>
    <t>NA</t>
  </si>
  <si>
    <t>Bank (Midwest)</t>
  </si>
  <si>
    <t>Beverage</t>
  </si>
  <si>
    <t>Biotechnology</t>
  </si>
  <si>
    <t>Building Materials</t>
  </si>
  <si>
    <t>Cable TV</t>
  </si>
  <si>
    <t>Chemical (Basic)</t>
  </si>
  <si>
    <t>Chemical (Diversified)</t>
  </si>
  <si>
    <t>Chemical (Specialty)</t>
  </si>
  <si>
    <t>Coal</t>
  </si>
  <si>
    <t>Computer Software</t>
  </si>
  <si>
    <t>Computers/Peripherals</t>
  </si>
  <si>
    <t>Diversified Co.</t>
  </si>
  <si>
    <t>Drug</t>
  </si>
  <si>
    <t>E-Commerce</t>
  </si>
  <si>
    <t>Educational Services</t>
  </si>
  <si>
    <t>Electric Util. (Central)</t>
  </si>
  <si>
    <t>Electric Utility (East)</t>
  </si>
  <si>
    <t>Electric Utility (West)</t>
  </si>
  <si>
    <t>Electrical Equipment</t>
  </si>
  <si>
    <t>Electronics</t>
  </si>
  <si>
    <t>Engineering &amp; Const</t>
  </si>
  <si>
    <t>Entertainment</t>
  </si>
  <si>
    <t>Entertainment Tech</t>
  </si>
  <si>
    <t>Environmental</t>
  </si>
  <si>
    <t>Financial Svcs. (Div.)</t>
  </si>
  <si>
    <t>Food Processing</t>
  </si>
  <si>
    <t>Foreign Electronics</t>
  </si>
  <si>
    <t>Funeral Services</t>
  </si>
  <si>
    <t>Furn/Home Furnishings</t>
  </si>
  <si>
    <t>Healthcare Information</t>
  </si>
  <si>
    <t>Heavy Truck &amp; Equip</t>
  </si>
  <si>
    <t>Homebuilding</t>
  </si>
  <si>
    <t>Hotel/Gaming</t>
  </si>
  <si>
    <t>Household Products</t>
  </si>
  <si>
    <t>Human Resources</t>
  </si>
  <si>
    <t>Industrial Services</t>
  </si>
  <si>
    <t>Information Services</t>
  </si>
  <si>
    <t>Insurance (Life)</t>
  </si>
  <si>
    <t>Insurance (Prop/Cas.)</t>
  </si>
  <si>
    <t>Internet</t>
  </si>
  <si>
    <t>Investment Co.</t>
  </si>
  <si>
    <t>Investment Co.(Foreign)</t>
  </si>
  <si>
    <t>IT Services</t>
  </si>
  <si>
    <t>Machinery</t>
  </si>
  <si>
    <t>Maritime</t>
  </si>
  <si>
    <t>Med Supp Invasive</t>
  </si>
  <si>
    <t>Med Supp Non-Invasive</t>
  </si>
  <si>
    <t>Medical Services</t>
  </si>
  <si>
    <t>Metal Fabricating</t>
  </si>
  <si>
    <t>Metals &amp; Mining (Div.)</t>
  </si>
  <si>
    <t>Natural Gas (Div.)</t>
  </si>
  <si>
    <t>Natural Gas Utility</t>
  </si>
  <si>
    <t>Newspaper</t>
  </si>
  <si>
    <t>Office Equip/Supplies</t>
  </si>
  <si>
    <t>Oil/Gas Distribution</t>
  </si>
  <si>
    <t>Oilfield Svcs/Equip.</t>
  </si>
  <si>
    <t>Packaging &amp; Container</t>
  </si>
  <si>
    <t>Paper/Forest Products</t>
  </si>
  <si>
    <t>Petroleum (Integrated)</t>
  </si>
  <si>
    <t>Petroleum (Producing)</t>
  </si>
  <si>
    <t>Pharmacy Services</t>
  </si>
  <si>
    <t>Pipeline MLPs</t>
  </si>
  <si>
    <t>Power</t>
  </si>
  <si>
    <t>Precious Metals</t>
  </si>
  <si>
    <t>Precision Instrument</t>
  </si>
  <si>
    <t>Property Management</t>
  </si>
  <si>
    <t>Public/Private Equity</t>
  </si>
  <si>
    <t>Publishing</t>
  </si>
  <si>
    <t>R.E.I.T.</t>
  </si>
  <si>
    <t>Railroad</t>
  </si>
  <si>
    <t>Recreation</t>
  </si>
  <si>
    <t>Reinsurance</t>
  </si>
  <si>
    <t>Restaurant</t>
  </si>
  <si>
    <t>Retail (Hardlines)</t>
  </si>
  <si>
    <t>Retail (Softlines)</t>
  </si>
  <si>
    <t>Retail Automotive</t>
  </si>
  <si>
    <t>Retail Building Supply</t>
  </si>
  <si>
    <t>Retail Store</t>
  </si>
  <si>
    <t>Retail/Wholesale Food</t>
  </si>
  <si>
    <t>Securities Brokerage</t>
  </si>
  <si>
    <t>Semiconductor</t>
  </si>
  <si>
    <t>Semiconductor Equip</t>
  </si>
  <si>
    <t>Shoe</t>
  </si>
  <si>
    <t>Steel</t>
  </si>
  <si>
    <t>Telecom. Equipment</t>
  </si>
  <si>
    <t>Telecom. Services</t>
  </si>
  <si>
    <t>Telecom. Utility</t>
  </si>
  <si>
    <t>Thrift</t>
  </si>
  <si>
    <t>Tobacco</t>
  </si>
  <si>
    <t>Toiletries/Cosmetics</t>
  </si>
  <si>
    <t>Trucking</t>
  </si>
  <si>
    <t>Utility (Foreign)</t>
  </si>
  <si>
    <t>Water Utility</t>
  </si>
  <si>
    <t>Wireless Networking</t>
  </si>
  <si>
    <t>Entire Market</t>
  </si>
  <si>
    <t>Multiple</t>
  </si>
  <si>
    <t>Select Model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</si>
</sst>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&quot;$&quot;#,##0"/>
  </numFmts>
  <fonts count="1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Calibri (Body)"/>
    </font>
    <font>
      <sz val="10"/>
      <color rgb="FFFF0000"/>
      <name val="Calibri (Body)"/>
    </font>
    <font>
      <b/>
      <sz val="10"/>
      <color theme="0"/>
      <name val="Calibri (Body)"/>
    </font>
    <font>
      <b/>
      <sz val="10"/>
      <color theme="1"/>
      <name val="Calibri (Body)"/>
    </font>
    <font>
      <sz val="10"/>
      <color rgb="FFFFFFFF"/>
      <name val="Calibri (Body)"/>
    </font>
    <font>
      <sz val="10"/>
      <color theme="4"/>
      <name val="Calibri (Body)"/>
    </font>
    <font>
      <sz val="10"/>
      <color rgb="FF000000"/>
      <name val="Calibri (Body)"/>
    </font>
    <font>
      <b/>
      <sz val="10"/>
      <color rgb="FF000000"/>
      <name val="Calibri (Body)"/>
    </font>
    <font>
      <b/>
      <sz val="11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0"/>
      <name val="Calibri (Body)"/>
    </font>
    <font>
      <sz val="10"/>
      <color rgb="FF0070C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6933C"/>
        <bgColor rgb="FF76933C"/>
      </patternFill>
    </fill>
  </fills>
  <borders count="9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rgb="FF76933C"/>
      </top>
      <bottom style="thin">
        <color auto="1"/>
      </bottom>
      <diagonal/>
    </border>
    <border>
      <left/>
      <right style="thin">
        <color auto="1"/>
      </right>
      <top style="thin">
        <color rgb="FF76933C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2" fillId="0" borderId="0">
      <alignment horizontal="left" vertical="center" indent="1"/>
    </xf>
    <xf numFmtId="0" fontId="1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4" fillId="0" borderId="0"/>
  </cellStyleXfs>
  <cellXfs count="41">
    <xf numFmtId="0" fontId="0" fillId="0" borderId="0" xfId="0"/>
    <xf numFmtId="0" fontId="4" fillId="0" borderId="0" xfId="0" applyFont="1"/>
    <xf numFmtId="0" fontId="4" fillId="0" borderId="0" xfId="0" quotePrefix="1" applyFont="1"/>
    <xf numFmtId="0" fontId="4" fillId="2" borderId="1" xfId="0" applyFont="1" applyFill="1" applyBorder="1" applyAlignment="1">
      <alignment horizontal="centerContinuous"/>
    </xf>
    <xf numFmtId="0" fontId="4" fillId="2" borderId="2" xfId="0" applyFont="1" applyFill="1" applyBorder="1" applyAlignment="1">
      <alignment horizontal="centerContinuous"/>
    </xf>
    <xf numFmtId="0" fontId="4" fillId="2" borderId="3" xfId="0" applyFont="1" applyFill="1" applyBorder="1" applyAlignment="1">
      <alignment horizontal="centerContinuous"/>
    </xf>
    <xf numFmtId="0" fontId="4" fillId="2" borderId="4" xfId="0" applyFont="1" applyFill="1" applyBorder="1"/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/>
    <xf numFmtId="10" fontId="4" fillId="0" borderId="0" xfId="0" applyNumberFormat="1" applyFont="1" applyBorder="1"/>
    <xf numFmtId="0" fontId="7" fillId="4" borderId="4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3" fontId="4" fillId="0" borderId="0" xfId="0" applyNumberFormat="1" applyFont="1"/>
    <xf numFmtId="9" fontId="4" fillId="0" borderId="0" xfId="2" applyFont="1"/>
    <xf numFmtId="0" fontId="8" fillId="5" borderId="5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164" fontId="8" fillId="5" borderId="6" xfId="0" applyNumberFormat="1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indent="1"/>
    </xf>
    <xf numFmtId="0" fontId="9" fillId="0" borderId="4" xfId="0" applyFont="1" applyFill="1" applyBorder="1"/>
    <xf numFmtId="43" fontId="4" fillId="0" borderId="0" xfId="1" applyFont="1"/>
    <xf numFmtId="0" fontId="9" fillId="0" borderId="0" xfId="0" applyFont="1" applyFill="1" applyBorder="1"/>
    <xf numFmtId="9" fontId="9" fillId="0" borderId="0" xfId="0" applyNumberFormat="1" applyFont="1" applyFill="1" applyBorder="1"/>
    <xf numFmtId="0" fontId="10" fillId="0" borderId="7" xfId="0" applyFont="1" applyBorder="1" applyAlignment="1">
      <alignment horizontal="left"/>
    </xf>
    <xf numFmtId="0" fontId="10" fillId="0" borderId="8" xfId="0" applyFont="1" applyBorder="1"/>
    <xf numFmtId="164" fontId="10" fillId="0" borderId="8" xfId="0" applyNumberFormat="1" applyFont="1" applyBorder="1" applyAlignment="1">
      <alignment horizontal="center"/>
    </xf>
    <xf numFmtId="10" fontId="10" fillId="0" borderId="8" xfId="0" applyNumberFormat="1" applyFont="1" applyBorder="1" applyAlignment="1">
      <alignment horizontal="center"/>
    </xf>
    <xf numFmtId="9" fontId="9" fillId="0" borderId="4" xfId="0" applyNumberFormat="1" applyFont="1" applyFill="1" applyBorder="1"/>
    <xf numFmtId="0" fontId="11" fillId="0" borderId="7" xfId="0" applyFont="1" applyBorder="1" applyAlignment="1">
      <alignment horizontal="left"/>
    </xf>
    <xf numFmtId="0" fontId="11" fillId="0" borderId="8" xfId="0" applyFont="1" applyBorder="1"/>
    <xf numFmtId="164" fontId="11" fillId="0" borderId="8" xfId="0" applyNumberFormat="1" applyFont="1" applyBorder="1" applyAlignment="1">
      <alignment horizontal="center"/>
    </xf>
    <xf numFmtId="10" fontId="11" fillId="0" borderId="8" xfId="0" applyNumberFormat="1" applyFont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</cellXfs>
  <cellStyles count="7">
    <cellStyle name="Comma" xfId="1" builtinId="3"/>
    <cellStyle name="ContentsHyperlink" xfId="3"/>
    <cellStyle name="Hyperlink 2" xfId="4"/>
    <cellStyle name="Normal" xfId="0" builtinId="0"/>
    <cellStyle name="Normal 2" xfId="5"/>
    <cellStyle name="Normal 3" xfId="6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Growth_Scaler!$H$3</c:f>
              <c:strCache>
                <c:ptCount val="1"/>
                <c:pt idx="0">
                  <c:v>Annual Change in revenues (company)</c:v>
                </c:pt>
              </c:strCache>
            </c:strRef>
          </c:tx>
          <c:spPr>
            <a:gradFill rotWithShape="0">
              <a:gsLst>
                <a:gs pos="0">
                  <a:srgbClr val="DCFFA0"/>
                </a:gs>
                <a:gs pos="100000">
                  <a:srgbClr val="A0CA4A"/>
                </a:gs>
              </a:gsLst>
              <a:lin ang="5400000"/>
            </a:gra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Growth_Scaler!$F$4:$F$28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Growth_Scaler!$H$4:$H$28</c:f>
              <c:numCache>
                <c:formatCode>"$"#,##0</c:formatCode>
                <c:ptCount val="25"/>
                <c:pt idx="0">
                  <c:v>272</c:v>
                </c:pt>
                <c:pt idx="1">
                  <c:v>326.39999999999986</c:v>
                </c:pt>
                <c:pt idx="2">
                  <c:v>391.68000000000006</c:v>
                </c:pt>
                <c:pt idx="3">
                  <c:v>470.01600000000008</c:v>
                </c:pt>
                <c:pt idx="4">
                  <c:v>564.01919999999973</c:v>
                </c:pt>
                <c:pt idx="5">
                  <c:v>676.82303999999976</c:v>
                </c:pt>
                <c:pt idx="6">
                  <c:v>812.18764800000008</c:v>
                </c:pt>
                <c:pt idx="7">
                  <c:v>974.62517759999992</c:v>
                </c:pt>
                <c:pt idx="8">
                  <c:v>1169.5502131200001</c:v>
                </c:pt>
                <c:pt idx="9">
                  <c:v>1403.4602557440003</c:v>
                </c:pt>
                <c:pt idx="10">
                  <c:v>1684.1523068928</c:v>
                </c:pt>
                <c:pt idx="11">
                  <c:v>2020.9827682713603</c:v>
                </c:pt>
                <c:pt idx="12">
                  <c:v>2425.1793219256324</c:v>
                </c:pt>
                <c:pt idx="13">
                  <c:v>2910.2151863107592</c:v>
                </c:pt>
                <c:pt idx="14">
                  <c:v>3492.2582235729096</c:v>
                </c:pt>
                <c:pt idx="15">
                  <c:v>4190.709868287493</c:v>
                </c:pt>
                <c:pt idx="16">
                  <c:v>5028.8518419449902</c:v>
                </c:pt>
                <c:pt idx="17">
                  <c:v>6034.622210333986</c:v>
                </c:pt>
                <c:pt idx="18">
                  <c:v>7241.5466524007861</c:v>
                </c:pt>
                <c:pt idx="19">
                  <c:v>8689.8559828809448</c:v>
                </c:pt>
                <c:pt idx="20">
                  <c:v>10427.827179457126</c:v>
                </c:pt>
                <c:pt idx="21">
                  <c:v>12513.392615348552</c:v>
                </c:pt>
                <c:pt idx="22">
                  <c:v>15016.071138418265</c:v>
                </c:pt>
                <c:pt idx="23">
                  <c:v>18019.285366101918</c:v>
                </c:pt>
                <c:pt idx="24">
                  <c:v>21623.142439322299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1339520"/>
        <c:axId val="39381248"/>
        <c:axId val="0"/>
      </c:bar3DChart>
      <c:catAx>
        <c:axId val="19133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39381248"/>
        <c:crosses val="autoZero"/>
        <c:auto val="1"/>
        <c:lblAlgn val="ctr"/>
        <c:lblOffset val="100"/>
        <c:noMultiLvlLbl val="0"/>
      </c:catAx>
      <c:valAx>
        <c:axId val="3938124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 Revenue</a:t>
                </a:r>
                <a:r>
                  <a:rPr lang="en-US" baseline="0"/>
                  <a:t> Change</a:t>
                </a:r>
                <a:endParaRPr lang="en-US"/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&quot;$&quot;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913395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7</xdr:row>
      <xdr:rowOff>107950</xdr:rowOff>
    </xdr:from>
    <xdr:to>
      <xdr:col>4</xdr:col>
      <xdr:colOff>704850</xdr:colOff>
      <xdr:row>28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76200</xdr:rowOff>
        </xdr:from>
        <xdr:to>
          <xdr:col>1</xdr:col>
          <xdr:colOff>1685925</xdr:colOff>
          <xdr:row>2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PRINT GROWTH SCALER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C105"/>
  <sheetViews>
    <sheetView showGridLines="0" tabSelected="1" workbookViewId="0">
      <selection activeCell="I17" sqref="I17"/>
    </sheetView>
  </sheetViews>
  <sheetFormatPr defaultColWidth="10.875" defaultRowHeight="12.75"/>
  <cols>
    <col min="1" max="1" width="3.625" style="1" customWidth="1"/>
    <col min="2" max="2" width="23.125" style="1" bestFit="1" customWidth="1"/>
    <col min="3" max="4" width="11" style="1" bestFit="1" customWidth="1"/>
    <col min="5" max="5" width="10.875" style="1"/>
    <col min="6" max="10" width="11" style="1" bestFit="1" customWidth="1"/>
    <col min="11" max="22" width="10.875" style="1"/>
    <col min="23" max="23" width="3.625" style="1" customWidth="1"/>
    <col min="24" max="28" width="11" style="1" bestFit="1" customWidth="1"/>
    <col min="29" max="29" width="3.625" style="1" customWidth="1"/>
    <col min="30" max="35" width="11" style="1" bestFit="1" customWidth="1"/>
    <col min="36" max="36" width="10.875" style="1"/>
    <col min="37" max="46" width="11" style="1" bestFit="1" customWidth="1"/>
    <col min="47" max="49" width="10.875" style="1"/>
    <col min="50" max="50" width="11" style="1" bestFit="1" customWidth="1"/>
    <col min="51" max="51" width="14.5" style="1" bestFit="1" customWidth="1"/>
    <col min="52" max="52" width="11.125" style="1" bestFit="1" customWidth="1"/>
    <col min="53" max="54" width="11" style="1" bestFit="1" customWidth="1"/>
    <col min="55" max="16384" width="10.875" style="1"/>
  </cols>
  <sheetData>
    <row r="1" spans="2:55">
      <c r="B1" s="39" t="s">
        <v>125</v>
      </c>
      <c r="G1" s="2"/>
      <c r="M1" s="2"/>
      <c r="S1" s="2"/>
    </row>
    <row r="2" spans="2:55">
      <c r="B2" s="40" t="s">
        <v>124</v>
      </c>
      <c r="M2" s="2"/>
      <c r="N2" s="2"/>
      <c r="X2" s="3" t="s">
        <v>0</v>
      </c>
      <c r="Y2" s="4"/>
      <c r="Z2" s="5" t="s">
        <v>1</v>
      </c>
      <c r="AA2" s="5"/>
      <c r="AB2" s="6" t="s">
        <v>2</v>
      </c>
      <c r="AC2" s="7" t="s">
        <v>3</v>
      </c>
      <c r="AD2" s="8">
        <v>3</v>
      </c>
    </row>
    <row r="3" spans="2:55" s="10" customFormat="1" ht="51">
      <c r="B3" s="9"/>
      <c r="C3" s="9" t="s">
        <v>4</v>
      </c>
      <c r="D3" s="9" t="s">
        <v>5</v>
      </c>
      <c r="F3" s="11" t="s">
        <v>6</v>
      </c>
      <c r="G3" s="11" t="s">
        <v>7</v>
      </c>
      <c r="H3" s="11" t="s">
        <v>8</v>
      </c>
      <c r="I3" s="11" t="s">
        <v>9</v>
      </c>
      <c r="J3" s="11" t="s">
        <v>10</v>
      </c>
      <c r="K3" s="11" t="s">
        <v>11</v>
      </c>
      <c r="L3" s="1"/>
      <c r="M3" s="11" t="str">
        <f t="array" ref="M3:R28">GROWTH_SCALER_FUNC(C4,D4,C5,D5,C6)</f>
        <v>Period</v>
      </c>
      <c r="N3" s="11" t="str">
        <v>Revenues (Firm)</v>
      </c>
      <c r="O3" s="11" t="str">
        <v>Annual Change in Revenues (Firm)</v>
      </c>
      <c r="P3" s="11" t="str">
        <v>Revenues (Sector)</v>
      </c>
      <c r="Q3" s="11" t="str">
        <v>Market Share</v>
      </c>
      <c r="R3" s="11" t="str">
        <v>Flag</v>
      </c>
      <c r="X3" s="16" t="s">
        <v>12</v>
      </c>
      <c r="Y3" s="16" t="s">
        <v>5</v>
      </c>
      <c r="Z3" s="16" t="s">
        <v>12</v>
      </c>
      <c r="AA3" s="16" t="s">
        <v>5</v>
      </c>
      <c r="AB3" s="10" t="s">
        <v>3</v>
      </c>
      <c r="AC3" s="10" t="s">
        <v>3</v>
      </c>
      <c r="AD3" s="17" t="str">
        <f t="array" aca="1" ref="AD3:AI22" ca="1">GROWTH_SCALER_FUNC(OFFSET($X$4,0,0,$AD$2,1),OFFSET($Y$4,0,0,$AD$2,1),OFFSET($Z$4,0,0,$AD$2,1),OFFSET($AA$4,0,0,$AD$2,1),OFFSET($AB$4,0,0,$AD$2,1))</f>
        <v>Period</v>
      </c>
      <c r="AE3" s="18" t="str">
        <f ca="1"/>
        <v>Revenues (Firm)</v>
      </c>
      <c r="AF3" s="18" t="str">
        <f ca="1"/>
        <v>Annual Change in Revenues (Firm)</v>
      </c>
      <c r="AG3" s="18" t="str">
        <f ca="1"/>
        <v>Revenues (Sector)</v>
      </c>
      <c r="AH3" s="18" t="str">
        <f ca="1"/>
        <v>Market Share</v>
      </c>
      <c r="AI3" s="19" t="str">
        <f ca="1"/>
        <v>Flag</v>
      </c>
      <c r="AW3" s="22" t="s">
        <v>13</v>
      </c>
      <c r="AX3" s="23" t="s">
        <v>14</v>
      </c>
      <c r="AY3" s="24" t="s">
        <v>15</v>
      </c>
      <c r="AZ3" s="24" t="s">
        <v>16</v>
      </c>
      <c r="BA3" s="23" t="s">
        <v>17</v>
      </c>
      <c r="BB3" s="23" t="s">
        <v>18</v>
      </c>
      <c r="BC3" s="10" t="s">
        <v>3</v>
      </c>
    </row>
    <row r="4" spans="2:55">
      <c r="B4" s="25" t="s">
        <v>19</v>
      </c>
      <c r="C4" s="26">
        <v>1360</v>
      </c>
      <c r="D4" s="26">
        <v>10000</v>
      </c>
      <c r="F4" s="12">
        <v>1</v>
      </c>
      <c r="G4" s="13">
        <f>IF(F4&gt;$C$6,,C4*(1+$C$5)^F4)</f>
        <v>1632</v>
      </c>
      <c r="H4" s="13">
        <f>G4-C4</f>
        <v>272</v>
      </c>
      <c r="I4" s="14">
        <f>IF(F4&gt;$C$6,,D4*(1+$D$5)^F4)</f>
        <v>10300</v>
      </c>
      <c r="J4" s="15">
        <f t="shared" ref="J4:J28" si="0">IF(F4&gt;$C$6,,G4/I4)</f>
        <v>0.15844660194174756</v>
      </c>
      <c r="K4" s="12" t="str">
        <f t="shared" ref="K4:K28" si="1">IF(J4&gt;100%,"Check"," ")</f>
        <v xml:space="preserve"> </v>
      </c>
      <c r="L4" s="12"/>
      <c r="M4" s="12">
        <v>1</v>
      </c>
      <c r="N4" s="13">
        <v>1632</v>
      </c>
      <c r="O4" s="13">
        <v>272</v>
      </c>
      <c r="P4" s="14">
        <v>10300</v>
      </c>
      <c r="Q4" s="15">
        <v>0.15844660194174756</v>
      </c>
      <c r="R4" s="12" t="str">
        <v/>
      </c>
      <c r="S4" s="27">
        <f t="shared" ref="S4:V28" si="2">N4-G4</f>
        <v>0</v>
      </c>
      <c r="T4" s="27">
        <f t="shared" si="2"/>
        <v>0</v>
      </c>
      <c r="U4" s="27">
        <f t="shared" si="2"/>
        <v>0</v>
      </c>
      <c r="V4" s="27">
        <f t="shared" si="2"/>
        <v>0</v>
      </c>
      <c r="X4" s="28">
        <v>1360</v>
      </c>
      <c r="Y4" s="28">
        <v>10000</v>
      </c>
      <c r="Z4" s="29">
        <v>0.2</v>
      </c>
      <c r="AA4" s="29">
        <v>0.03</v>
      </c>
      <c r="AB4" s="28">
        <v>2</v>
      </c>
      <c r="AD4" s="1">
        <f ca="1"/>
        <v>2</v>
      </c>
      <c r="AE4" s="20">
        <f ca="1"/>
        <v>1958.3999999999999</v>
      </c>
      <c r="AF4" s="20">
        <f ca="1"/>
        <v>326.39999999999986</v>
      </c>
      <c r="AG4" s="20">
        <f ca="1"/>
        <v>10609</v>
      </c>
      <c r="AH4" s="21">
        <f ca="1"/>
        <v>0.18459798284475445</v>
      </c>
      <c r="AI4" s="1" t="str">
        <f ca="1"/>
        <v/>
      </c>
      <c r="AW4" s="30" t="s">
        <v>20</v>
      </c>
      <c r="AX4" s="31">
        <v>26</v>
      </c>
      <c r="AY4" s="32">
        <v>45345</v>
      </c>
      <c r="AZ4" s="32">
        <v>14881</v>
      </c>
      <c r="BA4" s="33">
        <v>0.1036</v>
      </c>
      <c r="BB4" s="33">
        <v>7.7899999999999997E-2</v>
      </c>
    </row>
    <row r="5" spans="2:55">
      <c r="B5" s="25" t="s">
        <v>21</v>
      </c>
      <c r="C5" s="34">
        <v>0.2</v>
      </c>
      <c r="D5" s="34">
        <v>0.03</v>
      </c>
      <c r="F5" s="12">
        <v>2</v>
      </c>
      <c r="G5" s="13">
        <f t="shared" ref="G5:G28" si="3">IF(F5&gt;$C$6,,G4*(1+$C$5))</f>
        <v>1958.3999999999999</v>
      </c>
      <c r="H5" s="13">
        <f t="shared" ref="H5:H28" si="4">G5-G4</f>
        <v>326.39999999999986</v>
      </c>
      <c r="I5" s="14">
        <f t="shared" ref="I5:I28" si="5">IF(F5&gt;$C$6,,I4*(1+$D$5))</f>
        <v>10609</v>
      </c>
      <c r="J5" s="15">
        <f t="shared" si="0"/>
        <v>0.18459798284475445</v>
      </c>
      <c r="K5" s="12" t="str">
        <f t="shared" si="1"/>
        <v xml:space="preserve"> </v>
      </c>
      <c r="L5" s="12"/>
      <c r="M5" s="12">
        <v>2</v>
      </c>
      <c r="N5" s="13">
        <v>1958.3999999999999</v>
      </c>
      <c r="O5" s="13">
        <v>326.39999999999986</v>
      </c>
      <c r="P5" s="14">
        <v>10609</v>
      </c>
      <c r="Q5" s="15">
        <v>0.18459798284475445</v>
      </c>
      <c r="R5" s="12" t="str">
        <v/>
      </c>
      <c r="S5" s="27">
        <f t="shared" si="2"/>
        <v>0</v>
      </c>
      <c r="T5" s="27">
        <f t="shared" si="2"/>
        <v>0</v>
      </c>
      <c r="U5" s="27">
        <f t="shared" si="2"/>
        <v>0</v>
      </c>
      <c r="V5" s="27">
        <f t="shared" si="2"/>
        <v>0</v>
      </c>
      <c r="X5" s="28">
        <v>1360</v>
      </c>
      <c r="Y5" s="28">
        <v>10000</v>
      </c>
      <c r="Z5" s="29">
        <v>0.2</v>
      </c>
      <c r="AA5" s="29">
        <v>0.03</v>
      </c>
      <c r="AB5" s="28">
        <v>3</v>
      </c>
      <c r="AD5" s="1">
        <f ca="1"/>
        <v>3</v>
      </c>
      <c r="AE5" s="20">
        <f ca="1"/>
        <v>2350.08</v>
      </c>
      <c r="AF5" s="20">
        <f ca="1"/>
        <v>391.68000000000006</v>
      </c>
      <c r="AG5" s="20">
        <f ca="1"/>
        <v>10927.27</v>
      </c>
      <c r="AH5" s="21">
        <f ca="1"/>
        <v>0.21506561108126732</v>
      </c>
      <c r="AI5" s="1" t="str">
        <f ca="1"/>
        <v/>
      </c>
      <c r="AW5" s="30" t="s">
        <v>22</v>
      </c>
      <c r="AX5" s="31">
        <v>64</v>
      </c>
      <c r="AY5" s="32">
        <v>294843</v>
      </c>
      <c r="AZ5" s="32">
        <v>64970</v>
      </c>
      <c r="BA5" s="33">
        <v>2.0899999999999998E-2</v>
      </c>
      <c r="BB5" s="33">
        <v>9.4700000000000006E-2</v>
      </c>
    </row>
    <row r="6" spans="2:55">
      <c r="B6" s="25" t="s">
        <v>2</v>
      </c>
      <c r="C6" s="26">
        <v>25</v>
      </c>
      <c r="D6" s="26"/>
      <c r="F6" s="12">
        <v>3</v>
      </c>
      <c r="G6" s="13">
        <f t="shared" si="3"/>
        <v>2350.08</v>
      </c>
      <c r="H6" s="13">
        <f t="shared" si="4"/>
        <v>391.68000000000006</v>
      </c>
      <c r="I6" s="14">
        <f t="shared" si="5"/>
        <v>10927.27</v>
      </c>
      <c r="J6" s="15">
        <f t="shared" si="0"/>
        <v>0.21506561108126732</v>
      </c>
      <c r="K6" s="12" t="str">
        <f t="shared" si="1"/>
        <v xml:space="preserve"> </v>
      </c>
      <c r="L6" s="12"/>
      <c r="M6" s="12">
        <v>3</v>
      </c>
      <c r="N6" s="13">
        <v>2350.08</v>
      </c>
      <c r="O6" s="13">
        <v>391.68000000000006</v>
      </c>
      <c r="P6" s="14">
        <v>10927.27</v>
      </c>
      <c r="Q6" s="15">
        <v>0.21506561108126732</v>
      </c>
      <c r="R6" s="12" t="str">
        <v/>
      </c>
      <c r="S6" s="27">
        <f t="shared" si="2"/>
        <v>0</v>
      </c>
      <c r="T6" s="27">
        <f t="shared" si="2"/>
        <v>0</v>
      </c>
      <c r="U6" s="27">
        <f t="shared" si="2"/>
        <v>0</v>
      </c>
      <c r="V6" s="27">
        <f t="shared" si="2"/>
        <v>0</v>
      </c>
      <c r="X6" s="28">
        <v>1360</v>
      </c>
      <c r="Y6" s="28">
        <v>10000</v>
      </c>
      <c r="Z6" s="29">
        <v>0.2</v>
      </c>
      <c r="AA6" s="29">
        <v>0.03</v>
      </c>
      <c r="AB6" s="28">
        <v>25</v>
      </c>
      <c r="AD6" s="1">
        <f ca="1"/>
        <v>25</v>
      </c>
      <c r="AE6" s="20">
        <f ca="1"/>
        <v>129738.85463593382</v>
      </c>
      <c r="AF6" s="20">
        <f ca="1"/>
        <v>21623.142439322299</v>
      </c>
      <c r="AG6" s="20">
        <f ca="1"/>
        <v>20937.779296542169</v>
      </c>
      <c r="AH6" s="21">
        <f ca="1"/>
        <v>6.1963999523750797</v>
      </c>
      <c r="AI6" s="1" t="str">
        <f ca="1"/>
        <v>Check</v>
      </c>
      <c r="AW6" s="30" t="s">
        <v>23</v>
      </c>
      <c r="AX6" s="31">
        <v>33</v>
      </c>
      <c r="AY6" s="32">
        <v>249521</v>
      </c>
      <c r="AZ6" s="32">
        <v>51386</v>
      </c>
      <c r="BA6" s="33">
        <v>0.121</v>
      </c>
      <c r="BB6" s="33">
        <v>7.0000000000000007E-2</v>
      </c>
    </row>
    <row r="7" spans="2:55">
      <c r="F7" s="12">
        <v>4</v>
      </c>
      <c r="G7" s="13">
        <f t="shared" si="3"/>
        <v>2820.096</v>
      </c>
      <c r="H7" s="13">
        <f t="shared" si="4"/>
        <v>470.01600000000008</v>
      </c>
      <c r="I7" s="14">
        <f t="shared" si="5"/>
        <v>11255.088100000001</v>
      </c>
      <c r="J7" s="15">
        <f t="shared" si="0"/>
        <v>0.25056187698788424</v>
      </c>
      <c r="K7" s="12" t="str">
        <f t="shared" si="1"/>
        <v xml:space="preserve"> </v>
      </c>
      <c r="L7" s="12"/>
      <c r="M7" s="12">
        <v>4</v>
      </c>
      <c r="N7" s="13">
        <v>2820.096</v>
      </c>
      <c r="O7" s="13">
        <v>470.01600000000008</v>
      </c>
      <c r="P7" s="14">
        <v>11255.088100000001</v>
      </c>
      <c r="Q7" s="15">
        <v>0.25056187698788424</v>
      </c>
      <c r="R7" s="12" t="str">
        <v/>
      </c>
      <c r="S7" s="27">
        <f t="shared" si="2"/>
        <v>0</v>
      </c>
      <c r="T7" s="27">
        <f t="shared" si="2"/>
        <v>0</v>
      </c>
      <c r="U7" s="27">
        <f t="shared" si="2"/>
        <v>0</v>
      </c>
      <c r="V7" s="27">
        <f t="shared" si="2"/>
        <v>0</v>
      </c>
      <c r="AD7" s="1" t="e">
        <f ca="1"/>
        <v>#N/A</v>
      </c>
      <c r="AE7" s="20" t="e">
        <f ca="1"/>
        <v>#N/A</v>
      </c>
      <c r="AF7" s="20" t="e">
        <f ca="1"/>
        <v>#N/A</v>
      </c>
      <c r="AG7" s="20" t="e">
        <f ca="1"/>
        <v>#N/A</v>
      </c>
      <c r="AH7" s="21" t="e">
        <f ca="1"/>
        <v>#N/A</v>
      </c>
      <c r="AI7" s="1" t="e">
        <f ca="1"/>
        <v>#N/A</v>
      </c>
      <c r="AW7" s="30" t="s">
        <v>24</v>
      </c>
      <c r="AX7" s="31">
        <v>52</v>
      </c>
      <c r="AY7" s="32">
        <v>50583</v>
      </c>
      <c r="AZ7" s="32">
        <v>8158</v>
      </c>
      <c r="BA7" s="33">
        <v>6.6900000000000001E-2</v>
      </c>
      <c r="BB7" s="33">
        <v>1.5E-3</v>
      </c>
    </row>
    <row r="8" spans="2:55">
      <c r="F8" s="12">
        <v>5</v>
      </c>
      <c r="G8" s="13">
        <f t="shared" si="3"/>
        <v>3384.1151999999997</v>
      </c>
      <c r="H8" s="13">
        <f t="shared" si="4"/>
        <v>564.01919999999973</v>
      </c>
      <c r="I8" s="14">
        <f t="shared" si="5"/>
        <v>11592.740743</v>
      </c>
      <c r="J8" s="15">
        <f t="shared" si="0"/>
        <v>0.29191674988879718</v>
      </c>
      <c r="K8" s="12" t="str">
        <f t="shared" si="1"/>
        <v xml:space="preserve"> </v>
      </c>
      <c r="L8" s="12"/>
      <c r="M8" s="12">
        <v>5</v>
      </c>
      <c r="N8" s="13">
        <v>3384.1151999999997</v>
      </c>
      <c r="O8" s="13">
        <v>564.01919999999973</v>
      </c>
      <c r="P8" s="14">
        <v>11592.740743</v>
      </c>
      <c r="Q8" s="15">
        <v>0.29191674988879718</v>
      </c>
      <c r="R8" s="12" t="str">
        <v/>
      </c>
      <c r="S8" s="27">
        <f t="shared" si="2"/>
        <v>0</v>
      </c>
      <c r="T8" s="27">
        <f t="shared" si="2"/>
        <v>0</v>
      </c>
      <c r="U8" s="27">
        <f t="shared" si="2"/>
        <v>0</v>
      </c>
      <c r="V8" s="27">
        <f t="shared" si="2"/>
        <v>0</v>
      </c>
      <c r="AD8" s="1" t="e">
        <f ca="1"/>
        <v>#N/A</v>
      </c>
      <c r="AE8" s="20" t="e">
        <f ca="1"/>
        <v>#N/A</v>
      </c>
      <c r="AF8" s="20" t="e">
        <f ca="1"/>
        <v>#N/A</v>
      </c>
      <c r="AG8" s="20" t="e">
        <f ca="1"/>
        <v>#N/A</v>
      </c>
      <c r="AH8" s="21" t="e">
        <f ca="1"/>
        <v>#N/A</v>
      </c>
      <c r="AI8" s="1" t="e">
        <f ca="1"/>
        <v>#N/A</v>
      </c>
      <c r="AW8" s="30" t="s">
        <v>25</v>
      </c>
      <c r="AX8" s="31">
        <v>53</v>
      </c>
      <c r="AY8" s="32">
        <v>213549</v>
      </c>
      <c r="AZ8" s="32">
        <v>39085</v>
      </c>
      <c r="BA8" s="33">
        <v>0.24249999999999999</v>
      </c>
      <c r="BB8" s="33">
        <v>6.0000000000000001E-3</v>
      </c>
    </row>
    <row r="9" spans="2:55">
      <c r="F9" s="12">
        <v>6</v>
      </c>
      <c r="G9" s="13">
        <f t="shared" si="3"/>
        <v>4060.9382399999995</v>
      </c>
      <c r="H9" s="13">
        <f t="shared" si="4"/>
        <v>676.82303999999976</v>
      </c>
      <c r="I9" s="14">
        <f t="shared" si="5"/>
        <v>11940.52296529</v>
      </c>
      <c r="J9" s="15">
        <f t="shared" si="0"/>
        <v>0.34009718433646274</v>
      </c>
      <c r="K9" s="12" t="str">
        <f t="shared" si="1"/>
        <v xml:space="preserve"> </v>
      </c>
      <c r="L9" s="12"/>
      <c r="M9" s="12">
        <v>6</v>
      </c>
      <c r="N9" s="13">
        <v>4060.9382399999995</v>
      </c>
      <c r="O9" s="13">
        <v>676.82303999999976</v>
      </c>
      <c r="P9" s="14">
        <v>11940.52296529</v>
      </c>
      <c r="Q9" s="15">
        <v>0.34009718433646274</v>
      </c>
      <c r="R9" s="12" t="str">
        <v/>
      </c>
      <c r="S9" s="27">
        <f t="shared" si="2"/>
        <v>0</v>
      </c>
      <c r="T9" s="27">
        <f t="shared" si="2"/>
        <v>0</v>
      </c>
      <c r="U9" s="27">
        <f t="shared" si="2"/>
        <v>0</v>
      </c>
      <c r="V9" s="27">
        <f t="shared" si="2"/>
        <v>0</v>
      </c>
      <c r="AD9" s="1" t="e">
        <f ca="1"/>
        <v>#N/A</v>
      </c>
      <c r="AE9" s="20" t="e">
        <f ca="1"/>
        <v>#N/A</v>
      </c>
      <c r="AF9" s="20" t="e">
        <f ca="1"/>
        <v>#N/A</v>
      </c>
      <c r="AG9" s="20" t="e">
        <f ca="1"/>
        <v>#N/A</v>
      </c>
      <c r="AH9" s="21" t="e">
        <f ca="1"/>
        <v>#N/A</v>
      </c>
      <c r="AI9" s="1" t="e">
        <f ca="1"/>
        <v>#N/A</v>
      </c>
      <c r="AW9" s="30" t="s">
        <v>26</v>
      </c>
      <c r="AX9" s="31">
        <v>13</v>
      </c>
      <c r="AY9" s="32">
        <v>865265</v>
      </c>
      <c r="AZ9" s="32">
        <v>216026</v>
      </c>
      <c r="BA9" s="33">
        <v>2.35E-2</v>
      </c>
      <c r="BB9" s="33">
        <v>-3.0599999999999999E-2</v>
      </c>
    </row>
    <row r="10" spans="2:55">
      <c r="F10" s="12">
        <v>7</v>
      </c>
      <c r="G10" s="13">
        <f t="shared" si="3"/>
        <v>4873.1258879999996</v>
      </c>
      <c r="H10" s="13">
        <f t="shared" si="4"/>
        <v>812.18764800000008</v>
      </c>
      <c r="I10" s="14">
        <f t="shared" si="5"/>
        <v>12298.7386542487</v>
      </c>
      <c r="J10" s="15">
        <f t="shared" si="0"/>
        <v>0.39622972932403422</v>
      </c>
      <c r="K10" s="12" t="str">
        <f t="shared" si="1"/>
        <v xml:space="preserve"> </v>
      </c>
      <c r="L10" s="12"/>
      <c r="M10" s="12">
        <v>7</v>
      </c>
      <c r="N10" s="13">
        <v>4873.1258879999996</v>
      </c>
      <c r="O10" s="13">
        <v>812.18764800000008</v>
      </c>
      <c r="P10" s="14">
        <v>12298.7386542487</v>
      </c>
      <c r="Q10" s="15">
        <v>0.39622972932403422</v>
      </c>
      <c r="R10" s="12" t="str">
        <v/>
      </c>
      <c r="S10" s="27">
        <f t="shared" si="2"/>
        <v>0</v>
      </c>
      <c r="T10" s="27">
        <f t="shared" si="2"/>
        <v>0</v>
      </c>
      <c r="U10" s="27">
        <f t="shared" si="2"/>
        <v>0</v>
      </c>
      <c r="V10" s="27">
        <f t="shared" si="2"/>
        <v>0</v>
      </c>
      <c r="AD10" s="1" t="e">
        <f ca="1"/>
        <v>#N/A</v>
      </c>
      <c r="AE10" s="20" t="e">
        <f ca="1"/>
        <v>#N/A</v>
      </c>
      <c r="AF10" s="20" t="e">
        <f ca="1"/>
        <v>#N/A</v>
      </c>
      <c r="AG10" s="20" t="e">
        <f ca="1"/>
        <v>#N/A</v>
      </c>
      <c r="AH10" s="21" t="e">
        <f ca="1"/>
        <v>#N/A</v>
      </c>
      <c r="AI10" s="1" t="e">
        <f ca="1"/>
        <v>#N/A</v>
      </c>
      <c r="AW10" s="30" t="s">
        <v>27</v>
      </c>
      <c r="AX10" s="31">
        <v>434</v>
      </c>
      <c r="AY10" s="32" t="s">
        <v>28</v>
      </c>
      <c r="AZ10" s="32" t="s">
        <v>28</v>
      </c>
      <c r="BA10" s="32" t="s">
        <v>28</v>
      </c>
      <c r="BB10" s="32" t="s">
        <v>28</v>
      </c>
    </row>
    <row r="11" spans="2:55">
      <c r="F11" s="12">
        <v>8</v>
      </c>
      <c r="G11" s="13">
        <f t="shared" si="3"/>
        <v>5847.7510655999995</v>
      </c>
      <c r="H11" s="13">
        <f t="shared" si="4"/>
        <v>974.62517759999992</v>
      </c>
      <c r="I11" s="14">
        <f t="shared" si="5"/>
        <v>12667.700813876161</v>
      </c>
      <c r="J11" s="15">
        <f t="shared" si="0"/>
        <v>0.4616268691153797</v>
      </c>
      <c r="K11" s="12" t="str">
        <f t="shared" si="1"/>
        <v xml:space="preserve"> </v>
      </c>
      <c r="L11" s="12"/>
      <c r="M11" s="12">
        <v>8</v>
      </c>
      <c r="N11" s="13">
        <v>5847.7510655999995</v>
      </c>
      <c r="O11" s="13">
        <v>974.62517759999992</v>
      </c>
      <c r="P11" s="14">
        <v>12667.700813876161</v>
      </c>
      <c r="Q11" s="15">
        <v>0.4616268691153797</v>
      </c>
      <c r="R11" s="12" t="str">
        <v/>
      </c>
      <c r="S11" s="27">
        <f t="shared" si="2"/>
        <v>0</v>
      </c>
      <c r="T11" s="27">
        <f t="shared" si="2"/>
        <v>0</v>
      </c>
      <c r="U11" s="27">
        <f t="shared" si="2"/>
        <v>0</v>
      </c>
      <c r="V11" s="27">
        <f t="shared" si="2"/>
        <v>0</v>
      </c>
      <c r="AD11" s="1" t="e">
        <f ca="1"/>
        <v>#N/A</v>
      </c>
      <c r="AE11" s="20" t="e">
        <f ca="1"/>
        <v>#N/A</v>
      </c>
      <c r="AF11" s="20" t="e">
        <f ca="1"/>
        <v>#N/A</v>
      </c>
      <c r="AG11" s="20" t="e">
        <f ca="1"/>
        <v>#N/A</v>
      </c>
      <c r="AH11" s="21" t="e">
        <f ca="1"/>
        <v>#N/A</v>
      </c>
      <c r="AI11" s="1" t="e">
        <f ca="1"/>
        <v>#N/A</v>
      </c>
      <c r="AW11" s="30" t="s">
        <v>29</v>
      </c>
      <c r="AX11" s="31">
        <v>40</v>
      </c>
      <c r="AY11" s="32" t="s">
        <v>28</v>
      </c>
      <c r="AZ11" s="32" t="s">
        <v>28</v>
      </c>
      <c r="BA11" s="32" t="s">
        <v>28</v>
      </c>
      <c r="BB11" s="32" t="s">
        <v>28</v>
      </c>
    </row>
    <row r="12" spans="2:55">
      <c r="F12" s="12">
        <v>9</v>
      </c>
      <c r="G12" s="13">
        <f t="shared" si="3"/>
        <v>7017.3012787199996</v>
      </c>
      <c r="H12" s="13">
        <f t="shared" si="4"/>
        <v>1169.5502131200001</v>
      </c>
      <c r="I12" s="14">
        <f t="shared" si="5"/>
        <v>13047.731838292446</v>
      </c>
      <c r="J12" s="15">
        <f t="shared" si="0"/>
        <v>0.53781771159073366</v>
      </c>
      <c r="K12" s="12" t="str">
        <f t="shared" si="1"/>
        <v xml:space="preserve"> </v>
      </c>
      <c r="L12" s="12"/>
      <c r="M12" s="12">
        <v>9</v>
      </c>
      <c r="N12" s="13">
        <v>7017.3012787199996</v>
      </c>
      <c r="O12" s="13">
        <v>1169.5502131200001</v>
      </c>
      <c r="P12" s="14">
        <v>13047.731838292446</v>
      </c>
      <c r="Q12" s="15">
        <v>0.53781771159073366</v>
      </c>
      <c r="R12" s="12" t="str">
        <v/>
      </c>
      <c r="S12" s="27">
        <f t="shared" si="2"/>
        <v>0</v>
      </c>
      <c r="T12" s="27">
        <f t="shared" si="2"/>
        <v>0</v>
      </c>
      <c r="U12" s="27">
        <f t="shared" si="2"/>
        <v>0</v>
      </c>
      <c r="V12" s="27">
        <f t="shared" si="2"/>
        <v>0</v>
      </c>
      <c r="AD12" s="1" t="e">
        <f ca="1"/>
        <v>#N/A</v>
      </c>
      <c r="AE12" s="20" t="e">
        <f ca="1"/>
        <v>#N/A</v>
      </c>
      <c r="AF12" s="20" t="e">
        <f ca="1"/>
        <v>#N/A</v>
      </c>
      <c r="AG12" s="20" t="e">
        <f ca="1"/>
        <v>#N/A</v>
      </c>
      <c r="AH12" s="21" t="e">
        <f ca="1"/>
        <v>#N/A</v>
      </c>
      <c r="AI12" s="1" t="e">
        <f ca="1"/>
        <v>#N/A</v>
      </c>
      <c r="AW12" s="30" t="s">
        <v>30</v>
      </c>
      <c r="AX12" s="31">
        <v>32</v>
      </c>
      <c r="AY12" s="32">
        <v>186086</v>
      </c>
      <c r="AZ12" s="32">
        <v>64501</v>
      </c>
      <c r="BA12" s="33">
        <v>2.7300000000000001E-2</v>
      </c>
      <c r="BB12" s="33">
        <v>8.5900000000000004E-2</v>
      </c>
    </row>
    <row r="13" spans="2:55">
      <c r="F13" s="12">
        <v>10</v>
      </c>
      <c r="G13" s="13">
        <f t="shared" si="3"/>
        <v>8420.7615344639999</v>
      </c>
      <c r="H13" s="13">
        <f t="shared" si="4"/>
        <v>1403.4602557440003</v>
      </c>
      <c r="I13" s="14">
        <f t="shared" si="5"/>
        <v>13439.163793441219</v>
      </c>
      <c r="J13" s="15">
        <f t="shared" si="0"/>
        <v>0.62658374165910724</v>
      </c>
      <c r="K13" s="12" t="str">
        <f t="shared" si="1"/>
        <v xml:space="preserve"> </v>
      </c>
      <c r="L13" s="12"/>
      <c r="M13" s="12">
        <v>10</v>
      </c>
      <c r="N13" s="13">
        <v>8420.7615344639999</v>
      </c>
      <c r="O13" s="13">
        <v>1403.4602557440003</v>
      </c>
      <c r="P13" s="14">
        <v>13439.163793441219</v>
      </c>
      <c r="Q13" s="15">
        <v>0.62658374165910724</v>
      </c>
      <c r="R13" s="12" t="str">
        <v/>
      </c>
      <c r="S13" s="27">
        <f t="shared" si="2"/>
        <v>0</v>
      </c>
      <c r="T13" s="27">
        <f t="shared" si="2"/>
        <v>0</v>
      </c>
      <c r="U13" s="27">
        <f t="shared" si="2"/>
        <v>0</v>
      </c>
      <c r="V13" s="27">
        <f t="shared" si="2"/>
        <v>0</v>
      </c>
      <c r="AD13" s="1" t="e">
        <f ca="1"/>
        <v>#N/A</v>
      </c>
      <c r="AE13" s="20" t="e">
        <f ca="1"/>
        <v>#N/A</v>
      </c>
      <c r="AF13" s="20" t="e">
        <f ca="1"/>
        <v>#N/A</v>
      </c>
      <c r="AG13" s="20" t="e">
        <f ca="1"/>
        <v>#N/A</v>
      </c>
      <c r="AH13" s="21" t="e">
        <f ca="1"/>
        <v>#N/A</v>
      </c>
      <c r="AI13" s="1" t="e">
        <f ca="1"/>
        <v>#N/A</v>
      </c>
      <c r="AW13" s="30" t="s">
        <v>31</v>
      </c>
      <c r="AX13" s="31">
        <v>146</v>
      </c>
      <c r="AY13" s="32">
        <v>24715</v>
      </c>
      <c r="AZ13" s="32">
        <v>15322</v>
      </c>
      <c r="BA13" s="33">
        <v>0.25569999999999998</v>
      </c>
      <c r="BB13" s="33">
        <v>3.1099999999999999E-2</v>
      </c>
    </row>
    <row r="14" spans="2:55">
      <c r="F14" s="12">
        <v>11</v>
      </c>
      <c r="G14" s="13">
        <f t="shared" si="3"/>
        <v>10104.9138413568</v>
      </c>
      <c r="H14" s="13">
        <f t="shared" si="4"/>
        <v>1684.1523068928</v>
      </c>
      <c r="I14" s="14">
        <f t="shared" si="5"/>
        <v>13842.338707244457</v>
      </c>
      <c r="J14" s="15">
        <f t="shared" si="0"/>
        <v>0.73000047571934812</v>
      </c>
      <c r="K14" s="12" t="str">
        <f t="shared" si="1"/>
        <v xml:space="preserve"> </v>
      </c>
      <c r="L14" s="12"/>
      <c r="M14" s="12">
        <v>11</v>
      </c>
      <c r="N14" s="13">
        <v>10104.9138413568</v>
      </c>
      <c r="O14" s="13">
        <v>1684.1523068928</v>
      </c>
      <c r="P14" s="14">
        <v>13842.338707244457</v>
      </c>
      <c r="Q14" s="15">
        <v>0.73000047571934812</v>
      </c>
      <c r="R14" s="12" t="str">
        <v/>
      </c>
      <c r="S14" s="27">
        <f t="shared" si="2"/>
        <v>0</v>
      </c>
      <c r="T14" s="27">
        <f t="shared" si="2"/>
        <v>0</v>
      </c>
      <c r="U14" s="27">
        <f t="shared" si="2"/>
        <v>0</v>
      </c>
      <c r="V14" s="27">
        <f t="shared" si="2"/>
        <v>0</v>
      </c>
      <c r="AD14" s="1" t="e">
        <f ca="1"/>
        <v>#N/A</v>
      </c>
      <c r="AE14" s="20" t="e">
        <f ca="1"/>
        <v>#N/A</v>
      </c>
      <c r="AF14" s="20" t="e">
        <f ca="1"/>
        <v>#N/A</v>
      </c>
      <c r="AG14" s="20" t="e">
        <f ca="1"/>
        <v>#N/A</v>
      </c>
      <c r="AH14" s="21" t="e">
        <f ca="1"/>
        <v>#N/A</v>
      </c>
      <c r="AI14" s="1" t="e">
        <f ca="1"/>
        <v>#N/A</v>
      </c>
      <c r="AW14" s="30" t="s">
        <v>32</v>
      </c>
      <c r="AX14" s="31">
        <v>41</v>
      </c>
      <c r="AY14" s="32">
        <v>51379</v>
      </c>
      <c r="AZ14" s="32">
        <v>14732</v>
      </c>
      <c r="BA14" s="33">
        <v>-8.0000000000000004E-4</v>
      </c>
      <c r="BB14" s="33">
        <v>-4.7999999999999996E-3</v>
      </c>
    </row>
    <row r="15" spans="2:55">
      <c r="F15" s="12">
        <v>12</v>
      </c>
      <c r="G15" s="13">
        <f t="shared" si="3"/>
        <v>12125.89660962816</v>
      </c>
      <c r="H15" s="13">
        <f t="shared" si="4"/>
        <v>2020.9827682713603</v>
      </c>
      <c r="I15" s="14">
        <f t="shared" si="5"/>
        <v>14257.60886846179</v>
      </c>
      <c r="J15" s="15">
        <f t="shared" si="0"/>
        <v>0.85048599112933765</v>
      </c>
      <c r="K15" s="12" t="str">
        <f t="shared" si="1"/>
        <v xml:space="preserve"> </v>
      </c>
      <c r="L15" s="12"/>
      <c r="M15" s="12">
        <v>12</v>
      </c>
      <c r="N15" s="13">
        <v>12125.89660962816</v>
      </c>
      <c r="O15" s="13">
        <v>2020.9827682713603</v>
      </c>
      <c r="P15" s="14">
        <v>14257.60886846179</v>
      </c>
      <c r="Q15" s="15">
        <v>0.85048599112933765</v>
      </c>
      <c r="R15" s="12" t="str">
        <v/>
      </c>
      <c r="S15" s="27">
        <f t="shared" si="2"/>
        <v>0</v>
      </c>
      <c r="T15" s="27">
        <f t="shared" si="2"/>
        <v>0</v>
      </c>
      <c r="U15" s="27">
        <f t="shared" si="2"/>
        <v>0</v>
      </c>
      <c r="V15" s="27">
        <f t="shared" si="2"/>
        <v>0</v>
      </c>
      <c r="AD15" s="1" t="e">
        <f ca="1"/>
        <v>#N/A</v>
      </c>
      <c r="AE15" s="20" t="e">
        <f ca="1"/>
        <v>#N/A</v>
      </c>
      <c r="AF15" s="20" t="e">
        <f ca="1"/>
        <v>#N/A</v>
      </c>
      <c r="AG15" s="20" t="e">
        <f ca="1"/>
        <v>#N/A</v>
      </c>
      <c r="AH15" s="21" t="e">
        <f ca="1"/>
        <v>#N/A</v>
      </c>
      <c r="AI15" s="1" t="e">
        <f ca="1"/>
        <v>#N/A</v>
      </c>
      <c r="AW15" s="30" t="s">
        <v>33</v>
      </c>
      <c r="AX15" s="31">
        <v>21</v>
      </c>
      <c r="AY15" s="32">
        <v>193550</v>
      </c>
      <c r="AZ15" s="32">
        <v>45671</v>
      </c>
      <c r="BA15" s="33">
        <v>2.06E-2</v>
      </c>
      <c r="BB15" s="33">
        <v>0.15939999999999999</v>
      </c>
    </row>
    <row r="16" spans="2:55">
      <c r="F16" s="12">
        <v>13</v>
      </c>
      <c r="G16" s="13">
        <f t="shared" si="3"/>
        <v>14551.075931553793</v>
      </c>
      <c r="H16" s="13">
        <f t="shared" si="4"/>
        <v>2425.1793219256324</v>
      </c>
      <c r="I16" s="14">
        <f t="shared" si="5"/>
        <v>14685.337134515645</v>
      </c>
      <c r="J16" s="15">
        <f t="shared" si="0"/>
        <v>0.99085746539340303</v>
      </c>
      <c r="K16" s="12" t="str">
        <f t="shared" si="1"/>
        <v xml:space="preserve"> </v>
      </c>
      <c r="L16" s="12"/>
      <c r="M16" s="12">
        <v>13</v>
      </c>
      <c r="N16" s="13">
        <v>14551.075931553793</v>
      </c>
      <c r="O16" s="13">
        <v>2425.1793219256324</v>
      </c>
      <c r="P16" s="14">
        <v>14685.337134515645</v>
      </c>
      <c r="Q16" s="15">
        <v>0.99085746539340303</v>
      </c>
      <c r="R16" s="12" t="str">
        <v/>
      </c>
      <c r="S16" s="27">
        <f t="shared" si="2"/>
        <v>0</v>
      </c>
      <c r="T16" s="27">
        <f t="shared" si="2"/>
        <v>0</v>
      </c>
      <c r="U16" s="27">
        <f t="shared" si="2"/>
        <v>0</v>
      </c>
      <c r="V16" s="27">
        <f t="shared" si="2"/>
        <v>0</v>
      </c>
      <c r="AD16" s="1" t="e">
        <f ca="1"/>
        <v>#N/A</v>
      </c>
      <c r="AE16" s="20" t="e">
        <f ca="1"/>
        <v>#N/A</v>
      </c>
      <c r="AF16" s="20" t="e">
        <f ca="1"/>
        <v>#N/A</v>
      </c>
      <c r="AG16" s="20" t="e">
        <f ca="1"/>
        <v>#N/A</v>
      </c>
      <c r="AH16" s="21" t="e">
        <f ca="1"/>
        <v>#N/A</v>
      </c>
      <c r="AI16" s="1" t="e">
        <f ca="1"/>
        <v>#N/A</v>
      </c>
      <c r="AW16" s="30" t="s">
        <v>34</v>
      </c>
      <c r="AX16" s="31">
        <v>16</v>
      </c>
      <c r="AY16" s="32">
        <v>139924</v>
      </c>
      <c r="AZ16" s="32">
        <v>57418</v>
      </c>
      <c r="BA16" s="33">
        <v>0.33400000000000002</v>
      </c>
      <c r="BB16" s="33">
        <v>4.1200000000000001E-2</v>
      </c>
    </row>
    <row r="17" spans="6:54">
      <c r="F17" s="12">
        <v>14</v>
      </c>
      <c r="G17" s="13">
        <f t="shared" si="3"/>
        <v>17461.291117864552</v>
      </c>
      <c r="H17" s="13">
        <f t="shared" si="4"/>
        <v>2910.2151863107592</v>
      </c>
      <c r="I17" s="14">
        <f t="shared" si="5"/>
        <v>15125.897248551115</v>
      </c>
      <c r="J17" s="15">
        <f t="shared" si="0"/>
        <v>1.1543970470602753</v>
      </c>
      <c r="K17" s="12" t="str">
        <f t="shared" si="1"/>
        <v>Check</v>
      </c>
      <c r="L17" s="12"/>
      <c r="M17" s="12">
        <v>14</v>
      </c>
      <c r="N17" s="13">
        <v>17461.291117864552</v>
      </c>
      <c r="O17" s="13">
        <v>2910.2151863107592</v>
      </c>
      <c r="P17" s="14">
        <v>15125.897248551115</v>
      </c>
      <c r="Q17" s="15">
        <v>1.1543970470602753</v>
      </c>
      <c r="R17" s="12" t="str">
        <v>Check</v>
      </c>
      <c r="S17" s="27">
        <f t="shared" si="2"/>
        <v>0</v>
      </c>
      <c r="T17" s="27">
        <f t="shared" si="2"/>
        <v>0</v>
      </c>
      <c r="U17" s="27">
        <f t="shared" si="2"/>
        <v>0</v>
      </c>
      <c r="V17" s="27">
        <f t="shared" si="2"/>
        <v>0</v>
      </c>
      <c r="AD17" s="1" t="e">
        <f ca="1"/>
        <v>#N/A</v>
      </c>
      <c r="AE17" s="20" t="e">
        <f ca="1"/>
        <v>#N/A</v>
      </c>
      <c r="AF17" s="20" t="e">
        <f ca="1"/>
        <v>#N/A</v>
      </c>
      <c r="AG17" s="20" t="e">
        <f ca="1"/>
        <v>#N/A</v>
      </c>
      <c r="AH17" s="21" t="e">
        <f ca="1"/>
        <v>#N/A</v>
      </c>
      <c r="AI17" s="1" t="e">
        <f ca="1"/>
        <v>#N/A</v>
      </c>
      <c r="AW17" s="30" t="s">
        <v>35</v>
      </c>
      <c r="AX17" s="31">
        <v>30</v>
      </c>
      <c r="AY17" s="32">
        <v>113956</v>
      </c>
      <c r="AZ17" s="32">
        <v>30835</v>
      </c>
      <c r="BA17" s="33">
        <v>8.6099999999999996E-2</v>
      </c>
      <c r="BB17" s="33">
        <v>1.0800000000000001E-2</v>
      </c>
    </row>
    <row r="18" spans="6:54">
      <c r="F18" s="12">
        <v>15</v>
      </c>
      <c r="G18" s="13">
        <f t="shared" si="3"/>
        <v>20953.549341437461</v>
      </c>
      <c r="H18" s="13">
        <f t="shared" si="4"/>
        <v>3492.2582235729096</v>
      </c>
      <c r="I18" s="14">
        <f t="shared" si="5"/>
        <v>15579.67416600765</v>
      </c>
      <c r="J18" s="15">
        <f t="shared" si="0"/>
        <v>1.3449285985168256</v>
      </c>
      <c r="K18" s="12" t="str">
        <f t="shared" si="1"/>
        <v>Check</v>
      </c>
      <c r="L18" s="12"/>
      <c r="M18" s="12">
        <v>15</v>
      </c>
      <c r="N18" s="13">
        <v>20953.549341437461</v>
      </c>
      <c r="O18" s="13">
        <v>3492.2582235729096</v>
      </c>
      <c r="P18" s="14">
        <v>15579.67416600765</v>
      </c>
      <c r="Q18" s="15">
        <v>1.3449285985168256</v>
      </c>
      <c r="R18" s="12" t="str">
        <v>Check</v>
      </c>
      <c r="S18" s="27">
        <f t="shared" si="2"/>
        <v>0</v>
      </c>
      <c r="T18" s="27">
        <f t="shared" si="2"/>
        <v>0</v>
      </c>
      <c r="U18" s="27">
        <f t="shared" si="2"/>
        <v>0</v>
      </c>
      <c r="V18" s="27">
        <f t="shared" si="2"/>
        <v>0</v>
      </c>
      <c r="AD18" s="1" t="e">
        <f ca="1"/>
        <v>#N/A</v>
      </c>
      <c r="AE18" s="20" t="e">
        <f ca="1"/>
        <v>#N/A</v>
      </c>
      <c r="AF18" s="20" t="e">
        <f ca="1"/>
        <v>#N/A</v>
      </c>
      <c r="AG18" s="20" t="e">
        <f ca="1"/>
        <v>#N/A</v>
      </c>
      <c r="AH18" s="21" t="e">
        <f ca="1"/>
        <v>#N/A</v>
      </c>
      <c r="AI18" s="1" t="e">
        <f ca="1"/>
        <v>#N/A</v>
      </c>
      <c r="AW18" s="30" t="s">
        <v>36</v>
      </c>
      <c r="AX18" s="31">
        <v>78</v>
      </c>
      <c r="AY18" s="32">
        <v>90861</v>
      </c>
      <c r="AZ18" s="32">
        <v>10721</v>
      </c>
      <c r="BA18" s="33">
        <v>0.2276</v>
      </c>
      <c r="BB18" s="33">
        <v>4.4499999999999998E-2</v>
      </c>
    </row>
    <row r="19" spans="6:54">
      <c r="F19" s="12">
        <v>16</v>
      </c>
      <c r="G19" s="13">
        <f t="shared" si="3"/>
        <v>25144.259209724954</v>
      </c>
      <c r="H19" s="13">
        <f t="shared" si="4"/>
        <v>4190.709868287493</v>
      </c>
      <c r="I19" s="14">
        <f t="shared" si="5"/>
        <v>16047.06439098788</v>
      </c>
      <c r="J19" s="15">
        <f t="shared" si="0"/>
        <v>1.5669071050681462</v>
      </c>
      <c r="K19" s="12" t="str">
        <f t="shared" si="1"/>
        <v>Check</v>
      </c>
      <c r="L19" s="12"/>
      <c r="M19" s="12">
        <v>16</v>
      </c>
      <c r="N19" s="13">
        <v>25144.259209724954</v>
      </c>
      <c r="O19" s="13">
        <v>4190.709868287493</v>
      </c>
      <c r="P19" s="14">
        <v>16047.06439098788</v>
      </c>
      <c r="Q19" s="15">
        <v>1.5669071050681462</v>
      </c>
      <c r="R19" s="12" t="str">
        <v>Check</v>
      </c>
      <c r="S19" s="27">
        <f t="shared" si="2"/>
        <v>0</v>
      </c>
      <c r="T19" s="27">
        <f t="shared" si="2"/>
        <v>0</v>
      </c>
      <c r="U19" s="27">
        <f t="shared" si="2"/>
        <v>0</v>
      </c>
      <c r="V19" s="27">
        <f t="shared" si="2"/>
        <v>0</v>
      </c>
      <c r="AD19" s="1" t="e">
        <f ca="1"/>
        <v>#N/A</v>
      </c>
      <c r="AE19" s="20" t="e">
        <f ca="1"/>
        <v>#N/A</v>
      </c>
      <c r="AF19" s="20" t="e">
        <f ca="1"/>
        <v>#N/A</v>
      </c>
      <c r="AG19" s="20" t="e">
        <f ca="1"/>
        <v>#N/A</v>
      </c>
      <c r="AH19" s="21" t="e">
        <f ca="1"/>
        <v>#N/A</v>
      </c>
      <c r="AI19" s="1" t="e">
        <f ca="1"/>
        <v>#N/A</v>
      </c>
      <c r="AW19" s="30" t="s">
        <v>37</v>
      </c>
      <c r="AX19" s="31">
        <v>20</v>
      </c>
      <c r="AY19" s="32">
        <v>38511</v>
      </c>
      <c r="AZ19" s="32">
        <v>7436</v>
      </c>
      <c r="BA19" s="33">
        <v>0.1699</v>
      </c>
      <c r="BB19" s="33">
        <v>0.1565</v>
      </c>
    </row>
    <row r="20" spans="6:54">
      <c r="F20" s="12">
        <v>17</v>
      </c>
      <c r="G20" s="13">
        <f t="shared" si="3"/>
        <v>30173.111051669945</v>
      </c>
      <c r="H20" s="13">
        <f t="shared" si="4"/>
        <v>5028.8518419449902</v>
      </c>
      <c r="I20" s="14">
        <f t="shared" si="5"/>
        <v>16528.476322717517</v>
      </c>
      <c r="J20" s="15">
        <f t="shared" si="0"/>
        <v>1.8255228408560926</v>
      </c>
      <c r="K20" s="12" t="str">
        <f t="shared" si="1"/>
        <v>Check</v>
      </c>
      <c r="L20" s="12"/>
      <c r="M20" s="12">
        <v>17</v>
      </c>
      <c r="N20" s="13">
        <v>30173.111051669945</v>
      </c>
      <c r="O20" s="13">
        <v>5028.8518419449902</v>
      </c>
      <c r="P20" s="14">
        <v>16528.476322717517</v>
      </c>
      <c r="Q20" s="15">
        <v>1.8255228408560926</v>
      </c>
      <c r="R20" s="12" t="str">
        <v>Check</v>
      </c>
      <c r="S20" s="27">
        <f t="shared" si="2"/>
        <v>0</v>
      </c>
      <c r="T20" s="27">
        <f t="shared" si="2"/>
        <v>0</v>
      </c>
      <c r="U20" s="27">
        <f t="shared" si="2"/>
        <v>0</v>
      </c>
      <c r="V20" s="27">
        <f t="shared" si="2"/>
        <v>0</v>
      </c>
      <c r="AD20" s="1" t="e">
        <f ca="1"/>
        <v>#N/A</v>
      </c>
      <c r="AE20" s="20" t="e">
        <f ca="1"/>
        <v>#N/A</v>
      </c>
      <c r="AF20" s="20" t="e">
        <f ca="1"/>
        <v>#N/A</v>
      </c>
      <c r="AG20" s="20" t="e">
        <f ca="1"/>
        <v>#N/A</v>
      </c>
      <c r="AH20" s="21" t="e">
        <f ca="1"/>
        <v>#N/A</v>
      </c>
      <c r="AI20" s="1" t="e">
        <f ca="1"/>
        <v>#N/A</v>
      </c>
      <c r="AW20" s="30" t="s">
        <v>38</v>
      </c>
      <c r="AX20" s="31">
        <v>175</v>
      </c>
      <c r="AY20" s="32">
        <v>189310</v>
      </c>
      <c r="AZ20" s="32">
        <v>71120</v>
      </c>
      <c r="BA20" s="33">
        <v>0.16309999999999999</v>
      </c>
      <c r="BB20" s="33">
        <v>6.5600000000000006E-2</v>
      </c>
    </row>
    <row r="21" spans="6:54">
      <c r="F21" s="12">
        <v>18</v>
      </c>
      <c r="G21" s="13">
        <f t="shared" si="3"/>
        <v>36207.733262003931</v>
      </c>
      <c r="H21" s="13">
        <f t="shared" si="4"/>
        <v>6034.622210333986</v>
      </c>
      <c r="I21" s="14">
        <f t="shared" si="5"/>
        <v>17024.330612399044</v>
      </c>
      <c r="J21" s="15">
        <f t="shared" si="0"/>
        <v>2.1268227272109814</v>
      </c>
      <c r="K21" s="12" t="str">
        <f t="shared" si="1"/>
        <v>Check</v>
      </c>
      <c r="L21" s="12"/>
      <c r="M21" s="12">
        <v>18</v>
      </c>
      <c r="N21" s="13">
        <v>36207.733262003931</v>
      </c>
      <c r="O21" s="13">
        <v>6034.622210333986</v>
      </c>
      <c r="P21" s="14">
        <v>17024.330612399044</v>
      </c>
      <c r="Q21" s="15">
        <v>2.1268227272109814</v>
      </c>
      <c r="R21" s="12" t="str">
        <v>Check</v>
      </c>
      <c r="S21" s="27">
        <f t="shared" si="2"/>
        <v>0</v>
      </c>
      <c r="T21" s="27">
        <f t="shared" si="2"/>
        <v>0</v>
      </c>
      <c r="U21" s="27">
        <f t="shared" si="2"/>
        <v>0</v>
      </c>
      <c r="V21" s="27">
        <f t="shared" si="2"/>
        <v>0</v>
      </c>
      <c r="AD21" s="1" t="e">
        <f ca="1"/>
        <v>#N/A</v>
      </c>
      <c r="AE21" s="20" t="e">
        <f ca="1"/>
        <v>#N/A</v>
      </c>
      <c r="AF21" s="20" t="e">
        <f ca="1"/>
        <v>#N/A</v>
      </c>
      <c r="AG21" s="20" t="e">
        <f ca="1"/>
        <v>#N/A</v>
      </c>
      <c r="AH21" s="21" t="e">
        <f ca="1"/>
        <v>#N/A</v>
      </c>
      <c r="AI21" s="1" t="e">
        <f ca="1"/>
        <v>#N/A</v>
      </c>
      <c r="AW21" s="30" t="s">
        <v>39</v>
      </c>
      <c r="AX21" s="31">
        <v>90</v>
      </c>
      <c r="AY21" s="32">
        <v>564617</v>
      </c>
      <c r="AZ21" s="32">
        <v>128401</v>
      </c>
      <c r="BA21" s="33">
        <v>0.108</v>
      </c>
      <c r="BB21" s="33">
        <v>4.2799999999999998E-2</v>
      </c>
    </row>
    <row r="22" spans="6:54">
      <c r="F22" s="12">
        <v>19</v>
      </c>
      <c r="G22" s="13">
        <f t="shared" si="3"/>
        <v>43449.279914404717</v>
      </c>
      <c r="H22" s="13">
        <f t="shared" si="4"/>
        <v>7241.5466524007861</v>
      </c>
      <c r="I22" s="14">
        <f t="shared" si="5"/>
        <v>17535.060530771018</v>
      </c>
      <c r="J22" s="15">
        <f t="shared" si="0"/>
        <v>2.4778517210225024</v>
      </c>
      <c r="K22" s="12" t="str">
        <f t="shared" si="1"/>
        <v>Check</v>
      </c>
      <c r="L22" s="12"/>
      <c r="M22" s="12">
        <v>19</v>
      </c>
      <c r="N22" s="13">
        <v>43449.279914404717</v>
      </c>
      <c r="O22" s="13">
        <v>7241.5466524007861</v>
      </c>
      <c r="P22" s="14">
        <v>17535.060530771018</v>
      </c>
      <c r="Q22" s="15">
        <v>2.4778517210225024</v>
      </c>
      <c r="R22" s="12" t="str">
        <v>Check</v>
      </c>
      <c r="S22" s="27">
        <f t="shared" si="2"/>
        <v>0</v>
      </c>
      <c r="T22" s="27">
        <f t="shared" si="2"/>
        <v>0</v>
      </c>
      <c r="U22" s="27">
        <f t="shared" si="2"/>
        <v>0</v>
      </c>
      <c r="V22" s="27">
        <f t="shared" si="2"/>
        <v>0</v>
      </c>
      <c r="AD22" s="1" t="e">
        <f ca="1"/>
        <v>#N/A</v>
      </c>
      <c r="AE22" s="20" t="e">
        <f ca="1"/>
        <v>#N/A</v>
      </c>
      <c r="AF22" s="20" t="e">
        <f ca="1"/>
        <v>#N/A</v>
      </c>
      <c r="AG22" s="20" t="e">
        <f ca="1"/>
        <v>#N/A</v>
      </c>
      <c r="AH22" s="21" t="e">
        <f ca="1"/>
        <v>#N/A</v>
      </c>
      <c r="AI22" s="1" t="e">
        <f ca="1"/>
        <v>#N/A</v>
      </c>
      <c r="AW22" s="30" t="s">
        <v>40</v>
      </c>
      <c r="AX22" s="31">
        <v>111</v>
      </c>
      <c r="AY22" s="32">
        <v>492606</v>
      </c>
      <c r="AZ22" s="32">
        <v>150969</v>
      </c>
      <c r="BA22" s="33">
        <v>0.1222</v>
      </c>
      <c r="BB22" s="33">
        <v>3.2300000000000002E-2</v>
      </c>
    </row>
    <row r="23" spans="6:54">
      <c r="F23" s="12">
        <v>20</v>
      </c>
      <c r="G23" s="13">
        <f t="shared" si="3"/>
        <v>52139.135897285661</v>
      </c>
      <c r="H23" s="13">
        <f t="shared" si="4"/>
        <v>8689.8559828809448</v>
      </c>
      <c r="I23" s="14">
        <f t="shared" si="5"/>
        <v>18061.11234669415</v>
      </c>
      <c r="J23" s="15">
        <f t="shared" si="0"/>
        <v>2.8868175390553423</v>
      </c>
      <c r="K23" s="12" t="str">
        <f t="shared" si="1"/>
        <v>Check</v>
      </c>
      <c r="L23" s="12"/>
      <c r="M23" s="12">
        <v>20</v>
      </c>
      <c r="N23" s="13">
        <v>52139.135897285661</v>
      </c>
      <c r="O23" s="13">
        <v>8689.8559828809448</v>
      </c>
      <c r="P23" s="14">
        <v>18061.11234669415</v>
      </c>
      <c r="Q23" s="15">
        <v>2.8868175390553423</v>
      </c>
      <c r="R23" s="12" t="str">
        <v>Check</v>
      </c>
      <c r="S23" s="27">
        <f t="shared" si="2"/>
        <v>0</v>
      </c>
      <c r="T23" s="27">
        <f t="shared" si="2"/>
        <v>0</v>
      </c>
      <c r="U23" s="27">
        <f t="shared" si="2"/>
        <v>0</v>
      </c>
      <c r="V23" s="27">
        <f t="shared" si="2"/>
        <v>0</v>
      </c>
      <c r="AW23" s="30" t="s">
        <v>41</v>
      </c>
      <c r="AX23" s="31">
        <v>276</v>
      </c>
      <c r="AY23" s="32">
        <v>477405</v>
      </c>
      <c r="AZ23" s="32">
        <v>67218</v>
      </c>
      <c r="BA23" s="33">
        <v>0.33660000000000001</v>
      </c>
      <c r="BB23" s="33">
        <v>7.0900000000000005E-2</v>
      </c>
    </row>
    <row r="24" spans="6:54">
      <c r="F24" s="12">
        <v>21</v>
      </c>
      <c r="G24" s="13">
        <f t="shared" si="3"/>
        <v>62566.963076742788</v>
      </c>
      <c r="H24" s="13">
        <f t="shared" si="4"/>
        <v>10427.827179457126</v>
      </c>
      <c r="I24" s="14">
        <f t="shared" si="5"/>
        <v>18602.945717094975</v>
      </c>
      <c r="J24" s="15">
        <f t="shared" si="0"/>
        <v>3.3632825697732138</v>
      </c>
      <c r="K24" s="12" t="str">
        <f t="shared" si="1"/>
        <v>Check</v>
      </c>
      <c r="L24" s="12"/>
      <c r="M24" s="12">
        <v>21</v>
      </c>
      <c r="N24" s="13">
        <v>62566.963076742788</v>
      </c>
      <c r="O24" s="13">
        <v>10427.827179457126</v>
      </c>
      <c r="P24" s="14">
        <v>18602.945717094975</v>
      </c>
      <c r="Q24" s="15">
        <v>3.3632825697732138</v>
      </c>
      <c r="R24" s="12" t="str">
        <v>Check</v>
      </c>
      <c r="S24" s="27">
        <f t="shared" si="2"/>
        <v>0</v>
      </c>
      <c r="T24" s="27">
        <f t="shared" si="2"/>
        <v>0</v>
      </c>
      <c r="U24" s="27">
        <f t="shared" si="2"/>
        <v>0</v>
      </c>
      <c r="V24" s="27">
        <f t="shared" si="2"/>
        <v>0</v>
      </c>
      <c r="AW24" s="30" t="s">
        <v>42</v>
      </c>
      <c r="AX24" s="31">
        <v>56</v>
      </c>
      <c r="AY24" s="32">
        <v>20436</v>
      </c>
      <c r="AZ24" s="32">
        <v>2466</v>
      </c>
      <c r="BA24" s="33">
        <v>0.22800000000000001</v>
      </c>
      <c r="BB24" s="33">
        <v>0.1283</v>
      </c>
    </row>
    <row r="25" spans="6:54">
      <c r="F25" s="12">
        <v>22</v>
      </c>
      <c r="G25" s="13">
        <f t="shared" si="3"/>
        <v>75080.35569209134</v>
      </c>
      <c r="H25" s="13">
        <f t="shared" si="4"/>
        <v>12513.392615348552</v>
      </c>
      <c r="I25" s="14">
        <f t="shared" si="5"/>
        <v>19161.034088607827</v>
      </c>
      <c r="J25" s="15">
        <f t="shared" si="0"/>
        <v>3.9183874599299569</v>
      </c>
      <c r="K25" s="12" t="str">
        <f t="shared" si="1"/>
        <v>Check</v>
      </c>
      <c r="L25" s="12"/>
      <c r="M25" s="12">
        <v>22</v>
      </c>
      <c r="N25" s="13">
        <v>75080.35569209134</v>
      </c>
      <c r="O25" s="13">
        <v>12513.392615348552</v>
      </c>
      <c r="P25" s="14">
        <v>19161.034088607827</v>
      </c>
      <c r="Q25" s="15">
        <v>3.9183874599299569</v>
      </c>
      <c r="R25" s="12" t="str">
        <v>Check</v>
      </c>
      <c r="S25" s="27">
        <f t="shared" si="2"/>
        <v>0</v>
      </c>
      <c r="T25" s="27">
        <f t="shared" si="2"/>
        <v>0</v>
      </c>
      <c r="U25" s="27">
        <f t="shared" si="2"/>
        <v>0</v>
      </c>
      <c r="V25" s="27">
        <f t="shared" si="2"/>
        <v>0</v>
      </c>
      <c r="AW25" s="30" t="s">
        <v>43</v>
      </c>
      <c r="AX25" s="31">
        <v>35</v>
      </c>
      <c r="AY25" s="32">
        <v>21767</v>
      </c>
      <c r="AZ25" s="32">
        <v>4733</v>
      </c>
      <c r="BA25" s="33">
        <v>0.21049999999999999</v>
      </c>
      <c r="BB25" s="33">
        <v>7.9200000000000007E-2</v>
      </c>
    </row>
    <row r="26" spans="6:54">
      <c r="F26" s="12">
        <v>23</v>
      </c>
      <c r="G26" s="13">
        <f t="shared" si="3"/>
        <v>90096.426830509605</v>
      </c>
      <c r="H26" s="13">
        <f t="shared" si="4"/>
        <v>15016.071138418265</v>
      </c>
      <c r="I26" s="14">
        <f t="shared" si="5"/>
        <v>19735.865111266063</v>
      </c>
      <c r="J26" s="15">
        <f t="shared" si="0"/>
        <v>4.5651116038018911</v>
      </c>
      <c r="K26" s="12" t="str">
        <f t="shared" si="1"/>
        <v>Check</v>
      </c>
      <c r="L26" s="12"/>
      <c r="M26" s="12">
        <v>23</v>
      </c>
      <c r="N26" s="13">
        <v>90096.426830509605</v>
      </c>
      <c r="O26" s="13">
        <v>15016.071138418265</v>
      </c>
      <c r="P26" s="14">
        <v>19735.865111266063</v>
      </c>
      <c r="Q26" s="15">
        <v>4.5651116038018911</v>
      </c>
      <c r="R26" s="12" t="str">
        <v>Check</v>
      </c>
      <c r="S26" s="27">
        <f t="shared" si="2"/>
        <v>0</v>
      </c>
      <c r="T26" s="27">
        <f t="shared" si="2"/>
        <v>0</v>
      </c>
      <c r="U26" s="27">
        <f t="shared" si="2"/>
        <v>0</v>
      </c>
      <c r="V26" s="27">
        <f t="shared" si="2"/>
        <v>0</v>
      </c>
      <c r="AW26" s="30" t="s">
        <v>44</v>
      </c>
      <c r="AX26" s="31">
        <v>22</v>
      </c>
      <c r="AY26" s="32">
        <v>88720</v>
      </c>
      <c r="AZ26" s="32">
        <v>14837</v>
      </c>
      <c r="BA26" s="33">
        <v>5.5199999999999999E-2</v>
      </c>
      <c r="BB26" s="33">
        <v>-5.7999999999999996E-3</v>
      </c>
    </row>
    <row r="27" spans="6:54">
      <c r="F27" s="12">
        <v>24</v>
      </c>
      <c r="G27" s="13">
        <f t="shared" si="3"/>
        <v>108115.71219661152</v>
      </c>
      <c r="H27" s="13">
        <f t="shared" si="4"/>
        <v>18019.285366101918</v>
      </c>
      <c r="I27" s="14">
        <f t="shared" si="5"/>
        <v>20327.941064604045</v>
      </c>
      <c r="J27" s="15">
        <f t="shared" si="0"/>
        <v>5.3185766257886105</v>
      </c>
      <c r="K27" s="12" t="str">
        <f t="shared" si="1"/>
        <v>Check</v>
      </c>
      <c r="L27" s="12"/>
      <c r="M27" s="12">
        <v>24</v>
      </c>
      <c r="N27" s="13">
        <v>108115.71219661152</v>
      </c>
      <c r="O27" s="13">
        <v>18019.285366101918</v>
      </c>
      <c r="P27" s="14">
        <v>20327.941064604045</v>
      </c>
      <c r="Q27" s="15">
        <v>5.3185766257886105</v>
      </c>
      <c r="R27" s="12" t="str">
        <v>Check</v>
      </c>
      <c r="S27" s="27">
        <f t="shared" si="2"/>
        <v>0</v>
      </c>
      <c r="T27" s="27">
        <f t="shared" si="2"/>
        <v>0</v>
      </c>
      <c r="U27" s="27">
        <f t="shared" si="2"/>
        <v>0</v>
      </c>
      <c r="V27" s="27">
        <f t="shared" si="2"/>
        <v>0</v>
      </c>
      <c r="AW27" s="30" t="s">
        <v>45</v>
      </c>
      <c r="AX27" s="31">
        <v>21</v>
      </c>
      <c r="AY27" s="32">
        <v>183968</v>
      </c>
      <c r="AZ27" s="32">
        <v>19424</v>
      </c>
      <c r="BA27" s="33">
        <v>-3.2899999999999999E-2</v>
      </c>
      <c r="BB27" s="33">
        <v>2.3199999999999998E-2</v>
      </c>
    </row>
    <row r="28" spans="6:54">
      <c r="F28" s="12">
        <v>25</v>
      </c>
      <c r="G28" s="13">
        <f t="shared" si="3"/>
        <v>129738.85463593382</v>
      </c>
      <c r="H28" s="13">
        <f t="shared" si="4"/>
        <v>21623.142439322299</v>
      </c>
      <c r="I28" s="14">
        <f t="shared" si="5"/>
        <v>20937.779296542169</v>
      </c>
      <c r="J28" s="15">
        <f t="shared" si="0"/>
        <v>6.1963999523750797</v>
      </c>
      <c r="K28" s="12" t="str">
        <f t="shared" si="1"/>
        <v>Check</v>
      </c>
      <c r="L28" s="12"/>
      <c r="M28" s="12">
        <v>25</v>
      </c>
      <c r="N28" s="13">
        <v>129738.85463593382</v>
      </c>
      <c r="O28" s="13">
        <v>21623.142439322299</v>
      </c>
      <c r="P28" s="14">
        <v>20937.779296542169</v>
      </c>
      <c r="Q28" s="15">
        <v>6.1963999523750797</v>
      </c>
      <c r="R28" s="12" t="str">
        <v>Check</v>
      </c>
      <c r="S28" s="27">
        <f t="shared" si="2"/>
        <v>0</v>
      </c>
      <c r="T28" s="27">
        <f t="shared" si="2"/>
        <v>0</v>
      </c>
      <c r="U28" s="27">
        <f t="shared" si="2"/>
        <v>0</v>
      </c>
      <c r="V28" s="27">
        <f t="shared" si="2"/>
        <v>0</v>
      </c>
      <c r="AW28" s="30" t="s">
        <v>46</v>
      </c>
      <c r="AX28" s="31">
        <v>14</v>
      </c>
      <c r="AY28" s="32">
        <v>65741</v>
      </c>
      <c r="AZ28" s="32">
        <v>14415</v>
      </c>
      <c r="BA28" s="33">
        <v>1.24E-2</v>
      </c>
      <c r="BB28" s="33">
        <v>7.7000000000000002E-3</v>
      </c>
    </row>
    <row r="29" spans="6:54">
      <c r="AW29" s="30" t="s">
        <v>47</v>
      </c>
      <c r="AX29" s="31">
        <v>73</v>
      </c>
      <c r="AY29" s="32">
        <v>97242</v>
      </c>
      <c r="AZ29" s="32">
        <v>23518</v>
      </c>
      <c r="BA29" s="33">
        <v>0.2324</v>
      </c>
      <c r="BB29" s="33">
        <v>5.3199999999999997E-2</v>
      </c>
    </row>
    <row r="30" spans="6:54">
      <c r="AW30" s="30" t="s">
        <v>48</v>
      </c>
      <c r="AX30" s="31">
        <v>148</v>
      </c>
      <c r="AY30" s="32">
        <v>179993</v>
      </c>
      <c r="AZ30" s="32">
        <v>29662</v>
      </c>
      <c r="BA30" s="33">
        <v>0.1623</v>
      </c>
      <c r="BB30" s="33">
        <v>1.95E-2</v>
      </c>
    </row>
    <row r="31" spans="6:54">
      <c r="AW31" s="30" t="s">
        <v>49</v>
      </c>
      <c r="AX31" s="31">
        <v>25</v>
      </c>
      <c r="AY31" s="32">
        <v>90914</v>
      </c>
      <c r="AZ31" s="32">
        <v>21870</v>
      </c>
      <c r="BA31" s="33">
        <v>3.2800000000000003E-2</v>
      </c>
      <c r="BB31" s="33">
        <v>7.6300000000000007E-2</v>
      </c>
    </row>
    <row r="32" spans="6:54">
      <c r="AW32" s="30" t="s">
        <v>50</v>
      </c>
      <c r="AX32" s="31">
        <v>70</v>
      </c>
      <c r="AY32" s="32">
        <v>157193</v>
      </c>
      <c r="AZ32" s="32">
        <v>40210</v>
      </c>
      <c r="BA32" s="33">
        <v>3.3099999999999997E-2</v>
      </c>
      <c r="BB32" s="33">
        <v>5.9700000000000003E-2</v>
      </c>
    </row>
    <row r="33" spans="49:54">
      <c r="AW33" s="30" t="s">
        <v>51</v>
      </c>
      <c r="AX33" s="31">
        <v>39</v>
      </c>
      <c r="AY33" s="32">
        <v>20738</v>
      </c>
      <c r="AZ33" s="32">
        <v>4767</v>
      </c>
      <c r="BA33" s="33">
        <v>0.156</v>
      </c>
      <c r="BB33" s="33">
        <v>1.9400000000000001E-2</v>
      </c>
    </row>
    <row r="34" spans="49:54">
      <c r="AW34" s="30" t="s">
        <v>52</v>
      </c>
      <c r="AX34" s="31">
        <v>75</v>
      </c>
      <c r="AY34" s="32">
        <v>37767</v>
      </c>
      <c r="AZ34" s="32">
        <v>12872</v>
      </c>
      <c r="BA34" s="33">
        <v>6.9699999999999998E-2</v>
      </c>
      <c r="BB34" s="33">
        <v>2.0899999999999998E-2</v>
      </c>
    </row>
    <row r="35" spans="49:54">
      <c r="AW35" s="30" t="s">
        <v>53</v>
      </c>
      <c r="AX35" s="31">
        <v>240</v>
      </c>
      <c r="AY35" s="32">
        <v>281652</v>
      </c>
      <c r="AZ35" s="32">
        <v>60750</v>
      </c>
      <c r="BA35" s="33">
        <v>0.1353</v>
      </c>
      <c r="BB35" s="33">
        <v>5.0999999999999997E-2</v>
      </c>
    </row>
    <row r="36" spans="49:54">
      <c r="AW36" s="30" t="s">
        <v>54</v>
      </c>
      <c r="AX36" s="31">
        <v>115</v>
      </c>
      <c r="AY36" s="32">
        <v>474444</v>
      </c>
      <c r="AZ36" s="32">
        <v>80676</v>
      </c>
      <c r="BA36" s="33">
        <v>9.4500000000000001E-2</v>
      </c>
      <c r="BB36" s="33">
        <v>7.6200000000000004E-2</v>
      </c>
    </row>
    <row r="37" spans="49:54">
      <c r="AW37" s="30" t="s">
        <v>55</v>
      </c>
      <c r="AX37" s="31">
        <v>9</v>
      </c>
      <c r="AY37" s="32">
        <v>430625</v>
      </c>
      <c r="AZ37" s="32">
        <v>114328</v>
      </c>
      <c r="BA37" s="33">
        <v>0.17510000000000001</v>
      </c>
      <c r="BB37" s="33">
        <v>3.0599999999999999E-2</v>
      </c>
    </row>
    <row r="38" spans="49:54">
      <c r="AW38" s="30" t="s">
        <v>56</v>
      </c>
      <c r="AX38" s="31">
        <v>6</v>
      </c>
      <c r="AY38" s="32">
        <v>4917</v>
      </c>
      <c r="AZ38" s="32">
        <v>2261</v>
      </c>
      <c r="BA38" s="33">
        <v>1.09E-2</v>
      </c>
      <c r="BB38" s="33">
        <v>5.6300000000000003E-2</v>
      </c>
    </row>
    <row r="39" spans="49:54">
      <c r="AW39" s="30" t="s">
        <v>57</v>
      </c>
      <c r="AX39" s="31">
        <v>34</v>
      </c>
      <c r="AY39" s="32">
        <v>31671</v>
      </c>
      <c r="AZ39" s="32">
        <v>5393</v>
      </c>
      <c r="BA39" s="33">
        <v>2.5000000000000001E-2</v>
      </c>
      <c r="BB39" s="33">
        <v>-1.21E-2</v>
      </c>
    </row>
    <row r="40" spans="49:54">
      <c r="AW40" s="30" t="s">
        <v>58</v>
      </c>
      <c r="AX40" s="31">
        <v>27</v>
      </c>
      <c r="AY40" s="32">
        <v>13222</v>
      </c>
      <c r="AZ40" s="32">
        <v>3326</v>
      </c>
      <c r="BA40" s="33">
        <v>0.1075</v>
      </c>
      <c r="BB40" s="33">
        <v>7.6899999999999996E-2</v>
      </c>
    </row>
    <row r="41" spans="49:54">
      <c r="AW41" s="30" t="s">
        <v>59</v>
      </c>
      <c r="AX41" s="31">
        <v>20</v>
      </c>
      <c r="AY41" s="32">
        <v>169041</v>
      </c>
      <c r="AZ41" s="32">
        <v>51120</v>
      </c>
      <c r="BA41" s="33">
        <v>8.9800000000000005E-2</v>
      </c>
      <c r="BB41" s="33">
        <v>5.9700000000000003E-2</v>
      </c>
    </row>
    <row r="42" spans="49:54">
      <c r="AW42" s="30" t="s">
        <v>60</v>
      </c>
      <c r="AX42" s="31">
        <v>21</v>
      </c>
      <c r="AY42" s="32">
        <v>22929</v>
      </c>
      <c r="AZ42" s="32">
        <v>3975</v>
      </c>
      <c r="BA42" s="33">
        <v>-7.3300000000000004E-2</v>
      </c>
      <c r="BB42" s="33">
        <v>-0.16289999999999999</v>
      </c>
    </row>
    <row r="43" spans="49:54">
      <c r="AW43" s="30" t="s">
        <v>61</v>
      </c>
      <c r="AX43" s="31">
        <v>51</v>
      </c>
      <c r="AY43" s="32">
        <v>66561</v>
      </c>
      <c r="AZ43" s="32">
        <v>12266</v>
      </c>
      <c r="BA43" s="33">
        <v>6.0999999999999999E-2</v>
      </c>
      <c r="BB43" s="33">
        <v>5.5E-2</v>
      </c>
    </row>
    <row r="44" spans="49:54">
      <c r="AW44" s="30" t="s">
        <v>62</v>
      </c>
      <c r="AX44" s="31">
        <v>24</v>
      </c>
      <c r="AY44" s="32">
        <v>158099</v>
      </c>
      <c r="AZ44" s="32">
        <v>82559</v>
      </c>
      <c r="BA44" s="33">
        <v>0.14460000000000001</v>
      </c>
      <c r="BB44" s="33">
        <v>7.6999999999999999E-2</v>
      </c>
    </row>
    <row r="45" spans="49:54">
      <c r="AW45" s="30" t="s">
        <v>63</v>
      </c>
      <c r="AX45" s="31">
        <v>23</v>
      </c>
      <c r="AY45" s="32">
        <v>42812</v>
      </c>
      <c r="AZ45" s="32">
        <v>21732</v>
      </c>
      <c r="BA45" s="33">
        <v>1E-4</v>
      </c>
      <c r="BB45" s="33">
        <v>6.3E-2</v>
      </c>
    </row>
    <row r="46" spans="49:54">
      <c r="AW46" s="30" t="s">
        <v>64</v>
      </c>
      <c r="AX46" s="31">
        <v>134</v>
      </c>
      <c r="AY46" s="32">
        <v>155209</v>
      </c>
      <c r="AZ46" s="32">
        <v>26604</v>
      </c>
      <c r="BA46" s="33">
        <v>0.1321</v>
      </c>
      <c r="BB46" s="33">
        <v>3.9399999999999998E-2</v>
      </c>
    </row>
    <row r="47" spans="49:54">
      <c r="AW47" s="30" t="s">
        <v>65</v>
      </c>
      <c r="AX47" s="31">
        <v>28</v>
      </c>
      <c r="AY47" s="32">
        <v>34755</v>
      </c>
      <c r="AZ47" s="32">
        <v>13461</v>
      </c>
      <c r="BA47" s="33">
        <v>0.17100000000000001</v>
      </c>
      <c r="BB47" s="33">
        <v>0.12280000000000001</v>
      </c>
    </row>
    <row r="48" spans="49:54">
      <c r="AW48" s="30" t="s">
        <v>66</v>
      </c>
      <c r="AX48" s="31">
        <v>34</v>
      </c>
      <c r="AY48" s="32" t="s">
        <v>28</v>
      </c>
      <c r="AZ48" s="32" t="s">
        <v>28</v>
      </c>
      <c r="BA48" s="32" t="s">
        <v>28</v>
      </c>
      <c r="BB48" s="32" t="s">
        <v>28</v>
      </c>
    </row>
    <row r="49" spans="49:54">
      <c r="AW49" s="30" t="s">
        <v>67</v>
      </c>
      <c r="AX49" s="31">
        <v>64</v>
      </c>
      <c r="AY49" s="32" t="s">
        <v>28</v>
      </c>
      <c r="AZ49" s="32" t="s">
        <v>28</v>
      </c>
      <c r="BA49" s="32" t="s">
        <v>28</v>
      </c>
      <c r="BB49" s="32" t="s">
        <v>28</v>
      </c>
    </row>
    <row r="50" spans="49:54">
      <c r="AW50" s="30" t="s">
        <v>68</v>
      </c>
      <c r="AX50" s="31">
        <v>174</v>
      </c>
      <c r="AY50" s="32">
        <v>125880</v>
      </c>
      <c r="AZ50" s="32">
        <v>40278</v>
      </c>
      <c r="BA50" s="33">
        <v>9.6000000000000002E-2</v>
      </c>
      <c r="BB50" s="33">
        <v>7.1300000000000002E-2</v>
      </c>
    </row>
    <row r="51" spans="49:54">
      <c r="AW51" s="30" t="s">
        <v>69</v>
      </c>
      <c r="AX51" s="31">
        <v>15</v>
      </c>
      <c r="AY51" s="32" t="s">
        <v>28</v>
      </c>
      <c r="AZ51" s="32" t="s">
        <v>28</v>
      </c>
      <c r="BA51" s="32" t="s">
        <v>28</v>
      </c>
      <c r="BB51" s="32" t="s">
        <v>28</v>
      </c>
    </row>
    <row r="52" spans="49:54">
      <c r="AW52" s="30" t="s">
        <v>70</v>
      </c>
      <c r="AX52" s="31">
        <v>15</v>
      </c>
      <c r="AY52" s="32" t="s">
        <v>28</v>
      </c>
      <c r="AZ52" s="32" t="s">
        <v>28</v>
      </c>
      <c r="BA52" s="32" t="s">
        <v>28</v>
      </c>
      <c r="BB52" s="32" t="s">
        <v>28</v>
      </c>
    </row>
    <row r="53" spans="49:54">
      <c r="AW53" s="30" t="s">
        <v>71</v>
      </c>
      <c r="AX53" s="31">
        <v>61</v>
      </c>
      <c r="AY53" s="32">
        <v>103316</v>
      </c>
      <c r="AZ53" s="32">
        <v>27355</v>
      </c>
      <c r="BA53" s="33">
        <v>7.7200000000000005E-2</v>
      </c>
      <c r="BB53" s="33">
        <v>5.3600000000000002E-2</v>
      </c>
    </row>
    <row r="54" spans="49:54">
      <c r="AW54" s="30" t="s">
        <v>72</v>
      </c>
      <c r="AX54" s="31">
        <v>106</v>
      </c>
      <c r="AY54" s="32">
        <v>97609</v>
      </c>
      <c r="AZ54" s="32">
        <v>10053</v>
      </c>
      <c r="BA54" s="33">
        <v>0.14460000000000001</v>
      </c>
      <c r="BB54" s="33">
        <v>6.4799999999999996E-2</v>
      </c>
    </row>
    <row r="55" spans="49:54">
      <c r="AW55" s="30" t="s">
        <v>73</v>
      </c>
      <c r="AX55" s="31">
        <v>54</v>
      </c>
      <c r="AY55" s="32">
        <v>25655</v>
      </c>
      <c r="AZ55" s="32">
        <v>6181</v>
      </c>
      <c r="BA55" s="33">
        <v>5.9299999999999999E-2</v>
      </c>
      <c r="BB55" s="33">
        <v>5.9900000000000002E-2</v>
      </c>
    </row>
    <row r="56" spans="49:54">
      <c r="AW56" s="30" t="s">
        <v>74</v>
      </c>
      <c r="AX56" s="31">
        <v>76</v>
      </c>
      <c r="AY56" s="32">
        <v>97584</v>
      </c>
      <c r="AZ56" s="32">
        <v>16209</v>
      </c>
      <c r="BA56" s="33">
        <v>7.7399999999999997E-2</v>
      </c>
      <c r="BB56" s="33">
        <v>7.8799999999999995E-2</v>
      </c>
    </row>
    <row r="57" spans="49:54">
      <c r="AW57" s="30" t="s">
        <v>75</v>
      </c>
      <c r="AX57" s="31">
        <v>141</v>
      </c>
      <c r="AY57" s="32">
        <v>418640</v>
      </c>
      <c r="AZ57" s="32">
        <v>114614</v>
      </c>
      <c r="BA57" s="33">
        <v>6.2E-2</v>
      </c>
      <c r="BB57" s="33">
        <v>6.2600000000000003E-2</v>
      </c>
    </row>
    <row r="58" spans="49:54">
      <c r="AW58" s="30" t="s">
        <v>76</v>
      </c>
      <c r="AX58" s="31">
        <v>124</v>
      </c>
      <c r="AY58" s="32">
        <v>448408</v>
      </c>
      <c r="AZ58" s="32">
        <v>99976</v>
      </c>
      <c r="BA58" s="33">
        <v>7.0499999999999993E-2</v>
      </c>
      <c r="BB58" s="33">
        <v>6.13E-2</v>
      </c>
    </row>
    <row r="59" spans="49:54">
      <c r="AW59" s="30" t="s">
        <v>77</v>
      </c>
      <c r="AX59" s="31">
        <v>25</v>
      </c>
      <c r="AY59" s="32">
        <v>32619</v>
      </c>
      <c r="AZ59" s="32">
        <v>17075</v>
      </c>
      <c r="BA59" s="33">
        <v>6.3700000000000007E-2</v>
      </c>
      <c r="BB59" s="33">
        <v>1.5800000000000002E-2</v>
      </c>
    </row>
    <row r="60" spans="49:54">
      <c r="AW60" s="30" t="s">
        <v>78</v>
      </c>
      <c r="AX60" s="31">
        <v>72</v>
      </c>
      <c r="AY60" s="32">
        <v>84614</v>
      </c>
      <c r="AZ60" s="32">
        <v>24614</v>
      </c>
      <c r="BA60" s="33">
        <v>0.313</v>
      </c>
      <c r="BB60" s="33">
        <v>0.15290000000000001</v>
      </c>
    </row>
    <row r="61" spans="49:54">
      <c r="AW61" s="30" t="s">
        <v>79</v>
      </c>
      <c r="AX61" s="31">
        <v>29</v>
      </c>
      <c r="AY61" s="32">
        <v>68352</v>
      </c>
      <c r="AZ61" s="32">
        <v>9855</v>
      </c>
      <c r="BA61" s="33">
        <v>8.8999999999999996E-2</v>
      </c>
      <c r="BB61" s="33">
        <v>6.7400000000000002E-2</v>
      </c>
    </row>
    <row r="62" spans="49:54">
      <c r="AW62" s="30" t="s">
        <v>80</v>
      </c>
      <c r="AX62" s="31">
        <v>24</v>
      </c>
      <c r="AY62" s="32">
        <v>39203</v>
      </c>
      <c r="AZ62" s="32">
        <v>6305</v>
      </c>
      <c r="BA62" s="33">
        <v>-3.6700000000000003E-2</v>
      </c>
      <c r="BB62" s="33">
        <v>3.78E-2</v>
      </c>
    </row>
    <row r="63" spans="49:54">
      <c r="AW63" s="30" t="s">
        <v>81</v>
      </c>
      <c r="AX63" s="31">
        <v>12</v>
      </c>
      <c r="AY63" s="32">
        <v>16295</v>
      </c>
      <c r="AZ63" s="32">
        <v>5314</v>
      </c>
      <c r="BA63" s="33">
        <v>-5.28E-2</v>
      </c>
      <c r="BB63" s="33">
        <v>-7.2800000000000004E-2</v>
      </c>
    </row>
    <row r="64" spans="49:54">
      <c r="AW64" s="30" t="s">
        <v>82</v>
      </c>
      <c r="AX64" s="31">
        <v>23</v>
      </c>
      <c r="AY64" s="32">
        <v>93533</v>
      </c>
      <c r="AZ64" s="32">
        <v>24946</v>
      </c>
      <c r="BA64" s="33">
        <v>5.0700000000000002E-2</v>
      </c>
      <c r="BB64" s="33">
        <v>1.61E-2</v>
      </c>
    </row>
    <row r="65" spans="49:54">
      <c r="AW65" s="30" t="s">
        <v>83</v>
      </c>
      <c r="AX65" s="31">
        <v>13</v>
      </c>
      <c r="AY65" s="32">
        <v>64729</v>
      </c>
      <c r="AZ65" s="32">
        <v>17339</v>
      </c>
      <c r="BA65" s="33">
        <v>0.1265</v>
      </c>
      <c r="BB65" s="33">
        <v>5.45E-2</v>
      </c>
    </row>
    <row r="66" spans="49:54">
      <c r="AW66" s="30" t="s">
        <v>84</v>
      </c>
      <c r="AX66" s="31">
        <v>96</v>
      </c>
      <c r="AY66" s="32">
        <v>208033</v>
      </c>
      <c r="AZ66" s="32">
        <v>37633</v>
      </c>
      <c r="BA66" s="33">
        <v>0.1326</v>
      </c>
      <c r="BB66" s="33">
        <v>0.14899999999999999</v>
      </c>
    </row>
    <row r="67" spans="49:54">
      <c r="AW67" s="30" t="s">
        <v>85</v>
      </c>
      <c r="AX67" s="31">
        <v>24</v>
      </c>
      <c r="AY67" s="32">
        <v>137344</v>
      </c>
      <c r="AZ67" s="32">
        <v>69237</v>
      </c>
      <c r="BA67" s="33">
        <v>0.13159999999999999</v>
      </c>
      <c r="BB67" s="33">
        <v>2.35E-2</v>
      </c>
    </row>
    <row r="68" spans="49:54">
      <c r="AW68" s="30" t="s">
        <v>86</v>
      </c>
      <c r="AX68" s="31">
        <v>36</v>
      </c>
      <c r="AY68" s="32">
        <v>79166</v>
      </c>
      <c r="AZ68" s="32">
        <v>26286</v>
      </c>
      <c r="BA68" s="33">
        <v>0.1143</v>
      </c>
      <c r="BB68" s="33">
        <v>-2.9399999999999999E-2</v>
      </c>
    </row>
    <row r="69" spans="49:54">
      <c r="AW69" s="30" t="s">
        <v>87</v>
      </c>
      <c r="AX69" s="31">
        <v>21</v>
      </c>
      <c r="AY69" s="32">
        <v>2375138</v>
      </c>
      <c r="AZ69" s="32">
        <v>422610</v>
      </c>
      <c r="BA69" s="33">
        <v>0.21659999999999999</v>
      </c>
      <c r="BB69" s="33">
        <v>9.8699999999999996E-2</v>
      </c>
    </row>
    <row r="70" spans="49:54">
      <c r="AW70" s="30" t="s">
        <v>88</v>
      </c>
      <c r="AX70" s="31">
        <v>175</v>
      </c>
      <c r="AY70" s="32">
        <v>166177</v>
      </c>
      <c r="AZ70" s="32">
        <v>19309</v>
      </c>
      <c r="BA70" s="33">
        <v>0.32840000000000003</v>
      </c>
      <c r="BB70" s="33">
        <v>0.10150000000000001</v>
      </c>
    </row>
    <row r="71" spans="49:54">
      <c r="AW71" s="30" t="s">
        <v>89</v>
      </c>
      <c r="AX71" s="31">
        <v>18</v>
      </c>
      <c r="AY71" s="32">
        <v>338831</v>
      </c>
      <c r="AZ71" s="32">
        <v>101155</v>
      </c>
      <c r="BA71" s="33">
        <v>0.1258</v>
      </c>
      <c r="BB71" s="33">
        <v>7.6700000000000004E-2</v>
      </c>
    </row>
    <row r="72" spans="49:54">
      <c r="AW72" s="30" t="s">
        <v>90</v>
      </c>
      <c r="AX72" s="31">
        <v>27</v>
      </c>
      <c r="AY72" s="32">
        <v>127386</v>
      </c>
      <c r="AZ72" s="32">
        <v>39052</v>
      </c>
      <c r="BA72" s="33">
        <v>0.23230000000000001</v>
      </c>
      <c r="BB72" s="33">
        <v>7.8799999999999995E-2</v>
      </c>
    </row>
    <row r="73" spans="49:54">
      <c r="AW73" s="30" t="s">
        <v>91</v>
      </c>
      <c r="AX73" s="31">
        <v>86</v>
      </c>
      <c r="AY73" s="32">
        <v>67191</v>
      </c>
      <c r="AZ73" s="32">
        <v>17363</v>
      </c>
      <c r="BA73" s="33">
        <v>0.4027</v>
      </c>
      <c r="BB73" s="33">
        <v>0.18340000000000001</v>
      </c>
    </row>
    <row r="74" spans="49:54">
      <c r="AW74" s="30" t="s">
        <v>92</v>
      </c>
      <c r="AX74" s="31">
        <v>82</v>
      </c>
      <c r="AY74" s="32">
        <v>52583</v>
      </c>
      <c r="AZ74" s="32">
        <v>12237</v>
      </c>
      <c r="BA74" s="33">
        <v>0.32229999999999998</v>
      </c>
      <c r="BB74" s="33">
        <v>0.18479999999999999</v>
      </c>
    </row>
    <row r="75" spans="49:54">
      <c r="AW75" s="30" t="s">
        <v>93</v>
      </c>
      <c r="AX75" s="31">
        <v>77</v>
      </c>
      <c r="AY75" s="32">
        <v>48517</v>
      </c>
      <c r="AZ75" s="32">
        <v>11083</v>
      </c>
      <c r="BA75" s="33">
        <v>0.21199999999999999</v>
      </c>
      <c r="BB75" s="33">
        <v>2.4400000000000002E-2</v>
      </c>
    </row>
    <row r="76" spans="49:54">
      <c r="AW76" s="30" t="s">
        <v>94</v>
      </c>
      <c r="AX76" s="31">
        <v>30</v>
      </c>
      <c r="AY76" s="32">
        <v>32097</v>
      </c>
      <c r="AZ76" s="32">
        <v>15517</v>
      </c>
      <c r="BA76" s="33">
        <v>0.13109999999999999</v>
      </c>
      <c r="BB76" s="33">
        <v>-1.1299999999999999E-2</v>
      </c>
    </row>
    <row r="77" spans="49:54">
      <c r="AW77" s="30" t="s">
        <v>95</v>
      </c>
      <c r="AX77" s="31">
        <v>12</v>
      </c>
      <c r="AY77" s="32">
        <v>8532</v>
      </c>
      <c r="AZ77" s="32">
        <v>4010</v>
      </c>
      <c r="BA77" s="33">
        <v>0.22070000000000001</v>
      </c>
      <c r="BB77" s="33">
        <v>2.75E-2</v>
      </c>
    </row>
    <row r="78" spans="49:54">
      <c r="AW78" s="30" t="s">
        <v>96</v>
      </c>
      <c r="AX78" s="31">
        <v>26</v>
      </c>
      <c r="AY78" s="32">
        <v>40902</v>
      </c>
      <c r="AZ78" s="32">
        <v>10402</v>
      </c>
      <c r="BA78" s="33">
        <v>-4.4299999999999999E-2</v>
      </c>
      <c r="BB78" s="33">
        <v>6.8099999999999994E-2</v>
      </c>
    </row>
    <row r="79" spans="49:54">
      <c r="AW79" s="30" t="s">
        <v>97</v>
      </c>
      <c r="AX79" s="31">
        <v>130</v>
      </c>
      <c r="AY79" s="32">
        <v>315862</v>
      </c>
      <c r="AZ79" s="32">
        <v>116886</v>
      </c>
      <c r="BA79" s="33">
        <v>0.41949999999999998</v>
      </c>
      <c r="BB79" s="33">
        <v>-9.8799999999999999E-2</v>
      </c>
    </row>
    <row r="80" spans="49:54">
      <c r="AW80" s="30" t="s">
        <v>98</v>
      </c>
      <c r="AX80" s="31">
        <v>13</v>
      </c>
      <c r="AY80" s="32">
        <v>59697</v>
      </c>
      <c r="AZ80" s="32">
        <v>18859</v>
      </c>
      <c r="BA80" s="33">
        <v>5.4100000000000002E-2</v>
      </c>
      <c r="BB80" s="33">
        <v>5.7200000000000001E-2</v>
      </c>
    </row>
    <row r="81" spans="49:54">
      <c r="AW81" s="30" t="s">
        <v>99</v>
      </c>
      <c r="AX81" s="31">
        <v>58</v>
      </c>
      <c r="AY81" s="32">
        <v>75322</v>
      </c>
      <c r="AZ81" s="32">
        <v>15594</v>
      </c>
      <c r="BA81" s="33">
        <v>7.0699999999999999E-2</v>
      </c>
      <c r="BB81" s="33">
        <v>4.2000000000000003E-2</v>
      </c>
    </row>
    <row r="82" spans="49:54">
      <c r="AW82" s="30" t="s">
        <v>100</v>
      </c>
      <c r="AX82" s="31">
        <v>13</v>
      </c>
      <c r="AY82" s="32" t="s">
        <v>28</v>
      </c>
      <c r="AZ82" s="32" t="s">
        <v>28</v>
      </c>
      <c r="BA82" s="32" t="s">
        <v>28</v>
      </c>
      <c r="BB82" s="32" t="s">
        <v>28</v>
      </c>
    </row>
    <row r="83" spans="49:54">
      <c r="AW83" s="30" t="s">
        <v>101</v>
      </c>
      <c r="AX83" s="31">
        <v>63</v>
      </c>
      <c r="AY83" s="32">
        <v>97006</v>
      </c>
      <c r="AZ83" s="32">
        <v>26397</v>
      </c>
      <c r="BA83" s="33">
        <v>1.4200000000000001E-2</v>
      </c>
      <c r="BB83" s="33">
        <v>5.6500000000000002E-2</v>
      </c>
    </row>
    <row r="84" spans="49:54">
      <c r="AW84" s="30" t="s">
        <v>102</v>
      </c>
      <c r="AX84" s="31">
        <v>73</v>
      </c>
      <c r="AY84" s="32">
        <v>168740</v>
      </c>
      <c r="AZ84" s="32">
        <v>50433</v>
      </c>
      <c r="BA84" s="33">
        <v>3.3399999999999999E-2</v>
      </c>
      <c r="BB84" s="33">
        <v>7.4200000000000002E-2</v>
      </c>
    </row>
    <row r="85" spans="49:54">
      <c r="AW85" s="30" t="s">
        <v>103</v>
      </c>
      <c r="AX85" s="31">
        <v>46</v>
      </c>
      <c r="AY85" s="32">
        <v>111314</v>
      </c>
      <c r="AZ85" s="32">
        <v>22546</v>
      </c>
      <c r="BA85" s="33">
        <v>6.25E-2</v>
      </c>
      <c r="BB85" s="33">
        <v>4.1099999999999998E-2</v>
      </c>
    </row>
    <row r="86" spans="49:54">
      <c r="AW86" s="30" t="s">
        <v>104</v>
      </c>
      <c r="AX86" s="31">
        <v>20</v>
      </c>
      <c r="AY86" s="32">
        <v>90422</v>
      </c>
      <c r="AZ86" s="32">
        <v>13400</v>
      </c>
      <c r="BA86" s="33">
        <v>0.1101</v>
      </c>
      <c r="BB86" s="33">
        <v>5.4300000000000001E-2</v>
      </c>
    </row>
    <row r="87" spans="49:54">
      <c r="AW87" s="30" t="s">
        <v>105</v>
      </c>
      <c r="AX87" s="31">
        <v>8</v>
      </c>
      <c r="AY87" s="32">
        <v>137868</v>
      </c>
      <c r="AZ87" s="32">
        <v>68779</v>
      </c>
      <c r="BA87" s="33">
        <v>0.15379999999999999</v>
      </c>
      <c r="BB87" s="33">
        <v>5.2900000000000003E-2</v>
      </c>
    </row>
    <row r="88" spans="49:54">
      <c r="AW88" s="30" t="s">
        <v>106</v>
      </c>
      <c r="AX88" s="31">
        <v>36</v>
      </c>
      <c r="AY88" s="32">
        <v>803919</v>
      </c>
      <c r="AZ88" s="32">
        <v>431867</v>
      </c>
      <c r="BA88" s="33">
        <v>0.11219999999999999</v>
      </c>
      <c r="BB88" s="33">
        <v>5.0200000000000002E-2</v>
      </c>
    </row>
    <row r="89" spans="49:54">
      <c r="AW89" s="30" t="s">
        <v>107</v>
      </c>
      <c r="AX89" s="31">
        <v>30</v>
      </c>
      <c r="AY89" s="32">
        <v>383201</v>
      </c>
      <c r="AZ89" s="32">
        <v>86996</v>
      </c>
      <c r="BA89" s="33">
        <v>8.1100000000000005E-2</v>
      </c>
      <c r="BB89" s="33">
        <v>5.6300000000000003E-2</v>
      </c>
    </row>
    <row r="90" spans="49:54">
      <c r="AW90" s="30" t="s">
        <v>108</v>
      </c>
      <c r="AX90" s="31">
        <v>28</v>
      </c>
      <c r="AY90" s="32">
        <v>164448</v>
      </c>
      <c r="AZ90" s="32">
        <v>48239</v>
      </c>
      <c r="BA90" s="33">
        <v>4.41E-2</v>
      </c>
      <c r="BB90" s="33">
        <v>4.3799999999999999E-2</v>
      </c>
    </row>
    <row r="91" spans="49:54">
      <c r="AW91" s="30" t="s">
        <v>109</v>
      </c>
      <c r="AX91" s="31">
        <v>126</v>
      </c>
      <c r="AY91" s="32">
        <v>186357</v>
      </c>
      <c r="AZ91" s="32">
        <v>51569</v>
      </c>
      <c r="BA91" s="33">
        <v>0.4466</v>
      </c>
      <c r="BB91" s="33">
        <v>3.9699999999999999E-2</v>
      </c>
    </row>
    <row r="92" spans="49:54">
      <c r="AW92" s="30" t="s">
        <v>110</v>
      </c>
      <c r="AX92" s="31">
        <v>13</v>
      </c>
      <c r="AY92" s="32">
        <v>25193</v>
      </c>
      <c r="AZ92" s="32">
        <v>11221</v>
      </c>
      <c r="BA92" s="33">
        <v>0.85140000000000005</v>
      </c>
      <c r="BB92" s="33">
        <v>3.04E-2</v>
      </c>
    </row>
    <row r="93" spans="49:54">
      <c r="AW93" s="30" t="s">
        <v>111</v>
      </c>
      <c r="AX93" s="31">
        <v>19</v>
      </c>
      <c r="AY93" s="32">
        <v>34778</v>
      </c>
      <c r="AZ93" s="32">
        <v>21768</v>
      </c>
      <c r="BA93" s="33">
        <v>3.5000000000000003E-2</v>
      </c>
      <c r="BB93" s="33">
        <v>5.5300000000000002E-2</v>
      </c>
    </row>
    <row r="94" spans="49:54">
      <c r="AW94" s="30" t="s">
        <v>112</v>
      </c>
      <c r="AX94" s="31">
        <v>33</v>
      </c>
      <c r="AY94" s="32">
        <v>187726</v>
      </c>
      <c r="AZ94" s="32">
        <v>85032</v>
      </c>
      <c r="BA94" s="33">
        <v>0.28860000000000002</v>
      </c>
      <c r="BB94" s="33">
        <v>6.3500000000000001E-2</v>
      </c>
    </row>
    <row r="95" spans="49:54">
      <c r="AW95" s="30" t="s">
        <v>113</v>
      </c>
      <c r="AX95" s="31">
        <v>98</v>
      </c>
      <c r="AY95" s="32">
        <v>230250</v>
      </c>
      <c r="AZ95" s="32">
        <v>58672</v>
      </c>
      <c r="BA95" s="33">
        <v>8.5099999999999995E-2</v>
      </c>
      <c r="BB95" s="33">
        <v>4.0300000000000002E-2</v>
      </c>
    </row>
    <row r="96" spans="49:54">
      <c r="AW96" s="30" t="s">
        <v>114</v>
      </c>
      <c r="AX96" s="31">
        <v>74</v>
      </c>
      <c r="AY96" s="32">
        <v>383381</v>
      </c>
      <c r="AZ96" s="32">
        <v>125581</v>
      </c>
      <c r="BA96" s="33">
        <v>0.1172</v>
      </c>
      <c r="BB96" s="33">
        <v>0.1031</v>
      </c>
    </row>
    <row r="97" spans="49:54">
      <c r="AW97" s="30" t="s">
        <v>115</v>
      </c>
      <c r="AX97" s="31">
        <v>26</v>
      </c>
      <c r="AY97" s="32">
        <v>270471</v>
      </c>
      <c r="AZ97" s="32">
        <v>85071</v>
      </c>
      <c r="BA97" s="33">
        <v>-5.9700000000000003E-2</v>
      </c>
      <c r="BB97" s="33">
        <v>1.46E-2</v>
      </c>
    </row>
    <row r="98" spans="49:54">
      <c r="AW98" s="30" t="s">
        <v>116</v>
      </c>
      <c r="AX98" s="31">
        <v>189</v>
      </c>
      <c r="AY98" s="32" t="s">
        <v>28</v>
      </c>
      <c r="AZ98" s="32" t="s">
        <v>28</v>
      </c>
      <c r="BA98" s="32" t="s">
        <v>28</v>
      </c>
      <c r="BB98" s="32" t="s">
        <v>28</v>
      </c>
    </row>
    <row r="99" spans="49:54">
      <c r="AW99" s="30" t="s">
        <v>117</v>
      </c>
      <c r="AX99" s="31">
        <v>11</v>
      </c>
      <c r="AY99" s="32">
        <v>120385</v>
      </c>
      <c r="AZ99" s="32">
        <v>75277</v>
      </c>
      <c r="BA99" s="33">
        <v>6.6100000000000006E-2</v>
      </c>
      <c r="BB99" s="33">
        <v>4.4000000000000003E-3</v>
      </c>
    </row>
    <row r="100" spans="49:54">
      <c r="AW100" s="30" t="s">
        <v>118</v>
      </c>
      <c r="AX100" s="31">
        <v>14</v>
      </c>
      <c r="AY100" s="32">
        <v>31340</v>
      </c>
      <c r="AZ100" s="32">
        <v>11113</v>
      </c>
      <c r="BA100" s="33">
        <v>2.3900000000000001E-2</v>
      </c>
      <c r="BB100" s="33">
        <v>1.7100000000000001E-2</v>
      </c>
    </row>
    <row r="101" spans="49:54">
      <c r="AW101" s="30" t="s">
        <v>119</v>
      </c>
      <c r="AX101" s="31">
        <v>35</v>
      </c>
      <c r="AY101" s="32">
        <v>48916</v>
      </c>
      <c r="AZ101" s="32">
        <v>5569</v>
      </c>
      <c r="BA101" s="33">
        <v>9.5200000000000007E-2</v>
      </c>
      <c r="BB101" s="33">
        <v>3.9699999999999999E-2</v>
      </c>
    </row>
    <row r="102" spans="49:54">
      <c r="AW102" s="30" t="s">
        <v>120</v>
      </c>
      <c r="AX102" s="31">
        <v>5</v>
      </c>
      <c r="AY102" s="32">
        <v>3215</v>
      </c>
      <c r="AZ102" s="32">
        <v>3154</v>
      </c>
      <c r="BA102" s="33">
        <v>5.5800000000000002E-2</v>
      </c>
      <c r="BB102" s="33">
        <v>0.14499999999999999</v>
      </c>
    </row>
    <row r="103" spans="49:54">
      <c r="AW103" s="30" t="s">
        <v>121</v>
      </c>
      <c r="AX103" s="31">
        <v>11</v>
      </c>
      <c r="AY103" s="32">
        <v>6606</v>
      </c>
      <c r="AZ103" s="32">
        <v>2737</v>
      </c>
      <c r="BA103" s="33">
        <v>5.4300000000000001E-2</v>
      </c>
      <c r="BB103" s="33">
        <v>4.3999999999999997E-2</v>
      </c>
    </row>
    <row r="104" spans="49:54">
      <c r="AW104" s="30" t="s">
        <v>122</v>
      </c>
      <c r="AX104" s="31">
        <v>52</v>
      </c>
      <c r="AY104" s="32">
        <v>44192</v>
      </c>
      <c r="AZ104" s="32">
        <v>20127</v>
      </c>
      <c r="BA104" s="33">
        <v>0.14349999999999999</v>
      </c>
      <c r="BB104" s="33">
        <v>8.8200000000000001E-2</v>
      </c>
    </row>
    <row r="105" spans="49:54">
      <c r="AW105" s="35" t="s">
        <v>123</v>
      </c>
      <c r="AX105" s="36">
        <v>6068</v>
      </c>
      <c r="AY105" s="37">
        <v>16511898</v>
      </c>
      <c r="AZ105" s="37">
        <v>431867</v>
      </c>
      <c r="BA105" s="38">
        <v>0.1454</v>
      </c>
      <c r="BB105" s="38">
        <v>5.6300000000000003E-2</v>
      </c>
    </row>
  </sheetData>
  <dataValidations count="1">
    <dataValidation type="list" allowBlank="1" showInputMessage="1" showErrorMessage="1" sqref="B2">
      <formula1>"Simple, Multiple"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_GROWTH_SCALER_FUNC">
                <anchor moveWithCells="1" sizeWithCells="1">
                  <from>
                    <xdr:col>1</xdr:col>
                    <xdr:colOff>123825</xdr:colOff>
                    <xdr:row>2</xdr:row>
                    <xdr:rowOff>76200</xdr:rowOff>
                  </from>
                  <to>
                    <xdr:col>1</xdr:col>
                    <xdr:colOff>1685925</xdr:colOff>
                    <xdr:row>2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Growth_Scaler</vt:lpstr>
      <vt:lpstr>OPTION_RNG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2013-10-12T17:45:22Z</dcterms:created>
  <dcterms:modified xsi:type="dcterms:W3CDTF">2013-10-14T06:49:48Z</dcterms:modified>
</cp:coreProperties>
</file>