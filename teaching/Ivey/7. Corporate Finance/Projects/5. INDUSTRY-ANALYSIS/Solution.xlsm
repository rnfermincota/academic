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even\Desktop\Call with Intelli Value Investing- DAMODARNA COMPS\New folder\"/>
    </mc:Choice>
  </mc:AlternateContent>
  <bookViews>
    <workbookView xWindow="0" yWindow="0" windowWidth="27492" windowHeight="16848" activeTab="1"/>
  </bookViews>
  <sheets>
    <sheet name="MASTER" sheetId="1" r:id="rId1"/>
    <sheet name="MODELS" sheetId="2" r:id="rId2"/>
    <sheet name="CONTROL_PANEL" sheetId="6" r:id="rId3"/>
  </sheets>
  <functionGroups builtInGroupCount="18"/>
  <definedNames>
    <definedName name="_xlnm._FilterDatabase" localSheetId="1" hidden="1">MODELS!$A$1:$A$92</definedName>
    <definedName name="DEBT_TBL_RNG">CONTROL_PANEL!$A$7:$C$13</definedName>
    <definedName name="LABEL">MODELS!$A$1</definedName>
    <definedName name="LT_BONDS_RNG">CONTROL_PANEL!$E$2</definedName>
    <definedName name="MARGINAL_TAX_RATE_RNG">CONTROL_PANEL!$F$17</definedName>
    <definedName name="MASTER">MASTER!$A$3:$AQ$103</definedName>
    <definedName name="REPORT">MODELS!$C$1</definedName>
    <definedName name="RISK_PREMIUM_RNG">CONTROL_PANEL!$E$3</definedName>
    <definedName name="TAX_SWITCHER_RNG">CONTROL_PANEL!$F$16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2" i="2" l="1"/>
  <c r="J102" i="2"/>
  <c r="I102" i="2"/>
  <c r="H102" i="2"/>
  <c r="G102" i="2"/>
  <c r="F102" i="2"/>
  <c r="E102" i="2"/>
  <c r="D102" i="2"/>
  <c r="C102" i="2"/>
  <c r="K101" i="2"/>
  <c r="J101" i="2"/>
  <c r="I101" i="2"/>
  <c r="H101" i="2"/>
  <c r="G101" i="2"/>
  <c r="F101" i="2"/>
  <c r="E101" i="2"/>
  <c r="D101" i="2"/>
  <c r="C101" i="2"/>
  <c r="K100" i="2"/>
  <c r="J100" i="2"/>
  <c r="I100" i="2"/>
  <c r="H100" i="2"/>
  <c r="G100" i="2"/>
  <c r="F100" i="2"/>
  <c r="E100" i="2"/>
  <c r="D100" i="2"/>
  <c r="C100" i="2"/>
  <c r="K99" i="2"/>
  <c r="J99" i="2"/>
  <c r="I99" i="2"/>
  <c r="H99" i="2"/>
  <c r="G99" i="2"/>
  <c r="F99" i="2"/>
  <c r="E99" i="2"/>
  <c r="D99" i="2"/>
  <c r="C99" i="2"/>
  <c r="K98" i="2"/>
  <c r="J98" i="2"/>
  <c r="I98" i="2"/>
  <c r="H98" i="2"/>
  <c r="G98" i="2"/>
  <c r="F98" i="2"/>
  <c r="E98" i="2"/>
  <c r="D98" i="2"/>
  <c r="C98" i="2"/>
  <c r="K97" i="2"/>
  <c r="J97" i="2"/>
  <c r="I97" i="2"/>
  <c r="H97" i="2"/>
  <c r="G97" i="2"/>
  <c r="F97" i="2"/>
  <c r="E97" i="2"/>
  <c r="D97" i="2"/>
  <c r="C97" i="2"/>
  <c r="K96" i="2"/>
  <c r="J96" i="2"/>
  <c r="I96" i="2"/>
  <c r="H96" i="2"/>
  <c r="G96" i="2"/>
  <c r="F96" i="2"/>
  <c r="E96" i="2"/>
  <c r="D96" i="2"/>
  <c r="C96" i="2"/>
  <c r="K95" i="2"/>
  <c r="J95" i="2"/>
  <c r="I95" i="2"/>
  <c r="H95" i="2"/>
  <c r="G95" i="2"/>
  <c r="F95" i="2"/>
  <c r="E95" i="2"/>
  <c r="D95" i="2"/>
  <c r="C95" i="2"/>
  <c r="K94" i="2"/>
  <c r="J94" i="2"/>
  <c r="I94" i="2"/>
  <c r="H94" i="2"/>
  <c r="G94" i="2"/>
  <c r="F94" i="2"/>
  <c r="E94" i="2"/>
  <c r="D94" i="2"/>
  <c r="C94" i="2"/>
  <c r="K93" i="2"/>
  <c r="J93" i="2"/>
  <c r="I93" i="2"/>
  <c r="H93" i="2"/>
  <c r="G93" i="2"/>
  <c r="F93" i="2"/>
  <c r="E93" i="2"/>
  <c r="D93" i="2"/>
  <c r="C93" i="2"/>
  <c r="K92" i="2"/>
  <c r="J92" i="2"/>
  <c r="I92" i="2"/>
  <c r="H92" i="2"/>
  <c r="G92" i="2"/>
  <c r="F92" i="2"/>
  <c r="E92" i="2"/>
  <c r="D92" i="2"/>
  <c r="C92" i="2"/>
  <c r="K91" i="2"/>
  <c r="J91" i="2"/>
  <c r="I91" i="2"/>
  <c r="H91" i="2"/>
  <c r="G91" i="2"/>
  <c r="F91" i="2"/>
  <c r="E91" i="2"/>
  <c r="D91" i="2"/>
  <c r="C91" i="2"/>
  <c r="K90" i="2"/>
  <c r="J90" i="2"/>
  <c r="I90" i="2"/>
  <c r="H90" i="2"/>
  <c r="G90" i="2"/>
  <c r="F90" i="2"/>
  <c r="E90" i="2"/>
  <c r="D90" i="2"/>
  <c r="C90" i="2"/>
  <c r="K89" i="2"/>
  <c r="J89" i="2"/>
  <c r="I89" i="2"/>
  <c r="H89" i="2"/>
  <c r="G89" i="2"/>
  <c r="F89" i="2"/>
  <c r="E89" i="2"/>
  <c r="D89" i="2"/>
  <c r="C89" i="2"/>
  <c r="K88" i="2"/>
  <c r="J88" i="2"/>
  <c r="I88" i="2"/>
  <c r="H88" i="2"/>
  <c r="G88" i="2"/>
  <c r="F88" i="2"/>
  <c r="E88" i="2"/>
  <c r="D88" i="2"/>
  <c r="C88" i="2"/>
  <c r="K87" i="2"/>
  <c r="J87" i="2"/>
  <c r="I87" i="2"/>
  <c r="H87" i="2"/>
  <c r="G87" i="2"/>
  <c r="F87" i="2"/>
  <c r="E87" i="2"/>
  <c r="D87" i="2"/>
  <c r="C87" i="2"/>
  <c r="K86" i="2"/>
  <c r="J86" i="2"/>
  <c r="I86" i="2"/>
  <c r="H86" i="2"/>
  <c r="G86" i="2"/>
  <c r="F86" i="2"/>
  <c r="E86" i="2"/>
  <c r="D86" i="2"/>
  <c r="C86" i="2"/>
  <c r="K85" i="2"/>
  <c r="J85" i="2"/>
  <c r="I85" i="2"/>
  <c r="H85" i="2"/>
  <c r="G85" i="2"/>
  <c r="F85" i="2"/>
  <c r="E85" i="2"/>
  <c r="D85" i="2"/>
  <c r="C85" i="2"/>
  <c r="K84" i="2"/>
  <c r="J84" i="2"/>
  <c r="I84" i="2"/>
  <c r="H84" i="2"/>
  <c r="G84" i="2"/>
  <c r="F84" i="2"/>
  <c r="E84" i="2"/>
  <c r="D84" i="2"/>
  <c r="C84" i="2"/>
  <c r="K83" i="2"/>
  <c r="J83" i="2"/>
  <c r="I83" i="2"/>
  <c r="H83" i="2"/>
  <c r="G83" i="2"/>
  <c r="F83" i="2"/>
  <c r="E83" i="2"/>
  <c r="D83" i="2"/>
  <c r="C83" i="2"/>
  <c r="K82" i="2"/>
  <c r="J82" i="2"/>
  <c r="I82" i="2"/>
  <c r="H82" i="2"/>
  <c r="G82" i="2"/>
  <c r="F82" i="2"/>
  <c r="E82" i="2"/>
  <c r="D82" i="2"/>
  <c r="C82" i="2"/>
  <c r="K81" i="2"/>
  <c r="J81" i="2"/>
  <c r="I81" i="2"/>
  <c r="H81" i="2"/>
  <c r="G81" i="2"/>
  <c r="F81" i="2"/>
  <c r="E81" i="2"/>
  <c r="D81" i="2"/>
  <c r="C81" i="2"/>
  <c r="K80" i="2"/>
  <c r="J80" i="2"/>
  <c r="I80" i="2"/>
  <c r="H80" i="2"/>
  <c r="G80" i="2"/>
  <c r="F80" i="2"/>
  <c r="E80" i="2"/>
  <c r="D80" i="2"/>
  <c r="C80" i="2"/>
  <c r="K79" i="2"/>
  <c r="J79" i="2"/>
  <c r="I79" i="2"/>
  <c r="H79" i="2"/>
  <c r="G79" i="2"/>
  <c r="F79" i="2"/>
  <c r="E79" i="2"/>
  <c r="D79" i="2"/>
  <c r="C79" i="2"/>
  <c r="K78" i="2"/>
  <c r="J78" i="2"/>
  <c r="I78" i="2"/>
  <c r="H78" i="2"/>
  <c r="G78" i="2"/>
  <c r="F78" i="2"/>
  <c r="E78" i="2"/>
  <c r="D78" i="2"/>
  <c r="C78" i="2"/>
  <c r="K77" i="2"/>
  <c r="J77" i="2"/>
  <c r="I77" i="2"/>
  <c r="H77" i="2"/>
  <c r="G77" i="2"/>
  <c r="F77" i="2"/>
  <c r="E77" i="2"/>
  <c r="D77" i="2"/>
  <c r="C77" i="2"/>
  <c r="K76" i="2"/>
  <c r="J76" i="2"/>
  <c r="I76" i="2"/>
  <c r="H76" i="2"/>
  <c r="G76" i="2"/>
  <c r="F76" i="2"/>
  <c r="E76" i="2"/>
  <c r="D76" i="2"/>
  <c r="C76" i="2"/>
  <c r="K75" i="2"/>
  <c r="J75" i="2"/>
  <c r="I75" i="2"/>
  <c r="H75" i="2"/>
  <c r="G75" i="2"/>
  <c r="F75" i="2"/>
  <c r="E75" i="2"/>
  <c r="D75" i="2"/>
  <c r="C75" i="2"/>
  <c r="K74" i="2"/>
  <c r="J74" i="2"/>
  <c r="I74" i="2"/>
  <c r="H74" i="2"/>
  <c r="G74" i="2"/>
  <c r="F74" i="2"/>
  <c r="E74" i="2"/>
  <c r="D74" i="2"/>
  <c r="C74" i="2"/>
  <c r="K73" i="2"/>
  <c r="J73" i="2"/>
  <c r="I73" i="2"/>
  <c r="H73" i="2"/>
  <c r="G73" i="2"/>
  <c r="F73" i="2"/>
  <c r="E73" i="2"/>
  <c r="D73" i="2"/>
  <c r="C73" i="2"/>
  <c r="K72" i="2"/>
  <c r="J72" i="2"/>
  <c r="I72" i="2"/>
  <c r="H72" i="2"/>
  <c r="G72" i="2"/>
  <c r="F72" i="2"/>
  <c r="E72" i="2"/>
  <c r="D72" i="2"/>
  <c r="C72" i="2"/>
  <c r="K71" i="2"/>
  <c r="J71" i="2"/>
  <c r="I71" i="2"/>
  <c r="H71" i="2"/>
  <c r="G71" i="2"/>
  <c r="F71" i="2"/>
  <c r="E71" i="2"/>
  <c r="D71" i="2"/>
  <c r="C71" i="2"/>
  <c r="K70" i="2"/>
  <c r="J70" i="2"/>
  <c r="I70" i="2"/>
  <c r="H70" i="2"/>
  <c r="G70" i="2"/>
  <c r="F70" i="2"/>
  <c r="E70" i="2"/>
  <c r="D70" i="2"/>
  <c r="C70" i="2"/>
  <c r="K69" i="2"/>
  <c r="J69" i="2"/>
  <c r="I69" i="2"/>
  <c r="H69" i="2"/>
  <c r="G69" i="2"/>
  <c r="F69" i="2"/>
  <c r="E69" i="2"/>
  <c r="D69" i="2"/>
  <c r="C69" i="2"/>
  <c r="K68" i="2"/>
  <c r="J68" i="2"/>
  <c r="I68" i="2"/>
  <c r="H68" i="2"/>
  <c r="G68" i="2"/>
  <c r="F68" i="2"/>
  <c r="E68" i="2"/>
  <c r="D68" i="2"/>
  <c r="C68" i="2"/>
  <c r="K67" i="2"/>
  <c r="J67" i="2"/>
  <c r="I67" i="2"/>
  <c r="H67" i="2"/>
  <c r="G67" i="2"/>
  <c r="F67" i="2"/>
  <c r="E67" i="2"/>
  <c r="D67" i="2"/>
  <c r="C67" i="2"/>
  <c r="K66" i="2"/>
  <c r="J66" i="2"/>
  <c r="I66" i="2"/>
  <c r="H66" i="2"/>
  <c r="G66" i="2"/>
  <c r="F66" i="2"/>
  <c r="E66" i="2"/>
  <c r="D66" i="2"/>
  <c r="C66" i="2"/>
  <c r="K65" i="2"/>
  <c r="J65" i="2"/>
  <c r="I65" i="2"/>
  <c r="H65" i="2"/>
  <c r="G65" i="2"/>
  <c r="F65" i="2"/>
  <c r="E65" i="2"/>
  <c r="D65" i="2"/>
  <c r="C65" i="2"/>
  <c r="K64" i="2"/>
  <c r="J64" i="2"/>
  <c r="I64" i="2"/>
  <c r="H64" i="2"/>
  <c r="G64" i="2"/>
  <c r="F64" i="2"/>
  <c r="E64" i="2"/>
  <c r="D64" i="2"/>
  <c r="C64" i="2"/>
  <c r="K63" i="2"/>
  <c r="J63" i="2"/>
  <c r="I63" i="2"/>
  <c r="H63" i="2"/>
  <c r="G63" i="2"/>
  <c r="F63" i="2"/>
  <c r="E63" i="2"/>
  <c r="D63" i="2"/>
  <c r="C63" i="2"/>
  <c r="K62" i="2"/>
  <c r="J62" i="2"/>
  <c r="I62" i="2"/>
  <c r="H62" i="2"/>
  <c r="G62" i="2"/>
  <c r="F62" i="2"/>
  <c r="E62" i="2"/>
  <c r="D62" i="2"/>
  <c r="C62" i="2"/>
  <c r="K61" i="2"/>
  <c r="J61" i="2"/>
  <c r="I61" i="2"/>
  <c r="H61" i="2"/>
  <c r="G61" i="2"/>
  <c r="F61" i="2"/>
  <c r="E61" i="2"/>
  <c r="D61" i="2"/>
  <c r="C61" i="2"/>
  <c r="K60" i="2"/>
  <c r="J60" i="2"/>
  <c r="I60" i="2"/>
  <c r="H60" i="2"/>
  <c r="G60" i="2"/>
  <c r="F60" i="2"/>
  <c r="E60" i="2"/>
  <c r="D60" i="2"/>
  <c r="C60" i="2"/>
  <c r="K59" i="2"/>
  <c r="J59" i="2"/>
  <c r="I59" i="2"/>
  <c r="H59" i="2"/>
  <c r="G59" i="2"/>
  <c r="F59" i="2"/>
  <c r="E59" i="2"/>
  <c r="D59" i="2"/>
  <c r="C59" i="2"/>
  <c r="K58" i="2"/>
  <c r="J58" i="2"/>
  <c r="I58" i="2"/>
  <c r="H58" i="2"/>
  <c r="G58" i="2"/>
  <c r="F58" i="2"/>
  <c r="E58" i="2"/>
  <c r="D58" i="2"/>
  <c r="C58" i="2"/>
  <c r="K57" i="2"/>
  <c r="J57" i="2"/>
  <c r="I57" i="2"/>
  <c r="H57" i="2"/>
  <c r="G57" i="2"/>
  <c r="F57" i="2"/>
  <c r="E57" i="2"/>
  <c r="D57" i="2"/>
  <c r="C57" i="2"/>
  <c r="K56" i="2"/>
  <c r="J56" i="2"/>
  <c r="I56" i="2"/>
  <c r="H56" i="2"/>
  <c r="G56" i="2"/>
  <c r="F56" i="2"/>
  <c r="E56" i="2"/>
  <c r="D56" i="2"/>
  <c r="C56" i="2"/>
  <c r="K55" i="2"/>
  <c r="J55" i="2"/>
  <c r="I55" i="2"/>
  <c r="H55" i="2"/>
  <c r="G55" i="2"/>
  <c r="F55" i="2"/>
  <c r="E55" i="2"/>
  <c r="D55" i="2"/>
  <c r="C55" i="2"/>
  <c r="K54" i="2"/>
  <c r="J54" i="2"/>
  <c r="I54" i="2"/>
  <c r="H54" i="2"/>
  <c r="G54" i="2"/>
  <c r="F54" i="2"/>
  <c r="E54" i="2"/>
  <c r="D54" i="2"/>
  <c r="C54" i="2"/>
  <c r="K53" i="2"/>
  <c r="J53" i="2"/>
  <c r="I53" i="2"/>
  <c r="H53" i="2"/>
  <c r="G53" i="2"/>
  <c r="F53" i="2"/>
  <c r="E53" i="2"/>
  <c r="D53" i="2"/>
  <c r="C53" i="2"/>
  <c r="K52" i="2"/>
  <c r="J52" i="2"/>
  <c r="I52" i="2"/>
  <c r="H52" i="2"/>
  <c r="G52" i="2"/>
  <c r="F52" i="2"/>
  <c r="E52" i="2"/>
  <c r="D52" i="2"/>
  <c r="C52" i="2"/>
  <c r="K51" i="2"/>
  <c r="J51" i="2"/>
  <c r="I51" i="2"/>
  <c r="H51" i="2"/>
  <c r="G51" i="2"/>
  <c r="F51" i="2"/>
  <c r="E51" i="2"/>
  <c r="D51" i="2"/>
  <c r="C51" i="2"/>
  <c r="K50" i="2"/>
  <c r="J50" i="2"/>
  <c r="I50" i="2"/>
  <c r="H50" i="2"/>
  <c r="G50" i="2"/>
  <c r="F50" i="2"/>
  <c r="E50" i="2"/>
  <c r="D50" i="2"/>
  <c r="C50" i="2"/>
  <c r="K49" i="2"/>
  <c r="J49" i="2"/>
  <c r="I49" i="2"/>
  <c r="H49" i="2"/>
  <c r="G49" i="2"/>
  <c r="F49" i="2"/>
  <c r="E49" i="2"/>
  <c r="D49" i="2"/>
  <c r="C49" i="2"/>
  <c r="K48" i="2"/>
  <c r="J48" i="2"/>
  <c r="I48" i="2"/>
  <c r="H48" i="2"/>
  <c r="G48" i="2"/>
  <c r="F48" i="2"/>
  <c r="E48" i="2"/>
  <c r="D48" i="2"/>
  <c r="C48" i="2"/>
  <c r="K47" i="2"/>
  <c r="J47" i="2"/>
  <c r="I47" i="2"/>
  <c r="H47" i="2"/>
  <c r="G47" i="2"/>
  <c r="F47" i="2"/>
  <c r="E47" i="2"/>
  <c r="D47" i="2"/>
  <c r="C47" i="2"/>
  <c r="K46" i="2"/>
  <c r="J46" i="2"/>
  <c r="I46" i="2"/>
  <c r="H46" i="2"/>
  <c r="G46" i="2"/>
  <c r="F46" i="2"/>
  <c r="E46" i="2"/>
  <c r="D46" i="2"/>
  <c r="C46" i="2"/>
  <c r="K45" i="2"/>
  <c r="J45" i="2"/>
  <c r="I45" i="2"/>
  <c r="H45" i="2"/>
  <c r="G45" i="2"/>
  <c r="F45" i="2"/>
  <c r="E45" i="2"/>
  <c r="D45" i="2"/>
  <c r="C45" i="2"/>
  <c r="K44" i="2"/>
  <c r="J44" i="2"/>
  <c r="I44" i="2"/>
  <c r="H44" i="2"/>
  <c r="G44" i="2"/>
  <c r="F44" i="2"/>
  <c r="E44" i="2"/>
  <c r="D44" i="2"/>
  <c r="C44" i="2"/>
  <c r="K43" i="2"/>
  <c r="J43" i="2"/>
  <c r="I43" i="2"/>
  <c r="H43" i="2"/>
  <c r="G43" i="2"/>
  <c r="F43" i="2"/>
  <c r="E43" i="2"/>
  <c r="D43" i="2"/>
  <c r="C43" i="2"/>
  <c r="K42" i="2"/>
  <c r="J42" i="2"/>
  <c r="I42" i="2"/>
  <c r="H42" i="2"/>
  <c r="G42" i="2"/>
  <c r="F42" i="2"/>
  <c r="E42" i="2"/>
  <c r="D42" i="2"/>
  <c r="C42" i="2"/>
  <c r="K41" i="2"/>
  <c r="J41" i="2"/>
  <c r="I41" i="2"/>
  <c r="H41" i="2"/>
  <c r="G41" i="2"/>
  <c r="F41" i="2"/>
  <c r="E41" i="2"/>
  <c r="D41" i="2"/>
  <c r="C41" i="2"/>
  <c r="K40" i="2"/>
  <c r="J40" i="2"/>
  <c r="I40" i="2"/>
  <c r="H40" i="2"/>
  <c r="G40" i="2"/>
  <c r="F40" i="2"/>
  <c r="E40" i="2"/>
  <c r="D40" i="2"/>
  <c r="C40" i="2"/>
  <c r="K39" i="2"/>
  <c r="J39" i="2"/>
  <c r="I39" i="2"/>
  <c r="H39" i="2"/>
  <c r="G39" i="2"/>
  <c r="F39" i="2"/>
  <c r="E39" i="2"/>
  <c r="D39" i="2"/>
  <c r="C39" i="2"/>
  <c r="K38" i="2"/>
  <c r="J38" i="2"/>
  <c r="I38" i="2"/>
  <c r="H38" i="2"/>
  <c r="G38" i="2"/>
  <c r="F38" i="2"/>
  <c r="E38" i="2"/>
  <c r="D38" i="2"/>
  <c r="C38" i="2"/>
  <c r="K37" i="2"/>
  <c r="J37" i="2"/>
  <c r="I37" i="2"/>
  <c r="H37" i="2"/>
  <c r="G37" i="2"/>
  <c r="F37" i="2"/>
  <c r="E37" i="2"/>
  <c r="D37" i="2"/>
  <c r="C37" i="2"/>
  <c r="K36" i="2"/>
  <c r="J36" i="2"/>
  <c r="I36" i="2"/>
  <c r="H36" i="2"/>
  <c r="G36" i="2"/>
  <c r="F36" i="2"/>
  <c r="E36" i="2"/>
  <c r="D36" i="2"/>
  <c r="C36" i="2"/>
  <c r="K35" i="2"/>
  <c r="J35" i="2"/>
  <c r="I35" i="2"/>
  <c r="H35" i="2"/>
  <c r="G35" i="2"/>
  <c r="F35" i="2"/>
  <c r="E35" i="2"/>
  <c r="D35" i="2"/>
  <c r="C35" i="2"/>
  <c r="K34" i="2"/>
  <c r="J34" i="2"/>
  <c r="I34" i="2"/>
  <c r="H34" i="2"/>
  <c r="G34" i="2"/>
  <c r="F34" i="2"/>
  <c r="E34" i="2"/>
  <c r="D34" i="2"/>
  <c r="C34" i="2"/>
  <c r="K33" i="2"/>
  <c r="J33" i="2"/>
  <c r="I33" i="2"/>
  <c r="H33" i="2"/>
  <c r="G33" i="2"/>
  <c r="F33" i="2"/>
  <c r="E33" i="2"/>
  <c r="D33" i="2"/>
  <c r="C33" i="2"/>
  <c r="K32" i="2"/>
  <c r="J32" i="2"/>
  <c r="I32" i="2"/>
  <c r="H32" i="2"/>
  <c r="G32" i="2"/>
  <c r="F32" i="2"/>
  <c r="E32" i="2"/>
  <c r="D32" i="2"/>
  <c r="C32" i="2"/>
  <c r="K31" i="2"/>
  <c r="J31" i="2"/>
  <c r="I31" i="2"/>
  <c r="H31" i="2"/>
  <c r="G31" i="2"/>
  <c r="F31" i="2"/>
  <c r="E31" i="2"/>
  <c r="D31" i="2"/>
  <c r="C31" i="2"/>
  <c r="K30" i="2"/>
  <c r="J30" i="2"/>
  <c r="I30" i="2"/>
  <c r="H30" i="2"/>
  <c r="G30" i="2"/>
  <c r="F30" i="2"/>
  <c r="E30" i="2"/>
  <c r="D30" i="2"/>
  <c r="C30" i="2"/>
  <c r="K29" i="2"/>
  <c r="J29" i="2"/>
  <c r="I29" i="2"/>
  <c r="H29" i="2"/>
  <c r="G29" i="2"/>
  <c r="F29" i="2"/>
  <c r="E29" i="2"/>
  <c r="D29" i="2"/>
  <c r="C29" i="2"/>
  <c r="K28" i="2"/>
  <c r="J28" i="2"/>
  <c r="I28" i="2"/>
  <c r="H28" i="2"/>
  <c r="G28" i="2"/>
  <c r="F28" i="2"/>
  <c r="E28" i="2"/>
  <c r="D28" i="2"/>
  <c r="C28" i="2"/>
  <c r="K27" i="2"/>
  <c r="J27" i="2"/>
  <c r="I27" i="2"/>
  <c r="H27" i="2"/>
  <c r="G27" i="2"/>
  <c r="F27" i="2"/>
  <c r="E27" i="2"/>
  <c r="D27" i="2"/>
  <c r="C27" i="2"/>
  <c r="K26" i="2"/>
  <c r="J26" i="2"/>
  <c r="I26" i="2"/>
  <c r="H26" i="2"/>
  <c r="G26" i="2"/>
  <c r="F26" i="2"/>
  <c r="E26" i="2"/>
  <c r="D26" i="2"/>
  <c r="C26" i="2"/>
  <c r="K25" i="2"/>
  <c r="J25" i="2"/>
  <c r="I25" i="2"/>
  <c r="H25" i="2"/>
  <c r="G25" i="2"/>
  <c r="F25" i="2"/>
  <c r="E25" i="2"/>
  <c r="D25" i="2"/>
  <c r="C25" i="2"/>
  <c r="K24" i="2"/>
  <c r="J24" i="2"/>
  <c r="I24" i="2"/>
  <c r="H24" i="2"/>
  <c r="G24" i="2"/>
  <c r="F24" i="2"/>
  <c r="E24" i="2"/>
  <c r="D24" i="2"/>
  <c r="C24" i="2"/>
  <c r="K23" i="2"/>
  <c r="J23" i="2"/>
  <c r="I23" i="2"/>
  <c r="H23" i="2"/>
  <c r="G23" i="2"/>
  <c r="F23" i="2"/>
  <c r="E23" i="2"/>
  <c r="D23" i="2"/>
  <c r="C23" i="2"/>
  <c r="K22" i="2"/>
  <c r="J22" i="2"/>
  <c r="I22" i="2"/>
  <c r="H22" i="2"/>
  <c r="G22" i="2"/>
  <c r="F22" i="2"/>
  <c r="E22" i="2"/>
  <c r="D22" i="2"/>
  <c r="C22" i="2"/>
  <c r="K21" i="2"/>
  <c r="J21" i="2"/>
  <c r="I21" i="2"/>
  <c r="H21" i="2"/>
  <c r="G21" i="2"/>
  <c r="F21" i="2"/>
  <c r="E21" i="2"/>
  <c r="D21" i="2"/>
  <c r="C21" i="2"/>
  <c r="K20" i="2"/>
  <c r="J20" i="2"/>
  <c r="I20" i="2"/>
  <c r="H20" i="2"/>
  <c r="G20" i="2"/>
  <c r="F20" i="2"/>
  <c r="E20" i="2"/>
  <c r="D20" i="2"/>
  <c r="C20" i="2"/>
  <c r="K19" i="2"/>
  <c r="J19" i="2"/>
  <c r="I19" i="2"/>
  <c r="H19" i="2"/>
  <c r="G19" i="2"/>
  <c r="F19" i="2"/>
  <c r="E19" i="2"/>
  <c r="D19" i="2"/>
  <c r="C19" i="2"/>
  <c r="K18" i="2"/>
  <c r="J18" i="2"/>
  <c r="I18" i="2"/>
  <c r="H18" i="2"/>
  <c r="G18" i="2"/>
  <c r="F18" i="2"/>
  <c r="E18" i="2"/>
  <c r="D18" i="2"/>
  <c r="C18" i="2"/>
  <c r="K17" i="2"/>
  <c r="J17" i="2"/>
  <c r="I17" i="2"/>
  <c r="H17" i="2"/>
  <c r="G17" i="2"/>
  <c r="F17" i="2"/>
  <c r="E17" i="2"/>
  <c r="D17" i="2"/>
  <c r="C17" i="2"/>
  <c r="K16" i="2"/>
  <c r="J16" i="2"/>
  <c r="I16" i="2"/>
  <c r="H16" i="2"/>
  <c r="G16" i="2"/>
  <c r="F16" i="2"/>
  <c r="E16" i="2"/>
  <c r="D16" i="2"/>
  <c r="C16" i="2"/>
  <c r="K15" i="2"/>
  <c r="J15" i="2"/>
  <c r="I15" i="2"/>
  <c r="H15" i="2"/>
  <c r="G15" i="2"/>
  <c r="F15" i="2"/>
  <c r="E15" i="2"/>
  <c r="D15" i="2"/>
  <c r="C15" i="2"/>
  <c r="K14" i="2"/>
  <c r="J14" i="2"/>
  <c r="I14" i="2"/>
  <c r="H14" i="2"/>
  <c r="G14" i="2"/>
  <c r="F14" i="2"/>
  <c r="E14" i="2"/>
  <c r="D14" i="2"/>
  <c r="C14" i="2"/>
  <c r="K13" i="2"/>
  <c r="J13" i="2"/>
  <c r="I13" i="2"/>
  <c r="H13" i="2"/>
  <c r="G13" i="2"/>
  <c r="F13" i="2"/>
  <c r="E13" i="2"/>
  <c r="D13" i="2"/>
  <c r="C13" i="2"/>
  <c r="K12" i="2"/>
  <c r="J12" i="2"/>
  <c r="I12" i="2"/>
  <c r="H12" i="2"/>
  <c r="G12" i="2"/>
  <c r="F12" i="2"/>
  <c r="E12" i="2"/>
  <c r="D12" i="2"/>
  <c r="C12" i="2"/>
  <c r="K11" i="2"/>
  <c r="J11" i="2"/>
  <c r="I11" i="2"/>
  <c r="H11" i="2"/>
  <c r="G11" i="2"/>
  <c r="F11" i="2"/>
  <c r="E11" i="2"/>
  <c r="D11" i="2"/>
  <c r="C11" i="2"/>
  <c r="K10" i="2"/>
  <c r="J10" i="2"/>
  <c r="I10" i="2"/>
  <c r="H10" i="2"/>
  <c r="G10" i="2"/>
  <c r="F10" i="2"/>
  <c r="E10" i="2"/>
  <c r="D10" i="2"/>
  <c r="C10" i="2"/>
  <c r="K9" i="2"/>
  <c r="J9" i="2"/>
  <c r="I9" i="2"/>
  <c r="H9" i="2"/>
  <c r="G9" i="2"/>
  <c r="F9" i="2"/>
  <c r="E9" i="2"/>
  <c r="D9" i="2"/>
  <c r="C9" i="2"/>
  <c r="K8" i="2"/>
  <c r="J8" i="2"/>
  <c r="I8" i="2"/>
  <c r="H8" i="2"/>
  <c r="G8" i="2"/>
  <c r="F8" i="2"/>
  <c r="E8" i="2"/>
  <c r="D8" i="2"/>
  <c r="C8" i="2"/>
  <c r="K7" i="2"/>
  <c r="J7" i="2"/>
  <c r="I7" i="2"/>
  <c r="H7" i="2"/>
  <c r="G7" i="2"/>
  <c r="F7" i="2"/>
  <c r="E7" i="2"/>
  <c r="D7" i="2"/>
  <c r="C7" i="2"/>
  <c r="K6" i="2"/>
  <c r="J6" i="2"/>
  <c r="I6" i="2"/>
  <c r="H6" i="2"/>
  <c r="G6" i="2"/>
  <c r="F6" i="2"/>
  <c r="E6" i="2"/>
  <c r="D6" i="2"/>
  <c r="C6" i="2"/>
  <c r="K5" i="2"/>
  <c r="J5" i="2"/>
  <c r="I5" i="2"/>
  <c r="H5" i="2"/>
  <c r="G5" i="2"/>
  <c r="F5" i="2"/>
  <c r="E5" i="2"/>
  <c r="D5" i="2"/>
  <c r="C5" i="2"/>
  <c r="K4" i="2"/>
  <c r="J4" i="2"/>
  <c r="I4" i="2"/>
  <c r="H4" i="2"/>
  <c r="G4" i="2"/>
  <c r="F4" i="2"/>
  <c r="E4" i="2"/>
  <c r="D4" i="2"/>
  <c r="C4" i="2"/>
  <c r="K3" i="2"/>
  <c r="J3" i="2"/>
  <c r="I3" i="2"/>
  <c r="H3" i="2"/>
  <c r="G3" i="2"/>
  <c r="F3" i="2"/>
  <c r="E3" i="2"/>
  <c r="D3" i="2"/>
  <c r="C3" i="2"/>
  <c r="K2" i="2"/>
  <c r="J2" i="2"/>
  <c r="I2" i="2"/>
  <c r="H2" i="2"/>
  <c r="G2" i="2"/>
  <c r="F2" i="2"/>
  <c r="E2" i="2"/>
  <c r="D2" i="2"/>
  <c r="C2" i="2"/>
</calcChain>
</file>

<file path=xl/sharedStrings.xml><?xml version="1.0" encoding="utf-8"?>
<sst xmlns="http://schemas.openxmlformats.org/spreadsheetml/2006/main" count="192" uniqueCount="191">
  <si>
    <t>Industry Name</t>
  </si>
  <si>
    <t>Count of Market Cap</t>
  </si>
  <si>
    <t>Sum of Dividends</t>
  </si>
  <si>
    <t>Average of Value Line Beta</t>
  </si>
  <si>
    <t>Average of Current PE</t>
  </si>
  <si>
    <t>Average of Forward PE</t>
  </si>
  <si>
    <t>Average of Trailing PE</t>
  </si>
  <si>
    <t>Average of Dividend Yield</t>
  </si>
  <si>
    <t>Average of Eff Tax Rate</t>
  </si>
  <si>
    <t>Average of Insider Holdings</t>
  </si>
  <si>
    <t>Average of Institutional Holdings</t>
  </si>
  <si>
    <t>Sum of Market Cap</t>
  </si>
  <si>
    <t>Sum of Total Debt</t>
  </si>
  <si>
    <t>Sum of Firm Value</t>
  </si>
  <si>
    <t>Sum of Enterprise Value</t>
  </si>
  <si>
    <t>Sum of Invested Capital</t>
  </si>
  <si>
    <t>Sum of Non-cash WC</t>
  </si>
  <si>
    <t>Sum of Chg in non-cash WC</t>
  </si>
  <si>
    <t>Sum of Reinvestment</t>
  </si>
  <si>
    <t>Sum of Revenues: Last yr</t>
  </si>
  <si>
    <t>Sum of SG&amp;A Expenses</t>
  </si>
  <si>
    <t>Sum of EBIT</t>
  </si>
  <si>
    <t>Sum of EBITDA</t>
  </si>
  <si>
    <t>Sum of EBIT(1-t)</t>
  </si>
  <si>
    <t>Sum of Depreciation</t>
  </si>
  <si>
    <t>Sum of Capital Expenditures</t>
  </si>
  <si>
    <t>Sum of Net Income</t>
  </si>
  <si>
    <t>Sum of Trailing Net Income</t>
  </si>
  <si>
    <t>Sum of Cash</t>
  </si>
  <si>
    <t>Sum of Accounts Receivable</t>
  </si>
  <si>
    <t>Sum of Inventories</t>
  </si>
  <si>
    <t>Sum of Net Plant</t>
  </si>
  <si>
    <t>Sum of Total Assets</t>
  </si>
  <si>
    <t>Sum of Accounts Payable</t>
  </si>
  <si>
    <t>Sum of Shareholders Equity</t>
  </si>
  <si>
    <t>Average of Sales Growth 1-Year</t>
  </si>
  <si>
    <t>Average of EPS Growth 5-Year</t>
  </si>
  <si>
    <t>Average of Total Return 5-Year</t>
  </si>
  <si>
    <t>Average of Beta 5-Year</t>
  </si>
  <si>
    <t>Average of Correlation</t>
  </si>
  <si>
    <t>Average of Std Dev 3-Year</t>
  </si>
  <si>
    <t>Average of Proj EPS Growth Rate</t>
  </si>
  <si>
    <t>Average of Dividend Growth 5-Year</t>
  </si>
  <si>
    <t>Advertising</t>
  </si>
  <si>
    <t>Aerospace/Defense</t>
  </si>
  <si>
    <t>Air Transport</t>
  </si>
  <si>
    <t>Apparel</t>
  </si>
  <si>
    <t>Auto &amp; Truck</t>
  </si>
  <si>
    <t>Auto Parts</t>
  </si>
  <si>
    <t>Bank</t>
  </si>
  <si>
    <t>Bank (Canadian)</t>
  </si>
  <si>
    <t>Bank (Midwest)</t>
  </si>
  <si>
    <t>Beverage</t>
  </si>
  <si>
    <t>Biotechnology</t>
  </si>
  <si>
    <t>Building Materials</t>
  </si>
  <si>
    <t>Cable TV</t>
  </si>
  <si>
    <t>Canadian Energy</t>
  </si>
  <si>
    <t>Chemical (Basic)</t>
  </si>
  <si>
    <t>Chemical (Diversified)</t>
  </si>
  <si>
    <t>Chemical (Specialty)</t>
  </si>
  <si>
    <t>Coal</t>
  </si>
  <si>
    <t>Computer Software/Svcs</t>
  </si>
  <si>
    <t>Computers/Peripherals</t>
  </si>
  <si>
    <t>Diversified Co.</t>
  </si>
  <si>
    <t>Drug</t>
  </si>
  <si>
    <t>E-Commerce</t>
  </si>
  <si>
    <t>Educational Services</t>
  </si>
  <si>
    <t>Electric Util. (Central)</t>
  </si>
  <si>
    <t>Electric Utility (East)</t>
  </si>
  <si>
    <t>Electric Utility (West)</t>
  </si>
  <si>
    <t>Electrical Equipment</t>
  </si>
  <si>
    <t>Electronics</t>
  </si>
  <si>
    <t>Entertainment</t>
  </si>
  <si>
    <t>Entertainment Tech</t>
  </si>
  <si>
    <t>Environmental</t>
  </si>
  <si>
    <t>Financial Svcs. (Div.)</t>
  </si>
  <si>
    <t>Food Processing</t>
  </si>
  <si>
    <t>Food Wholesalers</t>
  </si>
  <si>
    <t>Foreign Electronics</t>
  </si>
  <si>
    <t>Furn/Home Furnishings</t>
  </si>
  <si>
    <t>Grocery</t>
  </si>
  <si>
    <t>Healthcare Information</t>
  </si>
  <si>
    <t>Heavy Construction</t>
  </si>
  <si>
    <t>Home Appliance</t>
  </si>
  <si>
    <t>Homebuilding</t>
  </si>
  <si>
    <t>Hotel/Gaming</t>
  </si>
  <si>
    <t>Household Products</t>
  </si>
  <si>
    <t>Human Resources</t>
  </si>
  <si>
    <t>Industrial Services</t>
  </si>
  <si>
    <t>Information Services</t>
  </si>
  <si>
    <t>Insurance (Life)</t>
  </si>
  <si>
    <t>Insurance (Prop/Cas.)</t>
  </si>
  <si>
    <t>Internet</t>
  </si>
  <si>
    <t>Investment Co.</t>
  </si>
  <si>
    <t>Investment Co.(Foreign)</t>
  </si>
  <si>
    <t>Machinery</t>
  </si>
  <si>
    <t>Manuf. Housing/RV</t>
  </si>
  <si>
    <t>Maritime</t>
  </si>
  <si>
    <t>Medical Services</t>
  </si>
  <si>
    <t>Medical Supplies</t>
  </si>
  <si>
    <t>Metal Fabricating</t>
  </si>
  <si>
    <t>Metals &amp; Mining (Div.)</t>
  </si>
  <si>
    <t>Natural Gas (Div.)</t>
  </si>
  <si>
    <t>Natural Gas Utility</t>
  </si>
  <si>
    <t>Newspaper</t>
  </si>
  <si>
    <t>Office Equip/Supplies</t>
  </si>
  <si>
    <t>Oil/Gas Distribution</t>
  </si>
  <si>
    <t>Oilfield Svcs/Equip.</t>
  </si>
  <si>
    <t>Packaging &amp; Container</t>
  </si>
  <si>
    <t>Paper/Forest Products</t>
  </si>
  <si>
    <t>Petroleum (Integrated)</t>
  </si>
  <si>
    <t>Petroleum (Producing)</t>
  </si>
  <si>
    <t>Pharmacy Services</t>
  </si>
  <si>
    <t>Power</t>
  </si>
  <si>
    <t>Precious Metals</t>
  </si>
  <si>
    <t>Precision Instrument</t>
  </si>
  <si>
    <t>Property Management</t>
  </si>
  <si>
    <t>Publishing</t>
  </si>
  <si>
    <t>R.E.I.T.</t>
  </si>
  <si>
    <t>Railroad</t>
  </si>
  <si>
    <t>Recreation</t>
  </si>
  <si>
    <t>Reinsurance</t>
  </si>
  <si>
    <t>Restaurant</t>
  </si>
  <si>
    <t>Retail (Special Lines)</t>
  </si>
  <si>
    <t>Retail Automotive</t>
  </si>
  <si>
    <t>Retail Building Supply</t>
  </si>
  <si>
    <t>Retail Store</t>
  </si>
  <si>
    <t>Securities Brokerage</t>
  </si>
  <si>
    <t>Semiconductor</t>
  </si>
  <si>
    <t>Semiconductor Equip</t>
  </si>
  <si>
    <t>Shoe</t>
  </si>
  <si>
    <t>Steel (General)</t>
  </si>
  <si>
    <t>Steel (Integrated)</t>
  </si>
  <si>
    <t>Telecom. Equipment</t>
  </si>
  <si>
    <t>Telecom. Services</t>
  </si>
  <si>
    <t>Thrift</t>
  </si>
  <si>
    <t>Tobacco</t>
  </si>
  <si>
    <t>Toiletries/Cosmetics</t>
  </si>
  <si>
    <t>Trucking</t>
  </si>
  <si>
    <t>Unassigned</t>
  </si>
  <si>
    <t>Utility (Foreign)</t>
  </si>
  <si>
    <t>Water Utility</t>
  </si>
  <si>
    <t>Wireless Networking</t>
  </si>
  <si>
    <t>Market</t>
  </si>
  <si>
    <t>Accounts Payable Model</t>
  </si>
  <si>
    <t>Accounts Receivable Model</t>
  </si>
  <si>
    <t>Beta Model</t>
  </si>
  <si>
    <t>CAPEX Model</t>
  </si>
  <si>
    <t>CASH Flow Model</t>
  </si>
  <si>
    <t>CASH Model</t>
  </si>
  <si>
    <t>DEBT Model</t>
  </si>
  <si>
    <t>DIVIDENDS Model</t>
  </si>
  <si>
    <t>EBITDA Model</t>
  </si>
  <si>
    <t>Economic Value Added Model</t>
  </si>
  <si>
    <t>EFFECTIVE TAX RATE MODEL</t>
  </si>
  <si>
    <t>FREE CASH FLOW MODEL</t>
  </si>
  <si>
    <t>Free Cash Flow to Equity Model</t>
  </si>
  <si>
    <t>Growth Model</t>
  </si>
  <si>
    <t>Inventory Model</t>
  </si>
  <si>
    <t>Margins Model</t>
  </si>
  <si>
    <t>PE Model</t>
  </si>
  <si>
    <t>Price to Book Value Model</t>
  </si>
  <si>
    <t>Regression Stats Model</t>
  </si>
  <si>
    <t>Price to Sale Model</t>
  </si>
  <si>
    <t>Retention Model</t>
  </si>
  <si>
    <t>Return on Capital Model</t>
  </si>
  <si>
    <t>Return on Equity Model</t>
  </si>
  <si>
    <t>Standard Deviation Model</t>
  </si>
  <si>
    <t>Valuation Model</t>
  </si>
  <si>
    <t>WACC Model</t>
  </si>
  <si>
    <t>Working Capital Model</t>
  </si>
  <si>
    <t>Historical Growth Model</t>
  </si>
  <si>
    <t>Holdings Model</t>
  </si>
  <si>
    <t>To update this spreadsheet, enter the following</t>
  </si>
  <si>
    <t>Cost of Debt Lookup Table (based on std dev in stock prices)</t>
  </si>
  <si>
    <t>Standard Deviation</t>
  </si>
  <si>
    <t>Default Spread</t>
  </si>
  <si>
    <t>Long Term Treasury bond rate</t>
  </si>
  <si>
    <t>Risk Premium to Use for Equity</t>
  </si>
  <si>
    <t>Industries/Companies</t>
  </si>
  <si>
    <t>No. of Firms/Exchange</t>
  </si>
  <si>
    <t>Do you want to use the marginal tax rate for cost of debt?</t>
  </si>
  <si>
    <t>Yes</t>
  </si>
  <si>
    <t>If yes, enter the marginal tax rate to use</t>
  </si>
  <si>
    <t>Dividend Yield</t>
  </si>
  <si>
    <t>Dividend Payout</t>
  </si>
  <si>
    <t>Market Cap</t>
  </si>
  <si>
    <t>ROE</t>
  </si>
  <si>
    <t>Insider Holdings</t>
  </si>
  <si>
    <t>Institutional Holdings</t>
  </si>
  <si>
    <t>Std Dev in Stock Prices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</si>
</sst>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"/>
  </numFmts>
  <fonts count="9">
    <font>
      <sz val="9"/>
      <name val="Geneva"/>
    </font>
    <font>
      <sz val="9"/>
      <color theme="0"/>
      <name val="Geneva"/>
    </font>
    <font>
      <b/>
      <sz val="9"/>
      <color theme="0"/>
      <name val="Geneva"/>
    </font>
    <font>
      <sz val="9"/>
      <color rgb="FFFF0000"/>
      <name val="Geneva"/>
    </font>
    <font>
      <sz val="9"/>
      <name val="Geneva"/>
    </font>
    <font>
      <b/>
      <sz val="10"/>
      <name val="Geneva"/>
    </font>
    <font>
      <i/>
      <sz val="9"/>
      <name val="Geneva"/>
    </font>
    <font>
      <sz val="9"/>
      <color rgb="FF0070C0"/>
      <name val="Geneva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applyNumberFormat="1" applyFill="1" applyBorder="1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3" fillId="2" borderId="0" xfId="0" applyFont="1" applyFill="1" applyBorder="1"/>
    <xf numFmtId="0" fontId="0" fillId="0" borderId="0" xfId="0" applyBorder="1"/>
    <xf numFmtId="0" fontId="1" fillId="2" borderId="0" xfId="0" applyFont="1" applyFill="1" applyBorder="1" applyAlignment="1">
      <alignment horizontal="center" vertical="center" wrapText="1"/>
    </xf>
    <xf numFmtId="164" fontId="0" fillId="0" borderId="0" xfId="0" applyNumberFormat="1" applyBorder="1"/>
    <xf numFmtId="2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/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10" fontId="0" fillId="0" borderId="0" xfId="0" applyNumberFormat="1" applyBorder="1" applyAlignment="1">
      <alignment vertical="center"/>
    </xf>
    <xf numFmtId="0" fontId="5" fillId="0" borderId="0" xfId="0" applyFont="1" applyBorder="1" applyAlignment="1">
      <alignment horizontal="centerContinuous" vertical="center"/>
    </xf>
    <xf numFmtId="0" fontId="6" fillId="0" borderId="0" xfId="0" applyFont="1" applyBorder="1" applyAlignment="1">
      <alignment horizontal="centerContinuous" vertical="center"/>
    </xf>
    <xf numFmtId="0" fontId="6" fillId="0" borderId="0" xfId="0" applyFont="1" applyBorder="1" applyAlignment="1">
      <alignment vertical="center"/>
    </xf>
    <xf numFmtId="10" fontId="7" fillId="0" borderId="0" xfId="0" applyNumberFormat="1" applyFont="1" applyBorder="1" applyAlignment="1">
      <alignment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10" fontId="7" fillId="0" borderId="0" xfId="1" applyNumberFormat="1" applyFont="1" applyBorder="1" applyAlignment="1">
      <alignment vertical="center"/>
    </xf>
    <xf numFmtId="10" fontId="0" fillId="0" borderId="0" xfId="0" applyNumberFormat="1"/>
    <xf numFmtId="0" fontId="7" fillId="0" borderId="0" xfId="0" applyFont="1" applyFill="1" applyBorder="1" applyAlignment="1">
      <alignment horizontal="center"/>
    </xf>
    <xf numFmtId="9" fontId="7" fillId="0" borderId="0" xfId="0" applyNumberFormat="1" applyFont="1" applyFill="1" applyBorder="1" applyAlignment="1">
      <alignment horizontal="center"/>
    </xf>
    <xf numFmtId="0" fontId="8" fillId="0" borderId="0" xfId="0" applyFont="1" applyBorder="1" applyAlignment="1">
      <alignment vertical="center"/>
    </xf>
    <xf numFmtId="2" fontId="0" fillId="0" borderId="0" xfId="0" applyNumberFormat="1"/>
    <xf numFmtId="0" fontId="8" fillId="3" borderId="0" xfId="0" applyFont="1" applyFill="1" applyBorder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26" fmlaLink="$A$1" fmlaRange="$A$2:$A$30" noThreeD="1" sel="8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1851660</xdr:colOff>
          <xdr:row>31</xdr:row>
          <xdr:rowOff>7620</xdr:rowOff>
        </xdr:to>
        <xdr:sp macro="" textlink="">
          <xdr:nvSpPr>
            <xdr:cNvPr id="2050" name="List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104"/>
  <sheetViews>
    <sheetView topLeftCell="Z1" workbookViewId="0">
      <selection activeCell="AO5" sqref="AO5"/>
    </sheetView>
  </sheetViews>
  <sheetFormatPr defaultRowHeight="11.4"/>
  <cols>
    <col min="1" max="2" width="15.625" style="5" customWidth="1"/>
    <col min="3" max="3" width="15.625" style="7" customWidth="1"/>
    <col min="4" max="7" width="15.625" style="8" customWidth="1"/>
    <col min="8" max="11" width="15.625" style="9" customWidth="1"/>
    <col min="12" max="12" width="15.625" style="10" customWidth="1"/>
    <col min="13" max="35" width="15.625" style="7" customWidth="1"/>
    <col min="36" max="38" width="15.625" style="5" customWidth="1"/>
    <col min="39" max="39" width="15.625" style="8" customWidth="1"/>
    <col min="40" max="40" width="15.625" style="11" customWidth="1"/>
    <col min="41" max="248" width="15.625" style="5" customWidth="1"/>
    <col min="249" max="16384" width="9" style="5"/>
  </cols>
  <sheetData>
    <row r="1" spans="1:43">
      <c r="A1" s="4" t="b">
        <v>1</v>
      </c>
      <c r="B1" s="4" t="b">
        <v>1</v>
      </c>
      <c r="C1" s="4" t="b">
        <v>1</v>
      </c>
      <c r="D1" s="4" t="b">
        <v>1</v>
      </c>
      <c r="E1" s="4" t="b">
        <v>1</v>
      </c>
      <c r="F1" s="4" t="b">
        <v>1</v>
      </c>
      <c r="G1" s="4" t="b">
        <v>1</v>
      </c>
      <c r="H1" s="4" t="b">
        <v>1</v>
      </c>
      <c r="I1" s="4" t="b">
        <v>1</v>
      </c>
      <c r="J1" s="4" t="b">
        <v>1</v>
      </c>
      <c r="K1" s="4" t="b">
        <v>1</v>
      </c>
      <c r="L1" s="4" t="b">
        <v>1</v>
      </c>
      <c r="M1" s="4" t="b">
        <v>1</v>
      </c>
      <c r="N1" s="4" t="b">
        <v>1</v>
      </c>
      <c r="O1" s="4" t="b">
        <v>1</v>
      </c>
      <c r="P1" s="4" t="b">
        <v>1</v>
      </c>
      <c r="Q1" s="4" t="b">
        <v>1</v>
      </c>
      <c r="R1" s="4" t="b">
        <v>1</v>
      </c>
      <c r="S1" s="4" t="b">
        <v>1</v>
      </c>
      <c r="T1" s="4" t="b">
        <v>1</v>
      </c>
      <c r="U1" s="4" t="b">
        <v>1</v>
      </c>
      <c r="V1" s="4" t="b">
        <v>1</v>
      </c>
      <c r="W1" s="4" t="b">
        <v>1</v>
      </c>
      <c r="X1" s="4" t="b">
        <v>1</v>
      </c>
      <c r="Y1" s="4" t="b">
        <v>1</v>
      </c>
      <c r="Z1" s="4" t="b">
        <v>1</v>
      </c>
      <c r="AA1" s="4" t="b">
        <v>1</v>
      </c>
      <c r="AB1" s="4" t="b">
        <v>1</v>
      </c>
      <c r="AC1" s="4" t="b">
        <v>1</v>
      </c>
      <c r="AD1" s="4" t="b">
        <v>1</v>
      </c>
      <c r="AE1" s="4" t="b">
        <v>1</v>
      </c>
      <c r="AF1" s="4" t="b">
        <v>1</v>
      </c>
      <c r="AG1" s="4" t="b">
        <v>1</v>
      </c>
      <c r="AH1" s="4" t="b">
        <v>1</v>
      </c>
      <c r="AI1" s="4" t="b">
        <v>1</v>
      </c>
      <c r="AJ1" s="4" t="b">
        <v>1</v>
      </c>
      <c r="AK1" s="4" t="b">
        <v>1</v>
      </c>
      <c r="AL1" s="4" t="b">
        <v>1</v>
      </c>
      <c r="AM1" s="4" t="b">
        <v>1</v>
      </c>
      <c r="AN1" s="4" t="b">
        <v>1</v>
      </c>
      <c r="AO1" s="4" t="b">
        <v>1</v>
      </c>
      <c r="AP1" s="4" t="b">
        <v>1</v>
      </c>
      <c r="AQ1" s="4" t="b">
        <v>1</v>
      </c>
    </row>
    <row r="2" spans="1:43" ht="34.200000000000003">
      <c r="A2" s="6" t="s">
        <v>0</v>
      </c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9</v>
      </c>
      <c r="K2" s="6" t="s">
        <v>10</v>
      </c>
      <c r="L2" s="6" t="s">
        <v>11</v>
      </c>
      <c r="M2" s="6" t="s">
        <v>12</v>
      </c>
      <c r="N2" s="6" t="s">
        <v>13</v>
      </c>
      <c r="O2" s="6" t="s">
        <v>14</v>
      </c>
      <c r="P2" s="6" t="s">
        <v>15</v>
      </c>
      <c r="Q2" s="6" t="s">
        <v>16</v>
      </c>
      <c r="R2" s="6" t="s">
        <v>17</v>
      </c>
      <c r="S2" s="6" t="s">
        <v>18</v>
      </c>
      <c r="T2" s="6" t="s">
        <v>19</v>
      </c>
      <c r="U2" s="6" t="s">
        <v>20</v>
      </c>
      <c r="V2" s="6" t="s">
        <v>21</v>
      </c>
      <c r="W2" s="6" t="s">
        <v>22</v>
      </c>
      <c r="X2" s="6" t="s">
        <v>23</v>
      </c>
      <c r="Y2" s="6" t="s">
        <v>24</v>
      </c>
      <c r="Z2" s="6" t="s">
        <v>25</v>
      </c>
      <c r="AA2" s="6" t="s">
        <v>26</v>
      </c>
      <c r="AB2" s="6" t="s">
        <v>27</v>
      </c>
      <c r="AC2" s="6" t="s">
        <v>28</v>
      </c>
      <c r="AD2" s="6" t="s">
        <v>29</v>
      </c>
      <c r="AE2" s="6" t="s">
        <v>30</v>
      </c>
      <c r="AF2" s="6" t="s">
        <v>31</v>
      </c>
      <c r="AG2" s="6" t="s">
        <v>32</v>
      </c>
      <c r="AH2" s="6" t="s">
        <v>33</v>
      </c>
      <c r="AI2" s="6" t="s">
        <v>34</v>
      </c>
      <c r="AJ2" s="6" t="s">
        <v>35</v>
      </c>
      <c r="AK2" s="6" t="s">
        <v>36</v>
      </c>
      <c r="AL2" s="6" t="s">
        <v>37</v>
      </c>
      <c r="AM2" s="6" t="s">
        <v>38</v>
      </c>
      <c r="AN2" s="6" t="s">
        <v>39</v>
      </c>
      <c r="AO2" s="6" t="s">
        <v>40</v>
      </c>
      <c r="AP2" s="6" t="s">
        <v>41</v>
      </c>
      <c r="AQ2" s="6" t="s">
        <v>42</v>
      </c>
    </row>
    <row r="3" spans="1:43" ht="13.2">
      <c r="A3" s="25" t="s">
        <v>43</v>
      </c>
      <c r="B3" s="25">
        <v>40</v>
      </c>
      <c r="C3" s="25">
        <v>441.26</v>
      </c>
      <c r="D3" s="25">
        <v>0.98124999999999996</v>
      </c>
      <c r="E3" s="25">
        <v>108.16934805326028</v>
      </c>
      <c r="F3" s="25">
        <v>33.010316528576027</v>
      </c>
      <c r="G3" s="25">
        <v>70.33324712977992</v>
      </c>
      <c r="H3" s="25">
        <v>1.25435701054746E-3</v>
      </c>
      <c r="I3" s="25">
        <v>0.14925225</v>
      </c>
      <c r="J3" s="25">
        <v>0.10050000000000001</v>
      </c>
      <c r="K3" s="25">
        <v>0.39045999999999997</v>
      </c>
      <c r="L3" s="25">
        <v>127841.2</v>
      </c>
      <c r="M3" s="25">
        <v>52139.4</v>
      </c>
      <c r="N3" s="25">
        <v>179980.6</v>
      </c>
      <c r="O3" s="25">
        <v>162306.9</v>
      </c>
      <c r="P3" s="25">
        <v>76350.2</v>
      </c>
      <c r="Q3" s="25">
        <v>-13759.5</v>
      </c>
      <c r="R3" s="25">
        <v>390.59000875288427</v>
      </c>
      <c r="S3" s="25">
        <v>-258.20999124711545</v>
      </c>
      <c r="T3" s="25">
        <v>80533.5</v>
      </c>
      <c r="U3" s="25">
        <v>30490.1</v>
      </c>
      <c r="V3" s="25">
        <v>13489.514069999999</v>
      </c>
      <c r="W3" s="25">
        <v>17405.31407</v>
      </c>
      <c r="X3" s="25">
        <v>9101.5949599999985</v>
      </c>
      <c r="Y3" s="25">
        <v>3915.8</v>
      </c>
      <c r="Z3" s="25">
        <v>2552.4</v>
      </c>
      <c r="AA3" s="25">
        <v>4291.8</v>
      </c>
      <c r="AB3" s="25">
        <v>1679.3</v>
      </c>
      <c r="AC3" s="25">
        <v>17673.7</v>
      </c>
      <c r="AD3" s="25">
        <v>45906.2</v>
      </c>
      <c r="AE3" s="25">
        <v>1490.1</v>
      </c>
      <c r="AF3" s="25">
        <v>12599.5</v>
      </c>
      <c r="AG3" s="25">
        <v>181167.6</v>
      </c>
      <c r="AH3" s="25">
        <v>51302.9</v>
      </c>
      <c r="AI3" s="25">
        <v>43204.3</v>
      </c>
      <c r="AJ3" s="27">
        <v>9.9353571428571416E-2</v>
      </c>
      <c r="AK3" s="27">
        <v>6.4285714285714293E-2</v>
      </c>
      <c r="AL3" s="27">
        <v>-1.549545454545454E-2</v>
      </c>
      <c r="AM3" s="27">
        <v>1.602105263157895E-2</v>
      </c>
      <c r="AN3" s="25">
        <v>0.40271680775539598</v>
      </c>
      <c r="AO3" s="27">
        <v>0.93785600000000013</v>
      </c>
      <c r="AP3" s="25">
        <v>0.17719230769230773</v>
      </c>
      <c r="AQ3" s="27">
        <v>0.17499999999999999</v>
      </c>
    </row>
    <row r="4" spans="1:43" ht="13.2">
      <c r="A4" s="25" t="s">
        <v>44</v>
      </c>
      <c r="B4" s="25">
        <v>69</v>
      </c>
      <c r="C4" s="25">
        <v>3734.3139999999999</v>
      </c>
      <c r="D4" s="25">
        <v>0.96864406779661005</v>
      </c>
      <c r="E4" s="25">
        <v>39.563391041094249</v>
      </c>
      <c r="F4" s="25">
        <v>28.575446192267876</v>
      </c>
      <c r="G4" s="25">
        <v>28.341167396595502</v>
      </c>
      <c r="H4" s="25">
        <v>1.8671269511498401E-3</v>
      </c>
      <c r="I4" s="25">
        <v>0.211263623188406</v>
      </c>
      <c r="J4" s="25">
        <v>6.6416666666666596E-2</v>
      </c>
      <c r="K4" s="25">
        <v>0.46989433962264199</v>
      </c>
      <c r="L4" s="25">
        <v>620197.6</v>
      </c>
      <c r="M4" s="25">
        <v>100342.2</v>
      </c>
      <c r="N4" s="25">
        <v>720539.8</v>
      </c>
      <c r="O4" s="25">
        <v>683097.8</v>
      </c>
      <c r="P4" s="25">
        <v>213449.2</v>
      </c>
      <c r="Q4" s="25">
        <v>-9687.6</v>
      </c>
      <c r="R4" s="25">
        <v>-136.01181022237168</v>
      </c>
      <c r="S4" s="25">
        <v>2327.7881897776283</v>
      </c>
      <c r="T4" s="25">
        <v>496169.8</v>
      </c>
      <c r="U4" s="25">
        <v>38545.4</v>
      </c>
      <c r="V4" s="25">
        <v>53928.824159999996</v>
      </c>
      <c r="W4" s="25">
        <v>65508.824160000026</v>
      </c>
      <c r="X4" s="25">
        <v>37194.576354999997</v>
      </c>
      <c r="Y4" s="25">
        <v>11580</v>
      </c>
      <c r="Z4" s="25">
        <v>16534.599999999999</v>
      </c>
      <c r="AA4" s="25">
        <v>26350.9</v>
      </c>
      <c r="AB4" s="25">
        <v>16479.900000000001</v>
      </c>
      <c r="AC4" s="25">
        <v>37442</v>
      </c>
      <c r="AD4" s="25">
        <v>51268.1</v>
      </c>
      <c r="AE4" s="25">
        <v>58130.400000000001</v>
      </c>
      <c r="AF4" s="25">
        <v>64522</v>
      </c>
      <c r="AG4" s="25">
        <v>481390.8</v>
      </c>
      <c r="AH4" s="25">
        <v>71400.899999999994</v>
      </c>
      <c r="AI4" s="25">
        <v>152100.5</v>
      </c>
      <c r="AJ4" s="27">
        <v>0.20448644067796606</v>
      </c>
      <c r="AK4" s="27">
        <v>0.08</v>
      </c>
      <c r="AL4" s="27">
        <v>0.19174736842105256</v>
      </c>
      <c r="AM4" s="27">
        <v>1.1940816326530612E-2</v>
      </c>
      <c r="AN4" s="25">
        <v>0.47770367178886503</v>
      </c>
      <c r="AO4" s="27">
        <v>0.42664999999999997</v>
      </c>
      <c r="AP4" s="25">
        <v>0.1986266666666667</v>
      </c>
      <c r="AQ4" s="27">
        <v>6.9166666666666668E-2</v>
      </c>
    </row>
    <row r="5" spans="1:43" ht="13.2">
      <c r="A5" s="25" t="s">
        <v>45</v>
      </c>
      <c r="B5" s="25">
        <v>49</v>
      </c>
      <c r="C5" s="25">
        <v>1950.0619999999999</v>
      </c>
      <c r="D5" s="25">
        <v>1.030263157894737</v>
      </c>
      <c r="E5" s="25">
        <v>64.176618578426599</v>
      </c>
      <c r="F5" s="25">
        <v>20.177287321143424</v>
      </c>
      <c r="G5" s="25">
        <v>21.10120925140285</v>
      </c>
      <c r="H5" s="25">
        <v>8.5267140995687199E-4</v>
      </c>
      <c r="I5" s="25">
        <v>0.17377918367346901</v>
      </c>
      <c r="J5" s="25">
        <v>3.8736363636363597E-2</v>
      </c>
      <c r="K5" s="25">
        <v>0.57772941176470605</v>
      </c>
      <c r="L5" s="25">
        <v>307241.90000000002</v>
      </c>
      <c r="M5" s="25">
        <v>147907.70000000001</v>
      </c>
      <c r="N5" s="25">
        <v>455149.6</v>
      </c>
      <c r="O5" s="25">
        <v>393886.5</v>
      </c>
      <c r="P5" s="25">
        <v>136844.70000000001</v>
      </c>
      <c r="Q5" s="25">
        <v>-35725.699999999997</v>
      </c>
      <c r="R5" s="25">
        <v>515.84794599395491</v>
      </c>
      <c r="S5" s="25">
        <v>5151.3479459939545</v>
      </c>
      <c r="T5" s="25">
        <v>440259.5</v>
      </c>
      <c r="U5" s="25">
        <v>40396.1</v>
      </c>
      <c r="V5" s="25">
        <v>60643.380810000002</v>
      </c>
      <c r="W5" s="25">
        <v>80037.680809999976</v>
      </c>
      <c r="X5" s="25">
        <v>45253.815309999998</v>
      </c>
      <c r="Y5" s="25">
        <v>19394.3</v>
      </c>
      <c r="Z5" s="25">
        <v>30086.1</v>
      </c>
      <c r="AA5" s="25">
        <v>18610.599999999999</v>
      </c>
      <c r="AB5" s="25">
        <v>12989.5</v>
      </c>
      <c r="AC5" s="25">
        <v>61263.1</v>
      </c>
      <c r="AD5" s="25">
        <v>32620.1</v>
      </c>
      <c r="AE5" s="25">
        <v>5576.1</v>
      </c>
      <c r="AF5" s="25">
        <v>238823.4</v>
      </c>
      <c r="AG5" s="25">
        <v>425682.1</v>
      </c>
      <c r="AH5" s="25">
        <v>22724.2</v>
      </c>
      <c r="AI5" s="25">
        <v>50857.7</v>
      </c>
      <c r="AJ5" s="27">
        <v>0.16823720930232558</v>
      </c>
      <c r="AK5" s="27">
        <v>0.14136363636363641</v>
      </c>
      <c r="AL5" s="27">
        <v>0.12605714285714281</v>
      </c>
      <c r="AM5" s="27">
        <v>1.3951999999999999E-2</v>
      </c>
      <c r="AN5" s="25">
        <v>0.47421899670669898</v>
      </c>
      <c r="AO5" s="27">
        <v>0.41207419354838715</v>
      </c>
      <c r="AP5" s="25">
        <v>0.20834444444444444</v>
      </c>
      <c r="AQ5" s="27">
        <v>0.28499999999999998</v>
      </c>
    </row>
    <row r="6" spans="1:43" ht="13.2">
      <c r="A6" s="25" t="s">
        <v>46</v>
      </c>
      <c r="B6" s="25">
        <v>57</v>
      </c>
      <c r="C6" s="25">
        <v>483.99400000000003</v>
      </c>
      <c r="D6" s="25">
        <v>0.87156862745097996</v>
      </c>
      <c r="E6" s="25">
        <v>17.385627432133802</v>
      </c>
      <c r="F6" s="25">
        <v>38.979900349271027</v>
      </c>
      <c r="G6" s="25">
        <v>20.122572982587982</v>
      </c>
      <c r="H6" s="25">
        <v>6.5579517090739699E-3</v>
      </c>
      <c r="I6" s="25">
        <v>0.252463157894737</v>
      </c>
      <c r="J6" s="25">
        <v>0.152052941176471</v>
      </c>
      <c r="K6" s="25">
        <v>0.41184999999999999</v>
      </c>
      <c r="L6" s="25">
        <v>87566.2</v>
      </c>
      <c r="M6" s="25">
        <v>17382.7</v>
      </c>
      <c r="N6" s="25">
        <v>104948.9</v>
      </c>
      <c r="O6" s="25">
        <v>98130.2</v>
      </c>
      <c r="P6" s="25">
        <v>46920.5</v>
      </c>
      <c r="Q6" s="25">
        <v>16455.8</v>
      </c>
      <c r="R6" s="25">
        <v>-258.00033564691557</v>
      </c>
      <c r="S6" s="25">
        <v>-67.200335646915633</v>
      </c>
      <c r="T6" s="25">
        <v>85847.3</v>
      </c>
      <c r="U6" s="25">
        <v>25256.2</v>
      </c>
      <c r="V6" s="25">
        <v>10920.95644</v>
      </c>
      <c r="W6" s="25">
        <v>12974.656440000001</v>
      </c>
      <c r="X6" s="25">
        <v>7292.0686200000036</v>
      </c>
      <c r="Y6" s="25">
        <v>2053.6999999999998</v>
      </c>
      <c r="Z6" s="25">
        <v>2346.8000000000002</v>
      </c>
      <c r="AA6" s="25">
        <v>5292.3</v>
      </c>
      <c r="AB6" s="25">
        <v>2551.1</v>
      </c>
      <c r="AC6" s="25">
        <v>6818.7</v>
      </c>
      <c r="AD6" s="25">
        <v>10669</v>
      </c>
      <c r="AE6" s="25">
        <v>14507.7</v>
      </c>
      <c r="AF6" s="25">
        <v>9718</v>
      </c>
      <c r="AG6" s="25">
        <v>71899.8</v>
      </c>
      <c r="AH6" s="25">
        <v>5765.1</v>
      </c>
      <c r="AI6" s="25">
        <v>36375.5</v>
      </c>
      <c r="AJ6" s="27">
        <v>0.14173921568627448</v>
      </c>
      <c r="AK6" s="27">
        <v>0.14304347826086963</v>
      </c>
      <c r="AL6" s="27">
        <v>9.0035555555555563E-2</v>
      </c>
      <c r="AM6" s="27">
        <v>8.0095238095238101E-3</v>
      </c>
      <c r="AN6" s="25">
        <v>0.35576607525730902</v>
      </c>
      <c r="AO6" s="27">
        <v>0.6676840909090912</v>
      </c>
      <c r="AP6" s="25">
        <v>0.14120555555555561</v>
      </c>
      <c r="AQ6" s="27">
        <v>0.14428571428571427</v>
      </c>
    </row>
    <row r="7" spans="1:43" ht="13.2">
      <c r="A7" s="25" t="s">
        <v>47</v>
      </c>
      <c r="B7" s="25">
        <v>28</v>
      </c>
      <c r="C7" s="25">
        <v>6092.8670000000002</v>
      </c>
      <c r="D7" s="25">
        <v>1.072727272727273</v>
      </c>
      <c r="E7" s="25">
        <v>16.505677106553058</v>
      </c>
      <c r="F7" s="25">
        <v>17.61068177110506</v>
      </c>
      <c r="G7" s="25">
        <v>16.970794406404288</v>
      </c>
      <c r="H7" s="25">
        <v>1.31845886515048E-2</v>
      </c>
      <c r="I7" s="25">
        <v>0.22924035714285701</v>
      </c>
      <c r="J7" s="25">
        <v>3.415E-2</v>
      </c>
      <c r="K7" s="25">
        <v>0.4382125</v>
      </c>
      <c r="L7" s="25">
        <v>932154.1</v>
      </c>
      <c r="M7" s="25">
        <v>915011</v>
      </c>
      <c r="N7" s="25">
        <v>1847165.1</v>
      </c>
      <c r="O7" s="25">
        <v>1626317</v>
      </c>
      <c r="P7" s="25">
        <v>1080746.6000000001</v>
      </c>
      <c r="Q7" s="25">
        <v>316066.3</v>
      </c>
      <c r="R7" s="25">
        <v>-1056.6817800049027</v>
      </c>
      <c r="S7" s="25">
        <v>8535.9182199950938</v>
      </c>
      <c r="T7" s="25">
        <v>1948927</v>
      </c>
      <c r="U7" s="25">
        <v>236007.8</v>
      </c>
      <c r="V7" s="25">
        <v>245198.65007</v>
      </c>
      <c r="W7" s="25">
        <v>356238.25007000013</v>
      </c>
      <c r="X7" s="25">
        <v>169121.713968</v>
      </c>
      <c r="Y7" s="25">
        <v>111039.6</v>
      </c>
      <c r="Z7" s="25">
        <v>129913.1</v>
      </c>
      <c r="AA7" s="25">
        <v>53017</v>
      </c>
      <c r="AB7" s="25">
        <v>29241.200000000001</v>
      </c>
      <c r="AC7" s="25">
        <v>220848.1</v>
      </c>
      <c r="AD7" s="25">
        <v>475747.2</v>
      </c>
      <c r="AE7" s="25">
        <v>150723.6</v>
      </c>
      <c r="AF7" s="25">
        <v>489020</v>
      </c>
      <c r="AG7" s="25">
        <v>2258982.6</v>
      </c>
      <c r="AH7" s="25">
        <v>186608.7</v>
      </c>
      <c r="AI7" s="25">
        <v>386583.7</v>
      </c>
      <c r="AJ7" s="27">
        <v>3.3085714285714295E-2</v>
      </c>
      <c r="AK7" s="27">
        <v>5.541666666666667E-2</v>
      </c>
      <c r="AL7" s="27">
        <v>0.1444555555555555</v>
      </c>
      <c r="AM7" s="27">
        <v>1.5438888888888891E-2</v>
      </c>
      <c r="AN7" s="25">
        <v>0.63823902132483901</v>
      </c>
      <c r="AO7" s="27">
        <v>0.28348947368421046</v>
      </c>
      <c r="AP7" s="25">
        <v>0.13404705882352941</v>
      </c>
      <c r="AQ7" s="27">
        <v>9.35E-2</v>
      </c>
    </row>
    <row r="8" spans="1:43" ht="13.2">
      <c r="A8" s="25" t="s">
        <v>48</v>
      </c>
      <c r="B8" s="25">
        <v>56</v>
      </c>
      <c r="C8" s="25">
        <v>1331.3779999999999</v>
      </c>
      <c r="D8" s="25">
        <v>0.94134615384615405</v>
      </c>
      <c r="E8" s="25">
        <v>46.907057831446537</v>
      </c>
      <c r="F8" s="25">
        <v>19.891243027908722</v>
      </c>
      <c r="G8" s="25">
        <v>20.443349536336228</v>
      </c>
      <c r="H8" s="25">
        <v>7.0486895312841897E-3</v>
      </c>
      <c r="I8" s="25">
        <v>0.17746250408942199</v>
      </c>
      <c r="J8" s="25">
        <v>6.2065000000000002E-2</v>
      </c>
      <c r="K8" s="25">
        <v>0.45595128205128199</v>
      </c>
      <c r="L8" s="25">
        <v>176308</v>
      </c>
      <c r="M8" s="25">
        <v>82393</v>
      </c>
      <c r="N8" s="25">
        <v>258701</v>
      </c>
      <c r="O8" s="25">
        <v>231844.7</v>
      </c>
      <c r="P8" s="25">
        <v>93187.9</v>
      </c>
      <c r="Q8" s="25">
        <v>31915.5</v>
      </c>
      <c r="R8" s="25">
        <v>-176.16593700562444</v>
      </c>
      <c r="S8" s="25">
        <v>-189.76593700562455</v>
      </c>
      <c r="T8" s="25">
        <v>430344.9</v>
      </c>
      <c r="U8" s="25">
        <v>40005.800000000003</v>
      </c>
      <c r="V8" s="25">
        <v>26776.293600000001</v>
      </c>
      <c r="W8" s="25">
        <v>40333.493599999994</v>
      </c>
      <c r="X8" s="25">
        <v>23535.04798797709</v>
      </c>
      <c r="Y8" s="25">
        <v>13557.2</v>
      </c>
      <c r="Z8" s="25">
        <v>13298.9</v>
      </c>
      <c r="AA8" s="25">
        <v>-5848.1</v>
      </c>
      <c r="AB8" s="25">
        <v>-777.49999999999932</v>
      </c>
      <c r="AC8" s="25">
        <v>26856.3</v>
      </c>
      <c r="AD8" s="25">
        <v>65968.800000000003</v>
      </c>
      <c r="AE8" s="25">
        <v>38052.800000000003</v>
      </c>
      <c r="AF8" s="25">
        <v>78817.3</v>
      </c>
      <c r="AG8" s="25">
        <v>290398.40000000002</v>
      </c>
      <c r="AH8" s="25">
        <v>52649.9</v>
      </c>
      <c r="AI8" s="25">
        <v>37687.300000000003</v>
      </c>
      <c r="AJ8" s="27">
        <v>5.23255319148936E-2</v>
      </c>
      <c r="AK8" s="27">
        <v>5.4000000000000006E-2</v>
      </c>
      <c r="AL8" s="27">
        <v>0.11102142857142862</v>
      </c>
      <c r="AM8" s="27">
        <v>1.4497222222222217E-2</v>
      </c>
      <c r="AN8" s="25">
        <v>0.43175172538602802</v>
      </c>
      <c r="AO8" s="27">
        <v>0.53405000000000002</v>
      </c>
      <c r="AP8" s="25">
        <v>0.20090909090909087</v>
      </c>
      <c r="AQ8" s="27">
        <v>-3.7499999999999999E-3</v>
      </c>
    </row>
    <row r="9" spans="1:43" ht="13.2">
      <c r="A9" s="25" t="s">
        <v>49</v>
      </c>
      <c r="B9" s="25">
        <v>504</v>
      </c>
      <c r="C9" s="25">
        <v>35704.637000000002</v>
      </c>
      <c r="D9" s="25">
        <v>0.62990654205607399</v>
      </c>
      <c r="E9" s="25">
        <v>14.961131681468169</v>
      </c>
      <c r="F9" s="25">
        <v>21.838498631781007</v>
      </c>
      <c r="G9" s="25">
        <v>14.719374194537989</v>
      </c>
      <c r="H9" s="25">
        <v>1.50518760447482E-2</v>
      </c>
      <c r="I9" s="25">
        <v>0.27879492063492001</v>
      </c>
      <c r="J9" s="25">
        <v>4.2430434782608703E-2</v>
      </c>
      <c r="K9" s="25">
        <v>0.231092434988179</v>
      </c>
      <c r="L9" s="25">
        <v>1672434.7</v>
      </c>
      <c r="M9" s="25">
        <v>705190.1</v>
      </c>
      <c r="N9" s="25">
        <v>2377624.7999999998</v>
      </c>
      <c r="O9" s="25">
        <v>2216812.7999999998</v>
      </c>
      <c r="P9" s="25">
        <v>1101683.3</v>
      </c>
      <c r="Q9" s="25">
        <v>0</v>
      </c>
      <c r="R9" s="25">
        <v>0</v>
      </c>
      <c r="S9" s="25">
        <v>0</v>
      </c>
      <c r="T9" s="25">
        <v>0</v>
      </c>
      <c r="U9" s="25">
        <v>83188.600000000006</v>
      </c>
      <c r="V9" s="25">
        <v>280277</v>
      </c>
      <c r="W9" s="25">
        <v>280277</v>
      </c>
      <c r="X9" s="25">
        <v>187770.78610600001</v>
      </c>
      <c r="Y9" s="25">
        <v>0</v>
      </c>
      <c r="Z9" s="25">
        <v>0</v>
      </c>
      <c r="AA9" s="25">
        <v>73866.600000000006</v>
      </c>
      <c r="AB9" s="25">
        <v>80111.999999999927</v>
      </c>
      <c r="AC9" s="25">
        <v>160812</v>
      </c>
      <c r="AD9" s="25">
        <v>0</v>
      </c>
      <c r="AE9" s="25">
        <v>0</v>
      </c>
      <c r="AF9" s="25">
        <v>0</v>
      </c>
      <c r="AG9" s="25">
        <v>6000606.0999999903</v>
      </c>
      <c r="AH9" s="25">
        <v>0</v>
      </c>
      <c r="AI9" s="25">
        <v>562129.9</v>
      </c>
      <c r="AJ9" s="27">
        <v>0</v>
      </c>
      <c r="AK9" s="27">
        <v>0.11363157894736842</v>
      </c>
      <c r="AL9" s="27">
        <v>6.5626273458445072E-2</v>
      </c>
      <c r="AM9" s="27">
        <v>5.3712374581939906E-3</v>
      </c>
      <c r="AN9" s="25">
        <v>0.53839278527677104</v>
      </c>
      <c r="AO9" s="27">
        <v>0.24471184971098262</v>
      </c>
      <c r="AP9" s="25">
        <v>9.7165789473684205E-2</v>
      </c>
      <c r="AQ9" s="27">
        <v>9.4864864864864881E-2</v>
      </c>
    </row>
    <row r="10" spans="1:43" ht="13.2">
      <c r="A10" s="25" t="s">
        <v>50</v>
      </c>
      <c r="B10" s="25">
        <v>8</v>
      </c>
      <c r="C10" s="25">
        <v>9024.5840000000007</v>
      </c>
      <c r="D10" s="25">
        <v>0.67142857142857104</v>
      </c>
      <c r="E10" s="25">
        <v>13.334304228817411</v>
      </c>
      <c r="F10" s="25">
        <v>10.865246696615483</v>
      </c>
      <c r="G10" s="25">
        <v>12.26755278694597</v>
      </c>
      <c r="H10" s="25">
        <v>3.2398524438439297E-2</v>
      </c>
      <c r="I10" s="25">
        <v>0.19071374999999999</v>
      </c>
      <c r="J10" s="25">
        <v>8.0666666666666595E-3</v>
      </c>
      <c r="K10" s="25">
        <v>0.31648749999999998</v>
      </c>
      <c r="L10" s="25">
        <v>449172.2</v>
      </c>
      <c r="M10" s="25">
        <v>26539</v>
      </c>
      <c r="N10" s="25">
        <v>475711.2</v>
      </c>
      <c r="O10" s="25">
        <v>462056.6</v>
      </c>
      <c r="P10" s="25">
        <v>99031.9</v>
      </c>
      <c r="Q10" s="25">
        <v>0</v>
      </c>
      <c r="R10" s="25">
        <v>0</v>
      </c>
      <c r="S10" s="25">
        <v>0</v>
      </c>
      <c r="T10" s="25">
        <v>0</v>
      </c>
      <c r="U10" s="25">
        <v>40378.800000000003</v>
      </c>
      <c r="V10" s="25">
        <v>60545.4</v>
      </c>
      <c r="W10" s="25">
        <v>60545.4</v>
      </c>
      <c r="X10" s="25">
        <v>48181.505665999997</v>
      </c>
      <c r="Y10" s="25">
        <v>0</v>
      </c>
      <c r="Z10" s="25">
        <v>0</v>
      </c>
      <c r="AA10" s="25">
        <v>17527.8</v>
      </c>
      <c r="AB10" s="25">
        <v>15758</v>
      </c>
      <c r="AC10" s="25">
        <v>13654.6</v>
      </c>
      <c r="AD10" s="25">
        <v>0</v>
      </c>
      <c r="AE10" s="25">
        <v>0</v>
      </c>
      <c r="AF10" s="25">
        <v>0</v>
      </c>
      <c r="AG10" s="25">
        <v>2059072</v>
      </c>
      <c r="AH10" s="25">
        <v>0</v>
      </c>
      <c r="AI10" s="25">
        <v>92068.5</v>
      </c>
      <c r="AJ10" s="27">
        <v>0</v>
      </c>
      <c r="AK10" s="27">
        <v>0.12083333333333331</v>
      </c>
      <c r="AL10" s="27">
        <v>0.1985625</v>
      </c>
      <c r="AM10" s="27">
        <v>4.8999999999999998E-3</v>
      </c>
      <c r="AN10" s="25">
        <v>0.70881936789140398</v>
      </c>
      <c r="AO10" s="27">
        <v>0.14505000000000001</v>
      </c>
      <c r="AP10" s="25">
        <v>8.7499999999999994E-2</v>
      </c>
      <c r="AQ10" s="27">
        <v>0.1541666666666667</v>
      </c>
    </row>
    <row r="11" spans="1:43" ht="13.2">
      <c r="A11" s="25" t="s">
        <v>51</v>
      </c>
      <c r="B11" s="25">
        <v>38</v>
      </c>
      <c r="C11" s="25">
        <v>7351.6759999999995</v>
      </c>
      <c r="D11" s="25">
        <v>0.85416666666666596</v>
      </c>
      <c r="E11" s="25">
        <v>16.48113198409845</v>
      </c>
      <c r="F11" s="25">
        <v>13.927410261775711</v>
      </c>
      <c r="G11" s="25">
        <v>13.225639231829364</v>
      </c>
      <c r="H11" s="25">
        <v>3.6344090140857599E-2</v>
      </c>
      <c r="I11" s="25">
        <v>0.27796947368420999</v>
      </c>
      <c r="J11" s="25">
        <v>8.8817647058823501E-2</v>
      </c>
      <c r="K11" s="25">
        <v>0.43990000000000001</v>
      </c>
      <c r="L11" s="25">
        <v>283056.90000000002</v>
      </c>
      <c r="M11" s="25">
        <v>112679.6</v>
      </c>
      <c r="N11" s="25">
        <v>395736.5</v>
      </c>
      <c r="O11" s="25">
        <v>366495.3</v>
      </c>
      <c r="P11" s="25">
        <v>163185.79999999999</v>
      </c>
      <c r="Q11" s="25">
        <v>0</v>
      </c>
      <c r="R11" s="25">
        <v>0</v>
      </c>
      <c r="S11" s="25">
        <v>0</v>
      </c>
      <c r="T11" s="25">
        <v>0</v>
      </c>
      <c r="U11" s="25">
        <v>13958.6</v>
      </c>
      <c r="V11" s="25">
        <v>43390.8</v>
      </c>
      <c r="W11" s="25">
        <v>43390.8</v>
      </c>
      <c r="X11" s="25">
        <v>30342.661425000013</v>
      </c>
      <c r="Y11" s="25">
        <v>0</v>
      </c>
      <c r="Z11" s="25">
        <v>0</v>
      </c>
      <c r="AA11" s="25">
        <v>13201.9</v>
      </c>
      <c r="AB11" s="25">
        <v>12335.4</v>
      </c>
      <c r="AC11" s="25">
        <v>29241.200000000001</v>
      </c>
      <c r="AD11" s="25">
        <v>0</v>
      </c>
      <c r="AE11" s="25">
        <v>0</v>
      </c>
      <c r="AF11" s="25">
        <v>406.1</v>
      </c>
      <c r="AG11" s="25">
        <v>864593.8</v>
      </c>
      <c r="AH11" s="25">
        <v>0</v>
      </c>
      <c r="AI11" s="25">
        <v>80760</v>
      </c>
      <c r="AJ11" s="27">
        <v>0</v>
      </c>
      <c r="AK11" s="27">
        <v>6.8030303030303024E-2</v>
      </c>
      <c r="AL11" s="27">
        <v>6.7844117647058819E-2</v>
      </c>
      <c r="AM11" s="27">
        <v>7.2909090909090901E-3</v>
      </c>
      <c r="AN11" s="25">
        <v>0.70787892880729897</v>
      </c>
      <c r="AO11" s="27">
        <v>0.18183714285714284</v>
      </c>
      <c r="AP11" s="25">
        <v>6.8674074074074054E-2</v>
      </c>
      <c r="AQ11" s="27">
        <v>0.10274193548387099</v>
      </c>
    </row>
    <row r="12" spans="1:43" ht="13.2">
      <c r="A12" s="25" t="s">
        <v>52</v>
      </c>
      <c r="B12" s="25">
        <v>44</v>
      </c>
      <c r="C12" s="25">
        <v>7655.1660000000002</v>
      </c>
      <c r="D12" s="25">
        <v>0.77631578947368396</v>
      </c>
      <c r="E12" s="25">
        <v>33.568581954156997</v>
      </c>
      <c r="F12" s="25">
        <v>23.779374933624226</v>
      </c>
      <c r="G12" s="25">
        <v>22.540044056945284</v>
      </c>
      <c r="H12" s="25">
        <v>5.1096319957629399E-3</v>
      </c>
      <c r="I12" s="25">
        <v>0.16727545454545401</v>
      </c>
      <c r="J12" s="25">
        <v>0.129085714285714</v>
      </c>
      <c r="K12" s="25">
        <v>0.41975000000000001</v>
      </c>
      <c r="L12" s="25">
        <v>840395.2</v>
      </c>
      <c r="M12" s="25">
        <v>96496.2</v>
      </c>
      <c r="N12" s="25">
        <v>936891.4</v>
      </c>
      <c r="O12" s="25">
        <v>918954.5</v>
      </c>
      <c r="P12" s="25">
        <v>209137.8</v>
      </c>
      <c r="Q12" s="25">
        <v>6152.3</v>
      </c>
      <c r="R12" s="25">
        <v>268.36776499237999</v>
      </c>
      <c r="S12" s="25">
        <v>461.76776499237985</v>
      </c>
      <c r="T12" s="25">
        <v>295012.2</v>
      </c>
      <c r="U12" s="25">
        <v>99995.199999999997</v>
      </c>
      <c r="V12" s="25">
        <v>54185.548910000027</v>
      </c>
      <c r="W12" s="25">
        <v>67499.348909999972</v>
      </c>
      <c r="X12" s="25">
        <v>39157.780648000007</v>
      </c>
      <c r="Y12" s="25">
        <v>13313.8</v>
      </c>
      <c r="Z12" s="25">
        <v>14137.5</v>
      </c>
      <c r="AA12" s="25">
        <v>29178.1</v>
      </c>
      <c r="AB12" s="25">
        <v>14521.9</v>
      </c>
      <c r="AC12" s="25">
        <v>17936.900000000001</v>
      </c>
      <c r="AD12" s="25">
        <v>31936</v>
      </c>
      <c r="AE12" s="25">
        <v>22112.5</v>
      </c>
      <c r="AF12" s="25">
        <v>93944.5</v>
      </c>
      <c r="AG12" s="25">
        <v>335541.2</v>
      </c>
      <c r="AH12" s="25">
        <v>45707.7</v>
      </c>
      <c r="AI12" s="25">
        <v>130696.7</v>
      </c>
      <c r="AJ12" s="27">
        <v>3.9341176470588241E-2</v>
      </c>
      <c r="AK12" s="27">
        <v>0.19125</v>
      </c>
      <c r="AL12" s="27">
        <v>0.18550333333333321</v>
      </c>
      <c r="AM12" s="27">
        <v>8.8500000000000002E-3</v>
      </c>
      <c r="AN12" s="25">
        <v>0.442227865648746</v>
      </c>
      <c r="AO12" s="27">
        <v>0.52026896551724133</v>
      </c>
      <c r="AP12" s="25">
        <v>0.13269230769230769</v>
      </c>
      <c r="AQ12" s="27">
        <v>0.1108333333333333</v>
      </c>
    </row>
    <row r="13" spans="1:43" ht="13.2">
      <c r="A13" s="25" t="s">
        <v>53</v>
      </c>
      <c r="B13" s="25">
        <v>103</v>
      </c>
      <c r="C13" s="25">
        <v>0</v>
      </c>
      <c r="D13" s="25">
        <v>1.0849397590361438</v>
      </c>
      <c r="E13" s="25">
        <v>93.439828136390759</v>
      </c>
      <c r="F13" s="25">
        <v>82.518132984631535</v>
      </c>
      <c r="G13" s="25">
        <v>33.964199766690299</v>
      </c>
      <c r="H13" s="25">
        <v>0</v>
      </c>
      <c r="I13" s="25">
        <v>4.1129320388349502E-2</v>
      </c>
      <c r="J13" s="25">
        <v>0.107584210526316</v>
      </c>
      <c r="K13" s="25">
        <v>0.40466666666666701</v>
      </c>
      <c r="L13" s="25">
        <v>336652.79999999999</v>
      </c>
      <c r="M13" s="25">
        <v>30615.599999999999</v>
      </c>
      <c r="N13" s="25">
        <v>367268.4</v>
      </c>
      <c r="O13" s="25">
        <v>331523.59999999998</v>
      </c>
      <c r="P13" s="25">
        <v>70482.20000000007</v>
      </c>
      <c r="Q13" s="25">
        <v>2715.8</v>
      </c>
      <c r="R13" s="25">
        <v>-317.14601670864016</v>
      </c>
      <c r="S13" s="25">
        <v>687.75398329135953</v>
      </c>
      <c r="T13" s="25">
        <v>55318.1</v>
      </c>
      <c r="U13" s="25">
        <v>30396.1</v>
      </c>
      <c r="V13" s="25">
        <v>15887.12658</v>
      </c>
      <c r="W13" s="25">
        <v>19375.826580000012</v>
      </c>
      <c r="X13" s="25">
        <v>10271.479258999991</v>
      </c>
      <c r="Y13" s="25">
        <v>3488.7</v>
      </c>
      <c r="Z13" s="25">
        <v>5553</v>
      </c>
      <c r="AA13" s="25">
        <v>8421.7000000000007</v>
      </c>
      <c r="AB13" s="25">
        <v>4424.3999999999996</v>
      </c>
      <c r="AC13" s="25">
        <v>35744.800000000003</v>
      </c>
      <c r="AD13" s="25">
        <v>8911.2999999999993</v>
      </c>
      <c r="AE13" s="25">
        <v>7146.2</v>
      </c>
      <c r="AF13" s="25">
        <v>24208.1</v>
      </c>
      <c r="AG13" s="25">
        <v>129793.2</v>
      </c>
      <c r="AH13" s="25">
        <v>2581.6</v>
      </c>
      <c r="AI13" s="25">
        <v>75832.800000000003</v>
      </c>
      <c r="AJ13" s="27">
        <v>0.32923285714285733</v>
      </c>
      <c r="AK13" s="27">
        <v>0.37666666666666643</v>
      </c>
      <c r="AL13" s="27">
        <v>1.0691304347826091E-2</v>
      </c>
      <c r="AM13" s="27">
        <v>1.5050877192982461E-2</v>
      </c>
      <c r="AN13" s="25">
        <v>0.333761031936399</v>
      </c>
      <c r="AO13" s="27">
        <v>0.72360270270270266</v>
      </c>
      <c r="AP13" s="25">
        <v>0.26769230769230767</v>
      </c>
      <c r="AQ13" s="27">
        <v>0</v>
      </c>
    </row>
    <row r="14" spans="1:43" ht="13.2">
      <c r="A14" s="25" t="s">
        <v>54</v>
      </c>
      <c r="B14" s="25">
        <v>49</v>
      </c>
      <c r="C14" s="25">
        <v>1215.9939999999999</v>
      </c>
      <c r="D14" s="25">
        <v>1.0689189189189192</v>
      </c>
      <c r="E14" s="25">
        <v>17.623851135037992</v>
      </c>
      <c r="F14" s="25">
        <v>20.326097084263409</v>
      </c>
      <c r="G14" s="25">
        <v>27.505587150676629</v>
      </c>
      <c r="H14" s="25">
        <v>6.1814846380925798E-3</v>
      </c>
      <c r="I14" s="25">
        <v>0.23792265306122401</v>
      </c>
      <c r="J14" s="25">
        <v>6.1473333333333303E-2</v>
      </c>
      <c r="K14" s="25">
        <v>0.55831666666666702</v>
      </c>
      <c r="L14" s="25">
        <v>128998.5</v>
      </c>
      <c r="M14" s="25">
        <v>38026</v>
      </c>
      <c r="N14" s="25">
        <v>167024.5</v>
      </c>
      <c r="O14" s="25">
        <v>158725</v>
      </c>
      <c r="P14" s="25">
        <v>78719.899999999994</v>
      </c>
      <c r="Q14" s="25">
        <v>14770.5</v>
      </c>
      <c r="R14" s="25">
        <v>27.908266448031618</v>
      </c>
      <c r="S14" s="25">
        <v>960.70826644803162</v>
      </c>
      <c r="T14" s="25">
        <v>134471</v>
      </c>
      <c r="U14" s="25">
        <v>17879.599999999999</v>
      </c>
      <c r="V14" s="25">
        <v>18224.05616</v>
      </c>
      <c r="W14" s="25">
        <v>22267.656159999999</v>
      </c>
      <c r="X14" s="25">
        <v>12713.73871</v>
      </c>
      <c r="Y14" s="25">
        <v>4043.6</v>
      </c>
      <c r="Z14" s="25">
        <v>6094.2</v>
      </c>
      <c r="AA14" s="25">
        <v>11704.5</v>
      </c>
      <c r="AB14" s="25">
        <v>2550.1</v>
      </c>
      <c r="AC14" s="25">
        <v>8299.5</v>
      </c>
      <c r="AD14" s="25">
        <v>13875</v>
      </c>
      <c r="AE14" s="25">
        <v>11594.3</v>
      </c>
      <c r="AF14" s="25">
        <v>42271.4</v>
      </c>
      <c r="AG14" s="25">
        <v>115737.7</v>
      </c>
      <c r="AH14" s="25">
        <v>7874</v>
      </c>
      <c r="AI14" s="25">
        <v>49087.6</v>
      </c>
      <c r="AJ14" s="27">
        <v>0.125027027027027</v>
      </c>
      <c r="AK14" s="27">
        <v>0.1152083333333333</v>
      </c>
      <c r="AL14" s="27">
        <v>8.2251515151515145E-2</v>
      </c>
      <c r="AM14" s="27">
        <v>1.0110344827586208E-2</v>
      </c>
      <c r="AN14" s="25">
        <v>0.44995186933762799</v>
      </c>
      <c r="AO14" s="27">
        <v>0.56448749999999992</v>
      </c>
      <c r="AP14" s="25">
        <v>0.11853809523809522</v>
      </c>
      <c r="AQ14" s="27">
        <v>0.11800000000000001</v>
      </c>
    </row>
    <row r="15" spans="1:43" ht="13.2">
      <c r="A15" s="25" t="s">
        <v>55</v>
      </c>
      <c r="B15" s="25">
        <v>23</v>
      </c>
      <c r="C15" s="25">
        <v>333.59800000000001</v>
      </c>
      <c r="D15" s="25">
        <v>0.91249999999999998</v>
      </c>
      <c r="E15" s="25">
        <v>37.279280018294266</v>
      </c>
      <c r="F15" s="25">
        <v>68.696658785012303</v>
      </c>
      <c r="G15" s="25">
        <v>33.423884589662229</v>
      </c>
      <c r="H15" s="25">
        <v>6.3316390296084199E-3</v>
      </c>
      <c r="I15" s="25">
        <v>0.20044956521739099</v>
      </c>
      <c r="J15" s="25">
        <v>0.2359</v>
      </c>
      <c r="K15" s="25">
        <v>0.39832000000000001</v>
      </c>
      <c r="L15" s="25">
        <v>413044.1</v>
      </c>
      <c r="M15" s="25">
        <v>247201.5</v>
      </c>
      <c r="N15" s="25">
        <v>660245.6</v>
      </c>
      <c r="O15" s="25">
        <v>634943.69999999995</v>
      </c>
      <c r="P15" s="25">
        <v>426314.4</v>
      </c>
      <c r="Q15" s="25">
        <v>-31369.3</v>
      </c>
      <c r="R15" s="25">
        <v>2865.9081299703162</v>
      </c>
      <c r="S15" s="25">
        <v>3030.9081299703162</v>
      </c>
      <c r="T15" s="25">
        <v>207320.5</v>
      </c>
      <c r="U15" s="25">
        <v>48426.1</v>
      </c>
      <c r="V15" s="25">
        <v>68661.858470000006</v>
      </c>
      <c r="W15" s="25">
        <v>103320.05847</v>
      </c>
      <c r="X15" s="25">
        <v>41748.023971698385</v>
      </c>
      <c r="Y15" s="25">
        <v>34658.199999999997</v>
      </c>
      <c r="Z15" s="25">
        <v>35192.9</v>
      </c>
      <c r="AA15" s="25">
        <v>11007.3</v>
      </c>
      <c r="AB15" s="25">
        <v>6687.8</v>
      </c>
      <c r="AC15" s="25">
        <v>25301.9</v>
      </c>
      <c r="AD15" s="25">
        <v>13436.7</v>
      </c>
      <c r="AE15" s="25">
        <v>1202.8</v>
      </c>
      <c r="AF15" s="25">
        <v>152234.6</v>
      </c>
      <c r="AG15" s="25">
        <v>681083.9</v>
      </c>
      <c r="AH15" s="25">
        <v>19903.599999999999</v>
      </c>
      <c r="AI15" s="25">
        <v>204955.8</v>
      </c>
      <c r="AJ15" s="27">
        <v>9.9665000000000031E-2</v>
      </c>
      <c r="AK15" s="27">
        <v>0.20333333333333323</v>
      </c>
      <c r="AL15" s="27">
        <v>0.13378571428571417</v>
      </c>
      <c r="AM15" s="27">
        <v>1.5625E-2</v>
      </c>
      <c r="AN15" s="25">
        <v>0.472068995223552</v>
      </c>
      <c r="AO15" s="27">
        <v>0.46290500000000001</v>
      </c>
      <c r="AP15" s="25">
        <v>0.23449999999999999</v>
      </c>
      <c r="AQ15" s="27">
        <v>0.08</v>
      </c>
    </row>
    <row r="16" spans="1:43" ht="13.2">
      <c r="A16" s="25" t="s">
        <v>56</v>
      </c>
      <c r="B16" s="25">
        <v>13</v>
      </c>
      <c r="C16" s="25">
        <v>3904.5770000000002</v>
      </c>
      <c r="D16" s="25">
        <v>0.8</v>
      </c>
      <c r="E16" s="25">
        <v>20.155365106777861</v>
      </c>
      <c r="F16" s="25">
        <v>17.480601551255145</v>
      </c>
      <c r="G16" s="25">
        <v>18.725744170281875</v>
      </c>
      <c r="H16" s="25">
        <v>3.9856493266041099E-2</v>
      </c>
      <c r="I16" s="25">
        <v>0.27127384615384598</v>
      </c>
      <c r="J16" s="25">
        <v>1.46E-2</v>
      </c>
      <c r="K16" s="25">
        <v>0.40332307692307701</v>
      </c>
      <c r="L16" s="25">
        <v>582438.30000000005</v>
      </c>
      <c r="M16" s="25">
        <v>97144.1</v>
      </c>
      <c r="N16" s="25">
        <v>679582.4</v>
      </c>
      <c r="O16" s="25">
        <v>671839.4</v>
      </c>
      <c r="P16" s="25">
        <v>246670.5</v>
      </c>
      <c r="Q16" s="25">
        <v>-7870.3</v>
      </c>
      <c r="R16" s="25">
        <v>15.914075760961378</v>
      </c>
      <c r="S16" s="25">
        <v>77572.614075760968</v>
      </c>
      <c r="T16" s="25">
        <v>214641.4</v>
      </c>
      <c r="U16" s="25">
        <v>20662.900000000001</v>
      </c>
      <c r="V16" s="25">
        <v>88661.2</v>
      </c>
      <c r="W16" s="25">
        <v>115185.9</v>
      </c>
      <c r="X16" s="25">
        <v>55471.184039</v>
      </c>
      <c r="Y16" s="25">
        <v>26524.7</v>
      </c>
      <c r="Z16" s="25">
        <v>181638.2</v>
      </c>
      <c r="AA16" s="25">
        <v>30320</v>
      </c>
      <c r="AB16" s="25">
        <v>17378.8</v>
      </c>
      <c r="AC16" s="25">
        <v>7743</v>
      </c>
      <c r="AD16" s="25">
        <v>27455</v>
      </c>
      <c r="AE16" s="25">
        <v>7069.5</v>
      </c>
      <c r="AF16" s="25">
        <v>320789.3</v>
      </c>
      <c r="AG16" s="25">
        <v>396106.4</v>
      </c>
      <c r="AH16" s="25">
        <v>39183.699999999997</v>
      </c>
      <c r="AI16" s="25">
        <v>158195.29999999999</v>
      </c>
      <c r="AJ16" s="27">
        <v>0.1144384615384615</v>
      </c>
      <c r="AK16" s="27">
        <v>0.19750000000000001</v>
      </c>
      <c r="AL16" s="27">
        <v>0.27256000000000002</v>
      </c>
      <c r="AM16" s="27">
        <v>6.4900000000000001E-3</v>
      </c>
      <c r="AN16" s="25">
        <v>0.48204737275092802</v>
      </c>
      <c r="AO16" s="27">
        <v>0.27897</v>
      </c>
      <c r="AP16" s="25">
        <v>7.8750000000000001E-2</v>
      </c>
      <c r="AQ16" s="27">
        <v>0.1021428571428571</v>
      </c>
    </row>
    <row r="17" spans="1:43" ht="13.2">
      <c r="A17" s="25" t="s">
        <v>57</v>
      </c>
      <c r="B17" s="25">
        <v>19</v>
      </c>
      <c r="C17" s="25">
        <v>3438.39</v>
      </c>
      <c r="D17" s="25">
        <v>1.155882352941177</v>
      </c>
      <c r="E17" s="25">
        <v>35.850764335039045</v>
      </c>
      <c r="F17" s="25">
        <v>30.519179877382218</v>
      </c>
      <c r="G17" s="25">
        <v>25.047120039678919</v>
      </c>
      <c r="H17" s="25">
        <v>1.2212169949631899E-2</v>
      </c>
      <c r="I17" s="25">
        <v>0.169671052631579</v>
      </c>
      <c r="J17" s="25">
        <v>2.4888888888888901E-2</v>
      </c>
      <c r="K17" s="25">
        <v>0.53247999999999995</v>
      </c>
      <c r="L17" s="25">
        <v>372334.6</v>
      </c>
      <c r="M17" s="25">
        <v>58055.7</v>
      </c>
      <c r="N17" s="25">
        <v>430390.3</v>
      </c>
      <c r="O17" s="25">
        <v>417865.1</v>
      </c>
      <c r="P17" s="25">
        <v>116008.6</v>
      </c>
      <c r="Q17" s="25">
        <v>25865</v>
      </c>
      <c r="R17" s="25">
        <v>-911.81788995208115</v>
      </c>
      <c r="S17" s="25">
        <v>-968.61788995208099</v>
      </c>
      <c r="T17" s="25">
        <v>218012.4</v>
      </c>
      <c r="U17" s="25">
        <v>20109.7</v>
      </c>
      <c r="V17" s="25">
        <v>28729.15452</v>
      </c>
      <c r="W17" s="25">
        <v>38753.754520000002</v>
      </c>
      <c r="X17" s="25">
        <v>23119.080226999999</v>
      </c>
      <c r="Y17" s="25">
        <v>10024.6</v>
      </c>
      <c r="Z17" s="25">
        <v>10028.5</v>
      </c>
      <c r="AA17" s="25">
        <v>14953.9</v>
      </c>
      <c r="AB17" s="25">
        <v>7780</v>
      </c>
      <c r="AC17" s="25">
        <v>12525.2</v>
      </c>
      <c r="AD17" s="25">
        <v>27574</v>
      </c>
      <c r="AE17" s="25">
        <v>29996.799999999999</v>
      </c>
      <c r="AF17" s="25">
        <v>80062.8</v>
      </c>
      <c r="AG17" s="25">
        <v>219762.5</v>
      </c>
      <c r="AH17" s="25">
        <v>23503.200000000001</v>
      </c>
      <c r="AI17" s="25">
        <v>73037.7</v>
      </c>
      <c r="AJ17" s="27">
        <v>4.3619999999999999E-2</v>
      </c>
      <c r="AK17" s="27">
        <v>0.15428571428571428</v>
      </c>
      <c r="AL17" s="27">
        <v>0.11205714285714281</v>
      </c>
      <c r="AM17" s="27">
        <v>1.5229999999999999E-2</v>
      </c>
      <c r="AN17" s="25">
        <v>0.577048883463391</v>
      </c>
      <c r="AO17" s="27">
        <v>0.64992142857142854</v>
      </c>
      <c r="AP17" s="25">
        <v>0.1394444444444444</v>
      </c>
      <c r="AQ17" s="27">
        <v>1.4999999999999999E-2</v>
      </c>
    </row>
    <row r="18" spans="1:43" ht="13.2">
      <c r="A18" s="25" t="s">
        <v>58</v>
      </c>
      <c r="B18" s="25">
        <v>37</v>
      </c>
      <c r="C18" s="25">
        <v>4156.6360000000013</v>
      </c>
      <c r="D18" s="25">
        <v>1.0258064516129028</v>
      </c>
      <c r="E18" s="25">
        <v>79.013465245559928</v>
      </c>
      <c r="F18" s="25">
        <v>23.255833394785945</v>
      </c>
      <c r="G18" s="25">
        <v>23.430966344095662</v>
      </c>
      <c r="H18" s="25">
        <v>9.7596637652820999E-3</v>
      </c>
      <c r="I18" s="25">
        <v>0.26197243243243201</v>
      </c>
      <c r="J18" s="25">
        <v>9.0684615384615405E-2</v>
      </c>
      <c r="K18" s="25">
        <v>0.54260344827586204</v>
      </c>
      <c r="L18" s="25">
        <v>488933</v>
      </c>
      <c r="M18" s="25">
        <v>67454</v>
      </c>
      <c r="N18" s="25">
        <v>556387</v>
      </c>
      <c r="O18" s="25">
        <v>532422.40000000002</v>
      </c>
      <c r="P18" s="25">
        <v>158355.29999999999</v>
      </c>
      <c r="Q18" s="25">
        <v>27950.3</v>
      </c>
      <c r="R18" s="25">
        <v>-768.71951925646488</v>
      </c>
      <c r="S18" s="25">
        <v>343.58048074353542</v>
      </c>
      <c r="T18" s="25">
        <v>295666</v>
      </c>
      <c r="U18" s="25">
        <v>42701</v>
      </c>
      <c r="V18" s="25">
        <v>67319.510920000001</v>
      </c>
      <c r="W18" s="25">
        <v>83467.810920000004</v>
      </c>
      <c r="X18" s="25">
        <v>39956.008471000023</v>
      </c>
      <c r="Y18" s="25">
        <v>16148.3</v>
      </c>
      <c r="Z18" s="25">
        <v>18461</v>
      </c>
      <c r="AA18" s="25">
        <v>23482.1</v>
      </c>
      <c r="AB18" s="25">
        <v>12632.4</v>
      </c>
      <c r="AC18" s="25">
        <v>23964.6</v>
      </c>
      <c r="AD18" s="25">
        <v>41720.199999999997</v>
      </c>
      <c r="AE18" s="25">
        <v>33413.800000000003</v>
      </c>
      <c r="AF18" s="25">
        <v>118594.4</v>
      </c>
      <c r="AG18" s="25">
        <v>309570.8</v>
      </c>
      <c r="AH18" s="25">
        <v>21228.3</v>
      </c>
      <c r="AI18" s="25">
        <v>115881.9</v>
      </c>
      <c r="AJ18" s="27">
        <v>0.17255142857142855</v>
      </c>
      <c r="AK18" s="27">
        <v>8.4285714285714256E-2</v>
      </c>
      <c r="AL18" s="27">
        <v>0.29171600000000003</v>
      </c>
      <c r="AM18" s="27">
        <v>1.1575999999999999E-2</v>
      </c>
      <c r="AN18" s="25">
        <v>0.56818785691997697</v>
      </c>
      <c r="AO18" s="27">
        <v>0.33990370370370376</v>
      </c>
      <c r="AP18" s="25">
        <v>0.11524117647058818</v>
      </c>
      <c r="AQ18" s="27">
        <v>3.2857142857142863E-2</v>
      </c>
    </row>
    <row r="19" spans="1:43" ht="13.2">
      <c r="A19" s="25" t="s">
        <v>59</v>
      </c>
      <c r="B19" s="25">
        <v>90</v>
      </c>
      <c r="C19" s="25">
        <v>2089.6590000000001</v>
      </c>
      <c r="D19" s="25">
        <v>1</v>
      </c>
      <c r="E19" s="25">
        <v>27.945687485512916</v>
      </c>
      <c r="F19" s="25">
        <v>18.76458736668128</v>
      </c>
      <c r="G19" s="25">
        <v>39.237388328336692</v>
      </c>
      <c r="H19" s="25">
        <v>8.3612611023982392E-3</v>
      </c>
      <c r="I19" s="25">
        <v>0.19005077777777801</v>
      </c>
      <c r="J19" s="25">
        <v>7.4651612903225806E-2</v>
      </c>
      <c r="K19" s="25">
        <v>0.48505217391304301</v>
      </c>
      <c r="L19" s="25">
        <v>252953.9</v>
      </c>
      <c r="M19" s="25">
        <v>45332</v>
      </c>
      <c r="N19" s="25">
        <v>298285.90000000002</v>
      </c>
      <c r="O19" s="25">
        <v>283328.8</v>
      </c>
      <c r="P19" s="25">
        <v>103436</v>
      </c>
      <c r="Q19" s="25">
        <v>21781.7</v>
      </c>
      <c r="R19" s="25">
        <v>-533.09385634297917</v>
      </c>
      <c r="S19" s="25">
        <v>-331.49385634297914</v>
      </c>
      <c r="T19" s="25">
        <v>198161.8</v>
      </c>
      <c r="U19" s="25">
        <v>36441.1</v>
      </c>
      <c r="V19" s="25">
        <v>26892.005600000011</v>
      </c>
      <c r="W19" s="25">
        <v>34903.205600000001</v>
      </c>
      <c r="X19" s="25">
        <v>19419.265559203199</v>
      </c>
      <c r="Y19" s="25">
        <v>8011.2</v>
      </c>
      <c r="Z19" s="25">
        <v>8422.2999999999993</v>
      </c>
      <c r="AA19" s="25">
        <v>11359.2</v>
      </c>
      <c r="AB19" s="25">
        <v>5703.3</v>
      </c>
      <c r="AC19" s="25">
        <v>14957.1</v>
      </c>
      <c r="AD19" s="25">
        <v>29613.9</v>
      </c>
      <c r="AE19" s="25">
        <v>23508.5</v>
      </c>
      <c r="AF19" s="25">
        <v>56291.7</v>
      </c>
      <c r="AG19" s="25">
        <v>186627.7</v>
      </c>
      <c r="AH19" s="25">
        <v>19492.400000000001</v>
      </c>
      <c r="AI19" s="25">
        <v>73446.100000000006</v>
      </c>
      <c r="AJ19" s="27">
        <v>0.13650975609756089</v>
      </c>
      <c r="AK19" s="27">
        <v>0.1075</v>
      </c>
      <c r="AL19" s="27">
        <v>0.11507611940298508</v>
      </c>
      <c r="AM19" s="27">
        <v>1.0649206349206351E-2</v>
      </c>
      <c r="AN19" s="25">
        <v>0.44856871177660901</v>
      </c>
      <c r="AO19" s="27">
        <v>0.52188591549295782</v>
      </c>
      <c r="AP19" s="25">
        <v>0.1275</v>
      </c>
      <c r="AQ19" s="27">
        <v>0.10307692307692312</v>
      </c>
    </row>
    <row r="20" spans="1:43" ht="13.2">
      <c r="A20" s="25" t="s">
        <v>60</v>
      </c>
      <c r="B20" s="25">
        <v>18</v>
      </c>
      <c r="C20" s="25">
        <v>718.88599999999997</v>
      </c>
      <c r="D20" s="25">
        <v>1.3153846153846156</v>
      </c>
      <c r="E20" s="25">
        <v>38.272101423977929</v>
      </c>
      <c r="F20" s="25">
        <v>25.276441567584737</v>
      </c>
      <c r="G20" s="25">
        <v>254.34283501010299</v>
      </c>
      <c r="H20" s="25">
        <v>1.1661688889141699E-2</v>
      </c>
      <c r="I20" s="25">
        <v>0.103644444444444</v>
      </c>
      <c r="J20" s="25">
        <v>2.07625E-2</v>
      </c>
      <c r="K20" s="25">
        <v>0.53388124999999997</v>
      </c>
      <c r="L20" s="25">
        <v>130364.3</v>
      </c>
      <c r="M20" s="25">
        <v>18409.900000000001</v>
      </c>
      <c r="N20" s="25">
        <v>148774.20000000001</v>
      </c>
      <c r="O20" s="25">
        <v>146292.9</v>
      </c>
      <c r="P20" s="25">
        <v>34172.400000000001</v>
      </c>
      <c r="Q20" s="25">
        <v>1706.4</v>
      </c>
      <c r="R20" s="25">
        <v>-161.85440863971041</v>
      </c>
      <c r="S20" s="25">
        <v>1024.9455913602897</v>
      </c>
      <c r="T20" s="25">
        <v>51441.5</v>
      </c>
      <c r="U20" s="25">
        <v>2323.8000000000002</v>
      </c>
      <c r="V20" s="25">
        <v>10643.706249999999</v>
      </c>
      <c r="W20" s="25">
        <v>14463.80625</v>
      </c>
      <c r="X20" s="25">
        <v>9235.4275569999991</v>
      </c>
      <c r="Y20" s="25">
        <v>3820.1</v>
      </c>
      <c r="Z20" s="25">
        <v>6428.7</v>
      </c>
      <c r="AA20" s="25">
        <v>4769.1000000000004</v>
      </c>
      <c r="AB20" s="25">
        <v>1998.2</v>
      </c>
      <c r="AC20" s="25">
        <v>2481.3000000000002</v>
      </c>
      <c r="AD20" s="25">
        <v>4991</v>
      </c>
      <c r="AE20" s="25">
        <v>3670.8</v>
      </c>
      <c r="AF20" s="25">
        <v>42178.9</v>
      </c>
      <c r="AG20" s="25">
        <v>65958.600000000006</v>
      </c>
      <c r="AH20" s="25">
        <v>5038</v>
      </c>
      <c r="AI20" s="25">
        <v>18259</v>
      </c>
      <c r="AJ20" s="27">
        <v>0.1403533333333333</v>
      </c>
      <c r="AK20" s="27">
        <v>0.01</v>
      </c>
      <c r="AL20" s="27">
        <v>0.37630000000000002</v>
      </c>
      <c r="AM20" s="27">
        <v>1.7142857142857144E-2</v>
      </c>
      <c r="AN20" s="25">
        <v>0.51038572647104097</v>
      </c>
      <c r="AO20" s="27">
        <v>0.41804999999999998</v>
      </c>
      <c r="AP20" s="25">
        <v>0.23096</v>
      </c>
      <c r="AQ20" s="27">
        <v>-2.5000000000000001E-2</v>
      </c>
    </row>
    <row r="21" spans="1:43" ht="13.2">
      <c r="A21" s="25" t="s">
        <v>61</v>
      </c>
      <c r="B21" s="25">
        <v>376</v>
      </c>
      <c r="C21" s="25">
        <v>6809.8919999999998</v>
      </c>
      <c r="D21" s="25">
        <v>0.91656151419558396</v>
      </c>
      <c r="E21" s="25">
        <v>58.80261161290688</v>
      </c>
      <c r="F21" s="25">
        <v>36.936163498997466</v>
      </c>
      <c r="G21" s="25">
        <v>46.696448277863027</v>
      </c>
      <c r="H21" s="25">
        <v>1.35646814170044E-3</v>
      </c>
      <c r="I21" s="25">
        <v>0.107457180851064</v>
      </c>
      <c r="J21" s="25">
        <v>6.6511363636363605E-2</v>
      </c>
      <c r="K21" s="25">
        <v>0.35719102040816297</v>
      </c>
      <c r="L21" s="25">
        <v>1847536.4</v>
      </c>
      <c r="M21" s="25">
        <v>63473.4</v>
      </c>
      <c r="N21" s="25">
        <v>1911009.8</v>
      </c>
      <c r="O21" s="25">
        <v>1745073.9</v>
      </c>
      <c r="P21" s="25">
        <v>204526.7</v>
      </c>
      <c r="Q21" s="25">
        <v>-39674.1</v>
      </c>
      <c r="R21" s="25">
        <v>1391.3906262116477</v>
      </c>
      <c r="S21" s="25">
        <v>-733.30937378835154</v>
      </c>
      <c r="T21" s="25">
        <v>488550.5</v>
      </c>
      <c r="U21" s="25">
        <v>150331.70000000001</v>
      </c>
      <c r="V21" s="25">
        <v>108098.04020999989</v>
      </c>
      <c r="W21" s="25">
        <v>128617.74021</v>
      </c>
      <c r="X21" s="25">
        <v>74797.60028119004</v>
      </c>
      <c r="Y21" s="25">
        <v>20519.7</v>
      </c>
      <c r="Z21" s="25">
        <v>16404.5</v>
      </c>
      <c r="AA21" s="25">
        <v>61898</v>
      </c>
      <c r="AB21" s="25">
        <v>35892.699999999997</v>
      </c>
      <c r="AC21" s="25">
        <v>165935.9</v>
      </c>
      <c r="AD21" s="25">
        <v>93436.900000000067</v>
      </c>
      <c r="AE21" s="25">
        <v>4037.6</v>
      </c>
      <c r="AF21" s="25">
        <v>45954.7</v>
      </c>
      <c r="AG21" s="25">
        <v>643604.19999999995</v>
      </c>
      <c r="AH21" s="25">
        <v>24665.3</v>
      </c>
      <c r="AI21" s="25">
        <v>308959.8</v>
      </c>
      <c r="AJ21" s="27">
        <v>0.2080088652482269</v>
      </c>
      <c r="AK21" s="27">
        <v>0.12530769230769231</v>
      </c>
      <c r="AL21" s="27">
        <v>0.10119838709677419</v>
      </c>
      <c r="AM21" s="27">
        <v>1.560283018867924E-2</v>
      </c>
      <c r="AN21" s="25">
        <v>0.34084330553440401</v>
      </c>
      <c r="AO21" s="27">
        <v>0.96120511811023535</v>
      </c>
      <c r="AP21" s="25">
        <v>0.20636576576576579</v>
      </c>
      <c r="AQ21" s="27">
        <v>0.13500000000000001</v>
      </c>
    </row>
    <row r="22" spans="1:43" ht="13.2">
      <c r="A22" s="25" t="s">
        <v>62</v>
      </c>
      <c r="B22" s="25">
        <v>144</v>
      </c>
      <c r="C22" s="25">
        <v>3540.848</v>
      </c>
      <c r="D22" s="25">
        <v>1.083333333333333</v>
      </c>
      <c r="E22" s="25">
        <v>32.477009801599344</v>
      </c>
      <c r="F22" s="25">
        <v>44.919191507398246</v>
      </c>
      <c r="G22" s="25">
        <v>29.793148038090472</v>
      </c>
      <c r="H22" s="25">
        <v>1.1308119791642701E-3</v>
      </c>
      <c r="I22" s="25">
        <v>8.4091180555555506E-2</v>
      </c>
      <c r="J22" s="25">
        <v>5.6843999999999999E-2</v>
      </c>
      <c r="K22" s="25">
        <v>0.419388571428572</v>
      </c>
      <c r="L22" s="25">
        <v>1415136.0418</v>
      </c>
      <c r="M22" s="25">
        <v>81603.8</v>
      </c>
      <c r="N22" s="25">
        <v>1496739.8418000001</v>
      </c>
      <c r="O22" s="25">
        <v>1346815.9417999999</v>
      </c>
      <c r="P22" s="25">
        <v>200049.3</v>
      </c>
      <c r="Q22" s="25">
        <v>-13110.1</v>
      </c>
      <c r="R22" s="25">
        <v>138.10553463282048</v>
      </c>
      <c r="S22" s="25">
        <v>71.505534632820002</v>
      </c>
      <c r="T22" s="25">
        <v>825756.5</v>
      </c>
      <c r="U22" s="25">
        <v>158706.5</v>
      </c>
      <c r="V22" s="25">
        <v>85091.363630000036</v>
      </c>
      <c r="W22" s="25">
        <v>109721.36363000001</v>
      </c>
      <c r="X22" s="25">
        <v>63233.942533071997</v>
      </c>
      <c r="Y22" s="25">
        <v>24630</v>
      </c>
      <c r="Z22" s="25">
        <v>24587.4</v>
      </c>
      <c r="AA22" s="25">
        <v>48680.6</v>
      </c>
      <c r="AB22" s="25">
        <v>28577.9</v>
      </c>
      <c r="AC22" s="25">
        <v>149923.9</v>
      </c>
      <c r="AD22" s="25">
        <v>133924.1</v>
      </c>
      <c r="AE22" s="25">
        <v>44906</v>
      </c>
      <c r="AF22" s="25">
        <v>71156.7</v>
      </c>
      <c r="AG22" s="25">
        <v>677497.7</v>
      </c>
      <c r="AH22" s="25">
        <v>101877.2</v>
      </c>
      <c r="AI22" s="25">
        <v>270009.7</v>
      </c>
      <c r="AJ22" s="27">
        <v>6.9624347826086938E-2</v>
      </c>
      <c r="AK22" s="27">
        <v>0.12535714285714292</v>
      </c>
      <c r="AL22" s="27">
        <v>4.4465048543689302E-2</v>
      </c>
      <c r="AM22" s="27">
        <v>1.8616000000000011E-2</v>
      </c>
      <c r="AN22" s="25">
        <v>0.37574403288404701</v>
      </c>
      <c r="AO22" s="27">
        <v>0.82486283185840747</v>
      </c>
      <c r="AP22" s="25">
        <v>0.19534186046511628</v>
      </c>
      <c r="AQ22" s="27">
        <v>0.105</v>
      </c>
    </row>
    <row r="23" spans="1:43" ht="13.2">
      <c r="A23" s="25" t="s">
        <v>63</v>
      </c>
      <c r="B23" s="25">
        <v>107</v>
      </c>
      <c r="C23" s="25">
        <v>3830.8090000000002</v>
      </c>
      <c r="D23" s="25">
        <v>0.93617021276595702</v>
      </c>
      <c r="E23" s="25">
        <v>25.056570983131984</v>
      </c>
      <c r="F23" s="25">
        <v>18.25121618059751</v>
      </c>
      <c r="G23" s="25">
        <v>29.28166736581764</v>
      </c>
      <c r="H23" s="25">
        <v>5.56502457788701E-3</v>
      </c>
      <c r="I23" s="25">
        <v>0.195358533206446</v>
      </c>
      <c r="J23" s="25">
        <v>5.34666666666666E-2</v>
      </c>
      <c r="K23" s="25">
        <v>0.48617682926829298</v>
      </c>
      <c r="L23" s="25">
        <v>770864.3</v>
      </c>
      <c r="M23" s="25">
        <v>123026.5</v>
      </c>
      <c r="N23" s="25">
        <v>893890.79999999912</v>
      </c>
      <c r="O23" s="25">
        <v>849340.9</v>
      </c>
      <c r="P23" s="25">
        <v>278891.8</v>
      </c>
      <c r="Q23" s="25">
        <v>39294.400000000001</v>
      </c>
      <c r="R23" s="25">
        <v>-526.87829354872019</v>
      </c>
      <c r="S23" s="25">
        <v>445.22170645127972</v>
      </c>
      <c r="T23" s="25">
        <v>540971</v>
      </c>
      <c r="U23" s="25">
        <v>83091.600000000006</v>
      </c>
      <c r="V23" s="25">
        <v>69266.212249999997</v>
      </c>
      <c r="W23" s="25">
        <v>83495.912250000023</v>
      </c>
      <c r="X23" s="25">
        <v>50244.377496651177</v>
      </c>
      <c r="Y23" s="25">
        <v>14229.7</v>
      </c>
      <c r="Z23" s="25">
        <v>15451.6</v>
      </c>
      <c r="AA23" s="25">
        <v>33834</v>
      </c>
      <c r="AB23" s="25">
        <v>17062.7</v>
      </c>
      <c r="AC23" s="25">
        <v>44549.9</v>
      </c>
      <c r="AD23" s="25">
        <v>89306.5</v>
      </c>
      <c r="AE23" s="25">
        <v>64531.199999999997</v>
      </c>
      <c r="AF23" s="25">
        <v>91606.6</v>
      </c>
      <c r="AG23" s="25">
        <v>581559.5</v>
      </c>
      <c r="AH23" s="25">
        <v>52811.4</v>
      </c>
      <c r="AI23" s="25">
        <v>200947.1</v>
      </c>
      <c r="AJ23" s="27">
        <v>0.16936413043478257</v>
      </c>
      <c r="AK23" s="27">
        <v>0.1650925925925926</v>
      </c>
      <c r="AL23" s="27">
        <v>0.19074235294117639</v>
      </c>
      <c r="AM23" s="27">
        <v>1.0334939759036139E-2</v>
      </c>
      <c r="AN23" s="25">
        <v>0.50210191711650398</v>
      </c>
      <c r="AO23" s="27">
        <v>0.43832613636363638</v>
      </c>
      <c r="AP23" s="25">
        <v>0.14783409090909091</v>
      </c>
      <c r="AQ23" s="27">
        <v>4.2023809523809519E-2</v>
      </c>
    </row>
    <row r="24" spans="1:43" ht="13.2">
      <c r="A24" s="25" t="s">
        <v>64</v>
      </c>
      <c r="B24" s="25">
        <v>368</v>
      </c>
      <c r="C24" s="25">
        <v>31665.109</v>
      </c>
      <c r="D24" s="25">
        <v>1.0707885304659492</v>
      </c>
      <c r="E24" s="25">
        <v>54.237271830441784</v>
      </c>
      <c r="F24" s="25">
        <v>87.072191722737841</v>
      </c>
      <c r="G24" s="25">
        <v>45.292391751650698</v>
      </c>
      <c r="H24" s="25">
        <v>1.55387802662895E-3</v>
      </c>
      <c r="I24" s="25">
        <v>5.95255978260869E-2</v>
      </c>
      <c r="J24" s="25">
        <v>5.2650000000000002E-2</v>
      </c>
      <c r="K24" s="25">
        <v>0.36543222591362101</v>
      </c>
      <c r="L24" s="25">
        <v>2657151.5</v>
      </c>
      <c r="M24" s="25">
        <v>207005.9</v>
      </c>
      <c r="N24" s="25">
        <v>2864157.4</v>
      </c>
      <c r="O24" s="25">
        <v>2616349.4</v>
      </c>
      <c r="P24" s="25">
        <v>642952.1</v>
      </c>
      <c r="Q24" s="25">
        <v>43168.4</v>
      </c>
      <c r="R24" s="25">
        <v>819.90415736364514</v>
      </c>
      <c r="S24" s="25">
        <v>-12233.295842636362</v>
      </c>
      <c r="T24" s="25">
        <v>697208.09999999905</v>
      </c>
      <c r="U24" s="25">
        <v>316516.90000000002</v>
      </c>
      <c r="V24" s="25">
        <v>219197.21764999995</v>
      </c>
      <c r="W24" s="25">
        <v>276365.41765000013</v>
      </c>
      <c r="X24" s="25">
        <v>159743.16769201361</v>
      </c>
      <c r="Y24" s="25">
        <v>57168.2</v>
      </c>
      <c r="Z24" s="25">
        <v>31005.4</v>
      </c>
      <c r="AA24" s="25">
        <v>120233.3</v>
      </c>
      <c r="AB24" s="25">
        <v>66837.399999999994</v>
      </c>
      <c r="AC24" s="25">
        <v>247808</v>
      </c>
      <c r="AD24" s="25">
        <v>129469.8</v>
      </c>
      <c r="AE24" s="25">
        <v>84381.1</v>
      </c>
      <c r="AF24" s="25">
        <v>225937.6</v>
      </c>
      <c r="AG24" s="25">
        <v>1300747.3999999999</v>
      </c>
      <c r="AH24" s="25">
        <v>62629.9</v>
      </c>
      <c r="AI24" s="25">
        <v>690305.00000000058</v>
      </c>
      <c r="AJ24" s="27">
        <v>0.25036846473029056</v>
      </c>
      <c r="AK24" s="27">
        <v>0.11121621621621618</v>
      </c>
      <c r="AL24" s="27">
        <v>2.4354066985645927E-2</v>
      </c>
      <c r="AM24" s="27">
        <v>1.7824489795918375E-2</v>
      </c>
      <c r="AN24" s="25">
        <v>0.35112015446374201</v>
      </c>
      <c r="AO24" s="27">
        <v>0.85410894308943097</v>
      </c>
      <c r="AP24" s="25">
        <v>0.20424210526315786</v>
      </c>
      <c r="AQ24" s="27">
        <v>0.10678571428571428</v>
      </c>
    </row>
    <row r="25" spans="1:43" ht="13.2">
      <c r="A25" s="25" t="s">
        <v>65</v>
      </c>
      <c r="B25" s="25">
        <v>56</v>
      </c>
      <c r="C25" s="25">
        <v>16.419</v>
      </c>
      <c r="D25" s="25">
        <v>1.1730769230769234</v>
      </c>
      <c r="E25" s="25">
        <v>776.41343855208981</v>
      </c>
      <c r="F25" s="25">
        <v>96.338058196504221</v>
      </c>
      <c r="G25" s="25">
        <v>320.5762817529702</v>
      </c>
      <c r="H25" s="25">
        <v>1.7287741708408399E-3</v>
      </c>
      <c r="I25" s="25">
        <v>0.15823000000000001</v>
      </c>
      <c r="J25" s="25">
        <v>0.12979375000000001</v>
      </c>
      <c r="K25" s="25">
        <v>0.45883658536585398</v>
      </c>
      <c r="L25" s="25">
        <v>103056.9</v>
      </c>
      <c r="M25" s="25">
        <v>3467.6</v>
      </c>
      <c r="N25" s="25">
        <v>106524.5</v>
      </c>
      <c r="O25" s="25">
        <v>93912.2</v>
      </c>
      <c r="P25" s="25">
        <v>11623.8</v>
      </c>
      <c r="Q25" s="25">
        <v>-2881</v>
      </c>
      <c r="R25" s="25">
        <v>-201.76399673969499</v>
      </c>
      <c r="S25" s="25">
        <v>16.436003260305</v>
      </c>
      <c r="T25" s="25">
        <v>23216.799999999999</v>
      </c>
      <c r="U25" s="25">
        <v>10092.6</v>
      </c>
      <c r="V25" s="25">
        <v>2539.3301400000014</v>
      </c>
      <c r="W25" s="25">
        <v>3564.1301400000002</v>
      </c>
      <c r="X25" s="25">
        <v>1846.5657900000001</v>
      </c>
      <c r="Y25" s="25">
        <v>1024.8</v>
      </c>
      <c r="Z25" s="25">
        <v>1514</v>
      </c>
      <c r="AA25" s="25">
        <v>1073</v>
      </c>
      <c r="AB25" s="25">
        <v>679.6</v>
      </c>
      <c r="AC25" s="25">
        <v>12612.3</v>
      </c>
      <c r="AD25" s="25">
        <v>3414.7</v>
      </c>
      <c r="AE25" s="25">
        <v>306.7</v>
      </c>
      <c r="AF25" s="25">
        <v>3552.1</v>
      </c>
      <c r="AG25" s="25">
        <v>34522.6</v>
      </c>
      <c r="AH25" s="25">
        <v>1550.2</v>
      </c>
      <c r="AI25" s="25">
        <v>21231.5</v>
      </c>
      <c r="AJ25" s="27">
        <v>0.13723111111111108</v>
      </c>
      <c r="AK25" s="27">
        <v>9.2499999999999999E-2</v>
      </c>
      <c r="AL25" s="27">
        <v>0.17554615384615382</v>
      </c>
      <c r="AM25" s="27">
        <v>2.0792000000000001E-2</v>
      </c>
      <c r="AN25" s="25">
        <v>0.45608386192200001</v>
      </c>
      <c r="AO25" s="27">
        <v>0.76019032258064501</v>
      </c>
      <c r="AP25" s="25">
        <v>0.24776785714285723</v>
      </c>
      <c r="AQ25" s="27">
        <v>0</v>
      </c>
    </row>
    <row r="26" spans="1:43" ht="13.2">
      <c r="A26" s="25" t="s">
        <v>66</v>
      </c>
      <c r="B26" s="25">
        <v>39</v>
      </c>
      <c r="C26" s="25">
        <v>38.101999999999997</v>
      </c>
      <c r="D26" s="25">
        <v>0.80714285714285705</v>
      </c>
      <c r="E26" s="25">
        <v>53.182675503610398</v>
      </c>
      <c r="F26" s="25">
        <v>45.680922237567927</v>
      </c>
      <c r="G26" s="25">
        <v>58.17323721703108</v>
      </c>
      <c r="H26" s="25">
        <v>8.6668482575679199E-4</v>
      </c>
      <c r="I26" s="25">
        <v>0.20743692307692299</v>
      </c>
      <c r="J26" s="25">
        <v>0.10539999999999999</v>
      </c>
      <c r="K26" s="25">
        <v>0.394507692307692</v>
      </c>
      <c r="L26" s="25">
        <v>66158.918399999995</v>
      </c>
      <c r="M26" s="25">
        <v>896.4</v>
      </c>
      <c r="N26" s="25">
        <v>67055.318399999989</v>
      </c>
      <c r="O26" s="25">
        <v>62867.418399999995</v>
      </c>
      <c r="P26" s="25">
        <v>4088</v>
      </c>
      <c r="Q26" s="25">
        <v>-2403</v>
      </c>
      <c r="R26" s="25">
        <v>100.20244491649018</v>
      </c>
      <c r="S26" s="25">
        <v>194.30244491649017</v>
      </c>
      <c r="T26" s="25">
        <v>21455.8</v>
      </c>
      <c r="U26" s="25">
        <v>8143.6</v>
      </c>
      <c r="V26" s="25">
        <v>3780.0325699999999</v>
      </c>
      <c r="W26" s="25">
        <v>4584.1325699999998</v>
      </c>
      <c r="X26" s="25">
        <v>2289.309499</v>
      </c>
      <c r="Y26" s="25">
        <v>804.1</v>
      </c>
      <c r="Z26" s="25">
        <v>973.3</v>
      </c>
      <c r="AA26" s="25">
        <v>1742.2</v>
      </c>
      <c r="AB26" s="25">
        <v>897.1</v>
      </c>
      <c r="AC26" s="25">
        <v>4187.8999999999996</v>
      </c>
      <c r="AD26" s="25">
        <v>1479.6</v>
      </c>
      <c r="AE26" s="25">
        <v>140.1</v>
      </c>
      <c r="AF26" s="25">
        <v>3813</v>
      </c>
      <c r="AG26" s="25">
        <v>15428.3</v>
      </c>
      <c r="AH26" s="25">
        <v>781.2</v>
      </c>
      <c r="AI26" s="25">
        <v>8030.3</v>
      </c>
      <c r="AJ26" s="27">
        <v>4.0712903225806472E-2</v>
      </c>
      <c r="AK26" s="27">
        <v>0.26300000000000001</v>
      </c>
      <c r="AL26" s="27">
        <v>0.21396249999999997</v>
      </c>
      <c r="AM26" s="27">
        <v>1.2718181818181819E-2</v>
      </c>
      <c r="AN26" s="25">
        <v>0.35788999510209601</v>
      </c>
      <c r="AO26" s="27">
        <v>0.50829999999999997</v>
      </c>
      <c r="AP26" s="25">
        <v>0.14654999999999999</v>
      </c>
      <c r="AQ26" s="27">
        <v>0.24</v>
      </c>
    </row>
    <row r="27" spans="1:43" ht="13.2">
      <c r="A27" s="25" t="s">
        <v>67</v>
      </c>
      <c r="B27" s="25">
        <v>25</v>
      </c>
      <c r="C27" s="25">
        <v>3823.7</v>
      </c>
      <c r="D27" s="25">
        <v>0.93260869565217397</v>
      </c>
      <c r="E27" s="25">
        <v>18.476929212738558</v>
      </c>
      <c r="F27" s="25">
        <v>20.491678637049109</v>
      </c>
      <c r="G27" s="25">
        <v>72.959598455708871</v>
      </c>
      <c r="H27" s="25">
        <v>2.9840573331979502E-2</v>
      </c>
      <c r="I27" s="25">
        <v>0.26656400000000002</v>
      </c>
      <c r="J27" s="25">
        <v>1.1849999999999999E-2</v>
      </c>
      <c r="K27" s="25">
        <v>0.62250869565217404</v>
      </c>
      <c r="L27" s="25">
        <v>222440.2</v>
      </c>
      <c r="M27" s="25">
        <v>161763.20000000001</v>
      </c>
      <c r="N27" s="25">
        <v>384203.4</v>
      </c>
      <c r="O27" s="25">
        <v>377305.8</v>
      </c>
      <c r="P27" s="25">
        <v>269763.90000000002</v>
      </c>
      <c r="Q27" s="25">
        <v>9049.2000000000007</v>
      </c>
      <c r="R27" s="25">
        <v>-324.68937359540428</v>
      </c>
      <c r="S27" s="25">
        <v>6281.510626404598</v>
      </c>
      <c r="T27" s="25">
        <v>190754.2</v>
      </c>
      <c r="U27" s="25">
        <v>10726.1</v>
      </c>
      <c r="V27" s="25">
        <v>39212.463040000017</v>
      </c>
      <c r="W27" s="25">
        <v>54913.963039999995</v>
      </c>
      <c r="X27" s="25">
        <v>27786.292150000001</v>
      </c>
      <c r="Y27" s="25">
        <v>15701.5</v>
      </c>
      <c r="Z27" s="25">
        <v>28914.1</v>
      </c>
      <c r="AA27" s="25">
        <v>11726.2</v>
      </c>
      <c r="AB27" s="25">
        <v>6101.1</v>
      </c>
      <c r="AC27" s="25">
        <v>6897.6</v>
      </c>
      <c r="AD27" s="25">
        <v>22255</v>
      </c>
      <c r="AE27" s="25">
        <v>15391.5</v>
      </c>
      <c r="AF27" s="25">
        <v>275231.2</v>
      </c>
      <c r="AG27" s="25">
        <v>449543.2</v>
      </c>
      <c r="AH27" s="25">
        <v>20425.599999999999</v>
      </c>
      <c r="AI27" s="25">
        <v>117620.1</v>
      </c>
      <c r="AJ27" s="27">
        <v>-5.4708333333333406E-3</v>
      </c>
      <c r="AK27" s="27">
        <v>1.2894736842105259E-2</v>
      </c>
      <c r="AL27" s="27">
        <v>0.13874782608695652</v>
      </c>
      <c r="AM27" s="27">
        <v>8.2217391304347798E-3</v>
      </c>
      <c r="AN27" s="25">
        <v>0.74168114936617902</v>
      </c>
      <c r="AO27" s="27">
        <v>0.18403333333333319</v>
      </c>
      <c r="AP27" s="25">
        <v>5.9500000000000004E-2</v>
      </c>
      <c r="AQ27" s="27">
        <v>-3.6785714285714283E-2</v>
      </c>
    </row>
    <row r="28" spans="1:43" ht="13.2">
      <c r="A28" s="25" t="s">
        <v>68</v>
      </c>
      <c r="B28" s="25">
        <v>27</v>
      </c>
      <c r="C28" s="25">
        <v>8872.2909999999974</v>
      </c>
      <c r="D28" s="25">
        <v>0.84199999999999997</v>
      </c>
      <c r="E28" s="25">
        <v>23.4249593216188</v>
      </c>
      <c r="F28" s="25">
        <v>18.8713627798593</v>
      </c>
      <c r="G28" s="25">
        <v>19.336049875755656</v>
      </c>
      <c r="H28" s="25">
        <v>2.9399966206423898E-2</v>
      </c>
      <c r="I28" s="25">
        <v>0.29510296296296301</v>
      </c>
      <c r="J28" s="25" t="e">
        <v>#DIV/0!</v>
      </c>
      <c r="K28" s="25">
        <v>0.515853846153846</v>
      </c>
      <c r="L28" s="25">
        <v>635039.4</v>
      </c>
      <c r="M28" s="25">
        <v>294027.59999999998</v>
      </c>
      <c r="N28" s="25">
        <v>929067</v>
      </c>
      <c r="O28" s="25">
        <v>916323.6</v>
      </c>
      <c r="P28" s="25">
        <v>493581.8</v>
      </c>
      <c r="Q28" s="25">
        <v>17838.7</v>
      </c>
      <c r="R28" s="25">
        <v>-187.7594804209329</v>
      </c>
      <c r="S28" s="25">
        <v>9346.7405195790689</v>
      </c>
      <c r="T28" s="25">
        <v>346072.2</v>
      </c>
      <c r="U28" s="25">
        <v>18.8</v>
      </c>
      <c r="V28" s="25">
        <v>83662.519879999978</v>
      </c>
      <c r="W28" s="25">
        <v>111598.41988</v>
      </c>
      <c r="X28" s="25">
        <v>56449.432149999986</v>
      </c>
      <c r="Y28" s="25">
        <v>27935.9</v>
      </c>
      <c r="Z28" s="25">
        <v>47004.9</v>
      </c>
      <c r="AA28" s="25">
        <v>27598.799999999999</v>
      </c>
      <c r="AB28" s="25">
        <v>15668</v>
      </c>
      <c r="AC28" s="25">
        <v>12743.4</v>
      </c>
      <c r="AD28" s="25">
        <v>41691.699999999997</v>
      </c>
      <c r="AE28" s="25">
        <v>19956.7</v>
      </c>
      <c r="AF28" s="25">
        <v>477569.5</v>
      </c>
      <c r="AG28" s="25">
        <v>813922.3</v>
      </c>
      <c r="AH28" s="25">
        <v>31131.9</v>
      </c>
      <c r="AI28" s="25">
        <v>217875.5</v>
      </c>
      <c r="AJ28" s="27">
        <v>1.675769230769231E-2</v>
      </c>
      <c r="AK28" s="27">
        <v>-6.9565217391304298E-3</v>
      </c>
      <c r="AL28" s="27">
        <v>0.16360769230769218</v>
      </c>
      <c r="AM28" s="27">
        <v>5.4076923076923104E-3</v>
      </c>
      <c r="AN28" s="25">
        <v>0.69236683111998598</v>
      </c>
      <c r="AO28" s="27">
        <v>0.19070000000000001</v>
      </c>
      <c r="AP28" s="25">
        <v>8.7249999999999994E-2</v>
      </c>
      <c r="AQ28" s="27">
        <v>2.8055555555555549E-2</v>
      </c>
    </row>
    <row r="29" spans="1:43" ht="13.2">
      <c r="A29" s="25" t="s">
        <v>69</v>
      </c>
      <c r="B29" s="25">
        <v>17</v>
      </c>
      <c r="C29" s="25">
        <v>2528.7460000000001</v>
      </c>
      <c r="D29" s="25">
        <v>0.87666666666666704</v>
      </c>
      <c r="E29" s="25">
        <v>16.82753405284798</v>
      </c>
      <c r="F29" s="25">
        <v>15.989014396616613</v>
      </c>
      <c r="G29" s="25">
        <v>17.244792073316923</v>
      </c>
      <c r="H29" s="25">
        <v>2.8754753910628799E-2</v>
      </c>
      <c r="I29" s="25">
        <v>0.31688352941176501</v>
      </c>
      <c r="J29" s="25" t="e">
        <v>#DIV/0!</v>
      </c>
      <c r="K29" s="25">
        <v>0.67366000000000004</v>
      </c>
      <c r="L29" s="25">
        <v>173454.9</v>
      </c>
      <c r="M29" s="25">
        <v>104606.5</v>
      </c>
      <c r="N29" s="25">
        <v>278061.40000000002</v>
      </c>
      <c r="O29" s="25">
        <v>269967.8</v>
      </c>
      <c r="P29" s="25">
        <v>191026</v>
      </c>
      <c r="Q29" s="25">
        <v>3553.6</v>
      </c>
      <c r="R29" s="25">
        <v>53.220821811767436</v>
      </c>
      <c r="S29" s="25">
        <v>6701.1208218117699</v>
      </c>
      <c r="T29" s="25">
        <v>144343.70000000001</v>
      </c>
      <c r="U29" s="25">
        <v>1800.1</v>
      </c>
      <c r="V29" s="25">
        <v>35121.199999999997</v>
      </c>
      <c r="W29" s="25">
        <v>48715.4</v>
      </c>
      <c r="X29" s="25">
        <v>23716.337694000002</v>
      </c>
      <c r="Y29" s="25">
        <v>13594.2</v>
      </c>
      <c r="Z29" s="25">
        <v>26889.9</v>
      </c>
      <c r="AA29" s="25">
        <v>11071.5</v>
      </c>
      <c r="AB29" s="25">
        <v>5697.9</v>
      </c>
      <c r="AC29" s="25">
        <v>8093.6</v>
      </c>
      <c r="AD29" s="25">
        <v>18174.3</v>
      </c>
      <c r="AE29" s="25">
        <v>4960.1000000000004</v>
      </c>
      <c r="AF29" s="25">
        <v>215129.4</v>
      </c>
      <c r="AG29" s="25">
        <v>377402.1</v>
      </c>
      <c r="AH29" s="25">
        <v>20980.7</v>
      </c>
      <c r="AI29" s="25">
        <v>97574.5</v>
      </c>
      <c r="AJ29" s="27">
        <v>2.7982352941176479E-2</v>
      </c>
      <c r="AK29" s="27">
        <v>1.6923076923076919E-2</v>
      </c>
      <c r="AL29" s="27">
        <v>0.19276875000000002</v>
      </c>
      <c r="AM29" s="27">
        <v>6.6812499999999997E-3</v>
      </c>
      <c r="AN29" s="25">
        <v>0.773897352303905</v>
      </c>
      <c r="AO29" s="27">
        <v>0.15798125000000002</v>
      </c>
      <c r="AP29" s="25">
        <v>5.733333333333334E-2</v>
      </c>
      <c r="AQ29" s="27">
        <v>2.166666666666666E-2</v>
      </c>
    </row>
    <row r="30" spans="1:43" ht="13.2">
      <c r="A30" s="25" t="s">
        <v>70</v>
      </c>
      <c r="B30" s="25">
        <v>86</v>
      </c>
      <c r="C30" s="25">
        <v>14776.751</v>
      </c>
      <c r="D30" s="25">
        <v>1.0226666666666671</v>
      </c>
      <c r="E30" s="25">
        <v>26.108461446033541</v>
      </c>
      <c r="F30" s="25">
        <v>21.613833440771071</v>
      </c>
      <c r="G30" s="25">
        <v>19.823216723128958</v>
      </c>
      <c r="H30" s="25">
        <v>3.7872614111319502E-3</v>
      </c>
      <c r="I30" s="25">
        <v>0.149166162790698</v>
      </c>
      <c r="J30" s="25">
        <v>6.3247368421052594E-2</v>
      </c>
      <c r="K30" s="25">
        <v>0.42252881355932198</v>
      </c>
      <c r="L30" s="25">
        <v>1110693.8</v>
      </c>
      <c r="M30" s="25">
        <v>898293.8</v>
      </c>
      <c r="N30" s="25">
        <v>2008987.6</v>
      </c>
      <c r="O30" s="25">
        <v>1838131.7</v>
      </c>
      <c r="P30" s="25">
        <v>1024505.8</v>
      </c>
      <c r="Q30" s="25">
        <v>681533.4</v>
      </c>
      <c r="R30" s="25">
        <v>-13883.787963056289</v>
      </c>
      <c r="S30" s="25">
        <v>-5749.7879630562875</v>
      </c>
      <c r="T30" s="25">
        <v>484163.9</v>
      </c>
      <c r="U30" s="25">
        <v>79990</v>
      </c>
      <c r="V30" s="25">
        <v>221239.6341400001</v>
      </c>
      <c r="W30" s="25">
        <v>244712.23413999999</v>
      </c>
      <c r="X30" s="25">
        <v>180187.23774100014</v>
      </c>
      <c r="Y30" s="25">
        <v>23472.6</v>
      </c>
      <c r="Z30" s="25">
        <v>39706.699999999997</v>
      </c>
      <c r="AA30" s="25">
        <v>54882.6</v>
      </c>
      <c r="AB30" s="25">
        <v>29377.200000000001</v>
      </c>
      <c r="AC30" s="25">
        <v>170855.9</v>
      </c>
      <c r="AD30" s="25">
        <v>728518</v>
      </c>
      <c r="AE30" s="25">
        <v>43144.1</v>
      </c>
      <c r="AF30" s="25">
        <v>181212.3</v>
      </c>
      <c r="AG30" s="25">
        <v>1548279.3</v>
      </c>
      <c r="AH30" s="25">
        <v>59307.5</v>
      </c>
      <c r="AI30" s="25">
        <v>297122.90000000002</v>
      </c>
      <c r="AJ30" s="27">
        <v>4.8099999999999997E-2</v>
      </c>
      <c r="AK30" s="27">
        <v>8.0806451612903202E-2</v>
      </c>
      <c r="AL30" s="27">
        <v>7.18794117647059E-2</v>
      </c>
      <c r="AM30" s="27">
        <v>1.34969696969697E-2</v>
      </c>
      <c r="AN30" s="25">
        <v>0.41899852686213102</v>
      </c>
      <c r="AO30" s="27">
        <v>0.59099444444444427</v>
      </c>
      <c r="AP30" s="25">
        <v>0.1597724137931035</v>
      </c>
      <c r="AQ30" s="27">
        <v>4.8823529411764703E-2</v>
      </c>
    </row>
    <row r="31" spans="1:43" ht="13.2">
      <c r="A31" s="25" t="s">
        <v>71</v>
      </c>
      <c r="B31" s="25">
        <v>179</v>
      </c>
      <c r="C31" s="25">
        <v>290.38600000000002</v>
      </c>
      <c r="D31" s="25">
        <v>0.92534246575342405</v>
      </c>
      <c r="E31" s="25">
        <v>31.090428576767604</v>
      </c>
      <c r="F31" s="25">
        <v>21.418117090651727</v>
      </c>
      <c r="G31" s="25">
        <v>49.067572751489173</v>
      </c>
      <c r="H31" s="25">
        <v>2.1215633931941798E-3</v>
      </c>
      <c r="I31" s="25">
        <v>0.132513016759776</v>
      </c>
      <c r="J31" s="25">
        <v>8.8999999999999996E-2</v>
      </c>
      <c r="K31" s="25">
        <v>0.37279779411764702</v>
      </c>
      <c r="L31" s="25">
        <v>207289.02160000001</v>
      </c>
      <c r="M31" s="25">
        <v>29378.400000000001</v>
      </c>
      <c r="N31" s="25">
        <v>236667.42159999986</v>
      </c>
      <c r="O31" s="25">
        <v>209636.9216</v>
      </c>
      <c r="P31" s="25">
        <v>98646.5</v>
      </c>
      <c r="Q31" s="25">
        <v>31296.2</v>
      </c>
      <c r="R31" s="25">
        <v>-986.8992901042883</v>
      </c>
      <c r="S31" s="25">
        <v>-386.39929010428841</v>
      </c>
      <c r="T31" s="25">
        <v>254828.6</v>
      </c>
      <c r="U31" s="25">
        <v>27607.8</v>
      </c>
      <c r="V31" s="25">
        <v>17740.387859999999</v>
      </c>
      <c r="W31" s="25">
        <v>24191.987860000016</v>
      </c>
      <c r="X31" s="25">
        <v>12881.0416660665</v>
      </c>
      <c r="Y31" s="25">
        <v>6451.6</v>
      </c>
      <c r="Z31" s="25">
        <v>7638.2</v>
      </c>
      <c r="AA31" s="25">
        <v>6551</v>
      </c>
      <c r="AB31" s="25">
        <v>2351.5</v>
      </c>
      <c r="AC31" s="25">
        <v>27030.5</v>
      </c>
      <c r="AD31" s="25">
        <v>39176.199999999997</v>
      </c>
      <c r="AE31" s="25">
        <v>35159</v>
      </c>
      <c r="AF31" s="25">
        <v>28045.9</v>
      </c>
      <c r="AG31" s="25">
        <v>180286.9</v>
      </c>
      <c r="AH31" s="25">
        <v>33443</v>
      </c>
      <c r="AI31" s="25">
        <v>96431</v>
      </c>
      <c r="AJ31" s="27">
        <v>0.13848278145695367</v>
      </c>
      <c r="AK31" s="27">
        <v>5.2735849056603772E-2</v>
      </c>
      <c r="AL31" s="27">
        <v>6.1633600000000011E-2</v>
      </c>
      <c r="AM31" s="27">
        <v>1.3155652173913047E-2</v>
      </c>
      <c r="AN31" s="25">
        <v>0.35659385055225001</v>
      </c>
      <c r="AO31" s="27">
        <v>0.80613664122137363</v>
      </c>
      <c r="AP31" s="25">
        <v>0.19416666666666671</v>
      </c>
      <c r="AQ31" s="27">
        <v>0.10571428571428569</v>
      </c>
    </row>
    <row r="32" spans="1:43" ht="13.2">
      <c r="A32" s="25" t="s">
        <v>72</v>
      </c>
      <c r="B32" s="25">
        <v>93</v>
      </c>
      <c r="C32" s="25">
        <v>3735.7469999999998</v>
      </c>
      <c r="D32" s="25">
        <v>0.92297297297297298</v>
      </c>
      <c r="E32" s="25">
        <v>82.279579453718497</v>
      </c>
      <c r="F32" s="25">
        <v>49.665675737365682</v>
      </c>
      <c r="G32" s="25">
        <v>33.463026398972396</v>
      </c>
      <c r="H32" s="25">
        <v>9.3040674040984102E-3</v>
      </c>
      <c r="I32" s="25">
        <v>0.15498935483870999</v>
      </c>
      <c r="J32" s="25">
        <v>0.237776923076923</v>
      </c>
      <c r="K32" s="25">
        <v>0.46926231884058001</v>
      </c>
      <c r="L32" s="25">
        <v>661725.30278999999</v>
      </c>
      <c r="M32" s="25">
        <v>245946.1</v>
      </c>
      <c r="N32" s="25">
        <v>907671.40278999996</v>
      </c>
      <c r="O32" s="25">
        <v>861078.50278999982</v>
      </c>
      <c r="P32" s="25">
        <v>594931.19999999995</v>
      </c>
      <c r="Q32" s="25">
        <v>-7091</v>
      </c>
      <c r="R32" s="25">
        <v>70.019736033972038</v>
      </c>
      <c r="S32" s="25">
        <v>-844.48026396602768</v>
      </c>
      <c r="T32" s="25">
        <v>358638.2</v>
      </c>
      <c r="U32" s="25">
        <v>62764.2</v>
      </c>
      <c r="V32" s="25">
        <v>84633.253850000008</v>
      </c>
      <c r="W32" s="25">
        <v>108727.35385</v>
      </c>
      <c r="X32" s="25">
        <v>58140.681945000026</v>
      </c>
      <c r="Y32" s="25">
        <v>24094.1</v>
      </c>
      <c r="Z32" s="25">
        <v>21680.6</v>
      </c>
      <c r="AA32" s="25">
        <v>30939.4</v>
      </c>
      <c r="AB32" s="25">
        <v>13971</v>
      </c>
      <c r="AC32" s="25">
        <v>46592.9</v>
      </c>
      <c r="AD32" s="25">
        <v>56868.9</v>
      </c>
      <c r="AE32" s="25">
        <v>13270.4</v>
      </c>
      <c r="AF32" s="25">
        <v>130260.5</v>
      </c>
      <c r="AG32" s="25">
        <v>877689.9</v>
      </c>
      <c r="AH32" s="25">
        <v>30891.599999999999</v>
      </c>
      <c r="AI32" s="25">
        <v>398020.1</v>
      </c>
      <c r="AJ32" s="27">
        <v>0.14091200000000001</v>
      </c>
      <c r="AK32" s="27">
        <v>9.5666666666666678E-2</v>
      </c>
      <c r="AL32" s="27">
        <v>-1.770625E-2</v>
      </c>
      <c r="AM32" s="27">
        <v>1.5348780487804879E-2</v>
      </c>
      <c r="AN32" s="25">
        <v>0.41978985476215902</v>
      </c>
      <c r="AO32" s="27">
        <v>0.98216612903225797</v>
      </c>
      <c r="AP32" s="25">
        <v>0.1149756756756757</v>
      </c>
      <c r="AQ32" s="27">
        <v>7.7857142857142861E-2</v>
      </c>
    </row>
    <row r="33" spans="1:43" ht="13.2">
      <c r="A33" s="25" t="s">
        <v>73</v>
      </c>
      <c r="B33" s="25">
        <v>38</v>
      </c>
      <c r="C33" s="25">
        <v>2.7650000000000001</v>
      </c>
      <c r="D33" s="25">
        <v>1.1921875</v>
      </c>
      <c r="E33" s="25">
        <v>64.027790071360101</v>
      </c>
      <c r="F33" s="25">
        <v>30.990673510486737</v>
      </c>
      <c r="G33" s="25">
        <v>49.443822628055344</v>
      </c>
      <c r="H33" s="25">
        <v>8.5074305405987506E-5</v>
      </c>
      <c r="I33" s="25">
        <v>9.0295789473684204E-2</v>
      </c>
      <c r="J33" s="25">
        <v>0.13226874999999999</v>
      </c>
      <c r="K33" s="25">
        <v>0.45654545454545398</v>
      </c>
      <c r="L33" s="25">
        <v>107207.7</v>
      </c>
      <c r="M33" s="25">
        <v>2990.5</v>
      </c>
      <c r="N33" s="25">
        <v>110198.2</v>
      </c>
      <c r="O33" s="25">
        <v>93932.800000000003</v>
      </c>
      <c r="P33" s="25">
        <v>8991.1</v>
      </c>
      <c r="Q33" s="25">
        <v>-1132.5999999999999</v>
      </c>
      <c r="R33" s="25">
        <v>200.4168770533625</v>
      </c>
      <c r="S33" s="25">
        <v>232.41687705336258</v>
      </c>
      <c r="T33" s="25">
        <v>25121.3</v>
      </c>
      <c r="U33" s="25">
        <v>12954.6</v>
      </c>
      <c r="V33" s="25">
        <v>-318.57777999999973</v>
      </c>
      <c r="W33" s="25">
        <v>935.52222000000017</v>
      </c>
      <c r="X33" s="25">
        <v>-622.4585010000003</v>
      </c>
      <c r="Y33" s="25">
        <v>1254.0999999999999</v>
      </c>
      <c r="Z33" s="25">
        <v>1314.3</v>
      </c>
      <c r="AA33" s="25">
        <v>-1974.9</v>
      </c>
      <c r="AB33" s="25">
        <v>-21.900000000000279</v>
      </c>
      <c r="AC33" s="25">
        <v>16265.4</v>
      </c>
      <c r="AD33" s="25">
        <v>2731</v>
      </c>
      <c r="AE33" s="25">
        <v>1607.4</v>
      </c>
      <c r="AF33" s="25">
        <v>3930.3</v>
      </c>
      <c r="AG33" s="25">
        <v>36295.5</v>
      </c>
      <c r="AH33" s="25">
        <v>1634.9</v>
      </c>
      <c r="AI33" s="25">
        <v>22400.799999999999</v>
      </c>
      <c r="AJ33" s="27">
        <v>0.237971875</v>
      </c>
      <c r="AK33" s="27">
        <v>0.22399999999999998</v>
      </c>
      <c r="AL33" s="27">
        <v>6.065185185185186E-2</v>
      </c>
      <c r="AM33" s="27">
        <v>2.0579999999999998E-2</v>
      </c>
      <c r="AN33" s="25">
        <v>0.449364392347742</v>
      </c>
      <c r="AO33" s="27">
        <v>0.52141851851851839</v>
      </c>
      <c r="AP33" s="25">
        <v>0.19288235294117634</v>
      </c>
      <c r="AQ33" s="27">
        <v>0</v>
      </c>
    </row>
    <row r="34" spans="1:43" ht="13.2">
      <c r="A34" s="25" t="s">
        <v>74</v>
      </c>
      <c r="B34" s="25">
        <v>89</v>
      </c>
      <c r="C34" s="25">
        <v>702.70600000000002</v>
      </c>
      <c r="D34" s="25">
        <v>0.879605263157895</v>
      </c>
      <c r="E34" s="25">
        <v>50.073945293562872</v>
      </c>
      <c r="F34" s="25">
        <v>45.000065066718754</v>
      </c>
      <c r="G34" s="25">
        <v>37.624324755053976</v>
      </c>
      <c r="H34" s="25">
        <v>1.7284592242559501E-3</v>
      </c>
      <c r="I34" s="25">
        <v>0.114369325842697</v>
      </c>
      <c r="J34" s="25">
        <v>9.1590909090909001E-2</v>
      </c>
      <c r="K34" s="25">
        <v>0.35283653846153801</v>
      </c>
      <c r="L34" s="25">
        <v>102600.6</v>
      </c>
      <c r="M34" s="25">
        <v>46506</v>
      </c>
      <c r="N34" s="25">
        <v>149106.6</v>
      </c>
      <c r="O34" s="25">
        <v>146229.1</v>
      </c>
      <c r="P34" s="25">
        <v>76004</v>
      </c>
      <c r="Q34" s="25">
        <v>2070.4</v>
      </c>
      <c r="R34" s="25">
        <v>-220.48322132012871</v>
      </c>
      <c r="S34" s="25">
        <v>-90.983221320128678</v>
      </c>
      <c r="T34" s="25">
        <v>72791.899999999994</v>
      </c>
      <c r="U34" s="25">
        <v>9633.9</v>
      </c>
      <c r="V34" s="25">
        <v>15461.288380000009</v>
      </c>
      <c r="W34" s="25">
        <v>21200.08837999999</v>
      </c>
      <c r="X34" s="25">
        <v>9574.9514810000019</v>
      </c>
      <c r="Y34" s="25">
        <v>5738.8</v>
      </c>
      <c r="Z34" s="25">
        <v>6048.4</v>
      </c>
      <c r="AA34" s="25">
        <v>3712.6</v>
      </c>
      <c r="AB34" s="25">
        <v>2136.8000000000002</v>
      </c>
      <c r="AC34" s="25">
        <v>2877.5</v>
      </c>
      <c r="AD34" s="25">
        <v>11061.2</v>
      </c>
      <c r="AE34" s="25">
        <v>1930.3</v>
      </c>
      <c r="AF34" s="25">
        <v>43779.8</v>
      </c>
      <c r="AG34" s="25">
        <v>111320.5</v>
      </c>
      <c r="AH34" s="25">
        <v>5041.8</v>
      </c>
      <c r="AI34" s="25">
        <v>33877.800000000003</v>
      </c>
      <c r="AJ34" s="27">
        <v>0.10916060606060611</v>
      </c>
      <c r="AK34" s="27">
        <v>0.138421052631579</v>
      </c>
      <c r="AL34" s="27">
        <v>0.10109298245614029</v>
      </c>
      <c r="AM34" s="27">
        <v>9.9760869565217406E-3</v>
      </c>
      <c r="AN34" s="25">
        <v>0.31863468487649899</v>
      </c>
      <c r="AO34" s="27">
        <v>0.90857118644067791</v>
      </c>
      <c r="AP34" s="25">
        <v>0.20144666666666672</v>
      </c>
      <c r="AQ34" s="27">
        <v>-5.333333333333333E-2</v>
      </c>
    </row>
    <row r="35" spans="1:43" ht="13.2">
      <c r="A35" s="25" t="s">
        <v>75</v>
      </c>
      <c r="B35" s="25">
        <v>294</v>
      </c>
      <c r="C35" s="25">
        <v>25130.501000000011</v>
      </c>
      <c r="D35" s="25">
        <v>0.92072072072072098</v>
      </c>
      <c r="E35" s="25">
        <v>56.169219759358327</v>
      </c>
      <c r="F35" s="25">
        <v>19.423938542540608</v>
      </c>
      <c r="G35" s="25">
        <v>34.03827219027</v>
      </c>
      <c r="H35" s="25">
        <v>1.01178825000975E-2</v>
      </c>
      <c r="I35" s="25">
        <v>0.173590354676222</v>
      </c>
      <c r="J35" s="25">
        <v>0.116254761904762</v>
      </c>
      <c r="K35" s="25">
        <v>0.45843902439024398</v>
      </c>
      <c r="L35" s="25">
        <v>1153793.4216</v>
      </c>
      <c r="M35" s="25">
        <v>2232329.2000000002</v>
      </c>
      <c r="N35" s="25">
        <v>3386122.6216000002</v>
      </c>
      <c r="O35" s="25">
        <v>3071264.0216000001</v>
      </c>
      <c r="P35" s="25">
        <v>2563069.4</v>
      </c>
      <c r="Q35" s="25">
        <v>184595.8</v>
      </c>
      <c r="R35" s="25">
        <v>-2777272.8878963999</v>
      </c>
      <c r="S35" s="25">
        <v>-2777742.3878964102</v>
      </c>
      <c r="T35" s="25">
        <v>217405.5</v>
      </c>
      <c r="U35" s="25">
        <v>165440.79999999999</v>
      </c>
      <c r="V35" s="25">
        <v>348231.93652000016</v>
      </c>
      <c r="W35" s="25">
        <v>355030.43651999993</v>
      </c>
      <c r="X35" s="25">
        <v>274098.15685534599</v>
      </c>
      <c r="Y35" s="25">
        <v>6798.5</v>
      </c>
      <c r="Z35" s="25">
        <v>10057</v>
      </c>
      <c r="AA35" s="25">
        <v>97328.799999999945</v>
      </c>
      <c r="AB35" s="25">
        <v>74186.500000000058</v>
      </c>
      <c r="AC35" s="25">
        <v>314858.59999999998</v>
      </c>
      <c r="AD35" s="25">
        <v>218922.8</v>
      </c>
      <c r="AE35" s="25">
        <v>152586.70000000001</v>
      </c>
      <c r="AF35" s="25">
        <v>31539</v>
      </c>
      <c r="AG35" s="25">
        <v>8184172.7999999998</v>
      </c>
      <c r="AH35" s="25">
        <v>78461.899999999936</v>
      </c>
      <c r="AI35" s="25">
        <v>669478.30000000051</v>
      </c>
      <c r="AJ35" s="27">
        <v>0.24230620689655158</v>
      </c>
      <c r="AK35" s="27">
        <v>0.11914893617021281</v>
      </c>
      <c r="AL35" s="27">
        <v>0.12060303030303031</v>
      </c>
      <c r="AM35" s="27">
        <v>1.1409090909090909E-2</v>
      </c>
      <c r="AN35" s="25">
        <v>0.46345904913052699</v>
      </c>
      <c r="AO35" s="27">
        <v>0.48819425287356294</v>
      </c>
      <c r="AP35" s="25">
        <v>0.13125818181818177</v>
      </c>
      <c r="AQ35" s="27">
        <v>0.11962686567164184</v>
      </c>
    </row>
    <row r="36" spans="1:43" ht="13.2">
      <c r="A36" s="25" t="s">
        <v>76</v>
      </c>
      <c r="B36" s="25">
        <v>123</v>
      </c>
      <c r="C36" s="25">
        <v>10081.681</v>
      </c>
      <c r="D36" s="25">
        <v>0.76893203883495098</v>
      </c>
      <c r="E36" s="25">
        <v>32.570731307139198</v>
      </c>
      <c r="F36" s="25">
        <v>28.011921801008455</v>
      </c>
      <c r="G36" s="25">
        <v>28.826599929320057</v>
      </c>
      <c r="H36" s="25">
        <v>8.5899224012208099E-3</v>
      </c>
      <c r="I36" s="25">
        <v>0.19338760738871799</v>
      </c>
      <c r="J36" s="25">
        <v>9.5703448275861996E-2</v>
      </c>
      <c r="K36" s="25">
        <v>0.38876067415730298</v>
      </c>
      <c r="L36" s="25">
        <v>997302.9</v>
      </c>
      <c r="M36" s="25">
        <v>179855.2</v>
      </c>
      <c r="N36" s="25">
        <v>1177158.1000000001</v>
      </c>
      <c r="O36" s="25">
        <v>1150932.8</v>
      </c>
      <c r="P36" s="25">
        <v>376525.3</v>
      </c>
      <c r="Q36" s="25">
        <v>44343.7</v>
      </c>
      <c r="R36" s="25">
        <v>-2728.6318887066254</v>
      </c>
      <c r="S36" s="25">
        <v>-1192.531888706626</v>
      </c>
      <c r="T36" s="25">
        <v>794616.3</v>
      </c>
      <c r="U36" s="25">
        <v>135683.1</v>
      </c>
      <c r="V36" s="25">
        <v>85018.664550000016</v>
      </c>
      <c r="W36" s="25">
        <v>103410.96455</v>
      </c>
      <c r="X36" s="25">
        <v>60699.541617536386</v>
      </c>
      <c r="Y36" s="25">
        <v>18392.3</v>
      </c>
      <c r="Z36" s="25">
        <v>21127.5</v>
      </c>
      <c r="AA36" s="25">
        <v>40667.599999999999</v>
      </c>
      <c r="AB36" s="25">
        <v>24162.6</v>
      </c>
      <c r="AC36" s="25">
        <v>26225.3</v>
      </c>
      <c r="AD36" s="25">
        <v>68249.7</v>
      </c>
      <c r="AE36" s="25">
        <v>82089.100000000006</v>
      </c>
      <c r="AF36" s="25">
        <v>140734.5</v>
      </c>
      <c r="AG36" s="25">
        <v>627845.6</v>
      </c>
      <c r="AH36" s="25">
        <v>74937</v>
      </c>
      <c r="AI36" s="25">
        <v>229918</v>
      </c>
      <c r="AJ36" s="27">
        <v>9.6293814432989677E-2</v>
      </c>
      <c r="AK36" s="27">
        <v>5.5106382978723403E-2</v>
      </c>
      <c r="AL36" s="27">
        <v>0.12587764705882351</v>
      </c>
      <c r="AM36" s="27">
        <v>7.44666666666667E-3</v>
      </c>
      <c r="AN36" s="25">
        <v>0.46034188712582003</v>
      </c>
      <c r="AO36" s="27">
        <v>0.38833209876543201</v>
      </c>
      <c r="AP36" s="25">
        <v>0.12682926829268293</v>
      </c>
      <c r="AQ36" s="27">
        <v>6.0441176470588213E-2</v>
      </c>
    </row>
    <row r="37" spans="1:43" ht="13.2">
      <c r="A37" s="25" t="s">
        <v>77</v>
      </c>
      <c r="B37" s="25">
        <v>19</v>
      </c>
      <c r="C37" s="25">
        <v>1015.378</v>
      </c>
      <c r="D37" s="25">
        <v>0.79117647058823504</v>
      </c>
      <c r="E37" s="25">
        <v>32.256317054105672</v>
      </c>
      <c r="F37" s="25">
        <v>24.434910500691512</v>
      </c>
      <c r="G37" s="25">
        <v>24.722354843734166</v>
      </c>
      <c r="H37" s="25">
        <v>9.8849621837664697E-3</v>
      </c>
      <c r="I37" s="25">
        <v>0.31854894736842099</v>
      </c>
      <c r="J37" s="25">
        <v>2.2880000000000001E-2</v>
      </c>
      <c r="K37" s="25">
        <v>0.47405000000000003</v>
      </c>
      <c r="L37" s="25">
        <v>112051.16800000001</v>
      </c>
      <c r="M37" s="25">
        <v>54124.9</v>
      </c>
      <c r="N37" s="25">
        <v>166176.068</v>
      </c>
      <c r="O37" s="25">
        <v>158257.86799999999</v>
      </c>
      <c r="P37" s="25">
        <v>94075.5</v>
      </c>
      <c r="Q37" s="25">
        <v>3292.6</v>
      </c>
      <c r="R37" s="25">
        <v>-41.67301792440874</v>
      </c>
      <c r="S37" s="25">
        <v>1295.926982075591</v>
      </c>
      <c r="T37" s="25">
        <v>358169.8</v>
      </c>
      <c r="U37" s="25">
        <v>27127.4</v>
      </c>
      <c r="V37" s="25">
        <v>19751.061839999998</v>
      </c>
      <c r="W37" s="25">
        <v>26005.261839999999</v>
      </c>
      <c r="X37" s="25">
        <v>10845.018294</v>
      </c>
      <c r="Y37" s="25">
        <v>6254.2</v>
      </c>
      <c r="Z37" s="25">
        <v>8789</v>
      </c>
      <c r="AA37" s="25">
        <v>3828.3</v>
      </c>
      <c r="AB37" s="25">
        <v>2002.7</v>
      </c>
      <c r="AC37" s="25">
        <v>7918.2</v>
      </c>
      <c r="AD37" s="25">
        <v>13000.7</v>
      </c>
      <c r="AE37" s="25">
        <v>21723.1</v>
      </c>
      <c r="AF37" s="25">
        <v>65511.5</v>
      </c>
      <c r="AG37" s="25">
        <v>155910.5</v>
      </c>
      <c r="AH37" s="25">
        <v>26890.2</v>
      </c>
      <c r="AI37" s="25">
        <v>50060.1</v>
      </c>
      <c r="AJ37" s="27">
        <v>0.25709473684210526</v>
      </c>
      <c r="AK37" s="27">
        <v>6.1923076923076914E-2</v>
      </c>
      <c r="AL37" s="27">
        <v>0.12683749999999999</v>
      </c>
      <c r="AM37" s="27">
        <v>7.9117647058823508E-3</v>
      </c>
      <c r="AN37" s="25">
        <v>0.39593605302247298</v>
      </c>
      <c r="AO37" s="27">
        <v>0.47077777777777774</v>
      </c>
      <c r="AP37" s="25">
        <v>0.1107142857142857</v>
      </c>
      <c r="AQ37" s="27">
        <v>0.1225</v>
      </c>
    </row>
    <row r="38" spans="1:43" ht="13.2">
      <c r="A38" s="25" t="s">
        <v>78</v>
      </c>
      <c r="B38" s="25">
        <v>10</v>
      </c>
      <c r="C38" s="25">
        <v>3290.6419999999998</v>
      </c>
      <c r="D38" s="25">
        <v>1.083333333333333</v>
      </c>
      <c r="E38" s="25">
        <v>31.631863099075215</v>
      </c>
      <c r="F38" s="25">
        <v>20.737749264860525</v>
      </c>
      <c r="G38" s="25">
        <v>39.897517070590141</v>
      </c>
      <c r="H38" s="25">
        <v>7.9547165360973303E-3</v>
      </c>
      <c r="I38" s="25">
        <v>0.33952703784860599</v>
      </c>
      <c r="J38" s="25">
        <v>4.50333333333333E-2</v>
      </c>
      <c r="K38" s="25">
        <v>9.6466666666666603E-2</v>
      </c>
      <c r="L38" s="25">
        <v>542136.4</v>
      </c>
      <c r="M38" s="25">
        <v>113373.5</v>
      </c>
      <c r="N38" s="25">
        <v>655509.9</v>
      </c>
      <c r="O38" s="25">
        <v>544896.30000000005</v>
      </c>
      <c r="P38" s="25">
        <v>337960.4</v>
      </c>
      <c r="Q38" s="25">
        <v>68343.100000000006</v>
      </c>
      <c r="R38" s="25">
        <v>-1491.7749092274389</v>
      </c>
      <c r="S38" s="25">
        <v>7355.0250907725613</v>
      </c>
      <c r="T38" s="25">
        <v>678920</v>
      </c>
      <c r="U38" s="25">
        <v>168509.9</v>
      </c>
      <c r="V38" s="25">
        <v>64447.199999999997</v>
      </c>
      <c r="W38" s="25">
        <v>98182.8</v>
      </c>
      <c r="X38" s="25">
        <v>38458.931625195219</v>
      </c>
      <c r="Y38" s="25">
        <v>33735.599999999999</v>
      </c>
      <c r="Z38" s="25">
        <v>51429.4</v>
      </c>
      <c r="AA38" s="25">
        <v>18262.900000000001</v>
      </c>
      <c r="AB38" s="25">
        <v>9567.2000000000007</v>
      </c>
      <c r="AC38" s="25">
        <v>110613.6</v>
      </c>
      <c r="AD38" s="25">
        <v>127671.3</v>
      </c>
      <c r="AE38" s="25">
        <v>83555.8</v>
      </c>
      <c r="AF38" s="25">
        <v>144947.1</v>
      </c>
      <c r="AG38" s="25">
        <v>783618.6</v>
      </c>
      <c r="AH38" s="25">
        <v>92090.2</v>
      </c>
      <c r="AI38" s="25">
        <v>335200.5</v>
      </c>
      <c r="AJ38" s="27">
        <v>8.539999999999999E-2</v>
      </c>
      <c r="AK38" s="27">
        <v>7.8333333333333324E-2</v>
      </c>
      <c r="AL38" s="27">
        <v>0.1008</v>
      </c>
      <c r="AM38" s="27">
        <v>1.018E-2</v>
      </c>
      <c r="AN38" s="25">
        <v>0.73194268492445502</v>
      </c>
      <c r="AO38" s="27">
        <v>0.20687999999999998</v>
      </c>
      <c r="AP38" s="25">
        <v>0.16428571428571426</v>
      </c>
      <c r="AQ38" s="27">
        <v>0.12285714285714291</v>
      </c>
    </row>
    <row r="39" spans="1:43" ht="13.2">
      <c r="A39" s="25" t="s">
        <v>79</v>
      </c>
      <c r="B39" s="25">
        <v>39</v>
      </c>
      <c r="C39" s="25">
        <v>577.5870000000001</v>
      </c>
      <c r="D39" s="25">
        <v>0.89558823529411802</v>
      </c>
      <c r="E39" s="25">
        <v>19.518683450706011</v>
      </c>
      <c r="F39" s="25">
        <v>18.774895727383832</v>
      </c>
      <c r="G39" s="25">
        <v>23.743741697206385</v>
      </c>
      <c r="H39" s="25">
        <v>2.1380577478081898E-2</v>
      </c>
      <c r="I39" s="25">
        <v>0.23964025641025599</v>
      </c>
      <c r="J39" s="25">
        <v>0.13894000000000001</v>
      </c>
      <c r="K39" s="25">
        <v>0.46621379310344802</v>
      </c>
      <c r="L39" s="25">
        <v>50332.5</v>
      </c>
      <c r="M39" s="25">
        <v>15823.5</v>
      </c>
      <c r="N39" s="25">
        <v>66156</v>
      </c>
      <c r="O39" s="25">
        <v>62360.2</v>
      </c>
      <c r="P39" s="25">
        <v>39368.1</v>
      </c>
      <c r="Q39" s="25">
        <v>11013.6</v>
      </c>
      <c r="R39" s="25">
        <v>-391.78786243528361</v>
      </c>
      <c r="S39" s="25">
        <v>-555.08786243528345</v>
      </c>
      <c r="T39" s="25">
        <v>79778</v>
      </c>
      <c r="U39" s="25">
        <v>16682</v>
      </c>
      <c r="V39" s="25">
        <v>8523.7255000000005</v>
      </c>
      <c r="W39" s="25">
        <v>10713.1255</v>
      </c>
      <c r="X39" s="25">
        <v>5855.9066400000011</v>
      </c>
      <c r="Y39" s="25">
        <v>2189.4</v>
      </c>
      <c r="Z39" s="25">
        <v>1861.2</v>
      </c>
      <c r="AA39" s="25">
        <v>3519.7</v>
      </c>
      <c r="AB39" s="25">
        <v>1667</v>
      </c>
      <c r="AC39" s="25">
        <v>3795.8</v>
      </c>
      <c r="AD39" s="25">
        <v>9262</v>
      </c>
      <c r="AE39" s="25">
        <v>10657.6</v>
      </c>
      <c r="AF39" s="25">
        <v>13292</v>
      </c>
      <c r="AG39" s="25">
        <v>58696.6</v>
      </c>
      <c r="AH39" s="25">
        <v>6136.9</v>
      </c>
      <c r="AI39" s="25">
        <v>27341.4</v>
      </c>
      <c r="AJ39" s="27">
        <v>3.1797222222222227E-2</v>
      </c>
      <c r="AK39" s="27">
        <v>-1.4761904761904759E-2</v>
      </c>
      <c r="AL39" s="27">
        <v>-5.9161290322580599E-3</v>
      </c>
      <c r="AM39" s="27">
        <v>1.1003333333333332E-2</v>
      </c>
      <c r="AN39" s="25">
        <v>0.43681642515075397</v>
      </c>
      <c r="AO39" s="27">
        <v>0.41327058823529428</v>
      </c>
      <c r="AP39" s="25">
        <v>0.13718749999999999</v>
      </c>
      <c r="AQ39" s="27">
        <v>5.0555555555555534E-2</v>
      </c>
    </row>
    <row r="40" spans="1:43" ht="13.2">
      <c r="A40" s="25" t="s">
        <v>80</v>
      </c>
      <c r="B40" s="25">
        <v>15</v>
      </c>
      <c r="C40" s="25">
        <v>540.38200000000006</v>
      </c>
      <c r="D40" s="25">
        <v>0.86363636363636298</v>
      </c>
      <c r="E40" s="25">
        <v>21.052467966211129</v>
      </c>
      <c r="F40" s="25">
        <v>203.48470560453629</v>
      </c>
      <c r="G40" s="25">
        <v>18.463040292671664</v>
      </c>
      <c r="H40" s="25">
        <v>1.1026245256940201E-2</v>
      </c>
      <c r="I40" s="25">
        <v>0.28201199999999998</v>
      </c>
      <c r="J40" s="25">
        <v>8.8066666666666696E-2</v>
      </c>
      <c r="K40" s="25">
        <v>0.65153076923076902</v>
      </c>
      <c r="L40" s="25">
        <v>96703.2</v>
      </c>
      <c r="M40" s="25">
        <v>29209.3</v>
      </c>
      <c r="N40" s="25">
        <v>125912.5</v>
      </c>
      <c r="O40" s="25">
        <v>123299.5</v>
      </c>
      <c r="P40" s="25">
        <v>57275.4</v>
      </c>
      <c r="Q40" s="25">
        <v>13.60000000000014</v>
      </c>
      <c r="R40" s="25">
        <v>26.055964329128525</v>
      </c>
      <c r="S40" s="25">
        <v>1609.5559643291281</v>
      </c>
      <c r="T40" s="25">
        <v>281802.3</v>
      </c>
      <c r="U40" s="25">
        <v>61854</v>
      </c>
      <c r="V40" s="25">
        <v>15190.2</v>
      </c>
      <c r="W40" s="25">
        <v>21185.7</v>
      </c>
      <c r="X40" s="25">
        <v>9525.6738150000019</v>
      </c>
      <c r="Y40" s="25">
        <v>5995.5</v>
      </c>
      <c r="Z40" s="25">
        <v>9067.2999999999993</v>
      </c>
      <c r="AA40" s="25">
        <v>4639.8</v>
      </c>
      <c r="AB40" s="25">
        <v>2695.5</v>
      </c>
      <c r="AC40" s="25">
        <v>2613</v>
      </c>
      <c r="AD40" s="25">
        <v>3655.7</v>
      </c>
      <c r="AE40" s="25">
        <v>18683.099999999999</v>
      </c>
      <c r="AF40" s="25">
        <v>54505.3</v>
      </c>
      <c r="AG40" s="25">
        <v>96905.4</v>
      </c>
      <c r="AH40" s="25">
        <v>14977.9</v>
      </c>
      <c r="AI40" s="25">
        <v>30679.1</v>
      </c>
      <c r="AJ40" s="27">
        <v>0.22218461538461537</v>
      </c>
      <c r="AK40" s="27">
        <v>5.9000000000000004E-2</v>
      </c>
      <c r="AL40" s="27">
        <v>0.1743666666666667</v>
      </c>
      <c r="AM40" s="27">
        <v>9.8916666666666701E-3</v>
      </c>
      <c r="AN40" s="25">
        <v>0.55841083227023303</v>
      </c>
      <c r="AO40" s="27">
        <v>0.2891333333333333</v>
      </c>
      <c r="AP40" s="25">
        <v>0.13142857142857139</v>
      </c>
      <c r="AQ40" s="27">
        <v>0.11</v>
      </c>
    </row>
    <row r="41" spans="1:43" ht="13.2">
      <c r="A41" s="25" t="s">
        <v>81</v>
      </c>
      <c r="B41" s="25">
        <v>38</v>
      </c>
      <c r="C41" s="25">
        <v>42.947999999999993</v>
      </c>
      <c r="D41" s="25">
        <v>0.83448275862068999</v>
      </c>
      <c r="E41" s="25">
        <v>83.73183075628755</v>
      </c>
      <c r="F41" s="25">
        <v>114.7569408642356</v>
      </c>
      <c r="G41" s="25">
        <v>33.320159991175203</v>
      </c>
      <c r="H41" s="25">
        <v>2.5879125258686901E-3</v>
      </c>
      <c r="I41" s="25">
        <v>0.145532894736842</v>
      </c>
      <c r="J41" s="25">
        <v>9.1466666666666599E-2</v>
      </c>
      <c r="K41" s="25">
        <v>0.456435483870968</v>
      </c>
      <c r="L41" s="25">
        <v>40603.800000000003</v>
      </c>
      <c r="M41" s="25">
        <v>5156.5</v>
      </c>
      <c r="N41" s="25">
        <v>45760.3</v>
      </c>
      <c r="O41" s="25">
        <v>41639.5</v>
      </c>
      <c r="P41" s="25">
        <v>7085.3</v>
      </c>
      <c r="Q41" s="25">
        <v>64.3</v>
      </c>
      <c r="R41" s="25">
        <v>-26.21387359503581</v>
      </c>
      <c r="S41" s="25">
        <v>-185.61387359503576</v>
      </c>
      <c r="T41" s="25">
        <v>16815.7</v>
      </c>
      <c r="U41" s="25">
        <v>5997.4</v>
      </c>
      <c r="V41" s="25">
        <v>2920.0625299999988</v>
      </c>
      <c r="W41" s="25">
        <v>4082.26253</v>
      </c>
      <c r="X41" s="25">
        <v>2041.6273940000001</v>
      </c>
      <c r="Y41" s="25">
        <v>1162.2</v>
      </c>
      <c r="Z41" s="25">
        <v>821.5</v>
      </c>
      <c r="AA41" s="25">
        <v>1053.0999999999999</v>
      </c>
      <c r="AB41" s="25">
        <v>551.4</v>
      </c>
      <c r="AC41" s="25">
        <v>4120.8</v>
      </c>
      <c r="AD41" s="25">
        <v>2973</v>
      </c>
      <c r="AE41" s="25">
        <v>233.3</v>
      </c>
      <c r="AF41" s="25">
        <v>2350.8000000000002</v>
      </c>
      <c r="AG41" s="25">
        <v>17854.599999999999</v>
      </c>
      <c r="AH41" s="25">
        <v>629.29999999999995</v>
      </c>
      <c r="AI41" s="25">
        <v>7123.2</v>
      </c>
      <c r="AJ41" s="27">
        <v>0.11699310344827589</v>
      </c>
      <c r="AK41" s="27">
        <v>0.24</v>
      </c>
      <c r="AL41" s="27">
        <v>7.0999999999999994E-2</v>
      </c>
      <c r="AM41" s="27">
        <v>9.0761904761904807E-3</v>
      </c>
      <c r="AN41" s="25">
        <v>0.37878633915533699</v>
      </c>
      <c r="AO41" s="27">
        <v>0.4708807692307691</v>
      </c>
      <c r="AP41" s="25">
        <v>0.1938</v>
      </c>
      <c r="AQ41" s="27">
        <v>4.4999999999999998E-2</v>
      </c>
    </row>
    <row r="42" spans="1:43" ht="13.2">
      <c r="A42" s="25" t="s">
        <v>82</v>
      </c>
      <c r="B42" s="25">
        <v>12</v>
      </c>
      <c r="C42" s="25">
        <v>92.13600000000001</v>
      </c>
      <c r="D42" s="25">
        <v>1.05</v>
      </c>
      <c r="E42" s="25">
        <v>43.157907052981116</v>
      </c>
      <c r="F42" s="25">
        <v>25.351313176375758</v>
      </c>
      <c r="G42" s="25">
        <v>31.132765541008585</v>
      </c>
      <c r="H42" s="25">
        <v>1.9731698001686799E-3</v>
      </c>
      <c r="I42" s="25">
        <v>0.29841416666666698</v>
      </c>
      <c r="J42" s="25">
        <v>3.9699999999999999E-2</v>
      </c>
      <c r="K42" s="25">
        <v>0.57972999999999997</v>
      </c>
      <c r="L42" s="25">
        <v>85941.8</v>
      </c>
      <c r="M42" s="25">
        <v>3092.9</v>
      </c>
      <c r="N42" s="25">
        <v>89034.7</v>
      </c>
      <c r="O42" s="25">
        <v>81374.8</v>
      </c>
      <c r="P42" s="25">
        <v>12836.5</v>
      </c>
      <c r="Q42" s="25">
        <v>2246.8000000000002</v>
      </c>
      <c r="R42" s="25">
        <v>-179.77897836061553</v>
      </c>
      <c r="S42" s="25">
        <v>65.421021639384492</v>
      </c>
      <c r="T42" s="25">
        <v>85972.6</v>
      </c>
      <c r="U42" s="25">
        <v>6117.7</v>
      </c>
      <c r="V42" s="25">
        <v>4054.4207000000001</v>
      </c>
      <c r="W42" s="25">
        <v>4929.0207</v>
      </c>
      <c r="X42" s="25">
        <v>2499.0120240000001</v>
      </c>
      <c r="Y42" s="25">
        <v>874.6</v>
      </c>
      <c r="Z42" s="25">
        <v>1362</v>
      </c>
      <c r="AA42" s="25">
        <v>1901.9</v>
      </c>
      <c r="AB42" s="25">
        <v>1266.2</v>
      </c>
      <c r="AC42" s="25">
        <v>7659.9</v>
      </c>
      <c r="AD42" s="25">
        <v>13851.9</v>
      </c>
      <c r="AE42" s="25">
        <v>2025.9</v>
      </c>
      <c r="AF42" s="25">
        <v>5038.3</v>
      </c>
      <c r="AG42" s="25">
        <v>40897.800000000003</v>
      </c>
      <c r="AH42" s="25">
        <v>7797.2</v>
      </c>
      <c r="AI42" s="25">
        <v>17403.5</v>
      </c>
      <c r="AJ42" s="27">
        <v>0.13753000000000001</v>
      </c>
      <c r="AK42" s="27">
        <v>-2.071428571428572E-2</v>
      </c>
      <c r="AL42" s="27">
        <v>0.31405</v>
      </c>
      <c r="AM42" s="27">
        <v>1.245555555555556E-2</v>
      </c>
      <c r="AN42" s="25">
        <v>0.50207583818618595</v>
      </c>
      <c r="AO42" s="27">
        <v>0.43257777777777773</v>
      </c>
      <c r="AP42" s="25">
        <v>0.20499999999999999</v>
      </c>
      <c r="AQ42" s="27">
        <v>1.7500000000000002E-2</v>
      </c>
    </row>
    <row r="43" spans="1:43" ht="13.2">
      <c r="A43" s="25" t="s">
        <v>83</v>
      </c>
      <c r="B43" s="25">
        <v>11</v>
      </c>
      <c r="C43" s="25">
        <v>275.428</v>
      </c>
      <c r="D43" s="25">
        <v>0.82</v>
      </c>
      <c r="E43" s="25">
        <v>14.831598069904549</v>
      </c>
      <c r="F43" s="25">
        <v>10.689401009036091</v>
      </c>
      <c r="G43" s="25">
        <v>14.194194073885031</v>
      </c>
      <c r="H43" s="25">
        <v>6.8736232046298397E-3</v>
      </c>
      <c r="I43" s="25">
        <v>0.159763636363636</v>
      </c>
      <c r="J43" s="25">
        <v>8.6379999999999998E-2</v>
      </c>
      <c r="K43" s="25">
        <v>0.36176249999999999</v>
      </c>
      <c r="L43" s="25">
        <v>39859.599999999999</v>
      </c>
      <c r="M43" s="25">
        <v>8634</v>
      </c>
      <c r="N43" s="25">
        <v>48493.599999999999</v>
      </c>
      <c r="O43" s="25">
        <v>46248.3</v>
      </c>
      <c r="P43" s="25">
        <v>18737.2</v>
      </c>
      <c r="Q43" s="25">
        <v>5217</v>
      </c>
      <c r="R43" s="25">
        <v>-97.40067337605366</v>
      </c>
      <c r="S43" s="25">
        <v>-84.40067337605366</v>
      </c>
      <c r="T43" s="25">
        <v>58187.1</v>
      </c>
      <c r="U43" s="25">
        <v>8214.1</v>
      </c>
      <c r="V43" s="25">
        <v>5485.4907400000002</v>
      </c>
      <c r="W43" s="25">
        <v>7078.5907400000006</v>
      </c>
      <c r="X43" s="25">
        <v>4061.5014369999999</v>
      </c>
      <c r="Y43" s="25">
        <v>1593.1</v>
      </c>
      <c r="Z43" s="25">
        <v>1567.9</v>
      </c>
      <c r="AA43" s="25">
        <v>2296</v>
      </c>
      <c r="AB43" s="25">
        <v>1315.8</v>
      </c>
      <c r="AC43" s="25">
        <v>2245.3000000000002</v>
      </c>
      <c r="AD43" s="25">
        <v>8895</v>
      </c>
      <c r="AE43" s="25">
        <v>8237.1</v>
      </c>
      <c r="AF43" s="25">
        <v>8656.2999999999993</v>
      </c>
      <c r="AG43" s="25">
        <v>44269.599999999999</v>
      </c>
      <c r="AH43" s="25">
        <v>7292.5</v>
      </c>
      <c r="AI43" s="25">
        <v>12469.4</v>
      </c>
      <c r="AJ43" s="27">
        <v>0.24968000000000001</v>
      </c>
      <c r="AK43" s="27">
        <v>0.17416666666666672</v>
      </c>
      <c r="AL43" s="27">
        <v>0.12402222222222221</v>
      </c>
      <c r="AM43" s="27">
        <v>9.5374999999999991E-3</v>
      </c>
      <c r="AN43" s="25">
        <v>0.51270739592543502</v>
      </c>
      <c r="AO43" s="27">
        <v>0.28657777777777782</v>
      </c>
      <c r="AP43" s="25">
        <v>9.8333333333333342E-2</v>
      </c>
      <c r="AQ43" s="27">
        <v>5.6666666666666671E-2</v>
      </c>
    </row>
    <row r="44" spans="1:43" ht="13.2">
      <c r="A44" s="25" t="s">
        <v>84</v>
      </c>
      <c r="B44" s="25">
        <v>36</v>
      </c>
      <c r="C44" s="25">
        <v>553.60599999999988</v>
      </c>
      <c r="D44" s="25">
        <v>1.1338709677419361</v>
      </c>
      <c r="E44" s="25">
        <v>30.503604490513421</v>
      </c>
      <c r="F44" s="25">
        <v>25.230406746031747</v>
      </c>
      <c r="G44" s="25">
        <v>23.351530903871847</v>
      </c>
      <c r="H44" s="25">
        <v>9.7921224154425193E-3</v>
      </c>
      <c r="I44" s="25">
        <v>0.23607694444444399</v>
      </c>
      <c r="J44" s="25">
        <v>0.1014</v>
      </c>
      <c r="K44" s="25">
        <v>0.54019444444444498</v>
      </c>
      <c r="L44" s="25">
        <v>59789.2</v>
      </c>
      <c r="M44" s="25">
        <v>77022.899999999994</v>
      </c>
      <c r="N44" s="25">
        <v>136812.1</v>
      </c>
      <c r="O44" s="25">
        <v>123933</v>
      </c>
      <c r="P44" s="25">
        <v>153340.9</v>
      </c>
      <c r="Q44" s="25">
        <v>129558.6</v>
      </c>
      <c r="R44" s="25">
        <v>11853.410995413888</v>
      </c>
      <c r="S44" s="25">
        <v>11846.410995413878</v>
      </c>
      <c r="T44" s="25">
        <v>226797.7</v>
      </c>
      <c r="U44" s="25">
        <v>19498</v>
      </c>
      <c r="V44" s="25">
        <v>18868.07288</v>
      </c>
      <c r="W44" s="25">
        <v>19978.27288</v>
      </c>
      <c r="X44" s="25">
        <v>11371.92403</v>
      </c>
      <c r="Y44" s="25">
        <v>1110.2</v>
      </c>
      <c r="Z44" s="25">
        <v>1162.7</v>
      </c>
      <c r="AA44" s="25">
        <v>9809</v>
      </c>
      <c r="AB44" s="25">
        <v>-5603.7</v>
      </c>
      <c r="AC44" s="25">
        <v>12879.1</v>
      </c>
      <c r="AD44" s="25">
        <v>10306.4</v>
      </c>
      <c r="AE44" s="25">
        <v>146259.5</v>
      </c>
      <c r="AF44" s="25">
        <v>3916.5</v>
      </c>
      <c r="AG44" s="25">
        <v>212134.9</v>
      </c>
      <c r="AH44" s="25">
        <v>13214</v>
      </c>
      <c r="AI44" s="25">
        <v>89477.1</v>
      </c>
      <c r="AJ44" s="27">
        <v>2.2987500000000001E-2</v>
      </c>
      <c r="AK44" s="27">
        <v>0.28000000000000003</v>
      </c>
      <c r="AL44" s="27">
        <v>-8.7370370370370293E-3</v>
      </c>
      <c r="AM44" s="27">
        <v>1.6446153846153853E-2</v>
      </c>
      <c r="AN44" s="25">
        <v>0.49071099555382403</v>
      </c>
      <c r="AO44" s="27">
        <v>0.40565483870967745</v>
      </c>
      <c r="AP44" s="25">
        <v>-0.02</v>
      </c>
      <c r="AQ44" s="27">
        <v>0.32374999999999998</v>
      </c>
    </row>
    <row r="45" spans="1:43" ht="13.2">
      <c r="A45" s="25" t="s">
        <v>85</v>
      </c>
      <c r="B45" s="25">
        <v>75</v>
      </c>
      <c r="C45" s="25">
        <v>1391.6089999999999</v>
      </c>
      <c r="D45" s="25">
        <v>0.85</v>
      </c>
      <c r="E45" s="25">
        <v>34.022558012396175</v>
      </c>
      <c r="F45" s="25">
        <v>99.531687972480327</v>
      </c>
      <c r="G45" s="25">
        <v>42.012061452205309</v>
      </c>
      <c r="H45" s="25">
        <v>5.6976161686811003E-3</v>
      </c>
      <c r="I45" s="25">
        <v>0.12970026666666701</v>
      </c>
      <c r="J45" s="25">
        <v>0.21930769230769201</v>
      </c>
      <c r="K45" s="25">
        <v>0.41693333333333299</v>
      </c>
      <c r="L45" s="25">
        <v>346665.3</v>
      </c>
      <c r="M45" s="25">
        <v>123163.4</v>
      </c>
      <c r="N45" s="25">
        <v>469828.7</v>
      </c>
      <c r="O45" s="25">
        <v>456689.5</v>
      </c>
      <c r="P45" s="25">
        <v>189292.9</v>
      </c>
      <c r="Q45" s="25">
        <v>-2627.5</v>
      </c>
      <c r="R45" s="25">
        <v>7.3245324071754698</v>
      </c>
      <c r="S45" s="25">
        <v>8042.924532407178</v>
      </c>
      <c r="T45" s="25">
        <v>130470.6</v>
      </c>
      <c r="U45" s="25">
        <v>22222.7</v>
      </c>
      <c r="V45" s="25">
        <v>30312.722279999987</v>
      </c>
      <c r="W45" s="25">
        <v>38857.422279999999</v>
      </c>
      <c r="X45" s="25">
        <v>20883.026923000001</v>
      </c>
      <c r="Y45" s="25">
        <v>8544.7000000000007</v>
      </c>
      <c r="Z45" s="25">
        <v>24716.9</v>
      </c>
      <c r="AA45" s="25">
        <v>9510.4</v>
      </c>
      <c r="AB45" s="25">
        <v>5090.6000000000004</v>
      </c>
      <c r="AC45" s="25">
        <v>13139.2</v>
      </c>
      <c r="AD45" s="25">
        <v>9596.9</v>
      </c>
      <c r="AE45" s="25">
        <v>4139.5</v>
      </c>
      <c r="AF45" s="25">
        <v>145948.79999999999</v>
      </c>
      <c r="AG45" s="25">
        <v>262490.40000000002</v>
      </c>
      <c r="AH45" s="25">
        <v>7309.7</v>
      </c>
      <c r="AI45" s="25">
        <v>79589.700000000055</v>
      </c>
      <c r="AJ45" s="27">
        <v>0.19312142857142856</v>
      </c>
      <c r="AK45" s="27">
        <v>0.11785714285714292</v>
      </c>
      <c r="AL45" s="27">
        <v>0.20114230769230776</v>
      </c>
      <c r="AM45" s="27">
        <v>1.2541860465116281E-2</v>
      </c>
      <c r="AN45" s="25">
        <v>0.37819857404754498</v>
      </c>
      <c r="AO45" s="27">
        <v>0.66573529411764709</v>
      </c>
      <c r="AP45" s="25">
        <v>0.20486129032258066</v>
      </c>
      <c r="AQ45" s="27">
        <v>-2.5000000000000001E-2</v>
      </c>
    </row>
    <row r="46" spans="1:43" ht="13.2">
      <c r="A46" s="25" t="s">
        <v>86</v>
      </c>
      <c r="B46" s="25">
        <v>28</v>
      </c>
      <c r="C46" s="25">
        <v>6746.3790000000008</v>
      </c>
      <c r="D46" s="25">
        <v>0.89423076923076905</v>
      </c>
      <c r="E46" s="25">
        <v>16.616794692058487</v>
      </c>
      <c r="F46" s="25">
        <v>20.992855933492372</v>
      </c>
      <c r="G46" s="25">
        <v>16.518015629919073</v>
      </c>
      <c r="H46" s="25">
        <v>1.0386195462311501E-2</v>
      </c>
      <c r="I46" s="25">
        <v>0.29492499999999999</v>
      </c>
      <c r="J46" s="25">
        <v>9.7270588235294095E-2</v>
      </c>
      <c r="K46" s="25">
        <v>0.55276818181818199</v>
      </c>
      <c r="L46" s="25">
        <v>676993</v>
      </c>
      <c r="M46" s="25">
        <v>115953.3</v>
      </c>
      <c r="N46" s="25">
        <v>792946.3</v>
      </c>
      <c r="O46" s="25">
        <v>774427.9</v>
      </c>
      <c r="P46" s="25">
        <v>257053.1</v>
      </c>
      <c r="Q46" s="25">
        <v>10969.9</v>
      </c>
      <c r="R46" s="25">
        <v>-407.40001335606189</v>
      </c>
      <c r="S46" s="25">
        <v>-847.90001335606189</v>
      </c>
      <c r="T46" s="25">
        <v>282039</v>
      </c>
      <c r="U46" s="25">
        <v>77466.100000000006</v>
      </c>
      <c r="V46" s="25">
        <v>60439.725639999997</v>
      </c>
      <c r="W46" s="25">
        <v>71806.925639999987</v>
      </c>
      <c r="X46" s="25">
        <v>42639.932394000003</v>
      </c>
      <c r="Y46" s="25">
        <v>11367.2</v>
      </c>
      <c r="Z46" s="25">
        <v>10755.4</v>
      </c>
      <c r="AA46" s="25">
        <v>29795.7</v>
      </c>
      <c r="AB46" s="25">
        <v>16371.6</v>
      </c>
      <c r="AC46" s="25">
        <v>18518.400000000001</v>
      </c>
      <c r="AD46" s="25">
        <v>29457.7</v>
      </c>
      <c r="AE46" s="25">
        <v>30428.6</v>
      </c>
      <c r="AF46" s="25">
        <v>70274.100000000006</v>
      </c>
      <c r="AG46" s="25">
        <v>392818.3</v>
      </c>
      <c r="AH46" s="25">
        <v>21089.9</v>
      </c>
      <c r="AI46" s="25">
        <v>163033.60000000001</v>
      </c>
      <c r="AJ46" s="27">
        <v>9.64E-2</v>
      </c>
      <c r="AK46" s="27">
        <v>0.11425</v>
      </c>
      <c r="AL46" s="27">
        <v>7.4643999999999988E-2</v>
      </c>
      <c r="AM46" s="27">
        <v>8.4159999999999999E-3</v>
      </c>
      <c r="AN46" s="25">
        <v>0.51339270845485296</v>
      </c>
      <c r="AO46" s="27">
        <v>0.43766538461538451</v>
      </c>
      <c r="AP46" s="25">
        <v>0.115</v>
      </c>
      <c r="AQ46" s="27">
        <v>9.0999999999999998E-2</v>
      </c>
    </row>
    <row r="47" spans="1:43" ht="13.2">
      <c r="A47" s="25" t="s">
        <v>87</v>
      </c>
      <c r="B47" s="25">
        <v>35</v>
      </c>
      <c r="C47" s="25">
        <v>206.74</v>
      </c>
      <c r="D47" s="25">
        <v>1.1092592592592589</v>
      </c>
      <c r="E47" s="25">
        <v>20.576714177446789</v>
      </c>
      <c r="F47" s="25">
        <v>13.755829636798842</v>
      </c>
      <c r="G47" s="25">
        <v>16.386648341013</v>
      </c>
      <c r="H47" s="25">
        <v>5.1538028995593904E-3</v>
      </c>
      <c r="I47" s="25">
        <v>0.234322857142857</v>
      </c>
      <c r="J47" s="25">
        <v>0.105130769230769</v>
      </c>
      <c r="K47" s="25">
        <v>0.55306956521739103</v>
      </c>
      <c r="L47" s="25">
        <v>48906.9</v>
      </c>
      <c r="M47" s="25">
        <v>3675.1</v>
      </c>
      <c r="N47" s="25">
        <v>52582</v>
      </c>
      <c r="O47" s="25">
        <v>45415.6</v>
      </c>
      <c r="P47" s="25">
        <v>18989.599999999999</v>
      </c>
      <c r="Q47" s="25">
        <v>5251.3</v>
      </c>
      <c r="R47" s="25">
        <v>-193.1391828112281</v>
      </c>
      <c r="S47" s="25">
        <v>-252.73918281122809</v>
      </c>
      <c r="T47" s="25">
        <v>99301.5</v>
      </c>
      <c r="U47" s="25">
        <v>17803.8</v>
      </c>
      <c r="V47" s="25">
        <v>5289.4578399999991</v>
      </c>
      <c r="W47" s="25">
        <v>6525.2578400000002</v>
      </c>
      <c r="X47" s="25">
        <v>3307.124526000001</v>
      </c>
      <c r="Y47" s="25">
        <v>1235.8</v>
      </c>
      <c r="Z47" s="25">
        <v>1125.5</v>
      </c>
      <c r="AA47" s="25">
        <v>2324.1999999999998</v>
      </c>
      <c r="AB47" s="25">
        <v>1270.9000000000001</v>
      </c>
      <c r="AC47" s="25">
        <v>7166.4</v>
      </c>
      <c r="AD47" s="25">
        <v>17884.8</v>
      </c>
      <c r="AE47" s="25">
        <v>57.4</v>
      </c>
      <c r="AF47" s="25">
        <v>3256.9</v>
      </c>
      <c r="AG47" s="25">
        <v>44760.800000000003</v>
      </c>
      <c r="AH47" s="25">
        <v>3801</v>
      </c>
      <c r="AI47" s="25">
        <v>22562.7</v>
      </c>
      <c r="AJ47" s="27">
        <v>0.34563749999999999</v>
      </c>
      <c r="AK47" s="27">
        <v>0.23656250000000001</v>
      </c>
      <c r="AL47" s="27">
        <v>8.8779999999999998E-2</v>
      </c>
      <c r="AM47" s="27">
        <v>1.3758333333333331E-2</v>
      </c>
      <c r="AN47" s="25">
        <v>0.496716536429544</v>
      </c>
      <c r="AO47" s="27">
        <v>0.5399076923076922</v>
      </c>
      <c r="AP47" s="25">
        <v>0.17471904761904763</v>
      </c>
      <c r="AQ47" s="27">
        <v>1.4999999999999999E-2</v>
      </c>
    </row>
    <row r="48" spans="1:43" ht="13.2">
      <c r="A48" s="25" t="s">
        <v>88</v>
      </c>
      <c r="B48" s="25">
        <v>196</v>
      </c>
      <c r="C48" s="25">
        <v>624.43499999999995</v>
      </c>
      <c r="D48" s="25">
        <v>0.84759036144578304</v>
      </c>
      <c r="E48" s="25">
        <v>29.714315301264474</v>
      </c>
      <c r="F48" s="25">
        <v>26.287460371476179</v>
      </c>
      <c r="G48" s="25">
        <v>28.562295544821005</v>
      </c>
      <c r="H48" s="25">
        <v>2.6672005530827998E-3</v>
      </c>
      <c r="I48" s="25">
        <v>0.16118974489795901</v>
      </c>
      <c r="J48" s="25">
        <v>0.10958</v>
      </c>
      <c r="K48" s="25">
        <v>0.44289776119403002</v>
      </c>
      <c r="L48" s="25">
        <v>252035.4</v>
      </c>
      <c r="M48" s="25">
        <v>59964.1</v>
      </c>
      <c r="N48" s="25">
        <v>311999.5</v>
      </c>
      <c r="O48" s="25">
        <v>292234.7</v>
      </c>
      <c r="P48" s="25">
        <v>113321.60000000001</v>
      </c>
      <c r="Q48" s="25">
        <v>19628.8</v>
      </c>
      <c r="R48" s="25">
        <v>-518.76685123454661</v>
      </c>
      <c r="S48" s="25">
        <v>-1602.8668512345471</v>
      </c>
      <c r="T48" s="25">
        <v>251830.8</v>
      </c>
      <c r="U48" s="25">
        <v>32993.199999999997</v>
      </c>
      <c r="V48" s="25">
        <v>30332.182700000001</v>
      </c>
      <c r="W48" s="25">
        <v>42221.382700000024</v>
      </c>
      <c r="X48" s="25">
        <v>19963.474805999995</v>
      </c>
      <c r="Y48" s="25">
        <v>11889.2</v>
      </c>
      <c r="Z48" s="25">
        <v>12397.7</v>
      </c>
      <c r="AA48" s="25">
        <v>7397.3</v>
      </c>
      <c r="AB48" s="25">
        <v>4818.5</v>
      </c>
      <c r="AC48" s="25">
        <v>19764.8</v>
      </c>
      <c r="AD48" s="25">
        <v>44183.9</v>
      </c>
      <c r="AE48" s="25">
        <v>6093.3</v>
      </c>
      <c r="AF48" s="25">
        <v>41050.400000000001</v>
      </c>
      <c r="AG48" s="25">
        <v>215278</v>
      </c>
      <c r="AH48" s="25">
        <v>20285.900000000001</v>
      </c>
      <c r="AI48" s="25">
        <v>74897.999999999927</v>
      </c>
      <c r="AJ48" s="27">
        <v>0.15129675324675329</v>
      </c>
      <c r="AK48" s="27">
        <v>0.10064814814814811</v>
      </c>
      <c r="AL48" s="27">
        <v>0.14621317829457359</v>
      </c>
      <c r="AM48" s="27">
        <v>1.21982905982906E-2</v>
      </c>
      <c r="AN48" s="25">
        <v>0.34630974782784202</v>
      </c>
      <c r="AO48" s="27">
        <v>0.71930851063829804</v>
      </c>
      <c r="AP48" s="25">
        <v>0.18114827586206894</v>
      </c>
      <c r="AQ48" s="27">
        <v>0.17366666666666672</v>
      </c>
    </row>
    <row r="49" spans="1:43" ht="13.2">
      <c r="A49" s="25" t="s">
        <v>89</v>
      </c>
      <c r="B49" s="25">
        <v>38</v>
      </c>
      <c r="C49" s="25">
        <v>988.048</v>
      </c>
      <c r="D49" s="25">
        <v>0.93857142857142895</v>
      </c>
      <c r="E49" s="25">
        <v>35.593559521722597</v>
      </c>
      <c r="F49" s="25">
        <v>27.156841704419715</v>
      </c>
      <c r="G49" s="25">
        <v>29.438728768554949</v>
      </c>
      <c r="H49" s="25">
        <v>3.29312944985402E-3</v>
      </c>
      <c r="I49" s="25">
        <v>0.19938947368421001</v>
      </c>
      <c r="J49" s="25">
        <v>0.1103875</v>
      </c>
      <c r="K49" s="25">
        <v>0.54022499999999996</v>
      </c>
      <c r="L49" s="25">
        <v>167438.1</v>
      </c>
      <c r="M49" s="25">
        <v>16851.099999999999</v>
      </c>
      <c r="N49" s="25">
        <v>184289.2</v>
      </c>
      <c r="O49" s="25">
        <v>177287.6</v>
      </c>
      <c r="P49" s="25">
        <v>47735.4</v>
      </c>
      <c r="Q49" s="25">
        <v>-611.50000000000136</v>
      </c>
      <c r="R49" s="25">
        <v>39.563746991305997</v>
      </c>
      <c r="S49" s="25">
        <v>-227.03625300869399</v>
      </c>
      <c r="T49" s="25">
        <v>57483.9</v>
      </c>
      <c r="U49" s="25">
        <v>9168.6</v>
      </c>
      <c r="V49" s="25">
        <v>12876.136479999999</v>
      </c>
      <c r="W49" s="25">
        <v>15720.636479999999</v>
      </c>
      <c r="X49" s="25">
        <v>8906.7974849999991</v>
      </c>
      <c r="Y49" s="25">
        <v>2844.5</v>
      </c>
      <c r="Z49" s="25">
        <v>2318.1</v>
      </c>
      <c r="AA49" s="25">
        <v>6328.1</v>
      </c>
      <c r="AB49" s="25">
        <v>3560.5</v>
      </c>
      <c r="AC49" s="25">
        <v>7001.6</v>
      </c>
      <c r="AD49" s="25">
        <v>11000</v>
      </c>
      <c r="AE49" s="25">
        <v>1564.3</v>
      </c>
      <c r="AF49" s="25">
        <v>5649.1</v>
      </c>
      <c r="AG49" s="25">
        <v>82880.800000000003</v>
      </c>
      <c r="AH49" s="25">
        <v>5982.5</v>
      </c>
      <c r="AI49" s="25">
        <v>38321.800000000003</v>
      </c>
      <c r="AJ49" s="27">
        <v>0.13779374999999999</v>
      </c>
      <c r="AK49" s="27">
        <v>0.14291666666666669</v>
      </c>
      <c r="AL49" s="27">
        <v>7.9528571428571435E-2</v>
      </c>
      <c r="AM49" s="27">
        <v>1.0484210526315789E-2</v>
      </c>
      <c r="AN49" s="25">
        <v>0.52132605902490103</v>
      </c>
      <c r="AO49" s="27">
        <v>0.33760800000000013</v>
      </c>
      <c r="AP49" s="25">
        <v>0.1483666666666667</v>
      </c>
      <c r="AQ49" s="27">
        <v>0.125</v>
      </c>
    </row>
    <row r="50" spans="1:43" ht="13.2">
      <c r="A50" s="25" t="s">
        <v>90</v>
      </c>
      <c r="B50" s="25">
        <v>40</v>
      </c>
      <c r="C50" s="25">
        <v>7422.2430000000004</v>
      </c>
      <c r="D50" s="25">
        <v>0.94444444444444398</v>
      </c>
      <c r="E50" s="25">
        <v>16.494127303010561</v>
      </c>
      <c r="F50" s="25">
        <v>25.393574240387345</v>
      </c>
      <c r="G50" s="25">
        <v>13.6419125247191</v>
      </c>
      <c r="H50" s="25">
        <v>1.2054712647776199E-2</v>
      </c>
      <c r="I50" s="25">
        <v>0.279671</v>
      </c>
      <c r="J50" s="25">
        <v>2.0730769230769198E-2</v>
      </c>
      <c r="K50" s="25">
        <v>0.42693714285714301</v>
      </c>
      <c r="L50" s="25">
        <v>684696</v>
      </c>
      <c r="M50" s="25">
        <v>57368.4</v>
      </c>
      <c r="N50" s="25">
        <v>742064.4</v>
      </c>
      <c r="O50" s="25">
        <v>669922.19999999995</v>
      </c>
      <c r="P50" s="25">
        <v>182405.9</v>
      </c>
      <c r="Q50" s="25">
        <v>1.4</v>
      </c>
      <c r="R50" s="25">
        <v>-0.370588235294118</v>
      </c>
      <c r="S50" s="25">
        <v>-1.0705882352941178</v>
      </c>
      <c r="T50" s="25">
        <v>6.8</v>
      </c>
      <c r="U50" s="25">
        <v>8338.9</v>
      </c>
      <c r="V50" s="25">
        <v>143769.44286000001</v>
      </c>
      <c r="W50" s="25">
        <v>143770.24286</v>
      </c>
      <c r="X50" s="25">
        <v>106900.77935899999</v>
      </c>
      <c r="Y50" s="25">
        <v>0.8</v>
      </c>
      <c r="Z50" s="25">
        <v>1444.2</v>
      </c>
      <c r="AA50" s="25">
        <v>24785.1</v>
      </c>
      <c r="AB50" s="25">
        <v>26938.799999999999</v>
      </c>
      <c r="AC50" s="25">
        <v>72142.2</v>
      </c>
      <c r="AD50" s="25">
        <v>0</v>
      </c>
      <c r="AE50" s="25">
        <v>0</v>
      </c>
      <c r="AF50" s="25">
        <v>1155.4000000000001</v>
      </c>
      <c r="AG50" s="25">
        <v>2479618.4</v>
      </c>
      <c r="AH50" s="25">
        <v>0.6</v>
      </c>
      <c r="AI50" s="25">
        <v>207480.3</v>
      </c>
      <c r="AJ50" s="27">
        <v>-0.71810000000000007</v>
      </c>
      <c r="AK50" s="27">
        <v>0.1043478260869565</v>
      </c>
      <c r="AL50" s="27">
        <v>0.12675172413793098</v>
      </c>
      <c r="AM50" s="27">
        <v>9.2793103448275804E-3</v>
      </c>
      <c r="AN50" s="25">
        <v>0.62507892670021004</v>
      </c>
      <c r="AO50" s="27">
        <v>0.42351142857142832</v>
      </c>
      <c r="AP50" s="25">
        <v>0.11403684210526324</v>
      </c>
      <c r="AQ50" s="27">
        <v>0.11735294117647062</v>
      </c>
    </row>
    <row r="51" spans="1:43" ht="13.2">
      <c r="A51" s="25" t="s">
        <v>91</v>
      </c>
      <c r="B51" s="25">
        <v>87</v>
      </c>
      <c r="C51" s="25">
        <v>4789.2979999999998</v>
      </c>
      <c r="D51" s="25">
        <v>0.82878787878787896</v>
      </c>
      <c r="E51" s="25">
        <v>12.454137247904843</v>
      </c>
      <c r="F51" s="25">
        <v>11.096079052817391</v>
      </c>
      <c r="G51" s="25">
        <v>10.201186122232848</v>
      </c>
      <c r="H51" s="25">
        <v>1.48155105041294E-2</v>
      </c>
      <c r="I51" s="25">
        <v>0.197984137931034</v>
      </c>
      <c r="J51" s="25">
        <v>7.6659090909090899E-2</v>
      </c>
      <c r="K51" s="25">
        <v>0.61376891891891905</v>
      </c>
      <c r="L51" s="25">
        <v>3224851.5</v>
      </c>
      <c r="M51" s="25">
        <v>39077.5</v>
      </c>
      <c r="N51" s="25">
        <v>3263929</v>
      </c>
      <c r="O51" s="25">
        <v>3215189.2</v>
      </c>
      <c r="P51" s="25">
        <v>176439.5</v>
      </c>
      <c r="Q51" s="25">
        <v>-4.5</v>
      </c>
      <c r="R51" s="25">
        <v>1.2125791353996738</v>
      </c>
      <c r="S51" s="25">
        <v>1.0125791353996738</v>
      </c>
      <c r="T51" s="25">
        <v>145</v>
      </c>
      <c r="U51" s="25">
        <v>170683.4</v>
      </c>
      <c r="V51" s="25">
        <v>4474.3999999999996</v>
      </c>
      <c r="W51" s="25">
        <v>4476.8999999999996</v>
      </c>
      <c r="X51" s="25">
        <v>3485.1497899999999</v>
      </c>
      <c r="Y51" s="25">
        <v>2.5</v>
      </c>
      <c r="Z51" s="25">
        <v>1785.2</v>
      </c>
      <c r="AA51" s="25">
        <v>30528.9</v>
      </c>
      <c r="AB51" s="25">
        <v>33412.400000000001</v>
      </c>
      <c r="AC51" s="25">
        <v>48739.8</v>
      </c>
      <c r="AD51" s="25">
        <v>2.6</v>
      </c>
      <c r="AE51" s="25">
        <v>0</v>
      </c>
      <c r="AF51" s="25">
        <v>4736.8999999999996</v>
      </c>
      <c r="AG51" s="25">
        <v>934821.5</v>
      </c>
      <c r="AH51" s="25">
        <v>3.2</v>
      </c>
      <c r="AI51" s="25">
        <v>190873.60000000001</v>
      </c>
      <c r="AJ51" s="27">
        <v>-0.41246666666666654</v>
      </c>
      <c r="AK51" s="27">
        <v>0.20716666666666661</v>
      </c>
      <c r="AL51" s="27">
        <v>0.11396800000000001</v>
      </c>
      <c r="AM51" s="27">
        <v>8.9066666666666704E-3</v>
      </c>
      <c r="AN51" s="25">
        <v>0.62031689257016198</v>
      </c>
      <c r="AO51" s="27">
        <v>0.26892499999999997</v>
      </c>
      <c r="AP51" s="25">
        <v>0.10819230769230768</v>
      </c>
      <c r="AQ51" s="27">
        <v>8.5833333333333345E-2</v>
      </c>
    </row>
    <row r="52" spans="1:43" ht="13.2">
      <c r="A52" s="25" t="s">
        <v>92</v>
      </c>
      <c r="B52" s="25">
        <v>266</v>
      </c>
      <c r="C52" s="25">
        <v>66.566000000000003</v>
      </c>
      <c r="D52" s="25">
        <v>0.98818181818181805</v>
      </c>
      <c r="E52" s="25">
        <v>76.74265220667678</v>
      </c>
      <c r="F52" s="25">
        <v>63.717830944737898</v>
      </c>
      <c r="G52" s="25">
        <v>52.863275022136051</v>
      </c>
      <c r="H52" s="25">
        <v>6.3536925955680595E-4</v>
      </c>
      <c r="I52" s="25">
        <v>6.7571080418437401E-2</v>
      </c>
      <c r="J52" s="25">
        <v>0.137955555555556</v>
      </c>
      <c r="K52" s="25">
        <v>0.35138270676691702</v>
      </c>
      <c r="L52" s="25">
        <v>804157.82499999925</v>
      </c>
      <c r="M52" s="25">
        <v>14747</v>
      </c>
      <c r="N52" s="25">
        <v>818904.82499999949</v>
      </c>
      <c r="O52" s="25">
        <v>758654.02500000026</v>
      </c>
      <c r="P52" s="25">
        <v>78359.100000000006</v>
      </c>
      <c r="Q52" s="25">
        <v>-16850.599999999999</v>
      </c>
      <c r="R52" s="25">
        <v>65.108124675032471</v>
      </c>
      <c r="S52" s="25">
        <v>1433.3081246750319</v>
      </c>
      <c r="T52" s="25">
        <v>118897</v>
      </c>
      <c r="U52" s="25">
        <v>40203.300000000003</v>
      </c>
      <c r="V52" s="25">
        <v>24321.596320000001</v>
      </c>
      <c r="W52" s="25">
        <v>30512.496320000013</v>
      </c>
      <c r="X52" s="25">
        <v>17055.761241567652</v>
      </c>
      <c r="Y52" s="25">
        <v>6190.9</v>
      </c>
      <c r="Z52" s="25">
        <v>8921.5000000000073</v>
      </c>
      <c r="AA52" s="25">
        <v>12860.5</v>
      </c>
      <c r="AB52" s="25">
        <v>7705.6</v>
      </c>
      <c r="AC52" s="25">
        <v>60250.8</v>
      </c>
      <c r="AD52" s="25">
        <v>27525.3</v>
      </c>
      <c r="AE52" s="25">
        <v>2577.5</v>
      </c>
      <c r="AF52" s="25">
        <v>14670.1</v>
      </c>
      <c r="AG52" s="25">
        <v>268947.59999999998</v>
      </c>
      <c r="AH52" s="25">
        <v>11204.8</v>
      </c>
      <c r="AI52" s="25">
        <v>125822.2</v>
      </c>
      <c r="AJ52" s="27">
        <v>0.1595445086705202</v>
      </c>
      <c r="AK52" s="27">
        <v>0.21333333333333321</v>
      </c>
      <c r="AL52" s="27">
        <v>0.19099469696969698</v>
      </c>
      <c r="AM52" s="27">
        <v>1.9727358490566033E-2</v>
      </c>
      <c r="AN52" s="25">
        <v>0.29561621898330298</v>
      </c>
      <c r="AO52" s="27">
        <v>0.92637857142857161</v>
      </c>
      <c r="AP52" s="25">
        <v>0.22914074074074073</v>
      </c>
      <c r="AQ52" s="27">
        <v>0</v>
      </c>
    </row>
    <row r="53" spans="1:43" ht="13.2">
      <c r="A53" s="25" t="s">
        <v>93</v>
      </c>
      <c r="B53" s="25">
        <v>18</v>
      </c>
      <c r="C53" s="25">
        <v>0</v>
      </c>
      <c r="D53" s="25">
        <v>0.70882352941176496</v>
      </c>
      <c r="E53" s="25" t="e">
        <v>#DIV/0!</v>
      </c>
      <c r="F53" s="25" t="e">
        <v>#DIV/0!</v>
      </c>
      <c r="G53" s="25" t="e">
        <v>#DIV/0!</v>
      </c>
      <c r="H53" s="25">
        <v>0</v>
      </c>
      <c r="I53" s="25">
        <v>0</v>
      </c>
      <c r="J53" s="25">
        <v>0.01</v>
      </c>
      <c r="K53" s="25">
        <v>0.105793333333333</v>
      </c>
      <c r="L53" s="25">
        <v>297.39999999999998</v>
      </c>
      <c r="M53" s="25">
        <v>1.6</v>
      </c>
      <c r="N53" s="25">
        <v>299</v>
      </c>
      <c r="O53" s="25">
        <v>295.89999999999998</v>
      </c>
      <c r="P53" s="25">
        <v>-4.3</v>
      </c>
      <c r="Q53" s="25">
        <v>-3.5</v>
      </c>
      <c r="R53" s="25">
        <v>630</v>
      </c>
      <c r="S53" s="25">
        <v>629.79999999999995</v>
      </c>
      <c r="T53" s="25">
        <v>49.6</v>
      </c>
      <c r="U53" s="25">
        <v>6.7</v>
      </c>
      <c r="V53" s="25">
        <v>0</v>
      </c>
      <c r="W53" s="25">
        <v>0.3</v>
      </c>
      <c r="X53" s="25">
        <v>0</v>
      </c>
      <c r="Y53" s="25">
        <v>0.3</v>
      </c>
      <c r="Z53" s="25">
        <v>0.1</v>
      </c>
      <c r="AA53" s="25">
        <v>-27.1</v>
      </c>
      <c r="AB53" s="25">
        <v>-8.9</v>
      </c>
      <c r="AC53" s="25">
        <v>3.1</v>
      </c>
      <c r="AD53" s="25">
        <v>0.2</v>
      </c>
      <c r="AE53" s="25">
        <v>0</v>
      </c>
      <c r="AF53" s="25">
        <v>0.1</v>
      </c>
      <c r="AG53" s="25">
        <v>4.9000000000000004</v>
      </c>
      <c r="AH53" s="25">
        <v>0.2</v>
      </c>
      <c r="AI53" s="25">
        <v>-2.2999999999999998</v>
      </c>
      <c r="AJ53" s="27">
        <v>0</v>
      </c>
      <c r="AK53" s="27">
        <v>0</v>
      </c>
      <c r="AL53" s="27">
        <v>3.2349999999999997E-2</v>
      </c>
      <c r="AM53" s="27">
        <v>6.13529411764706E-3</v>
      </c>
      <c r="AN53" s="25">
        <v>0.74384235218056105</v>
      </c>
      <c r="AO53" s="27">
        <v>0.1396470588235294</v>
      </c>
      <c r="AP53" s="25">
        <v>0</v>
      </c>
      <c r="AQ53" s="27">
        <v>0</v>
      </c>
    </row>
    <row r="54" spans="1:43" ht="13.2">
      <c r="A54" s="25" t="s">
        <v>94</v>
      </c>
      <c r="B54" s="25">
        <v>15</v>
      </c>
      <c r="C54" s="25">
        <v>0</v>
      </c>
      <c r="D54" s="25">
        <v>1.1107142857142858</v>
      </c>
      <c r="E54" s="25">
        <v>27.36538461538462</v>
      </c>
      <c r="F54" s="25" t="e">
        <v>#DIV/0!</v>
      </c>
      <c r="G54" s="25">
        <v>26.849056603773587</v>
      </c>
      <c r="H54" s="25">
        <v>0</v>
      </c>
      <c r="I54" s="25">
        <v>2.1950000000000001E-2</v>
      </c>
      <c r="J54" s="25" t="e">
        <v>#DIV/0!</v>
      </c>
      <c r="K54" s="25">
        <v>0.17097333333333301</v>
      </c>
      <c r="L54" s="25">
        <v>284.60000000000002</v>
      </c>
      <c r="M54" s="25">
        <v>0</v>
      </c>
      <c r="N54" s="25">
        <v>284.60000000000002</v>
      </c>
      <c r="O54" s="25">
        <v>273</v>
      </c>
      <c r="P54" s="25">
        <v>10</v>
      </c>
      <c r="Q54" s="25">
        <v>-4.7</v>
      </c>
      <c r="R54" s="25">
        <v>1.1338521400778212</v>
      </c>
      <c r="S54" s="25">
        <v>1.5338521400778211</v>
      </c>
      <c r="T54" s="25">
        <v>51.4</v>
      </c>
      <c r="U54" s="25">
        <v>0</v>
      </c>
      <c r="V54" s="25">
        <v>6.5</v>
      </c>
      <c r="W54" s="25">
        <v>6.8</v>
      </c>
      <c r="X54" s="25">
        <v>4.3598749999999997</v>
      </c>
      <c r="Y54" s="25">
        <v>0.3</v>
      </c>
      <c r="Z54" s="25">
        <v>0.7</v>
      </c>
      <c r="AA54" s="25">
        <v>5.2</v>
      </c>
      <c r="AB54" s="25">
        <v>5.3</v>
      </c>
      <c r="AC54" s="25">
        <v>11.6</v>
      </c>
      <c r="AD54" s="25">
        <v>0.8</v>
      </c>
      <c r="AE54" s="25">
        <v>0</v>
      </c>
      <c r="AF54" s="25">
        <v>1.2</v>
      </c>
      <c r="AG54" s="25">
        <v>28.8</v>
      </c>
      <c r="AH54" s="25">
        <v>2.4</v>
      </c>
      <c r="AI54" s="25">
        <v>21.6</v>
      </c>
      <c r="AJ54" s="27">
        <v>0.18809999999999999</v>
      </c>
      <c r="AK54" s="27">
        <v>-0.185</v>
      </c>
      <c r="AL54" s="27">
        <v>0.23623846153846162</v>
      </c>
      <c r="AM54" s="27">
        <v>1.3071428571428569E-2</v>
      </c>
      <c r="AN54" s="25">
        <v>0.70988374713622504</v>
      </c>
      <c r="AO54" s="27">
        <v>0.23124</v>
      </c>
      <c r="AP54" s="25">
        <v>0</v>
      </c>
      <c r="AQ54" s="27">
        <v>-0.23</v>
      </c>
    </row>
    <row r="55" spans="1:43" ht="13.2">
      <c r="A55" s="25" t="s">
        <v>95</v>
      </c>
      <c r="B55" s="25">
        <v>126</v>
      </c>
      <c r="C55" s="25">
        <v>2814.5509999999999</v>
      </c>
      <c r="D55" s="25">
        <v>0.92456140350877203</v>
      </c>
      <c r="E55" s="25">
        <v>27.724085061507623</v>
      </c>
      <c r="F55" s="25">
        <v>17.616699484192921</v>
      </c>
      <c r="G55" s="25">
        <v>23.124396096294831</v>
      </c>
      <c r="H55" s="25">
        <v>5.9306691032658199E-3</v>
      </c>
      <c r="I55" s="25">
        <v>0.22697849206349199</v>
      </c>
      <c r="J55" s="25">
        <v>7.44475E-2</v>
      </c>
      <c r="K55" s="25">
        <v>0.48299696969696998</v>
      </c>
      <c r="L55" s="25">
        <v>521618.11720000027</v>
      </c>
      <c r="M55" s="25">
        <v>123820.5</v>
      </c>
      <c r="N55" s="25">
        <v>645438.61720000033</v>
      </c>
      <c r="O55" s="25">
        <v>622463.71720000019</v>
      </c>
      <c r="P55" s="25">
        <v>237358</v>
      </c>
      <c r="Q55" s="25">
        <v>68448.5</v>
      </c>
      <c r="R55" s="25">
        <v>-2161.5073452592869</v>
      </c>
      <c r="S55" s="25">
        <v>-407.80734525928756</v>
      </c>
      <c r="T55" s="25">
        <v>405993.2</v>
      </c>
      <c r="U55" s="25">
        <v>65124.3</v>
      </c>
      <c r="V55" s="25">
        <v>56370.526819999999</v>
      </c>
      <c r="W55" s="25">
        <v>69128.526819999999</v>
      </c>
      <c r="X55" s="25">
        <v>39058.573621000003</v>
      </c>
      <c r="Y55" s="25">
        <v>12758</v>
      </c>
      <c r="Z55" s="25">
        <v>16206.6</v>
      </c>
      <c r="AA55" s="25">
        <v>25377.599999999999</v>
      </c>
      <c r="AB55" s="25">
        <v>14326.1</v>
      </c>
      <c r="AC55" s="25">
        <v>22974.9</v>
      </c>
      <c r="AD55" s="25">
        <v>80406.600000000006</v>
      </c>
      <c r="AE55" s="25">
        <v>59644.6</v>
      </c>
      <c r="AF55" s="25">
        <v>70011.3</v>
      </c>
      <c r="AG55" s="25">
        <v>403453.6</v>
      </c>
      <c r="AH55" s="25">
        <v>42137.1</v>
      </c>
      <c r="AI55" s="25">
        <v>136767.9</v>
      </c>
      <c r="AJ55" s="27">
        <v>0.13520173913043479</v>
      </c>
      <c r="AK55" s="27">
        <v>0.12183823529411759</v>
      </c>
      <c r="AL55" s="27">
        <v>0.218576530612245</v>
      </c>
      <c r="AM55" s="27">
        <v>1.1901052631578953E-2</v>
      </c>
      <c r="AN55" s="25">
        <v>0.45584014019893698</v>
      </c>
      <c r="AO55" s="27">
        <v>0.45673009708737872</v>
      </c>
      <c r="AP55" s="25">
        <v>0.17532307692307686</v>
      </c>
      <c r="AQ55" s="27">
        <v>3.9634146341463408E-2</v>
      </c>
    </row>
    <row r="56" spans="1:43" ht="13.2">
      <c r="A56" s="25" t="s">
        <v>96</v>
      </c>
      <c r="B56" s="25">
        <v>18</v>
      </c>
      <c r="C56" s="25">
        <v>49.606000000000002</v>
      </c>
      <c r="D56" s="25">
        <v>1.03125</v>
      </c>
      <c r="E56" s="25">
        <v>50.715468827183798</v>
      </c>
      <c r="F56" s="25">
        <v>19.052728992463877</v>
      </c>
      <c r="G56" s="25">
        <v>36.389727539079502</v>
      </c>
      <c r="H56" s="25">
        <v>9.5875441433806805E-3</v>
      </c>
      <c r="I56" s="25">
        <v>0.16877555555555601</v>
      </c>
      <c r="J56" s="25">
        <v>0.106225</v>
      </c>
      <c r="K56" s="25">
        <v>0.496933333333333</v>
      </c>
      <c r="L56" s="25">
        <v>11019.8</v>
      </c>
      <c r="M56" s="25">
        <v>1569.6</v>
      </c>
      <c r="N56" s="25">
        <v>12589.4</v>
      </c>
      <c r="O56" s="25">
        <v>10990.4</v>
      </c>
      <c r="P56" s="25">
        <v>4798.3999999999996</v>
      </c>
      <c r="Q56" s="25">
        <v>1160.4000000000001</v>
      </c>
      <c r="R56" s="25">
        <v>8.9238927239186374</v>
      </c>
      <c r="S56" s="25">
        <v>-3.8761072760813575</v>
      </c>
      <c r="T56" s="25">
        <v>22289.7</v>
      </c>
      <c r="U56" s="25">
        <v>2272</v>
      </c>
      <c r="V56" s="25">
        <v>959.27517</v>
      </c>
      <c r="W56" s="25">
        <v>1194.37517</v>
      </c>
      <c r="X56" s="25">
        <v>549.62972100000002</v>
      </c>
      <c r="Y56" s="25">
        <v>235.1</v>
      </c>
      <c r="Z56" s="25">
        <v>225.2</v>
      </c>
      <c r="AA56" s="25">
        <v>305</v>
      </c>
      <c r="AB56" s="25">
        <v>121.1</v>
      </c>
      <c r="AC56" s="25">
        <v>1599</v>
      </c>
      <c r="AD56" s="25">
        <v>1239.7</v>
      </c>
      <c r="AE56" s="25">
        <v>2039.2</v>
      </c>
      <c r="AF56" s="25">
        <v>1992.9</v>
      </c>
      <c r="AG56" s="25">
        <v>9445.1</v>
      </c>
      <c r="AH56" s="25">
        <v>890.6</v>
      </c>
      <c r="AI56" s="25">
        <v>4841.1000000000004</v>
      </c>
      <c r="AJ56" s="27">
        <v>-4.7742857142857122E-2</v>
      </c>
      <c r="AK56" s="27">
        <v>0.10285714285714292</v>
      </c>
      <c r="AL56" s="27">
        <v>-4.2857142857142799E-3</v>
      </c>
      <c r="AM56" s="27">
        <v>1.9176923076923078E-2</v>
      </c>
      <c r="AN56" s="25">
        <v>0.47836114609873398</v>
      </c>
      <c r="AO56" s="27">
        <v>0.43471333333333328</v>
      </c>
      <c r="AP56" s="25">
        <v>0.126</v>
      </c>
      <c r="AQ56" s="27">
        <v>0.24600000000000002</v>
      </c>
    </row>
    <row r="57" spans="1:43" ht="13.2">
      <c r="A57" s="25" t="s">
        <v>97</v>
      </c>
      <c r="B57" s="25">
        <v>52</v>
      </c>
      <c r="C57" s="25">
        <v>1135.076</v>
      </c>
      <c r="D57" s="25">
        <v>0.87424242424242404</v>
      </c>
      <c r="E57" s="25">
        <v>29.889275313137386</v>
      </c>
      <c r="F57" s="25">
        <v>23.681491859189659</v>
      </c>
      <c r="G57" s="25">
        <v>18.597545422153228</v>
      </c>
      <c r="H57" s="25">
        <v>1.85947514898788E-2</v>
      </c>
      <c r="I57" s="25">
        <v>5.4945000000000001E-2</v>
      </c>
      <c r="J57" s="25">
        <v>6.0600000000000001E-2</v>
      </c>
      <c r="K57" s="25">
        <v>0.43912954545454502</v>
      </c>
      <c r="L57" s="25">
        <v>95391.6</v>
      </c>
      <c r="M57" s="25">
        <v>48364.7</v>
      </c>
      <c r="N57" s="25">
        <v>143756.29999999999</v>
      </c>
      <c r="O57" s="25">
        <v>138039.1</v>
      </c>
      <c r="P57" s="25">
        <v>81704.899999999994</v>
      </c>
      <c r="Q57" s="25">
        <v>2032.5</v>
      </c>
      <c r="R57" s="25">
        <v>-170.02305097487186</v>
      </c>
      <c r="S57" s="25">
        <v>4420.7769490251276</v>
      </c>
      <c r="T57" s="25">
        <v>39994.699999999997</v>
      </c>
      <c r="U57" s="25">
        <v>2630.8</v>
      </c>
      <c r="V57" s="25">
        <v>11436.858099999999</v>
      </c>
      <c r="W57" s="25">
        <v>15047.158100000001</v>
      </c>
      <c r="X57" s="25">
        <v>10891.102809</v>
      </c>
      <c r="Y57" s="25">
        <v>3610.3</v>
      </c>
      <c r="Z57" s="25">
        <v>15040.7</v>
      </c>
      <c r="AA57" s="25">
        <v>6192.5</v>
      </c>
      <c r="AB57" s="25">
        <v>3217.2</v>
      </c>
      <c r="AC57" s="25">
        <v>5717.2</v>
      </c>
      <c r="AD57" s="25">
        <v>3911.2</v>
      </c>
      <c r="AE57" s="25">
        <v>734</v>
      </c>
      <c r="AF57" s="25">
        <v>61675.5</v>
      </c>
      <c r="AG57" s="25">
        <v>101608.2</v>
      </c>
      <c r="AH57" s="25">
        <v>2279.8000000000002</v>
      </c>
      <c r="AI57" s="25">
        <v>39202.199999999997</v>
      </c>
      <c r="AJ57" s="27">
        <v>9.9872499999999989E-2</v>
      </c>
      <c r="AK57" s="27">
        <v>0.1875</v>
      </c>
      <c r="AL57" s="27">
        <v>0.33264285714285724</v>
      </c>
      <c r="AM57" s="27">
        <v>6.8142857142857102E-3</v>
      </c>
      <c r="AN57" s="25">
        <v>0.51829294364331502</v>
      </c>
      <c r="AO57" s="27">
        <v>0.26200000000000001</v>
      </c>
      <c r="AP57" s="25">
        <v>0.12127368421052626</v>
      </c>
      <c r="AQ57" s="27">
        <v>0.13357142857142862</v>
      </c>
    </row>
    <row r="58" spans="1:43" ht="13.2">
      <c r="A58" s="25" t="s">
        <v>98</v>
      </c>
      <c r="B58" s="25">
        <v>178</v>
      </c>
      <c r="C58" s="25">
        <v>385.66600000000011</v>
      </c>
      <c r="D58" s="25">
        <v>0.86766666666666703</v>
      </c>
      <c r="E58" s="25">
        <v>33.86082872322465</v>
      </c>
      <c r="F58" s="25">
        <v>37.787960655283008</v>
      </c>
      <c r="G58" s="25">
        <v>25.575299435013306</v>
      </c>
      <c r="H58" s="25">
        <v>8.5329742774146696E-4</v>
      </c>
      <c r="I58" s="25">
        <v>0.16184685393258399</v>
      </c>
      <c r="J58" s="25">
        <v>9.1534615384615395E-2</v>
      </c>
      <c r="K58" s="25">
        <v>0.40099112903225798</v>
      </c>
      <c r="L58" s="25">
        <v>627983.6</v>
      </c>
      <c r="M58" s="25">
        <v>120427.4</v>
      </c>
      <c r="N58" s="25">
        <v>748411</v>
      </c>
      <c r="O58" s="25">
        <v>682646.8</v>
      </c>
      <c r="P58" s="25">
        <v>256998.7</v>
      </c>
      <c r="Q58" s="25">
        <v>-20923.900000000001</v>
      </c>
      <c r="R58" s="25">
        <v>634.55051968767907</v>
      </c>
      <c r="S58" s="25">
        <v>3683.5505196876802</v>
      </c>
      <c r="T58" s="25">
        <v>609867</v>
      </c>
      <c r="U58" s="25">
        <v>85944.79999999993</v>
      </c>
      <c r="V58" s="25">
        <v>76036.934330000004</v>
      </c>
      <c r="W58" s="25">
        <v>86159.834329999925</v>
      </c>
      <c r="X58" s="25">
        <v>47505.564222000001</v>
      </c>
      <c r="Y58" s="25">
        <v>10122.9</v>
      </c>
      <c r="Z58" s="25">
        <v>16174.7</v>
      </c>
      <c r="AA58" s="25">
        <v>29158.799999999999</v>
      </c>
      <c r="AB58" s="25">
        <v>16489.7</v>
      </c>
      <c r="AC58" s="25">
        <v>65764.2</v>
      </c>
      <c r="AD58" s="25">
        <v>45141.3</v>
      </c>
      <c r="AE58" s="25">
        <v>4038.9</v>
      </c>
      <c r="AF58" s="25">
        <v>59760.1</v>
      </c>
      <c r="AG58" s="25">
        <v>617104.80000000005</v>
      </c>
      <c r="AH58" s="25">
        <v>69388.399999999994</v>
      </c>
      <c r="AI58" s="25">
        <v>203614.8</v>
      </c>
      <c r="AJ58" s="27">
        <v>0.12683287671232868</v>
      </c>
      <c r="AK58" s="27">
        <v>0.23216981132075476</v>
      </c>
      <c r="AL58" s="27">
        <v>0.16212959999999998</v>
      </c>
      <c r="AM58" s="27">
        <v>1.0972566371681418E-2</v>
      </c>
      <c r="AN58" s="25">
        <v>0.34956883457668297</v>
      </c>
      <c r="AO58" s="27">
        <v>0.65304485294117653</v>
      </c>
      <c r="AP58" s="25">
        <v>0.18216610169491523</v>
      </c>
      <c r="AQ58" s="27">
        <v>4.357142857142856E-2</v>
      </c>
    </row>
    <row r="59" spans="1:43" ht="13.2">
      <c r="A59" s="25" t="s">
        <v>99</v>
      </c>
      <c r="B59" s="25">
        <v>274</v>
      </c>
      <c r="C59" s="25">
        <v>9879.2160000000003</v>
      </c>
      <c r="D59" s="25">
        <v>0.91688311688311697</v>
      </c>
      <c r="E59" s="25">
        <v>88.883196164980106</v>
      </c>
      <c r="F59" s="25">
        <v>40.142488226152011</v>
      </c>
      <c r="G59" s="25">
        <v>46.146349332917715</v>
      </c>
      <c r="H59" s="25">
        <v>1.21996038038739E-3</v>
      </c>
      <c r="I59" s="25">
        <v>0.114726459854015</v>
      </c>
      <c r="J59" s="25">
        <v>7.6090566037735799E-2</v>
      </c>
      <c r="K59" s="25">
        <v>0.42936600985221701</v>
      </c>
      <c r="L59" s="25">
        <v>1502409.0390000001</v>
      </c>
      <c r="M59" s="25">
        <v>120765.8</v>
      </c>
      <c r="N59" s="25">
        <v>1623174.8389999999</v>
      </c>
      <c r="O59" s="25">
        <v>1555002.5390000001</v>
      </c>
      <c r="P59" s="25">
        <v>379844.5</v>
      </c>
      <c r="Q59" s="25">
        <v>58012.9</v>
      </c>
      <c r="R59" s="25">
        <v>-2196.5991335339249</v>
      </c>
      <c r="S59" s="25">
        <v>-2276.6991335339258</v>
      </c>
      <c r="T59" s="25">
        <v>849510.8</v>
      </c>
      <c r="U59" s="25">
        <v>164269.79999999999</v>
      </c>
      <c r="V59" s="25">
        <v>102826.38831999991</v>
      </c>
      <c r="W59" s="25">
        <v>123688.58832000011</v>
      </c>
      <c r="X59" s="25">
        <v>76259.225647139858</v>
      </c>
      <c r="Y59" s="25">
        <v>20862.2</v>
      </c>
      <c r="Z59" s="25">
        <v>20821</v>
      </c>
      <c r="AA59" s="25">
        <v>60670.400000000001</v>
      </c>
      <c r="AB59" s="25">
        <v>32845.699999999997</v>
      </c>
      <c r="AC59" s="25">
        <v>68172.3</v>
      </c>
      <c r="AD59" s="25">
        <v>94788.799999999945</v>
      </c>
      <c r="AE59" s="25">
        <v>85960</v>
      </c>
      <c r="AF59" s="25">
        <v>94758.8</v>
      </c>
      <c r="AG59" s="25">
        <v>667490.59999999928</v>
      </c>
      <c r="AH59" s="25">
        <v>84014</v>
      </c>
      <c r="AI59" s="25">
        <v>328522.09999999998</v>
      </c>
      <c r="AJ59" s="27">
        <v>0.10698918918918929</v>
      </c>
      <c r="AK59" s="27">
        <v>0.15753968253968251</v>
      </c>
      <c r="AL59" s="27">
        <v>0.12402967032967042</v>
      </c>
      <c r="AM59" s="27">
        <v>1.4332317073170725E-2</v>
      </c>
      <c r="AN59" s="25">
        <v>0.36349443438387002</v>
      </c>
      <c r="AO59" s="27">
        <v>0.71337960199005002</v>
      </c>
      <c r="AP59" s="25">
        <v>0.19421075268817201</v>
      </c>
      <c r="AQ59" s="27">
        <v>0.16388888888888889</v>
      </c>
    </row>
    <row r="60" spans="1:43" ht="13.2">
      <c r="A60" s="25" t="s">
        <v>100</v>
      </c>
      <c r="B60" s="25">
        <v>37</v>
      </c>
      <c r="C60" s="25">
        <v>794.75199999999973</v>
      </c>
      <c r="D60" s="25">
        <v>0.97333333333333305</v>
      </c>
      <c r="E60" s="25">
        <v>16.653925539080873</v>
      </c>
      <c r="F60" s="25">
        <v>28.123375654534311</v>
      </c>
      <c r="G60" s="25">
        <v>16.009188536090882</v>
      </c>
      <c r="H60" s="25">
        <v>4.9491103578651703E-3</v>
      </c>
      <c r="I60" s="25">
        <v>0.18269648648648601</v>
      </c>
      <c r="J60" s="25">
        <v>5.2655555555555497E-2</v>
      </c>
      <c r="K60" s="25">
        <v>0.47115555555555599</v>
      </c>
      <c r="L60" s="25">
        <v>110314.7</v>
      </c>
      <c r="M60" s="25">
        <v>11212.6</v>
      </c>
      <c r="N60" s="25">
        <v>121527.3</v>
      </c>
      <c r="O60" s="25">
        <v>116714.3</v>
      </c>
      <c r="P60" s="25">
        <v>40963.4</v>
      </c>
      <c r="Q60" s="25">
        <v>10963.8</v>
      </c>
      <c r="R60" s="25">
        <v>-289.46437692118241</v>
      </c>
      <c r="S60" s="25">
        <v>348.33562307881749</v>
      </c>
      <c r="T60" s="25">
        <v>84729.2</v>
      </c>
      <c r="U60" s="25">
        <v>10193.9</v>
      </c>
      <c r="V60" s="25">
        <v>10709.75942</v>
      </c>
      <c r="W60" s="25">
        <v>12757.459419999999</v>
      </c>
      <c r="X60" s="25">
        <v>8816.8153259999999</v>
      </c>
      <c r="Y60" s="25">
        <v>2047.7</v>
      </c>
      <c r="Z60" s="25">
        <v>3403.1</v>
      </c>
      <c r="AA60" s="25">
        <v>7731.1</v>
      </c>
      <c r="AB60" s="25">
        <v>2882</v>
      </c>
      <c r="AC60" s="25">
        <v>4813</v>
      </c>
      <c r="AD60" s="25">
        <v>12309.4</v>
      </c>
      <c r="AE60" s="25">
        <v>9752.2000000000007</v>
      </c>
      <c r="AF60" s="25">
        <v>14909.2</v>
      </c>
      <c r="AG60" s="25">
        <v>67818.7</v>
      </c>
      <c r="AH60" s="25">
        <v>6868.6</v>
      </c>
      <c r="AI60" s="25">
        <v>34566.800000000003</v>
      </c>
      <c r="AJ60" s="27">
        <v>0.26448571428571421</v>
      </c>
      <c r="AK60" s="27">
        <v>7.8571428571428556E-2</v>
      </c>
      <c r="AL60" s="27">
        <v>0.205704</v>
      </c>
      <c r="AM60" s="27">
        <v>1.1908695652173911E-2</v>
      </c>
      <c r="AN60" s="25">
        <v>0.42674961622830399</v>
      </c>
      <c r="AO60" s="27">
        <v>0.5339115384615386</v>
      </c>
      <c r="AP60" s="25">
        <v>0.16602727272727261</v>
      </c>
      <c r="AQ60" s="27">
        <v>3.95E-2</v>
      </c>
    </row>
    <row r="61" spans="1:43" ht="13.2">
      <c r="A61" s="25" t="s">
        <v>101</v>
      </c>
      <c r="B61" s="25">
        <v>78</v>
      </c>
      <c r="C61" s="25">
        <v>8732.6820000000007</v>
      </c>
      <c r="D61" s="25">
        <v>1.053636363636363</v>
      </c>
      <c r="E61" s="25">
        <v>19.772474834183281</v>
      </c>
      <c r="F61" s="25">
        <v>19.067962058226772</v>
      </c>
      <c r="G61" s="25">
        <v>14.757904809820761</v>
      </c>
      <c r="H61" s="25">
        <v>3.5957832069332101E-3</v>
      </c>
      <c r="I61" s="25">
        <v>7.7341508862616606E-2</v>
      </c>
      <c r="J61" s="25">
        <v>3.005E-2</v>
      </c>
      <c r="K61" s="25">
        <v>0.224851923076923</v>
      </c>
      <c r="L61" s="25">
        <v>1475932.2</v>
      </c>
      <c r="M61" s="25">
        <v>96937.8</v>
      </c>
      <c r="N61" s="25">
        <v>1572870</v>
      </c>
      <c r="O61" s="25">
        <v>1536696.1</v>
      </c>
      <c r="P61" s="25">
        <v>246068.1</v>
      </c>
      <c r="Q61" s="25">
        <v>20375</v>
      </c>
      <c r="R61" s="25">
        <v>-2321.2696623721281</v>
      </c>
      <c r="S61" s="25">
        <v>4869.2303376278714</v>
      </c>
      <c r="T61" s="25">
        <v>300809.09999999998</v>
      </c>
      <c r="U61" s="25">
        <v>8999.6</v>
      </c>
      <c r="V61" s="25">
        <v>97377.993050000005</v>
      </c>
      <c r="W61" s="25">
        <v>111963.99305</v>
      </c>
      <c r="X61" s="25">
        <v>71895.101841588796</v>
      </c>
      <c r="Y61" s="25">
        <v>14586</v>
      </c>
      <c r="Z61" s="25">
        <v>36732.199999999997</v>
      </c>
      <c r="AA61" s="25">
        <v>60445</v>
      </c>
      <c r="AB61" s="25">
        <v>28009.5</v>
      </c>
      <c r="AC61" s="25">
        <v>36173.9</v>
      </c>
      <c r="AD61" s="25">
        <v>32568.3</v>
      </c>
      <c r="AE61" s="25">
        <v>33164.199999999997</v>
      </c>
      <c r="AF61" s="25">
        <v>231871.6</v>
      </c>
      <c r="AG61" s="25">
        <v>424325.9</v>
      </c>
      <c r="AH61" s="25">
        <v>28403.4</v>
      </c>
      <c r="AI61" s="25">
        <v>187657.2</v>
      </c>
      <c r="AJ61" s="27">
        <v>0.8320903225806453</v>
      </c>
      <c r="AK61" s="27">
        <v>0.35249999999999998</v>
      </c>
      <c r="AL61" s="27">
        <v>0.29437142857142856</v>
      </c>
      <c r="AM61" s="27">
        <v>1.0079487179487178E-2</v>
      </c>
      <c r="AN61" s="25">
        <v>0.34644724554427903</v>
      </c>
      <c r="AO61" s="27">
        <v>0.87773333333333325</v>
      </c>
      <c r="AP61" s="25">
        <v>0.15390666666666672</v>
      </c>
      <c r="AQ61" s="27">
        <v>0.10863636363636363</v>
      </c>
    </row>
    <row r="62" spans="1:43" ht="13.2">
      <c r="A62" s="25" t="s">
        <v>102</v>
      </c>
      <c r="B62" s="25">
        <v>31</v>
      </c>
      <c r="C62" s="25">
        <v>2778.232</v>
      </c>
      <c r="D62" s="25">
        <v>0.92758620689655102</v>
      </c>
      <c r="E62" s="25">
        <v>26.030540946376558</v>
      </c>
      <c r="F62" s="25">
        <v>25.261811735122386</v>
      </c>
      <c r="G62" s="25">
        <v>24.321539160723407</v>
      </c>
      <c r="H62" s="25">
        <v>2.1863505170104301E-2</v>
      </c>
      <c r="I62" s="25">
        <v>0.22372258064516101</v>
      </c>
      <c r="J62" s="25">
        <v>6.20071428571429E-2</v>
      </c>
      <c r="K62" s="25">
        <v>0.59899310344827605</v>
      </c>
      <c r="L62" s="25">
        <v>406932.6</v>
      </c>
      <c r="M62" s="25">
        <v>122253.7</v>
      </c>
      <c r="N62" s="25">
        <v>529186.30000000005</v>
      </c>
      <c r="O62" s="25">
        <v>520105</v>
      </c>
      <c r="P62" s="25">
        <v>252699</v>
      </c>
      <c r="Q62" s="25">
        <v>3544.4</v>
      </c>
      <c r="R62" s="25">
        <v>-91.370827279608704</v>
      </c>
      <c r="S62" s="25">
        <v>18394.529172720391</v>
      </c>
      <c r="T62" s="25">
        <v>165083</v>
      </c>
      <c r="U62" s="25">
        <v>12709.2</v>
      </c>
      <c r="V62" s="25">
        <v>59677.364650000003</v>
      </c>
      <c r="W62" s="25">
        <v>80112.064649999986</v>
      </c>
      <c r="X62" s="25">
        <v>41446.012978000013</v>
      </c>
      <c r="Y62" s="25">
        <v>20434.7</v>
      </c>
      <c r="Z62" s="25">
        <v>57406.7</v>
      </c>
      <c r="AA62" s="25">
        <v>22438.400000000001</v>
      </c>
      <c r="AB62" s="25">
        <v>11055.7</v>
      </c>
      <c r="AC62" s="25">
        <v>9081.2999999999993</v>
      </c>
      <c r="AD62" s="25">
        <v>22012.7</v>
      </c>
      <c r="AE62" s="25">
        <v>5698.3</v>
      </c>
      <c r="AF62" s="25">
        <v>273197.3</v>
      </c>
      <c r="AG62" s="25">
        <v>376724.7</v>
      </c>
      <c r="AH62" s="25">
        <v>22370.7</v>
      </c>
      <c r="AI62" s="25">
        <v>145689.5</v>
      </c>
      <c r="AJ62" s="27">
        <v>0.30628333333333319</v>
      </c>
      <c r="AK62" s="27">
        <v>0.16086956521739126</v>
      </c>
      <c r="AL62" s="27">
        <v>0.31898214285714288</v>
      </c>
      <c r="AM62" s="27">
        <v>8.9192307692307696E-3</v>
      </c>
      <c r="AN62" s="25">
        <v>0.55216114522587401</v>
      </c>
      <c r="AO62" s="27">
        <v>0.2943035714285715</v>
      </c>
      <c r="AP62" s="25">
        <v>0.10194444444444441</v>
      </c>
      <c r="AQ62" s="27">
        <v>0.12205882352941182</v>
      </c>
    </row>
    <row r="63" spans="1:43" ht="13.2">
      <c r="A63" s="25" t="s">
        <v>103</v>
      </c>
      <c r="B63" s="25">
        <v>26</v>
      </c>
      <c r="C63" s="25">
        <v>1087.76</v>
      </c>
      <c r="D63" s="25">
        <v>0.77600000000000002</v>
      </c>
      <c r="E63" s="25">
        <v>20.78620548668102</v>
      </c>
      <c r="F63" s="25">
        <v>18.402071815082639</v>
      </c>
      <c r="G63" s="25">
        <v>16.961531253371074</v>
      </c>
      <c r="H63" s="25">
        <v>2.78253185632612E-2</v>
      </c>
      <c r="I63" s="25">
        <v>0.25916076923076897</v>
      </c>
      <c r="J63" s="25">
        <v>2.6915384615384601E-2</v>
      </c>
      <c r="K63" s="25">
        <v>0.414178260869565</v>
      </c>
      <c r="L63" s="25">
        <v>64329.7</v>
      </c>
      <c r="M63" s="25">
        <v>42668.1</v>
      </c>
      <c r="N63" s="25">
        <v>106997.8</v>
      </c>
      <c r="O63" s="25">
        <v>104709.1</v>
      </c>
      <c r="P63" s="25">
        <v>68618.100000000006</v>
      </c>
      <c r="Q63" s="25">
        <v>5202.6000000000004</v>
      </c>
      <c r="R63" s="25">
        <v>74.025946365063319</v>
      </c>
      <c r="S63" s="25">
        <v>1203.9259463650631</v>
      </c>
      <c r="T63" s="25">
        <v>83414.7</v>
      </c>
      <c r="U63" s="25">
        <v>11086.7</v>
      </c>
      <c r="V63" s="25">
        <v>11950.76944</v>
      </c>
      <c r="W63" s="25">
        <v>15478.86944</v>
      </c>
      <c r="X63" s="25">
        <v>8072.9953370000003</v>
      </c>
      <c r="Y63" s="25">
        <v>3528.1</v>
      </c>
      <c r="Z63" s="25">
        <v>5990.9</v>
      </c>
      <c r="AA63" s="25">
        <v>3591</v>
      </c>
      <c r="AB63" s="25">
        <v>1801.9</v>
      </c>
      <c r="AC63" s="25">
        <v>2288.6999999999998</v>
      </c>
      <c r="AD63" s="25">
        <v>8650.4</v>
      </c>
      <c r="AE63" s="25">
        <v>7301.5</v>
      </c>
      <c r="AF63" s="25">
        <v>65789.399999999994</v>
      </c>
      <c r="AG63" s="25">
        <v>107895.3</v>
      </c>
      <c r="AH63" s="25">
        <v>6699.6</v>
      </c>
      <c r="AI63" s="25">
        <v>29407.599999999999</v>
      </c>
      <c r="AJ63" s="27">
        <v>1.7761538461538464E-2</v>
      </c>
      <c r="AK63" s="27">
        <v>5.0499999999999996E-2</v>
      </c>
      <c r="AL63" s="27">
        <v>0.15223200000000001</v>
      </c>
      <c r="AM63" s="27">
        <v>5.3521739130434794E-3</v>
      </c>
      <c r="AN63" s="25">
        <v>0.58244687506741599</v>
      </c>
      <c r="AO63" s="27">
        <v>0.31445200000000001</v>
      </c>
      <c r="AP63" s="25">
        <v>5.4642857142857132E-2</v>
      </c>
      <c r="AQ63" s="27">
        <v>1.90625E-2</v>
      </c>
    </row>
    <row r="64" spans="1:43" ht="13.2">
      <c r="A64" s="25" t="s">
        <v>104</v>
      </c>
      <c r="B64" s="25">
        <v>18</v>
      </c>
      <c r="C64" s="25">
        <v>874.61200000000008</v>
      </c>
      <c r="D64" s="25">
        <v>0.81666666666666698</v>
      </c>
      <c r="E64" s="25">
        <v>11.949660249263461</v>
      </c>
      <c r="F64" s="25">
        <v>16.512841043488351</v>
      </c>
      <c r="G64" s="25">
        <v>13.31836993501981</v>
      </c>
      <c r="H64" s="25">
        <v>2.6602737729998899E-2</v>
      </c>
      <c r="I64" s="25">
        <v>0.22272500000000001</v>
      </c>
      <c r="J64" s="25">
        <v>0.16395000000000001</v>
      </c>
      <c r="K64" s="25">
        <v>0.55857333333333303</v>
      </c>
      <c r="L64" s="25">
        <v>59750.2</v>
      </c>
      <c r="M64" s="25">
        <v>29891.8</v>
      </c>
      <c r="N64" s="25">
        <v>89642</v>
      </c>
      <c r="O64" s="25">
        <v>87795.8</v>
      </c>
      <c r="P64" s="25">
        <v>69714.7</v>
      </c>
      <c r="Q64" s="25">
        <v>2066.6999999999998</v>
      </c>
      <c r="R64" s="25">
        <v>-418.54947030525767</v>
      </c>
      <c r="S64" s="25">
        <v>-388.14947030525769</v>
      </c>
      <c r="T64" s="25">
        <v>47032.6</v>
      </c>
      <c r="U64" s="25">
        <v>11927.4</v>
      </c>
      <c r="V64" s="25">
        <v>11051.01591</v>
      </c>
      <c r="W64" s="25">
        <v>13363.61591</v>
      </c>
      <c r="X64" s="25">
        <v>7284.5570699999998</v>
      </c>
      <c r="Y64" s="25">
        <v>2312.6</v>
      </c>
      <c r="Z64" s="25">
        <v>2369.6</v>
      </c>
      <c r="AA64" s="25">
        <v>4794.1000000000004</v>
      </c>
      <c r="AB64" s="25">
        <v>2020.8</v>
      </c>
      <c r="AC64" s="25">
        <v>1846.2</v>
      </c>
      <c r="AD64" s="25">
        <v>6451.1</v>
      </c>
      <c r="AE64" s="25">
        <v>608.6</v>
      </c>
      <c r="AF64" s="25">
        <v>16712.8</v>
      </c>
      <c r="AG64" s="25">
        <v>96052.4</v>
      </c>
      <c r="AH64" s="25">
        <v>2931.9</v>
      </c>
      <c r="AI64" s="25">
        <v>41693.300000000003</v>
      </c>
      <c r="AJ64" s="27">
        <v>-3.4138461538461534E-2</v>
      </c>
      <c r="AK64" s="27">
        <v>9.8333333333333342E-2</v>
      </c>
      <c r="AL64" s="27">
        <v>-0.10426666666666672</v>
      </c>
      <c r="AM64" s="27">
        <v>1.2135714285714279E-2</v>
      </c>
      <c r="AN64" s="25">
        <v>0.56501046290648405</v>
      </c>
      <c r="AO64" s="27">
        <v>0.27942</v>
      </c>
      <c r="AP64" s="25">
        <v>0.01</v>
      </c>
      <c r="AQ64" s="27">
        <v>3.4375000000000003E-2</v>
      </c>
    </row>
    <row r="65" spans="1:43" ht="13.2">
      <c r="A65" s="25" t="s">
        <v>105</v>
      </c>
      <c r="B65" s="25">
        <v>25</v>
      </c>
      <c r="C65" s="25">
        <v>712.53499999999997</v>
      </c>
      <c r="D65" s="25">
        <v>0.9</v>
      </c>
      <c r="E65" s="25">
        <v>25.775405533559518</v>
      </c>
      <c r="F65" s="25">
        <v>13.023116451983942</v>
      </c>
      <c r="G65" s="25">
        <v>42.648627071919996</v>
      </c>
      <c r="H65" s="25">
        <v>1.30389226579706E-2</v>
      </c>
      <c r="I65" s="25">
        <v>0.277084</v>
      </c>
      <c r="J65" s="25">
        <v>2.3618181818181799E-2</v>
      </c>
      <c r="K65" s="25">
        <v>0.51905789473684205</v>
      </c>
      <c r="L65" s="25">
        <v>115181.8</v>
      </c>
      <c r="M65" s="25">
        <v>37086.1</v>
      </c>
      <c r="N65" s="25">
        <v>152267.9</v>
      </c>
      <c r="O65" s="25">
        <v>141259.4</v>
      </c>
      <c r="P65" s="25">
        <v>71987.399999999994</v>
      </c>
      <c r="Q65" s="25">
        <v>15820.7</v>
      </c>
      <c r="R65" s="25">
        <v>-346.40181532057818</v>
      </c>
      <c r="S65" s="25">
        <v>-568.90181532057818</v>
      </c>
      <c r="T65" s="25">
        <v>180128.9</v>
      </c>
      <c r="U65" s="25">
        <v>43351.7</v>
      </c>
      <c r="V65" s="25">
        <v>18417.041440000001</v>
      </c>
      <c r="W65" s="25">
        <v>23051.241440000002</v>
      </c>
      <c r="X65" s="25">
        <v>12717.904114000001</v>
      </c>
      <c r="Y65" s="25">
        <v>4634.2</v>
      </c>
      <c r="Z65" s="25">
        <v>4189.6000000000004</v>
      </c>
      <c r="AA65" s="25">
        <v>8206.7999999999993</v>
      </c>
      <c r="AB65" s="25">
        <v>4303.7</v>
      </c>
      <c r="AC65" s="25">
        <v>11008.5</v>
      </c>
      <c r="AD65" s="25">
        <v>26982.400000000001</v>
      </c>
      <c r="AE65" s="25">
        <v>17354.8</v>
      </c>
      <c r="AF65" s="25">
        <v>19035.8</v>
      </c>
      <c r="AG65" s="25">
        <v>134579.79999999999</v>
      </c>
      <c r="AH65" s="25">
        <v>17967.5</v>
      </c>
      <c r="AI65" s="25">
        <v>46695.6</v>
      </c>
      <c r="AJ65" s="27">
        <v>3.3007999999999989E-2</v>
      </c>
      <c r="AK65" s="27">
        <v>1.3846153846153852E-2</v>
      </c>
      <c r="AL65" s="27">
        <v>0.10414</v>
      </c>
      <c r="AM65" s="27">
        <v>1.1310000000000001E-2</v>
      </c>
      <c r="AN65" s="25">
        <v>0.48283421274244398</v>
      </c>
      <c r="AO65" s="27">
        <v>0.38540909090909103</v>
      </c>
      <c r="AP65" s="25">
        <v>0.14416666666666672</v>
      </c>
      <c r="AQ65" s="27">
        <v>2.2499999999999999E-2</v>
      </c>
    </row>
    <row r="66" spans="1:43" ht="13.2">
      <c r="A66" s="25" t="s">
        <v>106</v>
      </c>
      <c r="B66" s="25">
        <v>15</v>
      </c>
      <c r="C66" s="25">
        <v>2962.4160000000002</v>
      </c>
      <c r="D66" s="25">
        <v>0.71666666666666701</v>
      </c>
      <c r="E66" s="25">
        <v>20.39936840290493</v>
      </c>
      <c r="F66" s="25">
        <v>80.24154881120549</v>
      </c>
      <c r="G66" s="25">
        <v>18.325953624877073</v>
      </c>
      <c r="H66" s="25">
        <v>3.8614240034034103E-2</v>
      </c>
      <c r="I66" s="25">
        <v>5.2041999999999998E-2</v>
      </c>
      <c r="J66" s="25">
        <v>8.3333333333333297E-3</v>
      </c>
      <c r="K66" s="25">
        <v>0.38432142857142898</v>
      </c>
      <c r="L66" s="25">
        <v>178532.3</v>
      </c>
      <c r="M66" s="25">
        <v>70430.2</v>
      </c>
      <c r="N66" s="25">
        <v>248962.5</v>
      </c>
      <c r="O66" s="25">
        <v>242746.5</v>
      </c>
      <c r="P66" s="25">
        <v>112168</v>
      </c>
      <c r="Q66" s="25">
        <v>3129.7</v>
      </c>
      <c r="R66" s="25">
        <v>113.350304282697</v>
      </c>
      <c r="S66" s="25">
        <v>4307.8503042826969</v>
      </c>
      <c r="T66" s="25">
        <v>148039.79999999999</v>
      </c>
      <c r="U66" s="25">
        <v>5106.3999999999996</v>
      </c>
      <c r="V66" s="25">
        <v>16176.237660000001</v>
      </c>
      <c r="W66" s="25">
        <v>21037.737659999999</v>
      </c>
      <c r="X66" s="25">
        <v>13799.946999</v>
      </c>
      <c r="Y66" s="25">
        <v>4861.5</v>
      </c>
      <c r="Z66" s="25">
        <v>13250.6</v>
      </c>
      <c r="AA66" s="25">
        <v>6868.4</v>
      </c>
      <c r="AB66" s="25">
        <v>3149.1</v>
      </c>
      <c r="AC66" s="25">
        <v>6216</v>
      </c>
      <c r="AD66" s="25">
        <v>14244.7</v>
      </c>
      <c r="AE66" s="25">
        <v>5679.6</v>
      </c>
      <c r="AF66" s="25">
        <v>100220.4</v>
      </c>
      <c r="AG66" s="25">
        <v>163792.6</v>
      </c>
      <c r="AH66" s="25">
        <v>13313.8</v>
      </c>
      <c r="AI66" s="25">
        <v>48347</v>
      </c>
      <c r="AJ66" s="27">
        <v>-6.8074999999999997E-2</v>
      </c>
      <c r="AK66" s="27">
        <v>2.1428571428571399E-3</v>
      </c>
      <c r="AL66" s="27">
        <v>0.23672000000000001</v>
      </c>
      <c r="AM66" s="27">
        <v>3.91111111111111E-3</v>
      </c>
      <c r="AN66" s="25">
        <v>0.63581752580627404</v>
      </c>
      <c r="AO66" s="27">
        <v>0.17264444444444441</v>
      </c>
      <c r="AP66" s="25">
        <v>0.10777777777777779</v>
      </c>
      <c r="AQ66" s="27">
        <v>3.0624999999999999E-2</v>
      </c>
    </row>
    <row r="67" spans="1:43" ht="13.2">
      <c r="A67" s="25" t="s">
        <v>107</v>
      </c>
      <c r="B67" s="25">
        <v>113</v>
      </c>
      <c r="C67" s="25">
        <v>2275.7159999999999</v>
      </c>
      <c r="D67" s="25">
        <v>1.0581395348837215</v>
      </c>
      <c r="E67" s="25">
        <v>34.461419420409847</v>
      </c>
      <c r="F67" s="25">
        <v>22.824175025491016</v>
      </c>
      <c r="G67" s="25">
        <v>23.032419810972616</v>
      </c>
      <c r="H67" s="25">
        <v>4.46153239027142E-3</v>
      </c>
      <c r="I67" s="25">
        <v>0.20109761061946901</v>
      </c>
      <c r="J67" s="25">
        <v>6.1584210526315797E-2</v>
      </c>
      <c r="K67" s="25">
        <v>0.55530299999999999</v>
      </c>
      <c r="L67" s="25">
        <v>982600.4</v>
      </c>
      <c r="M67" s="25">
        <v>110582.1</v>
      </c>
      <c r="N67" s="25">
        <v>1093182.5</v>
      </c>
      <c r="O67" s="25">
        <v>1054824.3999999999</v>
      </c>
      <c r="P67" s="25">
        <v>264320</v>
      </c>
      <c r="Q67" s="25">
        <v>40755.199999999997</v>
      </c>
      <c r="R67" s="25">
        <v>-2969.7086908115848</v>
      </c>
      <c r="S67" s="25">
        <v>10276.291309188409</v>
      </c>
      <c r="T67" s="25">
        <v>322998.8</v>
      </c>
      <c r="U67" s="25">
        <v>22820.3</v>
      </c>
      <c r="V67" s="25">
        <v>83607.480259999997</v>
      </c>
      <c r="W67" s="25">
        <v>101301.48026</v>
      </c>
      <c r="X67" s="25">
        <v>60327.321219999998</v>
      </c>
      <c r="Y67" s="25">
        <v>17694</v>
      </c>
      <c r="Z67" s="25">
        <v>44460.3</v>
      </c>
      <c r="AA67" s="25">
        <v>44144.4</v>
      </c>
      <c r="AB67" s="25">
        <v>27219.9</v>
      </c>
      <c r="AC67" s="25">
        <v>38358.1</v>
      </c>
      <c r="AD67" s="25">
        <v>62911</v>
      </c>
      <c r="AE67" s="25">
        <v>27563.200000000001</v>
      </c>
      <c r="AF67" s="25">
        <v>185190.39999999999</v>
      </c>
      <c r="AG67" s="25">
        <v>414397.1</v>
      </c>
      <c r="AH67" s="25">
        <v>30721.7</v>
      </c>
      <c r="AI67" s="25">
        <v>192822.8</v>
      </c>
      <c r="AJ67" s="27">
        <v>0.38081264367816092</v>
      </c>
      <c r="AK67" s="27">
        <v>0.26613636363636362</v>
      </c>
      <c r="AL67" s="27">
        <v>0.29600724637681158</v>
      </c>
      <c r="AM67" s="27">
        <v>1.0992307692307699E-2</v>
      </c>
      <c r="AN67" s="25">
        <v>0.44288323173016297</v>
      </c>
      <c r="AO67" s="27">
        <v>0.44272857142857136</v>
      </c>
      <c r="AP67" s="25">
        <v>0.18902968749999999</v>
      </c>
      <c r="AQ67" s="27">
        <v>6.3076923076923072E-2</v>
      </c>
    </row>
    <row r="68" spans="1:43" ht="13.2">
      <c r="A68" s="25" t="s">
        <v>108</v>
      </c>
      <c r="B68" s="25">
        <v>35</v>
      </c>
      <c r="C68" s="25">
        <v>762.87</v>
      </c>
      <c r="D68" s="25">
        <v>0.956451612903226</v>
      </c>
      <c r="E68" s="25">
        <v>25.158114425121369</v>
      </c>
      <c r="F68" s="25">
        <v>15.951652064590681</v>
      </c>
      <c r="G68" s="25">
        <v>16.179045007568</v>
      </c>
      <c r="H68" s="25">
        <v>8.2184474685113602E-3</v>
      </c>
      <c r="I68" s="25">
        <v>0.210342857142857</v>
      </c>
      <c r="J68" s="25">
        <v>6.2149999999999997E-2</v>
      </c>
      <c r="K68" s="25">
        <v>0.60319354838709704</v>
      </c>
      <c r="L68" s="25">
        <v>114490.9</v>
      </c>
      <c r="M68" s="25">
        <v>60081.5</v>
      </c>
      <c r="N68" s="25">
        <v>174572.4</v>
      </c>
      <c r="O68" s="25">
        <v>169054.5</v>
      </c>
      <c r="P68" s="25">
        <v>91416.2</v>
      </c>
      <c r="Q68" s="25">
        <v>9389.5</v>
      </c>
      <c r="R68" s="25">
        <v>-162.77390874860177</v>
      </c>
      <c r="S68" s="25">
        <v>-879.87390874860205</v>
      </c>
      <c r="T68" s="25">
        <v>157872.6</v>
      </c>
      <c r="U68" s="25">
        <v>15452.2</v>
      </c>
      <c r="V68" s="25">
        <v>20908.133460000001</v>
      </c>
      <c r="W68" s="25">
        <v>28216.633460000001</v>
      </c>
      <c r="X68" s="25">
        <v>14939.6679</v>
      </c>
      <c r="Y68" s="25">
        <v>7308.5</v>
      </c>
      <c r="Z68" s="25">
        <v>5898.5</v>
      </c>
      <c r="AA68" s="25">
        <v>4680.7</v>
      </c>
      <c r="AB68" s="25">
        <v>2860.7</v>
      </c>
      <c r="AC68" s="25">
        <v>5517.9</v>
      </c>
      <c r="AD68" s="25">
        <v>16770.8</v>
      </c>
      <c r="AE68" s="25">
        <v>17006.3</v>
      </c>
      <c r="AF68" s="25">
        <v>55956.9</v>
      </c>
      <c r="AG68" s="25">
        <v>149597.79999999999</v>
      </c>
      <c r="AH68" s="25">
        <v>16572.7</v>
      </c>
      <c r="AI68" s="25">
        <v>37944.300000000003</v>
      </c>
      <c r="AJ68" s="27">
        <v>4.8823333333333337E-2</v>
      </c>
      <c r="AK68" s="27">
        <v>7.4210526315789477E-2</v>
      </c>
      <c r="AL68" s="27">
        <v>6.8033333333333335E-2</v>
      </c>
      <c r="AM68" s="27">
        <v>1.1235714285714292E-2</v>
      </c>
      <c r="AN68" s="25">
        <v>0.52331468268266701</v>
      </c>
      <c r="AO68" s="27">
        <v>0.43455483870967726</v>
      </c>
      <c r="AP68" s="25">
        <v>0.15294117647058816</v>
      </c>
      <c r="AQ68" s="27">
        <v>7.0454545454545464E-2</v>
      </c>
    </row>
    <row r="69" spans="1:43" ht="13.2">
      <c r="A69" s="25" t="s">
        <v>109</v>
      </c>
      <c r="B69" s="25">
        <v>39</v>
      </c>
      <c r="C69" s="25">
        <v>1835.91</v>
      </c>
      <c r="D69" s="25">
        <v>0.92878787878787905</v>
      </c>
      <c r="E69" s="25">
        <v>29.050243924789978</v>
      </c>
      <c r="F69" s="25">
        <v>20.790438165783947</v>
      </c>
      <c r="G69" s="25">
        <v>15.753331796434789</v>
      </c>
      <c r="H69" s="25">
        <v>1.30296978422702E-2</v>
      </c>
      <c r="I69" s="25">
        <v>0.142745897435897</v>
      </c>
      <c r="J69" s="25">
        <v>3.6290909090909103E-2</v>
      </c>
      <c r="K69" s="25">
        <v>0.518872413793103</v>
      </c>
      <c r="L69" s="25">
        <v>140037.33199999999</v>
      </c>
      <c r="M69" s="25">
        <v>57205.599999999999</v>
      </c>
      <c r="N69" s="25">
        <v>197242.932</v>
      </c>
      <c r="O69" s="25">
        <v>186109.23199999999</v>
      </c>
      <c r="P69" s="25">
        <v>118126.2</v>
      </c>
      <c r="Q69" s="25">
        <v>15543</v>
      </c>
      <c r="R69" s="25">
        <v>235.41021366344438</v>
      </c>
      <c r="S69" s="25">
        <v>-254.18978633655558</v>
      </c>
      <c r="T69" s="25">
        <v>154959.6</v>
      </c>
      <c r="U69" s="25">
        <v>12840.9</v>
      </c>
      <c r="V69" s="25">
        <v>22884.552789999991</v>
      </c>
      <c r="W69" s="25">
        <v>32117.352790000001</v>
      </c>
      <c r="X69" s="25">
        <v>17235.634737</v>
      </c>
      <c r="Y69" s="25">
        <v>9232.7999999999993</v>
      </c>
      <c r="Z69" s="25">
        <v>7968.7</v>
      </c>
      <c r="AA69" s="25">
        <v>7229.7</v>
      </c>
      <c r="AB69" s="25">
        <v>4037.2</v>
      </c>
      <c r="AC69" s="25">
        <v>11133.7</v>
      </c>
      <c r="AD69" s="25">
        <v>14863.7</v>
      </c>
      <c r="AE69" s="25">
        <v>15399.6</v>
      </c>
      <c r="AF69" s="25">
        <v>81338.899999999994</v>
      </c>
      <c r="AG69" s="25">
        <v>187231.4</v>
      </c>
      <c r="AH69" s="25">
        <v>11172</v>
      </c>
      <c r="AI69" s="25">
        <v>72720.800000000003</v>
      </c>
      <c r="AJ69" s="27">
        <v>1.5666666666667E-4</v>
      </c>
      <c r="AK69" s="27">
        <v>0.10277777777777779</v>
      </c>
      <c r="AL69" s="27">
        <v>4.1362068965517251E-2</v>
      </c>
      <c r="AM69" s="27">
        <v>9.1079999999999998E-3</v>
      </c>
      <c r="AN69" s="25">
        <v>0.52328144737782101</v>
      </c>
      <c r="AO69" s="27">
        <v>0.367362962962963</v>
      </c>
      <c r="AP69" s="25">
        <v>9.7727272727272746E-2</v>
      </c>
      <c r="AQ69" s="27">
        <v>2.0312500000000001E-2</v>
      </c>
    </row>
    <row r="70" spans="1:43" ht="13.2">
      <c r="A70" s="25" t="s">
        <v>110</v>
      </c>
      <c r="B70" s="25">
        <v>26</v>
      </c>
      <c r="C70" s="25">
        <v>42465.224999999999</v>
      </c>
      <c r="D70" s="25">
        <v>1.02</v>
      </c>
      <c r="E70" s="25">
        <v>18.238236730597578</v>
      </c>
      <c r="F70" s="25">
        <v>13.71744818206763</v>
      </c>
      <c r="G70" s="25">
        <v>13.972296600192951</v>
      </c>
      <c r="H70" s="25">
        <v>1.2373759710859701E-2</v>
      </c>
      <c r="I70" s="25">
        <v>0.32201423076923102</v>
      </c>
      <c r="J70" s="25">
        <v>4.199E-2</v>
      </c>
      <c r="K70" s="25">
        <v>0.51825600000000005</v>
      </c>
      <c r="L70" s="25">
        <v>4142630.7</v>
      </c>
      <c r="M70" s="25">
        <v>329960.09999999998</v>
      </c>
      <c r="N70" s="25">
        <v>4472590.8</v>
      </c>
      <c r="O70" s="25">
        <v>4301470.5</v>
      </c>
      <c r="P70" s="25">
        <v>1572902</v>
      </c>
      <c r="Q70" s="25">
        <v>77300.800000000003</v>
      </c>
      <c r="R70" s="25">
        <v>-858.90013190256536</v>
      </c>
      <c r="S70" s="25">
        <v>64771.799868097427</v>
      </c>
      <c r="T70" s="25">
        <v>3809559.6</v>
      </c>
      <c r="U70" s="25">
        <v>190526.1</v>
      </c>
      <c r="V70" s="25">
        <v>715622.6</v>
      </c>
      <c r="W70" s="25">
        <v>854843.9</v>
      </c>
      <c r="X70" s="25">
        <v>415615.26330499997</v>
      </c>
      <c r="Y70" s="25">
        <v>139221.29999999999</v>
      </c>
      <c r="Z70" s="25">
        <v>270482.90000000002</v>
      </c>
      <c r="AA70" s="25">
        <v>338806.4</v>
      </c>
      <c r="AB70" s="25">
        <v>167657.29999999999</v>
      </c>
      <c r="AC70" s="25">
        <v>171120.3</v>
      </c>
      <c r="AD70" s="25">
        <v>434377.8</v>
      </c>
      <c r="AE70" s="25">
        <v>204655.3</v>
      </c>
      <c r="AF70" s="25">
        <v>1411969.2</v>
      </c>
      <c r="AG70" s="25">
        <v>2934764.9</v>
      </c>
      <c r="AH70" s="25">
        <v>445577</v>
      </c>
      <c r="AI70" s="25">
        <v>1414176.4</v>
      </c>
      <c r="AJ70" s="27">
        <v>0.124792</v>
      </c>
      <c r="AK70" s="27">
        <v>0.2052380952380953</v>
      </c>
      <c r="AL70" s="27">
        <v>0.33931249999999996</v>
      </c>
      <c r="AM70" s="27">
        <v>9.0399999999999994E-3</v>
      </c>
      <c r="AN70" s="25">
        <v>0.53099159417395103</v>
      </c>
      <c r="AO70" s="27">
        <v>0.35515769230769223</v>
      </c>
      <c r="AP70" s="25">
        <v>7.485E-2</v>
      </c>
      <c r="AQ70" s="27">
        <v>0.10062500000000001</v>
      </c>
    </row>
    <row r="71" spans="1:43" ht="13.2">
      <c r="A71" s="25" t="s">
        <v>111</v>
      </c>
      <c r="B71" s="25">
        <v>186</v>
      </c>
      <c r="C71" s="25">
        <v>1863.7940000000001</v>
      </c>
      <c r="D71" s="25">
        <v>0.89754098360655699</v>
      </c>
      <c r="E71" s="25">
        <v>45.052533864205834</v>
      </c>
      <c r="F71" s="25">
        <v>39.416281071199393</v>
      </c>
      <c r="G71" s="25">
        <v>64.266106212537252</v>
      </c>
      <c r="H71" s="25">
        <v>3.2297440199877498E-3</v>
      </c>
      <c r="I71" s="25">
        <v>0.14953752066304399</v>
      </c>
      <c r="J71" s="25">
        <v>4.1462499999999999E-2</v>
      </c>
      <c r="K71" s="25">
        <v>0.34239562043795602</v>
      </c>
      <c r="L71" s="25">
        <v>678032.00000000058</v>
      </c>
      <c r="M71" s="25">
        <v>129455.2</v>
      </c>
      <c r="N71" s="25">
        <v>807487.2</v>
      </c>
      <c r="O71" s="25">
        <v>797235.7</v>
      </c>
      <c r="P71" s="25">
        <v>367321.4</v>
      </c>
      <c r="Q71" s="25">
        <v>8828.7000000000007</v>
      </c>
      <c r="R71" s="25">
        <v>1567.930921931076</v>
      </c>
      <c r="S71" s="25">
        <v>26900.530921931066</v>
      </c>
      <c r="T71" s="25">
        <v>321175.59999999998</v>
      </c>
      <c r="U71" s="25">
        <v>13822.5</v>
      </c>
      <c r="V71" s="25">
        <v>120336.88447</v>
      </c>
      <c r="W71" s="25">
        <v>150921.48446999985</v>
      </c>
      <c r="X71" s="25">
        <v>83947.101691512216</v>
      </c>
      <c r="Y71" s="25">
        <v>30584.6</v>
      </c>
      <c r="Z71" s="25">
        <v>84726.5</v>
      </c>
      <c r="AA71" s="25">
        <v>45590.5</v>
      </c>
      <c r="AB71" s="25">
        <v>20031.2</v>
      </c>
      <c r="AC71" s="25">
        <v>10251.5</v>
      </c>
      <c r="AD71" s="25">
        <v>35685.4</v>
      </c>
      <c r="AE71" s="25">
        <v>11907.7</v>
      </c>
      <c r="AF71" s="25">
        <v>417198.4</v>
      </c>
      <c r="AG71" s="25">
        <v>533107.30000000005</v>
      </c>
      <c r="AH71" s="25">
        <v>29376.1</v>
      </c>
      <c r="AI71" s="25">
        <v>249184.1</v>
      </c>
      <c r="AJ71" s="27">
        <v>0.20441417322834649</v>
      </c>
      <c r="AK71" s="27">
        <v>0.26877777777777778</v>
      </c>
      <c r="AL71" s="27">
        <v>0.2759411764705883</v>
      </c>
      <c r="AM71" s="27">
        <v>9.9903225806451598E-3</v>
      </c>
      <c r="AN71" s="25">
        <v>0.31745951214812301</v>
      </c>
      <c r="AO71" s="27">
        <v>0.64450348837209293</v>
      </c>
      <c r="AP71" s="25">
        <v>0.1281977777777778</v>
      </c>
      <c r="AQ71" s="27">
        <v>0.16343750000000001</v>
      </c>
    </row>
    <row r="72" spans="1:43" ht="13.2">
      <c r="A72" s="25" t="s">
        <v>112</v>
      </c>
      <c r="B72" s="25">
        <v>19</v>
      </c>
      <c r="C72" s="25">
        <v>613.04899999999998</v>
      </c>
      <c r="D72" s="25">
        <v>0.97499999999999998</v>
      </c>
      <c r="E72" s="25">
        <v>31.295714855271765</v>
      </c>
      <c r="F72" s="25">
        <v>36.239867927045616</v>
      </c>
      <c r="G72" s="25">
        <v>22.802344513108384</v>
      </c>
      <c r="H72" s="25">
        <v>1.7115352596567899E-3</v>
      </c>
      <c r="I72" s="25">
        <v>0.21253157894736799</v>
      </c>
      <c r="J72" s="25">
        <v>5.6300000000000003E-2</v>
      </c>
      <c r="K72" s="25">
        <v>0.50153749999999997</v>
      </c>
      <c r="L72" s="25">
        <v>331820.5</v>
      </c>
      <c r="M72" s="25">
        <v>32495.7</v>
      </c>
      <c r="N72" s="25">
        <v>364316.2</v>
      </c>
      <c r="O72" s="25">
        <v>357377.1</v>
      </c>
      <c r="P72" s="25">
        <v>103010.7</v>
      </c>
      <c r="Q72" s="25">
        <v>24761.1</v>
      </c>
      <c r="R72" s="25">
        <v>-3479.0307148400266</v>
      </c>
      <c r="S72" s="25">
        <v>-1696.5307148400259</v>
      </c>
      <c r="T72" s="25">
        <v>394001</v>
      </c>
      <c r="U72" s="25">
        <v>60217.1</v>
      </c>
      <c r="V72" s="25">
        <v>9542.4565399999938</v>
      </c>
      <c r="W72" s="25">
        <v>14711.956539999999</v>
      </c>
      <c r="X72" s="25">
        <v>6481.2765043737991</v>
      </c>
      <c r="Y72" s="25">
        <v>5169.5</v>
      </c>
      <c r="Z72" s="25">
        <v>8609.1</v>
      </c>
      <c r="AA72" s="25">
        <v>10604.8</v>
      </c>
      <c r="AB72" s="25">
        <v>6275.8</v>
      </c>
      <c r="AC72" s="25">
        <v>6939.1</v>
      </c>
      <c r="AD72" s="25">
        <v>23674.2</v>
      </c>
      <c r="AE72" s="25">
        <v>41367.9</v>
      </c>
      <c r="AF72" s="25">
        <v>35147.9</v>
      </c>
      <c r="AG72" s="25">
        <v>166676.1</v>
      </c>
      <c r="AH72" s="25">
        <v>31645.3</v>
      </c>
      <c r="AI72" s="25">
        <v>78868.2</v>
      </c>
      <c r="AJ72" s="27">
        <v>0.31855624999999999</v>
      </c>
      <c r="AK72" s="27">
        <v>0.17</v>
      </c>
      <c r="AL72" s="27">
        <v>0.14096666666666671</v>
      </c>
      <c r="AM72" s="27">
        <v>1.066363636363637E-2</v>
      </c>
      <c r="AN72" s="25">
        <v>0.494780105834429</v>
      </c>
      <c r="AO72" s="27">
        <v>0.34380833333333333</v>
      </c>
      <c r="AP72" s="25">
        <v>0.18124999999999999</v>
      </c>
      <c r="AQ72" s="27">
        <v>5.2499999999999998E-2</v>
      </c>
    </row>
    <row r="73" spans="1:43" ht="13.2">
      <c r="A73" s="25" t="s">
        <v>113</v>
      </c>
      <c r="B73" s="25">
        <v>58</v>
      </c>
      <c r="C73" s="25">
        <v>56.803999999999995</v>
      </c>
      <c r="D73" s="25">
        <v>1.1225806451612901</v>
      </c>
      <c r="E73" s="25">
        <v>370.20525647996681</v>
      </c>
      <c r="F73" s="25">
        <v>54.186119017908148</v>
      </c>
      <c r="G73" s="25">
        <v>95.689123442416459</v>
      </c>
      <c r="H73" s="25">
        <v>4.5136499488872002E-4</v>
      </c>
      <c r="I73" s="25">
        <v>8.0559137931034502E-2</v>
      </c>
      <c r="J73" s="25">
        <v>6.0931249999999999E-2</v>
      </c>
      <c r="K73" s="25">
        <v>0.350376595744681</v>
      </c>
      <c r="L73" s="25">
        <v>1019405.3</v>
      </c>
      <c r="M73" s="25">
        <v>121883.4</v>
      </c>
      <c r="N73" s="25">
        <v>1141288.7</v>
      </c>
      <c r="O73" s="25">
        <v>1122172.3999999999</v>
      </c>
      <c r="P73" s="25">
        <v>141139.1</v>
      </c>
      <c r="Q73" s="25">
        <v>12142.8</v>
      </c>
      <c r="R73" s="25">
        <v>340.23044945016159</v>
      </c>
      <c r="S73" s="25">
        <v>1329.9304494501609</v>
      </c>
      <c r="T73" s="25">
        <v>116291.8</v>
      </c>
      <c r="U73" s="25">
        <v>8746.1</v>
      </c>
      <c r="V73" s="25">
        <v>23513.400679999999</v>
      </c>
      <c r="W73" s="25">
        <v>31046.200680000013</v>
      </c>
      <c r="X73" s="25">
        <v>17540.758272999989</v>
      </c>
      <c r="Y73" s="25">
        <v>7532.8</v>
      </c>
      <c r="Z73" s="25">
        <v>9195.9</v>
      </c>
      <c r="AA73" s="25">
        <v>4576</v>
      </c>
      <c r="AB73" s="25">
        <v>5667.2</v>
      </c>
      <c r="AC73" s="25">
        <v>19116.3</v>
      </c>
      <c r="AD73" s="25">
        <v>12854.7</v>
      </c>
      <c r="AE73" s="25">
        <v>5308.4</v>
      </c>
      <c r="AF73" s="25">
        <v>135505.9</v>
      </c>
      <c r="AG73" s="25">
        <v>246647.8</v>
      </c>
      <c r="AH73" s="25">
        <v>12394.6</v>
      </c>
      <c r="AI73" s="25">
        <v>41351.199999999997</v>
      </c>
      <c r="AJ73" s="27">
        <v>0.32459705882352941</v>
      </c>
      <c r="AK73" s="27">
        <v>0.08</v>
      </c>
      <c r="AL73" s="27">
        <v>0.27264117647058822</v>
      </c>
      <c r="AM73" s="27">
        <v>1.8720000000000001E-2</v>
      </c>
      <c r="AN73" s="25">
        <v>0.33382155416697801</v>
      </c>
      <c r="AO73" s="27">
        <v>0.94921428571428546</v>
      </c>
      <c r="AP73" s="25">
        <v>0.28371538461538465</v>
      </c>
      <c r="AQ73" s="27">
        <v>0</v>
      </c>
    </row>
    <row r="74" spans="1:43" ht="13.2">
      <c r="A74" s="25" t="s">
        <v>114</v>
      </c>
      <c r="B74" s="25">
        <v>84</v>
      </c>
      <c r="C74" s="25">
        <v>727.96399999999983</v>
      </c>
      <c r="D74" s="25">
        <v>1.110655737704918</v>
      </c>
      <c r="E74" s="25">
        <v>41.484182379622922</v>
      </c>
      <c r="F74" s="25">
        <v>54.335249402562148</v>
      </c>
      <c r="G74" s="25">
        <v>50.421368944800527</v>
      </c>
      <c r="H74" s="25">
        <v>9.0993223401916799E-4</v>
      </c>
      <c r="I74" s="25">
        <v>4.8975238095238099E-2</v>
      </c>
      <c r="J74" s="25">
        <v>8.2199999999999999E-3</v>
      </c>
      <c r="K74" s="25">
        <v>0.26025211267605602</v>
      </c>
      <c r="L74" s="25">
        <v>295361.5</v>
      </c>
      <c r="M74" s="25">
        <v>21237.200000000001</v>
      </c>
      <c r="N74" s="25">
        <v>316598.7</v>
      </c>
      <c r="O74" s="25">
        <v>297290.2</v>
      </c>
      <c r="P74" s="25">
        <v>111339.5</v>
      </c>
      <c r="Q74" s="25">
        <v>586.10000000000048</v>
      </c>
      <c r="R74" s="25">
        <v>-173.8456753520417</v>
      </c>
      <c r="S74" s="25">
        <v>2271.9543246479593</v>
      </c>
      <c r="T74" s="25">
        <v>41956.7</v>
      </c>
      <c r="U74" s="25">
        <v>3753.2</v>
      </c>
      <c r="V74" s="25">
        <v>17303.738649999999</v>
      </c>
      <c r="W74" s="25">
        <v>23385.43865</v>
      </c>
      <c r="X74" s="25">
        <v>12627.233644</v>
      </c>
      <c r="Y74" s="25">
        <v>6081.7</v>
      </c>
      <c r="Z74" s="25">
        <v>12259.7</v>
      </c>
      <c r="AA74" s="25">
        <v>5564.2</v>
      </c>
      <c r="AB74" s="25">
        <v>3713.7</v>
      </c>
      <c r="AC74" s="25">
        <v>19308.5</v>
      </c>
      <c r="AD74" s="25">
        <v>3334.3</v>
      </c>
      <c r="AE74" s="25">
        <v>5021.3999999999996</v>
      </c>
      <c r="AF74" s="25">
        <v>96586.3</v>
      </c>
      <c r="AG74" s="25">
        <v>174009.8</v>
      </c>
      <c r="AH74" s="25">
        <v>4499.3</v>
      </c>
      <c r="AI74" s="25">
        <v>109426.5</v>
      </c>
      <c r="AJ74" s="27">
        <v>0.36568965517241386</v>
      </c>
      <c r="AK74" s="27">
        <v>0.21625</v>
      </c>
      <c r="AL74" s="27">
        <v>0.13548723404255317</v>
      </c>
      <c r="AM74" s="27">
        <v>6.1404761904761893E-3</v>
      </c>
      <c r="AN74" s="25">
        <v>0.32822008509043998</v>
      </c>
      <c r="AO74" s="27">
        <v>0.65412068965517267</v>
      </c>
      <c r="AP74" s="25">
        <v>0.23516666666666672</v>
      </c>
      <c r="AQ74" s="27">
        <v>0.200625</v>
      </c>
    </row>
    <row r="75" spans="1:43" ht="13.2">
      <c r="A75" s="25" t="s">
        <v>115</v>
      </c>
      <c r="B75" s="25">
        <v>103</v>
      </c>
      <c r="C75" s="25">
        <v>423.99</v>
      </c>
      <c r="D75" s="25">
        <v>0.98421052631578898</v>
      </c>
      <c r="E75" s="25">
        <v>29.575405937776736</v>
      </c>
      <c r="F75" s="25">
        <v>25.3177469982591</v>
      </c>
      <c r="G75" s="25">
        <v>28.258409514892609</v>
      </c>
      <c r="H75" s="25">
        <v>1.7674929333544899E-3</v>
      </c>
      <c r="I75" s="25">
        <v>0.16498019417475701</v>
      </c>
      <c r="J75" s="25">
        <v>7.0093548387096694E-2</v>
      </c>
      <c r="K75" s="25">
        <v>0.52367179487179505</v>
      </c>
      <c r="L75" s="25">
        <v>212234.7</v>
      </c>
      <c r="M75" s="25">
        <v>22062.9</v>
      </c>
      <c r="N75" s="25">
        <v>234297.60000000001</v>
      </c>
      <c r="O75" s="25">
        <v>209725.2</v>
      </c>
      <c r="P75" s="25">
        <v>73790.3</v>
      </c>
      <c r="Q75" s="25">
        <v>9915.1</v>
      </c>
      <c r="R75" s="25">
        <v>-2122.1548360559141</v>
      </c>
      <c r="S75" s="25">
        <v>-3164.5548360559133</v>
      </c>
      <c r="T75" s="25">
        <v>94118.5</v>
      </c>
      <c r="U75" s="25">
        <v>29519.9</v>
      </c>
      <c r="V75" s="25">
        <v>14553.231970000001</v>
      </c>
      <c r="W75" s="25">
        <v>20033.431970000001</v>
      </c>
      <c r="X75" s="25">
        <v>10002.065891</v>
      </c>
      <c r="Y75" s="25">
        <v>5480.2</v>
      </c>
      <c r="Z75" s="25">
        <v>3399</v>
      </c>
      <c r="AA75" s="25">
        <v>6183.2</v>
      </c>
      <c r="AB75" s="25">
        <v>3881.9</v>
      </c>
      <c r="AC75" s="25">
        <v>24572.400000000001</v>
      </c>
      <c r="AD75" s="25">
        <v>19231.400000000001</v>
      </c>
      <c r="AE75" s="25">
        <v>14005.5</v>
      </c>
      <c r="AF75" s="25">
        <v>18261.400000000001</v>
      </c>
      <c r="AG75" s="25">
        <v>147983.4</v>
      </c>
      <c r="AH75" s="25">
        <v>7396.6</v>
      </c>
      <c r="AI75" s="25">
        <v>76389.899999999994</v>
      </c>
      <c r="AJ75" s="27">
        <v>0.18476847826086951</v>
      </c>
      <c r="AK75" s="27">
        <v>5.8571428571428559E-2</v>
      </c>
      <c r="AL75" s="27">
        <v>0.14440357142857138</v>
      </c>
      <c r="AM75" s="27">
        <v>1.6589333333333331E-2</v>
      </c>
      <c r="AN75" s="25">
        <v>0.44077739594379201</v>
      </c>
      <c r="AO75" s="27">
        <v>0.99307831325301266</v>
      </c>
      <c r="AP75" s="25">
        <v>0.15762608695652169</v>
      </c>
      <c r="AQ75" s="27">
        <v>6.1111111111111109E-2</v>
      </c>
    </row>
    <row r="76" spans="1:43" ht="13.2">
      <c r="A76" s="25" t="s">
        <v>116</v>
      </c>
      <c r="B76" s="25">
        <v>12</v>
      </c>
      <c r="C76" s="25">
        <v>454.06099999999998</v>
      </c>
      <c r="D76" s="25">
        <v>0.871428571428572</v>
      </c>
      <c r="E76" s="25">
        <v>104.6142863814492</v>
      </c>
      <c r="F76" s="25">
        <v>35.390413182482128</v>
      </c>
      <c r="G76" s="25">
        <v>42.872912046329091</v>
      </c>
      <c r="H76" s="25">
        <v>1.0208006711191001E-2</v>
      </c>
      <c r="I76" s="25">
        <v>0.15988833333333299</v>
      </c>
      <c r="J76" s="25">
        <v>0.114525</v>
      </c>
      <c r="K76" s="25">
        <v>0.44110909090909101</v>
      </c>
      <c r="L76" s="25">
        <v>71692.5</v>
      </c>
      <c r="M76" s="25">
        <v>62493.5</v>
      </c>
      <c r="N76" s="25">
        <v>134186</v>
      </c>
      <c r="O76" s="25">
        <v>124735.6</v>
      </c>
      <c r="P76" s="25">
        <v>74382.8</v>
      </c>
      <c r="Q76" s="25">
        <v>516.99999999999886</v>
      </c>
      <c r="R76" s="25">
        <v>-56.414868454256556</v>
      </c>
      <c r="S76" s="25">
        <v>10328.285131545739</v>
      </c>
      <c r="T76" s="25">
        <v>25438.2</v>
      </c>
      <c r="U76" s="25">
        <v>483.8</v>
      </c>
      <c r="V76" s="25">
        <v>10254.62254</v>
      </c>
      <c r="W76" s="25">
        <v>12310.222540000001</v>
      </c>
      <c r="X76" s="25">
        <v>8391.4359989999994</v>
      </c>
      <c r="Y76" s="25">
        <v>2055.6</v>
      </c>
      <c r="Z76" s="25">
        <v>22825.7</v>
      </c>
      <c r="AA76" s="25">
        <v>3498.3</v>
      </c>
      <c r="AB76" s="25">
        <v>1629.4</v>
      </c>
      <c r="AC76" s="25">
        <v>9450.4</v>
      </c>
      <c r="AD76" s="25">
        <v>15985.5</v>
      </c>
      <c r="AE76" s="25">
        <v>62.8</v>
      </c>
      <c r="AF76" s="25">
        <v>80091.7</v>
      </c>
      <c r="AG76" s="25">
        <v>116003.5</v>
      </c>
      <c r="AH76" s="25">
        <v>15537.6</v>
      </c>
      <c r="AI76" s="25">
        <v>22767.7</v>
      </c>
      <c r="AJ76" s="27">
        <v>0.2028625</v>
      </c>
      <c r="AK76" s="27">
        <v>7.3333333333333334E-2</v>
      </c>
      <c r="AL76" s="27">
        <v>0.42545714285714292</v>
      </c>
      <c r="AM76" s="27">
        <v>9.0600000000000003E-3</v>
      </c>
      <c r="AN76" s="25">
        <v>0.67771853734610299</v>
      </c>
      <c r="AO76" s="27">
        <v>0.22352</v>
      </c>
      <c r="AP76" s="25">
        <v>0.24458333333333318</v>
      </c>
      <c r="AQ76" s="27">
        <v>0.10833333333333331</v>
      </c>
    </row>
    <row r="77" spans="1:43" ht="13.2">
      <c r="A77" s="25" t="s">
        <v>117</v>
      </c>
      <c r="B77" s="25">
        <v>40</v>
      </c>
      <c r="C77" s="25">
        <v>936.67</v>
      </c>
      <c r="D77" s="25">
        <v>0.78125</v>
      </c>
      <c r="E77" s="25">
        <v>25.452988176121817</v>
      </c>
      <c r="F77" s="25">
        <v>18.289043626912125</v>
      </c>
      <c r="G77" s="25">
        <v>17.019894758160085</v>
      </c>
      <c r="H77" s="25">
        <v>6.45781058704513E-3</v>
      </c>
      <c r="I77" s="25">
        <v>0.15557774999999999</v>
      </c>
      <c r="J77" s="25">
        <v>0.17655454545454499</v>
      </c>
      <c r="K77" s="25">
        <v>0.430480769230769</v>
      </c>
      <c r="L77" s="25">
        <v>116889</v>
      </c>
      <c r="M77" s="25">
        <v>40037.800000000003</v>
      </c>
      <c r="N77" s="25">
        <v>156926.79999999999</v>
      </c>
      <c r="O77" s="25">
        <v>153630.1</v>
      </c>
      <c r="P77" s="25">
        <v>44310.2</v>
      </c>
      <c r="Q77" s="25">
        <v>94.199999999998994</v>
      </c>
      <c r="R77" s="25">
        <v>-91.572990173585197</v>
      </c>
      <c r="S77" s="25">
        <v>-261.97299017358523</v>
      </c>
      <c r="T77" s="25">
        <v>86932.3</v>
      </c>
      <c r="U77" s="25">
        <v>28514.1</v>
      </c>
      <c r="V77" s="25">
        <v>14066.48525</v>
      </c>
      <c r="W77" s="25">
        <v>17324.785250000001</v>
      </c>
      <c r="X77" s="25">
        <v>9653.8704010000019</v>
      </c>
      <c r="Y77" s="25">
        <v>3258.3</v>
      </c>
      <c r="Z77" s="25">
        <v>3218.7</v>
      </c>
      <c r="AA77" s="25">
        <v>6780.3</v>
      </c>
      <c r="AB77" s="25">
        <v>1909.2</v>
      </c>
      <c r="AC77" s="25">
        <v>3296.7</v>
      </c>
      <c r="AD77" s="25">
        <v>11476.2</v>
      </c>
      <c r="AE77" s="25">
        <v>4555.8999999999996</v>
      </c>
      <c r="AF77" s="25">
        <v>15126.5</v>
      </c>
      <c r="AG77" s="25">
        <v>79427</v>
      </c>
      <c r="AH77" s="25">
        <v>8131.5</v>
      </c>
      <c r="AI77" s="25">
        <v>8430.4</v>
      </c>
      <c r="AJ77" s="27">
        <v>0.18003461538461538</v>
      </c>
      <c r="AK77" s="27">
        <v>7.2142857142857134E-2</v>
      </c>
      <c r="AL77" s="27">
        <v>7.2132142857142867E-2</v>
      </c>
      <c r="AM77" s="27">
        <v>1.3520833333333333E-2</v>
      </c>
      <c r="AN77" s="25">
        <v>0.44326349175840501</v>
      </c>
      <c r="AO77" s="27">
        <v>0.42893600000000004</v>
      </c>
      <c r="AP77" s="25">
        <v>0.16086666666666669</v>
      </c>
      <c r="AQ77" s="27">
        <v>0.107</v>
      </c>
    </row>
    <row r="78" spans="1:43" ht="13.2">
      <c r="A78" s="25" t="s">
        <v>118</v>
      </c>
      <c r="B78" s="25">
        <v>147</v>
      </c>
      <c r="C78" s="25">
        <v>983.28</v>
      </c>
      <c r="D78" s="25">
        <v>0.901127819548872</v>
      </c>
      <c r="E78" s="25">
        <v>36.148372798957539</v>
      </c>
      <c r="F78" s="25">
        <v>18.296460137911986</v>
      </c>
      <c r="G78" s="25">
        <v>2.1172797964345462</v>
      </c>
      <c r="H78" s="25">
        <v>1.7345621839808301E-2</v>
      </c>
      <c r="I78" s="25">
        <v>1.16046823249764E-2</v>
      </c>
      <c r="J78" s="25">
        <v>5.6365217391304297E-2</v>
      </c>
      <c r="K78" s="25">
        <v>0.55239714285714303</v>
      </c>
      <c r="L78" s="25">
        <v>64628.2</v>
      </c>
      <c r="M78" s="25">
        <v>26167.599999999999</v>
      </c>
      <c r="N78" s="25">
        <v>90795.8</v>
      </c>
      <c r="O78" s="25">
        <v>84024.7</v>
      </c>
      <c r="P78" s="25">
        <v>30470.1</v>
      </c>
      <c r="Q78" s="25">
        <v>4583.2</v>
      </c>
      <c r="R78" s="25">
        <v>955.80609964054179</v>
      </c>
      <c r="S78" s="25">
        <v>3139.5060996405418</v>
      </c>
      <c r="T78" s="25">
        <v>13634.4</v>
      </c>
      <c r="U78" s="25">
        <v>306.89999999999998</v>
      </c>
      <c r="V78" s="25">
        <v>2929.3</v>
      </c>
      <c r="W78" s="25">
        <v>3803.4</v>
      </c>
      <c r="X78" s="25">
        <v>2577.2231381502752</v>
      </c>
      <c r="Y78" s="25">
        <v>874.1</v>
      </c>
      <c r="Z78" s="25">
        <v>4236.5</v>
      </c>
      <c r="AA78" s="25">
        <v>1141</v>
      </c>
      <c r="AB78" s="25">
        <v>9983.4</v>
      </c>
      <c r="AC78" s="25">
        <v>6771.1</v>
      </c>
      <c r="AD78" s="25">
        <v>5237.3</v>
      </c>
      <c r="AE78" s="25">
        <v>79.3</v>
      </c>
      <c r="AF78" s="25">
        <v>26142.3</v>
      </c>
      <c r="AG78" s="25">
        <v>45651.5</v>
      </c>
      <c r="AH78" s="25">
        <v>1323.9</v>
      </c>
      <c r="AI78" s="25">
        <v>14469.9</v>
      </c>
      <c r="AJ78" s="27">
        <v>4.8699999999999898E-3</v>
      </c>
      <c r="AK78" s="27">
        <v>0.11749999999999999</v>
      </c>
      <c r="AL78" s="27">
        <v>0.140809009009009</v>
      </c>
      <c r="AM78" s="27">
        <v>8.6235849056603697E-3</v>
      </c>
      <c r="AN78" s="25">
        <v>0.59392525938330598</v>
      </c>
      <c r="AO78" s="27">
        <v>0.27381138211382106</v>
      </c>
      <c r="AP78" s="25">
        <v>7.3922580645161315E-2</v>
      </c>
      <c r="AQ78" s="27">
        <v>8.199999999999999E-2</v>
      </c>
    </row>
    <row r="79" spans="1:43" ht="13.2">
      <c r="A79" s="25" t="s">
        <v>119</v>
      </c>
      <c r="B79" s="25">
        <v>16</v>
      </c>
      <c r="C79" s="25">
        <v>2197.942</v>
      </c>
      <c r="D79" s="25">
        <v>1.0607142857142857</v>
      </c>
      <c r="E79" s="25">
        <v>20.720608721983488</v>
      </c>
      <c r="F79" s="25">
        <v>12.68787656237571</v>
      </c>
      <c r="G79" s="25">
        <v>14.7233678646156</v>
      </c>
      <c r="H79" s="25">
        <v>7.2857037946102198E-3</v>
      </c>
      <c r="I79" s="25">
        <v>0.32192437499999998</v>
      </c>
      <c r="J79" s="25">
        <v>3.1737500000000002E-2</v>
      </c>
      <c r="K79" s="25">
        <v>0.57673750000000001</v>
      </c>
      <c r="L79" s="25">
        <v>280721.5</v>
      </c>
      <c r="M79" s="25">
        <v>73145.600000000006</v>
      </c>
      <c r="N79" s="25">
        <v>353867.1</v>
      </c>
      <c r="O79" s="25">
        <v>345989.6</v>
      </c>
      <c r="P79" s="25">
        <v>184866.3</v>
      </c>
      <c r="Q79" s="25">
        <v>-6283.4</v>
      </c>
      <c r="R79" s="25">
        <v>175.79247087113859</v>
      </c>
      <c r="S79" s="25">
        <v>4389.0924708711391</v>
      </c>
      <c r="T79" s="25">
        <v>131438.70000000001</v>
      </c>
      <c r="U79" s="25">
        <v>540.70000000000005</v>
      </c>
      <c r="V79" s="25">
        <v>40783.109759999999</v>
      </c>
      <c r="W79" s="25">
        <v>51097.809759999996</v>
      </c>
      <c r="X79" s="25">
        <v>26361.196785</v>
      </c>
      <c r="Y79" s="25">
        <v>10314.700000000001</v>
      </c>
      <c r="Z79" s="25">
        <v>18751.5</v>
      </c>
      <c r="AA79" s="25">
        <v>16869.7</v>
      </c>
      <c r="AB79" s="25">
        <v>9091.4</v>
      </c>
      <c r="AC79" s="25">
        <v>7877.5</v>
      </c>
      <c r="AD79" s="25">
        <v>10887.3</v>
      </c>
      <c r="AE79" s="25">
        <v>4069.7</v>
      </c>
      <c r="AF79" s="25">
        <v>264407.09999999998</v>
      </c>
      <c r="AG79" s="25">
        <v>315008.7</v>
      </c>
      <c r="AH79" s="25">
        <v>10103.1</v>
      </c>
      <c r="AI79" s="25">
        <v>119612.3</v>
      </c>
      <c r="AJ79" s="27">
        <v>0.1434375</v>
      </c>
      <c r="AK79" s="27">
        <v>0.16250000000000001</v>
      </c>
      <c r="AL79" s="27">
        <v>0.20213846153846152</v>
      </c>
      <c r="AM79" s="27">
        <v>1.2291666666666669E-2</v>
      </c>
      <c r="AN79" s="25">
        <v>0.57417795823843698</v>
      </c>
      <c r="AO79" s="27">
        <v>0.31952142857142851</v>
      </c>
      <c r="AP79" s="25">
        <v>0.16122727272727261</v>
      </c>
      <c r="AQ79" s="27">
        <v>3.9285714285714285E-2</v>
      </c>
    </row>
    <row r="80" spans="1:43" ht="13.2">
      <c r="A80" s="25" t="s">
        <v>120</v>
      </c>
      <c r="B80" s="25">
        <v>73</v>
      </c>
      <c r="C80" s="25">
        <v>2429.0149999999999</v>
      </c>
      <c r="D80" s="25">
        <v>0.83253968253968302</v>
      </c>
      <c r="E80" s="25">
        <v>27.230675596665936</v>
      </c>
      <c r="F80" s="25">
        <v>13.318466711908952</v>
      </c>
      <c r="G80" s="25">
        <v>27.34418483045571</v>
      </c>
      <c r="H80" s="25">
        <v>8.2709167250010103E-3</v>
      </c>
      <c r="I80" s="25">
        <v>0.18249917808219199</v>
      </c>
      <c r="J80" s="25">
        <v>0.16497222222222199</v>
      </c>
      <c r="K80" s="25">
        <v>0.3881</v>
      </c>
      <c r="L80" s="25">
        <v>185150.3</v>
      </c>
      <c r="M80" s="25">
        <v>52220.2</v>
      </c>
      <c r="N80" s="25">
        <v>237370.5</v>
      </c>
      <c r="O80" s="25">
        <v>224881.6</v>
      </c>
      <c r="P80" s="25">
        <v>121024.9</v>
      </c>
      <c r="Q80" s="25">
        <v>-844.59999999999843</v>
      </c>
      <c r="R80" s="25">
        <v>476.74944728412765</v>
      </c>
      <c r="S80" s="25">
        <v>3199.0494472841283</v>
      </c>
      <c r="T80" s="25">
        <v>119341.7</v>
      </c>
      <c r="U80" s="25">
        <v>25102.7</v>
      </c>
      <c r="V80" s="25">
        <v>22783.54362</v>
      </c>
      <c r="W80" s="25">
        <v>29081.143619999999</v>
      </c>
      <c r="X80" s="25">
        <v>18199.629665</v>
      </c>
      <c r="Y80" s="25">
        <v>6297.6</v>
      </c>
      <c r="Z80" s="25">
        <v>11562.7</v>
      </c>
      <c r="AA80" s="25">
        <v>10920.3</v>
      </c>
      <c r="AB80" s="25">
        <v>5722.6</v>
      </c>
      <c r="AC80" s="25">
        <v>12488.9</v>
      </c>
      <c r="AD80" s="25">
        <v>13501.2</v>
      </c>
      <c r="AE80" s="25">
        <v>9384.9</v>
      </c>
      <c r="AF80" s="25">
        <v>96371.8</v>
      </c>
      <c r="AG80" s="25">
        <v>172808.9</v>
      </c>
      <c r="AH80" s="25">
        <v>7053.5</v>
      </c>
      <c r="AI80" s="25">
        <v>82202.100000000006</v>
      </c>
      <c r="AJ80" s="27">
        <v>0.238136923076923</v>
      </c>
      <c r="AK80" s="27">
        <v>6.3653846153846144E-2</v>
      </c>
      <c r="AL80" s="27">
        <v>5.585306122448977E-2</v>
      </c>
      <c r="AM80" s="27">
        <v>1.5373333333333329E-2</v>
      </c>
      <c r="AN80" s="25">
        <v>0.44681861277754797</v>
      </c>
      <c r="AO80" s="27">
        <v>0.48171886792452817</v>
      </c>
      <c r="AP80" s="25">
        <v>0.15383928571428571</v>
      </c>
      <c r="AQ80" s="27">
        <v>0.12333333333333331</v>
      </c>
    </row>
    <row r="81" spans="1:43" ht="13.2">
      <c r="A81" s="25" t="s">
        <v>121</v>
      </c>
      <c r="B81" s="25">
        <v>11</v>
      </c>
      <c r="C81" s="25">
        <v>378.983</v>
      </c>
      <c r="D81" s="25">
        <v>0.86875000000000002</v>
      </c>
      <c r="E81" s="25">
        <v>29.462371807588617</v>
      </c>
      <c r="F81" s="25">
        <v>9.6036649638426219</v>
      </c>
      <c r="G81" s="25">
        <v>8.0480805787994214</v>
      </c>
      <c r="H81" s="25">
        <v>8.1868737969896903E-3</v>
      </c>
      <c r="I81" s="25">
        <v>0.107001818181818</v>
      </c>
      <c r="J81" s="25">
        <v>5.2049999999999999E-2</v>
      </c>
      <c r="K81" s="25">
        <v>0.63137500000000002</v>
      </c>
      <c r="L81" s="25">
        <v>57943.3</v>
      </c>
      <c r="M81" s="25">
        <v>3736.1</v>
      </c>
      <c r="N81" s="25">
        <v>61679.4</v>
      </c>
      <c r="O81" s="25">
        <v>52946</v>
      </c>
      <c r="P81" s="25">
        <v>17961.599999999999</v>
      </c>
      <c r="Q81" s="25">
        <v>0</v>
      </c>
      <c r="R81" s="25">
        <v>0</v>
      </c>
      <c r="S81" s="25">
        <v>0</v>
      </c>
      <c r="T81" s="25">
        <v>0</v>
      </c>
      <c r="U81" s="25">
        <v>16432</v>
      </c>
      <c r="V81" s="25">
        <v>413.4</v>
      </c>
      <c r="W81" s="25">
        <v>413.4</v>
      </c>
      <c r="X81" s="25">
        <v>348.63262200000003</v>
      </c>
      <c r="Y81" s="25">
        <v>0</v>
      </c>
      <c r="Z81" s="25">
        <v>0.5</v>
      </c>
      <c r="AA81" s="25">
        <v>2999</v>
      </c>
      <c r="AB81" s="25">
        <v>4151.2</v>
      </c>
      <c r="AC81" s="25">
        <v>8733.4</v>
      </c>
      <c r="AD81" s="25">
        <v>0</v>
      </c>
      <c r="AE81" s="25">
        <v>0</v>
      </c>
      <c r="AF81" s="25">
        <v>0</v>
      </c>
      <c r="AG81" s="25">
        <v>78574.8</v>
      </c>
      <c r="AH81" s="25">
        <v>0</v>
      </c>
      <c r="AI81" s="25">
        <v>24115.9</v>
      </c>
      <c r="AJ81" s="27">
        <v>0</v>
      </c>
      <c r="AK81" s="27">
        <v>0.09</v>
      </c>
      <c r="AL81" s="27">
        <v>0.1095875</v>
      </c>
      <c r="AM81" s="27">
        <v>1.0142857142857143E-2</v>
      </c>
      <c r="AN81" s="25">
        <v>0.66822278571650096</v>
      </c>
      <c r="AO81" s="27">
        <v>0.20753750000000001</v>
      </c>
      <c r="AP81" s="25">
        <v>0.173125</v>
      </c>
      <c r="AQ81" s="27">
        <v>0.2225</v>
      </c>
    </row>
    <row r="82" spans="1:43" ht="13.2">
      <c r="A82" s="25" t="s">
        <v>122</v>
      </c>
      <c r="B82" s="25">
        <v>75</v>
      </c>
      <c r="C82" s="25">
        <v>2538.1860000000001</v>
      </c>
      <c r="D82" s="25">
        <v>0.90508474576271203</v>
      </c>
      <c r="E82" s="25">
        <v>21.276791022305069</v>
      </c>
      <c r="F82" s="25">
        <v>21.951949650955708</v>
      </c>
      <c r="G82" s="25">
        <v>23.493685859521054</v>
      </c>
      <c r="H82" s="25">
        <v>6.7028338987994603E-3</v>
      </c>
      <c r="I82" s="25">
        <v>0.20738880000000001</v>
      </c>
      <c r="J82" s="25">
        <v>9.4386206896551694E-2</v>
      </c>
      <c r="K82" s="25">
        <v>0.53859999999999997</v>
      </c>
      <c r="L82" s="25">
        <v>299613.40000000002</v>
      </c>
      <c r="M82" s="25">
        <v>42946</v>
      </c>
      <c r="N82" s="25">
        <v>342559.4</v>
      </c>
      <c r="O82" s="25">
        <v>331624.90000000002</v>
      </c>
      <c r="P82" s="25">
        <v>97799</v>
      </c>
      <c r="Q82" s="25">
        <v>-10477</v>
      </c>
      <c r="R82" s="25">
        <v>1448.4538656861132</v>
      </c>
      <c r="S82" s="25">
        <v>4191.153865686113</v>
      </c>
      <c r="T82" s="25">
        <v>170664.2</v>
      </c>
      <c r="U82" s="25">
        <v>20565.5</v>
      </c>
      <c r="V82" s="25">
        <v>30020.593720000001</v>
      </c>
      <c r="W82" s="25">
        <v>38238.293720000001</v>
      </c>
      <c r="X82" s="25">
        <v>20561.926703000001</v>
      </c>
      <c r="Y82" s="25">
        <v>8217.7000000000007</v>
      </c>
      <c r="Z82" s="25">
        <v>13655.7</v>
      </c>
      <c r="AA82" s="25">
        <v>12826.3</v>
      </c>
      <c r="AB82" s="25">
        <v>7746.1</v>
      </c>
      <c r="AC82" s="25">
        <v>10934.5</v>
      </c>
      <c r="AD82" s="25">
        <v>4656.3</v>
      </c>
      <c r="AE82" s="25">
        <v>3529.9</v>
      </c>
      <c r="AF82" s="25">
        <v>96346.2</v>
      </c>
      <c r="AG82" s="25">
        <v>146080.20000000001</v>
      </c>
      <c r="AH82" s="25">
        <v>6752.6</v>
      </c>
      <c r="AI82" s="25">
        <v>65972.600000000006</v>
      </c>
      <c r="AJ82" s="27">
        <v>0.13102187499999998</v>
      </c>
      <c r="AK82" s="27">
        <v>0.14403225806451611</v>
      </c>
      <c r="AL82" s="27">
        <v>0.11555471698113212</v>
      </c>
      <c r="AM82" s="27">
        <v>9.2840000000000006E-3</v>
      </c>
      <c r="AN82" s="25">
        <v>0.44867391361237402</v>
      </c>
      <c r="AO82" s="27">
        <v>0.47706724137931045</v>
      </c>
      <c r="AP82" s="25">
        <v>0.14940270270270267</v>
      </c>
      <c r="AQ82" s="27">
        <v>0.3116666666666667</v>
      </c>
    </row>
    <row r="83" spans="1:43" ht="13.2">
      <c r="A83" s="25" t="s">
        <v>123</v>
      </c>
      <c r="B83" s="25">
        <v>164</v>
      </c>
      <c r="C83" s="25">
        <v>1843.223</v>
      </c>
      <c r="D83" s="25">
        <v>0.996762589928058</v>
      </c>
      <c r="E83" s="25">
        <v>24.049826009072049</v>
      </c>
      <c r="F83" s="25">
        <v>23.841031219216912</v>
      </c>
      <c r="G83" s="25">
        <v>23.552940295272787</v>
      </c>
      <c r="H83" s="25">
        <v>4.9487194519628403E-3</v>
      </c>
      <c r="I83" s="25">
        <v>0.226766841883936</v>
      </c>
      <c r="J83" s="25">
        <v>0.13493030303030301</v>
      </c>
      <c r="K83" s="25">
        <v>0.51156460176991103</v>
      </c>
      <c r="L83" s="25">
        <v>377987.9</v>
      </c>
      <c r="M83" s="25">
        <v>46821.3</v>
      </c>
      <c r="N83" s="25">
        <v>424809.2</v>
      </c>
      <c r="O83" s="25">
        <v>379314.1</v>
      </c>
      <c r="P83" s="25">
        <v>129985.2</v>
      </c>
      <c r="Q83" s="25">
        <v>29794.6</v>
      </c>
      <c r="R83" s="25">
        <v>-323.53442992060718</v>
      </c>
      <c r="S83" s="25">
        <v>2239.3655700793925</v>
      </c>
      <c r="T83" s="25">
        <v>524608</v>
      </c>
      <c r="U83" s="25">
        <v>131103.79999999999</v>
      </c>
      <c r="V83" s="25">
        <v>50010.060370000007</v>
      </c>
      <c r="W83" s="25">
        <v>65055.360369999988</v>
      </c>
      <c r="X83" s="25">
        <v>32019.405181827598</v>
      </c>
      <c r="Y83" s="25">
        <v>15045.3</v>
      </c>
      <c r="Z83" s="25">
        <v>21018</v>
      </c>
      <c r="AA83" s="25">
        <v>20964.7</v>
      </c>
      <c r="AB83" s="25">
        <v>10468.299999999999</v>
      </c>
      <c r="AC83" s="25">
        <v>45495.1</v>
      </c>
      <c r="AD83" s="25">
        <v>17176.8</v>
      </c>
      <c r="AE83" s="25">
        <v>77669.7</v>
      </c>
      <c r="AF83" s="25">
        <v>78157</v>
      </c>
      <c r="AG83" s="25">
        <v>278846.09999999998</v>
      </c>
      <c r="AH83" s="25">
        <v>41438.400000000001</v>
      </c>
      <c r="AI83" s="25">
        <v>129878.1</v>
      </c>
      <c r="AJ83" s="27">
        <v>8.2005797101449257E-2</v>
      </c>
      <c r="AK83" s="27">
        <v>0.12416666666666672</v>
      </c>
      <c r="AL83" s="27">
        <v>5.7181132075471701E-2</v>
      </c>
      <c r="AM83" s="27">
        <v>1.2568932038834947E-2</v>
      </c>
      <c r="AN83" s="25">
        <v>0.426851802088342</v>
      </c>
      <c r="AO83" s="27">
        <v>0.46602142857142853</v>
      </c>
      <c r="AP83" s="25">
        <v>0.14507375</v>
      </c>
      <c r="AQ83" s="27">
        <v>0.15676470588235292</v>
      </c>
    </row>
    <row r="84" spans="1:43" ht="13.2">
      <c r="A84" s="25" t="s">
        <v>124</v>
      </c>
      <c r="B84" s="25">
        <v>16</v>
      </c>
      <c r="C84" s="25">
        <v>139.303</v>
      </c>
      <c r="D84" s="25">
        <v>1.0866666666666671</v>
      </c>
      <c r="E84" s="25">
        <v>15.587706000255199</v>
      </c>
      <c r="F84" s="25">
        <v>18.101583841334687</v>
      </c>
      <c r="G84" s="25">
        <v>18.984740146137803</v>
      </c>
      <c r="H84" s="25">
        <v>6.3427610632084998E-3</v>
      </c>
      <c r="I84" s="25">
        <v>0.36041687500000003</v>
      </c>
      <c r="J84" s="25">
        <v>0.13553999999999999</v>
      </c>
      <c r="K84" s="25">
        <v>0.71841818181818196</v>
      </c>
      <c r="L84" s="25">
        <v>75939.5</v>
      </c>
      <c r="M84" s="25">
        <v>32001.1</v>
      </c>
      <c r="N84" s="25">
        <v>107940.6</v>
      </c>
      <c r="O84" s="25">
        <v>103504.4</v>
      </c>
      <c r="P84" s="25">
        <v>61663.3</v>
      </c>
      <c r="Q84" s="25">
        <v>15169.8</v>
      </c>
      <c r="R84" s="25">
        <v>-1.516970007990206</v>
      </c>
      <c r="S84" s="25">
        <v>1239.2830299920099</v>
      </c>
      <c r="T84" s="25">
        <v>169702.7</v>
      </c>
      <c r="U84" s="25">
        <v>23303.599999999999</v>
      </c>
      <c r="V84" s="25">
        <v>12942.6</v>
      </c>
      <c r="W84" s="25">
        <v>15880.7</v>
      </c>
      <c r="X84" s="25">
        <v>7952.6934890000011</v>
      </c>
      <c r="Y84" s="25">
        <v>2938.1</v>
      </c>
      <c r="Z84" s="25">
        <v>5504.5</v>
      </c>
      <c r="AA84" s="25">
        <v>5128</v>
      </c>
      <c r="AB84" s="25">
        <v>2494.1</v>
      </c>
      <c r="AC84" s="25">
        <v>4436.2</v>
      </c>
      <c r="AD84" s="25">
        <v>10297.1</v>
      </c>
      <c r="AE84" s="25">
        <v>25606.6</v>
      </c>
      <c r="AF84" s="25">
        <v>29615.8</v>
      </c>
      <c r="AG84" s="25">
        <v>96920.9</v>
      </c>
      <c r="AH84" s="25">
        <v>15583.7</v>
      </c>
      <c r="AI84" s="25">
        <v>34098.6</v>
      </c>
      <c r="AJ84" s="27">
        <v>0.11201875</v>
      </c>
      <c r="AK84" s="27">
        <v>0.17</v>
      </c>
      <c r="AL84" s="27">
        <v>0.14760000000000001</v>
      </c>
      <c r="AM84" s="27">
        <v>1.577857142857143E-2</v>
      </c>
      <c r="AN84" s="25">
        <v>0.63231637476654601</v>
      </c>
      <c r="AO84" s="27">
        <v>0.27915999999999985</v>
      </c>
      <c r="AP84" s="25">
        <v>0.1297454545454545</v>
      </c>
      <c r="AQ84" s="27">
        <v>0.19500000000000001</v>
      </c>
    </row>
    <row r="85" spans="1:43" ht="13.2">
      <c r="A85" s="25" t="s">
        <v>125</v>
      </c>
      <c r="B85" s="25">
        <v>9</v>
      </c>
      <c r="C85" s="25">
        <v>2402.1619999999998</v>
      </c>
      <c r="D85" s="25">
        <v>1.09375</v>
      </c>
      <c r="E85" s="25">
        <v>12.998948935963261</v>
      </c>
      <c r="F85" s="25">
        <v>12.882723418228531</v>
      </c>
      <c r="G85" s="25">
        <v>92.169457561157017</v>
      </c>
      <c r="H85" s="25">
        <v>3.2642625620942202E-2</v>
      </c>
      <c r="I85" s="25">
        <v>0.37244777777777799</v>
      </c>
      <c r="J85" s="25">
        <v>7.6785714285714304E-2</v>
      </c>
      <c r="K85" s="25">
        <v>0.67732499999999995</v>
      </c>
      <c r="L85" s="25">
        <v>176346.9</v>
      </c>
      <c r="M85" s="25">
        <v>34193.5</v>
      </c>
      <c r="N85" s="25">
        <v>210540.4</v>
      </c>
      <c r="O85" s="25">
        <v>207299.4</v>
      </c>
      <c r="P85" s="25">
        <v>118168</v>
      </c>
      <c r="Q85" s="25">
        <v>15133.6</v>
      </c>
      <c r="R85" s="25">
        <v>560.71650328302132</v>
      </c>
      <c r="S85" s="25">
        <v>5187.6165032830204</v>
      </c>
      <c r="T85" s="25">
        <v>304094.09999999998</v>
      </c>
      <c r="U85" s="25">
        <v>61302.3</v>
      </c>
      <c r="V85" s="25">
        <v>37544</v>
      </c>
      <c r="W85" s="25">
        <v>43697.4</v>
      </c>
      <c r="X85" s="25">
        <v>23289.694796</v>
      </c>
      <c r="Y85" s="25">
        <v>6153.4</v>
      </c>
      <c r="Z85" s="25">
        <v>15407.1</v>
      </c>
      <c r="AA85" s="25">
        <v>18707.099999999999</v>
      </c>
      <c r="AB85" s="25">
        <v>7988.7</v>
      </c>
      <c r="AC85" s="25">
        <v>3241</v>
      </c>
      <c r="AD85" s="25">
        <v>8449.9</v>
      </c>
      <c r="AE85" s="25">
        <v>43756.6</v>
      </c>
      <c r="AF85" s="25">
        <v>93266.4</v>
      </c>
      <c r="AG85" s="25">
        <v>170430.8</v>
      </c>
      <c r="AH85" s="25">
        <v>23151.200000000001</v>
      </c>
      <c r="AI85" s="25">
        <v>87215.5</v>
      </c>
      <c r="AJ85" s="27">
        <v>0.1031777777777778</v>
      </c>
      <c r="AK85" s="27">
        <v>0.18142857142857141</v>
      </c>
      <c r="AL85" s="27">
        <v>8.9928571428571441E-2</v>
      </c>
      <c r="AM85" s="27">
        <v>1.231428571428572E-2</v>
      </c>
      <c r="AN85" s="25">
        <v>0.64537805374579604</v>
      </c>
      <c r="AO85" s="27">
        <v>0.25888749999999999</v>
      </c>
      <c r="AP85" s="25">
        <v>9.9166666666666681E-2</v>
      </c>
      <c r="AQ85" s="27">
        <v>0.4375</v>
      </c>
    </row>
    <row r="86" spans="1:43" ht="13.2">
      <c r="A86" s="25" t="s">
        <v>126</v>
      </c>
      <c r="B86" s="25">
        <v>42</v>
      </c>
      <c r="C86" s="25">
        <v>5473.4120000000003</v>
      </c>
      <c r="D86" s="25">
        <v>1.0042857142857142</v>
      </c>
      <c r="E86" s="25">
        <v>17.754313000595609</v>
      </c>
      <c r="F86" s="25">
        <v>14.962066605489833</v>
      </c>
      <c r="G86" s="25">
        <v>23.303658904423088</v>
      </c>
      <c r="H86" s="25">
        <v>7.6935203930417898E-3</v>
      </c>
      <c r="I86" s="25">
        <v>0.24455499999999999</v>
      </c>
      <c r="J86" s="25">
        <v>0.13052777777777799</v>
      </c>
      <c r="K86" s="25">
        <v>0.58779000000000003</v>
      </c>
      <c r="L86" s="25">
        <v>883381.7</v>
      </c>
      <c r="M86" s="25">
        <v>152738.6</v>
      </c>
      <c r="N86" s="25">
        <v>1036120.3</v>
      </c>
      <c r="O86" s="25">
        <v>989106.3</v>
      </c>
      <c r="P86" s="25">
        <v>389727.1</v>
      </c>
      <c r="Q86" s="25">
        <v>14388</v>
      </c>
      <c r="R86" s="25">
        <v>-70.310994968150737</v>
      </c>
      <c r="S86" s="25">
        <v>14642.08900503185</v>
      </c>
      <c r="T86" s="25">
        <v>1368811.4</v>
      </c>
      <c r="U86" s="25">
        <v>268322.8</v>
      </c>
      <c r="V86" s="25">
        <v>99884.864329999997</v>
      </c>
      <c r="W86" s="25">
        <v>125820.66433</v>
      </c>
      <c r="X86" s="25">
        <v>64453.924437000009</v>
      </c>
      <c r="Y86" s="25">
        <v>25935.8</v>
      </c>
      <c r="Z86" s="25">
        <v>55251.1</v>
      </c>
      <c r="AA86" s="25">
        <v>47558</v>
      </c>
      <c r="AB86" s="25">
        <v>24730</v>
      </c>
      <c r="AC86" s="25">
        <v>47014</v>
      </c>
      <c r="AD86" s="25">
        <v>27364.400000000001</v>
      </c>
      <c r="AE86" s="25">
        <v>156652.1</v>
      </c>
      <c r="AF86" s="25">
        <v>337993.7</v>
      </c>
      <c r="AG86" s="25">
        <v>668890.6</v>
      </c>
      <c r="AH86" s="25">
        <v>112915.5</v>
      </c>
      <c r="AI86" s="25">
        <v>284051.8</v>
      </c>
      <c r="AJ86" s="27">
        <v>0.16277142857142857</v>
      </c>
      <c r="AK86" s="27">
        <v>8.9130434782608695E-2</v>
      </c>
      <c r="AL86" s="27">
        <v>4.1522857142857132E-2</v>
      </c>
      <c r="AM86" s="27">
        <v>1.1103125E-2</v>
      </c>
      <c r="AN86" s="25">
        <v>0.51730802375443297</v>
      </c>
      <c r="AO86" s="27">
        <v>0.44818787878787875</v>
      </c>
      <c r="AP86" s="25">
        <v>0.13673809523809521</v>
      </c>
      <c r="AQ86" s="27">
        <v>5.6500000000000002E-2</v>
      </c>
    </row>
    <row r="87" spans="1:43" ht="13.2">
      <c r="A87" s="25" t="s">
        <v>127</v>
      </c>
      <c r="B87" s="25">
        <v>31</v>
      </c>
      <c r="C87" s="25">
        <v>4105.4859999999999</v>
      </c>
      <c r="D87" s="25">
        <v>1.2384615384615381</v>
      </c>
      <c r="E87" s="25">
        <v>42.153766600627236</v>
      </c>
      <c r="F87" s="25">
        <v>17.616336727033882</v>
      </c>
      <c r="G87" s="25">
        <v>48.517194874465957</v>
      </c>
      <c r="H87" s="25">
        <v>7.4732669388588597E-3</v>
      </c>
      <c r="I87" s="25">
        <v>0.22949354838709701</v>
      </c>
      <c r="J87" s="25">
        <v>4.2474999999999999E-2</v>
      </c>
      <c r="K87" s="25">
        <v>0.51291923076923096</v>
      </c>
      <c r="L87" s="25">
        <v>731342.7</v>
      </c>
      <c r="M87" s="25">
        <v>900690.7</v>
      </c>
      <c r="N87" s="25">
        <v>1632033.4</v>
      </c>
      <c r="O87" s="25">
        <v>1415844.2</v>
      </c>
      <c r="P87" s="25">
        <v>835516.5</v>
      </c>
      <c r="Q87" s="25">
        <v>560138.4</v>
      </c>
      <c r="R87" s="25">
        <v>-136665.86916658288</v>
      </c>
      <c r="S87" s="25">
        <v>-136073.06916658289</v>
      </c>
      <c r="T87" s="25">
        <v>595316.19999999995</v>
      </c>
      <c r="U87" s="25">
        <v>1882.6</v>
      </c>
      <c r="V87" s="25">
        <v>201721.10571999999</v>
      </c>
      <c r="W87" s="25">
        <v>205310.00571999999</v>
      </c>
      <c r="X87" s="25">
        <v>138003.98111200001</v>
      </c>
      <c r="Y87" s="25">
        <v>3588.9</v>
      </c>
      <c r="Z87" s="25">
        <v>4181.7</v>
      </c>
      <c r="AA87" s="25">
        <v>32031.9</v>
      </c>
      <c r="AB87" s="25">
        <v>25175</v>
      </c>
      <c r="AC87" s="25">
        <v>216189.2</v>
      </c>
      <c r="AD87" s="25">
        <v>406461.6</v>
      </c>
      <c r="AE87" s="25">
        <v>1205653.2</v>
      </c>
      <c r="AF87" s="25">
        <v>12463.7</v>
      </c>
      <c r="AG87" s="25">
        <v>3784616.1</v>
      </c>
      <c r="AH87" s="25">
        <v>595659.5</v>
      </c>
      <c r="AI87" s="25">
        <v>159947.5</v>
      </c>
      <c r="AJ87" s="27">
        <v>0.32029629629629619</v>
      </c>
      <c r="AK87" s="27">
        <v>9.4687499999999994E-2</v>
      </c>
      <c r="AL87" s="27">
        <v>0.14416842105263161</v>
      </c>
      <c r="AM87" s="27">
        <v>1.6605555555555554E-2</v>
      </c>
      <c r="AN87" s="25">
        <v>0.50954835757486105</v>
      </c>
      <c r="AO87" s="27">
        <v>0.42266818181818172</v>
      </c>
      <c r="AP87" s="25">
        <v>0.16866666666666671</v>
      </c>
      <c r="AQ87" s="27">
        <v>0.1555</v>
      </c>
    </row>
    <row r="88" spans="1:43" ht="13.2">
      <c r="A88" s="25" t="s">
        <v>128</v>
      </c>
      <c r="B88" s="25">
        <v>138</v>
      </c>
      <c r="C88" s="25">
        <v>6757.31</v>
      </c>
      <c r="D88" s="25">
        <v>1.2693965517241368</v>
      </c>
      <c r="E88" s="25">
        <v>64.512296925547147</v>
      </c>
      <c r="F88" s="25">
        <v>45.726358039840697</v>
      </c>
      <c r="G88" s="25">
        <v>40.49640758359552</v>
      </c>
      <c r="H88" s="25">
        <v>1.9698300546972499E-3</v>
      </c>
      <c r="I88" s="25">
        <v>0.116519275362319</v>
      </c>
      <c r="J88" s="25">
        <v>5.2973529411764697E-2</v>
      </c>
      <c r="K88" s="25">
        <v>0.52716434782608701</v>
      </c>
      <c r="L88" s="25">
        <v>851712.6</v>
      </c>
      <c r="M88" s="25">
        <v>38554.400000000001</v>
      </c>
      <c r="N88" s="25">
        <v>890267</v>
      </c>
      <c r="O88" s="25">
        <v>790762.4</v>
      </c>
      <c r="P88" s="25">
        <v>201278.6</v>
      </c>
      <c r="Q88" s="25">
        <v>18880</v>
      </c>
      <c r="R88" s="25">
        <v>-68.167897169864801</v>
      </c>
      <c r="S88" s="25">
        <v>3126.932102830137</v>
      </c>
      <c r="T88" s="25">
        <v>253917.3</v>
      </c>
      <c r="U88" s="25">
        <v>73679.399999999994</v>
      </c>
      <c r="V88" s="25">
        <v>71215.245459999991</v>
      </c>
      <c r="W88" s="25">
        <v>101510.54545999999</v>
      </c>
      <c r="X88" s="25">
        <v>56199.753949520004</v>
      </c>
      <c r="Y88" s="25">
        <v>30295.3</v>
      </c>
      <c r="Z88" s="25">
        <v>36671.599999999999</v>
      </c>
      <c r="AA88" s="25">
        <v>34484</v>
      </c>
      <c r="AB88" s="25">
        <v>14906.7</v>
      </c>
      <c r="AC88" s="25">
        <v>99504.6</v>
      </c>
      <c r="AD88" s="25">
        <v>30452.7</v>
      </c>
      <c r="AE88" s="25">
        <v>30099.599999999999</v>
      </c>
      <c r="AF88" s="25">
        <v>116665.1</v>
      </c>
      <c r="AG88" s="25">
        <v>371980</v>
      </c>
      <c r="AH88" s="25">
        <v>20520.599999999999</v>
      </c>
      <c r="AI88" s="25">
        <v>263303.09999999998</v>
      </c>
      <c r="AJ88" s="27">
        <v>0.15057807017543851</v>
      </c>
      <c r="AK88" s="27">
        <v>-4.0540540540540501E-4</v>
      </c>
      <c r="AL88" s="27">
        <v>4.4420212765957416E-2</v>
      </c>
      <c r="AM88" s="27">
        <v>2.5922727272727299E-2</v>
      </c>
      <c r="AN88" s="25">
        <v>0.48349474031087097</v>
      </c>
      <c r="AO88" s="27">
        <v>0.63569532710280374</v>
      </c>
      <c r="AP88" s="25">
        <v>0.2029</v>
      </c>
      <c r="AQ88" s="27">
        <v>0.25624999999999998</v>
      </c>
    </row>
    <row r="89" spans="1:43" ht="13.2">
      <c r="A89" s="25" t="s">
        <v>129</v>
      </c>
      <c r="B89" s="25">
        <v>16</v>
      </c>
      <c r="C89" s="25">
        <v>334.00799999999998</v>
      </c>
      <c r="D89" s="25">
        <v>1.532142857142857</v>
      </c>
      <c r="E89" s="25">
        <v>17.2586811178824</v>
      </c>
      <c r="F89" s="25">
        <v>12.787732132301411</v>
      </c>
      <c r="G89" s="25">
        <v>18.315924138190613</v>
      </c>
      <c r="H89" s="25">
        <v>8.5054413148791697E-4</v>
      </c>
      <c r="I89" s="25">
        <v>0.25663312500000002</v>
      </c>
      <c r="J89" s="25">
        <v>6.50642857142857E-2</v>
      </c>
      <c r="K89" s="25">
        <v>0.80807333333333298</v>
      </c>
      <c r="L89" s="25">
        <v>93687.4</v>
      </c>
      <c r="M89" s="25">
        <v>8345.6</v>
      </c>
      <c r="N89" s="25">
        <v>102033</v>
      </c>
      <c r="O89" s="25">
        <v>87764.9</v>
      </c>
      <c r="P89" s="25">
        <v>26144</v>
      </c>
      <c r="Q89" s="25">
        <v>7017.7</v>
      </c>
      <c r="R89" s="25">
        <v>-222.11932135432178</v>
      </c>
      <c r="S89" s="25">
        <v>-250.6193213543219</v>
      </c>
      <c r="T89" s="25">
        <v>42991.6</v>
      </c>
      <c r="U89" s="25">
        <v>10469.4</v>
      </c>
      <c r="V89" s="25">
        <v>10568.967780000001</v>
      </c>
      <c r="W89" s="25">
        <v>12501.467780000001</v>
      </c>
      <c r="X89" s="25">
        <v>7785.4715109999988</v>
      </c>
      <c r="Y89" s="25">
        <v>1932.5</v>
      </c>
      <c r="Z89" s="25">
        <v>2005.2</v>
      </c>
      <c r="AA89" s="25">
        <v>6319.8</v>
      </c>
      <c r="AB89" s="25">
        <v>2790.8</v>
      </c>
      <c r="AC89" s="25">
        <v>14268.1</v>
      </c>
      <c r="AD89" s="25">
        <v>8485.6</v>
      </c>
      <c r="AE89" s="25">
        <v>5844.7</v>
      </c>
      <c r="AF89" s="25">
        <v>9017.6</v>
      </c>
      <c r="AG89" s="25">
        <v>51936.4</v>
      </c>
      <c r="AH89" s="25">
        <v>6037.5</v>
      </c>
      <c r="AI89" s="25">
        <v>32066.5</v>
      </c>
      <c r="AJ89" s="27">
        <v>0.28610000000000002</v>
      </c>
      <c r="AK89" s="27">
        <v>5.4000000000000006E-2</v>
      </c>
      <c r="AL89" s="27">
        <v>2.138E-2</v>
      </c>
      <c r="AM89" s="27">
        <v>2.508666666666667E-2</v>
      </c>
      <c r="AN89" s="25">
        <v>0.65866765417099804</v>
      </c>
      <c r="AO89" s="27">
        <v>0.37155333333333346</v>
      </c>
      <c r="AP89" s="25">
        <v>0.18692307692307686</v>
      </c>
      <c r="AQ89" s="27">
        <v>0</v>
      </c>
    </row>
    <row r="90" spans="1:43" ht="13.2">
      <c r="A90" s="25" t="s">
        <v>130</v>
      </c>
      <c r="B90" s="25">
        <v>20</v>
      </c>
      <c r="C90" s="25">
        <v>522.0680000000001</v>
      </c>
      <c r="D90" s="25">
        <v>1.052941176470588</v>
      </c>
      <c r="E90" s="25">
        <v>15.514685084371878</v>
      </c>
      <c r="F90" s="25">
        <v>15.937519828726462</v>
      </c>
      <c r="G90" s="25">
        <v>19.107628166554417</v>
      </c>
      <c r="H90" s="25">
        <v>5.7081971081066997E-3</v>
      </c>
      <c r="I90" s="25">
        <v>0.32166050000000002</v>
      </c>
      <c r="J90" s="25">
        <v>0.468663636363636</v>
      </c>
      <c r="K90" s="25">
        <v>0.59391666666666698</v>
      </c>
      <c r="L90" s="25">
        <v>89645.7</v>
      </c>
      <c r="M90" s="25">
        <v>2351.1999999999998</v>
      </c>
      <c r="N90" s="25">
        <v>91996.9</v>
      </c>
      <c r="O90" s="25">
        <v>84163.8</v>
      </c>
      <c r="P90" s="25">
        <v>16614.099999999999</v>
      </c>
      <c r="Q90" s="25">
        <v>9333.1</v>
      </c>
      <c r="R90" s="25">
        <v>-344.44702384930042</v>
      </c>
      <c r="S90" s="25">
        <v>-139.64702384930038</v>
      </c>
      <c r="T90" s="25">
        <v>56495.4</v>
      </c>
      <c r="U90" s="25">
        <v>17295.2</v>
      </c>
      <c r="V90" s="25">
        <v>7518.3</v>
      </c>
      <c r="W90" s="25">
        <v>8492.2000000000007</v>
      </c>
      <c r="X90" s="25">
        <v>4913.029993000001</v>
      </c>
      <c r="Y90" s="25">
        <v>973.9</v>
      </c>
      <c r="Z90" s="25">
        <v>1391.8</v>
      </c>
      <c r="AA90" s="25">
        <v>4358.8999999999996</v>
      </c>
      <c r="AB90" s="25">
        <v>2350.9</v>
      </c>
      <c r="AC90" s="25">
        <v>7833.1</v>
      </c>
      <c r="AD90" s="25">
        <v>7060.2</v>
      </c>
      <c r="AE90" s="25">
        <v>8142.5</v>
      </c>
      <c r="AF90" s="25">
        <v>5306</v>
      </c>
      <c r="AG90" s="25">
        <v>34148.5</v>
      </c>
      <c r="AH90" s="25">
        <v>3636.2</v>
      </c>
      <c r="AI90" s="25">
        <v>22109.8</v>
      </c>
      <c r="AJ90" s="27">
        <v>0.18652631578947365</v>
      </c>
      <c r="AK90" s="27">
        <v>0.13730769230769233</v>
      </c>
      <c r="AL90" s="27">
        <v>0.1857</v>
      </c>
      <c r="AM90" s="27">
        <v>1.4675000000000001E-2</v>
      </c>
      <c r="AN90" s="25">
        <v>0.49690339143465301</v>
      </c>
      <c r="AO90" s="27">
        <v>0.37817058823529409</v>
      </c>
      <c r="AP90" s="25">
        <v>0.12237857142857138</v>
      </c>
      <c r="AQ90" s="27">
        <v>0.22899999999999998</v>
      </c>
    </row>
    <row r="91" spans="1:43" ht="13.2">
      <c r="A91" s="25" t="s">
        <v>131</v>
      </c>
      <c r="B91" s="25">
        <v>26</v>
      </c>
      <c r="C91" s="25">
        <v>642.36</v>
      </c>
      <c r="D91" s="25">
        <v>1.2815789473684209</v>
      </c>
      <c r="E91" s="25">
        <v>26.2329264956714</v>
      </c>
      <c r="F91" s="25">
        <v>21.322858706873085</v>
      </c>
      <c r="G91" s="25">
        <v>19.284962622804599</v>
      </c>
      <c r="H91" s="25">
        <v>8.8819866504496001E-3</v>
      </c>
      <c r="I91" s="25">
        <v>0.30162632478632501</v>
      </c>
      <c r="J91" s="25">
        <v>7.8312499999999993E-2</v>
      </c>
      <c r="K91" s="25">
        <v>0.53332631578947398</v>
      </c>
      <c r="L91" s="25">
        <v>98707.9</v>
      </c>
      <c r="M91" s="25">
        <v>10868.3</v>
      </c>
      <c r="N91" s="25">
        <v>109576.2</v>
      </c>
      <c r="O91" s="25">
        <v>101177.5</v>
      </c>
      <c r="P91" s="25">
        <v>34853.300000000003</v>
      </c>
      <c r="Q91" s="25">
        <v>14357.9</v>
      </c>
      <c r="R91" s="25">
        <v>-538.55024317020809</v>
      </c>
      <c r="S91" s="25">
        <v>-148.0502431702082</v>
      </c>
      <c r="T91" s="25">
        <v>107241.3</v>
      </c>
      <c r="U91" s="25">
        <v>6556.7</v>
      </c>
      <c r="V91" s="25">
        <v>15674.259319999999</v>
      </c>
      <c r="W91" s="25">
        <v>17809.85932</v>
      </c>
      <c r="X91" s="25">
        <v>10284.010964555549</v>
      </c>
      <c r="Y91" s="25">
        <v>2135.6</v>
      </c>
      <c r="Z91" s="25">
        <v>2860.3</v>
      </c>
      <c r="AA91" s="25">
        <v>8456.2999999999993</v>
      </c>
      <c r="AB91" s="25">
        <v>3673.3</v>
      </c>
      <c r="AC91" s="25">
        <v>8398.7000000000007</v>
      </c>
      <c r="AD91" s="25">
        <v>11203.9</v>
      </c>
      <c r="AE91" s="25">
        <v>13494.9</v>
      </c>
      <c r="AF91" s="25">
        <v>19571.3</v>
      </c>
      <c r="AG91" s="25">
        <v>62176.6</v>
      </c>
      <c r="AH91" s="25">
        <v>6680.6</v>
      </c>
      <c r="AI91" s="25">
        <v>32424.1</v>
      </c>
      <c r="AJ91" s="27">
        <v>0.117688</v>
      </c>
      <c r="AK91" s="27">
        <v>0.32250000000000001</v>
      </c>
      <c r="AL91" s="27">
        <v>0.3634842105263158</v>
      </c>
      <c r="AM91" s="27">
        <v>1.7105555555555554E-2</v>
      </c>
      <c r="AN91" s="25">
        <v>0.55173067277659305</v>
      </c>
      <c r="AO91" s="27">
        <v>0.37431666666666635</v>
      </c>
      <c r="AP91" s="25">
        <v>0.11</v>
      </c>
      <c r="AQ91" s="27">
        <v>0.1</v>
      </c>
    </row>
    <row r="92" spans="1:43" ht="13.2">
      <c r="A92" s="25" t="s">
        <v>132</v>
      </c>
      <c r="B92" s="25">
        <v>14</v>
      </c>
      <c r="C92" s="25">
        <v>1926.0820000000001</v>
      </c>
      <c r="D92" s="25">
        <v>1.0653846153846147</v>
      </c>
      <c r="E92" s="25">
        <v>15.665364533715</v>
      </c>
      <c r="F92" s="25">
        <v>10.901426340429191</v>
      </c>
      <c r="G92" s="25">
        <v>12.398454491883831</v>
      </c>
      <c r="H92" s="25">
        <v>3.5723692972406502E-3</v>
      </c>
      <c r="I92" s="25">
        <v>0.239432857142857</v>
      </c>
      <c r="J92" s="25">
        <v>1.96666666666667E-2</v>
      </c>
      <c r="K92" s="25">
        <v>0.30069166666666702</v>
      </c>
      <c r="L92" s="25">
        <v>406283.5</v>
      </c>
      <c r="M92" s="25">
        <v>76796.3</v>
      </c>
      <c r="N92" s="25">
        <v>483079.8</v>
      </c>
      <c r="O92" s="25">
        <v>454949</v>
      </c>
      <c r="P92" s="25">
        <v>206949.4</v>
      </c>
      <c r="Q92" s="25">
        <v>50608.5</v>
      </c>
      <c r="R92" s="25">
        <v>-10697.19617005118</v>
      </c>
      <c r="S92" s="25">
        <v>-9741.9961700511776</v>
      </c>
      <c r="T92" s="25">
        <v>247206.1</v>
      </c>
      <c r="U92" s="25">
        <v>13963.8</v>
      </c>
      <c r="V92" s="25">
        <v>46097.599999999999</v>
      </c>
      <c r="W92" s="25">
        <v>56684.1</v>
      </c>
      <c r="X92" s="25">
        <v>36543.245859999995</v>
      </c>
      <c r="Y92" s="25">
        <v>10586.5</v>
      </c>
      <c r="Z92" s="25">
        <v>16656.900000000001</v>
      </c>
      <c r="AA92" s="25">
        <v>25311.9</v>
      </c>
      <c r="AB92" s="25">
        <v>14291.7</v>
      </c>
      <c r="AC92" s="25">
        <v>28130.799999999999</v>
      </c>
      <c r="AD92" s="25">
        <v>35809.199999999997</v>
      </c>
      <c r="AE92" s="25">
        <v>59220.3</v>
      </c>
      <c r="AF92" s="25">
        <v>163289.5</v>
      </c>
      <c r="AG92" s="25">
        <v>359363</v>
      </c>
      <c r="AH92" s="25">
        <v>28971</v>
      </c>
      <c r="AI92" s="25">
        <v>158283.9</v>
      </c>
      <c r="AJ92" s="27">
        <v>0.1176454545454545</v>
      </c>
      <c r="AK92" s="27">
        <v>0.156</v>
      </c>
      <c r="AL92" s="27">
        <v>0.1997888888888889</v>
      </c>
      <c r="AM92" s="27">
        <v>1.9744444444444439E-2</v>
      </c>
      <c r="AN92" s="25">
        <v>0.428458977865394</v>
      </c>
      <c r="AO92" s="27">
        <v>0.64438181818181794</v>
      </c>
      <c r="AP92" s="25">
        <v>9.5228571428571426E-2</v>
      </c>
      <c r="AQ92" s="27">
        <v>6.2E-2</v>
      </c>
    </row>
    <row r="93" spans="1:43" ht="13.2">
      <c r="A93" s="25" t="s">
        <v>133</v>
      </c>
      <c r="B93" s="25">
        <v>124</v>
      </c>
      <c r="C93" s="25">
        <v>4786.7709999999997</v>
      </c>
      <c r="D93" s="25">
        <v>1.086633663366336</v>
      </c>
      <c r="E93" s="25">
        <v>102.3438399846256</v>
      </c>
      <c r="F93" s="25">
        <v>66.4807611726809</v>
      </c>
      <c r="G93" s="25">
        <v>29.442955387754139</v>
      </c>
      <c r="H93" s="25">
        <v>1.1172767242153599E-3</v>
      </c>
      <c r="I93" s="25">
        <v>0.127766090667084</v>
      </c>
      <c r="J93" s="25">
        <v>6.6162499999999999E-2</v>
      </c>
      <c r="K93" s="25">
        <v>0.36433186813186802</v>
      </c>
      <c r="L93" s="25">
        <v>1134587.22698</v>
      </c>
      <c r="M93" s="25">
        <v>62464.3</v>
      </c>
      <c r="N93" s="25">
        <v>1197051.5269800001</v>
      </c>
      <c r="O93" s="25">
        <v>1022143.52698</v>
      </c>
      <c r="P93" s="25">
        <v>170120.5</v>
      </c>
      <c r="Q93" s="25">
        <v>3733.2999999999902</v>
      </c>
      <c r="R93" s="25">
        <v>1128.2338282487808</v>
      </c>
      <c r="S93" s="25">
        <v>585.4338282487812</v>
      </c>
      <c r="T93" s="25">
        <v>444346.6</v>
      </c>
      <c r="U93" s="25">
        <v>118208.5</v>
      </c>
      <c r="V93" s="25">
        <v>67382.439799999993</v>
      </c>
      <c r="W93" s="25">
        <v>80102.039800000013</v>
      </c>
      <c r="X93" s="25">
        <v>49250.176033530683</v>
      </c>
      <c r="Y93" s="25">
        <v>12719.6</v>
      </c>
      <c r="Z93" s="25">
        <v>11657</v>
      </c>
      <c r="AA93" s="25">
        <v>41746</v>
      </c>
      <c r="AB93" s="25">
        <v>21740.799999999999</v>
      </c>
      <c r="AC93" s="25">
        <v>174908</v>
      </c>
      <c r="AD93" s="25">
        <v>81206.899999999994</v>
      </c>
      <c r="AE93" s="25">
        <v>36507.4</v>
      </c>
      <c r="AF93" s="25">
        <v>36669.199999999997</v>
      </c>
      <c r="AG93" s="25">
        <v>559127.09999999928</v>
      </c>
      <c r="AH93" s="25">
        <v>46919.3</v>
      </c>
      <c r="AI93" s="25">
        <v>283613.7</v>
      </c>
      <c r="AJ93" s="27">
        <v>0.1671254716981132</v>
      </c>
      <c r="AK93" s="27">
        <v>8.0178571428571405E-2</v>
      </c>
      <c r="AL93" s="27">
        <v>0.13332659574468084</v>
      </c>
      <c r="AM93" s="27">
        <v>1.97609756097561E-2</v>
      </c>
      <c r="AN93" s="25">
        <v>0.38131484285344303</v>
      </c>
      <c r="AO93" s="27">
        <v>0.75785473684210525</v>
      </c>
      <c r="AP93" s="25">
        <v>0.18814146341463409</v>
      </c>
      <c r="AQ93" s="27">
        <v>0.01</v>
      </c>
    </row>
    <row r="94" spans="1:43" ht="13.2">
      <c r="A94" s="25" t="s">
        <v>134</v>
      </c>
      <c r="B94" s="25">
        <v>152</v>
      </c>
      <c r="C94" s="25">
        <v>32682.481000000014</v>
      </c>
      <c r="D94" s="25">
        <v>0.94406779661016904</v>
      </c>
      <c r="E94" s="25">
        <v>95.668819906245147</v>
      </c>
      <c r="F94" s="25">
        <v>39.649062764039222</v>
      </c>
      <c r="G94" s="25">
        <v>32.577893022895097</v>
      </c>
      <c r="H94" s="25">
        <v>1.01210157283775E-2</v>
      </c>
      <c r="I94" s="25">
        <v>0.124234407894737</v>
      </c>
      <c r="J94" s="25">
        <v>0.14043333333333299</v>
      </c>
      <c r="K94" s="25">
        <v>0.33629339622641502</v>
      </c>
      <c r="L94" s="25">
        <v>2462760.7999999998</v>
      </c>
      <c r="M94" s="25">
        <v>830146.8</v>
      </c>
      <c r="N94" s="25">
        <v>3292907.6</v>
      </c>
      <c r="O94" s="25">
        <v>3182522.9</v>
      </c>
      <c r="P94" s="25">
        <v>1728586.2</v>
      </c>
      <c r="Q94" s="25">
        <v>-105816.9</v>
      </c>
      <c r="R94" s="25">
        <v>7184.13372255992</v>
      </c>
      <c r="S94" s="25">
        <v>12501.433722559923</v>
      </c>
      <c r="T94" s="25">
        <v>1121161.8</v>
      </c>
      <c r="U94" s="25">
        <v>302938.59999999998</v>
      </c>
      <c r="V94" s="25">
        <v>344884.22438999999</v>
      </c>
      <c r="W94" s="25">
        <v>465414.82439000014</v>
      </c>
      <c r="X94" s="25">
        <v>271673.03276899987</v>
      </c>
      <c r="Y94" s="25">
        <v>120530.6</v>
      </c>
      <c r="Z94" s="25">
        <v>196435.5</v>
      </c>
      <c r="AA94" s="25">
        <v>59248.9</v>
      </c>
      <c r="AB94" s="25">
        <v>47584.800000000003</v>
      </c>
      <c r="AC94" s="25">
        <v>110384.7</v>
      </c>
      <c r="AD94" s="25">
        <v>173080.3</v>
      </c>
      <c r="AE94" s="25">
        <v>16363.1</v>
      </c>
      <c r="AF94" s="25">
        <v>946258.6</v>
      </c>
      <c r="AG94" s="25">
        <v>2693322.7</v>
      </c>
      <c r="AH94" s="25">
        <v>230186</v>
      </c>
      <c r="AI94" s="25">
        <v>1013049.4</v>
      </c>
      <c r="AJ94" s="27">
        <v>0.26565555555555548</v>
      </c>
      <c r="AK94" s="27">
        <v>3.9761904761904762E-2</v>
      </c>
      <c r="AL94" s="27">
        <v>0.12175324675324681</v>
      </c>
      <c r="AM94" s="27">
        <v>1.337058823529412E-2</v>
      </c>
      <c r="AN94" s="25">
        <v>0.39792486193354798</v>
      </c>
      <c r="AO94" s="27">
        <v>0.73680224719101117</v>
      </c>
      <c r="AP94" s="25">
        <v>0.15267954545454548</v>
      </c>
      <c r="AQ94" s="27">
        <v>8.4722222222222199E-2</v>
      </c>
    </row>
    <row r="95" spans="1:43" ht="13.2">
      <c r="A95" s="25" t="s">
        <v>135</v>
      </c>
      <c r="B95" s="25">
        <v>234</v>
      </c>
      <c r="C95" s="25">
        <v>3886.0929999999998</v>
      </c>
      <c r="D95" s="25">
        <v>0.58582474226804104</v>
      </c>
      <c r="E95" s="25">
        <v>21.505284662314089</v>
      </c>
      <c r="F95" s="25">
        <v>37.230502912640247</v>
      </c>
      <c r="G95" s="25">
        <v>26.182206816678878</v>
      </c>
      <c r="H95" s="25">
        <v>1.8320409624079801E-2</v>
      </c>
      <c r="I95" s="25">
        <v>0.20687538461538499</v>
      </c>
      <c r="J95" s="25">
        <v>5.7344444444444399E-2</v>
      </c>
      <c r="K95" s="25">
        <v>0.23878578947368401</v>
      </c>
      <c r="L95" s="25">
        <v>156595.5</v>
      </c>
      <c r="M95" s="25">
        <v>41035</v>
      </c>
      <c r="N95" s="25">
        <v>197630.5</v>
      </c>
      <c r="O95" s="25">
        <v>181745.4</v>
      </c>
      <c r="P95" s="25">
        <v>98003.9</v>
      </c>
      <c r="Q95" s="25">
        <v>0</v>
      </c>
      <c r="R95" s="25">
        <v>0</v>
      </c>
      <c r="S95" s="25">
        <v>0</v>
      </c>
      <c r="T95" s="25">
        <v>0</v>
      </c>
      <c r="U95" s="25">
        <v>14260.8</v>
      </c>
      <c r="V95" s="25">
        <v>23927.200000000001</v>
      </c>
      <c r="W95" s="25">
        <v>23927.200000000001</v>
      </c>
      <c r="X95" s="25">
        <v>16578.715650999988</v>
      </c>
      <c r="Y95" s="25">
        <v>0</v>
      </c>
      <c r="Z95" s="25">
        <v>0</v>
      </c>
      <c r="AA95" s="25">
        <v>6653.5</v>
      </c>
      <c r="AB95" s="25">
        <v>5585.5</v>
      </c>
      <c r="AC95" s="25">
        <v>15885.1</v>
      </c>
      <c r="AD95" s="25">
        <v>0</v>
      </c>
      <c r="AE95" s="25">
        <v>0</v>
      </c>
      <c r="AF95" s="25">
        <v>7143.1</v>
      </c>
      <c r="AG95" s="25">
        <v>798249.4</v>
      </c>
      <c r="AH95" s="25">
        <v>0</v>
      </c>
      <c r="AI95" s="25">
        <v>74253.3</v>
      </c>
      <c r="AJ95" s="27">
        <v>0</v>
      </c>
      <c r="AK95" s="27">
        <v>9.0609756097560973E-2</v>
      </c>
      <c r="AL95" s="27">
        <v>4.9139189189189206E-2</v>
      </c>
      <c r="AM95" s="27">
        <v>4.9469696969697005E-3</v>
      </c>
      <c r="AN95" s="25">
        <v>0.50131163669065704</v>
      </c>
      <c r="AO95" s="27">
        <v>0.23924629629629623</v>
      </c>
      <c r="AP95" s="25">
        <v>9.9388095238095234E-2</v>
      </c>
      <c r="AQ95" s="27">
        <v>0.14289473684210527</v>
      </c>
    </row>
    <row r="96" spans="1:43" ht="13.2">
      <c r="A96" s="25" t="s">
        <v>136</v>
      </c>
      <c r="B96" s="25">
        <v>11</v>
      </c>
      <c r="C96" s="25">
        <v>11569.308999999999</v>
      </c>
      <c r="D96" s="25">
        <v>0.7</v>
      </c>
      <c r="E96" s="25">
        <v>18.204995100330699</v>
      </c>
      <c r="F96" s="25">
        <v>15.372219633857693</v>
      </c>
      <c r="G96" s="25">
        <v>28.719520606217888</v>
      </c>
      <c r="H96" s="25">
        <v>2.8161552898925E-2</v>
      </c>
      <c r="I96" s="25">
        <v>0.27571363636363599</v>
      </c>
      <c r="J96" s="25">
        <v>1.4475E-2</v>
      </c>
      <c r="K96" s="25">
        <v>0.34449999999999997</v>
      </c>
      <c r="L96" s="25">
        <v>557389.19999999995</v>
      </c>
      <c r="M96" s="25">
        <v>42004.2</v>
      </c>
      <c r="N96" s="25">
        <v>599393.4</v>
      </c>
      <c r="O96" s="25">
        <v>586961.6</v>
      </c>
      <c r="P96" s="25">
        <v>87590.5</v>
      </c>
      <c r="Q96" s="25">
        <v>1091.0999999999999</v>
      </c>
      <c r="R96" s="25">
        <v>528.50945657836439</v>
      </c>
      <c r="S96" s="25">
        <v>888.70945657836467</v>
      </c>
      <c r="T96" s="25">
        <v>355912.8</v>
      </c>
      <c r="U96" s="25">
        <v>29052.799999999999</v>
      </c>
      <c r="V96" s="25">
        <v>32930.198839999997</v>
      </c>
      <c r="W96" s="25">
        <v>35762.598839999999</v>
      </c>
      <c r="X96" s="25">
        <v>23704.825315999999</v>
      </c>
      <c r="Y96" s="25">
        <v>2832.4</v>
      </c>
      <c r="Z96" s="25">
        <v>3192.6</v>
      </c>
      <c r="AA96" s="25">
        <v>17049.099999999999</v>
      </c>
      <c r="AB96" s="25">
        <v>15364.8</v>
      </c>
      <c r="AC96" s="25">
        <v>12431.8</v>
      </c>
      <c r="AD96" s="25">
        <v>10749.5</v>
      </c>
      <c r="AE96" s="25">
        <v>19640.8</v>
      </c>
      <c r="AF96" s="25">
        <v>23765</v>
      </c>
      <c r="AG96" s="25">
        <v>162932.4</v>
      </c>
      <c r="AH96" s="25">
        <v>12152.5</v>
      </c>
      <c r="AI96" s="25">
        <v>58231.1</v>
      </c>
      <c r="AJ96" s="27">
        <v>-4.9562499999999995E-2</v>
      </c>
      <c r="AK96" s="27">
        <v>1.833333333333333E-2</v>
      </c>
      <c r="AL96" s="27">
        <v>0.22796666666666671</v>
      </c>
      <c r="AM96" s="27">
        <v>6.8625000000000005E-3</v>
      </c>
      <c r="AN96" s="25">
        <v>0.50305788218513903</v>
      </c>
      <c r="AO96" s="27">
        <v>0.74346999999999996</v>
      </c>
      <c r="AP96" s="25">
        <v>8.083333333333334E-2</v>
      </c>
      <c r="AQ96" s="27">
        <v>6.2857142857142861E-2</v>
      </c>
    </row>
    <row r="97" spans="1:43" ht="13.2">
      <c r="A97" s="25" t="s">
        <v>137</v>
      </c>
      <c r="B97" s="25">
        <v>21</v>
      </c>
      <c r="C97" s="25">
        <v>747.0390000000001</v>
      </c>
      <c r="D97" s="25">
        <v>0.85294117647058798</v>
      </c>
      <c r="E97" s="25">
        <v>41.468098788742239</v>
      </c>
      <c r="F97" s="25">
        <v>18.144381669073798</v>
      </c>
      <c r="G97" s="25">
        <v>61.096705267588497</v>
      </c>
      <c r="H97" s="25">
        <v>7.6950265301533698E-3</v>
      </c>
      <c r="I97" s="25">
        <v>0.18341095238095201</v>
      </c>
      <c r="J97" s="25">
        <v>0.21684444444444401</v>
      </c>
      <c r="K97" s="25">
        <v>0.45738333333333298</v>
      </c>
      <c r="L97" s="25">
        <v>100984.1</v>
      </c>
      <c r="M97" s="25">
        <v>16378.1</v>
      </c>
      <c r="N97" s="25">
        <v>117362.2</v>
      </c>
      <c r="O97" s="25">
        <v>111641.4</v>
      </c>
      <c r="P97" s="25">
        <v>25545.8</v>
      </c>
      <c r="Q97" s="25">
        <v>4510</v>
      </c>
      <c r="R97" s="25">
        <v>-98.409029971105454</v>
      </c>
      <c r="S97" s="25">
        <v>-5.8090299711053852</v>
      </c>
      <c r="T97" s="25">
        <v>62628.2</v>
      </c>
      <c r="U97" s="25">
        <v>32362.3</v>
      </c>
      <c r="V97" s="25">
        <v>8500.1619100000007</v>
      </c>
      <c r="W97" s="25">
        <v>10538.96191</v>
      </c>
      <c r="X97" s="25">
        <v>5484.7249970000003</v>
      </c>
      <c r="Y97" s="25">
        <v>2038.8</v>
      </c>
      <c r="Z97" s="25">
        <v>2211.4</v>
      </c>
      <c r="AA97" s="25">
        <v>3362.2</v>
      </c>
      <c r="AB97" s="25">
        <v>2021.4</v>
      </c>
      <c r="AC97" s="25">
        <v>5720.8</v>
      </c>
      <c r="AD97" s="25">
        <v>6507.7</v>
      </c>
      <c r="AE97" s="25">
        <v>7706.9</v>
      </c>
      <c r="AF97" s="25">
        <v>8508.7999999999993</v>
      </c>
      <c r="AG97" s="25">
        <v>48171.199999999997</v>
      </c>
      <c r="AH97" s="25">
        <v>4179.3999999999996</v>
      </c>
      <c r="AI97" s="25">
        <v>14888.5</v>
      </c>
      <c r="AJ97" s="27">
        <v>2.788888888888888E-2</v>
      </c>
      <c r="AK97" s="27">
        <v>8.9090909090909096E-2</v>
      </c>
      <c r="AL97" s="27">
        <v>0.10071999999999999</v>
      </c>
      <c r="AM97" s="27">
        <v>8.5214285714285704E-3</v>
      </c>
      <c r="AN97" s="25">
        <v>0.44367314394194102</v>
      </c>
      <c r="AO97" s="27">
        <v>0.37369411764705895</v>
      </c>
      <c r="AP97" s="25">
        <v>0.11347500000000001</v>
      </c>
      <c r="AQ97" s="27">
        <v>7.7499999999999999E-2</v>
      </c>
    </row>
    <row r="98" spans="1:43" ht="13.2">
      <c r="A98" s="25" t="s">
        <v>138</v>
      </c>
      <c r="B98" s="25">
        <v>32</v>
      </c>
      <c r="C98" s="25">
        <v>259.82</v>
      </c>
      <c r="D98" s="25">
        <v>1.0419354838709678</v>
      </c>
      <c r="E98" s="25">
        <v>11.900411026099912</v>
      </c>
      <c r="F98" s="25">
        <v>16.951866117782444</v>
      </c>
      <c r="G98" s="25">
        <v>33.282493473305337</v>
      </c>
      <c r="H98" s="25">
        <v>7.6976578137137597E-3</v>
      </c>
      <c r="I98" s="25">
        <v>0.31496249999999998</v>
      </c>
      <c r="J98" s="25">
        <v>0.1202125</v>
      </c>
      <c r="K98" s="25">
        <v>0.56976923076923103</v>
      </c>
      <c r="L98" s="25">
        <v>49679.5</v>
      </c>
      <c r="M98" s="25">
        <v>24241.3</v>
      </c>
      <c r="N98" s="25">
        <v>73920.800000000003</v>
      </c>
      <c r="O98" s="25">
        <v>70036.2</v>
      </c>
      <c r="P98" s="25">
        <v>46882</v>
      </c>
      <c r="Q98" s="25">
        <v>5896.9</v>
      </c>
      <c r="R98" s="25">
        <v>-57.813695712508228</v>
      </c>
      <c r="S98" s="25">
        <v>6853.1863042874902</v>
      </c>
      <c r="T98" s="25">
        <v>95046.2</v>
      </c>
      <c r="U98" s="25">
        <v>5817</v>
      </c>
      <c r="V98" s="25">
        <v>13766.50992</v>
      </c>
      <c r="W98" s="25">
        <v>19380.209920000001</v>
      </c>
      <c r="X98" s="25">
        <v>8705.7028890000001</v>
      </c>
      <c r="Y98" s="25">
        <v>5613.7</v>
      </c>
      <c r="Z98" s="25">
        <v>19601.099999999999</v>
      </c>
      <c r="AA98" s="25">
        <v>4232.3</v>
      </c>
      <c r="AB98" s="25">
        <v>1599.1</v>
      </c>
      <c r="AC98" s="25">
        <v>3884.6</v>
      </c>
      <c r="AD98" s="25">
        <v>11519.3</v>
      </c>
      <c r="AE98" s="25">
        <v>449.3</v>
      </c>
      <c r="AF98" s="25">
        <v>32719.1</v>
      </c>
      <c r="AG98" s="25">
        <v>74607.7</v>
      </c>
      <c r="AH98" s="25">
        <v>4978.6000000000004</v>
      </c>
      <c r="AI98" s="25">
        <v>26647.599999999999</v>
      </c>
      <c r="AJ98" s="27">
        <v>9.2433333333333312E-2</v>
      </c>
      <c r="AK98" s="27">
        <v>0.17368421052631577</v>
      </c>
      <c r="AL98" s="27">
        <v>0.17578076923076921</v>
      </c>
      <c r="AM98" s="27">
        <v>9.7680000000000006E-3</v>
      </c>
      <c r="AN98" s="25">
        <v>0.51603071105132903</v>
      </c>
      <c r="AO98" s="27">
        <v>0.35037037037037039</v>
      </c>
      <c r="AP98" s="25">
        <v>9.6742105263157879E-2</v>
      </c>
      <c r="AQ98" s="27">
        <v>0.15</v>
      </c>
    </row>
    <row r="99" spans="1:43" ht="13.2">
      <c r="A99" s="25" t="s">
        <v>139</v>
      </c>
      <c r="B99" s="25">
        <v>1</v>
      </c>
      <c r="C99" s="25">
        <v>0</v>
      </c>
      <c r="D99" s="25" t="e">
        <v>#DIV/0!</v>
      </c>
      <c r="E99" s="25" t="e">
        <v>#DIV/0!</v>
      </c>
      <c r="F99" s="25" t="e">
        <v>#DIV/0!</v>
      </c>
      <c r="G99" s="25" t="e">
        <v>#DIV/0!</v>
      </c>
      <c r="H99" s="25" t="e">
        <v>#DIV/0!</v>
      </c>
      <c r="I99" s="25">
        <v>0</v>
      </c>
      <c r="J99" s="25" t="e">
        <v>#DIV/0!</v>
      </c>
      <c r="K99" s="25" t="e">
        <v>#DIV/0!</v>
      </c>
      <c r="L99" s="25">
        <v>0</v>
      </c>
      <c r="M99" s="25">
        <v>0</v>
      </c>
      <c r="N99" s="25">
        <v>0</v>
      </c>
      <c r="O99" s="25">
        <v>0</v>
      </c>
      <c r="P99" s="25">
        <v>0</v>
      </c>
      <c r="Q99" s="25">
        <v>0</v>
      </c>
      <c r="R99" s="25">
        <v>0</v>
      </c>
      <c r="S99" s="25">
        <v>0</v>
      </c>
      <c r="T99" s="25">
        <v>0</v>
      </c>
      <c r="U99" s="25">
        <v>0</v>
      </c>
      <c r="V99" s="25">
        <v>0</v>
      </c>
      <c r="W99" s="25">
        <v>0</v>
      </c>
      <c r="X99" s="25">
        <v>0</v>
      </c>
      <c r="Y99" s="25">
        <v>0</v>
      </c>
      <c r="Z99" s="25">
        <v>0</v>
      </c>
      <c r="AA99" s="25">
        <v>0</v>
      </c>
      <c r="AB99" s="25">
        <v>0</v>
      </c>
      <c r="AC99" s="25">
        <v>0</v>
      </c>
      <c r="AD99" s="25">
        <v>0</v>
      </c>
      <c r="AE99" s="25">
        <v>0</v>
      </c>
      <c r="AF99" s="25">
        <v>0</v>
      </c>
      <c r="AG99" s="25">
        <v>0</v>
      </c>
      <c r="AH99" s="25">
        <v>0</v>
      </c>
      <c r="AI99" s="25"/>
      <c r="AJ99" s="27">
        <v>0</v>
      </c>
      <c r="AK99" s="27">
        <v>0</v>
      </c>
      <c r="AL99" s="27">
        <v>0</v>
      </c>
      <c r="AM99" s="27">
        <v>0</v>
      </c>
      <c r="AN99" s="25" t="e">
        <v>#DIV/0!</v>
      </c>
      <c r="AO99" s="27">
        <v>0</v>
      </c>
      <c r="AP99" s="25">
        <v>0</v>
      </c>
      <c r="AQ99" s="27">
        <v>0</v>
      </c>
    </row>
    <row r="100" spans="1:43" ht="13.2">
      <c r="A100" s="25" t="s">
        <v>140</v>
      </c>
      <c r="B100" s="25">
        <v>6</v>
      </c>
      <c r="C100" s="25">
        <v>0</v>
      </c>
      <c r="D100" s="25">
        <v>0.93</v>
      </c>
      <c r="E100" s="25">
        <v>53.28</v>
      </c>
      <c r="F100" s="25">
        <v>30.061728395061724</v>
      </c>
      <c r="G100" s="25">
        <v>42.51063829787234</v>
      </c>
      <c r="H100" s="25">
        <v>0</v>
      </c>
      <c r="I100" s="25">
        <v>0</v>
      </c>
      <c r="J100" s="25" t="e">
        <v>#DIV/0!</v>
      </c>
      <c r="K100" s="25">
        <v>0.15540000000000001</v>
      </c>
      <c r="L100" s="25">
        <v>799.2</v>
      </c>
      <c r="M100" s="25">
        <v>24.7</v>
      </c>
      <c r="N100" s="25">
        <v>823.9</v>
      </c>
      <c r="O100" s="25">
        <v>786.6</v>
      </c>
      <c r="P100" s="25">
        <v>93.2</v>
      </c>
      <c r="Q100" s="25">
        <v>4.3</v>
      </c>
      <c r="R100" s="25">
        <v>-0.86675392670157003</v>
      </c>
      <c r="S100" s="25">
        <v>20.233246073298428</v>
      </c>
      <c r="T100" s="25">
        <v>76.400000000000006</v>
      </c>
      <c r="U100" s="25">
        <v>8.4</v>
      </c>
      <c r="V100" s="25">
        <v>12</v>
      </c>
      <c r="W100" s="25">
        <v>16.8</v>
      </c>
      <c r="X100" s="25">
        <v>12</v>
      </c>
      <c r="Y100" s="25">
        <v>4.8</v>
      </c>
      <c r="Z100" s="25">
        <v>25.9</v>
      </c>
      <c r="AA100" s="25">
        <v>7.5</v>
      </c>
      <c r="AB100" s="25">
        <v>9.4</v>
      </c>
      <c r="AC100" s="25">
        <v>37.299999999999997</v>
      </c>
      <c r="AD100" s="25">
        <v>6.6</v>
      </c>
      <c r="AE100" s="25">
        <v>2.8</v>
      </c>
      <c r="AF100" s="25">
        <v>63.6</v>
      </c>
      <c r="AG100" s="25">
        <v>139</v>
      </c>
      <c r="AH100" s="25">
        <v>5.5</v>
      </c>
      <c r="AI100" s="25">
        <v>105.8</v>
      </c>
      <c r="AJ100" s="27">
        <v>0.2581</v>
      </c>
      <c r="AK100" s="27">
        <v>0</v>
      </c>
      <c r="AL100" s="27">
        <v>0.32250000000000001</v>
      </c>
      <c r="AM100" s="27">
        <v>1.011666666666667E-2</v>
      </c>
      <c r="AN100" s="25">
        <v>0.62117376461683205</v>
      </c>
      <c r="AO100" s="27">
        <v>0.2262833333333332</v>
      </c>
      <c r="AP100" s="25">
        <v>0.17499999999999999</v>
      </c>
      <c r="AQ100" s="27">
        <v>4.4999999999999998E-2</v>
      </c>
    </row>
    <row r="101" spans="1:43" ht="13.2">
      <c r="A101" s="25" t="s">
        <v>141</v>
      </c>
      <c r="B101" s="25">
        <v>16</v>
      </c>
      <c r="C101" s="25">
        <v>155.95099999999999</v>
      </c>
      <c r="D101" s="25">
        <v>0.77</v>
      </c>
      <c r="E101" s="25">
        <v>40.449836212161848</v>
      </c>
      <c r="F101" s="25">
        <v>23.197175894356285</v>
      </c>
      <c r="G101" s="25">
        <v>29.732289931688147</v>
      </c>
      <c r="H101" s="25">
        <v>1.7667379230891699E-2</v>
      </c>
      <c r="I101" s="25">
        <v>0.33225812500000002</v>
      </c>
      <c r="J101" s="25">
        <v>2.8799999999999999E-2</v>
      </c>
      <c r="K101" s="25">
        <v>0.29059285714285699</v>
      </c>
      <c r="L101" s="25">
        <v>18211.2</v>
      </c>
      <c r="M101" s="25">
        <v>9279.4</v>
      </c>
      <c r="N101" s="25">
        <v>27490.6</v>
      </c>
      <c r="O101" s="25">
        <v>27200.7</v>
      </c>
      <c r="P101" s="25">
        <v>16836.400000000001</v>
      </c>
      <c r="Q101" s="25">
        <v>342.3</v>
      </c>
      <c r="R101" s="25">
        <v>-29.832271078744871</v>
      </c>
      <c r="S101" s="25">
        <v>540.26772892125507</v>
      </c>
      <c r="T101" s="25">
        <v>6287.1</v>
      </c>
      <c r="U101" s="25">
        <v>360.9</v>
      </c>
      <c r="V101" s="25">
        <v>2586.3000000000002</v>
      </c>
      <c r="W101" s="25">
        <v>3277.2</v>
      </c>
      <c r="X101" s="25">
        <v>1594.4708639999999</v>
      </c>
      <c r="Y101" s="25">
        <v>690.9</v>
      </c>
      <c r="Z101" s="25">
        <v>1831.1</v>
      </c>
      <c r="AA101" s="25">
        <v>700.8</v>
      </c>
      <c r="AB101" s="25">
        <v>395.2</v>
      </c>
      <c r="AC101" s="25">
        <v>289.89999999999998</v>
      </c>
      <c r="AD101" s="25">
        <v>936.4</v>
      </c>
      <c r="AE101" s="25">
        <v>291.10000000000002</v>
      </c>
      <c r="AF101" s="25">
        <v>18968.099999999999</v>
      </c>
      <c r="AG101" s="25">
        <v>23852.400000000001</v>
      </c>
      <c r="AH101" s="25">
        <v>876.1</v>
      </c>
      <c r="AI101" s="25">
        <v>7864.3</v>
      </c>
      <c r="AJ101" s="27">
        <v>2.973333333333333E-2</v>
      </c>
      <c r="AK101" s="27">
        <v>6.576923076923076E-2</v>
      </c>
      <c r="AL101" s="27">
        <v>0.14041333333333328</v>
      </c>
      <c r="AM101" s="27">
        <v>7.7833333333333296E-3</v>
      </c>
      <c r="AN101" s="25">
        <v>0.55261290256410101</v>
      </c>
      <c r="AO101" s="27">
        <v>0.33613846153846133</v>
      </c>
      <c r="AP101" s="25">
        <v>0.10032999999999999</v>
      </c>
      <c r="AQ101" s="27">
        <v>5.7692307692307689E-2</v>
      </c>
    </row>
    <row r="102" spans="1:43" ht="13.2">
      <c r="A102" s="25" t="s">
        <v>142</v>
      </c>
      <c r="B102" s="25">
        <v>74</v>
      </c>
      <c r="C102" s="25">
        <v>76.930000000000007</v>
      </c>
      <c r="D102" s="25">
        <v>1.2224137931034478</v>
      </c>
      <c r="E102" s="25">
        <v>104.6046664193349</v>
      </c>
      <c r="F102" s="25">
        <v>71.738327488193846</v>
      </c>
      <c r="G102" s="25">
        <v>70.704655471443587</v>
      </c>
      <c r="H102" s="25">
        <v>2.9110044007222401E-3</v>
      </c>
      <c r="I102" s="25">
        <v>0.11524567567567599</v>
      </c>
      <c r="J102" s="25">
        <v>8.3436842105263101E-2</v>
      </c>
      <c r="K102" s="25">
        <v>0.47134897959183703</v>
      </c>
      <c r="L102" s="25">
        <v>257691.8</v>
      </c>
      <c r="M102" s="25">
        <v>36314</v>
      </c>
      <c r="N102" s="25">
        <v>294005.8</v>
      </c>
      <c r="O102" s="25">
        <v>278626.7</v>
      </c>
      <c r="P102" s="25">
        <v>54115.1</v>
      </c>
      <c r="Q102" s="25">
        <v>1810.5</v>
      </c>
      <c r="R102" s="25">
        <v>-245.37117768001355</v>
      </c>
      <c r="S102" s="25">
        <v>-766.37117768001303</v>
      </c>
      <c r="T102" s="25">
        <v>47605</v>
      </c>
      <c r="U102" s="25">
        <v>12868</v>
      </c>
      <c r="V102" s="25">
        <v>8626.1078799999996</v>
      </c>
      <c r="W102" s="25">
        <v>13283.20788</v>
      </c>
      <c r="X102" s="25">
        <v>5078.2087750000001</v>
      </c>
      <c r="Y102" s="25">
        <v>4657.1000000000004</v>
      </c>
      <c r="Z102" s="25">
        <v>4040.2</v>
      </c>
      <c r="AA102" s="25">
        <v>729.2</v>
      </c>
      <c r="AB102" s="25">
        <v>322.89999999999998</v>
      </c>
      <c r="AC102" s="25">
        <v>15379.1</v>
      </c>
      <c r="AD102" s="25">
        <v>6883.6</v>
      </c>
      <c r="AE102" s="25">
        <v>3707</v>
      </c>
      <c r="AF102" s="25">
        <v>24164.799999999999</v>
      </c>
      <c r="AG102" s="25">
        <v>87985.1</v>
      </c>
      <c r="AH102" s="25">
        <v>4757</v>
      </c>
      <c r="AI102" s="25">
        <v>35783.199999999997</v>
      </c>
      <c r="AJ102" s="27">
        <v>0.23757857142857144</v>
      </c>
      <c r="AK102" s="27">
        <v>0.14181818181818176</v>
      </c>
      <c r="AL102" s="27">
        <v>0.3078104166666667</v>
      </c>
      <c r="AM102" s="27">
        <v>2.2040909090909101E-2</v>
      </c>
      <c r="AN102" s="25">
        <v>0.41174177431738301</v>
      </c>
      <c r="AO102" s="27">
        <v>0.67137600000000008</v>
      </c>
      <c r="AP102" s="25">
        <v>0.20279230769230772</v>
      </c>
      <c r="AQ102" s="27">
        <v>0.39750000000000002</v>
      </c>
    </row>
    <row r="103" spans="1:43" ht="13.2">
      <c r="A103" s="25" t="s">
        <v>143</v>
      </c>
      <c r="B103" s="25">
        <v>7364</v>
      </c>
      <c r="C103" s="25">
        <v>405557.92699999973</v>
      </c>
      <c r="D103" s="25">
        <v>0.92950603006773402</v>
      </c>
      <c r="E103" s="25">
        <v>45.018751448963407</v>
      </c>
      <c r="F103" s="25">
        <v>32.209725350178772</v>
      </c>
      <c r="G103" s="25">
        <v>32.435958132569354</v>
      </c>
      <c r="H103" s="25">
        <v>6.7273694738593896E-3</v>
      </c>
      <c r="I103" s="25">
        <v>0.16253641738566199</v>
      </c>
      <c r="J103" s="25">
        <v>8.8702443991853799E-2</v>
      </c>
      <c r="K103" s="25">
        <v>0.416864511415525</v>
      </c>
      <c r="L103" s="25">
        <v>50353664.014369898</v>
      </c>
      <c r="M103" s="25">
        <v>12647116.4</v>
      </c>
      <c r="N103" s="25">
        <v>63000780.414369904</v>
      </c>
      <c r="O103" s="25">
        <v>59206216.614370003</v>
      </c>
      <c r="P103" s="25">
        <v>22763932.600000098</v>
      </c>
      <c r="Q103" s="25">
        <v>2595956</v>
      </c>
      <c r="R103" s="25">
        <v>-2936360.7477246998</v>
      </c>
      <c r="S103" s="25">
        <v>-2590055.4477246902</v>
      </c>
      <c r="T103" s="25">
        <v>28065464.800000101</v>
      </c>
      <c r="U103" s="25">
        <v>4790569.9000000004</v>
      </c>
      <c r="V103" s="25">
        <v>5721718.1954999901</v>
      </c>
      <c r="W103" s="25">
        <v>6968082.9954999797</v>
      </c>
      <c r="X103" s="25">
        <v>3998392.6753427102</v>
      </c>
      <c r="Y103" s="25">
        <v>1246364.8</v>
      </c>
      <c r="Z103" s="25">
        <v>2033538.1</v>
      </c>
      <c r="AA103" s="25">
        <v>2165534.4000000102</v>
      </c>
      <c r="AB103" s="25">
        <v>1285545.3999999999</v>
      </c>
      <c r="AC103" s="25">
        <v>3794563.8</v>
      </c>
      <c r="AD103" s="25">
        <v>4757446.5000000196</v>
      </c>
      <c r="AE103" s="25">
        <v>3619532.2</v>
      </c>
      <c r="AF103" s="25">
        <v>10368078.300000001</v>
      </c>
      <c r="AG103" s="25">
        <v>57031988.400000103</v>
      </c>
      <c r="AH103" s="25">
        <v>3508415.2</v>
      </c>
      <c r="AI103" s="25">
        <v>14068594.199999999</v>
      </c>
      <c r="AJ103" s="27">
        <v>0.1634971257237384</v>
      </c>
      <c r="AK103" s="27">
        <v>0.12072676896845694</v>
      </c>
      <c r="AL103" s="27">
        <v>0.12101048141377177</v>
      </c>
      <c r="AM103" s="27">
        <v>1.2429527027027092E-2</v>
      </c>
      <c r="AN103" s="25">
        <v>0.44348077201799102</v>
      </c>
      <c r="AO103" s="27">
        <v>0.57013359389895346</v>
      </c>
      <c r="AP103" s="25">
        <v>0.15296723679209431</v>
      </c>
      <c r="AQ103" s="27">
        <v>9.7238970588235302E-2</v>
      </c>
    </row>
    <row r="104" spans="1:43">
      <c r="AL104" s="1"/>
    </row>
  </sheetData>
  <pageMargins left="0.75" right="0.75" top="1" bottom="1" header="0.5" footer="0.5"/>
  <pageSetup paperSize="0"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102"/>
  <sheetViews>
    <sheetView tabSelected="1" workbookViewId="0">
      <selection activeCell="F20" sqref="F20"/>
    </sheetView>
  </sheetViews>
  <sheetFormatPr defaultRowHeight="11.4"/>
  <cols>
    <col min="1" max="1" width="30.625" style="2" customWidth="1"/>
  </cols>
  <sheetData>
    <row r="1" spans="1:11" ht="12">
      <c r="A1" s="3" t="s">
        <v>151</v>
      </c>
      <c r="C1" t="s">
        <v>179</v>
      </c>
      <c r="D1" t="s">
        <v>180</v>
      </c>
      <c r="E1" t="s">
        <v>184</v>
      </c>
      <c r="F1" t="s">
        <v>185</v>
      </c>
      <c r="G1" t="s">
        <v>186</v>
      </c>
      <c r="H1" t="s">
        <v>187</v>
      </c>
      <c r="I1" t="s">
        <v>188</v>
      </c>
      <c r="J1" t="s">
        <v>189</v>
      </c>
      <c r="K1" t="s">
        <v>190</v>
      </c>
    </row>
    <row r="2" spans="1:11">
      <c r="A2" s="2" t="s">
        <v>144</v>
      </c>
      <c r="C2" t="str">
        <f>MASTER!$A$4</f>
        <v>Aerospace/Defense</v>
      </c>
      <c r="D2">
        <f>MASTER!$B$4</f>
        <v>69</v>
      </c>
      <c r="E2">
        <f>MASTER!$H$4</f>
        <v>1.8671269511498401E-3</v>
      </c>
      <c r="F2">
        <f>IF(MASTER!$AA$4&gt;0,MASTER!$C$4/MASTER!$AA$4, "NA")</f>
        <v>0.14171485603907266</v>
      </c>
      <c r="G2">
        <f>MASTER!$L$4</f>
        <v>620197.6</v>
      </c>
      <c r="H2">
        <f>MASTER!$AA$4 / MASTER!$AI$4</f>
        <v>0.17324663627009773</v>
      </c>
      <c r="I2">
        <f>MASTER!$J$4</f>
        <v>6.6416666666666596E-2</v>
      </c>
      <c r="J2">
        <f>MASTER!$K$4</f>
        <v>0.46989433962264199</v>
      </c>
      <c r="K2">
        <f>MASTER!$AO$4</f>
        <v>0.42664999999999997</v>
      </c>
    </row>
    <row r="3" spans="1:11">
      <c r="A3" s="2" t="s">
        <v>145</v>
      </c>
      <c r="C3" t="str">
        <f>MASTER!$A$5</f>
        <v>Air Transport</v>
      </c>
      <c r="D3">
        <f>MASTER!$B$5</f>
        <v>49</v>
      </c>
      <c r="E3">
        <f>MASTER!$H$5</f>
        <v>8.5267140995687199E-4</v>
      </c>
      <c r="F3">
        <f>IF(MASTER!$AA$5&gt;0,MASTER!$C$5/MASTER!$AA$5, "NA")</f>
        <v>0.10478232835050992</v>
      </c>
      <c r="G3">
        <f>MASTER!$L$5</f>
        <v>307241.90000000002</v>
      </c>
      <c r="H3">
        <f>MASTER!$AA$5 / MASTER!$AI$5</f>
        <v>0.36593475520914237</v>
      </c>
      <c r="I3">
        <f>MASTER!$J$5</f>
        <v>3.8736363636363597E-2</v>
      </c>
      <c r="J3">
        <f>MASTER!$K$5</f>
        <v>0.57772941176470605</v>
      </c>
      <c r="K3">
        <f>MASTER!$AO$5</f>
        <v>0.41207419354838715</v>
      </c>
    </row>
    <row r="4" spans="1:11">
      <c r="A4" s="2" t="s">
        <v>146</v>
      </c>
      <c r="C4" t="str">
        <f>MASTER!$A$6</f>
        <v>Apparel</v>
      </c>
      <c r="D4">
        <f>MASTER!$B$6</f>
        <v>57</v>
      </c>
      <c r="E4">
        <f>MASTER!$H$6</f>
        <v>6.5579517090739699E-3</v>
      </c>
      <c r="F4">
        <f>IF(MASTER!$AA$6&gt;0,MASTER!$C$6/MASTER!$AA$6, "NA")</f>
        <v>9.1452487576290084E-2</v>
      </c>
      <c r="G4">
        <f>MASTER!$L$6</f>
        <v>87566.2</v>
      </c>
      <c r="H4">
        <f>MASTER!$AA$6 / MASTER!$AI$6</f>
        <v>0.14549078363184012</v>
      </c>
      <c r="I4">
        <f>MASTER!$J$6</f>
        <v>0.152052941176471</v>
      </c>
      <c r="J4">
        <f>MASTER!$K$6</f>
        <v>0.41184999999999999</v>
      </c>
      <c r="K4">
        <f>MASTER!$AO$6</f>
        <v>0.6676840909090912</v>
      </c>
    </row>
    <row r="5" spans="1:11">
      <c r="A5" s="2" t="s">
        <v>147</v>
      </c>
      <c r="C5" t="str">
        <f>MASTER!$A$7</f>
        <v>Auto &amp; Truck</v>
      </c>
      <c r="D5">
        <f>MASTER!$B$7</f>
        <v>28</v>
      </c>
      <c r="E5">
        <f>MASTER!$H$7</f>
        <v>1.31845886515048E-2</v>
      </c>
      <c r="F5">
        <f>IF(MASTER!$AA$7&gt;0,MASTER!$C$7/MASTER!$AA$7, "NA")</f>
        <v>0.11492289265707227</v>
      </c>
      <c r="G5">
        <f>MASTER!$L$7</f>
        <v>932154.1</v>
      </c>
      <c r="H5">
        <f>MASTER!$AA$7 / MASTER!$AI$7</f>
        <v>0.1371423575282662</v>
      </c>
      <c r="I5">
        <f>MASTER!$J$7</f>
        <v>3.415E-2</v>
      </c>
      <c r="J5">
        <f>MASTER!$K$7</f>
        <v>0.4382125</v>
      </c>
      <c r="K5">
        <f>MASTER!$AO$7</f>
        <v>0.28348947368421046</v>
      </c>
    </row>
    <row r="6" spans="1:11">
      <c r="A6" s="2" t="s">
        <v>148</v>
      </c>
      <c r="C6" t="str">
        <f>MASTER!$A$8</f>
        <v>Auto Parts</v>
      </c>
      <c r="D6">
        <f>MASTER!$B$8</f>
        <v>56</v>
      </c>
      <c r="E6">
        <f>MASTER!$H$8</f>
        <v>7.0486895312841897E-3</v>
      </c>
      <c r="F6" t="str">
        <f>IF(MASTER!$AA$8&gt;0,MASTER!$C$8/MASTER!$AA$8, "NA")</f>
        <v>NA</v>
      </c>
      <c r="G6">
        <f>MASTER!$L$8</f>
        <v>176308</v>
      </c>
      <c r="H6">
        <f>MASTER!$AA$8 / MASTER!$AI$8</f>
        <v>-0.15517428948213324</v>
      </c>
      <c r="I6">
        <f>MASTER!$J$8</f>
        <v>6.2065000000000002E-2</v>
      </c>
      <c r="J6">
        <f>MASTER!$K$8</f>
        <v>0.45595128205128199</v>
      </c>
      <c r="K6">
        <f>MASTER!$AO$8</f>
        <v>0.53405000000000002</v>
      </c>
    </row>
    <row r="7" spans="1:11">
      <c r="A7" s="2" t="s">
        <v>149</v>
      </c>
      <c r="C7" t="str">
        <f>MASTER!$A$9</f>
        <v>Bank</v>
      </c>
      <c r="D7">
        <f>MASTER!$B$9</f>
        <v>504</v>
      </c>
      <c r="E7">
        <f>MASTER!$H$9</f>
        <v>1.50518760447482E-2</v>
      </c>
      <c r="F7">
        <f>IF(MASTER!$AA$9&gt;0,MASTER!$C$9/MASTER!$AA$9, "NA")</f>
        <v>0.4833664606195493</v>
      </c>
      <c r="G7">
        <f>MASTER!$L$9</f>
        <v>1672434.7</v>
      </c>
      <c r="H7">
        <f>MASTER!$AA$9 / MASTER!$AI$9</f>
        <v>0.13140485855671438</v>
      </c>
      <c r="I7">
        <f>MASTER!$J$9</f>
        <v>4.2430434782608703E-2</v>
      </c>
      <c r="J7">
        <f>MASTER!$K$9</f>
        <v>0.231092434988179</v>
      </c>
      <c r="K7">
        <f>MASTER!$AO$9</f>
        <v>0.24471184971098262</v>
      </c>
    </row>
    <row r="8" spans="1:11">
      <c r="A8" s="2" t="s">
        <v>150</v>
      </c>
      <c r="C8" t="str">
        <f>MASTER!$A$10</f>
        <v>Bank (Canadian)</v>
      </c>
      <c r="D8">
        <f>MASTER!$B$10</f>
        <v>8</v>
      </c>
      <c r="E8">
        <f>MASTER!$H$10</f>
        <v>3.2398524438439297E-2</v>
      </c>
      <c r="F8">
        <f>IF(MASTER!$AA$10&gt;0,MASTER!$C$10/MASTER!$AA$10, "NA")</f>
        <v>0.51487260238021892</v>
      </c>
      <c r="G8">
        <f>MASTER!$L$10</f>
        <v>449172.2</v>
      </c>
      <c r="H8">
        <f>MASTER!$AA$10 / MASTER!$AI$10</f>
        <v>0.1903778165170498</v>
      </c>
      <c r="I8">
        <f>MASTER!$J$10</f>
        <v>8.0666666666666595E-3</v>
      </c>
      <c r="J8">
        <f>MASTER!$K$10</f>
        <v>0.31648749999999998</v>
      </c>
      <c r="K8">
        <f>MASTER!$AO$10</f>
        <v>0.14505000000000001</v>
      </c>
    </row>
    <row r="9" spans="1:11">
      <c r="A9" s="2" t="s">
        <v>151</v>
      </c>
      <c r="C9" t="str">
        <f>MASTER!$A$11</f>
        <v>Bank (Midwest)</v>
      </c>
      <c r="D9">
        <f>MASTER!$B$11</f>
        <v>38</v>
      </c>
      <c r="E9">
        <f>MASTER!$H$11</f>
        <v>3.6344090140857599E-2</v>
      </c>
      <c r="F9">
        <f>IF(MASTER!$AA$11&gt;0,MASTER!$C$11/MASTER!$AA$11, "NA")</f>
        <v>0.55686499670501965</v>
      </c>
      <c r="G9">
        <f>MASTER!$L$11</f>
        <v>283056.90000000002</v>
      </c>
      <c r="H9">
        <f>MASTER!$AA$11 / MASTER!$AI$11</f>
        <v>0.16347077761267953</v>
      </c>
      <c r="I9">
        <f>MASTER!$J$11</f>
        <v>8.8817647058823501E-2</v>
      </c>
      <c r="J9">
        <f>MASTER!$K$11</f>
        <v>0.43990000000000001</v>
      </c>
      <c r="K9">
        <f>MASTER!$AO$11</f>
        <v>0.18183714285714284</v>
      </c>
    </row>
    <row r="10" spans="1:11">
      <c r="A10" s="2" t="s">
        <v>152</v>
      </c>
      <c r="C10" t="str">
        <f>MASTER!$A$12</f>
        <v>Beverage</v>
      </c>
      <c r="D10">
        <f>MASTER!$B$12</f>
        <v>44</v>
      </c>
      <c r="E10">
        <f>MASTER!$H$12</f>
        <v>5.1096319957629399E-3</v>
      </c>
      <c r="F10">
        <f>IF(MASTER!$AA$12&gt;0,MASTER!$C$12/MASTER!$AA$12, "NA")</f>
        <v>0.26235998916995967</v>
      </c>
      <c r="G10">
        <f>MASTER!$L$12</f>
        <v>840395.2</v>
      </c>
      <c r="H10">
        <f>MASTER!$AA$12 / MASTER!$AI$12</f>
        <v>0.22325047227665273</v>
      </c>
      <c r="I10">
        <f>MASTER!$J$12</f>
        <v>0.129085714285714</v>
      </c>
      <c r="J10">
        <f>MASTER!$K$12</f>
        <v>0.41975000000000001</v>
      </c>
      <c r="K10">
        <f>MASTER!$AO$12</f>
        <v>0.52026896551724133</v>
      </c>
    </row>
    <row r="11" spans="1:11">
      <c r="A11" s="2" t="s">
        <v>153</v>
      </c>
      <c r="C11" t="str">
        <f>MASTER!$A$13</f>
        <v>Biotechnology</v>
      </c>
      <c r="D11">
        <f>MASTER!$B$13</f>
        <v>103</v>
      </c>
      <c r="E11">
        <f>MASTER!$H$13</f>
        <v>0</v>
      </c>
      <c r="F11">
        <f>IF(MASTER!$AA$13&gt;0,MASTER!$C$13/MASTER!$AA$13, "NA")</f>
        <v>0</v>
      </c>
      <c r="G11">
        <f>MASTER!$L$13</f>
        <v>336652.79999999999</v>
      </c>
      <c r="H11">
        <f>MASTER!$AA$13 / MASTER!$AI$13</f>
        <v>0.11105616566973658</v>
      </c>
      <c r="I11">
        <f>MASTER!$J$13</f>
        <v>0.107584210526316</v>
      </c>
      <c r="J11">
        <f>MASTER!$K$13</f>
        <v>0.40466666666666701</v>
      </c>
      <c r="K11">
        <f>MASTER!$AO$13</f>
        <v>0.72360270270270266</v>
      </c>
    </row>
    <row r="12" spans="1:11">
      <c r="A12" s="2" t="s">
        <v>154</v>
      </c>
      <c r="C12" t="str">
        <f>MASTER!$A$14</f>
        <v>Building Materials</v>
      </c>
      <c r="D12">
        <f>MASTER!$B$14</f>
        <v>49</v>
      </c>
      <c r="E12">
        <f>MASTER!$H$14</f>
        <v>6.1814846380925798E-3</v>
      </c>
      <c r="F12">
        <f>IF(MASTER!$AA$14&gt;0,MASTER!$C$14/MASTER!$AA$14, "NA")</f>
        <v>0.10389115297535136</v>
      </c>
      <c r="G12">
        <f>MASTER!$L$14</f>
        <v>128998.5</v>
      </c>
      <c r="H12">
        <f>MASTER!$AA$14 / MASTER!$AI$14</f>
        <v>0.2384410726945298</v>
      </c>
      <c r="I12">
        <f>MASTER!$J$14</f>
        <v>6.1473333333333303E-2</v>
      </c>
      <c r="J12">
        <f>MASTER!$K$14</f>
        <v>0.55831666666666702</v>
      </c>
      <c r="K12">
        <f>MASTER!$AO$14</f>
        <v>0.56448749999999992</v>
      </c>
    </row>
    <row r="13" spans="1:11">
      <c r="A13" s="2" t="s">
        <v>155</v>
      </c>
      <c r="C13" t="str">
        <f>MASTER!$A$15</f>
        <v>Cable TV</v>
      </c>
      <c r="D13">
        <f>MASTER!$B$15</f>
        <v>23</v>
      </c>
      <c r="E13">
        <f>MASTER!$H$15</f>
        <v>6.3316390296084199E-3</v>
      </c>
      <c r="F13">
        <f>IF(MASTER!$AA$15&gt;0,MASTER!$C$15/MASTER!$AA$15, "NA")</f>
        <v>3.0306978096354242E-2</v>
      </c>
      <c r="G13">
        <f>MASTER!$L$15</f>
        <v>413044.1</v>
      </c>
      <c r="H13">
        <f>MASTER!$AA$15 / MASTER!$AI$15</f>
        <v>5.3705725819908484E-2</v>
      </c>
      <c r="I13">
        <f>MASTER!$J$15</f>
        <v>0.2359</v>
      </c>
      <c r="J13">
        <f>MASTER!$K$15</f>
        <v>0.39832000000000001</v>
      </c>
      <c r="K13">
        <f>MASTER!$AO$15</f>
        <v>0.46290500000000001</v>
      </c>
    </row>
    <row r="14" spans="1:11">
      <c r="A14" s="2" t="s">
        <v>156</v>
      </c>
      <c r="C14" t="str">
        <f>MASTER!$A$16</f>
        <v>Canadian Energy</v>
      </c>
      <c r="D14">
        <f>MASTER!$B$16</f>
        <v>13</v>
      </c>
      <c r="E14">
        <f>MASTER!$H$16</f>
        <v>3.9856493266041099E-2</v>
      </c>
      <c r="F14">
        <f>IF(MASTER!$AA$16&gt;0,MASTER!$C$16/MASTER!$AA$16, "NA")</f>
        <v>0.12877892480211084</v>
      </c>
      <c r="G14">
        <f>MASTER!$L$16</f>
        <v>582438.30000000005</v>
      </c>
      <c r="H14">
        <f>MASTER!$AA$16 / MASTER!$AI$16</f>
        <v>0.19166182560417411</v>
      </c>
      <c r="I14">
        <f>MASTER!$J$16</f>
        <v>1.46E-2</v>
      </c>
      <c r="J14">
        <f>MASTER!$K$16</f>
        <v>0.40332307692307701</v>
      </c>
      <c r="K14">
        <f>MASTER!$AO$16</f>
        <v>0.27897</v>
      </c>
    </row>
    <row r="15" spans="1:11">
      <c r="A15" s="2" t="s">
        <v>157</v>
      </c>
      <c r="C15" t="str">
        <f>MASTER!$A$17</f>
        <v>Chemical (Basic)</v>
      </c>
      <c r="D15">
        <f>MASTER!$B$17</f>
        <v>19</v>
      </c>
      <c r="E15">
        <f>MASTER!$H$17</f>
        <v>1.2212169949631899E-2</v>
      </c>
      <c r="F15">
        <f>IF(MASTER!$AA$17&gt;0,MASTER!$C$17/MASTER!$AA$17, "NA")</f>
        <v>0.22993265970750104</v>
      </c>
      <c r="G15">
        <f>MASTER!$L$17</f>
        <v>372334.6</v>
      </c>
      <c r="H15">
        <f>MASTER!$AA$17 / MASTER!$AI$17</f>
        <v>0.20474220847589669</v>
      </c>
      <c r="I15">
        <f>MASTER!$J$17</f>
        <v>2.4888888888888901E-2</v>
      </c>
      <c r="J15">
        <f>MASTER!$K$17</f>
        <v>0.53247999999999995</v>
      </c>
      <c r="K15">
        <f>MASTER!$AO$17</f>
        <v>0.64992142857142854</v>
      </c>
    </row>
    <row r="16" spans="1:11">
      <c r="A16" s="2" t="s">
        <v>171</v>
      </c>
      <c r="C16" t="str">
        <f>MASTER!$A$18</f>
        <v>Chemical (Diversified)</v>
      </c>
      <c r="D16">
        <f>MASTER!$B$18</f>
        <v>37</v>
      </c>
      <c r="E16">
        <f>MASTER!$H$18</f>
        <v>9.7596637652820999E-3</v>
      </c>
      <c r="F16">
        <f>IF(MASTER!$AA$18&gt;0,MASTER!$C$18/MASTER!$AA$18, "NA")</f>
        <v>0.17701295880692108</v>
      </c>
      <c r="G16">
        <f>MASTER!$L$18</f>
        <v>488933</v>
      </c>
      <c r="H16">
        <f>MASTER!$AA$18 / MASTER!$AI$18</f>
        <v>0.20263820320515974</v>
      </c>
      <c r="I16">
        <f>MASTER!$J$18</f>
        <v>9.0684615384615405E-2</v>
      </c>
      <c r="J16">
        <f>MASTER!$K$18</f>
        <v>0.54260344827586204</v>
      </c>
      <c r="K16">
        <f>MASTER!$AO$18</f>
        <v>0.33990370370370376</v>
      </c>
    </row>
    <row r="17" spans="1:11">
      <c r="A17" s="2" t="s">
        <v>172</v>
      </c>
      <c r="C17" t="str">
        <f>MASTER!$A$19</f>
        <v>Chemical (Specialty)</v>
      </c>
      <c r="D17">
        <f>MASTER!$B$19</f>
        <v>90</v>
      </c>
      <c r="E17">
        <f>MASTER!$H$19</f>
        <v>8.3612611023982392E-3</v>
      </c>
      <c r="F17">
        <f>IF(MASTER!$AA$19&gt;0,MASTER!$C$19/MASTER!$AA$19, "NA")</f>
        <v>0.18396181069089373</v>
      </c>
      <c r="G17">
        <f>MASTER!$L$19</f>
        <v>252953.9</v>
      </c>
      <c r="H17">
        <f>MASTER!$AA$19 / MASTER!$AI$19</f>
        <v>0.15466035637018166</v>
      </c>
      <c r="I17">
        <f>MASTER!$J$19</f>
        <v>7.4651612903225806E-2</v>
      </c>
      <c r="J17">
        <f>MASTER!$K$19</f>
        <v>0.48505217391304301</v>
      </c>
      <c r="K17">
        <f>MASTER!$AO$19</f>
        <v>0.52188591549295782</v>
      </c>
    </row>
    <row r="18" spans="1:11">
      <c r="A18" s="2" t="s">
        <v>158</v>
      </c>
      <c r="C18" t="str">
        <f>MASTER!$A$20</f>
        <v>Coal</v>
      </c>
      <c r="D18">
        <f>MASTER!$B$20</f>
        <v>18</v>
      </c>
      <c r="E18">
        <f>MASTER!$H$20</f>
        <v>1.1661688889141699E-2</v>
      </c>
      <c r="F18">
        <f>IF(MASTER!$AA$20&gt;0,MASTER!$C$20/MASTER!$AA$20, "NA")</f>
        <v>0.15073829443710551</v>
      </c>
      <c r="G18">
        <f>MASTER!$L$20</f>
        <v>130364.3</v>
      </c>
      <c r="H18">
        <f>MASTER!$AA$20 / MASTER!$AI$20</f>
        <v>0.26119174105920367</v>
      </c>
      <c r="I18">
        <f>MASTER!$J$20</f>
        <v>2.07625E-2</v>
      </c>
      <c r="J18">
        <f>MASTER!$K$20</f>
        <v>0.53388124999999997</v>
      </c>
      <c r="K18">
        <f>MASTER!$AO$20</f>
        <v>0.41804999999999998</v>
      </c>
    </row>
    <row r="19" spans="1:11">
      <c r="A19" s="2" t="s">
        <v>159</v>
      </c>
      <c r="C19" t="str">
        <f>MASTER!$A$21</f>
        <v>Computer Software/Svcs</v>
      </c>
      <c r="D19">
        <f>MASTER!$B$21</f>
        <v>376</v>
      </c>
      <c r="E19">
        <f>MASTER!$H$21</f>
        <v>1.35646814170044E-3</v>
      </c>
      <c r="F19">
        <f>IF(MASTER!$AA$21&gt;0,MASTER!$C$21/MASTER!$AA$21, "NA")</f>
        <v>0.11001796503925813</v>
      </c>
      <c r="G19">
        <f>MASTER!$L$21</f>
        <v>1847536.4</v>
      </c>
      <c r="H19">
        <f>MASTER!$AA$21 / MASTER!$AI$21</f>
        <v>0.20034321617245998</v>
      </c>
      <c r="I19">
        <f>MASTER!$J$21</f>
        <v>6.6511363636363605E-2</v>
      </c>
      <c r="J19">
        <f>MASTER!$K$21</f>
        <v>0.35719102040816297</v>
      </c>
      <c r="K19">
        <f>MASTER!$AO$21</f>
        <v>0.96120511811023535</v>
      </c>
    </row>
    <row r="20" spans="1:11">
      <c r="A20" s="2" t="s">
        <v>160</v>
      </c>
      <c r="C20" t="str">
        <f>MASTER!$A$22</f>
        <v>Computers/Peripherals</v>
      </c>
      <c r="D20">
        <f>MASTER!$B$22</f>
        <v>144</v>
      </c>
      <c r="E20">
        <f>MASTER!$H$22</f>
        <v>1.1308119791642701E-3</v>
      </c>
      <c r="F20">
        <f>IF(MASTER!$AA$22&gt;0,MASTER!$C$22/MASTER!$AA$22, "NA")</f>
        <v>7.2736326175108765E-2</v>
      </c>
      <c r="G20">
        <f>MASTER!$L$22</f>
        <v>1415136.0418</v>
      </c>
      <c r="H20">
        <f>MASTER!$AA$22 / MASTER!$AI$22</f>
        <v>0.18029204135999558</v>
      </c>
      <c r="I20">
        <f>MASTER!$J$22</f>
        <v>5.6843999999999999E-2</v>
      </c>
      <c r="J20">
        <f>MASTER!$K$22</f>
        <v>0.419388571428572</v>
      </c>
      <c r="K20">
        <f>MASTER!$AO$22</f>
        <v>0.82486283185840747</v>
      </c>
    </row>
    <row r="21" spans="1:11">
      <c r="A21" s="2" t="s">
        <v>161</v>
      </c>
      <c r="C21" t="str">
        <f>MASTER!$A$23</f>
        <v>Diversified Co.</v>
      </c>
      <c r="D21">
        <f>MASTER!$B$23</f>
        <v>107</v>
      </c>
      <c r="E21">
        <f>MASTER!$H$23</f>
        <v>5.56502457788701E-3</v>
      </c>
      <c r="F21">
        <f>IF(MASTER!$AA$23&gt;0,MASTER!$C$23/MASTER!$AA$23, "NA")</f>
        <v>0.11322365076550216</v>
      </c>
      <c r="G21">
        <f>MASTER!$L$23</f>
        <v>770864.3</v>
      </c>
      <c r="H21">
        <f>MASTER!$AA$23 / MASTER!$AI$23</f>
        <v>0.16837267121545918</v>
      </c>
      <c r="I21">
        <f>MASTER!$J$23</f>
        <v>5.34666666666666E-2</v>
      </c>
      <c r="J21">
        <f>MASTER!$K$23</f>
        <v>0.48617682926829298</v>
      </c>
      <c r="K21">
        <f>MASTER!$AO$23</f>
        <v>0.43832613636363638</v>
      </c>
    </row>
    <row r="22" spans="1:11">
      <c r="A22" s="2" t="s">
        <v>163</v>
      </c>
      <c r="C22" t="str">
        <f>MASTER!$A$24</f>
        <v>Drug</v>
      </c>
      <c r="D22">
        <f>MASTER!$B$24</f>
        <v>368</v>
      </c>
      <c r="E22">
        <f>MASTER!$H$24</f>
        <v>1.55387802662895E-3</v>
      </c>
      <c r="F22">
        <f>IF(MASTER!$AA$24&gt;0,MASTER!$C$24/MASTER!$AA$24, "NA")</f>
        <v>0.26336388504682146</v>
      </c>
      <c r="G22">
        <f>MASTER!$L$24</f>
        <v>2657151.5</v>
      </c>
      <c r="H22">
        <f>MASTER!$AA$24 / MASTER!$AI$24</f>
        <v>0.17417416938889319</v>
      </c>
      <c r="I22">
        <f>MASTER!$J$24</f>
        <v>5.2650000000000002E-2</v>
      </c>
      <c r="J22">
        <f>MASTER!$K$24</f>
        <v>0.36543222591362101</v>
      </c>
      <c r="K22">
        <f>MASTER!$AO$24</f>
        <v>0.85410894308943097</v>
      </c>
    </row>
    <row r="23" spans="1:11">
      <c r="A23" s="2" t="s">
        <v>162</v>
      </c>
      <c r="C23" t="str">
        <f>MASTER!$A$25</f>
        <v>E-Commerce</v>
      </c>
      <c r="D23">
        <f>MASTER!$B$25</f>
        <v>56</v>
      </c>
      <c r="E23">
        <f>MASTER!$H$25</f>
        <v>1.7287741708408399E-3</v>
      </c>
      <c r="F23">
        <f>IF(MASTER!$AA$25&gt;0,MASTER!$C$25/MASTER!$AA$25, "NA")</f>
        <v>1.5301957129543338E-2</v>
      </c>
      <c r="G23">
        <f>MASTER!$L$25</f>
        <v>103056.9</v>
      </c>
      <c r="H23">
        <f>MASTER!$AA$25 / MASTER!$AI$25</f>
        <v>5.0538115535878295E-2</v>
      </c>
      <c r="I23">
        <f>MASTER!$J$25</f>
        <v>0.12979375000000001</v>
      </c>
      <c r="J23">
        <f>MASTER!$K$25</f>
        <v>0.45883658536585398</v>
      </c>
      <c r="K23">
        <f>MASTER!$AO$25</f>
        <v>0.76019032258064501</v>
      </c>
    </row>
    <row r="24" spans="1:11">
      <c r="A24" s="2" t="s">
        <v>164</v>
      </c>
      <c r="C24" t="str">
        <f>MASTER!$A$26</f>
        <v>Educational Services</v>
      </c>
      <c r="D24">
        <f>MASTER!$B$26</f>
        <v>39</v>
      </c>
      <c r="E24">
        <f>MASTER!$H$26</f>
        <v>8.6668482575679199E-4</v>
      </c>
      <c r="F24">
        <f>IF(MASTER!$AA$26&gt;0,MASTER!$C$26/MASTER!$AA$26, "NA")</f>
        <v>2.1870049362874525E-2</v>
      </c>
      <c r="G24">
        <f>MASTER!$L$26</f>
        <v>66158.918399999995</v>
      </c>
      <c r="H24">
        <f>MASTER!$AA$26 / MASTER!$AI$26</f>
        <v>0.21695328941633563</v>
      </c>
      <c r="I24">
        <f>MASTER!$J$26</f>
        <v>0.10539999999999999</v>
      </c>
      <c r="J24">
        <f>MASTER!$K$26</f>
        <v>0.394507692307692</v>
      </c>
      <c r="K24">
        <f>MASTER!$AO$26</f>
        <v>0.50829999999999997</v>
      </c>
    </row>
    <row r="25" spans="1:11">
      <c r="A25" s="2" t="s">
        <v>165</v>
      </c>
      <c r="C25" t="str">
        <f>MASTER!$A$27</f>
        <v>Electric Util. (Central)</v>
      </c>
      <c r="D25">
        <f>MASTER!$B$27</f>
        <v>25</v>
      </c>
      <c r="E25">
        <f>MASTER!$H$27</f>
        <v>2.9840573331979502E-2</v>
      </c>
      <c r="F25">
        <f>IF(MASTER!$AA$27&gt;0,MASTER!$C$27/MASTER!$AA$27, "NA")</f>
        <v>0.32608176561887053</v>
      </c>
      <c r="G25">
        <f>MASTER!$L$27</f>
        <v>222440.2</v>
      </c>
      <c r="H25">
        <f>MASTER!$AA$27 / MASTER!$AI$27</f>
        <v>9.9695545234190414E-2</v>
      </c>
      <c r="I25">
        <f>MASTER!$J$27</f>
        <v>1.1849999999999999E-2</v>
      </c>
      <c r="J25">
        <f>MASTER!$K$27</f>
        <v>0.62250869565217404</v>
      </c>
      <c r="K25">
        <f>MASTER!$AO$27</f>
        <v>0.18403333333333319</v>
      </c>
    </row>
    <row r="26" spans="1:11">
      <c r="A26" s="2" t="s">
        <v>166</v>
      </c>
      <c r="C26" t="str">
        <f>MASTER!$A$28</f>
        <v>Electric Utility (East)</v>
      </c>
      <c r="D26">
        <f>MASTER!$B$28</f>
        <v>27</v>
      </c>
      <c r="E26">
        <f>MASTER!$H$28</f>
        <v>2.9399966206423898E-2</v>
      </c>
      <c r="F26">
        <f>IF(MASTER!$AA$28&gt;0,MASTER!$C$28/MASTER!$AA$28, "NA")</f>
        <v>0.32147379596214321</v>
      </c>
      <c r="G26">
        <f>MASTER!$L$28</f>
        <v>635039.4</v>
      </c>
      <c r="H26">
        <f>MASTER!$AA$28 / MASTER!$AI$28</f>
        <v>0.12667234269112407</v>
      </c>
      <c r="I26" t="e">
        <f>MASTER!$J$28</f>
        <v>#DIV/0!</v>
      </c>
      <c r="J26">
        <f>MASTER!$K$28</f>
        <v>0.515853846153846</v>
      </c>
      <c r="K26">
        <f>MASTER!$AO$28</f>
        <v>0.19070000000000001</v>
      </c>
    </row>
    <row r="27" spans="1:11">
      <c r="A27" s="2" t="s">
        <v>167</v>
      </c>
      <c r="C27" t="str">
        <f>MASTER!$A$29</f>
        <v>Electric Utility (West)</v>
      </c>
      <c r="D27">
        <f>MASTER!$B$29</f>
        <v>17</v>
      </c>
      <c r="E27">
        <f>MASTER!$H$29</f>
        <v>2.8754753910628799E-2</v>
      </c>
      <c r="F27">
        <f>IF(MASTER!$AA$29&gt;0,MASTER!$C$29/MASTER!$AA$29, "NA")</f>
        <v>0.22840139095876802</v>
      </c>
      <c r="G27">
        <f>MASTER!$L$29</f>
        <v>173454.9</v>
      </c>
      <c r="H27">
        <f>MASTER!$AA$29 / MASTER!$AI$29</f>
        <v>0.11346714561693885</v>
      </c>
      <c r="I27" t="e">
        <f>MASTER!$J$29</f>
        <v>#DIV/0!</v>
      </c>
      <c r="J27">
        <f>MASTER!$K$29</f>
        <v>0.67366000000000004</v>
      </c>
      <c r="K27">
        <f>MASTER!$AO$29</f>
        <v>0.15798125000000002</v>
      </c>
    </row>
    <row r="28" spans="1:11">
      <c r="A28" s="2" t="s">
        <v>168</v>
      </c>
      <c r="C28" t="str">
        <f>MASTER!$A$30</f>
        <v>Electrical Equipment</v>
      </c>
      <c r="D28">
        <f>MASTER!$B$30</f>
        <v>86</v>
      </c>
      <c r="E28">
        <f>MASTER!$H$30</f>
        <v>3.7872614111319502E-3</v>
      </c>
      <c r="F28">
        <f>IF(MASTER!$AA$30&gt;0,MASTER!$C$30/MASTER!$AA$30, "NA")</f>
        <v>0.26924291123233957</v>
      </c>
      <c r="G28">
        <f>MASTER!$L$30</f>
        <v>1110693.8</v>
      </c>
      <c r="H28">
        <f>MASTER!$AA$30 / MASTER!$AI$30</f>
        <v>0.18471346368792171</v>
      </c>
      <c r="I28">
        <f>MASTER!$J$30</f>
        <v>6.3247368421052594E-2</v>
      </c>
      <c r="J28">
        <f>MASTER!$K$30</f>
        <v>0.42252881355932198</v>
      </c>
      <c r="K28">
        <f>MASTER!$AO$30</f>
        <v>0.59099444444444427</v>
      </c>
    </row>
    <row r="29" spans="1:11">
      <c r="A29" s="2" t="s">
        <v>169</v>
      </c>
      <c r="C29" t="str">
        <f>MASTER!$A$31</f>
        <v>Electronics</v>
      </c>
      <c r="D29">
        <f>MASTER!$B$31</f>
        <v>179</v>
      </c>
      <c r="E29">
        <f>MASTER!$H$31</f>
        <v>2.1215633931941798E-3</v>
      </c>
      <c r="F29">
        <f>IF(MASTER!$AA$31&gt;0,MASTER!$C$31/MASTER!$AA$31, "NA")</f>
        <v>4.4326972981224247E-2</v>
      </c>
      <c r="G29">
        <f>MASTER!$L$31</f>
        <v>207289.02160000001</v>
      </c>
      <c r="H29">
        <f>MASTER!$AA$31 / MASTER!$AI$31</f>
        <v>6.7934585351183754E-2</v>
      </c>
      <c r="I29">
        <f>MASTER!$J$31</f>
        <v>8.8999999999999996E-2</v>
      </c>
      <c r="J29">
        <f>MASTER!$K$31</f>
        <v>0.37279779411764702</v>
      </c>
      <c r="K29">
        <f>MASTER!$AO$31</f>
        <v>0.80613664122137363</v>
      </c>
    </row>
    <row r="30" spans="1:11">
      <c r="A30" s="2" t="s">
        <v>170</v>
      </c>
      <c r="C30" t="str">
        <f>MASTER!$A$32</f>
        <v>Entertainment</v>
      </c>
      <c r="D30">
        <f>MASTER!$B$32</f>
        <v>93</v>
      </c>
      <c r="E30">
        <f>MASTER!$H$32</f>
        <v>9.3040674040984102E-3</v>
      </c>
      <c r="F30">
        <f>IF(MASTER!$AA$32&gt;0,MASTER!$C$32/MASTER!$AA$32, "NA")</f>
        <v>0.12074400279255576</v>
      </c>
      <c r="G30">
        <f>MASTER!$L$32</f>
        <v>661725.30278999999</v>
      </c>
      <c r="H30">
        <f>MASTER!$AA$32 / MASTER!$AI$32</f>
        <v>7.7733260204698215E-2</v>
      </c>
      <c r="I30">
        <f>MASTER!$J$32</f>
        <v>0.237776923076923</v>
      </c>
      <c r="J30">
        <f>MASTER!$K$32</f>
        <v>0.46926231884058001</v>
      </c>
      <c r="K30">
        <f>MASTER!$AO$32</f>
        <v>0.98216612903225797</v>
      </c>
    </row>
    <row r="31" spans="1:11">
      <c r="C31" t="str">
        <f>MASTER!$A$33</f>
        <v>Entertainment Tech</v>
      </c>
      <c r="D31">
        <f>MASTER!$B$33</f>
        <v>38</v>
      </c>
      <c r="E31">
        <f>MASTER!$H$33</f>
        <v>8.5074305405987506E-5</v>
      </c>
      <c r="F31" t="str">
        <f>IF(MASTER!$AA$33&gt;0,MASTER!$C$33/MASTER!$AA$33, "NA")</f>
        <v>NA</v>
      </c>
      <c r="G31">
        <f>MASTER!$L$33</f>
        <v>107207.7</v>
      </c>
      <c r="H31">
        <f>MASTER!$AA$33 / MASTER!$AI$33</f>
        <v>-8.8162029927502591E-2</v>
      </c>
      <c r="I31">
        <f>MASTER!$J$33</f>
        <v>0.13226874999999999</v>
      </c>
      <c r="J31">
        <f>MASTER!$K$33</f>
        <v>0.45654545454545398</v>
      </c>
      <c r="K31">
        <f>MASTER!$AO$33</f>
        <v>0.52141851851851839</v>
      </c>
    </row>
    <row r="32" spans="1:11">
      <c r="C32" t="str">
        <f>MASTER!$A$34</f>
        <v>Environmental</v>
      </c>
      <c r="D32">
        <f>MASTER!$B$34</f>
        <v>89</v>
      </c>
      <c r="E32">
        <f>MASTER!$H$34</f>
        <v>1.7284592242559501E-3</v>
      </c>
      <c r="F32">
        <f>IF(MASTER!$AA$34&gt;0,MASTER!$C$34/MASTER!$AA$34, "NA")</f>
        <v>0.18927597909820612</v>
      </c>
      <c r="G32">
        <f>MASTER!$L$34</f>
        <v>102600.6</v>
      </c>
      <c r="H32">
        <f>MASTER!$AA$34 / MASTER!$AI$34</f>
        <v>0.1095879897750149</v>
      </c>
      <c r="I32">
        <f>MASTER!$J$34</f>
        <v>9.1590909090909001E-2</v>
      </c>
      <c r="J32">
        <f>MASTER!$K$34</f>
        <v>0.35283653846153801</v>
      </c>
      <c r="K32">
        <f>MASTER!$AO$34</f>
        <v>0.90857118644067791</v>
      </c>
    </row>
    <row r="33" spans="3:11">
      <c r="C33" t="str">
        <f>MASTER!$A$35</f>
        <v>Financial Svcs. (Div.)</v>
      </c>
      <c r="D33">
        <f>MASTER!$B$35</f>
        <v>294</v>
      </c>
      <c r="E33">
        <f>MASTER!$H$35</f>
        <v>1.01178825000975E-2</v>
      </c>
      <c r="F33">
        <f>IF(MASTER!$AA$35&gt;0,MASTER!$C$35/MASTER!$AA$35, "NA")</f>
        <v>0.25820210461857152</v>
      </c>
      <c r="G33">
        <f>MASTER!$L$35</f>
        <v>1153793.4216</v>
      </c>
      <c r="H33">
        <f>MASTER!$AA$35 / MASTER!$AI$35</f>
        <v>0.1453800668371176</v>
      </c>
      <c r="I33">
        <f>MASTER!$J$35</f>
        <v>0.116254761904762</v>
      </c>
      <c r="J33">
        <f>MASTER!$K$35</f>
        <v>0.45843902439024398</v>
      </c>
      <c r="K33">
        <f>MASTER!$AO$35</f>
        <v>0.48819425287356294</v>
      </c>
    </row>
    <row r="34" spans="3:11">
      <c r="C34" t="str">
        <f>MASTER!$A$36</f>
        <v>Food Processing</v>
      </c>
      <c r="D34">
        <f>MASTER!$B$36</f>
        <v>123</v>
      </c>
      <c r="E34">
        <f>MASTER!$H$36</f>
        <v>8.5899224012208099E-3</v>
      </c>
      <c r="F34">
        <f>IF(MASTER!$AA$36&gt;0,MASTER!$C$36/MASTER!$AA$36, "NA")</f>
        <v>0.24790449891313973</v>
      </c>
      <c r="G34">
        <f>MASTER!$L$36</f>
        <v>997302.9</v>
      </c>
      <c r="H34">
        <f>MASTER!$AA$36 / MASTER!$AI$36</f>
        <v>0.1768787132803869</v>
      </c>
      <c r="I34">
        <f>MASTER!$J$36</f>
        <v>9.5703448275861996E-2</v>
      </c>
      <c r="J34">
        <f>MASTER!$K$36</f>
        <v>0.38876067415730298</v>
      </c>
      <c r="K34">
        <f>MASTER!$AO$36</f>
        <v>0.38833209876543201</v>
      </c>
    </row>
    <row r="35" spans="3:11">
      <c r="C35" t="str">
        <f>MASTER!$A$37</f>
        <v>Food Wholesalers</v>
      </c>
      <c r="D35">
        <f>MASTER!$B$37</f>
        <v>19</v>
      </c>
      <c r="E35">
        <f>MASTER!$H$37</f>
        <v>9.8849621837664697E-3</v>
      </c>
      <c r="F35">
        <f>IF(MASTER!$AA$37&gt;0,MASTER!$C$37/MASTER!$AA$37, "NA")</f>
        <v>0.26522947522398976</v>
      </c>
      <c r="G35">
        <f>MASTER!$L$37</f>
        <v>112051.16800000001</v>
      </c>
      <c r="H35">
        <f>MASTER!$AA$37 / MASTER!$AI$37</f>
        <v>7.6474078158054029E-2</v>
      </c>
      <c r="I35">
        <f>MASTER!$J$37</f>
        <v>2.2880000000000001E-2</v>
      </c>
      <c r="J35">
        <f>MASTER!$K$37</f>
        <v>0.47405000000000003</v>
      </c>
      <c r="K35">
        <f>MASTER!$AO$37</f>
        <v>0.47077777777777774</v>
      </c>
    </row>
    <row r="36" spans="3:11">
      <c r="C36" t="str">
        <f>MASTER!$A$38</f>
        <v>Foreign Electronics</v>
      </c>
      <c r="D36">
        <f>MASTER!$B$38</f>
        <v>10</v>
      </c>
      <c r="E36">
        <f>MASTER!$H$38</f>
        <v>7.9547165360973303E-3</v>
      </c>
      <c r="F36">
        <f>IF(MASTER!$AA$38&gt;0,MASTER!$C$38/MASTER!$AA$38, "NA")</f>
        <v>0.1801817893105695</v>
      </c>
      <c r="G36">
        <f>MASTER!$L$38</f>
        <v>542136.4</v>
      </c>
      <c r="H36">
        <f>MASTER!$AA$38 / MASTER!$AI$38</f>
        <v>5.4483510615288465E-2</v>
      </c>
      <c r="I36">
        <f>MASTER!$J$38</f>
        <v>4.50333333333333E-2</v>
      </c>
      <c r="J36">
        <f>MASTER!$K$38</f>
        <v>9.6466666666666603E-2</v>
      </c>
      <c r="K36">
        <f>MASTER!$AO$38</f>
        <v>0.20687999999999998</v>
      </c>
    </row>
    <row r="37" spans="3:11">
      <c r="C37" t="str">
        <f>MASTER!$A$39</f>
        <v>Furn/Home Furnishings</v>
      </c>
      <c r="D37">
        <f>MASTER!$B$39</f>
        <v>39</v>
      </c>
      <c r="E37">
        <f>MASTER!$H$39</f>
        <v>2.1380577478081898E-2</v>
      </c>
      <c r="F37">
        <f>IF(MASTER!$AA$39&gt;0,MASTER!$C$39/MASTER!$AA$39, "NA")</f>
        <v>0.16410120180697221</v>
      </c>
      <c r="G37">
        <f>MASTER!$L$39</f>
        <v>50332.5</v>
      </c>
      <c r="H37">
        <f>MASTER!$AA$39 / MASTER!$AI$39</f>
        <v>0.12873152069755023</v>
      </c>
      <c r="I37">
        <f>MASTER!$J$39</f>
        <v>0.13894000000000001</v>
      </c>
      <c r="J37">
        <f>MASTER!$K$39</f>
        <v>0.46621379310344802</v>
      </c>
      <c r="K37">
        <f>MASTER!$AO$39</f>
        <v>0.41327058823529428</v>
      </c>
    </row>
    <row r="38" spans="3:11">
      <c r="C38" t="str">
        <f>MASTER!$A$40</f>
        <v>Grocery</v>
      </c>
      <c r="D38">
        <f>MASTER!$B$40</f>
        <v>15</v>
      </c>
      <c r="E38">
        <f>MASTER!$H$40</f>
        <v>1.1026245256940201E-2</v>
      </c>
      <c r="F38">
        <f>IF(MASTER!$AA$40&gt;0,MASTER!$C$40/MASTER!$AA$40, "NA")</f>
        <v>0.11646665804560542</v>
      </c>
      <c r="G38">
        <f>MASTER!$L$40</f>
        <v>96703.2</v>
      </c>
      <c r="H38">
        <f>MASTER!$AA$40 / MASTER!$AI$40</f>
        <v>0.15123650954558643</v>
      </c>
      <c r="I38">
        <f>MASTER!$J$40</f>
        <v>8.8066666666666696E-2</v>
      </c>
      <c r="J38">
        <f>MASTER!$K$40</f>
        <v>0.65153076923076902</v>
      </c>
      <c r="K38">
        <f>MASTER!$AO$40</f>
        <v>0.2891333333333333</v>
      </c>
    </row>
    <row r="39" spans="3:11">
      <c r="C39" t="str">
        <f>MASTER!$A$41</f>
        <v>Healthcare Information</v>
      </c>
      <c r="D39">
        <f>MASTER!$B$41</f>
        <v>38</v>
      </c>
      <c r="E39">
        <f>MASTER!$H$41</f>
        <v>2.5879125258686901E-3</v>
      </c>
      <c r="F39">
        <f>IF(MASTER!$AA$41&gt;0,MASTER!$C$41/MASTER!$AA$41, "NA")</f>
        <v>4.0782451808945019E-2</v>
      </c>
      <c r="G39">
        <f>MASTER!$L$41</f>
        <v>40603.800000000003</v>
      </c>
      <c r="H39">
        <f>MASTER!$AA$41 / MASTER!$AI$41</f>
        <v>0.14784085804132974</v>
      </c>
      <c r="I39">
        <f>MASTER!$J$41</f>
        <v>9.1466666666666599E-2</v>
      </c>
      <c r="J39">
        <f>MASTER!$K$41</f>
        <v>0.456435483870968</v>
      </c>
      <c r="K39">
        <f>MASTER!$AO$41</f>
        <v>0.4708807692307691</v>
      </c>
    </row>
    <row r="40" spans="3:11">
      <c r="C40" t="str">
        <f>MASTER!$A$42</f>
        <v>Heavy Construction</v>
      </c>
      <c r="D40">
        <f>MASTER!$B$42</f>
        <v>12</v>
      </c>
      <c r="E40">
        <f>MASTER!$H$42</f>
        <v>1.9731698001686799E-3</v>
      </c>
      <c r="F40">
        <f>IF(MASTER!$AA$42&gt;0,MASTER!$C$42/MASTER!$AA$42, "NA")</f>
        <v>4.8444187391555815E-2</v>
      </c>
      <c r="G40">
        <f>MASTER!$L$42</f>
        <v>85941.8</v>
      </c>
      <c r="H40">
        <f>MASTER!$AA$42 / MASTER!$AI$42</f>
        <v>0.10928261556583446</v>
      </c>
      <c r="I40">
        <f>MASTER!$J$42</f>
        <v>3.9699999999999999E-2</v>
      </c>
      <c r="J40">
        <f>MASTER!$K$42</f>
        <v>0.57972999999999997</v>
      </c>
      <c r="K40">
        <f>MASTER!$AO$42</f>
        <v>0.43257777777777773</v>
      </c>
    </row>
    <row r="41" spans="3:11">
      <c r="C41" t="str">
        <f>MASTER!$A$43</f>
        <v>Home Appliance</v>
      </c>
      <c r="D41">
        <f>MASTER!$B$43</f>
        <v>11</v>
      </c>
      <c r="E41">
        <f>MASTER!$H$43</f>
        <v>6.8736232046298397E-3</v>
      </c>
      <c r="F41">
        <f>IF(MASTER!$AA$43&gt;0,MASTER!$C$43/MASTER!$AA$43, "NA")</f>
        <v>0.11995993031358886</v>
      </c>
      <c r="G41">
        <f>MASTER!$L$43</f>
        <v>39859.599999999999</v>
      </c>
      <c r="H41">
        <f>MASTER!$AA$43 / MASTER!$AI$43</f>
        <v>0.18413075208109453</v>
      </c>
      <c r="I41">
        <f>MASTER!$J$43</f>
        <v>8.6379999999999998E-2</v>
      </c>
      <c r="J41">
        <f>MASTER!$K$43</f>
        <v>0.36176249999999999</v>
      </c>
      <c r="K41">
        <f>MASTER!$AO$43</f>
        <v>0.28657777777777782</v>
      </c>
    </row>
    <row r="42" spans="3:11">
      <c r="C42" t="str">
        <f>MASTER!$A$44</f>
        <v>Homebuilding</v>
      </c>
      <c r="D42">
        <f>MASTER!$B$44</f>
        <v>36</v>
      </c>
      <c r="E42">
        <f>MASTER!$H$44</f>
        <v>9.7921224154425193E-3</v>
      </c>
      <c r="F42">
        <f>IF(MASTER!$AA$44&gt;0,MASTER!$C$44/MASTER!$AA$44, "NA")</f>
        <v>5.6438576817208673E-2</v>
      </c>
      <c r="G42">
        <f>MASTER!$L$44</f>
        <v>59789.2</v>
      </c>
      <c r="H42">
        <f>MASTER!$AA$44 / MASTER!$AI$44</f>
        <v>0.10962581487330277</v>
      </c>
      <c r="I42">
        <f>MASTER!$J$44</f>
        <v>0.1014</v>
      </c>
      <c r="J42">
        <f>MASTER!$K$44</f>
        <v>0.54019444444444498</v>
      </c>
      <c r="K42">
        <f>MASTER!$AO$44</f>
        <v>0.40565483870967745</v>
      </c>
    </row>
    <row r="43" spans="3:11">
      <c r="C43" t="str">
        <f>MASTER!$A$45</f>
        <v>Hotel/Gaming</v>
      </c>
      <c r="D43">
        <f>MASTER!$B$45</f>
        <v>75</v>
      </c>
      <c r="E43">
        <f>MASTER!$H$45</f>
        <v>5.6976161686811003E-3</v>
      </c>
      <c r="F43">
        <f>IF(MASTER!$AA$45&gt;0,MASTER!$C$45/MASTER!$AA$45, "NA")</f>
        <v>0.14632497055854643</v>
      </c>
      <c r="G43">
        <f>MASTER!$L$45</f>
        <v>346665.3</v>
      </c>
      <c r="H43">
        <f>MASTER!$AA$45 / MASTER!$AI$45</f>
        <v>0.11949284894904734</v>
      </c>
      <c r="I43">
        <f>MASTER!$J$45</f>
        <v>0.21930769230769201</v>
      </c>
      <c r="J43">
        <f>MASTER!$K$45</f>
        <v>0.41693333333333299</v>
      </c>
      <c r="K43">
        <f>MASTER!$AO$45</f>
        <v>0.66573529411764709</v>
      </c>
    </row>
    <row r="44" spans="3:11">
      <c r="C44" t="str">
        <f>MASTER!$A$46</f>
        <v>Household Products</v>
      </c>
      <c r="D44">
        <f>MASTER!$B$46</f>
        <v>28</v>
      </c>
      <c r="E44">
        <f>MASTER!$H$46</f>
        <v>1.0386195462311501E-2</v>
      </c>
      <c r="F44">
        <f>IF(MASTER!$AA$46&gt;0,MASTER!$C$46/MASTER!$AA$46, "NA")</f>
        <v>0.22642122856653815</v>
      </c>
      <c r="G44">
        <f>MASTER!$L$46</f>
        <v>676993</v>
      </c>
      <c r="H44">
        <f>MASTER!$AA$46 / MASTER!$AI$46</f>
        <v>0.18275803270000784</v>
      </c>
      <c r="I44">
        <f>MASTER!$J$46</f>
        <v>9.7270588235294095E-2</v>
      </c>
      <c r="J44">
        <f>MASTER!$K$46</f>
        <v>0.55276818181818199</v>
      </c>
      <c r="K44">
        <f>MASTER!$AO$46</f>
        <v>0.43766538461538451</v>
      </c>
    </row>
    <row r="45" spans="3:11">
      <c r="C45" t="str">
        <f>MASTER!$A$47</f>
        <v>Human Resources</v>
      </c>
      <c r="D45">
        <f>MASTER!$B$47</f>
        <v>35</v>
      </c>
      <c r="E45">
        <f>MASTER!$H$47</f>
        <v>5.1538028995593904E-3</v>
      </c>
      <c r="F45">
        <f>IF(MASTER!$AA$47&gt;0,MASTER!$C$47/MASTER!$AA$47, "NA")</f>
        <v>8.8951036915928067E-2</v>
      </c>
      <c r="G45">
        <f>MASTER!$L$47</f>
        <v>48906.9</v>
      </c>
      <c r="H45">
        <f>MASTER!$AA$47 / MASTER!$AI$47</f>
        <v>0.103010721234604</v>
      </c>
      <c r="I45">
        <f>MASTER!$J$47</f>
        <v>0.105130769230769</v>
      </c>
      <c r="J45">
        <f>MASTER!$K$47</f>
        <v>0.55306956521739103</v>
      </c>
      <c r="K45">
        <f>MASTER!$AO$47</f>
        <v>0.5399076923076922</v>
      </c>
    </row>
    <row r="46" spans="3:11">
      <c r="C46" t="str">
        <f>MASTER!$A$48</f>
        <v>Industrial Services</v>
      </c>
      <c r="D46">
        <f>MASTER!$B$48</f>
        <v>196</v>
      </c>
      <c r="E46">
        <f>MASTER!$H$48</f>
        <v>2.6672005530827998E-3</v>
      </c>
      <c r="F46">
        <f>IF(MASTER!$AA$48&gt;0,MASTER!$C$48/MASTER!$AA$48, "NA")</f>
        <v>8.4413907777161928E-2</v>
      </c>
      <c r="G46">
        <f>MASTER!$L$48</f>
        <v>252035.4</v>
      </c>
      <c r="H46">
        <f>MASTER!$AA$48 / MASTER!$AI$48</f>
        <v>9.8764987049053482E-2</v>
      </c>
      <c r="I46">
        <f>MASTER!$J$48</f>
        <v>0.10958</v>
      </c>
      <c r="J46">
        <f>MASTER!$K$48</f>
        <v>0.44289776119403002</v>
      </c>
      <c r="K46">
        <f>MASTER!$AO$48</f>
        <v>0.71930851063829804</v>
      </c>
    </row>
    <row r="47" spans="3:11">
      <c r="C47" t="str">
        <f>MASTER!$A$49</f>
        <v>Information Services</v>
      </c>
      <c r="D47">
        <f>MASTER!$B$49</f>
        <v>38</v>
      </c>
      <c r="E47">
        <f>MASTER!$H$49</f>
        <v>3.29312944985402E-3</v>
      </c>
      <c r="F47">
        <f>IF(MASTER!$AA$49&gt;0,MASTER!$C$49/MASTER!$AA$49, "NA")</f>
        <v>0.15613659708285266</v>
      </c>
      <c r="G47">
        <f>MASTER!$L$49</f>
        <v>167438.1</v>
      </c>
      <c r="H47">
        <f>MASTER!$AA$49 / MASTER!$AI$49</f>
        <v>0.16513055232269883</v>
      </c>
      <c r="I47">
        <f>MASTER!$J$49</f>
        <v>0.1103875</v>
      </c>
      <c r="J47">
        <f>MASTER!$K$49</f>
        <v>0.54022499999999996</v>
      </c>
      <c r="K47">
        <f>MASTER!$AO$49</f>
        <v>0.33760800000000013</v>
      </c>
    </row>
    <row r="48" spans="3:11">
      <c r="C48" t="str">
        <f>MASTER!$A$50</f>
        <v>Insurance (Life)</v>
      </c>
      <c r="D48">
        <f>MASTER!$B$50</f>
        <v>40</v>
      </c>
      <c r="E48">
        <f>MASTER!$H$50</f>
        <v>1.2054712647776199E-2</v>
      </c>
      <c r="F48">
        <f>IF(MASTER!$AA$50&gt;0,MASTER!$C$50/MASTER!$AA$50, "NA")</f>
        <v>0.29946391178570997</v>
      </c>
      <c r="G48">
        <f>MASTER!$L$50</f>
        <v>684696</v>
      </c>
      <c r="H48">
        <f>MASTER!$AA$50 / MASTER!$AI$50</f>
        <v>0.1194576063366016</v>
      </c>
      <c r="I48">
        <f>MASTER!$J$50</f>
        <v>2.0730769230769198E-2</v>
      </c>
      <c r="J48">
        <f>MASTER!$K$50</f>
        <v>0.42693714285714301</v>
      </c>
      <c r="K48">
        <f>MASTER!$AO$50</f>
        <v>0.42351142857142832</v>
      </c>
    </row>
    <row r="49" spans="3:11">
      <c r="C49" t="str">
        <f>MASTER!$A$51</f>
        <v>Insurance (Prop/Cas.)</v>
      </c>
      <c r="D49">
        <f>MASTER!$B$51</f>
        <v>87</v>
      </c>
      <c r="E49">
        <f>MASTER!$H$51</f>
        <v>1.48155105041294E-2</v>
      </c>
      <c r="F49">
        <f>IF(MASTER!$AA$51&gt;0,MASTER!$C$51/MASTER!$AA$51, "NA")</f>
        <v>0.15687751605855435</v>
      </c>
      <c r="G49">
        <f>MASTER!$L$51</f>
        <v>3224851.5</v>
      </c>
      <c r="H49">
        <f>MASTER!$AA$51 / MASTER!$AI$51</f>
        <v>0.15994301988331544</v>
      </c>
      <c r="I49">
        <f>MASTER!$J$51</f>
        <v>7.6659090909090899E-2</v>
      </c>
      <c r="J49">
        <f>MASTER!$K$51</f>
        <v>0.61376891891891905</v>
      </c>
      <c r="K49">
        <f>MASTER!$AO$51</f>
        <v>0.26892499999999997</v>
      </c>
    </row>
    <row r="50" spans="3:11">
      <c r="C50" t="str">
        <f>MASTER!$A$52</f>
        <v>Internet</v>
      </c>
      <c r="D50">
        <f>MASTER!$B$52</f>
        <v>266</v>
      </c>
      <c r="E50">
        <f>MASTER!$H$52</f>
        <v>6.3536925955680595E-4</v>
      </c>
      <c r="F50">
        <f>IF(MASTER!$AA$52&gt;0,MASTER!$C$52/MASTER!$AA$52, "NA")</f>
        <v>5.1760040433886708E-3</v>
      </c>
      <c r="G50">
        <f>MASTER!$L$52</f>
        <v>804157.82499999925</v>
      </c>
      <c r="H50">
        <f>MASTER!$AA$52 / MASTER!$AI$52</f>
        <v>0.10221169237225228</v>
      </c>
      <c r="I50">
        <f>MASTER!$J$52</f>
        <v>0.137955555555556</v>
      </c>
      <c r="J50">
        <f>MASTER!$K$52</f>
        <v>0.35138270676691702</v>
      </c>
      <c r="K50">
        <f>MASTER!$AO$52</f>
        <v>0.92637857142857161</v>
      </c>
    </row>
    <row r="51" spans="3:11">
      <c r="C51" t="str">
        <f>MASTER!$A$53</f>
        <v>Investment Co.</v>
      </c>
      <c r="D51">
        <f>MASTER!$B$53</f>
        <v>18</v>
      </c>
      <c r="E51">
        <f>MASTER!$H$53</f>
        <v>0</v>
      </c>
      <c r="F51" t="str">
        <f>IF(MASTER!$AA$53&gt;0,MASTER!$C$53/MASTER!$AA$53, "NA")</f>
        <v>NA</v>
      </c>
      <c r="G51">
        <f>MASTER!$L$53</f>
        <v>297.39999999999998</v>
      </c>
      <c r="H51">
        <f>MASTER!$AA$53 / MASTER!$AI$53</f>
        <v>11.782608695652176</v>
      </c>
      <c r="I51">
        <f>MASTER!$J$53</f>
        <v>0.01</v>
      </c>
      <c r="J51">
        <f>MASTER!$K$53</f>
        <v>0.105793333333333</v>
      </c>
      <c r="K51">
        <f>MASTER!$AO$53</f>
        <v>0.1396470588235294</v>
      </c>
    </row>
    <row r="52" spans="3:11">
      <c r="C52" t="str">
        <f>MASTER!$A$54</f>
        <v>Investment Co.(Foreign)</v>
      </c>
      <c r="D52">
        <f>MASTER!$B$54</f>
        <v>15</v>
      </c>
      <c r="E52">
        <f>MASTER!$H$54</f>
        <v>0</v>
      </c>
      <c r="F52">
        <f>IF(MASTER!$AA$54&gt;0,MASTER!$C$54/MASTER!$AA$54, "NA")</f>
        <v>0</v>
      </c>
      <c r="G52">
        <f>MASTER!$L$54</f>
        <v>284.60000000000002</v>
      </c>
      <c r="H52">
        <f>MASTER!$AA$54 / MASTER!$AI$54</f>
        <v>0.24074074074074073</v>
      </c>
      <c r="I52" t="e">
        <f>MASTER!$J$54</f>
        <v>#DIV/0!</v>
      </c>
      <c r="J52">
        <f>MASTER!$K$54</f>
        <v>0.17097333333333301</v>
      </c>
      <c r="K52">
        <f>MASTER!$AO$54</f>
        <v>0.23124</v>
      </c>
    </row>
    <row r="53" spans="3:11">
      <c r="C53" t="str">
        <f>MASTER!$A$55</f>
        <v>Machinery</v>
      </c>
      <c r="D53">
        <f>MASTER!$B$55</f>
        <v>126</v>
      </c>
      <c r="E53">
        <f>MASTER!$H$55</f>
        <v>5.9306691032658199E-3</v>
      </c>
      <c r="F53">
        <f>IF(MASTER!$AA$55&gt;0,MASTER!$C$55/MASTER!$AA$55, "NA")</f>
        <v>0.1109069021499275</v>
      </c>
      <c r="G53">
        <f>MASTER!$L$55</f>
        <v>521618.11720000027</v>
      </c>
      <c r="H53">
        <f>MASTER!$AA$55 / MASTER!$AI$55</f>
        <v>0.1855523116169803</v>
      </c>
      <c r="I53">
        <f>MASTER!$J$55</f>
        <v>7.44475E-2</v>
      </c>
      <c r="J53">
        <f>MASTER!$K$55</f>
        <v>0.48299696969696998</v>
      </c>
      <c r="K53">
        <f>MASTER!$AO$55</f>
        <v>0.45673009708737872</v>
      </c>
    </row>
    <row r="54" spans="3:11">
      <c r="C54" t="str">
        <f>MASTER!$A$56</f>
        <v>Manuf. Housing/RV</v>
      </c>
      <c r="D54">
        <f>MASTER!$B$56</f>
        <v>18</v>
      </c>
      <c r="E54">
        <f>MASTER!$H$56</f>
        <v>9.5875441433806805E-3</v>
      </c>
      <c r="F54">
        <f>IF(MASTER!$AA$56&gt;0,MASTER!$C$56/MASTER!$AA$56, "NA")</f>
        <v>0.16264262295081969</v>
      </c>
      <c r="G54">
        <f>MASTER!$L$56</f>
        <v>11019.8</v>
      </c>
      <c r="H54">
        <f>MASTER!$AA$56 / MASTER!$AI$56</f>
        <v>6.3002210241474038E-2</v>
      </c>
      <c r="I54">
        <f>MASTER!$J$56</f>
        <v>0.106225</v>
      </c>
      <c r="J54">
        <f>MASTER!$K$56</f>
        <v>0.496933333333333</v>
      </c>
      <c r="K54">
        <f>MASTER!$AO$56</f>
        <v>0.43471333333333328</v>
      </c>
    </row>
    <row r="55" spans="3:11">
      <c r="C55" t="str">
        <f>MASTER!$A$57</f>
        <v>Maritime</v>
      </c>
      <c r="D55">
        <f>MASTER!$B$57</f>
        <v>52</v>
      </c>
      <c r="E55">
        <f>MASTER!$H$57</f>
        <v>1.85947514898788E-2</v>
      </c>
      <c r="F55">
        <f>IF(MASTER!$AA$57&gt;0,MASTER!$C$57/MASTER!$AA$57, "NA")</f>
        <v>0.18329850625756963</v>
      </c>
      <c r="G55">
        <f>MASTER!$L$57</f>
        <v>95391.6</v>
      </c>
      <c r="H55">
        <f>MASTER!$AA$57 / MASTER!$AI$57</f>
        <v>0.15796307350097699</v>
      </c>
      <c r="I55">
        <f>MASTER!$J$57</f>
        <v>6.0600000000000001E-2</v>
      </c>
      <c r="J55">
        <f>MASTER!$K$57</f>
        <v>0.43912954545454502</v>
      </c>
      <c r="K55">
        <f>MASTER!$AO$57</f>
        <v>0.26200000000000001</v>
      </c>
    </row>
    <row r="56" spans="3:11">
      <c r="C56" t="str">
        <f>MASTER!$A$58</f>
        <v>Medical Services</v>
      </c>
      <c r="D56">
        <f>MASTER!$B$58</f>
        <v>178</v>
      </c>
      <c r="E56">
        <f>MASTER!$H$58</f>
        <v>8.5329742774146696E-4</v>
      </c>
      <c r="F56">
        <f>IF(MASTER!$AA$58&gt;0,MASTER!$C$58/MASTER!$AA$58, "NA")</f>
        <v>1.3226401635183894E-2</v>
      </c>
      <c r="G56">
        <f>MASTER!$L$58</f>
        <v>627983.6</v>
      </c>
      <c r="H56">
        <f>MASTER!$AA$58 / MASTER!$AI$58</f>
        <v>0.14320570017503639</v>
      </c>
      <c r="I56">
        <f>MASTER!$J$58</f>
        <v>9.1534615384615395E-2</v>
      </c>
      <c r="J56">
        <f>MASTER!$K$58</f>
        <v>0.40099112903225798</v>
      </c>
      <c r="K56">
        <f>MASTER!$AO$58</f>
        <v>0.65304485294117653</v>
      </c>
    </row>
    <row r="57" spans="3:11">
      <c r="C57" t="str">
        <f>MASTER!$A$59</f>
        <v>Medical Supplies</v>
      </c>
      <c r="D57">
        <f>MASTER!$B$59</f>
        <v>274</v>
      </c>
      <c r="E57">
        <f>MASTER!$H$59</f>
        <v>1.21996038038739E-3</v>
      </c>
      <c r="F57">
        <f>IF(MASTER!$AA$59&gt;0,MASTER!$C$59/MASTER!$AA$59, "NA")</f>
        <v>0.16283419921411429</v>
      </c>
      <c r="G57">
        <f>MASTER!$L$59</f>
        <v>1502409.0390000001</v>
      </c>
      <c r="H57">
        <f>MASTER!$AA$59 / MASTER!$AI$59</f>
        <v>0.1846767690818974</v>
      </c>
      <c r="I57">
        <f>MASTER!$J$59</f>
        <v>7.6090566037735799E-2</v>
      </c>
      <c r="J57">
        <f>MASTER!$K$59</f>
        <v>0.42936600985221701</v>
      </c>
      <c r="K57">
        <f>MASTER!$AO$59</f>
        <v>0.71337960199005002</v>
      </c>
    </row>
    <row r="58" spans="3:11">
      <c r="C58" t="str">
        <f>MASTER!$A$60</f>
        <v>Metal Fabricating</v>
      </c>
      <c r="D58">
        <f>MASTER!$B$60</f>
        <v>37</v>
      </c>
      <c r="E58">
        <f>MASTER!$H$60</f>
        <v>4.9491103578651703E-3</v>
      </c>
      <c r="F58">
        <f>IF(MASTER!$AA$60&gt;0,MASTER!$C$60/MASTER!$AA$60, "NA")</f>
        <v>0.10279934291368624</v>
      </c>
      <c r="G58">
        <f>MASTER!$L$60</f>
        <v>110314.7</v>
      </c>
      <c r="H58">
        <f>MASTER!$AA$60 / MASTER!$AI$60</f>
        <v>0.22365680363817303</v>
      </c>
      <c r="I58">
        <f>MASTER!$J$60</f>
        <v>5.2655555555555497E-2</v>
      </c>
      <c r="J58">
        <f>MASTER!$K$60</f>
        <v>0.47115555555555599</v>
      </c>
      <c r="K58">
        <f>MASTER!$AO$60</f>
        <v>0.5339115384615386</v>
      </c>
    </row>
    <row r="59" spans="3:11">
      <c r="C59" t="str">
        <f>MASTER!$A$61</f>
        <v>Metals &amp; Mining (Div.)</v>
      </c>
      <c r="D59">
        <f>MASTER!$B$61</f>
        <v>78</v>
      </c>
      <c r="E59">
        <f>MASTER!$H$61</f>
        <v>3.5957832069332101E-3</v>
      </c>
      <c r="F59">
        <f>IF(MASTER!$AA$61&gt;0,MASTER!$C$61/MASTER!$AA$61, "NA")</f>
        <v>0.14447319050376375</v>
      </c>
      <c r="G59">
        <f>MASTER!$L$61</f>
        <v>1475932.2</v>
      </c>
      <c r="H59">
        <f>MASTER!$AA$61 / MASTER!$AI$61</f>
        <v>0.32210328194175336</v>
      </c>
      <c r="I59">
        <f>MASTER!$J$61</f>
        <v>3.005E-2</v>
      </c>
      <c r="J59">
        <f>MASTER!$K$61</f>
        <v>0.224851923076923</v>
      </c>
      <c r="K59">
        <f>MASTER!$AO$61</f>
        <v>0.87773333333333325</v>
      </c>
    </row>
    <row r="60" spans="3:11">
      <c r="C60" t="str">
        <f>MASTER!$A$62</f>
        <v>Natural Gas (Div.)</v>
      </c>
      <c r="D60">
        <f>MASTER!$B$62</f>
        <v>31</v>
      </c>
      <c r="E60">
        <f>MASTER!$H$62</f>
        <v>2.1863505170104301E-2</v>
      </c>
      <c r="F60">
        <f>IF(MASTER!$AA$62&gt;0,MASTER!$C$62/MASTER!$AA$62, "NA")</f>
        <v>0.1238159583571021</v>
      </c>
      <c r="G60">
        <f>MASTER!$L$62</f>
        <v>406932.6</v>
      </c>
      <c r="H60">
        <f>MASTER!$AA$62 / MASTER!$AI$62</f>
        <v>0.15401521729431428</v>
      </c>
      <c r="I60">
        <f>MASTER!$J$62</f>
        <v>6.20071428571429E-2</v>
      </c>
      <c r="J60">
        <f>MASTER!$K$62</f>
        <v>0.59899310344827605</v>
      </c>
      <c r="K60">
        <f>MASTER!$AO$62</f>
        <v>0.2943035714285715</v>
      </c>
    </row>
    <row r="61" spans="3:11">
      <c r="C61" t="str">
        <f>MASTER!$A$63</f>
        <v>Natural Gas Utility</v>
      </c>
      <c r="D61">
        <f>MASTER!$B$63</f>
        <v>26</v>
      </c>
      <c r="E61">
        <f>MASTER!$H$63</f>
        <v>2.78253185632612E-2</v>
      </c>
      <c r="F61">
        <f>IF(MASTER!$AA$63&gt;0,MASTER!$C$63/MASTER!$AA$63, "NA")</f>
        <v>0.30291283764967974</v>
      </c>
      <c r="G61">
        <f>MASTER!$L$63</f>
        <v>64329.7</v>
      </c>
      <c r="H61">
        <f>MASTER!$AA$63 / MASTER!$AI$63</f>
        <v>0.12211129095879977</v>
      </c>
      <c r="I61">
        <f>MASTER!$J$63</f>
        <v>2.6915384615384601E-2</v>
      </c>
      <c r="J61">
        <f>MASTER!$K$63</f>
        <v>0.414178260869565</v>
      </c>
      <c r="K61">
        <f>MASTER!$AO$63</f>
        <v>0.31445200000000001</v>
      </c>
    </row>
    <row r="62" spans="3:11">
      <c r="C62" t="str">
        <f>MASTER!$A$64</f>
        <v>Newspaper</v>
      </c>
      <c r="D62">
        <f>MASTER!$B$64</f>
        <v>18</v>
      </c>
      <c r="E62">
        <f>MASTER!$H$64</f>
        <v>2.6602737729998899E-2</v>
      </c>
      <c r="F62">
        <f>IF(MASTER!$AA$64&gt;0,MASTER!$C$64/MASTER!$AA$64, "NA")</f>
        <v>0.18243507644813417</v>
      </c>
      <c r="G62">
        <f>MASTER!$L$64</f>
        <v>59750.2</v>
      </c>
      <c r="H62">
        <f>MASTER!$AA$64 / MASTER!$AI$64</f>
        <v>0.11498490165086477</v>
      </c>
      <c r="I62">
        <f>MASTER!$J$64</f>
        <v>0.16395000000000001</v>
      </c>
      <c r="J62">
        <f>MASTER!$K$64</f>
        <v>0.55857333333333303</v>
      </c>
      <c r="K62">
        <f>MASTER!$AO$64</f>
        <v>0.27942</v>
      </c>
    </row>
    <row r="63" spans="3:11">
      <c r="C63" t="str">
        <f>MASTER!$A$65</f>
        <v>Office Equip/Supplies</v>
      </c>
      <c r="D63">
        <f>MASTER!$B$65</f>
        <v>25</v>
      </c>
      <c r="E63">
        <f>MASTER!$H$65</f>
        <v>1.30389226579706E-2</v>
      </c>
      <c r="F63">
        <f>IF(MASTER!$AA$65&gt;0,MASTER!$C$65/MASTER!$AA$65, "NA")</f>
        <v>8.6822513037968521E-2</v>
      </c>
      <c r="G63">
        <f>MASTER!$L$65</f>
        <v>115181.8</v>
      </c>
      <c r="H63">
        <f>MASTER!$AA$65 / MASTER!$AI$65</f>
        <v>0.1757510343586976</v>
      </c>
      <c r="I63">
        <f>MASTER!$J$65</f>
        <v>2.3618181818181799E-2</v>
      </c>
      <c r="J63">
        <f>MASTER!$K$65</f>
        <v>0.51905789473684205</v>
      </c>
      <c r="K63">
        <f>MASTER!$AO$65</f>
        <v>0.38540909090909103</v>
      </c>
    </row>
    <row r="64" spans="3:11">
      <c r="C64" t="str">
        <f>MASTER!$A$66</f>
        <v>Oil/Gas Distribution</v>
      </c>
      <c r="D64">
        <f>MASTER!$B$66</f>
        <v>15</v>
      </c>
      <c r="E64">
        <f>MASTER!$H$66</f>
        <v>3.8614240034034103E-2</v>
      </c>
      <c r="F64">
        <f>IF(MASTER!$AA$66&gt;0,MASTER!$C$66/MASTER!$AA$66, "NA")</f>
        <v>0.4313109312212452</v>
      </c>
      <c r="G64">
        <f>MASTER!$L$66</f>
        <v>178532.3</v>
      </c>
      <c r="H64">
        <f>MASTER!$AA$66 / MASTER!$AI$66</f>
        <v>0.14206465757958095</v>
      </c>
      <c r="I64">
        <f>MASTER!$J$66</f>
        <v>8.3333333333333297E-3</v>
      </c>
      <c r="J64">
        <f>MASTER!$K$66</f>
        <v>0.38432142857142898</v>
      </c>
      <c r="K64">
        <f>MASTER!$AO$66</f>
        <v>0.17264444444444441</v>
      </c>
    </row>
    <row r="65" spans="3:11">
      <c r="C65" t="str">
        <f>MASTER!$A$67</f>
        <v>Oilfield Svcs/Equip.</v>
      </c>
      <c r="D65">
        <f>MASTER!$B$67</f>
        <v>113</v>
      </c>
      <c r="E65">
        <f>MASTER!$H$67</f>
        <v>4.46153239027142E-3</v>
      </c>
      <c r="F65">
        <f>IF(MASTER!$AA$67&gt;0,MASTER!$C$67/MASTER!$AA$67, "NA")</f>
        <v>5.1551635088482338E-2</v>
      </c>
      <c r="G65">
        <f>MASTER!$L$67</f>
        <v>982600.4</v>
      </c>
      <c r="H65">
        <f>MASTER!$AA$67 / MASTER!$AI$67</f>
        <v>0.22893765675013539</v>
      </c>
      <c r="I65">
        <f>MASTER!$J$67</f>
        <v>6.1584210526315797E-2</v>
      </c>
      <c r="J65">
        <f>MASTER!$K$67</f>
        <v>0.55530299999999999</v>
      </c>
      <c r="K65">
        <f>MASTER!$AO$67</f>
        <v>0.44272857142857136</v>
      </c>
    </row>
    <row r="66" spans="3:11">
      <c r="C66" t="str">
        <f>MASTER!$A$68</f>
        <v>Packaging &amp; Container</v>
      </c>
      <c r="D66">
        <f>MASTER!$B$68</f>
        <v>35</v>
      </c>
      <c r="E66">
        <f>MASTER!$H$68</f>
        <v>8.2184474685113602E-3</v>
      </c>
      <c r="F66">
        <f>IF(MASTER!$AA$68&gt;0,MASTER!$C$68/MASTER!$AA$68, "NA")</f>
        <v>0.16298203260196126</v>
      </c>
      <c r="G66">
        <f>MASTER!$L$68</f>
        <v>114490.9</v>
      </c>
      <c r="H66">
        <f>MASTER!$AA$68 / MASTER!$AI$68</f>
        <v>0.12335713137414578</v>
      </c>
      <c r="I66">
        <f>MASTER!$J$68</f>
        <v>6.2149999999999997E-2</v>
      </c>
      <c r="J66">
        <f>MASTER!$K$68</f>
        <v>0.60319354838709704</v>
      </c>
      <c r="K66">
        <f>MASTER!$AO$68</f>
        <v>0.43455483870967726</v>
      </c>
    </row>
    <row r="67" spans="3:11">
      <c r="C67" t="str">
        <f>MASTER!$A$69</f>
        <v>Paper/Forest Products</v>
      </c>
      <c r="D67">
        <f>MASTER!$B$69</f>
        <v>39</v>
      </c>
      <c r="E67">
        <f>MASTER!$H$69</f>
        <v>1.30296978422702E-2</v>
      </c>
      <c r="F67">
        <f>IF(MASTER!$AA$69&gt;0,MASTER!$C$69/MASTER!$AA$69, "NA")</f>
        <v>0.25393999751027013</v>
      </c>
      <c r="G67">
        <f>MASTER!$L$69</f>
        <v>140037.33199999999</v>
      </c>
      <c r="H67">
        <f>MASTER!$AA$69 / MASTER!$AI$69</f>
        <v>9.941722313285882E-2</v>
      </c>
      <c r="I67">
        <f>MASTER!$J$69</f>
        <v>3.6290909090909103E-2</v>
      </c>
      <c r="J67">
        <f>MASTER!$K$69</f>
        <v>0.518872413793103</v>
      </c>
      <c r="K67">
        <f>MASTER!$AO$69</f>
        <v>0.367362962962963</v>
      </c>
    </row>
    <row r="68" spans="3:11">
      <c r="C68" t="str">
        <f>MASTER!$A$70</f>
        <v>Petroleum (Integrated)</v>
      </c>
      <c r="D68">
        <f>MASTER!$B$70</f>
        <v>26</v>
      </c>
      <c r="E68">
        <f>MASTER!$H$70</f>
        <v>1.2373759710859701E-2</v>
      </c>
      <c r="F68">
        <f>IF(MASTER!$AA$70&gt;0,MASTER!$C$70/MASTER!$AA$70, "NA")</f>
        <v>0.12533772974772611</v>
      </c>
      <c r="G68">
        <f>MASTER!$L$70</f>
        <v>4142630.7</v>
      </c>
      <c r="H68">
        <f>MASTER!$AA$70 / MASTER!$AI$70</f>
        <v>0.23957859853975788</v>
      </c>
      <c r="I68">
        <f>MASTER!$J$70</f>
        <v>4.199E-2</v>
      </c>
      <c r="J68">
        <f>MASTER!$K$70</f>
        <v>0.51825600000000005</v>
      </c>
      <c r="K68">
        <f>MASTER!$AO$70</f>
        <v>0.35515769230769223</v>
      </c>
    </row>
    <row r="69" spans="3:11">
      <c r="C69" t="str">
        <f>MASTER!$A$71</f>
        <v>Petroleum (Producing)</v>
      </c>
      <c r="D69">
        <f>MASTER!$B$71</f>
        <v>186</v>
      </c>
      <c r="E69">
        <f>MASTER!$H$71</f>
        <v>3.2297440199877498E-3</v>
      </c>
      <c r="F69">
        <f>IF(MASTER!$AA$71&gt;0,MASTER!$C$71/MASTER!$AA$71, "NA")</f>
        <v>4.0881192353670173E-2</v>
      </c>
      <c r="G69">
        <f>MASTER!$L$71</f>
        <v>678032.00000000058</v>
      </c>
      <c r="H69">
        <f>MASTER!$AA$71 / MASTER!$AI$71</f>
        <v>0.18295910533617513</v>
      </c>
      <c r="I69">
        <f>MASTER!$J$71</f>
        <v>4.1462499999999999E-2</v>
      </c>
      <c r="J69">
        <f>MASTER!$K$71</f>
        <v>0.34239562043795602</v>
      </c>
      <c r="K69">
        <f>MASTER!$AO$71</f>
        <v>0.64450348837209293</v>
      </c>
    </row>
    <row r="70" spans="3:11">
      <c r="C70" t="str">
        <f>MASTER!$A$72</f>
        <v>Pharmacy Services</v>
      </c>
      <c r="D70">
        <f>MASTER!$B$72</f>
        <v>19</v>
      </c>
      <c r="E70">
        <f>MASTER!$H$72</f>
        <v>1.7115352596567899E-3</v>
      </c>
      <c r="F70">
        <f>IF(MASTER!$AA$72&gt;0,MASTER!$C$72/MASTER!$AA$72, "NA")</f>
        <v>5.7808633826191912E-2</v>
      </c>
      <c r="G70">
        <f>MASTER!$L$72</f>
        <v>331820.5</v>
      </c>
      <c r="H70">
        <f>MASTER!$AA$72 / MASTER!$AI$72</f>
        <v>0.13446230546658855</v>
      </c>
      <c r="I70">
        <f>MASTER!$J$72</f>
        <v>5.6300000000000003E-2</v>
      </c>
      <c r="J70">
        <f>MASTER!$K$72</f>
        <v>0.50153749999999997</v>
      </c>
      <c r="K70">
        <f>MASTER!$AO$72</f>
        <v>0.34380833333333333</v>
      </c>
    </row>
    <row r="71" spans="3:11">
      <c r="C71" t="str">
        <f>MASTER!$A$73</f>
        <v>Power</v>
      </c>
      <c r="D71">
        <f>MASTER!$B$73</f>
        <v>58</v>
      </c>
      <c r="E71">
        <f>MASTER!$H$73</f>
        <v>4.5136499488872002E-4</v>
      </c>
      <c r="F71">
        <f>IF(MASTER!$AA$73&gt;0,MASTER!$C$73/MASTER!$AA$73, "NA")</f>
        <v>1.2413461538461538E-2</v>
      </c>
      <c r="G71">
        <f>MASTER!$L$73</f>
        <v>1019405.3</v>
      </c>
      <c r="H71">
        <f>MASTER!$AA$73 / MASTER!$AI$73</f>
        <v>0.11066184294530752</v>
      </c>
      <c r="I71">
        <f>MASTER!$J$73</f>
        <v>6.0931249999999999E-2</v>
      </c>
      <c r="J71">
        <f>MASTER!$K$73</f>
        <v>0.350376595744681</v>
      </c>
      <c r="K71">
        <f>MASTER!$AO$73</f>
        <v>0.94921428571428546</v>
      </c>
    </row>
    <row r="72" spans="3:11">
      <c r="C72" t="str">
        <f>MASTER!$A$74</f>
        <v>Precious Metals</v>
      </c>
      <c r="D72">
        <f>MASTER!$B$74</f>
        <v>84</v>
      </c>
      <c r="E72">
        <f>MASTER!$H$74</f>
        <v>9.0993223401916799E-4</v>
      </c>
      <c r="F72">
        <f>IF(MASTER!$AA$74&gt;0,MASTER!$C$74/MASTER!$AA$74, "NA")</f>
        <v>0.1308299485999784</v>
      </c>
      <c r="G72">
        <f>MASTER!$L$74</f>
        <v>295361.5</v>
      </c>
      <c r="H72">
        <f>MASTER!$AA$74 / MASTER!$AI$74</f>
        <v>5.0848743220335106E-2</v>
      </c>
      <c r="I72">
        <f>MASTER!$J$74</f>
        <v>8.2199999999999999E-3</v>
      </c>
      <c r="J72">
        <f>MASTER!$K$74</f>
        <v>0.26025211267605602</v>
      </c>
      <c r="K72">
        <f>MASTER!$AO$74</f>
        <v>0.65412068965517267</v>
      </c>
    </row>
    <row r="73" spans="3:11">
      <c r="C73" t="str">
        <f>MASTER!$A$75</f>
        <v>Precision Instrument</v>
      </c>
      <c r="D73">
        <f>MASTER!$B$75</f>
        <v>103</v>
      </c>
      <c r="E73">
        <f>MASTER!$H$75</f>
        <v>1.7674929333544899E-3</v>
      </c>
      <c r="F73">
        <f>IF(MASTER!$AA$75&gt;0,MASTER!$C$75/MASTER!$AA$75, "NA")</f>
        <v>6.8571289946953037E-2</v>
      </c>
      <c r="G73">
        <f>MASTER!$L$75</f>
        <v>212234.7</v>
      </c>
      <c r="H73">
        <f>MASTER!$AA$75 / MASTER!$AI$75</f>
        <v>8.094263770472275E-2</v>
      </c>
      <c r="I73">
        <f>MASTER!$J$75</f>
        <v>7.0093548387096694E-2</v>
      </c>
      <c r="J73">
        <f>MASTER!$K$75</f>
        <v>0.52367179487179505</v>
      </c>
      <c r="K73">
        <f>MASTER!$AO$75</f>
        <v>0.99307831325301266</v>
      </c>
    </row>
    <row r="74" spans="3:11">
      <c r="C74" t="str">
        <f>MASTER!$A$76</f>
        <v>Property Management</v>
      </c>
      <c r="D74">
        <f>MASTER!$B$76</f>
        <v>12</v>
      </c>
      <c r="E74">
        <f>MASTER!$H$76</f>
        <v>1.0208006711191001E-2</v>
      </c>
      <c r="F74">
        <f>IF(MASTER!$AA$76&gt;0,MASTER!$C$76/MASTER!$AA$76, "NA")</f>
        <v>0.12979475745362032</v>
      </c>
      <c r="G74">
        <f>MASTER!$L$76</f>
        <v>71692.5</v>
      </c>
      <c r="H74">
        <f>MASTER!$AA$76 / MASTER!$AI$76</f>
        <v>0.15365188402868976</v>
      </c>
      <c r="I74">
        <f>MASTER!$J$76</f>
        <v>0.114525</v>
      </c>
      <c r="J74">
        <f>MASTER!$K$76</f>
        <v>0.44110909090909101</v>
      </c>
      <c r="K74">
        <f>MASTER!$AO$76</f>
        <v>0.22352</v>
      </c>
    </row>
    <row r="75" spans="3:11">
      <c r="C75" t="str">
        <f>MASTER!$A$77</f>
        <v>Publishing</v>
      </c>
      <c r="D75">
        <f>MASTER!$B$77</f>
        <v>40</v>
      </c>
      <c r="E75">
        <f>MASTER!$H$77</f>
        <v>6.45781058704513E-3</v>
      </c>
      <c r="F75">
        <f>IF(MASTER!$AA$77&gt;0,MASTER!$C$77/MASTER!$AA$77, "NA")</f>
        <v>0.13814580475790156</v>
      </c>
      <c r="G75">
        <f>MASTER!$L$77</f>
        <v>116889</v>
      </c>
      <c r="H75">
        <f>MASTER!$AA$77 / MASTER!$AI$77</f>
        <v>0.80426788764471446</v>
      </c>
      <c r="I75">
        <f>MASTER!$J$77</f>
        <v>0.17655454545454499</v>
      </c>
      <c r="J75">
        <f>MASTER!$K$77</f>
        <v>0.430480769230769</v>
      </c>
      <c r="K75">
        <f>MASTER!$AO$77</f>
        <v>0.42893600000000004</v>
      </c>
    </row>
    <row r="76" spans="3:11">
      <c r="C76" t="str">
        <f>MASTER!$A$78</f>
        <v>R.E.I.T.</v>
      </c>
      <c r="D76">
        <f>MASTER!$B$78</f>
        <v>147</v>
      </c>
      <c r="E76">
        <f>MASTER!$H$78</f>
        <v>1.7345621839808301E-2</v>
      </c>
      <c r="F76">
        <f>IF(MASTER!$AA$78&gt;0,MASTER!$C$78/MASTER!$AA$78, "NA")</f>
        <v>0.86177037686240143</v>
      </c>
      <c r="G76">
        <f>MASTER!$L$78</f>
        <v>64628.2</v>
      </c>
      <c r="H76">
        <f>MASTER!$AA$78 / MASTER!$AI$78</f>
        <v>7.885334383789798E-2</v>
      </c>
      <c r="I76">
        <f>MASTER!$J$78</f>
        <v>5.6365217391304297E-2</v>
      </c>
      <c r="J76">
        <f>MASTER!$K$78</f>
        <v>0.55239714285714303</v>
      </c>
      <c r="K76">
        <f>MASTER!$AO$78</f>
        <v>0.27381138211382106</v>
      </c>
    </row>
    <row r="77" spans="3:11">
      <c r="C77" t="str">
        <f>MASTER!$A$79</f>
        <v>Railroad</v>
      </c>
      <c r="D77">
        <f>MASTER!$B$79</f>
        <v>16</v>
      </c>
      <c r="E77">
        <f>MASTER!$H$79</f>
        <v>7.2857037946102198E-3</v>
      </c>
      <c r="F77">
        <f>IF(MASTER!$AA$79&gt;0,MASTER!$C$79/MASTER!$AA$79, "NA")</f>
        <v>0.13028933531716627</v>
      </c>
      <c r="G77">
        <f>MASTER!$L$79</f>
        <v>280721.5</v>
      </c>
      <c r="H77">
        <f>MASTER!$AA$79 / MASTER!$AI$79</f>
        <v>0.14103649875472674</v>
      </c>
      <c r="I77">
        <f>MASTER!$J$79</f>
        <v>3.1737500000000002E-2</v>
      </c>
      <c r="J77">
        <f>MASTER!$K$79</f>
        <v>0.57673750000000001</v>
      </c>
      <c r="K77">
        <f>MASTER!$AO$79</f>
        <v>0.31952142857142851</v>
      </c>
    </row>
    <row r="78" spans="3:11">
      <c r="C78" t="str">
        <f>MASTER!$A$80</f>
        <v>Recreation</v>
      </c>
      <c r="D78">
        <f>MASTER!$B$80</f>
        <v>73</v>
      </c>
      <c r="E78">
        <f>MASTER!$H$80</f>
        <v>8.2709167250010103E-3</v>
      </c>
      <c r="F78">
        <f>IF(MASTER!$AA$80&gt;0,MASTER!$C$80/MASTER!$AA$80, "NA")</f>
        <v>0.22243116031610854</v>
      </c>
      <c r="G78">
        <f>MASTER!$L$80</f>
        <v>185150.3</v>
      </c>
      <c r="H78">
        <f>MASTER!$AA$80 / MASTER!$AI$80</f>
        <v>0.13284697106278304</v>
      </c>
      <c r="I78">
        <f>MASTER!$J$80</f>
        <v>0.16497222222222199</v>
      </c>
      <c r="J78">
        <f>MASTER!$K$80</f>
        <v>0.3881</v>
      </c>
      <c r="K78">
        <f>MASTER!$AO$80</f>
        <v>0.48171886792452817</v>
      </c>
    </row>
    <row r="79" spans="3:11">
      <c r="C79" t="str">
        <f>MASTER!$A$81</f>
        <v>Reinsurance</v>
      </c>
      <c r="D79">
        <f>MASTER!$B$81</f>
        <v>11</v>
      </c>
      <c r="E79">
        <f>MASTER!$H$81</f>
        <v>8.1868737969896903E-3</v>
      </c>
      <c r="F79">
        <f>IF(MASTER!$AA$81&gt;0,MASTER!$C$81/MASTER!$AA$81, "NA")</f>
        <v>0.12636978992997666</v>
      </c>
      <c r="G79">
        <f>MASTER!$L$81</f>
        <v>57943.3</v>
      </c>
      <c r="H79">
        <f>MASTER!$AA$81 / MASTER!$AI$81</f>
        <v>0.12435778884470411</v>
      </c>
      <c r="I79">
        <f>MASTER!$J$81</f>
        <v>5.2049999999999999E-2</v>
      </c>
      <c r="J79">
        <f>MASTER!$K$81</f>
        <v>0.63137500000000002</v>
      </c>
      <c r="K79">
        <f>MASTER!$AO$81</f>
        <v>0.20753750000000001</v>
      </c>
    </row>
    <row r="80" spans="3:11">
      <c r="C80" t="str">
        <f>MASTER!$A$82</f>
        <v>Restaurant</v>
      </c>
      <c r="D80">
        <f>MASTER!$B$82</f>
        <v>75</v>
      </c>
      <c r="E80">
        <f>MASTER!$H$82</f>
        <v>6.7028338987994603E-3</v>
      </c>
      <c r="F80">
        <f>IF(MASTER!$AA$82&gt;0,MASTER!$C$82/MASTER!$AA$82, "NA")</f>
        <v>0.19788918082377618</v>
      </c>
      <c r="G80">
        <f>MASTER!$L$82</f>
        <v>299613.40000000002</v>
      </c>
      <c r="H80">
        <f>MASTER!$AA$82 / MASTER!$AI$82</f>
        <v>0.19441859196090494</v>
      </c>
      <c r="I80">
        <f>MASTER!$J$82</f>
        <v>9.4386206896551694E-2</v>
      </c>
      <c r="J80">
        <f>MASTER!$K$82</f>
        <v>0.53859999999999997</v>
      </c>
      <c r="K80">
        <f>MASTER!$AO$82</f>
        <v>0.47706724137931045</v>
      </c>
    </row>
    <row r="81" spans="3:11">
      <c r="C81" t="str">
        <f>MASTER!$A$83</f>
        <v>Retail (Special Lines)</v>
      </c>
      <c r="D81">
        <f>MASTER!$B$83</f>
        <v>164</v>
      </c>
      <c r="E81">
        <f>MASTER!$H$83</f>
        <v>4.9487194519628403E-3</v>
      </c>
      <c r="F81">
        <f>IF(MASTER!$AA$83&gt;0,MASTER!$C$83/MASTER!$AA$83, "NA")</f>
        <v>8.792031367012168E-2</v>
      </c>
      <c r="G81">
        <f>MASTER!$L$83</f>
        <v>377987.9</v>
      </c>
      <c r="H81">
        <f>MASTER!$AA$83 / MASTER!$AI$83</f>
        <v>0.16141828375992565</v>
      </c>
      <c r="I81">
        <f>MASTER!$J$83</f>
        <v>0.13493030303030301</v>
      </c>
      <c r="J81">
        <f>MASTER!$K$83</f>
        <v>0.51156460176991103</v>
      </c>
      <c r="K81">
        <f>MASTER!$AO$83</f>
        <v>0.46602142857142853</v>
      </c>
    </row>
    <row r="82" spans="3:11">
      <c r="C82" t="str">
        <f>MASTER!$A$84</f>
        <v>Retail Automotive</v>
      </c>
      <c r="D82">
        <f>MASTER!$B$84</f>
        <v>16</v>
      </c>
      <c r="E82">
        <f>MASTER!$H$84</f>
        <v>6.3427610632084998E-3</v>
      </c>
      <c r="F82">
        <f>IF(MASTER!$AA$84&gt;0,MASTER!$C$84/MASTER!$AA$84, "NA")</f>
        <v>2.7165171606864272E-2</v>
      </c>
      <c r="G82">
        <f>MASTER!$L$84</f>
        <v>75939.5</v>
      </c>
      <c r="H82">
        <f>MASTER!$AA$84 / MASTER!$AI$84</f>
        <v>0.15038740593455449</v>
      </c>
      <c r="I82">
        <f>MASTER!$J$84</f>
        <v>0.13553999999999999</v>
      </c>
      <c r="J82">
        <f>MASTER!$K$84</f>
        <v>0.71841818181818196</v>
      </c>
      <c r="K82">
        <f>MASTER!$AO$84</f>
        <v>0.27915999999999985</v>
      </c>
    </row>
    <row r="83" spans="3:11">
      <c r="C83" t="str">
        <f>MASTER!$A$85</f>
        <v>Retail Building Supply</v>
      </c>
      <c r="D83">
        <f>MASTER!$B$85</f>
        <v>9</v>
      </c>
      <c r="E83">
        <f>MASTER!$H$85</f>
        <v>3.2642625620942202E-2</v>
      </c>
      <c r="F83">
        <f>IF(MASTER!$AA$85&gt;0,MASTER!$C$85/MASTER!$AA$85, "NA")</f>
        <v>0.12840910670280267</v>
      </c>
      <c r="G83">
        <f>MASTER!$L$85</f>
        <v>176346.9</v>
      </c>
      <c r="H83">
        <f>MASTER!$AA$85 / MASTER!$AI$85</f>
        <v>0.21449283670907118</v>
      </c>
      <c r="I83">
        <f>MASTER!$J$85</f>
        <v>7.6785714285714304E-2</v>
      </c>
      <c r="J83">
        <f>MASTER!$K$85</f>
        <v>0.67732499999999995</v>
      </c>
      <c r="K83">
        <f>MASTER!$AO$85</f>
        <v>0.25888749999999999</v>
      </c>
    </row>
    <row r="84" spans="3:11">
      <c r="C84" t="str">
        <f>MASTER!$A$86</f>
        <v>Retail Store</v>
      </c>
      <c r="D84">
        <f>MASTER!$B$86</f>
        <v>42</v>
      </c>
      <c r="E84">
        <f>MASTER!$H$86</f>
        <v>7.6935203930417898E-3</v>
      </c>
      <c r="F84">
        <f>IF(MASTER!$AA$86&gt;0,MASTER!$C$86/MASTER!$AA$86, "NA")</f>
        <v>0.11508919634972034</v>
      </c>
      <c r="G84">
        <f>MASTER!$L$86</f>
        <v>883381.7</v>
      </c>
      <c r="H84">
        <f>MASTER!$AA$86 / MASTER!$AI$86</f>
        <v>0.1674272086992584</v>
      </c>
      <c r="I84">
        <f>MASTER!$J$86</f>
        <v>0.13052777777777799</v>
      </c>
      <c r="J84">
        <f>MASTER!$K$86</f>
        <v>0.58779000000000003</v>
      </c>
      <c r="K84">
        <f>MASTER!$AO$86</f>
        <v>0.44818787878787875</v>
      </c>
    </row>
    <row r="85" spans="3:11">
      <c r="C85" t="str">
        <f>MASTER!$A$87</f>
        <v>Securities Brokerage</v>
      </c>
      <c r="D85">
        <f>MASTER!$B$87</f>
        <v>31</v>
      </c>
      <c r="E85">
        <f>MASTER!$H$87</f>
        <v>7.4732669388588597E-3</v>
      </c>
      <c r="F85">
        <f>IF(MASTER!$AA$87&gt;0,MASTER!$C$87/MASTER!$AA$87, "NA")</f>
        <v>0.12816866935773399</v>
      </c>
      <c r="G85">
        <f>MASTER!$L$87</f>
        <v>731342.7</v>
      </c>
      <c r="H85">
        <f>MASTER!$AA$87 / MASTER!$AI$87</f>
        <v>0.20026508698166587</v>
      </c>
      <c r="I85">
        <f>MASTER!$J$87</f>
        <v>4.2474999999999999E-2</v>
      </c>
      <c r="J85">
        <f>MASTER!$K$87</f>
        <v>0.51291923076923096</v>
      </c>
      <c r="K85">
        <f>MASTER!$AO$87</f>
        <v>0.42266818181818172</v>
      </c>
    </row>
    <row r="86" spans="3:11">
      <c r="C86" t="str">
        <f>MASTER!$A$88</f>
        <v>Semiconductor</v>
      </c>
      <c r="D86">
        <f>MASTER!$B$88</f>
        <v>138</v>
      </c>
      <c r="E86">
        <f>MASTER!$H$88</f>
        <v>1.9698300546972499E-3</v>
      </c>
      <c r="F86">
        <f>IF(MASTER!$AA$88&gt;0,MASTER!$C$88/MASTER!$AA$88, "NA")</f>
        <v>0.19595493562231761</v>
      </c>
      <c r="G86">
        <f>MASTER!$L$88</f>
        <v>851712.6</v>
      </c>
      <c r="H86">
        <f>MASTER!$AA$88 / MASTER!$AI$88</f>
        <v>0.13096693506457008</v>
      </c>
      <c r="I86">
        <f>MASTER!$J$88</f>
        <v>5.2973529411764697E-2</v>
      </c>
      <c r="J86">
        <f>MASTER!$K$88</f>
        <v>0.52716434782608701</v>
      </c>
      <c r="K86">
        <f>MASTER!$AO$88</f>
        <v>0.63569532710280374</v>
      </c>
    </row>
    <row r="87" spans="3:11">
      <c r="C87" t="str">
        <f>MASTER!$A$89</f>
        <v>Semiconductor Equip</v>
      </c>
      <c r="D87">
        <f>MASTER!$B$89</f>
        <v>16</v>
      </c>
      <c r="E87">
        <f>MASTER!$H$89</f>
        <v>8.5054413148791697E-4</v>
      </c>
      <c r="F87">
        <f>IF(MASTER!$AA$89&gt;0,MASTER!$C$89/MASTER!$AA$89, "NA")</f>
        <v>5.2851039589860434E-2</v>
      </c>
      <c r="G87">
        <f>MASTER!$L$89</f>
        <v>93687.4</v>
      </c>
      <c r="H87">
        <f>MASTER!$AA$89 / MASTER!$AI$89</f>
        <v>0.19708418442923301</v>
      </c>
      <c r="I87">
        <f>MASTER!$J$89</f>
        <v>6.50642857142857E-2</v>
      </c>
      <c r="J87">
        <f>MASTER!$K$89</f>
        <v>0.80807333333333298</v>
      </c>
      <c r="K87">
        <f>MASTER!$AO$89</f>
        <v>0.37155333333333346</v>
      </c>
    </row>
    <row r="88" spans="3:11">
      <c r="C88" t="str">
        <f>MASTER!$A$90</f>
        <v>Shoe</v>
      </c>
      <c r="D88">
        <f>MASTER!$B$90</f>
        <v>20</v>
      </c>
      <c r="E88">
        <f>MASTER!$H$90</f>
        <v>5.7081971081066997E-3</v>
      </c>
      <c r="F88">
        <f>IF(MASTER!$AA$90&gt;0,MASTER!$C$90/MASTER!$AA$90, "NA")</f>
        <v>0.11977058432173258</v>
      </c>
      <c r="G88">
        <f>MASTER!$L$90</f>
        <v>89645.7</v>
      </c>
      <c r="H88">
        <f>MASTER!$AA$90 / MASTER!$AI$90</f>
        <v>0.19714787107979267</v>
      </c>
      <c r="I88">
        <f>MASTER!$J$90</f>
        <v>0.468663636363636</v>
      </c>
      <c r="J88">
        <f>MASTER!$K$90</f>
        <v>0.59391666666666698</v>
      </c>
      <c r="K88">
        <f>MASTER!$AO$90</f>
        <v>0.37817058823529409</v>
      </c>
    </row>
    <row r="89" spans="3:11">
      <c r="C89" t="str">
        <f>MASTER!$A$91</f>
        <v>Steel (General)</v>
      </c>
      <c r="D89">
        <f>MASTER!$B$91</f>
        <v>26</v>
      </c>
      <c r="E89">
        <f>MASTER!$H$91</f>
        <v>8.8819866504496001E-3</v>
      </c>
      <c r="F89">
        <f>IF(MASTER!$AA$91&gt;0,MASTER!$C$91/MASTER!$AA$91, "NA")</f>
        <v>7.5962300296820134E-2</v>
      </c>
      <c r="G89">
        <f>MASTER!$L$91</f>
        <v>98707.9</v>
      </c>
      <c r="H89">
        <f>MASTER!$AA$91 / MASTER!$AI$91</f>
        <v>0.26080292128385985</v>
      </c>
      <c r="I89">
        <f>MASTER!$J$91</f>
        <v>7.8312499999999993E-2</v>
      </c>
      <c r="J89">
        <f>MASTER!$K$91</f>
        <v>0.53332631578947398</v>
      </c>
      <c r="K89">
        <f>MASTER!$AO$91</f>
        <v>0.37431666666666635</v>
      </c>
    </row>
    <row r="90" spans="3:11">
      <c r="C90" t="str">
        <f>MASTER!$A$92</f>
        <v>Steel (Integrated)</v>
      </c>
      <c r="D90">
        <f>MASTER!$B$92</f>
        <v>14</v>
      </c>
      <c r="E90">
        <f>MASTER!$H$92</f>
        <v>3.5723692972406502E-3</v>
      </c>
      <c r="F90">
        <f>IF(MASTER!$AA$92&gt;0,MASTER!$C$92/MASTER!$AA$92, "NA")</f>
        <v>7.6093932103081949E-2</v>
      </c>
      <c r="G90">
        <f>MASTER!$L$92</f>
        <v>406283.5</v>
      </c>
      <c r="H90">
        <f>MASTER!$AA$92 / MASTER!$AI$92</f>
        <v>0.15991455858744952</v>
      </c>
      <c r="I90">
        <f>MASTER!$J$92</f>
        <v>1.96666666666667E-2</v>
      </c>
      <c r="J90">
        <f>MASTER!$K$92</f>
        <v>0.30069166666666702</v>
      </c>
      <c r="K90">
        <f>MASTER!$AO$92</f>
        <v>0.64438181818181794</v>
      </c>
    </row>
    <row r="91" spans="3:11">
      <c r="C91" t="str">
        <f>MASTER!$A$93</f>
        <v>Telecom. Equipment</v>
      </c>
      <c r="D91">
        <f>MASTER!$B$93</f>
        <v>124</v>
      </c>
      <c r="E91">
        <f>MASTER!$H$93</f>
        <v>1.1172767242153599E-3</v>
      </c>
      <c r="F91">
        <f>IF(MASTER!$AA$93&gt;0,MASTER!$C$93/MASTER!$AA$93, "NA")</f>
        <v>0.11466418339481627</v>
      </c>
      <c r="G91">
        <f>MASTER!$L$93</f>
        <v>1134587.22698</v>
      </c>
      <c r="H91">
        <f>MASTER!$AA$93 / MASTER!$AI$93</f>
        <v>0.14719317155694522</v>
      </c>
      <c r="I91">
        <f>MASTER!$J$93</f>
        <v>6.6162499999999999E-2</v>
      </c>
      <c r="J91">
        <f>MASTER!$K$93</f>
        <v>0.36433186813186802</v>
      </c>
      <c r="K91">
        <f>MASTER!$AO$93</f>
        <v>0.75785473684210525</v>
      </c>
    </row>
    <row r="92" spans="3:11">
      <c r="C92" t="str">
        <f>MASTER!$A$94</f>
        <v>Telecom. Services</v>
      </c>
      <c r="D92">
        <f>MASTER!$B$94</f>
        <v>152</v>
      </c>
      <c r="E92">
        <f>MASTER!$H$94</f>
        <v>1.01210157283775E-2</v>
      </c>
      <c r="F92">
        <f>IF(MASTER!$AA$94&gt;0,MASTER!$C$94/MASTER!$AA$94, "NA")</f>
        <v>0.55161329577426776</v>
      </c>
      <c r="G92">
        <f>MASTER!$L$94</f>
        <v>2462760.7999999998</v>
      </c>
      <c r="H92">
        <f>MASTER!$AA$94 / MASTER!$AI$94</f>
        <v>5.8485696748845614E-2</v>
      </c>
      <c r="I92">
        <f>MASTER!$J$94</f>
        <v>0.14043333333333299</v>
      </c>
      <c r="J92">
        <f>MASTER!$K$94</f>
        <v>0.33629339622641502</v>
      </c>
      <c r="K92">
        <f>MASTER!$AO$94</f>
        <v>0.73680224719101117</v>
      </c>
    </row>
    <row r="93" spans="3:11">
      <c r="C93" t="str">
        <f>MASTER!$A$95</f>
        <v>Thrift</v>
      </c>
      <c r="D93">
        <f>MASTER!$B$95</f>
        <v>234</v>
      </c>
      <c r="E93">
        <f>MASTER!$H$95</f>
        <v>1.8320409624079801E-2</v>
      </c>
      <c r="F93">
        <f>IF(MASTER!$AA$95&gt;0,MASTER!$C$95/MASTER!$AA$95, "NA")</f>
        <v>0.584067483279477</v>
      </c>
      <c r="G93">
        <f>MASTER!$L$95</f>
        <v>156595.5</v>
      </c>
      <c r="H93">
        <f>MASTER!$AA$95 / MASTER!$AI$95</f>
        <v>8.9605445145198928E-2</v>
      </c>
      <c r="I93">
        <f>MASTER!$J$95</f>
        <v>5.7344444444444399E-2</v>
      </c>
      <c r="J93">
        <f>MASTER!$K$95</f>
        <v>0.23878578947368401</v>
      </c>
      <c r="K93">
        <f>MASTER!$AO$95</f>
        <v>0.23924629629629623</v>
      </c>
    </row>
    <row r="94" spans="3:11">
      <c r="C94" t="str">
        <f>MASTER!$A$96</f>
        <v>Tobacco</v>
      </c>
      <c r="D94">
        <f>MASTER!$B$96</f>
        <v>11</v>
      </c>
      <c r="E94">
        <f>MASTER!$H$96</f>
        <v>2.8161552898925E-2</v>
      </c>
      <c r="F94">
        <f>IF(MASTER!$AA$96&gt;0,MASTER!$C$96/MASTER!$AA$96, "NA")</f>
        <v>0.67858766738420206</v>
      </c>
      <c r="G94">
        <f>MASTER!$L$96</f>
        <v>557389.19999999995</v>
      </c>
      <c r="H94">
        <f>MASTER!$AA$96 / MASTER!$AI$96</f>
        <v>0.29278340955262738</v>
      </c>
      <c r="I94">
        <f>MASTER!$J$96</f>
        <v>1.4475E-2</v>
      </c>
      <c r="J94">
        <f>MASTER!$K$96</f>
        <v>0.34449999999999997</v>
      </c>
      <c r="K94">
        <f>MASTER!$AO$96</f>
        <v>0.74346999999999996</v>
      </c>
    </row>
    <row r="95" spans="3:11">
      <c r="C95" t="str">
        <f>MASTER!$A$97</f>
        <v>Toiletries/Cosmetics</v>
      </c>
      <c r="D95">
        <f>MASTER!$B$97</f>
        <v>21</v>
      </c>
      <c r="E95">
        <f>MASTER!$H$97</f>
        <v>7.6950265301533698E-3</v>
      </c>
      <c r="F95">
        <f>IF(MASTER!$AA$97&gt;0,MASTER!$C$97/MASTER!$AA$97, "NA")</f>
        <v>0.22218755576705732</v>
      </c>
      <c r="G95">
        <f>MASTER!$L$97</f>
        <v>100984.1</v>
      </c>
      <c r="H95">
        <f>MASTER!$AA$97 / MASTER!$AI$97</f>
        <v>0.22582530140712628</v>
      </c>
      <c r="I95">
        <f>MASTER!$J$97</f>
        <v>0.21684444444444401</v>
      </c>
      <c r="J95">
        <f>MASTER!$K$97</f>
        <v>0.45738333333333298</v>
      </c>
      <c r="K95">
        <f>MASTER!$AO$97</f>
        <v>0.37369411764705895</v>
      </c>
    </row>
    <row r="96" spans="3:11">
      <c r="C96" t="str">
        <f>MASTER!$A$98</f>
        <v>Trucking</v>
      </c>
      <c r="D96">
        <f>MASTER!$B$98</f>
        <v>32</v>
      </c>
      <c r="E96">
        <f>MASTER!$H$98</f>
        <v>7.6976578137137597E-3</v>
      </c>
      <c r="F96">
        <f>IF(MASTER!$AA$98&gt;0,MASTER!$C$98/MASTER!$AA$98, "NA")</f>
        <v>6.1389788058502467E-2</v>
      </c>
      <c r="G96">
        <f>MASTER!$L$98</f>
        <v>49679.5</v>
      </c>
      <c r="H96">
        <f>MASTER!$AA$98 / MASTER!$AI$98</f>
        <v>0.15882480973896337</v>
      </c>
      <c r="I96">
        <f>MASTER!$J$98</f>
        <v>0.1202125</v>
      </c>
      <c r="J96">
        <f>MASTER!$K$98</f>
        <v>0.56976923076923103</v>
      </c>
      <c r="K96">
        <f>MASTER!$AO$98</f>
        <v>0.35037037037037039</v>
      </c>
    </row>
    <row r="97" spans="3:19">
      <c r="C97" t="str">
        <f>MASTER!$A$99</f>
        <v>Unassigned</v>
      </c>
      <c r="D97">
        <f>MASTER!$B$99</f>
        <v>1</v>
      </c>
      <c r="E97" t="e">
        <f>MASTER!$H$99</f>
        <v>#DIV/0!</v>
      </c>
      <c r="F97" t="str">
        <f>IF(MASTER!$AA$99&gt;0,MASTER!$C$99/MASTER!$AA$99, "NA")</f>
        <v>NA</v>
      </c>
      <c r="G97">
        <f>MASTER!$L$99</f>
        <v>0</v>
      </c>
      <c r="H97" t="e">
        <f>MASTER!$AA$99 / MASTER!$AI$99</f>
        <v>#DIV/0!</v>
      </c>
      <c r="I97" t="e">
        <f>MASTER!$J$99</f>
        <v>#DIV/0!</v>
      </c>
      <c r="J97" t="e">
        <f>MASTER!$K$99</f>
        <v>#DIV/0!</v>
      </c>
      <c r="K97">
        <f>MASTER!$AO$99</f>
        <v>0</v>
      </c>
    </row>
    <row r="98" spans="3:19">
      <c r="C98" t="str">
        <f>MASTER!$A$100</f>
        <v>Utility (Foreign)</v>
      </c>
      <c r="D98">
        <f>MASTER!$B$100</f>
        <v>6</v>
      </c>
      <c r="E98">
        <f>MASTER!$H$100</f>
        <v>0</v>
      </c>
      <c r="F98">
        <f>IF(MASTER!$AA$100&gt;0,MASTER!$C$100/MASTER!$AA$100, "NA")</f>
        <v>0</v>
      </c>
      <c r="G98">
        <f>MASTER!$L$100</f>
        <v>799.2</v>
      </c>
      <c r="H98">
        <f>MASTER!$AA$100 / MASTER!$AI$100</f>
        <v>7.0888468809073721E-2</v>
      </c>
      <c r="I98" t="e">
        <f>MASTER!$J$100</f>
        <v>#DIV/0!</v>
      </c>
      <c r="J98">
        <f>MASTER!$K$100</f>
        <v>0.15540000000000001</v>
      </c>
      <c r="K98">
        <f>MASTER!$AO$100</f>
        <v>0.2262833333333332</v>
      </c>
    </row>
    <row r="99" spans="3:19">
      <c r="C99" t="str">
        <f>MASTER!$A$101</f>
        <v>Water Utility</v>
      </c>
      <c r="D99">
        <f>MASTER!$B$101</f>
        <v>16</v>
      </c>
      <c r="E99">
        <f>MASTER!$H$101</f>
        <v>1.7667379230891699E-2</v>
      </c>
      <c r="F99">
        <f>IF(MASTER!$AA$101&gt;0,MASTER!$C$101/MASTER!$AA$101, "NA")</f>
        <v>0.2225328196347032</v>
      </c>
      <c r="G99">
        <f>MASTER!$L$101</f>
        <v>18211.2</v>
      </c>
      <c r="H99">
        <f>MASTER!$AA$101 / MASTER!$AI$101</f>
        <v>8.9111554747402816E-2</v>
      </c>
      <c r="I99">
        <f>MASTER!$J$101</f>
        <v>2.8799999999999999E-2</v>
      </c>
      <c r="J99">
        <f>MASTER!$K$101</f>
        <v>0.29059285714285699</v>
      </c>
      <c r="K99">
        <f>MASTER!$AO$101</f>
        <v>0.33613846153846133</v>
      </c>
    </row>
    <row r="100" spans="3:19">
      <c r="C100" t="str">
        <f>MASTER!$A$102</f>
        <v>Wireless Networking</v>
      </c>
      <c r="D100">
        <f>MASTER!$B$102</f>
        <v>74</v>
      </c>
      <c r="E100">
        <f>MASTER!$H$102</f>
        <v>2.9110044007222401E-3</v>
      </c>
      <c r="F100">
        <f>IF(MASTER!$AA$102&gt;0,MASTER!$C$102/MASTER!$AA$102, "NA")</f>
        <v>0.10549917718047175</v>
      </c>
      <c r="G100">
        <f>MASTER!$L$102</f>
        <v>257691.8</v>
      </c>
      <c r="H100">
        <f>MASTER!$AA$102 / MASTER!$AI$102</f>
        <v>2.0378278074627203E-2</v>
      </c>
      <c r="I100">
        <f>MASTER!$J$102</f>
        <v>8.3436842105263101E-2</v>
      </c>
      <c r="J100">
        <f>MASTER!$K$102</f>
        <v>0.47134897959183703</v>
      </c>
      <c r="K100">
        <f>MASTER!$AO$102</f>
        <v>0.67137600000000008</v>
      </c>
    </row>
    <row r="101" spans="3:19">
      <c r="C101" t="str">
        <f>MASTER!$A$103</f>
        <v>Market</v>
      </c>
      <c r="D101">
        <f>MASTER!$B$103</f>
        <v>7364</v>
      </c>
      <c r="E101">
        <f>MASTER!$H$103</f>
        <v>6.7273694738593896E-3</v>
      </c>
      <c r="F101">
        <f>IF(MASTER!$AA$103&gt;0,MASTER!$C$103/MASTER!$AA$103, "NA")</f>
        <v>0.18727845052934639</v>
      </c>
      <c r="G101">
        <f>MASTER!$L$103</f>
        <v>50353664.014369898</v>
      </c>
      <c r="H101">
        <f>MASTER!$AA$103 / MASTER!$AI$103</f>
        <v>0.15392685077234017</v>
      </c>
      <c r="I101">
        <f>MASTER!$J$103</f>
        <v>8.8702443991853799E-2</v>
      </c>
      <c r="J101">
        <f>MASTER!$K$103</f>
        <v>0.416864511415525</v>
      </c>
      <c r="K101">
        <f>MASTER!$AO$103</f>
        <v>0.57013359389895346</v>
      </c>
    </row>
    <row r="102" spans="3:19">
      <c r="C102">
        <f>MASTER!$A$104</f>
        <v>0</v>
      </c>
      <c r="D102">
        <f>MASTER!$B$104</f>
        <v>0</v>
      </c>
      <c r="E102" s="22">
        <f>MASTER!$H$104</f>
        <v>0</v>
      </c>
      <c r="F102" s="22" t="str">
        <f>IF(MASTER!$AA$104&gt;0,MASTER!$C$104/MASTER!$AA$104, "NA")</f>
        <v>NA</v>
      </c>
      <c r="G102">
        <f>MASTER!$L$104</f>
        <v>0</v>
      </c>
      <c r="H102" s="22" t="e">
        <f>MASTER!$AA$104 / MASTER!$AI$104</f>
        <v>#DIV/0!</v>
      </c>
      <c r="I102" s="22">
        <f>MASTER!$J$104</f>
        <v>0</v>
      </c>
      <c r="J102" s="22">
        <f>MASTER!$K$104</f>
        <v>0</v>
      </c>
      <c r="K102" s="26">
        <f>MASTER!$AO$104</f>
        <v>0</v>
      </c>
      <c r="S102" s="22"/>
    </row>
  </sheetData>
  <autoFilter ref="A1:A92">
    <sortState ref="A2:A92">
      <sortCondition ref="A1:A92"/>
    </sortState>
  </autoFilter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List Box 2">
              <controlPr defaultSize="0" autoLine="0" autoPict="0" macro="[0]!MAIN_MODEL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1851660</xdr:colOff>
                    <xdr:row>31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7"/>
  <sheetViews>
    <sheetView workbookViewId="0">
      <selection activeCell="A7" sqref="A7:C13"/>
    </sheetView>
  </sheetViews>
  <sheetFormatPr defaultRowHeight="11.4"/>
  <cols>
    <col min="1" max="16384" width="9" style="13"/>
  </cols>
  <sheetData>
    <row r="1" spans="1:10" ht="13.2">
      <c r="A1" s="12" t="s">
        <v>173</v>
      </c>
      <c r="B1" s="12"/>
      <c r="C1" s="12"/>
      <c r="D1" s="12"/>
      <c r="E1" s="12"/>
      <c r="F1" s="12"/>
      <c r="G1" s="12"/>
      <c r="H1" s="12"/>
      <c r="I1" s="12"/>
      <c r="J1" s="12"/>
    </row>
    <row r="2" spans="1:10">
      <c r="A2" s="13" t="s">
        <v>177</v>
      </c>
      <c r="E2" s="18">
        <v>4.02E-2</v>
      </c>
      <c r="F2" s="14"/>
      <c r="G2" s="14"/>
      <c r="H2" s="14"/>
    </row>
    <row r="3" spans="1:10">
      <c r="A3" s="13" t="s">
        <v>178</v>
      </c>
      <c r="E3" s="18">
        <v>4.7899999999999998E-2</v>
      </c>
      <c r="F3" s="14"/>
      <c r="G3" s="14"/>
      <c r="H3" s="14"/>
    </row>
    <row r="5" spans="1:10" ht="13.2">
      <c r="A5" s="15" t="s">
        <v>174</v>
      </c>
      <c r="B5" s="15"/>
      <c r="C5" s="15"/>
    </row>
    <row r="6" spans="1:10">
      <c r="A6" s="16" t="s">
        <v>175</v>
      </c>
      <c r="B6" s="16"/>
      <c r="C6" s="17" t="s">
        <v>176</v>
      </c>
    </row>
    <row r="7" spans="1:10">
      <c r="A7" s="19">
        <v>0</v>
      </c>
      <c r="B7" s="20">
        <v>0.2</v>
      </c>
      <c r="C7" s="21">
        <v>2.5000000000000001E-3</v>
      </c>
    </row>
    <row r="8" spans="1:10">
      <c r="A8" s="19">
        <v>0.2</v>
      </c>
      <c r="B8" s="20">
        <v>0.25</v>
      </c>
      <c r="C8" s="21">
        <v>5.0000000000000001E-3</v>
      </c>
    </row>
    <row r="9" spans="1:10">
      <c r="A9" s="19">
        <v>0.25</v>
      </c>
      <c r="B9" s="20">
        <v>0.3</v>
      </c>
      <c r="C9" s="21">
        <v>7.4999999999999997E-3</v>
      </c>
    </row>
    <row r="10" spans="1:10">
      <c r="A10" s="19">
        <v>0.3</v>
      </c>
      <c r="B10" s="20">
        <v>0.4</v>
      </c>
      <c r="C10" s="21">
        <v>0.01</v>
      </c>
    </row>
    <row r="11" spans="1:10">
      <c r="A11" s="19">
        <v>0.4</v>
      </c>
      <c r="B11" s="20">
        <v>0.5</v>
      </c>
      <c r="C11" s="21">
        <v>1.2500000000000001E-2</v>
      </c>
    </row>
    <row r="12" spans="1:10">
      <c r="A12" s="19">
        <v>0.5</v>
      </c>
      <c r="B12" s="20">
        <v>0.6</v>
      </c>
      <c r="C12" s="21">
        <v>1.4999999999999999E-2</v>
      </c>
    </row>
    <row r="13" spans="1:10">
      <c r="A13" s="19">
        <v>0.6</v>
      </c>
      <c r="B13" s="20">
        <v>10</v>
      </c>
      <c r="C13" s="21">
        <v>0.02</v>
      </c>
    </row>
    <row r="16" spans="1:10">
      <c r="A16" t="s">
        <v>181</v>
      </c>
      <c r="B16"/>
      <c r="C16"/>
      <c r="D16"/>
      <c r="E16"/>
      <c r="F16" s="23" t="s">
        <v>182</v>
      </c>
    </row>
    <row r="17" spans="1:6">
      <c r="A17" t="s">
        <v>183</v>
      </c>
      <c r="B17"/>
      <c r="C17"/>
      <c r="D17"/>
      <c r="E17"/>
      <c r="F17" s="24">
        <v>0.4</v>
      </c>
    </row>
  </sheetData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MASTER</vt:lpstr>
      <vt:lpstr>MODELS</vt:lpstr>
      <vt:lpstr>CONTROL_PANEL</vt:lpstr>
      <vt:lpstr>DEBT_TBL_RNG</vt:lpstr>
      <vt:lpstr>LABEL</vt:lpstr>
      <vt:lpstr>LT_BONDS_RNG</vt:lpstr>
      <vt:lpstr>MARGINAL_TAX_RATE_RNG</vt:lpstr>
      <vt:lpstr>MASTER</vt:lpstr>
      <vt:lpstr>REPORT</vt:lpstr>
      <vt:lpstr>RISK_PREMIUM_RNG</vt:lpstr>
      <vt:lpstr>TAX_SWITCHER_RNG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2016-01-24T22:22:42Z</dcterms:created>
  <dcterms:modified xsi:type="dcterms:W3CDTF">2016-01-25T00:21:30Z</dcterms:modified>
</cp:coreProperties>
</file>