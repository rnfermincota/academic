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 defaultThemeVersion="124226"/>
  <bookViews>
    <workbookView xWindow="120" yWindow="465" windowWidth="19440" windowHeight="11460" tabRatio="752"/>
  </bookViews>
  <sheets>
    <sheet name="VALUATION_FUNCTION_RECURSIVE" sheetId="5" r:id="rId1"/>
    <sheet name="VALUATION_FUNCTION_NONRECURSIVE" sheetId="6" r:id="rId2"/>
  </sheets>
  <functionGroups builtInGroupCount="17"/>
  <calcPr calcId="14562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6" i="5" l="1" a="1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N6" i="6" a="1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</calcChain>
</file>

<file path=xl/sharedStrings.xml><?xml version="1.0" encoding="utf-8"?>
<sst xmlns="http://schemas.openxmlformats.org/spreadsheetml/2006/main" count="28" uniqueCount="14">
  <si>
    <t>INPUTS</t>
  </si>
  <si>
    <t>OUTPUTS</t>
  </si>
  <si>
    <t>Please Enter the Number of Scenarios:</t>
  </si>
  <si>
    <t>TOTAL MARKET</t>
  </si>
  <si>
    <t>ANNUAL GROWTH RATE IN MARKET</t>
  </si>
  <si>
    <t>MARKET SHARE</t>
  </si>
  <si>
    <t>CURRENT AFTER-TAX OPERATING MARGIN</t>
  </si>
  <si>
    <t>PRODUCT LIFE CYCLE</t>
  </si>
  <si>
    <t>PERCENT OF OWN CUSTOMERS LOST TO COMPETITORS</t>
  </si>
  <si>
    <t>PERTCENT OF COMPETITORS CUSTOMERS GAINED</t>
  </si>
  <si>
    <t>COST OF INNOVATION</t>
  </si>
  <si>
    <t>COST OF CAPITAL</t>
  </si>
  <si>
    <t>RISK FREE RATE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</si>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</sst>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&quot;$&quot;#,##0.00"/>
    <numFmt numFmtId="165" formatCode="0.000"/>
  </numFmts>
  <fonts count="1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4"/>
      <name val="Times New Roman"/>
      <family val="1"/>
    </font>
    <font>
      <sz val="12"/>
      <color rgb="FFFF0000"/>
      <name val="Times New Roman"/>
      <family val="1"/>
    </font>
    <font>
      <sz val="12"/>
      <color theme="0"/>
      <name val="Times New Roman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theme="0"/>
      </right>
      <top style="dotted">
        <color indexed="64"/>
      </top>
      <bottom style="dotted">
        <color indexed="64"/>
      </bottom>
      <diagonal/>
    </border>
    <border>
      <left style="thin">
        <color theme="0"/>
      </left>
      <right style="thin">
        <color theme="0"/>
      </right>
      <top style="dotted">
        <color indexed="64"/>
      </top>
      <bottom style="dotted">
        <color indexed="64"/>
      </bottom>
      <diagonal/>
    </border>
    <border>
      <left style="thin">
        <color theme="0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44">
    <xf numFmtId="0" fontId="0" fillId="0" borderId="0" xfId="0"/>
    <xf numFmtId="44" fontId="6" fillId="3" borderId="0" xfId="58" applyFont="1" applyFill="1" applyBorder="1" applyAlignment="1">
      <alignment vertical="center" wrapText="1"/>
    </xf>
    <xf numFmtId="10" fontId="6" fillId="3" borderId="0" xfId="1" applyNumberFormat="1" applyFont="1" applyFill="1" applyBorder="1" applyAlignment="1">
      <alignment vertical="center" wrapText="1"/>
    </xf>
    <xf numFmtId="2" fontId="6" fillId="3" borderId="0" xfId="0" applyNumberFormat="1" applyFont="1" applyFill="1" applyBorder="1" applyAlignment="1">
      <alignment vertical="center" wrapText="1"/>
    </xf>
    <xf numFmtId="165" fontId="6" fillId="3" borderId="0" xfId="0" applyNumberFormat="1" applyFont="1" applyFill="1" applyBorder="1" applyAlignment="1">
      <alignment vertical="center" wrapText="1"/>
    </xf>
    <xf numFmtId="44" fontId="6" fillId="3" borderId="0" xfId="58" applyFont="1" applyFill="1" applyBorder="1" applyAlignment="1">
      <alignment wrapText="1"/>
    </xf>
    <xf numFmtId="0" fontId="6" fillId="3" borderId="0" xfId="0" applyFont="1" applyFill="1" applyBorder="1" applyAlignment="1">
      <alignment vertical="center" wrapText="1"/>
    </xf>
    <xf numFmtId="0" fontId="2" fillId="3" borderId="0" xfId="0" applyFont="1" applyFill="1"/>
    <xf numFmtId="164" fontId="9" fillId="3" borderId="0" xfId="0" applyNumberFormat="1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10" fontId="2" fillId="3" borderId="0" xfId="1" applyNumberFormat="1" applyFont="1" applyFill="1"/>
    <xf numFmtId="164" fontId="4" fillId="3" borderId="0" xfId="0" applyNumberFormat="1" applyFont="1" applyFill="1" applyBorder="1" applyAlignment="1">
      <alignment vertical="center"/>
    </xf>
    <xf numFmtId="0" fontId="5" fillId="3" borderId="0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vertical="center" wrapText="1"/>
    </xf>
    <xf numFmtId="0" fontId="6" fillId="2" borderId="5" xfId="0" applyFont="1" applyFill="1" applyBorder="1" applyAlignment="1">
      <alignment vertical="center" wrapText="1"/>
    </xf>
    <xf numFmtId="0" fontId="6" fillId="2" borderId="6" xfId="0" applyFont="1" applyFill="1" applyBorder="1" applyAlignment="1">
      <alignment vertical="center" wrapText="1"/>
    </xf>
    <xf numFmtId="44" fontId="6" fillId="2" borderId="4" xfId="58" applyFont="1" applyFill="1" applyBorder="1" applyAlignment="1">
      <alignment vertical="center" wrapText="1"/>
    </xf>
    <xf numFmtId="10" fontId="6" fillId="2" borderId="5" xfId="1" applyNumberFormat="1" applyFont="1" applyFill="1" applyBorder="1" applyAlignment="1">
      <alignment vertical="center" wrapText="1"/>
    </xf>
    <xf numFmtId="2" fontId="6" fillId="2" borderId="5" xfId="0" applyNumberFormat="1" applyFont="1" applyFill="1" applyBorder="1" applyAlignment="1">
      <alignment vertical="center" wrapText="1"/>
    </xf>
    <xf numFmtId="165" fontId="6" fillId="2" borderId="5" xfId="0" applyNumberFormat="1" applyFont="1" applyFill="1" applyBorder="1" applyAlignment="1">
      <alignment vertical="center" wrapText="1"/>
    </xf>
    <xf numFmtId="44" fontId="6" fillId="2" borderId="5" xfId="58" applyFont="1" applyFill="1" applyBorder="1" applyAlignment="1">
      <alignment vertical="center" wrapText="1"/>
    </xf>
    <xf numFmtId="165" fontId="6" fillId="2" borderId="6" xfId="0" applyNumberFormat="1" applyFont="1" applyFill="1" applyBorder="1" applyAlignment="1">
      <alignment vertical="center" wrapText="1"/>
    </xf>
    <xf numFmtId="10" fontId="9" fillId="3" borderId="0" xfId="0" applyNumberFormat="1" applyFont="1" applyFill="1" applyBorder="1" applyAlignment="1">
      <alignment vertical="center"/>
    </xf>
    <xf numFmtId="10" fontId="4" fillId="3" borderId="0" xfId="0" applyNumberFormat="1" applyFont="1" applyFill="1" applyBorder="1" applyAlignment="1">
      <alignment vertical="center"/>
    </xf>
    <xf numFmtId="10" fontId="9" fillId="3" borderId="0" xfId="0" applyNumberFormat="1" applyFont="1" applyFill="1" applyBorder="1" applyAlignment="1">
      <alignment vertical="center" wrapText="1"/>
    </xf>
    <xf numFmtId="10" fontId="4" fillId="3" borderId="0" xfId="0" applyNumberFormat="1" applyFont="1" applyFill="1" applyBorder="1" applyAlignment="1">
      <alignment vertical="center" wrapText="1"/>
    </xf>
    <xf numFmtId="0" fontId="2" fillId="3" borderId="0" xfId="0" applyFont="1" applyFill="1" applyAlignment="1">
      <alignment wrapText="1"/>
    </xf>
    <xf numFmtId="0" fontId="5" fillId="3" borderId="0" xfId="58" applyNumberFormat="1" applyFont="1" applyFill="1"/>
    <xf numFmtId="44" fontId="2" fillId="3" borderId="0" xfId="58" applyFont="1" applyFill="1"/>
    <xf numFmtId="0" fontId="3" fillId="3" borderId="7" xfId="0" applyFont="1" applyFill="1" applyBorder="1"/>
    <xf numFmtId="165" fontId="2" fillId="3" borderId="0" xfId="0" applyNumberFormat="1" applyFont="1" applyFill="1"/>
    <xf numFmtId="2" fontId="2" fillId="3" borderId="0" xfId="0" applyNumberFormat="1" applyFont="1" applyFill="1"/>
    <xf numFmtId="164" fontId="2" fillId="3" borderId="0" xfId="0" applyNumberFormat="1" applyFont="1" applyFill="1"/>
    <xf numFmtId="10" fontId="2" fillId="3" borderId="0" xfId="0" applyNumberFormat="1" applyFont="1" applyFill="1"/>
    <xf numFmtId="10" fontId="2" fillId="3" borderId="0" xfId="0" applyNumberFormat="1" applyFont="1" applyFill="1" applyAlignment="1">
      <alignment wrapText="1"/>
    </xf>
    <xf numFmtId="10" fontId="5" fillId="3" borderId="0" xfId="0" applyNumberFormat="1" applyFont="1" applyFill="1"/>
    <xf numFmtId="10" fontId="5" fillId="3" borderId="0" xfId="1" applyNumberFormat="1" applyFont="1" applyFill="1" applyAlignment="1">
      <alignment vertical="center"/>
    </xf>
    <xf numFmtId="10" fontId="10" fillId="3" borderId="0" xfId="1" applyNumberFormat="1" applyFont="1" applyFill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</cellXfs>
  <cellStyles count="59">
    <cellStyle name="Currency" xfId="58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J35"/>
  <sheetViews>
    <sheetView tabSelected="1" zoomScale="85" zoomScaleNormal="85" workbookViewId="0">
      <selection activeCell="G11" sqref="G11"/>
    </sheetView>
  </sheetViews>
  <sheetFormatPr defaultRowHeight="15.75" x14ac:dyDescent="0.25"/>
  <cols>
    <col min="1" max="1" width="9" style="7"/>
    <col min="2" max="2" width="9.25" style="32" bestFit="1" customWidth="1"/>
    <col min="3" max="3" width="9.875" style="33" bestFit="1" customWidth="1"/>
    <col min="4" max="4" width="9.25" style="33" bestFit="1" customWidth="1"/>
    <col min="5" max="5" width="12.5" style="33" bestFit="1" customWidth="1"/>
    <col min="6" max="6" width="12.125" style="7" bestFit="1" customWidth="1"/>
    <col min="7" max="7" width="18.75" style="34" bestFit="1" customWidth="1"/>
    <col min="8" max="8" width="15.75" style="33" customWidth="1"/>
    <col min="9" max="9" width="14" style="33" bestFit="1" customWidth="1"/>
    <col min="10" max="10" width="9.5" style="33" bestFit="1" customWidth="1"/>
    <col min="11" max="11" width="11" style="33" bestFit="1" customWidth="1"/>
    <col min="12" max="12" width="7.375" style="7" bestFit="1" customWidth="1"/>
    <col min="13" max="13" width="9" style="7"/>
    <col min="14" max="14" width="9" style="28" bestFit="1" customWidth="1"/>
    <col min="15" max="15" width="15.75" style="10" bestFit="1" customWidth="1"/>
    <col min="16" max="16" width="10" style="10" bestFit="1" customWidth="1"/>
    <col min="17" max="17" width="17.375" style="10" bestFit="1" customWidth="1"/>
    <col min="18" max="18" width="10.25" style="7" customWidth="1"/>
    <col min="19" max="19" width="19.125" style="10" bestFit="1" customWidth="1"/>
    <col min="20" max="20" width="15.375" style="10" customWidth="1"/>
    <col min="21" max="21" width="14" style="10" bestFit="1" customWidth="1"/>
    <col min="22" max="22" width="9.5" style="10" bestFit="1" customWidth="1"/>
    <col min="23" max="23" width="11" style="10" bestFit="1" customWidth="1"/>
    <col min="24" max="24" width="7.375" style="7" bestFit="1" customWidth="1"/>
    <col min="25" max="25" width="12.875" style="7" bestFit="1" customWidth="1"/>
    <col min="26" max="26" width="11.75" style="10" bestFit="1" customWidth="1"/>
    <col min="27" max="27" width="15" style="28" bestFit="1" customWidth="1"/>
    <col min="28" max="28" width="11.75" style="28" bestFit="1" customWidth="1"/>
    <col min="29" max="29" width="14.875" style="28" bestFit="1" customWidth="1"/>
    <col min="30" max="30" width="14.375" style="10" bestFit="1" customWidth="1"/>
    <col min="31" max="31" width="11.625" style="28" bestFit="1" customWidth="1"/>
    <col min="32" max="32" width="14.625" style="28" bestFit="1" customWidth="1"/>
    <col min="33" max="33" width="9.625" style="28" customWidth="1"/>
    <col min="34" max="34" width="11.25" style="28" bestFit="1" customWidth="1"/>
    <col min="35" max="35" width="10.125" style="30" bestFit="1" customWidth="1"/>
    <col min="36" max="36" width="15.75" style="30" bestFit="1" customWidth="1"/>
    <col min="37" max="16384" width="9" style="7"/>
  </cols>
  <sheetData>
    <row r="1" spans="2:36" x14ac:dyDescent="0.25">
      <c r="B1" s="7"/>
      <c r="C1" s="7"/>
      <c r="D1" s="7"/>
      <c r="E1" s="7"/>
      <c r="G1" s="26"/>
      <c r="H1" s="7"/>
      <c r="I1" s="7"/>
      <c r="J1" s="7"/>
      <c r="K1" s="7"/>
      <c r="N1" s="27"/>
      <c r="AI1" s="7"/>
      <c r="AJ1" s="7"/>
    </row>
    <row r="2" spans="2:36" ht="16.5" thickBot="1" x14ac:dyDescent="0.3">
      <c r="B2" s="7"/>
      <c r="C2" s="7"/>
      <c r="D2" s="7"/>
      <c r="E2" s="7"/>
      <c r="G2" s="26"/>
      <c r="H2" s="7"/>
      <c r="I2" s="7"/>
      <c r="J2" s="7"/>
      <c r="K2" s="7"/>
      <c r="P2" s="28"/>
      <c r="R2" s="28"/>
      <c r="T2" s="28"/>
      <c r="V2" s="28"/>
      <c r="X2" s="28"/>
      <c r="Y2" s="10"/>
      <c r="Z2" s="28"/>
      <c r="AA2" s="10"/>
      <c r="AC2" s="10"/>
      <c r="AD2" s="28"/>
      <c r="AE2" s="10"/>
      <c r="AG2" s="10"/>
      <c r="AI2" s="10"/>
      <c r="AJ2" s="28"/>
    </row>
    <row r="3" spans="2:36" ht="16.5" thickBot="1" x14ac:dyDescent="0.3">
      <c r="B3" s="41" t="s">
        <v>2</v>
      </c>
      <c r="C3" s="42"/>
      <c r="D3" s="42"/>
      <c r="E3" s="42"/>
      <c r="F3" s="42"/>
      <c r="G3" s="42"/>
      <c r="H3" s="42"/>
      <c r="I3" s="29">
        <v>5</v>
      </c>
      <c r="J3" s="7"/>
      <c r="K3" s="7"/>
    </row>
    <row r="4" spans="2:36" x14ac:dyDescent="0.25">
      <c r="B4" s="7"/>
      <c r="C4" s="7"/>
      <c r="D4" s="7"/>
      <c r="E4" s="7"/>
      <c r="G4" s="7"/>
      <c r="H4" s="7"/>
      <c r="I4" s="7"/>
      <c r="J4" s="7"/>
      <c r="K4" s="7"/>
      <c r="N4" s="1"/>
      <c r="O4" s="2"/>
      <c r="P4" s="2"/>
      <c r="Q4" s="2"/>
      <c r="R4" s="3"/>
      <c r="S4" s="2"/>
      <c r="T4" s="2"/>
      <c r="U4" s="2"/>
      <c r="V4" s="2"/>
      <c r="W4" s="2"/>
      <c r="X4" s="3"/>
      <c r="Y4" s="4"/>
      <c r="Z4" s="2"/>
      <c r="AA4" s="1"/>
      <c r="AB4" s="1"/>
      <c r="AC4" s="5"/>
      <c r="AD4" s="2"/>
      <c r="AE4" s="1"/>
      <c r="AF4" s="1"/>
      <c r="AG4" s="1"/>
      <c r="AH4" s="1"/>
      <c r="AI4" s="6"/>
      <c r="AJ4" s="6"/>
    </row>
    <row r="5" spans="2:36" x14ac:dyDescent="0.25">
      <c r="B5" s="41" t="s">
        <v>0</v>
      </c>
      <c r="C5" s="42"/>
      <c r="D5" s="42"/>
      <c r="E5" s="42"/>
      <c r="F5" s="42"/>
      <c r="G5" s="42"/>
      <c r="H5" s="42"/>
      <c r="I5" s="42"/>
      <c r="J5" s="42"/>
      <c r="K5" s="42"/>
      <c r="L5" s="43"/>
      <c r="N5" s="38" t="s">
        <v>1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40"/>
    </row>
    <row r="6" spans="2:36" ht="63" x14ac:dyDescent="0.25">
      <c r="B6" s="13" t="s">
        <v>3</v>
      </c>
      <c r="C6" s="14" t="s">
        <v>4</v>
      </c>
      <c r="D6" s="14" t="s">
        <v>5</v>
      </c>
      <c r="E6" s="14" t="s">
        <v>6</v>
      </c>
      <c r="F6" s="14" t="s">
        <v>7</v>
      </c>
      <c r="G6" s="14" t="s">
        <v>8</v>
      </c>
      <c r="H6" s="14" t="s">
        <v>9</v>
      </c>
      <c r="I6" s="14" t="s">
        <v>10</v>
      </c>
      <c r="J6" s="14" t="s">
        <v>11</v>
      </c>
      <c r="K6" s="14" t="s">
        <v>12</v>
      </c>
      <c r="L6" s="15" t="s">
        <v>13</v>
      </c>
      <c r="N6" s="16" t="str">
        <f t="array" aca="1" ref="N6:AJ16" ca="1">FRANCHISE_VALUATION_FUNC(OFFSET($B$7,0,0,$I$3,1),OFFSET($C$7,0,0,$I$3,1),OFFSET($D$7,0,0,$I$3,1),OFFSET($E$7,0,0,$I$3,1),OFFSET($F$7,0,0,$I$3,1),OFFSET($G$7,0,0,$I$3,1),OFFSET($H$7,0,0,$I$3,1),OFFSET($I$7,0,0,I$3,1),OFFSET($J$7,0,0,$I$3,1),OFFSET($K$7,0,0,$I$3,1),OFFSET($L$7,0,0,$I$3,1))</f>
        <v>TOTAL MARKET</v>
      </c>
      <c r="O6" s="17" t="str">
        <f ca="1"/>
        <v>ANNUAL GROWTH RATE IN MARKET</v>
      </c>
      <c r="P6" s="17" t="str">
        <f ca="1"/>
        <v>MARKET SHARE</v>
      </c>
      <c r="Q6" s="17" t="str">
        <f ca="1"/>
        <v>CURRENT AFTER-TAX OPERATING MARGIN</v>
      </c>
      <c r="R6" s="18" t="str">
        <f ca="1"/>
        <v>PRODUCT LIFE CYCLE</v>
      </c>
      <c r="S6" s="17" t="str">
        <f ca="1"/>
        <v>PERCENT OF OWN CUSTOMERS LOST TO COMPETITORS</v>
      </c>
      <c r="T6" s="17" t="str">
        <f ca="1"/>
        <v>PERTCENT OF COMPETITORS CUSTOMERS GAINED</v>
      </c>
      <c r="U6" s="17" t="str">
        <f ca="1"/>
        <v>COST OF INNOVATION</v>
      </c>
      <c r="V6" s="17" t="str">
        <f ca="1"/>
        <v>COST OF CAPITAL</v>
      </c>
      <c r="W6" s="17" t="str">
        <f ca="1"/>
        <v>RISK FREE RATE</v>
      </c>
      <c r="X6" s="18" t="str">
        <f ca="1"/>
        <v>YEARS</v>
      </c>
      <c r="Y6" s="19" t="str">
        <f ca="1"/>
        <v>PRODUCT CYCLE LAST YEAR</v>
      </c>
      <c r="Z6" s="17" t="str">
        <f ca="1"/>
        <v>GROWTH RATE LAST YEAR</v>
      </c>
      <c r="AA6" s="20" t="str">
        <f ca="1"/>
        <v>TOTAL MARKET LAST YEAR</v>
      </c>
      <c r="AB6" s="20" t="str">
        <f ca="1"/>
        <v>REVENUES LAST YEAR</v>
      </c>
      <c r="AC6" s="20" t="str">
        <f ca="1"/>
        <v>COMPETITOR REVENUES LAST YEAR</v>
      </c>
      <c r="AD6" s="17" t="str">
        <f ca="1"/>
        <v>MARKET SHARE LAST YEAR</v>
      </c>
      <c r="AE6" s="20" t="str">
        <f ca="1"/>
        <v>TOTAL REVENUES LAST YEAR</v>
      </c>
      <c r="AF6" s="20" t="str">
        <f ca="1"/>
        <v>OPERATING INCOME LAST YEAR</v>
      </c>
      <c r="AG6" s="20" t="str">
        <f ca="1"/>
        <v>PV LAST YEAR</v>
      </c>
      <c r="AH6" s="20" t="str">
        <f ca="1"/>
        <v>TOTAL EV</v>
      </c>
      <c r="AI6" s="19" t="str">
        <f ca="1"/>
        <v>EV/SALES</v>
      </c>
      <c r="AJ6" s="21" t="str">
        <f ca="1"/>
        <v>EV/OPERATING INCOME</v>
      </c>
    </row>
    <row r="7" spans="2:36" x14ac:dyDescent="0.25">
      <c r="B7" s="8">
        <v>364.15</v>
      </c>
      <c r="C7" s="22">
        <v>0.19600000000000001</v>
      </c>
      <c r="D7" s="22">
        <v>0.221</v>
      </c>
      <c r="E7" s="22">
        <v>0.06</v>
      </c>
      <c r="F7" s="9">
        <v>1</v>
      </c>
      <c r="G7" s="24">
        <v>0.1</v>
      </c>
      <c r="H7" s="22">
        <v>0.1</v>
      </c>
      <c r="I7" s="22">
        <v>4.2999999999999997E-2</v>
      </c>
      <c r="J7" s="22">
        <v>8.2299999999999998E-2</v>
      </c>
      <c r="K7" s="22">
        <v>1.9199999999999998E-2</v>
      </c>
      <c r="L7" s="9">
        <v>10</v>
      </c>
      <c r="N7" s="28">
        <f ca="1"/>
        <v>364.15</v>
      </c>
      <c r="O7" s="10">
        <f ca="1"/>
        <v>0.19600000000000001</v>
      </c>
      <c r="P7" s="10">
        <f ca="1"/>
        <v>0.221</v>
      </c>
      <c r="Q7" s="10">
        <f ca="1"/>
        <v>0.06</v>
      </c>
      <c r="R7" s="31">
        <f ca="1"/>
        <v>1</v>
      </c>
      <c r="S7" s="10">
        <f ca="1"/>
        <v>0.1</v>
      </c>
      <c r="T7" s="10">
        <f ca="1"/>
        <v>0.1</v>
      </c>
      <c r="U7" s="10">
        <f ca="1"/>
        <v>4.2999999999999997E-2</v>
      </c>
      <c r="V7" s="10">
        <f ca="1"/>
        <v>8.2299999999999998E-2</v>
      </c>
      <c r="W7" s="10">
        <f ca="1"/>
        <v>1.9199999999999998E-2</v>
      </c>
      <c r="X7" s="31">
        <f ca="1"/>
        <v>10</v>
      </c>
      <c r="Y7" s="31">
        <f ca="1"/>
        <v>1</v>
      </c>
      <c r="Z7" s="10">
        <f ca="1"/>
        <v>0.17074285714285714</v>
      </c>
      <c r="AA7" s="28">
        <f ca="1"/>
        <v>2045.7957064118266</v>
      </c>
      <c r="AB7" s="28">
        <f ca="1"/>
        <v>963.52634908427012</v>
      </c>
      <c r="AC7" s="28">
        <f ca="1"/>
        <v>1082.2693573275565</v>
      </c>
      <c r="AD7" s="10">
        <f ca="1"/>
        <v>0.47097877176319997</v>
      </c>
      <c r="AE7" s="28">
        <f ca="1"/>
        <v>963.52634908427012</v>
      </c>
      <c r="AF7" s="28">
        <f ca="1"/>
        <v>55.325682964418789</v>
      </c>
      <c r="AG7" s="28">
        <f ca="1"/>
        <v>25.087084884044327</v>
      </c>
      <c r="AH7" s="28">
        <f ca="1"/>
        <v>154.48112766954853</v>
      </c>
      <c r="AI7" s="30">
        <f ca="1"/>
        <v>1.9195650898366621</v>
      </c>
      <c r="AJ7" s="30">
        <f ca="1"/>
        <v>31.992751497277705</v>
      </c>
    </row>
    <row r="8" spans="2:36" x14ac:dyDescent="0.25">
      <c r="B8" s="8">
        <v>364.15</v>
      </c>
      <c r="C8" s="22">
        <v>0.19600000000000001</v>
      </c>
      <c r="D8" s="22">
        <v>0.221</v>
      </c>
      <c r="E8" s="22">
        <v>0.09</v>
      </c>
      <c r="F8" s="9">
        <v>1</v>
      </c>
      <c r="G8" s="24">
        <v>0.1</v>
      </c>
      <c r="H8" s="22">
        <v>0.1</v>
      </c>
      <c r="I8" s="22">
        <v>4.2999999999999997E-2</v>
      </c>
      <c r="J8" s="22">
        <v>8.2299999999999998E-2</v>
      </c>
      <c r="K8" s="22">
        <v>1.9199999999999998E-2</v>
      </c>
      <c r="L8" s="9">
        <v>10</v>
      </c>
      <c r="N8" s="28">
        <f ca="1"/>
        <v>364.15</v>
      </c>
      <c r="O8" s="10">
        <f ca="1"/>
        <v>0.19600000000000001</v>
      </c>
      <c r="P8" s="10">
        <f ca="1"/>
        <v>0.221</v>
      </c>
      <c r="Q8" s="10">
        <f ca="1"/>
        <v>0.09</v>
      </c>
      <c r="R8" s="31">
        <f ca="1"/>
        <v>1</v>
      </c>
      <c r="S8" s="10">
        <f ca="1"/>
        <v>0.1</v>
      </c>
      <c r="T8" s="10">
        <f ca="1"/>
        <v>0.1</v>
      </c>
      <c r="U8" s="10">
        <f ca="1"/>
        <v>4.2999999999999997E-2</v>
      </c>
      <c r="V8" s="10">
        <f ca="1"/>
        <v>8.2299999999999998E-2</v>
      </c>
      <c r="W8" s="10">
        <f ca="1"/>
        <v>1.9199999999999998E-2</v>
      </c>
      <c r="X8" s="31">
        <f ca="1"/>
        <v>10</v>
      </c>
      <c r="Y8" s="31">
        <f ca="1"/>
        <v>1</v>
      </c>
      <c r="Z8" s="10">
        <f ca="1"/>
        <v>0.17074285714285714</v>
      </c>
      <c r="AA8" s="28">
        <f ca="1"/>
        <v>2045.7957064118266</v>
      </c>
      <c r="AB8" s="28">
        <f ca="1"/>
        <v>963.52634908427012</v>
      </c>
      <c r="AC8" s="28">
        <f ca="1"/>
        <v>1082.2693573275565</v>
      </c>
      <c r="AD8" s="10">
        <f ca="1"/>
        <v>0.47097877176319997</v>
      </c>
      <c r="AE8" s="28">
        <f ca="1"/>
        <v>963.52634908427012</v>
      </c>
      <c r="AF8" s="28">
        <f ca="1"/>
        <v>82.988524446628176</v>
      </c>
      <c r="AG8" s="28">
        <f ca="1"/>
        <v>37.630627326066488</v>
      </c>
      <c r="AH8" s="28">
        <f ca="1"/>
        <v>231.72169150432279</v>
      </c>
      <c r="AI8" s="30">
        <f ca="1"/>
        <v>2.8793476347549931</v>
      </c>
      <c r="AJ8" s="30">
        <f ca="1"/>
        <v>31.992751497277705</v>
      </c>
    </row>
    <row r="9" spans="2:36" x14ac:dyDescent="0.25">
      <c r="B9" s="8">
        <v>364.15</v>
      </c>
      <c r="C9" s="22">
        <v>0.19600000000000001</v>
      </c>
      <c r="D9" s="22">
        <v>0.221</v>
      </c>
      <c r="E9" s="22">
        <v>0.12</v>
      </c>
      <c r="F9" s="9">
        <v>1</v>
      </c>
      <c r="G9" s="24">
        <v>0.1</v>
      </c>
      <c r="H9" s="22">
        <v>0.1</v>
      </c>
      <c r="I9" s="22">
        <v>4.2999999999999997E-2</v>
      </c>
      <c r="J9" s="22">
        <v>8.2299999999999998E-2</v>
      </c>
      <c r="K9" s="22">
        <v>1.9199999999999998E-2</v>
      </c>
      <c r="L9" s="9">
        <v>10</v>
      </c>
      <c r="N9" s="28">
        <f ca="1"/>
        <v>364.15</v>
      </c>
      <c r="O9" s="10">
        <f ca="1"/>
        <v>0.19600000000000001</v>
      </c>
      <c r="P9" s="10">
        <f ca="1"/>
        <v>0.221</v>
      </c>
      <c r="Q9" s="10">
        <f ca="1"/>
        <v>0.12</v>
      </c>
      <c r="R9" s="31">
        <f ca="1"/>
        <v>1</v>
      </c>
      <c r="S9" s="10">
        <f ca="1"/>
        <v>0.1</v>
      </c>
      <c r="T9" s="10">
        <f ca="1"/>
        <v>0.1</v>
      </c>
      <c r="U9" s="10">
        <f ca="1"/>
        <v>4.2999999999999997E-2</v>
      </c>
      <c r="V9" s="10">
        <f ca="1"/>
        <v>8.2299999999999998E-2</v>
      </c>
      <c r="W9" s="10">
        <f ca="1"/>
        <v>1.9199999999999998E-2</v>
      </c>
      <c r="X9" s="31">
        <f ca="1"/>
        <v>10</v>
      </c>
      <c r="Y9" s="31">
        <f ca="1"/>
        <v>1</v>
      </c>
      <c r="Z9" s="10">
        <f ca="1"/>
        <v>0.17074285714285714</v>
      </c>
      <c r="AA9" s="28">
        <f ca="1"/>
        <v>2045.7957064118266</v>
      </c>
      <c r="AB9" s="28">
        <f ca="1"/>
        <v>963.52634908427012</v>
      </c>
      <c r="AC9" s="28">
        <f ca="1"/>
        <v>1082.2693573275565</v>
      </c>
      <c r="AD9" s="10">
        <f ca="1"/>
        <v>0.47097877176319997</v>
      </c>
      <c r="AE9" s="28">
        <f ca="1"/>
        <v>963.52634908427012</v>
      </c>
      <c r="AF9" s="28">
        <f ca="1"/>
        <v>110.65136592883758</v>
      </c>
      <c r="AG9" s="28">
        <f ca="1"/>
        <v>50.174169768088653</v>
      </c>
      <c r="AH9" s="28">
        <f ca="1"/>
        <v>308.96225533909706</v>
      </c>
      <c r="AI9" s="30">
        <f ca="1"/>
        <v>3.8391301796733242</v>
      </c>
      <c r="AJ9" s="30">
        <f ca="1"/>
        <v>31.992751497277705</v>
      </c>
    </row>
    <row r="10" spans="2:36" x14ac:dyDescent="0.25">
      <c r="B10" s="8">
        <v>364.15</v>
      </c>
      <c r="C10" s="22">
        <v>0.19600000000000001</v>
      </c>
      <c r="D10" s="22">
        <v>0.221</v>
      </c>
      <c r="E10" s="22">
        <v>0.15</v>
      </c>
      <c r="F10" s="9">
        <v>1</v>
      </c>
      <c r="G10" s="24">
        <v>0.1</v>
      </c>
      <c r="H10" s="22">
        <v>0.1</v>
      </c>
      <c r="I10" s="22">
        <v>4.2999999999999997E-2</v>
      </c>
      <c r="J10" s="22">
        <v>8.2299999999999998E-2</v>
      </c>
      <c r="K10" s="22">
        <v>1.9199999999999998E-2</v>
      </c>
      <c r="L10" s="9">
        <v>10</v>
      </c>
      <c r="N10" s="28">
        <f ca="1"/>
        <v>364.15</v>
      </c>
      <c r="O10" s="10">
        <f ca="1"/>
        <v>0.19600000000000001</v>
      </c>
      <c r="P10" s="10">
        <f ca="1"/>
        <v>0.221</v>
      </c>
      <c r="Q10" s="10">
        <f ca="1"/>
        <v>0.15</v>
      </c>
      <c r="R10" s="31">
        <f ca="1"/>
        <v>1</v>
      </c>
      <c r="S10" s="10">
        <f ca="1"/>
        <v>0.1</v>
      </c>
      <c r="T10" s="10">
        <f ca="1"/>
        <v>0.1</v>
      </c>
      <c r="U10" s="10">
        <f ca="1"/>
        <v>4.2999999999999997E-2</v>
      </c>
      <c r="V10" s="10">
        <f ca="1"/>
        <v>8.2299999999999998E-2</v>
      </c>
      <c r="W10" s="10">
        <f ca="1"/>
        <v>1.9199999999999998E-2</v>
      </c>
      <c r="X10" s="31">
        <f ca="1"/>
        <v>10</v>
      </c>
      <c r="Y10" s="31">
        <f ca="1"/>
        <v>1</v>
      </c>
      <c r="Z10" s="10">
        <f ca="1"/>
        <v>0.17074285714285714</v>
      </c>
      <c r="AA10" s="28">
        <f ca="1"/>
        <v>2045.7957064118266</v>
      </c>
      <c r="AB10" s="28">
        <f ca="1"/>
        <v>963.52634908427012</v>
      </c>
      <c r="AC10" s="28">
        <f ca="1"/>
        <v>1082.2693573275565</v>
      </c>
      <c r="AD10" s="10">
        <f ca="1"/>
        <v>0.47097877176319997</v>
      </c>
      <c r="AE10" s="28">
        <f ca="1"/>
        <v>963.52634908427012</v>
      </c>
      <c r="AF10" s="28">
        <f ca="1"/>
        <v>138.31420741104697</v>
      </c>
      <c r="AG10" s="28">
        <f ca="1"/>
        <v>62.717712210110818</v>
      </c>
      <c r="AH10" s="28">
        <f ca="1"/>
        <v>386.20281917387138</v>
      </c>
      <c r="AI10" s="30">
        <f ca="1"/>
        <v>4.7989127245916565</v>
      </c>
      <c r="AJ10" s="30">
        <f ca="1"/>
        <v>31.992751497277709</v>
      </c>
    </row>
    <row r="11" spans="2:36" x14ac:dyDescent="0.25">
      <c r="B11" s="8">
        <v>364.15</v>
      </c>
      <c r="C11" s="22">
        <v>0.19600000000000001</v>
      </c>
      <c r="D11" s="22">
        <v>0.221</v>
      </c>
      <c r="E11" s="22">
        <v>0.18</v>
      </c>
      <c r="F11" s="9">
        <v>1</v>
      </c>
      <c r="G11" s="24">
        <v>0.1</v>
      </c>
      <c r="H11" s="22">
        <v>0.1</v>
      </c>
      <c r="I11" s="22">
        <v>4.2999999999999997E-2</v>
      </c>
      <c r="J11" s="22">
        <v>8.2299999999999998E-2</v>
      </c>
      <c r="K11" s="22">
        <v>1.9199999999999998E-2</v>
      </c>
      <c r="L11" s="9">
        <v>10</v>
      </c>
      <c r="N11" s="28">
        <f ca="1"/>
        <v>364.15</v>
      </c>
      <c r="O11" s="10">
        <f ca="1"/>
        <v>0.19600000000000001</v>
      </c>
      <c r="P11" s="10">
        <f ca="1"/>
        <v>0.221</v>
      </c>
      <c r="Q11" s="10">
        <f ca="1"/>
        <v>0.18</v>
      </c>
      <c r="R11" s="31">
        <f ca="1"/>
        <v>1</v>
      </c>
      <c r="S11" s="10">
        <f ca="1"/>
        <v>0.1</v>
      </c>
      <c r="T11" s="10">
        <f ca="1"/>
        <v>0.1</v>
      </c>
      <c r="U11" s="10">
        <f ca="1"/>
        <v>4.2999999999999997E-2</v>
      </c>
      <c r="V11" s="10">
        <f ca="1"/>
        <v>8.2299999999999998E-2</v>
      </c>
      <c r="W11" s="10">
        <f ca="1"/>
        <v>1.9199999999999998E-2</v>
      </c>
      <c r="X11" s="31">
        <f ca="1"/>
        <v>10</v>
      </c>
      <c r="Y11" s="31">
        <f ca="1"/>
        <v>1</v>
      </c>
      <c r="Z11" s="10">
        <f ca="1"/>
        <v>0.17074285714285714</v>
      </c>
      <c r="AA11" s="28">
        <f ca="1"/>
        <v>2045.7957064118266</v>
      </c>
      <c r="AB11" s="28">
        <f ca="1"/>
        <v>963.52634908427012</v>
      </c>
      <c r="AC11" s="28">
        <f ca="1"/>
        <v>1082.2693573275565</v>
      </c>
      <c r="AD11" s="10">
        <f ca="1"/>
        <v>0.47097877176319997</v>
      </c>
      <c r="AE11" s="28">
        <f ca="1"/>
        <v>963.52634908427012</v>
      </c>
      <c r="AF11" s="28">
        <f ca="1"/>
        <v>165.97704889325635</v>
      </c>
      <c r="AG11" s="28">
        <f ca="1"/>
        <v>75.261254652132976</v>
      </c>
      <c r="AH11" s="28">
        <f ca="1"/>
        <v>463.44338300864558</v>
      </c>
      <c r="AI11" s="30">
        <f ca="1"/>
        <v>5.7586952695099862</v>
      </c>
      <c r="AJ11" s="30">
        <f ca="1"/>
        <v>31.992751497277705</v>
      </c>
    </row>
    <row r="12" spans="2:36" x14ac:dyDescent="0.25">
      <c r="B12" s="8">
        <v>364.15</v>
      </c>
      <c r="C12" s="22">
        <v>0.19600000000000001</v>
      </c>
      <c r="D12" s="22">
        <v>0.221</v>
      </c>
      <c r="E12" s="22">
        <v>0.21</v>
      </c>
      <c r="F12" s="9">
        <v>1</v>
      </c>
      <c r="G12" s="24">
        <v>0.1</v>
      </c>
      <c r="H12" s="22">
        <v>0.1</v>
      </c>
      <c r="I12" s="22">
        <v>4.2999999999999997E-2</v>
      </c>
      <c r="J12" s="22">
        <v>8.2299999999999998E-2</v>
      </c>
      <c r="K12" s="22">
        <v>1.9199999999999998E-2</v>
      </c>
      <c r="L12" s="9">
        <v>10</v>
      </c>
      <c r="N12" s="28" t="e">
        <f ca="1"/>
        <v>#N/A</v>
      </c>
      <c r="O12" s="10" t="e">
        <f ca="1"/>
        <v>#N/A</v>
      </c>
      <c r="P12" s="10" t="e">
        <f ca="1"/>
        <v>#N/A</v>
      </c>
      <c r="Q12" s="10" t="e">
        <f ca="1"/>
        <v>#N/A</v>
      </c>
      <c r="R12" s="31" t="e">
        <f ca="1"/>
        <v>#N/A</v>
      </c>
      <c r="S12" s="10" t="e">
        <f ca="1"/>
        <v>#N/A</v>
      </c>
      <c r="T12" s="10" t="e">
        <f ca="1"/>
        <v>#N/A</v>
      </c>
      <c r="U12" s="10" t="e">
        <f ca="1"/>
        <v>#N/A</v>
      </c>
      <c r="V12" s="10" t="e">
        <f ca="1"/>
        <v>#N/A</v>
      </c>
      <c r="W12" s="10" t="e">
        <f ca="1"/>
        <v>#N/A</v>
      </c>
      <c r="X12" s="31" t="e">
        <f ca="1"/>
        <v>#N/A</v>
      </c>
      <c r="Y12" s="31" t="e">
        <f ca="1"/>
        <v>#N/A</v>
      </c>
      <c r="Z12" s="10" t="e">
        <f ca="1"/>
        <v>#N/A</v>
      </c>
      <c r="AA12" s="28" t="e">
        <f ca="1"/>
        <v>#N/A</v>
      </c>
      <c r="AB12" s="28" t="e">
        <f ca="1"/>
        <v>#N/A</v>
      </c>
      <c r="AC12" s="28" t="e">
        <f ca="1"/>
        <v>#N/A</v>
      </c>
      <c r="AD12" s="10" t="e">
        <f ca="1"/>
        <v>#N/A</v>
      </c>
      <c r="AE12" s="28" t="e">
        <f ca="1"/>
        <v>#N/A</v>
      </c>
      <c r="AF12" s="28" t="e">
        <f ca="1"/>
        <v>#N/A</v>
      </c>
      <c r="AG12" s="28" t="e">
        <f ca="1"/>
        <v>#N/A</v>
      </c>
      <c r="AH12" s="28" t="e">
        <f ca="1"/>
        <v>#N/A</v>
      </c>
      <c r="AI12" s="30" t="e">
        <f ca="1"/>
        <v>#N/A</v>
      </c>
      <c r="AJ12" s="30" t="e">
        <f ca="1"/>
        <v>#N/A</v>
      </c>
    </row>
    <row r="13" spans="2:36" x14ac:dyDescent="0.25">
      <c r="B13" s="8">
        <v>364.15</v>
      </c>
      <c r="C13" s="22">
        <v>0.19600000000000001</v>
      </c>
      <c r="D13" s="22">
        <v>0.221</v>
      </c>
      <c r="E13" s="22">
        <v>0.24</v>
      </c>
      <c r="F13" s="9">
        <v>1</v>
      </c>
      <c r="G13" s="24">
        <v>0.1</v>
      </c>
      <c r="H13" s="22">
        <v>0.1</v>
      </c>
      <c r="I13" s="22">
        <v>4.2999999999999997E-2</v>
      </c>
      <c r="J13" s="22">
        <v>8.2299999999999998E-2</v>
      </c>
      <c r="K13" s="22">
        <v>1.9199999999999998E-2</v>
      </c>
      <c r="L13" s="9">
        <v>10</v>
      </c>
      <c r="N13" s="28" t="e">
        <f ca="1"/>
        <v>#N/A</v>
      </c>
      <c r="O13" s="10" t="e">
        <f ca="1"/>
        <v>#N/A</v>
      </c>
      <c r="P13" s="10" t="e">
        <f ca="1"/>
        <v>#N/A</v>
      </c>
      <c r="Q13" s="10" t="e">
        <f ca="1"/>
        <v>#N/A</v>
      </c>
      <c r="R13" s="31" t="e">
        <f ca="1"/>
        <v>#N/A</v>
      </c>
      <c r="S13" s="10" t="e">
        <f ca="1"/>
        <v>#N/A</v>
      </c>
      <c r="T13" s="10" t="e">
        <f ca="1"/>
        <v>#N/A</v>
      </c>
      <c r="U13" s="10" t="e">
        <f ca="1"/>
        <v>#N/A</v>
      </c>
      <c r="V13" s="10" t="e">
        <f ca="1"/>
        <v>#N/A</v>
      </c>
      <c r="W13" s="10" t="e">
        <f ca="1"/>
        <v>#N/A</v>
      </c>
      <c r="X13" s="31" t="e">
        <f ca="1"/>
        <v>#N/A</v>
      </c>
      <c r="Y13" s="31" t="e">
        <f ca="1"/>
        <v>#N/A</v>
      </c>
      <c r="Z13" s="10" t="e">
        <f ca="1"/>
        <v>#N/A</v>
      </c>
      <c r="AA13" s="28" t="e">
        <f ca="1"/>
        <v>#N/A</v>
      </c>
      <c r="AB13" s="28" t="e">
        <f ca="1"/>
        <v>#N/A</v>
      </c>
      <c r="AC13" s="28" t="e">
        <f ca="1"/>
        <v>#N/A</v>
      </c>
      <c r="AD13" s="10" t="e">
        <f ca="1"/>
        <v>#N/A</v>
      </c>
      <c r="AE13" s="28" t="e">
        <f ca="1"/>
        <v>#N/A</v>
      </c>
      <c r="AF13" s="28" t="e">
        <f ca="1"/>
        <v>#N/A</v>
      </c>
      <c r="AG13" s="28" t="e">
        <f ca="1"/>
        <v>#N/A</v>
      </c>
      <c r="AH13" s="28" t="e">
        <f ca="1"/>
        <v>#N/A</v>
      </c>
      <c r="AI13" s="30" t="e">
        <f ca="1"/>
        <v>#N/A</v>
      </c>
      <c r="AJ13" s="30" t="e">
        <f ca="1"/>
        <v>#N/A</v>
      </c>
    </row>
    <row r="14" spans="2:36" x14ac:dyDescent="0.25">
      <c r="B14" s="8">
        <v>364.15</v>
      </c>
      <c r="C14" s="22">
        <v>0.19600000000000001</v>
      </c>
      <c r="D14" s="22">
        <v>0.221</v>
      </c>
      <c r="E14" s="22">
        <v>0.27</v>
      </c>
      <c r="F14" s="9">
        <v>1</v>
      </c>
      <c r="G14" s="24">
        <v>0.1</v>
      </c>
      <c r="H14" s="22">
        <v>0.1</v>
      </c>
      <c r="I14" s="22">
        <v>4.2999999999999997E-2</v>
      </c>
      <c r="J14" s="22">
        <v>8.2299999999999998E-2</v>
      </c>
      <c r="K14" s="22">
        <v>1.9199999999999998E-2</v>
      </c>
      <c r="L14" s="9">
        <v>10</v>
      </c>
      <c r="N14" s="28" t="e">
        <f ca="1"/>
        <v>#N/A</v>
      </c>
      <c r="O14" s="10" t="e">
        <f ca="1"/>
        <v>#N/A</v>
      </c>
      <c r="P14" s="10" t="e">
        <f ca="1"/>
        <v>#N/A</v>
      </c>
      <c r="Q14" s="10" t="e">
        <f ca="1"/>
        <v>#N/A</v>
      </c>
      <c r="R14" s="31" t="e">
        <f ca="1"/>
        <v>#N/A</v>
      </c>
      <c r="S14" s="10" t="e">
        <f ca="1"/>
        <v>#N/A</v>
      </c>
      <c r="T14" s="10" t="e">
        <f ca="1"/>
        <v>#N/A</v>
      </c>
      <c r="U14" s="10" t="e">
        <f ca="1"/>
        <v>#N/A</v>
      </c>
      <c r="V14" s="10" t="e">
        <f ca="1"/>
        <v>#N/A</v>
      </c>
      <c r="W14" s="10" t="e">
        <f ca="1"/>
        <v>#N/A</v>
      </c>
      <c r="X14" s="31" t="e">
        <f ca="1"/>
        <v>#N/A</v>
      </c>
      <c r="Y14" s="31" t="e">
        <f ca="1"/>
        <v>#N/A</v>
      </c>
      <c r="Z14" s="10" t="e">
        <f ca="1"/>
        <v>#N/A</v>
      </c>
      <c r="AA14" s="28" t="e">
        <f ca="1"/>
        <v>#N/A</v>
      </c>
      <c r="AB14" s="28" t="e">
        <f ca="1"/>
        <v>#N/A</v>
      </c>
      <c r="AC14" s="28" t="e">
        <f ca="1"/>
        <v>#N/A</v>
      </c>
      <c r="AD14" s="10" t="e">
        <f ca="1"/>
        <v>#N/A</v>
      </c>
      <c r="AE14" s="28" t="e">
        <f ca="1"/>
        <v>#N/A</v>
      </c>
      <c r="AF14" s="28" t="e">
        <f ca="1"/>
        <v>#N/A</v>
      </c>
      <c r="AG14" s="28" t="e">
        <f ca="1"/>
        <v>#N/A</v>
      </c>
      <c r="AH14" s="28" t="e">
        <f ca="1"/>
        <v>#N/A</v>
      </c>
      <c r="AI14" s="30" t="e">
        <f ca="1"/>
        <v>#N/A</v>
      </c>
      <c r="AJ14" s="30" t="e">
        <f ca="1"/>
        <v>#N/A</v>
      </c>
    </row>
    <row r="15" spans="2:36" x14ac:dyDescent="0.25">
      <c r="B15" s="8">
        <v>364.15</v>
      </c>
      <c r="C15" s="22">
        <v>0.19600000000000001</v>
      </c>
      <c r="D15" s="22">
        <v>0.221</v>
      </c>
      <c r="E15" s="22">
        <v>0.3</v>
      </c>
      <c r="F15" s="9">
        <v>1</v>
      </c>
      <c r="G15" s="24">
        <v>0.1</v>
      </c>
      <c r="H15" s="22">
        <v>0.1</v>
      </c>
      <c r="I15" s="22">
        <v>4.2999999999999997E-2</v>
      </c>
      <c r="J15" s="22">
        <v>8.2299999999999998E-2</v>
      </c>
      <c r="K15" s="22">
        <v>1.9199999999999998E-2</v>
      </c>
      <c r="L15" s="9">
        <v>10</v>
      </c>
      <c r="N15" s="28" t="e">
        <f ca="1"/>
        <v>#N/A</v>
      </c>
      <c r="O15" s="10" t="e">
        <f ca="1"/>
        <v>#N/A</v>
      </c>
      <c r="P15" s="10" t="e">
        <f ca="1"/>
        <v>#N/A</v>
      </c>
      <c r="Q15" s="10" t="e">
        <f ca="1"/>
        <v>#N/A</v>
      </c>
      <c r="R15" s="31" t="e">
        <f ca="1"/>
        <v>#N/A</v>
      </c>
      <c r="S15" s="10" t="e">
        <f ca="1"/>
        <v>#N/A</v>
      </c>
      <c r="T15" s="10" t="e">
        <f ca="1"/>
        <v>#N/A</v>
      </c>
      <c r="U15" s="10" t="e">
        <f ca="1"/>
        <v>#N/A</v>
      </c>
      <c r="V15" s="10" t="e">
        <f ca="1"/>
        <v>#N/A</v>
      </c>
      <c r="W15" s="10" t="e">
        <f ca="1"/>
        <v>#N/A</v>
      </c>
      <c r="X15" s="31" t="e">
        <f ca="1"/>
        <v>#N/A</v>
      </c>
      <c r="Y15" s="31" t="e">
        <f ca="1"/>
        <v>#N/A</v>
      </c>
      <c r="Z15" s="10" t="e">
        <f ca="1"/>
        <v>#N/A</v>
      </c>
      <c r="AA15" s="28" t="e">
        <f ca="1"/>
        <v>#N/A</v>
      </c>
      <c r="AB15" s="28" t="e">
        <f ca="1"/>
        <v>#N/A</v>
      </c>
      <c r="AC15" s="28" t="e">
        <f ca="1"/>
        <v>#N/A</v>
      </c>
      <c r="AD15" s="10" t="e">
        <f ca="1"/>
        <v>#N/A</v>
      </c>
      <c r="AE15" s="28" t="e">
        <f ca="1"/>
        <v>#N/A</v>
      </c>
      <c r="AF15" s="28" t="e">
        <f ca="1"/>
        <v>#N/A</v>
      </c>
      <c r="AG15" s="28" t="e">
        <f ca="1"/>
        <v>#N/A</v>
      </c>
      <c r="AH15" s="28" t="e">
        <f ca="1"/>
        <v>#N/A</v>
      </c>
      <c r="AI15" s="30" t="e">
        <f ca="1"/>
        <v>#N/A</v>
      </c>
      <c r="AJ15" s="30" t="e">
        <f ca="1"/>
        <v>#N/A</v>
      </c>
    </row>
    <row r="16" spans="2:36" x14ac:dyDescent="0.25">
      <c r="B16" s="8">
        <v>364.15</v>
      </c>
      <c r="C16" s="22">
        <v>0.19600000000000001</v>
      </c>
      <c r="D16" s="22">
        <v>0.221</v>
      </c>
      <c r="E16" s="22">
        <v>0.33</v>
      </c>
      <c r="F16" s="9">
        <v>1</v>
      </c>
      <c r="G16" s="24">
        <v>0.1</v>
      </c>
      <c r="H16" s="22">
        <v>0.1</v>
      </c>
      <c r="I16" s="22">
        <v>4.2999999999999997E-2</v>
      </c>
      <c r="J16" s="22">
        <v>8.2299999999999998E-2</v>
      </c>
      <c r="K16" s="22">
        <v>1.9199999999999998E-2</v>
      </c>
      <c r="L16" s="9">
        <v>10</v>
      </c>
      <c r="N16" s="28" t="e">
        <f ca="1"/>
        <v>#N/A</v>
      </c>
      <c r="O16" s="10" t="e">
        <f ca="1"/>
        <v>#N/A</v>
      </c>
      <c r="P16" s="10" t="e">
        <f ca="1"/>
        <v>#N/A</v>
      </c>
      <c r="Q16" s="10" t="e">
        <f ca="1"/>
        <v>#N/A</v>
      </c>
      <c r="R16" s="31" t="e">
        <f ca="1"/>
        <v>#N/A</v>
      </c>
      <c r="S16" s="10" t="e">
        <f ca="1"/>
        <v>#N/A</v>
      </c>
      <c r="T16" s="10" t="e">
        <f ca="1"/>
        <v>#N/A</v>
      </c>
      <c r="U16" s="10" t="e">
        <f ca="1"/>
        <v>#N/A</v>
      </c>
      <c r="V16" s="10" t="e">
        <f ca="1"/>
        <v>#N/A</v>
      </c>
      <c r="W16" s="10" t="e">
        <f ca="1"/>
        <v>#N/A</v>
      </c>
      <c r="X16" s="31" t="e">
        <f ca="1"/>
        <v>#N/A</v>
      </c>
      <c r="Y16" s="31" t="e">
        <f ca="1"/>
        <v>#N/A</v>
      </c>
      <c r="Z16" s="10" t="e">
        <f ca="1"/>
        <v>#N/A</v>
      </c>
      <c r="AA16" s="28" t="e">
        <f ca="1"/>
        <v>#N/A</v>
      </c>
      <c r="AB16" s="28" t="e">
        <f ca="1"/>
        <v>#N/A</v>
      </c>
      <c r="AC16" s="28" t="e">
        <f ca="1"/>
        <v>#N/A</v>
      </c>
      <c r="AD16" s="10" t="e">
        <f ca="1"/>
        <v>#N/A</v>
      </c>
      <c r="AE16" s="28" t="e">
        <f ca="1"/>
        <v>#N/A</v>
      </c>
      <c r="AF16" s="28" t="e">
        <f ca="1"/>
        <v>#N/A</v>
      </c>
      <c r="AG16" s="28" t="e">
        <f ca="1"/>
        <v>#N/A</v>
      </c>
      <c r="AH16" s="28" t="e">
        <f ca="1"/>
        <v>#N/A</v>
      </c>
      <c r="AI16" s="30" t="e">
        <f ca="1"/>
        <v>#N/A</v>
      </c>
      <c r="AJ16" s="30" t="e">
        <f ca="1"/>
        <v>#N/A</v>
      </c>
    </row>
    <row r="17" spans="2:17" s="7" customFormat="1" x14ac:dyDescent="0.25">
      <c r="B17" s="32"/>
      <c r="C17" s="33"/>
      <c r="D17" s="33"/>
      <c r="E17" s="33"/>
      <c r="G17" s="34"/>
      <c r="H17" s="33"/>
      <c r="I17" s="33"/>
      <c r="J17" s="35"/>
      <c r="K17" s="33"/>
      <c r="N17" s="28"/>
      <c r="O17" s="10"/>
      <c r="P17" s="10"/>
      <c r="Q17" s="10"/>
    </row>
    <row r="18" spans="2:17" s="7" customFormat="1" x14ac:dyDescent="0.25">
      <c r="B18" s="32"/>
      <c r="C18" s="33"/>
      <c r="D18" s="33"/>
      <c r="E18" s="33"/>
      <c r="G18" s="34"/>
      <c r="H18" s="33"/>
      <c r="I18" s="33"/>
      <c r="J18" s="33"/>
      <c r="K18" s="33"/>
      <c r="N18" s="28"/>
      <c r="O18" s="10"/>
      <c r="P18" s="10"/>
      <c r="Q18" s="36"/>
    </row>
    <row r="20" spans="2:17" s="7" customFormat="1" x14ac:dyDescent="0.25">
      <c r="B20" s="32"/>
      <c r="C20" s="33"/>
      <c r="D20" s="33"/>
      <c r="E20" s="33"/>
      <c r="G20" s="34"/>
      <c r="H20" s="33"/>
      <c r="I20" s="33"/>
      <c r="J20" s="33"/>
      <c r="K20" s="33"/>
      <c r="N20" s="28"/>
      <c r="O20" s="10"/>
      <c r="P20" s="10"/>
      <c r="Q20" s="37"/>
    </row>
    <row r="21" spans="2:17" s="7" customFormat="1" x14ac:dyDescent="0.25">
      <c r="B21" s="32"/>
      <c r="C21" s="33"/>
      <c r="D21" s="33"/>
      <c r="E21" s="33"/>
      <c r="G21" s="34"/>
      <c r="H21" s="33"/>
      <c r="I21" s="33"/>
      <c r="J21" s="33"/>
      <c r="K21" s="33"/>
      <c r="N21" s="28"/>
      <c r="O21" s="10"/>
      <c r="P21" s="10"/>
      <c r="Q21" s="37"/>
    </row>
    <row r="22" spans="2:17" s="7" customFormat="1" x14ac:dyDescent="0.25">
      <c r="B22" s="32"/>
      <c r="C22" s="33"/>
      <c r="D22" s="33"/>
      <c r="E22" s="33"/>
      <c r="G22" s="34"/>
      <c r="H22" s="33"/>
      <c r="I22" s="33"/>
      <c r="J22" s="33"/>
      <c r="K22" s="33"/>
      <c r="N22" s="28"/>
      <c r="O22" s="10"/>
      <c r="P22" s="10"/>
      <c r="Q22" s="37"/>
    </row>
    <row r="23" spans="2:17" s="7" customFormat="1" x14ac:dyDescent="0.25">
      <c r="B23" s="32"/>
      <c r="C23" s="33"/>
      <c r="D23" s="33"/>
      <c r="E23" s="33"/>
      <c r="G23" s="34"/>
      <c r="H23" s="33"/>
      <c r="I23" s="33"/>
      <c r="J23" s="33"/>
      <c r="K23" s="33"/>
      <c r="N23" s="28"/>
      <c r="O23" s="10"/>
      <c r="P23" s="10"/>
      <c r="Q23" s="37"/>
    </row>
    <row r="24" spans="2:17" s="7" customFormat="1" x14ac:dyDescent="0.25">
      <c r="B24" s="32"/>
      <c r="C24" s="33"/>
      <c r="D24" s="33"/>
      <c r="E24" s="33"/>
      <c r="G24" s="34"/>
      <c r="H24" s="33"/>
      <c r="I24" s="33"/>
      <c r="J24" s="33"/>
      <c r="K24" s="33"/>
      <c r="N24" s="28"/>
      <c r="O24" s="10"/>
      <c r="P24" s="10"/>
      <c r="Q24" s="37"/>
    </row>
    <row r="26" spans="2:17" s="7" customFormat="1" x14ac:dyDescent="0.25">
      <c r="B26" s="32"/>
      <c r="C26" s="33"/>
      <c r="D26" s="33"/>
      <c r="E26" s="33"/>
      <c r="G26" s="34"/>
      <c r="H26" s="33"/>
      <c r="I26" s="33"/>
      <c r="J26" s="33"/>
      <c r="K26" s="33"/>
      <c r="N26" s="28"/>
      <c r="O26" s="10"/>
      <c r="P26" s="10"/>
      <c r="Q26" s="37"/>
    </row>
    <row r="27" spans="2:17" s="7" customFormat="1" x14ac:dyDescent="0.25">
      <c r="B27" s="32"/>
      <c r="C27" s="33"/>
      <c r="D27" s="33"/>
      <c r="E27" s="33"/>
      <c r="G27" s="34"/>
      <c r="H27" s="33"/>
      <c r="I27" s="33"/>
      <c r="J27" s="33"/>
      <c r="K27" s="33"/>
      <c r="N27" s="28"/>
      <c r="O27" s="10"/>
      <c r="P27" s="10"/>
      <c r="Q27" s="37"/>
    </row>
    <row r="28" spans="2:17" s="7" customFormat="1" x14ac:dyDescent="0.25">
      <c r="B28" s="32"/>
      <c r="C28" s="33"/>
      <c r="D28" s="33"/>
      <c r="E28" s="33"/>
      <c r="G28" s="34"/>
      <c r="H28" s="33"/>
      <c r="I28" s="33"/>
      <c r="J28" s="33"/>
      <c r="K28" s="33"/>
      <c r="N28" s="28"/>
      <c r="O28" s="10"/>
      <c r="P28" s="10"/>
      <c r="Q28" s="37"/>
    </row>
    <row r="32" spans="2:17" s="7" customFormat="1" x14ac:dyDescent="0.25">
      <c r="B32" s="11"/>
      <c r="C32" s="23"/>
      <c r="D32" s="23"/>
      <c r="E32" s="23"/>
      <c r="F32" s="12"/>
      <c r="G32" s="25"/>
      <c r="H32" s="23"/>
      <c r="I32" s="23"/>
      <c r="J32" s="23"/>
      <c r="K32" s="23"/>
      <c r="L32" s="12"/>
      <c r="N32" s="28"/>
      <c r="O32" s="10"/>
      <c r="P32" s="10"/>
      <c r="Q32" s="10"/>
    </row>
    <row r="33" spans="2:12" s="7" customFormat="1" x14ac:dyDescent="0.25">
      <c r="B33" s="11"/>
      <c r="C33" s="23"/>
      <c r="D33" s="23"/>
      <c r="E33" s="23"/>
      <c r="F33" s="12"/>
      <c r="G33" s="25"/>
      <c r="H33" s="23"/>
      <c r="I33" s="23"/>
      <c r="J33" s="23"/>
      <c r="K33" s="23"/>
      <c r="L33" s="12"/>
    </row>
    <row r="34" spans="2:12" s="7" customFormat="1" x14ac:dyDescent="0.25">
      <c r="B34" s="11"/>
      <c r="C34" s="23"/>
      <c r="D34" s="23"/>
      <c r="E34" s="23"/>
      <c r="F34" s="12"/>
      <c r="G34" s="25"/>
      <c r="H34" s="23"/>
      <c r="I34" s="23"/>
      <c r="J34" s="23"/>
      <c r="K34" s="23"/>
      <c r="L34" s="12"/>
    </row>
    <row r="35" spans="2:12" s="7" customFormat="1" x14ac:dyDescent="0.25">
      <c r="B35" s="11"/>
      <c r="C35" s="23"/>
      <c r="D35" s="23"/>
      <c r="E35" s="23"/>
      <c r="F35" s="12"/>
      <c r="G35" s="25"/>
      <c r="H35" s="23"/>
      <c r="I35" s="23"/>
      <c r="J35" s="23"/>
      <c r="K35" s="23"/>
      <c r="L35" s="12"/>
    </row>
  </sheetData>
  <mergeCells count="3">
    <mergeCell ref="N5:AJ5"/>
    <mergeCell ref="B3:H3"/>
    <mergeCell ref="B5:L5"/>
  </mergeCells>
  <dataValidations count="2">
    <dataValidation type="whole" allowBlank="1" showInputMessage="1" showErrorMessage="1" sqref="F32:F35 F7:F16">
      <formula1>1</formula1>
      <formula2>40</formula2>
    </dataValidation>
    <dataValidation type="whole" allowBlank="1" showInputMessage="1" showErrorMessage="1" sqref="L32:L35 L7:L16">
      <formula1>1</formula1>
      <formula2>100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J35"/>
  <sheetViews>
    <sheetView zoomScale="85" zoomScaleNormal="85" workbookViewId="0">
      <selection activeCell="I4" sqref="I4"/>
    </sheetView>
  </sheetViews>
  <sheetFormatPr defaultRowHeight="15.75" x14ac:dyDescent="0.25"/>
  <cols>
    <col min="1" max="1" width="9" style="7"/>
    <col min="2" max="2" width="9.25" style="32" bestFit="1" customWidth="1"/>
    <col min="3" max="3" width="9.875" style="33" bestFit="1" customWidth="1"/>
    <col min="4" max="4" width="9.25" style="33" bestFit="1" customWidth="1"/>
    <col min="5" max="5" width="12.5" style="33" bestFit="1" customWidth="1"/>
    <col min="6" max="6" width="12.125" style="7" bestFit="1" customWidth="1"/>
    <col min="7" max="7" width="18.75" style="34" customWidth="1"/>
    <col min="8" max="8" width="15.375" style="33" customWidth="1"/>
    <col min="9" max="9" width="14" style="33" bestFit="1" customWidth="1"/>
    <col min="10" max="10" width="9.5" style="33" bestFit="1" customWidth="1"/>
    <col min="11" max="11" width="11" style="33" bestFit="1" customWidth="1"/>
    <col min="12" max="12" width="7.375" style="7" bestFit="1" customWidth="1"/>
    <col min="13" max="13" width="9" style="7"/>
    <col min="14" max="14" width="9.125" style="28" bestFit="1" customWidth="1"/>
    <col min="15" max="15" width="15.75" style="10" bestFit="1" customWidth="1"/>
    <col min="16" max="16" width="10.125" style="10" bestFit="1" customWidth="1"/>
    <col min="17" max="17" width="17.375" style="10" bestFit="1" customWidth="1"/>
    <col min="18" max="18" width="10.25" style="7" customWidth="1"/>
    <col min="19" max="19" width="19.25" style="10" bestFit="1" customWidth="1"/>
    <col min="20" max="20" width="15.375" style="10" customWidth="1"/>
    <col min="21" max="21" width="14.125" style="10" bestFit="1" customWidth="1"/>
    <col min="22" max="22" width="9.625" style="10" bestFit="1" customWidth="1"/>
    <col min="23" max="23" width="11.125" style="10" bestFit="1" customWidth="1"/>
    <col min="24" max="24" width="9.125" style="7" bestFit="1" customWidth="1"/>
    <col min="25" max="25" width="13" style="7" bestFit="1" customWidth="1"/>
    <col min="26" max="26" width="11.875" style="10" bestFit="1" customWidth="1"/>
    <col min="27" max="27" width="15.125" style="28" bestFit="1" customWidth="1"/>
    <col min="28" max="28" width="11.875" style="28" bestFit="1" customWidth="1"/>
    <col min="29" max="29" width="14.875" style="28" bestFit="1" customWidth="1"/>
    <col min="30" max="30" width="14.5" style="10" bestFit="1" customWidth="1"/>
    <col min="31" max="31" width="11.75" style="28" bestFit="1" customWidth="1"/>
    <col min="32" max="32" width="14.625" style="28" bestFit="1" customWidth="1"/>
    <col min="33" max="33" width="9.625" style="28" customWidth="1"/>
    <col min="34" max="34" width="11.375" style="28" bestFit="1" customWidth="1"/>
    <col min="35" max="35" width="10.25" style="30" bestFit="1" customWidth="1"/>
    <col min="36" max="36" width="15.875" style="30" bestFit="1" customWidth="1"/>
    <col min="37" max="16384" width="9" style="7"/>
  </cols>
  <sheetData>
    <row r="1" spans="2:36" x14ac:dyDescent="0.25">
      <c r="B1" s="7"/>
      <c r="C1" s="7"/>
      <c r="D1" s="7"/>
      <c r="E1" s="7"/>
      <c r="G1" s="26"/>
      <c r="H1" s="7"/>
      <c r="I1" s="7"/>
      <c r="J1" s="7"/>
      <c r="K1" s="7"/>
      <c r="N1" s="27"/>
      <c r="AI1" s="7"/>
      <c r="AJ1" s="7"/>
    </row>
    <row r="2" spans="2:36" ht="16.5" thickBot="1" x14ac:dyDescent="0.3">
      <c r="B2" s="7"/>
      <c r="C2" s="7"/>
      <c r="D2" s="7"/>
      <c r="E2" s="7"/>
      <c r="G2" s="26"/>
      <c r="H2" s="7"/>
      <c r="I2" s="7"/>
      <c r="J2" s="7"/>
      <c r="K2" s="7"/>
      <c r="P2" s="28"/>
      <c r="R2" s="28"/>
      <c r="T2" s="28"/>
      <c r="V2" s="28"/>
      <c r="X2" s="28"/>
      <c r="Y2" s="10"/>
      <c r="Z2" s="28"/>
      <c r="AA2" s="10"/>
      <c r="AC2" s="10"/>
      <c r="AD2" s="28"/>
      <c r="AE2" s="10"/>
      <c r="AG2" s="10"/>
      <c r="AI2" s="10"/>
      <c r="AJ2" s="28"/>
    </row>
    <row r="3" spans="2:36" ht="16.5" thickBot="1" x14ac:dyDescent="0.3">
      <c r="B3" s="41" t="s">
        <v>2</v>
      </c>
      <c r="C3" s="42"/>
      <c r="D3" s="42"/>
      <c r="E3" s="42"/>
      <c r="F3" s="42"/>
      <c r="G3" s="42"/>
      <c r="H3" s="42"/>
      <c r="I3" s="29">
        <v>7</v>
      </c>
      <c r="J3" s="7"/>
      <c r="K3" s="7"/>
    </row>
    <row r="4" spans="2:36" x14ac:dyDescent="0.25">
      <c r="B4" s="7"/>
      <c r="C4" s="7"/>
      <c r="D4" s="7"/>
      <c r="E4" s="7"/>
      <c r="G4" s="7"/>
      <c r="H4" s="7"/>
      <c r="I4" s="7"/>
      <c r="J4" s="7"/>
      <c r="K4" s="7"/>
      <c r="N4" s="1"/>
      <c r="O4" s="2"/>
      <c r="P4" s="2"/>
      <c r="Q4" s="2"/>
      <c r="R4" s="3"/>
      <c r="S4" s="2"/>
      <c r="T4" s="2"/>
      <c r="U4" s="2"/>
      <c r="V4" s="2"/>
      <c r="W4" s="2"/>
      <c r="X4" s="3"/>
      <c r="Y4" s="4"/>
      <c r="Z4" s="2"/>
      <c r="AA4" s="1"/>
      <c r="AB4" s="1"/>
      <c r="AC4" s="5"/>
      <c r="AD4" s="2"/>
      <c r="AE4" s="1"/>
      <c r="AF4" s="1"/>
      <c r="AG4" s="1"/>
      <c r="AH4" s="1"/>
      <c r="AI4" s="6"/>
      <c r="AJ4" s="6"/>
    </row>
    <row r="5" spans="2:36" x14ac:dyDescent="0.25">
      <c r="B5" s="41" t="s">
        <v>0</v>
      </c>
      <c r="C5" s="42"/>
      <c r="D5" s="42"/>
      <c r="E5" s="42"/>
      <c r="F5" s="42"/>
      <c r="G5" s="42"/>
      <c r="H5" s="42"/>
      <c r="I5" s="42"/>
      <c r="J5" s="42"/>
      <c r="K5" s="42"/>
      <c r="L5" s="43"/>
      <c r="N5" s="38" t="s">
        <v>1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40"/>
    </row>
    <row r="6" spans="2:36" ht="63" x14ac:dyDescent="0.25">
      <c r="B6" s="13" t="s">
        <v>3</v>
      </c>
      <c r="C6" s="14" t="s">
        <v>4</v>
      </c>
      <c r="D6" s="14" t="s">
        <v>5</v>
      </c>
      <c r="E6" s="14" t="s">
        <v>6</v>
      </c>
      <c r="F6" s="14" t="s">
        <v>7</v>
      </c>
      <c r="G6" s="14" t="s">
        <v>8</v>
      </c>
      <c r="H6" s="14" t="s">
        <v>9</v>
      </c>
      <c r="I6" s="14" t="s">
        <v>10</v>
      </c>
      <c r="J6" s="14" t="s">
        <v>11</v>
      </c>
      <c r="K6" s="14" t="s">
        <v>12</v>
      </c>
      <c r="L6" s="15" t="s">
        <v>13</v>
      </c>
      <c r="N6" s="16" t="str">
        <f t="array" aca="1" ref="N6:AJ13" ca="1">FRANCHISE_VALUATION_FUNC1(OFFSET($B$7,0,0,$I$3,1),OFFSET($C$7,0,0,$I$3,1),OFFSET($D$7,0,0,$I$3,1),OFFSET($E$7,0,0,$I$3,1),OFFSET($F$7,0,0,$I$3,1),OFFSET($G$7,0,0,$I$3,1),OFFSET($H$7,0,0,$I$3,1),OFFSET($I$7,0,0,I$3,1),OFFSET($J$7,0,0,$I$3,1),OFFSET($K$7,0,0,$I$3,1),OFFSET($L$7,0,0,$I$3,1))</f>
        <v>TOTAL MARKET</v>
      </c>
      <c r="O6" s="17" t="str">
        <f ca="1"/>
        <v>ANNUAL GROWTH RATE IN MARKET</v>
      </c>
      <c r="P6" s="17" t="str">
        <f ca="1"/>
        <v>MARKET SHARE</v>
      </c>
      <c r="Q6" s="17" t="str">
        <f ca="1"/>
        <v>CURRENT AFTER-TAX OPERATING MARGIN</v>
      </c>
      <c r="R6" s="18" t="str">
        <f ca="1"/>
        <v>PRODUCT LIFE CYCLE</v>
      </c>
      <c r="S6" s="17" t="str">
        <f ca="1"/>
        <v>PERCENT OF OWN CUSTOMERS LOST TO COMPETITORS</v>
      </c>
      <c r="T6" s="17" t="str">
        <f ca="1"/>
        <v>PERTCENT OF COMPETITORS CUSTOMERS GAINED</v>
      </c>
      <c r="U6" s="17" t="str">
        <f ca="1"/>
        <v>COST OF INNOVATION</v>
      </c>
      <c r="V6" s="17" t="str">
        <f ca="1"/>
        <v>COST OF CAPITAL</v>
      </c>
      <c r="W6" s="17" t="str">
        <f ca="1"/>
        <v>RISK FREE RATE</v>
      </c>
      <c r="X6" s="18" t="str">
        <f ca="1"/>
        <v>YEARS</v>
      </c>
      <c r="Y6" s="19" t="str">
        <f ca="1"/>
        <v>PRODUCT CYCLE LAST YEAR</v>
      </c>
      <c r="Z6" s="17" t="str">
        <f ca="1"/>
        <v>GROWTH RATE LAST YEAR</v>
      </c>
      <c r="AA6" s="20" t="str">
        <f ca="1"/>
        <v>TOTAL MARKET LAST YEAR</v>
      </c>
      <c r="AB6" s="20" t="str">
        <f ca="1"/>
        <v>REVENUES LAST YEAR</v>
      </c>
      <c r="AC6" s="20" t="str">
        <f ca="1"/>
        <v>COMPETITOR REVENUES LAST YEAR</v>
      </c>
      <c r="AD6" s="17" t="str">
        <f ca="1"/>
        <v>MARKET SHARE LAST YEAR</v>
      </c>
      <c r="AE6" s="20" t="str">
        <f ca="1"/>
        <v>TOTAL REVENUES LAST YEAR</v>
      </c>
      <c r="AF6" s="20" t="str">
        <f ca="1"/>
        <v>OPERATING INCOME LAST YEAR</v>
      </c>
      <c r="AG6" s="20" t="str">
        <f ca="1"/>
        <v>PV LAST YEAR</v>
      </c>
      <c r="AH6" s="20" t="str">
        <f ca="1"/>
        <v>TOTAL EV</v>
      </c>
      <c r="AI6" s="19" t="str">
        <f ca="1"/>
        <v>EV/SALES</v>
      </c>
      <c r="AJ6" s="21" t="str">
        <f ca="1"/>
        <v>EV/OPERATING INCOME</v>
      </c>
    </row>
    <row r="7" spans="2:36" x14ac:dyDescent="0.25">
      <c r="B7" s="8">
        <v>364.15</v>
      </c>
      <c r="C7" s="22">
        <v>0.19600000000000001</v>
      </c>
      <c r="D7" s="22">
        <v>0.221</v>
      </c>
      <c r="E7" s="22">
        <v>0.06</v>
      </c>
      <c r="F7" s="9">
        <v>1</v>
      </c>
      <c r="G7" s="24">
        <v>0.1</v>
      </c>
      <c r="H7" s="22">
        <v>0.1</v>
      </c>
      <c r="I7" s="22">
        <v>4.2999999999999997E-2</v>
      </c>
      <c r="J7" s="22">
        <v>8.2299999999999998E-2</v>
      </c>
      <c r="K7" s="22">
        <v>1.9199999999999998E-2</v>
      </c>
      <c r="L7" s="9">
        <v>1</v>
      </c>
      <c r="N7" s="28">
        <f ca="1"/>
        <v>364.15</v>
      </c>
      <c r="O7" s="10">
        <f ca="1"/>
        <v>0.19600000000000001</v>
      </c>
      <c r="P7" s="10">
        <f ca="1"/>
        <v>0.221</v>
      </c>
      <c r="Q7" s="10">
        <f ca="1"/>
        <v>0.06</v>
      </c>
      <c r="R7" s="31">
        <f ca="1"/>
        <v>1</v>
      </c>
      <c r="S7" s="10">
        <f ca="1"/>
        <v>0.1</v>
      </c>
      <c r="T7" s="10">
        <f ca="1"/>
        <v>0.1</v>
      </c>
      <c r="U7" s="10">
        <f ca="1"/>
        <v>4.2999999999999997E-2</v>
      </c>
      <c r="V7" s="10">
        <f ca="1"/>
        <v>8.2299999999999998E-2</v>
      </c>
      <c r="W7" s="10">
        <f ca="1"/>
        <v>1.9199999999999998E-2</v>
      </c>
      <c r="X7" s="31">
        <f ca="1"/>
        <v>1</v>
      </c>
      <c r="Y7" s="30">
        <f ca="1"/>
        <v>1</v>
      </c>
      <c r="Z7" s="10">
        <f ca="1"/>
        <v>0.19600000000000001</v>
      </c>
      <c r="AA7" s="28">
        <f ca="1"/>
        <v>435.52339999999998</v>
      </c>
      <c r="AB7" s="28">
        <f ca="1"/>
        <v>96.250671400000002</v>
      </c>
      <c r="AC7" s="28">
        <f ca="1"/>
        <v>339.27272859999999</v>
      </c>
      <c r="AD7" s="10">
        <f ca="1"/>
        <v>0.27680000000000005</v>
      </c>
      <c r="AE7" s="28">
        <f ca="1"/>
        <v>120.55287712000001</v>
      </c>
      <c r="AF7" s="28">
        <f ca="1"/>
        <v>6.9221462042303994</v>
      </c>
      <c r="AG7" s="28">
        <f ca="1"/>
        <v>6.3957740037239201</v>
      </c>
      <c r="AH7" s="28">
        <f ca="1"/>
        <v>6.3957740037239201</v>
      </c>
      <c r="AI7" s="30">
        <f ca="1"/>
        <v>7.9473167274486237E-2</v>
      </c>
      <c r="AJ7" s="30">
        <f ca="1"/>
        <v>1.324552787908104</v>
      </c>
    </row>
    <row r="8" spans="2:36" x14ac:dyDescent="0.25">
      <c r="B8" s="8">
        <v>364</v>
      </c>
      <c r="C8" s="22">
        <v>0.192</v>
      </c>
      <c r="D8" s="22">
        <v>0.221</v>
      </c>
      <c r="E8" s="22">
        <v>0.26500000000000001</v>
      </c>
      <c r="F8" s="9">
        <v>1</v>
      </c>
      <c r="G8" s="24">
        <v>0.1</v>
      </c>
      <c r="H8" s="22">
        <v>0.1</v>
      </c>
      <c r="I8" s="22">
        <v>4.2999999999999997E-2</v>
      </c>
      <c r="J8" s="22">
        <v>8.2299999999999998E-2</v>
      </c>
      <c r="K8" s="22">
        <v>1.9199999999999998E-2</v>
      </c>
      <c r="L8" s="9">
        <v>10</v>
      </c>
      <c r="N8" s="28">
        <f ca="1"/>
        <v>364</v>
      </c>
      <c r="O8" s="10">
        <f ca="1"/>
        <v>0.192</v>
      </c>
      <c r="P8" s="10">
        <f ca="1"/>
        <v>0.221</v>
      </c>
      <c r="Q8" s="10">
        <f ca="1"/>
        <v>0.26500000000000001</v>
      </c>
      <c r="R8" s="31">
        <f ca="1"/>
        <v>1</v>
      </c>
      <c r="S8" s="10">
        <f ca="1"/>
        <v>0.1</v>
      </c>
      <c r="T8" s="10">
        <f ca="1"/>
        <v>0.1</v>
      </c>
      <c r="U8" s="10">
        <f ca="1"/>
        <v>4.2999999999999997E-2</v>
      </c>
      <c r="V8" s="10">
        <f ca="1"/>
        <v>8.2299999999999998E-2</v>
      </c>
      <c r="W8" s="10">
        <f ca="1"/>
        <v>1.9199999999999998E-2</v>
      </c>
      <c r="X8" s="31">
        <f ca="1"/>
        <v>10</v>
      </c>
      <c r="Y8" s="30">
        <f ca="1"/>
        <v>1</v>
      </c>
      <c r="Z8" s="10">
        <f ca="1"/>
        <v>0.16731428571428572</v>
      </c>
      <c r="AA8" s="28">
        <f ca="1"/>
        <v>1980.0431271920158</v>
      </c>
      <c r="AB8" s="28">
        <f ca="1"/>
        <v>932.55828008306139</v>
      </c>
      <c r="AC8" s="28">
        <f ca="1"/>
        <v>1047.4848471089545</v>
      </c>
      <c r="AD8" s="10">
        <f ca="1"/>
        <v>0.47097877176320008</v>
      </c>
      <c r="AE8" s="28">
        <f ca="1"/>
        <v>932.55828008306139</v>
      </c>
      <c r="AF8" s="28">
        <f ca="1"/>
        <v>236.50144262046479</v>
      </c>
      <c r="AG8" s="28">
        <f ca="1"/>
        <v>107.24009986527003</v>
      </c>
      <c r="AH8" s="28">
        <f ca="1"/>
        <v>667.38710888805065</v>
      </c>
      <c r="AI8" s="30">
        <f ca="1"/>
        <v>8.2962944270306132</v>
      </c>
      <c r="AJ8" s="30">
        <f ca="1"/>
        <v>31.306771422757031</v>
      </c>
    </row>
    <row r="9" spans="2:36" x14ac:dyDescent="0.25">
      <c r="B9" s="8">
        <v>364</v>
      </c>
      <c r="C9" s="22">
        <v>0.192</v>
      </c>
      <c r="D9" s="22">
        <v>0.221</v>
      </c>
      <c r="E9" s="22">
        <v>0.26500000000000001</v>
      </c>
      <c r="F9" s="9">
        <v>1</v>
      </c>
      <c r="G9" s="24">
        <v>0.1</v>
      </c>
      <c r="H9" s="22">
        <v>0.1</v>
      </c>
      <c r="I9" s="22">
        <v>4.2999999999999997E-2</v>
      </c>
      <c r="J9" s="22">
        <v>8.2299999999999998E-2</v>
      </c>
      <c r="K9" s="22">
        <v>1.9199999999999998E-2</v>
      </c>
      <c r="L9" s="9">
        <v>10</v>
      </c>
      <c r="N9" s="28">
        <f ca="1"/>
        <v>364</v>
      </c>
      <c r="O9" s="10">
        <f ca="1"/>
        <v>0.192</v>
      </c>
      <c r="P9" s="10">
        <f ca="1"/>
        <v>0.221</v>
      </c>
      <c r="Q9" s="10">
        <f ca="1"/>
        <v>0.26500000000000001</v>
      </c>
      <c r="R9" s="31">
        <f ca="1"/>
        <v>1</v>
      </c>
      <c r="S9" s="10">
        <f ca="1"/>
        <v>0.1</v>
      </c>
      <c r="T9" s="10">
        <f ca="1"/>
        <v>0.1</v>
      </c>
      <c r="U9" s="10">
        <f ca="1"/>
        <v>4.2999999999999997E-2</v>
      </c>
      <c r="V9" s="10">
        <f ca="1"/>
        <v>8.2299999999999998E-2</v>
      </c>
      <c r="W9" s="10">
        <f ca="1"/>
        <v>1.9199999999999998E-2</v>
      </c>
      <c r="X9" s="31">
        <f ca="1"/>
        <v>10</v>
      </c>
      <c r="Y9" s="30">
        <f ca="1"/>
        <v>1</v>
      </c>
      <c r="Z9" s="10">
        <f ca="1"/>
        <v>0.16731428571428572</v>
      </c>
      <c r="AA9" s="28">
        <f ca="1"/>
        <v>1980.0431271920158</v>
      </c>
      <c r="AB9" s="28">
        <f ca="1"/>
        <v>932.55828008306139</v>
      </c>
      <c r="AC9" s="28">
        <f ca="1"/>
        <v>1047.4848471089545</v>
      </c>
      <c r="AD9" s="10">
        <f ca="1"/>
        <v>0.47097877176320008</v>
      </c>
      <c r="AE9" s="28">
        <f ca="1"/>
        <v>932.55828008306139</v>
      </c>
      <c r="AF9" s="28">
        <f ca="1"/>
        <v>236.50144262046479</v>
      </c>
      <c r="AG9" s="28">
        <f ca="1"/>
        <v>107.24009986527003</v>
      </c>
      <c r="AH9" s="28">
        <f ca="1"/>
        <v>667.38710888805065</v>
      </c>
      <c r="AI9" s="30">
        <f ca="1"/>
        <v>8.2962944270306132</v>
      </c>
      <c r="AJ9" s="30">
        <f ca="1"/>
        <v>31.306771422757031</v>
      </c>
    </row>
    <row r="10" spans="2:36" x14ac:dyDescent="0.25">
      <c r="B10" s="8">
        <v>364</v>
      </c>
      <c r="C10" s="22">
        <v>0.192</v>
      </c>
      <c r="D10" s="22">
        <v>0.221</v>
      </c>
      <c r="E10" s="22">
        <v>0.26500000000000001</v>
      </c>
      <c r="F10" s="9">
        <v>1</v>
      </c>
      <c r="G10" s="24">
        <v>0.1</v>
      </c>
      <c r="H10" s="22">
        <v>0.1</v>
      </c>
      <c r="I10" s="22">
        <v>4.2999999999999997E-2</v>
      </c>
      <c r="J10" s="22">
        <v>8.2299999999999998E-2</v>
      </c>
      <c r="K10" s="22">
        <v>1.9199999999999998E-2</v>
      </c>
      <c r="L10" s="9">
        <v>10</v>
      </c>
      <c r="N10" s="28">
        <f ca="1"/>
        <v>364</v>
      </c>
      <c r="O10" s="10">
        <f ca="1"/>
        <v>0.192</v>
      </c>
      <c r="P10" s="10">
        <f ca="1"/>
        <v>0.221</v>
      </c>
      <c r="Q10" s="10">
        <f ca="1"/>
        <v>0.26500000000000001</v>
      </c>
      <c r="R10" s="31">
        <f ca="1"/>
        <v>1</v>
      </c>
      <c r="S10" s="10">
        <f ca="1"/>
        <v>0.1</v>
      </c>
      <c r="T10" s="10">
        <f ca="1"/>
        <v>0.1</v>
      </c>
      <c r="U10" s="10">
        <f ca="1"/>
        <v>4.2999999999999997E-2</v>
      </c>
      <c r="V10" s="10">
        <f ca="1"/>
        <v>8.2299999999999998E-2</v>
      </c>
      <c r="W10" s="10">
        <f ca="1"/>
        <v>1.9199999999999998E-2</v>
      </c>
      <c r="X10" s="31">
        <f ca="1"/>
        <v>10</v>
      </c>
      <c r="Y10" s="30">
        <f ca="1"/>
        <v>1</v>
      </c>
      <c r="Z10" s="10">
        <f ca="1"/>
        <v>0.16731428571428572</v>
      </c>
      <c r="AA10" s="28">
        <f ca="1"/>
        <v>1980.0431271920158</v>
      </c>
      <c r="AB10" s="28">
        <f ca="1"/>
        <v>932.55828008306139</v>
      </c>
      <c r="AC10" s="28">
        <f ca="1"/>
        <v>1047.4848471089545</v>
      </c>
      <c r="AD10" s="10">
        <f ca="1"/>
        <v>0.47097877176320008</v>
      </c>
      <c r="AE10" s="28">
        <f ca="1"/>
        <v>932.55828008306139</v>
      </c>
      <c r="AF10" s="28">
        <f ca="1"/>
        <v>236.50144262046479</v>
      </c>
      <c r="AG10" s="28">
        <f ca="1"/>
        <v>107.24009986527003</v>
      </c>
      <c r="AH10" s="28">
        <f ca="1"/>
        <v>667.38710888805065</v>
      </c>
      <c r="AI10" s="30">
        <f ca="1"/>
        <v>8.2962944270306132</v>
      </c>
      <c r="AJ10" s="30">
        <f ca="1"/>
        <v>31.306771422757031</v>
      </c>
    </row>
    <row r="11" spans="2:36" x14ac:dyDescent="0.25">
      <c r="B11" s="8">
        <v>364</v>
      </c>
      <c r="C11" s="22">
        <v>0.192</v>
      </c>
      <c r="D11" s="22">
        <v>0.221</v>
      </c>
      <c r="E11" s="22">
        <v>0.26500000000000001</v>
      </c>
      <c r="F11" s="9">
        <v>1</v>
      </c>
      <c r="G11" s="24">
        <v>0.1</v>
      </c>
      <c r="H11" s="22">
        <v>0.1</v>
      </c>
      <c r="I11" s="22">
        <v>4.2999999999999997E-2</v>
      </c>
      <c r="J11" s="22">
        <v>8.2299999999999998E-2</v>
      </c>
      <c r="K11" s="22">
        <v>1.9199999999999998E-2</v>
      </c>
      <c r="L11" s="9">
        <v>10</v>
      </c>
      <c r="N11" s="28">
        <f ca="1"/>
        <v>364</v>
      </c>
      <c r="O11" s="10">
        <f ca="1"/>
        <v>0.192</v>
      </c>
      <c r="P11" s="10">
        <f ca="1"/>
        <v>0.221</v>
      </c>
      <c r="Q11" s="10">
        <f ca="1"/>
        <v>0.26500000000000001</v>
      </c>
      <c r="R11" s="31">
        <f ca="1"/>
        <v>1</v>
      </c>
      <c r="S11" s="10">
        <f ca="1"/>
        <v>0.1</v>
      </c>
      <c r="T11" s="10">
        <f ca="1"/>
        <v>0.1</v>
      </c>
      <c r="U11" s="10">
        <f ca="1"/>
        <v>4.2999999999999997E-2</v>
      </c>
      <c r="V11" s="10">
        <f ca="1"/>
        <v>8.2299999999999998E-2</v>
      </c>
      <c r="W11" s="10">
        <f ca="1"/>
        <v>1.9199999999999998E-2</v>
      </c>
      <c r="X11" s="31">
        <f ca="1"/>
        <v>10</v>
      </c>
      <c r="Y11" s="30">
        <f ca="1"/>
        <v>1</v>
      </c>
      <c r="Z11" s="10">
        <f ca="1"/>
        <v>0.16731428571428572</v>
      </c>
      <c r="AA11" s="28">
        <f ca="1"/>
        <v>1980.0431271920158</v>
      </c>
      <c r="AB11" s="28">
        <f ca="1"/>
        <v>932.55828008306139</v>
      </c>
      <c r="AC11" s="28">
        <f ca="1"/>
        <v>1047.4848471089545</v>
      </c>
      <c r="AD11" s="10">
        <f ca="1"/>
        <v>0.47097877176320008</v>
      </c>
      <c r="AE11" s="28">
        <f ca="1"/>
        <v>932.55828008306139</v>
      </c>
      <c r="AF11" s="28">
        <f ca="1"/>
        <v>236.50144262046479</v>
      </c>
      <c r="AG11" s="28">
        <f ca="1"/>
        <v>107.24009986527003</v>
      </c>
      <c r="AH11" s="28">
        <f ca="1"/>
        <v>667.38710888805065</v>
      </c>
      <c r="AI11" s="30">
        <f ca="1"/>
        <v>8.2962944270306132</v>
      </c>
      <c r="AJ11" s="30">
        <f ca="1"/>
        <v>31.306771422757031</v>
      </c>
    </row>
    <row r="12" spans="2:36" x14ac:dyDescent="0.25">
      <c r="B12" s="8">
        <v>364</v>
      </c>
      <c r="C12" s="22">
        <v>0.192</v>
      </c>
      <c r="D12" s="22">
        <v>0.221</v>
      </c>
      <c r="E12" s="22">
        <v>0.26500000000000001</v>
      </c>
      <c r="F12" s="9">
        <v>1</v>
      </c>
      <c r="G12" s="24">
        <v>0.1</v>
      </c>
      <c r="H12" s="22">
        <v>0.1</v>
      </c>
      <c r="I12" s="22">
        <v>4.2999999999999997E-2</v>
      </c>
      <c r="J12" s="22">
        <v>8.2299999999999998E-2</v>
      </c>
      <c r="K12" s="22">
        <v>1.9199999999999998E-2</v>
      </c>
      <c r="L12" s="9">
        <v>10</v>
      </c>
      <c r="N12" s="28">
        <f ca="1"/>
        <v>364</v>
      </c>
      <c r="O12" s="10">
        <f ca="1"/>
        <v>0.192</v>
      </c>
      <c r="P12" s="10">
        <f ca="1"/>
        <v>0.221</v>
      </c>
      <c r="Q12" s="10">
        <f ca="1"/>
        <v>0.26500000000000001</v>
      </c>
      <c r="R12" s="31">
        <f ca="1"/>
        <v>1</v>
      </c>
      <c r="S12" s="10">
        <f ca="1"/>
        <v>0.1</v>
      </c>
      <c r="T12" s="10">
        <f ca="1"/>
        <v>0.1</v>
      </c>
      <c r="U12" s="10">
        <f ca="1"/>
        <v>4.2999999999999997E-2</v>
      </c>
      <c r="V12" s="10">
        <f ca="1"/>
        <v>8.2299999999999998E-2</v>
      </c>
      <c r="W12" s="10">
        <f ca="1"/>
        <v>1.9199999999999998E-2</v>
      </c>
      <c r="X12" s="31">
        <f ca="1"/>
        <v>10</v>
      </c>
      <c r="Y12" s="30">
        <f ca="1"/>
        <v>1</v>
      </c>
      <c r="Z12" s="10">
        <f ca="1"/>
        <v>0.16731428571428572</v>
      </c>
      <c r="AA12" s="28">
        <f ca="1"/>
        <v>1980.0431271920158</v>
      </c>
      <c r="AB12" s="28">
        <f ca="1"/>
        <v>932.55828008306139</v>
      </c>
      <c r="AC12" s="28">
        <f ca="1"/>
        <v>1047.4848471089545</v>
      </c>
      <c r="AD12" s="10">
        <f ca="1"/>
        <v>0.47097877176320008</v>
      </c>
      <c r="AE12" s="28">
        <f ca="1"/>
        <v>932.55828008306139</v>
      </c>
      <c r="AF12" s="28">
        <f ca="1"/>
        <v>236.50144262046479</v>
      </c>
      <c r="AG12" s="28">
        <f ca="1"/>
        <v>107.24009986527003</v>
      </c>
      <c r="AH12" s="28">
        <f ca="1"/>
        <v>667.38710888805065</v>
      </c>
      <c r="AI12" s="30">
        <f ca="1"/>
        <v>8.2962944270306132</v>
      </c>
      <c r="AJ12" s="30">
        <f ca="1"/>
        <v>31.306771422757031</v>
      </c>
    </row>
    <row r="13" spans="2:36" x14ac:dyDescent="0.25">
      <c r="B13" s="8">
        <v>364</v>
      </c>
      <c r="C13" s="22">
        <v>0.192</v>
      </c>
      <c r="D13" s="22">
        <v>0.221</v>
      </c>
      <c r="E13" s="22">
        <v>0.26500000000000001</v>
      </c>
      <c r="F13" s="9">
        <v>1</v>
      </c>
      <c r="G13" s="24">
        <v>0.1</v>
      </c>
      <c r="H13" s="22">
        <v>0.1</v>
      </c>
      <c r="I13" s="22">
        <v>4.2999999999999997E-2</v>
      </c>
      <c r="J13" s="22">
        <v>8.2299999999999998E-2</v>
      </c>
      <c r="K13" s="22">
        <v>1.9199999999999998E-2</v>
      </c>
      <c r="L13" s="9">
        <v>10</v>
      </c>
      <c r="N13" s="28">
        <f ca="1"/>
        <v>364</v>
      </c>
      <c r="O13" s="10">
        <f ca="1"/>
        <v>0.192</v>
      </c>
      <c r="P13" s="10">
        <f ca="1"/>
        <v>0.221</v>
      </c>
      <c r="Q13" s="10">
        <f ca="1"/>
        <v>0.26500000000000001</v>
      </c>
      <c r="R13" s="31">
        <f ca="1"/>
        <v>1</v>
      </c>
      <c r="S13" s="10">
        <f ca="1"/>
        <v>0.1</v>
      </c>
      <c r="T13" s="10">
        <f ca="1"/>
        <v>0.1</v>
      </c>
      <c r="U13" s="10">
        <f ca="1"/>
        <v>4.2999999999999997E-2</v>
      </c>
      <c r="V13" s="10">
        <f ca="1"/>
        <v>8.2299999999999998E-2</v>
      </c>
      <c r="W13" s="10">
        <f ca="1"/>
        <v>1.9199999999999998E-2</v>
      </c>
      <c r="X13" s="31">
        <f ca="1"/>
        <v>10</v>
      </c>
      <c r="Y13" s="30">
        <f ca="1"/>
        <v>1</v>
      </c>
      <c r="Z13" s="10">
        <f ca="1"/>
        <v>0.16731428571428572</v>
      </c>
      <c r="AA13" s="28">
        <f ca="1"/>
        <v>1980.0431271920158</v>
      </c>
      <c r="AB13" s="28">
        <f ca="1"/>
        <v>932.55828008306139</v>
      </c>
      <c r="AC13" s="28">
        <f ca="1"/>
        <v>1047.4848471089545</v>
      </c>
      <c r="AD13" s="10">
        <f ca="1"/>
        <v>0.47097877176320008</v>
      </c>
      <c r="AE13" s="28">
        <f ca="1"/>
        <v>932.55828008306139</v>
      </c>
      <c r="AF13" s="28">
        <f ca="1"/>
        <v>236.50144262046479</v>
      </c>
      <c r="AG13" s="28">
        <f ca="1"/>
        <v>107.24009986527003</v>
      </c>
      <c r="AH13" s="28">
        <f ca="1"/>
        <v>667.38710888805065</v>
      </c>
      <c r="AI13" s="30">
        <f ca="1"/>
        <v>8.2962944270306132</v>
      </c>
      <c r="AJ13" s="30">
        <f ca="1"/>
        <v>31.306771422757031</v>
      </c>
    </row>
    <row r="17" spans="2:17" s="7" customFormat="1" x14ac:dyDescent="0.25">
      <c r="B17" s="32"/>
      <c r="C17" s="33"/>
      <c r="D17" s="33"/>
      <c r="E17" s="33"/>
      <c r="G17" s="34"/>
      <c r="H17" s="33"/>
      <c r="I17" s="33"/>
      <c r="J17" s="35"/>
      <c r="K17" s="33"/>
      <c r="N17" s="28"/>
      <c r="O17" s="10"/>
      <c r="P17" s="10"/>
      <c r="Q17" s="10"/>
    </row>
    <row r="18" spans="2:17" s="7" customFormat="1" x14ac:dyDescent="0.25">
      <c r="B18" s="32"/>
      <c r="C18" s="33"/>
      <c r="D18" s="33"/>
      <c r="E18" s="33"/>
      <c r="G18" s="34"/>
      <c r="H18" s="33"/>
      <c r="I18" s="33"/>
      <c r="J18" s="33"/>
      <c r="K18" s="33"/>
      <c r="N18" s="28"/>
      <c r="O18" s="10"/>
      <c r="P18" s="10"/>
      <c r="Q18" s="36"/>
    </row>
    <row r="20" spans="2:17" s="7" customFormat="1" x14ac:dyDescent="0.25">
      <c r="B20" s="32"/>
      <c r="C20" s="33"/>
      <c r="D20" s="33"/>
      <c r="E20" s="33"/>
      <c r="G20" s="34"/>
      <c r="H20" s="33"/>
      <c r="I20" s="33"/>
      <c r="J20" s="33"/>
      <c r="K20" s="33"/>
      <c r="N20" s="28"/>
      <c r="O20" s="10"/>
      <c r="P20" s="10"/>
      <c r="Q20" s="37"/>
    </row>
    <row r="21" spans="2:17" s="7" customFormat="1" x14ac:dyDescent="0.25">
      <c r="B21" s="32"/>
      <c r="C21" s="33"/>
      <c r="D21" s="33"/>
      <c r="E21" s="33"/>
      <c r="G21" s="34"/>
      <c r="H21" s="33"/>
      <c r="I21" s="33"/>
      <c r="J21" s="33"/>
      <c r="K21" s="33"/>
      <c r="N21" s="28"/>
      <c r="O21" s="10"/>
      <c r="P21" s="10"/>
      <c r="Q21" s="37"/>
    </row>
    <row r="22" spans="2:17" s="7" customFormat="1" x14ac:dyDescent="0.25">
      <c r="B22" s="32"/>
      <c r="C22" s="33"/>
      <c r="D22" s="33"/>
      <c r="E22" s="33"/>
      <c r="G22" s="34"/>
      <c r="H22" s="33"/>
      <c r="I22" s="33"/>
      <c r="J22" s="33"/>
      <c r="K22" s="33"/>
      <c r="N22" s="28"/>
      <c r="O22" s="10"/>
      <c r="P22" s="10"/>
      <c r="Q22" s="37"/>
    </row>
    <row r="23" spans="2:17" s="7" customFormat="1" x14ac:dyDescent="0.25">
      <c r="B23" s="32"/>
      <c r="C23" s="33"/>
      <c r="D23" s="33"/>
      <c r="E23" s="33"/>
      <c r="G23" s="34"/>
      <c r="H23" s="33"/>
      <c r="I23" s="33"/>
      <c r="J23" s="33"/>
      <c r="K23" s="33"/>
      <c r="N23" s="28"/>
      <c r="O23" s="10"/>
      <c r="P23" s="10"/>
      <c r="Q23" s="37"/>
    </row>
    <row r="24" spans="2:17" s="7" customFormat="1" x14ac:dyDescent="0.25">
      <c r="B24" s="32"/>
      <c r="C24" s="33"/>
      <c r="D24" s="33"/>
      <c r="E24" s="33"/>
      <c r="G24" s="34"/>
      <c r="H24" s="33"/>
      <c r="I24" s="33"/>
      <c r="J24" s="33"/>
      <c r="K24" s="33"/>
      <c r="N24" s="28"/>
      <c r="O24" s="10"/>
      <c r="P24" s="10"/>
      <c r="Q24" s="37"/>
    </row>
    <row r="26" spans="2:17" s="7" customFormat="1" x14ac:dyDescent="0.25">
      <c r="B26" s="32"/>
      <c r="C26" s="33"/>
      <c r="D26" s="33"/>
      <c r="E26" s="33"/>
      <c r="G26" s="34"/>
      <c r="H26" s="33"/>
      <c r="I26" s="33"/>
      <c r="J26" s="33"/>
      <c r="K26" s="33"/>
      <c r="N26" s="28"/>
      <c r="O26" s="10"/>
      <c r="P26" s="10"/>
      <c r="Q26" s="37"/>
    </row>
    <row r="27" spans="2:17" s="7" customFormat="1" x14ac:dyDescent="0.25">
      <c r="B27" s="32"/>
      <c r="C27" s="33"/>
      <c r="D27" s="33"/>
      <c r="E27" s="33"/>
      <c r="G27" s="34"/>
      <c r="H27" s="33"/>
      <c r="I27" s="33"/>
      <c r="J27" s="33"/>
      <c r="K27" s="33"/>
      <c r="N27" s="28"/>
      <c r="O27" s="10"/>
      <c r="P27" s="10"/>
      <c r="Q27" s="37"/>
    </row>
    <row r="28" spans="2:17" s="7" customFormat="1" x14ac:dyDescent="0.25">
      <c r="B28" s="32"/>
      <c r="C28" s="33"/>
      <c r="D28" s="33"/>
      <c r="E28" s="33"/>
      <c r="G28" s="34"/>
      <c r="H28" s="33"/>
      <c r="I28" s="33"/>
      <c r="J28" s="33"/>
      <c r="K28" s="33"/>
      <c r="N28" s="28"/>
      <c r="O28" s="10"/>
      <c r="P28" s="10"/>
      <c r="Q28" s="37"/>
    </row>
    <row r="32" spans="2:17" s="7" customFormat="1" x14ac:dyDescent="0.25">
      <c r="B32" s="11"/>
      <c r="C32" s="23"/>
      <c r="D32" s="23"/>
      <c r="E32" s="23"/>
      <c r="F32" s="12"/>
      <c r="G32" s="25"/>
      <c r="H32" s="23"/>
      <c r="I32" s="23"/>
      <c r="J32" s="23"/>
      <c r="K32" s="23"/>
      <c r="L32" s="12"/>
      <c r="N32" s="28"/>
      <c r="O32" s="10"/>
      <c r="P32" s="10"/>
      <c r="Q32" s="10"/>
    </row>
    <row r="33" spans="2:12" s="7" customFormat="1" x14ac:dyDescent="0.25">
      <c r="B33" s="11"/>
      <c r="C33" s="23"/>
      <c r="D33" s="23"/>
      <c r="E33" s="23"/>
      <c r="F33" s="12"/>
      <c r="G33" s="25"/>
      <c r="H33" s="23"/>
      <c r="I33" s="23"/>
      <c r="J33" s="23"/>
      <c r="K33" s="23"/>
      <c r="L33" s="12"/>
    </row>
    <row r="34" spans="2:12" s="7" customFormat="1" x14ac:dyDescent="0.25">
      <c r="B34" s="11"/>
      <c r="C34" s="23"/>
      <c r="D34" s="23"/>
      <c r="E34" s="23"/>
      <c r="F34" s="12"/>
      <c r="G34" s="25"/>
      <c r="H34" s="23"/>
      <c r="I34" s="23"/>
      <c r="J34" s="23"/>
      <c r="K34" s="23"/>
      <c r="L34" s="12"/>
    </row>
    <row r="35" spans="2:12" s="7" customFormat="1" x14ac:dyDescent="0.25">
      <c r="B35" s="11"/>
      <c r="C35" s="23"/>
      <c r="D35" s="23"/>
      <c r="E35" s="23"/>
      <c r="F35" s="12"/>
      <c r="G35" s="25"/>
      <c r="H35" s="23"/>
      <c r="I35" s="23"/>
      <c r="J35" s="23"/>
      <c r="K35" s="23"/>
      <c r="L35" s="12"/>
    </row>
  </sheetData>
  <mergeCells count="3">
    <mergeCell ref="B3:H3"/>
    <mergeCell ref="B5:L5"/>
    <mergeCell ref="N5:AJ5"/>
  </mergeCells>
  <dataValidations count="2">
    <dataValidation type="whole" allowBlank="1" showInputMessage="1" showErrorMessage="1" sqref="L32:L35 L7:L13">
      <formula1>1</formula1>
      <formula2>100</formula2>
    </dataValidation>
    <dataValidation type="whole" allowBlank="1" showInputMessage="1" showErrorMessage="1" sqref="F32:F35 F7:F13">
      <formula1>1</formula1>
      <formula2>40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VALUATION_FUNCTION_RECURSIVE</vt:lpstr>
      <vt:lpstr>VALUATION_FUNCTION_NONRECURSIVE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2013-01-22T08:21:25Z</dcterms:created>
  <dcterms:modified xsi:type="dcterms:W3CDTF">2013-03-26T16:20:57Z</dcterms:modified>
</cp:coreProperties>
</file>