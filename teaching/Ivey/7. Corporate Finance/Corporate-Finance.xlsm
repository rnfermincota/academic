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 defaultThemeVersion="124226"/>
  <bookViews>
    <workbookView xWindow="120" yWindow="270" windowWidth="16620" windowHeight="4110" firstSheet="2" activeTab="6"/>
  </bookViews>
  <sheets>
    <sheet name="READ ME FIRST" sheetId="6" r:id="rId1"/>
    <sheet name="Section0" sheetId="1" r:id="rId2"/>
    <sheet name="Section1" sheetId="2" r:id="rId3"/>
    <sheet name="Section2" sheetId="4" r:id="rId4"/>
    <sheet name="Section3" sheetId="3" r:id="rId5"/>
    <sheet name="Section4" sheetId="8" r:id="rId6"/>
    <sheet name="Section5" sheetId="7" r:id="rId7"/>
  </sheets>
  <functionGroups builtInGroupCount="17"/>
  <definedNames>
    <definedName name="_Toc353727162" localSheetId="5">Section4!$B$2</definedName>
    <definedName name="_Toc353727163" localSheetId="5">Section4!$B$3</definedName>
    <definedName name="_Toc353727164" localSheetId="5">Section4!$B$5</definedName>
    <definedName name="_Toc353727165" localSheetId="5">Section4!#REF!</definedName>
    <definedName name="dx">Section3!$I$19</definedName>
    <definedName name="x">Section3!$D$18:$D$57</definedName>
    <definedName name="xx">Section3!$H$22:$H$72</definedName>
  </definedNames>
  <calcPr calcId="144525" iterate="1" iterateCount="1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2" i="3" l="1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F20" i="3"/>
  <c r="E20" i="3"/>
  <c r="D21" i="3"/>
  <c r="F21" i="3"/>
  <c r="E21" i="3"/>
  <c r="D22" i="3"/>
  <c r="F22" i="3"/>
  <c r="E22" i="3"/>
  <c r="D23" i="3"/>
  <c r="F23" i="3"/>
  <c r="E23" i="3"/>
  <c r="D24" i="3"/>
  <c r="F24" i="3"/>
  <c r="E24" i="3"/>
  <c r="D25" i="3"/>
  <c r="F25" i="3"/>
  <c r="E25" i="3"/>
  <c r="D26" i="3"/>
  <c r="F26" i="3"/>
  <c r="E26" i="3"/>
  <c r="D27" i="3"/>
  <c r="F27" i="3"/>
  <c r="E27" i="3"/>
  <c r="D28" i="3"/>
  <c r="F28" i="3"/>
  <c r="E28" i="3"/>
  <c r="D29" i="3"/>
  <c r="F29" i="3"/>
  <c r="E29" i="3"/>
  <c r="D30" i="3"/>
  <c r="F30" i="3"/>
  <c r="E30" i="3"/>
  <c r="D31" i="3"/>
  <c r="F31" i="3"/>
  <c r="E31" i="3"/>
  <c r="D32" i="3"/>
  <c r="F32" i="3"/>
  <c r="E32" i="3"/>
  <c r="D33" i="3"/>
  <c r="F33" i="3"/>
  <c r="E33" i="3"/>
  <c r="D34" i="3"/>
  <c r="F34" i="3"/>
  <c r="E34" i="3"/>
  <c r="E14" i="4"/>
  <c r="D14" i="4"/>
  <c r="G14" i="4"/>
  <c r="F14" i="4"/>
  <c r="C14" i="4"/>
  <c r="E13" i="4"/>
  <c r="D13" i="4"/>
  <c r="G13" i="4"/>
  <c r="F13" i="4"/>
  <c r="C13" i="4"/>
  <c r="E12" i="4"/>
  <c r="D12" i="4"/>
  <c r="G12" i="4"/>
  <c r="F12" i="4"/>
  <c r="C12" i="4"/>
  <c r="E11" i="4"/>
  <c r="D11" i="4"/>
  <c r="G11" i="4"/>
  <c r="F11" i="4"/>
  <c r="C11" i="4"/>
  <c r="E10" i="4"/>
  <c r="D10" i="4"/>
  <c r="G10" i="4"/>
  <c r="F10" i="4"/>
  <c r="C10" i="4"/>
  <c r="E9" i="4"/>
  <c r="D9" i="4"/>
  <c r="G9" i="4"/>
  <c r="F9" i="4"/>
  <c r="C9" i="4"/>
  <c r="B13" i="4"/>
  <c r="B12" i="4"/>
  <c r="L147" i="7"/>
  <c r="M118" i="7"/>
  <c r="K91" i="7"/>
  <c r="M119" i="7"/>
  <c r="M147" i="7"/>
  <c r="K100" i="7"/>
  <c r="M128" i="7"/>
  <c r="M170" i="7"/>
  <c r="K99" i="7"/>
  <c r="M127" i="7"/>
  <c r="M171" i="7"/>
  <c r="K101" i="7"/>
  <c r="M129" i="7"/>
  <c r="M172" i="7"/>
  <c r="K102" i="7"/>
  <c r="M130" i="7"/>
  <c r="M174" i="7"/>
  <c r="K95" i="7"/>
  <c r="M123" i="7"/>
  <c r="M175" i="7"/>
  <c r="M176" i="7"/>
  <c r="K109" i="7"/>
  <c r="M137" i="7"/>
  <c r="M177" i="7"/>
  <c r="K103" i="7"/>
  <c r="M131" i="7"/>
  <c r="M178" i="7"/>
  <c r="M200" i="7"/>
  <c r="E13" i="3"/>
  <c r="C11" i="3"/>
  <c r="H22" i="3"/>
  <c r="I19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G45" i="8"/>
  <c r="E46" i="8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F119" i="7"/>
  <c r="AF218" i="7"/>
  <c r="AE119" i="7"/>
  <c r="AE218" i="7"/>
  <c r="AD119" i="7"/>
  <c r="AD218" i="7"/>
  <c r="AC119" i="7"/>
  <c r="AC218" i="7"/>
  <c r="AB119" i="7"/>
  <c r="AB218" i="7"/>
  <c r="AA119" i="7"/>
  <c r="AA218" i="7"/>
  <c r="Z119" i="7"/>
  <c r="Z218" i="7"/>
  <c r="Y119" i="7"/>
  <c r="Y218" i="7"/>
  <c r="X119" i="7"/>
  <c r="X218" i="7"/>
  <c r="W119" i="7"/>
  <c r="W218" i="7"/>
  <c r="V119" i="7"/>
  <c r="V218" i="7"/>
  <c r="U119" i="7"/>
  <c r="U218" i="7"/>
  <c r="T119" i="7"/>
  <c r="T218" i="7"/>
  <c r="S119" i="7"/>
  <c r="S218" i="7"/>
  <c r="R119" i="7"/>
  <c r="R218" i="7"/>
  <c r="Q119" i="7"/>
  <c r="Q218" i="7"/>
  <c r="P119" i="7"/>
  <c r="P218" i="7"/>
  <c r="O119" i="7"/>
  <c r="O218" i="7"/>
  <c r="N119" i="7"/>
  <c r="N218" i="7"/>
  <c r="M218" i="7"/>
  <c r="L7" i="7"/>
  <c r="L119" i="7"/>
  <c r="L218" i="7"/>
  <c r="K7" i="7"/>
  <c r="K119" i="7"/>
  <c r="K218" i="7"/>
  <c r="J7" i="7"/>
  <c r="J119" i="7"/>
  <c r="J218" i="7"/>
  <c r="I7" i="7"/>
  <c r="I119" i="7"/>
  <c r="I218" i="7"/>
  <c r="H7" i="7"/>
  <c r="H119" i="7"/>
  <c r="H218" i="7"/>
  <c r="G7" i="7"/>
  <c r="G119" i="7"/>
  <c r="G218" i="7"/>
  <c r="F7" i="7"/>
  <c r="F119" i="7"/>
  <c r="F218" i="7"/>
  <c r="E7" i="7"/>
  <c r="E119" i="7"/>
  <c r="E218" i="7"/>
  <c r="D7" i="7"/>
  <c r="D119" i="7"/>
  <c r="D218" i="7"/>
  <c r="C119" i="7"/>
  <c r="C218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F131" i="7"/>
  <c r="AF178" i="7"/>
  <c r="AF137" i="7"/>
  <c r="AF177" i="7"/>
  <c r="AF130" i="7"/>
  <c r="AF174" i="7"/>
  <c r="AF123" i="7"/>
  <c r="AF175" i="7"/>
  <c r="AF176" i="7"/>
  <c r="AF129" i="7"/>
  <c r="AF172" i="7"/>
  <c r="AF127" i="7"/>
  <c r="AF171" i="7"/>
  <c r="AF128" i="7"/>
  <c r="AF170" i="7"/>
  <c r="K98" i="7"/>
  <c r="AF126" i="7"/>
  <c r="AF200" i="7"/>
  <c r="K108" i="7"/>
  <c r="AF136" i="7"/>
  <c r="AF184" i="7"/>
  <c r="K104" i="7"/>
  <c r="AF132" i="7"/>
  <c r="AF182" i="7"/>
  <c r="AE131" i="7"/>
  <c r="AE178" i="7"/>
  <c r="AE137" i="7"/>
  <c r="AE177" i="7"/>
  <c r="AE130" i="7"/>
  <c r="AE174" i="7"/>
  <c r="AE123" i="7"/>
  <c r="AE175" i="7"/>
  <c r="AE176" i="7"/>
  <c r="AE129" i="7"/>
  <c r="AE172" i="7"/>
  <c r="AE127" i="7"/>
  <c r="AE171" i="7"/>
  <c r="AE128" i="7"/>
  <c r="AE170" i="7"/>
  <c r="AE126" i="7"/>
  <c r="AE200" i="7"/>
  <c r="AE136" i="7"/>
  <c r="AE184" i="7"/>
  <c r="AE132" i="7"/>
  <c r="AE182" i="7"/>
  <c r="AD131" i="7"/>
  <c r="AD178" i="7"/>
  <c r="AD137" i="7"/>
  <c r="AD177" i="7"/>
  <c r="AD130" i="7"/>
  <c r="AD174" i="7"/>
  <c r="AD123" i="7"/>
  <c r="AD175" i="7"/>
  <c r="AD176" i="7"/>
  <c r="AD129" i="7"/>
  <c r="AD172" i="7"/>
  <c r="AD127" i="7"/>
  <c r="AD171" i="7"/>
  <c r="AD128" i="7"/>
  <c r="AD170" i="7"/>
  <c r="AD126" i="7"/>
  <c r="AD200" i="7"/>
  <c r="AD136" i="7"/>
  <c r="AD184" i="7"/>
  <c r="AD132" i="7"/>
  <c r="AD182" i="7"/>
  <c r="AC131" i="7"/>
  <c r="AC178" i="7"/>
  <c r="AC137" i="7"/>
  <c r="AC177" i="7"/>
  <c r="AC130" i="7"/>
  <c r="AC174" i="7"/>
  <c r="AC123" i="7"/>
  <c r="AC175" i="7"/>
  <c r="AC176" i="7"/>
  <c r="AC129" i="7"/>
  <c r="AC172" i="7"/>
  <c r="AC127" i="7"/>
  <c r="AC171" i="7"/>
  <c r="AC128" i="7"/>
  <c r="AC170" i="7"/>
  <c r="AC126" i="7"/>
  <c r="AC200" i="7"/>
  <c r="AC136" i="7"/>
  <c r="AC184" i="7"/>
  <c r="AC132" i="7"/>
  <c r="AC182" i="7"/>
  <c r="AB131" i="7"/>
  <c r="AB178" i="7"/>
  <c r="AB137" i="7"/>
  <c r="AB177" i="7"/>
  <c r="AB130" i="7"/>
  <c r="AB174" i="7"/>
  <c r="AB123" i="7"/>
  <c r="AB175" i="7"/>
  <c r="AB176" i="7"/>
  <c r="AB129" i="7"/>
  <c r="AB172" i="7"/>
  <c r="AB127" i="7"/>
  <c r="AB171" i="7"/>
  <c r="AB128" i="7"/>
  <c r="AB170" i="7"/>
  <c r="AB126" i="7"/>
  <c r="AB200" i="7"/>
  <c r="AB136" i="7"/>
  <c r="AB184" i="7"/>
  <c r="AB132" i="7"/>
  <c r="AB182" i="7"/>
  <c r="AA131" i="7"/>
  <c r="AA178" i="7"/>
  <c r="AA137" i="7"/>
  <c r="AA177" i="7"/>
  <c r="AA130" i="7"/>
  <c r="AA174" i="7"/>
  <c r="AA123" i="7"/>
  <c r="AA175" i="7"/>
  <c r="AA176" i="7"/>
  <c r="AA129" i="7"/>
  <c r="AA172" i="7"/>
  <c r="AA127" i="7"/>
  <c r="AA171" i="7"/>
  <c r="AA128" i="7"/>
  <c r="AA170" i="7"/>
  <c r="AA126" i="7"/>
  <c r="AA200" i="7"/>
  <c r="AA136" i="7"/>
  <c r="AA184" i="7"/>
  <c r="AA132" i="7"/>
  <c r="AA182" i="7"/>
  <c r="Z131" i="7"/>
  <c r="Z178" i="7"/>
  <c r="Z137" i="7"/>
  <c r="Z177" i="7"/>
  <c r="Z130" i="7"/>
  <c r="Z174" i="7"/>
  <c r="Z123" i="7"/>
  <c r="Z175" i="7"/>
  <c r="Z176" i="7"/>
  <c r="Z129" i="7"/>
  <c r="Z172" i="7"/>
  <c r="Z127" i="7"/>
  <c r="Z171" i="7"/>
  <c r="Z128" i="7"/>
  <c r="Z170" i="7"/>
  <c r="Z126" i="7"/>
  <c r="Z200" i="7"/>
  <c r="Z136" i="7"/>
  <c r="Z184" i="7"/>
  <c r="Z132" i="7"/>
  <c r="Z182" i="7"/>
  <c r="Y131" i="7"/>
  <c r="Y178" i="7"/>
  <c r="Y137" i="7"/>
  <c r="Y177" i="7"/>
  <c r="Y130" i="7"/>
  <c r="Y174" i="7"/>
  <c r="Y123" i="7"/>
  <c r="Y175" i="7"/>
  <c r="Y176" i="7"/>
  <c r="Y129" i="7"/>
  <c r="Y172" i="7"/>
  <c r="Y127" i="7"/>
  <c r="Y171" i="7"/>
  <c r="Y128" i="7"/>
  <c r="Y170" i="7"/>
  <c r="Y126" i="7"/>
  <c r="Y200" i="7"/>
  <c r="Y136" i="7"/>
  <c r="Y184" i="7"/>
  <c r="Y132" i="7"/>
  <c r="Y182" i="7"/>
  <c r="X131" i="7"/>
  <c r="X178" i="7"/>
  <c r="X137" i="7"/>
  <c r="X177" i="7"/>
  <c r="X130" i="7"/>
  <c r="X174" i="7"/>
  <c r="X123" i="7"/>
  <c r="X175" i="7"/>
  <c r="X176" i="7"/>
  <c r="X129" i="7"/>
  <c r="X172" i="7"/>
  <c r="X127" i="7"/>
  <c r="X171" i="7"/>
  <c r="X128" i="7"/>
  <c r="X170" i="7"/>
  <c r="X126" i="7"/>
  <c r="X200" i="7"/>
  <c r="X136" i="7"/>
  <c r="X184" i="7"/>
  <c r="X132" i="7"/>
  <c r="X182" i="7"/>
  <c r="W131" i="7"/>
  <c r="W178" i="7"/>
  <c r="W137" i="7"/>
  <c r="W177" i="7"/>
  <c r="W130" i="7"/>
  <c r="W174" i="7"/>
  <c r="W123" i="7"/>
  <c r="W175" i="7"/>
  <c r="W176" i="7"/>
  <c r="W129" i="7"/>
  <c r="W172" i="7"/>
  <c r="W127" i="7"/>
  <c r="W171" i="7"/>
  <c r="W128" i="7"/>
  <c r="W170" i="7"/>
  <c r="W126" i="7"/>
  <c r="W200" i="7"/>
  <c r="W136" i="7"/>
  <c r="W184" i="7"/>
  <c r="W132" i="7"/>
  <c r="W182" i="7"/>
  <c r="V131" i="7"/>
  <c r="V178" i="7"/>
  <c r="V137" i="7"/>
  <c r="V177" i="7"/>
  <c r="V130" i="7"/>
  <c r="V174" i="7"/>
  <c r="V123" i="7"/>
  <c r="V175" i="7"/>
  <c r="V176" i="7"/>
  <c r="V129" i="7"/>
  <c r="V172" i="7"/>
  <c r="V127" i="7"/>
  <c r="V171" i="7"/>
  <c r="V128" i="7"/>
  <c r="V170" i="7"/>
  <c r="V126" i="7"/>
  <c r="V200" i="7"/>
  <c r="V136" i="7"/>
  <c r="V184" i="7"/>
  <c r="V132" i="7"/>
  <c r="V182" i="7"/>
  <c r="U131" i="7"/>
  <c r="U178" i="7"/>
  <c r="U137" i="7"/>
  <c r="U177" i="7"/>
  <c r="U130" i="7"/>
  <c r="U174" i="7"/>
  <c r="U123" i="7"/>
  <c r="U175" i="7"/>
  <c r="U176" i="7"/>
  <c r="U129" i="7"/>
  <c r="U172" i="7"/>
  <c r="U127" i="7"/>
  <c r="U171" i="7"/>
  <c r="U128" i="7"/>
  <c r="U170" i="7"/>
  <c r="U126" i="7"/>
  <c r="U200" i="7"/>
  <c r="U136" i="7"/>
  <c r="U184" i="7"/>
  <c r="U132" i="7"/>
  <c r="U182" i="7"/>
  <c r="T131" i="7"/>
  <c r="T178" i="7"/>
  <c r="T137" i="7"/>
  <c r="T177" i="7"/>
  <c r="T130" i="7"/>
  <c r="T174" i="7"/>
  <c r="T123" i="7"/>
  <c r="T175" i="7"/>
  <c r="T176" i="7"/>
  <c r="T129" i="7"/>
  <c r="T172" i="7"/>
  <c r="T127" i="7"/>
  <c r="T171" i="7"/>
  <c r="T128" i="7"/>
  <c r="T170" i="7"/>
  <c r="T126" i="7"/>
  <c r="T200" i="7"/>
  <c r="T136" i="7"/>
  <c r="T184" i="7"/>
  <c r="T132" i="7"/>
  <c r="T182" i="7"/>
  <c r="S131" i="7"/>
  <c r="S178" i="7"/>
  <c r="S137" i="7"/>
  <c r="S177" i="7"/>
  <c r="S130" i="7"/>
  <c r="S174" i="7"/>
  <c r="S123" i="7"/>
  <c r="S175" i="7"/>
  <c r="S176" i="7"/>
  <c r="S129" i="7"/>
  <c r="S172" i="7"/>
  <c r="S127" i="7"/>
  <c r="S171" i="7"/>
  <c r="S128" i="7"/>
  <c r="S170" i="7"/>
  <c r="S126" i="7"/>
  <c r="S200" i="7"/>
  <c r="S136" i="7"/>
  <c r="S184" i="7"/>
  <c r="S132" i="7"/>
  <c r="S182" i="7"/>
  <c r="R131" i="7"/>
  <c r="R178" i="7"/>
  <c r="R137" i="7"/>
  <c r="R177" i="7"/>
  <c r="R130" i="7"/>
  <c r="R174" i="7"/>
  <c r="R123" i="7"/>
  <c r="R175" i="7"/>
  <c r="R176" i="7"/>
  <c r="R129" i="7"/>
  <c r="R172" i="7"/>
  <c r="R127" i="7"/>
  <c r="R171" i="7"/>
  <c r="R128" i="7"/>
  <c r="R170" i="7"/>
  <c r="R126" i="7"/>
  <c r="R200" i="7"/>
  <c r="R136" i="7"/>
  <c r="R184" i="7"/>
  <c r="R132" i="7"/>
  <c r="R182" i="7"/>
  <c r="Q131" i="7"/>
  <c r="Q178" i="7"/>
  <c r="Q137" i="7"/>
  <c r="Q177" i="7"/>
  <c r="Q130" i="7"/>
  <c r="Q174" i="7"/>
  <c r="Q123" i="7"/>
  <c r="Q175" i="7"/>
  <c r="Q176" i="7"/>
  <c r="Q129" i="7"/>
  <c r="Q172" i="7"/>
  <c r="Q127" i="7"/>
  <c r="Q171" i="7"/>
  <c r="Q128" i="7"/>
  <c r="Q170" i="7"/>
  <c r="Q126" i="7"/>
  <c r="Q200" i="7"/>
  <c r="Q136" i="7"/>
  <c r="Q184" i="7"/>
  <c r="Q132" i="7"/>
  <c r="Q182" i="7"/>
  <c r="P131" i="7"/>
  <c r="P178" i="7"/>
  <c r="P137" i="7"/>
  <c r="P177" i="7"/>
  <c r="P130" i="7"/>
  <c r="P174" i="7"/>
  <c r="P123" i="7"/>
  <c r="P175" i="7"/>
  <c r="P176" i="7"/>
  <c r="P129" i="7"/>
  <c r="P172" i="7"/>
  <c r="P127" i="7"/>
  <c r="P171" i="7"/>
  <c r="P128" i="7"/>
  <c r="P170" i="7"/>
  <c r="P126" i="7"/>
  <c r="P200" i="7"/>
  <c r="P136" i="7"/>
  <c r="P184" i="7"/>
  <c r="P132" i="7"/>
  <c r="P182" i="7"/>
  <c r="O131" i="7"/>
  <c r="O178" i="7"/>
  <c r="O137" i="7"/>
  <c r="O177" i="7"/>
  <c r="O130" i="7"/>
  <c r="O174" i="7"/>
  <c r="O123" i="7"/>
  <c r="O175" i="7"/>
  <c r="O176" i="7"/>
  <c r="O129" i="7"/>
  <c r="O172" i="7"/>
  <c r="O127" i="7"/>
  <c r="O171" i="7"/>
  <c r="O128" i="7"/>
  <c r="O170" i="7"/>
  <c r="O126" i="7"/>
  <c r="O200" i="7"/>
  <c r="O136" i="7"/>
  <c r="O184" i="7"/>
  <c r="O132" i="7"/>
  <c r="O182" i="7"/>
  <c r="N131" i="7"/>
  <c r="N178" i="7"/>
  <c r="N137" i="7"/>
  <c r="N177" i="7"/>
  <c r="N130" i="7"/>
  <c r="N174" i="7"/>
  <c r="N123" i="7"/>
  <c r="N175" i="7"/>
  <c r="N176" i="7"/>
  <c r="N129" i="7"/>
  <c r="N172" i="7"/>
  <c r="N127" i="7"/>
  <c r="N171" i="7"/>
  <c r="N128" i="7"/>
  <c r="N170" i="7"/>
  <c r="N126" i="7"/>
  <c r="N200" i="7"/>
  <c r="N136" i="7"/>
  <c r="N184" i="7"/>
  <c r="N132" i="7"/>
  <c r="N182" i="7"/>
  <c r="M126" i="7"/>
  <c r="M136" i="7"/>
  <c r="M184" i="7"/>
  <c r="M132" i="7"/>
  <c r="M182" i="7"/>
  <c r="L178" i="7"/>
  <c r="L177" i="7"/>
  <c r="L174" i="7"/>
  <c r="L175" i="7"/>
  <c r="L176" i="7"/>
  <c r="L172" i="7"/>
  <c r="L171" i="7"/>
  <c r="L170" i="7"/>
  <c r="L169" i="7"/>
  <c r="L173" i="7"/>
  <c r="L179" i="7"/>
  <c r="L47" i="7"/>
  <c r="L42" i="7"/>
  <c r="L52" i="7"/>
  <c r="L77" i="7"/>
  <c r="L217" i="7"/>
  <c r="K47" i="7"/>
  <c r="K42" i="7"/>
  <c r="K52" i="7"/>
  <c r="K77" i="7"/>
  <c r="K217" i="7"/>
  <c r="J47" i="7"/>
  <c r="J42" i="7"/>
  <c r="J52" i="7"/>
  <c r="J77" i="7"/>
  <c r="J217" i="7"/>
  <c r="I47" i="7"/>
  <c r="I42" i="7"/>
  <c r="I52" i="7"/>
  <c r="I77" i="7"/>
  <c r="I217" i="7"/>
  <c r="H47" i="7"/>
  <c r="H42" i="7"/>
  <c r="H52" i="7"/>
  <c r="H77" i="7"/>
  <c r="H217" i="7"/>
  <c r="G47" i="7"/>
  <c r="G42" i="7"/>
  <c r="G52" i="7"/>
  <c r="G77" i="7"/>
  <c r="G217" i="7"/>
  <c r="F47" i="7"/>
  <c r="F42" i="7"/>
  <c r="F52" i="7"/>
  <c r="F77" i="7"/>
  <c r="F217" i="7"/>
  <c r="E47" i="7"/>
  <c r="E42" i="7"/>
  <c r="E52" i="7"/>
  <c r="E77" i="7"/>
  <c r="E217" i="7"/>
  <c r="D47" i="7"/>
  <c r="D42" i="7"/>
  <c r="D52" i="7"/>
  <c r="D77" i="7"/>
  <c r="D217" i="7"/>
  <c r="C47" i="7"/>
  <c r="C42" i="7"/>
  <c r="C52" i="7"/>
  <c r="C77" i="7"/>
  <c r="C217" i="7"/>
  <c r="K92" i="7"/>
  <c r="AF120" i="7"/>
  <c r="AF148" i="7"/>
  <c r="AF149" i="7"/>
  <c r="K93" i="7"/>
  <c r="AF121" i="7"/>
  <c r="AF150" i="7"/>
  <c r="K94" i="7"/>
  <c r="AF122" i="7"/>
  <c r="AF151" i="7"/>
  <c r="AF152" i="7"/>
  <c r="K97" i="7"/>
  <c r="AF125" i="7"/>
  <c r="AF153" i="7"/>
  <c r="AF154" i="7"/>
  <c r="K112" i="7"/>
  <c r="AF140" i="7"/>
  <c r="AE120" i="7"/>
  <c r="AE148" i="7"/>
  <c r="AE149" i="7"/>
  <c r="AE121" i="7"/>
  <c r="AE150" i="7"/>
  <c r="AE122" i="7"/>
  <c r="AE151" i="7"/>
  <c r="AE152" i="7"/>
  <c r="AE125" i="7"/>
  <c r="AE153" i="7"/>
  <c r="AE154" i="7"/>
  <c r="AE140" i="7"/>
  <c r="AD120" i="7"/>
  <c r="AD148" i="7"/>
  <c r="AD149" i="7"/>
  <c r="AD121" i="7"/>
  <c r="AD150" i="7"/>
  <c r="AD122" i="7"/>
  <c r="AD151" i="7"/>
  <c r="AD152" i="7"/>
  <c r="AD125" i="7"/>
  <c r="AD153" i="7"/>
  <c r="AD154" i="7"/>
  <c r="AD140" i="7"/>
  <c r="AC120" i="7"/>
  <c r="AC148" i="7"/>
  <c r="AC149" i="7"/>
  <c r="AC121" i="7"/>
  <c r="AC150" i="7"/>
  <c r="AC122" i="7"/>
  <c r="AC151" i="7"/>
  <c r="AC152" i="7"/>
  <c r="AC125" i="7"/>
  <c r="AC153" i="7"/>
  <c r="AC154" i="7"/>
  <c r="AC140" i="7"/>
  <c r="AB120" i="7"/>
  <c r="AB148" i="7"/>
  <c r="AB149" i="7"/>
  <c r="AB121" i="7"/>
  <c r="AB150" i="7"/>
  <c r="AB122" i="7"/>
  <c r="AB151" i="7"/>
  <c r="AB152" i="7"/>
  <c r="AB125" i="7"/>
  <c r="AB153" i="7"/>
  <c r="AB154" i="7"/>
  <c r="AB140" i="7"/>
  <c r="AA120" i="7"/>
  <c r="AA148" i="7"/>
  <c r="AA149" i="7"/>
  <c r="AA121" i="7"/>
  <c r="AA150" i="7"/>
  <c r="AA122" i="7"/>
  <c r="AA151" i="7"/>
  <c r="AA152" i="7"/>
  <c r="AA125" i="7"/>
  <c r="AA153" i="7"/>
  <c r="AA154" i="7"/>
  <c r="AA140" i="7"/>
  <c r="Z120" i="7"/>
  <c r="Z148" i="7"/>
  <c r="Z149" i="7"/>
  <c r="Z121" i="7"/>
  <c r="Z150" i="7"/>
  <c r="Z122" i="7"/>
  <c r="Z151" i="7"/>
  <c r="Z152" i="7"/>
  <c r="Z125" i="7"/>
  <c r="Z153" i="7"/>
  <c r="Z154" i="7"/>
  <c r="Z140" i="7"/>
  <c r="Y120" i="7"/>
  <c r="Y148" i="7"/>
  <c r="Y149" i="7"/>
  <c r="Y121" i="7"/>
  <c r="Y150" i="7"/>
  <c r="Y122" i="7"/>
  <c r="Y151" i="7"/>
  <c r="Y152" i="7"/>
  <c r="Y125" i="7"/>
  <c r="Y153" i="7"/>
  <c r="Y154" i="7"/>
  <c r="Y140" i="7"/>
  <c r="X120" i="7"/>
  <c r="X148" i="7"/>
  <c r="X149" i="7"/>
  <c r="X121" i="7"/>
  <c r="X150" i="7"/>
  <c r="X122" i="7"/>
  <c r="X151" i="7"/>
  <c r="X152" i="7"/>
  <c r="X125" i="7"/>
  <c r="X153" i="7"/>
  <c r="X154" i="7"/>
  <c r="X140" i="7"/>
  <c r="W120" i="7"/>
  <c r="W148" i="7"/>
  <c r="W149" i="7"/>
  <c r="W121" i="7"/>
  <c r="W150" i="7"/>
  <c r="W122" i="7"/>
  <c r="W151" i="7"/>
  <c r="W152" i="7"/>
  <c r="W125" i="7"/>
  <c r="W153" i="7"/>
  <c r="W154" i="7"/>
  <c r="W140" i="7"/>
  <c r="V120" i="7"/>
  <c r="V148" i="7"/>
  <c r="V149" i="7"/>
  <c r="V121" i="7"/>
  <c r="V150" i="7"/>
  <c r="V122" i="7"/>
  <c r="V151" i="7"/>
  <c r="V152" i="7"/>
  <c r="V125" i="7"/>
  <c r="V153" i="7"/>
  <c r="V154" i="7"/>
  <c r="V140" i="7"/>
  <c r="U120" i="7"/>
  <c r="U148" i="7"/>
  <c r="U149" i="7"/>
  <c r="U121" i="7"/>
  <c r="U150" i="7"/>
  <c r="U122" i="7"/>
  <c r="U151" i="7"/>
  <c r="U152" i="7"/>
  <c r="U125" i="7"/>
  <c r="U153" i="7"/>
  <c r="U154" i="7"/>
  <c r="U140" i="7"/>
  <c r="T120" i="7"/>
  <c r="T148" i="7"/>
  <c r="T149" i="7"/>
  <c r="T121" i="7"/>
  <c r="T150" i="7"/>
  <c r="T122" i="7"/>
  <c r="T151" i="7"/>
  <c r="T152" i="7"/>
  <c r="T125" i="7"/>
  <c r="T153" i="7"/>
  <c r="T154" i="7"/>
  <c r="T140" i="7"/>
  <c r="S120" i="7"/>
  <c r="S148" i="7"/>
  <c r="S149" i="7"/>
  <c r="S121" i="7"/>
  <c r="S150" i="7"/>
  <c r="S122" i="7"/>
  <c r="S151" i="7"/>
  <c r="S152" i="7"/>
  <c r="S125" i="7"/>
  <c r="S153" i="7"/>
  <c r="S154" i="7"/>
  <c r="S140" i="7"/>
  <c r="R120" i="7"/>
  <c r="R148" i="7"/>
  <c r="R149" i="7"/>
  <c r="R121" i="7"/>
  <c r="R150" i="7"/>
  <c r="R122" i="7"/>
  <c r="R151" i="7"/>
  <c r="R152" i="7"/>
  <c r="R125" i="7"/>
  <c r="R153" i="7"/>
  <c r="R154" i="7"/>
  <c r="R140" i="7"/>
  <c r="Q120" i="7"/>
  <c r="Q148" i="7"/>
  <c r="Q149" i="7"/>
  <c r="Q121" i="7"/>
  <c r="Q150" i="7"/>
  <c r="Q122" i="7"/>
  <c r="Q151" i="7"/>
  <c r="Q152" i="7"/>
  <c r="Q125" i="7"/>
  <c r="Q153" i="7"/>
  <c r="Q154" i="7"/>
  <c r="Q140" i="7"/>
  <c r="P120" i="7"/>
  <c r="P148" i="7"/>
  <c r="P149" i="7"/>
  <c r="P121" i="7"/>
  <c r="P150" i="7"/>
  <c r="P122" i="7"/>
  <c r="P151" i="7"/>
  <c r="P152" i="7"/>
  <c r="P125" i="7"/>
  <c r="P153" i="7"/>
  <c r="P154" i="7"/>
  <c r="P140" i="7"/>
  <c r="O120" i="7"/>
  <c r="O148" i="7"/>
  <c r="O149" i="7"/>
  <c r="O121" i="7"/>
  <c r="O150" i="7"/>
  <c r="O122" i="7"/>
  <c r="O151" i="7"/>
  <c r="O152" i="7"/>
  <c r="O125" i="7"/>
  <c r="O153" i="7"/>
  <c r="O154" i="7"/>
  <c r="O140" i="7"/>
  <c r="N120" i="7"/>
  <c r="N148" i="7"/>
  <c r="N149" i="7"/>
  <c r="N121" i="7"/>
  <c r="N150" i="7"/>
  <c r="N122" i="7"/>
  <c r="N151" i="7"/>
  <c r="N152" i="7"/>
  <c r="N125" i="7"/>
  <c r="N153" i="7"/>
  <c r="N154" i="7"/>
  <c r="N140" i="7"/>
  <c r="M120" i="7"/>
  <c r="M148" i="7"/>
  <c r="M149" i="7"/>
  <c r="M121" i="7"/>
  <c r="M150" i="7"/>
  <c r="M122" i="7"/>
  <c r="M151" i="7"/>
  <c r="M152" i="7"/>
  <c r="M125" i="7"/>
  <c r="M153" i="7"/>
  <c r="M154" i="7"/>
  <c r="M140" i="7"/>
  <c r="L10" i="7"/>
  <c r="L15" i="7"/>
  <c r="L18" i="7"/>
  <c r="L21" i="7"/>
  <c r="L26" i="7"/>
  <c r="L216" i="7"/>
  <c r="K10" i="7"/>
  <c r="K15" i="7"/>
  <c r="K18" i="7"/>
  <c r="K21" i="7"/>
  <c r="K26" i="7"/>
  <c r="K216" i="7"/>
  <c r="J10" i="7"/>
  <c r="J15" i="7"/>
  <c r="J18" i="7"/>
  <c r="J21" i="7"/>
  <c r="J26" i="7"/>
  <c r="J216" i="7"/>
  <c r="I10" i="7"/>
  <c r="I15" i="7"/>
  <c r="I18" i="7"/>
  <c r="I21" i="7"/>
  <c r="I26" i="7"/>
  <c r="I216" i="7"/>
  <c r="H10" i="7"/>
  <c r="H15" i="7"/>
  <c r="H18" i="7"/>
  <c r="H21" i="7"/>
  <c r="H26" i="7"/>
  <c r="H216" i="7"/>
  <c r="G10" i="7"/>
  <c r="G15" i="7"/>
  <c r="G18" i="7"/>
  <c r="G21" i="7"/>
  <c r="G26" i="7"/>
  <c r="G216" i="7"/>
  <c r="F10" i="7"/>
  <c r="F15" i="7"/>
  <c r="F18" i="7"/>
  <c r="F21" i="7"/>
  <c r="F26" i="7"/>
  <c r="F216" i="7"/>
  <c r="E10" i="7"/>
  <c r="E15" i="7"/>
  <c r="E18" i="7"/>
  <c r="E21" i="7"/>
  <c r="E26" i="7"/>
  <c r="E216" i="7"/>
  <c r="D10" i="7"/>
  <c r="D15" i="7"/>
  <c r="D18" i="7"/>
  <c r="D21" i="7"/>
  <c r="D26" i="7"/>
  <c r="D216" i="7"/>
  <c r="C10" i="7"/>
  <c r="C15" i="7"/>
  <c r="C18" i="7"/>
  <c r="C21" i="7"/>
  <c r="C26" i="7"/>
  <c r="C216" i="7"/>
  <c r="L215" i="7"/>
  <c r="K215" i="7"/>
  <c r="J215" i="7"/>
  <c r="I215" i="7"/>
  <c r="H215" i="7"/>
  <c r="G215" i="7"/>
  <c r="F215" i="7"/>
  <c r="E215" i="7"/>
  <c r="D215" i="7"/>
  <c r="C215" i="7"/>
  <c r="L214" i="7"/>
  <c r="K214" i="7"/>
  <c r="J214" i="7"/>
  <c r="I214" i="7"/>
  <c r="H214" i="7"/>
  <c r="G214" i="7"/>
  <c r="F214" i="7"/>
  <c r="E214" i="7"/>
  <c r="D214" i="7"/>
  <c r="C214" i="7"/>
  <c r="AF213" i="7"/>
  <c r="AE213" i="7"/>
  <c r="AD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AF211" i="7"/>
  <c r="AE211" i="7"/>
  <c r="AD211" i="7"/>
  <c r="AC211" i="7"/>
  <c r="AB211" i="7"/>
  <c r="AA211" i="7"/>
  <c r="Z211" i="7"/>
  <c r="Y211" i="7"/>
  <c r="X211" i="7"/>
  <c r="W211" i="7"/>
  <c r="V211" i="7"/>
  <c r="U211" i="7"/>
  <c r="T211" i="7"/>
  <c r="S211" i="7"/>
  <c r="R211" i="7"/>
  <c r="Q211" i="7"/>
  <c r="P211" i="7"/>
  <c r="O211" i="7"/>
  <c r="N211" i="7"/>
  <c r="M211" i="7"/>
  <c r="L148" i="7"/>
  <c r="L211" i="7"/>
  <c r="K147" i="7"/>
  <c r="K148" i="7"/>
  <c r="K211" i="7"/>
  <c r="J147" i="7"/>
  <c r="J148" i="7"/>
  <c r="J211" i="7"/>
  <c r="I147" i="7"/>
  <c r="I148" i="7"/>
  <c r="I211" i="7"/>
  <c r="H147" i="7"/>
  <c r="H148" i="7"/>
  <c r="H211" i="7"/>
  <c r="G147" i="7"/>
  <c r="G148" i="7"/>
  <c r="G211" i="7"/>
  <c r="F147" i="7"/>
  <c r="F148" i="7"/>
  <c r="F211" i="7"/>
  <c r="E147" i="7"/>
  <c r="E148" i="7"/>
  <c r="E211" i="7"/>
  <c r="D147" i="7"/>
  <c r="D148" i="7"/>
  <c r="D211" i="7"/>
  <c r="C147" i="7"/>
  <c r="C148" i="7"/>
  <c r="C211" i="7"/>
  <c r="L149" i="7"/>
  <c r="L150" i="7"/>
  <c r="L151" i="7"/>
  <c r="L152" i="7"/>
  <c r="L153" i="7"/>
  <c r="L154" i="7"/>
  <c r="L155" i="7"/>
  <c r="L156" i="7"/>
  <c r="L157" i="7"/>
  <c r="L158" i="7"/>
  <c r="L159" i="7"/>
  <c r="L210" i="7"/>
  <c r="K149" i="7"/>
  <c r="K150" i="7"/>
  <c r="K151" i="7"/>
  <c r="K152" i="7"/>
  <c r="K153" i="7"/>
  <c r="K154" i="7"/>
  <c r="K155" i="7"/>
  <c r="K156" i="7"/>
  <c r="K157" i="7"/>
  <c r="K158" i="7"/>
  <c r="K159" i="7"/>
  <c r="K210" i="7"/>
  <c r="J149" i="7"/>
  <c r="J150" i="7"/>
  <c r="J151" i="7"/>
  <c r="J152" i="7"/>
  <c r="J153" i="7"/>
  <c r="J154" i="7"/>
  <c r="J155" i="7"/>
  <c r="J156" i="7"/>
  <c r="J157" i="7"/>
  <c r="J158" i="7"/>
  <c r="J159" i="7"/>
  <c r="J210" i="7"/>
  <c r="I149" i="7"/>
  <c r="I150" i="7"/>
  <c r="I151" i="7"/>
  <c r="I152" i="7"/>
  <c r="I153" i="7"/>
  <c r="I154" i="7"/>
  <c r="I155" i="7"/>
  <c r="I156" i="7"/>
  <c r="I157" i="7"/>
  <c r="I158" i="7"/>
  <c r="I159" i="7"/>
  <c r="I210" i="7"/>
  <c r="H149" i="7"/>
  <c r="H150" i="7"/>
  <c r="H151" i="7"/>
  <c r="H152" i="7"/>
  <c r="H153" i="7"/>
  <c r="H154" i="7"/>
  <c r="H155" i="7"/>
  <c r="H156" i="7"/>
  <c r="H157" i="7"/>
  <c r="H158" i="7"/>
  <c r="H159" i="7"/>
  <c r="H210" i="7"/>
  <c r="G149" i="7"/>
  <c r="G150" i="7"/>
  <c r="G151" i="7"/>
  <c r="G152" i="7"/>
  <c r="G153" i="7"/>
  <c r="G154" i="7"/>
  <c r="G155" i="7"/>
  <c r="G156" i="7"/>
  <c r="G157" i="7"/>
  <c r="G158" i="7"/>
  <c r="G159" i="7"/>
  <c r="G210" i="7"/>
  <c r="F149" i="7"/>
  <c r="F150" i="7"/>
  <c r="F151" i="7"/>
  <c r="F152" i="7"/>
  <c r="F153" i="7"/>
  <c r="F154" i="7"/>
  <c r="F155" i="7"/>
  <c r="F156" i="7"/>
  <c r="F157" i="7"/>
  <c r="F158" i="7"/>
  <c r="F159" i="7"/>
  <c r="F210" i="7"/>
  <c r="E149" i="7"/>
  <c r="E150" i="7"/>
  <c r="E151" i="7"/>
  <c r="E152" i="7"/>
  <c r="E153" i="7"/>
  <c r="E154" i="7"/>
  <c r="E155" i="7"/>
  <c r="E156" i="7"/>
  <c r="E157" i="7"/>
  <c r="E158" i="7"/>
  <c r="E159" i="7"/>
  <c r="E210" i="7"/>
  <c r="D149" i="7"/>
  <c r="D150" i="7"/>
  <c r="D151" i="7"/>
  <c r="D152" i="7"/>
  <c r="D153" i="7"/>
  <c r="D154" i="7"/>
  <c r="D155" i="7"/>
  <c r="D156" i="7"/>
  <c r="D157" i="7"/>
  <c r="D158" i="7"/>
  <c r="D159" i="7"/>
  <c r="D210" i="7"/>
  <c r="C149" i="7"/>
  <c r="C150" i="7"/>
  <c r="C151" i="7"/>
  <c r="C152" i="7"/>
  <c r="C153" i="7"/>
  <c r="C154" i="7"/>
  <c r="C155" i="7"/>
  <c r="C156" i="7"/>
  <c r="C157" i="7"/>
  <c r="C158" i="7"/>
  <c r="C159" i="7"/>
  <c r="C210" i="7"/>
  <c r="AF209" i="7"/>
  <c r="AE209" i="7"/>
  <c r="AD209" i="7"/>
  <c r="AC209" i="7"/>
  <c r="AB209" i="7"/>
  <c r="AA209" i="7"/>
  <c r="Z209" i="7"/>
  <c r="Y209" i="7"/>
  <c r="X209" i="7"/>
  <c r="W209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L117" i="7"/>
  <c r="AF117" i="7"/>
  <c r="AF145" i="7"/>
  <c r="AF164" i="7"/>
  <c r="AF207" i="7"/>
  <c r="AE117" i="7"/>
  <c r="AE145" i="7"/>
  <c r="AE164" i="7"/>
  <c r="AE207" i="7"/>
  <c r="AD117" i="7"/>
  <c r="AD145" i="7"/>
  <c r="AD164" i="7"/>
  <c r="AD207" i="7"/>
  <c r="AC117" i="7"/>
  <c r="AC145" i="7"/>
  <c r="AC164" i="7"/>
  <c r="AC207" i="7"/>
  <c r="AB117" i="7"/>
  <c r="AB145" i="7"/>
  <c r="AB164" i="7"/>
  <c r="AB207" i="7"/>
  <c r="AA117" i="7"/>
  <c r="AA145" i="7"/>
  <c r="AA164" i="7"/>
  <c r="AA207" i="7"/>
  <c r="Z117" i="7"/>
  <c r="Z145" i="7"/>
  <c r="Z164" i="7"/>
  <c r="Z207" i="7"/>
  <c r="Y117" i="7"/>
  <c r="Y145" i="7"/>
  <c r="Y164" i="7"/>
  <c r="Y207" i="7"/>
  <c r="X117" i="7"/>
  <c r="X145" i="7"/>
  <c r="X164" i="7"/>
  <c r="X207" i="7"/>
  <c r="W117" i="7"/>
  <c r="W145" i="7"/>
  <c r="W164" i="7"/>
  <c r="W207" i="7"/>
  <c r="V117" i="7"/>
  <c r="V145" i="7"/>
  <c r="V164" i="7"/>
  <c r="V207" i="7"/>
  <c r="U117" i="7"/>
  <c r="U145" i="7"/>
  <c r="U164" i="7"/>
  <c r="U207" i="7"/>
  <c r="T117" i="7"/>
  <c r="T145" i="7"/>
  <c r="T164" i="7"/>
  <c r="T207" i="7"/>
  <c r="S117" i="7"/>
  <c r="S145" i="7"/>
  <c r="S164" i="7"/>
  <c r="S207" i="7"/>
  <c r="R117" i="7"/>
  <c r="R145" i="7"/>
  <c r="R164" i="7"/>
  <c r="R207" i="7"/>
  <c r="Q117" i="7"/>
  <c r="Q145" i="7"/>
  <c r="Q164" i="7"/>
  <c r="Q207" i="7"/>
  <c r="P117" i="7"/>
  <c r="P145" i="7"/>
  <c r="P164" i="7"/>
  <c r="P207" i="7"/>
  <c r="O117" i="7"/>
  <c r="O145" i="7"/>
  <c r="O164" i="7"/>
  <c r="O207" i="7"/>
  <c r="N117" i="7"/>
  <c r="N145" i="7"/>
  <c r="N164" i="7"/>
  <c r="N207" i="7"/>
  <c r="M117" i="7"/>
  <c r="M145" i="7"/>
  <c r="M164" i="7"/>
  <c r="M207" i="7"/>
  <c r="L145" i="7"/>
  <c r="L164" i="7"/>
  <c r="L207" i="7"/>
  <c r="K118" i="7"/>
  <c r="K117" i="7"/>
  <c r="K145" i="7"/>
  <c r="K164" i="7"/>
  <c r="K207" i="7"/>
  <c r="J118" i="7"/>
  <c r="J117" i="7"/>
  <c r="J145" i="7"/>
  <c r="J164" i="7"/>
  <c r="J207" i="7"/>
  <c r="I118" i="7"/>
  <c r="I117" i="7"/>
  <c r="I145" i="7"/>
  <c r="I164" i="7"/>
  <c r="I207" i="7"/>
  <c r="H118" i="7"/>
  <c r="H117" i="7"/>
  <c r="H145" i="7"/>
  <c r="H164" i="7"/>
  <c r="H207" i="7"/>
  <c r="G118" i="7"/>
  <c r="G117" i="7"/>
  <c r="G145" i="7"/>
  <c r="G164" i="7"/>
  <c r="G207" i="7"/>
  <c r="F118" i="7"/>
  <c r="F117" i="7"/>
  <c r="F145" i="7"/>
  <c r="F164" i="7"/>
  <c r="F207" i="7"/>
  <c r="E118" i="7"/>
  <c r="E117" i="7"/>
  <c r="E145" i="7"/>
  <c r="E164" i="7"/>
  <c r="E207" i="7"/>
  <c r="D118" i="7"/>
  <c r="D117" i="7"/>
  <c r="D145" i="7"/>
  <c r="D164" i="7"/>
  <c r="D207" i="7"/>
  <c r="C118" i="7"/>
  <c r="C117" i="7"/>
  <c r="C145" i="7"/>
  <c r="C164" i="7"/>
  <c r="C207" i="7"/>
  <c r="L205" i="7"/>
  <c r="K205" i="7"/>
  <c r="J205" i="7"/>
  <c r="I205" i="7"/>
  <c r="H205" i="7"/>
  <c r="G205" i="7"/>
  <c r="F205" i="7"/>
  <c r="E205" i="7"/>
  <c r="D205" i="7"/>
  <c r="C205" i="7"/>
  <c r="L204" i="7"/>
  <c r="K204" i="7"/>
  <c r="J204" i="7"/>
  <c r="I204" i="7"/>
  <c r="H204" i="7"/>
  <c r="G204" i="7"/>
  <c r="F204" i="7"/>
  <c r="E204" i="7"/>
  <c r="D204" i="7"/>
  <c r="C204" i="7"/>
  <c r="L202" i="7"/>
  <c r="K202" i="7"/>
  <c r="J202" i="7"/>
  <c r="I202" i="7"/>
  <c r="H202" i="7"/>
  <c r="G202" i="7"/>
  <c r="F202" i="7"/>
  <c r="E202" i="7"/>
  <c r="D202" i="7"/>
  <c r="C202" i="7"/>
  <c r="L201" i="7"/>
  <c r="K201" i="7"/>
  <c r="J201" i="7"/>
  <c r="I201" i="7"/>
  <c r="H201" i="7"/>
  <c r="G201" i="7"/>
  <c r="F201" i="7"/>
  <c r="E201" i="7"/>
  <c r="D201" i="7"/>
  <c r="C201" i="7"/>
  <c r="L200" i="7"/>
  <c r="K200" i="7"/>
  <c r="J200" i="7"/>
  <c r="I200" i="7"/>
  <c r="H200" i="7"/>
  <c r="G200" i="7"/>
  <c r="F200" i="7"/>
  <c r="E200" i="7"/>
  <c r="D200" i="7"/>
  <c r="C200" i="7"/>
  <c r="L194" i="7"/>
  <c r="L193" i="7"/>
  <c r="L192" i="7"/>
  <c r="L195" i="7"/>
  <c r="L190" i="7"/>
  <c r="L189" i="7"/>
  <c r="L188" i="7"/>
  <c r="L186" i="7"/>
  <c r="L184" i="7"/>
  <c r="L183" i="7"/>
  <c r="L182" i="7"/>
  <c r="L185" i="7"/>
  <c r="L191" i="7"/>
  <c r="L196" i="7"/>
  <c r="L198" i="7"/>
  <c r="K178" i="7"/>
  <c r="K177" i="7"/>
  <c r="K174" i="7"/>
  <c r="K175" i="7"/>
  <c r="K176" i="7"/>
  <c r="K172" i="7"/>
  <c r="K171" i="7"/>
  <c r="K170" i="7"/>
  <c r="K169" i="7"/>
  <c r="K173" i="7"/>
  <c r="K179" i="7"/>
  <c r="K194" i="7"/>
  <c r="K193" i="7"/>
  <c r="K192" i="7"/>
  <c r="K195" i="7"/>
  <c r="K190" i="7"/>
  <c r="K189" i="7"/>
  <c r="K188" i="7"/>
  <c r="K186" i="7"/>
  <c r="K184" i="7"/>
  <c r="K183" i="7"/>
  <c r="K182" i="7"/>
  <c r="K185" i="7"/>
  <c r="K191" i="7"/>
  <c r="K196" i="7"/>
  <c r="K198" i="7"/>
  <c r="J178" i="7"/>
  <c r="J177" i="7"/>
  <c r="J174" i="7"/>
  <c r="J175" i="7"/>
  <c r="J176" i="7"/>
  <c r="J172" i="7"/>
  <c r="J171" i="7"/>
  <c r="J170" i="7"/>
  <c r="J169" i="7"/>
  <c r="J173" i="7"/>
  <c r="J179" i="7"/>
  <c r="J194" i="7"/>
  <c r="J193" i="7"/>
  <c r="J192" i="7"/>
  <c r="J195" i="7"/>
  <c r="J190" i="7"/>
  <c r="J189" i="7"/>
  <c r="J188" i="7"/>
  <c r="J186" i="7"/>
  <c r="J184" i="7"/>
  <c r="J183" i="7"/>
  <c r="J182" i="7"/>
  <c r="J185" i="7"/>
  <c r="J191" i="7"/>
  <c r="J196" i="7"/>
  <c r="J198" i="7"/>
  <c r="I178" i="7"/>
  <c r="I177" i="7"/>
  <c r="I174" i="7"/>
  <c r="I175" i="7"/>
  <c r="I176" i="7"/>
  <c r="I172" i="7"/>
  <c r="I171" i="7"/>
  <c r="I170" i="7"/>
  <c r="I169" i="7"/>
  <c r="I173" i="7"/>
  <c r="I179" i="7"/>
  <c r="I194" i="7"/>
  <c r="I193" i="7"/>
  <c r="I192" i="7"/>
  <c r="I195" i="7"/>
  <c r="I190" i="7"/>
  <c r="I189" i="7"/>
  <c r="I188" i="7"/>
  <c r="I186" i="7"/>
  <c r="I184" i="7"/>
  <c r="I183" i="7"/>
  <c r="I182" i="7"/>
  <c r="I185" i="7"/>
  <c r="I191" i="7"/>
  <c r="I196" i="7"/>
  <c r="I198" i="7"/>
  <c r="H178" i="7"/>
  <c r="H177" i="7"/>
  <c r="H174" i="7"/>
  <c r="H175" i="7"/>
  <c r="H176" i="7"/>
  <c r="H172" i="7"/>
  <c r="H171" i="7"/>
  <c r="H170" i="7"/>
  <c r="H169" i="7"/>
  <c r="H173" i="7"/>
  <c r="H179" i="7"/>
  <c r="H194" i="7"/>
  <c r="H193" i="7"/>
  <c r="H192" i="7"/>
  <c r="H195" i="7"/>
  <c r="H190" i="7"/>
  <c r="H189" i="7"/>
  <c r="H188" i="7"/>
  <c r="H186" i="7"/>
  <c r="H184" i="7"/>
  <c r="H183" i="7"/>
  <c r="H182" i="7"/>
  <c r="H185" i="7"/>
  <c r="H191" i="7"/>
  <c r="H196" i="7"/>
  <c r="H198" i="7"/>
  <c r="G178" i="7"/>
  <c r="G177" i="7"/>
  <c r="G174" i="7"/>
  <c r="G175" i="7"/>
  <c r="G176" i="7"/>
  <c r="G172" i="7"/>
  <c r="G171" i="7"/>
  <c r="G170" i="7"/>
  <c r="G169" i="7"/>
  <c r="G173" i="7"/>
  <c r="G179" i="7"/>
  <c r="G194" i="7"/>
  <c r="G193" i="7"/>
  <c r="G192" i="7"/>
  <c r="G195" i="7"/>
  <c r="G190" i="7"/>
  <c r="G189" i="7"/>
  <c r="G188" i="7"/>
  <c r="G186" i="7"/>
  <c r="G184" i="7"/>
  <c r="G183" i="7"/>
  <c r="G182" i="7"/>
  <c r="G185" i="7"/>
  <c r="G191" i="7"/>
  <c r="G196" i="7"/>
  <c r="G198" i="7"/>
  <c r="F178" i="7"/>
  <c r="F177" i="7"/>
  <c r="F174" i="7"/>
  <c r="F175" i="7"/>
  <c r="F176" i="7"/>
  <c r="F172" i="7"/>
  <c r="F171" i="7"/>
  <c r="F170" i="7"/>
  <c r="F169" i="7"/>
  <c r="F173" i="7"/>
  <c r="F179" i="7"/>
  <c r="F194" i="7"/>
  <c r="F193" i="7"/>
  <c r="F192" i="7"/>
  <c r="F195" i="7"/>
  <c r="F190" i="7"/>
  <c r="F189" i="7"/>
  <c r="F188" i="7"/>
  <c r="F186" i="7"/>
  <c r="F184" i="7"/>
  <c r="F183" i="7"/>
  <c r="F182" i="7"/>
  <c r="F185" i="7"/>
  <c r="F191" i="7"/>
  <c r="F196" i="7"/>
  <c r="F198" i="7"/>
  <c r="E178" i="7"/>
  <c r="E177" i="7"/>
  <c r="E174" i="7"/>
  <c r="E175" i="7"/>
  <c r="E176" i="7"/>
  <c r="E172" i="7"/>
  <c r="E171" i="7"/>
  <c r="E170" i="7"/>
  <c r="E169" i="7"/>
  <c r="E173" i="7"/>
  <c r="E179" i="7"/>
  <c r="E194" i="7"/>
  <c r="E193" i="7"/>
  <c r="E192" i="7"/>
  <c r="E195" i="7"/>
  <c r="E190" i="7"/>
  <c r="E189" i="7"/>
  <c r="E188" i="7"/>
  <c r="E186" i="7"/>
  <c r="E184" i="7"/>
  <c r="E183" i="7"/>
  <c r="E182" i="7"/>
  <c r="E185" i="7"/>
  <c r="E191" i="7"/>
  <c r="E196" i="7"/>
  <c r="E198" i="7"/>
  <c r="D178" i="7"/>
  <c r="D177" i="7"/>
  <c r="D174" i="7"/>
  <c r="D175" i="7"/>
  <c r="D176" i="7"/>
  <c r="D172" i="7"/>
  <c r="D171" i="7"/>
  <c r="D170" i="7"/>
  <c r="D169" i="7"/>
  <c r="D173" i="7"/>
  <c r="D179" i="7"/>
  <c r="D194" i="7"/>
  <c r="D193" i="7"/>
  <c r="D192" i="7"/>
  <c r="D195" i="7"/>
  <c r="D190" i="7"/>
  <c r="D189" i="7"/>
  <c r="D188" i="7"/>
  <c r="D186" i="7"/>
  <c r="D184" i="7"/>
  <c r="D183" i="7"/>
  <c r="D182" i="7"/>
  <c r="D185" i="7"/>
  <c r="D191" i="7"/>
  <c r="D196" i="7"/>
  <c r="D198" i="7"/>
  <c r="C178" i="7"/>
  <c r="C177" i="7"/>
  <c r="C174" i="7"/>
  <c r="C175" i="7"/>
  <c r="C176" i="7"/>
  <c r="C172" i="7"/>
  <c r="C171" i="7"/>
  <c r="C170" i="7"/>
  <c r="C169" i="7"/>
  <c r="C173" i="7"/>
  <c r="C179" i="7"/>
  <c r="C194" i="7"/>
  <c r="C193" i="7"/>
  <c r="C192" i="7"/>
  <c r="C195" i="7"/>
  <c r="C190" i="7"/>
  <c r="C189" i="7"/>
  <c r="C188" i="7"/>
  <c r="C186" i="7"/>
  <c r="C184" i="7"/>
  <c r="C183" i="7"/>
  <c r="C182" i="7"/>
  <c r="C185" i="7"/>
  <c r="C191" i="7"/>
  <c r="C196" i="7"/>
  <c r="C198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K106" i="7"/>
  <c r="AF134" i="7"/>
  <c r="AF190" i="7"/>
  <c r="K105" i="7"/>
  <c r="AF133" i="7"/>
  <c r="AF189" i="7"/>
  <c r="K107" i="7"/>
  <c r="AF135" i="7"/>
  <c r="AF188" i="7"/>
  <c r="K110" i="7"/>
  <c r="AF138" i="7"/>
  <c r="AF187" i="7"/>
  <c r="AE134" i="7"/>
  <c r="AE190" i="7"/>
  <c r="AE133" i="7"/>
  <c r="AE189" i="7"/>
  <c r="AE135" i="7"/>
  <c r="AE188" i="7"/>
  <c r="AE138" i="7"/>
  <c r="AE187" i="7"/>
  <c r="AD134" i="7"/>
  <c r="AD190" i="7"/>
  <c r="AD133" i="7"/>
  <c r="AD189" i="7"/>
  <c r="AD135" i="7"/>
  <c r="AD188" i="7"/>
  <c r="AD138" i="7"/>
  <c r="AD187" i="7"/>
  <c r="AC134" i="7"/>
  <c r="AC190" i="7"/>
  <c r="AC133" i="7"/>
  <c r="AC189" i="7"/>
  <c r="AC135" i="7"/>
  <c r="AC188" i="7"/>
  <c r="AC138" i="7"/>
  <c r="AC187" i="7"/>
  <c r="AB134" i="7"/>
  <c r="AB190" i="7"/>
  <c r="AB133" i="7"/>
  <c r="AB189" i="7"/>
  <c r="AB135" i="7"/>
  <c r="AB188" i="7"/>
  <c r="AB138" i="7"/>
  <c r="AB187" i="7"/>
  <c r="AA134" i="7"/>
  <c r="AA190" i="7"/>
  <c r="AA133" i="7"/>
  <c r="AA189" i="7"/>
  <c r="AA135" i="7"/>
  <c r="AA188" i="7"/>
  <c r="AA138" i="7"/>
  <c r="AA187" i="7"/>
  <c r="Z134" i="7"/>
  <c r="Z190" i="7"/>
  <c r="Z133" i="7"/>
  <c r="Z189" i="7"/>
  <c r="Z135" i="7"/>
  <c r="Z188" i="7"/>
  <c r="Z138" i="7"/>
  <c r="Z187" i="7"/>
  <c r="Y134" i="7"/>
  <c r="Y190" i="7"/>
  <c r="Y133" i="7"/>
  <c r="Y189" i="7"/>
  <c r="Y135" i="7"/>
  <c r="Y188" i="7"/>
  <c r="Y138" i="7"/>
  <c r="Y187" i="7"/>
  <c r="X134" i="7"/>
  <c r="X190" i="7"/>
  <c r="X133" i="7"/>
  <c r="X189" i="7"/>
  <c r="X135" i="7"/>
  <c r="X188" i="7"/>
  <c r="X138" i="7"/>
  <c r="X187" i="7"/>
  <c r="W134" i="7"/>
  <c r="W190" i="7"/>
  <c r="W133" i="7"/>
  <c r="W189" i="7"/>
  <c r="W135" i="7"/>
  <c r="W188" i="7"/>
  <c r="W138" i="7"/>
  <c r="W187" i="7"/>
  <c r="V134" i="7"/>
  <c r="V190" i="7"/>
  <c r="V133" i="7"/>
  <c r="V189" i="7"/>
  <c r="V135" i="7"/>
  <c r="V188" i="7"/>
  <c r="V138" i="7"/>
  <c r="V187" i="7"/>
  <c r="U134" i="7"/>
  <c r="U190" i="7"/>
  <c r="U133" i="7"/>
  <c r="U189" i="7"/>
  <c r="U135" i="7"/>
  <c r="U188" i="7"/>
  <c r="U138" i="7"/>
  <c r="U187" i="7"/>
  <c r="T134" i="7"/>
  <c r="T190" i="7"/>
  <c r="T133" i="7"/>
  <c r="T189" i="7"/>
  <c r="T135" i="7"/>
  <c r="T188" i="7"/>
  <c r="T138" i="7"/>
  <c r="T187" i="7"/>
  <c r="S134" i="7"/>
  <c r="S190" i="7"/>
  <c r="S133" i="7"/>
  <c r="S189" i="7"/>
  <c r="S135" i="7"/>
  <c r="S188" i="7"/>
  <c r="S138" i="7"/>
  <c r="S187" i="7"/>
  <c r="R134" i="7"/>
  <c r="R190" i="7"/>
  <c r="R133" i="7"/>
  <c r="R189" i="7"/>
  <c r="R135" i="7"/>
  <c r="R188" i="7"/>
  <c r="R138" i="7"/>
  <c r="R187" i="7"/>
  <c r="Q134" i="7"/>
  <c r="Q190" i="7"/>
  <c r="Q133" i="7"/>
  <c r="Q189" i="7"/>
  <c r="Q135" i="7"/>
  <c r="Q188" i="7"/>
  <c r="Q138" i="7"/>
  <c r="Q187" i="7"/>
  <c r="P134" i="7"/>
  <c r="P190" i="7"/>
  <c r="P133" i="7"/>
  <c r="P189" i="7"/>
  <c r="P135" i="7"/>
  <c r="P188" i="7"/>
  <c r="P138" i="7"/>
  <c r="P187" i="7"/>
  <c r="O134" i="7"/>
  <c r="O190" i="7"/>
  <c r="O133" i="7"/>
  <c r="O189" i="7"/>
  <c r="O135" i="7"/>
  <c r="O188" i="7"/>
  <c r="O138" i="7"/>
  <c r="O187" i="7"/>
  <c r="N134" i="7"/>
  <c r="N190" i="7"/>
  <c r="N133" i="7"/>
  <c r="N189" i="7"/>
  <c r="N135" i="7"/>
  <c r="N188" i="7"/>
  <c r="N138" i="7"/>
  <c r="N187" i="7"/>
  <c r="M134" i="7"/>
  <c r="M190" i="7"/>
  <c r="M133" i="7"/>
  <c r="M189" i="7"/>
  <c r="M135" i="7"/>
  <c r="M188" i="7"/>
  <c r="M138" i="7"/>
  <c r="M187" i="7"/>
  <c r="B166" i="7"/>
  <c r="L161" i="7"/>
  <c r="L162" i="7"/>
  <c r="K161" i="7"/>
  <c r="K162" i="7"/>
  <c r="J161" i="7"/>
  <c r="J162" i="7"/>
  <c r="I161" i="7"/>
  <c r="I162" i="7"/>
  <c r="H161" i="7"/>
  <c r="H162" i="7"/>
  <c r="G161" i="7"/>
  <c r="G162" i="7"/>
  <c r="F161" i="7"/>
  <c r="F162" i="7"/>
  <c r="E161" i="7"/>
  <c r="E162" i="7"/>
  <c r="D161" i="7"/>
  <c r="D162" i="7"/>
  <c r="C161" i="7"/>
  <c r="C162" i="7"/>
  <c r="AF160" i="7"/>
  <c r="AE160" i="7"/>
  <c r="AD160" i="7"/>
  <c r="AC160" i="7"/>
  <c r="AB160" i="7"/>
  <c r="AA160" i="7"/>
  <c r="Z160" i="7"/>
  <c r="Y160" i="7"/>
  <c r="X160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K96" i="7"/>
  <c r="AF124" i="7"/>
  <c r="AF158" i="7"/>
  <c r="AE124" i="7"/>
  <c r="AE158" i="7"/>
  <c r="AD124" i="7"/>
  <c r="AD158" i="7"/>
  <c r="AC124" i="7"/>
  <c r="AC158" i="7"/>
  <c r="AB124" i="7"/>
  <c r="AB158" i="7"/>
  <c r="AA124" i="7"/>
  <c r="AA158" i="7"/>
  <c r="Z124" i="7"/>
  <c r="Z158" i="7"/>
  <c r="Y124" i="7"/>
  <c r="Y158" i="7"/>
  <c r="X124" i="7"/>
  <c r="X158" i="7"/>
  <c r="W124" i="7"/>
  <c r="W158" i="7"/>
  <c r="V124" i="7"/>
  <c r="V158" i="7"/>
  <c r="U124" i="7"/>
  <c r="U158" i="7"/>
  <c r="T124" i="7"/>
  <c r="T158" i="7"/>
  <c r="S124" i="7"/>
  <c r="S158" i="7"/>
  <c r="R124" i="7"/>
  <c r="R158" i="7"/>
  <c r="Q124" i="7"/>
  <c r="Q158" i="7"/>
  <c r="P124" i="7"/>
  <c r="P158" i="7"/>
  <c r="O124" i="7"/>
  <c r="O158" i="7"/>
  <c r="N124" i="7"/>
  <c r="N158" i="7"/>
  <c r="M124" i="7"/>
  <c r="M158" i="7"/>
  <c r="K115" i="7"/>
  <c r="AF143" i="7"/>
  <c r="AE143" i="7"/>
  <c r="AD143" i="7"/>
  <c r="AC143" i="7"/>
  <c r="AB143" i="7"/>
  <c r="AA143" i="7"/>
  <c r="Z143" i="7"/>
  <c r="Y143" i="7"/>
  <c r="X143" i="7"/>
  <c r="W143" i="7"/>
  <c r="V143" i="7"/>
  <c r="U143" i="7"/>
  <c r="T143" i="7"/>
  <c r="S143" i="7"/>
  <c r="R143" i="7"/>
  <c r="Q143" i="7"/>
  <c r="P143" i="7"/>
  <c r="O143" i="7"/>
  <c r="N143" i="7"/>
  <c r="M143" i="7"/>
  <c r="L86" i="7"/>
  <c r="L143" i="7"/>
  <c r="K86" i="7"/>
  <c r="K143" i="7"/>
  <c r="J86" i="7"/>
  <c r="J143" i="7"/>
  <c r="I86" i="7"/>
  <c r="I143" i="7"/>
  <c r="H86" i="7"/>
  <c r="H143" i="7"/>
  <c r="G86" i="7"/>
  <c r="G143" i="7"/>
  <c r="F86" i="7"/>
  <c r="F143" i="7"/>
  <c r="E86" i="7"/>
  <c r="E143" i="7"/>
  <c r="D86" i="7"/>
  <c r="D143" i="7"/>
  <c r="C86" i="7"/>
  <c r="C143" i="7"/>
  <c r="B143" i="7"/>
  <c r="K114" i="7"/>
  <c r="AF142" i="7"/>
  <c r="AE142" i="7"/>
  <c r="AD142" i="7"/>
  <c r="AC142" i="7"/>
  <c r="AB142" i="7"/>
  <c r="AA142" i="7"/>
  <c r="Z142" i="7"/>
  <c r="Y142" i="7"/>
  <c r="X142" i="7"/>
  <c r="W142" i="7"/>
  <c r="V142" i="7"/>
  <c r="U142" i="7"/>
  <c r="T142" i="7"/>
  <c r="S142" i="7"/>
  <c r="R142" i="7"/>
  <c r="Q142" i="7"/>
  <c r="P142" i="7"/>
  <c r="O142" i="7"/>
  <c r="N142" i="7"/>
  <c r="M142" i="7"/>
  <c r="B142" i="7"/>
  <c r="K113" i="7"/>
  <c r="AF141" i="7"/>
  <c r="AE141" i="7"/>
  <c r="AD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Q141" i="7"/>
  <c r="P141" i="7"/>
  <c r="O141" i="7"/>
  <c r="N141" i="7"/>
  <c r="M141" i="7"/>
  <c r="L64" i="7"/>
  <c r="L141" i="7"/>
  <c r="K64" i="7"/>
  <c r="K141" i="7"/>
  <c r="J64" i="7"/>
  <c r="J141" i="7"/>
  <c r="I64" i="7"/>
  <c r="I141" i="7"/>
  <c r="H64" i="7"/>
  <c r="H141" i="7"/>
  <c r="G64" i="7"/>
  <c r="G141" i="7"/>
  <c r="F64" i="7"/>
  <c r="F141" i="7"/>
  <c r="E64" i="7"/>
  <c r="E141" i="7"/>
  <c r="D64" i="7"/>
  <c r="D141" i="7"/>
  <c r="C64" i="7"/>
  <c r="C141" i="7"/>
  <c r="B141" i="7"/>
  <c r="L20" i="7"/>
  <c r="L140" i="7"/>
  <c r="K20" i="7"/>
  <c r="K140" i="7"/>
  <c r="J20" i="7"/>
  <c r="J140" i="7"/>
  <c r="I20" i="7"/>
  <c r="I140" i="7"/>
  <c r="H20" i="7"/>
  <c r="H140" i="7"/>
  <c r="G20" i="7"/>
  <c r="G140" i="7"/>
  <c r="F20" i="7"/>
  <c r="F140" i="7"/>
  <c r="E20" i="7"/>
  <c r="E140" i="7"/>
  <c r="D20" i="7"/>
  <c r="D140" i="7"/>
  <c r="C20" i="7"/>
  <c r="C140" i="7"/>
  <c r="B140" i="7"/>
  <c r="K111" i="7"/>
  <c r="AF139" i="7"/>
  <c r="AE139" i="7"/>
  <c r="AD139" i="7"/>
  <c r="AC139" i="7"/>
  <c r="AB139" i="7"/>
  <c r="AA139" i="7"/>
  <c r="Z139" i="7"/>
  <c r="Y139" i="7"/>
  <c r="X139" i="7"/>
  <c r="W139" i="7"/>
  <c r="V139" i="7"/>
  <c r="U139" i="7"/>
  <c r="T139" i="7"/>
  <c r="S139" i="7"/>
  <c r="R139" i="7"/>
  <c r="Q139" i="7"/>
  <c r="P139" i="7"/>
  <c r="O139" i="7"/>
  <c r="N139" i="7"/>
  <c r="M139" i="7"/>
  <c r="L23" i="7"/>
  <c r="L139" i="7"/>
  <c r="K23" i="7"/>
  <c r="K139" i="7"/>
  <c r="J23" i="7"/>
  <c r="J139" i="7"/>
  <c r="I23" i="7"/>
  <c r="I139" i="7"/>
  <c r="H23" i="7"/>
  <c r="H139" i="7"/>
  <c r="G23" i="7"/>
  <c r="G139" i="7"/>
  <c r="F23" i="7"/>
  <c r="F139" i="7"/>
  <c r="E23" i="7"/>
  <c r="E139" i="7"/>
  <c r="D23" i="7"/>
  <c r="D139" i="7"/>
  <c r="C23" i="7"/>
  <c r="C139" i="7"/>
  <c r="B139" i="7"/>
  <c r="L66" i="7"/>
  <c r="L138" i="7"/>
  <c r="K66" i="7"/>
  <c r="K138" i="7"/>
  <c r="J66" i="7"/>
  <c r="J138" i="7"/>
  <c r="I66" i="7"/>
  <c r="I138" i="7"/>
  <c r="H66" i="7"/>
  <c r="H138" i="7"/>
  <c r="G66" i="7"/>
  <c r="G138" i="7"/>
  <c r="F66" i="7"/>
  <c r="F138" i="7"/>
  <c r="E66" i="7"/>
  <c r="E138" i="7"/>
  <c r="D66" i="7"/>
  <c r="D138" i="7"/>
  <c r="C66" i="7"/>
  <c r="C138" i="7"/>
  <c r="B138" i="7"/>
  <c r="L49" i="7"/>
  <c r="L137" i="7"/>
  <c r="K49" i="7"/>
  <c r="K137" i="7"/>
  <c r="J49" i="7"/>
  <c r="J137" i="7"/>
  <c r="I49" i="7"/>
  <c r="I137" i="7"/>
  <c r="H49" i="7"/>
  <c r="H137" i="7"/>
  <c r="G49" i="7"/>
  <c r="G137" i="7"/>
  <c r="F49" i="7"/>
  <c r="F137" i="7"/>
  <c r="E49" i="7"/>
  <c r="E137" i="7"/>
  <c r="D49" i="7"/>
  <c r="D137" i="7"/>
  <c r="C49" i="7"/>
  <c r="C137" i="7"/>
  <c r="B137" i="7"/>
  <c r="L61" i="7"/>
  <c r="L136" i="7"/>
  <c r="K61" i="7"/>
  <c r="K136" i="7"/>
  <c r="J61" i="7"/>
  <c r="J136" i="7"/>
  <c r="I61" i="7"/>
  <c r="I136" i="7"/>
  <c r="H61" i="7"/>
  <c r="H136" i="7"/>
  <c r="G61" i="7"/>
  <c r="G136" i="7"/>
  <c r="F61" i="7"/>
  <c r="F136" i="7"/>
  <c r="E61" i="7"/>
  <c r="E136" i="7"/>
  <c r="D61" i="7"/>
  <c r="D136" i="7"/>
  <c r="C61" i="7"/>
  <c r="C136" i="7"/>
  <c r="B136" i="7"/>
  <c r="L68" i="7"/>
  <c r="L135" i="7"/>
  <c r="K68" i="7"/>
  <c r="K135" i="7"/>
  <c r="J68" i="7"/>
  <c r="J135" i="7"/>
  <c r="I68" i="7"/>
  <c r="I135" i="7"/>
  <c r="H68" i="7"/>
  <c r="H135" i="7"/>
  <c r="G68" i="7"/>
  <c r="G135" i="7"/>
  <c r="F68" i="7"/>
  <c r="F135" i="7"/>
  <c r="E68" i="7"/>
  <c r="E135" i="7"/>
  <c r="D68" i="7"/>
  <c r="D135" i="7"/>
  <c r="C68" i="7"/>
  <c r="C135" i="7"/>
  <c r="B135" i="7"/>
  <c r="L72" i="7"/>
  <c r="L134" i="7"/>
  <c r="K72" i="7"/>
  <c r="K134" i="7"/>
  <c r="J72" i="7"/>
  <c r="J134" i="7"/>
  <c r="I72" i="7"/>
  <c r="I134" i="7"/>
  <c r="H72" i="7"/>
  <c r="H134" i="7"/>
  <c r="G72" i="7"/>
  <c r="G134" i="7"/>
  <c r="F72" i="7"/>
  <c r="F134" i="7"/>
  <c r="E72" i="7"/>
  <c r="E134" i="7"/>
  <c r="D72" i="7"/>
  <c r="D134" i="7"/>
  <c r="C72" i="7"/>
  <c r="C134" i="7"/>
  <c r="B134" i="7"/>
  <c r="L70" i="7"/>
  <c r="L133" i="7"/>
  <c r="K70" i="7"/>
  <c r="K133" i="7"/>
  <c r="J70" i="7"/>
  <c r="J133" i="7"/>
  <c r="I70" i="7"/>
  <c r="I133" i="7"/>
  <c r="H70" i="7"/>
  <c r="H133" i="7"/>
  <c r="G70" i="7"/>
  <c r="G133" i="7"/>
  <c r="F70" i="7"/>
  <c r="F133" i="7"/>
  <c r="E70" i="7"/>
  <c r="E133" i="7"/>
  <c r="D70" i="7"/>
  <c r="D133" i="7"/>
  <c r="C70" i="7"/>
  <c r="C133" i="7"/>
  <c r="B133" i="7"/>
  <c r="L58" i="7"/>
  <c r="L132" i="7"/>
  <c r="K58" i="7"/>
  <c r="K132" i="7"/>
  <c r="J58" i="7"/>
  <c r="J132" i="7"/>
  <c r="I58" i="7"/>
  <c r="I132" i="7"/>
  <c r="H58" i="7"/>
  <c r="H132" i="7"/>
  <c r="G58" i="7"/>
  <c r="G132" i="7"/>
  <c r="F58" i="7"/>
  <c r="F132" i="7"/>
  <c r="E58" i="7"/>
  <c r="E132" i="7"/>
  <c r="D58" i="7"/>
  <c r="D132" i="7"/>
  <c r="C58" i="7"/>
  <c r="C132" i="7"/>
  <c r="B132" i="7"/>
  <c r="L51" i="7"/>
  <c r="L131" i="7"/>
  <c r="K51" i="7"/>
  <c r="K131" i="7"/>
  <c r="J51" i="7"/>
  <c r="J131" i="7"/>
  <c r="I51" i="7"/>
  <c r="I131" i="7"/>
  <c r="H51" i="7"/>
  <c r="H131" i="7"/>
  <c r="G51" i="7"/>
  <c r="G131" i="7"/>
  <c r="F51" i="7"/>
  <c r="F131" i="7"/>
  <c r="E51" i="7"/>
  <c r="E131" i="7"/>
  <c r="D51" i="7"/>
  <c r="D131" i="7"/>
  <c r="C51" i="7"/>
  <c r="C131" i="7"/>
  <c r="B131" i="7"/>
  <c r="L44" i="7"/>
  <c r="L130" i="7"/>
  <c r="K44" i="7"/>
  <c r="K130" i="7"/>
  <c r="J44" i="7"/>
  <c r="J130" i="7"/>
  <c r="I44" i="7"/>
  <c r="I130" i="7"/>
  <c r="H44" i="7"/>
  <c r="H130" i="7"/>
  <c r="G44" i="7"/>
  <c r="G130" i="7"/>
  <c r="F44" i="7"/>
  <c r="F130" i="7"/>
  <c r="E44" i="7"/>
  <c r="E130" i="7"/>
  <c r="D44" i="7"/>
  <c r="D130" i="7"/>
  <c r="C44" i="7"/>
  <c r="C130" i="7"/>
  <c r="B130" i="7"/>
  <c r="L41" i="7"/>
  <c r="L129" i="7"/>
  <c r="K41" i="7"/>
  <c r="K129" i="7"/>
  <c r="J41" i="7"/>
  <c r="J129" i="7"/>
  <c r="I41" i="7"/>
  <c r="I129" i="7"/>
  <c r="H41" i="7"/>
  <c r="H129" i="7"/>
  <c r="G41" i="7"/>
  <c r="G129" i="7"/>
  <c r="F41" i="7"/>
  <c r="F129" i="7"/>
  <c r="E41" i="7"/>
  <c r="E129" i="7"/>
  <c r="D41" i="7"/>
  <c r="D129" i="7"/>
  <c r="C41" i="7"/>
  <c r="C129" i="7"/>
  <c r="B129" i="7"/>
  <c r="L37" i="7"/>
  <c r="L128" i="7"/>
  <c r="K37" i="7"/>
  <c r="K128" i="7"/>
  <c r="J37" i="7"/>
  <c r="J128" i="7"/>
  <c r="I37" i="7"/>
  <c r="I128" i="7"/>
  <c r="H37" i="7"/>
  <c r="H128" i="7"/>
  <c r="G37" i="7"/>
  <c r="G128" i="7"/>
  <c r="F37" i="7"/>
  <c r="F128" i="7"/>
  <c r="E37" i="7"/>
  <c r="E128" i="7"/>
  <c r="D37" i="7"/>
  <c r="D128" i="7"/>
  <c r="C37" i="7"/>
  <c r="C128" i="7"/>
  <c r="B128" i="7"/>
  <c r="L39" i="7"/>
  <c r="L127" i="7"/>
  <c r="K39" i="7"/>
  <c r="K127" i="7"/>
  <c r="J39" i="7"/>
  <c r="J127" i="7"/>
  <c r="I39" i="7"/>
  <c r="I127" i="7"/>
  <c r="H39" i="7"/>
  <c r="H127" i="7"/>
  <c r="G39" i="7"/>
  <c r="G127" i="7"/>
  <c r="F39" i="7"/>
  <c r="F127" i="7"/>
  <c r="E39" i="7"/>
  <c r="E127" i="7"/>
  <c r="D39" i="7"/>
  <c r="D127" i="7"/>
  <c r="C39" i="7"/>
  <c r="C127" i="7"/>
  <c r="B127" i="7"/>
  <c r="L35" i="7"/>
  <c r="L126" i="7"/>
  <c r="K35" i="7"/>
  <c r="K126" i="7"/>
  <c r="J35" i="7"/>
  <c r="J126" i="7"/>
  <c r="I35" i="7"/>
  <c r="I126" i="7"/>
  <c r="H35" i="7"/>
  <c r="H126" i="7"/>
  <c r="G35" i="7"/>
  <c r="G126" i="7"/>
  <c r="F35" i="7"/>
  <c r="F126" i="7"/>
  <c r="E35" i="7"/>
  <c r="E126" i="7"/>
  <c r="D35" i="7"/>
  <c r="D126" i="7"/>
  <c r="C35" i="7"/>
  <c r="C126" i="7"/>
  <c r="B126" i="7"/>
  <c r="L17" i="7"/>
  <c r="L125" i="7"/>
  <c r="K17" i="7"/>
  <c r="K125" i="7"/>
  <c r="J17" i="7"/>
  <c r="J125" i="7"/>
  <c r="I17" i="7"/>
  <c r="I125" i="7"/>
  <c r="H17" i="7"/>
  <c r="H125" i="7"/>
  <c r="G17" i="7"/>
  <c r="G125" i="7"/>
  <c r="F17" i="7"/>
  <c r="F125" i="7"/>
  <c r="E17" i="7"/>
  <c r="E125" i="7"/>
  <c r="D17" i="7"/>
  <c r="D125" i="7"/>
  <c r="C17" i="7"/>
  <c r="C125" i="7"/>
  <c r="B125" i="7"/>
  <c r="L25" i="7"/>
  <c r="L124" i="7"/>
  <c r="K25" i="7"/>
  <c r="K124" i="7"/>
  <c r="J25" i="7"/>
  <c r="J124" i="7"/>
  <c r="I25" i="7"/>
  <c r="I124" i="7"/>
  <c r="H25" i="7"/>
  <c r="H124" i="7"/>
  <c r="G25" i="7"/>
  <c r="G124" i="7"/>
  <c r="F25" i="7"/>
  <c r="F124" i="7"/>
  <c r="E25" i="7"/>
  <c r="E124" i="7"/>
  <c r="D25" i="7"/>
  <c r="D124" i="7"/>
  <c r="C25" i="7"/>
  <c r="C124" i="7"/>
  <c r="B124" i="7"/>
  <c r="L46" i="7"/>
  <c r="L123" i="7"/>
  <c r="K46" i="7"/>
  <c r="K123" i="7"/>
  <c r="J46" i="7"/>
  <c r="J123" i="7"/>
  <c r="I46" i="7"/>
  <c r="I123" i="7"/>
  <c r="H46" i="7"/>
  <c r="H123" i="7"/>
  <c r="G46" i="7"/>
  <c r="G123" i="7"/>
  <c r="F46" i="7"/>
  <c r="F123" i="7"/>
  <c r="E46" i="7"/>
  <c r="E123" i="7"/>
  <c r="D46" i="7"/>
  <c r="D123" i="7"/>
  <c r="C46" i="7"/>
  <c r="C123" i="7"/>
  <c r="B123" i="7"/>
  <c r="L14" i="7"/>
  <c r="L122" i="7"/>
  <c r="K14" i="7"/>
  <c r="K122" i="7"/>
  <c r="J14" i="7"/>
  <c r="J122" i="7"/>
  <c r="I14" i="7"/>
  <c r="I122" i="7"/>
  <c r="H14" i="7"/>
  <c r="H122" i="7"/>
  <c r="G14" i="7"/>
  <c r="G122" i="7"/>
  <c r="F14" i="7"/>
  <c r="F122" i="7"/>
  <c r="E14" i="7"/>
  <c r="E122" i="7"/>
  <c r="D14" i="7"/>
  <c r="D122" i="7"/>
  <c r="C14" i="7"/>
  <c r="C122" i="7"/>
  <c r="B122" i="7"/>
  <c r="L12" i="7"/>
  <c r="L121" i="7"/>
  <c r="K12" i="7"/>
  <c r="K121" i="7"/>
  <c r="J12" i="7"/>
  <c r="J121" i="7"/>
  <c r="I12" i="7"/>
  <c r="I121" i="7"/>
  <c r="H12" i="7"/>
  <c r="H121" i="7"/>
  <c r="G12" i="7"/>
  <c r="G121" i="7"/>
  <c r="F12" i="7"/>
  <c r="F121" i="7"/>
  <c r="E12" i="7"/>
  <c r="E121" i="7"/>
  <c r="D12" i="7"/>
  <c r="D121" i="7"/>
  <c r="C12" i="7"/>
  <c r="C121" i="7"/>
  <c r="B121" i="7"/>
  <c r="L9" i="7"/>
  <c r="L120" i="7"/>
  <c r="K9" i="7"/>
  <c r="K120" i="7"/>
  <c r="J9" i="7"/>
  <c r="J120" i="7"/>
  <c r="I9" i="7"/>
  <c r="I120" i="7"/>
  <c r="H9" i="7"/>
  <c r="H120" i="7"/>
  <c r="G9" i="7"/>
  <c r="G120" i="7"/>
  <c r="F9" i="7"/>
  <c r="F120" i="7"/>
  <c r="E9" i="7"/>
  <c r="E120" i="7"/>
  <c r="D9" i="7"/>
  <c r="D120" i="7"/>
  <c r="C9" i="7"/>
  <c r="C120" i="7"/>
  <c r="B120" i="7"/>
  <c r="B119" i="7"/>
  <c r="H115" i="7"/>
  <c r="G115" i="7"/>
  <c r="Q86" i="7"/>
  <c r="F115" i="7"/>
  <c r="P86" i="7"/>
  <c r="E115" i="7"/>
  <c r="O86" i="7"/>
  <c r="D115" i="7"/>
  <c r="N86" i="7"/>
  <c r="C115" i="7"/>
  <c r="H113" i="7"/>
  <c r="G113" i="7"/>
  <c r="Q64" i="7"/>
  <c r="F113" i="7"/>
  <c r="P64" i="7"/>
  <c r="E113" i="7"/>
  <c r="O64" i="7"/>
  <c r="D113" i="7"/>
  <c r="N64" i="7"/>
  <c r="C113" i="7"/>
  <c r="H112" i="7"/>
  <c r="G112" i="7"/>
  <c r="Q20" i="7"/>
  <c r="F112" i="7"/>
  <c r="P20" i="7"/>
  <c r="E112" i="7"/>
  <c r="O20" i="7"/>
  <c r="D112" i="7"/>
  <c r="N20" i="7"/>
  <c r="C112" i="7"/>
  <c r="H111" i="7"/>
  <c r="G111" i="7"/>
  <c r="Q23" i="7"/>
  <c r="F111" i="7"/>
  <c r="P23" i="7"/>
  <c r="E111" i="7"/>
  <c r="O23" i="7"/>
  <c r="D111" i="7"/>
  <c r="N23" i="7"/>
  <c r="C111" i="7"/>
  <c r="H110" i="7"/>
  <c r="G110" i="7"/>
  <c r="Q66" i="7"/>
  <c r="F110" i="7"/>
  <c r="P66" i="7"/>
  <c r="E110" i="7"/>
  <c r="O66" i="7"/>
  <c r="D110" i="7"/>
  <c r="N66" i="7"/>
  <c r="C110" i="7"/>
  <c r="H109" i="7"/>
  <c r="G109" i="7"/>
  <c r="Q49" i="7"/>
  <c r="F109" i="7"/>
  <c r="P49" i="7"/>
  <c r="E109" i="7"/>
  <c r="O49" i="7"/>
  <c r="D109" i="7"/>
  <c r="N49" i="7"/>
  <c r="C109" i="7"/>
  <c r="H108" i="7"/>
  <c r="G108" i="7"/>
  <c r="Q61" i="7"/>
  <c r="F108" i="7"/>
  <c r="P61" i="7"/>
  <c r="E108" i="7"/>
  <c r="O61" i="7"/>
  <c r="D108" i="7"/>
  <c r="N61" i="7"/>
  <c r="C108" i="7"/>
  <c r="H107" i="7"/>
  <c r="G107" i="7"/>
  <c r="Q68" i="7"/>
  <c r="F107" i="7"/>
  <c r="P68" i="7"/>
  <c r="E107" i="7"/>
  <c r="O68" i="7"/>
  <c r="D107" i="7"/>
  <c r="N68" i="7"/>
  <c r="C107" i="7"/>
  <c r="H106" i="7"/>
  <c r="G106" i="7"/>
  <c r="Q72" i="7"/>
  <c r="F106" i="7"/>
  <c r="P72" i="7"/>
  <c r="E106" i="7"/>
  <c r="O72" i="7"/>
  <c r="D106" i="7"/>
  <c r="N72" i="7"/>
  <c r="C106" i="7"/>
  <c r="H105" i="7"/>
  <c r="G105" i="7"/>
  <c r="Q70" i="7"/>
  <c r="F105" i="7"/>
  <c r="P70" i="7"/>
  <c r="E105" i="7"/>
  <c r="O70" i="7"/>
  <c r="D105" i="7"/>
  <c r="N70" i="7"/>
  <c r="C105" i="7"/>
  <c r="H104" i="7"/>
  <c r="G104" i="7"/>
  <c r="Q58" i="7"/>
  <c r="F104" i="7"/>
  <c r="P58" i="7"/>
  <c r="E104" i="7"/>
  <c r="O58" i="7"/>
  <c r="D104" i="7"/>
  <c r="N58" i="7"/>
  <c r="C104" i="7"/>
  <c r="H103" i="7"/>
  <c r="G103" i="7"/>
  <c r="Q51" i="7"/>
  <c r="F103" i="7"/>
  <c r="P51" i="7"/>
  <c r="E103" i="7"/>
  <c r="O51" i="7"/>
  <c r="D103" i="7"/>
  <c r="N51" i="7"/>
  <c r="C103" i="7"/>
  <c r="H102" i="7"/>
  <c r="G102" i="7"/>
  <c r="Q44" i="7"/>
  <c r="F102" i="7"/>
  <c r="P44" i="7"/>
  <c r="E102" i="7"/>
  <c r="O44" i="7"/>
  <c r="D102" i="7"/>
  <c r="N44" i="7"/>
  <c r="C102" i="7"/>
  <c r="H101" i="7"/>
  <c r="G101" i="7"/>
  <c r="Q41" i="7"/>
  <c r="F101" i="7"/>
  <c r="P41" i="7"/>
  <c r="E101" i="7"/>
  <c r="O41" i="7"/>
  <c r="D101" i="7"/>
  <c r="N41" i="7"/>
  <c r="C101" i="7"/>
  <c r="H100" i="7"/>
  <c r="G100" i="7"/>
  <c r="Q37" i="7"/>
  <c r="F100" i="7"/>
  <c r="P37" i="7"/>
  <c r="E100" i="7"/>
  <c r="O37" i="7"/>
  <c r="D100" i="7"/>
  <c r="N37" i="7"/>
  <c r="C100" i="7"/>
  <c r="H99" i="7"/>
  <c r="G99" i="7"/>
  <c r="Q39" i="7"/>
  <c r="F99" i="7"/>
  <c r="P39" i="7"/>
  <c r="E99" i="7"/>
  <c r="O39" i="7"/>
  <c r="D99" i="7"/>
  <c r="N39" i="7"/>
  <c r="C99" i="7"/>
  <c r="H98" i="7"/>
  <c r="G98" i="7"/>
  <c r="Q35" i="7"/>
  <c r="F98" i="7"/>
  <c r="P35" i="7"/>
  <c r="E98" i="7"/>
  <c r="O35" i="7"/>
  <c r="D98" i="7"/>
  <c r="N35" i="7"/>
  <c r="C98" i="7"/>
  <c r="H97" i="7"/>
  <c r="G97" i="7"/>
  <c r="Q17" i="7"/>
  <c r="F97" i="7"/>
  <c r="P17" i="7"/>
  <c r="E97" i="7"/>
  <c r="O17" i="7"/>
  <c r="D97" i="7"/>
  <c r="N17" i="7"/>
  <c r="C97" i="7"/>
  <c r="H96" i="7"/>
  <c r="G96" i="7"/>
  <c r="Q25" i="7"/>
  <c r="F96" i="7"/>
  <c r="P25" i="7"/>
  <c r="E96" i="7"/>
  <c r="O25" i="7"/>
  <c r="D96" i="7"/>
  <c r="N25" i="7"/>
  <c r="C96" i="7"/>
  <c r="H95" i="7"/>
  <c r="G95" i="7"/>
  <c r="Q46" i="7"/>
  <c r="F95" i="7"/>
  <c r="P46" i="7"/>
  <c r="E95" i="7"/>
  <c r="O46" i="7"/>
  <c r="D95" i="7"/>
  <c r="N46" i="7"/>
  <c r="C95" i="7"/>
  <c r="H94" i="7"/>
  <c r="G94" i="7"/>
  <c r="Q14" i="7"/>
  <c r="F94" i="7"/>
  <c r="P14" i="7"/>
  <c r="E94" i="7"/>
  <c r="O14" i="7"/>
  <c r="D94" i="7"/>
  <c r="N14" i="7"/>
  <c r="C94" i="7"/>
  <c r="H93" i="7"/>
  <c r="G93" i="7"/>
  <c r="Q12" i="7"/>
  <c r="F93" i="7"/>
  <c r="P12" i="7"/>
  <c r="E93" i="7"/>
  <c r="O12" i="7"/>
  <c r="D93" i="7"/>
  <c r="N12" i="7"/>
  <c r="C93" i="7"/>
  <c r="H92" i="7"/>
  <c r="G92" i="7"/>
  <c r="Q9" i="7"/>
  <c r="F92" i="7"/>
  <c r="P9" i="7"/>
  <c r="E92" i="7"/>
  <c r="O9" i="7"/>
  <c r="D92" i="7"/>
  <c r="N9" i="7"/>
  <c r="C92" i="7"/>
  <c r="H91" i="7"/>
  <c r="G91" i="7"/>
  <c r="Q7" i="7"/>
  <c r="F91" i="7"/>
  <c r="P7" i="7"/>
  <c r="E91" i="7"/>
  <c r="O7" i="7"/>
  <c r="D91" i="7"/>
  <c r="N7" i="7"/>
  <c r="C91" i="7"/>
  <c r="Q4" i="7"/>
  <c r="Q82" i="7"/>
  <c r="P4" i="7"/>
  <c r="P82" i="7"/>
  <c r="O4" i="7"/>
  <c r="O82" i="7"/>
  <c r="N4" i="7"/>
  <c r="N82" i="7"/>
  <c r="L82" i="7"/>
  <c r="K4" i="7"/>
  <c r="K82" i="7"/>
  <c r="J4" i="7"/>
  <c r="J82" i="7"/>
  <c r="I4" i="7"/>
  <c r="I82" i="7"/>
  <c r="H4" i="7"/>
  <c r="H82" i="7"/>
  <c r="G4" i="7"/>
  <c r="G82" i="7"/>
  <c r="F4" i="7"/>
  <c r="F82" i="7"/>
  <c r="E4" i="7"/>
  <c r="E82" i="7"/>
  <c r="D4" i="7"/>
  <c r="D82" i="7"/>
  <c r="C4" i="7"/>
  <c r="C82" i="7"/>
  <c r="L62" i="7"/>
  <c r="L73" i="7"/>
  <c r="L78" i="7"/>
  <c r="K62" i="7"/>
  <c r="K73" i="7"/>
  <c r="K78" i="7"/>
  <c r="J62" i="7"/>
  <c r="J73" i="7"/>
  <c r="J78" i="7"/>
  <c r="I62" i="7"/>
  <c r="I73" i="7"/>
  <c r="I78" i="7"/>
  <c r="H62" i="7"/>
  <c r="H73" i="7"/>
  <c r="H78" i="7"/>
  <c r="G62" i="7"/>
  <c r="G73" i="7"/>
  <c r="G78" i="7"/>
  <c r="F62" i="7"/>
  <c r="F73" i="7"/>
  <c r="F78" i="7"/>
  <c r="E62" i="7"/>
  <c r="E73" i="7"/>
  <c r="E78" i="7"/>
  <c r="D62" i="7"/>
  <c r="D73" i="7"/>
  <c r="D78" i="7"/>
  <c r="C62" i="7"/>
  <c r="C73" i="7"/>
  <c r="C78" i="7"/>
  <c r="B72" i="7"/>
  <c r="B70" i="7"/>
  <c r="B68" i="7"/>
  <c r="B61" i="7"/>
  <c r="B58" i="7"/>
  <c r="B51" i="7"/>
  <c r="B49" i="7"/>
  <c r="B46" i="7"/>
  <c r="B44" i="7"/>
  <c r="B41" i="7"/>
  <c r="B39" i="7"/>
  <c r="B37" i="7"/>
  <c r="B35" i="7"/>
  <c r="Q31" i="7"/>
  <c r="P31" i="7"/>
  <c r="O31" i="7"/>
  <c r="N31" i="7"/>
  <c r="L31" i="7"/>
  <c r="K31" i="7"/>
  <c r="J31" i="7"/>
  <c r="I31" i="7"/>
  <c r="H31" i="7"/>
  <c r="G31" i="7"/>
  <c r="F31" i="7"/>
  <c r="E31" i="7"/>
  <c r="D31" i="7"/>
  <c r="C31" i="7"/>
  <c r="L27" i="7"/>
  <c r="K27" i="7"/>
  <c r="J27" i="7"/>
  <c r="I27" i="7"/>
  <c r="H27" i="7"/>
  <c r="G27" i="7"/>
  <c r="F27" i="7"/>
  <c r="E27" i="7"/>
  <c r="D27" i="7"/>
  <c r="C27" i="7"/>
  <c r="B25" i="7"/>
  <c r="B17" i="7"/>
  <c r="B14" i="7"/>
  <c r="B12" i="7"/>
  <c r="B9" i="7"/>
  <c r="I11" i="3"/>
  <c r="E4" i="3"/>
  <c r="F4" i="3"/>
  <c r="G4" i="3"/>
  <c r="H4" i="3"/>
  <c r="I4" i="3"/>
  <c r="J11" i="3"/>
  <c r="J4" i="3"/>
  <c r="M11" i="3"/>
  <c r="K4" i="3"/>
  <c r="L4" i="3"/>
  <c r="M4" i="3"/>
  <c r="C17" i="3"/>
  <c r="D11" i="3"/>
  <c r="C16" i="3"/>
  <c r="D3" i="3"/>
  <c r="E3" i="3"/>
  <c r="F3" i="3"/>
  <c r="G3" i="3"/>
  <c r="H3" i="3"/>
  <c r="I3" i="3"/>
  <c r="J3" i="3"/>
  <c r="K3" i="3"/>
  <c r="L3" i="3"/>
  <c r="M3" i="3"/>
  <c r="N3" i="3"/>
  <c r="N4" i="3"/>
  <c r="E5" i="3"/>
  <c r="F5" i="3"/>
  <c r="G5" i="3"/>
  <c r="H5" i="3"/>
  <c r="I5" i="3"/>
  <c r="J5" i="3"/>
  <c r="K5" i="3"/>
  <c r="L5" i="3"/>
  <c r="M5" i="3"/>
  <c r="N5" i="3"/>
  <c r="E11" i="3"/>
  <c r="F11" i="3"/>
  <c r="G11" i="3"/>
  <c r="H11" i="3"/>
  <c r="K11" i="3"/>
  <c r="L11" i="3"/>
  <c r="N11" i="3"/>
  <c r="H18" i="3"/>
  <c r="H67" i="2"/>
  <c r="I67" i="2"/>
  <c r="J67" i="2"/>
  <c r="D62" i="2"/>
  <c r="E62" i="2"/>
  <c r="H62" i="2"/>
  <c r="I62" i="2"/>
  <c r="J62" i="2"/>
  <c r="F62" i="2"/>
  <c r="G62" i="2"/>
  <c r="K62" i="2"/>
  <c r="G42" i="2"/>
  <c r="I42" i="2"/>
  <c r="H42" i="2"/>
  <c r="I40" i="2"/>
  <c r="G43" i="2"/>
  <c r="I43" i="2"/>
  <c r="H43" i="2"/>
  <c r="G44" i="2"/>
  <c r="I44" i="2"/>
  <c r="H44" i="2"/>
  <c r="G45" i="2"/>
  <c r="I45" i="2"/>
  <c r="H45" i="2"/>
  <c r="G46" i="2"/>
  <c r="I46" i="2"/>
  <c r="H46" i="2"/>
  <c r="G47" i="2"/>
  <c r="I47" i="2"/>
  <c r="H47" i="2"/>
  <c r="G48" i="2"/>
  <c r="I48" i="2"/>
  <c r="H48" i="2"/>
  <c r="G49" i="2"/>
  <c r="I49" i="2"/>
  <c r="H49" i="2"/>
  <c r="G50" i="2"/>
  <c r="I50" i="2"/>
  <c r="H50" i="2"/>
  <c r="G51" i="2"/>
  <c r="I51" i="2"/>
  <c r="H51" i="2"/>
  <c r="G52" i="2"/>
  <c r="I52" i="2"/>
  <c r="H52" i="2"/>
  <c r="G53" i="2"/>
  <c r="I53" i="2"/>
  <c r="H53" i="2"/>
  <c r="G54" i="2"/>
  <c r="I54" i="2"/>
  <c r="H54" i="2"/>
  <c r="G55" i="2"/>
  <c r="I55" i="2"/>
  <c r="H55" i="2"/>
  <c r="G56" i="2"/>
  <c r="I56" i="2"/>
  <c r="H56" i="2"/>
  <c r="G57" i="2"/>
  <c r="I57" i="2"/>
  <c r="H57" i="2"/>
  <c r="H59" i="2"/>
  <c r="L42" i="2"/>
  <c r="B43" i="2"/>
  <c r="L43" i="2"/>
  <c r="B44" i="2"/>
  <c r="L44" i="2"/>
  <c r="B45" i="2"/>
  <c r="L45" i="2"/>
  <c r="B46" i="2"/>
  <c r="L46" i="2"/>
  <c r="B47" i="2"/>
  <c r="L47" i="2"/>
  <c r="B48" i="2"/>
  <c r="L48" i="2"/>
  <c r="B49" i="2"/>
  <c r="L49" i="2"/>
  <c r="B50" i="2"/>
  <c r="L50" i="2"/>
  <c r="B51" i="2"/>
  <c r="L51" i="2"/>
  <c r="B52" i="2"/>
  <c r="L52" i="2"/>
  <c r="B53" i="2"/>
  <c r="L53" i="2"/>
  <c r="B54" i="2"/>
  <c r="L54" i="2"/>
  <c r="B55" i="2"/>
  <c r="L55" i="2"/>
  <c r="B56" i="2"/>
  <c r="L56" i="2"/>
  <c r="B57" i="2"/>
  <c r="L57" i="2"/>
  <c r="L59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9" i="2"/>
  <c r="I59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11" i="2"/>
  <c r="C12" i="2"/>
  <c r="C20" i="2"/>
  <c r="F30" i="2"/>
  <c r="E29" i="2"/>
  <c r="E30" i="2"/>
  <c r="D29" i="2"/>
  <c r="D30" i="2"/>
  <c r="C30" i="2"/>
  <c r="B12" i="2"/>
  <c r="B30" i="2"/>
  <c r="C23" i="2"/>
  <c r="F29" i="2"/>
  <c r="B11" i="2"/>
  <c r="B29" i="2"/>
  <c r="H20" i="2"/>
  <c r="C14" i="2"/>
  <c r="H18" i="2"/>
  <c r="H21" i="2"/>
  <c r="H23" i="2"/>
  <c r="H25" i="2"/>
  <c r="H27" i="2"/>
  <c r="G20" i="2"/>
  <c r="G18" i="2"/>
  <c r="G21" i="2"/>
  <c r="G23" i="2"/>
  <c r="G25" i="2"/>
  <c r="G27" i="2"/>
  <c r="F20" i="2"/>
  <c r="F18" i="2"/>
  <c r="F21" i="2"/>
  <c r="F23" i="2"/>
  <c r="F25" i="2"/>
  <c r="F27" i="2"/>
  <c r="E20" i="2"/>
  <c r="E18" i="2"/>
  <c r="E21" i="2"/>
  <c r="E23" i="2"/>
  <c r="E25" i="2"/>
  <c r="E27" i="2"/>
  <c r="D20" i="2"/>
  <c r="D18" i="2"/>
  <c r="D21" i="2"/>
  <c r="D23" i="2"/>
  <c r="D25" i="2"/>
  <c r="D27" i="2"/>
  <c r="C18" i="2"/>
  <c r="C21" i="2"/>
  <c r="C25" i="2"/>
  <c r="C27" i="2"/>
  <c r="H24" i="2"/>
  <c r="G24" i="2"/>
  <c r="F24" i="2"/>
  <c r="E24" i="2"/>
  <c r="D24" i="2"/>
  <c r="C24" i="2"/>
  <c r="D9" i="2"/>
  <c r="B10" i="2"/>
  <c r="B8" i="2"/>
  <c r="D9" i="1"/>
  <c r="C9" i="1"/>
  <c r="D23" i="1"/>
  <c r="D24" i="1"/>
  <c r="D25" i="1"/>
  <c r="C25" i="1"/>
  <c r="B9" i="1"/>
  <c r="A5" i="1"/>
  <c r="D63" i="2"/>
  <c r="N40" i="2"/>
  <c r="N43" i="2"/>
  <c r="N42" i="2"/>
  <c r="O43" i="2"/>
  <c r="R43" i="2"/>
  <c r="N44" i="2"/>
  <c r="O44" i="2"/>
  <c r="R44" i="2"/>
  <c r="N45" i="2"/>
  <c r="O45" i="2"/>
  <c r="R45" i="2"/>
  <c r="N46" i="2"/>
  <c r="O46" i="2"/>
  <c r="R46" i="2"/>
  <c r="N47" i="2"/>
  <c r="O47" i="2"/>
  <c r="R47" i="2"/>
  <c r="N48" i="2"/>
  <c r="O48" i="2"/>
  <c r="R48" i="2"/>
  <c r="N49" i="2"/>
  <c r="O49" i="2"/>
  <c r="R49" i="2"/>
  <c r="N50" i="2"/>
  <c r="O50" i="2"/>
  <c r="R50" i="2"/>
  <c r="N51" i="2"/>
  <c r="O51" i="2"/>
  <c r="R51" i="2"/>
  <c r="N52" i="2"/>
  <c r="O52" i="2"/>
  <c r="R52" i="2"/>
  <c r="N53" i="2"/>
  <c r="O53" i="2"/>
  <c r="R53" i="2"/>
  <c r="N54" i="2"/>
  <c r="O54" i="2"/>
  <c r="R54" i="2"/>
  <c r="N55" i="2"/>
  <c r="O55" i="2"/>
  <c r="R55" i="2"/>
  <c r="N56" i="2"/>
  <c r="O56" i="2"/>
  <c r="R56" i="2"/>
  <c r="N57" i="2"/>
  <c r="O57" i="2"/>
  <c r="R57" i="2"/>
  <c r="O42" i="2"/>
  <c r="O59" i="2"/>
  <c r="R42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9" i="2"/>
  <c r="R59" i="2"/>
  <c r="N59" i="2"/>
  <c r="N60" i="2"/>
  <c r="E63" i="2"/>
  <c r="H63" i="2"/>
  <c r="F63" i="2"/>
  <c r="G63" i="2"/>
  <c r="I63" i="2"/>
  <c r="J63" i="2"/>
  <c r="K63" i="2"/>
  <c r="E64" i="2"/>
  <c r="F64" i="2"/>
  <c r="G64" i="2"/>
  <c r="H64" i="2"/>
  <c r="I64" i="2"/>
  <c r="J64" i="2"/>
  <c r="I68" i="2"/>
  <c r="H68" i="2"/>
  <c r="J68" i="2"/>
  <c r="C51" i="3"/>
  <c r="D36" i="3" a="1"/>
  <c r="D36" i="3"/>
  <c r="E36" i="3"/>
  <c r="F36" i="3"/>
  <c r="D37" i="3"/>
  <c r="E37" i="3"/>
  <c r="F37" i="3"/>
  <c r="D38" i="3"/>
  <c r="E38" i="3"/>
  <c r="F38" i="3"/>
  <c r="D39" i="3"/>
  <c r="E39" i="3"/>
  <c r="F39" i="3"/>
  <c r="D40" i="3"/>
  <c r="E40" i="3"/>
  <c r="F40" i="3"/>
  <c r="D41" i="3"/>
  <c r="E41" i="3"/>
  <c r="F41" i="3"/>
  <c r="D42" i="3"/>
  <c r="E42" i="3"/>
  <c r="F42" i="3"/>
  <c r="D43" i="3"/>
  <c r="E43" i="3"/>
  <c r="F43" i="3"/>
  <c r="D44" i="3"/>
  <c r="E44" i="3"/>
  <c r="F44" i="3"/>
  <c r="D45" i="3"/>
  <c r="E45" i="3"/>
  <c r="F45" i="3"/>
  <c r="D46" i="3"/>
  <c r="E46" i="3"/>
  <c r="F46" i="3"/>
  <c r="D47" i="3"/>
  <c r="E47" i="3"/>
  <c r="F47" i="3"/>
  <c r="D48" i="3"/>
  <c r="E48" i="3"/>
  <c r="F48" i="3"/>
  <c r="D49" i="3"/>
  <c r="E49" i="3"/>
  <c r="F49" i="3"/>
  <c r="D50" i="3"/>
  <c r="E50" i="3"/>
  <c r="F50" i="3"/>
  <c r="D51" i="3"/>
  <c r="E51" i="3"/>
  <c r="F51" i="3"/>
  <c r="E43" i="8" a="1"/>
  <c r="E43" i="8"/>
  <c r="F43" i="8"/>
  <c r="G43" i="8"/>
  <c r="E44" i="8" a="1"/>
  <c r="E44" i="8"/>
  <c r="F44" i="8"/>
  <c r="G44" i="8"/>
  <c r="E45" i="8"/>
  <c r="E47" i="8"/>
  <c r="E48" i="8"/>
  <c r="G56" i="8"/>
  <c r="E57" i="8"/>
  <c r="F57" i="8"/>
  <c r="E58" i="8"/>
  <c r="F58" i="8"/>
  <c r="E59" i="8"/>
  <c r="F59" i="8"/>
  <c r="E60" i="8"/>
  <c r="F60" i="8"/>
  <c r="E61" i="8"/>
  <c r="F61" i="8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</calcChain>
</file>

<file path=xl/comments1.xml><?xml version="1.0" encoding="utf-8"?>
<comments xmlns="http://schemas.openxmlformats.org/spreadsheetml/2006/main">
  <authors>
    <author>Rafael Nicolas Fermin Cota</author>
  </authors>
  <commentList>
    <comment ref="A1" authorId="0">
      <text>
        <r>
          <rPr>
            <b/>
            <sz val="9"/>
            <color indexed="81"/>
            <rFont val="Calibri"/>
            <family val="2"/>
          </rPr>
          <t>Rafael Nicolas Fermin Cota:</t>
        </r>
        <r>
          <rPr>
            <sz val="9"/>
            <color indexed="81"/>
            <rFont val="Calibri"/>
            <family val="2"/>
          </rPr>
          <t xml:space="preserve">
In brief, the method is as follows:
1. Start with an equation of the form: x² + bx = c, where b and c are given values, and we wish to find x.
2. Draw a square of length x, representing the x² term.
3. Draw two rectangles of sides x and b/2, representing the bx term
4. Arrange the three shapes to form a chunky L shape (see spreadsheet below)
5. “Complete the square” by adding an area of (b/2)² to both sides of the equation
6. Take the square root of both sides, giving (x + b/2) = √(c + (b/2)²)
7. Rearrange, giving x = √(c + (b/2)²) – b/2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1" authorId="0">
      <text>
        <r>
          <rPr>
            <sz val="9"/>
            <color indexed="81"/>
            <rFont val="Tahoma"/>
            <family val="2"/>
          </rPr>
          <t>'A Must Read:
'http://www.gummy-stuff.org/Newton-Method.htm
'http://www.gummy-stuff.org/IRR2.htm
'http://www.gummy-stuff.org/XIRR-bug.htm
'http://www.gummy-stuff.org/multiple-returns.htm
'http://www.gummy-stuff.org/NPV.htm
'http://www.effas-ebc.org/fileadmin/presentations/Milan_June_2010/WMarty_The_IRR_Equation_and_its_multiple_solutions.pdf
'Optional Readings:
'http://www.gummy-stuff.org/loans.htm
'http://www.gummy-stuff.org/newton_explain.htm
'http://www.gummy-stuff.org/Rate-of-Return-2.htm
'http://www.gummy-stuff.org/Rate-of-Return-3.htm
'http://www.gummy-stuff.org/Rate-of-Return-4.htm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B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home</author>
  </authors>
  <commentList>
    <comment ref="B166" authorId="0">
      <text>
        <r>
          <rPr>
            <sz val="9"/>
            <color indexed="81"/>
            <rFont val="Tahoma"/>
            <family val="2"/>
          </rPr>
          <t>Use this switch to break the circ created by average interest expense on Income Statement</t>
        </r>
      </text>
    </comment>
  </commentList>
</comments>
</file>

<file path=xl/sharedStrings.xml><?xml version="1.0" encoding="utf-8"?>
<sst xmlns="http://schemas.openxmlformats.org/spreadsheetml/2006/main" count="441" uniqueCount="299">
  <si>
    <t>Solving a Quadratic Equation by Completing the Square</t>
  </si>
  <si>
    <r>
      <t xml:space="preserve">A MUST SEE: </t>
    </r>
    <r>
      <rPr>
        <sz val="10"/>
        <color rgb="FFFF0000"/>
        <rFont val="Courier New"/>
        <family val="3"/>
      </rPr>
      <t>http://www.khanacademy.org/math/trigonometry/polynomial_and_rational/quad_formula_tutorial/v/solving-quadratic-equations-by-completing-the-square</t>
    </r>
  </si>
  <si>
    <r>
      <t>To solve the quadratic equation:  aX</t>
    </r>
    <r>
      <rPr>
        <vertAlign val="super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 xml:space="preserve"> + bX + c = 0</t>
    </r>
  </si>
  <si>
    <r>
      <t>Rearrange as:  aX</t>
    </r>
    <r>
      <rPr>
        <vertAlign val="super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 xml:space="preserve"> + bX = -c</t>
    </r>
  </si>
  <si>
    <t>a</t>
  </si>
  <si>
    <t>b</t>
  </si>
  <si>
    <t>c</t>
  </si>
  <si>
    <t>Divide by a:</t>
  </si>
  <si>
    <t>b/a</t>
  </si>
  <si>
    <t>c/a</t>
  </si>
  <si>
    <t>Consider a square of side length X (blue line)</t>
  </si>
  <si>
    <t>Plus two rectangles  of side lengths X and b/2a (red line)</t>
  </si>
  <si>
    <t>And a square of side length b/2a (green line)</t>
  </si>
  <si>
    <r>
      <rPr>
        <sz val="10"/>
        <color theme="4"/>
        <rFont val="Courier New"/>
        <family val="3"/>
      </rPr>
      <t>Then the area of the blue square</t>
    </r>
    <r>
      <rPr>
        <sz val="10"/>
        <color theme="1"/>
        <rFont val="Courier New"/>
        <family val="3"/>
      </rPr>
      <t xml:space="preserve"> + </t>
    </r>
    <r>
      <rPr>
        <sz val="10"/>
        <color rgb="FFFF0000"/>
        <rFont val="Courier New"/>
        <family val="3"/>
      </rPr>
      <t>red rectangles</t>
    </r>
    <r>
      <rPr>
        <sz val="10"/>
        <color theme="1"/>
        <rFont val="Courier New"/>
        <family val="3"/>
      </rPr>
      <t xml:space="preserve"> </t>
    </r>
    <r>
      <rPr>
        <b/>
        <sz val="10"/>
        <color theme="1"/>
        <rFont val="Courier New"/>
        <family val="3"/>
      </rPr>
      <t>= X</t>
    </r>
    <r>
      <rPr>
        <b/>
        <vertAlign val="superscript"/>
        <sz val="10"/>
        <color theme="1"/>
        <rFont val="Courier New"/>
        <family val="3"/>
      </rPr>
      <t>2</t>
    </r>
    <r>
      <rPr>
        <b/>
        <sz val="10"/>
        <color theme="1"/>
        <rFont val="Courier New"/>
        <family val="3"/>
      </rPr>
      <t xml:space="preserve"> + 2(b/2a)X = -c/a</t>
    </r>
  </si>
  <si>
    <r>
      <t>Hence equating the area of the outer square of side (X + b/2a) to the area (-c/a +</t>
    </r>
    <r>
      <rPr>
        <sz val="10"/>
        <color theme="6"/>
        <rFont val="Courier New"/>
        <family val="3"/>
      </rPr>
      <t xml:space="preserve"> </t>
    </r>
    <r>
      <rPr>
        <b/>
        <sz val="10"/>
        <color theme="6"/>
        <rFont val="Courier New"/>
        <family val="3"/>
      </rPr>
      <t>area of green square</t>
    </r>
    <r>
      <rPr>
        <sz val="10"/>
        <color theme="1"/>
        <rFont val="Courier New"/>
        <family val="3"/>
      </rPr>
      <t>):</t>
    </r>
  </si>
  <si>
    <r>
      <t xml:space="preserve"> (X + (b/2a))</t>
    </r>
    <r>
      <rPr>
        <vertAlign val="super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 xml:space="preserve"> = -c/a + (b/2a)</t>
    </r>
    <r>
      <rPr>
        <vertAlign val="superscript"/>
        <sz val="12"/>
        <color theme="1"/>
        <rFont val="Courier New"/>
        <family val="3"/>
      </rPr>
      <t>2</t>
    </r>
  </si>
  <si>
    <r>
      <t xml:space="preserve"> X + (b/2a) = ±(-c/a + (b/2a)</t>
    </r>
    <r>
      <rPr>
        <vertAlign val="super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)</t>
    </r>
    <r>
      <rPr>
        <vertAlign val="superscript"/>
        <sz val="12"/>
        <color theme="1"/>
        <rFont val="Courier New"/>
        <family val="3"/>
      </rPr>
      <t>0.5</t>
    </r>
  </si>
  <si>
    <r>
      <t xml:space="preserve"> X  = -(b/2a) ±(-c/a + (b/2a)</t>
    </r>
    <r>
      <rPr>
        <vertAlign val="super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)</t>
    </r>
    <r>
      <rPr>
        <vertAlign val="superscript"/>
        <sz val="12"/>
        <color theme="1"/>
        <rFont val="Courier New"/>
        <family val="3"/>
      </rPr>
      <t>0.5</t>
    </r>
  </si>
  <si>
    <t>Which can be rearranged as the usual quadratic formula:</t>
  </si>
  <si>
    <r>
      <t xml:space="preserve"> X  = (-b ± (b</t>
    </r>
    <r>
      <rPr>
        <vertAlign val="superscript"/>
        <sz val="12"/>
        <color theme="1"/>
        <rFont val="Courier New"/>
        <family val="3"/>
      </rPr>
      <t xml:space="preserve">2 </t>
    </r>
    <r>
      <rPr>
        <sz val="12"/>
        <color theme="1"/>
        <rFont val="Courier New"/>
        <family val="3"/>
      </rPr>
      <t>- 4ac)</t>
    </r>
    <r>
      <rPr>
        <vertAlign val="superscript"/>
        <sz val="12"/>
        <color theme="1"/>
        <rFont val="Courier New"/>
        <family val="3"/>
      </rPr>
      <t>0.5</t>
    </r>
    <r>
      <rPr>
        <sz val="12"/>
        <color theme="1"/>
        <rFont val="Courier New"/>
        <family val="3"/>
      </rPr>
      <t>) / 2a</t>
    </r>
  </si>
  <si>
    <t>For example</t>
  </si>
  <si>
    <t>( X+ b/2a)^2 =</t>
  </si>
  <si>
    <t xml:space="preserve"> X + b/2a = ±</t>
  </si>
  <si>
    <t xml:space="preserve">X = </t>
  </si>
  <si>
    <t>NOMINAL AND EFFECTIVE RETURNS</t>
  </si>
  <si>
    <t>A Must Read:</t>
  </si>
  <si>
    <t>http://www.gummy-stuff.org/misc-stuff.htm</t>
  </si>
  <si>
    <t>http://www.gummy-stuff.org/petrovski.htm</t>
  </si>
  <si>
    <t>Invested Capital</t>
  </si>
  <si>
    <t>Compounding</t>
  </si>
  <si>
    <t>Years</t>
  </si>
  <si>
    <t>Periods</t>
  </si>
  <si>
    <t>Nominal Rate</t>
  </si>
  <si>
    <t>FV</t>
  </si>
  <si>
    <t>Effective Rate</t>
  </si>
  <si>
    <t>Check</t>
  </si>
  <si>
    <t>IRR, XIRR, NPV, XNPV</t>
  </si>
  <si>
    <t>http://www.gummy-stuff.org/IRR.htm</t>
  </si>
  <si>
    <t>http://www.gummy-stuff.org/xirr.htm</t>
  </si>
  <si>
    <t>http://www.gummy-stuff.org/XIRR-stuff.htm</t>
  </si>
  <si>
    <t>PV</t>
  </si>
  <si>
    <t>Type</t>
  </si>
  <si>
    <t>BASE</t>
  </si>
  <si>
    <t>C1: Effective IRR</t>
  </si>
  <si>
    <t>C12: Effective IRR</t>
  </si>
  <si>
    <t>FV (Effective)</t>
  </si>
  <si>
    <t>C1: Nominal IRR</t>
  </si>
  <si>
    <t>C12: Nominal IRR</t>
  </si>
  <si>
    <t>FV (Nominal)</t>
  </si>
  <si>
    <t>DIFF</t>
  </si>
  <si>
    <t>C12 Effective IRR</t>
  </si>
  <si>
    <t>C1 Effective IRR</t>
  </si>
  <si>
    <t xml:space="preserve">f(x) = </t>
  </si>
  <si>
    <t xml:space="preserve">f '(x) = </t>
  </si>
  <si>
    <t>x</t>
  </si>
  <si>
    <t>f(x)</t>
  </si>
  <si>
    <t>f '(x)</t>
  </si>
  <si>
    <t>dx =</t>
  </si>
  <si>
    <t>from x =</t>
  </si>
  <si>
    <t>to x =</t>
  </si>
  <si>
    <t xml:space="preserve">If you picked a "good" initial x-value, </t>
  </si>
  <si>
    <t xml:space="preserve">then IRR should be here --- &gt;&gt;&gt;   </t>
  </si>
  <si>
    <t>CONTROL</t>
  </si>
  <si>
    <t>Guess Value</t>
  </si>
  <si>
    <t>Cash Flows &amp; IRR</t>
  </si>
  <si>
    <t>Subordinated Notes</t>
  </si>
  <si>
    <t>Initial Investment</t>
  </si>
  <si>
    <t>Cash Interest</t>
  </si>
  <si>
    <t>Repayment</t>
  </si>
  <si>
    <t>Principal</t>
  </si>
  <si>
    <t>Participation on Exit</t>
  </si>
  <si>
    <t>IRR</t>
  </si>
  <si>
    <t>Newton's Method</t>
  </si>
  <si>
    <t>'-------------------------------------------------------------------------------</t>
  </si>
  <si>
    <t>'Optional Reading:</t>
  </si>
  <si>
    <t>http://www.effas-ebc.org/fileadmin/presentations/Milan_June_2010/WMarty_The_IRR_Equation_and_its_multiple_solutions.pdf</t>
  </si>
  <si>
    <t>Newton's Solver Method</t>
  </si>
  <si>
    <t xml:space="preserve"> </t>
  </si>
  <si>
    <t>Folks,</t>
  </si>
  <si>
    <t>The genesis for this lesson stemmed from my own personal experiences building fundamental algorithms</t>
  </si>
  <si>
    <t>for Risk Arbitrage purpose.  It requires applying optimization techniques to improve the quality of</t>
  </si>
  <si>
    <t>the platform. As you all go through the rigorous process of learning how to solve for optimization</t>
  </si>
  <si>
    <t>problems algorithmically, you will realize that most of the literature of Corporate Finance is a step</t>
  </si>
  <si>
    <t>remove from the supporting math by which investors gauge the attractiveness of a potential deal. Many</t>
  </si>
  <si>
    <t>seasoned investment bankers commonly lament the absence of relevant and practical "how-to" math materials</t>
  </si>
  <si>
    <t>for solving the IRR of a transaction analytically.</t>
  </si>
  <si>
    <t>Further, due to the lack of a comprehensive written reference material on the codes behind iterations,</t>
  </si>
  <si>
    <t>circular reference and the IRR function in Microsoft Excel, the fundamentals and subtlety of the math</t>
  </si>
  <si>
    <t>how to build a cash flow systematically to get the Pro-Formance Financial done algorithmically and performing</t>
  </si>
  <si>
    <t>sensitivity analysis on the key drivers of the valuation methodologies without relying on Excel. The</t>
  </si>
  <si>
    <t>problem with Excel is that sometime the convergence fails while trying to perform sensitivity analysis</t>
  </si>
  <si>
    <t>through Excels data table on a combination of key value drivers, such as entry and exit multiple, exit</t>
  </si>
  <si>
    <t>year, leverage level, and equity contribution percentage, as well as key operating assumptions such as</t>
  </si>
  <si>
    <t>growth rates and margin for analyzing IRRs and framing valuation.</t>
  </si>
  <si>
    <t>in a Leverage Buyout model the debt schedule applies free cash flow to make mandatory and optional debt</t>
  </si>
  <si>
    <t>repayments, thereby calculating the annual beginning and ending balances for each debt tranche. The debt</t>
  </si>
  <si>
    <t>repayment amounts are linked to the financing activities section of the cash flow statement and the ending</t>
  </si>
  <si>
    <t>debt balances are linked to the balance sheet. The debt schedule is also used to calculate the annual interest</t>
  </si>
  <si>
    <t>expense for the individual debt instruments, which is linked to the income statement. At this point, a circular</t>
  </si>
  <si>
    <t>reference centering on interest expense has been created in the model. Interest expense is used to calculate</t>
  </si>
  <si>
    <t>net income and determine cash available for debt repayment and ending debt balances, which, in turn, are used</t>
  </si>
  <si>
    <t>to calculate interest expense. Starting from an approximate trial solution Excel will gradually refine the</t>
  </si>
  <si>
    <t>working estimate of the interest expense until a prefixed precision has been reached. Due to the complexities</t>
  </si>
  <si>
    <t>in the capital structure the computations may fail or be entirely wrong. Since circular references work</t>
  </si>
  <si>
    <t>"on-site", you can easily identify if Excel fails to converge, because the values of the cash available for</t>
  </si>
  <si>
    <t>debt repayment will constantly be changing trying to refine the annual pro forma beginning and ending cash</t>
  </si>
  <si>
    <t>balances.</t>
  </si>
  <si>
    <t>Internal rate of return (IRR) is the primary metric by which investors gauge the attractiveness of a potential</t>
  </si>
  <si>
    <t>investment. IRR is defined as the discount rate that must be applied to the sponsors cash outflows and inflows</t>
  </si>
  <si>
    <t>during the investment horizon in order to produce a net present value (NPV) of zero. Excel IRR function is</t>
  </si>
  <si>
    <t>one of the most important and most dangerous tools to measure the total return on a sponsors equity investment,</t>
  </si>
  <si>
    <t>including any additional equity contributions made, or dividends received, during the investment horizon.</t>
  </si>
  <si>
    <t>The problem of Excels IRR is that it uses the Newton-Raphson univariate root finding method to</t>
  </si>
  <si>
    <t>find the rate that makes the NPV = 0, and there is no guarantee that a root will ever be found unless the</t>
  </si>
  <si>
    <t>a local minimum or a local maximum, which in general, is not the optimum. The real danger is when you try to</t>
  </si>
  <si>
    <t>perform sensitivity analysis on the IRR through Excels data table. The problem is that Excel does not allow</t>
  </si>
  <si>
    <t>you to substitute the guess value for the cell that contains the IRR formula that you want to sensitize.</t>
  </si>
  <si>
    <t>Particularly, for the Newton-Raphson univariate root finding algorithm a "good" starting point is very important</t>
  </si>
  <si>
    <t>to obtain a good optimization result. In my experience, the Mullers Method, will work in situations where the</t>
  </si>
  <si>
    <t>IRR method will not return a result, and it often provides better precision.</t>
  </si>
  <si>
    <t>While modeling Cash Flow Statements have always involved a great deal of "art" in addition to time-tested</t>
  </si>
  <si>
    <t>"science," the artistry is perpetually evolving in accordance with market developments and conditions. Any</t>
  </si>
  <si>
    <t>of student worth his salt must possess the ability to properly structure this platform for real-world</t>
  </si>
  <si>
    <t>applications, where deals come together at real-time speed. My own 10 plus years of financial education has</t>
  </si>
  <si>
    <t>I strongly believe that companies will always seek EUM students who can design, code, optimize, and analyze</t>
  </si>
  <si>
    <t>complex deals as they navigate the market and take advantage of value-creating opportunities. For this course,</t>
  </si>
  <si>
    <t>the school of hard knocks and learning-by-doing demands strong discipline and sound acumen in the core</t>
  </si>
  <si>
    <t>in uncertain and volatile times-times that have destroyed or consumed more than a few of the most legendary</t>
  </si>
  <si>
    <t>Wall Street institutions.</t>
  </si>
  <si>
    <t>I do hope and expect that this lesson instills the proper skill set and mindset in aspiring generations of</t>
  </si>
  <si>
    <t>investment professionals, and help establish a firm foundation for financial modeling at Ivey. One thing will</t>
  </si>
  <si>
    <t>remain a constant in the long-term-the need for skilled EUM students with strong technical expertise.</t>
  </si>
  <si>
    <t>[1] Iterations in Microsoft Excel is the remedy in Corporate Finance to perform optimization inside valuation</t>
  </si>
  <si>
    <t>models. A classic example is the existence of in-the-money options and warrants, which creates a circular</t>
  </si>
  <si>
    <t>reference between the companies fully diluted shares outstanding and implied share price. In other words,</t>
  </si>
  <si>
    <t>equity value per share is dependent on the number of fully diluted shares outstanding, which, in turn, is</t>
  </si>
  <si>
    <t>dependent on the implied share price. This is remedied in the Excel model by activating the iteration function</t>
  </si>
  <si>
    <t>in Microsoft Excel by selecting Tools, Options, clicking on the "Calculation" tab, checking the box next to</t>
  </si>
  <si>
    <t>"Iteration," and setting the "Maximum iterations" field to 1000.</t>
  </si>
  <si>
    <t>[2] For further reading see this presentation from Credit Suisse:</t>
  </si>
  <si>
    <t>The challenge for Excel is to solve for the circular reference found on the cash flow statement [1] . For example,</t>
  </si>
  <si>
    <t>starting rate value is close to the root, and multiple solutions can exist [2]. Sometime the algorithm converges to</t>
  </si>
  <si>
    <t>will be covered in this lesson  (e.g., the derivation of the polynomial solution from the definition of Net</t>
  </si>
  <si>
    <t>Present Value (NPV) and Internal Rate of Return (IRR), which required some background in Calculus.)</t>
  </si>
  <si>
    <t>For this reason, I am putting forth the solver functions for helping all of you approach more nuanced questions such as</t>
  </si>
  <si>
    <t>clearly demonstrated that modeling cash flows effectively is at the core of investment analysis.</t>
  </si>
  <si>
    <t>fundamentals of VBA programming, Excel-modeling and valuation methodologies. It is true that we live</t>
  </si>
  <si>
    <t>HISTORICAL INCOME STATEMENT</t>
  </si>
  <si>
    <t>Revenue</t>
  </si>
  <si>
    <t>Revenue Growth Rate %</t>
  </si>
  <si>
    <t>Cost of Goods Sold</t>
  </si>
  <si>
    <t>Gross Profit</t>
  </si>
  <si>
    <t>SG&amp;A + R&amp;D Expense</t>
  </si>
  <si>
    <t>Depreciation &amp; Amortization Expense</t>
  </si>
  <si>
    <t>Operating Profit</t>
  </si>
  <si>
    <t>Non-Operating Income (Expense)</t>
  </si>
  <si>
    <t>EBIT</t>
  </si>
  <si>
    <t>Interest Expense</t>
  </si>
  <si>
    <t>Effective Interest Rate</t>
  </si>
  <si>
    <t>Pre-Tax Income</t>
  </si>
  <si>
    <t>income taxes</t>
  </si>
  <si>
    <t>Effective Tax Rate</t>
  </si>
  <si>
    <t>After Tax Adjustments</t>
  </si>
  <si>
    <t>Net Income</t>
  </si>
  <si>
    <t>EBITDA</t>
  </si>
  <si>
    <t>HISTORICAL BALANCE SHEET</t>
  </si>
  <si>
    <t>ASSETS</t>
  </si>
  <si>
    <t>Cash &amp; Cash Equivalents (ST Inv)</t>
  </si>
  <si>
    <t>Total Accounts Receivable</t>
  </si>
  <si>
    <t>Inventories</t>
  </si>
  <si>
    <t>Other Current Assets</t>
  </si>
  <si>
    <t>Total Current Assets</t>
  </si>
  <si>
    <t>Property, Plant &amp; Equipment - Gross</t>
  </si>
  <si>
    <t>Accumulated Depreciation</t>
  </si>
  <si>
    <t>Net Property, Plant &amp; Equipment</t>
  </si>
  <si>
    <t>Intangible Assets (Including Goodwill)</t>
  </si>
  <si>
    <t>Other Non-Current Assets</t>
  </si>
  <si>
    <t>Total Assets</t>
  </si>
  <si>
    <t>EQUITY &amp; LIABILITIES</t>
  </si>
  <si>
    <t>Accounts Payable</t>
  </si>
  <si>
    <t>Short Term Debt &amp; Current Portion of LT Debt</t>
  </si>
  <si>
    <t>Other Current Liabilities</t>
  </si>
  <si>
    <t>Total Current Liabilities</t>
  </si>
  <si>
    <t>Long Term Debt</t>
  </si>
  <si>
    <t>LTD / Last Years Assets</t>
  </si>
  <si>
    <t>Deferred Taxes</t>
  </si>
  <si>
    <t>Deferred Taxes / Gross PPE</t>
  </si>
  <si>
    <t>Capital Lease Obligations</t>
  </si>
  <si>
    <t>Minority Interest Liability</t>
  </si>
  <si>
    <t>Other Non- Current Liabilities</t>
  </si>
  <si>
    <t>Total Liabilities</t>
  </si>
  <si>
    <t>Par + APIC - Treasury (&amp; Other Adjustments)</t>
  </si>
  <si>
    <t>Retained Earnings</t>
  </si>
  <si>
    <t>Preferred Stock</t>
  </si>
  <si>
    <t>Total Equity</t>
  </si>
  <si>
    <t>Liabilities &amp; Shareholder's Equity</t>
  </si>
  <si>
    <t>HISTORICAL CASH-FLOW STATEMENT</t>
  </si>
  <si>
    <t>FINANCING ACTIVITIES</t>
  </si>
  <si>
    <t>payment of cash dividends</t>
  </si>
  <si>
    <t>dividend payout ratio</t>
  </si>
  <si>
    <t>HISTORICAL FINANCIAL SUMMARY</t>
  </si>
  <si>
    <t>3YA</t>
  </si>
  <si>
    <t>5YA</t>
  </si>
  <si>
    <t>7YA</t>
  </si>
  <si>
    <t>10YA</t>
  </si>
  <si>
    <t>MR</t>
  </si>
  <si>
    <t>10Yr STDEV</t>
  </si>
  <si>
    <t>Start</t>
  </si>
  <si>
    <t>End</t>
  </si>
  <si>
    <t>T</t>
  </si>
  <si>
    <t>^</t>
  </si>
  <si>
    <t>Cost of Goods Sold % of Sales</t>
  </si>
  <si>
    <t>SG&amp;A + R&amp;D Expense % of Sales</t>
  </si>
  <si>
    <t>Depreciation &amp; Amortization Expense % of Gross PPE</t>
  </si>
  <si>
    <t>Accumulated Depreciation % of Gross PPE</t>
  </si>
  <si>
    <t>After Tax Adjustments % of Sales</t>
  </si>
  <si>
    <t>Non-Operating Income (Expense) % of Sales</t>
  </si>
  <si>
    <t>Cash &amp; Cash Equivalents (ST Inv) % of Sales</t>
  </si>
  <si>
    <t>Inventories % of Sales</t>
  </si>
  <si>
    <t>Total Accounts Receivable % of Sales</t>
  </si>
  <si>
    <t>Other Current Assets % of Sales</t>
  </si>
  <si>
    <t>Property, Plant &amp; Equipment - Gross % of Sales</t>
  </si>
  <si>
    <t>Other Non-Current Assets % of Sales</t>
  </si>
  <si>
    <t>Accounts Payable % of Sales</t>
  </si>
  <si>
    <t>Minority Interest Liability % of Sales</t>
  </si>
  <si>
    <t>Other Non- Current Liabilities % of Sales</t>
  </si>
  <si>
    <t>Capital Lease Obligations % of Sales</t>
  </si>
  <si>
    <t>Other Current Liabilities % of Sales</t>
  </si>
  <si>
    <t>Intangible Assets (Including Goodwill) % of Sales</t>
  </si>
  <si>
    <t>Money Market Interest Rate</t>
  </si>
  <si>
    <t>Dividend Payout Ratio</t>
  </si>
  <si>
    <t>PROJECTED FINANCIAL RATIOS</t>
  </si>
  <si>
    <t>PROJECTED INCOME STATEMENT</t>
  </si>
  <si>
    <t>Dividends Paid</t>
  </si>
  <si>
    <t>Addition To RE</t>
  </si>
  <si>
    <t>PROJECTED BALANCE SHEET</t>
  </si>
  <si>
    <t>ST Debt &amp; Current Portion of LT Debt</t>
  </si>
  <si>
    <t>Specified assets</t>
  </si>
  <si>
    <t>Specified liabilities</t>
  </si>
  <si>
    <t>Net required financing</t>
  </si>
  <si>
    <t>Current debt</t>
  </si>
  <si>
    <t>Short-term investments</t>
  </si>
  <si>
    <t>SELECTED RATIOS</t>
  </si>
  <si>
    <t>Net Profit Margin</t>
  </si>
  <si>
    <t>Gross Profit Margin</t>
  </si>
  <si>
    <t>Net Proft Margin</t>
  </si>
  <si>
    <t>ROA</t>
  </si>
  <si>
    <t>ROE</t>
  </si>
  <si>
    <t>Equity Multiplier</t>
  </si>
  <si>
    <t>Revenue Growth Rate</t>
  </si>
  <si>
    <t>Options/Warrants</t>
  </si>
  <si>
    <t>Basic Shares Outstanding</t>
  </si>
  <si>
    <t>Tranche</t>
  </si>
  <si>
    <t>Number of</t>
  </si>
  <si>
    <t>Exercise</t>
  </si>
  <si>
    <t>In-the-Money</t>
  </si>
  <si>
    <t>Implied Equity Value</t>
  </si>
  <si>
    <t>Plus: Shares from In-the-Money Options</t>
  </si>
  <si>
    <t>Shares</t>
  </si>
  <si>
    <t>Price</t>
  </si>
  <si>
    <t>Proceeds</t>
  </si>
  <si>
    <t>Less: Shares Repurchased</t>
  </si>
  <si>
    <t>Options 1</t>
  </si>
  <si>
    <t>Net New Shares from Options</t>
  </si>
  <si>
    <t>Options 2</t>
  </si>
  <si>
    <t>Plus: Shares from Convertible Securities</t>
  </si>
  <si>
    <t>Options 3</t>
  </si>
  <si>
    <t>Fully Diluted Shares Outstanding</t>
  </si>
  <si>
    <t>Options 4</t>
  </si>
  <si>
    <t>Implied Share Price</t>
  </si>
  <si>
    <t>Options 5</t>
  </si>
  <si>
    <t>In-the-Money Shares</t>
  </si>
  <si>
    <t>Number of Shares</t>
  </si>
  <si>
    <t>Circular Reference in the calculation of Implied Share Price</t>
  </si>
  <si>
    <t>Derive Implied Share Price For publicly traded companies, implied equity value is divided by the company’s fully diluted shares outstanding to calculate an implied share price</t>
  </si>
  <si>
    <t>Implied Share Price = Implied Equity Value / Fully Diluted Shares Outstan</t>
  </si>
  <si>
    <t xml:space="preserve">The existence of in-the-money options and warrants, however, creates a circular reference (http://en.wikipedia.org/wiki/Circular_reference) in the basic formula shown above </t>
  </si>
  <si>
    <t xml:space="preserve">between the company’s fully diluted shares outstanding count and implied share price. In other words, equity value per share is dependent on the number of fully diluted shares </t>
  </si>
  <si>
    <t>outstanding, which, in turn, is dependent on the implied share price. This is remedied in the model by activating the iteration function in Microsoft Excel:</t>
  </si>
  <si>
    <t>Once the iteration function is activated, the model is able to iterate between the cell determining the company’s implied share price (see shaded area “A” in and those cells determining</t>
  </si>
  <si>
    <t>options data shown, we calculate an implied share price of $15.00:</t>
  </si>
  <si>
    <t>whether each option tranche is in-the- money (see shaded area “B”). At an assumed implied equity value of $775 million, 50 million basic shares out- standing, and the</t>
  </si>
  <si>
    <t>Circular Reference in Microsoft Excel</t>
  </si>
  <si>
    <t>Floating point comparison functions</t>
  </si>
  <si>
    <t>EQUALT_FUNC(T1, T2, Tol) -&gt; Test if T1_VAL is equal to T2_VAL within tolerance  --&gt; True if Abs(T1 / T2 - 1) &lt; Tol</t>
  </si>
  <si>
    <t>LTEQUALT_FUNC(T1, T2, Tol) -&gt; Test if T1_VAL is less than or equal to T2_VAL within tolerance  --&gt; True if T1-T2 &lt; 0 or Abs(T2 / T1 - 1) &lt; Tol</t>
  </si>
  <si>
    <t>GTEQUALT_FUNC(T1, T2, Tol) -&gt; Test if T1_VAL is greater than or equal to T2_VAL within tolerance  --&gt; True if T1-T2 &gt; 0 or Abs(T1 / T2 - 1) &lt; Tol</t>
  </si>
  <si>
    <t>LTT_FUNC(T1, T2) -&gt; Test if T1_VAL is at least tolerance less than T2_VAL</t>
  </si>
  <si>
    <t>GTT_FUNC(T1, T2) -&gt; Test if T1_VAL is at least tolerance greater than T2_VAL</t>
  </si>
  <si>
    <t>T1</t>
  </si>
  <si>
    <t>T2</t>
  </si>
  <si>
    <t>EQUALT</t>
  </si>
  <si>
    <t>LTEQUALT</t>
  </si>
  <si>
    <t>GTEQUALT</t>
  </si>
  <si>
    <t>LTT</t>
  </si>
  <si>
    <t>GTT</t>
  </si>
  <si>
    <t>Diff</t>
  </si>
  <si>
    <t>Tol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</si>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</sst>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%"/>
    <numFmt numFmtId="166" formatCode="0.0000"/>
    <numFmt numFmtId="167" formatCode="_(* #,##0.0000_);_(* \(#,##0.0000\);_(* &quot;-&quot;??_);_(@_)"/>
    <numFmt numFmtId="168" formatCode="_(&quot;$&quot;* #,##0.0000_);_(&quot;$&quot;* \(#,##0.0000\);_(&quot;$&quot;* &quot;-&quot;??_);_(@_)"/>
    <numFmt numFmtId="169" formatCode="_(&quot;$&quot;* #,##0.00000000_);_(&quot;$&quot;* \(#,##0.00000000\);_(&quot;$&quot;* &quot;-&quot;??_);_(@_)"/>
    <numFmt numFmtId="170" formatCode="_(* #,##0.00000_);_(* \(#,##0.00000\);_(* &quot;-&quot;??_);_(@_)"/>
    <numFmt numFmtId="171" formatCode="_(* #,##0.000000_);_(* \(#,##0.000000\);_(* &quot;-&quot;??_);_(@_)"/>
    <numFmt numFmtId="172" formatCode="#,##0.0_);\(#,##0.0\);@_)"/>
    <numFmt numFmtId="173" formatCode="#,##0.0_);\(#,##0.0\);&quot;-&quot;?_);@_)"/>
    <numFmt numFmtId="174" formatCode="&quot;$&quot;#,##0.0_);\(&quot;$&quot;#,##0.0\);@_)"/>
    <numFmt numFmtId="175" formatCode="&quot;$&quot;#,##0.0_);\(&quot;$&quot;#,##0.0\);&quot;-&quot;?_);@_)"/>
    <numFmt numFmtId="176" formatCode="0.0%;\-0.0%;&quot;-&quot;?_);@_)"/>
    <numFmt numFmtId="177" formatCode="_(* #,##0.00_);_(* \(#,##0.00\);_(* &quot;--&quot;??_);_(@_)"/>
    <numFmt numFmtId="178" formatCode="#,##0.0_)_%;\(#,##0.0\)_%;0.0_)_%;@_)_%"/>
    <numFmt numFmtId="179" formatCode="_ * #,##0_ ;\ \(#,##0\)_ ;_ * &quot;-&quot;_ ;_ @_ "/>
    <numFmt numFmtId="180" formatCode="##\ &quot;Years&quot;"/>
    <numFmt numFmtId="181" formatCode="#,##0.0_);\(#,##0.0\)"/>
    <numFmt numFmtId="182" formatCode="#,##0.0"/>
    <numFmt numFmtId="183" formatCode="_(* #,##0.0_);_(* \(#,##0.0\);_(* &quot;--- &quot;_)"/>
    <numFmt numFmtId="184" formatCode="_(&quot;$&quot;* #,##0.0_);_(&quot;$&quot;* \(#,##0.0\);_(&quot;$&quot;* &quot;--- &quot;_)"/>
    <numFmt numFmtId="185" formatCode="#,##0.0\x\ _);\(#,##0.0\x\)\ ;0.0\x_)\ ;@_%_)"/>
    <numFmt numFmtId="186" formatCode="_(* #,##0.0_);_(* \(#,##0.0\);_(* &quot;-&quot;?_);_(@_)"/>
    <numFmt numFmtId="187" formatCode=";;;"/>
    <numFmt numFmtId="188" formatCode="0.0\%_);\(0.0\%\);0.0\%_);@_%_)"/>
    <numFmt numFmtId="189" formatCode="&quot;£&quot;#,##0;\-&quot;£&quot;#,##0"/>
    <numFmt numFmtId="190" formatCode="&quot;n&quot;"/>
    <numFmt numFmtId="191" formatCode="General_)"/>
    <numFmt numFmtId="192" formatCode="0_)"/>
    <numFmt numFmtId="193" formatCode="_(* #,##0.0_);_(* \(#,##0.0\);_(* &quot;-&quot;??_);_(@_)"/>
    <numFmt numFmtId="194" formatCode="#,##0.00_%_);\(#,##0.00\)_%;**;@_%_)"/>
    <numFmt numFmtId="195" formatCode="#,##0_%_);\(#,##0\)_%;#,##0_%_);@_%_)"/>
    <numFmt numFmtId="196" formatCode="#,##0.0_%_);\(#,##0.0\)_%;**;@_%_)"/>
    <numFmt numFmtId="197" formatCode="#,##0.0%_);\(#,##0.0%\);0.0%_);@_%_)"/>
    <numFmt numFmtId="198" formatCode="&quot;$&quot;#,##0.00_%_);\(&quot;$&quot;#,##0.00\)_%;**;@_%_)"/>
    <numFmt numFmtId="199" formatCode="&quot;$&quot;#,##0.00_%_);\(&quot;$&quot;#,##0.00\)_%;&quot;$&quot;#,##0.00_%_);@_%_)"/>
    <numFmt numFmtId="200" formatCode="&quot;$&quot;#,##0.0_%_);\(&quot;$&quot;#,##0.0\)_%;**;@_%_)"/>
    <numFmt numFmtId="201" formatCode="#,##0.0_%_);\(#,##0.0\)_%;#,##0.0_%_);@_%_)\F\F\r"/>
    <numFmt numFmtId="202" formatCode="&quot;$&quot;#,##0.0_);\(&quot;$&quot;#,##0.0\)"/>
    <numFmt numFmtId="203" formatCode="\€\ #,##0.0_);\(\€\ #,##0.0\);@_)"/>
    <numFmt numFmtId="204" formatCode="\€\ #,##0.0_);\(\€\ #,##0.0\);&quot;-&quot;?_);@_)"/>
    <numFmt numFmtId="205" formatCode="* _(#,##0.0_);* \(#,##0.0\);* _(&quot;-&quot;??_);_(@_)"/>
    <numFmt numFmtId="206" formatCode="0.0\x_9"/>
    <numFmt numFmtId="207" formatCode="0.00_)"/>
    <numFmt numFmtId="208" formatCode="#,##0.0\x;\-#,##0.0\x;&quot;-&quot;?_);@_)"/>
    <numFmt numFmtId="209" formatCode="#,##0.0\x_);\(#,##0.0\x\);#,##0.0\x_);@_)"/>
    <numFmt numFmtId="210" formatCode="0.000"/>
    <numFmt numFmtId="211" formatCode="0.00\x"/>
    <numFmt numFmtId="212" formatCode="#,##0.0;\(#,##0.0\)"/>
    <numFmt numFmtId="213" formatCode="#,##0.000;\(#,##0.000\)"/>
    <numFmt numFmtId="214" formatCode="0.0%_%;\(0.0%\)_%"/>
    <numFmt numFmtId="215" formatCode="_(* #,##0.0%_);_(* \(#,##0.0%\);_(* &quot;--- %&quot;_);_(* @_%_)"/>
    <numFmt numFmtId="216" formatCode="#,##0.0\%_);\(#,##0.0\%\);#,##0.0\%_);@_)"/>
    <numFmt numFmtId="217" formatCode="&quot;$&quot;#,##0.00"/>
    <numFmt numFmtId="218" formatCode="#,##0.00_);\(#,##0.00\);_(* &quot;-&quot;_)"/>
    <numFmt numFmtId="219" formatCode="#,##0.0\x"/>
    <numFmt numFmtId="220" formatCode="#,##0.0_);\(#,##0.0\);_(* &quot;-&quot;_)"/>
    <numFmt numFmtId="221" formatCode="#,##0_);\(#,##0\);_(* &quot;-&quot;_);_(* &quot;-&quot;_)"/>
    <numFmt numFmtId="222" formatCode="_(&quot;$&quot;* #,##0.00_);_(&quot;$&quot;* \(#,##0.00\);_(* &quot;-&quot;_);_(@_)"/>
    <numFmt numFmtId="223" formatCode="_(###.##%_);\(* &quot;-&quot;_);_(@_)"/>
    <numFmt numFmtId="224" formatCode="m/d/yy"/>
    <numFmt numFmtId="225" formatCode="#,##0.00\x"/>
    <numFmt numFmtId="226" formatCode="0.0\ \x_);\(0.0\ \x\);@_ _x_)"/>
    <numFmt numFmtId="227" formatCode="0.0_ _x_);\(0.0\)_ _x;@_ _x_)"/>
    <numFmt numFmtId="228" formatCode="&quot;$&quot;#,##0"/>
    <numFmt numFmtId="229" formatCode="0.000%"/>
    <numFmt numFmtId="230" formatCode="mm\-yyyy"/>
    <numFmt numFmtId="231" formatCode="_(&quot;$&quot;* #,##0_);_(&quot;$&quot;* \(#,##0\);_(&quot;$&quot;* &quot;-&quot;??_);_(@_)"/>
    <numFmt numFmtId="232" formatCode="0&quot;A&quot;"/>
    <numFmt numFmtId="233" formatCode="_-* #,##0.00_-;\-* #,##0.00_-;_-* &quot;-&quot;??_-;_-@_-"/>
    <numFmt numFmtId="234" formatCode="0&quot;E&quot;"/>
    <numFmt numFmtId="235" formatCode="&quot;Balanced?&quot;"/>
    <numFmt numFmtId="236" formatCode="#,##0.00&quot;x&quot;"/>
    <numFmt numFmtId="237" formatCode="_(&quot;$&quot;* #,##0.0_);_(&quot;$&quot;* \(#,##0.0\);_(&quot;$&quot;* &quot;-&quot;?_);_(@_)"/>
    <numFmt numFmtId="238" formatCode="_(* #,##0_);_(* \(#,##0\);_(* &quot;-&quot;?_);_(@_)"/>
    <numFmt numFmtId="239" formatCode="_(* #,##0.000_);_(* \(#,##0.000\);_(* &quot;-&quot;?_);_(@_)"/>
    <numFmt numFmtId="240" formatCode="* _(##,##0.000_);* \(##,##0.000\);* _(&quot;-&quot;?_);_(@_)"/>
    <numFmt numFmtId="241" formatCode="* _(&quot;$&quot;#,##0.00_);* \(&quot;$&quot;#,##0.00\);* _(&quot;-&quot;?_);_(@_)"/>
    <numFmt numFmtId="242" formatCode="* _(#,##0.00_);* \(#,##0.00\);* _(&quot;-&quot;?_);_(@_)"/>
    <numFmt numFmtId="243" formatCode="* _(&quot;$&quot;##,##0.00_);[Red]* \(&quot;$&quot;##,##0.00\);* _(&quot;-&quot;?_);_(@_)"/>
    <numFmt numFmtId="244" formatCode="_(* #,##0.0000000_);_(* \(#,##0.0000000\);_(* &quot;-&quot;??_);_(@_)"/>
  </numFmts>
  <fonts count="19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0"/>
      <color rgb="FFFF0000"/>
      <name val="Courier New"/>
      <family val="3"/>
    </font>
    <font>
      <sz val="12"/>
      <color theme="1"/>
      <name val="Courier New"/>
      <family val="3"/>
    </font>
    <font>
      <vertAlign val="superscript"/>
      <sz val="12"/>
      <color theme="1"/>
      <name val="Courier New"/>
      <family val="3"/>
    </font>
    <font>
      <sz val="10"/>
      <color theme="4"/>
      <name val="Courier New"/>
      <family val="3"/>
    </font>
    <font>
      <sz val="10"/>
      <color theme="6"/>
      <name val="Courier New"/>
      <family val="3"/>
    </font>
    <font>
      <b/>
      <vertAlign val="superscript"/>
      <sz val="10"/>
      <color theme="1"/>
      <name val="Courier New"/>
      <family val="3"/>
    </font>
    <font>
      <b/>
      <sz val="10"/>
      <color theme="6"/>
      <name val="Courier New"/>
      <family val="3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4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u/>
      <sz val="10"/>
      <color theme="1"/>
      <name val="Arial"/>
      <family val="2"/>
    </font>
    <font>
      <sz val="8"/>
      <color indexed="12"/>
      <name val="Arial"/>
      <family val="2"/>
    </font>
    <font>
      <b/>
      <sz val="10"/>
      <name val="MS Sans Serif"/>
      <family val="2"/>
    </font>
    <font>
      <sz val="10"/>
      <name val="Geneva"/>
      <family val="2"/>
    </font>
    <font>
      <sz val="10"/>
      <name val="Arial Narrow"/>
      <family val="2"/>
    </font>
    <font>
      <sz val="10"/>
      <name val="Geneva"/>
    </font>
    <font>
      <sz val="10"/>
      <name val="GillSans"/>
    </font>
    <font>
      <sz val="10"/>
      <name val="Palatino"/>
      <family val="1"/>
    </font>
    <font>
      <sz val="9"/>
      <name val="Arial"/>
      <family val="2"/>
    </font>
    <font>
      <sz val="8"/>
      <name val="Arial"/>
      <family val="2"/>
    </font>
    <font>
      <sz val="8"/>
      <name val="MS Serif"/>
      <family val="1"/>
    </font>
    <font>
      <sz val="12"/>
      <name val="Tms Rmn"/>
    </font>
    <font>
      <sz val="8"/>
      <color indexed="49"/>
      <name val="Times New Roman"/>
      <family val="1"/>
    </font>
    <font>
      <sz val="10"/>
      <color indexed="8"/>
      <name val="MS Sans Serif"/>
      <family val="2"/>
    </font>
    <font>
      <sz val="10"/>
      <name val="Times New Roman"/>
      <family val="1"/>
    </font>
    <font>
      <u/>
      <sz val="8.4"/>
      <color indexed="12"/>
      <name val="Arial"/>
      <family val="2"/>
    </font>
    <font>
      <sz val="12"/>
      <name val="???"/>
      <family val="1"/>
      <charset val="129"/>
    </font>
    <font>
      <b/>
      <sz val="9"/>
      <name val="Arial"/>
      <family val="2"/>
    </font>
    <font>
      <sz val="8"/>
      <name val="Times New Roman"/>
      <family val="1"/>
    </font>
    <font>
      <sz val="10"/>
      <name val="MS Sans Serif"/>
      <family val="2"/>
    </font>
    <font>
      <sz val="11"/>
      <name val="Arial"/>
      <family val="2"/>
    </font>
    <font>
      <sz val="12"/>
      <name val="Arial"/>
      <family val="2"/>
    </font>
    <font>
      <sz val="10"/>
      <name val="SWISS"/>
    </font>
    <font>
      <sz val="8"/>
      <name val="Palatino"/>
      <family val="1"/>
    </font>
    <font>
      <sz val="9"/>
      <color indexed="8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b/>
      <sz val="10"/>
      <color indexed="18"/>
      <name val="Arial"/>
      <family val="2"/>
    </font>
    <font>
      <b/>
      <sz val="9"/>
      <color indexed="18"/>
      <name val="Arial"/>
      <family val="2"/>
    </font>
    <font>
      <b/>
      <u val="singleAccounting"/>
      <sz val="10"/>
      <color indexed="18"/>
      <name val="Arial"/>
      <family val="2"/>
    </font>
    <font>
      <b/>
      <u val="singleAccounting"/>
      <sz val="9"/>
      <color indexed="18"/>
      <name val="Arial"/>
      <family val="2"/>
    </font>
    <font>
      <sz val="12"/>
      <name val="Times New Roman"/>
      <family val="1"/>
    </font>
    <font>
      <sz val="14"/>
      <name val="AngsanaUPC"/>
      <family val="1"/>
    </font>
    <font>
      <sz val="8"/>
      <name val="Helvetica"/>
      <family val="2"/>
    </font>
    <font>
      <sz val="8"/>
      <name val="Helv"/>
    </font>
    <font>
      <sz val="12"/>
      <name val="Arial MT"/>
    </font>
    <font>
      <b/>
      <sz val="7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i/>
      <sz val="8"/>
      <color indexed="16"/>
      <name val="Arial"/>
      <family val="2"/>
    </font>
    <font>
      <i/>
      <sz val="8"/>
      <color indexed="54"/>
      <name val="Arial"/>
      <family val="2"/>
    </font>
    <font>
      <i/>
      <sz val="9"/>
      <color indexed="16"/>
      <name val="Arial"/>
      <family val="2"/>
    </font>
    <font>
      <b/>
      <sz val="11"/>
      <name val="Arial"/>
      <family val="2"/>
    </font>
    <font>
      <sz val="9"/>
      <color indexed="12"/>
      <name val="Times New Roman"/>
      <family val="1"/>
    </font>
    <font>
      <b/>
      <sz val="8"/>
      <name val="Arial"/>
      <family val="2"/>
    </font>
    <font>
      <i/>
      <sz val="8"/>
      <name val="Arial"/>
      <family val="2"/>
    </font>
    <font>
      <sz val="7"/>
      <name val="Ariel"/>
    </font>
    <font>
      <sz val="10"/>
      <color indexed="10"/>
      <name val="Times New Roman"/>
      <family val="1"/>
    </font>
    <font>
      <sz val="8"/>
      <color indexed="13"/>
      <name val="Arial"/>
      <family val="2"/>
    </font>
    <font>
      <sz val="10"/>
      <color indexed="8"/>
      <name val="Tms Rmn"/>
    </font>
    <font>
      <sz val="8"/>
      <color indexed="8"/>
      <name val="Arial"/>
      <family val="2"/>
    </font>
    <font>
      <sz val="10"/>
      <color indexed="8"/>
      <name val="Times New Roman"/>
      <family val="1"/>
    </font>
    <font>
      <sz val="9"/>
      <color indexed="9"/>
      <name val="Times New Roman"/>
      <family val="1"/>
    </font>
    <font>
      <b/>
      <sz val="10"/>
      <name val="Times New Roman"/>
      <family val="1"/>
    </font>
    <font>
      <sz val="8"/>
      <color indexed="12"/>
      <name val="Tms Rmn"/>
    </font>
    <font>
      <b/>
      <sz val="10"/>
      <color indexed="9"/>
      <name val="Arial"/>
      <family val="2"/>
    </font>
    <font>
      <sz val="9"/>
      <color indexed="18"/>
      <name val="CharterITC BT"/>
      <family val="1"/>
    </font>
    <font>
      <sz val="10"/>
      <color indexed="12"/>
      <name val="Times New Roman"/>
      <family val="1"/>
    </font>
    <font>
      <sz val="9"/>
      <color indexed="12"/>
      <name val="Tms Rmn"/>
    </font>
    <font>
      <b/>
      <sz val="8"/>
      <name val="Arial Narrow"/>
      <family val="2"/>
    </font>
    <font>
      <b/>
      <sz val="12"/>
      <name val="Times New Roman"/>
      <family val="1"/>
    </font>
    <font>
      <sz val="8"/>
      <name val="Arial Narrow"/>
      <family val="2"/>
    </font>
    <font>
      <sz val="8"/>
      <name val="Wingdings"/>
      <charset val="2"/>
    </font>
    <font>
      <b/>
      <i/>
      <sz val="9"/>
      <name val="Arial"/>
      <family val="2"/>
    </font>
    <font>
      <b/>
      <sz val="8"/>
      <name val="TimesNewRomanPS"/>
      <family val="1"/>
    </font>
    <font>
      <sz val="11"/>
      <name val="?? ?????"/>
      <family val="3"/>
      <charset val="128"/>
    </font>
    <font>
      <sz val="11"/>
      <name val="Book Antiqua"/>
      <family val="1"/>
    </font>
    <font>
      <b/>
      <sz val="10"/>
      <name val="Helv"/>
      <family val="2"/>
    </font>
    <font>
      <b/>
      <sz val="10"/>
      <name val="MS Serif"/>
      <family val="1"/>
    </font>
    <font>
      <b/>
      <sz val="12"/>
      <name val="Arial"/>
      <family val="2"/>
    </font>
    <font>
      <sz val="10"/>
      <color indexed="18"/>
      <name val="Times New Roman"/>
      <family val="1"/>
    </font>
    <font>
      <b/>
      <sz val="11"/>
      <name val="Times New Roman"/>
      <family val="1"/>
    </font>
    <font>
      <b/>
      <i/>
      <sz val="8"/>
      <name val="Arial"/>
      <family val="2"/>
    </font>
    <font>
      <b/>
      <sz val="8"/>
      <name val="Book Antiqua"/>
      <family val="1"/>
    </font>
    <font>
      <b/>
      <sz val="8"/>
      <name val="GillSans"/>
    </font>
    <font>
      <u/>
      <sz val="8"/>
      <color indexed="12"/>
      <name val="Times New Roman"/>
      <family val="1"/>
    </font>
    <font>
      <sz val="10"/>
      <name val="Helv"/>
    </font>
    <font>
      <sz val="8"/>
      <color indexed="12"/>
      <name val="Times New Roman"/>
      <family val="1"/>
    </font>
    <font>
      <sz val="8"/>
      <color indexed="21"/>
      <name val="Palatino"/>
      <family val="1"/>
    </font>
    <font>
      <sz val="10"/>
      <color indexed="24"/>
      <name val="Arial"/>
      <family val="2"/>
    </font>
    <font>
      <sz val="10"/>
      <name val="BERNHARD"/>
    </font>
    <font>
      <sz val="10"/>
      <name val="Helvetica"/>
      <family val="2"/>
    </font>
    <font>
      <sz val="10"/>
      <color indexed="12"/>
      <name val="Geneva"/>
    </font>
    <font>
      <i/>
      <sz val="9"/>
      <name val="MS Sans Serif"/>
      <family val="2"/>
    </font>
    <font>
      <sz val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sz val="10"/>
      <name val="Book Antiqua"/>
      <family val="1"/>
    </font>
    <font>
      <sz val="8"/>
      <color indexed="8"/>
      <name val="Times New Roman"/>
      <family val="1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b/>
      <sz val="7.5"/>
      <color indexed="8"/>
      <name val="Arial"/>
      <family val="2"/>
    </font>
    <font>
      <sz val="8"/>
      <color indexed="18"/>
      <name val="Times New Roman"/>
      <family val="1"/>
    </font>
    <font>
      <sz val="10"/>
      <color indexed="8"/>
      <name val="Arial"/>
      <family val="2"/>
    </font>
    <font>
      <u val="doubleAccounting"/>
      <sz val="10"/>
      <name val="Times New Roman"/>
      <family val="1"/>
    </font>
    <font>
      <sz val="1"/>
      <color indexed="8"/>
      <name val="Courier"/>
      <family val="3"/>
    </font>
    <font>
      <b/>
      <sz val="8"/>
      <name val="Times New Roman"/>
      <family val="1"/>
    </font>
    <font>
      <u val="doubleAccounting"/>
      <sz val="10"/>
      <name val="Arial"/>
      <family val="2"/>
    </font>
    <font>
      <b/>
      <i/>
      <sz val="8"/>
      <color indexed="12"/>
      <name val="Arial"/>
      <family val="2"/>
    </font>
    <font>
      <sz val="10"/>
      <color indexed="16"/>
      <name val="MS Serif"/>
      <family val="1"/>
    </font>
    <font>
      <b/>
      <sz val="9.5"/>
      <color indexed="10"/>
      <name val="MS Sans Serif"/>
      <family val="2"/>
    </font>
    <font>
      <b/>
      <u/>
      <sz val="12"/>
      <name val="Arial Narrow"/>
      <family val="2"/>
    </font>
    <font>
      <i/>
      <sz val="10"/>
      <color indexed="10"/>
      <name val="Times New Roman"/>
      <family val="1"/>
    </font>
    <font>
      <sz val="10"/>
      <color indexed="12"/>
      <name val="Arial Narrow"/>
      <family val="2"/>
    </font>
    <font>
      <b/>
      <sz val="7"/>
      <color indexed="12"/>
      <name val="Arial"/>
      <family val="2"/>
    </font>
    <font>
      <sz val="14"/>
      <color indexed="32"/>
      <name val="Times New Roman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7"/>
      <name val="Arial"/>
      <family val="2"/>
    </font>
    <font>
      <u val="singleAccounting"/>
      <sz val="8"/>
      <name val="Arial"/>
      <family val="2"/>
    </font>
    <font>
      <u val="singleAccounting"/>
      <sz val="9"/>
      <color indexed="12"/>
      <name val="Arial"/>
      <family val="2"/>
    </font>
    <font>
      <sz val="10"/>
      <name val="C Helvetica Condensed"/>
    </font>
    <font>
      <sz val="9"/>
      <name val="Tms Rmn"/>
    </font>
    <font>
      <b/>
      <i/>
      <sz val="8"/>
      <name val="Arial Narrow"/>
      <family val="2"/>
    </font>
    <font>
      <b/>
      <sz val="10"/>
      <color indexed="17"/>
      <name val="Helvetica"/>
      <family val="2"/>
    </font>
    <font>
      <sz val="7"/>
      <name val="Times New Roman"/>
      <family val="1"/>
    </font>
    <font>
      <b/>
      <sz val="7"/>
      <color indexed="17"/>
      <name val="Arial"/>
      <family val="2"/>
    </font>
    <font>
      <sz val="9"/>
      <name val="Futura UBS Bk"/>
      <family val="2"/>
    </font>
    <font>
      <b/>
      <sz val="10"/>
      <color indexed="9"/>
      <name val="GillSans"/>
    </font>
    <font>
      <b/>
      <i/>
      <sz val="12"/>
      <name val="Tms Rmn"/>
    </font>
    <font>
      <b/>
      <sz val="10"/>
      <color indexed="8"/>
      <name val="GillSans"/>
    </font>
    <font>
      <sz val="6"/>
      <name val="Palatino"/>
      <family val="1"/>
    </font>
    <font>
      <b/>
      <sz val="8"/>
      <name val="Palatino"/>
      <family val="1"/>
    </font>
    <font>
      <b/>
      <sz val="8"/>
      <name val="Helv"/>
    </font>
    <font>
      <sz val="10"/>
      <name val="Helvetica-Black"/>
    </font>
    <font>
      <sz val="28"/>
      <name val="Helvetica-Black"/>
    </font>
    <font>
      <b/>
      <i/>
      <sz val="16"/>
      <name val="Helv"/>
    </font>
    <font>
      <b/>
      <sz val="26"/>
      <name val="Times New Roman"/>
      <family val="1"/>
    </font>
    <font>
      <b/>
      <sz val="18"/>
      <name val="Times New Roman"/>
      <family val="1"/>
    </font>
    <font>
      <u val="singleAccounting"/>
      <sz val="10"/>
      <name val="Arial"/>
      <family val="2"/>
    </font>
    <font>
      <b/>
      <sz val="13"/>
      <color indexed="8"/>
      <name val="Verdana"/>
      <family val="2"/>
    </font>
    <font>
      <b/>
      <sz val="8"/>
      <color indexed="9"/>
      <name val="Verdana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2"/>
      <color indexed="9"/>
      <name val="Symbol"/>
      <family val="1"/>
      <charset val="2"/>
    </font>
    <font>
      <sz val="8"/>
      <color indexed="39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b/>
      <sz val="8"/>
      <color theme="4"/>
      <name val="Arial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1"/>
      <name val="Arial"/>
      <family val="2"/>
    </font>
    <font>
      <sz val="16"/>
      <color rgb="FFFF0000"/>
      <name val="Arial"/>
      <family val="2"/>
    </font>
    <font>
      <sz val="16"/>
      <color rgb="FF002060"/>
      <name val="Arial"/>
      <family val="2"/>
    </font>
    <font>
      <sz val="16"/>
      <color theme="1"/>
      <name val="Arial"/>
      <family val="2"/>
    </font>
    <font>
      <b/>
      <sz val="10"/>
      <color rgb="FFFF0000"/>
      <name val="Arial"/>
      <family val="2"/>
    </font>
    <font>
      <sz val="10"/>
      <color rgb="FF0070C0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sz val="12"/>
      <color theme="1"/>
      <name val="Times New Roman"/>
      <family val="1"/>
    </font>
    <font>
      <sz val="9"/>
      <color indexed="0"/>
      <name val="Helv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sz val="12"/>
      <color indexed="0"/>
      <name val="Times New Roman"/>
      <family val="1"/>
    </font>
    <font>
      <b/>
      <sz val="12"/>
      <color indexed="8"/>
      <name val="Times New Roman"/>
      <family val="1"/>
    </font>
    <font>
      <sz val="12"/>
      <color indexed="12"/>
      <name val="Times New Roman"/>
      <family val="1"/>
    </font>
    <font>
      <b/>
      <sz val="12"/>
      <color rgb="FFFF0000"/>
      <name val="Times New Roman"/>
      <family val="1"/>
    </font>
    <font>
      <b/>
      <sz val="9"/>
      <color indexed="81"/>
      <name val="Tahoma"/>
      <family val="2"/>
    </font>
    <font>
      <b/>
      <sz val="18"/>
      <color theme="1"/>
      <name val="Arial"/>
      <family val="2"/>
    </font>
    <font>
      <b/>
      <i/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indexed="36"/>
      </patternFill>
    </fill>
    <fill>
      <patternFill patternType="solid">
        <fgColor indexed="59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gray0625">
        <fgColor indexed="10"/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lightGray">
        <fgColor indexed="14"/>
        <bgColor indexed="9"/>
      </patternFill>
    </fill>
    <fill>
      <patternFill patternType="lightGray">
        <fgColor indexed="15"/>
      </patternFill>
    </fill>
    <fill>
      <patternFill patternType="gray0625">
        <fgColor indexed="15"/>
      </patternFill>
    </fill>
    <fill>
      <patternFill patternType="lightGray">
        <fgColor indexed="12"/>
      </patternFill>
    </fill>
    <fill>
      <patternFill patternType="solid">
        <fgColor indexed="63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2"/>
        <bgColor indexed="9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mediumGray"/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ck">
        <color indexed="37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dotted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ck">
        <color indexed="10"/>
      </left>
      <right/>
      <top style="thick">
        <color indexed="10"/>
      </top>
      <bottom style="thin">
        <color indexed="10"/>
      </bottom>
      <diagonal/>
    </border>
    <border>
      <left/>
      <right/>
      <top style="thick">
        <color indexed="10"/>
      </top>
      <bottom style="thin">
        <color indexed="10"/>
      </bottom>
      <diagonal/>
    </border>
    <border>
      <left/>
      <right style="thick">
        <color indexed="10"/>
      </right>
      <top style="thick">
        <color indexed="10"/>
      </top>
      <bottom style="thin">
        <color indexed="10"/>
      </bottom>
      <diagonal/>
    </border>
    <border>
      <left style="thick">
        <color indexed="10"/>
      </left>
      <right/>
      <top style="thin">
        <color indexed="10"/>
      </top>
      <bottom style="thick">
        <color indexed="10"/>
      </bottom>
      <diagonal/>
    </border>
    <border>
      <left/>
      <right/>
      <top style="thin">
        <color indexed="10"/>
      </top>
      <bottom style="thick">
        <color indexed="10"/>
      </bottom>
      <diagonal/>
    </border>
    <border>
      <left/>
      <right style="thick">
        <color indexed="10"/>
      </right>
      <top style="thin">
        <color indexed="10"/>
      </top>
      <bottom style="thick">
        <color indexed="10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352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9" fontId="23" fillId="0" borderId="0">
      <alignment horizontal="right"/>
    </xf>
    <xf numFmtId="0" fontId="24" fillId="0" borderId="0" applyNumberFormat="0" applyFill="0" applyBorder="0" applyAlignment="0" applyProtection="0"/>
    <xf numFmtId="0" fontId="25" fillId="0" borderId="0"/>
    <xf numFmtId="172" fontId="26" fillId="0" borderId="0" applyFont="0" applyFill="0" applyBorder="0" applyAlignment="0" applyProtection="0"/>
    <xf numFmtId="173" fontId="26" fillId="0" borderId="0" applyFont="0" applyFill="0" applyBorder="0" applyAlignment="0" applyProtection="0"/>
    <xf numFmtId="174" fontId="26" fillId="0" borderId="0" applyFont="0" applyFill="0" applyBorder="0" applyAlignment="0" applyProtection="0"/>
    <xf numFmtId="175" fontId="26" fillId="0" borderId="0" applyFont="0" applyFill="0" applyBorder="0" applyAlignment="0" applyProtection="0"/>
    <xf numFmtId="8" fontId="27" fillId="0" borderId="0" applyFont="0" applyFill="0" applyBorder="0" applyAlignment="0" applyProtection="0"/>
    <xf numFmtId="0" fontId="28" fillId="0" borderId="0"/>
    <xf numFmtId="5" fontId="27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29" fillId="0" borderId="0"/>
    <xf numFmtId="0" fontId="31" fillId="0" borderId="0">
      <alignment horizontal="right"/>
    </xf>
    <xf numFmtId="15" fontId="18" fillId="0" borderId="19" applyBorder="0"/>
    <xf numFmtId="0" fontId="18" fillId="0" borderId="0"/>
    <xf numFmtId="176" fontId="26" fillId="0" borderId="0" applyFont="0" applyFill="0" applyBorder="0" applyAlignment="0" applyProtection="0"/>
    <xf numFmtId="0" fontId="31" fillId="0" borderId="0"/>
    <xf numFmtId="9" fontId="32" fillId="9" borderId="20">
      <alignment horizontal="right" vertical="center"/>
    </xf>
    <xf numFmtId="0" fontId="31" fillId="0" borderId="0"/>
    <xf numFmtId="177" fontId="31" fillId="0" borderId="0"/>
    <xf numFmtId="0" fontId="33" fillId="0" borderId="0"/>
    <xf numFmtId="10" fontId="27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9" fontId="27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 applyNumberFormat="0" applyFont="0" applyFill="0" applyBorder="0" applyAlignment="0" applyProtection="0"/>
    <xf numFmtId="0" fontId="18" fillId="0" borderId="21" applyBorder="0"/>
    <xf numFmtId="0" fontId="36" fillId="0" borderId="0" applyFont="0" applyFill="0" applyBorder="0" applyAlignment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0" fontId="38" fillId="0" borderId="0"/>
    <xf numFmtId="0" fontId="39" fillId="0" borderId="0" applyFont="0" applyAlignment="0">
      <alignment horizontal="center" vertical="center"/>
    </xf>
    <xf numFmtId="0" fontId="21" fillId="0" borderId="0" applyNumberFormat="0" applyFont="0" applyBorder="0" applyAlignment="0">
      <alignment horizontal="left"/>
    </xf>
    <xf numFmtId="0" fontId="40" fillId="0" borderId="0"/>
    <xf numFmtId="0" fontId="36" fillId="0" borderId="0"/>
    <xf numFmtId="0" fontId="39" fillId="0" borderId="0" applyFont="0" applyAlignment="0">
      <alignment horizontal="center" vertical="center"/>
    </xf>
    <xf numFmtId="0" fontId="39" fillId="0" borderId="0" applyFont="0" applyAlignment="0">
      <alignment horizontal="center" vertical="center"/>
    </xf>
    <xf numFmtId="0" fontId="39" fillId="0" borderId="0" applyFont="0" applyAlignment="0">
      <alignment horizontal="center" vertical="center"/>
    </xf>
    <xf numFmtId="0" fontId="39" fillId="0" borderId="0" applyFont="0" applyAlignment="0">
      <alignment horizontal="center" vertical="center"/>
    </xf>
    <xf numFmtId="0" fontId="39" fillId="0" borderId="0" applyFont="0" applyAlignment="0">
      <alignment horizontal="center" vertical="center"/>
    </xf>
    <xf numFmtId="0" fontId="39" fillId="0" borderId="0" applyFont="0" applyAlignment="0">
      <alignment horizontal="center" vertical="center"/>
    </xf>
    <xf numFmtId="0" fontId="36" fillId="0" borderId="0"/>
    <xf numFmtId="0" fontId="36" fillId="0" borderId="0"/>
    <xf numFmtId="38" fontId="41" fillId="0" borderId="0" applyFont="0" applyFill="0" applyBorder="0" applyAlignment="0" applyProtection="0"/>
    <xf numFmtId="41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179" fontId="31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42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178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178" fontId="30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18" fillId="0" borderId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43" fillId="0" borderId="0"/>
    <xf numFmtId="0" fontId="31" fillId="0" borderId="0">
      <alignment horizontal="left" wrapText="1"/>
    </xf>
    <xf numFmtId="0" fontId="31" fillId="0" borderId="0">
      <alignment horizontal="left" wrapText="1"/>
    </xf>
    <xf numFmtId="0" fontId="31" fillId="0" borderId="0">
      <alignment horizontal="left" wrapText="1"/>
    </xf>
    <xf numFmtId="0" fontId="18" fillId="0" borderId="0"/>
    <xf numFmtId="0" fontId="43" fillId="0" borderId="0"/>
    <xf numFmtId="0" fontId="18" fillId="0" borderId="0" applyFont="0" applyFill="0" applyBorder="0" applyAlignment="0" applyProtection="0"/>
    <xf numFmtId="0" fontId="44" fillId="10" borderId="0"/>
    <xf numFmtId="0" fontId="35" fillId="0" borderId="0" applyNumberFormat="0" applyFill="0" applyBorder="0" applyAlignment="0" applyProtection="0"/>
    <xf numFmtId="0" fontId="18" fillId="0" borderId="0" applyFont="0" applyFill="0" applyBorder="0" applyAlignment="0" applyProtection="0"/>
    <xf numFmtId="0" fontId="31" fillId="0" borderId="0"/>
    <xf numFmtId="0" fontId="31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/>
    <xf numFmtId="0" fontId="31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2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46" fillId="0" borderId="0">
      <alignment horizontal="right" vertical="center"/>
      <protection locked="0"/>
    </xf>
    <xf numFmtId="0" fontId="46" fillId="0" borderId="0">
      <alignment horizontal="right" vertical="center"/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14" fontId="30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22" applyFont="0" applyFill="0" applyBorder="0" applyAlignment="0" applyProtection="0"/>
    <xf numFmtId="0" fontId="31" fillId="0" borderId="22" applyFont="0" applyFill="0" applyBorder="0" applyAlignment="0" applyProtection="0"/>
    <xf numFmtId="0" fontId="31" fillId="0" borderId="22" applyFont="0" applyFill="0" applyBorder="0" applyAlignment="0" applyProtection="0"/>
    <xf numFmtId="0" fontId="18" fillId="0" borderId="0" applyFont="0" applyFill="0" applyBorder="0" applyAlignment="0" applyProtection="0"/>
    <xf numFmtId="3" fontId="30" fillId="0" borderId="0"/>
    <xf numFmtId="0" fontId="18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30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2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30" fillId="11" borderId="0" applyNumberFormat="0" applyFont="0" applyAlignment="0" applyProtection="0"/>
    <xf numFmtId="0" fontId="30" fillId="13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36" fillId="11" borderId="0" applyNumberFormat="0" applyFont="0" applyAlignment="0" applyProtection="0"/>
    <xf numFmtId="0" fontId="18" fillId="11" borderId="0" applyNumberFormat="0" applyFont="0" applyAlignment="0" applyProtection="0"/>
    <xf numFmtId="0" fontId="30" fillId="13" borderId="0" applyNumberFormat="0" applyFont="0" applyAlignment="0" applyProtection="0"/>
    <xf numFmtId="0" fontId="18" fillId="0" borderId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18" fillId="11" borderId="0" applyNumberFormat="0" applyFont="0" applyAlignment="0" applyProtection="0"/>
    <xf numFmtId="0" fontId="35" fillId="0" borderId="0" applyNumberFormat="0" applyFill="0" applyBorder="0" applyAlignment="0" applyProtection="0"/>
    <xf numFmtId="0" fontId="18" fillId="0" borderId="0" applyFont="0" applyFill="0" applyBorder="0" applyAlignment="0" applyProtection="0"/>
    <xf numFmtId="0" fontId="31" fillId="0" borderId="0"/>
    <xf numFmtId="0" fontId="31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6" fillId="0" borderId="0">
      <alignment horizontal="left" vertical="center" indent="4"/>
      <protection locked="0"/>
    </xf>
    <xf numFmtId="0" fontId="46" fillId="0" borderId="0">
      <alignment horizontal="left" vertical="center" indent="4"/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2" fillId="0" borderId="0" applyFill="0" applyProtection="0">
      <alignment horizontal="center"/>
    </xf>
    <xf numFmtId="0" fontId="42" fillId="0" borderId="0" applyFill="0" applyProtection="0">
      <alignment horizont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42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left" indent="4"/>
    </xf>
    <xf numFmtId="0" fontId="18" fillId="0" borderId="0" applyFont="0" applyFill="0" applyBorder="0" applyProtection="0">
      <alignment horizontal="left" indent="4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41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Protection="0">
      <alignment horizontal="right"/>
    </xf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23" applyFont="0" applyFill="0" applyBorder="0" applyProtection="0">
      <alignment horizontal="right"/>
    </xf>
    <xf numFmtId="0" fontId="31" fillId="0" borderId="23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178" fontId="18" fillId="0" borderId="0" applyFont="0" applyFill="0" applyBorder="0" applyProtection="0">
      <alignment horizontal="right"/>
    </xf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45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78" fontId="30" fillId="0" borderId="0" applyFont="0" applyFill="0" applyBorder="0" applyAlignment="0" applyProtection="0"/>
    <xf numFmtId="178" fontId="30" fillId="0" borderId="0" applyFont="0" applyFill="0" applyBorder="0" applyAlignment="0" applyProtection="0"/>
    <xf numFmtId="178" fontId="3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0" fillId="0" borderId="0" applyFont="0" applyFill="0" applyBorder="0" applyAlignment="0" applyProtection="0"/>
    <xf numFmtId="178" fontId="18" fillId="0" borderId="0" applyFont="0" applyFill="0" applyBorder="0" applyProtection="0">
      <alignment horizontal="right"/>
    </xf>
    <xf numFmtId="178" fontId="41" fillId="0" borderId="0" applyFont="0" applyFill="0" applyBorder="0" applyProtection="0">
      <alignment horizontal="right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/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4" applyNumberFormat="0" applyFill="0" applyAlignment="0" applyProtection="0"/>
    <xf numFmtId="0" fontId="46" fillId="0" borderId="23" applyNumberFormat="0" applyFill="0" applyAlignment="0" applyProtection="0"/>
    <xf numFmtId="0" fontId="46" fillId="0" borderId="24" applyNumberFormat="0" applyFill="0" applyAlignment="0" applyProtection="0"/>
    <xf numFmtId="0" fontId="46" fillId="0" borderId="24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4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4" applyNumberFormat="0" applyFill="0" applyAlignment="0" applyProtection="0"/>
    <xf numFmtId="0" fontId="18" fillId="0" borderId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4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6" fillId="0" borderId="23" applyNumberFormat="0" applyFill="0" applyAlignment="0" applyProtection="0"/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50" fillId="0" borderId="25" applyNumberFormat="0" applyFill="0" applyProtection="0">
      <alignment horizontal="center"/>
    </xf>
    <xf numFmtId="0" fontId="50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50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18" fillId="0" borderId="0"/>
    <xf numFmtId="0" fontId="49" fillId="0" borderId="25" applyNumberFormat="0" applyFill="0" applyProtection="0">
      <alignment horizontal="center"/>
    </xf>
    <xf numFmtId="0" fontId="49" fillId="0" borderId="25" applyNumberFormat="0" applyFill="0" applyProtection="0">
      <alignment horizontal="center"/>
    </xf>
    <xf numFmtId="0" fontId="18" fillId="0" borderId="26" applyNumberFormat="0" applyFont="0" applyFill="0" applyAlignment="0" applyProtection="0"/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18" fillId="0" borderId="0"/>
    <xf numFmtId="0" fontId="49" fillId="0" borderId="0" applyNumberFormat="0" applyFill="0" applyBorder="0" applyProtection="0">
      <alignment horizontal="left"/>
    </xf>
    <xf numFmtId="0" fontId="49" fillId="0" borderId="0" applyNumberFormat="0" applyFill="0" applyBorder="0" applyProtection="0">
      <alignment horizontal="left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2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2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1" fillId="0" borderId="0" applyNumberFormat="0" applyFont="0" applyFill="0" applyBorder="0" applyAlignment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2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18" fillId="0" borderId="0"/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3" fontId="30" fillId="0" borderId="0"/>
    <xf numFmtId="0" fontId="18" fillId="0" borderId="0" applyFont="0" applyFill="0" applyBorder="0" applyAlignment="0" applyProtection="0"/>
    <xf numFmtId="0" fontId="31" fillId="0" borderId="0"/>
    <xf numFmtId="0" fontId="31" fillId="0" borderId="0"/>
    <xf numFmtId="8" fontId="41" fillId="0" borderId="0" applyFont="0" applyFill="0" applyBorder="0" applyAlignment="0" applyProtection="0"/>
    <xf numFmtId="6" fontId="4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4" fillId="0" borderId="0"/>
    <xf numFmtId="0" fontId="53" fillId="0" borderId="0" applyFont="0" applyFill="0" applyBorder="0" applyAlignment="0" applyProtection="0"/>
    <xf numFmtId="9" fontId="18" fillId="14" borderId="0"/>
    <xf numFmtId="0" fontId="18" fillId="0" borderId="0"/>
    <xf numFmtId="0" fontId="18" fillId="0" borderId="0"/>
    <xf numFmtId="0" fontId="55" fillId="0" borderId="0"/>
    <xf numFmtId="0" fontId="41" fillId="0" borderId="0"/>
    <xf numFmtId="0" fontId="41" fillId="0" borderId="0"/>
    <xf numFmtId="9" fontId="18" fillId="0" borderId="0"/>
    <xf numFmtId="0" fontId="41" fillId="0" borderId="0"/>
    <xf numFmtId="0" fontId="56" fillId="0" borderId="0">
      <alignment horizontal="right"/>
    </xf>
    <xf numFmtId="0" fontId="56" fillId="0" borderId="0"/>
    <xf numFmtId="0" fontId="41" fillId="0" borderId="0"/>
    <xf numFmtId="2" fontId="41" fillId="0" borderId="0"/>
    <xf numFmtId="10" fontId="41" fillId="0" borderId="0"/>
    <xf numFmtId="0" fontId="31" fillId="0" borderId="0" applyFont="0" applyFill="0" applyBorder="0" applyAlignment="0" applyProtection="0">
      <alignment horizontal="right"/>
    </xf>
    <xf numFmtId="0" fontId="31" fillId="0" borderId="0" applyFont="0" applyFill="0" applyBorder="0" applyAlignment="0" applyProtection="0">
      <alignment horizontal="right"/>
    </xf>
    <xf numFmtId="38" fontId="36" fillId="0" borderId="27"/>
    <xf numFmtId="0" fontId="31" fillId="0" borderId="0">
      <alignment horizontal="left"/>
    </xf>
    <xf numFmtId="0" fontId="31" fillId="0" borderId="0">
      <alignment horizontal="left"/>
    </xf>
    <xf numFmtId="0" fontId="31" fillId="0" borderId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37" fontId="57" fillId="0" borderId="0">
      <alignment horizontal="center"/>
    </xf>
    <xf numFmtId="0" fontId="58" fillId="0" borderId="0">
      <alignment horizontal="center"/>
    </xf>
    <xf numFmtId="0" fontId="45" fillId="0" borderId="0" applyFont="0" applyFill="0" applyBorder="0" applyAlignment="0" applyProtection="0"/>
    <xf numFmtId="181" fontId="42" fillId="15" borderId="0" applyFont="0" applyBorder="0"/>
    <xf numFmtId="0" fontId="59" fillId="16" borderId="0"/>
    <xf numFmtId="181" fontId="42" fillId="17" borderId="0" applyNumberFormat="0" applyFont="0" applyBorder="0" applyAlignment="0" applyProtection="0"/>
    <xf numFmtId="181" fontId="60" fillId="14" borderId="0" applyNumberFormat="0" applyFont="0" applyBorder="0" applyAlignment="0" applyProtection="0"/>
    <xf numFmtId="181" fontId="31" fillId="18" borderId="0" applyBorder="0"/>
    <xf numFmtId="181" fontId="18" fillId="0" borderId="28" applyNumberFormat="0" applyBorder="0" applyAlignment="0" applyProtection="0"/>
    <xf numFmtId="182" fontId="23" fillId="0" borderId="0" applyBorder="0">
      <alignment horizontal="right"/>
    </xf>
    <xf numFmtId="182" fontId="31" fillId="0" borderId="28" applyBorder="0">
      <alignment horizontal="right"/>
    </xf>
    <xf numFmtId="164" fontId="61" fillId="0" borderId="0" applyBorder="0">
      <alignment horizontal="right"/>
    </xf>
    <xf numFmtId="164" fontId="62" fillId="0" borderId="28" applyBorder="0">
      <alignment horizontal="right"/>
    </xf>
    <xf numFmtId="181" fontId="63" fillId="0" borderId="0">
      <alignment horizontal="left" indent="1"/>
    </xf>
    <xf numFmtId="181" fontId="64" fillId="0" borderId="29" applyBorder="0"/>
    <xf numFmtId="181" fontId="42" fillId="19" borderId="28" applyNumberFormat="0" applyFont="0" applyBorder="0" applyAlignment="0" applyProtection="0"/>
    <xf numFmtId="182" fontId="39" fillId="20" borderId="29" applyBorder="0">
      <alignment horizontal="right"/>
    </xf>
    <xf numFmtId="182" fontId="39" fillId="0" borderId="29" applyBorder="0">
      <alignment horizontal="right"/>
    </xf>
    <xf numFmtId="181" fontId="30" fillId="0" borderId="28" applyNumberFormat="0" applyBorder="0" applyAlignment="0" applyProtection="0"/>
    <xf numFmtId="0" fontId="39" fillId="15" borderId="30" applyBorder="0">
      <alignment horizontal="center"/>
    </xf>
    <xf numFmtId="0" fontId="31" fillId="0" borderId="0" applyFont="0" applyFill="0" applyBorder="0" applyAlignment="0" applyProtection="0"/>
    <xf numFmtId="183" fontId="65" fillId="0" borderId="0" applyFont="0" applyFill="0" applyBorder="0" applyAlignment="0" applyProtection="0"/>
    <xf numFmtId="184" fontId="59" fillId="0" borderId="0" applyFont="0" applyFill="0" applyBorder="0" applyAlignment="0" applyProtection="0"/>
    <xf numFmtId="0" fontId="31" fillId="21" borderId="0" applyNumberFormat="0" applyFont="0" applyBorder="0" applyAlignment="0">
      <alignment horizontal="right"/>
    </xf>
    <xf numFmtId="0" fontId="31" fillId="22" borderId="31">
      <alignment horizontal="center" vertical="center"/>
    </xf>
    <xf numFmtId="0" fontId="31" fillId="21" borderId="2" applyFont="0">
      <alignment horizontal="right"/>
    </xf>
    <xf numFmtId="0" fontId="31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40" fillId="0" borderId="0">
      <alignment horizontal="center" wrapText="1"/>
      <protection locked="0"/>
    </xf>
    <xf numFmtId="0" fontId="1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8" fillId="0" borderId="32" applyNumberFormat="0" applyFill="0" applyBorder="0" applyAlignment="0" applyProtection="0"/>
    <xf numFmtId="0" fontId="66" fillId="0" borderId="32" applyNumberFormat="0" applyFill="0" applyBorder="0" applyAlignment="0" applyProtection="0"/>
    <xf numFmtId="0" fontId="67" fillId="0" borderId="32" applyNumberFormat="0" applyFill="0" applyBorder="0" applyAlignment="0" applyProtection="0"/>
    <xf numFmtId="0" fontId="31" fillId="0" borderId="32" applyNumberFormat="0" applyFill="0" applyAlignment="0" applyProtection="0"/>
    <xf numFmtId="0" fontId="68" fillId="0" borderId="0" applyNumberFormat="0" applyProtection="0"/>
    <xf numFmtId="0" fontId="69" fillId="0" borderId="33" applyNumberFormat="0" applyFill="0" applyAlignment="0" applyProtection="0"/>
    <xf numFmtId="0" fontId="45" fillId="0" borderId="21" applyNumberFormat="0" applyFont="0" applyFill="0" applyAlignment="0" applyProtection="0"/>
    <xf numFmtId="0" fontId="45" fillId="0" borderId="34" applyNumberFormat="0" applyFont="0" applyFill="0" applyAlignment="0" applyProtection="0"/>
    <xf numFmtId="0" fontId="45" fillId="0" borderId="0" applyFont="0" applyFill="0" applyBorder="0" applyAlignment="0" applyProtection="0"/>
    <xf numFmtId="0" fontId="31" fillId="0" borderId="0"/>
    <xf numFmtId="0" fontId="40" fillId="0" borderId="0" applyFont="0" applyFill="0" applyBorder="0" applyAlignment="0" applyProtection="0"/>
    <xf numFmtId="1" fontId="70" fillId="23" borderId="12" applyNumberFormat="0" applyBorder="0" applyAlignment="0">
      <alignment horizontal="center" vertical="top" wrapText="1"/>
      <protection hidden="1"/>
    </xf>
    <xf numFmtId="3" fontId="43" fillId="0" borderId="0" applyFont="0" applyBorder="0" applyAlignment="0" applyProtection="0"/>
    <xf numFmtId="185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>
      <alignment horizontal="right"/>
    </xf>
    <xf numFmtId="0" fontId="30" fillId="0" borderId="0"/>
    <xf numFmtId="0" fontId="31" fillId="24" borderId="35" applyFont="0" applyFill="0" applyBorder="0" applyAlignment="0" applyProtection="0">
      <alignment horizontal="center"/>
    </xf>
    <xf numFmtId="0" fontId="7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72" fillId="25" borderId="0" applyNumberFormat="0" applyFill="0" applyBorder="0" applyAlignment="0" applyProtection="0">
      <protection locked="0"/>
    </xf>
    <xf numFmtId="0" fontId="31" fillId="0" borderId="0" applyNumberFormat="0" applyFont="0" applyAlignment="0"/>
    <xf numFmtId="0" fontId="3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36" fillId="0" borderId="0" applyFont="0" applyFill="0" applyBorder="0" applyAlignment="0" applyProtection="0"/>
    <xf numFmtId="0" fontId="74" fillId="0" borderId="0" applyNumberFormat="0" applyFill="0" applyBorder="0" applyAlignment="0"/>
    <xf numFmtId="0" fontId="75" fillId="26" borderId="7" applyFill="0" applyBorder="0" applyProtection="0">
      <alignment horizontal="left"/>
    </xf>
    <xf numFmtId="0" fontId="76" fillId="0" borderId="0" applyNumberFormat="0" applyFill="0" applyBorder="0" applyAlignment="0" applyProtection="0"/>
    <xf numFmtId="1" fontId="77" fillId="16" borderId="36">
      <alignment horizontal="center"/>
    </xf>
    <xf numFmtId="0" fontId="78" fillId="0" borderId="0"/>
    <xf numFmtId="0" fontId="77" fillId="16" borderId="37">
      <alignment horizontal="center"/>
    </xf>
    <xf numFmtId="7" fontId="79" fillId="0" borderId="0">
      <alignment horizontal="right"/>
      <protection locked="0"/>
    </xf>
    <xf numFmtId="0" fontId="80" fillId="0" borderId="0" applyNumberFormat="0" applyFill="0" applyBorder="0" applyAlignment="0" applyProtection="0"/>
    <xf numFmtId="0" fontId="45" fillId="0" borderId="0" applyBorder="0" applyProtection="0"/>
    <xf numFmtId="0" fontId="18" fillId="0" borderId="0"/>
    <xf numFmtId="0" fontId="33" fillId="0" borderId="0" applyNumberFormat="0" applyFill="0" applyBorder="0" applyAlignment="0" applyProtection="0"/>
    <xf numFmtId="37" fontId="81" fillId="0" borderId="0"/>
    <xf numFmtId="0" fontId="82" fillId="0" borderId="21" applyNumberFormat="0" applyFill="0" applyAlignment="0" applyProtection="0"/>
    <xf numFmtId="0" fontId="18" fillId="25" borderId="15" applyNumberFormat="0" applyFill="0" applyBorder="0" applyAlignment="0" applyProtection="0">
      <protection locked="0"/>
    </xf>
    <xf numFmtId="5" fontId="24" fillId="0" borderId="29" applyAlignment="0" applyProtection="0"/>
    <xf numFmtId="0" fontId="40" fillId="0" borderId="22" applyNumberFormat="0" applyFont="0" applyFill="0" applyAlignment="0" applyProtection="0"/>
    <xf numFmtId="0" fontId="40" fillId="0" borderId="38" applyNumberFormat="0" applyFont="0" applyFill="0" applyAlignment="0" applyProtection="0"/>
    <xf numFmtId="0" fontId="27" fillId="0" borderId="21" applyNumberFormat="0" applyFont="0" applyFill="0" applyAlignment="0" applyProtection="0"/>
    <xf numFmtId="0" fontId="27" fillId="0" borderId="12" applyNumberFormat="0" applyFont="0" applyFill="0" applyAlignment="0" applyProtection="0"/>
    <xf numFmtId="0" fontId="27" fillId="0" borderId="15" applyNumberFormat="0" applyFont="0" applyFill="0" applyAlignment="0" applyProtection="0"/>
    <xf numFmtId="0" fontId="27" fillId="0" borderId="29" applyNumberFormat="0" applyFont="0" applyFill="0" applyAlignment="0" applyProtection="0"/>
    <xf numFmtId="37" fontId="83" fillId="0" borderId="2">
      <alignment horizontal="right" vertical="center"/>
    </xf>
    <xf numFmtId="37" fontId="81" fillId="0" borderId="2">
      <alignment horizontal="right" vertical="center"/>
    </xf>
    <xf numFmtId="188" fontId="45" fillId="0" borderId="22" applyNumberFormat="0" applyFont="0" applyFill="0" applyAlignment="0" applyProtection="0">
      <alignment horizontal="center"/>
    </xf>
    <xf numFmtId="0" fontId="18" fillId="0" borderId="39" applyFill="0" applyProtection="0">
      <alignment horizontal="right"/>
    </xf>
    <xf numFmtId="178" fontId="31" fillId="0" borderId="21" applyFill="0" applyAlignment="0" applyProtection="0">
      <alignment horizontal="center"/>
    </xf>
    <xf numFmtId="189" fontId="18" fillId="0" borderId="0" applyFont="0" applyFill="0" applyBorder="0" applyAlignment="0" applyProtection="0"/>
    <xf numFmtId="190" fontId="84" fillId="0" borderId="0" applyFill="0" applyBorder="0" applyAlignment="0" applyProtection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53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18" fillId="0" borderId="0"/>
    <xf numFmtId="0" fontId="86" fillId="0" borderId="0"/>
    <xf numFmtId="0" fontId="33" fillId="0" borderId="22">
      <alignment horizontal="center"/>
    </xf>
    <xf numFmtId="0" fontId="18" fillId="0" borderId="0"/>
    <xf numFmtId="0" fontId="31" fillId="0" borderId="0"/>
    <xf numFmtId="0" fontId="36" fillId="0" borderId="0" applyFont="0" applyFill="0" applyBorder="0" applyAlignment="0" applyProtection="0"/>
    <xf numFmtId="0" fontId="31" fillId="0" borderId="0"/>
    <xf numFmtId="2" fontId="31" fillId="27" borderId="0" applyNumberFormat="0" applyFont="0" applyBorder="0" applyAlignment="0" applyProtection="0"/>
    <xf numFmtId="0" fontId="27" fillId="0" borderId="0" applyFill="0" applyBorder="0" applyAlignment="0"/>
    <xf numFmtId="0" fontId="18" fillId="0" borderId="0" applyFill="0" applyBorder="0" applyAlignment="0"/>
    <xf numFmtId="0" fontId="18" fillId="0" borderId="0" applyFill="0" applyBorder="0" applyAlignment="0"/>
    <xf numFmtId="0" fontId="18" fillId="0" borderId="0" applyFill="0" applyBorder="0" applyAlignment="0"/>
    <xf numFmtId="0" fontId="18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0" fontId="18" fillId="0" borderId="0" applyFill="0" applyBorder="0" applyAlignment="0"/>
    <xf numFmtId="0" fontId="88" fillId="0" borderId="0"/>
    <xf numFmtId="0" fontId="31" fillId="0" borderId="0"/>
    <xf numFmtId="0" fontId="31" fillId="0" borderId="0">
      <alignment horizontal="left"/>
    </xf>
    <xf numFmtId="191" fontId="40" fillId="28" borderId="0" applyNumberFormat="0" applyFont="0" applyBorder="0" applyAlignment="0"/>
    <xf numFmtId="0" fontId="40" fillId="0" borderId="0" applyFill="0" applyBorder="0" applyProtection="0"/>
    <xf numFmtId="0" fontId="18" fillId="0" borderId="0" applyFont="0" applyFill="0" applyBorder="0" applyAlignment="0" applyProtection="0"/>
    <xf numFmtId="0" fontId="89" fillId="0" borderId="0"/>
    <xf numFmtId="0" fontId="90" fillId="26" borderId="13"/>
    <xf numFmtId="0" fontId="36" fillId="0" borderId="0"/>
    <xf numFmtId="0" fontId="82" fillId="0" borderId="21" applyNumberFormat="0" applyFont="0" applyFill="0" applyProtection="0">
      <alignment horizontal="centerContinuous" vertical="center"/>
    </xf>
    <xf numFmtId="0" fontId="64" fillId="0" borderId="0" applyFill="0" applyBorder="0" applyProtection="0">
      <alignment horizontal="center"/>
      <protection locked="0"/>
    </xf>
    <xf numFmtId="8" fontId="18" fillId="0" borderId="26" applyFont="0" applyFill="0" applyBorder="0" applyProtection="0">
      <alignment horizontal="right"/>
    </xf>
    <xf numFmtId="0" fontId="91" fillId="0" borderId="0">
      <alignment horizontal="center" wrapText="1"/>
    </xf>
    <xf numFmtId="1" fontId="92" fillId="0" borderId="0"/>
    <xf numFmtId="0" fontId="45" fillId="0" borderId="19" applyFont="0" applyFill="0" applyAlignment="0" applyProtection="0"/>
    <xf numFmtId="3" fontId="27" fillId="0" borderId="0"/>
    <xf numFmtId="0" fontId="93" fillId="0" borderId="0" applyProtection="0"/>
    <xf numFmtId="0" fontId="31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5" fillId="0" borderId="21" applyNumberFormat="0" applyFill="0" applyBorder="0" applyAlignment="0" applyProtection="0">
      <alignment horizontal="center"/>
    </xf>
    <xf numFmtId="0" fontId="96" fillId="0" borderId="21" applyNumberFormat="0" applyFill="0" applyProtection="0">
      <alignment horizontal="left" vertical="center"/>
    </xf>
    <xf numFmtId="0" fontId="18" fillId="0" borderId="0">
      <alignment horizontal="center" wrapText="1"/>
      <protection hidden="1"/>
    </xf>
    <xf numFmtId="0" fontId="29" fillId="0" borderId="21" applyNumberFormat="0" applyFill="0" applyBorder="0" applyProtection="0">
      <alignment horizontal="left" vertical="center"/>
    </xf>
    <xf numFmtId="0" fontId="29" fillId="0" borderId="21" applyNumberFormat="0" applyFill="0" applyBorder="0" applyProtection="0">
      <alignment horizontal="right" vertical="center"/>
    </xf>
    <xf numFmtId="0" fontId="97" fillId="0" borderId="0" applyNumberFormat="0" applyFill="0" applyBorder="0" applyAlignment="0" applyProtection="0">
      <alignment vertical="top"/>
      <protection locked="0"/>
    </xf>
    <xf numFmtId="0" fontId="75" fillId="29" borderId="13" applyNumberFormat="0" applyBorder="0" applyProtection="0">
      <alignment horizontal="center" vertical="center" wrapText="1"/>
    </xf>
    <xf numFmtId="0" fontId="31" fillId="0" borderId="0" applyFill="0" applyBorder="0" applyProtection="0">
      <alignment horizontal="center"/>
    </xf>
    <xf numFmtId="0" fontId="66" fillId="0" borderId="0" applyNumberFormat="0" applyFill="0" applyBorder="0" applyProtection="0">
      <alignment wrapText="1"/>
    </xf>
    <xf numFmtId="0" fontId="91" fillId="0" borderId="0" applyNumberFormat="0" applyFill="0" applyBorder="0" applyProtection="0">
      <alignment wrapText="1"/>
    </xf>
    <xf numFmtId="0" fontId="66" fillId="0" borderId="0" applyBorder="0">
      <alignment horizontal="right"/>
    </xf>
    <xf numFmtId="0" fontId="66" fillId="0" borderId="22" applyAlignment="0">
      <alignment horizontal="right"/>
    </xf>
    <xf numFmtId="0" fontId="59" fillId="0" borderId="0">
      <alignment horizontal="right"/>
    </xf>
    <xf numFmtId="0" fontId="36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41" fontId="91" fillId="0" borderId="29"/>
    <xf numFmtId="0" fontId="87" fillId="0" borderId="0" applyFont="0" applyFill="0" applyBorder="0" applyAlignment="0" applyProtection="0"/>
    <xf numFmtId="192" fontId="33" fillId="0" borderId="0" applyFont="0" applyFill="0" applyBorder="0" applyAlignment="0" applyProtection="0"/>
    <xf numFmtId="193" fontId="91" fillId="0" borderId="29"/>
    <xf numFmtId="193" fontId="99" fillId="0" borderId="0" applyFont="0" applyFill="0" applyBorder="0" applyAlignment="0" applyProtection="0"/>
    <xf numFmtId="39" fontId="36" fillId="0" borderId="0" applyFont="0" applyFill="0" applyBorder="0" applyAlignment="0" applyProtection="0"/>
    <xf numFmtId="0" fontId="31" fillId="0" borderId="29"/>
    <xf numFmtId="38" fontId="59" fillId="0" borderId="0"/>
    <xf numFmtId="0" fontId="36" fillId="0" borderId="0" applyFont="0" applyFill="0" applyBorder="0" applyAlignment="0" applyProtection="0"/>
    <xf numFmtId="0" fontId="45" fillId="0" borderId="0" applyFont="0" applyFill="0" applyBorder="0" applyAlignment="0" applyProtection="0">
      <alignment horizontal="right"/>
    </xf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>
      <alignment horizontal="right"/>
    </xf>
    <xf numFmtId="194" fontId="45" fillId="0" borderId="0" applyFont="0" applyFill="0" applyBorder="0" applyAlignment="0" applyProtection="0"/>
    <xf numFmtId="195" fontId="100" fillId="0" borderId="0"/>
    <xf numFmtId="0" fontId="45" fillId="0" borderId="0" applyFont="0" applyFill="0" applyBorder="0" applyAlignment="0" applyProtection="0"/>
    <xf numFmtId="40" fontId="18" fillId="0" borderId="0" applyFont="0" applyFill="0" applyBorder="0" applyProtection="0">
      <alignment horizontal="right"/>
    </xf>
    <xf numFmtId="0" fontId="31" fillId="0" borderId="0"/>
    <xf numFmtId="196" fontId="45" fillId="0" borderId="0" applyFont="0" applyFill="0" applyBorder="0" applyAlignment="0" applyProtection="0"/>
    <xf numFmtId="0" fontId="31" fillId="0" borderId="0"/>
    <xf numFmtId="3" fontId="101" fillId="0" borderId="0" applyFont="0" applyFill="0" applyBorder="0" applyAlignment="0" applyProtection="0"/>
    <xf numFmtId="0" fontId="102" fillId="0" borderId="0"/>
    <xf numFmtId="0" fontId="98" fillId="0" borderId="0"/>
    <xf numFmtId="0" fontId="103" fillId="0" borderId="0" applyFill="0" applyBorder="0" applyAlignment="0" applyProtection="0"/>
    <xf numFmtId="0" fontId="27" fillId="0" borderId="0" applyFont="0" applyFill="0" applyBorder="0" applyAlignment="0" applyProtection="0"/>
    <xf numFmtId="0" fontId="102" fillId="0" borderId="0"/>
    <xf numFmtId="0" fontId="98" fillId="0" borderId="0"/>
    <xf numFmtId="4" fontId="104" fillId="0" borderId="13" applyFont="0" applyFill="0" applyBorder="0" applyAlignment="0" applyProtection="0"/>
    <xf numFmtId="0" fontId="31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36" fillId="0" borderId="0">
      <alignment horizontal="right"/>
    </xf>
    <xf numFmtId="0" fontId="105" fillId="0" borderId="0"/>
    <xf numFmtId="0" fontId="106" fillId="30" borderId="0">
      <alignment horizontal="center" vertical="center" wrapText="1"/>
    </xf>
    <xf numFmtId="0" fontId="107" fillId="0" borderId="0" applyFill="0" applyBorder="0" applyAlignment="0" applyProtection="0">
      <protection locked="0"/>
    </xf>
    <xf numFmtId="0" fontId="93" fillId="0" borderId="0" applyFill="0" applyBorder="0">
      <alignment horizontal="left"/>
    </xf>
    <xf numFmtId="0" fontId="108" fillId="0" borderId="0" applyNumberFormat="0" applyAlignment="0">
      <alignment horizontal="left"/>
    </xf>
    <xf numFmtId="0" fontId="45" fillId="0" borderId="6" applyFont="0" applyFill="0" applyBorder="0" applyAlignment="0" applyProtection="0"/>
    <xf numFmtId="0" fontId="109" fillId="0" borderId="0">
      <alignment horizontal="left"/>
    </xf>
    <xf numFmtId="0" fontId="110" fillId="0" borderId="0"/>
    <xf numFmtId="0" fontId="111" fillId="0" borderId="0">
      <alignment horizontal="left"/>
    </xf>
    <xf numFmtId="0" fontId="31" fillId="1" borderId="0" applyFont="0" applyFill="0" applyBorder="0" applyAlignment="0" applyProtection="0">
      <alignment horizontal="right"/>
    </xf>
    <xf numFmtId="0" fontId="45" fillId="0" borderId="21"/>
    <xf numFmtId="6" fontId="41" fillId="0" borderId="0" applyFont="0" applyFill="0" applyBorder="0" applyAlignment="0" applyProtection="0"/>
    <xf numFmtId="0" fontId="36" fillId="0" borderId="0" applyFill="0" applyBorder="0">
      <alignment horizontal="right"/>
      <protection locked="0"/>
    </xf>
    <xf numFmtId="0" fontId="40" fillId="0" borderId="0" applyFont="0" applyFill="0" applyBorder="0" applyAlignment="0" applyProtection="0">
      <protection locked="0"/>
    </xf>
    <xf numFmtId="0" fontId="40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91" fillId="0" borderId="29"/>
    <xf numFmtId="0" fontId="18" fillId="0" borderId="0" applyFont="0" applyFill="0" applyBorder="0" applyAlignment="0" applyProtection="0"/>
    <xf numFmtId="0" fontId="112" fillId="0" borderId="0" applyFont="0" applyFill="0" applyBorder="0" applyAlignment="0" applyProtection="0"/>
    <xf numFmtId="0" fontId="91" fillId="0" borderId="29"/>
    <xf numFmtId="0" fontId="113" fillId="0" borderId="0" applyFont="0" applyFill="0" applyBorder="0" applyAlignment="0" applyProtection="0"/>
    <xf numFmtId="8" fontId="114" fillId="0" borderId="40">
      <protection locked="0"/>
    </xf>
    <xf numFmtId="44" fontId="91" fillId="0" borderId="29"/>
    <xf numFmtId="8" fontId="114" fillId="0" borderId="40">
      <protection locked="0"/>
    </xf>
    <xf numFmtId="0" fontId="36" fillId="0" borderId="0" applyFont="0" applyFill="0" applyBorder="0" applyAlignment="0" applyProtection="0"/>
    <xf numFmtId="7" fontId="18" fillId="0" borderId="0"/>
    <xf numFmtId="0" fontId="45" fillId="0" borderId="0" applyFont="0" applyFill="0" applyBorder="0" applyAlignment="0" applyProtection="0">
      <alignment horizontal="right"/>
    </xf>
    <xf numFmtId="0" fontId="56" fillId="0" borderId="11" applyBorder="0"/>
    <xf numFmtId="197" fontId="45" fillId="0" borderId="0"/>
    <xf numFmtId="0" fontId="45" fillId="0" borderId="0" applyFont="0" applyFill="0" applyBorder="0" applyAlignment="0" applyProtection="0">
      <alignment horizontal="right"/>
    </xf>
    <xf numFmtId="7" fontId="91" fillId="0" borderId="29"/>
    <xf numFmtId="198" fontId="115" fillId="0" borderId="0" applyFont="0" applyFill="0" applyBorder="0" applyAlignment="0" applyProtection="0"/>
    <xf numFmtId="199" fontId="45" fillId="0" borderId="0" applyFont="0" applyFill="0" applyBorder="0" applyAlignment="0" applyProtection="0">
      <alignment horizontal="right"/>
    </xf>
    <xf numFmtId="0" fontId="115" fillId="0" borderId="0" applyFont="0" applyFill="0" applyBorder="0" applyAlignment="0" applyProtection="0"/>
    <xf numFmtId="8" fontId="32" fillId="15" borderId="20">
      <alignment horizontal="right"/>
    </xf>
    <xf numFmtId="200" fontId="45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99" fillId="0" borderId="0"/>
    <xf numFmtId="0" fontId="45" fillId="0" borderId="0" applyFill="0" applyBorder="0" applyProtection="0">
      <alignment vertical="center"/>
    </xf>
    <xf numFmtId="0" fontId="27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5" fillId="0" borderId="0"/>
    <xf numFmtId="7" fontId="56" fillId="0" borderId="0" applyFill="0" applyBorder="0">
      <alignment horizontal="right"/>
    </xf>
    <xf numFmtId="0" fontId="45" fillId="25" borderId="0" applyFont="0" applyFill="0" applyBorder="0" applyAlignment="0" applyProtection="0">
      <alignment vertical="center"/>
      <protection locked="0"/>
    </xf>
    <xf numFmtId="0" fontId="45" fillId="25" borderId="0" applyFont="0" applyFill="0" applyBorder="0" applyAlignment="0" applyProtection="0">
      <alignment vertical="center"/>
      <protection locked="0"/>
    </xf>
    <xf numFmtId="0" fontId="116" fillId="25" borderId="0" applyFont="0" applyFill="0" applyBorder="0" applyAlignment="0" applyProtection="0">
      <alignment vertical="center"/>
      <protection locked="0"/>
    </xf>
    <xf numFmtId="0" fontId="45" fillId="25" borderId="0" applyFont="0" applyFill="0" applyBorder="0" applyAlignment="0" applyProtection="0">
      <alignment vertical="center"/>
      <protection locked="0"/>
    </xf>
    <xf numFmtId="0" fontId="45" fillId="25" borderId="0" applyFont="0" applyFill="0" applyBorder="0" applyAlignment="0" applyProtection="0">
      <alignment vertical="center"/>
      <protection locked="0"/>
    </xf>
    <xf numFmtId="0" fontId="31" fillId="15" borderId="15">
      <alignment horizontal="right"/>
    </xf>
    <xf numFmtId="0" fontId="31" fillId="15" borderId="15">
      <alignment horizontal="right"/>
    </xf>
    <xf numFmtId="0" fontId="31" fillId="15" borderId="15">
      <alignment horizontal="right"/>
    </xf>
    <xf numFmtId="0" fontId="31" fillId="15" borderId="15">
      <alignment horizontal="right"/>
    </xf>
    <xf numFmtId="0" fontId="53" fillId="0" borderId="0" applyFont="0" applyFill="0" applyBorder="0" applyAlignment="0" applyProtection="0"/>
    <xf numFmtId="0" fontId="45" fillId="0" borderId="0" applyNumberFormat="0">
      <alignment horizontal="right"/>
    </xf>
    <xf numFmtId="8" fontId="117" fillId="0" borderId="0" applyNumberFormat="0" applyFill="0" applyBorder="0" applyAlignment="0"/>
    <xf numFmtId="14" fontId="79" fillId="31" borderId="41"/>
    <xf numFmtId="191" fontId="40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15" fontId="1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/>
    <xf numFmtId="0" fontId="31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17" fontId="18" fillId="0" borderId="0" applyFill="0" applyBorder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14" fontId="18" fillId="0" borderId="0" applyFill="0" applyBorder="0" applyProtection="0">
      <alignment horizontal="center"/>
    </xf>
    <xf numFmtId="14" fontId="118" fillId="0" borderId="0" applyFill="0" applyBorder="0" applyAlignment="0"/>
    <xf numFmtId="0" fontId="45" fillId="0" borderId="0" applyFill="0" applyBorder="0" applyProtection="0">
      <alignment horizontal="center"/>
    </xf>
    <xf numFmtId="15" fontId="56" fillId="0" borderId="0" applyFont="0" applyFill="0" applyBorder="0" applyAlignment="0" applyProtection="0">
      <protection locked="0"/>
    </xf>
    <xf numFmtId="14" fontId="97" fillId="0" borderId="0">
      <alignment horizontal="right"/>
      <protection locked="0"/>
    </xf>
    <xf numFmtId="0" fontId="31" fillId="0" borderId="13" applyFont="0" applyFill="0" applyBorder="0" applyAlignment="0" applyProtection="0">
      <alignment horizontal="right"/>
    </xf>
    <xf numFmtId="14" fontId="33" fillId="0" borderId="0" applyFont="0" applyFill="0" applyBorder="0" applyAlignment="0" applyProtection="0"/>
    <xf numFmtId="14" fontId="18" fillId="0" borderId="0" applyFont="0" applyFill="0" applyBorder="0" applyAlignment="0" applyProtection="0">
      <alignment horizontal="center"/>
    </xf>
    <xf numFmtId="0" fontId="45" fillId="0" borderId="0" applyFont="0" applyFill="0" applyBorder="0" applyAlignment="0" applyProtection="0">
      <alignment horizontal="center"/>
    </xf>
    <xf numFmtId="201" fontId="45" fillId="0" borderId="29" applyFont="0" applyFill="0" applyBorder="0" applyAlignment="0" applyProtection="0">
      <alignment horizontal="center"/>
    </xf>
    <xf numFmtId="0" fontId="45" fillId="0" borderId="29" applyFont="0" applyFill="0" applyBorder="0" applyAlignment="0" applyProtection="0">
      <alignment horizontal="center"/>
    </xf>
    <xf numFmtId="0" fontId="33" fillId="0" borderId="0"/>
    <xf numFmtId="0" fontId="33" fillId="0" borderId="0"/>
    <xf numFmtId="42" fontId="119" fillId="0" borderId="0"/>
    <xf numFmtId="0" fontId="119" fillId="0" borderId="0"/>
    <xf numFmtId="14" fontId="53" fillId="0" borderId="21" applyBorder="0" applyAlignment="0">
      <alignment horizontal="center"/>
    </xf>
    <xf numFmtId="0" fontId="40" fillId="0" borderId="0"/>
    <xf numFmtId="0" fontId="30" fillId="0" borderId="0"/>
    <xf numFmtId="37" fontId="83" fillId="0" borderId="0"/>
    <xf numFmtId="0" fontId="3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20" fillId="0" borderId="0">
      <protection locked="0"/>
    </xf>
    <xf numFmtId="41" fontId="42" fillId="0" borderId="0"/>
    <xf numFmtId="0" fontId="40" fillId="0" borderId="0" applyProtection="0"/>
    <xf numFmtId="38" fontId="40" fillId="0" borderId="0" applyNumberFormat="0"/>
    <xf numFmtId="0" fontId="40" fillId="0" borderId="0" applyProtection="0"/>
    <xf numFmtId="8" fontId="40" fillId="0" borderId="0" applyFont="0" applyFill="0" applyBorder="0" applyAlignment="0" applyProtection="0"/>
    <xf numFmtId="0" fontId="98" fillId="0" borderId="0"/>
    <xf numFmtId="0" fontId="121" fillId="0" borderId="0" applyFill="0" applyBorder="0" applyProtection="0"/>
    <xf numFmtId="0" fontId="31" fillId="0" borderId="0"/>
    <xf numFmtId="6" fontId="40" fillId="0" borderId="0" applyFill="0" applyBorder="0" applyProtection="0"/>
    <xf numFmtId="0" fontId="56" fillId="0" borderId="0" applyBorder="0" applyProtection="0"/>
    <xf numFmtId="202" fontId="40" fillId="0" borderId="0"/>
    <xf numFmtId="202" fontId="99" fillId="0" borderId="0">
      <protection locked="0"/>
    </xf>
    <xf numFmtId="7" fontId="40" fillId="0" borderId="0"/>
    <xf numFmtId="42" fontId="36" fillId="0" borderId="0"/>
    <xf numFmtId="170" fontId="33" fillId="0" borderId="0" applyFont="0" applyFill="0" applyBorder="0" applyAlignment="0" applyProtection="0"/>
    <xf numFmtId="6" fontId="40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5" fillId="0" borderId="34" applyNumberFormat="0" applyFont="0" applyFill="0" applyAlignment="0" applyProtection="0"/>
    <xf numFmtId="42" fontId="122" fillId="0" borderId="0" applyFill="0" applyBorder="0" applyAlignment="0" applyProtection="0"/>
    <xf numFmtId="0" fontId="31" fillId="0" borderId="19" applyNumberFormat="0" applyFill="0" applyAlignment="0" applyProtection="0"/>
    <xf numFmtId="0" fontId="65" fillId="0" borderId="29" applyNumberFormat="0" applyBorder="0"/>
    <xf numFmtId="0" fontId="46" fillId="25" borderId="0">
      <alignment horizontal="right" vertical="center"/>
    </xf>
    <xf numFmtId="0" fontId="123" fillId="0" borderId="42" applyNumberFormat="0" applyAlignment="0" applyProtection="0">
      <alignment vertical="top"/>
    </xf>
    <xf numFmtId="0" fontId="18" fillId="0" borderId="0">
      <protection locked="0"/>
    </xf>
    <xf numFmtId="0" fontId="18" fillId="0" borderId="0">
      <protection locked="0"/>
    </xf>
    <xf numFmtId="0" fontId="87" fillId="0" borderId="0" applyFill="0" applyBorder="0" applyAlignment="0"/>
    <xf numFmtId="0" fontId="18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0" fontId="18" fillId="0" borderId="0" applyFill="0" applyBorder="0" applyAlignment="0"/>
    <xf numFmtId="0" fontId="124" fillId="0" borderId="0" applyNumberFormat="0" applyAlignment="0">
      <alignment horizontal="left"/>
    </xf>
    <xf numFmtId="9" fontId="125" fillId="0" borderId="13" applyNumberFormat="0" applyBorder="0" applyAlignment="0">
      <protection locked="0"/>
    </xf>
    <xf numFmtId="0" fontId="31" fillId="32" borderId="0"/>
    <xf numFmtId="0" fontId="31" fillId="32" borderId="0"/>
    <xf numFmtId="0" fontId="31" fillId="32" borderId="0"/>
    <xf numFmtId="0" fontId="31" fillId="0" borderId="0"/>
    <xf numFmtId="0" fontId="31" fillId="32" borderId="0"/>
    <xf numFmtId="0" fontId="31" fillId="0" borderId="0" applyFont="0" applyFill="0" applyBorder="0" applyProtection="0">
      <alignment horizontal="left"/>
      <protection locked="0"/>
    </xf>
    <xf numFmtId="0" fontId="31" fillId="0" borderId="0"/>
    <xf numFmtId="0" fontId="31" fillId="0" borderId="0" applyFont="0" applyFill="0" applyBorder="0" applyProtection="0">
      <alignment horizontal="left"/>
      <protection locked="0"/>
    </xf>
    <xf numFmtId="8" fontId="126" fillId="0" borderId="0"/>
    <xf numFmtId="0" fontId="126" fillId="0" borderId="0"/>
    <xf numFmtId="0" fontId="126" fillId="0" borderId="0"/>
    <xf numFmtId="2" fontId="127" fillId="0" borderId="0"/>
    <xf numFmtId="203" fontId="26" fillId="0" borderId="0" applyFont="0" applyFill="0" applyBorder="0" applyAlignment="0" applyProtection="0"/>
    <xf numFmtId="204" fontId="128" fillId="0" borderId="0" applyFont="0" applyFill="0" applyBorder="0" applyAlignment="0" applyProtection="0"/>
    <xf numFmtId="0" fontId="31" fillId="33" borderId="29" applyNumberFormat="0" applyFont="0" applyBorder="0" applyAlignment="0" applyProtection="0">
      <alignment horizontal="right"/>
    </xf>
    <xf numFmtId="0" fontId="59" fillId="0" borderId="0" applyFill="0" applyBorder="0">
      <alignment horizontal="right" vertical="top"/>
    </xf>
    <xf numFmtId="0" fontId="120" fillId="0" borderId="0">
      <protection locked="0"/>
    </xf>
    <xf numFmtId="0" fontId="120" fillId="0" borderId="0">
      <protection locked="0"/>
    </xf>
    <xf numFmtId="0" fontId="120" fillId="0" borderId="0">
      <protection locked="0"/>
    </xf>
    <xf numFmtId="0" fontId="120" fillId="0" borderId="0">
      <protection locked="0"/>
    </xf>
    <xf numFmtId="0" fontId="120" fillId="0" borderId="0">
      <protection locked="0"/>
    </xf>
    <xf numFmtId="0" fontId="120" fillId="0" borderId="0">
      <protection locked="0"/>
    </xf>
    <xf numFmtId="0" fontId="120" fillId="0" borderId="0">
      <protection locked="0"/>
    </xf>
    <xf numFmtId="3" fontId="129" fillId="0" borderId="0" applyNumberFormat="0" applyFont="0" applyFill="0" applyBorder="0" applyAlignment="0" applyProtection="0">
      <alignment horizontal="left"/>
    </xf>
    <xf numFmtId="1" fontId="130" fillId="34" borderId="7" applyNumberFormat="0" applyBorder="0" applyAlignment="0">
      <alignment horizontal="centerContinuous" vertical="center"/>
      <protection locked="0"/>
    </xf>
    <xf numFmtId="0" fontId="120" fillId="0" borderId="0">
      <protection locked="0"/>
    </xf>
    <xf numFmtId="3" fontId="18" fillId="0" borderId="0" applyFont="0" applyFill="0" applyBorder="0" applyAlignment="0" applyProtection="0"/>
    <xf numFmtId="0" fontId="120" fillId="0" borderId="0">
      <protection locked="0"/>
    </xf>
    <xf numFmtId="2" fontId="101" fillId="0" borderId="0" applyFont="0" applyFill="0" applyBorder="0" applyAlignment="0" applyProtection="0"/>
    <xf numFmtId="1" fontId="27" fillId="0" borderId="0" applyFont="0" applyFill="0" applyBorder="0" applyAlignment="0" applyProtection="0"/>
    <xf numFmtId="0" fontId="56" fillId="0" borderId="0" applyFill="0" applyBorder="0">
      <alignment horizontal="right"/>
    </xf>
    <xf numFmtId="0" fontId="131" fillId="0" borderId="0">
      <alignment horizontal="left"/>
    </xf>
    <xf numFmtId="0" fontId="132" fillId="0" borderId="0">
      <alignment horizontal="left"/>
    </xf>
    <xf numFmtId="0" fontId="133" fillId="0" borderId="0" applyFill="0" applyBorder="0" applyProtection="0">
      <alignment horizontal="left"/>
    </xf>
    <xf numFmtId="0" fontId="133" fillId="0" borderId="0" applyNumberFormat="0" applyFill="0" applyBorder="0" applyProtection="0">
      <alignment horizontal="left"/>
    </xf>
    <xf numFmtId="0" fontId="133" fillId="0" borderId="0">
      <alignment horizontal="left"/>
    </xf>
    <xf numFmtId="0" fontId="134" fillId="0" borderId="0" applyNumberFormat="0" applyFill="0" applyBorder="0" applyAlignment="0" applyProtection="0"/>
    <xf numFmtId="1" fontId="31" fillId="0" borderId="0" applyNumberFormat="0" applyBorder="0" applyAlignment="0" applyProtection="0"/>
    <xf numFmtId="0" fontId="30" fillId="0" borderId="0"/>
    <xf numFmtId="0" fontId="31" fillId="0" borderId="0"/>
    <xf numFmtId="0" fontId="135" fillId="0" borderId="0"/>
    <xf numFmtId="205" fontId="30" fillId="0" borderId="0"/>
    <xf numFmtId="41" fontId="136" fillId="0" borderId="0"/>
    <xf numFmtId="0" fontId="31" fillId="25" borderId="13" applyFont="0" applyBorder="0" applyAlignment="0" applyProtection="0">
      <alignment vertical="top"/>
    </xf>
    <xf numFmtId="0" fontId="18" fillId="0" borderId="0" applyBorder="0" applyProtection="0"/>
    <xf numFmtId="0" fontId="36" fillId="0" borderId="0" applyFont="0" applyFill="0" applyBorder="0" applyAlignment="0" applyProtection="0"/>
    <xf numFmtId="13" fontId="18" fillId="0" borderId="43" applyFont="0" applyFill="0" applyBorder="0">
      <alignment horizontal="left"/>
    </xf>
    <xf numFmtId="0" fontId="31" fillId="0" borderId="0" applyFont="0" applyFill="0" applyBorder="0" applyAlignment="0" applyProtection="0"/>
    <xf numFmtId="0" fontId="36" fillId="0" borderId="0" applyFont="0" applyFill="0" applyBorder="0" applyAlignment="0" applyProtection="0"/>
    <xf numFmtId="206" fontId="33" fillId="0" borderId="0" applyFont="0" applyBorder="0" applyProtection="0">
      <protection locked="0"/>
    </xf>
    <xf numFmtId="0" fontId="31" fillId="0" borderId="44"/>
    <xf numFmtId="0" fontId="31" fillId="15" borderId="15">
      <alignment horizontal="right"/>
    </xf>
    <xf numFmtId="0" fontId="31" fillId="15" borderId="15">
      <alignment horizontal="right"/>
    </xf>
    <xf numFmtId="0" fontId="31" fillId="15" borderId="15">
      <alignment horizontal="right"/>
    </xf>
    <xf numFmtId="49" fontId="31" fillId="0" borderId="0" applyFill="0" applyBorder="0"/>
    <xf numFmtId="49" fontId="18" fillId="0" borderId="0"/>
    <xf numFmtId="49" fontId="18" fillId="0" borderId="0" applyFill="0" applyBorder="0">
      <alignment horizontal="right" vertical="center"/>
    </xf>
    <xf numFmtId="49" fontId="18" fillId="0" borderId="0" applyFill="0" applyBorder="0">
      <alignment horizontal="right" vertical="center"/>
    </xf>
    <xf numFmtId="0" fontId="18" fillId="0" borderId="0">
      <alignment vertical="center"/>
    </xf>
    <xf numFmtId="0" fontId="40" fillId="0" borderId="0" applyFill="0" applyBorder="0" applyAlignment="0" applyProtection="0">
      <protection locked="0"/>
    </xf>
    <xf numFmtId="0" fontId="137" fillId="0" borderId="0" applyFont="0" applyFill="0" applyBorder="0" applyProtection="0">
      <alignment horizontal="center" wrapText="1"/>
    </xf>
    <xf numFmtId="0" fontId="31" fillId="0" borderId="0" applyFont="0" applyFill="0" applyBorder="0" applyProtection="0">
      <alignment horizontal="right"/>
    </xf>
    <xf numFmtId="0" fontId="138" fillId="0" borderId="0"/>
    <xf numFmtId="37" fontId="139" fillId="0" borderId="45">
      <alignment horizontal="right" vertical="center"/>
    </xf>
    <xf numFmtId="37" fontId="21" fillId="0" borderId="16"/>
    <xf numFmtId="0" fontId="140" fillId="0" borderId="0"/>
    <xf numFmtId="38" fontId="31" fillId="15" borderId="0" applyNumberFormat="0" applyBorder="0" applyAlignment="0" applyProtection="0"/>
    <xf numFmtId="0" fontId="31" fillId="1" borderId="0" applyFont="0" applyFill="0" applyBorder="0" applyAlignment="0" applyProtection="0">
      <alignment horizontal="right"/>
    </xf>
    <xf numFmtId="0" fontId="36" fillId="0" borderId="12" applyFill="0" applyBorder="0" applyProtection="0">
      <alignment horizontal="left"/>
    </xf>
    <xf numFmtId="0" fontId="45" fillId="0" borderId="0" applyNumberFormat="0" applyAlignment="0"/>
    <xf numFmtId="0" fontId="31" fillId="0" borderId="0"/>
    <xf numFmtId="10" fontId="40" fillId="25" borderId="0" applyFill="0" applyAlignment="0">
      <alignment horizontal="right"/>
    </xf>
    <xf numFmtId="0" fontId="45" fillId="0" borderId="0" applyFill="0" applyBorder="0" applyAlignment="0" applyProtection="0"/>
    <xf numFmtId="0" fontId="45" fillId="0" borderId="0" applyAlignment="0">
      <alignment horizontal="left"/>
      <protection locked="0"/>
    </xf>
    <xf numFmtId="0" fontId="141" fillId="25" borderId="0" applyAlignment="0">
      <alignment horizontal="right"/>
    </xf>
    <xf numFmtId="0" fontId="31" fillId="16" borderId="36" applyNumberFormat="0" applyAlignment="0" applyProtection="0"/>
    <xf numFmtId="0" fontId="21" fillId="0" borderId="0" applyBorder="0">
      <alignment horizontal="left"/>
    </xf>
    <xf numFmtId="49" fontId="134" fillId="0" borderId="0">
      <alignment horizontal="right"/>
    </xf>
    <xf numFmtId="49" fontId="142" fillId="0" borderId="0">
      <alignment horizontal="right"/>
    </xf>
    <xf numFmtId="0" fontId="18" fillId="0" borderId="0">
      <alignment vertical="center"/>
    </xf>
    <xf numFmtId="0" fontId="18" fillId="14" borderId="13" applyNumberFormat="0" applyFont="0" applyBorder="0" applyAlignment="0" applyProtection="0"/>
    <xf numFmtId="0" fontId="18" fillId="35" borderId="13" applyNumberFormat="0" applyFont="0" applyAlignment="0"/>
    <xf numFmtId="0" fontId="45" fillId="0" borderId="0" applyFont="0" applyFill="0" applyBorder="0" applyAlignment="0" applyProtection="0">
      <alignment horizontal="right"/>
    </xf>
    <xf numFmtId="0" fontId="143" fillId="14" borderId="0" applyNumberFormat="0" applyFont="0" applyAlignment="0"/>
    <xf numFmtId="0" fontId="144" fillId="36" borderId="0" applyNumberFormat="0" applyBorder="0" applyProtection="0">
      <alignment horizontal="left" vertical="center"/>
    </xf>
    <xf numFmtId="0" fontId="145" fillId="0" borderId="0">
      <alignment horizontal="right"/>
    </xf>
    <xf numFmtId="0" fontId="146" fillId="1" borderId="0" applyNumberFormat="0" applyBorder="0" applyProtection="0">
      <alignment horizontal="left" vertical="center"/>
    </xf>
    <xf numFmtId="0" fontId="18" fillId="0" borderId="0" applyProtection="0">
      <alignment horizontal="right"/>
    </xf>
    <xf numFmtId="0" fontId="147" fillId="0" borderId="0">
      <alignment horizontal="left"/>
    </xf>
    <xf numFmtId="0" fontId="147" fillId="0" borderId="0">
      <alignment horizontal="left"/>
    </xf>
    <xf numFmtId="0" fontId="91" fillId="0" borderId="46" applyNumberFormat="0" applyAlignment="0" applyProtection="0">
      <alignment horizontal="left" vertical="center"/>
    </xf>
    <xf numFmtId="0" fontId="91" fillId="0" borderId="2">
      <alignment horizontal="left" vertical="center"/>
    </xf>
    <xf numFmtId="0" fontId="148" fillId="0" borderId="0">
      <alignment horizontal="center"/>
    </xf>
    <xf numFmtId="0" fontId="149" fillId="0" borderId="0"/>
    <xf numFmtId="0" fontId="18" fillId="0" borderId="0">
      <alignment horizontal="center"/>
    </xf>
    <xf numFmtId="0" fontId="150" fillId="0" borderId="0">
      <alignment horizontal="left"/>
    </xf>
    <xf numFmtId="0" fontId="151" fillId="0" borderId="12">
      <alignment horizontal="left" vertical="top"/>
    </xf>
    <xf numFmtId="0" fontId="29" fillId="0" borderId="0">
      <alignment horizontal="left"/>
    </xf>
    <xf numFmtId="0" fontId="3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207" fontId="40" fillId="0" borderId="0">
      <alignment horizontal="left"/>
    </xf>
    <xf numFmtId="0" fontId="18" fillId="0" borderId="0"/>
    <xf numFmtId="208" fontId="26" fillId="0" borderId="0" applyFont="0" applyFill="0" applyBorder="0" applyAlignment="0" applyProtection="0"/>
    <xf numFmtId="209" fontId="45" fillId="0" borderId="0" applyFont="0" applyFill="0" applyBorder="0" applyProtection="0">
      <alignment horizontal="right"/>
    </xf>
    <xf numFmtId="210" fontId="112" fillId="0" borderId="0" applyFont="0" applyFill="0" applyBorder="0" applyAlignment="0" applyProtection="0"/>
    <xf numFmtId="211" fontId="112" fillId="0" borderId="0" applyFont="0" applyFill="0" applyBorder="0" applyAlignment="0" applyProtection="0"/>
    <xf numFmtId="0" fontId="45" fillId="0" borderId="0" applyFont="0" applyFill="0" applyBorder="0" applyAlignment="0" applyProtection="0">
      <alignment horizontal="right"/>
    </xf>
    <xf numFmtId="207" fontId="152" fillId="0" borderId="0"/>
    <xf numFmtId="0" fontId="18" fillId="0" borderId="0"/>
    <xf numFmtId="0" fontId="1" fillId="0" borderId="0"/>
    <xf numFmtId="181" fontId="31" fillId="0" borderId="0"/>
    <xf numFmtId="181" fontId="23" fillId="0" borderId="0">
      <protection locked="0"/>
    </xf>
    <xf numFmtId="212" fontId="31" fillId="0" borderId="0" applyFill="0" applyBorder="0" applyProtection="0">
      <alignment horizontal="right" wrapText="1"/>
    </xf>
    <xf numFmtId="207" fontId="40" fillId="0" borderId="0"/>
    <xf numFmtId="213" fontId="31" fillId="0" borderId="0" applyFill="0" applyBorder="0" applyProtection="0">
      <alignment horizontal="right" wrapText="1"/>
    </xf>
    <xf numFmtId="0" fontId="3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3" fillId="0" borderId="0" applyFill="0" applyBorder="0" applyProtection="0">
      <alignment horizontal="left"/>
    </xf>
    <xf numFmtId="0" fontId="154" fillId="0" borderId="0" applyFill="0" applyBorder="0" applyProtection="0">
      <alignment horizontal="left"/>
    </xf>
    <xf numFmtId="1" fontId="18" fillId="0" borderId="0" applyProtection="0">
      <alignment horizontal="right" vertical="center"/>
    </xf>
    <xf numFmtId="214" fontId="18" fillId="0" borderId="0" applyFont="0" applyFill="0" applyBorder="0" applyAlignment="0" applyProtection="0"/>
    <xf numFmtId="215" fontId="59" fillId="0" borderId="0" applyFont="0" applyFill="0" applyBorder="0" applyAlignment="0" applyProtection="0">
      <alignment horizontal="right"/>
    </xf>
    <xf numFmtId="9" fontId="53" fillId="0" borderId="0" applyFont="0" applyFill="0" applyBorder="0" applyAlignment="0" applyProtection="0"/>
    <xf numFmtId="164" fontId="53" fillId="0" borderId="0" applyFont="0" applyFill="0" applyBorder="0" applyAlignment="0" applyProtection="0"/>
    <xf numFmtId="216" fontId="40" fillId="0" borderId="0" applyFont="0" applyFill="0" applyBorder="0" applyProtection="0">
      <alignment horizontal="right"/>
    </xf>
    <xf numFmtId="164" fontId="40" fillId="0" borderId="0"/>
    <xf numFmtId="164" fontId="99" fillId="0" borderId="0"/>
    <xf numFmtId="10" fontId="40" fillId="0" borderId="0"/>
    <xf numFmtId="10" fontId="99" fillId="0" borderId="0">
      <protection locked="0"/>
    </xf>
    <xf numFmtId="0" fontId="36" fillId="31" borderId="0" applyNumberFormat="0" applyFont="0" applyBorder="0" applyAlignment="0" applyProtection="0"/>
    <xf numFmtId="42" fontId="155" fillId="0" borderId="0" applyFill="0" applyBorder="0" applyAlignment="0" applyProtection="0"/>
    <xf numFmtId="0" fontId="3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>
      <alignment vertical="top"/>
    </xf>
    <xf numFmtId="0" fontId="156" fillId="0" borderId="0" applyNumberFormat="0" applyFill="0" applyBorder="0" applyProtection="0"/>
    <xf numFmtId="0" fontId="157" fillId="37" borderId="0" applyNumberFormat="0" applyBorder="0" applyProtection="0"/>
    <xf numFmtId="0" fontId="158" fillId="31" borderId="0" applyNumberFormat="0" applyBorder="0" applyProtection="0"/>
    <xf numFmtId="0" fontId="72" fillId="0" borderId="0" applyNumberFormat="0" applyFill="0" applyBorder="0" applyProtection="0"/>
    <xf numFmtId="0" fontId="158" fillId="0" borderId="0" applyNumberFormat="0" applyFill="0" applyBorder="0" applyProtection="0"/>
    <xf numFmtId="0" fontId="159" fillId="0" borderId="0" applyNumberFormat="0" applyFill="0" applyBorder="0" applyProtection="0"/>
    <xf numFmtId="0" fontId="158" fillId="0" borderId="0" applyNumberFormat="0" applyFill="0" applyBorder="0" applyProtection="0">
      <alignment wrapText="1"/>
    </xf>
    <xf numFmtId="0" fontId="160" fillId="0" borderId="0" applyNumberFormat="0" applyFill="0" applyBorder="0" applyProtection="0"/>
    <xf numFmtId="217" fontId="31" fillId="0" borderId="0" applyFill="0" applyBorder="0" applyProtection="0">
      <alignment horizontal="right" wrapText="1"/>
    </xf>
    <xf numFmtId="0" fontId="18" fillId="0" borderId="0">
      <alignment vertical="top"/>
    </xf>
    <xf numFmtId="4" fontId="31" fillId="0" borderId="0" applyFill="0" applyBorder="0" applyProtection="0">
      <alignment wrapText="1"/>
    </xf>
    <xf numFmtId="0" fontId="31" fillId="0" borderId="0" applyNumberFormat="0" applyFill="0" applyBorder="0" applyProtection="0">
      <alignment horizontal="left" vertical="top" wrapText="1"/>
    </xf>
    <xf numFmtId="0" fontId="66" fillId="0" borderId="0" applyNumberFormat="0" applyFill="0" applyBorder="0" applyProtection="0">
      <alignment horizontal="left" vertical="top" wrapText="1"/>
    </xf>
    <xf numFmtId="218" fontId="161" fillId="0" borderId="0" applyFill="0" applyBorder="0" applyProtection="0">
      <alignment horizontal="center" wrapText="1"/>
    </xf>
    <xf numFmtId="219" fontId="161" fillId="0" borderId="0" applyFill="0" applyBorder="0" applyProtection="0">
      <alignment horizontal="right" wrapText="1"/>
    </xf>
    <xf numFmtId="220" fontId="161" fillId="0" borderId="0" applyFill="0" applyBorder="0" applyProtection="0">
      <alignment horizontal="right" wrapText="1"/>
    </xf>
    <xf numFmtId="221" fontId="161" fillId="0" borderId="0" applyFill="0" applyBorder="0" applyProtection="0">
      <alignment horizontal="right" wrapText="1"/>
    </xf>
    <xf numFmtId="37" fontId="161" fillId="0" borderId="0" applyFill="0" applyBorder="0" applyProtection="0">
      <alignment horizontal="center" wrapText="1"/>
    </xf>
    <xf numFmtId="222" fontId="161" fillId="0" borderId="0" applyFill="0" applyBorder="0" applyProtection="0">
      <alignment horizontal="right"/>
    </xf>
    <xf numFmtId="223" fontId="161" fillId="0" borderId="0" applyFill="0" applyBorder="0" applyProtection="0">
      <alignment horizontal="right"/>
    </xf>
    <xf numFmtId="0" fontId="18" fillId="0" borderId="0">
      <alignment vertical="top"/>
    </xf>
    <xf numFmtId="224" fontId="161" fillId="0" borderId="0" applyFill="0" applyBorder="0" applyProtection="0">
      <alignment horizontal="right"/>
    </xf>
    <xf numFmtId="4" fontId="161" fillId="0" borderId="0" applyFill="0" applyBorder="0" applyProtection="0">
      <alignment wrapText="1"/>
    </xf>
    <xf numFmtId="0" fontId="66" fillId="0" borderId="47" applyNumberFormat="0" applyFill="0" applyProtection="0">
      <alignment wrapText="1"/>
    </xf>
    <xf numFmtId="0" fontId="21" fillId="0" borderId="0" applyNumberFormat="0" applyFill="0" applyBorder="0" applyProtection="0">
      <alignment wrapText="1"/>
    </xf>
    <xf numFmtId="0" fontId="66" fillId="0" borderId="47" applyNumberFormat="0" applyFill="0" applyProtection="0">
      <alignment horizontal="center" wrapText="1"/>
    </xf>
    <xf numFmtId="225" fontId="66" fillId="0" borderId="0" applyFill="0" applyBorder="0" applyProtection="0">
      <alignment horizontal="center" wrapText="1"/>
    </xf>
    <xf numFmtId="0" fontId="91" fillId="0" borderId="0" applyNumberFormat="0" applyFill="0" applyBorder="0" applyProtection="0">
      <alignment horizontal="justify" wrapText="1"/>
    </xf>
    <xf numFmtId="0" fontId="66" fillId="0" borderId="0" applyNumberFormat="0" applyFill="0" applyBorder="0" applyProtection="0">
      <alignment horizontal="centerContinuous" wrapText="1"/>
    </xf>
    <xf numFmtId="0" fontId="18" fillId="0" borderId="0">
      <alignment vertical="top"/>
    </xf>
    <xf numFmtId="0" fontId="18" fillId="0" borderId="0">
      <alignment vertical="top"/>
    </xf>
    <xf numFmtId="0" fontId="18" fillId="0" borderId="0">
      <alignment vertical="top"/>
    </xf>
    <xf numFmtId="0" fontId="31" fillId="0" borderId="0" applyNumberFormat="0" applyFill="0" applyBorder="0" applyAlignment="0" applyProtection="0"/>
    <xf numFmtId="0" fontId="18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8" fillId="0" borderId="0">
      <alignment vertical="top"/>
    </xf>
    <xf numFmtId="0" fontId="31" fillId="0" borderId="0" applyNumberFormat="0" applyFill="0" applyBorder="0" applyAlignment="0" applyProtection="0"/>
    <xf numFmtId="0" fontId="39" fillId="0" borderId="0" applyFill="0" applyBorder="0" applyProtection="0">
      <alignment horizontal="center" vertical="center"/>
    </xf>
    <xf numFmtId="0" fontId="18" fillId="0" borderId="0" applyBorder="0" applyProtection="0">
      <alignment vertical="center"/>
    </xf>
    <xf numFmtId="0" fontId="18" fillId="0" borderId="21" applyBorder="0" applyProtection="0">
      <alignment horizontal="right" vertical="center"/>
    </xf>
    <xf numFmtId="0" fontId="18" fillId="38" borderId="0" applyBorder="0" applyProtection="0">
      <alignment horizontal="centerContinuous" vertical="center"/>
    </xf>
    <xf numFmtId="0" fontId="18" fillId="39" borderId="21" applyBorder="0" applyProtection="0">
      <alignment horizontal="centerContinuous" vertical="center"/>
    </xf>
    <xf numFmtId="0" fontId="39" fillId="0" borderId="0" applyFill="0" applyBorder="0" applyProtection="0"/>
    <xf numFmtId="0" fontId="21" fillId="0" borderId="0" applyFill="0" applyBorder="0" applyProtection="0">
      <alignment horizontal="left"/>
    </xf>
    <xf numFmtId="0" fontId="141" fillId="0" borderId="0" applyFill="0" applyBorder="0" applyProtection="0">
      <alignment horizontal="left" vertical="top"/>
    </xf>
    <xf numFmtId="164" fontId="18" fillId="0" borderId="0" applyNumberFormat="0" applyFill="0" applyBorder="0">
      <alignment horizontal="left"/>
    </xf>
    <xf numFmtId="164" fontId="18" fillId="0" borderId="0" applyNumberFormat="0" applyFill="0" applyBorder="0">
      <alignment horizontal="right"/>
    </xf>
    <xf numFmtId="164" fontId="18" fillId="0" borderId="0" applyNumberFormat="0" applyFill="0" applyBorder="0">
      <alignment horizontal="right"/>
    </xf>
    <xf numFmtId="0" fontId="18" fillId="25" borderId="48" applyNumberFormat="0" applyFont="0" applyFill="0" applyAlignment="0" applyProtection="0">
      <protection locked="0"/>
    </xf>
    <xf numFmtId="0" fontId="18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>
      <alignment horizontal="center"/>
    </xf>
    <xf numFmtId="207" fontId="18" fillId="0" borderId="0">
      <alignment horizontal="centerContinuous"/>
    </xf>
    <xf numFmtId="207" fontId="18" fillId="0" borderId="49">
      <alignment horizontal="centerContinuous"/>
    </xf>
    <xf numFmtId="207" fontId="18" fillId="0" borderId="0">
      <alignment horizontal="centerContinuous"/>
      <protection locked="0"/>
    </xf>
    <xf numFmtId="207" fontId="18" fillId="0" borderId="0">
      <alignment horizontal="left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91" fontId="18" fillId="0" borderId="0">
      <alignment horizontal="left"/>
      <protection locked="0"/>
    </xf>
    <xf numFmtId="226" fontId="79" fillId="0" borderId="0" applyFont="0" applyFill="0" applyBorder="0" applyAlignment="0" applyProtection="0"/>
    <xf numFmtId="227" fontId="79" fillId="0" borderId="0" applyFont="0" applyFill="0" applyBorder="0" applyAlignment="0" applyProtection="0"/>
    <xf numFmtId="191" fontId="40" fillId="0" borderId="0" applyFont="0" applyFill="0" applyBorder="0" applyProtection="0">
      <alignment horizontal="right"/>
    </xf>
    <xf numFmtId="164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8" fontId="27" fillId="0" borderId="0" applyFont="0" applyFill="0" applyBorder="0" applyAlignment="0" applyProtection="0"/>
    <xf numFmtId="0" fontId="27" fillId="0" borderId="0"/>
    <xf numFmtId="9" fontId="171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182" fillId="0" borderId="0"/>
    <xf numFmtId="0" fontId="18" fillId="0" borderId="0"/>
    <xf numFmtId="0" fontId="36" fillId="0" borderId="0"/>
    <xf numFmtId="0" fontId="18" fillId="0" borderId="0"/>
    <xf numFmtId="0" fontId="18" fillId="0" borderId="0"/>
  </cellStyleXfs>
  <cellXfs count="31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quotePrefix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quotePrefix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 applyProtection="1">
      <alignment vertical="center"/>
      <protection locked="0"/>
    </xf>
    <xf numFmtId="0" fontId="3" fillId="2" borderId="2" xfId="0" applyFont="1" applyFill="1" applyBorder="1" applyAlignment="1" applyProtection="1">
      <alignment vertical="center"/>
      <protection locked="0"/>
    </xf>
    <xf numFmtId="0" fontId="3" fillId="2" borderId="3" xfId="0" applyFont="1" applyFill="1" applyBorder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3" fillId="3" borderId="2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13" fillId="4" borderId="0" xfId="0" applyFont="1" applyFill="1" applyAlignment="1">
      <alignment horizontal="left" indent="1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 applyAlignment="1">
      <alignment horizontal="left" indent="1"/>
    </xf>
    <xf numFmtId="0" fontId="18" fillId="0" borderId="0" xfId="3" applyFont="1" applyBorder="1" applyAlignment="1">
      <alignment vertical="center"/>
    </xf>
    <xf numFmtId="0" fontId="17" fillId="0" borderId="0" xfId="3" quotePrefix="1" applyFont="1" applyBorder="1" applyAlignment="1">
      <alignment horizontal="left" vertical="center" indent="1"/>
    </xf>
    <xf numFmtId="0" fontId="14" fillId="0" borderId="0" xfId="3" applyFont="1" applyBorder="1" applyAlignment="1">
      <alignment vertical="center"/>
    </xf>
    <xf numFmtId="0" fontId="18" fillId="0" borderId="0" xfId="3" applyFont="1" applyBorder="1" applyAlignment="1">
      <alignment horizontal="left" vertical="center" indent="1"/>
    </xf>
    <xf numFmtId="44" fontId="19" fillId="0" borderId="0" xfId="4" applyNumberFormat="1" applyFont="1" applyBorder="1" applyAlignment="1">
      <alignment vertical="center"/>
    </xf>
    <xf numFmtId="164" fontId="19" fillId="0" borderId="0" xfId="5" applyNumberFormat="1" applyFont="1" applyBorder="1" applyAlignment="1">
      <alignment vertical="center"/>
    </xf>
    <xf numFmtId="0" fontId="17" fillId="0" borderId="0" xfId="3" applyFont="1" applyBorder="1" applyAlignment="1">
      <alignment horizontal="center" vertical="center"/>
    </xf>
    <xf numFmtId="0" fontId="19" fillId="0" borderId="0" xfId="3" applyFont="1" applyBorder="1" applyAlignment="1">
      <alignment horizontal="center" vertical="center"/>
    </xf>
    <xf numFmtId="0" fontId="18" fillId="5" borderId="4" xfId="3" applyFont="1" applyFill="1" applyBorder="1" applyAlignment="1">
      <alignment horizontal="left" vertical="center" indent="1"/>
    </xf>
    <xf numFmtId="165" fontId="14" fillId="5" borderId="5" xfId="5" applyNumberFormat="1" applyFont="1" applyFill="1" applyBorder="1" applyAlignment="1">
      <alignment vertical="center"/>
    </xf>
    <xf numFmtId="165" fontId="18" fillId="0" borderId="0" xfId="5" applyNumberFormat="1" applyFont="1" applyBorder="1" applyAlignment="1">
      <alignment vertical="center"/>
    </xf>
    <xf numFmtId="0" fontId="14" fillId="0" borderId="0" xfId="3" quotePrefix="1" applyFont="1" applyBorder="1" applyAlignment="1">
      <alignment vertical="center"/>
    </xf>
    <xf numFmtId="0" fontId="18" fillId="6" borderId="2" xfId="3" applyFont="1" applyFill="1" applyBorder="1" applyAlignment="1">
      <alignment horizontal="left" vertical="center" indent="1"/>
    </xf>
    <xf numFmtId="166" fontId="14" fillId="6" borderId="2" xfId="3" applyNumberFormat="1" applyFont="1" applyFill="1" applyBorder="1" applyAlignment="1">
      <alignment horizontal="center" vertical="center"/>
    </xf>
    <xf numFmtId="0" fontId="18" fillId="6" borderId="2" xfId="3" applyFont="1" applyFill="1" applyBorder="1" applyAlignment="1">
      <alignment vertical="center"/>
    </xf>
    <xf numFmtId="0" fontId="18" fillId="6" borderId="2" xfId="3" applyFont="1" applyFill="1" applyBorder="1" applyAlignment="1">
      <alignment horizontal="center" vertical="center"/>
    </xf>
    <xf numFmtId="0" fontId="18" fillId="0" borderId="0" xfId="3" applyFont="1" applyBorder="1" applyAlignment="1">
      <alignment horizontal="left" vertical="center"/>
    </xf>
    <xf numFmtId="0" fontId="18" fillId="0" borderId="6" xfId="3" applyFont="1" applyFill="1" applyBorder="1" applyAlignment="1">
      <alignment vertical="center"/>
    </xf>
    <xf numFmtId="0" fontId="18" fillId="0" borderId="7" xfId="3" applyFont="1" applyFill="1" applyBorder="1" applyAlignment="1">
      <alignment vertical="center"/>
    </xf>
    <xf numFmtId="0" fontId="18" fillId="0" borderId="8" xfId="3" applyFont="1" applyBorder="1" applyAlignment="1">
      <alignment horizontal="left" vertical="center" indent="1"/>
    </xf>
    <xf numFmtId="0" fontId="19" fillId="0" borderId="8" xfId="3" applyFont="1" applyBorder="1" applyAlignment="1">
      <alignment horizontal="center" vertical="center"/>
    </xf>
    <xf numFmtId="0" fontId="19" fillId="0" borderId="9" xfId="3" applyFont="1" applyFill="1" applyBorder="1" applyAlignment="1">
      <alignment horizontal="center" vertical="center"/>
    </xf>
    <xf numFmtId="0" fontId="19" fillId="0" borderId="10" xfId="3" applyFont="1" applyFill="1" applyBorder="1" applyAlignment="1">
      <alignment horizontal="center" vertical="center"/>
    </xf>
    <xf numFmtId="0" fontId="18" fillId="0" borderId="11" xfId="3" applyFont="1" applyFill="1" applyBorder="1" applyAlignment="1">
      <alignment vertical="center"/>
    </xf>
    <xf numFmtId="0" fontId="18" fillId="0" borderId="12" xfId="3" applyFont="1" applyFill="1" applyBorder="1" applyAlignment="1">
      <alignment vertical="center"/>
    </xf>
    <xf numFmtId="167" fontId="18" fillId="0" borderId="0" xfId="6" applyNumberFormat="1" applyFont="1" applyBorder="1" applyAlignment="1">
      <alignment horizontal="center" vertical="center"/>
    </xf>
    <xf numFmtId="167" fontId="18" fillId="0" borderId="11" xfId="6" applyNumberFormat="1" applyFont="1" applyFill="1" applyBorder="1" applyAlignment="1">
      <alignment horizontal="center" vertical="center"/>
    </xf>
    <xf numFmtId="167" fontId="18" fillId="0" borderId="12" xfId="6" applyNumberFormat="1" applyFont="1" applyFill="1" applyBorder="1" applyAlignment="1">
      <alignment horizontal="center" vertical="center"/>
    </xf>
    <xf numFmtId="165" fontId="18" fillId="0" borderId="0" xfId="3" applyNumberFormat="1" applyFont="1" applyBorder="1" applyAlignment="1">
      <alignment vertical="center"/>
    </xf>
    <xf numFmtId="165" fontId="18" fillId="0" borderId="11" xfId="3" applyNumberFormat="1" applyFont="1" applyFill="1" applyBorder="1" applyAlignment="1">
      <alignment vertical="center"/>
    </xf>
    <xf numFmtId="165" fontId="18" fillId="0" borderId="12" xfId="3" applyNumberFormat="1" applyFont="1" applyFill="1" applyBorder="1" applyAlignment="1">
      <alignment vertical="center"/>
    </xf>
    <xf numFmtId="0" fontId="18" fillId="0" borderId="0" xfId="3" quotePrefix="1" applyFont="1" applyBorder="1" applyAlignment="1">
      <alignment vertical="center"/>
    </xf>
    <xf numFmtId="168" fontId="18" fillId="0" borderId="0" xfId="4" applyNumberFormat="1" applyFont="1" applyBorder="1" applyAlignment="1">
      <alignment vertical="center"/>
    </xf>
    <xf numFmtId="168" fontId="18" fillId="0" borderId="11" xfId="4" applyNumberFormat="1" applyFont="1" applyFill="1" applyBorder="1" applyAlignment="1">
      <alignment vertical="center"/>
    </xf>
    <xf numFmtId="168" fontId="18" fillId="0" borderId="12" xfId="4" applyNumberFormat="1" applyFont="1" applyFill="1" applyBorder="1" applyAlignment="1">
      <alignment vertical="center"/>
    </xf>
    <xf numFmtId="0" fontId="18" fillId="5" borderId="2" xfId="3" applyFont="1" applyFill="1" applyBorder="1" applyAlignment="1">
      <alignment horizontal="left" vertical="center" indent="1"/>
    </xf>
    <xf numFmtId="165" fontId="18" fillId="5" borderId="2" xfId="5" applyNumberFormat="1" applyFont="1" applyFill="1" applyBorder="1" applyAlignment="1">
      <alignment vertical="center"/>
    </xf>
    <xf numFmtId="165" fontId="18" fillId="5" borderId="13" xfId="5" applyNumberFormat="1" applyFont="1" applyFill="1" applyBorder="1" applyAlignment="1">
      <alignment vertical="center"/>
    </xf>
    <xf numFmtId="165" fontId="18" fillId="5" borderId="1" xfId="5" applyNumberFormat="1" applyFont="1" applyFill="1" applyBorder="1" applyAlignment="1">
      <alignment vertical="center"/>
    </xf>
    <xf numFmtId="165" fontId="18" fillId="0" borderId="11" xfId="5" applyNumberFormat="1" applyFont="1" applyFill="1" applyBorder="1" applyAlignment="1">
      <alignment vertical="center"/>
    </xf>
    <xf numFmtId="165" fontId="18" fillId="0" borderId="12" xfId="5" applyNumberFormat="1" applyFont="1" applyFill="1" applyBorder="1" applyAlignment="1">
      <alignment vertical="center"/>
    </xf>
    <xf numFmtId="169" fontId="20" fillId="0" borderId="2" xfId="4" quotePrefix="1" applyNumberFormat="1" applyFont="1" applyBorder="1" applyAlignment="1">
      <alignment horizontal="left" vertical="center" indent="1"/>
    </xf>
    <xf numFmtId="44" fontId="18" fillId="0" borderId="2" xfId="4" applyNumberFormat="1" applyFont="1" applyBorder="1" applyAlignment="1">
      <alignment vertical="center"/>
    </xf>
    <xf numFmtId="44" fontId="18" fillId="0" borderId="13" xfId="4" applyNumberFormat="1" applyFont="1" applyFill="1" applyBorder="1" applyAlignment="1">
      <alignment vertical="center"/>
    </xf>
    <xf numFmtId="44" fontId="18" fillId="0" borderId="1" xfId="4" applyNumberFormat="1" applyFont="1" applyFill="1" applyBorder="1" applyAlignment="1">
      <alignment vertical="center"/>
    </xf>
    <xf numFmtId="169" fontId="18" fillId="0" borderId="2" xfId="4" applyNumberFormat="1" applyFont="1" applyBorder="1" applyAlignment="1">
      <alignment vertical="center"/>
    </xf>
    <xf numFmtId="0" fontId="14" fillId="0" borderId="0" xfId="3" applyFont="1" applyBorder="1" applyAlignment="1">
      <alignment horizontal="left" vertical="center" indent="1"/>
    </xf>
    <xf numFmtId="165" fontId="14" fillId="0" borderId="0" xfId="5" applyNumberFormat="1" applyFont="1" applyBorder="1" applyAlignment="1">
      <alignment vertical="center"/>
    </xf>
    <xf numFmtId="165" fontId="14" fillId="0" borderId="0" xfId="5" quotePrefix="1" applyNumberFormat="1" applyFont="1" applyBorder="1" applyAlignment="1">
      <alignment vertical="center"/>
    </xf>
    <xf numFmtId="0" fontId="21" fillId="0" borderId="0" xfId="3" applyFont="1" applyBorder="1" applyAlignment="1">
      <alignment vertical="center"/>
    </xf>
    <xf numFmtId="0" fontId="22" fillId="0" borderId="0" xfId="0" applyFont="1"/>
    <xf numFmtId="0" fontId="18" fillId="0" borderId="0" xfId="3" applyFont="1" applyFill="1" applyBorder="1" applyAlignment="1">
      <alignment vertical="center"/>
    </xf>
    <xf numFmtId="14" fontId="18" fillId="0" borderId="0" xfId="3" applyNumberFormat="1" applyFont="1" applyFill="1" applyBorder="1" applyAlignment="1">
      <alignment vertical="center"/>
    </xf>
    <xf numFmtId="165" fontId="18" fillId="7" borderId="0" xfId="5" applyNumberFormat="1" applyFont="1" applyFill="1" applyBorder="1" applyAlignment="1">
      <alignment vertical="center"/>
    </xf>
    <xf numFmtId="170" fontId="14" fillId="0" borderId="0" xfId="6" applyNumberFormat="1" applyFont="1" applyFill="1" applyBorder="1" applyAlignment="1">
      <alignment vertical="center"/>
    </xf>
    <xf numFmtId="165" fontId="14" fillId="0" borderId="0" xfId="5" applyNumberFormat="1" applyFont="1" applyFill="1" applyBorder="1" applyAlignment="1">
      <alignment vertical="center"/>
    </xf>
    <xf numFmtId="44" fontId="14" fillId="0" borderId="0" xfId="4" applyFont="1" applyFill="1" applyBorder="1" applyAlignment="1">
      <alignment vertical="center"/>
    </xf>
    <xf numFmtId="43" fontId="18" fillId="0" borderId="0" xfId="6" applyFont="1" applyBorder="1" applyAlignment="1">
      <alignment vertical="center"/>
    </xf>
    <xf numFmtId="0" fontId="18" fillId="0" borderId="0" xfId="3" applyFont="1" applyFill="1" applyBorder="1" applyAlignment="1">
      <alignment horizontal="center" vertical="center"/>
    </xf>
    <xf numFmtId="44" fontId="18" fillId="5" borderId="13" xfId="4" applyFont="1" applyFill="1" applyBorder="1" applyAlignment="1">
      <alignment vertical="center"/>
    </xf>
    <xf numFmtId="44" fontId="18" fillId="8" borderId="0" xfId="4" applyFont="1" applyFill="1" applyBorder="1" applyAlignment="1">
      <alignment vertical="center"/>
    </xf>
    <xf numFmtId="44" fontId="18" fillId="8" borderId="0" xfId="3" applyNumberFormat="1" applyFont="1" applyFill="1" applyBorder="1" applyAlignment="1">
      <alignment vertical="center"/>
    </xf>
    <xf numFmtId="44" fontId="14" fillId="0" borderId="0" xfId="4" applyNumberFormat="1" applyFont="1" applyFill="1" applyBorder="1" applyAlignment="1">
      <alignment vertical="center"/>
    </xf>
    <xf numFmtId="167" fontId="14" fillId="0" borderId="0" xfId="6" applyNumberFormat="1" applyFont="1" applyFill="1" applyBorder="1" applyAlignment="1">
      <alignment vertical="center"/>
    </xf>
    <xf numFmtId="8" fontId="14" fillId="0" borderId="0" xfId="4" applyNumberFormat="1" applyFont="1" applyFill="1" applyBorder="1" applyAlignment="1">
      <alignment vertical="center"/>
    </xf>
    <xf numFmtId="44" fontId="18" fillId="0" borderId="0" xfId="3" applyNumberFormat="1" applyFont="1" applyFill="1" applyBorder="1" applyAlignment="1">
      <alignment vertical="center"/>
    </xf>
    <xf numFmtId="171" fontId="18" fillId="0" borderId="2" xfId="6" applyNumberFormat="1" applyFont="1" applyFill="1" applyBorder="1" applyAlignment="1">
      <alignment horizontal="center" vertical="center"/>
    </xf>
    <xf numFmtId="167" fontId="14" fillId="0" borderId="2" xfId="6" applyNumberFormat="1" applyFont="1" applyFill="1" applyBorder="1" applyAlignment="1">
      <alignment vertical="center"/>
    </xf>
    <xf numFmtId="167" fontId="18" fillId="5" borderId="2" xfId="6" applyNumberFormat="1" applyFont="1" applyFill="1" applyBorder="1" applyAlignment="1">
      <alignment vertical="center"/>
    </xf>
    <xf numFmtId="0" fontId="21" fillId="5" borderId="8" xfId="3" applyFont="1" applyFill="1" applyBorder="1" applyAlignment="1">
      <alignment horizontal="center" vertical="center" wrapText="1"/>
    </xf>
    <xf numFmtId="0" fontId="21" fillId="5" borderId="10" xfId="3" applyFont="1" applyFill="1" applyBorder="1" applyAlignment="1">
      <alignment horizontal="center" vertical="center" wrapText="1"/>
    </xf>
    <xf numFmtId="0" fontId="21" fillId="5" borderId="14" xfId="3" applyFont="1" applyFill="1" applyBorder="1" applyAlignment="1">
      <alignment horizontal="center" vertical="center" wrapText="1"/>
    </xf>
    <xf numFmtId="0" fontId="18" fillId="0" borderId="0" xfId="3" applyFont="1" applyFill="1" applyBorder="1" applyAlignment="1">
      <alignment horizontal="right" vertical="center"/>
    </xf>
    <xf numFmtId="165" fontId="18" fillId="5" borderId="0" xfId="5" applyNumberFormat="1" applyFont="1" applyFill="1" applyBorder="1" applyAlignment="1">
      <alignment vertical="center"/>
    </xf>
    <xf numFmtId="165" fontId="14" fillId="0" borderId="12" xfId="5" applyNumberFormat="1" applyFont="1" applyFill="1" applyBorder="1" applyAlignment="1">
      <alignment vertical="center"/>
    </xf>
    <xf numFmtId="44" fontId="14" fillId="0" borderId="15" xfId="4" applyFont="1" applyFill="1" applyBorder="1" applyAlignment="1">
      <alignment vertical="center"/>
    </xf>
    <xf numFmtId="43" fontId="14" fillId="0" borderId="0" xfId="6" applyFont="1" applyFill="1" applyBorder="1" applyAlignment="1">
      <alignment vertical="center"/>
    </xf>
    <xf numFmtId="0" fontId="18" fillId="0" borderId="16" xfId="3" applyFont="1" applyFill="1" applyBorder="1" applyAlignment="1">
      <alignment vertical="center"/>
    </xf>
    <xf numFmtId="10" fontId="14" fillId="0" borderId="17" xfId="5" applyNumberFormat="1" applyFont="1" applyFill="1" applyBorder="1" applyAlignment="1">
      <alignment vertical="center"/>
    </xf>
    <xf numFmtId="10" fontId="14" fillId="0" borderId="16" xfId="5" applyNumberFormat="1" applyFont="1" applyFill="1" applyBorder="1" applyAlignment="1">
      <alignment vertical="center"/>
    </xf>
    <xf numFmtId="44" fontId="14" fillId="0" borderId="18" xfId="4" applyFont="1" applyFill="1" applyBorder="1" applyAlignment="1">
      <alignment vertical="center"/>
    </xf>
    <xf numFmtId="44" fontId="14" fillId="0" borderId="16" xfId="4" applyFont="1" applyFill="1" applyBorder="1" applyAlignment="1">
      <alignment vertical="center"/>
    </xf>
    <xf numFmtId="9" fontId="18" fillId="0" borderId="0" xfId="3" applyNumberFormat="1" applyFont="1" applyBorder="1" applyAlignment="1">
      <alignment vertical="center"/>
    </xf>
    <xf numFmtId="170" fontId="18" fillId="0" borderId="0" xfId="6" applyNumberFormat="1" applyFont="1" applyBorder="1" applyAlignment="1">
      <alignment vertical="center"/>
    </xf>
    <xf numFmtId="171" fontId="18" fillId="0" borderId="0" xfId="6" applyNumberFormat="1" applyFont="1" applyBorder="1" applyAlignment="1">
      <alignment vertical="center"/>
    </xf>
    <xf numFmtId="166" fontId="31" fillId="0" borderId="58" xfId="1246" applyNumberFormat="1" applyFont="1" applyBorder="1"/>
    <xf numFmtId="166" fontId="31" fillId="0" borderId="57" xfId="1246" applyNumberFormat="1" applyFont="1" applyBorder="1"/>
    <xf numFmtId="165" fontId="31" fillId="0" borderId="59" xfId="1246" applyNumberFormat="1" applyFont="1" applyBorder="1" applyAlignment="1">
      <alignment horizontal="center" vertical="center"/>
    </xf>
    <xf numFmtId="165" fontId="31" fillId="0" borderId="57" xfId="1246" applyNumberFormat="1" applyFont="1" applyBorder="1" applyAlignment="1">
      <alignment horizontal="center" vertical="center"/>
    </xf>
    <xf numFmtId="228" fontId="31" fillId="0" borderId="0" xfId="1246" applyNumberFormat="1" applyFont="1" applyAlignment="1">
      <alignment horizontal="center" vertical="center"/>
    </xf>
    <xf numFmtId="10" fontId="31" fillId="0" borderId="0" xfId="1246" applyNumberFormat="1" applyFont="1" applyAlignment="1">
      <alignment horizontal="center" vertical="center"/>
    </xf>
    <xf numFmtId="0" fontId="164" fillId="0" borderId="0" xfId="0" applyFont="1"/>
    <xf numFmtId="0" fontId="31" fillId="0" borderId="0" xfId="1246" applyFont="1" applyAlignment="1">
      <alignment horizontal="center" vertical="center"/>
    </xf>
    <xf numFmtId="165" fontId="31" fillId="0" borderId="0" xfId="1246" applyNumberFormat="1" applyFont="1"/>
    <xf numFmtId="166" fontId="31" fillId="0" borderId="0" xfId="1246" applyNumberFormat="1" applyFont="1"/>
    <xf numFmtId="1" fontId="31" fillId="0" borderId="0" xfId="1246" applyNumberFormat="1" applyFont="1"/>
    <xf numFmtId="9" fontId="31" fillId="0" borderId="0" xfId="1246" applyNumberFormat="1" applyFont="1" applyAlignment="1">
      <alignment horizontal="center" vertical="center"/>
    </xf>
    <xf numFmtId="210" fontId="31" fillId="0" borderId="0" xfId="1246" applyNumberFormat="1" applyFont="1" applyAlignment="1">
      <alignment horizontal="center" vertical="center"/>
    </xf>
    <xf numFmtId="0" fontId="31" fillId="0" borderId="0" xfId="1246" applyFont="1"/>
    <xf numFmtId="0" fontId="165" fillId="0" borderId="0" xfId="0" applyFont="1"/>
    <xf numFmtId="0" fontId="167" fillId="4" borderId="0" xfId="0" applyFont="1" applyFill="1" applyBorder="1" applyAlignment="1">
      <alignment horizontal="centerContinuous" vertical="center"/>
    </xf>
    <xf numFmtId="230" fontId="167" fillId="4" borderId="0" xfId="0" applyNumberFormat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vertical="center"/>
    </xf>
    <xf numFmtId="0" fontId="31" fillId="0" borderId="0" xfId="0" applyNumberFormat="1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vertical="center"/>
    </xf>
    <xf numFmtId="38" fontId="31" fillId="0" borderId="0" xfId="0" applyNumberFormat="1" applyFont="1" applyFill="1" applyBorder="1" applyAlignment="1">
      <alignment vertical="center"/>
    </xf>
    <xf numFmtId="210" fontId="31" fillId="0" borderId="0" xfId="1" applyNumberFormat="1" applyFont="1" applyFill="1" applyBorder="1" applyAlignment="1">
      <alignment vertical="center"/>
    </xf>
    <xf numFmtId="0" fontId="31" fillId="0" borderId="0" xfId="0" applyFont="1" applyFill="1" applyBorder="1" applyAlignment="1">
      <alignment horizontal="left" vertical="center" indent="1"/>
    </xf>
    <xf numFmtId="231" fontId="168" fillId="0" borderId="0" xfId="2" applyNumberFormat="1" applyFont="1" applyFill="1" applyBorder="1" applyAlignment="1">
      <alignment vertical="center"/>
    </xf>
    <xf numFmtId="38" fontId="168" fillId="0" borderId="0" xfId="0" applyNumberFormat="1" applyFont="1" applyFill="1" applyBorder="1" applyAlignment="1">
      <alignment vertical="center"/>
    </xf>
    <xf numFmtId="10" fontId="66" fillId="0" borderId="0" xfId="0" applyNumberFormat="1" applyFont="1" applyFill="1" applyBorder="1" applyAlignment="1">
      <alignment horizontal="right" vertical="center"/>
    </xf>
    <xf numFmtId="231" fontId="31" fillId="0" borderId="0" xfId="2" applyNumberFormat="1" applyFont="1" applyFill="1" applyBorder="1" applyAlignment="1">
      <alignment vertical="center"/>
    </xf>
    <xf numFmtId="0" fontId="164" fillId="5" borderId="62" xfId="0" applyFont="1" applyFill="1" applyBorder="1" applyAlignment="1">
      <alignment horizontal="left" indent="1"/>
    </xf>
    <xf numFmtId="0" fontId="166" fillId="0" borderId="57" xfId="0" applyFont="1" applyBorder="1" applyAlignment="1">
      <alignment horizontal="center"/>
    </xf>
    <xf numFmtId="9" fontId="169" fillId="0" borderId="57" xfId="0" applyNumberFormat="1" applyFont="1" applyFill="1" applyBorder="1" applyAlignment="1">
      <alignment vertical="center"/>
    </xf>
    <xf numFmtId="0" fontId="66" fillId="25" borderId="50" xfId="1246" applyFont="1" applyFill="1" applyBorder="1" applyAlignment="1">
      <alignment horizontal="right"/>
    </xf>
    <xf numFmtId="0" fontId="66" fillId="25" borderId="51" xfId="1246" applyFont="1" applyFill="1" applyBorder="1"/>
    <xf numFmtId="165" fontId="66" fillId="25" borderId="51" xfId="1246" applyNumberFormat="1" applyFont="1" applyFill="1" applyBorder="1"/>
    <xf numFmtId="166" fontId="66" fillId="25" borderId="51" xfId="1246" applyNumberFormat="1" applyFont="1" applyFill="1" applyBorder="1"/>
    <xf numFmtId="9" fontId="66" fillId="25" borderId="52" xfId="1246" applyNumberFormat="1" applyFont="1" applyFill="1" applyBorder="1" applyAlignment="1">
      <alignment horizontal="center" vertical="center"/>
    </xf>
    <xf numFmtId="0" fontId="66" fillId="25" borderId="53" xfId="1246" applyFont="1" applyFill="1" applyBorder="1" applyAlignment="1">
      <alignment horizontal="right"/>
    </xf>
    <xf numFmtId="0" fontId="66" fillId="25" borderId="54" xfId="1246" applyFont="1" applyFill="1" applyBorder="1"/>
    <xf numFmtId="165" fontId="66" fillId="25" borderId="54" xfId="1246" applyNumberFormat="1" applyFont="1" applyFill="1" applyBorder="1"/>
    <xf numFmtId="166" fontId="66" fillId="25" borderId="54" xfId="1246" applyNumberFormat="1" applyFont="1" applyFill="1" applyBorder="1"/>
    <xf numFmtId="9" fontId="66" fillId="25" borderId="55" xfId="1246" applyNumberFormat="1" applyFont="1" applyFill="1" applyBorder="1" applyAlignment="1">
      <alignment horizontal="center" vertical="center"/>
    </xf>
    <xf numFmtId="165" fontId="31" fillId="0" borderId="0" xfId="1246" applyNumberFormat="1" applyFont="1" applyAlignment="1">
      <alignment horizontal="center" vertical="center"/>
    </xf>
    <xf numFmtId="166" fontId="31" fillId="0" borderId="0" xfId="1246" applyNumberFormat="1" applyFont="1" applyAlignment="1">
      <alignment horizontal="center" vertical="center"/>
    </xf>
    <xf numFmtId="228" fontId="31" fillId="0" borderId="0" xfId="1246" applyNumberFormat="1" applyFont="1" applyAlignment="1">
      <alignment horizontal="left" vertical="center"/>
    </xf>
    <xf numFmtId="165" fontId="66" fillId="25" borderId="56" xfId="1246" applyNumberFormat="1" applyFont="1" applyFill="1" applyBorder="1" applyAlignment="1">
      <alignment horizontal="center" vertical="center"/>
    </xf>
    <xf numFmtId="228" fontId="66" fillId="25" borderId="50" xfId="1246" applyNumberFormat="1" applyFont="1" applyFill="1" applyBorder="1" applyAlignment="1">
      <alignment horizontal="right"/>
    </xf>
    <xf numFmtId="10" fontId="66" fillId="25" borderId="52" xfId="1246" applyNumberFormat="1" applyFont="1" applyFill="1" applyBorder="1" applyAlignment="1">
      <alignment horizontal="center" vertical="center"/>
    </xf>
    <xf numFmtId="228" fontId="66" fillId="25" borderId="60" xfId="1246" applyNumberFormat="1" applyFont="1" applyFill="1" applyBorder="1" applyAlignment="1">
      <alignment horizontal="right"/>
    </xf>
    <xf numFmtId="10" fontId="66" fillId="25" borderId="61" xfId="1246" applyNumberFormat="1" applyFont="1" applyFill="1" applyBorder="1" applyAlignment="1">
      <alignment horizontal="center" vertical="center"/>
    </xf>
    <xf numFmtId="1" fontId="31" fillId="0" borderId="0" xfId="1246" applyNumberFormat="1" applyFont="1" applyAlignment="1">
      <alignment horizontal="center" vertical="center"/>
    </xf>
    <xf numFmtId="44" fontId="165" fillId="0" borderId="0" xfId="0" applyNumberFormat="1" applyFont="1"/>
    <xf numFmtId="10" fontId="66" fillId="0" borderId="0" xfId="0" applyNumberFormat="1" applyFont="1" applyFill="1" applyBorder="1" applyAlignment="1">
      <alignment horizontal="center" vertical="center"/>
    </xf>
    <xf numFmtId="0" fontId="66" fillId="0" borderId="0" xfId="1246" applyFont="1" applyAlignment="1">
      <alignment horizontal="right"/>
    </xf>
    <xf numFmtId="228" fontId="167" fillId="4" borderId="27" xfId="1246" applyNumberFormat="1" applyFont="1" applyFill="1" applyBorder="1" applyAlignment="1">
      <alignment horizontal="center" vertical="center"/>
    </xf>
    <xf numFmtId="0" fontId="167" fillId="4" borderId="27" xfId="1246" applyFont="1" applyFill="1" applyBorder="1" applyAlignment="1">
      <alignment horizontal="center"/>
    </xf>
    <xf numFmtId="10" fontId="31" fillId="0" borderId="0" xfId="1342" applyNumberFormat="1" applyFont="1" applyAlignment="1">
      <alignment horizontal="right" vertical="center"/>
    </xf>
    <xf numFmtId="10" fontId="31" fillId="0" borderId="0" xfId="1342" applyNumberFormat="1" applyFont="1" applyAlignment="1">
      <alignment horizontal="right"/>
    </xf>
    <xf numFmtId="171" fontId="31" fillId="0" borderId="0" xfId="1" applyNumberFormat="1" applyFont="1"/>
    <xf numFmtId="170" fontId="31" fillId="0" borderId="0" xfId="1" applyNumberFormat="1" applyFont="1" applyAlignment="1">
      <alignment horizontal="center" vertical="center"/>
    </xf>
    <xf numFmtId="10" fontId="31" fillId="0" borderId="0" xfId="1246" applyNumberFormat="1" applyFont="1" applyAlignment="1">
      <alignment horizontal="right" vertical="center"/>
    </xf>
    <xf numFmtId="229" fontId="31" fillId="5" borderId="63" xfId="1342" applyNumberFormat="1" applyFont="1" applyFill="1" applyBorder="1" applyAlignment="1">
      <alignment horizontal="center" vertical="center"/>
    </xf>
    <xf numFmtId="0" fontId="173" fillId="0" borderId="0" xfId="0" applyFont="1"/>
    <xf numFmtId="0" fontId="174" fillId="0" borderId="0" xfId="0" applyFont="1"/>
    <xf numFmtId="0" fontId="175" fillId="0" borderId="0" xfId="0" applyFont="1"/>
    <xf numFmtId="0" fontId="176" fillId="0" borderId="0" xfId="0" applyFont="1"/>
    <xf numFmtId="0" fontId="13" fillId="4" borderId="0" xfId="0" applyFont="1" applyFill="1" applyAlignment="1">
      <alignment horizontal="center" vertical="center"/>
    </xf>
    <xf numFmtId="0" fontId="177" fillId="0" borderId="57" xfId="0" applyFont="1" applyFill="1" applyBorder="1" applyAlignment="1">
      <alignment horizontal="center" vertical="center"/>
    </xf>
    <xf numFmtId="0" fontId="14" fillId="0" borderId="0" xfId="0" applyFont="1" applyFill="1" applyAlignment="1">
      <alignment vertical="center"/>
    </xf>
    <xf numFmtId="232" fontId="13" fillId="4" borderId="0" xfId="0" applyNumberFormat="1" applyFont="1" applyFill="1" applyAlignment="1">
      <alignment horizontal="center" vertical="center"/>
    </xf>
    <xf numFmtId="0" fontId="13" fillId="4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4" fillId="0" borderId="29" xfId="0" applyFont="1" applyFill="1" applyBorder="1" applyAlignment="1">
      <alignment horizontal="left" vertical="center"/>
    </xf>
    <xf numFmtId="2" fontId="178" fillId="0" borderId="29" xfId="0" applyNumberFormat="1" applyFont="1" applyFill="1" applyBorder="1" applyAlignment="1">
      <alignment horizontal="right" vertical="center"/>
    </xf>
    <xf numFmtId="3" fontId="14" fillId="0" borderId="0" xfId="0" applyNumberFormat="1" applyFont="1" applyFill="1" applyAlignment="1">
      <alignment vertical="center"/>
    </xf>
    <xf numFmtId="0" fontId="14" fillId="0" borderId="0" xfId="0" applyFont="1" applyFill="1" applyBorder="1" applyAlignment="1">
      <alignment horizontal="left" vertical="center"/>
    </xf>
    <xf numFmtId="10" fontId="14" fillId="0" borderId="0" xfId="0" applyNumberFormat="1" applyFont="1" applyFill="1" applyBorder="1" applyAlignment="1">
      <alignment horizontal="right" vertical="center"/>
    </xf>
    <xf numFmtId="164" fontId="14" fillId="0" borderId="0" xfId="0" applyNumberFormat="1" applyFont="1" applyFill="1" applyAlignment="1">
      <alignment vertical="center"/>
    </xf>
    <xf numFmtId="2" fontId="178" fillId="0" borderId="0" xfId="0" applyNumberFormat="1" applyFont="1" applyFill="1" applyBorder="1" applyAlignment="1">
      <alignment horizontal="right" vertical="center"/>
    </xf>
    <xf numFmtId="0" fontId="14" fillId="0" borderId="2" xfId="0" applyFont="1" applyFill="1" applyBorder="1" applyAlignment="1">
      <alignment horizontal="left" vertical="center" indent="1"/>
    </xf>
    <xf numFmtId="2" fontId="14" fillId="0" borderId="2" xfId="0" applyNumberFormat="1" applyFont="1" applyFill="1" applyBorder="1" applyAlignment="1">
      <alignment horizontal="right" vertical="center"/>
    </xf>
    <xf numFmtId="3" fontId="14" fillId="0" borderId="0" xfId="0" applyNumberFormat="1" applyFont="1" applyFill="1" applyBorder="1" applyAlignment="1">
      <alignment horizontal="left" vertical="center"/>
    </xf>
    <xf numFmtId="2" fontId="14" fillId="0" borderId="0" xfId="0" applyNumberFormat="1" applyFont="1" applyFill="1" applyBorder="1" applyAlignment="1">
      <alignment horizontal="right" vertical="center"/>
    </xf>
    <xf numFmtId="10" fontId="14" fillId="40" borderId="0" xfId="0" applyNumberFormat="1" applyFont="1" applyFill="1" applyBorder="1" applyAlignment="1">
      <alignment horizontal="right" vertical="center"/>
    </xf>
    <xf numFmtId="164" fontId="14" fillId="40" borderId="0" xfId="0" applyNumberFormat="1" applyFont="1" applyFill="1" applyBorder="1" applyAlignment="1">
      <alignment horizontal="right" vertical="center"/>
    </xf>
    <xf numFmtId="0" fontId="14" fillId="0" borderId="21" xfId="0" applyFont="1" applyFill="1" applyBorder="1" applyAlignment="1">
      <alignment horizontal="left" vertical="center"/>
    </xf>
    <xf numFmtId="2" fontId="14" fillId="0" borderId="21" xfId="0" applyNumberFormat="1" applyFont="1" applyFill="1" applyBorder="1" applyAlignment="1">
      <alignment horizontal="right" vertical="center"/>
    </xf>
    <xf numFmtId="9" fontId="14" fillId="0" borderId="0" xfId="0" applyNumberFormat="1" applyFont="1" applyFill="1" applyAlignment="1">
      <alignment vertical="center"/>
    </xf>
    <xf numFmtId="10" fontId="14" fillId="0" borderId="0" xfId="0" applyNumberFormat="1" applyFont="1" applyFill="1" applyAlignment="1">
      <alignment vertical="center"/>
    </xf>
    <xf numFmtId="0" fontId="14" fillId="0" borderId="0" xfId="0" applyFont="1" applyFill="1" applyAlignment="1">
      <alignment horizontal="left" vertical="center"/>
    </xf>
    <xf numFmtId="2" fontId="14" fillId="0" borderId="0" xfId="0" applyNumberFormat="1" applyFont="1" applyFill="1" applyAlignment="1">
      <alignment horizontal="right" vertical="center"/>
    </xf>
    <xf numFmtId="166" fontId="14" fillId="0" borderId="0" xfId="0" applyNumberFormat="1" applyFont="1" applyFill="1" applyAlignment="1">
      <alignment vertical="center"/>
    </xf>
    <xf numFmtId="3" fontId="14" fillId="0" borderId="0" xfId="0" applyNumberFormat="1" applyFont="1" applyFill="1" applyAlignment="1">
      <alignment horizontal="center" vertical="center"/>
    </xf>
    <xf numFmtId="0" fontId="179" fillId="0" borderId="0" xfId="0" applyFont="1" applyFill="1" applyAlignment="1">
      <alignment vertical="center"/>
    </xf>
    <xf numFmtId="2" fontId="178" fillId="0" borderId="0" xfId="0" applyNumberFormat="1" applyFont="1" applyFill="1" applyAlignment="1">
      <alignment horizontal="right" vertical="center"/>
    </xf>
    <xf numFmtId="0" fontId="179" fillId="0" borderId="2" xfId="0" applyFont="1" applyFill="1" applyBorder="1" applyAlignment="1">
      <alignment horizontal="left" vertical="center" indent="1"/>
    </xf>
    <xf numFmtId="0" fontId="14" fillId="0" borderId="0" xfId="0" applyNumberFormat="1" applyFont="1" applyFill="1" applyAlignment="1">
      <alignment horizontal="right" vertical="center"/>
    </xf>
    <xf numFmtId="210" fontId="14" fillId="0" borderId="21" xfId="0" applyNumberFormat="1" applyFont="1" applyFill="1" applyBorder="1" applyAlignment="1">
      <alignment horizontal="right" vertical="center"/>
    </xf>
    <xf numFmtId="233" fontId="13" fillId="4" borderId="0" xfId="0" applyNumberFormat="1" applyFont="1" applyFill="1" applyAlignment="1">
      <alignment horizontal="center" vertical="center"/>
    </xf>
    <xf numFmtId="0" fontId="13" fillId="4" borderId="0" xfId="0" applyNumberFormat="1" applyFont="1" applyFill="1" applyAlignment="1">
      <alignment horizontal="center" vertical="center"/>
    </xf>
    <xf numFmtId="164" fontId="13" fillId="4" borderId="0" xfId="0" applyNumberFormat="1" applyFont="1" applyFill="1" applyAlignment="1">
      <alignment horizontal="center" vertical="center"/>
    </xf>
    <xf numFmtId="0" fontId="14" fillId="0" borderId="29" xfId="0" applyFont="1" applyFill="1" applyBorder="1" applyAlignment="1">
      <alignment horizontal="left" vertical="center" indent="1"/>
    </xf>
    <xf numFmtId="164" fontId="14" fillId="0" borderId="29" xfId="0" applyNumberFormat="1" applyFont="1" applyFill="1" applyBorder="1" applyAlignment="1">
      <alignment horizontal="right" vertical="center"/>
    </xf>
    <xf numFmtId="164" fontId="178" fillId="0" borderId="29" xfId="0" applyNumberFormat="1" applyFont="1" applyFill="1" applyBorder="1" applyAlignment="1">
      <alignment horizontal="right" vertical="center"/>
    </xf>
    <xf numFmtId="3" fontId="14" fillId="0" borderId="29" xfId="0" applyNumberFormat="1" applyFont="1" applyFill="1" applyBorder="1" applyAlignment="1">
      <alignment horizontal="center" vertical="center"/>
    </xf>
    <xf numFmtId="4" fontId="178" fillId="0" borderId="29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horizontal="left" vertical="center" indent="1"/>
    </xf>
    <xf numFmtId="164" fontId="14" fillId="0" borderId="0" xfId="0" applyNumberFormat="1" applyFont="1" applyFill="1" applyBorder="1" applyAlignment="1">
      <alignment horizontal="right" vertical="center"/>
    </xf>
    <xf numFmtId="164" fontId="178" fillId="0" borderId="0" xfId="0" applyNumberFormat="1" applyFont="1" applyFill="1" applyBorder="1" applyAlignment="1">
      <alignment horizontal="right" vertical="center"/>
    </xf>
    <xf numFmtId="3" fontId="14" fillId="0" borderId="0" xfId="0" applyNumberFormat="1" applyFont="1" applyFill="1" applyBorder="1" applyAlignment="1">
      <alignment horizontal="center" vertical="center"/>
    </xf>
    <xf numFmtId="4" fontId="178" fillId="0" borderId="0" xfId="0" applyNumberFormat="1" applyFont="1" applyFill="1" applyBorder="1" applyAlignment="1">
      <alignment vertical="center"/>
    </xf>
    <xf numFmtId="0" fontId="14" fillId="0" borderId="21" xfId="0" applyFont="1" applyFill="1" applyBorder="1" applyAlignment="1">
      <alignment horizontal="left" vertical="center" indent="1"/>
    </xf>
    <xf numFmtId="164" fontId="14" fillId="0" borderId="21" xfId="0" applyNumberFormat="1" applyFont="1" applyFill="1" applyBorder="1" applyAlignment="1">
      <alignment horizontal="right" vertical="center"/>
    </xf>
    <xf numFmtId="164" fontId="178" fillId="0" borderId="21" xfId="0" applyNumberFormat="1" applyFont="1" applyFill="1" applyBorder="1" applyAlignment="1">
      <alignment horizontal="right" vertical="center"/>
    </xf>
    <xf numFmtId="3" fontId="14" fillId="0" borderId="21" xfId="0" applyNumberFormat="1" applyFont="1" applyFill="1" applyBorder="1" applyAlignment="1">
      <alignment horizontal="center" vertical="center"/>
    </xf>
    <xf numFmtId="4" fontId="178" fillId="0" borderId="21" xfId="0" applyNumberFormat="1" applyFont="1" applyFill="1" applyBorder="1" applyAlignment="1">
      <alignment vertical="center"/>
    </xf>
    <xf numFmtId="164" fontId="14" fillId="0" borderId="2" xfId="0" applyNumberFormat="1" applyFont="1" applyFill="1" applyBorder="1" applyAlignment="1">
      <alignment horizontal="right" vertical="center"/>
    </xf>
    <xf numFmtId="164" fontId="178" fillId="0" borderId="2" xfId="0" applyNumberFormat="1" applyFont="1" applyFill="1" applyBorder="1" applyAlignment="1">
      <alignment horizontal="right" vertical="center"/>
    </xf>
    <xf numFmtId="3" fontId="14" fillId="0" borderId="2" xfId="0" applyNumberFormat="1" applyFont="1" applyFill="1" applyBorder="1" applyAlignment="1">
      <alignment horizontal="center" vertical="center"/>
    </xf>
    <xf numFmtId="4" fontId="178" fillId="0" borderId="2" xfId="0" applyNumberFormat="1" applyFont="1" applyFill="1" applyBorder="1" applyAlignment="1">
      <alignment vertical="center"/>
    </xf>
    <xf numFmtId="0" fontId="14" fillId="0" borderId="0" xfId="0" applyFont="1" applyFill="1" applyAlignment="1">
      <alignment horizontal="left" vertical="center" indent="1"/>
    </xf>
    <xf numFmtId="164" fontId="14" fillId="0" borderId="0" xfId="0" applyNumberFormat="1" applyFont="1" applyFill="1" applyAlignment="1">
      <alignment horizontal="right" vertical="center"/>
    </xf>
    <xf numFmtId="164" fontId="178" fillId="0" borderId="0" xfId="0" applyNumberFormat="1" applyFont="1" applyFill="1" applyAlignment="1">
      <alignment horizontal="right" vertical="center"/>
    </xf>
    <xf numFmtId="4" fontId="178" fillId="0" borderId="0" xfId="0" applyNumberFormat="1" applyFont="1" applyFill="1" applyAlignment="1">
      <alignment vertical="center"/>
    </xf>
    <xf numFmtId="234" fontId="13" fillId="4" borderId="0" xfId="0" applyNumberFormat="1" applyFont="1" applyFill="1" applyAlignment="1">
      <alignment horizontal="center" vertical="center"/>
    </xf>
    <xf numFmtId="0" fontId="180" fillId="0" borderId="0" xfId="0" applyFont="1" applyFill="1" applyAlignment="1">
      <alignment vertical="center"/>
    </xf>
    <xf numFmtId="0" fontId="180" fillId="0" borderId="0" xfId="0" applyFont="1" applyFill="1" applyAlignment="1">
      <alignment horizontal="center" vertical="center"/>
    </xf>
    <xf numFmtId="164" fontId="178" fillId="0" borderId="7" xfId="0" applyNumberFormat="1" applyFont="1" applyFill="1" applyBorder="1" applyAlignment="1">
      <alignment horizontal="right" vertical="center"/>
    </xf>
    <xf numFmtId="164" fontId="178" fillId="0" borderId="12" xfId="0" applyNumberFormat="1" applyFont="1" applyFill="1" applyBorder="1" applyAlignment="1">
      <alignment horizontal="right" vertical="center"/>
    </xf>
    <xf numFmtId="164" fontId="178" fillId="0" borderId="64" xfId="0" applyNumberFormat="1" applyFont="1" applyFill="1" applyBorder="1" applyAlignment="1">
      <alignment horizontal="right" vertical="center"/>
    </xf>
    <xf numFmtId="164" fontId="178" fillId="0" borderId="62" xfId="0" applyNumberFormat="1" applyFont="1" applyFill="1" applyBorder="1" applyAlignment="1">
      <alignment horizontal="right" vertical="center"/>
    </xf>
    <xf numFmtId="2" fontId="14" fillId="0" borderId="29" xfId="0" applyNumberFormat="1" applyFont="1" applyFill="1" applyBorder="1" applyAlignment="1">
      <alignment horizontal="right" vertical="center"/>
    </xf>
    <xf numFmtId="2" fontId="14" fillId="0" borderId="7" xfId="0" applyNumberFormat="1" applyFont="1" applyFill="1" applyBorder="1" applyAlignment="1">
      <alignment horizontal="right" vertical="center"/>
    </xf>
    <xf numFmtId="2" fontId="14" fillId="0" borderId="12" xfId="0" applyNumberFormat="1" applyFont="1" applyFill="1" applyBorder="1" applyAlignment="1">
      <alignment horizontal="right" vertical="center"/>
    </xf>
    <xf numFmtId="2" fontId="14" fillId="0" borderId="62" xfId="0" applyNumberFormat="1" applyFont="1" applyFill="1" applyBorder="1" applyAlignment="1">
      <alignment horizontal="right" vertical="center"/>
    </xf>
    <xf numFmtId="4" fontId="177" fillId="0" borderId="57" xfId="0" applyNumberFormat="1" applyFont="1" applyFill="1" applyBorder="1" applyAlignment="1">
      <alignment horizontal="center" vertical="center"/>
    </xf>
    <xf numFmtId="4" fontId="14" fillId="0" borderId="0" xfId="0" applyNumberFormat="1" applyFont="1" applyFill="1" applyAlignment="1">
      <alignment horizontal="center" vertical="center"/>
    </xf>
    <xf numFmtId="2" fontId="14" fillId="0" borderId="64" xfId="0" applyNumberFormat="1" applyFont="1" applyFill="1" applyBorder="1" applyAlignment="1">
      <alignment horizontal="right" vertical="center"/>
    </xf>
    <xf numFmtId="235" fontId="15" fillId="0" borderId="62" xfId="0" applyNumberFormat="1" applyFont="1" applyFill="1" applyBorder="1" applyAlignment="1">
      <alignment horizontal="center" vertical="center"/>
    </xf>
    <xf numFmtId="3" fontId="15" fillId="0" borderId="2" xfId="0" applyNumberFormat="1" applyFont="1" applyFill="1" applyBorder="1" applyAlignment="1">
      <alignment horizontal="center" vertical="center"/>
    </xf>
    <xf numFmtId="3" fontId="15" fillId="0" borderId="62" xfId="0" applyNumberFormat="1" applyFont="1" applyFill="1" applyBorder="1" applyAlignment="1">
      <alignment horizontal="center" vertical="center"/>
    </xf>
    <xf numFmtId="3" fontId="15" fillId="0" borderId="58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left" vertical="center" indent="1"/>
    </xf>
    <xf numFmtId="2" fontId="14" fillId="0" borderId="65" xfId="0" applyNumberFormat="1" applyFont="1" applyFill="1" applyBorder="1" applyAlignment="1">
      <alignment horizontal="right" vertical="center"/>
    </xf>
    <xf numFmtId="2" fontId="14" fillId="0" borderId="12" xfId="0" applyNumberFormat="1" applyFont="1" applyFill="1" applyBorder="1" applyAlignment="1">
      <alignment horizontal="left" vertical="center" indent="1"/>
    </xf>
    <xf numFmtId="2" fontId="14" fillId="0" borderId="15" xfId="0" applyNumberFormat="1" applyFont="1" applyFill="1" applyBorder="1" applyAlignment="1">
      <alignment horizontal="right" vertical="center"/>
    </xf>
    <xf numFmtId="2" fontId="14" fillId="0" borderId="64" xfId="0" applyNumberFormat="1" applyFont="1" applyFill="1" applyBorder="1" applyAlignment="1">
      <alignment horizontal="left" vertical="center" indent="1"/>
    </xf>
    <xf numFmtId="2" fontId="14" fillId="0" borderId="41" xfId="0" applyNumberFormat="1" applyFont="1" applyFill="1" applyBorder="1" applyAlignment="1">
      <alignment horizontal="right" vertical="center"/>
    </xf>
    <xf numFmtId="2" fontId="14" fillId="0" borderId="0" xfId="0" applyNumberFormat="1" applyFont="1" applyFill="1" applyAlignment="1">
      <alignment horizontal="left" vertical="center"/>
    </xf>
    <xf numFmtId="182" fontId="14" fillId="0" borderId="0" xfId="0" applyNumberFormat="1" applyFont="1" applyFill="1" applyAlignment="1">
      <alignment horizontal="center" vertical="center"/>
    </xf>
    <xf numFmtId="0" fontId="14" fillId="0" borderId="7" xfId="0" applyFont="1" applyFill="1" applyBorder="1" applyAlignment="1">
      <alignment horizontal="left" vertical="center" indent="1"/>
    </xf>
    <xf numFmtId="0" fontId="14" fillId="0" borderId="12" xfId="0" applyFont="1" applyFill="1" applyBorder="1" applyAlignment="1">
      <alignment horizontal="left" vertical="center" indent="1"/>
    </xf>
    <xf numFmtId="164" fontId="14" fillId="0" borderId="0" xfId="0" applyNumberFormat="1" applyFont="1" applyFill="1" applyBorder="1" applyAlignment="1">
      <alignment vertical="center"/>
    </xf>
    <xf numFmtId="164" fontId="14" fillId="0" borderId="12" xfId="0" applyNumberFormat="1" applyFont="1" applyFill="1" applyBorder="1" applyAlignment="1">
      <alignment vertical="center"/>
    </xf>
    <xf numFmtId="164" fontId="14" fillId="0" borderId="15" xfId="0" applyNumberFormat="1" applyFont="1" applyFill="1" applyBorder="1" applyAlignment="1">
      <alignment vertical="center"/>
    </xf>
    <xf numFmtId="0" fontId="14" fillId="0" borderId="64" xfId="0" applyFont="1" applyFill="1" applyBorder="1" applyAlignment="1">
      <alignment horizontal="left" vertical="center" indent="1"/>
    </xf>
    <xf numFmtId="164" fontId="14" fillId="0" borderId="21" xfId="0" applyNumberFormat="1" applyFont="1" applyFill="1" applyBorder="1" applyAlignment="1">
      <alignment vertical="center"/>
    </xf>
    <xf numFmtId="164" fontId="14" fillId="0" borderId="64" xfId="0" applyNumberFormat="1" applyFont="1" applyFill="1" applyBorder="1" applyAlignment="1">
      <alignment vertical="center"/>
    </xf>
    <xf numFmtId="164" fontId="14" fillId="0" borderId="41" xfId="0" applyNumberFormat="1" applyFont="1" applyFill="1" applyBorder="1" applyAlignment="1">
      <alignment vertical="center"/>
    </xf>
    <xf numFmtId="164" fontId="14" fillId="0" borderId="7" xfId="0" applyNumberFormat="1" applyFont="1" applyFill="1" applyBorder="1" applyAlignment="1">
      <alignment horizontal="right" vertical="center"/>
    </xf>
    <xf numFmtId="164" fontId="14" fillId="0" borderId="65" xfId="0" applyNumberFormat="1" applyFont="1" applyFill="1" applyBorder="1" applyAlignment="1">
      <alignment horizontal="right" vertical="center"/>
    </xf>
    <xf numFmtId="164" fontId="14" fillId="0" borderId="12" xfId="0" applyNumberFormat="1" applyFont="1" applyFill="1" applyBorder="1" applyAlignment="1">
      <alignment horizontal="right" vertical="center"/>
    </xf>
    <xf numFmtId="164" fontId="14" fillId="0" borderId="15" xfId="0" applyNumberFormat="1" applyFont="1" applyFill="1" applyBorder="1" applyAlignment="1">
      <alignment horizontal="right" vertical="center"/>
    </xf>
    <xf numFmtId="236" fontId="14" fillId="0" borderId="0" xfId="0" applyNumberFormat="1" applyFont="1" applyFill="1" applyBorder="1" applyAlignment="1">
      <alignment horizontal="right" vertical="center"/>
    </xf>
    <xf numFmtId="236" fontId="14" fillId="0" borderId="12" xfId="0" applyNumberFormat="1" applyFont="1" applyFill="1" applyBorder="1" applyAlignment="1">
      <alignment horizontal="right" vertical="center"/>
    </xf>
    <xf numFmtId="236" fontId="14" fillId="0" borderId="15" xfId="0" applyNumberFormat="1" applyFont="1" applyFill="1" applyBorder="1" applyAlignment="1">
      <alignment horizontal="right" vertical="center"/>
    </xf>
    <xf numFmtId="4" fontId="14" fillId="0" borderId="0" xfId="0" applyNumberFormat="1" applyFont="1" applyFill="1" applyAlignment="1">
      <alignment vertical="center"/>
    </xf>
    <xf numFmtId="164" fontId="14" fillId="0" borderId="64" xfId="0" applyNumberFormat="1" applyFont="1" applyFill="1" applyBorder="1" applyAlignment="1">
      <alignment horizontal="right" vertical="center"/>
    </xf>
    <xf numFmtId="164" fontId="14" fillId="0" borderId="41" xfId="0" applyNumberFormat="1" applyFont="1" applyFill="1" applyBorder="1" applyAlignment="1">
      <alignment horizontal="right" vertical="center"/>
    </xf>
    <xf numFmtId="0" fontId="53" fillId="0" borderId="0" xfId="0" applyFont="1" applyAlignment="1" applyProtection="1">
      <alignment vertical="center"/>
    </xf>
    <xf numFmtId="0" fontId="183" fillId="4" borderId="0" xfId="1347" applyFont="1" applyFill="1" applyBorder="1" applyAlignment="1" applyProtection="1">
      <alignment horizontal="centerContinuous" vertical="center"/>
    </xf>
    <xf numFmtId="0" fontId="184" fillId="4" borderId="0" xfId="1347" applyFont="1" applyFill="1" applyAlignment="1" applyProtection="1">
      <alignment horizontal="centerContinuous" vertical="center"/>
    </xf>
    <xf numFmtId="202" fontId="183" fillId="4" borderId="0" xfId="1347" applyNumberFormat="1" applyFont="1" applyFill="1" applyBorder="1" applyAlignment="1" applyProtection="1">
      <alignment horizontal="centerContinuous" vertical="center"/>
    </xf>
    <xf numFmtId="0" fontId="185" fillId="0" borderId="0" xfId="1347" applyFont="1" applyFill="1" applyBorder="1" applyAlignment="1" applyProtection="1">
      <alignment vertical="center"/>
    </xf>
    <xf numFmtId="0" fontId="185" fillId="0" borderId="0" xfId="1347" applyFont="1" applyAlignment="1" applyProtection="1">
      <alignment vertical="center"/>
    </xf>
    <xf numFmtId="186" fontId="185" fillId="0" borderId="0" xfId="1347" applyNumberFormat="1" applyFont="1" applyAlignment="1" applyProtection="1">
      <alignment vertical="center"/>
    </xf>
    <xf numFmtId="0" fontId="185" fillId="0" borderId="0" xfId="1347" applyFont="1" applyFill="1" applyAlignment="1" applyProtection="1">
      <alignment vertical="center"/>
    </xf>
    <xf numFmtId="237" fontId="82" fillId="0" borderId="0" xfId="1348" applyNumberFormat="1" applyFont="1" applyFill="1" applyBorder="1" applyAlignment="1" applyProtection="1">
      <alignment vertical="center"/>
    </xf>
    <xf numFmtId="0" fontId="53" fillId="0" borderId="0" xfId="846" applyFont="1" applyFill="1" applyAlignment="1" applyProtection="1">
      <alignment vertical="center"/>
    </xf>
    <xf numFmtId="238" fontId="187" fillId="0" borderId="0" xfId="846" applyNumberFormat="1" applyFont="1" applyFill="1" applyBorder="1" applyAlignment="1" applyProtection="1">
      <alignment vertical="center"/>
    </xf>
    <xf numFmtId="14" fontId="82" fillId="41" borderId="27" xfId="1349" applyNumberFormat="1" applyFont="1" applyFill="1" applyBorder="1" applyAlignment="1">
      <alignment horizontal="center" vertical="center"/>
    </xf>
    <xf numFmtId="0" fontId="82" fillId="41" borderId="27" xfId="1349" applyFont="1" applyFill="1" applyBorder="1" applyAlignment="1">
      <alignment horizontal="center" vertical="center"/>
    </xf>
    <xf numFmtId="0" fontId="82" fillId="41" borderId="27" xfId="1349" applyFont="1" applyFill="1" applyBorder="1" applyAlignment="1">
      <alignment horizontal="centerContinuous" vertical="center"/>
    </xf>
    <xf numFmtId="0" fontId="186" fillId="0" borderId="0" xfId="1347" applyFont="1" applyFill="1" applyBorder="1" applyAlignment="1" applyProtection="1">
      <alignment vertical="center"/>
    </xf>
    <xf numFmtId="239" fontId="53" fillId="5" borderId="27" xfId="846" applyNumberFormat="1" applyFont="1" applyFill="1" applyBorder="1" applyAlignment="1" applyProtection="1">
      <alignment vertical="center"/>
    </xf>
    <xf numFmtId="0" fontId="188" fillId="41" borderId="27" xfId="1349" applyFont="1" applyFill="1" applyBorder="1" applyAlignment="1">
      <alignment horizontal="center" vertical="center"/>
    </xf>
    <xf numFmtId="239" fontId="53" fillId="0" borderId="21" xfId="846" applyNumberFormat="1" applyFont="1" applyFill="1" applyBorder="1" applyAlignment="1" applyProtection="1">
      <alignment vertical="center"/>
    </xf>
    <xf numFmtId="0" fontId="53" fillId="0" borderId="0" xfId="1349" applyFont="1" applyFill="1" applyAlignment="1">
      <alignment vertical="center"/>
    </xf>
    <xf numFmtId="240" fontId="187" fillId="0" borderId="0" xfId="8" applyNumberFormat="1" applyFont="1" applyFill="1" applyAlignment="1">
      <alignment vertical="center"/>
    </xf>
    <xf numFmtId="241" fontId="187" fillId="0" borderId="0" xfId="8" applyNumberFormat="1" applyFont="1" applyFill="1" applyAlignment="1">
      <alignment vertical="center"/>
    </xf>
    <xf numFmtId="239" fontId="53" fillId="0" borderId="0" xfId="1349" applyNumberFormat="1" applyFont="1" applyFill="1" applyBorder="1" applyAlignment="1">
      <alignment horizontal="right" vertical="center"/>
    </xf>
    <xf numFmtId="186" fontId="53" fillId="0" borderId="0" xfId="1349" applyNumberFormat="1" applyFont="1" applyFill="1" applyAlignment="1">
      <alignment horizontal="right" vertical="center"/>
    </xf>
    <xf numFmtId="0" fontId="82" fillId="0" borderId="0" xfId="846" applyFont="1" applyFill="1" applyAlignment="1" applyProtection="1">
      <alignment horizontal="left" vertical="center" indent="1"/>
    </xf>
    <xf numFmtId="0" fontId="82" fillId="0" borderId="0" xfId="846" applyFont="1" applyFill="1" applyAlignment="1" applyProtection="1">
      <alignment vertical="center"/>
    </xf>
    <xf numFmtId="239" fontId="82" fillId="0" borderId="0" xfId="846" applyNumberFormat="1" applyFont="1" applyFill="1" applyBorder="1" applyAlignment="1" applyProtection="1">
      <alignment vertical="center"/>
    </xf>
    <xf numFmtId="242" fontId="187" fillId="0" borderId="0" xfId="8" applyNumberFormat="1" applyFont="1" applyFill="1" applyAlignment="1">
      <alignment vertical="center"/>
    </xf>
    <xf numFmtId="239" fontId="53" fillId="0" borderId="0" xfId="1349" quotePrefix="1" applyNumberFormat="1" applyFont="1" applyFill="1" applyBorder="1" applyAlignment="1">
      <alignment horizontal="right" vertical="center"/>
    </xf>
    <xf numFmtId="0" fontId="53" fillId="0" borderId="0" xfId="1350" applyFont="1" applyFill="1" applyAlignment="1">
      <alignment vertical="center"/>
    </xf>
    <xf numFmtId="239" fontId="187" fillId="0" borderId="21" xfId="846" applyNumberFormat="1" applyFont="1" applyFill="1" applyBorder="1" applyAlignment="1" applyProtection="1">
      <alignment vertical="center"/>
    </xf>
    <xf numFmtId="0" fontId="82" fillId="0" borderId="0" xfId="1351" applyFont="1" applyFill="1" applyAlignment="1">
      <alignment horizontal="left" vertical="center" indent="1"/>
    </xf>
    <xf numFmtId="0" fontId="82" fillId="0" borderId="0" xfId="1351" applyFont="1" applyFill="1" applyAlignment="1">
      <alignment vertical="center"/>
    </xf>
    <xf numFmtId="244" fontId="53" fillId="0" borderId="0" xfId="6" applyNumberFormat="1" applyFont="1" applyFill="1" applyBorder="1" applyAlignment="1" applyProtection="1">
      <alignment vertical="center"/>
    </xf>
    <xf numFmtId="167" fontId="185" fillId="0" borderId="0" xfId="6" applyNumberFormat="1" applyFont="1" applyFill="1" applyBorder="1" applyAlignment="1" applyProtection="1">
      <alignment vertical="center"/>
    </xf>
    <xf numFmtId="14" fontId="53" fillId="0" borderId="0" xfId="1349" applyNumberFormat="1" applyFont="1" applyFill="1" applyAlignment="1">
      <alignment vertical="center"/>
    </xf>
    <xf numFmtId="186" fontId="185" fillId="0" borderId="0" xfId="1347" applyNumberFormat="1" applyFont="1" applyFill="1" applyBorder="1" applyAlignment="1" applyProtection="1">
      <alignment vertical="center"/>
    </xf>
    <xf numFmtId="239" fontId="53" fillId="0" borderId="0" xfId="1349" applyNumberFormat="1" applyFont="1" applyFill="1" applyAlignment="1">
      <alignment vertical="center"/>
    </xf>
    <xf numFmtId="243" fontId="82" fillId="42" borderId="2" xfId="8" applyNumberFormat="1" applyFont="1" applyFill="1" applyBorder="1" applyAlignment="1">
      <alignment vertical="center"/>
    </xf>
    <xf numFmtId="0" fontId="181" fillId="0" borderId="0" xfId="0" applyFont="1"/>
    <xf numFmtId="0" fontId="188" fillId="0" borderId="0" xfId="0" applyFont="1"/>
    <xf numFmtId="0" fontId="154" fillId="0" borderId="0" xfId="0" applyFont="1" applyAlignment="1" applyProtection="1">
      <alignment vertical="center"/>
    </xf>
    <xf numFmtId="0" fontId="190" fillId="0" borderId="0" xfId="0" applyFont="1"/>
    <xf numFmtId="0" fontId="191" fillId="0" borderId="0" xfId="0" applyFont="1"/>
  </cellXfs>
  <cellStyles count="1352">
    <cellStyle name="-" xfId="7"/>
    <cellStyle name="_x000a_386grabber=M" xfId="8"/>
    <cellStyle name="_x000d__x000a_JournalTemplate=C:\COMFO\CTALK\JOURSTD.TPL_x000d__x000a_LbStateAddress=3 3 0 251 1 89 2 311_x000d__x000a_LbStateJou" xfId="9"/>
    <cellStyle name="#" xfId="10"/>
    <cellStyle name="#-" xfId="11"/>
    <cellStyle name="$" xfId="12"/>
    <cellStyle name="$-" xfId="13"/>
    <cellStyle name="$ &amp; ¢" xfId="14"/>
    <cellStyle name="$_101306 CanWest Excel BAck up v14" xfId="15"/>
    <cellStyle name="$_BCE Model 1-8-07" xfId="16"/>
    <cellStyle name="$_FS" xfId="17"/>
    <cellStyle name="$_ILEC LBO" xfId="18"/>
    <cellStyle name="$_NeptunePIA LBO Model 9-2-03 Final Deepak Final" xfId="19"/>
    <cellStyle name="$_Pro forma ownership analysis_06.12.02_v9" xfId="20"/>
    <cellStyle name="$m" xfId="21"/>
    <cellStyle name="$MILLS" xfId="22"/>
    <cellStyle name="%" xfId="23"/>
    <cellStyle name="%-" xfId="24"/>
    <cellStyle name="% Growth" xfId="25"/>
    <cellStyle name="% Input" xfId="26"/>
    <cellStyle name="% of Revenues" xfId="27"/>
    <cellStyle name="% Presentation" xfId="28"/>
    <cellStyle name="%.0" xfId="29"/>
    <cellStyle name="%.00" xfId="30"/>
    <cellStyle name="%.1" xfId="31"/>
    <cellStyle name="%.2" xfId="32"/>
    <cellStyle name="%.3" xfId="33"/>
    <cellStyle name="%_FS" xfId="34"/>
    <cellStyle name="%_GS Model" xfId="35"/>
    <cellStyle name="******************************************" xfId="36"/>
    <cellStyle name="*MILLS" xfId="37"/>
    <cellStyle name=";;;" xfId="38"/>
    <cellStyle name="??" xfId="39"/>
    <cellStyle name="?? [0.00]_??????cula" xfId="40"/>
    <cellStyle name="?? [0]_??" xfId="41"/>
    <cellStyle name="?????_VERA" xfId="42"/>
    <cellStyle name="???[0]_~ME0858" xfId="43"/>
    <cellStyle name="???_~ME0858" xfId="44"/>
    <cellStyle name="??_?.????" xfId="45"/>
    <cellStyle name="\" xfId="46"/>
    <cellStyle name="\_BLS_Directories_v6" xfId="47"/>
    <cellStyle name="\_bluebirdacdil13" xfId="48"/>
    <cellStyle name="\_ecomps7w" xfId="49"/>
    <cellStyle name="\_equitycomps8" xfId="50"/>
    <cellStyle name="\_equitycomps9" xfId="51"/>
    <cellStyle name="\_houston Isabel" xfId="52"/>
    <cellStyle name="\_hybrid2" xfId="53"/>
    <cellStyle name="\_ITXCcomps" xfId="54"/>
    <cellStyle name="\_newcomps16" xfId="55"/>
    <cellStyle name="\_ravenpitch3" xfId="56"/>
    <cellStyle name="\_ravenpitch32" xfId="57"/>
    <cellStyle name="]_EUARNEW5_EMF Reports - Shipments" xfId="58"/>
    <cellStyle name="]_Labour Efficiency" xfId="59"/>
    <cellStyle name="_$accounting" xfId="60"/>
    <cellStyle name="_$accounting_BCE Model 1-8-07" xfId="61"/>
    <cellStyle name="_$accounting_PNC_merger_plan_divestitures_05" xfId="62"/>
    <cellStyle name="_$accounting_PNC_merger_plan_divestitures_05_BCE Model 1-8-07" xfId="63"/>
    <cellStyle name="_%(SignOnly)" xfId="64"/>
    <cellStyle name="_%(SignOnly)_01 model" xfId="65"/>
    <cellStyle name="_%(SignOnly)_02 Potential Partner Ability to Pay Analysis2" xfId="66"/>
    <cellStyle name="_%(SignOnly)_12 Merger Plans" xfId="67"/>
    <cellStyle name="_%(SignOnly)_AVP - prev. 06 financials" xfId="68"/>
    <cellStyle name="_%(SignOnly)_AVP - prev. 06 financials_BCE Model 1-8-07" xfId="69"/>
    <cellStyle name="_%(SignOnly)_bank_csc_Q2_2001_c1" xfId="70"/>
    <cellStyle name="_%(SignOnly)_bank_csc_Q2_2001_c1_BCE Model 1-8-07" xfId="71"/>
    <cellStyle name="_%(SignOnly)_FigTech Merger Model_02" xfId="72"/>
    <cellStyle name="_%(SignOnly)_Football Field" xfId="73"/>
    <cellStyle name="_%(SignOnly)_Football Field_BCE Model 1-8-07" xfId="74"/>
    <cellStyle name="_%(SignOnly)_PNC_merger_plan_divestitures_05" xfId="75"/>
    <cellStyle name="_%(SignOnly)_Summary Valuation Analysis" xfId="76"/>
    <cellStyle name="_%(SignOnly)_Synergies" xfId="77"/>
    <cellStyle name="_%(SignSpaceOnly)" xfId="78"/>
    <cellStyle name="_%(SignSpaceOnly)_01 model" xfId="79"/>
    <cellStyle name="_%(SignSpaceOnly)_02 Potential Partner Ability to Pay Analysis2" xfId="80"/>
    <cellStyle name="_%(SignSpaceOnly)_12 Merger Plans" xfId="81"/>
    <cellStyle name="_%(SignSpaceOnly)_AVP - prev. 06 financials" xfId="82"/>
    <cellStyle name="_%(SignSpaceOnly)_AVP - prev. 06 financials_BCE Model 1-8-07" xfId="83"/>
    <cellStyle name="_%(SignSpaceOnly)_bank_csc_Q2_2001_c1" xfId="84"/>
    <cellStyle name="_%(SignSpaceOnly)_bank_csc_Q2_2001_c1_BCE Model 1-8-07" xfId="85"/>
    <cellStyle name="_%(SignSpaceOnly)_FigTech Merger Model_02" xfId="86"/>
    <cellStyle name="_%(SignSpaceOnly)_Football Field" xfId="87"/>
    <cellStyle name="_%(SignSpaceOnly)_Football Field_BCE Model 1-8-07" xfId="88"/>
    <cellStyle name="_%(SignSpaceOnly)_PNC_merger_plan_divestitures_05" xfId="89"/>
    <cellStyle name="_%(SignSpaceOnly)_Summary Valuation Analysis" xfId="90"/>
    <cellStyle name="_%(SignSpaceOnly)_Synergies" xfId="91"/>
    <cellStyle name="_051129 DCF Summary" xfId="92"/>
    <cellStyle name="_101306 CanWest Excel BAck up v14" xfId="93"/>
    <cellStyle name="_accounting" xfId="94"/>
    <cellStyle name="_accounting_BCE Model 1-8-07" xfId="95"/>
    <cellStyle name="_accounting_monet_final_w_output" xfId="96"/>
    <cellStyle name="_accounting_monet_final_w_output_BCE Model 1-8-07" xfId="97"/>
    <cellStyle name="_Altman Model_6.18.07_DRIVERS" xfId="98"/>
    <cellStyle name="_Barnet_LBO_05.18.05" xfId="99"/>
    <cellStyle name="_Barnet_LBO_05.18.05_Bison LBO Analysis_Sponsor_02.07.07" xfId="100"/>
    <cellStyle name="_Barnet_LBO_05.18.05_Bison LBO Analysis_Sponsor_02.07.07_1" xfId="101"/>
    <cellStyle name="_BCE Model 1-8-07" xfId="102"/>
    <cellStyle name="_BU Rollup" xfId="103"/>
    <cellStyle name="_Check of Synergy DCFs 11-01-04_v5" xfId="104"/>
    <cellStyle name="_CKFR Model 11-30-06" xfId="105"/>
    <cellStyle name="_COMBO PAGESv.5" xfId="106"/>
    <cellStyle name="_Comma" xfId="107"/>
    <cellStyle name="_Comma[0]" xfId="108"/>
    <cellStyle name="_Comma[0]_BCE Model 1-8-07" xfId="109"/>
    <cellStyle name="_Comma_01 Fig Tech CSC 1Q03" xfId="110"/>
    <cellStyle name="_Comma_01 Financial Model" xfId="111"/>
    <cellStyle name="_Comma_01 Template without numbers sent out" xfId="112"/>
    <cellStyle name="_Comma_02 Potential Partner Ability to Pay Analysis2" xfId="113"/>
    <cellStyle name="_Comma_02 Quick Model_PQ Corporation" xfId="114"/>
    <cellStyle name="_Comma_101306 CanWest Excel BAck up v14" xfId="115"/>
    <cellStyle name="_Comma_12 Merger Plans" xfId="116"/>
    <cellStyle name="_Comma_20020403 Regional Data 04" xfId="117"/>
    <cellStyle name="_Comma_20020403 Regional Data 04 Final" xfId="118"/>
    <cellStyle name="_Comma_20020403 Template for Exchange - Regional Data 01" xfId="119"/>
    <cellStyle name="_Comma_20020404 Capex 02 All" xfId="120"/>
    <cellStyle name="_Comma_accretion dilution analysis" xfId="121"/>
    <cellStyle name="_Comma_Acquisition Ops 3" xfId="122"/>
    <cellStyle name="_Comma_AVP" xfId="123"/>
    <cellStyle name="_Comma_BCE Model 1-8-07" xfId="124"/>
    <cellStyle name="_Comma_Book1" xfId="125"/>
    <cellStyle name="_Comma_Book2" xfId="126"/>
    <cellStyle name="_Comma_buyer_analysis" xfId="127"/>
    <cellStyle name="_Comma_Check of Synergy DCFs 11-01-04_v5" xfId="128"/>
    <cellStyle name="_Comma_CKFR Model 11-30-06" xfId="129"/>
    <cellStyle name="_Comma_Comparative Balance Sheets" xfId="130"/>
    <cellStyle name="_Comma_CSC with WACC" xfId="131"/>
    <cellStyle name="_Comma_Dave Model Final v 1" xfId="132"/>
    <cellStyle name="_Comma_DCF Analysis" xfId="133"/>
    <cellStyle name="_Comma_DIS Go Private Analysis v23" xfId="134"/>
    <cellStyle name="_Comma_Eagle Ridge Cash Flow 01-10-02_GS" xfId="135"/>
    <cellStyle name="_Comma_Excel Inserts_v4" xfId="136"/>
    <cellStyle name="_Comma_Final Canadian Bank Comp (sent to IBD)FORM" xfId="137"/>
    <cellStyle name="_Comma_Football Field" xfId="138"/>
    <cellStyle name="_Comma_IBES_EPS_Estimates" xfId="139"/>
    <cellStyle name="_Comma_Master_Telecom_Equipment_CSCb" xfId="140"/>
    <cellStyle name="_Comma_Merger Model - Exec" xfId="141"/>
    <cellStyle name="_Comma_merger plans" xfId="142"/>
    <cellStyle name="_Comma_MotLion Projections may" xfId="143"/>
    <cellStyle name="_Comma_Old Life CSC" xfId="144"/>
    <cellStyle name="_Comma_pace_merger plans" xfId="145"/>
    <cellStyle name="_Comma_Palm Model 10_05" xfId="146"/>
    <cellStyle name="_Comma_PNC_PF_2Q_update" xfId="147"/>
    <cellStyle name="_Comma_Potential Strategic Partners" xfId="148"/>
    <cellStyle name="_Comma_QVC LBO Model 2-12-03 v3" xfId="149"/>
    <cellStyle name="_Comma_RJB Long LBO LTM" xfId="150"/>
    <cellStyle name="_Comma_Summary Valuation Analysis" xfId="151"/>
    <cellStyle name="_Comma_Synergies" xfId="152"/>
    <cellStyle name="_Comma_Troon Financials 8-1-02" xfId="153"/>
    <cellStyle name="_Comma_Troon_EBITDA" xfId="154"/>
    <cellStyle name="_Comma_Valuation Overview - June 2001" xfId="155"/>
    <cellStyle name="_Comma_Valuation_Troon dpak 8-5-02 v3" xfId="156"/>
    <cellStyle name="_Currency" xfId="157"/>
    <cellStyle name="_Currency(GBP)" xfId="158"/>
    <cellStyle name="_Currency(GBP)_BCE Model 1-8-07" xfId="159"/>
    <cellStyle name="_Currency_01 Fig Tech CSC 1Q03" xfId="160"/>
    <cellStyle name="_Currency_01 Financial Model" xfId="161"/>
    <cellStyle name="_Currency_01 Template without numbers sent out" xfId="162"/>
    <cellStyle name="_Currency_02 Financials" xfId="163"/>
    <cellStyle name="_Currency_02 Financials_BCE Model 1-8-07" xfId="164"/>
    <cellStyle name="_Currency_02 Potential Partner Ability to Pay Analysis2" xfId="165"/>
    <cellStyle name="_Currency_02 Quick Model_PQ Corporation" xfId="166"/>
    <cellStyle name="_Currency_04 Financials" xfId="167"/>
    <cellStyle name="_Currency_04 Financials_BCE Model 1-8-07" xfId="168"/>
    <cellStyle name="_Currency_101306 CanWest Excel BAck up v14" xfId="169"/>
    <cellStyle name="_Currency_101306 CanWest Excel BAck up v14_BCE LBO Analysis (02_4_07) MASTER V6" xfId="170"/>
    <cellStyle name="_Currency_101306 CanWest Excel BAck up v14_Bison LBO Analysis_Sponsors_03.06.07_to Citi" xfId="171"/>
    <cellStyle name="_Currency_101306 CanWest Excel BAck up v14_Bison LBO Analysis_Sponsors_TO CITI FOR FORMAT (2)" xfId="172"/>
    <cellStyle name="_Currency_101306 CanWest Excel BAck up v14_Bison LBO Analysis_Sponsors_TO CITI FOR FORMAT (2)_1" xfId="173"/>
    <cellStyle name="_Currency_12 Merger Plans" xfId="174"/>
    <cellStyle name="_Currency_20020403 Regional Data 04" xfId="175"/>
    <cellStyle name="_Currency_20020403 Regional Data 04 Final" xfId="176"/>
    <cellStyle name="_Currency_20020403 Template for Exchange - Regional Data 01" xfId="177"/>
    <cellStyle name="_Currency_20020404 Capex 02 All" xfId="178"/>
    <cellStyle name="_Currency_accretion dilution analysis" xfId="179"/>
    <cellStyle name="_Currency_Acquisition Ops 3" xfId="180"/>
    <cellStyle name="_Currency_Alamosa Merger" xfId="181"/>
    <cellStyle name="_Currency_Alamosa Standalone6" xfId="182"/>
    <cellStyle name="_Currency_Alamosa Standalone8b" xfId="183"/>
    <cellStyle name="_Currency_AVP" xfId="184"/>
    <cellStyle name="_Currency_AVP - prev. 06 financials" xfId="185"/>
    <cellStyle name="_Currency_AVP - prev. 06 financials_BCE Model 1-8-07" xfId="186"/>
    <cellStyle name="_Currency_avp_Palm Model 10_05" xfId="187"/>
    <cellStyle name="_Currency_bank_csc_Q2_2001_c1" xfId="188"/>
    <cellStyle name="_Currency_BCE Model 1-8-07" xfId="189"/>
    <cellStyle name="_Currency_Book1" xfId="190"/>
    <cellStyle name="_Currency_Book2" xfId="191"/>
    <cellStyle name="_Currency_Buyer List" xfId="192"/>
    <cellStyle name="_Currency_Buyer List_BCE Model 1-8-07" xfId="193"/>
    <cellStyle name="_Currency_buyer_analysis" xfId="194"/>
    <cellStyle name="_Currency_Check of Synergy DCFs 11-01-04_v5" xfId="195"/>
    <cellStyle name="_Currency_CKFR Model 11-30-06" xfId="196"/>
    <cellStyle name="_Currency_com_ic_universe_6" xfId="197"/>
    <cellStyle name="_Currency_Combo RW 125" xfId="198"/>
    <cellStyle name="_Currency_Comparative Balance Sheets" xfId="199"/>
    <cellStyle name="_Currency_CSC Update_Status of Companies_11_19" xfId="200"/>
    <cellStyle name="_Currency_CSC with WACC" xfId="201"/>
    <cellStyle name="_Currency_CSC_Palm_Sum_of_Parts_4_20_01" xfId="202"/>
    <cellStyle name="_Currency_CSC_Palm_Sum_of_Parts_4_20_01_BCE Model 1-8-07" xfId="203"/>
    <cellStyle name="_Currency_CSC_Palm_Sum_of_Parts_5_23_01a" xfId="204"/>
    <cellStyle name="_Currency_CSC_Palm_Sum_of_Parts_5_23_01a_BCE Model 1-8-07" xfId="205"/>
    <cellStyle name="_Currency_Dave Model Final v 1" xfId="206"/>
    <cellStyle name="_Currency_DCF Analysis" xfId="207"/>
    <cellStyle name="_Currency_DIS Go Private Analysis v23" xfId="208"/>
    <cellStyle name="_Currency_Eagle Ridge Cash Flow 01-10-02_GS" xfId="209"/>
    <cellStyle name="_Currency_Eutelsat and Capex Analysis" xfId="210"/>
    <cellStyle name="_Currency_Excel Inserts_v4" xfId="211"/>
    <cellStyle name="_Currency_Final Canadian Bank Comp (sent to IBD)FORM" xfId="212"/>
    <cellStyle name="_Currency_Football Field" xfId="213"/>
    <cellStyle name="_Currency_GQ" xfId="214"/>
    <cellStyle name="_Currency_GS Model" xfId="215"/>
    <cellStyle name="_Currency_IBES_EPS_Estimates" xfId="216"/>
    <cellStyle name="_Currency_Master_Telecom_Equipment_CSCb" xfId="217"/>
    <cellStyle name="_Currency_Merger Model - Exec" xfId="218"/>
    <cellStyle name="_Currency_merger plans" xfId="219"/>
    <cellStyle name="_Currency_monet2.4_temp" xfId="220"/>
    <cellStyle name="_Currency_monet2.8" xfId="221"/>
    <cellStyle name="_Currency_MotLion Projections may" xfId="222"/>
    <cellStyle name="_Currency_Old Life CSC" xfId="223"/>
    <cellStyle name="_Currency_pace_merger plans" xfId="224"/>
    <cellStyle name="_Currency_Palm Model 10_05" xfId="225"/>
    <cellStyle name="_Currency_pdf file" xfId="226"/>
    <cellStyle name="_Currency_PNC_PF_2Q_update" xfId="227"/>
    <cellStyle name="_Currency_Potential Strategic Partners" xfId="228"/>
    <cellStyle name="_Currency_QVC LBO Model 2-12-03 v3" xfId="229"/>
    <cellStyle name="_Currency_RJB Long LBO LTM" xfId="230"/>
    <cellStyle name="_Currency_Roberts Standalone14 Quarterly 2" xfId="231"/>
    <cellStyle name="_Currency_Sheet1" xfId="232"/>
    <cellStyle name="_Currency_Sheet1_BCE LBO Analysis (02_4_07) MASTER V6" xfId="233"/>
    <cellStyle name="_Currency_Sheet1_BCE Model 1-8-07" xfId="234"/>
    <cellStyle name="_Currency_Sheet1_Bison LBO Analysis_Sponsors_03.06.07_to Citi" xfId="235"/>
    <cellStyle name="_Currency_Sheet1_Bison LBO Analysis_Sponsors_TO CITI FOR FORMAT (2)" xfId="236"/>
    <cellStyle name="_Currency_Sheet1_Bison LBO Analysis_Sponsors_TO CITI FOR FORMAT (2)_1" xfId="237"/>
    <cellStyle name="_Currency_Summary Sheets2" xfId="238"/>
    <cellStyle name="_Currency_Summary Valuation Analysis" xfId="239"/>
    <cellStyle name="_Currency_Synergies" xfId="240"/>
    <cellStyle name="_Currency_Troon Financials 8-1-02" xfId="241"/>
    <cellStyle name="_Currency_Troon_EBITDA" xfId="242"/>
    <cellStyle name="_Currency_Valuation Overview - June 2001" xfId="243"/>
    <cellStyle name="_Currency_Valuation_Troon dpak 8-5-02 v3" xfId="244"/>
    <cellStyle name="_Currency_VIA_Evans NOL Analysis" xfId="245"/>
    <cellStyle name="_Currency_WOW Standalone Quarterly 2" xfId="246"/>
    <cellStyle name="_Currency_xratio - historical mkt val" xfId="247"/>
    <cellStyle name="_CurrencySpace" xfId="248"/>
    <cellStyle name="_CurrencySpace_01 Fig Tech CSC 1Q03" xfId="249"/>
    <cellStyle name="_CurrencySpace_01 Financial Model" xfId="250"/>
    <cellStyle name="_CurrencySpace_01 Template without numbers sent out" xfId="251"/>
    <cellStyle name="_CurrencySpace_02 Financials" xfId="252"/>
    <cellStyle name="_CurrencySpace_02 Financials_BCE Model 1-8-07" xfId="253"/>
    <cellStyle name="_CurrencySpace_02 Potential Partner Ability to Pay Analysis2" xfId="254"/>
    <cellStyle name="_CurrencySpace_02 Quick Model_PQ Corporation" xfId="255"/>
    <cellStyle name="_CurrencySpace_04 Financials" xfId="256"/>
    <cellStyle name="_CurrencySpace_04 Financials_BCE Model 1-8-07" xfId="257"/>
    <cellStyle name="_CurrencySpace_101306 CanWest Excel BAck up v14" xfId="258"/>
    <cellStyle name="_CurrencySpace_12 Merger Plans" xfId="259"/>
    <cellStyle name="_CurrencySpace_20020326Viper Numbers sent out" xfId="260"/>
    <cellStyle name="_CurrencySpace_20020403 Regional Data 04" xfId="261"/>
    <cellStyle name="_CurrencySpace_20020403 Regional Data 04 Final" xfId="262"/>
    <cellStyle name="_CurrencySpace_20020403 Template for Exchange - Regional Data 01" xfId="263"/>
    <cellStyle name="_CurrencySpace_20020404 Capex 02 All" xfId="264"/>
    <cellStyle name="_CurrencySpace_20020405 Final Company Model" xfId="265"/>
    <cellStyle name="_CurrencySpace_accretion dilution analysis" xfId="266"/>
    <cellStyle name="_CurrencySpace_Acquisition Ops 3" xfId="267"/>
    <cellStyle name="_CurrencySpace_April 2002 combined model - key factors only" xfId="268"/>
    <cellStyle name="_CurrencySpace_April 2002 combined model - key factors only (rec 5 apr)" xfId="269"/>
    <cellStyle name="_CurrencySpace_AVP" xfId="270"/>
    <cellStyle name="_CurrencySpace_avp_Palm Model 10_05" xfId="271"/>
    <cellStyle name="_CurrencySpace_BCE Model 1-8-07" xfId="272"/>
    <cellStyle name="_CurrencySpace_Book1" xfId="273"/>
    <cellStyle name="_CurrencySpace_Book1_Merger Plan 2-10-04 GSIBDv3" xfId="274"/>
    <cellStyle name="_CurrencySpace_Book2" xfId="275"/>
    <cellStyle name="_CurrencySpace_buyer_analysis" xfId="276"/>
    <cellStyle name="_CurrencySpace_Check of Synergy DCFs 11-01-04_v5" xfId="277"/>
    <cellStyle name="_CurrencySpace_CKFR Model 11-30-06" xfId="278"/>
    <cellStyle name="_CurrencySpace_com_ic_universe_6" xfId="279"/>
    <cellStyle name="_CurrencySpace_Comparative Balance Sheets" xfId="280"/>
    <cellStyle name="_CurrencySpace_CSC Update_Status of Companies_11_19" xfId="281"/>
    <cellStyle name="_CurrencySpace_CSC with WACC" xfId="282"/>
    <cellStyle name="_CurrencySpace_CSC_Palm_Sum_of_Parts_4_20_01" xfId="283"/>
    <cellStyle name="_CurrencySpace_CSC_Palm_Sum_of_Parts_5_23_01a" xfId="284"/>
    <cellStyle name="_CurrencySpace_Dave Model Final v 1" xfId="285"/>
    <cellStyle name="_CurrencySpace_DCF Analysis" xfId="286"/>
    <cellStyle name="_CurrencySpace_DIS Go Private Analysis v23" xfId="287"/>
    <cellStyle name="_CurrencySpace_Eagle Ridge Cash Flow 01-10-02_GS" xfId="288"/>
    <cellStyle name="_CurrencySpace_Excel Inserts_v4" xfId="289"/>
    <cellStyle name="_CurrencySpace_Final Canadian Bank Comp (sent to IBD)FORM" xfId="290"/>
    <cellStyle name="_CurrencySpace_Football Field" xfId="291"/>
    <cellStyle name="_CurrencySpace_IBES_EPS_Estimates" xfId="292"/>
    <cellStyle name="_CurrencySpace_Master_Telecom_Equipment_CSCb" xfId="293"/>
    <cellStyle name="_CurrencySpace_Merger Model - Exec" xfId="294"/>
    <cellStyle name="_CurrencySpace_merger plans" xfId="295"/>
    <cellStyle name="_CurrencySpace_monet2.4" xfId="296"/>
    <cellStyle name="_CurrencySpace_monet2.4_temp" xfId="297"/>
    <cellStyle name="_CurrencySpace_monet2.8" xfId="298"/>
    <cellStyle name="_CurrencySpace_MotLion Projections may" xfId="299"/>
    <cellStyle name="_CurrencySpace_Old Life CSC" xfId="300"/>
    <cellStyle name="_CurrencySpace_pace_merger plans" xfId="301"/>
    <cellStyle name="_CurrencySpace_Palm Model 10_05" xfId="302"/>
    <cellStyle name="_CurrencySpace_pdf file" xfId="303"/>
    <cellStyle name="_CurrencySpace_PNC_PF_2Q_update" xfId="304"/>
    <cellStyle name="_CurrencySpace_Potential Strategic Partners" xfId="305"/>
    <cellStyle name="_CurrencySpace_QVC LBO Model 2-12-03 v3" xfId="306"/>
    <cellStyle name="_CurrencySpace_RJB Long LBO LTM" xfId="307"/>
    <cellStyle name="_CurrencySpace_Stallion Analysis_a" xfId="308"/>
    <cellStyle name="_CurrencySpace_Summary Valuation Analysis" xfId="309"/>
    <cellStyle name="_CurrencySpace_Synergies" xfId="310"/>
    <cellStyle name="_CurrencySpace_Troon Financials 8-1-02" xfId="311"/>
    <cellStyle name="_CurrencySpace_Troon_EBITDA" xfId="312"/>
    <cellStyle name="_CurrencySpace_Valuation Overview - June 2001" xfId="313"/>
    <cellStyle name="_CurrencySpace_Valuation_Troon dpak 8-5-02 v3" xfId="314"/>
    <cellStyle name="_date" xfId="315"/>
    <cellStyle name="_Dave Model Final v 1" xfId="316"/>
    <cellStyle name="_DIS Go Private Analysis v23" xfId="317"/>
    <cellStyle name="_Dollar" xfId="318"/>
    <cellStyle name="_Euro" xfId="319"/>
    <cellStyle name="_Euro_accretion dilution analysis" xfId="320"/>
    <cellStyle name="_Euro_CSC_Palm_Sum_of_Parts_5_23_01a" xfId="321"/>
    <cellStyle name="_Euro_Financials Layout dpak 9-26-01 v1" xfId="322"/>
    <cellStyle name="_Euro_IBES_EPS_Estimates" xfId="323"/>
    <cellStyle name="_Euro_Palm Model 10_05" xfId="324"/>
    <cellStyle name="_Euro_Potential Strategic Partners" xfId="325"/>
    <cellStyle name="_Euro_Simple Merger Plans" xfId="326"/>
    <cellStyle name="_Excel Inserts_v4" xfId="327"/>
    <cellStyle name="_GBP" xfId="328"/>
    <cellStyle name="_GBP_BCE Model 1-8-07" xfId="329"/>
    <cellStyle name="_GBP_BCE Model 1-8-07_Bison LBO Analysis_Sponsor_02.07.07" xfId="330"/>
    <cellStyle name="_GS Equity Research Driver Comparison" xfId="331"/>
    <cellStyle name="_GS Model" xfId="332"/>
    <cellStyle name="_GS Model of VSTR" xfId="333"/>
    <cellStyle name="_Heading" xfId="334"/>
    <cellStyle name="_Heading_01 Selected Financials_Salt Business" xfId="335"/>
    <cellStyle name="_Heading_02 Quick Model_PQ Corporation" xfId="336"/>
    <cellStyle name="_Heading_06 Analysis at Various Prices" xfId="337"/>
    <cellStyle name="_Heading_Dave Model Final v 1" xfId="338"/>
    <cellStyle name="_Heading_Final Canadian Bank Comp (sent to IBD)FORM" xfId="339"/>
    <cellStyle name="_Heading_lbo_long_model" xfId="340"/>
    <cellStyle name="_Heading_MAXF historical financials" xfId="341"/>
    <cellStyle name="_Heading_PL Consolidated (2003)" xfId="342"/>
    <cellStyle name="_Heading_prestemp" xfId="343"/>
    <cellStyle name="_Heading_Summary Financials 04" xfId="344"/>
    <cellStyle name="_Highlight" xfId="345"/>
    <cellStyle name="_Highlight_accretion dilution analysis" xfId="346"/>
    <cellStyle name="_Highlight_Advance Summary 04" xfId="347"/>
    <cellStyle name="_Highlight_Assumptions" xfId="348"/>
    <cellStyle name="_Highlight_CSC_Palm_Sum_of_Parts_5_23_01a" xfId="349"/>
    <cellStyle name="_Highlight_Data Dailies Strategic Plan-CT" xfId="350"/>
    <cellStyle name="_Highlight_Dave Model Final v 1" xfId="351"/>
    <cellStyle name="_Highlight_Expenses_V6" xfId="352"/>
    <cellStyle name="_Highlight_Final-Consolidated-Dave-10" xfId="353"/>
    <cellStyle name="_Highlight_Financials Layout dpak 9-26-01 v1" xfId="354"/>
    <cellStyle name="_Highlight_GS Long Form Model3 7-23-02 TROON v34" xfId="355"/>
    <cellStyle name="_Highlight_Historical Financials" xfId="356"/>
    <cellStyle name="_Highlight_IBES_EPS_Estimates" xfId="357"/>
    <cellStyle name="_Highlight_Lease Expiration Model" xfId="358"/>
    <cellStyle name="_Highlight_ModelDrivers1" xfId="359"/>
    <cellStyle name="_Highlight_Original Masters2002 Base Case Model 2-12-03 v1" xfId="360"/>
    <cellStyle name="_Highlight_Palm Model 10_05" xfId="361"/>
    <cellStyle name="_Highlight_PFOwnership" xfId="362"/>
    <cellStyle name="_Highlight_Potential Strategic Partners" xfId="363"/>
    <cellStyle name="_Highlight_Prospective Asset Sales v42" xfId="364"/>
    <cellStyle name="_Highlight_Simple Merger Plans" xfId="365"/>
    <cellStyle name="_Highlight_Sony TR" xfId="366"/>
    <cellStyle name="_Highlight_Troon DCF Model 8-13-02 v1" xfId="367"/>
    <cellStyle name="_Highlight_Updated LIBOR Curve from Marius Jungerhans 8-16-02" xfId="368"/>
    <cellStyle name="_Inputs" xfId="369"/>
    <cellStyle name="_Merger Plan 2-10-04 GSIBDv3" xfId="370"/>
    <cellStyle name="_Month" xfId="371"/>
    <cellStyle name="_Month_BCE Model 1-8-07" xfId="372"/>
    <cellStyle name="_MS BCE Model" xfId="373"/>
    <cellStyle name="_Multiple" xfId="374"/>
    <cellStyle name="_Multiple_01 Fig Tech CSC 1Q03" xfId="375"/>
    <cellStyle name="_Multiple_01 Financial Model" xfId="376"/>
    <cellStyle name="_Multiple_01 Selected Financials_Salt Business" xfId="377"/>
    <cellStyle name="_Multiple_01 Template without numbers sent out" xfId="378"/>
    <cellStyle name="_Multiple_02 Potential Partner Ability to Pay Analysis2" xfId="379"/>
    <cellStyle name="_Multiple_02 Quick Model_PQ Corporation" xfId="380"/>
    <cellStyle name="_Multiple_06 Analysis at Various Prices" xfId="381"/>
    <cellStyle name="_Multiple_101306 CanWest Excel BAck up v14" xfId="382"/>
    <cellStyle name="_Multiple_12 Merger Plans" xfId="383"/>
    <cellStyle name="_Multiple_20020403 Regional Data 04" xfId="384"/>
    <cellStyle name="_Multiple_20020403 Regional Data 04 Final" xfId="385"/>
    <cellStyle name="_Multiple_20020403 Template for Exchange - Regional Data 01" xfId="386"/>
    <cellStyle name="_Multiple_20020404 Capex 02 All" xfId="387"/>
    <cellStyle name="_Multiple_accretion dilution analysis" xfId="388"/>
    <cellStyle name="_Multiple_Acquisition Ops 3" xfId="389"/>
    <cellStyle name="_Multiple_Appliances Metrics for Leverage Finance" xfId="390"/>
    <cellStyle name="_Multiple_Asset_Management_CSC_Updated_06_26_2002" xfId="391"/>
    <cellStyle name="_Multiple_Asset_Management_CSC_Updated_06_26_2002_BCE Model 1-8-07" xfId="392"/>
    <cellStyle name="_Multiple_AVP" xfId="393"/>
    <cellStyle name="_Multiple_AVP - prev. 06 financials" xfId="394"/>
    <cellStyle name="_Multiple_AVP - prev. 06 financials_BCE Model 1-8-07" xfId="395"/>
    <cellStyle name="_Multiple_AVP_BCE Model 1-8-07" xfId="396"/>
    <cellStyle name="_Multiple_avp_Merger Plan 2-10-04 GSIBDv3" xfId="397"/>
    <cellStyle name="_Multiple_avp_Palm Model 10_05" xfId="398"/>
    <cellStyle name="_Multiple_Bank &amp; Thrift Buyer Merger Plan(AutoPrice2000)" xfId="399"/>
    <cellStyle name="_Multiple_bank_csc_Q1_2001" xfId="400"/>
    <cellStyle name="_Multiple_bank_csc_Q1_2001_BCE Model 1-8-07" xfId="401"/>
    <cellStyle name="_Multiple_bank_csc_Q2_2001" xfId="402"/>
    <cellStyle name="_Multiple_bank_csc_Q2_2001_c1" xfId="403"/>
    <cellStyle name="_Multiple_BCE Model 1-8-07" xfId="404"/>
    <cellStyle name="_Multiple_Book1" xfId="405"/>
    <cellStyle name="_Multiple_Book1_1" xfId="406"/>
    <cellStyle name="_Multiple_Book1_Merger Plan 2-10-04 GSIBDv3" xfId="407"/>
    <cellStyle name="_Multiple_Book1_Merger Plan 2-10-04 GSIBDv3_BCE Model 1-8-07" xfId="408"/>
    <cellStyle name="_Multiple_Book2" xfId="409"/>
    <cellStyle name="_Multiple_Borders Model 11-11-03 mezz v6" xfId="410"/>
    <cellStyle name="_Multiple_buyer_analysis" xfId="411"/>
    <cellStyle name="_Multiple_Check of Synergy DCFs 11-01-04_v5" xfId="412"/>
    <cellStyle name="_Multiple_CKFR Model 11-30-06" xfId="413"/>
    <cellStyle name="_Multiple_CKFR Model 11-30-06_BCE Model 1-8-07" xfId="414"/>
    <cellStyle name="_Multiple_com_ic_universe_6" xfId="415"/>
    <cellStyle name="_Multiple_Comparative Balance Sheets" xfId="416"/>
    <cellStyle name="_Multiple_Comparative Balance Sheets_BCE Model 1-8-07" xfId="417"/>
    <cellStyle name="_Multiple_Cross Dock Projections v3" xfId="418"/>
    <cellStyle name="_Multiple_csc" xfId="419"/>
    <cellStyle name="_Multiple_CSC Update_Status of Companies_11_19" xfId="420"/>
    <cellStyle name="_Multiple_CSC with WACC" xfId="421"/>
    <cellStyle name="_Multiple_csc_BCE Model 1-8-07" xfId="422"/>
    <cellStyle name="_Multiple_CSC_Palm_Sum_of_Parts_4_20_01" xfId="423"/>
    <cellStyle name="_Multiple_CSC_Palm_Sum_of_Parts_5_23_01a" xfId="424"/>
    <cellStyle name="_Multiple_Dave Model Final v 1" xfId="425"/>
    <cellStyle name="_Multiple_DCF Analysis" xfId="426"/>
    <cellStyle name="_Multiple_DIS Go Private Analysis v23" xfId="427"/>
    <cellStyle name="_Multiple_discussion" xfId="428"/>
    <cellStyle name="_Multiple_Eagle Ridge Cash Flow 01-10-02_GS" xfId="429"/>
    <cellStyle name="_Multiple_Eutelsat and Capex Analysis" xfId="430"/>
    <cellStyle name="_Multiple_Excel Inserts_v4" xfId="431"/>
    <cellStyle name="_Multiple_Final Canadian Bank Comp (sent to IBD)FORM" xfId="432"/>
    <cellStyle name="_Multiple_Financial Buildup 6-18-03 v7" xfId="433"/>
    <cellStyle name="_Multiple_Financials" xfId="434"/>
    <cellStyle name="_Multiple_Financials_3" xfId="435"/>
    <cellStyle name="_Multiple_Football Field" xfId="436"/>
    <cellStyle name="_Multiple_GS Model" xfId="437"/>
    <cellStyle name="_Multiple_IBES_EPS_Estimates" xfId="438"/>
    <cellStyle name="_Multiple_march_21_meeting" xfId="439"/>
    <cellStyle name="_Multiple_Master_Telecom_Equipment_CSCb" xfId="440"/>
    <cellStyle name="_Multiple_Merger Model - Exec" xfId="441"/>
    <cellStyle name="_Multiple_Merger model_new" xfId="442"/>
    <cellStyle name="_Multiple_Merger model_new_ability to pay" xfId="443"/>
    <cellStyle name="_Multiple_Merger Plan 2-10-04 GSIBDv3" xfId="444"/>
    <cellStyle name="_Multiple_merger plans" xfId="445"/>
    <cellStyle name="_Multiple_model_bk" xfId="446"/>
    <cellStyle name="_Multiple_model_bk_BCE Model 1-8-07" xfId="447"/>
    <cellStyle name="_Multiple_monet_final_w_output" xfId="448"/>
    <cellStyle name="_Multiple_monet2.4" xfId="449"/>
    <cellStyle name="_Multiple_monet2.4_BCE Model 1-8-07" xfId="450"/>
    <cellStyle name="_Multiple_monet2.4_temp" xfId="451"/>
    <cellStyle name="_Multiple_monet2.4_temp_BCE Model 1-8-07" xfId="452"/>
    <cellStyle name="_Multiple_monet2.8" xfId="453"/>
    <cellStyle name="_Multiple_monet2.8_BCE Model 1-8-07" xfId="454"/>
    <cellStyle name="_Multiple_MotLion Projections may" xfId="455"/>
    <cellStyle name="_Multiple_Neptune Ammortization Analysis 8-6-03" xfId="456"/>
    <cellStyle name="_Multiple_Old Life CSC" xfId="457"/>
    <cellStyle name="_Multiple_Other Category Breaidown 7-26-03 v1" xfId="458"/>
    <cellStyle name="_Multiple_pace_merger plans" xfId="459"/>
    <cellStyle name="_Multiple_Palm Model 10_05" xfId="460"/>
    <cellStyle name="_Multiple_pdf file" xfId="461"/>
    <cellStyle name="_Multiple_PNC_PF_2Q_update" xfId="462"/>
    <cellStyle name="_Multiple_Potential Strategic Partners" xfId="463"/>
    <cellStyle name="_Multiple_Projections--Management (Data Room)v6" xfId="464"/>
    <cellStyle name="_Multiple_QVC LBO Model 2-12-03 v3" xfId="465"/>
    <cellStyle name="_Multiple_RJB Long LBO LTM" xfId="466"/>
    <cellStyle name="_Multiple_Sources and Uses FINAL dpakedit v2" xfId="467"/>
    <cellStyle name="_Multiple_Summary Valuation Analysis" xfId="468"/>
    <cellStyle name="_Multiple_Synergies" xfId="469"/>
    <cellStyle name="_Multiple_Troon DCF Model 8-13-02 v1" xfId="470"/>
    <cellStyle name="_Multiple_Troon DCF Model 8-13-02 v1_BCE Model 1-8-07" xfId="471"/>
    <cellStyle name="_Multiple_Troon Financials 8-1-02" xfId="472"/>
    <cellStyle name="_Multiple_Troon LLC FS dpakedit 8-7-02" xfId="473"/>
    <cellStyle name="_Multiple_Troon LLC FS dpakedit 8-7-02 v3" xfId="474"/>
    <cellStyle name="_Multiple_Troon LLC FS dpakedit 8-7-02 v4" xfId="475"/>
    <cellStyle name="_Multiple_Troon_EBITDA" xfId="476"/>
    <cellStyle name="_Multiple_Valuation Overview - June 2001" xfId="477"/>
    <cellStyle name="_Multiple_Valuation Overview - June 2001_BCE Model 1-8-07" xfId="478"/>
    <cellStyle name="_Multiple_Valuation_Troon dpak 8-5-02 v3" xfId="479"/>
    <cellStyle name="_MultipleSpace" xfId="480"/>
    <cellStyle name="_MultipleSpace_01 Fig Tech CSC 1Q03" xfId="481"/>
    <cellStyle name="_MultipleSpace_01 Financial Model" xfId="482"/>
    <cellStyle name="_MultipleSpace_01 Template without numbers sent out" xfId="483"/>
    <cellStyle name="_MultipleSpace_02 Potential Partner Ability to Pay Analysis2" xfId="484"/>
    <cellStyle name="_MultipleSpace_02 Quick Model_PQ Corporation" xfId="485"/>
    <cellStyle name="_MultipleSpace_101306 CanWest Excel BAck up v14" xfId="486"/>
    <cellStyle name="_MultipleSpace_12 Merger Plans" xfId="487"/>
    <cellStyle name="_MultipleSpace_20020403 Regional Data 04" xfId="488"/>
    <cellStyle name="_MultipleSpace_20020403 Regional Data 04 Final" xfId="489"/>
    <cellStyle name="_MultipleSpace_20020403 Template for Exchange - Regional Data 01" xfId="490"/>
    <cellStyle name="_MultipleSpace_20020404 Capex 02 All" xfId="491"/>
    <cellStyle name="_MultipleSpace_accretion dilution analysis" xfId="492"/>
    <cellStyle name="_MultipleSpace_Acquisition Ops 3" xfId="493"/>
    <cellStyle name="_MultipleSpace_Alamosa Merger" xfId="494"/>
    <cellStyle name="_MultipleSpace_Alamosa Standalone8b" xfId="495"/>
    <cellStyle name="_MultipleSpace_AVP" xfId="496"/>
    <cellStyle name="_MultipleSpace_AVP - prev. 06 financials" xfId="497"/>
    <cellStyle name="_MultipleSpace_AVP - prev. 06 financials_BCE Model 1-8-07" xfId="498"/>
    <cellStyle name="_MultipleSpace_AVP_BCE Model 1-8-07" xfId="499"/>
    <cellStyle name="_MultipleSpace_avp_Merger Plan 2-10-04 GSIBDv3" xfId="500"/>
    <cellStyle name="_MultipleSpace_avp_Palm Model 10_05" xfId="501"/>
    <cellStyle name="_MultipleSpace_bank_csc_Q1_2001" xfId="502"/>
    <cellStyle name="_MultipleSpace_bank_csc_Q1_2001_BCE Model 1-8-07" xfId="503"/>
    <cellStyle name="_MultipleSpace_bank_csc_Q2_2001_c1" xfId="504"/>
    <cellStyle name="_MultipleSpace_bank_csc_Q2_2001_c1_BCE Model 1-8-07" xfId="505"/>
    <cellStyle name="_MultipleSpace_BCE Model 1-8-07" xfId="506"/>
    <cellStyle name="_MultipleSpace_Book1" xfId="507"/>
    <cellStyle name="_MultipleSpace_Book1_Merger Plan 2-10-04 GSIBDv3" xfId="508"/>
    <cellStyle name="_MultipleSpace_Book1_Merger Plan 2-10-04 GSIBDv3_BCE Model 1-8-07" xfId="509"/>
    <cellStyle name="_MultipleSpace_Book2" xfId="510"/>
    <cellStyle name="_MultipleSpace_buyer_analysis" xfId="511"/>
    <cellStyle name="_MultipleSpace_Check of Synergy DCFs 11-01-04_v5" xfId="512"/>
    <cellStyle name="_MultipleSpace_CKFR Model 11-30-06" xfId="513"/>
    <cellStyle name="_MultipleSpace_com_ic_universe_6" xfId="514"/>
    <cellStyle name="_MultipleSpace_COMBO Final DCF_2" xfId="515"/>
    <cellStyle name="_MultipleSpace_Comparative Balance Sheets" xfId="516"/>
    <cellStyle name="_MultipleSpace_Comparative Balance Sheets_BCE Model 1-8-07" xfId="517"/>
    <cellStyle name="_MultipleSpace_csc" xfId="518"/>
    <cellStyle name="_MultipleSpace_CSC Update_Status of Companies_11_19" xfId="519"/>
    <cellStyle name="_MultipleSpace_CSC with WACC" xfId="520"/>
    <cellStyle name="_MultipleSpace_csc_BCE Model 1-8-07" xfId="521"/>
    <cellStyle name="_MultipleSpace_CSC_Palm_Sum_of_Parts_4_20_01" xfId="522"/>
    <cellStyle name="_MultipleSpace_CSC_Palm_Sum_of_Parts_5_23_01a" xfId="523"/>
    <cellStyle name="_MultipleSpace_Dave Model Final v 1" xfId="524"/>
    <cellStyle name="_MultipleSpace_DCF Analysis" xfId="525"/>
    <cellStyle name="_MultipleSpace_DIS Go Private Analysis v23" xfId="526"/>
    <cellStyle name="_MultipleSpace_Eagle Ridge Cash Flow 01-10-02_GS" xfId="527"/>
    <cellStyle name="_MultipleSpace_Eutelsat and Capex Analysis" xfId="528"/>
    <cellStyle name="_MultipleSpace_Excel Inserts_v4" xfId="529"/>
    <cellStyle name="_MultipleSpace_Final Canadian Bank Comp (sent to IBD)FORM" xfId="530"/>
    <cellStyle name="_MultipleSpace_Football Field" xfId="531"/>
    <cellStyle name="_MultipleSpace_IBES_EPS_Estimates" xfId="532"/>
    <cellStyle name="_MultipleSpace_Master_Telecom_Equipment_CSCb" xfId="533"/>
    <cellStyle name="_MultipleSpace_Merger Model - Exec" xfId="534"/>
    <cellStyle name="_MultipleSpace_merger plans" xfId="535"/>
    <cellStyle name="_MultipleSpace_model_bk" xfId="536"/>
    <cellStyle name="_MultipleSpace_model_bk_BCE Model 1-8-07" xfId="537"/>
    <cellStyle name="_MultipleSpace_monet_final_w_output" xfId="538"/>
    <cellStyle name="_MultipleSpace_monet2.4" xfId="539"/>
    <cellStyle name="_MultipleSpace_monet2.4_BCE Model 1-8-07" xfId="540"/>
    <cellStyle name="_MultipleSpace_monet2.4_temp" xfId="541"/>
    <cellStyle name="_MultipleSpace_monet2.4_temp_BCE Model 1-8-07" xfId="542"/>
    <cellStyle name="_MultipleSpace_monet2.8" xfId="543"/>
    <cellStyle name="_MultipleSpace_monet2.8_BCE Model 1-8-07" xfId="544"/>
    <cellStyle name="_MultipleSpace_MotLion Projections may" xfId="545"/>
    <cellStyle name="_MultipleSpace_Old Life CSC" xfId="546"/>
    <cellStyle name="_MultipleSpace_pace_merger plans" xfId="547"/>
    <cellStyle name="_MultipleSpace_Palm Model 10_05" xfId="548"/>
    <cellStyle name="_MultipleSpace_pdf file" xfId="549"/>
    <cellStyle name="_MultipleSpace_PNC_PF_2Q_update" xfId="550"/>
    <cellStyle name="_MultipleSpace_Potential Strategic Partners" xfId="551"/>
    <cellStyle name="_MultipleSpace_QVC LBO Model 2-12-03 v3" xfId="552"/>
    <cellStyle name="_MultipleSpace_RJB Long LBO LTM" xfId="553"/>
    <cellStyle name="_MultipleSpace_Summary Valuation Analysis" xfId="554"/>
    <cellStyle name="_MultipleSpace_Synergies" xfId="555"/>
    <cellStyle name="_MultipleSpace_Troon DCF Model 8-13-02 v1" xfId="556"/>
    <cellStyle name="_MultipleSpace_Troon DCF Model 8-13-02 v1_BCE Model 1-8-07" xfId="557"/>
    <cellStyle name="_MultipleSpace_Troon Financials 8-1-02" xfId="558"/>
    <cellStyle name="_MultipleSpace_Troon LLC FS dpakedit 8-7-02" xfId="559"/>
    <cellStyle name="_MultipleSpace_Troon LLC FS dpakedit 8-7-02 v3" xfId="560"/>
    <cellStyle name="_MultipleSpace_Troon LLC FS dpakedit 8-7-02 v4" xfId="561"/>
    <cellStyle name="_MultipleSpace_Troon_EBITDA" xfId="562"/>
    <cellStyle name="_MultipleSpace_Valuation Overview - June 2001" xfId="563"/>
    <cellStyle name="_MultipleSpace_Valuation Overview - June 2001_BCE Model 1-8-07" xfId="564"/>
    <cellStyle name="_MultipleSpace_Valuation_Troon dpak 8-5-02 v3" xfId="565"/>
    <cellStyle name="_Output" xfId="566"/>
    <cellStyle name="_Percent" xfId="567"/>
    <cellStyle name="_Percent_101306 CanWest Excel BAck up v14" xfId="568"/>
    <cellStyle name="_Percent_Acquisition Ops 3" xfId="569"/>
    <cellStyle name="_Percent_Alamosa Merger" xfId="570"/>
    <cellStyle name="_Percent_Alamosa Standalone8b" xfId="571"/>
    <cellStyle name="_Percent_AVP" xfId="572"/>
    <cellStyle name="_Percent_Book1" xfId="573"/>
    <cellStyle name="_Percent_COMBO Final DCF_2" xfId="574"/>
    <cellStyle name="_Percent_Comparative Balance Sheets" xfId="575"/>
    <cellStyle name="_Percent_CSC with WACC" xfId="576"/>
    <cellStyle name="_Percent_Eutelsat and Capex Analysis" xfId="577"/>
    <cellStyle name="_Percent_Master_Telecom_Equipment_CSCb" xfId="578"/>
    <cellStyle name="_Percent_Merger Model - Exec" xfId="579"/>
    <cellStyle name="_Percent_merger plans" xfId="580"/>
    <cellStyle name="_Percent_monet2.4" xfId="581"/>
    <cellStyle name="_Percent_monet2.4_temp" xfId="582"/>
    <cellStyle name="_Percent_monet2.8" xfId="583"/>
    <cellStyle name="_Percent_MotLion Projections may" xfId="584"/>
    <cellStyle name="_Percent_pace_merger plans" xfId="585"/>
    <cellStyle name="_Percent_Palm Model 10_05" xfId="586"/>
    <cellStyle name="_Percent_pdf file" xfId="587"/>
    <cellStyle name="_Percent_Sources and Uses FINAL dpakedit v2" xfId="588"/>
    <cellStyle name="_Percent_Valuation Overview - June 2001" xfId="589"/>
    <cellStyle name="_Percent_Valuation_Troon dpak 8-5-02 v3" xfId="590"/>
    <cellStyle name="_PercentReal" xfId="591"/>
    <cellStyle name="_PercentReal_BCE Model 1-8-07" xfId="592"/>
    <cellStyle name="_PercentReal_bs_avp" xfId="593"/>
    <cellStyle name="_PercentReal_bs_avp_BCE Model 1-8-07" xfId="594"/>
    <cellStyle name="_percentReal_monet_final_w_output" xfId="595"/>
    <cellStyle name="_percentReal_monet_final_w_output_BCE Model 1-8-07" xfId="596"/>
    <cellStyle name="_PercentSpace" xfId="597"/>
    <cellStyle name="_PercentSpace_101306 CanWest Excel BAck up v14" xfId="598"/>
    <cellStyle name="_PercentSpace_101306 CanWest Excel BAck up v14_BCE LBO Analysis (02_4_07) MASTER V6" xfId="599"/>
    <cellStyle name="_PercentSpace_Acquisition Ops 3" xfId="600"/>
    <cellStyle name="_PercentSpace_Alamosa Merger" xfId="601"/>
    <cellStyle name="_PercentSpace_Alamosa Merger_BCE LBO Analysis (02_4_07) MASTER V6" xfId="602"/>
    <cellStyle name="_PercentSpace_Alamosa Standalone8b" xfId="603"/>
    <cellStyle name="_PercentSpace_Alamosa Standalone8b_BCE LBO Analysis (02_4_07) MASTER V6" xfId="604"/>
    <cellStyle name="_PercentSpace_AVP" xfId="605"/>
    <cellStyle name="_PercentSpace_Book1" xfId="606"/>
    <cellStyle name="_PercentSpace_Book1_Merger Plan 2-10-04 GSIBDv3" xfId="607"/>
    <cellStyle name="_PercentSpace_COMBO Final DCF_2" xfId="608"/>
    <cellStyle name="_PercentSpace_Comparative Balance Sheets" xfId="609"/>
    <cellStyle name="_PercentSpace_CSC with WACC" xfId="610"/>
    <cellStyle name="_PercentSpace_Eutelsat and Capex Analysis" xfId="611"/>
    <cellStyle name="_PercentSpace_Master_Telecom_Equipment_CSCb" xfId="612"/>
    <cellStyle name="_PercentSpace_Merger Model - Exec" xfId="613"/>
    <cellStyle name="_PercentSpace_merger plans" xfId="614"/>
    <cellStyle name="_PercentSpace_monet2.4" xfId="615"/>
    <cellStyle name="_PercentSpace_monet2.4_temp" xfId="616"/>
    <cellStyle name="_PercentSpace_monet2.8" xfId="617"/>
    <cellStyle name="_PercentSpace_MotLion Projections may" xfId="618"/>
    <cellStyle name="_PercentSpace_pace_merger plans" xfId="619"/>
    <cellStyle name="_PercentSpace_Palm Model 10_05" xfId="620"/>
    <cellStyle name="_PercentSpace_pdf file" xfId="621"/>
    <cellStyle name="_PercentSpace_Projections--Management (Data Room)v6" xfId="622"/>
    <cellStyle name="_PercentSpace_RJB Long LBO LTM" xfId="623"/>
    <cellStyle name="_PercentSpace_Sources and Uses FINAL dpakedit v2" xfId="624"/>
    <cellStyle name="_PercentSpace_Valuation Overview - June 2001" xfId="625"/>
    <cellStyle name="_PercentSpace_Valuation_Troon dpak 8-5-02 v3" xfId="626"/>
    <cellStyle name="_Preliminary LBO model 012305" xfId="627"/>
    <cellStyle name="_Sources and Uses FINAL dpakedit v2" xfId="628"/>
    <cellStyle name="_SubHeading" xfId="629"/>
    <cellStyle name="_SubHeading_01 model" xfId="630"/>
    <cellStyle name="_SubHeading_01 Selected Financials_Salt Business" xfId="631"/>
    <cellStyle name="_SubHeading_02 Potential Partner Ability to Pay Analysis2" xfId="632"/>
    <cellStyle name="_SubHeading_02 Quick Model_PQ Corporation" xfId="633"/>
    <cellStyle name="_SubHeading_06 Analysis at Various Prices" xfId="634"/>
    <cellStyle name="_SubHeading_12 Merger Plans" xfId="635"/>
    <cellStyle name="_SubHeading_accretion dilution analysis" xfId="636"/>
    <cellStyle name="_SubHeading_bank_csc_and merger plan4" xfId="637"/>
    <cellStyle name="_SubHeading_bank_csc_Q1_2001" xfId="638"/>
    <cellStyle name="_SubHeading_bank_csc_Q2_2001" xfId="639"/>
    <cellStyle name="_SubHeading_bank_csc_Q2_2001_c1" xfId="640"/>
    <cellStyle name="_SubHeading_Book1" xfId="641"/>
    <cellStyle name="_SubHeading_CSC with WACC" xfId="642"/>
    <cellStyle name="_SubHeading_CSC_Palm_Sum_of_Parts_5_23_01a" xfId="643"/>
    <cellStyle name="_SubHeading_Dave Model Final v 1" xfId="644"/>
    <cellStyle name="_SubHeading_er" xfId="645"/>
    <cellStyle name="_SubHeading_FigTech Merger Model_02" xfId="646"/>
    <cellStyle name="_SubHeading_Final Canadian Bank Comp (sent to IBD)FORM" xfId="647"/>
    <cellStyle name="_SubHeading_Financials Layout dpak 9-26-01 v1" xfId="648"/>
    <cellStyle name="_SubHeading_Football Field" xfId="649"/>
    <cellStyle name="_SubHeading_IBES_EPS_Estimates" xfId="650"/>
    <cellStyle name="_SubHeading_lbo_long_model" xfId="651"/>
    <cellStyle name="_SubHeading_Master_Telecom_Equipment_CSC_5_9_01_v02" xfId="652"/>
    <cellStyle name="_SubHeading_Master_Telecom_Equipment_CSCb" xfId="653"/>
    <cellStyle name="_SubHeading_MAXF historical financials" xfId="654"/>
    <cellStyle name="_SubHeading_Merger model_new_ability to pay" xfId="655"/>
    <cellStyle name="_SubHeading_Merger Plan 31-Scenario 12" xfId="656"/>
    <cellStyle name="_SubHeading_merger plans_June 1" xfId="657"/>
    <cellStyle name="_SubHeading_model_bk" xfId="658"/>
    <cellStyle name="_SubHeading_monet2.4" xfId="659"/>
    <cellStyle name="_SubHeading_MotLion Projections may" xfId="660"/>
    <cellStyle name="_SubHeading_PL Consolidated (2003)" xfId="661"/>
    <cellStyle name="_SubHeading_PNC_merger_plan_divestitures_05" xfId="662"/>
    <cellStyle name="_SubHeading_Potential Strategic Partners" xfId="663"/>
    <cellStyle name="_SubHeading_prestemp" xfId="664"/>
    <cellStyle name="_SubHeading_prestemp_1" xfId="665"/>
    <cellStyle name="_SubHeading_prestemp_AVP - prev. 06 financials" xfId="666"/>
    <cellStyle name="_SubHeading_prestemp_Palm Model 10_05" xfId="667"/>
    <cellStyle name="_SubHeading_prestemp_PNC_merger_plan_divestitures_05" xfId="668"/>
    <cellStyle name="_SubHeading_prestemp_PNC_PF_2Q_update" xfId="669"/>
    <cellStyle name="_SubHeading_prestemp_Simple Merger Plans" xfId="670"/>
    <cellStyle name="_SubHeading_prestemp_Troon DCF Model 8-13-02 v1" xfId="671"/>
    <cellStyle name="_SubHeading_prestemp_Valuation_Troon dpak 8-5-02 v3" xfId="672"/>
    <cellStyle name="_SubHeading_Simple Merger Plans" xfId="673"/>
    <cellStyle name="_SubHeading_Stallion Analysis_a" xfId="674"/>
    <cellStyle name="_SubHeading_stand_alone_dcf" xfId="675"/>
    <cellStyle name="_SubHeading_Summary Financials 04" xfId="676"/>
    <cellStyle name="_SubHeading_Summary Valuation Analysis" xfId="677"/>
    <cellStyle name="_SubHeading_Synergies" xfId="678"/>
    <cellStyle name="_SubHeading_Troon DCF Model 8-13-02 v1" xfId="679"/>
    <cellStyle name="_SubHeading_Troon LLC FS dpakedit 8-7-02" xfId="680"/>
    <cellStyle name="_SubHeading_Troon LLC FS dpakedit 8-7-02 v3" xfId="681"/>
    <cellStyle name="_SubHeading_Troon LLC FS dpakedit 8-7-02 v4" xfId="682"/>
    <cellStyle name="_SubHeading_Valuation_Troon dpak 8-5-02 v3" xfId="683"/>
    <cellStyle name="_Table" xfId="684"/>
    <cellStyle name="_Table_01 model" xfId="685"/>
    <cellStyle name="_Table_01 Selected Financials_Salt Business" xfId="686"/>
    <cellStyle name="_Table_02 Potential Partner Ability to Pay Analysis2" xfId="687"/>
    <cellStyle name="_Table_02 Quick Model_PQ Corporation" xfId="688"/>
    <cellStyle name="_Table_06 Analysis at Various Prices" xfId="689"/>
    <cellStyle name="_Table_12 Merger Plans" xfId="690"/>
    <cellStyle name="_Table_accretion dilution analysis" xfId="691"/>
    <cellStyle name="_Table_bank_csc_and merger plan4" xfId="692"/>
    <cellStyle name="_Table_bank_csc_Q1_2001" xfId="693"/>
    <cellStyle name="_Table_bank_csc_Q2_2001" xfId="694"/>
    <cellStyle name="_Table_bank_csc_Q2_2001_c1" xfId="695"/>
    <cellStyle name="_Table_CSC_Palm_Sum_of_Parts_5_23_01a" xfId="696"/>
    <cellStyle name="_Table_Dave Model Final v 1" xfId="697"/>
    <cellStyle name="_Table_FigTech Merger Model_02" xfId="698"/>
    <cellStyle name="_Table_Financials Layout dpak 9-26-01 v1" xfId="699"/>
    <cellStyle name="_Table_Football Field" xfId="700"/>
    <cellStyle name="_Table_IBES_EPS_Estimates" xfId="701"/>
    <cellStyle name="_Table_Merger model_new_ability to pay" xfId="702"/>
    <cellStyle name="_Table_model_bk" xfId="703"/>
    <cellStyle name="_Table_monet_final_w_output" xfId="704"/>
    <cellStyle name="_Table_Palm Model 10_05" xfId="705"/>
    <cellStyle name="_Table_PNC_merger_plan_divestitures_05" xfId="706"/>
    <cellStyle name="_Table_Potential Strategic Partners" xfId="707"/>
    <cellStyle name="_Table_Simple Merger Plans" xfId="708"/>
    <cellStyle name="_Table_Stallion Analysis_a" xfId="709"/>
    <cellStyle name="_Table_stand_alone_dcf" xfId="710"/>
    <cellStyle name="_Table_Summary Valuation Analysis" xfId="711"/>
    <cellStyle name="_Table_Synergies" xfId="712"/>
    <cellStyle name="_Table_Troon DCF Model 8-13-02 v1" xfId="713"/>
    <cellStyle name="_Table_Troon LLC FS dpakedit 8-7-02" xfId="714"/>
    <cellStyle name="_Table_Troon LLC FS dpakedit 8-7-02 v3" xfId="715"/>
    <cellStyle name="_Table_Troon LLC FS dpakedit 8-7-02 v4" xfId="716"/>
    <cellStyle name="_Table_Valuation_Troon dpak 8-5-02 v3" xfId="717"/>
    <cellStyle name="_TableHead" xfId="718"/>
    <cellStyle name="_TableHead_01 Selected Financials_Salt Business" xfId="719"/>
    <cellStyle name="_TableHead_02 Quick Model_PQ Corporation" xfId="720"/>
    <cellStyle name="_TableHead_06 Analysis at Various Prices" xfId="721"/>
    <cellStyle name="_TableHead_accretion dilution analysis" xfId="722"/>
    <cellStyle name="_TableHead_AVP - prev. 06 financials" xfId="723"/>
    <cellStyle name="_TableHead_bank_csc_Q1_2001" xfId="724"/>
    <cellStyle name="_TableHead_bank_csc_Q2_2001_c1" xfId="725"/>
    <cellStyle name="_TableHead_CSC_Palm_Sum_of_Parts_5_23_01a" xfId="726"/>
    <cellStyle name="_TableHead_Dave Model Final v 1" xfId="727"/>
    <cellStyle name="_TableHead_Financials Layout dpak 9-26-01 v1" xfId="728"/>
    <cellStyle name="_TableHead_IBES_EPS_Estimates" xfId="729"/>
    <cellStyle name="_TableHead_model_bk" xfId="730"/>
    <cellStyle name="_TableHead_monet_final_w_output" xfId="731"/>
    <cellStyle name="_TableHead_Palm Model 10_05" xfId="732"/>
    <cellStyle name="_TableHead_Potential Strategic Partners" xfId="733"/>
    <cellStyle name="_TableHead_Simple Merger Plans" xfId="734"/>
    <cellStyle name="_TableRowBorder" xfId="735"/>
    <cellStyle name="_TableRowHead" xfId="736"/>
    <cellStyle name="_TableRowHead_01 Selected Financials_Salt Business" xfId="737"/>
    <cellStyle name="_TableRowHead_02 Quick Model_PQ Corporation" xfId="738"/>
    <cellStyle name="_TableRowHead_06 Analysis at Various Prices" xfId="739"/>
    <cellStyle name="_TableRowHead_accretion dilution analysis" xfId="740"/>
    <cellStyle name="_TableRowHead_CSC_Palm_Sum_of_Parts_5_23_01a" xfId="741"/>
    <cellStyle name="_TableRowHead_Dave Model Final v 1" xfId="742"/>
    <cellStyle name="_TableRowHead_Financials Layout dpak 9-26-01 v1" xfId="743"/>
    <cellStyle name="_TableRowHead_IBES_EPS_Estimates" xfId="744"/>
    <cellStyle name="_TableRowHead_Palm Model 10_05" xfId="745"/>
    <cellStyle name="_TableRowHead_Potential Strategic Partners" xfId="746"/>
    <cellStyle name="_TableRowHead_Simple Merger Plans" xfId="747"/>
    <cellStyle name="_TableSuperHead" xfId="748"/>
    <cellStyle name="_TableSuperHead_01 model" xfId="749"/>
    <cellStyle name="_TableSuperHead_01 Selected Financials_Salt Business" xfId="750"/>
    <cellStyle name="_TableSuperHead_02 Potential Partner Ability to Pay Analysis2" xfId="751"/>
    <cellStyle name="_TableSuperHead_02 Quick Model_PQ Corporation" xfId="752"/>
    <cellStyle name="_TableSuperHead_06 Analysis at Various Prices" xfId="753"/>
    <cellStyle name="_TableSuperHead_12 Merger Plans" xfId="754"/>
    <cellStyle name="_TableSuperHead_accretion dilution analysis" xfId="755"/>
    <cellStyle name="_TableSuperHead_AVP - prev. 06 financials" xfId="756"/>
    <cellStyle name="_TableSuperHead_bank_csc_and merger plan4" xfId="757"/>
    <cellStyle name="_TableSuperHead_bank_csc_Q1_2001" xfId="758"/>
    <cellStyle name="_TableSuperHead_bank_csc_Q2_2001" xfId="759"/>
    <cellStyle name="_TableSuperHead_bank_csc_Q2_2001_c1" xfId="760"/>
    <cellStyle name="_TableSuperHead_CSC_Palm_Sum_of_Parts_5_23_01a" xfId="761"/>
    <cellStyle name="_TableSuperHead_Dave Model Final v 1" xfId="762"/>
    <cellStyle name="_TableSuperHead_FigTech Merger Model_02" xfId="763"/>
    <cellStyle name="_TableSuperHead_Financials Layout dpak 9-26-01 v1" xfId="764"/>
    <cellStyle name="_TableSuperHead_Football Field" xfId="765"/>
    <cellStyle name="_TableSuperHead_IBES_EPS_Estimates" xfId="766"/>
    <cellStyle name="_TableSuperHead_Merger model_new_ability to pay" xfId="767"/>
    <cellStyle name="_TableSuperHead_model_bk" xfId="768"/>
    <cellStyle name="_TableSuperHead_monet_final_w_output" xfId="769"/>
    <cellStyle name="_TableSuperHead_Palm Model 10_05" xfId="770"/>
    <cellStyle name="_TableSuperHead_PNC_merger_plan_divestitures_05" xfId="771"/>
    <cellStyle name="_TableSuperHead_Potential Strategic Partners" xfId="772"/>
    <cellStyle name="_TableSuperHead_Simple Merger Plans" xfId="773"/>
    <cellStyle name="_TableSuperHead_Stallion Analysis_a" xfId="774"/>
    <cellStyle name="_TableSuperHead_stand_alone_dcf" xfId="775"/>
    <cellStyle name="_TableSuperHead_Summary Valuation Analysis" xfId="776"/>
    <cellStyle name="_TableSuperHead_Synergies" xfId="777"/>
    <cellStyle name="_TableSuperHead_Troon DCF Model 8-13-02 v1" xfId="778"/>
    <cellStyle name="_TableSuperHead_Troon LLC FS dpakedit 8-7-02" xfId="779"/>
    <cellStyle name="_TableSuperHead_Troon LLC FS dpakedit 8-7-02 v3" xfId="780"/>
    <cellStyle name="_TableSuperHead_Troon LLC FS dpakedit 8-7-02 v4" xfId="781"/>
    <cellStyle name="_TableSuperHead_Valuation_Troon dpak 8-5-02 v3" xfId="782"/>
    <cellStyle name="_Titan Standalone" xfId="783"/>
    <cellStyle name="_WACC Analysis" xfId="784"/>
    <cellStyle name="_Year" xfId="785"/>
    <cellStyle name="_Year_BCE Model 1-8-07" xfId="786"/>
    <cellStyle name="’Ê‰Ý [0.00]_Cover" xfId="787"/>
    <cellStyle name="’Ê‰Ý_Cover" xfId="788"/>
    <cellStyle name="¢ Currency [1]" xfId="789"/>
    <cellStyle name="¢ Currency [2]" xfId="790"/>
    <cellStyle name="¢ Currency [3]" xfId="791"/>
    <cellStyle name="£ BP" xfId="792"/>
    <cellStyle name="£ Currency [0]" xfId="793"/>
    <cellStyle name="£ Currency [1]" xfId="794"/>
    <cellStyle name="£ Currency [2]" xfId="795"/>
    <cellStyle name="¤@¯ë_pldt" xfId="796"/>
    <cellStyle name="¥ JY" xfId="797"/>
    <cellStyle name="=C:\WINDOWS\SYSTEM32\COMMAND.COM" xfId="798"/>
    <cellStyle name="=C:\WINNT\SYSTEM32\COMMAND.COM" xfId="799"/>
    <cellStyle name="=C:\WINNT35\SYSTEM32\COMMAND.COM" xfId="800"/>
    <cellStyle name="•W€_Capital Structure" xfId="801"/>
    <cellStyle name="•W_Cover" xfId="802"/>
    <cellStyle name="0" xfId="803"/>
    <cellStyle name="0%" xfId="804"/>
    <cellStyle name="0.0" xfId="805"/>
    <cellStyle name="0.0 NORMAL" xfId="806"/>
    <cellStyle name="0.0 PERCENT" xfId="807"/>
    <cellStyle name="0.0%" xfId="808"/>
    <cellStyle name="0.00" xfId="809"/>
    <cellStyle name="0.00%" xfId="810"/>
    <cellStyle name="0_CKFR Model 11-30-06" xfId="811"/>
    <cellStyle name="0_CKFR Model 11-30-06_BCE Model 1-8-07" xfId="812"/>
    <cellStyle name="000" xfId="813"/>
    <cellStyle name="0000" xfId="814"/>
    <cellStyle name="000000" xfId="815"/>
    <cellStyle name="1,comma" xfId="816"/>
    <cellStyle name="³f¹ô[0]_pldt" xfId="817"/>
    <cellStyle name="³f¹ô_pldt" xfId="818"/>
    <cellStyle name="752131" xfId="819"/>
    <cellStyle name="8" xfId="820"/>
    <cellStyle name="a - Comma" xfId="821"/>
    <cellStyle name="A_Block Space" xfId="822"/>
    <cellStyle name="A_BlueLine" xfId="823"/>
    <cellStyle name="A_Do not Change" xfId="824"/>
    <cellStyle name="A_Estimate" xfId="825"/>
    <cellStyle name="A_Memo" xfId="826"/>
    <cellStyle name="A_Normal" xfId="827"/>
    <cellStyle name="A_Normal Forecast" xfId="828"/>
    <cellStyle name="A_Normal Historical" xfId="829"/>
    <cellStyle name="A_Rate_Data" xfId="830"/>
    <cellStyle name="A_Rate_Data Historical" xfId="831"/>
    <cellStyle name="A_Rate_Title" xfId="832"/>
    <cellStyle name="A_Simple Title" xfId="833"/>
    <cellStyle name="A_Sum" xfId="834"/>
    <cellStyle name="A_SUM_Row Major" xfId="835"/>
    <cellStyle name="A_SUM_Row Minor" xfId="836"/>
    <cellStyle name="A_Title" xfId="837"/>
    <cellStyle name="A_YearHeadings" xfId="838"/>
    <cellStyle name="Absolute Change" xfId="839"/>
    <cellStyle name="Acctg" xfId="840"/>
    <cellStyle name="Acctg$" xfId="841"/>
    <cellStyle name="Actual data" xfId="842"/>
    <cellStyle name="Actual Date" xfId="843"/>
    <cellStyle name="Actual year" xfId="844"/>
    <cellStyle name="Actuals Cells" xfId="845"/>
    <cellStyle name="AFE" xfId="846"/>
    <cellStyle name="args.style" xfId="847"/>
    <cellStyle name="Arial 10" xfId="848"/>
    <cellStyle name="Arial 12" xfId="849"/>
    <cellStyle name="Arial6Bold" xfId="850"/>
    <cellStyle name="Arial8Bold" xfId="851"/>
    <cellStyle name="Arial8Italic" xfId="852"/>
    <cellStyle name="ArialNormal" xfId="853"/>
    <cellStyle name="Ariel 7 pt. plain" xfId="854"/>
    <cellStyle name="Assumption" xfId="855"/>
    <cellStyle name="b - Line" xfId="856"/>
    <cellStyle name="b - Line - Dotted" xfId="857"/>
    <cellStyle name="Balance" xfId="858"/>
    <cellStyle name="Balance Sheet" xfId="859"/>
    <cellStyle name="BalanceSheet" xfId="860"/>
    <cellStyle name="Band 2" xfId="861"/>
    <cellStyle name="Bank1" xfId="862"/>
    <cellStyle name="BAS Comma [0]" xfId="863"/>
    <cellStyle name="BAS Comma [1]" xfId="864"/>
    <cellStyle name="BAS Currency [0]" xfId="865"/>
    <cellStyle name="BAS Currency [1]" xfId="866"/>
    <cellStyle name="BAS Currency [2]" xfId="867"/>
    <cellStyle name="BAS Multiple [1]" xfId="868"/>
    <cellStyle name="BAS Percent Actual [1]" xfId="869"/>
    <cellStyle name="Basic" xfId="870"/>
    <cellStyle name="BB_Date_mmm" xfId="871"/>
    <cellStyle name="BLACK" xfId="872"/>
    <cellStyle name="BlackStrike" xfId="873"/>
    <cellStyle name="BlackText" xfId="874"/>
    <cellStyle name="blank" xfId="875"/>
    <cellStyle name="Blank [$]" xfId="876"/>
    <cellStyle name="Blank [%]" xfId="877"/>
    <cellStyle name="Blank [,]" xfId="878"/>
    <cellStyle name="Blank [1$]" xfId="879"/>
    <cellStyle name="Blank [1%]" xfId="880"/>
    <cellStyle name="Blank [1,]" xfId="881"/>
    <cellStyle name="Blank [2$]" xfId="882"/>
    <cellStyle name="Blank [2%]" xfId="883"/>
    <cellStyle name="Blank [2,]" xfId="884"/>
    <cellStyle name="Blank [3$]" xfId="885"/>
    <cellStyle name="Blank [3%]" xfId="886"/>
    <cellStyle name="Blank [3,]" xfId="887"/>
    <cellStyle name="Blank Out" xfId="888"/>
    <cellStyle name="Blank_BCE Model 1-8-07" xfId="889"/>
    <cellStyle name="Block Titles" xfId="890"/>
    <cellStyle name="Blue" xfId="891"/>
    <cellStyle name="blue shading" xfId="892"/>
    <cellStyle name="Blue Table Text" xfId="893"/>
    <cellStyle name="Blue Title" xfId="894"/>
    <cellStyle name="blue$00" xfId="895"/>
    <cellStyle name="Blue_060114 BMarkingSummary_aj v3" xfId="896"/>
    <cellStyle name="bluenodec" xfId="897"/>
    <cellStyle name="bluepercent" xfId="898"/>
    <cellStyle name="Body" xfId="899"/>
    <cellStyle name="Bold" xfId="900"/>
    <cellStyle name="Bold/Border" xfId="901"/>
    <cellStyle name="BoldText" xfId="902"/>
    <cellStyle name="Border" xfId="903"/>
    <cellStyle name="Border Heavy" xfId="904"/>
    <cellStyle name="Border Thin" xfId="905"/>
    <cellStyle name="Border, Bottom" xfId="906"/>
    <cellStyle name="Border, Left" xfId="907"/>
    <cellStyle name="Border, Right" xfId="908"/>
    <cellStyle name="Border, Top" xfId="909"/>
    <cellStyle name="border_BCE Model 1-8-07" xfId="910"/>
    <cellStyle name="BorderBold" xfId="911"/>
    <cellStyle name="Bottom bold border" xfId="912"/>
    <cellStyle name="Bottom Edge" xfId="913"/>
    <cellStyle name="Bottom single border" xfId="914"/>
    <cellStyle name="British Pound" xfId="915"/>
    <cellStyle name="bullet" xfId="916"/>
    <cellStyle name="Bullet [0]" xfId="917"/>
    <cellStyle name="Bullet [2]" xfId="918"/>
    <cellStyle name="Bullet [4]" xfId="919"/>
    <cellStyle name="Bullet_FS" xfId="920"/>
    <cellStyle name="Business Description" xfId="921"/>
    <cellStyle name="BvDAddIn_Currency" xfId="922"/>
    <cellStyle name="c" xfId="923"/>
    <cellStyle name="c_BCE Model 1-8-07" xfId="924"/>
    <cellStyle name="c_comps_1" xfId="925"/>
    <cellStyle name="C05_Style E Text" xfId="926"/>
    <cellStyle name="c3" xfId="927"/>
    <cellStyle name="Calc" xfId="928"/>
    <cellStyle name="Calc Cells" xfId="929"/>
    <cellStyle name="Calc Currency (0)" xfId="930"/>
    <cellStyle name="Calc Currency (2)" xfId="931"/>
    <cellStyle name="Calc Percent (0)" xfId="932"/>
    <cellStyle name="Calc Percent (1)" xfId="933"/>
    <cellStyle name="Calc Percent (2)" xfId="934"/>
    <cellStyle name="Calc Units (0)" xfId="935"/>
    <cellStyle name="Calc Units (1)" xfId="936"/>
    <cellStyle name="Calc Units (2)" xfId="937"/>
    <cellStyle name="Calc$" xfId="938"/>
    <cellStyle name="Calc_BCE Model 1-8-07" xfId="939"/>
    <cellStyle name="Caption" xfId="940"/>
    <cellStyle name="Case" xfId="941"/>
    <cellStyle name="Cash Flow Statement" xfId="942"/>
    <cellStyle name="CashFlow" xfId="943"/>
    <cellStyle name="category" xfId="944"/>
    <cellStyle name="Category Name" xfId="945"/>
    <cellStyle name="center" xfId="946"/>
    <cellStyle name="Center Across" xfId="947"/>
    <cellStyle name="Centered Heading" xfId="948"/>
    <cellStyle name="Cents" xfId="949"/>
    <cellStyle name="Ch, Column Header" xfId="950"/>
    <cellStyle name="Changeable" xfId="951"/>
    <cellStyle name="Check" xfId="952"/>
    <cellStyle name="Clean" xfId="953"/>
    <cellStyle name="Client Name" xfId="954"/>
    <cellStyle name="Co. Names" xfId="955"/>
    <cellStyle name="Co. Names - Bold" xfId="956"/>
    <cellStyle name="Co. Names_FS" xfId="957"/>
    <cellStyle name="COL HEADINGS" xfId="958"/>
    <cellStyle name="Colhead_left" xfId="959"/>
    <cellStyle name="ColHeading" xfId="960"/>
    <cellStyle name="colheadleft" xfId="961"/>
    <cellStyle name="colheadright" xfId="962"/>
    <cellStyle name="Collegamento ipertestuale_PLDT" xfId="963"/>
    <cellStyle name="Column Heading" xfId="964"/>
    <cellStyle name="Column Headings" xfId="965"/>
    <cellStyle name="column1" xfId="966"/>
    <cellStyle name="column1Big" xfId="967"/>
    <cellStyle name="ColumnHeadings" xfId="968"/>
    <cellStyle name="ColumnHeadings2" xfId="969"/>
    <cellStyle name="coma" xfId="970"/>
    <cellStyle name="comm" xfId="971"/>
    <cellStyle name="Comma" xfId="1" builtinId="3"/>
    <cellStyle name="Comma  - Style1" xfId="972"/>
    <cellStyle name="Comma  - Style2" xfId="973"/>
    <cellStyle name="Comma  - Style3" xfId="974"/>
    <cellStyle name="Comma  - Style4" xfId="975"/>
    <cellStyle name="Comma  - Style5" xfId="976"/>
    <cellStyle name="Comma  - Style6" xfId="977"/>
    <cellStyle name="Comma  - Style7" xfId="978"/>
    <cellStyle name="Comma  - Style8" xfId="979"/>
    <cellStyle name="Comma [0] Total" xfId="980"/>
    <cellStyle name="Comma [00]" xfId="981"/>
    <cellStyle name="Comma [1]" xfId="982"/>
    <cellStyle name="Comma [1] Total" xfId="983"/>
    <cellStyle name="Comma [1]_060114 BMarkingSummary_aj v3" xfId="984"/>
    <cellStyle name="Comma [2]" xfId="985"/>
    <cellStyle name="Comma [2] Total" xfId="986"/>
    <cellStyle name="Comma [2]_BCE Model 1-8-07" xfId="987"/>
    <cellStyle name="Comma [3]" xfId="988"/>
    <cellStyle name="Comma 0" xfId="989"/>
    <cellStyle name="Comma 0*" xfId="990"/>
    <cellStyle name="Comma 14" xfId="6"/>
    <cellStyle name="Comma 2" xfId="991"/>
    <cellStyle name="Comma 2*" xfId="992"/>
    <cellStyle name="comma 3" xfId="993"/>
    <cellStyle name="Comma 3*" xfId="994"/>
    <cellStyle name="Comma Cents" xfId="995"/>
    <cellStyle name="comma zerodec" xfId="996"/>
    <cellStyle name="Comma*" xfId="997"/>
    <cellStyle name="Comma, 1 dec" xfId="998"/>
    <cellStyle name="Comma0" xfId="999"/>
    <cellStyle name="Comma0 - Modelo1" xfId="1000"/>
    <cellStyle name="Comma0 - Style1" xfId="1001"/>
    <cellStyle name="comma0_BCE Model 1-8-07" xfId="1002"/>
    <cellStyle name="Comma1" xfId="1003"/>
    <cellStyle name="Comma1 - Modelo2" xfId="1004"/>
    <cellStyle name="Comma1 - Style2" xfId="1005"/>
    <cellStyle name="Comma2" xfId="1006"/>
    <cellStyle name="Comma3" xfId="1007"/>
    <cellStyle name="CommaKM" xfId="1008"/>
    <cellStyle name="Comma-Rounded" xfId="1009"/>
    <cellStyle name="commas" xfId="1010"/>
    <cellStyle name="Comment" xfId="1011"/>
    <cellStyle name="Company" xfId="1012"/>
    <cellStyle name="Company Name" xfId="1013"/>
    <cellStyle name="CompanyName" xfId="1014"/>
    <cellStyle name="Copied" xfId="1015"/>
    <cellStyle name="Cost" xfId="1016"/>
    <cellStyle name="Cover Date" xfId="1017"/>
    <cellStyle name="Cover Subtitle" xfId="1018"/>
    <cellStyle name="Cover Title" xfId="1019"/>
    <cellStyle name="COVERAGE" xfId="1020"/>
    <cellStyle name="cpmma" xfId="1021"/>
    <cellStyle name="Cur" xfId="1022"/>
    <cellStyle name="CurRatio" xfId="1023"/>
    <cellStyle name="Currency" xfId="2" builtinId="4"/>
    <cellStyle name="Currency ($)" xfId="1024"/>
    <cellStyle name="Currency (£)" xfId="1025"/>
    <cellStyle name="Currency (€)" xfId="1026"/>
    <cellStyle name="Currency [0] Total" xfId="1027"/>
    <cellStyle name="Currency [00]" xfId="1028"/>
    <cellStyle name="Currency [1]" xfId="1029"/>
    <cellStyle name="Currency [1] Total" xfId="1030"/>
    <cellStyle name="Currency [1]_BCE Model 1-8-07" xfId="1031"/>
    <cellStyle name="Currency [2]" xfId="1032"/>
    <cellStyle name="Currency [2] Total" xfId="1033"/>
    <cellStyle name="Currency [2]_BCE Model 1-8-07" xfId="1034"/>
    <cellStyle name="Currency [3]" xfId="1035"/>
    <cellStyle name="Currency [per_share]" xfId="1036"/>
    <cellStyle name="Currency 0" xfId="1037"/>
    <cellStyle name="Currency 0.0" xfId="1038"/>
    <cellStyle name="currency 1" xfId="1039"/>
    <cellStyle name="Currency 2" xfId="1040"/>
    <cellStyle name="Currency 2 Total" xfId="1041"/>
    <cellStyle name="Currency 2*" xfId="1042"/>
    <cellStyle name="Currency 2_!MiniCombo_v081(vclk)" xfId="1043"/>
    <cellStyle name="Currency 3" xfId="1343"/>
    <cellStyle name="Currency 3*" xfId="1044"/>
    <cellStyle name="Currency 6" xfId="4"/>
    <cellStyle name="Currency Input" xfId="1045"/>
    <cellStyle name="Currency*" xfId="1046"/>
    <cellStyle name="Currency0" xfId="1047"/>
    <cellStyle name="Currency1" xfId="1048"/>
    <cellStyle name="Currency1Blue" xfId="1049"/>
    <cellStyle name="Currency2" xfId="1050"/>
    <cellStyle name="Currency3" xfId="1051"/>
    <cellStyle name="Currency-Rounded" xfId="1052"/>
    <cellStyle name="currencyt 0" xfId="1053"/>
    <cellStyle name="Currsmall" xfId="1054"/>
    <cellStyle name="d" xfId="1055"/>
    <cellStyle name="d_101306 CanWest Excel BAck up v14" xfId="1056"/>
    <cellStyle name="d_BCE Model 1-8-07" xfId="1057"/>
    <cellStyle name="d_Eutelsat and Capex Analysis" xfId="1058"/>
    <cellStyle name="d_Ford DCF 072101" xfId="1059"/>
    <cellStyle name="d_yield" xfId="1060"/>
    <cellStyle name="d_yield_101306 CanWest Excel BAck up v14" xfId="1061"/>
    <cellStyle name="d_yield_ILEC LBO" xfId="1062"/>
    <cellStyle name="d_yield_Sheet1" xfId="1063"/>
    <cellStyle name="Dash" xfId="1064"/>
    <cellStyle name="data" xfId="1065"/>
    <cellStyle name="Data Link" xfId="1066"/>
    <cellStyle name="data_FS" xfId="1067"/>
    <cellStyle name="Date" xfId="1068"/>
    <cellStyle name="Date (d/mm/yy)" xfId="1069"/>
    <cellStyle name="Date (d-mm-yy)" xfId="1070"/>
    <cellStyle name="Date (Full)" xfId="1071"/>
    <cellStyle name="Date [Abbreviated]" xfId="1072"/>
    <cellStyle name="Date [D-M-Y]" xfId="1073"/>
    <cellStyle name="Date [Long Europe]" xfId="1074"/>
    <cellStyle name="Date [Long U.S.]" xfId="1075"/>
    <cellStyle name="Date [M/D/Y]" xfId="1076"/>
    <cellStyle name="Date [M/Y]" xfId="1077"/>
    <cellStyle name="Date [mmm-yy]" xfId="1078"/>
    <cellStyle name="Date [M-Y]" xfId="1079"/>
    <cellStyle name="Date [Short Europe]" xfId="1080"/>
    <cellStyle name="Date [Short U.S.]" xfId="1081"/>
    <cellStyle name="Date Aligned" xfId="1082"/>
    <cellStyle name="Date Aligned*" xfId="1083"/>
    <cellStyle name="Date Day" xfId="1084"/>
    <cellStyle name="Date Short" xfId="1085"/>
    <cellStyle name="Date Year" xfId="1086"/>
    <cellStyle name="Date_060114 BMarkingSummary_aj v3" xfId="1087"/>
    <cellStyle name="Date1" xfId="1088"/>
    <cellStyle name="date2" xfId="1089"/>
    <cellStyle name="date3" xfId="1090"/>
    <cellStyle name="Dates" xfId="1091"/>
    <cellStyle name="DateYear" xfId="1092"/>
    <cellStyle name="DateYearEstimate" xfId="1093"/>
    <cellStyle name="DateYearWholeEstimate" xfId="1094"/>
    <cellStyle name="Days.0" xfId="1095"/>
    <cellStyle name="Days.1" xfId="1096"/>
    <cellStyle name="DblLineDollarAcct" xfId="1097"/>
    <cellStyle name="DblLinePercent" xfId="1098"/>
    <cellStyle name="ddate" xfId="1099"/>
    <cellStyle name="Decimal" xfId="1100"/>
    <cellStyle name="default" xfId="1101"/>
    <cellStyle name="Detail" xfId="1102"/>
    <cellStyle name="Deutschmark" xfId="1103"/>
    <cellStyle name="Dezimal__Utopia Index Index und Guidance (Deutsch)" xfId="1104"/>
    <cellStyle name="Dia" xfId="1105"/>
    <cellStyle name="DIANE" xfId="1106"/>
    <cellStyle name="dolar" xfId="1107"/>
    <cellStyle name="dolar whole" xfId="1108"/>
    <cellStyle name="dolar_ATT LBO Model 07-02-04v1" xfId="1109"/>
    <cellStyle name="Dollar" xfId="1110"/>
    <cellStyle name="Dollar - Style5" xfId="1111"/>
    <cellStyle name="Dollar (Canadian)" xfId="1112"/>
    <cellStyle name="Dollar (zero dec)" xfId="1113"/>
    <cellStyle name="Dollar Whole" xfId="1114"/>
    <cellStyle name="dollar_051129 DCF Summary" xfId="1115"/>
    <cellStyle name="Dollar1" xfId="1116"/>
    <cellStyle name="Dollar1Blue" xfId="1117"/>
    <cellStyle name="Dollar2" xfId="1118"/>
    <cellStyle name="DollarAccounting" xfId="1119"/>
    <cellStyle name="Dollars" xfId="1120"/>
    <cellStyle name="DollarWhole" xfId="1121"/>
    <cellStyle name="Doller" xfId="1122"/>
    <cellStyle name="Dotted Line" xfId="1123"/>
    <cellStyle name="Double Accounting" xfId="1124"/>
    <cellStyle name="Double Underline" xfId="1125"/>
    <cellStyle name="Download" xfId="1126"/>
    <cellStyle name="dp*NumberGeneral" xfId="1127"/>
    <cellStyle name="Driver" xfId="1128"/>
    <cellStyle name="Encabez1" xfId="1129"/>
    <cellStyle name="Encabez2" xfId="1130"/>
    <cellStyle name="Enter Currency (0)" xfId="1131"/>
    <cellStyle name="Enter Currency (2)" xfId="1132"/>
    <cellStyle name="Enter Units (0)" xfId="1133"/>
    <cellStyle name="Enter Units (1)" xfId="1134"/>
    <cellStyle name="Enter Units (2)" xfId="1135"/>
    <cellStyle name="Entered" xfId="1136"/>
    <cellStyle name="Entries" xfId="1137"/>
    <cellStyle name="eps" xfId="1138"/>
    <cellStyle name="eps$" xfId="1139"/>
    <cellStyle name="eps$A" xfId="1140"/>
    <cellStyle name="eps$E" xfId="1141"/>
    <cellStyle name="epsA" xfId="1142"/>
    <cellStyle name="EPSActual" xfId="1143"/>
    <cellStyle name="epsE" xfId="1144"/>
    <cellStyle name="EPSEstimate" xfId="1145"/>
    <cellStyle name="Est - $" xfId="1146"/>
    <cellStyle name="Est - %" xfId="1147"/>
    <cellStyle name="Est 0,000.0" xfId="1148"/>
    <cellStyle name="Estimate" xfId="1149"/>
    <cellStyle name="Euro" xfId="1150"/>
    <cellStyle name="Euro-" xfId="1151"/>
    <cellStyle name="External File Cells" xfId="1152"/>
    <cellStyle name="EY0dp" xfId="1153"/>
    <cellStyle name="F2" xfId="1154"/>
    <cellStyle name="F3" xfId="1155"/>
    <cellStyle name="F4" xfId="1156"/>
    <cellStyle name="F5" xfId="1157"/>
    <cellStyle name="F6" xfId="1158"/>
    <cellStyle name="F7" xfId="1159"/>
    <cellStyle name="F8" xfId="1160"/>
    <cellStyle name="FF_EURO" xfId="1161"/>
    <cellStyle name="FieldName" xfId="1162"/>
    <cellStyle name="Fijo" xfId="1163"/>
    <cellStyle name="Finan?ní0" xfId="1164"/>
    <cellStyle name="Financiero" xfId="1165"/>
    <cellStyle name="Fixed" xfId="1166"/>
    <cellStyle name="Fixed0" xfId="1167"/>
    <cellStyle name="Fixlong" xfId="1168"/>
    <cellStyle name="Footer SBILogo1" xfId="1169"/>
    <cellStyle name="Footer SBILogo2" xfId="1170"/>
    <cellStyle name="Footnote" xfId="1171"/>
    <cellStyle name="Footnote Reference" xfId="1172"/>
    <cellStyle name="Footnote_% Change" xfId="1173"/>
    <cellStyle name="Footnotes" xfId="1174"/>
    <cellStyle name="Forecast Cells" xfId="1175"/>
    <cellStyle name="Format ($)" xfId="1176"/>
    <cellStyle name="Format (no $ no underline)" xfId="1177"/>
    <cellStyle name="Format (no $ underline)" xfId="1178"/>
    <cellStyle name="Format (no $)" xfId="1179"/>
    <cellStyle name="Format underline (no $)" xfId="1180"/>
    <cellStyle name="Formula" xfId="1181"/>
    <cellStyle name="fourdecplace" xfId="1182"/>
    <cellStyle name="Fraction" xfId="1183"/>
    <cellStyle name="Fraction ($)" xfId="1184"/>
    <cellStyle name="Fraction [8]" xfId="1185"/>
    <cellStyle name="Fraction [Bl]" xfId="1186"/>
    <cellStyle name="French Francs" xfId="1187"/>
    <cellStyle name="fy_eps$" xfId="1188"/>
    <cellStyle name="g_rate" xfId="1189"/>
    <cellStyle name="g_rate_101306 CanWest Excel BAck up v14" xfId="1190"/>
    <cellStyle name="g_rate_ILEC LBO" xfId="1191"/>
    <cellStyle name="G02 Table Text" xfId="1192"/>
    <cellStyle name="G04_Main head" xfId="1193"/>
    <cellStyle name="G05 Tab Head Bold" xfId="1194"/>
    <cellStyle name="G05 Tab Head Light" xfId="1195"/>
    <cellStyle name="G1_1999 figures" xfId="1196"/>
    <cellStyle name="General" xfId="1197"/>
    <cellStyle name="General [C]" xfId="1198"/>
    <cellStyle name="General [R]" xfId="1199"/>
    <cellStyle name="General_060114 BMarkingSummary_aj v3" xfId="1200"/>
    <cellStyle name="Grand" xfId="1201"/>
    <cellStyle name="Grand Total" xfId="1202"/>
    <cellStyle name="Green" xfId="1203"/>
    <cellStyle name="Grey" xfId="1204"/>
    <cellStyle name="GROSS" xfId="1205"/>
    <cellStyle name="Group Headings" xfId="1206"/>
    <cellStyle name="growth" xfId="1207"/>
    <cellStyle name="Growth%" xfId="1208"/>
    <cellStyle name="GrowthLarge" xfId="1209"/>
    <cellStyle name="GrowthRate" xfId="1210"/>
    <cellStyle name="GrowthSeq" xfId="1211"/>
    <cellStyle name="GrowthSmall" xfId="1212"/>
    <cellStyle name="GS Table Header" xfId="1213"/>
    <cellStyle name="H 2" xfId="1214"/>
    <cellStyle name="H_1998_col_head" xfId="1215"/>
    <cellStyle name="H_1999_col_head" xfId="1216"/>
    <cellStyle name="H1_1998 figures" xfId="1217"/>
    <cellStyle name="hard no" xfId="1218"/>
    <cellStyle name="hard no." xfId="1219"/>
    <cellStyle name="Hard Percent" xfId="1220"/>
    <cellStyle name="hardno" xfId="1221"/>
    <cellStyle name="head1" xfId="1222"/>
    <cellStyle name="Head12" xfId="1223"/>
    <cellStyle name="head2" xfId="1224"/>
    <cellStyle name="Header" xfId="1225"/>
    <cellStyle name="Header Draft Stamp" xfId="1226"/>
    <cellStyle name="Header_% Change" xfId="1227"/>
    <cellStyle name="Header1" xfId="1228"/>
    <cellStyle name="Header2" xfId="1229"/>
    <cellStyle name="headers" xfId="1230"/>
    <cellStyle name="Headin - Style6" xfId="1231"/>
    <cellStyle name="heading" xfId="1232"/>
    <cellStyle name="Heading 1 Above" xfId="1233"/>
    <cellStyle name="Heading 1+" xfId="1234"/>
    <cellStyle name="Heading 2 Below" xfId="1235"/>
    <cellStyle name="Item Descriptions" xfId="1236"/>
    <cellStyle name="Item Descriptions - Bold" xfId="1237"/>
    <cellStyle name="Lable8Left" xfId="1238"/>
    <cellStyle name="Line" xfId="1239"/>
    <cellStyle name="mult" xfId="1240"/>
    <cellStyle name="Multiple" xfId="1241"/>
    <cellStyle name="Multiple [0]" xfId="1242"/>
    <cellStyle name="Multiple [1]" xfId="1243"/>
    <cellStyle name="Multiple_Copy of IB_Pics v1.9 (DCF)" xfId="1244"/>
    <cellStyle name="Normal" xfId="0" builtinId="0"/>
    <cellStyle name="Normal - Style1" xfId="1245"/>
    <cellStyle name="Normal 2" xfId="1246"/>
    <cellStyle name="Normal 3" xfId="1247"/>
    <cellStyle name="Normal 4" xfId="1344"/>
    <cellStyle name="Normal 6" xfId="3"/>
    <cellStyle name="Normal_Ch01 Pics v2.2" xfId="1347"/>
    <cellStyle name="Normal_Ch03 Pics" xfId="1349"/>
    <cellStyle name="Normal_DCF" xfId="1348"/>
    <cellStyle name="Normal_Implied Share Price v12-22-07" xfId="1351"/>
    <cellStyle name="Normal_Input Page2" xfId="1350"/>
    <cellStyle name="Num1" xfId="1248"/>
    <cellStyle name="Num1Blue" xfId="1249"/>
    <cellStyle name="num1Style" xfId="1250"/>
    <cellStyle name="Num2" xfId="1251"/>
    <cellStyle name="num4Style" xfId="1252"/>
    <cellStyle name="Numbers" xfId="1253"/>
    <cellStyle name="Numbers - Bold" xfId="1254"/>
    <cellStyle name="Numbers - Bold - Italic" xfId="1255"/>
    <cellStyle name="Numbers - Bold_WACC2" xfId="1256"/>
    <cellStyle name="Numbers - Large" xfId="1257"/>
    <cellStyle name="Numbers_Comps" xfId="1258"/>
    <cellStyle name="Page Heading Large" xfId="1259"/>
    <cellStyle name="Page Heading Small" xfId="1260"/>
    <cellStyle name="Page Number" xfId="1261"/>
    <cellStyle name="pct_sub" xfId="1262"/>
    <cellStyle name="Pctg" xfId="1263"/>
    <cellStyle name="Percent" xfId="1342" builtinId="5"/>
    <cellStyle name="Percent [0]" xfId="1264"/>
    <cellStyle name="Percent [1]" xfId="1265"/>
    <cellStyle name="Percent 2" xfId="1345"/>
    <cellStyle name="Percent 3" xfId="1346"/>
    <cellStyle name="Percent 6" xfId="5"/>
    <cellStyle name="Percent Hard" xfId="1266"/>
    <cellStyle name="Percent1" xfId="1267"/>
    <cellStyle name="Percent1Blue" xfId="1268"/>
    <cellStyle name="Percent2" xfId="1269"/>
    <cellStyle name="Percent2Blue" xfId="1270"/>
    <cellStyle name="Shaded" xfId="1271"/>
    <cellStyle name="Single Accounting" xfId="1272"/>
    <cellStyle name="Style 1" xfId="1273"/>
    <cellStyle name="Style 10" xfId="1274"/>
    <cellStyle name="Style 2" xfId="1275"/>
    <cellStyle name="Style 21" xfId="1276"/>
    <cellStyle name="Style 22" xfId="1277"/>
    <cellStyle name="Style 23" xfId="1278"/>
    <cellStyle name="Style 24" xfId="1279"/>
    <cellStyle name="Style 25" xfId="1280"/>
    <cellStyle name="Style 26" xfId="1281"/>
    <cellStyle name="Style 27" xfId="1282"/>
    <cellStyle name="Style 28" xfId="1283"/>
    <cellStyle name="Style 29" xfId="1284"/>
    <cellStyle name="Style 3" xfId="1285"/>
    <cellStyle name="Style 30" xfId="1286"/>
    <cellStyle name="Style 31" xfId="1287"/>
    <cellStyle name="Style 32" xfId="1288"/>
    <cellStyle name="Style 33" xfId="1289"/>
    <cellStyle name="Style 34" xfId="1290"/>
    <cellStyle name="Style 35" xfId="1291"/>
    <cellStyle name="Style 36" xfId="1292"/>
    <cellStyle name="Style 37" xfId="1293"/>
    <cellStyle name="Style 38" xfId="1294"/>
    <cellStyle name="Style 39" xfId="1295"/>
    <cellStyle name="Style 4" xfId="1296"/>
    <cellStyle name="Style 40" xfId="1297"/>
    <cellStyle name="Style 41" xfId="1298"/>
    <cellStyle name="Style 42" xfId="1299"/>
    <cellStyle name="Style 43" xfId="1300"/>
    <cellStyle name="Style 44" xfId="1301"/>
    <cellStyle name="Style 45" xfId="1302"/>
    <cellStyle name="Style 46" xfId="1303"/>
    <cellStyle name="Style 47" xfId="1304"/>
    <cellStyle name="Style 5" xfId="1305"/>
    <cellStyle name="Style 6" xfId="1306"/>
    <cellStyle name="Style 7" xfId="1307"/>
    <cellStyle name="Style 70" xfId="1308"/>
    <cellStyle name="Style 8" xfId="1309"/>
    <cellStyle name="Style 80" xfId="1310"/>
    <cellStyle name="Style 86" xfId="1311"/>
    <cellStyle name="Style 9" xfId="1312"/>
    <cellStyle name="Style 92" xfId="1313"/>
    <cellStyle name="Table Col Head" xfId="1314"/>
    <cellStyle name="Table Head" xfId="1315"/>
    <cellStyle name="Table Head Aligned" xfId="1316"/>
    <cellStyle name="Table Head Blue" xfId="1317"/>
    <cellStyle name="Table Head Green" xfId="1318"/>
    <cellStyle name="Table Sub Head" xfId="1319"/>
    <cellStyle name="Table Title" xfId="1320"/>
    <cellStyle name="Table Units" xfId="1321"/>
    <cellStyle name="TableBody" xfId="1322"/>
    <cellStyle name="TableBodyR" xfId="1323"/>
    <cellStyle name="TableColHeads" xfId="1324"/>
    <cellStyle name="TableHead" xfId="1325"/>
    <cellStyle name="Times 10" xfId="1326"/>
    <cellStyle name="Times 12" xfId="1327"/>
    <cellStyle name="Title - PROJECT" xfId="1328"/>
    <cellStyle name="Title - Underline" xfId="1329"/>
    <cellStyle name="title1" xfId="1330"/>
    <cellStyle name="Title10" xfId="1331"/>
    <cellStyle name="Title2" xfId="1332"/>
    <cellStyle name="Title8" xfId="1333"/>
    <cellStyle name="Title8Left" xfId="1334"/>
    <cellStyle name="Titles - Col. Headings" xfId="1335"/>
    <cellStyle name="Titles - Other" xfId="1336"/>
    <cellStyle name="ubordinated Debt" xfId="1337"/>
    <cellStyle name="X" xfId="1338"/>
    <cellStyle name="X - None" xfId="1339"/>
    <cellStyle name="Year" xfId="1340"/>
    <cellStyle name="Yen" xfId="134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/>
          </c:spPr>
          <c:marker>
            <c:symbol val="none"/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</c:v>
              </c:pt>
              <c:pt idx="3">
                <c:v>3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3</c:v>
              </c:pt>
              <c:pt idx="2">
                <c:v>3</c:v>
              </c:pt>
              <c:pt idx="3">
                <c:v>0</c:v>
              </c:pt>
              <c:pt idx="4">
                <c:v>0</c:v>
              </c:pt>
            </c:numLit>
          </c:yVal>
          <c:smooth val="0"/>
        </c:ser>
        <c:ser>
          <c:idx val="1"/>
          <c:order val="1"/>
          <c:spPr>
            <a:ln w="19050"/>
          </c:spPr>
          <c:marker>
            <c:symbol val="none"/>
          </c:marker>
          <c:x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3</c:v>
              </c:pt>
              <c:pt idx="3">
                <c:v>3</c:v>
              </c:pt>
              <c:pt idx="4">
                <c:v>0</c:v>
              </c:pt>
              <c:pt idx="6">
                <c:v>3</c:v>
              </c:pt>
              <c:pt idx="7">
                <c:v>3</c:v>
              </c:pt>
              <c:pt idx="8">
                <c:v>4.25</c:v>
              </c:pt>
              <c:pt idx="9">
                <c:v>4.25</c:v>
              </c:pt>
              <c:pt idx="10">
                <c:v>3</c:v>
              </c:pt>
            </c:numLit>
          </c:xVal>
          <c:yVal>
            <c:numLit>
              <c:formatCode>General</c:formatCode>
              <c:ptCount val="11"/>
              <c:pt idx="0">
                <c:v>3</c:v>
              </c:pt>
              <c:pt idx="1">
                <c:v>4.25</c:v>
              </c:pt>
              <c:pt idx="2">
                <c:v>4.25</c:v>
              </c:pt>
              <c:pt idx="3">
                <c:v>0</c:v>
              </c:pt>
              <c:pt idx="4">
                <c:v>0</c:v>
              </c:pt>
              <c:pt idx="6">
                <c:v>0</c:v>
              </c:pt>
              <c:pt idx="7">
                <c:v>3</c:v>
              </c:pt>
              <c:pt idx="8">
                <c:v>3</c:v>
              </c:pt>
              <c:pt idx="9">
                <c:v>0</c:v>
              </c:pt>
              <c:pt idx="10">
                <c:v>0</c:v>
              </c:pt>
            </c:numLit>
          </c:y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3</c:v>
              </c:pt>
              <c:pt idx="1">
                <c:v>4.25</c:v>
              </c:pt>
              <c:pt idx="2">
                <c:v>4.25</c:v>
              </c:pt>
              <c:pt idx="3">
                <c:v>3</c:v>
              </c:pt>
              <c:pt idx="4">
                <c:v>3</c:v>
              </c:pt>
            </c:numLit>
          </c:xVal>
          <c:yVal>
            <c:numLit>
              <c:formatCode>General</c:formatCode>
              <c:ptCount val="5"/>
              <c:pt idx="0">
                <c:v>3</c:v>
              </c:pt>
              <c:pt idx="1">
                <c:v>3</c:v>
              </c:pt>
              <c:pt idx="2">
                <c:v>4.25</c:v>
              </c:pt>
              <c:pt idx="3">
                <c:v>4.25</c:v>
              </c:pt>
              <c:pt idx="4">
                <c:v>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6208"/>
        <c:axId val="67046784"/>
      </c:scatterChart>
      <c:valAx>
        <c:axId val="670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046784"/>
        <c:crosses val="autoZero"/>
        <c:crossBetween val="midCat"/>
      </c:valAx>
      <c:valAx>
        <c:axId val="6704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046208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814632442758297E-2"/>
          <c:y val="2.9411791105195099E-2"/>
          <c:w val="0.88245104451042899"/>
          <c:h val="0.9448537892543920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Section3!$H$22:$H$72</c:f>
              <c:numCache>
                <c:formatCode>0.00%</c:formatCode>
                <c:ptCount val="51"/>
                <c:pt idx="0">
                  <c:v>0.1</c:v>
                </c:pt>
                <c:pt idx="1">
                  <c:v>0.10800000000000001</c:v>
                </c:pt>
                <c:pt idx="2">
                  <c:v>0.11600000000000002</c:v>
                </c:pt>
                <c:pt idx="3">
                  <c:v>0.12400000000000003</c:v>
                </c:pt>
                <c:pt idx="4">
                  <c:v>0.13200000000000003</c:v>
                </c:pt>
                <c:pt idx="5">
                  <c:v>0.14000000000000004</c:v>
                </c:pt>
                <c:pt idx="6">
                  <c:v>0.14800000000000005</c:v>
                </c:pt>
                <c:pt idx="7">
                  <c:v>0.15600000000000006</c:v>
                </c:pt>
                <c:pt idx="8">
                  <c:v>0.16400000000000006</c:v>
                </c:pt>
                <c:pt idx="9">
                  <c:v>0.17200000000000007</c:v>
                </c:pt>
                <c:pt idx="10">
                  <c:v>0.18000000000000008</c:v>
                </c:pt>
                <c:pt idx="11">
                  <c:v>0.18800000000000008</c:v>
                </c:pt>
                <c:pt idx="12">
                  <c:v>0.19600000000000009</c:v>
                </c:pt>
                <c:pt idx="13">
                  <c:v>0.2040000000000001</c:v>
                </c:pt>
                <c:pt idx="14">
                  <c:v>0.21200000000000011</c:v>
                </c:pt>
                <c:pt idx="15">
                  <c:v>0.22000000000000011</c:v>
                </c:pt>
                <c:pt idx="16">
                  <c:v>0.22800000000000012</c:v>
                </c:pt>
                <c:pt idx="17">
                  <c:v>0.23600000000000013</c:v>
                </c:pt>
                <c:pt idx="18">
                  <c:v>0.24400000000000013</c:v>
                </c:pt>
                <c:pt idx="19">
                  <c:v>0.25200000000000011</c:v>
                </c:pt>
                <c:pt idx="20">
                  <c:v>0.26000000000000012</c:v>
                </c:pt>
                <c:pt idx="21">
                  <c:v>0.26800000000000013</c:v>
                </c:pt>
                <c:pt idx="22">
                  <c:v>0.27600000000000013</c:v>
                </c:pt>
                <c:pt idx="23">
                  <c:v>0.28400000000000014</c:v>
                </c:pt>
                <c:pt idx="24">
                  <c:v>0.29200000000000015</c:v>
                </c:pt>
                <c:pt idx="25">
                  <c:v>0.30000000000000016</c:v>
                </c:pt>
                <c:pt idx="26">
                  <c:v>0.30800000000000016</c:v>
                </c:pt>
                <c:pt idx="27">
                  <c:v>0.31600000000000017</c:v>
                </c:pt>
                <c:pt idx="28">
                  <c:v>0.32400000000000018</c:v>
                </c:pt>
                <c:pt idx="29">
                  <c:v>0.33200000000000018</c:v>
                </c:pt>
                <c:pt idx="30">
                  <c:v>0.34000000000000019</c:v>
                </c:pt>
                <c:pt idx="31">
                  <c:v>0.3480000000000002</c:v>
                </c:pt>
                <c:pt idx="32">
                  <c:v>0.35600000000000021</c:v>
                </c:pt>
                <c:pt idx="33">
                  <c:v>0.36400000000000021</c:v>
                </c:pt>
                <c:pt idx="34">
                  <c:v>0.37200000000000022</c:v>
                </c:pt>
                <c:pt idx="35">
                  <c:v>0.38000000000000023</c:v>
                </c:pt>
                <c:pt idx="36">
                  <c:v>0.38800000000000023</c:v>
                </c:pt>
                <c:pt idx="37">
                  <c:v>0.39600000000000024</c:v>
                </c:pt>
                <c:pt idx="38">
                  <c:v>0.40400000000000025</c:v>
                </c:pt>
                <c:pt idx="39">
                  <c:v>0.41200000000000025</c:v>
                </c:pt>
                <c:pt idx="40">
                  <c:v>0.42000000000000026</c:v>
                </c:pt>
                <c:pt idx="41">
                  <c:v>0.42800000000000027</c:v>
                </c:pt>
                <c:pt idx="42">
                  <c:v>0.43600000000000028</c:v>
                </c:pt>
                <c:pt idx="43">
                  <c:v>0.44400000000000028</c:v>
                </c:pt>
                <c:pt idx="44">
                  <c:v>0.45200000000000029</c:v>
                </c:pt>
                <c:pt idx="45">
                  <c:v>0.4600000000000003</c:v>
                </c:pt>
                <c:pt idx="46">
                  <c:v>0.4680000000000003</c:v>
                </c:pt>
                <c:pt idx="47">
                  <c:v>0.47600000000000031</c:v>
                </c:pt>
                <c:pt idx="48">
                  <c:v>0.48400000000000032</c:v>
                </c:pt>
                <c:pt idx="49">
                  <c:v>0.49200000000000033</c:v>
                </c:pt>
                <c:pt idx="50">
                  <c:v>0.50000000000000033</c:v>
                </c:pt>
              </c:numCache>
            </c:numRef>
          </c:xVal>
          <c:yVal>
            <c:numRef>
              <c:f>Section3!$I$22:$I$72</c:f>
              <c:numCache>
                <c:formatCode>_(* #,##0.00000_);_(* \(#,##0.00000\);_(* "-"??_);_(@_)</c:formatCode>
                <c:ptCount val="51"/>
                <c:pt idx="0">
                  <c:v>42445.607341507348</c:v>
                </c:pt>
                <c:pt idx="1">
                  <c:v>38082.426497125889</c:v>
                </c:pt>
                <c:pt idx="2">
                  <c:v>33993.357226299275</c:v>
                </c:pt>
                <c:pt idx="3">
                  <c:v>30158.800235706669</c:v>
                </c:pt>
                <c:pt idx="4">
                  <c:v>26560.710420370808</c:v>
                </c:pt>
                <c:pt idx="5">
                  <c:v>23182.462427836665</c:v>
                </c:pt>
                <c:pt idx="6">
                  <c:v>20008.728764456137</c:v>
                </c:pt>
                <c:pt idx="7">
                  <c:v>17025.369192030015</c:v>
                </c:pt>
                <c:pt idx="8">
                  <c:v>14219.330295869313</c:v>
                </c:pt>
                <c:pt idx="9">
                  <c:v>11578.554223245315</c:v>
                </c:pt>
                <c:pt idx="10">
                  <c:v>9091.8956959604329</c:v>
                </c:pt>
                <c:pt idx="11">
                  <c:v>6749.0464939334088</c:v>
                </c:pt>
                <c:pt idx="12">
                  <c:v>4540.4666896099079</c:v>
                </c:pt>
                <c:pt idx="13">
                  <c:v>2457.3219868648266</c:v>
                </c:pt>
                <c:pt idx="14">
                  <c:v>491.42658390390716</c:v>
                </c:pt>
                <c:pt idx="15">
                  <c:v>-1364.8089615866447</c:v>
                </c:pt>
                <c:pt idx="16">
                  <c:v>-3118.4253343454584</c:v>
                </c:pt>
                <c:pt idx="17">
                  <c:v>-4775.9579529313924</c:v>
                </c:pt>
                <c:pt idx="18">
                  <c:v>-6343.4767311340693</c:v>
                </c:pt>
                <c:pt idx="19">
                  <c:v>-7826.6224524160807</c:v>
                </c:pt>
                <c:pt idx="20">
                  <c:v>-9230.6400668107835</c:v>
                </c:pt>
                <c:pt idx="21">
                  <c:v>-10560.409189592396</c:v>
                </c:pt>
                <c:pt idx="22">
                  <c:v>-11820.472054029977</c:v>
                </c:pt>
                <c:pt idx="23">
                  <c:v>-13015.059146298345</c:v>
                </c:pt>
                <c:pt idx="24">
                  <c:v>-14148.11272884796</c:v>
                </c:pt>
                <c:pt idx="25">
                  <c:v>-15223.308438965978</c:v>
                </c:pt>
                <c:pt idx="26">
                  <c:v>-16244.075131659747</c:v>
                </c:pt>
                <c:pt idx="27">
                  <c:v>-17213.613120149792</c:v>
                </c:pt>
                <c:pt idx="28">
                  <c:v>-18134.910952990125</c:v>
                </c:pt>
                <c:pt idx="29">
                  <c:v>-19010.760853971708</c:v>
                </c:pt>
                <c:pt idx="30">
                  <c:v>-19843.772939364921</c:v>
                </c:pt>
                <c:pt idx="31">
                  <c:v>-20636.388316588302</c:v>
                </c:pt>
                <c:pt idx="32">
                  <c:v>-21390.891158936349</c:v>
                </c:pt>
                <c:pt idx="33">
                  <c:v>-22109.41984245602</c:v>
                </c:pt>
                <c:pt idx="34">
                  <c:v>-22793.977223336202</c:v>
                </c:pt>
                <c:pt idx="35">
                  <c:v>-23446.440127184887</c:v>
                </c:pt>
                <c:pt idx="36">
                  <c:v>-24068.568115240618</c:v>
                </c:pt>
                <c:pt idx="37">
                  <c:v>-24662.01158683197</c:v>
                </c:pt>
                <c:pt idx="38">
                  <c:v>-25228.319272202243</c:v>
                </c:pt>
                <c:pt idx="39">
                  <c:v>-25768.945165103669</c:v>
                </c:pt>
                <c:pt idx="40">
                  <c:v>-26285.254940287494</c:v>
                </c:pt>
                <c:pt idx="41">
                  <c:v>-26778.53189713258</c:v>
                </c:pt>
                <c:pt idx="42">
                  <c:v>-27249.98246712549</c:v>
                </c:pt>
                <c:pt idx="43">
                  <c:v>-27700.741319697096</c:v>
                </c:pt>
                <c:pt idx="44">
                  <c:v>-28131.876098001827</c:v>
                </c:pt>
                <c:pt idx="45">
                  <c:v>-28544.391813569509</c:v>
                </c:pt>
                <c:pt idx="46">
                  <c:v>-28939.234926341072</c:v>
                </c:pt>
                <c:pt idx="47">
                  <c:v>-29317.297134394939</c:v>
                </c:pt>
                <c:pt idx="48">
                  <c:v>-29679.418895662166</c:v>
                </c:pt>
                <c:pt idx="49">
                  <c:v>-30026.392702095152</c:v>
                </c:pt>
                <c:pt idx="50">
                  <c:v>-30358.966125082581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8512"/>
        <c:axId val="67049088"/>
      </c:scatterChart>
      <c:valAx>
        <c:axId val="6704851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049088"/>
        <c:crosses val="autoZero"/>
        <c:crossBetween val="midCat"/>
      </c:valAx>
      <c:valAx>
        <c:axId val="67049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0485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97368</xdr:colOff>
      <xdr:row>16</xdr:row>
      <xdr:rowOff>95250</xdr:rowOff>
    </xdr:from>
    <xdr:to>
      <xdr:col>13</xdr:col>
      <xdr:colOff>508000</xdr:colOff>
      <xdr:row>28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57150</xdr:rowOff>
        </xdr:from>
        <xdr:to>
          <xdr:col>15</xdr:col>
          <xdr:colOff>590550</xdr:colOff>
          <xdr:row>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2</xdr:row>
          <xdr:rowOff>133350</xdr:rowOff>
        </xdr:from>
        <xdr:to>
          <xdr:col>15</xdr:col>
          <xdr:colOff>609600</xdr:colOff>
          <xdr:row>4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Second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18</xdr:row>
          <xdr:rowOff>0</xdr:rowOff>
        </xdr:from>
        <xdr:to>
          <xdr:col>2</xdr:col>
          <xdr:colOff>800100</xdr:colOff>
          <xdr:row>21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IRR -&gt; f(x) =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16</xdr:row>
          <xdr:rowOff>57150</xdr:rowOff>
        </xdr:from>
        <xdr:to>
          <xdr:col>9</xdr:col>
          <xdr:colOff>590550</xdr:colOff>
          <xdr:row>19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Plot f(x)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38101</xdr:colOff>
      <xdr:row>19</xdr:row>
      <xdr:rowOff>19050</xdr:rowOff>
    </xdr:from>
    <xdr:to>
      <xdr:col>13</xdr:col>
      <xdr:colOff>781051</xdr:colOff>
      <xdr:row>37</xdr:row>
      <xdr:rowOff>28575</xdr:rowOff>
    </xdr:to>
    <xdr:graphicFrame macro="">
      <xdr:nvGraphicFramePr>
        <xdr:cNvPr id="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0.01417</cdr:x>
      <cdr:y>0.01286</cdr:y>
    </cdr:from>
    <cdr:to>
      <cdr:x>0.25044</cdr:x>
      <cdr:y>0.07519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804" y="69910"/>
          <a:ext cx="1361587" cy="323588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1905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Plot of f(x)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vs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x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5</xdr:col>
      <xdr:colOff>551296</xdr:colOff>
      <xdr:row>22</xdr:row>
      <xdr:rowOff>140396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200275"/>
          <a:ext cx="4742296" cy="23406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5</xdr:col>
      <xdr:colOff>746352</xdr:colOff>
      <xdr:row>37</xdr:row>
      <xdr:rowOff>66123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400675"/>
          <a:ext cx="4937352" cy="20663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2:B84"/>
  <sheetViews>
    <sheetView showGridLines="0" workbookViewId="0">
      <selection activeCell="B3" sqref="B3"/>
    </sheetView>
  </sheetViews>
  <sheetFormatPr defaultColWidth="8.7109375" defaultRowHeight="20.25"/>
  <cols>
    <col min="2" max="2" width="8.7109375" style="171"/>
  </cols>
  <sheetData>
    <row r="2" spans="2:2">
      <c r="B2" s="169"/>
    </row>
    <row r="3" spans="2:2">
      <c r="B3" s="170" t="s">
        <v>78</v>
      </c>
    </row>
    <row r="4" spans="2:2">
      <c r="B4" s="170"/>
    </row>
    <row r="5" spans="2:2">
      <c r="B5" s="170" t="s">
        <v>79</v>
      </c>
    </row>
    <row r="6" spans="2:2">
      <c r="B6" s="170" t="s">
        <v>80</v>
      </c>
    </row>
    <row r="7" spans="2:2">
      <c r="B7" s="170" t="s">
        <v>81</v>
      </c>
    </row>
    <row r="8" spans="2:2">
      <c r="B8" s="170" t="s">
        <v>82</v>
      </c>
    </row>
    <row r="9" spans="2:2">
      <c r="B9" s="170" t="s">
        <v>83</v>
      </c>
    </row>
    <row r="10" spans="2:2">
      <c r="B10" s="170" t="s">
        <v>84</v>
      </c>
    </row>
    <row r="11" spans="2:2">
      <c r="B11" s="170" t="s">
        <v>85</v>
      </c>
    </row>
    <row r="12" spans="2:2">
      <c r="B12" s="170" t="s">
        <v>77</v>
      </c>
    </row>
    <row r="13" spans="2:2">
      <c r="B13" s="170" t="s">
        <v>86</v>
      </c>
    </row>
    <row r="14" spans="2:2">
      <c r="B14" s="170" t="s">
        <v>87</v>
      </c>
    </row>
    <row r="15" spans="2:2">
      <c r="B15" s="170" t="s">
        <v>142</v>
      </c>
    </row>
    <row r="16" spans="2:2">
      <c r="B16" s="170" t="s">
        <v>143</v>
      </c>
    </row>
    <row r="17" spans="2:2">
      <c r="B17" s="170" t="s">
        <v>144</v>
      </c>
    </row>
    <row r="18" spans="2:2">
      <c r="B18" s="170" t="s">
        <v>88</v>
      </c>
    </row>
    <row r="19" spans="2:2">
      <c r="B19" s="170" t="s">
        <v>89</v>
      </c>
    </row>
    <row r="20" spans="2:2">
      <c r="B20" s="170" t="s">
        <v>90</v>
      </c>
    </row>
    <row r="21" spans="2:2">
      <c r="B21" s="170" t="s">
        <v>91</v>
      </c>
    </row>
    <row r="22" spans="2:2">
      <c r="B22" s="170" t="s">
        <v>92</v>
      </c>
    </row>
    <row r="23" spans="2:2">
      <c r="B23" s="170" t="s">
        <v>93</v>
      </c>
    </row>
    <row r="24" spans="2:2">
      <c r="B24" s="170" t="s">
        <v>77</v>
      </c>
    </row>
    <row r="25" spans="2:2">
      <c r="B25" s="170" t="s">
        <v>140</v>
      </c>
    </row>
    <row r="26" spans="2:2">
      <c r="B26" s="170" t="s">
        <v>94</v>
      </c>
    </row>
    <row r="27" spans="2:2">
      <c r="B27" s="170" t="s">
        <v>95</v>
      </c>
    </row>
    <row r="28" spans="2:2">
      <c r="B28" s="170" t="s">
        <v>96</v>
      </c>
    </row>
    <row r="29" spans="2:2">
      <c r="B29" s="170" t="s">
        <v>97</v>
      </c>
    </row>
    <row r="30" spans="2:2">
      <c r="B30" s="170" t="s">
        <v>98</v>
      </c>
    </row>
    <row r="31" spans="2:2">
      <c r="B31" s="170" t="s">
        <v>99</v>
      </c>
    </row>
    <row r="32" spans="2:2">
      <c r="B32" s="170" t="s">
        <v>100</v>
      </c>
    </row>
    <row r="33" spans="2:2">
      <c r="B33" s="170" t="s">
        <v>101</v>
      </c>
    </row>
    <row r="34" spans="2:2">
      <c r="B34" s="170" t="s">
        <v>102</v>
      </c>
    </row>
    <row r="35" spans="2:2">
      <c r="B35" s="170" t="s">
        <v>103</v>
      </c>
    </row>
    <row r="36" spans="2:2">
      <c r="B36" s="170" t="s">
        <v>104</v>
      </c>
    </row>
    <row r="37" spans="2:2">
      <c r="B37" s="170" t="s">
        <v>105</v>
      </c>
    </row>
    <row r="38" spans="2:2">
      <c r="B38" s="170" t="s">
        <v>106</v>
      </c>
    </row>
    <row r="39" spans="2:2">
      <c r="B39" s="170" t="s">
        <v>77</v>
      </c>
    </row>
    <row r="40" spans="2:2">
      <c r="B40" s="170" t="s">
        <v>107</v>
      </c>
    </row>
    <row r="41" spans="2:2">
      <c r="B41" s="170" t="s">
        <v>108</v>
      </c>
    </row>
    <row r="42" spans="2:2">
      <c r="B42" s="170" t="s">
        <v>109</v>
      </c>
    </row>
    <row r="43" spans="2:2">
      <c r="B43" s="170" t="s">
        <v>110</v>
      </c>
    </row>
    <row r="44" spans="2:2">
      <c r="B44" s="170" t="s">
        <v>111</v>
      </c>
    </row>
    <row r="45" spans="2:2">
      <c r="B45" s="170" t="s">
        <v>77</v>
      </c>
    </row>
    <row r="46" spans="2:2">
      <c r="B46" s="170" t="s">
        <v>112</v>
      </c>
    </row>
    <row r="47" spans="2:2">
      <c r="B47" s="170" t="s">
        <v>113</v>
      </c>
    </row>
    <row r="48" spans="2:2">
      <c r="B48" s="170" t="s">
        <v>141</v>
      </c>
    </row>
    <row r="49" spans="2:2">
      <c r="B49" s="170" t="s">
        <v>114</v>
      </c>
    </row>
    <row r="50" spans="2:2">
      <c r="B50" s="170" t="s">
        <v>115</v>
      </c>
    </row>
    <row r="51" spans="2:2">
      <c r="B51" s="170" t="s">
        <v>116</v>
      </c>
    </row>
    <row r="52" spans="2:2">
      <c r="B52" s="170" t="s">
        <v>117</v>
      </c>
    </row>
    <row r="53" spans="2:2">
      <c r="B53" s="170" t="s">
        <v>118</v>
      </c>
    </row>
    <row r="54" spans="2:2">
      <c r="B54" s="170" t="s">
        <v>119</v>
      </c>
    </row>
    <row r="55" spans="2:2">
      <c r="B55" s="170" t="s">
        <v>77</v>
      </c>
    </row>
    <row r="56" spans="2:2">
      <c r="B56" s="170" t="s">
        <v>120</v>
      </c>
    </row>
    <row r="57" spans="2:2">
      <c r="B57" s="170" t="s">
        <v>121</v>
      </c>
    </row>
    <row r="58" spans="2:2">
      <c r="B58" s="170" t="s">
        <v>122</v>
      </c>
    </row>
    <row r="59" spans="2:2">
      <c r="B59" s="170" t="s">
        <v>123</v>
      </c>
    </row>
    <row r="60" spans="2:2">
      <c r="B60" s="170" t="s">
        <v>145</v>
      </c>
    </row>
    <row r="61" spans="2:2">
      <c r="B61" s="170" t="s">
        <v>77</v>
      </c>
    </row>
    <row r="62" spans="2:2">
      <c r="B62" s="170" t="s">
        <v>124</v>
      </c>
    </row>
    <row r="63" spans="2:2">
      <c r="B63" s="170" t="s">
        <v>125</v>
      </c>
    </row>
    <row r="64" spans="2:2">
      <c r="B64" s="170" t="s">
        <v>126</v>
      </c>
    </row>
    <row r="65" spans="2:2">
      <c r="B65" s="170" t="s">
        <v>146</v>
      </c>
    </row>
    <row r="66" spans="2:2">
      <c r="B66" s="170" t="s">
        <v>127</v>
      </c>
    </row>
    <row r="67" spans="2:2">
      <c r="B67" s="170" t="s">
        <v>128</v>
      </c>
    </row>
    <row r="68" spans="2:2">
      <c r="B68" s="170"/>
    </row>
    <row r="69" spans="2:2">
      <c r="B69" s="170" t="s">
        <v>129</v>
      </c>
    </row>
    <row r="70" spans="2:2">
      <c r="B70" s="170" t="s">
        <v>130</v>
      </c>
    </row>
    <row r="71" spans="2:2">
      <c r="B71" s="170" t="s">
        <v>131</v>
      </c>
    </row>
    <row r="72" spans="2:2">
      <c r="B72" s="169"/>
    </row>
    <row r="73" spans="2:2">
      <c r="B73" s="169"/>
    </row>
    <row r="74" spans="2:2">
      <c r="B74" s="171" t="s">
        <v>132</v>
      </c>
    </row>
    <row r="75" spans="2:2">
      <c r="B75" s="171" t="s">
        <v>133</v>
      </c>
    </row>
    <row r="76" spans="2:2">
      <c r="B76" s="171" t="s">
        <v>134</v>
      </c>
    </row>
    <row r="77" spans="2:2">
      <c r="B77" s="171" t="s">
        <v>135</v>
      </c>
    </row>
    <row r="78" spans="2:2">
      <c r="B78" s="171" t="s">
        <v>136</v>
      </c>
    </row>
    <row r="79" spans="2:2">
      <c r="B79" s="171" t="s">
        <v>137</v>
      </c>
    </row>
    <row r="80" spans="2:2">
      <c r="B80" s="171" t="s">
        <v>138</v>
      </c>
    </row>
    <row r="82" spans="2:2">
      <c r="B82" s="171" t="s">
        <v>139</v>
      </c>
    </row>
    <row r="83" spans="2:2">
      <c r="B83" s="171" t="s">
        <v>75</v>
      </c>
    </row>
    <row r="84" spans="2:2">
      <c r="B84" s="16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"/>
  <sheetViews>
    <sheetView showGridLines="0" workbookViewId="0">
      <selection activeCell="J32" sqref="J32"/>
    </sheetView>
  </sheetViews>
  <sheetFormatPr defaultColWidth="8.7109375" defaultRowHeight="15"/>
  <sheetData>
    <row r="1" spans="1:17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3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9.5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9.5">
      <c r="A4" s="5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.75">
      <c r="A5" s="5" t="str">
        <f>"e.g.:   "&amp;B7&amp;" X^2 + "&amp;C7&amp;"X = "&amp;-D7</f>
        <v>e.g.:   2 X^2 + 5X = 33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>
      <c r="A6" s="2"/>
      <c r="B6" s="6" t="s">
        <v>4</v>
      </c>
      <c r="C6" s="6" t="s">
        <v>5</v>
      </c>
      <c r="D6" s="6" t="s">
        <v>6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>
      <c r="A7" s="2"/>
      <c r="B7" s="7">
        <v>2</v>
      </c>
      <c r="C7" s="8">
        <v>5</v>
      </c>
      <c r="D7" s="9">
        <v>-33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>
      <c r="A8" s="2" t="s">
        <v>7</v>
      </c>
      <c r="B8" s="2"/>
      <c r="C8" s="6" t="s">
        <v>8</v>
      </c>
      <c r="D8" s="6" t="s">
        <v>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>
      <c r="A9" s="2"/>
      <c r="B9" s="2">
        <f>B7/$B$7</f>
        <v>1</v>
      </c>
      <c r="C9" s="2">
        <f>C7/$B$7</f>
        <v>2.5</v>
      </c>
      <c r="D9" s="2">
        <f>D7/$B$7</f>
        <v>-16.5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>
      <c r="A11" s="10" t="s">
        <v>10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>
      <c r="A12" s="11" t="s">
        <v>11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12" t="s">
        <v>12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5.75">
      <c r="A14" s="2" t="s">
        <v>13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 t="s">
        <v>14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9.5">
      <c r="A16" s="2"/>
      <c r="B16" s="4" t="s">
        <v>15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ht="19.5">
      <c r="A17" s="2"/>
      <c r="B17" s="4" t="s">
        <v>16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ht="19.5">
      <c r="A18" s="2"/>
      <c r="B18" s="4" t="s">
        <v>17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 t="s">
        <v>18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13"/>
      <c r="Q19" s="2"/>
    </row>
    <row r="20" spans="1:17" ht="19.5">
      <c r="A20" s="2"/>
      <c r="B20" s="4" t="s">
        <v>19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3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 t="s">
        <v>20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14" t="s">
        <v>21</v>
      </c>
      <c r="C23" s="2"/>
      <c r="D23" s="3">
        <f>-D9+(C9/2)^2</f>
        <v>18.0625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14" t="s">
        <v>22</v>
      </c>
      <c r="C24" s="2"/>
      <c r="D24" s="2">
        <f>+D23^0.5</f>
        <v>4.25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15" t="s">
        <v>23</v>
      </c>
      <c r="C25" s="16">
        <f>+D24-C9/2</f>
        <v>3</v>
      </c>
      <c r="D25" s="17" t="str">
        <f>"or "&amp;-D24-C9/2</f>
        <v>or -5.5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</sheetData>
  <pageMargins left="0.7" right="0.7" top="0.75" bottom="0.75" header="0.3" footer="0.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8"/>
  <sheetViews>
    <sheetView zoomScale="90" zoomScaleNormal="90" workbookViewId="0">
      <selection activeCell="A24" sqref="A24"/>
    </sheetView>
  </sheetViews>
  <sheetFormatPr defaultColWidth="15.7109375" defaultRowHeight="12.75"/>
  <cols>
    <col min="1" max="1" width="3.7109375" style="19" customWidth="1"/>
    <col min="2" max="2" width="40.140625" style="19" bestFit="1" customWidth="1"/>
    <col min="3" max="16384" width="15.7109375" style="19"/>
  </cols>
  <sheetData>
    <row r="1" spans="1:21" s="18" customFormat="1">
      <c r="B1" s="18" t="s">
        <v>24</v>
      </c>
    </row>
    <row r="2" spans="1:21">
      <c r="B2" s="20"/>
    </row>
    <row r="3" spans="1:21">
      <c r="B3" s="21" t="s">
        <v>25</v>
      </c>
    </row>
    <row r="4" spans="1:21">
      <c r="B4" s="22" t="s">
        <v>26</v>
      </c>
    </row>
    <row r="5" spans="1:21">
      <c r="A5" s="23"/>
      <c r="B5" s="24" t="s">
        <v>27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</row>
    <row r="6" spans="1:21">
      <c r="A6" s="23"/>
      <c r="B6" s="23"/>
      <c r="C6" s="23"/>
      <c r="D6" s="23"/>
      <c r="E6" s="25"/>
      <c r="F6" s="25"/>
      <c r="G6" s="25"/>
      <c r="H6" s="25"/>
      <c r="I6" s="25"/>
      <c r="J6" s="25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</row>
    <row r="7" spans="1:21">
      <c r="A7" s="23"/>
      <c r="B7" s="26" t="s">
        <v>28</v>
      </c>
      <c r="C7" s="27">
        <v>150</v>
      </c>
      <c r="D7" s="25"/>
      <c r="E7" s="23"/>
      <c r="F7" s="25"/>
      <c r="G7" s="25"/>
      <c r="H7" s="25"/>
      <c r="J7" s="25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</row>
    <row r="8" spans="1:21">
      <c r="A8" s="23"/>
      <c r="B8" s="26" t="str">
        <f>"Net "&amp;$D$9&amp;" Return"</f>
        <v>Net Yearly Return</v>
      </c>
      <c r="C8" s="28">
        <v>4.0000000000000001E-3</v>
      </c>
      <c r="D8" s="25"/>
      <c r="E8" s="23"/>
      <c r="F8" s="23"/>
      <c r="G8" s="23"/>
      <c r="H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</row>
    <row r="9" spans="1:21">
      <c r="A9" s="23"/>
      <c r="B9" s="26" t="s">
        <v>29</v>
      </c>
      <c r="C9" s="29">
        <v>1</v>
      </c>
      <c r="D9" s="29" t="str">
        <f>IF(C9=1,"Yearly",IF(C9=2,"Semiannually",IF(C9=4,"Quarterly",IF(C9=12,"Monthly",IF(C9=52,"Weekly","Daily")))))</f>
        <v>Yearly</v>
      </c>
      <c r="E9" s="23"/>
      <c r="F9" s="23"/>
      <c r="G9" s="23"/>
      <c r="H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1" ht="13.5" thickBot="1">
      <c r="A10" s="23"/>
      <c r="B10" s="26" t="str">
        <f>"Periods ("&amp;D9&amp;")"</f>
        <v>Periods (Yearly)</v>
      </c>
      <c r="C10" s="30">
        <v>1</v>
      </c>
      <c r="D10" s="25"/>
      <c r="E10" s="25"/>
      <c r="F10" s="25"/>
      <c r="G10" s="25"/>
      <c r="H10" s="25"/>
      <c r="J10" s="25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1" ht="13.5" thickBot="1">
      <c r="A11" s="23"/>
      <c r="B11" s="31" t="str">
        <f>"C"&amp;C9&amp;" Effective Return"</f>
        <v>C1 Effective Return</v>
      </c>
      <c r="C11" s="32">
        <f>((1+$C$8)^$C$9)-1</f>
        <v>4.0000000000000036E-3</v>
      </c>
      <c r="D11" s="25"/>
      <c r="E11" s="25"/>
      <c r="F11" s="25"/>
      <c r="G11" s="25"/>
      <c r="H11" s="25"/>
      <c r="J11" s="25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1">
      <c r="A12" s="23"/>
      <c r="B12" s="26" t="str">
        <f>"C"&amp;"1"&amp;" Nominal Return"</f>
        <v>C1 Nominal Return</v>
      </c>
      <c r="C12" s="33">
        <f>$C$9*((1+$C$11)^(1/$C$9)-1)</f>
        <v>4.0000000000000036E-3</v>
      </c>
      <c r="D12" s="25"/>
      <c r="E12" s="34"/>
      <c r="F12" s="25"/>
      <c r="G12" s="25"/>
      <c r="H12" s="25"/>
      <c r="J12" s="25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1">
      <c r="A13" s="23"/>
      <c r="B13" s="23"/>
      <c r="C13" s="23"/>
      <c r="D13" s="23"/>
      <c r="E13" s="23"/>
      <c r="F13" s="23"/>
      <c r="G13" s="23"/>
      <c r="H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</row>
    <row r="14" spans="1:21">
      <c r="A14" s="23"/>
      <c r="B14" s="35" t="s">
        <v>30</v>
      </c>
      <c r="C14" s="36">
        <f>C10/C9</f>
        <v>1</v>
      </c>
      <c r="D14" s="37"/>
      <c r="E14" s="38"/>
      <c r="F14" s="37"/>
      <c r="G14" s="37"/>
      <c r="H14" s="37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</row>
    <row r="15" spans="1:21">
      <c r="A15" s="23"/>
      <c r="B15" s="39"/>
      <c r="C15" s="23"/>
      <c r="D15" s="23"/>
      <c r="E15" s="40"/>
      <c r="F15" s="41"/>
      <c r="G15" s="23"/>
      <c r="H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</row>
    <row r="16" spans="1:21" ht="13.5" thickBot="1">
      <c r="A16" s="23"/>
      <c r="B16" s="42" t="s">
        <v>29</v>
      </c>
      <c r="C16" s="43">
        <v>1</v>
      </c>
      <c r="D16" s="43">
        <v>2</v>
      </c>
      <c r="E16" s="44">
        <v>4</v>
      </c>
      <c r="F16" s="45">
        <v>12</v>
      </c>
      <c r="G16" s="43">
        <v>52</v>
      </c>
      <c r="H16" s="43">
        <v>365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</row>
    <row r="17" spans="1:21">
      <c r="A17" s="23"/>
      <c r="B17" s="39"/>
      <c r="C17" s="23"/>
      <c r="D17" s="23"/>
      <c r="E17" s="46"/>
      <c r="F17" s="47"/>
      <c r="G17" s="23"/>
      <c r="H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</row>
    <row r="18" spans="1:21">
      <c r="A18" s="23"/>
      <c r="B18" s="26" t="s">
        <v>31</v>
      </c>
      <c r="C18" s="48">
        <f t="shared" ref="C18:H18" si="0">$C$14*C$16</f>
        <v>1</v>
      </c>
      <c r="D18" s="48">
        <f t="shared" si="0"/>
        <v>2</v>
      </c>
      <c r="E18" s="49">
        <f t="shared" si="0"/>
        <v>4</v>
      </c>
      <c r="F18" s="50">
        <f t="shared" si="0"/>
        <v>12</v>
      </c>
      <c r="G18" s="48">
        <f t="shared" si="0"/>
        <v>52</v>
      </c>
      <c r="H18" s="48">
        <f t="shared" si="0"/>
        <v>365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</row>
    <row r="19" spans="1:21">
      <c r="A19" s="23"/>
      <c r="B19" s="26"/>
      <c r="C19" s="23"/>
      <c r="D19" s="23"/>
      <c r="E19" s="46"/>
      <c r="F19" s="47"/>
      <c r="G19" s="23"/>
      <c r="H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>
      <c r="A20" s="23"/>
      <c r="B20" s="26" t="s">
        <v>32</v>
      </c>
      <c r="C20" s="51">
        <f t="shared" ref="C20:H20" si="1">$C$12/C$16</f>
        <v>4.0000000000000036E-3</v>
      </c>
      <c r="D20" s="51">
        <f t="shared" si="1"/>
        <v>2.0000000000000018E-3</v>
      </c>
      <c r="E20" s="52">
        <f t="shared" si="1"/>
        <v>1.0000000000000009E-3</v>
      </c>
      <c r="F20" s="53">
        <f t="shared" si="1"/>
        <v>3.3333333333333365E-4</v>
      </c>
      <c r="G20" s="51">
        <f t="shared" si="1"/>
        <v>7.6923076923076993E-5</v>
      </c>
      <c r="H20" s="51">
        <f t="shared" si="1"/>
        <v>1.095890410958905E-5</v>
      </c>
      <c r="J20" s="54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>
      <c r="A21" s="23"/>
      <c r="B21" s="26" t="s">
        <v>33</v>
      </c>
      <c r="C21" s="55">
        <f t="shared" ref="C21:H21" si="2">$C$7*(1+C$20)^C$18</f>
        <v>150.6</v>
      </c>
      <c r="D21" s="55">
        <f t="shared" si="2"/>
        <v>150.60059999999999</v>
      </c>
      <c r="E21" s="56">
        <f t="shared" si="2"/>
        <v>150.60090060014991</v>
      </c>
      <c r="F21" s="57">
        <f t="shared" si="2"/>
        <v>150.60110122313941</v>
      </c>
      <c r="G21" s="55">
        <f t="shared" si="2"/>
        <v>150.60117843337605</v>
      </c>
      <c r="H21" s="55">
        <f t="shared" si="2"/>
        <v>150.60119830076931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>
      <c r="A22" s="23"/>
      <c r="B22" s="26"/>
      <c r="C22" s="23"/>
      <c r="D22" s="23"/>
      <c r="E22" s="46"/>
      <c r="F22" s="47"/>
      <c r="G22" s="23"/>
      <c r="H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>
      <c r="A23" s="23"/>
      <c r="B23" s="58" t="s">
        <v>34</v>
      </c>
      <c r="C23" s="59">
        <f t="shared" ref="C23:H23" si="3">(1+$C$12/C$16)^C$16-1</f>
        <v>4.0000000000000036E-3</v>
      </c>
      <c r="D23" s="59">
        <f t="shared" si="3"/>
        <v>4.0039999999998965E-3</v>
      </c>
      <c r="E23" s="60">
        <f t="shared" si="3"/>
        <v>4.0060040009994857E-3</v>
      </c>
      <c r="F23" s="61">
        <f t="shared" si="3"/>
        <v>4.0073414875960722E-3</v>
      </c>
      <c r="G23" s="59">
        <f t="shared" si="3"/>
        <v>4.0078562225069891E-3</v>
      </c>
      <c r="H23" s="59">
        <f t="shared" si="3"/>
        <v>4.007988671795415E-3</v>
      </c>
      <c r="J23" s="54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>
      <c r="A24" s="23"/>
      <c r="B24" s="26"/>
      <c r="C24" s="33">
        <f t="shared" ref="C24:H24" si="4">EFFECT($C$12,C$16)</f>
        <v>4.0000000000000036E-3</v>
      </c>
      <c r="D24" s="33">
        <f t="shared" si="4"/>
        <v>4.0039999999998965E-3</v>
      </c>
      <c r="E24" s="62">
        <f t="shared" si="4"/>
        <v>4.0060040009994857E-3</v>
      </c>
      <c r="F24" s="63">
        <f t="shared" si="4"/>
        <v>4.0073414875960722E-3</v>
      </c>
      <c r="G24" s="33">
        <f t="shared" si="4"/>
        <v>4.0078562225069891E-3</v>
      </c>
      <c r="H24" s="33">
        <f t="shared" si="4"/>
        <v>4.007988671795415E-3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</row>
    <row r="25" spans="1:21">
      <c r="A25" s="23"/>
      <c r="B25" s="26" t="s">
        <v>33</v>
      </c>
      <c r="C25" s="55">
        <f t="shared" ref="C25:H25" si="5">$C$7*(1+C$23)^$C$14</f>
        <v>150.6</v>
      </c>
      <c r="D25" s="55">
        <f t="shared" si="5"/>
        <v>150.60059999999999</v>
      </c>
      <c r="E25" s="56">
        <f t="shared" si="5"/>
        <v>150.60090060014991</v>
      </c>
      <c r="F25" s="57">
        <f t="shared" si="5"/>
        <v>150.60110122313941</v>
      </c>
      <c r="G25" s="55">
        <f t="shared" si="5"/>
        <v>150.60117843337605</v>
      </c>
      <c r="H25" s="55">
        <f t="shared" si="5"/>
        <v>150.60119830076931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</row>
    <row r="26" spans="1:21">
      <c r="A26" s="23"/>
      <c r="B26" s="39"/>
      <c r="C26" s="23"/>
      <c r="D26" s="23"/>
      <c r="E26" s="46"/>
      <c r="F26" s="47"/>
      <c r="G26" s="23"/>
      <c r="H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1:21">
      <c r="A27" s="23"/>
      <c r="B27" s="64" t="s">
        <v>35</v>
      </c>
      <c r="C27" s="65">
        <f t="shared" ref="C27:H27" si="6">ABS(C21-C25)</f>
        <v>0</v>
      </c>
      <c r="D27" s="65">
        <f t="shared" si="6"/>
        <v>0</v>
      </c>
      <c r="E27" s="66">
        <f t="shared" si="6"/>
        <v>0</v>
      </c>
      <c r="F27" s="67">
        <f t="shared" si="6"/>
        <v>0</v>
      </c>
      <c r="G27" s="65">
        <f t="shared" si="6"/>
        <v>0</v>
      </c>
      <c r="H27" s="68">
        <f t="shared" si="6"/>
        <v>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</row>
    <row r="28" spans="1:21">
      <c r="A28" s="23"/>
      <c r="B28" s="23"/>
      <c r="C28" s="23"/>
      <c r="D28" s="23"/>
      <c r="E28" s="23"/>
      <c r="F28" s="23"/>
      <c r="G28" s="23"/>
      <c r="H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</row>
    <row r="29" spans="1:21">
      <c r="A29" s="23"/>
      <c r="B29" s="69" t="str">
        <f>B11</f>
        <v>C1 Effective Return</v>
      </c>
      <c r="C29" s="23"/>
      <c r="D29" s="70">
        <f>((1+$C$8)^$C$9)-1</f>
        <v>4.0000000000000036E-3</v>
      </c>
      <c r="E29" s="71">
        <f>EFFECT($C$8*$C$9,$C$9)</f>
        <v>4.0000000000000036E-3</v>
      </c>
      <c r="F29" s="70">
        <f>INDEX($C$23:$H$23,0,MATCH($E$29,$C$23:$H$23,FALSE))</f>
        <v>4.0000000000000036E-3</v>
      </c>
      <c r="G29" s="23"/>
      <c r="H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</row>
    <row r="30" spans="1:21">
      <c r="A30" s="23"/>
      <c r="B30" s="69" t="str">
        <f>B12</f>
        <v>C1 Nominal Return</v>
      </c>
      <c r="C30" s="70">
        <f>$C$8*$C$9</f>
        <v>4.0000000000000001E-3</v>
      </c>
      <c r="D30" s="70">
        <f>$C$9*((1+$D$29)^(1/$C$9)-1)</f>
        <v>4.0000000000000036E-3</v>
      </c>
      <c r="E30" s="70">
        <f>NOMINAL($E$29,$C$9)</f>
        <v>4.0000000000000036E-3</v>
      </c>
      <c r="F30" s="70">
        <f>INDEX($C$20:$H$20,0,MATCH($C$12,$C$20:$G$20,FALSE))</f>
        <v>4.0000000000000036E-3</v>
      </c>
      <c r="G30" s="23"/>
      <c r="H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</row>
    <row r="31" spans="1:2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s="18" customFormat="1">
      <c r="B33" s="18" t="s">
        <v>36</v>
      </c>
    </row>
    <row r="34" spans="1:21">
      <c r="A34" s="23"/>
      <c r="B34" s="72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>
      <c r="B35" s="73" t="s">
        <v>25</v>
      </c>
    </row>
    <row r="36" spans="1:21">
      <c r="B36" s="22" t="s">
        <v>37</v>
      </c>
    </row>
    <row r="37" spans="1:21">
      <c r="B37" s="24" t="s">
        <v>38</v>
      </c>
    </row>
    <row r="38" spans="1:21">
      <c r="B38" s="24" t="s">
        <v>39</v>
      </c>
    </row>
    <row r="40" spans="1:21">
      <c r="A40" s="23"/>
      <c r="C40" s="74"/>
      <c r="D40" s="75"/>
      <c r="E40" s="74"/>
      <c r="F40" s="74"/>
      <c r="G40" s="74"/>
      <c r="H40" s="74"/>
      <c r="I40" s="76">
        <f>D62</f>
        <v>2.8367608775507813E-2</v>
      </c>
      <c r="J40" s="74"/>
      <c r="K40" s="77"/>
      <c r="L40" s="78"/>
      <c r="M40" s="74"/>
      <c r="N40" s="76">
        <f ca="1">D63</f>
        <v>0.36891382336616507</v>
      </c>
      <c r="O40" s="78"/>
      <c r="P40" s="74"/>
      <c r="Q40" s="78"/>
      <c r="R40" s="78"/>
      <c r="S40" s="23"/>
      <c r="T40" s="23"/>
      <c r="U40" s="23"/>
    </row>
    <row r="41" spans="1:21">
      <c r="A41" s="23"/>
      <c r="C41" s="74"/>
      <c r="D41" s="75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9"/>
      <c r="P41" s="74"/>
      <c r="Q41" s="74"/>
      <c r="R41" s="74"/>
      <c r="S41" s="23"/>
      <c r="T41" s="23"/>
      <c r="U41" s="80"/>
    </row>
    <row r="42" spans="1:21">
      <c r="A42" s="23"/>
      <c r="B42" s="81">
        <v>0</v>
      </c>
      <c r="C42" s="74">
        <v>0</v>
      </c>
      <c r="D42" s="75">
        <f ca="1">TODAY()</f>
        <v>41603</v>
      </c>
      <c r="E42" s="82">
        <v>-100</v>
      </c>
      <c r="F42" s="79"/>
      <c r="G42" s="83">
        <f>E42</f>
        <v>-100</v>
      </c>
      <c r="H42" s="84">
        <f>I42</f>
        <v>-100</v>
      </c>
      <c r="I42" s="83">
        <f>G42</f>
        <v>-100</v>
      </c>
      <c r="J42" s="74"/>
      <c r="K42" s="84">
        <f>L42</f>
        <v>-100</v>
      </c>
      <c r="L42" s="79">
        <f t="shared" ref="L42:L57" si="7">$E42/(1+I$40)^$B42</f>
        <v>-100</v>
      </c>
      <c r="M42" s="74"/>
      <c r="N42" s="79">
        <f ca="1">XNPV(N$40,$E$42:$E42,$D$42:$D42)</f>
        <v>-100</v>
      </c>
      <c r="O42" s="79">
        <f t="shared" ref="O42:O57" ca="1" si="8">N42-N41</f>
        <v>-100</v>
      </c>
      <c r="P42" s="74"/>
      <c r="Q42" s="84">
        <f ca="1">R42</f>
        <v>-100</v>
      </c>
      <c r="R42" s="85">
        <f t="shared" ref="R42:R57" ca="1" si="9">$E42/(1+N$40)^$C42</f>
        <v>-100</v>
      </c>
      <c r="S42" s="23"/>
      <c r="T42" s="23"/>
      <c r="U42" s="23"/>
    </row>
    <row r="43" spans="1:21">
      <c r="A43" s="23"/>
      <c r="B43" s="81">
        <f t="shared" ref="B43:B57" si="10">B42+1</f>
        <v>1</v>
      </c>
      <c r="C43" s="86">
        <f t="shared" ref="C43:C57" ca="1" si="11">(D43-$D$42)/365</f>
        <v>8.2191780821917804E-2</v>
      </c>
      <c r="D43" s="75">
        <f ca="1">DATE(YEAR(D42),MONTH(D42)+1,DAY(D42))</f>
        <v>41633</v>
      </c>
      <c r="E43" s="79">
        <v>3</v>
      </c>
      <c r="F43" s="79"/>
      <c r="G43" s="87">
        <f>NPV(I$40,$E$43:$E43)</f>
        <v>2.9172447424439434</v>
      </c>
      <c r="H43" s="88">
        <f t="shared" ref="H43:H57" si="12">H42+I43</f>
        <v>-97.082755257556059</v>
      </c>
      <c r="I43" s="87">
        <f>G43</f>
        <v>2.9172447424439434</v>
      </c>
      <c r="J43" s="74"/>
      <c r="K43" s="88">
        <f t="shared" ref="K43:K57" si="13">K42+L43</f>
        <v>-97.082755257556059</v>
      </c>
      <c r="L43" s="79">
        <f t="shared" si="7"/>
        <v>2.9172447424439434</v>
      </c>
      <c r="M43" s="74"/>
      <c r="N43" s="79">
        <f ca="1">XNPV(N$40,$E$42:$E43,$D$42:$D43)</f>
        <v>-97.076438329191433</v>
      </c>
      <c r="O43" s="79">
        <f t="shared" ca="1" si="8"/>
        <v>2.9235616708085672</v>
      </c>
      <c r="P43" s="74"/>
      <c r="Q43" s="88">
        <f t="shared" ref="Q43:Q57" ca="1" si="14">Q42+R43</f>
        <v>-97.076438329191433</v>
      </c>
      <c r="R43" s="85">
        <f t="shared" ca="1" si="9"/>
        <v>2.9235616708085606</v>
      </c>
      <c r="S43" s="23"/>
      <c r="T43" s="23"/>
      <c r="U43" s="23"/>
    </row>
    <row r="44" spans="1:21">
      <c r="A44" s="23"/>
      <c r="B44" s="81">
        <f t="shared" si="10"/>
        <v>2</v>
      </c>
      <c r="C44" s="86">
        <f t="shared" ca="1" si="11"/>
        <v>0.16712328767123288</v>
      </c>
      <c r="D44" s="75">
        <f ca="1">DATE(YEAR(D43),MONTH(D43)+1,DAY(D43))</f>
        <v>41664</v>
      </c>
      <c r="E44" s="79">
        <v>3</v>
      </c>
      <c r="F44" s="79"/>
      <c r="G44" s="87">
        <f>NPV(I$40,$E$43:$E44)</f>
        <v>5.7540170382162188</v>
      </c>
      <c r="H44" s="88">
        <f t="shared" si="12"/>
        <v>-94.245982961783781</v>
      </c>
      <c r="I44" s="87">
        <f t="shared" ref="I44:I57" si="15">G44-G43</f>
        <v>2.8367722957722754</v>
      </c>
      <c r="J44" s="74"/>
      <c r="K44" s="88">
        <f t="shared" si="13"/>
        <v>-94.245982961783781</v>
      </c>
      <c r="L44" s="79">
        <f t="shared" si="7"/>
        <v>2.8367722957722759</v>
      </c>
      <c r="M44" s="74"/>
      <c r="N44" s="79">
        <f ca="1">XNPV(N$40,$E$42:$E44,$D$42:$D44)</f>
        <v>-94.229817446372962</v>
      </c>
      <c r="O44" s="79">
        <f t="shared" ca="1" si="8"/>
        <v>2.8466208828184705</v>
      </c>
      <c r="P44" s="74"/>
      <c r="Q44" s="88">
        <f t="shared" ca="1" si="14"/>
        <v>-94.229817446372962</v>
      </c>
      <c r="R44" s="85">
        <f t="shared" ca="1" si="9"/>
        <v>2.8466208828184647</v>
      </c>
      <c r="S44" s="23"/>
      <c r="T44" s="23"/>
      <c r="U44" s="23"/>
    </row>
    <row r="45" spans="1:21">
      <c r="A45" s="23"/>
      <c r="B45" s="81">
        <f t="shared" si="10"/>
        <v>3</v>
      </c>
      <c r="C45" s="86">
        <f t="shared" ca="1" si="11"/>
        <v>0.25205479452054796</v>
      </c>
      <c r="D45" s="75">
        <f ca="1">DATE(YEAR(D44),MONTH(D44)+1,DAY(D44))</f>
        <v>41695</v>
      </c>
      <c r="E45" s="79">
        <v>3</v>
      </c>
      <c r="F45" s="79"/>
      <c r="G45" s="87">
        <f>NPV(I$40,$E$43:$E45)</f>
        <v>8.5125367266669869</v>
      </c>
      <c r="H45" s="88">
        <f t="shared" si="12"/>
        <v>-91.48746327333302</v>
      </c>
      <c r="I45" s="87">
        <f t="shared" si="15"/>
        <v>2.7585196884507681</v>
      </c>
      <c r="J45" s="74"/>
      <c r="K45" s="88">
        <f t="shared" si="13"/>
        <v>-91.487463273333006</v>
      </c>
      <c r="L45" s="79">
        <f t="shared" si="7"/>
        <v>2.758519688450769</v>
      </c>
      <c r="M45" s="74"/>
      <c r="N45" s="79">
        <f ca="1">XNPV(N$40,$E$42:$E45,$D$42:$D45)</f>
        <v>-91.458112463574679</v>
      </c>
      <c r="O45" s="79">
        <f t="shared" ca="1" si="8"/>
        <v>2.7717049827982834</v>
      </c>
      <c r="P45" s="74"/>
      <c r="Q45" s="88">
        <f t="shared" ca="1" si="14"/>
        <v>-91.458112463574679</v>
      </c>
      <c r="R45" s="85">
        <f t="shared" ca="1" si="9"/>
        <v>2.7717049827982887</v>
      </c>
      <c r="S45" s="23"/>
      <c r="T45" s="23"/>
      <c r="U45" s="23"/>
    </row>
    <row r="46" spans="1:21">
      <c r="A46" s="23"/>
      <c r="B46" s="81">
        <f t="shared" si="10"/>
        <v>4</v>
      </c>
      <c r="C46" s="86">
        <f t="shared" ca="1" si="11"/>
        <v>0.32876712328767121</v>
      </c>
      <c r="D46" s="75">
        <f ca="1">DATE(YEAR(D45),MONTH(D45)+1,DAY(D45))</f>
        <v>41723</v>
      </c>
      <c r="E46" s="79">
        <v>3</v>
      </c>
      <c r="F46" s="79"/>
      <c r="G46" s="87">
        <f>NPV(I$40,$E$43:$E46)</f>
        <v>11.194962412687357</v>
      </c>
      <c r="H46" s="88">
        <f t="shared" si="12"/>
        <v>-88.805037587312654</v>
      </c>
      <c r="I46" s="87">
        <f t="shared" si="15"/>
        <v>2.6824256860203697</v>
      </c>
      <c r="J46" s="74"/>
      <c r="K46" s="88">
        <f t="shared" si="13"/>
        <v>-88.80503758731264</v>
      </c>
      <c r="L46" s="79">
        <f t="shared" si="7"/>
        <v>2.6824256860203697</v>
      </c>
      <c r="M46" s="74"/>
      <c r="N46" s="79">
        <f ca="1">XNPV(N$40,$E$42:$E46,$D$42:$D46)</f>
        <v>-88.752377375282009</v>
      </c>
      <c r="O46" s="79">
        <f t="shared" ca="1" si="8"/>
        <v>2.7057350882926698</v>
      </c>
      <c r="P46" s="74"/>
      <c r="Q46" s="88">
        <f t="shared" ca="1" si="14"/>
        <v>-88.752377375282009</v>
      </c>
      <c r="R46" s="85">
        <f t="shared" ca="1" si="9"/>
        <v>2.7057350882926712</v>
      </c>
      <c r="S46" s="23"/>
      <c r="T46" s="23"/>
      <c r="U46" s="23"/>
    </row>
    <row r="47" spans="1:21">
      <c r="A47" s="23"/>
      <c r="B47" s="81">
        <f t="shared" si="10"/>
        <v>5</v>
      </c>
      <c r="C47" s="86">
        <f t="shared" ca="1" si="11"/>
        <v>0.49589041095890413</v>
      </c>
      <c r="D47" s="75">
        <f ca="1">DATE(YEAR(D46),MONTH(D46)+2,DAY(D46))</f>
        <v>41784</v>
      </c>
      <c r="E47" s="79">
        <v>3</v>
      </c>
      <c r="F47" s="79"/>
      <c r="G47" s="87">
        <f>NPV(I$40,$E$43:$E47)</f>
        <v>13.803393155867195</v>
      </c>
      <c r="H47" s="88">
        <f t="shared" si="12"/>
        <v>-86.196606844132816</v>
      </c>
      <c r="I47" s="87">
        <f t="shared" si="15"/>
        <v>2.6084307431798379</v>
      </c>
      <c r="J47" s="74"/>
      <c r="K47" s="88">
        <f t="shared" si="13"/>
        <v>-86.196606844132802</v>
      </c>
      <c r="L47" s="79">
        <f t="shared" si="7"/>
        <v>2.6084307431798375</v>
      </c>
      <c r="M47" s="74"/>
      <c r="N47" s="79">
        <f ca="1">XNPV(N$40,$E$42:$E47,$D$42:$D47)</f>
        <v>-86.184976706712476</v>
      </c>
      <c r="O47" s="79">
        <f t="shared" ca="1" si="8"/>
        <v>2.5674006685695332</v>
      </c>
      <c r="P47" s="74"/>
      <c r="Q47" s="88">
        <f t="shared" ca="1" si="14"/>
        <v>-86.184976706712476</v>
      </c>
      <c r="R47" s="85">
        <f t="shared" ca="1" si="9"/>
        <v>2.5674006685695274</v>
      </c>
      <c r="S47" s="23"/>
      <c r="T47" s="23"/>
      <c r="U47" s="23"/>
    </row>
    <row r="48" spans="1:21">
      <c r="A48" s="23"/>
      <c r="B48" s="81">
        <f t="shared" si="10"/>
        <v>6</v>
      </c>
      <c r="C48" s="86">
        <f t="shared" ca="1" si="11"/>
        <v>0.58082191780821912</v>
      </c>
      <c r="D48" s="75">
        <f t="shared" ref="D48:D57" ca="1" si="16">DATE(YEAR(D47),MONTH(D47)+1,DAY(D47))</f>
        <v>41815</v>
      </c>
      <c r="E48" s="79">
        <v>3</v>
      </c>
      <c r="F48" s="79"/>
      <c r="G48" s="87">
        <f>NPV(I$40,$E$43:$E48)</f>
        <v>16.339870113057369</v>
      </c>
      <c r="H48" s="88">
        <f t="shared" si="12"/>
        <v>-83.660129886942642</v>
      </c>
      <c r="I48" s="87">
        <f t="shared" si="15"/>
        <v>2.5364769571901746</v>
      </c>
      <c r="J48" s="74"/>
      <c r="K48" s="88">
        <f t="shared" si="13"/>
        <v>-83.660129886942627</v>
      </c>
      <c r="L48" s="79">
        <f t="shared" si="7"/>
        <v>2.5364769571901755</v>
      </c>
      <c r="M48" s="74"/>
      <c r="N48" s="79">
        <f ca="1">XNPV(N$40,$E$42:$E48,$D$42:$D48)</f>
        <v>-83.685143564594824</v>
      </c>
      <c r="O48" s="79">
        <f t="shared" ca="1" si="8"/>
        <v>2.4998331421176516</v>
      </c>
      <c r="P48" s="74"/>
      <c r="Q48" s="88">
        <f t="shared" ca="1" si="14"/>
        <v>-83.685143564594824</v>
      </c>
      <c r="R48" s="85">
        <f t="shared" ca="1" si="9"/>
        <v>2.4998331421176552</v>
      </c>
      <c r="S48" s="23"/>
      <c r="T48" s="23"/>
      <c r="U48" s="23"/>
    </row>
    <row r="49" spans="1:21">
      <c r="A49" s="23"/>
      <c r="B49" s="81">
        <f t="shared" si="10"/>
        <v>7</v>
      </c>
      <c r="C49" s="86">
        <f t="shared" ca="1" si="11"/>
        <v>0.66301369863013704</v>
      </c>
      <c r="D49" s="75">
        <f t="shared" ca="1" si="16"/>
        <v>41845</v>
      </c>
      <c r="E49" s="79">
        <v>3</v>
      </c>
      <c r="F49" s="79"/>
      <c r="G49" s="87">
        <f>NPV(I$40,$E$43:$E49)</f>
        <v>18.806378135621788</v>
      </c>
      <c r="H49" s="88">
        <f t="shared" si="12"/>
        <v>-81.19362186437823</v>
      </c>
      <c r="I49" s="87">
        <f t="shared" si="15"/>
        <v>2.4665080225644189</v>
      </c>
      <c r="J49" s="74"/>
      <c r="K49" s="88">
        <f t="shared" si="13"/>
        <v>-81.193621864378215</v>
      </c>
      <c r="L49" s="79">
        <f t="shared" si="7"/>
        <v>2.4665080225644167</v>
      </c>
      <c r="M49" s="74"/>
      <c r="N49" s="79">
        <f ca="1">XNPV(N$40,$E$42:$E49,$D$42:$D49)</f>
        <v>-81.249004778690789</v>
      </c>
      <c r="O49" s="79">
        <f t="shared" ca="1" si="8"/>
        <v>2.4361387859040349</v>
      </c>
      <c r="P49" s="74"/>
      <c r="Q49" s="88">
        <f t="shared" ca="1" si="14"/>
        <v>-81.249004778690789</v>
      </c>
      <c r="R49" s="85">
        <f t="shared" ca="1" si="9"/>
        <v>2.4361387859040349</v>
      </c>
      <c r="S49" s="23"/>
      <c r="T49" s="23"/>
      <c r="U49" s="23"/>
    </row>
    <row r="50" spans="1:21">
      <c r="A50" s="23"/>
      <c r="B50" s="81">
        <f t="shared" si="10"/>
        <v>8</v>
      </c>
      <c r="C50" s="86">
        <f t="shared" ca="1" si="11"/>
        <v>0.74794520547945209</v>
      </c>
      <c r="D50" s="75">
        <f t="shared" ca="1" si="16"/>
        <v>41876</v>
      </c>
      <c r="E50" s="79">
        <v>3</v>
      </c>
      <c r="F50" s="79"/>
      <c r="G50" s="87">
        <f>NPV(I$40,$E$43:$E50)</f>
        <v>21.204847322629067</v>
      </c>
      <c r="H50" s="88">
        <f t="shared" si="12"/>
        <v>-78.79515267737095</v>
      </c>
      <c r="I50" s="87">
        <f t="shared" si="15"/>
        <v>2.3984691870072794</v>
      </c>
      <c r="J50" s="74"/>
      <c r="K50" s="88">
        <f t="shared" si="13"/>
        <v>-78.795152677370936</v>
      </c>
      <c r="L50" s="79">
        <f t="shared" si="7"/>
        <v>2.3984691870072838</v>
      </c>
      <c r="M50" s="74"/>
      <c r="N50" s="79">
        <f ca="1">XNPV(N$40,$E$42:$E50,$D$42:$D50)</f>
        <v>-78.876979036719518</v>
      </c>
      <c r="O50" s="79">
        <f t="shared" ca="1" si="8"/>
        <v>2.3720257419712709</v>
      </c>
      <c r="P50" s="74"/>
      <c r="Q50" s="88">
        <f t="shared" ca="1" si="14"/>
        <v>-78.876979036719518</v>
      </c>
      <c r="R50" s="85">
        <f t="shared" ca="1" si="9"/>
        <v>2.3720257419712723</v>
      </c>
      <c r="S50" s="23"/>
      <c r="T50" s="23"/>
      <c r="U50" s="23"/>
    </row>
    <row r="51" spans="1:21">
      <c r="A51" s="23"/>
      <c r="B51" s="81">
        <f t="shared" si="10"/>
        <v>9</v>
      </c>
      <c r="C51" s="86">
        <f t="shared" ca="1" si="11"/>
        <v>0.83287671232876714</v>
      </c>
      <c r="D51" s="75">
        <f t="shared" ca="1" si="16"/>
        <v>41907</v>
      </c>
      <c r="E51" s="79">
        <v>3</v>
      </c>
      <c r="F51" s="79"/>
      <c r="G51" s="87">
        <f>NPV(I$40,$E$43:$E51)</f>
        <v>23.537154531199334</v>
      </c>
      <c r="H51" s="88">
        <f t="shared" si="12"/>
        <v>-76.46284546880068</v>
      </c>
      <c r="I51" s="87">
        <f t="shared" si="15"/>
        <v>2.332307208570267</v>
      </c>
      <c r="J51" s="74"/>
      <c r="K51" s="88">
        <f t="shared" si="13"/>
        <v>-76.462845468800666</v>
      </c>
      <c r="L51" s="79">
        <f t="shared" si="7"/>
        <v>2.3323072085702656</v>
      </c>
      <c r="M51" s="74"/>
      <c r="N51" s="79">
        <f ca="1">XNPV(N$40,$E$42:$E51,$D$42:$D51)</f>
        <v>-76.567379044662246</v>
      </c>
      <c r="O51" s="79">
        <f t="shared" ca="1" si="8"/>
        <v>2.3095999920572723</v>
      </c>
      <c r="P51" s="74"/>
      <c r="Q51" s="88">
        <f t="shared" ca="1" si="14"/>
        <v>-76.567379044662246</v>
      </c>
      <c r="R51" s="85">
        <f t="shared" ca="1" si="9"/>
        <v>2.3095999920572692</v>
      </c>
      <c r="S51" s="23"/>
      <c r="T51" s="23"/>
      <c r="U51" s="23"/>
    </row>
    <row r="52" spans="1:21">
      <c r="A52" s="23"/>
      <c r="B52" s="81">
        <f t="shared" si="10"/>
        <v>10</v>
      </c>
      <c r="C52" s="86">
        <f t="shared" ca="1" si="11"/>
        <v>0.91506849315068495</v>
      </c>
      <c r="D52" s="75">
        <f t="shared" ca="1" si="16"/>
        <v>41937</v>
      </c>
      <c r="E52" s="79">
        <v>3</v>
      </c>
      <c r="F52" s="79"/>
      <c r="G52" s="87">
        <f>NPV(I$40,$E$43:$E52)</f>
        <v>25.805124845187908</v>
      </c>
      <c r="H52" s="88">
        <f t="shared" si="12"/>
        <v>-74.194875154812109</v>
      </c>
      <c r="I52" s="87">
        <f t="shared" si="15"/>
        <v>2.2679703139885738</v>
      </c>
      <c r="J52" s="74"/>
      <c r="K52" s="88">
        <f t="shared" si="13"/>
        <v>-74.194875154812095</v>
      </c>
      <c r="L52" s="79">
        <f t="shared" si="7"/>
        <v>2.2679703139885721</v>
      </c>
      <c r="M52" s="74"/>
      <c r="N52" s="79">
        <f ca="1">XNPV(N$40,$E$42:$E52,$D$42:$D52)</f>
        <v>-74.316626374102782</v>
      </c>
      <c r="O52" s="79">
        <f t="shared" ca="1" si="8"/>
        <v>2.2507526705594643</v>
      </c>
      <c r="P52" s="74"/>
      <c r="Q52" s="88">
        <f t="shared" ca="1" si="14"/>
        <v>-74.316626374102782</v>
      </c>
      <c r="R52" s="85">
        <f t="shared" ca="1" si="9"/>
        <v>2.2507526705594625</v>
      </c>
      <c r="S52" s="23"/>
      <c r="T52" s="23"/>
      <c r="U52" s="23"/>
    </row>
    <row r="53" spans="1:21">
      <c r="A53" s="23"/>
      <c r="B53" s="81">
        <f t="shared" si="10"/>
        <v>11</v>
      </c>
      <c r="C53" s="86">
        <f t="shared" ca="1" si="11"/>
        <v>1</v>
      </c>
      <c r="D53" s="75">
        <f t="shared" ca="1" si="16"/>
        <v>41968</v>
      </c>
      <c r="E53" s="79">
        <v>3</v>
      </c>
      <c r="F53" s="79"/>
      <c r="G53" s="87">
        <f>NPV(I$40,$E$43:$E53)</f>
        <v>28.010533003355278</v>
      </c>
      <c r="H53" s="88">
        <f t="shared" si="12"/>
        <v>-71.989466996644737</v>
      </c>
      <c r="I53" s="87">
        <f t="shared" si="15"/>
        <v>2.2054081581673692</v>
      </c>
      <c r="J53" s="74"/>
      <c r="K53" s="88">
        <f t="shared" si="13"/>
        <v>-71.989466996644722</v>
      </c>
      <c r="L53" s="79">
        <f t="shared" si="7"/>
        <v>2.2054081581673675</v>
      </c>
      <c r="M53" s="74"/>
      <c r="N53" s="79">
        <f ca="1">XNPV(N$40,$E$42:$E53,$D$42:$D53)</f>
        <v>-72.125107851320251</v>
      </c>
      <c r="O53" s="79">
        <f t="shared" ca="1" si="8"/>
        <v>2.1915185227825305</v>
      </c>
      <c r="P53" s="74"/>
      <c r="Q53" s="88">
        <f t="shared" ca="1" si="14"/>
        <v>-72.125107851320251</v>
      </c>
      <c r="R53" s="85">
        <f t="shared" ca="1" si="9"/>
        <v>2.1915185227825278</v>
      </c>
      <c r="S53" s="23"/>
      <c r="T53" s="23"/>
      <c r="U53" s="23"/>
    </row>
    <row r="54" spans="1:21">
      <c r="A54" s="23"/>
      <c r="B54" s="81">
        <f t="shared" si="10"/>
        <v>12</v>
      </c>
      <c r="C54" s="86">
        <f t="shared" ca="1" si="11"/>
        <v>1.0821917808219179</v>
      </c>
      <c r="D54" s="75">
        <f t="shared" ca="1" si="16"/>
        <v>41998</v>
      </c>
      <c r="E54" s="79">
        <v>3</v>
      </c>
      <c r="F54" s="79"/>
      <c r="G54" s="87">
        <f>NPV(I$40,$E$43:$E54)</f>
        <v>30.155104788140854</v>
      </c>
      <c r="H54" s="88">
        <f t="shared" si="12"/>
        <v>-69.844895211859154</v>
      </c>
      <c r="I54" s="87">
        <f t="shared" si="15"/>
        <v>2.1445717847855761</v>
      </c>
      <c r="J54" s="74"/>
      <c r="K54" s="88">
        <f t="shared" si="13"/>
        <v>-69.844895211859139</v>
      </c>
      <c r="L54" s="79">
        <f t="shared" si="7"/>
        <v>2.1445717847855774</v>
      </c>
      <c r="M54" s="74"/>
      <c r="N54" s="79">
        <f ca="1">XNPV(N$40,$E$42:$E54,$D$42:$D54)</f>
        <v>-69.98942799996226</v>
      </c>
      <c r="O54" s="79">
        <f t="shared" ca="1" si="8"/>
        <v>2.1356798513579918</v>
      </c>
      <c r="P54" s="74"/>
      <c r="Q54" s="88">
        <f t="shared" ca="1" si="14"/>
        <v>-69.98942799996226</v>
      </c>
      <c r="R54" s="85">
        <f t="shared" ca="1" si="9"/>
        <v>2.1356798513579984</v>
      </c>
      <c r="S54" s="23"/>
      <c r="T54" s="23"/>
      <c r="U54" s="23"/>
    </row>
    <row r="55" spans="1:21">
      <c r="A55" s="23"/>
      <c r="B55" s="81">
        <f t="shared" si="10"/>
        <v>13</v>
      </c>
      <c r="C55" s="86">
        <f t="shared" ca="1" si="11"/>
        <v>1.167123287671233</v>
      </c>
      <c r="D55" s="75">
        <f t="shared" ca="1" si="16"/>
        <v>42029</v>
      </c>
      <c r="E55" s="79">
        <v>3</v>
      </c>
      <c r="F55" s="79"/>
      <c r="G55" s="87">
        <f>NPV(I$40,$E$43:$E55)</f>
        <v>32.240518376127305</v>
      </c>
      <c r="H55" s="88">
        <f t="shared" si="12"/>
        <v>-67.759481623872702</v>
      </c>
      <c r="I55" s="87">
        <f t="shared" si="15"/>
        <v>2.0854135879864515</v>
      </c>
      <c r="J55" s="74"/>
      <c r="K55" s="88">
        <f t="shared" si="13"/>
        <v>-67.759481623872688</v>
      </c>
      <c r="L55" s="79">
        <f t="shared" si="7"/>
        <v>2.0854135879864497</v>
      </c>
      <c r="M55" s="74"/>
      <c r="N55" s="79">
        <f ca="1">XNPV(N$40,$E$42:$E55,$D$42:$D55)</f>
        <v>-67.909953869283527</v>
      </c>
      <c r="O55" s="79">
        <f t="shared" ca="1" si="8"/>
        <v>2.079474130678733</v>
      </c>
      <c r="P55" s="74"/>
      <c r="Q55" s="88">
        <f t="shared" ca="1" si="14"/>
        <v>-67.909953869283527</v>
      </c>
      <c r="R55" s="85">
        <f t="shared" ca="1" si="9"/>
        <v>2.0794741306787388</v>
      </c>
      <c r="S55" s="23"/>
      <c r="T55" s="23"/>
      <c r="U55" s="23"/>
    </row>
    <row r="56" spans="1:21">
      <c r="A56" s="23"/>
      <c r="B56" s="81">
        <f t="shared" si="10"/>
        <v>14</v>
      </c>
      <c r="C56" s="86">
        <f t="shared" ca="1" si="11"/>
        <v>1.252054794520548</v>
      </c>
      <c r="D56" s="75">
        <f t="shared" ca="1" si="16"/>
        <v>42060</v>
      </c>
      <c r="E56" s="79">
        <v>3</v>
      </c>
      <c r="F56" s="79"/>
      <c r="G56" s="87">
        <f>NPV(I$40,$E$43:$E56)</f>
        <v>34.268405651252181</v>
      </c>
      <c r="H56" s="88">
        <f t="shared" si="12"/>
        <v>-65.731594348747819</v>
      </c>
      <c r="I56" s="87">
        <f t="shared" si="15"/>
        <v>2.0278872751248755</v>
      </c>
      <c r="J56" s="74"/>
      <c r="K56" s="88">
        <f t="shared" si="13"/>
        <v>-65.731594348747805</v>
      </c>
      <c r="L56" s="79">
        <f t="shared" si="7"/>
        <v>2.0278872751248769</v>
      </c>
      <c r="M56" s="74"/>
      <c r="N56" s="79">
        <f ca="1">XNPV(N$40,$E$42:$E56,$D$42:$D56)</f>
        <v>-65.885206266119837</v>
      </c>
      <c r="O56" s="79">
        <f t="shared" ca="1" si="8"/>
        <v>2.0247476031636893</v>
      </c>
      <c r="P56" s="74"/>
      <c r="Q56" s="88">
        <f t="shared" ca="1" si="14"/>
        <v>-65.885206266119837</v>
      </c>
      <c r="R56" s="85">
        <f t="shared" ca="1" si="9"/>
        <v>2.0247476031636924</v>
      </c>
      <c r="S56" s="23"/>
      <c r="T56" s="23"/>
      <c r="U56" s="23"/>
    </row>
    <row r="57" spans="1:21">
      <c r="A57" s="23"/>
      <c r="B57" s="81">
        <f t="shared" si="10"/>
        <v>15</v>
      </c>
      <c r="C57" s="86">
        <f t="shared" ca="1" si="11"/>
        <v>1.3287671232876712</v>
      </c>
      <c r="D57" s="75">
        <f t="shared" ca="1" si="16"/>
        <v>42088</v>
      </c>
      <c r="E57" s="79">
        <v>100</v>
      </c>
      <c r="F57" s="79"/>
      <c r="G57" s="87">
        <f>NPV(I$40,$E$43:$E57)</f>
        <v>100.00000000266353</v>
      </c>
      <c r="H57" s="88">
        <f t="shared" si="12"/>
        <v>2.6635262884155964E-9</v>
      </c>
      <c r="I57" s="87">
        <f t="shared" si="15"/>
        <v>65.731594351411346</v>
      </c>
      <c r="J57" s="74"/>
      <c r="K57" s="88">
        <f t="shared" si="13"/>
        <v>2.6635262884155964E-9</v>
      </c>
      <c r="L57" s="79">
        <f t="shared" si="7"/>
        <v>65.731594351411331</v>
      </c>
      <c r="M57" s="74"/>
      <c r="N57" s="79">
        <f ca="1">XNPV(N$40,$E$42:$E57,$D$42:$D57)</f>
        <v>-2.3864288323238725E-9</v>
      </c>
      <c r="O57" s="79">
        <f t="shared" ca="1" si="8"/>
        <v>65.885206263733409</v>
      </c>
      <c r="P57" s="74"/>
      <c r="Q57" s="88">
        <f t="shared" ca="1" si="14"/>
        <v>-2.3864288323238725E-9</v>
      </c>
      <c r="R57" s="85">
        <f t="shared" ca="1" si="9"/>
        <v>65.885206263733409</v>
      </c>
      <c r="S57" s="23"/>
      <c r="T57" s="23"/>
      <c r="U57" s="23"/>
    </row>
    <row r="58" spans="1:21">
      <c r="A58" s="23"/>
      <c r="B58" s="74"/>
      <c r="C58" s="74"/>
      <c r="D58" s="74"/>
      <c r="E58" s="74"/>
      <c r="F58" s="74"/>
      <c r="G58" s="79"/>
      <c r="H58" s="79"/>
      <c r="I58" s="79"/>
      <c r="J58" s="74"/>
      <c r="K58" s="74"/>
      <c r="L58" s="79"/>
      <c r="M58" s="74"/>
      <c r="N58" s="79"/>
      <c r="O58" s="79"/>
      <c r="P58" s="74"/>
      <c r="Q58" s="74"/>
      <c r="R58" s="85"/>
      <c r="S58" s="23"/>
      <c r="T58" s="23"/>
      <c r="U58" s="23"/>
    </row>
    <row r="59" spans="1:21">
      <c r="A59" s="23"/>
      <c r="B59" s="74"/>
      <c r="C59" s="74"/>
      <c r="D59" s="74"/>
      <c r="E59" s="74"/>
      <c r="F59" s="89" t="s">
        <v>40</v>
      </c>
      <c r="G59" s="89"/>
      <c r="H59" s="90">
        <f>H57</f>
        <v>2.6635262884155964E-9</v>
      </c>
      <c r="I59" s="90">
        <f>SUM(I42:I57)</f>
        <v>2.6635262884155964E-9</v>
      </c>
      <c r="J59" s="86"/>
      <c r="K59" s="90">
        <f>K57</f>
        <v>2.6635262884155964E-9</v>
      </c>
      <c r="L59" s="90">
        <f>SUM(L42:L57)</f>
        <v>2.6635262884155964E-9</v>
      </c>
      <c r="M59" s="86"/>
      <c r="N59" s="90">
        <f ca="1">N57</f>
        <v>-2.3864288323238725E-9</v>
      </c>
      <c r="O59" s="90">
        <f ca="1">SUM(O42:O57)</f>
        <v>-2.3864288323238725E-9</v>
      </c>
      <c r="P59" s="86"/>
      <c r="Q59" s="90">
        <f ca="1">Q57</f>
        <v>-2.3864288323238725E-9</v>
      </c>
      <c r="R59" s="90">
        <f ca="1">SUM(R42:R57)</f>
        <v>-2.3864288323238725E-9</v>
      </c>
      <c r="S59" s="23"/>
      <c r="T59" s="23"/>
      <c r="U59" s="23"/>
    </row>
    <row r="60" spans="1:21">
      <c r="A60" s="23"/>
      <c r="B60" s="74"/>
      <c r="C60" s="74"/>
      <c r="D60" s="74"/>
      <c r="E60" s="74"/>
      <c r="F60" s="74"/>
      <c r="G60" s="74"/>
      <c r="H60" s="81"/>
      <c r="I60" s="81"/>
      <c r="J60" s="74"/>
      <c r="K60" s="81"/>
      <c r="L60" s="81"/>
      <c r="M60" s="74"/>
      <c r="N60" s="91">
        <f ca="1">ABS(H59-N59)</f>
        <v>5.0499551207394688E-9</v>
      </c>
      <c r="O60" s="81"/>
      <c r="P60" s="74"/>
      <c r="Q60" s="81"/>
      <c r="R60" s="81"/>
      <c r="S60" s="23"/>
      <c r="T60" s="23"/>
      <c r="U60" s="23"/>
    </row>
    <row r="61" spans="1:21" ht="26.25" thickBot="1">
      <c r="A61" s="23"/>
      <c r="B61" s="92" t="s">
        <v>41</v>
      </c>
      <c r="C61" s="92" t="s">
        <v>29</v>
      </c>
      <c r="D61" s="92" t="s">
        <v>42</v>
      </c>
      <c r="E61" s="93" t="s">
        <v>43</v>
      </c>
      <c r="F61" s="92" t="s">
        <v>44</v>
      </c>
      <c r="G61" s="94" t="s">
        <v>45</v>
      </c>
      <c r="H61" s="93" t="s">
        <v>46</v>
      </c>
      <c r="I61" s="92" t="s">
        <v>47</v>
      </c>
      <c r="J61" s="94" t="s">
        <v>48</v>
      </c>
      <c r="K61" s="92" t="s">
        <v>49</v>
      </c>
      <c r="L61" s="74"/>
      <c r="M61" s="74"/>
      <c r="N61" s="74"/>
      <c r="O61" s="74"/>
      <c r="P61" s="74"/>
      <c r="Q61" s="74"/>
      <c r="R61" s="74"/>
      <c r="S61" s="23"/>
      <c r="T61" s="23"/>
      <c r="U61" s="23"/>
    </row>
    <row r="62" spans="1:21">
      <c r="A62" s="23"/>
      <c r="B62" s="95" t="s">
        <v>50</v>
      </c>
      <c r="C62" s="81">
        <v>12</v>
      </c>
      <c r="D62" s="96">
        <f>IRR($E$42:$E$57)</f>
        <v>2.8367608775507813E-2</v>
      </c>
      <c r="E62" s="97">
        <f>((1+D62)^12)-1</f>
        <v>0.39888066292915059</v>
      </c>
      <c r="F62" s="78">
        <f>EFFECT(H62,12)</f>
        <v>0.39888066292915059</v>
      </c>
      <c r="G62" s="98">
        <f>100*(1+F62)^1</f>
        <v>139.88806629291506</v>
      </c>
      <c r="H62" s="97">
        <f>NOMINAL(E62,12)</f>
        <v>0.34041130530609376</v>
      </c>
      <c r="I62" s="78">
        <f>H62/12</f>
        <v>2.8367608775507813E-2</v>
      </c>
      <c r="J62" s="98">
        <f>100*(1+I62)^12</f>
        <v>139.88806629291506</v>
      </c>
      <c r="K62" s="99">
        <f>ABS(G62-J62)</f>
        <v>0</v>
      </c>
      <c r="L62" s="74"/>
      <c r="M62" s="74"/>
      <c r="N62" s="74"/>
      <c r="O62" s="74"/>
      <c r="P62" s="74"/>
      <c r="Q62" s="74"/>
      <c r="R62" s="74"/>
      <c r="S62" s="23"/>
      <c r="T62" s="23"/>
      <c r="U62" s="23"/>
    </row>
    <row r="63" spans="1:21">
      <c r="A63" s="23"/>
      <c r="B63" s="95" t="s">
        <v>51</v>
      </c>
      <c r="C63" s="81">
        <v>1</v>
      </c>
      <c r="D63" s="76">
        <f ca="1">XIRR($E$42:$E$57,$D$42:$D$57)</f>
        <v>0.36891382336616507</v>
      </c>
      <c r="E63" s="97">
        <f ca="1">((1+D63)^1)-1</f>
        <v>0.36891382336616507</v>
      </c>
      <c r="F63" s="78">
        <f ca="1">EFFECT(H63,12)</f>
        <v>0.43814876291513394</v>
      </c>
      <c r="G63" s="98">
        <f ca="1">100*(1+F63)^1</f>
        <v>143.8148762915134</v>
      </c>
      <c r="H63" s="97">
        <f ca="1">NOMINAL(E63,1)</f>
        <v>0.36891382336616507</v>
      </c>
      <c r="I63" s="78">
        <f ca="1">H63/12</f>
        <v>3.0742818613847089E-2</v>
      </c>
      <c r="J63" s="98">
        <f ca="1">100*(1+I63)^12</f>
        <v>143.8148762915134</v>
      </c>
      <c r="K63" s="99">
        <f ca="1">ABS(G63-J63)</f>
        <v>0</v>
      </c>
      <c r="L63" s="74"/>
      <c r="M63" s="74"/>
      <c r="N63" s="74"/>
      <c r="O63" s="74"/>
      <c r="P63" s="74"/>
      <c r="Q63" s="74"/>
      <c r="R63" s="74"/>
      <c r="S63" s="23"/>
      <c r="T63" s="23"/>
      <c r="U63" s="23"/>
    </row>
    <row r="64" spans="1:21" ht="13.5" thickBot="1">
      <c r="A64" s="23"/>
      <c r="B64" s="100"/>
      <c r="C64" s="100"/>
      <c r="D64" s="100"/>
      <c r="E64" s="101">
        <f t="shared" ref="E64:J64" ca="1" si="17">ABS(E62-E63)</f>
        <v>2.9966839562985514E-2</v>
      </c>
      <c r="F64" s="102">
        <f t="shared" ca="1" si="17"/>
        <v>3.9268099985983351E-2</v>
      </c>
      <c r="G64" s="103">
        <f t="shared" ca="1" si="17"/>
        <v>3.926809998598344</v>
      </c>
      <c r="H64" s="101">
        <f t="shared" ca="1" si="17"/>
        <v>2.8502518060071313E-2</v>
      </c>
      <c r="I64" s="102">
        <f t="shared" ca="1" si="17"/>
        <v>2.3752098383392761E-3</v>
      </c>
      <c r="J64" s="103">
        <f t="shared" ca="1" si="17"/>
        <v>3.926809998598344</v>
      </c>
      <c r="K64" s="104"/>
      <c r="L64" s="74"/>
      <c r="M64" s="74"/>
      <c r="N64" s="74"/>
      <c r="O64" s="74"/>
      <c r="P64" s="74"/>
      <c r="Q64" s="74"/>
      <c r="R64" s="74"/>
      <c r="S64" s="23"/>
      <c r="T64" s="23"/>
      <c r="U64" s="23"/>
    </row>
    <row r="65" spans="1:21" ht="13.5" thickTop="1">
      <c r="A65" s="23"/>
      <c r="B65" s="23"/>
      <c r="C65" s="74"/>
      <c r="D65" s="78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23"/>
      <c r="T65" s="23"/>
      <c r="U65" s="23"/>
    </row>
    <row r="66" spans="1:2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>
      <c r="A67" s="23"/>
      <c r="B67" s="23"/>
      <c r="C67" s="23"/>
      <c r="D67" s="23"/>
      <c r="E67" s="23"/>
      <c r="F67" s="23"/>
      <c r="G67" s="105">
        <v>0.03</v>
      </c>
      <c r="H67" s="106">
        <f>NPV(G67,$E$42:$E$57)</f>
        <v>-1.8695008176603902</v>
      </c>
      <c r="I67" s="106">
        <f>NPV(G67,$E$43:$E$57)+E42</f>
        <v>-1.9255858421901877</v>
      </c>
      <c r="J67" s="107">
        <f>ABS(H67-I67)</f>
        <v>5.6085024529797467E-2</v>
      </c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>
      <c r="A68" s="23"/>
      <c r="B68" s="23"/>
      <c r="C68" s="23"/>
      <c r="D68" s="23"/>
      <c r="E68" s="23"/>
      <c r="F68" s="23"/>
      <c r="G68" s="105">
        <v>0.3</v>
      </c>
      <c r="H68" s="106">
        <f ca="1">XNPV(G68,$E$42:$E$57,$D$42:$D$57)</f>
        <v>5.8355979747186097</v>
      </c>
      <c r="I68" s="106">
        <f ca="1">XNPV(G68,$E$42:$E$57,$D$42:$D$57)</f>
        <v>5.8355979747186097</v>
      </c>
      <c r="J68" s="80">
        <f ca="1">ABS(H68-I68)</f>
        <v>0</v>
      </c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</row>
  </sheetData>
  <dataValidations count="1">
    <dataValidation type="list" allowBlank="1" showInputMessage="1" showErrorMessage="1" sqref="C9">
      <formula1>"1,2,4,12,52,365"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72"/>
  <sheetViews>
    <sheetView workbookViewId="0">
      <selection activeCell="C29" sqref="C29"/>
    </sheetView>
  </sheetViews>
  <sheetFormatPr defaultColWidth="10.7109375" defaultRowHeight="15"/>
  <sheetData>
    <row r="1" spans="1:9">
      <c r="A1" s="317" t="s">
        <v>283</v>
      </c>
    </row>
    <row r="2" spans="1:9">
      <c r="A2" t="s">
        <v>284</v>
      </c>
    </row>
    <row r="3" spans="1:9">
      <c r="A3" t="s">
        <v>285</v>
      </c>
    </row>
    <row r="4" spans="1:9">
      <c r="A4" t="s">
        <v>286</v>
      </c>
    </row>
    <row r="5" spans="1:9">
      <c r="A5" t="s">
        <v>287</v>
      </c>
    </row>
    <row r="6" spans="1:9">
      <c r="A6" t="s">
        <v>288</v>
      </c>
    </row>
    <row r="8" spans="1:9">
      <c r="A8" t="s">
        <v>289</v>
      </c>
      <c r="B8" t="s">
        <v>290</v>
      </c>
      <c r="C8" t="s">
        <v>291</v>
      </c>
      <c r="D8" t="s">
        <v>292</v>
      </c>
      <c r="E8" t="s">
        <v>293</v>
      </c>
      <c r="F8" t="s">
        <v>294</v>
      </c>
      <c r="G8" t="s">
        <v>295</v>
      </c>
      <c r="H8" t="s">
        <v>296</v>
      </c>
      <c r="I8" t="s">
        <v>297</v>
      </c>
    </row>
    <row r="9" spans="1:9">
      <c r="A9">
        <v>4</v>
      </c>
      <c r="B9">
        <v>5</v>
      </c>
      <c r="C9" t="b">
        <f>EQUALT_FUNC(A9,B9)</f>
        <v>0</v>
      </c>
      <c r="D9" t="b">
        <f>LTEQUALT_FUNC(A9,B9)</f>
        <v>1</v>
      </c>
      <c r="E9" t="b">
        <f>GTEQUALT_FUNC(A9,B9)</f>
        <v>0</v>
      </c>
      <c r="F9" t="b">
        <f>LTT_FUNC(A9,B9)</f>
        <v>1</v>
      </c>
      <c r="G9" t="b">
        <f>GTT_FUNC(A9,B9)</f>
        <v>0</v>
      </c>
    </row>
    <row r="10" spans="1:9">
      <c r="A10">
        <v>5</v>
      </c>
      <c r="B10">
        <v>5</v>
      </c>
      <c r="C10" t="b">
        <f>EQUALT_FUNC(A10,B10)</f>
        <v>1</v>
      </c>
      <c r="D10" t="b">
        <f>LTEQUALT_FUNC(A10,B10)</f>
        <v>1</v>
      </c>
      <c r="E10" t="b">
        <f>GTEQUALT_FUNC(A10,B10)</f>
        <v>1</v>
      </c>
      <c r="F10" t="b">
        <f>LTT_FUNC(A10,B10)</f>
        <v>0</v>
      </c>
      <c r="G10" t="b">
        <f>GTT_FUNC(A10,B10)</f>
        <v>0</v>
      </c>
    </row>
    <row r="11" spans="1:9">
      <c r="A11">
        <v>6</v>
      </c>
      <c r="B11">
        <v>5</v>
      </c>
      <c r="C11" t="b">
        <f>EQUALT_FUNC(A11,B11)</f>
        <v>0</v>
      </c>
      <c r="D11" t="b">
        <f>LTEQUALT_FUNC(A11,B11)</f>
        <v>0</v>
      </c>
      <c r="E11" t="b">
        <f>GTEQUALT_FUNC(A11,B11)</f>
        <v>1</v>
      </c>
      <c r="F11" t="b">
        <f>LTT_FUNC(A11,B11)</f>
        <v>0</v>
      </c>
      <c r="G11" t="b">
        <f>GTT_FUNC(A11,B11)</f>
        <v>1</v>
      </c>
    </row>
    <row r="12" spans="1:9">
      <c r="A12">
        <v>5</v>
      </c>
      <c r="B12">
        <f>5+H12</f>
        <v>5.0000000000010001</v>
      </c>
      <c r="C12" t="b">
        <f>EQUALT_FUNC(A12,B12)</f>
        <v>0</v>
      </c>
      <c r="D12" t="b">
        <f>LTEQUALT_FUNC(A12,B12)</f>
        <v>1</v>
      </c>
      <c r="E12" t="b">
        <f>GTEQUALT_FUNC(A12,B12)</f>
        <v>0</v>
      </c>
      <c r="F12" t="b">
        <f>LTT_FUNC(A12,B12)</f>
        <v>1</v>
      </c>
      <c r="G12" t="b">
        <f>GTT_FUNC(A12,B12)</f>
        <v>0</v>
      </c>
      <c r="H12">
        <v>9.9999999999999998E-13</v>
      </c>
    </row>
    <row r="13" spans="1:9">
      <c r="A13">
        <v>5</v>
      </c>
      <c r="B13">
        <f>5+H13</f>
        <v>5.0000000000010001</v>
      </c>
      <c r="C13" t="b">
        <f>EQUALT_FUNC(A13,B13,I13)</f>
        <v>1</v>
      </c>
      <c r="D13" t="b">
        <f>LTEQUALT_FUNC(A13,B13)</f>
        <v>1</v>
      </c>
      <c r="E13" t="b">
        <f>GTEQUALT_FUNC(A13,B13)</f>
        <v>0</v>
      </c>
      <c r="F13" t="b">
        <f>LTT_FUNC(A13,B13,I13)</f>
        <v>0</v>
      </c>
      <c r="G13" t="b">
        <f>GTT_FUNC(A13,B13,I13)</f>
        <v>0</v>
      </c>
      <c r="H13">
        <v>9.9999999999999998E-13</v>
      </c>
      <c r="I13">
        <v>9.9999999999999998E-13</v>
      </c>
    </row>
    <row r="14" spans="1:9">
      <c r="A14">
        <v>1E-306</v>
      </c>
      <c r="B14">
        <v>1.0000000000000001E-307</v>
      </c>
      <c r="C14" t="b">
        <f>EQUALT_FUNC(A14,B14,I14)</f>
        <v>1</v>
      </c>
      <c r="D14" t="b">
        <f>LTEQUALT_FUNC(A14,B14)</f>
        <v>1</v>
      </c>
      <c r="E14" t="b">
        <f>GTEQUALT_FUNC(A14,B14)</f>
        <v>1</v>
      </c>
      <c r="F14" t="b">
        <f>LTT_FUNC(A14,B14,I14)</f>
        <v>1</v>
      </c>
      <c r="G14" t="b">
        <f>GTT_FUNC(A14,B14,I14)</f>
        <v>1</v>
      </c>
    </row>
    <row r="20" spans="5:9">
      <c r="E20" t="s">
        <v>298</v>
      </c>
      <c r="F20" t="s">
        <v>298</v>
      </c>
    </row>
    <row r="21" spans="5:9">
      <c r="E21" t="s">
        <v>298</v>
      </c>
      <c r="F21" t="s">
        <v>298</v>
      </c>
    </row>
    <row r="22" spans="5:9">
      <c r="E22" t="s">
        <v>298</v>
      </c>
      <c r="F22" t="s">
        <v>298</v>
      </c>
      <c r="I22" t="s">
        <v>298</v>
      </c>
    </row>
    <row r="23" spans="5:9">
      <c r="E23" t="s">
        <v>298</v>
      </c>
      <c r="F23" t="s">
        <v>298</v>
      </c>
      <c r="I23" t="s">
        <v>298</v>
      </c>
    </row>
    <row r="24" spans="5:9">
      <c r="E24" t="s">
        <v>298</v>
      </c>
      <c r="F24" t="s">
        <v>298</v>
      </c>
      <c r="I24" t="s">
        <v>298</v>
      </c>
    </row>
    <row r="25" spans="5:9">
      <c r="E25" t="s">
        <v>298</v>
      </c>
      <c r="F25" t="s">
        <v>298</v>
      </c>
      <c r="I25" t="s">
        <v>298</v>
      </c>
    </row>
    <row r="26" spans="5:9">
      <c r="E26" t="s">
        <v>298</v>
      </c>
      <c r="F26" t="s">
        <v>298</v>
      </c>
      <c r="I26" t="s">
        <v>298</v>
      </c>
    </row>
    <row r="27" spans="5:9">
      <c r="E27" t="s">
        <v>298</v>
      </c>
      <c r="F27" t="s">
        <v>298</v>
      </c>
      <c r="I27" t="s">
        <v>298</v>
      </c>
    </row>
    <row r="28" spans="5:9">
      <c r="E28" t="s">
        <v>298</v>
      </c>
      <c r="F28" t="s">
        <v>298</v>
      </c>
      <c r="I28" t="s">
        <v>298</v>
      </c>
    </row>
    <row r="29" spans="5:9">
      <c r="E29" t="s">
        <v>298</v>
      </c>
      <c r="F29" t="s">
        <v>298</v>
      </c>
      <c r="I29" t="s">
        <v>298</v>
      </c>
    </row>
    <row r="30" spans="5:9">
      <c r="E30" t="s">
        <v>298</v>
      </c>
      <c r="F30" t="s">
        <v>298</v>
      </c>
      <c r="I30" t="s">
        <v>298</v>
      </c>
    </row>
    <row r="31" spans="5:9">
      <c r="E31" t="s">
        <v>298</v>
      </c>
      <c r="F31" t="s">
        <v>298</v>
      </c>
      <c r="I31" t="s">
        <v>298</v>
      </c>
    </row>
    <row r="32" spans="5:9">
      <c r="E32" t="s">
        <v>298</v>
      </c>
      <c r="F32" t="s">
        <v>298</v>
      </c>
      <c r="I32" t="s">
        <v>298</v>
      </c>
    </row>
    <row r="33" spans="5:9">
      <c r="E33" t="s">
        <v>298</v>
      </c>
      <c r="F33" t="s">
        <v>298</v>
      </c>
      <c r="I33" t="s">
        <v>298</v>
      </c>
    </row>
    <row r="34" spans="5:9">
      <c r="E34" t="s">
        <v>298</v>
      </c>
      <c r="F34" t="s">
        <v>298</v>
      </c>
      <c r="I34" t="s">
        <v>298</v>
      </c>
    </row>
    <row r="35" spans="5:9">
      <c r="I35" t="s">
        <v>298</v>
      </c>
    </row>
    <row r="36" spans="5:9">
      <c r="I36" t="s">
        <v>298</v>
      </c>
    </row>
    <row r="37" spans="5:9">
      <c r="I37" t="s">
        <v>298</v>
      </c>
    </row>
    <row r="38" spans="5:9">
      <c r="I38" t="s">
        <v>298</v>
      </c>
    </row>
    <row r="39" spans="5:9">
      <c r="I39" t="s">
        <v>298</v>
      </c>
    </row>
    <row r="40" spans="5:9">
      <c r="I40" t="s">
        <v>298</v>
      </c>
    </row>
    <row r="41" spans="5:9">
      <c r="I41" t="s">
        <v>298</v>
      </c>
    </row>
    <row r="42" spans="5:9">
      <c r="I42" t="s">
        <v>298</v>
      </c>
    </row>
    <row r="43" spans="5:9">
      <c r="I43" t="s">
        <v>298</v>
      </c>
    </row>
    <row r="44" spans="5:9">
      <c r="I44" t="s">
        <v>298</v>
      </c>
    </row>
    <row r="45" spans="5:9">
      <c r="I45" t="s">
        <v>298</v>
      </c>
    </row>
    <row r="46" spans="5:9">
      <c r="I46" t="s">
        <v>298</v>
      </c>
    </row>
    <row r="47" spans="5:9">
      <c r="I47" t="s">
        <v>298</v>
      </c>
    </row>
    <row r="48" spans="5:9">
      <c r="I48" t="s">
        <v>298</v>
      </c>
    </row>
    <row r="49" spans="9:9">
      <c r="I49" t="s">
        <v>298</v>
      </c>
    </row>
    <row r="50" spans="9:9">
      <c r="I50" t="s">
        <v>298</v>
      </c>
    </row>
    <row r="51" spans="9:9">
      <c r="I51" t="s">
        <v>298</v>
      </c>
    </row>
    <row r="52" spans="9:9">
      <c r="I52" t="s">
        <v>298</v>
      </c>
    </row>
    <row r="53" spans="9:9">
      <c r="I53" t="s">
        <v>298</v>
      </c>
    </row>
    <row r="54" spans="9:9">
      <c r="I54" t="s">
        <v>298</v>
      </c>
    </row>
    <row r="55" spans="9:9">
      <c r="I55" t="s">
        <v>298</v>
      </c>
    </row>
    <row r="56" spans="9:9">
      <c r="I56" t="s">
        <v>298</v>
      </c>
    </row>
    <row r="57" spans="9:9">
      <c r="I57" t="s">
        <v>298</v>
      </c>
    </row>
    <row r="58" spans="9:9">
      <c r="I58" t="s">
        <v>298</v>
      </c>
    </row>
    <row r="59" spans="9:9">
      <c r="I59" t="s">
        <v>298</v>
      </c>
    </row>
    <row r="60" spans="9:9">
      <c r="I60" t="s">
        <v>298</v>
      </c>
    </row>
    <row r="61" spans="9:9">
      <c r="I61" t="s">
        <v>298</v>
      </c>
    </row>
    <row r="62" spans="9:9">
      <c r="I62" t="s">
        <v>298</v>
      </c>
    </row>
    <row r="63" spans="9:9">
      <c r="I63" t="s">
        <v>298</v>
      </c>
    </row>
    <row r="64" spans="9:9">
      <c r="I64" t="s">
        <v>298</v>
      </c>
    </row>
    <row r="65" spans="9:9">
      <c r="I65" t="s">
        <v>298</v>
      </c>
    </row>
    <row r="66" spans="9:9">
      <c r="I66" t="s">
        <v>298</v>
      </c>
    </row>
    <row r="67" spans="9:9">
      <c r="I67" t="s">
        <v>298</v>
      </c>
    </row>
    <row r="68" spans="9:9">
      <c r="I68" t="s">
        <v>298</v>
      </c>
    </row>
    <row r="69" spans="9:9">
      <c r="I69" t="s">
        <v>298</v>
      </c>
    </row>
    <row r="70" spans="9:9">
      <c r="I70" t="s">
        <v>298</v>
      </c>
    </row>
    <row r="71" spans="9:9">
      <c r="I71" t="s">
        <v>298</v>
      </c>
    </row>
    <row r="72" spans="9:9">
      <c r="I72" t="s">
        <v>298</v>
      </c>
    </row>
  </sheetData>
  <pageMargins left="0.7" right="0.7" top="0.75" bottom="0.75" header="0.3" footer="0.3"/>
  <pageSetup paperSize="132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_DIFF_FUNC">
                <anchor moveWithCells="1" sizeWithCells="1">
                  <from>
                    <xdr:col>14</xdr:col>
                    <xdr:colOff>114300</xdr:colOff>
                    <xdr:row>0</xdr:row>
                    <xdr:rowOff>57150</xdr:rowOff>
                  </from>
                  <to>
                    <xdr:col>15</xdr:col>
                    <xdr:colOff>590550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est_Comparing_Floating_Point_Numbers">
                <anchor moveWithCells="1" sizeWithCells="1">
                  <from>
                    <xdr:col>14</xdr:col>
                    <xdr:colOff>133350</xdr:colOff>
                    <xdr:row>2</xdr:row>
                    <xdr:rowOff>133350</xdr:rowOff>
                  </from>
                  <to>
                    <xdr:col>15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M73"/>
  <sheetViews>
    <sheetView topLeftCell="A28" zoomScale="115" zoomScaleNormal="115" zoomScalePageLayoutView="115" workbookViewId="0">
      <selection activeCell="B55" sqref="B55"/>
    </sheetView>
  </sheetViews>
  <sheetFormatPr defaultColWidth="15.7109375" defaultRowHeight="11.25"/>
  <cols>
    <col min="1" max="1" width="3.7109375" style="121" customWidth="1"/>
    <col min="2" max="2" width="15.7109375" style="121"/>
    <col min="3" max="3" width="15.7109375" style="115"/>
    <col min="4" max="4" width="15.7109375" style="116"/>
    <col min="5" max="6" width="15.7109375" style="117"/>
    <col min="7" max="7" width="15.7109375" style="118"/>
    <col min="8" max="8" width="15.7109375" style="119"/>
    <col min="9" max="9" width="15.7109375" style="120"/>
    <col min="10" max="10" width="15.7109375" style="115"/>
    <col min="11" max="16384" width="15.7109375" style="121"/>
  </cols>
  <sheetData>
    <row r="1" spans="2:14" ht="18">
      <c r="B1" s="168" t="s">
        <v>76</v>
      </c>
    </row>
    <row r="3" spans="2:14">
      <c r="B3" s="123" t="s">
        <v>64</v>
      </c>
      <c r="C3" s="123"/>
      <c r="D3" s="124">
        <f ca="1">TODAY()</f>
        <v>41603</v>
      </c>
      <c r="E3" s="124">
        <f t="shared" ref="E3:N3" ca="1" si="0">DATE(YEAR(D3)+1,MONTH(D3),DAY(D3))</f>
        <v>41968</v>
      </c>
      <c r="F3" s="124">
        <f t="shared" ca="1" si="0"/>
        <v>42333</v>
      </c>
      <c r="G3" s="124">
        <f t="shared" ca="1" si="0"/>
        <v>42699</v>
      </c>
      <c r="H3" s="124">
        <f t="shared" ca="1" si="0"/>
        <v>43064</v>
      </c>
      <c r="I3" s="124">
        <f t="shared" ca="1" si="0"/>
        <v>43429</v>
      </c>
      <c r="J3" s="124">
        <f t="shared" ca="1" si="0"/>
        <v>43794</v>
      </c>
      <c r="K3" s="124">
        <f t="shared" ca="1" si="0"/>
        <v>44160</v>
      </c>
      <c r="L3" s="124">
        <f t="shared" ca="1" si="0"/>
        <v>44525</v>
      </c>
      <c r="M3" s="124">
        <f t="shared" ca="1" si="0"/>
        <v>44890</v>
      </c>
      <c r="N3" s="124">
        <f t="shared" ca="1" si="0"/>
        <v>45255</v>
      </c>
    </row>
    <row r="4" spans="2:14">
      <c r="B4" s="125"/>
      <c r="C4" s="125"/>
      <c r="D4" s="126">
        <v>0</v>
      </c>
      <c r="E4" s="126">
        <f t="shared" ref="E4:N4" si="1">D4+1</f>
        <v>1</v>
      </c>
      <c r="F4" s="126">
        <f t="shared" si="1"/>
        <v>2</v>
      </c>
      <c r="G4" s="126">
        <f t="shared" si="1"/>
        <v>3</v>
      </c>
      <c r="H4" s="126">
        <f t="shared" si="1"/>
        <v>4</v>
      </c>
      <c r="I4" s="126">
        <f t="shared" si="1"/>
        <v>5</v>
      </c>
      <c r="J4" s="126">
        <f t="shared" si="1"/>
        <v>6</v>
      </c>
      <c r="K4" s="126">
        <f t="shared" si="1"/>
        <v>7</v>
      </c>
      <c r="L4" s="126">
        <f t="shared" si="1"/>
        <v>8</v>
      </c>
      <c r="M4" s="126">
        <f t="shared" si="1"/>
        <v>9</v>
      </c>
      <c r="N4" s="126">
        <f t="shared" si="1"/>
        <v>10</v>
      </c>
    </row>
    <row r="5" spans="2:14">
      <c r="B5" s="127" t="s">
        <v>65</v>
      </c>
      <c r="C5" s="125"/>
      <c r="D5" s="128"/>
      <c r="E5" s="129">
        <f t="shared" ref="E5:N5" ca="1" si="2">(E$3-$D3)/365</f>
        <v>1</v>
      </c>
      <c r="F5" s="129">
        <f t="shared" ca="1" si="2"/>
        <v>2</v>
      </c>
      <c r="G5" s="129">
        <f t="shared" ca="1" si="2"/>
        <v>3.0027397260273974</v>
      </c>
      <c r="H5" s="129">
        <f t="shared" ca="1" si="2"/>
        <v>4.0027397260273974</v>
      </c>
      <c r="I5" s="129">
        <f t="shared" ca="1" si="2"/>
        <v>5.0027397260273974</v>
      </c>
      <c r="J5" s="129">
        <f t="shared" ca="1" si="2"/>
        <v>6.0027397260273974</v>
      </c>
      <c r="K5" s="129">
        <f t="shared" ca="1" si="2"/>
        <v>7.0054794520547947</v>
      </c>
      <c r="L5" s="129">
        <f t="shared" ca="1" si="2"/>
        <v>8.0054794520547947</v>
      </c>
      <c r="M5" s="129">
        <f t="shared" ca="1" si="2"/>
        <v>9.0054794520547947</v>
      </c>
      <c r="N5" s="129">
        <f t="shared" ca="1" si="2"/>
        <v>10.005479452054795</v>
      </c>
    </row>
    <row r="6" spans="2:14">
      <c r="B6" s="130" t="s">
        <v>66</v>
      </c>
      <c r="C6" s="125"/>
      <c r="D6" s="131">
        <v>-40000</v>
      </c>
      <c r="E6" s="132"/>
      <c r="F6" s="132"/>
      <c r="G6" s="132"/>
      <c r="H6" s="132"/>
      <c r="I6" s="132"/>
      <c r="J6" s="132"/>
      <c r="K6" s="132"/>
      <c r="L6" s="132"/>
      <c r="M6" s="132"/>
      <c r="N6" s="132"/>
    </row>
    <row r="7" spans="2:14">
      <c r="B7" s="130" t="s">
        <v>67</v>
      </c>
      <c r="C7" s="125"/>
      <c r="D7" s="131"/>
      <c r="E7" s="131">
        <v>0</v>
      </c>
      <c r="F7" s="131">
        <v>0</v>
      </c>
      <c r="G7" s="131">
        <v>0</v>
      </c>
      <c r="H7" s="131">
        <v>0</v>
      </c>
      <c r="I7" s="131">
        <v>0</v>
      </c>
      <c r="J7" s="131">
        <v>96.594006650624976</v>
      </c>
      <c r="K7" s="131">
        <v>0</v>
      </c>
      <c r="L7" s="131">
        <v>0</v>
      </c>
      <c r="M7" s="131">
        <v>0</v>
      </c>
      <c r="N7" s="131">
        <v>0</v>
      </c>
    </row>
    <row r="8" spans="2:14">
      <c r="B8" s="130" t="s">
        <v>68</v>
      </c>
      <c r="C8" s="125"/>
      <c r="D8" s="131"/>
      <c r="E8" s="131">
        <v>0</v>
      </c>
      <c r="F8" s="131">
        <v>0</v>
      </c>
      <c r="G8" s="131">
        <v>0</v>
      </c>
      <c r="H8" s="131">
        <v>0</v>
      </c>
      <c r="I8" s="131">
        <v>47700.744025</v>
      </c>
      <c r="J8" s="131">
        <v>2146.5334811249995</v>
      </c>
      <c r="K8" s="131">
        <v>0</v>
      </c>
      <c r="L8" s="131">
        <v>0</v>
      </c>
      <c r="M8" s="131">
        <v>0</v>
      </c>
      <c r="N8" s="131">
        <v>0</v>
      </c>
    </row>
    <row r="9" spans="2:14">
      <c r="B9" s="130" t="s">
        <v>69</v>
      </c>
      <c r="C9" s="125"/>
      <c r="D9" s="131"/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0</v>
      </c>
      <c r="L9" s="131">
        <v>0</v>
      </c>
      <c r="M9" s="131">
        <v>0</v>
      </c>
      <c r="N9" s="131">
        <v>0</v>
      </c>
    </row>
    <row r="10" spans="2:14">
      <c r="B10" s="130" t="s">
        <v>70</v>
      </c>
      <c r="C10" s="125"/>
      <c r="D10" s="131"/>
      <c r="E10" s="131">
        <v>0</v>
      </c>
      <c r="F10" s="131">
        <v>0</v>
      </c>
      <c r="G10" s="131">
        <v>0</v>
      </c>
      <c r="H10" s="131">
        <v>0</v>
      </c>
      <c r="I10" s="131">
        <v>0</v>
      </c>
      <c r="J10" s="131">
        <v>0</v>
      </c>
      <c r="K10" s="131">
        <v>0</v>
      </c>
      <c r="L10" s="131">
        <v>0</v>
      </c>
      <c r="M10" s="131">
        <v>121578.16724600636</v>
      </c>
      <c r="N10" s="131">
        <v>0</v>
      </c>
    </row>
    <row r="11" spans="2:14">
      <c r="B11" s="127" t="s">
        <v>71</v>
      </c>
      <c r="C11" s="133">
        <f>IF($C$13=FALSE,"-",IRR_FUNC($D11:$N11,,$C$14,1000,10^-10))</f>
        <v>0.21407383543701988</v>
      </c>
      <c r="D11" s="134">
        <f>D6</f>
        <v>-40000</v>
      </c>
      <c r="E11" s="134">
        <f t="shared" ref="E11:N11" si="3">SUM(E7:E10)</f>
        <v>0</v>
      </c>
      <c r="F11" s="134">
        <f t="shared" si="3"/>
        <v>0</v>
      </c>
      <c r="G11" s="134">
        <f t="shared" si="3"/>
        <v>0</v>
      </c>
      <c r="H11" s="134">
        <f t="shared" si="3"/>
        <v>0</v>
      </c>
      <c r="I11" s="134">
        <f t="shared" si="3"/>
        <v>47700.744025</v>
      </c>
      <c r="J11" s="134">
        <f t="shared" si="3"/>
        <v>2243.1274877756246</v>
      </c>
      <c r="K11" s="134">
        <f t="shared" si="3"/>
        <v>0</v>
      </c>
      <c r="L11" s="134">
        <f t="shared" si="3"/>
        <v>0</v>
      </c>
      <c r="M11" s="134">
        <f t="shared" si="3"/>
        <v>121578.16724600636</v>
      </c>
      <c r="N11" s="134">
        <f t="shared" si="3"/>
        <v>0</v>
      </c>
    </row>
    <row r="13" spans="2:14">
      <c r="B13" s="135" t="s">
        <v>62</v>
      </c>
      <c r="C13" s="136" t="b">
        <v>1</v>
      </c>
      <c r="E13" s="117">
        <f>NPV_FUNC(C11,D11:N11)</f>
        <v>-1.0913936421275139E-11</v>
      </c>
    </row>
    <row r="14" spans="2:14">
      <c r="B14" s="135" t="s">
        <v>63</v>
      </c>
      <c r="C14" s="137">
        <v>0.5</v>
      </c>
    </row>
    <row r="15" spans="2:14" ht="12" thickBot="1"/>
    <row r="16" spans="2:14" ht="12" thickTop="1">
      <c r="B16" s="138" t="s">
        <v>52</v>
      </c>
      <c r="C16" s="139" t="str">
        <f>TEXT(D11,"0.00")&amp;" + "&amp;TEXT(I11,"0.00")&amp;"*1/(1+x)^"&amp;TEXT(I4,"0")&amp;" + "&amp;TEXT(J11,"0.00")&amp;"*1/(1+x)^"&amp;TEXT(J4,"0")&amp;" + "&amp;TEXT(M11,"0.00")&amp;"*1/(1+x)^"&amp;TEXT(M4,"0")</f>
        <v>-40000.00 + 47700.74*1/(1+x)^5 + 2243.13*1/(1+x)^6 + 121578.17*1/(1+x)^9</v>
      </c>
      <c r="D16" s="140"/>
      <c r="E16" s="141"/>
      <c r="F16" s="141"/>
      <c r="G16" s="142"/>
      <c r="H16" s="121"/>
      <c r="I16" s="121"/>
      <c r="J16" s="121"/>
    </row>
    <row r="17" spans="1:39" ht="12" thickBot="1">
      <c r="B17" s="143" t="s">
        <v>53</v>
      </c>
      <c r="C17" s="144" t="str">
        <f>TEXT(I11*-I4,"0.00")&amp;"*1/(1+x)^"&amp;TEXT(I4+1,"0")&amp;" + "&amp;TEXT(J11*-J4,"0.00")&amp;"*1/(1+x)^"&amp;TEXT(J4+1,"0")&amp;" + "&amp;TEXT(M11*-M4,"0.00")&amp;"*1/(1+x)^"&amp;TEXT(M4+1,"0")</f>
        <v>-238503.72*1/(1+x)^6 + -13458.76*1/(1+x)^7 + -1094203.51*1/(1+x)^10</v>
      </c>
      <c r="D17" s="145"/>
      <c r="E17" s="146"/>
      <c r="F17" s="146"/>
      <c r="G17" s="147"/>
      <c r="H17" s="121"/>
      <c r="I17" s="121"/>
      <c r="J17" s="121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</row>
    <row r="18" spans="1:39" ht="12" thickTop="1">
      <c r="A18" s="112"/>
      <c r="B18" s="112"/>
      <c r="C18" s="112"/>
      <c r="D18" s="148"/>
      <c r="E18" s="149"/>
      <c r="F18" s="149"/>
      <c r="G18" s="112"/>
      <c r="H18" s="150" t="str">
        <f>SUBSTITUTE(C16,"x","xx")</f>
        <v>-40000.00 + 47700.74*1/(1+xx)^5 + 2243.13*1/(1+xx)^6 + 121578.17*1/(1+xx)^9</v>
      </c>
      <c r="J18" s="112"/>
      <c r="K18" s="11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</row>
    <row r="19" spans="1:39" ht="12" thickBot="1">
      <c r="A19" s="112"/>
      <c r="D19" s="160" t="s">
        <v>54</v>
      </c>
      <c r="E19" s="161" t="s">
        <v>55</v>
      </c>
      <c r="F19" s="161" t="s">
        <v>56</v>
      </c>
      <c r="G19" s="112"/>
      <c r="H19" s="112" t="s">
        <v>57</v>
      </c>
      <c r="I19" s="120">
        <f>(I21-I20)/50</f>
        <v>8.0000000000000002E-3</v>
      </c>
      <c r="J19" s="112"/>
      <c r="K19" s="11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</row>
    <row r="20" spans="1:39" ht="12.75" thickTop="1" thickBot="1">
      <c r="A20" s="112"/>
      <c r="D20" s="151">
        <v>0.2</v>
      </c>
      <c r="E20" s="108">
        <f>-40000 + 47700.74*1/(1+x)^5 + 2243.13*1/(1+x)^6 + 121578.17*1/(1+x)^9</f>
        <v>3483.741128056452</v>
      </c>
      <c r="F20" s="109">
        <f>-238503.72*1/(1+x)^6 + -13458.76*1/(1+x)^7 + -1094203.51*1/(1+x)^10</f>
        <v>-260350.48185193242</v>
      </c>
      <c r="G20" s="112"/>
      <c r="H20" s="152" t="s">
        <v>58</v>
      </c>
      <c r="I20" s="153">
        <v>0.1</v>
      </c>
      <c r="J20" s="112"/>
      <c r="K20" s="11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</row>
    <row r="21" spans="1:39" ht="12.75" thickTop="1" thickBot="1">
      <c r="A21" s="112"/>
      <c r="B21" s="112"/>
      <c r="C21" s="112"/>
      <c r="D21" s="110">
        <f>D20-E20/F20</f>
        <v>0.21338096670025655</v>
      </c>
      <c r="E21" s="108">
        <f>-40000 + 47700.74*1/(1+x)^5 + 2243.13*1/(1+x)^6 + 121578.17*1/(1+x)^9</f>
        <v>163.37395282251964</v>
      </c>
      <c r="F21" s="109">
        <f>-238503.72*1/(1+x)^6 + -13458.76*1/(1+x)^7 + -1094203.51*1/(1+x)^10</f>
        <v>-236379.30713768391</v>
      </c>
      <c r="G21" s="112"/>
      <c r="H21" s="154" t="s">
        <v>59</v>
      </c>
      <c r="I21" s="155">
        <v>0.5</v>
      </c>
      <c r="J21" s="112"/>
      <c r="K21" s="160"/>
      <c r="L21" s="161"/>
      <c r="M21" s="161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</row>
    <row r="22" spans="1:39" ht="12" thickTop="1">
      <c r="A22" s="112"/>
      <c r="B22" s="112"/>
      <c r="C22" s="112"/>
      <c r="D22" s="111">
        <f t="shared" ref="D22:D34" si="4">D21-E21/F21</f>
        <v>0.21407211837000639</v>
      </c>
      <c r="E22" s="108">
        <f>-40000 + 47700.74*1/(1+x)^5 + 2243.13*1/(1+x)^6 + 121578.17*1/(1+x)^9</f>
        <v>0.40362584379909094</v>
      </c>
      <c r="F22" s="109">
        <f>-238503.72*1/(1+x)^6 + -13458.76*1/(1+x)^7 + -1094203.51*1/(1+x)^10</f>
        <v>-235212.44053815713</v>
      </c>
      <c r="G22" s="112"/>
      <c r="H22" s="166">
        <f>I20</f>
        <v>0.1</v>
      </c>
      <c r="I22" s="165">
        <f>-40000 + 47700.74*1/(1+xx)^5 + 2243.13*1/(1+xx)^6 + 121578.17*1/(1+xx)^9</f>
        <v>42445.607341507348</v>
      </c>
      <c r="J22" s="112"/>
      <c r="K22" s="162"/>
      <c r="L22" s="164"/>
      <c r="M22" s="164"/>
      <c r="AG22" s="122"/>
      <c r="AH22" s="128"/>
      <c r="AI22" s="122"/>
      <c r="AJ22" s="122"/>
      <c r="AK22" s="122"/>
      <c r="AL22" s="122"/>
      <c r="AM22" s="122"/>
    </row>
    <row r="23" spans="1:39">
      <c r="A23" s="112"/>
      <c r="B23" s="112"/>
      <c r="C23" s="112"/>
      <c r="D23" s="111">
        <f t="shared" si="4"/>
        <v>0.21407383437551561</v>
      </c>
      <c r="E23" s="108">
        <f>-40000 + 47700.74*1/(1+x)^5 + 2243.13*1/(1+x)^6 + 121578.17*1/(1+x)^9</f>
        <v>2.4756081984378397E-6</v>
      </c>
      <c r="F23" s="109">
        <f>-238503.72*1/(1+x)^6 + -13458.76*1/(1+x)^7 + -1094203.51*1/(1+x)^10</f>
        <v>-235209.55175305143</v>
      </c>
      <c r="G23" s="112"/>
      <c r="H23" s="166">
        <f>H22+dx</f>
        <v>0.10800000000000001</v>
      </c>
      <c r="I23" s="165">
        <f>-40000 + 47700.74*1/(1+xx)^5 + 2243.13*1/(1+xx)^6 + 121578.17*1/(1+xx)^9</f>
        <v>38082.426497125889</v>
      </c>
      <c r="J23" s="112"/>
      <c r="K23" s="162"/>
      <c r="L23" s="164"/>
      <c r="M23" s="164"/>
      <c r="AG23" s="122"/>
      <c r="AH23" s="128"/>
      <c r="AI23" s="122"/>
      <c r="AJ23" s="122"/>
      <c r="AK23" s="122"/>
      <c r="AL23" s="122"/>
      <c r="AM23" s="122"/>
    </row>
    <row r="24" spans="1:39">
      <c r="A24" s="112"/>
      <c r="B24" s="112"/>
      <c r="C24" s="112"/>
      <c r="D24" s="111">
        <f t="shared" si="4"/>
        <v>0.21407383438604072</v>
      </c>
      <c r="E24" s="108">
        <f>-40000 + 47700.74*1/(1+x)^5 + 2243.13*1/(1+x)^6 + 121578.17*1/(1+x)^9</f>
        <v>0</v>
      </c>
      <c r="F24" s="109">
        <f>-238503.72*1/(1+x)^6 + -13458.76*1/(1+x)^7 + -1094203.51*1/(1+x)^10</f>
        <v>-235209.55173533314</v>
      </c>
      <c r="G24" s="112"/>
      <c r="H24" s="166">
        <f t="shared" ref="H24:H72" si="5">H23+dx</f>
        <v>0.11600000000000002</v>
      </c>
      <c r="I24" s="165">
        <f>-40000 + 47700.74*1/(1+xx)^5 + 2243.13*1/(1+xx)^6 + 121578.17*1/(1+xx)^9</f>
        <v>33993.357226299275</v>
      </c>
      <c r="J24" s="112"/>
      <c r="K24" s="162"/>
      <c r="L24" s="164"/>
      <c r="M24" s="164"/>
      <c r="AG24" s="122"/>
      <c r="AH24" s="128"/>
      <c r="AI24" s="122"/>
      <c r="AJ24" s="122"/>
      <c r="AK24" s="122"/>
      <c r="AL24" s="122"/>
      <c r="AM24" s="122"/>
    </row>
    <row r="25" spans="1:39">
      <c r="A25" s="115"/>
      <c r="B25" s="112"/>
      <c r="C25" s="112"/>
      <c r="D25" s="111">
        <f t="shared" si="4"/>
        <v>0.21407383438604072</v>
      </c>
      <c r="E25" s="108">
        <f>-40000 + 47700.74*1/(1+x)^5 + 2243.13*1/(1+x)^6 + 121578.17*1/(1+x)^9</f>
        <v>0</v>
      </c>
      <c r="F25" s="109">
        <f>-238503.72*1/(1+x)^6 + -13458.76*1/(1+x)^7 + -1094203.51*1/(1+x)^10</f>
        <v>-235209.55173533314</v>
      </c>
      <c r="G25" s="156"/>
      <c r="H25" s="166">
        <f t="shared" si="5"/>
        <v>0.12400000000000003</v>
      </c>
      <c r="I25" s="165">
        <f>-40000 + 47700.74*1/(1+xx)^5 + 2243.13*1/(1+xx)^6 + 121578.17*1/(1+xx)^9</f>
        <v>30158.800235706669</v>
      </c>
      <c r="J25" s="112"/>
      <c r="K25" s="163"/>
      <c r="L25" s="164"/>
      <c r="M25" s="164"/>
      <c r="AG25" s="122"/>
      <c r="AH25" s="128"/>
      <c r="AI25" s="128"/>
      <c r="AJ25" s="128"/>
      <c r="AK25" s="122"/>
      <c r="AL25" s="122"/>
      <c r="AM25" s="122"/>
    </row>
    <row r="26" spans="1:39">
      <c r="A26" s="115"/>
      <c r="B26" s="112"/>
      <c r="C26" s="112"/>
      <c r="D26" s="111">
        <f t="shared" si="4"/>
        <v>0.21407383438604072</v>
      </c>
      <c r="E26" s="108">
        <f>-40000 + 47700.74*1/(1+x)^5 + 2243.13*1/(1+x)^6 + 121578.17*1/(1+x)^9</f>
        <v>0</v>
      </c>
      <c r="F26" s="109">
        <f>-238503.72*1/(1+x)^6 + -13458.76*1/(1+x)^7 + -1094203.51*1/(1+x)^10</f>
        <v>-235209.55173533314</v>
      </c>
      <c r="G26" s="156"/>
      <c r="H26" s="166">
        <f t="shared" si="5"/>
        <v>0.13200000000000003</v>
      </c>
      <c r="I26" s="165">
        <f>-40000 + 47700.74*1/(1+xx)^5 + 2243.13*1/(1+xx)^6 + 121578.17*1/(1+xx)^9</f>
        <v>26560.710420370808</v>
      </c>
      <c r="J26" s="112"/>
      <c r="K26" s="163"/>
      <c r="L26" s="164"/>
      <c r="M26" s="164"/>
      <c r="AG26" s="122"/>
      <c r="AH26" s="128"/>
      <c r="AI26" s="128"/>
      <c r="AJ26" s="128"/>
      <c r="AK26" s="122"/>
      <c r="AL26" s="122"/>
      <c r="AM26" s="122"/>
    </row>
    <row r="27" spans="1:39">
      <c r="A27" s="115"/>
      <c r="B27" s="112"/>
      <c r="C27" s="112"/>
      <c r="D27" s="111">
        <f t="shared" si="4"/>
        <v>0.21407383438604072</v>
      </c>
      <c r="E27" s="108">
        <f>-40000 + 47700.74*1/(1+x)^5 + 2243.13*1/(1+x)^6 + 121578.17*1/(1+x)^9</f>
        <v>0</v>
      </c>
      <c r="F27" s="109">
        <f>-238503.72*1/(1+x)^6 + -13458.76*1/(1+x)^7 + -1094203.51*1/(1+x)^10</f>
        <v>-235209.55173533314</v>
      </c>
      <c r="G27" s="156"/>
      <c r="H27" s="166">
        <f t="shared" si="5"/>
        <v>0.14000000000000004</v>
      </c>
      <c r="I27" s="165">
        <f>-40000 + 47700.74*1/(1+xx)^5 + 2243.13*1/(1+xx)^6 + 121578.17*1/(1+xx)^9</f>
        <v>23182.462427836665</v>
      </c>
      <c r="J27" s="112"/>
      <c r="K27" s="163"/>
      <c r="L27" s="164"/>
      <c r="M27" s="164"/>
      <c r="AG27" s="122"/>
      <c r="AH27" s="128"/>
      <c r="AI27" s="128"/>
      <c r="AJ27" s="128"/>
      <c r="AK27" s="122"/>
      <c r="AL27" s="122"/>
      <c r="AM27" s="122"/>
    </row>
    <row r="28" spans="1:39">
      <c r="A28" s="115"/>
      <c r="B28" s="112"/>
      <c r="C28" s="112"/>
      <c r="D28" s="111">
        <f t="shared" si="4"/>
        <v>0.21407383438604072</v>
      </c>
      <c r="E28" s="108">
        <f>-40000 + 47700.74*1/(1+x)^5 + 2243.13*1/(1+x)^6 + 121578.17*1/(1+x)^9</f>
        <v>0</v>
      </c>
      <c r="F28" s="109">
        <f>-238503.72*1/(1+x)^6 + -13458.76*1/(1+x)^7 + -1094203.51*1/(1+x)^10</f>
        <v>-235209.55173533314</v>
      </c>
      <c r="G28" s="156"/>
      <c r="H28" s="166">
        <f t="shared" si="5"/>
        <v>0.14800000000000005</v>
      </c>
      <c r="I28" s="165">
        <f>-40000 + 47700.74*1/(1+xx)^5 + 2243.13*1/(1+xx)^6 + 121578.17*1/(1+xx)^9</f>
        <v>20008.728764456137</v>
      </c>
      <c r="J28" s="112"/>
      <c r="K28" s="163"/>
      <c r="L28" s="164"/>
      <c r="M28" s="164"/>
      <c r="AG28" s="122"/>
      <c r="AH28" s="128"/>
      <c r="AI28" s="128"/>
      <c r="AJ28" s="128"/>
      <c r="AK28" s="122"/>
      <c r="AL28" s="122"/>
      <c r="AM28" s="122"/>
    </row>
    <row r="29" spans="1:39">
      <c r="A29" s="115"/>
      <c r="B29" s="112"/>
      <c r="C29" s="112"/>
      <c r="D29" s="111">
        <f t="shared" si="4"/>
        <v>0.21407383438604072</v>
      </c>
      <c r="E29" s="108">
        <f>-40000 + 47700.74*1/(1+x)^5 + 2243.13*1/(1+x)^6 + 121578.17*1/(1+x)^9</f>
        <v>0</v>
      </c>
      <c r="F29" s="109">
        <f>-238503.72*1/(1+x)^6 + -13458.76*1/(1+x)^7 + -1094203.51*1/(1+x)^10</f>
        <v>-235209.55173533314</v>
      </c>
      <c r="G29" s="156"/>
      <c r="H29" s="166">
        <f t="shared" si="5"/>
        <v>0.15600000000000006</v>
      </c>
      <c r="I29" s="165">
        <f>-40000 + 47700.74*1/(1+xx)^5 + 2243.13*1/(1+xx)^6 + 121578.17*1/(1+xx)^9</f>
        <v>17025.369192030015</v>
      </c>
      <c r="J29" s="112"/>
      <c r="K29" s="163"/>
      <c r="L29" s="164"/>
      <c r="M29" s="164"/>
      <c r="AG29" s="122"/>
      <c r="AH29" s="128"/>
      <c r="AI29" s="128"/>
      <c r="AJ29" s="128"/>
      <c r="AK29" s="122"/>
      <c r="AL29" s="122"/>
      <c r="AM29" s="122"/>
    </row>
    <row r="30" spans="1:39">
      <c r="C30" s="112"/>
      <c r="D30" s="111">
        <f t="shared" si="4"/>
        <v>0.21407383438604072</v>
      </c>
      <c r="E30" s="108">
        <f>-40000 + 47700.74*1/(1+x)^5 + 2243.13*1/(1+x)^6 + 121578.17*1/(1+x)^9</f>
        <v>0</v>
      </c>
      <c r="F30" s="109">
        <f>-238503.72*1/(1+x)^6 + -13458.76*1/(1+x)^7 + -1094203.51*1/(1+x)^10</f>
        <v>-235209.55173533314</v>
      </c>
      <c r="G30" s="156"/>
      <c r="H30" s="166">
        <f t="shared" si="5"/>
        <v>0.16400000000000006</v>
      </c>
      <c r="I30" s="165">
        <f>-40000 + 47700.74*1/(1+xx)^5 + 2243.13*1/(1+xx)^6 + 121578.17*1/(1+xx)^9</f>
        <v>14219.330295869313</v>
      </c>
      <c r="K30" s="163"/>
      <c r="L30" s="164"/>
      <c r="M30" s="164"/>
      <c r="AG30" s="122"/>
      <c r="AH30" s="128"/>
      <c r="AI30" s="128"/>
      <c r="AJ30" s="128"/>
      <c r="AK30" s="122"/>
      <c r="AL30" s="122"/>
      <c r="AM30" s="122"/>
    </row>
    <row r="31" spans="1:39">
      <c r="C31" s="112"/>
      <c r="D31" s="111">
        <f t="shared" si="4"/>
        <v>0.21407383438604072</v>
      </c>
      <c r="E31" s="108">
        <f>-40000 + 47700.74*1/(1+x)^5 + 2243.13*1/(1+x)^6 + 121578.17*1/(1+x)^9</f>
        <v>0</v>
      </c>
      <c r="F31" s="109">
        <f>-238503.72*1/(1+x)^6 + -13458.76*1/(1+x)^7 + -1094203.51*1/(1+x)^10</f>
        <v>-235209.55173533314</v>
      </c>
      <c r="G31" s="156"/>
      <c r="H31" s="166">
        <f t="shared" si="5"/>
        <v>0.17200000000000007</v>
      </c>
      <c r="I31" s="165">
        <f>-40000 + 47700.74*1/(1+xx)^5 + 2243.13*1/(1+xx)^6 + 121578.17*1/(1+xx)^9</f>
        <v>11578.554223245315</v>
      </c>
      <c r="K31" s="163"/>
      <c r="L31" s="164"/>
      <c r="M31" s="164"/>
      <c r="T31" s="122"/>
      <c r="U31" s="122"/>
      <c r="V31" s="122"/>
      <c r="W31" s="122"/>
      <c r="X31" s="122"/>
      <c r="Y31" s="122"/>
      <c r="Z31" s="122"/>
      <c r="AA31" s="122"/>
      <c r="AB31" s="157"/>
      <c r="AC31" s="122"/>
      <c r="AD31" s="122"/>
      <c r="AE31" s="157"/>
      <c r="AF31" s="122"/>
      <c r="AG31" s="122"/>
      <c r="AH31" s="128"/>
      <c r="AI31" s="128"/>
      <c r="AJ31" s="128"/>
      <c r="AK31" s="122"/>
      <c r="AL31" s="122"/>
      <c r="AM31" s="122"/>
    </row>
    <row r="32" spans="1:39">
      <c r="D32" s="111">
        <f t="shared" si="4"/>
        <v>0.21407383438604072</v>
      </c>
      <c r="E32" s="108">
        <f>-40000 + 47700.74*1/(1+x)^5 + 2243.13*1/(1+x)^6 + 121578.17*1/(1+x)^9</f>
        <v>0</v>
      </c>
      <c r="F32" s="109">
        <f>-238503.72*1/(1+x)^6 + -13458.76*1/(1+x)^7 + -1094203.51*1/(1+x)^10</f>
        <v>-235209.55173533314</v>
      </c>
      <c r="G32" s="156"/>
      <c r="H32" s="166">
        <f t="shared" si="5"/>
        <v>0.18000000000000008</v>
      </c>
      <c r="I32" s="165">
        <f>-40000 + 47700.74*1/(1+xx)^5 + 2243.13*1/(1+xx)^6 + 121578.17*1/(1+xx)^9</f>
        <v>9091.8956959604329</v>
      </c>
      <c r="K32" s="163"/>
      <c r="L32" s="164"/>
      <c r="M32" s="164"/>
      <c r="T32" s="127"/>
      <c r="U32" s="158"/>
      <c r="V32" s="128"/>
      <c r="W32" s="128"/>
      <c r="X32" s="128"/>
      <c r="Y32" s="128"/>
      <c r="Z32" s="122"/>
      <c r="AA32" s="122"/>
      <c r="AB32" s="128"/>
      <c r="AC32" s="128"/>
      <c r="AD32" s="128"/>
      <c r="AE32" s="128"/>
      <c r="AF32" s="128"/>
      <c r="AG32" s="122"/>
      <c r="AH32" s="128"/>
      <c r="AI32" s="128"/>
      <c r="AJ32" s="128"/>
      <c r="AK32" s="122"/>
      <c r="AL32" s="122"/>
      <c r="AM32" s="122"/>
    </row>
    <row r="33" spans="3:39">
      <c r="C33" s="159" t="s">
        <v>60</v>
      </c>
      <c r="D33" s="111">
        <f t="shared" si="4"/>
        <v>0.21407383438604072</v>
      </c>
      <c r="E33" s="108">
        <f>-40000 + 47700.74*1/(1+x)^5 + 2243.13*1/(1+x)^6 + 121578.17*1/(1+x)^9</f>
        <v>0</v>
      </c>
      <c r="F33" s="109">
        <f>-238503.72*1/(1+x)^6 + -13458.76*1/(1+x)^7 + -1094203.51*1/(1+x)^10</f>
        <v>-235209.55173533314</v>
      </c>
      <c r="G33" s="156"/>
      <c r="H33" s="166">
        <f t="shared" si="5"/>
        <v>0.18800000000000008</v>
      </c>
      <c r="I33" s="165">
        <f>-40000 + 47700.74*1/(1+xx)^5 + 2243.13*1/(1+xx)^6 + 121578.17*1/(1+xx)^9</f>
        <v>6749.0464939334088</v>
      </c>
      <c r="K33" s="163"/>
      <c r="L33" s="164"/>
      <c r="M33" s="164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</row>
    <row r="34" spans="3:39">
      <c r="C34" s="159" t="s">
        <v>61</v>
      </c>
      <c r="D34" s="111">
        <f t="shared" si="4"/>
        <v>0.21407383438604072</v>
      </c>
      <c r="E34" s="108">
        <f>-40000 + 47700.74*1/(1+x)^5 + 2243.13*1/(1+x)^6 + 121578.17*1/(1+x)^9</f>
        <v>0</v>
      </c>
      <c r="F34" s="109">
        <f>-238503.72*1/(1+x)^6 + -13458.76*1/(1+x)^7 + -1094203.51*1/(1+x)^10</f>
        <v>-235209.55173533314</v>
      </c>
      <c r="G34" s="156"/>
      <c r="H34" s="166">
        <f t="shared" si="5"/>
        <v>0.19600000000000009</v>
      </c>
      <c r="I34" s="165">
        <f>-40000 + 47700.74*1/(1+xx)^5 + 2243.13*1/(1+xx)^6 + 121578.17*1/(1+xx)^9</f>
        <v>4540.4666896099079</v>
      </c>
      <c r="K34" s="163"/>
      <c r="L34" s="164"/>
      <c r="M34" s="164"/>
      <c r="T34" s="114" t="s">
        <v>72</v>
      </c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</row>
    <row r="35" spans="3:39">
      <c r="G35" s="156"/>
      <c r="H35" s="166">
        <f t="shared" si="5"/>
        <v>0.2040000000000001</v>
      </c>
      <c r="I35" s="165">
        <f>-40000 + 47700.74*1/(1+xx)^5 + 2243.13*1/(1+xx)^6 + 121578.17*1/(1+xx)^9</f>
        <v>2457.3219868648266</v>
      </c>
      <c r="K35" s="163"/>
      <c r="L35" s="164"/>
      <c r="M35" s="164"/>
    </row>
    <row r="36" spans="3:39">
      <c r="C36" s="121"/>
      <c r="D36" s="160" t="str">
        <f t="array" ref="D36:F51">IF($C$13=FALSE,"-",NEWTON_CHARACTERISTICS_SOLVER_FUNC(C16,C17,D20,15,0))</f>
        <v>x</v>
      </c>
      <c r="E36" s="161" t="str">
        <v>f(x)</v>
      </c>
      <c r="F36" s="161" t="str">
        <v>f'(x)</v>
      </c>
      <c r="G36" s="156"/>
      <c r="H36" s="166">
        <f t="shared" si="5"/>
        <v>0.21200000000000011</v>
      </c>
      <c r="I36" s="165">
        <f>-40000 + 47700.74*1/(1+xx)^5 + 2243.13*1/(1+xx)^6 + 121578.17*1/(1+xx)^9</f>
        <v>491.42658390390716</v>
      </c>
      <c r="K36" s="163"/>
      <c r="L36" s="164"/>
      <c r="M36" s="164"/>
    </row>
    <row r="37" spans="3:39">
      <c r="C37" s="121"/>
      <c r="D37" s="162">
        <v>0.2</v>
      </c>
      <c r="E37" s="164">
        <v>3483.741128056452</v>
      </c>
      <c r="F37" s="164">
        <v>-260350.48185193242</v>
      </c>
      <c r="G37" s="156"/>
      <c r="H37" s="166">
        <f t="shared" si="5"/>
        <v>0.22000000000000011</v>
      </c>
      <c r="I37" s="165">
        <f>-40000 + 47700.74*1/(1+xx)^5 + 2243.13*1/(1+xx)^6 + 121578.17*1/(1+xx)^9</f>
        <v>-1364.8089615866447</v>
      </c>
      <c r="K37" s="163"/>
      <c r="L37" s="164"/>
      <c r="M37" s="164"/>
      <c r="U37" s="122"/>
      <c r="V37" s="122"/>
      <c r="W37" s="122"/>
      <c r="X37" s="122"/>
      <c r="Y37" s="122"/>
      <c r="Z37" s="122"/>
      <c r="AA37" s="122"/>
      <c r="AB37" s="122"/>
    </row>
    <row r="38" spans="3:39">
      <c r="C38" s="121"/>
      <c r="D38" s="162">
        <v>0.21338096670025655</v>
      </c>
      <c r="E38" s="164">
        <v>163.37395282239959</v>
      </c>
      <c r="F38" s="164">
        <v>-236379.30713768306</v>
      </c>
      <c r="G38" s="156"/>
      <c r="H38" s="166">
        <f t="shared" si="5"/>
        <v>0.22800000000000012</v>
      </c>
      <c r="I38" s="165">
        <f>-40000 + 47700.74*1/(1+xx)^5 + 2243.13*1/(1+xx)^6 + 121578.17*1/(1+xx)^9</f>
        <v>-3118.4253343454584</v>
      </c>
      <c r="K38" s="163"/>
      <c r="L38" s="164"/>
      <c r="M38" s="164"/>
      <c r="U38" s="122"/>
      <c r="V38" s="122"/>
      <c r="W38" s="122"/>
      <c r="X38" s="122"/>
      <c r="Y38" s="122"/>
      <c r="Z38" s="122"/>
      <c r="AA38" s="122"/>
      <c r="AB38" s="122"/>
    </row>
    <row r="39" spans="3:39">
      <c r="C39" s="121"/>
      <c r="D39" s="162">
        <v>0.21407211837000589</v>
      </c>
      <c r="E39" s="164">
        <v>0.40362584391186829</v>
      </c>
      <c r="F39" s="164">
        <v>-235212.44053815794</v>
      </c>
      <c r="G39" s="156"/>
      <c r="H39" s="166">
        <f t="shared" si="5"/>
        <v>0.23600000000000013</v>
      </c>
      <c r="I39" s="165">
        <f>-40000 + 47700.74*1/(1+xx)^5 + 2243.13*1/(1+xx)^6 + 121578.17*1/(1+xx)^9</f>
        <v>-4775.9579529313924</v>
      </c>
      <c r="K39" s="163"/>
      <c r="L39" s="164"/>
      <c r="M39" s="164"/>
      <c r="U39" s="122"/>
      <c r="V39" s="122"/>
      <c r="W39" s="122"/>
      <c r="X39" s="122"/>
      <c r="Y39" s="122"/>
      <c r="Z39" s="122"/>
      <c r="AA39" s="122"/>
      <c r="AB39" s="122"/>
    </row>
    <row r="40" spans="3:39">
      <c r="C40" s="121"/>
      <c r="D40" s="163">
        <v>0.21407383437551558</v>
      </c>
      <c r="E40" s="164">
        <v>2.4754881451372057E-6</v>
      </c>
      <c r="F40" s="164">
        <v>-235209.55175305059</v>
      </c>
      <c r="H40" s="166">
        <f t="shared" si="5"/>
        <v>0.24400000000000013</v>
      </c>
      <c r="I40" s="165">
        <f>-40000 + 47700.74*1/(1+xx)^5 + 2243.13*1/(1+xx)^6 + 121578.17*1/(1+xx)^9</f>
        <v>-6343.4767311340693</v>
      </c>
      <c r="K40" s="163"/>
      <c r="L40" s="164"/>
      <c r="M40" s="164"/>
      <c r="U40" s="122"/>
      <c r="V40" s="122"/>
      <c r="W40" s="122"/>
      <c r="X40" s="122"/>
      <c r="Y40" s="122"/>
      <c r="Z40" s="122"/>
      <c r="AA40" s="122"/>
      <c r="AB40" s="122"/>
    </row>
    <row r="41" spans="3:39">
      <c r="C41" s="121"/>
      <c r="D41" s="163">
        <v>0.21407383438604019</v>
      </c>
      <c r="E41" s="164">
        <v>1.3460521586239338E-10</v>
      </c>
      <c r="F41" s="164">
        <v>-235209.55173533416</v>
      </c>
      <c r="H41" s="166">
        <f t="shared" si="5"/>
        <v>0.25200000000000011</v>
      </c>
      <c r="I41" s="165">
        <f>-40000 + 47700.74*1/(1+xx)^5 + 2243.13*1/(1+xx)^6 + 121578.17*1/(1+xx)^9</f>
        <v>-7826.6224524160807</v>
      </c>
      <c r="K41" s="163"/>
      <c r="L41" s="164"/>
      <c r="M41" s="164"/>
      <c r="U41" s="122"/>
      <c r="V41" s="122"/>
      <c r="W41" s="122"/>
      <c r="X41" s="122"/>
      <c r="Y41" s="122"/>
      <c r="Z41" s="122"/>
      <c r="AA41" s="122"/>
      <c r="AB41" s="122"/>
    </row>
    <row r="42" spans="3:39">
      <c r="C42" s="121"/>
      <c r="D42" s="163">
        <v>0.21407383438604077</v>
      </c>
      <c r="E42" s="164">
        <v>-1.3096723705530167E-10</v>
      </c>
      <c r="F42" s="164">
        <v>-235209.55173533229</v>
      </c>
      <c r="H42" s="166">
        <f t="shared" si="5"/>
        <v>0.26000000000000012</v>
      </c>
      <c r="I42" s="165">
        <f>-40000 + 47700.74*1/(1+xx)^5 + 2243.13*1/(1+xx)^6 + 121578.17*1/(1+xx)^9</f>
        <v>-9230.6400668107835</v>
      </c>
      <c r="K42" s="163"/>
      <c r="L42" s="164"/>
      <c r="M42" s="164"/>
      <c r="T42" s="122"/>
      <c r="U42" s="122"/>
      <c r="V42" s="122"/>
      <c r="W42" s="122"/>
      <c r="X42" s="122"/>
      <c r="Y42" s="122"/>
      <c r="Z42" s="122"/>
      <c r="AA42" s="122"/>
      <c r="AB42" s="122"/>
    </row>
    <row r="43" spans="3:39">
      <c r="C43" s="121"/>
      <c r="D43" s="163">
        <v>0.21407383438604022</v>
      </c>
      <c r="E43" s="164">
        <v>1.3460521586239338E-10</v>
      </c>
      <c r="F43" s="164">
        <v>-235209.55173533416</v>
      </c>
      <c r="H43" s="166">
        <f t="shared" si="5"/>
        <v>0.26800000000000013</v>
      </c>
      <c r="I43" s="165">
        <f>-40000 + 47700.74*1/(1+xx)^5 + 2243.13*1/(1+xx)^6 + 121578.17*1/(1+xx)^9</f>
        <v>-10560.409189592396</v>
      </c>
      <c r="K43" s="163"/>
      <c r="L43" s="164"/>
      <c r="M43" s="164"/>
      <c r="T43" s="122"/>
      <c r="U43" s="122"/>
      <c r="V43" s="122"/>
      <c r="W43" s="122"/>
      <c r="X43" s="122"/>
      <c r="Y43" s="122"/>
      <c r="Z43" s="122"/>
      <c r="AA43" s="122"/>
      <c r="AB43" s="122"/>
    </row>
    <row r="44" spans="3:39">
      <c r="D44" s="163">
        <v>0.2140738343860408</v>
      </c>
      <c r="E44" s="164">
        <v>-1.3096723705530167E-10</v>
      </c>
      <c r="F44" s="164">
        <v>-235209.55173533229</v>
      </c>
      <c r="H44" s="166">
        <f t="shared" si="5"/>
        <v>0.27600000000000013</v>
      </c>
      <c r="I44" s="165">
        <f>-40000 + 47700.74*1/(1+xx)^5 + 2243.13*1/(1+xx)^6 + 121578.17*1/(1+xx)^9</f>
        <v>-11820.472054029977</v>
      </c>
      <c r="K44" s="163"/>
      <c r="L44" s="164"/>
      <c r="M44" s="164"/>
      <c r="T44" s="122"/>
      <c r="U44" s="122"/>
      <c r="V44" s="122"/>
      <c r="W44" s="122"/>
      <c r="X44" s="122"/>
      <c r="Y44" s="122"/>
      <c r="Z44" s="122"/>
      <c r="AA44" s="122"/>
      <c r="AB44" s="122"/>
    </row>
    <row r="45" spans="3:39">
      <c r="D45" s="163">
        <v>0.21407383438604025</v>
      </c>
      <c r="E45" s="164">
        <v>1.3460521586239338E-10</v>
      </c>
      <c r="F45" s="164">
        <v>-235209.55173533416</v>
      </c>
      <c r="H45" s="166">
        <f t="shared" si="5"/>
        <v>0.28400000000000014</v>
      </c>
      <c r="I45" s="165">
        <f>-40000 + 47700.74*1/(1+xx)^5 + 2243.13*1/(1+xx)^6 + 121578.17*1/(1+xx)^9</f>
        <v>-13015.059146298345</v>
      </c>
      <c r="K45" s="163"/>
      <c r="L45" s="164"/>
      <c r="M45" s="164"/>
      <c r="T45" s="122"/>
      <c r="U45" s="122"/>
      <c r="V45" s="122"/>
      <c r="W45" s="122"/>
      <c r="X45" s="122"/>
      <c r="Y45" s="122"/>
      <c r="Z45" s="122"/>
      <c r="AA45" s="122"/>
      <c r="AB45" s="122"/>
    </row>
    <row r="46" spans="3:39">
      <c r="D46" s="163">
        <v>0.21407383438604083</v>
      </c>
      <c r="E46" s="164">
        <v>-1.3096723705530167E-10</v>
      </c>
      <c r="F46" s="164">
        <v>-235209.55173533229</v>
      </c>
      <c r="H46" s="166">
        <f t="shared" si="5"/>
        <v>0.29200000000000015</v>
      </c>
      <c r="I46" s="165">
        <f>-40000 + 47700.74*1/(1+xx)^5 + 2243.13*1/(1+xx)^6 + 121578.17*1/(1+xx)^9</f>
        <v>-14148.11272884796</v>
      </c>
      <c r="K46" s="163"/>
      <c r="L46" s="164"/>
      <c r="M46" s="164"/>
      <c r="T46" s="122"/>
      <c r="U46" s="122" t="s">
        <v>73</v>
      </c>
      <c r="V46" s="122"/>
      <c r="W46" s="122"/>
      <c r="X46" s="122"/>
      <c r="Y46" s="122"/>
      <c r="Z46" s="122"/>
      <c r="AA46" s="122"/>
      <c r="AB46" s="122"/>
    </row>
    <row r="47" spans="3:39">
      <c r="D47" s="163">
        <v>0.21407383438604027</v>
      </c>
      <c r="E47" s="164">
        <v>1.3460521586239338E-10</v>
      </c>
      <c r="F47" s="164">
        <v>-235209.55173533416</v>
      </c>
      <c r="H47" s="166">
        <f t="shared" si="5"/>
        <v>0.30000000000000016</v>
      </c>
      <c r="I47" s="165">
        <f>-40000 + 47700.74*1/(1+xx)^5 + 2243.13*1/(1+xx)^6 + 121578.17*1/(1+xx)^9</f>
        <v>-15223.308438965978</v>
      </c>
      <c r="K47" s="163"/>
      <c r="L47" s="164"/>
      <c r="M47" s="164"/>
      <c r="T47" s="122"/>
      <c r="V47" s="122"/>
      <c r="W47" s="122"/>
      <c r="X47" s="122"/>
      <c r="Y47" s="122"/>
      <c r="Z47" s="122"/>
      <c r="AA47" s="122"/>
      <c r="AB47" s="122"/>
    </row>
    <row r="48" spans="3:39">
      <c r="D48" s="163">
        <v>0.21407383438604086</v>
      </c>
      <c r="E48" s="164">
        <v>-1.3096723705530167E-10</v>
      </c>
      <c r="F48" s="164">
        <v>-235209.55173533229</v>
      </c>
      <c r="H48" s="166">
        <f t="shared" si="5"/>
        <v>0.30800000000000016</v>
      </c>
      <c r="I48" s="165">
        <f>-40000 + 47700.74*1/(1+xx)^5 + 2243.13*1/(1+xx)^6 + 121578.17*1/(1+xx)^9</f>
        <v>-16244.075131659747</v>
      </c>
      <c r="K48" s="163"/>
      <c r="L48" s="164"/>
      <c r="M48" s="164"/>
      <c r="T48" s="122"/>
      <c r="V48" s="122"/>
      <c r="W48" s="122"/>
      <c r="X48" s="122"/>
      <c r="Y48" s="122"/>
      <c r="Z48" s="122"/>
      <c r="AA48" s="122"/>
      <c r="AB48" s="122"/>
    </row>
    <row r="49" spans="1:39">
      <c r="D49" s="163">
        <v>0.2140738343860403</v>
      </c>
      <c r="E49" s="164">
        <v>1.3460521586239338E-10</v>
      </c>
      <c r="F49" s="164">
        <v>-235209.55173533416</v>
      </c>
      <c r="H49" s="166">
        <f t="shared" si="5"/>
        <v>0.31600000000000017</v>
      </c>
      <c r="I49" s="165">
        <f>-40000 + 47700.74*1/(1+xx)^5 + 2243.13*1/(1+xx)^6 + 121578.17*1/(1+xx)^9</f>
        <v>-17213.613120149792</v>
      </c>
      <c r="K49" s="163"/>
      <c r="L49" s="164"/>
      <c r="M49" s="164"/>
      <c r="T49" s="122"/>
      <c r="V49" s="122"/>
      <c r="W49" s="122"/>
      <c r="X49" s="122"/>
      <c r="Y49" s="122"/>
      <c r="Z49" s="122"/>
      <c r="AA49" s="122"/>
      <c r="AB49" s="122"/>
    </row>
    <row r="50" spans="1:39" ht="12" thickBot="1">
      <c r="D50" s="163">
        <v>0.21407383438604088</v>
      </c>
      <c r="E50" s="164">
        <v>-1.3096723705530167E-10</v>
      </c>
      <c r="F50" s="164">
        <v>-235209.55173533229</v>
      </c>
      <c r="H50" s="166">
        <f t="shared" si="5"/>
        <v>0.32400000000000018</v>
      </c>
      <c r="I50" s="165">
        <f>-40000 + 47700.74*1/(1+xx)^5 + 2243.13*1/(1+xx)^6 + 121578.17*1/(1+xx)^9</f>
        <v>-18134.910952990125</v>
      </c>
      <c r="K50" s="163"/>
      <c r="L50" s="164"/>
      <c r="M50" s="164"/>
      <c r="T50" s="122"/>
      <c r="V50" s="122"/>
      <c r="W50" s="122"/>
      <c r="X50" s="122"/>
      <c r="Y50" s="122"/>
      <c r="Z50" s="122"/>
      <c r="AA50" s="122"/>
      <c r="AB50" s="122"/>
    </row>
    <row r="51" spans="1:39" ht="12.75" thickTop="1" thickBot="1">
      <c r="C51" s="167">
        <f>IF($C$13=FALSE,"-",NEWTON_CHARACTERISTICS_SOLVER_FUNC(C16,C17,D20,15,1))</f>
        <v>0.21407383438604033</v>
      </c>
      <c r="D51" s="163">
        <v>0.21407383438604033</v>
      </c>
      <c r="E51" s="164">
        <v>1.3460521586239338E-10</v>
      </c>
      <c r="F51" s="164">
        <v>-235209.55173533416</v>
      </c>
      <c r="H51" s="166">
        <f t="shared" si="5"/>
        <v>0.33200000000000018</v>
      </c>
      <c r="I51" s="165">
        <f>-40000 + 47700.74*1/(1+xx)^5 + 2243.13*1/(1+xx)^6 + 121578.17*1/(1+xx)^9</f>
        <v>-19010.760853971708</v>
      </c>
      <c r="K51" s="163"/>
      <c r="L51" s="164"/>
      <c r="M51" s="164"/>
      <c r="T51" s="122"/>
      <c r="U51" s="122" t="s">
        <v>73</v>
      </c>
      <c r="V51" s="122"/>
      <c r="W51" s="122"/>
      <c r="X51" s="122"/>
      <c r="Y51" s="122"/>
      <c r="Z51" s="122"/>
      <c r="AA51" s="122"/>
      <c r="AB51" s="122"/>
    </row>
    <row r="52" spans="1:39" ht="12" thickTop="1">
      <c r="D52" s="163"/>
      <c r="E52" s="164"/>
      <c r="F52" s="164"/>
      <c r="H52" s="166">
        <f t="shared" si="5"/>
        <v>0.34000000000000019</v>
      </c>
      <c r="I52" s="165">
        <f>-40000 + 47700.74*1/(1+xx)^5 + 2243.13*1/(1+xx)^6 + 121578.17*1/(1+xx)^9</f>
        <v>-19843.772939364921</v>
      </c>
      <c r="K52" s="163"/>
      <c r="L52" s="164"/>
      <c r="M52" s="164"/>
      <c r="T52" s="122"/>
      <c r="U52" s="122" t="s">
        <v>74</v>
      </c>
      <c r="V52" s="122"/>
      <c r="W52" s="122"/>
      <c r="X52" s="122"/>
      <c r="Y52" s="122"/>
      <c r="Z52" s="122"/>
      <c r="AA52" s="122"/>
      <c r="AB52" s="122"/>
    </row>
    <row r="53" spans="1:39">
      <c r="D53" s="163"/>
      <c r="E53" s="164"/>
      <c r="F53" s="164"/>
      <c r="H53" s="166">
        <f t="shared" si="5"/>
        <v>0.3480000000000002</v>
      </c>
      <c r="I53" s="165">
        <f>-40000 + 47700.74*1/(1+xx)^5 + 2243.13*1/(1+xx)^6 + 121578.17*1/(1+xx)^9</f>
        <v>-20636.388316588302</v>
      </c>
      <c r="K53" s="163"/>
      <c r="L53" s="164"/>
      <c r="M53" s="164"/>
      <c r="T53" s="122"/>
      <c r="V53" s="122"/>
      <c r="W53" s="122"/>
      <c r="X53" s="122"/>
      <c r="Y53" s="122"/>
      <c r="Z53" s="122"/>
      <c r="AA53" s="122"/>
      <c r="AB53" s="122"/>
    </row>
    <row r="54" spans="1:39">
      <c r="D54" s="163"/>
      <c r="E54" s="164"/>
      <c r="F54" s="164"/>
      <c r="H54" s="166">
        <f t="shared" si="5"/>
        <v>0.35600000000000021</v>
      </c>
      <c r="I54" s="165">
        <f>-40000 + 47700.74*1/(1+xx)^5 + 2243.13*1/(1+xx)^6 + 121578.17*1/(1+xx)^9</f>
        <v>-21390.891158936349</v>
      </c>
      <c r="K54" s="162"/>
      <c r="L54" s="164"/>
      <c r="M54" s="164"/>
      <c r="T54" s="122"/>
      <c r="V54" s="122"/>
      <c r="W54" s="122"/>
      <c r="X54" s="122"/>
      <c r="Y54" s="122"/>
      <c r="Z54" s="122"/>
      <c r="AA54" s="122"/>
      <c r="AB54" s="122"/>
    </row>
    <row r="55" spans="1:39">
      <c r="D55" s="163"/>
      <c r="E55" s="164"/>
      <c r="F55" s="164"/>
      <c r="H55" s="166">
        <f t="shared" si="5"/>
        <v>0.36400000000000021</v>
      </c>
      <c r="I55" s="165">
        <f>-40000 + 47700.74*1/(1+xx)^5 + 2243.13*1/(1+xx)^6 + 121578.17*1/(1+xx)^9</f>
        <v>-22109.41984245602</v>
      </c>
      <c r="K55" s="162"/>
      <c r="L55" s="164"/>
      <c r="M55" s="164"/>
      <c r="T55" s="122"/>
      <c r="V55" s="122"/>
      <c r="W55" s="122"/>
      <c r="X55" s="122"/>
      <c r="Y55" s="122"/>
      <c r="Z55" s="122"/>
      <c r="AA55" s="122"/>
      <c r="AB55" s="122"/>
    </row>
    <row r="56" spans="1:39">
      <c r="D56" s="163"/>
      <c r="E56" s="164"/>
      <c r="F56" s="164"/>
      <c r="H56" s="166">
        <f t="shared" si="5"/>
        <v>0.37200000000000022</v>
      </c>
      <c r="I56" s="165">
        <f>-40000 + 47700.74*1/(1+xx)^5 + 2243.13*1/(1+xx)^6 + 121578.17*1/(1+xx)^9</f>
        <v>-22793.977223336202</v>
      </c>
      <c r="K56" s="162"/>
      <c r="L56" s="164"/>
      <c r="M56" s="164"/>
      <c r="T56" s="122"/>
      <c r="V56" s="122"/>
      <c r="W56" s="122"/>
      <c r="X56" s="122"/>
      <c r="Y56" s="122"/>
      <c r="Z56" s="122"/>
      <c r="AA56" s="122"/>
      <c r="AB56" s="122"/>
    </row>
    <row r="57" spans="1:39">
      <c r="D57" s="163"/>
      <c r="E57" s="164"/>
      <c r="F57" s="164"/>
      <c r="H57" s="166">
        <f t="shared" si="5"/>
        <v>0.38000000000000023</v>
      </c>
      <c r="I57" s="165">
        <f>-40000 + 47700.74*1/(1+xx)^5 + 2243.13*1/(1+xx)^6 + 121578.17*1/(1+xx)^9</f>
        <v>-23446.440127184887</v>
      </c>
      <c r="K57" s="162"/>
      <c r="L57" s="164"/>
      <c r="M57" s="164"/>
      <c r="T57" s="122"/>
      <c r="V57" s="122"/>
      <c r="W57" s="122"/>
      <c r="X57" s="122"/>
      <c r="Y57" s="122"/>
      <c r="Z57" s="122"/>
      <c r="AA57" s="122"/>
      <c r="AB57" s="122"/>
    </row>
    <row r="58" spans="1:39">
      <c r="H58" s="166">
        <f t="shared" si="5"/>
        <v>0.38800000000000023</v>
      </c>
      <c r="I58" s="165">
        <f>-40000 + 47700.74*1/(1+xx)^5 + 2243.13*1/(1+xx)^6 + 121578.17*1/(1+xx)^9</f>
        <v>-24068.568115240618</v>
      </c>
      <c r="K58" s="163"/>
      <c r="L58" s="164"/>
      <c r="M58" s="164"/>
      <c r="T58" s="122"/>
      <c r="U58" s="122" t="s">
        <v>73</v>
      </c>
      <c r="V58" s="122"/>
      <c r="W58" s="122"/>
      <c r="X58" s="122"/>
      <c r="Y58" s="122"/>
      <c r="Z58" s="122"/>
      <c r="AA58" s="122"/>
      <c r="AB58" s="122"/>
    </row>
    <row r="59" spans="1:39">
      <c r="H59" s="166">
        <f t="shared" si="5"/>
        <v>0.39600000000000024</v>
      </c>
      <c r="I59" s="165">
        <f>-40000 + 47700.74*1/(1+xx)^5 + 2243.13*1/(1+xx)^6 + 121578.17*1/(1+xx)^9</f>
        <v>-24662.01158683197</v>
      </c>
      <c r="K59" s="163"/>
      <c r="L59" s="164"/>
      <c r="M59" s="164"/>
      <c r="T59" s="122"/>
      <c r="U59" s="122"/>
      <c r="V59" s="122"/>
      <c r="W59" s="122"/>
      <c r="X59" s="122"/>
      <c r="Y59" s="122"/>
      <c r="Z59" s="122"/>
      <c r="AA59" s="122"/>
      <c r="AB59" s="122"/>
    </row>
    <row r="60" spans="1:39">
      <c r="H60" s="166">
        <f t="shared" si="5"/>
        <v>0.40400000000000025</v>
      </c>
      <c r="I60" s="165">
        <f>-40000 + 47700.74*1/(1+xx)^5 + 2243.13*1/(1+xx)^6 + 121578.17*1/(1+xx)^9</f>
        <v>-25228.319272202243</v>
      </c>
      <c r="K60" s="163"/>
      <c r="L60" s="164"/>
      <c r="M60" s="164"/>
      <c r="T60" s="122"/>
      <c r="U60" s="122"/>
      <c r="V60" s="122"/>
      <c r="W60" s="122"/>
      <c r="X60" s="122"/>
      <c r="Y60" s="122"/>
      <c r="Z60" s="122"/>
      <c r="AA60" s="122"/>
      <c r="AB60" s="122"/>
    </row>
    <row r="61" spans="1:39">
      <c r="H61" s="166">
        <f t="shared" si="5"/>
        <v>0.41200000000000025</v>
      </c>
      <c r="I61" s="165">
        <f>-40000 + 47700.74*1/(1+xx)^5 + 2243.13*1/(1+xx)^6 + 121578.17*1/(1+xx)^9</f>
        <v>-25768.945165103669</v>
      </c>
      <c r="K61" s="163"/>
      <c r="L61" s="164"/>
      <c r="M61" s="164"/>
      <c r="T61" s="122"/>
      <c r="U61" s="122"/>
      <c r="V61" s="122"/>
      <c r="W61" s="122"/>
      <c r="X61" s="122"/>
      <c r="Y61" s="122"/>
      <c r="Z61" s="122"/>
      <c r="AA61" s="122"/>
      <c r="AB61" s="122"/>
    </row>
    <row r="62" spans="1:39">
      <c r="H62" s="166">
        <f t="shared" si="5"/>
        <v>0.42000000000000026</v>
      </c>
      <c r="I62" s="165">
        <f>-40000 + 47700.74*1/(1+xx)^5 + 2243.13*1/(1+xx)^6 + 121578.17*1/(1+xx)^9</f>
        <v>-26285.254940287494</v>
      </c>
      <c r="K62" s="163"/>
      <c r="L62" s="164"/>
      <c r="M62" s="164"/>
    </row>
    <row r="63" spans="1:39" s="115" customFormat="1">
      <c r="A63" s="121"/>
      <c r="B63" s="121"/>
      <c r="D63" s="116"/>
      <c r="E63" s="117"/>
      <c r="F63" s="117"/>
      <c r="G63" s="118"/>
      <c r="H63" s="166">
        <f t="shared" si="5"/>
        <v>0.42800000000000027</v>
      </c>
      <c r="I63" s="165">
        <f>-40000 + 47700.74*1/(1+xx)^5 + 2243.13*1/(1+xx)^6 + 121578.17*1/(1+xx)^9</f>
        <v>-26778.53189713258</v>
      </c>
      <c r="K63" s="163"/>
      <c r="L63" s="164"/>
      <c r="M63" s="164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</row>
    <row r="64" spans="1:39" s="115" customFormat="1">
      <c r="A64" s="121"/>
      <c r="B64" s="121"/>
      <c r="D64" s="116"/>
      <c r="E64" s="117"/>
      <c r="F64" s="117"/>
      <c r="G64" s="118"/>
      <c r="H64" s="166">
        <f t="shared" si="5"/>
        <v>0.43600000000000028</v>
      </c>
      <c r="I64" s="165">
        <f>-40000 + 47700.74*1/(1+xx)^5 + 2243.13*1/(1+xx)^6 + 121578.17*1/(1+xx)^9</f>
        <v>-27249.98246712549</v>
      </c>
      <c r="K64" s="163"/>
      <c r="L64" s="164"/>
      <c r="M64" s="164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</row>
    <row r="65" spans="1:39" s="115" customFormat="1">
      <c r="A65" s="121"/>
      <c r="B65" s="121"/>
      <c r="D65" s="116"/>
      <c r="E65" s="117"/>
      <c r="F65" s="117"/>
      <c r="G65" s="118"/>
      <c r="H65" s="166">
        <f t="shared" si="5"/>
        <v>0.44400000000000028</v>
      </c>
      <c r="I65" s="165">
        <f>-40000 + 47700.74*1/(1+xx)^5 + 2243.13*1/(1+xx)^6 + 121578.17*1/(1+xx)^9</f>
        <v>-27700.741319697096</v>
      </c>
      <c r="K65" s="163"/>
      <c r="L65" s="164"/>
      <c r="M65" s="164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</row>
    <row r="66" spans="1:39" s="115" customFormat="1">
      <c r="A66" s="121"/>
      <c r="B66" s="121"/>
      <c r="D66" s="116"/>
      <c r="E66" s="117"/>
      <c r="F66" s="117"/>
      <c r="G66" s="118"/>
      <c r="H66" s="166">
        <f t="shared" si="5"/>
        <v>0.45200000000000029</v>
      </c>
      <c r="I66" s="165">
        <f>-40000 + 47700.74*1/(1+xx)^5 + 2243.13*1/(1+xx)^6 + 121578.17*1/(1+xx)^9</f>
        <v>-28131.876098001827</v>
      </c>
      <c r="K66" s="163"/>
      <c r="L66" s="164"/>
      <c r="M66" s="164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</row>
    <row r="67" spans="1:39" s="115" customFormat="1">
      <c r="A67" s="121"/>
      <c r="B67" s="121"/>
      <c r="D67" s="116"/>
      <c r="E67" s="117"/>
      <c r="F67" s="117"/>
      <c r="G67" s="118"/>
      <c r="H67" s="166">
        <f t="shared" si="5"/>
        <v>0.4600000000000003</v>
      </c>
      <c r="I67" s="165">
        <f>-40000 + 47700.74*1/(1+xx)^5 + 2243.13*1/(1+xx)^6 + 121578.17*1/(1+xx)^9</f>
        <v>-28544.391813569509</v>
      </c>
      <c r="K67" s="163"/>
      <c r="L67" s="164"/>
      <c r="M67" s="164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</row>
    <row r="68" spans="1:39" s="115" customFormat="1">
      <c r="A68" s="121"/>
      <c r="B68" s="121"/>
      <c r="D68" s="116"/>
      <c r="E68" s="117"/>
      <c r="F68" s="117"/>
      <c r="G68" s="118"/>
      <c r="H68" s="166">
        <f t="shared" si="5"/>
        <v>0.4680000000000003</v>
      </c>
      <c r="I68" s="165">
        <f>-40000 + 47700.74*1/(1+xx)^5 + 2243.13*1/(1+xx)^6 + 121578.17*1/(1+xx)^9</f>
        <v>-28939.234926341072</v>
      </c>
      <c r="K68" s="163"/>
      <c r="L68" s="164"/>
      <c r="M68" s="164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</row>
    <row r="69" spans="1:39" s="115" customFormat="1">
      <c r="A69" s="121"/>
      <c r="B69" s="121"/>
      <c r="D69" s="116"/>
      <c r="E69" s="117"/>
      <c r="F69" s="117"/>
      <c r="G69" s="118"/>
      <c r="H69" s="166">
        <f t="shared" si="5"/>
        <v>0.47600000000000031</v>
      </c>
      <c r="I69" s="165">
        <f>-40000 + 47700.74*1/(1+xx)^5 + 2243.13*1/(1+xx)^6 + 121578.17*1/(1+xx)^9</f>
        <v>-29317.297134394939</v>
      </c>
      <c r="K69" s="163"/>
      <c r="L69" s="164"/>
      <c r="M69" s="164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</row>
    <row r="70" spans="1:39" s="115" customFormat="1">
      <c r="A70" s="121"/>
      <c r="B70" s="121"/>
      <c r="D70" s="116"/>
      <c r="E70" s="117"/>
      <c r="F70" s="117"/>
      <c r="G70" s="118"/>
      <c r="H70" s="166">
        <f t="shared" si="5"/>
        <v>0.48400000000000032</v>
      </c>
      <c r="I70" s="165">
        <f>-40000 + 47700.74*1/(1+xx)^5 + 2243.13*1/(1+xx)^6 + 121578.17*1/(1+xx)^9</f>
        <v>-29679.418895662166</v>
      </c>
      <c r="K70" s="163"/>
      <c r="L70" s="164"/>
      <c r="M70" s="164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</row>
    <row r="71" spans="1:39" s="115" customFormat="1">
      <c r="A71" s="121"/>
      <c r="B71" s="121"/>
      <c r="D71" s="116"/>
      <c r="E71" s="117"/>
      <c r="F71" s="117"/>
      <c r="G71" s="118"/>
      <c r="H71" s="166">
        <f t="shared" si="5"/>
        <v>0.49200000000000033</v>
      </c>
      <c r="I71" s="165">
        <f>-40000 + 47700.74*1/(1+xx)^5 + 2243.13*1/(1+xx)^6 + 121578.17*1/(1+xx)^9</f>
        <v>-30026.392702095152</v>
      </c>
      <c r="K71" s="163"/>
      <c r="L71" s="164"/>
      <c r="M71" s="164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</row>
    <row r="72" spans="1:39" s="115" customFormat="1">
      <c r="A72" s="121"/>
      <c r="B72" s="121"/>
      <c r="D72" s="116"/>
      <c r="E72" s="117"/>
      <c r="F72" s="117"/>
      <c r="G72" s="118"/>
      <c r="H72" s="166">
        <f t="shared" si="5"/>
        <v>0.50000000000000033</v>
      </c>
      <c r="I72" s="165">
        <f>-40000 + 47700.74*1/(1+xx)^5 + 2243.13*1/(1+xx)^6 + 121578.17*1/(1+xx)^9</f>
        <v>-30358.966125082581</v>
      </c>
      <c r="K72" s="163"/>
      <c r="L72" s="164"/>
      <c r="M72" s="164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</row>
    <row r="73" spans="1:39" s="115" customFormat="1">
      <c r="A73" s="121"/>
      <c r="B73" s="121"/>
      <c r="D73" s="116"/>
      <c r="E73" s="117"/>
      <c r="F73" s="117"/>
      <c r="G73" s="118"/>
      <c r="H73" s="113"/>
      <c r="I73" s="120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</row>
  </sheetData>
  <dataValidations count="1">
    <dataValidation type="list" allowBlank="1" showInputMessage="1" showErrorMessage="1" sqref="C13">
      <formula1>"TRUE,FALSE"</formula1>
    </dataValidation>
  </dataValidations>
  <pageMargins left="0.75" right="0.75" top="1" bottom="1" header="0.5" footer="0.5"/>
  <pageSetup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_Newton">
                <anchor moveWithCells="1" sizeWithCells="1">
                  <from>
                    <xdr:col>1</xdr:col>
                    <xdr:colOff>228600</xdr:colOff>
                    <xdr:row>18</xdr:row>
                    <xdr:rowOff>0</xdr:rowOff>
                  </from>
                  <to>
                    <xdr:col>2</xdr:col>
                    <xdr:colOff>800100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un_Plot">
                <anchor moveWithCells="1" sizeWithCells="1">
                  <from>
                    <xdr:col>7</xdr:col>
                    <xdr:colOff>57150</xdr:colOff>
                    <xdr:row>16</xdr:row>
                    <xdr:rowOff>57150</xdr:rowOff>
                  </from>
                  <to>
                    <xdr:col>9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M63"/>
  <sheetViews>
    <sheetView showGridLines="0" topLeftCell="A36" workbookViewId="0">
      <selection activeCell="E48" sqref="E48"/>
    </sheetView>
  </sheetViews>
  <sheetFormatPr defaultColWidth="8.7109375" defaultRowHeight="15.75"/>
  <cols>
    <col min="1" max="1" width="8.7109375" style="313"/>
    <col min="2" max="5" width="15.7109375" style="313" customWidth="1"/>
    <col min="6" max="6" width="19.42578125" style="313" bestFit="1" customWidth="1"/>
    <col min="7" max="7" width="15.7109375" style="313" customWidth="1"/>
    <col min="8" max="16384" width="8.7109375" style="313"/>
  </cols>
  <sheetData>
    <row r="1" spans="2:8">
      <c r="B1" s="275"/>
      <c r="C1" s="275"/>
      <c r="D1" s="280"/>
      <c r="E1" s="275"/>
      <c r="F1" s="275"/>
      <c r="G1" s="275"/>
      <c r="H1" s="275"/>
    </row>
    <row r="2" spans="2:8" ht="22.5">
      <c r="B2" s="315" t="s">
        <v>282</v>
      </c>
      <c r="C2" s="275"/>
      <c r="D2" s="275"/>
    </row>
    <row r="3" spans="2:8">
      <c r="B3" s="275"/>
      <c r="C3" s="275"/>
      <c r="D3" s="279"/>
    </row>
    <row r="4" spans="2:8">
      <c r="B4" s="275" t="s">
        <v>274</v>
      </c>
      <c r="C4" s="275"/>
      <c r="D4" s="275"/>
    </row>
    <row r="6" spans="2:8">
      <c r="B6" s="314" t="s">
        <v>275</v>
      </c>
    </row>
    <row r="8" spans="2:8">
      <c r="B8" s="313" t="s">
        <v>276</v>
      </c>
    </row>
    <row r="9" spans="2:8">
      <c r="B9" s="313" t="s">
        <v>277</v>
      </c>
    </row>
    <row r="10" spans="2:8">
      <c r="B10" s="313" t="s">
        <v>278</v>
      </c>
    </row>
    <row r="24" spans="2:2">
      <c r="B24" s="313" t="s">
        <v>279</v>
      </c>
    </row>
    <row r="25" spans="2:2">
      <c r="B25" s="313" t="s">
        <v>281</v>
      </c>
    </row>
    <row r="26" spans="2:2">
      <c r="B26" s="313" t="s">
        <v>280</v>
      </c>
    </row>
    <row r="40" spans="2:13">
      <c r="B40" s="276" t="s">
        <v>273</v>
      </c>
      <c r="C40" s="276"/>
      <c r="D40" s="276"/>
      <c r="E40" s="276"/>
      <c r="F40" s="275"/>
    </row>
    <row r="41" spans="2:13">
      <c r="B41" s="280"/>
      <c r="C41" s="280"/>
      <c r="D41" s="280"/>
      <c r="E41" s="280"/>
      <c r="F41" s="275"/>
    </row>
    <row r="42" spans="2:13">
      <c r="B42" s="284" t="s">
        <v>251</v>
      </c>
      <c r="C42" s="284"/>
      <c r="D42" s="284"/>
      <c r="E42" s="285">
        <v>50</v>
      </c>
      <c r="F42" s="275"/>
      <c r="M42" s="313" t="b">
        <v>1</v>
      </c>
    </row>
    <row r="43" spans="2:13">
      <c r="B43" s="284" t="s">
        <v>257</v>
      </c>
      <c r="C43" s="284"/>
      <c r="D43" s="284"/>
      <c r="E43" s="290">
        <f t="array" aca="1" ref="E43" ca="1">SUM(IF(OFFSET($D$57,0,0,$B$56,1)&lt;$E$48,OFFSET($C$57,0,0,$B$56,1),0))</f>
        <v>2.95</v>
      </c>
      <c r="F43" s="307">
        <f ca="1">E43-G43</f>
        <v>0</v>
      </c>
      <c r="G43" s="308">
        <f ca="1">SUM($E$57:$E$61)</f>
        <v>2.95</v>
      </c>
      <c r="H43" s="293" t="s">
        <v>271</v>
      </c>
    </row>
    <row r="44" spans="2:13">
      <c r="B44" s="284" t="s">
        <v>261</v>
      </c>
      <c r="C44" s="284"/>
      <c r="D44" s="284"/>
      <c r="E44" s="292">
        <f t="array" aca="1" ref="E44" ca="1">(-1/$E$48*SUM(IF(OFFSET($D$57,0,0,$B$56,1)&lt;$E$48,OFFSET($C$57,0,0,$B$56,1),0)*OFFSET($D$57,0,0,$B$56,1)))</f>
        <v>-1.3239581695260103</v>
      </c>
      <c r="F44" s="307">
        <f ca="1">E44-G44</f>
        <v>0</v>
      </c>
      <c r="G44" s="308">
        <f ca="1">+IF(ISERROR(-G56/E48),0,-G56/E48)</f>
        <v>-1.3239581695260103</v>
      </c>
      <c r="H44" s="309" t="s">
        <v>260</v>
      </c>
    </row>
    <row r="45" spans="2:13">
      <c r="B45" s="298" t="s">
        <v>263</v>
      </c>
      <c r="C45" s="299"/>
      <c r="D45" s="299"/>
      <c r="E45" s="300">
        <f ca="1">+IF(ISERROR(E43+E44),0,E43+E44)</f>
        <v>1.6260418304739899</v>
      </c>
      <c r="F45" s="310"/>
      <c r="G45" s="311">
        <f>SUM(C57:C61)</f>
        <v>3.7</v>
      </c>
      <c r="H45" s="293" t="s">
        <v>272</v>
      </c>
    </row>
    <row r="46" spans="2:13">
      <c r="B46" s="303" t="s">
        <v>265</v>
      </c>
      <c r="C46" s="284"/>
      <c r="D46" s="284"/>
      <c r="E46" s="304">
        <f>10^-10</f>
        <v>1E-10</v>
      </c>
      <c r="F46" s="275"/>
    </row>
    <row r="47" spans="2:13">
      <c r="B47" s="298" t="s">
        <v>267</v>
      </c>
      <c r="C47" s="284"/>
      <c r="D47" s="284"/>
      <c r="E47" s="300">
        <f ca="1">E42+(E45+E46)</f>
        <v>51.626041830573989</v>
      </c>
      <c r="F47" s="275"/>
      <c r="G47" s="275"/>
    </row>
    <row r="48" spans="2:13">
      <c r="B48" s="305" t="s">
        <v>269</v>
      </c>
      <c r="C48" s="306"/>
      <c r="D48" s="306"/>
      <c r="E48" s="312">
        <f ca="1">IF(M42=FALSE,0,+IF(ISERROR(E50/E47),0,E50/E47))</f>
        <v>15.01180358826249</v>
      </c>
      <c r="F48" s="275"/>
      <c r="G48" s="275"/>
    </row>
    <row r="49" spans="2:8">
      <c r="B49" s="275"/>
      <c r="C49" s="275"/>
      <c r="D49" s="275"/>
      <c r="E49" s="275"/>
      <c r="F49" s="275"/>
      <c r="G49" s="275"/>
    </row>
    <row r="50" spans="2:8">
      <c r="B50" s="289" t="s">
        <v>256</v>
      </c>
      <c r="C50" s="280"/>
      <c r="D50" s="275"/>
      <c r="E50" s="295">
        <v>775</v>
      </c>
      <c r="F50" s="275"/>
      <c r="G50" s="275"/>
    </row>
    <row r="51" spans="2:8">
      <c r="B51" s="275"/>
      <c r="C51" s="275"/>
      <c r="D51" s="275"/>
      <c r="E51" s="275"/>
      <c r="F51" s="275"/>
    </row>
    <row r="52" spans="2:8">
      <c r="B52" s="275"/>
      <c r="C52" s="275"/>
      <c r="D52" s="275"/>
      <c r="E52" s="275"/>
      <c r="F52" s="275"/>
    </row>
    <row r="53" spans="2:8">
      <c r="B53" s="276" t="s">
        <v>250</v>
      </c>
      <c r="C53" s="277"/>
      <c r="D53" s="277"/>
      <c r="E53" s="277"/>
      <c r="F53" s="278"/>
      <c r="G53" s="283"/>
      <c r="H53" s="282"/>
    </row>
    <row r="54" spans="2:8">
      <c r="B54" s="275"/>
      <c r="C54" s="275"/>
      <c r="D54" s="275"/>
      <c r="E54" s="275"/>
      <c r="F54" s="275"/>
      <c r="G54" s="275"/>
      <c r="H54" s="275"/>
    </row>
    <row r="55" spans="2:8">
      <c r="B55" s="286" t="s">
        <v>252</v>
      </c>
      <c r="C55" s="287" t="s">
        <v>253</v>
      </c>
      <c r="D55" s="287" t="s">
        <v>254</v>
      </c>
      <c r="E55" s="288" t="s">
        <v>255</v>
      </c>
      <c r="F55" s="288"/>
      <c r="G55" s="275"/>
      <c r="H55" s="275"/>
    </row>
    <row r="56" spans="2:8">
      <c r="B56" s="291">
        <v>5</v>
      </c>
      <c r="C56" s="286" t="s">
        <v>258</v>
      </c>
      <c r="D56" s="286" t="s">
        <v>259</v>
      </c>
      <c r="E56" s="286" t="s">
        <v>258</v>
      </c>
      <c r="F56" s="286" t="s">
        <v>260</v>
      </c>
      <c r="G56" s="281">
        <f ca="1">SUM(F57:F61)</f>
        <v>19.875</v>
      </c>
      <c r="H56" s="275"/>
    </row>
    <row r="57" spans="2:8">
      <c r="B57" s="293" t="s">
        <v>262</v>
      </c>
      <c r="C57" s="294">
        <v>1.2</v>
      </c>
      <c r="D57" s="295">
        <v>2.5</v>
      </c>
      <c r="E57" s="296">
        <f ca="1">+IF(ISERROR(+IF(D57&lt;$E$48,C57,0)),0,IF(D57&lt;$E$48,C57,0))</f>
        <v>1.2</v>
      </c>
      <c r="F57" s="297">
        <f ca="1">E57*D57</f>
        <v>3</v>
      </c>
      <c r="G57" s="275"/>
      <c r="H57" s="275"/>
    </row>
    <row r="58" spans="2:8">
      <c r="B58" s="293" t="s">
        <v>264</v>
      </c>
      <c r="C58" s="294">
        <v>1</v>
      </c>
      <c r="D58" s="301">
        <v>7.5</v>
      </c>
      <c r="E58" s="302">
        <f ca="1">+IF(ISERROR(+IF(D58&lt;$E$48,C58,0)),0,IF(D58&lt;$E$48,C58,0))</f>
        <v>1</v>
      </c>
      <c r="F58" s="297">
        <f ca="1">E58*D58</f>
        <v>7.5</v>
      </c>
      <c r="G58" s="275"/>
      <c r="H58" s="275"/>
    </row>
    <row r="59" spans="2:8">
      <c r="B59" s="293" t="s">
        <v>266</v>
      </c>
      <c r="C59" s="294">
        <v>0.75</v>
      </c>
      <c r="D59" s="301">
        <v>12.5</v>
      </c>
      <c r="E59" s="296">
        <f ca="1">+IF(ISERROR(+IF(D59&lt;$E$48,C59,0)),0,IF(D59&lt;$E$48,C59,0))</f>
        <v>0.75</v>
      </c>
      <c r="F59" s="297">
        <f ca="1">E59*D59</f>
        <v>9.375</v>
      </c>
      <c r="G59" s="275"/>
      <c r="H59" s="275"/>
    </row>
    <row r="60" spans="2:8">
      <c r="B60" s="293" t="s">
        <v>268</v>
      </c>
      <c r="C60" s="294">
        <v>0.5</v>
      </c>
      <c r="D60" s="301">
        <v>17.5</v>
      </c>
      <c r="E60" s="296">
        <f ca="1">+IF(ISERROR(+IF(D60&lt;$E$48,C60,0)),0,IF(D60&lt;$E$48,C60,0))</f>
        <v>0</v>
      </c>
      <c r="F60" s="297">
        <f ca="1">E60*D60</f>
        <v>0</v>
      </c>
      <c r="G60" s="275"/>
      <c r="H60" s="275"/>
    </row>
    <row r="61" spans="2:8">
      <c r="B61" s="293" t="s">
        <v>270</v>
      </c>
      <c r="C61" s="294">
        <v>0.25</v>
      </c>
      <c r="D61" s="301">
        <v>25</v>
      </c>
      <c r="E61" s="296">
        <f ca="1">+IF(ISERROR(+IF(D61&lt;$E$48,C61,0)),0,IF(D61&lt;$E$48,C61,0))</f>
        <v>0</v>
      </c>
      <c r="F61" s="297">
        <f ca="1">E61*D61</f>
        <v>0</v>
      </c>
      <c r="G61" s="275"/>
      <c r="H61" s="275"/>
    </row>
    <row r="62" spans="2:8">
      <c r="B62" s="275"/>
      <c r="C62" s="275"/>
      <c r="D62" s="275"/>
      <c r="E62" s="275"/>
      <c r="F62" s="275"/>
      <c r="G62" s="275"/>
      <c r="H62" s="275"/>
    </row>
    <row r="63" spans="2:8">
      <c r="B63" s="314"/>
    </row>
  </sheetData>
  <pageMargins left="0.7" right="0.7" top="0.75" bottom="0.75" header="0.3" footer="0.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G219"/>
  <sheetViews>
    <sheetView tabSelected="1" zoomScaleNormal="100" zoomScalePageLayoutView="130" workbookViewId="0">
      <selection activeCell="C2" sqref="C2"/>
    </sheetView>
  </sheetViews>
  <sheetFormatPr defaultColWidth="8.7109375" defaultRowHeight="15" outlineLevelCol="1"/>
  <cols>
    <col min="1" max="1" width="3.7109375" customWidth="1"/>
    <col min="2" max="2" width="48.7109375" bestFit="1" customWidth="1"/>
    <col min="3" max="12" width="10.7109375" customWidth="1" outlineLevel="1"/>
    <col min="13" max="13" width="11" bestFit="1" customWidth="1"/>
    <col min="14" max="32" width="10.7109375" customWidth="1"/>
  </cols>
  <sheetData>
    <row r="1" spans="2:33" ht="23.25">
      <c r="B1" s="316"/>
    </row>
    <row r="2" spans="2:33">
      <c r="B2" s="172" t="s">
        <v>62</v>
      </c>
      <c r="C2" s="173" t="b">
        <v>1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</row>
    <row r="3" spans="2:33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</row>
    <row r="4" spans="2:33">
      <c r="B4" s="172" t="s">
        <v>147</v>
      </c>
      <c r="C4" s="175">
        <f t="shared" ref="C4:J4" si="0">IF($C$2=FALSE,"-",D4-1)</f>
        <v>2004</v>
      </c>
      <c r="D4" s="175">
        <f t="shared" si="0"/>
        <v>2005</v>
      </c>
      <c r="E4" s="175">
        <f t="shared" si="0"/>
        <v>2006</v>
      </c>
      <c r="F4" s="175">
        <f t="shared" si="0"/>
        <v>2007</v>
      </c>
      <c r="G4" s="175">
        <f t="shared" si="0"/>
        <v>2008</v>
      </c>
      <c r="H4" s="175">
        <f t="shared" si="0"/>
        <v>2009</v>
      </c>
      <c r="I4" s="175">
        <f t="shared" si="0"/>
        <v>2010</v>
      </c>
      <c r="J4" s="175">
        <f t="shared" si="0"/>
        <v>2011</v>
      </c>
      <c r="K4" s="175">
        <f>IF($C$2=FALSE,"-",L4-1)</f>
        <v>2012</v>
      </c>
      <c r="L4" s="175">
        <v>2013</v>
      </c>
      <c r="M4" s="176"/>
      <c r="N4" s="172" t="str">
        <f>IF($C$2=FALSE,"-","3 YA")</f>
        <v>3 YA</v>
      </c>
      <c r="O4" s="172" t="str">
        <f>IF($C$2=FALSE,"-","5 YA")</f>
        <v>5 YA</v>
      </c>
      <c r="P4" s="172" t="str">
        <f>IF($C$2=FALSE,"-","7 YA")</f>
        <v>7 YA</v>
      </c>
      <c r="Q4" s="172" t="str">
        <f>IF($C$2=FALSE,"-","10 YA")</f>
        <v>10 YA</v>
      </c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</row>
    <row r="5" spans="2:33">
      <c r="B5" s="174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4"/>
      <c r="N5" s="177"/>
      <c r="O5" s="177"/>
      <c r="P5" s="177"/>
      <c r="Q5" s="177"/>
      <c r="R5" s="174"/>
      <c r="S5" s="174"/>
      <c r="T5" s="174"/>
      <c r="U5" s="174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74"/>
      <c r="AG5" s="174"/>
    </row>
    <row r="6" spans="2:33">
      <c r="B6" s="178" t="s">
        <v>148</v>
      </c>
      <c r="C6" s="179">
        <v>24667</v>
      </c>
      <c r="D6" s="179">
        <v>28571</v>
      </c>
      <c r="E6" s="179">
        <v>28270</v>
      </c>
      <c r="F6" s="179">
        <v>46333</v>
      </c>
      <c r="G6" s="179">
        <v>39186</v>
      </c>
      <c r="H6" s="179">
        <v>35023</v>
      </c>
      <c r="I6" s="179">
        <v>35966</v>
      </c>
      <c r="J6" s="179">
        <v>54512</v>
      </c>
      <c r="K6" s="179">
        <v>43603</v>
      </c>
      <c r="L6" s="179">
        <v>35323</v>
      </c>
      <c r="M6" s="174"/>
      <c r="N6" s="180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</row>
    <row r="7" spans="2:33">
      <c r="B7" s="181" t="s">
        <v>149</v>
      </c>
      <c r="C7" s="182"/>
      <c r="D7" s="182">
        <f t="shared" ref="D7:L7" si="1">IF($C$2=FALSE,"-",(D6-C6)/C6)</f>
        <v>0.15826813151173633</v>
      </c>
      <c r="E7" s="182">
        <f t="shared" si="1"/>
        <v>-1.0535158027370411E-2</v>
      </c>
      <c r="F7" s="182">
        <f t="shared" si="1"/>
        <v>0.63894587902370004</v>
      </c>
      <c r="G7" s="182">
        <f t="shared" si="1"/>
        <v>-0.15425290829430427</v>
      </c>
      <c r="H7" s="182">
        <f t="shared" si="1"/>
        <v>-0.10623692134946154</v>
      </c>
      <c r="I7" s="182">
        <f t="shared" si="1"/>
        <v>2.6925163464009364E-2</v>
      </c>
      <c r="J7" s="182">
        <f t="shared" si="1"/>
        <v>0.51565367291330699</v>
      </c>
      <c r="K7" s="182">
        <f t="shared" si="1"/>
        <v>-0.20012107425887879</v>
      </c>
      <c r="L7" s="182">
        <f t="shared" si="1"/>
        <v>-0.18989519069788777</v>
      </c>
      <c r="M7" s="174"/>
      <c r="N7" s="183">
        <f>IF($C$2=FALSE,"-",(L7+K7+J7)/3)</f>
        <v>4.1879135985513481E-2</v>
      </c>
      <c r="O7" s="183">
        <f>IF($C$2=FALSE,"-",(L7+K7+J7+I7+H7)/5)</f>
        <v>9.2651300142176513E-3</v>
      </c>
      <c r="P7" s="183">
        <f>IF($C$2=FALSE,"-",(L7+K7+J7+I7+H7+G7+F7)/7)</f>
        <v>7.585980297149772E-2</v>
      </c>
      <c r="Q7" s="183">
        <f>IF($C$2=FALSE,"-",(L7+K7+J7+I7+H7+G7+F7+E7+D7+IF(C7&lt;&gt;"",C7,0))/IF(C7&lt;&gt;"",10,9))</f>
        <v>7.5416843809427772E-2</v>
      </c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</row>
    <row r="8" spans="2:33">
      <c r="B8" s="181" t="s">
        <v>150</v>
      </c>
      <c r="C8" s="184">
        <v>14015</v>
      </c>
      <c r="D8" s="184">
        <v>16168</v>
      </c>
      <c r="E8" s="184">
        <v>16347</v>
      </c>
      <c r="F8" s="184">
        <v>24909</v>
      </c>
      <c r="G8" s="184">
        <v>19882</v>
      </c>
      <c r="H8" s="184">
        <v>19194</v>
      </c>
      <c r="I8" s="184">
        <v>20584</v>
      </c>
      <c r="J8" s="184">
        <v>31864</v>
      </c>
      <c r="K8" s="184">
        <v>25562</v>
      </c>
      <c r="L8" s="184">
        <v>22299</v>
      </c>
      <c r="M8" s="174"/>
      <c r="N8" s="183"/>
      <c r="O8" s="183"/>
      <c r="P8" s="183"/>
      <c r="Q8" s="183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</row>
    <row r="9" spans="2:33">
      <c r="B9" s="181" t="str">
        <f>IF($C$2=FALSE,"-",CONCATENATE(B8," ","% of Sales"))</f>
        <v>Cost of Goods Sold % of Sales</v>
      </c>
      <c r="C9" s="182">
        <f t="shared" ref="C9:L9" si="2">IF($C$2=FALSE,"-",C8/C6)</f>
        <v>0.56816799772976045</v>
      </c>
      <c r="D9" s="182">
        <f t="shared" si="2"/>
        <v>0.56588848832732486</v>
      </c>
      <c r="E9" s="182">
        <f t="shared" si="2"/>
        <v>0.57824548991864166</v>
      </c>
      <c r="F9" s="182">
        <f t="shared" si="2"/>
        <v>0.53760818423154122</v>
      </c>
      <c r="G9" s="182">
        <f t="shared" si="2"/>
        <v>0.50737508293778388</v>
      </c>
      <c r="H9" s="182">
        <f t="shared" si="2"/>
        <v>0.5480398595208863</v>
      </c>
      <c r="I9" s="182">
        <f t="shared" si="2"/>
        <v>0.57231830061724964</v>
      </c>
      <c r="J9" s="182">
        <f t="shared" si="2"/>
        <v>0.584531846199002</v>
      </c>
      <c r="K9" s="182">
        <f t="shared" si="2"/>
        <v>0.58624406577529065</v>
      </c>
      <c r="L9" s="182">
        <f t="shared" si="2"/>
        <v>0.63128839566288253</v>
      </c>
      <c r="M9" s="174"/>
      <c r="N9" s="183">
        <f>IF($C$2=FALSE,"-",(L9+K9+J9)/3)</f>
        <v>0.60068810254572513</v>
      </c>
      <c r="O9" s="183">
        <f>IF($C$2=FALSE,"-",(L9+K9+J9+I9+H9)/5)</f>
        <v>0.58448449355506227</v>
      </c>
      <c r="P9" s="183">
        <f>IF($C$2=FALSE,"-",(L9+K9+J9+I9+H9+G9+F9)/7)</f>
        <v>0.56677224784923375</v>
      </c>
      <c r="Q9" s="183">
        <f>IF($C$2=FALSE,"-",(L9+K9+J9+I9+H9+G9+F9+E9+D9+IF(C9&lt;&gt;"",C9,0))/IF(C9&lt;&gt;"",10,9))</f>
        <v>0.56797077109203631</v>
      </c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74"/>
      <c r="AG9" s="174"/>
    </row>
    <row r="10" spans="2:33">
      <c r="B10" s="185" t="s">
        <v>151</v>
      </c>
      <c r="C10" s="186">
        <f t="shared" ref="C10:L10" si="3">IF($C$2=FALSE,"-",C6-C8)</f>
        <v>10652</v>
      </c>
      <c r="D10" s="186">
        <f t="shared" si="3"/>
        <v>12403</v>
      </c>
      <c r="E10" s="186">
        <f t="shared" si="3"/>
        <v>11923</v>
      </c>
      <c r="F10" s="186">
        <f t="shared" si="3"/>
        <v>21424</v>
      </c>
      <c r="G10" s="186">
        <f t="shared" si="3"/>
        <v>19304</v>
      </c>
      <c r="H10" s="186">
        <f t="shared" si="3"/>
        <v>15829</v>
      </c>
      <c r="I10" s="186">
        <f t="shared" si="3"/>
        <v>15382</v>
      </c>
      <c r="J10" s="186">
        <f t="shared" si="3"/>
        <v>22648</v>
      </c>
      <c r="K10" s="186">
        <f t="shared" si="3"/>
        <v>18041</v>
      </c>
      <c r="L10" s="186">
        <f t="shared" si="3"/>
        <v>13024</v>
      </c>
      <c r="M10" s="174"/>
      <c r="N10" s="183"/>
      <c r="O10" s="183"/>
      <c r="P10" s="183"/>
      <c r="Q10" s="183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</row>
    <row r="11" spans="2:33">
      <c r="B11" s="181" t="s">
        <v>152</v>
      </c>
      <c r="C11" s="184">
        <v>2344</v>
      </c>
      <c r="D11" s="184">
        <v>2543</v>
      </c>
      <c r="E11" s="184">
        <v>2670</v>
      </c>
      <c r="F11" s="184">
        <v>3363</v>
      </c>
      <c r="G11" s="184">
        <v>3180</v>
      </c>
      <c r="H11" s="184">
        <v>3421</v>
      </c>
      <c r="I11" s="184">
        <v>3457</v>
      </c>
      <c r="J11" s="184">
        <v>3850</v>
      </c>
      <c r="K11" s="184">
        <v>3791</v>
      </c>
      <c r="L11" s="184">
        <v>3823</v>
      </c>
      <c r="M11" s="174"/>
      <c r="N11" s="183"/>
      <c r="O11" s="183"/>
      <c r="P11" s="183"/>
      <c r="Q11" s="183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</row>
    <row r="12" spans="2:33">
      <c r="B12" s="181" t="str">
        <f>IF($C$2=FALSE,"-",CONCATENATE(B11," ","% of Sales"))</f>
        <v>SG&amp;A + R&amp;D Expense % of Sales</v>
      </c>
      <c r="C12" s="182">
        <f t="shared" ref="C12:L12" si="4">IF($C$2=FALSE,"-",C11/C6)</f>
        <v>9.5025742895366277E-2</v>
      </c>
      <c r="D12" s="182">
        <f t="shared" si="4"/>
        <v>8.9006335095026423E-2</v>
      </c>
      <c r="E12" s="182">
        <f t="shared" si="4"/>
        <v>9.4446409621506897E-2</v>
      </c>
      <c r="F12" s="182">
        <f t="shared" si="4"/>
        <v>7.2583255994647447E-2</v>
      </c>
      <c r="G12" s="182">
        <f t="shared" si="4"/>
        <v>8.1151431633746746E-2</v>
      </c>
      <c r="H12" s="182">
        <f t="shared" si="4"/>
        <v>9.7678668303686156E-2</v>
      </c>
      <c r="I12" s="182">
        <f t="shared" si="4"/>
        <v>9.6118556414391376E-2</v>
      </c>
      <c r="J12" s="182">
        <f t="shared" si="4"/>
        <v>7.0626651012621069E-2</v>
      </c>
      <c r="K12" s="182">
        <f t="shared" si="4"/>
        <v>8.6943558929431466E-2</v>
      </c>
      <c r="L12" s="182">
        <f t="shared" si="4"/>
        <v>0.10822976530872236</v>
      </c>
      <c r="M12" s="174"/>
      <c r="N12" s="183">
        <f>IF($C$2=FALSE,"-",(L12+K12+J12)/3)</f>
        <v>8.8599991750258289E-2</v>
      </c>
      <c r="O12" s="183">
        <f>IF($C$2=FALSE,"-",(L12+K12+J12+I12+H12)/5)</f>
        <v>9.1919439993770474E-2</v>
      </c>
      <c r="P12" s="183">
        <f>IF($C$2=FALSE,"-",(L12+K12+J12+I12+H12+G12+F12)/7)</f>
        <v>8.7618841085320934E-2</v>
      </c>
      <c r="Q12" s="183">
        <f>IF($C$2=FALSE,"-",(L12+K12+J12+I12+H12+G12+F12+E12+D12+IF(C12&lt;&gt;"",C12,0))/IF(C12&lt;&gt;"",10,9))</f>
        <v>8.9181037520914608E-2</v>
      </c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74"/>
      <c r="AG12" s="174"/>
    </row>
    <row r="13" spans="2:33">
      <c r="B13" s="187" t="s">
        <v>153</v>
      </c>
      <c r="C13" s="184">
        <v>434</v>
      </c>
      <c r="D13" s="184">
        <v>481</v>
      </c>
      <c r="E13" s="184">
        <v>543</v>
      </c>
      <c r="F13" s="184">
        <v>721</v>
      </c>
      <c r="G13" s="184">
        <v>740</v>
      </c>
      <c r="H13" s="184">
        <v>835</v>
      </c>
      <c r="I13" s="184">
        <v>981</v>
      </c>
      <c r="J13" s="184">
        <v>1588</v>
      </c>
      <c r="K13" s="184">
        <v>1692</v>
      </c>
      <c r="L13" s="184">
        <v>0</v>
      </c>
      <c r="M13" s="174"/>
      <c r="N13" s="183"/>
      <c r="O13" s="183"/>
      <c r="P13" s="183"/>
      <c r="Q13" s="183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</row>
    <row r="14" spans="2:33">
      <c r="B14" s="181" t="str">
        <f>IF($C$2=FALSE,"-",CONCATENATE(B13," ","% of Gross PPE"))</f>
        <v>Depreciation &amp; Amortization Expense % of Gross PPE</v>
      </c>
      <c r="C14" s="182">
        <f t="shared" ref="C14:L14" si="5">IF($C$2=FALSE,"-",C13/C43)</f>
        <v>4.6091758708581142E-2</v>
      </c>
      <c r="D14" s="182">
        <f t="shared" si="5"/>
        <v>4.6482412060301508E-2</v>
      </c>
      <c r="E14" s="182">
        <f t="shared" si="5"/>
        <v>4.6142080217539086E-2</v>
      </c>
      <c r="F14" s="182">
        <f t="shared" si="5"/>
        <v>5.8427876823338734E-2</v>
      </c>
      <c r="G14" s="182">
        <f t="shared" si="5"/>
        <v>5.3080840685747074E-2</v>
      </c>
      <c r="H14" s="182">
        <f t="shared" si="5"/>
        <v>5.1527306386917618E-2</v>
      </c>
      <c r="I14" s="182">
        <f t="shared" si="5"/>
        <v>4.4821126696212361E-2</v>
      </c>
      <c r="J14" s="182">
        <f t="shared" si="5"/>
        <v>6.8406995778409585E-2</v>
      </c>
      <c r="K14" s="182">
        <f t="shared" si="5"/>
        <v>6.9934694552368351E-2</v>
      </c>
      <c r="L14" s="182">
        <f t="shared" si="5"/>
        <v>0</v>
      </c>
      <c r="M14" s="174"/>
      <c r="N14" s="183">
        <f>IF($C$2=FALSE,"-",(L14+K14+J14)/3)</f>
        <v>4.6113896776925976E-2</v>
      </c>
      <c r="O14" s="183">
        <f>IF($C$2=FALSE,"-",(L14+K14+J14+I14+H14)/5)</f>
        <v>4.6938024682781576E-2</v>
      </c>
      <c r="P14" s="183">
        <f>IF($C$2=FALSE,"-",(L14+K14+J14+I14+H14+G14+F14)/7)</f>
        <v>4.9456977274713383E-2</v>
      </c>
      <c r="Q14" s="183">
        <f>IF($C$2=FALSE,"-",(L14+K14+J14+I14+H14+G14+F14+E14+D14+IF(C14&lt;&gt;"",C14,0))/IF(C14&lt;&gt;"",10,9))</f>
        <v>4.8491509190941542E-2</v>
      </c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</row>
    <row r="15" spans="2:33">
      <c r="B15" s="181" t="s">
        <v>154</v>
      </c>
      <c r="C15" s="188">
        <f t="shared" ref="C15:L15" si="6">IF($C$2=FALSE,"-",C10-C11-C13)</f>
        <v>7874</v>
      </c>
      <c r="D15" s="188">
        <f t="shared" si="6"/>
        <v>9379</v>
      </c>
      <c r="E15" s="188">
        <f t="shared" si="6"/>
        <v>8710</v>
      </c>
      <c r="F15" s="188">
        <f t="shared" si="6"/>
        <v>17340</v>
      </c>
      <c r="G15" s="188">
        <f t="shared" si="6"/>
        <v>15384</v>
      </c>
      <c r="H15" s="188">
        <f t="shared" si="6"/>
        <v>11573</v>
      </c>
      <c r="I15" s="188">
        <f t="shared" si="6"/>
        <v>10944</v>
      </c>
      <c r="J15" s="188">
        <f t="shared" si="6"/>
        <v>17210</v>
      </c>
      <c r="K15" s="188">
        <f t="shared" si="6"/>
        <v>12558</v>
      </c>
      <c r="L15" s="188">
        <f t="shared" si="6"/>
        <v>9201</v>
      </c>
      <c r="M15" s="174"/>
      <c r="N15" s="183"/>
      <c r="O15" s="183"/>
      <c r="P15" s="183"/>
      <c r="Q15" s="183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</row>
    <row r="16" spans="2:33">
      <c r="B16" s="187" t="s">
        <v>155</v>
      </c>
      <c r="C16" s="184">
        <v>26</v>
      </c>
      <c r="D16" s="184">
        <v>172</v>
      </c>
      <c r="E16" s="184">
        <v>81</v>
      </c>
      <c r="F16" s="184">
        <v>137</v>
      </c>
      <c r="G16" s="184">
        <v>148</v>
      </c>
      <c r="H16" s="184">
        <v>288</v>
      </c>
      <c r="I16" s="184">
        <v>-51</v>
      </c>
      <c r="J16" s="184">
        <v>462</v>
      </c>
      <c r="K16" s="184">
        <v>347</v>
      </c>
      <c r="L16" s="184">
        <v>287</v>
      </c>
      <c r="M16" s="174"/>
      <c r="N16" s="183"/>
      <c r="O16" s="183"/>
      <c r="P16" s="183"/>
      <c r="Q16" s="183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</row>
    <row r="17" spans="2:33">
      <c r="B17" s="181" t="str">
        <f>IF($C$2=FALSE,"-",CONCATENATE(B16," ","% of Sales"))</f>
        <v>Non-Operating Income (Expense) % of Sales</v>
      </c>
      <c r="C17" s="182">
        <f t="shared" ref="C17:L17" si="7">IF($C$2=FALSE,"-",C16/C6)</f>
        <v>1.0540398102728342E-3</v>
      </c>
      <c r="D17" s="182">
        <f t="shared" si="7"/>
        <v>6.02009030135452E-3</v>
      </c>
      <c r="E17" s="182">
        <f t="shared" si="7"/>
        <v>2.8652281570569508E-3</v>
      </c>
      <c r="F17" s="182">
        <f t="shared" si="7"/>
        <v>2.9568558047180196E-3</v>
      </c>
      <c r="G17" s="182">
        <f t="shared" si="7"/>
        <v>3.7768590823253202E-3</v>
      </c>
      <c r="H17" s="182">
        <f t="shared" si="7"/>
        <v>8.2231676326985116E-3</v>
      </c>
      <c r="I17" s="182">
        <f t="shared" si="7"/>
        <v>-1.418005894455875E-3</v>
      </c>
      <c r="J17" s="182">
        <f t="shared" si="7"/>
        <v>8.4751981215145291E-3</v>
      </c>
      <c r="K17" s="182">
        <f t="shared" si="7"/>
        <v>7.9581680159622036E-3</v>
      </c>
      <c r="L17" s="182">
        <f t="shared" si="7"/>
        <v>8.1250176938538633E-3</v>
      </c>
      <c r="M17" s="174"/>
      <c r="N17" s="183">
        <f>IF($C$2=FALSE,"-",(L17+K17+J17)/3)</f>
        <v>8.1861279437768653E-3</v>
      </c>
      <c r="O17" s="183">
        <f>IF($C$2=FALSE,"-",(L17+K17+J17+I17+H17)/5)</f>
        <v>6.2727091139146473E-3</v>
      </c>
      <c r="P17" s="183">
        <f>IF($C$2=FALSE,"-",(L17+K17+J17+I17+H17+G17+F17)/7)</f>
        <v>5.442465779516654E-3</v>
      </c>
      <c r="Q17" s="183">
        <f>IF($C$2=FALSE,"-",(L17+K17+J17+I17+H17+G17+F17+E17+D17+IF(C17&lt;&gt;"",C17,0))/IF(C17&lt;&gt;"",10,9))</f>
        <v>4.8036618725300888E-3</v>
      </c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</row>
    <row r="18" spans="2:33">
      <c r="B18" s="185" t="s">
        <v>156</v>
      </c>
      <c r="C18" s="186">
        <f t="shared" ref="C18:L18" si="8">IF($C$2=FALSE,"-",C15+C16)</f>
        <v>7900</v>
      </c>
      <c r="D18" s="186">
        <f t="shared" si="8"/>
        <v>9551</v>
      </c>
      <c r="E18" s="186">
        <f t="shared" si="8"/>
        <v>8791</v>
      </c>
      <c r="F18" s="186">
        <f t="shared" si="8"/>
        <v>17477</v>
      </c>
      <c r="G18" s="186">
        <f t="shared" si="8"/>
        <v>15532</v>
      </c>
      <c r="H18" s="186">
        <f t="shared" si="8"/>
        <v>11861</v>
      </c>
      <c r="I18" s="186">
        <f t="shared" si="8"/>
        <v>10893</v>
      </c>
      <c r="J18" s="186">
        <f t="shared" si="8"/>
        <v>17672</v>
      </c>
      <c r="K18" s="186">
        <f t="shared" si="8"/>
        <v>12905</v>
      </c>
      <c r="L18" s="186">
        <f t="shared" si="8"/>
        <v>9488</v>
      </c>
      <c r="M18" s="174"/>
      <c r="N18" s="183"/>
      <c r="O18" s="183"/>
      <c r="P18" s="183"/>
      <c r="Q18" s="183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</row>
    <row r="19" spans="2:33">
      <c r="B19" s="187" t="s">
        <v>157</v>
      </c>
      <c r="C19" s="184">
        <v>0</v>
      </c>
      <c r="D19" s="184">
        <v>0</v>
      </c>
      <c r="E19" s="184">
        <v>0</v>
      </c>
      <c r="F19" s="184">
        <v>0</v>
      </c>
      <c r="G19" s="184">
        <v>0</v>
      </c>
      <c r="H19" s="184">
        <v>0</v>
      </c>
      <c r="I19" s="184">
        <v>0</v>
      </c>
      <c r="J19" s="184">
        <v>0</v>
      </c>
      <c r="K19" s="184">
        <v>0</v>
      </c>
      <c r="L19" s="184">
        <v>53</v>
      </c>
      <c r="M19" s="174"/>
      <c r="N19" s="183"/>
      <c r="O19" s="183"/>
      <c r="P19" s="183"/>
      <c r="Q19" s="183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</row>
    <row r="20" spans="2:33">
      <c r="B20" s="181" t="s">
        <v>158</v>
      </c>
      <c r="C20" s="189">
        <f>IF($C$2=FALSE,"-",IF(ISERROR(C19/(((C63+C59)+(N63+N59)+(C67+N67)/3))),0,C19/(((C63+C59)+(N63+N59)+(C67+N67)/3))))</f>
        <v>0</v>
      </c>
      <c r="D20" s="189">
        <f t="shared" ref="D20:L20" si="9">IF($C$2=FALSE,"-",IF(ISERROR(D19/(((D63+D59)+(C63+C59)+(D67+C67)/3))),0,D19/(((D63+D59)+(C63+C59)+(D67+C67)/3))))</f>
        <v>0</v>
      </c>
      <c r="E20" s="189">
        <f t="shared" si="9"/>
        <v>0</v>
      </c>
      <c r="F20" s="189">
        <f t="shared" si="9"/>
        <v>0</v>
      </c>
      <c r="G20" s="189">
        <f t="shared" si="9"/>
        <v>0</v>
      </c>
      <c r="H20" s="189">
        <f t="shared" si="9"/>
        <v>0</v>
      </c>
      <c r="I20" s="189">
        <f t="shared" si="9"/>
        <v>0</v>
      </c>
      <c r="J20" s="189">
        <f t="shared" si="9"/>
        <v>0</v>
      </c>
      <c r="K20" s="189">
        <f t="shared" si="9"/>
        <v>0</v>
      </c>
      <c r="L20" s="189">
        <f t="shared" si="9"/>
        <v>3.1253685576129262E-3</v>
      </c>
      <c r="M20" s="174"/>
      <c r="N20" s="183">
        <f>IF($C$2=FALSE,"-",(L20+K20+J20)/3)</f>
        <v>1.0417895192043087E-3</v>
      </c>
      <c r="O20" s="183">
        <f>IF($C$2=FALSE,"-",(L20+K20+J20+I20+H20)/5)</f>
        <v>6.2507371152258529E-4</v>
      </c>
      <c r="P20" s="183">
        <f>IF($C$2=FALSE,"-",(L20+K20+J20+I20+H20+G20+F20)/7)</f>
        <v>4.4648122251613229E-4</v>
      </c>
      <c r="Q20" s="183">
        <f>IF($C$2=FALSE,"-",(L20+K20+J20+I20+H20+G20+F20+E20+D20+IF(C20&lt;&gt;"",C20,0))/IF(C20&lt;&gt;"",10,9))</f>
        <v>3.1253685576129264E-4</v>
      </c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</row>
    <row r="21" spans="2:33">
      <c r="B21" s="181" t="s">
        <v>159</v>
      </c>
      <c r="C21" s="188">
        <f t="shared" ref="C21:L21" si="10">IF($C$2=FALSE,"-",C18-C19)</f>
        <v>7900</v>
      </c>
      <c r="D21" s="188">
        <f t="shared" si="10"/>
        <v>9551</v>
      </c>
      <c r="E21" s="188">
        <f t="shared" si="10"/>
        <v>8791</v>
      </c>
      <c r="F21" s="188">
        <f t="shared" si="10"/>
        <v>17477</v>
      </c>
      <c r="G21" s="188">
        <f t="shared" si="10"/>
        <v>15532</v>
      </c>
      <c r="H21" s="188">
        <f t="shared" si="10"/>
        <v>11861</v>
      </c>
      <c r="I21" s="188">
        <f t="shared" si="10"/>
        <v>10893</v>
      </c>
      <c r="J21" s="188">
        <f t="shared" si="10"/>
        <v>17672</v>
      </c>
      <c r="K21" s="188">
        <f t="shared" si="10"/>
        <v>12905</v>
      </c>
      <c r="L21" s="188">
        <f t="shared" si="10"/>
        <v>9435</v>
      </c>
      <c r="M21" s="174"/>
      <c r="N21" s="183"/>
      <c r="O21" s="183"/>
      <c r="P21" s="183"/>
      <c r="Q21" s="183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</row>
    <row r="22" spans="2:33">
      <c r="B22" s="187" t="s">
        <v>160</v>
      </c>
      <c r="C22" s="184">
        <v>1913</v>
      </c>
      <c r="D22" s="184">
        <v>2243</v>
      </c>
      <c r="E22" s="184">
        <v>2168</v>
      </c>
      <c r="F22" s="184">
        <v>4413</v>
      </c>
      <c r="G22" s="184">
        <v>3910</v>
      </c>
      <c r="H22" s="184">
        <v>3037</v>
      </c>
      <c r="I22" s="184">
        <v>2670</v>
      </c>
      <c r="J22" s="184">
        <v>4594</v>
      </c>
      <c r="K22" s="184">
        <v>3358</v>
      </c>
      <c r="L22" s="184">
        <v>2535</v>
      </c>
      <c r="M22" s="174"/>
      <c r="N22" s="183"/>
      <c r="O22" s="183"/>
      <c r="P22" s="183"/>
      <c r="Q22" s="183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</row>
    <row r="23" spans="2:33">
      <c r="B23" s="181" t="s">
        <v>161</v>
      </c>
      <c r="C23" s="190">
        <f t="shared" ref="C23:L23" si="11">IF($C$2=FALSE,"-",C22/C21)</f>
        <v>0.24215189873417722</v>
      </c>
      <c r="D23" s="190">
        <f t="shared" si="11"/>
        <v>0.23484451889854466</v>
      </c>
      <c r="E23" s="190">
        <f t="shared" si="11"/>
        <v>0.24661585712660675</v>
      </c>
      <c r="F23" s="190">
        <f t="shared" si="11"/>
        <v>0.2525032900383361</v>
      </c>
      <c r="G23" s="190">
        <f t="shared" si="11"/>
        <v>0.25173834663919648</v>
      </c>
      <c r="H23" s="190">
        <f t="shared" si="11"/>
        <v>0.25604923699519433</v>
      </c>
      <c r="I23" s="190">
        <f t="shared" si="11"/>
        <v>0.24511153952079318</v>
      </c>
      <c r="J23" s="190">
        <f t="shared" si="11"/>
        <v>0.25995925758261657</v>
      </c>
      <c r="K23" s="190">
        <f t="shared" si="11"/>
        <v>0.26020922123208057</v>
      </c>
      <c r="L23" s="190">
        <f t="shared" si="11"/>
        <v>0.2686804451510334</v>
      </c>
      <c r="M23" s="174"/>
      <c r="N23" s="183">
        <f>IF($C$2=FALSE,"-",(L23+K23+J23)/3)</f>
        <v>0.26294964132191018</v>
      </c>
      <c r="O23" s="183">
        <f>IF($C$2=FALSE,"-",(L23+K23+J23+I23+H23)/5)</f>
        <v>0.25800194009634364</v>
      </c>
      <c r="P23" s="183">
        <f>IF($C$2=FALSE,"-",(L23+K23+J23+I23+H23+G23+F23)/7)</f>
        <v>0.25632161959417871</v>
      </c>
      <c r="Q23" s="183">
        <f>IF($C$2=FALSE,"-",(L23+K23+J23+I23+H23+G23+F23+E23+D23+IF(C23&lt;&gt;"",C23,0))/IF(C23&lt;&gt;"",10,9))</f>
        <v>0.25178636119185793</v>
      </c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  <c r="AF23" s="174"/>
      <c r="AG23" s="174"/>
    </row>
    <row r="24" spans="2:33">
      <c r="B24" s="181" t="s">
        <v>162</v>
      </c>
      <c r="C24" s="184">
        <v>0</v>
      </c>
      <c r="D24" s="184">
        <v>0</v>
      </c>
      <c r="E24" s="184">
        <v>0</v>
      </c>
      <c r="F24" s="184">
        <v>0</v>
      </c>
      <c r="G24" s="184">
        <v>0</v>
      </c>
      <c r="H24" s="184">
        <v>0</v>
      </c>
      <c r="I24" s="184">
        <v>0</v>
      </c>
      <c r="J24" s="184">
        <v>0</v>
      </c>
      <c r="K24" s="184">
        <v>0</v>
      </c>
      <c r="L24" s="184">
        <v>0</v>
      </c>
      <c r="M24" s="174"/>
      <c r="N24" s="183"/>
      <c r="O24" s="183"/>
      <c r="P24" s="183"/>
      <c r="Q24" s="183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</row>
    <row r="25" spans="2:33">
      <c r="B25" s="181" t="str">
        <f>IF($C$2=FALSE,"-",CONCATENATE(B24," ","% of Sales"))</f>
        <v>After Tax Adjustments % of Sales</v>
      </c>
      <c r="C25" s="182">
        <f t="shared" ref="C25:L25" si="12">IF($C$2=FALSE,"-",C24/C6)</f>
        <v>0</v>
      </c>
      <c r="D25" s="182">
        <f t="shared" si="12"/>
        <v>0</v>
      </c>
      <c r="E25" s="182">
        <f t="shared" si="12"/>
        <v>0</v>
      </c>
      <c r="F25" s="182">
        <f t="shared" si="12"/>
        <v>0</v>
      </c>
      <c r="G25" s="182">
        <f t="shared" si="12"/>
        <v>0</v>
      </c>
      <c r="H25" s="182">
        <f t="shared" si="12"/>
        <v>0</v>
      </c>
      <c r="I25" s="182">
        <f t="shared" si="12"/>
        <v>0</v>
      </c>
      <c r="J25" s="182">
        <f t="shared" si="12"/>
        <v>0</v>
      </c>
      <c r="K25" s="182">
        <f t="shared" si="12"/>
        <v>0</v>
      </c>
      <c r="L25" s="182">
        <f t="shared" si="12"/>
        <v>0</v>
      </c>
      <c r="M25" s="174"/>
      <c r="N25" s="183">
        <f>IF($C$2=FALSE,"-",(L25+K25+J25)/3)</f>
        <v>0</v>
      </c>
      <c r="O25" s="183">
        <f>IF($C$2=FALSE,"-",(L25+K25+J25+I25+H25)/5)</f>
        <v>0</v>
      </c>
      <c r="P25" s="183">
        <f>IF($C$2=FALSE,"-",(L25+K25+J25+I25+H25+G25+F25)/7)</f>
        <v>0</v>
      </c>
      <c r="Q25" s="183">
        <f>IF($C$2=FALSE,"-",(L25+K25+J25+I25+H25+G25+F25+E25+D25+IF(C25&lt;&gt;"",C25,0))/IF(C25&lt;&gt;"",10,9))</f>
        <v>0</v>
      </c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  <c r="AD25" s="174"/>
      <c r="AE25" s="174"/>
      <c r="AF25" s="174"/>
      <c r="AG25" s="174"/>
    </row>
    <row r="26" spans="2:33">
      <c r="B26" s="185" t="s">
        <v>163</v>
      </c>
      <c r="C26" s="186">
        <f>IF($C$2=FALSE,"-",C21-C22-C24)</f>
        <v>5987</v>
      </c>
      <c r="D26" s="186">
        <f t="shared" ref="D26:L26" si="13">IF($C$2=FALSE,"-",D21-D22-D24)</f>
        <v>7308</v>
      </c>
      <c r="E26" s="186">
        <f t="shared" si="13"/>
        <v>6623</v>
      </c>
      <c r="F26" s="186">
        <f t="shared" si="13"/>
        <v>13064</v>
      </c>
      <c r="G26" s="186">
        <f t="shared" si="13"/>
        <v>11622</v>
      </c>
      <c r="H26" s="186">
        <f t="shared" si="13"/>
        <v>8824</v>
      </c>
      <c r="I26" s="186">
        <f t="shared" si="13"/>
        <v>8223</v>
      </c>
      <c r="J26" s="186">
        <f t="shared" si="13"/>
        <v>13078</v>
      </c>
      <c r="K26" s="186">
        <f t="shared" si="13"/>
        <v>9547</v>
      </c>
      <c r="L26" s="186">
        <f t="shared" si="13"/>
        <v>6900</v>
      </c>
      <c r="M26" s="174"/>
      <c r="N26" s="180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</row>
    <row r="27" spans="2:33">
      <c r="B27" s="191" t="s">
        <v>164</v>
      </c>
      <c r="C27" s="192">
        <f t="shared" ref="C27:L27" si="14">IF($C$2=FALSE,"-",C18+C13)</f>
        <v>8334</v>
      </c>
      <c r="D27" s="192">
        <f t="shared" si="14"/>
        <v>10032</v>
      </c>
      <c r="E27" s="192">
        <f t="shared" si="14"/>
        <v>9334</v>
      </c>
      <c r="F27" s="192">
        <f t="shared" si="14"/>
        <v>18198</v>
      </c>
      <c r="G27" s="192">
        <f t="shared" si="14"/>
        <v>16272</v>
      </c>
      <c r="H27" s="192">
        <f t="shared" si="14"/>
        <v>12696</v>
      </c>
      <c r="I27" s="192">
        <f t="shared" si="14"/>
        <v>11874</v>
      </c>
      <c r="J27" s="192">
        <f t="shared" si="14"/>
        <v>19260</v>
      </c>
      <c r="K27" s="192">
        <f t="shared" si="14"/>
        <v>14597</v>
      </c>
      <c r="L27" s="192">
        <f t="shared" si="14"/>
        <v>9488</v>
      </c>
      <c r="M27" s="174"/>
      <c r="N27" s="180"/>
      <c r="O27" s="174"/>
      <c r="P27" s="174"/>
      <c r="Q27" s="174"/>
      <c r="R27" s="174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4"/>
      <c r="AD27" s="194"/>
      <c r="AE27" s="194"/>
      <c r="AF27" s="174"/>
      <c r="AG27" s="174"/>
    </row>
    <row r="28" spans="2:33">
      <c r="B28" s="195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74"/>
      <c r="N28" s="180"/>
      <c r="O28" s="174"/>
      <c r="P28" s="174"/>
      <c r="Q28" s="174"/>
      <c r="R28" s="174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  <c r="AC28" s="194"/>
      <c r="AD28" s="194"/>
      <c r="AE28" s="194"/>
      <c r="AF28" s="174"/>
      <c r="AG28" s="174"/>
    </row>
    <row r="29" spans="2:33">
      <c r="B29" s="174"/>
      <c r="C29" s="197"/>
      <c r="D29" s="197"/>
      <c r="E29" s="197"/>
      <c r="F29" s="197"/>
      <c r="G29" s="197"/>
      <c r="H29" s="197"/>
      <c r="I29" s="197"/>
      <c r="J29" s="197"/>
      <c r="K29" s="197"/>
      <c r="L29" s="197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  <c r="AD29" s="174"/>
      <c r="AE29" s="174"/>
      <c r="AF29" s="174"/>
      <c r="AG29" s="174"/>
    </row>
    <row r="30" spans="2:33">
      <c r="B30" s="195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2:33">
      <c r="B31" s="172" t="s">
        <v>165</v>
      </c>
      <c r="C31" s="175">
        <f t="shared" ref="C31:L31" si="15">IF($C$2=FALSE,"-",C4)</f>
        <v>2004</v>
      </c>
      <c r="D31" s="175">
        <f t="shared" si="15"/>
        <v>2005</v>
      </c>
      <c r="E31" s="175">
        <f t="shared" si="15"/>
        <v>2006</v>
      </c>
      <c r="F31" s="175">
        <f t="shared" si="15"/>
        <v>2007</v>
      </c>
      <c r="G31" s="175">
        <f t="shared" si="15"/>
        <v>2008</v>
      </c>
      <c r="H31" s="175">
        <f t="shared" si="15"/>
        <v>2009</v>
      </c>
      <c r="I31" s="175">
        <f t="shared" si="15"/>
        <v>2010</v>
      </c>
      <c r="J31" s="175">
        <f t="shared" si="15"/>
        <v>2011</v>
      </c>
      <c r="K31" s="175">
        <f t="shared" si="15"/>
        <v>2012</v>
      </c>
      <c r="L31" s="175">
        <f t="shared" si="15"/>
        <v>2013</v>
      </c>
      <c r="M31" s="176"/>
      <c r="N31" s="172" t="str">
        <f>IF($C$2=FALSE,"-",N4)</f>
        <v>3 YA</v>
      </c>
      <c r="O31" s="172" t="str">
        <f>IF($C$2=FALSE,"-",O4)</f>
        <v>5 YA</v>
      </c>
      <c r="P31" s="172" t="str">
        <f>IF($C$2=FALSE,"-",P4)</f>
        <v>7 YA</v>
      </c>
      <c r="Q31" s="172" t="str">
        <f>IF($C$2=FALSE,"-",Q4)</f>
        <v>10 YA</v>
      </c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  <c r="AD31" s="174"/>
      <c r="AE31" s="174"/>
      <c r="AF31" s="174"/>
      <c r="AG31" s="174"/>
    </row>
    <row r="32" spans="2:33"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  <c r="AD32" s="174"/>
      <c r="AE32" s="174"/>
      <c r="AF32" s="174"/>
      <c r="AG32" s="174"/>
    </row>
    <row r="33" spans="2:33">
      <c r="B33" s="199" t="s">
        <v>166</v>
      </c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174"/>
      <c r="AG33" s="174"/>
    </row>
    <row r="34" spans="2:33">
      <c r="B34" s="178" t="s">
        <v>167</v>
      </c>
      <c r="C34" s="179">
        <v>29234</v>
      </c>
      <c r="D34" s="179">
        <v>28395</v>
      </c>
      <c r="E34" s="179">
        <v>25952</v>
      </c>
      <c r="F34" s="179">
        <v>30156</v>
      </c>
      <c r="G34" s="179">
        <v>28538</v>
      </c>
      <c r="H34" s="179">
        <v>27654</v>
      </c>
      <c r="I34" s="179">
        <v>29129</v>
      </c>
      <c r="J34" s="179">
        <v>39820</v>
      </c>
      <c r="K34" s="179">
        <v>39137</v>
      </c>
      <c r="L34" s="179">
        <v>42606</v>
      </c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</row>
    <row r="35" spans="2:33">
      <c r="B35" s="195" t="str">
        <f>IF($C$2=FALSE,"-",CONCATENATE(B34," ","% of Sales"))</f>
        <v>Cash &amp; Cash Equivalents (ST Inv) % of Sales</v>
      </c>
      <c r="C35" s="196">
        <f t="shared" ref="C35:L35" si="16">IF($C$2=FALSE,"-",C34/C$6)</f>
        <v>1.1851461466736937</v>
      </c>
      <c r="D35" s="196">
        <f t="shared" si="16"/>
        <v>0.99383990759861396</v>
      </c>
      <c r="E35" s="196">
        <f t="shared" si="16"/>
        <v>0.91800495224619738</v>
      </c>
      <c r="F35" s="196">
        <f t="shared" si="16"/>
        <v>0.65085360326333286</v>
      </c>
      <c r="G35" s="196">
        <f t="shared" si="16"/>
        <v>0.72827030061756748</v>
      </c>
      <c r="H35" s="196">
        <f t="shared" si="16"/>
        <v>0.7895954087314051</v>
      </c>
      <c r="I35" s="196">
        <f t="shared" si="16"/>
        <v>0.80990379803147416</v>
      </c>
      <c r="J35" s="196">
        <f t="shared" si="16"/>
        <v>0.73048136190196655</v>
      </c>
      <c r="K35" s="196">
        <f t="shared" si="16"/>
        <v>0.89757585487237113</v>
      </c>
      <c r="L35" s="196">
        <f t="shared" si="16"/>
        <v>1.2061829402938595</v>
      </c>
      <c r="M35" s="174"/>
      <c r="N35" s="183">
        <f>IF($C$2=FALSE,"-",(L35+K35+J35)/3)</f>
        <v>0.94474671902273233</v>
      </c>
      <c r="O35" s="183">
        <f>IF($C$2=FALSE,"-",(L35+K35+J35+I35+H35)/5)</f>
        <v>0.88674787276621525</v>
      </c>
      <c r="P35" s="183">
        <f>IF($C$2=FALSE,"-",(L35+K35+J35+I35+H35+G35+F35)/7)</f>
        <v>0.83040903824456813</v>
      </c>
      <c r="Q35" s="183">
        <f>IF($C$2=FALSE,"-",(L35+K35+J35+I35+H35+G35+F35+E35+D35+IF(C35&lt;&gt;"",C35,0))/IF(C35&lt;&gt;"",10,9))</f>
        <v>0.89098542742304809</v>
      </c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</row>
    <row r="36" spans="2:33">
      <c r="B36" s="195" t="s">
        <v>168</v>
      </c>
      <c r="C36" s="200">
        <v>11095</v>
      </c>
      <c r="D36" s="200">
        <v>11471</v>
      </c>
      <c r="E36" s="200">
        <v>11717</v>
      </c>
      <c r="F36" s="200">
        <v>16484</v>
      </c>
      <c r="G36" s="200">
        <v>13769</v>
      </c>
      <c r="H36" s="200">
        <v>14298</v>
      </c>
      <c r="I36" s="200">
        <v>18692</v>
      </c>
      <c r="J36" s="200">
        <v>21534</v>
      </c>
      <c r="K36" s="200">
        <v>13336</v>
      </c>
      <c r="L36" s="200">
        <v>13453</v>
      </c>
      <c r="M36" s="174"/>
      <c r="N36" s="183"/>
      <c r="O36" s="183"/>
      <c r="P36" s="183"/>
      <c r="Q36" s="183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</row>
    <row r="37" spans="2:33">
      <c r="B37" s="195" t="str">
        <f>IF($C$2=FALSE,"-",CONCATENATE(B36," ","% of Sales"))</f>
        <v>Total Accounts Receivable % of Sales</v>
      </c>
      <c r="C37" s="196">
        <f t="shared" ref="C37:L37" si="17">IF($C$2=FALSE,"-",C36/C$6)</f>
        <v>0.44979121903758057</v>
      </c>
      <c r="D37" s="196">
        <f t="shared" si="17"/>
        <v>0.40149102236533546</v>
      </c>
      <c r="E37" s="196">
        <f t="shared" si="17"/>
        <v>0.41446763353378141</v>
      </c>
      <c r="F37" s="196">
        <f t="shared" si="17"/>
        <v>0.35577234368592581</v>
      </c>
      <c r="G37" s="196">
        <f t="shared" si="17"/>
        <v>0.35137549124687389</v>
      </c>
      <c r="H37" s="196">
        <f t="shared" si="17"/>
        <v>0.40824600976501157</v>
      </c>
      <c r="I37" s="196">
        <f t="shared" si="17"/>
        <v>0.51971306233665127</v>
      </c>
      <c r="J37" s="196">
        <f t="shared" si="17"/>
        <v>0.39503228646903432</v>
      </c>
      <c r="K37" s="196">
        <f t="shared" si="17"/>
        <v>0.30585051487282983</v>
      </c>
      <c r="L37" s="196">
        <f t="shared" si="17"/>
        <v>0.38085666562862724</v>
      </c>
      <c r="M37" s="174"/>
      <c r="N37" s="183">
        <f>IF($C$2=FALSE,"-",(L37+K37+J37)/3)</f>
        <v>0.36057982232349711</v>
      </c>
      <c r="O37" s="183">
        <f>IF($C$2=FALSE,"-",(L37+K37+J37+I37+H37)/5)</f>
        <v>0.40193970781443084</v>
      </c>
      <c r="P37" s="183">
        <f>IF($C$2=FALSE,"-",(L37+K37+J37+I37+H37+G37+F37)/7)</f>
        <v>0.38812091057213627</v>
      </c>
      <c r="Q37" s="183">
        <f>IF($C$2=FALSE,"-",(L37+K37+J37+I37+H37+G37+F37+E37+D37+IF(C37&lt;&gt;"",C37,0))/IF(C37&lt;&gt;"",10,9))</f>
        <v>0.39825962489416511</v>
      </c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  <c r="AD37" s="174"/>
      <c r="AE37" s="174"/>
      <c r="AF37" s="174"/>
      <c r="AG37" s="174"/>
    </row>
    <row r="38" spans="2:33">
      <c r="B38" s="195" t="s">
        <v>169</v>
      </c>
      <c r="C38" s="200">
        <v>930</v>
      </c>
      <c r="D38" s="200">
        <v>889</v>
      </c>
      <c r="E38" s="200">
        <v>776</v>
      </c>
      <c r="F38" s="200">
        <v>1236</v>
      </c>
      <c r="G38" s="200">
        <v>1102</v>
      </c>
      <c r="H38" s="200">
        <v>1122</v>
      </c>
      <c r="I38" s="200">
        <v>791</v>
      </c>
      <c r="J38" s="200">
        <v>1455</v>
      </c>
      <c r="K38" s="200">
        <v>1245</v>
      </c>
      <c r="L38" s="200">
        <v>0</v>
      </c>
      <c r="M38" s="174"/>
      <c r="N38" s="183"/>
      <c r="O38" s="183"/>
      <c r="P38" s="183"/>
      <c r="Q38" s="183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  <c r="AD38" s="174"/>
      <c r="AE38" s="174"/>
      <c r="AF38" s="174"/>
      <c r="AG38" s="174"/>
    </row>
    <row r="39" spans="2:33">
      <c r="B39" s="195" t="str">
        <f>IF($C$2=FALSE,"-",CONCATENATE(B38," ","% of Sales"))</f>
        <v>Inventories % of Sales</v>
      </c>
      <c r="C39" s="196">
        <f t="shared" ref="C39:L39" si="18">IF($C$2=FALSE,"-",C38/C$6)</f>
        <v>3.7702193213605219E-2</v>
      </c>
      <c r="D39" s="196">
        <f t="shared" si="18"/>
        <v>3.1115466732000979E-2</v>
      </c>
      <c r="E39" s="196">
        <f t="shared" si="18"/>
        <v>2.7449593208348073E-2</v>
      </c>
      <c r="F39" s="196">
        <f t="shared" si="18"/>
        <v>2.6676450909718773E-2</v>
      </c>
      <c r="G39" s="196">
        <f t="shared" si="18"/>
        <v>2.8122288572449344E-2</v>
      </c>
      <c r="H39" s="196">
        <f t="shared" si="18"/>
        <v>3.2036090569054619E-2</v>
      </c>
      <c r="I39" s="196">
        <f t="shared" si="18"/>
        <v>2.1992993382639159E-2</v>
      </c>
      <c r="J39" s="196">
        <f t="shared" si="18"/>
        <v>2.6691370707367185E-2</v>
      </c>
      <c r="K39" s="196">
        <f t="shared" si="18"/>
        <v>2.8553081210008487E-2</v>
      </c>
      <c r="L39" s="196">
        <f t="shared" si="18"/>
        <v>0</v>
      </c>
      <c r="M39" s="174"/>
      <c r="N39" s="183">
        <f>IF($C$2=FALSE,"-",(L39+K39+J39)/3)</f>
        <v>1.8414817305791892E-2</v>
      </c>
      <c r="O39" s="183">
        <f>IF($C$2=FALSE,"-",(L39+K39+J39+I39+H39)/5)</f>
        <v>2.1854707173813891E-2</v>
      </c>
      <c r="P39" s="183">
        <f>IF($C$2=FALSE,"-",(L39+K39+J39+I39+H39+G39+F39)/7)</f>
        <v>2.3438896478748222E-2</v>
      </c>
      <c r="Q39" s="183">
        <f>IF($C$2=FALSE,"-",(L39+K39+J39+I39+H39+G39+F39+E39+D39+IF(C39&lt;&gt;"",C39,0))/IF(C39&lt;&gt;"",10,9))</f>
        <v>2.6033952850519182E-2</v>
      </c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  <c r="AD39" s="174"/>
      <c r="AE39" s="174"/>
      <c r="AF39" s="174"/>
      <c r="AG39" s="174"/>
    </row>
    <row r="40" spans="2:33">
      <c r="B40" s="195" t="s">
        <v>170</v>
      </c>
      <c r="C40" s="200">
        <v>5738</v>
      </c>
      <c r="D40" s="200">
        <v>6143</v>
      </c>
      <c r="E40" s="200">
        <v>6543</v>
      </c>
      <c r="F40" s="200">
        <v>6895</v>
      </c>
      <c r="G40" s="200">
        <v>7303</v>
      </c>
      <c r="H40" s="200">
        <v>8869</v>
      </c>
      <c r="I40" s="200">
        <v>9041</v>
      </c>
      <c r="J40" s="200">
        <v>9539</v>
      </c>
      <c r="K40" s="200">
        <v>9619</v>
      </c>
      <c r="L40" s="200">
        <v>10463</v>
      </c>
      <c r="M40" s="174"/>
      <c r="N40" s="183"/>
      <c r="O40" s="183"/>
      <c r="P40" s="183"/>
      <c r="Q40" s="183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</row>
    <row r="41" spans="2:33">
      <c r="B41" s="195" t="str">
        <f>IF($C$2=FALSE,"-",CONCATENATE(B40," ","% of Sales"))</f>
        <v>Other Current Assets % of Sales</v>
      </c>
      <c r="C41" s="196">
        <f t="shared" ref="C41:L41" si="19">IF($C$2=FALSE,"-",C40/C$6)</f>
        <v>0.23261847812867395</v>
      </c>
      <c r="D41" s="196">
        <f t="shared" si="19"/>
        <v>0.21500822512337686</v>
      </c>
      <c r="E41" s="196">
        <f t="shared" si="19"/>
        <v>0.23144676335337813</v>
      </c>
      <c r="F41" s="196">
        <f t="shared" si="19"/>
        <v>0.14881402024474996</v>
      </c>
      <c r="G41" s="196">
        <f t="shared" si="19"/>
        <v>0.18636758025825551</v>
      </c>
      <c r="H41" s="196">
        <f t="shared" si="19"/>
        <v>0.25323358935556634</v>
      </c>
      <c r="I41" s="196">
        <f t="shared" si="19"/>
        <v>0.25137629983873661</v>
      </c>
      <c r="J41" s="196">
        <f t="shared" si="19"/>
        <v>0.17498899324919284</v>
      </c>
      <c r="K41" s="196">
        <f t="shared" si="19"/>
        <v>0.22060408687475633</v>
      </c>
      <c r="L41" s="196">
        <f t="shared" si="19"/>
        <v>0.29620926874840753</v>
      </c>
      <c r="M41" s="174"/>
      <c r="N41" s="183">
        <f>IF($C$2=FALSE,"-",(L41+K41+J41)/3)</f>
        <v>0.23060078295745223</v>
      </c>
      <c r="O41" s="183">
        <f>IF($C$2=FALSE,"-",(L41+K41+J41+I41+H41)/5)</f>
        <v>0.23928244761333195</v>
      </c>
      <c r="P41" s="183">
        <f>IF($C$2=FALSE,"-",(L41+K41+J41+I41+H41+G41+F41)/7)</f>
        <v>0.21879911979566644</v>
      </c>
      <c r="Q41" s="183">
        <f>IF($C$2=FALSE,"-",(L41+K41+J41+I41+H41+G41+F41+E41+D41+IF(C41&lt;&gt;"",C41,0))/IF(C41&lt;&gt;"",10,9))</f>
        <v>0.22106673051750941</v>
      </c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</row>
    <row r="42" spans="2:33">
      <c r="B42" s="185" t="s">
        <v>171</v>
      </c>
      <c r="C42" s="186">
        <f t="shared" ref="C42:L42" si="20">IF($C$2=FALSE,"-",C40+C38+C36+C34)</f>
        <v>46997</v>
      </c>
      <c r="D42" s="186">
        <f t="shared" si="20"/>
        <v>46898</v>
      </c>
      <c r="E42" s="186">
        <f t="shared" si="20"/>
        <v>44988</v>
      </c>
      <c r="F42" s="186">
        <f t="shared" si="20"/>
        <v>54771</v>
      </c>
      <c r="G42" s="186">
        <f t="shared" si="20"/>
        <v>50712</v>
      </c>
      <c r="H42" s="186">
        <f t="shared" si="20"/>
        <v>51943</v>
      </c>
      <c r="I42" s="186">
        <f t="shared" si="20"/>
        <v>57653</v>
      </c>
      <c r="J42" s="186">
        <f t="shared" si="20"/>
        <v>72348</v>
      </c>
      <c r="K42" s="186">
        <f t="shared" si="20"/>
        <v>63337</v>
      </c>
      <c r="L42" s="186">
        <f t="shared" si="20"/>
        <v>66522</v>
      </c>
      <c r="M42" s="174"/>
      <c r="N42" s="183"/>
      <c r="O42" s="183"/>
      <c r="P42" s="183"/>
      <c r="Q42" s="183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</row>
    <row r="43" spans="2:33">
      <c r="B43" s="195" t="s">
        <v>172</v>
      </c>
      <c r="C43" s="200">
        <v>9416</v>
      </c>
      <c r="D43" s="200">
        <v>10348</v>
      </c>
      <c r="E43" s="200">
        <v>11768</v>
      </c>
      <c r="F43" s="200">
        <v>12340</v>
      </c>
      <c r="G43" s="200">
        <v>13941</v>
      </c>
      <c r="H43" s="200">
        <v>16205</v>
      </c>
      <c r="I43" s="200">
        <v>21887</v>
      </c>
      <c r="J43" s="200">
        <v>23214</v>
      </c>
      <c r="K43" s="200">
        <v>24194</v>
      </c>
      <c r="L43" s="200">
        <v>26889</v>
      </c>
      <c r="M43" s="174"/>
      <c r="N43" s="183"/>
      <c r="O43" s="183"/>
      <c r="P43" s="183"/>
      <c r="Q43" s="183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</row>
    <row r="44" spans="2:33">
      <c r="B44" s="195" t="str">
        <f>IF($C$2=FALSE,"-",CONCATENATE(B43," ","% of Sales"))</f>
        <v>Property, Plant &amp; Equipment - Gross % of Sales</v>
      </c>
      <c r="C44" s="196">
        <f t="shared" ref="C44:L44" si="21">IF($C$2=FALSE,"-",C43/C$6)</f>
        <v>0.38172457128957715</v>
      </c>
      <c r="D44" s="196">
        <f t="shared" si="21"/>
        <v>0.36218543278149173</v>
      </c>
      <c r="E44" s="196">
        <f t="shared" si="21"/>
        <v>0.41627166607711352</v>
      </c>
      <c r="F44" s="196">
        <f t="shared" si="21"/>
        <v>0.26633285131547707</v>
      </c>
      <c r="G44" s="196">
        <f t="shared" si="21"/>
        <v>0.35576481396417087</v>
      </c>
      <c r="H44" s="196">
        <f t="shared" si="21"/>
        <v>0.46269594266624792</v>
      </c>
      <c r="I44" s="196">
        <f t="shared" si="21"/>
        <v>0.60854696101873995</v>
      </c>
      <c r="J44" s="196">
        <f t="shared" si="21"/>
        <v>0.42585118872908717</v>
      </c>
      <c r="K44" s="196">
        <f t="shared" si="21"/>
        <v>0.55487007774694397</v>
      </c>
      <c r="L44" s="196">
        <f t="shared" si="21"/>
        <v>0.761232058432183</v>
      </c>
      <c r="M44" s="174"/>
      <c r="N44" s="183">
        <f>IF($C$2=FALSE,"-",(L44+K44+J44)/3)</f>
        <v>0.58065110830273803</v>
      </c>
      <c r="O44" s="183">
        <f>IF($C$2=FALSE,"-",(L44+K44+J44+I44+H44)/5)</f>
        <v>0.56263924571864044</v>
      </c>
      <c r="P44" s="183">
        <f>IF($C$2=FALSE,"-",(L44+K44+J44+I44+H44+G44+F44)/7)</f>
        <v>0.49075627055326432</v>
      </c>
      <c r="Q44" s="183">
        <f>IF($C$2=FALSE,"-",(L44+K44+J44+I44+H44+G44+F44+E44+D44+IF(C44&lt;&gt;"",C44,0))/IF(C44&lt;&gt;"",10,9))</f>
        <v>0.45954755640210332</v>
      </c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</row>
    <row r="45" spans="2:33">
      <c r="B45" s="195" t="s">
        <v>173</v>
      </c>
      <c r="C45" s="200">
        <v>3175</v>
      </c>
      <c r="D45" s="200">
        <v>3599</v>
      </c>
      <c r="E45" s="200">
        <v>3991</v>
      </c>
      <c r="F45" s="200">
        <v>4524</v>
      </c>
      <c r="G45" s="200">
        <v>5094</v>
      </c>
      <c r="H45" s="200">
        <v>5718</v>
      </c>
      <c r="I45" s="200">
        <v>6435</v>
      </c>
      <c r="J45" s="200">
        <v>7792</v>
      </c>
      <c r="K45" s="200">
        <v>9168</v>
      </c>
      <c r="L45" s="200">
        <v>-10562</v>
      </c>
      <c r="M45" s="174"/>
      <c r="N45" s="183"/>
      <c r="O45" s="183"/>
      <c r="P45" s="183"/>
      <c r="Q45" s="183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</row>
    <row r="46" spans="2:33">
      <c r="B46" s="195" t="str">
        <f>IF($C$2=FALSE,"-",CONCATENATE(B45," ","% of Gross PPE"))</f>
        <v>Accumulated Depreciation % of Gross PPE</v>
      </c>
      <c r="C46" s="196">
        <f t="shared" ref="C46:L46" si="22">IF($C$2=FALSE,"-",C45/C43)</f>
        <v>0.33719201359388273</v>
      </c>
      <c r="D46" s="196">
        <f t="shared" si="22"/>
        <v>0.34779667568612294</v>
      </c>
      <c r="E46" s="196">
        <f t="shared" si="22"/>
        <v>0.33914004078857918</v>
      </c>
      <c r="F46" s="196">
        <f t="shared" si="22"/>
        <v>0.36661264181523501</v>
      </c>
      <c r="G46" s="196">
        <f t="shared" si="22"/>
        <v>0.3653970303421562</v>
      </c>
      <c r="H46" s="196">
        <f t="shared" si="22"/>
        <v>0.35285405738969455</v>
      </c>
      <c r="I46" s="196">
        <f t="shared" si="22"/>
        <v>0.29401014300726458</v>
      </c>
      <c r="J46" s="196">
        <f t="shared" si="22"/>
        <v>0.33565951580942532</v>
      </c>
      <c r="K46" s="196">
        <f t="shared" si="22"/>
        <v>0.37893692651070515</v>
      </c>
      <c r="L46" s="196">
        <f t="shared" si="22"/>
        <v>-0.39280002975194317</v>
      </c>
      <c r="M46" s="174"/>
      <c r="N46" s="183">
        <f>IF($C$2=FALSE,"-",(L46+K46+J46)/3)</f>
        <v>0.10726547085606243</v>
      </c>
      <c r="O46" s="183">
        <f>IF($C$2=FALSE,"-",(L46+K46+J46+I46+H46)/5)</f>
        <v>0.1937321225930293</v>
      </c>
      <c r="P46" s="183">
        <f>IF($C$2=FALSE,"-",(L46+K46+J46+I46+H46+G46+F46)/7)</f>
        <v>0.24295289787464824</v>
      </c>
      <c r="Q46" s="183">
        <f>IF($C$2=FALSE,"-",(L46+K46+J46+I46+H46+G46+F46+E46+D46+IF(C46&lt;&gt;"",C46,0))/IF(C46&lt;&gt;"",10,9))</f>
        <v>0.27247990151911228</v>
      </c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</row>
    <row r="47" spans="2:33">
      <c r="B47" s="201" t="s">
        <v>174</v>
      </c>
      <c r="C47" s="186">
        <f t="shared" ref="C47:L47" si="23">IF($C$2=FALSE,"-",C43-C45)</f>
        <v>6241</v>
      </c>
      <c r="D47" s="186">
        <f t="shared" si="23"/>
        <v>6749</v>
      </c>
      <c r="E47" s="186">
        <f t="shared" si="23"/>
        <v>7777</v>
      </c>
      <c r="F47" s="186">
        <f t="shared" si="23"/>
        <v>7816</v>
      </c>
      <c r="G47" s="186">
        <f t="shared" si="23"/>
        <v>8847</v>
      </c>
      <c r="H47" s="186">
        <f t="shared" si="23"/>
        <v>10487</v>
      </c>
      <c r="I47" s="186">
        <f t="shared" si="23"/>
        <v>15452</v>
      </c>
      <c r="J47" s="186">
        <f t="shared" si="23"/>
        <v>15422</v>
      </c>
      <c r="K47" s="186">
        <f t="shared" si="23"/>
        <v>15026</v>
      </c>
      <c r="L47" s="186">
        <f t="shared" si="23"/>
        <v>37451</v>
      </c>
      <c r="M47" s="174"/>
      <c r="N47" s="183"/>
      <c r="O47" s="183"/>
      <c r="P47" s="183"/>
      <c r="Q47" s="183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</row>
    <row r="48" spans="2:33">
      <c r="B48" s="195" t="s">
        <v>175</v>
      </c>
      <c r="C48" s="200">
        <v>1248</v>
      </c>
      <c r="D48" s="200">
        <v>1910</v>
      </c>
      <c r="E48" s="200">
        <v>4432</v>
      </c>
      <c r="F48" s="200">
        <v>4368</v>
      </c>
      <c r="G48" s="200">
        <v>4745</v>
      </c>
      <c r="H48" s="200">
        <v>5461</v>
      </c>
      <c r="I48" s="200">
        <v>5359</v>
      </c>
      <c r="J48" s="200">
        <v>5843</v>
      </c>
      <c r="K48" s="200">
        <v>5536</v>
      </c>
      <c r="L48" s="200">
        <v>1522</v>
      </c>
      <c r="M48" s="174"/>
      <c r="N48" s="183"/>
      <c r="O48" s="183"/>
      <c r="P48" s="183"/>
      <c r="Q48" s="183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</row>
    <row r="49" spans="2:33">
      <c r="B49" s="195" t="str">
        <f>IF($C$2=FALSE,"-",CONCATENATE(B48," ","% of Sales"))</f>
        <v>Intangible Assets (Including Goodwill) % of Sales</v>
      </c>
      <c r="C49" s="196">
        <f t="shared" ref="C49:L49" si="24">IF($C$2=FALSE,"-",C48/C$6)</f>
        <v>5.059391089309604E-2</v>
      </c>
      <c r="D49" s="196">
        <f t="shared" si="24"/>
        <v>6.6851002765041481E-2</v>
      </c>
      <c r="E49" s="196">
        <f t="shared" si="24"/>
        <v>0.15677396533427662</v>
      </c>
      <c r="F49" s="196">
        <f t="shared" si="24"/>
        <v>9.4274059525608092E-2</v>
      </c>
      <c r="G49" s="196">
        <f t="shared" si="24"/>
        <v>0.12108916449752463</v>
      </c>
      <c r="H49" s="196">
        <f t="shared" si="24"/>
        <v>0.15592610570196727</v>
      </c>
      <c r="I49" s="196">
        <f t="shared" si="24"/>
        <v>0.14900183506645165</v>
      </c>
      <c r="J49" s="196">
        <f t="shared" si="24"/>
        <v>0.10718740827707661</v>
      </c>
      <c r="K49" s="196">
        <f t="shared" si="24"/>
        <v>0.12696374102699357</v>
      </c>
      <c r="L49" s="196">
        <f t="shared" si="24"/>
        <v>4.3088072926988082E-2</v>
      </c>
      <c r="M49" s="174"/>
      <c r="N49" s="183">
        <f>IF($C$2=FALSE,"-",(L49+K49+J49)/3)</f>
        <v>9.2413074077019416E-2</v>
      </c>
      <c r="O49" s="183">
        <f>IF($C$2=FALSE,"-",(L49+K49+J49+I49+H49)/5)</f>
        <v>0.11643343259989543</v>
      </c>
      <c r="P49" s="183">
        <f>IF($C$2=FALSE,"-",(L49+K49+J49+I49+H49+G49+F49)/7)</f>
        <v>0.1139329124318014</v>
      </c>
      <c r="Q49" s="183">
        <f>IF($C$2=FALSE,"-",(L49+K49+J49+I49+H49+G49+F49+E49+D49+IF(C49&lt;&gt;"",C49,0))/IF(C49&lt;&gt;"",10,9))</f>
        <v>0.10717492660150238</v>
      </c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</row>
    <row r="50" spans="2:33">
      <c r="B50" s="195" t="s">
        <v>176</v>
      </c>
      <c r="C50" s="200">
        <v>40418</v>
      </c>
      <c r="D50" s="200">
        <v>51201</v>
      </c>
      <c r="E50" s="200">
        <v>59174</v>
      </c>
      <c r="F50" s="200">
        <v>71726</v>
      </c>
      <c r="G50" s="200">
        <v>86630</v>
      </c>
      <c r="H50" s="200">
        <v>95005</v>
      </c>
      <c r="I50" s="200">
        <v>97600</v>
      </c>
      <c r="J50" s="200">
        <v>102475</v>
      </c>
      <c r="K50" s="200">
        <v>110844</v>
      </c>
      <c r="L50" s="200">
        <v>5421</v>
      </c>
      <c r="M50" s="174"/>
      <c r="N50" s="183"/>
      <c r="O50" s="183"/>
      <c r="P50" s="183"/>
      <c r="Q50" s="183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</row>
    <row r="51" spans="2:33">
      <c r="B51" s="195" t="str">
        <f>IF($C$2=FALSE,"-",CONCATENATE(B50," ","% of Sales"))</f>
        <v>Other Non-Current Assets % of Sales</v>
      </c>
      <c r="C51" s="196">
        <f t="shared" ref="C51:L51" si="25">IF($C$2=FALSE,"-",C50/C$6)</f>
        <v>1.6385454250618234</v>
      </c>
      <c r="D51" s="196">
        <f t="shared" si="25"/>
        <v>1.7920618809282138</v>
      </c>
      <c r="E51" s="196">
        <f t="shared" si="25"/>
        <v>2.0931729748850372</v>
      </c>
      <c r="F51" s="196">
        <f t="shared" si="25"/>
        <v>1.5480543025489393</v>
      </c>
      <c r="G51" s="196">
        <f t="shared" si="25"/>
        <v>2.2107385290665031</v>
      </c>
      <c r="H51" s="196">
        <f t="shared" si="25"/>
        <v>2.7126459755018133</v>
      </c>
      <c r="I51" s="196">
        <f t="shared" si="25"/>
        <v>2.7136740254684981</v>
      </c>
      <c r="J51" s="196">
        <f t="shared" si="25"/>
        <v>1.8798613149398298</v>
      </c>
      <c r="K51" s="196">
        <f t="shared" si="25"/>
        <v>2.5421186615599844</v>
      </c>
      <c r="L51" s="196">
        <f t="shared" si="25"/>
        <v>0.15346941086544177</v>
      </c>
      <c r="M51" s="174"/>
      <c r="N51" s="183">
        <f>IF($C$2=FALSE,"-",(L51+K51+J51)/3)</f>
        <v>1.5251497957884188</v>
      </c>
      <c r="O51" s="183">
        <f>IF($C$2=FALSE,"-",(L51+K51+J51+I51+H51)/5)</f>
        <v>2.0003538776671137</v>
      </c>
      <c r="P51" s="183">
        <f>IF($C$2=FALSE,"-",(L51+K51+J51+I51+H51+G51+F51)/7)</f>
        <v>1.9657946028501443</v>
      </c>
      <c r="Q51" s="183">
        <f>IF($C$2=FALSE,"-",(L51+K51+J51+I51+H51+G51+F51+E51+D51+IF(C51&lt;&gt;"",C51,0))/IF(C51&lt;&gt;"",10,9))</f>
        <v>1.9284342500826086</v>
      </c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</row>
    <row r="52" spans="2:33">
      <c r="B52" s="185" t="s">
        <v>177</v>
      </c>
      <c r="C52" s="186">
        <f t="shared" ref="C52:L52" si="26">IF($C$2=FALSE,"-",C50+C48+C47+C42)</f>
        <v>94904</v>
      </c>
      <c r="D52" s="186">
        <f t="shared" si="26"/>
        <v>106758</v>
      </c>
      <c r="E52" s="186">
        <f t="shared" si="26"/>
        <v>116371</v>
      </c>
      <c r="F52" s="186">
        <f t="shared" si="26"/>
        <v>138681</v>
      </c>
      <c r="G52" s="186">
        <f t="shared" si="26"/>
        <v>150934</v>
      </c>
      <c r="H52" s="186">
        <f t="shared" si="26"/>
        <v>162896</v>
      </c>
      <c r="I52" s="186">
        <f t="shared" si="26"/>
        <v>176064</v>
      </c>
      <c r="J52" s="186">
        <f t="shared" si="26"/>
        <v>196088</v>
      </c>
      <c r="K52" s="186">
        <f t="shared" si="26"/>
        <v>194743</v>
      </c>
      <c r="L52" s="186">
        <f t="shared" si="26"/>
        <v>110916</v>
      </c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</row>
    <row r="53" spans="2:33">
      <c r="B53" s="181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</row>
    <row r="54" spans="2:33"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</row>
    <row r="55" spans="2:33">
      <c r="B55" s="195"/>
      <c r="C55" s="198"/>
      <c r="D55" s="198"/>
      <c r="E55" s="198"/>
      <c r="F55" s="198"/>
      <c r="G55" s="198"/>
      <c r="H55" s="198"/>
      <c r="I55" s="198"/>
      <c r="J55" s="198"/>
      <c r="K55" s="198"/>
      <c r="L55" s="198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</row>
    <row r="56" spans="2:33">
      <c r="B56" s="199" t="s">
        <v>178</v>
      </c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</row>
    <row r="57" spans="2:33">
      <c r="B57" s="178" t="s">
        <v>179</v>
      </c>
      <c r="C57" s="179">
        <v>13714</v>
      </c>
      <c r="D57" s="179">
        <v>15270</v>
      </c>
      <c r="E57" s="179">
        <v>14632</v>
      </c>
      <c r="F57" s="179">
        <v>18221</v>
      </c>
      <c r="G57" s="179">
        <v>17011</v>
      </c>
      <c r="H57" s="179">
        <v>16808</v>
      </c>
      <c r="I57" s="179">
        <v>21175</v>
      </c>
      <c r="J57" s="179">
        <v>26398</v>
      </c>
      <c r="K57" s="179">
        <v>14912</v>
      </c>
      <c r="L57" s="179">
        <v>15516</v>
      </c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</row>
    <row r="58" spans="2:33">
      <c r="B58" s="181" t="str">
        <f>IF($C$2=FALSE,"-",CONCATENATE(B57," ","% of Sales"))</f>
        <v>Accounts Payable % of Sales</v>
      </c>
      <c r="C58" s="188">
        <f t="shared" ref="C58:L58" si="27">IF($C$2=FALSE,"-",C57/C$6)</f>
        <v>0.55596545992621726</v>
      </c>
      <c r="D58" s="188">
        <f t="shared" si="27"/>
        <v>0.53445801687025307</v>
      </c>
      <c r="E58" s="188">
        <f t="shared" si="27"/>
        <v>0.5175804740007075</v>
      </c>
      <c r="F58" s="188">
        <f t="shared" si="27"/>
        <v>0.3932618220274966</v>
      </c>
      <c r="G58" s="188">
        <f t="shared" si="27"/>
        <v>0.43410912060429746</v>
      </c>
      <c r="H58" s="188">
        <f t="shared" si="27"/>
        <v>0.47991319989721043</v>
      </c>
      <c r="I58" s="188">
        <f t="shared" si="27"/>
        <v>0.5887504865706501</v>
      </c>
      <c r="J58" s="188">
        <f t="shared" si="27"/>
        <v>0.48426034634575871</v>
      </c>
      <c r="K58" s="188">
        <f t="shared" si="27"/>
        <v>0.34199481687039884</v>
      </c>
      <c r="L58" s="188">
        <f t="shared" si="27"/>
        <v>0.43926053845936075</v>
      </c>
      <c r="M58" s="174"/>
      <c r="N58" s="183">
        <f>IF($C$2=FALSE,"-",(L58+K58+J58)/3)</f>
        <v>0.42183856722517277</v>
      </c>
      <c r="O58" s="183">
        <f>IF($C$2=FALSE,"-",(L58+K58+J58+I58+H58)/5)</f>
        <v>0.46683587762867579</v>
      </c>
      <c r="P58" s="183">
        <f>IF($C$2=FALSE,"-",(L58+K58+J58+I58+H58+G58+F58)/7)</f>
        <v>0.45165004725359614</v>
      </c>
      <c r="Q58" s="183">
        <f>IF($C$2=FALSE,"-",(L58+K58+J58+I58+H58+G58+F58+E58+D58+IF(C58&lt;&gt;"",C58,0))/IF(C58&lt;&gt;"",10,9))</f>
        <v>0.47695542815723513</v>
      </c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</row>
    <row r="59" spans="2:33">
      <c r="B59" s="181" t="s">
        <v>180</v>
      </c>
      <c r="C59" s="184">
        <v>0</v>
      </c>
      <c r="D59" s="184">
        <v>0</v>
      </c>
      <c r="E59" s="184">
        <v>0</v>
      </c>
      <c r="F59" s="184">
        <v>0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74"/>
      <c r="N59" s="183"/>
      <c r="O59" s="183"/>
      <c r="P59" s="183"/>
      <c r="Q59" s="183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</row>
    <row r="60" spans="2:33">
      <c r="B60" s="181" t="s">
        <v>181</v>
      </c>
      <c r="C60" s="184">
        <v>10613</v>
      </c>
      <c r="D60" s="184">
        <v>11589</v>
      </c>
      <c r="E60" s="184">
        <v>13338</v>
      </c>
      <c r="F60" s="184">
        <v>16386</v>
      </c>
      <c r="G60" s="184">
        <v>15025</v>
      </c>
      <c r="H60" s="184">
        <v>16252</v>
      </c>
      <c r="I60" s="184">
        <v>17367</v>
      </c>
      <c r="J60" s="184">
        <v>20481</v>
      </c>
      <c r="K60" s="184">
        <v>20596</v>
      </c>
      <c r="L60" s="184">
        <v>18258</v>
      </c>
      <c r="M60" s="174"/>
      <c r="N60" s="183"/>
      <c r="O60" s="183"/>
      <c r="P60" s="183"/>
      <c r="Q60" s="183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</row>
    <row r="61" spans="2:33">
      <c r="B61" s="181" t="str">
        <f>IF($C$2=FALSE,"-",CONCATENATE(B60," ","% of Sales"))</f>
        <v>Other Current Liabilities % of Sales</v>
      </c>
      <c r="C61" s="188">
        <f t="shared" ref="C61:L61" si="28">IF($C$2=FALSE,"-",C60/C$6)</f>
        <v>0.43025094255483032</v>
      </c>
      <c r="D61" s="188">
        <f t="shared" si="28"/>
        <v>0.40562108431626476</v>
      </c>
      <c r="E61" s="188">
        <f t="shared" si="28"/>
        <v>0.47180756986204458</v>
      </c>
      <c r="F61" s="188">
        <f t="shared" si="28"/>
        <v>0.35365722055554355</v>
      </c>
      <c r="G61" s="188">
        <f t="shared" si="28"/>
        <v>0.38342775481039149</v>
      </c>
      <c r="H61" s="188">
        <f t="shared" si="28"/>
        <v>0.46403791793963967</v>
      </c>
      <c r="I61" s="188">
        <f t="shared" si="28"/>
        <v>0.48287271311794472</v>
      </c>
      <c r="J61" s="188">
        <f t="shared" si="28"/>
        <v>0.3757154388024655</v>
      </c>
      <c r="K61" s="188">
        <f t="shared" si="28"/>
        <v>0.47235281976010823</v>
      </c>
      <c r="L61" s="188">
        <f t="shared" si="28"/>
        <v>0.51688701412677296</v>
      </c>
      <c r="M61" s="174"/>
      <c r="N61" s="183">
        <f>IF($C$2=FALSE,"-",(L61+K61+J61)/3)</f>
        <v>0.45498509089644895</v>
      </c>
      <c r="O61" s="183">
        <f>IF($C$2=FALSE,"-",(L61+K61+J61+I61+H61)/5)</f>
        <v>0.46237318074938621</v>
      </c>
      <c r="P61" s="183">
        <f>IF($C$2=FALSE,"-",(L61+K61+J61+I61+H61+G61+F61)/7)</f>
        <v>0.43556441130183809</v>
      </c>
      <c r="Q61" s="183">
        <f>IF($C$2=FALSE,"-",(L61+K61+J61+I61+H61+G61+F61+E61+D61+IF(C61&lt;&gt;"",C61,0))/IF(C61&lt;&gt;"",10,9))</f>
        <v>0.43566304758460062</v>
      </c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</row>
    <row r="62" spans="2:33">
      <c r="B62" s="185" t="s">
        <v>182</v>
      </c>
      <c r="C62" s="186">
        <f t="shared" ref="C62:L62" si="29">IF($C$2=FALSE,"-",C60+C59+C57)</f>
        <v>24327</v>
      </c>
      <c r="D62" s="186">
        <f t="shared" si="29"/>
        <v>26859</v>
      </c>
      <c r="E62" s="186">
        <f t="shared" si="29"/>
        <v>27970</v>
      </c>
      <c r="F62" s="186">
        <f t="shared" si="29"/>
        <v>34607</v>
      </c>
      <c r="G62" s="186">
        <f t="shared" si="29"/>
        <v>32036</v>
      </c>
      <c r="H62" s="186">
        <f t="shared" si="29"/>
        <v>33060</v>
      </c>
      <c r="I62" s="186">
        <f t="shared" si="29"/>
        <v>38542</v>
      </c>
      <c r="J62" s="186">
        <f t="shared" si="29"/>
        <v>46879</v>
      </c>
      <c r="K62" s="186">
        <f t="shared" si="29"/>
        <v>35508</v>
      </c>
      <c r="L62" s="186">
        <f t="shared" si="29"/>
        <v>33774</v>
      </c>
      <c r="M62" s="174"/>
      <c r="N62" s="183"/>
      <c r="O62" s="183"/>
      <c r="P62" s="183"/>
      <c r="Q62" s="183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</row>
    <row r="63" spans="2:33">
      <c r="B63" s="181" t="s">
        <v>183</v>
      </c>
      <c r="C63" s="184">
        <v>0</v>
      </c>
      <c r="D63" s="184">
        <v>0</v>
      </c>
      <c r="E63" s="184">
        <v>0</v>
      </c>
      <c r="F63" s="184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16958</v>
      </c>
      <c r="M63" s="174"/>
      <c r="N63" s="183"/>
      <c r="O63" s="183"/>
      <c r="P63" s="183"/>
      <c r="Q63" s="183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</row>
    <row r="64" spans="2:33">
      <c r="B64" s="181" t="s">
        <v>184</v>
      </c>
      <c r="C64" s="188">
        <f t="shared" ref="C64:L64" si="30">IF($C$2=FALSE,"-",C63/C52)</f>
        <v>0</v>
      </c>
      <c r="D64" s="188">
        <f t="shared" si="30"/>
        <v>0</v>
      </c>
      <c r="E64" s="188">
        <f t="shared" si="30"/>
        <v>0</v>
      </c>
      <c r="F64" s="188">
        <f t="shared" si="30"/>
        <v>0</v>
      </c>
      <c r="G64" s="188">
        <f t="shared" si="30"/>
        <v>0</v>
      </c>
      <c r="H64" s="188">
        <f t="shared" si="30"/>
        <v>0</v>
      </c>
      <c r="I64" s="188">
        <f t="shared" si="30"/>
        <v>0</v>
      </c>
      <c r="J64" s="188">
        <f t="shared" si="30"/>
        <v>0</v>
      </c>
      <c r="K64" s="188">
        <f t="shared" si="30"/>
        <v>0</v>
      </c>
      <c r="L64" s="188">
        <f t="shared" si="30"/>
        <v>0.1528904756752858</v>
      </c>
      <c r="M64" s="174"/>
      <c r="N64" s="183">
        <f>IF($C$2=FALSE,"-",(L64+K64+J64)/3)</f>
        <v>5.0963491891761935E-2</v>
      </c>
      <c r="O64" s="183">
        <f>IF($C$2=FALSE,"-",(L64+K64+J64+I64+H64)/5)</f>
        <v>3.0578095135057159E-2</v>
      </c>
      <c r="P64" s="183">
        <f>IF($C$2=FALSE,"-",(L64+K64+J64+I64+H64+G64+F64)/7)</f>
        <v>2.1841496525040829E-2</v>
      </c>
      <c r="Q64" s="183">
        <f>IF($C$2=FALSE,"-",(L64+K64+J64+I64+H64+G64+F64+E64+D64+IF(C64&lt;&gt;"",C64,0))/IF(C64&lt;&gt;"",10,9))</f>
        <v>1.528904756752858E-2</v>
      </c>
      <c r="R64" s="174"/>
      <c r="S64" s="174"/>
      <c r="T64" s="174"/>
      <c r="U64" s="174"/>
      <c r="V64" s="174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</row>
    <row r="65" spans="2:33">
      <c r="B65" s="181" t="s">
        <v>185</v>
      </c>
      <c r="C65" s="184">
        <v>0</v>
      </c>
      <c r="D65" s="184">
        <v>0</v>
      </c>
      <c r="E65" s="184">
        <v>0</v>
      </c>
      <c r="F65" s="184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16481</v>
      </c>
      <c r="L65" s="184">
        <v>0</v>
      </c>
      <c r="M65" s="174"/>
      <c r="N65" s="183"/>
      <c r="O65" s="183"/>
      <c r="P65" s="183"/>
      <c r="Q65" s="183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</row>
    <row r="66" spans="2:33">
      <c r="B66" s="181" t="s">
        <v>186</v>
      </c>
      <c r="C66" s="188">
        <f t="shared" ref="C66:L66" si="31">IF($C$2=FALSE,"-",C65/C43)</f>
        <v>0</v>
      </c>
      <c r="D66" s="188">
        <f t="shared" si="31"/>
        <v>0</v>
      </c>
      <c r="E66" s="188">
        <f t="shared" si="31"/>
        <v>0</v>
      </c>
      <c r="F66" s="188">
        <f t="shared" si="31"/>
        <v>0</v>
      </c>
      <c r="G66" s="188">
        <f t="shared" si="31"/>
        <v>0</v>
      </c>
      <c r="H66" s="188">
        <f t="shared" si="31"/>
        <v>0</v>
      </c>
      <c r="I66" s="188">
        <f t="shared" si="31"/>
        <v>0</v>
      </c>
      <c r="J66" s="188">
        <f t="shared" si="31"/>
        <v>0</v>
      </c>
      <c r="K66" s="188">
        <f t="shared" si="31"/>
        <v>0.6812019508969166</v>
      </c>
      <c r="L66" s="188">
        <f t="shared" si="31"/>
        <v>0</v>
      </c>
      <c r="M66" s="174"/>
      <c r="N66" s="183">
        <f>IF($C$2=FALSE,"-",(L66+K66+J66)/3)</f>
        <v>0.22706731696563887</v>
      </c>
      <c r="O66" s="183">
        <f>IF($C$2=FALSE,"-",(L66+K66+J66+I66+H66)/5)</f>
        <v>0.13624039017938333</v>
      </c>
      <c r="P66" s="183">
        <f>IF($C$2=FALSE,"-",(L66+K66+J66+I66+H66+G66+F66)/7)</f>
        <v>9.7314564413845228E-2</v>
      </c>
      <c r="Q66" s="183">
        <f>IF($C$2=FALSE,"-",(L66+K66+J66+I66+H66+G66+F66+E66+D66+IF(C66&lt;&gt;"",C66,0))/IF(C66&lt;&gt;"",10,9))</f>
        <v>6.8120195089691665E-2</v>
      </c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</row>
    <row r="67" spans="2:33">
      <c r="B67" s="181" t="s">
        <v>187</v>
      </c>
      <c r="C67" s="184">
        <v>0</v>
      </c>
      <c r="D67" s="184">
        <v>0</v>
      </c>
      <c r="E67" s="184">
        <v>0</v>
      </c>
      <c r="F67" s="184">
        <v>0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74"/>
      <c r="N67" s="183"/>
      <c r="O67" s="183"/>
      <c r="P67" s="183"/>
      <c r="Q67" s="183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</row>
    <row r="68" spans="2:33">
      <c r="B68" s="181" t="str">
        <f>IF($C$2=FALSE,"-",CONCATENATE(B67," ","% of Sales"))</f>
        <v>Capital Lease Obligations % of Sales</v>
      </c>
      <c r="C68" s="188">
        <f t="shared" ref="C68:L68" si="32">IF($C$2=FALSE,"-",C67/C$6)</f>
        <v>0</v>
      </c>
      <c r="D68" s="188">
        <f t="shared" si="32"/>
        <v>0</v>
      </c>
      <c r="E68" s="188">
        <f t="shared" si="32"/>
        <v>0</v>
      </c>
      <c r="F68" s="188">
        <f t="shared" si="32"/>
        <v>0</v>
      </c>
      <c r="G68" s="188">
        <f t="shared" si="32"/>
        <v>0</v>
      </c>
      <c r="H68" s="188">
        <f t="shared" si="32"/>
        <v>0</v>
      </c>
      <c r="I68" s="188">
        <f t="shared" si="32"/>
        <v>0</v>
      </c>
      <c r="J68" s="188">
        <f t="shared" si="32"/>
        <v>0</v>
      </c>
      <c r="K68" s="188">
        <f t="shared" si="32"/>
        <v>0</v>
      </c>
      <c r="L68" s="188">
        <f t="shared" si="32"/>
        <v>0</v>
      </c>
      <c r="M68" s="174"/>
      <c r="N68" s="183">
        <f>IF($C$2=FALSE,"-",(L68+K68+J68)/3)</f>
        <v>0</v>
      </c>
      <c r="O68" s="183">
        <f>IF($C$2=FALSE,"-",(L68+K68+J68+I68+H68)/5)</f>
        <v>0</v>
      </c>
      <c r="P68" s="183">
        <f>IF($C$2=FALSE,"-",(L68+K68+J68+I68+H68+G68+F68)/7)</f>
        <v>0</v>
      </c>
      <c r="Q68" s="183">
        <f>IF($C$2=FALSE,"-",(L68+K68+J68+I68+H68+G68+F68+E68+D68+IF(C68&lt;&gt;"",C68,0))/IF(C68&lt;&gt;"",10,9))</f>
        <v>0</v>
      </c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</row>
    <row r="69" spans="2:33">
      <c r="B69" s="181" t="s">
        <v>188</v>
      </c>
      <c r="C69" s="184">
        <v>0</v>
      </c>
      <c r="D69" s="184">
        <v>0</v>
      </c>
      <c r="E69" s="184">
        <v>0</v>
      </c>
      <c r="F69" s="184">
        <v>0</v>
      </c>
      <c r="G69" s="184">
        <v>0</v>
      </c>
      <c r="H69" s="184">
        <v>0</v>
      </c>
      <c r="I69" s="184">
        <v>0</v>
      </c>
      <c r="J69" s="184">
        <v>0</v>
      </c>
      <c r="K69" s="184">
        <v>0</v>
      </c>
      <c r="L69" s="184">
        <v>0</v>
      </c>
      <c r="M69" s="174"/>
      <c r="N69" s="183"/>
      <c r="O69" s="183"/>
      <c r="P69" s="183"/>
      <c r="Q69" s="183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</row>
    <row r="70" spans="2:33">
      <c r="B70" s="181" t="str">
        <f>IF($C$2=FALSE,"-",CONCATENATE(B69," ","% of Sales"))</f>
        <v>Minority Interest Liability % of Sales</v>
      </c>
      <c r="C70" s="188">
        <f t="shared" ref="C70:L70" si="33">IF($C$2=FALSE,"-",C69/C$6)</f>
        <v>0</v>
      </c>
      <c r="D70" s="188">
        <f t="shared" si="33"/>
        <v>0</v>
      </c>
      <c r="E70" s="188">
        <f t="shared" si="33"/>
        <v>0</v>
      </c>
      <c r="F70" s="188">
        <f t="shared" si="33"/>
        <v>0</v>
      </c>
      <c r="G70" s="188">
        <f t="shared" si="33"/>
        <v>0</v>
      </c>
      <c r="H70" s="188">
        <f t="shared" si="33"/>
        <v>0</v>
      </c>
      <c r="I70" s="188">
        <f t="shared" si="33"/>
        <v>0</v>
      </c>
      <c r="J70" s="188">
        <f t="shared" si="33"/>
        <v>0</v>
      </c>
      <c r="K70" s="188">
        <f t="shared" si="33"/>
        <v>0</v>
      </c>
      <c r="L70" s="188">
        <f t="shared" si="33"/>
        <v>0</v>
      </c>
      <c r="M70" s="174"/>
      <c r="N70" s="183">
        <f>IF($C$2=FALSE,"-",(L70+K70+J70)/3)</f>
        <v>0</v>
      </c>
      <c r="O70" s="183">
        <f>IF($C$2=FALSE,"-",(L70+K70+J70+I70+H70)/5)</f>
        <v>0</v>
      </c>
      <c r="P70" s="183">
        <f>IF($C$2=FALSE,"-",(L70+K70+J70+I70+H70+G70+F70)/7)</f>
        <v>0</v>
      </c>
      <c r="Q70" s="183">
        <f>IF($C$2=FALSE,"-",(L70+K70+J70+I70+H70+G70+F70+E70+D70+IF(C70&lt;&gt;"",C70,0))/IF(C70&lt;&gt;"",10,9))</f>
        <v>0</v>
      </c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</row>
    <row r="71" spans="2:33">
      <c r="B71" s="181" t="s">
        <v>189</v>
      </c>
      <c r="C71" s="184">
        <v>9100</v>
      </c>
      <c r="D71" s="184">
        <v>10556</v>
      </c>
      <c r="E71" s="184">
        <v>11786</v>
      </c>
      <c r="F71" s="184">
        <v>14020</v>
      </c>
      <c r="G71" s="184">
        <v>16400</v>
      </c>
      <c r="H71" s="184">
        <v>18090</v>
      </c>
      <c r="I71" s="184">
        <v>19312</v>
      </c>
      <c r="J71" s="184">
        <v>21863</v>
      </c>
      <c r="K71" s="184">
        <v>7264</v>
      </c>
      <c r="L71" s="184">
        <v>20553</v>
      </c>
      <c r="M71" s="174"/>
      <c r="N71" s="183"/>
      <c r="O71" s="183"/>
      <c r="P71" s="183"/>
      <c r="Q71" s="183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</row>
    <row r="72" spans="2:33">
      <c r="B72" s="181" t="str">
        <f>IF($C$2=FALSE,"-",CONCATENATE(B71," ","% of Sales"))</f>
        <v>Other Non- Current Liabilities % of Sales</v>
      </c>
      <c r="C72" s="188">
        <f t="shared" ref="C72:L72" si="34">IF($C$2=FALSE,"-",C71/C$6)</f>
        <v>0.36891393359549196</v>
      </c>
      <c r="D72" s="188">
        <f t="shared" si="34"/>
        <v>0.36946554198312975</v>
      </c>
      <c r="E72" s="188">
        <f t="shared" si="34"/>
        <v>0.41690838344534842</v>
      </c>
      <c r="F72" s="188">
        <f t="shared" si="34"/>
        <v>0.30259210497917249</v>
      </c>
      <c r="G72" s="188">
        <f t="shared" si="34"/>
        <v>0.4185168172306436</v>
      </c>
      <c r="H72" s="188">
        <f t="shared" si="34"/>
        <v>0.51651771692887527</v>
      </c>
      <c r="I72" s="188">
        <f t="shared" si="34"/>
        <v>0.53695156536729138</v>
      </c>
      <c r="J72" s="188">
        <f t="shared" si="34"/>
        <v>0.40106765482829471</v>
      </c>
      <c r="K72" s="188">
        <f t="shared" si="34"/>
        <v>0.16659404169437883</v>
      </c>
      <c r="L72" s="188">
        <f t="shared" si="34"/>
        <v>0.58185884551142319</v>
      </c>
      <c r="M72" s="174"/>
      <c r="N72" s="183">
        <f>IF($C$2=FALSE,"-",(L72+K72+J72)/3)</f>
        <v>0.38317351401136562</v>
      </c>
      <c r="O72" s="183">
        <f>IF($C$2=FALSE,"-",(L72+K72+J72+I72+H72)/5)</f>
        <v>0.44059796486605263</v>
      </c>
      <c r="P72" s="183">
        <f>IF($C$2=FALSE,"-",(L72+K72+J72+I72+H72+G72+F72)/7)</f>
        <v>0.41772839236286846</v>
      </c>
      <c r="Q72" s="183">
        <f>IF($C$2=FALSE,"-",(L72+K72+J72+I72+H72+G72+F72+E72+D72+IF(C72&lt;&gt;"",C72,0))/IF(C72&lt;&gt;"",10,9))</f>
        <v>0.40793866055640499</v>
      </c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</row>
    <row r="73" spans="2:33">
      <c r="B73" s="185" t="s">
        <v>190</v>
      </c>
      <c r="C73" s="186">
        <f t="shared" ref="C73:L73" si="35">IF($C$2=FALSE,"-",C71+C69+C65+C63+C62+C67)</f>
        <v>33427</v>
      </c>
      <c r="D73" s="186">
        <f t="shared" si="35"/>
        <v>37415</v>
      </c>
      <c r="E73" s="186">
        <f t="shared" si="35"/>
        <v>39756</v>
      </c>
      <c r="F73" s="186">
        <f t="shared" si="35"/>
        <v>48627</v>
      </c>
      <c r="G73" s="186">
        <f t="shared" si="35"/>
        <v>48436</v>
      </c>
      <c r="H73" s="186">
        <f t="shared" si="35"/>
        <v>51150</v>
      </c>
      <c r="I73" s="186">
        <f t="shared" si="35"/>
        <v>57854</v>
      </c>
      <c r="J73" s="186">
        <f t="shared" si="35"/>
        <v>68742</v>
      </c>
      <c r="K73" s="186">
        <f t="shared" si="35"/>
        <v>59253</v>
      </c>
      <c r="L73" s="186">
        <f t="shared" si="35"/>
        <v>71285</v>
      </c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</row>
    <row r="74" spans="2:33">
      <c r="B74" s="181" t="s">
        <v>191</v>
      </c>
      <c r="C74" s="184">
        <v>12452</v>
      </c>
      <c r="D74" s="184">
        <v>13104</v>
      </c>
      <c r="E74" s="184">
        <v>13774</v>
      </c>
      <c r="F74" s="184">
        <v>14345</v>
      </c>
      <c r="G74" s="184">
        <v>15374</v>
      </c>
      <c r="H74" s="184">
        <v>16105</v>
      </c>
      <c r="I74" s="184">
        <v>16921</v>
      </c>
      <c r="J74" s="184">
        <v>17779</v>
      </c>
      <c r="K74" s="184">
        <v>18918</v>
      </c>
      <c r="L74" s="184">
        <v>19024</v>
      </c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74"/>
    </row>
    <row r="75" spans="2:33">
      <c r="B75" s="181" t="s">
        <v>192</v>
      </c>
      <c r="C75" s="184">
        <v>49025</v>
      </c>
      <c r="D75" s="184">
        <v>56239</v>
      </c>
      <c r="E75" s="184">
        <v>62841</v>
      </c>
      <c r="F75" s="184">
        <v>75709</v>
      </c>
      <c r="G75" s="184">
        <v>87124</v>
      </c>
      <c r="H75" s="184">
        <v>95641</v>
      </c>
      <c r="I75" s="184">
        <v>101289</v>
      </c>
      <c r="J75" s="184">
        <v>109567</v>
      </c>
      <c r="K75" s="184">
        <v>116572</v>
      </c>
      <c r="L75" s="184">
        <v>104564</v>
      </c>
      <c r="M75" s="174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4"/>
      <c r="AG75" s="174"/>
    </row>
    <row r="76" spans="2:33">
      <c r="B76" s="181" t="s">
        <v>193</v>
      </c>
      <c r="C76" s="184">
        <v>0</v>
      </c>
      <c r="D76" s="184">
        <v>0</v>
      </c>
      <c r="E76" s="184">
        <v>0</v>
      </c>
      <c r="F76" s="184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174"/>
    </row>
    <row r="77" spans="2:33">
      <c r="B77" s="185" t="s">
        <v>194</v>
      </c>
      <c r="C77" s="186">
        <f t="shared" ref="C77:L77" si="36">IF($C$2=FALSE,"-",C76+C75+C74)</f>
        <v>61477</v>
      </c>
      <c r="D77" s="186">
        <f t="shared" si="36"/>
        <v>69343</v>
      </c>
      <c r="E77" s="186">
        <f t="shared" si="36"/>
        <v>76615</v>
      </c>
      <c r="F77" s="186">
        <f t="shared" si="36"/>
        <v>90054</v>
      </c>
      <c r="G77" s="186">
        <f t="shared" si="36"/>
        <v>102498</v>
      </c>
      <c r="H77" s="186">
        <f t="shared" si="36"/>
        <v>111746</v>
      </c>
      <c r="I77" s="186">
        <f t="shared" si="36"/>
        <v>118210</v>
      </c>
      <c r="J77" s="186">
        <f t="shared" si="36"/>
        <v>127346</v>
      </c>
      <c r="K77" s="186">
        <f t="shared" si="36"/>
        <v>135490</v>
      </c>
      <c r="L77" s="186">
        <f t="shared" si="36"/>
        <v>123588</v>
      </c>
      <c r="M77" s="174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74"/>
    </row>
    <row r="78" spans="2:33">
      <c r="B78" s="191" t="s">
        <v>195</v>
      </c>
      <c r="C78" s="192">
        <f t="shared" ref="C78:L78" si="37">IF($C$2=FALSE,"-",C77+C73)</f>
        <v>94904</v>
      </c>
      <c r="D78" s="192">
        <f t="shared" si="37"/>
        <v>106758</v>
      </c>
      <c r="E78" s="192">
        <f t="shared" si="37"/>
        <v>116371</v>
      </c>
      <c r="F78" s="192">
        <f t="shared" si="37"/>
        <v>138681</v>
      </c>
      <c r="G78" s="192">
        <f t="shared" si="37"/>
        <v>150934</v>
      </c>
      <c r="H78" s="192">
        <f t="shared" si="37"/>
        <v>162896</v>
      </c>
      <c r="I78" s="192">
        <f t="shared" si="37"/>
        <v>176064</v>
      </c>
      <c r="J78" s="192">
        <f t="shared" si="37"/>
        <v>196088</v>
      </c>
      <c r="K78" s="192">
        <f t="shared" si="37"/>
        <v>194743</v>
      </c>
      <c r="L78" s="192">
        <f t="shared" si="37"/>
        <v>194873</v>
      </c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174"/>
    </row>
    <row r="79" spans="2:33">
      <c r="B79" s="195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</row>
    <row r="80" spans="2:33">
      <c r="B80" s="174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174"/>
    </row>
    <row r="81" spans="2:33">
      <c r="B81" s="195"/>
      <c r="C81" s="198"/>
      <c r="D81" s="198"/>
      <c r="E81" s="198"/>
      <c r="F81" s="198"/>
      <c r="G81" s="198"/>
      <c r="H81" s="198"/>
      <c r="I81" s="198"/>
      <c r="J81" s="198"/>
      <c r="K81" s="198"/>
      <c r="L81" s="198"/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74"/>
    </row>
    <row r="82" spans="2:33">
      <c r="B82" s="172" t="s">
        <v>196</v>
      </c>
      <c r="C82" s="175">
        <f t="shared" ref="C82:L82" si="38">IF($C$2=FALSE,"-",C4)</f>
        <v>2004</v>
      </c>
      <c r="D82" s="175">
        <f t="shared" si="38"/>
        <v>2005</v>
      </c>
      <c r="E82" s="175">
        <f t="shared" si="38"/>
        <v>2006</v>
      </c>
      <c r="F82" s="175">
        <f t="shared" si="38"/>
        <v>2007</v>
      </c>
      <c r="G82" s="175">
        <f t="shared" si="38"/>
        <v>2008</v>
      </c>
      <c r="H82" s="175">
        <f t="shared" si="38"/>
        <v>2009</v>
      </c>
      <c r="I82" s="175">
        <f t="shared" si="38"/>
        <v>2010</v>
      </c>
      <c r="J82" s="175">
        <f t="shared" si="38"/>
        <v>2011</v>
      </c>
      <c r="K82" s="175">
        <f t="shared" si="38"/>
        <v>2012</v>
      </c>
      <c r="L82" s="175">
        <f t="shared" si="38"/>
        <v>2013</v>
      </c>
      <c r="M82" s="176"/>
      <c r="N82" s="172" t="str">
        <f>IF($C$2=FALSE,"-",N4)</f>
        <v>3 YA</v>
      </c>
      <c r="O82" s="172" t="str">
        <f>IF($C$2=FALSE,"-",O4)</f>
        <v>5 YA</v>
      </c>
      <c r="P82" s="172" t="str">
        <f>IF($C$2=FALSE,"-",P4)</f>
        <v>7 YA</v>
      </c>
      <c r="Q82" s="172" t="str">
        <f>IF($C$2=FALSE,"-",Q4)</f>
        <v>10 YA</v>
      </c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  <c r="AD82" s="174"/>
      <c r="AE82" s="174"/>
      <c r="AF82" s="174"/>
      <c r="AG82" s="174"/>
    </row>
    <row r="83" spans="2:33">
      <c r="B83" s="174"/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  <c r="AD83" s="174"/>
      <c r="AE83" s="174"/>
      <c r="AF83" s="174"/>
      <c r="AG83" s="174"/>
    </row>
    <row r="84" spans="2:33">
      <c r="B84" s="199" t="s">
        <v>197</v>
      </c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  <c r="AD84" s="174"/>
      <c r="AE84" s="174"/>
      <c r="AF84" s="174"/>
      <c r="AG84" s="174"/>
    </row>
    <row r="85" spans="2:33">
      <c r="B85" s="178" t="s">
        <v>198</v>
      </c>
      <c r="C85" s="179">
        <v>0</v>
      </c>
      <c r="D85" s="179">
        <v>0</v>
      </c>
      <c r="E85" s="179">
        <v>0</v>
      </c>
      <c r="F85" s="179">
        <v>0</v>
      </c>
      <c r="G85" s="179">
        <v>0</v>
      </c>
      <c r="H85" s="179">
        <v>0</v>
      </c>
      <c r="I85" s="179">
        <v>2488</v>
      </c>
      <c r="J85" s="179">
        <v>2493</v>
      </c>
      <c r="K85" s="179">
        <v>4984</v>
      </c>
      <c r="L85" s="179">
        <v>7795</v>
      </c>
      <c r="M85" s="174"/>
      <c r="N85" s="202"/>
      <c r="O85" s="202"/>
      <c r="P85" s="202"/>
      <c r="Q85" s="202"/>
      <c r="R85" s="202"/>
      <c r="S85" s="202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  <c r="AD85" s="174"/>
      <c r="AE85" s="174"/>
      <c r="AF85" s="174"/>
      <c r="AG85" s="174"/>
    </row>
    <row r="86" spans="2:33">
      <c r="B86" s="191" t="s">
        <v>199</v>
      </c>
      <c r="C86" s="203">
        <f>IF($C$2=FALSE,"-",(C85)/(C26))</f>
        <v>0</v>
      </c>
      <c r="D86" s="203">
        <f t="shared" ref="D86:L86" si="39">IF($C$2=FALSE,"-",(D85)/(D26))</f>
        <v>0</v>
      </c>
      <c r="E86" s="203">
        <f t="shared" si="39"/>
        <v>0</v>
      </c>
      <c r="F86" s="203">
        <f t="shared" si="39"/>
        <v>0</v>
      </c>
      <c r="G86" s="203">
        <f t="shared" si="39"/>
        <v>0</v>
      </c>
      <c r="H86" s="203">
        <f t="shared" si="39"/>
        <v>0</v>
      </c>
      <c r="I86" s="203">
        <f t="shared" si="39"/>
        <v>0.30256597348899428</v>
      </c>
      <c r="J86" s="203">
        <f t="shared" si="39"/>
        <v>0.19062547790181986</v>
      </c>
      <c r="K86" s="203">
        <f t="shared" si="39"/>
        <v>0.52204881114486223</v>
      </c>
      <c r="L86" s="203">
        <f t="shared" si="39"/>
        <v>1.1297101449275362</v>
      </c>
      <c r="M86" s="174"/>
      <c r="N86" s="183">
        <f>IF($C$2=FALSE,"-",(L86+K86+J86)/3)</f>
        <v>0.61412814465807275</v>
      </c>
      <c r="O86" s="183">
        <f>IF($C$2=FALSE,"-",(L86+K86+J86+I86+H86)/5)</f>
        <v>0.42899008149264251</v>
      </c>
      <c r="P86" s="183">
        <f>IF($C$2=FALSE,"-",(L86+K86+J86+I86+H86+G86+F86)/7)</f>
        <v>0.30642148678045894</v>
      </c>
      <c r="Q86" s="183">
        <f>IF($C$2=FALSE,"-",(L86+K86+J86+I86+H86+G86+F86+E86+D86+IF(C86&lt;&gt;"",C86,0))/IF(C86&lt;&gt;"",10,9))</f>
        <v>0.21449504074632125</v>
      </c>
      <c r="R86" s="202"/>
      <c r="S86" s="202"/>
      <c r="T86" s="174"/>
      <c r="U86" s="174"/>
      <c r="V86" s="174"/>
      <c r="W86" s="174"/>
      <c r="X86" s="174"/>
      <c r="Y86" s="174"/>
      <c r="Z86" s="174"/>
      <c r="AA86" s="174"/>
      <c r="AB86" s="174"/>
      <c r="AC86" s="174"/>
      <c r="AD86" s="174"/>
      <c r="AE86" s="174"/>
      <c r="AF86" s="174"/>
      <c r="AG86" s="174"/>
    </row>
    <row r="87" spans="2:33">
      <c r="B87" s="174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/>
      <c r="Y87" s="174"/>
      <c r="Z87" s="174"/>
      <c r="AA87" s="174"/>
      <c r="AB87" s="174"/>
      <c r="AC87" s="174"/>
      <c r="AD87" s="174"/>
      <c r="AE87" s="174"/>
      <c r="AF87" s="174"/>
      <c r="AG87" s="174"/>
    </row>
    <row r="88" spans="2:33">
      <c r="B88" s="174"/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174"/>
      <c r="Q88" s="174"/>
      <c r="R88" s="174"/>
      <c r="S88" s="174"/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74"/>
    </row>
    <row r="89" spans="2:33">
      <c r="B89" s="204" t="s">
        <v>200</v>
      </c>
      <c r="C89" s="205" t="s">
        <v>201</v>
      </c>
      <c r="D89" s="206" t="s">
        <v>202</v>
      </c>
      <c r="E89" s="206" t="s">
        <v>203</v>
      </c>
      <c r="F89" s="206" t="s">
        <v>204</v>
      </c>
      <c r="G89" s="206" t="s">
        <v>205</v>
      </c>
      <c r="H89" s="206" t="s">
        <v>206</v>
      </c>
      <c r="I89" s="205" t="s">
        <v>207</v>
      </c>
      <c r="J89" s="205" t="s">
        <v>208</v>
      </c>
      <c r="K89" s="205" t="s">
        <v>209</v>
      </c>
      <c r="L89" s="205" t="s">
        <v>210</v>
      </c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/>
      <c r="Y89" s="174"/>
      <c r="Z89" s="174"/>
      <c r="AA89" s="174"/>
      <c r="AB89" s="174"/>
      <c r="AC89" s="174"/>
      <c r="AD89" s="174"/>
      <c r="AE89" s="174"/>
      <c r="AF89" s="174"/>
      <c r="AG89" s="174"/>
    </row>
    <row r="90" spans="2:33">
      <c r="B90" s="174"/>
      <c r="C90" s="174"/>
      <c r="D90" s="174"/>
      <c r="E90" s="174"/>
      <c r="F90" s="174"/>
      <c r="G90" s="177"/>
      <c r="H90" s="177"/>
      <c r="I90" s="177"/>
      <c r="J90" s="177"/>
      <c r="K90" s="177"/>
      <c r="L90" s="177"/>
      <c r="M90" s="174"/>
      <c r="N90" s="174"/>
      <c r="O90" s="174"/>
      <c r="P90" s="174"/>
      <c r="Q90" s="174"/>
      <c r="R90" s="174"/>
      <c r="S90" s="174"/>
      <c r="T90" s="174"/>
      <c r="U90" s="174"/>
      <c r="V90" s="174"/>
      <c r="W90" s="174"/>
      <c r="X90" s="174"/>
      <c r="Y90" s="174"/>
      <c r="Z90" s="174"/>
      <c r="AA90" s="174"/>
      <c r="AB90" s="174"/>
      <c r="AC90" s="174"/>
      <c r="AD90" s="174"/>
      <c r="AE90" s="174"/>
      <c r="AF90" s="174"/>
      <c r="AG90" s="174"/>
    </row>
    <row r="91" spans="2:33">
      <c r="B91" s="207" t="s">
        <v>149</v>
      </c>
      <c r="C91" s="208">
        <f>IF($C$2=FALSE,"-",N7)</f>
        <v>4.1879135985513481E-2</v>
      </c>
      <c r="D91" s="208">
        <f>IF($C$2=FALSE,"-",O7)</f>
        <v>9.2651300142176513E-3</v>
      </c>
      <c r="E91" s="208">
        <f>IF($C$2=FALSE,"-",P7)</f>
        <v>7.585980297149772E-2</v>
      </c>
      <c r="F91" s="208">
        <f>IF($C$2=FALSE,"-",Q7)</f>
        <v>7.5416843809427772E-2</v>
      </c>
      <c r="G91" s="208">
        <f>IF($C$2=FALSE,"-",L7)</f>
        <v>-0.18989519069788777</v>
      </c>
      <c r="H91" s="208">
        <f t="shared" ref="H91:H113" si="40">IF($C$2=FALSE,"-",STDEV(C119:L119))</f>
        <v>0.29157690055934526</v>
      </c>
      <c r="I91" s="209">
        <v>6.7875159428485002E-2</v>
      </c>
      <c r="J91" s="209">
        <v>0.14030095747498966</v>
      </c>
      <c r="K91" s="210">
        <f t="shared" ref="K91:K115" si="41">IF($C$2=FALSE,"-",$C$248)</f>
        <v>0</v>
      </c>
      <c r="L91" s="211">
        <v>0.5</v>
      </c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/>
      <c r="Y91" s="174"/>
      <c r="Z91" s="174"/>
      <c r="AA91" s="174"/>
      <c r="AB91" s="174"/>
      <c r="AC91" s="174"/>
      <c r="AD91" s="174"/>
      <c r="AE91" s="174"/>
      <c r="AF91" s="174"/>
      <c r="AG91" s="174"/>
    </row>
    <row r="92" spans="2:33">
      <c r="B92" s="212" t="s">
        <v>211</v>
      </c>
      <c r="C92" s="213">
        <f>IF($C$2=FALSE,"-",N9)</f>
        <v>0.60068810254572513</v>
      </c>
      <c r="D92" s="213">
        <f>IF($C$2=FALSE,"-",O9)</f>
        <v>0.58448449355506227</v>
      </c>
      <c r="E92" s="213">
        <f>IF($C$2=FALSE,"-",P9)</f>
        <v>0.56677224784923375</v>
      </c>
      <c r="F92" s="213">
        <f>IF($C$2=FALSE,"-",Q9)</f>
        <v>0.56797077109203631</v>
      </c>
      <c r="G92" s="213">
        <f>IF($C$2=FALSE,"-",L9)</f>
        <v>0.63128839566288253</v>
      </c>
      <c r="H92" s="213">
        <f t="shared" si="40"/>
        <v>3.2892273811095989E-2</v>
      </c>
      <c r="I92" s="214">
        <v>0.56797077109203631</v>
      </c>
      <c r="J92" s="214">
        <v>0.64393623496145347</v>
      </c>
      <c r="K92" s="215">
        <f t="shared" si="41"/>
        <v>0</v>
      </c>
      <c r="L92" s="216">
        <v>0.5</v>
      </c>
      <c r="M92" s="174"/>
      <c r="N92" s="174"/>
      <c r="O92" s="174"/>
      <c r="P92" s="174"/>
      <c r="Q92" s="174"/>
      <c r="R92" s="174"/>
      <c r="S92" s="174"/>
      <c r="T92" s="174"/>
      <c r="U92" s="174"/>
      <c r="V92" s="174"/>
      <c r="W92" s="174"/>
      <c r="X92" s="174"/>
      <c r="Y92" s="174"/>
      <c r="Z92" s="174"/>
      <c r="AA92" s="174"/>
      <c r="AB92" s="174"/>
      <c r="AC92" s="174"/>
      <c r="AD92" s="174"/>
      <c r="AE92" s="174"/>
      <c r="AF92" s="174"/>
      <c r="AG92" s="174"/>
    </row>
    <row r="93" spans="2:33">
      <c r="B93" s="212" t="s">
        <v>212</v>
      </c>
      <c r="C93" s="213">
        <f>IF($C$2=FALSE,"-",N12)</f>
        <v>8.8599991750258289E-2</v>
      </c>
      <c r="D93" s="213">
        <f>IF($C$2=FALSE,"-",O12)</f>
        <v>9.1919439993770474E-2</v>
      </c>
      <c r="E93" s="213">
        <f>IF($C$2=FALSE,"-",P12)</f>
        <v>8.7618841085320934E-2</v>
      </c>
      <c r="F93" s="213">
        <f>IF($C$2=FALSE,"-",Q12)</f>
        <v>8.9181037520914608E-2</v>
      </c>
      <c r="G93" s="213">
        <f>IF($C$2=FALSE,"-",L12)</f>
        <v>0.10822976530872236</v>
      </c>
      <c r="H93" s="213">
        <f t="shared" si="40"/>
        <v>1.1711061553100395E-2</v>
      </c>
      <c r="I93" s="214">
        <v>8.9181037520914622E-2</v>
      </c>
      <c r="J93" s="214">
        <v>0.14089617453524028</v>
      </c>
      <c r="K93" s="215">
        <f t="shared" si="41"/>
        <v>0</v>
      </c>
      <c r="L93" s="216">
        <v>0.5</v>
      </c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/>
      <c r="Y93" s="174"/>
      <c r="Z93" s="174"/>
      <c r="AA93" s="174"/>
      <c r="AB93" s="174"/>
      <c r="AC93" s="174"/>
      <c r="AD93" s="174"/>
      <c r="AE93" s="174"/>
      <c r="AF93" s="174"/>
      <c r="AG93" s="174"/>
    </row>
    <row r="94" spans="2:33">
      <c r="B94" s="212" t="s">
        <v>213</v>
      </c>
      <c r="C94" s="213">
        <f>IF($C$2=FALSE,"-",N14)</f>
        <v>4.6113896776925976E-2</v>
      </c>
      <c r="D94" s="213">
        <f>IF($C$2=FALSE,"-",O14)</f>
        <v>4.6938024682781576E-2</v>
      </c>
      <c r="E94" s="213">
        <f>IF($C$2=FALSE,"-",P14)</f>
        <v>4.9456977274713383E-2</v>
      </c>
      <c r="F94" s="213">
        <f>IF($C$2=FALSE,"-",Q14)</f>
        <v>4.8491509190941542E-2</v>
      </c>
      <c r="G94" s="213">
        <f>IF($C$2=FALSE,"-",L14)</f>
        <v>0</v>
      </c>
      <c r="H94" s="213">
        <f t="shared" si="40"/>
        <v>1.9338101411469119E-2</v>
      </c>
      <c r="I94" s="214">
        <v>4.8491509190941542E-2</v>
      </c>
      <c r="J94" s="214">
        <v>0.13228046993453257</v>
      </c>
      <c r="K94" s="215">
        <f t="shared" si="41"/>
        <v>0</v>
      </c>
      <c r="L94" s="216">
        <v>0.5</v>
      </c>
      <c r="M94" s="174"/>
      <c r="N94" s="174"/>
      <c r="O94" s="174"/>
      <c r="P94" s="174"/>
      <c r="Q94" s="174"/>
      <c r="R94" s="174"/>
      <c r="S94" s="174"/>
      <c r="T94" s="174"/>
      <c r="U94" s="174"/>
      <c r="V94" s="174"/>
      <c r="W94" s="174"/>
      <c r="X94" s="174"/>
      <c r="Y94" s="174"/>
      <c r="Z94" s="174"/>
      <c r="AA94" s="174"/>
      <c r="AB94" s="174"/>
      <c r="AC94" s="174"/>
      <c r="AD94" s="174"/>
      <c r="AE94" s="174"/>
      <c r="AF94" s="174"/>
      <c r="AG94" s="174"/>
    </row>
    <row r="95" spans="2:33">
      <c r="B95" s="212" t="s">
        <v>214</v>
      </c>
      <c r="C95" s="213">
        <f>IF($C$2=FALSE,"-",N46)</f>
        <v>0.10726547085606243</v>
      </c>
      <c r="D95" s="213">
        <f>IF($C$2=FALSE,"-",O46)</f>
        <v>0.1937321225930293</v>
      </c>
      <c r="E95" s="213">
        <f>IF($C$2=FALSE,"-",P46)</f>
        <v>0.24295289787464824</v>
      </c>
      <c r="F95" s="213">
        <f>IF($C$2=FALSE,"-",Q46)</f>
        <v>0.27247990151911228</v>
      </c>
      <c r="G95" s="213">
        <f>IF($C$2=FALSE,"-",L46)</f>
        <v>-0.39280002975194317</v>
      </c>
      <c r="H95" s="213">
        <f t="shared" si="40"/>
        <v>0.23490993988862646</v>
      </c>
      <c r="I95" s="214">
        <v>0.27247990151911222</v>
      </c>
      <c r="J95" s="214">
        <v>0.2991713532199014</v>
      </c>
      <c r="K95" s="215">
        <f t="shared" si="41"/>
        <v>0</v>
      </c>
      <c r="L95" s="216">
        <v>0.5</v>
      </c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</row>
    <row r="96" spans="2:33">
      <c r="B96" s="212" t="s">
        <v>215</v>
      </c>
      <c r="C96" s="213">
        <f>IF($C$2=FALSE,"-",N25)</f>
        <v>0</v>
      </c>
      <c r="D96" s="213">
        <f>IF($C$2=FALSE,"-",O25)</f>
        <v>0</v>
      </c>
      <c r="E96" s="213">
        <f>IF($C$2=FALSE,"-",P25)</f>
        <v>0</v>
      </c>
      <c r="F96" s="213">
        <f>IF($C$2=FALSE,"-",Q25)</f>
        <v>0</v>
      </c>
      <c r="G96" s="213">
        <f>IF($C$2=FALSE,"-",L25)</f>
        <v>0</v>
      </c>
      <c r="H96" s="213">
        <f t="shared" si="40"/>
        <v>0</v>
      </c>
      <c r="I96" s="214">
        <v>0</v>
      </c>
      <c r="J96" s="214">
        <v>0.03</v>
      </c>
      <c r="K96" s="215">
        <f t="shared" si="41"/>
        <v>0</v>
      </c>
      <c r="L96" s="216">
        <v>0.5</v>
      </c>
      <c r="M96" s="174"/>
      <c r="N96" s="174"/>
      <c r="O96" s="174"/>
      <c r="P96" s="174"/>
      <c r="Q96" s="174"/>
      <c r="R96" s="174"/>
      <c r="S96" s="174"/>
      <c r="T96" s="174"/>
      <c r="U96" s="174"/>
      <c r="V96" s="174"/>
      <c r="W96" s="174"/>
      <c r="X96" s="174"/>
      <c r="Y96" s="174"/>
      <c r="Z96" s="174"/>
      <c r="AA96" s="174"/>
      <c r="AB96" s="174"/>
      <c r="AC96" s="174"/>
      <c r="AD96" s="174"/>
      <c r="AE96" s="174"/>
      <c r="AF96" s="174"/>
      <c r="AG96" s="174"/>
    </row>
    <row r="97" spans="2:33">
      <c r="B97" s="217" t="s">
        <v>216</v>
      </c>
      <c r="C97" s="218">
        <f>IF($C$2=FALSE,"-",N17)</f>
        <v>8.1861279437768653E-3</v>
      </c>
      <c r="D97" s="218">
        <f>IF($C$2=FALSE,"-",O17)</f>
        <v>6.2727091139146473E-3</v>
      </c>
      <c r="E97" s="218">
        <f>IF($C$2=FALSE,"-",P17)</f>
        <v>5.442465779516654E-3</v>
      </c>
      <c r="F97" s="218">
        <f>IF($C$2=FALSE,"-",Q17)</f>
        <v>4.8036618725300888E-3</v>
      </c>
      <c r="G97" s="218">
        <f>IF($C$2=FALSE,"-",L17)</f>
        <v>8.1250176938538633E-3</v>
      </c>
      <c r="H97" s="218">
        <f t="shared" si="40"/>
        <v>3.4741356558711514E-3</v>
      </c>
      <c r="I97" s="219">
        <v>4.803661872530088E-3</v>
      </c>
      <c r="J97" s="219">
        <v>3.5251212140837075E-2</v>
      </c>
      <c r="K97" s="220">
        <f t="shared" si="41"/>
        <v>0</v>
      </c>
      <c r="L97" s="221">
        <v>0.5</v>
      </c>
      <c r="M97" s="174"/>
      <c r="N97" s="174"/>
      <c r="O97" s="174"/>
      <c r="P97" s="174"/>
      <c r="Q97" s="174"/>
      <c r="R97" s="174"/>
      <c r="S97" s="174"/>
      <c r="T97" s="174"/>
      <c r="U97" s="174"/>
      <c r="V97" s="174"/>
      <c r="W97" s="174"/>
      <c r="X97" s="174"/>
      <c r="Y97" s="174"/>
      <c r="Z97" s="174"/>
      <c r="AA97" s="174"/>
      <c r="AB97" s="174"/>
      <c r="AC97" s="174"/>
      <c r="AD97" s="174"/>
      <c r="AE97" s="174"/>
      <c r="AF97" s="174"/>
      <c r="AG97" s="174"/>
    </row>
    <row r="98" spans="2:33">
      <c r="B98" s="207" t="s">
        <v>217</v>
      </c>
      <c r="C98" s="208">
        <f>IF($C$2=FALSE,"-",N35)</f>
        <v>0.94474671902273233</v>
      </c>
      <c r="D98" s="208">
        <f>IF($C$2=FALSE,"-",O35)</f>
        <v>0.88674787276621525</v>
      </c>
      <c r="E98" s="208">
        <f>IF($C$2=FALSE,"-",P35)</f>
        <v>0.83040903824456813</v>
      </c>
      <c r="F98" s="208">
        <f>IF($C$2=FALSE,"-",Q35)</f>
        <v>0.89098542742304809</v>
      </c>
      <c r="G98" s="208">
        <f>IF($C$2=FALSE,"-",L35)</f>
        <v>1.2061829402938595</v>
      </c>
      <c r="H98" s="208">
        <f t="shared" si="40"/>
        <v>0.18973307579254534</v>
      </c>
      <c r="I98" s="214">
        <v>0</v>
      </c>
      <c r="J98" s="214">
        <v>0</v>
      </c>
      <c r="K98" s="210">
        <f t="shared" si="41"/>
        <v>0</v>
      </c>
      <c r="L98" s="211">
        <v>0.5</v>
      </c>
      <c r="M98" s="174"/>
      <c r="N98" s="174"/>
      <c r="O98" s="174"/>
      <c r="P98" s="174"/>
      <c r="Q98" s="174"/>
      <c r="R98" s="174"/>
      <c r="S98" s="174"/>
      <c r="T98" s="174"/>
      <c r="U98" s="174"/>
      <c r="V98" s="174"/>
      <c r="W98" s="174"/>
      <c r="X98" s="174"/>
      <c r="Y98" s="174"/>
      <c r="Z98" s="174"/>
      <c r="AA98" s="174"/>
      <c r="AB98" s="174"/>
      <c r="AC98" s="174"/>
      <c r="AD98" s="174"/>
      <c r="AE98" s="174"/>
      <c r="AF98" s="174"/>
      <c r="AG98" s="174"/>
    </row>
    <row r="99" spans="2:33">
      <c r="B99" s="212" t="s">
        <v>218</v>
      </c>
      <c r="C99" s="213">
        <f>IF($C$2=FALSE,"-",N39)</f>
        <v>1.8414817305791892E-2</v>
      </c>
      <c r="D99" s="213">
        <f>IF($C$2=FALSE,"-",O39)</f>
        <v>2.1854707173813891E-2</v>
      </c>
      <c r="E99" s="213">
        <f>IF($C$2=FALSE,"-",P39)</f>
        <v>2.3438896478748222E-2</v>
      </c>
      <c r="F99" s="213">
        <f>IF($C$2=FALSE,"-",Q39)</f>
        <v>2.6033952850519182E-2</v>
      </c>
      <c r="G99" s="213">
        <f>IF($C$2=FALSE,"-",L39)</f>
        <v>0</v>
      </c>
      <c r="H99" s="213">
        <f t="shared" si="40"/>
        <v>1.0031326053536155E-2</v>
      </c>
      <c r="I99" s="214">
        <v>2.6033952850519182E-2</v>
      </c>
      <c r="J99" s="214">
        <v>6.8279536131975335E-2</v>
      </c>
      <c r="K99" s="215">
        <f t="shared" si="41"/>
        <v>0</v>
      </c>
      <c r="L99" s="216">
        <v>0.5</v>
      </c>
      <c r="M99" s="174"/>
      <c r="N99" s="174"/>
      <c r="O99" s="174"/>
      <c r="P99" s="174"/>
      <c r="Q99" s="174"/>
      <c r="R99" s="174"/>
      <c r="S99" s="174"/>
      <c r="T99" s="174"/>
      <c r="U99" s="174"/>
      <c r="V99" s="174"/>
      <c r="W99" s="174"/>
      <c r="X99" s="174"/>
      <c r="Y99" s="174"/>
      <c r="Z99" s="174"/>
      <c r="AA99" s="174"/>
      <c r="AB99" s="174"/>
      <c r="AC99" s="174"/>
      <c r="AD99" s="174"/>
      <c r="AE99" s="174"/>
      <c r="AF99" s="174"/>
      <c r="AG99" s="174"/>
    </row>
    <row r="100" spans="2:33">
      <c r="B100" s="212" t="s">
        <v>219</v>
      </c>
      <c r="C100" s="213">
        <f>IF($C$2=FALSE,"-",N37)</f>
        <v>0.36057982232349711</v>
      </c>
      <c r="D100" s="213">
        <f>IF($C$2=FALSE,"-",O37)</f>
        <v>0.40193970781443084</v>
      </c>
      <c r="E100" s="213">
        <f>IF($C$2=FALSE,"-",P37)</f>
        <v>0.38812091057213627</v>
      </c>
      <c r="F100" s="213">
        <f>IF($C$2=FALSE,"-",Q37)</f>
        <v>0.39825962489416511</v>
      </c>
      <c r="G100" s="213">
        <f>IF($C$2=FALSE,"-",L37)</f>
        <v>0.38085666562862724</v>
      </c>
      <c r="H100" s="213">
        <f t="shared" si="40"/>
        <v>5.8343166209166186E-2</v>
      </c>
      <c r="I100" s="214">
        <v>0.39825962489416511</v>
      </c>
      <c r="J100" s="214">
        <v>0.46256927115731561</v>
      </c>
      <c r="K100" s="215">
        <f t="shared" si="41"/>
        <v>0</v>
      </c>
      <c r="L100" s="216">
        <v>0.5</v>
      </c>
      <c r="M100" s="174"/>
      <c r="N100" s="174"/>
      <c r="O100" s="174"/>
      <c r="P100" s="174"/>
      <c r="Q100" s="174"/>
      <c r="R100" s="174"/>
      <c r="S100" s="174"/>
      <c r="T100" s="174"/>
      <c r="U100" s="174"/>
      <c r="V100" s="174"/>
      <c r="W100" s="174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74"/>
    </row>
    <row r="101" spans="2:33">
      <c r="B101" s="212" t="s">
        <v>220</v>
      </c>
      <c r="C101" s="213">
        <f>IF($C$2=FALSE,"-",N41)</f>
        <v>0.23060078295745223</v>
      </c>
      <c r="D101" s="213">
        <f>IF($C$2=FALSE,"-",O41)</f>
        <v>0.23928244761333195</v>
      </c>
      <c r="E101" s="213">
        <f>IF($C$2=FALSE,"-",P41)</f>
        <v>0.21879911979566644</v>
      </c>
      <c r="F101" s="213">
        <f>IF($C$2=FALSE,"-",Q41)</f>
        <v>0.22106673051750941</v>
      </c>
      <c r="G101" s="213">
        <f>IF($C$2=FALSE,"-",L41)</f>
        <v>0.29620926874840753</v>
      </c>
      <c r="H101" s="213">
        <f t="shared" si="40"/>
        <v>4.2720705850475944E-2</v>
      </c>
      <c r="I101" s="214">
        <v>0.22106673051750941</v>
      </c>
      <c r="J101" s="214">
        <v>0.24992711611732077</v>
      </c>
      <c r="K101" s="215">
        <f t="shared" si="41"/>
        <v>0</v>
      </c>
      <c r="L101" s="216">
        <v>0.5</v>
      </c>
      <c r="M101" s="174"/>
      <c r="N101" s="174"/>
      <c r="O101" s="174"/>
      <c r="P101" s="174"/>
      <c r="Q101" s="174"/>
      <c r="R101" s="174"/>
      <c r="S101" s="174"/>
      <c r="T101" s="174"/>
      <c r="U101" s="174"/>
      <c r="V101" s="174"/>
      <c r="W101" s="174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74"/>
    </row>
    <row r="102" spans="2:33">
      <c r="B102" s="212" t="s">
        <v>221</v>
      </c>
      <c r="C102" s="213">
        <f>IF($C$2=FALSE,"-",N44)</f>
        <v>0.58065110830273803</v>
      </c>
      <c r="D102" s="213">
        <f>IF($C$2=FALSE,"-",O44)</f>
        <v>0.56263924571864044</v>
      </c>
      <c r="E102" s="213">
        <f>IF($C$2=FALSE,"-",P44)</f>
        <v>0.49075627055326432</v>
      </c>
      <c r="F102" s="213">
        <f>IF($C$2=FALSE,"-",Q44)</f>
        <v>0.45954755640210332</v>
      </c>
      <c r="G102" s="213">
        <f>IF($C$2=FALSE,"-",L44)</f>
        <v>0.761232058432183</v>
      </c>
      <c r="H102" s="213">
        <f t="shared" si="40"/>
        <v>0.14489746744509474</v>
      </c>
      <c r="I102" s="214">
        <v>0.45954755640210332</v>
      </c>
      <c r="J102" s="214">
        <v>0.5051864669166487</v>
      </c>
      <c r="K102" s="215">
        <f t="shared" si="41"/>
        <v>0</v>
      </c>
      <c r="L102" s="216">
        <v>0.5</v>
      </c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</row>
    <row r="103" spans="2:33">
      <c r="B103" s="217" t="s">
        <v>222</v>
      </c>
      <c r="C103" s="218">
        <f>IF($C$2=FALSE,"-",N51)</f>
        <v>1.5251497957884188</v>
      </c>
      <c r="D103" s="218">
        <f>IF($C$2=FALSE,"-",O51)</f>
        <v>2.0003538776671137</v>
      </c>
      <c r="E103" s="218">
        <f>IF($C$2=FALSE,"-",P51)</f>
        <v>1.9657946028501443</v>
      </c>
      <c r="F103" s="218">
        <f>IF($C$2=FALSE,"-",Q51)</f>
        <v>1.9284342500826086</v>
      </c>
      <c r="G103" s="218">
        <f>IF($C$2=FALSE,"-",L51)</f>
        <v>0.15346941086544177</v>
      </c>
      <c r="H103" s="218">
        <f t="shared" si="40"/>
        <v>0.75389462970759502</v>
      </c>
      <c r="I103" s="219">
        <v>0.02</v>
      </c>
      <c r="J103" s="219">
        <v>0.04</v>
      </c>
      <c r="K103" s="220">
        <f t="shared" si="41"/>
        <v>0</v>
      </c>
      <c r="L103" s="221">
        <v>0.5</v>
      </c>
      <c r="M103" s="174"/>
      <c r="N103" s="174"/>
      <c r="O103" s="174"/>
      <c r="P103" s="174"/>
      <c r="Q103" s="174"/>
      <c r="R103" s="174"/>
      <c r="S103" s="174"/>
      <c r="T103" s="174"/>
      <c r="U103" s="174"/>
      <c r="V103" s="174"/>
      <c r="W103" s="174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74"/>
    </row>
    <row r="104" spans="2:33">
      <c r="B104" s="207" t="s">
        <v>223</v>
      </c>
      <c r="C104" s="208">
        <f>IF($C$2=FALSE,"-",N58)</f>
        <v>0.42183856722517277</v>
      </c>
      <c r="D104" s="208">
        <f>IF($C$2=FALSE,"-",O58)</f>
        <v>0.46683587762867579</v>
      </c>
      <c r="E104" s="208">
        <f>IF($C$2=FALSE,"-",P58)</f>
        <v>0.45165004725359614</v>
      </c>
      <c r="F104" s="208">
        <f>IF($C$2=FALSE,"-",Q58)</f>
        <v>0.47695542815723513</v>
      </c>
      <c r="G104" s="208">
        <f>IF($C$2=FALSE,"-",L58)</f>
        <v>0.43926053845936075</v>
      </c>
      <c r="H104" s="208">
        <f t="shared" si="40"/>
        <v>7.6183601030563208E-2</v>
      </c>
      <c r="I104" s="209">
        <v>0.47695542815723507</v>
      </c>
      <c r="J104" s="209">
        <v>0.4812837235240971</v>
      </c>
      <c r="K104" s="210">
        <f t="shared" si="41"/>
        <v>0</v>
      </c>
      <c r="L104" s="211">
        <v>0.5</v>
      </c>
      <c r="M104" s="174"/>
      <c r="N104" s="174"/>
      <c r="O104" s="174"/>
      <c r="P104" s="174"/>
      <c r="Q104" s="174"/>
      <c r="R104" s="174"/>
      <c r="S104" s="174"/>
      <c r="T104" s="174"/>
      <c r="U104" s="174"/>
      <c r="V104" s="174"/>
      <c r="W104" s="174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74"/>
    </row>
    <row r="105" spans="2:33">
      <c r="B105" s="212" t="s">
        <v>224</v>
      </c>
      <c r="C105" s="213">
        <f>IF($C$2=FALSE,"-",N70)</f>
        <v>0</v>
      </c>
      <c r="D105" s="213">
        <f>IF($C$2=FALSE,"-",O70)</f>
        <v>0</v>
      </c>
      <c r="E105" s="213">
        <f>IF($C$2=FALSE,"-",P70)</f>
        <v>0</v>
      </c>
      <c r="F105" s="213">
        <f>IF($C$2=FALSE,"-",Q70)</f>
        <v>0</v>
      </c>
      <c r="G105" s="213">
        <f>IF($C$2=FALSE,"-",L70)</f>
        <v>0</v>
      </c>
      <c r="H105" s="213">
        <f t="shared" si="40"/>
        <v>0</v>
      </c>
      <c r="I105" s="214">
        <v>0</v>
      </c>
      <c r="J105" s="214">
        <v>2.6906361749046915E-2</v>
      </c>
      <c r="K105" s="215">
        <f t="shared" si="41"/>
        <v>0</v>
      </c>
      <c r="L105" s="216">
        <v>0.5</v>
      </c>
      <c r="M105" s="174"/>
      <c r="N105" s="174"/>
      <c r="O105" s="174"/>
      <c r="P105" s="174"/>
      <c r="Q105" s="174"/>
      <c r="R105" s="174"/>
      <c r="S105" s="174"/>
      <c r="T105" s="174"/>
      <c r="U105" s="174"/>
      <c r="V105" s="174"/>
      <c r="W105" s="174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74"/>
    </row>
    <row r="106" spans="2:33">
      <c r="B106" s="212" t="s">
        <v>225</v>
      </c>
      <c r="C106" s="213">
        <f>IF($C$2=FALSE,"-",N72)</f>
        <v>0.38317351401136562</v>
      </c>
      <c r="D106" s="213">
        <f>IF($C$2=FALSE,"-",O72)</f>
        <v>0.44059796486605263</v>
      </c>
      <c r="E106" s="213">
        <f>IF($C$2=FALSE,"-",P72)</f>
        <v>0.41772839236286846</v>
      </c>
      <c r="F106" s="213">
        <f>IF($C$2=FALSE,"-",Q72)</f>
        <v>0.40793866055640499</v>
      </c>
      <c r="G106" s="213">
        <f>IF($C$2=FALSE,"-",L72)</f>
        <v>0.58185884551142319</v>
      </c>
      <c r="H106" s="213">
        <f t="shared" si="40"/>
        <v>0.12077056662443407</v>
      </c>
      <c r="I106" s="214">
        <v>0.40793866055640499</v>
      </c>
      <c r="J106" s="214">
        <v>0.47009562071424688</v>
      </c>
      <c r="K106" s="215">
        <f t="shared" si="41"/>
        <v>0</v>
      </c>
      <c r="L106" s="216">
        <v>0.5</v>
      </c>
      <c r="M106" s="174"/>
      <c r="N106" s="174"/>
      <c r="O106" s="174"/>
      <c r="P106" s="174"/>
      <c r="Q106" s="174"/>
      <c r="R106" s="174"/>
      <c r="S106" s="174"/>
      <c r="T106" s="174"/>
      <c r="U106" s="174"/>
      <c r="V106" s="174"/>
      <c r="W106" s="174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74"/>
    </row>
    <row r="107" spans="2:33">
      <c r="B107" s="212" t="s">
        <v>226</v>
      </c>
      <c r="C107" s="213">
        <f>IF($C$2=FALSE,"-",N68)</f>
        <v>0</v>
      </c>
      <c r="D107" s="213">
        <f>IF($C$2=FALSE,"-",O68)</f>
        <v>0</v>
      </c>
      <c r="E107" s="213">
        <f>IF($C$2=FALSE,"-",P68)</f>
        <v>0</v>
      </c>
      <c r="F107" s="213">
        <f>IF($C$2=FALSE,"-",Q68)</f>
        <v>0</v>
      </c>
      <c r="G107" s="213">
        <f>IF($C$2=FALSE,"-",L68)</f>
        <v>0</v>
      </c>
      <c r="H107" s="213">
        <f t="shared" si="40"/>
        <v>0</v>
      </c>
      <c r="I107" s="214">
        <v>0</v>
      </c>
      <c r="J107" s="214">
        <v>8.2458360767272559E-2</v>
      </c>
      <c r="K107" s="215">
        <f t="shared" si="41"/>
        <v>0</v>
      </c>
      <c r="L107" s="216">
        <v>0.5</v>
      </c>
      <c r="M107" s="174"/>
      <c r="N107" s="174"/>
      <c r="O107" s="174"/>
      <c r="P107" s="174"/>
      <c r="Q107" s="174"/>
      <c r="R107" s="174"/>
      <c r="S107" s="174"/>
      <c r="T107" s="174"/>
      <c r="U107" s="174"/>
      <c r="V107" s="174"/>
      <c r="W107" s="174"/>
      <c r="X107" s="174"/>
      <c r="Y107" s="174"/>
      <c r="Z107" s="174"/>
      <c r="AA107" s="174"/>
      <c r="AB107" s="174"/>
      <c r="AC107" s="174"/>
      <c r="AD107" s="174"/>
      <c r="AE107" s="174"/>
      <c r="AF107" s="174"/>
      <c r="AG107" s="174"/>
    </row>
    <row r="108" spans="2:33">
      <c r="B108" s="217" t="s">
        <v>227</v>
      </c>
      <c r="C108" s="218">
        <f>IF($C$2=FALSE,"-",N61)</f>
        <v>0.45498509089644895</v>
      </c>
      <c r="D108" s="218">
        <f>IF($C$2=FALSE,"-",O61)</f>
        <v>0.46237318074938621</v>
      </c>
      <c r="E108" s="218">
        <f>IF($C$2=FALSE,"-",P61)</f>
        <v>0.43556441130183809</v>
      </c>
      <c r="F108" s="218">
        <f>IF($C$2=FALSE,"-",Q61)</f>
        <v>0.43566304758460062</v>
      </c>
      <c r="G108" s="218">
        <f>IF($C$2=FALSE,"-",L61)</f>
        <v>0.51688701412677296</v>
      </c>
      <c r="H108" s="218">
        <f t="shared" si="40"/>
        <v>5.4019329992685092E-2</v>
      </c>
      <c r="I108" s="219">
        <v>0.4356630475846005</v>
      </c>
      <c r="J108" s="219">
        <v>0.44660060161360376</v>
      </c>
      <c r="K108" s="220">
        <f t="shared" si="41"/>
        <v>0</v>
      </c>
      <c r="L108" s="221">
        <v>0.5</v>
      </c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/>
      <c r="Y108" s="174"/>
      <c r="Z108" s="174"/>
      <c r="AA108" s="174"/>
      <c r="AB108" s="174"/>
      <c r="AC108" s="174"/>
      <c r="AD108" s="174"/>
      <c r="AE108" s="174"/>
      <c r="AF108" s="174"/>
      <c r="AG108" s="174"/>
    </row>
    <row r="109" spans="2:33">
      <c r="B109" s="185" t="s">
        <v>228</v>
      </c>
      <c r="C109" s="222">
        <f>IF($C$2=FALSE,"-",N49)</f>
        <v>9.2413074077019416E-2</v>
      </c>
      <c r="D109" s="222">
        <f>IF($C$2=FALSE,"-",O49)</f>
        <v>0.11643343259989543</v>
      </c>
      <c r="E109" s="222">
        <f>IF($C$2=FALSE,"-",P49)</f>
        <v>0.1139329124318014</v>
      </c>
      <c r="F109" s="222">
        <f>IF($C$2=FALSE,"-",Q49)</f>
        <v>0.10717492660150238</v>
      </c>
      <c r="G109" s="222">
        <f>IF($C$2=FALSE,"-",L49)</f>
        <v>4.3088072926988082E-2</v>
      </c>
      <c r="H109" s="222">
        <f t="shared" si="40"/>
        <v>4.252113603112128E-2</v>
      </c>
      <c r="I109" s="223">
        <v>0.10717492660150241</v>
      </c>
      <c r="J109" s="223">
        <v>0.13276125642659761</v>
      </c>
      <c r="K109" s="224">
        <f t="shared" si="41"/>
        <v>0</v>
      </c>
      <c r="L109" s="225">
        <v>0.5</v>
      </c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74"/>
      <c r="AE109" s="174"/>
      <c r="AF109" s="174"/>
      <c r="AG109" s="174"/>
    </row>
    <row r="110" spans="2:33">
      <c r="B110" s="226" t="s">
        <v>186</v>
      </c>
      <c r="C110" s="227">
        <f>IF($C$2=FALSE,"-",N66)</f>
        <v>0.22706731696563887</v>
      </c>
      <c r="D110" s="227">
        <f>IF($C$2=FALSE,"-",O66)</f>
        <v>0.13624039017938333</v>
      </c>
      <c r="E110" s="227">
        <f>IF($C$2=FALSE,"-",P66)</f>
        <v>9.7314564413845228E-2</v>
      </c>
      <c r="F110" s="227">
        <f>IF($C$2=FALSE,"-",Q66)</f>
        <v>6.8120195089691665E-2</v>
      </c>
      <c r="G110" s="227">
        <f>IF($C$2=FALSE,"-",L66)</f>
        <v>0</v>
      </c>
      <c r="H110" s="227">
        <f t="shared" si="40"/>
        <v>0.21541497113844368</v>
      </c>
      <c r="I110" s="228">
        <v>6.8120195089691665E-2</v>
      </c>
      <c r="J110" s="228">
        <v>0.13176025458321536</v>
      </c>
      <c r="K110" s="198">
        <f t="shared" si="41"/>
        <v>0</v>
      </c>
      <c r="L110" s="229">
        <v>0.5</v>
      </c>
      <c r="M110" s="174"/>
      <c r="N110" s="174"/>
      <c r="O110" s="174"/>
      <c r="P110" s="174"/>
      <c r="Q110" s="174"/>
      <c r="R110" s="174"/>
      <c r="S110" s="174"/>
      <c r="T110" s="174"/>
      <c r="U110" s="174"/>
      <c r="V110" s="174"/>
      <c r="W110" s="174"/>
      <c r="X110" s="174"/>
      <c r="Y110" s="174"/>
      <c r="Z110" s="174"/>
      <c r="AA110" s="174"/>
      <c r="AB110" s="174"/>
      <c r="AC110" s="174"/>
      <c r="AD110" s="174"/>
      <c r="AE110" s="174"/>
      <c r="AF110" s="174"/>
      <c r="AG110" s="174"/>
    </row>
    <row r="111" spans="2:33">
      <c r="B111" s="226" t="s">
        <v>161</v>
      </c>
      <c r="C111" s="227">
        <f>IF($C$2=FALSE,"-",N23)</f>
        <v>0.26294964132191018</v>
      </c>
      <c r="D111" s="227">
        <f>IF($C$2=FALSE,"-",O23)</f>
        <v>0.25800194009634364</v>
      </c>
      <c r="E111" s="227">
        <f>IF($C$2=FALSE,"-",P23)</f>
        <v>0.25632161959417871</v>
      </c>
      <c r="F111" s="227">
        <f>IF($C$2=FALSE,"-",Q23)</f>
        <v>0.25178636119185793</v>
      </c>
      <c r="G111" s="227">
        <f>IF($C$2=FALSE,"-",L23)</f>
        <v>0.2686804451510334</v>
      </c>
      <c r="H111" s="227">
        <f t="shared" si="40"/>
        <v>9.9608986974236598E-3</v>
      </c>
      <c r="I111" s="228">
        <v>0.25178636119185793</v>
      </c>
      <c r="J111" s="228">
        <v>0.34902805867054393</v>
      </c>
      <c r="K111" s="198">
        <f t="shared" si="41"/>
        <v>0</v>
      </c>
      <c r="L111" s="229">
        <v>0.5</v>
      </c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/>
      <c r="Y111" s="174"/>
      <c r="Z111" s="174"/>
      <c r="AA111" s="174"/>
      <c r="AB111" s="174"/>
      <c r="AC111" s="174"/>
      <c r="AD111" s="174"/>
      <c r="AE111" s="174"/>
      <c r="AF111" s="174"/>
      <c r="AG111" s="174"/>
    </row>
    <row r="112" spans="2:33">
      <c r="B112" s="217" t="s">
        <v>158</v>
      </c>
      <c r="C112" s="218">
        <f>IF($C$2=FALSE,"-",N20)</f>
        <v>1.0417895192043087E-3</v>
      </c>
      <c r="D112" s="218">
        <f>IF($C$2=FALSE,"-",O20)</f>
        <v>6.2507371152258529E-4</v>
      </c>
      <c r="E112" s="218">
        <f>IF($C$2=FALSE,"-",P20)</f>
        <v>4.4648122251613229E-4</v>
      </c>
      <c r="F112" s="218">
        <f>IF($C$2=FALSE,"-",Q20)</f>
        <v>3.1253685576129264E-4</v>
      </c>
      <c r="G112" s="218">
        <f>IF($C$2=FALSE,"-",L20)</f>
        <v>3.1253685576129262E-3</v>
      </c>
      <c r="H112" s="218">
        <f t="shared" si="40"/>
        <v>9.8832831695320274E-4</v>
      </c>
      <c r="I112" s="219">
        <v>2.6285383295154341E-2</v>
      </c>
      <c r="J112" s="219">
        <v>0.03</v>
      </c>
      <c r="K112" s="220">
        <f t="shared" si="41"/>
        <v>0</v>
      </c>
      <c r="L112" s="221">
        <v>0.5</v>
      </c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</row>
    <row r="113" spans="2:33">
      <c r="B113" s="185" t="s">
        <v>184</v>
      </c>
      <c r="C113" s="222">
        <f>IF($C$2=FALSE,"-",N64)</f>
        <v>5.0963491891761935E-2</v>
      </c>
      <c r="D113" s="222">
        <f>IF($C$2=FALSE,"-",O64)</f>
        <v>3.0578095135057159E-2</v>
      </c>
      <c r="E113" s="222">
        <f>IF($C$2=FALSE,"-",P64)</f>
        <v>2.1841496525040829E-2</v>
      </c>
      <c r="F113" s="222">
        <f>IF($C$2=FALSE,"-",Q64)</f>
        <v>1.528904756752858E-2</v>
      </c>
      <c r="G113" s="222">
        <f>IF($C$2=FALSE,"-",L64)</f>
        <v>0.1528904756752858</v>
      </c>
      <c r="H113" s="222">
        <f t="shared" si="40"/>
        <v>4.8348213568047332E-2</v>
      </c>
      <c r="I113" s="223">
        <v>1.528904756752858E-2</v>
      </c>
      <c r="J113" s="223">
        <v>1.5888717317218103E-2</v>
      </c>
      <c r="K113" s="224">
        <f t="shared" si="41"/>
        <v>0</v>
      </c>
      <c r="L113" s="225">
        <v>0.5</v>
      </c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</row>
    <row r="114" spans="2:33">
      <c r="B114" s="226" t="s">
        <v>229</v>
      </c>
      <c r="C114" s="227"/>
      <c r="D114" s="227"/>
      <c r="E114" s="227"/>
      <c r="F114" s="227"/>
      <c r="G114" s="227"/>
      <c r="H114" s="227"/>
      <c r="I114" s="228">
        <v>5.0000000000000001E-3</v>
      </c>
      <c r="J114" s="228">
        <v>0.02</v>
      </c>
      <c r="K114" s="198">
        <f t="shared" si="41"/>
        <v>0</v>
      </c>
      <c r="L114" s="229">
        <v>0.5</v>
      </c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/>
      <c r="X114" s="174"/>
      <c r="Y114" s="174"/>
      <c r="Z114" s="174"/>
      <c r="AA114" s="174"/>
      <c r="AB114" s="174"/>
      <c r="AC114" s="174"/>
      <c r="AD114" s="174"/>
      <c r="AE114" s="174"/>
      <c r="AF114" s="174"/>
      <c r="AG114" s="174"/>
    </row>
    <row r="115" spans="2:33">
      <c r="B115" s="217" t="s">
        <v>230</v>
      </c>
      <c r="C115" s="218">
        <f>IF($C$2=FALSE,"-",N86)</f>
        <v>0.61412814465807275</v>
      </c>
      <c r="D115" s="218">
        <f>IF($C$2=FALSE,"-",O86)</f>
        <v>0.42899008149264251</v>
      </c>
      <c r="E115" s="218">
        <f>IF($C$2=FALSE,"-",P86)</f>
        <v>0.30642148678045894</v>
      </c>
      <c r="F115" s="218">
        <f>IF($C$2=FALSE,"-",Q86)</f>
        <v>0.21449504074632125</v>
      </c>
      <c r="G115" s="218">
        <f>IF($C$2=FALSE,"-",L86)</f>
        <v>1.1297101449275362</v>
      </c>
      <c r="H115" s="218">
        <f>IF($C$2=FALSE,"-",STDEV(C143:L143))</f>
        <v>0.36766273628315316</v>
      </c>
      <c r="I115" s="219">
        <v>0.01</v>
      </c>
      <c r="J115" s="219">
        <v>0.01</v>
      </c>
      <c r="K115" s="220">
        <f t="shared" si="41"/>
        <v>0</v>
      </c>
      <c r="L115" s="221">
        <v>0.5</v>
      </c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</row>
    <row r="116" spans="2:33">
      <c r="B116" s="195"/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</row>
    <row r="117" spans="2:33">
      <c r="B117" s="204" t="s">
        <v>231</v>
      </c>
      <c r="C117" s="175">
        <f t="shared" ref="C117:K117" si="42">IF($C$2=FALSE,"-",$L$117+C118)</f>
        <v>2004</v>
      </c>
      <c r="D117" s="175">
        <f t="shared" si="42"/>
        <v>2005</v>
      </c>
      <c r="E117" s="175">
        <f t="shared" si="42"/>
        <v>2006</v>
      </c>
      <c r="F117" s="175">
        <f t="shared" si="42"/>
        <v>2007</v>
      </c>
      <c r="G117" s="175">
        <f t="shared" si="42"/>
        <v>2008</v>
      </c>
      <c r="H117" s="175">
        <f t="shared" si="42"/>
        <v>2009</v>
      </c>
      <c r="I117" s="175">
        <f t="shared" si="42"/>
        <v>2010</v>
      </c>
      <c r="J117" s="175">
        <f t="shared" si="42"/>
        <v>2011</v>
      </c>
      <c r="K117" s="175">
        <f t="shared" si="42"/>
        <v>2012</v>
      </c>
      <c r="L117" s="175">
        <f>IF($C$2=FALSE,"-",VALUE(LEFT(L4,4)))</f>
        <v>2013</v>
      </c>
      <c r="M117" s="230">
        <f t="shared" ref="M117:AF117" si="43">IF($C$2=FALSE,"-",$L$117+M118)</f>
        <v>2014</v>
      </c>
      <c r="N117" s="230">
        <f t="shared" si="43"/>
        <v>2015</v>
      </c>
      <c r="O117" s="230">
        <f t="shared" si="43"/>
        <v>2016</v>
      </c>
      <c r="P117" s="230">
        <f t="shared" si="43"/>
        <v>2017</v>
      </c>
      <c r="Q117" s="230">
        <f t="shared" si="43"/>
        <v>2018</v>
      </c>
      <c r="R117" s="230">
        <f t="shared" si="43"/>
        <v>2019</v>
      </c>
      <c r="S117" s="230">
        <f t="shared" si="43"/>
        <v>2020</v>
      </c>
      <c r="T117" s="230">
        <f t="shared" si="43"/>
        <v>2021</v>
      </c>
      <c r="U117" s="230">
        <f t="shared" si="43"/>
        <v>2022</v>
      </c>
      <c r="V117" s="230">
        <f t="shared" si="43"/>
        <v>2023</v>
      </c>
      <c r="W117" s="230">
        <f t="shared" si="43"/>
        <v>2024</v>
      </c>
      <c r="X117" s="230">
        <f t="shared" si="43"/>
        <v>2025</v>
      </c>
      <c r="Y117" s="230">
        <f t="shared" si="43"/>
        <v>2026</v>
      </c>
      <c r="Z117" s="230">
        <f t="shared" si="43"/>
        <v>2027</v>
      </c>
      <c r="AA117" s="230">
        <f t="shared" si="43"/>
        <v>2028</v>
      </c>
      <c r="AB117" s="230">
        <f t="shared" si="43"/>
        <v>2029</v>
      </c>
      <c r="AC117" s="230">
        <f t="shared" si="43"/>
        <v>2030</v>
      </c>
      <c r="AD117" s="230">
        <f t="shared" si="43"/>
        <v>2031</v>
      </c>
      <c r="AE117" s="230">
        <f t="shared" si="43"/>
        <v>2032</v>
      </c>
      <c r="AF117" s="230">
        <f t="shared" si="43"/>
        <v>2033</v>
      </c>
      <c r="AG117" s="174"/>
    </row>
    <row r="118" spans="2:33">
      <c r="B118" s="231"/>
      <c r="C118" s="232">
        <f t="shared" ref="C118:K118" si="44">IF($C$2=FALSE,"-",D118-1)</f>
        <v>-9</v>
      </c>
      <c r="D118" s="232">
        <f t="shared" si="44"/>
        <v>-8</v>
      </c>
      <c r="E118" s="232">
        <f t="shared" si="44"/>
        <v>-7</v>
      </c>
      <c r="F118" s="232">
        <f t="shared" si="44"/>
        <v>-6</v>
      </c>
      <c r="G118" s="232">
        <f t="shared" si="44"/>
        <v>-5</v>
      </c>
      <c r="H118" s="232">
        <f t="shared" si="44"/>
        <v>-4</v>
      </c>
      <c r="I118" s="232">
        <f t="shared" si="44"/>
        <v>-3</v>
      </c>
      <c r="J118" s="232">
        <f t="shared" si="44"/>
        <v>-2</v>
      </c>
      <c r="K118" s="232">
        <f t="shared" si="44"/>
        <v>-1</v>
      </c>
      <c r="L118" s="232">
        <v>0</v>
      </c>
      <c r="M118" s="232">
        <f t="shared" ref="M118:AF118" si="45">IF($C$2=FALSE,"-",L118+1)</f>
        <v>1</v>
      </c>
      <c r="N118" s="232">
        <f t="shared" si="45"/>
        <v>2</v>
      </c>
      <c r="O118" s="232">
        <f t="shared" si="45"/>
        <v>3</v>
      </c>
      <c r="P118" s="232">
        <f t="shared" si="45"/>
        <v>4</v>
      </c>
      <c r="Q118" s="232">
        <f t="shared" si="45"/>
        <v>5</v>
      </c>
      <c r="R118" s="232">
        <f t="shared" si="45"/>
        <v>6</v>
      </c>
      <c r="S118" s="232">
        <f t="shared" si="45"/>
        <v>7</v>
      </c>
      <c r="T118" s="232">
        <f t="shared" si="45"/>
        <v>8</v>
      </c>
      <c r="U118" s="232">
        <f t="shared" si="45"/>
        <v>9</v>
      </c>
      <c r="V118" s="232">
        <f t="shared" si="45"/>
        <v>10</v>
      </c>
      <c r="W118" s="232">
        <f t="shared" si="45"/>
        <v>11</v>
      </c>
      <c r="X118" s="232">
        <f t="shared" si="45"/>
        <v>12</v>
      </c>
      <c r="Y118" s="232">
        <f t="shared" si="45"/>
        <v>13</v>
      </c>
      <c r="Z118" s="232">
        <f t="shared" si="45"/>
        <v>14</v>
      </c>
      <c r="AA118" s="232">
        <f t="shared" si="45"/>
        <v>15</v>
      </c>
      <c r="AB118" s="232">
        <f t="shared" si="45"/>
        <v>16</v>
      </c>
      <c r="AC118" s="232">
        <f t="shared" si="45"/>
        <v>17</v>
      </c>
      <c r="AD118" s="232">
        <f t="shared" si="45"/>
        <v>18</v>
      </c>
      <c r="AE118" s="232">
        <f t="shared" si="45"/>
        <v>19</v>
      </c>
      <c r="AF118" s="232">
        <f t="shared" si="45"/>
        <v>20</v>
      </c>
      <c r="AG118" s="231"/>
    </row>
    <row r="119" spans="2:33">
      <c r="B119" s="207" t="str">
        <f t="shared" ref="B119:B143" si="46">IF($C$2=FALSE,"-",B91)</f>
        <v>Revenue Growth Rate %</v>
      </c>
      <c r="C119" s="208">
        <f t="shared" ref="C119:L119" si="47">IF($C$2=FALSE,"-",C7)</f>
        <v>0</v>
      </c>
      <c r="D119" s="208">
        <f t="shared" si="47"/>
        <v>0.15826813151173633</v>
      </c>
      <c r="E119" s="208">
        <f t="shared" si="47"/>
        <v>-1.0535158027370411E-2</v>
      </c>
      <c r="F119" s="208">
        <f t="shared" si="47"/>
        <v>0.63894587902370004</v>
      </c>
      <c r="G119" s="208">
        <f t="shared" si="47"/>
        <v>-0.15425290829430427</v>
      </c>
      <c r="H119" s="208">
        <f t="shared" si="47"/>
        <v>-0.10623692134946154</v>
      </c>
      <c r="I119" s="208">
        <f t="shared" si="47"/>
        <v>2.6925163464009364E-2</v>
      </c>
      <c r="J119" s="208">
        <f t="shared" si="47"/>
        <v>0.51565367291330699</v>
      </c>
      <c r="K119" s="208">
        <f t="shared" si="47"/>
        <v>-0.20012107425887879</v>
      </c>
      <c r="L119" s="208">
        <f t="shared" si="47"/>
        <v>-0.18989519069788777</v>
      </c>
      <c r="M119" s="233">
        <f t="shared" ref="M119:AF131" si="48">IF($C$2=FALSE,"-",IF(M$118&lt;=$K91,IF($L91=0,$I91-((IF($L91=0,($I91-$J91)/$K91,($J91-$I91)/(EXP(-$L91*$K91)-1)))*(M$118-1)),($I91-(IF($L91=0,($I91-$J91)/$K91,($J91-$I91)/(EXP(-$L91*$K91)-1))))+((IF($L91=0,($I91-$J91)/$K91,($J91-$I91)/(EXP(-$L91*$K91)-1)))*EXP(-$L91*(M$118-1)))),$J91))</f>
        <v>0.14030095747498966</v>
      </c>
      <c r="N119" s="209">
        <f t="shared" si="48"/>
        <v>0.14030095747498966</v>
      </c>
      <c r="O119" s="209">
        <f t="shared" si="48"/>
        <v>0.14030095747498966</v>
      </c>
      <c r="P119" s="209">
        <f t="shared" si="48"/>
        <v>0.14030095747498966</v>
      </c>
      <c r="Q119" s="209">
        <f t="shared" si="48"/>
        <v>0.14030095747498966</v>
      </c>
      <c r="R119" s="209">
        <f t="shared" si="48"/>
        <v>0.14030095747498966</v>
      </c>
      <c r="S119" s="209">
        <f t="shared" si="48"/>
        <v>0.14030095747498966</v>
      </c>
      <c r="T119" s="209">
        <f t="shared" si="48"/>
        <v>0.14030095747498966</v>
      </c>
      <c r="U119" s="209">
        <f t="shared" si="48"/>
        <v>0.14030095747498966</v>
      </c>
      <c r="V119" s="209">
        <f t="shared" si="48"/>
        <v>0.14030095747498966</v>
      </c>
      <c r="W119" s="209">
        <f t="shared" si="48"/>
        <v>0.14030095747498966</v>
      </c>
      <c r="X119" s="209">
        <f t="shared" si="48"/>
        <v>0.14030095747498966</v>
      </c>
      <c r="Y119" s="209">
        <f t="shared" si="48"/>
        <v>0.14030095747498966</v>
      </c>
      <c r="Z119" s="209">
        <f t="shared" si="48"/>
        <v>0.14030095747498966</v>
      </c>
      <c r="AA119" s="209">
        <f t="shared" si="48"/>
        <v>0.14030095747498966</v>
      </c>
      <c r="AB119" s="209">
        <f t="shared" si="48"/>
        <v>0.14030095747498966</v>
      </c>
      <c r="AC119" s="209">
        <f t="shared" si="48"/>
        <v>0.14030095747498966</v>
      </c>
      <c r="AD119" s="209">
        <f t="shared" si="48"/>
        <v>0.14030095747498966</v>
      </c>
      <c r="AE119" s="209">
        <f t="shared" si="48"/>
        <v>0.14030095747498966</v>
      </c>
      <c r="AF119" s="209">
        <f t="shared" si="48"/>
        <v>0.14030095747498966</v>
      </c>
      <c r="AG119" s="174"/>
    </row>
    <row r="120" spans="2:33">
      <c r="B120" s="226" t="str">
        <f t="shared" si="46"/>
        <v>Cost of Goods Sold % of Sales</v>
      </c>
      <c r="C120" s="227">
        <f t="shared" ref="C120:L120" si="49">IF($C$2=FALSE,"-",C9)</f>
        <v>0.56816799772976045</v>
      </c>
      <c r="D120" s="227">
        <f t="shared" si="49"/>
        <v>0.56588848832732486</v>
      </c>
      <c r="E120" s="227">
        <f t="shared" si="49"/>
        <v>0.57824548991864166</v>
      </c>
      <c r="F120" s="227">
        <f t="shared" si="49"/>
        <v>0.53760818423154122</v>
      </c>
      <c r="G120" s="227">
        <f t="shared" si="49"/>
        <v>0.50737508293778388</v>
      </c>
      <c r="H120" s="227">
        <f t="shared" si="49"/>
        <v>0.5480398595208863</v>
      </c>
      <c r="I120" s="227">
        <f t="shared" si="49"/>
        <v>0.57231830061724964</v>
      </c>
      <c r="J120" s="227">
        <f t="shared" si="49"/>
        <v>0.584531846199002</v>
      </c>
      <c r="K120" s="227">
        <f t="shared" si="49"/>
        <v>0.58624406577529065</v>
      </c>
      <c r="L120" s="227">
        <f t="shared" si="49"/>
        <v>0.63128839566288253</v>
      </c>
      <c r="M120" s="234">
        <f t="shared" si="48"/>
        <v>0.64393623496145347</v>
      </c>
      <c r="N120" s="228">
        <f t="shared" si="48"/>
        <v>0.64393623496145347</v>
      </c>
      <c r="O120" s="228">
        <f t="shared" si="48"/>
        <v>0.64393623496145347</v>
      </c>
      <c r="P120" s="228">
        <f t="shared" si="48"/>
        <v>0.64393623496145347</v>
      </c>
      <c r="Q120" s="228">
        <f t="shared" si="48"/>
        <v>0.64393623496145347</v>
      </c>
      <c r="R120" s="228">
        <f t="shared" si="48"/>
        <v>0.64393623496145347</v>
      </c>
      <c r="S120" s="228">
        <f t="shared" si="48"/>
        <v>0.64393623496145347</v>
      </c>
      <c r="T120" s="228">
        <f t="shared" si="48"/>
        <v>0.64393623496145347</v>
      </c>
      <c r="U120" s="228">
        <f t="shared" si="48"/>
        <v>0.64393623496145347</v>
      </c>
      <c r="V120" s="228">
        <f t="shared" si="48"/>
        <v>0.64393623496145347</v>
      </c>
      <c r="W120" s="228">
        <f t="shared" si="48"/>
        <v>0.64393623496145347</v>
      </c>
      <c r="X120" s="228">
        <f t="shared" si="48"/>
        <v>0.64393623496145347</v>
      </c>
      <c r="Y120" s="228">
        <f t="shared" si="48"/>
        <v>0.64393623496145347</v>
      </c>
      <c r="Z120" s="228">
        <f t="shared" si="48"/>
        <v>0.64393623496145347</v>
      </c>
      <c r="AA120" s="228">
        <f t="shared" si="48"/>
        <v>0.64393623496145347</v>
      </c>
      <c r="AB120" s="228">
        <f t="shared" si="48"/>
        <v>0.64393623496145347</v>
      </c>
      <c r="AC120" s="228">
        <f t="shared" si="48"/>
        <v>0.64393623496145347</v>
      </c>
      <c r="AD120" s="228">
        <f t="shared" si="48"/>
        <v>0.64393623496145347</v>
      </c>
      <c r="AE120" s="228">
        <f t="shared" si="48"/>
        <v>0.64393623496145347</v>
      </c>
      <c r="AF120" s="228">
        <f t="shared" si="48"/>
        <v>0.64393623496145347</v>
      </c>
      <c r="AG120" s="174"/>
    </row>
    <row r="121" spans="2:33">
      <c r="B121" s="226" t="str">
        <f t="shared" si="46"/>
        <v>SG&amp;A + R&amp;D Expense % of Sales</v>
      </c>
      <c r="C121" s="227">
        <f t="shared" ref="C121:L121" si="50">IF($C$2=FALSE,"-",C12)</f>
        <v>9.5025742895366277E-2</v>
      </c>
      <c r="D121" s="227">
        <f t="shared" si="50"/>
        <v>8.9006335095026423E-2</v>
      </c>
      <c r="E121" s="227">
        <f t="shared" si="50"/>
        <v>9.4446409621506897E-2</v>
      </c>
      <c r="F121" s="227">
        <f t="shared" si="50"/>
        <v>7.2583255994647447E-2</v>
      </c>
      <c r="G121" s="227">
        <f t="shared" si="50"/>
        <v>8.1151431633746746E-2</v>
      </c>
      <c r="H121" s="227">
        <f t="shared" si="50"/>
        <v>9.7678668303686156E-2</v>
      </c>
      <c r="I121" s="227">
        <f t="shared" si="50"/>
        <v>9.6118556414391376E-2</v>
      </c>
      <c r="J121" s="227">
        <f t="shared" si="50"/>
        <v>7.0626651012621069E-2</v>
      </c>
      <c r="K121" s="227">
        <f t="shared" si="50"/>
        <v>8.6943558929431466E-2</v>
      </c>
      <c r="L121" s="227">
        <f t="shared" si="50"/>
        <v>0.10822976530872236</v>
      </c>
      <c r="M121" s="234">
        <f t="shared" si="48"/>
        <v>0.14089617453524028</v>
      </c>
      <c r="N121" s="228">
        <f t="shared" si="48"/>
        <v>0.14089617453524028</v>
      </c>
      <c r="O121" s="228">
        <f t="shared" si="48"/>
        <v>0.14089617453524028</v>
      </c>
      <c r="P121" s="228">
        <f t="shared" si="48"/>
        <v>0.14089617453524028</v>
      </c>
      <c r="Q121" s="228">
        <f t="shared" si="48"/>
        <v>0.14089617453524028</v>
      </c>
      <c r="R121" s="228">
        <f t="shared" si="48"/>
        <v>0.14089617453524028</v>
      </c>
      <c r="S121" s="228">
        <f t="shared" si="48"/>
        <v>0.14089617453524028</v>
      </c>
      <c r="T121" s="228">
        <f t="shared" si="48"/>
        <v>0.14089617453524028</v>
      </c>
      <c r="U121" s="228">
        <f t="shared" si="48"/>
        <v>0.14089617453524028</v>
      </c>
      <c r="V121" s="228">
        <f t="shared" si="48"/>
        <v>0.14089617453524028</v>
      </c>
      <c r="W121" s="228">
        <f t="shared" si="48"/>
        <v>0.14089617453524028</v>
      </c>
      <c r="X121" s="228">
        <f t="shared" si="48"/>
        <v>0.14089617453524028</v>
      </c>
      <c r="Y121" s="228">
        <f t="shared" si="48"/>
        <v>0.14089617453524028</v>
      </c>
      <c r="Z121" s="228">
        <f t="shared" si="48"/>
        <v>0.14089617453524028</v>
      </c>
      <c r="AA121" s="228">
        <f t="shared" si="48"/>
        <v>0.14089617453524028</v>
      </c>
      <c r="AB121" s="228">
        <f t="shared" si="48"/>
        <v>0.14089617453524028</v>
      </c>
      <c r="AC121" s="228">
        <f t="shared" si="48"/>
        <v>0.14089617453524028</v>
      </c>
      <c r="AD121" s="228">
        <f t="shared" si="48"/>
        <v>0.14089617453524028</v>
      </c>
      <c r="AE121" s="228">
        <f t="shared" si="48"/>
        <v>0.14089617453524028</v>
      </c>
      <c r="AF121" s="228">
        <f t="shared" si="48"/>
        <v>0.14089617453524028</v>
      </c>
      <c r="AG121" s="174"/>
    </row>
    <row r="122" spans="2:33">
      <c r="B122" s="226" t="str">
        <f t="shared" si="46"/>
        <v>Depreciation &amp; Amortization Expense % of Gross PPE</v>
      </c>
      <c r="C122" s="227">
        <f t="shared" ref="C122:L122" si="51">IF($C$2=FALSE,"-",C14)</f>
        <v>4.6091758708581142E-2</v>
      </c>
      <c r="D122" s="227">
        <f t="shared" si="51"/>
        <v>4.6482412060301508E-2</v>
      </c>
      <c r="E122" s="227">
        <f t="shared" si="51"/>
        <v>4.6142080217539086E-2</v>
      </c>
      <c r="F122" s="227">
        <f t="shared" si="51"/>
        <v>5.8427876823338734E-2</v>
      </c>
      <c r="G122" s="227">
        <f t="shared" si="51"/>
        <v>5.3080840685747074E-2</v>
      </c>
      <c r="H122" s="227">
        <f t="shared" si="51"/>
        <v>5.1527306386917618E-2</v>
      </c>
      <c r="I122" s="227">
        <f t="shared" si="51"/>
        <v>4.4821126696212361E-2</v>
      </c>
      <c r="J122" s="227">
        <f t="shared" si="51"/>
        <v>6.8406995778409585E-2</v>
      </c>
      <c r="K122" s="227">
        <f t="shared" si="51"/>
        <v>6.9934694552368351E-2</v>
      </c>
      <c r="L122" s="227">
        <f t="shared" si="51"/>
        <v>0</v>
      </c>
      <c r="M122" s="234">
        <f t="shared" si="48"/>
        <v>0.13228046993453257</v>
      </c>
      <c r="N122" s="228">
        <f t="shared" si="48"/>
        <v>0.13228046993453257</v>
      </c>
      <c r="O122" s="228">
        <f t="shared" si="48"/>
        <v>0.13228046993453257</v>
      </c>
      <c r="P122" s="228">
        <f t="shared" si="48"/>
        <v>0.13228046993453257</v>
      </c>
      <c r="Q122" s="228">
        <f t="shared" si="48"/>
        <v>0.13228046993453257</v>
      </c>
      <c r="R122" s="228">
        <f t="shared" si="48"/>
        <v>0.13228046993453257</v>
      </c>
      <c r="S122" s="228">
        <f t="shared" si="48"/>
        <v>0.13228046993453257</v>
      </c>
      <c r="T122" s="228">
        <f t="shared" si="48"/>
        <v>0.13228046993453257</v>
      </c>
      <c r="U122" s="228">
        <f t="shared" si="48"/>
        <v>0.13228046993453257</v>
      </c>
      <c r="V122" s="228">
        <f t="shared" si="48"/>
        <v>0.13228046993453257</v>
      </c>
      <c r="W122" s="228">
        <f t="shared" si="48"/>
        <v>0.13228046993453257</v>
      </c>
      <c r="X122" s="228">
        <f t="shared" si="48"/>
        <v>0.13228046993453257</v>
      </c>
      <c r="Y122" s="228">
        <f t="shared" si="48"/>
        <v>0.13228046993453257</v>
      </c>
      <c r="Z122" s="228">
        <f t="shared" si="48"/>
        <v>0.13228046993453257</v>
      </c>
      <c r="AA122" s="228">
        <f t="shared" si="48"/>
        <v>0.13228046993453257</v>
      </c>
      <c r="AB122" s="228">
        <f t="shared" si="48"/>
        <v>0.13228046993453257</v>
      </c>
      <c r="AC122" s="228">
        <f t="shared" si="48"/>
        <v>0.13228046993453257</v>
      </c>
      <c r="AD122" s="228">
        <f t="shared" si="48"/>
        <v>0.13228046993453257</v>
      </c>
      <c r="AE122" s="228">
        <f t="shared" si="48"/>
        <v>0.13228046993453257</v>
      </c>
      <c r="AF122" s="228">
        <f t="shared" si="48"/>
        <v>0.13228046993453257</v>
      </c>
      <c r="AG122" s="174"/>
    </row>
    <row r="123" spans="2:33">
      <c r="B123" s="226" t="str">
        <f t="shared" si="46"/>
        <v>Accumulated Depreciation % of Gross PPE</v>
      </c>
      <c r="C123" s="227">
        <f t="shared" ref="C123:L123" si="52">IF($C$2=FALSE,"-",C46)</f>
        <v>0.33719201359388273</v>
      </c>
      <c r="D123" s="227">
        <f t="shared" si="52"/>
        <v>0.34779667568612294</v>
      </c>
      <c r="E123" s="227">
        <f t="shared" si="52"/>
        <v>0.33914004078857918</v>
      </c>
      <c r="F123" s="227">
        <f t="shared" si="52"/>
        <v>0.36661264181523501</v>
      </c>
      <c r="G123" s="227">
        <f t="shared" si="52"/>
        <v>0.3653970303421562</v>
      </c>
      <c r="H123" s="227">
        <f t="shared" si="52"/>
        <v>0.35285405738969455</v>
      </c>
      <c r="I123" s="227">
        <f t="shared" si="52"/>
        <v>0.29401014300726458</v>
      </c>
      <c r="J123" s="227">
        <f t="shared" si="52"/>
        <v>0.33565951580942532</v>
      </c>
      <c r="K123" s="227">
        <f t="shared" si="52"/>
        <v>0.37893692651070515</v>
      </c>
      <c r="L123" s="227">
        <f t="shared" si="52"/>
        <v>-0.39280002975194317</v>
      </c>
      <c r="M123" s="234">
        <f t="shared" si="48"/>
        <v>0.2991713532199014</v>
      </c>
      <c r="N123" s="228">
        <f t="shared" si="48"/>
        <v>0.2991713532199014</v>
      </c>
      <c r="O123" s="228">
        <f t="shared" si="48"/>
        <v>0.2991713532199014</v>
      </c>
      <c r="P123" s="228">
        <f t="shared" si="48"/>
        <v>0.2991713532199014</v>
      </c>
      <c r="Q123" s="228">
        <f t="shared" si="48"/>
        <v>0.2991713532199014</v>
      </c>
      <c r="R123" s="228">
        <f t="shared" si="48"/>
        <v>0.2991713532199014</v>
      </c>
      <c r="S123" s="228">
        <f t="shared" si="48"/>
        <v>0.2991713532199014</v>
      </c>
      <c r="T123" s="228">
        <f t="shared" si="48"/>
        <v>0.2991713532199014</v>
      </c>
      <c r="U123" s="228">
        <f t="shared" si="48"/>
        <v>0.2991713532199014</v>
      </c>
      <c r="V123" s="228">
        <f t="shared" si="48"/>
        <v>0.2991713532199014</v>
      </c>
      <c r="W123" s="228">
        <f t="shared" si="48"/>
        <v>0.2991713532199014</v>
      </c>
      <c r="X123" s="228">
        <f t="shared" si="48"/>
        <v>0.2991713532199014</v>
      </c>
      <c r="Y123" s="228">
        <f t="shared" si="48"/>
        <v>0.2991713532199014</v>
      </c>
      <c r="Z123" s="228">
        <f t="shared" si="48"/>
        <v>0.2991713532199014</v>
      </c>
      <c r="AA123" s="228">
        <f t="shared" si="48"/>
        <v>0.2991713532199014</v>
      </c>
      <c r="AB123" s="228">
        <f t="shared" si="48"/>
        <v>0.2991713532199014</v>
      </c>
      <c r="AC123" s="228">
        <f t="shared" si="48"/>
        <v>0.2991713532199014</v>
      </c>
      <c r="AD123" s="228">
        <f t="shared" si="48"/>
        <v>0.2991713532199014</v>
      </c>
      <c r="AE123" s="228">
        <f t="shared" si="48"/>
        <v>0.2991713532199014</v>
      </c>
      <c r="AF123" s="228">
        <f t="shared" si="48"/>
        <v>0.2991713532199014</v>
      </c>
      <c r="AG123" s="174"/>
    </row>
    <row r="124" spans="2:33">
      <c r="B124" s="226" t="str">
        <f t="shared" si="46"/>
        <v>After Tax Adjustments % of Sales</v>
      </c>
      <c r="C124" s="227">
        <f t="shared" ref="C124:L124" si="53">IF($C$2=FALSE,"-",C25)</f>
        <v>0</v>
      </c>
      <c r="D124" s="227">
        <f t="shared" si="53"/>
        <v>0</v>
      </c>
      <c r="E124" s="227">
        <f t="shared" si="53"/>
        <v>0</v>
      </c>
      <c r="F124" s="227">
        <f t="shared" si="53"/>
        <v>0</v>
      </c>
      <c r="G124" s="227">
        <f t="shared" si="53"/>
        <v>0</v>
      </c>
      <c r="H124" s="227">
        <f t="shared" si="53"/>
        <v>0</v>
      </c>
      <c r="I124" s="227">
        <f t="shared" si="53"/>
        <v>0</v>
      </c>
      <c r="J124" s="227">
        <f t="shared" si="53"/>
        <v>0</v>
      </c>
      <c r="K124" s="227">
        <f t="shared" si="53"/>
        <v>0</v>
      </c>
      <c r="L124" s="227">
        <f t="shared" si="53"/>
        <v>0</v>
      </c>
      <c r="M124" s="234">
        <f t="shared" si="48"/>
        <v>0.03</v>
      </c>
      <c r="N124" s="228">
        <f t="shared" si="48"/>
        <v>0.03</v>
      </c>
      <c r="O124" s="228">
        <f t="shared" si="48"/>
        <v>0.03</v>
      </c>
      <c r="P124" s="228">
        <f t="shared" si="48"/>
        <v>0.03</v>
      </c>
      <c r="Q124" s="228">
        <f t="shared" si="48"/>
        <v>0.03</v>
      </c>
      <c r="R124" s="228">
        <f t="shared" si="48"/>
        <v>0.03</v>
      </c>
      <c r="S124" s="228">
        <f t="shared" si="48"/>
        <v>0.03</v>
      </c>
      <c r="T124" s="228">
        <f t="shared" si="48"/>
        <v>0.03</v>
      </c>
      <c r="U124" s="228">
        <f t="shared" si="48"/>
        <v>0.03</v>
      </c>
      <c r="V124" s="228">
        <f t="shared" si="48"/>
        <v>0.03</v>
      </c>
      <c r="W124" s="228">
        <f t="shared" si="48"/>
        <v>0.03</v>
      </c>
      <c r="X124" s="228">
        <f t="shared" si="48"/>
        <v>0.03</v>
      </c>
      <c r="Y124" s="228">
        <f t="shared" si="48"/>
        <v>0.03</v>
      </c>
      <c r="Z124" s="228">
        <f t="shared" si="48"/>
        <v>0.03</v>
      </c>
      <c r="AA124" s="228">
        <f t="shared" si="48"/>
        <v>0.03</v>
      </c>
      <c r="AB124" s="228">
        <f t="shared" si="48"/>
        <v>0.03</v>
      </c>
      <c r="AC124" s="228">
        <f t="shared" si="48"/>
        <v>0.03</v>
      </c>
      <c r="AD124" s="228">
        <f t="shared" si="48"/>
        <v>0.03</v>
      </c>
      <c r="AE124" s="228">
        <f t="shared" si="48"/>
        <v>0.03</v>
      </c>
      <c r="AF124" s="228">
        <f t="shared" si="48"/>
        <v>0.03</v>
      </c>
      <c r="AG124" s="174"/>
    </row>
    <row r="125" spans="2:33">
      <c r="B125" s="217" t="str">
        <f t="shared" si="46"/>
        <v>Non-Operating Income (Expense) % of Sales</v>
      </c>
      <c r="C125" s="218">
        <f t="shared" ref="C125:L125" si="54">IF($C$2=FALSE,"-",C17)</f>
        <v>1.0540398102728342E-3</v>
      </c>
      <c r="D125" s="218">
        <f t="shared" si="54"/>
        <v>6.02009030135452E-3</v>
      </c>
      <c r="E125" s="218">
        <f t="shared" si="54"/>
        <v>2.8652281570569508E-3</v>
      </c>
      <c r="F125" s="218">
        <f t="shared" si="54"/>
        <v>2.9568558047180196E-3</v>
      </c>
      <c r="G125" s="218">
        <f t="shared" si="54"/>
        <v>3.7768590823253202E-3</v>
      </c>
      <c r="H125" s="218">
        <f t="shared" si="54"/>
        <v>8.2231676326985116E-3</v>
      </c>
      <c r="I125" s="218">
        <f t="shared" si="54"/>
        <v>-1.418005894455875E-3</v>
      </c>
      <c r="J125" s="218">
        <f t="shared" si="54"/>
        <v>8.4751981215145291E-3</v>
      </c>
      <c r="K125" s="218">
        <f t="shared" si="54"/>
        <v>7.9581680159622036E-3</v>
      </c>
      <c r="L125" s="218">
        <f t="shared" si="54"/>
        <v>8.1250176938538633E-3</v>
      </c>
      <c r="M125" s="235">
        <f t="shared" si="48"/>
        <v>3.5251212140837075E-2</v>
      </c>
      <c r="N125" s="219">
        <f t="shared" si="48"/>
        <v>3.5251212140837075E-2</v>
      </c>
      <c r="O125" s="219">
        <f t="shared" si="48"/>
        <v>3.5251212140837075E-2</v>
      </c>
      <c r="P125" s="219">
        <f t="shared" si="48"/>
        <v>3.5251212140837075E-2</v>
      </c>
      <c r="Q125" s="219">
        <f t="shared" si="48"/>
        <v>3.5251212140837075E-2</v>
      </c>
      <c r="R125" s="219">
        <f t="shared" si="48"/>
        <v>3.5251212140837075E-2</v>
      </c>
      <c r="S125" s="219">
        <f t="shared" si="48"/>
        <v>3.5251212140837075E-2</v>
      </c>
      <c r="T125" s="219">
        <f t="shared" si="48"/>
        <v>3.5251212140837075E-2</v>
      </c>
      <c r="U125" s="219">
        <f t="shared" si="48"/>
        <v>3.5251212140837075E-2</v>
      </c>
      <c r="V125" s="219">
        <f t="shared" si="48"/>
        <v>3.5251212140837075E-2</v>
      </c>
      <c r="W125" s="219">
        <f t="shared" si="48"/>
        <v>3.5251212140837075E-2</v>
      </c>
      <c r="X125" s="219">
        <f t="shared" si="48"/>
        <v>3.5251212140837075E-2</v>
      </c>
      <c r="Y125" s="219">
        <f t="shared" si="48"/>
        <v>3.5251212140837075E-2</v>
      </c>
      <c r="Z125" s="219">
        <f t="shared" si="48"/>
        <v>3.5251212140837075E-2</v>
      </c>
      <c r="AA125" s="219">
        <f t="shared" si="48"/>
        <v>3.5251212140837075E-2</v>
      </c>
      <c r="AB125" s="219">
        <f t="shared" si="48"/>
        <v>3.5251212140837075E-2</v>
      </c>
      <c r="AC125" s="219">
        <f t="shared" si="48"/>
        <v>3.5251212140837075E-2</v>
      </c>
      <c r="AD125" s="219">
        <f t="shared" si="48"/>
        <v>3.5251212140837075E-2</v>
      </c>
      <c r="AE125" s="219">
        <f t="shared" si="48"/>
        <v>3.5251212140837075E-2</v>
      </c>
      <c r="AF125" s="219">
        <f t="shared" si="48"/>
        <v>3.5251212140837075E-2</v>
      </c>
      <c r="AG125" s="174"/>
    </row>
    <row r="126" spans="2:33">
      <c r="B126" s="226" t="str">
        <f t="shared" si="46"/>
        <v>Cash &amp; Cash Equivalents (ST Inv) % of Sales</v>
      </c>
      <c r="C126" s="227">
        <f t="shared" ref="C126:L126" si="55">IF($C$2=FALSE,"-",C35)</f>
        <v>1.1851461466736937</v>
      </c>
      <c r="D126" s="227">
        <f t="shared" si="55"/>
        <v>0.99383990759861396</v>
      </c>
      <c r="E126" s="227">
        <f t="shared" si="55"/>
        <v>0.91800495224619738</v>
      </c>
      <c r="F126" s="227">
        <f t="shared" si="55"/>
        <v>0.65085360326333286</v>
      </c>
      <c r="G126" s="227">
        <f t="shared" si="55"/>
        <v>0.72827030061756748</v>
      </c>
      <c r="H126" s="227">
        <f t="shared" si="55"/>
        <v>0.7895954087314051</v>
      </c>
      <c r="I126" s="227">
        <f t="shared" si="55"/>
        <v>0.80990379803147416</v>
      </c>
      <c r="J126" s="227">
        <f t="shared" si="55"/>
        <v>0.73048136190196655</v>
      </c>
      <c r="K126" s="227">
        <f t="shared" si="55"/>
        <v>0.89757585487237113</v>
      </c>
      <c r="L126" s="227">
        <f t="shared" si="55"/>
        <v>1.2061829402938595</v>
      </c>
      <c r="M126" s="234">
        <f t="shared" si="48"/>
        <v>0</v>
      </c>
      <c r="N126" s="228">
        <f t="shared" si="48"/>
        <v>0</v>
      </c>
      <c r="O126" s="228">
        <f t="shared" si="48"/>
        <v>0</v>
      </c>
      <c r="P126" s="228">
        <f t="shared" si="48"/>
        <v>0</v>
      </c>
      <c r="Q126" s="228">
        <f t="shared" si="48"/>
        <v>0</v>
      </c>
      <c r="R126" s="228">
        <f t="shared" si="48"/>
        <v>0</v>
      </c>
      <c r="S126" s="228">
        <f t="shared" si="48"/>
        <v>0</v>
      </c>
      <c r="T126" s="228">
        <f t="shared" si="48"/>
        <v>0</v>
      </c>
      <c r="U126" s="228">
        <f t="shared" si="48"/>
        <v>0</v>
      </c>
      <c r="V126" s="228">
        <f t="shared" si="48"/>
        <v>0</v>
      </c>
      <c r="W126" s="228">
        <f t="shared" si="48"/>
        <v>0</v>
      </c>
      <c r="X126" s="228">
        <f t="shared" si="48"/>
        <v>0</v>
      </c>
      <c r="Y126" s="228">
        <f t="shared" si="48"/>
        <v>0</v>
      </c>
      <c r="Z126" s="228">
        <f t="shared" si="48"/>
        <v>0</v>
      </c>
      <c r="AA126" s="228">
        <f t="shared" si="48"/>
        <v>0</v>
      </c>
      <c r="AB126" s="228">
        <f t="shared" si="48"/>
        <v>0</v>
      </c>
      <c r="AC126" s="228">
        <f t="shared" si="48"/>
        <v>0</v>
      </c>
      <c r="AD126" s="228">
        <f t="shared" si="48"/>
        <v>0</v>
      </c>
      <c r="AE126" s="228">
        <f t="shared" si="48"/>
        <v>0</v>
      </c>
      <c r="AF126" s="228">
        <f t="shared" si="48"/>
        <v>0</v>
      </c>
      <c r="AG126" s="174"/>
    </row>
    <row r="127" spans="2:33">
      <c r="B127" s="226" t="str">
        <f t="shared" si="46"/>
        <v>Inventories % of Sales</v>
      </c>
      <c r="C127" s="227">
        <f t="shared" ref="C127:L127" si="56">IF($C$2=FALSE,"-",C39)</f>
        <v>3.7702193213605219E-2</v>
      </c>
      <c r="D127" s="227">
        <f t="shared" si="56"/>
        <v>3.1115466732000979E-2</v>
      </c>
      <c r="E127" s="227">
        <f t="shared" si="56"/>
        <v>2.7449593208348073E-2</v>
      </c>
      <c r="F127" s="227">
        <f t="shared" si="56"/>
        <v>2.6676450909718773E-2</v>
      </c>
      <c r="G127" s="227">
        <f t="shared" si="56"/>
        <v>2.8122288572449344E-2</v>
      </c>
      <c r="H127" s="227">
        <f t="shared" si="56"/>
        <v>3.2036090569054619E-2</v>
      </c>
      <c r="I127" s="227">
        <f t="shared" si="56"/>
        <v>2.1992993382639159E-2</v>
      </c>
      <c r="J127" s="227">
        <f t="shared" si="56"/>
        <v>2.6691370707367185E-2</v>
      </c>
      <c r="K127" s="227">
        <f t="shared" si="56"/>
        <v>2.8553081210008487E-2</v>
      </c>
      <c r="L127" s="227">
        <f t="shared" si="56"/>
        <v>0</v>
      </c>
      <c r="M127" s="234">
        <f t="shared" si="48"/>
        <v>6.8279536131975335E-2</v>
      </c>
      <c r="N127" s="228">
        <f t="shared" si="48"/>
        <v>6.8279536131975335E-2</v>
      </c>
      <c r="O127" s="228">
        <f t="shared" si="48"/>
        <v>6.8279536131975335E-2</v>
      </c>
      <c r="P127" s="228">
        <f t="shared" si="48"/>
        <v>6.8279536131975335E-2</v>
      </c>
      <c r="Q127" s="228">
        <f t="shared" si="48"/>
        <v>6.8279536131975335E-2</v>
      </c>
      <c r="R127" s="228">
        <f t="shared" si="48"/>
        <v>6.8279536131975335E-2</v>
      </c>
      <c r="S127" s="228">
        <f t="shared" si="48"/>
        <v>6.8279536131975335E-2</v>
      </c>
      <c r="T127" s="228">
        <f t="shared" si="48"/>
        <v>6.8279536131975335E-2</v>
      </c>
      <c r="U127" s="228">
        <f t="shared" si="48"/>
        <v>6.8279536131975335E-2</v>
      </c>
      <c r="V127" s="228">
        <f t="shared" si="48"/>
        <v>6.8279536131975335E-2</v>
      </c>
      <c r="W127" s="228">
        <f t="shared" si="48"/>
        <v>6.8279536131975335E-2</v>
      </c>
      <c r="X127" s="228">
        <f t="shared" si="48"/>
        <v>6.8279536131975335E-2</v>
      </c>
      <c r="Y127" s="228">
        <f t="shared" si="48"/>
        <v>6.8279536131975335E-2</v>
      </c>
      <c r="Z127" s="228">
        <f t="shared" si="48"/>
        <v>6.8279536131975335E-2</v>
      </c>
      <c r="AA127" s="228">
        <f t="shared" si="48"/>
        <v>6.8279536131975335E-2</v>
      </c>
      <c r="AB127" s="228">
        <f t="shared" si="48"/>
        <v>6.8279536131975335E-2</v>
      </c>
      <c r="AC127" s="228">
        <f t="shared" si="48"/>
        <v>6.8279536131975335E-2</v>
      </c>
      <c r="AD127" s="228">
        <f t="shared" si="48"/>
        <v>6.8279536131975335E-2</v>
      </c>
      <c r="AE127" s="228">
        <f t="shared" si="48"/>
        <v>6.8279536131975335E-2</v>
      </c>
      <c r="AF127" s="228">
        <f t="shared" si="48"/>
        <v>6.8279536131975335E-2</v>
      </c>
      <c r="AG127" s="174"/>
    </row>
    <row r="128" spans="2:33">
      <c r="B128" s="226" t="str">
        <f t="shared" si="46"/>
        <v>Total Accounts Receivable % of Sales</v>
      </c>
      <c r="C128" s="227">
        <f t="shared" ref="C128:L128" si="57">IF($C$2=FALSE,"-",C37)</f>
        <v>0.44979121903758057</v>
      </c>
      <c r="D128" s="227">
        <f t="shared" si="57"/>
        <v>0.40149102236533546</v>
      </c>
      <c r="E128" s="227">
        <f t="shared" si="57"/>
        <v>0.41446763353378141</v>
      </c>
      <c r="F128" s="227">
        <f t="shared" si="57"/>
        <v>0.35577234368592581</v>
      </c>
      <c r="G128" s="227">
        <f t="shared" si="57"/>
        <v>0.35137549124687389</v>
      </c>
      <c r="H128" s="227">
        <f t="shared" si="57"/>
        <v>0.40824600976501157</v>
      </c>
      <c r="I128" s="227">
        <f t="shared" si="57"/>
        <v>0.51971306233665127</v>
      </c>
      <c r="J128" s="227">
        <f t="shared" si="57"/>
        <v>0.39503228646903432</v>
      </c>
      <c r="K128" s="227">
        <f t="shared" si="57"/>
        <v>0.30585051487282983</v>
      </c>
      <c r="L128" s="227">
        <f t="shared" si="57"/>
        <v>0.38085666562862724</v>
      </c>
      <c r="M128" s="234">
        <f t="shared" si="48"/>
        <v>0.46256927115731561</v>
      </c>
      <c r="N128" s="228">
        <f t="shared" si="48"/>
        <v>0.46256927115731561</v>
      </c>
      <c r="O128" s="228">
        <f t="shared" si="48"/>
        <v>0.46256927115731561</v>
      </c>
      <c r="P128" s="228">
        <f t="shared" si="48"/>
        <v>0.46256927115731561</v>
      </c>
      <c r="Q128" s="228">
        <f t="shared" si="48"/>
        <v>0.46256927115731561</v>
      </c>
      <c r="R128" s="228">
        <f t="shared" si="48"/>
        <v>0.46256927115731561</v>
      </c>
      <c r="S128" s="228">
        <f t="shared" si="48"/>
        <v>0.46256927115731561</v>
      </c>
      <c r="T128" s="228">
        <f t="shared" si="48"/>
        <v>0.46256927115731561</v>
      </c>
      <c r="U128" s="228">
        <f t="shared" si="48"/>
        <v>0.46256927115731561</v>
      </c>
      <c r="V128" s="228">
        <f t="shared" si="48"/>
        <v>0.46256927115731561</v>
      </c>
      <c r="W128" s="228">
        <f t="shared" si="48"/>
        <v>0.46256927115731561</v>
      </c>
      <c r="X128" s="228">
        <f t="shared" si="48"/>
        <v>0.46256927115731561</v>
      </c>
      <c r="Y128" s="228">
        <f t="shared" si="48"/>
        <v>0.46256927115731561</v>
      </c>
      <c r="Z128" s="228">
        <f t="shared" si="48"/>
        <v>0.46256927115731561</v>
      </c>
      <c r="AA128" s="228">
        <f t="shared" si="48"/>
        <v>0.46256927115731561</v>
      </c>
      <c r="AB128" s="228">
        <f t="shared" si="48"/>
        <v>0.46256927115731561</v>
      </c>
      <c r="AC128" s="228">
        <f t="shared" si="48"/>
        <v>0.46256927115731561</v>
      </c>
      <c r="AD128" s="228">
        <f t="shared" si="48"/>
        <v>0.46256927115731561</v>
      </c>
      <c r="AE128" s="228">
        <f t="shared" si="48"/>
        <v>0.46256927115731561</v>
      </c>
      <c r="AF128" s="228">
        <f t="shared" si="48"/>
        <v>0.46256927115731561</v>
      </c>
      <c r="AG128" s="174"/>
    </row>
    <row r="129" spans="2:33">
      <c r="B129" s="226" t="str">
        <f t="shared" si="46"/>
        <v>Other Current Assets % of Sales</v>
      </c>
      <c r="C129" s="227">
        <f t="shared" ref="C129:L129" si="58">IF($C$2=FALSE,"-",C41)</f>
        <v>0.23261847812867395</v>
      </c>
      <c r="D129" s="227">
        <f t="shared" si="58"/>
        <v>0.21500822512337686</v>
      </c>
      <c r="E129" s="227">
        <f t="shared" si="58"/>
        <v>0.23144676335337813</v>
      </c>
      <c r="F129" s="227">
        <f t="shared" si="58"/>
        <v>0.14881402024474996</v>
      </c>
      <c r="G129" s="227">
        <f t="shared" si="58"/>
        <v>0.18636758025825551</v>
      </c>
      <c r="H129" s="227">
        <f t="shared" si="58"/>
        <v>0.25323358935556634</v>
      </c>
      <c r="I129" s="227">
        <f t="shared" si="58"/>
        <v>0.25137629983873661</v>
      </c>
      <c r="J129" s="227">
        <f t="shared" si="58"/>
        <v>0.17498899324919284</v>
      </c>
      <c r="K129" s="227">
        <f t="shared" si="58"/>
        <v>0.22060408687475633</v>
      </c>
      <c r="L129" s="227">
        <f t="shared" si="58"/>
        <v>0.29620926874840753</v>
      </c>
      <c r="M129" s="234">
        <f t="shared" si="48"/>
        <v>0.24992711611732077</v>
      </c>
      <c r="N129" s="228">
        <f t="shared" si="48"/>
        <v>0.24992711611732077</v>
      </c>
      <c r="O129" s="228">
        <f t="shared" si="48"/>
        <v>0.24992711611732077</v>
      </c>
      <c r="P129" s="228">
        <f t="shared" si="48"/>
        <v>0.24992711611732077</v>
      </c>
      <c r="Q129" s="228">
        <f t="shared" si="48"/>
        <v>0.24992711611732077</v>
      </c>
      <c r="R129" s="228">
        <f t="shared" si="48"/>
        <v>0.24992711611732077</v>
      </c>
      <c r="S129" s="228">
        <f t="shared" si="48"/>
        <v>0.24992711611732077</v>
      </c>
      <c r="T129" s="228">
        <f t="shared" si="48"/>
        <v>0.24992711611732077</v>
      </c>
      <c r="U129" s="228">
        <f t="shared" si="48"/>
        <v>0.24992711611732077</v>
      </c>
      <c r="V129" s="228">
        <f t="shared" si="48"/>
        <v>0.24992711611732077</v>
      </c>
      <c r="W129" s="228">
        <f t="shared" si="48"/>
        <v>0.24992711611732077</v>
      </c>
      <c r="X129" s="228">
        <f t="shared" si="48"/>
        <v>0.24992711611732077</v>
      </c>
      <c r="Y129" s="228">
        <f t="shared" si="48"/>
        <v>0.24992711611732077</v>
      </c>
      <c r="Z129" s="228">
        <f t="shared" si="48"/>
        <v>0.24992711611732077</v>
      </c>
      <c r="AA129" s="228">
        <f t="shared" si="48"/>
        <v>0.24992711611732077</v>
      </c>
      <c r="AB129" s="228">
        <f t="shared" si="48"/>
        <v>0.24992711611732077</v>
      </c>
      <c r="AC129" s="228">
        <f t="shared" si="48"/>
        <v>0.24992711611732077</v>
      </c>
      <c r="AD129" s="228">
        <f t="shared" si="48"/>
        <v>0.24992711611732077</v>
      </c>
      <c r="AE129" s="228">
        <f t="shared" si="48"/>
        <v>0.24992711611732077</v>
      </c>
      <c r="AF129" s="228">
        <f t="shared" si="48"/>
        <v>0.24992711611732077</v>
      </c>
      <c r="AG129" s="174"/>
    </row>
    <row r="130" spans="2:33">
      <c r="B130" s="226" t="str">
        <f t="shared" si="46"/>
        <v>Property, Plant &amp; Equipment - Gross % of Sales</v>
      </c>
      <c r="C130" s="227">
        <f t="shared" ref="C130:L130" si="59">IF($C$2=FALSE,"-",C44)</f>
        <v>0.38172457128957715</v>
      </c>
      <c r="D130" s="227">
        <f t="shared" si="59"/>
        <v>0.36218543278149173</v>
      </c>
      <c r="E130" s="227">
        <f t="shared" si="59"/>
        <v>0.41627166607711352</v>
      </c>
      <c r="F130" s="227">
        <f t="shared" si="59"/>
        <v>0.26633285131547707</v>
      </c>
      <c r="G130" s="227">
        <f t="shared" si="59"/>
        <v>0.35576481396417087</v>
      </c>
      <c r="H130" s="227">
        <f t="shared" si="59"/>
        <v>0.46269594266624792</v>
      </c>
      <c r="I130" s="227">
        <f t="shared" si="59"/>
        <v>0.60854696101873995</v>
      </c>
      <c r="J130" s="227">
        <f t="shared" si="59"/>
        <v>0.42585118872908717</v>
      </c>
      <c r="K130" s="227">
        <f t="shared" si="59"/>
        <v>0.55487007774694397</v>
      </c>
      <c r="L130" s="227">
        <f t="shared" si="59"/>
        <v>0.761232058432183</v>
      </c>
      <c r="M130" s="234">
        <f t="shared" si="48"/>
        <v>0.5051864669166487</v>
      </c>
      <c r="N130" s="228">
        <f t="shared" si="48"/>
        <v>0.5051864669166487</v>
      </c>
      <c r="O130" s="228">
        <f t="shared" si="48"/>
        <v>0.5051864669166487</v>
      </c>
      <c r="P130" s="228">
        <f t="shared" si="48"/>
        <v>0.5051864669166487</v>
      </c>
      <c r="Q130" s="228">
        <f t="shared" si="48"/>
        <v>0.5051864669166487</v>
      </c>
      <c r="R130" s="228">
        <f t="shared" si="48"/>
        <v>0.5051864669166487</v>
      </c>
      <c r="S130" s="228">
        <f t="shared" si="48"/>
        <v>0.5051864669166487</v>
      </c>
      <c r="T130" s="228">
        <f t="shared" si="48"/>
        <v>0.5051864669166487</v>
      </c>
      <c r="U130" s="228">
        <f t="shared" si="48"/>
        <v>0.5051864669166487</v>
      </c>
      <c r="V130" s="228">
        <f t="shared" si="48"/>
        <v>0.5051864669166487</v>
      </c>
      <c r="W130" s="228">
        <f t="shared" si="48"/>
        <v>0.5051864669166487</v>
      </c>
      <c r="X130" s="228">
        <f t="shared" si="48"/>
        <v>0.5051864669166487</v>
      </c>
      <c r="Y130" s="228">
        <f t="shared" si="48"/>
        <v>0.5051864669166487</v>
      </c>
      <c r="Z130" s="228">
        <f t="shared" si="48"/>
        <v>0.5051864669166487</v>
      </c>
      <c r="AA130" s="228">
        <f t="shared" si="48"/>
        <v>0.5051864669166487</v>
      </c>
      <c r="AB130" s="228">
        <f t="shared" si="48"/>
        <v>0.5051864669166487</v>
      </c>
      <c r="AC130" s="228">
        <f t="shared" si="48"/>
        <v>0.5051864669166487</v>
      </c>
      <c r="AD130" s="228">
        <f t="shared" si="48"/>
        <v>0.5051864669166487</v>
      </c>
      <c r="AE130" s="228">
        <f t="shared" si="48"/>
        <v>0.5051864669166487</v>
      </c>
      <c r="AF130" s="228">
        <f t="shared" si="48"/>
        <v>0.5051864669166487</v>
      </c>
      <c r="AG130" s="174"/>
    </row>
    <row r="131" spans="2:33">
      <c r="B131" s="217" t="str">
        <f t="shared" si="46"/>
        <v>Other Non-Current Assets % of Sales</v>
      </c>
      <c r="C131" s="218">
        <f t="shared" ref="C131:L131" si="60">IF($C$2=FALSE,"-",C51)</f>
        <v>1.6385454250618234</v>
      </c>
      <c r="D131" s="218">
        <f t="shared" si="60"/>
        <v>1.7920618809282138</v>
      </c>
      <c r="E131" s="218">
        <f t="shared" si="60"/>
        <v>2.0931729748850372</v>
      </c>
      <c r="F131" s="218">
        <f t="shared" si="60"/>
        <v>1.5480543025489393</v>
      </c>
      <c r="G131" s="218">
        <f t="shared" si="60"/>
        <v>2.2107385290665031</v>
      </c>
      <c r="H131" s="218">
        <f t="shared" si="60"/>
        <v>2.7126459755018133</v>
      </c>
      <c r="I131" s="218">
        <f t="shared" si="60"/>
        <v>2.7136740254684981</v>
      </c>
      <c r="J131" s="218">
        <f t="shared" si="60"/>
        <v>1.8798613149398298</v>
      </c>
      <c r="K131" s="218">
        <f t="shared" si="60"/>
        <v>2.5421186615599844</v>
      </c>
      <c r="L131" s="218">
        <f t="shared" si="60"/>
        <v>0.15346941086544177</v>
      </c>
      <c r="M131" s="235">
        <f t="shared" si="48"/>
        <v>0.04</v>
      </c>
      <c r="N131" s="219">
        <f t="shared" si="48"/>
        <v>0.04</v>
      </c>
      <c r="O131" s="219">
        <f t="shared" si="48"/>
        <v>0.04</v>
      </c>
      <c r="P131" s="219">
        <f t="shared" si="48"/>
        <v>0.04</v>
      </c>
      <c r="Q131" s="219">
        <f t="shared" si="48"/>
        <v>0.04</v>
      </c>
      <c r="R131" s="219">
        <f t="shared" si="48"/>
        <v>0.04</v>
      </c>
      <c r="S131" s="219">
        <f t="shared" si="48"/>
        <v>0.04</v>
      </c>
      <c r="T131" s="219">
        <f t="shared" si="48"/>
        <v>0.04</v>
      </c>
      <c r="U131" s="219">
        <f t="shared" si="48"/>
        <v>0.04</v>
      </c>
      <c r="V131" s="219">
        <f t="shared" si="48"/>
        <v>0.04</v>
      </c>
      <c r="W131" s="219">
        <f t="shared" si="48"/>
        <v>0.04</v>
      </c>
      <c r="X131" s="219">
        <f t="shared" si="48"/>
        <v>0.04</v>
      </c>
      <c r="Y131" s="219">
        <f t="shared" si="48"/>
        <v>0.04</v>
      </c>
      <c r="Z131" s="219">
        <f t="shared" si="48"/>
        <v>0.04</v>
      </c>
      <c r="AA131" s="219">
        <f t="shared" si="48"/>
        <v>0.04</v>
      </c>
      <c r="AB131" s="219">
        <f t="shared" ref="M131:AF143" si="61">IF($C$2=FALSE,"-",IF(AB$118&lt;=$K103,IF($L103=0,$I103-((IF($L103=0,($I103-$J103)/$K103,($J103-$I103)/(EXP(-$L103*$K103)-1)))*(AB$118-1)),($I103-(IF($L103=0,($I103-$J103)/$K103,($J103-$I103)/(EXP(-$L103*$K103)-1))))+((IF($L103=0,($I103-$J103)/$K103,($J103-$I103)/(EXP(-$L103*$K103)-1)))*EXP(-$L103*(AB$118-1)))),$J103))</f>
        <v>0.04</v>
      </c>
      <c r="AC131" s="219">
        <f t="shared" si="61"/>
        <v>0.04</v>
      </c>
      <c r="AD131" s="219">
        <f t="shared" si="61"/>
        <v>0.04</v>
      </c>
      <c r="AE131" s="219">
        <f t="shared" si="61"/>
        <v>0.04</v>
      </c>
      <c r="AF131" s="219">
        <f t="shared" si="61"/>
        <v>0.04</v>
      </c>
      <c r="AG131" s="174"/>
    </row>
    <row r="132" spans="2:33">
      <c r="B132" s="226" t="str">
        <f t="shared" si="46"/>
        <v>Accounts Payable % of Sales</v>
      </c>
      <c r="C132" s="227">
        <f t="shared" ref="C132:L132" si="62">IF($C$2=FALSE,"-",C58)</f>
        <v>0.55596545992621726</v>
      </c>
      <c r="D132" s="227">
        <f t="shared" si="62"/>
        <v>0.53445801687025307</v>
      </c>
      <c r="E132" s="227">
        <f t="shared" si="62"/>
        <v>0.5175804740007075</v>
      </c>
      <c r="F132" s="227">
        <f t="shared" si="62"/>
        <v>0.3932618220274966</v>
      </c>
      <c r="G132" s="227">
        <f t="shared" si="62"/>
        <v>0.43410912060429746</v>
      </c>
      <c r="H132" s="227">
        <f t="shared" si="62"/>
        <v>0.47991319989721043</v>
      </c>
      <c r="I132" s="227">
        <f t="shared" si="62"/>
        <v>0.5887504865706501</v>
      </c>
      <c r="J132" s="227">
        <f t="shared" si="62"/>
        <v>0.48426034634575871</v>
      </c>
      <c r="K132" s="227">
        <f t="shared" si="62"/>
        <v>0.34199481687039884</v>
      </c>
      <c r="L132" s="227">
        <f t="shared" si="62"/>
        <v>0.43926053845936075</v>
      </c>
      <c r="M132" s="234">
        <f t="shared" si="61"/>
        <v>0.4812837235240971</v>
      </c>
      <c r="N132" s="228">
        <f t="shared" si="61"/>
        <v>0.4812837235240971</v>
      </c>
      <c r="O132" s="228">
        <f t="shared" si="61"/>
        <v>0.4812837235240971</v>
      </c>
      <c r="P132" s="228">
        <f t="shared" si="61"/>
        <v>0.4812837235240971</v>
      </c>
      <c r="Q132" s="228">
        <f t="shared" si="61"/>
        <v>0.4812837235240971</v>
      </c>
      <c r="R132" s="228">
        <f t="shared" si="61"/>
        <v>0.4812837235240971</v>
      </c>
      <c r="S132" s="228">
        <f t="shared" si="61"/>
        <v>0.4812837235240971</v>
      </c>
      <c r="T132" s="228">
        <f t="shared" si="61"/>
        <v>0.4812837235240971</v>
      </c>
      <c r="U132" s="228">
        <f t="shared" si="61"/>
        <v>0.4812837235240971</v>
      </c>
      <c r="V132" s="228">
        <f t="shared" si="61"/>
        <v>0.4812837235240971</v>
      </c>
      <c r="W132" s="228">
        <f t="shared" si="61"/>
        <v>0.4812837235240971</v>
      </c>
      <c r="X132" s="228">
        <f t="shared" si="61"/>
        <v>0.4812837235240971</v>
      </c>
      <c r="Y132" s="228">
        <f t="shared" si="61"/>
        <v>0.4812837235240971</v>
      </c>
      <c r="Z132" s="228">
        <f t="shared" si="61"/>
        <v>0.4812837235240971</v>
      </c>
      <c r="AA132" s="228">
        <f t="shared" si="61"/>
        <v>0.4812837235240971</v>
      </c>
      <c r="AB132" s="228">
        <f t="shared" si="61"/>
        <v>0.4812837235240971</v>
      </c>
      <c r="AC132" s="228">
        <f t="shared" si="61"/>
        <v>0.4812837235240971</v>
      </c>
      <c r="AD132" s="228">
        <f t="shared" si="61"/>
        <v>0.4812837235240971</v>
      </c>
      <c r="AE132" s="228">
        <f t="shared" si="61"/>
        <v>0.4812837235240971</v>
      </c>
      <c r="AF132" s="228">
        <f t="shared" si="61"/>
        <v>0.4812837235240971</v>
      </c>
      <c r="AG132" s="174"/>
    </row>
    <row r="133" spans="2:33">
      <c r="B133" s="226" t="str">
        <f t="shared" si="46"/>
        <v>Minority Interest Liability % of Sales</v>
      </c>
      <c r="C133" s="227">
        <f t="shared" ref="C133:L133" si="63">IF($C$2=FALSE,"-",C70)</f>
        <v>0</v>
      </c>
      <c r="D133" s="227">
        <f t="shared" si="63"/>
        <v>0</v>
      </c>
      <c r="E133" s="227">
        <f t="shared" si="63"/>
        <v>0</v>
      </c>
      <c r="F133" s="227">
        <f t="shared" si="63"/>
        <v>0</v>
      </c>
      <c r="G133" s="227">
        <f t="shared" si="63"/>
        <v>0</v>
      </c>
      <c r="H133" s="227">
        <f t="shared" si="63"/>
        <v>0</v>
      </c>
      <c r="I133" s="227">
        <f t="shared" si="63"/>
        <v>0</v>
      </c>
      <c r="J133" s="227">
        <f t="shared" si="63"/>
        <v>0</v>
      </c>
      <c r="K133" s="227">
        <f t="shared" si="63"/>
        <v>0</v>
      </c>
      <c r="L133" s="227">
        <f t="shared" si="63"/>
        <v>0</v>
      </c>
      <c r="M133" s="234">
        <f t="shared" si="61"/>
        <v>2.6906361749046915E-2</v>
      </c>
      <c r="N133" s="228">
        <f t="shared" si="61"/>
        <v>2.6906361749046915E-2</v>
      </c>
      <c r="O133" s="228">
        <f t="shared" si="61"/>
        <v>2.6906361749046915E-2</v>
      </c>
      <c r="P133" s="228">
        <f t="shared" si="61"/>
        <v>2.6906361749046915E-2</v>
      </c>
      <c r="Q133" s="228">
        <f t="shared" si="61"/>
        <v>2.6906361749046915E-2</v>
      </c>
      <c r="R133" s="228">
        <f t="shared" si="61"/>
        <v>2.6906361749046915E-2</v>
      </c>
      <c r="S133" s="228">
        <f t="shared" si="61"/>
        <v>2.6906361749046915E-2</v>
      </c>
      <c r="T133" s="228">
        <f t="shared" si="61"/>
        <v>2.6906361749046915E-2</v>
      </c>
      <c r="U133" s="228">
        <f t="shared" si="61"/>
        <v>2.6906361749046915E-2</v>
      </c>
      <c r="V133" s="228">
        <f t="shared" si="61"/>
        <v>2.6906361749046915E-2</v>
      </c>
      <c r="W133" s="228">
        <f t="shared" si="61"/>
        <v>2.6906361749046915E-2</v>
      </c>
      <c r="X133" s="228">
        <f t="shared" si="61"/>
        <v>2.6906361749046915E-2</v>
      </c>
      <c r="Y133" s="228">
        <f t="shared" si="61"/>
        <v>2.6906361749046915E-2</v>
      </c>
      <c r="Z133" s="228">
        <f t="shared" si="61"/>
        <v>2.6906361749046915E-2</v>
      </c>
      <c r="AA133" s="228">
        <f t="shared" si="61"/>
        <v>2.6906361749046915E-2</v>
      </c>
      <c r="AB133" s="228">
        <f t="shared" si="61"/>
        <v>2.6906361749046915E-2</v>
      </c>
      <c r="AC133" s="228">
        <f t="shared" si="61"/>
        <v>2.6906361749046915E-2</v>
      </c>
      <c r="AD133" s="228">
        <f t="shared" si="61"/>
        <v>2.6906361749046915E-2</v>
      </c>
      <c r="AE133" s="228">
        <f t="shared" si="61"/>
        <v>2.6906361749046915E-2</v>
      </c>
      <c r="AF133" s="228">
        <f t="shared" si="61"/>
        <v>2.6906361749046915E-2</v>
      </c>
      <c r="AG133" s="174"/>
    </row>
    <row r="134" spans="2:33">
      <c r="B134" s="226" t="str">
        <f t="shared" si="46"/>
        <v>Other Non- Current Liabilities % of Sales</v>
      </c>
      <c r="C134" s="227">
        <f t="shared" ref="C134:L134" si="64">IF($C$2=FALSE,"-",C72)</f>
        <v>0.36891393359549196</v>
      </c>
      <c r="D134" s="227">
        <f t="shared" si="64"/>
        <v>0.36946554198312975</v>
      </c>
      <c r="E134" s="227">
        <f t="shared" si="64"/>
        <v>0.41690838344534842</v>
      </c>
      <c r="F134" s="227">
        <f t="shared" si="64"/>
        <v>0.30259210497917249</v>
      </c>
      <c r="G134" s="227">
        <f t="shared" si="64"/>
        <v>0.4185168172306436</v>
      </c>
      <c r="H134" s="227">
        <f t="shared" si="64"/>
        <v>0.51651771692887527</v>
      </c>
      <c r="I134" s="227">
        <f t="shared" si="64"/>
        <v>0.53695156536729138</v>
      </c>
      <c r="J134" s="227">
        <f t="shared" si="64"/>
        <v>0.40106765482829471</v>
      </c>
      <c r="K134" s="227">
        <f t="shared" si="64"/>
        <v>0.16659404169437883</v>
      </c>
      <c r="L134" s="227">
        <f t="shared" si="64"/>
        <v>0.58185884551142319</v>
      </c>
      <c r="M134" s="234">
        <f t="shared" si="61"/>
        <v>0.47009562071424688</v>
      </c>
      <c r="N134" s="228">
        <f t="shared" si="61"/>
        <v>0.47009562071424688</v>
      </c>
      <c r="O134" s="228">
        <f t="shared" si="61"/>
        <v>0.47009562071424688</v>
      </c>
      <c r="P134" s="228">
        <f t="shared" si="61"/>
        <v>0.47009562071424688</v>
      </c>
      <c r="Q134" s="228">
        <f t="shared" si="61"/>
        <v>0.47009562071424688</v>
      </c>
      <c r="R134" s="228">
        <f t="shared" si="61"/>
        <v>0.47009562071424688</v>
      </c>
      <c r="S134" s="228">
        <f t="shared" si="61"/>
        <v>0.47009562071424688</v>
      </c>
      <c r="T134" s="228">
        <f t="shared" si="61"/>
        <v>0.47009562071424688</v>
      </c>
      <c r="U134" s="228">
        <f t="shared" si="61"/>
        <v>0.47009562071424688</v>
      </c>
      <c r="V134" s="228">
        <f t="shared" si="61"/>
        <v>0.47009562071424688</v>
      </c>
      <c r="W134" s="228">
        <f t="shared" si="61"/>
        <v>0.47009562071424688</v>
      </c>
      <c r="X134" s="228">
        <f t="shared" si="61"/>
        <v>0.47009562071424688</v>
      </c>
      <c r="Y134" s="228">
        <f t="shared" si="61"/>
        <v>0.47009562071424688</v>
      </c>
      <c r="Z134" s="228">
        <f t="shared" si="61"/>
        <v>0.47009562071424688</v>
      </c>
      <c r="AA134" s="228">
        <f t="shared" si="61"/>
        <v>0.47009562071424688</v>
      </c>
      <c r="AB134" s="228">
        <f t="shared" si="61"/>
        <v>0.47009562071424688</v>
      </c>
      <c r="AC134" s="228">
        <f t="shared" si="61"/>
        <v>0.47009562071424688</v>
      </c>
      <c r="AD134" s="228">
        <f t="shared" si="61"/>
        <v>0.47009562071424688</v>
      </c>
      <c r="AE134" s="228">
        <f t="shared" si="61"/>
        <v>0.47009562071424688</v>
      </c>
      <c r="AF134" s="228">
        <f t="shared" si="61"/>
        <v>0.47009562071424688</v>
      </c>
      <c r="AG134" s="174"/>
    </row>
    <row r="135" spans="2:33">
      <c r="B135" s="226" t="str">
        <f t="shared" si="46"/>
        <v>Capital Lease Obligations % of Sales</v>
      </c>
      <c r="C135" s="227">
        <f t="shared" ref="C135:L135" si="65">IF($C$2=FALSE,"-",C68)</f>
        <v>0</v>
      </c>
      <c r="D135" s="227">
        <f t="shared" si="65"/>
        <v>0</v>
      </c>
      <c r="E135" s="227">
        <f t="shared" si="65"/>
        <v>0</v>
      </c>
      <c r="F135" s="227">
        <f t="shared" si="65"/>
        <v>0</v>
      </c>
      <c r="G135" s="227">
        <f t="shared" si="65"/>
        <v>0</v>
      </c>
      <c r="H135" s="227">
        <f t="shared" si="65"/>
        <v>0</v>
      </c>
      <c r="I135" s="227">
        <f t="shared" si="65"/>
        <v>0</v>
      </c>
      <c r="J135" s="227">
        <f t="shared" si="65"/>
        <v>0</v>
      </c>
      <c r="K135" s="227">
        <f t="shared" si="65"/>
        <v>0</v>
      </c>
      <c r="L135" s="227">
        <f t="shared" si="65"/>
        <v>0</v>
      </c>
      <c r="M135" s="234">
        <f t="shared" si="61"/>
        <v>8.2458360767272559E-2</v>
      </c>
      <c r="N135" s="228">
        <f t="shared" si="61"/>
        <v>8.2458360767272559E-2</v>
      </c>
      <c r="O135" s="228">
        <f t="shared" si="61"/>
        <v>8.2458360767272559E-2</v>
      </c>
      <c r="P135" s="228">
        <f t="shared" si="61"/>
        <v>8.2458360767272559E-2</v>
      </c>
      <c r="Q135" s="228">
        <f t="shared" si="61"/>
        <v>8.2458360767272559E-2</v>
      </c>
      <c r="R135" s="228">
        <f t="shared" si="61"/>
        <v>8.2458360767272559E-2</v>
      </c>
      <c r="S135" s="228">
        <f t="shared" si="61"/>
        <v>8.2458360767272559E-2</v>
      </c>
      <c r="T135" s="228">
        <f t="shared" si="61"/>
        <v>8.2458360767272559E-2</v>
      </c>
      <c r="U135" s="228">
        <f t="shared" si="61"/>
        <v>8.2458360767272559E-2</v>
      </c>
      <c r="V135" s="228">
        <f t="shared" si="61"/>
        <v>8.2458360767272559E-2</v>
      </c>
      <c r="W135" s="228">
        <f t="shared" si="61"/>
        <v>8.2458360767272559E-2</v>
      </c>
      <c r="X135" s="228">
        <f t="shared" si="61"/>
        <v>8.2458360767272559E-2</v>
      </c>
      <c r="Y135" s="228">
        <f t="shared" si="61"/>
        <v>8.2458360767272559E-2</v>
      </c>
      <c r="Z135" s="228">
        <f t="shared" si="61"/>
        <v>8.2458360767272559E-2</v>
      </c>
      <c r="AA135" s="228">
        <f t="shared" si="61"/>
        <v>8.2458360767272559E-2</v>
      </c>
      <c r="AB135" s="228">
        <f t="shared" si="61"/>
        <v>8.2458360767272559E-2</v>
      </c>
      <c r="AC135" s="228">
        <f t="shared" si="61"/>
        <v>8.2458360767272559E-2</v>
      </c>
      <c r="AD135" s="228">
        <f t="shared" si="61"/>
        <v>8.2458360767272559E-2</v>
      </c>
      <c r="AE135" s="228">
        <f t="shared" si="61"/>
        <v>8.2458360767272559E-2</v>
      </c>
      <c r="AF135" s="228">
        <f t="shared" si="61"/>
        <v>8.2458360767272559E-2</v>
      </c>
      <c r="AG135" s="174"/>
    </row>
    <row r="136" spans="2:33">
      <c r="B136" s="226" t="str">
        <f t="shared" si="46"/>
        <v>Other Current Liabilities % of Sales</v>
      </c>
      <c r="C136" s="227">
        <f t="shared" ref="C136:L136" si="66">IF($C$2=FALSE,"-",C61)</f>
        <v>0.43025094255483032</v>
      </c>
      <c r="D136" s="227">
        <f t="shared" si="66"/>
        <v>0.40562108431626476</v>
      </c>
      <c r="E136" s="227">
        <f t="shared" si="66"/>
        <v>0.47180756986204458</v>
      </c>
      <c r="F136" s="227">
        <f t="shared" si="66"/>
        <v>0.35365722055554355</v>
      </c>
      <c r="G136" s="227">
        <f t="shared" si="66"/>
        <v>0.38342775481039149</v>
      </c>
      <c r="H136" s="227">
        <f t="shared" si="66"/>
        <v>0.46403791793963967</v>
      </c>
      <c r="I136" s="227">
        <f t="shared" si="66"/>
        <v>0.48287271311794472</v>
      </c>
      <c r="J136" s="227">
        <f t="shared" si="66"/>
        <v>0.3757154388024655</v>
      </c>
      <c r="K136" s="227">
        <f t="shared" si="66"/>
        <v>0.47235281976010823</v>
      </c>
      <c r="L136" s="227">
        <f t="shared" si="66"/>
        <v>0.51688701412677296</v>
      </c>
      <c r="M136" s="234">
        <f t="shared" si="61"/>
        <v>0.44660060161360376</v>
      </c>
      <c r="N136" s="228">
        <f t="shared" si="61"/>
        <v>0.44660060161360376</v>
      </c>
      <c r="O136" s="228">
        <f t="shared" si="61"/>
        <v>0.44660060161360376</v>
      </c>
      <c r="P136" s="228">
        <f t="shared" si="61"/>
        <v>0.44660060161360376</v>
      </c>
      <c r="Q136" s="228">
        <f t="shared" si="61"/>
        <v>0.44660060161360376</v>
      </c>
      <c r="R136" s="228">
        <f t="shared" si="61"/>
        <v>0.44660060161360376</v>
      </c>
      <c r="S136" s="228">
        <f t="shared" si="61"/>
        <v>0.44660060161360376</v>
      </c>
      <c r="T136" s="228">
        <f t="shared" si="61"/>
        <v>0.44660060161360376</v>
      </c>
      <c r="U136" s="228">
        <f t="shared" si="61"/>
        <v>0.44660060161360376</v>
      </c>
      <c r="V136" s="228">
        <f t="shared" si="61"/>
        <v>0.44660060161360376</v>
      </c>
      <c r="W136" s="228">
        <f t="shared" si="61"/>
        <v>0.44660060161360376</v>
      </c>
      <c r="X136" s="228">
        <f t="shared" si="61"/>
        <v>0.44660060161360376</v>
      </c>
      <c r="Y136" s="228">
        <f t="shared" si="61"/>
        <v>0.44660060161360376</v>
      </c>
      <c r="Z136" s="228">
        <f t="shared" si="61"/>
        <v>0.44660060161360376</v>
      </c>
      <c r="AA136" s="228">
        <f t="shared" si="61"/>
        <v>0.44660060161360376</v>
      </c>
      <c r="AB136" s="228">
        <f t="shared" si="61"/>
        <v>0.44660060161360376</v>
      </c>
      <c r="AC136" s="228">
        <f t="shared" si="61"/>
        <v>0.44660060161360376</v>
      </c>
      <c r="AD136" s="228">
        <f t="shared" si="61"/>
        <v>0.44660060161360376</v>
      </c>
      <c r="AE136" s="228">
        <f t="shared" si="61"/>
        <v>0.44660060161360376</v>
      </c>
      <c r="AF136" s="228">
        <f t="shared" si="61"/>
        <v>0.44660060161360376</v>
      </c>
      <c r="AG136" s="174"/>
    </row>
    <row r="137" spans="2:33">
      <c r="B137" s="185" t="str">
        <f t="shared" si="46"/>
        <v>Intangible Assets (Including Goodwill) % of Sales</v>
      </c>
      <c r="C137" s="222">
        <f t="shared" ref="C137:L137" si="67">IF($C$2=FALSE,"-",C49)</f>
        <v>5.059391089309604E-2</v>
      </c>
      <c r="D137" s="222">
        <f t="shared" si="67"/>
        <v>6.6851002765041481E-2</v>
      </c>
      <c r="E137" s="222">
        <f t="shared" si="67"/>
        <v>0.15677396533427662</v>
      </c>
      <c r="F137" s="222">
        <f t="shared" si="67"/>
        <v>9.4274059525608092E-2</v>
      </c>
      <c r="G137" s="222">
        <f t="shared" si="67"/>
        <v>0.12108916449752463</v>
      </c>
      <c r="H137" s="222">
        <f t="shared" si="67"/>
        <v>0.15592610570196727</v>
      </c>
      <c r="I137" s="222">
        <f t="shared" si="67"/>
        <v>0.14900183506645165</v>
      </c>
      <c r="J137" s="222">
        <f t="shared" si="67"/>
        <v>0.10718740827707661</v>
      </c>
      <c r="K137" s="222">
        <f t="shared" si="67"/>
        <v>0.12696374102699357</v>
      </c>
      <c r="L137" s="222">
        <f t="shared" si="67"/>
        <v>4.3088072926988082E-2</v>
      </c>
      <c r="M137" s="236">
        <f t="shared" si="61"/>
        <v>0.13276125642659761</v>
      </c>
      <c r="N137" s="223">
        <f t="shared" si="61"/>
        <v>0.13276125642659761</v>
      </c>
      <c r="O137" s="223">
        <f t="shared" si="61"/>
        <v>0.13276125642659761</v>
      </c>
      <c r="P137" s="223">
        <f t="shared" si="61"/>
        <v>0.13276125642659761</v>
      </c>
      <c r="Q137" s="223">
        <f t="shared" si="61"/>
        <v>0.13276125642659761</v>
      </c>
      <c r="R137" s="223">
        <f t="shared" si="61"/>
        <v>0.13276125642659761</v>
      </c>
      <c r="S137" s="223">
        <f t="shared" si="61"/>
        <v>0.13276125642659761</v>
      </c>
      <c r="T137" s="223">
        <f t="shared" si="61"/>
        <v>0.13276125642659761</v>
      </c>
      <c r="U137" s="223">
        <f t="shared" si="61"/>
        <v>0.13276125642659761</v>
      </c>
      <c r="V137" s="223">
        <f t="shared" si="61"/>
        <v>0.13276125642659761</v>
      </c>
      <c r="W137" s="223">
        <f t="shared" si="61"/>
        <v>0.13276125642659761</v>
      </c>
      <c r="X137" s="223">
        <f t="shared" si="61"/>
        <v>0.13276125642659761</v>
      </c>
      <c r="Y137" s="223">
        <f t="shared" si="61"/>
        <v>0.13276125642659761</v>
      </c>
      <c r="Z137" s="223">
        <f t="shared" si="61"/>
        <v>0.13276125642659761</v>
      </c>
      <c r="AA137" s="223">
        <f t="shared" si="61"/>
        <v>0.13276125642659761</v>
      </c>
      <c r="AB137" s="223">
        <f t="shared" si="61"/>
        <v>0.13276125642659761</v>
      </c>
      <c r="AC137" s="223">
        <f t="shared" si="61"/>
        <v>0.13276125642659761</v>
      </c>
      <c r="AD137" s="223">
        <f t="shared" si="61"/>
        <v>0.13276125642659761</v>
      </c>
      <c r="AE137" s="223">
        <f t="shared" si="61"/>
        <v>0.13276125642659761</v>
      </c>
      <c r="AF137" s="223">
        <f t="shared" si="61"/>
        <v>0.13276125642659761</v>
      </c>
      <c r="AG137" s="174"/>
    </row>
    <row r="138" spans="2:33">
      <c r="B138" s="226" t="str">
        <f t="shared" si="46"/>
        <v>Deferred Taxes / Gross PPE</v>
      </c>
      <c r="C138" s="227">
        <f t="shared" ref="C138:L138" si="68">IF($C$2=FALSE,"-",C66)</f>
        <v>0</v>
      </c>
      <c r="D138" s="227">
        <f t="shared" si="68"/>
        <v>0</v>
      </c>
      <c r="E138" s="227">
        <f t="shared" si="68"/>
        <v>0</v>
      </c>
      <c r="F138" s="227">
        <f t="shared" si="68"/>
        <v>0</v>
      </c>
      <c r="G138" s="227">
        <f t="shared" si="68"/>
        <v>0</v>
      </c>
      <c r="H138" s="227">
        <f t="shared" si="68"/>
        <v>0</v>
      </c>
      <c r="I138" s="227">
        <f t="shared" si="68"/>
        <v>0</v>
      </c>
      <c r="J138" s="227">
        <f t="shared" si="68"/>
        <v>0</v>
      </c>
      <c r="K138" s="227">
        <f t="shared" si="68"/>
        <v>0.6812019508969166</v>
      </c>
      <c r="L138" s="227">
        <f t="shared" si="68"/>
        <v>0</v>
      </c>
      <c r="M138" s="234">
        <f t="shared" si="61"/>
        <v>0.13176025458321536</v>
      </c>
      <c r="N138" s="228">
        <f t="shared" si="61"/>
        <v>0.13176025458321536</v>
      </c>
      <c r="O138" s="228">
        <f t="shared" si="61"/>
        <v>0.13176025458321536</v>
      </c>
      <c r="P138" s="228">
        <f t="shared" si="61"/>
        <v>0.13176025458321536</v>
      </c>
      <c r="Q138" s="228">
        <f t="shared" si="61"/>
        <v>0.13176025458321536</v>
      </c>
      <c r="R138" s="228">
        <f t="shared" si="61"/>
        <v>0.13176025458321536</v>
      </c>
      <c r="S138" s="228">
        <f t="shared" si="61"/>
        <v>0.13176025458321536</v>
      </c>
      <c r="T138" s="228">
        <f t="shared" si="61"/>
        <v>0.13176025458321536</v>
      </c>
      <c r="U138" s="228">
        <f t="shared" si="61"/>
        <v>0.13176025458321536</v>
      </c>
      <c r="V138" s="228">
        <f t="shared" si="61"/>
        <v>0.13176025458321536</v>
      </c>
      <c r="W138" s="228">
        <f t="shared" si="61"/>
        <v>0.13176025458321536</v>
      </c>
      <c r="X138" s="228">
        <f t="shared" si="61"/>
        <v>0.13176025458321536</v>
      </c>
      <c r="Y138" s="228">
        <f t="shared" si="61"/>
        <v>0.13176025458321536</v>
      </c>
      <c r="Z138" s="228">
        <f t="shared" si="61"/>
        <v>0.13176025458321536</v>
      </c>
      <c r="AA138" s="228">
        <f t="shared" si="61"/>
        <v>0.13176025458321536</v>
      </c>
      <c r="AB138" s="228">
        <f t="shared" si="61"/>
        <v>0.13176025458321536</v>
      </c>
      <c r="AC138" s="228">
        <f t="shared" si="61"/>
        <v>0.13176025458321536</v>
      </c>
      <c r="AD138" s="228">
        <f t="shared" si="61"/>
        <v>0.13176025458321536</v>
      </c>
      <c r="AE138" s="228">
        <f t="shared" si="61"/>
        <v>0.13176025458321536</v>
      </c>
      <c r="AF138" s="228">
        <f t="shared" si="61"/>
        <v>0.13176025458321536</v>
      </c>
      <c r="AG138" s="174"/>
    </row>
    <row r="139" spans="2:33">
      <c r="B139" s="226" t="str">
        <f t="shared" si="46"/>
        <v>Effective Tax Rate</v>
      </c>
      <c r="C139" s="227">
        <f t="shared" ref="C139:L139" si="69">IF($C$2=FALSE,"-",C23)</f>
        <v>0.24215189873417722</v>
      </c>
      <c r="D139" s="227">
        <f t="shared" si="69"/>
        <v>0.23484451889854466</v>
      </c>
      <c r="E139" s="227">
        <f t="shared" si="69"/>
        <v>0.24661585712660675</v>
      </c>
      <c r="F139" s="227">
        <f t="shared" si="69"/>
        <v>0.2525032900383361</v>
      </c>
      <c r="G139" s="227">
        <f t="shared" si="69"/>
        <v>0.25173834663919648</v>
      </c>
      <c r="H139" s="227">
        <f t="shared" si="69"/>
        <v>0.25604923699519433</v>
      </c>
      <c r="I139" s="227">
        <f t="shared" si="69"/>
        <v>0.24511153952079318</v>
      </c>
      <c r="J139" s="227">
        <f t="shared" si="69"/>
        <v>0.25995925758261657</v>
      </c>
      <c r="K139" s="227">
        <f t="shared" si="69"/>
        <v>0.26020922123208057</v>
      </c>
      <c r="L139" s="227">
        <f t="shared" si="69"/>
        <v>0.2686804451510334</v>
      </c>
      <c r="M139" s="234">
        <f t="shared" si="61"/>
        <v>0.34902805867054393</v>
      </c>
      <c r="N139" s="228">
        <f t="shared" si="61"/>
        <v>0.34902805867054393</v>
      </c>
      <c r="O139" s="228">
        <f t="shared" si="61"/>
        <v>0.34902805867054393</v>
      </c>
      <c r="P139" s="228">
        <f t="shared" si="61"/>
        <v>0.34902805867054393</v>
      </c>
      <c r="Q139" s="228">
        <f t="shared" si="61"/>
        <v>0.34902805867054393</v>
      </c>
      <c r="R139" s="228">
        <f t="shared" si="61"/>
        <v>0.34902805867054393</v>
      </c>
      <c r="S139" s="228">
        <f t="shared" si="61"/>
        <v>0.34902805867054393</v>
      </c>
      <c r="T139" s="228">
        <f t="shared" si="61"/>
        <v>0.34902805867054393</v>
      </c>
      <c r="U139" s="228">
        <f t="shared" si="61"/>
        <v>0.34902805867054393</v>
      </c>
      <c r="V139" s="228">
        <f t="shared" si="61"/>
        <v>0.34902805867054393</v>
      </c>
      <c r="W139" s="228">
        <f t="shared" si="61"/>
        <v>0.34902805867054393</v>
      </c>
      <c r="X139" s="228">
        <f t="shared" si="61"/>
        <v>0.34902805867054393</v>
      </c>
      <c r="Y139" s="228">
        <f t="shared" si="61"/>
        <v>0.34902805867054393</v>
      </c>
      <c r="Z139" s="228">
        <f t="shared" si="61"/>
        <v>0.34902805867054393</v>
      </c>
      <c r="AA139" s="228">
        <f t="shared" si="61"/>
        <v>0.34902805867054393</v>
      </c>
      <c r="AB139" s="228">
        <f t="shared" si="61"/>
        <v>0.34902805867054393</v>
      </c>
      <c r="AC139" s="228">
        <f t="shared" si="61"/>
        <v>0.34902805867054393</v>
      </c>
      <c r="AD139" s="228">
        <f t="shared" si="61"/>
        <v>0.34902805867054393</v>
      </c>
      <c r="AE139" s="228">
        <f t="shared" si="61"/>
        <v>0.34902805867054393</v>
      </c>
      <c r="AF139" s="228">
        <f t="shared" si="61"/>
        <v>0.34902805867054393</v>
      </c>
      <c r="AG139" s="174"/>
    </row>
    <row r="140" spans="2:33">
      <c r="B140" s="226" t="str">
        <f t="shared" si="46"/>
        <v>Effective Interest Rate</v>
      </c>
      <c r="C140" s="227">
        <f t="shared" ref="C140:L140" si="70">IF($C$2=FALSE,"-",C20)</f>
        <v>0</v>
      </c>
      <c r="D140" s="227">
        <f t="shared" si="70"/>
        <v>0</v>
      </c>
      <c r="E140" s="227">
        <f t="shared" si="70"/>
        <v>0</v>
      </c>
      <c r="F140" s="227">
        <f t="shared" si="70"/>
        <v>0</v>
      </c>
      <c r="G140" s="227">
        <f t="shared" si="70"/>
        <v>0</v>
      </c>
      <c r="H140" s="227">
        <f t="shared" si="70"/>
        <v>0</v>
      </c>
      <c r="I140" s="227">
        <f t="shared" si="70"/>
        <v>0</v>
      </c>
      <c r="J140" s="227">
        <f t="shared" si="70"/>
        <v>0</v>
      </c>
      <c r="K140" s="227">
        <f t="shared" si="70"/>
        <v>0</v>
      </c>
      <c r="L140" s="227">
        <f t="shared" si="70"/>
        <v>3.1253685576129262E-3</v>
      </c>
      <c r="M140" s="234">
        <f t="shared" si="61"/>
        <v>0.03</v>
      </c>
      <c r="N140" s="228">
        <f t="shared" si="61"/>
        <v>0.03</v>
      </c>
      <c r="O140" s="228">
        <f t="shared" si="61"/>
        <v>0.03</v>
      </c>
      <c r="P140" s="228">
        <f t="shared" si="61"/>
        <v>0.03</v>
      </c>
      <c r="Q140" s="228">
        <f t="shared" si="61"/>
        <v>0.03</v>
      </c>
      <c r="R140" s="228">
        <f t="shared" si="61"/>
        <v>0.03</v>
      </c>
      <c r="S140" s="228">
        <f t="shared" si="61"/>
        <v>0.03</v>
      </c>
      <c r="T140" s="228">
        <f t="shared" si="61"/>
        <v>0.03</v>
      </c>
      <c r="U140" s="228">
        <f t="shared" si="61"/>
        <v>0.03</v>
      </c>
      <c r="V140" s="228">
        <f t="shared" si="61"/>
        <v>0.03</v>
      </c>
      <c r="W140" s="228">
        <f t="shared" si="61"/>
        <v>0.03</v>
      </c>
      <c r="X140" s="228">
        <f t="shared" si="61"/>
        <v>0.03</v>
      </c>
      <c r="Y140" s="228">
        <f t="shared" si="61"/>
        <v>0.03</v>
      </c>
      <c r="Z140" s="228">
        <f t="shared" si="61"/>
        <v>0.03</v>
      </c>
      <c r="AA140" s="228">
        <f t="shared" si="61"/>
        <v>0.03</v>
      </c>
      <c r="AB140" s="228">
        <f t="shared" si="61"/>
        <v>0.03</v>
      </c>
      <c r="AC140" s="228">
        <f t="shared" si="61"/>
        <v>0.03</v>
      </c>
      <c r="AD140" s="228">
        <f t="shared" si="61"/>
        <v>0.03</v>
      </c>
      <c r="AE140" s="228">
        <f t="shared" si="61"/>
        <v>0.03</v>
      </c>
      <c r="AF140" s="228">
        <f t="shared" si="61"/>
        <v>0.03</v>
      </c>
      <c r="AG140" s="174"/>
    </row>
    <row r="141" spans="2:33">
      <c r="B141" s="185" t="str">
        <f t="shared" si="46"/>
        <v>LTD / Last Years Assets</v>
      </c>
      <c r="C141" s="222">
        <f t="shared" ref="C141:L141" si="71">IF($C$2=FALSE,"-",C64)</f>
        <v>0</v>
      </c>
      <c r="D141" s="222">
        <f t="shared" si="71"/>
        <v>0</v>
      </c>
      <c r="E141" s="222">
        <f t="shared" si="71"/>
        <v>0</v>
      </c>
      <c r="F141" s="222">
        <f t="shared" si="71"/>
        <v>0</v>
      </c>
      <c r="G141" s="222">
        <f t="shared" si="71"/>
        <v>0</v>
      </c>
      <c r="H141" s="222">
        <f t="shared" si="71"/>
        <v>0</v>
      </c>
      <c r="I141" s="222">
        <f t="shared" si="71"/>
        <v>0</v>
      </c>
      <c r="J141" s="222">
        <f t="shared" si="71"/>
        <v>0</v>
      </c>
      <c r="K141" s="222">
        <f t="shared" si="71"/>
        <v>0</v>
      </c>
      <c r="L141" s="222">
        <f t="shared" si="71"/>
        <v>0.1528904756752858</v>
      </c>
      <c r="M141" s="236">
        <f t="shared" si="61"/>
        <v>1.5888717317218103E-2</v>
      </c>
      <c r="N141" s="223">
        <f t="shared" si="61"/>
        <v>1.5888717317218103E-2</v>
      </c>
      <c r="O141" s="223">
        <f t="shared" si="61"/>
        <v>1.5888717317218103E-2</v>
      </c>
      <c r="P141" s="223">
        <f t="shared" si="61"/>
        <v>1.5888717317218103E-2</v>
      </c>
      <c r="Q141" s="223">
        <f t="shared" si="61"/>
        <v>1.5888717317218103E-2</v>
      </c>
      <c r="R141" s="223">
        <f t="shared" si="61"/>
        <v>1.5888717317218103E-2</v>
      </c>
      <c r="S141" s="223">
        <f t="shared" si="61"/>
        <v>1.5888717317218103E-2</v>
      </c>
      <c r="T141" s="223">
        <f t="shared" si="61"/>
        <v>1.5888717317218103E-2</v>
      </c>
      <c r="U141" s="223">
        <f t="shared" si="61"/>
        <v>1.5888717317218103E-2</v>
      </c>
      <c r="V141" s="223">
        <f t="shared" si="61"/>
        <v>1.5888717317218103E-2</v>
      </c>
      <c r="W141" s="223">
        <f t="shared" si="61"/>
        <v>1.5888717317218103E-2</v>
      </c>
      <c r="X141" s="223">
        <f t="shared" si="61"/>
        <v>1.5888717317218103E-2</v>
      </c>
      <c r="Y141" s="223">
        <f t="shared" si="61"/>
        <v>1.5888717317218103E-2</v>
      </c>
      <c r="Z141" s="223">
        <f t="shared" si="61"/>
        <v>1.5888717317218103E-2</v>
      </c>
      <c r="AA141" s="223">
        <f t="shared" si="61"/>
        <v>1.5888717317218103E-2</v>
      </c>
      <c r="AB141" s="223">
        <f t="shared" si="61"/>
        <v>1.5888717317218103E-2</v>
      </c>
      <c r="AC141" s="223">
        <f t="shared" si="61"/>
        <v>1.5888717317218103E-2</v>
      </c>
      <c r="AD141" s="223">
        <f t="shared" si="61"/>
        <v>1.5888717317218103E-2</v>
      </c>
      <c r="AE141" s="223">
        <f t="shared" si="61"/>
        <v>1.5888717317218103E-2</v>
      </c>
      <c r="AF141" s="223">
        <f t="shared" si="61"/>
        <v>1.5888717317218103E-2</v>
      </c>
      <c r="AG141" s="174"/>
    </row>
    <row r="142" spans="2:33">
      <c r="B142" s="226" t="str">
        <f t="shared" si="46"/>
        <v>Money Market Interest Rate</v>
      </c>
      <c r="C142" s="227">
        <v>0</v>
      </c>
      <c r="D142" s="227">
        <v>0</v>
      </c>
      <c r="E142" s="227">
        <v>0</v>
      </c>
      <c r="F142" s="227">
        <v>0</v>
      </c>
      <c r="G142" s="227">
        <v>0</v>
      </c>
      <c r="H142" s="227">
        <v>0</v>
      </c>
      <c r="I142" s="227">
        <v>0</v>
      </c>
      <c r="J142" s="227">
        <v>0</v>
      </c>
      <c r="K142" s="227">
        <v>0</v>
      </c>
      <c r="L142" s="227">
        <v>0</v>
      </c>
      <c r="M142" s="234">
        <f t="shared" si="61"/>
        <v>0.02</v>
      </c>
      <c r="N142" s="228">
        <f t="shared" si="61"/>
        <v>0.02</v>
      </c>
      <c r="O142" s="228">
        <f t="shared" si="61"/>
        <v>0.02</v>
      </c>
      <c r="P142" s="228">
        <f t="shared" si="61"/>
        <v>0.02</v>
      </c>
      <c r="Q142" s="228">
        <f t="shared" si="61"/>
        <v>0.02</v>
      </c>
      <c r="R142" s="228">
        <f t="shared" si="61"/>
        <v>0.02</v>
      </c>
      <c r="S142" s="228">
        <f t="shared" si="61"/>
        <v>0.02</v>
      </c>
      <c r="T142" s="228">
        <f t="shared" si="61"/>
        <v>0.02</v>
      </c>
      <c r="U142" s="228">
        <f t="shared" si="61"/>
        <v>0.02</v>
      </c>
      <c r="V142" s="228">
        <f t="shared" si="61"/>
        <v>0.02</v>
      </c>
      <c r="W142" s="228">
        <f t="shared" si="61"/>
        <v>0.02</v>
      </c>
      <c r="X142" s="228">
        <f t="shared" si="61"/>
        <v>0.02</v>
      </c>
      <c r="Y142" s="228">
        <f t="shared" si="61"/>
        <v>0.02</v>
      </c>
      <c r="Z142" s="228">
        <f t="shared" si="61"/>
        <v>0.02</v>
      </c>
      <c r="AA142" s="228">
        <f t="shared" si="61"/>
        <v>0.02</v>
      </c>
      <c r="AB142" s="228">
        <f t="shared" si="61"/>
        <v>0.02</v>
      </c>
      <c r="AC142" s="228">
        <f t="shared" si="61"/>
        <v>0.02</v>
      </c>
      <c r="AD142" s="228">
        <f t="shared" si="61"/>
        <v>0.02</v>
      </c>
      <c r="AE142" s="228">
        <f t="shared" si="61"/>
        <v>0.02</v>
      </c>
      <c r="AF142" s="228">
        <f t="shared" si="61"/>
        <v>0.02</v>
      </c>
      <c r="AG142" s="174"/>
    </row>
    <row r="143" spans="2:33">
      <c r="B143" s="217" t="str">
        <f t="shared" si="46"/>
        <v>Dividend Payout Ratio</v>
      </c>
      <c r="C143" s="218">
        <f t="shared" ref="C143:L143" si="72">IF($C$2=FALSE,"-",C86)</f>
        <v>0</v>
      </c>
      <c r="D143" s="218">
        <f t="shared" si="72"/>
        <v>0</v>
      </c>
      <c r="E143" s="218">
        <f t="shared" si="72"/>
        <v>0</v>
      </c>
      <c r="F143" s="218">
        <f t="shared" si="72"/>
        <v>0</v>
      </c>
      <c r="G143" s="218">
        <f t="shared" si="72"/>
        <v>0</v>
      </c>
      <c r="H143" s="218">
        <f t="shared" si="72"/>
        <v>0</v>
      </c>
      <c r="I143" s="218">
        <f t="shared" si="72"/>
        <v>0.30256597348899428</v>
      </c>
      <c r="J143" s="218">
        <f t="shared" si="72"/>
        <v>0.19062547790181986</v>
      </c>
      <c r="K143" s="218">
        <f t="shared" si="72"/>
        <v>0.52204881114486223</v>
      </c>
      <c r="L143" s="218">
        <f t="shared" si="72"/>
        <v>1.1297101449275362</v>
      </c>
      <c r="M143" s="235">
        <f t="shared" si="61"/>
        <v>0.01</v>
      </c>
      <c r="N143" s="219">
        <f t="shared" si="61"/>
        <v>0.01</v>
      </c>
      <c r="O143" s="219">
        <f t="shared" si="61"/>
        <v>0.01</v>
      </c>
      <c r="P143" s="219">
        <f t="shared" si="61"/>
        <v>0.01</v>
      </c>
      <c r="Q143" s="219">
        <f t="shared" si="61"/>
        <v>0.01</v>
      </c>
      <c r="R143" s="219">
        <f t="shared" si="61"/>
        <v>0.01</v>
      </c>
      <c r="S143" s="219">
        <f t="shared" si="61"/>
        <v>0.01</v>
      </c>
      <c r="T143" s="219">
        <f t="shared" si="61"/>
        <v>0.01</v>
      </c>
      <c r="U143" s="219">
        <f t="shared" si="61"/>
        <v>0.01</v>
      </c>
      <c r="V143" s="219">
        <f t="shared" si="61"/>
        <v>0.01</v>
      </c>
      <c r="W143" s="219">
        <f t="shared" si="61"/>
        <v>0.01</v>
      </c>
      <c r="X143" s="219">
        <f t="shared" si="61"/>
        <v>0.01</v>
      </c>
      <c r="Y143" s="219">
        <f t="shared" si="61"/>
        <v>0.01</v>
      </c>
      <c r="Z143" s="219">
        <f t="shared" si="61"/>
        <v>0.01</v>
      </c>
      <c r="AA143" s="219">
        <f t="shared" si="61"/>
        <v>0.01</v>
      </c>
      <c r="AB143" s="219">
        <f t="shared" si="61"/>
        <v>0.01</v>
      </c>
      <c r="AC143" s="219">
        <f t="shared" si="61"/>
        <v>0.01</v>
      </c>
      <c r="AD143" s="219">
        <f t="shared" si="61"/>
        <v>0.01</v>
      </c>
      <c r="AE143" s="219">
        <f t="shared" si="61"/>
        <v>0.01</v>
      </c>
      <c r="AF143" s="219">
        <f t="shared" si="61"/>
        <v>0.01</v>
      </c>
      <c r="AG143" s="174"/>
    </row>
    <row r="144" spans="2:33">
      <c r="B144" s="174"/>
      <c r="C144" s="174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V144" s="174"/>
      <c r="W144" s="174"/>
      <c r="X144" s="174"/>
      <c r="Y144" s="174"/>
      <c r="Z144" s="174"/>
      <c r="AA144" s="174"/>
      <c r="AB144" s="174"/>
      <c r="AC144" s="174"/>
      <c r="AD144" s="174"/>
      <c r="AE144" s="174"/>
      <c r="AF144" s="174"/>
      <c r="AG144" s="174"/>
    </row>
    <row r="145" spans="2:33">
      <c r="B145" s="204" t="s">
        <v>232</v>
      </c>
      <c r="C145" s="175">
        <f t="shared" ref="C145:AF145" si="73">IF($C$2=FALSE,"-",C117)</f>
        <v>2004</v>
      </c>
      <c r="D145" s="175">
        <f t="shared" si="73"/>
        <v>2005</v>
      </c>
      <c r="E145" s="175">
        <f t="shared" si="73"/>
        <v>2006</v>
      </c>
      <c r="F145" s="175">
        <f t="shared" si="73"/>
        <v>2007</v>
      </c>
      <c r="G145" s="175">
        <f t="shared" si="73"/>
        <v>2008</v>
      </c>
      <c r="H145" s="175">
        <f t="shared" si="73"/>
        <v>2009</v>
      </c>
      <c r="I145" s="175">
        <f t="shared" si="73"/>
        <v>2010</v>
      </c>
      <c r="J145" s="175">
        <f t="shared" si="73"/>
        <v>2011</v>
      </c>
      <c r="K145" s="175">
        <f t="shared" si="73"/>
        <v>2012</v>
      </c>
      <c r="L145" s="175">
        <f t="shared" si="73"/>
        <v>2013</v>
      </c>
      <c r="M145" s="230">
        <f t="shared" si="73"/>
        <v>2014</v>
      </c>
      <c r="N145" s="230">
        <f t="shared" si="73"/>
        <v>2015</v>
      </c>
      <c r="O145" s="230">
        <f t="shared" si="73"/>
        <v>2016</v>
      </c>
      <c r="P145" s="230">
        <f t="shared" si="73"/>
        <v>2017</v>
      </c>
      <c r="Q145" s="230">
        <f t="shared" si="73"/>
        <v>2018</v>
      </c>
      <c r="R145" s="230">
        <f t="shared" si="73"/>
        <v>2019</v>
      </c>
      <c r="S145" s="230">
        <f t="shared" si="73"/>
        <v>2020</v>
      </c>
      <c r="T145" s="230">
        <f t="shared" si="73"/>
        <v>2021</v>
      </c>
      <c r="U145" s="230">
        <f t="shared" si="73"/>
        <v>2022</v>
      </c>
      <c r="V145" s="230">
        <f t="shared" si="73"/>
        <v>2023</v>
      </c>
      <c r="W145" s="230">
        <f t="shared" si="73"/>
        <v>2024</v>
      </c>
      <c r="X145" s="230">
        <f t="shared" si="73"/>
        <v>2025</v>
      </c>
      <c r="Y145" s="230">
        <f t="shared" si="73"/>
        <v>2026</v>
      </c>
      <c r="Z145" s="230">
        <f t="shared" si="73"/>
        <v>2027</v>
      </c>
      <c r="AA145" s="230">
        <f t="shared" si="73"/>
        <v>2028</v>
      </c>
      <c r="AB145" s="230">
        <f t="shared" si="73"/>
        <v>2029</v>
      </c>
      <c r="AC145" s="230">
        <f t="shared" si="73"/>
        <v>2030</v>
      </c>
      <c r="AD145" s="230">
        <f t="shared" si="73"/>
        <v>2031</v>
      </c>
      <c r="AE145" s="230">
        <f t="shared" si="73"/>
        <v>2032</v>
      </c>
      <c r="AF145" s="230">
        <f t="shared" si="73"/>
        <v>2033</v>
      </c>
      <c r="AG145" s="174"/>
    </row>
    <row r="146" spans="2:33">
      <c r="B146" s="174"/>
      <c r="C146" s="174"/>
      <c r="D146" s="174"/>
      <c r="E146" s="174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V146" s="174"/>
      <c r="W146" s="174"/>
      <c r="X146" s="174"/>
      <c r="Y146" s="174"/>
      <c r="Z146" s="174"/>
      <c r="AA146" s="174"/>
      <c r="AB146" s="174"/>
      <c r="AC146" s="174"/>
      <c r="AD146" s="174"/>
      <c r="AE146" s="174"/>
      <c r="AF146" s="174"/>
      <c r="AG146" s="174"/>
    </row>
    <row r="147" spans="2:33">
      <c r="B147" s="178" t="s">
        <v>148</v>
      </c>
      <c r="C147" s="237">
        <f t="shared" ref="C147:L147" si="74">IF($C$2=FALSE,"-",C6)</f>
        <v>24667</v>
      </c>
      <c r="D147" s="237">
        <f t="shared" si="74"/>
        <v>28571</v>
      </c>
      <c r="E147" s="237">
        <f t="shared" si="74"/>
        <v>28270</v>
      </c>
      <c r="F147" s="237">
        <f t="shared" si="74"/>
        <v>46333</v>
      </c>
      <c r="G147" s="237">
        <f t="shared" si="74"/>
        <v>39186</v>
      </c>
      <c r="H147" s="237">
        <f t="shared" si="74"/>
        <v>35023</v>
      </c>
      <c r="I147" s="237">
        <f t="shared" si="74"/>
        <v>35966</v>
      </c>
      <c r="J147" s="237">
        <f t="shared" si="74"/>
        <v>54512</v>
      </c>
      <c r="K147" s="237">
        <f t="shared" si="74"/>
        <v>43603</v>
      </c>
      <c r="L147" s="237">
        <f t="shared" si="74"/>
        <v>35323</v>
      </c>
      <c r="M147" s="238">
        <f t="shared" ref="M147:AF147" si="75">IF($C$2=FALSE,"-",L147*(1+M119))</f>
        <v>40278.850720889059</v>
      </c>
      <c r="N147" s="237">
        <f t="shared" si="75"/>
        <v>45930.012043021969</v>
      </c>
      <c r="O147" s="237">
        <f t="shared" si="75"/>
        <v>52374.036709495755</v>
      </c>
      <c r="P147" s="237">
        <f t="shared" si="75"/>
        <v>59722.164206668262</v>
      </c>
      <c r="Q147" s="237">
        <f t="shared" si="75"/>
        <v>68101.241027342374</v>
      </c>
      <c r="R147" s="237">
        <f t="shared" si="75"/>
        <v>77655.910348713558</v>
      </c>
      <c r="S147" s="237">
        <f t="shared" si="75"/>
        <v>88551.108924230022</v>
      </c>
      <c r="T147" s="237">
        <f t="shared" si="75"/>
        <v>100974.91429177159</v>
      </c>
      <c r="U147" s="237">
        <f t="shared" si="75"/>
        <v>115141.79144786217</v>
      </c>
      <c r="V147" s="237">
        <f t="shared" si="75"/>
        <v>131296.2950333828</v>
      </c>
      <c r="W147" s="237">
        <f t="shared" si="75"/>
        <v>149717.29093948513</v>
      </c>
      <c r="X147" s="237">
        <f t="shared" si="75"/>
        <v>170722.77020885647</v>
      </c>
      <c r="Y147" s="237">
        <f t="shared" si="75"/>
        <v>194675.33833194166</v>
      </c>
      <c r="Z147" s="237">
        <f t="shared" si="75"/>
        <v>221988.47469668061</v>
      </c>
      <c r="AA147" s="237">
        <f t="shared" si="75"/>
        <v>253133.67024503741</v>
      </c>
      <c r="AB147" s="237">
        <f t="shared" si="75"/>
        <v>288648.56654957443</v>
      </c>
      <c r="AC147" s="237">
        <f t="shared" si="75"/>
        <v>329146.23681026296</v>
      </c>
      <c r="AD147" s="237">
        <f t="shared" si="75"/>
        <v>375325.7689840325</v>
      </c>
      <c r="AE147" s="237">
        <f t="shared" si="75"/>
        <v>427984.333737529</v>
      </c>
      <c r="AF147" s="237">
        <f t="shared" si="75"/>
        <v>488030.94554519979</v>
      </c>
      <c r="AG147" s="174"/>
    </row>
    <row r="148" spans="2:33">
      <c r="B148" s="195" t="s">
        <v>150</v>
      </c>
      <c r="C148" s="196">
        <f t="shared" ref="C148:L148" si="76">IF($C$2=FALSE,"-",C8)</f>
        <v>14015</v>
      </c>
      <c r="D148" s="196">
        <f t="shared" si="76"/>
        <v>16168</v>
      </c>
      <c r="E148" s="196">
        <f t="shared" si="76"/>
        <v>16347</v>
      </c>
      <c r="F148" s="196">
        <f t="shared" si="76"/>
        <v>24909</v>
      </c>
      <c r="G148" s="196">
        <f t="shared" si="76"/>
        <v>19882</v>
      </c>
      <c r="H148" s="196">
        <f t="shared" si="76"/>
        <v>19194</v>
      </c>
      <c r="I148" s="196">
        <f t="shared" si="76"/>
        <v>20584</v>
      </c>
      <c r="J148" s="196">
        <f t="shared" si="76"/>
        <v>31864</v>
      </c>
      <c r="K148" s="196">
        <f t="shared" si="76"/>
        <v>25562</v>
      </c>
      <c r="L148" s="196">
        <f t="shared" si="76"/>
        <v>22299</v>
      </c>
      <c r="M148" s="239">
        <f t="shared" ref="M148:AF148" si="77">IF($C$2=FALSE,"-",M$147*M120)</f>
        <v>25937.011481783728</v>
      </c>
      <c r="N148" s="196">
        <f t="shared" si="77"/>
        <v>29575.999026717782</v>
      </c>
      <c r="O148" s="196">
        <f t="shared" si="77"/>
        <v>33725.540008445649</v>
      </c>
      <c r="P148" s="196">
        <f t="shared" si="77"/>
        <v>38457.265562991641</v>
      </c>
      <c r="Q148" s="196">
        <f t="shared" si="77"/>
        <v>43852.856743349315</v>
      </c>
      <c r="R148" s="196">
        <f t="shared" si="77"/>
        <v>50005.45453245478</v>
      </c>
      <c r="S148" s="196">
        <f t="shared" si="77"/>
        <v>57021.267682330246</v>
      </c>
      <c r="T148" s="196">
        <f t="shared" si="77"/>
        <v>65021.406134598859</v>
      </c>
      <c r="U148" s="196">
        <f t="shared" si="77"/>
        <v>74143.971671653242</v>
      </c>
      <c r="V148" s="196">
        <f t="shared" si="77"/>
        <v>84546.441888184709</v>
      </c>
      <c r="W148" s="196">
        <f t="shared" si="77"/>
        <v>96408.388636200587</v>
      </c>
      <c r="X148" s="196">
        <f t="shared" si="77"/>
        <v>109934.57787048043</v>
      </c>
      <c r="Y148" s="196">
        <f t="shared" si="77"/>
        <v>125358.50440531764</v>
      </c>
      <c r="Z148" s="196">
        <f t="shared" si="77"/>
        <v>142946.42260101638</v>
      </c>
      <c r="AA148" s="196">
        <f t="shared" si="77"/>
        <v>163001.9425595635</v>
      </c>
      <c r="AB148" s="196">
        <f t="shared" si="77"/>
        <v>185871.27117095349</v>
      </c>
      <c r="AC148" s="196">
        <f t="shared" si="77"/>
        <v>211949.1884833317</v>
      </c>
      <c r="AD148" s="196">
        <f t="shared" si="77"/>
        <v>241685.86256359017</v>
      </c>
      <c r="AE148" s="196">
        <f t="shared" si="77"/>
        <v>275594.62048943061</v>
      </c>
      <c r="AF148" s="196">
        <f t="shared" si="77"/>
        <v>314260.80961905408</v>
      </c>
      <c r="AG148" s="174"/>
    </row>
    <row r="149" spans="2:33">
      <c r="B149" s="185" t="s">
        <v>151</v>
      </c>
      <c r="C149" s="186">
        <f t="shared" ref="C149:AF149" si="78">IF($C$2=FALSE,"-",C147-C148)</f>
        <v>10652</v>
      </c>
      <c r="D149" s="186">
        <f t="shared" si="78"/>
        <v>12403</v>
      </c>
      <c r="E149" s="186">
        <f t="shared" si="78"/>
        <v>11923</v>
      </c>
      <c r="F149" s="186">
        <f t="shared" si="78"/>
        <v>21424</v>
      </c>
      <c r="G149" s="186">
        <f t="shared" si="78"/>
        <v>19304</v>
      </c>
      <c r="H149" s="186">
        <f t="shared" si="78"/>
        <v>15829</v>
      </c>
      <c r="I149" s="186">
        <f t="shared" si="78"/>
        <v>15382</v>
      </c>
      <c r="J149" s="186">
        <f t="shared" si="78"/>
        <v>22648</v>
      </c>
      <c r="K149" s="186">
        <f t="shared" si="78"/>
        <v>18041</v>
      </c>
      <c r="L149" s="186">
        <f t="shared" si="78"/>
        <v>13024</v>
      </c>
      <c r="M149" s="240">
        <f t="shared" si="78"/>
        <v>14341.839239105331</v>
      </c>
      <c r="N149" s="186">
        <f t="shared" si="78"/>
        <v>16354.013016304187</v>
      </c>
      <c r="O149" s="186">
        <f t="shared" si="78"/>
        <v>18648.496701050106</v>
      </c>
      <c r="P149" s="186">
        <f t="shared" si="78"/>
        <v>21264.898643676621</v>
      </c>
      <c r="Q149" s="186">
        <f t="shared" si="78"/>
        <v>24248.384283993058</v>
      </c>
      <c r="R149" s="186">
        <f t="shared" si="78"/>
        <v>27650.455816258778</v>
      </c>
      <c r="S149" s="186">
        <f t="shared" si="78"/>
        <v>31529.841241899776</v>
      </c>
      <c r="T149" s="186">
        <f t="shared" si="78"/>
        <v>35953.508157172735</v>
      </c>
      <c r="U149" s="186">
        <f t="shared" si="78"/>
        <v>40997.819776208926</v>
      </c>
      <c r="V149" s="186">
        <f t="shared" si="78"/>
        <v>46749.853145198096</v>
      </c>
      <c r="W149" s="186">
        <f t="shared" si="78"/>
        <v>53308.902303284543</v>
      </c>
      <c r="X149" s="186">
        <f t="shared" si="78"/>
        <v>60788.192338376044</v>
      </c>
      <c r="Y149" s="186">
        <f t="shared" si="78"/>
        <v>69316.833926624022</v>
      </c>
      <c r="Z149" s="186">
        <f t="shared" si="78"/>
        <v>79042.052095664229</v>
      </c>
      <c r="AA149" s="186">
        <f t="shared" si="78"/>
        <v>90131.727685473918</v>
      </c>
      <c r="AB149" s="186">
        <f t="shared" si="78"/>
        <v>102777.29537862094</v>
      </c>
      <c r="AC149" s="186">
        <f t="shared" si="78"/>
        <v>117197.04832693125</v>
      </c>
      <c r="AD149" s="186">
        <f t="shared" si="78"/>
        <v>133639.90642044233</v>
      </c>
      <c r="AE149" s="186">
        <f t="shared" si="78"/>
        <v>152389.71324809839</v>
      </c>
      <c r="AF149" s="186">
        <f t="shared" si="78"/>
        <v>173770.13592614571</v>
      </c>
      <c r="AG149" s="174"/>
    </row>
    <row r="150" spans="2:33">
      <c r="B150" s="195" t="s">
        <v>152</v>
      </c>
      <c r="C150" s="196">
        <f t="shared" ref="C150:L150" si="79">IF($C$2=FALSE,"-",C11)</f>
        <v>2344</v>
      </c>
      <c r="D150" s="196">
        <f t="shared" si="79"/>
        <v>2543</v>
      </c>
      <c r="E150" s="196">
        <f t="shared" si="79"/>
        <v>2670</v>
      </c>
      <c r="F150" s="196">
        <f t="shared" si="79"/>
        <v>3363</v>
      </c>
      <c r="G150" s="196">
        <f t="shared" si="79"/>
        <v>3180</v>
      </c>
      <c r="H150" s="196">
        <f t="shared" si="79"/>
        <v>3421</v>
      </c>
      <c r="I150" s="196">
        <f t="shared" si="79"/>
        <v>3457</v>
      </c>
      <c r="J150" s="196">
        <f t="shared" si="79"/>
        <v>3850</v>
      </c>
      <c r="K150" s="196">
        <f t="shared" si="79"/>
        <v>3791</v>
      </c>
      <c r="L150" s="196">
        <f t="shared" si="79"/>
        <v>3823</v>
      </c>
      <c r="M150" s="239">
        <f t="shared" ref="M150:AF150" si="80">IF($C$2=FALSE,"-",M$147*M121)</f>
        <v>5675.1359812492738</v>
      </c>
      <c r="N150" s="196">
        <f t="shared" si="80"/>
        <v>6471.3629932193116</v>
      </c>
      <c r="O150" s="196">
        <f t="shared" si="80"/>
        <v>7379.3014173361953</v>
      </c>
      <c r="P150" s="196">
        <f t="shared" si="80"/>
        <v>8414.6244716850106</v>
      </c>
      <c r="Q150" s="196">
        <f t="shared" si="80"/>
        <v>9595.2043418548965</v>
      </c>
      <c r="R150" s="196">
        <f t="shared" si="80"/>
        <v>10941.420698185317</v>
      </c>
      <c r="S150" s="196">
        <f t="shared" si="80"/>
        <v>12476.512498277387</v>
      </c>
      <c r="T150" s="196">
        <f t="shared" si="80"/>
        <v>14226.979147734379</v>
      </c>
      <c r="U150" s="196">
        <f t="shared" si="80"/>
        <v>16223.037944138225</v>
      </c>
      <c r="V150" s="196">
        <f t="shared" si="80"/>
        <v>18499.145700853904</v>
      </c>
      <c r="W150" s="196">
        <f t="shared" si="80"/>
        <v>21094.593555153046</v>
      </c>
      <c r="X150" s="196">
        <f t="shared" si="80"/>
        <v>24054.18522848676</v>
      </c>
      <c r="Y150" s="196">
        <f t="shared" si="80"/>
        <v>27429.010447324206</v>
      </c>
      <c r="Z150" s="196">
        <f t="shared" si="80"/>
        <v>31277.326875675284</v>
      </c>
      <c r="AA150" s="196">
        <f t="shared" si="80"/>
        <v>35665.565783590748</v>
      </c>
      <c r="AB150" s="196">
        <f t="shared" si="80"/>
        <v>40669.47881191576</v>
      </c>
      <c r="AC150" s="196">
        <f t="shared" si="80"/>
        <v>46375.445629236339</v>
      </c>
      <c r="AD150" s="196">
        <f t="shared" si="80"/>
        <v>52881.965054347515</v>
      </c>
      <c r="AE150" s="196">
        <f t="shared" si="80"/>
        <v>60301.35538463141</v>
      </c>
      <c r="AF150" s="196">
        <f t="shared" si="80"/>
        <v>68761.693282134816</v>
      </c>
      <c r="AG150" s="174"/>
    </row>
    <row r="151" spans="2:33">
      <c r="B151" s="195" t="s">
        <v>153</v>
      </c>
      <c r="C151" s="196">
        <f t="shared" ref="C151:L151" si="81">IF($C$2=FALSE,"-",C13)</f>
        <v>434</v>
      </c>
      <c r="D151" s="196">
        <f t="shared" si="81"/>
        <v>481</v>
      </c>
      <c r="E151" s="196">
        <f t="shared" si="81"/>
        <v>543</v>
      </c>
      <c r="F151" s="196">
        <f t="shared" si="81"/>
        <v>721</v>
      </c>
      <c r="G151" s="196">
        <f t="shared" si="81"/>
        <v>740</v>
      </c>
      <c r="H151" s="196">
        <f t="shared" si="81"/>
        <v>835</v>
      </c>
      <c r="I151" s="196">
        <f t="shared" si="81"/>
        <v>981</v>
      </c>
      <c r="J151" s="196">
        <f t="shared" si="81"/>
        <v>1588</v>
      </c>
      <c r="K151" s="196">
        <f t="shared" si="81"/>
        <v>1692</v>
      </c>
      <c r="L151" s="196">
        <f t="shared" si="81"/>
        <v>0</v>
      </c>
      <c r="M151" s="239">
        <f t="shared" ref="M151:AF151" si="82">IF($C$2=FALSE,"-",M$174*M122)</f>
        <v>2691.686692767159</v>
      </c>
      <c r="N151" s="196">
        <f t="shared" si="82"/>
        <v>3069.332912985079</v>
      </c>
      <c r="O151" s="196">
        <f t="shared" si="82"/>
        <v>3499.9632594863847</v>
      </c>
      <c r="P151" s="196">
        <f t="shared" si="82"/>
        <v>3991.0114559196099</v>
      </c>
      <c r="Q151" s="196">
        <f t="shared" si="82"/>
        <v>4550.9541844787836</v>
      </c>
      <c r="R151" s="196">
        <f t="shared" si="82"/>
        <v>5189.4574139859678</v>
      </c>
      <c r="S151" s="196">
        <f t="shared" si="82"/>
        <v>5917.543257943883</v>
      </c>
      <c r="T151" s="196">
        <f t="shared" si="82"/>
        <v>6747.7802429330786</v>
      </c>
      <c r="U151" s="196">
        <f t="shared" si="82"/>
        <v>7694.5002718474079</v>
      </c>
      <c r="V151" s="196">
        <f t="shared" si="82"/>
        <v>8774.0460272791679</v>
      </c>
      <c r="W151" s="196">
        <f t="shared" si="82"/>
        <v>10005.053085836063</v>
      </c>
      <c r="X151" s="196">
        <f t="shared" si="82"/>
        <v>11408.771613366962</v>
      </c>
      <c r="Y151" s="196">
        <f t="shared" si="82"/>
        <v>13009.433194335828</v>
      </c>
      <c r="Z151" s="196">
        <f t="shared" si="82"/>
        <v>14834.669127708057</v>
      </c>
      <c r="AA151" s="196">
        <f t="shared" si="82"/>
        <v>16915.987410150166</v>
      </c>
      <c r="AB151" s="196">
        <f t="shared" si="82"/>
        <v>19289.316640429104</v>
      </c>
      <c r="AC151" s="196">
        <f t="shared" si="82"/>
        <v>21995.626234119554</v>
      </c>
      <c r="AD151" s="196">
        <f t="shared" si="82"/>
        <v>25081.63365502853</v>
      </c>
      <c r="AE151" s="196">
        <f t="shared" si="82"/>
        <v>28600.610871865953</v>
      </c>
      <c r="AF151" s="196">
        <f t="shared" si="82"/>
        <v>32613.30396155834</v>
      </c>
      <c r="AG151" s="174"/>
    </row>
    <row r="152" spans="2:33">
      <c r="B152" s="185" t="s">
        <v>154</v>
      </c>
      <c r="C152" s="186">
        <f t="shared" ref="C152:AF152" si="83">IF($C$2=FALSE,"-",C149-C150-C151)</f>
        <v>7874</v>
      </c>
      <c r="D152" s="186">
        <f t="shared" si="83"/>
        <v>9379</v>
      </c>
      <c r="E152" s="186">
        <f t="shared" si="83"/>
        <v>8710</v>
      </c>
      <c r="F152" s="186">
        <f t="shared" si="83"/>
        <v>17340</v>
      </c>
      <c r="G152" s="186">
        <f t="shared" si="83"/>
        <v>15384</v>
      </c>
      <c r="H152" s="186">
        <f t="shared" si="83"/>
        <v>11573</v>
      </c>
      <c r="I152" s="186">
        <f t="shared" si="83"/>
        <v>10944</v>
      </c>
      <c r="J152" s="186">
        <f t="shared" si="83"/>
        <v>17210</v>
      </c>
      <c r="K152" s="186">
        <f t="shared" si="83"/>
        <v>12558</v>
      </c>
      <c r="L152" s="186">
        <f t="shared" si="83"/>
        <v>9201</v>
      </c>
      <c r="M152" s="240">
        <f t="shared" si="83"/>
        <v>5975.0165650888985</v>
      </c>
      <c r="N152" s="186">
        <f t="shared" si="83"/>
        <v>6813.317110099797</v>
      </c>
      <c r="O152" s="186">
        <f t="shared" si="83"/>
        <v>7769.2320242275255</v>
      </c>
      <c r="P152" s="186">
        <f t="shared" si="83"/>
        <v>8859.2627160720003</v>
      </c>
      <c r="Q152" s="186">
        <f t="shared" si="83"/>
        <v>10102.225757659378</v>
      </c>
      <c r="R152" s="186">
        <f t="shared" si="83"/>
        <v>11519.577704087493</v>
      </c>
      <c r="S152" s="186">
        <f t="shared" si="83"/>
        <v>13135.785485678509</v>
      </c>
      <c r="T152" s="186">
        <f t="shared" si="83"/>
        <v>14978.748766505278</v>
      </c>
      <c r="U152" s="186">
        <f t="shared" si="83"/>
        <v>17080.281560223295</v>
      </c>
      <c r="V152" s="186">
        <f t="shared" si="83"/>
        <v>19476.661417065025</v>
      </c>
      <c r="W152" s="186">
        <f t="shared" si="83"/>
        <v>22209.255662295436</v>
      </c>
      <c r="X152" s="186">
        <f t="shared" si="83"/>
        <v>25325.23549652232</v>
      </c>
      <c r="Y152" s="186">
        <f t="shared" si="83"/>
        <v>28878.390284963985</v>
      </c>
      <c r="Z152" s="186">
        <f t="shared" si="83"/>
        <v>32930.056092280895</v>
      </c>
      <c r="AA152" s="186">
        <f t="shared" si="83"/>
        <v>37550.174491733007</v>
      </c>
      <c r="AB152" s="186">
        <f t="shared" si="83"/>
        <v>42818.499926276076</v>
      </c>
      <c r="AC152" s="186">
        <f t="shared" si="83"/>
        <v>48825.976463575353</v>
      </c>
      <c r="AD152" s="186">
        <f t="shared" si="83"/>
        <v>55676.307711066285</v>
      </c>
      <c r="AE152" s="186">
        <f t="shared" si="83"/>
        <v>63487.74699160103</v>
      </c>
      <c r="AF152" s="186">
        <f t="shared" si="83"/>
        <v>72395.138682452554</v>
      </c>
      <c r="AG152" s="174"/>
    </row>
    <row r="153" spans="2:33">
      <c r="B153" s="195" t="s">
        <v>155</v>
      </c>
      <c r="C153" s="196">
        <f t="shared" ref="C153:L153" si="84">IF($C$2=FALSE,"-",C16)</f>
        <v>26</v>
      </c>
      <c r="D153" s="196">
        <f t="shared" si="84"/>
        <v>172</v>
      </c>
      <c r="E153" s="196">
        <f t="shared" si="84"/>
        <v>81</v>
      </c>
      <c r="F153" s="196">
        <f t="shared" si="84"/>
        <v>137</v>
      </c>
      <c r="G153" s="196">
        <f t="shared" si="84"/>
        <v>148</v>
      </c>
      <c r="H153" s="196">
        <f t="shared" si="84"/>
        <v>288</v>
      </c>
      <c r="I153" s="196">
        <f t="shared" si="84"/>
        <v>-51</v>
      </c>
      <c r="J153" s="196">
        <f t="shared" si="84"/>
        <v>462</v>
      </c>
      <c r="K153" s="196">
        <f t="shared" si="84"/>
        <v>347</v>
      </c>
      <c r="L153" s="196">
        <f t="shared" si="84"/>
        <v>287</v>
      </c>
      <c r="M153" s="239">
        <f t="shared" ref="M153:AF153" si="85">IF($C$2=FALSE,"-",M$147*M125)</f>
        <v>1419.8783115511685</v>
      </c>
      <c r="N153" s="196">
        <f t="shared" si="85"/>
        <v>1619.0885981597692</v>
      </c>
      <c r="O153" s="196">
        <f t="shared" si="85"/>
        <v>1846.2482787184233</v>
      </c>
      <c r="P153" s="196">
        <f t="shared" si="85"/>
        <v>2105.2786799591695</v>
      </c>
      <c r="Q153" s="196">
        <f t="shared" si="85"/>
        <v>2400.6512945091235</v>
      </c>
      <c r="R153" s="196">
        <f t="shared" si="85"/>
        <v>2737.464969692327</v>
      </c>
      <c r="S153" s="196">
        <f t="shared" si="85"/>
        <v>3121.5339259944035</v>
      </c>
      <c r="T153" s="196">
        <f t="shared" si="85"/>
        <v>3559.4881246020818</v>
      </c>
      <c r="U153" s="196">
        <f t="shared" si="85"/>
        <v>4058.8877166046095</v>
      </c>
      <c r="V153" s="196">
        <f t="shared" si="85"/>
        <v>4628.3535495277101</v>
      </c>
      <c r="W153" s="196">
        <f t="shared" si="85"/>
        <v>5277.7159840592149</v>
      </c>
      <c r="X153" s="196">
        <f t="shared" si="85"/>
        <v>6018.1845899037789</v>
      </c>
      <c r="Y153" s="196">
        <f t="shared" si="85"/>
        <v>6862.5416501285072</v>
      </c>
      <c r="Z153" s="196">
        <f t="shared" si="85"/>
        <v>7825.3628143535316</v>
      </c>
      <c r="AA153" s="196">
        <f t="shared" si="85"/>
        <v>8923.2687097965118</v>
      </c>
      <c r="AB153" s="196">
        <f t="shared" si="85"/>
        <v>10175.211853587576</v>
      </c>
      <c r="AC153" s="196">
        <f t="shared" si="85"/>
        <v>11602.803819156776</v>
      </c>
      <c r="AD153" s="196">
        <f t="shared" si="85"/>
        <v>13230.688304378938</v>
      </c>
      <c r="AE153" s="196">
        <f t="shared" si="85"/>
        <v>15086.966541536449</v>
      </c>
      <c r="AF153" s="196">
        <f t="shared" si="85"/>
        <v>17203.682392707145</v>
      </c>
      <c r="AG153" s="174"/>
    </row>
    <row r="154" spans="2:33">
      <c r="B154" s="185" t="s">
        <v>156</v>
      </c>
      <c r="C154" s="186">
        <f t="shared" ref="C154:AF154" si="86">IF($C$2=FALSE,"-",C152+C153)</f>
        <v>7900</v>
      </c>
      <c r="D154" s="186">
        <f t="shared" si="86"/>
        <v>9551</v>
      </c>
      <c r="E154" s="186">
        <f t="shared" si="86"/>
        <v>8791</v>
      </c>
      <c r="F154" s="186">
        <f t="shared" si="86"/>
        <v>17477</v>
      </c>
      <c r="G154" s="186">
        <f t="shared" si="86"/>
        <v>15532</v>
      </c>
      <c r="H154" s="186">
        <f t="shared" si="86"/>
        <v>11861</v>
      </c>
      <c r="I154" s="186">
        <f t="shared" si="86"/>
        <v>10893</v>
      </c>
      <c r="J154" s="186">
        <f t="shared" si="86"/>
        <v>17672</v>
      </c>
      <c r="K154" s="186">
        <f t="shared" si="86"/>
        <v>12905</v>
      </c>
      <c r="L154" s="186">
        <f t="shared" si="86"/>
        <v>9488</v>
      </c>
      <c r="M154" s="240">
        <f t="shared" si="86"/>
        <v>7394.8948766400672</v>
      </c>
      <c r="N154" s="186">
        <f t="shared" si="86"/>
        <v>8432.4057082595664</v>
      </c>
      <c r="O154" s="186">
        <f t="shared" si="86"/>
        <v>9615.480302945949</v>
      </c>
      <c r="P154" s="186">
        <f t="shared" si="86"/>
        <v>10964.541396031171</v>
      </c>
      <c r="Q154" s="186">
        <f t="shared" si="86"/>
        <v>12502.877052168502</v>
      </c>
      <c r="R154" s="186">
        <f t="shared" si="86"/>
        <v>14257.042673779819</v>
      </c>
      <c r="S154" s="186">
        <f t="shared" si="86"/>
        <v>16257.319411672912</v>
      </c>
      <c r="T154" s="186">
        <f t="shared" si="86"/>
        <v>18538.236891107361</v>
      </c>
      <c r="U154" s="186">
        <f t="shared" si="86"/>
        <v>21139.169276827903</v>
      </c>
      <c r="V154" s="186">
        <f t="shared" si="86"/>
        <v>24105.014966592735</v>
      </c>
      <c r="W154" s="186">
        <f t="shared" si="86"/>
        <v>27486.97164635465</v>
      </c>
      <c r="X154" s="186">
        <f t="shared" si="86"/>
        <v>31343.4200864261</v>
      </c>
      <c r="Y154" s="186">
        <f t="shared" si="86"/>
        <v>35740.931935092492</v>
      </c>
      <c r="Z154" s="186">
        <f t="shared" si="86"/>
        <v>40755.418906634426</v>
      </c>
      <c r="AA154" s="186">
        <f t="shared" si="86"/>
        <v>46473.443201529517</v>
      </c>
      <c r="AB154" s="186">
        <f t="shared" si="86"/>
        <v>52993.711779863654</v>
      </c>
      <c r="AC154" s="186">
        <f t="shared" si="86"/>
        <v>60428.780282732128</v>
      </c>
      <c r="AD154" s="186">
        <f t="shared" si="86"/>
        <v>68906.996015445227</v>
      </c>
      <c r="AE154" s="186">
        <f t="shared" si="86"/>
        <v>78574.713533137474</v>
      </c>
      <c r="AF154" s="186">
        <f t="shared" si="86"/>
        <v>89598.821075159707</v>
      </c>
      <c r="AG154" s="174"/>
    </row>
    <row r="155" spans="2:33">
      <c r="B155" s="195" t="s">
        <v>157</v>
      </c>
      <c r="C155" s="196">
        <f t="shared" ref="C155:L155" si="87">IF($C$2=FALSE,"-",C19)</f>
        <v>0</v>
      </c>
      <c r="D155" s="196">
        <f t="shared" si="87"/>
        <v>0</v>
      </c>
      <c r="E155" s="196">
        <f t="shared" si="87"/>
        <v>0</v>
      </c>
      <c r="F155" s="196">
        <f t="shared" si="87"/>
        <v>0</v>
      </c>
      <c r="G155" s="196">
        <f t="shared" si="87"/>
        <v>0</v>
      </c>
      <c r="H155" s="196">
        <f t="shared" si="87"/>
        <v>0</v>
      </c>
      <c r="I155" s="196">
        <f t="shared" si="87"/>
        <v>0</v>
      </c>
      <c r="J155" s="196">
        <f t="shared" si="87"/>
        <v>0</v>
      </c>
      <c r="K155" s="196">
        <f t="shared" si="87"/>
        <v>0</v>
      </c>
      <c r="L155" s="196">
        <f t="shared" si="87"/>
        <v>53</v>
      </c>
      <c r="M155" s="239" t="e">
        <f t="shared" ref="M155:AF155" ca="1" si="88">IF($C$2=FALSE,"-",(M140*((M186+L186)/2))-(M142*L169))</f>
        <v>#VALUE!</v>
      </c>
      <c r="N155" s="196" t="e">
        <f t="shared" ca="1" si="88"/>
        <v>#VALUE!</v>
      </c>
      <c r="O155" s="196" t="e">
        <f t="shared" ca="1" si="88"/>
        <v>#VALUE!</v>
      </c>
      <c r="P155" s="196" t="e">
        <f t="shared" ca="1" si="88"/>
        <v>#VALUE!</v>
      </c>
      <c r="Q155" s="196" t="e">
        <f t="shared" ca="1" si="88"/>
        <v>#VALUE!</v>
      </c>
      <c r="R155" s="196" t="e">
        <f t="shared" ca="1" si="88"/>
        <v>#VALUE!</v>
      </c>
      <c r="S155" s="196" t="e">
        <f t="shared" ca="1" si="88"/>
        <v>#VALUE!</v>
      </c>
      <c r="T155" s="196" t="e">
        <f t="shared" ca="1" si="88"/>
        <v>#VALUE!</v>
      </c>
      <c r="U155" s="196" t="e">
        <f t="shared" ca="1" si="88"/>
        <v>#VALUE!</v>
      </c>
      <c r="V155" s="196" t="e">
        <f t="shared" ca="1" si="88"/>
        <v>#VALUE!</v>
      </c>
      <c r="W155" s="196" t="e">
        <f t="shared" ca="1" si="88"/>
        <v>#VALUE!</v>
      </c>
      <c r="X155" s="196" t="e">
        <f t="shared" ca="1" si="88"/>
        <v>#VALUE!</v>
      </c>
      <c r="Y155" s="196" t="e">
        <f t="shared" ca="1" si="88"/>
        <v>#VALUE!</v>
      </c>
      <c r="Z155" s="196" t="e">
        <f t="shared" ca="1" si="88"/>
        <v>#VALUE!</v>
      </c>
      <c r="AA155" s="196" t="e">
        <f t="shared" ca="1" si="88"/>
        <v>#VALUE!</v>
      </c>
      <c r="AB155" s="196" t="e">
        <f t="shared" ca="1" si="88"/>
        <v>#VALUE!</v>
      </c>
      <c r="AC155" s="196" t="e">
        <f t="shared" ca="1" si="88"/>
        <v>#VALUE!</v>
      </c>
      <c r="AD155" s="196" t="e">
        <f t="shared" ca="1" si="88"/>
        <v>#VALUE!</v>
      </c>
      <c r="AE155" s="196" t="e">
        <f t="shared" ca="1" si="88"/>
        <v>#VALUE!</v>
      </c>
      <c r="AF155" s="196" t="e">
        <f t="shared" ca="1" si="88"/>
        <v>#VALUE!</v>
      </c>
      <c r="AG155" s="174"/>
    </row>
    <row r="156" spans="2:33">
      <c r="B156" s="185" t="s">
        <v>159</v>
      </c>
      <c r="C156" s="186">
        <f t="shared" ref="C156:AF156" si="89">IF($C$2=FALSE,"-",C154-C155)</f>
        <v>7900</v>
      </c>
      <c r="D156" s="186">
        <f t="shared" si="89"/>
        <v>9551</v>
      </c>
      <c r="E156" s="186">
        <f t="shared" si="89"/>
        <v>8791</v>
      </c>
      <c r="F156" s="186">
        <f t="shared" si="89"/>
        <v>17477</v>
      </c>
      <c r="G156" s="186">
        <f t="shared" si="89"/>
        <v>15532</v>
      </c>
      <c r="H156" s="186">
        <f t="shared" si="89"/>
        <v>11861</v>
      </c>
      <c r="I156" s="186">
        <f t="shared" si="89"/>
        <v>10893</v>
      </c>
      <c r="J156" s="186">
        <f t="shared" si="89"/>
        <v>17672</v>
      </c>
      <c r="K156" s="186">
        <f t="shared" si="89"/>
        <v>12905</v>
      </c>
      <c r="L156" s="186">
        <f t="shared" si="89"/>
        <v>9435</v>
      </c>
      <c r="M156" s="240" t="e">
        <f t="shared" ca="1" si="89"/>
        <v>#VALUE!</v>
      </c>
      <c r="N156" s="186" t="e">
        <f t="shared" ca="1" si="89"/>
        <v>#VALUE!</v>
      </c>
      <c r="O156" s="186" t="e">
        <f t="shared" ca="1" si="89"/>
        <v>#VALUE!</v>
      </c>
      <c r="P156" s="186" t="e">
        <f t="shared" ca="1" si="89"/>
        <v>#VALUE!</v>
      </c>
      <c r="Q156" s="186" t="e">
        <f t="shared" ca="1" si="89"/>
        <v>#VALUE!</v>
      </c>
      <c r="R156" s="186" t="e">
        <f t="shared" ca="1" si="89"/>
        <v>#VALUE!</v>
      </c>
      <c r="S156" s="186" t="e">
        <f t="shared" ca="1" si="89"/>
        <v>#VALUE!</v>
      </c>
      <c r="T156" s="186" t="e">
        <f t="shared" ca="1" si="89"/>
        <v>#VALUE!</v>
      </c>
      <c r="U156" s="186" t="e">
        <f t="shared" ca="1" si="89"/>
        <v>#VALUE!</v>
      </c>
      <c r="V156" s="186" t="e">
        <f t="shared" ca="1" si="89"/>
        <v>#VALUE!</v>
      </c>
      <c r="W156" s="186" t="e">
        <f t="shared" ca="1" si="89"/>
        <v>#VALUE!</v>
      </c>
      <c r="X156" s="186" t="e">
        <f t="shared" ca="1" si="89"/>
        <v>#VALUE!</v>
      </c>
      <c r="Y156" s="186" t="e">
        <f t="shared" ca="1" si="89"/>
        <v>#VALUE!</v>
      </c>
      <c r="Z156" s="186" t="e">
        <f t="shared" ca="1" si="89"/>
        <v>#VALUE!</v>
      </c>
      <c r="AA156" s="186" t="e">
        <f t="shared" ca="1" si="89"/>
        <v>#VALUE!</v>
      </c>
      <c r="AB156" s="186" t="e">
        <f t="shared" ca="1" si="89"/>
        <v>#VALUE!</v>
      </c>
      <c r="AC156" s="186" t="e">
        <f t="shared" ca="1" si="89"/>
        <v>#VALUE!</v>
      </c>
      <c r="AD156" s="186" t="e">
        <f t="shared" ca="1" si="89"/>
        <v>#VALUE!</v>
      </c>
      <c r="AE156" s="186" t="e">
        <f t="shared" ca="1" si="89"/>
        <v>#VALUE!</v>
      </c>
      <c r="AF156" s="186" t="e">
        <f t="shared" ca="1" si="89"/>
        <v>#VALUE!</v>
      </c>
      <c r="AG156" s="174"/>
    </row>
    <row r="157" spans="2:33">
      <c r="B157" s="195" t="s">
        <v>160</v>
      </c>
      <c r="C157" s="196">
        <f t="shared" ref="C157:L157" si="90">IF($C$2=FALSE,"-",C22)</f>
        <v>1913</v>
      </c>
      <c r="D157" s="196">
        <f t="shared" si="90"/>
        <v>2243</v>
      </c>
      <c r="E157" s="196">
        <f t="shared" si="90"/>
        <v>2168</v>
      </c>
      <c r="F157" s="196">
        <f t="shared" si="90"/>
        <v>4413</v>
      </c>
      <c r="G157" s="196">
        <f t="shared" si="90"/>
        <v>3910</v>
      </c>
      <c r="H157" s="196">
        <f t="shared" si="90"/>
        <v>3037</v>
      </c>
      <c r="I157" s="196">
        <f t="shared" si="90"/>
        <v>2670</v>
      </c>
      <c r="J157" s="196">
        <f t="shared" si="90"/>
        <v>4594</v>
      </c>
      <c r="K157" s="196">
        <f t="shared" si="90"/>
        <v>3358</v>
      </c>
      <c r="L157" s="196">
        <f t="shared" si="90"/>
        <v>2535</v>
      </c>
      <c r="M157" s="239" t="e">
        <f t="shared" ref="M157:AF157" ca="1" si="91">IF($C$2=FALSE,"-",M156*M139)</f>
        <v>#VALUE!</v>
      </c>
      <c r="N157" s="196" t="e">
        <f t="shared" ca="1" si="91"/>
        <v>#VALUE!</v>
      </c>
      <c r="O157" s="196" t="e">
        <f t="shared" ca="1" si="91"/>
        <v>#VALUE!</v>
      </c>
      <c r="P157" s="196" t="e">
        <f t="shared" ca="1" si="91"/>
        <v>#VALUE!</v>
      </c>
      <c r="Q157" s="196" t="e">
        <f t="shared" ca="1" si="91"/>
        <v>#VALUE!</v>
      </c>
      <c r="R157" s="196" t="e">
        <f t="shared" ca="1" si="91"/>
        <v>#VALUE!</v>
      </c>
      <c r="S157" s="196" t="e">
        <f t="shared" ca="1" si="91"/>
        <v>#VALUE!</v>
      </c>
      <c r="T157" s="196" t="e">
        <f t="shared" ca="1" si="91"/>
        <v>#VALUE!</v>
      </c>
      <c r="U157" s="196" t="e">
        <f t="shared" ca="1" si="91"/>
        <v>#VALUE!</v>
      </c>
      <c r="V157" s="196" t="e">
        <f t="shared" ca="1" si="91"/>
        <v>#VALUE!</v>
      </c>
      <c r="W157" s="196" t="e">
        <f t="shared" ca="1" si="91"/>
        <v>#VALUE!</v>
      </c>
      <c r="X157" s="196" t="e">
        <f t="shared" ca="1" si="91"/>
        <v>#VALUE!</v>
      </c>
      <c r="Y157" s="196" t="e">
        <f t="shared" ca="1" si="91"/>
        <v>#VALUE!</v>
      </c>
      <c r="Z157" s="196" t="e">
        <f t="shared" ca="1" si="91"/>
        <v>#VALUE!</v>
      </c>
      <c r="AA157" s="196" t="e">
        <f t="shared" ca="1" si="91"/>
        <v>#VALUE!</v>
      </c>
      <c r="AB157" s="196" t="e">
        <f t="shared" ca="1" si="91"/>
        <v>#VALUE!</v>
      </c>
      <c r="AC157" s="196" t="e">
        <f t="shared" ca="1" si="91"/>
        <v>#VALUE!</v>
      </c>
      <c r="AD157" s="196" t="e">
        <f t="shared" ca="1" si="91"/>
        <v>#VALUE!</v>
      </c>
      <c r="AE157" s="196" t="e">
        <f t="shared" ca="1" si="91"/>
        <v>#VALUE!</v>
      </c>
      <c r="AF157" s="196" t="e">
        <f t="shared" ca="1" si="91"/>
        <v>#VALUE!</v>
      </c>
      <c r="AG157" s="174"/>
    </row>
    <row r="158" spans="2:33">
      <c r="B158" s="195" t="s">
        <v>162</v>
      </c>
      <c r="C158" s="196">
        <f t="shared" ref="C158:L158" si="92">IF($C$2=FALSE,"-",C24)</f>
        <v>0</v>
      </c>
      <c r="D158" s="196">
        <f t="shared" si="92"/>
        <v>0</v>
      </c>
      <c r="E158" s="196">
        <f t="shared" si="92"/>
        <v>0</v>
      </c>
      <c r="F158" s="196">
        <f t="shared" si="92"/>
        <v>0</v>
      </c>
      <c r="G158" s="196">
        <f t="shared" si="92"/>
        <v>0</v>
      </c>
      <c r="H158" s="196">
        <f t="shared" si="92"/>
        <v>0</v>
      </c>
      <c r="I158" s="196">
        <f t="shared" si="92"/>
        <v>0</v>
      </c>
      <c r="J158" s="196">
        <f t="shared" si="92"/>
        <v>0</v>
      </c>
      <c r="K158" s="196">
        <f t="shared" si="92"/>
        <v>0</v>
      </c>
      <c r="L158" s="196">
        <f t="shared" si="92"/>
        <v>0</v>
      </c>
      <c r="M158" s="239">
        <f t="shared" ref="M158:AF158" si="93">IF($C$2=FALSE,"-",M$147*M124)</f>
        <v>1208.3655216266718</v>
      </c>
      <c r="N158" s="196">
        <f t="shared" si="93"/>
        <v>1377.900361290659</v>
      </c>
      <c r="O158" s="196">
        <f t="shared" si="93"/>
        <v>1571.2211012848725</v>
      </c>
      <c r="P158" s="196">
        <f t="shared" si="93"/>
        <v>1791.6649262000478</v>
      </c>
      <c r="Q158" s="196">
        <f t="shared" si="93"/>
        <v>2043.0372308202711</v>
      </c>
      <c r="R158" s="196">
        <f t="shared" si="93"/>
        <v>2329.6773104614067</v>
      </c>
      <c r="S158" s="196">
        <f t="shared" si="93"/>
        <v>2656.5332677269007</v>
      </c>
      <c r="T158" s="196">
        <f t="shared" si="93"/>
        <v>3029.2474287531477</v>
      </c>
      <c r="U158" s="196">
        <f t="shared" si="93"/>
        <v>3454.2537434358651</v>
      </c>
      <c r="V158" s="196">
        <f t="shared" si="93"/>
        <v>3938.888851001484</v>
      </c>
      <c r="W158" s="196">
        <f t="shared" si="93"/>
        <v>4491.5187281845538</v>
      </c>
      <c r="X158" s="196">
        <f t="shared" si="93"/>
        <v>5121.6831062656938</v>
      </c>
      <c r="Y158" s="196">
        <f t="shared" si="93"/>
        <v>5840.2601499582497</v>
      </c>
      <c r="Z158" s="196">
        <f t="shared" si="93"/>
        <v>6659.6542409004178</v>
      </c>
      <c r="AA158" s="196">
        <f t="shared" si="93"/>
        <v>7594.0101073511223</v>
      </c>
      <c r="AB158" s="196">
        <f t="shared" si="93"/>
        <v>8659.4569964872335</v>
      </c>
      <c r="AC158" s="196">
        <f t="shared" si="93"/>
        <v>9874.3871043078889</v>
      </c>
      <c r="AD158" s="196">
        <f t="shared" si="93"/>
        <v>11259.773069520974</v>
      </c>
      <c r="AE158" s="196">
        <f t="shared" si="93"/>
        <v>12839.53001212587</v>
      </c>
      <c r="AF158" s="196">
        <f t="shared" si="93"/>
        <v>14640.928366355993</v>
      </c>
      <c r="AG158" s="174"/>
    </row>
    <row r="159" spans="2:33">
      <c r="B159" s="185" t="s">
        <v>163</v>
      </c>
      <c r="C159" s="186">
        <f t="shared" ref="C159:AF159" si="94">IF($C$2=FALSE,"-",C156-C157-C158)</f>
        <v>5987</v>
      </c>
      <c r="D159" s="186">
        <f t="shared" si="94"/>
        <v>7308</v>
      </c>
      <c r="E159" s="186">
        <f t="shared" si="94"/>
        <v>6623</v>
      </c>
      <c r="F159" s="186">
        <f t="shared" si="94"/>
        <v>13064</v>
      </c>
      <c r="G159" s="186">
        <f t="shared" si="94"/>
        <v>11622</v>
      </c>
      <c r="H159" s="186">
        <f t="shared" si="94"/>
        <v>8824</v>
      </c>
      <c r="I159" s="186">
        <f t="shared" si="94"/>
        <v>8223</v>
      </c>
      <c r="J159" s="186">
        <f t="shared" si="94"/>
        <v>13078</v>
      </c>
      <c r="K159" s="186">
        <f t="shared" si="94"/>
        <v>9547</v>
      </c>
      <c r="L159" s="186">
        <f t="shared" si="94"/>
        <v>6900</v>
      </c>
      <c r="M159" s="240" t="e">
        <f ca="1">IF($C$2=FALSE,"-",M156-M157-M158)</f>
        <v>#VALUE!</v>
      </c>
      <c r="N159" s="186" t="e">
        <f t="shared" ca="1" si="94"/>
        <v>#VALUE!</v>
      </c>
      <c r="O159" s="186" t="e">
        <f t="shared" ca="1" si="94"/>
        <v>#VALUE!</v>
      </c>
      <c r="P159" s="186" t="e">
        <f t="shared" ca="1" si="94"/>
        <v>#VALUE!</v>
      </c>
      <c r="Q159" s="186" t="e">
        <f t="shared" ca="1" si="94"/>
        <v>#VALUE!</v>
      </c>
      <c r="R159" s="186" t="e">
        <f t="shared" ca="1" si="94"/>
        <v>#VALUE!</v>
      </c>
      <c r="S159" s="186" t="e">
        <f t="shared" ca="1" si="94"/>
        <v>#VALUE!</v>
      </c>
      <c r="T159" s="186" t="e">
        <f t="shared" ca="1" si="94"/>
        <v>#VALUE!</v>
      </c>
      <c r="U159" s="186" t="e">
        <f t="shared" ca="1" si="94"/>
        <v>#VALUE!</v>
      </c>
      <c r="V159" s="186" t="e">
        <f t="shared" ca="1" si="94"/>
        <v>#VALUE!</v>
      </c>
      <c r="W159" s="186" t="e">
        <f t="shared" ca="1" si="94"/>
        <v>#VALUE!</v>
      </c>
      <c r="X159" s="186" t="e">
        <f t="shared" ca="1" si="94"/>
        <v>#VALUE!</v>
      </c>
      <c r="Y159" s="186" t="e">
        <f t="shared" ca="1" si="94"/>
        <v>#VALUE!</v>
      </c>
      <c r="Z159" s="186" t="e">
        <f t="shared" ca="1" si="94"/>
        <v>#VALUE!</v>
      </c>
      <c r="AA159" s="186" t="e">
        <f t="shared" ca="1" si="94"/>
        <v>#VALUE!</v>
      </c>
      <c r="AB159" s="186" t="e">
        <f t="shared" ca="1" si="94"/>
        <v>#VALUE!</v>
      </c>
      <c r="AC159" s="186" t="e">
        <f t="shared" ca="1" si="94"/>
        <v>#VALUE!</v>
      </c>
      <c r="AD159" s="186" t="e">
        <f t="shared" ca="1" si="94"/>
        <v>#VALUE!</v>
      </c>
      <c r="AE159" s="186" t="e">
        <f t="shared" ca="1" si="94"/>
        <v>#VALUE!</v>
      </c>
      <c r="AF159" s="186" t="e">
        <f t="shared" ca="1" si="94"/>
        <v>#VALUE!</v>
      </c>
      <c r="AG159" s="174"/>
    </row>
    <row r="160" spans="2:33">
      <c r="B160" s="195" t="s">
        <v>164</v>
      </c>
      <c r="C160" s="196">
        <f t="shared" ref="C160:AF160" si="95">IF($C$2=FALSE,"-",C154+C151)</f>
        <v>8334</v>
      </c>
      <c r="D160" s="196">
        <f t="shared" si="95"/>
        <v>10032</v>
      </c>
      <c r="E160" s="196">
        <f t="shared" si="95"/>
        <v>9334</v>
      </c>
      <c r="F160" s="196">
        <f t="shared" si="95"/>
        <v>18198</v>
      </c>
      <c r="G160" s="196">
        <f t="shared" si="95"/>
        <v>16272</v>
      </c>
      <c r="H160" s="196">
        <f t="shared" si="95"/>
        <v>12696</v>
      </c>
      <c r="I160" s="196">
        <f t="shared" si="95"/>
        <v>11874</v>
      </c>
      <c r="J160" s="196">
        <f t="shared" si="95"/>
        <v>19260</v>
      </c>
      <c r="K160" s="196">
        <f t="shared" si="95"/>
        <v>14597</v>
      </c>
      <c r="L160" s="196">
        <f t="shared" si="95"/>
        <v>9488</v>
      </c>
      <c r="M160" s="239">
        <f t="shared" si="95"/>
        <v>10086.581569407226</v>
      </c>
      <c r="N160" s="196">
        <f t="shared" si="95"/>
        <v>11501.738621244645</v>
      </c>
      <c r="O160" s="196">
        <f t="shared" si="95"/>
        <v>13115.443562432334</v>
      </c>
      <c r="P160" s="196">
        <f t="shared" si="95"/>
        <v>14955.552851950781</v>
      </c>
      <c r="Q160" s="196">
        <f t="shared" si="95"/>
        <v>17053.831236647286</v>
      </c>
      <c r="R160" s="196">
        <f t="shared" si="95"/>
        <v>19446.500087765788</v>
      </c>
      <c r="S160" s="196">
        <f t="shared" si="95"/>
        <v>22174.862669616796</v>
      </c>
      <c r="T160" s="196">
        <f t="shared" si="95"/>
        <v>25286.017134040441</v>
      </c>
      <c r="U160" s="196">
        <f t="shared" si="95"/>
        <v>28833.669548675309</v>
      </c>
      <c r="V160" s="196">
        <f t="shared" si="95"/>
        <v>32879.060993871899</v>
      </c>
      <c r="W160" s="196">
        <f t="shared" si="95"/>
        <v>37492.024732190715</v>
      </c>
      <c r="X160" s="196">
        <f t="shared" si="95"/>
        <v>42752.19169979306</v>
      </c>
      <c r="Y160" s="196">
        <f t="shared" si="95"/>
        <v>48750.365129428319</v>
      </c>
      <c r="Z160" s="196">
        <f t="shared" si="95"/>
        <v>55590.08803434248</v>
      </c>
      <c r="AA160" s="196">
        <f t="shared" si="95"/>
        <v>63389.43061167968</v>
      </c>
      <c r="AB160" s="196">
        <f t="shared" si="95"/>
        <v>72283.028420292758</v>
      </c>
      <c r="AC160" s="196">
        <f t="shared" si="95"/>
        <v>82424.406516851683</v>
      </c>
      <c r="AD160" s="196">
        <f t="shared" si="95"/>
        <v>93988.629670473762</v>
      </c>
      <c r="AE160" s="196">
        <f t="shared" si="95"/>
        <v>107175.32440500343</v>
      </c>
      <c r="AF160" s="196">
        <f t="shared" si="95"/>
        <v>122212.12503671805</v>
      </c>
      <c r="AG160" s="174"/>
    </row>
    <row r="161" spans="2:33">
      <c r="B161" s="195" t="s">
        <v>233</v>
      </c>
      <c r="C161" s="196">
        <f>IF($C$2=FALSE,"-",C85)</f>
        <v>0</v>
      </c>
      <c r="D161" s="196">
        <f t="shared" ref="D161:L161" si="96">IF($C$2=FALSE,"-",D85)</f>
        <v>0</v>
      </c>
      <c r="E161" s="196">
        <f t="shared" si="96"/>
        <v>0</v>
      </c>
      <c r="F161" s="196">
        <f t="shared" si="96"/>
        <v>0</v>
      </c>
      <c r="G161" s="196">
        <f t="shared" si="96"/>
        <v>0</v>
      </c>
      <c r="H161" s="196">
        <f t="shared" si="96"/>
        <v>0</v>
      </c>
      <c r="I161" s="196">
        <f t="shared" si="96"/>
        <v>2488</v>
      </c>
      <c r="J161" s="196">
        <f t="shared" si="96"/>
        <v>2493</v>
      </c>
      <c r="K161" s="196">
        <f t="shared" si="96"/>
        <v>4984</v>
      </c>
      <c r="L161" s="196">
        <f t="shared" si="96"/>
        <v>7795</v>
      </c>
      <c r="M161" s="239" t="e">
        <f t="shared" ref="M161:AF161" ca="1" si="97">IF($C$2=FALSE,"-",M159*M143)</f>
        <v>#VALUE!</v>
      </c>
      <c r="N161" s="196" t="e">
        <f t="shared" ca="1" si="97"/>
        <v>#VALUE!</v>
      </c>
      <c r="O161" s="196" t="e">
        <f t="shared" ca="1" si="97"/>
        <v>#VALUE!</v>
      </c>
      <c r="P161" s="196" t="e">
        <f t="shared" ca="1" si="97"/>
        <v>#VALUE!</v>
      </c>
      <c r="Q161" s="196" t="e">
        <f t="shared" ca="1" si="97"/>
        <v>#VALUE!</v>
      </c>
      <c r="R161" s="196" t="e">
        <f t="shared" ca="1" si="97"/>
        <v>#VALUE!</v>
      </c>
      <c r="S161" s="196" t="e">
        <f t="shared" ca="1" si="97"/>
        <v>#VALUE!</v>
      </c>
      <c r="T161" s="196" t="e">
        <f t="shared" ca="1" si="97"/>
        <v>#VALUE!</v>
      </c>
      <c r="U161" s="196" t="e">
        <f t="shared" ca="1" si="97"/>
        <v>#VALUE!</v>
      </c>
      <c r="V161" s="196" t="e">
        <f t="shared" ca="1" si="97"/>
        <v>#VALUE!</v>
      </c>
      <c r="W161" s="196" t="e">
        <f t="shared" ca="1" si="97"/>
        <v>#VALUE!</v>
      </c>
      <c r="X161" s="196" t="e">
        <f t="shared" ca="1" si="97"/>
        <v>#VALUE!</v>
      </c>
      <c r="Y161" s="196" t="e">
        <f t="shared" ca="1" si="97"/>
        <v>#VALUE!</v>
      </c>
      <c r="Z161" s="196" t="e">
        <f t="shared" ca="1" si="97"/>
        <v>#VALUE!</v>
      </c>
      <c r="AA161" s="196" t="e">
        <f t="shared" ca="1" si="97"/>
        <v>#VALUE!</v>
      </c>
      <c r="AB161" s="196" t="e">
        <f t="shared" ca="1" si="97"/>
        <v>#VALUE!</v>
      </c>
      <c r="AC161" s="196" t="e">
        <f t="shared" ca="1" si="97"/>
        <v>#VALUE!</v>
      </c>
      <c r="AD161" s="196" t="e">
        <f t="shared" ca="1" si="97"/>
        <v>#VALUE!</v>
      </c>
      <c r="AE161" s="196" t="e">
        <f t="shared" ca="1" si="97"/>
        <v>#VALUE!</v>
      </c>
      <c r="AF161" s="196" t="e">
        <f t="shared" ca="1" si="97"/>
        <v>#VALUE!</v>
      </c>
      <c r="AG161" s="174"/>
    </row>
    <row r="162" spans="2:33">
      <c r="B162" s="185" t="s">
        <v>234</v>
      </c>
      <c r="C162" s="186">
        <f t="shared" ref="C162:AF162" si="98">IF($C$2=FALSE,"-",C159-C161)</f>
        <v>5987</v>
      </c>
      <c r="D162" s="186">
        <f t="shared" si="98"/>
        <v>7308</v>
      </c>
      <c r="E162" s="186">
        <f t="shared" si="98"/>
        <v>6623</v>
      </c>
      <c r="F162" s="186">
        <f t="shared" si="98"/>
        <v>13064</v>
      </c>
      <c r="G162" s="186">
        <f t="shared" si="98"/>
        <v>11622</v>
      </c>
      <c r="H162" s="186">
        <f t="shared" si="98"/>
        <v>8824</v>
      </c>
      <c r="I162" s="186">
        <f t="shared" si="98"/>
        <v>5735</v>
      </c>
      <c r="J162" s="186">
        <f t="shared" si="98"/>
        <v>10585</v>
      </c>
      <c r="K162" s="186">
        <f t="shared" si="98"/>
        <v>4563</v>
      </c>
      <c r="L162" s="186">
        <f t="shared" si="98"/>
        <v>-895</v>
      </c>
      <c r="M162" s="240" t="e">
        <f ca="1">IF($C$2=FALSE,"-",M159-M161)</f>
        <v>#VALUE!</v>
      </c>
      <c r="N162" s="186" t="e">
        <f t="shared" ca="1" si="98"/>
        <v>#VALUE!</v>
      </c>
      <c r="O162" s="186" t="e">
        <f t="shared" ca="1" si="98"/>
        <v>#VALUE!</v>
      </c>
      <c r="P162" s="186" t="e">
        <f t="shared" ca="1" si="98"/>
        <v>#VALUE!</v>
      </c>
      <c r="Q162" s="186" t="e">
        <f t="shared" ca="1" si="98"/>
        <v>#VALUE!</v>
      </c>
      <c r="R162" s="186" t="e">
        <f t="shared" ca="1" si="98"/>
        <v>#VALUE!</v>
      </c>
      <c r="S162" s="186" t="e">
        <f t="shared" ca="1" si="98"/>
        <v>#VALUE!</v>
      </c>
      <c r="T162" s="186" t="e">
        <f t="shared" ca="1" si="98"/>
        <v>#VALUE!</v>
      </c>
      <c r="U162" s="186" t="e">
        <f t="shared" ca="1" si="98"/>
        <v>#VALUE!</v>
      </c>
      <c r="V162" s="186" t="e">
        <f t="shared" ca="1" si="98"/>
        <v>#VALUE!</v>
      </c>
      <c r="W162" s="186" t="e">
        <f t="shared" ca="1" si="98"/>
        <v>#VALUE!</v>
      </c>
      <c r="X162" s="186" t="e">
        <f t="shared" ca="1" si="98"/>
        <v>#VALUE!</v>
      </c>
      <c r="Y162" s="186" t="e">
        <f t="shared" ca="1" si="98"/>
        <v>#VALUE!</v>
      </c>
      <c r="Z162" s="186" t="e">
        <f t="shared" ca="1" si="98"/>
        <v>#VALUE!</v>
      </c>
      <c r="AA162" s="186" t="e">
        <f t="shared" ca="1" si="98"/>
        <v>#VALUE!</v>
      </c>
      <c r="AB162" s="186" t="e">
        <f t="shared" ca="1" si="98"/>
        <v>#VALUE!</v>
      </c>
      <c r="AC162" s="186" t="e">
        <f t="shared" ca="1" si="98"/>
        <v>#VALUE!</v>
      </c>
      <c r="AD162" s="186" t="e">
        <f t="shared" ca="1" si="98"/>
        <v>#VALUE!</v>
      </c>
      <c r="AE162" s="186" t="e">
        <f t="shared" ca="1" si="98"/>
        <v>#VALUE!</v>
      </c>
      <c r="AF162" s="186" t="e">
        <f t="shared" ca="1" si="98"/>
        <v>#VALUE!</v>
      </c>
      <c r="AG162" s="174"/>
    </row>
    <row r="163" spans="2:33">
      <c r="B163" s="195"/>
      <c r="C163" s="196"/>
      <c r="D163" s="196"/>
      <c r="E163" s="196"/>
      <c r="F163" s="196"/>
      <c r="G163" s="196"/>
      <c r="H163" s="196"/>
      <c r="I163" s="196"/>
      <c r="J163" s="196"/>
      <c r="K163" s="196"/>
      <c r="L163" s="196"/>
      <c r="M163" s="196"/>
      <c r="N163" s="196"/>
      <c r="O163" s="196"/>
      <c r="P163" s="196"/>
      <c r="Q163" s="196"/>
      <c r="R163" s="196"/>
      <c r="S163" s="196"/>
      <c r="T163" s="196"/>
      <c r="U163" s="196"/>
      <c r="V163" s="196"/>
      <c r="W163" s="196"/>
      <c r="X163" s="196"/>
      <c r="Y163" s="196"/>
      <c r="Z163" s="196"/>
      <c r="AA163" s="196"/>
      <c r="AB163" s="196"/>
      <c r="AC163" s="196"/>
      <c r="AD163" s="196"/>
      <c r="AE163" s="196"/>
      <c r="AF163" s="196"/>
      <c r="AG163" s="174"/>
    </row>
    <row r="164" spans="2:33">
      <c r="B164" s="204" t="s">
        <v>235</v>
      </c>
      <c r="C164" s="175">
        <f t="shared" ref="C164:AF164" si="99">IF($C$2=FALSE,"-",C145)</f>
        <v>2004</v>
      </c>
      <c r="D164" s="175">
        <f t="shared" si="99"/>
        <v>2005</v>
      </c>
      <c r="E164" s="175">
        <f t="shared" si="99"/>
        <v>2006</v>
      </c>
      <c r="F164" s="175">
        <f t="shared" si="99"/>
        <v>2007</v>
      </c>
      <c r="G164" s="175">
        <f t="shared" si="99"/>
        <v>2008</v>
      </c>
      <c r="H164" s="175">
        <f t="shared" si="99"/>
        <v>2009</v>
      </c>
      <c r="I164" s="175">
        <f t="shared" si="99"/>
        <v>2010</v>
      </c>
      <c r="J164" s="175">
        <f t="shared" si="99"/>
        <v>2011</v>
      </c>
      <c r="K164" s="175">
        <f t="shared" si="99"/>
        <v>2012</v>
      </c>
      <c r="L164" s="175">
        <f t="shared" si="99"/>
        <v>2013</v>
      </c>
      <c r="M164" s="230">
        <f t="shared" si="99"/>
        <v>2014</v>
      </c>
      <c r="N164" s="230">
        <f t="shared" si="99"/>
        <v>2015</v>
      </c>
      <c r="O164" s="230">
        <f t="shared" si="99"/>
        <v>2016</v>
      </c>
      <c r="P164" s="230">
        <f t="shared" si="99"/>
        <v>2017</v>
      </c>
      <c r="Q164" s="230">
        <f t="shared" si="99"/>
        <v>2018</v>
      </c>
      <c r="R164" s="230">
        <f t="shared" si="99"/>
        <v>2019</v>
      </c>
      <c r="S164" s="230">
        <f t="shared" si="99"/>
        <v>2020</v>
      </c>
      <c r="T164" s="230">
        <f t="shared" si="99"/>
        <v>2021</v>
      </c>
      <c r="U164" s="230">
        <f t="shared" si="99"/>
        <v>2022</v>
      </c>
      <c r="V164" s="230">
        <f t="shared" si="99"/>
        <v>2023</v>
      </c>
      <c r="W164" s="230">
        <f t="shared" si="99"/>
        <v>2024</v>
      </c>
      <c r="X164" s="230">
        <f t="shared" si="99"/>
        <v>2025</v>
      </c>
      <c r="Y164" s="230">
        <f t="shared" si="99"/>
        <v>2026</v>
      </c>
      <c r="Z164" s="230">
        <f t="shared" si="99"/>
        <v>2027</v>
      </c>
      <c r="AA164" s="230">
        <f t="shared" si="99"/>
        <v>2028</v>
      </c>
      <c r="AB164" s="230">
        <f t="shared" si="99"/>
        <v>2029</v>
      </c>
      <c r="AC164" s="230">
        <f t="shared" si="99"/>
        <v>2030</v>
      </c>
      <c r="AD164" s="230">
        <f t="shared" si="99"/>
        <v>2031</v>
      </c>
      <c r="AE164" s="230">
        <f t="shared" si="99"/>
        <v>2032</v>
      </c>
      <c r="AF164" s="230">
        <f t="shared" si="99"/>
        <v>2033</v>
      </c>
      <c r="AG164" s="174"/>
    </row>
    <row r="165" spans="2:33">
      <c r="B165" s="195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  <c r="S165" s="196"/>
      <c r="T165" s="196"/>
      <c r="U165" s="196"/>
      <c r="V165" s="196"/>
      <c r="W165" s="196"/>
      <c r="X165" s="196"/>
      <c r="Y165" s="196"/>
      <c r="Z165" s="196"/>
      <c r="AA165" s="196"/>
      <c r="AB165" s="196"/>
      <c r="AC165" s="196"/>
      <c r="AD165" s="196"/>
      <c r="AE165" s="196"/>
      <c r="AF165" s="196"/>
      <c r="AG165" s="174"/>
    </row>
    <row r="166" spans="2:33">
      <c r="B166" s="172" t="str">
        <f>"CIRCULAR BREAKER "&amp;IF($C$166=TRUE,"ON","OFF")</f>
        <v>CIRCULAR BREAKER ON</v>
      </c>
      <c r="C166" s="241" t="b">
        <v>1</v>
      </c>
      <c r="D166" s="196"/>
      <c r="E166" s="196"/>
      <c r="F166" s="196"/>
      <c r="G166" s="196"/>
      <c r="H166" s="196"/>
      <c r="I166" s="196"/>
      <c r="J166" s="196"/>
      <c r="K166" s="196"/>
      <c r="L166" s="196"/>
      <c r="M166" s="196"/>
      <c r="N166" s="196"/>
      <c r="O166" s="196"/>
      <c r="P166" s="196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  <c r="AD166" s="196"/>
      <c r="AE166" s="196"/>
      <c r="AF166" s="196"/>
      <c r="AG166" s="174"/>
    </row>
    <row r="167" spans="2:33">
      <c r="B167" s="195"/>
      <c r="C167" s="196"/>
      <c r="D167" s="196"/>
      <c r="E167" s="196"/>
      <c r="F167" s="196"/>
      <c r="G167" s="196"/>
      <c r="H167" s="196"/>
      <c r="I167" s="196"/>
      <c r="J167" s="196"/>
      <c r="K167" s="196"/>
      <c r="L167" s="196"/>
      <c r="M167" s="196"/>
      <c r="N167" s="196"/>
      <c r="O167" s="196"/>
      <c r="P167" s="196"/>
      <c r="Q167" s="196"/>
      <c r="R167" s="196"/>
      <c r="S167" s="196"/>
      <c r="T167" s="196"/>
      <c r="U167" s="196"/>
      <c r="V167" s="196"/>
      <c r="W167" s="196"/>
      <c r="X167" s="196"/>
      <c r="Y167" s="196"/>
      <c r="Z167" s="196"/>
      <c r="AA167" s="196"/>
      <c r="AB167" s="196"/>
      <c r="AC167" s="196"/>
      <c r="AD167" s="196"/>
      <c r="AE167" s="196"/>
      <c r="AF167" s="196"/>
      <c r="AG167" s="174"/>
    </row>
    <row r="168" spans="2:33">
      <c r="B168" s="199" t="s">
        <v>166</v>
      </c>
      <c r="C168" s="174"/>
      <c r="D168" s="242"/>
      <c r="E168" s="242"/>
      <c r="F168" s="242"/>
      <c r="G168" s="242"/>
      <c r="H168" s="242"/>
      <c r="I168" s="242"/>
      <c r="J168" s="242"/>
      <c r="K168" s="242"/>
      <c r="L168" s="242"/>
      <c r="M168" s="242"/>
      <c r="N168" s="242"/>
      <c r="O168" s="242"/>
      <c r="P168" s="242"/>
      <c r="Q168" s="242"/>
      <c r="R168" s="242"/>
      <c r="S168" s="242"/>
      <c r="T168" s="174"/>
      <c r="U168" s="174"/>
      <c r="V168" s="174"/>
      <c r="W168" s="174"/>
      <c r="X168" s="174"/>
      <c r="Y168" s="174"/>
      <c r="Z168" s="174"/>
      <c r="AA168" s="174"/>
      <c r="AB168" s="174"/>
      <c r="AC168" s="174"/>
      <c r="AD168" s="174"/>
      <c r="AE168" s="174"/>
      <c r="AF168" s="174"/>
      <c r="AG168" s="174"/>
    </row>
    <row r="169" spans="2:33">
      <c r="B169" s="178" t="s">
        <v>167</v>
      </c>
      <c r="C169" s="237">
        <f t="shared" ref="C169:L169" si="100">IF($C$2=FALSE,"-",C34)</f>
        <v>29234</v>
      </c>
      <c r="D169" s="237">
        <f t="shared" si="100"/>
        <v>28395</v>
      </c>
      <c r="E169" s="237">
        <f t="shared" si="100"/>
        <v>25952</v>
      </c>
      <c r="F169" s="237">
        <f t="shared" si="100"/>
        <v>30156</v>
      </c>
      <c r="G169" s="237">
        <f t="shared" si="100"/>
        <v>28538</v>
      </c>
      <c r="H169" s="237">
        <f t="shared" si="100"/>
        <v>27654</v>
      </c>
      <c r="I169" s="237">
        <f t="shared" si="100"/>
        <v>29129</v>
      </c>
      <c r="J169" s="237">
        <f t="shared" si="100"/>
        <v>39820</v>
      </c>
      <c r="K169" s="237">
        <f t="shared" si="100"/>
        <v>39137</v>
      </c>
      <c r="L169" s="237">
        <f t="shared" si="100"/>
        <v>42606</v>
      </c>
      <c r="M169" s="238" t="e">
        <f ca="1">IF($C$2=FALSE,"-",IF($C$166=TRUE,M205,0))</f>
        <v>#VALUE!</v>
      </c>
      <c r="N169" s="237" t="e">
        <f t="shared" ref="N169:AF169" ca="1" si="101">IF($C$2=FALSE,"-",IF($C$166=TRUE,N205,0))</f>
        <v>#VALUE!</v>
      </c>
      <c r="O169" s="237" t="e">
        <f t="shared" ca="1" si="101"/>
        <v>#VALUE!</v>
      </c>
      <c r="P169" s="237" t="e">
        <f t="shared" ca="1" si="101"/>
        <v>#VALUE!</v>
      </c>
      <c r="Q169" s="237" t="e">
        <f t="shared" ca="1" si="101"/>
        <v>#VALUE!</v>
      </c>
      <c r="R169" s="237" t="e">
        <f t="shared" ca="1" si="101"/>
        <v>#VALUE!</v>
      </c>
      <c r="S169" s="237" t="e">
        <f t="shared" ca="1" si="101"/>
        <v>#VALUE!</v>
      </c>
      <c r="T169" s="237" t="e">
        <f t="shared" ca="1" si="101"/>
        <v>#VALUE!</v>
      </c>
      <c r="U169" s="237" t="e">
        <f t="shared" ca="1" si="101"/>
        <v>#VALUE!</v>
      </c>
      <c r="V169" s="237" t="e">
        <f t="shared" ca="1" si="101"/>
        <v>#VALUE!</v>
      </c>
      <c r="W169" s="237" t="e">
        <f t="shared" ca="1" si="101"/>
        <v>#VALUE!</v>
      </c>
      <c r="X169" s="237" t="e">
        <f t="shared" ca="1" si="101"/>
        <v>#VALUE!</v>
      </c>
      <c r="Y169" s="237" t="e">
        <f t="shared" ca="1" si="101"/>
        <v>#VALUE!</v>
      </c>
      <c r="Z169" s="237" t="e">
        <f t="shared" ca="1" si="101"/>
        <v>#VALUE!</v>
      </c>
      <c r="AA169" s="237" t="e">
        <f t="shared" ca="1" si="101"/>
        <v>#VALUE!</v>
      </c>
      <c r="AB169" s="237" t="e">
        <f t="shared" ca="1" si="101"/>
        <v>#VALUE!</v>
      </c>
      <c r="AC169" s="237" t="e">
        <f t="shared" ca="1" si="101"/>
        <v>#VALUE!</v>
      </c>
      <c r="AD169" s="237" t="e">
        <f t="shared" ca="1" si="101"/>
        <v>#VALUE!</v>
      </c>
      <c r="AE169" s="237" t="e">
        <f t="shared" ca="1" si="101"/>
        <v>#VALUE!</v>
      </c>
      <c r="AF169" s="237" t="e">
        <f t="shared" ca="1" si="101"/>
        <v>#VALUE!</v>
      </c>
      <c r="AG169" s="174"/>
    </row>
    <row r="170" spans="2:33">
      <c r="B170" s="195" t="s">
        <v>168</v>
      </c>
      <c r="C170" s="196">
        <f t="shared" ref="C170:L170" si="102">IF($C$2=FALSE,"-",C36)</f>
        <v>11095</v>
      </c>
      <c r="D170" s="196">
        <f t="shared" si="102"/>
        <v>11471</v>
      </c>
      <c r="E170" s="196">
        <f t="shared" si="102"/>
        <v>11717</v>
      </c>
      <c r="F170" s="196">
        <f t="shared" si="102"/>
        <v>16484</v>
      </c>
      <c r="G170" s="196">
        <f t="shared" si="102"/>
        <v>13769</v>
      </c>
      <c r="H170" s="196">
        <f t="shared" si="102"/>
        <v>14298</v>
      </c>
      <c r="I170" s="196">
        <f t="shared" si="102"/>
        <v>18692</v>
      </c>
      <c r="J170" s="196">
        <f t="shared" si="102"/>
        <v>21534</v>
      </c>
      <c r="K170" s="196">
        <f t="shared" si="102"/>
        <v>13336</v>
      </c>
      <c r="L170" s="196">
        <f t="shared" si="102"/>
        <v>13453</v>
      </c>
      <c r="M170" s="239">
        <f t="shared" ref="M170:AF170" si="103">IF($C$2=FALSE,"-",M$147*M128)</f>
        <v>18631.758621015968</v>
      </c>
      <c r="N170" s="196">
        <f t="shared" si="103"/>
        <v>21245.8121949874</v>
      </c>
      <c r="O170" s="196">
        <f t="shared" si="103"/>
        <v>24226.619988277944</v>
      </c>
      <c r="P170" s="196">
        <f t="shared" si="103"/>
        <v>27625.637969016061</v>
      </c>
      <c r="Q170" s="196">
        <f t="shared" si="103"/>
        <v>31501.54142692644</v>
      </c>
      <c r="R170" s="196">
        <f t="shared" si="103"/>
        <v>35921.237851062273</v>
      </c>
      <c r="S170" s="196">
        <f t="shared" si="103"/>
        <v>40961.02191525315</v>
      </c>
      <c r="T170" s="196">
        <f t="shared" si="103"/>
        <v>46707.892509117199</v>
      </c>
      <c r="U170" s="196">
        <f t="shared" si="103"/>
        <v>53261.054549785236</v>
      </c>
      <c r="V170" s="196">
        <f t="shared" si="103"/>
        <v>60733.631499247764</v>
      </c>
      <c r="W170" s="196">
        <f t="shared" si="103"/>
        <v>69254.618149525413</v>
      </c>
      <c r="X170" s="196">
        <f t="shared" si="103"/>
        <v>78971.107385468611</v>
      </c>
      <c r="Y170" s="196">
        <f t="shared" si="103"/>
        <v>90050.829364510078</v>
      </c>
      <c r="Z170" s="196">
        <f t="shared" si="103"/>
        <v>102685.04694576775</v>
      </c>
      <c r="AA170" s="196">
        <f t="shared" si="103"/>
        <v>117091.85735062322</v>
      </c>
      <c r="AB170" s="196">
        <f t="shared" si="103"/>
        <v>133519.95704944056</v>
      </c>
      <c r="AC170" s="196">
        <f t="shared" si="103"/>
        <v>152252.93486549653</v>
      </c>
      <c r="AD170" s="196">
        <f t="shared" si="103"/>
        <v>173614.16740550293</v>
      </c>
      <c r="AE170" s="196">
        <f t="shared" si="103"/>
        <v>197972.40132371811</v>
      </c>
      <c r="AF170" s="196">
        <f t="shared" si="103"/>
        <v>225748.11878305866</v>
      </c>
      <c r="AG170" s="174"/>
    </row>
    <row r="171" spans="2:33">
      <c r="B171" s="195" t="s">
        <v>169</v>
      </c>
      <c r="C171" s="196">
        <f t="shared" ref="C171:L171" si="104">IF($C$2=FALSE,"-",C38)</f>
        <v>930</v>
      </c>
      <c r="D171" s="196">
        <f t="shared" si="104"/>
        <v>889</v>
      </c>
      <c r="E171" s="196">
        <f t="shared" si="104"/>
        <v>776</v>
      </c>
      <c r="F171" s="196">
        <f t="shared" si="104"/>
        <v>1236</v>
      </c>
      <c r="G171" s="196">
        <f t="shared" si="104"/>
        <v>1102</v>
      </c>
      <c r="H171" s="196">
        <f t="shared" si="104"/>
        <v>1122</v>
      </c>
      <c r="I171" s="196">
        <f t="shared" si="104"/>
        <v>791</v>
      </c>
      <c r="J171" s="196">
        <f t="shared" si="104"/>
        <v>1455</v>
      </c>
      <c r="K171" s="196">
        <f t="shared" si="104"/>
        <v>1245</v>
      </c>
      <c r="L171" s="196">
        <f t="shared" si="104"/>
        <v>0</v>
      </c>
      <c r="M171" s="239">
        <f t="shared" ref="M171:AF171" si="105">IF($C$2=FALSE,"-",M$147*M127)</f>
        <v>2750.2212431513854</v>
      </c>
      <c r="N171" s="196">
        <f t="shared" si="105"/>
        <v>3136.0799168335807</v>
      </c>
      <c r="O171" s="196">
        <f t="shared" si="105"/>
        <v>3576.0749318834178</v>
      </c>
      <c r="P171" s="196">
        <f t="shared" si="105"/>
        <v>4077.8016688289695</v>
      </c>
      <c r="Q171" s="196">
        <f t="shared" si="105"/>
        <v>4649.9211473587848</v>
      </c>
      <c r="R171" s="196">
        <f t="shared" si="105"/>
        <v>5302.3095365164245</v>
      </c>
      <c r="S171" s="196">
        <f t="shared" si="105"/>
        <v>6046.2286413184474</v>
      </c>
      <c r="T171" s="196">
        <f t="shared" si="105"/>
        <v>6894.5203088081316</v>
      </c>
      <c r="U171" s="196">
        <f t="shared" si="105"/>
        <v>7861.8281094646736</v>
      </c>
      <c r="V171" s="196">
        <f t="shared" si="105"/>
        <v>8964.8501207263544</v>
      </c>
      <c r="W171" s="196">
        <f t="shared" si="105"/>
        <v>10222.627176284039</v>
      </c>
      <c r="X171" s="196">
        <f t="shared" si="105"/>
        <v>11656.871557026538</v>
      </c>
      <c r="Y171" s="196">
        <f t="shared" si="105"/>
        <v>13292.341797640334</v>
      </c>
      <c r="Z171" s="196">
        <f t="shared" si="105"/>
        <v>15157.270078934096</v>
      </c>
      <c r="AA171" s="196">
        <f t="shared" si="105"/>
        <v>17283.849583715561</v>
      </c>
      <c r="AB171" s="196">
        <f t="shared" si="105"/>
        <v>19708.790229164555</v>
      </c>
      <c r="AC171" s="196">
        <f t="shared" si="105"/>
        <v>22473.95236899006</v>
      </c>
      <c r="AD171" s="196">
        <f t="shared" si="105"/>
        <v>25627.069404606675</v>
      </c>
      <c r="AE171" s="196">
        <f t="shared" si="105"/>
        <v>29222.571779351001</v>
      </c>
      <c r="AF171" s="196">
        <f t="shared" si="105"/>
        <v>33322.526579875557</v>
      </c>
      <c r="AG171" s="174"/>
    </row>
    <row r="172" spans="2:33">
      <c r="B172" s="195" t="s">
        <v>170</v>
      </c>
      <c r="C172" s="196">
        <f t="shared" ref="C172:L172" si="106">IF($C$2=FALSE,"-",C40)</f>
        <v>5738</v>
      </c>
      <c r="D172" s="196">
        <f t="shared" si="106"/>
        <v>6143</v>
      </c>
      <c r="E172" s="196">
        <f t="shared" si="106"/>
        <v>6543</v>
      </c>
      <c r="F172" s="196">
        <f t="shared" si="106"/>
        <v>6895</v>
      </c>
      <c r="G172" s="196">
        <f t="shared" si="106"/>
        <v>7303</v>
      </c>
      <c r="H172" s="196">
        <f t="shared" si="106"/>
        <v>8869</v>
      </c>
      <c r="I172" s="196">
        <f t="shared" si="106"/>
        <v>9041</v>
      </c>
      <c r="J172" s="196">
        <f t="shared" si="106"/>
        <v>9539</v>
      </c>
      <c r="K172" s="196">
        <f t="shared" si="106"/>
        <v>9619</v>
      </c>
      <c r="L172" s="196">
        <f t="shared" si="106"/>
        <v>10463</v>
      </c>
      <c r="M172" s="239">
        <f t="shared" ref="M172:AF172" si="107">IF($C$2=FALSE,"-",M$147*M129)</f>
        <v>10066.777001191869</v>
      </c>
      <c r="N172" s="196">
        <f t="shared" si="107"/>
        <v>11479.155453146293</v>
      </c>
      <c r="O172" s="196">
        <f t="shared" si="107"/>
        <v>13089.691954226966</v>
      </c>
      <c r="P172" s="196">
        <f t="shared" si="107"/>
        <v>14926.188268457678</v>
      </c>
      <c r="Q172" s="196">
        <f t="shared" si="107"/>
        <v>17020.346773974248</v>
      </c>
      <c r="R172" s="196">
        <f t="shared" si="107"/>
        <v>19408.317722919186</v>
      </c>
      <c r="S172" s="196">
        <f t="shared" si="107"/>
        <v>22131.323282423557</v>
      </c>
      <c r="T172" s="196">
        <f t="shared" si="107"/>
        <v>25236.36912913611</v>
      </c>
      <c r="U172" s="196">
        <f t="shared" si="107"/>
        <v>28777.055881146178</v>
      </c>
      <c r="V172" s="196">
        <f t="shared" si="107"/>
        <v>32814.50437458227</v>
      </c>
      <c r="W172" s="196">
        <f t="shared" si="107"/>
        <v>37418.410757403399</v>
      </c>
      <c r="X172" s="196">
        <f t="shared" si="107"/>
        <v>42668.249613859545</v>
      </c>
      <c r="Y172" s="196">
        <f t="shared" si="107"/>
        <v>48654.645888465893</v>
      </c>
      <c r="Z172" s="196">
        <f t="shared" si="107"/>
        <v>55480.939292224219</v>
      </c>
      <c r="AA172" s="196">
        <f t="shared" si="107"/>
        <v>63264.968196535054</v>
      </c>
      <c r="AB172" s="196">
        <f t="shared" si="107"/>
        <v>72141.103809133681</v>
      </c>
      <c r="AC172" s="196">
        <f t="shared" si="107"/>
        <v>82262.569746857756</v>
      </c>
      <c r="AD172" s="196">
        <f t="shared" si="107"/>
        <v>93804.087046695</v>
      </c>
      <c r="AE172" s="196">
        <f t="shared" si="107"/>
        <v>106964.89027441357</v>
      </c>
      <c r="AF172" s="196">
        <f t="shared" si="107"/>
        <v>121972.166796121</v>
      </c>
      <c r="AG172" s="174"/>
    </row>
    <row r="173" spans="2:33">
      <c r="B173" s="185" t="s">
        <v>171</v>
      </c>
      <c r="C173" s="186">
        <f t="shared" ref="C173:AF173" si="108">IF($C$2=FALSE,"-",C172+C171+C170+C169)</f>
        <v>46997</v>
      </c>
      <c r="D173" s="186">
        <f t="shared" si="108"/>
        <v>46898</v>
      </c>
      <c r="E173" s="186">
        <f t="shared" si="108"/>
        <v>44988</v>
      </c>
      <c r="F173" s="186">
        <f t="shared" si="108"/>
        <v>54771</v>
      </c>
      <c r="G173" s="186">
        <f t="shared" si="108"/>
        <v>50712</v>
      </c>
      <c r="H173" s="186">
        <f t="shared" si="108"/>
        <v>51943</v>
      </c>
      <c r="I173" s="186">
        <f t="shared" si="108"/>
        <v>57653</v>
      </c>
      <c r="J173" s="186">
        <f t="shared" si="108"/>
        <v>72348</v>
      </c>
      <c r="K173" s="186">
        <f t="shared" si="108"/>
        <v>63337</v>
      </c>
      <c r="L173" s="186">
        <f t="shared" si="108"/>
        <v>66522</v>
      </c>
      <c r="M173" s="240" t="e">
        <f t="shared" ca="1" si="108"/>
        <v>#VALUE!</v>
      </c>
      <c r="N173" s="186" t="e">
        <f t="shared" ca="1" si="108"/>
        <v>#VALUE!</v>
      </c>
      <c r="O173" s="186" t="e">
        <f t="shared" ca="1" si="108"/>
        <v>#VALUE!</v>
      </c>
      <c r="P173" s="186" t="e">
        <f t="shared" ca="1" si="108"/>
        <v>#VALUE!</v>
      </c>
      <c r="Q173" s="186" t="e">
        <f t="shared" ca="1" si="108"/>
        <v>#VALUE!</v>
      </c>
      <c r="R173" s="186" t="e">
        <f t="shared" ca="1" si="108"/>
        <v>#VALUE!</v>
      </c>
      <c r="S173" s="186" t="e">
        <f t="shared" ca="1" si="108"/>
        <v>#VALUE!</v>
      </c>
      <c r="T173" s="186" t="e">
        <f t="shared" ca="1" si="108"/>
        <v>#VALUE!</v>
      </c>
      <c r="U173" s="186" t="e">
        <f t="shared" ca="1" si="108"/>
        <v>#VALUE!</v>
      </c>
      <c r="V173" s="186" t="e">
        <f t="shared" ca="1" si="108"/>
        <v>#VALUE!</v>
      </c>
      <c r="W173" s="186" t="e">
        <f t="shared" ca="1" si="108"/>
        <v>#VALUE!</v>
      </c>
      <c r="X173" s="186" t="e">
        <f t="shared" ca="1" si="108"/>
        <v>#VALUE!</v>
      </c>
      <c r="Y173" s="186" t="e">
        <f t="shared" ca="1" si="108"/>
        <v>#VALUE!</v>
      </c>
      <c r="Z173" s="186" t="e">
        <f t="shared" ca="1" si="108"/>
        <v>#VALUE!</v>
      </c>
      <c r="AA173" s="186" t="e">
        <f t="shared" ca="1" si="108"/>
        <v>#VALUE!</v>
      </c>
      <c r="AB173" s="186" t="e">
        <f t="shared" ca="1" si="108"/>
        <v>#VALUE!</v>
      </c>
      <c r="AC173" s="186" t="e">
        <f t="shared" ca="1" si="108"/>
        <v>#VALUE!</v>
      </c>
      <c r="AD173" s="186" t="e">
        <f t="shared" ca="1" si="108"/>
        <v>#VALUE!</v>
      </c>
      <c r="AE173" s="186" t="e">
        <f t="shared" ca="1" si="108"/>
        <v>#VALUE!</v>
      </c>
      <c r="AF173" s="186" t="e">
        <f t="shared" ca="1" si="108"/>
        <v>#VALUE!</v>
      </c>
      <c r="AG173" s="174"/>
    </row>
    <row r="174" spans="2:33">
      <c r="B174" s="195" t="s">
        <v>172</v>
      </c>
      <c r="C174" s="196">
        <f t="shared" ref="C174:L174" si="109">IF($C$2=FALSE,"-",C43)</f>
        <v>9416</v>
      </c>
      <c r="D174" s="196">
        <f t="shared" si="109"/>
        <v>10348</v>
      </c>
      <c r="E174" s="196">
        <f t="shared" si="109"/>
        <v>11768</v>
      </c>
      <c r="F174" s="196">
        <f t="shared" si="109"/>
        <v>12340</v>
      </c>
      <c r="G174" s="196">
        <f t="shared" si="109"/>
        <v>13941</v>
      </c>
      <c r="H174" s="196">
        <f t="shared" si="109"/>
        <v>16205</v>
      </c>
      <c r="I174" s="196">
        <f t="shared" si="109"/>
        <v>21887</v>
      </c>
      <c r="J174" s="196">
        <f t="shared" si="109"/>
        <v>23214</v>
      </c>
      <c r="K174" s="196">
        <f t="shared" si="109"/>
        <v>24194</v>
      </c>
      <c r="L174" s="196">
        <f t="shared" si="109"/>
        <v>26889</v>
      </c>
      <c r="M174" s="239">
        <f t="shared" ref="M174:AF174" si="110">IF($C$2=FALSE,"-",M$147*M130)</f>
        <v>20348.330287149052</v>
      </c>
      <c r="N174" s="196">
        <f t="shared" si="110"/>
        <v>23203.220509453393</v>
      </c>
      <c r="O174" s="196">
        <f t="shared" si="110"/>
        <v>26458.654563433021</v>
      </c>
      <c r="P174" s="196">
        <f t="shared" si="110"/>
        <v>30170.829132182676</v>
      </c>
      <c r="Q174" s="196">
        <f t="shared" si="110"/>
        <v>34403.825347242215</v>
      </c>
      <c r="R174" s="196">
        <f t="shared" si="110"/>
        <v>39230.714984262617</v>
      </c>
      <c r="S174" s="196">
        <f t="shared" si="110"/>
        <v>44734.821858983087</v>
      </c>
      <c r="T174" s="196">
        <f t="shared" si="110"/>
        <v>51011.160198271507</v>
      </c>
      <c r="U174" s="196">
        <f t="shared" si="110"/>
        <v>58168.074815999084</v>
      </c>
      <c r="V174" s="196">
        <f t="shared" si="110"/>
        <v>66329.111407160584</v>
      </c>
      <c r="W174" s="196">
        <f t="shared" si="110"/>
        <v>75635.149246050467</v>
      </c>
      <c r="X174" s="196">
        <f t="shared" si="110"/>
        <v>86246.833104035089</v>
      </c>
      <c r="Y174" s="196">
        <f t="shared" si="110"/>
        <v>98347.346367716833</v>
      </c>
      <c r="Z174" s="196">
        <f t="shared" si="110"/>
        <v>112145.57322823195</v>
      </c>
      <c r="AA174" s="196">
        <f t="shared" si="110"/>
        <v>127879.70452873445</v>
      </c>
      <c r="AB174" s="196">
        <f t="shared" si="110"/>
        <v>145821.34951573465</v>
      </c>
      <c r="AC174" s="196">
        <f t="shared" si="110"/>
        <v>166280.22447308732</v>
      </c>
      <c r="AD174" s="196">
        <f t="shared" si="110"/>
        <v>189609.49917581768</v>
      </c>
      <c r="AE174" s="196">
        <f t="shared" si="110"/>
        <v>216211.89345653812</v>
      </c>
      <c r="AF174" s="196">
        <f t="shared" si="110"/>
        <v>246546.62912597085</v>
      </c>
      <c r="AG174" s="174"/>
    </row>
    <row r="175" spans="2:33">
      <c r="B175" s="195" t="s">
        <v>173</v>
      </c>
      <c r="C175" s="196">
        <f t="shared" ref="C175:L175" si="111">IF($C$2=FALSE,"-",C45)</f>
        <v>3175</v>
      </c>
      <c r="D175" s="196">
        <f t="shared" si="111"/>
        <v>3599</v>
      </c>
      <c r="E175" s="196">
        <f t="shared" si="111"/>
        <v>3991</v>
      </c>
      <c r="F175" s="196">
        <f t="shared" si="111"/>
        <v>4524</v>
      </c>
      <c r="G175" s="196">
        <f t="shared" si="111"/>
        <v>5094</v>
      </c>
      <c r="H175" s="196">
        <f t="shared" si="111"/>
        <v>5718</v>
      </c>
      <c r="I175" s="196">
        <f t="shared" si="111"/>
        <v>6435</v>
      </c>
      <c r="J175" s="196">
        <f t="shared" si="111"/>
        <v>7792</v>
      </c>
      <c r="K175" s="196">
        <f t="shared" si="111"/>
        <v>9168</v>
      </c>
      <c r="L175" s="196">
        <f t="shared" si="111"/>
        <v>-10562</v>
      </c>
      <c r="M175" s="239">
        <f t="shared" ref="M175:AF175" si="112">IF($C$2=FALSE,"-",M$174*M123)</f>
        <v>6087.6375077718867</v>
      </c>
      <c r="N175" s="196">
        <f t="shared" si="112"/>
        <v>6941.7388788729413</v>
      </c>
      <c r="O175" s="196">
        <f t="shared" si="112"/>
        <v>7915.6714901201767</v>
      </c>
      <c r="P175" s="196">
        <f t="shared" si="112"/>
        <v>9026.2477792415157</v>
      </c>
      <c r="Q175" s="196">
        <f t="shared" si="112"/>
        <v>10292.638985075597</v>
      </c>
      <c r="R175" s="196">
        <f t="shared" si="112"/>
        <v>11736.70608962611</v>
      </c>
      <c r="S175" s="196">
        <f t="shared" si="112"/>
        <v>13383.377191603195</v>
      </c>
      <c r="T175" s="196">
        <f t="shared" si="112"/>
        <v>15261.077825834062</v>
      </c>
      <c r="U175" s="196">
        <f t="shared" si="112"/>
        <v>17402.221656898913</v>
      </c>
      <c r="V175" s="196">
        <f t="shared" si="112"/>
        <v>19843.77001755383</v>
      </c>
      <c r="W175" s="196">
        <f t="shared" si="112"/>
        <v>22627.869950930122</v>
      </c>
      <c r="X175" s="196">
        <f t="shared" si="112"/>
        <v>25802.581770665169</v>
      </c>
      <c r="Y175" s="196">
        <f t="shared" si="112"/>
        <v>29422.708698416202</v>
      </c>
      <c r="Z175" s="196">
        <f t="shared" si="112"/>
        <v>33550.742900311699</v>
      </c>
      <c r="AA175" s="196">
        <f t="shared" si="112"/>
        <v>38257.944253222639</v>
      </c>
      <c r="AB175" s="196">
        <f t="shared" si="112"/>
        <v>43625.570462974552</v>
      </c>
      <c r="AC175" s="196">
        <f t="shared" si="112"/>
        <v>49746.2797693225</v>
      </c>
      <c r="AD175" s="196">
        <f t="shared" si="112"/>
        <v>56725.730451777155</v>
      </c>
      <c r="AE175" s="196">
        <f t="shared" si="112"/>
        <v>64684.404747629655</v>
      </c>
      <c r="AF175" s="196">
        <f t="shared" si="112"/>
        <v>73759.688667421855</v>
      </c>
      <c r="AG175" s="174"/>
    </row>
    <row r="176" spans="2:33">
      <c r="B176" s="201" t="s">
        <v>174</v>
      </c>
      <c r="C176" s="186">
        <f t="shared" ref="C176:AF176" si="113">IF($C$2=FALSE,"-",C174-C175)</f>
        <v>6241</v>
      </c>
      <c r="D176" s="186">
        <f t="shared" si="113"/>
        <v>6749</v>
      </c>
      <c r="E176" s="186">
        <f t="shared" si="113"/>
        <v>7777</v>
      </c>
      <c r="F176" s="186">
        <f t="shared" si="113"/>
        <v>7816</v>
      </c>
      <c r="G176" s="186">
        <f t="shared" si="113"/>
        <v>8847</v>
      </c>
      <c r="H176" s="186">
        <f t="shared" si="113"/>
        <v>10487</v>
      </c>
      <c r="I176" s="186">
        <f t="shared" si="113"/>
        <v>15452</v>
      </c>
      <c r="J176" s="186">
        <f t="shared" si="113"/>
        <v>15422</v>
      </c>
      <c r="K176" s="186">
        <f t="shared" si="113"/>
        <v>15026</v>
      </c>
      <c r="L176" s="186">
        <f t="shared" si="113"/>
        <v>37451</v>
      </c>
      <c r="M176" s="240">
        <f t="shared" si="113"/>
        <v>14260.692779377165</v>
      </c>
      <c r="N176" s="186">
        <f t="shared" si="113"/>
        <v>16261.481630580452</v>
      </c>
      <c r="O176" s="186">
        <f t="shared" si="113"/>
        <v>18542.983073312844</v>
      </c>
      <c r="P176" s="186">
        <f t="shared" si="113"/>
        <v>21144.581352941161</v>
      </c>
      <c r="Q176" s="186">
        <f t="shared" si="113"/>
        <v>24111.18636216662</v>
      </c>
      <c r="R176" s="186">
        <f t="shared" si="113"/>
        <v>27494.008894636507</v>
      </c>
      <c r="S176" s="186">
        <f t="shared" si="113"/>
        <v>31351.444667379892</v>
      </c>
      <c r="T176" s="186">
        <f t="shared" si="113"/>
        <v>35750.08237243745</v>
      </c>
      <c r="U176" s="186">
        <f t="shared" si="113"/>
        <v>40765.853159100167</v>
      </c>
      <c r="V176" s="186">
        <f t="shared" si="113"/>
        <v>46485.34138960675</v>
      </c>
      <c r="W176" s="186">
        <f t="shared" si="113"/>
        <v>53007.279295120345</v>
      </c>
      <c r="X176" s="186">
        <f t="shared" si="113"/>
        <v>60444.251333369917</v>
      </c>
      <c r="Y176" s="186">
        <f t="shared" si="113"/>
        <v>68924.637669300631</v>
      </c>
      <c r="Z176" s="186">
        <f t="shared" si="113"/>
        <v>78594.830327920252</v>
      </c>
      <c r="AA176" s="186">
        <f t="shared" si="113"/>
        <v>89621.760275511813</v>
      </c>
      <c r="AB176" s="186">
        <f t="shared" si="113"/>
        <v>102195.7790527601</v>
      </c>
      <c r="AC176" s="186">
        <f t="shared" si="113"/>
        <v>116533.94470376482</v>
      </c>
      <c r="AD176" s="186">
        <f t="shared" si="113"/>
        <v>132883.76872404054</v>
      </c>
      <c r="AE176" s="186">
        <f t="shared" si="113"/>
        <v>151527.48870890847</v>
      </c>
      <c r="AF176" s="186">
        <f t="shared" si="113"/>
        <v>172786.94045854901</v>
      </c>
      <c r="AG176" s="174"/>
    </row>
    <row r="177" spans="2:33">
      <c r="B177" s="195" t="s">
        <v>175</v>
      </c>
      <c r="C177" s="196">
        <f t="shared" ref="C177:L177" si="114">IF($C$2=FALSE,"-",C48)</f>
        <v>1248</v>
      </c>
      <c r="D177" s="196">
        <f t="shared" si="114"/>
        <v>1910</v>
      </c>
      <c r="E177" s="196">
        <f t="shared" si="114"/>
        <v>4432</v>
      </c>
      <c r="F177" s="196">
        <f t="shared" si="114"/>
        <v>4368</v>
      </c>
      <c r="G177" s="196">
        <f t="shared" si="114"/>
        <v>4745</v>
      </c>
      <c r="H177" s="196">
        <f t="shared" si="114"/>
        <v>5461</v>
      </c>
      <c r="I177" s="196">
        <f t="shared" si="114"/>
        <v>5359</v>
      </c>
      <c r="J177" s="196">
        <f t="shared" si="114"/>
        <v>5843</v>
      </c>
      <c r="K177" s="196">
        <f t="shared" si="114"/>
        <v>5536</v>
      </c>
      <c r="L177" s="196">
        <f t="shared" si="114"/>
        <v>1522</v>
      </c>
      <c r="M177" s="239">
        <f t="shared" ref="M177:AF177" si="115">IF($C$2=FALSE,"-",M$147*M137)</f>
        <v>5347.4708291245988</v>
      </c>
      <c r="N177" s="196">
        <f t="shared" si="115"/>
        <v>6097.7261065203556</v>
      </c>
      <c r="O177" s="196">
        <f t="shared" si="115"/>
        <v>6953.242917685403</v>
      </c>
      <c r="P177" s="196">
        <f t="shared" si="115"/>
        <v>7928.7895565928548</v>
      </c>
      <c r="Q177" s="196">
        <f t="shared" si="115"/>
        <v>9041.2063230005315</v>
      </c>
      <c r="R177" s="196">
        <f t="shared" si="115"/>
        <v>10309.696226846436</v>
      </c>
      <c r="S177" s="196">
        <f t="shared" si="115"/>
        <v>11756.156478749279</v>
      </c>
      <c r="T177" s="196">
        <f t="shared" si="115"/>
        <v>13405.556488943605</v>
      </c>
      <c r="U177" s="196">
        <f t="shared" si="115"/>
        <v>15286.368899827454</v>
      </c>
      <c r="V177" s="196">
        <f t="shared" si="115"/>
        <v>17431.06109278915</v>
      </c>
      <c r="W177" s="196">
        <f t="shared" si="115"/>
        <v>19876.655653912505</v>
      </c>
      <c r="X177" s="196">
        <f t="shared" si="115"/>
        <v>22665.369473557093</v>
      </c>
      <c r="Y177" s="196">
        <f t="shared" si="115"/>
        <v>25845.342512221556</v>
      </c>
      <c r="Z177" s="196">
        <f t="shared" si="115"/>
        <v>29471.468812955289</v>
      </c>
      <c r="AA177" s="196">
        <f t="shared" si="115"/>
        <v>33606.344105607212</v>
      </c>
      <c r="AB177" s="196">
        <f t="shared" si="115"/>
        <v>38321.346360857875</v>
      </c>
      <c r="AC177" s="196">
        <f t="shared" si="115"/>
        <v>43697.867947016945</v>
      </c>
      <c r="AD177" s="196">
        <f t="shared" si="115"/>
        <v>49828.720659599079</v>
      </c>
      <c r="AE177" s="196">
        <f t="shared" si="115"/>
        <v>56819.737877894622</v>
      </c>
      <c r="AF177" s="196">
        <f t="shared" si="115"/>
        <v>64791.601505641163</v>
      </c>
      <c r="AG177" s="174"/>
    </row>
    <row r="178" spans="2:33">
      <c r="B178" s="195" t="s">
        <v>176</v>
      </c>
      <c r="C178" s="196">
        <f t="shared" ref="C178:L178" si="116">IF($C$2=FALSE,"-",C50)</f>
        <v>40418</v>
      </c>
      <c r="D178" s="196">
        <f t="shared" si="116"/>
        <v>51201</v>
      </c>
      <c r="E178" s="196">
        <f t="shared" si="116"/>
        <v>59174</v>
      </c>
      <c r="F178" s="196">
        <f t="shared" si="116"/>
        <v>71726</v>
      </c>
      <c r="G178" s="196">
        <f t="shared" si="116"/>
        <v>86630</v>
      </c>
      <c r="H178" s="196">
        <f t="shared" si="116"/>
        <v>95005</v>
      </c>
      <c r="I178" s="196">
        <f t="shared" si="116"/>
        <v>97600</v>
      </c>
      <c r="J178" s="196">
        <f t="shared" si="116"/>
        <v>102475</v>
      </c>
      <c r="K178" s="196">
        <f t="shared" si="116"/>
        <v>110844</v>
      </c>
      <c r="L178" s="196">
        <f t="shared" si="116"/>
        <v>5421</v>
      </c>
      <c r="M178" s="239">
        <f t="shared" ref="M178:AF178" si="117">IF($C$2=FALSE,"-",M$147*M131)</f>
        <v>1611.1540288355625</v>
      </c>
      <c r="N178" s="196">
        <f t="shared" si="117"/>
        <v>1837.2004817208788</v>
      </c>
      <c r="O178" s="196">
        <f t="shared" si="117"/>
        <v>2094.9614683798304</v>
      </c>
      <c r="P178" s="196">
        <f t="shared" si="117"/>
        <v>2388.8865682667306</v>
      </c>
      <c r="Q178" s="196">
        <f t="shared" si="117"/>
        <v>2724.0496410936948</v>
      </c>
      <c r="R178" s="196">
        <f t="shared" si="117"/>
        <v>3106.2364139485426</v>
      </c>
      <c r="S178" s="196">
        <f t="shared" si="117"/>
        <v>3542.0443569692011</v>
      </c>
      <c r="T178" s="196">
        <f t="shared" si="117"/>
        <v>4038.9965716708639</v>
      </c>
      <c r="U178" s="196">
        <f t="shared" si="117"/>
        <v>4605.6716579144868</v>
      </c>
      <c r="V178" s="196">
        <f t="shared" si="117"/>
        <v>5251.8518013353123</v>
      </c>
      <c r="W178" s="196">
        <f t="shared" si="117"/>
        <v>5988.6916375794053</v>
      </c>
      <c r="X178" s="196">
        <f t="shared" si="117"/>
        <v>6828.9108083542587</v>
      </c>
      <c r="Y178" s="196">
        <f t="shared" si="117"/>
        <v>7787.0135332776663</v>
      </c>
      <c r="Z178" s="196">
        <f t="shared" si="117"/>
        <v>8879.5389878672249</v>
      </c>
      <c r="AA178" s="196">
        <f t="shared" si="117"/>
        <v>10125.346809801496</v>
      </c>
      <c r="AB178" s="196">
        <f t="shared" si="117"/>
        <v>11545.942661982977</v>
      </c>
      <c r="AC178" s="196">
        <f t="shared" si="117"/>
        <v>13165.849472410519</v>
      </c>
      <c r="AD178" s="196">
        <f t="shared" si="117"/>
        <v>15013.0307593613</v>
      </c>
      <c r="AE178" s="196">
        <f t="shared" si="117"/>
        <v>17119.373349501162</v>
      </c>
      <c r="AF178" s="196">
        <f t="shared" si="117"/>
        <v>19521.237821807994</v>
      </c>
      <c r="AG178" s="174"/>
    </row>
    <row r="179" spans="2:33">
      <c r="B179" s="185" t="s">
        <v>177</v>
      </c>
      <c r="C179" s="186">
        <f t="shared" ref="C179:AF179" si="118">IF($C$2=FALSE,"-",C178+C177+C176+C173)</f>
        <v>94904</v>
      </c>
      <c r="D179" s="186">
        <f t="shared" si="118"/>
        <v>106758</v>
      </c>
      <c r="E179" s="186">
        <f t="shared" si="118"/>
        <v>116371</v>
      </c>
      <c r="F179" s="186">
        <f t="shared" si="118"/>
        <v>138681</v>
      </c>
      <c r="G179" s="186">
        <f t="shared" si="118"/>
        <v>150934</v>
      </c>
      <c r="H179" s="186">
        <f t="shared" si="118"/>
        <v>162896</v>
      </c>
      <c r="I179" s="186">
        <f t="shared" si="118"/>
        <v>176064</v>
      </c>
      <c r="J179" s="186">
        <f t="shared" si="118"/>
        <v>196088</v>
      </c>
      <c r="K179" s="186">
        <f t="shared" si="118"/>
        <v>194743</v>
      </c>
      <c r="L179" s="186">
        <f t="shared" si="118"/>
        <v>110916</v>
      </c>
      <c r="M179" s="240" t="e">
        <f t="shared" ca="1" si="118"/>
        <v>#VALUE!</v>
      </c>
      <c r="N179" s="186" t="e">
        <f t="shared" ca="1" si="118"/>
        <v>#VALUE!</v>
      </c>
      <c r="O179" s="186" t="e">
        <f t="shared" ca="1" si="118"/>
        <v>#VALUE!</v>
      </c>
      <c r="P179" s="186" t="e">
        <f t="shared" ca="1" si="118"/>
        <v>#VALUE!</v>
      </c>
      <c r="Q179" s="186" t="e">
        <f t="shared" ca="1" si="118"/>
        <v>#VALUE!</v>
      </c>
      <c r="R179" s="186" t="e">
        <f t="shared" ca="1" si="118"/>
        <v>#VALUE!</v>
      </c>
      <c r="S179" s="186" t="e">
        <f t="shared" ca="1" si="118"/>
        <v>#VALUE!</v>
      </c>
      <c r="T179" s="186" t="e">
        <f t="shared" ca="1" si="118"/>
        <v>#VALUE!</v>
      </c>
      <c r="U179" s="186" t="e">
        <f t="shared" ca="1" si="118"/>
        <v>#VALUE!</v>
      </c>
      <c r="V179" s="186" t="e">
        <f t="shared" ca="1" si="118"/>
        <v>#VALUE!</v>
      </c>
      <c r="W179" s="186" t="e">
        <f t="shared" ca="1" si="118"/>
        <v>#VALUE!</v>
      </c>
      <c r="X179" s="186" t="e">
        <f t="shared" ca="1" si="118"/>
        <v>#VALUE!</v>
      </c>
      <c r="Y179" s="186" t="e">
        <f t="shared" ca="1" si="118"/>
        <v>#VALUE!</v>
      </c>
      <c r="Z179" s="186" t="e">
        <f t="shared" ca="1" si="118"/>
        <v>#VALUE!</v>
      </c>
      <c r="AA179" s="186" t="e">
        <f t="shared" ca="1" si="118"/>
        <v>#VALUE!</v>
      </c>
      <c r="AB179" s="186" t="e">
        <f t="shared" ca="1" si="118"/>
        <v>#VALUE!</v>
      </c>
      <c r="AC179" s="186" t="e">
        <f t="shared" ca="1" si="118"/>
        <v>#VALUE!</v>
      </c>
      <c r="AD179" s="186" t="e">
        <f t="shared" ca="1" si="118"/>
        <v>#VALUE!</v>
      </c>
      <c r="AE179" s="186" t="e">
        <f t="shared" ca="1" si="118"/>
        <v>#VALUE!</v>
      </c>
      <c r="AF179" s="186" t="e">
        <f t="shared" ca="1" si="118"/>
        <v>#VALUE!</v>
      </c>
      <c r="AG179" s="174"/>
    </row>
    <row r="180" spans="2:33">
      <c r="B180" s="195"/>
      <c r="C180" s="196"/>
      <c r="D180" s="196"/>
      <c r="E180" s="196"/>
      <c r="F180" s="196"/>
      <c r="G180" s="196"/>
      <c r="H180" s="196"/>
      <c r="I180" s="196"/>
      <c r="J180" s="196"/>
      <c r="K180" s="196"/>
      <c r="L180" s="196"/>
      <c r="M180" s="196"/>
      <c r="N180" s="196"/>
      <c r="O180" s="196"/>
      <c r="P180" s="196"/>
      <c r="Q180" s="196"/>
      <c r="R180" s="196"/>
      <c r="S180" s="196"/>
      <c r="T180" s="196"/>
      <c r="U180" s="196"/>
      <c r="V180" s="196"/>
      <c r="W180" s="196"/>
      <c r="X180" s="196"/>
      <c r="Y180" s="196"/>
      <c r="Z180" s="196"/>
      <c r="AA180" s="196"/>
      <c r="AB180" s="196"/>
      <c r="AC180" s="196"/>
      <c r="AD180" s="196"/>
      <c r="AE180" s="196"/>
      <c r="AF180" s="196"/>
      <c r="AG180" s="174"/>
    </row>
    <row r="181" spans="2:33">
      <c r="B181" s="199" t="s">
        <v>178</v>
      </c>
      <c r="C181" s="174"/>
      <c r="D181" s="174"/>
      <c r="E181" s="174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  <c r="P181" s="174"/>
      <c r="Q181" s="174"/>
      <c r="R181" s="174"/>
      <c r="S181" s="174"/>
      <c r="T181" s="174"/>
      <c r="U181" s="174"/>
      <c r="V181" s="174"/>
      <c r="W181" s="174"/>
      <c r="X181" s="174"/>
      <c r="Y181" s="174"/>
      <c r="Z181" s="174"/>
      <c r="AA181" s="174"/>
      <c r="AB181" s="174"/>
      <c r="AC181" s="174"/>
      <c r="AD181" s="174"/>
      <c r="AE181" s="174"/>
      <c r="AF181" s="174"/>
      <c r="AG181" s="174"/>
    </row>
    <row r="182" spans="2:33">
      <c r="B182" s="178" t="s">
        <v>179</v>
      </c>
      <c r="C182" s="237">
        <f t="shared" ref="C182:L182" si="119">IF($C$2=FALSE,"-",C57)</f>
        <v>13714</v>
      </c>
      <c r="D182" s="237">
        <f t="shared" si="119"/>
        <v>15270</v>
      </c>
      <c r="E182" s="237">
        <f t="shared" si="119"/>
        <v>14632</v>
      </c>
      <c r="F182" s="237">
        <f t="shared" si="119"/>
        <v>18221</v>
      </c>
      <c r="G182" s="237">
        <f t="shared" si="119"/>
        <v>17011</v>
      </c>
      <c r="H182" s="237">
        <f t="shared" si="119"/>
        <v>16808</v>
      </c>
      <c r="I182" s="237">
        <f t="shared" si="119"/>
        <v>21175</v>
      </c>
      <c r="J182" s="237">
        <f t="shared" si="119"/>
        <v>26398</v>
      </c>
      <c r="K182" s="237">
        <f t="shared" si="119"/>
        <v>14912</v>
      </c>
      <c r="L182" s="237">
        <f t="shared" si="119"/>
        <v>15516</v>
      </c>
      <c r="M182" s="238">
        <f t="shared" ref="M182:AF182" si="120">IF($C$2=FALSE,"-",M$147*M132)</f>
        <v>19385.555254220748</v>
      </c>
      <c r="N182" s="237">
        <f t="shared" si="120"/>
        <v>22105.367217572235</v>
      </c>
      <c r="O182" s="237">
        <f t="shared" si="120"/>
        <v>25206.771403533869</v>
      </c>
      <c r="P182" s="237">
        <f t="shared" si="120"/>
        <v>28743.305566302854</v>
      </c>
      <c r="Q182" s="237">
        <f t="shared" si="120"/>
        <v>32776.018858251344</v>
      </c>
      <c r="R182" s="237">
        <f t="shared" si="120"/>
        <v>37374.52568628233</v>
      </c>
      <c r="S182" s="237">
        <f t="shared" si="120"/>
        <v>42618.207425241329</v>
      </c>
      <c r="T182" s="237">
        <f t="shared" si="120"/>
        <v>48597.582732870404</v>
      </c>
      <c r="U182" s="237">
        <f t="shared" si="120"/>
        <v>55415.870121262145</v>
      </c>
      <c r="V182" s="237">
        <f t="shared" si="120"/>
        <v>63190.769758584895</v>
      </c>
      <c r="W182" s="237">
        <f t="shared" si="120"/>
        <v>72056.495259295974</v>
      </c>
      <c r="X182" s="237">
        <f t="shared" si="120"/>
        <v>82166.090536467236</v>
      </c>
      <c r="Y182" s="237">
        <f t="shared" si="120"/>
        <v>93694.071710710268</v>
      </c>
      <c r="Z182" s="237">
        <f t="shared" si="120"/>
        <v>106839.43968145325</v>
      </c>
      <c r="AA182" s="237">
        <f t="shared" si="120"/>
        <v>121829.11536485255</v>
      </c>
      <c r="AB182" s="237">
        <f t="shared" si="120"/>
        <v>138921.85689887233</v>
      </c>
      <c r="AC182" s="237">
        <f t="shared" si="120"/>
        <v>158412.7264359876</v>
      </c>
      <c r="AD182" s="237">
        <f t="shared" si="120"/>
        <v>180638.18363118023</v>
      </c>
      <c r="AE182" s="237">
        <f t="shared" si="120"/>
        <v>205981.89375117782</v>
      </c>
      <c r="AF182" s="237">
        <f t="shared" si="120"/>
        <v>234881.35066697962</v>
      </c>
      <c r="AG182" s="174"/>
    </row>
    <row r="183" spans="2:33">
      <c r="B183" s="181" t="s">
        <v>236</v>
      </c>
      <c r="C183" s="188">
        <f t="shared" ref="C183:L183" si="121">IF($C$2=FALSE,"-",C59)</f>
        <v>0</v>
      </c>
      <c r="D183" s="188">
        <f t="shared" si="121"/>
        <v>0</v>
      </c>
      <c r="E183" s="188">
        <f t="shared" si="121"/>
        <v>0</v>
      </c>
      <c r="F183" s="188">
        <f t="shared" si="121"/>
        <v>0</v>
      </c>
      <c r="G183" s="188">
        <f t="shared" si="121"/>
        <v>0</v>
      </c>
      <c r="H183" s="188">
        <f t="shared" si="121"/>
        <v>0</v>
      </c>
      <c r="I183" s="188">
        <f t="shared" si="121"/>
        <v>0</v>
      </c>
      <c r="J183" s="188">
        <f t="shared" si="121"/>
        <v>0</v>
      </c>
      <c r="K183" s="188">
        <f t="shared" si="121"/>
        <v>0</v>
      </c>
      <c r="L183" s="188">
        <f t="shared" si="121"/>
        <v>0</v>
      </c>
      <c r="M183" s="239" t="e">
        <f ca="1">IF($C$2=FALSE,"-",M204)</f>
        <v>#VALUE!</v>
      </c>
      <c r="N183" s="188" t="e">
        <f t="shared" ref="N183:AF183" ca="1" si="122">IF($C$2=FALSE,"-",N204)</f>
        <v>#VALUE!</v>
      </c>
      <c r="O183" s="188" t="e">
        <f t="shared" ca="1" si="122"/>
        <v>#VALUE!</v>
      </c>
      <c r="P183" s="188" t="e">
        <f t="shared" ca="1" si="122"/>
        <v>#VALUE!</v>
      </c>
      <c r="Q183" s="188" t="e">
        <f t="shared" ca="1" si="122"/>
        <v>#VALUE!</v>
      </c>
      <c r="R183" s="188" t="e">
        <f t="shared" ca="1" si="122"/>
        <v>#VALUE!</v>
      </c>
      <c r="S183" s="188" t="e">
        <f t="shared" ca="1" si="122"/>
        <v>#VALUE!</v>
      </c>
      <c r="T183" s="188" t="e">
        <f t="shared" ca="1" si="122"/>
        <v>#VALUE!</v>
      </c>
      <c r="U183" s="188" t="e">
        <f t="shared" ca="1" si="122"/>
        <v>#VALUE!</v>
      </c>
      <c r="V183" s="188" t="e">
        <f t="shared" ca="1" si="122"/>
        <v>#VALUE!</v>
      </c>
      <c r="W183" s="188" t="e">
        <f t="shared" ca="1" si="122"/>
        <v>#VALUE!</v>
      </c>
      <c r="X183" s="188" t="e">
        <f t="shared" ca="1" si="122"/>
        <v>#VALUE!</v>
      </c>
      <c r="Y183" s="188" t="e">
        <f t="shared" ca="1" si="122"/>
        <v>#VALUE!</v>
      </c>
      <c r="Z183" s="188" t="e">
        <f t="shared" ca="1" si="122"/>
        <v>#VALUE!</v>
      </c>
      <c r="AA183" s="188" t="e">
        <f t="shared" ca="1" si="122"/>
        <v>#VALUE!</v>
      </c>
      <c r="AB183" s="188" t="e">
        <f t="shared" ca="1" si="122"/>
        <v>#VALUE!</v>
      </c>
      <c r="AC183" s="188" t="e">
        <f t="shared" ca="1" si="122"/>
        <v>#VALUE!</v>
      </c>
      <c r="AD183" s="188" t="e">
        <f t="shared" ca="1" si="122"/>
        <v>#VALUE!</v>
      </c>
      <c r="AE183" s="188" t="e">
        <f t="shared" ca="1" si="122"/>
        <v>#VALUE!</v>
      </c>
      <c r="AF183" s="188" t="e">
        <f t="shared" ca="1" si="122"/>
        <v>#VALUE!</v>
      </c>
      <c r="AG183" s="174"/>
    </row>
    <row r="184" spans="2:33">
      <c r="B184" s="181" t="s">
        <v>181</v>
      </c>
      <c r="C184" s="188">
        <f t="shared" ref="C184:L184" si="123">IF($C$2=FALSE,"-",C60)</f>
        <v>10613</v>
      </c>
      <c r="D184" s="188">
        <f t="shared" si="123"/>
        <v>11589</v>
      </c>
      <c r="E184" s="188">
        <f t="shared" si="123"/>
        <v>13338</v>
      </c>
      <c r="F184" s="188">
        <f t="shared" si="123"/>
        <v>16386</v>
      </c>
      <c r="G184" s="188">
        <f t="shared" si="123"/>
        <v>15025</v>
      </c>
      <c r="H184" s="188">
        <f t="shared" si="123"/>
        <v>16252</v>
      </c>
      <c r="I184" s="188">
        <f t="shared" si="123"/>
        <v>17367</v>
      </c>
      <c r="J184" s="188">
        <f t="shared" si="123"/>
        <v>20481</v>
      </c>
      <c r="K184" s="188">
        <f t="shared" si="123"/>
        <v>20596</v>
      </c>
      <c r="L184" s="188">
        <f t="shared" si="123"/>
        <v>18258</v>
      </c>
      <c r="M184" s="239">
        <f t="shared" ref="M184:AF184" si="124">IF($C$2=FALSE,"-",M$147*M136)</f>
        <v>17988.558964253592</v>
      </c>
      <c r="N184" s="188">
        <f t="shared" si="124"/>
        <v>20512.371010533676</v>
      </c>
      <c r="O184" s="188">
        <f t="shared" si="124"/>
        <v>23390.276303393774</v>
      </c>
      <c r="P184" s="188">
        <f t="shared" si="124"/>
        <v>26671.95446436448</v>
      </c>
      <c r="Q184" s="188">
        <f t="shared" si="124"/>
        <v>30414.055213444139</v>
      </c>
      <c r="R184" s="188">
        <f t="shared" si="124"/>
        <v>34681.176280587555</v>
      </c>
      <c r="S184" s="188">
        <f t="shared" si="124"/>
        <v>39546.978519112883</v>
      </c>
      <c r="T184" s="188">
        <f t="shared" si="124"/>
        <v>45095.457470587273</v>
      </c>
      <c r="U184" s="188">
        <f t="shared" si="124"/>
        <v>51422.393331483341</v>
      </c>
      <c r="V184" s="188">
        <f t="shared" si="124"/>
        <v>58637.004351545977</v>
      </c>
      <c r="W184" s="188">
        <f t="shared" si="124"/>
        <v>66863.832205533006</v>
      </c>
      <c r="X184" s="188">
        <f t="shared" si="124"/>
        <v>76244.891884416327</v>
      </c>
      <c r="Y184" s="188">
        <f t="shared" si="124"/>
        <v>86942.123218377004</v>
      </c>
      <c r="Z184" s="188">
        <f t="shared" si="124"/>
        <v>99140.186350823817</v>
      </c>
      <c r="AA184" s="188">
        <f t="shared" si="124"/>
        <v>113049.64942009329</v>
      </c>
      <c r="AB184" s="188">
        <f t="shared" si="124"/>
        <v>128910.62347594429</v>
      </c>
      <c r="AC184" s="188">
        <f t="shared" si="124"/>
        <v>146996.90737831712</v>
      </c>
      <c r="AD184" s="188">
        <f t="shared" si="124"/>
        <v>167620.71422935737</v>
      </c>
      <c r="AE184" s="188">
        <f t="shared" si="124"/>
        <v>191138.06092837782</v>
      </c>
      <c r="AF184" s="188">
        <f t="shared" si="124"/>
        <v>217954.91388654211</v>
      </c>
      <c r="AG184" s="174"/>
    </row>
    <row r="185" spans="2:33">
      <c r="B185" s="185" t="s">
        <v>182</v>
      </c>
      <c r="C185" s="186">
        <f t="shared" ref="C185:AF185" si="125">IF($C$2=FALSE,"-",C184+C183+C182)</f>
        <v>24327</v>
      </c>
      <c r="D185" s="186">
        <f t="shared" si="125"/>
        <v>26859</v>
      </c>
      <c r="E185" s="186">
        <f t="shared" si="125"/>
        <v>27970</v>
      </c>
      <c r="F185" s="186">
        <f t="shared" si="125"/>
        <v>34607</v>
      </c>
      <c r="G185" s="186">
        <f t="shared" si="125"/>
        <v>32036</v>
      </c>
      <c r="H185" s="186">
        <f t="shared" si="125"/>
        <v>33060</v>
      </c>
      <c r="I185" s="186">
        <f t="shared" si="125"/>
        <v>38542</v>
      </c>
      <c r="J185" s="186">
        <f t="shared" si="125"/>
        <v>46879</v>
      </c>
      <c r="K185" s="186">
        <f t="shared" si="125"/>
        <v>35508</v>
      </c>
      <c r="L185" s="186">
        <f t="shared" si="125"/>
        <v>33774</v>
      </c>
      <c r="M185" s="240" t="e">
        <f t="shared" ca="1" si="125"/>
        <v>#VALUE!</v>
      </c>
      <c r="N185" s="186" t="e">
        <f t="shared" ca="1" si="125"/>
        <v>#VALUE!</v>
      </c>
      <c r="O185" s="186" t="e">
        <f t="shared" ca="1" si="125"/>
        <v>#VALUE!</v>
      </c>
      <c r="P185" s="186" t="e">
        <f t="shared" ca="1" si="125"/>
        <v>#VALUE!</v>
      </c>
      <c r="Q185" s="186" t="e">
        <f t="shared" ca="1" si="125"/>
        <v>#VALUE!</v>
      </c>
      <c r="R185" s="186" t="e">
        <f t="shared" ca="1" si="125"/>
        <v>#VALUE!</v>
      </c>
      <c r="S185" s="186" t="e">
        <f t="shared" ca="1" si="125"/>
        <v>#VALUE!</v>
      </c>
      <c r="T185" s="186" t="e">
        <f t="shared" ca="1" si="125"/>
        <v>#VALUE!</v>
      </c>
      <c r="U185" s="186" t="e">
        <f t="shared" ca="1" si="125"/>
        <v>#VALUE!</v>
      </c>
      <c r="V185" s="186" t="e">
        <f t="shared" ca="1" si="125"/>
        <v>#VALUE!</v>
      </c>
      <c r="W185" s="186" t="e">
        <f t="shared" ca="1" si="125"/>
        <v>#VALUE!</v>
      </c>
      <c r="X185" s="186" t="e">
        <f t="shared" ca="1" si="125"/>
        <v>#VALUE!</v>
      </c>
      <c r="Y185" s="186" t="e">
        <f t="shared" ca="1" si="125"/>
        <v>#VALUE!</v>
      </c>
      <c r="Z185" s="186" t="e">
        <f t="shared" ca="1" si="125"/>
        <v>#VALUE!</v>
      </c>
      <c r="AA185" s="186" t="e">
        <f t="shared" ca="1" si="125"/>
        <v>#VALUE!</v>
      </c>
      <c r="AB185" s="186" t="e">
        <f t="shared" ca="1" si="125"/>
        <v>#VALUE!</v>
      </c>
      <c r="AC185" s="186" t="e">
        <f t="shared" ca="1" si="125"/>
        <v>#VALUE!</v>
      </c>
      <c r="AD185" s="186" t="e">
        <f t="shared" ca="1" si="125"/>
        <v>#VALUE!</v>
      </c>
      <c r="AE185" s="186" t="e">
        <f t="shared" ca="1" si="125"/>
        <v>#VALUE!</v>
      </c>
      <c r="AF185" s="186" t="e">
        <f t="shared" ca="1" si="125"/>
        <v>#VALUE!</v>
      </c>
      <c r="AG185" s="174"/>
    </row>
    <row r="186" spans="2:33">
      <c r="B186" s="181" t="s">
        <v>183</v>
      </c>
      <c r="C186" s="188">
        <f t="shared" ref="C186:L186" si="126">IF($C$2=FALSE,"-",C63)</f>
        <v>0</v>
      </c>
      <c r="D186" s="188">
        <f t="shared" si="126"/>
        <v>0</v>
      </c>
      <c r="E186" s="188">
        <f t="shared" si="126"/>
        <v>0</v>
      </c>
      <c r="F186" s="188">
        <f t="shared" si="126"/>
        <v>0</v>
      </c>
      <c r="G186" s="188">
        <f t="shared" si="126"/>
        <v>0</v>
      </c>
      <c r="H186" s="188">
        <f t="shared" si="126"/>
        <v>0</v>
      </c>
      <c r="I186" s="188">
        <f t="shared" si="126"/>
        <v>0</v>
      </c>
      <c r="J186" s="188">
        <f t="shared" si="126"/>
        <v>0</v>
      </c>
      <c r="K186" s="188">
        <f t="shared" si="126"/>
        <v>0</v>
      </c>
      <c r="L186" s="188">
        <f t="shared" si="126"/>
        <v>16958</v>
      </c>
      <c r="M186" s="239" t="e">
        <f t="shared" ref="M186:AF186" ca="1" si="127">IF($C$2=FALSE,"-",((L179+M179)/2)*M141)</f>
        <v>#VALUE!</v>
      </c>
      <c r="N186" s="188" t="e">
        <f t="shared" ca="1" si="127"/>
        <v>#VALUE!</v>
      </c>
      <c r="O186" s="188" t="e">
        <f t="shared" ca="1" si="127"/>
        <v>#VALUE!</v>
      </c>
      <c r="P186" s="188" t="e">
        <f t="shared" ca="1" si="127"/>
        <v>#VALUE!</v>
      </c>
      <c r="Q186" s="188" t="e">
        <f t="shared" ca="1" si="127"/>
        <v>#VALUE!</v>
      </c>
      <c r="R186" s="188" t="e">
        <f t="shared" ca="1" si="127"/>
        <v>#VALUE!</v>
      </c>
      <c r="S186" s="188" t="e">
        <f t="shared" ca="1" si="127"/>
        <v>#VALUE!</v>
      </c>
      <c r="T186" s="188" t="e">
        <f t="shared" ca="1" si="127"/>
        <v>#VALUE!</v>
      </c>
      <c r="U186" s="188" t="e">
        <f t="shared" ca="1" si="127"/>
        <v>#VALUE!</v>
      </c>
      <c r="V186" s="188" t="e">
        <f t="shared" ca="1" si="127"/>
        <v>#VALUE!</v>
      </c>
      <c r="W186" s="188" t="e">
        <f t="shared" ca="1" si="127"/>
        <v>#VALUE!</v>
      </c>
      <c r="X186" s="188" t="e">
        <f t="shared" ca="1" si="127"/>
        <v>#VALUE!</v>
      </c>
      <c r="Y186" s="188" t="e">
        <f t="shared" ca="1" si="127"/>
        <v>#VALUE!</v>
      </c>
      <c r="Z186" s="188" t="e">
        <f t="shared" ca="1" si="127"/>
        <v>#VALUE!</v>
      </c>
      <c r="AA186" s="188" t="e">
        <f t="shared" ca="1" si="127"/>
        <v>#VALUE!</v>
      </c>
      <c r="AB186" s="188" t="e">
        <f t="shared" ca="1" si="127"/>
        <v>#VALUE!</v>
      </c>
      <c r="AC186" s="188" t="e">
        <f t="shared" ca="1" si="127"/>
        <v>#VALUE!</v>
      </c>
      <c r="AD186" s="188" t="e">
        <f t="shared" ca="1" si="127"/>
        <v>#VALUE!</v>
      </c>
      <c r="AE186" s="188" t="e">
        <f t="shared" ca="1" si="127"/>
        <v>#VALUE!</v>
      </c>
      <c r="AF186" s="188" t="e">
        <f t="shared" ca="1" si="127"/>
        <v>#VALUE!</v>
      </c>
      <c r="AG186" s="174"/>
    </row>
    <row r="187" spans="2:33">
      <c r="B187" s="181" t="s">
        <v>185</v>
      </c>
      <c r="C187" s="188">
        <v>0</v>
      </c>
      <c r="D187" s="188">
        <v>0</v>
      </c>
      <c r="E187" s="188">
        <v>0</v>
      </c>
      <c r="F187" s="188">
        <v>0</v>
      </c>
      <c r="G187" s="188">
        <v>0</v>
      </c>
      <c r="H187" s="188">
        <v>0</v>
      </c>
      <c r="I187" s="188">
        <v>0</v>
      </c>
      <c r="J187" s="188">
        <v>0</v>
      </c>
      <c r="K187" s="188">
        <v>16481</v>
      </c>
      <c r="L187" s="188">
        <v>0</v>
      </c>
      <c r="M187" s="239">
        <f t="shared" ref="M187:AF187" si="128">IF($C$2=FALSE,"-",M$174*M138)</f>
        <v>2681.101178978111</v>
      </c>
      <c r="N187" s="188">
        <f t="shared" si="128"/>
        <v>3057.2622414760631</v>
      </c>
      <c r="O187" s="188">
        <f t="shared" si="128"/>
        <v>3486.1990612072877</v>
      </c>
      <c r="P187" s="188">
        <f t="shared" si="128"/>
        <v>3975.3161274430799</v>
      </c>
      <c r="Q187" s="188">
        <f t="shared" si="128"/>
        <v>4533.0567863891119</v>
      </c>
      <c r="R187" s="188">
        <f t="shared" si="128"/>
        <v>5169.0489938080036</v>
      </c>
      <c r="S187" s="188">
        <f t="shared" si="128"/>
        <v>5894.2715168743989</v>
      </c>
      <c r="T187" s="188">
        <f t="shared" si="128"/>
        <v>6721.2434543094359</v>
      </c>
      <c r="U187" s="188">
        <f t="shared" si="128"/>
        <v>7664.2403463715573</v>
      </c>
      <c r="V187" s="188">
        <f t="shared" si="128"/>
        <v>8739.5406052859325</v>
      </c>
      <c r="W187" s="188">
        <f t="shared" si="128"/>
        <v>9965.7065200990983</v>
      </c>
      <c r="X187" s="188">
        <f t="shared" si="128"/>
        <v>11363.90468678375</v>
      </c>
      <c r="Y187" s="188">
        <f t="shared" si="128"/>
        <v>12958.27139499403</v>
      </c>
      <c r="Z187" s="188">
        <f t="shared" si="128"/>
        <v>14776.329278932462</v>
      </c>
      <c r="AA187" s="188">
        <f t="shared" si="128"/>
        <v>16849.46242473241</v>
      </c>
      <c r="AB187" s="188">
        <f t="shared" si="128"/>
        <v>19213.458135861223</v>
      </c>
      <c r="AC187" s="188">
        <f t="shared" si="128"/>
        <v>21909.124708728181</v>
      </c>
      <c r="AD187" s="188">
        <f t="shared" si="128"/>
        <v>24982.995882801701</v>
      </c>
      <c r="AE187" s="188">
        <f t="shared" si="128"/>
        <v>28488.134125752498</v>
      </c>
      <c r="AF187" s="188">
        <f t="shared" si="128"/>
        <v>32485.0466202715</v>
      </c>
      <c r="AG187" s="174"/>
    </row>
    <row r="188" spans="2:33">
      <c r="B188" s="181" t="s">
        <v>187</v>
      </c>
      <c r="C188" s="188">
        <f t="shared" ref="C188:L188" si="129">IF($C$2=FALSE,"-",C67)</f>
        <v>0</v>
      </c>
      <c r="D188" s="188">
        <f t="shared" si="129"/>
        <v>0</v>
      </c>
      <c r="E188" s="188">
        <f t="shared" si="129"/>
        <v>0</v>
      </c>
      <c r="F188" s="188">
        <f t="shared" si="129"/>
        <v>0</v>
      </c>
      <c r="G188" s="188">
        <f t="shared" si="129"/>
        <v>0</v>
      </c>
      <c r="H188" s="188">
        <f t="shared" si="129"/>
        <v>0</v>
      </c>
      <c r="I188" s="188">
        <f t="shared" si="129"/>
        <v>0</v>
      </c>
      <c r="J188" s="188">
        <f t="shared" si="129"/>
        <v>0</v>
      </c>
      <c r="K188" s="188">
        <f t="shared" si="129"/>
        <v>0</v>
      </c>
      <c r="L188" s="188">
        <f t="shared" si="129"/>
        <v>0</v>
      </c>
      <c r="M188" s="239">
        <f t="shared" ref="M188:AF188" si="130">IF($C$2=FALSE,"-",M$147*M135)</f>
        <v>3321.3280040341865</v>
      </c>
      <c r="N188" s="188">
        <f t="shared" si="130"/>
        <v>3787.3135030886788</v>
      </c>
      <c r="O188" s="188">
        <f t="shared" si="130"/>
        <v>4318.6772138299775</v>
      </c>
      <c r="P188" s="188">
        <f t="shared" si="130"/>
        <v>4924.591761955744</v>
      </c>
      <c r="Q188" s="188">
        <f t="shared" si="130"/>
        <v>5615.5167013315804</v>
      </c>
      <c r="R188" s="188">
        <f t="shared" si="130"/>
        <v>6403.3790712451973</v>
      </c>
      <c r="S188" s="188">
        <f t="shared" si="130"/>
        <v>7301.7792860162081</v>
      </c>
      <c r="T188" s="188">
        <f t="shared" si="130"/>
        <v>8326.2259111153289</v>
      </c>
      <c r="U188" s="188">
        <f t="shared" si="130"/>
        <v>9494.4033785978772</v>
      </c>
      <c r="V188" s="188">
        <f t="shared" si="130"/>
        <v>10826.477263268936</v>
      </c>
      <c r="W188" s="188">
        <f t="shared" si="130"/>
        <v>12345.442389386772</v>
      </c>
      <c r="X188" s="188">
        <f t="shared" si="130"/>
        <v>14077.519777070058</v>
      </c>
      <c r="Y188" s="188">
        <f t="shared" si="130"/>
        <v>16052.609280666091</v>
      </c>
      <c r="Z188" s="188">
        <f t="shared" si="130"/>
        <v>18304.805732715446</v>
      </c>
      <c r="AA188" s="188">
        <f t="shared" si="130"/>
        <v>20872.987503409102</v>
      </c>
      <c r="AB188" s="188">
        <f t="shared" si="130"/>
        <v>23801.487635500889</v>
      </c>
      <c r="AC188" s="188">
        <f t="shared" si="130"/>
        <v>27140.85914009079</v>
      </c>
      <c r="AD188" s="188">
        <f t="shared" si="130"/>
        <v>30948.747664139351</v>
      </c>
      <c r="AE188" s="188">
        <f t="shared" si="130"/>
        <v>35290.886594069947</v>
      </c>
      <c r="AF188" s="188">
        <f t="shared" si="130"/>
        <v>40242.231773359235</v>
      </c>
      <c r="AG188" s="174"/>
    </row>
    <row r="189" spans="2:33">
      <c r="B189" s="181" t="s">
        <v>188</v>
      </c>
      <c r="C189" s="188">
        <f t="shared" ref="C189:L189" si="131">IF($C$2=FALSE,"-",C69)</f>
        <v>0</v>
      </c>
      <c r="D189" s="188">
        <f t="shared" si="131"/>
        <v>0</v>
      </c>
      <c r="E189" s="188">
        <f t="shared" si="131"/>
        <v>0</v>
      </c>
      <c r="F189" s="188">
        <f t="shared" si="131"/>
        <v>0</v>
      </c>
      <c r="G189" s="188">
        <f t="shared" si="131"/>
        <v>0</v>
      </c>
      <c r="H189" s="188">
        <f t="shared" si="131"/>
        <v>0</v>
      </c>
      <c r="I189" s="188">
        <f t="shared" si="131"/>
        <v>0</v>
      </c>
      <c r="J189" s="188">
        <f t="shared" si="131"/>
        <v>0</v>
      </c>
      <c r="K189" s="188">
        <f t="shared" si="131"/>
        <v>0</v>
      </c>
      <c r="L189" s="188">
        <f t="shared" si="131"/>
        <v>0</v>
      </c>
      <c r="M189" s="239">
        <f t="shared" ref="M189:AF189" si="132">IF($C$2=FALSE,"-",M$147*M133)</f>
        <v>1083.7573283321001</v>
      </c>
      <c r="N189" s="188">
        <f t="shared" si="132"/>
        <v>1235.8095191676305</v>
      </c>
      <c r="O189" s="188">
        <f t="shared" si="132"/>
        <v>1409.1947779635555</v>
      </c>
      <c r="P189" s="188">
        <f t="shared" si="132"/>
        <v>1606.9061545805978</v>
      </c>
      <c r="Q189" s="188">
        <f t="shared" si="132"/>
        <v>1832.3566266407092</v>
      </c>
      <c r="R189" s="188">
        <f t="shared" si="132"/>
        <v>2089.4380157940432</v>
      </c>
      <c r="S189" s="188">
        <f t="shared" si="132"/>
        <v>2382.5881699945894</v>
      </c>
      <c r="T189" s="188">
        <f t="shared" si="132"/>
        <v>2716.8675715134141</v>
      </c>
      <c r="U189" s="188">
        <f t="shared" si="132"/>
        <v>3098.0466931294959</v>
      </c>
      <c r="V189" s="188">
        <f t="shared" si="132"/>
        <v>3532.7056104777894</v>
      </c>
      <c r="W189" s="188">
        <f t="shared" si="132"/>
        <v>4028.3475901050911</v>
      </c>
      <c r="X189" s="188">
        <f t="shared" si="132"/>
        <v>4593.5286140389017</v>
      </c>
      <c r="Y189" s="188">
        <f t="shared" si="132"/>
        <v>5238.0050767773218</v>
      </c>
      <c r="Z189" s="188">
        <f t="shared" si="132"/>
        <v>5972.9022043080358</v>
      </c>
      <c r="AA189" s="188">
        <f t="shared" si="132"/>
        <v>6810.9061024769298</v>
      </c>
      <c r="AB189" s="188">
        <f t="shared" si="132"/>
        <v>7766.4827499266921</v>
      </c>
      <c r="AC189" s="188">
        <f t="shared" si="132"/>
        <v>8856.127715954397</v>
      </c>
      <c r="AD189" s="188">
        <f t="shared" si="132"/>
        <v>10098.65091402359</v>
      </c>
      <c r="AE189" s="188">
        <f t="shared" si="132"/>
        <v>11515.50130646678</v>
      </c>
      <c r="AF189" s="188">
        <f t="shared" si="132"/>
        <v>13131.137165568562</v>
      </c>
      <c r="AG189" s="174"/>
    </row>
    <row r="190" spans="2:33">
      <c r="B190" s="181" t="s">
        <v>189</v>
      </c>
      <c r="C190" s="188">
        <f t="shared" ref="C190:L190" si="133">IF($C$2=FALSE,"-",C71)</f>
        <v>9100</v>
      </c>
      <c r="D190" s="188">
        <f t="shared" si="133"/>
        <v>10556</v>
      </c>
      <c r="E190" s="188">
        <f t="shared" si="133"/>
        <v>11786</v>
      </c>
      <c r="F190" s="188">
        <f t="shared" si="133"/>
        <v>14020</v>
      </c>
      <c r="G190" s="188">
        <f t="shared" si="133"/>
        <v>16400</v>
      </c>
      <c r="H190" s="188">
        <f t="shared" si="133"/>
        <v>18090</v>
      </c>
      <c r="I190" s="188">
        <f t="shared" si="133"/>
        <v>19312</v>
      </c>
      <c r="J190" s="188">
        <f t="shared" si="133"/>
        <v>21863</v>
      </c>
      <c r="K190" s="188">
        <f t="shared" si="133"/>
        <v>7264</v>
      </c>
      <c r="L190" s="188">
        <f t="shared" si="133"/>
        <v>20553</v>
      </c>
      <c r="M190" s="239">
        <f t="shared" ref="M190:AF190" si="134">IF($C$2=FALSE,"-",M$147*M134)</f>
        <v>18934.911331292831</v>
      </c>
      <c r="N190" s="188">
        <f t="shared" si="134"/>
        <v>21591.497520777248</v>
      </c>
      <c r="O190" s="188">
        <f t="shared" si="134"/>
        <v>24620.805296261158</v>
      </c>
      <c r="P190" s="188">
        <f t="shared" si="134"/>
        <v>28075.127853131893</v>
      </c>
      <c r="Q190" s="188">
        <f t="shared" si="134"/>
        <v>32014.09517215905</v>
      </c>
      <c r="R190" s="188">
        <f t="shared" si="134"/>
        <v>36505.703377508406</v>
      </c>
      <c r="S190" s="188">
        <f t="shared" si="134"/>
        <v>41627.488514670797</v>
      </c>
      <c r="T190" s="188">
        <f t="shared" si="134"/>
        <v>47467.865010558249</v>
      </c>
      <c r="U190" s="188">
        <f t="shared" si="134"/>
        <v>54127.65192083313</v>
      </c>
      <c r="V190" s="188">
        <f t="shared" si="134"/>
        <v>61721.813311198981</v>
      </c>
      <c r="W190" s="188">
        <f t="shared" si="134"/>
        <v>70381.442815852759</v>
      </c>
      <c r="X190" s="188">
        <f t="shared" si="134"/>
        <v>80256.026631388115</v>
      </c>
      <c r="Y190" s="188">
        <f t="shared" si="134"/>
        <v>91516.024010910129</v>
      </c>
      <c r="Z190" s="188">
        <f t="shared" si="134"/>
        <v>104355.80980394495</v>
      </c>
      <c r="AA190" s="188">
        <f t="shared" si="134"/>
        <v>118997.02983751635</v>
      </c>
      <c r="AB190" s="188">
        <f t="shared" si="134"/>
        <v>135692.42706039979</v>
      </c>
      <c r="AC190" s="188">
        <f t="shared" si="134"/>
        <v>154730.20449907906</v>
      </c>
      <c r="AD190" s="188">
        <f t="shared" si="134"/>
        <v>176439.00034060079</v>
      </c>
      <c r="AE190" s="188">
        <f t="shared" si="134"/>
        <v>201193.56102431708</v>
      </c>
      <c r="AF190" s="188">
        <f t="shared" si="134"/>
        <v>229421.2102738315</v>
      </c>
      <c r="AG190" s="174"/>
    </row>
    <row r="191" spans="2:33">
      <c r="B191" s="185" t="s">
        <v>190</v>
      </c>
      <c r="C191" s="186">
        <f t="shared" ref="C191:AF191" si="135">IF($C$2=FALSE,"-",C190+C189+C188+C187+C186+C185)</f>
        <v>33427</v>
      </c>
      <c r="D191" s="186">
        <f t="shared" si="135"/>
        <v>37415</v>
      </c>
      <c r="E191" s="186">
        <f t="shared" si="135"/>
        <v>39756</v>
      </c>
      <c r="F191" s="186">
        <f t="shared" si="135"/>
        <v>48627</v>
      </c>
      <c r="G191" s="186">
        <f t="shared" si="135"/>
        <v>48436</v>
      </c>
      <c r="H191" s="186">
        <f t="shared" si="135"/>
        <v>51150</v>
      </c>
      <c r="I191" s="186">
        <f t="shared" si="135"/>
        <v>57854</v>
      </c>
      <c r="J191" s="186">
        <f t="shared" si="135"/>
        <v>68742</v>
      </c>
      <c r="K191" s="186">
        <f t="shared" si="135"/>
        <v>59253</v>
      </c>
      <c r="L191" s="186">
        <f t="shared" si="135"/>
        <v>71285</v>
      </c>
      <c r="M191" s="240" t="e">
        <f t="shared" ca="1" si="135"/>
        <v>#VALUE!</v>
      </c>
      <c r="N191" s="186" t="e">
        <f t="shared" ca="1" si="135"/>
        <v>#VALUE!</v>
      </c>
      <c r="O191" s="186" t="e">
        <f t="shared" ca="1" si="135"/>
        <v>#VALUE!</v>
      </c>
      <c r="P191" s="186" t="e">
        <f t="shared" ca="1" si="135"/>
        <v>#VALUE!</v>
      </c>
      <c r="Q191" s="186" t="e">
        <f t="shared" ca="1" si="135"/>
        <v>#VALUE!</v>
      </c>
      <c r="R191" s="186" t="e">
        <f t="shared" ca="1" si="135"/>
        <v>#VALUE!</v>
      </c>
      <c r="S191" s="186" t="e">
        <f t="shared" ca="1" si="135"/>
        <v>#VALUE!</v>
      </c>
      <c r="T191" s="186" t="e">
        <f t="shared" ca="1" si="135"/>
        <v>#VALUE!</v>
      </c>
      <c r="U191" s="186" t="e">
        <f t="shared" ca="1" si="135"/>
        <v>#VALUE!</v>
      </c>
      <c r="V191" s="186" t="e">
        <f t="shared" ca="1" si="135"/>
        <v>#VALUE!</v>
      </c>
      <c r="W191" s="186" t="e">
        <f t="shared" ca="1" si="135"/>
        <v>#VALUE!</v>
      </c>
      <c r="X191" s="186" t="e">
        <f t="shared" ca="1" si="135"/>
        <v>#VALUE!</v>
      </c>
      <c r="Y191" s="186" t="e">
        <f t="shared" ca="1" si="135"/>
        <v>#VALUE!</v>
      </c>
      <c r="Z191" s="186" t="e">
        <f t="shared" ca="1" si="135"/>
        <v>#VALUE!</v>
      </c>
      <c r="AA191" s="186" t="e">
        <f t="shared" ca="1" si="135"/>
        <v>#VALUE!</v>
      </c>
      <c r="AB191" s="186" t="e">
        <f t="shared" ca="1" si="135"/>
        <v>#VALUE!</v>
      </c>
      <c r="AC191" s="186" t="e">
        <f t="shared" ca="1" si="135"/>
        <v>#VALUE!</v>
      </c>
      <c r="AD191" s="186" t="e">
        <f t="shared" ca="1" si="135"/>
        <v>#VALUE!</v>
      </c>
      <c r="AE191" s="186" t="e">
        <f t="shared" ca="1" si="135"/>
        <v>#VALUE!</v>
      </c>
      <c r="AF191" s="186" t="e">
        <f t="shared" ca="1" si="135"/>
        <v>#VALUE!</v>
      </c>
      <c r="AG191" s="174"/>
    </row>
    <row r="192" spans="2:33">
      <c r="B192" s="181" t="s">
        <v>191</v>
      </c>
      <c r="C192" s="188">
        <f t="shared" ref="C192:L192" si="136">IF($C$2=FALSE,"-",C74)</f>
        <v>12452</v>
      </c>
      <c r="D192" s="188">
        <f t="shared" si="136"/>
        <v>13104</v>
      </c>
      <c r="E192" s="188">
        <f t="shared" si="136"/>
        <v>13774</v>
      </c>
      <c r="F192" s="188">
        <f t="shared" si="136"/>
        <v>14345</v>
      </c>
      <c r="G192" s="188">
        <f t="shared" si="136"/>
        <v>15374</v>
      </c>
      <c r="H192" s="188">
        <f t="shared" si="136"/>
        <v>16105</v>
      </c>
      <c r="I192" s="188">
        <f t="shared" si="136"/>
        <v>16921</v>
      </c>
      <c r="J192" s="188">
        <f t="shared" si="136"/>
        <v>17779</v>
      </c>
      <c r="K192" s="188">
        <f t="shared" si="136"/>
        <v>18918</v>
      </c>
      <c r="L192" s="188">
        <f t="shared" si="136"/>
        <v>19024</v>
      </c>
      <c r="M192" s="239">
        <f t="shared" ref="M192:AF192" si="137">IF($C$2=FALSE,"-",L192)</f>
        <v>19024</v>
      </c>
      <c r="N192" s="188">
        <f t="shared" si="137"/>
        <v>19024</v>
      </c>
      <c r="O192" s="188">
        <f t="shared" si="137"/>
        <v>19024</v>
      </c>
      <c r="P192" s="188">
        <f t="shared" si="137"/>
        <v>19024</v>
      </c>
      <c r="Q192" s="188">
        <f t="shared" si="137"/>
        <v>19024</v>
      </c>
      <c r="R192" s="188">
        <f t="shared" si="137"/>
        <v>19024</v>
      </c>
      <c r="S192" s="188">
        <f t="shared" si="137"/>
        <v>19024</v>
      </c>
      <c r="T192" s="188">
        <f t="shared" si="137"/>
        <v>19024</v>
      </c>
      <c r="U192" s="188">
        <f t="shared" si="137"/>
        <v>19024</v>
      </c>
      <c r="V192" s="188">
        <f t="shared" si="137"/>
        <v>19024</v>
      </c>
      <c r="W192" s="188">
        <f t="shared" si="137"/>
        <v>19024</v>
      </c>
      <c r="X192" s="188">
        <f t="shared" si="137"/>
        <v>19024</v>
      </c>
      <c r="Y192" s="188">
        <f t="shared" si="137"/>
        <v>19024</v>
      </c>
      <c r="Z192" s="188">
        <f t="shared" si="137"/>
        <v>19024</v>
      </c>
      <c r="AA192" s="188">
        <f t="shared" si="137"/>
        <v>19024</v>
      </c>
      <c r="AB192" s="188">
        <f t="shared" si="137"/>
        <v>19024</v>
      </c>
      <c r="AC192" s="188">
        <f t="shared" si="137"/>
        <v>19024</v>
      </c>
      <c r="AD192" s="188">
        <f t="shared" si="137"/>
        <v>19024</v>
      </c>
      <c r="AE192" s="188">
        <f t="shared" si="137"/>
        <v>19024</v>
      </c>
      <c r="AF192" s="188">
        <f t="shared" si="137"/>
        <v>19024</v>
      </c>
      <c r="AG192" s="174"/>
    </row>
    <row r="193" spans="2:33">
      <c r="B193" s="181" t="s">
        <v>192</v>
      </c>
      <c r="C193" s="188">
        <f t="shared" ref="C193:L193" si="138">IF($C$2=FALSE,"-",C75)</f>
        <v>49025</v>
      </c>
      <c r="D193" s="188">
        <f t="shared" si="138"/>
        <v>56239</v>
      </c>
      <c r="E193" s="188">
        <f t="shared" si="138"/>
        <v>62841</v>
      </c>
      <c r="F193" s="188">
        <f t="shared" si="138"/>
        <v>75709</v>
      </c>
      <c r="G193" s="188">
        <f t="shared" si="138"/>
        <v>87124</v>
      </c>
      <c r="H193" s="188">
        <f t="shared" si="138"/>
        <v>95641</v>
      </c>
      <c r="I193" s="188">
        <f t="shared" si="138"/>
        <v>101289</v>
      </c>
      <c r="J193" s="188">
        <f t="shared" si="138"/>
        <v>109567</v>
      </c>
      <c r="K193" s="188">
        <f t="shared" si="138"/>
        <v>116572</v>
      </c>
      <c r="L193" s="188">
        <f t="shared" si="138"/>
        <v>104564</v>
      </c>
      <c r="M193" s="239" t="e">
        <f ca="1">IF($C$2=FALSE,"-",L193+M162)</f>
        <v>#VALUE!</v>
      </c>
      <c r="N193" s="188" t="e">
        <f t="shared" ref="N193:AF193" ca="1" si="139">IF($C$2=FALSE,"-",M193+N162)</f>
        <v>#VALUE!</v>
      </c>
      <c r="O193" s="188" t="e">
        <f t="shared" ca="1" si="139"/>
        <v>#VALUE!</v>
      </c>
      <c r="P193" s="188" t="e">
        <f t="shared" ca="1" si="139"/>
        <v>#VALUE!</v>
      </c>
      <c r="Q193" s="188" t="e">
        <f t="shared" ca="1" si="139"/>
        <v>#VALUE!</v>
      </c>
      <c r="R193" s="188" t="e">
        <f t="shared" ca="1" si="139"/>
        <v>#VALUE!</v>
      </c>
      <c r="S193" s="188" t="e">
        <f t="shared" ca="1" si="139"/>
        <v>#VALUE!</v>
      </c>
      <c r="T193" s="188" t="e">
        <f t="shared" ca="1" si="139"/>
        <v>#VALUE!</v>
      </c>
      <c r="U193" s="188" t="e">
        <f t="shared" ca="1" si="139"/>
        <v>#VALUE!</v>
      </c>
      <c r="V193" s="188" t="e">
        <f t="shared" ca="1" si="139"/>
        <v>#VALUE!</v>
      </c>
      <c r="W193" s="188" t="e">
        <f t="shared" ca="1" si="139"/>
        <v>#VALUE!</v>
      </c>
      <c r="X193" s="188" t="e">
        <f t="shared" ca="1" si="139"/>
        <v>#VALUE!</v>
      </c>
      <c r="Y193" s="188" t="e">
        <f t="shared" ca="1" si="139"/>
        <v>#VALUE!</v>
      </c>
      <c r="Z193" s="188" t="e">
        <f t="shared" ca="1" si="139"/>
        <v>#VALUE!</v>
      </c>
      <c r="AA193" s="188" t="e">
        <f t="shared" ca="1" si="139"/>
        <v>#VALUE!</v>
      </c>
      <c r="AB193" s="188" t="e">
        <f t="shared" ca="1" si="139"/>
        <v>#VALUE!</v>
      </c>
      <c r="AC193" s="188" t="e">
        <f t="shared" ca="1" si="139"/>
        <v>#VALUE!</v>
      </c>
      <c r="AD193" s="188" t="e">
        <f t="shared" ca="1" si="139"/>
        <v>#VALUE!</v>
      </c>
      <c r="AE193" s="188" t="e">
        <f t="shared" ca="1" si="139"/>
        <v>#VALUE!</v>
      </c>
      <c r="AF193" s="188" t="e">
        <f t="shared" ca="1" si="139"/>
        <v>#VALUE!</v>
      </c>
      <c r="AG193" s="174"/>
    </row>
    <row r="194" spans="2:33">
      <c r="B194" s="181" t="s">
        <v>193</v>
      </c>
      <c r="C194" s="188">
        <f t="shared" ref="C194:L194" si="140">IF($C$2=FALSE,"-",C76)</f>
        <v>0</v>
      </c>
      <c r="D194" s="188">
        <f t="shared" si="140"/>
        <v>0</v>
      </c>
      <c r="E194" s="188">
        <f t="shared" si="140"/>
        <v>0</v>
      </c>
      <c r="F194" s="188">
        <f t="shared" si="140"/>
        <v>0</v>
      </c>
      <c r="G194" s="188">
        <f t="shared" si="140"/>
        <v>0</v>
      </c>
      <c r="H194" s="188">
        <f t="shared" si="140"/>
        <v>0</v>
      </c>
      <c r="I194" s="188">
        <f t="shared" si="140"/>
        <v>0</v>
      </c>
      <c r="J194" s="188">
        <f t="shared" si="140"/>
        <v>0</v>
      </c>
      <c r="K194" s="188">
        <f t="shared" si="140"/>
        <v>0</v>
      </c>
      <c r="L194" s="188">
        <f t="shared" si="140"/>
        <v>0</v>
      </c>
      <c r="M194" s="239">
        <f t="shared" ref="M194:AF194" si="141">IF($C$2=FALSE,"-",L194)</f>
        <v>0</v>
      </c>
      <c r="N194" s="188">
        <f t="shared" si="141"/>
        <v>0</v>
      </c>
      <c r="O194" s="188">
        <f t="shared" si="141"/>
        <v>0</v>
      </c>
      <c r="P194" s="188">
        <f t="shared" si="141"/>
        <v>0</v>
      </c>
      <c r="Q194" s="188">
        <f t="shared" si="141"/>
        <v>0</v>
      </c>
      <c r="R194" s="188">
        <f t="shared" si="141"/>
        <v>0</v>
      </c>
      <c r="S194" s="188">
        <f t="shared" si="141"/>
        <v>0</v>
      </c>
      <c r="T194" s="188">
        <f t="shared" si="141"/>
        <v>0</v>
      </c>
      <c r="U194" s="188">
        <f t="shared" si="141"/>
        <v>0</v>
      </c>
      <c r="V194" s="188">
        <f t="shared" si="141"/>
        <v>0</v>
      </c>
      <c r="W194" s="188">
        <f t="shared" si="141"/>
        <v>0</v>
      </c>
      <c r="X194" s="188">
        <f t="shared" si="141"/>
        <v>0</v>
      </c>
      <c r="Y194" s="188">
        <f t="shared" si="141"/>
        <v>0</v>
      </c>
      <c r="Z194" s="188">
        <f t="shared" si="141"/>
        <v>0</v>
      </c>
      <c r="AA194" s="188">
        <f t="shared" si="141"/>
        <v>0</v>
      </c>
      <c r="AB194" s="188">
        <f t="shared" si="141"/>
        <v>0</v>
      </c>
      <c r="AC194" s="188">
        <f t="shared" si="141"/>
        <v>0</v>
      </c>
      <c r="AD194" s="188">
        <f t="shared" si="141"/>
        <v>0</v>
      </c>
      <c r="AE194" s="188">
        <f t="shared" si="141"/>
        <v>0</v>
      </c>
      <c r="AF194" s="188">
        <f t="shared" si="141"/>
        <v>0</v>
      </c>
      <c r="AG194" s="174"/>
    </row>
    <row r="195" spans="2:33">
      <c r="B195" s="185" t="s">
        <v>194</v>
      </c>
      <c r="C195" s="186">
        <f t="shared" ref="C195:AF195" si="142">IF($C$2=FALSE,"-",C194+C193+C192)</f>
        <v>61477</v>
      </c>
      <c r="D195" s="186">
        <f t="shared" si="142"/>
        <v>69343</v>
      </c>
      <c r="E195" s="186">
        <f t="shared" si="142"/>
        <v>76615</v>
      </c>
      <c r="F195" s="186">
        <f t="shared" si="142"/>
        <v>90054</v>
      </c>
      <c r="G195" s="186">
        <f t="shared" si="142"/>
        <v>102498</v>
      </c>
      <c r="H195" s="186">
        <f t="shared" si="142"/>
        <v>111746</v>
      </c>
      <c r="I195" s="186">
        <f t="shared" si="142"/>
        <v>118210</v>
      </c>
      <c r="J195" s="186">
        <f t="shared" si="142"/>
        <v>127346</v>
      </c>
      <c r="K195" s="186">
        <f t="shared" si="142"/>
        <v>135490</v>
      </c>
      <c r="L195" s="186">
        <f t="shared" si="142"/>
        <v>123588</v>
      </c>
      <c r="M195" s="240" t="e">
        <f t="shared" ca="1" si="142"/>
        <v>#VALUE!</v>
      </c>
      <c r="N195" s="186" t="e">
        <f t="shared" ca="1" si="142"/>
        <v>#VALUE!</v>
      </c>
      <c r="O195" s="186" t="e">
        <f t="shared" ca="1" si="142"/>
        <v>#VALUE!</v>
      </c>
      <c r="P195" s="186" t="e">
        <f t="shared" ca="1" si="142"/>
        <v>#VALUE!</v>
      </c>
      <c r="Q195" s="186" t="e">
        <f t="shared" ca="1" si="142"/>
        <v>#VALUE!</v>
      </c>
      <c r="R195" s="186" t="e">
        <f t="shared" ca="1" si="142"/>
        <v>#VALUE!</v>
      </c>
      <c r="S195" s="186" t="e">
        <f t="shared" ca="1" si="142"/>
        <v>#VALUE!</v>
      </c>
      <c r="T195" s="186" t="e">
        <f t="shared" ca="1" si="142"/>
        <v>#VALUE!</v>
      </c>
      <c r="U195" s="186" t="e">
        <f t="shared" ca="1" si="142"/>
        <v>#VALUE!</v>
      </c>
      <c r="V195" s="186" t="e">
        <f t="shared" ca="1" si="142"/>
        <v>#VALUE!</v>
      </c>
      <c r="W195" s="186" t="e">
        <f t="shared" ca="1" si="142"/>
        <v>#VALUE!</v>
      </c>
      <c r="X195" s="186" t="e">
        <f t="shared" ca="1" si="142"/>
        <v>#VALUE!</v>
      </c>
      <c r="Y195" s="186" t="e">
        <f t="shared" ca="1" si="142"/>
        <v>#VALUE!</v>
      </c>
      <c r="Z195" s="186" t="e">
        <f t="shared" ca="1" si="142"/>
        <v>#VALUE!</v>
      </c>
      <c r="AA195" s="186" t="e">
        <f t="shared" ca="1" si="142"/>
        <v>#VALUE!</v>
      </c>
      <c r="AB195" s="186" t="e">
        <f t="shared" ca="1" si="142"/>
        <v>#VALUE!</v>
      </c>
      <c r="AC195" s="186" t="e">
        <f t="shared" ca="1" si="142"/>
        <v>#VALUE!</v>
      </c>
      <c r="AD195" s="186" t="e">
        <f t="shared" ca="1" si="142"/>
        <v>#VALUE!</v>
      </c>
      <c r="AE195" s="186" t="e">
        <f t="shared" ca="1" si="142"/>
        <v>#VALUE!</v>
      </c>
      <c r="AF195" s="186" t="e">
        <f t="shared" ca="1" si="142"/>
        <v>#VALUE!</v>
      </c>
      <c r="AG195" s="174"/>
    </row>
    <row r="196" spans="2:33">
      <c r="B196" s="191" t="s">
        <v>195</v>
      </c>
      <c r="C196" s="192">
        <f t="shared" ref="C196:AF196" si="143">IF($C$2=FALSE,"-",C195+C191)</f>
        <v>94904</v>
      </c>
      <c r="D196" s="192">
        <f t="shared" si="143"/>
        <v>106758</v>
      </c>
      <c r="E196" s="192">
        <f t="shared" si="143"/>
        <v>116371</v>
      </c>
      <c r="F196" s="192">
        <f t="shared" si="143"/>
        <v>138681</v>
      </c>
      <c r="G196" s="192">
        <f t="shared" si="143"/>
        <v>150934</v>
      </c>
      <c r="H196" s="192">
        <f t="shared" si="143"/>
        <v>162896</v>
      </c>
      <c r="I196" s="192">
        <f t="shared" si="143"/>
        <v>176064</v>
      </c>
      <c r="J196" s="192">
        <f t="shared" si="143"/>
        <v>196088</v>
      </c>
      <c r="K196" s="192">
        <f t="shared" si="143"/>
        <v>194743</v>
      </c>
      <c r="L196" s="192">
        <f t="shared" si="143"/>
        <v>194873</v>
      </c>
      <c r="M196" s="243" t="e">
        <f t="shared" ca="1" si="143"/>
        <v>#VALUE!</v>
      </c>
      <c r="N196" s="192" t="e">
        <f t="shared" ca="1" si="143"/>
        <v>#VALUE!</v>
      </c>
      <c r="O196" s="192" t="e">
        <f t="shared" ca="1" si="143"/>
        <v>#VALUE!</v>
      </c>
      <c r="P196" s="192" t="e">
        <f t="shared" ca="1" si="143"/>
        <v>#VALUE!</v>
      </c>
      <c r="Q196" s="192" t="e">
        <f t="shared" ca="1" si="143"/>
        <v>#VALUE!</v>
      </c>
      <c r="R196" s="192" t="e">
        <f t="shared" ca="1" si="143"/>
        <v>#VALUE!</v>
      </c>
      <c r="S196" s="192" t="e">
        <f t="shared" ca="1" si="143"/>
        <v>#VALUE!</v>
      </c>
      <c r="T196" s="192" t="e">
        <f t="shared" ca="1" si="143"/>
        <v>#VALUE!</v>
      </c>
      <c r="U196" s="192" t="e">
        <f t="shared" ca="1" si="143"/>
        <v>#VALUE!</v>
      </c>
      <c r="V196" s="192" t="e">
        <f t="shared" ca="1" si="143"/>
        <v>#VALUE!</v>
      </c>
      <c r="W196" s="192" t="e">
        <f t="shared" ca="1" si="143"/>
        <v>#VALUE!</v>
      </c>
      <c r="X196" s="192" t="e">
        <f t="shared" ca="1" si="143"/>
        <v>#VALUE!</v>
      </c>
      <c r="Y196" s="192" t="e">
        <f t="shared" ca="1" si="143"/>
        <v>#VALUE!</v>
      </c>
      <c r="Z196" s="192" t="e">
        <f t="shared" ca="1" si="143"/>
        <v>#VALUE!</v>
      </c>
      <c r="AA196" s="192" t="e">
        <f t="shared" ca="1" si="143"/>
        <v>#VALUE!</v>
      </c>
      <c r="AB196" s="192" t="e">
        <f t="shared" ca="1" si="143"/>
        <v>#VALUE!</v>
      </c>
      <c r="AC196" s="192" t="e">
        <f t="shared" ca="1" si="143"/>
        <v>#VALUE!</v>
      </c>
      <c r="AD196" s="192" t="e">
        <f t="shared" ca="1" si="143"/>
        <v>#VALUE!</v>
      </c>
      <c r="AE196" s="192" t="e">
        <f t="shared" ca="1" si="143"/>
        <v>#VALUE!</v>
      </c>
      <c r="AF196" s="192" t="e">
        <f t="shared" ca="1" si="143"/>
        <v>#VALUE!</v>
      </c>
      <c r="AG196" s="174"/>
    </row>
    <row r="197" spans="2:33">
      <c r="B197" s="195"/>
      <c r="C197" s="196"/>
      <c r="D197" s="196"/>
      <c r="E197" s="196"/>
      <c r="F197" s="196"/>
      <c r="G197" s="196"/>
      <c r="H197" s="196"/>
      <c r="I197" s="196"/>
      <c r="J197" s="196"/>
      <c r="K197" s="196"/>
      <c r="L197" s="196"/>
      <c r="M197" s="196"/>
      <c r="N197" s="196"/>
      <c r="O197" s="196"/>
      <c r="P197" s="196"/>
      <c r="Q197" s="196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6"/>
      <c r="AC197" s="196"/>
      <c r="AD197" s="196"/>
      <c r="AE197" s="196"/>
      <c r="AF197" s="196"/>
      <c r="AG197" s="174"/>
    </row>
    <row r="198" spans="2:33">
      <c r="B198" s="244">
        <v>1</v>
      </c>
      <c r="C198" s="245" t="str">
        <f t="shared" ref="C198:L198" si="144">IF($C$2=FALSE,"-",IF(ABS(C179-C196)&lt;=$B$198,"Balance","Error"))</f>
        <v>Balance</v>
      </c>
      <c r="D198" s="245" t="str">
        <f t="shared" si="144"/>
        <v>Balance</v>
      </c>
      <c r="E198" s="245" t="str">
        <f t="shared" si="144"/>
        <v>Balance</v>
      </c>
      <c r="F198" s="245" t="str">
        <f t="shared" si="144"/>
        <v>Balance</v>
      </c>
      <c r="G198" s="245" t="str">
        <f t="shared" si="144"/>
        <v>Balance</v>
      </c>
      <c r="H198" s="245" t="str">
        <f t="shared" si="144"/>
        <v>Balance</v>
      </c>
      <c r="I198" s="245" t="str">
        <f t="shared" si="144"/>
        <v>Balance</v>
      </c>
      <c r="J198" s="245" t="str">
        <f t="shared" si="144"/>
        <v>Balance</v>
      </c>
      <c r="K198" s="245" t="str">
        <f t="shared" si="144"/>
        <v>Balance</v>
      </c>
      <c r="L198" s="245" t="str">
        <f t="shared" si="144"/>
        <v>Error</v>
      </c>
      <c r="M198" s="246" t="e">
        <f t="shared" ref="M198:AF198" ca="1" si="145">IF($C$2=FALSE,"-",IF(ABS(M179-M196)&lt;0.005,"Balance","Error"))</f>
        <v>#VALUE!</v>
      </c>
      <c r="N198" s="245" t="e">
        <f t="shared" ca="1" si="145"/>
        <v>#VALUE!</v>
      </c>
      <c r="O198" s="245" t="e">
        <f t="shared" ca="1" si="145"/>
        <v>#VALUE!</v>
      </c>
      <c r="P198" s="245" t="e">
        <f t="shared" ca="1" si="145"/>
        <v>#VALUE!</v>
      </c>
      <c r="Q198" s="245" t="e">
        <f t="shared" ca="1" si="145"/>
        <v>#VALUE!</v>
      </c>
      <c r="R198" s="245" t="e">
        <f t="shared" ca="1" si="145"/>
        <v>#VALUE!</v>
      </c>
      <c r="S198" s="245" t="e">
        <f t="shared" ca="1" si="145"/>
        <v>#VALUE!</v>
      </c>
      <c r="T198" s="245" t="e">
        <f t="shared" ca="1" si="145"/>
        <v>#VALUE!</v>
      </c>
      <c r="U198" s="245" t="e">
        <f t="shared" ca="1" si="145"/>
        <v>#VALUE!</v>
      </c>
      <c r="V198" s="245" t="e">
        <f t="shared" ca="1" si="145"/>
        <v>#VALUE!</v>
      </c>
      <c r="W198" s="245" t="e">
        <f t="shared" ca="1" si="145"/>
        <v>#VALUE!</v>
      </c>
      <c r="X198" s="245" t="e">
        <f t="shared" ca="1" si="145"/>
        <v>#VALUE!</v>
      </c>
      <c r="Y198" s="245" t="e">
        <f t="shared" ca="1" si="145"/>
        <v>#VALUE!</v>
      </c>
      <c r="Z198" s="245" t="e">
        <f t="shared" ca="1" si="145"/>
        <v>#VALUE!</v>
      </c>
      <c r="AA198" s="245" t="e">
        <f t="shared" ca="1" si="145"/>
        <v>#VALUE!</v>
      </c>
      <c r="AB198" s="245" t="e">
        <f t="shared" ca="1" si="145"/>
        <v>#VALUE!</v>
      </c>
      <c r="AC198" s="245" t="e">
        <f t="shared" ca="1" si="145"/>
        <v>#VALUE!</v>
      </c>
      <c r="AD198" s="245" t="e">
        <f t="shared" ca="1" si="145"/>
        <v>#VALUE!</v>
      </c>
      <c r="AE198" s="245" t="e">
        <f t="shared" ca="1" si="145"/>
        <v>#VALUE!</v>
      </c>
      <c r="AF198" s="247" t="e">
        <f t="shared" ca="1" si="145"/>
        <v>#VALUE!</v>
      </c>
      <c r="AG198" s="174"/>
    </row>
    <row r="199" spans="2:33">
      <c r="B199" s="195"/>
      <c r="C199" s="198"/>
      <c r="D199" s="198"/>
      <c r="E199" s="198"/>
      <c r="F199" s="198"/>
      <c r="G199" s="198"/>
      <c r="H199" s="198"/>
      <c r="I199" s="198"/>
      <c r="J199" s="198"/>
      <c r="K199" s="198"/>
      <c r="L199" s="198"/>
      <c r="M199" s="198"/>
      <c r="N199" s="198"/>
      <c r="O199" s="198"/>
      <c r="P199" s="198"/>
      <c r="Q199" s="198"/>
      <c r="R199" s="198"/>
      <c r="S199" s="198"/>
      <c r="T199" s="198"/>
      <c r="U199" s="198"/>
      <c r="V199" s="198"/>
      <c r="W199" s="198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74"/>
    </row>
    <row r="200" spans="2:33">
      <c r="B200" s="248" t="s">
        <v>237</v>
      </c>
      <c r="C200" s="237" t="e">
        <f t="shared" ref="C200:L202" si="146">IF($C$2=FALSE,"-",NA())</f>
        <v>#N/A</v>
      </c>
      <c r="D200" s="237" t="e">
        <f t="shared" si="146"/>
        <v>#N/A</v>
      </c>
      <c r="E200" s="237" t="e">
        <f t="shared" si="146"/>
        <v>#N/A</v>
      </c>
      <c r="F200" s="237" t="e">
        <f t="shared" si="146"/>
        <v>#N/A</v>
      </c>
      <c r="G200" s="237" t="e">
        <f t="shared" si="146"/>
        <v>#N/A</v>
      </c>
      <c r="H200" s="237" t="e">
        <f t="shared" si="146"/>
        <v>#N/A</v>
      </c>
      <c r="I200" s="237" t="e">
        <f t="shared" si="146"/>
        <v>#N/A</v>
      </c>
      <c r="J200" s="237" t="e">
        <f t="shared" si="146"/>
        <v>#N/A</v>
      </c>
      <c r="K200" s="237" t="e">
        <f t="shared" si="146"/>
        <v>#N/A</v>
      </c>
      <c r="L200" s="237" t="e">
        <f t="shared" si="146"/>
        <v>#N/A</v>
      </c>
      <c r="M200" s="238">
        <f>IF($C$2=FALSE,"-",M170+M171+M172+M176+M177+M178)</f>
        <v>52668.074502696552</v>
      </c>
      <c r="N200" s="237">
        <f t="shared" ref="N200:AF200" si="147">IF($C$2=FALSE,"-",N170+N171+N172+N176+N177+N178)</f>
        <v>60057.455783788966</v>
      </c>
      <c r="O200" s="237">
        <f t="shared" si="147"/>
        <v>68483.574333766403</v>
      </c>
      <c r="P200" s="237">
        <f t="shared" si="147"/>
        <v>78091.885384103429</v>
      </c>
      <c r="Q200" s="237">
        <f t="shared" si="147"/>
        <v>89048.251674520317</v>
      </c>
      <c r="R200" s="237">
        <f t="shared" si="147"/>
        <v>101541.80664592938</v>
      </c>
      <c r="S200" s="237">
        <f t="shared" si="147"/>
        <v>115788.21934209354</v>
      </c>
      <c r="T200" s="237">
        <f t="shared" si="147"/>
        <v>132033.41738011336</v>
      </c>
      <c r="U200" s="237">
        <f t="shared" si="147"/>
        <v>150557.83225723822</v>
      </c>
      <c r="V200" s="237">
        <f t="shared" si="147"/>
        <v>171681.24027828762</v>
      </c>
      <c r="W200" s="237">
        <f t="shared" si="147"/>
        <v>195768.28266982513</v>
      </c>
      <c r="X200" s="237">
        <f t="shared" si="147"/>
        <v>223234.76017163601</v>
      </c>
      <c r="Y200" s="237">
        <f t="shared" si="147"/>
        <v>254554.81076541619</v>
      </c>
      <c r="Z200" s="237">
        <f t="shared" si="147"/>
        <v>290269.09444566886</v>
      </c>
      <c r="AA200" s="237">
        <f t="shared" si="147"/>
        <v>330994.12632179429</v>
      </c>
      <c r="AB200" s="237">
        <f t="shared" si="147"/>
        <v>377432.91916333977</v>
      </c>
      <c r="AC200" s="237">
        <f t="shared" si="147"/>
        <v>430387.1191045366</v>
      </c>
      <c r="AD200" s="237">
        <f t="shared" si="147"/>
        <v>490770.84399980551</v>
      </c>
      <c r="AE200" s="237">
        <f t="shared" si="147"/>
        <v>559626.46331378701</v>
      </c>
      <c r="AF200" s="249">
        <f t="shared" si="147"/>
        <v>638142.59194505331</v>
      </c>
      <c r="AG200" s="174"/>
    </row>
    <row r="201" spans="2:33">
      <c r="B201" s="250" t="s">
        <v>238</v>
      </c>
      <c r="C201" s="188" t="e">
        <f t="shared" si="146"/>
        <v>#N/A</v>
      </c>
      <c r="D201" s="188" t="e">
        <f t="shared" si="146"/>
        <v>#N/A</v>
      </c>
      <c r="E201" s="188" t="e">
        <f t="shared" si="146"/>
        <v>#N/A</v>
      </c>
      <c r="F201" s="188" t="e">
        <f t="shared" si="146"/>
        <v>#N/A</v>
      </c>
      <c r="G201" s="188" t="e">
        <f t="shared" si="146"/>
        <v>#N/A</v>
      </c>
      <c r="H201" s="188" t="e">
        <f t="shared" si="146"/>
        <v>#N/A</v>
      </c>
      <c r="I201" s="188" t="e">
        <f t="shared" si="146"/>
        <v>#N/A</v>
      </c>
      <c r="J201" s="188" t="e">
        <f t="shared" si="146"/>
        <v>#N/A</v>
      </c>
      <c r="K201" s="188" t="e">
        <f t="shared" si="146"/>
        <v>#N/A</v>
      </c>
      <c r="L201" s="188" t="e">
        <f t="shared" si="146"/>
        <v>#N/A</v>
      </c>
      <c r="M201" s="239" t="e">
        <f ca="1">IF($C$2=FALSE,"-",M184+M182+M186+M187+M188+M189+M190+M195)</f>
        <v>#VALUE!</v>
      </c>
      <c r="N201" s="188" t="e">
        <f t="shared" ref="N201:AF201" ca="1" si="148">IF($C$2=FALSE,"-",N184+N182+N186+N187+N188+N189+N190+N195)</f>
        <v>#VALUE!</v>
      </c>
      <c r="O201" s="188" t="e">
        <f t="shared" ca="1" si="148"/>
        <v>#VALUE!</v>
      </c>
      <c r="P201" s="188" t="e">
        <f t="shared" ca="1" si="148"/>
        <v>#VALUE!</v>
      </c>
      <c r="Q201" s="188" t="e">
        <f t="shared" ca="1" si="148"/>
        <v>#VALUE!</v>
      </c>
      <c r="R201" s="188" t="e">
        <f t="shared" ca="1" si="148"/>
        <v>#VALUE!</v>
      </c>
      <c r="S201" s="188" t="e">
        <f t="shared" ca="1" si="148"/>
        <v>#VALUE!</v>
      </c>
      <c r="T201" s="188" t="e">
        <f t="shared" ca="1" si="148"/>
        <v>#VALUE!</v>
      </c>
      <c r="U201" s="188" t="e">
        <f t="shared" ca="1" si="148"/>
        <v>#VALUE!</v>
      </c>
      <c r="V201" s="188" t="e">
        <f t="shared" ca="1" si="148"/>
        <v>#VALUE!</v>
      </c>
      <c r="W201" s="188" t="e">
        <f t="shared" ca="1" si="148"/>
        <v>#VALUE!</v>
      </c>
      <c r="X201" s="188" t="e">
        <f t="shared" ca="1" si="148"/>
        <v>#VALUE!</v>
      </c>
      <c r="Y201" s="188" t="e">
        <f t="shared" ca="1" si="148"/>
        <v>#VALUE!</v>
      </c>
      <c r="Z201" s="188" t="e">
        <f t="shared" ca="1" si="148"/>
        <v>#VALUE!</v>
      </c>
      <c r="AA201" s="188" t="e">
        <f t="shared" ca="1" si="148"/>
        <v>#VALUE!</v>
      </c>
      <c r="AB201" s="188" t="e">
        <f t="shared" ca="1" si="148"/>
        <v>#VALUE!</v>
      </c>
      <c r="AC201" s="188" t="e">
        <f t="shared" ca="1" si="148"/>
        <v>#VALUE!</v>
      </c>
      <c r="AD201" s="188" t="e">
        <f t="shared" ca="1" si="148"/>
        <v>#VALUE!</v>
      </c>
      <c r="AE201" s="188" t="e">
        <f t="shared" ca="1" si="148"/>
        <v>#VALUE!</v>
      </c>
      <c r="AF201" s="251" t="e">
        <f t="shared" ca="1" si="148"/>
        <v>#VALUE!</v>
      </c>
      <c r="AG201" s="174"/>
    </row>
    <row r="202" spans="2:33">
      <c r="B202" s="252" t="s">
        <v>239</v>
      </c>
      <c r="C202" s="192" t="e">
        <f t="shared" si="146"/>
        <v>#N/A</v>
      </c>
      <c r="D202" s="192" t="e">
        <f t="shared" si="146"/>
        <v>#N/A</v>
      </c>
      <c r="E202" s="192" t="e">
        <f t="shared" si="146"/>
        <v>#N/A</v>
      </c>
      <c r="F202" s="192" t="e">
        <f t="shared" si="146"/>
        <v>#N/A</v>
      </c>
      <c r="G202" s="192" t="e">
        <f t="shared" si="146"/>
        <v>#N/A</v>
      </c>
      <c r="H202" s="192" t="e">
        <f t="shared" si="146"/>
        <v>#N/A</v>
      </c>
      <c r="I202" s="192" t="e">
        <f t="shared" si="146"/>
        <v>#N/A</v>
      </c>
      <c r="J202" s="192" t="e">
        <f t="shared" si="146"/>
        <v>#N/A</v>
      </c>
      <c r="K202" s="192" t="e">
        <f t="shared" si="146"/>
        <v>#N/A</v>
      </c>
      <c r="L202" s="192" t="e">
        <f t="shared" si="146"/>
        <v>#N/A</v>
      </c>
      <c r="M202" s="243" t="e">
        <f ca="1">IF($C$2=FALSE,"-",M200-M201)</f>
        <v>#VALUE!</v>
      </c>
      <c r="N202" s="192" t="e">
        <f t="shared" ref="N202:AF202" ca="1" si="149">IF($C$2=FALSE,"-",N200-N201)</f>
        <v>#VALUE!</v>
      </c>
      <c r="O202" s="192" t="e">
        <f t="shared" ca="1" si="149"/>
        <v>#VALUE!</v>
      </c>
      <c r="P202" s="192" t="e">
        <f t="shared" ca="1" si="149"/>
        <v>#VALUE!</v>
      </c>
      <c r="Q202" s="192" t="e">
        <f t="shared" ca="1" si="149"/>
        <v>#VALUE!</v>
      </c>
      <c r="R202" s="192" t="e">
        <f t="shared" ca="1" si="149"/>
        <v>#VALUE!</v>
      </c>
      <c r="S202" s="192" t="e">
        <f t="shared" ca="1" si="149"/>
        <v>#VALUE!</v>
      </c>
      <c r="T202" s="192" t="e">
        <f t="shared" ca="1" si="149"/>
        <v>#VALUE!</v>
      </c>
      <c r="U202" s="192" t="e">
        <f t="shared" ca="1" si="149"/>
        <v>#VALUE!</v>
      </c>
      <c r="V202" s="192" t="e">
        <f t="shared" ca="1" si="149"/>
        <v>#VALUE!</v>
      </c>
      <c r="W202" s="192" t="e">
        <f t="shared" ca="1" si="149"/>
        <v>#VALUE!</v>
      </c>
      <c r="X202" s="192" t="e">
        <f t="shared" ca="1" si="149"/>
        <v>#VALUE!</v>
      </c>
      <c r="Y202" s="192" t="e">
        <f t="shared" ca="1" si="149"/>
        <v>#VALUE!</v>
      </c>
      <c r="Z202" s="192" t="e">
        <f t="shared" ca="1" si="149"/>
        <v>#VALUE!</v>
      </c>
      <c r="AA202" s="192" t="e">
        <f t="shared" ca="1" si="149"/>
        <v>#VALUE!</v>
      </c>
      <c r="AB202" s="192" t="e">
        <f t="shared" ca="1" si="149"/>
        <v>#VALUE!</v>
      </c>
      <c r="AC202" s="192" t="e">
        <f t="shared" ca="1" si="149"/>
        <v>#VALUE!</v>
      </c>
      <c r="AD202" s="192" t="e">
        <f t="shared" ca="1" si="149"/>
        <v>#VALUE!</v>
      </c>
      <c r="AE202" s="192" t="e">
        <f t="shared" ca="1" si="149"/>
        <v>#VALUE!</v>
      </c>
      <c r="AF202" s="253" t="e">
        <f t="shared" ca="1" si="149"/>
        <v>#VALUE!</v>
      </c>
      <c r="AG202" s="174"/>
    </row>
    <row r="203" spans="2:33">
      <c r="B203" s="254"/>
      <c r="C203" s="196"/>
      <c r="D203" s="196"/>
      <c r="E203" s="196"/>
      <c r="F203" s="196"/>
      <c r="G203" s="196"/>
      <c r="H203" s="196"/>
      <c r="I203" s="196"/>
      <c r="J203" s="196"/>
      <c r="K203" s="196"/>
      <c r="L203" s="196"/>
      <c r="M203" s="196"/>
      <c r="N203" s="196"/>
      <c r="O203" s="196"/>
      <c r="P203" s="196"/>
      <c r="Q203" s="196"/>
      <c r="R203" s="196"/>
      <c r="S203" s="196"/>
      <c r="T203" s="196"/>
      <c r="U203" s="196"/>
      <c r="V203" s="196"/>
      <c r="W203" s="196"/>
      <c r="X203" s="196"/>
      <c r="Y203" s="196"/>
      <c r="Z203" s="196"/>
      <c r="AA203" s="196"/>
      <c r="AB203" s="196"/>
      <c r="AC203" s="196"/>
      <c r="AD203" s="196"/>
      <c r="AE203" s="196"/>
      <c r="AF203" s="196"/>
      <c r="AG203" s="174"/>
    </row>
    <row r="204" spans="2:33">
      <c r="B204" s="248" t="s">
        <v>240</v>
      </c>
      <c r="C204" s="237" t="e">
        <f t="shared" ref="C204:L205" si="150">IF($C$2=FALSE,"-",NA())</f>
        <v>#N/A</v>
      </c>
      <c r="D204" s="237" t="e">
        <f t="shared" si="150"/>
        <v>#N/A</v>
      </c>
      <c r="E204" s="237" t="e">
        <f t="shared" si="150"/>
        <v>#N/A</v>
      </c>
      <c r="F204" s="237" t="e">
        <f t="shared" si="150"/>
        <v>#N/A</v>
      </c>
      <c r="G204" s="237" t="e">
        <f t="shared" si="150"/>
        <v>#N/A</v>
      </c>
      <c r="H204" s="237" t="e">
        <f t="shared" si="150"/>
        <v>#N/A</v>
      </c>
      <c r="I204" s="237" t="e">
        <f t="shared" si="150"/>
        <v>#N/A</v>
      </c>
      <c r="J204" s="237" t="e">
        <f t="shared" si="150"/>
        <v>#N/A</v>
      </c>
      <c r="K204" s="237" t="e">
        <f t="shared" si="150"/>
        <v>#N/A</v>
      </c>
      <c r="L204" s="237" t="e">
        <f t="shared" si="150"/>
        <v>#N/A</v>
      </c>
      <c r="M204" s="238" t="e">
        <f ca="1">IF($C$2=FALSE,"-",MAX(0,M202))</f>
        <v>#VALUE!</v>
      </c>
      <c r="N204" s="237" t="e">
        <f t="shared" ref="N204:AF204" ca="1" si="151">IF($C$2=FALSE,"-",MAX(0,N202))</f>
        <v>#VALUE!</v>
      </c>
      <c r="O204" s="237" t="e">
        <f t="shared" ca="1" si="151"/>
        <v>#VALUE!</v>
      </c>
      <c r="P204" s="237" t="e">
        <f t="shared" ca="1" si="151"/>
        <v>#VALUE!</v>
      </c>
      <c r="Q204" s="237" t="e">
        <f t="shared" ca="1" si="151"/>
        <v>#VALUE!</v>
      </c>
      <c r="R204" s="237" t="e">
        <f t="shared" ca="1" si="151"/>
        <v>#VALUE!</v>
      </c>
      <c r="S204" s="237" t="e">
        <f t="shared" ca="1" si="151"/>
        <v>#VALUE!</v>
      </c>
      <c r="T204" s="237" t="e">
        <f t="shared" ca="1" si="151"/>
        <v>#VALUE!</v>
      </c>
      <c r="U204" s="237" t="e">
        <f t="shared" ca="1" si="151"/>
        <v>#VALUE!</v>
      </c>
      <c r="V204" s="237" t="e">
        <f t="shared" ca="1" si="151"/>
        <v>#VALUE!</v>
      </c>
      <c r="W204" s="237" t="e">
        <f t="shared" ca="1" si="151"/>
        <v>#VALUE!</v>
      </c>
      <c r="X204" s="237" t="e">
        <f t="shared" ca="1" si="151"/>
        <v>#VALUE!</v>
      </c>
      <c r="Y204" s="237" t="e">
        <f t="shared" ca="1" si="151"/>
        <v>#VALUE!</v>
      </c>
      <c r="Z204" s="237" t="e">
        <f t="shared" ca="1" si="151"/>
        <v>#VALUE!</v>
      </c>
      <c r="AA204" s="237" t="e">
        <f t="shared" ca="1" si="151"/>
        <v>#VALUE!</v>
      </c>
      <c r="AB204" s="237" t="e">
        <f t="shared" ca="1" si="151"/>
        <v>#VALUE!</v>
      </c>
      <c r="AC204" s="237" t="e">
        <f t="shared" ca="1" si="151"/>
        <v>#VALUE!</v>
      </c>
      <c r="AD204" s="237" t="e">
        <f t="shared" ca="1" si="151"/>
        <v>#VALUE!</v>
      </c>
      <c r="AE204" s="237" t="e">
        <f t="shared" ca="1" si="151"/>
        <v>#VALUE!</v>
      </c>
      <c r="AF204" s="249" t="e">
        <f t="shared" ca="1" si="151"/>
        <v>#VALUE!</v>
      </c>
      <c r="AG204" s="174"/>
    </row>
    <row r="205" spans="2:33">
      <c r="B205" s="252" t="s">
        <v>241</v>
      </c>
      <c r="C205" s="192" t="e">
        <f t="shared" si="150"/>
        <v>#N/A</v>
      </c>
      <c r="D205" s="192" t="e">
        <f t="shared" si="150"/>
        <v>#N/A</v>
      </c>
      <c r="E205" s="192" t="e">
        <f t="shared" si="150"/>
        <v>#N/A</v>
      </c>
      <c r="F205" s="192" t="e">
        <f t="shared" si="150"/>
        <v>#N/A</v>
      </c>
      <c r="G205" s="192" t="e">
        <f t="shared" si="150"/>
        <v>#N/A</v>
      </c>
      <c r="H205" s="192" t="e">
        <f t="shared" si="150"/>
        <v>#N/A</v>
      </c>
      <c r="I205" s="192" t="e">
        <f t="shared" si="150"/>
        <v>#N/A</v>
      </c>
      <c r="J205" s="192" t="e">
        <f t="shared" si="150"/>
        <v>#N/A</v>
      </c>
      <c r="K205" s="192" t="e">
        <f t="shared" si="150"/>
        <v>#N/A</v>
      </c>
      <c r="L205" s="192" t="e">
        <f t="shared" si="150"/>
        <v>#N/A</v>
      </c>
      <c r="M205" s="243" t="e">
        <f ca="1">IF($C$2=FALSE,"-",MAX(M126*M147,-M202))</f>
        <v>#VALUE!</v>
      </c>
      <c r="N205" s="192" t="e">
        <f t="shared" ref="N205:AF205" ca="1" si="152">IF($C$2=FALSE,"-",MAX(N126*N147,-N202))</f>
        <v>#VALUE!</v>
      </c>
      <c r="O205" s="192" t="e">
        <f t="shared" ca="1" si="152"/>
        <v>#VALUE!</v>
      </c>
      <c r="P205" s="192" t="e">
        <f t="shared" ca="1" si="152"/>
        <v>#VALUE!</v>
      </c>
      <c r="Q205" s="192" t="e">
        <f t="shared" ca="1" si="152"/>
        <v>#VALUE!</v>
      </c>
      <c r="R205" s="192" t="e">
        <f t="shared" ca="1" si="152"/>
        <v>#VALUE!</v>
      </c>
      <c r="S205" s="192" t="e">
        <f t="shared" ca="1" si="152"/>
        <v>#VALUE!</v>
      </c>
      <c r="T205" s="192" t="e">
        <f t="shared" ca="1" si="152"/>
        <v>#VALUE!</v>
      </c>
      <c r="U205" s="192" t="e">
        <f t="shared" ca="1" si="152"/>
        <v>#VALUE!</v>
      </c>
      <c r="V205" s="192" t="e">
        <f t="shared" ca="1" si="152"/>
        <v>#VALUE!</v>
      </c>
      <c r="W205" s="192" t="e">
        <f t="shared" ca="1" si="152"/>
        <v>#VALUE!</v>
      </c>
      <c r="X205" s="192" t="e">
        <f t="shared" ca="1" si="152"/>
        <v>#VALUE!</v>
      </c>
      <c r="Y205" s="192" t="e">
        <f t="shared" ca="1" si="152"/>
        <v>#VALUE!</v>
      </c>
      <c r="Z205" s="192" t="e">
        <f t="shared" ca="1" si="152"/>
        <v>#VALUE!</v>
      </c>
      <c r="AA205" s="192" t="e">
        <f t="shared" ca="1" si="152"/>
        <v>#VALUE!</v>
      </c>
      <c r="AB205" s="192" t="e">
        <f t="shared" ca="1" si="152"/>
        <v>#VALUE!</v>
      </c>
      <c r="AC205" s="192" t="e">
        <f t="shared" ca="1" si="152"/>
        <v>#VALUE!</v>
      </c>
      <c r="AD205" s="192" t="e">
        <f t="shared" ca="1" si="152"/>
        <v>#VALUE!</v>
      </c>
      <c r="AE205" s="192" t="e">
        <f t="shared" ca="1" si="152"/>
        <v>#VALUE!</v>
      </c>
      <c r="AF205" s="253" t="e">
        <f t="shared" ca="1" si="152"/>
        <v>#VALUE!</v>
      </c>
      <c r="AG205" s="174"/>
    </row>
    <row r="206" spans="2:33">
      <c r="B206" s="195"/>
      <c r="C206" s="174"/>
      <c r="D206" s="174"/>
      <c r="E206" s="174"/>
      <c r="F206" s="174"/>
      <c r="G206" s="174"/>
      <c r="H206" s="174"/>
      <c r="I206" s="174"/>
      <c r="J206" s="174"/>
      <c r="K206" s="174"/>
      <c r="L206" s="255"/>
      <c r="M206" s="255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74"/>
    </row>
    <row r="207" spans="2:33">
      <c r="B207" s="204" t="s">
        <v>242</v>
      </c>
      <c r="C207" s="175">
        <f t="shared" ref="C207:AF207" si="153">IF($C$2=FALSE,"-",C164)</f>
        <v>2004</v>
      </c>
      <c r="D207" s="175">
        <f t="shared" si="153"/>
        <v>2005</v>
      </c>
      <c r="E207" s="175">
        <f t="shared" si="153"/>
        <v>2006</v>
      </c>
      <c r="F207" s="175">
        <f t="shared" si="153"/>
        <v>2007</v>
      </c>
      <c r="G207" s="175">
        <f t="shared" si="153"/>
        <v>2008</v>
      </c>
      <c r="H207" s="175">
        <f t="shared" si="153"/>
        <v>2009</v>
      </c>
      <c r="I207" s="175">
        <f t="shared" si="153"/>
        <v>2010</v>
      </c>
      <c r="J207" s="175">
        <f t="shared" si="153"/>
        <v>2011</v>
      </c>
      <c r="K207" s="175">
        <f t="shared" si="153"/>
        <v>2012</v>
      </c>
      <c r="L207" s="175">
        <f t="shared" si="153"/>
        <v>2013</v>
      </c>
      <c r="M207" s="230">
        <f t="shared" si="153"/>
        <v>2014</v>
      </c>
      <c r="N207" s="230">
        <f t="shared" si="153"/>
        <v>2015</v>
      </c>
      <c r="O207" s="230">
        <f t="shared" si="153"/>
        <v>2016</v>
      </c>
      <c r="P207" s="230">
        <f t="shared" si="153"/>
        <v>2017</v>
      </c>
      <c r="Q207" s="230">
        <f t="shared" si="153"/>
        <v>2018</v>
      </c>
      <c r="R207" s="230">
        <f t="shared" si="153"/>
        <v>2019</v>
      </c>
      <c r="S207" s="230">
        <f t="shared" si="153"/>
        <v>2020</v>
      </c>
      <c r="T207" s="230">
        <f t="shared" si="153"/>
        <v>2021</v>
      </c>
      <c r="U207" s="230">
        <f t="shared" si="153"/>
        <v>2022</v>
      </c>
      <c r="V207" s="230">
        <f t="shared" si="153"/>
        <v>2023</v>
      </c>
      <c r="W207" s="230">
        <f t="shared" si="153"/>
        <v>2024</v>
      </c>
      <c r="X207" s="230">
        <f t="shared" si="153"/>
        <v>2025</v>
      </c>
      <c r="Y207" s="230">
        <f t="shared" si="153"/>
        <v>2026</v>
      </c>
      <c r="Z207" s="230">
        <f t="shared" si="153"/>
        <v>2027</v>
      </c>
      <c r="AA207" s="230">
        <f t="shared" si="153"/>
        <v>2028</v>
      </c>
      <c r="AB207" s="230">
        <f t="shared" si="153"/>
        <v>2029</v>
      </c>
      <c r="AC207" s="230">
        <f t="shared" si="153"/>
        <v>2030</v>
      </c>
      <c r="AD207" s="230">
        <f t="shared" si="153"/>
        <v>2031</v>
      </c>
      <c r="AE207" s="230">
        <f t="shared" si="153"/>
        <v>2032</v>
      </c>
      <c r="AF207" s="230">
        <f t="shared" si="153"/>
        <v>2033</v>
      </c>
      <c r="AG207" s="174"/>
    </row>
    <row r="208" spans="2:33">
      <c r="B208" s="174"/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  <c r="P208" s="174"/>
      <c r="Q208" s="174"/>
      <c r="R208" s="174"/>
      <c r="S208" s="174"/>
      <c r="T208" s="174"/>
      <c r="U208" s="174"/>
      <c r="V208" s="174"/>
      <c r="W208" s="174"/>
      <c r="X208" s="174"/>
      <c r="Y208" s="174"/>
      <c r="Z208" s="174"/>
      <c r="AA208" s="174"/>
      <c r="AB208" s="174"/>
      <c r="AC208" s="174"/>
      <c r="AD208" s="174"/>
      <c r="AE208" s="174"/>
      <c r="AF208" s="174"/>
      <c r="AG208" s="174"/>
    </row>
    <row r="209" spans="2:33">
      <c r="B209" s="256" t="s">
        <v>164</v>
      </c>
      <c r="C209" s="237">
        <f t="shared" ref="C209:AF209" si="154">IF($C$2=FALSE,"-",C154+C151)</f>
        <v>8334</v>
      </c>
      <c r="D209" s="237">
        <f t="shared" si="154"/>
        <v>10032</v>
      </c>
      <c r="E209" s="237">
        <f t="shared" si="154"/>
        <v>9334</v>
      </c>
      <c r="F209" s="237">
        <f t="shared" si="154"/>
        <v>18198</v>
      </c>
      <c r="G209" s="237">
        <f t="shared" si="154"/>
        <v>16272</v>
      </c>
      <c r="H209" s="237">
        <f t="shared" si="154"/>
        <v>12696</v>
      </c>
      <c r="I209" s="237">
        <f t="shared" si="154"/>
        <v>11874</v>
      </c>
      <c r="J209" s="237">
        <f t="shared" si="154"/>
        <v>19260</v>
      </c>
      <c r="K209" s="237">
        <f t="shared" si="154"/>
        <v>14597</v>
      </c>
      <c r="L209" s="237">
        <f t="shared" si="154"/>
        <v>9488</v>
      </c>
      <c r="M209" s="238">
        <f t="shared" si="154"/>
        <v>10086.581569407226</v>
      </c>
      <c r="N209" s="237">
        <f t="shared" si="154"/>
        <v>11501.738621244645</v>
      </c>
      <c r="O209" s="237">
        <f t="shared" si="154"/>
        <v>13115.443562432334</v>
      </c>
      <c r="P209" s="237">
        <f t="shared" si="154"/>
        <v>14955.552851950781</v>
      </c>
      <c r="Q209" s="237">
        <f t="shared" si="154"/>
        <v>17053.831236647286</v>
      </c>
      <c r="R209" s="237">
        <f t="shared" si="154"/>
        <v>19446.500087765788</v>
      </c>
      <c r="S209" s="237">
        <f t="shared" si="154"/>
        <v>22174.862669616796</v>
      </c>
      <c r="T209" s="237">
        <f t="shared" si="154"/>
        <v>25286.017134040441</v>
      </c>
      <c r="U209" s="237">
        <f t="shared" si="154"/>
        <v>28833.669548675309</v>
      </c>
      <c r="V209" s="237">
        <f t="shared" si="154"/>
        <v>32879.060993871899</v>
      </c>
      <c r="W209" s="237">
        <f t="shared" si="154"/>
        <v>37492.024732190715</v>
      </c>
      <c r="X209" s="237">
        <f t="shared" si="154"/>
        <v>42752.19169979306</v>
      </c>
      <c r="Y209" s="237">
        <f t="shared" si="154"/>
        <v>48750.365129428319</v>
      </c>
      <c r="Z209" s="237">
        <f t="shared" si="154"/>
        <v>55590.08803434248</v>
      </c>
      <c r="AA209" s="237">
        <f t="shared" si="154"/>
        <v>63389.43061167968</v>
      </c>
      <c r="AB209" s="237">
        <f t="shared" si="154"/>
        <v>72283.028420292758</v>
      </c>
      <c r="AC209" s="237">
        <f t="shared" si="154"/>
        <v>82424.406516851683</v>
      </c>
      <c r="AD209" s="237">
        <f t="shared" si="154"/>
        <v>93988.629670473762</v>
      </c>
      <c r="AE209" s="237">
        <f t="shared" si="154"/>
        <v>107175.32440500343</v>
      </c>
      <c r="AF209" s="249">
        <f t="shared" si="154"/>
        <v>122212.12503671805</v>
      </c>
      <c r="AG209" s="174"/>
    </row>
    <row r="210" spans="2:33">
      <c r="B210" s="257" t="s">
        <v>243</v>
      </c>
      <c r="C210" s="258">
        <f t="shared" ref="C210:AF210" si="155">IF($C$2=FALSE,"-",C159/C147)</f>
        <v>0.24271293631167146</v>
      </c>
      <c r="D210" s="258">
        <f t="shared" si="155"/>
        <v>0.25578383675755134</v>
      </c>
      <c r="E210" s="258">
        <f t="shared" si="155"/>
        <v>0.23427661832331093</v>
      </c>
      <c r="F210" s="258">
        <f t="shared" si="155"/>
        <v>0.28195886301340295</v>
      </c>
      <c r="G210" s="258">
        <f t="shared" si="155"/>
        <v>0.2965855152350329</v>
      </c>
      <c r="H210" s="258">
        <f t="shared" si="155"/>
        <v>0.25194871941295721</v>
      </c>
      <c r="I210" s="258">
        <f t="shared" si="155"/>
        <v>0.2286325974531502</v>
      </c>
      <c r="J210" s="258">
        <f t="shared" si="155"/>
        <v>0.23991047842676841</v>
      </c>
      <c r="K210" s="258">
        <f t="shared" si="155"/>
        <v>0.2189528243469486</v>
      </c>
      <c r="L210" s="258">
        <f t="shared" si="155"/>
        <v>0.19534014664666083</v>
      </c>
      <c r="M210" s="259" t="e">
        <f t="shared" ca="1" si="155"/>
        <v>#VALUE!</v>
      </c>
      <c r="N210" s="258" t="e">
        <f t="shared" ca="1" si="155"/>
        <v>#VALUE!</v>
      </c>
      <c r="O210" s="258" t="e">
        <f t="shared" ca="1" si="155"/>
        <v>#VALUE!</v>
      </c>
      <c r="P210" s="258" t="e">
        <f t="shared" ca="1" si="155"/>
        <v>#VALUE!</v>
      </c>
      <c r="Q210" s="258" t="e">
        <f t="shared" ca="1" si="155"/>
        <v>#VALUE!</v>
      </c>
      <c r="R210" s="258" t="e">
        <f t="shared" ca="1" si="155"/>
        <v>#VALUE!</v>
      </c>
      <c r="S210" s="258" t="e">
        <f t="shared" ca="1" si="155"/>
        <v>#VALUE!</v>
      </c>
      <c r="T210" s="258" t="e">
        <f t="shared" ca="1" si="155"/>
        <v>#VALUE!</v>
      </c>
      <c r="U210" s="258" t="e">
        <f t="shared" ca="1" si="155"/>
        <v>#VALUE!</v>
      </c>
      <c r="V210" s="258" t="e">
        <f t="shared" ca="1" si="155"/>
        <v>#VALUE!</v>
      </c>
      <c r="W210" s="258" t="e">
        <f t="shared" ca="1" si="155"/>
        <v>#VALUE!</v>
      </c>
      <c r="X210" s="258" t="e">
        <f t="shared" ca="1" si="155"/>
        <v>#VALUE!</v>
      </c>
      <c r="Y210" s="258" t="e">
        <f t="shared" ca="1" si="155"/>
        <v>#VALUE!</v>
      </c>
      <c r="Z210" s="258" t="e">
        <f t="shared" ca="1" si="155"/>
        <v>#VALUE!</v>
      </c>
      <c r="AA210" s="258" t="e">
        <f t="shared" ca="1" si="155"/>
        <v>#VALUE!</v>
      </c>
      <c r="AB210" s="258" t="e">
        <f t="shared" ca="1" si="155"/>
        <v>#VALUE!</v>
      </c>
      <c r="AC210" s="258" t="e">
        <f t="shared" ca="1" si="155"/>
        <v>#VALUE!</v>
      </c>
      <c r="AD210" s="258" t="e">
        <f t="shared" ca="1" si="155"/>
        <v>#VALUE!</v>
      </c>
      <c r="AE210" s="258" t="e">
        <f t="shared" ca="1" si="155"/>
        <v>#VALUE!</v>
      </c>
      <c r="AF210" s="260" t="e">
        <f t="shared" ca="1" si="155"/>
        <v>#VALUE!</v>
      </c>
      <c r="AG210" s="174"/>
    </row>
    <row r="211" spans="2:33">
      <c r="B211" s="261" t="s">
        <v>244</v>
      </c>
      <c r="C211" s="262">
        <f t="shared" ref="C211:AF211" si="156">IF($C$2=FALSE,"-",(C147-C148)/C148)</f>
        <v>0.76004281127363538</v>
      </c>
      <c r="D211" s="262">
        <f t="shared" si="156"/>
        <v>0.76713260761999014</v>
      </c>
      <c r="E211" s="262">
        <f t="shared" si="156"/>
        <v>0.72936930323606775</v>
      </c>
      <c r="F211" s="262">
        <f t="shared" si="156"/>
        <v>0.86009073025813965</v>
      </c>
      <c r="G211" s="262">
        <f t="shared" si="156"/>
        <v>0.9709284780203199</v>
      </c>
      <c r="H211" s="262">
        <f t="shared" si="156"/>
        <v>0.82468479733249977</v>
      </c>
      <c r="I211" s="262">
        <f t="shared" si="156"/>
        <v>0.74727944034201321</v>
      </c>
      <c r="J211" s="262">
        <f t="shared" si="156"/>
        <v>0.71077077579713788</v>
      </c>
      <c r="K211" s="262">
        <f t="shared" si="156"/>
        <v>0.70577419607229486</v>
      </c>
      <c r="L211" s="262">
        <f t="shared" si="156"/>
        <v>0.58406206556347817</v>
      </c>
      <c r="M211" s="263">
        <f t="shared" si="156"/>
        <v>0.55294879478223613</v>
      </c>
      <c r="N211" s="262">
        <f t="shared" si="156"/>
        <v>0.55294879478223613</v>
      </c>
      <c r="O211" s="262">
        <f t="shared" si="156"/>
        <v>0.55294879478223613</v>
      </c>
      <c r="P211" s="262">
        <f t="shared" si="156"/>
        <v>0.55294879478223613</v>
      </c>
      <c r="Q211" s="262">
        <f t="shared" si="156"/>
        <v>0.55294879478223613</v>
      </c>
      <c r="R211" s="262">
        <f t="shared" si="156"/>
        <v>0.55294879478223613</v>
      </c>
      <c r="S211" s="262">
        <f t="shared" si="156"/>
        <v>0.55294879478223602</v>
      </c>
      <c r="T211" s="262">
        <f t="shared" si="156"/>
        <v>0.55294879478223613</v>
      </c>
      <c r="U211" s="262">
        <f t="shared" si="156"/>
        <v>0.55294879478223624</v>
      </c>
      <c r="V211" s="262">
        <f t="shared" si="156"/>
        <v>0.55294879478223613</v>
      </c>
      <c r="W211" s="262">
        <f t="shared" si="156"/>
        <v>0.55294879478223613</v>
      </c>
      <c r="X211" s="262">
        <f t="shared" si="156"/>
        <v>0.55294879478223613</v>
      </c>
      <c r="Y211" s="262">
        <f t="shared" si="156"/>
        <v>0.55294879478223613</v>
      </c>
      <c r="Z211" s="262">
        <f t="shared" si="156"/>
        <v>0.55294879478223624</v>
      </c>
      <c r="AA211" s="262">
        <f t="shared" si="156"/>
        <v>0.55294879478223613</v>
      </c>
      <c r="AB211" s="262">
        <f t="shared" si="156"/>
        <v>0.55294879478223624</v>
      </c>
      <c r="AC211" s="262">
        <f t="shared" si="156"/>
        <v>0.55294879478223602</v>
      </c>
      <c r="AD211" s="262">
        <f t="shared" si="156"/>
        <v>0.55294879478223613</v>
      </c>
      <c r="AE211" s="262">
        <f t="shared" si="156"/>
        <v>0.55294879478223602</v>
      </c>
      <c r="AF211" s="264">
        <f t="shared" si="156"/>
        <v>0.55294879478223613</v>
      </c>
      <c r="AG211" s="174"/>
    </row>
    <row r="212" spans="2:33">
      <c r="B212" s="174"/>
      <c r="C212" s="174"/>
      <c r="D212" s="174"/>
      <c r="E212" s="174"/>
      <c r="F212" s="174"/>
      <c r="G212" s="174"/>
      <c r="H212" s="174"/>
      <c r="I212" s="174"/>
      <c r="J212" s="174"/>
      <c r="K212" s="174"/>
      <c r="L212" s="174"/>
      <c r="M212" s="174"/>
      <c r="N212" s="174"/>
      <c r="O212" s="174"/>
      <c r="P212" s="174"/>
      <c r="Q212" s="174"/>
      <c r="R212" s="174"/>
      <c r="S212" s="174"/>
      <c r="T212" s="174"/>
      <c r="U212" s="174"/>
      <c r="V212" s="174"/>
      <c r="W212" s="174"/>
      <c r="X212" s="174"/>
      <c r="Y212" s="174"/>
      <c r="Z212" s="174"/>
      <c r="AA212" s="174"/>
      <c r="AB212" s="174"/>
      <c r="AC212" s="174"/>
      <c r="AD212" s="174"/>
      <c r="AE212" s="174"/>
      <c r="AF212" s="174"/>
      <c r="AG212" s="174"/>
    </row>
    <row r="213" spans="2:33">
      <c r="B213" s="256" t="s">
        <v>244</v>
      </c>
      <c r="C213" s="208">
        <f t="shared" ref="C213:L213" si="157">IF($C$2=FALSE,"-",C10/C6)</f>
        <v>0.4318320022702396</v>
      </c>
      <c r="D213" s="208">
        <f t="shared" si="157"/>
        <v>0.43411151167267509</v>
      </c>
      <c r="E213" s="208">
        <f t="shared" si="157"/>
        <v>0.42175451008135834</v>
      </c>
      <c r="F213" s="208">
        <f t="shared" si="157"/>
        <v>0.46239181576845878</v>
      </c>
      <c r="G213" s="208">
        <f t="shared" si="157"/>
        <v>0.49262491706221612</v>
      </c>
      <c r="H213" s="208">
        <f t="shared" si="157"/>
        <v>0.4519601404791137</v>
      </c>
      <c r="I213" s="208">
        <f t="shared" si="157"/>
        <v>0.42768169938275036</v>
      </c>
      <c r="J213" s="208">
        <f t="shared" si="157"/>
        <v>0.41546815380099794</v>
      </c>
      <c r="K213" s="208">
        <f t="shared" si="157"/>
        <v>0.4137559342247093</v>
      </c>
      <c r="L213" s="208">
        <f t="shared" si="157"/>
        <v>0.36871160433711747</v>
      </c>
      <c r="M213" s="265">
        <f t="shared" ref="M213:AF213" si="158">IF($C$2=FALSE,"-",M149/M147)</f>
        <v>0.35606376503854648</v>
      </c>
      <c r="N213" s="208">
        <f t="shared" si="158"/>
        <v>0.35606376503854653</v>
      </c>
      <c r="O213" s="208">
        <f t="shared" si="158"/>
        <v>0.35606376503854653</v>
      </c>
      <c r="P213" s="208">
        <f t="shared" si="158"/>
        <v>0.35606376503854653</v>
      </c>
      <c r="Q213" s="208">
        <f t="shared" si="158"/>
        <v>0.35606376503854653</v>
      </c>
      <c r="R213" s="208">
        <f t="shared" si="158"/>
        <v>0.35606376503854653</v>
      </c>
      <c r="S213" s="208">
        <f t="shared" si="158"/>
        <v>0.35606376503854648</v>
      </c>
      <c r="T213" s="208">
        <f t="shared" si="158"/>
        <v>0.35606376503854653</v>
      </c>
      <c r="U213" s="208">
        <f t="shared" si="158"/>
        <v>0.35606376503854659</v>
      </c>
      <c r="V213" s="208">
        <f t="shared" si="158"/>
        <v>0.35606376503854653</v>
      </c>
      <c r="W213" s="208">
        <f t="shared" si="158"/>
        <v>0.35606376503854653</v>
      </c>
      <c r="X213" s="208">
        <f t="shared" si="158"/>
        <v>0.35606376503854653</v>
      </c>
      <c r="Y213" s="208">
        <f t="shared" si="158"/>
        <v>0.35606376503854653</v>
      </c>
      <c r="Z213" s="208">
        <f t="shared" si="158"/>
        <v>0.35606376503854659</v>
      </c>
      <c r="AA213" s="208">
        <f t="shared" si="158"/>
        <v>0.35606376503854653</v>
      </c>
      <c r="AB213" s="208">
        <f t="shared" si="158"/>
        <v>0.35606376503854653</v>
      </c>
      <c r="AC213" s="208">
        <f t="shared" si="158"/>
        <v>0.35606376503854648</v>
      </c>
      <c r="AD213" s="208">
        <f t="shared" si="158"/>
        <v>0.35606376503854648</v>
      </c>
      <c r="AE213" s="208">
        <f t="shared" si="158"/>
        <v>0.35606376503854648</v>
      </c>
      <c r="AF213" s="266">
        <f t="shared" si="158"/>
        <v>0.35606376503854653</v>
      </c>
      <c r="AG213" s="193"/>
    </row>
    <row r="214" spans="2:33">
      <c r="B214" s="257" t="s">
        <v>245</v>
      </c>
      <c r="C214" s="213">
        <f t="shared" ref="C214:L214" si="159">IF($C$2=FALSE,"-",C26/C6)</f>
        <v>0.24271293631167146</v>
      </c>
      <c r="D214" s="213">
        <f t="shared" si="159"/>
        <v>0.25578383675755134</v>
      </c>
      <c r="E214" s="213">
        <f t="shared" si="159"/>
        <v>0.23427661832331093</v>
      </c>
      <c r="F214" s="213">
        <f t="shared" si="159"/>
        <v>0.28195886301340295</v>
      </c>
      <c r="G214" s="213">
        <f t="shared" si="159"/>
        <v>0.2965855152350329</v>
      </c>
      <c r="H214" s="213">
        <f t="shared" si="159"/>
        <v>0.25194871941295721</v>
      </c>
      <c r="I214" s="213">
        <f t="shared" si="159"/>
        <v>0.2286325974531502</v>
      </c>
      <c r="J214" s="213">
        <f t="shared" si="159"/>
        <v>0.23991047842676841</v>
      </c>
      <c r="K214" s="213">
        <f t="shared" si="159"/>
        <v>0.2189528243469486</v>
      </c>
      <c r="L214" s="213">
        <f t="shared" si="159"/>
        <v>0.19534014664666083</v>
      </c>
      <c r="M214" s="267" t="e">
        <f t="shared" ref="M214:AF214" ca="1" si="160">IF($C$2=FALSE,"-",M159/M147)</f>
        <v>#VALUE!</v>
      </c>
      <c r="N214" s="213" t="e">
        <f t="shared" ca="1" si="160"/>
        <v>#VALUE!</v>
      </c>
      <c r="O214" s="213" t="e">
        <f t="shared" ca="1" si="160"/>
        <v>#VALUE!</v>
      </c>
      <c r="P214" s="213" t="e">
        <f t="shared" ca="1" si="160"/>
        <v>#VALUE!</v>
      </c>
      <c r="Q214" s="213" t="e">
        <f t="shared" ca="1" si="160"/>
        <v>#VALUE!</v>
      </c>
      <c r="R214" s="213" t="e">
        <f t="shared" ca="1" si="160"/>
        <v>#VALUE!</v>
      </c>
      <c r="S214" s="213" t="e">
        <f t="shared" ca="1" si="160"/>
        <v>#VALUE!</v>
      </c>
      <c r="T214" s="213" t="e">
        <f t="shared" ca="1" si="160"/>
        <v>#VALUE!</v>
      </c>
      <c r="U214" s="213" t="e">
        <f t="shared" ca="1" si="160"/>
        <v>#VALUE!</v>
      </c>
      <c r="V214" s="213" t="e">
        <f t="shared" ca="1" si="160"/>
        <v>#VALUE!</v>
      </c>
      <c r="W214" s="213" t="e">
        <f t="shared" ca="1" si="160"/>
        <v>#VALUE!</v>
      </c>
      <c r="X214" s="213" t="e">
        <f t="shared" ca="1" si="160"/>
        <v>#VALUE!</v>
      </c>
      <c r="Y214" s="213" t="e">
        <f t="shared" ca="1" si="160"/>
        <v>#VALUE!</v>
      </c>
      <c r="Z214" s="213" t="e">
        <f t="shared" ca="1" si="160"/>
        <v>#VALUE!</v>
      </c>
      <c r="AA214" s="213" t="e">
        <f t="shared" ca="1" si="160"/>
        <v>#VALUE!</v>
      </c>
      <c r="AB214" s="213" t="e">
        <f t="shared" ca="1" si="160"/>
        <v>#VALUE!</v>
      </c>
      <c r="AC214" s="213" t="e">
        <f t="shared" ca="1" si="160"/>
        <v>#VALUE!</v>
      </c>
      <c r="AD214" s="213" t="e">
        <f t="shared" ca="1" si="160"/>
        <v>#VALUE!</v>
      </c>
      <c r="AE214" s="213" t="e">
        <f t="shared" ca="1" si="160"/>
        <v>#VALUE!</v>
      </c>
      <c r="AF214" s="268" t="e">
        <f t="shared" ca="1" si="160"/>
        <v>#VALUE!</v>
      </c>
      <c r="AG214" s="193"/>
    </row>
    <row r="215" spans="2:33">
      <c r="B215" s="257" t="s">
        <v>246</v>
      </c>
      <c r="C215" s="213">
        <f t="shared" ref="C215:L215" si="161">IF($C$2=FALSE,"-",C26/C52)</f>
        <v>6.3084801483604486E-2</v>
      </c>
      <c r="D215" s="213">
        <f t="shared" si="161"/>
        <v>6.8453886359804414E-2</v>
      </c>
      <c r="E215" s="213">
        <f t="shared" si="161"/>
        <v>5.6912804736575263E-2</v>
      </c>
      <c r="F215" s="213">
        <f t="shared" si="161"/>
        <v>9.4201801256120155E-2</v>
      </c>
      <c r="G215" s="213">
        <f t="shared" si="161"/>
        <v>7.7000543283819417E-2</v>
      </c>
      <c r="H215" s="213">
        <f t="shared" si="161"/>
        <v>5.4169531480208234E-2</v>
      </c>
      <c r="I215" s="213">
        <f t="shared" si="161"/>
        <v>4.670460741548528E-2</v>
      </c>
      <c r="J215" s="213">
        <f t="shared" si="161"/>
        <v>6.6694545306189054E-2</v>
      </c>
      <c r="K215" s="213">
        <f t="shared" si="161"/>
        <v>4.9023584929881944E-2</v>
      </c>
      <c r="L215" s="213">
        <f t="shared" si="161"/>
        <v>6.2209239424429297E-2</v>
      </c>
      <c r="M215" s="267" t="e">
        <f t="shared" ref="M215:AF215" ca="1" si="162">IF($C$2=FALSE,"-",M159/M179)</f>
        <v>#VALUE!</v>
      </c>
      <c r="N215" s="213" t="e">
        <f t="shared" ca="1" si="162"/>
        <v>#VALUE!</v>
      </c>
      <c r="O215" s="213" t="e">
        <f t="shared" ca="1" si="162"/>
        <v>#VALUE!</v>
      </c>
      <c r="P215" s="213" t="e">
        <f t="shared" ca="1" si="162"/>
        <v>#VALUE!</v>
      </c>
      <c r="Q215" s="213" t="e">
        <f t="shared" ca="1" si="162"/>
        <v>#VALUE!</v>
      </c>
      <c r="R215" s="213" t="e">
        <f t="shared" ca="1" si="162"/>
        <v>#VALUE!</v>
      </c>
      <c r="S215" s="213" t="e">
        <f t="shared" ca="1" si="162"/>
        <v>#VALUE!</v>
      </c>
      <c r="T215" s="213" t="e">
        <f t="shared" ca="1" si="162"/>
        <v>#VALUE!</v>
      </c>
      <c r="U215" s="213" t="e">
        <f t="shared" ca="1" si="162"/>
        <v>#VALUE!</v>
      </c>
      <c r="V215" s="213" t="e">
        <f t="shared" ca="1" si="162"/>
        <v>#VALUE!</v>
      </c>
      <c r="W215" s="213" t="e">
        <f t="shared" ca="1" si="162"/>
        <v>#VALUE!</v>
      </c>
      <c r="X215" s="213" t="e">
        <f t="shared" ca="1" si="162"/>
        <v>#VALUE!</v>
      </c>
      <c r="Y215" s="213" t="e">
        <f t="shared" ca="1" si="162"/>
        <v>#VALUE!</v>
      </c>
      <c r="Z215" s="213" t="e">
        <f t="shared" ca="1" si="162"/>
        <v>#VALUE!</v>
      </c>
      <c r="AA215" s="213" t="e">
        <f t="shared" ca="1" si="162"/>
        <v>#VALUE!</v>
      </c>
      <c r="AB215" s="213" t="e">
        <f t="shared" ca="1" si="162"/>
        <v>#VALUE!</v>
      </c>
      <c r="AC215" s="213" t="e">
        <f t="shared" ca="1" si="162"/>
        <v>#VALUE!</v>
      </c>
      <c r="AD215" s="213" t="e">
        <f t="shared" ca="1" si="162"/>
        <v>#VALUE!</v>
      </c>
      <c r="AE215" s="213" t="e">
        <f t="shared" ca="1" si="162"/>
        <v>#VALUE!</v>
      </c>
      <c r="AF215" s="268" t="e">
        <f t="shared" ca="1" si="162"/>
        <v>#VALUE!</v>
      </c>
      <c r="AG215" s="193"/>
    </row>
    <row r="216" spans="2:33">
      <c r="B216" s="257" t="s">
        <v>247</v>
      </c>
      <c r="C216" s="213">
        <f t="shared" ref="C216:L216" si="163">IF($C$2=FALSE,"-",C26/C77)</f>
        <v>9.7386014281763911E-2</v>
      </c>
      <c r="D216" s="213">
        <f t="shared" si="163"/>
        <v>0.10538915247393392</v>
      </c>
      <c r="E216" s="213">
        <f t="shared" si="163"/>
        <v>8.6445213078378907E-2</v>
      </c>
      <c r="F216" s="213">
        <f t="shared" si="163"/>
        <v>0.14506851444688743</v>
      </c>
      <c r="G216" s="213">
        <f t="shared" si="163"/>
        <v>0.11338757829421062</v>
      </c>
      <c r="H216" s="213">
        <f t="shared" si="163"/>
        <v>7.8964795160453169E-2</v>
      </c>
      <c r="I216" s="213">
        <f t="shared" si="163"/>
        <v>6.9562642754420104E-2</v>
      </c>
      <c r="J216" s="213">
        <f t="shared" si="163"/>
        <v>0.10269659039153173</v>
      </c>
      <c r="K216" s="213">
        <f t="shared" si="163"/>
        <v>7.0462764779688533E-2</v>
      </c>
      <c r="L216" s="213">
        <f t="shared" si="163"/>
        <v>5.5830663171181669E-2</v>
      </c>
      <c r="M216" s="267" t="e">
        <f t="shared" ref="M216:AF216" ca="1" si="164">IF($C$2=FALSE,"-",M159/M195)</f>
        <v>#VALUE!</v>
      </c>
      <c r="N216" s="213" t="e">
        <f t="shared" ca="1" si="164"/>
        <v>#VALUE!</v>
      </c>
      <c r="O216" s="213" t="e">
        <f t="shared" ca="1" si="164"/>
        <v>#VALUE!</v>
      </c>
      <c r="P216" s="213" t="e">
        <f t="shared" ca="1" si="164"/>
        <v>#VALUE!</v>
      </c>
      <c r="Q216" s="213" t="e">
        <f t="shared" ca="1" si="164"/>
        <v>#VALUE!</v>
      </c>
      <c r="R216" s="213" t="e">
        <f t="shared" ca="1" si="164"/>
        <v>#VALUE!</v>
      </c>
      <c r="S216" s="213" t="e">
        <f t="shared" ca="1" si="164"/>
        <v>#VALUE!</v>
      </c>
      <c r="T216" s="213" t="e">
        <f t="shared" ca="1" si="164"/>
        <v>#VALUE!</v>
      </c>
      <c r="U216" s="213" t="e">
        <f t="shared" ca="1" si="164"/>
        <v>#VALUE!</v>
      </c>
      <c r="V216" s="213" t="e">
        <f t="shared" ca="1" si="164"/>
        <v>#VALUE!</v>
      </c>
      <c r="W216" s="213" t="e">
        <f t="shared" ca="1" si="164"/>
        <v>#VALUE!</v>
      </c>
      <c r="X216" s="213" t="e">
        <f t="shared" ca="1" si="164"/>
        <v>#VALUE!</v>
      </c>
      <c r="Y216" s="213" t="e">
        <f t="shared" ca="1" si="164"/>
        <v>#VALUE!</v>
      </c>
      <c r="Z216" s="213" t="e">
        <f t="shared" ca="1" si="164"/>
        <v>#VALUE!</v>
      </c>
      <c r="AA216" s="213" t="e">
        <f t="shared" ca="1" si="164"/>
        <v>#VALUE!</v>
      </c>
      <c r="AB216" s="213" t="e">
        <f t="shared" ca="1" si="164"/>
        <v>#VALUE!</v>
      </c>
      <c r="AC216" s="213" t="e">
        <f t="shared" ca="1" si="164"/>
        <v>#VALUE!</v>
      </c>
      <c r="AD216" s="213" t="e">
        <f t="shared" ca="1" si="164"/>
        <v>#VALUE!</v>
      </c>
      <c r="AE216" s="213" t="e">
        <f t="shared" ca="1" si="164"/>
        <v>#VALUE!</v>
      </c>
      <c r="AF216" s="268" t="e">
        <f t="shared" ca="1" si="164"/>
        <v>#VALUE!</v>
      </c>
      <c r="AG216" s="193"/>
    </row>
    <row r="217" spans="2:33">
      <c r="B217" s="257" t="s">
        <v>248</v>
      </c>
      <c r="C217" s="269">
        <f t="shared" ref="C217:L217" si="165">IF($C$2=FALSE,"-",C52/C77)</f>
        <v>1.5437318021373847</v>
      </c>
      <c r="D217" s="269">
        <f t="shared" si="165"/>
        <v>1.5395641953766062</v>
      </c>
      <c r="E217" s="269">
        <f t="shared" si="165"/>
        <v>1.5189062194087319</v>
      </c>
      <c r="F217" s="269">
        <f t="shared" si="165"/>
        <v>1.5399760143913652</v>
      </c>
      <c r="G217" s="269">
        <f t="shared" si="165"/>
        <v>1.4725555620597475</v>
      </c>
      <c r="H217" s="269">
        <f t="shared" si="165"/>
        <v>1.4577345050382116</v>
      </c>
      <c r="I217" s="269">
        <f t="shared" si="165"/>
        <v>1.4894171389899331</v>
      </c>
      <c r="J217" s="269">
        <f t="shared" si="165"/>
        <v>1.5398049408697565</v>
      </c>
      <c r="K217" s="269">
        <f t="shared" si="165"/>
        <v>1.437323787733412</v>
      </c>
      <c r="L217" s="269">
        <f t="shared" si="165"/>
        <v>0.89746577337605593</v>
      </c>
      <c r="M217" s="270" t="e">
        <f t="shared" ref="M217:AF217" ca="1" si="166">IF($C$2=FALSE,"-",M179/M195)</f>
        <v>#VALUE!</v>
      </c>
      <c r="N217" s="269" t="e">
        <f t="shared" ca="1" si="166"/>
        <v>#VALUE!</v>
      </c>
      <c r="O217" s="269" t="e">
        <f t="shared" ca="1" si="166"/>
        <v>#VALUE!</v>
      </c>
      <c r="P217" s="269" t="e">
        <f t="shared" ca="1" si="166"/>
        <v>#VALUE!</v>
      </c>
      <c r="Q217" s="269" t="e">
        <f t="shared" ca="1" si="166"/>
        <v>#VALUE!</v>
      </c>
      <c r="R217" s="269" t="e">
        <f t="shared" ca="1" si="166"/>
        <v>#VALUE!</v>
      </c>
      <c r="S217" s="269" t="e">
        <f t="shared" ca="1" si="166"/>
        <v>#VALUE!</v>
      </c>
      <c r="T217" s="269" t="e">
        <f t="shared" ca="1" si="166"/>
        <v>#VALUE!</v>
      </c>
      <c r="U217" s="269" t="e">
        <f t="shared" ca="1" si="166"/>
        <v>#VALUE!</v>
      </c>
      <c r="V217" s="269" t="e">
        <f t="shared" ca="1" si="166"/>
        <v>#VALUE!</v>
      </c>
      <c r="W217" s="269" t="e">
        <f t="shared" ca="1" si="166"/>
        <v>#VALUE!</v>
      </c>
      <c r="X217" s="269" t="e">
        <f t="shared" ca="1" si="166"/>
        <v>#VALUE!</v>
      </c>
      <c r="Y217" s="269" t="e">
        <f t="shared" ca="1" si="166"/>
        <v>#VALUE!</v>
      </c>
      <c r="Z217" s="269" t="e">
        <f t="shared" ca="1" si="166"/>
        <v>#VALUE!</v>
      </c>
      <c r="AA217" s="269" t="e">
        <f t="shared" ca="1" si="166"/>
        <v>#VALUE!</v>
      </c>
      <c r="AB217" s="269" t="e">
        <f t="shared" ca="1" si="166"/>
        <v>#VALUE!</v>
      </c>
      <c r="AC217" s="269" t="e">
        <f t="shared" ca="1" si="166"/>
        <v>#VALUE!</v>
      </c>
      <c r="AD217" s="269" t="e">
        <f t="shared" ca="1" si="166"/>
        <v>#VALUE!</v>
      </c>
      <c r="AE217" s="269" t="e">
        <f t="shared" ca="1" si="166"/>
        <v>#VALUE!</v>
      </c>
      <c r="AF217" s="271" t="e">
        <f t="shared" ca="1" si="166"/>
        <v>#VALUE!</v>
      </c>
      <c r="AG217" s="272"/>
    </row>
    <row r="218" spans="2:33">
      <c r="B218" s="261" t="s">
        <v>249</v>
      </c>
      <c r="C218" s="218">
        <f t="shared" ref="C218:AF218" si="167">IF($C$2=FALSE,"-",C119)</f>
        <v>0</v>
      </c>
      <c r="D218" s="218">
        <f t="shared" si="167"/>
        <v>0.15826813151173633</v>
      </c>
      <c r="E218" s="218">
        <f t="shared" si="167"/>
        <v>-1.0535158027370411E-2</v>
      </c>
      <c r="F218" s="218">
        <f t="shared" si="167"/>
        <v>0.63894587902370004</v>
      </c>
      <c r="G218" s="218">
        <f t="shared" si="167"/>
        <v>-0.15425290829430427</v>
      </c>
      <c r="H218" s="218">
        <f t="shared" si="167"/>
        <v>-0.10623692134946154</v>
      </c>
      <c r="I218" s="218">
        <f t="shared" si="167"/>
        <v>2.6925163464009364E-2</v>
      </c>
      <c r="J218" s="218">
        <f t="shared" si="167"/>
        <v>0.51565367291330699</v>
      </c>
      <c r="K218" s="218">
        <f t="shared" si="167"/>
        <v>-0.20012107425887879</v>
      </c>
      <c r="L218" s="218">
        <f t="shared" si="167"/>
        <v>-0.18989519069788777</v>
      </c>
      <c r="M218" s="273">
        <f t="shared" si="167"/>
        <v>0.14030095747498966</v>
      </c>
      <c r="N218" s="218">
        <f t="shared" si="167"/>
        <v>0.14030095747498966</v>
      </c>
      <c r="O218" s="218">
        <f t="shared" si="167"/>
        <v>0.14030095747498966</v>
      </c>
      <c r="P218" s="218">
        <f t="shared" si="167"/>
        <v>0.14030095747498966</v>
      </c>
      <c r="Q218" s="218">
        <f t="shared" si="167"/>
        <v>0.14030095747498966</v>
      </c>
      <c r="R218" s="218">
        <f t="shared" si="167"/>
        <v>0.14030095747498966</v>
      </c>
      <c r="S218" s="218">
        <f t="shared" si="167"/>
        <v>0.14030095747498966</v>
      </c>
      <c r="T218" s="218">
        <f t="shared" si="167"/>
        <v>0.14030095747498966</v>
      </c>
      <c r="U218" s="218">
        <f t="shared" si="167"/>
        <v>0.14030095747498966</v>
      </c>
      <c r="V218" s="218">
        <f t="shared" si="167"/>
        <v>0.14030095747498966</v>
      </c>
      <c r="W218" s="218">
        <f t="shared" si="167"/>
        <v>0.14030095747498966</v>
      </c>
      <c r="X218" s="218">
        <f t="shared" si="167"/>
        <v>0.14030095747498966</v>
      </c>
      <c r="Y218" s="218">
        <f t="shared" si="167"/>
        <v>0.14030095747498966</v>
      </c>
      <c r="Z218" s="218">
        <f t="shared" si="167"/>
        <v>0.14030095747498966</v>
      </c>
      <c r="AA218" s="218">
        <f t="shared" si="167"/>
        <v>0.14030095747498966</v>
      </c>
      <c r="AB218" s="218">
        <f t="shared" si="167"/>
        <v>0.14030095747498966</v>
      </c>
      <c r="AC218" s="218">
        <f t="shared" si="167"/>
        <v>0.14030095747498966</v>
      </c>
      <c r="AD218" s="218">
        <f t="shared" si="167"/>
        <v>0.14030095747498966</v>
      </c>
      <c r="AE218" s="218">
        <f t="shared" si="167"/>
        <v>0.14030095747498966</v>
      </c>
      <c r="AF218" s="274">
        <f t="shared" si="167"/>
        <v>0.14030095747498966</v>
      </c>
      <c r="AG218" s="193"/>
    </row>
    <row r="219" spans="2:33">
      <c r="B219" s="174"/>
      <c r="C219" s="174"/>
      <c r="D219" s="174"/>
      <c r="E219" s="174"/>
      <c r="F219" s="174"/>
      <c r="G219" s="174"/>
      <c r="H219" s="174"/>
      <c r="I219" s="174"/>
      <c r="J219" s="174"/>
      <c r="K219" s="174"/>
      <c r="L219" s="174"/>
      <c r="M219" s="174"/>
      <c r="N219" s="174"/>
      <c r="O219" s="174"/>
      <c r="P219" s="174"/>
      <c r="Q219" s="174"/>
      <c r="R219" s="174"/>
      <c r="S219" s="174"/>
      <c r="T219" s="174"/>
      <c r="U219" s="174"/>
      <c r="V219" s="174"/>
      <c r="W219" s="174"/>
      <c r="X219" s="174"/>
      <c r="Y219" s="174"/>
      <c r="Z219" s="174"/>
      <c r="AA219" s="174"/>
      <c r="AB219" s="174"/>
      <c r="AC219" s="174"/>
      <c r="AD219" s="174"/>
      <c r="AE219" s="174"/>
      <c r="AF219" s="174"/>
      <c r="AG219" s="174"/>
    </row>
  </sheetData>
  <dataValidations count="1">
    <dataValidation type="list" allowBlank="1" showInputMessage="1" showErrorMessage="1" sqref="C166 C2">
      <formula1>"TRUE, FALSE"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READ ME FIRST</vt:lpstr>
      <vt:lpstr>Section0</vt:lpstr>
      <vt:lpstr>Section1</vt:lpstr>
      <vt:lpstr>Section2</vt:lpstr>
      <vt:lpstr>Section3</vt:lpstr>
      <vt:lpstr>Section4</vt:lpstr>
      <vt:lpstr>Section5</vt:lpstr>
      <vt:lpstr>Section4!_Toc353727162</vt:lpstr>
      <vt:lpstr>Section4!_Toc353727163</vt:lpstr>
      <vt:lpstr>Section4!_Toc353727164</vt:lpstr>
      <vt:lpstr>dx</vt:lpstr>
      <vt:lpstr>x</vt:lpstr>
      <vt:lpstr>xx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Charis</cp:lastModifiedBy>
  <dcterms:created xsi:type="dcterms:W3CDTF">2013-10-26T12:32:24Z</dcterms:created>
  <dcterms:modified xsi:type="dcterms:W3CDTF">2013-11-25T21:34:52Z</dcterms:modified>
</cp:coreProperties>
</file>